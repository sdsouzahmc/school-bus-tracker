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7c3acbe2e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170c9d68f34281"/>
    <x:sheet xmlns:r="http://schemas.openxmlformats.org/officeDocument/2006/relationships" name="Trips" sheetId="2" r:id="Rc807d4b88ec343e3"/>
    <x:sheet xmlns:r="http://schemas.openxmlformats.org/officeDocument/2006/relationships" name="StudentTrips" sheetId="3" r:id="R79c0f04b0f704e5a"/>
    <x:sheet xmlns:r="http://schemas.openxmlformats.org/officeDocument/2006/relationships" name="ScanEvents" sheetId="4" r:id="R791e2a3df57c41cc"/>
    <x:sheet xmlns:r="http://schemas.openxmlformats.org/officeDocument/2006/relationships" name="Exceptions" sheetId="5" r:id="R68d5ce43e9e44f9e"/>
    <x:sheet xmlns:r="http://schemas.openxmlformats.org/officeDocument/2006/relationships" name="Notifications" sheetId="6" r:id="R4326368823a24700"/>
    <x:sheet xmlns:r="http://schemas.openxmlformats.org/officeDocument/2006/relationships" name="Students" sheetId="7" r:id="R3fd52da8e2f14a48"/>
    <x:sheet xmlns:r="http://schemas.openxmlformats.org/officeDocument/2006/relationships" name="Locations" sheetId="8" r:id="R855710df0b044f04"/>
    <x:sheet xmlns:r="http://schemas.openxmlformats.org/officeDocument/2006/relationships" name="Crew" sheetId="9" r:id="R075586164a9a49ea"/>
    <x:sheet xmlns:r="http://schemas.openxmlformats.org/officeDocument/2006/relationships" name="Guide" sheetId="10" r:id="R043991256ad5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dd-mmm-yyyy hh:mm:ss"/>
    <x:numFmt numFmtId="202" formatCode="0.000000"/>
    <x:numFmt numFmtId="203" formatCode="0.00"/>
    <x:numFmt numFmtId="204" formatCode="h:mm AM/PM"/>
  </x:numFmts>
  <x:fonts count="4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16"/>
      <x:color rgb="FF1721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74E"/>
      </x:patternFill>
    </x:fill>
    <x:fill>
      <x:patternFill patternType="solid">
        <x:fgColor rgb="FFED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A32121"/>
      </x:font>
      <x:fill>
        <x:patternFill patternType="solid">
          <x:bgColor rgb="FFFCE3E3"/>
        </x:patternFill>
      </x:fill>
    </x:dxf>
    <x:dxf>
      <x:font>
        <x:b/>
        <x:color rgb="FFA32121"/>
      </x:font>
      <x:fill>
        <x:patternFill patternType="solid">
          <x:bgColor rgb="FFFCE3E3"/>
        </x:patternFill>
      </x:fill>
    </x:dxf>
    <x:dxf>
      <x:font>
        <x:b/>
        <x:color rgb="FFA32121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8a1d77e254770" /><Relationship Type="http://schemas.openxmlformats.org/officeDocument/2006/relationships/theme" Target="/xl/theme/theme1.xml" Id="R4e983c40356f494a" /><Relationship Type="http://schemas.openxmlformats.org/officeDocument/2006/relationships/sharedStrings" Target="/xl/sharedStrings.xml" Id="R90388ef414eb4513" /><Relationship Type="http://schemas.openxmlformats.org/officeDocument/2006/relationships/worksheet" Target="/xl/worksheets/sheet1.xml" Id="Red170c9d68f34281" /><Relationship Type="http://schemas.openxmlformats.org/officeDocument/2006/relationships/worksheet" Target="/xl/worksheets/sheet2.xml" Id="Rc807d4b88ec343e3" /><Relationship Type="http://schemas.openxmlformats.org/officeDocument/2006/relationships/worksheet" Target="/xl/worksheets/sheet3.xml" Id="R79c0f04b0f704e5a" /><Relationship Type="http://schemas.openxmlformats.org/officeDocument/2006/relationships/worksheet" Target="/xl/worksheets/sheet4.xml" Id="R791e2a3df57c41cc" /><Relationship Type="http://schemas.openxmlformats.org/officeDocument/2006/relationships/worksheet" Target="/xl/worksheets/sheet5.xml" Id="R68d5ce43e9e44f9e" /><Relationship Type="http://schemas.openxmlformats.org/officeDocument/2006/relationships/worksheet" Target="/xl/worksheets/sheet6.xml" Id="R4326368823a24700" /><Relationship Type="http://schemas.openxmlformats.org/officeDocument/2006/relationships/worksheet" Target="/xl/worksheets/sheet7.xml" Id="R3fd52da8e2f14a48" /><Relationship Type="http://schemas.openxmlformats.org/officeDocument/2006/relationships/worksheet" Target="/xl/worksheets/sheet8.xml" Id="R855710df0b044f04" /><Relationship Type="http://schemas.openxmlformats.org/officeDocument/2006/relationships/worksheet" Target="/xl/worksheets/sheet9.xml" Id="R075586164a9a49ea" /><Relationship Type="http://schemas.openxmlformats.org/officeDocument/2006/relationships/worksheet" Target="/xl/worksheets/sheet10.xml" Id="R043991256ad54947" /></Relationships>
</file>

<file path=xl/tables/table1.xml><?xml version="1.0" encoding="utf-8"?>
<x:table xmlns:x="http://schemas.openxmlformats.org/spreadsheetml/2006/main" id="1" name="TripsData" displayName="TripsData" ref="A1:AG76" headerRowCount="1" totalsRowCount="0" totalsRowShown="0">
  <x:autoFilter ref="A1:AG76"/>
  <x:tableColumns count="33">
    <x:tableColumn id="1" name="Trip_ID"/>
    <x:tableColumn id="2" name="Service_Date"/>
    <x:tableColumn id="3" name="Trip_No"/>
    <x:tableColumn id="4" name="Service_Description"/>
    <x:tableColumn id="5" name="Bus_ID"/>
    <x:tableColumn id="6" name="Route_ID"/>
    <x:tableColumn id="7" name="Driver_ID"/>
    <x:tableColumn id="8" name="Supervisor_ID"/>
    <x:tableColumn id="9" name="Caretaker_ID"/>
    <x:tableColumn id="10" name="Planned_Start"/>
    <x:tableColumn id="11" name="Planned_End"/>
    <x:tableColumn id="12" name="Actual_Start"/>
    <x:tableColumn id="13" name="Start_Location_ID"/>
    <x:tableColumn id="14" name="Start_Lat"/>
    <x:tableColumn id="15" name="Start_Lon"/>
    <x:tableColumn id="16" name="Actual_End"/>
    <x:tableColumn id="17" name="End_Location_ID"/>
    <x:tableColumn id="18" name="End_Lat"/>
    <x:tableColumn id="19" name="End_Lon"/>
    <x:tableColumn id="20" name="Trip_Status"/>
    <x:tableColumn id="21" name="Sync_Status"/>
    <x:tableColumn id="22" name="Sweep_Time"/>
    <x:tableColumn id="23" name="Sweep_Performer_ID"/>
    <x:tableColumn id="24" name="Sweep_Status"/>
    <x:tableColumn id="25" name="Student_Capacity"/>
    <x:tableColumn id="26" name="Peak_Onboard_Snapshot"/>
    <x:tableColumn id="27" name="Planned_Students"/>
    <x:tableColumn id="28" name="Boarded_Students"/>
    <x:tableColumn id="29" name="Exited_Students"/>
    <x:tableColumn id="30" name="Onboard_Students"/>
    <x:tableColumn id="31" name="Declared_Absent"/>
    <x:tableColumn id="32" name="No_Show"/>
    <x:tableColumn id="33" name="Cancelled_Transpor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entTripsData" displayName="StudentTripsData" ref="A1:AC1201" headerRowCount="1" totalsRowCount="0" totalsRowShown="0">
  <x:autoFilter ref="A1:AC1201"/>
  <x:tableColumns count="29">
    <x:tableColumn id="1" name="Line_ID"/>
    <x:tableColumn id="2" name="Trip_ID"/>
    <x:tableColumn id="3" name="Service_Date"/>
    <x:tableColumn id="4" name="Bus_ID"/>
    <x:tableColumn id="5" name="Student_ID"/>
    <x:tableColumn id="6" name="Batch"/>
    <x:tableColumn id="7" name="Student_Group"/>
    <x:tableColumn id="8" name="Movement_Purpose"/>
    <x:tableColumn id="9" name="Home_Stop_ID"/>
    <x:tableColumn id="10" name="Entry_Event_ID"/>
    <x:tableColumn id="11" name="Entry_Time"/>
    <x:tableColumn id="12" name="Entry_Location_ID"/>
    <x:tableColumn id="13" name="Entry_Lat"/>
    <x:tableColumn id="14" name="Entry_Lon"/>
    <x:tableColumn id="15" name="Entry_GPS_Status"/>
    <x:tableColumn id="16" name="Exit_Event_ID"/>
    <x:tableColumn id="17" name="Exit_Time"/>
    <x:tableColumn id="18" name="Exit_Location_ID"/>
    <x:tableColumn id="19" name="Exit_Lat"/>
    <x:tableColumn id="20" name="Exit_Lon"/>
    <x:tableColumn id="21" name="Receiver_ID"/>
    <x:tableColumn id="22" name="Handover_Type"/>
    <x:tableColumn id="23" name="Student_Status"/>
    <x:tableColumn id="24" name="Capture_Method"/>
    <x:tableColumn id="25" name="Capture_Connectivity"/>
    <x:tableColumn id="26" name="Sync_Status"/>
    <x:tableColumn id="27" name="Reason"/>
    <x:tableColumn id="28" name="Exception_ID"/>
    <x:tableColumn id="29" name="Journey_Minu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anEventsData" displayName="ScanEventsData" ref="A1:T2394" headerRowCount="1" totalsRowCount="0" totalsRowShown="0">
  <x:autoFilter ref="A1:T2394"/>
  <x:tableColumns count="20">
    <x:tableColumn id="1" name="Event_ID"/>
    <x:tableColumn id="2" name="Trip_ID"/>
    <x:tableColumn id="3" name="Student_ID"/>
    <x:tableColumn id="4" name="Badge_Token"/>
    <x:tableColumn id="5" name="Event_Type"/>
    <x:tableColumn id="6" name="Capture_Time"/>
    <x:tableColumn id="7" name="Server_Receipt_Time"/>
    <x:tableColumn id="8" name="Location_ID"/>
    <x:tableColumn id="9" name="Latitude"/>
    <x:tableColumn id="10" name="Longitude"/>
    <x:tableColumn id="11" name="Accuracy_Metres"/>
    <x:tableColumn id="12" name="GPS_Status"/>
    <x:tableColumn id="13" name="Capture_Method"/>
    <x:tableColumn id="14" name="Accepted"/>
    <x:tableColumn id="15" name="Validation_Result"/>
    <x:tableColumn id="16" name="Operator_ID"/>
    <x:tableColumn id="17" name="Device_ID"/>
    <x:tableColumn id="18" name="Device_Sequence"/>
    <x:tableColumn id="19" name="Capture_Connectivity"/>
    <x:tableColumn id="20" name="Sync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eptionsData" displayName="ExceptionsData" ref="A1:K7" headerRowCount="1" totalsRowCount="0" totalsRowShown="0">
  <x:autoFilter ref="A1:K7"/>
  <x:tableColumns count="11">
    <x:tableColumn id="1" name="Exception_ID"/>
    <x:tableColumn id="2" name="Trip_ID"/>
    <x:tableColumn id="3" name="Student_ID"/>
    <x:tableColumn id="4" name="Exception_Type"/>
    <x:tableColumn id="5" name="Severity"/>
    <x:tableColumn id="6" name="Triggered_Time"/>
    <x:tableColumn id="7" name="Acknowledged_Time"/>
    <x:tableColumn id="8" name="Owner_ID"/>
    <x:tableColumn id="9" name="Case_Status"/>
    <x:tableColumn id="10" name="Action_or_Resolution"/>
    <x:tableColumn id="11" name="Resolved_Ti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tificationsData" displayName="NotificationsData" ref="A1:O2392" headerRowCount="1" totalsRowCount="0" totalsRowShown="0">
  <x:autoFilter ref="A1:O2392"/>
  <x:tableColumns count="15">
    <x:tableColumn id="1" name="Notification_ID"/>
    <x:tableColumn id="2" name="Event_ID"/>
    <x:tableColumn id="3" name="Trip_ID"/>
    <x:tableColumn id="4" name="Student_ID"/>
    <x:tableColumn id="5" name="Guardian_ID"/>
    <x:tableColumn id="6" name="Guardian_Email"/>
    <x:tableColumn id="7" name="Channel"/>
    <x:tableColumn id="8" name="Notice_Type"/>
    <x:tableColumn id="9" name="Event_Capture_Time"/>
    <x:tableColumn id="10" name="Queued_Time"/>
    <x:tableColumn id="11" name="Last_Attempt_Time"/>
    <x:tableColumn id="12" name="Delivery_Status"/>
    <x:tableColumn id="13" name="Attempt_Count"/>
    <x:tableColumn id="14" name="Delayed_Update_Label"/>
    <x:tableColumn id="15" name="Error_Detai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udentsData" displayName="StudentsData" ref="A1:N121" headerRowCount="1" totalsRowCount="0" totalsRowShown="0">
  <x:autoFilter ref="A1:N121"/>
  <x:tableColumns count="14">
    <x:tableColumn id="1" name="Student_ID"/>
    <x:tableColumn id="2" name="Student_Name"/>
    <x:tableColumn id="3" name="Batch"/>
    <x:tableColumn id="4" name="Student_Group"/>
    <x:tableColumn id="5" name="Class"/>
    <x:tableColumn id="6" name="Bus_ID"/>
    <x:tableColumn id="7" name="Route_ID"/>
    <x:tableColumn id="8" name="Home_Stop_ID"/>
    <x:tableColumn id="9" name="Guardian_ID"/>
    <x:tableColumn id="10" name="Guardian_Name"/>
    <x:tableColumn id="11" name="Guardian_Email"/>
    <x:tableColumn id="12" name="Authorized_Recipient_ID"/>
    <x:tableColumn id="13" name="Badge_Token"/>
    <x:tableColumn id="14" name="Student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ocationsData" displayName="LocationsData" ref="A1:E12" headerRowCount="1" totalsRowCount="0" totalsRowShown="0">
  <x:autoFilter ref="A1:E12"/>
  <x:tableColumns count="5">
    <x:tableColumn id="1" name="Location_ID"/>
    <x:tableColumn id="2" name="Location_Name"/>
    <x:tableColumn id="3" name="Location_Type"/>
    <x:tableColumn id="4" name="Latitude"/>
    <x:tableColumn id="5" name="Longitud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rewData" displayName="CrewData" ref="A1:F11" headerRowCount="1" totalsRowCount="0" totalsRowShown="0">
  <x:autoFilter ref="A1:F11"/>
  <x:tableColumns count="6">
    <x:tableColumn id="1" name="Crew_ID"/>
    <x:tableColumn id="2" name="Crew_Name"/>
    <x:tableColumn id="3" name="Role"/>
    <x:tableColumn id="4" name="Assigned_Bus_ID"/>
    <x:tableColumn id="5" name="Demo_Email"/>
    <x:tableColumn id="6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uideData" displayName="GuideData" ref="A1:B42" headerRowCount="1" totalsRowCount="0" totalsRowShown="0">
  <x:autoFilter ref="A1:B42"/>
  <x:tableColumns count="2">
    <x:tableColumn id="1" name="Topic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02098c39f948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bb2998d3aa46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b3035a38f940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1e49e055e141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2dbb1d0bd84d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12e8822b1745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3319f4adde42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e45b0a701c45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ac3d8e8075a41d4" /></Relationships>
</file>

<file path=xl/worksheets/sheet1.xml><?xml version="1.0" encoding="utf-8"?>
<x:worksheet xmlns:x="http://schemas.openxmlformats.org/spreadsheetml/2006/main">
  <x:sheetPr>
    <x:tabColor rgb="FF20374E"/>
  </x:sheetPr>
  <x:sheetViews>
    <x:sheetView showGridLines="0" workbookViewId="0"/>
  </x:sheetViews>
  <x:sheetFormatPr defaultRowHeight="15"/>
  <x:cols>
    <x:col min="1" max="1" width="33" hidden="0" customWidth="1"/>
    <x:col min="2" max="2" width="7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12" t="str">
        <x:v>School Bus Trip Dataset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 t="str">
        <x:v>SYNTHETIC DEMO DATA. 4 to 8 October 2026. Times are Qatar local time UTC+03:00.</x:v>
      </x:c>
      <x:c r="B4" s="1"/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14" t="str">
        <x:v>Dataset measure</x:v>
      </x:c>
      <x:c r="B6" s="14" t="str">
        <x:v>Count</x:v>
      </x:c>
      <x:c r="C6" s="1"/>
      <x:c r="D6" s="1"/>
      <x:c r="E6" s="1"/>
      <x:c r="F6" s="1"/>
      <x:c r="G6" s="1"/>
      <x:c r="H6" s="1"/>
    </x:row>
    <x:row r="7" ht="24" customHeight="1">
      <x:c r="A7" s="1" t="str">
        <x:v>Students</x:v>
      </x:c>
      <x:c r="B7" s="1" t="n">
        <x:f>COUNTA('Students'!A2:A121)</x:f>
        <x:v>120</x:v>
      </x:c>
      <x:c r="C7" s="1"/>
      <x:c r="D7" s="1"/>
      <x:c r="E7" s="1"/>
      <x:c r="F7" s="1"/>
      <x:c r="G7" s="1"/>
      <x:c r="H7" s="1"/>
    </x:row>
    <x:row r="8" ht="24" customHeight="1">
      <x:c r="A8" s="1" t="str">
        <x:v>Buses</x:v>
      </x:c>
      <x:c r="B8" s="1" t="n">
        <x:v>3</x:v>
      </x:c>
      <x:c r="C8" s="1"/>
      <x:c r="D8" s="1"/>
      <x:c r="E8" s="1"/>
      <x:c r="F8" s="1"/>
      <x:c r="G8" s="1"/>
      <x:c r="H8" s="1"/>
    </x:row>
    <x:row r="9" ht="24" customHeight="1">
      <x:c r="A9" s="1" t="str">
        <x:v>Trips</x:v>
      </x:c>
      <x:c r="B9" s="1" t="n">
        <x:f>COUNTA('Trips'!A2:A76)</x:f>
        <x:v>75</x:v>
      </x:c>
      <x:c r="C9" s="1"/>
      <x:c r="D9" s="1"/>
      <x:c r="E9" s="1"/>
      <x:c r="F9" s="1"/>
      <x:c r="G9" s="1"/>
      <x:c r="H9" s="1"/>
    </x:row>
    <x:row r="10" ht="24" customHeight="1">
      <x:c r="A10" s="1" t="str">
        <x:v>Student trip lines</x:v>
      </x:c>
      <x:c r="B10" s="1" t="n">
        <x:f>COUNTA('StudentTrips'!A2:A1201)</x:f>
        <x:v>1200</x:v>
      </x:c>
      <x:c r="C10" s="1"/>
      <x:c r="D10" s="1"/>
      <x:c r="E10" s="1"/>
      <x:c r="F10" s="1"/>
      <x:c r="G10" s="1"/>
      <x:c r="H10" s="1"/>
    </x:row>
    <x:row r="11" ht="24" customHeight="1">
      <x:c r="A11" s="1" t="str">
        <x:v>Accepted scan events</x:v>
      </x:c>
      <x:c r="B11" s="1" t="n">
        <x:f>COUNTIFS('ScanEvents'!N2:N2394,1)</x:f>
        <x:v>2391</x:v>
      </x:c>
      <x:c r="C11" s="1"/>
      <x:c r="D11" s="1"/>
      <x:c r="E11" s="1"/>
      <x:c r="F11" s="1"/>
      <x:c r="G11" s="1"/>
      <x:c r="H11" s="1"/>
    </x:row>
    <x:row r="12" ht="24" customHeight="1">
      <x:c r="A12" s="1" t="str">
        <x:v>Rejected scan attempts</x:v>
      </x:c>
      <x:c r="B12" s="1" t="n">
        <x:f>COUNTIFS('ScanEvents'!N2:N2394,0)</x:f>
        <x:v>2</x:v>
      </x:c>
      <x:c r="C12" s="1"/>
      <x:c r="D12" s="1"/>
      <x:c r="E12" s="1"/>
      <x:c r="F12" s="1"/>
      <x:c r="G12" s="1"/>
      <x:c r="H12" s="1"/>
    </x:row>
    <x:row r="13" ht="24" customHeight="1">
      <x:c r="A13" s="1" t="str">
        <x:v>Completed trips</x:v>
      </x:c>
      <x:c r="B13" s="1" t="n">
        <x:f>COUNTIFS('Trips'!T2:T76,"Completed")</x:f>
        <x:v>74</x:v>
      </x:c>
      <x:c r="C13" s="1"/>
      <x:c r="D13" s="1"/>
      <x:c r="E13" s="1"/>
      <x:c r="F13" s="1"/>
      <x:c r="G13" s="1"/>
      <x:c r="H13" s="1"/>
    </x:row>
    <x:row r="14" ht="24" customHeight="1">
      <x:c r="A14" s="1" t="str">
        <x:v>Students still onboard</x:v>
      </x:c>
      <x:c r="B14" s="1" t="n">
        <x:f>SUM('Trips'!AD2:AD76)</x:f>
        <x:v>1</x:v>
      </x:c>
      <x:c r="C14" s="1"/>
      <x:c r="D14" s="1"/>
      <x:c r="E14" s="1"/>
      <x:c r="F14" s="1"/>
      <x:c r="G14" s="1"/>
      <x:c r="H14" s="1"/>
    </x:row>
    <x:row r="15" ht="24" customHeight="1">
      <x:c r="A15" s="1" t="str">
        <x:v>Open exceptions</x:v>
      </x:c>
      <x:c r="B15" s="1" t="n">
        <x:f>COUNTIFS('Exceptions'!I2:I7,"Open")</x:f>
        <x:v>1</x:v>
      </x:c>
      <x:c r="C15" s="1"/>
      <x:c r="D15" s="1"/>
      <x:c r="E15" s="1"/>
      <x:c r="F15" s="1"/>
      <x:c r="G15" s="1"/>
      <x:c r="H15" s="1"/>
    </x:row>
    <x:row r="16" ht="24" customHeight="1">
      <x:c r="A16" s="1" t="str">
        <x:v>Failed email notices</x:v>
      </x:c>
      <x:c r="B16" s="1" t="n">
        <x:f>COUNTIFS('Notifications'!L2:L2392,"Failed")</x:f>
        <x:v>1</x:v>
      </x:c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4" t="str">
        <x:v>Trip</x:v>
      </x:c>
      <x:c r="B18" s="14" t="str">
        <x:v>Service</x:v>
      </x:c>
      <x:c r="C18" s="14" t="str">
        <x:v>Start</x:v>
      </x:c>
      <x:c r="D18" s="14" t="str">
        <x:v>End</x:v>
      </x:c>
      <x:c r="E18" s="1"/>
      <x:c r="F18" s="1"/>
      <x:c r="G18" s="1"/>
      <x:c r="H18" s="1"/>
    </x:row>
    <x:row r="19" ht="24" customHeight="1">
      <x:c r="A19" s="1" t="n">
        <x:v>1</x:v>
      </x:c>
      <x:c r="B19" s="1" t="str">
        <x:v>Batch 1 Junior and Senior pickup</x:v>
      </x:c>
      <x:c r="C19" s="15" t="n">
        <x:v>0.22916666666666666</x:v>
      </x:c>
      <x:c r="D19" s="15" t="n">
        <x:v>0.28125</x:v>
      </x:c>
      <x:c r="E19" s="1"/>
      <x:c r="F19" s="1"/>
      <x:c r="G19" s="1"/>
      <x:c r="H19" s="1"/>
    </x:row>
    <x:row r="20" ht="24" customHeight="1">
      <x:c r="A20" s="1" t="n">
        <x:v>2</x:v>
      </x:c>
      <x:c r="B20" s="1" t="str">
        <x:v>Batch 1 Junior drop-off + Batch 2 Junior and Senior pickup</x:v>
      </x:c>
      <x:c r="C20" s="15" t="n">
        <x:v>0.4375</x:v>
      </x:c>
      <x:c r="D20" s="15" t="n">
        <x:v>0.5104166666666666</x:v>
      </x:c>
      <x:c r="E20" s="1"/>
      <x:c r="F20" s="1"/>
      <x:c r="G20" s="1"/>
      <x:c r="H20" s="1"/>
    </x:row>
    <x:row r="21" ht="24" customHeight="1">
      <x:c r="A21" s="1" t="n">
        <x:v>3</x:v>
      </x:c>
      <x:c r="B21" s="1" t="str">
        <x:v>Batch 1 Senior drop-off</x:v>
      </x:c>
      <x:c r="C21" s="15" t="n">
        <x:v>0.5729166666666666</x:v>
      </x:c>
      <x:c r="D21" s="15" t="n">
        <x:v>0.6041666666666666</x:v>
      </x:c>
      <x:c r="E21" s="1"/>
      <x:c r="F21" s="1"/>
      <x:c r="G21" s="1"/>
      <x:c r="H21" s="1"/>
    </x:row>
    <x:row r="22" ht="24" customHeight="1">
      <x:c r="A22" s="1" t="n">
        <x:v>4</x:v>
      </x:c>
      <x:c r="B22" s="1" t="str">
        <x:v>Batch 2 Junior drop-off</x:v>
      </x:c>
      <x:c r="C22" s="15" t="n">
        <x:v>0.6041666666666666</x:v>
      </x:c>
      <x:c r="D22" s="15" t="n">
        <x:v>0.6458333333333334</x:v>
      </x:c>
      <x:c r="E22" s="1"/>
      <x:c r="F22" s="1"/>
      <x:c r="G22" s="1"/>
      <x:c r="H22" s="1"/>
    </x:row>
    <x:row r="23" ht="24" customHeight="1">
      <x:c r="A23" s="1" t="n">
        <x:v>5</x:v>
      </x:c>
      <x:c r="B23" s="1" t="str">
        <x:v>Batch 2 Senior drop-off</x:v>
      </x:c>
      <x:c r="C23" s="15" t="n">
        <x:v>0.7083333333333334</x:v>
      </x:c>
      <x:c r="D23" s="15" t="n">
        <x:v>0.75</x:v>
      </x:c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  <x:row r="25" ht="24" customHeight="1">
      <x:c r="A25" s="1" t="str">
        <x:v>Trip 2 has separate drop-off and pickup lines within the same trip ID.</x:v>
      </x:c>
      <x:c r="B25" s="1"/>
      <x:c r="C25" s="1"/>
      <x:c r="D25" s="1"/>
      <x:c r="E25" s="1"/>
      <x:c r="F25" s="1"/>
      <x:c r="G25" s="1"/>
      <x:c r="H25" s="1"/>
    </x:row>
    <x:row r="26" ht="24" customHeight="1">
      <x:c r="A26" s="1" t="str">
        <x:v>One missing check-out remains open on 8 Oct, Trip 5, BUS003, Student 120.</x:v>
      </x:c>
      <x:c r="B26" s="1"/>
      <x:c r="C26" s="1"/>
      <x:c r="D26" s="1"/>
      <x:c r="E26" s="1"/>
      <x:c r="F26" s="1"/>
      <x:c r="G26" s="1"/>
      <x:c r="H26" s="1"/>
    </x:row>
    <x:row r="27" ht="24" customHeight="1">
      <x:c r="A27" s="1" t="str">
        <x:v>Master records and coordinates are fictional. Emails use example.invalid.</x:v>
      </x:c>
      <x:c r="B27" s="1"/>
      <x:c r="C27" s="1"/>
      <x:c r="D27" s="1"/>
      <x:c r="E27" s="1"/>
      <x:c r="F27" s="1"/>
      <x:c r="G27" s="1"/>
      <x:c r="H27" s="1"/>
    </x:row>
    <x:row r="28" ht="24" customHeight="1">
      <x:c r="A28" s="1" t="str">
        <x:v>Use the filters on each data sheet. Guide documents keys, blanks and calculations.</x:v>
      </x:c>
      <x:c r="B28" s="1"/>
      <x:c r="C28" s="1"/>
      <x:c r="D28" s="1"/>
      <x:c r="E28" s="1"/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6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5" hidden="0" customWidth="1"/>
    <x:col min="11" max="11" width="25" hidden="0" customWidth="1"/>
    <x:col min="12" max="12" width="25" hidden="0" customWidth="1"/>
    <x:col min="13" max="13" width="20" hidden="0" customWidth="1"/>
    <x:col min="14" max="14" width="17" hidden="0" customWidth="1"/>
    <x:col min="15" max="15" width="17" hidden="0" customWidth="1"/>
    <x:col min="16" max="16" width="25" hidden="0" customWidth="1"/>
    <x:col min="17" max="17" width="20" hidden="0" customWidth="1"/>
    <x:col min="18" max="18" width="17" hidden="0" customWidth="1"/>
    <x:col min="19" max="19" width="17" hidden="0" customWidth="1"/>
    <x:col min="20" max="20" width="27" hidden="0" customWidth="1"/>
    <x:col min="21" max="21" width="27" hidden="0" customWidth="1"/>
    <x:col min="22" max="22" width="25" hidden="0" customWidth="1"/>
    <x:col min="23" max="23" width="20" hidden="0" customWidth="1"/>
    <x:col min="24" max="24" width="27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</x:cols>
  <x:sheetData>
    <x:row r="1" ht="34" customHeight="1">
      <x:c r="A1" s="6" t="str">
        <x:v>Trip_ID</x:v>
      </x:c>
      <x:c r="B1" s="6" t="str">
        <x:v>Service_Date</x:v>
      </x:c>
      <x:c r="C1" s="6" t="str">
        <x:v>Trip_No</x:v>
      </x:c>
      <x:c r="D1" s="6" t="str">
        <x:v>Service_Description</x:v>
      </x:c>
      <x:c r="E1" s="6" t="str">
        <x:v>Bus_ID</x:v>
      </x:c>
      <x:c r="F1" s="6" t="str">
        <x:v>Route_ID</x:v>
      </x:c>
      <x:c r="G1" s="6" t="str">
        <x:v>Driver_ID</x:v>
      </x:c>
      <x:c r="H1" s="6" t="str">
        <x:v>Supervisor_ID</x:v>
      </x:c>
      <x:c r="I1" s="6" t="str">
        <x:v>Caretaker_ID</x:v>
      </x:c>
      <x:c r="J1" s="6" t="str">
        <x:v>Planned_Start</x:v>
      </x:c>
      <x:c r="K1" s="6" t="str">
        <x:v>Planned_End</x:v>
      </x:c>
      <x:c r="L1" s="6" t="str">
        <x:v>Actual_Start</x:v>
      </x:c>
      <x:c r="M1" s="6" t="str">
        <x:v>Start_Location_ID</x:v>
      </x:c>
      <x:c r="N1" s="6" t="str">
        <x:v>Start_Lat</x:v>
      </x:c>
      <x:c r="O1" s="6" t="str">
        <x:v>Start_Lon</x:v>
      </x:c>
      <x:c r="P1" s="6" t="str">
        <x:v>Actual_End</x:v>
      </x:c>
      <x:c r="Q1" s="6" t="str">
        <x:v>End_Location_ID</x:v>
      </x:c>
      <x:c r="R1" s="6" t="str">
        <x:v>End_Lat</x:v>
      </x:c>
      <x:c r="S1" s="6" t="str">
        <x:v>End_Lon</x:v>
      </x:c>
      <x:c r="T1" s="6" t="str">
        <x:v>Trip_Status</x:v>
      </x:c>
      <x:c r="U1" s="6" t="str">
        <x:v>Sync_Status</x:v>
      </x:c>
      <x:c r="V1" s="6" t="str">
        <x:v>Sweep_Time</x:v>
      </x:c>
      <x:c r="W1" s="6" t="str">
        <x:v>Sweep_Performer_ID</x:v>
      </x:c>
      <x:c r="X1" s="6" t="str">
        <x:v>Sweep_Status</x:v>
      </x:c>
      <x:c r="Y1" s="6" t="str">
        <x:v>Student_Capacity</x:v>
      </x:c>
      <x:c r="Z1" s="6" t="str">
        <x:v>Peak_Onboard_Snapshot</x:v>
      </x:c>
      <x:c r="AA1" s="6" t="str">
        <x:v>Planned_Students</x:v>
      </x:c>
      <x:c r="AB1" s="6" t="str">
        <x:v>Boarded_Students</x:v>
      </x:c>
      <x:c r="AC1" s="6" t="str">
        <x:v>Exited_Students</x:v>
      </x:c>
      <x:c r="AD1" s="6" t="str">
        <x:v>Onboard_Students</x:v>
      </x:c>
      <x:c r="AE1" s="6" t="str">
        <x:v>Declared_Absent</x:v>
      </x:c>
      <x:c r="AF1" s="6" t="str">
        <x:v>No_Show</x:v>
      </x:c>
      <x:c r="AG1" s="6" t="str">
        <x:v>Cancelled_Transport</x:v>
      </x:c>
    </x:row>
    <x:row r="2" ht="21" customHeight="1">
      <x:c r="A2" s="2" t="str">
        <x:v>T20261004-1-1</x:v>
      </x:c>
      <x:c r="B2" s="7" t="n">
        <x:v>46299</x:v>
      </x:c>
      <x:c r="C2" s="2" t="n">
        <x:v>1</x:v>
      </x:c>
      <x:c r="D2" s="2" t="str">
        <x:v>Batch 1 Junior and Senior pickup</x:v>
      </x:c>
      <x:c r="E2" s="2" t="str">
        <x:v>BUS001</x:v>
      </x:c>
      <x:c r="F2" s="2" t="str">
        <x:v>R1</x:v>
      </x:c>
      <x:c r="G2" s="2" t="str">
        <x:v>D001</x:v>
      </x:c>
      <x:c r="H2" s="2" t="str">
        <x:v>S001</x:v>
      </x:c>
      <x:c r="I2" s="2" t="str">
        <x:v>C001</x:v>
      </x:c>
      <x:c r="J2" s="8" t="n">
        <x:v>46299.22916666667</x:v>
      </x:c>
      <x:c r="K2" s="8" t="n">
        <x:v>46299.28125</x:v>
      </x:c>
      <x:c r="L2" s="8" t="n">
        <x:v>46299.22916666667</x:v>
      </x:c>
      <x:c r="M2" s="2" t="str">
        <x:v>DEP01</x:v>
      </x:c>
      <x:c r="N2" s="9" t="n">
        <x:v>25.276</x:v>
      </x:c>
      <x:c r="O2" s="9" t="n">
        <x:v>51.498</x:v>
      </x:c>
      <x:c r="P2" s="8" t="n">
        <x:v>46299.28125</x:v>
      </x:c>
      <x:c r="Q2" s="2" t="str">
        <x:v>SCH01</x:v>
      </x:c>
      <x:c r="R2" s="9" t="n">
        <x:v>25.285</x:v>
      </x:c>
      <x:c r="S2" s="9" t="n">
        <x:v>51.51</x:v>
      </x:c>
      <x:c r="T2" s="2" t="str">
        <x:v>Completed</x:v>
      </x:c>
      <x:c r="U2" s="2" t="str">
        <x:v>Synced</x:v>
      </x:c>
      <x:c r="V2" s="8" t="n">
        <x:v>46299.28090277778</x:v>
      </x:c>
      <x:c r="W2" s="2" t="str">
        <x:v>C001</x:v>
      </x:c>
      <x:c r="X2" s="2" t="str">
        <x:v>Confirmed</x:v>
      </x:c>
      <x:c r="Y2" s="2" t="n">
        <x:v>40</x:v>
      </x:c>
      <x:c r="Z2" s="2" t="n">
        <x:v>19</x:v>
      </x:c>
      <x:c r="AA2" s="11" t="n">
        <x:f>COUNTIFS('StudentTrips'!$B$2:$B$1201,A2)</x:f>
        <x:v>20</x:v>
      </x:c>
      <x:c r="AB2" s="11" t="n">
        <x:f>COUNTIFS('StudentTrips'!$B$2:$B$1201,A2,'StudentTrips'!$K$2:$K$1201,"&gt;0")</x:f>
        <x:v>19</x:v>
      </x:c>
      <x:c r="AC2" s="11" t="n">
        <x:f>COUNTIFS('StudentTrips'!$B$2:$B$1201,A2,'StudentTrips'!$Q$2:$Q$1201,"&gt;0")</x:f>
        <x:v>19</x:v>
      </x:c>
      <x:c r="AD2" s="11" t="n">
        <x:f>AB2-AC2</x:f>
        <x:v>0</x:v>
      </x:c>
      <x:c r="AE2" s="11" t="n">
        <x:f>COUNTIFS('StudentTrips'!$B$2:$B$1201,A2,'StudentTrips'!$W$2:$W$1201,"Declared absent")</x:f>
        <x:v>1</x:v>
      </x:c>
      <x:c r="AF2" s="11" t="n">
        <x:f>COUNTIFS('StudentTrips'!$B$2:$B$1201,A2,'StudentTrips'!$W$2:$W$1201,"No show")</x:f>
        <x:v>0</x:v>
      </x:c>
      <x:c r="AG2" s="11" t="n">
        <x:f>COUNTIFS('StudentTrips'!$B$2:$B$1201,A2,'StudentTrips'!$W$2:$W$1201,"Cancelled transport")</x:f>
        <x:v>0</x:v>
      </x:c>
    </x:row>
    <x:row r="3" ht="21" customHeight="1">
      <x:c r="A3" s="2" t="str">
        <x:v>T20261004-2-1</x:v>
      </x:c>
      <x:c r="B3" s="7" t="n">
        <x:v>46299</x:v>
      </x:c>
      <x:c r="C3" s="2" t="n">
        <x:v>2</x:v>
      </x:c>
      <x:c r="D3" s="2" t="str">
        <x:v>Batch 1 Junior drop-off + Batch 2 Junior and Senior pickup</x:v>
      </x:c>
      <x:c r="E3" s="2" t="str">
        <x:v>BUS001</x:v>
      </x:c>
      <x:c r="F3" s="2" t="str">
        <x:v>R1</x:v>
      </x:c>
      <x:c r="G3" s="2" t="str">
        <x:v>D001</x:v>
      </x:c>
      <x:c r="H3" s="2" t="str">
        <x:v>S001</x:v>
      </x:c>
      <x:c r="I3" s="2" t="str">
        <x:v>C001</x:v>
      </x:c>
      <x:c r="J3" s="8" t="n">
        <x:v>46299.4375</x:v>
      </x:c>
      <x:c r="K3" s="8" t="n">
        <x:v>46299.51041666667</x:v>
      </x:c>
      <x:c r="L3" s="8" t="n">
        <x:v>46299.4375</x:v>
      </x:c>
      <x:c r="M3" s="2" t="str">
        <x:v>SCH01</x:v>
      </x:c>
      <x:c r="N3" s="9" t="n">
        <x:v>25.285</x:v>
      </x:c>
      <x:c r="O3" s="9" t="n">
        <x:v>51.51</x:v>
      </x:c>
      <x:c r="P3" s="8" t="n">
        <x:v>46299.51041666667</x:v>
      </x:c>
      <x:c r="Q3" s="2" t="str">
        <x:v>SCH01</x:v>
      </x:c>
      <x:c r="R3" s="9" t="n">
        <x:v>25.285</x:v>
      </x:c>
      <x:c r="S3" s="9" t="n">
        <x:v>51.51</x:v>
      </x:c>
      <x:c r="T3" s="2" t="str">
        <x:v>Completed</x:v>
      </x:c>
      <x:c r="U3" s="2" t="str">
        <x:v>Synced</x:v>
      </x:c>
      <x:c r="V3" s="8" t="n">
        <x:v>46299.51006944445</x:v>
      </x:c>
      <x:c r="W3" s="2" t="str">
        <x:v>C001</x:v>
      </x:c>
      <x:c r="X3" s="2" t="str">
        <x:v>Confirmed</x:v>
      </x:c>
      <x:c r="Y3" s="2" t="n">
        <x:v>40</x:v>
      </x:c>
      <x:c r="Z3" s="2" t="n">
        <x:v>20</x:v>
      </x:c>
      <x:c r="AA3" s="11" t="n">
        <x:f>COUNTIFS('StudentTrips'!$B$2:$B$1201,A3)</x:f>
        <x:v>30</x:v>
      </x:c>
      <x:c r="AB3" s="11" t="n">
        <x:f>COUNTIFS('StudentTrips'!$B$2:$B$1201,A3,'StudentTrips'!$K$2:$K$1201,"&gt;0")</x:f>
        <x:v>29</x:v>
      </x:c>
      <x:c r="AC3" s="11" t="n">
        <x:f>COUNTIFS('StudentTrips'!$B$2:$B$1201,A3,'StudentTrips'!$Q$2:$Q$1201,"&gt;0")</x:f>
        <x:v>29</x:v>
      </x:c>
      <x:c r="AD3" s="11" t="n">
        <x:f>AB3-AC3</x:f>
        <x:v>0</x:v>
      </x:c>
      <x:c r="AE3" s="11" t="n">
        <x:f>COUNTIFS('StudentTrips'!$B$2:$B$1201,A3,'StudentTrips'!$W$2:$W$1201,"Declared absent")</x:f>
        <x:v>1</x:v>
      </x:c>
      <x:c r="AF3" s="11" t="n">
        <x:f>COUNTIFS('StudentTrips'!$B$2:$B$1201,A3,'StudentTrips'!$W$2:$W$1201,"No show")</x:f>
        <x:v>0</x:v>
      </x:c>
      <x:c r="AG3" s="11" t="n">
        <x:f>COUNTIFS('StudentTrips'!$B$2:$B$1201,A3,'StudentTrips'!$W$2:$W$1201,"Cancelled transport")</x:f>
        <x:v>0</x:v>
      </x:c>
    </x:row>
    <x:row r="4" ht="21" customHeight="1">
      <x:c r="A4" s="2" t="str">
        <x:v>T20261004-3-1</x:v>
      </x:c>
      <x:c r="B4" s="7" t="n">
        <x:v>46299</x:v>
      </x:c>
      <x:c r="C4" s="2" t="n">
        <x:v>3</x:v>
      </x:c>
      <x:c r="D4" s="2" t="str">
        <x:v>Batch 1 Senior drop-off</x:v>
      </x:c>
      <x:c r="E4" s="2" t="str">
        <x:v>BUS001</x:v>
      </x:c>
      <x:c r="F4" s="2" t="str">
        <x:v>R1</x:v>
      </x:c>
      <x:c r="G4" s="2" t="str">
        <x:v>D001</x:v>
      </x:c>
      <x:c r="H4" s="2" t="str">
        <x:v>S001</x:v>
      </x:c>
      <x:c r="I4" s="2" t="str">
        <x:v>C001</x:v>
      </x:c>
      <x:c r="J4" s="8" t="n">
        <x:v>46299.57291666667</x:v>
      </x:c>
      <x:c r="K4" s="8" t="n">
        <x:v>46299.60416666667</x:v>
      </x:c>
      <x:c r="L4" s="8" t="n">
        <x:v>46299.57291666667</x:v>
      </x:c>
      <x:c r="M4" s="2" t="str">
        <x:v>SCH01</x:v>
      </x:c>
      <x:c r="N4" s="9" t="n">
        <x:v>25.285</x:v>
      </x:c>
      <x:c r="O4" s="9" t="n">
        <x:v>51.51</x:v>
      </x:c>
      <x:c r="P4" s="8" t="n">
        <x:v>46299.603472222225</x:v>
      </x:c>
      <x:c r="Q4" s="2" t="str">
        <x:v>SCH01</x:v>
      </x:c>
      <x:c r="R4" s="9" t="n">
        <x:v>25.285</x:v>
      </x:c>
      <x:c r="S4" s="9" t="n">
        <x:v>51.51</x:v>
      </x:c>
      <x:c r="T4" s="2" t="str">
        <x:v>Completed</x:v>
      </x:c>
      <x:c r="U4" s="2" t="str">
        <x:v>Synced</x:v>
      </x:c>
      <x:c r="V4" s="8" t="n">
        <x:v>46299.603125</x:v>
      </x:c>
      <x:c r="W4" s="2" t="str">
        <x:v>C001</x:v>
      </x:c>
      <x:c r="X4" s="2" t="str">
        <x:v>Confirmed</x:v>
      </x:c>
      <x:c r="Y4" s="2" t="n">
        <x:v>40</x:v>
      </x:c>
      <x:c r="Z4" s="2" t="n">
        <x:v>10</x:v>
      </x:c>
      <x:c r="AA4" s="11" t="n">
        <x:f>COUNTIFS('StudentTrips'!$B$2:$B$1201,A4)</x:f>
        <x:v>10</x:v>
      </x:c>
      <x:c r="AB4" s="11" t="n">
        <x:f>COUNTIFS('StudentTrips'!$B$2:$B$1201,A4,'StudentTrips'!$K$2:$K$1201,"&gt;0")</x:f>
        <x:v>10</x:v>
      </x:c>
      <x:c r="AC4" s="11" t="n">
        <x:f>COUNTIFS('StudentTrips'!$B$2:$B$1201,A4,'StudentTrips'!$Q$2:$Q$1201,"&gt;0")</x:f>
        <x:v>10</x:v>
      </x:c>
      <x:c r="AD4" s="11" t="n">
        <x:f>AB4-AC4</x:f>
        <x:v>0</x:v>
      </x:c>
      <x:c r="AE4" s="11" t="n">
        <x:f>COUNTIFS('StudentTrips'!$B$2:$B$1201,A4,'StudentTrips'!$W$2:$W$1201,"Declared absent")</x:f>
        <x:v>0</x:v>
      </x:c>
      <x:c r="AF4" s="11" t="n">
        <x:f>COUNTIFS('StudentTrips'!$B$2:$B$1201,A4,'StudentTrips'!$W$2:$W$1201,"No show")</x:f>
        <x:v>0</x:v>
      </x:c>
      <x:c r="AG4" s="11" t="n">
        <x:f>COUNTIFS('StudentTrips'!$B$2:$B$1201,A4,'StudentTrips'!$W$2:$W$1201,"Cancelled transport")</x:f>
        <x:v>0</x:v>
      </x:c>
    </x:row>
    <x:row r="5" ht="21" customHeight="1">
      <x:c r="A5" s="2" t="str">
        <x:v>T20261004-4-1</x:v>
      </x:c>
      <x:c r="B5" s="7" t="n">
        <x:v>46299</x:v>
      </x:c>
      <x:c r="C5" s="2" t="n">
        <x:v>4</x:v>
      </x:c>
      <x:c r="D5" s="2" t="str">
        <x:v>Batch 2 Junior drop-off</x:v>
      </x:c>
      <x:c r="E5" s="2" t="str">
        <x:v>BUS001</x:v>
      </x:c>
      <x:c r="F5" s="2" t="str">
        <x:v>R1</x:v>
      </x:c>
      <x:c r="G5" s="2" t="str">
        <x:v>D001</x:v>
      </x:c>
      <x:c r="H5" s="2" t="str">
        <x:v>S001</x:v>
      </x:c>
      <x:c r="I5" s="2" t="str">
        <x:v>C001</x:v>
      </x:c>
      <x:c r="J5" s="8" t="n">
        <x:v>46299.60416666667</x:v>
      </x:c>
      <x:c r="K5" s="8" t="n">
        <x:v>46299.64583333333</x:v>
      </x:c>
      <x:c r="L5" s="8" t="n">
        <x:v>46299.60416666667</x:v>
      </x:c>
      <x:c r="M5" s="2" t="str">
        <x:v>SCH01</x:v>
      </x:c>
      <x:c r="N5" s="9" t="n">
        <x:v>25.285</x:v>
      </x:c>
      <x:c r="O5" s="9" t="n">
        <x:v>51.51</x:v>
      </x:c>
      <x:c r="P5" s="8" t="n">
        <x:v>46299.64583333333</x:v>
      </x:c>
      <x:c r="Q5" s="2" t="str">
        <x:v>DEP01</x:v>
      </x:c>
      <x:c r="R5" s="9" t="n">
        <x:v>25.276</x:v>
      </x:c>
      <x:c r="S5" s="9" t="n">
        <x:v>51.498</x:v>
      </x:c>
      <x:c r="T5" s="2" t="str">
        <x:v>Completed</x:v>
      </x:c>
      <x:c r="U5" s="2" t="str">
        <x:v>Synced</x:v>
      </x:c>
      <x:c r="V5" s="8" t="n">
        <x:v>46299.645486111105</x:v>
      </x:c>
      <x:c r="W5" s="2" t="str">
        <x:v>C001</x:v>
      </x:c>
      <x:c r="X5" s="2" t="str">
        <x:v>Confirmed</x:v>
      </x:c>
      <x:c r="Y5" s="2" t="n">
        <x:v>40</x:v>
      </x:c>
      <x:c r="Z5" s="2" t="n">
        <x:v>10</x:v>
      </x:c>
      <x:c r="AA5" s="11" t="n">
        <x:f>COUNTIFS('StudentTrips'!$B$2:$B$1201,A5)</x:f>
        <x:v>10</x:v>
      </x:c>
      <x:c r="AB5" s="11" t="n">
        <x:f>COUNTIFS('StudentTrips'!$B$2:$B$1201,A5,'StudentTrips'!$K$2:$K$1201,"&gt;0")</x:f>
        <x:v>10</x:v>
      </x:c>
      <x:c r="AC5" s="11" t="n">
        <x:f>COUNTIFS('StudentTrips'!$B$2:$B$1201,A5,'StudentTrips'!$Q$2:$Q$1201,"&gt;0")</x:f>
        <x:v>10</x:v>
      </x:c>
      <x:c r="AD5" s="11" t="n">
        <x:f>AB5-AC5</x:f>
        <x:v>0</x:v>
      </x:c>
      <x:c r="AE5" s="11" t="n">
        <x:f>COUNTIFS('StudentTrips'!$B$2:$B$1201,A5,'StudentTrips'!$W$2:$W$1201,"Declared absent")</x:f>
        <x:v>0</x:v>
      </x:c>
      <x:c r="AF5" s="11" t="n">
        <x:f>COUNTIFS('StudentTrips'!$B$2:$B$1201,A5,'StudentTrips'!$W$2:$W$1201,"No show")</x:f>
        <x:v>0</x:v>
      </x:c>
      <x:c r="AG5" s="11" t="n">
        <x:f>COUNTIFS('StudentTrips'!$B$2:$B$1201,A5,'StudentTrips'!$W$2:$W$1201,"Cancelled transport")</x:f>
        <x:v>0</x:v>
      </x:c>
    </x:row>
    <x:row r="6" ht="21" customHeight="1">
      <x:c r="A6" s="2" t="str">
        <x:v>T20261004-5-1</x:v>
      </x:c>
      <x:c r="B6" s="7" t="n">
        <x:v>46299</x:v>
      </x:c>
      <x:c r="C6" s="2" t="n">
        <x:v>5</x:v>
      </x:c>
      <x:c r="D6" s="2" t="str">
        <x:v>Batch 2 Senior drop-off</x:v>
      </x:c>
      <x:c r="E6" s="2" t="str">
        <x:v>BUS001</x:v>
      </x:c>
      <x:c r="F6" s="2" t="str">
        <x:v>R1</x:v>
      </x:c>
      <x:c r="G6" s="2" t="str">
        <x:v>D001</x:v>
      </x:c>
      <x:c r="H6" s="2" t="str">
        <x:v>S001</x:v>
      </x:c>
      <x:c r="I6" s="2" t="str">
        <x:v>C001</x:v>
      </x:c>
      <x:c r="J6" s="8" t="n">
        <x:v>46299.70833333333</x:v>
      </x:c>
      <x:c r="K6" s="8" t="n">
        <x:v>46299.75</x:v>
      </x:c>
      <x:c r="L6" s="8" t="n">
        <x:v>46299.70833333333</x:v>
      </x:c>
      <x:c r="M6" s="2" t="str">
        <x:v>SCH01</x:v>
      </x:c>
      <x:c r="N6" s="9" t="n">
        <x:v>25.285</x:v>
      </x:c>
      <x:c r="O6" s="9" t="n">
        <x:v>51.51</x:v>
      </x:c>
      <x:c r="P6" s="8" t="n">
        <x:v>46299.75</x:v>
      </x:c>
      <x:c r="Q6" s="2" t="str">
        <x:v>DEP01</x:v>
      </x:c>
      <x:c r="R6" s="9" t="n">
        <x:v>25.276</x:v>
      </x:c>
      <x:c r="S6" s="9" t="n">
        <x:v>51.498</x:v>
      </x:c>
      <x:c r="T6" s="2" t="str">
        <x:v>Completed</x:v>
      </x:c>
      <x:c r="U6" s="2" t="str">
        <x:v>Synced</x:v>
      </x:c>
      <x:c r="V6" s="8" t="n">
        <x:v>46299.74965277778</x:v>
      </x:c>
      <x:c r="W6" s="2" t="str">
        <x:v>C001</x:v>
      </x:c>
      <x:c r="X6" s="2" t="str">
        <x:v>Confirmed</x:v>
      </x:c>
      <x:c r="Y6" s="2" t="n">
        <x:v>40</x:v>
      </x:c>
      <x:c r="Z6" s="2" t="n">
        <x:v>10</x:v>
      </x:c>
      <x:c r="AA6" s="11" t="n">
        <x:f>COUNTIFS('StudentTrips'!$B$2:$B$1201,A6)</x:f>
        <x:v>10</x:v>
      </x:c>
      <x:c r="AB6" s="11" t="n">
        <x:f>COUNTIFS('StudentTrips'!$B$2:$B$1201,A6,'StudentTrips'!$K$2:$K$1201,"&gt;0")</x:f>
        <x:v>10</x:v>
      </x:c>
      <x:c r="AC6" s="11" t="n">
        <x:f>COUNTIFS('StudentTrips'!$B$2:$B$1201,A6,'StudentTrips'!$Q$2:$Q$1201,"&gt;0")</x:f>
        <x:v>10</x:v>
      </x:c>
      <x:c r="AD6" s="11" t="n">
        <x:f>AB6-AC6</x:f>
        <x:v>0</x:v>
      </x:c>
      <x:c r="AE6" s="11" t="n">
        <x:f>COUNTIFS('StudentTrips'!$B$2:$B$1201,A6,'StudentTrips'!$W$2:$W$1201,"Declared absent")</x:f>
        <x:v>0</x:v>
      </x:c>
      <x:c r="AF6" s="11" t="n">
        <x:f>COUNTIFS('StudentTrips'!$B$2:$B$1201,A6,'StudentTrips'!$W$2:$W$1201,"No show")</x:f>
        <x:v>0</x:v>
      </x:c>
      <x:c r="AG6" s="11" t="n">
        <x:f>COUNTIFS('StudentTrips'!$B$2:$B$1201,A6,'StudentTrips'!$W$2:$W$1201,"Cancelled transport")</x:f>
        <x:v>0</x:v>
      </x:c>
    </x:row>
    <x:row r="7" ht="21" customHeight="1">
      <x:c r="A7" s="2" t="str">
        <x:v>T20261004-1-2</x:v>
      </x:c>
      <x:c r="B7" s="7" t="n">
        <x:v>46299</x:v>
      </x:c>
      <x:c r="C7" s="2" t="n">
        <x:v>1</x:v>
      </x:c>
      <x:c r="D7" s="2" t="str">
        <x:v>Batch 1 Junior and Senior pickup</x:v>
      </x:c>
      <x:c r="E7" s="2" t="str">
        <x:v>BUS002</x:v>
      </x:c>
      <x:c r="F7" s="2" t="str">
        <x:v>R2</x:v>
      </x:c>
      <x:c r="G7" s="2" t="str">
        <x:v>D002</x:v>
      </x:c>
      <x:c r="H7" s="2" t="str">
        <x:v>S002</x:v>
      </x:c>
      <x:c r="I7" s="2" t="str">
        <x:v>C002</x:v>
      </x:c>
      <x:c r="J7" s="8" t="n">
        <x:v>46299.22916666667</x:v>
      </x:c>
      <x:c r="K7" s="8" t="n">
        <x:v>46299.28125</x:v>
      </x:c>
      <x:c r="L7" s="8" t="n">
        <x:v>46299.22916666667</x:v>
      </x:c>
      <x:c r="M7" s="2" t="str">
        <x:v>DEP01</x:v>
      </x:c>
      <x:c r="N7" s="9" t="n">
        <x:v>25.276</x:v>
      </x:c>
      <x:c r="O7" s="9" t="n">
        <x:v>51.498</x:v>
      </x:c>
      <x:c r="P7" s="8" t="n">
        <x:v>46299.28125</x:v>
      </x:c>
      <x:c r="Q7" s="2" t="str">
        <x:v>SCH01</x:v>
      </x:c>
      <x:c r="R7" s="9" t="n">
        <x:v>25.285</x:v>
      </x:c>
      <x:c r="S7" s="9" t="n">
        <x:v>51.51</x:v>
      </x:c>
      <x:c r="T7" s="2" t="str">
        <x:v>Completed</x:v>
      </x:c>
      <x:c r="U7" s="2" t="str">
        <x:v>Synced</x:v>
      </x:c>
      <x:c r="V7" s="8" t="n">
        <x:v>46299.28090277778</x:v>
      </x:c>
      <x:c r="W7" s="2" t="str">
        <x:v>C002</x:v>
      </x:c>
      <x:c r="X7" s="2" t="str">
        <x:v>Confirmed</x:v>
      </x:c>
      <x:c r="Y7" s="2" t="n">
        <x:v>40</x:v>
      </x:c>
      <x:c r="Z7" s="2" t="n">
        <x:v>20</x:v>
      </x:c>
      <x:c r="AA7" s="11" t="n">
        <x:f>COUNTIFS('StudentTrips'!$B$2:$B$1201,A7)</x:f>
        <x:v>20</x:v>
      </x:c>
      <x:c r="AB7" s="11" t="n">
        <x:f>COUNTIFS('StudentTrips'!$B$2:$B$1201,A7,'StudentTrips'!$K$2:$K$1201,"&gt;0")</x:f>
        <x:v>20</x:v>
      </x:c>
      <x:c r="AC7" s="11" t="n">
        <x:f>COUNTIFS('StudentTrips'!$B$2:$B$1201,A7,'StudentTrips'!$Q$2:$Q$1201,"&gt;0")</x:f>
        <x:v>20</x:v>
      </x:c>
      <x:c r="AD7" s="11" t="n">
        <x:f>AB7-AC7</x:f>
        <x:v>0</x:v>
      </x:c>
      <x:c r="AE7" s="11" t="n">
        <x:f>COUNTIFS('StudentTrips'!$B$2:$B$1201,A7,'StudentTrips'!$W$2:$W$1201,"Declared absent")</x:f>
        <x:v>0</x:v>
      </x:c>
      <x:c r="AF7" s="11" t="n">
        <x:f>COUNTIFS('StudentTrips'!$B$2:$B$1201,A7,'StudentTrips'!$W$2:$W$1201,"No show")</x:f>
        <x:v>0</x:v>
      </x:c>
      <x:c r="AG7" s="11" t="n">
        <x:f>COUNTIFS('StudentTrips'!$B$2:$B$1201,A7,'StudentTrips'!$W$2:$W$1201,"Cancelled transport")</x:f>
        <x:v>0</x:v>
      </x:c>
    </x:row>
    <x:row r="8" ht="21" customHeight="1">
      <x:c r="A8" s="2" t="str">
        <x:v>T20261004-2-2</x:v>
      </x:c>
      <x:c r="B8" s="7" t="n">
        <x:v>46299</x:v>
      </x:c>
      <x:c r="C8" s="2" t="n">
        <x:v>2</x:v>
      </x:c>
      <x:c r="D8" s="2" t="str">
        <x:v>Batch 1 Junior drop-off + Batch 2 Junior and Senior pickup</x:v>
      </x:c>
      <x:c r="E8" s="2" t="str">
        <x:v>BUS002</x:v>
      </x:c>
      <x:c r="F8" s="2" t="str">
        <x:v>R2</x:v>
      </x:c>
      <x:c r="G8" s="2" t="str">
        <x:v>D002</x:v>
      </x:c>
      <x:c r="H8" s="2" t="str">
        <x:v>S002</x:v>
      </x:c>
      <x:c r="I8" s="2" t="str">
        <x:v>C002</x:v>
      </x:c>
      <x:c r="J8" s="8" t="n">
        <x:v>46299.4375</x:v>
      </x:c>
      <x:c r="K8" s="8" t="n">
        <x:v>46299.51041666667</x:v>
      </x:c>
      <x:c r="L8" s="8" t="n">
        <x:v>46299.4375</x:v>
      </x:c>
      <x:c r="M8" s="2" t="str">
        <x:v>SCH01</x:v>
      </x:c>
      <x:c r="N8" s="9" t="n">
        <x:v>25.285</x:v>
      </x:c>
      <x:c r="O8" s="9" t="n">
        <x:v>51.51</x:v>
      </x:c>
      <x:c r="P8" s="8" t="n">
        <x:v>46299.51041666667</x:v>
      </x:c>
      <x:c r="Q8" s="2" t="str">
        <x:v>SCH01</x:v>
      </x:c>
      <x:c r="R8" s="9" t="n">
        <x:v>25.285</x:v>
      </x:c>
      <x:c r="S8" s="9" t="n">
        <x:v>51.51</x:v>
      </x:c>
      <x:c r="T8" s="2" t="str">
        <x:v>Completed</x:v>
      </x:c>
      <x:c r="U8" s="2" t="str">
        <x:v>Synced</x:v>
      </x:c>
      <x:c r="V8" s="8" t="n">
        <x:v>46299.51006944445</x:v>
      </x:c>
      <x:c r="W8" s="2" t="str">
        <x:v>C002</x:v>
      </x:c>
      <x:c r="X8" s="2" t="str">
        <x:v>Confirmed</x:v>
      </x:c>
      <x:c r="Y8" s="2" t="n">
        <x:v>40</x:v>
      </x:c>
      <x:c r="Z8" s="2" t="n">
        <x:v>20</x:v>
      </x:c>
      <x:c r="AA8" s="11" t="n">
        <x:f>COUNTIFS('StudentTrips'!$B$2:$B$1201,A8)</x:f>
        <x:v>30</x:v>
      </x:c>
      <x:c r="AB8" s="11" t="n">
        <x:f>COUNTIFS('StudentTrips'!$B$2:$B$1201,A8,'StudentTrips'!$K$2:$K$1201,"&gt;0")</x:f>
        <x:v>30</x:v>
      </x:c>
      <x:c r="AC8" s="11" t="n">
        <x:f>COUNTIFS('StudentTrips'!$B$2:$B$1201,A8,'StudentTrips'!$Q$2:$Q$1201,"&gt;0")</x:f>
        <x:v>30</x:v>
      </x:c>
      <x:c r="AD8" s="11" t="n">
        <x:f>AB8-AC8</x:f>
        <x:v>0</x:v>
      </x:c>
      <x:c r="AE8" s="11" t="n">
        <x:f>COUNTIFS('StudentTrips'!$B$2:$B$1201,A8,'StudentTrips'!$W$2:$W$1201,"Declared absent")</x:f>
        <x:v>0</x:v>
      </x:c>
      <x:c r="AF8" s="11" t="n">
        <x:f>COUNTIFS('StudentTrips'!$B$2:$B$1201,A8,'StudentTrips'!$W$2:$W$1201,"No show")</x:f>
        <x:v>0</x:v>
      </x:c>
      <x:c r="AG8" s="11" t="n">
        <x:f>COUNTIFS('StudentTrips'!$B$2:$B$1201,A8,'StudentTrips'!$W$2:$W$1201,"Cancelled transport")</x:f>
        <x:v>0</x:v>
      </x:c>
    </x:row>
    <x:row r="9" ht="21" customHeight="1">
      <x:c r="A9" s="2" t="str">
        <x:v>T20261004-3-2</x:v>
      </x:c>
      <x:c r="B9" s="7" t="n">
        <x:v>46299</x:v>
      </x:c>
      <x:c r="C9" s="2" t="n">
        <x:v>3</x:v>
      </x:c>
      <x:c r="D9" s="2" t="str">
        <x:v>Batch 1 Senior drop-off</x:v>
      </x:c>
      <x:c r="E9" s="2" t="str">
        <x:v>BUS002</x:v>
      </x:c>
      <x:c r="F9" s="2" t="str">
        <x:v>R2</x:v>
      </x:c>
      <x:c r="G9" s="2" t="str">
        <x:v>D002</x:v>
      </x:c>
      <x:c r="H9" s="2" t="str">
        <x:v>S002</x:v>
      </x:c>
      <x:c r="I9" s="2" t="str">
        <x:v>C002</x:v>
      </x:c>
      <x:c r="J9" s="8" t="n">
        <x:v>46299.57291666667</x:v>
      </x:c>
      <x:c r="K9" s="8" t="n">
        <x:v>46299.60416666667</x:v>
      </x:c>
      <x:c r="L9" s="8" t="n">
        <x:v>46299.57291666667</x:v>
      </x:c>
      <x:c r="M9" s="2" t="str">
        <x:v>SCH01</x:v>
      </x:c>
      <x:c r="N9" s="9" t="n">
        <x:v>25.285</x:v>
      </x:c>
      <x:c r="O9" s="9" t="n">
        <x:v>51.51</x:v>
      </x:c>
      <x:c r="P9" s="8" t="n">
        <x:v>46299.603472222225</x:v>
      </x:c>
      <x:c r="Q9" s="2" t="str">
        <x:v>SCH01</x:v>
      </x:c>
      <x:c r="R9" s="9" t="n">
        <x:v>25.285</x:v>
      </x:c>
      <x:c r="S9" s="9" t="n">
        <x:v>51.51</x:v>
      </x:c>
      <x:c r="T9" s="2" t="str">
        <x:v>Completed</x:v>
      </x:c>
      <x:c r="U9" s="2" t="str">
        <x:v>Synced</x:v>
      </x:c>
      <x:c r="V9" s="8" t="n">
        <x:v>46299.603125</x:v>
      </x:c>
      <x:c r="W9" s="2" t="str">
        <x:v>C002</x:v>
      </x:c>
      <x:c r="X9" s="2" t="str">
        <x:v>Confirmed</x:v>
      </x:c>
      <x:c r="Y9" s="2" t="n">
        <x:v>40</x:v>
      </x:c>
      <x:c r="Z9" s="2" t="n">
        <x:v>10</x:v>
      </x:c>
      <x:c r="AA9" s="11" t="n">
        <x:f>COUNTIFS('StudentTrips'!$B$2:$B$1201,A9)</x:f>
        <x:v>10</x:v>
      </x:c>
      <x:c r="AB9" s="11" t="n">
        <x:f>COUNTIFS('StudentTrips'!$B$2:$B$1201,A9,'StudentTrips'!$K$2:$K$1201,"&gt;0")</x:f>
        <x:v>10</x:v>
      </x:c>
      <x:c r="AC9" s="11" t="n">
        <x:f>COUNTIFS('StudentTrips'!$B$2:$B$1201,A9,'StudentTrips'!$Q$2:$Q$1201,"&gt;0")</x:f>
        <x:v>10</x:v>
      </x:c>
      <x:c r="AD9" s="11" t="n">
        <x:f>AB9-AC9</x:f>
        <x:v>0</x:v>
      </x:c>
      <x:c r="AE9" s="11" t="n">
        <x:f>COUNTIFS('StudentTrips'!$B$2:$B$1201,A9,'StudentTrips'!$W$2:$W$1201,"Declared absent")</x:f>
        <x:v>0</x:v>
      </x:c>
      <x:c r="AF9" s="11" t="n">
        <x:f>COUNTIFS('StudentTrips'!$B$2:$B$1201,A9,'StudentTrips'!$W$2:$W$1201,"No show")</x:f>
        <x:v>0</x:v>
      </x:c>
      <x:c r="AG9" s="11" t="n">
        <x:f>COUNTIFS('StudentTrips'!$B$2:$B$1201,A9,'StudentTrips'!$W$2:$W$1201,"Cancelled transport")</x:f>
        <x:v>0</x:v>
      </x:c>
    </x:row>
    <x:row r="10" ht="21" customHeight="1">
      <x:c r="A10" s="2" t="str">
        <x:v>T20261004-4-2</x:v>
      </x:c>
      <x:c r="B10" s="7" t="n">
        <x:v>46299</x:v>
      </x:c>
      <x:c r="C10" s="2" t="n">
        <x:v>4</x:v>
      </x:c>
      <x:c r="D10" s="2" t="str">
        <x:v>Batch 2 Junior drop-off</x:v>
      </x:c>
      <x:c r="E10" s="2" t="str">
        <x:v>BUS002</x:v>
      </x:c>
      <x:c r="F10" s="2" t="str">
        <x:v>R2</x:v>
      </x:c>
      <x:c r="G10" s="2" t="str">
        <x:v>D002</x:v>
      </x:c>
      <x:c r="H10" s="2" t="str">
        <x:v>S002</x:v>
      </x:c>
      <x:c r="I10" s="2" t="str">
        <x:v>C002</x:v>
      </x:c>
      <x:c r="J10" s="8" t="n">
        <x:v>46299.60416666667</x:v>
      </x:c>
      <x:c r="K10" s="8" t="n">
        <x:v>46299.64583333333</x:v>
      </x:c>
      <x:c r="L10" s="8" t="n">
        <x:v>46299.60416666667</x:v>
      </x:c>
      <x:c r="M10" s="2" t="str">
        <x:v>SCH01</x:v>
      </x:c>
      <x:c r="N10" s="9" t="n">
        <x:v>25.285</x:v>
      </x:c>
      <x:c r="O10" s="9" t="n">
        <x:v>51.51</x:v>
      </x:c>
      <x:c r="P10" s="8" t="n">
        <x:v>46299.64583333333</x:v>
      </x:c>
      <x:c r="Q10" s="2" t="str">
        <x:v>DEP01</x:v>
      </x:c>
      <x:c r="R10" s="9" t="n">
        <x:v>25.276</x:v>
      </x:c>
      <x:c r="S10" s="9" t="n">
        <x:v>51.498</x:v>
      </x:c>
      <x:c r="T10" s="2" t="str">
        <x:v>Completed</x:v>
      </x:c>
      <x:c r="U10" s="2" t="str">
        <x:v>Synced</x:v>
      </x:c>
      <x:c r="V10" s="8" t="n">
        <x:v>46299.645486111105</x:v>
      </x:c>
      <x:c r="W10" s="2" t="str">
        <x:v>C002</x:v>
      </x:c>
      <x:c r="X10" s="2" t="str">
        <x:v>Confirmed</x:v>
      </x:c>
      <x:c r="Y10" s="2" t="n">
        <x:v>40</x:v>
      </x:c>
      <x:c r="Z10" s="2" t="n">
        <x:v>10</x:v>
      </x:c>
      <x:c r="AA10" s="11" t="n">
        <x:f>COUNTIFS('StudentTrips'!$B$2:$B$1201,A10)</x:f>
        <x:v>10</x:v>
      </x:c>
      <x:c r="AB10" s="11" t="n">
        <x:f>COUNTIFS('StudentTrips'!$B$2:$B$1201,A10,'StudentTrips'!$K$2:$K$1201,"&gt;0")</x:f>
        <x:v>10</x:v>
      </x:c>
      <x:c r="AC10" s="11" t="n">
        <x:f>COUNTIFS('StudentTrips'!$B$2:$B$1201,A10,'StudentTrips'!$Q$2:$Q$1201,"&gt;0")</x:f>
        <x:v>10</x:v>
      </x:c>
      <x:c r="AD10" s="11" t="n">
        <x:f>AB10-AC10</x:f>
        <x:v>0</x:v>
      </x:c>
      <x:c r="AE10" s="11" t="n">
        <x:f>COUNTIFS('StudentTrips'!$B$2:$B$1201,A10,'StudentTrips'!$W$2:$W$1201,"Declared absent")</x:f>
        <x:v>0</x:v>
      </x:c>
      <x:c r="AF10" s="11" t="n">
        <x:f>COUNTIFS('StudentTrips'!$B$2:$B$1201,A10,'StudentTrips'!$W$2:$W$1201,"No show")</x:f>
        <x:v>0</x:v>
      </x:c>
      <x:c r="AG10" s="11" t="n">
        <x:f>COUNTIFS('StudentTrips'!$B$2:$B$1201,A10,'StudentTrips'!$W$2:$W$1201,"Cancelled transport")</x:f>
        <x:v>0</x:v>
      </x:c>
    </x:row>
    <x:row r="11" ht="21" customHeight="1">
      <x:c r="A11" s="2" t="str">
        <x:v>T20261004-5-2</x:v>
      </x:c>
      <x:c r="B11" s="7" t="n">
        <x:v>46299</x:v>
      </x:c>
      <x:c r="C11" s="2" t="n">
        <x:v>5</x:v>
      </x:c>
      <x:c r="D11" s="2" t="str">
        <x:v>Batch 2 Senior drop-off</x:v>
      </x:c>
      <x:c r="E11" s="2" t="str">
        <x:v>BUS002</x:v>
      </x:c>
      <x:c r="F11" s="2" t="str">
        <x:v>R2</x:v>
      </x:c>
      <x:c r="G11" s="2" t="str">
        <x:v>D002</x:v>
      </x:c>
      <x:c r="H11" s="2" t="str">
        <x:v>S002</x:v>
      </x:c>
      <x:c r="I11" s="2" t="str">
        <x:v>C002</x:v>
      </x:c>
      <x:c r="J11" s="8" t="n">
        <x:v>46299.70833333333</x:v>
      </x:c>
      <x:c r="K11" s="8" t="n">
        <x:v>46299.75</x:v>
      </x:c>
      <x:c r="L11" s="8" t="n">
        <x:v>46299.70833333333</x:v>
      </x:c>
      <x:c r="M11" s="2" t="str">
        <x:v>SCH01</x:v>
      </x:c>
      <x:c r="N11" s="9" t="n">
        <x:v>25.285</x:v>
      </x:c>
      <x:c r="O11" s="9" t="n">
        <x:v>51.51</x:v>
      </x:c>
      <x:c r="P11" s="8" t="n">
        <x:v>46299.75</x:v>
      </x:c>
      <x:c r="Q11" s="2" t="str">
        <x:v>DEP01</x:v>
      </x:c>
      <x:c r="R11" s="9" t="n">
        <x:v>25.276</x:v>
      </x:c>
      <x:c r="S11" s="9" t="n">
        <x:v>51.498</x:v>
      </x:c>
      <x:c r="T11" s="2" t="str">
        <x:v>Completed</x:v>
      </x:c>
      <x:c r="U11" s="2" t="str">
        <x:v>Synced</x:v>
      </x:c>
      <x:c r="V11" s="8" t="n">
        <x:v>46299.74965277778</x:v>
      </x:c>
      <x:c r="W11" s="2" t="str">
        <x:v>C002</x:v>
      </x:c>
      <x:c r="X11" s="2" t="str">
        <x:v>Confirmed</x:v>
      </x:c>
      <x:c r="Y11" s="2" t="n">
        <x:v>40</x:v>
      </x:c>
      <x:c r="Z11" s="2" t="n">
        <x:v>10</x:v>
      </x:c>
      <x:c r="AA11" s="11" t="n">
        <x:f>COUNTIFS('StudentTrips'!$B$2:$B$1201,A11)</x:f>
        <x:v>10</x:v>
      </x:c>
      <x:c r="AB11" s="11" t="n">
        <x:f>COUNTIFS('StudentTrips'!$B$2:$B$1201,A11,'StudentTrips'!$K$2:$K$1201,"&gt;0")</x:f>
        <x:v>10</x:v>
      </x:c>
      <x:c r="AC11" s="11" t="n">
        <x:f>COUNTIFS('StudentTrips'!$B$2:$B$1201,A11,'StudentTrips'!$Q$2:$Q$1201,"&gt;0")</x:f>
        <x:v>10</x:v>
      </x:c>
      <x:c r="AD11" s="11" t="n">
        <x:f>AB11-AC11</x:f>
        <x:v>0</x:v>
      </x:c>
      <x:c r="AE11" s="11" t="n">
        <x:f>COUNTIFS('StudentTrips'!$B$2:$B$1201,A11,'StudentTrips'!$W$2:$W$1201,"Declared absent")</x:f>
        <x:v>0</x:v>
      </x:c>
      <x:c r="AF11" s="11" t="n">
        <x:f>COUNTIFS('StudentTrips'!$B$2:$B$1201,A11,'StudentTrips'!$W$2:$W$1201,"No show")</x:f>
        <x:v>0</x:v>
      </x:c>
      <x:c r="AG11" s="11" t="n">
        <x:f>COUNTIFS('StudentTrips'!$B$2:$B$1201,A11,'StudentTrips'!$W$2:$W$1201,"Cancelled transport")</x:f>
        <x:v>0</x:v>
      </x:c>
    </x:row>
    <x:row r="12" ht="21" customHeight="1">
      <x:c r="A12" s="2" t="str">
        <x:v>T20261004-1-3</x:v>
      </x:c>
      <x:c r="B12" s="7" t="n">
        <x:v>46299</x:v>
      </x:c>
      <x:c r="C12" s="2" t="n">
        <x:v>1</x:v>
      </x:c>
      <x:c r="D12" s="2" t="str">
        <x:v>Batch 1 Junior and Senior pickup</x:v>
      </x:c>
      <x:c r="E12" s="2" t="str">
        <x:v>BUS003</x:v>
      </x:c>
      <x:c r="F12" s="2" t="str">
        <x:v>R3</x:v>
      </x:c>
      <x:c r="G12" s="2" t="str">
        <x:v>D003</x:v>
      </x:c>
      <x:c r="H12" s="2" t="str">
        <x:v>S003</x:v>
      </x:c>
      <x:c r="I12" s="2" t="str">
        <x:v>C003</x:v>
      </x:c>
      <x:c r="J12" s="8" t="n">
        <x:v>46299.22916666667</x:v>
      </x:c>
      <x:c r="K12" s="8" t="n">
        <x:v>46299.28125</x:v>
      </x:c>
      <x:c r="L12" s="8" t="n">
        <x:v>46299.22916666667</x:v>
      </x:c>
      <x:c r="M12" s="2" t="str">
        <x:v>DEP01</x:v>
      </x:c>
      <x:c r="N12" s="9" t="n">
        <x:v>25.276</x:v>
      </x:c>
      <x:c r="O12" s="9" t="n">
        <x:v>51.498</x:v>
      </x:c>
      <x:c r="P12" s="8" t="n">
        <x:v>46299.28125</x:v>
      </x:c>
      <x:c r="Q12" s="2" t="str">
        <x:v>SCH01</x:v>
      </x:c>
      <x:c r="R12" s="9" t="n">
        <x:v>25.285</x:v>
      </x:c>
      <x:c r="S12" s="9" t="n">
        <x:v>51.51</x:v>
      </x:c>
      <x:c r="T12" s="2" t="str">
        <x:v>Completed</x:v>
      </x:c>
      <x:c r="U12" s="2" t="str">
        <x:v>Synced</x:v>
      </x:c>
      <x:c r="V12" s="8" t="n">
        <x:v>46299.28090277778</x:v>
      </x:c>
      <x:c r="W12" s="2" t="str">
        <x:v>C003</x:v>
      </x:c>
      <x:c r="X12" s="2" t="str">
        <x:v>Confirmed</x:v>
      </x:c>
      <x:c r="Y12" s="2" t="n">
        <x:v>40</x:v>
      </x:c>
      <x:c r="Z12" s="2" t="n">
        <x:v>20</x:v>
      </x:c>
      <x:c r="AA12" s="11" t="n">
        <x:f>COUNTIFS('StudentTrips'!$B$2:$B$1201,A12)</x:f>
        <x:v>20</x:v>
      </x:c>
      <x:c r="AB12" s="11" t="n">
        <x:f>COUNTIFS('StudentTrips'!$B$2:$B$1201,A12,'StudentTrips'!$K$2:$K$1201,"&gt;0")</x:f>
        <x:v>20</x:v>
      </x:c>
      <x:c r="AC12" s="11" t="n">
        <x:f>COUNTIFS('StudentTrips'!$B$2:$B$1201,A12,'StudentTrips'!$Q$2:$Q$1201,"&gt;0")</x:f>
        <x:v>20</x:v>
      </x:c>
      <x:c r="AD12" s="11" t="n">
        <x:f>AB12-AC12</x:f>
        <x:v>0</x:v>
      </x:c>
      <x:c r="AE12" s="11" t="n">
        <x:f>COUNTIFS('StudentTrips'!$B$2:$B$1201,A12,'StudentTrips'!$W$2:$W$1201,"Declared absent")</x:f>
        <x:v>0</x:v>
      </x:c>
      <x:c r="AF12" s="11" t="n">
        <x:f>COUNTIFS('StudentTrips'!$B$2:$B$1201,A12,'StudentTrips'!$W$2:$W$1201,"No show")</x:f>
        <x:v>0</x:v>
      </x:c>
      <x:c r="AG12" s="11" t="n">
        <x:f>COUNTIFS('StudentTrips'!$B$2:$B$1201,A12,'StudentTrips'!$W$2:$W$1201,"Cancelled transport")</x:f>
        <x:v>0</x:v>
      </x:c>
    </x:row>
    <x:row r="13" ht="21" customHeight="1">
      <x:c r="A13" s="2" t="str">
        <x:v>T20261004-2-3</x:v>
      </x:c>
      <x:c r="B13" s="7" t="n">
        <x:v>46299</x:v>
      </x:c>
      <x:c r="C13" s="2" t="n">
        <x:v>2</x:v>
      </x:c>
      <x:c r="D13" s="2" t="str">
        <x:v>Batch 1 Junior drop-off + Batch 2 Junior and Senior pickup</x:v>
      </x:c>
      <x:c r="E13" s="2" t="str">
        <x:v>BUS003</x:v>
      </x:c>
      <x:c r="F13" s="2" t="str">
        <x:v>R3</x:v>
      </x:c>
      <x:c r="G13" s="2" t="str">
        <x:v>D003</x:v>
      </x:c>
      <x:c r="H13" s="2" t="str">
        <x:v>S003</x:v>
      </x:c>
      <x:c r="I13" s="2" t="str">
        <x:v>C003</x:v>
      </x:c>
      <x:c r="J13" s="8" t="n">
        <x:v>46299.4375</x:v>
      </x:c>
      <x:c r="K13" s="8" t="n">
        <x:v>46299.51041666667</x:v>
      </x:c>
      <x:c r="L13" s="8" t="n">
        <x:v>46299.4375</x:v>
      </x:c>
      <x:c r="M13" s="2" t="str">
        <x:v>SCH01</x:v>
      </x:c>
      <x:c r="N13" s="9" t="n">
        <x:v>25.285</x:v>
      </x:c>
      <x:c r="O13" s="9" t="n">
        <x:v>51.51</x:v>
      </x:c>
      <x:c r="P13" s="8" t="n">
        <x:v>46299.51041666667</x:v>
      </x:c>
      <x:c r="Q13" s="2" t="str">
        <x:v>SCH01</x:v>
      </x:c>
      <x:c r="R13" s="9" t="n">
        <x:v>25.285</x:v>
      </x:c>
      <x:c r="S13" s="9" t="n">
        <x:v>51.51</x:v>
      </x:c>
      <x:c r="T13" s="2" t="str">
        <x:v>Completed</x:v>
      </x:c>
      <x:c r="U13" s="2" t="str">
        <x:v>Synced</x:v>
      </x:c>
      <x:c r="V13" s="8" t="n">
        <x:v>46299.51006944445</x:v>
      </x:c>
      <x:c r="W13" s="2" t="str">
        <x:v>C003</x:v>
      </x:c>
      <x:c r="X13" s="2" t="str">
        <x:v>Confirmed</x:v>
      </x:c>
      <x:c r="Y13" s="2" t="n">
        <x:v>40</x:v>
      </x:c>
      <x:c r="Z13" s="2" t="n">
        <x:v>20</x:v>
      </x:c>
      <x:c r="AA13" s="11" t="n">
        <x:f>COUNTIFS('StudentTrips'!$B$2:$B$1201,A13)</x:f>
        <x:v>30</x:v>
      </x:c>
      <x:c r="AB13" s="11" t="n">
        <x:f>COUNTIFS('StudentTrips'!$B$2:$B$1201,A13,'StudentTrips'!$K$2:$K$1201,"&gt;0")</x:f>
        <x:v>30</x:v>
      </x:c>
      <x:c r="AC13" s="11" t="n">
        <x:f>COUNTIFS('StudentTrips'!$B$2:$B$1201,A13,'StudentTrips'!$Q$2:$Q$1201,"&gt;0")</x:f>
        <x:v>30</x:v>
      </x:c>
      <x:c r="AD13" s="11" t="n">
        <x:f>AB13-AC13</x:f>
        <x:v>0</x:v>
      </x:c>
      <x:c r="AE13" s="11" t="n">
        <x:f>COUNTIFS('StudentTrips'!$B$2:$B$1201,A13,'StudentTrips'!$W$2:$W$1201,"Declared absent")</x:f>
        <x:v>0</x:v>
      </x:c>
      <x:c r="AF13" s="11" t="n">
        <x:f>COUNTIFS('StudentTrips'!$B$2:$B$1201,A13,'StudentTrips'!$W$2:$W$1201,"No show")</x:f>
        <x:v>0</x:v>
      </x:c>
      <x:c r="AG13" s="11" t="n">
        <x:f>COUNTIFS('StudentTrips'!$B$2:$B$1201,A13,'StudentTrips'!$W$2:$W$1201,"Cancelled transport")</x:f>
        <x:v>0</x:v>
      </x:c>
    </x:row>
    <x:row r="14" ht="21" customHeight="1">
      <x:c r="A14" s="2" t="str">
        <x:v>T20261004-3-3</x:v>
      </x:c>
      <x:c r="B14" s="7" t="n">
        <x:v>46299</x:v>
      </x:c>
      <x:c r="C14" s="2" t="n">
        <x:v>3</x:v>
      </x:c>
      <x:c r="D14" s="2" t="str">
        <x:v>Batch 1 Senior drop-off</x:v>
      </x:c>
      <x:c r="E14" s="2" t="str">
        <x:v>BUS003</x:v>
      </x:c>
      <x:c r="F14" s="2" t="str">
        <x:v>R3</x:v>
      </x:c>
      <x:c r="G14" s="2" t="str">
        <x:v>D003</x:v>
      </x:c>
      <x:c r="H14" s="2" t="str">
        <x:v>S003</x:v>
      </x:c>
      <x:c r="I14" s="2" t="str">
        <x:v>C003</x:v>
      </x:c>
      <x:c r="J14" s="8" t="n">
        <x:v>46299.57291666667</x:v>
      </x:c>
      <x:c r="K14" s="8" t="n">
        <x:v>46299.60416666667</x:v>
      </x:c>
      <x:c r="L14" s="8" t="n">
        <x:v>46299.57291666667</x:v>
      </x:c>
      <x:c r="M14" s="2" t="str">
        <x:v>SCH01</x:v>
      </x:c>
      <x:c r="N14" s="9" t="n">
        <x:v>25.285</x:v>
      </x:c>
      <x:c r="O14" s="9" t="n">
        <x:v>51.51</x:v>
      </x:c>
      <x:c r="P14" s="8" t="n">
        <x:v>46299.603472222225</x:v>
      </x:c>
      <x:c r="Q14" s="2" t="str">
        <x:v>SCH01</x:v>
      </x:c>
      <x:c r="R14" s="9" t="n">
        <x:v>25.285</x:v>
      </x:c>
      <x:c r="S14" s="9" t="n">
        <x:v>51.51</x:v>
      </x:c>
      <x:c r="T14" s="2" t="str">
        <x:v>Completed</x:v>
      </x:c>
      <x:c r="U14" s="2" t="str">
        <x:v>Synced</x:v>
      </x:c>
      <x:c r="V14" s="8" t="n">
        <x:v>46299.603125</x:v>
      </x:c>
      <x:c r="W14" s="2" t="str">
        <x:v>C003</x:v>
      </x:c>
      <x:c r="X14" s="2" t="str">
        <x:v>Confirmed</x:v>
      </x:c>
      <x:c r="Y14" s="2" t="n">
        <x:v>40</x:v>
      </x:c>
      <x:c r="Z14" s="2" t="n">
        <x:v>10</x:v>
      </x:c>
      <x:c r="AA14" s="11" t="n">
        <x:f>COUNTIFS('StudentTrips'!$B$2:$B$1201,A14)</x:f>
        <x:v>10</x:v>
      </x:c>
      <x:c r="AB14" s="11" t="n">
        <x:f>COUNTIFS('StudentTrips'!$B$2:$B$1201,A14,'StudentTrips'!$K$2:$K$1201,"&gt;0")</x:f>
        <x:v>10</x:v>
      </x:c>
      <x:c r="AC14" s="11" t="n">
        <x:f>COUNTIFS('StudentTrips'!$B$2:$B$1201,A14,'StudentTrips'!$Q$2:$Q$1201,"&gt;0")</x:f>
        <x:v>10</x:v>
      </x:c>
      <x:c r="AD14" s="11" t="n">
        <x:f>AB14-AC14</x:f>
        <x:v>0</x:v>
      </x:c>
      <x:c r="AE14" s="11" t="n">
        <x:f>COUNTIFS('StudentTrips'!$B$2:$B$1201,A14,'StudentTrips'!$W$2:$W$1201,"Declared absent")</x:f>
        <x:v>0</x:v>
      </x:c>
      <x:c r="AF14" s="11" t="n">
        <x:f>COUNTIFS('StudentTrips'!$B$2:$B$1201,A14,'StudentTrips'!$W$2:$W$1201,"No show")</x:f>
        <x:v>0</x:v>
      </x:c>
      <x:c r="AG14" s="11" t="n">
        <x:f>COUNTIFS('StudentTrips'!$B$2:$B$1201,A14,'StudentTrips'!$W$2:$W$1201,"Cancelled transport")</x:f>
        <x:v>0</x:v>
      </x:c>
    </x:row>
    <x:row r="15" ht="21" customHeight="1">
      <x:c r="A15" s="2" t="str">
        <x:v>T20261004-4-3</x:v>
      </x:c>
      <x:c r="B15" s="7" t="n">
        <x:v>46299</x:v>
      </x:c>
      <x:c r="C15" s="2" t="n">
        <x:v>4</x:v>
      </x:c>
      <x:c r="D15" s="2" t="str">
        <x:v>Batch 2 Junior drop-off</x:v>
      </x:c>
      <x:c r="E15" s="2" t="str">
        <x:v>BUS003</x:v>
      </x:c>
      <x:c r="F15" s="2" t="str">
        <x:v>R3</x:v>
      </x:c>
      <x:c r="G15" s="2" t="str">
        <x:v>D003</x:v>
      </x:c>
      <x:c r="H15" s="2" t="str">
        <x:v>S003</x:v>
      </x:c>
      <x:c r="I15" s="2" t="str">
        <x:v>C003</x:v>
      </x:c>
      <x:c r="J15" s="8" t="n">
        <x:v>46299.60416666667</x:v>
      </x:c>
      <x:c r="K15" s="8" t="n">
        <x:v>46299.64583333333</x:v>
      </x:c>
      <x:c r="L15" s="8" t="n">
        <x:v>46299.60416666667</x:v>
      </x:c>
      <x:c r="M15" s="2" t="str">
        <x:v>SCH01</x:v>
      </x:c>
      <x:c r="N15" s="9" t="n">
        <x:v>25.285</x:v>
      </x:c>
      <x:c r="O15" s="9" t="n">
        <x:v>51.51</x:v>
      </x:c>
      <x:c r="P15" s="8" t="n">
        <x:v>46299.64583333333</x:v>
      </x:c>
      <x:c r="Q15" s="2" t="str">
        <x:v>DEP01</x:v>
      </x:c>
      <x:c r="R15" s="9" t="n">
        <x:v>25.276</x:v>
      </x:c>
      <x:c r="S15" s="9" t="n">
        <x:v>51.498</x:v>
      </x:c>
      <x:c r="T15" s="2" t="str">
        <x:v>Completed</x:v>
      </x:c>
      <x:c r="U15" s="2" t="str">
        <x:v>Synced</x:v>
      </x:c>
      <x:c r="V15" s="8" t="n">
        <x:v>46299.645486111105</x:v>
      </x:c>
      <x:c r="W15" s="2" t="str">
        <x:v>C003</x:v>
      </x:c>
      <x:c r="X15" s="2" t="str">
        <x:v>Confirmed</x:v>
      </x:c>
      <x:c r="Y15" s="2" t="n">
        <x:v>40</x:v>
      </x:c>
      <x:c r="Z15" s="2" t="n">
        <x:v>10</x:v>
      </x:c>
      <x:c r="AA15" s="11" t="n">
        <x:f>COUNTIFS('StudentTrips'!$B$2:$B$1201,A15)</x:f>
        <x:v>10</x:v>
      </x:c>
      <x:c r="AB15" s="11" t="n">
        <x:f>COUNTIFS('StudentTrips'!$B$2:$B$1201,A15,'StudentTrips'!$K$2:$K$1201,"&gt;0")</x:f>
        <x:v>10</x:v>
      </x:c>
      <x:c r="AC15" s="11" t="n">
        <x:f>COUNTIFS('StudentTrips'!$B$2:$B$1201,A15,'StudentTrips'!$Q$2:$Q$1201,"&gt;0")</x:f>
        <x:v>10</x:v>
      </x:c>
      <x:c r="AD15" s="11" t="n">
        <x:f>AB15-AC15</x:f>
        <x:v>0</x:v>
      </x:c>
      <x:c r="AE15" s="11" t="n">
        <x:f>COUNTIFS('StudentTrips'!$B$2:$B$1201,A15,'StudentTrips'!$W$2:$W$1201,"Declared absent")</x:f>
        <x:v>0</x:v>
      </x:c>
      <x:c r="AF15" s="11" t="n">
        <x:f>COUNTIFS('StudentTrips'!$B$2:$B$1201,A15,'StudentTrips'!$W$2:$W$1201,"No show")</x:f>
        <x:v>0</x:v>
      </x:c>
      <x:c r="AG15" s="11" t="n">
        <x:f>COUNTIFS('StudentTrips'!$B$2:$B$1201,A15,'StudentTrips'!$W$2:$W$1201,"Cancelled transport")</x:f>
        <x:v>0</x:v>
      </x:c>
    </x:row>
    <x:row r="16" ht="21" customHeight="1">
      <x:c r="A16" s="2" t="str">
        <x:v>T20261004-5-3</x:v>
      </x:c>
      <x:c r="B16" s="7" t="n">
        <x:v>46299</x:v>
      </x:c>
      <x:c r="C16" s="2" t="n">
        <x:v>5</x:v>
      </x:c>
      <x:c r="D16" s="2" t="str">
        <x:v>Batch 2 Senior drop-off</x:v>
      </x:c>
      <x:c r="E16" s="2" t="str">
        <x:v>BUS003</x:v>
      </x:c>
      <x:c r="F16" s="2" t="str">
        <x:v>R3</x:v>
      </x:c>
      <x:c r="G16" s="2" t="str">
        <x:v>D003</x:v>
      </x:c>
      <x:c r="H16" s="2" t="str">
        <x:v>S003</x:v>
      </x:c>
      <x:c r="I16" s="2" t="str">
        <x:v>C003</x:v>
      </x:c>
      <x:c r="J16" s="8" t="n">
        <x:v>46299.70833333333</x:v>
      </x:c>
      <x:c r="K16" s="8" t="n">
        <x:v>46299.75</x:v>
      </x:c>
      <x:c r="L16" s="8" t="n">
        <x:v>46299.70833333333</x:v>
      </x:c>
      <x:c r="M16" s="2" t="str">
        <x:v>SCH01</x:v>
      </x:c>
      <x:c r="N16" s="9" t="n">
        <x:v>25.285</x:v>
      </x:c>
      <x:c r="O16" s="9" t="n">
        <x:v>51.51</x:v>
      </x:c>
      <x:c r="P16" s="8" t="n">
        <x:v>46299.75</x:v>
      </x:c>
      <x:c r="Q16" s="2" t="str">
        <x:v>DEP01</x:v>
      </x:c>
      <x:c r="R16" s="9" t="n">
        <x:v>25.276</x:v>
      </x:c>
      <x:c r="S16" s="9" t="n">
        <x:v>51.498</x:v>
      </x:c>
      <x:c r="T16" s="2" t="str">
        <x:v>Completed</x:v>
      </x:c>
      <x:c r="U16" s="2" t="str">
        <x:v>Synced</x:v>
      </x:c>
      <x:c r="V16" s="8" t="n">
        <x:v>46299.74965277778</x:v>
      </x:c>
      <x:c r="W16" s="2" t="str">
        <x:v>C003</x:v>
      </x:c>
      <x:c r="X16" s="2" t="str">
        <x:v>Confirmed</x:v>
      </x:c>
      <x:c r="Y16" s="2" t="n">
        <x:v>40</x:v>
      </x:c>
      <x:c r="Z16" s="2" t="n">
        <x:v>10</x:v>
      </x:c>
      <x:c r="AA16" s="11" t="n">
        <x:f>COUNTIFS('StudentTrips'!$B$2:$B$1201,A16)</x:f>
        <x:v>10</x:v>
      </x:c>
      <x:c r="AB16" s="11" t="n">
        <x:f>COUNTIFS('StudentTrips'!$B$2:$B$1201,A16,'StudentTrips'!$K$2:$K$1201,"&gt;0")</x:f>
        <x:v>10</x:v>
      </x:c>
      <x:c r="AC16" s="11" t="n">
        <x:f>COUNTIFS('StudentTrips'!$B$2:$B$1201,A16,'StudentTrips'!$Q$2:$Q$1201,"&gt;0")</x:f>
        <x:v>10</x:v>
      </x:c>
      <x:c r="AD16" s="11" t="n">
        <x:f>AB16-AC16</x:f>
        <x:v>0</x:v>
      </x:c>
      <x:c r="AE16" s="11" t="n">
        <x:f>COUNTIFS('StudentTrips'!$B$2:$B$1201,A16,'StudentTrips'!$W$2:$W$1201,"Declared absent")</x:f>
        <x:v>0</x:v>
      </x:c>
      <x:c r="AF16" s="11" t="n">
        <x:f>COUNTIFS('StudentTrips'!$B$2:$B$1201,A16,'StudentTrips'!$W$2:$W$1201,"No show")</x:f>
        <x:v>0</x:v>
      </x:c>
      <x:c r="AG16" s="11" t="n">
        <x:f>COUNTIFS('StudentTrips'!$B$2:$B$1201,A16,'StudentTrips'!$W$2:$W$1201,"Cancelled transport")</x:f>
        <x:v>0</x:v>
      </x:c>
    </x:row>
    <x:row r="17" ht="21" customHeight="1">
      <x:c r="A17" s="2" t="str">
        <x:v>T20261005-1-1</x:v>
      </x:c>
      <x:c r="B17" s="7" t="n">
        <x:v>46300</x:v>
      </x:c>
      <x:c r="C17" s="2" t="n">
        <x:v>1</x:v>
      </x:c>
      <x:c r="D17" s="2" t="str">
        <x:v>Batch 1 Junior and Senior pickup</x:v>
      </x:c>
      <x:c r="E17" s="2" t="str">
        <x:v>BUS001</x:v>
      </x:c>
      <x:c r="F17" s="2" t="str">
        <x:v>R1</x:v>
      </x:c>
      <x:c r="G17" s="2" t="str">
        <x:v>D001</x:v>
      </x:c>
      <x:c r="H17" s="2" t="str">
        <x:v>S001</x:v>
      </x:c>
      <x:c r="I17" s="2" t="str">
        <x:v>C001</x:v>
      </x:c>
      <x:c r="J17" s="8" t="n">
        <x:v>46300.22916666667</x:v>
      </x:c>
      <x:c r="K17" s="8" t="n">
        <x:v>46300.28125</x:v>
      </x:c>
      <x:c r="L17" s="8" t="n">
        <x:v>46300.22916666667</x:v>
      </x:c>
      <x:c r="M17" s="2" t="str">
        <x:v>DEP01</x:v>
      </x:c>
      <x:c r="N17" s="9" t="n">
        <x:v>25.276</x:v>
      </x:c>
      <x:c r="O17" s="9" t="n">
        <x:v>51.498</x:v>
      </x:c>
      <x:c r="P17" s="8" t="n">
        <x:v>46300.28125</x:v>
      </x:c>
      <x:c r="Q17" s="2" t="str">
        <x:v>SCH01</x:v>
      </x:c>
      <x:c r="R17" s="9" t="n">
        <x:v>25.285</x:v>
      </x:c>
      <x:c r="S17" s="9" t="n">
        <x:v>51.51</x:v>
      </x:c>
      <x:c r="T17" s="2" t="str">
        <x:v>Completed</x:v>
      </x:c>
      <x:c r="U17" s="2" t="str">
        <x:v>Synced</x:v>
      </x:c>
      <x:c r="V17" s="8" t="n">
        <x:v>46300.28090277778</x:v>
      </x:c>
      <x:c r="W17" s="2" t="str">
        <x:v>C001</x:v>
      </x:c>
      <x:c r="X17" s="2" t="str">
        <x:v>Confirmed</x:v>
      </x:c>
      <x:c r="Y17" s="2" t="n">
        <x:v>40</x:v>
      </x:c>
      <x:c r="Z17" s="2" t="n">
        <x:v>20</x:v>
      </x:c>
      <x:c r="AA17" s="11" t="n">
        <x:f>COUNTIFS('StudentTrips'!$B$2:$B$1201,A17)</x:f>
        <x:v>20</x:v>
      </x:c>
      <x:c r="AB17" s="11" t="n">
        <x:f>COUNTIFS('StudentTrips'!$B$2:$B$1201,A17,'StudentTrips'!$K$2:$K$1201,"&gt;0")</x:f>
        <x:v>20</x:v>
      </x:c>
      <x:c r="AC17" s="11" t="n">
        <x:f>COUNTIFS('StudentTrips'!$B$2:$B$1201,A17,'StudentTrips'!$Q$2:$Q$1201,"&gt;0")</x:f>
        <x:v>20</x:v>
      </x:c>
      <x:c r="AD17" s="11" t="n">
        <x:f>AB17-AC17</x:f>
        <x:v>0</x:v>
      </x:c>
      <x:c r="AE17" s="11" t="n">
        <x:f>COUNTIFS('StudentTrips'!$B$2:$B$1201,A17,'StudentTrips'!$W$2:$W$1201,"Declared absent")</x:f>
        <x:v>0</x:v>
      </x:c>
      <x:c r="AF17" s="11" t="n">
        <x:f>COUNTIFS('StudentTrips'!$B$2:$B$1201,A17,'StudentTrips'!$W$2:$W$1201,"No show")</x:f>
        <x:v>0</x:v>
      </x:c>
      <x:c r="AG17" s="11" t="n">
        <x:f>COUNTIFS('StudentTrips'!$B$2:$B$1201,A17,'StudentTrips'!$W$2:$W$1201,"Cancelled transport")</x:f>
        <x:v>0</x:v>
      </x:c>
    </x:row>
    <x:row r="18" ht="21" customHeight="1">
      <x:c r="A18" s="2" t="str">
        <x:v>T20261005-2-1</x:v>
      </x:c>
      <x:c r="B18" s="7" t="n">
        <x:v>46300</x:v>
      </x:c>
      <x:c r="C18" s="2" t="n">
        <x:v>2</x:v>
      </x:c>
      <x:c r="D18" s="2" t="str">
        <x:v>Batch 1 Junior drop-off + Batch 2 Junior and Senior pickup</x:v>
      </x:c>
      <x:c r="E18" s="2" t="str">
        <x:v>BUS001</x:v>
      </x:c>
      <x:c r="F18" s="2" t="str">
        <x:v>R1</x:v>
      </x:c>
      <x:c r="G18" s="2" t="str">
        <x:v>D001</x:v>
      </x:c>
      <x:c r="H18" s="2" t="str">
        <x:v>S001</x:v>
      </x:c>
      <x:c r="I18" s="2" t="str">
        <x:v>C001</x:v>
      </x:c>
      <x:c r="J18" s="8" t="n">
        <x:v>46300.4375</x:v>
      </x:c>
      <x:c r="K18" s="8" t="n">
        <x:v>46300.51041666667</x:v>
      </x:c>
      <x:c r="L18" s="8" t="n">
        <x:v>46300.4375</x:v>
      </x:c>
      <x:c r="M18" s="2" t="str">
        <x:v>SCH01</x:v>
      </x:c>
      <x:c r="N18" s="9" t="n">
        <x:v>25.285</x:v>
      </x:c>
      <x:c r="O18" s="9" t="n">
        <x:v>51.51</x:v>
      </x:c>
      <x:c r="P18" s="8" t="n">
        <x:v>46300.51041666667</x:v>
      </x:c>
      <x:c r="Q18" s="2" t="str">
        <x:v>SCH01</x:v>
      </x:c>
      <x:c r="R18" s="9" t="n">
        <x:v>25.285</x:v>
      </x:c>
      <x:c r="S18" s="9" t="n">
        <x:v>51.51</x:v>
      </x:c>
      <x:c r="T18" s="2" t="str">
        <x:v>Completed</x:v>
      </x:c>
      <x:c r="U18" s="2" t="str">
        <x:v>Synced</x:v>
      </x:c>
      <x:c r="V18" s="8" t="n">
        <x:v>46300.51006944445</x:v>
      </x:c>
      <x:c r="W18" s="2" t="str">
        <x:v>C001</x:v>
      </x:c>
      <x:c r="X18" s="2" t="str">
        <x:v>Confirmed</x:v>
      </x:c>
      <x:c r="Y18" s="2" t="n">
        <x:v>40</x:v>
      </x:c>
      <x:c r="Z18" s="2" t="n">
        <x:v>20</x:v>
      </x:c>
      <x:c r="AA18" s="11" t="n">
        <x:f>COUNTIFS('StudentTrips'!$B$2:$B$1201,A18)</x:f>
        <x:v>30</x:v>
      </x:c>
      <x:c r="AB18" s="11" t="n">
        <x:f>COUNTIFS('StudentTrips'!$B$2:$B$1201,A18,'StudentTrips'!$K$2:$K$1201,"&gt;0")</x:f>
        <x:v>30</x:v>
      </x:c>
      <x:c r="AC18" s="11" t="n">
        <x:f>COUNTIFS('StudentTrips'!$B$2:$B$1201,A18,'StudentTrips'!$Q$2:$Q$1201,"&gt;0")</x:f>
        <x:v>30</x:v>
      </x:c>
      <x:c r="AD18" s="11" t="n">
        <x:f>AB18-AC18</x:f>
        <x:v>0</x:v>
      </x:c>
      <x:c r="AE18" s="11" t="n">
        <x:f>COUNTIFS('StudentTrips'!$B$2:$B$1201,A18,'StudentTrips'!$W$2:$W$1201,"Declared absent")</x:f>
        <x:v>0</x:v>
      </x:c>
      <x:c r="AF18" s="11" t="n">
        <x:f>COUNTIFS('StudentTrips'!$B$2:$B$1201,A18,'StudentTrips'!$W$2:$W$1201,"No show")</x:f>
        <x:v>0</x:v>
      </x:c>
      <x:c r="AG18" s="11" t="n">
        <x:f>COUNTIFS('StudentTrips'!$B$2:$B$1201,A18,'StudentTrips'!$W$2:$W$1201,"Cancelled transport")</x:f>
        <x:v>0</x:v>
      </x:c>
    </x:row>
    <x:row r="19" ht="21" customHeight="1">
      <x:c r="A19" s="2" t="str">
        <x:v>T20261005-3-1</x:v>
      </x:c>
      <x:c r="B19" s="7" t="n">
        <x:v>46300</x:v>
      </x:c>
      <x:c r="C19" s="2" t="n">
        <x:v>3</x:v>
      </x:c>
      <x:c r="D19" s="2" t="str">
        <x:v>Batch 1 Senior drop-off</x:v>
      </x:c>
      <x:c r="E19" s="2" t="str">
        <x:v>BUS001</x:v>
      </x:c>
      <x:c r="F19" s="2" t="str">
        <x:v>R1</x:v>
      </x:c>
      <x:c r="G19" s="2" t="str">
        <x:v>D001</x:v>
      </x:c>
      <x:c r="H19" s="2" t="str">
        <x:v>S001</x:v>
      </x:c>
      <x:c r="I19" s="2" t="str">
        <x:v>C001</x:v>
      </x:c>
      <x:c r="J19" s="8" t="n">
        <x:v>46300.57291666667</x:v>
      </x:c>
      <x:c r="K19" s="8" t="n">
        <x:v>46300.60416666667</x:v>
      </x:c>
      <x:c r="L19" s="8" t="n">
        <x:v>46300.57291666667</x:v>
      </x:c>
      <x:c r="M19" s="2" t="str">
        <x:v>SCH01</x:v>
      </x:c>
      <x:c r="N19" s="9" t="n">
        <x:v>25.285</x:v>
      </x:c>
      <x:c r="O19" s="9" t="n">
        <x:v>51.51</x:v>
      </x:c>
      <x:c r="P19" s="8" t="n">
        <x:v>46300.603472222225</x:v>
      </x:c>
      <x:c r="Q19" s="2" t="str">
        <x:v>SCH01</x:v>
      </x:c>
      <x:c r="R19" s="9" t="n">
        <x:v>25.285</x:v>
      </x:c>
      <x:c r="S19" s="9" t="n">
        <x:v>51.51</x:v>
      </x:c>
      <x:c r="T19" s="2" t="str">
        <x:v>Completed</x:v>
      </x:c>
      <x:c r="U19" s="2" t="str">
        <x:v>Synced</x:v>
      </x:c>
      <x:c r="V19" s="8" t="n">
        <x:v>46300.603125</x:v>
      </x:c>
      <x:c r="W19" s="2" t="str">
        <x:v>C001</x:v>
      </x:c>
      <x:c r="X19" s="2" t="str">
        <x:v>Confirmed</x:v>
      </x:c>
      <x:c r="Y19" s="2" t="n">
        <x:v>40</x:v>
      </x:c>
      <x:c r="Z19" s="2" t="n">
        <x:v>10</x:v>
      </x:c>
      <x:c r="AA19" s="11" t="n">
        <x:f>COUNTIFS('StudentTrips'!$B$2:$B$1201,A19)</x:f>
        <x:v>10</x:v>
      </x:c>
      <x:c r="AB19" s="11" t="n">
        <x:f>COUNTIFS('StudentTrips'!$B$2:$B$1201,A19,'StudentTrips'!$K$2:$K$1201,"&gt;0")</x:f>
        <x:v>10</x:v>
      </x:c>
      <x:c r="AC19" s="11" t="n">
        <x:f>COUNTIFS('StudentTrips'!$B$2:$B$1201,A19,'StudentTrips'!$Q$2:$Q$1201,"&gt;0")</x:f>
        <x:v>10</x:v>
      </x:c>
      <x:c r="AD19" s="11" t="n">
        <x:f>AB19-AC19</x:f>
        <x:v>0</x:v>
      </x:c>
      <x:c r="AE19" s="11" t="n">
        <x:f>COUNTIFS('StudentTrips'!$B$2:$B$1201,A19,'StudentTrips'!$W$2:$W$1201,"Declared absent")</x:f>
        <x:v>0</x:v>
      </x:c>
      <x:c r="AF19" s="11" t="n">
        <x:f>COUNTIFS('StudentTrips'!$B$2:$B$1201,A19,'StudentTrips'!$W$2:$W$1201,"No show")</x:f>
        <x:v>0</x:v>
      </x:c>
      <x:c r="AG19" s="11" t="n">
        <x:f>COUNTIFS('StudentTrips'!$B$2:$B$1201,A19,'StudentTrips'!$W$2:$W$1201,"Cancelled transport")</x:f>
        <x:v>0</x:v>
      </x:c>
    </x:row>
    <x:row r="20" ht="21" customHeight="1">
      <x:c r="A20" s="2" t="str">
        <x:v>T20261005-4-1</x:v>
      </x:c>
      <x:c r="B20" s="7" t="n">
        <x:v>46300</x:v>
      </x:c>
      <x:c r="C20" s="2" t="n">
        <x:v>4</x:v>
      </x:c>
      <x:c r="D20" s="2" t="str">
        <x:v>Batch 2 Junior drop-off</x:v>
      </x:c>
      <x:c r="E20" s="2" t="str">
        <x:v>BUS001</x:v>
      </x:c>
      <x:c r="F20" s="2" t="str">
        <x:v>R1</x:v>
      </x:c>
      <x:c r="G20" s="2" t="str">
        <x:v>D001</x:v>
      </x:c>
      <x:c r="H20" s="2" t="str">
        <x:v>S001</x:v>
      </x:c>
      <x:c r="I20" s="2" t="str">
        <x:v>C001</x:v>
      </x:c>
      <x:c r="J20" s="8" t="n">
        <x:v>46300.60416666667</x:v>
      </x:c>
      <x:c r="K20" s="8" t="n">
        <x:v>46300.64583333333</x:v>
      </x:c>
      <x:c r="L20" s="8" t="n">
        <x:v>46300.60416666667</x:v>
      </x:c>
      <x:c r="M20" s="2" t="str">
        <x:v>SCH01</x:v>
      </x:c>
      <x:c r="N20" s="9" t="n">
        <x:v>25.285</x:v>
      </x:c>
      <x:c r="O20" s="9" t="n">
        <x:v>51.51</x:v>
      </x:c>
      <x:c r="P20" s="8" t="n">
        <x:v>46300.64583333333</x:v>
      </x:c>
      <x:c r="Q20" s="2" t="str">
        <x:v>DEP01</x:v>
      </x:c>
      <x:c r="R20" s="9" t="n">
        <x:v>25.276</x:v>
      </x:c>
      <x:c r="S20" s="9" t="n">
        <x:v>51.498</x:v>
      </x:c>
      <x:c r="T20" s="2" t="str">
        <x:v>Completed</x:v>
      </x:c>
      <x:c r="U20" s="2" t="str">
        <x:v>Synced</x:v>
      </x:c>
      <x:c r="V20" s="8" t="n">
        <x:v>46300.645486111105</x:v>
      </x:c>
      <x:c r="W20" s="2" t="str">
        <x:v>C001</x:v>
      </x:c>
      <x:c r="X20" s="2" t="str">
        <x:v>Confirmed</x:v>
      </x:c>
      <x:c r="Y20" s="2" t="n">
        <x:v>40</x:v>
      </x:c>
      <x:c r="Z20" s="2" t="n">
        <x:v>10</x:v>
      </x:c>
      <x:c r="AA20" s="11" t="n">
        <x:f>COUNTIFS('StudentTrips'!$B$2:$B$1201,A20)</x:f>
        <x:v>10</x:v>
      </x:c>
      <x:c r="AB20" s="11" t="n">
        <x:f>COUNTIFS('StudentTrips'!$B$2:$B$1201,A20,'StudentTrips'!$K$2:$K$1201,"&gt;0")</x:f>
        <x:v>10</x:v>
      </x:c>
      <x:c r="AC20" s="11" t="n">
        <x:f>COUNTIFS('StudentTrips'!$B$2:$B$1201,A20,'StudentTrips'!$Q$2:$Q$1201,"&gt;0")</x:f>
        <x:v>10</x:v>
      </x:c>
      <x:c r="AD20" s="11" t="n">
        <x:f>AB20-AC20</x:f>
        <x:v>0</x:v>
      </x:c>
      <x:c r="AE20" s="11" t="n">
        <x:f>COUNTIFS('StudentTrips'!$B$2:$B$1201,A20,'StudentTrips'!$W$2:$W$1201,"Declared absent")</x:f>
        <x:v>0</x:v>
      </x:c>
      <x:c r="AF20" s="11" t="n">
        <x:f>COUNTIFS('StudentTrips'!$B$2:$B$1201,A20,'StudentTrips'!$W$2:$W$1201,"No show")</x:f>
        <x:v>0</x:v>
      </x:c>
      <x:c r="AG20" s="11" t="n">
        <x:f>COUNTIFS('StudentTrips'!$B$2:$B$1201,A20,'StudentTrips'!$W$2:$W$1201,"Cancelled transport")</x:f>
        <x:v>0</x:v>
      </x:c>
    </x:row>
    <x:row r="21" ht="21" customHeight="1">
      <x:c r="A21" s="2" t="str">
        <x:v>T20261005-5-1</x:v>
      </x:c>
      <x:c r="B21" s="7" t="n">
        <x:v>46300</x:v>
      </x:c>
      <x:c r="C21" s="2" t="n">
        <x:v>5</x:v>
      </x:c>
      <x:c r="D21" s="2" t="str">
        <x:v>Batch 2 Senior drop-off</x:v>
      </x:c>
      <x:c r="E21" s="2" t="str">
        <x:v>BUS001</x:v>
      </x:c>
      <x:c r="F21" s="2" t="str">
        <x:v>R1</x:v>
      </x:c>
      <x:c r="G21" s="2" t="str">
        <x:v>D001</x:v>
      </x:c>
      <x:c r="H21" s="2" t="str">
        <x:v>S001</x:v>
      </x:c>
      <x:c r="I21" s="2" t="str">
        <x:v>C001</x:v>
      </x:c>
      <x:c r="J21" s="8" t="n">
        <x:v>46300.70833333333</x:v>
      </x:c>
      <x:c r="K21" s="8" t="n">
        <x:v>46300.75</x:v>
      </x:c>
      <x:c r="L21" s="8" t="n">
        <x:v>46300.70833333333</x:v>
      </x:c>
      <x:c r="M21" s="2" t="str">
        <x:v>SCH01</x:v>
      </x:c>
      <x:c r="N21" s="9" t="n">
        <x:v>25.285</x:v>
      </x:c>
      <x:c r="O21" s="9" t="n">
        <x:v>51.51</x:v>
      </x:c>
      <x:c r="P21" s="8" t="n">
        <x:v>46300.75</x:v>
      </x:c>
      <x:c r="Q21" s="2" t="str">
        <x:v>DEP01</x:v>
      </x:c>
      <x:c r="R21" s="9" t="n">
        <x:v>25.276</x:v>
      </x:c>
      <x:c r="S21" s="9" t="n">
        <x:v>51.498</x:v>
      </x:c>
      <x:c r="T21" s="2" t="str">
        <x:v>Completed</x:v>
      </x:c>
      <x:c r="U21" s="2" t="str">
        <x:v>Synced</x:v>
      </x:c>
      <x:c r="V21" s="8" t="n">
        <x:v>46300.74965277778</x:v>
      </x:c>
      <x:c r="W21" s="2" t="str">
        <x:v>C001</x:v>
      </x:c>
      <x:c r="X21" s="2" t="str">
        <x:v>Confirmed</x:v>
      </x:c>
      <x:c r="Y21" s="2" t="n">
        <x:v>40</x:v>
      </x:c>
      <x:c r="Z21" s="2" t="n">
        <x:v>10</x:v>
      </x:c>
      <x:c r="AA21" s="11" t="n">
        <x:f>COUNTIFS('StudentTrips'!$B$2:$B$1201,A21)</x:f>
        <x:v>10</x:v>
      </x:c>
      <x:c r="AB21" s="11" t="n">
        <x:f>COUNTIFS('StudentTrips'!$B$2:$B$1201,A21,'StudentTrips'!$K$2:$K$1201,"&gt;0")</x:f>
        <x:v>10</x:v>
      </x:c>
      <x:c r="AC21" s="11" t="n">
        <x:f>COUNTIFS('StudentTrips'!$B$2:$B$1201,A21,'StudentTrips'!$Q$2:$Q$1201,"&gt;0")</x:f>
        <x:v>10</x:v>
      </x:c>
      <x:c r="AD21" s="11" t="n">
        <x:f>AB21-AC21</x:f>
        <x:v>0</x:v>
      </x:c>
      <x:c r="AE21" s="11" t="n">
        <x:f>COUNTIFS('StudentTrips'!$B$2:$B$1201,A21,'StudentTrips'!$W$2:$W$1201,"Declared absent")</x:f>
        <x:v>0</x:v>
      </x:c>
      <x:c r="AF21" s="11" t="n">
        <x:f>COUNTIFS('StudentTrips'!$B$2:$B$1201,A21,'StudentTrips'!$W$2:$W$1201,"No show")</x:f>
        <x:v>0</x:v>
      </x:c>
      <x:c r="AG21" s="11" t="n">
        <x:f>COUNTIFS('StudentTrips'!$B$2:$B$1201,A21,'StudentTrips'!$W$2:$W$1201,"Cancelled transport")</x:f>
        <x:v>0</x:v>
      </x:c>
    </x:row>
    <x:row r="22" ht="21" customHeight="1">
      <x:c r="A22" s="2" t="str">
        <x:v>T20261005-1-2</x:v>
      </x:c>
      <x:c r="B22" s="7" t="n">
        <x:v>46300</x:v>
      </x:c>
      <x:c r="C22" s="2" t="n">
        <x:v>1</x:v>
      </x:c>
      <x:c r="D22" s="2" t="str">
        <x:v>Batch 1 Junior and Senior pickup</x:v>
      </x:c>
      <x:c r="E22" s="2" t="str">
        <x:v>BUS002</x:v>
      </x:c>
      <x:c r="F22" s="2" t="str">
        <x:v>R2</x:v>
      </x:c>
      <x:c r="G22" s="2" t="str">
        <x:v>D002</x:v>
      </x:c>
      <x:c r="H22" s="2" t="str">
        <x:v>S002</x:v>
      </x:c>
      <x:c r="I22" s="2" t="str">
        <x:v>C002</x:v>
      </x:c>
      <x:c r="J22" s="8" t="n">
        <x:v>46300.22916666667</x:v>
      </x:c>
      <x:c r="K22" s="8" t="n">
        <x:v>46300.28125</x:v>
      </x:c>
      <x:c r="L22" s="8" t="n">
        <x:v>46300.22916666667</x:v>
      </x:c>
      <x:c r="M22" s="2" t="str">
        <x:v>DEP01</x:v>
      </x:c>
      <x:c r="N22" s="9" t="n">
        <x:v>25.276</x:v>
      </x:c>
      <x:c r="O22" s="9" t="n">
        <x:v>51.498</x:v>
      </x:c>
      <x:c r="P22" s="8" t="n">
        <x:v>46300.28125</x:v>
      </x:c>
      <x:c r="Q22" s="2" t="str">
        <x:v>SCH01</x:v>
      </x:c>
      <x:c r="R22" s="9" t="n">
        <x:v>25.285</x:v>
      </x:c>
      <x:c r="S22" s="9" t="n">
        <x:v>51.51</x:v>
      </x:c>
      <x:c r="T22" s="2" t="str">
        <x:v>Completed</x:v>
      </x:c>
      <x:c r="U22" s="2" t="str">
        <x:v>Synced</x:v>
      </x:c>
      <x:c r="V22" s="8" t="n">
        <x:v>46300.28090277778</x:v>
      </x:c>
      <x:c r="W22" s="2" t="str">
        <x:v>C002</x:v>
      </x:c>
      <x:c r="X22" s="2" t="str">
        <x:v>Confirmed</x:v>
      </x:c>
      <x:c r="Y22" s="2" t="n">
        <x:v>40</x:v>
      </x:c>
      <x:c r="Z22" s="2" t="n">
        <x:v>19</x:v>
      </x:c>
      <x:c r="AA22" s="11" t="n">
        <x:f>COUNTIFS('StudentTrips'!$B$2:$B$1201,A22)</x:f>
        <x:v>20</x:v>
      </x:c>
      <x:c r="AB22" s="11" t="n">
        <x:f>COUNTIFS('StudentTrips'!$B$2:$B$1201,A22,'StudentTrips'!$K$2:$K$1201,"&gt;0")</x:f>
        <x:v>19</x:v>
      </x:c>
      <x:c r="AC22" s="11" t="n">
        <x:f>COUNTIFS('StudentTrips'!$B$2:$B$1201,A22,'StudentTrips'!$Q$2:$Q$1201,"&gt;0")</x:f>
        <x:v>19</x:v>
      </x:c>
      <x:c r="AD22" s="11" t="n">
        <x:f>AB22-AC22</x:f>
        <x:v>0</x:v>
      </x:c>
      <x:c r="AE22" s="11" t="n">
        <x:f>COUNTIFS('StudentTrips'!$B$2:$B$1201,A22,'StudentTrips'!$W$2:$W$1201,"Declared absent")</x:f>
        <x:v>0</x:v>
      </x:c>
      <x:c r="AF22" s="11" t="n">
        <x:f>COUNTIFS('StudentTrips'!$B$2:$B$1201,A22,'StudentTrips'!$W$2:$W$1201,"No show")</x:f>
        <x:v>1</x:v>
      </x:c>
      <x:c r="AG22" s="11" t="n">
        <x:f>COUNTIFS('StudentTrips'!$B$2:$B$1201,A22,'StudentTrips'!$W$2:$W$1201,"Cancelled transport")</x:f>
        <x:v>0</x:v>
      </x:c>
    </x:row>
    <x:row r="23" ht="21" customHeight="1">
      <x:c r="A23" s="2" t="str">
        <x:v>T20261005-2-2</x:v>
      </x:c>
      <x:c r="B23" s="7" t="n">
        <x:v>46300</x:v>
      </x:c>
      <x:c r="C23" s="2" t="n">
        <x:v>2</x:v>
      </x:c>
      <x:c r="D23" s="2" t="str">
        <x:v>Batch 1 Junior drop-off + Batch 2 Junior and Senior pickup</x:v>
      </x:c>
      <x:c r="E23" s="2" t="str">
        <x:v>BUS002</x:v>
      </x:c>
      <x:c r="F23" s="2" t="str">
        <x:v>R2</x:v>
      </x:c>
      <x:c r="G23" s="2" t="str">
        <x:v>D002</x:v>
      </x:c>
      <x:c r="H23" s="2" t="str">
        <x:v>S002</x:v>
      </x:c>
      <x:c r="I23" s="2" t="str">
        <x:v>C002</x:v>
      </x:c>
      <x:c r="J23" s="8" t="n">
        <x:v>46300.4375</x:v>
      </x:c>
      <x:c r="K23" s="8" t="n">
        <x:v>46300.51041666667</x:v>
      </x:c>
      <x:c r="L23" s="8" t="n">
        <x:v>46300.4375</x:v>
      </x:c>
      <x:c r="M23" s="2" t="str">
        <x:v>SCH01</x:v>
      </x:c>
      <x:c r="N23" s="9" t="n">
        <x:v>25.285</x:v>
      </x:c>
      <x:c r="O23" s="9" t="n">
        <x:v>51.51</x:v>
      </x:c>
      <x:c r="P23" s="8" t="n">
        <x:v>46300.51041666667</x:v>
      </x:c>
      <x:c r="Q23" s="2" t="str">
        <x:v>SCH01</x:v>
      </x:c>
      <x:c r="R23" s="9" t="n">
        <x:v>25.285</x:v>
      </x:c>
      <x:c r="S23" s="9" t="n">
        <x:v>51.51</x:v>
      </x:c>
      <x:c r="T23" s="2" t="str">
        <x:v>Completed</x:v>
      </x:c>
      <x:c r="U23" s="2" t="str">
        <x:v>Synced</x:v>
      </x:c>
      <x:c r="V23" s="8" t="n">
        <x:v>46300.51006944445</x:v>
      </x:c>
      <x:c r="W23" s="2" t="str">
        <x:v>C002</x:v>
      </x:c>
      <x:c r="X23" s="2" t="str">
        <x:v>Confirmed</x:v>
      </x:c>
      <x:c r="Y23" s="2" t="n">
        <x:v>40</x:v>
      </x:c>
      <x:c r="Z23" s="2" t="n">
        <x:v>20</x:v>
      </x:c>
      <x:c r="AA23" s="11" t="n">
        <x:f>COUNTIFS('StudentTrips'!$B$2:$B$1201,A23)</x:f>
        <x:v>30</x:v>
      </x:c>
      <x:c r="AB23" s="11" t="n">
        <x:f>COUNTIFS('StudentTrips'!$B$2:$B$1201,A23,'StudentTrips'!$K$2:$K$1201,"&gt;0")</x:f>
        <x:v>29</x:v>
      </x:c>
      <x:c r="AC23" s="11" t="n">
        <x:f>COUNTIFS('StudentTrips'!$B$2:$B$1201,A23,'StudentTrips'!$Q$2:$Q$1201,"&gt;0")</x:f>
        <x:v>29</x:v>
      </x:c>
      <x:c r="AD23" s="11" t="n">
        <x:f>AB23-AC23</x:f>
        <x:v>0</x:v>
      </x:c>
      <x:c r="AE23" s="11" t="n">
        <x:f>COUNTIFS('StudentTrips'!$B$2:$B$1201,A23,'StudentTrips'!$W$2:$W$1201,"Declared absent")</x:f>
        <x:v>0</x:v>
      </x:c>
      <x:c r="AF23" s="11" t="n">
        <x:f>COUNTIFS('StudentTrips'!$B$2:$B$1201,A23,'StudentTrips'!$W$2:$W$1201,"No show")</x:f>
        <x:v>0</x:v>
      </x:c>
      <x:c r="AG23" s="11" t="n">
        <x:f>COUNTIFS('StudentTrips'!$B$2:$B$1201,A23,'StudentTrips'!$W$2:$W$1201,"Cancelled transport")</x:f>
        <x:v>1</x:v>
      </x:c>
    </x:row>
    <x:row r="24" ht="21" customHeight="1">
      <x:c r="A24" s="2" t="str">
        <x:v>T20261005-3-2</x:v>
      </x:c>
      <x:c r="B24" s="7" t="n">
        <x:v>46300</x:v>
      </x:c>
      <x:c r="C24" s="2" t="n">
        <x:v>3</x:v>
      </x:c>
      <x:c r="D24" s="2" t="str">
        <x:v>Batch 1 Senior drop-off</x:v>
      </x:c>
      <x:c r="E24" s="2" t="str">
        <x:v>BUS002</x:v>
      </x:c>
      <x:c r="F24" s="2" t="str">
        <x:v>R2</x:v>
      </x:c>
      <x:c r="G24" s="2" t="str">
        <x:v>D002</x:v>
      </x:c>
      <x:c r="H24" s="2" t="str">
        <x:v>S002</x:v>
      </x:c>
      <x:c r="I24" s="2" t="str">
        <x:v>C002</x:v>
      </x:c>
      <x:c r="J24" s="8" t="n">
        <x:v>46300.57291666667</x:v>
      </x:c>
      <x:c r="K24" s="8" t="n">
        <x:v>46300.60416666667</x:v>
      </x:c>
      <x:c r="L24" s="8" t="n">
        <x:v>46300.57291666667</x:v>
      </x:c>
      <x:c r="M24" s="2" t="str">
        <x:v>SCH01</x:v>
      </x:c>
      <x:c r="N24" s="9" t="n">
        <x:v>25.285</x:v>
      </x:c>
      <x:c r="O24" s="9" t="n">
        <x:v>51.51</x:v>
      </x:c>
      <x:c r="P24" s="8" t="n">
        <x:v>46300.603472222225</x:v>
      </x:c>
      <x:c r="Q24" s="2" t="str">
        <x:v>SCH01</x:v>
      </x:c>
      <x:c r="R24" s="9" t="n">
        <x:v>25.285</x:v>
      </x:c>
      <x:c r="S24" s="9" t="n">
        <x:v>51.51</x:v>
      </x:c>
      <x:c r="T24" s="2" t="str">
        <x:v>Completed</x:v>
      </x:c>
      <x:c r="U24" s="2" t="str">
        <x:v>Synced</x:v>
      </x:c>
      <x:c r="V24" s="8" t="n">
        <x:v>46300.603125</x:v>
      </x:c>
      <x:c r="W24" s="2" t="str">
        <x:v>C002</x:v>
      </x:c>
      <x:c r="X24" s="2" t="str">
        <x:v>Confirmed</x:v>
      </x:c>
      <x:c r="Y24" s="2" t="n">
        <x:v>40</x:v>
      </x:c>
      <x:c r="Z24" s="2" t="n">
        <x:v>10</x:v>
      </x:c>
      <x:c r="AA24" s="11" t="n">
        <x:f>COUNTIFS('StudentTrips'!$B$2:$B$1201,A24)</x:f>
        <x:v>10</x:v>
      </x:c>
      <x:c r="AB24" s="11" t="n">
        <x:f>COUNTIFS('StudentTrips'!$B$2:$B$1201,A24,'StudentTrips'!$K$2:$K$1201,"&gt;0")</x:f>
        <x:v>10</x:v>
      </x:c>
      <x:c r="AC24" s="11" t="n">
        <x:f>COUNTIFS('StudentTrips'!$B$2:$B$1201,A24,'StudentTrips'!$Q$2:$Q$1201,"&gt;0")</x:f>
        <x:v>10</x:v>
      </x:c>
      <x:c r="AD24" s="11" t="n">
        <x:f>AB24-AC24</x:f>
        <x:v>0</x:v>
      </x:c>
      <x:c r="AE24" s="11" t="n">
        <x:f>COUNTIFS('StudentTrips'!$B$2:$B$1201,A24,'StudentTrips'!$W$2:$W$1201,"Declared absent")</x:f>
        <x:v>0</x:v>
      </x:c>
      <x:c r="AF24" s="11" t="n">
        <x:f>COUNTIFS('StudentTrips'!$B$2:$B$1201,A24,'StudentTrips'!$W$2:$W$1201,"No show")</x:f>
        <x:v>0</x:v>
      </x:c>
      <x:c r="AG24" s="11" t="n">
        <x:f>COUNTIFS('StudentTrips'!$B$2:$B$1201,A24,'StudentTrips'!$W$2:$W$1201,"Cancelled transport")</x:f>
        <x:v>0</x:v>
      </x:c>
    </x:row>
    <x:row r="25" ht="21" customHeight="1">
      <x:c r="A25" s="2" t="str">
        <x:v>T20261005-4-2</x:v>
      </x:c>
      <x:c r="B25" s="7" t="n">
        <x:v>46300</x:v>
      </x:c>
      <x:c r="C25" s="2" t="n">
        <x:v>4</x:v>
      </x:c>
      <x:c r="D25" s="2" t="str">
        <x:v>Batch 2 Junior drop-off</x:v>
      </x:c>
      <x:c r="E25" s="2" t="str">
        <x:v>BUS002</x:v>
      </x:c>
      <x:c r="F25" s="2" t="str">
        <x:v>R2</x:v>
      </x:c>
      <x:c r="G25" s="2" t="str">
        <x:v>D002</x:v>
      </x:c>
      <x:c r="H25" s="2" t="str">
        <x:v>S002</x:v>
      </x:c>
      <x:c r="I25" s="2" t="str">
        <x:v>C002</x:v>
      </x:c>
      <x:c r="J25" s="8" t="n">
        <x:v>46300.60416666667</x:v>
      </x:c>
      <x:c r="K25" s="8" t="n">
        <x:v>46300.64583333333</x:v>
      </x:c>
      <x:c r="L25" s="8" t="n">
        <x:v>46300.60416666667</x:v>
      </x:c>
      <x:c r="M25" s="2" t="str">
        <x:v>SCH01</x:v>
      </x:c>
      <x:c r="N25" s="9" t="n">
        <x:v>25.285</x:v>
      </x:c>
      <x:c r="O25" s="9" t="n">
        <x:v>51.51</x:v>
      </x:c>
      <x:c r="P25" s="8" t="n">
        <x:v>46300.64583333333</x:v>
      </x:c>
      <x:c r="Q25" s="2" t="str">
        <x:v>DEP01</x:v>
      </x:c>
      <x:c r="R25" s="9" t="n">
        <x:v>25.276</x:v>
      </x:c>
      <x:c r="S25" s="9" t="n">
        <x:v>51.498</x:v>
      </x:c>
      <x:c r="T25" s="2" t="str">
        <x:v>Completed</x:v>
      </x:c>
      <x:c r="U25" s="2" t="str">
        <x:v>Synced</x:v>
      </x:c>
      <x:c r="V25" s="8" t="n">
        <x:v>46300.645486111105</x:v>
      </x:c>
      <x:c r="W25" s="2" t="str">
        <x:v>C002</x:v>
      </x:c>
      <x:c r="X25" s="2" t="str">
        <x:v>Confirmed</x:v>
      </x:c>
      <x:c r="Y25" s="2" t="n">
        <x:v>40</x:v>
      </x:c>
      <x:c r="Z25" s="2" t="n">
        <x:v>10</x:v>
      </x:c>
      <x:c r="AA25" s="11" t="n">
        <x:f>COUNTIFS('StudentTrips'!$B$2:$B$1201,A25)</x:f>
        <x:v>10</x:v>
      </x:c>
      <x:c r="AB25" s="11" t="n">
        <x:f>COUNTIFS('StudentTrips'!$B$2:$B$1201,A25,'StudentTrips'!$K$2:$K$1201,"&gt;0")</x:f>
        <x:v>10</x:v>
      </x:c>
      <x:c r="AC25" s="11" t="n">
        <x:f>COUNTIFS('StudentTrips'!$B$2:$B$1201,A25,'StudentTrips'!$Q$2:$Q$1201,"&gt;0")</x:f>
        <x:v>10</x:v>
      </x:c>
      <x:c r="AD25" s="11" t="n">
        <x:f>AB25-AC25</x:f>
        <x:v>0</x:v>
      </x:c>
      <x:c r="AE25" s="11" t="n">
        <x:f>COUNTIFS('StudentTrips'!$B$2:$B$1201,A25,'StudentTrips'!$W$2:$W$1201,"Declared absent")</x:f>
        <x:v>0</x:v>
      </x:c>
      <x:c r="AF25" s="11" t="n">
        <x:f>COUNTIFS('StudentTrips'!$B$2:$B$1201,A25,'StudentTrips'!$W$2:$W$1201,"No show")</x:f>
        <x:v>0</x:v>
      </x:c>
      <x:c r="AG25" s="11" t="n">
        <x:f>COUNTIFS('StudentTrips'!$B$2:$B$1201,A25,'StudentTrips'!$W$2:$W$1201,"Cancelled transport")</x:f>
        <x:v>0</x:v>
      </x:c>
    </x:row>
    <x:row r="26" ht="21" customHeight="1">
      <x:c r="A26" s="2" t="str">
        <x:v>T20261005-5-2</x:v>
      </x:c>
      <x:c r="B26" s="7" t="n">
        <x:v>46300</x:v>
      </x:c>
      <x:c r="C26" s="2" t="n">
        <x:v>5</x:v>
      </x:c>
      <x:c r="D26" s="2" t="str">
        <x:v>Batch 2 Senior drop-off</x:v>
      </x:c>
      <x:c r="E26" s="2" t="str">
        <x:v>BUS002</x:v>
      </x:c>
      <x:c r="F26" s="2" t="str">
        <x:v>R2</x:v>
      </x:c>
      <x:c r="G26" s="2" t="str">
        <x:v>D002</x:v>
      </x:c>
      <x:c r="H26" s="2" t="str">
        <x:v>S002</x:v>
      </x:c>
      <x:c r="I26" s="2" t="str">
        <x:v>C002</x:v>
      </x:c>
      <x:c r="J26" s="8" t="n">
        <x:v>46300.70833333333</x:v>
      </x:c>
      <x:c r="K26" s="8" t="n">
        <x:v>46300.75</x:v>
      </x:c>
      <x:c r="L26" s="8" t="n">
        <x:v>46300.70833333333</x:v>
      </x:c>
      <x:c r="M26" s="2" t="str">
        <x:v>SCH01</x:v>
      </x:c>
      <x:c r="N26" s="9" t="n">
        <x:v>25.285</x:v>
      </x:c>
      <x:c r="O26" s="9" t="n">
        <x:v>51.51</x:v>
      </x:c>
      <x:c r="P26" s="8" t="n">
        <x:v>46300.75</x:v>
      </x:c>
      <x:c r="Q26" s="2" t="str">
        <x:v>DEP01</x:v>
      </x:c>
      <x:c r="R26" s="9" t="n">
        <x:v>25.276</x:v>
      </x:c>
      <x:c r="S26" s="9" t="n">
        <x:v>51.498</x:v>
      </x:c>
      <x:c r="T26" s="2" t="str">
        <x:v>Completed</x:v>
      </x:c>
      <x:c r="U26" s="2" t="str">
        <x:v>Synced</x:v>
      </x:c>
      <x:c r="V26" s="8" t="n">
        <x:v>46300.74965277778</x:v>
      </x:c>
      <x:c r="W26" s="2" t="str">
        <x:v>C002</x:v>
      </x:c>
      <x:c r="X26" s="2" t="str">
        <x:v>Confirmed</x:v>
      </x:c>
      <x:c r="Y26" s="2" t="n">
        <x:v>40</x:v>
      </x:c>
      <x:c r="Z26" s="2" t="n">
        <x:v>10</x:v>
      </x:c>
      <x:c r="AA26" s="11" t="n">
        <x:f>COUNTIFS('StudentTrips'!$B$2:$B$1201,A26)</x:f>
        <x:v>10</x:v>
      </x:c>
      <x:c r="AB26" s="11" t="n">
        <x:f>COUNTIFS('StudentTrips'!$B$2:$B$1201,A26,'StudentTrips'!$K$2:$K$1201,"&gt;0")</x:f>
        <x:v>10</x:v>
      </x:c>
      <x:c r="AC26" s="11" t="n">
        <x:f>COUNTIFS('StudentTrips'!$B$2:$B$1201,A26,'StudentTrips'!$Q$2:$Q$1201,"&gt;0")</x:f>
        <x:v>10</x:v>
      </x:c>
      <x:c r="AD26" s="11" t="n">
        <x:f>AB26-AC26</x:f>
        <x:v>0</x:v>
      </x:c>
      <x:c r="AE26" s="11" t="n">
        <x:f>COUNTIFS('StudentTrips'!$B$2:$B$1201,A26,'StudentTrips'!$W$2:$W$1201,"Declared absent")</x:f>
        <x:v>0</x:v>
      </x:c>
      <x:c r="AF26" s="11" t="n">
        <x:f>COUNTIFS('StudentTrips'!$B$2:$B$1201,A26,'StudentTrips'!$W$2:$W$1201,"No show")</x:f>
        <x:v>0</x:v>
      </x:c>
      <x:c r="AG26" s="11" t="n">
        <x:f>COUNTIFS('StudentTrips'!$B$2:$B$1201,A26,'StudentTrips'!$W$2:$W$1201,"Cancelled transport")</x:f>
        <x:v>0</x:v>
      </x:c>
    </x:row>
    <x:row r="27" ht="21" customHeight="1">
      <x:c r="A27" s="2" t="str">
        <x:v>T20261005-1-3</x:v>
      </x:c>
      <x:c r="B27" s="7" t="n">
        <x:v>46300</x:v>
      </x:c>
      <x:c r="C27" s="2" t="n">
        <x:v>1</x:v>
      </x:c>
      <x:c r="D27" s="2" t="str">
        <x:v>Batch 1 Junior and Senior pickup</x:v>
      </x:c>
      <x:c r="E27" s="2" t="str">
        <x:v>BUS003</x:v>
      </x:c>
      <x:c r="F27" s="2" t="str">
        <x:v>R3</x:v>
      </x:c>
      <x:c r="G27" s="2" t="str">
        <x:v>D003</x:v>
      </x:c>
      <x:c r="H27" s="2" t="str">
        <x:v>S003</x:v>
      </x:c>
      <x:c r="I27" s="2" t="str">
        <x:v>C003</x:v>
      </x:c>
      <x:c r="J27" s="8" t="n">
        <x:v>46300.22916666667</x:v>
      </x:c>
      <x:c r="K27" s="8" t="n">
        <x:v>46300.28125</x:v>
      </x:c>
      <x:c r="L27" s="8" t="n">
        <x:v>46300.22916666667</x:v>
      </x:c>
      <x:c r="M27" s="2" t="str">
        <x:v>DEP01</x:v>
      </x:c>
      <x:c r="N27" s="9" t="n">
        <x:v>25.276</x:v>
      </x:c>
      <x:c r="O27" s="9" t="n">
        <x:v>51.498</x:v>
      </x:c>
      <x:c r="P27" s="8" t="n">
        <x:v>46300.28125</x:v>
      </x:c>
      <x:c r="Q27" s="2" t="str">
        <x:v>SCH01</x:v>
      </x:c>
      <x:c r="R27" s="9" t="n">
        <x:v>25.285</x:v>
      </x:c>
      <x:c r="S27" s="9" t="n">
        <x:v>51.51</x:v>
      </x:c>
      <x:c r="T27" s="2" t="str">
        <x:v>Completed</x:v>
      </x:c>
      <x:c r="U27" s="2" t="str">
        <x:v>Synced</x:v>
      </x:c>
      <x:c r="V27" s="8" t="n">
        <x:v>46300.28090277778</x:v>
      </x:c>
      <x:c r="W27" s="2" t="str">
        <x:v>C003</x:v>
      </x:c>
      <x:c r="X27" s="2" t="str">
        <x:v>Confirmed</x:v>
      </x:c>
      <x:c r="Y27" s="2" t="n">
        <x:v>40</x:v>
      </x:c>
      <x:c r="Z27" s="2" t="n">
        <x:v>20</x:v>
      </x:c>
      <x:c r="AA27" s="11" t="n">
        <x:f>COUNTIFS('StudentTrips'!$B$2:$B$1201,A27)</x:f>
        <x:v>20</x:v>
      </x:c>
      <x:c r="AB27" s="11" t="n">
        <x:f>COUNTIFS('StudentTrips'!$B$2:$B$1201,A27,'StudentTrips'!$K$2:$K$1201,"&gt;0")</x:f>
        <x:v>20</x:v>
      </x:c>
      <x:c r="AC27" s="11" t="n">
        <x:f>COUNTIFS('StudentTrips'!$B$2:$B$1201,A27,'StudentTrips'!$Q$2:$Q$1201,"&gt;0")</x:f>
        <x:v>20</x:v>
      </x:c>
      <x:c r="AD27" s="11" t="n">
        <x:f>AB27-AC27</x:f>
        <x:v>0</x:v>
      </x:c>
      <x:c r="AE27" s="11" t="n">
        <x:f>COUNTIFS('StudentTrips'!$B$2:$B$1201,A27,'StudentTrips'!$W$2:$W$1201,"Declared absent")</x:f>
        <x:v>0</x:v>
      </x:c>
      <x:c r="AF27" s="11" t="n">
        <x:f>COUNTIFS('StudentTrips'!$B$2:$B$1201,A27,'StudentTrips'!$W$2:$W$1201,"No show")</x:f>
        <x:v>0</x:v>
      </x:c>
      <x:c r="AG27" s="11" t="n">
        <x:f>COUNTIFS('StudentTrips'!$B$2:$B$1201,A27,'StudentTrips'!$W$2:$W$1201,"Cancelled transport")</x:f>
        <x:v>0</x:v>
      </x:c>
    </x:row>
    <x:row r="28" ht="21" customHeight="1">
      <x:c r="A28" s="2" t="str">
        <x:v>T20261005-2-3</x:v>
      </x:c>
      <x:c r="B28" s="7" t="n">
        <x:v>46300</x:v>
      </x:c>
      <x:c r="C28" s="2" t="n">
        <x:v>2</x:v>
      </x:c>
      <x:c r="D28" s="2" t="str">
        <x:v>Batch 1 Junior drop-off + Batch 2 Junior and Senior pickup</x:v>
      </x:c>
      <x:c r="E28" s="2" t="str">
        <x:v>BUS003</x:v>
      </x:c>
      <x:c r="F28" s="2" t="str">
        <x:v>R3</x:v>
      </x:c>
      <x:c r="G28" s="2" t="str">
        <x:v>D003</x:v>
      </x:c>
      <x:c r="H28" s="2" t="str">
        <x:v>S003</x:v>
      </x:c>
      <x:c r="I28" s="2" t="str">
        <x:v>C003</x:v>
      </x:c>
      <x:c r="J28" s="8" t="n">
        <x:v>46300.4375</x:v>
      </x:c>
      <x:c r="K28" s="8" t="n">
        <x:v>46300.51041666667</x:v>
      </x:c>
      <x:c r="L28" s="8" t="n">
        <x:v>46300.4375</x:v>
      </x:c>
      <x:c r="M28" s="2" t="str">
        <x:v>SCH01</x:v>
      </x:c>
      <x:c r="N28" s="9" t="n">
        <x:v>25.285</x:v>
      </x:c>
      <x:c r="O28" s="9" t="n">
        <x:v>51.51</x:v>
      </x:c>
      <x:c r="P28" s="8" t="n">
        <x:v>46300.51041666667</x:v>
      </x:c>
      <x:c r="Q28" s="2" t="str">
        <x:v>SCH01</x:v>
      </x:c>
      <x:c r="R28" s="9" t="n">
        <x:v>25.285</x:v>
      </x:c>
      <x:c r="S28" s="9" t="n">
        <x:v>51.51</x:v>
      </x:c>
      <x:c r="T28" s="2" t="str">
        <x:v>Completed</x:v>
      </x:c>
      <x:c r="U28" s="2" t="str">
        <x:v>Synced</x:v>
      </x:c>
      <x:c r="V28" s="8" t="n">
        <x:v>46300.51006944445</x:v>
      </x:c>
      <x:c r="W28" s="2" t="str">
        <x:v>C003</x:v>
      </x:c>
      <x:c r="X28" s="2" t="str">
        <x:v>Confirmed</x:v>
      </x:c>
      <x:c r="Y28" s="2" t="n">
        <x:v>40</x:v>
      </x:c>
      <x:c r="Z28" s="2" t="n">
        <x:v>20</x:v>
      </x:c>
      <x:c r="AA28" s="11" t="n">
        <x:f>COUNTIFS('StudentTrips'!$B$2:$B$1201,A28)</x:f>
        <x:v>30</x:v>
      </x:c>
      <x:c r="AB28" s="11" t="n">
        <x:f>COUNTIFS('StudentTrips'!$B$2:$B$1201,A28,'StudentTrips'!$K$2:$K$1201,"&gt;0")</x:f>
        <x:v>30</x:v>
      </x:c>
      <x:c r="AC28" s="11" t="n">
        <x:f>COUNTIFS('StudentTrips'!$B$2:$B$1201,A28,'StudentTrips'!$Q$2:$Q$1201,"&gt;0")</x:f>
        <x:v>30</x:v>
      </x:c>
      <x:c r="AD28" s="11" t="n">
        <x:f>AB28-AC28</x:f>
        <x:v>0</x:v>
      </x:c>
      <x:c r="AE28" s="11" t="n">
        <x:f>COUNTIFS('StudentTrips'!$B$2:$B$1201,A28,'StudentTrips'!$W$2:$W$1201,"Declared absent")</x:f>
        <x:v>0</x:v>
      </x:c>
      <x:c r="AF28" s="11" t="n">
        <x:f>COUNTIFS('StudentTrips'!$B$2:$B$1201,A28,'StudentTrips'!$W$2:$W$1201,"No show")</x:f>
        <x:v>0</x:v>
      </x:c>
      <x:c r="AG28" s="11" t="n">
        <x:f>COUNTIFS('StudentTrips'!$B$2:$B$1201,A28,'StudentTrips'!$W$2:$W$1201,"Cancelled transport")</x:f>
        <x:v>0</x:v>
      </x:c>
    </x:row>
    <x:row r="29" ht="21" customHeight="1">
      <x:c r="A29" s="2" t="str">
        <x:v>T20261005-3-3</x:v>
      </x:c>
      <x:c r="B29" s="7" t="n">
        <x:v>46300</x:v>
      </x:c>
      <x:c r="C29" s="2" t="n">
        <x:v>3</x:v>
      </x:c>
      <x:c r="D29" s="2" t="str">
        <x:v>Batch 1 Senior drop-off</x:v>
      </x:c>
      <x:c r="E29" s="2" t="str">
        <x:v>BUS003</x:v>
      </x:c>
      <x:c r="F29" s="2" t="str">
        <x:v>R3</x:v>
      </x:c>
      <x:c r="G29" s="2" t="str">
        <x:v>D003</x:v>
      </x:c>
      <x:c r="H29" s="2" t="str">
        <x:v>S003</x:v>
      </x:c>
      <x:c r="I29" s="2" t="str">
        <x:v>C003</x:v>
      </x:c>
      <x:c r="J29" s="8" t="n">
        <x:v>46300.57291666667</x:v>
      </x:c>
      <x:c r="K29" s="8" t="n">
        <x:v>46300.60416666667</x:v>
      </x:c>
      <x:c r="L29" s="8" t="n">
        <x:v>46300.57291666667</x:v>
      </x:c>
      <x:c r="M29" s="2" t="str">
        <x:v>SCH01</x:v>
      </x:c>
      <x:c r="N29" s="9" t="n">
        <x:v>25.285</x:v>
      </x:c>
      <x:c r="O29" s="9" t="n">
        <x:v>51.51</x:v>
      </x:c>
      <x:c r="P29" s="8" t="n">
        <x:v>46300.603472222225</x:v>
      </x:c>
      <x:c r="Q29" s="2" t="str">
        <x:v>SCH01</x:v>
      </x:c>
      <x:c r="R29" s="9" t="n">
        <x:v>25.285</x:v>
      </x:c>
      <x:c r="S29" s="9" t="n">
        <x:v>51.51</x:v>
      </x:c>
      <x:c r="T29" s="2" t="str">
        <x:v>Completed</x:v>
      </x:c>
      <x:c r="U29" s="2" t="str">
        <x:v>Synced</x:v>
      </x:c>
      <x:c r="V29" s="8" t="n">
        <x:v>46300.603125</x:v>
      </x:c>
      <x:c r="W29" s="2" t="str">
        <x:v>C003</x:v>
      </x:c>
      <x:c r="X29" s="2" t="str">
        <x:v>Confirmed</x:v>
      </x:c>
      <x:c r="Y29" s="2" t="n">
        <x:v>40</x:v>
      </x:c>
      <x:c r="Z29" s="2" t="n">
        <x:v>10</x:v>
      </x:c>
      <x:c r="AA29" s="11" t="n">
        <x:f>COUNTIFS('StudentTrips'!$B$2:$B$1201,A29)</x:f>
        <x:v>10</x:v>
      </x:c>
      <x:c r="AB29" s="11" t="n">
        <x:f>COUNTIFS('StudentTrips'!$B$2:$B$1201,A29,'StudentTrips'!$K$2:$K$1201,"&gt;0")</x:f>
        <x:v>10</x:v>
      </x:c>
      <x:c r="AC29" s="11" t="n">
        <x:f>COUNTIFS('StudentTrips'!$B$2:$B$1201,A29,'StudentTrips'!$Q$2:$Q$1201,"&gt;0")</x:f>
        <x:v>10</x:v>
      </x:c>
      <x:c r="AD29" s="11" t="n">
        <x:f>AB29-AC29</x:f>
        <x:v>0</x:v>
      </x:c>
      <x:c r="AE29" s="11" t="n">
        <x:f>COUNTIFS('StudentTrips'!$B$2:$B$1201,A29,'StudentTrips'!$W$2:$W$1201,"Declared absent")</x:f>
        <x:v>0</x:v>
      </x:c>
      <x:c r="AF29" s="11" t="n">
        <x:f>COUNTIFS('StudentTrips'!$B$2:$B$1201,A29,'StudentTrips'!$W$2:$W$1201,"No show")</x:f>
        <x:v>0</x:v>
      </x:c>
      <x:c r="AG29" s="11" t="n">
        <x:f>COUNTIFS('StudentTrips'!$B$2:$B$1201,A29,'StudentTrips'!$W$2:$W$1201,"Cancelled transport")</x:f>
        <x:v>0</x:v>
      </x:c>
    </x:row>
    <x:row r="30" ht="21" customHeight="1">
      <x:c r="A30" s="2" t="str">
        <x:v>T20261005-4-3</x:v>
      </x:c>
      <x:c r="B30" s="7" t="n">
        <x:v>46300</x:v>
      </x:c>
      <x:c r="C30" s="2" t="n">
        <x:v>4</x:v>
      </x:c>
      <x:c r="D30" s="2" t="str">
        <x:v>Batch 2 Junior drop-off</x:v>
      </x:c>
      <x:c r="E30" s="2" t="str">
        <x:v>BUS003</x:v>
      </x:c>
      <x:c r="F30" s="2" t="str">
        <x:v>R3</x:v>
      </x:c>
      <x:c r="G30" s="2" t="str">
        <x:v>D003</x:v>
      </x:c>
      <x:c r="H30" s="2" t="str">
        <x:v>S003</x:v>
      </x:c>
      <x:c r="I30" s="2" t="str">
        <x:v>C003</x:v>
      </x:c>
      <x:c r="J30" s="8" t="n">
        <x:v>46300.60416666667</x:v>
      </x:c>
      <x:c r="K30" s="8" t="n">
        <x:v>46300.64583333333</x:v>
      </x:c>
      <x:c r="L30" s="8" t="n">
        <x:v>46300.60416666667</x:v>
      </x:c>
      <x:c r="M30" s="2" t="str">
        <x:v>SCH01</x:v>
      </x:c>
      <x:c r="N30" s="9" t="n">
        <x:v>25.285</x:v>
      </x:c>
      <x:c r="O30" s="9" t="n">
        <x:v>51.51</x:v>
      </x:c>
      <x:c r="P30" s="8" t="n">
        <x:v>46300.64583333333</x:v>
      </x:c>
      <x:c r="Q30" s="2" t="str">
        <x:v>DEP01</x:v>
      </x:c>
      <x:c r="R30" s="9" t="n">
        <x:v>25.276</x:v>
      </x:c>
      <x:c r="S30" s="9" t="n">
        <x:v>51.498</x:v>
      </x:c>
      <x:c r="T30" s="2" t="str">
        <x:v>Completed</x:v>
      </x:c>
      <x:c r="U30" s="2" t="str">
        <x:v>Synced</x:v>
      </x:c>
      <x:c r="V30" s="8" t="n">
        <x:v>46300.645486111105</x:v>
      </x:c>
      <x:c r="W30" s="2" t="str">
        <x:v>C003</x:v>
      </x:c>
      <x:c r="X30" s="2" t="str">
        <x:v>Confirmed</x:v>
      </x:c>
      <x:c r="Y30" s="2" t="n">
        <x:v>40</x:v>
      </x:c>
      <x:c r="Z30" s="2" t="n">
        <x:v>10</x:v>
      </x:c>
      <x:c r="AA30" s="11" t="n">
        <x:f>COUNTIFS('StudentTrips'!$B$2:$B$1201,A30)</x:f>
        <x:v>10</x:v>
      </x:c>
      <x:c r="AB30" s="11" t="n">
        <x:f>COUNTIFS('StudentTrips'!$B$2:$B$1201,A30,'StudentTrips'!$K$2:$K$1201,"&gt;0")</x:f>
        <x:v>10</x:v>
      </x:c>
      <x:c r="AC30" s="11" t="n">
        <x:f>COUNTIFS('StudentTrips'!$B$2:$B$1201,A30,'StudentTrips'!$Q$2:$Q$1201,"&gt;0")</x:f>
        <x:v>10</x:v>
      </x:c>
      <x:c r="AD30" s="11" t="n">
        <x:f>AB30-AC30</x:f>
        <x:v>0</x:v>
      </x:c>
      <x:c r="AE30" s="11" t="n">
        <x:f>COUNTIFS('StudentTrips'!$B$2:$B$1201,A30,'StudentTrips'!$W$2:$W$1201,"Declared absent")</x:f>
        <x:v>0</x:v>
      </x:c>
      <x:c r="AF30" s="11" t="n">
        <x:f>COUNTIFS('StudentTrips'!$B$2:$B$1201,A30,'StudentTrips'!$W$2:$W$1201,"No show")</x:f>
        <x:v>0</x:v>
      </x:c>
      <x:c r="AG30" s="11" t="n">
        <x:f>COUNTIFS('StudentTrips'!$B$2:$B$1201,A30,'StudentTrips'!$W$2:$W$1201,"Cancelled transport")</x:f>
        <x:v>0</x:v>
      </x:c>
    </x:row>
    <x:row r="31" ht="21" customHeight="1">
      <x:c r="A31" s="2" t="str">
        <x:v>T20261005-5-3</x:v>
      </x:c>
      <x:c r="B31" s="7" t="n">
        <x:v>46300</x:v>
      </x:c>
      <x:c r="C31" s="2" t="n">
        <x:v>5</x:v>
      </x:c>
      <x:c r="D31" s="2" t="str">
        <x:v>Batch 2 Senior drop-off</x:v>
      </x:c>
      <x:c r="E31" s="2" t="str">
        <x:v>BUS003</x:v>
      </x:c>
      <x:c r="F31" s="2" t="str">
        <x:v>R3</x:v>
      </x:c>
      <x:c r="G31" s="2" t="str">
        <x:v>D003</x:v>
      </x:c>
      <x:c r="H31" s="2" t="str">
        <x:v>S003</x:v>
      </x:c>
      <x:c r="I31" s="2" t="str">
        <x:v>C003</x:v>
      </x:c>
      <x:c r="J31" s="8" t="n">
        <x:v>46300.70833333333</x:v>
      </x:c>
      <x:c r="K31" s="8" t="n">
        <x:v>46300.75</x:v>
      </x:c>
      <x:c r="L31" s="8" t="n">
        <x:v>46300.70833333333</x:v>
      </x:c>
      <x:c r="M31" s="2" t="str">
        <x:v>SCH01</x:v>
      </x:c>
      <x:c r="N31" s="9" t="n">
        <x:v>25.285</x:v>
      </x:c>
      <x:c r="O31" s="9" t="n">
        <x:v>51.51</x:v>
      </x:c>
      <x:c r="P31" s="8" t="n">
        <x:v>46300.75</x:v>
      </x:c>
      <x:c r="Q31" s="2" t="str">
        <x:v>DEP01</x:v>
      </x:c>
      <x:c r="R31" s="9" t="n">
        <x:v>25.276</x:v>
      </x:c>
      <x:c r="S31" s="9" t="n">
        <x:v>51.498</x:v>
      </x:c>
      <x:c r="T31" s="2" t="str">
        <x:v>Completed</x:v>
      </x:c>
      <x:c r="U31" s="2" t="str">
        <x:v>Synced</x:v>
      </x:c>
      <x:c r="V31" s="8" t="n">
        <x:v>46300.74965277778</x:v>
      </x:c>
      <x:c r="W31" s="2" t="str">
        <x:v>C003</x:v>
      </x:c>
      <x:c r="X31" s="2" t="str">
        <x:v>Confirmed</x:v>
      </x:c>
      <x:c r="Y31" s="2" t="n">
        <x:v>40</x:v>
      </x:c>
      <x:c r="Z31" s="2" t="n">
        <x:v>10</x:v>
      </x:c>
      <x:c r="AA31" s="11" t="n">
        <x:f>COUNTIFS('StudentTrips'!$B$2:$B$1201,A31)</x:f>
        <x:v>10</x:v>
      </x:c>
      <x:c r="AB31" s="11" t="n">
        <x:f>COUNTIFS('StudentTrips'!$B$2:$B$1201,A31,'StudentTrips'!$K$2:$K$1201,"&gt;0")</x:f>
        <x:v>10</x:v>
      </x:c>
      <x:c r="AC31" s="11" t="n">
        <x:f>COUNTIFS('StudentTrips'!$B$2:$B$1201,A31,'StudentTrips'!$Q$2:$Q$1201,"&gt;0")</x:f>
        <x:v>10</x:v>
      </x:c>
      <x:c r="AD31" s="11" t="n">
        <x:f>AB31-AC31</x:f>
        <x:v>0</x:v>
      </x:c>
      <x:c r="AE31" s="11" t="n">
        <x:f>COUNTIFS('StudentTrips'!$B$2:$B$1201,A31,'StudentTrips'!$W$2:$W$1201,"Declared absent")</x:f>
        <x:v>0</x:v>
      </x:c>
      <x:c r="AF31" s="11" t="n">
        <x:f>COUNTIFS('StudentTrips'!$B$2:$B$1201,A31,'StudentTrips'!$W$2:$W$1201,"No show")</x:f>
        <x:v>0</x:v>
      </x:c>
      <x:c r="AG31" s="11" t="n">
        <x:f>COUNTIFS('StudentTrips'!$B$2:$B$1201,A31,'StudentTrips'!$W$2:$W$1201,"Cancelled transport")</x:f>
        <x:v>0</x:v>
      </x:c>
    </x:row>
    <x:row r="32" ht="21" customHeight="1">
      <x:c r="A32" s="2" t="str">
        <x:v>T20261006-1-1</x:v>
      </x:c>
      <x:c r="B32" s="7" t="n">
        <x:v>46301</x:v>
      </x:c>
      <x:c r="C32" s="2" t="n">
        <x:v>1</x:v>
      </x:c>
      <x:c r="D32" s="2" t="str">
        <x:v>Batch 1 Junior and Senior pickup</x:v>
      </x:c>
      <x:c r="E32" s="2" t="str">
        <x:v>BUS001</x:v>
      </x:c>
      <x:c r="F32" s="2" t="str">
        <x:v>R1</x:v>
      </x:c>
      <x:c r="G32" s="2" t="str">
        <x:v>D001</x:v>
      </x:c>
      <x:c r="H32" s="2" t="str">
        <x:v>S001</x:v>
      </x:c>
      <x:c r="I32" s="2" t="str">
        <x:v>C001</x:v>
      </x:c>
      <x:c r="J32" s="8" t="n">
        <x:v>46301.22916666667</x:v>
      </x:c>
      <x:c r="K32" s="8" t="n">
        <x:v>46301.28125</x:v>
      </x:c>
      <x:c r="L32" s="8" t="n">
        <x:v>46301.22916666667</x:v>
      </x:c>
      <x:c r="M32" s="2" t="str">
        <x:v>DEP01</x:v>
      </x:c>
      <x:c r="N32" s="9" t="n">
        <x:v>25.276</x:v>
      </x:c>
      <x:c r="O32" s="9" t="n">
        <x:v>51.498</x:v>
      </x:c>
      <x:c r="P32" s="8" t="n">
        <x:v>46301.28125</x:v>
      </x:c>
      <x:c r="Q32" s="2" t="str">
        <x:v>SCH01</x:v>
      </x:c>
      <x:c r="R32" s="9" t="n">
        <x:v>25.285</x:v>
      </x:c>
      <x:c r="S32" s="9" t="n">
        <x:v>51.51</x:v>
      </x:c>
      <x:c r="T32" s="2" t="str">
        <x:v>Completed</x:v>
      </x:c>
      <x:c r="U32" s="2" t="str">
        <x:v>Synced</x:v>
      </x:c>
      <x:c r="V32" s="8" t="n">
        <x:v>46301.28090277778</x:v>
      </x:c>
      <x:c r="W32" s="2" t="str">
        <x:v>C001</x:v>
      </x:c>
      <x:c r="X32" s="2" t="str">
        <x:v>Confirmed</x:v>
      </x:c>
      <x:c r="Y32" s="2" t="n">
        <x:v>40</x:v>
      </x:c>
      <x:c r="Z32" s="2" t="n">
        <x:v>20</x:v>
      </x:c>
      <x:c r="AA32" s="11" t="n">
        <x:f>COUNTIFS('StudentTrips'!$B$2:$B$1201,A32)</x:f>
        <x:v>20</x:v>
      </x:c>
      <x:c r="AB32" s="11" t="n">
        <x:f>COUNTIFS('StudentTrips'!$B$2:$B$1201,A32,'StudentTrips'!$K$2:$K$1201,"&gt;0")</x:f>
        <x:v>20</x:v>
      </x:c>
      <x:c r="AC32" s="11" t="n">
        <x:f>COUNTIFS('StudentTrips'!$B$2:$B$1201,A32,'StudentTrips'!$Q$2:$Q$1201,"&gt;0")</x:f>
        <x:v>20</x:v>
      </x:c>
      <x:c r="AD32" s="11" t="n">
        <x:f>AB32-AC32</x:f>
        <x:v>0</x:v>
      </x:c>
      <x:c r="AE32" s="11" t="n">
        <x:f>COUNTIFS('StudentTrips'!$B$2:$B$1201,A32,'StudentTrips'!$W$2:$W$1201,"Declared absent")</x:f>
        <x:v>0</x:v>
      </x:c>
      <x:c r="AF32" s="11" t="n">
        <x:f>COUNTIFS('StudentTrips'!$B$2:$B$1201,A32,'StudentTrips'!$W$2:$W$1201,"No show")</x:f>
        <x:v>0</x:v>
      </x:c>
      <x:c r="AG32" s="11" t="n">
        <x:f>COUNTIFS('StudentTrips'!$B$2:$B$1201,A32,'StudentTrips'!$W$2:$W$1201,"Cancelled transport")</x:f>
        <x:v>0</x:v>
      </x:c>
    </x:row>
    <x:row r="33" ht="21" customHeight="1">
      <x:c r="A33" s="2" t="str">
        <x:v>T20261006-2-1</x:v>
      </x:c>
      <x:c r="B33" s="7" t="n">
        <x:v>46301</x:v>
      </x:c>
      <x:c r="C33" s="2" t="n">
        <x:v>2</x:v>
      </x:c>
      <x:c r="D33" s="2" t="str">
        <x:v>Batch 1 Junior drop-off + Batch 2 Junior and Senior pickup</x:v>
      </x:c>
      <x:c r="E33" s="2" t="str">
        <x:v>BUS001</x:v>
      </x:c>
      <x:c r="F33" s="2" t="str">
        <x:v>R1</x:v>
      </x:c>
      <x:c r="G33" s="2" t="str">
        <x:v>D001</x:v>
      </x:c>
      <x:c r="H33" s="2" t="str">
        <x:v>S001</x:v>
      </x:c>
      <x:c r="I33" s="2" t="str">
        <x:v>C001</x:v>
      </x:c>
      <x:c r="J33" s="8" t="n">
        <x:v>46301.4375</x:v>
      </x:c>
      <x:c r="K33" s="8" t="n">
        <x:v>46301.51041666667</x:v>
      </x:c>
      <x:c r="L33" s="8" t="n">
        <x:v>46301.4375</x:v>
      </x:c>
      <x:c r="M33" s="2" t="str">
        <x:v>SCH01</x:v>
      </x:c>
      <x:c r="N33" s="9" t="n">
        <x:v>25.285</x:v>
      </x:c>
      <x:c r="O33" s="9" t="n">
        <x:v>51.51</x:v>
      </x:c>
      <x:c r="P33" s="8" t="n">
        <x:v>46301.51041666667</x:v>
      </x:c>
      <x:c r="Q33" s="2" t="str">
        <x:v>SCH01</x:v>
      </x:c>
      <x:c r="R33" s="9" t="n">
        <x:v>25.285</x:v>
      </x:c>
      <x:c r="S33" s="9" t="n">
        <x:v>51.51</x:v>
      </x:c>
      <x:c r="T33" s="2" t="str">
        <x:v>Completed</x:v>
      </x:c>
      <x:c r="U33" s="2" t="str">
        <x:v>Synced</x:v>
      </x:c>
      <x:c r="V33" s="8" t="n">
        <x:v>46301.51006944445</x:v>
      </x:c>
      <x:c r="W33" s="2" t="str">
        <x:v>C001</x:v>
      </x:c>
      <x:c r="X33" s="2" t="str">
        <x:v>Confirmed</x:v>
      </x:c>
      <x:c r="Y33" s="2" t="n">
        <x:v>40</x:v>
      </x:c>
      <x:c r="Z33" s="2" t="n">
        <x:v>20</x:v>
      </x:c>
      <x:c r="AA33" s="11" t="n">
        <x:f>COUNTIFS('StudentTrips'!$B$2:$B$1201,A33)</x:f>
        <x:v>30</x:v>
      </x:c>
      <x:c r="AB33" s="11" t="n">
        <x:f>COUNTIFS('StudentTrips'!$B$2:$B$1201,A33,'StudentTrips'!$K$2:$K$1201,"&gt;0")</x:f>
        <x:v>30</x:v>
      </x:c>
      <x:c r="AC33" s="11" t="n">
        <x:f>COUNTIFS('StudentTrips'!$B$2:$B$1201,A33,'StudentTrips'!$Q$2:$Q$1201,"&gt;0")</x:f>
        <x:v>30</x:v>
      </x:c>
      <x:c r="AD33" s="11" t="n">
        <x:f>AB33-AC33</x:f>
        <x:v>0</x:v>
      </x:c>
      <x:c r="AE33" s="11" t="n">
        <x:f>COUNTIFS('StudentTrips'!$B$2:$B$1201,A33,'StudentTrips'!$W$2:$W$1201,"Declared absent")</x:f>
        <x:v>0</x:v>
      </x:c>
      <x:c r="AF33" s="11" t="n">
        <x:f>COUNTIFS('StudentTrips'!$B$2:$B$1201,A33,'StudentTrips'!$W$2:$W$1201,"No show")</x:f>
        <x:v>0</x:v>
      </x:c>
      <x:c r="AG33" s="11" t="n">
        <x:f>COUNTIFS('StudentTrips'!$B$2:$B$1201,A33,'StudentTrips'!$W$2:$W$1201,"Cancelled transport")</x:f>
        <x:v>0</x:v>
      </x:c>
    </x:row>
    <x:row r="34" ht="21" customHeight="1">
      <x:c r="A34" s="2" t="str">
        <x:v>T20261006-3-1</x:v>
      </x:c>
      <x:c r="B34" s="7" t="n">
        <x:v>46301</x:v>
      </x:c>
      <x:c r="C34" s="2" t="n">
        <x:v>3</x:v>
      </x:c>
      <x:c r="D34" s="2" t="str">
        <x:v>Batch 1 Senior drop-off</x:v>
      </x:c>
      <x:c r="E34" s="2" t="str">
        <x:v>BUS001</x:v>
      </x:c>
      <x:c r="F34" s="2" t="str">
        <x:v>R1</x:v>
      </x:c>
      <x:c r="G34" s="2" t="str">
        <x:v>D001</x:v>
      </x:c>
      <x:c r="H34" s="2" t="str">
        <x:v>S001</x:v>
      </x:c>
      <x:c r="I34" s="2" t="str">
        <x:v>C001</x:v>
      </x:c>
      <x:c r="J34" s="8" t="n">
        <x:v>46301.57291666667</x:v>
      </x:c>
      <x:c r="K34" s="8" t="n">
        <x:v>46301.60416666667</x:v>
      </x:c>
      <x:c r="L34" s="8" t="n">
        <x:v>46301.57291666667</x:v>
      </x:c>
      <x:c r="M34" s="2" t="str">
        <x:v>SCH01</x:v>
      </x:c>
      <x:c r="N34" s="9" t="n">
        <x:v>25.285</x:v>
      </x:c>
      <x:c r="O34" s="9" t="n">
        <x:v>51.51</x:v>
      </x:c>
      <x:c r="P34" s="8" t="n">
        <x:v>46301.603472222225</x:v>
      </x:c>
      <x:c r="Q34" s="2" t="str">
        <x:v>SCH01</x:v>
      </x:c>
      <x:c r="R34" s="9" t="n">
        <x:v>25.285</x:v>
      </x:c>
      <x:c r="S34" s="9" t="n">
        <x:v>51.51</x:v>
      </x:c>
      <x:c r="T34" s="2" t="str">
        <x:v>Completed</x:v>
      </x:c>
      <x:c r="U34" s="2" t="str">
        <x:v>Synced</x:v>
      </x:c>
      <x:c r="V34" s="8" t="n">
        <x:v>46301.603125</x:v>
      </x:c>
      <x:c r="W34" s="2" t="str">
        <x:v>C001</x:v>
      </x:c>
      <x:c r="X34" s="2" t="str">
        <x:v>Confirmed</x:v>
      </x:c>
      <x:c r="Y34" s="2" t="n">
        <x:v>40</x:v>
      </x:c>
      <x:c r="Z34" s="2" t="n">
        <x:v>10</x:v>
      </x:c>
      <x:c r="AA34" s="11" t="n">
        <x:f>COUNTIFS('StudentTrips'!$B$2:$B$1201,A34)</x:f>
        <x:v>10</x:v>
      </x:c>
      <x:c r="AB34" s="11" t="n">
        <x:f>COUNTIFS('StudentTrips'!$B$2:$B$1201,A34,'StudentTrips'!$K$2:$K$1201,"&gt;0")</x:f>
        <x:v>10</x:v>
      </x:c>
      <x:c r="AC34" s="11" t="n">
        <x:f>COUNTIFS('StudentTrips'!$B$2:$B$1201,A34,'StudentTrips'!$Q$2:$Q$1201,"&gt;0")</x:f>
        <x:v>10</x:v>
      </x:c>
      <x:c r="AD34" s="11" t="n">
        <x:f>AB34-AC34</x:f>
        <x:v>0</x:v>
      </x:c>
      <x:c r="AE34" s="11" t="n">
        <x:f>COUNTIFS('StudentTrips'!$B$2:$B$1201,A34,'StudentTrips'!$W$2:$W$1201,"Declared absent")</x:f>
        <x:v>0</x:v>
      </x:c>
      <x:c r="AF34" s="11" t="n">
        <x:f>COUNTIFS('StudentTrips'!$B$2:$B$1201,A34,'StudentTrips'!$W$2:$W$1201,"No show")</x:f>
        <x:v>0</x:v>
      </x:c>
      <x:c r="AG34" s="11" t="n">
        <x:f>COUNTIFS('StudentTrips'!$B$2:$B$1201,A34,'StudentTrips'!$W$2:$W$1201,"Cancelled transport")</x:f>
        <x:v>0</x:v>
      </x:c>
    </x:row>
    <x:row r="35" ht="21" customHeight="1">
      <x:c r="A35" s="2" t="str">
        <x:v>T20261006-4-1</x:v>
      </x:c>
      <x:c r="B35" s="7" t="n">
        <x:v>46301</x:v>
      </x:c>
      <x:c r="C35" s="2" t="n">
        <x:v>4</x:v>
      </x:c>
      <x:c r="D35" s="2" t="str">
        <x:v>Batch 2 Junior drop-off</x:v>
      </x:c>
      <x:c r="E35" s="2" t="str">
        <x:v>BUS001</x:v>
      </x:c>
      <x:c r="F35" s="2" t="str">
        <x:v>R1</x:v>
      </x:c>
      <x:c r="G35" s="2" t="str">
        <x:v>D001</x:v>
      </x:c>
      <x:c r="H35" s="2" t="str">
        <x:v>S001</x:v>
      </x:c>
      <x:c r="I35" s="2" t="str">
        <x:v>C001</x:v>
      </x:c>
      <x:c r="J35" s="8" t="n">
        <x:v>46301.60416666667</x:v>
      </x:c>
      <x:c r="K35" s="8" t="n">
        <x:v>46301.64583333333</x:v>
      </x:c>
      <x:c r="L35" s="8" t="n">
        <x:v>46301.60416666667</x:v>
      </x:c>
      <x:c r="M35" s="2" t="str">
        <x:v>SCH01</x:v>
      </x:c>
      <x:c r="N35" s="9" t="n">
        <x:v>25.285</x:v>
      </x:c>
      <x:c r="O35" s="9" t="n">
        <x:v>51.51</x:v>
      </x:c>
      <x:c r="P35" s="8" t="n">
        <x:v>46301.64583333333</x:v>
      </x:c>
      <x:c r="Q35" s="2" t="str">
        <x:v>DEP01</x:v>
      </x:c>
      <x:c r="R35" s="9" t="n">
        <x:v>25.276</x:v>
      </x:c>
      <x:c r="S35" s="9" t="n">
        <x:v>51.498</x:v>
      </x:c>
      <x:c r="T35" s="2" t="str">
        <x:v>Completed</x:v>
      </x:c>
      <x:c r="U35" s="2" t="str">
        <x:v>Synced</x:v>
      </x:c>
      <x:c r="V35" s="8" t="n">
        <x:v>46301.645486111105</x:v>
      </x:c>
      <x:c r="W35" s="2" t="str">
        <x:v>C001</x:v>
      </x:c>
      <x:c r="X35" s="2" t="str">
        <x:v>Confirmed</x:v>
      </x:c>
      <x:c r="Y35" s="2" t="n">
        <x:v>40</x:v>
      </x:c>
      <x:c r="Z35" s="2" t="n">
        <x:v>10</x:v>
      </x:c>
      <x:c r="AA35" s="11" t="n">
        <x:f>COUNTIFS('StudentTrips'!$B$2:$B$1201,A35)</x:f>
        <x:v>10</x:v>
      </x:c>
      <x:c r="AB35" s="11" t="n">
        <x:f>COUNTIFS('StudentTrips'!$B$2:$B$1201,A35,'StudentTrips'!$K$2:$K$1201,"&gt;0")</x:f>
        <x:v>10</x:v>
      </x:c>
      <x:c r="AC35" s="11" t="n">
        <x:f>COUNTIFS('StudentTrips'!$B$2:$B$1201,A35,'StudentTrips'!$Q$2:$Q$1201,"&gt;0")</x:f>
        <x:v>10</x:v>
      </x:c>
      <x:c r="AD35" s="11" t="n">
        <x:f>AB35-AC35</x:f>
        <x:v>0</x:v>
      </x:c>
      <x:c r="AE35" s="11" t="n">
        <x:f>COUNTIFS('StudentTrips'!$B$2:$B$1201,A35,'StudentTrips'!$W$2:$W$1201,"Declared absent")</x:f>
        <x:v>0</x:v>
      </x:c>
      <x:c r="AF35" s="11" t="n">
        <x:f>COUNTIFS('StudentTrips'!$B$2:$B$1201,A35,'StudentTrips'!$W$2:$W$1201,"No show")</x:f>
        <x:v>0</x:v>
      </x:c>
      <x:c r="AG35" s="11" t="n">
        <x:f>COUNTIFS('StudentTrips'!$B$2:$B$1201,A35,'StudentTrips'!$W$2:$W$1201,"Cancelled transport")</x:f>
        <x:v>0</x:v>
      </x:c>
    </x:row>
    <x:row r="36" ht="21" customHeight="1">
      <x:c r="A36" s="2" t="str">
        <x:v>T20261006-5-1</x:v>
      </x:c>
      <x:c r="B36" s="7" t="n">
        <x:v>46301</x:v>
      </x:c>
      <x:c r="C36" s="2" t="n">
        <x:v>5</x:v>
      </x:c>
      <x:c r="D36" s="2" t="str">
        <x:v>Batch 2 Senior drop-off</x:v>
      </x:c>
      <x:c r="E36" s="2" t="str">
        <x:v>BUS001</x:v>
      </x:c>
      <x:c r="F36" s="2" t="str">
        <x:v>R1</x:v>
      </x:c>
      <x:c r="G36" s="2" t="str">
        <x:v>D001</x:v>
      </x:c>
      <x:c r="H36" s="2" t="str">
        <x:v>S001</x:v>
      </x:c>
      <x:c r="I36" s="2" t="str">
        <x:v>C001</x:v>
      </x:c>
      <x:c r="J36" s="8" t="n">
        <x:v>46301.70833333333</x:v>
      </x:c>
      <x:c r="K36" s="8" t="n">
        <x:v>46301.75</x:v>
      </x:c>
      <x:c r="L36" s="8" t="n">
        <x:v>46301.70833333333</x:v>
      </x:c>
      <x:c r="M36" s="2" t="str">
        <x:v>SCH01</x:v>
      </x:c>
      <x:c r="N36" s="9" t="n">
        <x:v>25.285</x:v>
      </x:c>
      <x:c r="O36" s="9" t="n">
        <x:v>51.51</x:v>
      </x:c>
      <x:c r="P36" s="8" t="n">
        <x:v>46301.75</x:v>
      </x:c>
      <x:c r="Q36" s="2" t="str">
        <x:v>DEP01</x:v>
      </x:c>
      <x:c r="R36" s="9" t="n">
        <x:v>25.276</x:v>
      </x:c>
      <x:c r="S36" s="9" t="n">
        <x:v>51.498</x:v>
      </x:c>
      <x:c r="T36" s="2" t="str">
        <x:v>Completed</x:v>
      </x:c>
      <x:c r="U36" s="2" t="str">
        <x:v>Synced</x:v>
      </x:c>
      <x:c r="V36" s="8" t="n">
        <x:v>46301.74965277778</x:v>
      </x:c>
      <x:c r="W36" s="2" t="str">
        <x:v>C001</x:v>
      </x:c>
      <x:c r="X36" s="2" t="str">
        <x:v>Confirmed</x:v>
      </x:c>
      <x:c r="Y36" s="2" t="n">
        <x:v>40</x:v>
      </x:c>
      <x:c r="Z36" s="2" t="n">
        <x:v>10</x:v>
      </x:c>
      <x:c r="AA36" s="11" t="n">
        <x:f>COUNTIFS('StudentTrips'!$B$2:$B$1201,A36)</x:f>
        <x:v>10</x:v>
      </x:c>
      <x:c r="AB36" s="11" t="n">
        <x:f>COUNTIFS('StudentTrips'!$B$2:$B$1201,A36,'StudentTrips'!$K$2:$K$1201,"&gt;0")</x:f>
        <x:v>10</x:v>
      </x:c>
      <x:c r="AC36" s="11" t="n">
        <x:f>COUNTIFS('StudentTrips'!$B$2:$B$1201,A36,'StudentTrips'!$Q$2:$Q$1201,"&gt;0")</x:f>
        <x:v>10</x:v>
      </x:c>
      <x:c r="AD36" s="11" t="n">
        <x:f>AB36-AC36</x:f>
        <x:v>0</x:v>
      </x:c>
      <x:c r="AE36" s="11" t="n">
        <x:f>COUNTIFS('StudentTrips'!$B$2:$B$1201,A36,'StudentTrips'!$W$2:$W$1201,"Declared absent")</x:f>
        <x:v>0</x:v>
      </x:c>
      <x:c r="AF36" s="11" t="n">
        <x:f>COUNTIFS('StudentTrips'!$B$2:$B$1201,A36,'StudentTrips'!$W$2:$W$1201,"No show")</x:f>
        <x:v>0</x:v>
      </x:c>
      <x:c r="AG36" s="11" t="n">
        <x:f>COUNTIFS('StudentTrips'!$B$2:$B$1201,A36,'StudentTrips'!$W$2:$W$1201,"Cancelled transport")</x:f>
        <x:v>0</x:v>
      </x:c>
    </x:row>
    <x:row r="37" ht="21" customHeight="1">
      <x:c r="A37" s="2" t="str">
        <x:v>T20261006-1-2</x:v>
      </x:c>
      <x:c r="B37" s="7" t="n">
        <x:v>46301</x:v>
      </x:c>
      <x:c r="C37" s="2" t="n">
        <x:v>1</x:v>
      </x:c>
      <x:c r="D37" s="2" t="str">
        <x:v>Batch 1 Junior and Senior pickup</x:v>
      </x:c>
      <x:c r="E37" s="2" t="str">
        <x:v>BUS002</x:v>
      </x:c>
      <x:c r="F37" s="2" t="str">
        <x:v>R2</x:v>
      </x:c>
      <x:c r="G37" s="2" t="str">
        <x:v>D002</x:v>
      </x:c>
      <x:c r="H37" s="2" t="str">
        <x:v>S002</x:v>
      </x:c>
      <x:c r="I37" s="2" t="str">
        <x:v>C002</x:v>
      </x:c>
      <x:c r="J37" s="8" t="n">
        <x:v>46301.22916666667</x:v>
      </x:c>
      <x:c r="K37" s="8" t="n">
        <x:v>46301.28125</x:v>
      </x:c>
      <x:c r="L37" s="8" t="n">
        <x:v>46301.22916666667</x:v>
      </x:c>
      <x:c r="M37" s="2" t="str">
        <x:v>DEP01</x:v>
      </x:c>
      <x:c r="N37" s="9" t="n">
        <x:v>25.276</x:v>
      </x:c>
      <x:c r="O37" s="9" t="n">
        <x:v>51.498</x:v>
      </x:c>
      <x:c r="P37" s="8" t="n">
        <x:v>46301.28125</x:v>
      </x:c>
      <x:c r="Q37" s="2" t="str">
        <x:v>SCH01</x:v>
      </x:c>
      <x:c r="R37" s="9" t="n">
        <x:v>25.285</x:v>
      </x:c>
      <x:c r="S37" s="9" t="n">
        <x:v>51.51</x:v>
      </x:c>
      <x:c r="T37" s="2" t="str">
        <x:v>Completed</x:v>
      </x:c>
      <x:c r="U37" s="2" t="str">
        <x:v>Synced</x:v>
      </x:c>
      <x:c r="V37" s="8" t="n">
        <x:v>46301.28090277778</x:v>
      </x:c>
      <x:c r="W37" s="2" t="str">
        <x:v>C002</x:v>
      </x:c>
      <x:c r="X37" s="2" t="str">
        <x:v>Confirmed</x:v>
      </x:c>
      <x:c r="Y37" s="2" t="n">
        <x:v>40</x:v>
      </x:c>
      <x:c r="Z37" s="2" t="n">
        <x:v>20</x:v>
      </x:c>
      <x:c r="AA37" s="11" t="n">
        <x:f>COUNTIFS('StudentTrips'!$B$2:$B$1201,A37)</x:f>
        <x:v>20</x:v>
      </x:c>
      <x:c r="AB37" s="11" t="n">
        <x:f>COUNTIFS('StudentTrips'!$B$2:$B$1201,A37,'StudentTrips'!$K$2:$K$1201,"&gt;0")</x:f>
        <x:v>20</x:v>
      </x:c>
      <x:c r="AC37" s="11" t="n">
        <x:f>COUNTIFS('StudentTrips'!$B$2:$B$1201,A37,'StudentTrips'!$Q$2:$Q$1201,"&gt;0")</x:f>
        <x:v>20</x:v>
      </x:c>
      <x:c r="AD37" s="11" t="n">
        <x:f>AB37-AC37</x:f>
        <x:v>0</x:v>
      </x:c>
      <x:c r="AE37" s="11" t="n">
        <x:f>COUNTIFS('StudentTrips'!$B$2:$B$1201,A37,'StudentTrips'!$W$2:$W$1201,"Declared absent")</x:f>
        <x:v>0</x:v>
      </x:c>
      <x:c r="AF37" s="11" t="n">
        <x:f>COUNTIFS('StudentTrips'!$B$2:$B$1201,A37,'StudentTrips'!$W$2:$W$1201,"No show")</x:f>
        <x:v>0</x:v>
      </x:c>
      <x:c r="AG37" s="11" t="n">
        <x:f>COUNTIFS('StudentTrips'!$B$2:$B$1201,A37,'StudentTrips'!$W$2:$W$1201,"Cancelled transport")</x:f>
        <x:v>0</x:v>
      </x:c>
    </x:row>
    <x:row r="38" ht="21" customHeight="1">
      <x:c r="A38" s="2" t="str">
        <x:v>T20261006-2-2</x:v>
      </x:c>
      <x:c r="B38" s="7" t="n">
        <x:v>46301</x:v>
      </x:c>
      <x:c r="C38" s="2" t="n">
        <x:v>2</x:v>
      </x:c>
      <x:c r="D38" s="2" t="str">
        <x:v>Batch 1 Junior drop-off + Batch 2 Junior and Senior pickup</x:v>
      </x:c>
      <x:c r="E38" s="2" t="str">
        <x:v>BUS002</x:v>
      </x:c>
      <x:c r="F38" s="2" t="str">
        <x:v>R2</x:v>
      </x:c>
      <x:c r="G38" s="2" t="str">
        <x:v>D002</x:v>
      </x:c>
      <x:c r="H38" s="2" t="str">
        <x:v>S002</x:v>
      </x:c>
      <x:c r="I38" s="2" t="str">
        <x:v>C002</x:v>
      </x:c>
      <x:c r="J38" s="8" t="n">
        <x:v>46301.4375</x:v>
      </x:c>
      <x:c r="K38" s="8" t="n">
        <x:v>46301.51041666667</x:v>
      </x:c>
      <x:c r="L38" s="8" t="n">
        <x:v>46301.4375</x:v>
      </x:c>
      <x:c r="M38" s="2" t="str">
        <x:v>SCH01</x:v>
      </x:c>
      <x:c r="N38" s="9" t="n">
        <x:v>25.285</x:v>
      </x:c>
      <x:c r="O38" s="9" t="n">
        <x:v>51.51</x:v>
      </x:c>
      <x:c r="P38" s="8" t="n">
        <x:v>46301.51041666667</x:v>
      </x:c>
      <x:c r="Q38" s="2" t="str">
        <x:v>SCH01</x:v>
      </x:c>
      <x:c r="R38" s="9" t="n">
        <x:v>25.285</x:v>
      </x:c>
      <x:c r="S38" s="9" t="n">
        <x:v>51.51</x:v>
      </x:c>
      <x:c r="T38" s="2" t="str">
        <x:v>Completed</x:v>
      </x:c>
      <x:c r="U38" s="2" t="str">
        <x:v>Synced</x:v>
      </x:c>
      <x:c r="V38" s="8" t="n">
        <x:v>46301.51006944445</x:v>
      </x:c>
      <x:c r="W38" s="2" t="str">
        <x:v>C002</x:v>
      </x:c>
      <x:c r="X38" s="2" t="str">
        <x:v>Confirmed</x:v>
      </x:c>
      <x:c r="Y38" s="2" t="n">
        <x:v>40</x:v>
      </x:c>
      <x:c r="Z38" s="2" t="n">
        <x:v>20</x:v>
      </x:c>
      <x:c r="AA38" s="11" t="n">
        <x:f>COUNTIFS('StudentTrips'!$B$2:$B$1201,A38)</x:f>
        <x:v>30</x:v>
      </x:c>
      <x:c r="AB38" s="11" t="n">
        <x:f>COUNTIFS('StudentTrips'!$B$2:$B$1201,A38,'StudentTrips'!$K$2:$K$1201,"&gt;0")</x:f>
        <x:v>30</x:v>
      </x:c>
      <x:c r="AC38" s="11" t="n">
        <x:f>COUNTIFS('StudentTrips'!$B$2:$B$1201,A38,'StudentTrips'!$Q$2:$Q$1201,"&gt;0")</x:f>
        <x:v>30</x:v>
      </x:c>
      <x:c r="AD38" s="11" t="n">
        <x:f>AB38-AC38</x:f>
        <x:v>0</x:v>
      </x:c>
      <x:c r="AE38" s="11" t="n">
        <x:f>COUNTIFS('StudentTrips'!$B$2:$B$1201,A38,'StudentTrips'!$W$2:$W$1201,"Declared absent")</x:f>
        <x:v>0</x:v>
      </x:c>
      <x:c r="AF38" s="11" t="n">
        <x:f>COUNTIFS('StudentTrips'!$B$2:$B$1201,A38,'StudentTrips'!$W$2:$W$1201,"No show")</x:f>
        <x:v>0</x:v>
      </x:c>
      <x:c r="AG38" s="11" t="n">
        <x:f>COUNTIFS('StudentTrips'!$B$2:$B$1201,A38,'StudentTrips'!$W$2:$W$1201,"Cancelled transport")</x:f>
        <x:v>0</x:v>
      </x:c>
    </x:row>
    <x:row r="39" ht="21" customHeight="1">
      <x:c r="A39" s="2" t="str">
        <x:v>T20261006-3-2</x:v>
      </x:c>
      <x:c r="B39" s="7" t="n">
        <x:v>46301</x:v>
      </x:c>
      <x:c r="C39" s="2" t="n">
        <x:v>3</x:v>
      </x:c>
      <x:c r="D39" s="2" t="str">
        <x:v>Batch 1 Senior drop-off</x:v>
      </x:c>
      <x:c r="E39" s="2" t="str">
        <x:v>BUS002</x:v>
      </x:c>
      <x:c r="F39" s="2" t="str">
        <x:v>R2</x:v>
      </x:c>
      <x:c r="G39" s="2" t="str">
        <x:v>D002</x:v>
      </x:c>
      <x:c r="H39" s="2" t="str">
        <x:v>S002</x:v>
      </x:c>
      <x:c r="I39" s="2" t="str">
        <x:v>C002</x:v>
      </x:c>
      <x:c r="J39" s="8" t="n">
        <x:v>46301.57291666667</x:v>
      </x:c>
      <x:c r="K39" s="8" t="n">
        <x:v>46301.60416666667</x:v>
      </x:c>
      <x:c r="L39" s="8" t="n">
        <x:v>46301.57291666667</x:v>
      </x:c>
      <x:c r="M39" s="2" t="str">
        <x:v>SCH01</x:v>
      </x:c>
      <x:c r="N39" s="9" t="n">
        <x:v>25.285</x:v>
      </x:c>
      <x:c r="O39" s="9" t="n">
        <x:v>51.51</x:v>
      </x:c>
      <x:c r="P39" s="8" t="n">
        <x:v>46301.603472222225</x:v>
      </x:c>
      <x:c r="Q39" s="2" t="str">
        <x:v>SCH01</x:v>
      </x:c>
      <x:c r="R39" s="9" t="n">
        <x:v>25.285</x:v>
      </x:c>
      <x:c r="S39" s="9" t="n">
        <x:v>51.51</x:v>
      </x:c>
      <x:c r="T39" s="2" t="str">
        <x:v>Completed</x:v>
      </x:c>
      <x:c r="U39" s="2" t="str">
        <x:v>Synced</x:v>
      </x:c>
      <x:c r="V39" s="8" t="n">
        <x:v>46301.603125</x:v>
      </x:c>
      <x:c r="W39" s="2" t="str">
        <x:v>C002</x:v>
      </x:c>
      <x:c r="X39" s="2" t="str">
        <x:v>Confirmed</x:v>
      </x:c>
      <x:c r="Y39" s="2" t="n">
        <x:v>40</x:v>
      </x:c>
      <x:c r="Z39" s="2" t="n">
        <x:v>10</x:v>
      </x:c>
      <x:c r="AA39" s="11" t="n">
        <x:f>COUNTIFS('StudentTrips'!$B$2:$B$1201,A39)</x:f>
        <x:v>10</x:v>
      </x:c>
      <x:c r="AB39" s="11" t="n">
        <x:f>COUNTIFS('StudentTrips'!$B$2:$B$1201,A39,'StudentTrips'!$K$2:$K$1201,"&gt;0")</x:f>
        <x:v>10</x:v>
      </x:c>
      <x:c r="AC39" s="11" t="n">
        <x:f>COUNTIFS('StudentTrips'!$B$2:$B$1201,A39,'StudentTrips'!$Q$2:$Q$1201,"&gt;0")</x:f>
        <x:v>10</x:v>
      </x:c>
      <x:c r="AD39" s="11" t="n">
        <x:f>AB39-AC39</x:f>
        <x:v>0</x:v>
      </x:c>
      <x:c r="AE39" s="11" t="n">
        <x:f>COUNTIFS('StudentTrips'!$B$2:$B$1201,A39,'StudentTrips'!$W$2:$W$1201,"Declared absent")</x:f>
        <x:v>0</x:v>
      </x:c>
      <x:c r="AF39" s="11" t="n">
        <x:f>COUNTIFS('StudentTrips'!$B$2:$B$1201,A39,'StudentTrips'!$W$2:$W$1201,"No show")</x:f>
        <x:v>0</x:v>
      </x:c>
      <x:c r="AG39" s="11" t="n">
        <x:f>COUNTIFS('StudentTrips'!$B$2:$B$1201,A39,'StudentTrips'!$W$2:$W$1201,"Cancelled transport")</x:f>
        <x:v>0</x:v>
      </x:c>
    </x:row>
    <x:row r="40" ht="21" customHeight="1">
      <x:c r="A40" s="2" t="str">
        <x:v>T20261006-4-2</x:v>
      </x:c>
      <x:c r="B40" s="7" t="n">
        <x:v>46301</x:v>
      </x:c>
      <x:c r="C40" s="2" t="n">
        <x:v>4</x:v>
      </x:c>
      <x:c r="D40" s="2" t="str">
        <x:v>Batch 2 Junior drop-off</x:v>
      </x:c>
      <x:c r="E40" s="2" t="str">
        <x:v>BUS002</x:v>
      </x:c>
      <x:c r="F40" s="2" t="str">
        <x:v>R2</x:v>
      </x:c>
      <x:c r="G40" s="2" t="str">
        <x:v>D002</x:v>
      </x:c>
      <x:c r="H40" s="2" t="str">
        <x:v>S002</x:v>
      </x:c>
      <x:c r="I40" s="2" t="str">
        <x:v>C002</x:v>
      </x:c>
      <x:c r="J40" s="8" t="n">
        <x:v>46301.60416666667</x:v>
      </x:c>
      <x:c r="K40" s="8" t="n">
        <x:v>46301.64583333333</x:v>
      </x:c>
      <x:c r="L40" s="8" t="n">
        <x:v>46301.60416666667</x:v>
      </x:c>
      <x:c r="M40" s="2" t="str">
        <x:v>SCH01</x:v>
      </x:c>
      <x:c r="N40" s="9" t="n">
        <x:v>25.285</x:v>
      </x:c>
      <x:c r="O40" s="9" t="n">
        <x:v>51.51</x:v>
      </x:c>
      <x:c r="P40" s="8" t="n">
        <x:v>46301.64583333333</x:v>
      </x:c>
      <x:c r="Q40" s="2" t="str">
        <x:v>DEP01</x:v>
      </x:c>
      <x:c r="R40" s="9" t="n">
        <x:v>25.276</x:v>
      </x:c>
      <x:c r="S40" s="9" t="n">
        <x:v>51.498</x:v>
      </x:c>
      <x:c r="T40" s="2" t="str">
        <x:v>Completed</x:v>
      </x:c>
      <x:c r="U40" s="2" t="str">
        <x:v>Synced</x:v>
      </x:c>
      <x:c r="V40" s="8" t="n">
        <x:v>46301.645486111105</x:v>
      </x:c>
      <x:c r="W40" s="2" t="str">
        <x:v>C002</x:v>
      </x:c>
      <x:c r="X40" s="2" t="str">
        <x:v>Confirmed</x:v>
      </x:c>
      <x:c r="Y40" s="2" t="n">
        <x:v>40</x:v>
      </x:c>
      <x:c r="Z40" s="2" t="n">
        <x:v>10</x:v>
      </x:c>
      <x:c r="AA40" s="11" t="n">
        <x:f>COUNTIFS('StudentTrips'!$B$2:$B$1201,A40)</x:f>
        <x:v>10</x:v>
      </x:c>
      <x:c r="AB40" s="11" t="n">
        <x:f>COUNTIFS('StudentTrips'!$B$2:$B$1201,A40,'StudentTrips'!$K$2:$K$1201,"&gt;0")</x:f>
        <x:v>10</x:v>
      </x:c>
      <x:c r="AC40" s="11" t="n">
        <x:f>COUNTIFS('StudentTrips'!$B$2:$B$1201,A40,'StudentTrips'!$Q$2:$Q$1201,"&gt;0")</x:f>
        <x:v>10</x:v>
      </x:c>
      <x:c r="AD40" s="11" t="n">
        <x:f>AB40-AC40</x:f>
        <x:v>0</x:v>
      </x:c>
      <x:c r="AE40" s="11" t="n">
        <x:f>COUNTIFS('StudentTrips'!$B$2:$B$1201,A40,'StudentTrips'!$W$2:$W$1201,"Declared absent")</x:f>
        <x:v>0</x:v>
      </x:c>
      <x:c r="AF40" s="11" t="n">
        <x:f>COUNTIFS('StudentTrips'!$B$2:$B$1201,A40,'StudentTrips'!$W$2:$W$1201,"No show")</x:f>
        <x:v>0</x:v>
      </x:c>
      <x:c r="AG40" s="11" t="n">
        <x:f>COUNTIFS('StudentTrips'!$B$2:$B$1201,A40,'StudentTrips'!$W$2:$W$1201,"Cancelled transport")</x:f>
        <x:v>0</x:v>
      </x:c>
    </x:row>
    <x:row r="41" ht="21" customHeight="1">
      <x:c r="A41" s="2" t="str">
        <x:v>T20261006-5-2</x:v>
      </x:c>
      <x:c r="B41" s="7" t="n">
        <x:v>46301</x:v>
      </x:c>
      <x:c r="C41" s="2" t="n">
        <x:v>5</x:v>
      </x:c>
      <x:c r="D41" s="2" t="str">
        <x:v>Batch 2 Senior drop-off</x:v>
      </x:c>
      <x:c r="E41" s="2" t="str">
        <x:v>BUS002</x:v>
      </x:c>
      <x:c r="F41" s="2" t="str">
        <x:v>R2</x:v>
      </x:c>
      <x:c r="G41" s="2" t="str">
        <x:v>D002</x:v>
      </x:c>
      <x:c r="H41" s="2" t="str">
        <x:v>S002</x:v>
      </x:c>
      <x:c r="I41" s="2" t="str">
        <x:v>C002</x:v>
      </x:c>
      <x:c r="J41" s="8" t="n">
        <x:v>46301.70833333333</x:v>
      </x:c>
      <x:c r="K41" s="8" t="n">
        <x:v>46301.75</x:v>
      </x:c>
      <x:c r="L41" s="8" t="n">
        <x:v>46301.70833333333</x:v>
      </x:c>
      <x:c r="M41" s="2" t="str">
        <x:v>SCH01</x:v>
      </x:c>
      <x:c r="N41" s="9" t="n">
        <x:v>25.285</x:v>
      </x:c>
      <x:c r="O41" s="9" t="n">
        <x:v>51.51</x:v>
      </x:c>
      <x:c r="P41" s="8" t="n">
        <x:v>46301.75</x:v>
      </x:c>
      <x:c r="Q41" s="2" t="str">
        <x:v>DEP01</x:v>
      </x:c>
      <x:c r="R41" s="9" t="n">
        <x:v>25.276</x:v>
      </x:c>
      <x:c r="S41" s="9" t="n">
        <x:v>51.498</x:v>
      </x:c>
      <x:c r="T41" s="2" t="str">
        <x:v>Completed</x:v>
      </x:c>
      <x:c r="U41" s="2" t="str">
        <x:v>Synced</x:v>
      </x:c>
      <x:c r="V41" s="8" t="n">
        <x:v>46301.74965277778</x:v>
      </x:c>
      <x:c r="W41" s="2" t="str">
        <x:v>C002</x:v>
      </x:c>
      <x:c r="X41" s="2" t="str">
        <x:v>Confirmed</x:v>
      </x:c>
      <x:c r="Y41" s="2" t="n">
        <x:v>40</x:v>
      </x:c>
      <x:c r="Z41" s="2" t="n">
        <x:v>10</x:v>
      </x:c>
      <x:c r="AA41" s="11" t="n">
        <x:f>COUNTIFS('StudentTrips'!$B$2:$B$1201,A41)</x:f>
        <x:v>10</x:v>
      </x:c>
      <x:c r="AB41" s="11" t="n">
        <x:f>COUNTIFS('StudentTrips'!$B$2:$B$1201,A41,'StudentTrips'!$K$2:$K$1201,"&gt;0")</x:f>
        <x:v>10</x:v>
      </x:c>
      <x:c r="AC41" s="11" t="n">
        <x:f>COUNTIFS('StudentTrips'!$B$2:$B$1201,A41,'StudentTrips'!$Q$2:$Q$1201,"&gt;0")</x:f>
        <x:v>10</x:v>
      </x:c>
      <x:c r="AD41" s="11" t="n">
        <x:f>AB41-AC41</x:f>
        <x:v>0</x:v>
      </x:c>
      <x:c r="AE41" s="11" t="n">
        <x:f>COUNTIFS('StudentTrips'!$B$2:$B$1201,A41,'StudentTrips'!$W$2:$W$1201,"Declared absent")</x:f>
        <x:v>0</x:v>
      </x:c>
      <x:c r="AF41" s="11" t="n">
        <x:f>COUNTIFS('StudentTrips'!$B$2:$B$1201,A41,'StudentTrips'!$W$2:$W$1201,"No show")</x:f>
        <x:v>0</x:v>
      </x:c>
      <x:c r="AG41" s="11" t="n">
        <x:f>COUNTIFS('StudentTrips'!$B$2:$B$1201,A41,'StudentTrips'!$W$2:$W$1201,"Cancelled transport")</x:f>
        <x:v>0</x:v>
      </x:c>
    </x:row>
    <x:row r="42" ht="21" customHeight="1">
      <x:c r="A42" s="2" t="str">
        <x:v>T20261006-1-3</x:v>
      </x:c>
      <x:c r="B42" s="7" t="n">
        <x:v>46301</x:v>
      </x:c>
      <x:c r="C42" s="2" t="n">
        <x:v>1</x:v>
      </x:c>
      <x:c r="D42" s="2" t="str">
        <x:v>Batch 1 Junior and Senior pickup</x:v>
      </x:c>
      <x:c r="E42" s="2" t="str">
        <x:v>BUS003</x:v>
      </x:c>
      <x:c r="F42" s="2" t="str">
        <x:v>R3</x:v>
      </x:c>
      <x:c r="G42" s="2" t="str">
        <x:v>D003</x:v>
      </x:c>
      <x:c r="H42" s="2" t="str">
        <x:v>S003</x:v>
      </x:c>
      <x:c r="I42" s="2" t="str">
        <x:v>C003</x:v>
      </x:c>
      <x:c r="J42" s="8" t="n">
        <x:v>46301.22916666667</x:v>
      </x:c>
      <x:c r="K42" s="8" t="n">
        <x:v>46301.28125</x:v>
      </x:c>
      <x:c r="L42" s="8" t="n">
        <x:v>46301.22916666667</x:v>
      </x:c>
      <x:c r="M42" s="2" t="str">
        <x:v>DEP01</x:v>
      </x:c>
      <x:c r="N42" s="9" t="n">
        <x:v>25.276</x:v>
      </x:c>
      <x:c r="O42" s="9" t="n">
        <x:v>51.498</x:v>
      </x:c>
      <x:c r="P42" s="8" t="n">
        <x:v>46301.28125</x:v>
      </x:c>
      <x:c r="Q42" s="2" t="str">
        <x:v>SCH01</x:v>
      </x:c>
      <x:c r="R42" s="9" t="n">
        <x:v>25.285</x:v>
      </x:c>
      <x:c r="S42" s="9" t="n">
        <x:v>51.51</x:v>
      </x:c>
      <x:c r="T42" s="2" t="str">
        <x:v>Completed</x:v>
      </x:c>
      <x:c r="U42" s="2" t="str">
        <x:v>Synced</x:v>
      </x:c>
      <x:c r="V42" s="8" t="n">
        <x:v>46301.28090277778</x:v>
      </x:c>
      <x:c r="W42" s="2" t="str">
        <x:v>C003</x:v>
      </x:c>
      <x:c r="X42" s="2" t="str">
        <x:v>Confirmed</x:v>
      </x:c>
      <x:c r="Y42" s="2" t="n">
        <x:v>40</x:v>
      </x:c>
      <x:c r="Z42" s="2" t="n">
        <x:v>20</x:v>
      </x:c>
      <x:c r="AA42" s="11" t="n">
        <x:f>COUNTIFS('StudentTrips'!$B$2:$B$1201,A42)</x:f>
        <x:v>20</x:v>
      </x:c>
      <x:c r="AB42" s="11" t="n">
        <x:f>COUNTIFS('StudentTrips'!$B$2:$B$1201,A42,'StudentTrips'!$K$2:$K$1201,"&gt;0")</x:f>
        <x:v>20</x:v>
      </x:c>
      <x:c r="AC42" s="11" t="n">
        <x:f>COUNTIFS('StudentTrips'!$B$2:$B$1201,A42,'StudentTrips'!$Q$2:$Q$1201,"&gt;0")</x:f>
        <x:v>20</x:v>
      </x:c>
      <x:c r="AD42" s="11" t="n">
        <x:f>AB42-AC42</x:f>
        <x:v>0</x:v>
      </x:c>
      <x:c r="AE42" s="11" t="n">
        <x:f>COUNTIFS('StudentTrips'!$B$2:$B$1201,A42,'StudentTrips'!$W$2:$W$1201,"Declared absent")</x:f>
        <x:v>0</x:v>
      </x:c>
      <x:c r="AF42" s="11" t="n">
        <x:f>COUNTIFS('StudentTrips'!$B$2:$B$1201,A42,'StudentTrips'!$W$2:$W$1201,"No show")</x:f>
        <x:v>0</x:v>
      </x:c>
      <x:c r="AG42" s="11" t="n">
        <x:f>COUNTIFS('StudentTrips'!$B$2:$B$1201,A42,'StudentTrips'!$W$2:$W$1201,"Cancelled transport")</x:f>
        <x:v>0</x:v>
      </x:c>
    </x:row>
    <x:row r="43" ht="21" customHeight="1">
      <x:c r="A43" s="2" t="str">
        <x:v>T20261006-2-3</x:v>
      </x:c>
      <x:c r="B43" s="7" t="n">
        <x:v>46301</x:v>
      </x:c>
      <x:c r="C43" s="2" t="n">
        <x:v>2</x:v>
      </x:c>
      <x:c r="D43" s="2" t="str">
        <x:v>Batch 1 Junior drop-off + Batch 2 Junior and Senior pickup</x:v>
      </x:c>
      <x:c r="E43" s="2" t="str">
        <x:v>BUS003</x:v>
      </x:c>
      <x:c r="F43" s="2" t="str">
        <x:v>R3</x:v>
      </x:c>
      <x:c r="G43" s="2" t="str">
        <x:v>D003</x:v>
      </x:c>
      <x:c r="H43" s="2" t="str">
        <x:v>S003</x:v>
      </x:c>
      <x:c r="I43" s="2" t="str">
        <x:v>C003</x:v>
      </x:c>
      <x:c r="J43" s="8" t="n">
        <x:v>46301.4375</x:v>
      </x:c>
      <x:c r="K43" s="8" t="n">
        <x:v>46301.51041666667</x:v>
      </x:c>
      <x:c r="L43" s="8" t="n">
        <x:v>46301.4375</x:v>
      </x:c>
      <x:c r="M43" s="2" t="str">
        <x:v>SCH01</x:v>
      </x:c>
      <x:c r="N43" s="9" t="n">
        <x:v>25.285</x:v>
      </x:c>
      <x:c r="O43" s="9" t="n">
        <x:v>51.51</x:v>
      </x:c>
      <x:c r="P43" s="8" t="n">
        <x:v>46301.51041666667</x:v>
      </x:c>
      <x:c r="Q43" s="2" t="str">
        <x:v>SCH01</x:v>
      </x:c>
      <x:c r="R43" s="9" t="n">
        <x:v>25.285</x:v>
      </x:c>
      <x:c r="S43" s="9" t="n">
        <x:v>51.51</x:v>
      </x:c>
      <x:c r="T43" s="2" t="str">
        <x:v>Completed</x:v>
      </x:c>
      <x:c r="U43" s="2" t="str">
        <x:v>Synced</x:v>
      </x:c>
      <x:c r="V43" s="8" t="n">
        <x:v>46301.51006944445</x:v>
      </x:c>
      <x:c r="W43" s="2" t="str">
        <x:v>C003</x:v>
      </x:c>
      <x:c r="X43" s="2" t="str">
        <x:v>Confirmed</x:v>
      </x:c>
      <x:c r="Y43" s="2" t="n">
        <x:v>40</x:v>
      </x:c>
      <x:c r="Z43" s="2" t="n">
        <x:v>20</x:v>
      </x:c>
      <x:c r="AA43" s="11" t="n">
        <x:f>COUNTIFS('StudentTrips'!$B$2:$B$1201,A43)</x:f>
        <x:v>30</x:v>
      </x:c>
      <x:c r="AB43" s="11" t="n">
        <x:f>COUNTIFS('StudentTrips'!$B$2:$B$1201,A43,'StudentTrips'!$K$2:$K$1201,"&gt;0")</x:f>
        <x:v>30</x:v>
      </x:c>
      <x:c r="AC43" s="11" t="n">
        <x:f>COUNTIFS('StudentTrips'!$B$2:$B$1201,A43,'StudentTrips'!$Q$2:$Q$1201,"&gt;0")</x:f>
        <x:v>30</x:v>
      </x:c>
      <x:c r="AD43" s="11" t="n">
        <x:f>AB43-AC43</x:f>
        <x:v>0</x:v>
      </x:c>
      <x:c r="AE43" s="11" t="n">
        <x:f>COUNTIFS('StudentTrips'!$B$2:$B$1201,A43,'StudentTrips'!$W$2:$W$1201,"Declared absent")</x:f>
        <x:v>0</x:v>
      </x:c>
      <x:c r="AF43" s="11" t="n">
        <x:f>COUNTIFS('StudentTrips'!$B$2:$B$1201,A43,'StudentTrips'!$W$2:$W$1201,"No show")</x:f>
        <x:v>0</x:v>
      </x:c>
      <x:c r="AG43" s="11" t="n">
        <x:f>COUNTIFS('StudentTrips'!$B$2:$B$1201,A43,'StudentTrips'!$W$2:$W$1201,"Cancelled transport")</x:f>
        <x:v>0</x:v>
      </x:c>
    </x:row>
    <x:row r="44" ht="21" customHeight="1">
      <x:c r="A44" s="2" t="str">
        <x:v>T20261006-3-3</x:v>
      </x:c>
      <x:c r="B44" s="7" t="n">
        <x:v>46301</x:v>
      </x:c>
      <x:c r="C44" s="2" t="n">
        <x:v>3</x:v>
      </x:c>
      <x:c r="D44" s="2" t="str">
        <x:v>Batch 1 Senior drop-off</x:v>
      </x:c>
      <x:c r="E44" s="2" t="str">
        <x:v>BUS003</x:v>
      </x:c>
      <x:c r="F44" s="2" t="str">
        <x:v>R3</x:v>
      </x:c>
      <x:c r="G44" s="2" t="str">
        <x:v>D003</x:v>
      </x:c>
      <x:c r="H44" s="2" t="str">
        <x:v>S003</x:v>
      </x:c>
      <x:c r="I44" s="2" t="str">
        <x:v>C003</x:v>
      </x:c>
      <x:c r="J44" s="8" t="n">
        <x:v>46301.57291666667</x:v>
      </x:c>
      <x:c r="K44" s="8" t="n">
        <x:v>46301.60416666667</x:v>
      </x:c>
      <x:c r="L44" s="8" t="n">
        <x:v>46301.57291666667</x:v>
      </x:c>
      <x:c r="M44" s="2" t="str">
        <x:v>SCH01</x:v>
      </x:c>
      <x:c r="N44" s="9" t="n">
        <x:v>25.285</x:v>
      </x:c>
      <x:c r="O44" s="9" t="n">
        <x:v>51.51</x:v>
      </x:c>
      <x:c r="P44" s="8" t="n">
        <x:v>46301.603472222225</x:v>
      </x:c>
      <x:c r="Q44" s="2" t="str">
        <x:v>SCH01</x:v>
      </x:c>
      <x:c r="R44" s="9" t="n">
        <x:v>25.285</x:v>
      </x:c>
      <x:c r="S44" s="9" t="n">
        <x:v>51.51</x:v>
      </x:c>
      <x:c r="T44" s="2" t="str">
        <x:v>Completed</x:v>
      </x:c>
      <x:c r="U44" s="2" t="str">
        <x:v>Synced</x:v>
      </x:c>
      <x:c r="V44" s="8" t="n">
        <x:v>46301.603125</x:v>
      </x:c>
      <x:c r="W44" s="2" t="str">
        <x:v>C003</x:v>
      </x:c>
      <x:c r="X44" s="2" t="str">
        <x:v>Confirmed</x:v>
      </x:c>
      <x:c r="Y44" s="2" t="n">
        <x:v>40</x:v>
      </x:c>
      <x:c r="Z44" s="2" t="n">
        <x:v>10</x:v>
      </x:c>
      <x:c r="AA44" s="11" t="n">
        <x:f>COUNTIFS('StudentTrips'!$B$2:$B$1201,A44)</x:f>
        <x:v>10</x:v>
      </x:c>
      <x:c r="AB44" s="11" t="n">
        <x:f>COUNTIFS('StudentTrips'!$B$2:$B$1201,A44,'StudentTrips'!$K$2:$K$1201,"&gt;0")</x:f>
        <x:v>10</x:v>
      </x:c>
      <x:c r="AC44" s="11" t="n">
        <x:f>COUNTIFS('StudentTrips'!$B$2:$B$1201,A44,'StudentTrips'!$Q$2:$Q$1201,"&gt;0")</x:f>
        <x:v>10</x:v>
      </x:c>
      <x:c r="AD44" s="11" t="n">
        <x:f>AB44-AC44</x:f>
        <x:v>0</x:v>
      </x:c>
      <x:c r="AE44" s="11" t="n">
        <x:f>COUNTIFS('StudentTrips'!$B$2:$B$1201,A44,'StudentTrips'!$W$2:$W$1201,"Declared absent")</x:f>
        <x:v>0</x:v>
      </x:c>
      <x:c r="AF44" s="11" t="n">
        <x:f>COUNTIFS('StudentTrips'!$B$2:$B$1201,A44,'StudentTrips'!$W$2:$W$1201,"No show")</x:f>
        <x:v>0</x:v>
      </x:c>
      <x:c r="AG44" s="11" t="n">
        <x:f>COUNTIFS('StudentTrips'!$B$2:$B$1201,A44,'StudentTrips'!$W$2:$W$1201,"Cancelled transport")</x:f>
        <x:v>0</x:v>
      </x:c>
    </x:row>
    <x:row r="45" ht="21" customHeight="1">
      <x:c r="A45" s="2" t="str">
        <x:v>T20261006-4-3</x:v>
      </x:c>
      <x:c r="B45" s="7" t="n">
        <x:v>46301</x:v>
      </x:c>
      <x:c r="C45" s="2" t="n">
        <x:v>4</x:v>
      </x:c>
      <x:c r="D45" s="2" t="str">
        <x:v>Batch 2 Junior drop-off</x:v>
      </x:c>
      <x:c r="E45" s="2" t="str">
        <x:v>BUS003</x:v>
      </x:c>
      <x:c r="F45" s="2" t="str">
        <x:v>R3</x:v>
      </x:c>
      <x:c r="G45" s="2" t="str">
        <x:v>D003</x:v>
      </x:c>
      <x:c r="H45" s="2" t="str">
        <x:v>S003</x:v>
      </x:c>
      <x:c r="I45" s="2" t="str">
        <x:v>C003</x:v>
      </x:c>
      <x:c r="J45" s="8" t="n">
        <x:v>46301.60416666667</x:v>
      </x:c>
      <x:c r="K45" s="8" t="n">
        <x:v>46301.64583333333</x:v>
      </x:c>
      <x:c r="L45" s="8" t="n">
        <x:v>46301.60416666667</x:v>
      </x:c>
      <x:c r="M45" s="2" t="str">
        <x:v>SCH01</x:v>
      </x:c>
      <x:c r="N45" s="9" t="n">
        <x:v>25.285</x:v>
      </x:c>
      <x:c r="O45" s="9" t="n">
        <x:v>51.51</x:v>
      </x:c>
      <x:c r="P45" s="8" t="n">
        <x:v>46301.64583333333</x:v>
      </x:c>
      <x:c r="Q45" s="2" t="str">
        <x:v>DEP01</x:v>
      </x:c>
      <x:c r="R45" s="9" t="n">
        <x:v>25.276</x:v>
      </x:c>
      <x:c r="S45" s="9" t="n">
        <x:v>51.498</x:v>
      </x:c>
      <x:c r="T45" s="2" t="str">
        <x:v>Completed</x:v>
      </x:c>
      <x:c r="U45" s="2" t="str">
        <x:v>Synced</x:v>
      </x:c>
      <x:c r="V45" s="8" t="n">
        <x:v>46301.645486111105</x:v>
      </x:c>
      <x:c r="W45" s="2" t="str">
        <x:v>C003</x:v>
      </x:c>
      <x:c r="X45" s="2" t="str">
        <x:v>Confirmed</x:v>
      </x:c>
      <x:c r="Y45" s="2" t="n">
        <x:v>40</x:v>
      </x:c>
      <x:c r="Z45" s="2" t="n">
        <x:v>10</x:v>
      </x:c>
      <x:c r="AA45" s="11" t="n">
        <x:f>COUNTIFS('StudentTrips'!$B$2:$B$1201,A45)</x:f>
        <x:v>10</x:v>
      </x:c>
      <x:c r="AB45" s="11" t="n">
        <x:f>COUNTIFS('StudentTrips'!$B$2:$B$1201,A45,'StudentTrips'!$K$2:$K$1201,"&gt;0")</x:f>
        <x:v>10</x:v>
      </x:c>
      <x:c r="AC45" s="11" t="n">
        <x:f>COUNTIFS('StudentTrips'!$B$2:$B$1201,A45,'StudentTrips'!$Q$2:$Q$1201,"&gt;0")</x:f>
        <x:v>10</x:v>
      </x:c>
      <x:c r="AD45" s="11" t="n">
        <x:f>AB45-AC45</x:f>
        <x:v>0</x:v>
      </x:c>
      <x:c r="AE45" s="11" t="n">
        <x:f>COUNTIFS('StudentTrips'!$B$2:$B$1201,A45,'StudentTrips'!$W$2:$W$1201,"Declared absent")</x:f>
        <x:v>0</x:v>
      </x:c>
      <x:c r="AF45" s="11" t="n">
        <x:f>COUNTIFS('StudentTrips'!$B$2:$B$1201,A45,'StudentTrips'!$W$2:$W$1201,"No show")</x:f>
        <x:v>0</x:v>
      </x:c>
      <x:c r="AG45" s="11" t="n">
        <x:f>COUNTIFS('StudentTrips'!$B$2:$B$1201,A45,'StudentTrips'!$W$2:$W$1201,"Cancelled transport")</x:f>
        <x:v>0</x:v>
      </x:c>
    </x:row>
    <x:row r="46" ht="21" customHeight="1">
      <x:c r="A46" s="2" t="str">
        <x:v>T20261006-5-3</x:v>
      </x:c>
      <x:c r="B46" s="7" t="n">
        <x:v>46301</x:v>
      </x:c>
      <x:c r="C46" s="2" t="n">
        <x:v>5</x:v>
      </x:c>
      <x:c r="D46" s="2" t="str">
        <x:v>Batch 2 Senior drop-off</x:v>
      </x:c>
      <x:c r="E46" s="2" t="str">
        <x:v>BUS003</x:v>
      </x:c>
      <x:c r="F46" s="2" t="str">
        <x:v>R3</x:v>
      </x:c>
      <x:c r="G46" s="2" t="str">
        <x:v>D003</x:v>
      </x:c>
      <x:c r="H46" s="2" t="str">
        <x:v>S003</x:v>
      </x:c>
      <x:c r="I46" s="2" t="str">
        <x:v>C003</x:v>
      </x:c>
      <x:c r="J46" s="8" t="n">
        <x:v>46301.70833333333</x:v>
      </x:c>
      <x:c r="K46" s="8" t="n">
        <x:v>46301.75</x:v>
      </x:c>
      <x:c r="L46" s="8" t="n">
        <x:v>46301.70833333333</x:v>
      </x:c>
      <x:c r="M46" s="2" t="str">
        <x:v>SCH01</x:v>
      </x:c>
      <x:c r="N46" s="9" t="n">
        <x:v>25.285</x:v>
      </x:c>
      <x:c r="O46" s="9" t="n">
        <x:v>51.51</x:v>
      </x:c>
      <x:c r="P46" s="8" t="n">
        <x:v>46301.75</x:v>
      </x:c>
      <x:c r="Q46" s="2" t="str">
        <x:v>DEP01</x:v>
      </x:c>
      <x:c r="R46" s="9" t="n">
        <x:v>25.276</x:v>
      </x:c>
      <x:c r="S46" s="9" t="n">
        <x:v>51.498</x:v>
      </x:c>
      <x:c r="T46" s="2" t="str">
        <x:v>Completed</x:v>
      </x:c>
      <x:c r="U46" s="2" t="str">
        <x:v>Synced</x:v>
      </x:c>
      <x:c r="V46" s="8" t="n">
        <x:v>46301.74965277778</x:v>
      </x:c>
      <x:c r="W46" s="2" t="str">
        <x:v>C003</x:v>
      </x:c>
      <x:c r="X46" s="2" t="str">
        <x:v>Confirmed</x:v>
      </x:c>
      <x:c r="Y46" s="2" t="n">
        <x:v>40</x:v>
      </x:c>
      <x:c r="Z46" s="2" t="n">
        <x:v>10</x:v>
      </x:c>
      <x:c r="AA46" s="11" t="n">
        <x:f>COUNTIFS('StudentTrips'!$B$2:$B$1201,A46)</x:f>
        <x:v>10</x:v>
      </x:c>
      <x:c r="AB46" s="11" t="n">
        <x:f>COUNTIFS('StudentTrips'!$B$2:$B$1201,A46,'StudentTrips'!$K$2:$K$1201,"&gt;0")</x:f>
        <x:v>10</x:v>
      </x:c>
      <x:c r="AC46" s="11" t="n">
        <x:f>COUNTIFS('StudentTrips'!$B$2:$B$1201,A46,'StudentTrips'!$Q$2:$Q$1201,"&gt;0")</x:f>
        <x:v>10</x:v>
      </x:c>
      <x:c r="AD46" s="11" t="n">
        <x:f>AB46-AC46</x:f>
        <x:v>0</x:v>
      </x:c>
      <x:c r="AE46" s="11" t="n">
        <x:f>COUNTIFS('StudentTrips'!$B$2:$B$1201,A46,'StudentTrips'!$W$2:$W$1201,"Declared absent")</x:f>
        <x:v>0</x:v>
      </x:c>
      <x:c r="AF46" s="11" t="n">
        <x:f>COUNTIFS('StudentTrips'!$B$2:$B$1201,A46,'StudentTrips'!$W$2:$W$1201,"No show")</x:f>
        <x:v>0</x:v>
      </x:c>
      <x:c r="AG46" s="11" t="n">
        <x:f>COUNTIFS('StudentTrips'!$B$2:$B$1201,A46,'StudentTrips'!$W$2:$W$1201,"Cancelled transport")</x:f>
        <x:v>0</x:v>
      </x:c>
    </x:row>
    <x:row r="47" ht="21" customHeight="1">
      <x:c r="A47" s="2" t="str">
        <x:v>T20261007-1-1</x:v>
      </x:c>
      <x:c r="B47" s="7" t="n">
        <x:v>46302</x:v>
      </x:c>
      <x:c r="C47" s="2" t="n">
        <x:v>1</x:v>
      </x:c>
      <x:c r="D47" s="2" t="str">
        <x:v>Batch 1 Junior and Senior pickup</x:v>
      </x:c>
      <x:c r="E47" s="2" t="str">
        <x:v>BUS001</x:v>
      </x:c>
      <x:c r="F47" s="2" t="str">
        <x:v>R1</x:v>
      </x:c>
      <x:c r="G47" s="2" t="str">
        <x:v>D001</x:v>
      </x:c>
      <x:c r="H47" s="2" t="str">
        <x:v>S001</x:v>
      </x:c>
      <x:c r="I47" s="2" t="str">
        <x:v>C001</x:v>
      </x:c>
      <x:c r="J47" s="8" t="n">
        <x:v>46302.22916666667</x:v>
      </x:c>
      <x:c r="K47" s="8" t="n">
        <x:v>46302.28125</x:v>
      </x:c>
      <x:c r="L47" s="8" t="n">
        <x:v>46302.22916666667</x:v>
      </x:c>
      <x:c r="M47" s="2" t="str">
        <x:v>DEP01</x:v>
      </x:c>
      <x:c r="N47" s="9" t="n">
        <x:v>25.276</x:v>
      </x:c>
      <x:c r="O47" s="9" t="n">
        <x:v>51.498</x:v>
      </x:c>
      <x:c r="P47" s="8" t="n">
        <x:v>46302.28125</x:v>
      </x:c>
      <x:c r="Q47" s="2" t="str">
        <x:v>SCH01</x:v>
      </x:c>
      <x:c r="R47" s="9" t="n">
        <x:v>25.285</x:v>
      </x:c>
      <x:c r="S47" s="9" t="n">
        <x:v>51.51</x:v>
      </x:c>
      <x:c r="T47" s="2" t="str">
        <x:v>Completed</x:v>
      </x:c>
      <x:c r="U47" s="2" t="str">
        <x:v>Synced</x:v>
      </x:c>
      <x:c r="V47" s="8" t="n">
        <x:v>46302.28090277778</x:v>
      </x:c>
      <x:c r="W47" s="2" t="str">
        <x:v>C001</x:v>
      </x:c>
      <x:c r="X47" s="2" t="str">
        <x:v>Confirmed</x:v>
      </x:c>
      <x:c r="Y47" s="2" t="n">
        <x:v>40</x:v>
      </x:c>
      <x:c r="Z47" s="2" t="n">
        <x:v>20</x:v>
      </x:c>
      <x:c r="AA47" s="11" t="n">
        <x:f>COUNTIFS('StudentTrips'!$B$2:$B$1201,A47)</x:f>
        <x:v>20</x:v>
      </x:c>
      <x:c r="AB47" s="11" t="n">
        <x:f>COUNTIFS('StudentTrips'!$B$2:$B$1201,A47,'StudentTrips'!$K$2:$K$1201,"&gt;0")</x:f>
        <x:v>20</x:v>
      </x:c>
      <x:c r="AC47" s="11" t="n">
        <x:f>COUNTIFS('StudentTrips'!$B$2:$B$1201,A47,'StudentTrips'!$Q$2:$Q$1201,"&gt;0")</x:f>
        <x:v>20</x:v>
      </x:c>
      <x:c r="AD47" s="11" t="n">
        <x:f>AB47-AC47</x:f>
        <x:v>0</x:v>
      </x:c>
      <x:c r="AE47" s="11" t="n">
        <x:f>COUNTIFS('StudentTrips'!$B$2:$B$1201,A47,'StudentTrips'!$W$2:$W$1201,"Declared absent")</x:f>
        <x:v>0</x:v>
      </x:c>
      <x:c r="AF47" s="11" t="n">
        <x:f>COUNTIFS('StudentTrips'!$B$2:$B$1201,A47,'StudentTrips'!$W$2:$W$1201,"No show")</x:f>
        <x:v>0</x:v>
      </x:c>
      <x:c r="AG47" s="11" t="n">
        <x:f>COUNTIFS('StudentTrips'!$B$2:$B$1201,A47,'StudentTrips'!$W$2:$W$1201,"Cancelled transport")</x:f>
        <x:v>0</x:v>
      </x:c>
    </x:row>
    <x:row r="48" ht="21" customHeight="1">
      <x:c r="A48" s="2" t="str">
        <x:v>T20261007-2-1</x:v>
      </x:c>
      <x:c r="B48" s="7" t="n">
        <x:v>46302</x:v>
      </x:c>
      <x:c r="C48" s="2" t="n">
        <x:v>2</x:v>
      </x:c>
      <x:c r="D48" s="2" t="str">
        <x:v>Batch 1 Junior drop-off + Batch 2 Junior and Senior pickup</x:v>
      </x:c>
      <x:c r="E48" s="2" t="str">
        <x:v>BUS001</x:v>
      </x:c>
      <x:c r="F48" s="2" t="str">
        <x:v>R1</x:v>
      </x:c>
      <x:c r="G48" s="2" t="str">
        <x:v>D001</x:v>
      </x:c>
      <x:c r="H48" s="2" t="str">
        <x:v>S001</x:v>
      </x:c>
      <x:c r="I48" s="2" t="str">
        <x:v>C001</x:v>
      </x:c>
      <x:c r="J48" s="8" t="n">
        <x:v>46302.4375</x:v>
      </x:c>
      <x:c r="K48" s="8" t="n">
        <x:v>46302.51041666667</x:v>
      </x:c>
      <x:c r="L48" s="8" t="n">
        <x:v>46302.4375</x:v>
      </x:c>
      <x:c r="M48" s="2" t="str">
        <x:v>SCH01</x:v>
      </x:c>
      <x:c r="N48" s="9" t="n">
        <x:v>25.285</x:v>
      </x:c>
      <x:c r="O48" s="9" t="n">
        <x:v>51.51</x:v>
      </x:c>
      <x:c r="P48" s="8" t="n">
        <x:v>46302.51041666667</x:v>
      </x:c>
      <x:c r="Q48" s="2" t="str">
        <x:v>SCH01</x:v>
      </x:c>
      <x:c r="R48" s="9" t="n">
        <x:v>25.285</x:v>
      </x:c>
      <x:c r="S48" s="9" t="n">
        <x:v>51.51</x:v>
      </x:c>
      <x:c r="T48" s="2" t="str">
        <x:v>Completed</x:v>
      </x:c>
      <x:c r="U48" s="2" t="str">
        <x:v>Synced</x:v>
      </x:c>
      <x:c r="V48" s="8" t="n">
        <x:v>46302.51006944445</x:v>
      </x:c>
      <x:c r="W48" s="2" t="str">
        <x:v>C001</x:v>
      </x:c>
      <x:c r="X48" s="2" t="str">
        <x:v>Confirmed</x:v>
      </x:c>
      <x:c r="Y48" s="2" t="n">
        <x:v>40</x:v>
      </x:c>
      <x:c r="Z48" s="2" t="n">
        <x:v>20</x:v>
      </x:c>
      <x:c r="AA48" s="11" t="n">
        <x:f>COUNTIFS('StudentTrips'!$B$2:$B$1201,A48)</x:f>
        <x:v>30</x:v>
      </x:c>
      <x:c r="AB48" s="11" t="n">
        <x:f>COUNTIFS('StudentTrips'!$B$2:$B$1201,A48,'StudentTrips'!$K$2:$K$1201,"&gt;0")</x:f>
        <x:v>30</x:v>
      </x:c>
      <x:c r="AC48" s="11" t="n">
        <x:f>COUNTIFS('StudentTrips'!$B$2:$B$1201,A48,'StudentTrips'!$Q$2:$Q$1201,"&gt;0")</x:f>
        <x:v>30</x:v>
      </x:c>
      <x:c r="AD48" s="11" t="n">
        <x:f>AB48-AC48</x:f>
        <x:v>0</x:v>
      </x:c>
      <x:c r="AE48" s="11" t="n">
        <x:f>COUNTIFS('StudentTrips'!$B$2:$B$1201,A48,'StudentTrips'!$W$2:$W$1201,"Declared absent")</x:f>
        <x:v>0</x:v>
      </x:c>
      <x:c r="AF48" s="11" t="n">
        <x:f>COUNTIFS('StudentTrips'!$B$2:$B$1201,A48,'StudentTrips'!$W$2:$W$1201,"No show")</x:f>
        <x:v>0</x:v>
      </x:c>
      <x:c r="AG48" s="11" t="n">
        <x:f>COUNTIFS('StudentTrips'!$B$2:$B$1201,A48,'StudentTrips'!$W$2:$W$1201,"Cancelled transport")</x:f>
        <x:v>0</x:v>
      </x:c>
    </x:row>
    <x:row r="49" ht="21" customHeight="1">
      <x:c r="A49" s="2" t="str">
        <x:v>T20261007-3-1</x:v>
      </x:c>
      <x:c r="B49" s="7" t="n">
        <x:v>46302</x:v>
      </x:c>
      <x:c r="C49" s="2" t="n">
        <x:v>3</x:v>
      </x:c>
      <x:c r="D49" s="2" t="str">
        <x:v>Batch 1 Senior drop-off</x:v>
      </x:c>
      <x:c r="E49" s="2" t="str">
        <x:v>BUS001</x:v>
      </x:c>
      <x:c r="F49" s="2" t="str">
        <x:v>R1</x:v>
      </x:c>
      <x:c r="G49" s="2" t="str">
        <x:v>D001</x:v>
      </x:c>
      <x:c r="H49" s="2" t="str">
        <x:v>S001</x:v>
      </x:c>
      <x:c r="I49" s="2" t="str">
        <x:v>C001</x:v>
      </x:c>
      <x:c r="J49" s="8" t="n">
        <x:v>46302.57291666667</x:v>
      </x:c>
      <x:c r="K49" s="8" t="n">
        <x:v>46302.60416666667</x:v>
      </x:c>
      <x:c r="L49" s="8" t="n">
        <x:v>46302.57291666667</x:v>
      </x:c>
      <x:c r="M49" s="2" t="str">
        <x:v>SCH01</x:v>
      </x:c>
      <x:c r="N49" s="9" t="n">
        <x:v>25.285</x:v>
      </x:c>
      <x:c r="O49" s="9" t="n">
        <x:v>51.51</x:v>
      </x:c>
      <x:c r="P49" s="8" t="n">
        <x:v>46302.603472222225</x:v>
      </x:c>
      <x:c r="Q49" s="2" t="str">
        <x:v>SCH01</x:v>
      </x:c>
      <x:c r="R49" s="9" t="n">
        <x:v>25.285</x:v>
      </x:c>
      <x:c r="S49" s="9" t="n">
        <x:v>51.51</x:v>
      </x:c>
      <x:c r="T49" s="2" t="str">
        <x:v>Completed</x:v>
      </x:c>
      <x:c r="U49" s="2" t="str">
        <x:v>Synced</x:v>
      </x:c>
      <x:c r="V49" s="8" t="n">
        <x:v>46302.603125</x:v>
      </x:c>
      <x:c r="W49" s="2" t="str">
        <x:v>C001</x:v>
      </x:c>
      <x:c r="X49" s="2" t="str">
        <x:v>Confirmed</x:v>
      </x:c>
      <x:c r="Y49" s="2" t="n">
        <x:v>40</x:v>
      </x:c>
      <x:c r="Z49" s="2" t="n">
        <x:v>10</x:v>
      </x:c>
      <x:c r="AA49" s="11" t="n">
        <x:f>COUNTIFS('StudentTrips'!$B$2:$B$1201,A49)</x:f>
        <x:v>10</x:v>
      </x:c>
      <x:c r="AB49" s="11" t="n">
        <x:f>COUNTIFS('StudentTrips'!$B$2:$B$1201,A49,'StudentTrips'!$K$2:$K$1201,"&gt;0")</x:f>
        <x:v>10</x:v>
      </x:c>
      <x:c r="AC49" s="11" t="n">
        <x:f>COUNTIFS('StudentTrips'!$B$2:$B$1201,A49,'StudentTrips'!$Q$2:$Q$1201,"&gt;0")</x:f>
        <x:v>10</x:v>
      </x:c>
      <x:c r="AD49" s="11" t="n">
        <x:f>AB49-AC49</x:f>
        <x:v>0</x:v>
      </x:c>
      <x:c r="AE49" s="11" t="n">
        <x:f>COUNTIFS('StudentTrips'!$B$2:$B$1201,A49,'StudentTrips'!$W$2:$W$1201,"Declared absent")</x:f>
        <x:v>0</x:v>
      </x:c>
      <x:c r="AF49" s="11" t="n">
        <x:f>COUNTIFS('StudentTrips'!$B$2:$B$1201,A49,'StudentTrips'!$W$2:$W$1201,"No show")</x:f>
        <x:v>0</x:v>
      </x:c>
      <x:c r="AG49" s="11" t="n">
        <x:f>COUNTIFS('StudentTrips'!$B$2:$B$1201,A49,'StudentTrips'!$W$2:$W$1201,"Cancelled transport")</x:f>
        <x:v>0</x:v>
      </x:c>
    </x:row>
    <x:row r="50" ht="21" customHeight="1">
      <x:c r="A50" s="2" t="str">
        <x:v>T20261007-4-1</x:v>
      </x:c>
      <x:c r="B50" s="7" t="n">
        <x:v>46302</x:v>
      </x:c>
      <x:c r="C50" s="2" t="n">
        <x:v>4</x:v>
      </x:c>
      <x:c r="D50" s="2" t="str">
        <x:v>Batch 2 Junior drop-off</x:v>
      </x:c>
      <x:c r="E50" s="2" t="str">
        <x:v>BUS001</x:v>
      </x:c>
      <x:c r="F50" s="2" t="str">
        <x:v>R1</x:v>
      </x:c>
      <x:c r="G50" s="2" t="str">
        <x:v>D001</x:v>
      </x:c>
      <x:c r="H50" s="2" t="str">
        <x:v>S001</x:v>
      </x:c>
      <x:c r="I50" s="2" t="str">
        <x:v>C001</x:v>
      </x:c>
      <x:c r="J50" s="8" t="n">
        <x:v>46302.60416666667</x:v>
      </x:c>
      <x:c r="K50" s="8" t="n">
        <x:v>46302.64583333333</x:v>
      </x:c>
      <x:c r="L50" s="8" t="n">
        <x:v>46302.60416666667</x:v>
      </x:c>
      <x:c r="M50" s="2" t="str">
        <x:v>SCH01</x:v>
      </x:c>
      <x:c r="N50" s="9" t="n">
        <x:v>25.285</x:v>
      </x:c>
      <x:c r="O50" s="9" t="n">
        <x:v>51.51</x:v>
      </x:c>
      <x:c r="P50" s="8" t="n">
        <x:v>46302.64583333333</x:v>
      </x:c>
      <x:c r="Q50" s="2" t="str">
        <x:v>DEP01</x:v>
      </x:c>
      <x:c r="R50" s="9" t="n">
        <x:v>25.276</x:v>
      </x:c>
      <x:c r="S50" s="9" t="n">
        <x:v>51.498</x:v>
      </x:c>
      <x:c r="T50" s="2" t="str">
        <x:v>Completed</x:v>
      </x:c>
      <x:c r="U50" s="2" t="str">
        <x:v>Synced</x:v>
      </x:c>
      <x:c r="V50" s="8" t="n">
        <x:v>46302.645486111105</x:v>
      </x:c>
      <x:c r="W50" s="2" t="str">
        <x:v>C001</x:v>
      </x:c>
      <x:c r="X50" s="2" t="str">
        <x:v>Confirmed</x:v>
      </x:c>
      <x:c r="Y50" s="2" t="n">
        <x:v>40</x:v>
      </x:c>
      <x:c r="Z50" s="2" t="n">
        <x:v>10</x:v>
      </x:c>
      <x:c r="AA50" s="11" t="n">
        <x:f>COUNTIFS('StudentTrips'!$B$2:$B$1201,A50)</x:f>
        <x:v>10</x:v>
      </x:c>
      <x:c r="AB50" s="11" t="n">
        <x:f>COUNTIFS('StudentTrips'!$B$2:$B$1201,A50,'StudentTrips'!$K$2:$K$1201,"&gt;0")</x:f>
        <x:v>10</x:v>
      </x:c>
      <x:c r="AC50" s="11" t="n">
        <x:f>COUNTIFS('StudentTrips'!$B$2:$B$1201,A50,'StudentTrips'!$Q$2:$Q$1201,"&gt;0")</x:f>
        <x:v>10</x:v>
      </x:c>
      <x:c r="AD50" s="11" t="n">
        <x:f>AB50-AC50</x:f>
        <x:v>0</x:v>
      </x:c>
      <x:c r="AE50" s="11" t="n">
        <x:f>COUNTIFS('StudentTrips'!$B$2:$B$1201,A50,'StudentTrips'!$W$2:$W$1201,"Declared absent")</x:f>
        <x:v>0</x:v>
      </x:c>
      <x:c r="AF50" s="11" t="n">
        <x:f>COUNTIFS('StudentTrips'!$B$2:$B$1201,A50,'StudentTrips'!$W$2:$W$1201,"No show")</x:f>
        <x:v>0</x:v>
      </x:c>
      <x:c r="AG50" s="11" t="n">
        <x:f>COUNTIFS('StudentTrips'!$B$2:$B$1201,A50,'StudentTrips'!$W$2:$W$1201,"Cancelled transport")</x:f>
        <x:v>0</x:v>
      </x:c>
    </x:row>
    <x:row r="51" ht="21" customHeight="1">
      <x:c r="A51" s="2" t="str">
        <x:v>T20261007-5-1</x:v>
      </x:c>
      <x:c r="B51" s="7" t="n">
        <x:v>46302</x:v>
      </x:c>
      <x:c r="C51" s="2" t="n">
        <x:v>5</x:v>
      </x:c>
      <x:c r="D51" s="2" t="str">
        <x:v>Batch 2 Senior drop-off</x:v>
      </x:c>
      <x:c r="E51" s="2" t="str">
        <x:v>BUS001</x:v>
      </x:c>
      <x:c r="F51" s="2" t="str">
        <x:v>R1</x:v>
      </x:c>
      <x:c r="G51" s="2" t="str">
        <x:v>D001</x:v>
      </x:c>
      <x:c r="H51" s="2" t="str">
        <x:v>S001</x:v>
      </x:c>
      <x:c r="I51" s="2" t="str">
        <x:v>C001</x:v>
      </x:c>
      <x:c r="J51" s="8" t="n">
        <x:v>46302.70833333333</x:v>
      </x:c>
      <x:c r="K51" s="8" t="n">
        <x:v>46302.75</x:v>
      </x:c>
      <x:c r="L51" s="8" t="n">
        <x:v>46302.70833333333</x:v>
      </x:c>
      <x:c r="M51" s="2" t="str">
        <x:v>SCH01</x:v>
      </x:c>
      <x:c r="N51" s="9" t="n">
        <x:v>25.285</x:v>
      </x:c>
      <x:c r="O51" s="9" t="n">
        <x:v>51.51</x:v>
      </x:c>
      <x:c r="P51" s="8" t="n">
        <x:v>46302.75</x:v>
      </x:c>
      <x:c r="Q51" s="2" t="str">
        <x:v>DEP01</x:v>
      </x:c>
      <x:c r="R51" s="9" t="n">
        <x:v>25.276</x:v>
      </x:c>
      <x:c r="S51" s="9" t="n">
        <x:v>51.498</x:v>
      </x:c>
      <x:c r="T51" s="2" t="str">
        <x:v>Completed</x:v>
      </x:c>
      <x:c r="U51" s="2" t="str">
        <x:v>Synced</x:v>
      </x:c>
      <x:c r="V51" s="8" t="n">
        <x:v>46302.74965277778</x:v>
      </x:c>
      <x:c r="W51" s="2" t="str">
        <x:v>C001</x:v>
      </x:c>
      <x:c r="X51" s="2" t="str">
        <x:v>Confirmed</x:v>
      </x:c>
      <x:c r="Y51" s="2" t="n">
        <x:v>40</x:v>
      </x:c>
      <x:c r="Z51" s="2" t="n">
        <x:v>10</x:v>
      </x:c>
      <x:c r="AA51" s="11" t="n">
        <x:f>COUNTIFS('StudentTrips'!$B$2:$B$1201,A51)</x:f>
        <x:v>10</x:v>
      </x:c>
      <x:c r="AB51" s="11" t="n">
        <x:f>COUNTIFS('StudentTrips'!$B$2:$B$1201,A51,'StudentTrips'!$K$2:$K$1201,"&gt;0")</x:f>
        <x:v>10</x:v>
      </x:c>
      <x:c r="AC51" s="11" t="n">
        <x:f>COUNTIFS('StudentTrips'!$B$2:$B$1201,A51,'StudentTrips'!$Q$2:$Q$1201,"&gt;0")</x:f>
        <x:v>10</x:v>
      </x:c>
      <x:c r="AD51" s="11" t="n">
        <x:f>AB51-AC51</x:f>
        <x:v>0</x:v>
      </x:c>
      <x:c r="AE51" s="11" t="n">
        <x:f>COUNTIFS('StudentTrips'!$B$2:$B$1201,A51,'StudentTrips'!$W$2:$W$1201,"Declared absent")</x:f>
        <x:v>0</x:v>
      </x:c>
      <x:c r="AF51" s="11" t="n">
        <x:f>COUNTIFS('StudentTrips'!$B$2:$B$1201,A51,'StudentTrips'!$W$2:$W$1201,"No show")</x:f>
        <x:v>0</x:v>
      </x:c>
      <x:c r="AG51" s="11" t="n">
        <x:f>COUNTIFS('StudentTrips'!$B$2:$B$1201,A51,'StudentTrips'!$W$2:$W$1201,"Cancelled transport")</x:f>
        <x:v>0</x:v>
      </x:c>
    </x:row>
    <x:row r="52" ht="21" customHeight="1">
      <x:c r="A52" s="2" t="str">
        <x:v>T20261007-1-2</x:v>
      </x:c>
      <x:c r="B52" s="7" t="n">
        <x:v>46302</x:v>
      </x:c>
      <x:c r="C52" s="2" t="n">
        <x:v>1</x:v>
      </x:c>
      <x:c r="D52" s="2" t="str">
        <x:v>Batch 1 Junior and Senior pickup</x:v>
      </x:c>
      <x:c r="E52" s="2" t="str">
        <x:v>BUS002</x:v>
      </x:c>
      <x:c r="F52" s="2" t="str">
        <x:v>R2</x:v>
      </x:c>
      <x:c r="G52" s="2" t="str">
        <x:v>D002</x:v>
      </x:c>
      <x:c r="H52" s="2" t="str">
        <x:v>S002</x:v>
      </x:c>
      <x:c r="I52" s="2" t="str">
        <x:v>C002</x:v>
      </x:c>
      <x:c r="J52" s="8" t="n">
        <x:v>46302.22916666667</x:v>
      </x:c>
      <x:c r="K52" s="8" t="n">
        <x:v>46302.28125</x:v>
      </x:c>
      <x:c r="L52" s="8" t="n">
        <x:v>46302.22916666667</x:v>
      </x:c>
      <x:c r="M52" s="2" t="str">
        <x:v>DEP01</x:v>
      </x:c>
      <x:c r="N52" s="9" t="n">
        <x:v>25.276</x:v>
      </x:c>
      <x:c r="O52" s="9" t="n">
        <x:v>51.498</x:v>
      </x:c>
      <x:c r="P52" s="8" t="n">
        <x:v>46302.28125</x:v>
      </x:c>
      <x:c r="Q52" s="2" t="str">
        <x:v>SCH01</x:v>
      </x:c>
      <x:c r="R52" s="9" t="n">
        <x:v>25.285</x:v>
      </x:c>
      <x:c r="S52" s="9" t="n">
        <x:v>51.51</x:v>
      </x:c>
      <x:c r="T52" s="2" t="str">
        <x:v>Completed</x:v>
      </x:c>
      <x:c r="U52" s="2" t="str">
        <x:v>Synced</x:v>
      </x:c>
      <x:c r="V52" s="8" t="n">
        <x:v>46302.28090277778</x:v>
      </x:c>
      <x:c r="W52" s="2" t="str">
        <x:v>C002</x:v>
      </x:c>
      <x:c r="X52" s="2" t="str">
        <x:v>Confirmed</x:v>
      </x:c>
      <x:c r="Y52" s="2" t="n">
        <x:v>40</x:v>
      </x:c>
      <x:c r="Z52" s="2" t="n">
        <x:v>20</x:v>
      </x:c>
      <x:c r="AA52" s="11" t="n">
        <x:f>COUNTIFS('StudentTrips'!$B$2:$B$1201,A52)</x:f>
        <x:v>20</x:v>
      </x:c>
      <x:c r="AB52" s="11" t="n">
        <x:f>COUNTIFS('StudentTrips'!$B$2:$B$1201,A52,'StudentTrips'!$K$2:$K$1201,"&gt;0")</x:f>
        <x:v>20</x:v>
      </x:c>
      <x:c r="AC52" s="11" t="n">
        <x:f>COUNTIFS('StudentTrips'!$B$2:$B$1201,A52,'StudentTrips'!$Q$2:$Q$1201,"&gt;0")</x:f>
        <x:v>20</x:v>
      </x:c>
      <x:c r="AD52" s="11" t="n">
        <x:f>AB52-AC52</x:f>
        <x:v>0</x:v>
      </x:c>
      <x:c r="AE52" s="11" t="n">
        <x:f>COUNTIFS('StudentTrips'!$B$2:$B$1201,A52,'StudentTrips'!$W$2:$W$1201,"Declared absent")</x:f>
        <x:v>0</x:v>
      </x:c>
      <x:c r="AF52" s="11" t="n">
        <x:f>COUNTIFS('StudentTrips'!$B$2:$B$1201,A52,'StudentTrips'!$W$2:$W$1201,"No show")</x:f>
        <x:v>0</x:v>
      </x:c>
      <x:c r="AG52" s="11" t="n">
        <x:f>COUNTIFS('StudentTrips'!$B$2:$B$1201,A52,'StudentTrips'!$W$2:$W$1201,"Cancelled transport")</x:f>
        <x:v>0</x:v>
      </x:c>
    </x:row>
    <x:row r="53" ht="21" customHeight="1">
      <x:c r="A53" s="2" t="str">
        <x:v>T20261007-2-2</x:v>
      </x:c>
      <x:c r="B53" s="7" t="n">
        <x:v>46302</x:v>
      </x:c>
      <x:c r="C53" s="2" t="n">
        <x:v>2</x:v>
      </x:c>
      <x:c r="D53" s="2" t="str">
        <x:v>Batch 1 Junior drop-off + Batch 2 Junior and Senior pickup</x:v>
      </x:c>
      <x:c r="E53" s="2" t="str">
        <x:v>BUS002</x:v>
      </x:c>
      <x:c r="F53" s="2" t="str">
        <x:v>R2</x:v>
      </x:c>
      <x:c r="G53" s="2" t="str">
        <x:v>D002</x:v>
      </x:c>
      <x:c r="H53" s="2" t="str">
        <x:v>S002</x:v>
      </x:c>
      <x:c r="I53" s="2" t="str">
        <x:v>C002</x:v>
      </x:c>
      <x:c r="J53" s="8" t="n">
        <x:v>46302.4375</x:v>
      </x:c>
      <x:c r="K53" s="8" t="n">
        <x:v>46302.51041666667</x:v>
      </x:c>
      <x:c r="L53" s="8" t="n">
        <x:v>46302.4375</x:v>
      </x:c>
      <x:c r="M53" s="2" t="str">
        <x:v>SCH01</x:v>
      </x:c>
      <x:c r="N53" s="9" t="n">
        <x:v>25.285</x:v>
      </x:c>
      <x:c r="O53" s="9" t="n">
        <x:v>51.51</x:v>
      </x:c>
      <x:c r="P53" s="8" t="n">
        <x:v>46302.51041666667</x:v>
      </x:c>
      <x:c r="Q53" s="2" t="str">
        <x:v>SCH01</x:v>
      </x:c>
      <x:c r="R53" s="9" t="n">
        <x:v>25.285</x:v>
      </x:c>
      <x:c r="S53" s="9" t="n">
        <x:v>51.51</x:v>
      </x:c>
      <x:c r="T53" s="2" t="str">
        <x:v>Completed</x:v>
      </x:c>
      <x:c r="U53" s="2" t="str">
        <x:v>Synced</x:v>
      </x:c>
      <x:c r="V53" s="8" t="n">
        <x:v>46302.51006944445</x:v>
      </x:c>
      <x:c r="W53" s="2" t="str">
        <x:v>C002</x:v>
      </x:c>
      <x:c r="X53" s="2" t="str">
        <x:v>Confirmed</x:v>
      </x:c>
      <x:c r="Y53" s="2" t="n">
        <x:v>40</x:v>
      </x:c>
      <x:c r="Z53" s="2" t="n">
        <x:v>20</x:v>
      </x:c>
      <x:c r="AA53" s="11" t="n">
        <x:f>COUNTIFS('StudentTrips'!$B$2:$B$1201,A53)</x:f>
        <x:v>30</x:v>
      </x:c>
      <x:c r="AB53" s="11" t="n">
        <x:f>COUNTIFS('StudentTrips'!$B$2:$B$1201,A53,'StudentTrips'!$K$2:$K$1201,"&gt;0")</x:f>
        <x:v>30</x:v>
      </x:c>
      <x:c r="AC53" s="11" t="n">
        <x:f>COUNTIFS('StudentTrips'!$B$2:$B$1201,A53,'StudentTrips'!$Q$2:$Q$1201,"&gt;0")</x:f>
        <x:v>30</x:v>
      </x:c>
      <x:c r="AD53" s="11" t="n">
        <x:f>AB53-AC53</x:f>
        <x:v>0</x:v>
      </x:c>
      <x:c r="AE53" s="11" t="n">
        <x:f>COUNTIFS('StudentTrips'!$B$2:$B$1201,A53,'StudentTrips'!$W$2:$W$1201,"Declared absent")</x:f>
        <x:v>0</x:v>
      </x:c>
      <x:c r="AF53" s="11" t="n">
        <x:f>COUNTIFS('StudentTrips'!$B$2:$B$1201,A53,'StudentTrips'!$W$2:$W$1201,"No show")</x:f>
        <x:v>0</x:v>
      </x:c>
      <x:c r="AG53" s="11" t="n">
        <x:f>COUNTIFS('StudentTrips'!$B$2:$B$1201,A53,'StudentTrips'!$W$2:$W$1201,"Cancelled transport")</x:f>
        <x:v>0</x:v>
      </x:c>
    </x:row>
    <x:row r="54" ht="21" customHeight="1">
      <x:c r="A54" s="2" t="str">
        <x:v>T20261007-3-2</x:v>
      </x:c>
      <x:c r="B54" s="7" t="n">
        <x:v>46302</x:v>
      </x:c>
      <x:c r="C54" s="2" t="n">
        <x:v>3</x:v>
      </x:c>
      <x:c r="D54" s="2" t="str">
        <x:v>Batch 1 Senior drop-off</x:v>
      </x:c>
      <x:c r="E54" s="2" t="str">
        <x:v>BUS002</x:v>
      </x:c>
      <x:c r="F54" s="2" t="str">
        <x:v>R2</x:v>
      </x:c>
      <x:c r="G54" s="2" t="str">
        <x:v>D002</x:v>
      </x:c>
      <x:c r="H54" s="2" t="str">
        <x:v>S002</x:v>
      </x:c>
      <x:c r="I54" s="2" t="str">
        <x:v>C002</x:v>
      </x:c>
      <x:c r="J54" s="8" t="n">
        <x:v>46302.57291666667</x:v>
      </x:c>
      <x:c r="K54" s="8" t="n">
        <x:v>46302.60416666667</x:v>
      </x:c>
      <x:c r="L54" s="8" t="n">
        <x:v>46302.57291666667</x:v>
      </x:c>
      <x:c r="M54" s="2" t="str">
        <x:v>SCH01</x:v>
      </x:c>
      <x:c r="N54" s="9" t="n">
        <x:v>25.285</x:v>
      </x:c>
      <x:c r="O54" s="9" t="n">
        <x:v>51.51</x:v>
      </x:c>
      <x:c r="P54" s="8" t="n">
        <x:v>46302.603472222225</x:v>
      </x:c>
      <x:c r="Q54" s="2" t="str">
        <x:v>SCH01</x:v>
      </x:c>
      <x:c r="R54" s="9" t="n">
        <x:v>25.285</x:v>
      </x:c>
      <x:c r="S54" s="9" t="n">
        <x:v>51.51</x:v>
      </x:c>
      <x:c r="T54" s="2" t="str">
        <x:v>Completed</x:v>
      </x:c>
      <x:c r="U54" s="2" t="str">
        <x:v>Synced</x:v>
      </x:c>
      <x:c r="V54" s="8" t="n">
        <x:v>46302.603125</x:v>
      </x:c>
      <x:c r="W54" s="2" t="str">
        <x:v>C002</x:v>
      </x:c>
      <x:c r="X54" s="2" t="str">
        <x:v>Confirmed</x:v>
      </x:c>
      <x:c r="Y54" s="2" t="n">
        <x:v>40</x:v>
      </x:c>
      <x:c r="Z54" s="2" t="n">
        <x:v>10</x:v>
      </x:c>
      <x:c r="AA54" s="11" t="n">
        <x:f>COUNTIFS('StudentTrips'!$B$2:$B$1201,A54)</x:f>
        <x:v>10</x:v>
      </x:c>
      <x:c r="AB54" s="11" t="n">
        <x:f>COUNTIFS('StudentTrips'!$B$2:$B$1201,A54,'StudentTrips'!$K$2:$K$1201,"&gt;0")</x:f>
        <x:v>10</x:v>
      </x:c>
      <x:c r="AC54" s="11" t="n">
        <x:f>COUNTIFS('StudentTrips'!$B$2:$B$1201,A54,'StudentTrips'!$Q$2:$Q$1201,"&gt;0")</x:f>
        <x:v>10</x:v>
      </x:c>
      <x:c r="AD54" s="11" t="n">
        <x:f>AB54-AC54</x:f>
        <x:v>0</x:v>
      </x:c>
      <x:c r="AE54" s="11" t="n">
        <x:f>COUNTIFS('StudentTrips'!$B$2:$B$1201,A54,'StudentTrips'!$W$2:$W$1201,"Declared absent")</x:f>
        <x:v>0</x:v>
      </x:c>
      <x:c r="AF54" s="11" t="n">
        <x:f>COUNTIFS('StudentTrips'!$B$2:$B$1201,A54,'StudentTrips'!$W$2:$W$1201,"No show")</x:f>
        <x:v>0</x:v>
      </x:c>
      <x:c r="AG54" s="11" t="n">
        <x:f>COUNTIFS('StudentTrips'!$B$2:$B$1201,A54,'StudentTrips'!$W$2:$W$1201,"Cancelled transport")</x:f>
        <x:v>0</x:v>
      </x:c>
    </x:row>
    <x:row r="55" ht="21" customHeight="1">
      <x:c r="A55" s="2" t="str">
        <x:v>T20261007-4-2</x:v>
      </x:c>
      <x:c r="B55" s="7" t="n">
        <x:v>46302</x:v>
      </x:c>
      <x:c r="C55" s="2" t="n">
        <x:v>4</x:v>
      </x:c>
      <x:c r="D55" s="2" t="str">
        <x:v>Batch 2 Junior drop-off</x:v>
      </x:c>
      <x:c r="E55" s="2" t="str">
        <x:v>BUS002</x:v>
      </x:c>
      <x:c r="F55" s="2" t="str">
        <x:v>R2</x:v>
      </x:c>
      <x:c r="G55" s="2" t="str">
        <x:v>D002</x:v>
      </x:c>
      <x:c r="H55" s="2" t="str">
        <x:v>S002</x:v>
      </x:c>
      <x:c r="I55" s="2" t="str">
        <x:v>C002</x:v>
      </x:c>
      <x:c r="J55" s="8" t="n">
        <x:v>46302.60416666667</x:v>
      </x:c>
      <x:c r="K55" s="8" t="n">
        <x:v>46302.64583333333</x:v>
      </x:c>
      <x:c r="L55" s="8" t="n">
        <x:v>46302.60416666667</x:v>
      </x:c>
      <x:c r="M55" s="2" t="str">
        <x:v>SCH01</x:v>
      </x:c>
      <x:c r="N55" s="9" t="n">
        <x:v>25.285</x:v>
      </x:c>
      <x:c r="O55" s="9" t="n">
        <x:v>51.51</x:v>
      </x:c>
      <x:c r="P55" s="8" t="n">
        <x:v>46302.64583333333</x:v>
      </x:c>
      <x:c r="Q55" s="2" t="str">
        <x:v>DEP01</x:v>
      </x:c>
      <x:c r="R55" s="9" t="n">
        <x:v>25.276</x:v>
      </x:c>
      <x:c r="S55" s="9" t="n">
        <x:v>51.498</x:v>
      </x:c>
      <x:c r="T55" s="2" t="str">
        <x:v>Completed</x:v>
      </x:c>
      <x:c r="U55" s="2" t="str">
        <x:v>Synced</x:v>
      </x:c>
      <x:c r="V55" s="8" t="n">
        <x:v>46302.645486111105</x:v>
      </x:c>
      <x:c r="W55" s="2" t="str">
        <x:v>C002</x:v>
      </x:c>
      <x:c r="X55" s="2" t="str">
        <x:v>Confirmed</x:v>
      </x:c>
      <x:c r="Y55" s="2" t="n">
        <x:v>40</x:v>
      </x:c>
      <x:c r="Z55" s="2" t="n">
        <x:v>10</x:v>
      </x:c>
      <x:c r="AA55" s="11" t="n">
        <x:f>COUNTIFS('StudentTrips'!$B$2:$B$1201,A55)</x:f>
        <x:v>10</x:v>
      </x:c>
      <x:c r="AB55" s="11" t="n">
        <x:f>COUNTIFS('StudentTrips'!$B$2:$B$1201,A55,'StudentTrips'!$K$2:$K$1201,"&gt;0")</x:f>
        <x:v>10</x:v>
      </x:c>
      <x:c r="AC55" s="11" t="n">
        <x:f>COUNTIFS('StudentTrips'!$B$2:$B$1201,A55,'StudentTrips'!$Q$2:$Q$1201,"&gt;0")</x:f>
        <x:v>10</x:v>
      </x:c>
      <x:c r="AD55" s="11" t="n">
        <x:f>AB55-AC55</x:f>
        <x:v>0</x:v>
      </x:c>
      <x:c r="AE55" s="11" t="n">
        <x:f>COUNTIFS('StudentTrips'!$B$2:$B$1201,A55,'StudentTrips'!$W$2:$W$1201,"Declared absent")</x:f>
        <x:v>0</x:v>
      </x:c>
      <x:c r="AF55" s="11" t="n">
        <x:f>COUNTIFS('StudentTrips'!$B$2:$B$1201,A55,'StudentTrips'!$W$2:$W$1201,"No show")</x:f>
        <x:v>0</x:v>
      </x:c>
      <x:c r="AG55" s="11" t="n">
        <x:f>COUNTIFS('StudentTrips'!$B$2:$B$1201,A55,'StudentTrips'!$W$2:$W$1201,"Cancelled transport")</x:f>
        <x:v>0</x:v>
      </x:c>
    </x:row>
    <x:row r="56" ht="21" customHeight="1">
      <x:c r="A56" s="2" t="str">
        <x:v>T20261007-5-2</x:v>
      </x:c>
      <x:c r="B56" s="7" t="n">
        <x:v>46302</x:v>
      </x:c>
      <x:c r="C56" s="2" t="n">
        <x:v>5</x:v>
      </x:c>
      <x:c r="D56" s="2" t="str">
        <x:v>Batch 2 Senior drop-off</x:v>
      </x:c>
      <x:c r="E56" s="2" t="str">
        <x:v>BUS002</x:v>
      </x:c>
      <x:c r="F56" s="2" t="str">
        <x:v>R2</x:v>
      </x:c>
      <x:c r="G56" s="2" t="str">
        <x:v>D002</x:v>
      </x:c>
      <x:c r="H56" s="2" t="str">
        <x:v>S002</x:v>
      </x:c>
      <x:c r="I56" s="2" t="str">
        <x:v>C002</x:v>
      </x:c>
      <x:c r="J56" s="8" t="n">
        <x:v>46302.70833333333</x:v>
      </x:c>
      <x:c r="K56" s="8" t="n">
        <x:v>46302.75</x:v>
      </x:c>
      <x:c r="L56" s="8" t="n">
        <x:v>46302.70833333333</x:v>
      </x:c>
      <x:c r="M56" s="2" t="str">
        <x:v>SCH01</x:v>
      </x:c>
      <x:c r="N56" s="9" t="n">
        <x:v>25.285</x:v>
      </x:c>
      <x:c r="O56" s="9" t="n">
        <x:v>51.51</x:v>
      </x:c>
      <x:c r="P56" s="8" t="n">
        <x:v>46302.75</x:v>
      </x:c>
      <x:c r="Q56" s="2" t="str">
        <x:v>DEP01</x:v>
      </x:c>
      <x:c r="R56" s="9" t="n">
        <x:v>25.276</x:v>
      </x:c>
      <x:c r="S56" s="9" t="n">
        <x:v>51.498</x:v>
      </x:c>
      <x:c r="T56" s="2" t="str">
        <x:v>Completed</x:v>
      </x:c>
      <x:c r="U56" s="2" t="str">
        <x:v>Synced</x:v>
      </x:c>
      <x:c r="V56" s="8" t="n">
        <x:v>46302.74965277778</x:v>
      </x:c>
      <x:c r="W56" s="2" t="str">
        <x:v>C002</x:v>
      </x:c>
      <x:c r="X56" s="2" t="str">
        <x:v>Confirmed</x:v>
      </x:c>
      <x:c r="Y56" s="2" t="n">
        <x:v>40</x:v>
      </x:c>
      <x:c r="Z56" s="2" t="n">
        <x:v>10</x:v>
      </x:c>
      <x:c r="AA56" s="11" t="n">
        <x:f>COUNTIFS('StudentTrips'!$B$2:$B$1201,A56)</x:f>
        <x:v>10</x:v>
      </x:c>
      <x:c r="AB56" s="11" t="n">
        <x:f>COUNTIFS('StudentTrips'!$B$2:$B$1201,A56,'StudentTrips'!$K$2:$K$1201,"&gt;0")</x:f>
        <x:v>10</x:v>
      </x:c>
      <x:c r="AC56" s="11" t="n">
        <x:f>COUNTIFS('StudentTrips'!$B$2:$B$1201,A56,'StudentTrips'!$Q$2:$Q$1201,"&gt;0")</x:f>
        <x:v>10</x:v>
      </x:c>
      <x:c r="AD56" s="11" t="n">
        <x:f>AB56-AC56</x:f>
        <x:v>0</x:v>
      </x:c>
      <x:c r="AE56" s="11" t="n">
        <x:f>COUNTIFS('StudentTrips'!$B$2:$B$1201,A56,'StudentTrips'!$W$2:$W$1201,"Declared absent")</x:f>
        <x:v>0</x:v>
      </x:c>
      <x:c r="AF56" s="11" t="n">
        <x:f>COUNTIFS('StudentTrips'!$B$2:$B$1201,A56,'StudentTrips'!$W$2:$W$1201,"No show")</x:f>
        <x:v>0</x:v>
      </x:c>
      <x:c r="AG56" s="11" t="n">
        <x:f>COUNTIFS('StudentTrips'!$B$2:$B$1201,A56,'StudentTrips'!$W$2:$W$1201,"Cancelled transport")</x:f>
        <x:v>0</x:v>
      </x:c>
    </x:row>
    <x:row r="57" ht="21" customHeight="1">
      <x:c r="A57" s="2" t="str">
        <x:v>T20261007-1-3</x:v>
      </x:c>
      <x:c r="B57" s="7" t="n">
        <x:v>46302</x:v>
      </x:c>
      <x:c r="C57" s="2" t="n">
        <x:v>1</x:v>
      </x:c>
      <x:c r="D57" s="2" t="str">
        <x:v>Batch 1 Junior and Senior pickup</x:v>
      </x:c>
      <x:c r="E57" s="2" t="str">
        <x:v>BUS003</x:v>
      </x:c>
      <x:c r="F57" s="2" t="str">
        <x:v>R3</x:v>
      </x:c>
      <x:c r="G57" s="2" t="str">
        <x:v>D003</x:v>
      </x:c>
      <x:c r="H57" s="2" t="str">
        <x:v>S003</x:v>
      </x:c>
      <x:c r="I57" s="2" t="str">
        <x:v>C003</x:v>
      </x:c>
      <x:c r="J57" s="8" t="n">
        <x:v>46302.22916666667</x:v>
      </x:c>
      <x:c r="K57" s="8" t="n">
        <x:v>46302.28125</x:v>
      </x:c>
      <x:c r="L57" s="8" t="n">
        <x:v>46302.22916666667</x:v>
      </x:c>
      <x:c r="M57" s="2" t="str">
        <x:v>DEP01</x:v>
      </x:c>
      <x:c r="N57" s="9" t="n">
        <x:v>25.276</x:v>
      </x:c>
      <x:c r="O57" s="9" t="n">
        <x:v>51.498</x:v>
      </x:c>
      <x:c r="P57" s="8" t="n">
        <x:v>46302.28125</x:v>
      </x:c>
      <x:c r="Q57" s="2" t="str">
        <x:v>SCH01</x:v>
      </x:c>
      <x:c r="R57" s="9" t="n">
        <x:v>25.285</x:v>
      </x:c>
      <x:c r="S57" s="9" t="n">
        <x:v>51.51</x:v>
      </x:c>
      <x:c r="T57" s="2" t="str">
        <x:v>Completed</x:v>
      </x:c>
      <x:c r="U57" s="2" t="str">
        <x:v>Synced</x:v>
      </x:c>
      <x:c r="V57" s="8" t="n">
        <x:v>46302.28090277778</x:v>
      </x:c>
      <x:c r="W57" s="2" t="str">
        <x:v>C003</x:v>
      </x:c>
      <x:c r="X57" s="2" t="str">
        <x:v>Confirmed</x:v>
      </x:c>
      <x:c r="Y57" s="2" t="n">
        <x:v>40</x:v>
      </x:c>
      <x:c r="Z57" s="2" t="n">
        <x:v>20</x:v>
      </x:c>
      <x:c r="AA57" s="11" t="n">
        <x:f>COUNTIFS('StudentTrips'!$B$2:$B$1201,A57)</x:f>
        <x:v>20</x:v>
      </x:c>
      <x:c r="AB57" s="11" t="n">
        <x:f>COUNTIFS('StudentTrips'!$B$2:$B$1201,A57,'StudentTrips'!$K$2:$K$1201,"&gt;0")</x:f>
        <x:v>20</x:v>
      </x:c>
      <x:c r="AC57" s="11" t="n">
        <x:f>COUNTIFS('StudentTrips'!$B$2:$B$1201,A57,'StudentTrips'!$Q$2:$Q$1201,"&gt;0")</x:f>
        <x:v>20</x:v>
      </x:c>
      <x:c r="AD57" s="11" t="n">
        <x:f>AB57-AC57</x:f>
        <x:v>0</x:v>
      </x:c>
      <x:c r="AE57" s="11" t="n">
        <x:f>COUNTIFS('StudentTrips'!$B$2:$B$1201,A57,'StudentTrips'!$W$2:$W$1201,"Declared absent")</x:f>
        <x:v>0</x:v>
      </x:c>
      <x:c r="AF57" s="11" t="n">
        <x:f>COUNTIFS('StudentTrips'!$B$2:$B$1201,A57,'StudentTrips'!$W$2:$W$1201,"No show")</x:f>
        <x:v>0</x:v>
      </x:c>
      <x:c r="AG57" s="11" t="n">
        <x:f>COUNTIFS('StudentTrips'!$B$2:$B$1201,A57,'StudentTrips'!$W$2:$W$1201,"Cancelled transport")</x:f>
        <x:v>0</x:v>
      </x:c>
    </x:row>
    <x:row r="58" ht="21" customHeight="1">
      <x:c r="A58" s="2" t="str">
        <x:v>T20261007-2-3</x:v>
      </x:c>
      <x:c r="B58" s="7" t="n">
        <x:v>46302</x:v>
      </x:c>
      <x:c r="C58" s="2" t="n">
        <x:v>2</x:v>
      </x:c>
      <x:c r="D58" s="2" t="str">
        <x:v>Batch 1 Junior drop-off + Batch 2 Junior and Senior pickup</x:v>
      </x:c>
      <x:c r="E58" s="2" t="str">
        <x:v>BUS003</x:v>
      </x:c>
      <x:c r="F58" s="2" t="str">
        <x:v>R3</x:v>
      </x:c>
      <x:c r="G58" s="2" t="str">
        <x:v>D003</x:v>
      </x:c>
      <x:c r="H58" s="2" t="str">
        <x:v>S003</x:v>
      </x:c>
      <x:c r="I58" s="2" t="str">
        <x:v>C003</x:v>
      </x:c>
      <x:c r="J58" s="8" t="n">
        <x:v>46302.4375</x:v>
      </x:c>
      <x:c r="K58" s="8" t="n">
        <x:v>46302.51041666667</x:v>
      </x:c>
      <x:c r="L58" s="8" t="n">
        <x:v>46302.4375</x:v>
      </x:c>
      <x:c r="M58" s="2" t="str">
        <x:v>SCH01</x:v>
      </x:c>
      <x:c r="N58" s="9" t="n">
        <x:v>25.285</x:v>
      </x:c>
      <x:c r="O58" s="9" t="n">
        <x:v>51.51</x:v>
      </x:c>
      <x:c r="P58" s="8" t="n">
        <x:v>46302.51041666667</x:v>
      </x:c>
      <x:c r="Q58" s="2" t="str">
        <x:v>SCH01</x:v>
      </x:c>
      <x:c r="R58" s="9" t="n">
        <x:v>25.285</x:v>
      </x:c>
      <x:c r="S58" s="9" t="n">
        <x:v>51.51</x:v>
      </x:c>
      <x:c r="T58" s="2" t="str">
        <x:v>Completed</x:v>
      </x:c>
      <x:c r="U58" s="2" t="str">
        <x:v>Synced</x:v>
      </x:c>
      <x:c r="V58" s="8" t="n">
        <x:v>46302.51006944445</x:v>
      </x:c>
      <x:c r="W58" s="2" t="str">
        <x:v>C003</x:v>
      </x:c>
      <x:c r="X58" s="2" t="str">
        <x:v>Confirmed</x:v>
      </x:c>
      <x:c r="Y58" s="2" t="n">
        <x:v>40</x:v>
      </x:c>
      <x:c r="Z58" s="2" t="n">
        <x:v>20</x:v>
      </x:c>
      <x:c r="AA58" s="11" t="n">
        <x:f>COUNTIFS('StudentTrips'!$B$2:$B$1201,A58)</x:f>
        <x:v>30</x:v>
      </x:c>
      <x:c r="AB58" s="11" t="n">
        <x:f>COUNTIFS('StudentTrips'!$B$2:$B$1201,A58,'StudentTrips'!$K$2:$K$1201,"&gt;0")</x:f>
        <x:v>30</x:v>
      </x:c>
      <x:c r="AC58" s="11" t="n">
        <x:f>COUNTIFS('StudentTrips'!$B$2:$B$1201,A58,'StudentTrips'!$Q$2:$Q$1201,"&gt;0")</x:f>
        <x:v>30</x:v>
      </x:c>
      <x:c r="AD58" s="11" t="n">
        <x:f>AB58-AC58</x:f>
        <x:v>0</x:v>
      </x:c>
      <x:c r="AE58" s="11" t="n">
        <x:f>COUNTIFS('StudentTrips'!$B$2:$B$1201,A58,'StudentTrips'!$W$2:$W$1201,"Declared absent")</x:f>
        <x:v>0</x:v>
      </x:c>
      <x:c r="AF58" s="11" t="n">
        <x:f>COUNTIFS('StudentTrips'!$B$2:$B$1201,A58,'StudentTrips'!$W$2:$W$1201,"No show")</x:f>
        <x:v>0</x:v>
      </x:c>
      <x:c r="AG58" s="11" t="n">
        <x:f>COUNTIFS('StudentTrips'!$B$2:$B$1201,A58,'StudentTrips'!$W$2:$W$1201,"Cancelled transport")</x:f>
        <x:v>0</x:v>
      </x:c>
    </x:row>
    <x:row r="59" ht="21" customHeight="1">
      <x:c r="A59" s="2" t="str">
        <x:v>T20261007-3-3</x:v>
      </x:c>
      <x:c r="B59" s="7" t="n">
        <x:v>46302</x:v>
      </x:c>
      <x:c r="C59" s="2" t="n">
        <x:v>3</x:v>
      </x:c>
      <x:c r="D59" s="2" t="str">
        <x:v>Batch 1 Senior drop-off</x:v>
      </x:c>
      <x:c r="E59" s="2" t="str">
        <x:v>BUS003</x:v>
      </x:c>
      <x:c r="F59" s="2" t="str">
        <x:v>R3</x:v>
      </x:c>
      <x:c r="G59" s="2" t="str">
        <x:v>D003</x:v>
      </x:c>
      <x:c r="H59" s="2" t="str">
        <x:v>S003</x:v>
      </x:c>
      <x:c r="I59" s="2" t="str">
        <x:v>C003</x:v>
      </x:c>
      <x:c r="J59" s="8" t="n">
        <x:v>46302.57291666667</x:v>
      </x:c>
      <x:c r="K59" s="8" t="n">
        <x:v>46302.60416666667</x:v>
      </x:c>
      <x:c r="L59" s="8" t="n">
        <x:v>46302.57291666667</x:v>
      </x:c>
      <x:c r="M59" s="2" t="str">
        <x:v>SCH01</x:v>
      </x:c>
      <x:c r="N59" s="9" t="n">
        <x:v>25.285</x:v>
      </x:c>
      <x:c r="O59" s="9" t="n">
        <x:v>51.51</x:v>
      </x:c>
      <x:c r="P59" s="8" t="n">
        <x:v>46302.603472222225</x:v>
      </x:c>
      <x:c r="Q59" s="2" t="str">
        <x:v>SCH01</x:v>
      </x:c>
      <x:c r="R59" s="9" t="n">
        <x:v>25.285</x:v>
      </x:c>
      <x:c r="S59" s="9" t="n">
        <x:v>51.51</x:v>
      </x:c>
      <x:c r="T59" s="2" t="str">
        <x:v>Completed</x:v>
      </x:c>
      <x:c r="U59" s="2" t="str">
        <x:v>Synced</x:v>
      </x:c>
      <x:c r="V59" s="8" t="n">
        <x:v>46302.603125</x:v>
      </x:c>
      <x:c r="W59" s="2" t="str">
        <x:v>C003</x:v>
      </x:c>
      <x:c r="X59" s="2" t="str">
        <x:v>Confirmed</x:v>
      </x:c>
      <x:c r="Y59" s="2" t="n">
        <x:v>40</x:v>
      </x:c>
      <x:c r="Z59" s="2" t="n">
        <x:v>10</x:v>
      </x:c>
      <x:c r="AA59" s="11" t="n">
        <x:f>COUNTIFS('StudentTrips'!$B$2:$B$1201,A59)</x:f>
        <x:v>10</x:v>
      </x:c>
      <x:c r="AB59" s="11" t="n">
        <x:f>COUNTIFS('StudentTrips'!$B$2:$B$1201,A59,'StudentTrips'!$K$2:$K$1201,"&gt;0")</x:f>
        <x:v>10</x:v>
      </x:c>
      <x:c r="AC59" s="11" t="n">
        <x:f>COUNTIFS('StudentTrips'!$B$2:$B$1201,A59,'StudentTrips'!$Q$2:$Q$1201,"&gt;0")</x:f>
        <x:v>10</x:v>
      </x:c>
      <x:c r="AD59" s="11" t="n">
        <x:f>AB59-AC59</x:f>
        <x:v>0</x:v>
      </x:c>
      <x:c r="AE59" s="11" t="n">
        <x:f>COUNTIFS('StudentTrips'!$B$2:$B$1201,A59,'StudentTrips'!$W$2:$W$1201,"Declared absent")</x:f>
        <x:v>0</x:v>
      </x:c>
      <x:c r="AF59" s="11" t="n">
        <x:f>COUNTIFS('StudentTrips'!$B$2:$B$1201,A59,'StudentTrips'!$W$2:$W$1201,"No show")</x:f>
        <x:v>0</x:v>
      </x:c>
      <x:c r="AG59" s="11" t="n">
        <x:f>COUNTIFS('StudentTrips'!$B$2:$B$1201,A59,'StudentTrips'!$W$2:$W$1201,"Cancelled transport")</x:f>
        <x:v>0</x:v>
      </x:c>
    </x:row>
    <x:row r="60" ht="21" customHeight="1">
      <x:c r="A60" s="2" t="str">
        <x:v>T20261007-4-3</x:v>
      </x:c>
      <x:c r="B60" s="7" t="n">
        <x:v>46302</x:v>
      </x:c>
      <x:c r="C60" s="2" t="n">
        <x:v>4</x:v>
      </x:c>
      <x:c r="D60" s="2" t="str">
        <x:v>Batch 2 Junior drop-off</x:v>
      </x:c>
      <x:c r="E60" s="2" t="str">
        <x:v>BUS003</x:v>
      </x:c>
      <x:c r="F60" s="2" t="str">
        <x:v>R3</x:v>
      </x:c>
      <x:c r="G60" s="2" t="str">
        <x:v>D003</x:v>
      </x:c>
      <x:c r="H60" s="2" t="str">
        <x:v>S003</x:v>
      </x:c>
      <x:c r="I60" s="2" t="str">
        <x:v>C003</x:v>
      </x:c>
      <x:c r="J60" s="8" t="n">
        <x:v>46302.60416666667</x:v>
      </x:c>
      <x:c r="K60" s="8" t="n">
        <x:v>46302.64583333333</x:v>
      </x:c>
      <x:c r="L60" s="8" t="n">
        <x:v>46302.60416666667</x:v>
      </x:c>
      <x:c r="M60" s="2" t="str">
        <x:v>SCH01</x:v>
      </x:c>
      <x:c r="N60" s="9" t="n">
        <x:v>25.285</x:v>
      </x:c>
      <x:c r="O60" s="9" t="n">
        <x:v>51.51</x:v>
      </x:c>
      <x:c r="P60" s="8" t="n">
        <x:v>46302.64583333333</x:v>
      </x:c>
      <x:c r="Q60" s="2" t="str">
        <x:v>DEP01</x:v>
      </x:c>
      <x:c r="R60" s="9" t="n">
        <x:v>25.276</x:v>
      </x:c>
      <x:c r="S60" s="9" t="n">
        <x:v>51.498</x:v>
      </x:c>
      <x:c r="T60" s="2" t="str">
        <x:v>Completed</x:v>
      </x:c>
      <x:c r="U60" s="2" t="str">
        <x:v>Synced</x:v>
      </x:c>
      <x:c r="V60" s="8" t="n">
        <x:v>46302.645486111105</x:v>
      </x:c>
      <x:c r="W60" s="2" t="str">
        <x:v>C003</x:v>
      </x:c>
      <x:c r="X60" s="2" t="str">
        <x:v>Confirmed</x:v>
      </x:c>
      <x:c r="Y60" s="2" t="n">
        <x:v>40</x:v>
      </x:c>
      <x:c r="Z60" s="2" t="n">
        <x:v>10</x:v>
      </x:c>
      <x:c r="AA60" s="11" t="n">
        <x:f>COUNTIFS('StudentTrips'!$B$2:$B$1201,A60)</x:f>
        <x:v>10</x:v>
      </x:c>
      <x:c r="AB60" s="11" t="n">
        <x:f>COUNTIFS('StudentTrips'!$B$2:$B$1201,A60,'StudentTrips'!$K$2:$K$1201,"&gt;0")</x:f>
        <x:v>10</x:v>
      </x:c>
      <x:c r="AC60" s="11" t="n">
        <x:f>COUNTIFS('StudentTrips'!$B$2:$B$1201,A60,'StudentTrips'!$Q$2:$Q$1201,"&gt;0")</x:f>
        <x:v>10</x:v>
      </x:c>
      <x:c r="AD60" s="11" t="n">
        <x:f>AB60-AC60</x:f>
        <x:v>0</x:v>
      </x:c>
      <x:c r="AE60" s="11" t="n">
        <x:f>COUNTIFS('StudentTrips'!$B$2:$B$1201,A60,'StudentTrips'!$W$2:$W$1201,"Declared absent")</x:f>
        <x:v>0</x:v>
      </x:c>
      <x:c r="AF60" s="11" t="n">
        <x:f>COUNTIFS('StudentTrips'!$B$2:$B$1201,A60,'StudentTrips'!$W$2:$W$1201,"No show")</x:f>
        <x:v>0</x:v>
      </x:c>
      <x:c r="AG60" s="11" t="n">
        <x:f>COUNTIFS('StudentTrips'!$B$2:$B$1201,A60,'StudentTrips'!$W$2:$W$1201,"Cancelled transport")</x:f>
        <x:v>0</x:v>
      </x:c>
    </x:row>
    <x:row r="61" ht="21" customHeight="1">
      <x:c r="A61" s="2" t="str">
        <x:v>T20261007-5-3</x:v>
      </x:c>
      <x:c r="B61" s="7" t="n">
        <x:v>46302</x:v>
      </x:c>
      <x:c r="C61" s="2" t="n">
        <x:v>5</x:v>
      </x:c>
      <x:c r="D61" s="2" t="str">
        <x:v>Batch 2 Senior drop-off</x:v>
      </x:c>
      <x:c r="E61" s="2" t="str">
        <x:v>BUS003</x:v>
      </x:c>
      <x:c r="F61" s="2" t="str">
        <x:v>R3</x:v>
      </x:c>
      <x:c r="G61" s="2" t="str">
        <x:v>D003</x:v>
      </x:c>
      <x:c r="H61" s="2" t="str">
        <x:v>S003</x:v>
      </x:c>
      <x:c r="I61" s="2" t="str">
        <x:v>C003</x:v>
      </x:c>
      <x:c r="J61" s="8" t="n">
        <x:v>46302.70833333333</x:v>
      </x:c>
      <x:c r="K61" s="8" t="n">
        <x:v>46302.75</x:v>
      </x:c>
      <x:c r="L61" s="8" t="n">
        <x:v>46302.70833333333</x:v>
      </x:c>
      <x:c r="M61" s="2" t="str">
        <x:v>SCH01</x:v>
      </x:c>
      <x:c r="N61" s="9" t="n">
        <x:v>25.285</x:v>
      </x:c>
      <x:c r="O61" s="9" t="n">
        <x:v>51.51</x:v>
      </x:c>
      <x:c r="P61" s="8" t="n">
        <x:v>46302.75</x:v>
      </x:c>
      <x:c r="Q61" s="2" t="str">
        <x:v>DEP01</x:v>
      </x:c>
      <x:c r="R61" s="9" t="n">
        <x:v>25.276</x:v>
      </x:c>
      <x:c r="S61" s="9" t="n">
        <x:v>51.498</x:v>
      </x:c>
      <x:c r="T61" s="2" t="str">
        <x:v>Completed</x:v>
      </x:c>
      <x:c r="U61" s="2" t="str">
        <x:v>Synced</x:v>
      </x:c>
      <x:c r="V61" s="8" t="n">
        <x:v>46302.74965277778</x:v>
      </x:c>
      <x:c r="W61" s="2" t="str">
        <x:v>C003</x:v>
      </x:c>
      <x:c r="X61" s="2" t="str">
        <x:v>Confirmed</x:v>
      </x:c>
      <x:c r="Y61" s="2" t="n">
        <x:v>40</x:v>
      </x:c>
      <x:c r="Z61" s="2" t="n">
        <x:v>10</x:v>
      </x:c>
      <x:c r="AA61" s="11" t="n">
        <x:f>COUNTIFS('StudentTrips'!$B$2:$B$1201,A61)</x:f>
        <x:v>10</x:v>
      </x:c>
      <x:c r="AB61" s="11" t="n">
        <x:f>COUNTIFS('StudentTrips'!$B$2:$B$1201,A61,'StudentTrips'!$K$2:$K$1201,"&gt;0")</x:f>
        <x:v>10</x:v>
      </x:c>
      <x:c r="AC61" s="11" t="n">
        <x:f>COUNTIFS('StudentTrips'!$B$2:$B$1201,A61,'StudentTrips'!$Q$2:$Q$1201,"&gt;0")</x:f>
        <x:v>10</x:v>
      </x:c>
      <x:c r="AD61" s="11" t="n">
        <x:f>AB61-AC61</x:f>
        <x:v>0</x:v>
      </x:c>
      <x:c r="AE61" s="11" t="n">
        <x:f>COUNTIFS('StudentTrips'!$B$2:$B$1201,A61,'StudentTrips'!$W$2:$W$1201,"Declared absent")</x:f>
        <x:v>0</x:v>
      </x:c>
      <x:c r="AF61" s="11" t="n">
        <x:f>COUNTIFS('StudentTrips'!$B$2:$B$1201,A61,'StudentTrips'!$W$2:$W$1201,"No show")</x:f>
        <x:v>0</x:v>
      </x:c>
      <x:c r="AG61" s="11" t="n">
        <x:f>COUNTIFS('StudentTrips'!$B$2:$B$1201,A61,'StudentTrips'!$W$2:$W$1201,"Cancelled transport")</x:f>
        <x:v>0</x:v>
      </x:c>
    </x:row>
    <x:row r="62" ht="21" customHeight="1">
      <x:c r="A62" s="2" t="str">
        <x:v>T20261008-1-1</x:v>
      </x:c>
      <x:c r="B62" s="7" t="n">
        <x:v>46303</x:v>
      </x:c>
      <x:c r="C62" s="2" t="n">
        <x:v>1</x:v>
      </x:c>
      <x:c r="D62" s="2" t="str">
        <x:v>Batch 1 Junior and Senior pickup</x:v>
      </x:c>
      <x:c r="E62" s="2" t="str">
        <x:v>BUS001</x:v>
      </x:c>
      <x:c r="F62" s="2" t="str">
        <x:v>R1</x:v>
      </x:c>
      <x:c r="G62" s="2" t="str">
        <x:v>D001</x:v>
      </x:c>
      <x:c r="H62" s="2" t="str">
        <x:v>S001</x:v>
      </x:c>
      <x:c r="I62" s="2" t="str">
        <x:v>C001</x:v>
      </x:c>
      <x:c r="J62" s="8" t="n">
        <x:v>46303.22916666667</x:v>
      </x:c>
      <x:c r="K62" s="8" t="n">
        <x:v>46303.28125</x:v>
      </x:c>
      <x:c r="L62" s="8" t="n">
        <x:v>46303.22916666667</x:v>
      </x:c>
      <x:c r="M62" s="2" t="str">
        <x:v>DEP01</x:v>
      </x:c>
      <x:c r="N62" s="9" t="n">
        <x:v>25.276</x:v>
      </x:c>
      <x:c r="O62" s="9" t="n">
        <x:v>51.498</x:v>
      </x:c>
      <x:c r="P62" s="8" t="n">
        <x:v>46303.28125</x:v>
      </x:c>
      <x:c r="Q62" s="2" t="str">
        <x:v>SCH01</x:v>
      </x:c>
      <x:c r="R62" s="9" t="n">
        <x:v>25.285</x:v>
      </x:c>
      <x:c r="S62" s="9" t="n">
        <x:v>51.51</x:v>
      </x:c>
      <x:c r="T62" s="2" t="str">
        <x:v>Completed</x:v>
      </x:c>
      <x:c r="U62" s="2" t="str">
        <x:v>Synced</x:v>
      </x:c>
      <x:c r="V62" s="8" t="n">
        <x:v>46303.28090277778</x:v>
      </x:c>
      <x:c r="W62" s="2" t="str">
        <x:v>C001</x:v>
      </x:c>
      <x:c r="X62" s="2" t="str">
        <x:v>Confirmed</x:v>
      </x:c>
      <x:c r="Y62" s="2" t="n">
        <x:v>40</x:v>
      </x:c>
      <x:c r="Z62" s="2" t="n">
        <x:v>20</x:v>
      </x:c>
      <x:c r="AA62" s="11" t="n">
        <x:f>COUNTIFS('StudentTrips'!$B$2:$B$1201,A62)</x:f>
        <x:v>20</x:v>
      </x:c>
      <x:c r="AB62" s="11" t="n">
        <x:f>COUNTIFS('StudentTrips'!$B$2:$B$1201,A62,'StudentTrips'!$K$2:$K$1201,"&gt;0")</x:f>
        <x:v>20</x:v>
      </x:c>
      <x:c r="AC62" s="11" t="n">
        <x:f>COUNTIFS('StudentTrips'!$B$2:$B$1201,A62,'StudentTrips'!$Q$2:$Q$1201,"&gt;0")</x:f>
        <x:v>20</x:v>
      </x:c>
      <x:c r="AD62" s="11" t="n">
        <x:f>AB62-AC62</x:f>
        <x:v>0</x:v>
      </x:c>
      <x:c r="AE62" s="11" t="n">
        <x:f>COUNTIFS('StudentTrips'!$B$2:$B$1201,A62,'StudentTrips'!$W$2:$W$1201,"Declared absent")</x:f>
        <x:v>0</x:v>
      </x:c>
      <x:c r="AF62" s="11" t="n">
        <x:f>COUNTIFS('StudentTrips'!$B$2:$B$1201,A62,'StudentTrips'!$W$2:$W$1201,"No show")</x:f>
        <x:v>0</x:v>
      </x:c>
      <x:c r="AG62" s="11" t="n">
        <x:f>COUNTIFS('StudentTrips'!$B$2:$B$1201,A62,'StudentTrips'!$W$2:$W$1201,"Cancelled transport")</x:f>
        <x:v>0</x:v>
      </x:c>
    </x:row>
    <x:row r="63" ht="21" customHeight="1">
      <x:c r="A63" s="2" t="str">
        <x:v>T20261008-2-1</x:v>
      </x:c>
      <x:c r="B63" s="7" t="n">
        <x:v>46303</x:v>
      </x:c>
      <x:c r="C63" s="2" t="n">
        <x:v>2</x:v>
      </x:c>
      <x:c r="D63" s="2" t="str">
        <x:v>Batch 1 Junior drop-off + Batch 2 Junior and Senior pickup</x:v>
      </x:c>
      <x:c r="E63" s="2" t="str">
        <x:v>BUS001</x:v>
      </x:c>
      <x:c r="F63" s="2" t="str">
        <x:v>R1</x:v>
      </x:c>
      <x:c r="G63" s="2" t="str">
        <x:v>D001</x:v>
      </x:c>
      <x:c r="H63" s="2" t="str">
        <x:v>S001</x:v>
      </x:c>
      <x:c r="I63" s="2" t="str">
        <x:v>C001</x:v>
      </x:c>
      <x:c r="J63" s="8" t="n">
        <x:v>46303.4375</x:v>
      </x:c>
      <x:c r="K63" s="8" t="n">
        <x:v>46303.51041666667</x:v>
      </x:c>
      <x:c r="L63" s="8" t="n">
        <x:v>46303.4375</x:v>
      </x:c>
      <x:c r="M63" s="2" t="str">
        <x:v>SCH01</x:v>
      </x:c>
      <x:c r="N63" s="9" t="n">
        <x:v>25.285</x:v>
      </x:c>
      <x:c r="O63" s="9" t="n">
        <x:v>51.51</x:v>
      </x:c>
      <x:c r="P63" s="8" t="n">
        <x:v>46303.51041666667</x:v>
      </x:c>
      <x:c r="Q63" s="2" t="str">
        <x:v>SCH01</x:v>
      </x:c>
      <x:c r="R63" s="9" t="n">
        <x:v>25.285</x:v>
      </x:c>
      <x:c r="S63" s="9" t="n">
        <x:v>51.51</x:v>
      </x:c>
      <x:c r="T63" s="2" t="str">
        <x:v>Completed</x:v>
      </x:c>
      <x:c r="U63" s="2" t="str">
        <x:v>Synced</x:v>
      </x:c>
      <x:c r="V63" s="8" t="n">
        <x:v>46303.51006944445</x:v>
      </x:c>
      <x:c r="W63" s="2" t="str">
        <x:v>C001</x:v>
      </x:c>
      <x:c r="X63" s="2" t="str">
        <x:v>Confirmed</x:v>
      </x:c>
      <x:c r="Y63" s="2" t="n">
        <x:v>40</x:v>
      </x:c>
      <x:c r="Z63" s="2" t="n">
        <x:v>20</x:v>
      </x:c>
      <x:c r="AA63" s="11" t="n">
        <x:f>COUNTIFS('StudentTrips'!$B$2:$B$1201,A63)</x:f>
        <x:v>30</x:v>
      </x:c>
      <x:c r="AB63" s="11" t="n">
        <x:f>COUNTIFS('StudentTrips'!$B$2:$B$1201,A63,'StudentTrips'!$K$2:$K$1201,"&gt;0")</x:f>
        <x:v>30</x:v>
      </x:c>
      <x:c r="AC63" s="11" t="n">
        <x:f>COUNTIFS('StudentTrips'!$B$2:$B$1201,A63,'StudentTrips'!$Q$2:$Q$1201,"&gt;0")</x:f>
        <x:v>30</x:v>
      </x:c>
      <x:c r="AD63" s="11" t="n">
        <x:f>AB63-AC63</x:f>
        <x:v>0</x:v>
      </x:c>
      <x:c r="AE63" s="11" t="n">
        <x:f>COUNTIFS('StudentTrips'!$B$2:$B$1201,A63,'StudentTrips'!$W$2:$W$1201,"Declared absent")</x:f>
        <x:v>0</x:v>
      </x:c>
      <x:c r="AF63" s="11" t="n">
        <x:f>COUNTIFS('StudentTrips'!$B$2:$B$1201,A63,'StudentTrips'!$W$2:$W$1201,"No show")</x:f>
        <x:v>0</x:v>
      </x:c>
      <x:c r="AG63" s="11" t="n">
        <x:f>COUNTIFS('StudentTrips'!$B$2:$B$1201,A63,'StudentTrips'!$W$2:$W$1201,"Cancelled transport")</x:f>
        <x:v>0</x:v>
      </x:c>
    </x:row>
    <x:row r="64" ht="21" customHeight="1">
      <x:c r="A64" s="2" t="str">
        <x:v>T20261008-3-1</x:v>
      </x:c>
      <x:c r="B64" s="7" t="n">
        <x:v>46303</x:v>
      </x:c>
      <x:c r="C64" s="2" t="n">
        <x:v>3</x:v>
      </x:c>
      <x:c r="D64" s="2" t="str">
        <x:v>Batch 1 Senior drop-off</x:v>
      </x:c>
      <x:c r="E64" s="2" t="str">
        <x:v>BUS001</x:v>
      </x:c>
      <x:c r="F64" s="2" t="str">
        <x:v>R1</x:v>
      </x:c>
      <x:c r="G64" s="2" t="str">
        <x:v>D001</x:v>
      </x:c>
      <x:c r="H64" s="2" t="str">
        <x:v>S001</x:v>
      </x:c>
      <x:c r="I64" s="2" t="str">
        <x:v>C001</x:v>
      </x:c>
      <x:c r="J64" s="8" t="n">
        <x:v>46303.57291666667</x:v>
      </x:c>
      <x:c r="K64" s="8" t="n">
        <x:v>46303.60416666667</x:v>
      </x:c>
      <x:c r="L64" s="8" t="n">
        <x:v>46303.57291666667</x:v>
      </x:c>
      <x:c r="M64" s="2" t="str">
        <x:v>SCH01</x:v>
      </x:c>
      <x:c r="N64" s="9" t="n">
        <x:v>25.285</x:v>
      </x:c>
      <x:c r="O64" s="9" t="n">
        <x:v>51.51</x:v>
      </x:c>
      <x:c r="P64" s="8" t="n">
        <x:v>46303.603472222225</x:v>
      </x:c>
      <x:c r="Q64" s="2" t="str">
        <x:v>SCH01</x:v>
      </x:c>
      <x:c r="R64" s="9" t="n">
        <x:v>25.285</x:v>
      </x:c>
      <x:c r="S64" s="9" t="n">
        <x:v>51.51</x:v>
      </x:c>
      <x:c r="T64" s="2" t="str">
        <x:v>Completed</x:v>
      </x:c>
      <x:c r="U64" s="2" t="str">
        <x:v>Synced</x:v>
      </x:c>
      <x:c r="V64" s="8" t="n">
        <x:v>46303.603125</x:v>
      </x:c>
      <x:c r="W64" s="2" t="str">
        <x:v>C001</x:v>
      </x:c>
      <x:c r="X64" s="2" t="str">
        <x:v>Confirmed</x:v>
      </x:c>
      <x:c r="Y64" s="2" t="n">
        <x:v>40</x:v>
      </x:c>
      <x:c r="Z64" s="2" t="n">
        <x:v>10</x:v>
      </x:c>
      <x:c r="AA64" s="11" t="n">
        <x:f>COUNTIFS('StudentTrips'!$B$2:$B$1201,A64)</x:f>
        <x:v>10</x:v>
      </x:c>
      <x:c r="AB64" s="11" t="n">
        <x:f>COUNTIFS('StudentTrips'!$B$2:$B$1201,A64,'StudentTrips'!$K$2:$K$1201,"&gt;0")</x:f>
        <x:v>10</x:v>
      </x:c>
      <x:c r="AC64" s="11" t="n">
        <x:f>COUNTIFS('StudentTrips'!$B$2:$B$1201,A64,'StudentTrips'!$Q$2:$Q$1201,"&gt;0")</x:f>
        <x:v>10</x:v>
      </x:c>
      <x:c r="AD64" s="11" t="n">
        <x:f>AB64-AC64</x:f>
        <x:v>0</x:v>
      </x:c>
      <x:c r="AE64" s="11" t="n">
        <x:f>COUNTIFS('StudentTrips'!$B$2:$B$1201,A64,'StudentTrips'!$W$2:$W$1201,"Declared absent")</x:f>
        <x:v>0</x:v>
      </x:c>
      <x:c r="AF64" s="11" t="n">
        <x:f>COUNTIFS('StudentTrips'!$B$2:$B$1201,A64,'StudentTrips'!$W$2:$W$1201,"No show")</x:f>
        <x:v>0</x:v>
      </x:c>
      <x:c r="AG64" s="11" t="n">
        <x:f>COUNTIFS('StudentTrips'!$B$2:$B$1201,A64,'StudentTrips'!$W$2:$W$1201,"Cancelled transport")</x:f>
        <x:v>0</x:v>
      </x:c>
    </x:row>
    <x:row r="65" ht="21" customHeight="1">
      <x:c r="A65" s="2" t="str">
        <x:v>T20261008-4-1</x:v>
      </x:c>
      <x:c r="B65" s="7" t="n">
        <x:v>46303</x:v>
      </x:c>
      <x:c r="C65" s="2" t="n">
        <x:v>4</x:v>
      </x:c>
      <x:c r="D65" s="2" t="str">
        <x:v>Batch 2 Junior drop-off</x:v>
      </x:c>
      <x:c r="E65" s="2" t="str">
        <x:v>BUS001</x:v>
      </x:c>
      <x:c r="F65" s="2" t="str">
        <x:v>R1</x:v>
      </x:c>
      <x:c r="G65" s="2" t="str">
        <x:v>D001</x:v>
      </x:c>
      <x:c r="H65" s="2" t="str">
        <x:v>S001</x:v>
      </x:c>
      <x:c r="I65" s="2" t="str">
        <x:v>C001</x:v>
      </x:c>
      <x:c r="J65" s="8" t="n">
        <x:v>46303.60416666667</x:v>
      </x:c>
      <x:c r="K65" s="8" t="n">
        <x:v>46303.64583333333</x:v>
      </x:c>
      <x:c r="L65" s="8" t="n">
        <x:v>46303.60416666667</x:v>
      </x:c>
      <x:c r="M65" s="2" t="str">
        <x:v>SCH01</x:v>
      </x:c>
      <x:c r="N65" s="9" t="n">
        <x:v>25.285</x:v>
      </x:c>
      <x:c r="O65" s="9" t="n">
        <x:v>51.51</x:v>
      </x:c>
      <x:c r="P65" s="8" t="n">
        <x:v>46303.64583333333</x:v>
      </x:c>
      <x:c r="Q65" s="2" t="str">
        <x:v>DEP01</x:v>
      </x:c>
      <x:c r="R65" s="9" t="n">
        <x:v>25.276</x:v>
      </x:c>
      <x:c r="S65" s="9" t="n">
        <x:v>51.498</x:v>
      </x:c>
      <x:c r="T65" s="2" t="str">
        <x:v>Completed</x:v>
      </x:c>
      <x:c r="U65" s="2" t="str">
        <x:v>Synced</x:v>
      </x:c>
      <x:c r="V65" s="8" t="n">
        <x:v>46303.645486111105</x:v>
      </x:c>
      <x:c r="W65" s="2" t="str">
        <x:v>C001</x:v>
      </x:c>
      <x:c r="X65" s="2" t="str">
        <x:v>Confirmed</x:v>
      </x:c>
      <x:c r="Y65" s="2" t="n">
        <x:v>40</x:v>
      </x:c>
      <x:c r="Z65" s="2" t="n">
        <x:v>10</x:v>
      </x:c>
      <x:c r="AA65" s="11" t="n">
        <x:f>COUNTIFS('StudentTrips'!$B$2:$B$1201,A65)</x:f>
        <x:v>10</x:v>
      </x:c>
      <x:c r="AB65" s="11" t="n">
        <x:f>COUNTIFS('StudentTrips'!$B$2:$B$1201,A65,'StudentTrips'!$K$2:$K$1201,"&gt;0")</x:f>
        <x:v>10</x:v>
      </x:c>
      <x:c r="AC65" s="11" t="n">
        <x:f>COUNTIFS('StudentTrips'!$B$2:$B$1201,A65,'StudentTrips'!$Q$2:$Q$1201,"&gt;0")</x:f>
        <x:v>10</x:v>
      </x:c>
      <x:c r="AD65" s="11" t="n">
        <x:f>AB65-AC65</x:f>
        <x:v>0</x:v>
      </x:c>
      <x:c r="AE65" s="11" t="n">
        <x:f>COUNTIFS('StudentTrips'!$B$2:$B$1201,A65,'StudentTrips'!$W$2:$W$1201,"Declared absent")</x:f>
        <x:v>0</x:v>
      </x:c>
      <x:c r="AF65" s="11" t="n">
        <x:f>COUNTIFS('StudentTrips'!$B$2:$B$1201,A65,'StudentTrips'!$W$2:$W$1201,"No show")</x:f>
        <x:v>0</x:v>
      </x:c>
      <x:c r="AG65" s="11" t="n">
        <x:f>COUNTIFS('StudentTrips'!$B$2:$B$1201,A65,'StudentTrips'!$W$2:$W$1201,"Cancelled transport")</x:f>
        <x:v>0</x:v>
      </x:c>
    </x:row>
    <x:row r="66" ht="21" customHeight="1">
      <x:c r="A66" s="2" t="str">
        <x:v>T20261008-5-1</x:v>
      </x:c>
      <x:c r="B66" s="7" t="n">
        <x:v>46303</x:v>
      </x:c>
      <x:c r="C66" s="2" t="n">
        <x:v>5</x:v>
      </x:c>
      <x:c r="D66" s="2" t="str">
        <x:v>Batch 2 Senior drop-off</x:v>
      </x:c>
      <x:c r="E66" s="2" t="str">
        <x:v>BUS001</x:v>
      </x:c>
      <x:c r="F66" s="2" t="str">
        <x:v>R1</x:v>
      </x:c>
      <x:c r="G66" s="2" t="str">
        <x:v>D001</x:v>
      </x:c>
      <x:c r="H66" s="2" t="str">
        <x:v>S001</x:v>
      </x:c>
      <x:c r="I66" s="2" t="str">
        <x:v>C001</x:v>
      </x:c>
      <x:c r="J66" s="8" t="n">
        <x:v>46303.70833333333</x:v>
      </x:c>
      <x:c r="K66" s="8" t="n">
        <x:v>46303.75</x:v>
      </x:c>
      <x:c r="L66" s="8" t="n">
        <x:v>46303.70833333333</x:v>
      </x:c>
      <x:c r="M66" s="2" t="str">
        <x:v>SCH01</x:v>
      </x:c>
      <x:c r="N66" s="9" t="n">
        <x:v>25.285</x:v>
      </x:c>
      <x:c r="O66" s="9" t="n">
        <x:v>51.51</x:v>
      </x:c>
      <x:c r="P66" s="8" t="n">
        <x:v>46303.75</x:v>
      </x:c>
      <x:c r="Q66" s="2" t="str">
        <x:v>DEP01</x:v>
      </x:c>
      <x:c r="R66" s="9" t="n">
        <x:v>25.276</x:v>
      </x:c>
      <x:c r="S66" s="9" t="n">
        <x:v>51.498</x:v>
      </x:c>
      <x:c r="T66" s="2" t="str">
        <x:v>Completed</x:v>
      </x:c>
      <x:c r="U66" s="2" t="str">
        <x:v>Synced</x:v>
      </x:c>
      <x:c r="V66" s="8" t="n">
        <x:v>46303.74965277778</x:v>
      </x:c>
      <x:c r="W66" s="2" t="str">
        <x:v>C001</x:v>
      </x:c>
      <x:c r="X66" s="2" t="str">
        <x:v>Confirmed</x:v>
      </x:c>
      <x:c r="Y66" s="2" t="n">
        <x:v>40</x:v>
      </x:c>
      <x:c r="Z66" s="2" t="n">
        <x:v>10</x:v>
      </x:c>
      <x:c r="AA66" s="11" t="n">
        <x:f>COUNTIFS('StudentTrips'!$B$2:$B$1201,A66)</x:f>
        <x:v>10</x:v>
      </x:c>
      <x:c r="AB66" s="11" t="n">
        <x:f>COUNTIFS('StudentTrips'!$B$2:$B$1201,A66,'StudentTrips'!$K$2:$K$1201,"&gt;0")</x:f>
        <x:v>10</x:v>
      </x:c>
      <x:c r="AC66" s="11" t="n">
        <x:f>COUNTIFS('StudentTrips'!$B$2:$B$1201,A66,'StudentTrips'!$Q$2:$Q$1201,"&gt;0")</x:f>
        <x:v>10</x:v>
      </x:c>
      <x:c r="AD66" s="11" t="n">
        <x:f>AB66-AC66</x:f>
        <x:v>0</x:v>
      </x:c>
      <x:c r="AE66" s="11" t="n">
        <x:f>COUNTIFS('StudentTrips'!$B$2:$B$1201,A66,'StudentTrips'!$W$2:$W$1201,"Declared absent")</x:f>
        <x:v>0</x:v>
      </x:c>
      <x:c r="AF66" s="11" t="n">
        <x:f>COUNTIFS('StudentTrips'!$B$2:$B$1201,A66,'StudentTrips'!$W$2:$W$1201,"No show")</x:f>
        <x:v>0</x:v>
      </x:c>
      <x:c r="AG66" s="11" t="n">
        <x:f>COUNTIFS('StudentTrips'!$B$2:$B$1201,A66,'StudentTrips'!$W$2:$W$1201,"Cancelled transport")</x:f>
        <x:v>0</x:v>
      </x:c>
    </x:row>
    <x:row r="67" ht="21" customHeight="1">
      <x:c r="A67" s="2" t="str">
        <x:v>T20261008-1-2</x:v>
      </x:c>
      <x:c r="B67" s="7" t="n">
        <x:v>46303</x:v>
      </x:c>
      <x:c r="C67" s="2" t="n">
        <x:v>1</x:v>
      </x:c>
      <x:c r="D67" s="2" t="str">
        <x:v>Batch 1 Junior and Senior pickup</x:v>
      </x:c>
      <x:c r="E67" s="2" t="str">
        <x:v>BUS002</x:v>
      </x:c>
      <x:c r="F67" s="2" t="str">
        <x:v>R2</x:v>
      </x:c>
      <x:c r="G67" s="2" t="str">
        <x:v>D002</x:v>
      </x:c>
      <x:c r="H67" s="2" t="str">
        <x:v>S002</x:v>
      </x:c>
      <x:c r="I67" s="2" t="str">
        <x:v>C002</x:v>
      </x:c>
      <x:c r="J67" s="8" t="n">
        <x:v>46303.22916666667</x:v>
      </x:c>
      <x:c r="K67" s="8" t="n">
        <x:v>46303.28125</x:v>
      </x:c>
      <x:c r="L67" s="8" t="n">
        <x:v>46303.22916666667</x:v>
      </x:c>
      <x:c r="M67" s="2" t="str">
        <x:v>DEP01</x:v>
      </x:c>
      <x:c r="N67" s="9" t="n">
        <x:v>25.276</x:v>
      </x:c>
      <x:c r="O67" s="9" t="n">
        <x:v>51.498</x:v>
      </x:c>
      <x:c r="P67" s="8" t="n">
        <x:v>46303.28125</x:v>
      </x:c>
      <x:c r="Q67" s="2" t="str">
        <x:v>SCH01</x:v>
      </x:c>
      <x:c r="R67" s="9" t="n">
        <x:v>25.285</x:v>
      </x:c>
      <x:c r="S67" s="9" t="n">
        <x:v>51.51</x:v>
      </x:c>
      <x:c r="T67" s="2" t="str">
        <x:v>Completed</x:v>
      </x:c>
      <x:c r="U67" s="2" t="str">
        <x:v>Synced</x:v>
      </x:c>
      <x:c r="V67" s="8" t="n">
        <x:v>46303.28090277778</x:v>
      </x:c>
      <x:c r="W67" s="2" t="str">
        <x:v>C002</x:v>
      </x:c>
      <x:c r="X67" s="2" t="str">
        <x:v>Confirmed</x:v>
      </x:c>
      <x:c r="Y67" s="2" t="n">
        <x:v>40</x:v>
      </x:c>
      <x:c r="Z67" s="2" t="n">
        <x:v>20</x:v>
      </x:c>
      <x:c r="AA67" s="11" t="n">
        <x:f>COUNTIFS('StudentTrips'!$B$2:$B$1201,A67)</x:f>
        <x:v>20</x:v>
      </x:c>
      <x:c r="AB67" s="11" t="n">
        <x:f>COUNTIFS('StudentTrips'!$B$2:$B$1201,A67,'StudentTrips'!$K$2:$K$1201,"&gt;0")</x:f>
        <x:v>20</x:v>
      </x:c>
      <x:c r="AC67" s="11" t="n">
        <x:f>COUNTIFS('StudentTrips'!$B$2:$B$1201,A67,'StudentTrips'!$Q$2:$Q$1201,"&gt;0")</x:f>
        <x:v>20</x:v>
      </x:c>
      <x:c r="AD67" s="11" t="n">
        <x:f>AB67-AC67</x:f>
        <x:v>0</x:v>
      </x:c>
      <x:c r="AE67" s="11" t="n">
        <x:f>COUNTIFS('StudentTrips'!$B$2:$B$1201,A67,'StudentTrips'!$W$2:$W$1201,"Declared absent")</x:f>
        <x:v>0</x:v>
      </x:c>
      <x:c r="AF67" s="11" t="n">
        <x:f>COUNTIFS('StudentTrips'!$B$2:$B$1201,A67,'StudentTrips'!$W$2:$W$1201,"No show")</x:f>
        <x:v>0</x:v>
      </x:c>
      <x:c r="AG67" s="11" t="n">
        <x:f>COUNTIFS('StudentTrips'!$B$2:$B$1201,A67,'StudentTrips'!$W$2:$W$1201,"Cancelled transport")</x:f>
        <x:v>0</x:v>
      </x:c>
    </x:row>
    <x:row r="68" ht="21" customHeight="1">
      <x:c r="A68" s="2" t="str">
        <x:v>T20261008-2-2</x:v>
      </x:c>
      <x:c r="B68" s="7" t="n">
        <x:v>46303</x:v>
      </x:c>
      <x:c r="C68" s="2" t="n">
        <x:v>2</x:v>
      </x:c>
      <x:c r="D68" s="2" t="str">
        <x:v>Batch 1 Junior drop-off + Batch 2 Junior and Senior pickup</x:v>
      </x:c>
      <x:c r="E68" s="2" t="str">
        <x:v>BUS002</x:v>
      </x:c>
      <x:c r="F68" s="2" t="str">
        <x:v>R2</x:v>
      </x:c>
      <x:c r="G68" s="2" t="str">
        <x:v>D002</x:v>
      </x:c>
      <x:c r="H68" s="2" t="str">
        <x:v>S002</x:v>
      </x:c>
      <x:c r="I68" s="2" t="str">
        <x:v>C002</x:v>
      </x:c>
      <x:c r="J68" s="8" t="n">
        <x:v>46303.4375</x:v>
      </x:c>
      <x:c r="K68" s="8" t="n">
        <x:v>46303.51041666667</x:v>
      </x:c>
      <x:c r="L68" s="8" t="n">
        <x:v>46303.4375</x:v>
      </x:c>
      <x:c r="M68" s="2" t="str">
        <x:v>SCH01</x:v>
      </x:c>
      <x:c r="N68" s="9" t="n">
        <x:v>25.285</x:v>
      </x:c>
      <x:c r="O68" s="9" t="n">
        <x:v>51.51</x:v>
      </x:c>
      <x:c r="P68" s="8" t="n">
        <x:v>46303.51041666667</x:v>
      </x:c>
      <x:c r="Q68" s="2" t="str">
        <x:v>SCH01</x:v>
      </x:c>
      <x:c r="R68" s="9" t="n">
        <x:v>25.285</x:v>
      </x:c>
      <x:c r="S68" s="9" t="n">
        <x:v>51.51</x:v>
      </x:c>
      <x:c r="T68" s="2" t="str">
        <x:v>Completed</x:v>
      </x:c>
      <x:c r="U68" s="2" t="str">
        <x:v>Synced</x:v>
      </x:c>
      <x:c r="V68" s="8" t="n">
        <x:v>46303.51006944445</x:v>
      </x:c>
      <x:c r="W68" s="2" t="str">
        <x:v>C002</x:v>
      </x:c>
      <x:c r="X68" s="2" t="str">
        <x:v>Confirmed</x:v>
      </x:c>
      <x:c r="Y68" s="2" t="n">
        <x:v>40</x:v>
      </x:c>
      <x:c r="Z68" s="2" t="n">
        <x:v>20</x:v>
      </x:c>
      <x:c r="AA68" s="11" t="n">
        <x:f>COUNTIFS('StudentTrips'!$B$2:$B$1201,A68)</x:f>
        <x:v>30</x:v>
      </x:c>
      <x:c r="AB68" s="11" t="n">
        <x:f>COUNTIFS('StudentTrips'!$B$2:$B$1201,A68,'StudentTrips'!$K$2:$K$1201,"&gt;0")</x:f>
        <x:v>30</x:v>
      </x:c>
      <x:c r="AC68" s="11" t="n">
        <x:f>COUNTIFS('StudentTrips'!$B$2:$B$1201,A68,'StudentTrips'!$Q$2:$Q$1201,"&gt;0")</x:f>
        <x:v>30</x:v>
      </x:c>
      <x:c r="AD68" s="11" t="n">
        <x:f>AB68-AC68</x:f>
        <x:v>0</x:v>
      </x:c>
      <x:c r="AE68" s="11" t="n">
        <x:f>COUNTIFS('StudentTrips'!$B$2:$B$1201,A68,'StudentTrips'!$W$2:$W$1201,"Declared absent")</x:f>
        <x:v>0</x:v>
      </x:c>
      <x:c r="AF68" s="11" t="n">
        <x:f>COUNTIFS('StudentTrips'!$B$2:$B$1201,A68,'StudentTrips'!$W$2:$W$1201,"No show")</x:f>
        <x:v>0</x:v>
      </x:c>
      <x:c r="AG68" s="11" t="n">
        <x:f>COUNTIFS('StudentTrips'!$B$2:$B$1201,A68,'StudentTrips'!$W$2:$W$1201,"Cancelled transport")</x:f>
        <x:v>0</x:v>
      </x:c>
    </x:row>
    <x:row r="69" ht="21" customHeight="1">
      <x:c r="A69" s="2" t="str">
        <x:v>T20261008-3-2</x:v>
      </x:c>
      <x:c r="B69" s="7" t="n">
        <x:v>46303</x:v>
      </x:c>
      <x:c r="C69" s="2" t="n">
        <x:v>3</x:v>
      </x:c>
      <x:c r="D69" s="2" t="str">
        <x:v>Batch 1 Senior drop-off</x:v>
      </x:c>
      <x:c r="E69" s="2" t="str">
        <x:v>BUS002</x:v>
      </x:c>
      <x:c r="F69" s="2" t="str">
        <x:v>R2</x:v>
      </x:c>
      <x:c r="G69" s="2" t="str">
        <x:v>D002</x:v>
      </x:c>
      <x:c r="H69" s="2" t="str">
        <x:v>S002</x:v>
      </x:c>
      <x:c r="I69" s="2" t="str">
        <x:v>C002</x:v>
      </x:c>
      <x:c r="J69" s="8" t="n">
        <x:v>46303.57291666667</x:v>
      </x:c>
      <x:c r="K69" s="8" t="n">
        <x:v>46303.60416666667</x:v>
      </x:c>
      <x:c r="L69" s="8" t="n">
        <x:v>46303.57291666667</x:v>
      </x:c>
      <x:c r="M69" s="2" t="str">
        <x:v>SCH01</x:v>
      </x:c>
      <x:c r="N69" s="9" t="n">
        <x:v>25.285</x:v>
      </x:c>
      <x:c r="O69" s="9" t="n">
        <x:v>51.51</x:v>
      </x:c>
      <x:c r="P69" s="8" t="n">
        <x:v>46303.603472222225</x:v>
      </x:c>
      <x:c r="Q69" s="2" t="str">
        <x:v>SCH01</x:v>
      </x:c>
      <x:c r="R69" s="9" t="n">
        <x:v>25.285</x:v>
      </x:c>
      <x:c r="S69" s="9" t="n">
        <x:v>51.51</x:v>
      </x:c>
      <x:c r="T69" s="2" t="str">
        <x:v>Completed</x:v>
      </x:c>
      <x:c r="U69" s="2" t="str">
        <x:v>Synced</x:v>
      </x:c>
      <x:c r="V69" s="8" t="n">
        <x:v>46303.603125</x:v>
      </x:c>
      <x:c r="W69" s="2" t="str">
        <x:v>C002</x:v>
      </x:c>
      <x:c r="X69" s="2" t="str">
        <x:v>Confirmed</x:v>
      </x:c>
      <x:c r="Y69" s="2" t="n">
        <x:v>40</x:v>
      </x:c>
      <x:c r="Z69" s="2" t="n">
        <x:v>10</x:v>
      </x:c>
      <x:c r="AA69" s="11" t="n">
        <x:f>COUNTIFS('StudentTrips'!$B$2:$B$1201,A69)</x:f>
        <x:v>10</x:v>
      </x:c>
      <x:c r="AB69" s="11" t="n">
        <x:f>COUNTIFS('StudentTrips'!$B$2:$B$1201,A69,'StudentTrips'!$K$2:$K$1201,"&gt;0")</x:f>
        <x:v>10</x:v>
      </x:c>
      <x:c r="AC69" s="11" t="n">
        <x:f>COUNTIFS('StudentTrips'!$B$2:$B$1201,A69,'StudentTrips'!$Q$2:$Q$1201,"&gt;0")</x:f>
        <x:v>10</x:v>
      </x:c>
      <x:c r="AD69" s="11" t="n">
        <x:f>AB69-AC69</x:f>
        <x:v>0</x:v>
      </x:c>
      <x:c r="AE69" s="11" t="n">
        <x:f>COUNTIFS('StudentTrips'!$B$2:$B$1201,A69,'StudentTrips'!$W$2:$W$1201,"Declared absent")</x:f>
        <x:v>0</x:v>
      </x:c>
      <x:c r="AF69" s="11" t="n">
        <x:f>COUNTIFS('StudentTrips'!$B$2:$B$1201,A69,'StudentTrips'!$W$2:$W$1201,"No show")</x:f>
        <x:v>0</x:v>
      </x:c>
      <x:c r="AG69" s="11" t="n">
        <x:f>COUNTIFS('StudentTrips'!$B$2:$B$1201,A69,'StudentTrips'!$W$2:$W$1201,"Cancelled transport")</x:f>
        <x:v>0</x:v>
      </x:c>
    </x:row>
    <x:row r="70" ht="21" customHeight="1">
      <x:c r="A70" s="2" t="str">
        <x:v>T20261008-4-2</x:v>
      </x:c>
      <x:c r="B70" s="7" t="n">
        <x:v>46303</x:v>
      </x:c>
      <x:c r="C70" s="2" t="n">
        <x:v>4</x:v>
      </x:c>
      <x:c r="D70" s="2" t="str">
        <x:v>Batch 2 Junior drop-off</x:v>
      </x:c>
      <x:c r="E70" s="2" t="str">
        <x:v>BUS002</x:v>
      </x:c>
      <x:c r="F70" s="2" t="str">
        <x:v>R2</x:v>
      </x:c>
      <x:c r="G70" s="2" t="str">
        <x:v>D002</x:v>
      </x:c>
      <x:c r="H70" s="2" t="str">
        <x:v>S002</x:v>
      </x:c>
      <x:c r="I70" s="2" t="str">
        <x:v>C002</x:v>
      </x:c>
      <x:c r="J70" s="8" t="n">
        <x:v>46303.60416666667</x:v>
      </x:c>
      <x:c r="K70" s="8" t="n">
        <x:v>46303.64583333333</x:v>
      </x:c>
      <x:c r="L70" s="8" t="n">
        <x:v>46303.60416666667</x:v>
      </x:c>
      <x:c r="M70" s="2" t="str">
        <x:v>SCH01</x:v>
      </x:c>
      <x:c r="N70" s="9" t="n">
        <x:v>25.285</x:v>
      </x:c>
      <x:c r="O70" s="9" t="n">
        <x:v>51.51</x:v>
      </x:c>
      <x:c r="P70" s="8" t="n">
        <x:v>46303.64583333333</x:v>
      </x:c>
      <x:c r="Q70" s="2" t="str">
        <x:v>DEP01</x:v>
      </x:c>
      <x:c r="R70" s="9" t="n">
        <x:v>25.276</x:v>
      </x:c>
      <x:c r="S70" s="9" t="n">
        <x:v>51.498</x:v>
      </x:c>
      <x:c r="T70" s="2" t="str">
        <x:v>Completed</x:v>
      </x:c>
      <x:c r="U70" s="2" t="str">
        <x:v>Synced</x:v>
      </x:c>
      <x:c r="V70" s="8" t="n">
        <x:v>46303.645486111105</x:v>
      </x:c>
      <x:c r="W70" s="2" t="str">
        <x:v>C002</x:v>
      </x:c>
      <x:c r="X70" s="2" t="str">
        <x:v>Confirmed</x:v>
      </x:c>
      <x:c r="Y70" s="2" t="n">
        <x:v>40</x:v>
      </x:c>
      <x:c r="Z70" s="2" t="n">
        <x:v>10</x:v>
      </x:c>
      <x:c r="AA70" s="11" t="n">
        <x:f>COUNTIFS('StudentTrips'!$B$2:$B$1201,A70)</x:f>
        <x:v>10</x:v>
      </x:c>
      <x:c r="AB70" s="11" t="n">
        <x:f>COUNTIFS('StudentTrips'!$B$2:$B$1201,A70,'StudentTrips'!$K$2:$K$1201,"&gt;0")</x:f>
        <x:v>10</x:v>
      </x:c>
      <x:c r="AC70" s="11" t="n">
        <x:f>COUNTIFS('StudentTrips'!$B$2:$B$1201,A70,'StudentTrips'!$Q$2:$Q$1201,"&gt;0")</x:f>
        <x:v>10</x:v>
      </x:c>
      <x:c r="AD70" s="11" t="n">
        <x:f>AB70-AC70</x:f>
        <x:v>0</x:v>
      </x:c>
      <x:c r="AE70" s="11" t="n">
        <x:f>COUNTIFS('StudentTrips'!$B$2:$B$1201,A70,'StudentTrips'!$W$2:$W$1201,"Declared absent")</x:f>
        <x:v>0</x:v>
      </x:c>
      <x:c r="AF70" s="11" t="n">
        <x:f>COUNTIFS('StudentTrips'!$B$2:$B$1201,A70,'StudentTrips'!$W$2:$W$1201,"No show")</x:f>
        <x:v>0</x:v>
      </x:c>
      <x:c r="AG70" s="11" t="n">
        <x:f>COUNTIFS('StudentTrips'!$B$2:$B$1201,A70,'StudentTrips'!$W$2:$W$1201,"Cancelled transport")</x:f>
        <x:v>0</x:v>
      </x:c>
    </x:row>
    <x:row r="71" ht="21" customHeight="1">
      <x:c r="A71" s="2" t="str">
        <x:v>T20261008-5-2</x:v>
      </x:c>
      <x:c r="B71" s="7" t="n">
        <x:v>46303</x:v>
      </x:c>
      <x:c r="C71" s="2" t="n">
        <x:v>5</x:v>
      </x:c>
      <x:c r="D71" s="2" t="str">
        <x:v>Batch 2 Senior drop-off</x:v>
      </x:c>
      <x:c r="E71" s="2" t="str">
        <x:v>BUS002</x:v>
      </x:c>
      <x:c r="F71" s="2" t="str">
        <x:v>R2</x:v>
      </x:c>
      <x:c r="G71" s="2" t="str">
        <x:v>D002</x:v>
      </x:c>
      <x:c r="H71" s="2" t="str">
        <x:v>S002</x:v>
      </x:c>
      <x:c r="I71" s="2" t="str">
        <x:v>C002</x:v>
      </x:c>
      <x:c r="J71" s="8" t="n">
        <x:v>46303.70833333333</x:v>
      </x:c>
      <x:c r="K71" s="8" t="n">
        <x:v>46303.75</x:v>
      </x:c>
      <x:c r="L71" s="8" t="n">
        <x:v>46303.70833333333</x:v>
      </x:c>
      <x:c r="M71" s="2" t="str">
        <x:v>SCH01</x:v>
      </x:c>
      <x:c r="N71" s="9" t="n">
        <x:v>25.285</x:v>
      </x:c>
      <x:c r="O71" s="9" t="n">
        <x:v>51.51</x:v>
      </x:c>
      <x:c r="P71" s="8" t="n">
        <x:v>46303.75</x:v>
      </x:c>
      <x:c r="Q71" s="2" t="str">
        <x:v>DEP01</x:v>
      </x:c>
      <x:c r="R71" s="9" t="n">
        <x:v>25.276</x:v>
      </x:c>
      <x:c r="S71" s="9" t="n">
        <x:v>51.498</x:v>
      </x:c>
      <x:c r="T71" s="2" t="str">
        <x:v>Completed</x:v>
      </x:c>
      <x:c r="U71" s="2" t="str">
        <x:v>Synced</x:v>
      </x:c>
      <x:c r="V71" s="8" t="n">
        <x:v>46303.74965277778</x:v>
      </x:c>
      <x:c r="W71" s="2" t="str">
        <x:v>C002</x:v>
      </x:c>
      <x:c r="X71" s="2" t="str">
        <x:v>Confirmed</x:v>
      </x:c>
      <x:c r="Y71" s="2" t="n">
        <x:v>40</x:v>
      </x:c>
      <x:c r="Z71" s="2" t="n">
        <x:v>10</x:v>
      </x:c>
      <x:c r="AA71" s="11" t="n">
        <x:f>COUNTIFS('StudentTrips'!$B$2:$B$1201,A71)</x:f>
        <x:v>10</x:v>
      </x:c>
      <x:c r="AB71" s="11" t="n">
        <x:f>COUNTIFS('StudentTrips'!$B$2:$B$1201,A71,'StudentTrips'!$K$2:$K$1201,"&gt;0")</x:f>
        <x:v>10</x:v>
      </x:c>
      <x:c r="AC71" s="11" t="n">
        <x:f>COUNTIFS('StudentTrips'!$B$2:$B$1201,A71,'StudentTrips'!$Q$2:$Q$1201,"&gt;0")</x:f>
        <x:v>10</x:v>
      </x:c>
      <x:c r="AD71" s="11" t="n">
        <x:f>AB71-AC71</x:f>
        <x:v>0</x:v>
      </x:c>
      <x:c r="AE71" s="11" t="n">
        <x:f>COUNTIFS('StudentTrips'!$B$2:$B$1201,A71,'StudentTrips'!$W$2:$W$1201,"Declared absent")</x:f>
        <x:v>0</x:v>
      </x:c>
      <x:c r="AF71" s="11" t="n">
        <x:f>COUNTIFS('StudentTrips'!$B$2:$B$1201,A71,'StudentTrips'!$W$2:$W$1201,"No show")</x:f>
        <x:v>0</x:v>
      </x:c>
      <x:c r="AG71" s="11" t="n">
        <x:f>COUNTIFS('StudentTrips'!$B$2:$B$1201,A71,'StudentTrips'!$W$2:$W$1201,"Cancelled transport")</x:f>
        <x:v>0</x:v>
      </x:c>
    </x:row>
    <x:row r="72" ht="21" customHeight="1">
      <x:c r="A72" s="2" t="str">
        <x:v>T20261008-1-3</x:v>
      </x:c>
      <x:c r="B72" s="7" t="n">
        <x:v>46303</x:v>
      </x:c>
      <x:c r="C72" s="2" t="n">
        <x:v>1</x:v>
      </x:c>
      <x:c r="D72" s="2" t="str">
        <x:v>Batch 1 Junior and Senior pickup</x:v>
      </x:c>
      <x:c r="E72" s="2" t="str">
        <x:v>BUS003</x:v>
      </x:c>
      <x:c r="F72" s="2" t="str">
        <x:v>R3</x:v>
      </x:c>
      <x:c r="G72" s="2" t="str">
        <x:v>D003</x:v>
      </x:c>
      <x:c r="H72" s="2" t="str">
        <x:v>S003</x:v>
      </x:c>
      <x:c r="I72" s="2" t="str">
        <x:v>C003</x:v>
      </x:c>
      <x:c r="J72" s="8" t="n">
        <x:v>46303.22916666667</x:v>
      </x:c>
      <x:c r="K72" s="8" t="n">
        <x:v>46303.28125</x:v>
      </x:c>
      <x:c r="L72" s="8" t="n">
        <x:v>46303.22916666667</x:v>
      </x:c>
      <x:c r="M72" s="2" t="str">
        <x:v>DEP01</x:v>
      </x:c>
      <x:c r="N72" s="9" t="n">
        <x:v>25.276</x:v>
      </x:c>
      <x:c r="O72" s="9" t="n">
        <x:v>51.498</x:v>
      </x:c>
      <x:c r="P72" s="8" t="n">
        <x:v>46303.28125</x:v>
      </x:c>
      <x:c r="Q72" s="2" t="str">
        <x:v>SCH01</x:v>
      </x:c>
      <x:c r="R72" s="9" t="n">
        <x:v>25.285</x:v>
      </x:c>
      <x:c r="S72" s="9" t="n">
        <x:v>51.51</x:v>
      </x:c>
      <x:c r="T72" s="2" t="str">
        <x:v>Completed</x:v>
      </x:c>
      <x:c r="U72" s="2" t="str">
        <x:v>Synced</x:v>
      </x:c>
      <x:c r="V72" s="8" t="n">
        <x:v>46303.28090277778</x:v>
      </x:c>
      <x:c r="W72" s="2" t="str">
        <x:v>C003</x:v>
      </x:c>
      <x:c r="X72" s="2" t="str">
        <x:v>Confirmed</x:v>
      </x:c>
      <x:c r="Y72" s="2" t="n">
        <x:v>40</x:v>
      </x:c>
      <x:c r="Z72" s="2" t="n">
        <x:v>20</x:v>
      </x:c>
      <x:c r="AA72" s="11" t="n">
        <x:f>COUNTIFS('StudentTrips'!$B$2:$B$1201,A72)</x:f>
        <x:v>20</x:v>
      </x:c>
      <x:c r="AB72" s="11" t="n">
        <x:f>COUNTIFS('StudentTrips'!$B$2:$B$1201,A72,'StudentTrips'!$K$2:$K$1201,"&gt;0")</x:f>
        <x:v>20</x:v>
      </x:c>
      <x:c r="AC72" s="11" t="n">
        <x:f>COUNTIFS('StudentTrips'!$B$2:$B$1201,A72,'StudentTrips'!$Q$2:$Q$1201,"&gt;0")</x:f>
        <x:v>20</x:v>
      </x:c>
      <x:c r="AD72" s="11" t="n">
        <x:f>AB72-AC72</x:f>
        <x:v>0</x:v>
      </x:c>
      <x:c r="AE72" s="11" t="n">
        <x:f>COUNTIFS('StudentTrips'!$B$2:$B$1201,A72,'StudentTrips'!$W$2:$W$1201,"Declared absent")</x:f>
        <x:v>0</x:v>
      </x:c>
      <x:c r="AF72" s="11" t="n">
        <x:f>COUNTIFS('StudentTrips'!$B$2:$B$1201,A72,'StudentTrips'!$W$2:$W$1201,"No show")</x:f>
        <x:v>0</x:v>
      </x:c>
      <x:c r="AG72" s="11" t="n">
        <x:f>COUNTIFS('StudentTrips'!$B$2:$B$1201,A72,'StudentTrips'!$W$2:$W$1201,"Cancelled transport")</x:f>
        <x:v>0</x:v>
      </x:c>
    </x:row>
    <x:row r="73" ht="21" customHeight="1">
      <x:c r="A73" s="2" t="str">
        <x:v>T20261008-2-3</x:v>
      </x:c>
      <x:c r="B73" s="7" t="n">
        <x:v>46303</x:v>
      </x:c>
      <x:c r="C73" s="2" t="n">
        <x:v>2</x:v>
      </x:c>
      <x:c r="D73" s="2" t="str">
        <x:v>Batch 1 Junior drop-off + Batch 2 Junior and Senior pickup</x:v>
      </x:c>
      <x:c r="E73" s="2" t="str">
        <x:v>BUS003</x:v>
      </x:c>
      <x:c r="F73" s="2" t="str">
        <x:v>R3</x:v>
      </x:c>
      <x:c r="G73" s="2" t="str">
        <x:v>D003</x:v>
      </x:c>
      <x:c r="H73" s="2" t="str">
        <x:v>S003</x:v>
      </x:c>
      <x:c r="I73" s="2" t="str">
        <x:v>C003</x:v>
      </x:c>
      <x:c r="J73" s="8" t="n">
        <x:v>46303.4375</x:v>
      </x:c>
      <x:c r="K73" s="8" t="n">
        <x:v>46303.51041666667</x:v>
      </x:c>
      <x:c r="L73" s="8" t="n">
        <x:v>46303.4375</x:v>
      </x:c>
      <x:c r="M73" s="2" t="str">
        <x:v>SCH01</x:v>
      </x:c>
      <x:c r="N73" s="9" t="n">
        <x:v>25.285</x:v>
      </x:c>
      <x:c r="O73" s="9" t="n">
        <x:v>51.51</x:v>
      </x:c>
      <x:c r="P73" s="8" t="n">
        <x:v>46303.51041666667</x:v>
      </x:c>
      <x:c r="Q73" s="2" t="str">
        <x:v>SCH01</x:v>
      </x:c>
      <x:c r="R73" s="9" t="n">
        <x:v>25.285</x:v>
      </x:c>
      <x:c r="S73" s="9" t="n">
        <x:v>51.51</x:v>
      </x:c>
      <x:c r="T73" s="2" t="str">
        <x:v>Completed</x:v>
      </x:c>
      <x:c r="U73" s="2" t="str">
        <x:v>Synced</x:v>
      </x:c>
      <x:c r="V73" s="8" t="n">
        <x:v>46303.51006944445</x:v>
      </x:c>
      <x:c r="W73" s="2" t="str">
        <x:v>C003</x:v>
      </x:c>
      <x:c r="X73" s="2" t="str">
        <x:v>Confirmed</x:v>
      </x:c>
      <x:c r="Y73" s="2" t="n">
        <x:v>40</x:v>
      </x:c>
      <x:c r="Z73" s="2" t="n">
        <x:v>20</x:v>
      </x:c>
      <x:c r="AA73" s="11" t="n">
        <x:f>COUNTIFS('StudentTrips'!$B$2:$B$1201,A73)</x:f>
        <x:v>30</x:v>
      </x:c>
      <x:c r="AB73" s="11" t="n">
        <x:f>COUNTIFS('StudentTrips'!$B$2:$B$1201,A73,'StudentTrips'!$K$2:$K$1201,"&gt;0")</x:f>
        <x:v>30</x:v>
      </x:c>
      <x:c r="AC73" s="11" t="n">
        <x:f>COUNTIFS('StudentTrips'!$B$2:$B$1201,A73,'StudentTrips'!$Q$2:$Q$1201,"&gt;0")</x:f>
        <x:v>30</x:v>
      </x:c>
      <x:c r="AD73" s="11" t="n">
        <x:f>AB73-AC73</x:f>
        <x:v>0</x:v>
      </x:c>
      <x:c r="AE73" s="11" t="n">
        <x:f>COUNTIFS('StudentTrips'!$B$2:$B$1201,A73,'StudentTrips'!$W$2:$W$1201,"Declared absent")</x:f>
        <x:v>0</x:v>
      </x:c>
      <x:c r="AF73" s="11" t="n">
        <x:f>COUNTIFS('StudentTrips'!$B$2:$B$1201,A73,'StudentTrips'!$W$2:$W$1201,"No show")</x:f>
        <x:v>0</x:v>
      </x:c>
      <x:c r="AG73" s="11" t="n">
        <x:f>COUNTIFS('StudentTrips'!$B$2:$B$1201,A73,'StudentTrips'!$W$2:$W$1201,"Cancelled transport")</x:f>
        <x:v>0</x:v>
      </x:c>
    </x:row>
    <x:row r="74" ht="21" customHeight="1">
      <x:c r="A74" s="2" t="str">
        <x:v>T20261008-3-3</x:v>
      </x:c>
      <x:c r="B74" s="7" t="n">
        <x:v>46303</x:v>
      </x:c>
      <x:c r="C74" s="2" t="n">
        <x:v>3</x:v>
      </x:c>
      <x:c r="D74" s="2" t="str">
        <x:v>Batch 1 Senior drop-off</x:v>
      </x:c>
      <x:c r="E74" s="2" t="str">
        <x:v>BUS003</x:v>
      </x:c>
      <x:c r="F74" s="2" t="str">
        <x:v>R3</x:v>
      </x:c>
      <x:c r="G74" s="2" t="str">
        <x:v>D003</x:v>
      </x:c>
      <x:c r="H74" s="2" t="str">
        <x:v>S003</x:v>
      </x:c>
      <x:c r="I74" s="2" t="str">
        <x:v>C003</x:v>
      </x:c>
      <x:c r="J74" s="8" t="n">
        <x:v>46303.57291666667</x:v>
      </x:c>
      <x:c r="K74" s="8" t="n">
        <x:v>46303.60416666667</x:v>
      </x:c>
      <x:c r="L74" s="8" t="n">
        <x:v>46303.57291666667</x:v>
      </x:c>
      <x:c r="M74" s="2" t="str">
        <x:v>SCH01</x:v>
      </x:c>
      <x:c r="N74" s="9" t="n">
        <x:v>25.285</x:v>
      </x:c>
      <x:c r="O74" s="9" t="n">
        <x:v>51.51</x:v>
      </x:c>
      <x:c r="P74" s="8" t="n">
        <x:v>46303.603472222225</x:v>
      </x:c>
      <x:c r="Q74" s="2" t="str">
        <x:v>SCH01</x:v>
      </x:c>
      <x:c r="R74" s="9" t="n">
        <x:v>25.285</x:v>
      </x:c>
      <x:c r="S74" s="9" t="n">
        <x:v>51.51</x:v>
      </x:c>
      <x:c r="T74" s="2" t="str">
        <x:v>Completed</x:v>
      </x:c>
      <x:c r="U74" s="2" t="str">
        <x:v>Synced</x:v>
      </x:c>
      <x:c r="V74" s="8" t="n">
        <x:v>46303.603125</x:v>
      </x:c>
      <x:c r="W74" s="2" t="str">
        <x:v>C003</x:v>
      </x:c>
      <x:c r="X74" s="2" t="str">
        <x:v>Confirmed</x:v>
      </x:c>
      <x:c r="Y74" s="2" t="n">
        <x:v>40</x:v>
      </x:c>
      <x:c r="Z74" s="2" t="n">
        <x:v>10</x:v>
      </x:c>
      <x:c r="AA74" s="11" t="n">
        <x:f>COUNTIFS('StudentTrips'!$B$2:$B$1201,A74)</x:f>
        <x:v>10</x:v>
      </x:c>
      <x:c r="AB74" s="11" t="n">
        <x:f>COUNTIFS('StudentTrips'!$B$2:$B$1201,A74,'StudentTrips'!$K$2:$K$1201,"&gt;0")</x:f>
        <x:v>10</x:v>
      </x:c>
      <x:c r="AC74" s="11" t="n">
        <x:f>COUNTIFS('StudentTrips'!$B$2:$B$1201,A74,'StudentTrips'!$Q$2:$Q$1201,"&gt;0")</x:f>
        <x:v>10</x:v>
      </x:c>
      <x:c r="AD74" s="11" t="n">
        <x:f>AB74-AC74</x:f>
        <x:v>0</x:v>
      </x:c>
      <x:c r="AE74" s="11" t="n">
        <x:f>COUNTIFS('StudentTrips'!$B$2:$B$1201,A74,'StudentTrips'!$W$2:$W$1201,"Declared absent")</x:f>
        <x:v>0</x:v>
      </x:c>
      <x:c r="AF74" s="11" t="n">
        <x:f>COUNTIFS('StudentTrips'!$B$2:$B$1201,A74,'StudentTrips'!$W$2:$W$1201,"No show")</x:f>
        <x:v>0</x:v>
      </x:c>
      <x:c r="AG74" s="11" t="n">
        <x:f>COUNTIFS('StudentTrips'!$B$2:$B$1201,A74,'StudentTrips'!$W$2:$W$1201,"Cancelled transport")</x:f>
        <x:v>0</x:v>
      </x:c>
    </x:row>
    <x:row r="75" ht="21" customHeight="1">
      <x:c r="A75" s="2" t="str">
        <x:v>T20261008-4-3</x:v>
      </x:c>
      <x:c r="B75" s="7" t="n">
        <x:v>46303</x:v>
      </x:c>
      <x:c r="C75" s="2" t="n">
        <x:v>4</x:v>
      </x:c>
      <x:c r="D75" s="2" t="str">
        <x:v>Batch 2 Junior drop-off</x:v>
      </x:c>
      <x:c r="E75" s="2" t="str">
        <x:v>BUS003</x:v>
      </x:c>
      <x:c r="F75" s="2" t="str">
        <x:v>R3</x:v>
      </x:c>
      <x:c r="G75" s="2" t="str">
        <x:v>D003</x:v>
      </x:c>
      <x:c r="H75" s="2" t="str">
        <x:v>S003</x:v>
      </x:c>
      <x:c r="I75" s="2" t="str">
        <x:v>C003</x:v>
      </x:c>
      <x:c r="J75" s="8" t="n">
        <x:v>46303.60416666667</x:v>
      </x:c>
      <x:c r="K75" s="8" t="n">
        <x:v>46303.64583333333</x:v>
      </x:c>
      <x:c r="L75" s="8" t="n">
        <x:v>46303.60416666667</x:v>
      </x:c>
      <x:c r="M75" s="2" t="str">
        <x:v>SCH01</x:v>
      </x:c>
      <x:c r="N75" s="9" t="n">
        <x:v>25.285</x:v>
      </x:c>
      <x:c r="O75" s="9" t="n">
        <x:v>51.51</x:v>
      </x:c>
      <x:c r="P75" s="8" t="n">
        <x:v>46303.64583333333</x:v>
      </x:c>
      <x:c r="Q75" s="2" t="str">
        <x:v>DEP01</x:v>
      </x:c>
      <x:c r="R75" s="9" t="n">
        <x:v>25.276</x:v>
      </x:c>
      <x:c r="S75" s="9" t="n">
        <x:v>51.498</x:v>
      </x:c>
      <x:c r="T75" s="2" t="str">
        <x:v>Completed</x:v>
      </x:c>
      <x:c r="U75" s="2" t="str">
        <x:v>Synced</x:v>
      </x:c>
      <x:c r="V75" s="8" t="n">
        <x:v>46303.645486111105</x:v>
      </x:c>
      <x:c r="W75" s="2" t="str">
        <x:v>C003</x:v>
      </x:c>
      <x:c r="X75" s="2" t="str">
        <x:v>Confirmed</x:v>
      </x:c>
      <x:c r="Y75" s="2" t="n">
        <x:v>40</x:v>
      </x:c>
      <x:c r="Z75" s="2" t="n">
        <x:v>10</x:v>
      </x:c>
      <x:c r="AA75" s="11" t="n">
        <x:f>COUNTIFS('StudentTrips'!$B$2:$B$1201,A75)</x:f>
        <x:v>10</x:v>
      </x:c>
      <x:c r="AB75" s="11" t="n">
        <x:f>COUNTIFS('StudentTrips'!$B$2:$B$1201,A75,'StudentTrips'!$K$2:$K$1201,"&gt;0")</x:f>
        <x:v>10</x:v>
      </x:c>
      <x:c r="AC75" s="11" t="n">
        <x:f>COUNTIFS('StudentTrips'!$B$2:$B$1201,A75,'StudentTrips'!$Q$2:$Q$1201,"&gt;0")</x:f>
        <x:v>10</x:v>
      </x:c>
      <x:c r="AD75" s="11" t="n">
        <x:f>AB75-AC75</x:f>
        <x:v>0</x:v>
      </x:c>
      <x:c r="AE75" s="11" t="n">
        <x:f>COUNTIFS('StudentTrips'!$B$2:$B$1201,A75,'StudentTrips'!$W$2:$W$1201,"Declared absent")</x:f>
        <x:v>0</x:v>
      </x:c>
      <x:c r="AF75" s="11" t="n">
        <x:f>COUNTIFS('StudentTrips'!$B$2:$B$1201,A75,'StudentTrips'!$W$2:$W$1201,"No show")</x:f>
        <x:v>0</x:v>
      </x:c>
      <x:c r="AG75" s="11" t="n">
        <x:f>COUNTIFS('StudentTrips'!$B$2:$B$1201,A75,'StudentTrips'!$W$2:$W$1201,"Cancelled transport")</x:f>
        <x:v>0</x:v>
      </x:c>
    </x:row>
    <x:row r="76" ht="21" customHeight="1">
      <x:c r="A76" s="2" t="str">
        <x:v>T20261008-5-3</x:v>
      </x:c>
      <x:c r="B76" s="7" t="n">
        <x:v>46303</x:v>
      </x:c>
      <x:c r="C76" s="2" t="n">
        <x:v>5</x:v>
      </x:c>
      <x:c r="D76" s="2" t="str">
        <x:v>Batch 2 Senior drop-off</x:v>
      </x:c>
      <x:c r="E76" s="2" t="str">
        <x:v>BUS003</x:v>
      </x:c>
      <x:c r="F76" s="2" t="str">
        <x:v>R3</x:v>
      </x:c>
      <x:c r="G76" s="2" t="str">
        <x:v>D003</x:v>
      </x:c>
      <x:c r="H76" s="2" t="str">
        <x:v>S003</x:v>
      </x:c>
      <x:c r="I76" s="2" t="str">
        <x:v>C003</x:v>
      </x:c>
      <x:c r="J76" s="8" t="n">
        <x:v>46303.70833333333</x:v>
      </x:c>
      <x:c r="K76" s="8" t="n">
        <x:v>46303.75</x:v>
      </x:c>
      <x:c r="L76" s="8" t="n">
        <x:v>46303.70833333333</x:v>
      </x:c>
      <x:c r="M76" s="2" t="str">
        <x:v>SCH01</x:v>
      </x:c>
      <x:c r="N76" s="9" t="n">
        <x:v>25.285</x:v>
      </x:c>
      <x:c r="O76" s="9" t="n">
        <x:v>51.51</x:v>
      </x:c>
      <x:c r="P76" s="8"/>
      <x:c r="Q76" s="2"/>
      <x:c r="R76" s="9"/>
      <x:c r="S76" s="9"/>
      <x:c r="T76" s="2" t="str">
        <x:v>Reconciling</x:v>
      </x:c>
      <x:c r="U76" s="2" t="str">
        <x:v>Synced</x:v>
      </x:c>
      <x:c r="V76" s="8"/>
      <x:c r="W76" s="2"/>
      <x:c r="X76" s="2" t="str">
        <x:v>Not performed</x:v>
      </x:c>
      <x:c r="Y76" s="2" t="n">
        <x:v>40</x:v>
      </x:c>
      <x:c r="Z76" s="2" t="n">
        <x:v>10</x:v>
      </x:c>
      <x:c r="AA76" s="11" t="n">
        <x:f>COUNTIFS('StudentTrips'!$B$2:$B$1201,A76)</x:f>
        <x:v>10</x:v>
      </x:c>
      <x:c r="AB76" s="11" t="n">
        <x:f>COUNTIFS('StudentTrips'!$B$2:$B$1201,A76,'StudentTrips'!$K$2:$K$1201,"&gt;0")</x:f>
        <x:v>10</x:v>
      </x:c>
      <x:c r="AC76" s="11" t="n">
        <x:f>COUNTIFS('StudentTrips'!$B$2:$B$1201,A76,'StudentTrips'!$Q$2:$Q$1201,"&gt;0")</x:f>
        <x:v>9</x:v>
      </x:c>
      <x:c r="AD76" s="11" t="n">
        <x:f>AB76-AC76</x:f>
        <x:v>1</x:v>
      </x:c>
      <x:c r="AE76" s="11" t="n">
        <x:f>COUNTIFS('StudentTrips'!$B$2:$B$1201,A76,'StudentTrips'!$W$2:$W$1201,"Declared absent")</x:f>
        <x:v>0</x:v>
      </x:c>
      <x:c r="AF76" s="11" t="n">
        <x:f>COUNTIFS('StudentTrips'!$B$2:$B$1201,A76,'StudentTrips'!$W$2:$W$1201,"No show")</x:f>
        <x:v>0</x:v>
      </x:c>
      <x:c r="AG76" s="11" t="n">
        <x:f>COUNTIFS('StudentTrips'!$B$2:$B$1201,A76,'StudentTrips'!$W$2:$W$1201,"Cancelled transport")</x:f>
        <x:v>0</x:v>
      </x:c>
    </x:row>
  </x:sheetData>
  <x:conditionalFormatting sqref="T2:T76">
    <x:cfRule type="containsText" dxfId="0" priority="1" operator="containsText" text="Reconciling"/>
  </x:conditionalFormatting>
  <x:pageMargins left="0.7" right="0.7" top="0.75" bottom="0.75" header="0.3" footer="0.3"/>
  <x:tableParts count="1">
    <x:tablePart xmlns:r="http://schemas.openxmlformats.org/officeDocument/2006/relationships" r:id="R4802098c39f9480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5" hidden="0" customWidth="1"/>
    <x:col min="12" max="12" width="20" hidden="0" customWidth="1"/>
    <x:col min="13" max="13" width="17" hidden="0" customWidth="1"/>
    <x:col min="14" max="14" width="17" hidden="0" customWidth="1"/>
    <x:col min="15" max="15" width="27" hidden="0" customWidth="1"/>
    <x:col min="16" max="16" width="20" hidden="0" customWidth="1"/>
    <x:col min="17" max="17" width="25" hidden="0" customWidth="1"/>
    <x:col min="18" max="18" width="20" hidden="0" customWidth="1"/>
    <x:col min="19" max="19" width="17" hidden="0" customWidth="1"/>
    <x:col min="20" max="20" width="17" hidden="0" customWidth="1"/>
    <x:col min="21" max="21" width="20" hidden="0" customWidth="1"/>
    <x:col min="22" max="22" width="27" hidden="0" customWidth="1"/>
    <x:col min="23" max="23" width="27" hidden="0" customWidth="1"/>
    <x:col min="24" max="24" width="20" hidden="0" customWidth="1"/>
    <x:col min="25" max="25" width="20" hidden="0" customWidth="1"/>
    <x:col min="26" max="26" width="27" hidden="0" customWidth="1"/>
    <x:col min="27" max="27" width="64" hidden="0" customWidth="1"/>
    <x:col min="28" max="28" width="20" hidden="0" customWidth="1"/>
    <x:col min="29" max="29" width="20" hidden="0" customWidth="1"/>
  </x:cols>
  <x:sheetData>
    <x:row r="1" ht="34" customHeight="1">
      <x:c r="A1" s="6" t="str">
        <x:v>Line_ID</x:v>
      </x:c>
      <x:c r="B1" s="6" t="str">
        <x:v>Trip_ID</x:v>
      </x:c>
      <x:c r="C1" s="6" t="str">
        <x:v>Service_Date</x:v>
      </x:c>
      <x:c r="D1" s="6" t="str">
        <x:v>Bus_ID</x:v>
      </x:c>
      <x:c r="E1" s="6" t="str">
        <x:v>Student_ID</x:v>
      </x:c>
      <x:c r="F1" s="6" t="str">
        <x:v>Batch</x:v>
      </x:c>
      <x:c r="G1" s="6" t="str">
        <x:v>Student_Group</x:v>
      </x:c>
      <x:c r="H1" s="6" t="str">
        <x:v>Movement_Purpose</x:v>
      </x:c>
      <x:c r="I1" s="6" t="str">
        <x:v>Home_Stop_ID</x:v>
      </x:c>
      <x:c r="J1" s="6" t="str">
        <x:v>Entry_Event_ID</x:v>
      </x:c>
      <x:c r="K1" s="6" t="str">
        <x:v>Entry_Time</x:v>
      </x:c>
      <x:c r="L1" s="6" t="str">
        <x:v>Entry_Location_ID</x:v>
      </x:c>
      <x:c r="M1" s="6" t="str">
        <x:v>Entry_Lat</x:v>
      </x:c>
      <x:c r="N1" s="6" t="str">
        <x:v>Entry_Lon</x:v>
      </x:c>
      <x:c r="O1" s="6" t="str">
        <x:v>Entry_GPS_Status</x:v>
      </x:c>
      <x:c r="P1" s="6" t="str">
        <x:v>Exit_Event_ID</x:v>
      </x:c>
      <x:c r="Q1" s="6" t="str">
        <x:v>Exit_Time</x:v>
      </x:c>
      <x:c r="R1" s="6" t="str">
        <x:v>Exit_Location_ID</x:v>
      </x:c>
      <x:c r="S1" s="6" t="str">
        <x:v>Exit_Lat</x:v>
      </x:c>
      <x:c r="T1" s="6" t="str">
        <x:v>Exit_Lon</x:v>
      </x:c>
      <x:c r="U1" s="6" t="str">
        <x:v>Receiver_ID</x:v>
      </x:c>
      <x:c r="V1" s="6" t="str">
        <x:v>Handover_Type</x:v>
      </x:c>
      <x:c r="W1" s="6" t="str">
        <x:v>Student_Status</x:v>
      </x:c>
      <x:c r="X1" s="6" t="str">
        <x:v>Capture_Method</x:v>
      </x:c>
      <x:c r="Y1" s="6" t="str">
        <x:v>Capture_Connectivity</x:v>
      </x:c>
      <x:c r="Z1" s="6" t="str">
        <x:v>Sync_Status</x:v>
      </x:c>
      <x:c r="AA1" s="6" t="str">
        <x:v>Reason</x:v>
      </x:c>
      <x:c r="AB1" s="6" t="str">
        <x:v>Exception_ID</x:v>
      </x:c>
      <x:c r="AC1" s="6" t="str">
        <x:v>Journey_Minutes</x:v>
      </x:c>
    </x:row>
    <x:row r="2" ht="21" customHeight="1">
      <x:c r="A2" s="2" t="str">
        <x:v>LN00001</x:v>
      </x:c>
      <x:c r="B2" s="2" t="str">
        <x:v>T20261004-1-1</x:v>
      </x:c>
      <x:c r="C2" s="7" t="n">
        <x:v>46299</x:v>
      </x:c>
      <x:c r="D2" s="2" t="str">
        <x:v>BUS001</x:v>
      </x:c>
      <x:c r="E2" s="2" t="str">
        <x:v>ST001</x:v>
      </x:c>
      <x:c r="F2" s="2" t="n">
        <x:v>1</x:v>
      </x:c>
      <x:c r="G2" s="2" t="str">
        <x:v>Junior</x:v>
      </x:c>
      <x:c r="H2" s="2" t="str">
        <x:v>Pickup</x:v>
      </x:c>
      <x:c r="I2" s="2" t="str">
        <x:v>R1S1</x:v>
      </x:c>
      <x:c r="J2" s="2"/>
      <x:c r="K2" s="8"/>
      <x:c r="L2" s="2"/>
      <x:c r="M2" s="9"/>
      <x:c r="N2" s="9"/>
      <x:c r="O2" s="2"/>
      <x:c r="P2" s="2"/>
      <x:c r="Q2" s="8"/>
      <x:c r="R2" s="2"/>
      <x:c r="S2" s="9"/>
      <x:c r="T2" s="9"/>
      <x:c r="U2" s="2"/>
      <x:c r="V2" s="2"/>
      <x:c r="W2" s="2" t="str">
        <x:v>Declared absent</x:v>
      </x:c>
      <x:c r="X2" s="2" t="str">
        <x:v>QR</x:v>
      </x:c>
      <x:c r="Y2" s="2" t="str">
        <x:v>Online</x:v>
      </x:c>
      <x:c r="Z2" s="2" t="str">
        <x:v>Synced</x:v>
      </x:c>
      <x:c r="AA2" s="2" t="str">
        <x:v>Guardian declared full-day transport absence</x:v>
      </x:c>
      <x:c r="AB2" s="2"/>
      <x:c r="AC2" s="10" t="str">
        <x:f>IF(OR(K2="",Q2=""),"",ROUND((Q2-K2)*1440,2))</x:f>
      </x:c>
    </x:row>
    <x:row r="3" ht="21" customHeight="1">
      <x:c r="A3" s="2" t="str">
        <x:v>LN00002</x:v>
      </x:c>
      <x:c r="B3" s="2" t="str">
        <x:v>T20261004-1-1</x:v>
      </x:c>
      <x:c r="C3" s="7" t="n">
        <x:v>46299</x:v>
      </x:c>
      <x:c r="D3" s="2" t="str">
        <x:v>BUS001</x:v>
      </x:c>
      <x:c r="E3" s="2" t="str">
        <x:v>ST002</x:v>
      </x:c>
      <x:c r="F3" s="2" t="n">
        <x:v>1</x:v>
      </x:c>
      <x:c r="G3" s="2" t="str">
        <x:v>Junior</x:v>
      </x:c>
      <x:c r="H3" s="2" t="str">
        <x:v>Pickup</x:v>
      </x:c>
      <x:c r="I3" s="2" t="str">
        <x:v>R1S2</x:v>
      </x:c>
      <x:c r="J3" s="2" t="str">
        <x:v>EV000001</x:v>
      </x:c>
      <x:c r="K3" s="8" t="n">
        <x:v>46299.24725694444</x:v>
      </x:c>
      <x:c r="L3" s="2" t="str">
        <x:v>R1S2</x:v>
      </x:c>
      <x:c r="M3" s="9" t="n">
        <x:v>25.273000000000003</x:v>
      </x:c>
      <x:c r="N3" s="9" t="n">
        <x:v>51.494</x:v>
      </x:c>
      <x:c r="O3" s="2" t="str">
        <x:v>Valid</x:v>
      </x:c>
      <x:c r="P3" s="2" t="str">
        <x:v>EV000002</x:v>
      </x:c>
      <x:c r="Q3" s="8" t="n">
        <x:v>46299.27642361111</x:v>
      </x:c>
      <x:c r="R3" s="2" t="str">
        <x:v>SCH01</x:v>
      </x:c>
      <x:c r="S3" s="9" t="n">
        <x:v>25.285</x:v>
      </x:c>
      <x:c r="T3" s="9" t="n">
        <x:v>51.51</x:v>
      </x:c>
      <x:c r="U3" s="2" t="str">
        <x:v>SCHOOL_RECEIVER_01</x:v>
      </x:c>
      <x:c r="V3" s="2" t="str">
        <x:v>School staff receipt</x:v>
      </x:c>
      <x:c r="W3" s="2" t="str">
        <x:v>Completed transport</x:v>
      </x:c>
      <x:c r="X3" s="2" t="str">
        <x:v>QR</x:v>
      </x:c>
      <x:c r="Y3" s="2" t="str">
        <x:v>Online</x:v>
      </x:c>
      <x:c r="Z3" s="2" t="str">
        <x:v>Synced</x:v>
      </x:c>
      <x:c r="AA3" s="2"/>
      <x:c r="AB3" s="2"/>
      <x:c r="AC3" s="10" t="n">
        <x:f>IF(OR(K3="",Q3=""),"",ROUND((Q3-K3)*1440,2))</x:f>
        <x:v>42</x:v>
      </x:c>
    </x:row>
    <x:row r="4" ht="21" customHeight="1">
      <x:c r="A4" s="2" t="str">
        <x:v>LN00003</x:v>
      </x:c>
      <x:c r="B4" s="2" t="str">
        <x:v>T20261004-1-1</x:v>
      </x:c>
      <x:c r="C4" s="7" t="n">
        <x:v>46299</x:v>
      </x:c>
      <x:c r="D4" s="2" t="str">
        <x:v>BUS001</x:v>
      </x:c>
      <x:c r="E4" s="2" t="str">
        <x:v>ST003</x:v>
      </x:c>
      <x:c r="F4" s="2" t="n">
        <x:v>1</x:v>
      </x:c>
      <x:c r="G4" s="2" t="str">
        <x:v>Junior</x:v>
      </x:c>
      <x:c r="H4" s="2" t="str">
        <x:v>Pickup</x:v>
      </x:c>
      <x:c r="I4" s="2" t="str">
        <x:v>R1S3</x:v>
      </x:c>
      <x:c r="J4" s="2" t="str">
        <x:v>EV000003</x:v>
      </x:c>
      <x:c r="K4" s="8" t="n">
        <x:v>46299.25215277778</x:v>
      </x:c>
      <x:c r="L4" s="2" t="str">
        <x:v>R1S3</x:v>
      </x:c>
      <x:c r="M4" s="9" t="n">
        <x:v>25.275000000000002</x:v>
      </x:c>
      <x:c r="N4" s="9" t="n">
        <x:v>51.497</x:v>
      </x:c>
      <x:c r="O4" s="2" t="str">
        <x:v>Valid</x:v>
      </x:c>
      <x:c r="P4" s="2" t="str">
        <x:v>EV000004</x:v>
      </x:c>
      <x:c r="Q4" s="8" t="n">
        <x:v>46299.276458333334</x:v>
      </x:c>
      <x:c r="R4" s="2" t="str">
        <x:v>SCH01</x:v>
      </x:c>
      <x:c r="S4" s="9" t="n">
        <x:v>25.285</x:v>
      </x:c>
      <x:c r="T4" s="9" t="n">
        <x:v>51.51</x:v>
      </x:c>
      <x:c r="U4" s="2" t="str">
        <x:v>SCHOOL_RECEIVER_01</x:v>
      </x:c>
      <x:c r="V4" s="2" t="str">
        <x:v>School staff receipt</x:v>
      </x:c>
      <x:c r="W4" s="2" t="str">
        <x:v>Completed transport</x:v>
      </x:c>
      <x:c r="X4" s="2" t="str">
        <x:v>QR</x:v>
      </x:c>
      <x:c r="Y4" s="2" t="str">
        <x:v>Online</x:v>
      </x:c>
      <x:c r="Z4" s="2" t="str">
        <x:v>Synced</x:v>
      </x:c>
      <x:c r="AA4" s="2"/>
      <x:c r="AB4" s="2"/>
      <x:c r="AC4" s="10" t="n">
        <x:f>IF(OR(K4="",Q4=""),"",ROUND((Q4-K4)*1440,2))</x:f>
        <x:v>35</x:v>
      </x:c>
    </x:row>
    <x:row r="5" ht="21" customHeight="1">
      <x:c r="A5" s="2" t="str">
        <x:v>LN00004</x:v>
      </x:c>
      <x:c r="B5" s="2" t="str">
        <x:v>T20261004-1-1</x:v>
      </x:c>
      <x:c r="C5" s="7" t="n">
        <x:v>46299</x:v>
      </x:c>
      <x:c r="D5" s="2" t="str">
        <x:v>BUS001</x:v>
      </x:c>
      <x:c r="E5" s="2" t="str">
        <x:v>ST004</x:v>
      </x:c>
      <x:c r="F5" s="2" t="n">
        <x:v>1</x:v>
      </x:c>
      <x:c r="G5" s="2" t="str">
        <x:v>Junior</x:v>
      </x:c>
      <x:c r="H5" s="2" t="str">
        <x:v>Pickup</x:v>
      </x:c>
      <x:c r="I5" s="2" t="str">
        <x:v>R1S1</x:v>
      </x:c>
      <x:c r="J5" s="2" t="str">
        <x:v>EV000005</x:v>
      </x:c>
      <x:c r="K5" s="8" t="n">
        <x:v>46299.242465277785</x:v>
      </x:c>
      <x:c r="L5" s="2" t="str">
        <x:v>R1S1</x:v>
      </x:c>
      <x:c r="M5" s="9" t="n">
        <x:v>25.271</x:v>
      </x:c>
      <x:c r="N5" s="9" t="n">
        <x:v>51.491</x:v>
      </x:c>
      <x:c r="O5" s="2" t="str">
        <x:v>Valid</x:v>
      </x:c>
      <x:c r="P5" s="2" t="str">
        <x:v>EV000006</x:v>
      </x:c>
      <x:c r="Q5" s="8" t="n">
        <x:v>46299.27649305556</x:v>
      </x:c>
      <x:c r="R5" s="2" t="str">
        <x:v>SCH01</x:v>
      </x:c>
      <x:c r="S5" s="9" t="n">
        <x:v>25.285</x:v>
      </x:c>
      <x:c r="T5" s="9" t="n">
        <x:v>51.51</x:v>
      </x:c>
      <x:c r="U5" s="2" t="str">
        <x:v>SCHOOL_RECEIVER_01</x:v>
      </x:c>
      <x:c r="V5" s="2" t="str">
        <x:v>School staff receipt</x:v>
      </x:c>
      <x:c r="W5" s="2" t="str">
        <x:v>Completed transport</x:v>
      </x:c>
      <x:c r="X5" s="2" t="str">
        <x:v>QR</x:v>
      </x:c>
      <x:c r="Y5" s="2" t="str">
        <x:v>Online</x:v>
      </x:c>
      <x:c r="Z5" s="2" t="str">
        <x:v>Synced</x:v>
      </x:c>
      <x:c r="AA5" s="2"/>
      <x:c r="AB5" s="2"/>
      <x:c r="AC5" s="10" t="n">
        <x:f>IF(OR(K5="",Q5=""),"",ROUND((Q5-K5)*1440,2))</x:f>
        <x:v>49</x:v>
      </x:c>
    </x:row>
    <x:row r="6" ht="21" customHeight="1">
      <x:c r="A6" s="2" t="str">
        <x:v>LN00005</x:v>
      </x:c>
      <x:c r="B6" s="2" t="str">
        <x:v>T20261004-1-1</x:v>
      </x:c>
      <x:c r="C6" s="7" t="n">
        <x:v>46299</x:v>
      </x:c>
      <x:c r="D6" s="2" t="str">
        <x:v>BUS001</x:v>
      </x:c>
      <x:c r="E6" s="2" t="str">
        <x:v>ST005</x:v>
      </x:c>
      <x:c r="F6" s="2" t="n">
        <x:v>1</x:v>
      </x:c>
      <x:c r="G6" s="2" t="str">
        <x:v>Junior</x:v>
      </x:c>
      <x:c r="H6" s="2" t="str">
        <x:v>Pickup</x:v>
      </x:c>
      <x:c r="I6" s="2" t="str">
        <x:v>R1S2</x:v>
      </x:c>
      <x:c r="J6" s="2" t="str">
        <x:v>EV000007</x:v>
      </x:c>
      <x:c r="K6" s="8" t="n">
        <x:v>46299.24736111111</x:v>
      </x:c>
      <x:c r="L6" s="2" t="str">
        <x:v>R1S2</x:v>
      </x:c>
      <x:c r="M6" s="9" t="n">
        <x:v>25.273000000000003</x:v>
      </x:c>
      <x:c r="N6" s="9" t="n">
        <x:v>51.494</x:v>
      </x:c>
      <x:c r="O6" s="2" t="str">
        <x:v>Valid</x:v>
      </x:c>
      <x:c r="P6" s="2" t="str">
        <x:v>EV000008</x:v>
      </x:c>
      <x:c r="Q6" s="8" t="n">
        <x:v>46299.27652777778</x:v>
      </x:c>
      <x:c r="R6" s="2" t="str">
        <x:v>SCH01</x:v>
      </x:c>
      <x:c r="S6" s="9" t="n">
        <x:v>25.285</x:v>
      </x:c>
      <x:c r="T6" s="9" t="n">
        <x:v>51.51</x:v>
      </x:c>
      <x:c r="U6" s="2" t="str">
        <x:v>SCHOOL_RECEIVER_01</x:v>
      </x:c>
      <x:c r="V6" s="2" t="str">
        <x:v>School staff receipt</x:v>
      </x:c>
      <x:c r="W6" s="2" t="str">
        <x:v>Completed transport</x:v>
      </x:c>
      <x:c r="X6" s="2" t="str">
        <x:v>QR</x:v>
      </x:c>
      <x:c r="Y6" s="2" t="str">
        <x:v>Online</x:v>
      </x:c>
      <x:c r="Z6" s="2" t="str">
        <x:v>Synced</x:v>
      </x:c>
      <x:c r="AA6" s="2"/>
      <x:c r="AB6" s="2"/>
      <x:c r="AC6" s="10" t="n">
        <x:f>IF(OR(K6="",Q6=""),"",ROUND((Q6-K6)*1440,2))</x:f>
        <x:v>42</x:v>
      </x:c>
    </x:row>
    <x:row r="7" ht="21" customHeight="1">
      <x:c r="A7" s="2" t="str">
        <x:v>LN00006</x:v>
      </x:c>
      <x:c r="B7" s="2" t="str">
        <x:v>T20261004-1-1</x:v>
      </x:c>
      <x:c r="C7" s="7" t="n">
        <x:v>46299</x:v>
      </x:c>
      <x:c r="D7" s="2" t="str">
        <x:v>BUS001</x:v>
      </x:c>
      <x:c r="E7" s="2" t="str">
        <x:v>ST006</x:v>
      </x:c>
      <x:c r="F7" s="2" t="n">
        <x:v>1</x:v>
      </x:c>
      <x:c r="G7" s="2" t="str">
        <x:v>Junior</x:v>
      </x:c>
      <x:c r="H7" s="2" t="str">
        <x:v>Pickup</x:v>
      </x:c>
      <x:c r="I7" s="2" t="str">
        <x:v>R1S3</x:v>
      </x:c>
      <x:c r="J7" s="2" t="str">
        <x:v>EV000009</x:v>
      </x:c>
      <x:c r="K7" s="8" t="n">
        <x:v>46299.25225694444</x:v>
      </x:c>
      <x:c r="L7" s="2" t="str">
        <x:v>R1S3</x:v>
      </x:c>
      <x:c r="M7" s="9" t="n">
        <x:v>25.275000000000002</x:v>
      </x:c>
      <x:c r="N7" s="9" t="n">
        <x:v>51.497</x:v>
      </x:c>
      <x:c r="O7" s="2" t="str">
        <x:v>Valid</x:v>
      </x:c>
      <x:c r="P7" s="2" t="str">
        <x:v>EV000010</x:v>
      </x:c>
      <x:c r="Q7" s="8" t="n">
        <x:v>46299.276562499996</x:v>
      </x:c>
      <x:c r="R7" s="2" t="str">
        <x:v>SCH01</x:v>
      </x:c>
      <x:c r="S7" s="9" t="n">
        <x:v>25.285</x:v>
      </x:c>
      <x:c r="T7" s="9" t="n">
        <x:v>51.51</x:v>
      </x:c>
      <x:c r="U7" s="2" t="str">
        <x:v>SCHOOL_RECEIVER_01</x:v>
      </x:c>
      <x:c r="V7" s="2" t="str">
        <x:v>School staff receipt</x:v>
      </x:c>
      <x:c r="W7" s="2" t="str">
        <x:v>Completed transport</x:v>
      </x:c>
      <x:c r="X7" s="2" t="str">
        <x:v>QR</x:v>
      </x:c>
      <x:c r="Y7" s="2" t="str">
        <x:v>Online</x:v>
      </x:c>
      <x:c r="Z7" s="2" t="str">
        <x:v>Synced</x:v>
      </x:c>
      <x:c r="AA7" s="2"/>
      <x:c r="AB7" s="2"/>
      <x:c r="AC7" s="10" t="n">
        <x:f>IF(OR(K7="",Q7=""),"",ROUND((Q7-K7)*1440,2))</x:f>
        <x:v>35</x:v>
      </x:c>
    </x:row>
    <x:row r="8" ht="21" customHeight="1">
      <x:c r="A8" s="2" t="str">
        <x:v>LN00007</x:v>
      </x:c>
      <x:c r="B8" s="2" t="str">
        <x:v>T20261004-1-1</x:v>
      </x:c>
      <x:c r="C8" s="7" t="n">
        <x:v>46299</x:v>
      </x:c>
      <x:c r="D8" s="2" t="str">
        <x:v>BUS001</x:v>
      </x:c>
      <x:c r="E8" s="2" t="str">
        <x:v>ST007</x:v>
      </x:c>
      <x:c r="F8" s="2" t="n">
        <x:v>1</x:v>
      </x:c>
      <x:c r="G8" s="2" t="str">
        <x:v>Junior</x:v>
      </x:c>
      <x:c r="H8" s="2" t="str">
        <x:v>Pickup</x:v>
      </x:c>
      <x:c r="I8" s="2" t="str">
        <x:v>R1S1</x:v>
      </x:c>
      <x:c r="J8" s="2" t="str">
        <x:v>EV000011</x:v>
      </x:c>
      <x:c r="K8" s="8" t="n">
        <x:v>46299.24256944445</x:v>
      </x:c>
      <x:c r="L8" s="2" t="str">
        <x:v>R1S1</x:v>
      </x:c>
      <x:c r="M8" s="9" t="n">
        <x:v>25.271</x:v>
      </x:c>
      <x:c r="N8" s="9" t="n">
        <x:v>51.491</x:v>
      </x:c>
      <x:c r="O8" s="2" t="str">
        <x:v>Valid</x:v>
      </x:c>
      <x:c r="P8" s="2" t="str">
        <x:v>EV000012</x:v>
      </x:c>
      <x:c r="Q8" s="8" t="n">
        <x:v>46299.27659722222</x:v>
      </x:c>
      <x:c r="R8" s="2" t="str">
        <x:v>SCH01</x:v>
      </x:c>
      <x:c r="S8" s="9" t="n">
        <x:v>25.285</x:v>
      </x:c>
      <x:c r="T8" s="9" t="n">
        <x:v>51.51</x:v>
      </x:c>
      <x:c r="U8" s="2" t="str">
        <x:v>SCHOOL_RECEIVER_01</x:v>
      </x:c>
      <x:c r="V8" s="2" t="str">
        <x:v>School staff receipt</x:v>
      </x:c>
      <x:c r="W8" s="2" t="str">
        <x:v>Completed transport</x:v>
      </x:c>
      <x:c r="X8" s="2" t="str">
        <x:v>QR</x:v>
      </x:c>
      <x:c r="Y8" s="2" t="str">
        <x:v>Online</x:v>
      </x:c>
      <x:c r="Z8" s="2" t="str">
        <x:v>Synced</x:v>
      </x:c>
      <x:c r="AA8" s="2"/>
      <x:c r="AB8" s="2"/>
      <x:c r="AC8" s="10" t="n">
        <x:f>IF(OR(K8="",Q8=""),"",ROUND((Q8-K8)*1440,2))</x:f>
        <x:v>49</x:v>
      </x:c>
    </x:row>
    <x:row r="9" ht="21" customHeight="1">
      <x:c r="A9" s="2" t="str">
        <x:v>LN00008</x:v>
      </x:c>
      <x:c r="B9" s="2" t="str">
        <x:v>T20261004-1-1</x:v>
      </x:c>
      <x:c r="C9" s="7" t="n">
        <x:v>46299</x:v>
      </x:c>
      <x:c r="D9" s="2" t="str">
        <x:v>BUS001</x:v>
      </x:c>
      <x:c r="E9" s="2" t="str">
        <x:v>ST008</x:v>
      </x:c>
      <x:c r="F9" s="2" t="n">
        <x:v>1</x:v>
      </x:c>
      <x:c r="G9" s="2" t="str">
        <x:v>Junior</x:v>
      </x:c>
      <x:c r="H9" s="2" t="str">
        <x:v>Pickup</x:v>
      </x:c>
      <x:c r="I9" s="2" t="str">
        <x:v>R1S2</x:v>
      </x:c>
      <x:c r="J9" s="2" t="str">
        <x:v>EV000013</x:v>
      </x:c>
      <x:c r="K9" s="8" t="n">
        <x:v>46299.247465277775</x:v>
      </x:c>
      <x:c r="L9" s="2" t="str">
        <x:v>R1S2</x:v>
      </x:c>
      <x:c r="M9" s="9" t="n">
        <x:v>25.273000000000003</x:v>
      </x:c>
      <x:c r="N9" s="9" t="n">
        <x:v>51.494</x:v>
      </x:c>
      <x:c r="O9" s="2" t="str">
        <x:v>Valid</x:v>
      </x:c>
      <x:c r="P9" s="2" t="str">
        <x:v>EV000014</x:v>
      </x:c>
      <x:c r="Q9" s="8" t="n">
        <x:v>46299.27663194444</x:v>
      </x:c>
      <x:c r="R9" s="2" t="str">
        <x:v>SCH01</x:v>
      </x:c>
      <x:c r="S9" s="9" t="n">
        <x:v>25.285</x:v>
      </x:c>
      <x:c r="T9" s="9" t="n">
        <x:v>51.51</x:v>
      </x:c>
      <x:c r="U9" s="2" t="str">
        <x:v>SCHOOL_RECEIVER_01</x:v>
      </x:c>
      <x:c r="V9" s="2" t="str">
        <x:v>School staff receipt</x:v>
      </x:c>
      <x:c r="W9" s="2" t="str">
        <x:v>Completed transport</x:v>
      </x:c>
      <x:c r="X9" s="2" t="str">
        <x:v>QR</x:v>
      </x:c>
      <x:c r="Y9" s="2" t="str">
        <x:v>Online</x:v>
      </x:c>
      <x:c r="Z9" s="2" t="str">
        <x:v>Synced</x:v>
      </x:c>
      <x:c r="AA9" s="2"/>
      <x:c r="AB9" s="2"/>
      <x:c r="AC9" s="10" t="n">
        <x:f>IF(OR(K9="",Q9=""),"",ROUND((Q9-K9)*1440,2))</x:f>
        <x:v>42</x:v>
      </x:c>
    </x:row>
    <x:row r="10" ht="21" customHeight="1">
      <x:c r="A10" s="2" t="str">
        <x:v>LN00009</x:v>
      </x:c>
      <x:c r="B10" s="2" t="str">
        <x:v>T20261004-1-1</x:v>
      </x:c>
      <x:c r="C10" s="7" t="n">
        <x:v>46299</x:v>
      </x:c>
      <x:c r="D10" s="2" t="str">
        <x:v>BUS001</x:v>
      </x:c>
      <x:c r="E10" s="2" t="str">
        <x:v>ST009</x:v>
      </x:c>
      <x:c r="F10" s="2" t="n">
        <x:v>1</x:v>
      </x:c>
      <x:c r="G10" s="2" t="str">
        <x:v>Junior</x:v>
      </x:c>
      <x:c r="H10" s="2" t="str">
        <x:v>Pickup</x:v>
      </x:c>
      <x:c r="I10" s="2" t="str">
        <x:v>R1S3</x:v>
      </x:c>
      <x:c r="J10" s="2" t="str">
        <x:v>EV000015</x:v>
      </x:c>
      <x:c r="K10" s="8" t="n">
        <x:v>46299.25236111111</x:v>
      </x:c>
      <x:c r="L10" s="2" t="str">
        <x:v>R1S3</x:v>
      </x:c>
      <x:c r="M10" s="9" t="n">
        <x:v>25.275000000000002</x:v>
      </x:c>
      <x:c r="N10" s="9" t="n">
        <x:v>51.497</x:v>
      </x:c>
      <x:c r="O10" s="2" t="str">
        <x:v>Valid</x:v>
      </x:c>
      <x:c r="P10" s="2" t="str">
        <x:v>EV000016</x:v>
      </x:c>
      <x:c r="Q10" s="8" t="n">
        <x:v>46299.276666666665</x:v>
      </x:c>
      <x:c r="R10" s="2" t="str">
        <x:v>SCH01</x:v>
      </x:c>
      <x:c r="S10" s="9" t="n">
        <x:v>25.285</x:v>
      </x:c>
      <x:c r="T10" s="9" t="n">
        <x:v>51.51</x:v>
      </x:c>
      <x:c r="U10" s="2" t="str">
        <x:v>SCHOOL_RECEIVER_01</x:v>
      </x:c>
      <x:c r="V10" s="2" t="str">
        <x:v>School staff receipt</x:v>
      </x:c>
      <x:c r="W10" s="2" t="str">
        <x:v>Completed transport</x:v>
      </x:c>
      <x:c r="X10" s="2" t="str">
        <x:v>QR</x:v>
      </x:c>
      <x:c r="Y10" s="2" t="str">
        <x:v>Online</x:v>
      </x:c>
      <x:c r="Z10" s="2" t="str">
        <x:v>Synced</x:v>
      </x:c>
      <x:c r="AA10" s="2"/>
      <x:c r="AB10" s="2"/>
      <x:c r="AC10" s="10" t="n">
        <x:f>IF(OR(K10="",Q10=""),"",ROUND((Q10-K10)*1440,2))</x:f>
        <x:v>35</x:v>
      </x:c>
    </x:row>
    <x:row r="11" ht="21" customHeight="1">
      <x:c r="A11" s="2" t="str">
        <x:v>LN00010</x:v>
      </x:c>
      <x:c r="B11" s="2" t="str">
        <x:v>T20261004-1-1</x:v>
      </x:c>
      <x:c r="C11" s="7" t="n">
        <x:v>46299</x:v>
      </x:c>
      <x:c r="D11" s="2" t="str">
        <x:v>BUS001</x:v>
      </x:c>
      <x:c r="E11" s="2" t="str">
        <x:v>ST010</x:v>
      </x:c>
      <x:c r="F11" s="2" t="n">
        <x:v>1</x:v>
      </x:c>
      <x:c r="G11" s="2" t="str">
        <x:v>Junior</x:v>
      </x:c>
      <x:c r="H11" s="2" t="str">
        <x:v>Pickup</x:v>
      </x:c>
      <x:c r="I11" s="2" t="str">
        <x:v>R1S1</x:v>
      </x:c>
      <x:c r="J11" s="2" t="str">
        <x:v>EV000017</x:v>
      </x:c>
      <x:c r="K11" s="8" t="n">
        <x:v>46299.242673611116</x:v>
      </x:c>
      <x:c r="L11" s="2" t="str">
        <x:v>R1S1</x:v>
      </x:c>
      <x:c r="M11" s="9" t="n">
        <x:v>25.271</x:v>
      </x:c>
      <x:c r="N11" s="9" t="n">
        <x:v>51.491</x:v>
      </x:c>
      <x:c r="O11" s="2" t="str">
        <x:v>Valid</x:v>
      </x:c>
      <x:c r="P11" s="2" t="str">
        <x:v>EV000018</x:v>
      </x:c>
      <x:c r="Q11" s="8" t="n">
        <x:v>46299.27670138889</x:v>
      </x:c>
      <x:c r="R11" s="2" t="str">
        <x:v>SCH01</x:v>
      </x:c>
      <x:c r="S11" s="9" t="n">
        <x:v>25.285</x:v>
      </x:c>
      <x:c r="T11" s="9" t="n">
        <x:v>51.51</x:v>
      </x:c>
      <x:c r="U11" s="2" t="str">
        <x:v>SCHOOL_RECEIVER_01</x:v>
      </x:c>
      <x:c r="V11" s="2" t="str">
        <x:v>School staff receipt</x:v>
      </x:c>
      <x:c r="W11" s="2" t="str">
        <x:v>Completed transport</x:v>
      </x:c>
      <x:c r="X11" s="2" t="str">
        <x:v>QR</x:v>
      </x:c>
      <x:c r="Y11" s="2" t="str">
        <x:v>Online</x:v>
      </x:c>
      <x:c r="Z11" s="2" t="str">
        <x:v>Synced</x:v>
      </x:c>
      <x:c r="AA11" s="2"/>
      <x:c r="AB11" s="2"/>
      <x:c r="AC11" s="10" t="n">
        <x:f>IF(OR(K11="",Q11=""),"",ROUND((Q11-K11)*1440,2))</x:f>
        <x:v>49</x:v>
      </x:c>
    </x:row>
    <x:row r="12" ht="21" customHeight="1">
      <x:c r="A12" s="2" t="str">
        <x:v>LN00011</x:v>
      </x:c>
      <x:c r="B12" s="2" t="str">
        <x:v>T20261004-1-1</x:v>
      </x:c>
      <x:c r="C12" s="7" t="n">
        <x:v>46299</x:v>
      </x:c>
      <x:c r="D12" s="2" t="str">
        <x:v>BUS001</x:v>
      </x:c>
      <x:c r="E12" s="2" t="str">
        <x:v>ST011</x:v>
      </x:c>
      <x:c r="F12" s="2" t="n">
        <x:v>1</x:v>
      </x:c>
      <x:c r="G12" s="2" t="str">
        <x:v>Senior</x:v>
      </x:c>
      <x:c r="H12" s="2" t="str">
        <x:v>Pickup</x:v>
      </x:c>
      <x:c r="I12" s="2" t="str">
        <x:v>R1S2</x:v>
      </x:c>
      <x:c r="J12" s="2" t="str">
        <x:v>EV000020</x:v>
      </x:c>
      <x:c r="K12" s="8" t="n">
        <x:v>46299.24722222222</x:v>
      </x:c>
      <x:c r="L12" s="2" t="str">
        <x:v>R1S2</x:v>
      </x:c>
      <x:c r="M12" s="9" t="n">
        <x:v>25.273000000000003</x:v>
      </x:c>
      <x:c r="N12" s="9" t="n">
        <x:v>51.494</x:v>
      </x:c>
      <x:c r="O12" s="2" t="str">
        <x:v>Valid</x:v>
      </x:c>
      <x:c r="P12" s="2" t="str">
        <x:v>EV000021</x:v>
      </x:c>
      <x:c r="Q12" s="8" t="n">
        <x:v>46299.27673611111</x:v>
      </x:c>
      <x:c r="R12" s="2" t="str">
        <x:v>SCH01</x:v>
      </x:c>
      <x:c r="S12" s="9" t="n">
        <x:v>25.285</x:v>
      </x:c>
      <x:c r="T12" s="9" t="n">
        <x:v>51.51</x:v>
      </x:c>
      <x:c r="U12" s="2" t="str">
        <x:v>SCHOOL_RECEIVER_01</x:v>
      </x:c>
      <x:c r="V12" s="2" t="str">
        <x:v>School staff receipt</x:v>
      </x:c>
      <x:c r="W12" s="2" t="str">
        <x:v>Completed transport</x:v>
      </x:c>
      <x:c r="X12" s="2" t="str">
        <x:v>QR</x:v>
      </x:c>
      <x:c r="Y12" s="2" t="str">
        <x:v>Online</x:v>
      </x:c>
      <x:c r="Z12" s="2" t="str">
        <x:v>Synced</x:v>
      </x:c>
      <x:c r="AA12" s="2"/>
      <x:c r="AB12" s="2"/>
      <x:c r="AC12" s="10" t="n">
        <x:f>IF(OR(K12="",Q12=""),"",ROUND((Q12-K12)*1440,2))</x:f>
        <x:v>42.5</x:v>
      </x:c>
    </x:row>
    <x:row r="13" ht="21" customHeight="1">
      <x:c r="A13" s="2" t="str">
        <x:v>LN00012</x:v>
      </x:c>
      <x:c r="B13" s="2" t="str">
        <x:v>T20261004-1-1</x:v>
      </x:c>
      <x:c r="C13" s="7" t="n">
        <x:v>46299</x:v>
      </x:c>
      <x:c r="D13" s="2" t="str">
        <x:v>BUS001</x:v>
      </x:c>
      <x:c r="E13" s="2" t="str">
        <x:v>ST012</x:v>
      </x:c>
      <x:c r="F13" s="2" t="n">
        <x:v>1</x:v>
      </x:c>
      <x:c r="G13" s="2" t="str">
        <x:v>Senior</x:v>
      </x:c>
      <x:c r="H13" s="2" t="str">
        <x:v>Pickup</x:v>
      </x:c>
      <x:c r="I13" s="2" t="str">
        <x:v>R1S3</x:v>
      </x:c>
      <x:c r="J13" s="2" t="str">
        <x:v>EV000022</x:v>
      </x:c>
      <x:c r="K13" s="8" t="n">
        <x:v>46299.252118055556</x:v>
      </x:c>
      <x:c r="L13" s="2" t="str">
        <x:v>R1S3</x:v>
      </x:c>
      <x:c r="M13" s="9" t="n">
        <x:v>25.275000000000002</x:v>
      </x:c>
      <x:c r="N13" s="9" t="n">
        <x:v>51.497</x:v>
      </x:c>
      <x:c r="O13" s="2" t="str">
        <x:v>Valid</x:v>
      </x:c>
      <x:c r="P13" s="2" t="str">
        <x:v>EV000023</x:v>
      </x:c>
      <x:c r="Q13" s="8" t="n">
        <x:v>46299.276770833334</x:v>
      </x:c>
      <x:c r="R13" s="2" t="str">
        <x:v>SCH01</x:v>
      </x:c>
      <x:c r="S13" s="9" t="n">
        <x:v>25.285</x:v>
      </x:c>
      <x:c r="T13" s="9" t="n">
        <x:v>51.51</x:v>
      </x:c>
      <x:c r="U13" s="2" t="str">
        <x:v>SCHOOL_RECEIVER_01</x:v>
      </x:c>
      <x:c r="V13" s="2" t="str">
        <x:v>School staff receipt</x:v>
      </x:c>
      <x:c r="W13" s="2" t="str">
        <x:v>Completed transport</x:v>
      </x:c>
      <x:c r="X13" s="2" t="str">
        <x:v>QR</x:v>
      </x:c>
      <x:c r="Y13" s="2" t="str">
        <x:v>Online</x:v>
      </x:c>
      <x:c r="Z13" s="2" t="str">
        <x:v>Synced</x:v>
      </x:c>
      <x:c r="AA13" s="2"/>
      <x:c r="AB13" s="2"/>
      <x:c r="AC13" s="10" t="n">
        <x:f>IF(OR(K13="",Q13=""),"",ROUND((Q13-K13)*1440,2))</x:f>
        <x:v>35.5</x:v>
      </x:c>
    </x:row>
    <x:row r="14" ht="21" customHeight="1">
      <x:c r="A14" s="2" t="str">
        <x:v>LN00013</x:v>
      </x:c>
      <x:c r="B14" s="2" t="str">
        <x:v>T20261004-1-1</x:v>
      </x:c>
      <x:c r="C14" s="7" t="n">
        <x:v>46299</x:v>
      </x:c>
      <x:c r="D14" s="2" t="str">
        <x:v>BUS001</x:v>
      </x:c>
      <x:c r="E14" s="2" t="str">
        <x:v>ST013</x:v>
      </x:c>
      <x:c r="F14" s="2" t="n">
        <x:v>1</x:v>
      </x:c>
      <x:c r="G14" s="2" t="str">
        <x:v>Senior</x:v>
      </x:c>
      <x:c r="H14" s="2" t="str">
        <x:v>Pickup</x:v>
      </x:c>
      <x:c r="I14" s="2" t="str">
        <x:v>R1S1</x:v>
      </x:c>
      <x:c r="J14" s="2" t="str">
        <x:v>EV000024</x:v>
      </x:c>
      <x:c r="K14" s="8" t="n">
        <x:v>46299.24243055556</x:v>
      </x:c>
      <x:c r="L14" s="2" t="str">
        <x:v>R1S1</x:v>
      </x:c>
      <x:c r="M14" s="9" t="n">
        <x:v>25.271</x:v>
      </x:c>
      <x:c r="N14" s="9" t="n">
        <x:v>51.491</x:v>
      </x:c>
      <x:c r="O14" s="2" t="str">
        <x:v>Valid</x:v>
      </x:c>
      <x:c r="P14" s="2" t="str">
        <x:v>EV000025</x:v>
      </x:c>
      <x:c r="Q14" s="8" t="n">
        <x:v>46299.27680555556</x:v>
      </x:c>
      <x:c r="R14" s="2" t="str">
        <x:v>SCH01</x:v>
      </x:c>
      <x:c r="S14" s="9" t="n">
        <x:v>25.285</x:v>
      </x:c>
      <x:c r="T14" s="9" t="n">
        <x:v>51.51</x:v>
      </x:c>
      <x:c r="U14" s="2" t="str">
        <x:v>SCHOOL_RECEIVER_01</x:v>
      </x:c>
      <x:c r="V14" s="2" t="str">
        <x:v>School staff receipt</x:v>
      </x:c>
      <x:c r="W14" s="2" t="str">
        <x:v>Completed transport</x:v>
      </x:c>
      <x:c r="X14" s="2" t="str">
        <x:v>QR</x:v>
      </x:c>
      <x:c r="Y14" s="2" t="str">
        <x:v>Online</x:v>
      </x:c>
      <x:c r="Z14" s="2" t="str">
        <x:v>Synced</x:v>
      </x:c>
      <x:c r="AA14" s="2"/>
      <x:c r="AB14" s="2"/>
      <x:c r="AC14" s="10" t="n">
        <x:f>IF(OR(K14="",Q14=""),"",ROUND((Q14-K14)*1440,2))</x:f>
        <x:v>49.5</x:v>
      </x:c>
    </x:row>
    <x:row r="15" ht="21" customHeight="1">
      <x:c r="A15" s="2" t="str">
        <x:v>LN00014</x:v>
      </x:c>
      <x:c r="B15" s="2" t="str">
        <x:v>T20261004-1-1</x:v>
      </x:c>
      <x:c r="C15" s="7" t="n">
        <x:v>46299</x:v>
      </x:c>
      <x:c r="D15" s="2" t="str">
        <x:v>BUS001</x:v>
      </x:c>
      <x:c r="E15" s="2" t="str">
        <x:v>ST014</x:v>
      </x:c>
      <x:c r="F15" s="2" t="n">
        <x:v>1</x:v>
      </x:c>
      <x:c r="G15" s="2" t="str">
        <x:v>Senior</x:v>
      </x:c>
      <x:c r="H15" s="2" t="str">
        <x:v>Pickup</x:v>
      </x:c>
      <x:c r="I15" s="2" t="str">
        <x:v>R1S2</x:v>
      </x:c>
      <x:c r="J15" s="2" t="str">
        <x:v>EV000026</x:v>
      </x:c>
      <x:c r="K15" s="8" t="n">
        <x:v>46299.24732638889</x:v>
      </x:c>
      <x:c r="L15" s="2" t="str">
        <x:v>R1S2</x:v>
      </x:c>
      <x:c r="M15" s="9" t="n">
        <x:v>25.273000000000003</x:v>
      </x:c>
      <x:c r="N15" s="9" t="n">
        <x:v>51.494</x:v>
      </x:c>
      <x:c r="O15" s="2" t="str">
        <x:v>Valid</x:v>
      </x:c>
      <x:c r="P15" s="2" t="str">
        <x:v>EV000027</x:v>
      </x:c>
      <x:c r="Q15" s="8" t="n">
        <x:v>46299.27684027777</x:v>
      </x:c>
      <x:c r="R15" s="2" t="str">
        <x:v>SCH01</x:v>
      </x:c>
      <x:c r="S15" s="9" t="n">
        <x:v>25.285</x:v>
      </x:c>
      <x:c r="T15" s="9" t="n">
        <x:v>51.51</x:v>
      </x:c>
      <x:c r="U15" s="2" t="str">
        <x:v>SCHOOL_RECEIVER_01</x:v>
      </x:c>
      <x:c r="V15" s="2" t="str">
        <x:v>School staff receipt</x:v>
      </x:c>
      <x:c r="W15" s="2" t="str">
        <x:v>Completed transport</x:v>
      </x:c>
      <x:c r="X15" s="2" t="str">
        <x:v>QR</x:v>
      </x:c>
      <x:c r="Y15" s="2" t="str">
        <x:v>Online</x:v>
      </x:c>
      <x:c r="Z15" s="2" t="str">
        <x:v>Synced</x:v>
      </x:c>
      <x:c r="AA15" s="2"/>
      <x:c r="AB15" s="2"/>
      <x:c r="AC15" s="10" t="n">
        <x:f>IF(OR(K15="",Q15=""),"",ROUND((Q15-K15)*1440,2))</x:f>
        <x:v>42.5</x:v>
      </x:c>
    </x:row>
    <x:row r="16" ht="21" customHeight="1">
      <x:c r="A16" s="2" t="str">
        <x:v>LN00015</x:v>
      </x:c>
      <x:c r="B16" s="2" t="str">
        <x:v>T20261004-1-1</x:v>
      </x:c>
      <x:c r="C16" s="7" t="n">
        <x:v>46299</x:v>
      </x:c>
      <x:c r="D16" s="2" t="str">
        <x:v>BUS001</x:v>
      </x:c>
      <x:c r="E16" s="2" t="str">
        <x:v>ST015</x:v>
      </x:c>
      <x:c r="F16" s="2" t="n">
        <x:v>1</x:v>
      </x:c>
      <x:c r="G16" s="2" t="str">
        <x:v>Senior</x:v>
      </x:c>
      <x:c r="H16" s="2" t="str">
        <x:v>Pickup</x:v>
      </x:c>
      <x:c r="I16" s="2" t="str">
        <x:v>R1S3</x:v>
      </x:c>
      <x:c r="J16" s="2" t="str">
        <x:v>EV000028</x:v>
      </x:c>
      <x:c r="K16" s="8" t="n">
        <x:v>46299.252222222225</x:v>
      </x:c>
      <x:c r="L16" s="2" t="str">
        <x:v>R1S3</x:v>
      </x:c>
      <x:c r="M16" s="9" t="n">
        <x:v>25.275000000000002</x:v>
      </x:c>
      <x:c r="N16" s="9" t="n">
        <x:v>51.497</x:v>
      </x:c>
      <x:c r="O16" s="2" t="str">
        <x:v>Valid</x:v>
      </x:c>
      <x:c r="P16" s="2" t="str">
        <x:v>EV000029</x:v>
      </x:c>
      <x:c r="Q16" s="8" t="n">
        <x:v>46299.276874999996</x:v>
      </x:c>
      <x:c r="R16" s="2" t="str">
        <x:v>SCH01</x:v>
      </x:c>
      <x:c r="S16" s="9" t="n">
        <x:v>25.285</x:v>
      </x:c>
      <x:c r="T16" s="9" t="n">
        <x:v>51.51</x:v>
      </x:c>
      <x:c r="U16" s="2" t="str">
        <x:v>SCHOOL_RECEIVER_01</x:v>
      </x:c>
      <x:c r="V16" s="2" t="str">
        <x:v>School staff receipt</x:v>
      </x:c>
      <x:c r="W16" s="2" t="str">
        <x:v>Completed transport</x:v>
      </x:c>
      <x:c r="X16" s="2" t="str">
        <x:v>QR</x:v>
      </x:c>
      <x:c r="Y16" s="2" t="str">
        <x:v>Online</x:v>
      </x:c>
      <x:c r="Z16" s="2" t="str">
        <x:v>Synced</x:v>
      </x:c>
      <x:c r="AA16" s="2"/>
      <x:c r="AB16" s="2"/>
      <x:c r="AC16" s="10" t="n">
        <x:f>IF(OR(K16="",Q16=""),"",ROUND((Q16-K16)*1440,2))</x:f>
        <x:v>35.5</x:v>
      </x:c>
    </x:row>
    <x:row r="17" ht="21" customHeight="1">
      <x:c r="A17" s="2" t="str">
        <x:v>LN00016</x:v>
      </x:c>
      <x:c r="B17" s="2" t="str">
        <x:v>T20261004-1-1</x:v>
      </x:c>
      <x:c r="C17" s="7" t="n">
        <x:v>46299</x:v>
      </x:c>
      <x:c r="D17" s="2" t="str">
        <x:v>BUS001</x:v>
      </x:c>
      <x:c r="E17" s="2" t="str">
        <x:v>ST016</x:v>
      </x:c>
      <x:c r="F17" s="2" t="n">
        <x:v>1</x:v>
      </x:c>
      <x:c r="G17" s="2" t="str">
        <x:v>Senior</x:v>
      </x:c>
      <x:c r="H17" s="2" t="str">
        <x:v>Pickup</x:v>
      </x:c>
      <x:c r="I17" s="2" t="str">
        <x:v>R1S1</x:v>
      </x:c>
      <x:c r="J17" s="2" t="str">
        <x:v>EV000030</x:v>
      </x:c>
      <x:c r="K17" s="8" t="n">
        <x:v>46299.24253472222</x:v>
      </x:c>
      <x:c r="L17" s="2" t="str">
        <x:v>R1S1</x:v>
      </x:c>
      <x:c r="M17" s="9" t="n">
        <x:v>25.271</x:v>
      </x:c>
      <x:c r="N17" s="9" t="n">
        <x:v>51.491</x:v>
      </x:c>
      <x:c r="O17" s="2" t="str">
        <x:v>Valid</x:v>
      </x:c>
      <x:c r="P17" s="2" t="str">
        <x:v>EV000031</x:v>
      </x:c>
      <x:c r="Q17" s="8" t="n">
        <x:v>46299.27690972222</x:v>
      </x:c>
      <x:c r="R17" s="2" t="str">
        <x:v>SCH01</x:v>
      </x:c>
      <x:c r="S17" s="9" t="n">
        <x:v>25.285</x:v>
      </x:c>
      <x:c r="T17" s="9" t="n">
        <x:v>51.51</x:v>
      </x:c>
      <x:c r="U17" s="2" t="str">
        <x:v>SCHOOL_RECEIVER_01</x:v>
      </x:c>
      <x:c r="V17" s="2" t="str">
        <x:v>School staff receipt</x:v>
      </x:c>
      <x:c r="W17" s="2" t="str">
        <x:v>Completed transport</x:v>
      </x:c>
      <x:c r="X17" s="2" t="str">
        <x:v>QR</x:v>
      </x:c>
      <x:c r="Y17" s="2" t="str">
        <x:v>Online</x:v>
      </x:c>
      <x:c r="Z17" s="2" t="str">
        <x:v>Synced</x:v>
      </x:c>
      <x:c r="AA17" s="2"/>
      <x:c r="AB17" s="2"/>
      <x:c r="AC17" s="10" t="n">
        <x:f>IF(OR(K17="",Q17=""),"",ROUND((Q17-K17)*1440,2))</x:f>
        <x:v>49.5</x:v>
      </x:c>
    </x:row>
    <x:row r="18" ht="21" customHeight="1">
      <x:c r="A18" s="2" t="str">
        <x:v>LN00017</x:v>
      </x:c>
      <x:c r="B18" s="2" t="str">
        <x:v>T20261004-1-1</x:v>
      </x:c>
      <x:c r="C18" s="7" t="n">
        <x:v>46299</x:v>
      </x:c>
      <x:c r="D18" s="2" t="str">
        <x:v>BUS001</x:v>
      </x:c>
      <x:c r="E18" s="2" t="str">
        <x:v>ST017</x:v>
      </x:c>
      <x:c r="F18" s="2" t="n">
        <x:v>1</x:v>
      </x:c>
      <x:c r="G18" s="2" t="str">
        <x:v>Senior</x:v>
      </x:c>
      <x:c r="H18" s="2" t="str">
        <x:v>Pickup</x:v>
      </x:c>
      <x:c r="I18" s="2" t="str">
        <x:v>R1S2</x:v>
      </x:c>
      <x:c r="J18" s="2" t="str">
        <x:v>EV000032</x:v>
      </x:c>
      <x:c r="K18" s="8" t="n">
        <x:v>46299.24743055555</x:v>
      </x:c>
      <x:c r="L18" s="2" t="str">
        <x:v>R1S2</x:v>
      </x:c>
      <x:c r="M18" s="9" t="n">
        <x:v>25.273000000000003</x:v>
      </x:c>
      <x:c r="N18" s="9" t="n">
        <x:v>51.494</x:v>
      </x:c>
      <x:c r="O18" s="2" t="str">
        <x:v>Valid</x:v>
      </x:c>
      <x:c r="P18" s="2" t="str">
        <x:v>EV000033</x:v>
      </x:c>
      <x:c r="Q18" s="8" t="n">
        <x:v>46299.27694444444</x:v>
      </x:c>
      <x:c r="R18" s="2" t="str">
        <x:v>SCH01</x:v>
      </x:c>
      <x:c r="S18" s="9" t="n">
        <x:v>25.285</x:v>
      </x:c>
      <x:c r="T18" s="9" t="n">
        <x:v>51.51</x:v>
      </x:c>
      <x:c r="U18" s="2" t="str">
        <x:v>SCHOOL_RECEIVER_01</x:v>
      </x:c>
      <x:c r="V18" s="2" t="str">
        <x:v>School staff receipt</x:v>
      </x:c>
      <x:c r="W18" s="2" t="str">
        <x:v>Completed transport</x:v>
      </x:c>
      <x:c r="X18" s="2" t="str">
        <x:v>QR</x:v>
      </x:c>
      <x:c r="Y18" s="2" t="str">
        <x:v>Online</x:v>
      </x:c>
      <x:c r="Z18" s="2" t="str">
        <x:v>Synced</x:v>
      </x:c>
      <x:c r="AA18" s="2"/>
      <x:c r="AB18" s="2"/>
      <x:c r="AC18" s="10" t="n">
        <x:f>IF(OR(K18="",Q18=""),"",ROUND((Q18-K18)*1440,2))</x:f>
        <x:v>42.5</x:v>
      </x:c>
    </x:row>
    <x:row r="19" ht="21" customHeight="1">
      <x:c r="A19" s="2" t="str">
        <x:v>LN00018</x:v>
      </x:c>
      <x:c r="B19" s="2" t="str">
        <x:v>T20261004-1-1</x:v>
      </x:c>
      <x:c r="C19" s="7" t="n">
        <x:v>46299</x:v>
      </x:c>
      <x:c r="D19" s="2" t="str">
        <x:v>BUS001</x:v>
      </x:c>
      <x:c r="E19" s="2" t="str">
        <x:v>ST018</x:v>
      </x:c>
      <x:c r="F19" s="2" t="n">
        <x:v>1</x:v>
      </x:c>
      <x:c r="G19" s="2" t="str">
        <x:v>Senior</x:v>
      </x:c>
      <x:c r="H19" s="2" t="str">
        <x:v>Pickup</x:v>
      </x:c>
      <x:c r="I19" s="2" t="str">
        <x:v>R1S3</x:v>
      </x:c>
      <x:c r="J19" s="2" t="str">
        <x:v>EV000034</x:v>
      </x:c>
      <x:c r="K19" s="8" t="n">
        <x:v>46299.25232638889</x:v>
      </x:c>
      <x:c r="L19" s="2" t="str">
        <x:v>R1S3</x:v>
      </x:c>
      <x:c r="M19" s="9" t="n">
        <x:v>25.275000000000002</x:v>
      </x:c>
      <x:c r="N19" s="9" t="n">
        <x:v>51.497</x:v>
      </x:c>
      <x:c r="O19" s="2" t="str">
        <x:v>Valid</x:v>
      </x:c>
      <x:c r="P19" s="2" t="str">
        <x:v>EV000035</x:v>
      </x:c>
      <x:c r="Q19" s="8" t="n">
        <x:v>46299.276979166665</x:v>
      </x:c>
      <x:c r="R19" s="2" t="str">
        <x:v>SCH01</x:v>
      </x:c>
      <x:c r="S19" s="9" t="n">
        <x:v>25.285</x:v>
      </x:c>
      <x:c r="T19" s="9" t="n">
        <x:v>51.51</x:v>
      </x:c>
      <x:c r="U19" s="2" t="str">
        <x:v>SCHOOL_RECEIVER_01</x:v>
      </x:c>
      <x:c r="V19" s="2" t="str">
        <x:v>School staff receipt</x:v>
      </x:c>
      <x:c r="W19" s="2" t="str">
        <x:v>Completed transport</x:v>
      </x:c>
      <x:c r="X19" s="2" t="str">
        <x:v>QR</x:v>
      </x:c>
      <x:c r="Y19" s="2" t="str">
        <x:v>Online</x:v>
      </x:c>
      <x:c r="Z19" s="2" t="str">
        <x:v>Synced</x:v>
      </x:c>
      <x:c r="AA19" s="2"/>
      <x:c r="AB19" s="2"/>
      <x:c r="AC19" s="10" t="n">
        <x:f>IF(OR(K19="",Q19=""),"",ROUND((Q19-K19)*1440,2))</x:f>
        <x:v>35.5</x:v>
      </x:c>
    </x:row>
    <x:row r="20" ht="21" customHeight="1">
      <x:c r="A20" s="2" t="str">
        <x:v>LN00019</x:v>
      </x:c>
      <x:c r="B20" s="2" t="str">
        <x:v>T20261004-1-1</x:v>
      </x:c>
      <x:c r="C20" s="7" t="n">
        <x:v>46299</x:v>
      </x:c>
      <x:c r="D20" s="2" t="str">
        <x:v>BUS001</x:v>
      </x:c>
      <x:c r="E20" s="2" t="str">
        <x:v>ST019</x:v>
      </x:c>
      <x:c r="F20" s="2" t="n">
        <x:v>1</x:v>
      </x:c>
      <x:c r="G20" s="2" t="str">
        <x:v>Senior</x:v>
      </x:c>
      <x:c r="H20" s="2" t="str">
        <x:v>Pickup</x:v>
      </x:c>
      <x:c r="I20" s="2" t="str">
        <x:v>R1S1</x:v>
      </x:c>
      <x:c r="J20" s="2" t="str">
        <x:v>EV000036</x:v>
      </x:c>
      <x:c r="K20" s="8" t="n">
        <x:v>46299.24263888889</x:v>
      </x:c>
      <x:c r="L20" s="2" t="str">
        <x:v>R1S1</x:v>
      </x:c>
      <x:c r="M20" s="9" t="n">
        <x:v>25.271</x:v>
      </x:c>
      <x:c r="N20" s="9" t="n">
        <x:v>51.491</x:v>
      </x:c>
      <x:c r="O20" s="2" t="str">
        <x:v>Valid</x:v>
      </x:c>
      <x:c r="P20" s="2" t="str">
        <x:v>EV000037</x:v>
      </x:c>
      <x:c r="Q20" s="8" t="n">
        <x:v>46299.27701388889</x:v>
      </x:c>
      <x:c r="R20" s="2" t="str">
        <x:v>SCH01</x:v>
      </x:c>
      <x:c r="S20" s="9" t="n">
        <x:v>25.285</x:v>
      </x:c>
      <x:c r="T20" s="9" t="n">
        <x:v>51.51</x:v>
      </x:c>
      <x:c r="U20" s="2" t="str">
        <x:v>SCHOOL_RECEIVER_01</x:v>
      </x:c>
      <x:c r="V20" s="2" t="str">
        <x:v>School staff receipt</x:v>
      </x:c>
      <x:c r="W20" s="2" t="str">
        <x:v>Completed transport</x:v>
      </x:c>
      <x:c r="X20" s="2" t="str">
        <x:v>QR</x:v>
      </x:c>
      <x:c r="Y20" s="2" t="str">
        <x:v>Online</x:v>
      </x:c>
      <x:c r="Z20" s="2" t="str">
        <x:v>Synced</x:v>
      </x:c>
      <x:c r="AA20" s="2"/>
      <x:c r="AB20" s="2"/>
      <x:c r="AC20" s="10" t="n">
        <x:f>IF(OR(K20="",Q20=""),"",ROUND((Q20-K20)*1440,2))</x:f>
        <x:v>49.5</x:v>
      </x:c>
    </x:row>
    <x:row r="21" ht="21" customHeight="1">
      <x:c r="A21" s="2" t="str">
        <x:v>LN00020</x:v>
      </x:c>
      <x:c r="B21" s="2" t="str">
        <x:v>T20261004-1-1</x:v>
      </x:c>
      <x:c r="C21" s="7" t="n">
        <x:v>46299</x:v>
      </x:c>
      <x:c r="D21" s="2" t="str">
        <x:v>BUS001</x:v>
      </x:c>
      <x:c r="E21" s="2" t="str">
        <x:v>ST020</x:v>
      </x:c>
      <x:c r="F21" s="2" t="n">
        <x:v>1</x:v>
      </x:c>
      <x:c r="G21" s="2" t="str">
        <x:v>Senior</x:v>
      </x:c>
      <x:c r="H21" s="2" t="str">
        <x:v>Pickup</x:v>
      </x:c>
      <x:c r="I21" s="2" t="str">
        <x:v>R1S2</x:v>
      </x:c>
      <x:c r="J21" s="2" t="str">
        <x:v>EV000038</x:v>
      </x:c>
      <x:c r="K21" s="8" t="n">
        <x:v>46299.24753472222</x:v>
      </x:c>
      <x:c r="L21" s="2" t="str">
        <x:v>R1S2</x:v>
      </x:c>
      <x:c r="M21" s="9" t="n">
        <x:v>25.273000000000003</x:v>
      </x:c>
      <x:c r="N21" s="9" t="n">
        <x:v>51.494</x:v>
      </x:c>
      <x:c r="O21" s="2" t="str">
        <x:v>Valid</x:v>
      </x:c>
      <x:c r="P21" s="2" t="str">
        <x:v>EV000039</x:v>
      </x:c>
      <x:c r="Q21" s="8" t="n">
        <x:v>46299.27704861111</x:v>
      </x:c>
      <x:c r="R21" s="2" t="str">
        <x:v>SCH01</x:v>
      </x:c>
      <x:c r="S21" s="9" t="n">
        <x:v>25.285</x:v>
      </x:c>
      <x:c r="T21" s="9" t="n">
        <x:v>51.51</x:v>
      </x:c>
      <x:c r="U21" s="2" t="str">
        <x:v>SCHOOL_RECEIVER_01</x:v>
      </x:c>
      <x:c r="V21" s="2" t="str">
        <x:v>School staff receipt</x:v>
      </x:c>
      <x:c r="W21" s="2" t="str">
        <x:v>Completed transport</x:v>
      </x:c>
      <x:c r="X21" s="2" t="str">
        <x:v>QR</x:v>
      </x:c>
      <x:c r="Y21" s="2" t="str">
        <x:v>Online</x:v>
      </x:c>
      <x:c r="Z21" s="2" t="str">
        <x:v>Synced</x:v>
      </x:c>
      <x:c r="AA21" s="2"/>
      <x:c r="AB21" s="2"/>
      <x:c r="AC21" s="10" t="n">
        <x:f>IF(OR(K21="",Q21=""),"",ROUND((Q21-K21)*1440,2))</x:f>
        <x:v>42.5</x:v>
      </x:c>
    </x:row>
    <x:row r="22" ht="21" customHeight="1">
      <x:c r="A22" s="2" t="str">
        <x:v>LN00021</x:v>
      </x:c>
      <x:c r="B22" s="2" t="str">
        <x:v>T20261004-2-1</x:v>
      </x:c>
      <x:c r="C22" s="7" t="n">
        <x:v>46299</x:v>
      </x:c>
      <x:c r="D22" s="2" t="str">
        <x:v>BUS001</x:v>
      </x:c>
      <x:c r="E22" s="2" t="str">
        <x:v>ST001</x:v>
      </x:c>
      <x:c r="F22" s="2" t="n">
        <x:v>1</x:v>
      </x:c>
      <x:c r="G22" s="2" t="str">
        <x:v>Junior</x:v>
      </x:c>
      <x:c r="H22" s="2" t="str">
        <x:v>Drop-off</x:v>
      </x:c>
      <x:c r="I22" s="2" t="str">
        <x:v>R1S1</x:v>
      </x:c>
      <x:c r="J22" s="2"/>
      <x:c r="K22" s="8"/>
      <x:c r="L22" s="2"/>
      <x:c r="M22" s="9"/>
      <x:c r="N22" s="9"/>
      <x:c r="O22" s="2"/>
      <x:c r="P22" s="2"/>
      <x:c r="Q22" s="8"/>
      <x:c r="R22" s="2"/>
      <x:c r="S22" s="9"/>
      <x:c r="T22" s="9"/>
      <x:c r="U22" s="2"/>
      <x:c r="V22" s="2"/>
      <x:c r="W22" s="2" t="str">
        <x:v>Declared absent</x:v>
      </x:c>
      <x:c r="X22" s="2" t="str">
        <x:v>QR</x:v>
      </x:c>
      <x:c r="Y22" s="2" t="str">
        <x:v>Online</x:v>
      </x:c>
      <x:c r="Z22" s="2" t="str">
        <x:v>Synced</x:v>
      </x:c>
      <x:c r="AA22" s="2" t="str">
        <x:v>Guardian declared full-day transport absence</x:v>
      </x:c>
      <x:c r="AB22" s="2"/>
      <x:c r="AC22" s="10" t="str">
        <x:f>IF(OR(K22="",Q22=""),"",ROUND((Q22-K22)*1440,2))</x:f>
      </x:c>
    </x:row>
    <x:row r="23" ht="21" customHeight="1">
      <x:c r="A23" s="2" t="str">
        <x:v>LN00022</x:v>
      </x:c>
      <x:c r="B23" s="2" t="str">
        <x:v>T20261004-2-1</x:v>
      </x:c>
      <x:c r="C23" s="7" t="n">
        <x:v>46299</x:v>
      </x:c>
      <x:c r="D23" s="2" t="str">
        <x:v>BUS001</x:v>
      </x:c>
      <x:c r="E23" s="2" t="str">
        <x:v>ST002</x:v>
      </x:c>
      <x:c r="F23" s="2" t="n">
        <x:v>1</x:v>
      </x:c>
      <x:c r="G23" s="2" t="str">
        <x:v>Junior</x:v>
      </x:c>
      <x:c r="H23" s="2" t="str">
        <x:v>Drop-off</x:v>
      </x:c>
      <x:c r="I23" s="2" t="str">
        <x:v>R1S2</x:v>
      </x:c>
      <x:c r="J23" s="2" t="str">
        <x:v>EV000041</x:v>
      </x:c>
      <x:c r="K23" s="8" t="n">
        <x:v>46299.43753472222</x:v>
      </x:c>
      <x:c r="L23" s="2" t="str">
        <x:v>SCH01</x:v>
      </x:c>
      <x:c r="M23" s="9" t="n">
        <x:v>25.285</x:v>
      </x:c>
      <x:c r="N23" s="9" t="n">
        <x:v>51.51</x:v>
      </x:c>
      <x:c r="O23" s="2" t="str">
        <x:v>Valid</x:v>
      </x:c>
      <x:c r="P23" s="2" t="str">
        <x:v>EV000042</x:v>
      </x:c>
      <x:c r="Q23" s="8" t="n">
        <x:v>46299.45350694445</x:v>
      </x:c>
      <x:c r="R23" s="2" t="str">
        <x:v>R1S2</x:v>
      </x:c>
      <x:c r="S23" s="9" t="n">
        <x:v>25.273000000000003</x:v>
      </x:c>
      <x:c r="T23" s="9" t="n">
        <x:v>51.494</x:v>
      </x:c>
      <x:c r="U23" s="2" t="str">
        <x:v>G002</x:v>
      </x:c>
      <x:c r="V23" s="2" t="str">
        <x:v>Authorized guardian release</x:v>
      </x:c>
      <x:c r="W23" s="2" t="str">
        <x:v>Completed transport</x:v>
      </x:c>
      <x:c r="X23" s="2" t="str">
        <x:v>QR</x:v>
      </x:c>
      <x:c r="Y23" s="2" t="str">
        <x:v>Online</x:v>
      </x:c>
      <x:c r="Z23" s="2" t="str">
        <x:v>Synced</x:v>
      </x:c>
      <x:c r="AA23" s="2"/>
      <x:c r="AB23" s="2"/>
      <x:c r="AC23" s="10" t="n">
        <x:f>IF(OR(K23="",Q23=""),"",ROUND((Q23-K23)*1440,2))</x:f>
        <x:v>23</x:v>
      </x:c>
    </x:row>
    <x:row r="24" ht="21" customHeight="1">
      <x:c r="A24" s="2" t="str">
        <x:v>LN00023</x:v>
      </x:c>
      <x:c r="B24" s="2" t="str">
        <x:v>T20261004-2-1</x:v>
      </x:c>
      <x:c r="C24" s="7" t="n">
        <x:v>46299</x:v>
      </x:c>
      <x:c r="D24" s="2" t="str">
        <x:v>BUS001</x:v>
      </x:c>
      <x:c r="E24" s="2" t="str">
        <x:v>ST003</x:v>
      </x:c>
      <x:c r="F24" s="2" t="n">
        <x:v>1</x:v>
      </x:c>
      <x:c r="G24" s="2" t="str">
        <x:v>Junior</x:v>
      </x:c>
      <x:c r="H24" s="2" t="str">
        <x:v>Drop-off</x:v>
      </x:c>
      <x:c r="I24" s="2" t="str">
        <x:v>R1S3</x:v>
      </x:c>
      <x:c r="J24" s="2" t="str">
        <x:v>EV000043</x:v>
      </x:c>
      <x:c r="K24" s="8" t="n">
        <x:v>46299.437569444446</x:v>
      </x:c>
      <x:c r="L24" s="2" t="str">
        <x:v>SCH01</x:v>
      </x:c>
      <x:c r="M24" s="9" t="n">
        <x:v>25.285</x:v>
      </x:c>
      <x:c r="N24" s="9" t="n">
        <x:v>51.51</x:v>
      </x:c>
      <x:c r="O24" s="2" t="str">
        <x:v>Valid</x:v>
      </x:c>
      <x:c r="P24" s="2" t="str">
        <x:v>EV000044</x:v>
      </x:c>
      <x:c r="Q24" s="8" t="n">
        <x:v>46299.457708333335</x:v>
      </x:c>
      <x:c r="R24" s="2" t="str">
        <x:v>R1S3</x:v>
      </x:c>
      <x:c r="S24" s="9" t="n">
        <x:v>25.275000000000002</x:v>
      </x:c>
      <x:c r="T24" s="9" t="n">
        <x:v>51.497</x:v>
      </x:c>
      <x:c r="U24" s="2" t="str">
        <x:v>G003</x:v>
      </x:c>
      <x:c r="V24" s="2" t="str">
        <x:v>Authorized guardian release</x:v>
      </x:c>
      <x:c r="W24" s="2" t="str">
        <x:v>Completed transport</x:v>
      </x:c>
      <x:c r="X24" s="2" t="str">
        <x:v>QR</x:v>
      </x:c>
      <x:c r="Y24" s="2" t="str">
        <x:v>Online</x:v>
      </x:c>
      <x:c r="Z24" s="2" t="str">
        <x:v>Synced</x:v>
      </x:c>
      <x:c r="AA24" s="2"/>
      <x:c r="AB24" s="2"/>
      <x:c r="AC24" s="10" t="n">
        <x:f>IF(OR(K24="",Q24=""),"",ROUND((Q24-K24)*1440,2))</x:f>
        <x:v>29</x:v>
      </x:c>
    </x:row>
    <x:row r="25" ht="21" customHeight="1">
      <x:c r="A25" s="2" t="str">
        <x:v>LN00024</x:v>
      </x:c>
      <x:c r="B25" s="2" t="str">
        <x:v>T20261004-2-1</x:v>
      </x:c>
      <x:c r="C25" s="7" t="n">
        <x:v>46299</x:v>
      </x:c>
      <x:c r="D25" s="2" t="str">
        <x:v>BUS001</x:v>
      </x:c>
      <x:c r="E25" s="2" t="str">
        <x:v>ST004</x:v>
      </x:c>
      <x:c r="F25" s="2" t="n">
        <x:v>1</x:v>
      </x:c>
      <x:c r="G25" s="2" t="str">
        <x:v>Junior</x:v>
      </x:c>
      <x:c r="H25" s="2" t="str">
        <x:v>Drop-off</x:v>
      </x:c>
      <x:c r="I25" s="2" t="str">
        <x:v>R1S1</x:v>
      </x:c>
      <x:c r="J25" s="2" t="str">
        <x:v>EV000045</x:v>
      </x:c>
      <x:c r="K25" s="8" t="n">
        <x:v>46299.43760416667</x:v>
      </x:c>
      <x:c r="L25" s="2" t="str">
        <x:v>SCH01</x:v>
      </x:c>
      <x:c r="M25" s="9" t="n">
        <x:v>25.285</x:v>
      </x:c>
      <x:c r="N25" s="9" t="n">
        <x:v>51.51</x:v>
      </x:c>
      <x:c r="O25" s="2" t="str">
        <x:v>Valid</x:v>
      </x:c>
      <x:c r="P25" s="2" t="str">
        <x:v>EV000046</x:v>
      </x:c>
      <x:c r="Q25" s="8" t="n">
        <x:v>46299.44940972222</x:v>
      </x:c>
      <x:c r="R25" s="2" t="str">
        <x:v>R1S1</x:v>
      </x:c>
      <x:c r="S25" s="9" t="n">
        <x:v>25.271</x:v>
      </x:c>
      <x:c r="T25" s="9" t="n">
        <x:v>51.491</x:v>
      </x:c>
      <x:c r="U25" s="2" t="str">
        <x:v>G004</x:v>
      </x:c>
      <x:c r="V25" s="2" t="str">
        <x:v>Authorized guardian release</x:v>
      </x:c>
      <x:c r="W25" s="2" t="str">
        <x:v>Completed transport</x:v>
      </x:c>
      <x:c r="X25" s="2" t="str">
        <x:v>QR</x:v>
      </x:c>
      <x:c r="Y25" s="2" t="str">
        <x:v>Online</x:v>
      </x:c>
      <x:c r="Z25" s="2" t="str">
        <x:v>Synced</x:v>
      </x:c>
      <x:c r="AA25" s="2"/>
      <x:c r="AB25" s="2"/>
      <x:c r="AC25" s="10" t="n">
        <x:f>IF(OR(K25="",Q25=""),"",ROUND((Q25-K25)*1440,2))</x:f>
        <x:v>17</x:v>
      </x:c>
    </x:row>
    <x:row r="26" ht="21" customHeight="1">
      <x:c r="A26" s="2" t="str">
        <x:v>LN00025</x:v>
      </x:c>
      <x:c r="B26" s="2" t="str">
        <x:v>T20261004-2-1</x:v>
      </x:c>
      <x:c r="C26" s="7" t="n">
        <x:v>46299</x:v>
      </x:c>
      <x:c r="D26" s="2" t="str">
        <x:v>BUS001</x:v>
      </x:c>
      <x:c r="E26" s="2" t="str">
        <x:v>ST005</x:v>
      </x:c>
      <x:c r="F26" s="2" t="n">
        <x:v>1</x:v>
      </x:c>
      <x:c r="G26" s="2" t="str">
        <x:v>Junior</x:v>
      </x:c>
      <x:c r="H26" s="2" t="str">
        <x:v>Drop-off</x:v>
      </x:c>
      <x:c r="I26" s="2" t="str">
        <x:v>R1S2</x:v>
      </x:c>
      <x:c r="J26" s="2" t="str">
        <x:v>EV000047</x:v>
      </x:c>
      <x:c r="K26" s="8" t="n">
        <x:v>46299.43763888889</x:v>
      </x:c>
      <x:c r="L26" s="2" t="str">
        <x:v>SCH01</x:v>
      </x:c>
      <x:c r="M26" s="9" t="n">
        <x:v>25.285</x:v>
      </x:c>
      <x:c r="N26" s="9" t="n">
        <x:v>51.51</x:v>
      </x:c>
      <x:c r="O26" s="2" t="str">
        <x:v>Valid</x:v>
      </x:c>
      <x:c r="P26" s="2" t="str">
        <x:v>EV000048</x:v>
      </x:c>
      <x:c r="Q26" s="8" t="n">
        <x:v>46299.453611111116</x:v>
      </x:c>
      <x:c r="R26" s="2" t="str">
        <x:v>R1S2</x:v>
      </x:c>
      <x:c r="S26" s="9" t="n">
        <x:v>25.273000000000003</x:v>
      </x:c>
      <x:c r="T26" s="9" t="n">
        <x:v>51.494</x:v>
      </x:c>
      <x:c r="U26" s="2" t="str">
        <x:v>G005</x:v>
      </x:c>
      <x:c r="V26" s="2" t="str">
        <x:v>Authorized guardian release</x:v>
      </x:c>
      <x:c r="W26" s="2" t="str">
        <x:v>Completed transport</x:v>
      </x:c>
      <x:c r="X26" s="2" t="str">
        <x:v>QR</x:v>
      </x:c>
      <x:c r="Y26" s="2" t="str">
        <x:v>Online</x:v>
      </x:c>
      <x:c r="Z26" s="2" t="str">
        <x:v>Synced</x:v>
      </x:c>
      <x:c r="AA26" s="2"/>
      <x:c r="AB26" s="2"/>
      <x:c r="AC26" s="10" t="n">
        <x:f>IF(OR(K26="",Q26=""),"",ROUND((Q26-K26)*1440,2))</x:f>
        <x:v>23</x:v>
      </x:c>
    </x:row>
    <x:row r="27" ht="21" customHeight="1">
      <x:c r="A27" s="2" t="str">
        <x:v>LN00026</x:v>
      </x:c>
      <x:c r="B27" s="2" t="str">
        <x:v>T20261004-2-1</x:v>
      </x:c>
      <x:c r="C27" s="7" t="n">
        <x:v>46299</x:v>
      </x:c>
      <x:c r="D27" s="2" t="str">
        <x:v>BUS001</x:v>
      </x:c>
      <x:c r="E27" s="2" t="str">
        <x:v>ST006</x:v>
      </x:c>
      <x:c r="F27" s="2" t="n">
        <x:v>1</x:v>
      </x:c>
      <x:c r="G27" s="2" t="str">
        <x:v>Junior</x:v>
      </x:c>
      <x:c r="H27" s="2" t="str">
        <x:v>Drop-off</x:v>
      </x:c>
      <x:c r="I27" s="2" t="str">
        <x:v>R1S3</x:v>
      </x:c>
      <x:c r="J27" s="2" t="str">
        <x:v>EV000049</x:v>
      </x:c>
      <x:c r="K27" s="8" t="n">
        <x:v>46299.43767361111</x:v>
      </x:c>
      <x:c r="L27" s="2" t="str">
        <x:v>SCH01</x:v>
      </x:c>
      <x:c r="M27" s="9" t="n">
        <x:v>25.285</x:v>
      </x:c>
      <x:c r="N27" s="9" t="n">
        <x:v>51.51</x:v>
      </x:c>
      <x:c r="O27" s="2" t="str">
        <x:v>Valid</x:v>
      </x:c>
      <x:c r="P27" s="2" t="str">
        <x:v>EV000050</x:v>
      </x:c>
      <x:c r="Q27" s="8" t="n">
        <x:v>46299.4578125</x:v>
      </x:c>
      <x:c r="R27" s="2" t="str">
        <x:v>R1S3</x:v>
      </x:c>
      <x:c r="S27" s="9" t="n">
        <x:v>25.275000000000002</x:v>
      </x:c>
      <x:c r="T27" s="9" t="n">
        <x:v>51.497</x:v>
      </x:c>
      <x:c r="U27" s="2" t="str">
        <x:v>G006</x:v>
      </x:c>
      <x:c r="V27" s="2" t="str">
        <x:v>Authorized guardian release</x:v>
      </x:c>
      <x:c r="W27" s="2" t="str">
        <x:v>Completed transport</x:v>
      </x:c>
      <x:c r="X27" s="2" t="str">
        <x:v>QR</x:v>
      </x:c>
      <x:c r="Y27" s="2" t="str">
        <x:v>Online</x:v>
      </x:c>
      <x:c r="Z27" s="2" t="str">
        <x:v>Synced</x:v>
      </x:c>
      <x:c r="AA27" s="2"/>
      <x:c r="AB27" s="2"/>
      <x:c r="AC27" s="10" t="n">
        <x:f>IF(OR(K27="",Q27=""),"",ROUND((Q27-K27)*1440,2))</x:f>
        <x:v>29</x:v>
      </x:c>
    </x:row>
    <x:row r="28" ht="21" customHeight="1">
      <x:c r="A28" s="2" t="str">
        <x:v>LN00027</x:v>
      </x:c>
      <x:c r="B28" s="2" t="str">
        <x:v>T20261004-2-1</x:v>
      </x:c>
      <x:c r="C28" s="7" t="n">
        <x:v>46299</x:v>
      </x:c>
      <x:c r="D28" s="2" t="str">
        <x:v>BUS001</x:v>
      </x:c>
      <x:c r="E28" s="2" t="str">
        <x:v>ST007</x:v>
      </x:c>
      <x:c r="F28" s="2" t="n">
        <x:v>1</x:v>
      </x:c>
      <x:c r="G28" s="2" t="str">
        <x:v>Junior</x:v>
      </x:c>
      <x:c r="H28" s="2" t="str">
        <x:v>Drop-off</x:v>
      </x:c>
      <x:c r="I28" s="2" t="str">
        <x:v>R1S1</x:v>
      </x:c>
      <x:c r="J28" s="2" t="str">
        <x:v>EV000051</x:v>
      </x:c>
      <x:c r="K28" s="8" t="n">
        <x:v>46299.43770833333</x:v>
      </x:c>
      <x:c r="L28" s="2" t="str">
        <x:v>SCH01</x:v>
      </x:c>
      <x:c r="M28" s="9" t="n">
        <x:v>25.285</x:v>
      </x:c>
      <x:c r="N28" s="9" t="n">
        <x:v>51.51</x:v>
      </x:c>
      <x:c r="O28" s="2" t="str">
        <x:v>Valid</x:v>
      </x:c>
      <x:c r="P28" s="2" t="str">
        <x:v>EV000052</x:v>
      </x:c>
      <x:c r="Q28" s="8" t="n">
        <x:v>46299.44951388888</x:v>
      </x:c>
      <x:c r="R28" s="2" t="str">
        <x:v>R1S1</x:v>
      </x:c>
      <x:c r="S28" s="9" t="n">
        <x:v>25.271</x:v>
      </x:c>
      <x:c r="T28" s="9" t="n">
        <x:v>51.491</x:v>
      </x:c>
      <x:c r="U28" s="2" t="str">
        <x:v>G007</x:v>
      </x:c>
      <x:c r="V28" s="2" t="str">
        <x:v>Authorized guardian release</x:v>
      </x:c>
      <x:c r="W28" s="2" t="str">
        <x:v>Completed transport</x:v>
      </x:c>
      <x:c r="X28" s="2" t="str">
        <x:v>QR</x:v>
      </x:c>
      <x:c r="Y28" s="2" t="str">
        <x:v>Online</x:v>
      </x:c>
      <x:c r="Z28" s="2" t="str">
        <x:v>Synced</x:v>
      </x:c>
      <x:c r="AA28" s="2"/>
      <x:c r="AB28" s="2"/>
      <x:c r="AC28" s="10" t="n">
        <x:f>IF(OR(K28="",Q28=""),"",ROUND((Q28-K28)*1440,2))</x:f>
        <x:v>17</x:v>
      </x:c>
    </x:row>
    <x:row r="29" ht="21" customHeight="1">
      <x:c r="A29" s="2" t="str">
        <x:v>LN00028</x:v>
      </x:c>
      <x:c r="B29" s="2" t="str">
        <x:v>T20261004-2-1</x:v>
      </x:c>
      <x:c r="C29" s="7" t="n">
        <x:v>46299</x:v>
      </x:c>
      <x:c r="D29" s="2" t="str">
        <x:v>BUS001</x:v>
      </x:c>
      <x:c r="E29" s="2" t="str">
        <x:v>ST008</x:v>
      </x:c>
      <x:c r="F29" s="2" t="n">
        <x:v>1</x:v>
      </x:c>
      <x:c r="G29" s="2" t="str">
        <x:v>Junior</x:v>
      </x:c>
      <x:c r="H29" s="2" t="str">
        <x:v>Drop-off</x:v>
      </x:c>
      <x:c r="I29" s="2" t="str">
        <x:v>R1S2</x:v>
      </x:c>
      <x:c r="J29" s="2" t="str">
        <x:v>EV000053</x:v>
      </x:c>
      <x:c r="K29" s="8" t="n">
        <x:v>46299.437743055554</x:v>
      </x:c>
      <x:c r="L29" s="2" t="str">
        <x:v>SCH01</x:v>
      </x:c>
      <x:c r="M29" s="9" t="n">
        <x:v>25.285</x:v>
      </x:c>
      <x:c r="N29" s="9" t="n">
        <x:v>51.51</x:v>
      </x:c>
      <x:c r="O29" s="2" t="str">
        <x:v>Valid</x:v>
      </x:c>
      <x:c r="P29" s="2" t="str">
        <x:v>EV000054</x:v>
      </x:c>
      <x:c r="Q29" s="8" t="n">
        <x:v>46299.45371527778</x:v>
      </x:c>
      <x:c r="R29" s="2" t="str">
        <x:v>R1S2</x:v>
      </x:c>
      <x:c r="S29" s="9" t="n">
        <x:v>25.273000000000003</x:v>
      </x:c>
      <x:c r="T29" s="9" t="n">
        <x:v>51.494</x:v>
      </x:c>
      <x:c r="U29" s="2" t="str">
        <x:v>G008</x:v>
      </x:c>
      <x:c r="V29" s="2" t="str">
        <x:v>Authorized guardian release</x:v>
      </x:c>
      <x:c r="W29" s="2" t="str">
        <x:v>Completed transport</x:v>
      </x:c>
      <x:c r="X29" s="2" t="str">
        <x:v>QR</x:v>
      </x:c>
      <x:c r="Y29" s="2" t="str">
        <x:v>Online</x:v>
      </x:c>
      <x:c r="Z29" s="2" t="str">
        <x:v>Synced</x:v>
      </x:c>
      <x:c r="AA29" s="2"/>
      <x:c r="AB29" s="2"/>
      <x:c r="AC29" s="10" t="n">
        <x:f>IF(OR(K29="",Q29=""),"",ROUND((Q29-K29)*1440,2))</x:f>
        <x:v>23</x:v>
      </x:c>
    </x:row>
    <x:row r="30" ht="21" customHeight="1">
      <x:c r="A30" s="2" t="str">
        <x:v>LN00029</x:v>
      </x:c>
      <x:c r="B30" s="2" t="str">
        <x:v>T20261004-2-1</x:v>
      </x:c>
      <x:c r="C30" s="7" t="n">
        <x:v>46299</x:v>
      </x:c>
      <x:c r="D30" s="2" t="str">
        <x:v>BUS001</x:v>
      </x:c>
      <x:c r="E30" s="2" t="str">
        <x:v>ST009</x:v>
      </x:c>
      <x:c r="F30" s="2" t="n">
        <x:v>1</x:v>
      </x:c>
      <x:c r="G30" s="2" t="str">
        <x:v>Junior</x:v>
      </x:c>
      <x:c r="H30" s="2" t="str">
        <x:v>Drop-off</x:v>
      </x:c>
      <x:c r="I30" s="2" t="str">
        <x:v>R1S3</x:v>
      </x:c>
      <x:c r="J30" s="2" t="str">
        <x:v>EV000055</x:v>
      </x:c>
      <x:c r="K30" s="8" t="n">
        <x:v>46299.43777777778</x:v>
      </x:c>
      <x:c r="L30" s="2" t="str">
        <x:v>SCH01</x:v>
      </x:c>
      <x:c r="M30" s="9" t="n">
        <x:v>25.285</x:v>
      </x:c>
      <x:c r="N30" s="9" t="n">
        <x:v>51.51</x:v>
      </x:c>
      <x:c r="O30" s="2" t="str">
        <x:v>Valid</x:v>
      </x:c>
      <x:c r="P30" s="2" t="str">
        <x:v>EV000056</x:v>
      </x:c>
      <x:c r="Q30" s="8" t="n">
        <x:v>46299.457916666666</x:v>
      </x:c>
      <x:c r="R30" s="2" t="str">
        <x:v>R1S3</x:v>
      </x:c>
      <x:c r="S30" s="9" t="n">
        <x:v>25.275000000000002</x:v>
      </x:c>
      <x:c r="T30" s="9" t="n">
        <x:v>51.497</x:v>
      </x:c>
      <x:c r="U30" s="2" t="str">
        <x:v>G009</x:v>
      </x:c>
      <x:c r="V30" s="2" t="str">
        <x:v>Authorized guardian release</x:v>
      </x:c>
      <x:c r="W30" s="2" t="str">
        <x:v>Completed transport</x:v>
      </x:c>
      <x:c r="X30" s="2" t="str">
        <x:v>QR</x:v>
      </x:c>
      <x:c r="Y30" s="2" t="str">
        <x:v>Online</x:v>
      </x:c>
      <x:c r="Z30" s="2" t="str">
        <x:v>Synced</x:v>
      </x:c>
      <x:c r="AA30" s="2"/>
      <x:c r="AB30" s="2"/>
      <x:c r="AC30" s="10" t="n">
        <x:f>IF(OR(K30="",Q30=""),"",ROUND((Q30-K30)*1440,2))</x:f>
        <x:v>29</x:v>
      </x:c>
    </x:row>
    <x:row r="31" ht="21" customHeight="1">
      <x:c r="A31" s="2" t="str">
        <x:v>LN00030</x:v>
      </x:c>
      <x:c r="B31" s="2" t="str">
        <x:v>T20261004-2-1</x:v>
      </x:c>
      <x:c r="C31" s="7" t="n">
        <x:v>46299</x:v>
      </x:c>
      <x:c r="D31" s="2" t="str">
        <x:v>BUS001</x:v>
      </x:c>
      <x:c r="E31" s="2" t="str">
        <x:v>ST010</x:v>
      </x:c>
      <x:c r="F31" s="2" t="n">
        <x:v>1</x:v>
      </x:c>
      <x:c r="G31" s="2" t="str">
        <x:v>Junior</x:v>
      </x:c>
      <x:c r="H31" s="2" t="str">
        <x:v>Drop-off</x:v>
      </x:c>
      <x:c r="I31" s="2" t="str">
        <x:v>R1S1</x:v>
      </x:c>
      <x:c r="J31" s="2" t="str">
        <x:v>EV000057</x:v>
      </x:c>
      <x:c r="K31" s="8" t="n">
        <x:v>46299.4378125</x:v>
      </x:c>
      <x:c r="L31" s="2" t="str">
        <x:v>SCH01</x:v>
      </x:c>
      <x:c r="M31" s="9" t="n">
        <x:v>25.285</x:v>
      </x:c>
      <x:c r="N31" s="9" t="n">
        <x:v>51.51</x:v>
      </x:c>
      <x:c r="O31" s="2" t="str">
        <x:v>Valid</x:v>
      </x:c>
      <x:c r="P31" s="2" t="str">
        <x:v>EV000058</x:v>
      </x:c>
      <x:c r="Q31" s="8" t="n">
        <x:v>46299.44961805555</x:v>
      </x:c>
      <x:c r="R31" s="2" t="str">
        <x:v>R1S1</x:v>
      </x:c>
      <x:c r="S31" s="9" t="n">
        <x:v>25.271</x:v>
      </x:c>
      <x:c r="T31" s="9" t="n">
        <x:v>51.491</x:v>
      </x:c>
      <x:c r="U31" s="2" t="str">
        <x:v>G010</x:v>
      </x:c>
      <x:c r="V31" s="2" t="str">
        <x:v>Authorized guardian release</x:v>
      </x:c>
      <x:c r="W31" s="2" t="str">
        <x:v>Completed transport</x:v>
      </x:c>
      <x:c r="X31" s="2" t="str">
        <x:v>QR</x:v>
      </x:c>
      <x:c r="Y31" s="2" t="str">
        <x:v>Online</x:v>
      </x:c>
      <x:c r="Z31" s="2" t="str">
        <x:v>Synced</x:v>
      </x:c>
      <x:c r="AA31" s="2"/>
      <x:c r="AB31" s="2"/>
      <x:c r="AC31" s="10" t="n">
        <x:f>IF(OR(K31="",Q31=""),"",ROUND((Q31-K31)*1440,2))</x:f>
        <x:v>17</x:v>
      </x:c>
    </x:row>
    <x:row r="32" ht="21" customHeight="1">
      <x:c r="A32" s="2" t="str">
        <x:v>LN00031</x:v>
      </x:c>
      <x:c r="B32" s="2" t="str">
        <x:v>T20261004-2-1</x:v>
      </x:c>
      <x:c r="C32" s="7" t="n">
        <x:v>46299</x:v>
      </x:c>
      <x:c r="D32" s="2" t="str">
        <x:v>BUS001</x:v>
      </x:c>
      <x:c r="E32" s="2" t="str">
        <x:v>ST021</x:v>
      </x:c>
      <x:c r="F32" s="2" t="n">
        <x:v>2</x:v>
      </x:c>
      <x:c r="G32" s="2" t="str">
        <x:v>Junior</x:v>
      </x:c>
      <x:c r="H32" s="2" t="str">
        <x:v>Pickup</x:v>
      </x:c>
      <x:c r="I32" s="2" t="str">
        <x:v>R1S3</x:v>
      </x:c>
      <x:c r="J32" s="2" t="str">
        <x:v>EV000059</x:v>
      </x:c>
      <x:c r="K32" s="8" t="n">
        <x:v>46299.48125</x:v>
      </x:c>
      <x:c r="L32" s="2" t="str">
        <x:v>R1S3</x:v>
      </x:c>
      <x:c r="M32" s="9" t="n">
        <x:v>25.275000000000002</x:v>
      </x:c>
      <x:c r="N32" s="9" t="n">
        <x:v>51.497</x:v>
      </x:c>
      <x:c r="O32" s="2" t="str">
        <x:v>Valid</x:v>
      </x:c>
      <x:c r="P32" s="2" t="str">
        <x:v>EV000060</x:v>
      </x:c>
      <x:c r="Q32" s="8" t="n">
        <x:v>46299.506250000006</x:v>
      </x:c>
      <x:c r="R32" s="2" t="str">
        <x:v>SCH01</x:v>
      </x:c>
      <x:c r="S32" s="9" t="n">
        <x:v>25.285</x:v>
      </x:c>
      <x:c r="T32" s="9" t="n">
        <x:v>51.51</x:v>
      </x:c>
      <x:c r="U32" s="2" t="str">
        <x:v>SCHOOL_RECEIVER_01</x:v>
      </x:c>
      <x:c r="V32" s="2" t="str">
        <x:v>School staff receipt</x:v>
      </x:c>
      <x:c r="W32" s="2" t="str">
        <x:v>Completed transport</x:v>
      </x:c>
      <x:c r="X32" s="2" t="str">
        <x:v>QR</x:v>
      </x:c>
      <x:c r="Y32" s="2" t="str">
        <x:v>Online</x:v>
      </x:c>
      <x:c r="Z32" s="2" t="str">
        <x:v>Synced</x:v>
      </x:c>
      <x:c r="AA32" s="2"/>
      <x:c r="AB32" s="2"/>
      <x:c r="AC32" s="10" t="n">
        <x:f>IF(OR(K32="",Q32=""),"",ROUND((Q32-K32)*1440,2))</x:f>
        <x:v>36</x:v>
      </x:c>
    </x:row>
    <x:row r="33" ht="21" customHeight="1">
      <x:c r="A33" s="2" t="str">
        <x:v>LN00032</x:v>
      </x:c>
      <x:c r="B33" s="2" t="str">
        <x:v>T20261004-2-1</x:v>
      </x:c>
      <x:c r="C33" s="7" t="n">
        <x:v>46299</x:v>
      </x:c>
      <x:c r="D33" s="2" t="str">
        <x:v>BUS001</x:v>
      </x:c>
      <x:c r="E33" s="2" t="str">
        <x:v>ST022</x:v>
      </x:c>
      <x:c r="F33" s="2" t="n">
        <x:v>2</x:v>
      </x:c>
      <x:c r="G33" s="2" t="str">
        <x:v>Junior</x:v>
      </x:c>
      <x:c r="H33" s="2" t="str">
        <x:v>Pickup</x:v>
      </x:c>
      <x:c r="I33" s="2" t="str">
        <x:v>R1S1</x:v>
      </x:c>
      <x:c r="J33" s="2" t="str">
        <x:v>EV000061</x:v>
      </x:c>
      <x:c r="K33" s="8" t="n">
        <x:v>46299.4715625</x:v>
      </x:c>
      <x:c r="L33" s="2" t="str">
        <x:v>R1S1</x:v>
      </x:c>
      <x:c r="M33" s="9" t="n">
        <x:v>25.271</x:v>
      </x:c>
      <x:c r="N33" s="9" t="n">
        <x:v>51.491</x:v>
      </x:c>
      <x:c r="O33" s="2" t="str">
        <x:v>Valid</x:v>
      </x:c>
      <x:c r="P33" s="2" t="str">
        <x:v>EV000062</x:v>
      </x:c>
      <x:c r="Q33" s="8" t="n">
        <x:v>46299.50628472223</x:v>
      </x:c>
      <x:c r="R33" s="2" t="str">
        <x:v>SCH01</x:v>
      </x:c>
      <x:c r="S33" s="9" t="n">
        <x:v>25.285</x:v>
      </x:c>
      <x:c r="T33" s="9" t="n">
        <x:v>51.51</x:v>
      </x:c>
      <x:c r="U33" s="2" t="str">
        <x:v>SCHOOL_RECEIVER_01</x:v>
      </x:c>
      <x:c r="V33" s="2" t="str">
        <x:v>School staff receipt</x:v>
      </x:c>
      <x:c r="W33" s="2" t="str">
        <x:v>Completed transport</x:v>
      </x:c>
      <x:c r="X33" s="2" t="str">
        <x:v>QR</x:v>
      </x:c>
      <x:c r="Y33" s="2" t="str">
        <x:v>Online</x:v>
      </x:c>
      <x:c r="Z33" s="2" t="str">
        <x:v>Synced</x:v>
      </x:c>
      <x:c r="AA33" s="2"/>
      <x:c r="AB33" s="2"/>
      <x:c r="AC33" s="10" t="n">
        <x:f>IF(OR(K33="",Q33=""),"",ROUND((Q33-K33)*1440,2))</x:f>
        <x:v>50</x:v>
      </x:c>
    </x:row>
    <x:row r="34" ht="21" customHeight="1">
      <x:c r="A34" s="2" t="str">
        <x:v>LN00033</x:v>
      </x:c>
      <x:c r="B34" s="2" t="str">
        <x:v>T20261004-2-1</x:v>
      </x:c>
      <x:c r="C34" s="7" t="n">
        <x:v>46299</x:v>
      </x:c>
      <x:c r="D34" s="2" t="str">
        <x:v>BUS001</x:v>
      </x:c>
      <x:c r="E34" s="2" t="str">
        <x:v>ST023</x:v>
      </x:c>
      <x:c r="F34" s="2" t="n">
        <x:v>2</x:v>
      </x:c>
      <x:c r="G34" s="2" t="str">
        <x:v>Junior</x:v>
      </x:c>
      <x:c r="H34" s="2" t="str">
        <x:v>Pickup</x:v>
      </x:c>
      <x:c r="I34" s="2" t="str">
        <x:v>R1S2</x:v>
      </x:c>
      <x:c r="J34" s="2" t="str">
        <x:v>EV000063</x:v>
      </x:c>
      <x:c r="K34" s="8" t="n">
        <x:v>46299.47645833333</x:v>
      </x:c>
      <x:c r="L34" s="2" t="str">
        <x:v>R1S2</x:v>
      </x:c>
      <x:c r="M34" s="9" t="n">
        <x:v>25.273000000000003</x:v>
      </x:c>
      <x:c r="N34" s="9" t="n">
        <x:v>51.494</x:v>
      </x:c>
      <x:c r="O34" s="2" t="str">
        <x:v>Valid</x:v>
      </x:c>
      <x:c r="P34" s="2" t="str">
        <x:v>EV000064</x:v>
      </x:c>
      <x:c r="Q34" s="8" t="n">
        <x:v>46299.506319444445</x:v>
      </x:c>
      <x:c r="R34" s="2" t="str">
        <x:v>SCH01</x:v>
      </x:c>
      <x:c r="S34" s="9" t="n">
        <x:v>25.285</x:v>
      </x:c>
      <x:c r="T34" s="9" t="n">
        <x:v>51.51</x:v>
      </x:c>
      <x:c r="U34" s="2" t="str">
        <x:v>SCHOOL_RECEIVER_01</x:v>
      </x:c>
      <x:c r="V34" s="2" t="str">
        <x:v>School staff receipt</x:v>
      </x:c>
      <x:c r="W34" s="2" t="str">
        <x:v>Completed transport</x:v>
      </x:c>
      <x:c r="X34" s="2" t="str">
        <x:v>QR</x:v>
      </x:c>
      <x:c r="Y34" s="2" t="str">
        <x:v>Online</x:v>
      </x:c>
      <x:c r="Z34" s="2" t="str">
        <x:v>Synced</x:v>
      </x:c>
      <x:c r="AA34" s="2"/>
      <x:c r="AB34" s="2"/>
      <x:c r="AC34" s="10" t="n">
        <x:f>IF(OR(K34="",Q34=""),"",ROUND((Q34-K34)*1440,2))</x:f>
        <x:v>43</x:v>
      </x:c>
    </x:row>
    <x:row r="35" ht="21" customHeight="1">
      <x:c r="A35" s="2" t="str">
        <x:v>LN00034</x:v>
      </x:c>
      <x:c r="B35" s="2" t="str">
        <x:v>T20261004-2-1</x:v>
      </x:c>
      <x:c r="C35" s="7" t="n">
        <x:v>46299</x:v>
      </x:c>
      <x:c r="D35" s="2" t="str">
        <x:v>BUS001</x:v>
      </x:c>
      <x:c r="E35" s="2" t="str">
        <x:v>ST024</x:v>
      </x:c>
      <x:c r="F35" s="2" t="n">
        <x:v>2</x:v>
      </x:c>
      <x:c r="G35" s="2" t="str">
        <x:v>Junior</x:v>
      </x:c>
      <x:c r="H35" s="2" t="str">
        <x:v>Pickup</x:v>
      </x:c>
      <x:c r="I35" s="2" t="str">
        <x:v>R1S3</x:v>
      </x:c>
      <x:c r="J35" s="2" t="str">
        <x:v>EV000065</x:v>
      </x:c>
      <x:c r="K35" s="8" t="n">
        <x:v>46299.481354166666</x:v>
      </x:c>
      <x:c r="L35" s="2" t="str">
        <x:v>R1S3</x:v>
      </x:c>
      <x:c r="M35" s="9" t="n">
        <x:v>25.275000000000002</x:v>
      </x:c>
      <x:c r="N35" s="9" t="n">
        <x:v>51.497</x:v>
      </x:c>
      <x:c r="O35" s="2" t="str">
        <x:v>Valid</x:v>
      </x:c>
      <x:c r="P35" s="2" t="str">
        <x:v>EV000066</x:v>
      </x:c>
      <x:c r="Q35" s="8" t="n">
        <x:v>46299.50635416667</x:v>
      </x:c>
      <x:c r="R35" s="2" t="str">
        <x:v>SCH01</x:v>
      </x:c>
      <x:c r="S35" s="9" t="n">
        <x:v>25.285</x:v>
      </x:c>
      <x:c r="T35" s="9" t="n">
        <x:v>51.51</x:v>
      </x:c>
      <x:c r="U35" s="2" t="str">
        <x:v>SCHOOL_RECEIVER_01</x:v>
      </x:c>
      <x:c r="V35" s="2" t="str">
        <x:v>School staff receipt</x:v>
      </x:c>
      <x:c r="W35" s="2" t="str">
        <x:v>Completed transport</x:v>
      </x:c>
      <x:c r="X35" s="2" t="str">
        <x:v>QR</x:v>
      </x:c>
      <x:c r="Y35" s="2" t="str">
        <x:v>Online</x:v>
      </x:c>
      <x:c r="Z35" s="2" t="str">
        <x:v>Synced</x:v>
      </x:c>
      <x:c r="AA35" s="2"/>
      <x:c r="AB35" s="2"/>
      <x:c r="AC35" s="10" t="n">
        <x:f>IF(OR(K35="",Q35=""),"",ROUND((Q35-K35)*1440,2))</x:f>
        <x:v>36</x:v>
      </x:c>
    </x:row>
    <x:row r="36" ht="21" customHeight="1">
      <x:c r="A36" s="2" t="str">
        <x:v>LN00035</x:v>
      </x:c>
      <x:c r="B36" s="2" t="str">
        <x:v>T20261004-2-1</x:v>
      </x:c>
      <x:c r="C36" s="7" t="n">
        <x:v>46299</x:v>
      </x:c>
      <x:c r="D36" s="2" t="str">
        <x:v>BUS001</x:v>
      </x:c>
      <x:c r="E36" s="2" t="str">
        <x:v>ST025</x:v>
      </x:c>
      <x:c r="F36" s="2" t="n">
        <x:v>2</x:v>
      </x:c>
      <x:c r="G36" s="2" t="str">
        <x:v>Junior</x:v>
      </x:c>
      <x:c r="H36" s="2" t="str">
        <x:v>Pickup</x:v>
      </x:c>
      <x:c r="I36" s="2" t="str">
        <x:v>R1S1</x:v>
      </x:c>
      <x:c r="J36" s="2" t="str">
        <x:v>EV000067</x:v>
      </x:c>
      <x:c r="K36" s="8" t="n">
        <x:v>46299.47166666667</x:v>
      </x:c>
      <x:c r="L36" s="2" t="str">
        <x:v>R1S1</x:v>
      </x:c>
      <x:c r="M36" s="9" t="n">
        <x:v>25.271</x:v>
      </x:c>
      <x:c r="N36" s="9" t="n">
        <x:v>51.491</x:v>
      </x:c>
      <x:c r="O36" s="2" t="str">
        <x:v>Valid</x:v>
      </x:c>
      <x:c r="P36" s="2" t="str">
        <x:v>EV000068</x:v>
      </x:c>
      <x:c r="Q36" s="8" t="n">
        <x:v>46299.50638888889</x:v>
      </x:c>
      <x:c r="R36" s="2" t="str">
        <x:v>SCH01</x:v>
      </x:c>
      <x:c r="S36" s="9" t="n">
        <x:v>25.285</x:v>
      </x:c>
      <x:c r="T36" s="9" t="n">
        <x:v>51.51</x:v>
      </x:c>
      <x:c r="U36" s="2" t="str">
        <x:v>SCHOOL_RECEIVER_01</x:v>
      </x:c>
      <x:c r="V36" s="2" t="str">
        <x:v>School staff receipt</x:v>
      </x:c>
      <x:c r="W36" s="2" t="str">
        <x:v>Completed transport</x:v>
      </x:c>
      <x:c r="X36" s="2" t="str">
        <x:v>QR</x:v>
      </x:c>
      <x:c r="Y36" s="2" t="str">
        <x:v>Online</x:v>
      </x:c>
      <x:c r="Z36" s="2" t="str">
        <x:v>Synced</x:v>
      </x:c>
      <x:c r="AA36" s="2"/>
      <x:c r="AB36" s="2"/>
      <x:c r="AC36" s="10" t="n">
        <x:f>IF(OR(K36="",Q36=""),"",ROUND((Q36-K36)*1440,2))</x:f>
        <x:v>50</x:v>
      </x:c>
    </x:row>
    <x:row r="37" ht="21" customHeight="1">
      <x:c r="A37" s="2" t="str">
        <x:v>LN00036</x:v>
      </x:c>
      <x:c r="B37" s="2" t="str">
        <x:v>T20261004-2-1</x:v>
      </x:c>
      <x:c r="C37" s="7" t="n">
        <x:v>46299</x:v>
      </x:c>
      <x:c r="D37" s="2" t="str">
        <x:v>BUS001</x:v>
      </x:c>
      <x:c r="E37" s="2" t="str">
        <x:v>ST026</x:v>
      </x:c>
      <x:c r="F37" s="2" t="n">
        <x:v>2</x:v>
      </x:c>
      <x:c r="G37" s="2" t="str">
        <x:v>Junior</x:v>
      </x:c>
      <x:c r="H37" s="2" t="str">
        <x:v>Pickup</x:v>
      </x:c>
      <x:c r="I37" s="2" t="str">
        <x:v>R1S2</x:v>
      </x:c>
      <x:c r="J37" s="2" t="str">
        <x:v>EV000069</x:v>
      </x:c>
      <x:c r="K37" s="8" t="n">
        <x:v>46299.47656249999</x:v>
      </x:c>
      <x:c r="L37" s="2" t="str">
        <x:v>R1S2</x:v>
      </x:c>
      <x:c r="M37" s="9" t="n">
        <x:v>25.273000000000003</x:v>
      </x:c>
      <x:c r="N37" s="9" t="n">
        <x:v>51.494</x:v>
      </x:c>
      <x:c r="O37" s="2" t="str">
        <x:v>Valid</x:v>
      </x:c>
      <x:c r="P37" s="2" t="str">
        <x:v>EV000070</x:v>
      </x:c>
      <x:c r="Q37" s="8" t="n">
        <x:v>46299.506423611114</x:v>
      </x:c>
      <x:c r="R37" s="2" t="str">
        <x:v>SCH01</x:v>
      </x:c>
      <x:c r="S37" s="9" t="n">
        <x:v>25.285</x:v>
      </x:c>
      <x:c r="T37" s="9" t="n">
        <x:v>51.51</x:v>
      </x:c>
      <x:c r="U37" s="2" t="str">
        <x:v>SCHOOL_RECEIVER_01</x:v>
      </x:c>
      <x:c r="V37" s="2" t="str">
        <x:v>School staff receipt</x:v>
      </x:c>
      <x:c r="W37" s="2" t="str">
        <x:v>Completed transport</x:v>
      </x:c>
      <x:c r="X37" s="2" t="str">
        <x:v>QR</x:v>
      </x:c>
      <x:c r="Y37" s="2" t="str">
        <x:v>Online</x:v>
      </x:c>
      <x:c r="Z37" s="2" t="str">
        <x:v>Synced</x:v>
      </x:c>
      <x:c r="AA37" s="2"/>
      <x:c r="AB37" s="2"/>
      <x:c r="AC37" s="10" t="n">
        <x:f>IF(OR(K37="",Q37=""),"",ROUND((Q37-K37)*1440,2))</x:f>
        <x:v>43</x:v>
      </x:c>
    </x:row>
    <x:row r="38" ht="21" customHeight="1">
      <x:c r="A38" s="2" t="str">
        <x:v>LN00037</x:v>
      </x:c>
      <x:c r="B38" s="2" t="str">
        <x:v>T20261004-2-1</x:v>
      </x:c>
      <x:c r="C38" s="7" t="n">
        <x:v>46299</x:v>
      </x:c>
      <x:c r="D38" s="2" t="str">
        <x:v>BUS001</x:v>
      </x:c>
      <x:c r="E38" s="2" t="str">
        <x:v>ST027</x:v>
      </x:c>
      <x:c r="F38" s="2" t="n">
        <x:v>2</x:v>
      </x:c>
      <x:c r="G38" s="2" t="str">
        <x:v>Junior</x:v>
      </x:c>
      <x:c r="H38" s="2" t="str">
        <x:v>Pickup</x:v>
      </x:c>
      <x:c r="I38" s="2" t="str">
        <x:v>R1S3</x:v>
      </x:c>
      <x:c r="J38" s="2" t="str">
        <x:v>EV000071</x:v>
      </x:c>
      <x:c r="K38" s="8" t="n">
        <x:v>46299.48145833333</x:v>
      </x:c>
      <x:c r="L38" s="2" t="str">
        <x:v>R1S3</x:v>
      </x:c>
      <x:c r="M38" s="9" t="n">
        <x:v>25.275000000000002</x:v>
      </x:c>
      <x:c r="N38" s="9" t="n">
        <x:v>51.497</x:v>
      </x:c>
      <x:c r="O38" s="2" t="str">
        <x:v>Valid</x:v>
      </x:c>
      <x:c r="P38" s="2" t="str">
        <x:v>EV000072</x:v>
      </x:c>
      <x:c r="Q38" s="8" t="n">
        <x:v>46299.50645833334</x:v>
      </x:c>
      <x:c r="R38" s="2" t="str">
        <x:v>SCH01</x:v>
      </x:c>
      <x:c r="S38" s="9" t="n">
        <x:v>25.285</x:v>
      </x:c>
      <x:c r="T38" s="9" t="n">
        <x:v>51.51</x:v>
      </x:c>
      <x:c r="U38" s="2" t="str">
        <x:v>SCHOOL_RECEIVER_01</x:v>
      </x:c>
      <x:c r="V38" s="2" t="str">
        <x:v>School staff receipt</x:v>
      </x:c>
      <x:c r="W38" s="2" t="str">
        <x:v>Completed transport</x:v>
      </x:c>
      <x:c r="X38" s="2" t="str">
        <x:v>QR</x:v>
      </x:c>
      <x:c r="Y38" s="2" t="str">
        <x:v>Online</x:v>
      </x:c>
      <x:c r="Z38" s="2" t="str">
        <x:v>Synced</x:v>
      </x:c>
      <x:c r="AA38" s="2"/>
      <x:c r="AB38" s="2"/>
      <x:c r="AC38" s="10" t="n">
        <x:f>IF(OR(K38="",Q38=""),"",ROUND((Q38-K38)*1440,2))</x:f>
        <x:v>36</x:v>
      </x:c>
    </x:row>
    <x:row r="39" ht="21" customHeight="1">
      <x:c r="A39" s="2" t="str">
        <x:v>LN00038</x:v>
      </x:c>
      <x:c r="B39" s="2" t="str">
        <x:v>T20261004-2-1</x:v>
      </x:c>
      <x:c r="C39" s="7" t="n">
        <x:v>46299</x:v>
      </x:c>
      <x:c r="D39" s="2" t="str">
        <x:v>BUS001</x:v>
      </x:c>
      <x:c r="E39" s="2" t="str">
        <x:v>ST028</x:v>
      </x:c>
      <x:c r="F39" s="2" t="n">
        <x:v>2</x:v>
      </x:c>
      <x:c r="G39" s="2" t="str">
        <x:v>Junior</x:v>
      </x:c>
      <x:c r="H39" s="2" t="str">
        <x:v>Pickup</x:v>
      </x:c>
      <x:c r="I39" s="2" t="str">
        <x:v>R1S1</x:v>
      </x:c>
      <x:c r="J39" s="2" t="str">
        <x:v>EV000073</x:v>
      </x:c>
      <x:c r="K39" s="8" t="n">
        <x:v>46299.471770833334</x:v>
      </x:c>
      <x:c r="L39" s="2" t="str">
        <x:v>R1S1</x:v>
      </x:c>
      <x:c r="M39" s="9" t="n">
        <x:v>25.271</x:v>
      </x:c>
      <x:c r="N39" s="9" t="n">
        <x:v>51.491</x:v>
      </x:c>
      <x:c r="O39" s="2" t="str">
        <x:v>Valid</x:v>
      </x:c>
      <x:c r="P39" s="2" t="str">
        <x:v>EV000074</x:v>
      </x:c>
      <x:c r="Q39" s="8" t="n">
        <x:v>46299.50649305556</x:v>
      </x:c>
      <x:c r="R39" s="2" t="str">
        <x:v>SCH01</x:v>
      </x:c>
      <x:c r="S39" s="9" t="n">
        <x:v>25.285</x:v>
      </x:c>
      <x:c r="T39" s="9" t="n">
        <x:v>51.51</x:v>
      </x:c>
      <x:c r="U39" s="2" t="str">
        <x:v>SCHOOL_RECEIVER_01</x:v>
      </x:c>
      <x:c r="V39" s="2" t="str">
        <x:v>School staff receipt</x:v>
      </x:c>
      <x:c r="W39" s="2" t="str">
        <x:v>Completed transport</x:v>
      </x:c>
      <x:c r="X39" s="2" t="str">
        <x:v>QR</x:v>
      </x:c>
      <x:c r="Y39" s="2" t="str">
        <x:v>Online</x:v>
      </x:c>
      <x:c r="Z39" s="2" t="str">
        <x:v>Synced</x:v>
      </x:c>
      <x:c r="AA39" s="2"/>
      <x:c r="AB39" s="2"/>
      <x:c r="AC39" s="10" t="n">
        <x:f>IF(OR(K39="",Q39=""),"",ROUND((Q39-K39)*1440,2))</x:f>
        <x:v>50</x:v>
      </x:c>
    </x:row>
    <x:row r="40" ht="21" customHeight="1">
      <x:c r="A40" s="2" t="str">
        <x:v>LN00039</x:v>
      </x:c>
      <x:c r="B40" s="2" t="str">
        <x:v>T20261004-2-1</x:v>
      </x:c>
      <x:c r="C40" s="7" t="n">
        <x:v>46299</x:v>
      </x:c>
      <x:c r="D40" s="2" t="str">
        <x:v>BUS001</x:v>
      </x:c>
      <x:c r="E40" s="2" t="str">
        <x:v>ST029</x:v>
      </x:c>
      <x:c r="F40" s="2" t="n">
        <x:v>2</x:v>
      </x:c>
      <x:c r="G40" s="2" t="str">
        <x:v>Junior</x:v>
      </x:c>
      <x:c r="H40" s="2" t="str">
        <x:v>Pickup</x:v>
      </x:c>
      <x:c r="I40" s="2" t="str">
        <x:v>R1S2</x:v>
      </x:c>
      <x:c r="J40" s="2" t="str">
        <x:v>EV000075</x:v>
      </x:c>
      <x:c r="K40" s="8" t="n">
        <x:v>46299.47666666666</x:v>
      </x:c>
      <x:c r="L40" s="2" t="str">
        <x:v>R1S2</x:v>
      </x:c>
      <x:c r="M40" s="9" t="n">
        <x:v>25.273000000000003</x:v>
      </x:c>
      <x:c r="N40" s="9" t="n">
        <x:v>51.494</x:v>
      </x:c>
      <x:c r="O40" s="2" t="str">
        <x:v>Valid</x:v>
      </x:c>
      <x:c r="P40" s="2" t="str">
        <x:v>EV000076</x:v>
      </x:c>
      <x:c r="Q40" s="8" t="n">
        <x:v>46299.50652777778</x:v>
      </x:c>
      <x:c r="R40" s="2" t="str">
        <x:v>SCH01</x:v>
      </x:c>
      <x:c r="S40" s="9" t="n">
        <x:v>25.285</x:v>
      </x:c>
      <x:c r="T40" s="9" t="n">
        <x:v>51.51</x:v>
      </x:c>
      <x:c r="U40" s="2" t="str">
        <x:v>SCHOOL_RECEIVER_01</x:v>
      </x:c>
      <x:c r="V40" s="2" t="str">
        <x:v>School staff receipt</x:v>
      </x:c>
      <x:c r="W40" s="2" t="str">
        <x:v>Completed transport</x:v>
      </x:c>
      <x:c r="X40" s="2" t="str">
        <x:v>QR</x:v>
      </x:c>
      <x:c r="Y40" s="2" t="str">
        <x:v>Online</x:v>
      </x:c>
      <x:c r="Z40" s="2" t="str">
        <x:v>Synced</x:v>
      </x:c>
      <x:c r="AA40" s="2"/>
      <x:c r="AB40" s="2"/>
      <x:c r="AC40" s="10" t="n">
        <x:f>IF(OR(K40="",Q40=""),"",ROUND((Q40-K40)*1440,2))</x:f>
        <x:v>43</x:v>
      </x:c>
    </x:row>
    <x:row r="41" ht="21" customHeight="1">
      <x:c r="A41" s="2" t="str">
        <x:v>LN00040</x:v>
      </x:c>
      <x:c r="B41" s="2" t="str">
        <x:v>T20261004-2-1</x:v>
      </x:c>
      <x:c r="C41" s="7" t="n">
        <x:v>46299</x:v>
      </x:c>
      <x:c r="D41" s="2" t="str">
        <x:v>BUS001</x:v>
      </x:c>
      <x:c r="E41" s="2" t="str">
        <x:v>ST030</x:v>
      </x:c>
      <x:c r="F41" s="2" t="n">
        <x:v>2</x:v>
      </x:c>
      <x:c r="G41" s="2" t="str">
        <x:v>Junior</x:v>
      </x:c>
      <x:c r="H41" s="2" t="str">
        <x:v>Pickup</x:v>
      </x:c>
      <x:c r="I41" s="2" t="str">
        <x:v>R1S3</x:v>
      </x:c>
      <x:c r="J41" s="2" t="str">
        <x:v>EV000077</x:v>
      </x:c>
      <x:c r="K41" s="8" t="n">
        <x:v>46299.4815625</x:v>
      </x:c>
      <x:c r="L41" s="2" t="str">
        <x:v>R1S3</x:v>
      </x:c>
      <x:c r="M41" s="9" t="n">
        <x:v>25.275000000000002</x:v>
      </x:c>
      <x:c r="N41" s="9" t="n">
        <x:v>51.497</x:v>
      </x:c>
      <x:c r="O41" s="2" t="str">
        <x:v>Valid</x:v>
      </x:c>
      <x:c r="P41" s="2" t="str">
        <x:v>EV000078</x:v>
      </x:c>
      <x:c r="Q41" s="8" t="n">
        <x:v>46299.506562500006</x:v>
      </x:c>
      <x:c r="R41" s="2" t="str">
        <x:v>SCH01</x:v>
      </x:c>
      <x:c r="S41" s="9" t="n">
        <x:v>25.285</x:v>
      </x:c>
      <x:c r="T41" s="9" t="n">
        <x:v>51.51</x:v>
      </x:c>
      <x:c r="U41" s="2" t="str">
        <x:v>SCHOOL_RECEIVER_01</x:v>
      </x:c>
      <x:c r="V41" s="2" t="str">
        <x:v>School staff receipt</x:v>
      </x:c>
      <x:c r="W41" s="2" t="str">
        <x:v>Completed transport</x:v>
      </x:c>
      <x:c r="X41" s="2" t="str">
        <x:v>QR</x:v>
      </x:c>
      <x:c r="Y41" s="2" t="str">
        <x:v>Online</x:v>
      </x:c>
      <x:c r="Z41" s="2" t="str">
        <x:v>Synced</x:v>
      </x:c>
      <x:c r="AA41" s="2"/>
      <x:c r="AB41" s="2"/>
      <x:c r="AC41" s="10" t="n">
        <x:f>IF(OR(K41="",Q41=""),"",ROUND((Q41-K41)*1440,2))</x:f>
        <x:v>36</x:v>
      </x:c>
    </x:row>
    <x:row r="42" ht="21" customHeight="1">
      <x:c r="A42" s="2" t="str">
        <x:v>LN00041</x:v>
      </x:c>
      <x:c r="B42" s="2" t="str">
        <x:v>T20261004-2-1</x:v>
      </x:c>
      <x:c r="C42" s="7" t="n">
        <x:v>46299</x:v>
      </x:c>
      <x:c r="D42" s="2" t="str">
        <x:v>BUS001</x:v>
      </x:c>
      <x:c r="E42" s="2" t="str">
        <x:v>ST031</x:v>
      </x:c>
      <x:c r="F42" s="2" t="n">
        <x:v>2</x:v>
      </x:c>
      <x:c r="G42" s="2" t="str">
        <x:v>Senior</x:v>
      </x:c>
      <x:c r="H42" s="2" t="str">
        <x:v>Pickup</x:v>
      </x:c>
      <x:c r="I42" s="2" t="str">
        <x:v>R1S1</x:v>
      </x:c>
      <x:c r="J42" s="2" t="str">
        <x:v>EV000079</x:v>
      </x:c>
      <x:c r="K42" s="8" t="n">
        <x:v>46299.47152777778</x:v>
      </x:c>
      <x:c r="L42" s="2" t="str">
        <x:v>R1S1</x:v>
      </x:c>
      <x:c r="M42" s="9" t="n">
        <x:v>25.271</x:v>
      </x:c>
      <x:c r="N42" s="9" t="n">
        <x:v>51.491</x:v>
      </x:c>
      <x:c r="O42" s="2" t="str">
        <x:v>Valid</x:v>
      </x:c>
      <x:c r="P42" s="2" t="str">
        <x:v>EV000080</x:v>
      </x:c>
      <x:c r="Q42" s="8" t="n">
        <x:v>46299.50659722223</x:v>
      </x:c>
      <x:c r="R42" s="2" t="str">
        <x:v>SCH01</x:v>
      </x:c>
      <x:c r="S42" s="9" t="n">
        <x:v>25.285</x:v>
      </x:c>
      <x:c r="T42" s="9" t="n">
        <x:v>51.51</x:v>
      </x:c>
      <x:c r="U42" s="2" t="str">
        <x:v>SCHOOL_RECEIVER_01</x:v>
      </x:c>
      <x:c r="V42" s="2" t="str">
        <x:v>School staff receipt</x:v>
      </x:c>
      <x:c r="W42" s="2" t="str">
        <x:v>Completed transport</x:v>
      </x:c>
      <x:c r="X42" s="2" t="str">
        <x:v>QR</x:v>
      </x:c>
      <x:c r="Y42" s="2" t="str">
        <x:v>Online</x:v>
      </x:c>
      <x:c r="Z42" s="2" t="str">
        <x:v>Synced</x:v>
      </x:c>
      <x:c r="AA42" s="2"/>
      <x:c r="AB42" s="2"/>
      <x:c r="AC42" s="10" t="n">
        <x:f>IF(OR(K42="",Q42=""),"",ROUND((Q42-K42)*1440,2))</x:f>
        <x:v>50.5</x:v>
      </x:c>
    </x:row>
    <x:row r="43" ht="21" customHeight="1">
      <x:c r="A43" s="2" t="str">
        <x:v>LN00042</x:v>
      </x:c>
      <x:c r="B43" s="2" t="str">
        <x:v>T20261004-2-1</x:v>
      </x:c>
      <x:c r="C43" s="7" t="n">
        <x:v>46299</x:v>
      </x:c>
      <x:c r="D43" s="2" t="str">
        <x:v>BUS001</x:v>
      </x:c>
      <x:c r="E43" s="2" t="str">
        <x:v>ST032</x:v>
      </x:c>
      <x:c r="F43" s="2" t="n">
        <x:v>2</x:v>
      </x:c>
      <x:c r="G43" s="2" t="str">
        <x:v>Senior</x:v>
      </x:c>
      <x:c r="H43" s="2" t="str">
        <x:v>Pickup</x:v>
      </x:c>
      <x:c r="I43" s="2" t="str">
        <x:v>R1S2</x:v>
      </x:c>
      <x:c r="J43" s="2" t="str">
        <x:v>EV000081</x:v>
      </x:c>
      <x:c r="K43" s="8" t="n">
        <x:v>46299.47642361111</x:v>
      </x:c>
      <x:c r="L43" s="2" t="str">
        <x:v>R1S2</x:v>
      </x:c>
      <x:c r="M43" s="9" t="n">
        <x:v>25.273000000000003</x:v>
      </x:c>
      <x:c r="N43" s="9" t="n">
        <x:v>51.494</x:v>
      </x:c>
      <x:c r="O43" s="2" t="str">
        <x:v>Valid</x:v>
      </x:c>
      <x:c r="P43" s="2" t="str">
        <x:v>EV000082</x:v>
      </x:c>
      <x:c r="Q43" s="8" t="n">
        <x:v>46299.506631944445</x:v>
      </x:c>
      <x:c r="R43" s="2" t="str">
        <x:v>SCH01</x:v>
      </x:c>
      <x:c r="S43" s="9" t="n">
        <x:v>25.285</x:v>
      </x:c>
      <x:c r="T43" s="9" t="n">
        <x:v>51.51</x:v>
      </x:c>
      <x:c r="U43" s="2" t="str">
        <x:v>SCHOOL_RECEIVER_01</x:v>
      </x:c>
      <x:c r="V43" s="2" t="str">
        <x:v>School staff receipt</x:v>
      </x:c>
      <x:c r="W43" s="2" t="str">
        <x:v>Completed transport</x:v>
      </x:c>
      <x:c r="X43" s="2" t="str">
        <x:v>QR</x:v>
      </x:c>
      <x:c r="Y43" s="2" t="str">
        <x:v>Online</x:v>
      </x:c>
      <x:c r="Z43" s="2" t="str">
        <x:v>Synced</x:v>
      </x:c>
      <x:c r="AA43" s="2"/>
      <x:c r="AB43" s="2"/>
      <x:c r="AC43" s="10" t="n">
        <x:f>IF(OR(K43="",Q43=""),"",ROUND((Q43-K43)*1440,2))</x:f>
        <x:v>43.5</x:v>
      </x:c>
    </x:row>
    <x:row r="44" ht="21" customHeight="1">
      <x:c r="A44" s="2" t="str">
        <x:v>LN00043</x:v>
      </x:c>
      <x:c r="B44" s="2" t="str">
        <x:v>T20261004-2-1</x:v>
      </x:c>
      <x:c r="C44" s="7" t="n">
        <x:v>46299</x:v>
      </x:c>
      <x:c r="D44" s="2" t="str">
        <x:v>BUS001</x:v>
      </x:c>
      <x:c r="E44" s="2" t="str">
        <x:v>ST033</x:v>
      </x:c>
      <x:c r="F44" s="2" t="n">
        <x:v>2</x:v>
      </x:c>
      <x:c r="G44" s="2" t="str">
        <x:v>Senior</x:v>
      </x:c>
      <x:c r="H44" s="2" t="str">
        <x:v>Pickup</x:v>
      </x:c>
      <x:c r="I44" s="2" t="str">
        <x:v>R1S3</x:v>
      </x:c>
      <x:c r="J44" s="2" t="str">
        <x:v>EV000083</x:v>
      </x:c>
      <x:c r="K44" s="8" t="n">
        <x:v>46299.48131944444</x:v>
      </x:c>
      <x:c r="L44" s="2" t="str">
        <x:v>R1S3</x:v>
      </x:c>
      <x:c r="M44" s="9" t="n">
        <x:v>25.275000000000002</x:v>
      </x:c>
      <x:c r="N44" s="9" t="n">
        <x:v>51.497</x:v>
      </x:c>
      <x:c r="O44" s="2" t="str">
        <x:v>Valid</x:v>
      </x:c>
      <x:c r="P44" s="2" t="str">
        <x:v>EV000084</x:v>
      </x:c>
      <x:c r="Q44" s="8" t="n">
        <x:v>46299.50666666667</x:v>
      </x:c>
      <x:c r="R44" s="2" t="str">
        <x:v>SCH01</x:v>
      </x:c>
      <x:c r="S44" s="9" t="n">
        <x:v>25.285</x:v>
      </x:c>
      <x:c r="T44" s="9" t="n">
        <x:v>51.51</x:v>
      </x:c>
      <x:c r="U44" s="2" t="str">
        <x:v>SCHOOL_RECEIVER_01</x:v>
      </x:c>
      <x:c r="V44" s="2" t="str">
        <x:v>School staff receipt</x:v>
      </x:c>
      <x:c r="W44" s="2" t="str">
        <x:v>Completed transport</x:v>
      </x:c>
      <x:c r="X44" s="2" t="str">
        <x:v>QR</x:v>
      </x:c>
      <x:c r="Y44" s="2" t="str">
        <x:v>Online</x:v>
      </x:c>
      <x:c r="Z44" s="2" t="str">
        <x:v>Synced</x:v>
      </x:c>
      <x:c r="AA44" s="2"/>
      <x:c r="AB44" s="2"/>
      <x:c r="AC44" s="10" t="n">
        <x:f>IF(OR(K44="",Q44=""),"",ROUND((Q44-K44)*1440,2))</x:f>
        <x:v>36.5</x:v>
      </x:c>
    </x:row>
    <x:row r="45" ht="21" customHeight="1">
      <x:c r="A45" s="2" t="str">
        <x:v>LN00044</x:v>
      </x:c>
      <x:c r="B45" s="2" t="str">
        <x:v>T20261004-2-1</x:v>
      </x:c>
      <x:c r="C45" s="7" t="n">
        <x:v>46299</x:v>
      </x:c>
      <x:c r="D45" s="2" t="str">
        <x:v>BUS001</x:v>
      </x:c>
      <x:c r="E45" s="2" t="str">
        <x:v>ST034</x:v>
      </x:c>
      <x:c r="F45" s="2" t="n">
        <x:v>2</x:v>
      </x:c>
      <x:c r="G45" s="2" t="str">
        <x:v>Senior</x:v>
      </x:c>
      <x:c r="H45" s="2" t="str">
        <x:v>Pickup</x:v>
      </x:c>
      <x:c r="I45" s="2" t="str">
        <x:v>R1S1</x:v>
      </x:c>
      <x:c r="J45" s="2" t="str">
        <x:v>EV000085</x:v>
      </x:c>
      <x:c r="K45" s="8" t="n">
        <x:v>46299.47163194445</x:v>
      </x:c>
      <x:c r="L45" s="2" t="str">
        <x:v>R1S1</x:v>
      </x:c>
      <x:c r="M45" s="9" t="n">
        <x:v>25.271</x:v>
      </x:c>
      <x:c r="N45" s="9" t="n">
        <x:v>51.491</x:v>
      </x:c>
      <x:c r="O45" s="2" t="str">
        <x:v>Valid</x:v>
      </x:c>
      <x:c r="P45" s="2" t="str">
        <x:v>EV000086</x:v>
      </x:c>
      <x:c r="Q45" s="8" t="n">
        <x:v>46299.50670138889</x:v>
      </x:c>
      <x:c r="R45" s="2" t="str">
        <x:v>SCH01</x:v>
      </x:c>
      <x:c r="S45" s="9" t="n">
        <x:v>25.285</x:v>
      </x:c>
      <x:c r="T45" s="9" t="n">
        <x:v>51.51</x:v>
      </x:c>
      <x:c r="U45" s="2" t="str">
        <x:v>SCHOOL_RECEIVER_01</x:v>
      </x:c>
      <x:c r="V45" s="2" t="str">
        <x:v>School staff receipt</x:v>
      </x:c>
      <x:c r="W45" s="2" t="str">
        <x:v>Completed transport</x:v>
      </x:c>
      <x:c r="X45" s="2" t="str">
        <x:v>QR</x:v>
      </x:c>
      <x:c r="Y45" s="2" t="str">
        <x:v>Online</x:v>
      </x:c>
      <x:c r="Z45" s="2" t="str">
        <x:v>Synced</x:v>
      </x:c>
      <x:c r="AA45" s="2"/>
      <x:c r="AB45" s="2"/>
      <x:c r="AC45" s="10" t="n">
        <x:f>IF(OR(K45="",Q45=""),"",ROUND((Q45-K45)*1440,2))</x:f>
        <x:v>50.5</x:v>
      </x:c>
    </x:row>
    <x:row r="46" ht="21" customHeight="1">
      <x:c r="A46" s="2" t="str">
        <x:v>LN00045</x:v>
      </x:c>
      <x:c r="B46" s="2" t="str">
        <x:v>T20261004-2-1</x:v>
      </x:c>
      <x:c r="C46" s="7" t="n">
        <x:v>46299</x:v>
      </x:c>
      <x:c r="D46" s="2" t="str">
        <x:v>BUS001</x:v>
      </x:c>
      <x:c r="E46" s="2" t="str">
        <x:v>ST035</x:v>
      </x:c>
      <x:c r="F46" s="2" t="n">
        <x:v>2</x:v>
      </x:c>
      <x:c r="G46" s="2" t="str">
        <x:v>Senior</x:v>
      </x:c>
      <x:c r="H46" s="2" t="str">
        <x:v>Pickup</x:v>
      </x:c>
      <x:c r="I46" s="2" t="str">
        <x:v>R1S2</x:v>
      </x:c>
      <x:c r="J46" s="2" t="str">
        <x:v>EV000087</x:v>
      </x:c>
      <x:c r="K46" s="8" t="n">
        <x:v>46299.47652777778</x:v>
      </x:c>
      <x:c r="L46" s="2" t="str">
        <x:v>R1S2</x:v>
      </x:c>
      <x:c r="M46" s="9" t="n">
        <x:v>25.273000000000003</x:v>
      </x:c>
      <x:c r="N46" s="9" t="n">
        <x:v>51.494</x:v>
      </x:c>
      <x:c r="O46" s="2" t="str">
        <x:v>Valid</x:v>
      </x:c>
      <x:c r="P46" s="2" t="str">
        <x:v>EV000088</x:v>
      </x:c>
      <x:c r="Q46" s="8" t="n">
        <x:v>46299.506736111114</x:v>
      </x:c>
      <x:c r="R46" s="2" t="str">
        <x:v>SCH01</x:v>
      </x:c>
      <x:c r="S46" s="9" t="n">
        <x:v>25.285</x:v>
      </x:c>
      <x:c r="T46" s="9" t="n">
        <x:v>51.51</x:v>
      </x:c>
      <x:c r="U46" s="2" t="str">
        <x:v>SCHOOL_RECEIVER_01</x:v>
      </x:c>
      <x:c r="V46" s="2" t="str">
        <x:v>School staff receipt</x:v>
      </x:c>
      <x:c r="W46" s="2" t="str">
        <x:v>Completed transport</x:v>
      </x:c>
      <x:c r="X46" s="2" t="str">
        <x:v>QR</x:v>
      </x:c>
      <x:c r="Y46" s="2" t="str">
        <x:v>Online</x:v>
      </x:c>
      <x:c r="Z46" s="2" t="str">
        <x:v>Synced</x:v>
      </x:c>
      <x:c r="AA46" s="2"/>
      <x:c r="AB46" s="2"/>
      <x:c r="AC46" s="10" t="n">
        <x:f>IF(OR(K46="",Q46=""),"",ROUND((Q46-K46)*1440,2))</x:f>
        <x:v>43.5</x:v>
      </x:c>
    </x:row>
    <x:row r="47" ht="21" customHeight="1">
      <x:c r="A47" s="2" t="str">
        <x:v>LN00046</x:v>
      </x:c>
      <x:c r="B47" s="2" t="str">
        <x:v>T20261004-2-1</x:v>
      </x:c>
      <x:c r="C47" s="7" t="n">
        <x:v>46299</x:v>
      </x:c>
      <x:c r="D47" s="2" t="str">
        <x:v>BUS001</x:v>
      </x:c>
      <x:c r="E47" s="2" t="str">
        <x:v>ST036</x:v>
      </x:c>
      <x:c r="F47" s="2" t="n">
        <x:v>2</x:v>
      </x:c>
      <x:c r="G47" s="2" t="str">
        <x:v>Senior</x:v>
      </x:c>
      <x:c r="H47" s="2" t="str">
        <x:v>Pickup</x:v>
      </x:c>
      <x:c r="I47" s="2" t="str">
        <x:v>R1S3</x:v>
      </x:c>
      <x:c r="J47" s="2" t="str">
        <x:v>EV000089</x:v>
      </x:c>
      <x:c r="K47" s="8" t="n">
        <x:v>46299.481423611105</x:v>
      </x:c>
      <x:c r="L47" s="2" t="str">
        <x:v>R1S3</x:v>
      </x:c>
      <x:c r="M47" s="9" t="n">
        <x:v>25.275000000000002</x:v>
      </x:c>
      <x:c r="N47" s="9" t="n">
        <x:v>51.497</x:v>
      </x:c>
      <x:c r="O47" s="2" t="str">
        <x:v>Valid</x:v>
      </x:c>
      <x:c r="P47" s="2" t="str">
        <x:v>EV000090</x:v>
      </x:c>
      <x:c r="Q47" s="8" t="n">
        <x:v>46299.50677083334</x:v>
      </x:c>
      <x:c r="R47" s="2" t="str">
        <x:v>SCH01</x:v>
      </x:c>
      <x:c r="S47" s="9" t="n">
        <x:v>25.285</x:v>
      </x:c>
      <x:c r="T47" s="9" t="n">
        <x:v>51.51</x:v>
      </x:c>
      <x:c r="U47" s="2" t="str">
        <x:v>SCHOOL_RECEIVER_01</x:v>
      </x:c>
      <x:c r="V47" s="2" t="str">
        <x:v>School staff receipt</x:v>
      </x:c>
      <x:c r="W47" s="2" t="str">
        <x:v>Completed transport</x:v>
      </x:c>
      <x:c r="X47" s="2" t="str">
        <x:v>QR</x:v>
      </x:c>
      <x:c r="Y47" s="2" t="str">
        <x:v>Online</x:v>
      </x:c>
      <x:c r="Z47" s="2" t="str">
        <x:v>Synced</x:v>
      </x:c>
      <x:c r="AA47" s="2"/>
      <x:c r="AB47" s="2"/>
      <x:c r="AC47" s="10" t="n">
        <x:f>IF(OR(K47="",Q47=""),"",ROUND((Q47-K47)*1440,2))</x:f>
        <x:v>36.5</x:v>
      </x:c>
    </x:row>
    <x:row r="48" ht="21" customHeight="1">
      <x:c r="A48" s="2" t="str">
        <x:v>LN00047</x:v>
      </x:c>
      <x:c r="B48" s="2" t="str">
        <x:v>T20261004-2-1</x:v>
      </x:c>
      <x:c r="C48" s="7" t="n">
        <x:v>46299</x:v>
      </x:c>
      <x:c r="D48" s="2" t="str">
        <x:v>BUS001</x:v>
      </x:c>
      <x:c r="E48" s="2" t="str">
        <x:v>ST037</x:v>
      </x:c>
      <x:c r="F48" s="2" t="n">
        <x:v>2</x:v>
      </x:c>
      <x:c r="G48" s="2" t="str">
        <x:v>Senior</x:v>
      </x:c>
      <x:c r="H48" s="2" t="str">
        <x:v>Pickup</x:v>
      </x:c>
      <x:c r="I48" s="2" t="str">
        <x:v>R1S1</x:v>
      </x:c>
      <x:c r="J48" s="2" t="str">
        <x:v>EV000091</x:v>
      </x:c>
      <x:c r="K48" s="8" t="n">
        <x:v>46299.47173611111</x:v>
      </x:c>
      <x:c r="L48" s="2" t="str">
        <x:v>R1S1</x:v>
      </x:c>
      <x:c r="M48" s="9" t="n">
        <x:v>25.271</x:v>
      </x:c>
      <x:c r="N48" s="9" t="n">
        <x:v>51.491</x:v>
      </x:c>
      <x:c r="O48" s="2" t="str">
        <x:v>Valid</x:v>
      </x:c>
      <x:c r="P48" s="2" t="str">
        <x:v>EV000092</x:v>
      </x:c>
      <x:c r="Q48" s="8" t="n">
        <x:v>46299.50680555556</x:v>
      </x:c>
      <x:c r="R48" s="2" t="str">
        <x:v>SCH01</x:v>
      </x:c>
      <x:c r="S48" s="9" t="n">
        <x:v>25.285</x:v>
      </x:c>
      <x:c r="T48" s="9" t="n">
        <x:v>51.51</x:v>
      </x:c>
      <x:c r="U48" s="2" t="str">
        <x:v>SCHOOL_RECEIVER_01</x:v>
      </x:c>
      <x:c r="V48" s="2" t="str">
        <x:v>School staff receipt</x:v>
      </x:c>
      <x:c r="W48" s="2" t="str">
        <x:v>Completed transport</x:v>
      </x:c>
      <x:c r="X48" s="2" t="str">
        <x:v>QR</x:v>
      </x:c>
      <x:c r="Y48" s="2" t="str">
        <x:v>Online</x:v>
      </x:c>
      <x:c r="Z48" s="2" t="str">
        <x:v>Synced</x:v>
      </x:c>
      <x:c r="AA48" s="2"/>
      <x:c r="AB48" s="2"/>
      <x:c r="AC48" s="10" t="n">
        <x:f>IF(OR(K48="",Q48=""),"",ROUND((Q48-K48)*1440,2))</x:f>
        <x:v>50.5</x:v>
      </x:c>
    </x:row>
    <x:row r="49" ht="21" customHeight="1">
      <x:c r="A49" s="2" t="str">
        <x:v>LN00048</x:v>
      </x:c>
      <x:c r="B49" s="2" t="str">
        <x:v>T20261004-2-1</x:v>
      </x:c>
      <x:c r="C49" s="7" t="n">
        <x:v>46299</x:v>
      </x:c>
      <x:c r="D49" s="2" t="str">
        <x:v>BUS001</x:v>
      </x:c>
      <x:c r="E49" s="2" t="str">
        <x:v>ST038</x:v>
      </x:c>
      <x:c r="F49" s="2" t="n">
        <x:v>2</x:v>
      </x:c>
      <x:c r="G49" s="2" t="str">
        <x:v>Senior</x:v>
      </x:c>
      <x:c r="H49" s="2" t="str">
        <x:v>Pickup</x:v>
      </x:c>
      <x:c r="I49" s="2" t="str">
        <x:v>R1S2</x:v>
      </x:c>
      <x:c r="J49" s="2" t="str">
        <x:v>EV000093</x:v>
      </x:c>
      <x:c r="K49" s="8" t="n">
        <x:v>46299.47663194444</x:v>
      </x:c>
      <x:c r="L49" s="2" t="str">
        <x:v>R1S2</x:v>
      </x:c>
      <x:c r="M49" s="9" t="n">
        <x:v>25.273000000000003</x:v>
      </x:c>
      <x:c r="N49" s="9" t="n">
        <x:v>51.494</x:v>
      </x:c>
      <x:c r="O49" s="2" t="str">
        <x:v>Valid</x:v>
      </x:c>
      <x:c r="P49" s="2" t="str">
        <x:v>EV000094</x:v>
      </x:c>
      <x:c r="Q49" s="8" t="n">
        <x:v>46299.50684027778</x:v>
      </x:c>
      <x:c r="R49" s="2" t="str">
        <x:v>SCH01</x:v>
      </x:c>
      <x:c r="S49" s="9" t="n">
        <x:v>25.285</x:v>
      </x:c>
      <x:c r="T49" s="9" t="n">
        <x:v>51.51</x:v>
      </x:c>
      <x:c r="U49" s="2" t="str">
        <x:v>SCHOOL_RECEIVER_01</x:v>
      </x:c>
      <x:c r="V49" s="2" t="str">
        <x:v>School staff receipt</x:v>
      </x:c>
      <x:c r="W49" s="2" t="str">
        <x:v>Completed transport</x:v>
      </x:c>
      <x:c r="X49" s="2" t="str">
        <x:v>QR</x:v>
      </x:c>
      <x:c r="Y49" s="2" t="str">
        <x:v>Online</x:v>
      </x:c>
      <x:c r="Z49" s="2" t="str">
        <x:v>Synced</x:v>
      </x:c>
      <x:c r="AA49" s="2"/>
      <x:c r="AB49" s="2"/>
      <x:c r="AC49" s="10" t="n">
        <x:f>IF(OR(K49="",Q49=""),"",ROUND((Q49-K49)*1440,2))</x:f>
        <x:v>43.5</x:v>
      </x:c>
    </x:row>
    <x:row r="50" ht="21" customHeight="1">
      <x:c r="A50" s="2" t="str">
        <x:v>LN00049</x:v>
      </x:c>
      <x:c r="B50" s="2" t="str">
        <x:v>T20261004-2-1</x:v>
      </x:c>
      <x:c r="C50" s="7" t="n">
        <x:v>46299</x:v>
      </x:c>
      <x:c r="D50" s="2" t="str">
        <x:v>BUS001</x:v>
      </x:c>
      <x:c r="E50" s="2" t="str">
        <x:v>ST039</x:v>
      </x:c>
      <x:c r="F50" s="2" t="n">
        <x:v>2</x:v>
      </x:c>
      <x:c r="G50" s="2" t="str">
        <x:v>Senior</x:v>
      </x:c>
      <x:c r="H50" s="2" t="str">
        <x:v>Pickup</x:v>
      </x:c>
      <x:c r="I50" s="2" t="str">
        <x:v>R1S3</x:v>
      </x:c>
      <x:c r="J50" s="2" t="str">
        <x:v>EV000095</x:v>
      </x:c>
      <x:c r="K50" s="8" t="n">
        <x:v>46299.481527777774</x:v>
      </x:c>
      <x:c r="L50" s="2" t="str">
        <x:v>R1S3</x:v>
      </x:c>
      <x:c r="M50" s="9" t="n">
        <x:v>25.275000000000002</x:v>
      </x:c>
      <x:c r="N50" s="9" t="n">
        <x:v>51.497</x:v>
      </x:c>
      <x:c r="O50" s="2" t="str">
        <x:v>Valid</x:v>
      </x:c>
      <x:c r="P50" s="2" t="str">
        <x:v>EV000096</x:v>
      </x:c>
      <x:c r="Q50" s="8" t="n">
        <x:v>46299.50687500001</x:v>
      </x:c>
      <x:c r="R50" s="2" t="str">
        <x:v>SCH01</x:v>
      </x:c>
      <x:c r="S50" s="9" t="n">
        <x:v>25.285</x:v>
      </x:c>
      <x:c r="T50" s="9" t="n">
        <x:v>51.51</x:v>
      </x:c>
      <x:c r="U50" s="2" t="str">
        <x:v>SCHOOL_RECEIVER_01</x:v>
      </x:c>
      <x:c r="V50" s="2" t="str">
        <x:v>School staff receipt</x:v>
      </x:c>
      <x:c r="W50" s="2" t="str">
        <x:v>Completed transport</x:v>
      </x:c>
      <x:c r="X50" s="2" t="str">
        <x:v>QR</x:v>
      </x:c>
      <x:c r="Y50" s="2" t="str">
        <x:v>Online</x:v>
      </x:c>
      <x:c r="Z50" s="2" t="str">
        <x:v>Synced</x:v>
      </x:c>
      <x:c r="AA50" s="2"/>
      <x:c r="AB50" s="2"/>
      <x:c r="AC50" s="10" t="n">
        <x:f>IF(OR(K50="",Q50=""),"",ROUND((Q50-K50)*1440,2))</x:f>
        <x:v>36.5</x:v>
      </x:c>
    </x:row>
    <x:row r="51" ht="21" customHeight="1">
      <x:c r="A51" s="2" t="str">
        <x:v>LN00050</x:v>
      </x:c>
      <x:c r="B51" s="2" t="str">
        <x:v>T20261004-2-1</x:v>
      </x:c>
      <x:c r="C51" s="7" t="n">
        <x:v>46299</x:v>
      </x:c>
      <x:c r="D51" s="2" t="str">
        <x:v>BUS001</x:v>
      </x:c>
      <x:c r="E51" s="2" t="str">
        <x:v>ST040</x:v>
      </x:c>
      <x:c r="F51" s="2" t="n">
        <x:v>2</x:v>
      </x:c>
      <x:c r="G51" s="2" t="str">
        <x:v>Senior</x:v>
      </x:c>
      <x:c r="H51" s="2" t="str">
        <x:v>Pickup</x:v>
      </x:c>
      <x:c r="I51" s="2" t="str">
        <x:v>R1S1</x:v>
      </x:c>
      <x:c r="J51" s="2" t="str">
        <x:v>EV000097</x:v>
      </x:c>
      <x:c r="K51" s="8" t="n">
        <x:v>46299.47184027778</x:v>
      </x:c>
      <x:c r="L51" s="2" t="str">
        <x:v>R1S1</x:v>
      </x:c>
      <x:c r="M51" s="9" t="n">
        <x:v>25.271</x:v>
      </x:c>
      <x:c r="N51" s="9" t="n">
        <x:v>51.491</x:v>
      </x:c>
      <x:c r="O51" s="2" t="str">
        <x:v>Valid</x:v>
      </x:c>
      <x:c r="P51" s="2" t="str">
        <x:v>EV000098</x:v>
      </x:c>
      <x:c r="Q51" s="8" t="n">
        <x:v>46299.50690972222</x:v>
      </x:c>
      <x:c r="R51" s="2" t="str">
        <x:v>SCH01</x:v>
      </x:c>
      <x:c r="S51" s="9" t="n">
        <x:v>25.285</x:v>
      </x:c>
      <x:c r="T51" s="9" t="n">
        <x:v>51.51</x:v>
      </x:c>
      <x:c r="U51" s="2" t="str">
        <x:v>SCHOOL_RECEIVER_01</x:v>
      </x:c>
      <x:c r="V51" s="2" t="str">
        <x:v>School staff receipt</x:v>
      </x:c>
      <x:c r="W51" s="2" t="str">
        <x:v>Completed transport</x:v>
      </x:c>
      <x:c r="X51" s="2" t="str">
        <x:v>QR</x:v>
      </x:c>
      <x:c r="Y51" s="2" t="str">
        <x:v>Online</x:v>
      </x:c>
      <x:c r="Z51" s="2" t="str">
        <x:v>Synced</x:v>
      </x:c>
      <x:c r="AA51" s="2"/>
      <x:c r="AB51" s="2"/>
      <x:c r="AC51" s="10" t="n">
        <x:f>IF(OR(K51="",Q51=""),"",ROUND((Q51-K51)*1440,2))</x:f>
        <x:v>50.5</x:v>
      </x:c>
    </x:row>
    <x:row r="52" ht="21" customHeight="1">
      <x:c r="A52" s="2" t="str">
        <x:v>LN00051</x:v>
      </x:c>
      <x:c r="B52" s="2" t="str">
        <x:v>T20261004-3-1</x:v>
      </x:c>
      <x:c r="C52" s="7" t="n">
        <x:v>46299</x:v>
      </x:c>
      <x:c r="D52" s="2" t="str">
        <x:v>BUS001</x:v>
      </x:c>
      <x:c r="E52" s="2" t="str">
        <x:v>ST011</x:v>
      </x:c>
      <x:c r="F52" s="2" t="n">
        <x:v>1</x:v>
      </x:c>
      <x:c r="G52" s="2" t="str">
        <x:v>Senior</x:v>
      </x:c>
      <x:c r="H52" s="2" t="str">
        <x:v>Drop-off</x:v>
      </x:c>
      <x:c r="I52" s="2" t="str">
        <x:v>R1S2</x:v>
      </x:c>
      <x:c r="J52" s="2" t="str">
        <x:v>EV000099</x:v>
      </x:c>
      <x:c r="K52" s="8" t="n">
        <x:v>46299.57291666667</x:v>
      </x:c>
      <x:c r="L52" s="2" t="str">
        <x:v>SCH01</x:v>
      </x:c>
      <x:c r="M52" s="9" t="n">
        <x:v>25.285</x:v>
      </x:c>
      <x:c r="N52" s="9" t="n">
        <x:v>51.51</x:v>
      </x:c>
      <x:c r="O52" s="2" t="str">
        <x:v>Valid</x:v>
      </x:c>
      <x:c r="P52" s="2" t="str">
        <x:v>EV000100</x:v>
      </x:c>
      <x:c r="Q52" s="8" t="n">
        <x:v>46299.59027777778</x:v>
      </x:c>
      <x:c r="R52" s="2" t="str">
        <x:v>R1S2</x:v>
      </x:c>
      <x:c r="S52" s="9" t="n">
        <x:v>25.273000000000003</x:v>
      </x:c>
      <x:c r="T52" s="9" t="n">
        <x:v>51.494</x:v>
      </x:c>
      <x:c r="U52" s="2" t="str">
        <x:v>G011</x:v>
      </x:c>
      <x:c r="V52" s="2" t="str">
        <x:v>Authorized guardian release</x:v>
      </x:c>
      <x:c r="W52" s="2" t="str">
        <x:v>Completed transport</x:v>
      </x:c>
      <x:c r="X52" s="2" t="str">
        <x:v>QR</x:v>
      </x:c>
      <x:c r="Y52" s="2" t="str">
        <x:v>Online</x:v>
      </x:c>
      <x:c r="Z52" s="2" t="str">
        <x:v>Synced</x:v>
      </x:c>
      <x:c r="AA52" s="2"/>
      <x:c r="AB52" s="2"/>
      <x:c r="AC52" s="10" t="n">
        <x:f>IF(OR(K52="",Q52=""),"",ROUND((Q52-K52)*1440,2))</x:f>
        <x:v>25</x:v>
      </x:c>
    </x:row>
    <x:row r="53" ht="21" customHeight="1">
      <x:c r="A53" s="2" t="str">
        <x:v>LN00052</x:v>
      </x:c>
      <x:c r="B53" s="2" t="str">
        <x:v>T20261004-3-1</x:v>
      </x:c>
      <x:c r="C53" s="7" t="n">
        <x:v>46299</x:v>
      </x:c>
      <x:c r="D53" s="2" t="str">
        <x:v>BUS001</x:v>
      </x:c>
      <x:c r="E53" s="2" t="str">
        <x:v>ST012</x:v>
      </x:c>
      <x:c r="F53" s="2" t="n">
        <x:v>1</x:v>
      </x:c>
      <x:c r="G53" s="2" t="str">
        <x:v>Senior</x:v>
      </x:c>
      <x:c r="H53" s="2" t="str">
        <x:v>Drop-off</x:v>
      </x:c>
      <x:c r="I53" s="2" t="str">
        <x:v>R1S3</x:v>
      </x:c>
      <x:c r="J53" s="2" t="str">
        <x:v>EV000101</x:v>
      </x:c>
      <x:c r="K53" s="8" t="n">
        <x:v>46299.572951388895</x:v>
      </x:c>
      <x:c r="L53" s="2" t="str">
        <x:v>SCH01</x:v>
      </x:c>
      <x:c r="M53" s="9" t="n">
        <x:v>25.285</x:v>
      </x:c>
      <x:c r="N53" s="9" t="n">
        <x:v>51.51</x:v>
      </x:c>
      <x:c r="O53" s="2" t="str">
        <x:v>Valid</x:v>
      </x:c>
      <x:c r="P53" s="2" t="str">
        <x:v>EV000102</x:v>
      </x:c>
      <x:c r="Q53" s="8" t="n">
        <x:v>46299.59447916667</x:v>
      </x:c>
      <x:c r="R53" s="2" t="str">
        <x:v>R1S3</x:v>
      </x:c>
      <x:c r="S53" s="9" t="n">
        <x:v>25.275000000000002</x:v>
      </x:c>
      <x:c r="T53" s="9" t="n">
        <x:v>51.497</x:v>
      </x:c>
      <x:c r="U53" s="2" t="str">
        <x:v>G012</x:v>
      </x:c>
      <x:c r="V53" s="2" t="str">
        <x:v>Authorized guardian release</x:v>
      </x:c>
      <x:c r="W53" s="2" t="str">
        <x:v>Completed transport</x:v>
      </x:c>
      <x:c r="X53" s="2" t="str">
        <x:v>QR</x:v>
      </x:c>
      <x:c r="Y53" s="2" t="str">
        <x:v>Online</x:v>
      </x:c>
      <x:c r="Z53" s="2" t="str">
        <x:v>Synced</x:v>
      </x:c>
      <x:c r="AA53" s="2"/>
      <x:c r="AB53" s="2"/>
      <x:c r="AC53" s="10" t="n">
        <x:f>IF(OR(K53="",Q53=""),"",ROUND((Q53-K53)*1440,2))</x:f>
        <x:v>31</x:v>
      </x:c>
    </x:row>
    <x:row r="54" ht="21" customHeight="1">
      <x:c r="A54" s="2" t="str">
        <x:v>LN00053</x:v>
      </x:c>
      <x:c r="B54" s="2" t="str">
        <x:v>T20261004-3-1</x:v>
      </x:c>
      <x:c r="C54" s="7" t="n">
        <x:v>46299</x:v>
      </x:c>
      <x:c r="D54" s="2" t="str">
        <x:v>BUS001</x:v>
      </x:c>
      <x:c r="E54" s="2" t="str">
        <x:v>ST013</x:v>
      </x:c>
      <x:c r="F54" s="2" t="n">
        <x:v>1</x:v>
      </x:c>
      <x:c r="G54" s="2" t="str">
        <x:v>Senior</x:v>
      </x:c>
      <x:c r="H54" s="2" t="str">
        <x:v>Drop-off</x:v>
      </x:c>
      <x:c r="I54" s="2" t="str">
        <x:v>R1S1</x:v>
      </x:c>
      <x:c r="J54" s="2" t="str">
        <x:v>EV000103</x:v>
      </x:c>
      <x:c r="K54" s="8" t="n">
        <x:v>46299.57298611112</x:v>
      </x:c>
      <x:c r="L54" s="2" t="str">
        <x:v>SCH01</x:v>
      </x:c>
      <x:c r="M54" s="9" t="n">
        <x:v>25.285</x:v>
      </x:c>
      <x:c r="N54" s="9" t="n">
        <x:v>51.51</x:v>
      </x:c>
      <x:c r="O54" s="2" t="str">
        <x:v>Valid</x:v>
      </x:c>
      <x:c r="P54" s="2" t="str">
        <x:v>EV000104</x:v>
      </x:c>
      <x:c r="Q54" s="8" t="n">
        <x:v>46299.58618055556</x:v>
      </x:c>
      <x:c r="R54" s="2" t="str">
        <x:v>R1S1</x:v>
      </x:c>
      <x:c r="S54" s="9" t="n">
        <x:v>25.271</x:v>
      </x:c>
      <x:c r="T54" s="9" t="n">
        <x:v>51.491</x:v>
      </x:c>
      <x:c r="U54" s="2" t="str">
        <x:v>G013</x:v>
      </x:c>
      <x:c r="V54" s="2" t="str">
        <x:v>Authorized guardian release</x:v>
      </x:c>
      <x:c r="W54" s="2" t="str">
        <x:v>Completed transport</x:v>
      </x:c>
      <x:c r="X54" s="2" t="str">
        <x:v>QR</x:v>
      </x:c>
      <x:c r="Y54" s="2" t="str">
        <x:v>Online</x:v>
      </x:c>
      <x:c r="Z54" s="2" t="str">
        <x:v>Synced</x:v>
      </x:c>
      <x:c r="AA54" s="2"/>
      <x:c r="AB54" s="2"/>
      <x:c r="AC54" s="10" t="n">
        <x:f>IF(OR(K54="",Q54=""),"",ROUND((Q54-K54)*1440,2))</x:f>
        <x:v>19</x:v>
      </x:c>
    </x:row>
    <x:row r="55" ht="21" customHeight="1">
      <x:c r="A55" s="2" t="str">
        <x:v>LN00054</x:v>
      </x:c>
      <x:c r="B55" s="2" t="str">
        <x:v>T20261004-3-1</x:v>
      </x:c>
      <x:c r="C55" s="7" t="n">
        <x:v>46299</x:v>
      </x:c>
      <x:c r="D55" s="2" t="str">
        <x:v>BUS001</x:v>
      </x:c>
      <x:c r="E55" s="2" t="str">
        <x:v>ST014</x:v>
      </x:c>
      <x:c r="F55" s="2" t="n">
        <x:v>1</x:v>
      </x:c>
      <x:c r="G55" s="2" t="str">
        <x:v>Senior</x:v>
      </x:c>
      <x:c r="H55" s="2" t="str">
        <x:v>Drop-off</x:v>
      </x:c>
      <x:c r="I55" s="2" t="str">
        <x:v>R1S2</x:v>
      </x:c>
      <x:c r="J55" s="2" t="str">
        <x:v>EV000105</x:v>
      </x:c>
      <x:c r="K55" s="8" t="n">
        <x:v>46299.57302083334</x:v>
      </x:c>
      <x:c r="L55" s="2" t="str">
        <x:v>SCH01</x:v>
      </x:c>
      <x:c r="M55" s="9" t="n">
        <x:v>25.285</x:v>
      </x:c>
      <x:c r="N55" s="9" t="n">
        <x:v>51.51</x:v>
      </x:c>
      <x:c r="O55" s="2" t="str">
        <x:v>Valid</x:v>
      </x:c>
      <x:c r="P55" s="2" t="str">
        <x:v>EV000106</x:v>
      </x:c>
      <x:c r="Q55" s="8" t="n">
        <x:v>46299.59038194445</x:v>
      </x:c>
      <x:c r="R55" s="2" t="str">
        <x:v>R1S2</x:v>
      </x:c>
      <x:c r="S55" s="9" t="n">
        <x:v>25.273000000000003</x:v>
      </x:c>
      <x:c r="T55" s="9" t="n">
        <x:v>51.494</x:v>
      </x:c>
      <x:c r="U55" s="2" t="str">
        <x:v>G014</x:v>
      </x:c>
      <x:c r="V55" s="2" t="str">
        <x:v>Authorized guardian release</x:v>
      </x:c>
      <x:c r="W55" s="2" t="str">
        <x:v>Completed transport</x:v>
      </x:c>
      <x:c r="X55" s="2" t="str">
        <x:v>QR</x:v>
      </x:c>
      <x:c r="Y55" s="2" t="str">
        <x:v>Online</x:v>
      </x:c>
      <x:c r="Z55" s="2" t="str">
        <x:v>Synced</x:v>
      </x:c>
      <x:c r="AA55" s="2"/>
      <x:c r="AB55" s="2"/>
      <x:c r="AC55" s="10" t="n">
        <x:f>IF(OR(K55="",Q55=""),"",ROUND((Q55-K55)*1440,2))</x:f>
        <x:v>25</x:v>
      </x:c>
    </x:row>
    <x:row r="56" ht="21" customHeight="1">
      <x:c r="A56" s="2" t="str">
        <x:v>LN00055</x:v>
      </x:c>
      <x:c r="B56" s="2" t="str">
        <x:v>T20261004-3-1</x:v>
      </x:c>
      <x:c r="C56" s="7" t="n">
        <x:v>46299</x:v>
      </x:c>
      <x:c r="D56" s="2" t="str">
        <x:v>BUS001</x:v>
      </x:c>
      <x:c r="E56" s="2" t="str">
        <x:v>ST015</x:v>
      </x:c>
      <x:c r="F56" s="2" t="n">
        <x:v>1</x:v>
      </x:c>
      <x:c r="G56" s="2" t="str">
        <x:v>Senior</x:v>
      </x:c>
      <x:c r="H56" s="2" t="str">
        <x:v>Drop-off</x:v>
      </x:c>
      <x:c r="I56" s="2" t="str">
        <x:v>R1S3</x:v>
      </x:c>
      <x:c r="J56" s="2" t="str">
        <x:v>EV000107</x:v>
      </x:c>
      <x:c r="K56" s="8" t="n">
        <x:v>46299.573055555564</x:v>
      </x:c>
      <x:c r="L56" s="2" t="str">
        <x:v>SCH01</x:v>
      </x:c>
      <x:c r="M56" s="9" t="n">
        <x:v>25.285</x:v>
      </x:c>
      <x:c r="N56" s="9" t="n">
        <x:v>51.51</x:v>
      </x:c>
      <x:c r="O56" s="2" t="str">
        <x:v>Valid</x:v>
      </x:c>
      <x:c r="P56" s="2" t="str">
        <x:v>EV000108</x:v>
      </x:c>
      <x:c r="Q56" s="8" t="n">
        <x:v>46299.59458333334</x:v>
      </x:c>
      <x:c r="R56" s="2" t="str">
        <x:v>R1S3</x:v>
      </x:c>
      <x:c r="S56" s="9" t="n">
        <x:v>25.275000000000002</x:v>
      </x:c>
      <x:c r="T56" s="9" t="n">
        <x:v>51.497</x:v>
      </x:c>
      <x:c r="U56" s="2" t="str">
        <x:v>G015</x:v>
      </x:c>
      <x:c r="V56" s="2" t="str">
        <x:v>Authorized guardian release</x:v>
      </x:c>
      <x:c r="W56" s="2" t="str">
        <x:v>Completed transport</x:v>
      </x:c>
      <x:c r="X56" s="2" t="str">
        <x:v>QR</x:v>
      </x:c>
      <x:c r="Y56" s="2" t="str">
        <x:v>Online</x:v>
      </x:c>
      <x:c r="Z56" s="2" t="str">
        <x:v>Synced</x:v>
      </x:c>
      <x:c r="AA56" s="2"/>
      <x:c r="AB56" s="2"/>
      <x:c r="AC56" s="10" t="n">
        <x:f>IF(OR(K56="",Q56=""),"",ROUND((Q56-K56)*1440,2))</x:f>
        <x:v>31</x:v>
      </x:c>
    </x:row>
    <x:row r="57" ht="21" customHeight="1">
      <x:c r="A57" s="2" t="str">
        <x:v>LN00056</x:v>
      </x:c>
      <x:c r="B57" s="2" t="str">
        <x:v>T20261004-3-1</x:v>
      </x:c>
      <x:c r="C57" s="7" t="n">
        <x:v>46299</x:v>
      </x:c>
      <x:c r="D57" s="2" t="str">
        <x:v>BUS001</x:v>
      </x:c>
      <x:c r="E57" s="2" t="str">
        <x:v>ST016</x:v>
      </x:c>
      <x:c r="F57" s="2" t="n">
        <x:v>1</x:v>
      </x:c>
      <x:c r="G57" s="2" t="str">
        <x:v>Senior</x:v>
      </x:c>
      <x:c r="H57" s="2" t="str">
        <x:v>Drop-off</x:v>
      </x:c>
      <x:c r="I57" s="2" t="str">
        <x:v>R1S1</x:v>
      </x:c>
      <x:c r="J57" s="2" t="str">
        <x:v>EV000109</x:v>
      </x:c>
      <x:c r="K57" s="8" t="n">
        <x:v>46299.57309027778</x:v>
      </x:c>
      <x:c r="L57" s="2" t="str">
        <x:v>SCH01</x:v>
      </x:c>
      <x:c r="M57" s="9" t="n">
        <x:v>25.285</x:v>
      </x:c>
      <x:c r="N57" s="9" t="n">
        <x:v>51.51</x:v>
      </x:c>
      <x:c r="O57" s="2" t="str">
        <x:v>Valid</x:v>
      </x:c>
      <x:c r="P57" s="2" t="str">
        <x:v>EV000110</x:v>
      </x:c>
      <x:c r="Q57" s="8" t="n">
        <x:v>46299.58628472222</x:v>
      </x:c>
      <x:c r="R57" s="2" t="str">
        <x:v>R1S1</x:v>
      </x:c>
      <x:c r="S57" s="9" t="n">
        <x:v>25.271</x:v>
      </x:c>
      <x:c r="T57" s="9" t="n">
        <x:v>51.491</x:v>
      </x:c>
      <x:c r="U57" s="2" t="str">
        <x:v>G016</x:v>
      </x:c>
      <x:c r="V57" s="2" t="str">
        <x:v>Authorized guardian release</x:v>
      </x:c>
      <x:c r="W57" s="2" t="str">
        <x:v>Completed transport</x:v>
      </x:c>
      <x:c r="X57" s="2" t="str">
        <x:v>QR</x:v>
      </x:c>
      <x:c r="Y57" s="2" t="str">
        <x:v>Online</x:v>
      </x:c>
      <x:c r="Z57" s="2" t="str">
        <x:v>Synced</x:v>
      </x:c>
      <x:c r="AA57" s="2"/>
      <x:c r="AB57" s="2"/>
      <x:c r="AC57" s="10" t="n">
        <x:f>IF(OR(K57="",Q57=""),"",ROUND((Q57-K57)*1440,2))</x:f>
        <x:v>19</x:v>
      </x:c>
    </x:row>
    <x:row r="58" ht="21" customHeight="1">
      <x:c r="A58" s="2" t="str">
        <x:v>LN00057</x:v>
      </x:c>
      <x:c r="B58" s="2" t="str">
        <x:v>T20261004-3-1</x:v>
      </x:c>
      <x:c r="C58" s="7" t="n">
        <x:v>46299</x:v>
      </x:c>
      <x:c r="D58" s="2" t="str">
        <x:v>BUS001</x:v>
      </x:c>
      <x:c r="E58" s="2" t="str">
        <x:v>ST017</x:v>
      </x:c>
      <x:c r="F58" s="2" t="n">
        <x:v>1</x:v>
      </x:c>
      <x:c r="G58" s="2" t="str">
        <x:v>Senior</x:v>
      </x:c>
      <x:c r="H58" s="2" t="str">
        <x:v>Drop-off</x:v>
      </x:c>
      <x:c r="I58" s="2" t="str">
        <x:v>R1S2</x:v>
      </x:c>
      <x:c r="J58" s="2" t="str">
        <x:v>EV000111</x:v>
      </x:c>
      <x:c r="K58" s="8" t="n">
        <x:v>46299.573125</x:v>
      </x:c>
      <x:c r="L58" s="2" t="str">
        <x:v>SCH01</x:v>
      </x:c>
      <x:c r="M58" s="9" t="n">
        <x:v>25.285</x:v>
      </x:c>
      <x:c r="N58" s="9" t="n">
        <x:v>51.51</x:v>
      </x:c>
      <x:c r="O58" s="2" t="str">
        <x:v>Valid</x:v>
      </x:c>
      <x:c r="P58" s="2" t="str">
        <x:v>EV000112</x:v>
      </x:c>
      <x:c r="Q58" s="8" t="n">
        <x:v>46299.59048611111</x:v>
      </x:c>
      <x:c r="R58" s="2" t="str">
        <x:v>R1S2</x:v>
      </x:c>
      <x:c r="S58" s="9" t="n">
        <x:v>25.273000000000003</x:v>
      </x:c>
      <x:c r="T58" s="9" t="n">
        <x:v>51.494</x:v>
      </x:c>
      <x:c r="U58" s="2" t="str">
        <x:v>G017</x:v>
      </x:c>
      <x:c r="V58" s="2" t="str">
        <x:v>Authorized guardian release</x:v>
      </x:c>
      <x:c r="W58" s="2" t="str">
        <x:v>Completed transport</x:v>
      </x:c>
      <x:c r="X58" s="2" t="str">
        <x:v>QR</x:v>
      </x:c>
      <x:c r="Y58" s="2" t="str">
        <x:v>Online</x:v>
      </x:c>
      <x:c r="Z58" s="2" t="str">
        <x:v>Synced</x:v>
      </x:c>
      <x:c r="AA58" s="2"/>
      <x:c r="AB58" s="2"/>
      <x:c r="AC58" s="10" t="n">
        <x:f>IF(OR(K58="",Q58=""),"",ROUND((Q58-K58)*1440,2))</x:f>
        <x:v>25</x:v>
      </x:c>
    </x:row>
    <x:row r="59" ht="21" customHeight="1">
      <x:c r="A59" s="2" t="str">
        <x:v>LN00058</x:v>
      </x:c>
      <x:c r="B59" s="2" t="str">
        <x:v>T20261004-3-1</x:v>
      </x:c>
      <x:c r="C59" s="7" t="n">
        <x:v>46299</x:v>
      </x:c>
      <x:c r="D59" s="2" t="str">
        <x:v>BUS001</x:v>
      </x:c>
      <x:c r="E59" s="2" t="str">
        <x:v>ST018</x:v>
      </x:c>
      <x:c r="F59" s="2" t="n">
        <x:v>1</x:v>
      </x:c>
      <x:c r="G59" s="2" t="str">
        <x:v>Senior</x:v>
      </x:c>
      <x:c r="H59" s="2" t="str">
        <x:v>Drop-off</x:v>
      </x:c>
      <x:c r="I59" s="2" t="str">
        <x:v>R1S3</x:v>
      </x:c>
      <x:c r="J59" s="2" t="str">
        <x:v>EV000113</x:v>
      </x:c>
      <x:c r="K59" s="8" t="n">
        <x:v>46299.573159722226</x:v>
      </x:c>
      <x:c r="L59" s="2" t="str">
        <x:v>SCH01</x:v>
      </x:c>
      <x:c r="M59" s="9" t="n">
        <x:v>25.285</x:v>
      </x:c>
      <x:c r="N59" s="9" t="n">
        <x:v>51.51</x:v>
      </x:c>
      <x:c r="O59" s="2" t="str">
        <x:v>Valid</x:v>
      </x:c>
      <x:c r="P59" s="2" t="str">
        <x:v>EV000114</x:v>
      </x:c>
      <x:c r="Q59" s="8" t="n">
        <x:v>46299.5946875</x:v>
      </x:c>
      <x:c r="R59" s="2" t="str">
        <x:v>R1S3</x:v>
      </x:c>
      <x:c r="S59" s="9" t="n">
        <x:v>25.275000000000002</x:v>
      </x:c>
      <x:c r="T59" s="9" t="n">
        <x:v>51.497</x:v>
      </x:c>
      <x:c r="U59" s="2" t="str">
        <x:v>G018</x:v>
      </x:c>
      <x:c r="V59" s="2" t="str">
        <x:v>Authorized guardian release</x:v>
      </x:c>
      <x:c r="W59" s="2" t="str">
        <x:v>Completed transport</x:v>
      </x:c>
      <x:c r="X59" s="2" t="str">
        <x:v>QR</x:v>
      </x:c>
      <x:c r="Y59" s="2" t="str">
        <x:v>Online</x:v>
      </x:c>
      <x:c r="Z59" s="2" t="str">
        <x:v>Synced</x:v>
      </x:c>
      <x:c r="AA59" s="2"/>
      <x:c r="AB59" s="2"/>
      <x:c r="AC59" s="10" t="n">
        <x:f>IF(OR(K59="",Q59=""),"",ROUND((Q59-K59)*1440,2))</x:f>
        <x:v>31</x:v>
      </x:c>
    </x:row>
    <x:row r="60" ht="21" customHeight="1">
      <x:c r="A60" s="2" t="str">
        <x:v>LN00059</x:v>
      </x:c>
      <x:c r="B60" s="2" t="str">
        <x:v>T20261004-3-1</x:v>
      </x:c>
      <x:c r="C60" s="7" t="n">
        <x:v>46299</x:v>
      </x:c>
      <x:c r="D60" s="2" t="str">
        <x:v>BUS001</x:v>
      </x:c>
      <x:c r="E60" s="2" t="str">
        <x:v>ST019</x:v>
      </x:c>
      <x:c r="F60" s="2" t="n">
        <x:v>1</x:v>
      </x:c>
      <x:c r="G60" s="2" t="str">
        <x:v>Senior</x:v>
      </x:c>
      <x:c r="H60" s="2" t="str">
        <x:v>Drop-off</x:v>
      </x:c>
      <x:c r="I60" s="2" t="str">
        <x:v>R1S1</x:v>
      </x:c>
      <x:c r="J60" s="2" t="str">
        <x:v>EV000115</x:v>
      </x:c>
      <x:c r="K60" s="8" t="n">
        <x:v>46299.57319444445</x:v>
      </x:c>
      <x:c r="L60" s="2" t="str">
        <x:v>SCH01</x:v>
      </x:c>
      <x:c r="M60" s="9" t="n">
        <x:v>25.285</x:v>
      </x:c>
      <x:c r="N60" s="9" t="n">
        <x:v>51.51</x:v>
      </x:c>
      <x:c r="O60" s="2" t="str">
        <x:v>Valid</x:v>
      </x:c>
      <x:c r="P60" s="2" t="str">
        <x:v>EV000116</x:v>
      </x:c>
      <x:c r="Q60" s="8" t="n">
        <x:v>46299.58638888889</x:v>
      </x:c>
      <x:c r="R60" s="2" t="str">
        <x:v>R1S1</x:v>
      </x:c>
      <x:c r="S60" s="9" t="n">
        <x:v>25.271</x:v>
      </x:c>
      <x:c r="T60" s="9" t="n">
        <x:v>51.491</x:v>
      </x:c>
      <x:c r="U60" s="2" t="str">
        <x:v>G019</x:v>
      </x:c>
      <x:c r="V60" s="2" t="str">
        <x:v>Authorized guardian release</x:v>
      </x:c>
      <x:c r="W60" s="2" t="str">
        <x:v>Completed transport</x:v>
      </x:c>
      <x:c r="X60" s="2" t="str">
        <x:v>QR</x:v>
      </x:c>
      <x:c r="Y60" s="2" t="str">
        <x:v>Online</x:v>
      </x:c>
      <x:c r="Z60" s="2" t="str">
        <x:v>Synced</x:v>
      </x:c>
      <x:c r="AA60" s="2"/>
      <x:c r="AB60" s="2"/>
      <x:c r="AC60" s="10" t="n">
        <x:f>IF(OR(K60="",Q60=""),"",ROUND((Q60-K60)*1440,2))</x:f>
        <x:v>19</x:v>
      </x:c>
    </x:row>
    <x:row r="61" ht="21" customHeight="1">
      <x:c r="A61" s="2" t="str">
        <x:v>LN00060</x:v>
      </x:c>
      <x:c r="B61" s="2" t="str">
        <x:v>T20261004-3-1</x:v>
      </x:c>
      <x:c r="C61" s="7" t="n">
        <x:v>46299</x:v>
      </x:c>
      <x:c r="D61" s="2" t="str">
        <x:v>BUS001</x:v>
      </x:c>
      <x:c r="E61" s="2" t="str">
        <x:v>ST020</x:v>
      </x:c>
      <x:c r="F61" s="2" t="n">
        <x:v>1</x:v>
      </x:c>
      <x:c r="G61" s="2" t="str">
        <x:v>Senior</x:v>
      </x:c>
      <x:c r="H61" s="2" t="str">
        <x:v>Drop-off</x:v>
      </x:c>
      <x:c r="I61" s="2" t="str">
        <x:v>R1S2</x:v>
      </x:c>
      <x:c r="J61" s="2" t="str">
        <x:v>EV000117</x:v>
      </x:c>
      <x:c r="K61" s="8" t="n">
        <x:v>46299.57322916667</x:v>
      </x:c>
      <x:c r="L61" s="2" t="str">
        <x:v>SCH01</x:v>
      </x:c>
      <x:c r="M61" s="9" t="n">
        <x:v>25.285</x:v>
      </x:c>
      <x:c r="N61" s="9" t="n">
        <x:v>51.51</x:v>
      </x:c>
      <x:c r="O61" s="2" t="str">
        <x:v>Valid</x:v>
      </x:c>
      <x:c r="P61" s="2" t="str">
        <x:v>EV000118</x:v>
      </x:c>
      <x:c r="Q61" s="8" t="n">
        <x:v>46299.59059027778</x:v>
      </x:c>
      <x:c r="R61" s="2" t="str">
        <x:v>R1S2</x:v>
      </x:c>
      <x:c r="S61" s="9" t="n">
        <x:v>25.273000000000003</x:v>
      </x:c>
      <x:c r="T61" s="9" t="n">
        <x:v>51.494</x:v>
      </x:c>
      <x:c r="U61" s="2" t="str">
        <x:v>G020</x:v>
      </x:c>
      <x:c r="V61" s="2" t="str">
        <x:v>Authorized guardian release</x:v>
      </x:c>
      <x:c r="W61" s="2" t="str">
        <x:v>Completed transport</x:v>
      </x:c>
      <x:c r="X61" s="2" t="str">
        <x:v>QR</x:v>
      </x:c>
      <x:c r="Y61" s="2" t="str">
        <x:v>Online</x:v>
      </x:c>
      <x:c r="Z61" s="2" t="str">
        <x:v>Synced</x:v>
      </x:c>
      <x:c r="AA61" s="2"/>
      <x:c r="AB61" s="2"/>
      <x:c r="AC61" s="10" t="n">
        <x:f>IF(OR(K61="",Q61=""),"",ROUND((Q61-K61)*1440,2))</x:f>
        <x:v>25</x:v>
      </x:c>
    </x:row>
    <x:row r="62" ht="21" customHeight="1">
      <x:c r="A62" s="2" t="str">
        <x:v>LN00061</x:v>
      </x:c>
      <x:c r="B62" s="2" t="str">
        <x:v>T20261004-4-1</x:v>
      </x:c>
      <x:c r="C62" s="7" t="n">
        <x:v>46299</x:v>
      </x:c>
      <x:c r="D62" s="2" t="str">
        <x:v>BUS001</x:v>
      </x:c>
      <x:c r="E62" s="2" t="str">
        <x:v>ST021</x:v>
      </x:c>
      <x:c r="F62" s="2" t="n">
        <x:v>2</x:v>
      </x:c>
      <x:c r="G62" s="2" t="str">
        <x:v>Junior</x:v>
      </x:c>
      <x:c r="H62" s="2" t="str">
        <x:v>Drop-off</x:v>
      </x:c>
      <x:c r="I62" s="2" t="str">
        <x:v>R1S3</x:v>
      </x:c>
      <x:c r="J62" s="2" t="str">
        <x:v>EV000119</x:v>
      </x:c>
      <x:c r="K62" s="8" t="n">
        <x:v>46299.60416666667</x:v>
      </x:c>
      <x:c r="L62" s="2" t="str">
        <x:v>SCH01</x:v>
      </x:c>
      <x:c r="M62" s="9" t="n">
        <x:v>25.285</x:v>
      </x:c>
      <x:c r="N62" s="9" t="n">
        <x:v>51.51</x:v>
      </x:c>
      <x:c r="O62" s="2" t="str">
        <x:v>Valid</x:v>
      </x:c>
      <x:c r="P62" s="2" t="str">
        <x:v>EV000120</x:v>
      </x:c>
      <x:c r="Q62" s="8" t="n">
        <x:v>46299.62708333333</x:v>
      </x:c>
      <x:c r="R62" s="2" t="str">
        <x:v>R1S3</x:v>
      </x:c>
      <x:c r="S62" s="9" t="n">
        <x:v>25.275000000000002</x:v>
      </x:c>
      <x:c r="T62" s="9" t="n">
        <x:v>51.497</x:v>
      </x:c>
      <x:c r="U62" s="2" t="str">
        <x:v>G021</x:v>
      </x:c>
      <x:c r="V62" s="2" t="str">
        <x:v>Authorized guardian release</x:v>
      </x:c>
      <x:c r="W62" s="2" t="str">
        <x:v>Completed transport</x:v>
      </x:c>
      <x:c r="X62" s="2" t="str">
        <x:v>QR</x:v>
      </x:c>
      <x:c r="Y62" s="2" t="str">
        <x:v>Online</x:v>
      </x:c>
      <x:c r="Z62" s="2" t="str">
        <x:v>Synced</x:v>
      </x:c>
      <x:c r="AA62" s="2"/>
      <x:c r="AB62" s="2"/>
      <x:c r="AC62" s="10" t="n">
        <x:f>IF(OR(K62="",Q62=""),"",ROUND((Q62-K62)*1440,2))</x:f>
        <x:v>33</x:v>
      </x:c>
    </x:row>
    <x:row r="63" ht="21" customHeight="1">
      <x:c r="A63" s="2" t="str">
        <x:v>LN00062</x:v>
      </x:c>
      <x:c r="B63" s="2" t="str">
        <x:v>T20261004-4-1</x:v>
      </x:c>
      <x:c r="C63" s="7" t="n">
        <x:v>46299</x:v>
      </x:c>
      <x:c r="D63" s="2" t="str">
        <x:v>BUS001</x:v>
      </x:c>
      <x:c r="E63" s="2" t="str">
        <x:v>ST022</x:v>
      </x:c>
      <x:c r="F63" s="2" t="n">
        <x:v>2</x:v>
      </x:c>
      <x:c r="G63" s="2" t="str">
        <x:v>Junior</x:v>
      </x:c>
      <x:c r="H63" s="2" t="str">
        <x:v>Drop-off</x:v>
      </x:c>
      <x:c r="I63" s="2" t="str">
        <x:v>R1S1</x:v>
      </x:c>
      <x:c r="J63" s="2" t="str">
        <x:v>EV000121</x:v>
      </x:c>
      <x:c r="K63" s="8" t="n">
        <x:v>46299.604201388895</x:v>
      </x:c>
      <x:c r="L63" s="2" t="str">
        <x:v>SCH01</x:v>
      </x:c>
      <x:c r="M63" s="9" t="n">
        <x:v>25.285</x:v>
      </x:c>
      <x:c r="N63" s="9" t="n">
        <x:v>51.51</x:v>
      </x:c>
      <x:c r="O63" s="2" t="str">
        <x:v>Valid</x:v>
      </x:c>
      <x:c r="P63" s="2" t="str">
        <x:v>EV000122</x:v>
      </x:c>
      <x:c r="Q63" s="8" t="n">
        <x:v>46299.618784722225</x:v>
      </x:c>
      <x:c r="R63" s="2" t="str">
        <x:v>R1S1</x:v>
      </x:c>
      <x:c r="S63" s="9" t="n">
        <x:v>25.271</x:v>
      </x:c>
      <x:c r="T63" s="9" t="n">
        <x:v>51.491</x:v>
      </x:c>
      <x:c r="U63" s="2" t="str">
        <x:v>G022</x:v>
      </x:c>
      <x:c r="V63" s="2" t="str">
        <x:v>Authorized guardian release</x:v>
      </x:c>
      <x:c r="W63" s="2" t="str">
        <x:v>Completed transport</x:v>
      </x:c>
      <x:c r="X63" s="2" t="str">
        <x:v>QR</x:v>
      </x:c>
      <x:c r="Y63" s="2" t="str">
        <x:v>Online</x:v>
      </x:c>
      <x:c r="Z63" s="2" t="str">
        <x:v>Synced</x:v>
      </x:c>
      <x:c r="AA63" s="2"/>
      <x:c r="AB63" s="2"/>
      <x:c r="AC63" s="10" t="n">
        <x:f>IF(OR(K63="",Q63=""),"",ROUND((Q63-K63)*1440,2))</x:f>
        <x:v>21</x:v>
      </x:c>
    </x:row>
    <x:row r="64" ht="21" customHeight="1">
      <x:c r="A64" s="2" t="str">
        <x:v>LN00063</x:v>
      </x:c>
      <x:c r="B64" s="2" t="str">
        <x:v>T20261004-4-1</x:v>
      </x:c>
      <x:c r="C64" s="7" t="n">
        <x:v>46299</x:v>
      </x:c>
      <x:c r="D64" s="2" t="str">
        <x:v>BUS001</x:v>
      </x:c>
      <x:c r="E64" s="2" t="str">
        <x:v>ST023</x:v>
      </x:c>
      <x:c r="F64" s="2" t="n">
        <x:v>2</x:v>
      </x:c>
      <x:c r="G64" s="2" t="str">
        <x:v>Junior</x:v>
      </x:c>
      <x:c r="H64" s="2" t="str">
        <x:v>Drop-off</x:v>
      </x:c>
      <x:c r="I64" s="2" t="str">
        <x:v>R1S2</x:v>
      </x:c>
      <x:c r="J64" s="2" t="str">
        <x:v>EV000123</x:v>
      </x:c>
      <x:c r="K64" s="8" t="n">
        <x:v>46299.60423611112</x:v>
      </x:c>
      <x:c r="L64" s="2" t="str">
        <x:v>SCH01</x:v>
      </x:c>
      <x:c r="M64" s="9" t="n">
        <x:v>25.285</x:v>
      </x:c>
      <x:c r="N64" s="9" t="n">
        <x:v>51.51</x:v>
      </x:c>
      <x:c r="O64" s="2" t="str">
        <x:v>Valid</x:v>
      </x:c>
      <x:c r="P64" s="2" t="str">
        <x:v>EV000124</x:v>
      </x:c>
      <x:c r="Q64" s="8" t="n">
        <x:v>46299.62298611111</x:v>
      </x:c>
      <x:c r="R64" s="2" t="str">
        <x:v>R1S2</x:v>
      </x:c>
      <x:c r="S64" s="9" t="n">
        <x:v>25.273000000000003</x:v>
      </x:c>
      <x:c r="T64" s="9" t="n">
        <x:v>51.494</x:v>
      </x:c>
      <x:c r="U64" s="2" t="str">
        <x:v>G023</x:v>
      </x:c>
      <x:c r="V64" s="2" t="str">
        <x:v>Authorized guardian release</x:v>
      </x:c>
      <x:c r="W64" s="2" t="str">
        <x:v>Completed transport</x:v>
      </x:c>
      <x:c r="X64" s="2" t="str">
        <x:v>QR</x:v>
      </x:c>
      <x:c r="Y64" s="2" t="str">
        <x:v>Online</x:v>
      </x:c>
      <x:c r="Z64" s="2" t="str">
        <x:v>Synced</x:v>
      </x:c>
      <x:c r="AA64" s="2"/>
      <x:c r="AB64" s="2"/>
      <x:c r="AC64" s="10" t="n">
        <x:f>IF(OR(K64="",Q64=""),"",ROUND((Q64-K64)*1440,2))</x:f>
        <x:v>27</x:v>
      </x:c>
    </x:row>
    <x:row r="65" ht="21" customHeight="1">
      <x:c r="A65" s="2" t="str">
        <x:v>LN00064</x:v>
      </x:c>
      <x:c r="B65" s="2" t="str">
        <x:v>T20261004-4-1</x:v>
      </x:c>
      <x:c r="C65" s="7" t="n">
        <x:v>46299</x:v>
      </x:c>
      <x:c r="D65" s="2" t="str">
        <x:v>BUS001</x:v>
      </x:c>
      <x:c r="E65" s="2" t="str">
        <x:v>ST024</x:v>
      </x:c>
      <x:c r="F65" s="2" t="n">
        <x:v>2</x:v>
      </x:c>
      <x:c r="G65" s="2" t="str">
        <x:v>Junior</x:v>
      </x:c>
      <x:c r="H65" s="2" t="str">
        <x:v>Drop-off</x:v>
      </x:c>
      <x:c r="I65" s="2" t="str">
        <x:v>R1S3</x:v>
      </x:c>
      <x:c r="J65" s="2" t="str">
        <x:v>EV000125</x:v>
      </x:c>
      <x:c r="K65" s="8" t="n">
        <x:v>46299.60427083334</x:v>
      </x:c>
      <x:c r="L65" s="2" t="str">
        <x:v>SCH01</x:v>
      </x:c>
      <x:c r="M65" s="9" t="n">
        <x:v>25.285</x:v>
      </x:c>
      <x:c r="N65" s="9" t="n">
        <x:v>51.51</x:v>
      </x:c>
      <x:c r="O65" s="2" t="str">
        <x:v>Valid</x:v>
      </x:c>
      <x:c r="P65" s="2" t="str">
        <x:v>EV000126</x:v>
      </x:c>
      <x:c r="Q65" s="8" t="n">
        <x:v>46299.6271875</x:v>
      </x:c>
      <x:c r="R65" s="2" t="str">
        <x:v>R1S3</x:v>
      </x:c>
      <x:c r="S65" s="9" t="n">
        <x:v>25.275000000000002</x:v>
      </x:c>
      <x:c r="T65" s="9" t="n">
        <x:v>51.497</x:v>
      </x:c>
      <x:c r="U65" s="2" t="str">
        <x:v>G024</x:v>
      </x:c>
      <x:c r="V65" s="2" t="str">
        <x:v>Authorized guardian release</x:v>
      </x:c>
      <x:c r="W65" s="2" t="str">
        <x:v>Completed transport</x:v>
      </x:c>
      <x:c r="X65" s="2" t="str">
        <x:v>QR</x:v>
      </x:c>
      <x:c r="Y65" s="2" t="str">
        <x:v>Online</x:v>
      </x:c>
      <x:c r="Z65" s="2" t="str">
        <x:v>Synced</x:v>
      </x:c>
      <x:c r="AA65" s="2"/>
      <x:c r="AB65" s="2"/>
      <x:c r="AC65" s="10" t="n">
        <x:f>IF(OR(K65="",Q65=""),"",ROUND((Q65-K65)*1440,2))</x:f>
        <x:v>33</x:v>
      </x:c>
    </x:row>
    <x:row r="66" ht="21" customHeight="1">
      <x:c r="A66" s="2" t="str">
        <x:v>LN00065</x:v>
      </x:c>
      <x:c r="B66" s="2" t="str">
        <x:v>T20261004-4-1</x:v>
      </x:c>
      <x:c r="C66" s="7" t="n">
        <x:v>46299</x:v>
      </x:c>
      <x:c r="D66" s="2" t="str">
        <x:v>BUS001</x:v>
      </x:c>
      <x:c r="E66" s="2" t="str">
        <x:v>ST025</x:v>
      </x:c>
      <x:c r="F66" s="2" t="n">
        <x:v>2</x:v>
      </x:c>
      <x:c r="G66" s="2" t="str">
        <x:v>Junior</x:v>
      </x:c>
      <x:c r="H66" s="2" t="str">
        <x:v>Drop-off</x:v>
      </x:c>
      <x:c r="I66" s="2" t="str">
        <x:v>R1S1</x:v>
      </x:c>
      <x:c r="J66" s="2" t="str">
        <x:v>EV000127</x:v>
      </x:c>
      <x:c r="K66" s="8" t="n">
        <x:v>46299.604305555564</x:v>
      </x:c>
      <x:c r="L66" s="2" t="str">
        <x:v>SCH01</x:v>
      </x:c>
      <x:c r="M66" s="9" t="n">
        <x:v>25.285</x:v>
      </x:c>
      <x:c r="N66" s="9" t="n">
        <x:v>51.51</x:v>
      </x:c>
      <x:c r="O66" s="2" t="str">
        <x:v>Valid</x:v>
      </x:c>
      <x:c r="P66" s="2" t="str">
        <x:v>EV000128</x:v>
      </x:c>
      <x:c r="Q66" s="8" t="n">
        <x:v>46299.618888888894</x:v>
      </x:c>
      <x:c r="R66" s="2" t="str">
        <x:v>R1S1</x:v>
      </x:c>
      <x:c r="S66" s="9" t="n">
        <x:v>25.271</x:v>
      </x:c>
      <x:c r="T66" s="9" t="n">
        <x:v>51.491</x:v>
      </x:c>
      <x:c r="U66" s="2" t="str">
        <x:v>G025</x:v>
      </x:c>
      <x:c r="V66" s="2" t="str">
        <x:v>Authorized guardian release</x:v>
      </x:c>
      <x:c r="W66" s="2" t="str">
        <x:v>Completed transport</x:v>
      </x:c>
      <x:c r="X66" s="2" t="str">
        <x:v>QR</x:v>
      </x:c>
      <x:c r="Y66" s="2" t="str">
        <x:v>Online</x:v>
      </x:c>
      <x:c r="Z66" s="2" t="str">
        <x:v>Synced</x:v>
      </x:c>
      <x:c r="AA66" s="2"/>
      <x:c r="AB66" s="2"/>
      <x:c r="AC66" s="10" t="n">
        <x:f>IF(OR(K66="",Q66=""),"",ROUND((Q66-K66)*1440,2))</x:f>
        <x:v>21</x:v>
      </x:c>
    </x:row>
    <x:row r="67" ht="21" customHeight="1">
      <x:c r="A67" s="2" t="str">
        <x:v>LN00066</x:v>
      </x:c>
      <x:c r="B67" s="2" t="str">
        <x:v>T20261004-4-1</x:v>
      </x:c>
      <x:c r="C67" s="7" t="n">
        <x:v>46299</x:v>
      </x:c>
      <x:c r="D67" s="2" t="str">
        <x:v>BUS001</x:v>
      </x:c>
      <x:c r="E67" s="2" t="str">
        <x:v>ST026</x:v>
      </x:c>
      <x:c r="F67" s="2" t="n">
        <x:v>2</x:v>
      </x:c>
      <x:c r="G67" s="2" t="str">
        <x:v>Junior</x:v>
      </x:c>
      <x:c r="H67" s="2" t="str">
        <x:v>Drop-off</x:v>
      </x:c>
      <x:c r="I67" s="2" t="str">
        <x:v>R1S2</x:v>
      </x:c>
      <x:c r="J67" s="2" t="str">
        <x:v>EV000129</x:v>
      </x:c>
      <x:c r="K67" s="8" t="n">
        <x:v>46299.60434027778</x:v>
      </x:c>
      <x:c r="L67" s="2" t="str">
        <x:v>SCH01</x:v>
      </x:c>
      <x:c r="M67" s="9" t="n">
        <x:v>25.285</x:v>
      </x:c>
      <x:c r="N67" s="9" t="n">
        <x:v>51.51</x:v>
      </x:c>
      <x:c r="O67" s="2" t="str">
        <x:v>Valid</x:v>
      </x:c>
      <x:c r="P67" s="2" t="str">
        <x:v>EV000130</x:v>
      </x:c>
      <x:c r="Q67" s="8" t="n">
        <x:v>46299.623090277775</x:v>
      </x:c>
      <x:c r="R67" s="2" t="str">
        <x:v>R1S2</x:v>
      </x:c>
      <x:c r="S67" s="9" t="n">
        <x:v>25.273000000000003</x:v>
      </x:c>
      <x:c r="T67" s="9" t="n">
        <x:v>51.494</x:v>
      </x:c>
      <x:c r="U67" s="2" t="str">
        <x:v>G026</x:v>
      </x:c>
      <x:c r="V67" s="2" t="str">
        <x:v>Authorized guardian release</x:v>
      </x:c>
      <x:c r="W67" s="2" t="str">
        <x:v>Completed transport</x:v>
      </x:c>
      <x:c r="X67" s="2" t="str">
        <x:v>QR</x:v>
      </x:c>
      <x:c r="Y67" s="2" t="str">
        <x:v>Online</x:v>
      </x:c>
      <x:c r="Z67" s="2" t="str">
        <x:v>Synced</x:v>
      </x:c>
      <x:c r="AA67" s="2"/>
      <x:c r="AB67" s="2"/>
      <x:c r="AC67" s="10" t="n">
        <x:f>IF(OR(K67="",Q67=""),"",ROUND((Q67-K67)*1440,2))</x:f>
        <x:v>27</x:v>
      </x:c>
    </x:row>
    <x:row r="68" ht="21" customHeight="1">
      <x:c r="A68" s="2" t="str">
        <x:v>LN00067</x:v>
      </x:c>
      <x:c r="B68" s="2" t="str">
        <x:v>T20261004-4-1</x:v>
      </x:c>
      <x:c r="C68" s="7" t="n">
        <x:v>46299</x:v>
      </x:c>
      <x:c r="D68" s="2" t="str">
        <x:v>BUS001</x:v>
      </x:c>
      <x:c r="E68" s="2" t="str">
        <x:v>ST027</x:v>
      </x:c>
      <x:c r="F68" s="2" t="n">
        <x:v>2</x:v>
      </x:c>
      <x:c r="G68" s="2" t="str">
        <x:v>Junior</x:v>
      </x:c>
      <x:c r="H68" s="2" t="str">
        <x:v>Drop-off</x:v>
      </x:c>
      <x:c r="I68" s="2" t="str">
        <x:v>R1S3</x:v>
      </x:c>
      <x:c r="J68" s="2" t="str">
        <x:v>EV000131</x:v>
      </x:c>
      <x:c r="K68" s="8" t="n">
        <x:v>46299.604375</x:v>
      </x:c>
      <x:c r="L68" s="2" t="str">
        <x:v>SCH01</x:v>
      </x:c>
      <x:c r="M68" s="9" t="n">
        <x:v>25.285</x:v>
      </x:c>
      <x:c r="N68" s="9" t="n">
        <x:v>51.51</x:v>
      </x:c>
      <x:c r="O68" s="2" t="str">
        <x:v>Valid</x:v>
      </x:c>
      <x:c r="P68" s="2" t="str">
        <x:v>EV000132</x:v>
      </x:c>
      <x:c r="Q68" s="8" t="n">
        <x:v>46299.627291666664</x:v>
      </x:c>
      <x:c r="R68" s="2" t="str">
        <x:v>R1S3</x:v>
      </x:c>
      <x:c r="S68" s="9" t="n">
        <x:v>25.275000000000002</x:v>
      </x:c>
      <x:c r="T68" s="9" t="n">
        <x:v>51.497</x:v>
      </x:c>
      <x:c r="U68" s="2" t="str">
        <x:v>G027</x:v>
      </x:c>
      <x:c r="V68" s="2" t="str">
        <x:v>Authorized guardian release</x:v>
      </x:c>
      <x:c r="W68" s="2" t="str">
        <x:v>Completed transport</x:v>
      </x:c>
      <x:c r="X68" s="2" t="str">
        <x:v>QR</x:v>
      </x:c>
      <x:c r="Y68" s="2" t="str">
        <x:v>Online</x:v>
      </x:c>
      <x:c r="Z68" s="2" t="str">
        <x:v>Synced</x:v>
      </x:c>
      <x:c r="AA68" s="2"/>
      <x:c r="AB68" s="2"/>
      <x:c r="AC68" s="10" t="n">
        <x:f>IF(OR(K68="",Q68=""),"",ROUND((Q68-K68)*1440,2))</x:f>
        <x:v>33</x:v>
      </x:c>
    </x:row>
    <x:row r="69" ht="21" customHeight="1">
      <x:c r="A69" s="2" t="str">
        <x:v>LN00068</x:v>
      </x:c>
      <x:c r="B69" s="2" t="str">
        <x:v>T20261004-4-1</x:v>
      </x:c>
      <x:c r="C69" s="7" t="n">
        <x:v>46299</x:v>
      </x:c>
      <x:c r="D69" s="2" t="str">
        <x:v>BUS001</x:v>
      </x:c>
      <x:c r="E69" s="2" t="str">
        <x:v>ST028</x:v>
      </x:c>
      <x:c r="F69" s="2" t="n">
        <x:v>2</x:v>
      </x:c>
      <x:c r="G69" s="2" t="str">
        <x:v>Junior</x:v>
      </x:c>
      <x:c r="H69" s="2" t="str">
        <x:v>Drop-off</x:v>
      </x:c>
      <x:c r="I69" s="2" t="str">
        <x:v>R1S1</x:v>
      </x:c>
      <x:c r="J69" s="2" t="str">
        <x:v>EV000133</x:v>
      </x:c>
      <x:c r="K69" s="8" t="n">
        <x:v>46299.604409722226</x:v>
      </x:c>
      <x:c r="L69" s="2" t="str">
        <x:v>SCH01</x:v>
      </x:c>
      <x:c r="M69" s="9" t="n">
        <x:v>25.285</x:v>
      </x:c>
      <x:c r="N69" s="9" t="n">
        <x:v>51.51</x:v>
      </x:c>
      <x:c r="O69" s="2" t="str">
        <x:v>Valid</x:v>
      </x:c>
      <x:c r="P69" s="2" t="str">
        <x:v>EV000134</x:v>
      </x:c>
      <x:c r="Q69" s="8" t="n">
        <x:v>46299.618993055556</x:v>
      </x:c>
      <x:c r="R69" s="2" t="str">
        <x:v>R1S1</x:v>
      </x:c>
      <x:c r="S69" s="9" t="n">
        <x:v>25.271</x:v>
      </x:c>
      <x:c r="T69" s="9" t="n">
        <x:v>51.491</x:v>
      </x:c>
      <x:c r="U69" s="2" t="str">
        <x:v>G028</x:v>
      </x:c>
      <x:c r="V69" s="2" t="str">
        <x:v>Authorized guardian release</x:v>
      </x:c>
      <x:c r="W69" s="2" t="str">
        <x:v>Completed transport</x:v>
      </x:c>
      <x:c r="X69" s="2" t="str">
        <x:v>QR</x:v>
      </x:c>
      <x:c r="Y69" s="2" t="str">
        <x:v>Online</x:v>
      </x:c>
      <x:c r="Z69" s="2" t="str">
        <x:v>Synced</x:v>
      </x:c>
      <x:c r="AA69" s="2"/>
      <x:c r="AB69" s="2"/>
      <x:c r="AC69" s="10" t="n">
        <x:f>IF(OR(K69="",Q69=""),"",ROUND((Q69-K69)*1440,2))</x:f>
        <x:v>21</x:v>
      </x:c>
    </x:row>
    <x:row r="70" ht="21" customHeight="1">
      <x:c r="A70" s="2" t="str">
        <x:v>LN00069</x:v>
      </x:c>
      <x:c r="B70" s="2" t="str">
        <x:v>T20261004-4-1</x:v>
      </x:c>
      <x:c r="C70" s="7" t="n">
        <x:v>46299</x:v>
      </x:c>
      <x:c r="D70" s="2" t="str">
        <x:v>BUS001</x:v>
      </x:c>
      <x:c r="E70" s="2" t="str">
        <x:v>ST029</x:v>
      </x:c>
      <x:c r="F70" s="2" t="n">
        <x:v>2</x:v>
      </x:c>
      <x:c r="G70" s="2" t="str">
        <x:v>Junior</x:v>
      </x:c>
      <x:c r="H70" s="2" t="str">
        <x:v>Drop-off</x:v>
      </x:c>
      <x:c r="I70" s="2" t="str">
        <x:v>R1S2</x:v>
      </x:c>
      <x:c r="J70" s="2" t="str">
        <x:v>EV000135</x:v>
      </x:c>
      <x:c r="K70" s="8" t="n">
        <x:v>46299.60444444445</x:v>
      </x:c>
      <x:c r="L70" s="2" t="str">
        <x:v>SCH01</x:v>
      </x:c>
      <x:c r="M70" s="9" t="n">
        <x:v>25.285</x:v>
      </x:c>
      <x:c r="N70" s="9" t="n">
        <x:v>51.51</x:v>
      </x:c>
      <x:c r="O70" s="2" t="str">
        <x:v>Valid</x:v>
      </x:c>
      <x:c r="P70" s="2" t="str">
        <x:v>EV000136</x:v>
      </x:c>
      <x:c r="Q70" s="8" t="n">
        <x:v>46299.623194444444</x:v>
      </x:c>
      <x:c r="R70" s="2" t="str">
        <x:v>R1S2</x:v>
      </x:c>
      <x:c r="S70" s="9" t="n">
        <x:v>25.273000000000003</x:v>
      </x:c>
      <x:c r="T70" s="9" t="n">
        <x:v>51.494</x:v>
      </x:c>
      <x:c r="U70" s="2" t="str">
        <x:v>G029</x:v>
      </x:c>
      <x:c r="V70" s="2" t="str">
        <x:v>Authorized guardian release</x:v>
      </x:c>
      <x:c r="W70" s="2" t="str">
        <x:v>Completed transport</x:v>
      </x:c>
      <x:c r="X70" s="2" t="str">
        <x:v>QR</x:v>
      </x:c>
      <x:c r="Y70" s="2" t="str">
        <x:v>Online</x:v>
      </x:c>
      <x:c r="Z70" s="2" t="str">
        <x:v>Synced</x:v>
      </x:c>
      <x:c r="AA70" s="2"/>
      <x:c r="AB70" s="2"/>
      <x:c r="AC70" s="10" t="n">
        <x:f>IF(OR(K70="",Q70=""),"",ROUND((Q70-K70)*1440,2))</x:f>
        <x:v>27</x:v>
      </x:c>
    </x:row>
    <x:row r="71" ht="21" customHeight="1">
      <x:c r="A71" s="2" t="str">
        <x:v>LN00070</x:v>
      </x:c>
      <x:c r="B71" s="2" t="str">
        <x:v>T20261004-4-1</x:v>
      </x:c>
      <x:c r="C71" s="7" t="n">
        <x:v>46299</x:v>
      </x:c>
      <x:c r="D71" s="2" t="str">
        <x:v>BUS001</x:v>
      </x:c>
      <x:c r="E71" s="2" t="str">
        <x:v>ST030</x:v>
      </x:c>
      <x:c r="F71" s="2" t="n">
        <x:v>2</x:v>
      </x:c>
      <x:c r="G71" s="2" t="str">
        <x:v>Junior</x:v>
      </x:c>
      <x:c r="H71" s="2" t="str">
        <x:v>Drop-off</x:v>
      </x:c>
      <x:c r="I71" s="2" t="str">
        <x:v>R1S3</x:v>
      </x:c>
      <x:c r="J71" s="2" t="str">
        <x:v>EV000137</x:v>
      </x:c>
      <x:c r="K71" s="8" t="n">
        <x:v>46299.60447916667</x:v>
      </x:c>
      <x:c r="L71" s="2" t="str">
        <x:v>SCH01</x:v>
      </x:c>
      <x:c r="M71" s="9" t="n">
        <x:v>25.285</x:v>
      </x:c>
      <x:c r="N71" s="9" t="n">
        <x:v>51.51</x:v>
      </x:c>
      <x:c r="O71" s="2" t="str">
        <x:v>Valid</x:v>
      </x:c>
      <x:c r="P71" s="2" t="str">
        <x:v>EV000138</x:v>
      </x:c>
      <x:c r="Q71" s="8" t="n">
        <x:v>46299.62739583333</x:v>
      </x:c>
      <x:c r="R71" s="2" t="str">
        <x:v>R1S3</x:v>
      </x:c>
      <x:c r="S71" s="9" t="n">
        <x:v>25.275000000000002</x:v>
      </x:c>
      <x:c r="T71" s="9" t="n">
        <x:v>51.497</x:v>
      </x:c>
      <x:c r="U71" s="2" t="str">
        <x:v>G030</x:v>
      </x:c>
      <x:c r="V71" s="2" t="str">
        <x:v>Authorized guardian release</x:v>
      </x:c>
      <x:c r="W71" s="2" t="str">
        <x:v>Completed transport</x:v>
      </x:c>
      <x:c r="X71" s="2" t="str">
        <x:v>QR</x:v>
      </x:c>
      <x:c r="Y71" s="2" t="str">
        <x:v>Online</x:v>
      </x:c>
      <x:c r="Z71" s="2" t="str">
        <x:v>Synced</x:v>
      </x:c>
      <x:c r="AA71" s="2"/>
      <x:c r="AB71" s="2"/>
      <x:c r="AC71" s="10" t="n">
        <x:f>IF(OR(K71="",Q71=""),"",ROUND((Q71-K71)*1440,2))</x:f>
        <x:v>33</x:v>
      </x:c>
    </x:row>
    <x:row r="72" ht="21" customHeight="1">
      <x:c r="A72" s="2" t="str">
        <x:v>LN00071</x:v>
      </x:c>
      <x:c r="B72" s="2" t="str">
        <x:v>T20261004-5-1</x:v>
      </x:c>
      <x:c r="C72" s="7" t="n">
        <x:v>46299</x:v>
      </x:c>
      <x:c r="D72" s="2" t="str">
        <x:v>BUS001</x:v>
      </x:c>
      <x:c r="E72" s="2" t="str">
        <x:v>ST031</x:v>
      </x:c>
      <x:c r="F72" s="2" t="n">
        <x:v>2</x:v>
      </x:c>
      <x:c r="G72" s="2" t="str">
        <x:v>Senior</x:v>
      </x:c>
      <x:c r="H72" s="2" t="str">
        <x:v>Drop-off</x:v>
      </x:c>
      <x:c r="I72" s="2" t="str">
        <x:v>R1S1</x:v>
      </x:c>
      <x:c r="J72" s="2" t="str">
        <x:v>EV000139</x:v>
      </x:c>
      <x:c r="K72" s="8" t="n">
        <x:v>46299.70833333333</x:v>
      </x:c>
      <x:c r="L72" s="2" t="str">
        <x:v>SCH01</x:v>
      </x:c>
      <x:c r="M72" s="9" t="n">
        <x:v>25.285</x:v>
      </x:c>
      <x:c r="N72" s="9" t="n">
        <x:v>51.51</x:v>
      </x:c>
      <x:c r="O72" s="2" t="str">
        <x:v>Valid</x:v>
      </x:c>
      <x:c r="P72" s="2" t="str">
        <x:v>EV000140</x:v>
      </x:c>
      <x:c r="Q72" s="8" t="n">
        <x:v>46299.72361111111</x:v>
      </x:c>
      <x:c r="R72" s="2" t="str">
        <x:v>R1S1</x:v>
      </x:c>
      <x:c r="S72" s="9" t="n">
        <x:v>25.271</x:v>
      </x:c>
      <x:c r="T72" s="9" t="n">
        <x:v>51.491</x:v>
      </x:c>
      <x:c r="U72" s="2" t="str">
        <x:v>G031</x:v>
      </x:c>
      <x:c r="V72" s="2" t="str">
        <x:v>Authorized guardian release</x:v>
      </x:c>
      <x:c r="W72" s="2" t="str">
        <x:v>Completed transport</x:v>
      </x:c>
      <x:c r="X72" s="2" t="str">
        <x:v>QR</x:v>
      </x:c>
      <x:c r="Y72" s="2" t="str">
        <x:v>Online</x:v>
      </x:c>
      <x:c r="Z72" s="2" t="str">
        <x:v>Synced</x:v>
      </x:c>
      <x:c r="AA72" s="2"/>
      <x:c r="AB72" s="2"/>
      <x:c r="AC72" s="10" t="n">
        <x:f>IF(OR(K72="",Q72=""),"",ROUND((Q72-K72)*1440,2))</x:f>
        <x:v>22</x:v>
      </x:c>
    </x:row>
    <x:row r="73" ht="21" customHeight="1">
      <x:c r="A73" s="2" t="str">
        <x:v>LN00072</x:v>
      </x:c>
      <x:c r="B73" s="2" t="str">
        <x:v>T20261004-5-1</x:v>
      </x:c>
      <x:c r="C73" s="7" t="n">
        <x:v>46299</x:v>
      </x:c>
      <x:c r="D73" s="2" t="str">
        <x:v>BUS001</x:v>
      </x:c>
      <x:c r="E73" s="2" t="str">
        <x:v>ST032</x:v>
      </x:c>
      <x:c r="F73" s="2" t="n">
        <x:v>2</x:v>
      </x:c>
      <x:c r="G73" s="2" t="str">
        <x:v>Senior</x:v>
      </x:c>
      <x:c r="H73" s="2" t="str">
        <x:v>Drop-off</x:v>
      </x:c>
      <x:c r="I73" s="2" t="str">
        <x:v>R1S2</x:v>
      </x:c>
      <x:c r="J73" s="2" t="str">
        <x:v>EV000141</x:v>
      </x:c>
      <x:c r="K73" s="8" t="n">
        <x:v>46299.70836805555</x:v>
      </x:c>
      <x:c r="L73" s="2" t="str">
        <x:v>SCH01</x:v>
      </x:c>
      <x:c r="M73" s="9" t="n">
        <x:v>25.285</x:v>
      </x:c>
      <x:c r="N73" s="9" t="n">
        <x:v>51.51</x:v>
      </x:c>
      <x:c r="O73" s="2" t="str">
        <x:v>Valid</x:v>
      </x:c>
      <x:c r="P73" s="2" t="str">
        <x:v>EV000142</x:v>
      </x:c>
      <x:c r="Q73" s="8" t="n">
        <x:v>46299.72850694445</x:v>
      </x:c>
      <x:c r="R73" s="2" t="str">
        <x:v>R1S2</x:v>
      </x:c>
      <x:c r="S73" s="9" t="n">
        <x:v>25.273000000000003</x:v>
      </x:c>
      <x:c r="T73" s="9" t="n">
        <x:v>51.494</x:v>
      </x:c>
      <x:c r="U73" s="2" t="str">
        <x:v>G032</x:v>
      </x:c>
      <x:c r="V73" s="2" t="str">
        <x:v>Authorized guardian release</x:v>
      </x:c>
      <x:c r="W73" s="2" t="str">
        <x:v>Completed transport</x:v>
      </x:c>
      <x:c r="X73" s="2" t="str">
        <x:v>QR</x:v>
      </x:c>
      <x:c r="Y73" s="2" t="str">
        <x:v>Online</x:v>
      </x:c>
      <x:c r="Z73" s="2" t="str">
        <x:v>Synced</x:v>
      </x:c>
      <x:c r="AA73" s="2"/>
      <x:c r="AB73" s="2"/>
      <x:c r="AC73" s="10" t="n">
        <x:f>IF(OR(K73="",Q73=""),"",ROUND((Q73-K73)*1440,2))</x:f>
        <x:v>29</x:v>
      </x:c>
    </x:row>
    <x:row r="74" ht="21" customHeight="1">
      <x:c r="A74" s="2" t="str">
        <x:v>LN00073</x:v>
      </x:c>
      <x:c r="B74" s="2" t="str">
        <x:v>T20261004-5-1</x:v>
      </x:c>
      <x:c r="C74" s="7" t="n">
        <x:v>46299</x:v>
      </x:c>
      <x:c r="D74" s="2" t="str">
        <x:v>BUS001</x:v>
      </x:c>
      <x:c r="E74" s="2" t="str">
        <x:v>ST033</x:v>
      </x:c>
      <x:c r="F74" s="2" t="n">
        <x:v>2</x:v>
      </x:c>
      <x:c r="G74" s="2" t="str">
        <x:v>Senior</x:v>
      </x:c>
      <x:c r="H74" s="2" t="str">
        <x:v>Drop-off</x:v>
      </x:c>
      <x:c r="I74" s="2" t="str">
        <x:v>R1S3</x:v>
      </x:c>
      <x:c r="J74" s="2" t="str">
        <x:v>EV000143</x:v>
      </x:c>
      <x:c r="K74" s="8" t="n">
        <x:v>46299.708402777775</x:v>
      </x:c>
      <x:c r="L74" s="2" t="str">
        <x:v>SCH01</x:v>
      </x:c>
      <x:c r="M74" s="9" t="n">
        <x:v>25.285</x:v>
      </x:c>
      <x:c r="N74" s="9" t="n">
        <x:v>51.51</x:v>
      </x:c>
      <x:c r="O74" s="2" t="str">
        <x:v>Valid</x:v>
      </x:c>
      <x:c r="P74" s="2" t="str">
        <x:v>EV000144</x:v>
      </x:c>
      <x:c r="Q74" s="8" t="n">
        <x:v>46299.73340277778</x:v>
      </x:c>
      <x:c r="R74" s="2" t="str">
        <x:v>R1S3</x:v>
      </x:c>
      <x:c r="S74" s="9" t="n">
        <x:v>25.275000000000002</x:v>
      </x:c>
      <x:c r="T74" s="9" t="n">
        <x:v>51.497</x:v>
      </x:c>
      <x:c r="U74" s="2" t="str">
        <x:v>G033</x:v>
      </x:c>
      <x:c r="V74" s="2" t="str">
        <x:v>Authorized guardian release</x:v>
      </x:c>
      <x:c r="W74" s="2" t="str">
        <x:v>Completed transport</x:v>
      </x:c>
      <x:c r="X74" s="2" t="str">
        <x:v>QR</x:v>
      </x:c>
      <x:c r="Y74" s="2" t="str">
        <x:v>Online</x:v>
      </x:c>
      <x:c r="Z74" s="2" t="str">
        <x:v>Synced</x:v>
      </x:c>
      <x:c r="AA74" s="2"/>
      <x:c r="AB74" s="2"/>
      <x:c r="AC74" s="10" t="n">
        <x:f>IF(OR(K74="",Q74=""),"",ROUND((Q74-K74)*1440,2))</x:f>
        <x:v>36</x:v>
      </x:c>
    </x:row>
    <x:row r="75" ht="21" customHeight="1">
      <x:c r="A75" s="2" t="str">
        <x:v>LN00074</x:v>
      </x:c>
      <x:c r="B75" s="2" t="str">
        <x:v>T20261004-5-1</x:v>
      </x:c>
      <x:c r="C75" s="7" t="n">
        <x:v>46299</x:v>
      </x:c>
      <x:c r="D75" s="2" t="str">
        <x:v>BUS001</x:v>
      </x:c>
      <x:c r="E75" s="2" t="str">
        <x:v>ST034</x:v>
      </x:c>
      <x:c r="F75" s="2" t="n">
        <x:v>2</x:v>
      </x:c>
      <x:c r="G75" s="2" t="str">
        <x:v>Senior</x:v>
      </x:c>
      <x:c r="H75" s="2" t="str">
        <x:v>Drop-off</x:v>
      </x:c>
      <x:c r="I75" s="2" t="str">
        <x:v>R1S1</x:v>
      </x:c>
      <x:c r="J75" s="2" t="str">
        <x:v>EV000145</x:v>
      </x:c>
      <x:c r="K75" s="8" t="n">
        <x:v>46299.7084375</x:v>
      </x:c>
      <x:c r="L75" s="2" t="str">
        <x:v>SCH01</x:v>
      </x:c>
      <x:c r="M75" s="9" t="n">
        <x:v>25.285</x:v>
      </x:c>
      <x:c r="N75" s="9" t="n">
        <x:v>51.51</x:v>
      </x:c>
      <x:c r="O75" s="2" t="str">
        <x:v>Valid</x:v>
      </x:c>
      <x:c r="P75" s="2" t="str">
        <x:v>EV000146</x:v>
      </x:c>
      <x:c r="Q75" s="8" t="n">
        <x:v>46299.72371527778</x:v>
      </x:c>
      <x:c r="R75" s="2" t="str">
        <x:v>R1S1</x:v>
      </x:c>
      <x:c r="S75" s="9" t="n">
        <x:v>25.271</x:v>
      </x:c>
      <x:c r="T75" s="9" t="n">
        <x:v>51.491</x:v>
      </x:c>
      <x:c r="U75" s="2" t="str">
        <x:v>G034</x:v>
      </x:c>
      <x:c r="V75" s="2" t="str">
        <x:v>Authorized guardian release</x:v>
      </x:c>
      <x:c r="W75" s="2" t="str">
        <x:v>Completed transport</x:v>
      </x:c>
      <x:c r="X75" s="2" t="str">
        <x:v>QR</x:v>
      </x:c>
      <x:c r="Y75" s="2" t="str">
        <x:v>Online</x:v>
      </x:c>
      <x:c r="Z75" s="2" t="str">
        <x:v>Synced</x:v>
      </x:c>
      <x:c r="AA75" s="2"/>
      <x:c r="AB75" s="2"/>
      <x:c r="AC75" s="10" t="n">
        <x:f>IF(OR(K75="",Q75=""),"",ROUND((Q75-K75)*1440,2))</x:f>
        <x:v>22</x:v>
      </x:c>
    </x:row>
    <x:row r="76" ht="21" customHeight="1">
      <x:c r="A76" s="2" t="str">
        <x:v>LN00075</x:v>
      </x:c>
      <x:c r="B76" s="2" t="str">
        <x:v>T20261004-5-1</x:v>
      </x:c>
      <x:c r="C76" s="7" t="n">
        <x:v>46299</x:v>
      </x:c>
      <x:c r="D76" s="2" t="str">
        <x:v>BUS001</x:v>
      </x:c>
      <x:c r="E76" s="2" t="str">
        <x:v>ST035</x:v>
      </x:c>
      <x:c r="F76" s="2" t="n">
        <x:v>2</x:v>
      </x:c>
      <x:c r="G76" s="2" t="str">
        <x:v>Senior</x:v>
      </x:c>
      <x:c r="H76" s="2" t="str">
        <x:v>Drop-off</x:v>
      </x:c>
      <x:c r="I76" s="2" t="str">
        <x:v>R1S2</x:v>
      </x:c>
      <x:c r="J76" s="2" t="str">
        <x:v>EV000147</x:v>
      </x:c>
      <x:c r="K76" s="8" t="n">
        <x:v>46299.70847222222</x:v>
      </x:c>
      <x:c r="L76" s="2" t="str">
        <x:v>SCH01</x:v>
      </x:c>
      <x:c r="M76" s="9" t="n">
        <x:v>25.285</x:v>
      </x:c>
      <x:c r="N76" s="9" t="n">
        <x:v>51.51</x:v>
      </x:c>
      <x:c r="O76" s="2" t="str">
        <x:v>Valid</x:v>
      </x:c>
      <x:c r="P76" s="2" t="str">
        <x:v>EV000148</x:v>
      </x:c>
      <x:c r="Q76" s="8" t="n">
        <x:v>46299.72861111112</x:v>
      </x:c>
      <x:c r="R76" s="2" t="str">
        <x:v>R1S2</x:v>
      </x:c>
      <x:c r="S76" s="9" t="n">
        <x:v>25.273000000000003</x:v>
      </x:c>
      <x:c r="T76" s="9" t="n">
        <x:v>51.494</x:v>
      </x:c>
      <x:c r="U76" s="2" t="str">
        <x:v>G035</x:v>
      </x:c>
      <x:c r="V76" s="2" t="str">
        <x:v>Authorized guardian release</x:v>
      </x:c>
      <x:c r="W76" s="2" t="str">
        <x:v>Completed transport</x:v>
      </x:c>
      <x:c r="X76" s="2" t="str">
        <x:v>QR</x:v>
      </x:c>
      <x:c r="Y76" s="2" t="str">
        <x:v>Online</x:v>
      </x:c>
      <x:c r="Z76" s="2" t="str">
        <x:v>Synced</x:v>
      </x:c>
      <x:c r="AA76" s="2"/>
      <x:c r="AB76" s="2"/>
      <x:c r="AC76" s="10" t="n">
        <x:f>IF(OR(K76="",Q76=""),"",ROUND((Q76-K76)*1440,2))</x:f>
        <x:v>29</x:v>
      </x:c>
    </x:row>
    <x:row r="77" ht="21" customHeight="1">
      <x:c r="A77" s="2" t="str">
        <x:v>LN00076</x:v>
      </x:c>
      <x:c r="B77" s="2" t="str">
        <x:v>T20261004-5-1</x:v>
      </x:c>
      <x:c r="C77" s="7" t="n">
        <x:v>46299</x:v>
      </x:c>
      <x:c r="D77" s="2" t="str">
        <x:v>BUS001</x:v>
      </x:c>
      <x:c r="E77" s="2" t="str">
        <x:v>ST036</x:v>
      </x:c>
      <x:c r="F77" s="2" t="n">
        <x:v>2</x:v>
      </x:c>
      <x:c r="G77" s="2" t="str">
        <x:v>Senior</x:v>
      </x:c>
      <x:c r="H77" s="2" t="str">
        <x:v>Drop-off</x:v>
      </x:c>
      <x:c r="I77" s="2" t="str">
        <x:v>R1S3</x:v>
      </x:c>
      <x:c r="J77" s="2" t="str">
        <x:v>EV000149</x:v>
      </x:c>
      <x:c r="K77" s="8" t="n">
        <x:v>46299.70850694444</x:v>
      </x:c>
      <x:c r="L77" s="2" t="str">
        <x:v>SCH01</x:v>
      </x:c>
      <x:c r="M77" s="9" t="n">
        <x:v>25.285</x:v>
      </x:c>
      <x:c r="N77" s="9" t="n">
        <x:v>51.51</x:v>
      </x:c>
      <x:c r="O77" s="2" t="str">
        <x:v>Valid</x:v>
      </x:c>
      <x:c r="P77" s="2" t="str">
        <x:v>EV000150</x:v>
      </x:c>
      <x:c r="Q77" s="8" t="n">
        <x:v>46299.733506944445</x:v>
      </x:c>
      <x:c r="R77" s="2" t="str">
        <x:v>R1S3</x:v>
      </x:c>
      <x:c r="S77" s="9" t="n">
        <x:v>25.275000000000002</x:v>
      </x:c>
      <x:c r="T77" s="9" t="n">
        <x:v>51.497</x:v>
      </x:c>
      <x:c r="U77" s="2" t="str">
        <x:v>G036</x:v>
      </x:c>
      <x:c r="V77" s="2" t="str">
        <x:v>Authorized guardian release</x:v>
      </x:c>
      <x:c r="W77" s="2" t="str">
        <x:v>Completed transport</x:v>
      </x:c>
      <x:c r="X77" s="2" t="str">
        <x:v>QR</x:v>
      </x:c>
      <x:c r="Y77" s="2" t="str">
        <x:v>Online</x:v>
      </x:c>
      <x:c r="Z77" s="2" t="str">
        <x:v>Synced</x:v>
      </x:c>
      <x:c r="AA77" s="2"/>
      <x:c r="AB77" s="2"/>
      <x:c r="AC77" s="10" t="n">
        <x:f>IF(OR(K77="",Q77=""),"",ROUND((Q77-K77)*1440,2))</x:f>
        <x:v>36</x:v>
      </x:c>
    </x:row>
    <x:row r="78" ht="21" customHeight="1">
      <x:c r="A78" s="2" t="str">
        <x:v>LN00077</x:v>
      </x:c>
      <x:c r="B78" s="2" t="str">
        <x:v>T20261004-5-1</x:v>
      </x:c>
      <x:c r="C78" s="7" t="n">
        <x:v>46299</x:v>
      </x:c>
      <x:c r="D78" s="2" t="str">
        <x:v>BUS001</x:v>
      </x:c>
      <x:c r="E78" s="2" t="str">
        <x:v>ST037</x:v>
      </x:c>
      <x:c r="F78" s="2" t="n">
        <x:v>2</x:v>
      </x:c>
      <x:c r="G78" s="2" t="str">
        <x:v>Senior</x:v>
      </x:c>
      <x:c r="H78" s="2" t="str">
        <x:v>Drop-off</x:v>
      </x:c>
      <x:c r="I78" s="2" t="str">
        <x:v>R1S1</x:v>
      </x:c>
      <x:c r="J78" s="2" t="str">
        <x:v>EV000151</x:v>
      </x:c>
      <x:c r="K78" s="8" t="n">
        <x:v>46299.70854166666</x:v>
      </x:c>
      <x:c r="L78" s="2" t="str">
        <x:v>SCH01</x:v>
      </x:c>
      <x:c r="M78" s="9" t="n">
        <x:v>25.285</x:v>
      </x:c>
      <x:c r="N78" s="9" t="n">
        <x:v>51.51</x:v>
      </x:c>
      <x:c r="O78" s="2" t="str">
        <x:v>Valid</x:v>
      </x:c>
      <x:c r="P78" s="2" t="str">
        <x:v>EV000152</x:v>
      </x:c>
      <x:c r="Q78" s="8" t="n">
        <x:v>46299.72381944444</x:v>
      </x:c>
      <x:c r="R78" s="2" t="str">
        <x:v>R1S1</x:v>
      </x:c>
      <x:c r="S78" s="9" t="n">
        <x:v>25.271</x:v>
      </x:c>
      <x:c r="T78" s="9" t="n">
        <x:v>51.491</x:v>
      </x:c>
      <x:c r="U78" s="2" t="str">
        <x:v>G037</x:v>
      </x:c>
      <x:c r="V78" s="2" t="str">
        <x:v>Authorized guardian release</x:v>
      </x:c>
      <x:c r="W78" s="2" t="str">
        <x:v>Completed transport</x:v>
      </x:c>
      <x:c r="X78" s="2" t="str">
        <x:v>QR</x:v>
      </x:c>
      <x:c r="Y78" s="2" t="str">
        <x:v>Online</x:v>
      </x:c>
      <x:c r="Z78" s="2" t="str">
        <x:v>Synced</x:v>
      </x:c>
      <x:c r="AA78" s="2"/>
      <x:c r="AB78" s="2"/>
      <x:c r="AC78" s="10" t="n">
        <x:f>IF(OR(K78="",Q78=""),"",ROUND((Q78-K78)*1440,2))</x:f>
        <x:v>22</x:v>
      </x:c>
    </x:row>
    <x:row r="79" ht="21" customHeight="1">
      <x:c r="A79" s="2" t="str">
        <x:v>LN00078</x:v>
      </x:c>
      <x:c r="B79" s="2" t="str">
        <x:v>T20261004-5-1</x:v>
      </x:c>
      <x:c r="C79" s="7" t="n">
        <x:v>46299</x:v>
      </x:c>
      <x:c r="D79" s="2" t="str">
        <x:v>BUS001</x:v>
      </x:c>
      <x:c r="E79" s="2" t="str">
        <x:v>ST038</x:v>
      </x:c>
      <x:c r="F79" s="2" t="n">
        <x:v>2</x:v>
      </x:c>
      <x:c r="G79" s="2" t="str">
        <x:v>Senior</x:v>
      </x:c>
      <x:c r="H79" s="2" t="str">
        <x:v>Drop-off</x:v>
      </x:c>
      <x:c r="I79" s="2" t="str">
        <x:v>R1S2</x:v>
      </x:c>
      <x:c r="J79" s="2" t="str">
        <x:v>EV000153</x:v>
      </x:c>
      <x:c r="K79" s="8" t="n">
        <x:v>46299.70857638888</x:v>
      </x:c>
      <x:c r="L79" s="2" t="str">
        <x:v>SCH01</x:v>
      </x:c>
      <x:c r="M79" s="9" t="n">
        <x:v>25.285</x:v>
      </x:c>
      <x:c r="N79" s="9" t="n">
        <x:v>51.51</x:v>
      </x:c>
      <x:c r="O79" s="2" t="str">
        <x:v>Valid</x:v>
      </x:c>
      <x:c r="P79" s="2" t="str">
        <x:v>EV000154</x:v>
      </x:c>
      <x:c r="Q79" s="8" t="n">
        <x:v>46299.72871527778</x:v>
      </x:c>
      <x:c r="R79" s="2" t="str">
        <x:v>R1S2</x:v>
      </x:c>
      <x:c r="S79" s="9" t="n">
        <x:v>25.273000000000003</x:v>
      </x:c>
      <x:c r="T79" s="9" t="n">
        <x:v>51.494</x:v>
      </x:c>
      <x:c r="U79" s="2" t="str">
        <x:v>G038</x:v>
      </x:c>
      <x:c r="V79" s="2" t="str">
        <x:v>Authorized guardian release</x:v>
      </x:c>
      <x:c r="W79" s="2" t="str">
        <x:v>Completed transport</x:v>
      </x:c>
      <x:c r="X79" s="2" t="str">
        <x:v>QR</x:v>
      </x:c>
      <x:c r="Y79" s="2" t="str">
        <x:v>Online</x:v>
      </x:c>
      <x:c r="Z79" s="2" t="str">
        <x:v>Synced</x:v>
      </x:c>
      <x:c r="AA79" s="2"/>
      <x:c r="AB79" s="2"/>
      <x:c r="AC79" s="10" t="n">
        <x:f>IF(OR(K79="",Q79=""),"",ROUND((Q79-K79)*1440,2))</x:f>
        <x:v>29</x:v>
      </x:c>
    </x:row>
    <x:row r="80" ht="21" customHeight="1">
      <x:c r="A80" s="2" t="str">
        <x:v>LN00079</x:v>
      </x:c>
      <x:c r="B80" s="2" t="str">
        <x:v>T20261004-5-1</x:v>
      </x:c>
      <x:c r="C80" s="7" t="n">
        <x:v>46299</x:v>
      </x:c>
      <x:c r="D80" s="2" t="str">
        <x:v>BUS001</x:v>
      </x:c>
      <x:c r="E80" s="2" t="str">
        <x:v>ST039</x:v>
      </x:c>
      <x:c r="F80" s="2" t="n">
        <x:v>2</x:v>
      </x:c>
      <x:c r="G80" s="2" t="str">
        <x:v>Senior</x:v>
      </x:c>
      <x:c r="H80" s="2" t="str">
        <x:v>Drop-off</x:v>
      </x:c>
      <x:c r="I80" s="2" t="str">
        <x:v>R1S3</x:v>
      </x:c>
      <x:c r="J80" s="2" t="str">
        <x:v>EV000155</x:v>
      </x:c>
      <x:c r="K80" s="8" t="n">
        <x:v>46299.708611111106</x:v>
      </x:c>
      <x:c r="L80" s="2" t="str">
        <x:v>SCH01</x:v>
      </x:c>
      <x:c r="M80" s="9" t="n">
        <x:v>25.285</x:v>
      </x:c>
      <x:c r="N80" s="9" t="n">
        <x:v>51.51</x:v>
      </x:c>
      <x:c r="O80" s="2" t="str">
        <x:v>Valid</x:v>
      </x:c>
      <x:c r="P80" s="2" t="str">
        <x:v>EV000156</x:v>
      </x:c>
      <x:c r="Q80" s="8" t="n">
        <x:v>46299.733611111114</x:v>
      </x:c>
      <x:c r="R80" s="2" t="str">
        <x:v>R1S3</x:v>
      </x:c>
      <x:c r="S80" s="9" t="n">
        <x:v>25.275000000000002</x:v>
      </x:c>
      <x:c r="T80" s="9" t="n">
        <x:v>51.497</x:v>
      </x:c>
      <x:c r="U80" s="2" t="str">
        <x:v>G039</x:v>
      </x:c>
      <x:c r="V80" s="2" t="str">
        <x:v>Authorized guardian release</x:v>
      </x:c>
      <x:c r="W80" s="2" t="str">
        <x:v>Completed transport</x:v>
      </x:c>
      <x:c r="X80" s="2" t="str">
        <x:v>QR</x:v>
      </x:c>
      <x:c r="Y80" s="2" t="str">
        <x:v>Online</x:v>
      </x:c>
      <x:c r="Z80" s="2" t="str">
        <x:v>Synced</x:v>
      </x:c>
      <x:c r="AA80" s="2"/>
      <x:c r="AB80" s="2"/>
      <x:c r="AC80" s="10" t="n">
        <x:f>IF(OR(K80="",Q80=""),"",ROUND((Q80-K80)*1440,2))</x:f>
        <x:v>36</x:v>
      </x:c>
    </x:row>
    <x:row r="81" ht="21" customHeight="1">
      <x:c r="A81" s="2" t="str">
        <x:v>LN00080</x:v>
      </x:c>
      <x:c r="B81" s="2" t="str">
        <x:v>T20261004-5-1</x:v>
      </x:c>
      <x:c r="C81" s="7" t="n">
        <x:v>46299</x:v>
      </x:c>
      <x:c r="D81" s="2" t="str">
        <x:v>BUS001</x:v>
      </x:c>
      <x:c r="E81" s="2" t="str">
        <x:v>ST040</x:v>
      </x:c>
      <x:c r="F81" s="2" t="n">
        <x:v>2</x:v>
      </x:c>
      <x:c r="G81" s="2" t="str">
        <x:v>Senior</x:v>
      </x:c>
      <x:c r="H81" s="2" t="str">
        <x:v>Drop-off</x:v>
      </x:c>
      <x:c r="I81" s="2" t="str">
        <x:v>R1S1</x:v>
      </x:c>
      <x:c r="J81" s="2" t="str">
        <x:v>EV000157</x:v>
      </x:c>
      <x:c r="K81" s="8" t="n">
        <x:v>46299.70864583333</x:v>
      </x:c>
      <x:c r="L81" s="2" t="str">
        <x:v>SCH01</x:v>
      </x:c>
      <x:c r="M81" s="9" t="n">
        <x:v>25.285</x:v>
      </x:c>
      <x:c r="N81" s="9" t="n">
        <x:v>51.51</x:v>
      </x:c>
      <x:c r="O81" s="2" t="str">
        <x:v>Valid</x:v>
      </x:c>
      <x:c r="P81" s="2" t="str">
        <x:v>EV000158</x:v>
      </x:c>
      <x:c r="Q81" s="8" t="n">
        <x:v>46299.72392361111</x:v>
      </x:c>
      <x:c r="R81" s="2" t="str">
        <x:v>R1S1</x:v>
      </x:c>
      <x:c r="S81" s="9" t="n">
        <x:v>25.271</x:v>
      </x:c>
      <x:c r="T81" s="9" t="n">
        <x:v>51.491</x:v>
      </x:c>
      <x:c r="U81" s="2" t="str">
        <x:v>G040</x:v>
      </x:c>
      <x:c r="V81" s="2" t="str">
        <x:v>Authorized guardian release</x:v>
      </x:c>
      <x:c r="W81" s="2" t="str">
        <x:v>Completed transport</x:v>
      </x:c>
      <x:c r="X81" s="2" t="str">
        <x:v>QR</x:v>
      </x:c>
      <x:c r="Y81" s="2" t="str">
        <x:v>Online</x:v>
      </x:c>
      <x:c r="Z81" s="2" t="str">
        <x:v>Synced</x:v>
      </x:c>
      <x:c r="AA81" s="2"/>
      <x:c r="AB81" s="2"/>
      <x:c r="AC81" s="10" t="n">
        <x:f>IF(OR(K81="",Q81=""),"",ROUND((Q81-K81)*1440,2))</x:f>
        <x:v>22</x:v>
      </x:c>
    </x:row>
    <x:row r="82" ht="21" customHeight="1">
      <x:c r="A82" s="2" t="str">
        <x:v>LN00081</x:v>
      </x:c>
      <x:c r="B82" s="2" t="str">
        <x:v>T20261004-1-2</x:v>
      </x:c>
      <x:c r="C82" s="7" t="n">
        <x:v>46299</x:v>
      </x:c>
      <x:c r="D82" s="2" t="str">
        <x:v>BUS002</x:v>
      </x:c>
      <x:c r="E82" s="2" t="str">
        <x:v>ST041</x:v>
      </x:c>
      <x:c r="F82" s="2" t="n">
        <x:v>1</x:v>
      </x:c>
      <x:c r="G82" s="2" t="str">
        <x:v>Junior</x:v>
      </x:c>
      <x:c r="H82" s="2" t="str">
        <x:v>Pickup</x:v>
      </x:c>
      <x:c r="I82" s="2" t="str">
        <x:v>R2S1</x:v>
      </x:c>
      <x:c r="J82" s="2" t="str">
        <x:v>EV000159</x:v>
      </x:c>
      <x:c r="K82" s="8" t="n">
        <x:v>46299.242361111115</x:v>
      </x:c>
      <x:c r="L82" s="2" t="str">
        <x:v>R2S1</x:v>
      </x:c>
      <x:c r="M82" s="9" t="n">
        <x:v>25.28</x:v>
      </x:c>
      <x:c r="N82" s="9" t="n">
        <x:v>51.498999999999995</x:v>
      </x:c>
      <x:c r="O82" s="2" t="str">
        <x:v>Valid</x:v>
      </x:c>
      <x:c r="P82" s="2" t="str">
        <x:v>EV000160</x:v>
      </x:c>
      <x:c r="Q82" s="8" t="n">
        <x:v>46299.27638888889</x:v>
      </x:c>
      <x:c r="R82" s="2" t="str">
        <x:v>SCH01</x:v>
      </x:c>
      <x:c r="S82" s="9" t="n">
        <x:v>25.285</x:v>
      </x:c>
      <x:c r="T82" s="9" t="n">
        <x:v>51.51</x:v>
      </x:c>
      <x:c r="U82" s="2" t="str">
        <x:v>SCHOOL_RECEIVER_01</x:v>
      </x:c>
      <x:c r="V82" s="2" t="str">
        <x:v>School staff receipt</x:v>
      </x:c>
      <x:c r="W82" s="2" t="str">
        <x:v>Completed transport</x:v>
      </x:c>
      <x:c r="X82" s="2" t="str">
        <x:v>QR</x:v>
      </x:c>
      <x:c r="Y82" s="2" t="str">
        <x:v>Online</x:v>
      </x:c>
      <x:c r="Z82" s="2" t="str">
        <x:v>Synced</x:v>
      </x:c>
      <x:c r="AA82" s="2"/>
      <x:c r="AB82" s="2"/>
      <x:c r="AC82" s="10" t="n">
        <x:f>IF(OR(K82="",Q82=""),"",ROUND((Q82-K82)*1440,2))</x:f>
        <x:v>49</x:v>
      </x:c>
    </x:row>
    <x:row r="83" ht="21" customHeight="1">
      <x:c r="A83" s="2" t="str">
        <x:v>LN00082</x:v>
      </x:c>
      <x:c r="B83" s="2" t="str">
        <x:v>T20261004-1-2</x:v>
      </x:c>
      <x:c r="C83" s="7" t="n">
        <x:v>46299</x:v>
      </x:c>
      <x:c r="D83" s="2" t="str">
        <x:v>BUS002</x:v>
      </x:c>
      <x:c r="E83" s="2" t="str">
        <x:v>ST042</x:v>
      </x:c>
      <x:c r="F83" s="2" t="n">
        <x:v>1</x:v>
      </x:c>
      <x:c r="G83" s="2" t="str">
        <x:v>Junior</x:v>
      </x:c>
      <x:c r="H83" s="2" t="str">
        <x:v>Pickup</x:v>
      </x:c>
      <x:c r="I83" s="2" t="str">
        <x:v>R2S2</x:v>
      </x:c>
      <x:c r="J83" s="2" t="str">
        <x:v>EV000161</x:v>
      </x:c>
      <x:c r="K83" s="8" t="n">
        <x:v>46299.24725694444</x:v>
      </x:c>
      <x:c r="L83" s="2" t="str">
        <x:v>R2S2</x:v>
      </x:c>
      <x:c r="M83" s="9" t="n">
        <x:v>25.282000000000004</x:v>
      </x:c>
      <x:c r="N83" s="9" t="n">
        <x:v>51.501999999999995</x:v>
      </x:c>
      <x:c r="O83" s="2" t="str">
        <x:v>Valid</x:v>
      </x:c>
      <x:c r="P83" s="2" t="str">
        <x:v>EV000162</x:v>
      </x:c>
      <x:c r="Q83" s="8" t="n">
        <x:v>46299.27642361111</x:v>
      </x:c>
      <x:c r="R83" s="2" t="str">
        <x:v>SCH01</x:v>
      </x:c>
      <x:c r="S83" s="9" t="n">
        <x:v>25.285</x:v>
      </x:c>
      <x:c r="T83" s="9" t="n">
        <x:v>51.51</x:v>
      </x:c>
      <x:c r="U83" s="2" t="str">
        <x:v>SCHOOL_RECEIVER_01</x:v>
      </x:c>
      <x:c r="V83" s="2" t="str">
        <x:v>School staff receipt</x:v>
      </x:c>
      <x:c r="W83" s="2" t="str">
        <x:v>Completed transport</x:v>
      </x:c>
      <x:c r="X83" s="2" t="str">
        <x:v>QR</x:v>
      </x:c>
      <x:c r="Y83" s="2" t="str">
        <x:v>Online</x:v>
      </x:c>
      <x:c r="Z83" s="2" t="str">
        <x:v>Synced</x:v>
      </x:c>
      <x:c r="AA83" s="2"/>
      <x:c r="AB83" s="2"/>
      <x:c r="AC83" s="10" t="n">
        <x:f>IF(OR(K83="",Q83=""),"",ROUND((Q83-K83)*1440,2))</x:f>
        <x:v>42</x:v>
      </x:c>
    </x:row>
    <x:row r="84" ht="21" customHeight="1">
      <x:c r="A84" s="2" t="str">
        <x:v>LN00083</x:v>
      </x:c>
      <x:c r="B84" s="2" t="str">
        <x:v>T20261004-1-2</x:v>
      </x:c>
      <x:c r="C84" s="7" t="n">
        <x:v>46299</x:v>
      </x:c>
      <x:c r="D84" s="2" t="str">
        <x:v>BUS002</x:v>
      </x:c>
      <x:c r="E84" s="2" t="str">
        <x:v>ST043</x:v>
      </x:c>
      <x:c r="F84" s="2" t="n">
        <x:v>1</x:v>
      </x:c>
      <x:c r="G84" s="2" t="str">
        <x:v>Junior</x:v>
      </x:c>
      <x:c r="H84" s="2" t="str">
        <x:v>Pickup</x:v>
      </x:c>
      <x:c r="I84" s="2" t="str">
        <x:v>R2S3</x:v>
      </x:c>
      <x:c r="J84" s="2" t="str">
        <x:v>EV000163</x:v>
      </x:c>
      <x:c r="K84" s="8" t="n">
        <x:v>46299.25215277778</x:v>
      </x:c>
      <x:c r="L84" s="2" t="str">
        <x:v>R2S3</x:v>
      </x:c>
      <x:c r="M84" s="9" t="n">
        <x:v>25.284000000000002</x:v>
      </x:c>
      <x:c r="N84" s="9" t="n">
        <x:v>51.504999999999995</x:v>
      </x:c>
      <x:c r="O84" s="2" t="str">
        <x:v>Valid</x:v>
      </x:c>
      <x:c r="P84" s="2" t="str">
        <x:v>EV000164</x:v>
      </x:c>
      <x:c r="Q84" s="8" t="n">
        <x:v>46299.276458333334</x:v>
      </x:c>
      <x:c r="R84" s="2" t="str">
        <x:v>SCH01</x:v>
      </x:c>
      <x:c r="S84" s="9" t="n">
        <x:v>25.285</x:v>
      </x:c>
      <x:c r="T84" s="9" t="n">
        <x:v>51.51</x:v>
      </x:c>
      <x:c r="U84" s="2" t="str">
        <x:v>SCHOOL_RECEIVER_01</x:v>
      </x:c>
      <x:c r="V84" s="2" t="str">
        <x:v>School staff receipt</x:v>
      </x:c>
      <x:c r="W84" s="2" t="str">
        <x:v>Completed transport</x:v>
      </x:c>
      <x:c r="X84" s="2" t="str">
        <x:v>QR</x:v>
      </x:c>
      <x:c r="Y84" s="2" t="str">
        <x:v>Online</x:v>
      </x:c>
      <x:c r="Z84" s="2" t="str">
        <x:v>Synced</x:v>
      </x:c>
      <x:c r="AA84" s="2"/>
      <x:c r="AB84" s="2"/>
      <x:c r="AC84" s="10" t="n">
        <x:f>IF(OR(K84="",Q84=""),"",ROUND((Q84-K84)*1440,2))</x:f>
        <x:v>35</x:v>
      </x:c>
    </x:row>
    <x:row r="85" ht="21" customHeight="1">
      <x:c r="A85" s="2" t="str">
        <x:v>LN00084</x:v>
      </x:c>
      <x:c r="B85" s="2" t="str">
        <x:v>T20261004-1-2</x:v>
      </x:c>
      <x:c r="C85" s="7" t="n">
        <x:v>46299</x:v>
      </x:c>
      <x:c r="D85" s="2" t="str">
        <x:v>BUS002</x:v>
      </x:c>
      <x:c r="E85" s="2" t="str">
        <x:v>ST044</x:v>
      </x:c>
      <x:c r="F85" s="2" t="n">
        <x:v>1</x:v>
      </x:c>
      <x:c r="G85" s="2" t="str">
        <x:v>Junior</x:v>
      </x:c>
      <x:c r="H85" s="2" t="str">
        <x:v>Pickup</x:v>
      </x:c>
      <x:c r="I85" s="2" t="str">
        <x:v>R2S1</x:v>
      </x:c>
      <x:c r="J85" s="2" t="str">
        <x:v>EV000165</x:v>
      </x:c>
      <x:c r="K85" s="8" t="n">
        <x:v>46299.242465277785</x:v>
      </x:c>
      <x:c r="L85" s="2" t="str">
        <x:v>R2S1</x:v>
      </x:c>
      <x:c r="M85" s="9" t="n">
        <x:v>25.28</x:v>
      </x:c>
      <x:c r="N85" s="9" t="n">
        <x:v>51.498999999999995</x:v>
      </x:c>
      <x:c r="O85" s="2" t="str">
        <x:v>Valid</x:v>
      </x:c>
      <x:c r="P85" s="2" t="str">
        <x:v>EV000166</x:v>
      </x:c>
      <x:c r="Q85" s="8" t="n">
        <x:v>46299.27649305556</x:v>
      </x:c>
      <x:c r="R85" s="2" t="str">
        <x:v>SCH01</x:v>
      </x:c>
      <x:c r="S85" s="9" t="n">
        <x:v>25.285</x:v>
      </x:c>
      <x:c r="T85" s="9" t="n">
        <x:v>51.51</x:v>
      </x:c>
      <x:c r="U85" s="2" t="str">
        <x:v>SCHOOL_RECEIVER_01</x:v>
      </x:c>
      <x:c r="V85" s="2" t="str">
        <x:v>School staff receipt</x:v>
      </x:c>
      <x:c r="W85" s="2" t="str">
        <x:v>Completed transport</x:v>
      </x:c>
      <x:c r="X85" s="2" t="str">
        <x:v>QR</x:v>
      </x:c>
      <x:c r="Y85" s="2" t="str">
        <x:v>Online</x:v>
      </x:c>
      <x:c r="Z85" s="2" t="str">
        <x:v>Synced</x:v>
      </x:c>
      <x:c r="AA85" s="2"/>
      <x:c r="AB85" s="2"/>
      <x:c r="AC85" s="10" t="n">
        <x:f>IF(OR(K85="",Q85=""),"",ROUND((Q85-K85)*1440,2))</x:f>
        <x:v>49</x:v>
      </x:c>
    </x:row>
    <x:row r="86" ht="21" customHeight="1">
      <x:c r="A86" s="2" t="str">
        <x:v>LN00085</x:v>
      </x:c>
      <x:c r="B86" s="2" t="str">
        <x:v>T20261004-1-2</x:v>
      </x:c>
      <x:c r="C86" s="7" t="n">
        <x:v>46299</x:v>
      </x:c>
      <x:c r="D86" s="2" t="str">
        <x:v>BUS002</x:v>
      </x:c>
      <x:c r="E86" s="2" t="str">
        <x:v>ST045</x:v>
      </x:c>
      <x:c r="F86" s="2" t="n">
        <x:v>1</x:v>
      </x:c>
      <x:c r="G86" s="2" t="str">
        <x:v>Junior</x:v>
      </x:c>
      <x:c r="H86" s="2" t="str">
        <x:v>Pickup</x:v>
      </x:c>
      <x:c r="I86" s="2" t="str">
        <x:v>R2S2</x:v>
      </x:c>
      <x:c r="J86" s="2" t="str">
        <x:v>EV000167</x:v>
      </x:c>
      <x:c r="K86" s="8" t="n">
        <x:v>46299.24736111111</x:v>
      </x:c>
      <x:c r="L86" s="2" t="str">
        <x:v>R2S2</x:v>
      </x:c>
      <x:c r="M86" s="9" t="n">
        <x:v>25.282000000000004</x:v>
      </x:c>
      <x:c r="N86" s="9" t="n">
        <x:v>51.501999999999995</x:v>
      </x:c>
      <x:c r="O86" s="2" t="str">
        <x:v>Valid</x:v>
      </x:c>
      <x:c r="P86" s="2" t="str">
        <x:v>EV000168</x:v>
      </x:c>
      <x:c r="Q86" s="8" t="n">
        <x:v>46299.27652777778</x:v>
      </x:c>
      <x:c r="R86" s="2" t="str">
        <x:v>SCH01</x:v>
      </x:c>
      <x:c r="S86" s="9" t="n">
        <x:v>25.285</x:v>
      </x:c>
      <x:c r="T86" s="9" t="n">
        <x:v>51.51</x:v>
      </x:c>
      <x:c r="U86" s="2" t="str">
        <x:v>SCHOOL_RECEIVER_01</x:v>
      </x:c>
      <x:c r="V86" s="2" t="str">
        <x:v>School staff receipt</x:v>
      </x:c>
      <x:c r="W86" s="2" t="str">
        <x:v>Completed transport</x:v>
      </x:c>
      <x:c r="X86" s="2" t="str">
        <x:v>QR</x:v>
      </x:c>
      <x:c r="Y86" s="2" t="str">
        <x:v>Online</x:v>
      </x:c>
      <x:c r="Z86" s="2" t="str">
        <x:v>Synced</x:v>
      </x:c>
      <x:c r="AA86" s="2"/>
      <x:c r="AB86" s="2"/>
      <x:c r="AC86" s="10" t="n">
        <x:f>IF(OR(K86="",Q86=""),"",ROUND((Q86-K86)*1440,2))</x:f>
        <x:v>42</x:v>
      </x:c>
    </x:row>
    <x:row r="87" ht="21" customHeight="1">
      <x:c r="A87" s="2" t="str">
        <x:v>LN00086</x:v>
      </x:c>
      <x:c r="B87" s="2" t="str">
        <x:v>T20261004-1-2</x:v>
      </x:c>
      <x:c r="C87" s="7" t="n">
        <x:v>46299</x:v>
      </x:c>
      <x:c r="D87" s="2" t="str">
        <x:v>BUS002</x:v>
      </x:c>
      <x:c r="E87" s="2" t="str">
        <x:v>ST046</x:v>
      </x:c>
      <x:c r="F87" s="2" t="n">
        <x:v>1</x:v>
      </x:c>
      <x:c r="G87" s="2" t="str">
        <x:v>Junior</x:v>
      </x:c>
      <x:c r="H87" s="2" t="str">
        <x:v>Pickup</x:v>
      </x:c>
      <x:c r="I87" s="2" t="str">
        <x:v>R2S3</x:v>
      </x:c>
      <x:c r="J87" s="2" t="str">
        <x:v>EV000169</x:v>
      </x:c>
      <x:c r="K87" s="8" t="n">
        <x:v>46299.25225694444</x:v>
      </x:c>
      <x:c r="L87" s="2" t="str">
        <x:v>R2S3</x:v>
      </x:c>
      <x:c r="M87" s="9" t="n">
        <x:v>25.284000000000002</x:v>
      </x:c>
      <x:c r="N87" s="9" t="n">
        <x:v>51.504999999999995</x:v>
      </x:c>
      <x:c r="O87" s="2" t="str">
        <x:v>Valid</x:v>
      </x:c>
      <x:c r="P87" s="2" t="str">
        <x:v>EV000170</x:v>
      </x:c>
      <x:c r="Q87" s="8" t="n">
        <x:v>46299.276562499996</x:v>
      </x:c>
      <x:c r="R87" s="2" t="str">
        <x:v>SCH01</x:v>
      </x:c>
      <x:c r="S87" s="9" t="n">
        <x:v>25.285</x:v>
      </x:c>
      <x:c r="T87" s="9" t="n">
        <x:v>51.51</x:v>
      </x:c>
      <x:c r="U87" s="2" t="str">
        <x:v>SCHOOL_RECEIVER_01</x:v>
      </x:c>
      <x:c r="V87" s="2" t="str">
        <x:v>School staff receipt</x:v>
      </x:c>
      <x:c r="W87" s="2" t="str">
        <x:v>Completed transport</x:v>
      </x:c>
      <x:c r="X87" s="2" t="str">
        <x:v>QR</x:v>
      </x:c>
      <x:c r="Y87" s="2" t="str">
        <x:v>Online</x:v>
      </x:c>
      <x:c r="Z87" s="2" t="str">
        <x:v>Synced</x:v>
      </x:c>
      <x:c r="AA87" s="2"/>
      <x:c r="AB87" s="2"/>
      <x:c r="AC87" s="10" t="n">
        <x:f>IF(OR(K87="",Q87=""),"",ROUND((Q87-K87)*1440,2))</x:f>
        <x:v>35</x:v>
      </x:c>
    </x:row>
    <x:row r="88" ht="21" customHeight="1">
      <x:c r="A88" s="2" t="str">
        <x:v>LN00087</x:v>
      </x:c>
      <x:c r="B88" s="2" t="str">
        <x:v>T20261004-1-2</x:v>
      </x:c>
      <x:c r="C88" s="7" t="n">
        <x:v>46299</x:v>
      </x:c>
      <x:c r="D88" s="2" t="str">
        <x:v>BUS002</x:v>
      </x:c>
      <x:c r="E88" s="2" t="str">
        <x:v>ST047</x:v>
      </x:c>
      <x:c r="F88" s="2" t="n">
        <x:v>1</x:v>
      </x:c>
      <x:c r="G88" s="2" t="str">
        <x:v>Junior</x:v>
      </x:c>
      <x:c r="H88" s="2" t="str">
        <x:v>Pickup</x:v>
      </x:c>
      <x:c r="I88" s="2" t="str">
        <x:v>R2S1</x:v>
      </x:c>
      <x:c r="J88" s="2" t="str">
        <x:v>EV000171</x:v>
      </x:c>
      <x:c r="K88" s="8" t="n">
        <x:v>46299.24256944445</x:v>
      </x:c>
      <x:c r="L88" s="2" t="str">
        <x:v>R2S1</x:v>
      </x:c>
      <x:c r="M88" s="9" t="n">
        <x:v>25.28</x:v>
      </x:c>
      <x:c r="N88" s="9" t="n">
        <x:v>51.498999999999995</x:v>
      </x:c>
      <x:c r="O88" s="2" t="str">
        <x:v>Valid</x:v>
      </x:c>
      <x:c r="P88" s="2" t="str">
        <x:v>EV000172</x:v>
      </x:c>
      <x:c r="Q88" s="8" t="n">
        <x:v>46299.27659722222</x:v>
      </x:c>
      <x:c r="R88" s="2" t="str">
        <x:v>SCH01</x:v>
      </x:c>
      <x:c r="S88" s="9" t="n">
        <x:v>25.285</x:v>
      </x:c>
      <x:c r="T88" s="9" t="n">
        <x:v>51.51</x:v>
      </x:c>
      <x:c r="U88" s="2" t="str">
        <x:v>SCHOOL_RECEIVER_01</x:v>
      </x:c>
      <x:c r="V88" s="2" t="str">
        <x:v>School staff receipt</x:v>
      </x:c>
      <x:c r="W88" s="2" t="str">
        <x:v>Completed transport</x:v>
      </x:c>
      <x:c r="X88" s="2" t="str">
        <x:v>QR</x:v>
      </x:c>
      <x:c r="Y88" s="2" t="str">
        <x:v>Online</x:v>
      </x:c>
      <x:c r="Z88" s="2" t="str">
        <x:v>Synced</x:v>
      </x:c>
      <x:c r="AA88" s="2"/>
      <x:c r="AB88" s="2"/>
      <x:c r="AC88" s="10" t="n">
        <x:f>IF(OR(K88="",Q88=""),"",ROUND((Q88-K88)*1440,2))</x:f>
        <x:v>49</x:v>
      </x:c>
    </x:row>
    <x:row r="89" ht="21" customHeight="1">
      <x:c r="A89" s="2" t="str">
        <x:v>LN00088</x:v>
      </x:c>
      <x:c r="B89" s="2" t="str">
        <x:v>T20261004-1-2</x:v>
      </x:c>
      <x:c r="C89" s="7" t="n">
        <x:v>46299</x:v>
      </x:c>
      <x:c r="D89" s="2" t="str">
        <x:v>BUS002</x:v>
      </x:c>
      <x:c r="E89" s="2" t="str">
        <x:v>ST048</x:v>
      </x:c>
      <x:c r="F89" s="2" t="n">
        <x:v>1</x:v>
      </x:c>
      <x:c r="G89" s="2" t="str">
        <x:v>Junior</x:v>
      </x:c>
      <x:c r="H89" s="2" t="str">
        <x:v>Pickup</x:v>
      </x:c>
      <x:c r="I89" s="2" t="str">
        <x:v>R2S2</x:v>
      </x:c>
      <x:c r="J89" s="2" t="str">
        <x:v>EV000173</x:v>
      </x:c>
      <x:c r="K89" s="8" t="n">
        <x:v>46299.247465277775</x:v>
      </x:c>
      <x:c r="L89" s="2" t="str">
        <x:v>R2S2</x:v>
      </x:c>
      <x:c r="M89" s="9" t="n">
        <x:v>25.282000000000004</x:v>
      </x:c>
      <x:c r="N89" s="9" t="n">
        <x:v>51.501999999999995</x:v>
      </x:c>
      <x:c r="O89" s="2" t="str">
        <x:v>Valid</x:v>
      </x:c>
      <x:c r="P89" s="2" t="str">
        <x:v>EV000174</x:v>
      </x:c>
      <x:c r="Q89" s="8" t="n">
        <x:v>46299.27663194444</x:v>
      </x:c>
      <x:c r="R89" s="2" t="str">
        <x:v>SCH01</x:v>
      </x:c>
      <x:c r="S89" s="9" t="n">
        <x:v>25.285</x:v>
      </x:c>
      <x:c r="T89" s="9" t="n">
        <x:v>51.51</x:v>
      </x:c>
      <x:c r="U89" s="2" t="str">
        <x:v>SCHOOL_RECEIVER_01</x:v>
      </x:c>
      <x:c r="V89" s="2" t="str">
        <x:v>School staff receipt</x:v>
      </x:c>
      <x:c r="W89" s="2" t="str">
        <x:v>Completed transport</x:v>
      </x:c>
      <x:c r="X89" s="2" t="str">
        <x:v>QR</x:v>
      </x:c>
      <x:c r="Y89" s="2" t="str">
        <x:v>Online</x:v>
      </x:c>
      <x:c r="Z89" s="2" t="str">
        <x:v>Synced</x:v>
      </x:c>
      <x:c r="AA89" s="2"/>
      <x:c r="AB89" s="2"/>
      <x:c r="AC89" s="10" t="n">
        <x:f>IF(OR(K89="",Q89=""),"",ROUND((Q89-K89)*1440,2))</x:f>
        <x:v>42</x:v>
      </x:c>
    </x:row>
    <x:row r="90" ht="21" customHeight="1">
      <x:c r="A90" s="2" t="str">
        <x:v>LN00089</x:v>
      </x:c>
      <x:c r="B90" s="2" t="str">
        <x:v>T20261004-1-2</x:v>
      </x:c>
      <x:c r="C90" s="7" t="n">
        <x:v>46299</x:v>
      </x:c>
      <x:c r="D90" s="2" t="str">
        <x:v>BUS002</x:v>
      </x:c>
      <x:c r="E90" s="2" t="str">
        <x:v>ST049</x:v>
      </x:c>
      <x:c r="F90" s="2" t="n">
        <x:v>1</x:v>
      </x:c>
      <x:c r="G90" s="2" t="str">
        <x:v>Junior</x:v>
      </x:c>
      <x:c r="H90" s="2" t="str">
        <x:v>Pickup</x:v>
      </x:c>
      <x:c r="I90" s="2" t="str">
        <x:v>R2S3</x:v>
      </x:c>
      <x:c r="J90" s="2" t="str">
        <x:v>EV000175</x:v>
      </x:c>
      <x:c r="K90" s="8" t="n">
        <x:v>46299.25236111111</x:v>
      </x:c>
      <x:c r="L90" s="2" t="str">
        <x:v>R2S3</x:v>
      </x:c>
      <x:c r="M90" s="9" t="n">
        <x:v>25.284000000000002</x:v>
      </x:c>
      <x:c r="N90" s="9" t="n">
        <x:v>51.504999999999995</x:v>
      </x:c>
      <x:c r="O90" s="2" t="str">
        <x:v>Valid</x:v>
      </x:c>
      <x:c r="P90" s="2" t="str">
        <x:v>EV000176</x:v>
      </x:c>
      <x:c r="Q90" s="8" t="n">
        <x:v>46299.276666666665</x:v>
      </x:c>
      <x:c r="R90" s="2" t="str">
        <x:v>SCH01</x:v>
      </x:c>
      <x:c r="S90" s="9" t="n">
        <x:v>25.285</x:v>
      </x:c>
      <x:c r="T90" s="9" t="n">
        <x:v>51.51</x:v>
      </x:c>
      <x:c r="U90" s="2" t="str">
        <x:v>SCHOOL_RECEIVER_01</x:v>
      </x:c>
      <x:c r="V90" s="2" t="str">
        <x:v>School staff receipt</x:v>
      </x:c>
      <x:c r="W90" s="2" t="str">
        <x:v>Completed transport</x:v>
      </x:c>
      <x:c r="X90" s="2" t="str">
        <x:v>QR</x:v>
      </x:c>
      <x:c r="Y90" s="2" t="str">
        <x:v>Online</x:v>
      </x:c>
      <x:c r="Z90" s="2" t="str">
        <x:v>Synced</x:v>
      </x:c>
      <x:c r="AA90" s="2"/>
      <x:c r="AB90" s="2"/>
      <x:c r="AC90" s="10" t="n">
        <x:f>IF(OR(K90="",Q90=""),"",ROUND((Q90-K90)*1440,2))</x:f>
        <x:v>35</x:v>
      </x:c>
    </x:row>
    <x:row r="91" ht="21" customHeight="1">
      <x:c r="A91" s="2" t="str">
        <x:v>LN00090</x:v>
      </x:c>
      <x:c r="B91" s="2" t="str">
        <x:v>T20261004-1-2</x:v>
      </x:c>
      <x:c r="C91" s="7" t="n">
        <x:v>46299</x:v>
      </x:c>
      <x:c r="D91" s="2" t="str">
        <x:v>BUS002</x:v>
      </x:c>
      <x:c r="E91" s="2" t="str">
        <x:v>ST050</x:v>
      </x:c>
      <x:c r="F91" s="2" t="n">
        <x:v>1</x:v>
      </x:c>
      <x:c r="G91" s="2" t="str">
        <x:v>Junior</x:v>
      </x:c>
      <x:c r="H91" s="2" t="str">
        <x:v>Pickup</x:v>
      </x:c>
      <x:c r="I91" s="2" t="str">
        <x:v>R2S1</x:v>
      </x:c>
      <x:c r="J91" s="2" t="str">
        <x:v>EV000177</x:v>
      </x:c>
      <x:c r="K91" s="8" t="n">
        <x:v>46299.242673611116</x:v>
      </x:c>
      <x:c r="L91" s="2" t="str">
        <x:v>R2S1</x:v>
      </x:c>
      <x:c r="M91" s="9" t="n">
        <x:v>25.28</x:v>
      </x:c>
      <x:c r="N91" s="9" t="n">
        <x:v>51.498999999999995</x:v>
      </x:c>
      <x:c r="O91" s="2" t="str">
        <x:v>Valid</x:v>
      </x:c>
      <x:c r="P91" s="2" t="str">
        <x:v>EV000178</x:v>
      </x:c>
      <x:c r="Q91" s="8" t="n">
        <x:v>46299.27670138889</x:v>
      </x:c>
      <x:c r="R91" s="2" t="str">
        <x:v>SCH01</x:v>
      </x:c>
      <x:c r="S91" s="9" t="n">
        <x:v>25.285</x:v>
      </x:c>
      <x:c r="T91" s="9" t="n">
        <x:v>51.51</x:v>
      </x:c>
      <x:c r="U91" s="2" t="str">
        <x:v>SCHOOL_RECEIVER_01</x:v>
      </x:c>
      <x:c r="V91" s="2" t="str">
        <x:v>School staff receipt</x:v>
      </x:c>
      <x:c r="W91" s="2" t="str">
        <x:v>Completed transport</x:v>
      </x:c>
      <x:c r="X91" s="2" t="str">
        <x:v>QR</x:v>
      </x:c>
      <x:c r="Y91" s="2" t="str">
        <x:v>Online</x:v>
      </x:c>
      <x:c r="Z91" s="2" t="str">
        <x:v>Synced</x:v>
      </x:c>
      <x:c r="AA91" s="2"/>
      <x:c r="AB91" s="2"/>
      <x:c r="AC91" s="10" t="n">
        <x:f>IF(OR(K91="",Q91=""),"",ROUND((Q91-K91)*1440,2))</x:f>
        <x:v>49</x:v>
      </x:c>
    </x:row>
    <x:row r="92" ht="21" customHeight="1">
      <x:c r="A92" s="2" t="str">
        <x:v>LN00091</x:v>
      </x:c>
      <x:c r="B92" s="2" t="str">
        <x:v>T20261004-1-2</x:v>
      </x:c>
      <x:c r="C92" s="7" t="n">
        <x:v>46299</x:v>
      </x:c>
      <x:c r="D92" s="2" t="str">
        <x:v>BUS002</x:v>
      </x:c>
      <x:c r="E92" s="2" t="str">
        <x:v>ST051</x:v>
      </x:c>
      <x:c r="F92" s="2" t="n">
        <x:v>1</x:v>
      </x:c>
      <x:c r="G92" s="2" t="str">
        <x:v>Senior</x:v>
      </x:c>
      <x:c r="H92" s="2" t="str">
        <x:v>Pickup</x:v>
      </x:c>
      <x:c r="I92" s="2" t="str">
        <x:v>R2S2</x:v>
      </x:c>
      <x:c r="J92" s="2" t="str">
        <x:v>EV000179</x:v>
      </x:c>
      <x:c r="K92" s="8" t="n">
        <x:v>46299.24722222222</x:v>
      </x:c>
      <x:c r="L92" s="2" t="str">
        <x:v>R2S2</x:v>
      </x:c>
      <x:c r="M92" s="9" t="n">
        <x:v>25.282000000000004</x:v>
      </x:c>
      <x:c r="N92" s="9" t="n">
        <x:v>51.501999999999995</x:v>
      </x:c>
      <x:c r="O92" s="2" t="str">
        <x:v>Valid</x:v>
      </x:c>
      <x:c r="P92" s="2" t="str">
        <x:v>EV000180</x:v>
      </x:c>
      <x:c r="Q92" s="8" t="n">
        <x:v>46299.27673611111</x:v>
      </x:c>
      <x:c r="R92" s="2" t="str">
        <x:v>SCH01</x:v>
      </x:c>
      <x:c r="S92" s="9" t="n">
        <x:v>25.285</x:v>
      </x:c>
      <x:c r="T92" s="9" t="n">
        <x:v>51.51</x:v>
      </x:c>
      <x:c r="U92" s="2" t="str">
        <x:v>SCHOOL_RECEIVER_01</x:v>
      </x:c>
      <x:c r="V92" s="2" t="str">
        <x:v>School staff receipt</x:v>
      </x:c>
      <x:c r="W92" s="2" t="str">
        <x:v>Completed transport</x:v>
      </x:c>
      <x:c r="X92" s="2" t="str">
        <x:v>QR</x:v>
      </x:c>
      <x:c r="Y92" s="2" t="str">
        <x:v>Online</x:v>
      </x:c>
      <x:c r="Z92" s="2" t="str">
        <x:v>Synced</x:v>
      </x:c>
      <x:c r="AA92" s="2"/>
      <x:c r="AB92" s="2"/>
      <x:c r="AC92" s="10" t="n">
        <x:f>IF(OR(K92="",Q92=""),"",ROUND((Q92-K92)*1440,2))</x:f>
        <x:v>42.5</x:v>
      </x:c>
    </x:row>
    <x:row r="93" ht="21" customHeight="1">
      <x:c r="A93" s="2" t="str">
        <x:v>LN00092</x:v>
      </x:c>
      <x:c r="B93" s="2" t="str">
        <x:v>T20261004-1-2</x:v>
      </x:c>
      <x:c r="C93" s="7" t="n">
        <x:v>46299</x:v>
      </x:c>
      <x:c r="D93" s="2" t="str">
        <x:v>BUS002</x:v>
      </x:c>
      <x:c r="E93" s="2" t="str">
        <x:v>ST052</x:v>
      </x:c>
      <x:c r="F93" s="2" t="n">
        <x:v>1</x:v>
      </x:c>
      <x:c r="G93" s="2" t="str">
        <x:v>Senior</x:v>
      </x:c>
      <x:c r="H93" s="2" t="str">
        <x:v>Pickup</x:v>
      </x:c>
      <x:c r="I93" s="2" t="str">
        <x:v>R2S3</x:v>
      </x:c>
      <x:c r="J93" s="2" t="str">
        <x:v>EV000181</x:v>
      </x:c>
      <x:c r="K93" s="8" t="n">
        <x:v>46299.252118055556</x:v>
      </x:c>
      <x:c r="L93" s="2" t="str">
        <x:v>R2S3</x:v>
      </x:c>
      <x:c r="M93" s="9" t="n">
        <x:v>25.284000000000002</x:v>
      </x:c>
      <x:c r="N93" s="9" t="n">
        <x:v>51.504999999999995</x:v>
      </x:c>
      <x:c r="O93" s="2" t="str">
        <x:v>Valid</x:v>
      </x:c>
      <x:c r="P93" s="2" t="str">
        <x:v>EV000182</x:v>
      </x:c>
      <x:c r="Q93" s="8" t="n">
        <x:v>46299.276770833334</x:v>
      </x:c>
      <x:c r="R93" s="2" t="str">
        <x:v>SCH01</x:v>
      </x:c>
      <x:c r="S93" s="9" t="n">
        <x:v>25.285</x:v>
      </x:c>
      <x:c r="T93" s="9" t="n">
        <x:v>51.51</x:v>
      </x:c>
      <x:c r="U93" s="2" t="str">
        <x:v>SCHOOL_RECEIVER_01</x:v>
      </x:c>
      <x:c r="V93" s="2" t="str">
        <x:v>School staff receipt</x:v>
      </x:c>
      <x:c r="W93" s="2" t="str">
        <x:v>Completed transport</x:v>
      </x:c>
      <x:c r="X93" s="2" t="str">
        <x:v>QR</x:v>
      </x:c>
      <x:c r="Y93" s="2" t="str">
        <x:v>Online</x:v>
      </x:c>
      <x:c r="Z93" s="2" t="str">
        <x:v>Synced</x:v>
      </x:c>
      <x:c r="AA93" s="2"/>
      <x:c r="AB93" s="2"/>
      <x:c r="AC93" s="10" t="n">
        <x:f>IF(OR(K93="",Q93=""),"",ROUND((Q93-K93)*1440,2))</x:f>
        <x:v>35.5</x:v>
      </x:c>
    </x:row>
    <x:row r="94" ht="21" customHeight="1">
      <x:c r="A94" s="2" t="str">
        <x:v>LN00093</x:v>
      </x:c>
      <x:c r="B94" s="2" t="str">
        <x:v>T20261004-1-2</x:v>
      </x:c>
      <x:c r="C94" s="7" t="n">
        <x:v>46299</x:v>
      </x:c>
      <x:c r="D94" s="2" t="str">
        <x:v>BUS002</x:v>
      </x:c>
      <x:c r="E94" s="2" t="str">
        <x:v>ST053</x:v>
      </x:c>
      <x:c r="F94" s="2" t="n">
        <x:v>1</x:v>
      </x:c>
      <x:c r="G94" s="2" t="str">
        <x:v>Senior</x:v>
      </x:c>
      <x:c r="H94" s="2" t="str">
        <x:v>Pickup</x:v>
      </x:c>
      <x:c r="I94" s="2" t="str">
        <x:v>R2S1</x:v>
      </x:c>
      <x:c r="J94" s="2" t="str">
        <x:v>EV000183</x:v>
      </x:c>
      <x:c r="K94" s="8" t="n">
        <x:v>46299.24243055556</x:v>
      </x:c>
      <x:c r="L94" s="2" t="str">
        <x:v>R2S1</x:v>
      </x:c>
      <x:c r="M94" s="9" t="n">
        <x:v>25.28</x:v>
      </x:c>
      <x:c r="N94" s="9" t="n">
        <x:v>51.498999999999995</x:v>
      </x:c>
      <x:c r="O94" s="2" t="str">
        <x:v>Valid</x:v>
      </x:c>
      <x:c r="P94" s="2" t="str">
        <x:v>EV000184</x:v>
      </x:c>
      <x:c r="Q94" s="8" t="n">
        <x:v>46299.27680555556</x:v>
      </x:c>
      <x:c r="R94" s="2" t="str">
        <x:v>SCH01</x:v>
      </x:c>
      <x:c r="S94" s="9" t="n">
        <x:v>25.285</x:v>
      </x:c>
      <x:c r="T94" s="9" t="n">
        <x:v>51.51</x:v>
      </x:c>
      <x:c r="U94" s="2" t="str">
        <x:v>SCHOOL_RECEIVER_01</x:v>
      </x:c>
      <x:c r="V94" s="2" t="str">
        <x:v>School staff receipt</x:v>
      </x:c>
      <x:c r="W94" s="2" t="str">
        <x:v>Completed transport</x:v>
      </x:c>
      <x:c r="X94" s="2" t="str">
        <x:v>QR</x:v>
      </x:c>
      <x:c r="Y94" s="2" t="str">
        <x:v>Online</x:v>
      </x:c>
      <x:c r="Z94" s="2" t="str">
        <x:v>Synced</x:v>
      </x:c>
      <x:c r="AA94" s="2"/>
      <x:c r="AB94" s="2"/>
      <x:c r="AC94" s="10" t="n">
        <x:f>IF(OR(K94="",Q94=""),"",ROUND((Q94-K94)*1440,2))</x:f>
        <x:v>49.5</x:v>
      </x:c>
    </x:row>
    <x:row r="95" ht="21" customHeight="1">
      <x:c r="A95" s="2" t="str">
        <x:v>LN00094</x:v>
      </x:c>
      <x:c r="B95" s="2" t="str">
        <x:v>T20261004-1-2</x:v>
      </x:c>
      <x:c r="C95" s="7" t="n">
        <x:v>46299</x:v>
      </x:c>
      <x:c r="D95" s="2" t="str">
        <x:v>BUS002</x:v>
      </x:c>
      <x:c r="E95" s="2" t="str">
        <x:v>ST054</x:v>
      </x:c>
      <x:c r="F95" s="2" t="n">
        <x:v>1</x:v>
      </x:c>
      <x:c r="G95" s="2" t="str">
        <x:v>Senior</x:v>
      </x:c>
      <x:c r="H95" s="2" t="str">
        <x:v>Pickup</x:v>
      </x:c>
      <x:c r="I95" s="2" t="str">
        <x:v>R2S2</x:v>
      </x:c>
      <x:c r="J95" s="2" t="str">
        <x:v>EV000185</x:v>
      </x:c>
      <x:c r="K95" s="8" t="n">
        <x:v>46299.24732638889</x:v>
      </x:c>
      <x:c r="L95" s="2" t="str">
        <x:v>R2S2</x:v>
      </x:c>
      <x:c r="M95" s="9" t="n">
        <x:v>25.282000000000004</x:v>
      </x:c>
      <x:c r="N95" s="9" t="n">
        <x:v>51.501999999999995</x:v>
      </x:c>
      <x:c r="O95" s="2" t="str">
        <x:v>Valid</x:v>
      </x:c>
      <x:c r="P95" s="2" t="str">
        <x:v>EV000186</x:v>
      </x:c>
      <x:c r="Q95" s="8" t="n">
        <x:v>46299.27684027777</x:v>
      </x:c>
      <x:c r="R95" s="2" t="str">
        <x:v>SCH01</x:v>
      </x:c>
      <x:c r="S95" s="9" t="n">
        <x:v>25.285</x:v>
      </x:c>
      <x:c r="T95" s="9" t="n">
        <x:v>51.51</x:v>
      </x:c>
      <x:c r="U95" s="2" t="str">
        <x:v>SCHOOL_RECEIVER_01</x:v>
      </x:c>
      <x:c r="V95" s="2" t="str">
        <x:v>School staff receipt</x:v>
      </x:c>
      <x:c r="W95" s="2" t="str">
        <x:v>Completed transport</x:v>
      </x:c>
      <x:c r="X95" s="2" t="str">
        <x:v>QR</x:v>
      </x:c>
      <x:c r="Y95" s="2" t="str">
        <x:v>Online</x:v>
      </x:c>
      <x:c r="Z95" s="2" t="str">
        <x:v>Synced</x:v>
      </x:c>
      <x:c r="AA95" s="2"/>
      <x:c r="AB95" s="2"/>
      <x:c r="AC95" s="10" t="n">
        <x:f>IF(OR(K95="",Q95=""),"",ROUND((Q95-K95)*1440,2))</x:f>
        <x:v>42.5</x:v>
      </x:c>
    </x:row>
    <x:row r="96" ht="21" customHeight="1">
      <x:c r="A96" s="2" t="str">
        <x:v>LN00095</x:v>
      </x:c>
      <x:c r="B96" s="2" t="str">
        <x:v>T20261004-1-2</x:v>
      </x:c>
      <x:c r="C96" s="7" t="n">
        <x:v>46299</x:v>
      </x:c>
      <x:c r="D96" s="2" t="str">
        <x:v>BUS002</x:v>
      </x:c>
      <x:c r="E96" s="2" t="str">
        <x:v>ST055</x:v>
      </x:c>
      <x:c r="F96" s="2" t="n">
        <x:v>1</x:v>
      </x:c>
      <x:c r="G96" s="2" t="str">
        <x:v>Senior</x:v>
      </x:c>
      <x:c r="H96" s="2" t="str">
        <x:v>Pickup</x:v>
      </x:c>
      <x:c r="I96" s="2" t="str">
        <x:v>R2S3</x:v>
      </x:c>
      <x:c r="J96" s="2" t="str">
        <x:v>EV000187</x:v>
      </x:c>
      <x:c r="K96" s="8" t="n">
        <x:v>46299.252222222225</x:v>
      </x:c>
      <x:c r="L96" s="2" t="str">
        <x:v>R2S3</x:v>
      </x:c>
      <x:c r="M96" s="9" t="n">
        <x:v>25.284000000000002</x:v>
      </x:c>
      <x:c r="N96" s="9" t="n">
        <x:v>51.504999999999995</x:v>
      </x:c>
      <x:c r="O96" s="2" t="str">
        <x:v>Valid</x:v>
      </x:c>
      <x:c r="P96" s="2" t="str">
        <x:v>EV000188</x:v>
      </x:c>
      <x:c r="Q96" s="8" t="n">
        <x:v>46299.276874999996</x:v>
      </x:c>
      <x:c r="R96" s="2" t="str">
        <x:v>SCH01</x:v>
      </x:c>
      <x:c r="S96" s="9" t="n">
        <x:v>25.285</x:v>
      </x:c>
      <x:c r="T96" s="9" t="n">
        <x:v>51.51</x:v>
      </x:c>
      <x:c r="U96" s="2" t="str">
        <x:v>SCHOOL_RECEIVER_01</x:v>
      </x:c>
      <x:c r="V96" s="2" t="str">
        <x:v>School staff receipt</x:v>
      </x:c>
      <x:c r="W96" s="2" t="str">
        <x:v>Completed transport</x:v>
      </x:c>
      <x:c r="X96" s="2" t="str">
        <x:v>QR</x:v>
      </x:c>
      <x:c r="Y96" s="2" t="str">
        <x:v>Online</x:v>
      </x:c>
      <x:c r="Z96" s="2" t="str">
        <x:v>Synced</x:v>
      </x:c>
      <x:c r="AA96" s="2"/>
      <x:c r="AB96" s="2"/>
      <x:c r="AC96" s="10" t="n">
        <x:f>IF(OR(K96="",Q96=""),"",ROUND((Q96-K96)*1440,2))</x:f>
        <x:v>35.5</x:v>
      </x:c>
    </x:row>
    <x:row r="97" ht="21" customHeight="1">
      <x:c r="A97" s="2" t="str">
        <x:v>LN00096</x:v>
      </x:c>
      <x:c r="B97" s="2" t="str">
        <x:v>T20261004-1-2</x:v>
      </x:c>
      <x:c r="C97" s="7" t="n">
        <x:v>46299</x:v>
      </x:c>
      <x:c r="D97" s="2" t="str">
        <x:v>BUS002</x:v>
      </x:c>
      <x:c r="E97" s="2" t="str">
        <x:v>ST056</x:v>
      </x:c>
      <x:c r="F97" s="2" t="n">
        <x:v>1</x:v>
      </x:c>
      <x:c r="G97" s="2" t="str">
        <x:v>Senior</x:v>
      </x:c>
      <x:c r="H97" s="2" t="str">
        <x:v>Pickup</x:v>
      </x:c>
      <x:c r="I97" s="2" t="str">
        <x:v>R2S1</x:v>
      </x:c>
      <x:c r="J97" s="2" t="str">
        <x:v>EV000189</x:v>
      </x:c>
      <x:c r="K97" s="8" t="n">
        <x:v>46299.24253472222</x:v>
      </x:c>
      <x:c r="L97" s="2" t="str">
        <x:v>R2S1</x:v>
      </x:c>
      <x:c r="M97" s="9" t="n">
        <x:v>25.28</x:v>
      </x:c>
      <x:c r="N97" s="9" t="n">
        <x:v>51.498999999999995</x:v>
      </x:c>
      <x:c r="O97" s="2" t="str">
        <x:v>Valid</x:v>
      </x:c>
      <x:c r="P97" s="2" t="str">
        <x:v>EV000190</x:v>
      </x:c>
      <x:c r="Q97" s="8" t="n">
        <x:v>46299.27690972222</x:v>
      </x:c>
      <x:c r="R97" s="2" t="str">
        <x:v>SCH01</x:v>
      </x:c>
      <x:c r="S97" s="9" t="n">
        <x:v>25.285</x:v>
      </x:c>
      <x:c r="T97" s="9" t="n">
        <x:v>51.51</x:v>
      </x:c>
      <x:c r="U97" s="2" t="str">
        <x:v>SCHOOL_RECEIVER_01</x:v>
      </x:c>
      <x:c r="V97" s="2" t="str">
        <x:v>School staff receipt</x:v>
      </x:c>
      <x:c r="W97" s="2" t="str">
        <x:v>Completed transport</x:v>
      </x:c>
      <x:c r="X97" s="2" t="str">
        <x:v>QR</x:v>
      </x:c>
      <x:c r="Y97" s="2" t="str">
        <x:v>Online</x:v>
      </x:c>
      <x:c r="Z97" s="2" t="str">
        <x:v>Synced</x:v>
      </x:c>
      <x:c r="AA97" s="2"/>
      <x:c r="AB97" s="2"/>
      <x:c r="AC97" s="10" t="n">
        <x:f>IF(OR(K97="",Q97=""),"",ROUND((Q97-K97)*1440,2))</x:f>
        <x:v>49.5</x:v>
      </x:c>
    </x:row>
    <x:row r="98" ht="21" customHeight="1">
      <x:c r="A98" s="2" t="str">
        <x:v>LN00097</x:v>
      </x:c>
      <x:c r="B98" s="2" t="str">
        <x:v>T20261004-1-2</x:v>
      </x:c>
      <x:c r="C98" s="7" t="n">
        <x:v>46299</x:v>
      </x:c>
      <x:c r="D98" s="2" t="str">
        <x:v>BUS002</x:v>
      </x:c>
      <x:c r="E98" s="2" t="str">
        <x:v>ST057</x:v>
      </x:c>
      <x:c r="F98" s="2" t="n">
        <x:v>1</x:v>
      </x:c>
      <x:c r="G98" s="2" t="str">
        <x:v>Senior</x:v>
      </x:c>
      <x:c r="H98" s="2" t="str">
        <x:v>Pickup</x:v>
      </x:c>
      <x:c r="I98" s="2" t="str">
        <x:v>R2S2</x:v>
      </x:c>
      <x:c r="J98" s="2" t="str">
        <x:v>EV000191</x:v>
      </x:c>
      <x:c r="K98" s="8" t="n">
        <x:v>46299.24743055555</x:v>
      </x:c>
      <x:c r="L98" s="2" t="str">
        <x:v>R2S2</x:v>
      </x:c>
      <x:c r="M98" s="9" t="n">
        <x:v>25.282000000000004</x:v>
      </x:c>
      <x:c r="N98" s="9" t="n">
        <x:v>51.501999999999995</x:v>
      </x:c>
      <x:c r="O98" s="2" t="str">
        <x:v>Valid</x:v>
      </x:c>
      <x:c r="P98" s="2" t="str">
        <x:v>EV000192</x:v>
      </x:c>
      <x:c r="Q98" s="8" t="n">
        <x:v>46299.27694444444</x:v>
      </x:c>
      <x:c r="R98" s="2" t="str">
        <x:v>SCH01</x:v>
      </x:c>
      <x:c r="S98" s="9" t="n">
        <x:v>25.285</x:v>
      </x:c>
      <x:c r="T98" s="9" t="n">
        <x:v>51.51</x:v>
      </x:c>
      <x:c r="U98" s="2" t="str">
        <x:v>SCHOOL_RECEIVER_01</x:v>
      </x:c>
      <x:c r="V98" s="2" t="str">
        <x:v>School staff receipt</x:v>
      </x:c>
      <x:c r="W98" s="2" t="str">
        <x:v>Completed transport</x:v>
      </x:c>
      <x:c r="X98" s="2" t="str">
        <x:v>QR</x:v>
      </x:c>
      <x:c r="Y98" s="2" t="str">
        <x:v>Online</x:v>
      </x:c>
      <x:c r="Z98" s="2" t="str">
        <x:v>Synced</x:v>
      </x:c>
      <x:c r="AA98" s="2"/>
      <x:c r="AB98" s="2"/>
      <x:c r="AC98" s="10" t="n">
        <x:f>IF(OR(K98="",Q98=""),"",ROUND((Q98-K98)*1440,2))</x:f>
        <x:v>42.5</x:v>
      </x:c>
    </x:row>
    <x:row r="99" ht="21" customHeight="1">
      <x:c r="A99" s="2" t="str">
        <x:v>LN00098</x:v>
      </x:c>
      <x:c r="B99" s="2" t="str">
        <x:v>T20261004-1-2</x:v>
      </x:c>
      <x:c r="C99" s="7" t="n">
        <x:v>46299</x:v>
      </x:c>
      <x:c r="D99" s="2" t="str">
        <x:v>BUS002</x:v>
      </x:c>
      <x:c r="E99" s="2" t="str">
        <x:v>ST058</x:v>
      </x:c>
      <x:c r="F99" s="2" t="n">
        <x:v>1</x:v>
      </x:c>
      <x:c r="G99" s="2" t="str">
        <x:v>Senior</x:v>
      </x:c>
      <x:c r="H99" s="2" t="str">
        <x:v>Pickup</x:v>
      </x:c>
      <x:c r="I99" s="2" t="str">
        <x:v>R2S3</x:v>
      </x:c>
      <x:c r="J99" s="2" t="str">
        <x:v>EV000193</x:v>
      </x:c>
      <x:c r="K99" s="8" t="n">
        <x:v>46299.25232638889</x:v>
      </x:c>
      <x:c r="L99" s="2" t="str">
        <x:v>R2S3</x:v>
      </x:c>
      <x:c r="M99" s="9" t="n">
        <x:v>25.284000000000002</x:v>
      </x:c>
      <x:c r="N99" s="9" t="n">
        <x:v>51.504999999999995</x:v>
      </x:c>
      <x:c r="O99" s="2" t="str">
        <x:v>Valid</x:v>
      </x:c>
      <x:c r="P99" s="2" t="str">
        <x:v>EV000194</x:v>
      </x:c>
      <x:c r="Q99" s="8" t="n">
        <x:v>46299.276979166665</x:v>
      </x:c>
      <x:c r="R99" s="2" t="str">
        <x:v>SCH01</x:v>
      </x:c>
      <x:c r="S99" s="9" t="n">
        <x:v>25.285</x:v>
      </x:c>
      <x:c r="T99" s="9" t="n">
        <x:v>51.51</x:v>
      </x:c>
      <x:c r="U99" s="2" t="str">
        <x:v>SCHOOL_RECEIVER_01</x:v>
      </x:c>
      <x:c r="V99" s="2" t="str">
        <x:v>School staff receipt</x:v>
      </x:c>
      <x:c r="W99" s="2" t="str">
        <x:v>Completed transport</x:v>
      </x:c>
      <x:c r="X99" s="2" t="str">
        <x:v>QR</x:v>
      </x:c>
      <x:c r="Y99" s="2" t="str">
        <x:v>Online</x:v>
      </x:c>
      <x:c r="Z99" s="2" t="str">
        <x:v>Synced</x:v>
      </x:c>
      <x:c r="AA99" s="2"/>
      <x:c r="AB99" s="2"/>
      <x:c r="AC99" s="10" t="n">
        <x:f>IF(OR(K99="",Q99=""),"",ROUND((Q99-K99)*1440,2))</x:f>
        <x:v>35.5</x:v>
      </x:c>
    </x:row>
    <x:row r="100" ht="21" customHeight="1">
      <x:c r="A100" s="2" t="str">
        <x:v>LN00099</x:v>
      </x:c>
      <x:c r="B100" s="2" t="str">
        <x:v>T20261004-1-2</x:v>
      </x:c>
      <x:c r="C100" s="7" t="n">
        <x:v>46299</x:v>
      </x:c>
      <x:c r="D100" s="2" t="str">
        <x:v>BUS002</x:v>
      </x:c>
      <x:c r="E100" s="2" t="str">
        <x:v>ST059</x:v>
      </x:c>
      <x:c r="F100" s="2" t="n">
        <x:v>1</x:v>
      </x:c>
      <x:c r="G100" s="2" t="str">
        <x:v>Senior</x:v>
      </x:c>
      <x:c r="H100" s="2" t="str">
        <x:v>Pickup</x:v>
      </x:c>
      <x:c r="I100" s="2" t="str">
        <x:v>R2S1</x:v>
      </x:c>
      <x:c r="J100" s="2" t="str">
        <x:v>EV000195</x:v>
      </x:c>
      <x:c r="K100" s="8" t="n">
        <x:v>46299.24263888889</x:v>
      </x:c>
      <x:c r="L100" s="2" t="str">
        <x:v>R2S1</x:v>
      </x:c>
      <x:c r="M100" s="9" t="n">
        <x:v>25.28</x:v>
      </x:c>
      <x:c r="N100" s="9" t="n">
        <x:v>51.498999999999995</x:v>
      </x:c>
      <x:c r="O100" s="2" t="str">
        <x:v>Valid</x:v>
      </x:c>
      <x:c r="P100" s="2" t="str">
        <x:v>EV000196</x:v>
      </x:c>
      <x:c r="Q100" s="8" t="n">
        <x:v>46299.27701388889</x:v>
      </x:c>
      <x:c r="R100" s="2" t="str">
        <x:v>SCH01</x:v>
      </x:c>
      <x:c r="S100" s="9" t="n">
        <x:v>25.285</x:v>
      </x:c>
      <x:c r="T100" s="9" t="n">
        <x:v>51.51</x:v>
      </x:c>
      <x:c r="U100" s="2" t="str">
        <x:v>SCHOOL_RECEIVER_01</x:v>
      </x:c>
      <x:c r="V100" s="2" t="str">
        <x:v>School staff receipt</x:v>
      </x:c>
      <x:c r="W100" s="2" t="str">
        <x:v>Completed transport</x:v>
      </x:c>
      <x:c r="X100" s="2" t="str">
        <x:v>QR</x:v>
      </x:c>
      <x:c r="Y100" s="2" t="str">
        <x:v>Online</x:v>
      </x:c>
      <x:c r="Z100" s="2" t="str">
        <x:v>Synced</x:v>
      </x:c>
      <x:c r="AA100" s="2"/>
      <x:c r="AB100" s="2"/>
      <x:c r="AC100" s="10" t="n">
        <x:f>IF(OR(K100="",Q100=""),"",ROUND((Q100-K100)*1440,2))</x:f>
        <x:v>49.5</x:v>
      </x:c>
    </x:row>
    <x:row r="101" ht="21" customHeight="1">
      <x:c r="A101" s="2" t="str">
        <x:v>LN00100</x:v>
      </x:c>
      <x:c r="B101" s="2" t="str">
        <x:v>T20261004-1-2</x:v>
      </x:c>
      <x:c r="C101" s="7" t="n">
        <x:v>46299</x:v>
      </x:c>
      <x:c r="D101" s="2" t="str">
        <x:v>BUS002</x:v>
      </x:c>
      <x:c r="E101" s="2" t="str">
        <x:v>ST060</x:v>
      </x:c>
      <x:c r="F101" s="2" t="n">
        <x:v>1</x:v>
      </x:c>
      <x:c r="G101" s="2" t="str">
        <x:v>Senior</x:v>
      </x:c>
      <x:c r="H101" s="2" t="str">
        <x:v>Pickup</x:v>
      </x:c>
      <x:c r="I101" s="2" t="str">
        <x:v>R2S2</x:v>
      </x:c>
      <x:c r="J101" s="2" t="str">
        <x:v>EV000197</x:v>
      </x:c>
      <x:c r="K101" s="8" t="n">
        <x:v>46299.24753472222</x:v>
      </x:c>
      <x:c r="L101" s="2" t="str">
        <x:v>R2S2</x:v>
      </x:c>
      <x:c r="M101" s="9" t="n">
        <x:v>25.282000000000004</x:v>
      </x:c>
      <x:c r="N101" s="9" t="n">
        <x:v>51.501999999999995</x:v>
      </x:c>
      <x:c r="O101" s="2" t="str">
        <x:v>Valid</x:v>
      </x:c>
      <x:c r="P101" s="2" t="str">
        <x:v>EV000198</x:v>
      </x:c>
      <x:c r="Q101" s="8" t="n">
        <x:v>46299.27704861111</x:v>
      </x:c>
      <x:c r="R101" s="2" t="str">
        <x:v>SCH01</x:v>
      </x:c>
      <x:c r="S101" s="9" t="n">
        <x:v>25.285</x:v>
      </x:c>
      <x:c r="T101" s="9" t="n">
        <x:v>51.51</x:v>
      </x:c>
      <x:c r="U101" s="2" t="str">
        <x:v>SCHOOL_RECEIVER_01</x:v>
      </x:c>
      <x:c r="V101" s="2" t="str">
        <x:v>School staff receipt</x:v>
      </x:c>
      <x:c r="W101" s="2" t="str">
        <x:v>Completed transport</x:v>
      </x:c>
      <x:c r="X101" s="2" t="str">
        <x:v>QR</x:v>
      </x:c>
      <x:c r="Y101" s="2" t="str">
        <x:v>Online</x:v>
      </x:c>
      <x:c r="Z101" s="2" t="str">
        <x:v>Synced</x:v>
      </x:c>
      <x:c r="AA101" s="2"/>
      <x:c r="AB101" s="2"/>
      <x:c r="AC101" s="10" t="n">
        <x:f>IF(OR(K101="",Q101=""),"",ROUND((Q101-K101)*1440,2))</x:f>
        <x:v>42.5</x:v>
      </x:c>
    </x:row>
    <x:row r="102" ht="21" customHeight="1">
      <x:c r="A102" s="2" t="str">
        <x:v>LN00101</x:v>
      </x:c>
      <x:c r="B102" s="2" t="str">
        <x:v>T20261004-2-2</x:v>
      </x:c>
      <x:c r="C102" s="7" t="n">
        <x:v>46299</x:v>
      </x:c>
      <x:c r="D102" s="2" t="str">
        <x:v>BUS002</x:v>
      </x:c>
      <x:c r="E102" s="2" t="str">
        <x:v>ST041</x:v>
      </x:c>
      <x:c r="F102" s="2" t="n">
        <x:v>1</x:v>
      </x:c>
      <x:c r="G102" s="2" t="str">
        <x:v>Junior</x:v>
      </x:c>
      <x:c r="H102" s="2" t="str">
        <x:v>Drop-off</x:v>
      </x:c>
      <x:c r="I102" s="2" t="str">
        <x:v>R2S1</x:v>
      </x:c>
      <x:c r="J102" s="2" t="str">
        <x:v>EV000199</x:v>
      </x:c>
      <x:c r="K102" s="8" t="n">
        <x:v>46299.4375</x:v>
      </x:c>
      <x:c r="L102" s="2" t="str">
        <x:v>SCH01</x:v>
      </x:c>
      <x:c r="M102" s="9" t="n">
        <x:v>25.285</x:v>
      </x:c>
      <x:c r="N102" s="9" t="n">
        <x:v>51.51</x:v>
      </x:c>
      <x:c r="O102" s="2" t="str">
        <x:v>Valid</x:v>
      </x:c>
      <x:c r="P102" s="2" t="str">
        <x:v>EV000200</x:v>
      </x:c>
      <x:c r="Q102" s="8" t="n">
        <x:v>46299.44930555555</x:v>
      </x:c>
      <x:c r="R102" s="2" t="str">
        <x:v>R2S1</x:v>
      </x:c>
      <x:c r="S102" s="9" t="n">
        <x:v>25.28</x:v>
      </x:c>
      <x:c r="T102" s="9" t="n">
        <x:v>51.498999999999995</x:v>
      </x:c>
      <x:c r="U102" s="2" t="str">
        <x:v>G041</x:v>
      </x:c>
      <x:c r="V102" s="2" t="str">
        <x:v>Authorized guardian release</x:v>
      </x:c>
      <x:c r="W102" s="2" t="str">
        <x:v>Completed transport</x:v>
      </x:c>
      <x:c r="X102" s="2" t="str">
        <x:v>QR</x:v>
      </x:c>
      <x:c r="Y102" s="2" t="str">
        <x:v>Online</x:v>
      </x:c>
      <x:c r="Z102" s="2" t="str">
        <x:v>Synced</x:v>
      </x:c>
      <x:c r="AA102" s="2"/>
      <x:c r="AB102" s="2"/>
      <x:c r="AC102" s="10" t="n">
        <x:f>IF(OR(K102="",Q102=""),"",ROUND((Q102-K102)*1440,2))</x:f>
        <x:v>17</x:v>
      </x:c>
    </x:row>
    <x:row r="103" ht="21" customHeight="1">
      <x:c r="A103" s="2" t="str">
        <x:v>LN00102</x:v>
      </x:c>
      <x:c r="B103" s="2" t="str">
        <x:v>T20261004-2-2</x:v>
      </x:c>
      <x:c r="C103" s="7" t="n">
        <x:v>46299</x:v>
      </x:c>
      <x:c r="D103" s="2" t="str">
        <x:v>BUS002</x:v>
      </x:c>
      <x:c r="E103" s="2" t="str">
        <x:v>ST042</x:v>
      </x:c>
      <x:c r="F103" s="2" t="n">
        <x:v>1</x:v>
      </x:c>
      <x:c r="G103" s="2" t="str">
        <x:v>Junior</x:v>
      </x:c>
      <x:c r="H103" s="2" t="str">
        <x:v>Drop-off</x:v>
      </x:c>
      <x:c r="I103" s="2" t="str">
        <x:v>R2S2</x:v>
      </x:c>
      <x:c r="J103" s="2" t="str">
        <x:v>EV000201</x:v>
      </x:c>
      <x:c r="K103" s="8" t="n">
        <x:v>46299.43753472222</x:v>
      </x:c>
      <x:c r="L103" s="2" t="str">
        <x:v>SCH01</x:v>
      </x:c>
      <x:c r="M103" s="9" t="n">
        <x:v>25.285</x:v>
      </x:c>
      <x:c r="N103" s="9" t="n">
        <x:v>51.51</x:v>
      </x:c>
      <x:c r="O103" s="2" t="str">
        <x:v>Valid</x:v>
      </x:c>
      <x:c r="P103" s="2" t="str">
        <x:v>EV000202</x:v>
      </x:c>
      <x:c r="Q103" s="8" t="n">
        <x:v>46299.45350694445</x:v>
      </x:c>
      <x:c r="R103" s="2" t="str">
        <x:v>R2S2</x:v>
      </x:c>
      <x:c r="S103" s="9" t="n">
        <x:v>25.282000000000004</x:v>
      </x:c>
      <x:c r="T103" s="9" t="n">
        <x:v>51.501999999999995</x:v>
      </x:c>
      <x:c r="U103" s="2" t="str">
        <x:v>G042</x:v>
      </x:c>
      <x:c r="V103" s="2" t="str">
        <x:v>Authorized guardian release</x:v>
      </x:c>
      <x:c r="W103" s="2" t="str">
        <x:v>Completed transport</x:v>
      </x:c>
      <x:c r="X103" s="2" t="str">
        <x:v>QR</x:v>
      </x:c>
      <x:c r="Y103" s="2" t="str">
        <x:v>Online</x:v>
      </x:c>
      <x:c r="Z103" s="2" t="str">
        <x:v>Synced</x:v>
      </x:c>
      <x:c r="AA103" s="2"/>
      <x:c r="AB103" s="2"/>
      <x:c r="AC103" s="10" t="n">
        <x:f>IF(OR(K103="",Q103=""),"",ROUND((Q103-K103)*1440,2))</x:f>
        <x:v>23</x:v>
      </x:c>
    </x:row>
    <x:row r="104" ht="21" customHeight="1">
      <x:c r="A104" s="2" t="str">
        <x:v>LN00103</x:v>
      </x:c>
      <x:c r="B104" s="2" t="str">
        <x:v>T20261004-2-2</x:v>
      </x:c>
      <x:c r="C104" s="7" t="n">
        <x:v>46299</x:v>
      </x:c>
      <x:c r="D104" s="2" t="str">
        <x:v>BUS002</x:v>
      </x:c>
      <x:c r="E104" s="2" t="str">
        <x:v>ST043</x:v>
      </x:c>
      <x:c r="F104" s="2" t="n">
        <x:v>1</x:v>
      </x:c>
      <x:c r="G104" s="2" t="str">
        <x:v>Junior</x:v>
      </x:c>
      <x:c r="H104" s="2" t="str">
        <x:v>Drop-off</x:v>
      </x:c>
      <x:c r="I104" s="2" t="str">
        <x:v>R2S3</x:v>
      </x:c>
      <x:c r="J104" s="2" t="str">
        <x:v>EV000203</x:v>
      </x:c>
      <x:c r="K104" s="8" t="n">
        <x:v>46299.437569444446</x:v>
      </x:c>
      <x:c r="L104" s="2" t="str">
        <x:v>SCH01</x:v>
      </x:c>
      <x:c r="M104" s="9" t="n">
        <x:v>25.285</x:v>
      </x:c>
      <x:c r="N104" s="9" t="n">
        <x:v>51.51</x:v>
      </x:c>
      <x:c r="O104" s="2" t="str">
        <x:v>Valid</x:v>
      </x:c>
      <x:c r="P104" s="2" t="str">
        <x:v>EV000204</x:v>
      </x:c>
      <x:c r="Q104" s="8" t="n">
        <x:v>46299.457708333335</x:v>
      </x:c>
      <x:c r="R104" s="2" t="str">
        <x:v>R2S3</x:v>
      </x:c>
      <x:c r="S104" s="9" t="n">
        <x:v>25.284000000000002</x:v>
      </x:c>
      <x:c r="T104" s="9" t="n">
        <x:v>51.504999999999995</x:v>
      </x:c>
      <x:c r="U104" s="2" t="str">
        <x:v>G043</x:v>
      </x:c>
      <x:c r="V104" s="2" t="str">
        <x:v>Authorized guardian release</x:v>
      </x:c>
      <x:c r="W104" s="2" t="str">
        <x:v>Completed transport</x:v>
      </x:c>
      <x:c r="X104" s="2" t="str">
        <x:v>QR</x:v>
      </x:c>
      <x:c r="Y104" s="2" t="str">
        <x:v>Online</x:v>
      </x:c>
      <x:c r="Z104" s="2" t="str">
        <x:v>Synced</x:v>
      </x:c>
      <x:c r="AA104" s="2"/>
      <x:c r="AB104" s="2"/>
      <x:c r="AC104" s="10" t="n">
        <x:f>IF(OR(K104="",Q104=""),"",ROUND((Q104-K104)*1440,2))</x:f>
        <x:v>29</x:v>
      </x:c>
    </x:row>
    <x:row r="105" ht="21" customHeight="1">
      <x:c r="A105" s="2" t="str">
        <x:v>LN00104</x:v>
      </x:c>
      <x:c r="B105" s="2" t="str">
        <x:v>T20261004-2-2</x:v>
      </x:c>
      <x:c r="C105" s="7" t="n">
        <x:v>46299</x:v>
      </x:c>
      <x:c r="D105" s="2" t="str">
        <x:v>BUS002</x:v>
      </x:c>
      <x:c r="E105" s="2" t="str">
        <x:v>ST044</x:v>
      </x:c>
      <x:c r="F105" s="2" t="n">
        <x:v>1</x:v>
      </x:c>
      <x:c r="G105" s="2" t="str">
        <x:v>Junior</x:v>
      </x:c>
      <x:c r="H105" s="2" t="str">
        <x:v>Drop-off</x:v>
      </x:c>
      <x:c r="I105" s="2" t="str">
        <x:v>R2S1</x:v>
      </x:c>
      <x:c r="J105" s="2" t="str">
        <x:v>EV000205</x:v>
      </x:c>
      <x:c r="K105" s="8" t="n">
        <x:v>46299.43760416667</x:v>
      </x:c>
      <x:c r="L105" s="2" t="str">
        <x:v>SCH01</x:v>
      </x:c>
      <x:c r="M105" s="9" t="n">
        <x:v>25.285</x:v>
      </x:c>
      <x:c r="N105" s="9" t="n">
        <x:v>51.51</x:v>
      </x:c>
      <x:c r="O105" s="2" t="str">
        <x:v>Valid</x:v>
      </x:c>
      <x:c r="P105" s="2" t="str">
        <x:v>EV000206</x:v>
      </x:c>
      <x:c r="Q105" s="8" t="n">
        <x:v>46299.44940972222</x:v>
      </x:c>
      <x:c r="R105" s="2" t="str">
        <x:v>R2S1</x:v>
      </x:c>
      <x:c r="S105" s="9" t="n">
        <x:v>25.28</x:v>
      </x:c>
      <x:c r="T105" s="9" t="n">
        <x:v>51.498999999999995</x:v>
      </x:c>
      <x:c r="U105" s="2" t="str">
        <x:v>G044</x:v>
      </x:c>
      <x:c r="V105" s="2" t="str">
        <x:v>Authorized guardian release</x:v>
      </x:c>
      <x:c r="W105" s="2" t="str">
        <x:v>Completed transport</x:v>
      </x:c>
      <x:c r="X105" s="2" t="str">
        <x:v>QR</x:v>
      </x:c>
      <x:c r="Y105" s="2" t="str">
        <x:v>Online</x:v>
      </x:c>
      <x:c r="Z105" s="2" t="str">
        <x:v>Synced</x:v>
      </x:c>
      <x:c r="AA105" s="2"/>
      <x:c r="AB105" s="2"/>
      <x:c r="AC105" s="10" t="n">
        <x:f>IF(OR(K105="",Q105=""),"",ROUND((Q105-K105)*1440,2))</x:f>
        <x:v>17</x:v>
      </x:c>
    </x:row>
    <x:row r="106" ht="21" customHeight="1">
      <x:c r="A106" s="2" t="str">
        <x:v>LN00105</x:v>
      </x:c>
      <x:c r="B106" s="2" t="str">
        <x:v>T20261004-2-2</x:v>
      </x:c>
      <x:c r="C106" s="7" t="n">
        <x:v>46299</x:v>
      </x:c>
      <x:c r="D106" s="2" t="str">
        <x:v>BUS002</x:v>
      </x:c>
      <x:c r="E106" s="2" t="str">
        <x:v>ST045</x:v>
      </x:c>
      <x:c r="F106" s="2" t="n">
        <x:v>1</x:v>
      </x:c>
      <x:c r="G106" s="2" t="str">
        <x:v>Junior</x:v>
      </x:c>
      <x:c r="H106" s="2" t="str">
        <x:v>Drop-off</x:v>
      </x:c>
      <x:c r="I106" s="2" t="str">
        <x:v>R2S2</x:v>
      </x:c>
      <x:c r="J106" s="2" t="str">
        <x:v>EV000207</x:v>
      </x:c>
      <x:c r="K106" s="8" t="n">
        <x:v>46299.43763888889</x:v>
      </x:c>
      <x:c r="L106" s="2" t="str">
        <x:v>SCH01</x:v>
      </x:c>
      <x:c r="M106" s="9" t="n">
        <x:v>25.285</x:v>
      </x:c>
      <x:c r="N106" s="9" t="n">
        <x:v>51.51</x:v>
      </x:c>
      <x:c r="O106" s="2" t="str">
        <x:v>Valid</x:v>
      </x:c>
      <x:c r="P106" s="2" t="str">
        <x:v>EV000208</x:v>
      </x:c>
      <x:c r="Q106" s="8" t="n">
        <x:v>46299.453611111116</x:v>
      </x:c>
      <x:c r="R106" s="2" t="str">
        <x:v>R2S2</x:v>
      </x:c>
      <x:c r="S106" s="9" t="n">
        <x:v>25.282000000000004</x:v>
      </x:c>
      <x:c r="T106" s="9" t="n">
        <x:v>51.501999999999995</x:v>
      </x:c>
      <x:c r="U106" s="2" t="str">
        <x:v>G045</x:v>
      </x:c>
      <x:c r="V106" s="2" t="str">
        <x:v>Authorized guardian release</x:v>
      </x:c>
      <x:c r="W106" s="2" t="str">
        <x:v>Completed transport</x:v>
      </x:c>
      <x:c r="X106" s="2" t="str">
        <x:v>QR</x:v>
      </x:c>
      <x:c r="Y106" s="2" t="str">
        <x:v>Online</x:v>
      </x:c>
      <x:c r="Z106" s="2" t="str">
        <x:v>Synced</x:v>
      </x:c>
      <x:c r="AA106" s="2"/>
      <x:c r="AB106" s="2"/>
      <x:c r="AC106" s="10" t="n">
        <x:f>IF(OR(K106="",Q106=""),"",ROUND((Q106-K106)*1440,2))</x:f>
        <x:v>23</x:v>
      </x:c>
    </x:row>
    <x:row r="107" ht="21" customHeight="1">
      <x:c r="A107" s="2" t="str">
        <x:v>LN00106</x:v>
      </x:c>
      <x:c r="B107" s="2" t="str">
        <x:v>T20261004-2-2</x:v>
      </x:c>
      <x:c r="C107" s="7" t="n">
        <x:v>46299</x:v>
      </x:c>
      <x:c r="D107" s="2" t="str">
        <x:v>BUS002</x:v>
      </x:c>
      <x:c r="E107" s="2" t="str">
        <x:v>ST046</x:v>
      </x:c>
      <x:c r="F107" s="2" t="n">
        <x:v>1</x:v>
      </x:c>
      <x:c r="G107" s="2" t="str">
        <x:v>Junior</x:v>
      </x:c>
      <x:c r="H107" s="2" t="str">
        <x:v>Drop-off</x:v>
      </x:c>
      <x:c r="I107" s="2" t="str">
        <x:v>R2S3</x:v>
      </x:c>
      <x:c r="J107" s="2" t="str">
        <x:v>EV000209</x:v>
      </x:c>
      <x:c r="K107" s="8" t="n">
        <x:v>46299.43767361111</x:v>
      </x:c>
      <x:c r="L107" s="2" t="str">
        <x:v>SCH01</x:v>
      </x:c>
      <x:c r="M107" s="9" t="n">
        <x:v>25.285</x:v>
      </x:c>
      <x:c r="N107" s="9" t="n">
        <x:v>51.51</x:v>
      </x:c>
      <x:c r="O107" s="2" t="str">
        <x:v>Valid</x:v>
      </x:c>
      <x:c r="P107" s="2" t="str">
        <x:v>EV000210</x:v>
      </x:c>
      <x:c r="Q107" s="8" t="n">
        <x:v>46299.4578125</x:v>
      </x:c>
      <x:c r="R107" s="2" t="str">
        <x:v>R2S3</x:v>
      </x:c>
      <x:c r="S107" s="9" t="n">
        <x:v>25.284000000000002</x:v>
      </x:c>
      <x:c r="T107" s="9" t="n">
        <x:v>51.504999999999995</x:v>
      </x:c>
      <x:c r="U107" s="2" t="str">
        <x:v>G046</x:v>
      </x:c>
      <x:c r="V107" s="2" t="str">
        <x:v>Authorized guardian release</x:v>
      </x:c>
      <x:c r="W107" s="2" t="str">
        <x:v>Completed transport</x:v>
      </x:c>
      <x:c r="X107" s="2" t="str">
        <x:v>QR</x:v>
      </x:c>
      <x:c r="Y107" s="2" t="str">
        <x:v>Online</x:v>
      </x:c>
      <x:c r="Z107" s="2" t="str">
        <x:v>Synced</x:v>
      </x:c>
      <x:c r="AA107" s="2"/>
      <x:c r="AB107" s="2"/>
      <x:c r="AC107" s="10" t="n">
        <x:f>IF(OR(K107="",Q107=""),"",ROUND((Q107-K107)*1440,2))</x:f>
        <x:v>29</x:v>
      </x:c>
    </x:row>
    <x:row r="108" ht="21" customHeight="1">
      <x:c r="A108" s="2" t="str">
        <x:v>LN00107</x:v>
      </x:c>
      <x:c r="B108" s="2" t="str">
        <x:v>T20261004-2-2</x:v>
      </x:c>
      <x:c r="C108" s="7" t="n">
        <x:v>46299</x:v>
      </x:c>
      <x:c r="D108" s="2" t="str">
        <x:v>BUS002</x:v>
      </x:c>
      <x:c r="E108" s="2" t="str">
        <x:v>ST047</x:v>
      </x:c>
      <x:c r="F108" s="2" t="n">
        <x:v>1</x:v>
      </x:c>
      <x:c r="G108" s="2" t="str">
        <x:v>Junior</x:v>
      </x:c>
      <x:c r="H108" s="2" t="str">
        <x:v>Drop-off</x:v>
      </x:c>
      <x:c r="I108" s="2" t="str">
        <x:v>R2S1</x:v>
      </x:c>
      <x:c r="J108" s="2" t="str">
        <x:v>EV000211</x:v>
      </x:c>
      <x:c r="K108" s="8" t="n">
        <x:v>46299.43770833333</x:v>
      </x:c>
      <x:c r="L108" s="2" t="str">
        <x:v>SCH01</x:v>
      </x:c>
      <x:c r="M108" s="9" t="n">
        <x:v>25.285</x:v>
      </x:c>
      <x:c r="N108" s="9" t="n">
        <x:v>51.51</x:v>
      </x:c>
      <x:c r="O108" s="2" t="str">
        <x:v>Valid</x:v>
      </x:c>
      <x:c r="P108" s="2" t="str">
        <x:v>EV000212</x:v>
      </x:c>
      <x:c r="Q108" s="8" t="n">
        <x:v>46299.44951388888</x:v>
      </x:c>
      <x:c r="R108" s="2" t="str">
        <x:v>R2S1</x:v>
      </x:c>
      <x:c r="S108" s="9" t="n">
        <x:v>25.28</x:v>
      </x:c>
      <x:c r="T108" s="9" t="n">
        <x:v>51.498999999999995</x:v>
      </x:c>
      <x:c r="U108" s="2" t="str">
        <x:v>G047</x:v>
      </x:c>
      <x:c r="V108" s="2" t="str">
        <x:v>Authorized guardian release</x:v>
      </x:c>
      <x:c r="W108" s="2" t="str">
        <x:v>Completed transport</x:v>
      </x:c>
      <x:c r="X108" s="2" t="str">
        <x:v>QR</x:v>
      </x:c>
      <x:c r="Y108" s="2" t="str">
        <x:v>Online</x:v>
      </x:c>
      <x:c r="Z108" s="2" t="str">
        <x:v>Synced</x:v>
      </x:c>
      <x:c r="AA108" s="2"/>
      <x:c r="AB108" s="2"/>
      <x:c r="AC108" s="10" t="n">
        <x:f>IF(OR(K108="",Q108=""),"",ROUND((Q108-K108)*1440,2))</x:f>
        <x:v>17</x:v>
      </x:c>
    </x:row>
    <x:row r="109" ht="21" customHeight="1">
      <x:c r="A109" s="2" t="str">
        <x:v>LN00108</x:v>
      </x:c>
      <x:c r="B109" s="2" t="str">
        <x:v>T20261004-2-2</x:v>
      </x:c>
      <x:c r="C109" s="7" t="n">
        <x:v>46299</x:v>
      </x:c>
      <x:c r="D109" s="2" t="str">
        <x:v>BUS002</x:v>
      </x:c>
      <x:c r="E109" s="2" t="str">
        <x:v>ST048</x:v>
      </x:c>
      <x:c r="F109" s="2" t="n">
        <x:v>1</x:v>
      </x:c>
      <x:c r="G109" s="2" t="str">
        <x:v>Junior</x:v>
      </x:c>
      <x:c r="H109" s="2" t="str">
        <x:v>Drop-off</x:v>
      </x:c>
      <x:c r="I109" s="2" t="str">
        <x:v>R2S2</x:v>
      </x:c>
      <x:c r="J109" s="2" t="str">
        <x:v>EV000213</x:v>
      </x:c>
      <x:c r="K109" s="8" t="n">
        <x:v>46299.437743055554</x:v>
      </x:c>
      <x:c r="L109" s="2" t="str">
        <x:v>SCH01</x:v>
      </x:c>
      <x:c r="M109" s="9" t="n">
        <x:v>25.285</x:v>
      </x:c>
      <x:c r="N109" s="9" t="n">
        <x:v>51.51</x:v>
      </x:c>
      <x:c r="O109" s="2" t="str">
        <x:v>Valid</x:v>
      </x:c>
      <x:c r="P109" s="2" t="str">
        <x:v>EV000214</x:v>
      </x:c>
      <x:c r="Q109" s="8" t="n">
        <x:v>46299.45371527778</x:v>
      </x:c>
      <x:c r="R109" s="2" t="str">
        <x:v>R2S2</x:v>
      </x:c>
      <x:c r="S109" s="9" t="n">
        <x:v>25.282000000000004</x:v>
      </x:c>
      <x:c r="T109" s="9" t="n">
        <x:v>51.501999999999995</x:v>
      </x:c>
      <x:c r="U109" s="2" t="str">
        <x:v>G048</x:v>
      </x:c>
      <x:c r="V109" s="2" t="str">
        <x:v>Authorized guardian release</x:v>
      </x:c>
      <x:c r="W109" s="2" t="str">
        <x:v>Completed transport</x:v>
      </x:c>
      <x:c r="X109" s="2" t="str">
        <x:v>QR</x:v>
      </x:c>
      <x:c r="Y109" s="2" t="str">
        <x:v>Online</x:v>
      </x:c>
      <x:c r="Z109" s="2" t="str">
        <x:v>Synced</x:v>
      </x:c>
      <x:c r="AA109" s="2"/>
      <x:c r="AB109" s="2"/>
      <x:c r="AC109" s="10" t="n">
        <x:f>IF(OR(K109="",Q109=""),"",ROUND((Q109-K109)*1440,2))</x:f>
        <x:v>23</x:v>
      </x:c>
    </x:row>
    <x:row r="110" ht="21" customHeight="1">
      <x:c r="A110" s="2" t="str">
        <x:v>LN00109</x:v>
      </x:c>
      <x:c r="B110" s="2" t="str">
        <x:v>T20261004-2-2</x:v>
      </x:c>
      <x:c r="C110" s="7" t="n">
        <x:v>46299</x:v>
      </x:c>
      <x:c r="D110" s="2" t="str">
        <x:v>BUS002</x:v>
      </x:c>
      <x:c r="E110" s="2" t="str">
        <x:v>ST049</x:v>
      </x:c>
      <x:c r="F110" s="2" t="n">
        <x:v>1</x:v>
      </x:c>
      <x:c r="G110" s="2" t="str">
        <x:v>Junior</x:v>
      </x:c>
      <x:c r="H110" s="2" t="str">
        <x:v>Drop-off</x:v>
      </x:c>
      <x:c r="I110" s="2" t="str">
        <x:v>R2S3</x:v>
      </x:c>
      <x:c r="J110" s="2" t="str">
        <x:v>EV000215</x:v>
      </x:c>
      <x:c r="K110" s="8" t="n">
        <x:v>46299.43777777778</x:v>
      </x:c>
      <x:c r="L110" s="2" t="str">
        <x:v>SCH01</x:v>
      </x:c>
      <x:c r="M110" s="9" t="n">
        <x:v>25.285</x:v>
      </x:c>
      <x:c r="N110" s="9" t="n">
        <x:v>51.51</x:v>
      </x:c>
      <x:c r="O110" s="2" t="str">
        <x:v>Valid</x:v>
      </x:c>
      <x:c r="P110" s="2" t="str">
        <x:v>EV000216</x:v>
      </x:c>
      <x:c r="Q110" s="8" t="n">
        <x:v>46299.457916666666</x:v>
      </x:c>
      <x:c r="R110" s="2" t="str">
        <x:v>R2S3</x:v>
      </x:c>
      <x:c r="S110" s="9" t="n">
        <x:v>25.284000000000002</x:v>
      </x:c>
      <x:c r="T110" s="9" t="n">
        <x:v>51.504999999999995</x:v>
      </x:c>
      <x:c r="U110" s="2" t="str">
        <x:v>G049</x:v>
      </x:c>
      <x:c r="V110" s="2" t="str">
        <x:v>Authorized guardian release</x:v>
      </x:c>
      <x:c r="W110" s="2" t="str">
        <x:v>Completed transport</x:v>
      </x:c>
      <x:c r="X110" s="2" t="str">
        <x:v>QR</x:v>
      </x:c>
      <x:c r="Y110" s="2" t="str">
        <x:v>Online</x:v>
      </x:c>
      <x:c r="Z110" s="2" t="str">
        <x:v>Synced</x:v>
      </x:c>
      <x:c r="AA110" s="2"/>
      <x:c r="AB110" s="2"/>
      <x:c r="AC110" s="10" t="n">
        <x:f>IF(OR(K110="",Q110=""),"",ROUND((Q110-K110)*1440,2))</x:f>
        <x:v>29</x:v>
      </x:c>
    </x:row>
    <x:row r="111" ht="21" customHeight="1">
      <x:c r="A111" s="2" t="str">
        <x:v>LN00110</x:v>
      </x:c>
      <x:c r="B111" s="2" t="str">
        <x:v>T20261004-2-2</x:v>
      </x:c>
      <x:c r="C111" s="7" t="n">
        <x:v>46299</x:v>
      </x:c>
      <x:c r="D111" s="2" t="str">
        <x:v>BUS002</x:v>
      </x:c>
      <x:c r="E111" s="2" t="str">
        <x:v>ST050</x:v>
      </x:c>
      <x:c r="F111" s="2" t="n">
        <x:v>1</x:v>
      </x:c>
      <x:c r="G111" s="2" t="str">
        <x:v>Junior</x:v>
      </x:c>
      <x:c r="H111" s="2" t="str">
        <x:v>Drop-off</x:v>
      </x:c>
      <x:c r="I111" s="2" t="str">
        <x:v>R2S1</x:v>
      </x:c>
      <x:c r="J111" s="2" t="str">
        <x:v>EV000217</x:v>
      </x:c>
      <x:c r="K111" s="8" t="n">
        <x:v>46299.4378125</x:v>
      </x:c>
      <x:c r="L111" s="2" t="str">
        <x:v>SCH01</x:v>
      </x:c>
      <x:c r="M111" s="9" t="n">
        <x:v>25.285</x:v>
      </x:c>
      <x:c r="N111" s="9" t="n">
        <x:v>51.51</x:v>
      </x:c>
      <x:c r="O111" s="2" t="str">
        <x:v>Valid</x:v>
      </x:c>
      <x:c r="P111" s="2" t="str">
        <x:v>EV000218</x:v>
      </x:c>
      <x:c r="Q111" s="8" t="n">
        <x:v>46299.44961805555</x:v>
      </x:c>
      <x:c r="R111" s="2" t="str">
        <x:v>R2S1</x:v>
      </x:c>
      <x:c r="S111" s="9" t="n">
        <x:v>25.28</x:v>
      </x:c>
      <x:c r="T111" s="9" t="n">
        <x:v>51.498999999999995</x:v>
      </x:c>
      <x:c r="U111" s="2" t="str">
        <x:v>G050</x:v>
      </x:c>
      <x:c r="V111" s="2" t="str">
        <x:v>Authorized guardian release</x:v>
      </x:c>
      <x:c r="W111" s="2" t="str">
        <x:v>Completed transport</x:v>
      </x:c>
      <x:c r="X111" s="2" t="str">
        <x:v>QR</x:v>
      </x:c>
      <x:c r="Y111" s="2" t="str">
        <x:v>Online</x:v>
      </x:c>
      <x:c r="Z111" s="2" t="str">
        <x:v>Synced</x:v>
      </x:c>
      <x:c r="AA111" s="2"/>
      <x:c r="AB111" s="2"/>
      <x:c r="AC111" s="10" t="n">
        <x:f>IF(OR(K111="",Q111=""),"",ROUND((Q111-K111)*1440,2))</x:f>
        <x:v>17</x:v>
      </x:c>
    </x:row>
    <x:row r="112" ht="21" customHeight="1">
      <x:c r="A112" s="2" t="str">
        <x:v>LN00111</x:v>
      </x:c>
      <x:c r="B112" s="2" t="str">
        <x:v>T20261004-2-2</x:v>
      </x:c>
      <x:c r="C112" s="7" t="n">
        <x:v>46299</x:v>
      </x:c>
      <x:c r="D112" s="2" t="str">
        <x:v>BUS002</x:v>
      </x:c>
      <x:c r="E112" s="2" t="str">
        <x:v>ST061</x:v>
      </x:c>
      <x:c r="F112" s="2" t="n">
        <x:v>2</x:v>
      </x:c>
      <x:c r="G112" s="2" t="str">
        <x:v>Junior</x:v>
      </x:c>
      <x:c r="H112" s="2" t="str">
        <x:v>Pickup</x:v>
      </x:c>
      <x:c r="I112" s="2" t="str">
        <x:v>R2S3</x:v>
      </x:c>
      <x:c r="J112" s="2" t="str">
        <x:v>EV000219</x:v>
      </x:c>
      <x:c r="K112" s="8" t="n">
        <x:v>46299.48125</x:v>
      </x:c>
      <x:c r="L112" s="2" t="str">
        <x:v>R2S3</x:v>
      </x:c>
      <x:c r="M112" s="9" t="n">
        <x:v>25.284000000000002</x:v>
      </x:c>
      <x:c r="N112" s="9" t="n">
        <x:v>51.504999999999995</x:v>
      </x:c>
      <x:c r="O112" s="2" t="str">
        <x:v>Valid</x:v>
      </x:c>
      <x:c r="P112" s="2" t="str">
        <x:v>EV000220</x:v>
      </x:c>
      <x:c r="Q112" s="8" t="n">
        <x:v>46299.506250000006</x:v>
      </x:c>
      <x:c r="R112" s="2" t="str">
        <x:v>SCH01</x:v>
      </x:c>
      <x:c r="S112" s="9" t="n">
        <x:v>25.285</x:v>
      </x:c>
      <x:c r="T112" s="9" t="n">
        <x:v>51.51</x:v>
      </x:c>
      <x:c r="U112" s="2" t="str">
        <x:v>SCHOOL_RECEIVER_01</x:v>
      </x:c>
      <x:c r="V112" s="2" t="str">
        <x:v>School staff receipt</x:v>
      </x:c>
      <x:c r="W112" s="2" t="str">
        <x:v>Completed transport</x:v>
      </x:c>
      <x:c r="X112" s="2" t="str">
        <x:v>QR</x:v>
      </x:c>
      <x:c r="Y112" s="2" t="str">
        <x:v>Online</x:v>
      </x:c>
      <x:c r="Z112" s="2" t="str">
        <x:v>Synced</x:v>
      </x:c>
      <x:c r="AA112" s="2"/>
      <x:c r="AB112" s="2"/>
      <x:c r="AC112" s="10" t="n">
        <x:f>IF(OR(K112="",Q112=""),"",ROUND((Q112-K112)*1440,2))</x:f>
        <x:v>36</x:v>
      </x:c>
    </x:row>
    <x:row r="113" ht="21" customHeight="1">
      <x:c r="A113" s="2" t="str">
        <x:v>LN00112</x:v>
      </x:c>
      <x:c r="B113" s="2" t="str">
        <x:v>T20261004-2-2</x:v>
      </x:c>
      <x:c r="C113" s="7" t="n">
        <x:v>46299</x:v>
      </x:c>
      <x:c r="D113" s="2" t="str">
        <x:v>BUS002</x:v>
      </x:c>
      <x:c r="E113" s="2" t="str">
        <x:v>ST062</x:v>
      </x:c>
      <x:c r="F113" s="2" t="n">
        <x:v>2</x:v>
      </x:c>
      <x:c r="G113" s="2" t="str">
        <x:v>Junior</x:v>
      </x:c>
      <x:c r="H113" s="2" t="str">
        <x:v>Pickup</x:v>
      </x:c>
      <x:c r="I113" s="2" t="str">
        <x:v>R2S1</x:v>
      </x:c>
      <x:c r="J113" s="2" t="str">
        <x:v>EV000221</x:v>
      </x:c>
      <x:c r="K113" s="8" t="n">
        <x:v>46299.4715625</x:v>
      </x:c>
      <x:c r="L113" s="2" t="str">
        <x:v>R2S1</x:v>
      </x:c>
      <x:c r="M113" s="9" t="n">
        <x:v>25.28</x:v>
      </x:c>
      <x:c r="N113" s="9" t="n">
        <x:v>51.498999999999995</x:v>
      </x:c>
      <x:c r="O113" s="2" t="str">
        <x:v>Valid</x:v>
      </x:c>
      <x:c r="P113" s="2" t="str">
        <x:v>EV000222</x:v>
      </x:c>
      <x:c r="Q113" s="8" t="n">
        <x:v>46299.50628472223</x:v>
      </x:c>
      <x:c r="R113" s="2" t="str">
        <x:v>SCH01</x:v>
      </x:c>
      <x:c r="S113" s="9" t="n">
        <x:v>25.285</x:v>
      </x:c>
      <x:c r="T113" s="9" t="n">
        <x:v>51.51</x:v>
      </x:c>
      <x:c r="U113" s="2" t="str">
        <x:v>SCHOOL_RECEIVER_01</x:v>
      </x:c>
      <x:c r="V113" s="2" t="str">
        <x:v>School staff receipt</x:v>
      </x:c>
      <x:c r="W113" s="2" t="str">
        <x:v>Completed transport</x:v>
      </x:c>
      <x:c r="X113" s="2" t="str">
        <x:v>QR</x:v>
      </x:c>
      <x:c r="Y113" s="2" t="str">
        <x:v>Online</x:v>
      </x:c>
      <x:c r="Z113" s="2" t="str">
        <x:v>Synced</x:v>
      </x:c>
      <x:c r="AA113" s="2"/>
      <x:c r="AB113" s="2"/>
      <x:c r="AC113" s="10" t="n">
        <x:f>IF(OR(K113="",Q113=""),"",ROUND((Q113-K113)*1440,2))</x:f>
        <x:v>50</x:v>
      </x:c>
    </x:row>
    <x:row r="114" ht="21" customHeight="1">
      <x:c r="A114" s="2" t="str">
        <x:v>LN00113</x:v>
      </x:c>
      <x:c r="B114" s="2" t="str">
        <x:v>T20261004-2-2</x:v>
      </x:c>
      <x:c r="C114" s="7" t="n">
        <x:v>46299</x:v>
      </x:c>
      <x:c r="D114" s="2" t="str">
        <x:v>BUS002</x:v>
      </x:c>
      <x:c r="E114" s="2" t="str">
        <x:v>ST063</x:v>
      </x:c>
      <x:c r="F114" s="2" t="n">
        <x:v>2</x:v>
      </x:c>
      <x:c r="G114" s="2" t="str">
        <x:v>Junior</x:v>
      </x:c>
      <x:c r="H114" s="2" t="str">
        <x:v>Pickup</x:v>
      </x:c>
      <x:c r="I114" s="2" t="str">
        <x:v>R2S2</x:v>
      </x:c>
      <x:c r="J114" s="2" t="str">
        <x:v>EV000223</x:v>
      </x:c>
      <x:c r="K114" s="8" t="n">
        <x:v>46299.47645833333</x:v>
      </x:c>
      <x:c r="L114" s="2" t="str">
        <x:v>R2S2</x:v>
      </x:c>
      <x:c r="M114" s="9" t="n">
        <x:v>25.282000000000004</x:v>
      </x:c>
      <x:c r="N114" s="9" t="n">
        <x:v>51.501999999999995</x:v>
      </x:c>
      <x:c r="O114" s="2" t="str">
        <x:v>Valid</x:v>
      </x:c>
      <x:c r="P114" s="2" t="str">
        <x:v>EV000224</x:v>
      </x:c>
      <x:c r="Q114" s="8" t="n">
        <x:v>46299.506319444445</x:v>
      </x:c>
      <x:c r="R114" s="2" t="str">
        <x:v>SCH01</x:v>
      </x:c>
      <x:c r="S114" s="9" t="n">
        <x:v>25.285</x:v>
      </x:c>
      <x:c r="T114" s="9" t="n">
        <x:v>51.51</x:v>
      </x:c>
      <x:c r="U114" s="2" t="str">
        <x:v>SCHOOL_RECEIVER_01</x:v>
      </x:c>
      <x:c r="V114" s="2" t="str">
        <x:v>School staff receipt</x:v>
      </x:c>
      <x:c r="W114" s="2" t="str">
        <x:v>Completed transport</x:v>
      </x:c>
      <x:c r="X114" s="2" t="str">
        <x:v>QR</x:v>
      </x:c>
      <x:c r="Y114" s="2" t="str">
        <x:v>Online</x:v>
      </x:c>
      <x:c r="Z114" s="2" t="str">
        <x:v>Synced</x:v>
      </x:c>
      <x:c r="AA114" s="2"/>
      <x:c r="AB114" s="2"/>
      <x:c r="AC114" s="10" t="n">
        <x:f>IF(OR(K114="",Q114=""),"",ROUND((Q114-K114)*1440,2))</x:f>
        <x:v>43</x:v>
      </x:c>
    </x:row>
    <x:row r="115" ht="21" customHeight="1">
      <x:c r="A115" s="2" t="str">
        <x:v>LN00114</x:v>
      </x:c>
      <x:c r="B115" s="2" t="str">
        <x:v>T20261004-2-2</x:v>
      </x:c>
      <x:c r="C115" s="7" t="n">
        <x:v>46299</x:v>
      </x:c>
      <x:c r="D115" s="2" t="str">
        <x:v>BUS002</x:v>
      </x:c>
      <x:c r="E115" s="2" t="str">
        <x:v>ST064</x:v>
      </x:c>
      <x:c r="F115" s="2" t="n">
        <x:v>2</x:v>
      </x:c>
      <x:c r="G115" s="2" t="str">
        <x:v>Junior</x:v>
      </x:c>
      <x:c r="H115" s="2" t="str">
        <x:v>Pickup</x:v>
      </x:c>
      <x:c r="I115" s="2" t="str">
        <x:v>R2S3</x:v>
      </x:c>
      <x:c r="J115" s="2" t="str">
        <x:v>EV000225</x:v>
      </x:c>
      <x:c r="K115" s="8" t="n">
        <x:v>46299.481354166666</x:v>
      </x:c>
      <x:c r="L115" s="2" t="str">
        <x:v>R2S3</x:v>
      </x:c>
      <x:c r="M115" s="9" t="n">
        <x:v>25.284000000000002</x:v>
      </x:c>
      <x:c r="N115" s="9" t="n">
        <x:v>51.504999999999995</x:v>
      </x:c>
      <x:c r="O115" s="2" t="str">
        <x:v>Valid</x:v>
      </x:c>
      <x:c r="P115" s="2" t="str">
        <x:v>EV000226</x:v>
      </x:c>
      <x:c r="Q115" s="8" t="n">
        <x:v>46299.50635416667</x:v>
      </x:c>
      <x:c r="R115" s="2" t="str">
        <x:v>SCH01</x:v>
      </x:c>
      <x:c r="S115" s="9" t="n">
        <x:v>25.285</x:v>
      </x:c>
      <x:c r="T115" s="9" t="n">
        <x:v>51.51</x:v>
      </x:c>
      <x:c r="U115" s="2" t="str">
        <x:v>SCHOOL_RECEIVER_01</x:v>
      </x:c>
      <x:c r="V115" s="2" t="str">
        <x:v>School staff receipt</x:v>
      </x:c>
      <x:c r="W115" s="2" t="str">
        <x:v>Completed transport</x:v>
      </x:c>
      <x:c r="X115" s="2" t="str">
        <x:v>QR</x:v>
      </x:c>
      <x:c r="Y115" s="2" t="str">
        <x:v>Online</x:v>
      </x:c>
      <x:c r="Z115" s="2" t="str">
        <x:v>Synced</x:v>
      </x:c>
      <x:c r="AA115" s="2"/>
      <x:c r="AB115" s="2"/>
      <x:c r="AC115" s="10" t="n">
        <x:f>IF(OR(K115="",Q115=""),"",ROUND((Q115-K115)*1440,2))</x:f>
        <x:v>36</x:v>
      </x:c>
    </x:row>
    <x:row r="116" ht="21" customHeight="1">
      <x:c r="A116" s="2" t="str">
        <x:v>LN00115</x:v>
      </x:c>
      <x:c r="B116" s="2" t="str">
        <x:v>T20261004-2-2</x:v>
      </x:c>
      <x:c r="C116" s="7" t="n">
        <x:v>46299</x:v>
      </x:c>
      <x:c r="D116" s="2" t="str">
        <x:v>BUS002</x:v>
      </x:c>
      <x:c r="E116" s="2" t="str">
        <x:v>ST065</x:v>
      </x:c>
      <x:c r="F116" s="2" t="n">
        <x:v>2</x:v>
      </x:c>
      <x:c r="G116" s="2" t="str">
        <x:v>Junior</x:v>
      </x:c>
      <x:c r="H116" s="2" t="str">
        <x:v>Pickup</x:v>
      </x:c>
      <x:c r="I116" s="2" t="str">
        <x:v>R2S1</x:v>
      </x:c>
      <x:c r="J116" s="2" t="str">
        <x:v>EV000227</x:v>
      </x:c>
      <x:c r="K116" s="8" t="n">
        <x:v>46299.47166666667</x:v>
      </x:c>
      <x:c r="L116" s="2" t="str">
        <x:v>R2S1</x:v>
      </x:c>
      <x:c r="M116" s="9" t="n">
        <x:v>25.28</x:v>
      </x:c>
      <x:c r="N116" s="9" t="n">
        <x:v>51.498999999999995</x:v>
      </x:c>
      <x:c r="O116" s="2" t="str">
        <x:v>Valid</x:v>
      </x:c>
      <x:c r="P116" s="2" t="str">
        <x:v>EV000228</x:v>
      </x:c>
      <x:c r="Q116" s="8" t="n">
        <x:v>46299.50638888889</x:v>
      </x:c>
      <x:c r="R116" s="2" t="str">
        <x:v>SCH01</x:v>
      </x:c>
      <x:c r="S116" s="9" t="n">
        <x:v>25.285</x:v>
      </x:c>
      <x:c r="T116" s="9" t="n">
        <x:v>51.51</x:v>
      </x:c>
      <x:c r="U116" s="2" t="str">
        <x:v>SCHOOL_RECEIVER_01</x:v>
      </x:c>
      <x:c r="V116" s="2" t="str">
        <x:v>School staff receipt</x:v>
      </x:c>
      <x:c r="W116" s="2" t="str">
        <x:v>Completed transport</x:v>
      </x:c>
      <x:c r="X116" s="2" t="str">
        <x:v>QR</x:v>
      </x:c>
      <x:c r="Y116" s="2" t="str">
        <x:v>Online</x:v>
      </x:c>
      <x:c r="Z116" s="2" t="str">
        <x:v>Synced</x:v>
      </x:c>
      <x:c r="AA116" s="2"/>
      <x:c r="AB116" s="2"/>
      <x:c r="AC116" s="10" t="n">
        <x:f>IF(OR(K116="",Q116=""),"",ROUND((Q116-K116)*1440,2))</x:f>
        <x:v>50</x:v>
      </x:c>
    </x:row>
    <x:row r="117" ht="21" customHeight="1">
      <x:c r="A117" s="2" t="str">
        <x:v>LN00116</x:v>
      </x:c>
      <x:c r="B117" s="2" t="str">
        <x:v>T20261004-2-2</x:v>
      </x:c>
      <x:c r="C117" s="7" t="n">
        <x:v>46299</x:v>
      </x:c>
      <x:c r="D117" s="2" t="str">
        <x:v>BUS002</x:v>
      </x:c>
      <x:c r="E117" s="2" t="str">
        <x:v>ST066</x:v>
      </x:c>
      <x:c r="F117" s="2" t="n">
        <x:v>2</x:v>
      </x:c>
      <x:c r="G117" s="2" t="str">
        <x:v>Junior</x:v>
      </x:c>
      <x:c r="H117" s="2" t="str">
        <x:v>Pickup</x:v>
      </x:c>
      <x:c r="I117" s="2" t="str">
        <x:v>R2S2</x:v>
      </x:c>
      <x:c r="J117" s="2" t="str">
        <x:v>EV000229</x:v>
      </x:c>
      <x:c r="K117" s="8" t="n">
        <x:v>46299.47656249999</x:v>
      </x:c>
      <x:c r="L117" s="2" t="str">
        <x:v>R2S2</x:v>
      </x:c>
      <x:c r="M117" s="9" t="n">
        <x:v>25.282000000000004</x:v>
      </x:c>
      <x:c r="N117" s="9" t="n">
        <x:v>51.501999999999995</x:v>
      </x:c>
      <x:c r="O117" s="2" t="str">
        <x:v>Valid</x:v>
      </x:c>
      <x:c r="P117" s="2" t="str">
        <x:v>EV000230</x:v>
      </x:c>
      <x:c r="Q117" s="8" t="n">
        <x:v>46299.506423611114</x:v>
      </x:c>
      <x:c r="R117" s="2" t="str">
        <x:v>SCH01</x:v>
      </x:c>
      <x:c r="S117" s="9" t="n">
        <x:v>25.285</x:v>
      </x:c>
      <x:c r="T117" s="9" t="n">
        <x:v>51.51</x:v>
      </x:c>
      <x:c r="U117" s="2" t="str">
        <x:v>SCHOOL_RECEIVER_01</x:v>
      </x:c>
      <x:c r="V117" s="2" t="str">
        <x:v>School staff receipt</x:v>
      </x:c>
      <x:c r="W117" s="2" t="str">
        <x:v>Completed transport</x:v>
      </x:c>
      <x:c r="X117" s="2" t="str">
        <x:v>QR</x:v>
      </x:c>
      <x:c r="Y117" s="2" t="str">
        <x:v>Online</x:v>
      </x:c>
      <x:c r="Z117" s="2" t="str">
        <x:v>Synced</x:v>
      </x:c>
      <x:c r="AA117" s="2"/>
      <x:c r="AB117" s="2"/>
      <x:c r="AC117" s="10" t="n">
        <x:f>IF(OR(K117="",Q117=""),"",ROUND((Q117-K117)*1440,2))</x:f>
        <x:v>43</x:v>
      </x:c>
    </x:row>
    <x:row r="118" ht="21" customHeight="1">
      <x:c r="A118" s="2" t="str">
        <x:v>LN00117</x:v>
      </x:c>
      <x:c r="B118" s="2" t="str">
        <x:v>T20261004-2-2</x:v>
      </x:c>
      <x:c r="C118" s="7" t="n">
        <x:v>46299</x:v>
      </x:c>
      <x:c r="D118" s="2" t="str">
        <x:v>BUS002</x:v>
      </x:c>
      <x:c r="E118" s="2" t="str">
        <x:v>ST067</x:v>
      </x:c>
      <x:c r="F118" s="2" t="n">
        <x:v>2</x:v>
      </x:c>
      <x:c r="G118" s="2" t="str">
        <x:v>Junior</x:v>
      </x:c>
      <x:c r="H118" s="2" t="str">
        <x:v>Pickup</x:v>
      </x:c>
      <x:c r="I118" s="2" t="str">
        <x:v>R2S3</x:v>
      </x:c>
      <x:c r="J118" s="2" t="str">
        <x:v>EV000231</x:v>
      </x:c>
      <x:c r="K118" s="8" t="n">
        <x:v>46299.48145833333</x:v>
      </x:c>
      <x:c r="L118" s="2" t="str">
        <x:v>R2S3</x:v>
      </x:c>
      <x:c r="M118" s="9" t="n">
        <x:v>25.284000000000002</x:v>
      </x:c>
      <x:c r="N118" s="9" t="n">
        <x:v>51.504999999999995</x:v>
      </x:c>
      <x:c r="O118" s="2" t="str">
        <x:v>Valid</x:v>
      </x:c>
      <x:c r="P118" s="2" t="str">
        <x:v>EV000232</x:v>
      </x:c>
      <x:c r="Q118" s="8" t="n">
        <x:v>46299.50645833334</x:v>
      </x:c>
      <x:c r="R118" s="2" t="str">
        <x:v>SCH01</x:v>
      </x:c>
      <x:c r="S118" s="9" t="n">
        <x:v>25.285</x:v>
      </x:c>
      <x:c r="T118" s="9" t="n">
        <x:v>51.51</x:v>
      </x:c>
      <x:c r="U118" s="2" t="str">
        <x:v>SCHOOL_RECEIVER_01</x:v>
      </x:c>
      <x:c r="V118" s="2" t="str">
        <x:v>School staff receipt</x:v>
      </x:c>
      <x:c r="W118" s="2" t="str">
        <x:v>Completed transport</x:v>
      </x:c>
      <x:c r="X118" s="2" t="str">
        <x:v>QR</x:v>
      </x:c>
      <x:c r="Y118" s="2" t="str">
        <x:v>Online</x:v>
      </x:c>
      <x:c r="Z118" s="2" t="str">
        <x:v>Synced</x:v>
      </x:c>
      <x:c r="AA118" s="2"/>
      <x:c r="AB118" s="2"/>
      <x:c r="AC118" s="10" t="n">
        <x:f>IF(OR(K118="",Q118=""),"",ROUND((Q118-K118)*1440,2))</x:f>
        <x:v>36</x:v>
      </x:c>
    </x:row>
    <x:row r="119" ht="21" customHeight="1">
      <x:c r="A119" s="2" t="str">
        <x:v>LN00118</x:v>
      </x:c>
      <x:c r="B119" s="2" t="str">
        <x:v>T20261004-2-2</x:v>
      </x:c>
      <x:c r="C119" s="7" t="n">
        <x:v>46299</x:v>
      </x:c>
      <x:c r="D119" s="2" t="str">
        <x:v>BUS002</x:v>
      </x:c>
      <x:c r="E119" s="2" t="str">
        <x:v>ST068</x:v>
      </x:c>
      <x:c r="F119" s="2" t="n">
        <x:v>2</x:v>
      </x:c>
      <x:c r="G119" s="2" t="str">
        <x:v>Junior</x:v>
      </x:c>
      <x:c r="H119" s="2" t="str">
        <x:v>Pickup</x:v>
      </x:c>
      <x:c r="I119" s="2" t="str">
        <x:v>R2S1</x:v>
      </x:c>
      <x:c r="J119" s="2" t="str">
        <x:v>EV000233</x:v>
      </x:c>
      <x:c r="K119" s="8" t="n">
        <x:v>46299.471770833334</x:v>
      </x:c>
      <x:c r="L119" s="2" t="str">
        <x:v>R2S1</x:v>
      </x:c>
      <x:c r="M119" s="9" t="n">
        <x:v>25.28</x:v>
      </x:c>
      <x:c r="N119" s="9" t="n">
        <x:v>51.498999999999995</x:v>
      </x:c>
      <x:c r="O119" s="2" t="str">
        <x:v>Valid</x:v>
      </x:c>
      <x:c r="P119" s="2" t="str">
        <x:v>EV000234</x:v>
      </x:c>
      <x:c r="Q119" s="8" t="n">
        <x:v>46299.50649305556</x:v>
      </x:c>
      <x:c r="R119" s="2" t="str">
        <x:v>SCH01</x:v>
      </x:c>
      <x:c r="S119" s="9" t="n">
        <x:v>25.285</x:v>
      </x:c>
      <x:c r="T119" s="9" t="n">
        <x:v>51.51</x:v>
      </x:c>
      <x:c r="U119" s="2" t="str">
        <x:v>SCHOOL_RECEIVER_01</x:v>
      </x:c>
      <x:c r="V119" s="2" t="str">
        <x:v>School staff receipt</x:v>
      </x:c>
      <x:c r="W119" s="2" t="str">
        <x:v>Completed transport</x:v>
      </x:c>
      <x:c r="X119" s="2" t="str">
        <x:v>QR</x:v>
      </x:c>
      <x:c r="Y119" s="2" t="str">
        <x:v>Online</x:v>
      </x:c>
      <x:c r="Z119" s="2" t="str">
        <x:v>Synced</x:v>
      </x:c>
      <x:c r="AA119" s="2"/>
      <x:c r="AB119" s="2"/>
      <x:c r="AC119" s="10" t="n">
        <x:f>IF(OR(K119="",Q119=""),"",ROUND((Q119-K119)*1440,2))</x:f>
        <x:v>50</x:v>
      </x:c>
    </x:row>
    <x:row r="120" ht="21" customHeight="1">
      <x:c r="A120" s="2" t="str">
        <x:v>LN00119</x:v>
      </x:c>
      <x:c r="B120" s="2" t="str">
        <x:v>T20261004-2-2</x:v>
      </x:c>
      <x:c r="C120" s="7" t="n">
        <x:v>46299</x:v>
      </x:c>
      <x:c r="D120" s="2" t="str">
        <x:v>BUS002</x:v>
      </x:c>
      <x:c r="E120" s="2" t="str">
        <x:v>ST069</x:v>
      </x:c>
      <x:c r="F120" s="2" t="n">
        <x:v>2</x:v>
      </x:c>
      <x:c r="G120" s="2" t="str">
        <x:v>Junior</x:v>
      </x:c>
      <x:c r="H120" s="2" t="str">
        <x:v>Pickup</x:v>
      </x:c>
      <x:c r="I120" s="2" t="str">
        <x:v>R2S2</x:v>
      </x:c>
      <x:c r="J120" s="2" t="str">
        <x:v>EV000235</x:v>
      </x:c>
      <x:c r="K120" s="8" t="n">
        <x:v>46299.47666666666</x:v>
      </x:c>
      <x:c r="L120" s="2" t="str">
        <x:v>R2S2</x:v>
      </x:c>
      <x:c r="M120" s="9" t="n">
        <x:v>25.282000000000004</x:v>
      </x:c>
      <x:c r="N120" s="9" t="n">
        <x:v>51.501999999999995</x:v>
      </x:c>
      <x:c r="O120" s="2" t="str">
        <x:v>Valid</x:v>
      </x:c>
      <x:c r="P120" s="2" t="str">
        <x:v>EV000236</x:v>
      </x:c>
      <x:c r="Q120" s="8" t="n">
        <x:v>46299.50652777778</x:v>
      </x:c>
      <x:c r="R120" s="2" t="str">
        <x:v>SCH01</x:v>
      </x:c>
      <x:c r="S120" s="9" t="n">
        <x:v>25.285</x:v>
      </x:c>
      <x:c r="T120" s="9" t="n">
        <x:v>51.51</x:v>
      </x:c>
      <x:c r="U120" s="2" t="str">
        <x:v>SCHOOL_RECEIVER_01</x:v>
      </x:c>
      <x:c r="V120" s="2" t="str">
        <x:v>School staff receipt</x:v>
      </x:c>
      <x:c r="W120" s="2" t="str">
        <x:v>Completed transport</x:v>
      </x:c>
      <x:c r="X120" s="2" t="str">
        <x:v>QR</x:v>
      </x:c>
      <x:c r="Y120" s="2" t="str">
        <x:v>Online</x:v>
      </x:c>
      <x:c r="Z120" s="2" t="str">
        <x:v>Synced</x:v>
      </x:c>
      <x:c r="AA120" s="2"/>
      <x:c r="AB120" s="2"/>
      <x:c r="AC120" s="10" t="n">
        <x:f>IF(OR(K120="",Q120=""),"",ROUND((Q120-K120)*1440,2))</x:f>
        <x:v>43</x:v>
      </x:c>
    </x:row>
    <x:row r="121" ht="21" customHeight="1">
      <x:c r="A121" s="2" t="str">
        <x:v>LN00120</x:v>
      </x:c>
      <x:c r="B121" s="2" t="str">
        <x:v>T20261004-2-2</x:v>
      </x:c>
      <x:c r="C121" s="7" t="n">
        <x:v>46299</x:v>
      </x:c>
      <x:c r="D121" s="2" t="str">
        <x:v>BUS002</x:v>
      </x:c>
      <x:c r="E121" s="2" t="str">
        <x:v>ST070</x:v>
      </x:c>
      <x:c r="F121" s="2" t="n">
        <x:v>2</x:v>
      </x:c>
      <x:c r="G121" s="2" t="str">
        <x:v>Junior</x:v>
      </x:c>
      <x:c r="H121" s="2" t="str">
        <x:v>Pickup</x:v>
      </x:c>
      <x:c r="I121" s="2" t="str">
        <x:v>R2S3</x:v>
      </x:c>
      <x:c r="J121" s="2" t="str">
        <x:v>EV000237</x:v>
      </x:c>
      <x:c r="K121" s="8" t="n">
        <x:v>46299.4815625</x:v>
      </x:c>
      <x:c r="L121" s="2" t="str">
        <x:v>R2S3</x:v>
      </x:c>
      <x:c r="M121" s="9" t="n">
        <x:v>25.284000000000002</x:v>
      </x:c>
      <x:c r="N121" s="9" t="n">
        <x:v>51.504999999999995</x:v>
      </x:c>
      <x:c r="O121" s="2" t="str">
        <x:v>Valid</x:v>
      </x:c>
      <x:c r="P121" s="2" t="str">
        <x:v>EV000238</x:v>
      </x:c>
      <x:c r="Q121" s="8" t="n">
        <x:v>46299.506562500006</x:v>
      </x:c>
      <x:c r="R121" s="2" t="str">
        <x:v>SCH01</x:v>
      </x:c>
      <x:c r="S121" s="9" t="n">
        <x:v>25.285</x:v>
      </x:c>
      <x:c r="T121" s="9" t="n">
        <x:v>51.51</x:v>
      </x:c>
      <x:c r="U121" s="2" t="str">
        <x:v>SCHOOL_RECEIVER_01</x:v>
      </x:c>
      <x:c r="V121" s="2" t="str">
        <x:v>School staff receipt</x:v>
      </x:c>
      <x:c r="W121" s="2" t="str">
        <x:v>Completed transport</x:v>
      </x:c>
      <x:c r="X121" s="2" t="str">
        <x:v>QR</x:v>
      </x:c>
      <x:c r="Y121" s="2" t="str">
        <x:v>Online</x:v>
      </x:c>
      <x:c r="Z121" s="2" t="str">
        <x:v>Synced</x:v>
      </x:c>
      <x:c r="AA121" s="2"/>
      <x:c r="AB121" s="2"/>
      <x:c r="AC121" s="10" t="n">
        <x:f>IF(OR(K121="",Q121=""),"",ROUND((Q121-K121)*1440,2))</x:f>
        <x:v>36</x:v>
      </x:c>
    </x:row>
    <x:row r="122" ht="21" customHeight="1">
      <x:c r="A122" s="2" t="str">
        <x:v>LN00121</x:v>
      </x:c>
      <x:c r="B122" s="2" t="str">
        <x:v>T20261004-2-2</x:v>
      </x:c>
      <x:c r="C122" s="7" t="n">
        <x:v>46299</x:v>
      </x:c>
      <x:c r="D122" s="2" t="str">
        <x:v>BUS002</x:v>
      </x:c>
      <x:c r="E122" s="2" t="str">
        <x:v>ST071</x:v>
      </x:c>
      <x:c r="F122" s="2" t="n">
        <x:v>2</x:v>
      </x:c>
      <x:c r="G122" s="2" t="str">
        <x:v>Senior</x:v>
      </x:c>
      <x:c r="H122" s="2" t="str">
        <x:v>Pickup</x:v>
      </x:c>
      <x:c r="I122" s="2" t="str">
        <x:v>R2S1</x:v>
      </x:c>
      <x:c r="J122" s="2" t="str">
        <x:v>EV000239</x:v>
      </x:c>
      <x:c r="K122" s="8" t="n">
        <x:v>46299.47152777778</x:v>
      </x:c>
      <x:c r="L122" s="2" t="str">
        <x:v>R2S1</x:v>
      </x:c>
      <x:c r="M122" s="9" t="n">
        <x:v>25.28</x:v>
      </x:c>
      <x:c r="N122" s="9" t="n">
        <x:v>51.498999999999995</x:v>
      </x:c>
      <x:c r="O122" s="2" t="str">
        <x:v>Valid</x:v>
      </x:c>
      <x:c r="P122" s="2" t="str">
        <x:v>EV000240</x:v>
      </x:c>
      <x:c r="Q122" s="8" t="n">
        <x:v>46299.50659722223</x:v>
      </x:c>
      <x:c r="R122" s="2" t="str">
        <x:v>SCH01</x:v>
      </x:c>
      <x:c r="S122" s="9" t="n">
        <x:v>25.285</x:v>
      </x:c>
      <x:c r="T122" s="9" t="n">
        <x:v>51.51</x:v>
      </x:c>
      <x:c r="U122" s="2" t="str">
        <x:v>SCHOOL_RECEIVER_01</x:v>
      </x:c>
      <x:c r="V122" s="2" t="str">
        <x:v>School staff receipt</x:v>
      </x:c>
      <x:c r="W122" s="2" t="str">
        <x:v>Completed transport</x:v>
      </x:c>
      <x:c r="X122" s="2" t="str">
        <x:v>QR</x:v>
      </x:c>
      <x:c r="Y122" s="2" t="str">
        <x:v>Online</x:v>
      </x:c>
      <x:c r="Z122" s="2" t="str">
        <x:v>Synced</x:v>
      </x:c>
      <x:c r="AA122" s="2"/>
      <x:c r="AB122" s="2"/>
      <x:c r="AC122" s="10" t="n">
        <x:f>IF(OR(K122="",Q122=""),"",ROUND((Q122-K122)*1440,2))</x:f>
        <x:v>50.5</x:v>
      </x:c>
    </x:row>
    <x:row r="123" ht="21" customHeight="1">
      <x:c r="A123" s="2" t="str">
        <x:v>LN00122</x:v>
      </x:c>
      <x:c r="B123" s="2" t="str">
        <x:v>T20261004-2-2</x:v>
      </x:c>
      <x:c r="C123" s="7" t="n">
        <x:v>46299</x:v>
      </x:c>
      <x:c r="D123" s="2" t="str">
        <x:v>BUS002</x:v>
      </x:c>
      <x:c r="E123" s="2" t="str">
        <x:v>ST072</x:v>
      </x:c>
      <x:c r="F123" s="2" t="n">
        <x:v>2</x:v>
      </x:c>
      <x:c r="G123" s="2" t="str">
        <x:v>Senior</x:v>
      </x:c>
      <x:c r="H123" s="2" t="str">
        <x:v>Pickup</x:v>
      </x:c>
      <x:c r="I123" s="2" t="str">
        <x:v>R2S2</x:v>
      </x:c>
      <x:c r="J123" s="2" t="str">
        <x:v>EV000241</x:v>
      </x:c>
      <x:c r="K123" s="8" t="n">
        <x:v>46299.47642361111</x:v>
      </x:c>
      <x:c r="L123" s="2" t="str">
        <x:v>R2S2</x:v>
      </x:c>
      <x:c r="M123" s="9" t="n">
        <x:v>25.282000000000004</x:v>
      </x:c>
      <x:c r="N123" s="9" t="n">
        <x:v>51.501999999999995</x:v>
      </x:c>
      <x:c r="O123" s="2" t="str">
        <x:v>Valid</x:v>
      </x:c>
      <x:c r="P123" s="2" t="str">
        <x:v>EV000242</x:v>
      </x:c>
      <x:c r="Q123" s="8" t="n">
        <x:v>46299.506631944445</x:v>
      </x:c>
      <x:c r="R123" s="2" t="str">
        <x:v>SCH01</x:v>
      </x:c>
      <x:c r="S123" s="9" t="n">
        <x:v>25.285</x:v>
      </x:c>
      <x:c r="T123" s="9" t="n">
        <x:v>51.51</x:v>
      </x:c>
      <x:c r="U123" s="2" t="str">
        <x:v>SCHOOL_RECEIVER_01</x:v>
      </x:c>
      <x:c r="V123" s="2" t="str">
        <x:v>School staff receipt</x:v>
      </x:c>
      <x:c r="W123" s="2" t="str">
        <x:v>Completed transport</x:v>
      </x:c>
      <x:c r="X123" s="2" t="str">
        <x:v>QR</x:v>
      </x:c>
      <x:c r="Y123" s="2" t="str">
        <x:v>Online</x:v>
      </x:c>
      <x:c r="Z123" s="2" t="str">
        <x:v>Synced</x:v>
      </x:c>
      <x:c r="AA123" s="2"/>
      <x:c r="AB123" s="2"/>
      <x:c r="AC123" s="10" t="n">
        <x:f>IF(OR(K123="",Q123=""),"",ROUND((Q123-K123)*1440,2))</x:f>
        <x:v>43.5</x:v>
      </x:c>
    </x:row>
    <x:row r="124" ht="21" customHeight="1">
      <x:c r="A124" s="2" t="str">
        <x:v>LN00123</x:v>
      </x:c>
      <x:c r="B124" s="2" t="str">
        <x:v>T20261004-2-2</x:v>
      </x:c>
      <x:c r="C124" s="7" t="n">
        <x:v>46299</x:v>
      </x:c>
      <x:c r="D124" s="2" t="str">
        <x:v>BUS002</x:v>
      </x:c>
      <x:c r="E124" s="2" t="str">
        <x:v>ST073</x:v>
      </x:c>
      <x:c r="F124" s="2" t="n">
        <x:v>2</x:v>
      </x:c>
      <x:c r="G124" s="2" t="str">
        <x:v>Senior</x:v>
      </x:c>
      <x:c r="H124" s="2" t="str">
        <x:v>Pickup</x:v>
      </x:c>
      <x:c r="I124" s="2" t="str">
        <x:v>R2S3</x:v>
      </x:c>
      <x:c r="J124" s="2" t="str">
        <x:v>EV000243</x:v>
      </x:c>
      <x:c r="K124" s="8" t="n">
        <x:v>46299.48131944444</x:v>
      </x:c>
      <x:c r="L124" s="2" t="str">
        <x:v>R2S3</x:v>
      </x:c>
      <x:c r="M124" s="9" t="n">
        <x:v>25.284000000000002</x:v>
      </x:c>
      <x:c r="N124" s="9" t="n">
        <x:v>51.504999999999995</x:v>
      </x:c>
      <x:c r="O124" s="2" t="str">
        <x:v>Valid</x:v>
      </x:c>
      <x:c r="P124" s="2" t="str">
        <x:v>EV000244</x:v>
      </x:c>
      <x:c r="Q124" s="8" t="n">
        <x:v>46299.50666666667</x:v>
      </x:c>
      <x:c r="R124" s="2" t="str">
        <x:v>SCH01</x:v>
      </x:c>
      <x:c r="S124" s="9" t="n">
        <x:v>25.285</x:v>
      </x:c>
      <x:c r="T124" s="9" t="n">
        <x:v>51.51</x:v>
      </x:c>
      <x:c r="U124" s="2" t="str">
        <x:v>SCHOOL_RECEIVER_01</x:v>
      </x:c>
      <x:c r="V124" s="2" t="str">
        <x:v>School staff receipt</x:v>
      </x:c>
      <x:c r="W124" s="2" t="str">
        <x:v>Completed transport</x:v>
      </x:c>
      <x:c r="X124" s="2" t="str">
        <x:v>QR</x:v>
      </x:c>
      <x:c r="Y124" s="2" t="str">
        <x:v>Online</x:v>
      </x:c>
      <x:c r="Z124" s="2" t="str">
        <x:v>Synced</x:v>
      </x:c>
      <x:c r="AA124" s="2"/>
      <x:c r="AB124" s="2"/>
      <x:c r="AC124" s="10" t="n">
        <x:f>IF(OR(K124="",Q124=""),"",ROUND((Q124-K124)*1440,2))</x:f>
        <x:v>36.5</x:v>
      </x:c>
    </x:row>
    <x:row r="125" ht="21" customHeight="1">
      <x:c r="A125" s="2" t="str">
        <x:v>LN00124</x:v>
      </x:c>
      <x:c r="B125" s="2" t="str">
        <x:v>T20261004-2-2</x:v>
      </x:c>
      <x:c r="C125" s="7" t="n">
        <x:v>46299</x:v>
      </x:c>
      <x:c r="D125" s="2" t="str">
        <x:v>BUS002</x:v>
      </x:c>
      <x:c r="E125" s="2" t="str">
        <x:v>ST074</x:v>
      </x:c>
      <x:c r="F125" s="2" t="n">
        <x:v>2</x:v>
      </x:c>
      <x:c r="G125" s="2" t="str">
        <x:v>Senior</x:v>
      </x:c>
      <x:c r="H125" s="2" t="str">
        <x:v>Pickup</x:v>
      </x:c>
      <x:c r="I125" s="2" t="str">
        <x:v>R2S1</x:v>
      </x:c>
      <x:c r="J125" s="2" t="str">
        <x:v>EV000245</x:v>
      </x:c>
      <x:c r="K125" s="8" t="n">
        <x:v>46299.47163194445</x:v>
      </x:c>
      <x:c r="L125" s="2" t="str">
        <x:v>R2S1</x:v>
      </x:c>
      <x:c r="M125" s="9" t="n">
        <x:v>25.28</x:v>
      </x:c>
      <x:c r="N125" s="9" t="n">
        <x:v>51.498999999999995</x:v>
      </x:c>
      <x:c r="O125" s="2" t="str">
        <x:v>Valid</x:v>
      </x:c>
      <x:c r="P125" s="2" t="str">
        <x:v>EV000246</x:v>
      </x:c>
      <x:c r="Q125" s="8" t="n">
        <x:v>46299.50670138889</x:v>
      </x:c>
      <x:c r="R125" s="2" t="str">
        <x:v>SCH01</x:v>
      </x:c>
      <x:c r="S125" s="9" t="n">
        <x:v>25.285</x:v>
      </x:c>
      <x:c r="T125" s="9" t="n">
        <x:v>51.51</x:v>
      </x:c>
      <x:c r="U125" s="2" t="str">
        <x:v>SCHOOL_RECEIVER_01</x:v>
      </x:c>
      <x:c r="V125" s="2" t="str">
        <x:v>School staff receipt</x:v>
      </x:c>
      <x:c r="W125" s="2" t="str">
        <x:v>Completed transport</x:v>
      </x:c>
      <x:c r="X125" s="2" t="str">
        <x:v>QR</x:v>
      </x:c>
      <x:c r="Y125" s="2" t="str">
        <x:v>Online</x:v>
      </x:c>
      <x:c r="Z125" s="2" t="str">
        <x:v>Synced</x:v>
      </x:c>
      <x:c r="AA125" s="2"/>
      <x:c r="AB125" s="2"/>
      <x:c r="AC125" s="10" t="n">
        <x:f>IF(OR(K125="",Q125=""),"",ROUND((Q125-K125)*1440,2))</x:f>
        <x:v>50.5</x:v>
      </x:c>
    </x:row>
    <x:row r="126" ht="21" customHeight="1">
      <x:c r="A126" s="2" t="str">
        <x:v>LN00125</x:v>
      </x:c>
      <x:c r="B126" s="2" t="str">
        <x:v>T20261004-2-2</x:v>
      </x:c>
      <x:c r="C126" s="7" t="n">
        <x:v>46299</x:v>
      </x:c>
      <x:c r="D126" s="2" t="str">
        <x:v>BUS002</x:v>
      </x:c>
      <x:c r="E126" s="2" t="str">
        <x:v>ST075</x:v>
      </x:c>
      <x:c r="F126" s="2" t="n">
        <x:v>2</x:v>
      </x:c>
      <x:c r="G126" s="2" t="str">
        <x:v>Senior</x:v>
      </x:c>
      <x:c r="H126" s="2" t="str">
        <x:v>Pickup</x:v>
      </x:c>
      <x:c r="I126" s="2" t="str">
        <x:v>R2S2</x:v>
      </x:c>
      <x:c r="J126" s="2" t="str">
        <x:v>EV000247</x:v>
      </x:c>
      <x:c r="K126" s="8" t="n">
        <x:v>46299.47652777778</x:v>
      </x:c>
      <x:c r="L126" s="2" t="str">
        <x:v>R2S2</x:v>
      </x:c>
      <x:c r="M126" s="9" t="n">
        <x:v>25.282000000000004</x:v>
      </x:c>
      <x:c r="N126" s="9" t="n">
        <x:v>51.501999999999995</x:v>
      </x:c>
      <x:c r="O126" s="2" t="str">
        <x:v>Valid</x:v>
      </x:c>
      <x:c r="P126" s="2" t="str">
        <x:v>EV000248</x:v>
      </x:c>
      <x:c r="Q126" s="8" t="n">
        <x:v>46299.506736111114</x:v>
      </x:c>
      <x:c r="R126" s="2" t="str">
        <x:v>SCH01</x:v>
      </x:c>
      <x:c r="S126" s="9" t="n">
        <x:v>25.285</x:v>
      </x:c>
      <x:c r="T126" s="9" t="n">
        <x:v>51.51</x:v>
      </x:c>
      <x:c r="U126" s="2" t="str">
        <x:v>SCHOOL_RECEIVER_01</x:v>
      </x:c>
      <x:c r="V126" s="2" t="str">
        <x:v>School staff receipt</x:v>
      </x:c>
      <x:c r="W126" s="2" t="str">
        <x:v>Completed transport</x:v>
      </x:c>
      <x:c r="X126" s="2" t="str">
        <x:v>QR</x:v>
      </x:c>
      <x:c r="Y126" s="2" t="str">
        <x:v>Online</x:v>
      </x:c>
      <x:c r="Z126" s="2" t="str">
        <x:v>Synced</x:v>
      </x:c>
      <x:c r="AA126" s="2"/>
      <x:c r="AB126" s="2"/>
      <x:c r="AC126" s="10" t="n">
        <x:f>IF(OR(K126="",Q126=""),"",ROUND((Q126-K126)*1440,2))</x:f>
        <x:v>43.5</x:v>
      </x:c>
    </x:row>
    <x:row r="127" ht="21" customHeight="1">
      <x:c r="A127" s="2" t="str">
        <x:v>LN00126</x:v>
      </x:c>
      <x:c r="B127" s="2" t="str">
        <x:v>T20261004-2-2</x:v>
      </x:c>
      <x:c r="C127" s="7" t="n">
        <x:v>46299</x:v>
      </x:c>
      <x:c r="D127" s="2" t="str">
        <x:v>BUS002</x:v>
      </x:c>
      <x:c r="E127" s="2" t="str">
        <x:v>ST076</x:v>
      </x:c>
      <x:c r="F127" s="2" t="n">
        <x:v>2</x:v>
      </x:c>
      <x:c r="G127" s="2" t="str">
        <x:v>Senior</x:v>
      </x:c>
      <x:c r="H127" s="2" t="str">
        <x:v>Pickup</x:v>
      </x:c>
      <x:c r="I127" s="2" t="str">
        <x:v>R2S3</x:v>
      </x:c>
      <x:c r="J127" s="2" t="str">
        <x:v>EV000249</x:v>
      </x:c>
      <x:c r="K127" s="8" t="n">
        <x:v>46299.481423611105</x:v>
      </x:c>
      <x:c r="L127" s="2" t="str">
        <x:v>R2S3</x:v>
      </x:c>
      <x:c r="M127" s="9" t="n">
        <x:v>25.284000000000002</x:v>
      </x:c>
      <x:c r="N127" s="9" t="n">
        <x:v>51.504999999999995</x:v>
      </x:c>
      <x:c r="O127" s="2" t="str">
        <x:v>Valid</x:v>
      </x:c>
      <x:c r="P127" s="2" t="str">
        <x:v>EV000250</x:v>
      </x:c>
      <x:c r="Q127" s="8" t="n">
        <x:v>46299.50677083334</x:v>
      </x:c>
      <x:c r="R127" s="2" t="str">
        <x:v>SCH01</x:v>
      </x:c>
      <x:c r="S127" s="9" t="n">
        <x:v>25.285</x:v>
      </x:c>
      <x:c r="T127" s="9" t="n">
        <x:v>51.51</x:v>
      </x:c>
      <x:c r="U127" s="2" t="str">
        <x:v>SCHOOL_RECEIVER_01</x:v>
      </x:c>
      <x:c r="V127" s="2" t="str">
        <x:v>School staff receipt</x:v>
      </x:c>
      <x:c r="W127" s="2" t="str">
        <x:v>Completed transport</x:v>
      </x:c>
      <x:c r="X127" s="2" t="str">
        <x:v>QR</x:v>
      </x:c>
      <x:c r="Y127" s="2" t="str">
        <x:v>Online</x:v>
      </x:c>
      <x:c r="Z127" s="2" t="str">
        <x:v>Synced</x:v>
      </x:c>
      <x:c r="AA127" s="2"/>
      <x:c r="AB127" s="2"/>
      <x:c r="AC127" s="10" t="n">
        <x:f>IF(OR(K127="",Q127=""),"",ROUND((Q127-K127)*1440,2))</x:f>
        <x:v>36.5</x:v>
      </x:c>
    </x:row>
    <x:row r="128" ht="21" customHeight="1">
      <x:c r="A128" s="2" t="str">
        <x:v>LN00127</x:v>
      </x:c>
      <x:c r="B128" s="2" t="str">
        <x:v>T20261004-2-2</x:v>
      </x:c>
      <x:c r="C128" s="7" t="n">
        <x:v>46299</x:v>
      </x:c>
      <x:c r="D128" s="2" t="str">
        <x:v>BUS002</x:v>
      </x:c>
      <x:c r="E128" s="2" t="str">
        <x:v>ST077</x:v>
      </x:c>
      <x:c r="F128" s="2" t="n">
        <x:v>2</x:v>
      </x:c>
      <x:c r="G128" s="2" t="str">
        <x:v>Senior</x:v>
      </x:c>
      <x:c r="H128" s="2" t="str">
        <x:v>Pickup</x:v>
      </x:c>
      <x:c r="I128" s="2" t="str">
        <x:v>R2S1</x:v>
      </x:c>
      <x:c r="J128" s="2" t="str">
        <x:v>EV000251</x:v>
      </x:c>
      <x:c r="K128" s="8" t="n">
        <x:v>46299.47173611111</x:v>
      </x:c>
      <x:c r="L128" s="2" t="str">
        <x:v>R2S1</x:v>
      </x:c>
      <x:c r="M128" s="9" t="n">
        <x:v>25.28</x:v>
      </x:c>
      <x:c r="N128" s="9" t="n">
        <x:v>51.498999999999995</x:v>
      </x:c>
      <x:c r="O128" s="2" t="str">
        <x:v>Valid</x:v>
      </x:c>
      <x:c r="P128" s="2" t="str">
        <x:v>EV000252</x:v>
      </x:c>
      <x:c r="Q128" s="8" t="n">
        <x:v>46299.50680555556</x:v>
      </x:c>
      <x:c r="R128" s="2" t="str">
        <x:v>SCH01</x:v>
      </x:c>
      <x:c r="S128" s="9" t="n">
        <x:v>25.285</x:v>
      </x:c>
      <x:c r="T128" s="9" t="n">
        <x:v>51.51</x:v>
      </x:c>
      <x:c r="U128" s="2" t="str">
        <x:v>SCHOOL_RECEIVER_01</x:v>
      </x:c>
      <x:c r="V128" s="2" t="str">
        <x:v>School staff receipt</x:v>
      </x:c>
      <x:c r="W128" s="2" t="str">
        <x:v>Completed transport</x:v>
      </x:c>
      <x:c r="X128" s="2" t="str">
        <x:v>QR</x:v>
      </x:c>
      <x:c r="Y128" s="2" t="str">
        <x:v>Online</x:v>
      </x:c>
      <x:c r="Z128" s="2" t="str">
        <x:v>Synced</x:v>
      </x:c>
      <x:c r="AA128" s="2"/>
      <x:c r="AB128" s="2"/>
      <x:c r="AC128" s="10" t="n">
        <x:f>IF(OR(K128="",Q128=""),"",ROUND((Q128-K128)*1440,2))</x:f>
        <x:v>50.5</x:v>
      </x:c>
    </x:row>
    <x:row r="129" ht="21" customHeight="1">
      <x:c r="A129" s="2" t="str">
        <x:v>LN00128</x:v>
      </x:c>
      <x:c r="B129" s="2" t="str">
        <x:v>T20261004-2-2</x:v>
      </x:c>
      <x:c r="C129" s="7" t="n">
        <x:v>46299</x:v>
      </x:c>
      <x:c r="D129" s="2" t="str">
        <x:v>BUS002</x:v>
      </x:c>
      <x:c r="E129" s="2" t="str">
        <x:v>ST078</x:v>
      </x:c>
      <x:c r="F129" s="2" t="n">
        <x:v>2</x:v>
      </x:c>
      <x:c r="G129" s="2" t="str">
        <x:v>Senior</x:v>
      </x:c>
      <x:c r="H129" s="2" t="str">
        <x:v>Pickup</x:v>
      </x:c>
      <x:c r="I129" s="2" t="str">
        <x:v>R2S2</x:v>
      </x:c>
      <x:c r="J129" s="2" t="str">
        <x:v>EV000253</x:v>
      </x:c>
      <x:c r="K129" s="8" t="n">
        <x:v>46299.47663194444</x:v>
      </x:c>
      <x:c r="L129" s="2" t="str">
        <x:v>R2S2</x:v>
      </x:c>
      <x:c r="M129" s="9" t="n">
        <x:v>25.282000000000004</x:v>
      </x:c>
      <x:c r="N129" s="9" t="n">
        <x:v>51.501999999999995</x:v>
      </x:c>
      <x:c r="O129" s="2" t="str">
        <x:v>Valid</x:v>
      </x:c>
      <x:c r="P129" s="2" t="str">
        <x:v>EV000254</x:v>
      </x:c>
      <x:c r="Q129" s="8" t="n">
        <x:v>46299.50684027778</x:v>
      </x:c>
      <x:c r="R129" s="2" t="str">
        <x:v>SCH01</x:v>
      </x:c>
      <x:c r="S129" s="9" t="n">
        <x:v>25.285</x:v>
      </x:c>
      <x:c r="T129" s="9" t="n">
        <x:v>51.51</x:v>
      </x:c>
      <x:c r="U129" s="2" t="str">
        <x:v>SCHOOL_RECEIVER_01</x:v>
      </x:c>
      <x:c r="V129" s="2" t="str">
        <x:v>School staff receipt</x:v>
      </x:c>
      <x:c r="W129" s="2" t="str">
        <x:v>Completed transport</x:v>
      </x:c>
      <x:c r="X129" s="2" t="str">
        <x:v>QR</x:v>
      </x:c>
      <x:c r="Y129" s="2" t="str">
        <x:v>Online</x:v>
      </x:c>
      <x:c r="Z129" s="2" t="str">
        <x:v>Synced</x:v>
      </x:c>
      <x:c r="AA129" s="2"/>
      <x:c r="AB129" s="2"/>
      <x:c r="AC129" s="10" t="n">
        <x:f>IF(OR(K129="",Q129=""),"",ROUND((Q129-K129)*1440,2))</x:f>
        <x:v>43.5</x:v>
      </x:c>
    </x:row>
    <x:row r="130" ht="21" customHeight="1">
      <x:c r="A130" s="2" t="str">
        <x:v>LN00129</x:v>
      </x:c>
      <x:c r="B130" s="2" t="str">
        <x:v>T20261004-2-2</x:v>
      </x:c>
      <x:c r="C130" s="7" t="n">
        <x:v>46299</x:v>
      </x:c>
      <x:c r="D130" s="2" t="str">
        <x:v>BUS002</x:v>
      </x:c>
      <x:c r="E130" s="2" t="str">
        <x:v>ST079</x:v>
      </x:c>
      <x:c r="F130" s="2" t="n">
        <x:v>2</x:v>
      </x:c>
      <x:c r="G130" s="2" t="str">
        <x:v>Senior</x:v>
      </x:c>
      <x:c r="H130" s="2" t="str">
        <x:v>Pickup</x:v>
      </x:c>
      <x:c r="I130" s="2" t="str">
        <x:v>R2S3</x:v>
      </x:c>
      <x:c r="J130" s="2" t="str">
        <x:v>EV000255</x:v>
      </x:c>
      <x:c r="K130" s="8" t="n">
        <x:v>46299.481527777774</x:v>
      </x:c>
      <x:c r="L130" s="2" t="str">
        <x:v>R2S3</x:v>
      </x:c>
      <x:c r="M130" s="9" t="n">
        <x:v>25.284000000000002</x:v>
      </x:c>
      <x:c r="N130" s="9" t="n">
        <x:v>51.504999999999995</x:v>
      </x:c>
      <x:c r="O130" s="2" t="str">
        <x:v>Valid</x:v>
      </x:c>
      <x:c r="P130" s="2" t="str">
        <x:v>EV000256</x:v>
      </x:c>
      <x:c r="Q130" s="8" t="n">
        <x:v>46299.50687500001</x:v>
      </x:c>
      <x:c r="R130" s="2" t="str">
        <x:v>SCH01</x:v>
      </x:c>
      <x:c r="S130" s="9" t="n">
        <x:v>25.285</x:v>
      </x:c>
      <x:c r="T130" s="9" t="n">
        <x:v>51.51</x:v>
      </x:c>
      <x:c r="U130" s="2" t="str">
        <x:v>SCHOOL_RECEIVER_01</x:v>
      </x:c>
      <x:c r="V130" s="2" t="str">
        <x:v>School staff receipt</x:v>
      </x:c>
      <x:c r="W130" s="2" t="str">
        <x:v>Completed transport</x:v>
      </x:c>
      <x:c r="X130" s="2" t="str">
        <x:v>QR</x:v>
      </x:c>
      <x:c r="Y130" s="2" t="str">
        <x:v>Online</x:v>
      </x:c>
      <x:c r="Z130" s="2" t="str">
        <x:v>Synced</x:v>
      </x:c>
      <x:c r="AA130" s="2"/>
      <x:c r="AB130" s="2"/>
      <x:c r="AC130" s="10" t="n">
        <x:f>IF(OR(K130="",Q130=""),"",ROUND((Q130-K130)*1440,2))</x:f>
        <x:v>36.5</x:v>
      </x:c>
    </x:row>
    <x:row r="131" ht="21" customHeight="1">
      <x:c r="A131" s="2" t="str">
        <x:v>LN00130</x:v>
      </x:c>
      <x:c r="B131" s="2" t="str">
        <x:v>T20261004-2-2</x:v>
      </x:c>
      <x:c r="C131" s="7" t="n">
        <x:v>46299</x:v>
      </x:c>
      <x:c r="D131" s="2" t="str">
        <x:v>BUS002</x:v>
      </x:c>
      <x:c r="E131" s="2" t="str">
        <x:v>ST080</x:v>
      </x:c>
      <x:c r="F131" s="2" t="n">
        <x:v>2</x:v>
      </x:c>
      <x:c r="G131" s="2" t="str">
        <x:v>Senior</x:v>
      </x:c>
      <x:c r="H131" s="2" t="str">
        <x:v>Pickup</x:v>
      </x:c>
      <x:c r="I131" s="2" t="str">
        <x:v>R2S1</x:v>
      </x:c>
      <x:c r="J131" s="2" t="str">
        <x:v>EV000257</x:v>
      </x:c>
      <x:c r="K131" s="8" t="n">
        <x:v>46299.47184027778</x:v>
      </x:c>
      <x:c r="L131" s="2" t="str">
        <x:v>R2S1</x:v>
      </x:c>
      <x:c r="M131" s="9" t="n">
        <x:v>25.28</x:v>
      </x:c>
      <x:c r="N131" s="9" t="n">
        <x:v>51.498999999999995</x:v>
      </x:c>
      <x:c r="O131" s="2" t="str">
        <x:v>Valid</x:v>
      </x:c>
      <x:c r="P131" s="2" t="str">
        <x:v>EV000258</x:v>
      </x:c>
      <x:c r="Q131" s="8" t="n">
        <x:v>46299.50690972222</x:v>
      </x:c>
      <x:c r="R131" s="2" t="str">
        <x:v>SCH01</x:v>
      </x:c>
      <x:c r="S131" s="9" t="n">
        <x:v>25.285</x:v>
      </x:c>
      <x:c r="T131" s="9" t="n">
        <x:v>51.51</x:v>
      </x:c>
      <x:c r="U131" s="2" t="str">
        <x:v>SCHOOL_RECEIVER_01</x:v>
      </x:c>
      <x:c r="V131" s="2" t="str">
        <x:v>School staff receipt</x:v>
      </x:c>
      <x:c r="W131" s="2" t="str">
        <x:v>Completed transport</x:v>
      </x:c>
      <x:c r="X131" s="2" t="str">
        <x:v>QR</x:v>
      </x:c>
      <x:c r="Y131" s="2" t="str">
        <x:v>Online</x:v>
      </x:c>
      <x:c r="Z131" s="2" t="str">
        <x:v>Synced</x:v>
      </x:c>
      <x:c r="AA131" s="2"/>
      <x:c r="AB131" s="2"/>
      <x:c r="AC131" s="10" t="n">
        <x:f>IF(OR(K131="",Q131=""),"",ROUND((Q131-K131)*1440,2))</x:f>
        <x:v>50.5</x:v>
      </x:c>
    </x:row>
    <x:row r="132" ht="21" customHeight="1">
      <x:c r="A132" s="2" t="str">
        <x:v>LN00131</x:v>
      </x:c>
      <x:c r="B132" s="2" t="str">
        <x:v>T20261004-3-2</x:v>
      </x:c>
      <x:c r="C132" s="7" t="n">
        <x:v>46299</x:v>
      </x:c>
      <x:c r="D132" s="2" t="str">
        <x:v>BUS002</x:v>
      </x:c>
      <x:c r="E132" s="2" t="str">
        <x:v>ST051</x:v>
      </x:c>
      <x:c r="F132" s="2" t="n">
        <x:v>1</x:v>
      </x:c>
      <x:c r="G132" s="2" t="str">
        <x:v>Senior</x:v>
      </x:c>
      <x:c r="H132" s="2" t="str">
        <x:v>Drop-off</x:v>
      </x:c>
      <x:c r="I132" s="2" t="str">
        <x:v>R2S2</x:v>
      </x:c>
      <x:c r="J132" s="2" t="str">
        <x:v>EV000259</x:v>
      </x:c>
      <x:c r="K132" s="8" t="n">
        <x:v>46299.57291666667</x:v>
      </x:c>
      <x:c r="L132" s="2" t="str">
        <x:v>SCH01</x:v>
      </x:c>
      <x:c r="M132" s="9" t="n">
        <x:v>25.285</x:v>
      </x:c>
      <x:c r="N132" s="9" t="n">
        <x:v>51.51</x:v>
      </x:c>
      <x:c r="O132" s="2" t="str">
        <x:v>Valid</x:v>
      </x:c>
      <x:c r="P132" s="2" t="str">
        <x:v>EV000260</x:v>
      </x:c>
      <x:c r="Q132" s="8" t="n">
        <x:v>46299.59027777778</x:v>
      </x:c>
      <x:c r="R132" s="2" t="str">
        <x:v>R2S2</x:v>
      </x:c>
      <x:c r="S132" s="9" t="n">
        <x:v>25.282000000000004</x:v>
      </x:c>
      <x:c r="T132" s="9" t="n">
        <x:v>51.501999999999995</x:v>
      </x:c>
      <x:c r="U132" s="2" t="str">
        <x:v>G051</x:v>
      </x:c>
      <x:c r="V132" s="2" t="str">
        <x:v>Authorized guardian release</x:v>
      </x:c>
      <x:c r="W132" s="2" t="str">
        <x:v>Completed transport</x:v>
      </x:c>
      <x:c r="X132" s="2" t="str">
        <x:v>QR</x:v>
      </x:c>
      <x:c r="Y132" s="2" t="str">
        <x:v>Online</x:v>
      </x:c>
      <x:c r="Z132" s="2" t="str">
        <x:v>Synced</x:v>
      </x:c>
      <x:c r="AA132" s="2"/>
      <x:c r="AB132" s="2"/>
      <x:c r="AC132" s="10" t="n">
        <x:f>IF(OR(K132="",Q132=""),"",ROUND((Q132-K132)*1440,2))</x:f>
        <x:v>25</x:v>
      </x:c>
    </x:row>
    <x:row r="133" ht="21" customHeight="1">
      <x:c r="A133" s="2" t="str">
        <x:v>LN00132</x:v>
      </x:c>
      <x:c r="B133" s="2" t="str">
        <x:v>T20261004-3-2</x:v>
      </x:c>
      <x:c r="C133" s="7" t="n">
        <x:v>46299</x:v>
      </x:c>
      <x:c r="D133" s="2" t="str">
        <x:v>BUS002</x:v>
      </x:c>
      <x:c r="E133" s="2" t="str">
        <x:v>ST052</x:v>
      </x:c>
      <x:c r="F133" s="2" t="n">
        <x:v>1</x:v>
      </x:c>
      <x:c r="G133" s="2" t="str">
        <x:v>Senior</x:v>
      </x:c>
      <x:c r="H133" s="2" t="str">
        <x:v>Drop-off</x:v>
      </x:c>
      <x:c r="I133" s="2" t="str">
        <x:v>R2S3</x:v>
      </x:c>
      <x:c r="J133" s="2" t="str">
        <x:v>EV000261</x:v>
      </x:c>
      <x:c r="K133" s="8" t="n">
        <x:v>46299.572951388895</x:v>
      </x:c>
      <x:c r="L133" s="2" t="str">
        <x:v>SCH01</x:v>
      </x:c>
      <x:c r="M133" s="9" t="n">
        <x:v>25.285</x:v>
      </x:c>
      <x:c r="N133" s="9" t="n">
        <x:v>51.51</x:v>
      </x:c>
      <x:c r="O133" s="2" t="str">
        <x:v>Valid</x:v>
      </x:c>
      <x:c r="P133" s="2" t="str">
        <x:v>EV000262</x:v>
      </x:c>
      <x:c r="Q133" s="8" t="n">
        <x:v>46299.59447916667</x:v>
      </x:c>
      <x:c r="R133" s="2" t="str">
        <x:v>R2S3</x:v>
      </x:c>
      <x:c r="S133" s="9" t="n">
        <x:v>25.284000000000002</x:v>
      </x:c>
      <x:c r="T133" s="9" t="n">
        <x:v>51.504999999999995</x:v>
      </x:c>
      <x:c r="U133" s="2" t="str">
        <x:v>G052</x:v>
      </x:c>
      <x:c r="V133" s="2" t="str">
        <x:v>Authorized guardian release</x:v>
      </x:c>
      <x:c r="W133" s="2" t="str">
        <x:v>Completed transport</x:v>
      </x:c>
      <x:c r="X133" s="2" t="str">
        <x:v>QR</x:v>
      </x:c>
      <x:c r="Y133" s="2" t="str">
        <x:v>Online</x:v>
      </x:c>
      <x:c r="Z133" s="2" t="str">
        <x:v>Synced</x:v>
      </x:c>
      <x:c r="AA133" s="2"/>
      <x:c r="AB133" s="2"/>
      <x:c r="AC133" s="10" t="n">
        <x:f>IF(OR(K133="",Q133=""),"",ROUND((Q133-K133)*1440,2))</x:f>
        <x:v>31</x:v>
      </x:c>
    </x:row>
    <x:row r="134" ht="21" customHeight="1">
      <x:c r="A134" s="2" t="str">
        <x:v>LN00133</x:v>
      </x:c>
      <x:c r="B134" s="2" t="str">
        <x:v>T20261004-3-2</x:v>
      </x:c>
      <x:c r="C134" s="7" t="n">
        <x:v>46299</x:v>
      </x:c>
      <x:c r="D134" s="2" t="str">
        <x:v>BUS002</x:v>
      </x:c>
      <x:c r="E134" s="2" t="str">
        <x:v>ST053</x:v>
      </x:c>
      <x:c r="F134" s="2" t="n">
        <x:v>1</x:v>
      </x:c>
      <x:c r="G134" s="2" t="str">
        <x:v>Senior</x:v>
      </x:c>
      <x:c r="H134" s="2" t="str">
        <x:v>Drop-off</x:v>
      </x:c>
      <x:c r="I134" s="2" t="str">
        <x:v>R2S1</x:v>
      </x:c>
      <x:c r="J134" s="2" t="str">
        <x:v>EV000263</x:v>
      </x:c>
      <x:c r="K134" s="8" t="n">
        <x:v>46299.57298611112</x:v>
      </x:c>
      <x:c r="L134" s="2" t="str">
        <x:v>SCH01</x:v>
      </x:c>
      <x:c r="M134" s="9" t="n">
        <x:v>25.285</x:v>
      </x:c>
      <x:c r="N134" s="9" t="n">
        <x:v>51.51</x:v>
      </x:c>
      <x:c r="O134" s="2" t="str">
        <x:v>Valid</x:v>
      </x:c>
      <x:c r="P134" s="2" t="str">
        <x:v>EV000264</x:v>
      </x:c>
      <x:c r="Q134" s="8" t="n">
        <x:v>46299.58618055556</x:v>
      </x:c>
      <x:c r="R134" s="2" t="str">
        <x:v>R2S1</x:v>
      </x:c>
      <x:c r="S134" s="9" t="n">
        <x:v>25.28</x:v>
      </x:c>
      <x:c r="T134" s="9" t="n">
        <x:v>51.498999999999995</x:v>
      </x:c>
      <x:c r="U134" s="2" t="str">
        <x:v>G053</x:v>
      </x:c>
      <x:c r="V134" s="2" t="str">
        <x:v>Authorized guardian release</x:v>
      </x:c>
      <x:c r="W134" s="2" t="str">
        <x:v>Completed transport</x:v>
      </x:c>
      <x:c r="X134" s="2" t="str">
        <x:v>QR</x:v>
      </x:c>
      <x:c r="Y134" s="2" t="str">
        <x:v>Online</x:v>
      </x:c>
      <x:c r="Z134" s="2" t="str">
        <x:v>Synced</x:v>
      </x:c>
      <x:c r="AA134" s="2"/>
      <x:c r="AB134" s="2"/>
      <x:c r="AC134" s="10" t="n">
        <x:f>IF(OR(K134="",Q134=""),"",ROUND((Q134-K134)*1440,2))</x:f>
        <x:v>19</x:v>
      </x:c>
    </x:row>
    <x:row r="135" ht="21" customHeight="1">
      <x:c r="A135" s="2" t="str">
        <x:v>LN00134</x:v>
      </x:c>
      <x:c r="B135" s="2" t="str">
        <x:v>T20261004-3-2</x:v>
      </x:c>
      <x:c r="C135" s="7" t="n">
        <x:v>46299</x:v>
      </x:c>
      <x:c r="D135" s="2" t="str">
        <x:v>BUS002</x:v>
      </x:c>
      <x:c r="E135" s="2" t="str">
        <x:v>ST054</x:v>
      </x:c>
      <x:c r="F135" s="2" t="n">
        <x:v>1</x:v>
      </x:c>
      <x:c r="G135" s="2" t="str">
        <x:v>Senior</x:v>
      </x:c>
      <x:c r="H135" s="2" t="str">
        <x:v>Drop-off</x:v>
      </x:c>
      <x:c r="I135" s="2" t="str">
        <x:v>R2S2</x:v>
      </x:c>
      <x:c r="J135" s="2" t="str">
        <x:v>EV000265</x:v>
      </x:c>
      <x:c r="K135" s="8" t="n">
        <x:v>46299.57302083334</x:v>
      </x:c>
      <x:c r="L135" s="2" t="str">
        <x:v>SCH01</x:v>
      </x:c>
      <x:c r="M135" s="9" t="n">
        <x:v>25.285</x:v>
      </x:c>
      <x:c r="N135" s="9" t="n">
        <x:v>51.51</x:v>
      </x:c>
      <x:c r="O135" s="2" t="str">
        <x:v>Valid</x:v>
      </x:c>
      <x:c r="P135" s="2" t="str">
        <x:v>EV000266</x:v>
      </x:c>
      <x:c r="Q135" s="8" t="n">
        <x:v>46299.59038194445</x:v>
      </x:c>
      <x:c r="R135" s="2" t="str">
        <x:v>R2S2</x:v>
      </x:c>
      <x:c r="S135" s="9" t="n">
        <x:v>25.282000000000004</x:v>
      </x:c>
      <x:c r="T135" s="9" t="n">
        <x:v>51.501999999999995</x:v>
      </x:c>
      <x:c r="U135" s="2" t="str">
        <x:v>G054</x:v>
      </x:c>
      <x:c r="V135" s="2" t="str">
        <x:v>Authorized guardian release</x:v>
      </x:c>
      <x:c r="W135" s="2" t="str">
        <x:v>Completed transport</x:v>
      </x:c>
      <x:c r="X135" s="2" t="str">
        <x:v>QR</x:v>
      </x:c>
      <x:c r="Y135" s="2" t="str">
        <x:v>Online</x:v>
      </x:c>
      <x:c r="Z135" s="2" t="str">
        <x:v>Synced</x:v>
      </x:c>
      <x:c r="AA135" s="2"/>
      <x:c r="AB135" s="2"/>
      <x:c r="AC135" s="10" t="n">
        <x:f>IF(OR(K135="",Q135=""),"",ROUND((Q135-K135)*1440,2))</x:f>
        <x:v>25</x:v>
      </x:c>
    </x:row>
    <x:row r="136" ht="21" customHeight="1">
      <x:c r="A136" s="2" t="str">
        <x:v>LN00135</x:v>
      </x:c>
      <x:c r="B136" s="2" t="str">
        <x:v>T20261004-3-2</x:v>
      </x:c>
      <x:c r="C136" s="7" t="n">
        <x:v>46299</x:v>
      </x:c>
      <x:c r="D136" s="2" t="str">
        <x:v>BUS002</x:v>
      </x:c>
      <x:c r="E136" s="2" t="str">
        <x:v>ST055</x:v>
      </x:c>
      <x:c r="F136" s="2" t="n">
        <x:v>1</x:v>
      </x:c>
      <x:c r="G136" s="2" t="str">
        <x:v>Senior</x:v>
      </x:c>
      <x:c r="H136" s="2" t="str">
        <x:v>Drop-off</x:v>
      </x:c>
      <x:c r="I136" s="2" t="str">
        <x:v>R2S3</x:v>
      </x:c>
      <x:c r="J136" s="2" t="str">
        <x:v>EV000267</x:v>
      </x:c>
      <x:c r="K136" s="8" t="n">
        <x:v>46299.573055555564</x:v>
      </x:c>
      <x:c r="L136" s="2" t="str">
        <x:v>SCH01</x:v>
      </x:c>
      <x:c r="M136" s="9" t="n">
        <x:v>25.285</x:v>
      </x:c>
      <x:c r="N136" s="9" t="n">
        <x:v>51.51</x:v>
      </x:c>
      <x:c r="O136" s="2" t="str">
        <x:v>Valid</x:v>
      </x:c>
      <x:c r="P136" s="2" t="str">
        <x:v>EV000268</x:v>
      </x:c>
      <x:c r="Q136" s="8" t="n">
        <x:v>46299.59458333334</x:v>
      </x:c>
      <x:c r="R136" s="2" t="str">
        <x:v>R2S3</x:v>
      </x:c>
      <x:c r="S136" s="9" t="n">
        <x:v>25.284000000000002</x:v>
      </x:c>
      <x:c r="T136" s="9" t="n">
        <x:v>51.504999999999995</x:v>
      </x:c>
      <x:c r="U136" s="2" t="str">
        <x:v>G055</x:v>
      </x:c>
      <x:c r="V136" s="2" t="str">
        <x:v>Authorized guardian release</x:v>
      </x:c>
      <x:c r="W136" s="2" t="str">
        <x:v>Completed transport</x:v>
      </x:c>
      <x:c r="X136" s="2" t="str">
        <x:v>QR</x:v>
      </x:c>
      <x:c r="Y136" s="2" t="str">
        <x:v>Online</x:v>
      </x:c>
      <x:c r="Z136" s="2" t="str">
        <x:v>Synced</x:v>
      </x:c>
      <x:c r="AA136" s="2"/>
      <x:c r="AB136" s="2"/>
      <x:c r="AC136" s="10" t="n">
        <x:f>IF(OR(K136="",Q136=""),"",ROUND((Q136-K136)*1440,2))</x:f>
        <x:v>31</x:v>
      </x:c>
    </x:row>
    <x:row r="137" ht="21" customHeight="1">
      <x:c r="A137" s="2" t="str">
        <x:v>LN00136</x:v>
      </x:c>
      <x:c r="B137" s="2" t="str">
        <x:v>T20261004-3-2</x:v>
      </x:c>
      <x:c r="C137" s="7" t="n">
        <x:v>46299</x:v>
      </x:c>
      <x:c r="D137" s="2" t="str">
        <x:v>BUS002</x:v>
      </x:c>
      <x:c r="E137" s="2" t="str">
        <x:v>ST056</x:v>
      </x:c>
      <x:c r="F137" s="2" t="n">
        <x:v>1</x:v>
      </x:c>
      <x:c r="G137" s="2" t="str">
        <x:v>Senior</x:v>
      </x:c>
      <x:c r="H137" s="2" t="str">
        <x:v>Drop-off</x:v>
      </x:c>
      <x:c r="I137" s="2" t="str">
        <x:v>R2S1</x:v>
      </x:c>
      <x:c r="J137" s="2" t="str">
        <x:v>EV000269</x:v>
      </x:c>
      <x:c r="K137" s="8" t="n">
        <x:v>46299.57309027778</x:v>
      </x:c>
      <x:c r="L137" s="2" t="str">
        <x:v>SCH01</x:v>
      </x:c>
      <x:c r="M137" s="9" t="n">
        <x:v>25.285</x:v>
      </x:c>
      <x:c r="N137" s="9" t="n">
        <x:v>51.51</x:v>
      </x:c>
      <x:c r="O137" s="2" t="str">
        <x:v>Valid</x:v>
      </x:c>
      <x:c r="P137" s="2" t="str">
        <x:v>EV000270</x:v>
      </x:c>
      <x:c r="Q137" s="8" t="n">
        <x:v>46299.58628472222</x:v>
      </x:c>
      <x:c r="R137" s="2" t="str">
        <x:v>R2S1</x:v>
      </x:c>
      <x:c r="S137" s="9" t="n">
        <x:v>25.28</x:v>
      </x:c>
      <x:c r="T137" s="9" t="n">
        <x:v>51.498999999999995</x:v>
      </x:c>
      <x:c r="U137" s="2" t="str">
        <x:v>G056</x:v>
      </x:c>
      <x:c r="V137" s="2" t="str">
        <x:v>Authorized guardian release</x:v>
      </x:c>
      <x:c r="W137" s="2" t="str">
        <x:v>Completed transport</x:v>
      </x:c>
      <x:c r="X137" s="2" t="str">
        <x:v>QR</x:v>
      </x:c>
      <x:c r="Y137" s="2" t="str">
        <x:v>Online</x:v>
      </x:c>
      <x:c r="Z137" s="2" t="str">
        <x:v>Synced</x:v>
      </x:c>
      <x:c r="AA137" s="2"/>
      <x:c r="AB137" s="2"/>
      <x:c r="AC137" s="10" t="n">
        <x:f>IF(OR(K137="",Q137=""),"",ROUND((Q137-K137)*1440,2))</x:f>
        <x:v>19</x:v>
      </x:c>
    </x:row>
    <x:row r="138" ht="21" customHeight="1">
      <x:c r="A138" s="2" t="str">
        <x:v>LN00137</x:v>
      </x:c>
      <x:c r="B138" s="2" t="str">
        <x:v>T20261004-3-2</x:v>
      </x:c>
      <x:c r="C138" s="7" t="n">
        <x:v>46299</x:v>
      </x:c>
      <x:c r="D138" s="2" t="str">
        <x:v>BUS002</x:v>
      </x:c>
      <x:c r="E138" s="2" t="str">
        <x:v>ST057</x:v>
      </x:c>
      <x:c r="F138" s="2" t="n">
        <x:v>1</x:v>
      </x:c>
      <x:c r="G138" s="2" t="str">
        <x:v>Senior</x:v>
      </x:c>
      <x:c r="H138" s="2" t="str">
        <x:v>Drop-off</x:v>
      </x:c>
      <x:c r="I138" s="2" t="str">
        <x:v>R2S2</x:v>
      </x:c>
      <x:c r="J138" s="2" t="str">
        <x:v>EV000271</x:v>
      </x:c>
      <x:c r="K138" s="8" t="n">
        <x:v>46299.573125</x:v>
      </x:c>
      <x:c r="L138" s="2" t="str">
        <x:v>SCH01</x:v>
      </x:c>
      <x:c r="M138" s="9" t="n">
        <x:v>25.285</x:v>
      </x:c>
      <x:c r="N138" s="9" t="n">
        <x:v>51.51</x:v>
      </x:c>
      <x:c r="O138" s="2" t="str">
        <x:v>Valid</x:v>
      </x:c>
      <x:c r="P138" s="2" t="str">
        <x:v>EV000272</x:v>
      </x:c>
      <x:c r="Q138" s="8" t="n">
        <x:v>46299.59048611111</x:v>
      </x:c>
      <x:c r="R138" s="2" t="str">
        <x:v>R2S2</x:v>
      </x:c>
      <x:c r="S138" s="9" t="n">
        <x:v>25.282000000000004</x:v>
      </x:c>
      <x:c r="T138" s="9" t="n">
        <x:v>51.501999999999995</x:v>
      </x:c>
      <x:c r="U138" s="2" t="str">
        <x:v>G057</x:v>
      </x:c>
      <x:c r="V138" s="2" t="str">
        <x:v>Authorized guardian release</x:v>
      </x:c>
      <x:c r="W138" s="2" t="str">
        <x:v>Completed transport</x:v>
      </x:c>
      <x:c r="X138" s="2" t="str">
        <x:v>QR</x:v>
      </x:c>
      <x:c r="Y138" s="2" t="str">
        <x:v>Online</x:v>
      </x:c>
      <x:c r="Z138" s="2" t="str">
        <x:v>Synced</x:v>
      </x:c>
      <x:c r="AA138" s="2"/>
      <x:c r="AB138" s="2"/>
      <x:c r="AC138" s="10" t="n">
        <x:f>IF(OR(K138="",Q138=""),"",ROUND((Q138-K138)*1440,2))</x:f>
        <x:v>25</x:v>
      </x:c>
    </x:row>
    <x:row r="139" ht="21" customHeight="1">
      <x:c r="A139" s="2" t="str">
        <x:v>LN00138</x:v>
      </x:c>
      <x:c r="B139" s="2" t="str">
        <x:v>T20261004-3-2</x:v>
      </x:c>
      <x:c r="C139" s="7" t="n">
        <x:v>46299</x:v>
      </x:c>
      <x:c r="D139" s="2" t="str">
        <x:v>BUS002</x:v>
      </x:c>
      <x:c r="E139" s="2" t="str">
        <x:v>ST058</x:v>
      </x:c>
      <x:c r="F139" s="2" t="n">
        <x:v>1</x:v>
      </x:c>
      <x:c r="G139" s="2" t="str">
        <x:v>Senior</x:v>
      </x:c>
      <x:c r="H139" s="2" t="str">
        <x:v>Drop-off</x:v>
      </x:c>
      <x:c r="I139" s="2" t="str">
        <x:v>R2S3</x:v>
      </x:c>
      <x:c r="J139" s="2" t="str">
        <x:v>EV000273</x:v>
      </x:c>
      <x:c r="K139" s="8" t="n">
        <x:v>46299.573159722226</x:v>
      </x:c>
      <x:c r="L139" s="2" t="str">
        <x:v>SCH01</x:v>
      </x:c>
      <x:c r="M139" s="9" t="n">
        <x:v>25.285</x:v>
      </x:c>
      <x:c r="N139" s="9" t="n">
        <x:v>51.51</x:v>
      </x:c>
      <x:c r="O139" s="2" t="str">
        <x:v>Valid</x:v>
      </x:c>
      <x:c r="P139" s="2" t="str">
        <x:v>EV000274</x:v>
      </x:c>
      <x:c r="Q139" s="8" t="n">
        <x:v>46299.5946875</x:v>
      </x:c>
      <x:c r="R139" s="2" t="str">
        <x:v>R2S3</x:v>
      </x:c>
      <x:c r="S139" s="9" t="n">
        <x:v>25.284000000000002</x:v>
      </x:c>
      <x:c r="T139" s="9" t="n">
        <x:v>51.504999999999995</x:v>
      </x:c>
      <x:c r="U139" s="2" t="str">
        <x:v>G058</x:v>
      </x:c>
      <x:c r="V139" s="2" t="str">
        <x:v>Authorized guardian release</x:v>
      </x:c>
      <x:c r="W139" s="2" t="str">
        <x:v>Completed transport</x:v>
      </x:c>
      <x:c r="X139" s="2" t="str">
        <x:v>QR</x:v>
      </x:c>
      <x:c r="Y139" s="2" t="str">
        <x:v>Online</x:v>
      </x:c>
      <x:c r="Z139" s="2" t="str">
        <x:v>Synced</x:v>
      </x:c>
      <x:c r="AA139" s="2"/>
      <x:c r="AB139" s="2"/>
      <x:c r="AC139" s="10" t="n">
        <x:f>IF(OR(K139="",Q139=""),"",ROUND((Q139-K139)*1440,2))</x:f>
        <x:v>31</x:v>
      </x:c>
    </x:row>
    <x:row r="140" ht="21" customHeight="1">
      <x:c r="A140" s="2" t="str">
        <x:v>LN00139</x:v>
      </x:c>
      <x:c r="B140" s="2" t="str">
        <x:v>T20261004-3-2</x:v>
      </x:c>
      <x:c r="C140" s="7" t="n">
        <x:v>46299</x:v>
      </x:c>
      <x:c r="D140" s="2" t="str">
        <x:v>BUS002</x:v>
      </x:c>
      <x:c r="E140" s="2" t="str">
        <x:v>ST059</x:v>
      </x:c>
      <x:c r="F140" s="2" t="n">
        <x:v>1</x:v>
      </x:c>
      <x:c r="G140" s="2" t="str">
        <x:v>Senior</x:v>
      </x:c>
      <x:c r="H140" s="2" t="str">
        <x:v>Drop-off</x:v>
      </x:c>
      <x:c r="I140" s="2" t="str">
        <x:v>R2S1</x:v>
      </x:c>
      <x:c r="J140" s="2" t="str">
        <x:v>EV000275</x:v>
      </x:c>
      <x:c r="K140" s="8" t="n">
        <x:v>46299.57319444445</x:v>
      </x:c>
      <x:c r="L140" s="2" t="str">
        <x:v>SCH01</x:v>
      </x:c>
      <x:c r="M140" s="9" t="n">
        <x:v>25.285</x:v>
      </x:c>
      <x:c r="N140" s="9" t="n">
        <x:v>51.51</x:v>
      </x:c>
      <x:c r="O140" s="2" t="str">
        <x:v>Valid</x:v>
      </x:c>
      <x:c r="P140" s="2" t="str">
        <x:v>EV000276</x:v>
      </x:c>
      <x:c r="Q140" s="8" t="n">
        <x:v>46299.58638888889</x:v>
      </x:c>
      <x:c r="R140" s="2" t="str">
        <x:v>R2S1</x:v>
      </x:c>
      <x:c r="S140" s="9" t="n">
        <x:v>25.28</x:v>
      </x:c>
      <x:c r="T140" s="9" t="n">
        <x:v>51.498999999999995</x:v>
      </x:c>
      <x:c r="U140" s="2" t="str">
        <x:v>G059</x:v>
      </x:c>
      <x:c r="V140" s="2" t="str">
        <x:v>Authorized guardian release</x:v>
      </x:c>
      <x:c r="W140" s="2" t="str">
        <x:v>Completed transport</x:v>
      </x:c>
      <x:c r="X140" s="2" t="str">
        <x:v>QR</x:v>
      </x:c>
      <x:c r="Y140" s="2" t="str">
        <x:v>Online</x:v>
      </x:c>
      <x:c r="Z140" s="2" t="str">
        <x:v>Synced</x:v>
      </x:c>
      <x:c r="AA140" s="2"/>
      <x:c r="AB140" s="2"/>
      <x:c r="AC140" s="10" t="n">
        <x:f>IF(OR(K140="",Q140=""),"",ROUND((Q140-K140)*1440,2))</x:f>
        <x:v>19</x:v>
      </x:c>
    </x:row>
    <x:row r="141" ht="21" customHeight="1">
      <x:c r="A141" s="2" t="str">
        <x:v>LN00140</x:v>
      </x:c>
      <x:c r="B141" s="2" t="str">
        <x:v>T20261004-3-2</x:v>
      </x:c>
      <x:c r="C141" s="7" t="n">
        <x:v>46299</x:v>
      </x:c>
      <x:c r="D141" s="2" t="str">
        <x:v>BUS002</x:v>
      </x:c>
      <x:c r="E141" s="2" t="str">
        <x:v>ST060</x:v>
      </x:c>
      <x:c r="F141" s="2" t="n">
        <x:v>1</x:v>
      </x:c>
      <x:c r="G141" s="2" t="str">
        <x:v>Senior</x:v>
      </x:c>
      <x:c r="H141" s="2" t="str">
        <x:v>Drop-off</x:v>
      </x:c>
      <x:c r="I141" s="2" t="str">
        <x:v>R2S2</x:v>
      </x:c>
      <x:c r="J141" s="2" t="str">
        <x:v>EV000277</x:v>
      </x:c>
      <x:c r="K141" s="8" t="n">
        <x:v>46299.57322916667</x:v>
      </x:c>
      <x:c r="L141" s="2" t="str">
        <x:v>SCH01</x:v>
      </x:c>
      <x:c r="M141" s="9" t="n">
        <x:v>25.285</x:v>
      </x:c>
      <x:c r="N141" s="9" t="n">
        <x:v>51.51</x:v>
      </x:c>
      <x:c r="O141" s="2" t="str">
        <x:v>Valid</x:v>
      </x:c>
      <x:c r="P141" s="2" t="str">
        <x:v>EV000278</x:v>
      </x:c>
      <x:c r="Q141" s="8" t="n">
        <x:v>46299.59059027778</x:v>
      </x:c>
      <x:c r="R141" s="2" t="str">
        <x:v>R2S2</x:v>
      </x:c>
      <x:c r="S141" s="9" t="n">
        <x:v>25.282000000000004</x:v>
      </x:c>
      <x:c r="T141" s="9" t="n">
        <x:v>51.501999999999995</x:v>
      </x:c>
      <x:c r="U141" s="2" t="str">
        <x:v>G060</x:v>
      </x:c>
      <x:c r="V141" s="2" t="str">
        <x:v>Authorized guardian release</x:v>
      </x:c>
      <x:c r="W141" s="2" t="str">
        <x:v>Completed transport</x:v>
      </x:c>
      <x:c r="X141" s="2" t="str">
        <x:v>QR</x:v>
      </x:c>
      <x:c r="Y141" s="2" t="str">
        <x:v>Online</x:v>
      </x:c>
      <x:c r="Z141" s="2" t="str">
        <x:v>Synced</x:v>
      </x:c>
      <x:c r="AA141" s="2"/>
      <x:c r="AB141" s="2"/>
      <x:c r="AC141" s="10" t="n">
        <x:f>IF(OR(K141="",Q141=""),"",ROUND((Q141-K141)*1440,2))</x:f>
        <x:v>25</x:v>
      </x:c>
    </x:row>
    <x:row r="142" ht="21" customHeight="1">
      <x:c r="A142" s="2" t="str">
        <x:v>LN00141</x:v>
      </x:c>
      <x:c r="B142" s="2" t="str">
        <x:v>T20261004-4-2</x:v>
      </x:c>
      <x:c r="C142" s="7" t="n">
        <x:v>46299</x:v>
      </x:c>
      <x:c r="D142" s="2" t="str">
        <x:v>BUS002</x:v>
      </x:c>
      <x:c r="E142" s="2" t="str">
        <x:v>ST061</x:v>
      </x:c>
      <x:c r="F142" s="2" t="n">
        <x:v>2</x:v>
      </x:c>
      <x:c r="G142" s="2" t="str">
        <x:v>Junior</x:v>
      </x:c>
      <x:c r="H142" s="2" t="str">
        <x:v>Drop-off</x:v>
      </x:c>
      <x:c r="I142" s="2" t="str">
        <x:v>R2S3</x:v>
      </x:c>
      <x:c r="J142" s="2" t="str">
        <x:v>EV000279</x:v>
      </x:c>
      <x:c r="K142" s="8" t="n">
        <x:v>46299.60416666667</x:v>
      </x:c>
      <x:c r="L142" s="2" t="str">
        <x:v>SCH01</x:v>
      </x:c>
      <x:c r="M142" s="9" t="n">
        <x:v>25.285</x:v>
      </x:c>
      <x:c r="N142" s="9" t="n">
        <x:v>51.51</x:v>
      </x:c>
      <x:c r="O142" s="2" t="str">
        <x:v>Valid</x:v>
      </x:c>
      <x:c r="P142" s="2" t="str">
        <x:v>EV000280</x:v>
      </x:c>
      <x:c r="Q142" s="8" t="n">
        <x:v>46299.62708333333</x:v>
      </x:c>
      <x:c r="R142" s="2" t="str">
        <x:v>R2S3</x:v>
      </x:c>
      <x:c r="S142" s="9" t="n">
        <x:v>25.284000000000002</x:v>
      </x:c>
      <x:c r="T142" s="9" t="n">
        <x:v>51.504999999999995</x:v>
      </x:c>
      <x:c r="U142" s="2" t="str">
        <x:v>G061</x:v>
      </x:c>
      <x:c r="V142" s="2" t="str">
        <x:v>Authorized guardian release</x:v>
      </x:c>
      <x:c r="W142" s="2" t="str">
        <x:v>Completed transport</x:v>
      </x:c>
      <x:c r="X142" s="2" t="str">
        <x:v>QR</x:v>
      </x:c>
      <x:c r="Y142" s="2" t="str">
        <x:v>Online</x:v>
      </x:c>
      <x:c r="Z142" s="2" t="str">
        <x:v>Synced</x:v>
      </x:c>
      <x:c r="AA142" s="2"/>
      <x:c r="AB142" s="2"/>
      <x:c r="AC142" s="10" t="n">
        <x:f>IF(OR(K142="",Q142=""),"",ROUND((Q142-K142)*1440,2))</x:f>
        <x:v>33</x:v>
      </x:c>
    </x:row>
    <x:row r="143" ht="21" customHeight="1">
      <x:c r="A143" s="2" t="str">
        <x:v>LN00142</x:v>
      </x:c>
      <x:c r="B143" s="2" t="str">
        <x:v>T20261004-4-2</x:v>
      </x:c>
      <x:c r="C143" s="7" t="n">
        <x:v>46299</x:v>
      </x:c>
      <x:c r="D143" s="2" t="str">
        <x:v>BUS002</x:v>
      </x:c>
      <x:c r="E143" s="2" t="str">
        <x:v>ST062</x:v>
      </x:c>
      <x:c r="F143" s="2" t="n">
        <x:v>2</x:v>
      </x:c>
      <x:c r="G143" s="2" t="str">
        <x:v>Junior</x:v>
      </x:c>
      <x:c r="H143" s="2" t="str">
        <x:v>Drop-off</x:v>
      </x:c>
      <x:c r="I143" s="2" t="str">
        <x:v>R2S1</x:v>
      </x:c>
      <x:c r="J143" s="2" t="str">
        <x:v>EV000281</x:v>
      </x:c>
      <x:c r="K143" s="8" t="n">
        <x:v>46299.604201388895</x:v>
      </x:c>
      <x:c r="L143" s="2" t="str">
        <x:v>SCH01</x:v>
      </x:c>
      <x:c r="M143" s="9" t="n">
        <x:v>25.285</x:v>
      </x:c>
      <x:c r="N143" s="9" t="n">
        <x:v>51.51</x:v>
      </x:c>
      <x:c r="O143" s="2" t="str">
        <x:v>Valid</x:v>
      </x:c>
      <x:c r="P143" s="2" t="str">
        <x:v>EV000282</x:v>
      </x:c>
      <x:c r="Q143" s="8" t="n">
        <x:v>46299.618784722225</x:v>
      </x:c>
      <x:c r="R143" s="2" t="str">
        <x:v>R2S1</x:v>
      </x:c>
      <x:c r="S143" s="9" t="n">
        <x:v>25.28</x:v>
      </x:c>
      <x:c r="T143" s="9" t="n">
        <x:v>51.498999999999995</x:v>
      </x:c>
      <x:c r="U143" s="2" t="str">
        <x:v>G062</x:v>
      </x:c>
      <x:c r="V143" s="2" t="str">
        <x:v>Authorized guardian release</x:v>
      </x:c>
      <x:c r="W143" s="2" t="str">
        <x:v>Completed transport</x:v>
      </x:c>
      <x:c r="X143" s="2" t="str">
        <x:v>QR</x:v>
      </x:c>
      <x:c r="Y143" s="2" t="str">
        <x:v>Online</x:v>
      </x:c>
      <x:c r="Z143" s="2" t="str">
        <x:v>Synced</x:v>
      </x:c>
      <x:c r="AA143" s="2"/>
      <x:c r="AB143" s="2"/>
      <x:c r="AC143" s="10" t="n">
        <x:f>IF(OR(K143="",Q143=""),"",ROUND((Q143-K143)*1440,2))</x:f>
        <x:v>21</x:v>
      </x:c>
    </x:row>
    <x:row r="144" ht="21" customHeight="1">
      <x:c r="A144" s="2" t="str">
        <x:v>LN00143</x:v>
      </x:c>
      <x:c r="B144" s="2" t="str">
        <x:v>T20261004-4-2</x:v>
      </x:c>
      <x:c r="C144" s="7" t="n">
        <x:v>46299</x:v>
      </x:c>
      <x:c r="D144" s="2" t="str">
        <x:v>BUS002</x:v>
      </x:c>
      <x:c r="E144" s="2" t="str">
        <x:v>ST063</x:v>
      </x:c>
      <x:c r="F144" s="2" t="n">
        <x:v>2</x:v>
      </x:c>
      <x:c r="G144" s="2" t="str">
        <x:v>Junior</x:v>
      </x:c>
      <x:c r="H144" s="2" t="str">
        <x:v>Drop-off</x:v>
      </x:c>
      <x:c r="I144" s="2" t="str">
        <x:v>R2S2</x:v>
      </x:c>
      <x:c r="J144" s="2" t="str">
        <x:v>EV000283</x:v>
      </x:c>
      <x:c r="K144" s="8" t="n">
        <x:v>46299.60423611112</x:v>
      </x:c>
      <x:c r="L144" s="2" t="str">
        <x:v>SCH01</x:v>
      </x:c>
      <x:c r="M144" s="9" t="n">
        <x:v>25.285</x:v>
      </x:c>
      <x:c r="N144" s="9" t="n">
        <x:v>51.51</x:v>
      </x:c>
      <x:c r="O144" s="2" t="str">
        <x:v>Valid</x:v>
      </x:c>
      <x:c r="P144" s="2" t="str">
        <x:v>EV000284</x:v>
      </x:c>
      <x:c r="Q144" s="8" t="n">
        <x:v>46299.62298611111</x:v>
      </x:c>
      <x:c r="R144" s="2" t="str">
        <x:v>R2S2</x:v>
      </x:c>
      <x:c r="S144" s="9" t="n">
        <x:v>25.282000000000004</x:v>
      </x:c>
      <x:c r="T144" s="9" t="n">
        <x:v>51.501999999999995</x:v>
      </x:c>
      <x:c r="U144" s="2" t="str">
        <x:v>G063</x:v>
      </x:c>
      <x:c r="V144" s="2" t="str">
        <x:v>Authorized guardian release</x:v>
      </x:c>
      <x:c r="W144" s="2" t="str">
        <x:v>Completed transport</x:v>
      </x:c>
      <x:c r="X144" s="2" t="str">
        <x:v>QR</x:v>
      </x:c>
      <x:c r="Y144" s="2" t="str">
        <x:v>Online</x:v>
      </x:c>
      <x:c r="Z144" s="2" t="str">
        <x:v>Synced</x:v>
      </x:c>
      <x:c r="AA144" s="2"/>
      <x:c r="AB144" s="2"/>
      <x:c r="AC144" s="10" t="n">
        <x:f>IF(OR(K144="",Q144=""),"",ROUND((Q144-K144)*1440,2))</x:f>
        <x:v>27</x:v>
      </x:c>
    </x:row>
    <x:row r="145" ht="21" customHeight="1">
      <x:c r="A145" s="2" t="str">
        <x:v>LN00144</x:v>
      </x:c>
      <x:c r="B145" s="2" t="str">
        <x:v>T20261004-4-2</x:v>
      </x:c>
      <x:c r="C145" s="7" t="n">
        <x:v>46299</x:v>
      </x:c>
      <x:c r="D145" s="2" t="str">
        <x:v>BUS002</x:v>
      </x:c>
      <x:c r="E145" s="2" t="str">
        <x:v>ST064</x:v>
      </x:c>
      <x:c r="F145" s="2" t="n">
        <x:v>2</x:v>
      </x:c>
      <x:c r="G145" s="2" t="str">
        <x:v>Junior</x:v>
      </x:c>
      <x:c r="H145" s="2" t="str">
        <x:v>Drop-off</x:v>
      </x:c>
      <x:c r="I145" s="2" t="str">
        <x:v>R2S3</x:v>
      </x:c>
      <x:c r="J145" s="2" t="str">
        <x:v>EV000285</x:v>
      </x:c>
      <x:c r="K145" s="8" t="n">
        <x:v>46299.60427083334</x:v>
      </x:c>
      <x:c r="L145" s="2" t="str">
        <x:v>SCH01</x:v>
      </x:c>
      <x:c r="M145" s="9" t="n">
        <x:v>25.285</x:v>
      </x:c>
      <x:c r="N145" s="9" t="n">
        <x:v>51.51</x:v>
      </x:c>
      <x:c r="O145" s="2" t="str">
        <x:v>Valid</x:v>
      </x:c>
      <x:c r="P145" s="2" t="str">
        <x:v>EV000286</x:v>
      </x:c>
      <x:c r="Q145" s="8" t="n">
        <x:v>46299.6271875</x:v>
      </x:c>
      <x:c r="R145" s="2" t="str">
        <x:v>R2S3</x:v>
      </x:c>
      <x:c r="S145" s="9" t="n">
        <x:v>25.284000000000002</x:v>
      </x:c>
      <x:c r="T145" s="9" t="n">
        <x:v>51.504999999999995</x:v>
      </x:c>
      <x:c r="U145" s="2" t="str">
        <x:v>G064</x:v>
      </x:c>
      <x:c r="V145" s="2" t="str">
        <x:v>Authorized guardian release</x:v>
      </x:c>
      <x:c r="W145" s="2" t="str">
        <x:v>Completed transport</x:v>
      </x:c>
      <x:c r="X145" s="2" t="str">
        <x:v>QR</x:v>
      </x:c>
      <x:c r="Y145" s="2" t="str">
        <x:v>Online</x:v>
      </x:c>
      <x:c r="Z145" s="2" t="str">
        <x:v>Synced</x:v>
      </x:c>
      <x:c r="AA145" s="2"/>
      <x:c r="AB145" s="2"/>
      <x:c r="AC145" s="10" t="n">
        <x:f>IF(OR(K145="",Q145=""),"",ROUND((Q145-K145)*1440,2))</x:f>
        <x:v>33</x:v>
      </x:c>
    </x:row>
    <x:row r="146" ht="21" customHeight="1">
      <x:c r="A146" s="2" t="str">
        <x:v>LN00145</x:v>
      </x:c>
      <x:c r="B146" s="2" t="str">
        <x:v>T20261004-4-2</x:v>
      </x:c>
      <x:c r="C146" s="7" t="n">
        <x:v>46299</x:v>
      </x:c>
      <x:c r="D146" s="2" t="str">
        <x:v>BUS002</x:v>
      </x:c>
      <x:c r="E146" s="2" t="str">
        <x:v>ST065</x:v>
      </x:c>
      <x:c r="F146" s="2" t="n">
        <x:v>2</x:v>
      </x:c>
      <x:c r="G146" s="2" t="str">
        <x:v>Junior</x:v>
      </x:c>
      <x:c r="H146" s="2" t="str">
        <x:v>Drop-off</x:v>
      </x:c>
      <x:c r="I146" s="2" t="str">
        <x:v>R2S1</x:v>
      </x:c>
      <x:c r="J146" s="2" t="str">
        <x:v>EV000287</x:v>
      </x:c>
      <x:c r="K146" s="8" t="n">
        <x:v>46299.604305555564</x:v>
      </x:c>
      <x:c r="L146" s="2" t="str">
        <x:v>SCH01</x:v>
      </x:c>
      <x:c r="M146" s="9" t="n">
        <x:v>25.285</x:v>
      </x:c>
      <x:c r="N146" s="9" t="n">
        <x:v>51.51</x:v>
      </x:c>
      <x:c r="O146" s="2" t="str">
        <x:v>Valid</x:v>
      </x:c>
      <x:c r="P146" s="2" t="str">
        <x:v>EV000288</x:v>
      </x:c>
      <x:c r="Q146" s="8" t="n">
        <x:v>46299.618888888894</x:v>
      </x:c>
      <x:c r="R146" s="2" t="str">
        <x:v>R2S1</x:v>
      </x:c>
      <x:c r="S146" s="9" t="n">
        <x:v>25.28</x:v>
      </x:c>
      <x:c r="T146" s="9" t="n">
        <x:v>51.498999999999995</x:v>
      </x:c>
      <x:c r="U146" s="2" t="str">
        <x:v>G065</x:v>
      </x:c>
      <x:c r="V146" s="2" t="str">
        <x:v>Authorized guardian release</x:v>
      </x:c>
      <x:c r="W146" s="2" t="str">
        <x:v>Completed transport</x:v>
      </x:c>
      <x:c r="X146" s="2" t="str">
        <x:v>QR</x:v>
      </x:c>
      <x:c r="Y146" s="2" t="str">
        <x:v>Online</x:v>
      </x:c>
      <x:c r="Z146" s="2" t="str">
        <x:v>Synced</x:v>
      </x:c>
      <x:c r="AA146" s="2"/>
      <x:c r="AB146" s="2"/>
      <x:c r="AC146" s="10" t="n">
        <x:f>IF(OR(K146="",Q146=""),"",ROUND((Q146-K146)*1440,2))</x:f>
        <x:v>21</x:v>
      </x:c>
    </x:row>
    <x:row r="147" ht="21" customHeight="1">
      <x:c r="A147" s="2" t="str">
        <x:v>LN00146</x:v>
      </x:c>
      <x:c r="B147" s="2" t="str">
        <x:v>T20261004-4-2</x:v>
      </x:c>
      <x:c r="C147" s="7" t="n">
        <x:v>46299</x:v>
      </x:c>
      <x:c r="D147" s="2" t="str">
        <x:v>BUS002</x:v>
      </x:c>
      <x:c r="E147" s="2" t="str">
        <x:v>ST066</x:v>
      </x:c>
      <x:c r="F147" s="2" t="n">
        <x:v>2</x:v>
      </x:c>
      <x:c r="G147" s="2" t="str">
        <x:v>Junior</x:v>
      </x:c>
      <x:c r="H147" s="2" t="str">
        <x:v>Drop-off</x:v>
      </x:c>
      <x:c r="I147" s="2" t="str">
        <x:v>R2S2</x:v>
      </x:c>
      <x:c r="J147" s="2" t="str">
        <x:v>EV000289</x:v>
      </x:c>
      <x:c r="K147" s="8" t="n">
        <x:v>46299.60434027778</x:v>
      </x:c>
      <x:c r="L147" s="2" t="str">
        <x:v>SCH01</x:v>
      </x:c>
      <x:c r="M147" s="9" t="n">
        <x:v>25.285</x:v>
      </x:c>
      <x:c r="N147" s="9" t="n">
        <x:v>51.51</x:v>
      </x:c>
      <x:c r="O147" s="2" t="str">
        <x:v>Valid</x:v>
      </x:c>
      <x:c r="P147" s="2" t="str">
        <x:v>EV000290</x:v>
      </x:c>
      <x:c r="Q147" s="8" t="n">
        <x:v>46299.623090277775</x:v>
      </x:c>
      <x:c r="R147" s="2" t="str">
        <x:v>R2S2</x:v>
      </x:c>
      <x:c r="S147" s="9" t="n">
        <x:v>25.282000000000004</x:v>
      </x:c>
      <x:c r="T147" s="9" t="n">
        <x:v>51.501999999999995</x:v>
      </x:c>
      <x:c r="U147" s="2" t="str">
        <x:v>G066</x:v>
      </x:c>
      <x:c r="V147" s="2" t="str">
        <x:v>Authorized guardian release</x:v>
      </x:c>
      <x:c r="W147" s="2" t="str">
        <x:v>Completed transport</x:v>
      </x:c>
      <x:c r="X147" s="2" t="str">
        <x:v>QR</x:v>
      </x:c>
      <x:c r="Y147" s="2" t="str">
        <x:v>Online</x:v>
      </x:c>
      <x:c r="Z147" s="2" t="str">
        <x:v>Synced</x:v>
      </x:c>
      <x:c r="AA147" s="2"/>
      <x:c r="AB147" s="2"/>
      <x:c r="AC147" s="10" t="n">
        <x:f>IF(OR(K147="",Q147=""),"",ROUND((Q147-K147)*1440,2))</x:f>
        <x:v>27</x:v>
      </x:c>
    </x:row>
    <x:row r="148" ht="21" customHeight="1">
      <x:c r="A148" s="2" t="str">
        <x:v>LN00147</x:v>
      </x:c>
      <x:c r="B148" s="2" t="str">
        <x:v>T20261004-4-2</x:v>
      </x:c>
      <x:c r="C148" s="7" t="n">
        <x:v>46299</x:v>
      </x:c>
      <x:c r="D148" s="2" t="str">
        <x:v>BUS002</x:v>
      </x:c>
      <x:c r="E148" s="2" t="str">
        <x:v>ST067</x:v>
      </x:c>
      <x:c r="F148" s="2" t="n">
        <x:v>2</x:v>
      </x:c>
      <x:c r="G148" s="2" t="str">
        <x:v>Junior</x:v>
      </x:c>
      <x:c r="H148" s="2" t="str">
        <x:v>Drop-off</x:v>
      </x:c>
      <x:c r="I148" s="2" t="str">
        <x:v>R2S3</x:v>
      </x:c>
      <x:c r="J148" s="2" t="str">
        <x:v>EV000291</x:v>
      </x:c>
      <x:c r="K148" s="8" t="n">
        <x:v>46299.604375</x:v>
      </x:c>
      <x:c r="L148" s="2" t="str">
        <x:v>SCH01</x:v>
      </x:c>
      <x:c r="M148" s="9" t="n">
        <x:v>25.285</x:v>
      </x:c>
      <x:c r="N148" s="9" t="n">
        <x:v>51.51</x:v>
      </x:c>
      <x:c r="O148" s="2" t="str">
        <x:v>Valid</x:v>
      </x:c>
      <x:c r="P148" s="2" t="str">
        <x:v>EV000292</x:v>
      </x:c>
      <x:c r="Q148" s="8" t="n">
        <x:v>46299.627291666664</x:v>
      </x:c>
      <x:c r="R148" s="2" t="str">
        <x:v>R2S3</x:v>
      </x:c>
      <x:c r="S148" s="9" t="n">
        <x:v>25.284000000000002</x:v>
      </x:c>
      <x:c r="T148" s="9" t="n">
        <x:v>51.504999999999995</x:v>
      </x:c>
      <x:c r="U148" s="2" t="str">
        <x:v>G067</x:v>
      </x:c>
      <x:c r="V148" s="2" t="str">
        <x:v>Authorized guardian release</x:v>
      </x:c>
      <x:c r="W148" s="2" t="str">
        <x:v>Completed transport</x:v>
      </x:c>
      <x:c r="X148" s="2" t="str">
        <x:v>QR</x:v>
      </x:c>
      <x:c r="Y148" s="2" t="str">
        <x:v>Online</x:v>
      </x:c>
      <x:c r="Z148" s="2" t="str">
        <x:v>Synced</x:v>
      </x:c>
      <x:c r="AA148" s="2"/>
      <x:c r="AB148" s="2"/>
      <x:c r="AC148" s="10" t="n">
        <x:f>IF(OR(K148="",Q148=""),"",ROUND((Q148-K148)*1440,2))</x:f>
        <x:v>33</x:v>
      </x:c>
    </x:row>
    <x:row r="149" ht="21" customHeight="1">
      <x:c r="A149" s="2" t="str">
        <x:v>LN00148</x:v>
      </x:c>
      <x:c r="B149" s="2" t="str">
        <x:v>T20261004-4-2</x:v>
      </x:c>
      <x:c r="C149" s="7" t="n">
        <x:v>46299</x:v>
      </x:c>
      <x:c r="D149" s="2" t="str">
        <x:v>BUS002</x:v>
      </x:c>
      <x:c r="E149" s="2" t="str">
        <x:v>ST068</x:v>
      </x:c>
      <x:c r="F149" s="2" t="n">
        <x:v>2</x:v>
      </x:c>
      <x:c r="G149" s="2" t="str">
        <x:v>Junior</x:v>
      </x:c>
      <x:c r="H149" s="2" t="str">
        <x:v>Drop-off</x:v>
      </x:c>
      <x:c r="I149" s="2" t="str">
        <x:v>R2S1</x:v>
      </x:c>
      <x:c r="J149" s="2" t="str">
        <x:v>EV000293</x:v>
      </x:c>
      <x:c r="K149" s="8" t="n">
        <x:v>46299.604409722226</x:v>
      </x:c>
      <x:c r="L149" s="2" t="str">
        <x:v>SCH01</x:v>
      </x:c>
      <x:c r="M149" s="9" t="n">
        <x:v>25.285</x:v>
      </x:c>
      <x:c r="N149" s="9" t="n">
        <x:v>51.51</x:v>
      </x:c>
      <x:c r="O149" s="2" t="str">
        <x:v>Valid</x:v>
      </x:c>
      <x:c r="P149" s="2" t="str">
        <x:v>EV000294</x:v>
      </x:c>
      <x:c r="Q149" s="8" t="n">
        <x:v>46299.618993055556</x:v>
      </x:c>
      <x:c r="R149" s="2" t="str">
        <x:v>R2S1</x:v>
      </x:c>
      <x:c r="S149" s="9" t="n">
        <x:v>25.28</x:v>
      </x:c>
      <x:c r="T149" s="9" t="n">
        <x:v>51.498999999999995</x:v>
      </x:c>
      <x:c r="U149" s="2" t="str">
        <x:v>G068</x:v>
      </x:c>
      <x:c r="V149" s="2" t="str">
        <x:v>Authorized guardian release</x:v>
      </x:c>
      <x:c r="W149" s="2" t="str">
        <x:v>Completed transport</x:v>
      </x:c>
      <x:c r="X149" s="2" t="str">
        <x:v>QR</x:v>
      </x:c>
      <x:c r="Y149" s="2" t="str">
        <x:v>Online</x:v>
      </x:c>
      <x:c r="Z149" s="2" t="str">
        <x:v>Synced</x:v>
      </x:c>
      <x:c r="AA149" s="2"/>
      <x:c r="AB149" s="2"/>
      <x:c r="AC149" s="10" t="n">
        <x:f>IF(OR(K149="",Q149=""),"",ROUND((Q149-K149)*1440,2))</x:f>
        <x:v>21</x:v>
      </x:c>
    </x:row>
    <x:row r="150" ht="21" customHeight="1">
      <x:c r="A150" s="2" t="str">
        <x:v>LN00149</x:v>
      </x:c>
      <x:c r="B150" s="2" t="str">
        <x:v>T20261004-4-2</x:v>
      </x:c>
      <x:c r="C150" s="7" t="n">
        <x:v>46299</x:v>
      </x:c>
      <x:c r="D150" s="2" t="str">
        <x:v>BUS002</x:v>
      </x:c>
      <x:c r="E150" s="2" t="str">
        <x:v>ST069</x:v>
      </x:c>
      <x:c r="F150" s="2" t="n">
        <x:v>2</x:v>
      </x:c>
      <x:c r="G150" s="2" t="str">
        <x:v>Junior</x:v>
      </x:c>
      <x:c r="H150" s="2" t="str">
        <x:v>Drop-off</x:v>
      </x:c>
      <x:c r="I150" s="2" t="str">
        <x:v>R2S2</x:v>
      </x:c>
      <x:c r="J150" s="2" t="str">
        <x:v>EV000295</x:v>
      </x:c>
      <x:c r="K150" s="8" t="n">
        <x:v>46299.60444444445</x:v>
      </x:c>
      <x:c r="L150" s="2" t="str">
        <x:v>SCH01</x:v>
      </x:c>
      <x:c r="M150" s="9" t="n">
        <x:v>25.285</x:v>
      </x:c>
      <x:c r="N150" s="9" t="n">
        <x:v>51.51</x:v>
      </x:c>
      <x:c r="O150" s="2" t="str">
        <x:v>Valid</x:v>
      </x:c>
      <x:c r="P150" s="2" t="str">
        <x:v>EV000296</x:v>
      </x:c>
      <x:c r="Q150" s="8" t="n">
        <x:v>46299.623194444444</x:v>
      </x:c>
      <x:c r="R150" s="2" t="str">
        <x:v>R2S2</x:v>
      </x:c>
      <x:c r="S150" s="9" t="n">
        <x:v>25.282000000000004</x:v>
      </x:c>
      <x:c r="T150" s="9" t="n">
        <x:v>51.501999999999995</x:v>
      </x:c>
      <x:c r="U150" s="2" t="str">
        <x:v>G069</x:v>
      </x:c>
      <x:c r="V150" s="2" t="str">
        <x:v>Authorized guardian release</x:v>
      </x:c>
      <x:c r="W150" s="2" t="str">
        <x:v>Completed transport</x:v>
      </x:c>
      <x:c r="X150" s="2" t="str">
        <x:v>QR</x:v>
      </x:c>
      <x:c r="Y150" s="2" t="str">
        <x:v>Online</x:v>
      </x:c>
      <x:c r="Z150" s="2" t="str">
        <x:v>Synced</x:v>
      </x:c>
      <x:c r="AA150" s="2"/>
      <x:c r="AB150" s="2"/>
      <x:c r="AC150" s="10" t="n">
        <x:f>IF(OR(K150="",Q150=""),"",ROUND((Q150-K150)*1440,2))</x:f>
        <x:v>27</x:v>
      </x:c>
    </x:row>
    <x:row r="151" ht="21" customHeight="1">
      <x:c r="A151" s="2" t="str">
        <x:v>LN00150</x:v>
      </x:c>
      <x:c r="B151" s="2" t="str">
        <x:v>T20261004-4-2</x:v>
      </x:c>
      <x:c r="C151" s="7" t="n">
        <x:v>46299</x:v>
      </x:c>
      <x:c r="D151" s="2" t="str">
        <x:v>BUS002</x:v>
      </x:c>
      <x:c r="E151" s="2" t="str">
        <x:v>ST070</x:v>
      </x:c>
      <x:c r="F151" s="2" t="n">
        <x:v>2</x:v>
      </x:c>
      <x:c r="G151" s="2" t="str">
        <x:v>Junior</x:v>
      </x:c>
      <x:c r="H151" s="2" t="str">
        <x:v>Drop-off</x:v>
      </x:c>
      <x:c r="I151" s="2" t="str">
        <x:v>R2S3</x:v>
      </x:c>
      <x:c r="J151" s="2" t="str">
        <x:v>EV000297</x:v>
      </x:c>
      <x:c r="K151" s="8" t="n">
        <x:v>46299.60447916667</x:v>
      </x:c>
      <x:c r="L151" s="2" t="str">
        <x:v>SCH01</x:v>
      </x:c>
      <x:c r="M151" s="9" t="n">
        <x:v>25.285</x:v>
      </x:c>
      <x:c r="N151" s="9" t="n">
        <x:v>51.51</x:v>
      </x:c>
      <x:c r="O151" s="2" t="str">
        <x:v>Valid</x:v>
      </x:c>
      <x:c r="P151" s="2" t="str">
        <x:v>EV000298</x:v>
      </x:c>
      <x:c r="Q151" s="8" t="n">
        <x:v>46299.62739583333</x:v>
      </x:c>
      <x:c r="R151" s="2" t="str">
        <x:v>R2S3</x:v>
      </x:c>
      <x:c r="S151" s="9" t="n">
        <x:v>25.284000000000002</x:v>
      </x:c>
      <x:c r="T151" s="9" t="n">
        <x:v>51.504999999999995</x:v>
      </x:c>
      <x:c r="U151" s="2" t="str">
        <x:v>G070</x:v>
      </x:c>
      <x:c r="V151" s="2" t="str">
        <x:v>Authorized guardian release</x:v>
      </x:c>
      <x:c r="W151" s="2" t="str">
        <x:v>Completed transport</x:v>
      </x:c>
      <x:c r="X151" s="2" t="str">
        <x:v>QR</x:v>
      </x:c>
      <x:c r="Y151" s="2" t="str">
        <x:v>Online</x:v>
      </x:c>
      <x:c r="Z151" s="2" t="str">
        <x:v>Synced</x:v>
      </x:c>
      <x:c r="AA151" s="2"/>
      <x:c r="AB151" s="2"/>
      <x:c r="AC151" s="10" t="n">
        <x:f>IF(OR(K151="",Q151=""),"",ROUND((Q151-K151)*1440,2))</x:f>
        <x:v>33</x:v>
      </x:c>
    </x:row>
    <x:row r="152" ht="21" customHeight="1">
      <x:c r="A152" s="2" t="str">
        <x:v>LN00151</x:v>
      </x:c>
      <x:c r="B152" s="2" t="str">
        <x:v>T20261004-5-2</x:v>
      </x:c>
      <x:c r="C152" s="7" t="n">
        <x:v>46299</x:v>
      </x:c>
      <x:c r="D152" s="2" t="str">
        <x:v>BUS002</x:v>
      </x:c>
      <x:c r="E152" s="2" t="str">
        <x:v>ST071</x:v>
      </x:c>
      <x:c r="F152" s="2" t="n">
        <x:v>2</x:v>
      </x:c>
      <x:c r="G152" s="2" t="str">
        <x:v>Senior</x:v>
      </x:c>
      <x:c r="H152" s="2" t="str">
        <x:v>Drop-off</x:v>
      </x:c>
      <x:c r="I152" s="2" t="str">
        <x:v>R2S1</x:v>
      </x:c>
      <x:c r="J152" s="2" t="str">
        <x:v>EV000299</x:v>
      </x:c>
      <x:c r="K152" s="8" t="n">
        <x:v>46299.70833333333</x:v>
      </x:c>
      <x:c r="L152" s="2" t="str">
        <x:v>SCH01</x:v>
      </x:c>
      <x:c r="M152" s="9" t="n">
        <x:v>25.285</x:v>
      </x:c>
      <x:c r="N152" s="9" t="n">
        <x:v>51.51</x:v>
      </x:c>
      <x:c r="O152" s="2" t="str">
        <x:v>Valid</x:v>
      </x:c>
      <x:c r="P152" s="2" t="str">
        <x:v>EV000300</x:v>
      </x:c>
      <x:c r="Q152" s="8" t="n">
        <x:v>46299.72361111111</x:v>
      </x:c>
      <x:c r="R152" s="2" t="str">
        <x:v>R2S1</x:v>
      </x:c>
      <x:c r="S152" s="9" t="n">
        <x:v>25.28</x:v>
      </x:c>
      <x:c r="T152" s="9" t="n">
        <x:v>51.498999999999995</x:v>
      </x:c>
      <x:c r="U152" s="2" t="str">
        <x:v>G071</x:v>
      </x:c>
      <x:c r="V152" s="2" t="str">
        <x:v>Authorized guardian release</x:v>
      </x:c>
      <x:c r="W152" s="2" t="str">
        <x:v>Completed transport</x:v>
      </x:c>
      <x:c r="X152" s="2" t="str">
        <x:v>QR</x:v>
      </x:c>
      <x:c r="Y152" s="2" t="str">
        <x:v>Online</x:v>
      </x:c>
      <x:c r="Z152" s="2" t="str">
        <x:v>Synced</x:v>
      </x:c>
      <x:c r="AA152" s="2"/>
      <x:c r="AB152" s="2"/>
      <x:c r="AC152" s="10" t="n">
        <x:f>IF(OR(K152="",Q152=""),"",ROUND((Q152-K152)*1440,2))</x:f>
        <x:v>22</x:v>
      </x:c>
    </x:row>
    <x:row r="153" ht="21" customHeight="1">
      <x:c r="A153" s="2" t="str">
        <x:v>LN00152</x:v>
      </x:c>
      <x:c r="B153" s="2" t="str">
        <x:v>T20261004-5-2</x:v>
      </x:c>
      <x:c r="C153" s="7" t="n">
        <x:v>46299</x:v>
      </x:c>
      <x:c r="D153" s="2" t="str">
        <x:v>BUS002</x:v>
      </x:c>
      <x:c r="E153" s="2" t="str">
        <x:v>ST072</x:v>
      </x:c>
      <x:c r="F153" s="2" t="n">
        <x:v>2</x:v>
      </x:c>
      <x:c r="G153" s="2" t="str">
        <x:v>Senior</x:v>
      </x:c>
      <x:c r="H153" s="2" t="str">
        <x:v>Drop-off</x:v>
      </x:c>
      <x:c r="I153" s="2" t="str">
        <x:v>R2S2</x:v>
      </x:c>
      <x:c r="J153" s="2" t="str">
        <x:v>EV000301</x:v>
      </x:c>
      <x:c r="K153" s="8" t="n">
        <x:v>46299.70836805555</x:v>
      </x:c>
      <x:c r="L153" s="2" t="str">
        <x:v>SCH01</x:v>
      </x:c>
      <x:c r="M153" s="9" t="n">
        <x:v>25.285</x:v>
      </x:c>
      <x:c r="N153" s="9" t="n">
        <x:v>51.51</x:v>
      </x:c>
      <x:c r="O153" s="2" t="str">
        <x:v>Valid</x:v>
      </x:c>
      <x:c r="P153" s="2" t="str">
        <x:v>EV000302</x:v>
      </x:c>
      <x:c r="Q153" s="8" t="n">
        <x:v>46299.72850694445</x:v>
      </x:c>
      <x:c r="R153" s="2" t="str">
        <x:v>R2S2</x:v>
      </x:c>
      <x:c r="S153" s="9" t="n">
        <x:v>25.282000000000004</x:v>
      </x:c>
      <x:c r="T153" s="9" t="n">
        <x:v>51.501999999999995</x:v>
      </x:c>
      <x:c r="U153" s="2" t="str">
        <x:v>G072</x:v>
      </x:c>
      <x:c r="V153" s="2" t="str">
        <x:v>Authorized guardian release</x:v>
      </x:c>
      <x:c r="W153" s="2" t="str">
        <x:v>Completed transport</x:v>
      </x:c>
      <x:c r="X153" s="2" t="str">
        <x:v>QR</x:v>
      </x:c>
      <x:c r="Y153" s="2" t="str">
        <x:v>Online</x:v>
      </x:c>
      <x:c r="Z153" s="2" t="str">
        <x:v>Synced</x:v>
      </x:c>
      <x:c r="AA153" s="2"/>
      <x:c r="AB153" s="2"/>
      <x:c r="AC153" s="10" t="n">
        <x:f>IF(OR(K153="",Q153=""),"",ROUND((Q153-K153)*1440,2))</x:f>
        <x:v>29</x:v>
      </x:c>
    </x:row>
    <x:row r="154" ht="21" customHeight="1">
      <x:c r="A154" s="2" t="str">
        <x:v>LN00153</x:v>
      </x:c>
      <x:c r="B154" s="2" t="str">
        <x:v>T20261004-5-2</x:v>
      </x:c>
      <x:c r="C154" s="7" t="n">
        <x:v>46299</x:v>
      </x:c>
      <x:c r="D154" s="2" t="str">
        <x:v>BUS002</x:v>
      </x:c>
      <x:c r="E154" s="2" t="str">
        <x:v>ST073</x:v>
      </x:c>
      <x:c r="F154" s="2" t="n">
        <x:v>2</x:v>
      </x:c>
      <x:c r="G154" s="2" t="str">
        <x:v>Senior</x:v>
      </x:c>
      <x:c r="H154" s="2" t="str">
        <x:v>Drop-off</x:v>
      </x:c>
      <x:c r="I154" s="2" t="str">
        <x:v>R2S3</x:v>
      </x:c>
      <x:c r="J154" s="2" t="str">
        <x:v>EV000303</x:v>
      </x:c>
      <x:c r="K154" s="8" t="n">
        <x:v>46299.708402777775</x:v>
      </x:c>
      <x:c r="L154" s="2" t="str">
        <x:v>SCH01</x:v>
      </x:c>
      <x:c r="M154" s="9" t="n">
        <x:v>25.285</x:v>
      </x:c>
      <x:c r="N154" s="9" t="n">
        <x:v>51.51</x:v>
      </x:c>
      <x:c r="O154" s="2" t="str">
        <x:v>Valid</x:v>
      </x:c>
      <x:c r="P154" s="2" t="str">
        <x:v>EV000304</x:v>
      </x:c>
      <x:c r="Q154" s="8" t="n">
        <x:v>46299.73340277778</x:v>
      </x:c>
      <x:c r="R154" s="2" t="str">
        <x:v>R2S3</x:v>
      </x:c>
      <x:c r="S154" s="9" t="n">
        <x:v>25.284000000000002</x:v>
      </x:c>
      <x:c r="T154" s="9" t="n">
        <x:v>51.504999999999995</x:v>
      </x:c>
      <x:c r="U154" s="2" t="str">
        <x:v>G073</x:v>
      </x:c>
      <x:c r="V154" s="2" t="str">
        <x:v>Authorized guardian release</x:v>
      </x:c>
      <x:c r="W154" s="2" t="str">
        <x:v>Completed transport</x:v>
      </x:c>
      <x:c r="X154" s="2" t="str">
        <x:v>QR</x:v>
      </x:c>
      <x:c r="Y154" s="2" t="str">
        <x:v>Online</x:v>
      </x:c>
      <x:c r="Z154" s="2" t="str">
        <x:v>Synced</x:v>
      </x:c>
      <x:c r="AA154" s="2"/>
      <x:c r="AB154" s="2"/>
      <x:c r="AC154" s="10" t="n">
        <x:f>IF(OR(K154="",Q154=""),"",ROUND((Q154-K154)*1440,2))</x:f>
        <x:v>36</x:v>
      </x:c>
    </x:row>
    <x:row r="155" ht="21" customHeight="1">
      <x:c r="A155" s="2" t="str">
        <x:v>LN00154</x:v>
      </x:c>
      <x:c r="B155" s="2" t="str">
        <x:v>T20261004-5-2</x:v>
      </x:c>
      <x:c r="C155" s="7" t="n">
        <x:v>46299</x:v>
      </x:c>
      <x:c r="D155" s="2" t="str">
        <x:v>BUS002</x:v>
      </x:c>
      <x:c r="E155" s="2" t="str">
        <x:v>ST074</x:v>
      </x:c>
      <x:c r="F155" s="2" t="n">
        <x:v>2</x:v>
      </x:c>
      <x:c r="G155" s="2" t="str">
        <x:v>Senior</x:v>
      </x:c>
      <x:c r="H155" s="2" t="str">
        <x:v>Drop-off</x:v>
      </x:c>
      <x:c r="I155" s="2" t="str">
        <x:v>R2S1</x:v>
      </x:c>
      <x:c r="J155" s="2" t="str">
        <x:v>EV000305</x:v>
      </x:c>
      <x:c r="K155" s="8" t="n">
        <x:v>46299.7084375</x:v>
      </x:c>
      <x:c r="L155" s="2" t="str">
        <x:v>SCH01</x:v>
      </x:c>
      <x:c r="M155" s="9" t="n">
        <x:v>25.285</x:v>
      </x:c>
      <x:c r="N155" s="9" t="n">
        <x:v>51.51</x:v>
      </x:c>
      <x:c r="O155" s="2" t="str">
        <x:v>Valid</x:v>
      </x:c>
      <x:c r="P155" s="2" t="str">
        <x:v>EV000306</x:v>
      </x:c>
      <x:c r="Q155" s="8" t="n">
        <x:v>46299.72371527778</x:v>
      </x:c>
      <x:c r="R155" s="2" t="str">
        <x:v>R2S1</x:v>
      </x:c>
      <x:c r="S155" s="9" t="n">
        <x:v>25.28</x:v>
      </x:c>
      <x:c r="T155" s="9" t="n">
        <x:v>51.498999999999995</x:v>
      </x:c>
      <x:c r="U155" s="2" t="str">
        <x:v>G074</x:v>
      </x:c>
      <x:c r="V155" s="2" t="str">
        <x:v>Authorized guardian release</x:v>
      </x:c>
      <x:c r="W155" s="2" t="str">
        <x:v>Completed transport</x:v>
      </x:c>
      <x:c r="X155" s="2" t="str">
        <x:v>QR</x:v>
      </x:c>
      <x:c r="Y155" s="2" t="str">
        <x:v>Online</x:v>
      </x:c>
      <x:c r="Z155" s="2" t="str">
        <x:v>Synced</x:v>
      </x:c>
      <x:c r="AA155" s="2"/>
      <x:c r="AB155" s="2"/>
      <x:c r="AC155" s="10" t="n">
        <x:f>IF(OR(K155="",Q155=""),"",ROUND((Q155-K155)*1440,2))</x:f>
        <x:v>22</x:v>
      </x:c>
    </x:row>
    <x:row r="156" ht="21" customHeight="1">
      <x:c r="A156" s="2" t="str">
        <x:v>LN00155</x:v>
      </x:c>
      <x:c r="B156" s="2" t="str">
        <x:v>T20261004-5-2</x:v>
      </x:c>
      <x:c r="C156" s="7" t="n">
        <x:v>46299</x:v>
      </x:c>
      <x:c r="D156" s="2" t="str">
        <x:v>BUS002</x:v>
      </x:c>
      <x:c r="E156" s="2" t="str">
        <x:v>ST075</x:v>
      </x:c>
      <x:c r="F156" s="2" t="n">
        <x:v>2</x:v>
      </x:c>
      <x:c r="G156" s="2" t="str">
        <x:v>Senior</x:v>
      </x:c>
      <x:c r="H156" s="2" t="str">
        <x:v>Drop-off</x:v>
      </x:c>
      <x:c r="I156" s="2" t="str">
        <x:v>R2S2</x:v>
      </x:c>
      <x:c r="J156" s="2" t="str">
        <x:v>EV000307</x:v>
      </x:c>
      <x:c r="K156" s="8" t="n">
        <x:v>46299.70847222222</x:v>
      </x:c>
      <x:c r="L156" s="2" t="str">
        <x:v>SCH01</x:v>
      </x:c>
      <x:c r="M156" s="9" t="n">
        <x:v>25.285</x:v>
      </x:c>
      <x:c r="N156" s="9" t="n">
        <x:v>51.51</x:v>
      </x:c>
      <x:c r="O156" s="2" t="str">
        <x:v>Valid</x:v>
      </x:c>
      <x:c r="P156" s="2" t="str">
        <x:v>EV000308</x:v>
      </x:c>
      <x:c r="Q156" s="8" t="n">
        <x:v>46299.72861111112</x:v>
      </x:c>
      <x:c r="R156" s="2" t="str">
        <x:v>R2S2</x:v>
      </x:c>
      <x:c r="S156" s="9" t="n">
        <x:v>25.282000000000004</x:v>
      </x:c>
      <x:c r="T156" s="9" t="n">
        <x:v>51.501999999999995</x:v>
      </x:c>
      <x:c r="U156" s="2" t="str">
        <x:v>G075</x:v>
      </x:c>
      <x:c r="V156" s="2" t="str">
        <x:v>Authorized guardian release</x:v>
      </x:c>
      <x:c r="W156" s="2" t="str">
        <x:v>Completed transport</x:v>
      </x:c>
      <x:c r="X156" s="2" t="str">
        <x:v>QR</x:v>
      </x:c>
      <x:c r="Y156" s="2" t="str">
        <x:v>Online</x:v>
      </x:c>
      <x:c r="Z156" s="2" t="str">
        <x:v>Synced</x:v>
      </x:c>
      <x:c r="AA156" s="2"/>
      <x:c r="AB156" s="2"/>
      <x:c r="AC156" s="10" t="n">
        <x:f>IF(OR(K156="",Q156=""),"",ROUND((Q156-K156)*1440,2))</x:f>
        <x:v>29</x:v>
      </x:c>
    </x:row>
    <x:row r="157" ht="21" customHeight="1">
      <x:c r="A157" s="2" t="str">
        <x:v>LN00156</x:v>
      </x:c>
      <x:c r="B157" s="2" t="str">
        <x:v>T20261004-5-2</x:v>
      </x:c>
      <x:c r="C157" s="7" t="n">
        <x:v>46299</x:v>
      </x:c>
      <x:c r="D157" s="2" t="str">
        <x:v>BUS002</x:v>
      </x:c>
      <x:c r="E157" s="2" t="str">
        <x:v>ST076</x:v>
      </x:c>
      <x:c r="F157" s="2" t="n">
        <x:v>2</x:v>
      </x:c>
      <x:c r="G157" s="2" t="str">
        <x:v>Senior</x:v>
      </x:c>
      <x:c r="H157" s="2" t="str">
        <x:v>Drop-off</x:v>
      </x:c>
      <x:c r="I157" s="2" t="str">
        <x:v>R2S3</x:v>
      </x:c>
      <x:c r="J157" s="2" t="str">
        <x:v>EV000309</x:v>
      </x:c>
      <x:c r="K157" s="8" t="n">
        <x:v>46299.70850694444</x:v>
      </x:c>
      <x:c r="L157" s="2" t="str">
        <x:v>SCH01</x:v>
      </x:c>
      <x:c r="M157" s="9" t="n">
        <x:v>25.285</x:v>
      </x:c>
      <x:c r="N157" s="9" t="n">
        <x:v>51.51</x:v>
      </x:c>
      <x:c r="O157" s="2" t="str">
        <x:v>Valid</x:v>
      </x:c>
      <x:c r="P157" s="2" t="str">
        <x:v>EV000310</x:v>
      </x:c>
      <x:c r="Q157" s="8" t="n">
        <x:v>46299.733506944445</x:v>
      </x:c>
      <x:c r="R157" s="2" t="str">
        <x:v>R2S3</x:v>
      </x:c>
      <x:c r="S157" s="9" t="n">
        <x:v>25.284000000000002</x:v>
      </x:c>
      <x:c r="T157" s="9" t="n">
        <x:v>51.504999999999995</x:v>
      </x:c>
      <x:c r="U157" s="2" t="str">
        <x:v>G076</x:v>
      </x:c>
      <x:c r="V157" s="2" t="str">
        <x:v>Authorized guardian release</x:v>
      </x:c>
      <x:c r="W157" s="2" t="str">
        <x:v>Completed transport</x:v>
      </x:c>
      <x:c r="X157" s="2" t="str">
        <x:v>QR</x:v>
      </x:c>
      <x:c r="Y157" s="2" t="str">
        <x:v>Online</x:v>
      </x:c>
      <x:c r="Z157" s="2" t="str">
        <x:v>Synced</x:v>
      </x:c>
      <x:c r="AA157" s="2"/>
      <x:c r="AB157" s="2"/>
      <x:c r="AC157" s="10" t="n">
        <x:f>IF(OR(K157="",Q157=""),"",ROUND((Q157-K157)*1440,2))</x:f>
        <x:v>36</x:v>
      </x:c>
    </x:row>
    <x:row r="158" ht="21" customHeight="1">
      <x:c r="A158" s="2" t="str">
        <x:v>LN00157</x:v>
      </x:c>
      <x:c r="B158" s="2" t="str">
        <x:v>T20261004-5-2</x:v>
      </x:c>
      <x:c r="C158" s="7" t="n">
        <x:v>46299</x:v>
      </x:c>
      <x:c r="D158" s="2" t="str">
        <x:v>BUS002</x:v>
      </x:c>
      <x:c r="E158" s="2" t="str">
        <x:v>ST077</x:v>
      </x:c>
      <x:c r="F158" s="2" t="n">
        <x:v>2</x:v>
      </x:c>
      <x:c r="G158" s="2" t="str">
        <x:v>Senior</x:v>
      </x:c>
      <x:c r="H158" s="2" t="str">
        <x:v>Drop-off</x:v>
      </x:c>
      <x:c r="I158" s="2" t="str">
        <x:v>R2S1</x:v>
      </x:c>
      <x:c r="J158" s="2" t="str">
        <x:v>EV000311</x:v>
      </x:c>
      <x:c r="K158" s="8" t="n">
        <x:v>46299.70854166666</x:v>
      </x:c>
      <x:c r="L158" s="2" t="str">
        <x:v>SCH01</x:v>
      </x:c>
      <x:c r="M158" s="9" t="n">
        <x:v>25.285</x:v>
      </x:c>
      <x:c r="N158" s="9" t="n">
        <x:v>51.51</x:v>
      </x:c>
      <x:c r="O158" s="2" t="str">
        <x:v>Valid</x:v>
      </x:c>
      <x:c r="P158" s="2" t="str">
        <x:v>EV000312</x:v>
      </x:c>
      <x:c r="Q158" s="8" t="n">
        <x:v>46299.72381944444</x:v>
      </x:c>
      <x:c r="R158" s="2" t="str">
        <x:v>R2S1</x:v>
      </x:c>
      <x:c r="S158" s="9" t="n">
        <x:v>25.28</x:v>
      </x:c>
      <x:c r="T158" s="9" t="n">
        <x:v>51.498999999999995</x:v>
      </x:c>
      <x:c r="U158" s="2" t="str">
        <x:v>G077</x:v>
      </x:c>
      <x:c r="V158" s="2" t="str">
        <x:v>Authorized guardian release</x:v>
      </x:c>
      <x:c r="W158" s="2" t="str">
        <x:v>Completed transport</x:v>
      </x:c>
      <x:c r="X158" s="2" t="str">
        <x:v>QR</x:v>
      </x:c>
      <x:c r="Y158" s="2" t="str">
        <x:v>Online</x:v>
      </x:c>
      <x:c r="Z158" s="2" t="str">
        <x:v>Synced</x:v>
      </x:c>
      <x:c r="AA158" s="2"/>
      <x:c r="AB158" s="2"/>
      <x:c r="AC158" s="10" t="n">
        <x:f>IF(OR(K158="",Q158=""),"",ROUND((Q158-K158)*1440,2))</x:f>
        <x:v>22</x:v>
      </x:c>
    </x:row>
    <x:row r="159" ht="21" customHeight="1">
      <x:c r="A159" s="2" t="str">
        <x:v>LN00158</x:v>
      </x:c>
      <x:c r="B159" s="2" t="str">
        <x:v>T20261004-5-2</x:v>
      </x:c>
      <x:c r="C159" s="7" t="n">
        <x:v>46299</x:v>
      </x:c>
      <x:c r="D159" s="2" t="str">
        <x:v>BUS002</x:v>
      </x:c>
      <x:c r="E159" s="2" t="str">
        <x:v>ST078</x:v>
      </x:c>
      <x:c r="F159" s="2" t="n">
        <x:v>2</x:v>
      </x:c>
      <x:c r="G159" s="2" t="str">
        <x:v>Senior</x:v>
      </x:c>
      <x:c r="H159" s="2" t="str">
        <x:v>Drop-off</x:v>
      </x:c>
      <x:c r="I159" s="2" t="str">
        <x:v>R2S2</x:v>
      </x:c>
      <x:c r="J159" s="2" t="str">
        <x:v>EV000313</x:v>
      </x:c>
      <x:c r="K159" s="8" t="n">
        <x:v>46299.70857638888</x:v>
      </x:c>
      <x:c r="L159" s="2" t="str">
        <x:v>SCH01</x:v>
      </x:c>
      <x:c r="M159" s="9" t="n">
        <x:v>25.285</x:v>
      </x:c>
      <x:c r="N159" s="9" t="n">
        <x:v>51.51</x:v>
      </x:c>
      <x:c r="O159" s="2" t="str">
        <x:v>Valid</x:v>
      </x:c>
      <x:c r="P159" s="2" t="str">
        <x:v>EV000314</x:v>
      </x:c>
      <x:c r="Q159" s="8" t="n">
        <x:v>46299.72871527778</x:v>
      </x:c>
      <x:c r="R159" s="2" t="str">
        <x:v>R2S2</x:v>
      </x:c>
      <x:c r="S159" s="9" t="n">
        <x:v>25.282000000000004</x:v>
      </x:c>
      <x:c r="T159" s="9" t="n">
        <x:v>51.501999999999995</x:v>
      </x:c>
      <x:c r="U159" s="2" t="str">
        <x:v>G078</x:v>
      </x:c>
      <x:c r="V159" s="2" t="str">
        <x:v>Authorized guardian release</x:v>
      </x:c>
      <x:c r="W159" s="2" t="str">
        <x:v>Completed transport</x:v>
      </x:c>
      <x:c r="X159" s="2" t="str">
        <x:v>QR</x:v>
      </x:c>
      <x:c r="Y159" s="2" t="str">
        <x:v>Online</x:v>
      </x:c>
      <x:c r="Z159" s="2" t="str">
        <x:v>Synced</x:v>
      </x:c>
      <x:c r="AA159" s="2"/>
      <x:c r="AB159" s="2"/>
      <x:c r="AC159" s="10" t="n">
        <x:f>IF(OR(K159="",Q159=""),"",ROUND((Q159-K159)*1440,2))</x:f>
        <x:v>29</x:v>
      </x:c>
    </x:row>
    <x:row r="160" ht="21" customHeight="1">
      <x:c r="A160" s="2" t="str">
        <x:v>LN00159</x:v>
      </x:c>
      <x:c r="B160" s="2" t="str">
        <x:v>T20261004-5-2</x:v>
      </x:c>
      <x:c r="C160" s="7" t="n">
        <x:v>46299</x:v>
      </x:c>
      <x:c r="D160" s="2" t="str">
        <x:v>BUS002</x:v>
      </x:c>
      <x:c r="E160" s="2" t="str">
        <x:v>ST079</x:v>
      </x:c>
      <x:c r="F160" s="2" t="n">
        <x:v>2</x:v>
      </x:c>
      <x:c r="G160" s="2" t="str">
        <x:v>Senior</x:v>
      </x:c>
      <x:c r="H160" s="2" t="str">
        <x:v>Drop-off</x:v>
      </x:c>
      <x:c r="I160" s="2" t="str">
        <x:v>R2S3</x:v>
      </x:c>
      <x:c r="J160" s="2" t="str">
        <x:v>EV000315</x:v>
      </x:c>
      <x:c r="K160" s="8" t="n">
        <x:v>46299.708611111106</x:v>
      </x:c>
      <x:c r="L160" s="2" t="str">
        <x:v>SCH01</x:v>
      </x:c>
      <x:c r="M160" s="9" t="n">
        <x:v>25.285</x:v>
      </x:c>
      <x:c r="N160" s="9" t="n">
        <x:v>51.51</x:v>
      </x:c>
      <x:c r="O160" s="2" t="str">
        <x:v>Valid</x:v>
      </x:c>
      <x:c r="P160" s="2" t="str">
        <x:v>EV000316</x:v>
      </x:c>
      <x:c r="Q160" s="8" t="n">
        <x:v>46299.733611111114</x:v>
      </x:c>
      <x:c r="R160" s="2" t="str">
        <x:v>R2S3</x:v>
      </x:c>
      <x:c r="S160" s="9" t="n">
        <x:v>25.284000000000002</x:v>
      </x:c>
      <x:c r="T160" s="9" t="n">
        <x:v>51.504999999999995</x:v>
      </x:c>
      <x:c r="U160" s="2" t="str">
        <x:v>G079</x:v>
      </x:c>
      <x:c r="V160" s="2" t="str">
        <x:v>Authorized guardian release</x:v>
      </x:c>
      <x:c r="W160" s="2" t="str">
        <x:v>Completed transport</x:v>
      </x:c>
      <x:c r="X160" s="2" t="str">
        <x:v>QR</x:v>
      </x:c>
      <x:c r="Y160" s="2" t="str">
        <x:v>Online</x:v>
      </x:c>
      <x:c r="Z160" s="2" t="str">
        <x:v>Synced</x:v>
      </x:c>
      <x:c r="AA160" s="2"/>
      <x:c r="AB160" s="2"/>
      <x:c r="AC160" s="10" t="n">
        <x:f>IF(OR(K160="",Q160=""),"",ROUND((Q160-K160)*1440,2))</x:f>
        <x:v>36</x:v>
      </x:c>
    </x:row>
    <x:row r="161" ht="21" customHeight="1">
      <x:c r="A161" s="2" t="str">
        <x:v>LN00160</x:v>
      </x:c>
      <x:c r="B161" s="2" t="str">
        <x:v>T20261004-5-2</x:v>
      </x:c>
      <x:c r="C161" s="7" t="n">
        <x:v>46299</x:v>
      </x:c>
      <x:c r="D161" s="2" t="str">
        <x:v>BUS002</x:v>
      </x:c>
      <x:c r="E161" s="2" t="str">
        <x:v>ST080</x:v>
      </x:c>
      <x:c r="F161" s="2" t="n">
        <x:v>2</x:v>
      </x:c>
      <x:c r="G161" s="2" t="str">
        <x:v>Senior</x:v>
      </x:c>
      <x:c r="H161" s="2" t="str">
        <x:v>Drop-off</x:v>
      </x:c>
      <x:c r="I161" s="2" t="str">
        <x:v>R2S1</x:v>
      </x:c>
      <x:c r="J161" s="2" t="str">
        <x:v>EV000317</x:v>
      </x:c>
      <x:c r="K161" s="8" t="n">
        <x:v>46299.70864583333</x:v>
      </x:c>
      <x:c r="L161" s="2" t="str">
        <x:v>SCH01</x:v>
      </x:c>
      <x:c r="M161" s="9" t="n">
        <x:v>25.285</x:v>
      </x:c>
      <x:c r="N161" s="9" t="n">
        <x:v>51.51</x:v>
      </x:c>
      <x:c r="O161" s="2" t="str">
        <x:v>Valid</x:v>
      </x:c>
      <x:c r="P161" s="2" t="str">
        <x:v>EV000318</x:v>
      </x:c>
      <x:c r="Q161" s="8" t="n">
        <x:v>46299.72392361111</x:v>
      </x:c>
      <x:c r="R161" s="2" t="str">
        <x:v>R2S1</x:v>
      </x:c>
      <x:c r="S161" s="9" t="n">
        <x:v>25.28</x:v>
      </x:c>
      <x:c r="T161" s="9" t="n">
        <x:v>51.498999999999995</x:v>
      </x:c>
      <x:c r="U161" s="2" t="str">
        <x:v>G080</x:v>
      </x:c>
      <x:c r="V161" s="2" t="str">
        <x:v>Authorized guardian release</x:v>
      </x:c>
      <x:c r="W161" s="2" t="str">
        <x:v>Completed transport</x:v>
      </x:c>
      <x:c r="X161" s="2" t="str">
        <x:v>QR</x:v>
      </x:c>
      <x:c r="Y161" s="2" t="str">
        <x:v>Online</x:v>
      </x:c>
      <x:c r="Z161" s="2" t="str">
        <x:v>Synced</x:v>
      </x:c>
      <x:c r="AA161" s="2"/>
      <x:c r="AB161" s="2"/>
      <x:c r="AC161" s="10" t="n">
        <x:f>IF(OR(K161="",Q161=""),"",ROUND((Q161-K161)*1440,2))</x:f>
        <x:v>22</x:v>
      </x:c>
    </x:row>
    <x:row r="162" ht="21" customHeight="1">
      <x:c r="A162" s="2" t="str">
        <x:v>LN00161</x:v>
      </x:c>
      <x:c r="B162" s="2" t="str">
        <x:v>T20261004-1-3</x:v>
      </x:c>
      <x:c r="C162" s="7" t="n">
        <x:v>46299</x:v>
      </x:c>
      <x:c r="D162" s="2" t="str">
        <x:v>BUS003</x:v>
      </x:c>
      <x:c r="E162" s="2" t="str">
        <x:v>ST081</x:v>
      </x:c>
      <x:c r="F162" s="2" t="n">
        <x:v>1</x:v>
      </x:c>
      <x:c r="G162" s="2" t="str">
        <x:v>Junior</x:v>
      </x:c>
      <x:c r="H162" s="2" t="str">
        <x:v>Pickup</x:v>
      </x:c>
      <x:c r="I162" s="2" t="str">
        <x:v>R3S1</x:v>
      </x:c>
      <x:c r="J162" s="2" t="str">
        <x:v>EV000319</x:v>
      </x:c>
      <x:c r="K162" s="8" t="n">
        <x:v>46299.242361111115</x:v>
      </x:c>
      <x:c r="L162" s="2" t="str">
        <x:v>R3S1</x:v>
      </x:c>
      <x:c r="M162" s="9" t="n">
        <x:v>25.289</x:v>
      </x:c>
      <x:c r="N162" s="9" t="n">
        <x:v>51.507</x:v>
      </x:c>
      <x:c r="O162" s="2" t="str">
        <x:v>Valid</x:v>
      </x:c>
      <x:c r="P162" s="2" t="str">
        <x:v>EV000320</x:v>
      </x:c>
      <x:c r="Q162" s="8" t="n">
        <x:v>46299.27638888889</x:v>
      </x:c>
      <x:c r="R162" s="2" t="str">
        <x:v>SCH01</x:v>
      </x:c>
      <x:c r="S162" s="9" t="n">
        <x:v>25.285</x:v>
      </x:c>
      <x:c r="T162" s="9" t="n">
        <x:v>51.51</x:v>
      </x:c>
      <x:c r="U162" s="2" t="str">
        <x:v>SCHOOL_RECEIVER_01</x:v>
      </x:c>
      <x:c r="V162" s="2" t="str">
        <x:v>School staff receipt</x:v>
      </x:c>
      <x:c r="W162" s="2" t="str">
        <x:v>Completed transport</x:v>
      </x:c>
      <x:c r="X162" s="2" t="str">
        <x:v>QR</x:v>
      </x:c>
      <x:c r="Y162" s="2" t="str">
        <x:v>Online</x:v>
      </x:c>
      <x:c r="Z162" s="2" t="str">
        <x:v>Synced</x:v>
      </x:c>
      <x:c r="AA162" s="2"/>
      <x:c r="AB162" s="2"/>
      <x:c r="AC162" s="10" t="n">
        <x:f>IF(OR(K162="",Q162=""),"",ROUND((Q162-K162)*1440,2))</x:f>
        <x:v>49</x:v>
      </x:c>
    </x:row>
    <x:row r="163" ht="21" customHeight="1">
      <x:c r="A163" s="2" t="str">
        <x:v>LN00162</x:v>
      </x:c>
      <x:c r="B163" s="2" t="str">
        <x:v>T20261004-1-3</x:v>
      </x:c>
      <x:c r="C163" s="7" t="n">
        <x:v>46299</x:v>
      </x:c>
      <x:c r="D163" s="2" t="str">
        <x:v>BUS003</x:v>
      </x:c>
      <x:c r="E163" s="2" t="str">
        <x:v>ST082</x:v>
      </x:c>
      <x:c r="F163" s="2" t="n">
        <x:v>1</x:v>
      </x:c>
      <x:c r="G163" s="2" t="str">
        <x:v>Junior</x:v>
      </x:c>
      <x:c r="H163" s="2" t="str">
        <x:v>Pickup</x:v>
      </x:c>
      <x:c r="I163" s="2" t="str">
        <x:v>R3S2</x:v>
      </x:c>
      <x:c r="J163" s="2" t="str">
        <x:v>EV000321</x:v>
      </x:c>
      <x:c r="K163" s="8" t="n">
        <x:v>46299.24725694444</x:v>
      </x:c>
      <x:c r="L163" s="2" t="str">
        <x:v>R3S2</x:v>
      </x:c>
      <x:c r="M163" s="9" t="n">
        <x:v>25.291000000000004</x:v>
      </x:c>
      <x:c r="N163" s="9" t="n">
        <x:v>51.51</x:v>
      </x:c>
      <x:c r="O163" s="2" t="str">
        <x:v>Valid</x:v>
      </x:c>
      <x:c r="P163" s="2" t="str">
        <x:v>EV000322</x:v>
      </x:c>
      <x:c r="Q163" s="8" t="n">
        <x:v>46299.27642361111</x:v>
      </x:c>
      <x:c r="R163" s="2" t="str">
        <x:v>SCH01</x:v>
      </x:c>
      <x:c r="S163" s="9" t="n">
        <x:v>25.285</x:v>
      </x:c>
      <x:c r="T163" s="9" t="n">
        <x:v>51.51</x:v>
      </x:c>
      <x:c r="U163" s="2" t="str">
        <x:v>SCHOOL_RECEIVER_01</x:v>
      </x:c>
      <x:c r="V163" s="2" t="str">
        <x:v>School staff receipt</x:v>
      </x:c>
      <x:c r="W163" s="2" t="str">
        <x:v>Completed transport</x:v>
      </x:c>
      <x:c r="X163" s="2" t="str">
        <x:v>QR</x:v>
      </x:c>
      <x:c r="Y163" s="2" t="str">
        <x:v>Online</x:v>
      </x:c>
      <x:c r="Z163" s="2" t="str">
        <x:v>Synced</x:v>
      </x:c>
      <x:c r="AA163" s="2"/>
      <x:c r="AB163" s="2"/>
      <x:c r="AC163" s="10" t="n">
        <x:f>IF(OR(K163="",Q163=""),"",ROUND((Q163-K163)*1440,2))</x:f>
        <x:v>42</x:v>
      </x:c>
    </x:row>
    <x:row r="164" ht="21" customHeight="1">
      <x:c r="A164" s="2" t="str">
        <x:v>LN00163</x:v>
      </x:c>
      <x:c r="B164" s="2" t="str">
        <x:v>T20261004-1-3</x:v>
      </x:c>
      <x:c r="C164" s="7" t="n">
        <x:v>46299</x:v>
      </x:c>
      <x:c r="D164" s="2" t="str">
        <x:v>BUS003</x:v>
      </x:c>
      <x:c r="E164" s="2" t="str">
        <x:v>ST083</x:v>
      </x:c>
      <x:c r="F164" s="2" t="n">
        <x:v>1</x:v>
      </x:c>
      <x:c r="G164" s="2" t="str">
        <x:v>Junior</x:v>
      </x:c>
      <x:c r="H164" s="2" t="str">
        <x:v>Pickup</x:v>
      </x:c>
      <x:c r="I164" s="2" t="str">
        <x:v>R3S3</x:v>
      </x:c>
      <x:c r="J164" s="2" t="str">
        <x:v>EV000323</x:v>
      </x:c>
      <x:c r="K164" s="8" t="n">
        <x:v>46299.25215277778</x:v>
      </x:c>
      <x:c r="L164" s="2" t="str">
        <x:v>R3S3</x:v>
      </x:c>
      <x:c r="M164" s="9" t="n">
        <x:v>25.293000000000003</x:v>
      </x:c>
      <x:c r="N164" s="9" t="n">
        <x:v>51.513</x:v>
      </x:c>
      <x:c r="O164" s="2" t="str">
        <x:v>Valid</x:v>
      </x:c>
      <x:c r="P164" s="2" t="str">
        <x:v>EV000324</x:v>
      </x:c>
      <x:c r="Q164" s="8" t="n">
        <x:v>46299.276458333334</x:v>
      </x:c>
      <x:c r="R164" s="2" t="str">
        <x:v>SCH01</x:v>
      </x:c>
      <x:c r="S164" s="9" t="n">
        <x:v>25.285</x:v>
      </x:c>
      <x:c r="T164" s="9" t="n">
        <x:v>51.51</x:v>
      </x:c>
      <x:c r="U164" s="2" t="str">
        <x:v>SCHOOL_RECEIVER_01</x:v>
      </x:c>
      <x:c r="V164" s="2" t="str">
        <x:v>School staff receipt</x:v>
      </x:c>
      <x:c r="W164" s="2" t="str">
        <x:v>Completed transport</x:v>
      </x:c>
      <x:c r="X164" s="2" t="str">
        <x:v>QR</x:v>
      </x:c>
      <x:c r="Y164" s="2" t="str">
        <x:v>Online</x:v>
      </x:c>
      <x:c r="Z164" s="2" t="str">
        <x:v>Synced</x:v>
      </x:c>
      <x:c r="AA164" s="2"/>
      <x:c r="AB164" s="2"/>
      <x:c r="AC164" s="10" t="n">
        <x:f>IF(OR(K164="",Q164=""),"",ROUND((Q164-K164)*1440,2))</x:f>
        <x:v>35</x:v>
      </x:c>
    </x:row>
    <x:row r="165" ht="21" customHeight="1">
      <x:c r="A165" s="2" t="str">
        <x:v>LN00164</x:v>
      </x:c>
      <x:c r="B165" s="2" t="str">
        <x:v>T20261004-1-3</x:v>
      </x:c>
      <x:c r="C165" s="7" t="n">
        <x:v>46299</x:v>
      </x:c>
      <x:c r="D165" s="2" t="str">
        <x:v>BUS003</x:v>
      </x:c>
      <x:c r="E165" s="2" t="str">
        <x:v>ST084</x:v>
      </x:c>
      <x:c r="F165" s="2" t="n">
        <x:v>1</x:v>
      </x:c>
      <x:c r="G165" s="2" t="str">
        <x:v>Junior</x:v>
      </x:c>
      <x:c r="H165" s="2" t="str">
        <x:v>Pickup</x:v>
      </x:c>
      <x:c r="I165" s="2" t="str">
        <x:v>R3S1</x:v>
      </x:c>
      <x:c r="J165" s="2" t="str">
        <x:v>EV000325</x:v>
      </x:c>
      <x:c r="K165" s="8" t="n">
        <x:v>46299.242465277785</x:v>
      </x:c>
      <x:c r="L165" s="2" t="str">
        <x:v>R3S1</x:v>
      </x:c>
      <x:c r="M165" s="9" t="n">
        <x:v>25.289</x:v>
      </x:c>
      <x:c r="N165" s="9" t="n">
        <x:v>51.507</x:v>
      </x:c>
      <x:c r="O165" s="2" t="str">
        <x:v>Valid</x:v>
      </x:c>
      <x:c r="P165" s="2" t="str">
        <x:v>EV000326</x:v>
      </x:c>
      <x:c r="Q165" s="8" t="n">
        <x:v>46299.27649305556</x:v>
      </x:c>
      <x:c r="R165" s="2" t="str">
        <x:v>SCH01</x:v>
      </x:c>
      <x:c r="S165" s="9" t="n">
        <x:v>25.285</x:v>
      </x:c>
      <x:c r="T165" s="9" t="n">
        <x:v>51.51</x:v>
      </x:c>
      <x:c r="U165" s="2" t="str">
        <x:v>SCHOOL_RECEIVER_01</x:v>
      </x:c>
      <x:c r="V165" s="2" t="str">
        <x:v>School staff receipt</x:v>
      </x:c>
      <x:c r="W165" s="2" t="str">
        <x:v>Completed transport</x:v>
      </x:c>
      <x:c r="X165" s="2" t="str">
        <x:v>QR</x:v>
      </x:c>
      <x:c r="Y165" s="2" t="str">
        <x:v>Online</x:v>
      </x:c>
      <x:c r="Z165" s="2" t="str">
        <x:v>Synced</x:v>
      </x:c>
      <x:c r="AA165" s="2"/>
      <x:c r="AB165" s="2"/>
      <x:c r="AC165" s="10" t="n">
        <x:f>IF(OR(K165="",Q165=""),"",ROUND((Q165-K165)*1440,2))</x:f>
        <x:v>49</x:v>
      </x:c>
    </x:row>
    <x:row r="166" ht="21" customHeight="1">
      <x:c r="A166" s="2" t="str">
        <x:v>LN00165</x:v>
      </x:c>
      <x:c r="B166" s="2" t="str">
        <x:v>T20261004-1-3</x:v>
      </x:c>
      <x:c r="C166" s="7" t="n">
        <x:v>46299</x:v>
      </x:c>
      <x:c r="D166" s="2" t="str">
        <x:v>BUS003</x:v>
      </x:c>
      <x:c r="E166" s="2" t="str">
        <x:v>ST085</x:v>
      </x:c>
      <x:c r="F166" s="2" t="n">
        <x:v>1</x:v>
      </x:c>
      <x:c r="G166" s="2" t="str">
        <x:v>Junior</x:v>
      </x:c>
      <x:c r="H166" s="2" t="str">
        <x:v>Pickup</x:v>
      </x:c>
      <x:c r="I166" s="2" t="str">
        <x:v>R3S2</x:v>
      </x:c>
      <x:c r="J166" s="2" t="str">
        <x:v>EV000327</x:v>
      </x:c>
      <x:c r="K166" s="8" t="n">
        <x:v>46299.24736111111</x:v>
      </x:c>
      <x:c r="L166" s="2" t="str">
        <x:v>R3S2</x:v>
      </x:c>
      <x:c r="M166" s="9" t="n">
        <x:v>25.291000000000004</x:v>
      </x:c>
      <x:c r="N166" s="9" t="n">
        <x:v>51.51</x:v>
      </x:c>
      <x:c r="O166" s="2" t="str">
        <x:v>Valid</x:v>
      </x:c>
      <x:c r="P166" s="2" t="str">
        <x:v>EV000328</x:v>
      </x:c>
      <x:c r="Q166" s="8" t="n">
        <x:v>46299.27652777778</x:v>
      </x:c>
      <x:c r="R166" s="2" t="str">
        <x:v>SCH01</x:v>
      </x:c>
      <x:c r="S166" s="9" t="n">
        <x:v>25.285</x:v>
      </x:c>
      <x:c r="T166" s="9" t="n">
        <x:v>51.51</x:v>
      </x:c>
      <x:c r="U166" s="2" t="str">
        <x:v>SCHOOL_RECEIVER_01</x:v>
      </x:c>
      <x:c r="V166" s="2" t="str">
        <x:v>School staff receipt</x:v>
      </x:c>
      <x:c r="W166" s="2" t="str">
        <x:v>Completed transport</x:v>
      </x:c>
      <x:c r="X166" s="2" t="str">
        <x:v>QR</x:v>
      </x:c>
      <x:c r="Y166" s="2" t="str">
        <x:v>Online</x:v>
      </x:c>
      <x:c r="Z166" s="2" t="str">
        <x:v>Synced</x:v>
      </x:c>
      <x:c r="AA166" s="2"/>
      <x:c r="AB166" s="2"/>
      <x:c r="AC166" s="10" t="n">
        <x:f>IF(OR(K166="",Q166=""),"",ROUND((Q166-K166)*1440,2))</x:f>
        <x:v>42</x:v>
      </x:c>
    </x:row>
    <x:row r="167" ht="21" customHeight="1">
      <x:c r="A167" s="2" t="str">
        <x:v>LN00166</x:v>
      </x:c>
      <x:c r="B167" s="2" t="str">
        <x:v>T20261004-1-3</x:v>
      </x:c>
      <x:c r="C167" s="7" t="n">
        <x:v>46299</x:v>
      </x:c>
      <x:c r="D167" s="2" t="str">
        <x:v>BUS003</x:v>
      </x:c>
      <x:c r="E167" s="2" t="str">
        <x:v>ST086</x:v>
      </x:c>
      <x:c r="F167" s="2" t="n">
        <x:v>1</x:v>
      </x:c>
      <x:c r="G167" s="2" t="str">
        <x:v>Junior</x:v>
      </x:c>
      <x:c r="H167" s="2" t="str">
        <x:v>Pickup</x:v>
      </x:c>
      <x:c r="I167" s="2" t="str">
        <x:v>R3S3</x:v>
      </x:c>
      <x:c r="J167" s="2" t="str">
        <x:v>EV000329</x:v>
      </x:c>
      <x:c r="K167" s="8" t="n">
        <x:v>46299.25225694444</x:v>
      </x:c>
      <x:c r="L167" s="2" t="str">
        <x:v>R3S3</x:v>
      </x:c>
      <x:c r="M167" s="9" t="n">
        <x:v>25.293000000000003</x:v>
      </x:c>
      <x:c r="N167" s="9" t="n">
        <x:v>51.513</x:v>
      </x:c>
      <x:c r="O167" s="2" t="str">
        <x:v>Valid</x:v>
      </x:c>
      <x:c r="P167" s="2" t="str">
        <x:v>EV000330</x:v>
      </x:c>
      <x:c r="Q167" s="8" t="n">
        <x:v>46299.276562499996</x:v>
      </x:c>
      <x:c r="R167" s="2" t="str">
        <x:v>SCH01</x:v>
      </x:c>
      <x:c r="S167" s="9" t="n">
        <x:v>25.285</x:v>
      </x:c>
      <x:c r="T167" s="9" t="n">
        <x:v>51.51</x:v>
      </x:c>
      <x:c r="U167" s="2" t="str">
        <x:v>SCHOOL_RECEIVER_01</x:v>
      </x:c>
      <x:c r="V167" s="2" t="str">
        <x:v>School staff receipt</x:v>
      </x:c>
      <x:c r="W167" s="2" t="str">
        <x:v>Completed transport</x:v>
      </x:c>
      <x:c r="X167" s="2" t="str">
        <x:v>QR</x:v>
      </x:c>
      <x:c r="Y167" s="2" t="str">
        <x:v>Online</x:v>
      </x:c>
      <x:c r="Z167" s="2" t="str">
        <x:v>Synced</x:v>
      </x:c>
      <x:c r="AA167" s="2"/>
      <x:c r="AB167" s="2"/>
      <x:c r="AC167" s="10" t="n">
        <x:f>IF(OR(K167="",Q167=""),"",ROUND((Q167-K167)*1440,2))</x:f>
        <x:v>35</x:v>
      </x:c>
    </x:row>
    <x:row r="168" ht="21" customHeight="1">
      <x:c r="A168" s="2" t="str">
        <x:v>LN00167</x:v>
      </x:c>
      <x:c r="B168" s="2" t="str">
        <x:v>T20261004-1-3</x:v>
      </x:c>
      <x:c r="C168" s="7" t="n">
        <x:v>46299</x:v>
      </x:c>
      <x:c r="D168" s="2" t="str">
        <x:v>BUS003</x:v>
      </x:c>
      <x:c r="E168" s="2" t="str">
        <x:v>ST087</x:v>
      </x:c>
      <x:c r="F168" s="2" t="n">
        <x:v>1</x:v>
      </x:c>
      <x:c r="G168" s="2" t="str">
        <x:v>Junior</x:v>
      </x:c>
      <x:c r="H168" s="2" t="str">
        <x:v>Pickup</x:v>
      </x:c>
      <x:c r="I168" s="2" t="str">
        <x:v>R3S1</x:v>
      </x:c>
      <x:c r="J168" s="2" t="str">
        <x:v>EV000331</x:v>
      </x:c>
      <x:c r="K168" s="8" t="n">
        <x:v>46299.24256944445</x:v>
      </x:c>
      <x:c r="L168" s="2" t="str">
        <x:v>R3S1</x:v>
      </x:c>
      <x:c r="M168" s="9" t="n">
        <x:v>25.289</x:v>
      </x:c>
      <x:c r="N168" s="9" t="n">
        <x:v>51.507</x:v>
      </x:c>
      <x:c r="O168" s="2" t="str">
        <x:v>Valid</x:v>
      </x:c>
      <x:c r="P168" s="2" t="str">
        <x:v>EV000332</x:v>
      </x:c>
      <x:c r="Q168" s="8" t="n">
        <x:v>46299.27659722222</x:v>
      </x:c>
      <x:c r="R168" s="2" t="str">
        <x:v>SCH01</x:v>
      </x:c>
      <x:c r="S168" s="9" t="n">
        <x:v>25.285</x:v>
      </x:c>
      <x:c r="T168" s="9" t="n">
        <x:v>51.51</x:v>
      </x:c>
      <x:c r="U168" s="2" t="str">
        <x:v>SCHOOL_RECEIVER_01</x:v>
      </x:c>
      <x:c r="V168" s="2" t="str">
        <x:v>School staff receipt</x:v>
      </x:c>
      <x:c r="W168" s="2" t="str">
        <x:v>Completed transport</x:v>
      </x:c>
      <x:c r="X168" s="2" t="str">
        <x:v>QR</x:v>
      </x:c>
      <x:c r="Y168" s="2" t="str">
        <x:v>Online</x:v>
      </x:c>
      <x:c r="Z168" s="2" t="str">
        <x:v>Synced</x:v>
      </x:c>
      <x:c r="AA168" s="2"/>
      <x:c r="AB168" s="2"/>
      <x:c r="AC168" s="10" t="n">
        <x:f>IF(OR(K168="",Q168=""),"",ROUND((Q168-K168)*1440,2))</x:f>
        <x:v>49</x:v>
      </x:c>
    </x:row>
    <x:row r="169" ht="21" customHeight="1">
      <x:c r="A169" s="2" t="str">
        <x:v>LN00168</x:v>
      </x:c>
      <x:c r="B169" s="2" t="str">
        <x:v>T20261004-1-3</x:v>
      </x:c>
      <x:c r="C169" s="7" t="n">
        <x:v>46299</x:v>
      </x:c>
      <x:c r="D169" s="2" t="str">
        <x:v>BUS003</x:v>
      </x:c>
      <x:c r="E169" s="2" t="str">
        <x:v>ST088</x:v>
      </x:c>
      <x:c r="F169" s="2" t="n">
        <x:v>1</x:v>
      </x:c>
      <x:c r="G169" s="2" t="str">
        <x:v>Junior</x:v>
      </x:c>
      <x:c r="H169" s="2" t="str">
        <x:v>Pickup</x:v>
      </x:c>
      <x:c r="I169" s="2" t="str">
        <x:v>R3S2</x:v>
      </x:c>
      <x:c r="J169" s="2" t="str">
        <x:v>EV000333</x:v>
      </x:c>
      <x:c r="K169" s="8" t="n">
        <x:v>46299.247465277775</x:v>
      </x:c>
      <x:c r="L169" s="2" t="str">
        <x:v>R3S2</x:v>
      </x:c>
      <x:c r="M169" s="9" t="n">
        <x:v>25.291000000000004</x:v>
      </x:c>
      <x:c r="N169" s="9" t="n">
        <x:v>51.51</x:v>
      </x:c>
      <x:c r="O169" s="2" t="str">
        <x:v>Valid</x:v>
      </x:c>
      <x:c r="P169" s="2" t="str">
        <x:v>EV000334</x:v>
      </x:c>
      <x:c r="Q169" s="8" t="n">
        <x:v>46299.27663194444</x:v>
      </x:c>
      <x:c r="R169" s="2" t="str">
        <x:v>SCH01</x:v>
      </x:c>
      <x:c r="S169" s="9" t="n">
        <x:v>25.285</x:v>
      </x:c>
      <x:c r="T169" s="9" t="n">
        <x:v>51.51</x:v>
      </x:c>
      <x:c r="U169" s="2" t="str">
        <x:v>SCHOOL_RECEIVER_01</x:v>
      </x:c>
      <x:c r="V169" s="2" t="str">
        <x:v>School staff receipt</x:v>
      </x:c>
      <x:c r="W169" s="2" t="str">
        <x:v>Completed transport</x:v>
      </x:c>
      <x:c r="X169" s="2" t="str">
        <x:v>QR</x:v>
      </x:c>
      <x:c r="Y169" s="2" t="str">
        <x:v>Online</x:v>
      </x:c>
      <x:c r="Z169" s="2" t="str">
        <x:v>Synced</x:v>
      </x:c>
      <x:c r="AA169" s="2"/>
      <x:c r="AB169" s="2"/>
      <x:c r="AC169" s="10" t="n">
        <x:f>IF(OR(K169="",Q169=""),"",ROUND((Q169-K169)*1440,2))</x:f>
        <x:v>42</x:v>
      </x:c>
    </x:row>
    <x:row r="170" ht="21" customHeight="1">
      <x:c r="A170" s="2" t="str">
        <x:v>LN00169</x:v>
      </x:c>
      <x:c r="B170" s="2" t="str">
        <x:v>T20261004-1-3</x:v>
      </x:c>
      <x:c r="C170" s="7" t="n">
        <x:v>46299</x:v>
      </x:c>
      <x:c r="D170" s="2" t="str">
        <x:v>BUS003</x:v>
      </x:c>
      <x:c r="E170" s="2" t="str">
        <x:v>ST089</x:v>
      </x:c>
      <x:c r="F170" s="2" t="n">
        <x:v>1</x:v>
      </x:c>
      <x:c r="G170" s="2" t="str">
        <x:v>Junior</x:v>
      </x:c>
      <x:c r="H170" s="2" t="str">
        <x:v>Pickup</x:v>
      </x:c>
      <x:c r="I170" s="2" t="str">
        <x:v>R3S3</x:v>
      </x:c>
      <x:c r="J170" s="2" t="str">
        <x:v>EV000335</x:v>
      </x:c>
      <x:c r="K170" s="8" t="n">
        <x:v>46299.25236111111</x:v>
      </x:c>
      <x:c r="L170" s="2" t="str">
        <x:v>R3S3</x:v>
      </x:c>
      <x:c r="M170" s="9" t="n">
        <x:v>25.293000000000003</x:v>
      </x:c>
      <x:c r="N170" s="9" t="n">
        <x:v>51.513</x:v>
      </x:c>
      <x:c r="O170" s="2" t="str">
        <x:v>Valid</x:v>
      </x:c>
      <x:c r="P170" s="2" t="str">
        <x:v>EV000336</x:v>
      </x:c>
      <x:c r="Q170" s="8" t="n">
        <x:v>46299.276666666665</x:v>
      </x:c>
      <x:c r="R170" s="2" t="str">
        <x:v>SCH01</x:v>
      </x:c>
      <x:c r="S170" s="9" t="n">
        <x:v>25.285</x:v>
      </x:c>
      <x:c r="T170" s="9" t="n">
        <x:v>51.51</x:v>
      </x:c>
      <x:c r="U170" s="2" t="str">
        <x:v>SCHOOL_RECEIVER_01</x:v>
      </x:c>
      <x:c r="V170" s="2" t="str">
        <x:v>School staff receipt</x:v>
      </x:c>
      <x:c r="W170" s="2" t="str">
        <x:v>Completed transport</x:v>
      </x:c>
      <x:c r="X170" s="2" t="str">
        <x:v>QR</x:v>
      </x:c>
      <x:c r="Y170" s="2" t="str">
        <x:v>Online</x:v>
      </x:c>
      <x:c r="Z170" s="2" t="str">
        <x:v>Synced</x:v>
      </x:c>
      <x:c r="AA170" s="2"/>
      <x:c r="AB170" s="2"/>
      <x:c r="AC170" s="10" t="n">
        <x:f>IF(OR(K170="",Q170=""),"",ROUND((Q170-K170)*1440,2))</x:f>
        <x:v>35</x:v>
      </x:c>
    </x:row>
    <x:row r="171" ht="21" customHeight="1">
      <x:c r="A171" s="2" t="str">
        <x:v>LN00170</x:v>
      </x:c>
      <x:c r="B171" s="2" t="str">
        <x:v>T20261004-1-3</x:v>
      </x:c>
      <x:c r="C171" s="7" t="n">
        <x:v>46299</x:v>
      </x:c>
      <x:c r="D171" s="2" t="str">
        <x:v>BUS003</x:v>
      </x:c>
      <x:c r="E171" s="2" t="str">
        <x:v>ST090</x:v>
      </x:c>
      <x:c r="F171" s="2" t="n">
        <x:v>1</x:v>
      </x:c>
      <x:c r="G171" s="2" t="str">
        <x:v>Junior</x:v>
      </x:c>
      <x:c r="H171" s="2" t="str">
        <x:v>Pickup</x:v>
      </x:c>
      <x:c r="I171" s="2" t="str">
        <x:v>R3S1</x:v>
      </x:c>
      <x:c r="J171" s="2" t="str">
        <x:v>EV000337</x:v>
      </x:c>
      <x:c r="K171" s="8" t="n">
        <x:v>46299.242673611116</x:v>
      </x:c>
      <x:c r="L171" s="2" t="str">
        <x:v>R3S1</x:v>
      </x:c>
      <x:c r="M171" s="9" t="n">
        <x:v>25.289</x:v>
      </x:c>
      <x:c r="N171" s="9" t="n">
        <x:v>51.507</x:v>
      </x:c>
      <x:c r="O171" s="2" t="str">
        <x:v>Valid</x:v>
      </x:c>
      <x:c r="P171" s="2" t="str">
        <x:v>EV000338</x:v>
      </x:c>
      <x:c r="Q171" s="8" t="n">
        <x:v>46299.27670138889</x:v>
      </x:c>
      <x:c r="R171" s="2" t="str">
        <x:v>SCH01</x:v>
      </x:c>
      <x:c r="S171" s="9" t="n">
        <x:v>25.285</x:v>
      </x:c>
      <x:c r="T171" s="9" t="n">
        <x:v>51.51</x:v>
      </x:c>
      <x:c r="U171" s="2" t="str">
        <x:v>SCHOOL_RECEIVER_01</x:v>
      </x:c>
      <x:c r="V171" s="2" t="str">
        <x:v>School staff receipt</x:v>
      </x:c>
      <x:c r="W171" s="2" t="str">
        <x:v>Completed transport</x:v>
      </x:c>
      <x:c r="X171" s="2" t="str">
        <x:v>QR</x:v>
      </x:c>
      <x:c r="Y171" s="2" t="str">
        <x:v>Online</x:v>
      </x:c>
      <x:c r="Z171" s="2" t="str">
        <x:v>Synced</x:v>
      </x:c>
      <x:c r="AA171" s="2"/>
      <x:c r="AB171" s="2"/>
      <x:c r="AC171" s="10" t="n">
        <x:f>IF(OR(K171="",Q171=""),"",ROUND((Q171-K171)*1440,2))</x:f>
        <x:v>49</x:v>
      </x:c>
    </x:row>
    <x:row r="172" ht="21" customHeight="1">
      <x:c r="A172" s="2" t="str">
        <x:v>LN00171</x:v>
      </x:c>
      <x:c r="B172" s="2" t="str">
        <x:v>T20261004-1-3</x:v>
      </x:c>
      <x:c r="C172" s="7" t="n">
        <x:v>46299</x:v>
      </x:c>
      <x:c r="D172" s="2" t="str">
        <x:v>BUS003</x:v>
      </x:c>
      <x:c r="E172" s="2" t="str">
        <x:v>ST091</x:v>
      </x:c>
      <x:c r="F172" s="2" t="n">
        <x:v>1</x:v>
      </x:c>
      <x:c r="G172" s="2" t="str">
        <x:v>Senior</x:v>
      </x:c>
      <x:c r="H172" s="2" t="str">
        <x:v>Pickup</x:v>
      </x:c>
      <x:c r="I172" s="2" t="str">
        <x:v>R3S2</x:v>
      </x:c>
      <x:c r="J172" s="2" t="str">
        <x:v>EV000339</x:v>
      </x:c>
      <x:c r="K172" s="8" t="n">
        <x:v>46299.24722222222</x:v>
      </x:c>
      <x:c r="L172" s="2" t="str">
        <x:v>R3S2</x:v>
      </x:c>
      <x:c r="M172" s="9" t="n">
        <x:v>25.291000000000004</x:v>
      </x:c>
      <x:c r="N172" s="9" t="n">
        <x:v>51.51</x:v>
      </x:c>
      <x:c r="O172" s="2" t="str">
        <x:v>Valid</x:v>
      </x:c>
      <x:c r="P172" s="2" t="str">
        <x:v>EV000340</x:v>
      </x:c>
      <x:c r="Q172" s="8" t="n">
        <x:v>46299.27673611111</x:v>
      </x:c>
      <x:c r="R172" s="2" t="str">
        <x:v>SCH01</x:v>
      </x:c>
      <x:c r="S172" s="9" t="n">
        <x:v>25.285</x:v>
      </x:c>
      <x:c r="T172" s="9" t="n">
        <x:v>51.51</x:v>
      </x:c>
      <x:c r="U172" s="2" t="str">
        <x:v>SCHOOL_RECEIVER_01</x:v>
      </x:c>
      <x:c r="V172" s="2" t="str">
        <x:v>School staff receipt</x:v>
      </x:c>
      <x:c r="W172" s="2" t="str">
        <x:v>Completed transport</x:v>
      </x:c>
      <x:c r="X172" s="2" t="str">
        <x:v>QR</x:v>
      </x:c>
      <x:c r="Y172" s="2" t="str">
        <x:v>Online</x:v>
      </x:c>
      <x:c r="Z172" s="2" t="str">
        <x:v>Synced</x:v>
      </x:c>
      <x:c r="AA172" s="2"/>
      <x:c r="AB172" s="2"/>
      <x:c r="AC172" s="10" t="n">
        <x:f>IF(OR(K172="",Q172=""),"",ROUND((Q172-K172)*1440,2))</x:f>
        <x:v>42.5</x:v>
      </x:c>
    </x:row>
    <x:row r="173" ht="21" customHeight="1">
      <x:c r="A173" s="2" t="str">
        <x:v>LN00172</x:v>
      </x:c>
      <x:c r="B173" s="2" t="str">
        <x:v>T20261004-1-3</x:v>
      </x:c>
      <x:c r="C173" s="7" t="n">
        <x:v>46299</x:v>
      </x:c>
      <x:c r="D173" s="2" t="str">
        <x:v>BUS003</x:v>
      </x:c>
      <x:c r="E173" s="2" t="str">
        <x:v>ST092</x:v>
      </x:c>
      <x:c r="F173" s="2" t="n">
        <x:v>1</x:v>
      </x:c>
      <x:c r="G173" s="2" t="str">
        <x:v>Senior</x:v>
      </x:c>
      <x:c r="H173" s="2" t="str">
        <x:v>Pickup</x:v>
      </x:c>
      <x:c r="I173" s="2" t="str">
        <x:v>R3S3</x:v>
      </x:c>
      <x:c r="J173" s="2" t="str">
        <x:v>EV000341</x:v>
      </x:c>
      <x:c r="K173" s="8" t="n">
        <x:v>46299.252118055556</x:v>
      </x:c>
      <x:c r="L173" s="2" t="str">
        <x:v>R3S3</x:v>
      </x:c>
      <x:c r="M173" s="9" t="n">
        <x:v>25.293000000000003</x:v>
      </x:c>
      <x:c r="N173" s="9" t="n">
        <x:v>51.513</x:v>
      </x:c>
      <x:c r="O173" s="2" t="str">
        <x:v>Valid</x:v>
      </x:c>
      <x:c r="P173" s="2" t="str">
        <x:v>EV000342</x:v>
      </x:c>
      <x:c r="Q173" s="8" t="n">
        <x:v>46299.276770833334</x:v>
      </x:c>
      <x:c r="R173" s="2" t="str">
        <x:v>SCH01</x:v>
      </x:c>
      <x:c r="S173" s="9" t="n">
        <x:v>25.285</x:v>
      </x:c>
      <x:c r="T173" s="9" t="n">
        <x:v>51.51</x:v>
      </x:c>
      <x:c r="U173" s="2" t="str">
        <x:v>SCHOOL_RECEIVER_01</x:v>
      </x:c>
      <x:c r="V173" s="2" t="str">
        <x:v>School staff receipt</x:v>
      </x:c>
      <x:c r="W173" s="2" t="str">
        <x:v>Completed transport</x:v>
      </x:c>
      <x:c r="X173" s="2" t="str">
        <x:v>QR</x:v>
      </x:c>
      <x:c r="Y173" s="2" t="str">
        <x:v>Online</x:v>
      </x:c>
      <x:c r="Z173" s="2" t="str">
        <x:v>Synced</x:v>
      </x:c>
      <x:c r="AA173" s="2"/>
      <x:c r="AB173" s="2"/>
      <x:c r="AC173" s="10" t="n">
        <x:f>IF(OR(K173="",Q173=""),"",ROUND((Q173-K173)*1440,2))</x:f>
        <x:v>35.5</x:v>
      </x:c>
    </x:row>
    <x:row r="174" ht="21" customHeight="1">
      <x:c r="A174" s="2" t="str">
        <x:v>LN00173</x:v>
      </x:c>
      <x:c r="B174" s="2" t="str">
        <x:v>T20261004-1-3</x:v>
      </x:c>
      <x:c r="C174" s="7" t="n">
        <x:v>46299</x:v>
      </x:c>
      <x:c r="D174" s="2" t="str">
        <x:v>BUS003</x:v>
      </x:c>
      <x:c r="E174" s="2" t="str">
        <x:v>ST093</x:v>
      </x:c>
      <x:c r="F174" s="2" t="n">
        <x:v>1</x:v>
      </x:c>
      <x:c r="G174" s="2" t="str">
        <x:v>Senior</x:v>
      </x:c>
      <x:c r="H174" s="2" t="str">
        <x:v>Pickup</x:v>
      </x:c>
      <x:c r="I174" s="2" t="str">
        <x:v>R3S1</x:v>
      </x:c>
      <x:c r="J174" s="2" t="str">
        <x:v>EV000343</x:v>
      </x:c>
      <x:c r="K174" s="8" t="n">
        <x:v>46299.24243055556</x:v>
      </x:c>
      <x:c r="L174" s="2" t="str">
        <x:v>R3S1</x:v>
      </x:c>
      <x:c r="M174" s="9" t="n">
        <x:v>25.289</x:v>
      </x:c>
      <x:c r="N174" s="9" t="n">
        <x:v>51.507</x:v>
      </x:c>
      <x:c r="O174" s="2" t="str">
        <x:v>Valid</x:v>
      </x:c>
      <x:c r="P174" s="2" t="str">
        <x:v>EV000344</x:v>
      </x:c>
      <x:c r="Q174" s="8" t="n">
        <x:v>46299.27680555556</x:v>
      </x:c>
      <x:c r="R174" s="2" t="str">
        <x:v>SCH01</x:v>
      </x:c>
      <x:c r="S174" s="9" t="n">
        <x:v>25.285</x:v>
      </x:c>
      <x:c r="T174" s="9" t="n">
        <x:v>51.51</x:v>
      </x:c>
      <x:c r="U174" s="2" t="str">
        <x:v>SCHOOL_RECEIVER_01</x:v>
      </x:c>
      <x:c r="V174" s="2" t="str">
        <x:v>School staff receipt</x:v>
      </x:c>
      <x:c r="W174" s="2" t="str">
        <x:v>Completed transport</x:v>
      </x:c>
      <x:c r="X174" s="2" t="str">
        <x:v>QR</x:v>
      </x:c>
      <x:c r="Y174" s="2" t="str">
        <x:v>Online</x:v>
      </x:c>
      <x:c r="Z174" s="2" t="str">
        <x:v>Synced</x:v>
      </x:c>
      <x:c r="AA174" s="2"/>
      <x:c r="AB174" s="2"/>
      <x:c r="AC174" s="10" t="n">
        <x:f>IF(OR(K174="",Q174=""),"",ROUND((Q174-K174)*1440,2))</x:f>
        <x:v>49.5</x:v>
      </x:c>
    </x:row>
    <x:row r="175" ht="21" customHeight="1">
      <x:c r="A175" s="2" t="str">
        <x:v>LN00174</x:v>
      </x:c>
      <x:c r="B175" s="2" t="str">
        <x:v>T20261004-1-3</x:v>
      </x:c>
      <x:c r="C175" s="7" t="n">
        <x:v>46299</x:v>
      </x:c>
      <x:c r="D175" s="2" t="str">
        <x:v>BUS003</x:v>
      </x:c>
      <x:c r="E175" s="2" t="str">
        <x:v>ST094</x:v>
      </x:c>
      <x:c r="F175" s="2" t="n">
        <x:v>1</x:v>
      </x:c>
      <x:c r="G175" s="2" t="str">
        <x:v>Senior</x:v>
      </x:c>
      <x:c r="H175" s="2" t="str">
        <x:v>Pickup</x:v>
      </x:c>
      <x:c r="I175" s="2" t="str">
        <x:v>R3S2</x:v>
      </x:c>
      <x:c r="J175" s="2" t="str">
        <x:v>EV000345</x:v>
      </x:c>
      <x:c r="K175" s="8" t="n">
        <x:v>46299.24732638889</x:v>
      </x:c>
      <x:c r="L175" s="2" t="str">
        <x:v>R3S2</x:v>
      </x:c>
      <x:c r="M175" s="9" t="n">
        <x:v>25.291000000000004</x:v>
      </x:c>
      <x:c r="N175" s="9" t="n">
        <x:v>51.51</x:v>
      </x:c>
      <x:c r="O175" s="2" t="str">
        <x:v>Valid</x:v>
      </x:c>
      <x:c r="P175" s="2" t="str">
        <x:v>EV000346</x:v>
      </x:c>
      <x:c r="Q175" s="8" t="n">
        <x:v>46299.27684027777</x:v>
      </x:c>
      <x:c r="R175" s="2" t="str">
        <x:v>SCH01</x:v>
      </x:c>
      <x:c r="S175" s="9" t="n">
        <x:v>25.285</x:v>
      </x:c>
      <x:c r="T175" s="9" t="n">
        <x:v>51.51</x:v>
      </x:c>
      <x:c r="U175" s="2" t="str">
        <x:v>SCHOOL_RECEIVER_01</x:v>
      </x:c>
      <x:c r="V175" s="2" t="str">
        <x:v>School staff receipt</x:v>
      </x:c>
      <x:c r="W175" s="2" t="str">
        <x:v>Completed transport</x:v>
      </x:c>
      <x:c r="X175" s="2" t="str">
        <x:v>QR</x:v>
      </x:c>
      <x:c r="Y175" s="2" t="str">
        <x:v>Online</x:v>
      </x:c>
      <x:c r="Z175" s="2" t="str">
        <x:v>Synced</x:v>
      </x:c>
      <x:c r="AA175" s="2"/>
      <x:c r="AB175" s="2"/>
      <x:c r="AC175" s="10" t="n">
        <x:f>IF(OR(K175="",Q175=""),"",ROUND((Q175-K175)*1440,2))</x:f>
        <x:v>42.5</x:v>
      </x:c>
    </x:row>
    <x:row r="176" ht="21" customHeight="1">
      <x:c r="A176" s="2" t="str">
        <x:v>LN00175</x:v>
      </x:c>
      <x:c r="B176" s="2" t="str">
        <x:v>T20261004-1-3</x:v>
      </x:c>
      <x:c r="C176" s="7" t="n">
        <x:v>46299</x:v>
      </x:c>
      <x:c r="D176" s="2" t="str">
        <x:v>BUS003</x:v>
      </x:c>
      <x:c r="E176" s="2" t="str">
        <x:v>ST095</x:v>
      </x:c>
      <x:c r="F176" s="2" t="n">
        <x:v>1</x:v>
      </x:c>
      <x:c r="G176" s="2" t="str">
        <x:v>Senior</x:v>
      </x:c>
      <x:c r="H176" s="2" t="str">
        <x:v>Pickup</x:v>
      </x:c>
      <x:c r="I176" s="2" t="str">
        <x:v>R3S3</x:v>
      </x:c>
      <x:c r="J176" s="2" t="str">
        <x:v>EV000347</x:v>
      </x:c>
      <x:c r="K176" s="8" t="n">
        <x:v>46299.252222222225</x:v>
      </x:c>
      <x:c r="L176" s="2" t="str">
        <x:v>R3S3</x:v>
      </x:c>
      <x:c r="M176" s="9" t="n">
        <x:v>25.293000000000003</x:v>
      </x:c>
      <x:c r="N176" s="9" t="n">
        <x:v>51.513</x:v>
      </x:c>
      <x:c r="O176" s="2" t="str">
        <x:v>Valid</x:v>
      </x:c>
      <x:c r="P176" s="2" t="str">
        <x:v>EV000348</x:v>
      </x:c>
      <x:c r="Q176" s="8" t="n">
        <x:v>46299.276874999996</x:v>
      </x:c>
      <x:c r="R176" s="2" t="str">
        <x:v>SCH01</x:v>
      </x:c>
      <x:c r="S176" s="9" t="n">
        <x:v>25.285</x:v>
      </x:c>
      <x:c r="T176" s="9" t="n">
        <x:v>51.51</x:v>
      </x:c>
      <x:c r="U176" s="2" t="str">
        <x:v>SCHOOL_RECEIVER_01</x:v>
      </x:c>
      <x:c r="V176" s="2" t="str">
        <x:v>School staff receipt</x:v>
      </x:c>
      <x:c r="W176" s="2" t="str">
        <x:v>Completed transport</x:v>
      </x:c>
      <x:c r="X176" s="2" t="str">
        <x:v>QR</x:v>
      </x:c>
      <x:c r="Y176" s="2" t="str">
        <x:v>Online</x:v>
      </x:c>
      <x:c r="Z176" s="2" t="str">
        <x:v>Synced</x:v>
      </x:c>
      <x:c r="AA176" s="2"/>
      <x:c r="AB176" s="2"/>
      <x:c r="AC176" s="10" t="n">
        <x:f>IF(OR(K176="",Q176=""),"",ROUND((Q176-K176)*1440,2))</x:f>
        <x:v>35.5</x:v>
      </x:c>
    </x:row>
    <x:row r="177" ht="21" customHeight="1">
      <x:c r="A177" s="2" t="str">
        <x:v>LN00176</x:v>
      </x:c>
      <x:c r="B177" s="2" t="str">
        <x:v>T20261004-1-3</x:v>
      </x:c>
      <x:c r="C177" s="7" t="n">
        <x:v>46299</x:v>
      </x:c>
      <x:c r="D177" s="2" t="str">
        <x:v>BUS003</x:v>
      </x:c>
      <x:c r="E177" s="2" t="str">
        <x:v>ST096</x:v>
      </x:c>
      <x:c r="F177" s="2" t="n">
        <x:v>1</x:v>
      </x:c>
      <x:c r="G177" s="2" t="str">
        <x:v>Senior</x:v>
      </x:c>
      <x:c r="H177" s="2" t="str">
        <x:v>Pickup</x:v>
      </x:c>
      <x:c r="I177" s="2" t="str">
        <x:v>R3S1</x:v>
      </x:c>
      <x:c r="J177" s="2" t="str">
        <x:v>EV000349</x:v>
      </x:c>
      <x:c r="K177" s="8" t="n">
        <x:v>46299.24253472222</x:v>
      </x:c>
      <x:c r="L177" s="2" t="str">
        <x:v>R3S1</x:v>
      </x:c>
      <x:c r="M177" s="9" t="n">
        <x:v>25.289</x:v>
      </x:c>
      <x:c r="N177" s="9" t="n">
        <x:v>51.507</x:v>
      </x:c>
      <x:c r="O177" s="2" t="str">
        <x:v>Valid</x:v>
      </x:c>
      <x:c r="P177" s="2" t="str">
        <x:v>EV000350</x:v>
      </x:c>
      <x:c r="Q177" s="8" t="n">
        <x:v>46299.27690972222</x:v>
      </x:c>
      <x:c r="R177" s="2" t="str">
        <x:v>SCH01</x:v>
      </x:c>
      <x:c r="S177" s="9" t="n">
        <x:v>25.285</x:v>
      </x:c>
      <x:c r="T177" s="9" t="n">
        <x:v>51.51</x:v>
      </x:c>
      <x:c r="U177" s="2" t="str">
        <x:v>SCHOOL_RECEIVER_01</x:v>
      </x:c>
      <x:c r="V177" s="2" t="str">
        <x:v>School staff receipt</x:v>
      </x:c>
      <x:c r="W177" s="2" t="str">
        <x:v>Completed transport</x:v>
      </x:c>
      <x:c r="X177" s="2" t="str">
        <x:v>QR</x:v>
      </x:c>
      <x:c r="Y177" s="2" t="str">
        <x:v>Online</x:v>
      </x:c>
      <x:c r="Z177" s="2" t="str">
        <x:v>Synced</x:v>
      </x:c>
      <x:c r="AA177" s="2"/>
      <x:c r="AB177" s="2"/>
      <x:c r="AC177" s="10" t="n">
        <x:f>IF(OR(K177="",Q177=""),"",ROUND((Q177-K177)*1440,2))</x:f>
        <x:v>49.5</x:v>
      </x:c>
    </x:row>
    <x:row r="178" ht="21" customHeight="1">
      <x:c r="A178" s="2" t="str">
        <x:v>LN00177</x:v>
      </x:c>
      <x:c r="B178" s="2" t="str">
        <x:v>T20261004-1-3</x:v>
      </x:c>
      <x:c r="C178" s="7" t="n">
        <x:v>46299</x:v>
      </x:c>
      <x:c r="D178" s="2" t="str">
        <x:v>BUS003</x:v>
      </x:c>
      <x:c r="E178" s="2" t="str">
        <x:v>ST097</x:v>
      </x:c>
      <x:c r="F178" s="2" t="n">
        <x:v>1</x:v>
      </x:c>
      <x:c r="G178" s="2" t="str">
        <x:v>Senior</x:v>
      </x:c>
      <x:c r="H178" s="2" t="str">
        <x:v>Pickup</x:v>
      </x:c>
      <x:c r="I178" s="2" t="str">
        <x:v>R3S2</x:v>
      </x:c>
      <x:c r="J178" s="2" t="str">
        <x:v>EV000351</x:v>
      </x:c>
      <x:c r="K178" s="8" t="n">
        <x:v>46299.24743055555</x:v>
      </x:c>
      <x:c r="L178" s="2" t="str">
        <x:v>R3S2</x:v>
      </x:c>
      <x:c r="M178" s="9" t="n">
        <x:v>25.291000000000004</x:v>
      </x:c>
      <x:c r="N178" s="9" t="n">
        <x:v>51.51</x:v>
      </x:c>
      <x:c r="O178" s="2" t="str">
        <x:v>Valid</x:v>
      </x:c>
      <x:c r="P178" s="2" t="str">
        <x:v>EV000352</x:v>
      </x:c>
      <x:c r="Q178" s="8" t="n">
        <x:v>46299.27694444444</x:v>
      </x:c>
      <x:c r="R178" s="2" t="str">
        <x:v>SCH01</x:v>
      </x:c>
      <x:c r="S178" s="9" t="n">
        <x:v>25.285</x:v>
      </x:c>
      <x:c r="T178" s="9" t="n">
        <x:v>51.51</x:v>
      </x:c>
      <x:c r="U178" s="2" t="str">
        <x:v>SCHOOL_RECEIVER_01</x:v>
      </x:c>
      <x:c r="V178" s="2" t="str">
        <x:v>School staff receipt</x:v>
      </x:c>
      <x:c r="W178" s="2" t="str">
        <x:v>Completed transport</x:v>
      </x:c>
      <x:c r="X178" s="2" t="str">
        <x:v>QR</x:v>
      </x:c>
      <x:c r="Y178" s="2" t="str">
        <x:v>Online</x:v>
      </x:c>
      <x:c r="Z178" s="2" t="str">
        <x:v>Synced</x:v>
      </x:c>
      <x:c r="AA178" s="2"/>
      <x:c r="AB178" s="2"/>
      <x:c r="AC178" s="10" t="n">
        <x:f>IF(OR(K178="",Q178=""),"",ROUND((Q178-K178)*1440,2))</x:f>
        <x:v>42.5</x:v>
      </x:c>
    </x:row>
    <x:row r="179" ht="21" customHeight="1">
      <x:c r="A179" s="2" t="str">
        <x:v>LN00178</x:v>
      </x:c>
      <x:c r="B179" s="2" t="str">
        <x:v>T20261004-1-3</x:v>
      </x:c>
      <x:c r="C179" s="7" t="n">
        <x:v>46299</x:v>
      </x:c>
      <x:c r="D179" s="2" t="str">
        <x:v>BUS003</x:v>
      </x:c>
      <x:c r="E179" s="2" t="str">
        <x:v>ST098</x:v>
      </x:c>
      <x:c r="F179" s="2" t="n">
        <x:v>1</x:v>
      </x:c>
      <x:c r="G179" s="2" t="str">
        <x:v>Senior</x:v>
      </x:c>
      <x:c r="H179" s="2" t="str">
        <x:v>Pickup</x:v>
      </x:c>
      <x:c r="I179" s="2" t="str">
        <x:v>R3S3</x:v>
      </x:c>
      <x:c r="J179" s="2" t="str">
        <x:v>EV000353</x:v>
      </x:c>
      <x:c r="K179" s="8" t="n">
        <x:v>46299.25232638889</x:v>
      </x:c>
      <x:c r="L179" s="2" t="str">
        <x:v>R3S3</x:v>
      </x:c>
      <x:c r="M179" s="9" t="n">
        <x:v>25.293000000000003</x:v>
      </x:c>
      <x:c r="N179" s="9" t="n">
        <x:v>51.513</x:v>
      </x:c>
      <x:c r="O179" s="2" t="str">
        <x:v>Valid</x:v>
      </x:c>
      <x:c r="P179" s="2" t="str">
        <x:v>EV000354</x:v>
      </x:c>
      <x:c r="Q179" s="8" t="n">
        <x:v>46299.276979166665</x:v>
      </x:c>
      <x:c r="R179" s="2" t="str">
        <x:v>SCH01</x:v>
      </x:c>
      <x:c r="S179" s="9" t="n">
        <x:v>25.285</x:v>
      </x:c>
      <x:c r="T179" s="9" t="n">
        <x:v>51.51</x:v>
      </x:c>
      <x:c r="U179" s="2" t="str">
        <x:v>SCHOOL_RECEIVER_01</x:v>
      </x:c>
      <x:c r="V179" s="2" t="str">
        <x:v>School staff receipt</x:v>
      </x:c>
      <x:c r="W179" s="2" t="str">
        <x:v>Completed transport</x:v>
      </x:c>
      <x:c r="X179" s="2" t="str">
        <x:v>QR</x:v>
      </x:c>
      <x:c r="Y179" s="2" t="str">
        <x:v>Online</x:v>
      </x:c>
      <x:c r="Z179" s="2" t="str">
        <x:v>Synced</x:v>
      </x:c>
      <x:c r="AA179" s="2"/>
      <x:c r="AB179" s="2"/>
      <x:c r="AC179" s="10" t="n">
        <x:f>IF(OR(K179="",Q179=""),"",ROUND((Q179-K179)*1440,2))</x:f>
        <x:v>35.5</x:v>
      </x:c>
    </x:row>
    <x:row r="180" ht="21" customHeight="1">
      <x:c r="A180" s="2" t="str">
        <x:v>LN00179</x:v>
      </x:c>
      <x:c r="B180" s="2" t="str">
        <x:v>T20261004-1-3</x:v>
      </x:c>
      <x:c r="C180" s="7" t="n">
        <x:v>46299</x:v>
      </x:c>
      <x:c r="D180" s="2" t="str">
        <x:v>BUS003</x:v>
      </x:c>
      <x:c r="E180" s="2" t="str">
        <x:v>ST099</x:v>
      </x:c>
      <x:c r="F180" s="2" t="n">
        <x:v>1</x:v>
      </x:c>
      <x:c r="G180" s="2" t="str">
        <x:v>Senior</x:v>
      </x:c>
      <x:c r="H180" s="2" t="str">
        <x:v>Pickup</x:v>
      </x:c>
      <x:c r="I180" s="2" t="str">
        <x:v>R3S1</x:v>
      </x:c>
      <x:c r="J180" s="2" t="str">
        <x:v>EV000355</x:v>
      </x:c>
      <x:c r="K180" s="8" t="n">
        <x:v>46299.24263888889</x:v>
      </x:c>
      <x:c r="L180" s="2" t="str">
        <x:v>R3S1</x:v>
      </x:c>
      <x:c r="M180" s="9" t="n">
        <x:v>25.289</x:v>
      </x:c>
      <x:c r="N180" s="9" t="n">
        <x:v>51.507</x:v>
      </x:c>
      <x:c r="O180" s="2" t="str">
        <x:v>Valid</x:v>
      </x:c>
      <x:c r="P180" s="2" t="str">
        <x:v>EV000356</x:v>
      </x:c>
      <x:c r="Q180" s="8" t="n">
        <x:v>46299.27701388889</x:v>
      </x:c>
      <x:c r="R180" s="2" t="str">
        <x:v>SCH01</x:v>
      </x:c>
      <x:c r="S180" s="9" t="n">
        <x:v>25.285</x:v>
      </x:c>
      <x:c r="T180" s="9" t="n">
        <x:v>51.51</x:v>
      </x:c>
      <x:c r="U180" s="2" t="str">
        <x:v>SCHOOL_RECEIVER_01</x:v>
      </x:c>
      <x:c r="V180" s="2" t="str">
        <x:v>School staff receipt</x:v>
      </x:c>
      <x:c r="W180" s="2" t="str">
        <x:v>Completed transport</x:v>
      </x:c>
      <x:c r="X180" s="2" t="str">
        <x:v>QR</x:v>
      </x:c>
      <x:c r="Y180" s="2" t="str">
        <x:v>Online</x:v>
      </x:c>
      <x:c r="Z180" s="2" t="str">
        <x:v>Synced</x:v>
      </x:c>
      <x:c r="AA180" s="2"/>
      <x:c r="AB180" s="2"/>
      <x:c r="AC180" s="10" t="n">
        <x:f>IF(OR(K180="",Q180=""),"",ROUND((Q180-K180)*1440,2))</x:f>
        <x:v>49.5</x:v>
      </x:c>
    </x:row>
    <x:row r="181" ht="21" customHeight="1">
      <x:c r="A181" s="2" t="str">
        <x:v>LN00180</x:v>
      </x:c>
      <x:c r="B181" s="2" t="str">
        <x:v>T20261004-1-3</x:v>
      </x:c>
      <x:c r="C181" s="7" t="n">
        <x:v>46299</x:v>
      </x:c>
      <x:c r="D181" s="2" t="str">
        <x:v>BUS003</x:v>
      </x:c>
      <x:c r="E181" s="2" t="str">
        <x:v>ST100</x:v>
      </x:c>
      <x:c r="F181" s="2" t="n">
        <x:v>1</x:v>
      </x:c>
      <x:c r="G181" s="2" t="str">
        <x:v>Senior</x:v>
      </x:c>
      <x:c r="H181" s="2" t="str">
        <x:v>Pickup</x:v>
      </x:c>
      <x:c r="I181" s="2" t="str">
        <x:v>R3S2</x:v>
      </x:c>
      <x:c r="J181" s="2" t="str">
        <x:v>EV000357</x:v>
      </x:c>
      <x:c r="K181" s="8" t="n">
        <x:v>46299.24753472222</x:v>
      </x:c>
      <x:c r="L181" s="2" t="str">
        <x:v>R3S2</x:v>
      </x:c>
      <x:c r="M181" s="9" t="n">
        <x:v>25.291000000000004</x:v>
      </x:c>
      <x:c r="N181" s="9" t="n">
        <x:v>51.51</x:v>
      </x:c>
      <x:c r="O181" s="2" t="str">
        <x:v>Valid</x:v>
      </x:c>
      <x:c r="P181" s="2" t="str">
        <x:v>EV000358</x:v>
      </x:c>
      <x:c r="Q181" s="8" t="n">
        <x:v>46299.27704861111</x:v>
      </x:c>
      <x:c r="R181" s="2" t="str">
        <x:v>SCH01</x:v>
      </x:c>
      <x:c r="S181" s="9" t="n">
        <x:v>25.285</x:v>
      </x:c>
      <x:c r="T181" s="9" t="n">
        <x:v>51.51</x:v>
      </x:c>
      <x:c r="U181" s="2" t="str">
        <x:v>SCHOOL_RECEIVER_01</x:v>
      </x:c>
      <x:c r="V181" s="2" t="str">
        <x:v>School staff receipt</x:v>
      </x:c>
      <x:c r="W181" s="2" t="str">
        <x:v>Completed transport</x:v>
      </x:c>
      <x:c r="X181" s="2" t="str">
        <x:v>QR</x:v>
      </x:c>
      <x:c r="Y181" s="2" t="str">
        <x:v>Online</x:v>
      </x:c>
      <x:c r="Z181" s="2" t="str">
        <x:v>Synced</x:v>
      </x:c>
      <x:c r="AA181" s="2"/>
      <x:c r="AB181" s="2"/>
      <x:c r="AC181" s="10" t="n">
        <x:f>IF(OR(K181="",Q181=""),"",ROUND((Q181-K181)*1440,2))</x:f>
        <x:v>42.5</x:v>
      </x:c>
    </x:row>
    <x:row r="182" ht="21" customHeight="1">
      <x:c r="A182" s="2" t="str">
        <x:v>LN00181</x:v>
      </x:c>
      <x:c r="B182" s="2" t="str">
        <x:v>T20261004-2-3</x:v>
      </x:c>
      <x:c r="C182" s="7" t="n">
        <x:v>46299</x:v>
      </x:c>
      <x:c r="D182" s="2" t="str">
        <x:v>BUS003</x:v>
      </x:c>
      <x:c r="E182" s="2" t="str">
        <x:v>ST081</x:v>
      </x:c>
      <x:c r="F182" s="2" t="n">
        <x:v>1</x:v>
      </x:c>
      <x:c r="G182" s="2" t="str">
        <x:v>Junior</x:v>
      </x:c>
      <x:c r="H182" s="2" t="str">
        <x:v>Drop-off</x:v>
      </x:c>
      <x:c r="I182" s="2" t="str">
        <x:v>R3S1</x:v>
      </x:c>
      <x:c r="J182" s="2" t="str">
        <x:v>EV000359</x:v>
      </x:c>
      <x:c r="K182" s="8" t="n">
        <x:v>46299.4375</x:v>
      </x:c>
      <x:c r="L182" s="2" t="str">
        <x:v>SCH01</x:v>
      </x:c>
      <x:c r="M182" s="9" t="n">
        <x:v>25.285</x:v>
      </x:c>
      <x:c r="N182" s="9" t="n">
        <x:v>51.51</x:v>
      </x:c>
      <x:c r="O182" s="2" t="str">
        <x:v>Valid</x:v>
      </x:c>
      <x:c r="P182" s="2" t="str">
        <x:v>EV000360</x:v>
      </x:c>
      <x:c r="Q182" s="8" t="n">
        <x:v>46299.44930555555</x:v>
      </x:c>
      <x:c r="R182" s="2" t="str">
        <x:v>R3S1</x:v>
      </x:c>
      <x:c r="S182" s="9" t="n">
        <x:v>25.289</x:v>
      </x:c>
      <x:c r="T182" s="9" t="n">
        <x:v>51.507</x:v>
      </x:c>
      <x:c r="U182" s="2" t="str">
        <x:v>G081</x:v>
      </x:c>
      <x:c r="V182" s="2" t="str">
        <x:v>Authorized guardian release</x:v>
      </x:c>
      <x:c r="W182" s="2" t="str">
        <x:v>Completed transport</x:v>
      </x:c>
      <x:c r="X182" s="2" t="str">
        <x:v>QR</x:v>
      </x:c>
      <x:c r="Y182" s="2" t="str">
        <x:v>Online</x:v>
      </x:c>
      <x:c r="Z182" s="2" t="str">
        <x:v>Synced</x:v>
      </x:c>
      <x:c r="AA182" s="2"/>
      <x:c r="AB182" s="2"/>
      <x:c r="AC182" s="10" t="n">
        <x:f>IF(OR(K182="",Q182=""),"",ROUND((Q182-K182)*1440,2))</x:f>
        <x:v>17</x:v>
      </x:c>
    </x:row>
    <x:row r="183" ht="21" customHeight="1">
      <x:c r="A183" s="2" t="str">
        <x:v>LN00182</x:v>
      </x:c>
      <x:c r="B183" s="2" t="str">
        <x:v>T20261004-2-3</x:v>
      </x:c>
      <x:c r="C183" s="7" t="n">
        <x:v>46299</x:v>
      </x:c>
      <x:c r="D183" s="2" t="str">
        <x:v>BUS003</x:v>
      </x:c>
      <x:c r="E183" s="2" t="str">
        <x:v>ST082</x:v>
      </x:c>
      <x:c r="F183" s="2" t="n">
        <x:v>1</x:v>
      </x:c>
      <x:c r="G183" s="2" t="str">
        <x:v>Junior</x:v>
      </x:c>
      <x:c r="H183" s="2" t="str">
        <x:v>Drop-off</x:v>
      </x:c>
      <x:c r="I183" s="2" t="str">
        <x:v>R3S2</x:v>
      </x:c>
      <x:c r="J183" s="2" t="str">
        <x:v>EV000361</x:v>
      </x:c>
      <x:c r="K183" s="8" t="n">
        <x:v>46299.43753472222</x:v>
      </x:c>
      <x:c r="L183" s="2" t="str">
        <x:v>SCH01</x:v>
      </x:c>
      <x:c r="M183" s="9" t="n">
        <x:v>25.285</x:v>
      </x:c>
      <x:c r="N183" s="9" t="n">
        <x:v>51.51</x:v>
      </x:c>
      <x:c r="O183" s="2" t="str">
        <x:v>Valid</x:v>
      </x:c>
      <x:c r="P183" s="2" t="str">
        <x:v>EV000362</x:v>
      </x:c>
      <x:c r="Q183" s="8" t="n">
        <x:v>46299.45350694445</x:v>
      </x:c>
      <x:c r="R183" s="2" t="str">
        <x:v>R3S2</x:v>
      </x:c>
      <x:c r="S183" s="9" t="n">
        <x:v>25.291000000000004</x:v>
      </x:c>
      <x:c r="T183" s="9" t="n">
        <x:v>51.51</x:v>
      </x:c>
      <x:c r="U183" s="2" t="str">
        <x:v>G082</x:v>
      </x:c>
      <x:c r="V183" s="2" t="str">
        <x:v>Authorized guardian release</x:v>
      </x:c>
      <x:c r="W183" s="2" t="str">
        <x:v>Completed transport</x:v>
      </x:c>
      <x:c r="X183" s="2" t="str">
        <x:v>QR</x:v>
      </x:c>
      <x:c r="Y183" s="2" t="str">
        <x:v>Online</x:v>
      </x:c>
      <x:c r="Z183" s="2" t="str">
        <x:v>Synced</x:v>
      </x:c>
      <x:c r="AA183" s="2"/>
      <x:c r="AB183" s="2"/>
      <x:c r="AC183" s="10" t="n">
        <x:f>IF(OR(K183="",Q183=""),"",ROUND((Q183-K183)*1440,2))</x:f>
        <x:v>23</x:v>
      </x:c>
    </x:row>
    <x:row r="184" ht="21" customHeight="1">
      <x:c r="A184" s="2" t="str">
        <x:v>LN00183</x:v>
      </x:c>
      <x:c r="B184" s="2" t="str">
        <x:v>T20261004-2-3</x:v>
      </x:c>
      <x:c r="C184" s="7" t="n">
        <x:v>46299</x:v>
      </x:c>
      <x:c r="D184" s="2" t="str">
        <x:v>BUS003</x:v>
      </x:c>
      <x:c r="E184" s="2" t="str">
        <x:v>ST083</x:v>
      </x:c>
      <x:c r="F184" s="2" t="n">
        <x:v>1</x:v>
      </x:c>
      <x:c r="G184" s="2" t="str">
        <x:v>Junior</x:v>
      </x:c>
      <x:c r="H184" s="2" t="str">
        <x:v>Drop-off</x:v>
      </x:c>
      <x:c r="I184" s="2" t="str">
        <x:v>R3S3</x:v>
      </x:c>
      <x:c r="J184" s="2" t="str">
        <x:v>EV000363</x:v>
      </x:c>
      <x:c r="K184" s="8" t="n">
        <x:v>46299.437569444446</x:v>
      </x:c>
      <x:c r="L184" s="2" t="str">
        <x:v>SCH01</x:v>
      </x:c>
      <x:c r="M184" s="9" t="n">
        <x:v>25.285</x:v>
      </x:c>
      <x:c r="N184" s="9" t="n">
        <x:v>51.51</x:v>
      </x:c>
      <x:c r="O184" s="2" t="str">
        <x:v>Valid</x:v>
      </x:c>
      <x:c r="P184" s="2" t="str">
        <x:v>EV000364</x:v>
      </x:c>
      <x:c r="Q184" s="8" t="n">
        <x:v>46299.457708333335</x:v>
      </x:c>
      <x:c r="R184" s="2" t="str">
        <x:v>R3S3</x:v>
      </x:c>
      <x:c r="S184" s="9" t="n">
        <x:v>25.293000000000003</x:v>
      </x:c>
      <x:c r="T184" s="9" t="n">
        <x:v>51.513</x:v>
      </x:c>
      <x:c r="U184" s="2" t="str">
        <x:v>G083</x:v>
      </x:c>
      <x:c r="V184" s="2" t="str">
        <x:v>Authorized guardian release</x:v>
      </x:c>
      <x:c r="W184" s="2" t="str">
        <x:v>Completed transport</x:v>
      </x:c>
      <x:c r="X184" s="2" t="str">
        <x:v>QR</x:v>
      </x:c>
      <x:c r="Y184" s="2" t="str">
        <x:v>Online</x:v>
      </x:c>
      <x:c r="Z184" s="2" t="str">
        <x:v>Synced</x:v>
      </x:c>
      <x:c r="AA184" s="2"/>
      <x:c r="AB184" s="2"/>
      <x:c r="AC184" s="10" t="n">
        <x:f>IF(OR(K184="",Q184=""),"",ROUND((Q184-K184)*1440,2))</x:f>
        <x:v>29</x:v>
      </x:c>
    </x:row>
    <x:row r="185" ht="21" customHeight="1">
      <x:c r="A185" s="2" t="str">
        <x:v>LN00184</x:v>
      </x:c>
      <x:c r="B185" s="2" t="str">
        <x:v>T20261004-2-3</x:v>
      </x:c>
      <x:c r="C185" s="7" t="n">
        <x:v>46299</x:v>
      </x:c>
      <x:c r="D185" s="2" t="str">
        <x:v>BUS003</x:v>
      </x:c>
      <x:c r="E185" s="2" t="str">
        <x:v>ST084</x:v>
      </x:c>
      <x:c r="F185" s="2" t="n">
        <x:v>1</x:v>
      </x:c>
      <x:c r="G185" s="2" t="str">
        <x:v>Junior</x:v>
      </x:c>
      <x:c r="H185" s="2" t="str">
        <x:v>Drop-off</x:v>
      </x:c>
      <x:c r="I185" s="2" t="str">
        <x:v>R3S1</x:v>
      </x:c>
      <x:c r="J185" s="2" t="str">
        <x:v>EV000365</x:v>
      </x:c>
      <x:c r="K185" s="8" t="n">
        <x:v>46299.43760416667</x:v>
      </x:c>
      <x:c r="L185" s="2" t="str">
        <x:v>SCH01</x:v>
      </x:c>
      <x:c r="M185" s="9" t="n">
        <x:v>25.285</x:v>
      </x:c>
      <x:c r="N185" s="9" t="n">
        <x:v>51.51</x:v>
      </x:c>
      <x:c r="O185" s="2" t="str">
        <x:v>Valid</x:v>
      </x:c>
      <x:c r="P185" s="2" t="str">
        <x:v>EV000366</x:v>
      </x:c>
      <x:c r="Q185" s="8" t="n">
        <x:v>46299.44940972222</x:v>
      </x:c>
      <x:c r="R185" s="2" t="str">
        <x:v>R3S1</x:v>
      </x:c>
      <x:c r="S185" s="9" t="n">
        <x:v>25.289</x:v>
      </x:c>
      <x:c r="T185" s="9" t="n">
        <x:v>51.507</x:v>
      </x:c>
      <x:c r="U185" s="2" t="str">
        <x:v>G084</x:v>
      </x:c>
      <x:c r="V185" s="2" t="str">
        <x:v>Authorized guardian release</x:v>
      </x:c>
      <x:c r="W185" s="2" t="str">
        <x:v>Completed transport</x:v>
      </x:c>
      <x:c r="X185" s="2" t="str">
        <x:v>QR</x:v>
      </x:c>
      <x:c r="Y185" s="2" t="str">
        <x:v>Online</x:v>
      </x:c>
      <x:c r="Z185" s="2" t="str">
        <x:v>Synced</x:v>
      </x:c>
      <x:c r="AA185" s="2"/>
      <x:c r="AB185" s="2"/>
      <x:c r="AC185" s="10" t="n">
        <x:f>IF(OR(K185="",Q185=""),"",ROUND((Q185-K185)*1440,2))</x:f>
        <x:v>17</x:v>
      </x:c>
    </x:row>
    <x:row r="186" ht="21" customHeight="1">
      <x:c r="A186" s="2" t="str">
        <x:v>LN00185</x:v>
      </x:c>
      <x:c r="B186" s="2" t="str">
        <x:v>T20261004-2-3</x:v>
      </x:c>
      <x:c r="C186" s="7" t="n">
        <x:v>46299</x:v>
      </x:c>
      <x:c r="D186" s="2" t="str">
        <x:v>BUS003</x:v>
      </x:c>
      <x:c r="E186" s="2" t="str">
        <x:v>ST085</x:v>
      </x:c>
      <x:c r="F186" s="2" t="n">
        <x:v>1</x:v>
      </x:c>
      <x:c r="G186" s="2" t="str">
        <x:v>Junior</x:v>
      </x:c>
      <x:c r="H186" s="2" t="str">
        <x:v>Drop-off</x:v>
      </x:c>
      <x:c r="I186" s="2" t="str">
        <x:v>R3S2</x:v>
      </x:c>
      <x:c r="J186" s="2" t="str">
        <x:v>EV000367</x:v>
      </x:c>
      <x:c r="K186" s="8" t="n">
        <x:v>46299.43763888889</x:v>
      </x:c>
      <x:c r="L186" s="2" t="str">
        <x:v>SCH01</x:v>
      </x:c>
      <x:c r="M186" s="9" t="n">
        <x:v>25.285</x:v>
      </x:c>
      <x:c r="N186" s="9" t="n">
        <x:v>51.51</x:v>
      </x:c>
      <x:c r="O186" s="2" t="str">
        <x:v>Valid</x:v>
      </x:c>
      <x:c r="P186" s="2" t="str">
        <x:v>EV000368</x:v>
      </x:c>
      <x:c r="Q186" s="8" t="n">
        <x:v>46299.453611111116</x:v>
      </x:c>
      <x:c r="R186" s="2" t="str">
        <x:v>R3S2</x:v>
      </x:c>
      <x:c r="S186" s="9" t="n">
        <x:v>25.291000000000004</x:v>
      </x:c>
      <x:c r="T186" s="9" t="n">
        <x:v>51.51</x:v>
      </x:c>
      <x:c r="U186" s="2" t="str">
        <x:v>G085</x:v>
      </x:c>
      <x:c r="V186" s="2" t="str">
        <x:v>Authorized guardian release</x:v>
      </x:c>
      <x:c r="W186" s="2" t="str">
        <x:v>Completed transport</x:v>
      </x:c>
      <x:c r="X186" s="2" t="str">
        <x:v>QR</x:v>
      </x:c>
      <x:c r="Y186" s="2" t="str">
        <x:v>Online</x:v>
      </x:c>
      <x:c r="Z186" s="2" t="str">
        <x:v>Synced</x:v>
      </x:c>
      <x:c r="AA186" s="2"/>
      <x:c r="AB186" s="2"/>
      <x:c r="AC186" s="10" t="n">
        <x:f>IF(OR(K186="",Q186=""),"",ROUND((Q186-K186)*1440,2))</x:f>
        <x:v>23</x:v>
      </x:c>
    </x:row>
    <x:row r="187" ht="21" customHeight="1">
      <x:c r="A187" s="2" t="str">
        <x:v>LN00186</x:v>
      </x:c>
      <x:c r="B187" s="2" t="str">
        <x:v>T20261004-2-3</x:v>
      </x:c>
      <x:c r="C187" s="7" t="n">
        <x:v>46299</x:v>
      </x:c>
      <x:c r="D187" s="2" t="str">
        <x:v>BUS003</x:v>
      </x:c>
      <x:c r="E187" s="2" t="str">
        <x:v>ST086</x:v>
      </x:c>
      <x:c r="F187" s="2" t="n">
        <x:v>1</x:v>
      </x:c>
      <x:c r="G187" s="2" t="str">
        <x:v>Junior</x:v>
      </x:c>
      <x:c r="H187" s="2" t="str">
        <x:v>Drop-off</x:v>
      </x:c>
      <x:c r="I187" s="2" t="str">
        <x:v>R3S3</x:v>
      </x:c>
      <x:c r="J187" s="2" t="str">
        <x:v>EV000369</x:v>
      </x:c>
      <x:c r="K187" s="8" t="n">
        <x:v>46299.43767361111</x:v>
      </x:c>
      <x:c r="L187" s="2" t="str">
        <x:v>SCH01</x:v>
      </x:c>
      <x:c r="M187" s="9" t="n">
        <x:v>25.285</x:v>
      </x:c>
      <x:c r="N187" s="9" t="n">
        <x:v>51.51</x:v>
      </x:c>
      <x:c r="O187" s="2" t="str">
        <x:v>Valid</x:v>
      </x:c>
      <x:c r="P187" s="2" t="str">
        <x:v>EV000370</x:v>
      </x:c>
      <x:c r="Q187" s="8" t="n">
        <x:v>46299.4578125</x:v>
      </x:c>
      <x:c r="R187" s="2" t="str">
        <x:v>R3S3</x:v>
      </x:c>
      <x:c r="S187" s="9" t="n">
        <x:v>25.293000000000003</x:v>
      </x:c>
      <x:c r="T187" s="9" t="n">
        <x:v>51.513</x:v>
      </x:c>
      <x:c r="U187" s="2" t="str">
        <x:v>G086</x:v>
      </x:c>
      <x:c r="V187" s="2" t="str">
        <x:v>Authorized guardian release</x:v>
      </x:c>
      <x:c r="W187" s="2" t="str">
        <x:v>Completed transport</x:v>
      </x:c>
      <x:c r="X187" s="2" t="str">
        <x:v>QR</x:v>
      </x:c>
      <x:c r="Y187" s="2" t="str">
        <x:v>Online</x:v>
      </x:c>
      <x:c r="Z187" s="2" t="str">
        <x:v>Synced</x:v>
      </x:c>
      <x:c r="AA187" s="2"/>
      <x:c r="AB187" s="2"/>
      <x:c r="AC187" s="10" t="n">
        <x:f>IF(OR(K187="",Q187=""),"",ROUND((Q187-K187)*1440,2))</x:f>
        <x:v>29</x:v>
      </x:c>
    </x:row>
    <x:row r="188" ht="21" customHeight="1">
      <x:c r="A188" s="2" t="str">
        <x:v>LN00187</x:v>
      </x:c>
      <x:c r="B188" s="2" t="str">
        <x:v>T20261004-2-3</x:v>
      </x:c>
      <x:c r="C188" s="7" t="n">
        <x:v>46299</x:v>
      </x:c>
      <x:c r="D188" s="2" t="str">
        <x:v>BUS003</x:v>
      </x:c>
      <x:c r="E188" s="2" t="str">
        <x:v>ST087</x:v>
      </x:c>
      <x:c r="F188" s="2" t="n">
        <x:v>1</x:v>
      </x:c>
      <x:c r="G188" s="2" t="str">
        <x:v>Junior</x:v>
      </x:c>
      <x:c r="H188" s="2" t="str">
        <x:v>Drop-off</x:v>
      </x:c>
      <x:c r="I188" s="2" t="str">
        <x:v>R3S1</x:v>
      </x:c>
      <x:c r="J188" s="2" t="str">
        <x:v>EV000371</x:v>
      </x:c>
      <x:c r="K188" s="8" t="n">
        <x:v>46299.43770833333</x:v>
      </x:c>
      <x:c r="L188" s="2" t="str">
        <x:v>SCH01</x:v>
      </x:c>
      <x:c r="M188" s="9" t="n">
        <x:v>25.285</x:v>
      </x:c>
      <x:c r="N188" s="9" t="n">
        <x:v>51.51</x:v>
      </x:c>
      <x:c r="O188" s="2" t="str">
        <x:v>Valid</x:v>
      </x:c>
      <x:c r="P188" s="2" t="str">
        <x:v>EV000372</x:v>
      </x:c>
      <x:c r="Q188" s="8" t="n">
        <x:v>46299.44951388888</x:v>
      </x:c>
      <x:c r="R188" s="2" t="str">
        <x:v>R3S1</x:v>
      </x:c>
      <x:c r="S188" s="9" t="n">
        <x:v>25.289</x:v>
      </x:c>
      <x:c r="T188" s="9" t="n">
        <x:v>51.507</x:v>
      </x:c>
      <x:c r="U188" s="2" t="str">
        <x:v>G087</x:v>
      </x:c>
      <x:c r="V188" s="2" t="str">
        <x:v>Authorized guardian release</x:v>
      </x:c>
      <x:c r="W188" s="2" t="str">
        <x:v>Completed transport</x:v>
      </x:c>
      <x:c r="X188" s="2" t="str">
        <x:v>QR</x:v>
      </x:c>
      <x:c r="Y188" s="2" t="str">
        <x:v>Online</x:v>
      </x:c>
      <x:c r="Z188" s="2" t="str">
        <x:v>Synced</x:v>
      </x:c>
      <x:c r="AA188" s="2"/>
      <x:c r="AB188" s="2"/>
      <x:c r="AC188" s="10" t="n">
        <x:f>IF(OR(K188="",Q188=""),"",ROUND((Q188-K188)*1440,2))</x:f>
        <x:v>17</x:v>
      </x:c>
    </x:row>
    <x:row r="189" ht="21" customHeight="1">
      <x:c r="A189" s="2" t="str">
        <x:v>LN00188</x:v>
      </x:c>
      <x:c r="B189" s="2" t="str">
        <x:v>T20261004-2-3</x:v>
      </x:c>
      <x:c r="C189" s="7" t="n">
        <x:v>46299</x:v>
      </x:c>
      <x:c r="D189" s="2" t="str">
        <x:v>BUS003</x:v>
      </x:c>
      <x:c r="E189" s="2" t="str">
        <x:v>ST088</x:v>
      </x:c>
      <x:c r="F189" s="2" t="n">
        <x:v>1</x:v>
      </x:c>
      <x:c r="G189" s="2" t="str">
        <x:v>Junior</x:v>
      </x:c>
      <x:c r="H189" s="2" t="str">
        <x:v>Drop-off</x:v>
      </x:c>
      <x:c r="I189" s="2" t="str">
        <x:v>R3S2</x:v>
      </x:c>
      <x:c r="J189" s="2" t="str">
        <x:v>EV000373</x:v>
      </x:c>
      <x:c r="K189" s="8" t="n">
        <x:v>46299.437743055554</x:v>
      </x:c>
      <x:c r="L189" s="2" t="str">
        <x:v>SCH01</x:v>
      </x:c>
      <x:c r="M189" s="9" t="n">
        <x:v>25.285</x:v>
      </x:c>
      <x:c r="N189" s="9" t="n">
        <x:v>51.51</x:v>
      </x:c>
      <x:c r="O189" s="2" t="str">
        <x:v>Valid</x:v>
      </x:c>
      <x:c r="P189" s="2" t="str">
        <x:v>EV000374</x:v>
      </x:c>
      <x:c r="Q189" s="8" t="n">
        <x:v>46299.45371527778</x:v>
      </x:c>
      <x:c r="R189" s="2" t="str">
        <x:v>R3S2</x:v>
      </x:c>
      <x:c r="S189" s="9" t="n">
        <x:v>25.291000000000004</x:v>
      </x:c>
      <x:c r="T189" s="9" t="n">
        <x:v>51.51</x:v>
      </x:c>
      <x:c r="U189" s="2" t="str">
        <x:v>G088</x:v>
      </x:c>
      <x:c r="V189" s="2" t="str">
        <x:v>Authorized guardian release</x:v>
      </x:c>
      <x:c r="W189" s="2" t="str">
        <x:v>Completed transport</x:v>
      </x:c>
      <x:c r="X189" s="2" t="str">
        <x:v>QR</x:v>
      </x:c>
      <x:c r="Y189" s="2" t="str">
        <x:v>Online</x:v>
      </x:c>
      <x:c r="Z189" s="2" t="str">
        <x:v>Synced</x:v>
      </x:c>
      <x:c r="AA189" s="2"/>
      <x:c r="AB189" s="2"/>
      <x:c r="AC189" s="10" t="n">
        <x:f>IF(OR(K189="",Q189=""),"",ROUND((Q189-K189)*1440,2))</x:f>
        <x:v>23</x:v>
      </x:c>
    </x:row>
    <x:row r="190" ht="21" customHeight="1">
      <x:c r="A190" s="2" t="str">
        <x:v>LN00189</x:v>
      </x:c>
      <x:c r="B190" s="2" t="str">
        <x:v>T20261004-2-3</x:v>
      </x:c>
      <x:c r="C190" s="7" t="n">
        <x:v>46299</x:v>
      </x:c>
      <x:c r="D190" s="2" t="str">
        <x:v>BUS003</x:v>
      </x:c>
      <x:c r="E190" s="2" t="str">
        <x:v>ST089</x:v>
      </x:c>
      <x:c r="F190" s="2" t="n">
        <x:v>1</x:v>
      </x:c>
      <x:c r="G190" s="2" t="str">
        <x:v>Junior</x:v>
      </x:c>
      <x:c r="H190" s="2" t="str">
        <x:v>Drop-off</x:v>
      </x:c>
      <x:c r="I190" s="2" t="str">
        <x:v>R3S3</x:v>
      </x:c>
      <x:c r="J190" s="2" t="str">
        <x:v>EV000375</x:v>
      </x:c>
      <x:c r="K190" s="8" t="n">
        <x:v>46299.43777777778</x:v>
      </x:c>
      <x:c r="L190" s="2" t="str">
        <x:v>SCH01</x:v>
      </x:c>
      <x:c r="M190" s="9" t="n">
        <x:v>25.285</x:v>
      </x:c>
      <x:c r="N190" s="9" t="n">
        <x:v>51.51</x:v>
      </x:c>
      <x:c r="O190" s="2" t="str">
        <x:v>Valid</x:v>
      </x:c>
      <x:c r="P190" s="2" t="str">
        <x:v>EV000376</x:v>
      </x:c>
      <x:c r="Q190" s="8" t="n">
        <x:v>46299.457916666666</x:v>
      </x:c>
      <x:c r="R190" s="2" t="str">
        <x:v>R3S3</x:v>
      </x:c>
      <x:c r="S190" s="9" t="n">
        <x:v>25.293000000000003</x:v>
      </x:c>
      <x:c r="T190" s="9" t="n">
        <x:v>51.513</x:v>
      </x:c>
      <x:c r="U190" s="2" t="str">
        <x:v>G089</x:v>
      </x:c>
      <x:c r="V190" s="2" t="str">
        <x:v>Authorized guardian release</x:v>
      </x:c>
      <x:c r="W190" s="2" t="str">
        <x:v>Completed transport</x:v>
      </x:c>
      <x:c r="X190" s="2" t="str">
        <x:v>QR</x:v>
      </x:c>
      <x:c r="Y190" s="2" t="str">
        <x:v>Online</x:v>
      </x:c>
      <x:c r="Z190" s="2" t="str">
        <x:v>Synced</x:v>
      </x:c>
      <x:c r="AA190" s="2"/>
      <x:c r="AB190" s="2"/>
      <x:c r="AC190" s="10" t="n">
        <x:f>IF(OR(K190="",Q190=""),"",ROUND((Q190-K190)*1440,2))</x:f>
        <x:v>29</x:v>
      </x:c>
    </x:row>
    <x:row r="191" ht="21" customHeight="1">
      <x:c r="A191" s="2" t="str">
        <x:v>LN00190</x:v>
      </x:c>
      <x:c r="B191" s="2" t="str">
        <x:v>T20261004-2-3</x:v>
      </x:c>
      <x:c r="C191" s="7" t="n">
        <x:v>46299</x:v>
      </x:c>
      <x:c r="D191" s="2" t="str">
        <x:v>BUS003</x:v>
      </x:c>
      <x:c r="E191" s="2" t="str">
        <x:v>ST090</x:v>
      </x:c>
      <x:c r="F191" s="2" t="n">
        <x:v>1</x:v>
      </x:c>
      <x:c r="G191" s="2" t="str">
        <x:v>Junior</x:v>
      </x:c>
      <x:c r="H191" s="2" t="str">
        <x:v>Drop-off</x:v>
      </x:c>
      <x:c r="I191" s="2" t="str">
        <x:v>R3S1</x:v>
      </x:c>
      <x:c r="J191" s="2" t="str">
        <x:v>EV000377</x:v>
      </x:c>
      <x:c r="K191" s="8" t="n">
        <x:v>46299.4378125</x:v>
      </x:c>
      <x:c r="L191" s="2" t="str">
        <x:v>SCH01</x:v>
      </x:c>
      <x:c r="M191" s="9" t="n">
        <x:v>25.285</x:v>
      </x:c>
      <x:c r="N191" s="9" t="n">
        <x:v>51.51</x:v>
      </x:c>
      <x:c r="O191" s="2" t="str">
        <x:v>Valid</x:v>
      </x:c>
      <x:c r="P191" s="2" t="str">
        <x:v>EV000378</x:v>
      </x:c>
      <x:c r="Q191" s="8" t="n">
        <x:v>46299.44961805555</x:v>
      </x:c>
      <x:c r="R191" s="2" t="str">
        <x:v>R3S1</x:v>
      </x:c>
      <x:c r="S191" s="9" t="n">
        <x:v>25.289</x:v>
      </x:c>
      <x:c r="T191" s="9" t="n">
        <x:v>51.507</x:v>
      </x:c>
      <x:c r="U191" s="2" t="str">
        <x:v>G090</x:v>
      </x:c>
      <x:c r="V191" s="2" t="str">
        <x:v>Authorized guardian release</x:v>
      </x:c>
      <x:c r="W191" s="2" t="str">
        <x:v>Completed transport</x:v>
      </x:c>
      <x:c r="X191" s="2" t="str">
        <x:v>QR</x:v>
      </x:c>
      <x:c r="Y191" s="2" t="str">
        <x:v>Online</x:v>
      </x:c>
      <x:c r="Z191" s="2" t="str">
        <x:v>Synced</x:v>
      </x:c>
      <x:c r="AA191" s="2"/>
      <x:c r="AB191" s="2"/>
      <x:c r="AC191" s="10" t="n">
        <x:f>IF(OR(K191="",Q191=""),"",ROUND((Q191-K191)*1440,2))</x:f>
        <x:v>17</x:v>
      </x:c>
    </x:row>
    <x:row r="192" ht="21" customHeight="1">
      <x:c r="A192" s="2" t="str">
        <x:v>LN00191</x:v>
      </x:c>
      <x:c r="B192" s="2" t="str">
        <x:v>T20261004-2-3</x:v>
      </x:c>
      <x:c r="C192" s="7" t="n">
        <x:v>46299</x:v>
      </x:c>
      <x:c r="D192" s="2" t="str">
        <x:v>BUS003</x:v>
      </x:c>
      <x:c r="E192" s="2" t="str">
        <x:v>ST101</x:v>
      </x:c>
      <x:c r="F192" s="2" t="n">
        <x:v>2</x:v>
      </x:c>
      <x:c r="G192" s="2" t="str">
        <x:v>Junior</x:v>
      </x:c>
      <x:c r="H192" s="2" t="str">
        <x:v>Pickup</x:v>
      </x:c>
      <x:c r="I192" s="2" t="str">
        <x:v>R3S3</x:v>
      </x:c>
      <x:c r="J192" s="2" t="str">
        <x:v>EV000379</x:v>
      </x:c>
      <x:c r="K192" s="8" t="n">
        <x:v>46299.48125</x:v>
      </x:c>
      <x:c r="L192" s="2" t="str">
        <x:v>R3S3</x:v>
      </x:c>
      <x:c r="M192" s="9" t="n">
        <x:v>25.293000000000003</x:v>
      </x:c>
      <x:c r="N192" s="9" t="n">
        <x:v>51.513</x:v>
      </x:c>
      <x:c r="O192" s="2" t="str">
        <x:v>Valid</x:v>
      </x:c>
      <x:c r="P192" s="2" t="str">
        <x:v>EV000380</x:v>
      </x:c>
      <x:c r="Q192" s="8" t="n">
        <x:v>46299.506250000006</x:v>
      </x:c>
      <x:c r="R192" s="2" t="str">
        <x:v>SCH01</x:v>
      </x:c>
      <x:c r="S192" s="9" t="n">
        <x:v>25.285</x:v>
      </x:c>
      <x:c r="T192" s="9" t="n">
        <x:v>51.51</x:v>
      </x:c>
      <x:c r="U192" s="2" t="str">
        <x:v>SCHOOL_RECEIVER_01</x:v>
      </x:c>
      <x:c r="V192" s="2" t="str">
        <x:v>School staff receipt</x:v>
      </x:c>
      <x:c r="W192" s="2" t="str">
        <x:v>Completed transport</x:v>
      </x:c>
      <x:c r="X192" s="2" t="str">
        <x:v>QR</x:v>
      </x:c>
      <x:c r="Y192" s="2" t="str">
        <x:v>Online</x:v>
      </x:c>
      <x:c r="Z192" s="2" t="str">
        <x:v>Synced</x:v>
      </x:c>
      <x:c r="AA192" s="2"/>
      <x:c r="AB192" s="2"/>
      <x:c r="AC192" s="10" t="n">
        <x:f>IF(OR(K192="",Q192=""),"",ROUND((Q192-K192)*1440,2))</x:f>
        <x:v>36</x:v>
      </x:c>
    </x:row>
    <x:row r="193" ht="21" customHeight="1">
      <x:c r="A193" s="2" t="str">
        <x:v>LN00192</x:v>
      </x:c>
      <x:c r="B193" s="2" t="str">
        <x:v>T20261004-2-3</x:v>
      </x:c>
      <x:c r="C193" s="7" t="n">
        <x:v>46299</x:v>
      </x:c>
      <x:c r="D193" s="2" t="str">
        <x:v>BUS003</x:v>
      </x:c>
      <x:c r="E193" s="2" t="str">
        <x:v>ST102</x:v>
      </x:c>
      <x:c r="F193" s="2" t="n">
        <x:v>2</x:v>
      </x:c>
      <x:c r="G193" s="2" t="str">
        <x:v>Junior</x:v>
      </x:c>
      <x:c r="H193" s="2" t="str">
        <x:v>Pickup</x:v>
      </x:c>
      <x:c r="I193" s="2" t="str">
        <x:v>R3S1</x:v>
      </x:c>
      <x:c r="J193" s="2" t="str">
        <x:v>EV000381</x:v>
      </x:c>
      <x:c r="K193" s="8" t="n">
        <x:v>46299.4715625</x:v>
      </x:c>
      <x:c r="L193" s="2" t="str">
        <x:v>R3S1</x:v>
      </x:c>
      <x:c r="M193" s="9" t="n">
        <x:v>25.289</x:v>
      </x:c>
      <x:c r="N193" s="9" t="n">
        <x:v>51.507</x:v>
      </x:c>
      <x:c r="O193" s="2" t="str">
        <x:v>Valid</x:v>
      </x:c>
      <x:c r="P193" s="2" t="str">
        <x:v>EV000382</x:v>
      </x:c>
      <x:c r="Q193" s="8" t="n">
        <x:v>46299.50628472223</x:v>
      </x:c>
      <x:c r="R193" s="2" t="str">
        <x:v>SCH01</x:v>
      </x:c>
      <x:c r="S193" s="9" t="n">
        <x:v>25.285</x:v>
      </x:c>
      <x:c r="T193" s="9" t="n">
        <x:v>51.51</x:v>
      </x:c>
      <x:c r="U193" s="2" t="str">
        <x:v>SCHOOL_RECEIVER_01</x:v>
      </x:c>
      <x:c r="V193" s="2" t="str">
        <x:v>School staff receipt</x:v>
      </x:c>
      <x:c r="W193" s="2" t="str">
        <x:v>Completed transport</x:v>
      </x:c>
      <x:c r="X193" s="2" t="str">
        <x:v>QR</x:v>
      </x:c>
      <x:c r="Y193" s="2" t="str">
        <x:v>Online</x:v>
      </x:c>
      <x:c r="Z193" s="2" t="str">
        <x:v>Synced</x:v>
      </x:c>
      <x:c r="AA193" s="2"/>
      <x:c r="AB193" s="2"/>
      <x:c r="AC193" s="10" t="n">
        <x:f>IF(OR(K193="",Q193=""),"",ROUND((Q193-K193)*1440,2))</x:f>
        <x:v>50</x:v>
      </x:c>
    </x:row>
    <x:row r="194" ht="21" customHeight="1">
      <x:c r="A194" s="2" t="str">
        <x:v>LN00193</x:v>
      </x:c>
      <x:c r="B194" s="2" t="str">
        <x:v>T20261004-2-3</x:v>
      </x:c>
      <x:c r="C194" s="7" t="n">
        <x:v>46299</x:v>
      </x:c>
      <x:c r="D194" s="2" t="str">
        <x:v>BUS003</x:v>
      </x:c>
      <x:c r="E194" s="2" t="str">
        <x:v>ST103</x:v>
      </x:c>
      <x:c r="F194" s="2" t="n">
        <x:v>2</x:v>
      </x:c>
      <x:c r="G194" s="2" t="str">
        <x:v>Junior</x:v>
      </x:c>
      <x:c r="H194" s="2" t="str">
        <x:v>Pickup</x:v>
      </x:c>
      <x:c r="I194" s="2" t="str">
        <x:v>R3S2</x:v>
      </x:c>
      <x:c r="J194" s="2" t="str">
        <x:v>EV000383</x:v>
      </x:c>
      <x:c r="K194" s="8" t="n">
        <x:v>46299.47645833333</x:v>
      </x:c>
      <x:c r="L194" s="2" t="str">
        <x:v>R3S2</x:v>
      </x:c>
      <x:c r="M194" s="9" t="n">
        <x:v>25.291000000000004</x:v>
      </x:c>
      <x:c r="N194" s="9" t="n">
        <x:v>51.51</x:v>
      </x:c>
      <x:c r="O194" s="2" t="str">
        <x:v>Valid</x:v>
      </x:c>
      <x:c r="P194" s="2" t="str">
        <x:v>EV000384</x:v>
      </x:c>
      <x:c r="Q194" s="8" t="n">
        <x:v>46299.506319444445</x:v>
      </x:c>
      <x:c r="R194" s="2" t="str">
        <x:v>SCH01</x:v>
      </x:c>
      <x:c r="S194" s="9" t="n">
        <x:v>25.285</x:v>
      </x:c>
      <x:c r="T194" s="9" t="n">
        <x:v>51.51</x:v>
      </x:c>
      <x:c r="U194" s="2" t="str">
        <x:v>SCHOOL_RECEIVER_01</x:v>
      </x:c>
      <x:c r="V194" s="2" t="str">
        <x:v>School staff receipt</x:v>
      </x:c>
      <x:c r="W194" s="2" t="str">
        <x:v>Completed transport</x:v>
      </x:c>
      <x:c r="X194" s="2" t="str">
        <x:v>QR</x:v>
      </x:c>
      <x:c r="Y194" s="2" t="str">
        <x:v>Online</x:v>
      </x:c>
      <x:c r="Z194" s="2" t="str">
        <x:v>Synced</x:v>
      </x:c>
      <x:c r="AA194" s="2"/>
      <x:c r="AB194" s="2"/>
      <x:c r="AC194" s="10" t="n">
        <x:f>IF(OR(K194="",Q194=""),"",ROUND((Q194-K194)*1440,2))</x:f>
        <x:v>43</x:v>
      </x:c>
    </x:row>
    <x:row r="195" ht="21" customHeight="1">
      <x:c r="A195" s="2" t="str">
        <x:v>LN00194</x:v>
      </x:c>
      <x:c r="B195" s="2" t="str">
        <x:v>T20261004-2-3</x:v>
      </x:c>
      <x:c r="C195" s="7" t="n">
        <x:v>46299</x:v>
      </x:c>
      <x:c r="D195" s="2" t="str">
        <x:v>BUS003</x:v>
      </x:c>
      <x:c r="E195" s="2" t="str">
        <x:v>ST104</x:v>
      </x:c>
      <x:c r="F195" s="2" t="n">
        <x:v>2</x:v>
      </x:c>
      <x:c r="G195" s="2" t="str">
        <x:v>Junior</x:v>
      </x:c>
      <x:c r="H195" s="2" t="str">
        <x:v>Pickup</x:v>
      </x:c>
      <x:c r="I195" s="2" t="str">
        <x:v>R3S3</x:v>
      </x:c>
      <x:c r="J195" s="2" t="str">
        <x:v>EV000385</x:v>
      </x:c>
      <x:c r="K195" s="8" t="n">
        <x:v>46299.481354166666</x:v>
      </x:c>
      <x:c r="L195" s="2" t="str">
        <x:v>R3S3</x:v>
      </x:c>
      <x:c r="M195" s="9" t="n">
        <x:v>25.293000000000003</x:v>
      </x:c>
      <x:c r="N195" s="9" t="n">
        <x:v>51.513</x:v>
      </x:c>
      <x:c r="O195" s="2" t="str">
        <x:v>Valid</x:v>
      </x:c>
      <x:c r="P195" s="2" t="str">
        <x:v>EV000386</x:v>
      </x:c>
      <x:c r="Q195" s="8" t="n">
        <x:v>46299.50635416667</x:v>
      </x:c>
      <x:c r="R195" s="2" t="str">
        <x:v>SCH01</x:v>
      </x:c>
      <x:c r="S195" s="9" t="n">
        <x:v>25.285</x:v>
      </x:c>
      <x:c r="T195" s="9" t="n">
        <x:v>51.51</x:v>
      </x:c>
      <x:c r="U195" s="2" t="str">
        <x:v>SCHOOL_RECEIVER_01</x:v>
      </x:c>
      <x:c r="V195" s="2" t="str">
        <x:v>School staff receipt</x:v>
      </x:c>
      <x:c r="W195" s="2" t="str">
        <x:v>Completed transport</x:v>
      </x:c>
      <x:c r="X195" s="2" t="str">
        <x:v>QR</x:v>
      </x:c>
      <x:c r="Y195" s="2" t="str">
        <x:v>Online</x:v>
      </x:c>
      <x:c r="Z195" s="2" t="str">
        <x:v>Synced</x:v>
      </x:c>
      <x:c r="AA195" s="2"/>
      <x:c r="AB195" s="2"/>
      <x:c r="AC195" s="10" t="n">
        <x:f>IF(OR(K195="",Q195=""),"",ROUND((Q195-K195)*1440,2))</x:f>
        <x:v>36</x:v>
      </x:c>
    </x:row>
    <x:row r="196" ht="21" customHeight="1">
      <x:c r="A196" s="2" t="str">
        <x:v>LN00195</x:v>
      </x:c>
      <x:c r="B196" s="2" t="str">
        <x:v>T20261004-2-3</x:v>
      </x:c>
      <x:c r="C196" s="7" t="n">
        <x:v>46299</x:v>
      </x:c>
      <x:c r="D196" s="2" t="str">
        <x:v>BUS003</x:v>
      </x:c>
      <x:c r="E196" s="2" t="str">
        <x:v>ST105</x:v>
      </x:c>
      <x:c r="F196" s="2" t="n">
        <x:v>2</x:v>
      </x:c>
      <x:c r="G196" s="2" t="str">
        <x:v>Junior</x:v>
      </x:c>
      <x:c r="H196" s="2" t="str">
        <x:v>Pickup</x:v>
      </x:c>
      <x:c r="I196" s="2" t="str">
        <x:v>R3S1</x:v>
      </x:c>
      <x:c r="J196" s="2" t="str">
        <x:v>EV000387</x:v>
      </x:c>
      <x:c r="K196" s="8" t="n">
        <x:v>46299.47166666667</x:v>
      </x:c>
      <x:c r="L196" s="2" t="str">
        <x:v>R3S1</x:v>
      </x:c>
      <x:c r="M196" s="9" t="n">
        <x:v>25.289</x:v>
      </x:c>
      <x:c r="N196" s="9" t="n">
        <x:v>51.507</x:v>
      </x:c>
      <x:c r="O196" s="2" t="str">
        <x:v>Valid</x:v>
      </x:c>
      <x:c r="P196" s="2" t="str">
        <x:v>EV000388</x:v>
      </x:c>
      <x:c r="Q196" s="8" t="n">
        <x:v>46299.50638888889</x:v>
      </x:c>
      <x:c r="R196" s="2" t="str">
        <x:v>SCH01</x:v>
      </x:c>
      <x:c r="S196" s="9" t="n">
        <x:v>25.285</x:v>
      </x:c>
      <x:c r="T196" s="9" t="n">
        <x:v>51.51</x:v>
      </x:c>
      <x:c r="U196" s="2" t="str">
        <x:v>SCHOOL_RECEIVER_01</x:v>
      </x:c>
      <x:c r="V196" s="2" t="str">
        <x:v>School staff receipt</x:v>
      </x:c>
      <x:c r="W196" s="2" t="str">
        <x:v>Completed transport</x:v>
      </x:c>
      <x:c r="X196" s="2" t="str">
        <x:v>QR</x:v>
      </x:c>
      <x:c r="Y196" s="2" t="str">
        <x:v>Online</x:v>
      </x:c>
      <x:c r="Z196" s="2" t="str">
        <x:v>Synced</x:v>
      </x:c>
      <x:c r="AA196" s="2"/>
      <x:c r="AB196" s="2"/>
      <x:c r="AC196" s="10" t="n">
        <x:f>IF(OR(K196="",Q196=""),"",ROUND((Q196-K196)*1440,2))</x:f>
        <x:v>50</x:v>
      </x:c>
    </x:row>
    <x:row r="197" ht="21" customHeight="1">
      <x:c r="A197" s="2" t="str">
        <x:v>LN00196</x:v>
      </x:c>
      <x:c r="B197" s="2" t="str">
        <x:v>T20261004-2-3</x:v>
      </x:c>
      <x:c r="C197" s="7" t="n">
        <x:v>46299</x:v>
      </x:c>
      <x:c r="D197" s="2" t="str">
        <x:v>BUS003</x:v>
      </x:c>
      <x:c r="E197" s="2" t="str">
        <x:v>ST106</x:v>
      </x:c>
      <x:c r="F197" s="2" t="n">
        <x:v>2</x:v>
      </x:c>
      <x:c r="G197" s="2" t="str">
        <x:v>Junior</x:v>
      </x:c>
      <x:c r="H197" s="2" t="str">
        <x:v>Pickup</x:v>
      </x:c>
      <x:c r="I197" s="2" t="str">
        <x:v>R3S2</x:v>
      </x:c>
      <x:c r="J197" s="2" t="str">
        <x:v>EV000389</x:v>
      </x:c>
      <x:c r="K197" s="8" t="n">
        <x:v>46299.47656249999</x:v>
      </x:c>
      <x:c r="L197" s="2" t="str">
        <x:v>R3S2</x:v>
      </x:c>
      <x:c r="M197" s="9" t="n">
        <x:v>25.291000000000004</x:v>
      </x:c>
      <x:c r="N197" s="9" t="n">
        <x:v>51.51</x:v>
      </x:c>
      <x:c r="O197" s="2" t="str">
        <x:v>Valid</x:v>
      </x:c>
      <x:c r="P197" s="2" t="str">
        <x:v>EV000390</x:v>
      </x:c>
      <x:c r="Q197" s="8" t="n">
        <x:v>46299.506423611114</x:v>
      </x:c>
      <x:c r="R197" s="2" t="str">
        <x:v>SCH01</x:v>
      </x:c>
      <x:c r="S197" s="9" t="n">
        <x:v>25.285</x:v>
      </x:c>
      <x:c r="T197" s="9" t="n">
        <x:v>51.51</x:v>
      </x:c>
      <x:c r="U197" s="2" t="str">
        <x:v>SCHOOL_RECEIVER_01</x:v>
      </x:c>
      <x:c r="V197" s="2" t="str">
        <x:v>School staff receipt</x:v>
      </x:c>
      <x:c r="W197" s="2" t="str">
        <x:v>Completed transport</x:v>
      </x:c>
      <x:c r="X197" s="2" t="str">
        <x:v>QR</x:v>
      </x:c>
      <x:c r="Y197" s="2" t="str">
        <x:v>Online</x:v>
      </x:c>
      <x:c r="Z197" s="2" t="str">
        <x:v>Synced</x:v>
      </x:c>
      <x:c r="AA197" s="2"/>
      <x:c r="AB197" s="2"/>
      <x:c r="AC197" s="10" t="n">
        <x:f>IF(OR(K197="",Q197=""),"",ROUND((Q197-K197)*1440,2))</x:f>
        <x:v>43</x:v>
      </x:c>
    </x:row>
    <x:row r="198" ht="21" customHeight="1">
      <x:c r="A198" s="2" t="str">
        <x:v>LN00197</x:v>
      </x:c>
      <x:c r="B198" s="2" t="str">
        <x:v>T20261004-2-3</x:v>
      </x:c>
      <x:c r="C198" s="7" t="n">
        <x:v>46299</x:v>
      </x:c>
      <x:c r="D198" s="2" t="str">
        <x:v>BUS003</x:v>
      </x:c>
      <x:c r="E198" s="2" t="str">
        <x:v>ST107</x:v>
      </x:c>
      <x:c r="F198" s="2" t="n">
        <x:v>2</x:v>
      </x:c>
      <x:c r="G198" s="2" t="str">
        <x:v>Junior</x:v>
      </x:c>
      <x:c r="H198" s="2" t="str">
        <x:v>Pickup</x:v>
      </x:c>
      <x:c r="I198" s="2" t="str">
        <x:v>R3S3</x:v>
      </x:c>
      <x:c r="J198" s="2" t="str">
        <x:v>EV000391</x:v>
      </x:c>
      <x:c r="K198" s="8" t="n">
        <x:v>46299.48145833333</x:v>
      </x:c>
      <x:c r="L198" s="2" t="str">
        <x:v>R3S3</x:v>
      </x:c>
      <x:c r="M198" s="9" t="n">
        <x:v>25.293000000000003</x:v>
      </x:c>
      <x:c r="N198" s="9" t="n">
        <x:v>51.513</x:v>
      </x:c>
      <x:c r="O198" s="2" t="str">
        <x:v>Valid</x:v>
      </x:c>
      <x:c r="P198" s="2" t="str">
        <x:v>EV000392</x:v>
      </x:c>
      <x:c r="Q198" s="8" t="n">
        <x:v>46299.50645833334</x:v>
      </x:c>
      <x:c r="R198" s="2" t="str">
        <x:v>SCH01</x:v>
      </x:c>
      <x:c r="S198" s="9" t="n">
        <x:v>25.285</x:v>
      </x:c>
      <x:c r="T198" s="9" t="n">
        <x:v>51.51</x:v>
      </x:c>
      <x:c r="U198" s="2" t="str">
        <x:v>SCHOOL_RECEIVER_01</x:v>
      </x:c>
      <x:c r="V198" s="2" t="str">
        <x:v>School staff receipt</x:v>
      </x:c>
      <x:c r="W198" s="2" t="str">
        <x:v>Completed transport</x:v>
      </x:c>
      <x:c r="X198" s="2" t="str">
        <x:v>QR</x:v>
      </x:c>
      <x:c r="Y198" s="2" t="str">
        <x:v>Online</x:v>
      </x:c>
      <x:c r="Z198" s="2" t="str">
        <x:v>Synced</x:v>
      </x:c>
      <x:c r="AA198" s="2"/>
      <x:c r="AB198" s="2"/>
      <x:c r="AC198" s="10" t="n">
        <x:f>IF(OR(K198="",Q198=""),"",ROUND((Q198-K198)*1440,2))</x:f>
        <x:v>36</x:v>
      </x:c>
    </x:row>
    <x:row r="199" ht="21" customHeight="1">
      <x:c r="A199" s="2" t="str">
        <x:v>LN00198</x:v>
      </x:c>
      <x:c r="B199" s="2" t="str">
        <x:v>T20261004-2-3</x:v>
      </x:c>
      <x:c r="C199" s="7" t="n">
        <x:v>46299</x:v>
      </x:c>
      <x:c r="D199" s="2" t="str">
        <x:v>BUS003</x:v>
      </x:c>
      <x:c r="E199" s="2" t="str">
        <x:v>ST108</x:v>
      </x:c>
      <x:c r="F199" s="2" t="n">
        <x:v>2</x:v>
      </x:c>
      <x:c r="G199" s="2" t="str">
        <x:v>Junior</x:v>
      </x:c>
      <x:c r="H199" s="2" t="str">
        <x:v>Pickup</x:v>
      </x:c>
      <x:c r="I199" s="2" t="str">
        <x:v>R3S1</x:v>
      </x:c>
      <x:c r="J199" s="2" t="str">
        <x:v>EV000393</x:v>
      </x:c>
      <x:c r="K199" s="8" t="n">
        <x:v>46299.471770833334</x:v>
      </x:c>
      <x:c r="L199" s="2" t="str">
        <x:v>R3S1</x:v>
      </x:c>
      <x:c r="M199" s="9" t="n">
        <x:v>25.289</x:v>
      </x:c>
      <x:c r="N199" s="9" t="n">
        <x:v>51.507</x:v>
      </x:c>
      <x:c r="O199" s="2" t="str">
        <x:v>Valid</x:v>
      </x:c>
      <x:c r="P199" s="2" t="str">
        <x:v>EV000394</x:v>
      </x:c>
      <x:c r="Q199" s="8" t="n">
        <x:v>46299.50649305556</x:v>
      </x:c>
      <x:c r="R199" s="2" t="str">
        <x:v>SCH01</x:v>
      </x:c>
      <x:c r="S199" s="9" t="n">
        <x:v>25.285</x:v>
      </x:c>
      <x:c r="T199" s="9" t="n">
        <x:v>51.51</x:v>
      </x:c>
      <x:c r="U199" s="2" t="str">
        <x:v>SCHOOL_RECEIVER_01</x:v>
      </x:c>
      <x:c r="V199" s="2" t="str">
        <x:v>School staff receipt</x:v>
      </x:c>
      <x:c r="W199" s="2" t="str">
        <x:v>Completed transport</x:v>
      </x:c>
      <x:c r="X199" s="2" t="str">
        <x:v>QR</x:v>
      </x:c>
      <x:c r="Y199" s="2" t="str">
        <x:v>Online</x:v>
      </x:c>
      <x:c r="Z199" s="2" t="str">
        <x:v>Synced</x:v>
      </x:c>
      <x:c r="AA199" s="2"/>
      <x:c r="AB199" s="2"/>
      <x:c r="AC199" s="10" t="n">
        <x:f>IF(OR(K199="",Q199=""),"",ROUND((Q199-K199)*1440,2))</x:f>
        <x:v>50</x:v>
      </x:c>
    </x:row>
    <x:row r="200" ht="21" customHeight="1">
      <x:c r="A200" s="2" t="str">
        <x:v>LN00199</x:v>
      </x:c>
      <x:c r="B200" s="2" t="str">
        <x:v>T20261004-2-3</x:v>
      </x:c>
      <x:c r="C200" s="7" t="n">
        <x:v>46299</x:v>
      </x:c>
      <x:c r="D200" s="2" t="str">
        <x:v>BUS003</x:v>
      </x:c>
      <x:c r="E200" s="2" t="str">
        <x:v>ST109</x:v>
      </x:c>
      <x:c r="F200" s="2" t="n">
        <x:v>2</x:v>
      </x:c>
      <x:c r="G200" s="2" t="str">
        <x:v>Junior</x:v>
      </x:c>
      <x:c r="H200" s="2" t="str">
        <x:v>Pickup</x:v>
      </x:c>
      <x:c r="I200" s="2" t="str">
        <x:v>R3S2</x:v>
      </x:c>
      <x:c r="J200" s="2" t="str">
        <x:v>EV000395</x:v>
      </x:c>
      <x:c r="K200" s="8" t="n">
        <x:v>46299.47666666666</x:v>
      </x:c>
      <x:c r="L200" s="2" t="str">
        <x:v>R3S2</x:v>
      </x:c>
      <x:c r="M200" s="9" t="n">
        <x:v>25.291000000000004</x:v>
      </x:c>
      <x:c r="N200" s="9" t="n">
        <x:v>51.51</x:v>
      </x:c>
      <x:c r="O200" s="2" t="str">
        <x:v>Valid</x:v>
      </x:c>
      <x:c r="P200" s="2" t="str">
        <x:v>EV000396</x:v>
      </x:c>
      <x:c r="Q200" s="8" t="n">
        <x:v>46299.50652777778</x:v>
      </x:c>
      <x:c r="R200" s="2" t="str">
        <x:v>SCH01</x:v>
      </x:c>
      <x:c r="S200" s="9" t="n">
        <x:v>25.285</x:v>
      </x:c>
      <x:c r="T200" s="9" t="n">
        <x:v>51.51</x:v>
      </x:c>
      <x:c r="U200" s="2" t="str">
        <x:v>SCHOOL_RECEIVER_01</x:v>
      </x:c>
      <x:c r="V200" s="2" t="str">
        <x:v>School staff receipt</x:v>
      </x:c>
      <x:c r="W200" s="2" t="str">
        <x:v>Completed transport</x:v>
      </x:c>
      <x:c r="X200" s="2" t="str">
        <x:v>QR</x:v>
      </x:c>
      <x:c r="Y200" s="2" t="str">
        <x:v>Online</x:v>
      </x:c>
      <x:c r="Z200" s="2" t="str">
        <x:v>Synced</x:v>
      </x:c>
      <x:c r="AA200" s="2"/>
      <x:c r="AB200" s="2"/>
      <x:c r="AC200" s="10" t="n">
        <x:f>IF(OR(K200="",Q200=""),"",ROUND((Q200-K200)*1440,2))</x:f>
        <x:v>43</x:v>
      </x:c>
    </x:row>
    <x:row r="201" ht="21" customHeight="1">
      <x:c r="A201" s="2" t="str">
        <x:v>LN00200</x:v>
      </x:c>
      <x:c r="B201" s="2" t="str">
        <x:v>T20261004-2-3</x:v>
      </x:c>
      <x:c r="C201" s="7" t="n">
        <x:v>46299</x:v>
      </x:c>
      <x:c r="D201" s="2" t="str">
        <x:v>BUS003</x:v>
      </x:c>
      <x:c r="E201" s="2" t="str">
        <x:v>ST110</x:v>
      </x:c>
      <x:c r="F201" s="2" t="n">
        <x:v>2</x:v>
      </x:c>
      <x:c r="G201" s="2" t="str">
        <x:v>Junior</x:v>
      </x:c>
      <x:c r="H201" s="2" t="str">
        <x:v>Pickup</x:v>
      </x:c>
      <x:c r="I201" s="2" t="str">
        <x:v>R3S3</x:v>
      </x:c>
      <x:c r="J201" s="2" t="str">
        <x:v>EV000397</x:v>
      </x:c>
      <x:c r="K201" s="8" t="n">
        <x:v>46299.4815625</x:v>
      </x:c>
      <x:c r="L201" s="2" t="str">
        <x:v>R3S3</x:v>
      </x:c>
      <x:c r="M201" s="9" t="n">
        <x:v>25.293000000000003</x:v>
      </x:c>
      <x:c r="N201" s="9" t="n">
        <x:v>51.513</x:v>
      </x:c>
      <x:c r="O201" s="2" t="str">
        <x:v>Valid</x:v>
      </x:c>
      <x:c r="P201" s="2" t="str">
        <x:v>EV000398</x:v>
      </x:c>
      <x:c r="Q201" s="8" t="n">
        <x:v>46299.506562500006</x:v>
      </x:c>
      <x:c r="R201" s="2" t="str">
        <x:v>SCH01</x:v>
      </x:c>
      <x:c r="S201" s="9" t="n">
        <x:v>25.285</x:v>
      </x:c>
      <x:c r="T201" s="9" t="n">
        <x:v>51.51</x:v>
      </x:c>
      <x:c r="U201" s="2" t="str">
        <x:v>SCHOOL_RECEIVER_01</x:v>
      </x:c>
      <x:c r="V201" s="2" t="str">
        <x:v>School staff receipt</x:v>
      </x:c>
      <x:c r="W201" s="2" t="str">
        <x:v>Completed transport</x:v>
      </x:c>
      <x:c r="X201" s="2" t="str">
        <x:v>QR</x:v>
      </x:c>
      <x:c r="Y201" s="2" t="str">
        <x:v>Online</x:v>
      </x:c>
      <x:c r="Z201" s="2" t="str">
        <x:v>Synced</x:v>
      </x:c>
      <x:c r="AA201" s="2"/>
      <x:c r="AB201" s="2"/>
      <x:c r="AC201" s="10" t="n">
        <x:f>IF(OR(K201="",Q201=""),"",ROUND((Q201-K201)*1440,2))</x:f>
        <x:v>36</x:v>
      </x:c>
    </x:row>
    <x:row r="202" ht="21" customHeight="1">
      <x:c r="A202" s="2" t="str">
        <x:v>LN00201</x:v>
      </x:c>
      <x:c r="B202" s="2" t="str">
        <x:v>T20261004-2-3</x:v>
      </x:c>
      <x:c r="C202" s="7" t="n">
        <x:v>46299</x:v>
      </x:c>
      <x:c r="D202" s="2" t="str">
        <x:v>BUS003</x:v>
      </x:c>
      <x:c r="E202" s="2" t="str">
        <x:v>ST111</x:v>
      </x:c>
      <x:c r="F202" s="2" t="n">
        <x:v>2</x:v>
      </x:c>
      <x:c r="G202" s="2" t="str">
        <x:v>Senior</x:v>
      </x:c>
      <x:c r="H202" s="2" t="str">
        <x:v>Pickup</x:v>
      </x:c>
      <x:c r="I202" s="2" t="str">
        <x:v>R3S1</x:v>
      </x:c>
      <x:c r="J202" s="2" t="str">
        <x:v>EV000399</x:v>
      </x:c>
      <x:c r="K202" s="8" t="n">
        <x:v>46299.47152777778</x:v>
      </x:c>
      <x:c r="L202" s="2" t="str">
        <x:v>R3S1</x:v>
      </x:c>
      <x:c r="M202" s="9" t="n">
        <x:v>25.289</x:v>
      </x:c>
      <x:c r="N202" s="9" t="n">
        <x:v>51.507</x:v>
      </x:c>
      <x:c r="O202" s="2" t="str">
        <x:v>Valid</x:v>
      </x:c>
      <x:c r="P202" s="2" t="str">
        <x:v>EV000400</x:v>
      </x:c>
      <x:c r="Q202" s="8" t="n">
        <x:v>46299.50659722223</x:v>
      </x:c>
      <x:c r="R202" s="2" t="str">
        <x:v>SCH01</x:v>
      </x:c>
      <x:c r="S202" s="9" t="n">
        <x:v>25.285</x:v>
      </x:c>
      <x:c r="T202" s="9" t="n">
        <x:v>51.51</x:v>
      </x:c>
      <x:c r="U202" s="2" t="str">
        <x:v>SCHOOL_RECEIVER_01</x:v>
      </x:c>
      <x:c r="V202" s="2" t="str">
        <x:v>School staff receipt</x:v>
      </x:c>
      <x:c r="W202" s="2" t="str">
        <x:v>Completed transport</x:v>
      </x:c>
      <x:c r="X202" s="2" t="str">
        <x:v>QR</x:v>
      </x:c>
      <x:c r="Y202" s="2" t="str">
        <x:v>Online</x:v>
      </x:c>
      <x:c r="Z202" s="2" t="str">
        <x:v>Synced</x:v>
      </x:c>
      <x:c r="AA202" s="2"/>
      <x:c r="AB202" s="2"/>
      <x:c r="AC202" s="10" t="n">
        <x:f>IF(OR(K202="",Q202=""),"",ROUND((Q202-K202)*1440,2))</x:f>
        <x:v>50.5</x:v>
      </x:c>
    </x:row>
    <x:row r="203" ht="21" customHeight="1">
      <x:c r="A203" s="2" t="str">
        <x:v>LN00202</x:v>
      </x:c>
      <x:c r="B203" s="2" t="str">
        <x:v>T20261004-2-3</x:v>
      </x:c>
      <x:c r="C203" s="7" t="n">
        <x:v>46299</x:v>
      </x:c>
      <x:c r="D203" s="2" t="str">
        <x:v>BUS003</x:v>
      </x:c>
      <x:c r="E203" s="2" t="str">
        <x:v>ST112</x:v>
      </x:c>
      <x:c r="F203" s="2" t="n">
        <x:v>2</x:v>
      </x:c>
      <x:c r="G203" s="2" t="str">
        <x:v>Senior</x:v>
      </x:c>
      <x:c r="H203" s="2" t="str">
        <x:v>Pickup</x:v>
      </x:c>
      <x:c r="I203" s="2" t="str">
        <x:v>R3S2</x:v>
      </x:c>
      <x:c r="J203" s="2" t="str">
        <x:v>EV000401</x:v>
      </x:c>
      <x:c r="K203" s="8" t="n">
        <x:v>46299.47642361111</x:v>
      </x:c>
      <x:c r="L203" s="2" t="str">
        <x:v>R3S2</x:v>
      </x:c>
      <x:c r="M203" s="9" t="n">
        <x:v>25.291000000000004</x:v>
      </x:c>
      <x:c r="N203" s="9" t="n">
        <x:v>51.51</x:v>
      </x:c>
      <x:c r="O203" s="2" t="str">
        <x:v>Valid</x:v>
      </x:c>
      <x:c r="P203" s="2" t="str">
        <x:v>EV000402</x:v>
      </x:c>
      <x:c r="Q203" s="8" t="n">
        <x:v>46299.506631944445</x:v>
      </x:c>
      <x:c r="R203" s="2" t="str">
        <x:v>SCH01</x:v>
      </x:c>
      <x:c r="S203" s="9" t="n">
        <x:v>25.285</x:v>
      </x:c>
      <x:c r="T203" s="9" t="n">
        <x:v>51.51</x:v>
      </x:c>
      <x:c r="U203" s="2" t="str">
        <x:v>SCHOOL_RECEIVER_01</x:v>
      </x:c>
      <x:c r="V203" s="2" t="str">
        <x:v>School staff receipt</x:v>
      </x:c>
      <x:c r="W203" s="2" t="str">
        <x:v>Completed transport</x:v>
      </x:c>
      <x:c r="X203" s="2" t="str">
        <x:v>QR</x:v>
      </x:c>
      <x:c r="Y203" s="2" t="str">
        <x:v>Online</x:v>
      </x:c>
      <x:c r="Z203" s="2" t="str">
        <x:v>Synced</x:v>
      </x:c>
      <x:c r="AA203" s="2"/>
      <x:c r="AB203" s="2"/>
      <x:c r="AC203" s="10" t="n">
        <x:f>IF(OR(K203="",Q203=""),"",ROUND((Q203-K203)*1440,2))</x:f>
        <x:v>43.5</x:v>
      </x:c>
    </x:row>
    <x:row r="204" ht="21" customHeight="1">
      <x:c r="A204" s="2" t="str">
        <x:v>LN00203</x:v>
      </x:c>
      <x:c r="B204" s="2" t="str">
        <x:v>T20261004-2-3</x:v>
      </x:c>
      <x:c r="C204" s="7" t="n">
        <x:v>46299</x:v>
      </x:c>
      <x:c r="D204" s="2" t="str">
        <x:v>BUS003</x:v>
      </x:c>
      <x:c r="E204" s="2" t="str">
        <x:v>ST113</x:v>
      </x:c>
      <x:c r="F204" s="2" t="n">
        <x:v>2</x:v>
      </x:c>
      <x:c r="G204" s="2" t="str">
        <x:v>Senior</x:v>
      </x:c>
      <x:c r="H204" s="2" t="str">
        <x:v>Pickup</x:v>
      </x:c>
      <x:c r="I204" s="2" t="str">
        <x:v>R3S3</x:v>
      </x:c>
      <x:c r="J204" s="2" t="str">
        <x:v>EV000403</x:v>
      </x:c>
      <x:c r="K204" s="8" t="n">
        <x:v>46299.48131944444</x:v>
      </x:c>
      <x:c r="L204" s="2" t="str">
        <x:v>R3S3</x:v>
      </x:c>
      <x:c r="M204" s="9" t="n">
        <x:v>25.293000000000003</x:v>
      </x:c>
      <x:c r="N204" s="9" t="n">
        <x:v>51.513</x:v>
      </x:c>
      <x:c r="O204" s="2" t="str">
        <x:v>Valid</x:v>
      </x:c>
      <x:c r="P204" s="2" t="str">
        <x:v>EV000404</x:v>
      </x:c>
      <x:c r="Q204" s="8" t="n">
        <x:v>46299.50666666667</x:v>
      </x:c>
      <x:c r="R204" s="2" t="str">
        <x:v>SCH01</x:v>
      </x:c>
      <x:c r="S204" s="9" t="n">
        <x:v>25.285</x:v>
      </x:c>
      <x:c r="T204" s="9" t="n">
        <x:v>51.51</x:v>
      </x:c>
      <x:c r="U204" s="2" t="str">
        <x:v>SCHOOL_RECEIVER_01</x:v>
      </x:c>
      <x:c r="V204" s="2" t="str">
        <x:v>School staff receipt</x:v>
      </x:c>
      <x:c r="W204" s="2" t="str">
        <x:v>Completed transport</x:v>
      </x:c>
      <x:c r="X204" s="2" t="str">
        <x:v>QR</x:v>
      </x:c>
      <x:c r="Y204" s="2" t="str">
        <x:v>Online</x:v>
      </x:c>
      <x:c r="Z204" s="2" t="str">
        <x:v>Synced</x:v>
      </x:c>
      <x:c r="AA204" s="2"/>
      <x:c r="AB204" s="2"/>
      <x:c r="AC204" s="10" t="n">
        <x:f>IF(OR(K204="",Q204=""),"",ROUND((Q204-K204)*1440,2))</x:f>
        <x:v>36.5</x:v>
      </x:c>
    </x:row>
    <x:row r="205" ht="21" customHeight="1">
      <x:c r="A205" s="2" t="str">
        <x:v>LN00204</x:v>
      </x:c>
      <x:c r="B205" s="2" t="str">
        <x:v>T20261004-2-3</x:v>
      </x:c>
      <x:c r="C205" s="7" t="n">
        <x:v>46299</x:v>
      </x:c>
      <x:c r="D205" s="2" t="str">
        <x:v>BUS003</x:v>
      </x:c>
      <x:c r="E205" s="2" t="str">
        <x:v>ST114</x:v>
      </x:c>
      <x:c r="F205" s="2" t="n">
        <x:v>2</x:v>
      </x:c>
      <x:c r="G205" s="2" t="str">
        <x:v>Senior</x:v>
      </x:c>
      <x:c r="H205" s="2" t="str">
        <x:v>Pickup</x:v>
      </x:c>
      <x:c r="I205" s="2" t="str">
        <x:v>R3S1</x:v>
      </x:c>
      <x:c r="J205" s="2" t="str">
        <x:v>EV000405</x:v>
      </x:c>
      <x:c r="K205" s="8" t="n">
        <x:v>46299.47163194445</x:v>
      </x:c>
      <x:c r="L205" s="2" t="str">
        <x:v>R3S1</x:v>
      </x:c>
      <x:c r="M205" s="9" t="n">
        <x:v>25.289</x:v>
      </x:c>
      <x:c r="N205" s="9" t="n">
        <x:v>51.507</x:v>
      </x:c>
      <x:c r="O205" s="2" t="str">
        <x:v>Valid</x:v>
      </x:c>
      <x:c r="P205" s="2" t="str">
        <x:v>EV000406</x:v>
      </x:c>
      <x:c r="Q205" s="8" t="n">
        <x:v>46299.50670138889</x:v>
      </x:c>
      <x:c r="R205" s="2" t="str">
        <x:v>SCH01</x:v>
      </x:c>
      <x:c r="S205" s="9" t="n">
        <x:v>25.285</x:v>
      </x:c>
      <x:c r="T205" s="9" t="n">
        <x:v>51.51</x:v>
      </x:c>
      <x:c r="U205" s="2" t="str">
        <x:v>SCHOOL_RECEIVER_01</x:v>
      </x:c>
      <x:c r="V205" s="2" t="str">
        <x:v>School staff receipt</x:v>
      </x:c>
      <x:c r="W205" s="2" t="str">
        <x:v>Completed transport</x:v>
      </x:c>
      <x:c r="X205" s="2" t="str">
        <x:v>QR</x:v>
      </x:c>
      <x:c r="Y205" s="2" t="str">
        <x:v>Online</x:v>
      </x:c>
      <x:c r="Z205" s="2" t="str">
        <x:v>Synced</x:v>
      </x:c>
      <x:c r="AA205" s="2"/>
      <x:c r="AB205" s="2"/>
      <x:c r="AC205" s="10" t="n">
        <x:f>IF(OR(K205="",Q205=""),"",ROUND((Q205-K205)*1440,2))</x:f>
        <x:v>50.5</x:v>
      </x:c>
    </x:row>
    <x:row r="206" ht="21" customHeight="1">
      <x:c r="A206" s="2" t="str">
        <x:v>LN00205</x:v>
      </x:c>
      <x:c r="B206" s="2" t="str">
        <x:v>T20261004-2-3</x:v>
      </x:c>
      <x:c r="C206" s="7" t="n">
        <x:v>46299</x:v>
      </x:c>
      <x:c r="D206" s="2" t="str">
        <x:v>BUS003</x:v>
      </x:c>
      <x:c r="E206" s="2" t="str">
        <x:v>ST115</x:v>
      </x:c>
      <x:c r="F206" s="2" t="n">
        <x:v>2</x:v>
      </x:c>
      <x:c r="G206" s="2" t="str">
        <x:v>Senior</x:v>
      </x:c>
      <x:c r="H206" s="2" t="str">
        <x:v>Pickup</x:v>
      </x:c>
      <x:c r="I206" s="2" t="str">
        <x:v>R3S2</x:v>
      </x:c>
      <x:c r="J206" s="2" t="str">
        <x:v>EV000407</x:v>
      </x:c>
      <x:c r="K206" s="8" t="n">
        <x:v>46299.47652777778</x:v>
      </x:c>
      <x:c r="L206" s="2" t="str">
        <x:v>R3S2</x:v>
      </x:c>
      <x:c r="M206" s="9" t="n">
        <x:v>25.291000000000004</x:v>
      </x:c>
      <x:c r="N206" s="9" t="n">
        <x:v>51.51</x:v>
      </x:c>
      <x:c r="O206" s="2" t="str">
        <x:v>Valid</x:v>
      </x:c>
      <x:c r="P206" s="2" t="str">
        <x:v>EV000408</x:v>
      </x:c>
      <x:c r="Q206" s="8" t="n">
        <x:v>46299.506736111114</x:v>
      </x:c>
      <x:c r="R206" s="2" t="str">
        <x:v>SCH01</x:v>
      </x:c>
      <x:c r="S206" s="9" t="n">
        <x:v>25.285</x:v>
      </x:c>
      <x:c r="T206" s="9" t="n">
        <x:v>51.51</x:v>
      </x:c>
      <x:c r="U206" s="2" t="str">
        <x:v>SCHOOL_RECEIVER_01</x:v>
      </x:c>
      <x:c r="V206" s="2" t="str">
        <x:v>School staff receipt</x:v>
      </x:c>
      <x:c r="W206" s="2" t="str">
        <x:v>Completed transport</x:v>
      </x:c>
      <x:c r="X206" s="2" t="str">
        <x:v>QR</x:v>
      </x:c>
      <x:c r="Y206" s="2" t="str">
        <x:v>Online</x:v>
      </x:c>
      <x:c r="Z206" s="2" t="str">
        <x:v>Synced</x:v>
      </x:c>
      <x:c r="AA206" s="2"/>
      <x:c r="AB206" s="2"/>
      <x:c r="AC206" s="10" t="n">
        <x:f>IF(OR(K206="",Q206=""),"",ROUND((Q206-K206)*1440,2))</x:f>
        <x:v>43.5</x:v>
      </x:c>
    </x:row>
    <x:row r="207" ht="21" customHeight="1">
      <x:c r="A207" s="2" t="str">
        <x:v>LN00206</x:v>
      </x:c>
      <x:c r="B207" s="2" t="str">
        <x:v>T20261004-2-3</x:v>
      </x:c>
      <x:c r="C207" s="7" t="n">
        <x:v>46299</x:v>
      </x:c>
      <x:c r="D207" s="2" t="str">
        <x:v>BUS003</x:v>
      </x:c>
      <x:c r="E207" s="2" t="str">
        <x:v>ST116</x:v>
      </x:c>
      <x:c r="F207" s="2" t="n">
        <x:v>2</x:v>
      </x:c>
      <x:c r="G207" s="2" t="str">
        <x:v>Senior</x:v>
      </x:c>
      <x:c r="H207" s="2" t="str">
        <x:v>Pickup</x:v>
      </x:c>
      <x:c r="I207" s="2" t="str">
        <x:v>R3S3</x:v>
      </x:c>
      <x:c r="J207" s="2" t="str">
        <x:v>EV000409</x:v>
      </x:c>
      <x:c r="K207" s="8" t="n">
        <x:v>46299.481423611105</x:v>
      </x:c>
      <x:c r="L207" s="2" t="str">
        <x:v>R3S3</x:v>
      </x:c>
      <x:c r="M207" s="9" t="n">
        <x:v>25.293000000000003</x:v>
      </x:c>
      <x:c r="N207" s="9" t="n">
        <x:v>51.513</x:v>
      </x:c>
      <x:c r="O207" s="2" t="str">
        <x:v>Valid</x:v>
      </x:c>
      <x:c r="P207" s="2" t="str">
        <x:v>EV000410</x:v>
      </x:c>
      <x:c r="Q207" s="8" t="n">
        <x:v>46299.50677083334</x:v>
      </x:c>
      <x:c r="R207" s="2" t="str">
        <x:v>SCH01</x:v>
      </x:c>
      <x:c r="S207" s="9" t="n">
        <x:v>25.285</x:v>
      </x:c>
      <x:c r="T207" s="9" t="n">
        <x:v>51.51</x:v>
      </x:c>
      <x:c r="U207" s="2" t="str">
        <x:v>SCHOOL_RECEIVER_01</x:v>
      </x:c>
      <x:c r="V207" s="2" t="str">
        <x:v>School staff receipt</x:v>
      </x:c>
      <x:c r="W207" s="2" t="str">
        <x:v>Completed transport</x:v>
      </x:c>
      <x:c r="X207" s="2" t="str">
        <x:v>QR</x:v>
      </x:c>
      <x:c r="Y207" s="2" t="str">
        <x:v>Online</x:v>
      </x:c>
      <x:c r="Z207" s="2" t="str">
        <x:v>Synced</x:v>
      </x:c>
      <x:c r="AA207" s="2"/>
      <x:c r="AB207" s="2"/>
      <x:c r="AC207" s="10" t="n">
        <x:f>IF(OR(K207="",Q207=""),"",ROUND((Q207-K207)*1440,2))</x:f>
        <x:v>36.5</x:v>
      </x:c>
    </x:row>
    <x:row r="208" ht="21" customHeight="1">
      <x:c r="A208" s="2" t="str">
        <x:v>LN00207</x:v>
      </x:c>
      <x:c r="B208" s="2" t="str">
        <x:v>T20261004-2-3</x:v>
      </x:c>
      <x:c r="C208" s="7" t="n">
        <x:v>46299</x:v>
      </x:c>
      <x:c r="D208" s="2" t="str">
        <x:v>BUS003</x:v>
      </x:c>
      <x:c r="E208" s="2" t="str">
        <x:v>ST117</x:v>
      </x:c>
      <x:c r="F208" s="2" t="n">
        <x:v>2</x:v>
      </x:c>
      <x:c r="G208" s="2" t="str">
        <x:v>Senior</x:v>
      </x:c>
      <x:c r="H208" s="2" t="str">
        <x:v>Pickup</x:v>
      </x:c>
      <x:c r="I208" s="2" t="str">
        <x:v>R3S1</x:v>
      </x:c>
      <x:c r="J208" s="2" t="str">
        <x:v>EV000411</x:v>
      </x:c>
      <x:c r="K208" s="8" t="n">
        <x:v>46299.47173611111</x:v>
      </x:c>
      <x:c r="L208" s="2" t="str">
        <x:v>R3S1</x:v>
      </x:c>
      <x:c r="M208" s="9" t="n">
        <x:v>25.289</x:v>
      </x:c>
      <x:c r="N208" s="9" t="n">
        <x:v>51.507</x:v>
      </x:c>
      <x:c r="O208" s="2" t="str">
        <x:v>Valid</x:v>
      </x:c>
      <x:c r="P208" s="2" t="str">
        <x:v>EV000412</x:v>
      </x:c>
      <x:c r="Q208" s="8" t="n">
        <x:v>46299.50680555556</x:v>
      </x:c>
      <x:c r="R208" s="2" t="str">
        <x:v>SCH01</x:v>
      </x:c>
      <x:c r="S208" s="9" t="n">
        <x:v>25.285</x:v>
      </x:c>
      <x:c r="T208" s="9" t="n">
        <x:v>51.51</x:v>
      </x:c>
      <x:c r="U208" s="2" t="str">
        <x:v>SCHOOL_RECEIVER_01</x:v>
      </x:c>
      <x:c r="V208" s="2" t="str">
        <x:v>School staff receipt</x:v>
      </x:c>
      <x:c r="W208" s="2" t="str">
        <x:v>Completed transport</x:v>
      </x:c>
      <x:c r="X208" s="2" t="str">
        <x:v>QR</x:v>
      </x:c>
      <x:c r="Y208" s="2" t="str">
        <x:v>Online</x:v>
      </x:c>
      <x:c r="Z208" s="2" t="str">
        <x:v>Synced</x:v>
      </x:c>
      <x:c r="AA208" s="2"/>
      <x:c r="AB208" s="2"/>
      <x:c r="AC208" s="10" t="n">
        <x:f>IF(OR(K208="",Q208=""),"",ROUND((Q208-K208)*1440,2))</x:f>
        <x:v>50.5</x:v>
      </x:c>
    </x:row>
    <x:row r="209" ht="21" customHeight="1">
      <x:c r="A209" s="2" t="str">
        <x:v>LN00208</x:v>
      </x:c>
      <x:c r="B209" s="2" t="str">
        <x:v>T20261004-2-3</x:v>
      </x:c>
      <x:c r="C209" s="7" t="n">
        <x:v>46299</x:v>
      </x:c>
      <x:c r="D209" s="2" t="str">
        <x:v>BUS003</x:v>
      </x:c>
      <x:c r="E209" s="2" t="str">
        <x:v>ST118</x:v>
      </x:c>
      <x:c r="F209" s="2" t="n">
        <x:v>2</x:v>
      </x:c>
      <x:c r="G209" s="2" t="str">
        <x:v>Senior</x:v>
      </x:c>
      <x:c r="H209" s="2" t="str">
        <x:v>Pickup</x:v>
      </x:c>
      <x:c r="I209" s="2" t="str">
        <x:v>R3S2</x:v>
      </x:c>
      <x:c r="J209" s="2" t="str">
        <x:v>EV000413</x:v>
      </x:c>
      <x:c r="K209" s="8" t="n">
        <x:v>46299.47663194444</x:v>
      </x:c>
      <x:c r="L209" s="2" t="str">
        <x:v>R3S2</x:v>
      </x:c>
      <x:c r="M209" s="9" t="n">
        <x:v>25.291000000000004</x:v>
      </x:c>
      <x:c r="N209" s="9" t="n">
        <x:v>51.51</x:v>
      </x:c>
      <x:c r="O209" s="2" t="str">
        <x:v>Valid</x:v>
      </x:c>
      <x:c r="P209" s="2" t="str">
        <x:v>EV000414</x:v>
      </x:c>
      <x:c r="Q209" s="8" t="n">
        <x:v>46299.50684027778</x:v>
      </x:c>
      <x:c r="R209" s="2" t="str">
        <x:v>SCH01</x:v>
      </x:c>
      <x:c r="S209" s="9" t="n">
        <x:v>25.285</x:v>
      </x:c>
      <x:c r="T209" s="9" t="n">
        <x:v>51.51</x:v>
      </x:c>
      <x:c r="U209" s="2" t="str">
        <x:v>SCHOOL_RECEIVER_01</x:v>
      </x:c>
      <x:c r="V209" s="2" t="str">
        <x:v>School staff receipt</x:v>
      </x:c>
      <x:c r="W209" s="2" t="str">
        <x:v>Completed transport</x:v>
      </x:c>
      <x:c r="X209" s="2" t="str">
        <x:v>QR</x:v>
      </x:c>
      <x:c r="Y209" s="2" t="str">
        <x:v>Online</x:v>
      </x:c>
      <x:c r="Z209" s="2" t="str">
        <x:v>Synced</x:v>
      </x:c>
      <x:c r="AA209" s="2"/>
      <x:c r="AB209" s="2"/>
      <x:c r="AC209" s="10" t="n">
        <x:f>IF(OR(K209="",Q209=""),"",ROUND((Q209-K209)*1440,2))</x:f>
        <x:v>43.5</x:v>
      </x:c>
    </x:row>
    <x:row r="210" ht="21" customHeight="1">
      <x:c r="A210" s="2" t="str">
        <x:v>LN00209</x:v>
      </x:c>
      <x:c r="B210" s="2" t="str">
        <x:v>T20261004-2-3</x:v>
      </x:c>
      <x:c r="C210" s="7" t="n">
        <x:v>46299</x:v>
      </x:c>
      <x:c r="D210" s="2" t="str">
        <x:v>BUS003</x:v>
      </x:c>
      <x:c r="E210" s="2" t="str">
        <x:v>ST119</x:v>
      </x:c>
      <x:c r="F210" s="2" t="n">
        <x:v>2</x:v>
      </x:c>
      <x:c r="G210" s="2" t="str">
        <x:v>Senior</x:v>
      </x:c>
      <x:c r="H210" s="2" t="str">
        <x:v>Pickup</x:v>
      </x:c>
      <x:c r="I210" s="2" t="str">
        <x:v>R3S3</x:v>
      </x:c>
      <x:c r="J210" s="2" t="str">
        <x:v>EV000415</x:v>
      </x:c>
      <x:c r="K210" s="8" t="n">
        <x:v>46299.481527777774</x:v>
      </x:c>
      <x:c r="L210" s="2" t="str">
        <x:v>R3S3</x:v>
      </x:c>
      <x:c r="M210" s="9" t="n">
        <x:v>25.293000000000003</x:v>
      </x:c>
      <x:c r="N210" s="9" t="n">
        <x:v>51.513</x:v>
      </x:c>
      <x:c r="O210" s="2" t="str">
        <x:v>Valid</x:v>
      </x:c>
      <x:c r="P210" s="2" t="str">
        <x:v>EV000416</x:v>
      </x:c>
      <x:c r="Q210" s="8" t="n">
        <x:v>46299.50687500001</x:v>
      </x:c>
      <x:c r="R210" s="2" t="str">
        <x:v>SCH01</x:v>
      </x:c>
      <x:c r="S210" s="9" t="n">
        <x:v>25.285</x:v>
      </x:c>
      <x:c r="T210" s="9" t="n">
        <x:v>51.51</x:v>
      </x:c>
      <x:c r="U210" s="2" t="str">
        <x:v>SCHOOL_RECEIVER_01</x:v>
      </x:c>
      <x:c r="V210" s="2" t="str">
        <x:v>School staff receipt</x:v>
      </x:c>
      <x:c r="W210" s="2" t="str">
        <x:v>Completed transport</x:v>
      </x:c>
      <x:c r="X210" s="2" t="str">
        <x:v>QR</x:v>
      </x:c>
      <x:c r="Y210" s="2" t="str">
        <x:v>Online</x:v>
      </x:c>
      <x:c r="Z210" s="2" t="str">
        <x:v>Synced</x:v>
      </x:c>
      <x:c r="AA210" s="2"/>
      <x:c r="AB210" s="2"/>
      <x:c r="AC210" s="10" t="n">
        <x:f>IF(OR(K210="",Q210=""),"",ROUND((Q210-K210)*1440,2))</x:f>
        <x:v>36.5</x:v>
      </x:c>
    </x:row>
    <x:row r="211" ht="21" customHeight="1">
      <x:c r="A211" s="2" t="str">
        <x:v>LN00210</x:v>
      </x:c>
      <x:c r="B211" s="2" t="str">
        <x:v>T20261004-2-3</x:v>
      </x:c>
      <x:c r="C211" s="7" t="n">
        <x:v>46299</x:v>
      </x:c>
      <x:c r="D211" s="2" t="str">
        <x:v>BUS003</x:v>
      </x:c>
      <x:c r="E211" s="2" t="str">
        <x:v>ST120</x:v>
      </x:c>
      <x:c r="F211" s="2" t="n">
        <x:v>2</x:v>
      </x:c>
      <x:c r="G211" s="2" t="str">
        <x:v>Senior</x:v>
      </x:c>
      <x:c r="H211" s="2" t="str">
        <x:v>Pickup</x:v>
      </x:c>
      <x:c r="I211" s="2" t="str">
        <x:v>R3S1</x:v>
      </x:c>
      <x:c r="J211" s="2" t="str">
        <x:v>EV000417</x:v>
      </x:c>
      <x:c r="K211" s="8" t="n">
        <x:v>46299.47184027778</x:v>
      </x:c>
      <x:c r="L211" s="2" t="str">
        <x:v>R3S1</x:v>
      </x:c>
      <x:c r="M211" s="9" t="n">
        <x:v>25.289</x:v>
      </x:c>
      <x:c r="N211" s="9" t="n">
        <x:v>51.507</x:v>
      </x:c>
      <x:c r="O211" s="2" t="str">
        <x:v>Valid</x:v>
      </x:c>
      <x:c r="P211" s="2" t="str">
        <x:v>EV000418</x:v>
      </x:c>
      <x:c r="Q211" s="8" t="n">
        <x:v>46299.50690972222</x:v>
      </x:c>
      <x:c r="R211" s="2" t="str">
        <x:v>SCH01</x:v>
      </x:c>
      <x:c r="S211" s="9" t="n">
        <x:v>25.285</x:v>
      </x:c>
      <x:c r="T211" s="9" t="n">
        <x:v>51.51</x:v>
      </x:c>
      <x:c r="U211" s="2" t="str">
        <x:v>SCHOOL_RECEIVER_01</x:v>
      </x:c>
      <x:c r="V211" s="2" t="str">
        <x:v>School staff receipt</x:v>
      </x:c>
      <x:c r="W211" s="2" t="str">
        <x:v>Completed transport</x:v>
      </x:c>
      <x:c r="X211" s="2" t="str">
        <x:v>QR</x:v>
      </x:c>
      <x:c r="Y211" s="2" t="str">
        <x:v>Online</x:v>
      </x:c>
      <x:c r="Z211" s="2" t="str">
        <x:v>Synced</x:v>
      </x:c>
      <x:c r="AA211" s="2"/>
      <x:c r="AB211" s="2"/>
      <x:c r="AC211" s="10" t="n">
        <x:f>IF(OR(K211="",Q211=""),"",ROUND((Q211-K211)*1440,2))</x:f>
        <x:v>50.5</x:v>
      </x:c>
    </x:row>
    <x:row r="212" ht="21" customHeight="1">
      <x:c r="A212" s="2" t="str">
        <x:v>LN00211</x:v>
      </x:c>
      <x:c r="B212" s="2" t="str">
        <x:v>T20261004-3-3</x:v>
      </x:c>
      <x:c r="C212" s="7" t="n">
        <x:v>46299</x:v>
      </x:c>
      <x:c r="D212" s="2" t="str">
        <x:v>BUS003</x:v>
      </x:c>
      <x:c r="E212" s="2" t="str">
        <x:v>ST091</x:v>
      </x:c>
      <x:c r="F212" s="2" t="n">
        <x:v>1</x:v>
      </x:c>
      <x:c r="G212" s="2" t="str">
        <x:v>Senior</x:v>
      </x:c>
      <x:c r="H212" s="2" t="str">
        <x:v>Drop-off</x:v>
      </x:c>
      <x:c r="I212" s="2" t="str">
        <x:v>R3S2</x:v>
      </x:c>
      <x:c r="J212" s="2" t="str">
        <x:v>EV000419</x:v>
      </x:c>
      <x:c r="K212" s="8" t="n">
        <x:v>46299.57291666667</x:v>
      </x:c>
      <x:c r="L212" s="2" t="str">
        <x:v>SCH01</x:v>
      </x:c>
      <x:c r="M212" s="9" t="n">
        <x:v>25.285</x:v>
      </x:c>
      <x:c r="N212" s="9" t="n">
        <x:v>51.51</x:v>
      </x:c>
      <x:c r="O212" s="2" t="str">
        <x:v>Valid</x:v>
      </x:c>
      <x:c r="P212" s="2" t="str">
        <x:v>EV000420</x:v>
      </x:c>
      <x:c r="Q212" s="8" t="n">
        <x:v>46299.59027777778</x:v>
      </x:c>
      <x:c r="R212" s="2" t="str">
        <x:v>R3S2</x:v>
      </x:c>
      <x:c r="S212" s="9" t="n">
        <x:v>25.291000000000004</x:v>
      </x:c>
      <x:c r="T212" s="9" t="n">
        <x:v>51.51</x:v>
      </x:c>
      <x:c r="U212" s="2" t="str">
        <x:v>G091</x:v>
      </x:c>
      <x:c r="V212" s="2" t="str">
        <x:v>Authorized guardian release</x:v>
      </x:c>
      <x:c r="W212" s="2" t="str">
        <x:v>Completed transport</x:v>
      </x:c>
      <x:c r="X212" s="2" t="str">
        <x:v>QR</x:v>
      </x:c>
      <x:c r="Y212" s="2" t="str">
        <x:v>Online</x:v>
      </x:c>
      <x:c r="Z212" s="2" t="str">
        <x:v>Synced</x:v>
      </x:c>
      <x:c r="AA212" s="2"/>
      <x:c r="AB212" s="2"/>
      <x:c r="AC212" s="10" t="n">
        <x:f>IF(OR(K212="",Q212=""),"",ROUND((Q212-K212)*1440,2))</x:f>
        <x:v>25</x:v>
      </x:c>
    </x:row>
    <x:row r="213" ht="21" customHeight="1">
      <x:c r="A213" s="2" t="str">
        <x:v>LN00212</x:v>
      </x:c>
      <x:c r="B213" s="2" t="str">
        <x:v>T20261004-3-3</x:v>
      </x:c>
      <x:c r="C213" s="7" t="n">
        <x:v>46299</x:v>
      </x:c>
      <x:c r="D213" s="2" t="str">
        <x:v>BUS003</x:v>
      </x:c>
      <x:c r="E213" s="2" t="str">
        <x:v>ST092</x:v>
      </x:c>
      <x:c r="F213" s="2" t="n">
        <x:v>1</x:v>
      </x:c>
      <x:c r="G213" s="2" t="str">
        <x:v>Senior</x:v>
      </x:c>
      <x:c r="H213" s="2" t="str">
        <x:v>Drop-off</x:v>
      </x:c>
      <x:c r="I213" s="2" t="str">
        <x:v>R3S3</x:v>
      </x:c>
      <x:c r="J213" s="2" t="str">
        <x:v>EV000421</x:v>
      </x:c>
      <x:c r="K213" s="8" t="n">
        <x:v>46299.572951388895</x:v>
      </x:c>
      <x:c r="L213" s="2" t="str">
        <x:v>SCH01</x:v>
      </x:c>
      <x:c r="M213" s="9" t="n">
        <x:v>25.285</x:v>
      </x:c>
      <x:c r="N213" s="9" t="n">
        <x:v>51.51</x:v>
      </x:c>
      <x:c r="O213" s="2" t="str">
        <x:v>Valid</x:v>
      </x:c>
      <x:c r="P213" s="2" t="str">
        <x:v>EV000422</x:v>
      </x:c>
      <x:c r="Q213" s="8" t="n">
        <x:v>46299.59447916667</x:v>
      </x:c>
      <x:c r="R213" s="2" t="str">
        <x:v>R3S3</x:v>
      </x:c>
      <x:c r="S213" s="9" t="n">
        <x:v>25.293000000000003</x:v>
      </x:c>
      <x:c r="T213" s="9" t="n">
        <x:v>51.513</x:v>
      </x:c>
      <x:c r="U213" s="2" t="str">
        <x:v>G092</x:v>
      </x:c>
      <x:c r="V213" s="2" t="str">
        <x:v>Authorized guardian release</x:v>
      </x:c>
      <x:c r="W213" s="2" t="str">
        <x:v>Completed transport</x:v>
      </x:c>
      <x:c r="X213" s="2" t="str">
        <x:v>QR</x:v>
      </x:c>
      <x:c r="Y213" s="2" t="str">
        <x:v>Online</x:v>
      </x:c>
      <x:c r="Z213" s="2" t="str">
        <x:v>Synced</x:v>
      </x:c>
      <x:c r="AA213" s="2"/>
      <x:c r="AB213" s="2"/>
      <x:c r="AC213" s="10" t="n">
        <x:f>IF(OR(K213="",Q213=""),"",ROUND((Q213-K213)*1440,2))</x:f>
        <x:v>31</x:v>
      </x:c>
    </x:row>
    <x:row r="214" ht="21" customHeight="1">
      <x:c r="A214" s="2" t="str">
        <x:v>LN00213</x:v>
      </x:c>
      <x:c r="B214" s="2" t="str">
        <x:v>T20261004-3-3</x:v>
      </x:c>
      <x:c r="C214" s="7" t="n">
        <x:v>46299</x:v>
      </x:c>
      <x:c r="D214" s="2" t="str">
        <x:v>BUS003</x:v>
      </x:c>
      <x:c r="E214" s="2" t="str">
        <x:v>ST093</x:v>
      </x:c>
      <x:c r="F214" s="2" t="n">
        <x:v>1</x:v>
      </x:c>
      <x:c r="G214" s="2" t="str">
        <x:v>Senior</x:v>
      </x:c>
      <x:c r="H214" s="2" t="str">
        <x:v>Drop-off</x:v>
      </x:c>
      <x:c r="I214" s="2" t="str">
        <x:v>R3S1</x:v>
      </x:c>
      <x:c r="J214" s="2" t="str">
        <x:v>EV000423</x:v>
      </x:c>
      <x:c r="K214" s="8" t="n">
        <x:v>46299.57298611112</x:v>
      </x:c>
      <x:c r="L214" s="2" t="str">
        <x:v>SCH01</x:v>
      </x:c>
      <x:c r="M214" s="9" t="n">
        <x:v>25.285</x:v>
      </x:c>
      <x:c r="N214" s="9" t="n">
        <x:v>51.51</x:v>
      </x:c>
      <x:c r="O214" s="2" t="str">
        <x:v>Valid</x:v>
      </x:c>
      <x:c r="P214" s="2" t="str">
        <x:v>EV000424</x:v>
      </x:c>
      <x:c r="Q214" s="8" t="n">
        <x:v>46299.58618055556</x:v>
      </x:c>
      <x:c r="R214" s="2" t="str">
        <x:v>R3S1</x:v>
      </x:c>
      <x:c r="S214" s="9" t="n">
        <x:v>25.289</x:v>
      </x:c>
      <x:c r="T214" s="9" t="n">
        <x:v>51.507</x:v>
      </x:c>
      <x:c r="U214" s="2" t="str">
        <x:v>G093</x:v>
      </x:c>
      <x:c r="V214" s="2" t="str">
        <x:v>Authorized guardian release</x:v>
      </x:c>
      <x:c r="W214" s="2" t="str">
        <x:v>Completed transport</x:v>
      </x:c>
      <x:c r="X214" s="2" t="str">
        <x:v>QR</x:v>
      </x:c>
      <x:c r="Y214" s="2" t="str">
        <x:v>Online</x:v>
      </x:c>
      <x:c r="Z214" s="2" t="str">
        <x:v>Synced</x:v>
      </x:c>
      <x:c r="AA214" s="2"/>
      <x:c r="AB214" s="2"/>
      <x:c r="AC214" s="10" t="n">
        <x:f>IF(OR(K214="",Q214=""),"",ROUND((Q214-K214)*1440,2))</x:f>
        <x:v>19</x:v>
      </x:c>
    </x:row>
    <x:row r="215" ht="21" customHeight="1">
      <x:c r="A215" s="2" t="str">
        <x:v>LN00214</x:v>
      </x:c>
      <x:c r="B215" s="2" t="str">
        <x:v>T20261004-3-3</x:v>
      </x:c>
      <x:c r="C215" s="7" t="n">
        <x:v>46299</x:v>
      </x:c>
      <x:c r="D215" s="2" t="str">
        <x:v>BUS003</x:v>
      </x:c>
      <x:c r="E215" s="2" t="str">
        <x:v>ST094</x:v>
      </x:c>
      <x:c r="F215" s="2" t="n">
        <x:v>1</x:v>
      </x:c>
      <x:c r="G215" s="2" t="str">
        <x:v>Senior</x:v>
      </x:c>
      <x:c r="H215" s="2" t="str">
        <x:v>Drop-off</x:v>
      </x:c>
      <x:c r="I215" s="2" t="str">
        <x:v>R3S2</x:v>
      </x:c>
      <x:c r="J215" s="2" t="str">
        <x:v>EV000425</x:v>
      </x:c>
      <x:c r="K215" s="8" t="n">
        <x:v>46299.57302083334</x:v>
      </x:c>
      <x:c r="L215" s="2" t="str">
        <x:v>SCH01</x:v>
      </x:c>
      <x:c r="M215" s="9" t="n">
        <x:v>25.285</x:v>
      </x:c>
      <x:c r="N215" s="9" t="n">
        <x:v>51.51</x:v>
      </x:c>
      <x:c r="O215" s="2" t="str">
        <x:v>Valid</x:v>
      </x:c>
      <x:c r="P215" s="2" t="str">
        <x:v>EV000426</x:v>
      </x:c>
      <x:c r="Q215" s="8" t="n">
        <x:v>46299.59038194445</x:v>
      </x:c>
      <x:c r="R215" s="2" t="str">
        <x:v>R3S2</x:v>
      </x:c>
      <x:c r="S215" s="9" t="n">
        <x:v>25.291000000000004</x:v>
      </x:c>
      <x:c r="T215" s="9" t="n">
        <x:v>51.51</x:v>
      </x:c>
      <x:c r="U215" s="2" t="str">
        <x:v>G094</x:v>
      </x:c>
      <x:c r="V215" s="2" t="str">
        <x:v>Authorized guardian release</x:v>
      </x:c>
      <x:c r="W215" s="2" t="str">
        <x:v>Completed transport</x:v>
      </x:c>
      <x:c r="X215" s="2" t="str">
        <x:v>QR</x:v>
      </x:c>
      <x:c r="Y215" s="2" t="str">
        <x:v>Online</x:v>
      </x:c>
      <x:c r="Z215" s="2" t="str">
        <x:v>Synced</x:v>
      </x:c>
      <x:c r="AA215" s="2"/>
      <x:c r="AB215" s="2"/>
      <x:c r="AC215" s="10" t="n">
        <x:f>IF(OR(K215="",Q215=""),"",ROUND((Q215-K215)*1440,2))</x:f>
        <x:v>25</x:v>
      </x:c>
    </x:row>
    <x:row r="216" ht="21" customHeight="1">
      <x:c r="A216" s="2" t="str">
        <x:v>LN00215</x:v>
      </x:c>
      <x:c r="B216" s="2" t="str">
        <x:v>T20261004-3-3</x:v>
      </x:c>
      <x:c r="C216" s="7" t="n">
        <x:v>46299</x:v>
      </x:c>
      <x:c r="D216" s="2" t="str">
        <x:v>BUS003</x:v>
      </x:c>
      <x:c r="E216" s="2" t="str">
        <x:v>ST095</x:v>
      </x:c>
      <x:c r="F216" s="2" t="n">
        <x:v>1</x:v>
      </x:c>
      <x:c r="G216" s="2" t="str">
        <x:v>Senior</x:v>
      </x:c>
      <x:c r="H216" s="2" t="str">
        <x:v>Drop-off</x:v>
      </x:c>
      <x:c r="I216" s="2" t="str">
        <x:v>R3S3</x:v>
      </x:c>
      <x:c r="J216" s="2" t="str">
        <x:v>EV000427</x:v>
      </x:c>
      <x:c r="K216" s="8" t="n">
        <x:v>46299.573055555564</x:v>
      </x:c>
      <x:c r="L216" s="2" t="str">
        <x:v>SCH01</x:v>
      </x:c>
      <x:c r="M216" s="9" t="n">
        <x:v>25.285</x:v>
      </x:c>
      <x:c r="N216" s="9" t="n">
        <x:v>51.51</x:v>
      </x:c>
      <x:c r="O216" s="2" t="str">
        <x:v>Valid</x:v>
      </x:c>
      <x:c r="P216" s="2" t="str">
        <x:v>EV000428</x:v>
      </x:c>
      <x:c r="Q216" s="8" t="n">
        <x:v>46299.59458333334</x:v>
      </x:c>
      <x:c r="R216" s="2" t="str">
        <x:v>R3S3</x:v>
      </x:c>
      <x:c r="S216" s="9" t="n">
        <x:v>25.293000000000003</x:v>
      </x:c>
      <x:c r="T216" s="9" t="n">
        <x:v>51.513</x:v>
      </x:c>
      <x:c r="U216" s="2" t="str">
        <x:v>G095</x:v>
      </x:c>
      <x:c r="V216" s="2" t="str">
        <x:v>Authorized guardian release</x:v>
      </x:c>
      <x:c r="W216" s="2" t="str">
        <x:v>Completed transport</x:v>
      </x:c>
      <x:c r="X216" s="2" t="str">
        <x:v>QR</x:v>
      </x:c>
      <x:c r="Y216" s="2" t="str">
        <x:v>Online</x:v>
      </x:c>
      <x:c r="Z216" s="2" t="str">
        <x:v>Synced</x:v>
      </x:c>
      <x:c r="AA216" s="2"/>
      <x:c r="AB216" s="2"/>
      <x:c r="AC216" s="10" t="n">
        <x:f>IF(OR(K216="",Q216=""),"",ROUND((Q216-K216)*1440,2))</x:f>
        <x:v>31</x:v>
      </x:c>
    </x:row>
    <x:row r="217" ht="21" customHeight="1">
      <x:c r="A217" s="2" t="str">
        <x:v>LN00216</x:v>
      </x:c>
      <x:c r="B217" s="2" t="str">
        <x:v>T20261004-3-3</x:v>
      </x:c>
      <x:c r="C217" s="7" t="n">
        <x:v>46299</x:v>
      </x:c>
      <x:c r="D217" s="2" t="str">
        <x:v>BUS003</x:v>
      </x:c>
      <x:c r="E217" s="2" t="str">
        <x:v>ST096</x:v>
      </x:c>
      <x:c r="F217" s="2" t="n">
        <x:v>1</x:v>
      </x:c>
      <x:c r="G217" s="2" t="str">
        <x:v>Senior</x:v>
      </x:c>
      <x:c r="H217" s="2" t="str">
        <x:v>Drop-off</x:v>
      </x:c>
      <x:c r="I217" s="2" t="str">
        <x:v>R3S1</x:v>
      </x:c>
      <x:c r="J217" s="2" t="str">
        <x:v>EV000429</x:v>
      </x:c>
      <x:c r="K217" s="8" t="n">
        <x:v>46299.57309027778</x:v>
      </x:c>
      <x:c r="L217" s="2" t="str">
        <x:v>SCH01</x:v>
      </x:c>
      <x:c r="M217" s="9" t="n">
        <x:v>25.285</x:v>
      </x:c>
      <x:c r="N217" s="9" t="n">
        <x:v>51.51</x:v>
      </x:c>
      <x:c r="O217" s="2" t="str">
        <x:v>Valid</x:v>
      </x:c>
      <x:c r="P217" s="2" t="str">
        <x:v>EV000430</x:v>
      </x:c>
      <x:c r="Q217" s="8" t="n">
        <x:v>46299.58628472222</x:v>
      </x:c>
      <x:c r="R217" s="2" t="str">
        <x:v>R3S1</x:v>
      </x:c>
      <x:c r="S217" s="9" t="n">
        <x:v>25.289</x:v>
      </x:c>
      <x:c r="T217" s="9" t="n">
        <x:v>51.507</x:v>
      </x:c>
      <x:c r="U217" s="2" t="str">
        <x:v>G096</x:v>
      </x:c>
      <x:c r="V217" s="2" t="str">
        <x:v>Authorized guardian release</x:v>
      </x:c>
      <x:c r="W217" s="2" t="str">
        <x:v>Completed transport</x:v>
      </x:c>
      <x:c r="X217" s="2" t="str">
        <x:v>QR</x:v>
      </x:c>
      <x:c r="Y217" s="2" t="str">
        <x:v>Online</x:v>
      </x:c>
      <x:c r="Z217" s="2" t="str">
        <x:v>Synced</x:v>
      </x:c>
      <x:c r="AA217" s="2"/>
      <x:c r="AB217" s="2"/>
      <x:c r="AC217" s="10" t="n">
        <x:f>IF(OR(K217="",Q217=""),"",ROUND((Q217-K217)*1440,2))</x:f>
        <x:v>19</x:v>
      </x:c>
    </x:row>
    <x:row r="218" ht="21" customHeight="1">
      <x:c r="A218" s="2" t="str">
        <x:v>LN00217</x:v>
      </x:c>
      <x:c r="B218" s="2" t="str">
        <x:v>T20261004-3-3</x:v>
      </x:c>
      <x:c r="C218" s="7" t="n">
        <x:v>46299</x:v>
      </x:c>
      <x:c r="D218" s="2" t="str">
        <x:v>BUS003</x:v>
      </x:c>
      <x:c r="E218" s="2" t="str">
        <x:v>ST097</x:v>
      </x:c>
      <x:c r="F218" s="2" t="n">
        <x:v>1</x:v>
      </x:c>
      <x:c r="G218" s="2" t="str">
        <x:v>Senior</x:v>
      </x:c>
      <x:c r="H218" s="2" t="str">
        <x:v>Drop-off</x:v>
      </x:c>
      <x:c r="I218" s="2" t="str">
        <x:v>R3S2</x:v>
      </x:c>
      <x:c r="J218" s="2" t="str">
        <x:v>EV000431</x:v>
      </x:c>
      <x:c r="K218" s="8" t="n">
        <x:v>46299.573125</x:v>
      </x:c>
      <x:c r="L218" s="2" t="str">
        <x:v>SCH01</x:v>
      </x:c>
      <x:c r="M218" s="9" t="n">
        <x:v>25.285</x:v>
      </x:c>
      <x:c r="N218" s="9" t="n">
        <x:v>51.51</x:v>
      </x:c>
      <x:c r="O218" s="2" t="str">
        <x:v>Valid</x:v>
      </x:c>
      <x:c r="P218" s="2" t="str">
        <x:v>EV000432</x:v>
      </x:c>
      <x:c r="Q218" s="8" t="n">
        <x:v>46299.59048611111</x:v>
      </x:c>
      <x:c r="R218" s="2" t="str">
        <x:v>R3S2</x:v>
      </x:c>
      <x:c r="S218" s="9" t="n">
        <x:v>25.291000000000004</x:v>
      </x:c>
      <x:c r="T218" s="9" t="n">
        <x:v>51.51</x:v>
      </x:c>
      <x:c r="U218" s="2" t="str">
        <x:v>G097</x:v>
      </x:c>
      <x:c r="V218" s="2" t="str">
        <x:v>Authorized guardian release</x:v>
      </x:c>
      <x:c r="W218" s="2" t="str">
        <x:v>Completed transport</x:v>
      </x:c>
      <x:c r="X218" s="2" t="str">
        <x:v>QR</x:v>
      </x:c>
      <x:c r="Y218" s="2" t="str">
        <x:v>Online</x:v>
      </x:c>
      <x:c r="Z218" s="2" t="str">
        <x:v>Synced</x:v>
      </x:c>
      <x:c r="AA218" s="2"/>
      <x:c r="AB218" s="2"/>
      <x:c r="AC218" s="10" t="n">
        <x:f>IF(OR(K218="",Q218=""),"",ROUND((Q218-K218)*1440,2))</x:f>
        <x:v>25</x:v>
      </x:c>
    </x:row>
    <x:row r="219" ht="21" customHeight="1">
      <x:c r="A219" s="2" t="str">
        <x:v>LN00218</x:v>
      </x:c>
      <x:c r="B219" s="2" t="str">
        <x:v>T20261004-3-3</x:v>
      </x:c>
      <x:c r="C219" s="7" t="n">
        <x:v>46299</x:v>
      </x:c>
      <x:c r="D219" s="2" t="str">
        <x:v>BUS003</x:v>
      </x:c>
      <x:c r="E219" s="2" t="str">
        <x:v>ST098</x:v>
      </x:c>
      <x:c r="F219" s="2" t="n">
        <x:v>1</x:v>
      </x:c>
      <x:c r="G219" s="2" t="str">
        <x:v>Senior</x:v>
      </x:c>
      <x:c r="H219" s="2" t="str">
        <x:v>Drop-off</x:v>
      </x:c>
      <x:c r="I219" s="2" t="str">
        <x:v>R3S3</x:v>
      </x:c>
      <x:c r="J219" s="2" t="str">
        <x:v>EV000433</x:v>
      </x:c>
      <x:c r="K219" s="8" t="n">
        <x:v>46299.573159722226</x:v>
      </x:c>
      <x:c r="L219" s="2" t="str">
        <x:v>SCH01</x:v>
      </x:c>
      <x:c r="M219" s="9" t="n">
        <x:v>25.285</x:v>
      </x:c>
      <x:c r="N219" s="9" t="n">
        <x:v>51.51</x:v>
      </x:c>
      <x:c r="O219" s="2" t="str">
        <x:v>Valid</x:v>
      </x:c>
      <x:c r="P219" s="2" t="str">
        <x:v>EV000434</x:v>
      </x:c>
      <x:c r="Q219" s="8" t="n">
        <x:v>46299.5946875</x:v>
      </x:c>
      <x:c r="R219" s="2" t="str">
        <x:v>R3S3</x:v>
      </x:c>
      <x:c r="S219" s="9" t="n">
        <x:v>25.293000000000003</x:v>
      </x:c>
      <x:c r="T219" s="9" t="n">
        <x:v>51.513</x:v>
      </x:c>
      <x:c r="U219" s="2" t="str">
        <x:v>G098</x:v>
      </x:c>
      <x:c r="V219" s="2" t="str">
        <x:v>Authorized guardian release</x:v>
      </x:c>
      <x:c r="W219" s="2" t="str">
        <x:v>Completed transport</x:v>
      </x:c>
      <x:c r="X219" s="2" t="str">
        <x:v>QR</x:v>
      </x:c>
      <x:c r="Y219" s="2" t="str">
        <x:v>Online</x:v>
      </x:c>
      <x:c r="Z219" s="2" t="str">
        <x:v>Synced</x:v>
      </x:c>
      <x:c r="AA219" s="2"/>
      <x:c r="AB219" s="2"/>
      <x:c r="AC219" s="10" t="n">
        <x:f>IF(OR(K219="",Q219=""),"",ROUND((Q219-K219)*1440,2))</x:f>
        <x:v>31</x:v>
      </x:c>
    </x:row>
    <x:row r="220" ht="21" customHeight="1">
      <x:c r="A220" s="2" t="str">
        <x:v>LN00219</x:v>
      </x:c>
      <x:c r="B220" s="2" t="str">
        <x:v>T20261004-3-3</x:v>
      </x:c>
      <x:c r="C220" s="7" t="n">
        <x:v>46299</x:v>
      </x:c>
      <x:c r="D220" s="2" t="str">
        <x:v>BUS003</x:v>
      </x:c>
      <x:c r="E220" s="2" t="str">
        <x:v>ST099</x:v>
      </x:c>
      <x:c r="F220" s="2" t="n">
        <x:v>1</x:v>
      </x:c>
      <x:c r="G220" s="2" t="str">
        <x:v>Senior</x:v>
      </x:c>
      <x:c r="H220" s="2" t="str">
        <x:v>Drop-off</x:v>
      </x:c>
      <x:c r="I220" s="2" t="str">
        <x:v>R3S1</x:v>
      </x:c>
      <x:c r="J220" s="2" t="str">
        <x:v>EV000435</x:v>
      </x:c>
      <x:c r="K220" s="8" t="n">
        <x:v>46299.57319444445</x:v>
      </x:c>
      <x:c r="L220" s="2" t="str">
        <x:v>SCH01</x:v>
      </x:c>
      <x:c r="M220" s="9" t="n">
        <x:v>25.285</x:v>
      </x:c>
      <x:c r="N220" s="9" t="n">
        <x:v>51.51</x:v>
      </x:c>
      <x:c r="O220" s="2" t="str">
        <x:v>Valid</x:v>
      </x:c>
      <x:c r="P220" s="2" t="str">
        <x:v>EV000436</x:v>
      </x:c>
      <x:c r="Q220" s="8" t="n">
        <x:v>46299.58638888889</x:v>
      </x:c>
      <x:c r="R220" s="2" t="str">
        <x:v>R3S1</x:v>
      </x:c>
      <x:c r="S220" s="9" t="n">
        <x:v>25.289</x:v>
      </x:c>
      <x:c r="T220" s="9" t="n">
        <x:v>51.507</x:v>
      </x:c>
      <x:c r="U220" s="2" t="str">
        <x:v>G099</x:v>
      </x:c>
      <x:c r="V220" s="2" t="str">
        <x:v>Authorized guardian release</x:v>
      </x:c>
      <x:c r="W220" s="2" t="str">
        <x:v>Completed transport</x:v>
      </x:c>
      <x:c r="X220" s="2" t="str">
        <x:v>QR</x:v>
      </x:c>
      <x:c r="Y220" s="2" t="str">
        <x:v>Online</x:v>
      </x:c>
      <x:c r="Z220" s="2" t="str">
        <x:v>Synced</x:v>
      </x:c>
      <x:c r="AA220" s="2"/>
      <x:c r="AB220" s="2"/>
      <x:c r="AC220" s="10" t="n">
        <x:f>IF(OR(K220="",Q220=""),"",ROUND((Q220-K220)*1440,2))</x:f>
        <x:v>19</x:v>
      </x:c>
    </x:row>
    <x:row r="221" ht="21" customHeight="1">
      <x:c r="A221" s="2" t="str">
        <x:v>LN00220</x:v>
      </x:c>
      <x:c r="B221" s="2" t="str">
        <x:v>T20261004-3-3</x:v>
      </x:c>
      <x:c r="C221" s="7" t="n">
        <x:v>46299</x:v>
      </x:c>
      <x:c r="D221" s="2" t="str">
        <x:v>BUS003</x:v>
      </x:c>
      <x:c r="E221" s="2" t="str">
        <x:v>ST100</x:v>
      </x:c>
      <x:c r="F221" s="2" t="n">
        <x:v>1</x:v>
      </x:c>
      <x:c r="G221" s="2" t="str">
        <x:v>Senior</x:v>
      </x:c>
      <x:c r="H221" s="2" t="str">
        <x:v>Drop-off</x:v>
      </x:c>
      <x:c r="I221" s="2" t="str">
        <x:v>R3S2</x:v>
      </x:c>
      <x:c r="J221" s="2" t="str">
        <x:v>EV000437</x:v>
      </x:c>
      <x:c r="K221" s="8" t="n">
        <x:v>46299.57322916667</x:v>
      </x:c>
      <x:c r="L221" s="2" t="str">
        <x:v>SCH01</x:v>
      </x:c>
      <x:c r="M221" s="9" t="n">
        <x:v>25.285</x:v>
      </x:c>
      <x:c r="N221" s="9" t="n">
        <x:v>51.51</x:v>
      </x:c>
      <x:c r="O221" s="2" t="str">
        <x:v>Valid</x:v>
      </x:c>
      <x:c r="P221" s="2" t="str">
        <x:v>EV000438</x:v>
      </x:c>
      <x:c r="Q221" s="8" t="n">
        <x:v>46299.59059027778</x:v>
      </x:c>
      <x:c r="R221" s="2" t="str">
        <x:v>R3S2</x:v>
      </x:c>
      <x:c r="S221" s="9" t="n">
        <x:v>25.291000000000004</x:v>
      </x:c>
      <x:c r="T221" s="9" t="n">
        <x:v>51.51</x:v>
      </x:c>
      <x:c r="U221" s="2" t="str">
        <x:v>G100</x:v>
      </x:c>
      <x:c r="V221" s="2" t="str">
        <x:v>Authorized guardian release</x:v>
      </x:c>
      <x:c r="W221" s="2" t="str">
        <x:v>Completed transport</x:v>
      </x:c>
      <x:c r="X221" s="2" t="str">
        <x:v>QR</x:v>
      </x:c>
      <x:c r="Y221" s="2" t="str">
        <x:v>Online</x:v>
      </x:c>
      <x:c r="Z221" s="2" t="str">
        <x:v>Synced</x:v>
      </x:c>
      <x:c r="AA221" s="2"/>
      <x:c r="AB221" s="2"/>
      <x:c r="AC221" s="10" t="n">
        <x:f>IF(OR(K221="",Q221=""),"",ROUND((Q221-K221)*1440,2))</x:f>
        <x:v>25</x:v>
      </x:c>
    </x:row>
    <x:row r="222" ht="21" customHeight="1">
      <x:c r="A222" s="2" t="str">
        <x:v>LN00221</x:v>
      </x:c>
      <x:c r="B222" s="2" t="str">
        <x:v>T20261004-4-3</x:v>
      </x:c>
      <x:c r="C222" s="7" t="n">
        <x:v>46299</x:v>
      </x:c>
      <x:c r="D222" s="2" t="str">
        <x:v>BUS003</x:v>
      </x:c>
      <x:c r="E222" s="2" t="str">
        <x:v>ST101</x:v>
      </x:c>
      <x:c r="F222" s="2" t="n">
        <x:v>2</x:v>
      </x:c>
      <x:c r="G222" s="2" t="str">
        <x:v>Junior</x:v>
      </x:c>
      <x:c r="H222" s="2" t="str">
        <x:v>Drop-off</x:v>
      </x:c>
      <x:c r="I222" s="2" t="str">
        <x:v>R3S3</x:v>
      </x:c>
      <x:c r="J222" s="2" t="str">
        <x:v>EV000439</x:v>
      </x:c>
      <x:c r="K222" s="8" t="n">
        <x:v>46299.60416666667</x:v>
      </x:c>
      <x:c r="L222" s="2" t="str">
        <x:v>SCH01</x:v>
      </x:c>
      <x:c r="M222" s="9" t="n">
        <x:v>25.285</x:v>
      </x:c>
      <x:c r="N222" s="9" t="n">
        <x:v>51.51</x:v>
      </x:c>
      <x:c r="O222" s="2" t="str">
        <x:v>Valid</x:v>
      </x:c>
      <x:c r="P222" s="2" t="str">
        <x:v>EV000440</x:v>
      </x:c>
      <x:c r="Q222" s="8" t="n">
        <x:v>46299.62708333333</x:v>
      </x:c>
      <x:c r="R222" s="2" t="str">
        <x:v>R3S3</x:v>
      </x:c>
      <x:c r="S222" s="9" t="n">
        <x:v>25.293000000000003</x:v>
      </x:c>
      <x:c r="T222" s="9" t="n">
        <x:v>51.513</x:v>
      </x:c>
      <x:c r="U222" s="2" t="str">
        <x:v>G101</x:v>
      </x:c>
      <x:c r="V222" s="2" t="str">
        <x:v>Authorized guardian release</x:v>
      </x:c>
      <x:c r="W222" s="2" t="str">
        <x:v>Completed transport</x:v>
      </x:c>
      <x:c r="X222" s="2" t="str">
        <x:v>QR</x:v>
      </x:c>
      <x:c r="Y222" s="2" t="str">
        <x:v>Online</x:v>
      </x:c>
      <x:c r="Z222" s="2" t="str">
        <x:v>Synced</x:v>
      </x:c>
      <x:c r="AA222" s="2"/>
      <x:c r="AB222" s="2"/>
      <x:c r="AC222" s="10" t="n">
        <x:f>IF(OR(K222="",Q222=""),"",ROUND((Q222-K222)*1440,2))</x:f>
        <x:v>33</x:v>
      </x:c>
    </x:row>
    <x:row r="223" ht="21" customHeight="1">
      <x:c r="A223" s="2" t="str">
        <x:v>LN00222</x:v>
      </x:c>
      <x:c r="B223" s="2" t="str">
        <x:v>T20261004-4-3</x:v>
      </x:c>
      <x:c r="C223" s="7" t="n">
        <x:v>46299</x:v>
      </x:c>
      <x:c r="D223" s="2" t="str">
        <x:v>BUS003</x:v>
      </x:c>
      <x:c r="E223" s="2" t="str">
        <x:v>ST102</x:v>
      </x:c>
      <x:c r="F223" s="2" t="n">
        <x:v>2</x:v>
      </x:c>
      <x:c r="G223" s="2" t="str">
        <x:v>Junior</x:v>
      </x:c>
      <x:c r="H223" s="2" t="str">
        <x:v>Drop-off</x:v>
      </x:c>
      <x:c r="I223" s="2" t="str">
        <x:v>R3S1</x:v>
      </x:c>
      <x:c r="J223" s="2" t="str">
        <x:v>EV000441</x:v>
      </x:c>
      <x:c r="K223" s="8" t="n">
        <x:v>46299.604201388895</x:v>
      </x:c>
      <x:c r="L223" s="2" t="str">
        <x:v>SCH01</x:v>
      </x:c>
      <x:c r="M223" s="9" t="n">
        <x:v>25.285</x:v>
      </x:c>
      <x:c r="N223" s="9" t="n">
        <x:v>51.51</x:v>
      </x:c>
      <x:c r="O223" s="2" t="str">
        <x:v>Valid</x:v>
      </x:c>
      <x:c r="P223" s="2" t="str">
        <x:v>EV000442</x:v>
      </x:c>
      <x:c r="Q223" s="8" t="n">
        <x:v>46299.618784722225</x:v>
      </x:c>
      <x:c r="R223" s="2" t="str">
        <x:v>R3S1</x:v>
      </x:c>
      <x:c r="S223" s="9" t="n">
        <x:v>25.289</x:v>
      </x:c>
      <x:c r="T223" s="9" t="n">
        <x:v>51.507</x:v>
      </x:c>
      <x:c r="U223" s="2" t="str">
        <x:v>G102</x:v>
      </x:c>
      <x:c r="V223" s="2" t="str">
        <x:v>Authorized guardian release</x:v>
      </x:c>
      <x:c r="W223" s="2" t="str">
        <x:v>Completed transport</x:v>
      </x:c>
      <x:c r="X223" s="2" t="str">
        <x:v>QR</x:v>
      </x:c>
      <x:c r="Y223" s="2" t="str">
        <x:v>Online</x:v>
      </x:c>
      <x:c r="Z223" s="2" t="str">
        <x:v>Synced</x:v>
      </x:c>
      <x:c r="AA223" s="2"/>
      <x:c r="AB223" s="2"/>
      <x:c r="AC223" s="10" t="n">
        <x:f>IF(OR(K223="",Q223=""),"",ROUND((Q223-K223)*1440,2))</x:f>
        <x:v>21</x:v>
      </x:c>
    </x:row>
    <x:row r="224" ht="21" customHeight="1">
      <x:c r="A224" s="2" t="str">
        <x:v>LN00223</x:v>
      </x:c>
      <x:c r="B224" s="2" t="str">
        <x:v>T20261004-4-3</x:v>
      </x:c>
      <x:c r="C224" s="7" t="n">
        <x:v>46299</x:v>
      </x:c>
      <x:c r="D224" s="2" t="str">
        <x:v>BUS003</x:v>
      </x:c>
      <x:c r="E224" s="2" t="str">
        <x:v>ST103</x:v>
      </x:c>
      <x:c r="F224" s="2" t="n">
        <x:v>2</x:v>
      </x:c>
      <x:c r="G224" s="2" t="str">
        <x:v>Junior</x:v>
      </x:c>
      <x:c r="H224" s="2" t="str">
        <x:v>Drop-off</x:v>
      </x:c>
      <x:c r="I224" s="2" t="str">
        <x:v>R3S2</x:v>
      </x:c>
      <x:c r="J224" s="2" t="str">
        <x:v>EV000443</x:v>
      </x:c>
      <x:c r="K224" s="8" t="n">
        <x:v>46299.60423611112</x:v>
      </x:c>
      <x:c r="L224" s="2" t="str">
        <x:v>SCH01</x:v>
      </x:c>
      <x:c r="M224" s="9" t="n">
        <x:v>25.285</x:v>
      </x:c>
      <x:c r="N224" s="9" t="n">
        <x:v>51.51</x:v>
      </x:c>
      <x:c r="O224" s="2" t="str">
        <x:v>Valid</x:v>
      </x:c>
      <x:c r="P224" s="2" t="str">
        <x:v>EV000444</x:v>
      </x:c>
      <x:c r="Q224" s="8" t="n">
        <x:v>46299.62298611111</x:v>
      </x:c>
      <x:c r="R224" s="2" t="str">
        <x:v>R3S2</x:v>
      </x:c>
      <x:c r="S224" s="9" t="n">
        <x:v>25.291000000000004</x:v>
      </x:c>
      <x:c r="T224" s="9" t="n">
        <x:v>51.51</x:v>
      </x:c>
      <x:c r="U224" s="2" t="str">
        <x:v>G103</x:v>
      </x:c>
      <x:c r="V224" s="2" t="str">
        <x:v>Authorized guardian release</x:v>
      </x:c>
      <x:c r="W224" s="2" t="str">
        <x:v>Completed transport</x:v>
      </x:c>
      <x:c r="X224" s="2" t="str">
        <x:v>QR</x:v>
      </x:c>
      <x:c r="Y224" s="2" t="str">
        <x:v>Online</x:v>
      </x:c>
      <x:c r="Z224" s="2" t="str">
        <x:v>Synced</x:v>
      </x:c>
      <x:c r="AA224" s="2"/>
      <x:c r="AB224" s="2"/>
      <x:c r="AC224" s="10" t="n">
        <x:f>IF(OR(K224="",Q224=""),"",ROUND((Q224-K224)*1440,2))</x:f>
        <x:v>27</x:v>
      </x:c>
    </x:row>
    <x:row r="225" ht="21" customHeight="1">
      <x:c r="A225" s="2" t="str">
        <x:v>LN00224</x:v>
      </x:c>
      <x:c r="B225" s="2" t="str">
        <x:v>T20261004-4-3</x:v>
      </x:c>
      <x:c r="C225" s="7" t="n">
        <x:v>46299</x:v>
      </x:c>
      <x:c r="D225" s="2" t="str">
        <x:v>BUS003</x:v>
      </x:c>
      <x:c r="E225" s="2" t="str">
        <x:v>ST104</x:v>
      </x:c>
      <x:c r="F225" s="2" t="n">
        <x:v>2</x:v>
      </x:c>
      <x:c r="G225" s="2" t="str">
        <x:v>Junior</x:v>
      </x:c>
      <x:c r="H225" s="2" t="str">
        <x:v>Drop-off</x:v>
      </x:c>
      <x:c r="I225" s="2" t="str">
        <x:v>R3S3</x:v>
      </x:c>
      <x:c r="J225" s="2" t="str">
        <x:v>EV000445</x:v>
      </x:c>
      <x:c r="K225" s="8" t="n">
        <x:v>46299.60427083334</x:v>
      </x:c>
      <x:c r="L225" s="2" t="str">
        <x:v>SCH01</x:v>
      </x:c>
      <x:c r="M225" s="9" t="n">
        <x:v>25.285</x:v>
      </x:c>
      <x:c r="N225" s="9" t="n">
        <x:v>51.51</x:v>
      </x:c>
      <x:c r="O225" s="2" t="str">
        <x:v>Valid</x:v>
      </x:c>
      <x:c r="P225" s="2" t="str">
        <x:v>EV000446</x:v>
      </x:c>
      <x:c r="Q225" s="8" t="n">
        <x:v>46299.6271875</x:v>
      </x:c>
      <x:c r="R225" s="2" t="str">
        <x:v>R3S3</x:v>
      </x:c>
      <x:c r="S225" s="9" t="n">
        <x:v>25.293000000000003</x:v>
      </x:c>
      <x:c r="T225" s="9" t="n">
        <x:v>51.513</x:v>
      </x:c>
      <x:c r="U225" s="2" t="str">
        <x:v>G104</x:v>
      </x:c>
      <x:c r="V225" s="2" t="str">
        <x:v>Authorized guardian release</x:v>
      </x:c>
      <x:c r="W225" s="2" t="str">
        <x:v>Completed transport</x:v>
      </x:c>
      <x:c r="X225" s="2" t="str">
        <x:v>QR</x:v>
      </x:c>
      <x:c r="Y225" s="2" t="str">
        <x:v>Online</x:v>
      </x:c>
      <x:c r="Z225" s="2" t="str">
        <x:v>Synced</x:v>
      </x:c>
      <x:c r="AA225" s="2"/>
      <x:c r="AB225" s="2"/>
      <x:c r="AC225" s="10" t="n">
        <x:f>IF(OR(K225="",Q225=""),"",ROUND((Q225-K225)*1440,2))</x:f>
        <x:v>33</x:v>
      </x:c>
    </x:row>
    <x:row r="226" ht="21" customHeight="1">
      <x:c r="A226" s="2" t="str">
        <x:v>LN00225</x:v>
      </x:c>
      <x:c r="B226" s="2" t="str">
        <x:v>T20261004-4-3</x:v>
      </x:c>
      <x:c r="C226" s="7" t="n">
        <x:v>46299</x:v>
      </x:c>
      <x:c r="D226" s="2" t="str">
        <x:v>BUS003</x:v>
      </x:c>
      <x:c r="E226" s="2" t="str">
        <x:v>ST105</x:v>
      </x:c>
      <x:c r="F226" s="2" t="n">
        <x:v>2</x:v>
      </x:c>
      <x:c r="G226" s="2" t="str">
        <x:v>Junior</x:v>
      </x:c>
      <x:c r="H226" s="2" t="str">
        <x:v>Drop-off</x:v>
      </x:c>
      <x:c r="I226" s="2" t="str">
        <x:v>R3S1</x:v>
      </x:c>
      <x:c r="J226" s="2" t="str">
        <x:v>EV000447</x:v>
      </x:c>
      <x:c r="K226" s="8" t="n">
        <x:v>46299.604305555564</x:v>
      </x:c>
      <x:c r="L226" s="2" t="str">
        <x:v>SCH01</x:v>
      </x:c>
      <x:c r="M226" s="9" t="n">
        <x:v>25.285</x:v>
      </x:c>
      <x:c r="N226" s="9" t="n">
        <x:v>51.51</x:v>
      </x:c>
      <x:c r="O226" s="2" t="str">
        <x:v>Valid</x:v>
      </x:c>
      <x:c r="P226" s="2" t="str">
        <x:v>EV000448</x:v>
      </x:c>
      <x:c r="Q226" s="8" t="n">
        <x:v>46299.618888888894</x:v>
      </x:c>
      <x:c r="R226" s="2" t="str">
        <x:v>R3S1</x:v>
      </x:c>
      <x:c r="S226" s="9" t="n">
        <x:v>25.289</x:v>
      </x:c>
      <x:c r="T226" s="9" t="n">
        <x:v>51.507</x:v>
      </x:c>
      <x:c r="U226" s="2" t="str">
        <x:v>G105</x:v>
      </x:c>
      <x:c r="V226" s="2" t="str">
        <x:v>Authorized guardian release</x:v>
      </x:c>
      <x:c r="W226" s="2" t="str">
        <x:v>Completed transport</x:v>
      </x:c>
      <x:c r="X226" s="2" t="str">
        <x:v>QR</x:v>
      </x:c>
      <x:c r="Y226" s="2" t="str">
        <x:v>Online</x:v>
      </x:c>
      <x:c r="Z226" s="2" t="str">
        <x:v>Synced</x:v>
      </x:c>
      <x:c r="AA226" s="2"/>
      <x:c r="AB226" s="2"/>
      <x:c r="AC226" s="10" t="n">
        <x:f>IF(OR(K226="",Q226=""),"",ROUND((Q226-K226)*1440,2))</x:f>
        <x:v>21</x:v>
      </x:c>
    </x:row>
    <x:row r="227" ht="21" customHeight="1">
      <x:c r="A227" s="2" t="str">
        <x:v>LN00226</x:v>
      </x:c>
      <x:c r="B227" s="2" t="str">
        <x:v>T20261004-4-3</x:v>
      </x:c>
      <x:c r="C227" s="7" t="n">
        <x:v>46299</x:v>
      </x:c>
      <x:c r="D227" s="2" t="str">
        <x:v>BUS003</x:v>
      </x:c>
      <x:c r="E227" s="2" t="str">
        <x:v>ST106</x:v>
      </x:c>
      <x:c r="F227" s="2" t="n">
        <x:v>2</x:v>
      </x:c>
      <x:c r="G227" s="2" t="str">
        <x:v>Junior</x:v>
      </x:c>
      <x:c r="H227" s="2" t="str">
        <x:v>Drop-off</x:v>
      </x:c>
      <x:c r="I227" s="2" t="str">
        <x:v>R3S2</x:v>
      </x:c>
      <x:c r="J227" s="2" t="str">
        <x:v>EV000449</x:v>
      </x:c>
      <x:c r="K227" s="8" t="n">
        <x:v>46299.60434027778</x:v>
      </x:c>
      <x:c r="L227" s="2" t="str">
        <x:v>SCH01</x:v>
      </x:c>
      <x:c r="M227" s="9" t="n">
        <x:v>25.285</x:v>
      </x:c>
      <x:c r="N227" s="9" t="n">
        <x:v>51.51</x:v>
      </x:c>
      <x:c r="O227" s="2" t="str">
        <x:v>Valid</x:v>
      </x:c>
      <x:c r="P227" s="2" t="str">
        <x:v>EV000450</x:v>
      </x:c>
      <x:c r="Q227" s="8" t="n">
        <x:v>46299.623090277775</x:v>
      </x:c>
      <x:c r="R227" s="2" t="str">
        <x:v>R3S2</x:v>
      </x:c>
      <x:c r="S227" s="9" t="n">
        <x:v>25.291000000000004</x:v>
      </x:c>
      <x:c r="T227" s="9" t="n">
        <x:v>51.51</x:v>
      </x:c>
      <x:c r="U227" s="2" t="str">
        <x:v>G106</x:v>
      </x:c>
      <x:c r="V227" s="2" t="str">
        <x:v>Authorized guardian release</x:v>
      </x:c>
      <x:c r="W227" s="2" t="str">
        <x:v>Completed transport</x:v>
      </x:c>
      <x:c r="X227" s="2" t="str">
        <x:v>QR</x:v>
      </x:c>
      <x:c r="Y227" s="2" t="str">
        <x:v>Online</x:v>
      </x:c>
      <x:c r="Z227" s="2" t="str">
        <x:v>Synced</x:v>
      </x:c>
      <x:c r="AA227" s="2"/>
      <x:c r="AB227" s="2"/>
      <x:c r="AC227" s="10" t="n">
        <x:f>IF(OR(K227="",Q227=""),"",ROUND((Q227-K227)*1440,2))</x:f>
        <x:v>27</x:v>
      </x:c>
    </x:row>
    <x:row r="228" ht="21" customHeight="1">
      <x:c r="A228" s="2" t="str">
        <x:v>LN00227</x:v>
      </x:c>
      <x:c r="B228" s="2" t="str">
        <x:v>T20261004-4-3</x:v>
      </x:c>
      <x:c r="C228" s="7" t="n">
        <x:v>46299</x:v>
      </x:c>
      <x:c r="D228" s="2" t="str">
        <x:v>BUS003</x:v>
      </x:c>
      <x:c r="E228" s="2" t="str">
        <x:v>ST107</x:v>
      </x:c>
      <x:c r="F228" s="2" t="n">
        <x:v>2</x:v>
      </x:c>
      <x:c r="G228" s="2" t="str">
        <x:v>Junior</x:v>
      </x:c>
      <x:c r="H228" s="2" t="str">
        <x:v>Drop-off</x:v>
      </x:c>
      <x:c r="I228" s="2" t="str">
        <x:v>R3S3</x:v>
      </x:c>
      <x:c r="J228" s="2" t="str">
        <x:v>EV000451</x:v>
      </x:c>
      <x:c r="K228" s="8" t="n">
        <x:v>46299.604375</x:v>
      </x:c>
      <x:c r="L228" s="2" t="str">
        <x:v>SCH01</x:v>
      </x:c>
      <x:c r="M228" s="9" t="n">
        <x:v>25.285</x:v>
      </x:c>
      <x:c r="N228" s="9" t="n">
        <x:v>51.51</x:v>
      </x:c>
      <x:c r="O228" s="2" t="str">
        <x:v>Valid</x:v>
      </x:c>
      <x:c r="P228" s="2" t="str">
        <x:v>EV000452</x:v>
      </x:c>
      <x:c r="Q228" s="8" t="n">
        <x:v>46299.627291666664</x:v>
      </x:c>
      <x:c r="R228" s="2" t="str">
        <x:v>R3S3</x:v>
      </x:c>
      <x:c r="S228" s="9" t="n">
        <x:v>25.293000000000003</x:v>
      </x:c>
      <x:c r="T228" s="9" t="n">
        <x:v>51.513</x:v>
      </x:c>
      <x:c r="U228" s="2" t="str">
        <x:v>G107</x:v>
      </x:c>
      <x:c r="V228" s="2" t="str">
        <x:v>Authorized guardian release</x:v>
      </x:c>
      <x:c r="W228" s="2" t="str">
        <x:v>Completed transport</x:v>
      </x:c>
      <x:c r="X228" s="2" t="str">
        <x:v>QR</x:v>
      </x:c>
      <x:c r="Y228" s="2" t="str">
        <x:v>Online</x:v>
      </x:c>
      <x:c r="Z228" s="2" t="str">
        <x:v>Synced</x:v>
      </x:c>
      <x:c r="AA228" s="2"/>
      <x:c r="AB228" s="2"/>
      <x:c r="AC228" s="10" t="n">
        <x:f>IF(OR(K228="",Q228=""),"",ROUND((Q228-K228)*1440,2))</x:f>
        <x:v>33</x:v>
      </x:c>
    </x:row>
    <x:row r="229" ht="21" customHeight="1">
      <x:c r="A229" s="2" t="str">
        <x:v>LN00228</x:v>
      </x:c>
      <x:c r="B229" s="2" t="str">
        <x:v>T20261004-4-3</x:v>
      </x:c>
      <x:c r="C229" s="7" t="n">
        <x:v>46299</x:v>
      </x:c>
      <x:c r="D229" s="2" t="str">
        <x:v>BUS003</x:v>
      </x:c>
      <x:c r="E229" s="2" t="str">
        <x:v>ST108</x:v>
      </x:c>
      <x:c r="F229" s="2" t="n">
        <x:v>2</x:v>
      </x:c>
      <x:c r="G229" s="2" t="str">
        <x:v>Junior</x:v>
      </x:c>
      <x:c r="H229" s="2" t="str">
        <x:v>Drop-off</x:v>
      </x:c>
      <x:c r="I229" s="2" t="str">
        <x:v>R3S1</x:v>
      </x:c>
      <x:c r="J229" s="2" t="str">
        <x:v>EV000453</x:v>
      </x:c>
      <x:c r="K229" s="8" t="n">
        <x:v>46299.604409722226</x:v>
      </x:c>
      <x:c r="L229" s="2" t="str">
        <x:v>SCH01</x:v>
      </x:c>
      <x:c r="M229" s="9" t="n">
        <x:v>25.285</x:v>
      </x:c>
      <x:c r="N229" s="9" t="n">
        <x:v>51.51</x:v>
      </x:c>
      <x:c r="O229" s="2" t="str">
        <x:v>Valid</x:v>
      </x:c>
      <x:c r="P229" s="2" t="str">
        <x:v>EV000454</x:v>
      </x:c>
      <x:c r="Q229" s="8" t="n">
        <x:v>46299.618993055556</x:v>
      </x:c>
      <x:c r="R229" s="2" t="str">
        <x:v>R3S1</x:v>
      </x:c>
      <x:c r="S229" s="9" t="n">
        <x:v>25.289</x:v>
      </x:c>
      <x:c r="T229" s="9" t="n">
        <x:v>51.507</x:v>
      </x:c>
      <x:c r="U229" s="2" t="str">
        <x:v>G108</x:v>
      </x:c>
      <x:c r="V229" s="2" t="str">
        <x:v>Authorized guardian release</x:v>
      </x:c>
      <x:c r="W229" s="2" t="str">
        <x:v>Completed transport</x:v>
      </x:c>
      <x:c r="X229" s="2" t="str">
        <x:v>QR</x:v>
      </x:c>
      <x:c r="Y229" s="2" t="str">
        <x:v>Online</x:v>
      </x:c>
      <x:c r="Z229" s="2" t="str">
        <x:v>Synced</x:v>
      </x:c>
      <x:c r="AA229" s="2"/>
      <x:c r="AB229" s="2"/>
      <x:c r="AC229" s="10" t="n">
        <x:f>IF(OR(K229="",Q229=""),"",ROUND((Q229-K229)*1440,2))</x:f>
        <x:v>21</x:v>
      </x:c>
    </x:row>
    <x:row r="230" ht="21" customHeight="1">
      <x:c r="A230" s="2" t="str">
        <x:v>LN00229</x:v>
      </x:c>
      <x:c r="B230" s="2" t="str">
        <x:v>T20261004-4-3</x:v>
      </x:c>
      <x:c r="C230" s="7" t="n">
        <x:v>46299</x:v>
      </x:c>
      <x:c r="D230" s="2" t="str">
        <x:v>BUS003</x:v>
      </x:c>
      <x:c r="E230" s="2" t="str">
        <x:v>ST109</x:v>
      </x:c>
      <x:c r="F230" s="2" t="n">
        <x:v>2</x:v>
      </x:c>
      <x:c r="G230" s="2" t="str">
        <x:v>Junior</x:v>
      </x:c>
      <x:c r="H230" s="2" t="str">
        <x:v>Drop-off</x:v>
      </x:c>
      <x:c r="I230" s="2" t="str">
        <x:v>R3S2</x:v>
      </x:c>
      <x:c r="J230" s="2" t="str">
        <x:v>EV000455</x:v>
      </x:c>
      <x:c r="K230" s="8" t="n">
        <x:v>46299.60444444445</x:v>
      </x:c>
      <x:c r="L230" s="2" t="str">
        <x:v>SCH01</x:v>
      </x:c>
      <x:c r="M230" s="9" t="n">
        <x:v>25.285</x:v>
      </x:c>
      <x:c r="N230" s="9" t="n">
        <x:v>51.51</x:v>
      </x:c>
      <x:c r="O230" s="2" t="str">
        <x:v>Valid</x:v>
      </x:c>
      <x:c r="P230" s="2" t="str">
        <x:v>EV000456</x:v>
      </x:c>
      <x:c r="Q230" s="8" t="n">
        <x:v>46299.623194444444</x:v>
      </x:c>
      <x:c r="R230" s="2" t="str">
        <x:v>R3S2</x:v>
      </x:c>
      <x:c r="S230" s="9" t="n">
        <x:v>25.291000000000004</x:v>
      </x:c>
      <x:c r="T230" s="9" t="n">
        <x:v>51.51</x:v>
      </x:c>
      <x:c r="U230" s="2" t="str">
        <x:v>G109</x:v>
      </x:c>
      <x:c r="V230" s="2" t="str">
        <x:v>Authorized guardian release</x:v>
      </x:c>
      <x:c r="W230" s="2" t="str">
        <x:v>Completed transport</x:v>
      </x:c>
      <x:c r="X230" s="2" t="str">
        <x:v>QR</x:v>
      </x:c>
      <x:c r="Y230" s="2" t="str">
        <x:v>Online</x:v>
      </x:c>
      <x:c r="Z230" s="2" t="str">
        <x:v>Synced</x:v>
      </x:c>
      <x:c r="AA230" s="2"/>
      <x:c r="AB230" s="2"/>
      <x:c r="AC230" s="10" t="n">
        <x:f>IF(OR(K230="",Q230=""),"",ROUND((Q230-K230)*1440,2))</x:f>
        <x:v>27</x:v>
      </x:c>
    </x:row>
    <x:row r="231" ht="21" customHeight="1">
      <x:c r="A231" s="2" t="str">
        <x:v>LN00230</x:v>
      </x:c>
      <x:c r="B231" s="2" t="str">
        <x:v>T20261004-4-3</x:v>
      </x:c>
      <x:c r="C231" s="7" t="n">
        <x:v>46299</x:v>
      </x:c>
      <x:c r="D231" s="2" t="str">
        <x:v>BUS003</x:v>
      </x:c>
      <x:c r="E231" s="2" t="str">
        <x:v>ST110</x:v>
      </x:c>
      <x:c r="F231" s="2" t="n">
        <x:v>2</x:v>
      </x:c>
      <x:c r="G231" s="2" t="str">
        <x:v>Junior</x:v>
      </x:c>
      <x:c r="H231" s="2" t="str">
        <x:v>Drop-off</x:v>
      </x:c>
      <x:c r="I231" s="2" t="str">
        <x:v>R3S3</x:v>
      </x:c>
      <x:c r="J231" s="2" t="str">
        <x:v>EV000457</x:v>
      </x:c>
      <x:c r="K231" s="8" t="n">
        <x:v>46299.60447916667</x:v>
      </x:c>
      <x:c r="L231" s="2" t="str">
        <x:v>SCH01</x:v>
      </x:c>
      <x:c r="M231" s="9" t="n">
        <x:v>25.285</x:v>
      </x:c>
      <x:c r="N231" s="9" t="n">
        <x:v>51.51</x:v>
      </x:c>
      <x:c r="O231" s="2" t="str">
        <x:v>Valid</x:v>
      </x:c>
      <x:c r="P231" s="2" t="str">
        <x:v>EV000458</x:v>
      </x:c>
      <x:c r="Q231" s="8" t="n">
        <x:v>46299.62739583333</x:v>
      </x:c>
      <x:c r="R231" s="2" t="str">
        <x:v>R3S3</x:v>
      </x:c>
      <x:c r="S231" s="9" t="n">
        <x:v>25.293000000000003</x:v>
      </x:c>
      <x:c r="T231" s="9" t="n">
        <x:v>51.513</x:v>
      </x:c>
      <x:c r="U231" s="2" t="str">
        <x:v>G110</x:v>
      </x:c>
      <x:c r="V231" s="2" t="str">
        <x:v>Authorized guardian release</x:v>
      </x:c>
      <x:c r="W231" s="2" t="str">
        <x:v>Completed transport</x:v>
      </x:c>
      <x:c r="X231" s="2" t="str">
        <x:v>QR</x:v>
      </x:c>
      <x:c r="Y231" s="2" t="str">
        <x:v>Online</x:v>
      </x:c>
      <x:c r="Z231" s="2" t="str">
        <x:v>Synced</x:v>
      </x:c>
      <x:c r="AA231" s="2"/>
      <x:c r="AB231" s="2"/>
      <x:c r="AC231" s="10" t="n">
        <x:f>IF(OR(K231="",Q231=""),"",ROUND((Q231-K231)*1440,2))</x:f>
        <x:v>33</x:v>
      </x:c>
    </x:row>
    <x:row r="232" ht="21" customHeight="1">
      <x:c r="A232" s="2" t="str">
        <x:v>LN00231</x:v>
      </x:c>
      <x:c r="B232" s="2" t="str">
        <x:v>T20261004-5-3</x:v>
      </x:c>
      <x:c r="C232" s="7" t="n">
        <x:v>46299</x:v>
      </x:c>
      <x:c r="D232" s="2" t="str">
        <x:v>BUS003</x:v>
      </x:c>
      <x:c r="E232" s="2" t="str">
        <x:v>ST111</x:v>
      </x:c>
      <x:c r="F232" s="2" t="n">
        <x:v>2</x:v>
      </x:c>
      <x:c r="G232" s="2" t="str">
        <x:v>Senior</x:v>
      </x:c>
      <x:c r="H232" s="2" t="str">
        <x:v>Drop-off</x:v>
      </x:c>
      <x:c r="I232" s="2" t="str">
        <x:v>R3S1</x:v>
      </x:c>
      <x:c r="J232" s="2" t="str">
        <x:v>EV000459</x:v>
      </x:c>
      <x:c r="K232" s="8" t="n">
        <x:v>46299.70833333333</x:v>
      </x:c>
      <x:c r="L232" s="2" t="str">
        <x:v>SCH01</x:v>
      </x:c>
      <x:c r="M232" s="9" t="n">
        <x:v>25.285</x:v>
      </x:c>
      <x:c r="N232" s="9" t="n">
        <x:v>51.51</x:v>
      </x:c>
      <x:c r="O232" s="2" t="str">
        <x:v>Valid</x:v>
      </x:c>
      <x:c r="P232" s="2" t="str">
        <x:v>EV000460</x:v>
      </x:c>
      <x:c r="Q232" s="8" t="n">
        <x:v>46299.72361111111</x:v>
      </x:c>
      <x:c r="R232" s="2" t="str">
        <x:v>R3S1</x:v>
      </x:c>
      <x:c r="S232" s="9" t="n">
        <x:v>25.289</x:v>
      </x:c>
      <x:c r="T232" s="9" t="n">
        <x:v>51.507</x:v>
      </x:c>
      <x:c r="U232" s="2" t="str">
        <x:v>G111</x:v>
      </x:c>
      <x:c r="V232" s="2" t="str">
        <x:v>Authorized guardian release</x:v>
      </x:c>
      <x:c r="W232" s="2" t="str">
        <x:v>Completed transport</x:v>
      </x:c>
      <x:c r="X232" s="2" t="str">
        <x:v>QR</x:v>
      </x:c>
      <x:c r="Y232" s="2" t="str">
        <x:v>Online</x:v>
      </x:c>
      <x:c r="Z232" s="2" t="str">
        <x:v>Synced</x:v>
      </x:c>
      <x:c r="AA232" s="2"/>
      <x:c r="AB232" s="2"/>
      <x:c r="AC232" s="10" t="n">
        <x:f>IF(OR(K232="",Q232=""),"",ROUND((Q232-K232)*1440,2))</x:f>
        <x:v>22</x:v>
      </x:c>
    </x:row>
    <x:row r="233" ht="21" customHeight="1">
      <x:c r="A233" s="2" t="str">
        <x:v>LN00232</x:v>
      </x:c>
      <x:c r="B233" s="2" t="str">
        <x:v>T20261004-5-3</x:v>
      </x:c>
      <x:c r="C233" s="7" t="n">
        <x:v>46299</x:v>
      </x:c>
      <x:c r="D233" s="2" t="str">
        <x:v>BUS003</x:v>
      </x:c>
      <x:c r="E233" s="2" t="str">
        <x:v>ST112</x:v>
      </x:c>
      <x:c r="F233" s="2" t="n">
        <x:v>2</x:v>
      </x:c>
      <x:c r="G233" s="2" t="str">
        <x:v>Senior</x:v>
      </x:c>
      <x:c r="H233" s="2" t="str">
        <x:v>Drop-off</x:v>
      </x:c>
      <x:c r="I233" s="2" t="str">
        <x:v>R3S2</x:v>
      </x:c>
      <x:c r="J233" s="2" t="str">
        <x:v>EV000461</x:v>
      </x:c>
      <x:c r="K233" s="8" t="n">
        <x:v>46299.70836805555</x:v>
      </x:c>
      <x:c r="L233" s="2" t="str">
        <x:v>SCH01</x:v>
      </x:c>
      <x:c r="M233" s="9" t="n">
        <x:v>25.285</x:v>
      </x:c>
      <x:c r="N233" s="9" t="n">
        <x:v>51.51</x:v>
      </x:c>
      <x:c r="O233" s="2" t="str">
        <x:v>Valid</x:v>
      </x:c>
      <x:c r="P233" s="2" t="str">
        <x:v>EV000462</x:v>
      </x:c>
      <x:c r="Q233" s="8" t="n">
        <x:v>46299.72850694445</x:v>
      </x:c>
      <x:c r="R233" s="2" t="str">
        <x:v>R3S2</x:v>
      </x:c>
      <x:c r="S233" s="9" t="n">
        <x:v>25.291000000000004</x:v>
      </x:c>
      <x:c r="T233" s="9" t="n">
        <x:v>51.51</x:v>
      </x:c>
      <x:c r="U233" s="2" t="str">
        <x:v>G112</x:v>
      </x:c>
      <x:c r="V233" s="2" t="str">
        <x:v>Authorized guardian release</x:v>
      </x:c>
      <x:c r="W233" s="2" t="str">
        <x:v>Completed transport</x:v>
      </x:c>
      <x:c r="X233" s="2" t="str">
        <x:v>QR</x:v>
      </x:c>
      <x:c r="Y233" s="2" t="str">
        <x:v>Online</x:v>
      </x:c>
      <x:c r="Z233" s="2" t="str">
        <x:v>Synced</x:v>
      </x:c>
      <x:c r="AA233" s="2"/>
      <x:c r="AB233" s="2"/>
      <x:c r="AC233" s="10" t="n">
        <x:f>IF(OR(K233="",Q233=""),"",ROUND((Q233-K233)*1440,2))</x:f>
        <x:v>29</x:v>
      </x:c>
    </x:row>
    <x:row r="234" ht="21" customHeight="1">
      <x:c r="A234" s="2" t="str">
        <x:v>LN00233</x:v>
      </x:c>
      <x:c r="B234" s="2" t="str">
        <x:v>T20261004-5-3</x:v>
      </x:c>
      <x:c r="C234" s="7" t="n">
        <x:v>46299</x:v>
      </x:c>
      <x:c r="D234" s="2" t="str">
        <x:v>BUS003</x:v>
      </x:c>
      <x:c r="E234" s="2" t="str">
        <x:v>ST113</x:v>
      </x:c>
      <x:c r="F234" s="2" t="n">
        <x:v>2</x:v>
      </x:c>
      <x:c r="G234" s="2" t="str">
        <x:v>Senior</x:v>
      </x:c>
      <x:c r="H234" s="2" t="str">
        <x:v>Drop-off</x:v>
      </x:c>
      <x:c r="I234" s="2" t="str">
        <x:v>R3S3</x:v>
      </x:c>
      <x:c r="J234" s="2" t="str">
        <x:v>EV000463</x:v>
      </x:c>
      <x:c r="K234" s="8" t="n">
        <x:v>46299.708402777775</x:v>
      </x:c>
      <x:c r="L234" s="2" t="str">
        <x:v>SCH01</x:v>
      </x:c>
      <x:c r="M234" s="9" t="n">
        <x:v>25.285</x:v>
      </x:c>
      <x:c r="N234" s="9" t="n">
        <x:v>51.51</x:v>
      </x:c>
      <x:c r="O234" s="2" t="str">
        <x:v>Valid</x:v>
      </x:c>
      <x:c r="P234" s="2" t="str">
        <x:v>EV000464</x:v>
      </x:c>
      <x:c r="Q234" s="8" t="n">
        <x:v>46299.73340277778</x:v>
      </x:c>
      <x:c r="R234" s="2" t="str">
        <x:v>R3S3</x:v>
      </x:c>
      <x:c r="S234" s="9" t="n">
        <x:v>25.293000000000003</x:v>
      </x:c>
      <x:c r="T234" s="9" t="n">
        <x:v>51.513</x:v>
      </x:c>
      <x:c r="U234" s="2" t="str">
        <x:v>G113</x:v>
      </x:c>
      <x:c r="V234" s="2" t="str">
        <x:v>Authorized guardian release</x:v>
      </x:c>
      <x:c r="W234" s="2" t="str">
        <x:v>Completed transport</x:v>
      </x:c>
      <x:c r="X234" s="2" t="str">
        <x:v>QR</x:v>
      </x:c>
      <x:c r="Y234" s="2" t="str">
        <x:v>Online</x:v>
      </x:c>
      <x:c r="Z234" s="2" t="str">
        <x:v>Synced</x:v>
      </x:c>
      <x:c r="AA234" s="2"/>
      <x:c r="AB234" s="2"/>
      <x:c r="AC234" s="10" t="n">
        <x:f>IF(OR(K234="",Q234=""),"",ROUND((Q234-K234)*1440,2))</x:f>
        <x:v>36</x:v>
      </x:c>
    </x:row>
    <x:row r="235" ht="21" customHeight="1">
      <x:c r="A235" s="2" t="str">
        <x:v>LN00234</x:v>
      </x:c>
      <x:c r="B235" s="2" t="str">
        <x:v>T20261004-5-3</x:v>
      </x:c>
      <x:c r="C235" s="7" t="n">
        <x:v>46299</x:v>
      </x:c>
      <x:c r="D235" s="2" t="str">
        <x:v>BUS003</x:v>
      </x:c>
      <x:c r="E235" s="2" t="str">
        <x:v>ST114</x:v>
      </x:c>
      <x:c r="F235" s="2" t="n">
        <x:v>2</x:v>
      </x:c>
      <x:c r="G235" s="2" t="str">
        <x:v>Senior</x:v>
      </x:c>
      <x:c r="H235" s="2" t="str">
        <x:v>Drop-off</x:v>
      </x:c>
      <x:c r="I235" s="2" t="str">
        <x:v>R3S1</x:v>
      </x:c>
      <x:c r="J235" s="2" t="str">
        <x:v>EV000465</x:v>
      </x:c>
      <x:c r="K235" s="8" t="n">
        <x:v>46299.7084375</x:v>
      </x:c>
      <x:c r="L235" s="2" t="str">
        <x:v>SCH01</x:v>
      </x:c>
      <x:c r="M235" s="9" t="n">
        <x:v>25.285</x:v>
      </x:c>
      <x:c r="N235" s="9" t="n">
        <x:v>51.51</x:v>
      </x:c>
      <x:c r="O235" s="2" t="str">
        <x:v>Valid</x:v>
      </x:c>
      <x:c r="P235" s="2" t="str">
        <x:v>EV000466</x:v>
      </x:c>
      <x:c r="Q235" s="8" t="n">
        <x:v>46299.72371527778</x:v>
      </x:c>
      <x:c r="R235" s="2" t="str">
        <x:v>R3S1</x:v>
      </x:c>
      <x:c r="S235" s="9" t="n">
        <x:v>25.289</x:v>
      </x:c>
      <x:c r="T235" s="9" t="n">
        <x:v>51.507</x:v>
      </x:c>
      <x:c r="U235" s="2" t="str">
        <x:v>G114</x:v>
      </x:c>
      <x:c r="V235" s="2" t="str">
        <x:v>Authorized guardian release</x:v>
      </x:c>
      <x:c r="W235" s="2" t="str">
        <x:v>Completed transport</x:v>
      </x:c>
      <x:c r="X235" s="2" t="str">
        <x:v>QR</x:v>
      </x:c>
      <x:c r="Y235" s="2" t="str">
        <x:v>Online</x:v>
      </x:c>
      <x:c r="Z235" s="2" t="str">
        <x:v>Synced</x:v>
      </x:c>
      <x:c r="AA235" s="2"/>
      <x:c r="AB235" s="2"/>
      <x:c r="AC235" s="10" t="n">
        <x:f>IF(OR(K235="",Q235=""),"",ROUND((Q235-K235)*1440,2))</x:f>
        <x:v>22</x:v>
      </x:c>
    </x:row>
    <x:row r="236" ht="21" customHeight="1">
      <x:c r="A236" s="2" t="str">
        <x:v>LN00235</x:v>
      </x:c>
      <x:c r="B236" s="2" t="str">
        <x:v>T20261004-5-3</x:v>
      </x:c>
      <x:c r="C236" s="7" t="n">
        <x:v>46299</x:v>
      </x:c>
      <x:c r="D236" s="2" t="str">
        <x:v>BUS003</x:v>
      </x:c>
      <x:c r="E236" s="2" t="str">
        <x:v>ST115</x:v>
      </x:c>
      <x:c r="F236" s="2" t="n">
        <x:v>2</x:v>
      </x:c>
      <x:c r="G236" s="2" t="str">
        <x:v>Senior</x:v>
      </x:c>
      <x:c r="H236" s="2" t="str">
        <x:v>Drop-off</x:v>
      </x:c>
      <x:c r="I236" s="2" t="str">
        <x:v>R3S2</x:v>
      </x:c>
      <x:c r="J236" s="2" t="str">
        <x:v>EV000467</x:v>
      </x:c>
      <x:c r="K236" s="8" t="n">
        <x:v>46299.70847222222</x:v>
      </x:c>
      <x:c r="L236" s="2" t="str">
        <x:v>SCH01</x:v>
      </x:c>
      <x:c r="M236" s="9" t="n">
        <x:v>25.285</x:v>
      </x:c>
      <x:c r="N236" s="9" t="n">
        <x:v>51.51</x:v>
      </x:c>
      <x:c r="O236" s="2" t="str">
        <x:v>Valid</x:v>
      </x:c>
      <x:c r="P236" s="2" t="str">
        <x:v>EV000468</x:v>
      </x:c>
      <x:c r="Q236" s="8" t="n">
        <x:v>46299.72861111112</x:v>
      </x:c>
      <x:c r="R236" s="2" t="str">
        <x:v>R3S2</x:v>
      </x:c>
      <x:c r="S236" s="9" t="n">
        <x:v>25.291000000000004</x:v>
      </x:c>
      <x:c r="T236" s="9" t="n">
        <x:v>51.51</x:v>
      </x:c>
      <x:c r="U236" s="2" t="str">
        <x:v>G115</x:v>
      </x:c>
      <x:c r="V236" s="2" t="str">
        <x:v>Authorized guardian release</x:v>
      </x:c>
      <x:c r="W236" s="2" t="str">
        <x:v>Completed transport</x:v>
      </x:c>
      <x:c r="X236" s="2" t="str">
        <x:v>QR</x:v>
      </x:c>
      <x:c r="Y236" s="2" t="str">
        <x:v>Online</x:v>
      </x:c>
      <x:c r="Z236" s="2" t="str">
        <x:v>Synced</x:v>
      </x:c>
      <x:c r="AA236" s="2"/>
      <x:c r="AB236" s="2"/>
      <x:c r="AC236" s="10" t="n">
        <x:f>IF(OR(K236="",Q236=""),"",ROUND((Q236-K236)*1440,2))</x:f>
        <x:v>29</x:v>
      </x:c>
    </x:row>
    <x:row r="237" ht="21" customHeight="1">
      <x:c r="A237" s="2" t="str">
        <x:v>LN00236</x:v>
      </x:c>
      <x:c r="B237" s="2" t="str">
        <x:v>T20261004-5-3</x:v>
      </x:c>
      <x:c r="C237" s="7" t="n">
        <x:v>46299</x:v>
      </x:c>
      <x:c r="D237" s="2" t="str">
        <x:v>BUS003</x:v>
      </x:c>
      <x:c r="E237" s="2" t="str">
        <x:v>ST116</x:v>
      </x:c>
      <x:c r="F237" s="2" t="n">
        <x:v>2</x:v>
      </x:c>
      <x:c r="G237" s="2" t="str">
        <x:v>Senior</x:v>
      </x:c>
      <x:c r="H237" s="2" t="str">
        <x:v>Drop-off</x:v>
      </x:c>
      <x:c r="I237" s="2" t="str">
        <x:v>R3S3</x:v>
      </x:c>
      <x:c r="J237" s="2" t="str">
        <x:v>EV000469</x:v>
      </x:c>
      <x:c r="K237" s="8" t="n">
        <x:v>46299.70850694444</x:v>
      </x:c>
      <x:c r="L237" s="2" t="str">
        <x:v>SCH01</x:v>
      </x:c>
      <x:c r="M237" s="9" t="n">
        <x:v>25.285</x:v>
      </x:c>
      <x:c r="N237" s="9" t="n">
        <x:v>51.51</x:v>
      </x:c>
      <x:c r="O237" s="2" t="str">
        <x:v>Valid</x:v>
      </x:c>
      <x:c r="P237" s="2" t="str">
        <x:v>EV000470</x:v>
      </x:c>
      <x:c r="Q237" s="8" t="n">
        <x:v>46299.733506944445</x:v>
      </x:c>
      <x:c r="R237" s="2" t="str">
        <x:v>R3S3</x:v>
      </x:c>
      <x:c r="S237" s="9" t="n">
        <x:v>25.293000000000003</x:v>
      </x:c>
      <x:c r="T237" s="9" t="n">
        <x:v>51.513</x:v>
      </x:c>
      <x:c r="U237" s="2" t="str">
        <x:v>G116</x:v>
      </x:c>
      <x:c r="V237" s="2" t="str">
        <x:v>Authorized guardian release</x:v>
      </x:c>
      <x:c r="W237" s="2" t="str">
        <x:v>Completed transport</x:v>
      </x:c>
      <x:c r="X237" s="2" t="str">
        <x:v>QR</x:v>
      </x:c>
      <x:c r="Y237" s="2" t="str">
        <x:v>Online</x:v>
      </x:c>
      <x:c r="Z237" s="2" t="str">
        <x:v>Synced</x:v>
      </x:c>
      <x:c r="AA237" s="2"/>
      <x:c r="AB237" s="2"/>
      <x:c r="AC237" s="10" t="n">
        <x:f>IF(OR(K237="",Q237=""),"",ROUND((Q237-K237)*1440,2))</x:f>
        <x:v>36</x:v>
      </x:c>
    </x:row>
    <x:row r="238" ht="21" customHeight="1">
      <x:c r="A238" s="2" t="str">
        <x:v>LN00237</x:v>
      </x:c>
      <x:c r="B238" s="2" t="str">
        <x:v>T20261004-5-3</x:v>
      </x:c>
      <x:c r="C238" s="7" t="n">
        <x:v>46299</x:v>
      </x:c>
      <x:c r="D238" s="2" t="str">
        <x:v>BUS003</x:v>
      </x:c>
      <x:c r="E238" s="2" t="str">
        <x:v>ST117</x:v>
      </x:c>
      <x:c r="F238" s="2" t="n">
        <x:v>2</x:v>
      </x:c>
      <x:c r="G238" s="2" t="str">
        <x:v>Senior</x:v>
      </x:c>
      <x:c r="H238" s="2" t="str">
        <x:v>Drop-off</x:v>
      </x:c>
      <x:c r="I238" s="2" t="str">
        <x:v>R3S1</x:v>
      </x:c>
      <x:c r="J238" s="2" t="str">
        <x:v>EV000471</x:v>
      </x:c>
      <x:c r="K238" s="8" t="n">
        <x:v>46299.70854166666</x:v>
      </x:c>
      <x:c r="L238" s="2" t="str">
        <x:v>SCH01</x:v>
      </x:c>
      <x:c r="M238" s="9" t="n">
        <x:v>25.285</x:v>
      </x:c>
      <x:c r="N238" s="9" t="n">
        <x:v>51.51</x:v>
      </x:c>
      <x:c r="O238" s="2" t="str">
        <x:v>Valid</x:v>
      </x:c>
      <x:c r="P238" s="2" t="str">
        <x:v>EV000472</x:v>
      </x:c>
      <x:c r="Q238" s="8" t="n">
        <x:v>46299.72381944444</x:v>
      </x:c>
      <x:c r="R238" s="2" t="str">
        <x:v>R3S1</x:v>
      </x:c>
      <x:c r="S238" s="9" t="n">
        <x:v>25.289</x:v>
      </x:c>
      <x:c r="T238" s="9" t="n">
        <x:v>51.507</x:v>
      </x:c>
      <x:c r="U238" s="2" t="str">
        <x:v>G117</x:v>
      </x:c>
      <x:c r="V238" s="2" t="str">
        <x:v>Authorized guardian release</x:v>
      </x:c>
      <x:c r="W238" s="2" t="str">
        <x:v>Completed transport</x:v>
      </x:c>
      <x:c r="X238" s="2" t="str">
        <x:v>QR</x:v>
      </x:c>
      <x:c r="Y238" s="2" t="str">
        <x:v>Online</x:v>
      </x:c>
      <x:c r="Z238" s="2" t="str">
        <x:v>Synced</x:v>
      </x:c>
      <x:c r="AA238" s="2"/>
      <x:c r="AB238" s="2"/>
      <x:c r="AC238" s="10" t="n">
        <x:f>IF(OR(K238="",Q238=""),"",ROUND((Q238-K238)*1440,2))</x:f>
        <x:v>22</x:v>
      </x:c>
    </x:row>
    <x:row r="239" ht="21" customHeight="1">
      <x:c r="A239" s="2" t="str">
        <x:v>LN00238</x:v>
      </x:c>
      <x:c r="B239" s="2" t="str">
        <x:v>T20261004-5-3</x:v>
      </x:c>
      <x:c r="C239" s="7" t="n">
        <x:v>46299</x:v>
      </x:c>
      <x:c r="D239" s="2" t="str">
        <x:v>BUS003</x:v>
      </x:c>
      <x:c r="E239" s="2" t="str">
        <x:v>ST118</x:v>
      </x:c>
      <x:c r="F239" s="2" t="n">
        <x:v>2</x:v>
      </x:c>
      <x:c r="G239" s="2" t="str">
        <x:v>Senior</x:v>
      </x:c>
      <x:c r="H239" s="2" t="str">
        <x:v>Drop-off</x:v>
      </x:c>
      <x:c r="I239" s="2" t="str">
        <x:v>R3S2</x:v>
      </x:c>
      <x:c r="J239" s="2" t="str">
        <x:v>EV000473</x:v>
      </x:c>
      <x:c r="K239" s="8" t="n">
        <x:v>46299.70857638888</x:v>
      </x:c>
      <x:c r="L239" s="2" t="str">
        <x:v>SCH01</x:v>
      </x:c>
      <x:c r="M239" s="9" t="n">
        <x:v>25.285</x:v>
      </x:c>
      <x:c r="N239" s="9" t="n">
        <x:v>51.51</x:v>
      </x:c>
      <x:c r="O239" s="2" t="str">
        <x:v>Valid</x:v>
      </x:c>
      <x:c r="P239" s="2" t="str">
        <x:v>EV000474</x:v>
      </x:c>
      <x:c r="Q239" s="8" t="n">
        <x:v>46299.72871527778</x:v>
      </x:c>
      <x:c r="R239" s="2" t="str">
        <x:v>R3S2</x:v>
      </x:c>
      <x:c r="S239" s="9" t="n">
        <x:v>25.291000000000004</x:v>
      </x:c>
      <x:c r="T239" s="9" t="n">
        <x:v>51.51</x:v>
      </x:c>
      <x:c r="U239" s="2" t="str">
        <x:v>G118</x:v>
      </x:c>
      <x:c r="V239" s="2" t="str">
        <x:v>Authorized guardian release</x:v>
      </x:c>
      <x:c r="W239" s="2" t="str">
        <x:v>Completed transport</x:v>
      </x:c>
      <x:c r="X239" s="2" t="str">
        <x:v>QR</x:v>
      </x:c>
      <x:c r="Y239" s="2" t="str">
        <x:v>Online</x:v>
      </x:c>
      <x:c r="Z239" s="2" t="str">
        <x:v>Synced</x:v>
      </x:c>
      <x:c r="AA239" s="2"/>
      <x:c r="AB239" s="2"/>
      <x:c r="AC239" s="10" t="n">
        <x:f>IF(OR(K239="",Q239=""),"",ROUND((Q239-K239)*1440,2))</x:f>
        <x:v>29</x:v>
      </x:c>
    </x:row>
    <x:row r="240" ht="21" customHeight="1">
      <x:c r="A240" s="2" t="str">
        <x:v>LN00239</x:v>
      </x:c>
      <x:c r="B240" s="2" t="str">
        <x:v>T20261004-5-3</x:v>
      </x:c>
      <x:c r="C240" s="7" t="n">
        <x:v>46299</x:v>
      </x:c>
      <x:c r="D240" s="2" t="str">
        <x:v>BUS003</x:v>
      </x:c>
      <x:c r="E240" s="2" t="str">
        <x:v>ST119</x:v>
      </x:c>
      <x:c r="F240" s="2" t="n">
        <x:v>2</x:v>
      </x:c>
      <x:c r="G240" s="2" t="str">
        <x:v>Senior</x:v>
      </x:c>
      <x:c r="H240" s="2" t="str">
        <x:v>Drop-off</x:v>
      </x:c>
      <x:c r="I240" s="2" t="str">
        <x:v>R3S3</x:v>
      </x:c>
      <x:c r="J240" s="2" t="str">
        <x:v>EV000475</x:v>
      </x:c>
      <x:c r="K240" s="8" t="n">
        <x:v>46299.708611111106</x:v>
      </x:c>
      <x:c r="L240" s="2" t="str">
        <x:v>SCH01</x:v>
      </x:c>
      <x:c r="M240" s="9" t="n">
        <x:v>25.285</x:v>
      </x:c>
      <x:c r="N240" s="9" t="n">
        <x:v>51.51</x:v>
      </x:c>
      <x:c r="O240" s="2" t="str">
        <x:v>Valid</x:v>
      </x:c>
      <x:c r="P240" s="2" t="str">
        <x:v>EV000476</x:v>
      </x:c>
      <x:c r="Q240" s="8" t="n">
        <x:v>46299.733611111114</x:v>
      </x:c>
      <x:c r="R240" s="2" t="str">
        <x:v>R3S3</x:v>
      </x:c>
      <x:c r="S240" s="9" t="n">
        <x:v>25.293000000000003</x:v>
      </x:c>
      <x:c r="T240" s="9" t="n">
        <x:v>51.513</x:v>
      </x:c>
      <x:c r="U240" s="2" t="str">
        <x:v>G119</x:v>
      </x:c>
      <x:c r="V240" s="2" t="str">
        <x:v>Authorized guardian release</x:v>
      </x:c>
      <x:c r="W240" s="2" t="str">
        <x:v>Completed transport</x:v>
      </x:c>
      <x:c r="X240" s="2" t="str">
        <x:v>QR</x:v>
      </x:c>
      <x:c r="Y240" s="2" t="str">
        <x:v>Online</x:v>
      </x:c>
      <x:c r="Z240" s="2" t="str">
        <x:v>Synced</x:v>
      </x:c>
      <x:c r="AA240" s="2"/>
      <x:c r="AB240" s="2"/>
      <x:c r="AC240" s="10" t="n">
        <x:f>IF(OR(K240="",Q240=""),"",ROUND((Q240-K240)*1440,2))</x:f>
        <x:v>36</x:v>
      </x:c>
    </x:row>
    <x:row r="241" ht="21" customHeight="1">
      <x:c r="A241" s="2" t="str">
        <x:v>LN00240</x:v>
      </x:c>
      <x:c r="B241" s="2" t="str">
        <x:v>T20261004-5-3</x:v>
      </x:c>
      <x:c r="C241" s="7" t="n">
        <x:v>46299</x:v>
      </x:c>
      <x:c r="D241" s="2" t="str">
        <x:v>BUS003</x:v>
      </x:c>
      <x:c r="E241" s="2" t="str">
        <x:v>ST120</x:v>
      </x:c>
      <x:c r="F241" s="2" t="n">
        <x:v>2</x:v>
      </x:c>
      <x:c r="G241" s="2" t="str">
        <x:v>Senior</x:v>
      </x:c>
      <x:c r="H241" s="2" t="str">
        <x:v>Drop-off</x:v>
      </x:c>
      <x:c r="I241" s="2" t="str">
        <x:v>R3S1</x:v>
      </x:c>
      <x:c r="J241" s="2" t="str">
        <x:v>EV000477</x:v>
      </x:c>
      <x:c r="K241" s="8" t="n">
        <x:v>46299.70864583333</x:v>
      </x:c>
      <x:c r="L241" s="2" t="str">
        <x:v>SCH01</x:v>
      </x:c>
      <x:c r="M241" s="9" t="n">
        <x:v>25.285</x:v>
      </x:c>
      <x:c r="N241" s="9" t="n">
        <x:v>51.51</x:v>
      </x:c>
      <x:c r="O241" s="2" t="str">
        <x:v>Valid</x:v>
      </x:c>
      <x:c r="P241" s="2" t="str">
        <x:v>EV000478</x:v>
      </x:c>
      <x:c r="Q241" s="8" t="n">
        <x:v>46299.72392361111</x:v>
      </x:c>
      <x:c r="R241" s="2" t="str">
        <x:v>R3S1</x:v>
      </x:c>
      <x:c r="S241" s="9" t="n">
        <x:v>25.289</x:v>
      </x:c>
      <x:c r="T241" s="9" t="n">
        <x:v>51.507</x:v>
      </x:c>
      <x:c r="U241" s="2" t="str">
        <x:v>G120</x:v>
      </x:c>
      <x:c r="V241" s="2" t="str">
        <x:v>Authorized guardian release</x:v>
      </x:c>
      <x:c r="W241" s="2" t="str">
        <x:v>Completed transport</x:v>
      </x:c>
      <x:c r="X241" s="2" t="str">
        <x:v>QR</x:v>
      </x:c>
      <x:c r="Y241" s="2" t="str">
        <x:v>Online</x:v>
      </x:c>
      <x:c r="Z241" s="2" t="str">
        <x:v>Synced</x:v>
      </x:c>
      <x:c r="AA241" s="2"/>
      <x:c r="AB241" s="2"/>
      <x:c r="AC241" s="10" t="n">
        <x:f>IF(OR(K241="",Q241=""),"",ROUND((Q241-K241)*1440,2))</x:f>
        <x:v>22</x:v>
      </x:c>
    </x:row>
    <x:row r="242" ht="21" customHeight="1">
      <x:c r="A242" s="2" t="str">
        <x:v>LN00241</x:v>
      </x:c>
      <x:c r="B242" s="2" t="str">
        <x:v>T20261005-1-1</x:v>
      </x:c>
      <x:c r="C242" s="7" t="n">
        <x:v>46300</x:v>
      </x:c>
      <x:c r="D242" s="2" t="str">
        <x:v>BUS001</x:v>
      </x:c>
      <x:c r="E242" s="2" t="str">
        <x:v>ST001</x:v>
      </x:c>
      <x:c r="F242" s="2" t="n">
        <x:v>1</x:v>
      </x:c>
      <x:c r="G242" s="2" t="str">
        <x:v>Junior</x:v>
      </x:c>
      <x:c r="H242" s="2" t="str">
        <x:v>Pickup</x:v>
      </x:c>
      <x:c r="I242" s="2" t="str">
        <x:v>R1S1</x:v>
      </x:c>
      <x:c r="J242" s="2" t="str">
        <x:v>EV000479</x:v>
      </x:c>
      <x:c r="K242" s="8" t="n">
        <x:v>46300.242361111115</x:v>
      </x:c>
      <x:c r="L242" s="2" t="str">
        <x:v>R1S1</x:v>
      </x:c>
      <x:c r="M242" s="9" t="n">
        <x:v>25.271</x:v>
      </x:c>
      <x:c r="N242" s="9" t="n">
        <x:v>51.491</x:v>
      </x:c>
      <x:c r="O242" s="2" t="str">
        <x:v>Valid</x:v>
      </x:c>
      <x:c r="P242" s="2" t="str">
        <x:v>EV000480</x:v>
      </x:c>
      <x:c r="Q242" s="8" t="n">
        <x:v>46300.27638888889</x:v>
      </x:c>
      <x:c r="R242" s="2" t="str">
        <x:v>SCH01</x:v>
      </x:c>
      <x:c r="S242" s="9" t="n">
        <x:v>25.285</x:v>
      </x:c>
      <x:c r="T242" s="9" t="n">
        <x:v>51.51</x:v>
      </x:c>
      <x:c r="U242" s="2" t="str">
        <x:v>SCHOOL_RECEIVER_01</x:v>
      </x:c>
      <x:c r="V242" s="2" t="str">
        <x:v>School staff receipt</x:v>
      </x:c>
      <x:c r="W242" s="2" t="str">
        <x:v>Completed transport</x:v>
      </x:c>
      <x:c r="X242" s="2" t="str">
        <x:v>QR</x:v>
      </x:c>
      <x:c r="Y242" s="2" t="str">
        <x:v>Online</x:v>
      </x:c>
      <x:c r="Z242" s="2" t="str">
        <x:v>Synced</x:v>
      </x:c>
      <x:c r="AA242" s="2"/>
      <x:c r="AB242" s="2"/>
      <x:c r="AC242" s="10" t="n">
        <x:f>IF(OR(K242="",Q242=""),"",ROUND((Q242-K242)*1440,2))</x:f>
        <x:v>49</x:v>
      </x:c>
    </x:row>
    <x:row r="243" ht="21" customHeight="1">
      <x:c r="A243" s="2" t="str">
        <x:v>LN00242</x:v>
      </x:c>
      <x:c r="B243" s="2" t="str">
        <x:v>T20261005-1-1</x:v>
      </x:c>
      <x:c r="C243" s="7" t="n">
        <x:v>46300</x:v>
      </x:c>
      <x:c r="D243" s="2" t="str">
        <x:v>BUS001</x:v>
      </x:c>
      <x:c r="E243" s="2" t="str">
        <x:v>ST002</x:v>
      </x:c>
      <x:c r="F243" s="2" t="n">
        <x:v>1</x:v>
      </x:c>
      <x:c r="G243" s="2" t="str">
        <x:v>Junior</x:v>
      </x:c>
      <x:c r="H243" s="2" t="str">
        <x:v>Pickup</x:v>
      </x:c>
      <x:c r="I243" s="2" t="str">
        <x:v>R1S2</x:v>
      </x:c>
      <x:c r="J243" s="2" t="str">
        <x:v>EV000481</x:v>
      </x:c>
      <x:c r="K243" s="8" t="n">
        <x:v>46300.24725694444</x:v>
      </x:c>
      <x:c r="L243" s="2" t="str">
        <x:v>R1S2</x:v>
      </x:c>
      <x:c r="M243" s="9" t="n">
        <x:v>25.273000000000003</x:v>
      </x:c>
      <x:c r="N243" s="9" t="n">
        <x:v>51.494</x:v>
      </x:c>
      <x:c r="O243" s="2" t="str">
        <x:v>Valid</x:v>
      </x:c>
      <x:c r="P243" s="2" t="str">
        <x:v>EV000482</x:v>
      </x:c>
      <x:c r="Q243" s="8" t="n">
        <x:v>46300.27642361111</x:v>
      </x:c>
      <x:c r="R243" s="2" t="str">
        <x:v>SCH01</x:v>
      </x:c>
      <x:c r="S243" s="9" t="n">
        <x:v>25.285</x:v>
      </x:c>
      <x:c r="T243" s="9" t="n">
        <x:v>51.51</x:v>
      </x:c>
      <x:c r="U243" s="2" t="str">
        <x:v>SCHOOL_RECEIVER_01</x:v>
      </x:c>
      <x:c r="V243" s="2" t="str">
        <x:v>School staff receipt</x:v>
      </x:c>
      <x:c r="W243" s="2" t="str">
        <x:v>Completed transport</x:v>
      </x:c>
      <x:c r="X243" s="2" t="str">
        <x:v>QR</x:v>
      </x:c>
      <x:c r="Y243" s="2" t="str">
        <x:v>Online</x:v>
      </x:c>
      <x:c r="Z243" s="2" t="str">
        <x:v>Synced</x:v>
      </x:c>
      <x:c r="AA243" s="2"/>
      <x:c r="AB243" s="2"/>
      <x:c r="AC243" s="10" t="n">
        <x:f>IF(OR(K243="",Q243=""),"",ROUND((Q243-K243)*1440,2))</x:f>
        <x:v>42</x:v>
      </x:c>
    </x:row>
    <x:row r="244" ht="21" customHeight="1">
      <x:c r="A244" s="2" t="str">
        <x:v>LN00243</x:v>
      </x:c>
      <x:c r="B244" s="2" t="str">
        <x:v>T20261005-1-1</x:v>
      </x:c>
      <x:c r="C244" s="7" t="n">
        <x:v>46300</x:v>
      </x:c>
      <x:c r="D244" s="2" t="str">
        <x:v>BUS001</x:v>
      </x:c>
      <x:c r="E244" s="2" t="str">
        <x:v>ST003</x:v>
      </x:c>
      <x:c r="F244" s="2" t="n">
        <x:v>1</x:v>
      </x:c>
      <x:c r="G244" s="2" t="str">
        <x:v>Junior</x:v>
      </x:c>
      <x:c r="H244" s="2" t="str">
        <x:v>Pickup</x:v>
      </x:c>
      <x:c r="I244" s="2" t="str">
        <x:v>R1S3</x:v>
      </x:c>
      <x:c r="J244" s="2" t="str">
        <x:v>EV000483</x:v>
      </x:c>
      <x:c r="K244" s="8" t="n">
        <x:v>46300.25215277778</x:v>
      </x:c>
      <x:c r="L244" s="2" t="str">
        <x:v>R1S3</x:v>
      </x:c>
      <x:c r="M244" s="9" t="n">
        <x:v>25.275000000000002</x:v>
      </x:c>
      <x:c r="N244" s="9" t="n">
        <x:v>51.497</x:v>
      </x:c>
      <x:c r="O244" s="2" t="str">
        <x:v>Valid</x:v>
      </x:c>
      <x:c r="P244" s="2" t="str">
        <x:v>EV000484</x:v>
      </x:c>
      <x:c r="Q244" s="8" t="n">
        <x:v>46300.276458333334</x:v>
      </x:c>
      <x:c r="R244" s="2" t="str">
        <x:v>SCH01</x:v>
      </x:c>
      <x:c r="S244" s="9" t="n">
        <x:v>25.285</x:v>
      </x:c>
      <x:c r="T244" s="9" t="n">
        <x:v>51.51</x:v>
      </x:c>
      <x:c r="U244" s="2" t="str">
        <x:v>SCHOOL_RECEIVER_01</x:v>
      </x:c>
      <x:c r="V244" s="2" t="str">
        <x:v>School staff receipt</x:v>
      </x:c>
      <x:c r="W244" s="2" t="str">
        <x:v>Completed transport</x:v>
      </x:c>
      <x:c r="X244" s="2" t="str">
        <x:v>QR</x:v>
      </x:c>
      <x:c r="Y244" s="2" t="str">
        <x:v>Online</x:v>
      </x:c>
      <x:c r="Z244" s="2" t="str">
        <x:v>Synced</x:v>
      </x:c>
      <x:c r="AA244" s="2"/>
      <x:c r="AB244" s="2"/>
      <x:c r="AC244" s="10" t="n">
        <x:f>IF(OR(K244="",Q244=""),"",ROUND((Q244-K244)*1440,2))</x:f>
        <x:v>35</x:v>
      </x:c>
    </x:row>
    <x:row r="245" ht="21" customHeight="1">
      <x:c r="A245" s="2" t="str">
        <x:v>LN00244</x:v>
      </x:c>
      <x:c r="B245" s="2" t="str">
        <x:v>T20261005-1-1</x:v>
      </x:c>
      <x:c r="C245" s="7" t="n">
        <x:v>46300</x:v>
      </x:c>
      <x:c r="D245" s="2" t="str">
        <x:v>BUS001</x:v>
      </x:c>
      <x:c r="E245" s="2" t="str">
        <x:v>ST004</x:v>
      </x:c>
      <x:c r="F245" s="2" t="n">
        <x:v>1</x:v>
      </x:c>
      <x:c r="G245" s="2" t="str">
        <x:v>Junior</x:v>
      </x:c>
      <x:c r="H245" s="2" t="str">
        <x:v>Pickup</x:v>
      </x:c>
      <x:c r="I245" s="2" t="str">
        <x:v>R1S1</x:v>
      </x:c>
      <x:c r="J245" s="2" t="str">
        <x:v>EV000485</x:v>
      </x:c>
      <x:c r="K245" s="8" t="n">
        <x:v>46300.242465277785</x:v>
      </x:c>
      <x:c r="L245" s="2" t="str">
        <x:v>R1S1</x:v>
      </x:c>
      <x:c r="M245" s="9" t="n">
        <x:v>25.271</x:v>
      </x:c>
      <x:c r="N245" s="9" t="n">
        <x:v>51.491</x:v>
      </x:c>
      <x:c r="O245" s="2" t="str">
        <x:v>Valid</x:v>
      </x:c>
      <x:c r="P245" s="2" t="str">
        <x:v>EV000486</x:v>
      </x:c>
      <x:c r="Q245" s="8" t="n">
        <x:v>46300.27649305556</x:v>
      </x:c>
      <x:c r="R245" s="2" t="str">
        <x:v>SCH01</x:v>
      </x:c>
      <x:c r="S245" s="9" t="n">
        <x:v>25.285</x:v>
      </x:c>
      <x:c r="T245" s="9" t="n">
        <x:v>51.51</x:v>
      </x:c>
      <x:c r="U245" s="2" t="str">
        <x:v>SCHOOL_RECEIVER_01</x:v>
      </x:c>
      <x:c r="V245" s="2" t="str">
        <x:v>School staff receipt</x:v>
      </x:c>
      <x:c r="W245" s="2" t="str">
        <x:v>Completed transport</x:v>
      </x:c>
      <x:c r="X245" s="2" t="str">
        <x:v>QR</x:v>
      </x:c>
      <x:c r="Y245" s="2" t="str">
        <x:v>Online</x:v>
      </x:c>
      <x:c r="Z245" s="2" t="str">
        <x:v>Synced</x:v>
      </x:c>
      <x:c r="AA245" s="2"/>
      <x:c r="AB245" s="2"/>
      <x:c r="AC245" s="10" t="n">
        <x:f>IF(OR(K245="",Q245=""),"",ROUND((Q245-K245)*1440,2))</x:f>
        <x:v>49</x:v>
      </x:c>
    </x:row>
    <x:row r="246" ht="21" customHeight="1">
      <x:c r="A246" s="2" t="str">
        <x:v>LN00245</x:v>
      </x:c>
      <x:c r="B246" s="2" t="str">
        <x:v>T20261005-1-1</x:v>
      </x:c>
      <x:c r="C246" s="7" t="n">
        <x:v>46300</x:v>
      </x:c>
      <x:c r="D246" s="2" t="str">
        <x:v>BUS001</x:v>
      </x:c>
      <x:c r="E246" s="2" t="str">
        <x:v>ST005</x:v>
      </x:c>
      <x:c r="F246" s="2" t="n">
        <x:v>1</x:v>
      </x:c>
      <x:c r="G246" s="2" t="str">
        <x:v>Junior</x:v>
      </x:c>
      <x:c r="H246" s="2" t="str">
        <x:v>Pickup</x:v>
      </x:c>
      <x:c r="I246" s="2" t="str">
        <x:v>R1S2</x:v>
      </x:c>
      <x:c r="J246" s="2" t="str">
        <x:v>EV000487</x:v>
      </x:c>
      <x:c r="K246" s="8" t="n">
        <x:v>46300.24736111111</x:v>
      </x:c>
      <x:c r="L246" s="2" t="str">
        <x:v>R1S2</x:v>
      </x:c>
      <x:c r="M246" s="9" t="n">
        <x:v>25.273000000000003</x:v>
      </x:c>
      <x:c r="N246" s="9" t="n">
        <x:v>51.494</x:v>
      </x:c>
      <x:c r="O246" s="2" t="str">
        <x:v>Valid</x:v>
      </x:c>
      <x:c r="P246" s="2" t="str">
        <x:v>EV000488</x:v>
      </x:c>
      <x:c r="Q246" s="8" t="n">
        <x:v>46300.27652777778</x:v>
      </x:c>
      <x:c r="R246" s="2" t="str">
        <x:v>SCH01</x:v>
      </x:c>
      <x:c r="S246" s="9" t="n">
        <x:v>25.285</x:v>
      </x:c>
      <x:c r="T246" s="9" t="n">
        <x:v>51.51</x:v>
      </x:c>
      <x:c r="U246" s="2" t="str">
        <x:v>SCHOOL_RECEIVER_01</x:v>
      </x:c>
      <x:c r="V246" s="2" t="str">
        <x:v>School staff receipt</x:v>
      </x:c>
      <x:c r="W246" s="2" t="str">
        <x:v>Completed transport</x:v>
      </x:c>
      <x:c r="X246" s="2" t="str">
        <x:v>QR</x:v>
      </x:c>
      <x:c r="Y246" s="2" t="str">
        <x:v>Online</x:v>
      </x:c>
      <x:c r="Z246" s="2" t="str">
        <x:v>Synced</x:v>
      </x:c>
      <x:c r="AA246" s="2"/>
      <x:c r="AB246" s="2"/>
      <x:c r="AC246" s="10" t="n">
        <x:f>IF(OR(K246="",Q246=""),"",ROUND((Q246-K246)*1440,2))</x:f>
        <x:v>42</x:v>
      </x:c>
    </x:row>
    <x:row r="247" ht="21" customHeight="1">
      <x:c r="A247" s="2" t="str">
        <x:v>LN00246</x:v>
      </x:c>
      <x:c r="B247" s="2" t="str">
        <x:v>T20261005-1-1</x:v>
      </x:c>
      <x:c r="C247" s="7" t="n">
        <x:v>46300</x:v>
      </x:c>
      <x:c r="D247" s="2" t="str">
        <x:v>BUS001</x:v>
      </x:c>
      <x:c r="E247" s="2" t="str">
        <x:v>ST006</x:v>
      </x:c>
      <x:c r="F247" s="2" t="n">
        <x:v>1</x:v>
      </x:c>
      <x:c r="G247" s="2" t="str">
        <x:v>Junior</x:v>
      </x:c>
      <x:c r="H247" s="2" t="str">
        <x:v>Pickup</x:v>
      </x:c>
      <x:c r="I247" s="2" t="str">
        <x:v>R1S3</x:v>
      </x:c>
      <x:c r="J247" s="2" t="str">
        <x:v>EV000489</x:v>
      </x:c>
      <x:c r="K247" s="8" t="n">
        <x:v>46300.25225694444</x:v>
      </x:c>
      <x:c r="L247" s="2" t="str">
        <x:v>R1S3</x:v>
      </x:c>
      <x:c r="M247" s="9" t="n">
        <x:v>25.275000000000002</x:v>
      </x:c>
      <x:c r="N247" s="9" t="n">
        <x:v>51.497</x:v>
      </x:c>
      <x:c r="O247" s="2" t="str">
        <x:v>Valid</x:v>
      </x:c>
      <x:c r="P247" s="2" t="str">
        <x:v>EV000490</x:v>
      </x:c>
      <x:c r="Q247" s="8" t="n">
        <x:v>46300.276562499996</x:v>
      </x:c>
      <x:c r="R247" s="2" t="str">
        <x:v>SCH01</x:v>
      </x:c>
      <x:c r="S247" s="9" t="n">
        <x:v>25.285</x:v>
      </x:c>
      <x:c r="T247" s="9" t="n">
        <x:v>51.51</x:v>
      </x:c>
      <x:c r="U247" s="2" t="str">
        <x:v>SCHOOL_RECEIVER_01</x:v>
      </x:c>
      <x:c r="V247" s="2" t="str">
        <x:v>School staff receipt</x:v>
      </x:c>
      <x:c r="W247" s="2" t="str">
        <x:v>Completed transport</x:v>
      </x:c>
      <x:c r="X247" s="2" t="str">
        <x:v>QR</x:v>
      </x:c>
      <x:c r="Y247" s="2" t="str">
        <x:v>Online</x:v>
      </x:c>
      <x:c r="Z247" s="2" t="str">
        <x:v>Synced</x:v>
      </x:c>
      <x:c r="AA247" s="2"/>
      <x:c r="AB247" s="2"/>
      <x:c r="AC247" s="10" t="n">
        <x:f>IF(OR(K247="",Q247=""),"",ROUND((Q247-K247)*1440,2))</x:f>
        <x:v>35</x:v>
      </x:c>
    </x:row>
    <x:row r="248" ht="21" customHeight="1">
      <x:c r="A248" s="2" t="str">
        <x:v>LN00247</x:v>
      </x:c>
      <x:c r="B248" s="2" t="str">
        <x:v>T20261005-1-1</x:v>
      </x:c>
      <x:c r="C248" s="7" t="n">
        <x:v>46300</x:v>
      </x:c>
      <x:c r="D248" s="2" t="str">
        <x:v>BUS001</x:v>
      </x:c>
      <x:c r="E248" s="2" t="str">
        <x:v>ST007</x:v>
      </x:c>
      <x:c r="F248" s="2" t="n">
        <x:v>1</x:v>
      </x:c>
      <x:c r="G248" s="2" t="str">
        <x:v>Junior</x:v>
      </x:c>
      <x:c r="H248" s="2" t="str">
        <x:v>Pickup</x:v>
      </x:c>
      <x:c r="I248" s="2" t="str">
        <x:v>R1S1</x:v>
      </x:c>
      <x:c r="J248" s="2" t="str">
        <x:v>EV000491</x:v>
      </x:c>
      <x:c r="K248" s="8" t="n">
        <x:v>46300.24256944445</x:v>
      </x:c>
      <x:c r="L248" s="2" t="str">
        <x:v>R1S1</x:v>
      </x:c>
      <x:c r="M248" s="9" t="n">
        <x:v>25.271</x:v>
      </x:c>
      <x:c r="N248" s="9" t="n">
        <x:v>51.491</x:v>
      </x:c>
      <x:c r="O248" s="2" t="str">
        <x:v>Valid</x:v>
      </x:c>
      <x:c r="P248" s="2" t="str">
        <x:v>EV000492</x:v>
      </x:c>
      <x:c r="Q248" s="8" t="n">
        <x:v>46300.27659722222</x:v>
      </x:c>
      <x:c r="R248" s="2" t="str">
        <x:v>SCH01</x:v>
      </x:c>
      <x:c r="S248" s="9" t="n">
        <x:v>25.285</x:v>
      </x:c>
      <x:c r="T248" s="9" t="n">
        <x:v>51.51</x:v>
      </x:c>
      <x:c r="U248" s="2" t="str">
        <x:v>SCHOOL_RECEIVER_01</x:v>
      </x:c>
      <x:c r="V248" s="2" t="str">
        <x:v>School staff receipt</x:v>
      </x:c>
      <x:c r="W248" s="2" t="str">
        <x:v>Completed transport</x:v>
      </x:c>
      <x:c r="X248" s="2" t="str">
        <x:v>QR</x:v>
      </x:c>
      <x:c r="Y248" s="2" t="str">
        <x:v>Online</x:v>
      </x:c>
      <x:c r="Z248" s="2" t="str">
        <x:v>Synced</x:v>
      </x:c>
      <x:c r="AA248" s="2"/>
      <x:c r="AB248" s="2"/>
      <x:c r="AC248" s="10" t="n">
        <x:f>IF(OR(K248="",Q248=""),"",ROUND((Q248-K248)*1440,2))</x:f>
        <x:v>49</x:v>
      </x:c>
    </x:row>
    <x:row r="249" ht="21" customHeight="1">
      <x:c r="A249" s="2" t="str">
        <x:v>LN00248</x:v>
      </x:c>
      <x:c r="B249" s="2" t="str">
        <x:v>T20261005-1-1</x:v>
      </x:c>
      <x:c r="C249" s="7" t="n">
        <x:v>46300</x:v>
      </x:c>
      <x:c r="D249" s="2" t="str">
        <x:v>BUS001</x:v>
      </x:c>
      <x:c r="E249" s="2" t="str">
        <x:v>ST008</x:v>
      </x:c>
      <x:c r="F249" s="2" t="n">
        <x:v>1</x:v>
      </x:c>
      <x:c r="G249" s="2" t="str">
        <x:v>Junior</x:v>
      </x:c>
      <x:c r="H249" s="2" t="str">
        <x:v>Pickup</x:v>
      </x:c>
      <x:c r="I249" s="2" t="str">
        <x:v>R1S2</x:v>
      </x:c>
      <x:c r="J249" s="2" t="str">
        <x:v>EV000493</x:v>
      </x:c>
      <x:c r="K249" s="8" t="n">
        <x:v>46300.247465277775</x:v>
      </x:c>
      <x:c r="L249" s="2" t="str">
        <x:v>R1S2</x:v>
      </x:c>
      <x:c r="M249" s="9" t="n">
        <x:v>25.273000000000003</x:v>
      </x:c>
      <x:c r="N249" s="9" t="n">
        <x:v>51.494</x:v>
      </x:c>
      <x:c r="O249" s="2" t="str">
        <x:v>Valid</x:v>
      </x:c>
      <x:c r="P249" s="2" t="str">
        <x:v>EV000494</x:v>
      </x:c>
      <x:c r="Q249" s="8" t="n">
        <x:v>46300.27663194444</x:v>
      </x:c>
      <x:c r="R249" s="2" t="str">
        <x:v>SCH01</x:v>
      </x:c>
      <x:c r="S249" s="9" t="n">
        <x:v>25.285</x:v>
      </x:c>
      <x:c r="T249" s="9" t="n">
        <x:v>51.51</x:v>
      </x:c>
      <x:c r="U249" s="2" t="str">
        <x:v>SCHOOL_RECEIVER_01</x:v>
      </x:c>
      <x:c r="V249" s="2" t="str">
        <x:v>School staff receipt</x:v>
      </x:c>
      <x:c r="W249" s="2" t="str">
        <x:v>Completed transport</x:v>
      </x:c>
      <x:c r="X249" s="2" t="str">
        <x:v>QR</x:v>
      </x:c>
      <x:c r="Y249" s="2" t="str">
        <x:v>Online</x:v>
      </x:c>
      <x:c r="Z249" s="2" t="str">
        <x:v>Synced</x:v>
      </x:c>
      <x:c r="AA249" s="2"/>
      <x:c r="AB249" s="2"/>
      <x:c r="AC249" s="10" t="n">
        <x:f>IF(OR(K249="",Q249=""),"",ROUND((Q249-K249)*1440,2))</x:f>
        <x:v>42</x:v>
      </x:c>
    </x:row>
    <x:row r="250" ht="21" customHeight="1">
      <x:c r="A250" s="2" t="str">
        <x:v>LN00249</x:v>
      </x:c>
      <x:c r="B250" s="2" t="str">
        <x:v>T20261005-1-1</x:v>
      </x:c>
      <x:c r="C250" s="7" t="n">
        <x:v>46300</x:v>
      </x:c>
      <x:c r="D250" s="2" t="str">
        <x:v>BUS001</x:v>
      </x:c>
      <x:c r="E250" s="2" t="str">
        <x:v>ST009</x:v>
      </x:c>
      <x:c r="F250" s="2" t="n">
        <x:v>1</x:v>
      </x:c>
      <x:c r="G250" s="2" t="str">
        <x:v>Junior</x:v>
      </x:c>
      <x:c r="H250" s="2" t="str">
        <x:v>Pickup</x:v>
      </x:c>
      <x:c r="I250" s="2" t="str">
        <x:v>R1S3</x:v>
      </x:c>
      <x:c r="J250" s="2" t="str">
        <x:v>EV000495</x:v>
      </x:c>
      <x:c r="K250" s="8" t="n">
        <x:v>46300.25236111111</x:v>
      </x:c>
      <x:c r="L250" s="2" t="str">
        <x:v>R1S3</x:v>
      </x:c>
      <x:c r="M250" s="9" t="n">
        <x:v>25.275000000000002</x:v>
      </x:c>
      <x:c r="N250" s="9" t="n">
        <x:v>51.497</x:v>
      </x:c>
      <x:c r="O250" s="2" t="str">
        <x:v>Valid</x:v>
      </x:c>
      <x:c r="P250" s="2" t="str">
        <x:v>EV000496</x:v>
      </x:c>
      <x:c r="Q250" s="8" t="n">
        <x:v>46300.276666666665</x:v>
      </x:c>
      <x:c r="R250" s="2" t="str">
        <x:v>SCH01</x:v>
      </x:c>
      <x:c r="S250" s="9" t="n">
        <x:v>25.285</x:v>
      </x:c>
      <x:c r="T250" s="9" t="n">
        <x:v>51.51</x:v>
      </x:c>
      <x:c r="U250" s="2" t="str">
        <x:v>SCHOOL_RECEIVER_01</x:v>
      </x:c>
      <x:c r="V250" s="2" t="str">
        <x:v>School staff receipt</x:v>
      </x:c>
      <x:c r="W250" s="2" t="str">
        <x:v>Completed transport</x:v>
      </x:c>
      <x:c r="X250" s="2" t="str">
        <x:v>QR</x:v>
      </x:c>
      <x:c r="Y250" s="2" t="str">
        <x:v>Online</x:v>
      </x:c>
      <x:c r="Z250" s="2" t="str">
        <x:v>Synced</x:v>
      </x:c>
      <x:c r="AA250" s="2"/>
      <x:c r="AB250" s="2"/>
      <x:c r="AC250" s="10" t="n">
        <x:f>IF(OR(K250="",Q250=""),"",ROUND((Q250-K250)*1440,2))</x:f>
        <x:v>35</x:v>
      </x:c>
    </x:row>
    <x:row r="251" ht="21" customHeight="1">
      <x:c r="A251" s="2" t="str">
        <x:v>LN00250</x:v>
      </x:c>
      <x:c r="B251" s="2" t="str">
        <x:v>T20261005-1-1</x:v>
      </x:c>
      <x:c r="C251" s="7" t="n">
        <x:v>46300</x:v>
      </x:c>
      <x:c r="D251" s="2" t="str">
        <x:v>BUS001</x:v>
      </x:c>
      <x:c r="E251" s="2" t="str">
        <x:v>ST010</x:v>
      </x:c>
      <x:c r="F251" s="2" t="n">
        <x:v>1</x:v>
      </x:c>
      <x:c r="G251" s="2" t="str">
        <x:v>Junior</x:v>
      </x:c>
      <x:c r="H251" s="2" t="str">
        <x:v>Pickup</x:v>
      </x:c>
      <x:c r="I251" s="2" t="str">
        <x:v>R1S1</x:v>
      </x:c>
      <x:c r="J251" s="2" t="str">
        <x:v>EV000497</x:v>
      </x:c>
      <x:c r="K251" s="8" t="n">
        <x:v>46300.242673611116</x:v>
      </x:c>
      <x:c r="L251" s="2" t="str">
        <x:v>R1S1</x:v>
      </x:c>
      <x:c r="M251" s="9" t="n">
        <x:v>25.271</x:v>
      </x:c>
      <x:c r="N251" s="9" t="n">
        <x:v>51.491</x:v>
      </x:c>
      <x:c r="O251" s="2" t="str">
        <x:v>Valid</x:v>
      </x:c>
      <x:c r="P251" s="2" t="str">
        <x:v>EV000498</x:v>
      </x:c>
      <x:c r="Q251" s="8" t="n">
        <x:v>46300.27670138889</x:v>
      </x:c>
      <x:c r="R251" s="2" t="str">
        <x:v>SCH01</x:v>
      </x:c>
      <x:c r="S251" s="9" t="n">
        <x:v>25.285</x:v>
      </x:c>
      <x:c r="T251" s="9" t="n">
        <x:v>51.51</x:v>
      </x:c>
      <x:c r="U251" s="2" t="str">
        <x:v>SCHOOL_RECEIVER_01</x:v>
      </x:c>
      <x:c r="V251" s="2" t="str">
        <x:v>School staff receipt</x:v>
      </x:c>
      <x:c r="W251" s="2" t="str">
        <x:v>Completed transport</x:v>
      </x:c>
      <x:c r="X251" s="2" t="str">
        <x:v>QR</x:v>
      </x:c>
      <x:c r="Y251" s="2" t="str">
        <x:v>Online</x:v>
      </x:c>
      <x:c r="Z251" s="2" t="str">
        <x:v>Synced</x:v>
      </x:c>
      <x:c r="AA251" s="2"/>
      <x:c r="AB251" s="2"/>
      <x:c r="AC251" s="10" t="n">
        <x:f>IF(OR(K251="",Q251=""),"",ROUND((Q251-K251)*1440,2))</x:f>
        <x:v>49</x:v>
      </x:c>
    </x:row>
    <x:row r="252" ht="21" customHeight="1">
      <x:c r="A252" s="2" t="str">
        <x:v>LN00251</x:v>
      </x:c>
      <x:c r="B252" s="2" t="str">
        <x:v>T20261005-1-1</x:v>
      </x:c>
      <x:c r="C252" s="7" t="n">
        <x:v>46300</x:v>
      </x:c>
      <x:c r="D252" s="2" t="str">
        <x:v>BUS001</x:v>
      </x:c>
      <x:c r="E252" s="2" t="str">
        <x:v>ST011</x:v>
      </x:c>
      <x:c r="F252" s="2" t="n">
        <x:v>1</x:v>
      </x:c>
      <x:c r="G252" s="2" t="str">
        <x:v>Senior</x:v>
      </x:c>
      <x:c r="H252" s="2" t="str">
        <x:v>Pickup</x:v>
      </x:c>
      <x:c r="I252" s="2" t="str">
        <x:v>R1S2</x:v>
      </x:c>
      <x:c r="J252" s="2" t="str">
        <x:v>EV000499</x:v>
      </x:c>
      <x:c r="K252" s="8" t="n">
        <x:v>46300.24722222222</x:v>
      </x:c>
      <x:c r="L252" s="2" t="str">
        <x:v>R1S2</x:v>
      </x:c>
      <x:c r="M252" s="9" t="n">
        <x:v>25.273000000000003</x:v>
      </x:c>
      <x:c r="N252" s="9" t="n">
        <x:v>51.494</x:v>
      </x:c>
      <x:c r="O252" s="2" t="str">
        <x:v>Valid</x:v>
      </x:c>
      <x:c r="P252" s="2" t="str">
        <x:v>EV000500</x:v>
      </x:c>
      <x:c r="Q252" s="8" t="n">
        <x:v>46300.27673611111</x:v>
      </x:c>
      <x:c r="R252" s="2" t="str">
        <x:v>SCH01</x:v>
      </x:c>
      <x:c r="S252" s="9" t="n">
        <x:v>25.285</x:v>
      </x:c>
      <x:c r="T252" s="9" t="n">
        <x:v>51.51</x:v>
      </x:c>
      <x:c r="U252" s="2" t="str">
        <x:v>SCHOOL_RECEIVER_01</x:v>
      </x:c>
      <x:c r="V252" s="2" t="str">
        <x:v>School staff receipt</x:v>
      </x:c>
      <x:c r="W252" s="2" t="str">
        <x:v>Completed transport</x:v>
      </x:c>
      <x:c r="X252" s="2" t="str">
        <x:v>QR</x:v>
      </x:c>
      <x:c r="Y252" s="2" t="str">
        <x:v>Online</x:v>
      </x:c>
      <x:c r="Z252" s="2" t="str">
        <x:v>Synced</x:v>
      </x:c>
      <x:c r="AA252" s="2"/>
      <x:c r="AB252" s="2"/>
      <x:c r="AC252" s="10" t="n">
        <x:f>IF(OR(K252="",Q252=""),"",ROUND((Q252-K252)*1440,2))</x:f>
        <x:v>42.5</x:v>
      </x:c>
    </x:row>
    <x:row r="253" ht="21" customHeight="1">
      <x:c r="A253" s="2" t="str">
        <x:v>LN00252</x:v>
      </x:c>
      <x:c r="B253" s="2" t="str">
        <x:v>T20261005-1-1</x:v>
      </x:c>
      <x:c r="C253" s="7" t="n">
        <x:v>46300</x:v>
      </x:c>
      <x:c r="D253" s="2" t="str">
        <x:v>BUS001</x:v>
      </x:c>
      <x:c r="E253" s="2" t="str">
        <x:v>ST012</x:v>
      </x:c>
      <x:c r="F253" s="2" t="n">
        <x:v>1</x:v>
      </x:c>
      <x:c r="G253" s="2" t="str">
        <x:v>Senior</x:v>
      </x:c>
      <x:c r="H253" s="2" t="str">
        <x:v>Pickup</x:v>
      </x:c>
      <x:c r="I253" s="2" t="str">
        <x:v>R1S3</x:v>
      </x:c>
      <x:c r="J253" s="2" t="str">
        <x:v>EV000501</x:v>
      </x:c>
      <x:c r="K253" s="8" t="n">
        <x:v>46300.252118055556</x:v>
      </x:c>
      <x:c r="L253" s="2" t="str">
        <x:v>R1S3</x:v>
      </x:c>
      <x:c r="M253" s="9" t="n">
        <x:v>25.275000000000002</x:v>
      </x:c>
      <x:c r="N253" s="9" t="n">
        <x:v>51.497</x:v>
      </x:c>
      <x:c r="O253" s="2" t="str">
        <x:v>Valid</x:v>
      </x:c>
      <x:c r="P253" s="2" t="str">
        <x:v>EV000502</x:v>
      </x:c>
      <x:c r="Q253" s="8" t="n">
        <x:v>46300.276770833334</x:v>
      </x:c>
      <x:c r="R253" s="2" t="str">
        <x:v>SCH01</x:v>
      </x:c>
      <x:c r="S253" s="9" t="n">
        <x:v>25.285</x:v>
      </x:c>
      <x:c r="T253" s="9" t="n">
        <x:v>51.51</x:v>
      </x:c>
      <x:c r="U253" s="2" t="str">
        <x:v>SCHOOL_RECEIVER_01</x:v>
      </x:c>
      <x:c r="V253" s="2" t="str">
        <x:v>School staff receipt</x:v>
      </x:c>
      <x:c r="W253" s="2" t="str">
        <x:v>Completed transport</x:v>
      </x:c>
      <x:c r="X253" s="2" t="str">
        <x:v>QR</x:v>
      </x:c>
      <x:c r="Y253" s="2" t="str">
        <x:v>Online</x:v>
      </x:c>
      <x:c r="Z253" s="2" t="str">
        <x:v>Synced</x:v>
      </x:c>
      <x:c r="AA253" s="2"/>
      <x:c r="AB253" s="2"/>
      <x:c r="AC253" s="10" t="n">
        <x:f>IF(OR(K253="",Q253=""),"",ROUND((Q253-K253)*1440,2))</x:f>
        <x:v>35.5</x:v>
      </x:c>
    </x:row>
    <x:row r="254" ht="21" customHeight="1">
      <x:c r="A254" s="2" t="str">
        <x:v>LN00253</x:v>
      </x:c>
      <x:c r="B254" s="2" t="str">
        <x:v>T20261005-1-1</x:v>
      </x:c>
      <x:c r="C254" s="7" t="n">
        <x:v>46300</x:v>
      </x:c>
      <x:c r="D254" s="2" t="str">
        <x:v>BUS001</x:v>
      </x:c>
      <x:c r="E254" s="2" t="str">
        <x:v>ST013</x:v>
      </x:c>
      <x:c r="F254" s="2" t="n">
        <x:v>1</x:v>
      </x:c>
      <x:c r="G254" s="2" t="str">
        <x:v>Senior</x:v>
      </x:c>
      <x:c r="H254" s="2" t="str">
        <x:v>Pickup</x:v>
      </x:c>
      <x:c r="I254" s="2" t="str">
        <x:v>R1S1</x:v>
      </x:c>
      <x:c r="J254" s="2" t="str">
        <x:v>EV000503</x:v>
      </x:c>
      <x:c r="K254" s="8" t="n">
        <x:v>46300.24243055556</x:v>
      </x:c>
      <x:c r="L254" s="2" t="str">
        <x:v>R1S1</x:v>
      </x:c>
      <x:c r="M254" s="9" t="n">
        <x:v>25.271</x:v>
      </x:c>
      <x:c r="N254" s="9" t="n">
        <x:v>51.491</x:v>
      </x:c>
      <x:c r="O254" s="2" t="str">
        <x:v>Valid</x:v>
      </x:c>
      <x:c r="P254" s="2" t="str">
        <x:v>EV000504</x:v>
      </x:c>
      <x:c r="Q254" s="8" t="n">
        <x:v>46300.27680555556</x:v>
      </x:c>
      <x:c r="R254" s="2" t="str">
        <x:v>SCH01</x:v>
      </x:c>
      <x:c r="S254" s="9" t="n">
        <x:v>25.285</x:v>
      </x:c>
      <x:c r="T254" s="9" t="n">
        <x:v>51.51</x:v>
      </x:c>
      <x:c r="U254" s="2" t="str">
        <x:v>SCHOOL_RECEIVER_01</x:v>
      </x:c>
      <x:c r="V254" s="2" t="str">
        <x:v>School staff receipt</x:v>
      </x:c>
      <x:c r="W254" s="2" t="str">
        <x:v>Completed transport</x:v>
      </x:c>
      <x:c r="X254" s="2" t="str">
        <x:v>QR</x:v>
      </x:c>
      <x:c r="Y254" s="2" t="str">
        <x:v>Online</x:v>
      </x:c>
      <x:c r="Z254" s="2" t="str">
        <x:v>Synced</x:v>
      </x:c>
      <x:c r="AA254" s="2"/>
      <x:c r="AB254" s="2"/>
      <x:c r="AC254" s="10" t="n">
        <x:f>IF(OR(K254="",Q254=""),"",ROUND((Q254-K254)*1440,2))</x:f>
        <x:v>49.5</x:v>
      </x:c>
    </x:row>
    <x:row r="255" ht="21" customHeight="1">
      <x:c r="A255" s="2" t="str">
        <x:v>LN00254</x:v>
      </x:c>
      <x:c r="B255" s="2" t="str">
        <x:v>T20261005-1-1</x:v>
      </x:c>
      <x:c r="C255" s="7" t="n">
        <x:v>46300</x:v>
      </x:c>
      <x:c r="D255" s="2" t="str">
        <x:v>BUS001</x:v>
      </x:c>
      <x:c r="E255" s="2" t="str">
        <x:v>ST014</x:v>
      </x:c>
      <x:c r="F255" s="2" t="n">
        <x:v>1</x:v>
      </x:c>
      <x:c r="G255" s="2" t="str">
        <x:v>Senior</x:v>
      </x:c>
      <x:c r="H255" s="2" t="str">
        <x:v>Pickup</x:v>
      </x:c>
      <x:c r="I255" s="2" t="str">
        <x:v>R1S2</x:v>
      </x:c>
      <x:c r="J255" s="2" t="str">
        <x:v>EV000505</x:v>
      </x:c>
      <x:c r="K255" s="8" t="n">
        <x:v>46300.24732638889</x:v>
      </x:c>
      <x:c r="L255" s="2" t="str">
        <x:v>R1S2</x:v>
      </x:c>
      <x:c r="M255" s="9" t="n">
        <x:v>25.273000000000003</x:v>
      </x:c>
      <x:c r="N255" s="9" t="n">
        <x:v>51.494</x:v>
      </x:c>
      <x:c r="O255" s="2" t="str">
        <x:v>Valid</x:v>
      </x:c>
      <x:c r="P255" s="2" t="str">
        <x:v>EV000506</x:v>
      </x:c>
      <x:c r="Q255" s="8" t="n">
        <x:v>46300.27684027777</x:v>
      </x:c>
      <x:c r="R255" s="2" t="str">
        <x:v>SCH01</x:v>
      </x:c>
      <x:c r="S255" s="9" t="n">
        <x:v>25.285</x:v>
      </x:c>
      <x:c r="T255" s="9" t="n">
        <x:v>51.51</x:v>
      </x:c>
      <x:c r="U255" s="2" t="str">
        <x:v>SCHOOL_RECEIVER_01</x:v>
      </x:c>
      <x:c r="V255" s="2" t="str">
        <x:v>School staff receipt</x:v>
      </x:c>
      <x:c r="W255" s="2" t="str">
        <x:v>Completed transport</x:v>
      </x:c>
      <x:c r="X255" s="2" t="str">
        <x:v>QR</x:v>
      </x:c>
      <x:c r="Y255" s="2" t="str">
        <x:v>Online</x:v>
      </x:c>
      <x:c r="Z255" s="2" t="str">
        <x:v>Synced</x:v>
      </x:c>
      <x:c r="AA255" s="2"/>
      <x:c r="AB255" s="2"/>
      <x:c r="AC255" s="10" t="n">
        <x:f>IF(OR(K255="",Q255=""),"",ROUND((Q255-K255)*1440,2))</x:f>
        <x:v>42.5</x:v>
      </x:c>
    </x:row>
    <x:row r="256" ht="21" customHeight="1">
      <x:c r="A256" s="2" t="str">
        <x:v>LN00255</x:v>
      </x:c>
      <x:c r="B256" s="2" t="str">
        <x:v>T20261005-1-1</x:v>
      </x:c>
      <x:c r="C256" s="7" t="n">
        <x:v>46300</x:v>
      </x:c>
      <x:c r="D256" s="2" t="str">
        <x:v>BUS001</x:v>
      </x:c>
      <x:c r="E256" s="2" t="str">
        <x:v>ST015</x:v>
      </x:c>
      <x:c r="F256" s="2" t="n">
        <x:v>1</x:v>
      </x:c>
      <x:c r="G256" s="2" t="str">
        <x:v>Senior</x:v>
      </x:c>
      <x:c r="H256" s="2" t="str">
        <x:v>Pickup</x:v>
      </x:c>
      <x:c r="I256" s="2" t="str">
        <x:v>R1S3</x:v>
      </x:c>
      <x:c r="J256" s="2" t="str">
        <x:v>EV000507</x:v>
      </x:c>
      <x:c r="K256" s="8" t="n">
        <x:v>46300.252222222225</x:v>
      </x:c>
      <x:c r="L256" s="2" t="str">
        <x:v>R1S3</x:v>
      </x:c>
      <x:c r="M256" s="9" t="n">
        <x:v>25.275000000000002</x:v>
      </x:c>
      <x:c r="N256" s="9" t="n">
        <x:v>51.497</x:v>
      </x:c>
      <x:c r="O256" s="2" t="str">
        <x:v>Valid</x:v>
      </x:c>
      <x:c r="P256" s="2" t="str">
        <x:v>EV000508</x:v>
      </x:c>
      <x:c r="Q256" s="8" t="n">
        <x:v>46300.276874999996</x:v>
      </x:c>
      <x:c r="R256" s="2" t="str">
        <x:v>SCH01</x:v>
      </x:c>
      <x:c r="S256" s="9" t="n">
        <x:v>25.285</x:v>
      </x:c>
      <x:c r="T256" s="9" t="n">
        <x:v>51.51</x:v>
      </x:c>
      <x:c r="U256" s="2" t="str">
        <x:v>SCHOOL_RECEIVER_01</x:v>
      </x:c>
      <x:c r="V256" s="2" t="str">
        <x:v>School staff receipt</x:v>
      </x:c>
      <x:c r="W256" s="2" t="str">
        <x:v>Completed transport</x:v>
      </x:c>
      <x:c r="X256" s="2" t="str">
        <x:v>QR</x:v>
      </x:c>
      <x:c r="Y256" s="2" t="str">
        <x:v>Online</x:v>
      </x:c>
      <x:c r="Z256" s="2" t="str">
        <x:v>Synced</x:v>
      </x:c>
      <x:c r="AA256" s="2"/>
      <x:c r="AB256" s="2"/>
      <x:c r="AC256" s="10" t="n">
        <x:f>IF(OR(K256="",Q256=""),"",ROUND((Q256-K256)*1440,2))</x:f>
        <x:v>35.5</x:v>
      </x:c>
    </x:row>
    <x:row r="257" ht="21" customHeight="1">
      <x:c r="A257" s="2" t="str">
        <x:v>LN00256</x:v>
      </x:c>
      <x:c r="B257" s="2" t="str">
        <x:v>T20261005-1-1</x:v>
      </x:c>
      <x:c r="C257" s="7" t="n">
        <x:v>46300</x:v>
      </x:c>
      <x:c r="D257" s="2" t="str">
        <x:v>BUS001</x:v>
      </x:c>
      <x:c r="E257" s="2" t="str">
        <x:v>ST016</x:v>
      </x:c>
      <x:c r="F257" s="2" t="n">
        <x:v>1</x:v>
      </x:c>
      <x:c r="G257" s="2" t="str">
        <x:v>Senior</x:v>
      </x:c>
      <x:c r="H257" s="2" t="str">
        <x:v>Pickup</x:v>
      </x:c>
      <x:c r="I257" s="2" t="str">
        <x:v>R1S1</x:v>
      </x:c>
      <x:c r="J257" s="2" t="str">
        <x:v>EV000509</x:v>
      </x:c>
      <x:c r="K257" s="8" t="n">
        <x:v>46300.24253472222</x:v>
      </x:c>
      <x:c r="L257" s="2" t="str">
        <x:v>R1S1</x:v>
      </x:c>
      <x:c r="M257" s="9" t="n">
        <x:v>25.271</x:v>
      </x:c>
      <x:c r="N257" s="9" t="n">
        <x:v>51.491</x:v>
      </x:c>
      <x:c r="O257" s="2" t="str">
        <x:v>Valid</x:v>
      </x:c>
      <x:c r="P257" s="2" t="str">
        <x:v>EV000510</x:v>
      </x:c>
      <x:c r="Q257" s="8" t="n">
        <x:v>46300.27690972222</x:v>
      </x:c>
      <x:c r="R257" s="2" t="str">
        <x:v>SCH01</x:v>
      </x:c>
      <x:c r="S257" s="9" t="n">
        <x:v>25.285</x:v>
      </x:c>
      <x:c r="T257" s="9" t="n">
        <x:v>51.51</x:v>
      </x:c>
      <x:c r="U257" s="2" t="str">
        <x:v>SCHOOL_RECEIVER_01</x:v>
      </x:c>
      <x:c r="V257" s="2" t="str">
        <x:v>School staff receipt</x:v>
      </x:c>
      <x:c r="W257" s="2" t="str">
        <x:v>Completed transport</x:v>
      </x:c>
      <x:c r="X257" s="2" t="str">
        <x:v>QR</x:v>
      </x:c>
      <x:c r="Y257" s="2" t="str">
        <x:v>Online</x:v>
      </x:c>
      <x:c r="Z257" s="2" t="str">
        <x:v>Synced</x:v>
      </x:c>
      <x:c r="AA257" s="2"/>
      <x:c r="AB257" s="2"/>
      <x:c r="AC257" s="10" t="n">
        <x:f>IF(OR(K257="",Q257=""),"",ROUND((Q257-K257)*1440,2))</x:f>
        <x:v>49.5</x:v>
      </x:c>
    </x:row>
    <x:row r="258" ht="21" customHeight="1">
      <x:c r="A258" s="2" t="str">
        <x:v>LN00257</x:v>
      </x:c>
      <x:c r="B258" s="2" t="str">
        <x:v>T20261005-1-1</x:v>
      </x:c>
      <x:c r="C258" s="7" t="n">
        <x:v>46300</x:v>
      </x:c>
      <x:c r="D258" s="2" t="str">
        <x:v>BUS001</x:v>
      </x:c>
      <x:c r="E258" s="2" t="str">
        <x:v>ST017</x:v>
      </x:c>
      <x:c r="F258" s="2" t="n">
        <x:v>1</x:v>
      </x:c>
      <x:c r="G258" s="2" t="str">
        <x:v>Senior</x:v>
      </x:c>
      <x:c r="H258" s="2" t="str">
        <x:v>Pickup</x:v>
      </x:c>
      <x:c r="I258" s="2" t="str">
        <x:v>R1S2</x:v>
      </x:c>
      <x:c r="J258" s="2" t="str">
        <x:v>EV000511</x:v>
      </x:c>
      <x:c r="K258" s="8" t="n">
        <x:v>46300.24743055555</x:v>
      </x:c>
      <x:c r="L258" s="2" t="str">
        <x:v>R1S2</x:v>
      </x:c>
      <x:c r="M258" s="9" t="n">
        <x:v>25.273000000000003</x:v>
      </x:c>
      <x:c r="N258" s="9" t="n">
        <x:v>51.494</x:v>
      </x:c>
      <x:c r="O258" s="2" t="str">
        <x:v>Valid</x:v>
      </x:c>
      <x:c r="P258" s="2" t="str">
        <x:v>EV000512</x:v>
      </x:c>
      <x:c r="Q258" s="8" t="n">
        <x:v>46300.27694444444</x:v>
      </x:c>
      <x:c r="R258" s="2" t="str">
        <x:v>SCH01</x:v>
      </x:c>
      <x:c r="S258" s="9" t="n">
        <x:v>25.285</x:v>
      </x:c>
      <x:c r="T258" s="9" t="n">
        <x:v>51.51</x:v>
      </x:c>
      <x:c r="U258" s="2" t="str">
        <x:v>SCHOOL_RECEIVER_01</x:v>
      </x:c>
      <x:c r="V258" s="2" t="str">
        <x:v>School staff receipt</x:v>
      </x:c>
      <x:c r="W258" s="2" t="str">
        <x:v>Completed transport</x:v>
      </x:c>
      <x:c r="X258" s="2" t="str">
        <x:v>QR</x:v>
      </x:c>
      <x:c r="Y258" s="2" t="str">
        <x:v>Online</x:v>
      </x:c>
      <x:c r="Z258" s="2" t="str">
        <x:v>Synced</x:v>
      </x:c>
      <x:c r="AA258" s="2"/>
      <x:c r="AB258" s="2"/>
      <x:c r="AC258" s="10" t="n">
        <x:f>IF(OR(K258="",Q258=""),"",ROUND((Q258-K258)*1440,2))</x:f>
        <x:v>42.5</x:v>
      </x:c>
    </x:row>
    <x:row r="259" ht="21" customHeight="1">
      <x:c r="A259" s="2" t="str">
        <x:v>LN00258</x:v>
      </x:c>
      <x:c r="B259" s="2" t="str">
        <x:v>T20261005-1-1</x:v>
      </x:c>
      <x:c r="C259" s="7" t="n">
        <x:v>46300</x:v>
      </x:c>
      <x:c r="D259" s="2" t="str">
        <x:v>BUS001</x:v>
      </x:c>
      <x:c r="E259" s="2" t="str">
        <x:v>ST018</x:v>
      </x:c>
      <x:c r="F259" s="2" t="n">
        <x:v>1</x:v>
      </x:c>
      <x:c r="G259" s="2" t="str">
        <x:v>Senior</x:v>
      </x:c>
      <x:c r="H259" s="2" t="str">
        <x:v>Pickup</x:v>
      </x:c>
      <x:c r="I259" s="2" t="str">
        <x:v>R1S3</x:v>
      </x:c>
      <x:c r="J259" s="2" t="str">
        <x:v>EV000513</x:v>
      </x:c>
      <x:c r="K259" s="8" t="n">
        <x:v>46300.25232638889</x:v>
      </x:c>
      <x:c r="L259" s="2" t="str">
        <x:v>R1S3</x:v>
      </x:c>
      <x:c r="M259" s="9" t="n">
        <x:v>25.275000000000002</x:v>
      </x:c>
      <x:c r="N259" s="9" t="n">
        <x:v>51.497</x:v>
      </x:c>
      <x:c r="O259" s="2" t="str">
        <x:v>Valid</x:v>
      </x:c>
      <x:c r="P259" s="2" t="str">
        <x:v>EV000514</x:v>
      </x:c>
      <x:c r="Q259" s="8" t="n">
        <x:v>46300.276979166665</x:v>
      </x:c>
      <x:c r="R259" s="2" t="str">
        <x:v>SCH01</x:v>
      </x:c>
      <x:c r="S259" s="9" t="n">
        <x:v>25.285</x:v>
      </x:c>
      <x:c r="T259" s="9" t="n">
        <x:v>51.51</x:v>
      </x:c>
      <x:c r="U259" s="2" t="str">
        <x:v>SCHOOL_RECEIVER_01</x:v>
      </x:c>
      <x:c r="V259" s="2" t="str">
        <x:v>School staff receipt</x:v>
      </x:c>
      <x:c r="W259" s="2" t="str">
        <x:v>Completed transport</x:v>
      </x:c>
      <x:c r="X259" s="2" t="str">
        <x:v>QR</x:v>
      </x:c>
      <x:c r="Y259" s="2" t="str">
        <x:v>Online</x:v>
      </x:c>
      <x:c r="Z259" s="2" t="str">
        <x:v>Synced</x:v>
      </x:c>
      <x:c r="AA259" s="2"/>
      <x:c r="AB259" s="2"/>
      <x:c r="AC259" s="10" t="n">
        <x:f>IF(OR(K259="",Q259=""),"",ROUND((Q259-K259)*1440,2))</x:f>
        <x:v>35.5</x:v>
      </x:c>
    </x:row>
    <x:row r="260" ht="21" customHeight="1">
      <x:c r="A260" s="2" t="str">
        <x:v>LN00259</x:v>
      </x:c>
      <x:c r="B260" s="2" t="str">
        <x:v>T20261005-1-1</x:v>
      </x:c>
      <x:c r="C260" s="7" t="n">
        <x:v>46300</x:v>
      </x:c>
      <x:c r="D260" s="2" t="str">
        <x:v>BUS001</x:v>
      </x:c>
      <x:c r="E260" s="2" t="str">
        <x:v>ST019</x:v>
      </x:c>
      <x:c r="F260" s="2" t="n">
        <x:v>1</x:v>
      </x:c>
      <x:c r="G260" s="2" t="str">
        <x:v>Senior</x:v>
      </x:c>
      <x:c r="H260" s="2" t="str">
        <x:v>Pickup</x:v>
      </x:c>
      <x:c r="I260" s="2" t="str">
        <x:v>R1S1</x:v>
      </x:c>
      <x:c r="J260" s="2" t="str">
        <x:v>EV000515</x:v>
      </x:c>
      <x:c r="K260" s="8" t="n">
        <x:v>46300.24263888889</x:v>
      </x:c>
      <x:c r="L260" s="2" t="str">
        <x:v>R1S1</x:v>
      </x:c>
      <x:c r="M260" s="9" t="n">
        <x:v>25.271</x:v>
      </x:c>
      <x:c r="N260" s="9" t="n">
        <x:v>51.491</x:v>
      </x:c>
      <x:c r="O260" s="2" t="str">
        <x:v>Valid</x:v>
      </x:c>
      <x:c r="P260" s="2" t="str">
        <x:v>EV000516</x:v>
      </x:c>
      <x:c r="Q260" s="8" t="n">
        <x:v>46300.27701388889</x:v>
      </x:c>
      <x:c r="R260" s="2" t="str">
        <x:v>SCH01</x:v>
      </x:c>
      <x:c r="S260" s="9" t="n">
        <x:v>25.285</x:v>
      </x:c>
      <x:c r="T260" s="9" t="n">
        <x:v>51.51</x:v>
      </x:c>
      <x:c r="U260" s="2" t="str">
        <x:v>SCHOOL_RECEIVER_01</x:v>
      </x:c>
      <x:c r="V260" s="2" t="str">
        <x:v>School staff receipt</x:v>
      </x:c>
      <x:c r="W260" s="2" t="str">
        <x:v>Completed transport</x:v>
      </x:c>
      <x:c r="X260" s="2" t="str">
        <x:v>QR</x:v>
      </x:c>
      <x:c r="Y260" s="2" t="str">
        <x:v>Online</x:v>
      </x:c>
      <x:c r="Z260" s="2" t="str">
        <x:v>Synced</x:v>
      </x:c>
      <x:c r="AA260" s="2"/>
      <x:c r="AB260" s="2"/>
      <x:c r="AC260" s="10" t="n">
        <x:f>IF(OR(K260="",Q260=""),"",ROUND((Q260-K260)*1440,2))</x:f>
        <x:v>49.5</x:v>
      </x:c>
    </x:row>
    <x:row r="261" ht="21" customHeight="1">
      <x:c r="A261" s="2" t="str">
        <x:v>LN00260</x:v>
      </x:c>
      <x:c r="B261" s="2" t="str">
        <x:v>T20261005-1-1</x:v>
      </x:c>
      <x:c r="C261" s="7" t="n">
        <x:v>46300</x:v>
      </x:c>
      <x:c r="D261" s="2" t="str">
        <x:v>BUS001</x:v>
      </x:c>
      <x:c r="E261" s="2" t="str">
        <x:v>ST020</x:v>
      </x:c>
      <x:c r="F261" s="2" t="n">
        <x:v>1</x:v>
      </x:c>
      <x:c r="G261" s="2" t="str">
        <x:v>Senior</x:v>
      </x:c>
      <x:c r="H261" s="2" t="str">
        <x:v>Pickup</x:v>
      </x:c>
      <x:c r="I261" s="2" t="str">
        <x:v>R1S2</x:v>
      </x:c>
      <x:c r="J261" s="2" t="str">
        <x:v>EV000517</x:v>
      </x:c>
      <x:c r="K261" s="8" t="n">
        <x:v>46300.24753472222</x:v>
      </x:c>
      <x:c r="L261" s="2" t="str">
        <x:v>R1S2</x:v>
      </x:c>
      <x:c r="M261" s="9" t="n">
        <x:v>25.273000000000003</x:v>
      </x:c>
      <x:c r="N261" s="9" t="n">
        <x:v>51.494</x:v>
      </x:c>
      <x:c r="O261" s="2" t="str">
        <x:v>Valid</x:v>
      </x:c>
      <x:c r="P261" s="2" t="str">
        <x:v>EV000518</x:v>
      </x:c>
      <x:c r="Q261" s="8" t="n">
        <x:v>46300.27704861111</x:v>
      </x:c>
      <x:c r="R261" s="2" t="str">
        <x:v>SCH01</x:v>
      </x:c>
      <x:c r="S261" s="9" t="n">
        <x:v>25.285</x:v>
      </x:c>
      <x:c r="T261" s="9" t="n">
        <x:v>51.51</x:v>
      </x:c>
      <x:c r="U261" s="2" t="str">
        <x:v>SCHOOL_RECEIVER_01</x:v>
      </x:c>
      <x:c r="V261" s="2" t="str">
        <x:v>School staff receipt</x:v>
      </x:c>
      <x:c r="W261" s="2" t="str">
        <x:v>Completed transport</x:v>
      </x:c>
      <x:c r="X261" s="2" t="str">
        <x:v>QR</x:v>
      </x:c>
      <x:c r="Y261" s="2" t="str">
        <x:v>Online</x:v>
      </x:c>
      <x:c r="Z261" s="2" t="str">
        <x:v>Synced</x:v>
      </x:c>
      <x:c r="AA261" s="2"/>
      <x:c r="AB261" s="2"/>
      <x:c r="AC261" s="10" t="n">
        <x:f>IF(OR(K261="",Q261=""),"",ROUND((Q261-K261)*1440,2))</x:f>
        <x:v>42.5</x:v>
      </x:c>
    </x:row>
    <x:row r="262" ht="21" customHeight="1">
      <x:c r="A262" s="2" t="str">
        <x:v>LN00261</x:v>
      </x:c>
      <x:c r="B262" s="2" t="str">
        <x:v>T20261005-2-1</x:v>
      </x:c>
      <x:c r="C262" s="7" t="n">
        <x:v>46300</x:v>
      </x:c>
      <x:c r="D262" s="2" t="str">
        <x:v>BUS001</x:v>
      </x:c>
      <x:c r="E262" s="2" t="str">
        <x:v>ST001</x:v>
      </x:c>
      <x:c r="F262" s="2" t="n">
        <x:v>1</x:v>
      </x:c>
      <x:c r="G262" s="2" t="str">
        <x:v>Junior</x:v>
      </x:c>
      <x:c r="H262" s="2" t="str">
        <x:v>Drop-off</x:v>
      </x:c>
      <x:c r="I262" s="2" t="str">
        <x:v>R1S1</x:v>
      </x:c>
      <x:c r="J262" s="2" t="str">
        <x:v>EV000519</x:v>
      </x:c>
      <x:c r="K262" s="8" t="n">
        <x:v>46300.4375</x:v>
      </x:c>
      <x:c r="L262" s="2" t="str">
        <x:v>SCH01</x:v>
      </x:c>
      <x:c r="M262" s="9" t="n">
        <x:v>25.285</x:v>
      </x:c>
      <x:c r="N262" s="9" t="n">
        <x:v>51.51</x:v>
      </x:c>
      <x:c r="O262" s="2" t="str">
        <x:v>Valid</x:v>
      </x:c>
      <x:c r="P262" s="2" t="str">
        <x:v>EV000520</x:v>
      </x:c>
      <x:c r="Q262" s="8" t="n">
        <x:v>46300.44930555555</x:v>
      </x:c>
      <x:c r="R262" s="2" t="str">
        <x:v>R1S1</x:v>
      </x:c>
      <x:c r="S262" s="9" t="n">
        <x:v>25.271</x:v>
      </x:c>
      <x:c r="T262" s="9" t="n">
        <x:v>51.491</x:v>
      </x:c>
      <x:c r="U262" s="2" t="str">
        <x:v>G001</x:v>
      </x:c>
      <x:c r="V262" s="2" t="str">
        <x:v>Authorized guardian release</x:v>
      </x:c>
      <x:c r="W262" s="2" t="str">
        <x:v>Completed transport</x:v>
      </x:c>
      <x:c r="X262" s="2" t="str">
        <x:v>QR</x:v>
      </x:c>
      <x:c r="Y262" s="2" t="str">
        <x:v>Online</x:v>
      </x:c>
      <x:c r="Z262" s="2" t="str">
        <x:v>Synced</x:v>
      </x:c>
      <x:c r="AA262" s="2"/>
      <x:c r="AB262" s="2"/>
      <x:c r="AC262" s="10" t="n">
        <x:f>IF(OR(K262="",Q262=""),"",ROUND((Q262-K262)*1440,2))</x:f>
        <x:v>17</x:v>
      </x:c>
    </x:row>
    <x:row r="263" ht="21" customHeight="1">
      <x:c r="A263" s="2" t="str">
        <x:v>LN00262</x:v>
      </x:c>
      <x:c r="B263" s="2" t="str">
        <x:v>T20261005-2-1</x:v>
      </x:c>
      <x:c r="C263" s="7" t="n">
        <x:v>46300</x:v>
      </x:c>
      <x:c r="D263" s="2" t="str">
        <x:v>BUS001</x:v>
      </x:c>
      <x:c r="E263" s="2" t="str">
        <x:v>ST002</x:v>
      </x:c>
      <x:c r="F263" s="2" t="n">
        <x:v>1</x:v>
      </x:c>
      <x:c r="G263" s="2" t="str">
        <x:v>Junior</x:v>
      </x:c>
      <x:c r="H263" s="2" t="str">
        <x:v>Drop-off</x:v>
      </x:c>
      <x:c r="I263" s="2" t="str">
        <x:v>R1S2</x:v>
      </x:c>
      <x:c r="J263" s="2" t="str">
        <x:v>EV000521</x:v>
      </x:c>
      <x:c r="K263" s="8" t="n">
        <x:v>46300.43753472222</x:v>
      </x:c>
      <x:c r="L263" s="2" t="str">
        <x:v>SCH01</x:v>
      </x:c>
      <x:c r="M263" s="9" t="n">
        <x:v>25.285</x:v>
      </x:c>
      <x:c r="N263" s="9" t="n">
        <x:v>51.51</x:v>
      </x:c>
      <x:c r="O263" s="2" t="str">
        <x:v>Valid</x:v>
      </x:c>
      <x:c r="P263" s="2" t="str">
        <x:v>EV000522</x:v>
      </x:c>
      <x:c r="Q263" s="8" t="n">
        <x:v>46300.45350694445</x:v>
      </x:c>
      <x:c r="R263" s="2" t="str">
        <x:v>R1S2</x:v>
      </x:c>
      <x:c r="S263" s="9" t="n">
        <x:v>25.273000000000003</x:v>
      </x:c>
      <x:c r="T263" s="9" t="n">
        <x:v>51.494</x:v>
      </x:c>
      <x:c r="U263" s="2" t="str">
        <x:v>G002</x:v>
      </x:c>
      <x:c r="V263" s="2" t="str">
        <x:v>Authorized guardian release</x:v>
      </x:c>
      <x:c r="W263" s="2" t="str">
        <x:v>Completed transport</x:v>
      </x:c>
      <x:c r="X263" s="2" t="str">
        <x:v>QR</x:v>
      </x:c>
      <x:c r="Y263" s="2" t="str">
        <x:v>Online</x:v>
      </x:c>
      <x:c r="Z263" s="2" t="str">
        <x:v>Synced</x:v>
      </x:c>
      <x:c r="AA263" s="2"/>
      <x:c r="AB263" s="2"/>
      <x:c r="AC263" s="10" t="n">
        <x:f>IF(OR(K263="",Q263=""),"",ROUND((Q263-K263)*1440,2))</x:f>
        <x:v>23</x:v>
      </x:c>
    </x:row>
    <x:row r="264" ht="21" customHeight="1">
      <x:c r="A264" s="2" t="str">
        <x:v>LN00263</x:v>
      </x:c>
      <x:c r="B264" s="2" t="str">
        <x:v>T20261005-2-1</x:v>
      </x:c>
      <x:c r="C264" s="7" t="n">
        <x:v>46300</x:v>
      </x:c>
      <x:c r="D264" s="2" t="str">
        <x:v>BUS001</x:v>
      </x:c>
      <x:c r="E264" s="2" t="str">
        <x:v>ST003</x:v>
      </x:c>
      <x:c r="F264" s="2" t="n">
        <x:v>1</x:v>
      </x:c>
      <x:c r="G264" s="2" t="str">
        <x:v>Junior</x:v>
      </x:c>
      <x:c r="H264" s="2" t="str">
        <x:v>Drop-off</x:v>
      </x:c>
      <x:c r="I264" s="2" t="str">
        <x:v>R1S3</x:v>
      </x:c>
      <x:c r="J264" s="2" t="str">
        <x:v>EV000523</x:v>
      </x:c>
      <x:c r="K264" s="8" t="n">
        <x:v>46300.437569444446</x:v>
      </x:c>
      <x:c r="L264" s="2" t="str">
        <x:v>SCH01</x:v>
      </x:c>
      <x:c r="M264" s="9" t="n">
        <x:v>25.285</x:v>
      </x:c>
      <x:c r="N264" s="9" t="n">
        <x:v>51.51</x:v>
      </x:c>
      <x:c r="O264" s="2" t="str">
        <x:v>Valid</x:v>
      </x:c>
      <x:c r="P264" s="2" t="str">
        <x:v>EV000524</x:v>
      </x:c>
      <x:c r="Q264" s="8" t="n">
        <x:v>46300.457708333335</x:v>
      </x:c>
      <x:c r="R264" s="2" t="str">
        <x:v>R1S3</x:v>
      </x:c>
      <x:c r="S264" s="9" t="n">
        <x:v>25.275000000000002</x:v>
      </x:c>
      <x:c r="T264" s="9" t="n">
        <x:v>51.497</x:v>
      </x:c>
      <x:c r="U264" s="2" t="str">
        <x:v>G003</x:v>
      </x:c>
      <x:c r="V264" s="2" t="str">
        <x:v>Authorized guardian release</x:v>
      </x:c>
      <x:c r="W264" s="2" t="str">
        <x:v>Completed transport</x:v>
      </x:c>
      <x:c r="X264" s="2" t="str">
        <x:v>QR</x:v>
      </x:c>
      <x:c r="Y264" s="2" t="str">
        <x:v>Online</x:v>
      </x:c>
      <x:c r="Z264" s="2" t="str">
        <x:v>Synced</x:v>
      </x:c>
      <x:c r="AA264" s="2"/>
      <x:c r="AB264" s="2"/>
      <x:c r="AC264" s="10" t="n">
        <x:f>IF(OR(K264="",Q264=""),"",ROUND((Q264-K264)*1440,2))</x:f>
        <x:v>29</x:v>
      </x:c>
    </x:row>
    <x:row r="265" ht="21" customHeight="1">
      <x:c r="A265" s="2" t="str">
        <x:v>LN00264</x:v>
      </x:c>
      <x:c r="B265" s="2" t="str">
        <x:v>T20261005-2-1</x:v>
      </x:c>
      <x:c r="C265" s="7" t="n">
        <x:v>46300</x:v>
      </x:c>
      <x:c r="D265" s="2" t="str">
        <x:v>BUS001</x:v>
      </x:c>
      <x:c r="E265" s="2" t="str">
        <x:v>ST004</x:v>
      </x:c>
      <x:c r="F265" s="2" t="n">
        <x:v>1</x:v>
      </x:c>
      <x:c r="G265" s="2" t="str">
        <x:v>Junior</x:v>
      </x:c>
      <x:c r="H265" s="2" t="str">
        <x:v>Drop-off</x:v>
      </x:c>
      <x:c r="I265" s="2" t="str">
        <x:v>R1S1</x:v>
      </x:c>
      <x:c r="J265" s="2" t="str">
        <x:v>EV000525</x:v>
      </x:c>
      <x:c r="K265" s="8" t="n">
        <x:v>46300.43760416667</x:v>
      </x:c>
      <x:c r="L265" s="2" t="str">
        <x:v>SCH01</x:v>
      </x:c>
      <x:c r="M265" s="9" t="n">
        <x:v>25.285</x:v>
      </x:c>
      <x:c r="N265" s="9" t="n">
        <x:v>51.51</x:v>
      </x:c>
      <x:c r="O265" s="2" t="str">
        <x:v>Valid</x:v>
      </x:c>
      <x:c r="P265" s="2" t="str">
        <x:v>EV000526</x:v>
      </x:c>
      <x:c r="Q265" s="8" t="n">
        <x:v>46300.44940972222</x:v>
      </x:c>
      <x:c r="R265" s="2" t="str">
        <x:v>R1S1</x:v>
      </x:c>
      <x:c r="S265" s="9" t="n">
        <x:v>25.271</x:v>
      </x:c>
      <x:c r="T265" s="9" t="n">
        <x:v>51.491</x:v>
      </x:c>
      <x:c r="U265" s="2" t="str">
        <x:v>G004</x:v>
      </x:c>
      <x:c r="V265" s="2" t="str">
        <x:v>Authorized guardian release</x:v>
      </x:c>
      <x:c r="W265" s="2" t="str">
        <x:v>Completed transport</x:v>
      </x:c>
      <x:c r="X265" s="2" t="str">
        <x:v>QR</x:v>
      </x:c>
      <x:c r="Y265" s="2" t="str">
        <x:v>Online</x:v>
      </x:c>
      <x:c r="Z265" s="2" t="str">
        <x:v>Synced</x:v>
      </x:c>
      <x:c r="AA265" s="2"/>
      <x:c r="AB265" s="2"/>
      <x:c r="AC265" s="10" t="n">
        <x:f>IF(OR(K265="",Q265=""),"",ROUND((Q265-K265)*1440,2))</x:f>
        <x:v>17</x:v>
      </x:c>
    </x:row>
    <x:row r="266" ht="21" customHeight="1">
      <x:c r="A266" s="2" t="str">
        <x:v>LN00265</x:v>
      </x:c>
      <x:c r="B266" s="2" t="str">
        <x:v>T20261005-2-1</x:v>
      </x:c>
      <x:c r="C266" s="7" t="n">
        <x:v>46300</x:v>
      </x:c>
      <x:c r="D266" s="2" t="str">
        <x:v>BUS001</x:v>
      </x:c>
      <x:c r="E266" s="2" t="str">
        <x:v>ST005</x:v>
      </x:c>
      <x:c r="F266" s="2" t="n">
        <x:v>1</x:v>
      </x:c>
      <x:c r="G266" s="2" t="str">
        <x:v>Junior</x:v>
      </x:c>
      <x:c r="H266" s="2" t="str">
        <x:v>Drop-off</x:v>
      </x:c>
      <x:c r="I266" s="2" t="str">
        <x:v>R1S2</x:v>
      </x:c>
      <x:c r="J266" s="2" t="str">
        <x:v>EV000527</x:v>
      </x:c>
      <x:c r="K266" s="8" t="n">
        <x:v>46300.43763888889</x:v>
      </x:c>
      <x:c r="L266" s="2" t="str">
        <x:v>SCH01</x:v>
      </x:c>
      <x:c r="M266" s="9" t="n">
        <x:v>25.285</x:v>
      </x:c>
      <x:c r="N266" s="9" t="n">
        <x:v>51.51</x:v>
      </x:c>
      <x:c r="O266" s="2" t="str">
        <x:v>Valid</x:v>
      </x:c>
      <x:c r="P266" s="2" t="str">
        <x:v>EV000528</x:v>
      </x:c>
      <x:c r="Q266" s="8" t="n">
        <x:v>46300.453611111116</x:v>
      </x:c>
      <x:c r="R266" s="2" t="str">
        <x:v>R1S2</x:v>
      </x:c>
      <x:c r="S266" s="9" t="n">
        <x:v>25.273000000000003</x:v>
      </x:c>
      <x:c r="T266" s="9" t="n">
        <x:v>51.494</x:v>
      </x:c>
      <x:c r="U266" s="2" t="str">
        <x:v>G005</x:v>
      </x:c>
      <x:c r="V266" s="2" t="str">
        <x:v>Authorized guardian release</x:v>
      </x:c>
      <x:c r="W266" s="2" t="str">
        <x:v>Completed transport</x:v>
      </x:c>
      <x:c r="X266" s="2" t="str">
        <x:v>QR</x:v>
      </x:c>
      <x:c r="Y266" s="2" t="str">
        <x:v>Online</x:v>
      </x:c>
      <x:c r="Z266" s="2" t="str">
        <x:v>Synced</x:v>
      </x:c>
      <x:c r="AA266" s="2"/>
      <x:c r="AB266" s="2"/>
      <x:c r="AC266" s="10" t="n">
        <x:f>IF(OR(K266="",Q266=""),"",ROUND((Q266-K266)*1440,2))</x:f>
        <x:v>23</x:v>
      </x:c>
    </x:row>
    <x:row r="267" ht="21" customHeight="1">
      <x:c r="A267" s="2" t="str">
        <x:v>LN00266</x:v>
      </x:c>
      <x:c r="B267" s="2" t="str">
        <x:v>T20261005-2-1</x:v>
      </x:c>
      <x:c r="C267" s="7" t="n">
        <x:v>46300</x:v>
      </x:c>
      <x:c r="D267" s="2" t="str">
        <x:v>BUS001</x:v>
      </x:c>
      <x:c r="E267" s="2" t="str">
        <x:v>ST006</x:v>
      </x:c>
      <x:c r="F267" s="2" t="n">
        <x:v>1</x:v>
      </x:c>
      <x:c r="G267" s="2" t="str">
        <x:v>Junior</x:v>
      </x:c>
      <x:c r="H267" s="2" t="str">
        <x:v>Drop-off</x:v>
      </x:c>
      <x:c r="I267" s="2" t="str">
        <x:v>R1S3</x:v>
      </x:c>
      <x:c r="J267" s="2" t="str">
        <x:v>EV000529</x:v>
      </x:c>
      <x:c r="K267" s="8" t="n">
        <x:v>46300.43767361111</x:v>
      </x:c>
      <x:c r="L267" s="2" t="str">
        <x:v>SCH01</x:v>
      </x:c>
      <x:c r="M267" s="9" t="n">
        <x:v>25.285</x:v>
      </x:c>
      <x:c r="N267" s="9" t="n">
        <x:v>51.51</x:v>
      </x:c>
      <x:c r="O267" s="2" t="str">
        <x:v>Valid</x:v>
      </x:c>
      <x:c r="P267" s="2" t="str">
        <x:v>EV000530</x:v>
      </x:c>
      <x:c r="Q267" s="8" t="n">
        <x:v>46300.4578125</x:v>
      </x:c>
      <x:c r="R267" s="2" t="str">
        <x:v>R1S3</x:v>
      </x:c>
      <x:c r="S267" s="9" t="n">
        <x:v>25.275000000000002</x:v>
      </x:c>
      <x:c r="T267" s="9" t="n">
        <x:v>51.497</x:v>
      </x:c>
      <x:c r="U267" s="2" t="str">
        <x:v>G006</x:v>
      </x:c>
      <x:c r="V267" s="2" t="str">
        <x:v>Authorized guardian release</x:v>
      </x:c>
      <x:c r="W267" s="2" t="str">
        <x:v>Completed transport</x:v>
      </x:c>
      <x:c r="X267" s="2" t="str">
        <x:v>QR</x:v>
      </x:c>
      <x:c r="Y267" s="2" t="str">
        <x:v>Online</x:v>
      </x:c>
      <x:c r="Z267" s="2" t="str">
        <x:v>Synced</x:v>
      </x:c>
      <x:c r="AA267" s="2"/>
      <x:c r="AB267" s="2"/>
      <x:c r="AC267" s="10" t="n">
        <x:f>IF(OR(K267="",Q267=""),"",ROUND((Q267-K267)*1440,2))</x:f>
        <x:v>29</x:v>
      </x:c>
    </x:row>
    <x:row r="268" ht="21" customHeight="1">
      <x:c r="A268" s="2" t="str">
        <x:v>LN00267</x:v>
      </x:c>
      <x:c r="B268" s="2" t="str">
        <x:v>T20261005-2-1</x:v>
      </x:c>
      <x:c r="C268" s="7" t="n">
        <x:v>46300</x:v>
      </x:c>
      <x:c r="D268" s="2" t="str">
        <x:v>BUS001</x:v>
      </x:c>
      <x:c r="E268" s="2" t="str">
        <x:v>ST007</x:v>
      </x:c>
      <x:c r="F268" s="2" t="n">
        <x:v>1</x:v>
      </x:c>
      <x:c r="G268" s="2" t="str">
        <x:v>Junior</x:v>
      </x:c>
      <x:c r="H268" s="2" t="str">
        <x:v>Drop-off</x:v>
      </x:c>
      <x:c r="I268" s="2" t="str">
        <x:v>R1S1</x:v>
      </x:c>
      <x:c r="J268" s="2" t="str">
        <x:v>EV000531</x:v>
      </x:c>
      <x:c r="K268" s="8" t="n">
        <x:v>46300.43770833333</x:v>
      </x:c>
      <x:c r="L268" s="2" t="str">
        <x:v>SCH01</x:v>
      </x:c>
      <x:c r="M268" s="9" t="n">
        <x:v>25.285</x:v>
      </x:c>
      <x:c r="N268" s="9" t="n">
        <x:v>51.51</x:v>
      </x:c>
      <x:c r="O268" s="2" t="str">
        <x:v>Valid</x:v>
      </x:c>
      <x:c r="P268" s="2" t="str">
        <x:v>EV000532</x:v>
      </x:c>
      <x:c r="Q268" s="8" t="n">
        <x:v>46300.44951388888</x:v>
      </x:c>
      <x:c r="R268" s="2" t="str">
        <x:v>R1S1</x:v>
      </x:c>
      <x:c r="S268" s="9" t="n">
        <x:v>25.271</x:v>
      </x:c>
      <x:c r="T268" s="9" t="n">
        <x:v>51.491</x:v>
      </x:c>
      <x:c r="U268" s="2" t="str">
        <x:v>G007</x:v>
      </x:c>
      <x:c r="V268" s="2" t="str">
        <x:v>Authorized guardian release</x:v>
      </x:c>
      <x:c r="W268" s="2" t="str">
        <x:v>Completed transport</x:v>
      </x:c>
      <x:c r="X268" s="2" t="str">
        <x:v>QR</x:v>
      </x:c>
      <x:c r="Y268" s="2" t="str">
        <x:v>Online</x:v>
      </x:c>
      <x:c r="Z268" s="2" t="str">
        <x:v>Synced</x:v>
      </x:c>
      <x:c r="AA268" s="2"/>
      <x:c r="AB268" s="2"/>
      <x:c r="AC268" s="10" t="n">
        <x:f>IF(OR(K268="",Q268=""),"",ROUND((Q268-K268)*1440,2))</x:f>
        <x:v>17</x:v>
      </x:c>
    </x:row>
    <x:row r="269" ht="21" customHeight="1">
      <x:c r="A269" s="2" t="str">
        <x:v>LN00268</x:v>
      </x:c>
      <x:c r="B269" s="2" t="str">
        <x:v>T20261005-2-1</x:v>
      </x:c>
      <x:c r="C269" s="7" t="n">
        <x:v>46300</x:v>
      </x:c>
      <x:c r="D269" s="2" t="str">
        <x:v>BUS001</x:v>
      </x:c>
      <x:c r="E269" s="2" t="str">
        <x:v>ST008</x:v>
      </x:c>
      <x:c r="F269" s="2" t="n">
        <x:v>1</x:v>
      </x:c>
      <x:c r="G269" s="2" t="str">
        <x:v>Junior</x:v>
      </x:c>
      <x:c r="H269" s="2" t="str">
        <x:v>Drop-off</x:v>
      </x:c>
      <x:c r="I269" s="2" t="str">
        <x:v>R1S2</x:v>
      </x:c>
      <x:c r="J269" s="2" t="str">
        <x:v>EV000533</x:v>
      </x:c>
      <x:c r="K269" s="8" t="n">
        <x:v>46300.437743055554</x:v>
      </x:c>
      <x:c r="L269" s="2" t="str">
        <x:v>SCH01</x:v>
      </x:c>
      <x:c r="M269" s="9" t="n">
        <x:v>25.285</x:v>
      </x:c>
      <x:c r="N269" s="9" t="n">
        <x:v>51.51</x:v>
      </x:c>
      <x:c r="O269" s="2" t="str">
        <x:v>Valid</x:v>
      </x:c>
      <x:c r="P269" s="2" t="str">
        <x:v>EV000534</x:v>
      </x:c>
      <x:c r="Q269" s="8" t="n">
        <x:v>46300.45371527778</x:v>
      </x:c>
      <x:c r="R269" s="2" t="str">
        <x:v>R1S2</x:v>
      </x:c>
      <x:c r="S269" s="9" t="n">
        <x:v>25.273000000000003</x:v>
      </x:c>
      <x:c r="T269" s="9" t="n">
        <x:v>51.494</x:v>
      </x:c>
      <x:c r="U269" s="2" t="str">
        <x:v>G008</x:v>
      </x:c>
      <x:c r="V269" s="2" t="str">
        <x:v>Authorized guardian release</x:v>
      </x:c>
      <x:c r="W269" s="2" t="str">
        <x:v>Completed transport</x:v>
      </x:c>
      <x:c r="X269" s="2" t="str">
        <x:v>QR</x:v>
      </x:c>
      <x:c r="Y269" s="2" t="str">
        <x:v>Online</x:v>
      </x:c>
      <x:c r="Z269" s="2" t="str">
        <x:v>Synced</x:v>
      </x:c>
      <x:c r="AA269" s="2"/>
      <x:c r="AB269" s="2"/>
      <x:c r="AC269" s="10" t="n">
        <x:f>IF(OR(K269="",Q269=""),"",ROUND((Q269-K269)*1440,2))</x:f>
        <x:v>23</x:v>
      </x:c>
    </x:row>
    <x:row r="270" ht="21" customHeight="1">
      <x:c r="A270" s="2" t="str">
        <x:v>LN00269</x:v>
      </x:c>
      <x:c r="B270" s="2" t="str">
        <x:v>T20261005-2-1</x:v>
      </x:c>
      <x:c r="C270" s="7" t="n">
        <x:v>46300</x:v>
      </x:c>
      <x:c r="D270" s="2" t="str">
        <x:v>BUS001</x:v>
      </x:c>
      <x:c r="E270" s="2" t="str">
        <x:v>ST009</x:v>
      </x:c>
      <x:c r="F270" s="2" t="n">
        <x:v>1</x:v>
      </x:c>
      <x:c r="G270" s="2" t="str">
        <x:v>Junior</x:v>
      </x:c>
      <x:c r="H270" s="2" t="str">
        <x:v>Drop-off</x:v>
      </x:c>
      <x:c r="I270" s="2" t="str">
        <x:v>R1S3</x:v>
      </x:c>
      <x:c r="J270" s="2" t="str">
        <x:v>EV000535</x:v>
      </x:c>
      <x:c r="K270" s="8" t="n">
        <x:v>46300.43777777778</x:v>
      </x:c>
      <x:c r="L270" s="2" t="str">
        <x:v>SCH01</x:v>
      </x:c>
      <x:c r="M270" s="9" t="n">
        <x:v>25.285</x:v>
      </x:c>
      <x:c r="N270" s="9" t="n">
        <x:v>51.51</x:v>
      </x:c>
      <x:c r="O270" s="2" t="str">
        <x:v>Valid</x:v>
      </x:c>
      <x:c r="P270" s="2" t="str">
        <x:v>EV000536</x:v>
      </x:c>
      <x:c r="Q270" s="8" t="n">
        <x:v>46300.457916666666</x:v>
      </x:c>
      <x:c r="R270" s="2" t="str">
        <x:v>R1S3</x:v>
      </x:c>
      <x:c r="S270" s="9" t="n">
        <x:v>25.275000000000002</x:v>
      </x:c>
      <x:c r="T270" s="9" t="n">
        <x:v>51.497</x:v>
      </x:c>
      <x:c r="U270" s="2" t="str">
        <x:v>G009</x:v>
      </x:c>
      <x:c r="V270" s="2" t="str">
        <x:v>Authorized guardian release</x:v>
      </x:c>
      <x:c r="W270" s="2" t="str">
        <x:v>Completed transport</x:v>
      </x:c>
      <x:c r="X270" s="2" t="str">
        <x:v>QR</x:v>
      </x:c>
      <x:c r="Y270" s="2" t="str">
        <x:v>Online</x:v>
      </x:c>
      <x:c r="Z270" s="2" t="str">
        <x:v>Synced</x:v>
      </x:c>
      <x:c r="AA270" s="2"/>
      <x:c r="AB270" s="2"/>
      <x:c r="AC270" s="10" t="n">
        <x:f>IF(OR(K270="",Q270=""),"",ROUND((Q270-K270)*1440,2))</x:f>
        <x:v>29</x:v>
      </x:c>
    </x:row>
    <x:row r="271" ht="21" customHeight="1">
      <x:c r="A271" s="2" t="str">
        <x:v>LN00270</x:v>
      </x:c>
      <x:c r="B271" s="2" t="str">
        <x:v>T20261005-2-1</x:v>
      </x:c>
      <x:c r="C271" s="7" t="n">
        <x:v>46300</x:v>
      </x:c>
      <x:c r="D271" s="2" t="str">
        <x:v>BUS001</x:v>
      </x:c>
      <x:c r="E271" s="2" t="str">
        <x:v>ST010</x:v>
      </x:c>
      <x:c r="F271" s="2" t="n">
        <x:v>1</x:v>
      </x:c>
      <x:c r="G271" s="2" t="str">
        <x:v>Junior</x:v>
      </x:c>
      <x:c r="H271" s="2" t="str">
        <x:v>Drop-off</x:v>
      </x:c>
      <x:c r="I271" s="2" t="str">
        <x:v>R1S1</x:v>
      </x:c>
      <x:c r="J271" s="2" t="str">
        <x:v>EV000537</x:v>
      </x:c>
      <x:c r="K271" s="8" t="n">
        <x:v>46300.4378125</x:v>
      </x:c>
      <x:c r="L271" s="2" t="str">
        <x:v>SCH01</x:v>
      </x:c>
      <x:c r="M271" s="9" t="n">
        <x:v>25.285</x:v>
      </x:c>
      <x:c r="N271" s="9" t="n">
        <x:v>51.51</x:v>
      </x:c>
      <x:c r="O271" s="2" t="str">
        <x:v>Valid</x:v>
      </x:c>
      <x:c r="P271" s="2" t="str">
        <x:v>EV000538</x:v>
      </x:c>
      <x:c r="Q271" s="8" t="n">
        <x:v>46300.44961805555</x:v>
      </x:c>
      <x:c r="R271" s="2" t="str">
        <x:v>R1S1</x:v>
      </x:c>
      <x:c r="S271" s="9" t="n">
        <x:v>25.271</x:v>
      </x:c>
      <x:c r="T271" s="9" t="n">
        <x:v>51.491</x:v>
      </x:c>
      <x:c r="U271" s="2" t="str">
        <x:v>G010</x:v>
      </x:c>
      <x:c r="V271" s="2" t="str">
        <x:v>Authorized guardian release</x:v>
      </x:c>
      <x:c r="W271" s="2" t="str">
        <x:v>Completed transport</x:v>
      </x:c>
      <x:c r="X271" s="2" t="str">
        <x:v>QR</x:v>
      </x:c>
      <x:c r="Y271" s="2" t="str">
        <x:v>Online</x:v>
      </x:c>
      <x:c r="Z271" s="2" t="str">
        <x:v>Synced</x:v>
      </x:c>
      <x:c r="AA271" s="2"/>
      <x:c r="AB271" s="2"/>
      <x:c r="AC271" s="10" t="n">
        <x:f>IF(OR(K271="",Q271=""),"",ROUND((Q271-K271)*1440,2))</x:f>
        <x:v>17</x:v>
      </x:c>
    </x:row>
    <x:row r="272" ht="21" customHeight="1">
      <x:c r="A272" s="2" t="str">
        <x:v>LN00271</x:v>
      </x:c>
      <x:c r="B272" s="2" t="str">
        <x:v>T20261005-2-1</x:v>
      </x:c>
      <x:c r="C272" s="7" t="n">
        <x:v>46300</x:v>
      </x:c>
      <x:c r="D272" s="2" t="str">
        <x:v>BUS001</x:v>
      </x:c>
      <x:c r="E272" s="2" t="str">
        <x:v>ST021</x:v>
      </x:c>
      <x:c r="F272" s="2" t="n">
        <x:v>2</x:v>
      </x:c>
      <x:c r="G272" s="2" t="str">
        <x:v>Junior</x:v>
      </x:c>
      <x:c r="H272" s="2" t="str">
        <x:v>Pickup</x:v>
      </x:c>
      <x:c r="I272" s="2" t="str">
        <x:v>R1S3</x:v>
      </x:c>
      <x:c r="J272" s="2" t="str">
        <x:v>EV000539</x:v>
      </x:c>
      <x:c r="K272" s="8" t="n">
        <x:v>46300.48125</x:v>
      </x:c>
      <x:c r="L272" s="2" t="str">
        <x:v>R1S3</x:v>
      </x:c>
      <x:c r="M272" s="9" t="n">
        <x:v>25.275000000000002</x:v>
      </x:c>
      <x:c r="N272" s="9" t="n">
        <x:v>51.497</x:v>
      </x:c>
      <x:c r="O272" s="2" t="str">
        <x:v>Valid</x:v>
      </x:c>
      <x:c r="P272" s="2" t="str">
        <x:v>EV000540</x:v>
      </x:c>
      <x:c r="Q272" s="8" t="n">
        <x:v>46300.506250000006</x:v>
      </x:c>
      <x:c r="R272" s="2" t="str">
        <x:v>SCH01</x:v>
      </x:c>
      <x:c r="S272" s="9" t="n">
        <x:v>25.285</x:v>
      </x:c>
      <x:c r="T272" s="9" t="n">
        <x:v>51.51</x:v>
      </x:c>
      <x:c r="U272" s="2" t="str">
        <x:v>SCHOOL_RECEIVER_01</x:v>
      </x:c>
      <x:c r="V272" s="2" t="str">
        <x:v>School staff receipt</x:v>
      </x:c>
      <x:c r="W272" s="2" t="str">
        <x:v>Completed transport</x:v>
      </x:c>
      <x:c r="X272" s="2" t="str">
        <x:v>QR</x:v>
      </x:c>
      <x:c r="Y272" s="2" t="str">
        <x:v>Online</x:v>
      </x:c>
      <x:c r="Z272" s="2" t="str">
        <x:v>Synced</x:v>
      </x:c>
      <x:c r="AA272" s="2"/>
      <x:c r="AB272" s="2"/>
      <x:c r="AC272" s="10" t="n">
        <x:f>IF(OR(K272="",Q272=""),"",ROUND((Q272-K272)*1440,2))</x:f>
        <x:v>36</x:v>
      </x:c>
    </x:row>
    <x:row r="273" ht="21" customHeight="1">
      <x:c r="A273" s="2" t="str">
        <x:v>LN00272</x:v>
      </x:c>
      <x:c r="B273" s="2" t="str">
        <x:v>T20261005-2-1</x:v>
      </x:c>
      <x:c r="C273" s="7" t="n">
        <x:v>46300</x:v>
      </x:c>
      <x:c r="D273" s="2" t="str">
        <x:v>BUS001</x:v>
      </x:c>
      <x:c r="E273" s="2" t="str">
        <x:v>ST022</x:v>
      </x:c>
      <x:c r="F273" s="2" t="n">
        <x:v>2</x:v>
      </x:c>
      <x:c r="G273" s="2" t="str">
        <x:v>Junior</x:v>
      </x:c>
      <x:c r="H273" s="2" t="str">
        <x:v>Pickup</x:v>
      </x:c>
      <x:c r="I273" s="2" t="str">
        <x:v>R1S1</x:v>
      </x:c>
      <x:c r="J273" s="2" t="str">
        <x:v>EV000541</x:v>
      </x:c>
      <x:c r="K273" s="8" t="n">
        <x:v>46300.4715625</x:v>
      </x:c>
      <x:c r="L273" s="2" t="str">
        <x:v>R1S1</x:v>
      </x:c>
      <x:c r="M273" s="9" t="n">
        <x:v>25.271</x:v>
      </x:c>
      <x:c r="N273" s="9" t="n">
        <x:v>51.491</x:v>
      </x:c>
      <x:c r="O273" s="2" t="str">
        <x:v>Valid</x:v>
      </x:c>
      <x:c r="P273" s="2" t="str">
        <x:v>EV000542</x:v>
      </x:c>
      <x:c r="Q273" s="8" t="n">
        <x:v>46300.50628472223</x:v>
      </x:c>
      <x:c r="R273" s="2" t="str">
        <x:v>SCH01</x:v>
      </x:c>
      <x:c r="S273" s="9" t="n">
        <x:v>25.285</x:v>
      </x:c>
      <x:c r="T273" s="9" t="n">
        <x:v>51.51</x:v>
      </x:c>
      <x:c r="U273" s="2" t="str">
        <x:v>SCHOOL_RECEIVER_01</x:v>
      </x:c>
      <x:c r="V273" s="2" t="str">
        <x:v>School staff receipt</x:v>
      </x:c>
      <x:c r="W273" s="2" t="str">
        <x:v>Completed transport</x:v>
      </x:c>
      <x:c r="X273" s="2" t="str">
        <x:v>QR</x:v>
      </x:c>
      <x:c r="Y273" s="2" t="str">
        <x:v>Online</x:v>
      </x:c>
      <x:c r="Z273" s="2" t="str">
        <x:v>Synced</x:v>
      </x:c>
      <x:c r="AA273" s="2"/>
      <x:c r="AB273" s="2"/>
      <x:c r="AC273" s="10" t="n">
        <x:f>IF(OR(K273="",Q273=""),"",ROUND((Q273-K273)*1440,2))</x:f>
        <x:v>50</x:v>
      </x:c>
    </x:row>
    <x:row r="274" ht="21" customHeight="1">
      <x:c r="A274" s="2" t="str">
        <x:v>LN00273</x:v>
      </x:c>
      <x:c r="B274" s="2" t="str">
        <x:v>T20261005-2-1</x:v>
      </x:c>
      <x:c r="C274" s="7" t="n">
        <x:v>46300</x:v>
      </x:c>
      <x:c r="D274" s="2" t="str">
        <x:v>BUS001</x:v>
      </x:c>
      <x:c r="E274" s="2" t="str">
        <x:v>ST023</x:v>
      </x:c>
      <x:c r="F274" s="2" t="n">
        <x:v>2</x:v>
      </x:c>
      <x:c r="G274" s="2" t="str">
        <x:v>Junior</x:v>
      </x:c>
      <x:c r="H274" s="2" t="str">
        <x:v>Pickup</x:v>
      </x:c>
      <x:c r="I274" s="2" t="str">
        <x:v>R1S2</x:v>
      </x:c>
      <x:c r="J274" s="2" t="str">
        <x:v>EV000543</x:v>
      </x:c>
      <x:c r="K274" s="8" t="n">
        <x:v>46300.47645833333</x:v>
      </x:c>
      <x:c r="L274" s="2" t="str">
        <x:v>R1S2</x:v>
      </x:c>
      <x:c r="M274" s="9" t="n">
        <x:v>25.273000000000003</x:v>
      </x:c>
      <x:c r="N274" s="9" t="n">
        <x:v>51.494</x:v>
      </x:c>
      <x:c r="O274" s="2" t="str">
        <x:v>Valid</x:v>
      </x:c>
      <x:c r="P274" s="2" t="str">
        <x:v>EV000544</x:v>
      </x:c>
      <x:c r="Q274" s="8" t="n">
        <x:v>46300.506319444445</x:v>
      </x:c>
      <x:c r="R274" s="2" t="str">
        <x:v>SCH01</x:v>
      </x:c>
      <x:c r="S274" s="9" t="n">
        <x:v>25.285</x:v>
      </x:c>
      <x:c r="T274" s="9" t="n">
        <x:v>51.51</x:v>
      </x:c>
      <x:c r="U274" s="2" t="str">
        <x:v>SCHOOL_RECEIVER_01</x:v>
      </x:c>
      <x:c r="V274" s="2" t="str">
        <x:v>School staff receipt</x:v>
      </x:c>
      <x:c r="W274" s="2" t="str">
        <x:v>Completed transport</x:v>
      </x:c>
      <x:c r="X274" s="2" t="str">
        <x:v>QR</x:v>
      </x:c>
      <x:c r="Y274" s="2" t="str">
        <x:v>Online</x:v>
      </x:c>
      <x:c r="Z274" s="2" t="str">
        <x:v>Synced</x:v>
      </x:c>
      <x:c r="AA274" s="2"/>
      <x:c r="AB274" s="2"/>
      <x:c r="AC274" s="10" t="n">
        <x:f>IF(OR(K274="",Q274=""),"",ROUND((Q274-K274)*1440,2))</x:f>
        <x:v>43</x:v>
      </x:c>
    </x:row>
    <x:row r="275" ht="21" customHeight="1">
      <x:c r="A275" s="2" t="str">
        <x:v>LN00274</x:v>
      </x:c>
      <x:c r="B275" s="2" t="str">
        <x:v>T20261005-2-1</x:v>
      </x:c>
      <x:c r="C275" s="7" t="n">
        <x:v>46300</x:v>
      </x:c>
      <x:c r="D275" s="2" t="str">
        <x:v>BUS001</x:v>
      </x:c>
      <x:c r="E275" s="2" t="str">
        <x:v>ST024</x:v>
      </x:c>
      <x:c r="F275" s="2" t="n">
        <x:v>2</x:v>
      </x:c>
      <x:c r="G275" s="2" t="str">
        <x:v>Junior</x:v>
      </x:c>
      <x:c r="H275" s="2" t="str">
        <x:v>Pickup</x:v>
      </x:c>
      <x:c r="I275" s="2" t="str">
        <x:v>R1S3</x:v>
      </x:c>
      <x:c r="J275" s="2" t="str">
        <x:v>EV000545</x:v>
      </x:c>
      <x:c r="K275" s="8" t="n">
        <x:v>46300.481354166666</x:v>
      </x:c>
      <x:c r="L275" s="2" t="str">
        <x:v>R1S3</x:v>
      </x:c>
      <x:c r="M275" s="9" t="n">
        <x:v>25.275000000000002</x:v>
      </x:c>
      <x:c r="N275" s="9" t="n">
        <x:v>51.497</x:v>
      </x:c>
      <x:c r="O275" s="2" t="str">
        <x:v>Valid</x:v>
      </x:c>
      <x:c r="P275" s="2" t="str">
        <x:v>EV000546</x:v>
      </x:c>
      <x:c r="Q275" s="8" t="n">
        <x:v>46300.50635416667</x:v>
      </x:c>
      <x:c r="R275" s="2" t="str">
        <x:v>SCH01</x:v>
      </x:c>
      <x:c r="S275" s="9" t="n">
        <x:v>25.285</x:v>
      </x:c>
      <x:c r="T275" s="9" t="n">
        <x:v>51.51</x:v>
      </x:c>
      <x:c r="U275" s="2" t="str">
        <x:v>SCHOOL_RECEIVER_01</x:v>
      </x:c>
      <x:c r="V275" s="2" t="str">
        <x:v>School staff receipt</x:v>
      </x:c>
      <x:c r="W275" s="2" t="str">
        <x:v>Completed transport</x:v>
      </x:c>
      <x:c r="X275" s="2" t="str">
        <x:v>QR</x:v>
      </x:c>
      <x:c r="Y275" s="2" t="str">
        <x:v>Online</x:v>
      </x:c>
      <x:c r="Z275" s="2" t="str">
        <x:v>Synced</x:v>
      </x:c>
      <x:c r="AA275" s="2"/>
      <x:c r="AB275" s="2"/>
      <x:c r="AC275" s="10" t="n">
        <x:f>IF(OR(K275="",Q275=""),"",ROUND((Q275-K275)*1440,2))</x:f>
        <x:v>36</x:v>
      </x:c>
    </x:row>
    <x:row r="276" ht="21" customHeight="1">
      <x:c r="A276" s="2" t="str">
        <x:v>LN00275</x:v>
      </x:c>
      <x:c r="B276" s="2" t="str">
        <x:v>T20261005-2-1</x:v>
      </x:c>
      <x:c r="C276" s="7" t="n">
        <x:v>46300</x:v>
      </x:c>
      <x:c r="D276" s="2" t="str">
        <x:v>BUS001</x:v>
      </x:c>
      <x:c r="E276" s="2" t="str">
        <x:v>ST025</x:v>
      </x:c>
      <x:c r="F276" s="2" t="n">
        <x:v>2</x:v>
      </x:c>
      <x:c r="G276" s="2" t="str">
        <x:v>Junior</x:v>
      </x:c>
      <x:c r="H276" s="2" t="str">
        <x:v>Pickup</x:v>
      </x:c>
      <x:c r="I276" s="2" t="str">
        <x:v>R1S1</x:v>
      </x:c>
      <x:c r="J276" s="2" t="str">
        <x:v>EV000547</x:v>
      </x:c>
      <x:c r="K276" s="8" t="n">
        <x:v>46300.47166666667</x:v>
      </x:c>
      <x:c r="L276" s="2" t="str">
        <x:v>R1S1</x:v>
      </x:c>
      <x:c r="M276" s="9" t="n">
        <x:v>25.271</x:v>
      </x:c>
      <x:c r="N276" s="9" t="n">
        <x:v>51.491</x:v>
      </x:c>
      <x:c r="O276" s="2" t="str">
        <x:v>Valid</x:v>
      </x:c>
      <x:c r="P276" s="2" t="str">
        <x:v>EV000548</x:v>
      </x:c>
      <x:c r="Q276" s="8" t="n">
        <x:v>46300.50638888889</x:v>
      </x:c>
      <x:c r="R276" s="2" t="str">
        <x:v>SCH01</x:v>
      </x:c>
      <x:c r="S276" s="9" t="n">
        <x:v>25.285</x:v>
      </x:c>
      <x:c r="T276" s="9" t="n">
        <x:v>51.51</x:v>
      </x:c>
      <x:c r="U276" s="2" t="str">
        <x:v>SCHOOL_RECEIVER_01</x:v>
      </x:c>
      <x:c r="V276" s="2" t="str">
        <x:v>School staff receipt</x:v>
      </x:c>
      <x:c r="W276" s="2" t="str">
        <x:v>Completed transport</x:v>
      </x:c>
      <x:c r="X276" s="2" t="str">
        <x:v>QR</x:v>
      </x:c>
      <x:c r="Y276" s="2" t="str">
        <x:v>Online</x:v>
      </x:c>
      <x:c r="Z276" s="2" t="str">
        <x:v>Synced</x:v>
      </x:c>
      <x:c r="AA276" s="2"/>
      <x:c r="AB276" s="2"/>
      <x:c r="AC276" s="10" t="n">
        <x:f>IF(OR(K276="",Q276=""),"",ROUND((Q276-K276)*1440,2))</x:f>
        <x:v>50</x:v>
      </x:c>
    </x:row>
    <x:row r="277" ht="21" customHeight="1">
      <x:c r="A277" s="2" t="str">
        <x:v>LN00276</x:v>
      </x:c>
      <x:c r="B277" s="2" t="str">
        <x:v>T20261005-2-1</x:v>
      </x:c>
      <x:c r="C277" s="7" t="n">
        <x:v>46300</x:v>
      </x:c>
      <x:c r="D277" s="2" t="str">
        <x:v>BUS001</x:v>
      </x:c>
      <x:c r="E277" s="2" t="str">
        <x:v>ST026</x:v>
      </x:c>
      <x:c r="F277" s="2" t="n">
        <x:v>2</x:v>
      </x:c>
      <x:c r="G277" s="2" t="str">
        <x:v>Junior</x:v>
      </x:c>
      <x:c r="H277" s="2" t="str">
        <x:v>Pickup</x:v>
      </x:c>
      <x:c r="I277" s="2" t="str">
        <x:v>R1S2</x:v>
      </x:c>
      <x:c r="J277" s="2" t="str">
        <x:v>EV000549</x:v>
      </x:c>
      <x:c r="K277" s="8" t="n">
        <x:v>46300.47656249999</x:v>
      </x:c>
      <x:c r="L277" s="2" t="str">
        <x:v>R1S2</x:v>
      </x:c>
      <x:c r="M277" s="9" t="n">
        <x:v>25.273000000000003</x:v>
      </x:c>
      <x:c r="N277" s="9" t="n">
        <x:v>51.494</x:v>
      </x:c>
      <x:c r="O277" s="2" t="str">
        <x:v>Valid</x:v>
      </x:c>
      <x:c r="P277" s="2" t="str">
        <x:v>EV000550</x:v>
      </x:c>
      <x:c r="Q277" s="8" t="n">
        <x:v>46300.506423611114</x:v>
      </x:c>
      <x:c r="R277" s="2" t="str">
        <x:v>SCH01</x:v>
      </x:c>
      <x:c r="S277" s="9" t="n">
        <x:v>25.285</x:v>
      </x:c>
      <x:c r="T277" s="9" t="n">
        <x:v>51.51</x:v>
      </x:c>
      <x:c r="U277" s="2" t="str">
        <x:v>SCHOOL_RECEIVER_01</x:v>
      </x:c>
      <x:c r="V277" s="2" t="str">
        <x:v>School staff receipt</x:v>
      </x:c>
      <x:c r="W277" s="2" t="str">
        <x:v>Completed transport</x:v>
      </x:c>
      <x:c r="X277" s="2" t="str">
        <x:v>QR</x:v>
      </x:c>
      <x:c r="Y277" s="2" t="str">
        <x:v>Online</x:v>
      </x:c>
      <x:c r="Z277" s="2" t="str">
        <x:v>Synced</x:v>
      </x:c>
      <x:c r="AA277" s="2"/>
      <x:c r="AB277" s="2"/>
      <x:c r="AC277" s="10" t="n">
        <x:f>IF(OR(K277="",Q277=""),"",ROUND((Q277-K277)*1440,2))</x:f>
        <x:v>43</x:v>
      </x:c>
    </x:row>
    <x:row r="278" ht="21" customHeight="1">
      <x:c r="A278" s="2" t="str">
        <x:v>LN00277</x:v>
      </x:c>
      <x:c r="B278" s="2" t="str">
        <x:v>T20261005-2-1</x:v>
      </x:c>
      <x:c r="C278" s="7" t="n">
        <x:v>46300</x:v>
      </x:c>
      <x:c r="D278" s="2" t="str">
        <x:v>BUS001</x:v>
      </x:c>
      <x:c r="E278" s="2" t="str">
        <x:v>ST027</x:v>
      </x:c>
      <x:c r="F278" s="2" t="n">
        <x:v>2</x:v>
      </x:c>
      <x:c r="G278" s="2" t="str">
        <x:v>Junior</x:v>
      </x:c>
      <x:c r="H278" s="2" t="str">
        <x:v>Pickup</x:v>
      </x:c>
      <x:c r="I278" s="2" t="str">
        <x:v>R1S3</x:v>
      </x:c>
      <x:c r="J278" s="2" t="str">
        <x:v>EV000551</x:v>
      </x:c>
      <x:c r="K278" s="8" t="n">
        <x:v>46300.48145833333</x:v>
      </x:c>
      <x:c r="L278" s="2" t="str">
        <x:v>R1S3</x:v>
      </x:c>
      <x:c r="M278" s="9" t="n">
        <x:v>25.275000000000002</x:v>
      </x:c>
      <x:c r="N278" s="9" t="n">
        <x:v>51.497</x:v>
      </x:c>
      <x:c r="O278" s="2" t="str">
        <x:v>Valid</x:v>
      </x:c>
      <x:c r="P278" s="2" t="str">
        <x:v>EV000552</x:v>
      </x:c>
      <x:c r="Q278" s="8" t="n">
        <x:v>46300.50645833334</x:v>
      </x:c>
      <x:c r="R278" s="2" t="str">
        <x:v>SCH01</x:v>
      </x:c>
      <x:c r="S278" s="9" t="n">
        <x:v>25.285</x:v>
      </x:c>
      <x:c r="T278" s="9" t="n">
        <x:v>51.51</x:v>
      </x:c>
      <x:c r="U278" s="2" t="str">
        <x:v>SCHOOL_RECEIVER_01</x:v>
      </x:c>
      <x:c r="V278" s="2" t="str">
        <x:v>School staff receipt</x:v>
      </x:c>
      <x:c r="W278" s="2" t="str">
        <x:v>Completed transport</x:v>
      </x:c>
      <x:c r="X278" s="2" t="str">
        <x:v>QR</x:v>
      </x:c>
      <x:c r="Y278" s="2" t="str">
        <x:v>Online</x:v>
      </x:c>
      <x:c r="Z278" s="2" t="str">
        <x:v>Synced</x:v>
      </x:c>
      <x:c r="AA278" s="2"/>
      <x:c r="AB278" s="2"/>
      <x:c r="AC278" s="10" t="n">
        <x:f>IF(OR(K278="",Q278=""),"",ROUND((Q278-K278)*1440,2))</x:f>
        <x:v>36</x:v>
      </x:c>
    </x:row>
    <x:row r="279" ht="21" customHeight="1">
      <x:c r="A279" s="2" t="str">
        <x:v>LN00278</x:v>
      </x:c>
      <x:c r="B279" s="2" t="str">
        <x:v>T20261005-2-1</x:v>
      </x:c>
      <x:c r="C279" s="7" t="n">
        <x:v>46300</x:v>
      </x:c>
      <x:c r="D279" s="2" t="str">
        <x:v>BUS001</x:v>
      </x:c>
      <x:c r="E279" s="2" t="str">
        <x:v>ST028</x:v>
      </x:c>
      <x:c r="F279" s="2" t="n">
        <x:v>2</x:v>
      </x:c>
      <x:c r="G279" s="2" t="str">
        <x:v>Junior</x:v>
      </x:c>
      <x:c r="H279" s="2" t="str">
        <x:v>Pickup</x:v>
      </x:c>
      <x:c r="I279" s="2" t="str">
        <x:v>R1S1</x:v>
      </x:c>
      <x:c r="J279" s="2" t="str">
        <x:v>EV000553</x:v>
      </x:c>
      <x:c r="K279" s="8" t="n">
        <x:v>46300.471770833334</x:v>
      </x:c>
      <x:c r="L279" s="2" t="str">
        <x:v>R1S1</x:v>
      </x:c>
      <x:c r="M279" s="9" t="n">
        <x:v>25.271</x:v>
      </x:c>
      <x:c r="N279" s="9" t="n">
        <x:v>51.491</x:v>
      </x:c>
      <x:c r="O279" s="2" t="str">
        <x:v>Valid</x:v>
      </x:c>
      <x:c r="P279" s="2" t="str">
        <x:v>EV000554</x:v>
      </x:c>
      <x:c r="Q279" s="8" t="n">
        <x:v>46300.50649305556</x:v>
      </x:c>
      <x:c r="R279" s="2" t="str">
        <x:v>SCH01</x:v>
      </x:c>
      <x:c r="S279" s="9" t="n">
        <x:v>25.285</x:v>
      </x:c>
      <x:c r="T279" s="9" t="n">
        <x:v>51.51</x:v>
      </x:c>
      <x:c r="U279" s="2" t="str">
        <x:v>SCHOOL_RECEIVER_01</x:v>
      </x:c>
      <x:c r="V279" s="2" t="str">
        <x:v>School staff receipt</x:v>
      </x:c>
      <x:c r="W279" s="2" t="str">
        <x:v>Completed transport</x:v>
      </x:c>
      <x:c r="X279" s="2" t="str">
        <x:v>QR</x:v>
      </x:c>
      <x:c r="Y279" s="2" t="str">
        <x:v>Online</x:v>
      </x:c>
      <x:c r="Z279" s="2" t="str">
        <x:v>Synced</x:v>
      </x:c>
      <x:c r="AA279" s="2"/>
      <x:c r="AB279" s="2"/>
      <x:c r="AC279" s="10" t="n">
        <x:f>IF(OR(K279="",Q279=""),"",ROUND((Q279-K279)*1440,2))</x:f>
        <x:v>50</x:v>
      </x:c>
    </x:row>
    <x:row r="280" ht="21" customHeight="1">
      <x:c r="A280" s="2" t="str">
        <x:v>LN00279</x:v>
      </x:c>
      <x:c r="B280" s="2" t="str">
        <x:v>T20261005-2-1</x:v>
      </x:c>
      <x:c r="C280" s="7" t="n">
        <x:v>46300</x:v>
      </x:c>
      <x:c r="D280" s="2" t="str">
        <x:v>BUS001</x:v>
      </x:c>
      <x:c r="E280" s="2" t="str">
        <x:v>ST029</x:v>
      </x:c>
      <x:c r="F280" s="2" t="n">
        <x:v>2</x:v>
      </x:c>
      <x:c r="G280" s="2" t="str">
        <x:v>Junior</x:v>
      </x:c>
      <x:c r="H280" s="2" t="str">
        <x:v>Pickup</x:v>
      </x:c>
      <x:c r="I280" s="2" t="str">
        <x:v>R1S2</x:v>
      </x:c>
      <x:c r="J280" s="2" t="str">
        <x:v>EV000555</x:v>
      </x:c>
      <x:c r="K280" s="8" t="n">
        <x:v>46300.47666666666</x:v>
      </x:c>
      <x:c r="L280" s="2" t="str">
        <x:v>R1S2</x:v>
      </x:c>
      <x:c r="M280" s="9" t="n">
        <x:v>25.273000000000003</x:v>
      </x:c>
      <x:c r="N280" s="9" t="n">
        <x:v>51.494</x:v>
      </x:c>
      <x:c r="O280" s="2" t="str">
        <x:v>Valid</x:v>
      </x:c>
      <x:c r="P280" s="2" t="str">
        <x:v>EV000556</x:v>
      </x:c>
      <x:c r="Q280" s="8" t="n">
        <x:v>46300.50652777778</x:v>
      </x:c>
      <x:c r="R280" s="2" t="str">
        <x:v>SCH01</x:v>
      </x:c>
      <x:c r="S280" s="9" t="n">
        <x:v>25.285</x:v>
      </x:c>
      <x:c r="T280" s="9" t="n">
        <x:v>51.51</x:v>
      </x:c>
      <x:c r="U280" s="2" t="str">
        <x:v>SCHOOL_RECEIVER_01</x:v>
      </x:c>
      <x:c r="V280" s="2" t="str">
        <x:v>School staff receipt</x:v>
      </x:c>
      <x:c r="W280" s="2" t="str">
        <x:v>Completed transport</x:v>
      </x:c>
      <x:c r="X280" s="2" t="str">
        <x:v>QR</x:v>
      </x:c>
      <x:c r="Y280" s="2" t="str">
        <x:v>Online</x:v>
      </x:c>
      <x:c r="Z280" s="2" t="str">
        <x:v>Synced</x:v>
      </x:c>
      <x:c r="AA280" s="2"/>
      <x:c r="AB280" s="2"/>
      <x:c r="AC280" s="10" t="n">
        <x:f>IF(OR(K280="",Q280=""),"",ROUND((Q280-K280)*1440,2))</x:f>
        <x:v>43</x:v>
      </x:c>
    </x:row>
    <x:row r="281" ht="21" customHeight="1">
      <x:c r="A281" s="2" t="str">
        <x:v>LN00280</x:v>
      </x:c>
      <x:c r="B281" s="2" t="str">
        <x:v>T20261005-2-1</x:v>
      </x:c>
      <x:c r="C281" s="7" t="n">
        <x:v>46300</x:v>
      </x:c>
      <x:c r="D281" s="2" t="str">
        <x:v>BUS001</x:v>
      </x:c>
      <x:c r="E281" s="2" t="str">
        <x:v>ST030</x:v>
      </x:c>
      <x:c r="F281" s="2" t="n">
        <x:v>2</x:v>
      </x:c>
      <x:c r="G281" s="2" t="str">
        <x:v>Junior</x:v>
      </x:c>
      <x:c r="H281" s="2" t="str">
        <x:v>Pickup</x:v>
      </x:c>
      <x:c r="I281" s="2" t="str">
        <x:v>R1S3</x:v>
      </x:c>
      <x:c r="J281" s="2" t="str">
        <x:v>EV000557</x:v>
      </x:c>
      <x:c r="K281" s="8" t="n">
        <x:v>46300.4815625</x:v>
      </x:c>
      <x:c r="L281" s="2" t="str">
        <x:v>R1S3</x:v>
      </x:c>
      <x:c r="M281" s="9" t="n">
        <x:v>25.275000000000002</x:v>
      </x:c>
      <x:c r="N281" s="9" t="n">
        <x:v>51.497</x:v>
      </x:c>
      <x:c r="O281" s="2" t="str">
        <x:v>Valid</x:v>
      </x:c>
      <x:c r="P281" s="2" t="str">
        <x:v>EV000558</x:v>
      </x:c>
      <x:c r="Q281" s="8" t="n">
        <x:v>46300.506562500006</x:v>
      </x:c>
      <x:c r="R281" s="2" t="str">
        <x:v>SCH01</x:v>
      </x:c>
      <x:c r="S281" s="9" t="n">
        <x:v>25.285</x:v>
      </x:c>
      <x:c r="T281" s="9" t="n">
        <x:v>51.51</x:v>
      </x:c>
      <x:c r="U281" s="2" t="str">
        <x:v>SCHOOL_RECEIVER_01</x:v>
      </x:c>
      <x:c r="V281" s="2" t="str">
        <x:v>School staff receipt</x:v>
      </x:c>
      <x:c r="W281" s="2" t="str">
        <x:v>Completed transport</x:v>
      </x:c>
      <x:c r="X281" s="2" t="str">
        <x:v>QR</x:v>
      </x:c>
      <x:c r="Y281" s="2" t="str">
        <x:v>Online</x:v>
      </x:c>
      <x:c r="Z281" s="2" t="str">
        <x:v>Synced</x:v>
      </x:c>
      <x:c r="AA281" s="2"/>
      <x:c r="AB281" s="2"/>
      <x:c r="AC281" s="10" t="n">
        <x:f>IF(OR(K281="",Q281=""),"",ROUND((Q281-K281)*1440,2))</x:f>
        <x:v>36</x:v>
      </x:c>
    </x:row>
    <x:row r="282" ht="21" customHeight="1">
      <x:c r="A282" s="2" t="str">
        <x:v>LN00281</x:v>
      </x:c>
      <x:c r="B282" s="2" t="str">
        <x:v>T20261005-2-1</x:v>
      </x:c>
      <x:c r="C282" s="7" t="n">
        <x:v>46300</x:v>
      </x:c>
      <x:c r="D282" s="2" t="str">
        <x:v>BUS001</x:v>
      </x:c>
      <x:c r="E282" s="2" t="str">
        <x:v>ST031</x:v>
      </x:c>
      <x:c r="F282" s="2" t="n">
        <x:v>2</x:v>
      </x:c>
      <x:c r="G282" s="2" t="str">
        <x:v>Senior</x:v>
      </x:c>
      <x:c r="H282" s="2" t="str">
        <x:v>Pickup</x:v>
      </x:c>
      <x:c r="I282" s="2" t="str">
        <x:v>R1S1</x:v>
      </x:c>
      <x:c r="J282" s="2" t="str">
        <x:v>EV000559</x:v>
      </x:c>
      <x:c r="K282" s="8" t="n">
        <x:v>46300.47152777778</x:v>
      </x:c>
      <x:c r="L282" s="2" t="str">
        <x:v>R1S1</x:v>
      </x:c>
      <x:c r="M282" s="9" t="n">
        <x:v>25.271</x:v>
      </x:c>
      <x:c r="N282" s="9" t="n">
        <x:v>51.491</x:v>
      </x:c>
      <x:c r="O282" s="2" t="str">
        <x:v>Valid</x:v>
      </x:c>
      <x:c r="P282" s="2" t="str">
        <x:v>EV000560</x:v>
      </x:c>
      <x:c r="Q282" s="8" t="n">
        <x:v>46300.50659722223</x:v>
      </x:c>
      <x:c r="R282" s="2" t="str">
        <x:v>SCH01</x:v>
      </x:c>
      <x:c r="S282" s="9" t="n">
        <x:v>25.285</x:v>
      </x:c>
      <x:c r="T282" s="9" t="n">
        <x:v>51.51</x:v>
      </x:c>
      <x:c r="U282" s="2" t="str">
        <x:v>SCHOOL_RECEIVER_01</x:v>
      </x:c>
      <x:c r="V282" s="2" t="str">
        <x:v>School staff receipt</x:v>
      </x:c>
      <x:c r="W282" s="2" t="str">
        <x:v>Completed transport</x:v>
      </x:c>
      <x:c r="X282" s="2" t="str">
        <x:v>QR</x:v>
      </x:c>
      <x:c r="Y282" s="2" t="str">
        <x:v>Online</x:v>
      </x:c>
      <x:c r="Z282" s="2" t="str">
        <x:v>Synced</x:v>
      </x:c>
      <x:c r="AA282" s="2"/>
      <x:c r="AB282" s="2"/>
      <x:c r="AC282" s="10" t="n">
        <x:f>IF(OR(K282="",Q282=""),"",ROUND((Q282-K282)*1440,2))</x:f>
        <x:v>50.5</x:v>
      </x:c>
    </x:row>
    <x:row r="283" ht="21" customHeight="1">
      <x:c r="A283" s="2" t="str">
        <x:v>LN00282</x:v>
      </x:c>
      <x:c r="B283" s="2" t="str">
        <x:v>T20261005-2-1</x:v>
      </x:c>
      <x:c r="C283" s="7" t="n">
        <x:v>46300</x:v>
      </x:c>
      <x:c r="D283" s="2" t="str">
        <x:v>BUS001</x:v>
      </x:c>
      <x:c r="E283" s="2" t="str">
        <x:v>ST032</x:v>
      </x:c>
      <x:c r="F283" s="2" t="n">
        <x:v>2</x:v>
      </x:c>
      <x:c r="G283" s="2" t="str">
        <x:v>Senior</x:v>
      </x:c>
      <x:c r="H283" s="2" t="str">
        <x:v>Pickup</x:v>
      </x:c>
      <x:c r="I283" s="2" t="str">
        <x:v>R1S2</x:v>
      </x:c>
      <x:c r="J283" s="2" t="str">
        <x:v>EV000561</x:v>
      </x:c>
      <x:c r="K283" s="8" t="n">
        <x:v>46300.47642361111</x:v>
      </x:c>
      <x:c r="L283" s="2" t="str">
        <x:v>R1S2</x:v>
      </x:c>
      <x:c r="M283" s="9" t="n">
        <x:v>25.273000000000003</x:v>
      </x:c>
      <x:c r="N283" s="9" t="n">
        <x:v>51.494</x:v>
      </x:c>
      <x:c r="O283" s="2" t="str">
        <x:v>Valid</x:v>
      </x:c>
      <x:c r="P283" s="2" t="str">
        <x:v>EV000562</x:v>
      </x:c>
      <x:c r="Q283" s="8" t="n">
        <x:v>46300.506631944445</x:v>
      </x:c>
      <x:c r="R283" s="2" t="str">
        <x:v>SCH01</x:v>
      </x:c>
      <x:c r="S283" s="9" t="n">
        <x:v>25.285</x:v>
      </x:c>
      <x:c r="T283" s="9" t="n">
        <x:v>51.51</x:v>
      </x:c>
      <x:c r="U283" s="2" t="str">
        <x:v>SCHOOL_RECEIVER_01</x:v>
      </x:c>
      <x:c r="V283" s="2" t="str">
        <x:v>School staff receipt</x:v>
      </x:c>
      <x:c r="W283" s="2" t="str">
        <x:v>Completed transport</x:v>
      </x:c>
      <x:c r="X283" s="2" t="str">
        <x:v>QR</x:v>
      </x:c>
      <x:c r="Y283" s="2" t="str">
        <x:v>Online</x:v>
      </x:c>
      <x:c r="Z283" s="2" t="str">
        <x:v>Synced</x:v>
      </x:c>
      <x:c r="AA283" s="2"/>
      <x:c r="AB283" s="2"/>
      <x:c r="AC283" s="10" t="n">
        <x:f>IF(OR(K283="",Q283=""),"",ROUND((Q283-K283)*1440,2))</x:f>
        <x:v>43.5</x:v>
      </x:c>
    </x:row>
    <x:row r="284" ht="21" customHeight="1">
      <x:c r="A284" s="2" t="str">
        <x:v>LN00283</x:v>
      </x:c>
      <x:c r="B284" s="2" t="str">
        <x:v>T20261005-2-1</x:v>
      </x:c>
      <x:c r="C284" s="7" t="n">
        <x:v>46300</x:v>
      </x:c>
      <x:c r="D284" s="2" t="str">
        <x:v>BUS001</x:v>
      </x:c>
      <x:c r="E284" s="2" t="str">
        <x:v>ST033</x:v>
      </x:c>
      <x:c r="F284" s="2" t="n">
        <x:v>2</x:v>
      </x:c>
      <x:c r="G284" s="2" t="str">
        <x:v>Senior</x:v>
      </x:c>
      <x:c r="H284" s="2" t="str">
        <x:v>Pickup</x:v>
      </x:c>
      <x:c r="I284" s="2" t="str">
        <x:v>R1S3</x:v>
      </x:c>
      <x:c r="J284" s="2" t="str">
        <x:v>EV000563</x:v>
      </x:c>
      <x:c r="K284" s="8" t="n">
        <x:v>46300.48131944444</x:v>
      </x:c>
      <x:c r="L284" s="2" t="str">
        <x:v>R1S3</x:v>
      </x:c>
      <x:c r="M284" s="9" t="n">
        <x:v>25.275000000000002</x:v>
      </x:c>
      <x:c r="N284" s="9" t="n">
        <x:v>51.497</x:v>
      </x:c>
      <x:c r="O284" s="2" t="str">
        <x:v>Valid</x:v>
      </x:c>
      <x:c r="P284" s="2" t="str">
        <x:v>EV000564</x:v>
      </x:c>
      <x:c r="Q284" s="8" t="n">
        <x:v>46300.50666666667</x:v>
      </x:c>
      <x:c r="R284" s="2" t="str">
        <x:v>SCH01</x:v>
      </x:c>
      <x:c r="S284" s="9" t="n">
        <x:v>25.285</x:v>
      </x:c>
      <x:c r="T284" s="9" t="n">
        <x:v>51.51</x:v>
      </x:c>
      <x:c r="U284" s="2" t="str">
        <x:v>SCHOOL_RECEIVER_01</x:v>
      </x:c>
      <x:c r="V284" s="2" t="str">
        <x:v>School staff receipt</x:v>
      </x:c>
      <x:c r="W284" s="2" t="str">
        <x:v>Completed transport</x:v>
      </x:c>
      <x:c r="X284" s="2" t="str">
        <x:v>QR</x:v>
      </x:c>
      <x:c r="Y284" s="2" t="str">
        <x:v>Online</x:v>
      </x:c>
      <x:c r="Z284" s="2" t="str">
        <x:v>Synced</x:v>
      </x:c>
      <x:c r="AA284" s="2"/>
      <x:c r="AB284" s="2"/>
      <x:c r="AC284" s="10" t="n">
        <x:f>IF(OR(K284="",Q284=""),"",ROUND((Q284-K284)*1440,2))</x:f>
        <x:v>36.5</x:v>
      </x:c>
    </x:row>
    <x:row r="285" ht="21" customHeight="1">
      <x:c r="A285" s="2" t="str">
        <x:v>LN00284</x:v>
      </x:c>
      <x:c r="B285" s="2" t="str">
        <x:v>T20261005-2-1</x:v>
      </x:c>
      <x:c r="C285" s="7" t="n">
        <x:v>46300</x:v>
      </x:c>
      <x:c r="D285" s="2" t="str">
        <x:v>BUS001</x:v>
      </x:c>
      <x:c r="E285" s="2" t="str">
        <x:v>ST034</x:v>
      </x:c>
      <x:c r="F285" s="2" t="n">
        <x:v>2</x:v>
      </x:c>
      <x:c r="G285" s="2" t="str">
        <x:v>Senior</x:v>
      </x:c>
      <x:c r="H285" s="2" t="str">
        <x:v>Pickup</x:v>
      </x:c>
      <x:c r="I285" s="2" t="str">
        <x:v>R1S1</x:v>
      </x:c>
      <x:c r="J285" s="2" t="str">
        <x:v>EV000565</x:v>
      </x:c>
      <x:c r="K285" s="8" t="n">
        <x:v>46300.47163194445</x:v>
      </x:c>
      <x:c r="L285" s="2" t="str">
        <x:v>R1S1</x:v>
      </x:c>
      <x:c r="M285" s="9" t="n">
        <x:v>25.271</x:v>
      </x:c>
      <x:c r="N285" s="9" t="n">
        <x:v>51.491</x:v>
      </x:c>
      <x:c r="O285" s="2" t="str">
        <x:v>Valid</x:v>
      </x:c>
      <x:c r="P285" s="2" t="str">
        <x:v>EV000566</x:v>
      </x:c>
      <x:c r="Q285" s="8" t="n">
        <x:v>46300.50670138889</x:v>
      </x:c>
      <x:c r="R285" s="2" t="str">
        <x:v>SCH01</x:v>
      </x:c>
      <x:c r="S285" s="9" t="n">
        <x:v>25.285</x:v>
      </x:c>
      <x:c r="T285" s="9" t="n">
        <x:v>51.51</x:v>
      </x:c>
      <x:c r="U285" s="2" t="str">
        <x:v>SCHOOL_RECEIVER_01</x:v>
      </x:c>
      <x:c r="V285" s="2" t="str">
        <x:v>School staff receipt</x:v>
      </x:c>
      <x:c r="W285" s="2" t="str">
        <x:v>Completed transport</x:v>
      </x:c>
      <x:c r="X285" s="2" t="str">
        <x:v>QR</x:v>
      </x:c>
      <x:c r="Y285" s="2" t="str">
        <x:v>Online</x:v>
      </x:c>
      <x:c r="Z285" s="2" t="str">
        <x:v>Synced</x:v>
      </x:c>
      <x:c r="AA285" s="2"/>
      <x:c r="AB285" s="2"/>
      <x:c r="AC285" s="10" t="n">
        <x:f>IF(OR(K285="",Q285=""),"",ROUND((Q285-K285)*1440,2))</x:f>
        <x:v>50.5</x:v>
      </x:c>
    </x:row>
    <x:row r="286" ht="21" customHeight="1">
      <x:c r="A286" s="2" t="str">
        <x:v>LN00285</x:v>
      </x:c>
      <x:c r="B286" s="2" t="str">
        <x:v>T20261005-2-1</x:v>
      </x:c>
      <x:c r="C286" s="7" t="n">
        <x:v>46300</x:v>
      </x:c>
      <x:c r="D286" s="2" t="str">
        <x:v>BUS001</x:v>
      </x:c>
      <x:c r="E286" s="2" t="str">
        <x:v>ST035</x:v>
      </x:c>
      <x:c r="F286" s="2" t="n">
        <x:v>2</x:v>
      </x:c>
      <x:c r="G286" s="2" t="str">
        <x:v>Senior</x:v>
      </x:c>
      <x:c r="H286" s="2" t="str">
        <x:v>Pickup</x:v>
      </x:c>
      <x:c r="I286" s="2" t="str">
        <x:v>R1S2</x:v>
      </x:c>
      <x:c r="J286" s="2" t="str">
        <x:v>EV000567</x:v>
      </x:c>
      <x:c r="K286" s="8" t="n">
        <x:v>46300.47652777778</x:v>
      </x:c>
      <x:c r="L286" s="2" t="str">
        <x:v>R1S2</x:v>
      </x:c>
      <x:c r="M286" s="9" t="n">
        <x:v>25.273000000000003</x:v>
      </x:c>
      <x:c r="N286" s="9" t="n">
        <x:v>51.494</x:v>
      </x:c>
      <x:c r="O286" s="2" t="str">
        <x:v>Valid</x:v>
      </x:c>
      <x:c r="P286" s="2" t="str">
        <x:v>EV000568</x:v>
      </x:c>
      <x:c r="Q286" s="8" t="n">
        <x:v>46300.506736111114</x:v>
      </x:c>
      <x:c r="R286" s="2" t="str">
        <x:v>SCH01</x:v>
      </x:c>
      <x:c r="S286" s="9" t="n">
        <x:v>25.285</x:v>
      </x:c>
      <x:c r="T286" s="9" t="n">
        <x:v>51.51</x:v>
      </x:c>
      <x:c r="U286" s="2" t="str">
        <x:v>SCHOOL_RECEIVER_01</x:v>
      </x:c>
      <x:c r="V286" s="2" t="str">
        <x:v>School staff receipt</x:v>
      </x:c>
      <x:c r="W286" s="2" t="str">
        <x:v>Completed transport</x:v>
      </x:c>
      <x:c r="X286" s="2" t="str">
        <x:v>QR</x:v>
      </x:c>
      <x:c r="Y286" s="2" t="str">
        <x:v>Online</x:v>
      </x:c>
      <x:c r="Z286" s="2" t="str">
        <x:v>Synced</x:v>
      </x:c>
      <x:c r="AA286" s="2"/>
      <x:c r="AB286" s="2"/>
      <x:c r="AC286" s="10" t="n">
        <x:f>IF(OR(K286="",Q286=""),"",ROUND((Q286-K286)*1440,2))</x:f>
        <x:v>43.5</x:v>
      </x:c>
    </x:row>
    <x:row r="287" ht="21" customHeight="1">
      <x:c r="A287" s="2" t="str">
        <x:v>LN00286</x:v>
      </x:c>
      <x:c r="B287" s="2" t="str">
        <x:v>T20261005-2-1</x:v>
      </x:c>
      <x:c r="C287" s="7" t="n">
        <x:v>46300</x:v>
      </x:c>
      <x:c r="D287" s="2" t="str">
        <x:v>BUS001</x:v>
      </x:c>
      <x:c r="E287" s="2" t="str">
        <x:v>ST036</x:v>
      </x:c>
      <x:c r="F287" s="2" t="n">
        <x:v>2</x:v>
      </x:c>
      <x:c r="G287" s="2" t="str">
        <x:v>Senior</x:v>
      </x:c>
      <x:c r="H287" s="2" t="str">
        <x:v>Pickup</x:v>
      </x:c>
      <x:c r="I287" s="2" t="str">
        <x:v>R1S3</x:v>
      </x:c>
      <x:c r="J287" s="2" t="str">
        <x:v>EV000569</x:v>
      </x:c>
      <x:c r="K287" s="8" t="n">
        <x:v>46300.481423611105</x:v>
      </x:c>
      <x:c r="L287" s="2" t="str">
        <x:v>R1S3</x:v>
      </x:c>
      <x:c r="M287" s="9" t="n">
        <x:v>25.275000000000002</x:v>
      </x:c>
      <x:c r="N287" s="9" t="n">
        <x:v>51.497</x:v>
      </x:c>
      <x:c r="O287" s="2" t="str">
        <x:v>Valid</x:v>
      </x:c>
      <x:c r="P287" s="2" t="str">
        <x:v>EV000570</x:v>
      </x:c>
      <x:c r="Q287" s="8" t="n">
        <x:v>46300.50677083334</x:v>
      </x:c>
      <x:c r="R287" s="2" t="str">
        <x:v>SCH01</x:v>
      </x:c>
      <x:c r="S287" s="9" t="n">
        <x:v>25.285</x:v>
      </x:c>
      <x:c r="T287" s="9" t="n">
        <x:v>51.51</x:v>
      </x:c>
      <x:c r="U287" s="2" t="str">
        <x:v>SCHOOL_RECEIVER_01</x:v>
      </x:c>
      <x:c r="V287" s="2" t="str">
        <x:v>School staff receipt</x:v>
      </x:c>
      <x:c r="W287" s="2" t="str">
        <x:v>Completed transport</x:v>
      </x:c>
      <x:c r="X287" s="2" t="str">
        <x:v>QR</x:v>
      </x:c>
      <x:c r="Y287" s="2" t="str">
        <x:v>Online</x:v>
      </x:c>
      <x:c r="Z287" s="2" t="str">
        <x:v>Synced</x:v>
      </x:c>
      <x:c r="AA287" s="2"/>
      <x:c r="AB287" s="2"/>
      <x:c r="AC287" s="10" t="n">
        <x:f>IF(OR(K287="",Q287=""),"",ROUND((Q287-K287)*1440,2))</x:f>
        <x:v>36.5</x:v>
      </x:c>
    </x:row>
    <x:row r="288" ht="21" customHeight="1">
      <x:c r="A288" s="2" t="str">
        <x:v>LN00287</x:v>
      </x:c>
      <x:c r="B288" s="2" t="str">
        <x:v>T20261005-2-1</x:v>
      </x:c>
      <x:c r="C288" s="7" t="n">
        <x:v>46300</x:v>
      </x:c>
      <x:c r="D288" s="2" t="str">
        <x:v>BUS001</x:v>
      </x:c>
      <x:c r="E288" s="2" t="str">
        <x:v>ST037</x:v>
      </x:c>
      <x:c r="F288" s="2" t="n">
        <x:v>2</x:v>
      </x:c>
      <x:c r="G288" s="2" t="str">
        <x:v>Senior</x:v>
      </x:c>
      <x:c r="H288" s="2" t="str">
        <x:v>Pickup</x:v>
      </x:c>
      <x:c r="I288" s="2" t="str">
        <x:v>R1S1</x:v>
      </x:c>
      <x:c r="J288" s="2" t="str">
        <x:v>EV000571</x:v>
      </x:c>
      <x:c r="K288" s="8" t="n">
        <x:v>46300.47173611111</x:v>
      </x:c>
      <x:c r="L288" s="2" t="str">
        <x:v>R1S1</x:v>
      </x:c>
      <x:c r="M288" s="9" t="n">
        <x:v>25.271</x:v>
      </x:c>
      <x:c r="N288" s="9" t="n">
        <x:v>51.491</x:v>
      </x:c>
      <x:c r="O288" s="2" t="str">
        <x:v>Valid</x:v>
      </x:c>
      <x:c r="P288" s="2" t="str">
        <x:v>EV000572</x:v>
      </x:c>
      <x:c r="Q288" s="8" t="n">
        <x:v>46300.50680555556</x:v>
      </x:c>
      <x:c r="R288" s="2" t="str">
        <x:v>SCH01</x:v>
      </x:c>
      <x:c r="S288" s="9" t="n">
        <x:v>25.285</x:v>
      </x:c>
      <x:c r="T288" s="9" t="n">
        <x:v>51.51</x:v>
      </x:c>
      <x:c r="U288" s="2" t="str">
        <x:v>SCHOOL_RECEIVER_01</x:v>
      </x:c>
      <x:c r="V288" s="2" t="str">
        <x:v>School staff receipt</x:v>
      </x:c>
      <x:c r="W288" s="2" t="str">
        <x:v>Completed transport</x:v>
      </x:c>
      <x:c r="X288" s="2" t="str">
        <x:v>QR</x:v>
      </x:c>
      <x:c r="Y288" s="2" t="str">
        <x:v>Online</x:v>
      </x:c>
      <x:c r="Z288" s="2" t="str">
        <x:v>Synced</x:v>
      </x:c>
      <x:c r="AA288" s="2"/>
      <x:c r="AB288" s="2"/>
      <x:c r="AC288" s="10" t="n">
        <x:f>IF(OR(K288="",Q288=""),"",ROUND((Q288-K288)*1440,2))</x:f>
        <x:v>50.5</x:v>
      </x:c>
    </x:row>
    <x:row r="289" ht="21" customHeight="1">
      <x:c r="A289" s="2" t="str">
        <x:v>LN00288</x:v>
      </x:c>
      <x:c r="B289" s="2" t="str">
        <x:v>T20261005-2-1</x:v>
      </x:c>
      <x:c r="C289" s="7" t="n">
        <x:v>46300</x:v>
      </x:c>
      <x:c r="D289" s="2" t="str">
        <x:v>BUS001</x:v>
      </x:c>
      <x:c r="E289" s="2" t="str">
        <x:v>ST038</x:v>
      </x:c>
      <x:c r="F289" s="2" t="n">
        <x:v>2</x:v>
      </x:c>
      <x:c r="G289" s="2" t="str">
        <x:v>Senior</x:v>
      </x:c>
      <x:c r="H289" s="2" t="str">
        <x:v>Pickup</x:v>
      </x:c>
      <x:c r="I289" s="2" t="str">
        <x:v>R1S2</x:v>
      </x:c>
      <x:c r="J289" s="2" t="str">
        <x:v>EV000573</x:v>
      </x:c>
      <x:c r="K289" s="8" t="n">
        <x:v>46300.47663194444</x:v>
      </x:c>
      <x:c r="L289" s="2" t="str">
        <x:v>R1S2</x:v>
      </x:c>
      <x:c r="M289" s="9" t="n">
        <x:v>25.273000000000003</x:v>
      </x:c>
      <x:c r="N289" s="9" t="n">
        <x:v>51.494</x:v>
      </x:c>
      <x:c r="O289" s="2" t="str">
        <x:v>Valid</x:v>
      </x:c>
      <x:c r="P289" s="2" t="str">
        <x:v>EV000574</x:v>
      </x:c>
      <x:c r="Q289" s="8" t="n">
        <x:v>46300.50684027778</x:v>
      </x:c>
      <x:c r="R289" s="2" t="str">
        <x:v>SCH01</x:v>
      </x:c>
      <x:c r="S289" s="9" t="n">
        <x:v>25.285</x:v>
      </x:c>
      <x:c r="T289" s="9" t="n">
        <x:v>51.51</x:v>
      </x:c>
      <x:c r="U289" s="2" t="str">
        <x:v>SCHOOL_RECEIVER_01</x:v>
      </x:c>
      <x:c r="V289" s="2" t="str">
        <x:v>School staff receipt</x:v>
      </x:c>
      <x:c r="W289" s="2" t="str">
        <x:v>Completed transport</x:v>
      </x:c>
      <x:c r="X289" s="2" t="str">
        <x:v>QR</x:v>
      </x:c>
      <x:c r="Y289" s="2" t="str">
        <x:v>Online</x:v>
      </x:c>
      <x:c r="Z289" s="2" t="str">
        <x:v>Synced</x:v>
      </x:c>
      <x:c r="AA289" s="2"/>
      <x:c r="AB289" s="2"/>
      <x:c r="AC289" s="10" t="n">
        <x:f>IF(OR(K289="",Q289=""),"",ROUND((Q289-K289)*1440,2))</x:f>
        <x:v>43.5</x:v>
      </x:c>
    </x:row>
    <x:row r="290" ht="21" customHeight="1">
      <x:c r="A290" s="2" t="str">
        <x:v>LN00289</x:v>
      </x:c>
      <x:c r="B290" s="2" t="str">
        <x:v>T20261005-2-1</x:v>
      </x:c>
      <x:c r="C290" s="7" t="n">
        <x:v>46300</x:v>
      </x:c>
      <x:c r="D290" s="2" t="str">
        <x:v>BUS001</x:v>
      </x:c>
      <x:c r="E290" s="2" t="str">
        <x:v>ST039</x:v>
      </x:c>
      <x:c r="F290" s="2" t="n">
        <x:v>2</x:v>
      </x:c>
      <x:c r="G290" s="2" t="str">
        <x:v>Senior</x:v>
      </x:c>
      <x:c r="H290" s="2" t="str">
        <x:v>Pickup</x:v>
      </x:c>
      <x:c r="I290" s="2" t="str">
        <x:v>R1S3</x:v>
      </x:c>
      <x:c r="J290" s="2" t="str">
        <x:v>EV000575</x:v>
      </x:c>
      <x:c r="K290" s="8" t="n">
        <x:v>46300.481527777774</x:v>
      </x:c>
      <x:c r="L290" s="2" t="str">
        <x:v>R1S3</x:v>
      </x:c>
      <x:c r="M290" s="9" t="n">
        <x:v>25.275000000000002</x:v>
      </x:c>
      <x:c r="N290" s="9" t="n">
        <x:v>51.497</x:v>
      </x:c>
      <x:c r="O290" s="2" t="str">
        <x:v>Valid</x:v>
      </x:c>
      <x:c r="P290" s="2" t="str">
        <x:v>EV000576</x:v>
      </x:c>
      <x:c r="Q290" s="8" t="n">
        <x:v>46300.50687500001</x:v>
      </x:c>
      <x:c r="R290" s="2" t="str">
        <x:v>SCH01</x:v>
      </x:c>
      <x:c r="S290" s="9" t="n">
        <x:v>25.285</x:v>
      </x:c>
      <x:c r="T290" s="9" t="n">
        <x:v>51.51</x:v>
      </x:c>
      <x:c r="U290" s="2" t="str">
        <x:v>SCHOOL_RECEIVER_01</x:v>
      </x:c>
      <x:c r="V290" s="2" t="str">
        <x:v>School staff receipt</x:v>
      </x:c>
      <x:c r="W290" s="2" t="str">
        <x:v>Completed transport</x:v>
      </x:c>
      <x:c r="X290" s="2" t="str">
        <x:v>QR</x:v>
      </x:c>
      <x:c r="Y290" s="2" t="str">
        <x:v>Online</x:v>
      </x:c>
      <x:c r="Z290" s="2" t="str">
        <x:v>Synced</x:v>
      </x:c>
      <x:c r="AA290" s="2"/>
      <x:c r="AB290" s="2"/>
      <x:c r="AC290" s="10" t="n">
        <x:f>IF(OR(K290="",Q290=""),"",ROUND((Q290-K290)*1440,2))</x:f>
        <x:v>36.5</x:v>
      </x:c>
    </x:row>
    <x:row r="291" ht="21" customHeight="1">
      <x:c r="A291" s="2" t="str">
        <x:v>LN00290</x:v>
      </x:c>
      <x:c r="B291" s="2" t="str">
        <x:v>T20261005-2-1</x:v>
      </x:c>
      <x:c r="C291" s="7" t="n">
        <x:v>46300</x:v>
      </x:c>
      <x:c r="D291" s="2" t="str">
        <x:v>BUS001</x:v>
      </x:c>
      <x:c r="E291" s="2" t="str">
        <x:v>ST040</x:v>
      </x:c>
      <x:c r="F291" s="2" t="n">
        <x:v>2</x:v>
      </x:c>
      <x:c r="G291" s="2" t="str">
        <x:v>Senior</x:v>
      </x:c>
      <x:c r="H291" s="2" t="str">
        <x:v>Pickup</x:v>
      </x:c>
      <x:c r="I291" s="2" t="str">
        <x:v>R1S1</x:v>
      </x:c>
      <x:c r="J291" s="2" t="str">
        <x:v>EV000577</x:v>
      </x:c>
      <x:c r="K291" s="8" t="n">
        <x:v>46300.47184027778</x:v>
      </x:c>
      <x:c r="L291" s="2" t="str">
        <x:v>R1S1</x:v>
      </x:c>
      <x:c r="M291" s="9" t="n">
        <x:v>25.271</x:v>
      </x:c>
      <x:c r="N291" s="9" t="n">
        <x:v>51.491</x:v>
      </x:c>
      <x:c r="O291" s="2" t="str">
        <x:v>Valid</x:v>
      </x:c>
      <x:c r="P291" s="2" t="str">
        <x:v>EV000578</x:v>
      </x:c>
      <x:c r="Q291" s="8" t="n">
        <x:v>46300.50690972222</x:v>
      </x:c>
      <x:c r="R291" s="2" t="str">
        <x:v>SCH01</x:v>
      </x:c>
      <x:c r="S291" s="9" t="n">
        <x:v>25.285</x:v>
      </x:c>
      <x:c r="T291" s="9" t="n">
        <x:v>51.51</x:v>
      </x:c>
      <x:c r="U291" s="2" t="str">
        <x:v>SCHOOL_RECEIVER_01</x:v>
      </x:c>
      <x:c r="V291" s="2" t="str">
        <x:v>School staff receipt</x:v>
      </x:c>
      <x:c r="W291" s="2" t="str">
        <x:v>Completed transport</x:v>
      </x:c>
      <x:c r="X291" s="2" t="str">
        <x:v>QR</x:v>
      </x:c>
      <x:c r="Y291" s="2" t="str">
        <x:v>Online</x:v>
      </x:c>
      <x:c r="Z291" s="2" t="str">
        <x:v>Synced</x:v>
      </x:c>
      <x:c r="AA291" s="2"/>
      <x:c r="AB291" s="2"/>
      <x:c r="AC291" s="10" t="n">
        <x:f>IF(OR(K291="",Q291=""),"",ROUND((Q291-K291)*1440,2))</x:f>
        <x:v>50.5</x:v>
      </x:c>
    </x:row>
    <x:row r="292" ht="21" customHeight="1">
      <x:c r="A292" s="2" t="str">
        <x:v>LN00291</x:v>
      </x:c>
      <x:c r="B292" s="2" t="str">
        <x:v>T20261005-3-1</x:v>
      </x:c>
      <x:c r="C292" s="7" t="n">
        <x:v>46300</x:v>
      </x:c>
      <x:c r="D292" s="2" t="str">
        <x:v>BUS001</x:v>
      </x:c>
      <x:c r="E292" s="2" t="str">
        <x:v>ST011</x:v>
      </x:c>
      <x:c r="F292" s="2" t="n">
        <x:v>1</x:v>
      </x:c>
      <x:c r="G292" s="2" t="str">
        <x:v>Senior</x:v>
      </x:c>
      <x:c r="H292" s="2" t="str">
        <x:v>Drop-off</x:v>
      </x:c>
      <x:c r="I292" s="2" t="str">
        <x:v>R1S2</x:v>
      </x:c>
      <x:c r="J292" s="2" t="str">
        <x:v>EV000579</x:v>
      </x:c>
      <x:c r="K292" s="8" t="n">
        <x:v>46300.57291666667</x:v>
      </x:c>
      <x:c r="L292" s="2" t="str">
        <x:v>SCH01</x:v>
      </x:c>
      <x:c r="M292" s="9" t="n">
        <x:v>25.285</x:v>
      </x:c>
      <x:c r="N292" s="9" t="n">
        <x:v>51.51</x:v>
      </x:c>
      <x:c r="O292" s="2" t="str">
        <x:v>Valid</x:v>
      </x:c>
      <x:c r="P292" s="2" t="str">
        <x:v>EV000580</x:v>
      </x:c>
      <x:c r="Q292" s="8" t="n">
        <x:v>46300.59027777778</x:v>
      </x:c>
      <x:c r="R292" s="2" t="str">
        <x:v>R1S2</x:v>
      </x:c>
      <x:c r="S292" s="9" t="n">
        <x:v>25.273000000000003</x:v>
      </x:c>
      <x:c r="T292" s="9" t="n">
        <x:v>51.494</x:v>
      </x:c>
      <x:c r="U292" s="2" t="str">
        <x:v>G011</x:v>
      </x:c>
      <x:c r="V292" s="2" t="str">
        <x:v>Authorized guardian release</x:v>
      </x:c>
      <x:c r="W292" s="2" t="str">
        <x:v>Completed transport</x:v>
      </x:c>
      <x:c r="X292" s="2" t="str">
        <x:v>QR</x:v>
      </x:c>
      <x:c r="Y292" s="2" t="str">
        <x:v>Online</x:v>
      </x:c>
      <x:c r="Z292" s="2" t="str">
        <x:v>Synced</x:v>
      </x:c>
      <x:c r="AA292" s="2"/>
      <x:c r="AB292" s="2"/>
      <x:c r="AC292" s="10" t="n">
        <x:f>IF(OR(K292="",Q292=""),"",ROUND((Q292-K292)*1440,2))</x:f>
        <x:v>25</x:v>
      </x:c>
    </x:row>
    <x:row r="293" ht="21" customHeight="1">
      <x:c r="A293" s="2" t="str">
        <x:v>LN00292</x:v>
      </x:c>
      <x:c r="B293" s="2" t="str">
        <x:v>T20261005-3-1</x:v>
      </x:c>
      <x:c r="C293" s="7" t="n">
        <x:v>46300</x:v>
      </x:c>
      <x:c r="D293" s="2" t="str">
        <x:v>BUS001</x:v>
      </x:c>
      <x:c r="E293" s="2" t="str">
        <x:v>ST012</x:v>
      </x:c>
      <x:c r="F293" s="2" t="n">
        <x:v>1</x:v>
      </x:c>
      <x:c r="G293" s="2" t="str">
        <x:v>Senior</x:v>
      </x:c>
      <x:c r="H293" s="2" t="str">
        <x:v>Drop-off</x:v>
      </x:c>
      <x:c r="I293" s="2" t="str">
        <x:v>R1S3</x:v>
      </x:c>
      <x:c r="J293" s="2" t="str">
        <x:v>EV000581</x:v>
      </x:c>
      <x:c r="K293" s="8" t="n">
        <x:v>46300.572951388895</x:v>
      </x:c>
      <x:c r="L293" s="2" t="str">
        <x:v>SCH01</x:v>
      </x:c>
      <x:c r="M293" s="9" t="n">
        <x:v>25.285</x:v>
      </x:c>
      <x:c r="N293" s="9" t="n">
        <x:v>51.51</x:v>
      </x:c>
      <x:c r="O293" s="2" t="str">
        <x:v>Valid</x:v>
      </x:c>
      <x:c r="P293" s="2" t="str">
        <x:v>EV000582</x:v>
      </x:c>
      <x:c r="Q293" s="8" t="n">
        <x:v>46300.59447916667</x:v>
      </x:c>
      <x:c r="R293" s="2" t="str">
        <x:v>R1S3</x:v>
      </x:c>
      <x:c r="S293" s="9" t="n">
        <x:v>25.275000000000002</x:v>
      </x:c>
      <x:c r="T293" s="9" t="n">
        <x:v>51.497</x:v>
      </x:c>
      <x:c r="U293" s="2" t="str">
        <x:v>G012</x:v>
      </x:c>
      <x:c r="V293" s="2" t="str">
        <x:v>Authorized guardian release</x:v>
      </x:c>
      <x:c r="W293" s="2" t="str">
        <x:v>Completed transport</x:v>
      </x:c>
      <x:c r="X293" s="2" t="str">
        <x:v>QR</x:v>
      </x:c>
      <x:c r="Y293" s="2" t="str">
        <x:v>Online</x:v>
      </x:c>
      <x:c r="Z293" s="2" t="str">
        <x:v>Synced</x:v>
      </x:c>
      <x:c r="AA293" s="2"/>
      <x:c r="AB293" s="2"/>
      <x:c r="AC293" s="10" t="n">
        <x:f>IF(OR(K293="",Q293=""),"",ROUND((Q293-K293)*1440,2))</x:f>
        <x:v>31</x:v>
      </x:c>
    </x:row>
    <x:row r="294" ht="21" customHeight="1">
      <x:c r="A294" s="2" t="str">
        <x:v>LN00293</x:v>
      </x:c>
      <x:c r="B294" s="2" t="str">
        <x:v>T20261005-3-1</x:v>
      </x:c>
      <x:c r="C294" s="7" t="n">
        <x:v>46300</x:v>
      </x:c>
      <x:c r="D294" s="2" t="str">
        <x:v>BUS001</x:v>
      </x:c>
      <x:c r="E294" s="2" t="str">
        <x:v>ST013</x:v>
      </x:c>
      <x:c r="F294" s="2" t="n">
        <x:v>1</x:v>
      </x:c>
      <x:c r="G294" s="2" t="str">
        <x:v>Senior</x:v>
      </x:c>
      <x:c r="H294" s="2" t="str">
        <x:v>Drop-off</x:v>
      </x:c>
      <x:c r="I294" s="2" t="str">
        <x:v>R1S1</x:v>
      </x:c>
      <x:c r="J294" s="2" t="str">
        <x:v>EV000583</x:v>
      </x:c>
      <x:c r="K294" s="8" t="n">
        <x:v>46300.57298611112</x:v>
      </x:c>
      <x:c r="L294" s="2" t="str">
        <x:v>SCH01</x:v>
      </x:c>
      <x:c r="M294" s="9" t="n">
        <x:v>25.285</x:v>
      </x:c>
      <x:c r="N294" s="9" t="n">
        <x:v>51.51</x:v>
      </x:c>
      <x:c r="O294" s="2" t="str">
        <x:v>Valid</x:v>
      </x:c>
      <x:c r="P294" s="2" t="str">
        <x:v>EV000584</x:v>
      </x:c>
      <x:c r="Q294" s="8" t="n">
        <x:v>46300.58618055556</x:v>
      </x:c>
      <x:c r="R294" s="2" t="str">
        <x:v>R1S1</x:v>
      </x:c>
      <x:c r="S294" s="9" t="n">
        <x:v>25.271</x:v>
      </x:c>
      <x:c r="T294" s="9" t="n">
        <x:v>51.491</x:v>
      </x:c>
      <x:c r="U294" s="2" t="str">
        <x:v>G013</x:v>
      </x:c>
      <x:c r="V294" s="2" t="str">
        <x:v>Authorized guardian release</x:v>
      </x:c>
      <x:c r="W294" s="2" t="str">
        <x:v>Completed transport</x:v>
      </x:c>
      <x:c r="X294" s="2" t="str">
        <x:v>QR</x:v>
      </x:c>
      <x:c r="Y294" s="2" t="str">
        <x:v>Online</x:v>
      </x:c>
      <x:c r="Z294" s="2" t="str">
        <x:v>Synced</x:v>
      </x:c>
      <x:c r="AA294" s="2"/>
      <x:c r="AB294" s="2"/>
      <x:c r="AC294" s="10" t="n">
        <x:f>IF(OR(K294="",Q294=""),"",ROUND((Q294-K294)*1440,2))</x:f>
        <x:v>19</x:v>
      </x:c>
    </x:row>
    <x:row r="295" ht="21" customHeight="1">
      <x:c r="A295" s="2" t="str">
        <x:v>LN00294</x:v>
      </x:c>
      <x:c r="B295" s="2" t="str">
        <x:v>T20261005-3-1</x:v>
      </x:c>
      <x:c r="C295" s="7" t="n">
        <x:v>46300</x:v>
      </x:c>
      <x:c r="D295" s="2" t="str">
        <x:v>BUS001</x:v>
      </x:c>
      <x:c r="E295" s="2" t="str">
        <x:v>ST014</x:v>
      </x:c>
      <x:c r="F295" s="2" t="n">
        <x:v>1</x:v>
      </x:c>
      <x:c r="G295" s="2" t="str">
        <x:v>Senior</x:v>
      </x:c>
      <x:c r="H295" s="2" t="str">
        <x:v>Drop-off</x:v>
      </x:c>
      <x:c r="I295" s="2" t="str">
        <x:v>R1S2</x:v>
      </x:c>
      <x:c r="J295" s="2" t="str">
        <x:v>EV000585</x:v>
      </x:c>
      <x:c r="K295" s="8" t="n">
        <x:v>46300.57302083334</x:v>
      </x:c>
      <x:c r="L295" s="2" t="str">
        <x:v>SCH01</x:v>
      </x:c>
      <x:c r="M295" s="9" t="n">
        <x:v>25.285</x:v>
      </x:c>
      <x:c r="N295" s="9" t="n">
        <x:v>51.51</x:v>
      </x:c>
      <x:c r="O295" s="2" t="str">
        <x:v>Valid</x:v>
      </x:c>
      <x:c r="P295" s="2" t="str">
        <x:v>EV000586</x:v>
      </x:c>
      <x:c r="Q295" s="8" t="n">
        <x:v>46300.59038194445</x:v>
      </x:c>
      <x:c r="R295" s="2" t="str">
        <x:v>R1S2</x:v>
      </x:c>
      <x:c r="S295" s="9" t="n">
        <x:v>25.273000000000003</x:v>
      </x:c>
      <x:c r="T295" s="9" t="n">
        <x:v>51.494</x:v>
      </x:c>
      <x:c r="U295" s="2" t="str">
        <x:v>G014</x:v>
      </x:c>
      <x:c r="V295" s="2" t="str">
        <x:v>Authorized guardian release</x:v>
      </x:c>
      <x:c r="W295" s="2" t="str">
        <x:v>Completed transport</x:v>
      </x:c>
      <x:c r="X295" s="2" t="str">
        <x:v>QR</x:v>
      </x:c>
      <x:c r="Y295" s="2" t="str">
        <x:v>Online</x:v>
      </x:c>
      <x:c r="Z295" s="2" t="str">
        <x:v>Synced</x:v>
      </x:c>
      <x:c r="AA295" s="2"/>
      <x:c r="AB295" s="2"/>
      <x:c r="AC295" s="10" t="n">
        <x:f>IF(OR(K295="",Q295=""),"",ROUND((Q295-K295)*1440,2))</x:f>
        <x:v>25</x:v>
      </x:c>
    </x:row>
    <x:row r="296" ht="21" customHeight="1">
      <x:c r="A296" s="2" t="str">
        <x:v>LN00295</x:v>
      </x:c>
      <x:c r="B296" s="2" t="str">
        <x:v>T20261005-3-1</x:v>
      </x:c>
      <x:c r="C296" s="7" t="n">
        <x:v>46300</x:v>
      </x:c>
      <x:c r="D296" s="2" t="str">
        <x:v>BUS001</x:v>
      </x:c>
      <x:c r="E296" s="2" t="str">
        <x:v>ST015</x:v>
      </x:c>
      <x:c r="F296" s="2" t="n">
        <x:v>1</x:v>
      </x:c>
      <x:c r="G296" s="2" t="str">
        <x:v>Senior</x:v>
      </x:c>
      <x:c r="H296" s="2" t="str">
        <x:v>Drop-off</x:v>
      </x:c>
      <x:c r="I296" s="2" t="str">
        <x:v>R1S3</x:v>
      </x:c>
      <x:c r="J296" s="2" t="str">
        <x:v>EV000587</x:v>
      </x:c>
      <x:c r="K296" s="8" t="n">
        <x:v>46300.573055555564</x:v>
      </x:c>
      <x:c r="L296" s="2" t="str">
        <x:v>SCH01</x:v>
      </x:c>
      <x:c r="M296" s="9" t="n">
        <x:v>25.285</x:v>
      </x:c>
      <x:c r="N296" s="9" t="n">
        <x:v>51.51</x:v>
      </x:c>
      <x:c r="O296" s="2" t="str">
        <x:v>Valid</x:v>
      </x:c>
      <x:c r="P296" s="2" t="str">
        <x:v>EV000588</x:v>
      </x:c>
      <x:c r="Q296" s="8" t="n">
        <x:v>46300.59458333334</x:v>
      </x:c>
      <x:c r="R296" s="2" t="str">
        <x:v>R1S3</x:v>
      </x:c>
      <x:c r="S296" s="9" t="n">
        <x:v>25.275000000000002</x:v>
      </x:c>
      <x:c r="T296" s="9" t="n">
        <x:v>51.497</x:v>
      </x:c>
      <x:c r="U296" s="2" t="str">
        <x:v>G015</x:v>
      </x:c>
      <x:c r="V296" s="2" t="str">
        <x:v>Authorized guardian release</x:v>
      </x:c>
      <x:c r="W296" s="2" t="str">
        <x:v>Completed transport</x:v>
      </x:c>
      <x:c r="X296" s="2" t="str">
        <x:v>QR</x:v>
      </x:c>
      <x:c r="Y296" s="2" t="str">
        <x:v>Online</x:v>
      </x:c>
      <x:c r="Z296" s="2" t="str">
        <x:v>Synced</x:v>
      </x:c>
      <x:c r="AA296" s="2"/>
      <x:c r="AB296" s="2"/>
      <x:c r="AC296" s="10" t="n">
        <x:f>IF(OR(K296="",Q296=""),"",ROUND((Q296-K296)*1440,2))</x:f>
        <x:v>31</x:v>
      </x:c>
    </x:row>
    <x:row r="297" ht="21" customHeight="1">
      <x:c r="A297" s="2" t="str">
        <x:v>LN00296</x:v>
      </x:c>
      <x:c r="B297" s="2" t="str">
        <x:v>T20261005-3-1</x:v>
      </x:c>
      <x:c r="C297" s="7" t="n">
        <x:v>46300</x:v>
      </x:c>
      <x:c r="D297" s="2" t="str">
        <x:v>BUS001</x:v>
      </x:c>
      <x:c r="E297" s="2" t="str">
        <x:v>ST016</x:v>
      </x:c>
      <x:c r="F297" s="2" t="n">
        <x:v>1</x:v>
      </x:c>
      <x:c r="G297" s="2" t="str">
        <x:v>Senior</x:v>
      </x:c>
      <x:c r="H297" s="2" t="str">
        <x:v>Drop-off</x:v>
      </x:c>
      <x:c r="I297" s="2" t="str">
        <x:v>R1S1</x:v>
      </x:c>
      <x:c r="J297" s="2" t="str">
        <x:v>EV000589</x:v>
      </x:c>
      <x:c r="K297" s="8" t="n">
        <x:v>46300.57309027778</x:v>
      </x:c>
      <x:c r="L297" s="2" t="str">
        <x:v>SCH01</x:v>
      </x:c>
      <x:c r="M297" s="9" t="n">
        <x:v>25.285</x:v>
      </x:c>
      <x:c r="N297" s="9" t="n">
        <x:v>51.51</x:v>
      </x:c>
      <x:c r="O297" s="2" t="str">
        <x:v>Valid</x:v>
      </x:c>
      <x:c r="P297" s="2" t="str">
        <x:v>EV000590</x:v>
      </x:c>
      <x:c r="Q297" s="8" t="n">
        <x:v>46300.58628472222</x:v>
      </x:c>
      <x:c r="R297" s="2" t="str">
        <x:v>R1S1</x:v>
      </x:c>
      <x:c r="S297" s="9" t="n">
        <x:v>25.271</x:v>
      </x:c>
      <x:c r="T297" s="9" t="n">
        <x:v>51.491</x:v>
      </x:c>
      <x:c r="U297" s="2" t="str">
        <x:v>G016</x:v>
      </x:c>
      <x:c r="V297" s="2" t="str">
        <x:v>Authorized guardian release</x:v>
      </x:c>
      <x:c r="W297" s="2" t="str">
        <x:v>Completed transport</x:v>
      </x:c>
      <x:c r="X297" s="2" t="str">
        <x:v>QR</x:v>
      </x:c>
      <x:c r="Y297" s="2" t="str">
        <x:v>Online</x:v>
      </x:c>
      <x:c r="Z297" s="2" t="str">
        <x:v>Synced</x:v>
      </x:c>
      <x:c r="AA297" s="2"/>
      <x:c r="AB297" s="2"/>
      <x:c r="AC297" s="10" t="n">
        <x:f>IF(OR(K297="",Q297=""),"",ROUND((Q297-K297)*1440,2))</x:f>
        <x:v>19</x:v>
      </x:c>
    </x:row>
    <x:row r="298" ht="21" customHeight="1">
      <x:c r="A298" s="2" t="str">
        <x:v>LN00297</x:v>
      </x:c>
      <x:c r="B298" s="2" t="str">
        <x:v>T20261005-3-1</x:v>
      </x:c>
      <x:c r="C298" s="7" t="n">
        <x:v>46300</x:v>
      </x:c>
      <x:c r="D298" s="2" t="str">
        <x:v>BUS001</x:v>
      </x:c>
      <x:c r="E298" s="2" t="str">
        <x:v>ST017</x:v>
      </x:c>
      <x:c r="F298" s="2" t="n">
        <x:v>1</x:v>
      </x:c>
      <x:c r="G298" s="2" t="str">
        <x:v>Senior</x:v>
      </x:c>
      <x:c r="H298" s="2" t="str">
        <x:v>Drop-off</x:v>
      </x:c>
      <x:c r="I298" s="2" t="str">
        <x:v>R1S2</x:v>
      </x:c>
      <x:c r="J298" s="2" t="str">
        <x:v>EV000591</x:v>
      </x:c>
      <x:c r="K298" s="8" t="n">
        <x:v>46300.573125</x:v>
      </x:c>
      <x:c r="L298" s="2" t="str">
        <x:v>SCH01</x:v>
      </x:c>
      <x:c r="M298" s="9" t="n">
        <x:v>25.285</x:v>
      </x:c>
      <x:c r="N298" s="9" t="n">
        <x:v>51.51</x:v>
      </x:c>
      <x:c r="O298" s="2" t="str">
        <x:v>Valid</x:v>
      </x:c>
      <x:c r="P298" s="2" t="str">
        <x:v>EV000592</x:v>
      </x:c>
      <x:c r="Q298" s="8" t="n">
        <x:v>46300.59048611111</x:v>
      </x:c>
      <x:c r="R298" s="2" t="str">
        <x:v>R1S2</x:v>
      </x:c>
      <x:c r="S298" s="9" t="n">
        <x:v>25.273000000000003</x:v>
      </x:c>
      <x:c r="T298" s="9" t="n">
        <x:v>51.494</x:v>
      </x:c>
      <x:c r="U298" s="2" t="str">
        <x:v>G017</x:v>
      </x:c>
      <x:c r="V298" s="2" t="str">
        <x:v>Authorized guardian release</x:v>
      </x:c>
      <x:c r="W298" s="2" t="str">
        <x:v>Completed transport</x:v>
      </x:c>
      <x:c r="X298" s="2" t="str">
        <x:v>QR</x:v>
      </x:c>
      <x:c r="Y298" s="2" t="str">
        <x:v>Online</x:v>
      </x:c>
      <x:c r="Z298" s="2" t="str">
        <x:v>Synced</x:v>
      </x:c>
      <x:c r="AA298" s="2"/>
      <x:c r="AB298" s="2"/>
      <x:c r="AC298" s="10" t="n">
        <x:f>IF(OR(K298="",Q298=""),"",ROUND((Q298-K298)*1440,2))</x:f>
        <x:v>25</x:v>
      </x:c>
    </x:row>
    <x:row r="299" ht="21" customHeight="1">
      <x:c r="A299" s="2" t="str">
        <x:v>LN00298</x:v>
      </x:c>
      <x:c r="B299" s="2" t="str">
        <x:v>T20261005-3-1</x:v>
      </x:c>
      <x:c r="C299" s="7" t="n">
        <x:v>46300</x:v>
      </x:c>
      <x:c r="D299" s="2" t="str">
        <x:v>BUS001</x:v>
      </x:c>
      <x:c r="E299" s="2" t="str">
        <x:v>ST018</x:v>
      </x:c>
      <x:c r="F299" s="2" t="n">
        <x:v>1</x:v>
      </x:c>
      <x:c r="G299" s="2" t="str">
        <x:v>Senior</x:v>
      </x:c>
      <x:c r="H299" s="2" t="str">
        <x:v>Drop-off</x:v>
      </x:c>
      <x:c r="I299" s="2" t="str">
        <x:v>R1S3</x:v>
      </x:c>
      <x:c r="J299" s="2" t="str">
        <x:v>EV000593</x:v>
      </x:c>
      <x:c r="K299" s="8" t="n">
        <x:v>46300.573159722226</x:v>
      </x:c>
      <x:c r="L299" s="2" t="str">
        <x:v>SCH01</x:v>
      </x:c>
      <x:c r="M299" s="9" t="n">
        <x:v>25.285</x:v>
      </x:c>
      <x:c r="N299" s="9" t="n">
        <x:v>51.51</x:v>
      </x:c>
      <x:c r="O299" s="2" t="str">
        <x:v>Valid</x:v>
      </x:c>
      <x:c r="P299" s="2" t="str">
        <x:v>EV000594</x:v>
      </x:c>
      <x:c r="Q299" s="8" t="n">
        <x:v>46300.5946875</x:v>
      </x:c>
      <x:c r="R299" s="2" t="str">
        <x:v>R1S3</x:v>
      </x:c>
      <x:c r="S299" s="9" t="n">
        <x:v>25.275000000000002</x:v>
      </x:c>
      <x:c r="T299" s="9" t="n">
        <x:v>51.497</x:v>
      </x:c>
      <x:c r="U299" s="2" t="str">
        <x:v>G018</x:v>
      </x:c>
      <x:c r="V299" s="2" t="str">
        <x:v>Authorized guardian release</x:v>
      </x:c>
      <x:c r="W299" s="2" t="str">
        <x:v>Completed transport</x:v>
      </x:c>
      <x:c r="X299" s="2" t="str">
        <x:v>QR</x:v>
      </x:c>
      <x:c r="Y299" s="2" t="str">
        <x:v>Online</x:v>
      </x:c>
      <x:c r="Z299" s="2" t="str">
        <x:v>Synced</x:v>
      </x:c>
      <x:c r="AA299" s="2"/>
      <x:c r="AB299" s="2"/>
      <x:c r="AC299" s="10" t="n">
        <x:f>IF(OR(K299="",Q299=""),"",ROUND((Q299-K299)*1440,2))</x:f>
        <x:v>31</x:v>
      </x:c>
    </x:row>
    <x:row r="300" ht="21" customHeight="1">
      <x:c r="A300" s="2" t="str">
        <x:v>LN00299</x:v>
      </x:c>
      <x:c r="B300" s="2" t="str">
        <x:v>T20261005-3-1</x:v>
      </x:c>
      <x:c r="C300" s="7" t="n">
        <x:v>46300</x:v>
      </x:c>
      <x:c r="D300" s="2" t="str">
        <x:v>BUS001</x:v>
      </x:c>
      <x:c r="E300" s="2" t="str">
        <x:v>ST019</x:v>
      </x:c>
      <x:c r="F300" s="2" t="n">
        <x:v>1</x:v>
      </x:c>
      <x:c r="G300" s="2" t="str">
        <x:v>Senior</x:v>
      </x:c>
      <x:c r="H300" s="2" t="str">
        <x:v>Drop-off</x:v>
      </x:c>
      <x:c r="I300" s="2" t="str">
        <x:v>R1S1</x:v>
      </x:c>
      <x:c r="J300" s="2" t="str">
        <x:v>EV000595</x:v>
      </x:c>
      <x:c r="K300" s="8" t="n">
        <x:v>46300.57319444445</x:v>
      </x:c>
      <x:c r="L300" s="2" t="str">
        <x:v>SCH01</x:v>
      </x:c>
      <x:c r="M300" s="9" t="n">
        <x:v>25.285</x:v>
      </x:c>
      <x:c r="N300" s="9" t="n">
        <x:v>51.51</x:v>
      </x:c>
      <x:c r="O300" s="2" t="str">
        <x:v>Valid</x:v>
      </x:c>
      <x:c r="P300" s="2" t="str">
        <x:v>EV000596</x:v>
      </x:c>
      <x:c r="Q300" s="8" t="n">
        <x:v>46300.58638888889</x:v>
      </x:c>
      <x:c r="R300" s="2" t="str">
        <x:v>R1S1</x:v>
      </x:c>
      <x:c r="S300" s="9" t="n">
        <x:v>25.271</x:v>
      </x:c>
      <x:c r="T300" s="9" t="n">
        <x:v>51.491</x:v>
      </x:c>
      <x:c r="U300" s="2" t="str">
        <x:v>G019</x:v>
      </x:c>
      <x:c r="V300" s="2" t="str">
        <x:v>Authorized guardian release</x:v>
      </x:c>
      <x:c r="W300" s="2" t="str">
        <x:v>Completed transport</x:v>
      </x:c>
      <x:c r="X300" s="2" t="str">
        <x:v>QR</x:v>
      </x:c>
      <x:c r="Y300" s="2" t="str">
        <x:v>Online</x:v>
      </x:c>
      <x:c r="Z300" s="2" t="str">
        <x:v>Synced</x:v>
      </x:c>
      <x:c r="AA300" s="2"/>
      <x:c r="AB300" s="2"/>
      <x:c r="AC300" s="10" t="n">
        <x:f>IF(OR(K300="",Q300=""),"",ROUND((Q300-K300)*1440,2))</x:f>
        <x:v>19</x:v>
      </x:c>
    </x:row>
    <x:row r="301" ht="21" customHeight="1">
      <x:c r="A301" s="2" t="str">
        <x:v>LN00300</x:v>
      </x:c>
      <x:c r="B301" s="2" t="str">
        <x:v>T20261005-3-1</x:v>
      </x:c>
      <x:c r="C301" s="7" t="n">
        <x:v>46300</x:v>
      </x:c>
      <x:c r="D301" s="2" t="str">
        <x:v>BUS001</x:v>
      </x:c>
      <x:c r="E301" s="2" t="str">
        <x:v>ST020</x:v>
      </x:c>
      <x:c r="F301" s="2" t="n">
        <x:v>1</x:v>
      </x:c>
      <x:c r="G301" s="2" t="str">
        <x:v>Senior</x:v>
      </x:c>
      <x:c r="H301" s="2" t="str">
        <x:v>Drop-off</x:v>
      </x:c>
      <x:c r="I301" s="2" t="str">
        <x:v>R1S2</x:v>
      </x:c>
      <x:c r="J301" s="2" t="str">
        <x:v>EV000597</x:v>
      </x:c>
      <x:c r="K301" s="8" t="n">
        <x:v>46300.57322916667</x:v>
      </x:c>
      <x:c r="L301" s="2" t="str">
        <x:v>SCH01</x:v>
      </x:c>
      <x:c r="M301" s="9" t="n">
        <x:v>25.285</x:v>
      </x:c>
      <x:c r="N301" s="9" t="n">
        <x:v>51.51</x:v>
      </x:c>
      <x:c r="O301" s="2" t="str">
        <x:v>Valid</x:v>
      </x:c>
      <x:c r="P301" s="2" t="str">
        <x:v>EV000598</x:v>
      </x:c>
      <x:c r="Q301" s="8" t="n">
        <x:v>46300.59059027778</x:v>
      </x:c>
      <x:c r="R301" s="2" t="str">
        <x:v>R1S2</x:v>
      </x:c>
      <x:c r="S301" s="9" t="n">
        <x:v>25.273000000000003</x:v>
      </x:c>
      <x:c r="T301" s="9" t="n">
        <x:v>51.494</x:v>
      </x:c>
      <x:c r="U301" s="2" t="str">
        <x:v>G020</x:v>
      </x:c>
      <x:c r="V301" s="2" t="str">
        <x:v>Authorized guardian release</x:v>
      </x:c>
      <x:c r="W301" s="2" t="str">
        <x:v>Completed transport</x:v>
      </x:c>
      <x:c r="X301" s="2" t="str">
        <x:v>QR</x:v>
      </x:c>
      <x:c r="Y301" s="2" t="str">
        <x:v>Online</x:v>
      </x:c>
      <x:c r="Z301" s="2" t="str">
        <x:v>Synced</x:v>
      </x:c>
      <x:c r="AA301" s="2"/>
      <x:c r="AB301" s="2"/>
      <x:c r="AC301" s="10" t="n">
        <x:f>IF(OR(K301="",Q301=""),"",ROUND((Q301-K301)*1440,2))</x:f>
        <x:v>25</x:v>
      </x:c>
    </x:row>
    <x:row r="302" ht="21" customHeight="1">
      <x:c r="A302" s="2" t="str">
        <x:v>LN00301</x:v>
      </x:c>
      <x:c r="B302" s="2" t="str">
        <x:v>T20261005-4-1</x:v>
      </x:c>
      <x:c r="C302" s="7" t="n">
        <x:v>46300</x:v>
      </x:c>
      <x:c r="D302" s="2" t="str">
        <x:v>BUS001</x:v>
      </x:c>
      <x:c r="E302" s="2" t="str">
        <x:v>ST021</x:v>
      </x:c>
      <x:c r="F302" s="2" t="n">
        <x:v>2</x:v>
      </x:c>
      <x:c r="G302" s="2" t="str">
        <x:v>Junior</x:v>
      </x:c>
      <x:c r="H302" s="2" t="str">
        <x:v>Drop-off</x:v>
      </x:c>
      <x:c r="I302" s="2" t="str">
        <x:v>R1S3</x:v>
      </x:c>
      <x:c r="J302" s="2" t="str">
        <x:v>EV000599</x:v>
      </x:c>
      <x:c r="K302" s="8" t="n">
        <x:v>46300.60416666667</x:v>
      </x:c>
      <x:c r="L302" s="2" t="str">
        <x:v>SCH01</x:v>
      </x:c>
      <x:c r="M302" s="9" t="n">
        <x:v>25.285</x:v>
      </x:c>
      <x:c r="N302" s="9" t="n">
        <x:v>51.51</x:v>
      </x:c>
      <x:c r="O302" s="2" t="str">
        <x:v>Valid</x:v>
      </x:c>
      <x:c r="P302" s="2" t="str">
        <x:v>EV000600</x:v>
      </x:c>
      <x:c r="Q302" s="8" t="n">
        <x:v>46300.62708333333</x:v>
      </x:c>
      <x:c r="R302" s="2" t="str">
        <x:v>R1S3</x:v>
      </x:c>
      <x:c r="S302" s="9" t="n">
        <x:v>25.275000000000002</x:v>
      </x:c>
      <x:c r="T302" s="9" t="n">
        <x:v>51.497</x:v>
      </x:c>
      <x:c r="U302" s="2" t="str">
        <x:v>G021</x:v>
      </x:c>
      <x:c r="V302" s="2" t="str">
        <x:v>Authorized guardian release</x:v>
      </x:c>
      <x:c r="W302" s="2" t="str">
        <x:v>Completed transport</x:v>
      </x:c>
      <x:c r="X302" s="2" t="str">
        <x:v>QR</x:v>
      </x:c>
      <x:c r="Y302" s="2" t="str">
        <x:v>Online</x:v>
      </x:c>
      <x:c r="Z302" s="2" t="str">
        <x:v>Synced</x:v>
      </x:c>
      <x:c r="AA302" s="2"/>
      <x:c r="AB302" s="2"/>
      <x:c r="AC302" s="10" t="n">
        <x:f>IF(OR(K302="",Q302=""),"",ROUND((Q302-K302)*1440,2))</x:f>
        <x:v>33</x:v>
      </x:c>
    </x:row>
    <x:row r="303" ht="21" customHeight="1">
      <x:c r="A303" s="2" t="str">
        <x:v>LN00302</x:v>
      </x:c>
      <x:c r="B303" s="2" t="str">
        <x:v>T20261005-4-1</x:v>
      </x:c>
      <x:c r="C303" s="7" t="n">
        <x:v>46300</x:v>
      </x:c>
      <x:c r="D303" s="2" t="str">
        <x:v>BUS001</x:v>
      </x:c>
      <x:c r="E303" s="2" t="str">
        <x:v>ST022</x:v>
      </x:c>
      <x:c r="F303" s="2" t="n">
        <x:v>2</x:v>
      </x:c>
      <x:c r="G303" s="2" t="str">
        <x:v>Junior</x:v>
      </x:c>
      <x:c r="H303" s="2" t="str">
        <x:v>Drop-off</x:v>
      </x:c>
      <x:c r="I303" s="2" t="str">
        <x:v>R1S1</x:v>
      </x:c>
      <x:c r="J303" s="2" t="str">
        <x:v>EV000601</x:v>
      </x:c>
      <x:c r="K303" s="8" t="n">
        <x:v>46300.604201388895</x:v>
      </x:c>
      <x:c r="L303" s="2" t="str">
        <x:v>SCH01</x:v>
      </x:c>
      <x:c r="M303" s="9" t="n">
        <x:v>25.285</x:v>
      </x:c>
      <x:c r="N303" s="9" t="n">
        <x:v>51.51</x:v>
      </x:c>
      <x:c r="O303" s="2" t="str">
        <x:v>Valid</x:v>
      </x:c>
      <x:c r="P303" s="2" t="str">
        <x:v>EV000602</x:v>
      </x:c>
      <x:c r="Q303" s="8" t="n">
        <x:v>46300.618784722225</x:v>
      </x:c>
      <x:c r="R303" s="2" t="str">
        <x:v>R1S1</x:v>
      </x:c>
      <x:c r="S303" s="9" t="n">
        <x:v>25.271</x:v>
      </x:c>
      <x:c r="T303" s="9" t="n">
        <x:v>51.491</x:v>
      </x:c>
      <x:c r="U303" s="2" t="str">
        <x:v>G022</x:v>
      </x:c>
      <x:c r="V303" s="2" t="str">
        <x:v>Authorized guardian release</x:v>
      </x:c>
      <x:c r="W303" s="2" t="str">
        <x:v>Completed transport</x:v>
      </x:c>
      <x:c r="X303" s="2" t="str">
        <x:v>QR</x:v>
      </x:c>
      <x:c r="Y303" s="2" t="str">
        <x:v>Online</x:v>
      </x:c>
      <x:c r="Z303" s="2" t="str">
        <x:v>Synced</x:v>
      </x:c>
      <x:c r="AA303" s="2"/>
      <x:c r="AB303" s="2"/>
      <x:c r="AC303" s="10" t="n">
        <x:f>IF(OR(K303="",Q303=""),"",ROUND((Q303-K303)*1440,2))</x:f>
        <x:v>21</x:v>
      </x:c>
    </x:row>
    <x:row r="304" ht="21" customHeight="1">
      <x:c r="A304" s="2" t="str">
        <x:v>LN00303</x:v>
      </x:c>
      <x:c r="B304" s="2" t="str">
        <x:v>T20261005-4-1</x:v>
      </x:c>
      <x:c r="C304" s="7" t="n">
        <x:v>46300</x:v>
      </x:c>
      <x:c r="D304" s="2" t="str">
        <x:v>BUS001</x:v>
      </x:c>
      <x:c r="E304" s="2" t="str">
        <x:v>ST023</x:v>
      </x:c>
      <x:c r="F304" s="2" t="n">
        <x:v>2</x:v>
      </x:c>
      <x:c r="G304" s="2" t="str">
        <x:v>Junior</x:v>
      </x:c>
      <x:c r="H304" s="2" t="str">
        <x:v>Drop-off</x:v>
      </x:c>
      <x:c r="I304" s="2" t="str">
        <x:v>R1S2</x:v>
      </x:c>
      <x:c r="J304" s="2" t="str">
        <x:v>EV000603</x:v>
      </x:c>
      <x:c r="K304" s="8" t="n">
        <x:v>46300.60423611112</x:v>
      </x:c>
      <x:c r="L304" s="2" t="str">
        <x:v>SCH01</x:v>
      </x:c>
      <x:c r="M304" s="9" t="n">
        <x:v>25.285</x:v>
      </x:c>
      <x:c r="N304" s="9" t="n">
        <x:v>51.51</x:v>
      </x:c>
      <x:c r="O304" s="2" t="str">
        <x:v>Valid</x:v>
      </x:c>
      <x:c r="P304" s="2" t="str">
        <x:v>EV000604</x:v>
      </x:c>
      <x:c r="Q304" s="8" t="n">
        <x:v>46300.62298611111</x:v>
      </x:c>
      <x:c r="R304" s="2" t="str">
        <x:v>R1S2</x:v>
      </x:c>
      <x:c r="S304" s="9" t="n">
        <x:v>25.273000000000003</x:v>
      </x:c>
      <x:c r="T304" s="9" t="n">
        <x:v>51.494</x:v>
      </x:c>
      <x:c r="U304" s="2" t="str">
        <x:v>G023</x:v>
      </x:c>
      <x:c r="V304" s="2" t="str">
        <x:v>Authorized guardian release</x:v>
      </x:c>
      <x:c r="W304" s="2" t="str">
        <x:v>Completed transport</x:v>
      </x:c>
      <x:c r="X304" s="2" t="str">
        <x:v>QR</x:v>
      </x:c>
      <x:c r="Y304" s="2" t="str">
        <x:v>Online</x:v>
      </x:c>
      <x:c r="Z304" s="2" t="str">
        <x:v>Synced</x:v>
      </x:c>
      <x:c r="AA304" s="2"/>
      <x:c r="AB304" s="2"/>
      <x:c r="AC304" s="10" t="n">
        <x:f>IF(OR(K304="",Q304=""),"",ROUND((Q304-K304)*1440,2))</x:f>
        <x:v>27</x:v>
      </x:c>
    </x:row>
    <x:row r="305" ht="21" customHeight="1">
      <x:c r="A305" s="2" t="str">
        <x:v>LN00304</x:v>
      </x:c>
      <x:c r="B305" s="2" t="str">
        <x:v>T20261005-4-1</x:v>
      </x:c>
      <x:c r="C305" s="7" t="n">
        <x:v>46300</x:v>
      </x:c>
      <x:c r="D305" s="2" t="str">
        <x:v>BUS001</x:v>
      </x:c>
      <x:c r="E305" s="2" t="str">
        <x:v>ST024</x:v>
      </x:c>
      <x:c r="F305" s="2" t="n">
        <x:v>2</x:v>
      </x:c>
      <x:c r="G305" s="2" t="str">
        <x:v>Junior</x:v>
      </x:c>
      <x:c r="H305" s="2" t="str">
        <x:v>Drop-off</x:v>
      </x:c>
      <x:c r="I305" s="2" t="str">
        <x:v>R1S3</x:v>
      </x:c>
      <x:c r="J305" s="2" t="str">
        <x:v>EV000605</x:v>
      </x:c>
      <x:c r="K305" s="8" t="n">
        <x:v>46300.60427083334</x:v>
      </x:c>
      <x:c r="L305" s="2" t="str">
        <x:v>SCH01</x:v>
      </x:c>
      <x:c r="M305" s="9" t="n">
        <x:v>25.285</x:v>
      </x:c>
      <x:c r="N305" s="9" t="n">
        <x:v>51.51</x:v>
      </x:c>
      <x:c r="O305" s="2" t="str">
        <x:v>Valid</x:v>
      </x:c>
      <x:c r="P305" s="2" t="str">
        <x:v>EV000606</x:v>
      </x:c>
      <x:c r="Q305" s="8" t="n">
        <x:v>46300.6271875</x:v>
      </x:c>
      <x:c r="R305" s="2" t="str">
        <x:v>R1S3</x:v>
      </x:c>
      <x:c r="S305" s="9" t="n">
        <x:v>25.275000000000002</x:v>
      </x:c>
      <x:c r="T305" s="9" t="n">
        <x:v>51.497</x:v>
      </x:c>
      <x:c r="U305" s="2" t="str">
        <x:v>G024</x:v>
      </x:c>
      <x:c r="V305" s="2" t="str">
        <x:v>Authorized guardian release</x:v>
      </x:c>
      <x:c r="W305" s="2" t="str">
        <x:v>Completed transport</x:v>
      </x:c>
      <x:c r="X305" s="2" t="str">
        <x:v>QR</x:v>
      </x:c>
      <x:c r="Y305" s="2" t="str">
        <x:v>Online</x:v>
      </x:c>
      <x:c r="Z305" s="2" t="str">
        <x:v>Synced</x:v>
      </x:c>
      <x:c r="AA305" s="2"/>
      <x:c r="AB305" s="2"/>
      <x:c r="AC305" s="10" t="n">
        <x:f>IF(OR(K305="",Q305=""),"",ROUND((Q305-K305)*1440,2))</x:f>
        <x:v>33</x:v>
      </x:c>
    </x:row>
    <x:row r="306" ht="21" customHeight="1">
      <x:c r="A306" s="2" t="str">
        <x:v>LN00305</x:v>
      </x:c>
      <x:c r="B306" s="2" t="str">
        <x:v>T20261005-4-1</x:v>
      </x:c>
      <x:c r="C306" s="7" t="n">
        <x:v>46300</x:v>
      </x:c>
      <x:c r="D306" s="2" t="str">
        <x:v>BUS001</x:v>
      </x:c>
      <x:c r="E306" s="2" t="str">
        <x:v>ST025</x:v>
      </x:c>
      <x:c r="F306" s="2" t="n">
        <x:v>2</x:v>
      </x:c>
      <x:c r="G306" s="2" t="str">
        <x:v>Junior</x:v>
      </x:c>
      <x:c r="H306" s="2" t="str">
        <x:v>Drop-off</x:v>
      </x:c>
      <x:c r="I306" s="2" t="str">
        <x:v>R1S1</x:v>
      </x:c>
      <x:c r="J306" s="2" t="str">
        <x:v>EV000607</x:v>
      </x:c>
      <x:c r="K306" s="8" t="n">
        <x:v>46300.604305555564</x:v>
      </x:c>
      <x:c r="L306" s="2" t="str">
        <x:v>SCH01</x:v>
      </x:c>
      <x:c r="M306" s="9" t="n">
        <x:v>25.285</x:v>
      </x:c>
      <x:c r="N306" s="9" t="n">
        <x:v>51.51</x:v>
      </x:c>
      <x:c r="O306" s="2" t="str">
        <x:v>Valid</x:v>
      </x:c>
      <x:c r="P306" s="2" t="str">
        <x:v>EV000608</x:v>
      </x:c>
      <x:c r="Q306" s="8" t="n">
        <x:v>46300.618888888894</x:v>
      </x:c>
      <x:c r="R306" s="2" t="str">
        <x:v>R1S1</x:v>
      </x:c>
      <x:c r="S306" s="9" t="n">
        <x:v>25.271</x:v>
      </x:c>
      <x:c r="T306" s="9" t="n">
        <x:v>51.491</x:v>
      </x:c>
      <x:c r="U306" s="2" t="str">
        <x:v>G025</x:v>
      </x:c>
      <x:c r="V306" s="2" t="str">
        <x:v>Authorized guardian release</x:v>
      </x:c>
      <x:c r="W306" s="2" t="str">
        <x:v>Completed transport</x:v>
      </x:c>
      <x:c r="X306" s="2" t="str">
        <x:v>QR</x:v>
      </x:c>
      <x:c r="Y306" s="2" t="str">
        <x:v>Online</x:v>
      </x:c>
      <x:c r="Z306" s="2" t="str">
        <x:v>Synced</x:v>
      </x:c>
      <x:c r="AA306" s="2"/>
      <x:c r="AB306" s="2"/>
      <x:c r="AC306" s="10" t="n">
        <x:f>IF(OR(K306="",Q306=""),"",ROUND((Q306-K306)*1440,2))</x:f>
        <x:v>21</x:v>
      </x:c>
    </x:row>
    <x:row r="307" ht="21" customHeight="1">
      <x:c r="A307" s="2" t="str">
        <x:v>LN00306</x:v>
      </x:c>
      <x:c r="B307" s="2" t="str">
        <x:v>T20261005-4-1</x:v>
      </x:c>
      <x:c r="C307" s="7" t="n">
        <x:v>46300</x:v>
      </x:c>
      <x:c r="D307" s="2" t="str">
        <x:v>BUS001</x:v>
      </x:c>
      <x:c r="E307" s="2" t="str">
        <x:v>ST026</x:v>
      </x:c>
      <x:c r="F307" s="2" t="n">
        <x:v>2</x:v>
      </x:c>
      <x:c r="G307" s="2" t="str">
        <x:v>Junior</x:v>
      </x:c>
      <x:c r="H307" s="2" t="str">
        <x:v>Drop-off</x:v>
      </x:c>
      <x:c r="I307" s="2" t="str">
        <x:v>R1S2</x:v>
      </x:c>
      <x:c r="J307" s="2" t="str">
        <x:v>EV000609</x:v>
      </x:c>
      <x:c r="K307" s="8" t="n">
        <x:v>46300.60434027778</x:v>
      </x:c>
      <x:c r="L307" s="2" t="str">
        <x:v>SCH01</x:v>
      </x:c>
      <x:c r="M307" s="9" t="n">
        <x:v>25.285</x:v>
      </x:c>
      <x:c r="N307" s="9" t="n">
        <x:v>51.51</x:v>
      </x:c>
      <x:c r="O307" s="2" t="str">
        <x:v>Valid</x:v>
      </x:c>
      <x:c r="P307" s="2" t="str">
        <x:v>EV000610</x:v>
      </x:c>
      <x:c r="Q307" s="8" t="n">
        <x:v>46300.623090277775</x:v>
      </x:c>
      <x:c r="R307" s="2" t="str">
        <x:v>R1S2</x:v>
      </x:c>
      <x:c r="S307" s="9" t="n">
        <x:v>25.273000000000003</x:v>
      </x:c>
      <x:c r="T307" s="9" t="n">
        <x:v>51.494</x:v>
      </x:c>
      <x:c r="U307" s="2" t="str">
        <x:v>G026</x:v>
      </x:c>
      <x:c r="V307" s="2" t="str">
        <x:v>Authorized guardian release</x:v>
      </x:c>
      <x:c r="W307" s="2" t="str">
        <x:v>Completed transport</x:v>
      </x:c>
      <x:c r="X307" s="2" t="str">
        <x:v>QR</x:v>
      </x:c>
      <x:c r="Y307" s="2" t="str">
        <x:v>Online</x:v>
      </x:c>
      <x:c r="Z307" s="2" t="str">
        <x:v>Synced</x:v>
      </x:c>
      <x:c r="AA307" s="2"/>
      <x:c r="AB307" s="2"/>
      <x:c r="AC307" s="10" t="n">
        <x:f>IF(OR(K307="",Q307=""),"",ROUND((Q307-K307)*1440,2))</x:f>
        <x:v>27</x:v>
      </x:c>
    </x:row>
    <x:row r="308" ht="21" customHeight="1">
      <x:c r="A308" s="2" t="str">
        <x:v>LN00307</x:v>
      </x:c>
      <x:c r="B308" s="2" t="str">
        <x:v>T20261005-4-1</x:v>
      </x:c>
      <x:c r="C308" s="7" t="n">
        <x:v>46300</x:v>
      </x:c>
      <x:c r="D308" s="2" t="str">
        <x:v>BUS001</x:v>
      </x:c>
      <x:c r="E308" s="2" t="str">
        <x:v>ST027</x:v>
      </x:c>
      <x:c r="F308" s="2" t="n">
        <x:v>2</x:v>
      </x:c>
      <x:c r="G308" s="2" t="str">
        <x:v>Junior</x:v>
      </x:c>
      <x:c r="H308" s="2" t="str">
        <x:v>Drop-off</x:v>
      </x:c>
      <x:c r="I308" s="2" t="str">
        <x:v>R1S3</x:v>
      </x:c>
      <x:c r="J308" s="2" t="str">
        <x:v>EV000611</x:v>
      </x:c>
      <x:c r="K308" s="8" t="n">
        <x:v>46300.604375</x:v>
      </x:c>
      <x:c r="L308" s="2" t="str">
        <x:v>SCH01</x:v>
      </x:c>
      <x:c r="M308" s="9" t="n">
        <x:v>25.285</x:v>
      </x:c>
      <x:c r="N308" s="9" t="n">
        <x:v>51.51</x:v>
      </x:c>
      <x:c r="O308" s="2" t="str">
        <x:v>Valid</x:v>
      </x:c>
      <x:c r="P308" s="2" t="str">
        <x:v>EV000612</x:v>
      </x:c>
      <x:c r="Q308" s="8" t="n">
        <x:v>46300.627291666664</x:v>
      </x:c>
      <x:c r="R308" s="2" t="str">
        <x:v>R1S3</x:v>
      </x:c>
      <x:c r="S308" s="9" t="n">
        <x:v>25.275000000000002</x:v>
      </x:c>
      <x:c r="T308" s="9" t="n">
        <x:v>51.497</x:v>
      </x:c>
      <x:c r="U308" s="2" t="str">
        <x:v>G027</x:v>
      </x:c>
      <x:c r="V308" s="2" t="str">
        <x:v>Authorized guardian release</x:v>
      </x:c>
      <x:c r="W308" s="2" t="str">
        <x:v>Completed transport</x:v>
      </x:c>
      <x:c r="X308" s="2" t="str">
        <x:v>QR</x:v>
      </x:c>
      <x:c r="Y308" s="2" t="str">
        <x:v>Online</x:v>
      </x:c>
      <x:c r="Z308" s="2" t="str">
        <x:v>Synced</x:v>
      </x:c>
      <x:c r="AA308" s="2"/>
      <x:c r="AB308" s="2"/>
      <x:c r="AC308" s="10" t="n">
        <x:f>IF(OR(K308="",Q308=""),"",ROUND((Q308-K308)*1440,2))</x:f>
        <x:v>33</x:v>
      </x:c>
    </x:row>
    <x:row r="309" ht="21" customHeight="1">
      <x:c r="A309" s="2" t="str">
        <x:v>LN00308</x:v>
      </x:c>
      <x:c r="B309" s="2" t="str">
        <x:v>T20261005-4-1</x:v>
      </x:c>
      <x:c r="C309" s="7" t="n">
        <x:v>46300</x:v>
      </x:c>
      <x:c r="D309" s="2" t="str">
        <x:v>BUS001</x:v>
      </x:c>
      <x:c r="E309" s="2" t="str">
        <x:v>ST028</x:v>
      </x:c>
      <x:c r="F309" s="2" t="n">
        <x:v>2</x:v>
      </x:c>
      <x:c r="G309" s="2" t="str">
        <x:v>Junior</x:v>
      </x:c>
      <x:c r="H309" s="2" t="str">
        <x:v>Drop-off</x:v>
      </x:c>
      <x:c r="I309" s="2" t="str">
        <x:v>R1S1</x:v>
      </x:c>
      <x:c r="J309" s="2" t="str">
        <x:v>EV000613</x:v>
      </x:c>
      <x:c r="K309" s="8" t="n">
        <x:v>46300.604409722226</x:v>
      </x:c>
      <x:c r="L309" s="2" t="str">
        <x:v>SCH01</x:v>
      </x:c>
      <x:c r="M309" s="9" t="n">
        <x:v>25.285</x:v>
      </x:c>
      <x:c r="N309" s="9" t="n">
        <x:v>51.51</x:v>
      </x:c>
      <x:c r="O309" s="2" t="str">
        <x:v>Valid</x:v>
      </x:c>
      <x:c r="P309" s="2" t="str">
        <x:v>EV000614</x:v>
      </x:c>
      <x:c r="Q309" s="8" t="n">
        <x:v>46300.618993055556</x:v>
      </x:c>
      <x:c r="R309" s="2" t="str">
        <x:v>R1S1</x:v>
      </x:c>
      <x:c r="S309" s="9" t="n">
        <x:v>25.271</x:v>
      </x:c>
      <x:c r="T309" s="9" t="n">
        <x:v>51.491</x:v>
      </x:c>
      <x:c r="U309" s="2" t="str">
        <x:v>G028</x:v>
      </x:c>
      <x:c r="V309" s="2" t="str">
        <x:v>Authorized guardian release</x:v>
      </x:c>
      <x:c r="W309" s="2" t="str">
        <x:v>Completed transport</x:v>
      </x:c>
      <x:c r="X309" s="2" t="str">
        <x:v>QR</x:v>
      </x:c>
      <x:c r="Y309" s="2" t="str">
        <x:v>Online</x:v>
      </x:c>
      <x:c r="Z309" s="2" t="str">
        <x:v>Synced</x:v>
      </x:c>
      <x:c r="AA309" s="2"/>
      <x:c r="AB309" s="2"/>
      <x:c r="AC309" s="10" t="n">
        <x:f>IF(OR(K309="",Q309=""),"",ROUND((Q309-K309)*1440,2))</x:f>
        <x:v>21</x:v>
      </x:c>
    </x:row>
    <x:row r="310" ht="21" customHeight="1">
      <x:c r="A310" s="2" t="str">
        <x:v>LN00309</x:v>
      </x:c>
      <x:c r="B310" s="2" t="str">
        <x:v>T20261005-4-1</x:v>
      </x:c>
      <x:c r="C310" s="7" t="n">
        <x:v>46300</x:v>
      </x:c>
      <x:c r="D310" s="2" t="str">
        <x:v>BUS001</x:v>
      </x:c>
      <x:c r="E310" s="2" t="str">
        <x:v>ST029</x:v>
      </x:c>
      <x:c r="F310" s="2" t="n">
        <x:v>2</x:v>
      </x:c>
      <x:c r="G310" s="2" t="str">
        <x:v>Junior</x:v>
      </x:c>
      <x:c r="H310" s="2" t="str">
        <x:v>Drop-off</x:v>
      </x:c>
      <x:c r="I310" s="2" t="str">
        <x:v>R1S2</x:v>
      </x:c>
      <x:c r="J310" s="2" t="str">
        <x:v>EV000615</x:v>
      </x:c>
      <x:c r="K310" s="8" t="n">
        <x:v>46300.60444444445</x:v>
      </x:c>
      <x:c r="L310" s="2" t="str">
        <x:v>SCH01</x:v>
      </x:c>
      <x:c r="M310" s="9" t="n">
        <x:v>25.285</x:v>
      </x:c>
      <x:c r="N310" s="9" t="n">
        <x:v>51.51</x:v>
      </x:c>
      <x:c r="O310" s="2" t="str">
        <x:v>Valid</x:v>
      </x:c>
      <x:c r="P310" s="2" t="str">
        <x:v>EV000616</x:v>
      </x:c>
      <x:c r="Q310" s="8" t="n">
        <x:v>46300.623194444444</x:v>
      </x:c>
      <x:c r="R310" s="2" t="str">
        <x:v>R1S2</x:v>
      </x:c>
      <x:c r="S310" s="9" t="n">
        <x:v>25.273000000000003</x:v>
      </x:c>
      <x:c r="T310" s="9" t="n">
        <x:v>51.494</x:v>
      </x:c>
      <x:c r="U310" s="2" t="str">
        <x:v>G029</x:v>
      </x:c>
      <x:c r="V310" s="2" t="str">
        <x:v>Authorized guardian release</x:v>
      </x:c>
      <x:c r="W310" s="2" t="str">
        <x:v>Completed transport</x:v>
      </x:c>
      <x:c r="X310" s="2" t="str">
        <x:v>QR</x:v>
      </x:c>
      <x:c r="Y310" s="2" t="str">
        <x:v>Online</x:v>
      </x:c>
      <x:c r="Z310" s="2" t="str">
        <x:v>Synced</x:v>
      </x:c>
      <x:c r="AA310" s="2"/>
      <x:c r="AB310" s="2"/>
      <x:c r="AC310" s="10" t="n">
        <x:f>IF(OR(K310="",Q310=""),"",ROUND((Q310-K310)*1440,2))</x:f>
        <x:v>27</x:v>
      </x:c>
    </x:row>
    <x:row r="311" ht="21" customHeight="1">
      <x:c r="A311" s="2" t="str">
        <x:v>LN00310</x:v>
      </x:c>
      <x:c r="B311" s="2" t="str">
        <x:v>T20261005-4-1</x:v>
      </x:c>
      <x:c r="C311" s="7" t="n">
        <x:v>46300</x:v>
      </x:c>
      <x:c r="D311" s="2" t="str">
        <x:v>BUS001</x:v>
      </x:c>
      <x:c r="E311" s="2" t="str">
        <x:v>ST030</x:v>
      </x:c>
      <x:c r="F311" s="2" t="n">
        <x:v>2</x:v>
      </x:c>
      <x:c r="G311" s="2" t="str">
        <x:v>Junior</x:v>
      </x:c>
      <x:c r="H311" s="2" t="str">
        <x:v>Drop-off</x:v>
      </x:c>
      <x:c r="I311" s="2" t="str">
        <x:v>R1S3</x:v>
      </x:c>
      <x:c r="J311" s="2" t="str">
        <x:v>EV000617</x:v>
      </x:c>
      <x:c r="K311" s="8" t="n">
        <x:v>46300.60447916667</x:v>
      </x:c>
      <x:c r="L311" s="2" t="str">
        <x:v>SCH01</x:v>
      </x:c>
      <x:c r="M311" s="9" t="n">
        <x:v>25.285</x:v>
      </x:c>
      <x:c r="N311" s="9" t="n">
        <x:v>51.51</x:v>
      </x:c>
      <x:c r="O311" s="2" t="str">
        <x:v>Valid</x:v>
      </x:c>
      <x:c r="P311" s="2" t="str">
        <x:v>EV000618</x:v>
      </x:c>
      <x:c r="Q311" s="8" t="n">
        <x:v>46300.62739583333</x:v>
      </x:c>
      <x:c r="R311" s="2" t="str">
        <x:v>R1S3</x:v>
      </x:c>
      <x:c r="S311" s="9" t="n">
        <x:v>25.275000000000002</x:v>
      </x:c>
      <x:c r="T311" s="9" t="n">
        <x:v>51.497</x:v>
      </x:c>
      <x:c r="U311" s="2" t="str">
        <x:v>G030</x:v>
      </x:c>
      <x:c r="V311" s="2" t="str">
        <x:v>Authorized guardian release</x:v>
      </x:c>
      <x:c r="W311" s="2" t="str">
        <x:v>Completed transport</x:v>
      </x:c>
      <x:c r="X311" s="2" t="str">
        <x:v>QR</x:v>
      </x:c>
      <x:c r="Y311" s="2" t="str">
        <x:v>Online</x:v>
      </x:c>
      <x:c r="Z311" s="2" t="str">
        <x:v>Synced</x:v>
      </x:c>
      <x:c r="AA311" s="2"/>
      <x:c r="AB311" s="2"/>
      <x:c r="AC311" s="10" t="n">
        <x:f>IF(OR(K311="",Q311=""),"",ROUND((Q311-K311)*1440,2))</x:f>
        <x:v>33</x:v>
      </x:c>
    </x:row>
    <x:row r="312" ht="21" customHeight="1">
      <x:c r="A312" s="2" t="str">
        <x:v>LN00311</x:v>
      </x:c>
      <x:c r="B312" s="2" t="str">
        <x:v>T20261005-5-1</x:v>
      </x:c>
      <x:c r="C312" s="7" t="n">
        <x:v>46300</x:v>
      </x:c>
      <x:c r="D312" s="2" t="str">
        <x:v>BUS001</x:v>
      </x:c>
      <x:c r="E312" s="2" t="str">
        <x:v>ST031</x:v>
      </x:c>
      <x:c r="F312" s="2" t="n">
        <x:v>2</x:v>
      </x:c>
      <x:c r="G312" s="2" t="str">
        <x:v>Senior</x:v>
      </x:c>
      <x:c r="H312" s="2" t="str">
        <x:v>Drop-off</x:v>
      </x:c>
      <x:c r="I312" s="2" t="str">
        <x:v>R1S1</x:v>
      </x:c>
      <x:c r="J312" s="2" t="str">
        <x:v>EV000619</x:v>
      </x:c>
      <x:c r="K312" s="8" t="n">
        <x:v>46300.70833333333</x:v>
      </x:c>
      <x:c r="L312" s="2" t="str">
        <x:v>SCH01</x:v>
      </x:c>
      <x:c r="M312" s="9" t="n">
        <x:v>25.285</x:v>
      </x:c>
      <x:c r="N312" s="9" t="n">
        <x:v>51.51</x:v>
      </x:c>
      <x:c r="O312" s="2" t="str">
        <x:v>Valid</x:v>
      </x:c>
      <x:c r="P312" s="2" t="str">
        <x:v>EV000620</x:v>
      </x:c>
      <x:c r="Q312" s="8" t="n">
        <x:v>46300.72361111111</x:v>
      </x:c>
      <x:c r="R312" s="2" t="str">
        <x:v>R1S1</x:v>
      </x:c>
      <x:c r="S312" s="9" t="n">
        <x:v>25.271</x:v>
      </x:c>
      <x:c r="T312" s="9" t="n">
        <x:v>51.491</x:v>
      </x:c>
      <x:c r="U312" s="2" t="str">
        <x:v>G031</x:v>
      </x:c>
      <x:c r="V312" s="2" t="str">
        <x:v>Authorized guardian release</x:v>
      </x:c>
      <x:c r="W312" s="2" t="str">
        <x:v>Completed transport</x:v>
      </x:c>
      <x:c r="X312" s="2" t="str">
        <x:v>QR</x:v>
      </x:c>
      <x:c r="Y312" s="2" t="str">
        <x:v>Online</x:v>
      </x:c>
      <x:c r="Z312" s="2" t="str">
        <x:v>Synced</x:v>
      </x:c>
      <x:c r="AA312" s="2"/>
      <x:c r="AB312" s="2"/>
      <x:c r="AC312" s="10" t="n">
        <x:f>IF(OR(K312="",Q312=""),"",ROUND((Q312-K312)*1440,2))</x:f>
        <x:v>22</x:v>
      </x:c>
    </x:row>
    <x:row r="313" ht="21" customHeight="1">
      <x:c r="A313" s="2" t="str">
        <x:v>LN00312</x:v>
      </x:c>
      <x:c r="B313" s="2" t="str">
        <x:v>T20261005-5-1</x:v>
      </x:c>
      <x:c r="C313" s="7" t="n">
        <x:v>46300</x:v>
      </x:c>
      <x:c r="D313" s="2" t="str">
        <x:v>BUS001</x:v>
      </x:c>
      <x:c r="E313" s="2" t="str">
        <x:v>ST032</x:v>
      </x:c>
      <x:c r="F313" s="2" t="n">
        <x:v>2</x:v>
      </x:c>
      <x:c r="G313" s="2" t="str">
        <x:v>Senior</x:v>
      </x:c>
      <x:c r="H313" s="2" t="str">
        <x:v>Drop-off</x:v>
      </x:c>
      <x:c r="I313" s="2" t="str">
        <x:v>R1S2</x:v>
      </x:c>
      <x:c r="J313" s="2" t="str">
        <x:v>EV000621</x:v>
      </x:c>
      <x:c r="K313" s="8" t="n">
        <x:v>46300.70836805555</x:v>
      </x:c>
      <x:c r="L313" s="2" t="str">
        <x:v>SCH01</x:v>
      </x:c>
      <x:c r="M313" s="9" t="n">
        <x:v>25.285</x:v>
      </x:c>
      <x:c r="N313" s="9" t="n">
        <x:v>51.51</x:v>
      </x:c>
      <x:c r="O313" s="2" t="str">
        <x:v>Valid</x:v>
      </x:c>
      <x:c r="P313" s="2" t="str">
        <x:v>EV000622</x:v>
      </x:c>
      <x:c r="Q313" s="8" t="n">
        <x:v>46300.72850694445</x:v>
      </x:c>
      <x:c r="R313" s="2" t="str">
        <x:v>R1S2</x:v>
      </x:c>
      <x:c r="S313" s="9" t="n">
        <x:v>25.273000000000003</x:v>
      </x:c>
      <x:c r="T313" s="9" t="n">
        <x:v>51.494</x:v>
      </x:c>
      <x:c r="U313" s="2" t="str">
        <x:v>G032</x:v>
      </x:c>
      <x:c r="V313" s="2" t="str">
        <x:v>Authorized guardian release</x:v>
      </x:c>
      <x:c r="W313" s="2" t="str">
        <x:v>Completed transport</x:v>
      </x:c>
      <x:c r="X313" s="2" t="str">
        <x:v>QR</x:v>
      </x:c>
      <x:c r="Y313" s="2" t="str">
        <x:v>Online</x:v>
      </x:c>
      <x:c r="Z313" s="2" t="str">
        <x:v>Synced</x:v>
      </x:c>
      <x:c r="AA313" s="2"/>
      <x:c r="AB313" s="2"/>
      <x:c r="AC313" s="10" t="n">
        <x:f>IF(OR(K313="",Q313=""),"",ROUND((Q313-K313)*1440,2))</x:f>
        <x:v>29</x:v>
      </x:c>
    </x:row>
    <x:row r="314" ht="21" customHeight="1">
      <x:c r="A314" s="2" t="str">
        <x:v>LN00313</x:v>
      </x:c>
      <x:c r="B314" s="2" t="str">
        <x:v>T20261005-5-1</x:v>
      </x:c>
      <x:c r="C314" s="7" t="n">
        <x:v>46300</x:v>
      </x:c>
      <x:c r="D314" s="2" t="str">
        <x:v>BUS001</x:v>
      </x:c>
      <x:c r="E314" s="2" t="str">
        <x:v>ST033</x:v>
      </x:c>
      <x:c r="F314" s="2" t="n">
        <x:v>2</x:v>
      </x:c>
      <x:c r="G314" s="2" t="str">
        <x:v>Senior</x:v>
      </x:c>
      <x:c r="H314" s="2" t="str">
        <x:v>Drop-off</x:v>
      </x:c>
      <x:c r="I314" s="2" t="str">
        <x:v>R1S3</x:v>
      </x:c>
      <x:c r="J314" s="2" t="str">
        <x:v>EV000623</x:v>
      </x:c>
      <x:c r="K314" s="8" t="n">
        <x:v>46300.708402777775</x:v>
      </x:c>
      <x:c r="L314" s="2" t="str">
        <x:v>SCH01</x:v>
      </x:c>
      <x:c r="M314" s="9" t="n">
        <x:v>25.285</x:v>
      </x:c>
      <x:c r="N314" s="9" t="n">
        <x:v>51.51</x:v>
      </x:c>
      <x:c r="O314" s="2" t="str">
        <x:v>Valid</x:v>
      </x:c>
      <x:c r="P314" s="2" t="str">
        <x:v>EV000624</x:v>
      </x:c>
      <x:c r="Q314" s="8" t="n">
        <x:v>46300.73340277778</x:v>
      </x:c>
      <x:c r="R314" s="2" t="str">
        <x:v>R1S3</x:v>
      </x:c>
      <x:c r="S314" s="9" t="n">
        <x:v>25.275000000000002</x:v>
      </x:c>
      <x:c r="T314" s="9" t="n">
        <x:v>51.497</x:v>
      </x:c>
      <x:c r="U314" s="2" t="str">
        <x:v>G033</x:v>
      </x:c>
      <x:c r="V314" s="2" t="str">
        <x:v>Authorized guardian release</x:v>
      </x:c>
      <x:c r="W314" s="2" t="str">
        <x:v>Completed transport</x:v>
      </x:c>
      <x:c r="X314" s="2" t="str">
        <x:v>QR</x:v>
      </x:c>
      <x:c r="Y314" s="2" t="str">
        <x:v>Online</x:v>
      </x:c>
      <x:c r="Z314" s="2" t="str">
        <x:v>Synced</x:v>
      </x:c>
      <x:c r="AA314" s="2"/>
      <x:c r="AB314" s="2"/>
      <x:c r="AC314" s="10" t="n">
        <x:f>IF(OR(K314="",Q314=""),"",ROUND((Q314-K314)*1440,2))</x:f>
        <x:v>36</x:v>
      </x:c>
    </x:row>
    <x:row r="315" ht="21" customHeight="1">
      <x:c r="A315" s="2" t="str">
        <x:v>LN00314</x:v>
      </x:c>
      <x:c r="B315" s="2" t="str">
        <x:v>T20261005-5-1</x:v>
      </x:c>
      <x:c r="C315" s="7" t="n">
        <x:v>46300</x:v>
      </x:c>
      <x:c r="D315" s="2" t="str">
        <x:v>BUS001</x:v>
      </x:c>
      <x:c r="E315" s="2" t="str">
        <x:v>ST034</x:v>
      </x:c>
      <x:c r="F315" s="2" t="n">
        <x:v>2</x:v>
      </x:c>
      <x:c r="G315" s="2" t="str">
        <x:v>Senior</x:v>
      </x:c>
      <x:c r="H315" s="2" t="str">
        <x:v>Drop-off</x:v>
      </x:c>
      <x:c r="I315" s="2" t="str">
        <x:v>R1S1</x:v>
      </x:c>
      <x:c r="J315" s="2" t="str">
        <x:v>EV000625</x:v>
      </x:c>
      <x:c r="K315" s="8" t="n">
        <x:v>46300.7084375</x:v>
      </x:c>
      <x:c r="L315" s="2" t="str">
        <x:v>SCH01</x:v>
      </x:c>
      <x:c r="M315" s="9" t="n">
        <x:v>25.285</x:v>
      </x:c>
      <x:c r="N315" s="9" t="n">
        <x:v>51.51</x:v>
      </x:c>
      <x:c r="O315" s="2" t="str">
        <x:v>Valid</x:v>
      </x:c>
      <x:c r="P315" s="2" t="str">
        <x:v>EV000626</x:v>
      </x:c>
      <x:c r="Q315" s="8" t="n">
        <x:v>46300.72371527778</x:v>
      </x:c>
      <x:c r="R315" s="2" t="str">
        <x:v>R1S1</x:v>
      </x:c>
      <x:c r="S315" s="9" t="n">
        <x:v>25.271</x:v>
      </x:c>
      <x:c r="T315" s="9" t="n">
        <x:v>51.491</x:v>
      </x:c>
      <x:c r="U315" s="2" t="str">
        <x:v>G034</x:v>
      </x:c>
      <x:c r="V315" s="2" t="str">
        <x:v>Authorized guardian release</x:v>
      </x:c>
      <x:c r="W315" s="2" t="str">
        <x:v>Completed transport</x:v>
      </x:c>
      <x:c r="X315" s="2" t="str">
        <x:v>QR</x:v>
      </x:c>
      <x:c r="Y315" s="2" t="str">
        <x:v>Online</x:v>
      </x:c>
      <x:c r="Z315" s="2" t="str">
        <x:v>Synced</x:v>
      </x:c>
      <x:c r="AA315" s="2"/>
      <x:c r="AB315" s="2"/>
      <x:c r="AC315" s="10" t="n">
        <x:f>IF(OR(K315="",Q315=""),"",ROUND((Q315-K315)*1440,2))</x:f>
        <x:v>22</x:v>
      </x:c>
    </x:row>
    <x:row r="316" ht="21" customHeight="1">
      <x:c r="A316" s="2" t="str">
        <x:v>LN00315</x:v>
      </x:c>
      <x:c r="B316" s="2" t="str">
        <x:v>T20261005-5-1</x:v>
      </x:c>
      <x:c r="C316" s="7" t="n">
        <x:v>46300</x:v>
      </x:c>
      <x:c r="D316" s="2" t="str">
        <x:v>BUS001</x:v>
      </x:c>
      <x:c r="E316" s="2" t="str">
        <x:v>ST035</x:v>
      </x:c>
      <x:c r="F316" s="2" t="n">
        <x:v>2</x:v>
      </x:c>
      <x:c r="G316" s="2" t="str">
        <x:v>Senior</x:v>
      </x:c>
      <x:c r="H316" s="2" t="str">
        <x:v>Drop-off</x:v>
      </x:c>
      <x:c r="I316" s="2" t="str">
        <x:v>R1S2</x:v>
      </x:c>
      <x:c r="J316" s="2" t="str">
        <x:v>EV000627</x:v>
      </x:c>
      <x:c r="K316" s="8" t="n">
        <x:v>46300.70847222222</x:v>
      </x:c>
      <x:c r="L316" s="2" t="str">
        <x:v>SCH01</x:v>
      </x:c>
      <x:c r="M316" s="9" t="n">
        <x:v>25.285</x:v>
      </x:c>
      <x:c r="N316" s="9" t="n">
        <x:v>51.51</x:v>
      </x:c>
      <x:c r="O316" s="2" t="str">
        <x:v>Valid</x:v>
      </x:c>
      <x:c r="P316" s="2" t="str">
        <x:v>EV000628</x:v>
      </x:c>
      <x:c r="Q316" s="8" t="n">
        <x:v>46300.72861111112</x:v>
      </x:c>
      <x:c r="R316" s="2" t="str">
        <x:v>R1S2</x:v>
      </x:c>
      <x:c r="S316" s="9" t="n">
        <x:v>25.273000000000003</x:v>
      </x:c>
      <x:c r="T316" s="9" t="n">
        <x:v>51.494</x:v>
      </x:c>
      <x:c r="U316" s="2" t="str">
        <x:v>G035</x:v>
      </x:c>
      <x:c r="V316" s="2" t="str">
        <x:v>Authorized guardian release</x:v>
      </x:c>
      <x:c r="W316" s="2" t="str">
        <x:v>Completed transport</x:v>
      </x:c>
      <x:c r="X316" s="2" t="str">
        <x:v>QR</x:v>
      </x:c>
      <x:c r="Y316" s="2" t="str">
        <x:v>Online</x:v>
      </x:c>
      <x:c r="Z316" s="2" t="str">
        <x:v>Synced</x:v>
      </x:c>
      <x:c r="AA316" s="2"/>
      <x:c r="AB316" s="2"/>
      <x:c r="AC316" s="10" t="n">
        <x:f>IF(OR(K316="",Q316=""),"",ROUND((Q316-K316)*1440,2))</x:f>
        <x:v>29</x:v>
      </x:c>
    </x:row>
    <x:row r="317" ht="21" customHeight="1">
      <x:c r="A317" s="2" t="str">
        <x:v>LN00316</x:v>
      </x:c>
      <x:c r="B317" s="2" t="str">
        <x:v>T20261005-5-1</x:v>
      </x:c>
      <x:c r="C317" s="7" t="n">
        <x:v>46300</x:v>
      </x:c>
      <x:c r="D317" s="2" t="str">
        <x:v>BUS001</x:v>
      </x:c>
      <x:c r="E317" s="2" t="str">
        <x:v>ST036</x:v>
      </x:c>
      <x:c r="F317" s="2" t="n">
        <x:v>2</x:v>
      </x:c>
      <x:c r="G317" s="2" t="str">
        <x:v>Senior</x:v>
      </x:c>
      <x:c r="H317" s="2" t="str">
        <x:v>Drop-off</x:v>
      </x:c>
      <x:c r="I317" s="2" t="str">
        <x:v>R1S3</x:v>
      </x:c>
      <x:c r="J317" s="2" t="str">
        <x:v>EV000629</x:v>
      </x:c>
      <x:c r="K317" s="8" t="n">
        <x:v>46300.70850694444</x:v>
      </x:c>
      <x:c r="L317" s="2" t="str">
        <x:v>SCH01</x:v>
      </x:c>
      <x:c r="M317" s="9" t="n">
        <x:v>25.285</x:v>
      </x:c>
      <x:c r="N317" s="9" t="n">
        <x:v>51.51</x:v>
      </x:c>
      <x:c r="O317" s="2" t="str">
        <x:v>Valid</x:v>
      </x:c>
      <x:c r="P317" s="2" t="str">
        <x:v>EV000630</x:v>
      </x:c>
      <x:c r="Q317" s="8" t="n">
        <x:v>46300.733506944445</x:v>
      </x:c>
      <x:c r="R317" s="2" t="str">
        <x:v>R1S3</x:v>
      </x:c>
      <x:c r="S317" s="9" t="n">
        <x:v>25.275000000000002</x:v>
      </x:c>
      <x:c r="T317" s="9" t="n">
        <x:v>51.497</x:v>
      </x:c>
      <x:c r="U317" s="2" t="str">
        <x:v>G036</x:v>
      </x:c>
      <x:c r="V317" s="2" t="str">
        <x:v>Authorized guardian release</x:v>
      </x:c>
      <x:c r="W317" s="2" t="str">
        <x:v>Completed transport</x:v>
      </x:c>
      <x:c r="X317" s="2" t="str">
        <x:v>QR</x:v>
      </x:c>
      <x:c r="Y317" s="2" t="str">
        <x:v>Online</x:v>
      </x:c>
      <x:c r="Z317" s="2" t="str">
        <x:v>Synced</x:v>
      </x:c>
      <x:c r="AA317" s="2"/>
      <x:c r="AB317" s="2"/>
      <x:c r="AC317" s="10" t="n">
        <x:f>IF(OR(K317="",Q317=""),"",ROUND((Q317-K317)*1440,2))</x:f>
        <x:v>36</x:v>
      </x:c>
    </x:row>
    <x:row r="318" ht="21" customHeight="1">
      <x:c r="A318" s="2" t="str">
        <x:v>LN00317</x:v>
      </x:c>
      <x:c r="B318" s="2" t="str">
        <x:v>T20261005-5-1</x:v>
      </x:c>
      <x:c r="C318" s="7" t="n">
        <x:v>46300</x:v>
      </x:c>
      <x:c r="D318" s="2" t="str">
        <x:v>BUS001</x:v>
      </x:c>
      <x:c r="E318" s="2" t="str">
        <x:v>ST037</x:v>
      </x:c>
      <x:c r="F318" s="2" t="n">
        <x:v>2</x:v>
      </x:c>
      <x:c r="G318" s="2" t="str">
        <x:v>Senior</x:v>
      </x:c>
      <x:c r="H318" s="2" t="str">
        <x:v>Drop-off</x:v>
      </x:c>
      <x:c r="I318" s="2" t="str">
        <x:v>R1S1</x:v>
      </x:c>
      <x:c r="J318" s="2" t="str">
        <x:v>EV000631</x:v>
      </x:c>
      <x:c r="K318" s="8" t="n">
        <x:v>46300.70854166666</x:v>
      </x:c>
      <x:c r="L318" s="2" t="str">
        <x:v>SCH01</x:v>
      </x:c>
      <x:c r="M318" s="9" t="n">
        <x:v>25.285</x:v>
      </x:c>
      <x:c r="N318" s="9" t="n">
        <x:v>51.51</x:v>
      </x:c>
      <x:c r="O318" s="2" t="str">
        <x:v>Valid</x:v>
      </x:c>
      <x:c r="P318" s="2" t="str">
        <x:v>EV000632</x:v>
      </x:c>
      <x:c r="Q318" s="8" t="n">
        <x:v>46300.72381944444</x:v>
      </x:c>
      <x:c r="R318" s="2" t="str">
        <x:v>R1S1</x:v>
      </x:c>
      <x:c r="S318" s="9" t="n">
        <x:v>25.271</x:v>
      </x:c>
      <x:c r="T318" s="9" t="n">
        <x:v>51.491</x:v>
      </x:c>
      <x:c r="U318" s="2" t="str">
        <x:v>G037</x:v>
      </x:c>
      <x:c r="V318" s="2" t="str">
        <x:v>Authorized guardian release</x:v>
      </x:c>
      <x:c r="W318" s="2" t="str">
        <x:v>Completed transport</x:v>
      </x:c>
      <x:c r="X318" s="2" t="str">
        <x:v>QR</x:v>
      </x:c>
      <x:c r="Y318" s="2" t="str">
        <x:v>Online</x:v>
      </x:c>
      <x:c r="Z318" s="2" t="str">
        <x:v>Synced</x:v>
      </x:c>
      <x:c r="AA318" s="2"/>
      <x:c r="AB318" s="2"/>
      <x:c r="AC318" s="10" t="n">
        <x:f>IF(OR(K318="",Q318=""),"",ROUND((Q318-K318)*1440,2))</x:f>
        <x:v>22</x:v>
      </x:c>
    </x:row>
    <x:row r="319" ht="21" customHeight="1">
      <x:c r="A319" s="2" t="str">
        <x:v>LN00318</x:v>
      </x:c>
      <x:c r="B319" s="2" t="str">
        <x:v>T20261005-5-1</x:v>
      </x:c>
      <x:c r="C319" s="7" t="n">
        <x:v>46300</x:v>
      </x:c>
      <x:c r="D319" s="2" t="str">
        <x:v>BUS001</x:v>
      </x:c>
      <x:c r="E319" s="2" t="str">
        <x:v>ST038</x:v>
      </x:c>
      <x:c r="F319" s="2" t="n">
        <x:v>2</x:v>
      </x:c>
      <x:c r="G319" s="2" t="str">
        <x:v>Senior</x:v>
      </x:c>
      <x:c r="H319" s="2" t="str">
        <x:v>Drop-off</x:v>
      </x:c>
      <x:c r="I319" s="2" t="str">
        <x:v>R1S2</x:v>
      </x:c>
      <x:c r="J319" s="2" t="str">
        <x:v>EV000633</x:v>
      </x:c>
      <x:c r="K319" s="8" t="n">
        <x:v>46300.70857638888</x:v>
      </x:c>
      <x:c r="L319" s="2" t="str">
        <x:v>SCH01</x:v>
      </x:c>
      <x:c r="M319" s="9" t="n">
        <x:v>25.285</x:v>
      </x:c>
      <x:c r="N319" s="9" t="n">
        <x:v>51.51</x:v>
      </x:c>
      <x:c r="O319" s="2" t="str">
        <x:v>Valid</x:v>
      </x:c>
      <x:c r="P319" s="2" t="str">
        <x:v>EV000634</x:v>
      </x:c>
      <x:c r="Q319" s="8" t="n">
        <x:v>46300.72871527778</x:v>
      </x:c>
      <x:c r="R319" s="2" t="str">
        <x:v>R1S2</x:v>
      </x:c>
      <x:c r="S319" s="9" t="n">
        <x:v>25.273000000000003</x:v>
      </x:c>
      <x:c r="T319" s="9" t="n">
        <x:v>51.494</x:v>
      </x:c>
      <x:c r="U319" s="2" t="str">
        <x:v>G038</x:v>
      </x:c>
      <x:c r="V319" s="2" t="str">
        <x:v>Authorized guardian release</x:v>
      </x:c>
      <x:c r="W319" s="2" t="str">
        <x:v>Completed transport</x:v>
      </x:c>
      <x:c r="X319" s="2" t="str">
        <x:v>QR</x:v>
      </x:c>
      <x:c r="Y319" s="2" t="str">
        <x:v>Online</x:v>
      </x:c>
      <x:c r="Z319" s="2" t="str">
        <x:v>Synced</x:v>
      </x:c>
      <x:c r="AA319" s="2"/>
      <x:c r="AB319" s="2"/>
      <x:c r="AC319" s="10" t="n">
        <x:f>IF(OR(K319="",Q319=""),"",ROUND((Q319-K319)*1440,2))</x:f>
        <x:v>29</x:v>
      </x:c>
    </x:row>
    <x:row r="320" ht="21" customHeight="1">
      <x:c r="A320" s="2" t="str">
        <x:v>LN00319</x:v>
      </x:c>
      <x:c r="B320" s="2" t="str">
        <x:v>T20261005-5-1</x:v>
      </x:c>
      <x:c r="C320" s="7" t="n">
        <x:v>46300</x:v>
      </x:c>
      <x:c r="D320" s="2" t="str">
        <x:v>BUS001</x:v>
      </x:c>
      <x:c r="E320" s="2" t="str">
        <x:v>ST039</x:v>
      </x:c>
      <x:c r="F320" s="2" t="n">
        <x:v>2</x:v>
      </x:c>
      <x:c r="G320" s="2" t="str">
        <x:v>Senior</x:v>
      </x:c>
      <x:c r="H320" s="2" t="str">
        <x:v>Drop-off</x:v>
      </x:c>
      <x:c r="I320" s="2" t="str">
        <x:v>R1S3</x:v>
      </x:c>
      <x:c r="J320" s="2" t="str">
        <x:v>EV000635</x:v>
      </x:c>
      <x:c r="K320" s="8" t="n">
        <x:v>46300.708611111106</x:v>
      </x:c>
      <x:c r="L320" s="2" t="str">
        <x:v>SCH01</x:v>
      </x:c>
      <x:c r="M320" s="9" t="n">
        <x:v>25.285</x:v>
      </x:c>
      <x:c r="N320" s="9" t="n">
        <x:v>51.51</x:v>
      </x:c>
      <x:c r="O320" s="2" t="str">
        <x:v>Valid</x:v>
      </x:c>
      <x:c r="P320" s="2" t="str">
        <x:v>EV000636</x:v>
      </x:c>
      <x:c r="Q320" s="8" t="n">
        <x:v>46300.733611111114</x:v>
      </x:c>
      <x:c r="R320" s="2" t="str">
        <x:v>R1S3</x:v>
      </x:c>
      <x:c r="S320" s="9" t="n">
        <x:v>25.275000000000002</x:v>
      </x:c>
      <x:c r="T320" s="9" t="n">
        <x:v>51.497</x:v>
      </x:c>
      <x:c r="U320" s="2" t="str">
        <x:v>G039</x:v>
      </x:c>
      <x:c r="V320" s="2" t="str">
        <x:v>Authorized guardian release</x:v>
      </x:c>
      <x:c r="W320" s="2" t="str">
        <x:v>Completed transport</x:v>
      </x:c>
      <x:c r="X320" s="2" t="str">
        <x:v>QR</x:v>
      </x:c>
      <x:c r="Y320" s="2" t="str">
        <x:v>Online</x:v>
      </x:c>
      <x:c r="Z320" s="2" t="str">
        <x:v>Synced</x:v>
      </x:c>
      <x:c r="AA320" s="2"/>
      <x:c r="AB320" s="2"/>
      <x:c r="AC320" s="10" t="n">
        <x:f>IF(OR(K320="",Q320=""),"",ROUND((Q320-K320)*1440,2))</x:f>
        <x:v>36</x:v>
      </x:c>
    </x:row>
    <x:row r="321" ht="21" customHeight="1">
      <x:c r="A321" s="2" t="str">
        <x:v>LN00320</x:v>
      </x:c>
      <x:c r="B321" s="2" t="str">
        <x:v>T20261005-5-1</x:v>
      </x:c>
      <x:c r="C321" s="7" t="n">
        <x:v>46300</x:v>
      </x:c>
      <x:c r="D321" s="2" t="str">
        <x:v>BUS001</x:v>
      </x:c>
      <x:c r="E321" s="2" t="str">
        <x:v>ST040</x:v>
      </x:c>
      <x:c r="F321" s="2" t="n">
        <x:v>2</x:v>
      </x:c>
      <x:c r="G321" s="2" t="str">
        <x:v>Senior</x:v>
      </x:c>
      <x:c r="H321" s="2" t="str">
        <x:v>Drop-off</x:v>
      </x:c>
      <x:c r="I321" s="2" t="str">
        <x:v>R1S1</x:v>
      </x:c>
      <x:c r="J321" s="2" t="str">
        <x:v>EV000637</x:v>
      </x:c>
      <x:c r="K321" s="8" t="n">
        <x:v>46300.70864583333</x:v>
      </x:c>
      <x:c r="L321" s="2" t="str">
        <x:v>SCH01</x:v>
      </x:c>
      <x:c r="M321" s="9" t="n">
        <x:v>25.285</x:v>
      </x:c>
      <x:c r="N321" s="9" t="n">
        <x:v>51.51</x:v>
      </x:c>
      <x:c r="O321" s="2" t="str">
        <x:v>Valid</x:v>
      </x:c>
      <x:c r="P321" s="2" t="str">
        <x:v>EV000638</x:v>
      </x:c>
      <x:c r="Q321" s="8" t="n">
        <x:v>46300.72392361111</x:v>
      </x:c>
      <x:c r="R321" s="2" t="str">
        <x:v>R1S1</x:v>
      </x:c>
      <x:c r="S321" s="9" t="n">
        <x:v>25.271</x:v>
      </x:c>
      <x:c r="T321" s="9" t="n">
        <x:v>51.491</x:v>
      </x:c>
      <x:c r="U321" s="2" t="str">
        <x:v>G040</x:v>
      </x:c>
      <x:c r="V321" s="2" t="str">
        <x:v>Authorized guardian release</x:v>
      </x:c>
      <x:c r="W321" s="2" t="str">
        <x:v>Completed transport</x:v>
      </x:c>
      <x:c r="X321" s="2" t="str">
        <x:v>QR</x:v>
      </x:c>
      <x:c r="Y321" s="2" t="str">
        <x:v>Online</x:v>
      </x:c>
      <x:c r="Z321" s="2" t="str">
        <x:v>Synced</x:v>
      </x:c>
      <x:c r="AA321" s="2"/>
      <x:c r="AB321" s="2"/>
      <x:c r="AC321" s="10" t="n">
        <x:f>IF(OR(K321="",Q321=""),"",ROUND((Q321-K321)*1440,2))</x:f>
        <x:v>22</x:v>
      </x:c>
    </x:row>
    <x:row r="322" ht="21" customHeight="1">
      <x:c r="A322" s="2" t="str">
        <x:v>LN00321</x:v>
      </x:c>
      <x:c r="B322" s="2" t="str">
        <x:v>T20261005-1-2</x:v>
      </x:c>
      <x:c r="C322" s="7" t="n">
        <x:v>46300</x:v>
      </x:c>
      <x:c r="D322" s="2" t="str">
        <x:v>BUS002</x:v>
      </x:c>
      <x:c r="E322" s="2" t="str">
        <x:v>ST041</x:v>
      </x:c>
      <x:c r="F322" s="2" t="n">
        <x:v>1</x:v>
      </x:c>
      <x:c r="G322" s="2" t="str">
        <x:v>Junior</x:v>
      </x:c>
      <x:c r="H322" s="2" t="str">
        <x:v>Pickup</x:v>
      </x:c>
      <x:c r="I322" s="2" t="str">
        <x:v>R2S1</x:v>
      </x:c>
      <x:c r="J322" s="2" t="str">
        <x:v>EV000639</x:v>
      </x:c>
      <x:c r="K322" s="8" t="n">
        <x:v>46300.242361111115</x:v>
      </x:c>
      <x:c r="L322" s="2" t="str">
        <x:v>R2S1</x:v>
      </x:c>
      <x:c r="M322" s="9" t="n">
        <x:v>25.28</x:v>
      </x:c>
      <x:c r="N322" s="9" t="n">
        <x:v>51.498999999999995</x:v>
      </x:c>
      <x:c r="O322" s="2" t="str">
        <x:v>Valid</x:v>
      </x:c>
      <x:c r="P322" s="2" t="str">
        <x:v>EV000640</x:v>
      </x:c>
      <x:c r="Q322" s="8" t="n">
        <x:v>46300.27638888889</x:v>
      </x:c>
      <x:c r="R322" s="2" t="str">
        <x:v>SCH01</x:v>
      </x:c>
      <x:c r="S322" s="9" t="n">
        <x:v>25.285</x:v>
      </x:c>
      <x:c r="T322" s="9" t="n">
        <x:v>51.51</x:v>
      </x:c>
      <x:c r="U322" s="2" t="str">
        <x:v>SCHOOL_RECEIVER_01</x:v>
      </x:c>
      <x:c r="V322" s="2" t="str">
        <x:v>School staff receipt</x:v>
      </x:c>
      <x:c r="W322" s="2" t="str">
        <x:v>Completed transport</x:v>
      </x:c>
      <x:c r="X322" s="2" t="str">
        <x:v>QR</x:v>
      </x:c>
      <x:c r="Y322" s="2" t="str">
        <x:v>Online</x:v>
      </x:c>
      <x:c r="Z322" s="2" t="str">
        <x:v>Synced</x:v>
      </x:c>
      <x:c r="AA322" s="2"/>
      <x:c r="AB322" s="2"/>
      <x:c r="AC322" s="10" t="n">
        <x:f>IF(OR(K322="",Q322=""),"",ROUND((Q322-K322)*1440,2))</x:f>
        <x:v>49</x:v>
      </x:c>
    </x:row>
    <x:row r="323" ht="21" customHeight="1">
      <x:c r="A323" s="2" t="str">
        <x:v>LN00322</x:v>
      </x:c>
      <x:c r="B323" s="2" t="str">
        <x:v>T20261005-1-2</x:v>
      </x:c>
      <x:c r="C323" s="7" t="n">
        <x:v>46300</x:v>
      </x:c>
      <x:c r="D323" s="2" t="str">
        <x:v>BUS002</x:v>
      </x:c>
      <x:c r="E323" s="2" t="str">
        <x:v>ST042</x:v>
      </x:c>
      <x:c r="F323" s="2" t="n">
        <x:v>1</x:v>
      </x:c>
      <x:c r="G323" s="2" t="str">
        <x:v>Junior</x:v>
      </x:c>
      <x:c r="H323" s="2" t="str">
        <x:v>Pickup</x:v>
      </x:c>
      <x:c r="I323" s="2" t="str">
        <x:v>R2S2</x:v>
      </x:c>
      <x:c r="J323" s="2"/>
      <x:c r="K323" s="8"/>
      <x:c r="L323" s="2"/>
      <x:c r="M323" s="9"/>
      <x:c r="N323" s="9"/>
      <x:c r="O323" s="2"/>
      <x:c r="P323" s="2"/>
      <x:c r="Q323" s="8"/>
      <x:c r="R323" s="2"/>
      <x:c r="S323" s="9"/>
      <x:c r="T323" s="9"/>
      <x:c r="U323" s="2"/>
      <x:c r="V323" s="2"/>
      <x:c r="W323" s="2" t="str">
        <x:v>No show</x:v>
      </x:c>
      <x:c r="X323" s="2" t="str">
        <x:v>QR</x:v>
      </x:c>
      <x:c r="Y323" s="2" t="str">
        <x:v>Online</x:v>
      </x:c>
      <x:c r="Z323" s="2" t="str">
        <x:v>Synced</x:v>
      </x:c>
      <x:c r="AA323" s="2" t="str">
        <x:v>Stop processed; guardian confirmed no transport today</x:v>
      </x:c>
      <x:c r="AB323" s="2" t="str">
        <x:v>EX0003</x:v>
      </x:c>
      <x:c r="AC323" s="10" t="str">
        <x:f>IF(OR(K323="",Q323=""),"",ROUND((Q323-K323)*1440,2))</x:f>
      </x:c>
    </x:row>
    <x:row r="324" ht="21" customHeight="1">
      <x:c r="A324" s="2" t="str">
        <x:v>LN00323</x:v>
      </x:c>
      <x:c r="B324" s="2" t="str">
        <x:v>T20261005-1-2</x:v>
      </x:c>
      <x:c r="C324" s="7" t="n">
        <x:v>46300</x:v>
      </x:c>
      <x:c r="D324" s="2" t="str">
        <x:v>BUS002</x:v>
      </x:c>
      <x:c r="E324" s="2" t="str">
        <x:v>ST043</x:v>
      </x:c>
      <x:c r="F324" s="2" t="n">
        <x:v>1</x:v>
      </x:c>
      <x:c r="G324" s="2" t="str">
        <x:v>Junior</x:v>
      </x:c>
      <x:c r="H324" s="2" t="str">
        <x:v>Pickup</x:v>
      </x:c>
      <x:c r="I324" s="2" t="str">
        <x:v>R2S3</x:v>
      </x:c>
      <x:c r="J324" s="2" t="str">
        <x:v>EV000641</x:v>
      </x:c>
      <x:c r="K324" s="8" t="n">
        <x:v>46300.25215277778</x:v>
      </x:c>
      <x:c r="L324" s="2" t="str">
        <x:v>R2S3</x:v>
      </x:c>
      <x:c r="M324" s="9" t="n">
        <x:v>25.284000000000002</x:v>
      </x:c>
      <x:c r="N324" s="9" t="n">
        <x:v>51.504999999999995</x:v>
      </x:c>
      <x:c r="O324" s="2" t="str">
        <x:v>Valid</x:v>
      </x:c>
      <x:c r="P324" s="2" t="str">
        <x:v>EV000642</x:v>
      </x:c>
      <x:c r="Q324" s="8" t="n">
        <x:v>46300.276458333334</x:v>
      </x:c>
      <x:c r="R324" s="2" t="str">
        <x:v>SCH01</x:v>
      </x:c>
      <x:c r="S324" s="9" t="n">
        <x:v>25.285</x:v>
      </x:c>
      <x:c r="T324" s="9" t="n">
        <x:v>51.51</x:v>
      </x:c>
      <x:c r="U324" s="2" t="str">
        <x:v>SCHOOL_RECEIVER_01</x:v>
      </x:c>
      <x:c r="V324" s="2" t="str">
        <x:v>School staff receipt</x:v>
      </x:c>
      <x:c r="W324" s="2" t="str">
        <x:v>Completed transport</x:v>
      </x:c>
      <x:c r="X324" s="2" t="str">
        <x:v>QR</x:v>
      </x:c>
      <x:c r="Y324" s="2" t="str">
        <x:v>Online</x:v>
      </x:c>
      <x:c r="Z324" s="2" t="str">
        <x:v>Synced</x:v>
      </x:c>
      <x:c r="AA324" s="2"/>
      <x:c r="AB324" s="2"/>
      <x:c r="AC324" s="10" t="n">
        <x:f>IF(OR(K324="",Q324=""),"",ROUND((Q324-K324)*1440,2))</x:f>
        <x:v>35</x:v>
      </x:c>
    </x:row>
    <x:row r="325" ht="21" customHeight="1">
      <x:c r="A325" s="2" t="str">
        <x:v>LN00324</x:v>
      </x:c>
      <x:c r="B325" s="2" t="str">
        <x:v>T20261005-1-2</x:v>
      </x:c>
      <x:c r="C325" s="7" t="n">
        <x:v>46300</x:v>
      </x:c>
      <x:c r="D325" s="2" t="str">
        <x:v>BUS002</x:v>
      </x:c>
      <x:c r="E325" s="2" t="str">
        <x:v>ST044</x:v>
      </x:c>
      <x:c r="F325" s="2" t="n">
        <x:v>1</x:v>
      </x:c>
      <x:c r="G325" s="2" t="str">
        <x:v>Junior</x:v>
      </x:c>
      <x:c r="H325" s="2" t="str">
        <x:v>Pickup</x:v>
      </x:c>
      <x:c r="I325" s="2" t="str">
        <x:v>R2S1</x:v>
      </x:c>
      <x:c r="J325" s="2" t="str">
        <x:v>EV000643</x:v>
      </x:c>
      <x:c r="K325" s="8" t="n">
        <x:v>46300.242465277785</x:v>
      </x:c>
      <x:c r="L325" s="2" t="str">
        <x:v>R2S1</x:v>
      </x:c>
      <x:c r="M325" s="9" t="n">
        <x:v>25.28</x:v>
      </x:c>
      <x:c r="N325" s="9" t="n">
        <x:v>51.498999999999995</x:v>
      </x:c>
      <x:c r="O325" s="2" t="str">
        <x:v>Valid</x:v>
      </x:c>
      <x:c r="P325" s="2" t="str">
        <x:v>EV000644</x:v>
      </x:c>
      <x:c r="Q325" s="8" t="n">
        <x:v>46300.27649305556</x:v>
      </x:c>
      <x:c r="R325" s="2" t="str">
        <x:v>SCH01</x:v>
      </x:c>
      <x:c r="S325" s="9" t="n">
        <x:v>25.285</x:v>
      </x:c>
      <x:c r="T325" s="9" t="n">
        <x:v>51.51</x:v>
      </x:c>
      <x:c r="U325" s="2" t="str">
        <x:v>SCHOOL_RECEIVER_01</x:v>
      </x:c>
      <x:c r="V325" s="2" t="str">
        <x:v>School staff receipt</x:v>
      </x:c>
      <x:c r="W325" s="2" t="str">
        <x:v>Completed transport</x:v>
      </x:c>
      <x:c r="X325" s="2" t="str">
        <x:v>QR</x:v>
      </x:c>
      <x:c r="Y325" s="2" t="str">
        <x:v>Online</x:v>
      </x:c>
      <x:c r="Z325" s="2" t="str">
        <x:v>Synced</x:v>
      </x:c>
      <x:c r="AA325" s="2"/>
      <x:c r="AB325" s="2"/>
      <x:c r="AC325" s="10" t="n">
        <x:f>IF(OR(K325="",Q325=""),"",ROUND((Q325-K325)*1440,2))</x:f>
        <x:v>49</x:v>
      </x:c>
    </x:row>
    <x:row r="326" ht="21" customHeight="1">
      <x:c r="A326" s="2" t="str">
        <x:v>LN00325</x:v>
      </x:c>
      <x:c r="B326" s="2" t="str">
        <x:v>T20261005-1-2</x:v>
      </x:c>
      <x:c r="C326" s="7" t="n">
        <x:v>46300</x:v>
      </x:c>
      <x:c r="D326" s="2" t="str">
        <x:v>BUS002</x:v>
      </x:c>
      <x:c r="E326" s="2" t="str">
        <x:v>ST045</x:v>
      </x:c>
      <x:c r="F326" s="2" t="n">
        <x:v>1</x:v>
      </x:c>
      <x:c r="G326" s="2" t="str">
        <x:v>Junior</x:v>
      </x:c>
      <x:c r="H326" s="2" t="str">
        <x:v>Pickup</x:v>
      </x:c>
      <x:c r="I326" s="2" t="str">
        <x:v>R2S2</x:v>
      </x:c>
      <x:c r="J326" s="2" t="str">
        <x:v>EV000645</x:v>
      </x:c>
      <x:c r="K326" s="8" t="n">
        <x:v>46300.24736111111</x:v>
      </x:c>
      <x:c r="L326" s="2" t="str">
        <x:v>R2S2</x:v>
      </x:c>
      <x:c r="M326" s="9" t="n">
        <x:v>25.282000000000004</x:v>
      </x:c>
      <x:c r="N326" s="9" t="n">
        <x:v>51.501999999999995</x:v>
      </x:c>
      <x:c r="O326" s="2" t="str">
        <x:v>Valid</x:v>
      </x:c>
      <x:c r="P326" s="2" t="str">
        <x:v>EV000646</x:v>
      </x:c>
      <x:c r="Q326" s="8" t="n">
        <x:v>46300.27652777778</x:v>
      </x:c>
      <x:c r="R326" s="2" t="str">
        <x:v>SCH01</x:v>
      </x:c>
      <x:c r="S326" s="9" t="n">
        <x:v>25.285</x:v>
      </x:c>
      <x:c r="T326" s="9" t="n">
        <x:v>51.51</x:v>
      </x:c>
      <x:c r="U326" s="2" t="str">
        <x:v>SCHOOL_RECEIVER_01</x:v>
      </x:c>
      <x:c r="V326" s="2" t="str">
        <x:v>School staff receipt</x:v>
      </x:c>
      <x:c r="W326" s="2" t="str">
        <x:v>Completed transport</x:v>
      </x:c>
      <x:c r="X326" s="2" t="str">
        <x:v>QR</x:v>
      </x:c>
      <x:c r="Y326" s="2" t="str">
        <x:v>Online</x:v>
      </x:c>
      <x:c r="Z326" s="2" t="str">
        <x:v>Synced</x:v>
      </x:c>
      <x:c r="AA326" s="2"/>
      <x:c r="AB326" s="2"/>
      <x:c r="AC326" s="10" t="n">
        <x:f>IF(OR(K326="",Q326=""),"",ROUND((Q326-K326)*1440,2))</x:f>
        <x:v>42</x:v>
      </x:c>
    </x:row>
    <x:row r="327" ht="21" customHeight="1">
      <x:c r="A327" s="2" t="str">
        <x:v>LN00326</x:v>
      </x:c>
      <x:c r="B327" s="2" t="str">
        <x:v>T20261005-1-2</x:v>
      </x:c>
      <x:c r="C327" s="7" t="n">
        <x:v>46300</x:v>
      </x:c>
      <x:c r="D327" s="2" t="str">
        <x:v>BUS002</x:v>
      </x:c>
      <x:c r="E327" s="2" t="str">
        <x:v>ST046</x:v>
      </x:c>
      <x:c r="F327" s="2" t="n">
        <x:v>1</x:v>
      </x:c>
      <x:c r="G327" s="2" t="str">
        <x:v>Junior</x:v>
      </x:c>
      <x:c r="H327" s="2" t="str">
        <x:v>Pickup</x:v>
      </x:c>
      <x:c r="I327" s="2" t="str">
        <x:v>R2S3</x:v>
      </x:c>
      <x:c r="J327" s="2" t="str">
        <x:v>EV000647</x:v>
      </x:c>
      <x:c r="K327" s="8" t="n">
        <x:v>46300.25225694444</x:v>
      </x:c>
      <x:c r="L327" s="2" t="str">
        <x:v>R2S3</x:v>
      </x:c>
      <x:c r="M327" s="9" t="n">
        <x:v>25.284000000000002</x:v>
      </x:c>
      <x:c r="N327" s="9" t="n">
        <x:v>51.504999999999995</x:v>
      </x:c>
      <x:c r="O327" s="2" t="str">
        <x:v>Valid</x:v>
      </x:c>
      <x:c r="P327" s="2" t="str">
        <x:v>EV000648</x:v>
      </x:c>
      <x:c r="Q327" s="8" t="n">
        <x:v>46300.276562499996</x:v>
      </x:c>
      <x:c r="R327" s="2" t="str">
        <x:v>SCH01</x:v>
      </x:c>
      <x:c r="S327" s="9" t="n">
        <x:v>25.285</x:v>
      </x:c>
      <x:c r="T327" s="9" t="n">
        <x:v>51.51</x:v>
      </x:c>
      <x:c r="U327" s="2" t="str">
        <x:v>SCHOOL_RECEIVER_01</x:v>
      </x:c>
      <x:c r="V327" s="2" t="str">
        <x:v>School staff receipt</x:v>
      </x:c>
      <x:c r="W327" s="2" t="str">
        <x:v>Completed transport</x:v>
      </x:c>
      <x:c r="X327" s="2" t="str">
        <x:v>QR</x:v>
      </x:c>
      <x:c r="Y327" s="2" t="str">
        <x:v>Online</x:v>
      </x:c>
      <x:c r="Z327" s="2" t="str">
        <x:v>Synced</x:v>
      </x:c>
      <x:c r="AA327" s="2"/>
      <x:c r="AB327" s="2"/>
      <x:c r="AC327" s="10" t="n">
        <x:f>IF(OR(K327="",Q327=""),"",ROUND((Q327-K327)*1440,2))</x:f>
        <x:v>35</x:v>
      </x:c>
    </x:row>
    <x:row r="328" ht="21" customHeight="1">
      <x:c r="A328" s="2" t="str">
        <x:v>LN00327</x:v>
      </x:c>
      <x:c r="B328" s="2" t="str">
        <x:v>T20261005-1-2</x:v>
      </x:c>
      <x:c r="C328" s="7" t="n">
        <x:v>46300</x:v>
      </x:c>
      <x:c r="D328" s="2" t="str">
        <x:v>BUS002</x:v>
      </x:c>
      <x:c r="E328" s="2" t="str">
        <x:v>ST047</x:v>
      </x:c>
      <x:c r="F328" s="2" t="n">
        <x:v>1</x:v>
      </x:c>
      <x:c r="G328" s="2" t="str">
        <x:v>Junior</x:v>
      </x:c>
      <x:c r="H328" s="2" t="str">
        <x:v>Pickup</x:v>
      </x:c>
      <x:c r="I328" s="2" t="str">
        <x:v>R2S1</x:v>
      </x:c>
      <x:c r="J328" s="2" t="str">
        <x:v>EV000649</x:v>
      </x:c>
      <x:c r="K328" s="8" t="n">
        <x:v>46300.24256944445</x:v>
      </x:c>
      <x:c r="L328" s="2" t="str">
        <x:v>R2S1</x:v>
      </x:c>
      <x:c r="M328" s="9" t="n">
        <x:v>25.28</x:v>
      </x:c>
      <x:c r="N328" s="9" t="n">
        <x:v>51.498999999999995</x:v>
      </x:c>
      <x:c r="O328" s="2" t="str">
        <x:v>Valid</x:v>
      </x:c>
      <x:c r="P328" s="2" t="str">
        <x:v>EV000650</x:v>
      </x:c>
      <x:c r="Q328" s="8" t="n">
        <x:v>46300.27659722222</x:v>
      </x:c>
      <x:c r="R328" s="2" t="str">
        <x:v>SCH01</x:v>
      </x:c>
      <x:c r="S328" s="9" t="n">
        <x:v>25.285</x:v>
      </x:c>
      <x:c r="T328" s="9" t="n">
        <x:v>51.51</x:v>
      </x:c>
      <x:c r="U328" s="2" t="str">
        <x:v>SCHOOL_RECEIVER_01</x:v>
      </x:c>
      <x:c r="V328" s="2" t="str">
        <x:v>School staff receipt</x:v>
      </x:c>
      <x:c r="W328" s="2" t="str">
        <x:v>Completed transport</x:v>
      </x:c>
      <x:c r="X328" s="2" t="str">
        <x:v>QR</x:v>
      </x:c>
      <x:c r="Y328" s="2" t="str">
        <x:v>Online</x:v>
      </x:c>
      <x:c r="Z328" s="2" t="str">
        <x:v>Synced</x:v>
      </x:c>
      <x:c r="AA328" s="2"/>
      <x:c r="AB328" s="2"/>
      <x:c r="AC328" s="10" t="n">
        <x:f>IF(OR(K328="",Q328=""),"",ROUND((Q328-K328)*1440,2))</x:f>
        <x:v>49</x:v>
      </x:c>
    </x:row>
    <x:row r="329" ht="21" customHeight="1">
      <x:c r="A329" s="2" t="str">
        <x:v>LN00328</x:v>
      </x:c>
      <x:c r="B329" s="2" t="str">
        <x:v>T20261005-1-2</x:v>
      </x:c>
      <x:c r="C329" s="7" t="n">
        <x:v>46300</x:v>
      </x:c>
      <x:c r="D329" s="2" t="str">
        <x:v>BUS002</x:v>
      </x:c>
      <x:c r="E329" s="2" t="str">
        <x:v>ST048</x:v>
      </x:c>
      <x:c r="F329" s="2" t="n">
        <x:v>1</x:v>
      </x:c>
      <x:c r="G329" s="2" t="str">
        <x:v>Junior</x:v>
      </x:c>
      <x:c r="H329" s="2" t="str">
        <x:v>Pickup</x:v>
      </x:c>
      <x:c r="I329" s="2" t="str">
        <x:v>R2S2</x:v>
      </x:c>
      <x:c r="J329" s="2" t="str">
        <x:v>EV000651</x:v>
      </x:c>
      <x:c r="K329" s="8" t="n">
        <x:v>46300.247465277775</x:v>
      </x:c>
      <x:c r="L329" s="2" t="str">
        <x:v>R2S2</x:v>
      </x:c>
      <x:c r="M329" s="9" t="n">
        <x:v>25.282000000000004</x:v>
      </x:c>
      <x:c r="N329" s="9" t="n">
        <x:v>51.501999999999995</x:v>
      </x:c>
      <x:c r="O329" s="2" t="str">
        <x:v>Valid</x:v>
      </x:c>
      <x:c r="P329" s="2" t="str">
        <x:v>EV000652</x:v>
      </x:c>
      <x:c r="Q329" s="8" t="n">
        <x:v>46300.27663194444</x:v>
      </x:c>
      <x:c r="R329" s="2" t="str">
        <x:v>SCH01</x:v>
      </x:c>
      <x:c r="S329" s="9" t="n">
        <x:v>25.285</x:v>
      </x:c>
      <x:c r="T329" s="9" t="n">
        <x:v>51.51</x:v>
      </x:c>
      <x:c r="U329" s="2" t="str">
        <x:v>SCHOOL_RECEIVER_01</x:v>
      </x:c>
      <x:c r="V329" s="2" t="str">
        <x:v>School staff receipt</x:v>
      </x:c>
      <x:c r="W329" s="2" t="str">
        <x:v>Completed transport</x:v>
      </x:c>
      <x:c r="X329" s="2" t="str">
        <x:v>QR</x:v>
      </x:c>
      <x:c r="Y329" s="2" t="str">
        <x:v>Online</x:v>
      </x:c>
      <x:c r="Z329" s="2" t="str">
        <x:v>Synced</x:v>
      </x:c>
      <x:c r="AA329" s="2"/>
      <x:c r="AB329" s="2"/>
      <x:c r="AC329" s="10" t="n">
        <x:f>IF(OR(K329="",Q329=""),"",ROUND((Q329-K329)*1440,2))</x:f>
        <x:v>42</x:v>
      </x:c>
    </x:row>
    <x:row r="330" ht="21" customHeight="1">
      <x:c r="A330" s="2" t="str">
        <x:v>LN00329</x:v>
      </x:c>
      <x:c r="B330" s="2" t="str">
        <x:v>T20261005-1-2</x:v>
      </x:c>
      <x:c r="C330" s="7" t="n">
        <x:v>46300</x:v>
      </x:c>
      <x:c r="D330" s="2" t="str">
        <x:v>BUS002</x:v>
      </x:c>
      <x:c r="E330" s="2" t="str">
        <x:v>ST049</x:v>
      </x:c>
      <x:c r="F330" s="2" t="n">
        <x:v>1</x:v>
      </x:c>
      <x:c r="G330" s="2" t="str">
        <x:v>Junior</x:v>
      </x:c>
      <x:c r="H330" s="2" t="str">
        <x:v>Pickup</x:v>
      </x:c>
      <x:c r="I330" s="2" t="str">
        <x:v>R2S3</x:v>
      </x:c>
      <x:c r="J330" s="2" t="str">
        <x:v>EV000653</x:v>
      </x:c>
      <x:c r="K330" s="8" t="n">
        <x:v>46300.25236111111</x:v>
      </x:c>
      <x:c r="L330" s="2" t="str">
        <x:v>R2S3</x:v>
      </x:c>
      <x:c r="M330" s="9" t="n">
        <x:v>25.284000000000002</x:v>
      </x:c>
      <x:c r="N330" s="9" t="n">
        <x:v>51.504999999999995</x:v>
      </x:c>
      <x:c r="O330" s="2" t="str">
        <x:v>Valid</x:v>
      </x:c>
      <x:c r="P330" s="2" t="str">
        <x:v>EV000654</x:v>
      </x:c>
      <x:c r="Q330" s="8" t="n">
        <x:v>46300.276666666665</x:v>
      </x:c>
      <x:c r="R330" s="2" t="str">
        <x:v>SCH01</x:v>
      </x:c>
      <x:c r="S330" s="9" t="n">
        <x:v>25.285</x:v>
      </x:c>
      <x:c r="T330" s="9" t="n">
        <x:v>51.51</x:v>
      </x:c>
      <x:c r="U330" s="2" t="str">
        <x:v>SCHOOL_RECEIVER_01</x:v>
      </x:c>
      <x:c r="V330" s="2" t="str">
        <x:v>School staff receipt</x:v>
      </x:c>
      <x:c r="W330" s="2" t="str">
        <x:v>Completed transport</x:v>
      </x:c>
      <x:c r="X330" s="2" t="str">
        <x:v>QR</x:v>
      </x:c>
      <x:c r="Y330" s="2" t="str">
        <x:v>Online</x:v>
      </x:c>
      <x:c r="Z330" s="2" t="str">
        <x:v>Synced</x:v>
      </x:c>
      <x:c r="AA330" s="2"/>
      <x:c r="AB330" s="2"/>
      <x:c r="AC330" s="10" t="n">
        <x:f>IF(OR(K330="",Q330=""),"",ROUND((Q330-K330)*1440,2))</x:f>
        <x:v>35</x:v>
      </x:c>
    </x:row>
    <x:row r="331" ht="21" customHeight="1">
      <x:c r="A331" s="2" t="str">
        <x:v>LN00330</x:v>
      </x:c>
      <x:c r="B331" s="2" t="str">
        <x:v>T20261005-1-2</x:v>
      </x:c>
      <x:c r="C331" s="7" t="n">
        <x:v>46300</x:v>
      </x:c>
      <x:c r="D331" s="2" t="str">
        <x:v>BUS002</x:v>
      </x:c>
      <x:c r="E331" s="2" t="str">
        <x:v>ST050</x:v>
      </x:c>
      <x:c r="F331" s="2" t="n">
        <x:v>1</x:v>
      </x:c>
      <x:c r="G331" s="2" t="str">
        <x:v>Junior</x:v>
      </x:c>
      <x:c r="H331" s="2" t="str">
        <x:v>Pickup</x:v>
      </x:c>
      <x:c r="I331" s="2" t="str">
        <x:v>R2S1</x:v>
      </x:c>
      <x:c r="J331" s="2" t="str">
        <x:v>EV000655</x:v>
      </x:c>
      <x:c r="K331" s="8" t="n">
        <x:v>46300.242673611116</x:v>
      </x:c>
      <x:c r="L331" s="2" t="str">
        <x:v>R2S1</x:v>
      </x:c>
      <x:c r="M331" s="9" t="n">
        <x:v>25.28</x:v>
      </x:c>
      <x:c r="N331" s="9" t="n">
        <x:v>51.498999999999995</x:v>
      </x:c>
      <x:c r="O331" s="2" t="str">
        <x:v>Valid</x:v>
      </x:c>
      <x:c r="P331" s="2" t="str">
        <x:v>EV000656</x:v>
      </x:c>
      <x:c r="Q331" s="8" t="n">
        <x:v>46300.27670138889</x:v>
      </x:c>
      <x:c r="R331" s="2" t="str">
        <x:v>SCH01</x:v>
      </x:c>
      <x:c r="S331" s="9" t="n">
        <x:v>25.285</x:v>
      </x:c>
      <x:c r="T331" s="9" t="n">
        <x:v>51.51</x:v>
      </x:c>
      <x:c r="U331" s="2" t="str">
        <x:v>SCHOOL_RECEIVER_01</x:v>
      </x:c>
      <x:c r="V331" s="2" t="str">
        <x:v>School staff receipt</x:v>
      </x:c>
      <x:c r="W331" s="2" t="str">
        <x:v>Completed transport</x:v>
      </x:c>
      <x:c r="X331" s="2" t="str">
        <x:v>QR</x:v>
      </x:c>
      <x:c r="Y331" s="2" t="str">
        <x:v>Online</x:v>
      </x:c>
      <x:c r="Z331" s="2" t="str">
        <x:v>Synced</x:v>
      </x:c>
      <x:c r="AA331" s="2"/>
      <x:c r="AB331" s="2"/>
      <x:c r="AC331" s="10" t="n">
        <x:f>IF(OR(K331="",Q331=""),"",ROUND((Q331-K331)*1440,2))</x:f>
        <x:v>49</x:v>
      </x:c>
    </x:row>
    <x:row r="332" ht="21" customHeight="1">
      <x:c r="A332" s="2" t="str">
        <x:v>LN00331</x:v>
      </x:c>
      <x:c r="B332" s="2" t="str">
        <x:v>T20261005-1-2</x:v>
      </x:c>
      <x:c r="C332" s="7" t="n">
        <x:v>46300</x:v>
      </x:c>
      <x:c r="D332" s="2" t="str">
        <x:v>BUS002</x:v>
      </x:c>
      <x:c r="E332" s="2" t="str">
        <x:v>ST051</x:v>
      </x:c>
      <x:c r="F332" s="2" t="n">
        <x:v>1</x:v>
      </x:c>
      <x:c r="G332" s="2" t="str">
        <x:v>Senior</x:v>
      </x:c>
      <x:c r="H332" s="2" t="str">
        <x:v>Pickup</x:v>
      </x:c>
      <x:c r="I332" s="2" t="str">
        <x:v>R2S2</x:v>
      </x:c>
      <x:c r="J332" s="2" t="str">
        <x:v>EV000657</x:v>
      </x:c>
      <x:c r="K332" s="8" t="n">
        <x:v>46300.24722222222</x:v>
      </x:c>
      <x:c r="L332" s="2" t="str">
        <x:v>R2S2</x:v>
      </x:c>
      <x:c r="M332" s="9" t="n">
        <x:v>25.282000000000004</x:v>
      </x:c>
      <x:c r="N332" s="9" t="n">
        <x:v>51.501999999999995</x:v>
      </x:c>
      <x:c r="O332" s="2" t="str">
        <x:v>Valid</x:v>
      </x:c>
      <x:c r="P332" s="2" t="str">
        <x:v>EV000658</x:v>
      </x:c>
      <x:c r="Q332" s="8" t="n">
        <x:v>46300.27673611111</x:v>
      </x:c>
      <x:c r="R332" s="2" t="str">
        <x:v>SCH01</x:v>
      </x:c>
      <x:c r="S332" s="9" t="n">
        <x:v>25.285</x:v>
      </x:c>
      <x:c r="T332" s="9" t="n">
        <x:v>51.51</x:v>
      </x:c>
      <x:c r="U332" s="2" t="str">
        <x:v>SCHOOL_RECEIVER_01</x:v>
      </x:c>
      <x:c r="V332" s="2" t="str">
        <x:v>School staff receipt</x:v>
      </x:c>
      <x:c r="W332" s="2" t="str">
        <x:v>Completed transport</x:v>
      </x:c>
      <x:c r="X332" s="2" t="str">
        <x:v>QR</x:v>
      </x:c>
      <x:c r="Y332" s="2" t="str">
        <x:v>Online</x:v>
      </x:c>
      <x:c r="Z332" s="2" t="str">
        <x:v>Synced</x:v>
      </x:c>
      <x:c r="AA332" s="2"/>
      <x:c r="AB332" s="2"/>
      <x:c r="AC332" s="10" t="n">
        <x:f>IF(OR(K332="",Q332=""),"",ROUND((Q332-K332)*1440,2))</x:f>
        <x:v>42.5</x:v>
      </x:c>
    </x:row>
    <x:row r="333" ht="21" customHeight="1">
      <x:c r="A333" s="2" t="str">
        <x:v>LN00332</x:v>
      </x:c>
      <x:c r="B333" s="2" t="str">
        <x:v>T20261005-1-2</x:v>
      </x:c>
      <x:c r="C333" s="7" t="n">
        <x:v>46300</x:v>
      </x:c>
      <x:c r="D333" s="2" t="str">
        <x:v>BUS002</x:v>
      </x:c>
      <x:c r="E333" s="2" t="str">
        <x:v>ST052</x:v>
      </x:c>
      <x:c r="F333" s="2" t="n">
        <x:v>1</x:v>
      </x:c>
      <x:c r="G333" s="2" t="str">
        <x:v>Senior</x:v>
      </x:c>
      <x:c r="H333" s="2" t="str">
        <x:v>Pickup</x:v>
      </x:c>
      <x:c r="I333" s="2" t="str">
        <x:v>R2S3</x:v>
      </x:c>
      <x:c r="J333" s="2" t="str">
        <x:v>EV000659</x:v>
      </x:c>
      <x:c r="K333" s="8" t="n">
        <x:v>46300.252118055556</x:v>
      </x:c>
      <x:c r="L333" s="2" t="str">
        <x:v>R2S3</x:v>
      </x:c>
      <x:c r="M333" s="9" t="n">
        <x:v>25.284000000000002</x:v>
      </x:c>
      <x:c r="N333" s="9" t="n">
        <x:v>51.504999999999995</x:v>
      </x:c>
      <x:c r="O333" s="2" t="str">
        <x:v>Valid</x:v>
      </x:c>
      <x:c r="P333" s="2" t="str">
        <x:v>EV000660</x:v>
      </x:c>
      <x:c r="Q333" s="8" t="n">
        <x:v>46300.276770833334</x:v>
      </x:c>
      <x:c r="R333" s="2" t="str">
        <x:v>SCH01</x:v>
      </x:c>
      <x:c r="S333" s="9" t="n">
        <x:v>25.285</x:v>
      </x:c>
      <x:c r="T333" s="9" t="n">
        <x:v>51.51</x:v>
      </x:c>
      <x:c r="U333" s="2" t="str">
        <x:v>SCHOOL_RECEIVER_01</x:v>
      </x:c>
      <x:c r="V333" s="2" t="str">
        <x:v>School staff receipt</x:v>
      </x:c>
      <x:c r="W333" s="2" t="str">
        <x:v>Completed transport</x:v>
      </x:c>
      <x:c r="X333" s="2" t="str">
        <x:v>QR</x:v>
      </x:c>
      <x:c r="Y333" s="2" t="str">
        <x:v>Online</x:v>
      </x:c>
      <x:c r="Z333" s="2" t="str">
        <x:v>Synced</x:v>
      </x:c>
      <x:c r="AA333" s="2"/>
      <x:c r="AB333" s="2"/>
      <x:c r="AC333" s="10" t="n">
        <x:f>IF(OR(K333="",Q333=""),"",ROUND((Q333-K333)*1440,2))</x:f>
        <x:v>35.5</x:v>
      </x:c>
    </x:row>
    <x:row r="334" ht="21" customHeight="1">
      <x:c r="A334" s="2" t="str">
        <x:v>LN00333</x:v>
      </x:c>
      <x:c r="B334" s="2" t="str">
        <x:v>T20261005-1-2</x:v>
      </x:c>
      <x:c r="C334" s="7" t="n">
        <x:v>46300</x:v>
      </x:c>
      <x:c r="D334" s="2" t="str">
        <x:v>BUS002</x:v>
      </x:c>
      <x:c r="E334" s="2" t="str">
        <x:v>ST053</x:v>
      </x:c>
      <x:c r="F334" s="2" t="n">
        <x:v>1</x:v>
      </x:c>
      <x:c r="G334" s="2" t="str">
        <x:v>Senior</x:v>
      </x:c>
      <x:c r="H334" s="2" t="str">
        <x:v>Pickup</x:v>
      </x:c>
      <x:c r="I334" s="2" t="str">
        <x:v>R2S1</x:v>
      </x:c>
      <x:c r="J334" s="2" t="str">
        <x:v>EV000661</x:v>
      </x:c>
      <x:c r="K334" s="8" t="n">
        <x:v>46300.24243055556</x:v>
      </x:c>
      <x:c r="L334" s="2" t="str">
        <x:v>R2S1</x:v>
      </x:c>
      <x:c r="M334" s="9" t="n">
        <x:v>25.28</x:v>
      </x:c>
      <x:c r="N334" s="9" t="n">
        <x:v>51.498999999999995</x:v>
      </x:c>
      <x:c r="O334" s="2" t="str">
        <x:v>Valid</x:v>
      </x:c>
      <x:c r="P334" s="2" t="str">
        <x:v>EV000662</x:v>
      </x:c>
      <x:c r="Q334" s="8" t="n">
        <x:v>46300.27680555556</x:v>
      </x:c>
      <x:c r="R334" s="2" t="str">
        <x:v>SCH01</x:v>
      </x:c>
      <x:c r="S334" s="9" t="n">
        <x:v>25.285</x:v>
      </x:c>
      <x:c r="T334" s="9" t="n">
        <x:v>51.51</x:v>
      </x:c>
      <x:c r="U334" s="2" t="str">
        <x:v>SCHOOL_RECEIVER_01</x:v>
      </x:c>
      <x:c r="V334" s="2" t="str">
        <x:v>School staff receipt</x:v>
      </x:c>
      <x:c r="W334" s="2" t="str">
        <x:v>Completed transport</x:v>
      </x:c>
      <x:c r="X334" s="2" t="str">
        <x:v>QR</x:v>
      </x:c>
      <x:c r="Y334" s="2" t="str">
        <x:v>Online</x:v>
      </x:c>
      <x:c r="Z334" s="2" t="str">
        <x:v>Synced</x:v>
      </x:c>
      <x:c r="AA334" s="2"/>
      <x:c r="AB334" s="2"/>
      <x:c r="AC334" s="10" t="n">
        <x:f>IF(OR(K334="",Q334=""),"",ROUND((Q334-K334)*1440,2))</x:f>
        <x:v>49.5</x:v>
      </x:c>
    </x:row>
    <x:row r="335" ht="21" customHeight="1">
      <x:c r="A335" s="2" t="str">
        <x:v>LN00334</x:v>
      </x:c>
      <x:c r="B335" s="2" t="str">
        <x:v>T20261005-1-2</x:v>
      </x:c>
      <x:c r="C335" s="7" t="n">
        <x:v>46300</x:v>
      </x:c>
      <x:c r="D335" s="2" t="str">
        <x:v>BUS002</x:v>
      </x:c>
      <x:c r="E335" s="2" t="str">
        <x:v>ST054</x:v>
      </x:c>
      <x:c r="F335" s="2" t="n">
        <x:v>1</x:v>
      </x:c>
      <x:c r="G335" s="2" t="str">
        <x:v>Senior</x:v>
      </x:c>
      <x:c r="H335" s="2" t="str">
        <x:v>Pickup</x:v>
      </x:c>
      <x:c r="I335" s="2" t="str">
        <x:v>R2S2</x:v>
      </x:c>
      <x:c r="J335" s="2" t="str">
        <x:v>EV000663</x:v>
      </x:c>
      <x:c r="K335" s="8" t="n">
        <x:v>46300.24732638889</x:v>
      </x:c>
      <x:c r="L335" s="2" t="str">
        <x:v>R2S2</x:v>
      </x:c>
      <x:c r="M335" s="9" t="n">
        <x:v>25.282000000000004</x:v>
      </x:c>
      <x:c r="N335" s="9" t="n">
        <x:v>51.501999999999995</x:v>
      </x:c>
      <x:c r="O335" s="2" t="str">
        <x:v>Valid</x:v>
      </x:c>
      <x:c r="P335" s="2" t="str">
        <x:v>EV000664</x:v>
      </x:c>
      <x:c r="Q335" s="8" t="n">
        <x:v>46300.27684027777</x:v>
      </x:c>
      <x:c r="R335" s="2" t="str">
        <x:v>SCH01</x:v>
      </x:c>
      <x:c r="S335" s="9" t="n">
        <x:v>25.285</x:v>
      </x:c>
      <x:c r="T335" s="9" t="n">
        <x:v>51.51</x:v>
      </x:c>
      <x:c r="U335" s="2" t="str">
        <x:v>SCHOOL_RECEIVER_01</x:v>
      </x:c>
      <x:c r="V335" s="2" t="str">
        <x:v>School staff receipt</x:v>
      </x:c>
      <x:c r="W335" s="2" t="str">
        <x:v>Completed transport</x:v>
      </x:c>
      <x:c r="X335" s="2" t="str">
        <x:v>QR</x:v>
      </x:c>
      <x:c r="Y335" s="2" t="str">
        <x:v>Online</x:v>
      </x:c>
      <x:c r="Z335" s="2" t="str">
        <x:v>Synced</x:v>
      </x:c>
      <x:c r="AA335" s="2"/>
      <x:c r="AB335" s="2"/>
      <x:c r="AC335" s="10" t="n">
        <x:f>IF(OR(K335="",Q335=""),"",ROUND((Q335-K335)*1440,2))</x:f>
        <x:v>42.5</x:v>
      </x:c>
    </x:row>
    <x:row r="336" ht="21" customHeight="1">
      <x:c r="A336" s="2" t="str">
        <x:v>LN00335</x:v>
      </x:c>
      <x:c r="B336" s="2" t="str">
        <x:v>T20261005-1-2</x:v>
      </x:c>
      <x:c r="C336" s="7" t="n">
        <x:v>46300</x:v>
      </x:c>
      <x:c r="D336" s="2" t="str">
        <x:v>BUS002</x:v>
      </x:c>
      <x:c r="E336" s="2" t="str">
        <x:v>ST055</x:v>
      </x:c>
      <x:c r="F336" s="2" t="n">
        <x:v>1</x:v>
      </x:c>
      <x:c r="G336" s="2" t="str">
        <x:v>Senior</x:v>
      </x:c>
      <x:c r="H336" s="2" t="str">
        <x:v>Pickup</x:v>
      </x:c>
      <x:c r="I336" s="2" t="str">
        <x:v>R2S3</x:v>
      </x:c>
      <x:c r="J336" s="2" t="str">
        <x:v>EV000665</x:v>
      </x:c>
      <x:c r="K336" s="8" t="n">
        <x:v>46300.252222222225</x:v>
      </x:c>
      <x:c r="L336" s="2" t="str">
        <x:v>R2S3</x:v>
      </x:c>
      <x:c r="M336" s="9" t="n">
        <x:v>25.284000000000002</x:v>
      </x:c>
      <x:c r="N336" s="9" t="n">
        <x:v>51.504999999999995</x:v>
      </x:c>
      <x:c r="O336" s="2" t="str">
        <x:v>Valid</x:v>
      </x:c>
      <x:c r="P336" s="2" t="str">
        <x:v>EV000666</x:v>
      </x:c>
      <x:c r="Q336" s="8" t="n">
        <x:v>46300.276874999996</x:v>
      </x:c>
      <x:c r="R336" s="2" t="str">
        <x:v>SCH01</x:v>
      </x:c>
      <x:c r="S336" s="9" t="n">
        <x:v>25.285</x:v>
      </x:c>
      <x:c r="T336" s="9" t="n">
        <x:v>51.51</x:v>
      </x:c>
      <x:c r="U336" s="2" t="str">
        <x:v>SCHOOL_RECEIVER_01</x:v>
      </x:c>
      <x:c r="V336" s="2" t="str">
        <x:v>School staff receipt</x:v>
      </x:c>
      <x:c r="W336" s="2" t="str">
        <x:v>Completed transport</x:v>
      </x:c>
      <x:c r="X336" s="2" t="str">
        <x:v>QR</x:v>
      </x:c>
      <x:c r="Y336" s="2" t="str">
        <x:v>Online</x:v>
      </x:c>
      <x:c r="Z336" s="2" t="str">
        <x:v>Synced</x:v>
      </x:c>
      <x:c r="AA336" s="2"/>
      <x:c r="AB336" s="2"/>
      <x:c r="AC336" s="10" t="n">
        <x:f>IF(OR(K336="",Q336=""),"",ROUND((Q336-K336)*1440,2))</x:f>
        <x:v>35.5</x:v>
      </x:c>
    </x:row>
    <x:row r="337" ht="21" customHeight="1">
      <x:c r="A337" s="2" t="str">
        <x:v>LN00336</x:v>
      </x:c>
      <x:c r="B337" s="2" t="str">
        <x:v>T20261005-1-2</x:v>
      </x:c>
      <x:c r="C337" s="7" t="n">
        <x:v>46300</x:v>
      </x:c>
      <x:c r="D337" s="2" t="str">
        <x:v>BUS002</x:v>
      </x:c>
      <x:c r="E337" s="2" t="str">
        <x:v>ST056</x:v>
      </x:c>
      <x:c r="F337" s="2" t="n">
        <x:v>1</x:v>
      </x:c>
      <x:c r="G337" s="2" t="str">
        <x:v>Senior</x:v>
      </x:c>
      <x:c r="H337" s="2" t="str">
        <x:v>Pickup</x:v>
      </x:c>
      <x:c r="I337" s="2" t="str">
        <x:v>R2S1</x:v>
      </x:c>
      <x:c r="J337" s="2" t="str">
        <x:v>EV000667</x:v>
      </x:c>
      <x:c r="K337" s="8" t="n">
        <x:v>46300.24253472222</x:v>
      </x:c>
      <x:c r="L337" s="2" t="str">
        <x:v>R2S1</x:v>
      </x:c>
      <x:c r="M337" s="9" t="n">
        <x:v>25.28</x:v>
      </x:c>
      <x:c r="N337" s="9" t="n">
        <x:v>51.498999999999995</x:v>
      </x:c>
      <x:c r="O337" s="2" t="str">
        <x:v>Valid</x:v>
      </x:c>
      <x:c r="P337" s="2" t="str">
        <x:v>EV000668</x:v>
      </x:c>
      <x:c r="Q337" s="8" t="n">
        <x:v>46300.27690972222</x:v>
      </x:c>
      <x:c r="R337" s="2" t="str">
        <x:v>SCH01</x:v>
      </x:c>
      <x:c r="S337" s="9" t="n">
        <x:v>25.285</x:v>
      </x:c>
      <x:c r="T337" s="9" t="n">
        <x:v>51.51</x:v>
      </x:c>
      <x:c r="U337" s="2" t="str">
        <x:v>SCHOOL_RECEIVER_01</x:v>
      </x:c>
      <x:c r="V337" s="2" t="str">
        <x:v>School staff receipt</x:v>
      </x:c>
      <x:c r="W337" s="2" t="str">
        <x:v>Completed transport</x:v>
      </x:c>
      <x:c r="X337" s="2" t="str">
        <x:v>QR</x:v>
      </x:c>
      <x:c r="Y337" s="2" t="str">
        <x:v>Online</x:v>
      </x:c>
      <x:c r="Z337" s="2" t="str">
        <x:v>Synced</x:v>
      </x:c>
      <x:c r="AA337" s="2"/>
      <x:c r="AB337" s="2"/>
      <x:c r="AC337" s="10" t="n">
        <x:f>IF(OR(K337="",Q337=""),"",ROUND((Q337-K337)*1440,2))</x:f>
        <x:v>49.5</x:v>
      </x:c>
    </x:row>
    <x:row r="338" ht="21" customHeight="1">
      <x:c r="A338" s="2" t="str">
        <x:v>LN00337</x:v>
      </x:c>
      <x:c r="B338" s="2" t="str">
        <x:v>T20261005-1-2</x:v>
      </x:c>
      <x:c r="C338" s="7" t="n">
        <x:v>46300</x:v>
      </x:c>
      <x:c r="D338" s="2" t="str">
        <x:v>BUS002</x:v>
      </x:c>
      <x:c r="E338" s="2" t="str">
        <x:v>ST057</x:v>
      </x:c>
      <x:c r="F338" s="2" t="n">
        <x:v>1</x:v>
      </x:c>
      <x:c r="G338" s="2" t="str">
        <x:v>Senior</x:v>
      </x:c>
      <x:c r="H338" s="2" t="str">
        <x:v>Pickup</x:v>
      </x:c>
      <x:c r="I338" s="2" t="str">
        <x:v>R2S2</x:v>
      </x:c>
      <x:c r="J338" s="2" t="str">
        <x:v>EV000669</x:v>
      </x:c>
      <x:c r="K338" s="8" t="n">
        <x:v>46300.24743055555</x:v>
      </x:c>
      <x:c r="L338" s="2" t="str">
        <x:v>R2S2</x:v>
      </x:c>
      <x:c r="M338" s="9" t="n">
        <x:v>25.282000000000004</x:v>
      </x:c>
      <x:c r="N338" s="9" t="n">
        <x:v>51.501999999999995</x:v>
      </x:c>
      <x:c r="O338" s="2" t="str">
        <x:v>Valid</x:v>
      </x:c>
      <x:c r="P338" s="2" t="str">
        <x:v>EV000670</x:v>
      </x:c>
      <x:c r="Q338" s="8" t="n">
        <x:v>46300.27694444444</x:v>
      </x:c>
      <x:c r="R338" s="2" t="str">
        <x:v>SCH01</x:v>
      </x:c>
      <x:c r="S338" s="9" t="n">
        <x:v>25.285</x:v>
      </x:c>
      <x:c r="T338" s="9" t="n">
        <x:v>51.51</x:v>
      </x:c>
      <x:c r="U338" s="2" t="str">
        <x:v>SCHOOL_RECEIVER_01</x:v>
      </x:c>
      <x:c r="V338" s="2" t="str">
        <x:v>School staff receipt</x:v>
      </x:c>
      <x:c r="W338" s="2" t="str">
        <x:v>Completed transport</x:v>
      </x:c>
      <x:c r="X338" s="2" t="str">
        <x:v>QR</x:v>
      </x:c>
      <x:c r="Y338" s="2" t="str">
        <x:v>Online</x:v>
      </x:c>
      <x:c r="Z338" s="2" t="str">
        <x:v>Synced</x:v>
      </x:c>
      <x:c r="AA338" s="2"/>
      <x:c r="AB338" s="2"/>
      <x:c r="AC338" s="10" t="n">
        <x:f>IF(OR(K338="",Q338=""),"",ROUND((Q338-K338)*1440,2))</x:f>
        <x:v>42.5</x:v>
      </x:c>
    </x:row>
    <x:row r="339" ht="21" customHeight="1">
      <x:c r="A339" s="2" t="str">
        <x:v>LN00338</x:v>
      </x:c>
      <x:c r="B339" s="2" t="str">
        <x:v>T20261005-1-2</x:v>
      </x:c>
      <x:c r="C339" s="7" t="n">
        <x:v>46300</x:v>
      </x:c>
      <x:c r="D339" s="2" t="str">
        <x:v>BUS002</x:v>
      </x:c>
      <x:c r="E339" s="2" t="str">
        <x:v>ST058</x:v>
      </x:c>
      <x:c r="F339" s="2" t="n">
        <x:v>1</x:v>
      </x:c>
      <x:c r="G339" s="2" t="str">
        <x:v>Senior</x:v>
      </x:c>
      <x:c r="H339" s="2" t="str">
        <x:v>Pickup</x:v>
      </x:c>
      <x:c r="I339" s="2" t="str">
        <x:v>R2S3</x:v>
      </x:c>
      <x:c r="J339" s="2" t="str">
        <x:v>EV000671</x:v>
      </x:c>
      <x:c r="K339" s="8" t="n">
        <x:v>46300.25232638889</x:v>
      </x:c>
      <x:c r="L339" s="2" t="str">
        <x:v>R2S3</x:v>
      </x:c>
      <x:c r="M339" s="9" t="n">
        <x:v>25.284000000000002</x:v>
      </x:c>
      <x:c r="N339" s="9" t="n">
        <x:v>51.504999999999995</x:v>
      </x:c>
      <x:c r="O339" s="2" t="str">
        <x:v>Valid</x:v>
      </x:c>
      <x:c r="P339" s="2" t="str">
        <x:v>EV000672</x:v>
      </x:c>
      <x:c r="Q339" s="8" t="n">
        <x:v>46300.276979166665</x:v>
      </x:c>
      <x:c r="R339" s="2" t="str">
        <x:v>SCH01</x:v>
      </x:c>
      <x:c r="S339" s="9" t="n">
        <x:v>25.285</x:v>
      </x:c>
      <x:c r="T339" s="9" t="n">
        <x:v>51.51</x:v>
      </x:c>
      <x:c r="U339" s="2" t="str">
        <x:v>SCHOOL_RECEIVER_01</x:v>
      </x:c>
      <x:c r="V339" s="2" t="str">
        <x:v>School staff receipt</x:v>
      </x:c>
      <x:c r="W339" s="2" t="str">
        <x:v>Completed transport</x:v>
      </x:c>
      <x:c r="X339" s="2" t="str">
        <x:v>QR</x:v>
      </x:c>
      <x:c r="Y339" s="2" t="str">
        <x:v>Online</x:v>
      </x:c>
      <x:c r="Z339" s="2" t="str">
        <x:v>Synced</x:v>
      </x:c>
      <x:c r="AA339" s="2"/>
      <x:c r="AB339" s="2"/>
      <x:c r="AC339" s="10" t="n">
        <x:f>IF(OR(K339="",Q339=""),"",ROUND((Q339-K339)*1440,2))</x:f>
        <x:v>35.5</x:v>
      </x:c>
    </x:row>
    <x:row r="340" ht="21" customHeight="1">
      <x:c r="A340" s="2" t="str">
        <x:v>LN00339</x:v>
      </x:c>
      <x:c r="B340" s="2" t="str">
        <x:v>T20261005-1-2</x:v>
      </x:c>
      <x:c r="C340" s="7" t="n">
        <x:v>46300</x:v>
      </x:c>
      <x:c r="D340" s="2" t="str">
        <x:v>BUS002</x:v>
      </x:c>
      <x:c r="E340" s="2" t="str">
        <x:v>ST059</x:v>
      </x:c>
      <x:c r="F340" s="2" t="n">
        <x:v>1</x:v>
      </x:c>
      <x:c r="G340" s="2" t="str">
        <x:v>Senior</x:v>
      </x:c>
      <x:c r="H340" s="2" t="str">
        <x:v>Pickup</x:v>
      </x:c>
      <x:c r="I340" s="2" t="str">
        <x:v>R2S1</x:v>
      </x:c>
      <x:c r="J340" s="2" t="str">
        <x:v>EV000673</x:v>
      </x:c>
      <x:c r="K340" s="8" t="n">
        <x:v>46300.24263888889</x:v>
      </x:c>
      <x:c r="L340" s="2" t="str">
        <x:v>R2S1</x:v>
      </x:c>
      <x:c r="M340" s="9" t="n">
        <x:v>25.28</x:v>
      </x:c>
      <x:c r="N340" s="9" t="n">
        <x:v>51.498999999999995</x:v>
      </x:c>
      <x:c r="O340" s="2" t="str">
        <x:v>Valid</x:v>
      </x:c>
      <x:c r="P340" s="2" t="str">
        <x:v>EV000674</x:v>
      </x:c>
      <x:c r="Q340" s="8" t="n">
        <x:v>46300.27701388889</x:v>
      </x:c>
      <x:c r="R340" s="2" t="str">
        <x:v>SCH01</x:v>
      </x:c>
      <x:c r="S340" s="9" t="n">
        <x:v>25.285</x:v>
      </x:c>
      <x:c r="T340" s="9" t="n">
        <x:v>51.51</x:v>
      </x:c>
      <x:c r="U340" s="2" t="str">
        <x:v>SCHOOL_RECEIVER_01</x:v>
      </x:c>
      <x:c r="V340" s="2" t="str">
        <x:v>School staff receipt</x:v>
      </x:c>
      <x:c r="W340" s="2" t="str">
        <x:v>Completed transport</x:v>
      </x:c>
      <x:c r="X340" s="2" t="str">
        <x:v>QR</x:v>
      </x:c>
      <x:c r="Y340" s="2" t="str">
        <x:v>Online</x:v>
      </x:c>
      <x:c r="Z340" s="2" t="str">
        <x:v>Synced</x:v>
      </x:c>
      <x:c r="AA340" s="2"/>
      <x:c r="AB340" s="2"/>
      <x:c r="AC340" s="10" t="n">
        <x:f>IF(OR(K340="",Q340=""),"",ROUND((Q340-K340)*1440,2))</x:f>
        <x:v>49.5</x:v>
      </x:c>
    </x:row>
    <x:row r="341" ht="21" customHeight="1">
      <x:c r="A341" s="2" t="str">
        <x:v>LN00340</x:v>
      </x:c>
      <x:c r="B341" s="2" t="str">
        <x:v>T20261005-1-2</x:v>
      </x:c>
      <x:c r="C341" s="7" t="n">
        <x:v>46300</x:v>
      </x:c>
      <x:c r="D341" s="2" t="str">
        <x:v>BUS002</x:v>
      </x:c>
      <x:c r="E341" s="2" t="str">
        <x:v>ST060</x:v>
      </x:c>
      <x:c r="F341" s="2" t="n">
        <x:v>1</x:v>
      </x:c>
      <x:c r="G341" s="2" t="str">
        <x:v>Senior</x:v>
      </x:c>
      <x:c r="H341" s="2" t="str">
        <x:v>Pickup</x:v>
      </x:c>
      <x:c r="I341" s="2" t="str">
        <x:v>R2S2</x:v>
      </x:c>
      <x:c r="J341" s="2" t="str">
        <x:v>EV000675</x:v>
      </x:c>
      <x:c r="K341" s="8" t="n">
        <x:v>46300.24753472222</x:v>
      </x:c>
      <x:c r="L341" s="2" t="str">
        <x:v>R2S2</x:v>
      </x:c>
      <x:c r="M341" s="9" t="n">
        <x:v>25.282000000000004</x:v>
      </x:c>
      <x:c r="N341" s="9" t="n">
        <x:v>51.501999999999995</x:v>
      </x:c>
      <x:c r="O341" s="2" t="str">
        <x:v>Valid</x:v>
      </x:c>
      <x:c r="P341" s="2" t="str">
        <x:v>EV000676</x:v>
      </x:c>
      <x:c r="Q341" s="8" t="n">
        <x:v>46300.27704861111</x:v>
      </x:c>
      <x:c r="R341" s="2" t="str">
        <x:v>SCH01</x:v>
      </x:c>
      <x:c r="S341" s="9" t="n">
        <x:v>25.285</x:v>
      </x:c>
      <x:c r="T341" s="9" t="n">
        <x:v>51.51</x:v>
      </x:c>
      <x:c r="U341" s="2" t="str">
        <x:v>SCHOOL_RECEIVER_01</x:v>
      </x:c>
      <x:c r="V341" s="2" t="str">
        <x:v>School staff receipt</x:v>
      </x:c>
      <x:c r="W341" s="2" t="str">
        <x:v>Completed transport</x:v>
      </x:c>
      <x:c r="X341" s="2" t="str">
        <x:v>QR</x:v>
      </x:c>
      <x:c r="Y341" s="2" t="str">
        <x:v>Online</x:v>
      </x:c>
      <x:c r="Z341" s="2" t="str">
        <x:v>Synced</x:v>
      </x:c>
      <x:c r="AA341" s="2"/>
      <x:c r="AB341" s="2"/>
      <x:c r="AC341" s="10" t="n">
        <x:f>IF(OR(K341="",Q341=""),"",ROUND((Q341-K341)*1440,2))</x:f>
        <x:v>42.5</x:v>
      </x:c>
    </x:row>
    <x:row r="342" ht="21" customHeight="1">
      <x:c r="A342" s="2" t="str">
        <x:v>LN00341</x:v>
      </x:c>
      <x:c r="B342" s="2" t="str">
        <x:v>T20261005-2-2</x:v>
      </x:c>
      <x:c r="C342" s="7" t="n">
        <x:v>46300</x:v>
      </x:c>
      <x:c r="D342" s="2" t="str">
        <x:v>BUS002</x:v>
      </x:c>
      <x:c r="E342" s="2" t="str">
        <x:v>ST041</x:v>
      </x:c>
      <x:c r="F342" s="2" t="n">
        <x:v>1</x:v>
      </x:c>
      <x:c r="G342" s="2" t="str">
        <x:v>Junior</x:v>
      </x:c>
      <x:c r="H342" s="2" t="str">
        <x:v>Drop-off</x:v>
      </x:c>
      <x:c r="I342" s="2" t="str">
        <x:v>R2S1</x:v>
      </x:c>
      <x:c r="J342" s="2" t="str">
        <x:v>EV000677</x:v>
      </x:c>
      <x:c r="K342" s="8" t="n">
        <x:v>46300.4375</x:v>
      </x:c>
      <x:c r="L342" s="2" t="str">
        <x:v>SCH01</x:v>
      </x:c>
      <x:c r="M342" s="9" t="n">
        <x:v>25.285</x:v>
      </x:c>
      <x:c r="N342" s="9" t="n">
        <x:v>51.51</x:v>
      </x:c>
      <x:c r="O342" s="2" t="str">
        <x:v>Valid</x:v>
      </x:c>
      <x:c r="P342" s="2" t="str">
        <x:v>EV000678</x:v>
      </x:c>
      <x:c r="Q342" s="8" t="n">
        <x:v>46300.44930555555</x:v>
      </x:c>
      <x:c r="R342" s="2" t="str">
        <x:v>R2S1</x:v>
      </x:c>
      <x:c r="S342" s="9" t="n">
        <x:v>25.28</x:v>
      </x:c>
      <x:c r="T342" s="9" t="n">
        <x:v>51.498999999999995</x:v>
      </x:c>
      <x:c r="U342" s="2" t="str">
        <x:v>G041</x:v>
      </x:c>
      <x:c r="V342" s="2" t="str">
        <x:v>Authorized guardian release</x:v>
      </x:c>
      <x:c r="W342" s="2" t="str">
        <x:v>Completed transport</x:v>
      </x:c>
      <x:c r="X342" s="2" t="str">
        <x:v>QR</x:v>
      </x:c>
      <x:c r="Y342" s="2" t="str">
        <x:v>Online</x:v>
      </x:c>
      <x:c r="Z342" s="2" t="str">
        <x:v>Synced</x:v>
      </x:c>
      <x:c r="AA342" s="2"/>
      <x:c r="AB342" s="2"/>
      <x:c r="AC342" s="10" t="n">
        <x:f>IF(OR(K342="",Q342=""),"",ROUND((Q342-K342)*1440,2))</x:f>
        <x:v>17</x:v>
      </x:c>
    </x:row>
    <x:row r="343" ht="21" customHeight="1">
      <x:c r="A343" s="2" t="str">
        <x:v>LN00342</x:v>
      </x:c>
      <x:c r="B343" s="2" t="str">
        <x:v>T20261005-2-2</x:v>
      </x:c>
      <x:c r="C343" s="7" t="n">
        <x:v>46300</x:v>
      </x:c>
      <x:c r="D343" s="2" t="str">
        <x:v>BUS002</x:v>
      </x:c>
      <x:c r="E343" s="2" t="str">
        <x:v>ST042</x:v>
      </x:c>
      <x:c r="F343" s="2" t="n">
        <x:v>1</x:v>
      </x:c>
      <x:c r="G343" s="2" t="str">
        <x:v>Junior</x:v>
      </x:c>
      <x:c r="H343" s="2" t="str">
        <x:v>Drop-off</x:v>
      </x:c>
      <x:c r="I343" s="2" t="str">
        <x:v>R2S2</x:v>
      </x:c>
      <x:c r="J343" s="2"/>
      <x:c r="K343" s="8"/>
      <x:c r="L343" s="2"/>
      <x:c r="M343" s="9"/>
      <x:c r="N343" s="9"/>
      <x:c r="O343" s="2"/>
      <x:c r="P343" s="2"/>
      <x:c r="Q343" s="8"/>
      <x:c r="R343" s="2"/>
      <x:c r="S343" s="9"/>
      <x:c r="T343" s="9"/>
      <x:c r="U343" s="2"/>
      <x:c r="V343" s="2"/>
      <x:c r="W343" s="2" t="str">
        <x:v>Cancelled transport</x:v>
      </x:c>
      <x:c r="X343" s="2" t="str">
        <x:v>QR</x:v>
      </x:c>
      <x:c r="Y343" s="2" t="str">
        <x:v>Online</x:v>
      </x:c>
      <x:c r="Z343" s="2" t="str">
        <x:v>Synced</x:v>
      </x:c>
      <x:c r="AA343" s="2" t="str">
        <x:v>Return cancelled after confirmed morning no show</x:v>
      </x:c>
      <x:c r="AB343" s="2"/>
      <x:c r="AC343" s="10" t="str">
        <x:f>IF(OR(K343="",Q343=""),"",ROUND((Q343-K343)*1440,2))</x:f>
      </x:c>
    </x:row>
    <x:row r="344" ht="21" customHeight="1">
      <x:c r="A344" s="2" t="str">
        <x:v>LN00343</x:v>
      </x:c>
      <x:c r="B344" s="2" t="str">
        <x:v>T20261005-2-2</x:v>
      </x:c>
      <x:c r="C344" s="7" t="n">
        <x:v>46300</x:v>
      </x:c>
      <x:c r="D344" s="2" t="str">
        <x:v>BUS002</x:v>
      </x:c>
      <x:c r="E344" s="2" t="str">
        <x:v>ST043</x:v>
      </x:c>
      <x:c r="F344" s="2" t="n">
        <x:v>1</x:v>
      </x:c>
      <x:c r="G344" s="2" t="str">
        <x:v>Junior</x:v>
      </x:c>
      <x:c r="H344" s="2" t="str">
        <x:v>Drop-off</x:v>
      </x:c>
      <x:c r="I344" s="2" t="str">
        <x:v>R2S3</x:v>
      </x:c>
      <x:c r="J344" s="2" t="str">
        <x:v>EV000679</x:v>
      </x:c>
      <x:c r="K344" s="8" t="n">
        <x:v>46300.437569444446</x:v>
      </x:c>
      <x:c r="L344" s="2" t="str">
        <x:v>SCH01</x:v>
      </x:c>
      <x:c r="M344" s="9" t="n">
        <x:v>25.285</x:v>
      </x:c>
      <x:c r="N344" s="9" t="n">
        <x:v>51.51</x:v>
      </x:c>
      <x:c r="O344" s="2" t="str">
        <x:v>Valid</x:v>
      </x:c>
      <x:c r="P344" s="2" t="str">
        <x:v>EV000680</x:v>
      </x:c>
      <x:c r="Q344" s="8" t="n">
        <x:v>46300.457708333335</x:v>
      </x:c>
      <x:c r="R344" s="2" t="str">
        <x:v>R2S3</x:v>
      </x:c>
      <x:c r="S344" s="9" t="n">
        <x:v>25.284000000000002</x:v>
      </x:c>
      <x:c r="T344" s="9" t="n">
        <x:v>51.504999999999995</x:v>
      </x:c>
      <x:c r="U344" s="2" t="str">
        <x:v>G043</x:v>
      </x:c>
      <x:c r="V344" s="2" t="str">
        <x:v>Authorized guardian release</x:v>
      </x:c>
      <x:c r="W344" s="2" t="str">
        <x:v>Completed transport</x:v>
      </x:c>
      <x:c r="X344" s="2" t="str">
        <x:v>QR</x:v>
      </x:c>
      <x:c r="Y344" s="2" t="str">
        <x:v>Online</x:v>
      </x:c>
      <x:c r="Z344" s="2" t="str">
        <x:v>Synced</x:v>
      </x:c>
      <x:c r="AA344" s="2"/>
      <x:c r="AB344" s="2"/>
      <x:c r="AC344" s="10" t="n">
        <x:f>IF(OR(K344="",Q344=""),"",ROUND((Q344-K344)*1440,2))</x:f>
        <x:v>29</x:v>
      </x:c>
    </x:row>
    <x:row r="345" ht="21" customHeight="1">
      <x:c r="A345" s="2" t="str">
        <x:v>LN00344</x:v>
      </x:c>
      <x:c r="B345" s="2" t="str">
        <x:v>T20261005-2-2</x:v>
      </x:c>
      <x:c r="C345" s="7" t="n">
        <x:v>46300</x:v>
      </x:c>
      <x:c r="D345" s="2" t="str">
        <x:v>BUS002</x:v>
      </x:c>
      <x:c r="E345" s="2" t="str">
        <x:v>ST044</x:v>
      </x:c>
      <x:c r="F345" s="2" t="n">
        <x:v>1</x:v>
      </x:c>
      <x:c r="G345" s="2" t="str">
        <x:v>Junior</x:v>
      </x:c>
      <x:c r="H345" s="2" t="str">
        <x:v>Drop-off</x:v>
      </x:c>
      <x:c r="I345" s="2" t="str">
        <x:v>R2S1</x:v>
      </x:c>
      <x:c r="J345" s="2" t="str">
        <x:v>EV000681</x:v>
      </x:c>
      <x:c r="K345" s="8" t="n">
        <x:v>46300.43760416667</x:v>
      </x:c>
      <x:c r="L345" s="2" t="str">
        <x:v>SCH01</x:v>
      </x:c>
      <x:c r="M345" s="9" t="n">
        <x:v>25.285</x:v>
      </x:c>
      <x:c r="N345" s="9" t="n">
        <x:v>51.51</x:v>
      </x:c>
      <x:c r="O345" s="2" t="str">
        <x:v>Valid</x:v>
      </x:c>
      <x:c r="P345" s="2" t="str">
        <x:v>EV000682</x:v>
      </x:c>
      <x:c r="Q345" s="8" t="n">
        <x:v>46300.44940972222</x:v>
      </x:c>
      <x:c r="R345" s="2" t="str">
        <x:v>R2S1</x:v>
      </x:c>
      <x:c r="S345" s="9" t="n">
        <x:v>25.28</x:v>
      </x:c>
      <x:c r="T345" s="9" t="n">
        <x:v>51.498999999999995</x:v>
      </x:c>
      <x:c r="U345" s="2" t="str">
        <x:v>G044</x:v>
      </x:c>
      <x:c r="V345" s="2" t="str">
        <x:v>Authorized guardian release</x:v>
      </x:c>
      <x:c r="W345" s="2" t="str">
        <x:v>Completed transport</x:v>
      </x:c>
      <x:c r="X345" s="2" t="str">
        <x:v>QR</x:v>
      </x:c>
      <x:c r="Y345" s="2" t="str">
        <x:v>Online</x:v>
      </x:c>
      <x:c r="Z345" s="2" t="str">
        <x:v>Synced</x:v>
      </x:c>
      <x:c r="AA345" s="2"/>
      <x:c r="AB345" s="2"/>
      <x:c r="AC345" s="10" t="n">
        <x:f>IF(OR(K345="",Q345=""),"",ROUND((Q345-K345)*1440,2))</x:f>
        <x:v>17</x:v>
      </x:c>
    </x:row>
    <x:row r="346" ht="21" customHeight="1">
      <x:c r="A346" s="2" t="str">
        <x:v>LN00345</x:v>
      </x:c>
      <x:c r="B346" s="2" t="str">
        <x:v>T20261005-2-2</x:v>
      </x:c>
      <x:c r="C346" s="7" t="n">
        <x:v>46300</x:v>
      </x:c>
      <x:c r="D346" s="2" t="str">
        <x:v>BUS002</x:v>
      </x:c>
      <x:c r="E346" s="2" t="str">
        <x:v>ST045</x:v>
      </x:c>
      <x:c r="F346" s="2" t="n">
        <x:v>1</x:v>
      </x:c>
      <x:c r="G346" s="2" t="str">
        <x:v>Junior</x:v>
      </x:c>
      <x:c r="H346" s="2" t="str">
        <x:v>Drop-off</x:v>
      </x:c>
      <x:c r="I346" s="2" t="str">
        <x:v>R2S2</x:v>
      </x:c>
      <x:c r="J346" s="2" t="str">
        <x:v>EV000683</x:v>
      </x:c>
      <x:c r="K346" s="8" t="n">
        <x:v>46300.43763888889</x:v>
      </x:c>
      <x:c r="L346" s="2" t="str">
        <x:v>SCH01</x:v>
      </x:c>
      <x:c r="M346" s="9" t="n">
        <x:v>25.285</x:v>
      </x:c>
      <x:c r="N346" s="9" t="n">
        <x:v>51.51</x:v>
      </x:c>
      <x:c r="O346" s="2" t="str">
        <x:v>Valid</x:v>
      </x:c>
      <x:c r="P346" s="2" t="str">
        <x:v>EV000684</x:v>
      </x:c>
      <x:c r="Q346" s="8" t="n">
        <x:v>46300.453611111116</x:v>
      </x:c>
      <x:c r="R346" s="2" t="str">
        <x:v>R2S2</x:v>
      </x:c>
      <x:c r="S346" s="9" t="n">
        <x:v>25.282000000000004</x:v>
      </x:c>
      <x:c r="T346" s="9" t="n">
        <x:v>51.501999999999995</x:v>
      </x:c>
      <x:c r="U346" s="2" t="str">
        <x:v>G045</x:v>
      </x:c>
      <x:c r="V346" s="2" t="str">
        <x:v>Authorized guardian release</x:v>
      </x:c>
      <x:c r="W346" s="2" t="str">
        <x:v>Completed transport</x:v>
      </x:c>
      <x:c r="X346" s="2" t="str">
        <x:v>QR</x:v>
      </x:c>
      <x:c r="Y346" s="2" t="str">
        <x:v>Online</x:v>
      </x:c>
      <x:c r="Z346" s="2" t="str">
        <x:v>Synced</x:v>
      </x:c>
      <x:c r="AA346" s="2"/>
      <x:c r="AB346" s="2"/>
      <x:c r="AC346" s="10" t="n">
        <x:f>IF(OR(K346="",Q346=""),"",ROUND((Q346-K346)*1440,2))</x:f>
        <x:v>23</x:v>
      </x:c>
    </x:row>
    <x:row r="347" ht="21" customHeight="1">
      <x:c r="A347" s="2" t="str">
        <x:v>LN00346</x:v>
      </x:c>
      <x:c r="B347" s="2" t="str">
        <x:v>T20261005-2-2</x:v>
      </x:c>
      <x:c r="C347" s="7" t="n">
        <x:v>46300</x:v>
      </x:c>
      <x:c r="D347" s="2" t="str">
        <x:v>BUS002</x:v>
      </x:c>
      <x:c r="E347" s="2" t="str">
        <x:v>ST046</x:v>
      </x:c>
      <x:c r="F347" s="2" t="n">
        <x:v>1</x:v>
      </x:c>
      <x:c r="G347" s="2" t="str">
        <x:v>Junior</x:v>
      </x:c>
      <x:c r="H347" s="2" t="str">
        <x:v>Drop-off</x:v>
      </x:c>
      <x:c r="I347" s="2" t="str">
        <x:v>R2S3</x:v>
      </x:c>
      <x:c r="J347" s="2" t="str">
        <x:v>EV000685</x:v>
      </x:c>
      <x:c r="K347" s="8" t="n">
        <x:v>46300.43767361111</x:v>
      </x:c>
      <x:c r="L347" s="2" t="str">
        <x:v>SCH01</x:v>
      </x:c>
      <x:c r="M347" s="9" t="n">
        <x:v>25.285</x:v>
      </x:c>
      <x:c r="N347" s="9" t="n">
        <x:v>51.51</x:v>
      </x:c>
      <x:c r="O347" s="2" t="str">
        <x:v>Valid</x:v>
      </x:c>
      <x:c r="P347" s="2" t="str">
        <x:v>EV000686</x:v>
      </x:c>
      <x:c r="Q347" s="8" t="n">
        <x:v>46300.4578125</x:v>
      </x:c>
      <x:c r="R347" s="2" t="str">
        <x:v>R2S3</x:v>
      </x:c>
      <x:c r="S347" s="9" t="n">
        <x:v>25.284000000000002</x:v>
      </x:c>
      <x:c r="T347" s="9" t="n">
        <x:v>51.504999999999995</x:v>
      </x:c>
      <x:c r="U347" s="2" t="str">
        <x:v>G046</x:v>
      </x:c>
      <x:c r="V347" s="2" t="str">
        <x:v>Authorized guardian release</x:v>
      </x:c>
      <x:c r="W347" s="2" t="str">
        <x:v>Completed transport</x:v>
      </x:c>
      <x:c r="X347" s="2" t="str">
        <x:v>QR</x:v>
      </x:c>
      <x:c r="Y347" s="2" t="str">
        <x:v>Online</x:v>
      </x:c>
      <x:c r="Z347" s="2" t="str">
        <x:v>Synced</x:v>
      </x:c>
      <x:c r="AA347" s="2"/>
      <x:c r="AB347" s="2"/>
      <x:c r="AC347" s="10" t="n">
        <x:f>IF(OR(K347="",Q347=""),"",ROUND((Q347-K347)*1440,2))</x:f>
        <x:v>29</x:v>
      </x:c>
    </x:row>
    <x:row r="348" ht="21" customHeight="1">
      <x:c r="A348" s="2" t="str">
        <x:v>LN00347</x:v>
      </x:c>
      <x:c r="B348" s="2" t="str">
        <x:v>T20261005-2-2</x:v>
      </x:c>
      <x:c r="C348" s="7" t="n">
        <x:v>46300</x:v>
      </x:c>
      <x:c r="D348" s="2" t="str">
        <x:v>BUS002</x:v>
      </x:c>
      <x:c r="E348" s="2" t="str">
        <x:v>ST047</x:v>
      </x:c>
      <x:c r="F348" s="2" t="n">
        <x:v>1</x:v>
      </x:c>
      <x:c r="G348" s="2" t="str">
        <x:v>Junior</x:v>
      </x:c>
      <x:c r="H348" s="2" t="str">
        <x:v>Drop-off</x:v>
      </x:c>
      <x:c r="I348" s="2" t="str">
        <x:v>R2S1</x:v>
      </x:c>
      <x:c r="J348" s="2" t="str">
        <x:v>EV000687</x:v>
      </x:c>
      <x:c r="K348" s="8" t="n">
        <x:v>46300.43770833333</x:v>
      </x:c>
      <x:c r="L348" s="2" t="str">
        <x:v>SCH01</x:v>
      </x:c>
      <x:c r="M348" s="9" t="n">
        <x:v>25.285</x:v>
      </x:c>
      <x:c r="N348" s="9" t="n">
        <x:v>51.51</x:v>
      </x:c>
      <x:c r="O348" s="2" t="str">
        <x:v>Valid</x:v>
      </x:c>
      <x:c r="P348" s="2" t="str">
        <x:v>EV000688</x:v>
      </x:c>
      <x:c r="Q348" s="8" t="n">
        <x:v>46300.44951388888</x:v>
      </x:c>
      <x:c r="R348" s="2" t="str">
        <x:v>R2S1</x:v>
      </x:c>
      <x:c r="S348" s="9" t="n">
        <x:v>25.28</x:v>
      </x:c>
      <x:c r="T348" s="9" t="n">
        <x:v>51.498999999999995</x:v>
      </x:c>
      <x:c r="U348" s="2" t="str">
        <x:v>G047</x:v>
      </x:c>
      <x:c r="V348" s="2" t="str">
        <x:v>Authorized guardian release</x:v>
      </x:c>
      <x:c r="W348" s="2" t="str">
        <x:v>Completed transport</x:v>
      </x:c>
      <x:c r="X348" s="2" t="str">
        <x:v>QR</x:v>
      </x:c>
      <x:c r="Y348" s="2" t="str">
        <x:v>Online</x:v>
      </x:c>
      <x:c r="Z348" s="2" t="str">
        <x:v>Synced</x:v>
      </x:c>
      <x:c r="AA348" s="2"/>
      <x:c r="AB348" s="2"/>
      <x:c r="AC348" s="10" t="n">
        <x:f>IF(OR(K348="",Q348=""),"",ROUND((Q348-K348)*1440,2))</x:f>
        <x:v>17</x:v>
      </x:c>
    </x:row>
    <x:row r="349" ht="21" customHeight="1">
      <x:c r="A349" s="2" t="str">
        <x:v>LN00348</x:v>
      </x:c>
      <x:c r="B349" s="2" t="str">
        <x:v>T20261005-2-2</x:v>
      </x:c>
      <x:c r="C349" s="7" t="n">
        <x:v>46300</x:v>
      </x:c>
      <x:c r="D349" s="2" t="str">
        <x:v>BUS002</x:v>
      </x:c>
      <x:c r="E349" s="2" t="str">
        <x:v>ST048</x:v>
      </x:c>
      <x:c r="F349" s="2" t="n">
        <x:v>1</x:v>
      </x:c>
      <x:c r="G349" s="2" t="str">
        <x:v>Junior</x:v>
      </x:c>
      <x:c r="H349" s="2" t="str">
        <x:v>Drop-off</x:v>
      </x:c>
      <x:c r="I349" s="2" t="str">
        <x:v>R2S2</x:v>
      </x:c>
      <x:c r="J349" s="2" t="str">
        <x:v>EV000689</x:v>
      </x:c>
      <x:c r="K349" s="8" t="n">
        <x:v>46300.437743055554</x:v>
      </x:c>
      <x:c r="L349" s="2" t="str">
        <x:v>SCH01</x:v>
      </x:c>
      <x:c r="M349" s="9" t="n">
        <x:v>25.285</x:v>
      </x:c>
      <x:c r="N349" s="9" t="n">
        <x:v>51.51</x:v>
      </x:c>
      <x:c r="O349" s="2" t="str">
        <x:v>Valid</x:v>
      </x:c>
      <x:c r="P349" s="2" t="str">
        <x:v>EV000690</x:v>
      </x:c>
      <x:c r="Q349" s="8" t="n">
        <x:v>46300.45371527778</x:v>
      </x:c>
      <x:c r="R349" s="2" t="str">
        <x:v>R2S2</x:v>
      </x:c>
      <x:c r="S349" s="9" t="n">
        <x:v>25.282000000000004</x:v>
      </x:c>
      <x:c r="T349" s="9" t="n">
        <x:v>51.501999999999995</x:v>
      </x:c>
      <x:c r="U349" s="2" t="str">
        <x:v>G048</x:v>
      </x:c>
      <x:c r="V349" s="2" t="str">
        <x:v>Authorized guardian release</x:v>
      </x:c>
      <x:c r="W349" s="2" t="str">
        <x:v>Completed transport</x:v>
      </x:c>
      <x:c r="X349" s="2" t="str">
        <x:v>QR</x:v>
      </x:c>
      <x:c r="Y349" s="2" t="str">
        <x:v>Online</x:v>
      </x:c>
      <x:c r="Z349" s="2" t="str">
        <x:v>Synced</x:v>
      </x:c>
      <x:c r="AA349" s="2"/>
      <x:c r="AB349" s="2"/>
      <x:c r="AC349" s="10" t="n">
        <x:f>IF(OR(K349="",Q349=""),"",ROUND((Q349-K349)*1440,2))</x:f>
        <x:v>23</x:v>
      </x:c>
    </x:row>
    <x:row r="350" ht="21" customHeight="1">
      <x:c r="A350" s="2" t="str">
        <x:v>LN00349</x:v>
      </x:c>
      <x:c r="B350" s="2" t="str">
        <x:v>T20261005-2-2</x:v>
      </x:c>
      <x:c r="C350" s="7" t="n">
        <x:v>46300</x:v>
      </x:c>
      <x:c r="D350" s="2" t="str">
        <x:v>BUS002</x:v>
      </x:c>
      <x:c r="E350" s="2" t="str">
        <x:v>ST049</x:v>
      </x:c>
      <x:c r="F350" s="2" t="n">
        <x:v>1</x:v>
      </x:c>
      <x:c r="G350" s="2" t="str">
        <x:v>Junior</x:v>
      </x:c>
      <x:c r="H350" s="2" t="str">
        <x:v>Drop-off</x:v>
      </x:c>
      <x:c r="I350" s="2" t="str">
        <x:v>R2S3</x:v>
      </x:c>
      <x:c r="J350" s="2" t="str">
        <x:v>EV000691</x:v>
      </x:c>
      <x:c r="K350" s="8" t="n">
        <x:v>46300.43777777778</x:v>
      </x:c>
      <x:c r="L350" s="2" t="str">
        <x:v>SCH01</x:v>
      </x:c>
      <x:c r="M350" s="9" t="n">
        <x:v>25.285</x:v>
      </x:c>
      <x:c r="N350" s="9" t="n">
        <x:v>51.51</x:v>
      </x:c>
      <x:c r="O350" s="2" t="str">
        <x:v>Valid</x:v>
      </x:c>
      <x:c r="P350" s="2" t="str">
        <x:v>EV000692</x:v>
      </x:c>
      <x:c r="Q350" s="8" t="n">
        <x:v>46300.457916666666</x:v>
      </x:c>
      <x:c r="R350" s="2" t="str">
        <x:v>R2S3</x:v>
      </x:c>
      <x:c r="S350" s="9" t="n">
        <x:v>25.284000000000002</x:v>
      </x:c>
      <x:c r="T350" s="9" t="n">
        <x:v>51.504999999999995</x:v>
      </x:c>
      <x:c r="U350" s="2" t="str">
        <x:v>G049</x:v>
      </x:c>
      <x:c r="V350" s="2" t="str">
        <x:v>Authorized guardian release</x:v>
      </x:c>
      <x:c r="W350" s="2" t="str">
        <x:v>Completed transport</x:v>
      </x:c>
      <x:c r="X350" s="2" t="str">
        <x:v>QR</x:v>
      </x:c>
      <x:c r="Y350" s="2" t="str">
        <x:v>Online</x:v>
      </x:c>
      <x:c r="Z350" s="2" t="str">
        <x:v>Synced</x:v>
      </x:c>
      <x:c r="AA350" s="2"/>
      <x:c r="AB350" s="2"/>
      <x:c r="AC350" s="10" t="n">
        <x:f>IF(OR(K350="",Q350=""),"",ROUND((Q350-K350)*1440,2))</x:f>
        <x:v>29</x:v>
      </x:c>
    </x:row>
    <x:row r="351" ht="21" customHeight="1">
      <x:c r="A351" s="2" t="str">
        <x:v>LN00350</x:v>
      </x:c>
      <x:c r="B351" s="2" t="str">
        <x:v>T20261005-2-2</x:v>
      </x:c>
      <x:c r="C351" s="7" t="n">
        <x:v>46300</x:v>
      </x:c>
      <x:c r="D351" s="2" t="str">
        <x:v>BUS002</x:v>
      </x:c>
      <x:c r="E351" s="2" t="str">
        <x:v>ST050</x:v>
      </x:c>
      <x:c r="F351" s="2" t="n">
        <x:v>1</x:v>
      </x:c>
      <x:c r="G351" s="2" t="str">
        <x:v>Junior</x:v>
      </x:c>
      <x:c r="H351" s="2" t="str">
        <x:v>Drop-off</x:v>
      </x:c>
      <x:c r="I351" s="2" t="str">
        <x:v>R2S1</x:v>
      </x:c>
      <x:c r="J351" s="2" t="str">
        <x:v>EV000693</x:v>
      </x:c>
      <x:c r="K351" s="8" t="n">
        <x:v>46300.4378125</x:v>
      </x:c>
      <x:c r="L351" s="2" t="str">
        <x:v>SCH01</x:v>
      </x:c>
      <x:c r="M351" s="9" t="n">
        <x:v>25.285</x:v>
      </x:c>
      <x:c r="N351" s="9" t="n">
        <x:v>51.51</x:v>
      </x:c>
      <x:c r="O351" s="2" t="str">
        <x:v>Valid</x:v>
      </x:c>
      <x:c r="P351" s="2" t="str">
        <x:v>EV000694</x:v>
      </x:c>
      <x:c r="Q351" s="8" t="n">
        <x:v>46300.44961805555</x:v>
      </x:c>
      <x:c r="R351" s="2" t="str">
        <x:v>R2S1</x:v>
      </x:c>
      <x:c r="S351" s="9" t="n">
        <x:v>25.28</x:v>
      </x:c>
      <x:c r="T351" s="9" t="n">
        <x:v>51.498999999999995</x:v>
      </x:c>
      <x:c r="U351" s="2" t="str">
        <x:v>G050</x:v>
      </x:c>
      <x:c r="V351" s="2" t="str">
        <x:v>Authorized guardian release</x:v>
      </x:c>
      <x:c r="W351" s="2" t="str">
        <x:v>Completed transport</x:v>
      </x:c>
      <x:c r="X351" s="2" t="str">
        <x:v>QR</x:v>
      </x:c>
      <x:c r="Y351" s="2" t="str">
        <x:v>Online</x:v>
      </x:c>
      <x:c r="Z351" s="2" t="str">
        <x:v>Synced</x:v>
      </x:c>
      <x:c r="AA351" s="2"/>
      <x:c r="AB351" s="2"/>
      <x:c r="AC351" s="10" t="n">
        <x:f>IF(OR(K351="",Q351=""),"",ROUND((Q351-K351)*1440,2))</x:f>
        <x:v>17</x:v>
      </x:c>
    </x:row>
    <x:row r="352" ht="21" customHeight="1">
      <x:c r="A352" s="2" t="str">
        <x:v>LN00351</x:v>
      </x:c>
      <x:c r="B352" s="2" t="str">
        <x:v>T20261005-2-2</x:v>
      </x:c>
      <x:c r="C352" s="7" t="n">
        <x:v>46300</x:v>
      </x:c>
      <x:c r="D352" s="2" t="str">
        <x:v>BUS002</x:v>
      </x:c>
      <x:c r="E352" s="2" t="str">
        <x:v>ST061</x:v>
      </x:c>
      <x:c r="F352" s="2" t="n">
        <x:v>2</x:v>
      </x:c>
      <x:c r="G352" s="2" t="str">
        <x:v>Junior</x:v>
      </x:c>
      <x:c r="H352" s="2" t="str">
        <x:v>Pickup</x:v>
      </x:c>
      <x:c r="I352" s="2" t="str">
        <x:v>R2S3</x:v>
      </x:c>
      <x:c r="J352" s="2" t="str">
        <x:v>EV000695</x:v>
      </x:c>
      <x:c r="K352" s="8" t="n">
        <x:v>46300.48125</x:v>
      </x:c>
      <x:c r="L352" s="2" t="str">
        <x:v>R2S3</x:v>
      </x:c>
      <x:c r="M352" s="9" t="n">
        <x:v>25.284000000000002</x:v>
      </x:c>
      <x:c r="N352" s="9" t="n">
        <x:v>51.504999999999995</x:v>
      </x:c>
      <x:c r="O352" s="2" t="str">
        <x:v>Valid</x:v>
      </x:c>
      <x:c r="P352" s="2" t="str">
        <x:v>EV000696</x:v>
      </x:c>
      <x:c r="Q352" s="8" t="n">
        <x:v>46300.506250000006</x:v>
      </x:c>
      <x:c r="R352" s="2" t="str">
        <x:v>SCH01</x:v>
      </x:c>
      <x:c r="S352" s="9" t="n">
        <x:v>25.285</x:v>
      </x:c>
      <x:c r="T352" s="9" t="n">
        <x:v>51.51</x:v>
      </x:c>
      <x:c r="U352" s="2" t="str">
        <x:v>SCHOOL_RECEIVER_01</x:v>
      </x:c>
      <x:c r="V352" s="2" t="str">
        <x:v>School staff receipt</x:v>
      </x:c>
      <x:c r="W352" s="2" t="str">
        <x:v>Completed transport</x:v>
      </x:c>
      <x:c r="X352" s="2" t="str">
        <x:v>QR</x:v>
      </x:c>
      <x:c r="Y352" s="2" t="str">
        <x:v>Online</x:v>
      </x:c>
      <x:c r="Z352" s="2" t="str">
        <x:v>Synced</x:v>
      </x:c>
      <x:c r="AA352" s="2"/>
      <x:c r="AB352" s="2"/>
      <x:c r="AC352" s="10" t="n">
        <x:f>IF(OR(K352="",Q352=""),"",ROUND((Q352-K352)*1440,2))</x:f>
        <x:v>36</x:v>
      </x:c>
    </x:row>
    <x:row r="353" ht="21" customHeight="1">
      <x:c r="A353" s="2" t="str">
        <x:v>LN00352</x:v>
      </x:c>
      <x:c r="B353" s="2" t="str">
        <x:v>T20261005-2-2</x:v>
      </x:c>
      <x:c r="C353" s="7" t="n">
        <x:v>46300</x:v>
      </x:c>
      <x:c r="D353" s="2" t="str">
        <x:v>BUS002</x:v>
      </x:c>
      <x:c r="E353" s="2" t="str">
        <x:v>ST062</x:v>
      </x:c>
      <x:c r="F353" s="2" t="n">
        <x:v>2</x:v>
      </x:c>
      <x:c r="G353" s="2" t="str">
        <x:v>Junior</x:v>
      </x:c>
      <x:c r="H353" s="2" t="str">
        <x:v>Pickup</x:v>
      </x:c>
      <x:c r="I353" s="2" t="str">
        <x:v>R2S1</x:v>
      </x:c>
      <x:c r="J353" s="2" t="str">
        <x:v>EV000697</x:v>
      </x:c>
      <x:c r="K353" s="8" t="n">
        <x:v>46300.4715625</x:v>
      </x:c>
      <x:c r="L353" s="2" t="str">
        <x:v>R2S1</x:v>
      </x:c>
      <x:c r="M353" s="9" t="n">
        <x:v>25.28</x:v>
      </x:c>
      <x:c r="N353" s="9" t="n">
        <x:v>51.498999999999995</x:v>
      </x:c>
      <x:c r="O353" s="2" t="str">
        <x:v>Valid</x:v>
      </x:c>
      <x:c r="P353" s="2" t="str">
        <x:v>EV000698</x:v>
      </x:c>
      <x:c r="Q353" s="8" t="n">
        <x:v>46300.50628472223</x:v>
      </x:c>
      <x:c r="R353" s="2" t="str">
        <x:v>SCH01</x:v>
      </x:c>
      <x:c r="S353" s="9" t="n">
        <x:v>25.285</x:v>
      </x:c>
      <x:c r="T353" s="9" t="n">
        <x:v>51.51</x:v>
      </x:c>
      <x:c r="U353" s="2" t="str">
        <x:v>SCHOOL_RECEIVER_01</x:v>
      </x:c>
      <x:c r="V353" s="2" t="str">
        <x:v>School staff receipt</x:v>
      </x:c>
      <x:c r="W353" s="2" t="str">
        <x:v>Completed transport</x:v>
      </x:c>
      <x:c r="X353" s="2" t="str">
        <x:v>QR</x:v>
      </x:c>
      <x:c r="Y353" s="2" t="str">
        <x:v>Online</x:v>
      </x:c>
      <x:c r="Z353" s="2" t="str">
        <x:v>Synced</x:v>
      </x:c>
      <x:c r="AA353" s="2"/>
      <x:c r="AB353" s="2"/>
      <x:c r="AC353" s="10" t="n">
        <x:f>IF(OR(K353="",Q353=""),"",ROUND((Q353-K353)*1440,2))</x:f>
        <x:v>50</x:v>
      </x:c>
    </x:row>
    <x:row r="354" ht="21" customHeight="1">
      <x:c r="A354" s="2" t="str">
        <x:v>LN00353</x:v>
      </x:c>
      <x:c r="B354" s="2" t="str">
        <x:v>T20261005-2-2</x:v>
      </x:c>
      <x:c r="C354" s="7" t="n">
        <x:v>46300</x:v>
      </x:c>
      <x:c r="D354" s="2" t="str">
        <x:v>BUS002</x:v>
      </x:c>
      <x:c r="E354" s="2" t="str">
        <x:v>ST063</x:v>
      </x:c>
      <x:c r="F354" s="2" t="n">
        <x:v>2</x:v>
      </x:c>
      <x:c r="G354" s="2" t="str">
        <x:v>Junior</x:v>
      </x:c>
      <x:c r="H354" s="2" t="str">
        <x:v>Pickup</x:v>
      </x:c>
      <x:c r="I354" s="2" t="str">
        <x:v>R2S2</x:v>
      </x:c>
      <x:c r="J354" s="2" t="str">
        <x:v>EV000699</x:v>
      </x:c>
      <x:c r="K354" s="8" t="n">
        <x:v>46300.47645833333</x:v>
      </x:c>
      <x:c r="L354" s="2" t="str">
        <x:v>R2S2</x:v>
      </x:c>
      <x:c r="M354" s="9" t="n">
        <x:v>25.282000000000004</x:v>
      </x:c>
      <x:c r="N354" s="9" t="n">
        <x:v>51.501999999999995</x:v>
      </x:c>
      <x:c r="O354" s="2" t="str">
        <x:v>Valid</x:v>
      </x:c>
      <x:c r="P354" s="2" t="str">
        <x:v>EV000700</x:v>
      </x:c>
      <x:c r="Q354" s="8" t="n">
        <x:v>46300.506319444445</x:v>
      </x:c>
      <x:c r="R354" s="2" t="str">
        <x:v>SCH01</x:v>
      </x:c>
      <x:c r="S354" s="9" t="n">
        <x:v>25.285</x:v>
      </x:c>
      <x:c r="T354" s="9" t="n">
        <x:v>51.51</x:v>
      </x:c>
      <x:c r="U354" s="2" t="str">
        <x:v>SCHOOL_RECEIVER_01</x:v>
      </x:c>
      <x:c r="V354" s="2" t="str">
        <x:v>School staff receipt</x:v>
      </x:c>
      <x:c r="W354" s="2" t="str">
        <x:v>Completed transport</x:v>
      </x:c>
      <x:c r="X354" s="2" t="str">
        <x:v>QR</x:v>
      </x:c>
      <x:c r="Y354" s="2" t="str">
        <x:v>Online</x:v>
      </x:c>
      <x:c r="Z354" s="2" t="str">
        <x:v>Synced</x:v>
      </x:c>
      <x:c r="AA354" s="2"/>
      <x:c r="AB354" s="2"/>
      <x:c r="AC354" s="10" t="n">
        <x:f>IF(OR(K354="",Q354=""),"",ROUND((Q354-K354)*1440,2))</x:f>
        <x:v>43</x:v>
      </x:c>
    </x:row>
    <x:row r="355" ht="21" customHeight="1">
      <x:c r="A355" s="2" t="str">
        <x:v>LN00354</x:v>
      </x:c>
      <x:c r="B355" s="2" t="str">
        <x:v>T20261005-2-2</x:v>
      </x:c>
      <x:c r="C355" s="7" t="n">
        <x:v>46300</x:v>
      </x:c>
      <x:c r="D355" s="2" t="str">
        <x:v>BUS002</x:v>
      </x:c>
      <x:c r="E355" s="2" t="str">
        <x:v>ST064</x:v>
      </x:c>
      <x:c r="F355" s="2" t="n">
        <x:v>2</x:v>
      </x:c>
      <x:c r="G355" s="2" t="str">
        <x:v>Junior</x:v>
      </x:c>
      <x:c r="H355" s="2" t="str">
        <x:v>Pickup</x:v>
      </x:c>
      <x:c r="I355" s="2" t="str">
        <x:v>R2S3</x:v>
      </x:c>
      <x:c r="J355" s="2" t="str">
        <x:v>EV000701</x:v>
      </x:c>
      <x:c r="K355" s="8" t="n">
        <x:v>46300.481354166666</x:v>
      </x:c>
      <x:c r="L355" s="2" t="str">
        <x:v>R2S3</x:v>
      </x:c>
      <x:c r="M355" s="9" t="n">
        <x:v>25.284000000000002</x:v>
      </x:c>
      <x:c r="N355" s="9" t="n">
        <x:v>51.504999999999995</x:v>
      </x:c>
      <x:c r="O355" s="2" t="str">
        <x:v>Valid</x:v>
      </x:c>
      <x:c r="P355" s="2" t="str">
        <x:v>EV000702</x:v>
      </x:c>
      <x:c r="Q355" s="8" t="n">
        <x:v>46300.50635416667</x:v>
      </x:c>
      <x:c r="R355" s="2" t="str">
        <x:v>SCH01</x:v>
      </x:c>
      <x:c r="S355" s="9" t="n">
        <x:v>25.285</x:v>
      </x:c>
      <x:c r="T355" s="9" t="n">
        <x:v>51.51</x:v>
      </x:c>
      <x:c r="U355" s="2" t="str">
        <x:v>SCHOOL_RECEIVER_01</x:v>
      </x:c>
      <x:c r="V355" s="2" t="str">
        <x:v>School staff receipt</x:v>
      </x:c>
      <x:c r="W355" s="2" t="str">
        <x:v>Completed transport</x:v>
      </x:c>
      <x:c r="X355" s="2" t="str">
        <x:v>QR</x:v>
      </x:c>
      <x:c r="Y355" s="2" t="str">
        <x:v>Online</x:v>
      </x:c>
      <x:c r="Z355" s="2" t="str">
        <x:v>Synced</x:v>
      </x:c>
      <x:c r="AA355" s="2"/>
      <x:c r="AB355" s="2"/>
      <x:c r="AC355" s="10" t="n">
        <x:f>IF(OR(K355="",Q355=""),"",ROUND((Q355-K355)*1440,2))</x:f>
        <x:v>36</x:v>
      </x:c>
    </x:row>
    <x:row r="356" ht="21" customHeight="1">
      <x:c r="A356" s="2" t="str">
        <x:v>LN00355</x:v>
      </x:c>
      <x:c r="B356" s="2" t="str">
        <x:v>T20261005-2-2</x:v>
      </x:c>
      <x:c r="C356" s="7" t="n">
        <x:v>46300</x:v>
      </x:c>
      <x:c r="D356" s="2" t="str">
        <x:v>BUS002</x:v>
      </x:c>
      <x:c r="E356" s="2" t="str">
        <x:v>ST065</x:v>
      </x:c>
      <x:c r="F356" s="2" t="n">
        <x:v>2</x:v>
      </x:c>
      <x:c r="G356" s="2" t="str">
        <x:v>Junior</x:v>
      </x:c>
      <x:c r="H356" s="2" t="str">
        <x:v>Pickup</x:v>
      </x:c>
      <x:c r="I356" s="2" t="str">
        <x:v>R2S1</x:v>
      </x:c>
      <x:c r="J356" s="2" t="str">
        <x:v>EV000703</x:v>
      </x:c>
      <x:c r="K356" s="8" t="n">
        <x:v>46300.47166666667</x:v>
      </x:c>
      <x:c r="L356" s="2" t="str">
        <x:v>R2S1</x:v>
      </x:c>
      <x:c r="M356" s="9" t="n">
        <x:v>25.28</x:v>
      </x:c>
      <x:c r="N356" s="9" t="n">
        <x:v>51.498999999999995</x:v>
      </x:c>
      <x:c r="O356" s="2" t="str">
        <x:v>Valid</x:v>
      </x:c>
      <x:c r="P356" s="2" t="str">
        <x:v>EV000704</x:v>
      </x:c>
      <x:c r="Q356" s="8" t="n">
        <x:v>46300.50638888889</x:v>
      </x:c>
      <x:c r="R356" s="2" t="str">
        <x:v>SCH01</x:v>
      </x:c>
      <x:c r="S356" s="9" t="n">
        <x:v>25.285</x:v>
      </x:c>
      <x:c r="T356" s="9" t="n">
        <x:v>51.51</x:v>
      </x:c>
      <x:c r="U356" s="2" t="str">
        <x:v>SCHOOL_RECEIVER_01</x:v>
      </x:c>
      <x:c r="V356" s="2" t="str">
        <x:v>School staff receipt</x:v>
      </x:c>
      <x:c r="W356" s="2" t="str">
        <x:v>Completed transport</x:v>
      </x:c>
      <x:c r="X356" s="2" t="str">
        <x:v>QR</x:v>
      </x:c>
      <x:c r="Y356" s="2" t="str">
        <x:v>Online</x:v>
      </x:c>
      <x:c r="Z356" s="2" t="str">
        <x:v>Synced</x:v>
      </x:c>
      <x:c r="AA356" s="2"/>
      <x:c r="AB356" s="2"/>
      <x:c r="AC356" s="10" t="n">
        <x:f>IF(OR(K356="",Q356=""),"",ROUND((Q356-K356)*1440,2))</x:f>
        <x:v>50</x:v>
      </x:c>
    </x:row>
    <x:row r="357" ht="21" customHeight="1">
      <x:c r="A357" s="2" t="str">
        <x:v>LN00356</x:v>
      </x:c>
      <x:c r="B357" s="2" t="str">
        <x:v>T20261005-2-2</x:v>
      </x:c>
      <x:c r="C357" s="7" t="n">
        <x:v>46300</x:v>
      </x:c>
      <x:c r="D357" s="2" t="str">
        <x:v>BUS002</x:v>
      </x:c>
      <x:c r="E357" s="2" t="str">
        <x:v>ST066</x:v>
      </x:c>
      <x:c r="F357" s="2" t="n">
        <x:v>2</x:v>
      </x:c>
      <x:c r="G357" s="2" t="str">
        <x:v>Junior</x:v>
      </x:c>
      <x:c r="H357" s="2" t="str">
        <x:v>Pickup</x:v>
      </x:c>
      <x:c r="I357" s="2" t="str">
        <x:v>R2S2</x:v>
      </x:c>
      <x:c r="J357" s="2" t="str">
        <x:v>EV000705</x:v>
      </x:c>
      <x:c r="K357" s="8" t="n">
        <x:v>46300.47656249999</x:v>
      </x:c>
      <x:c r="L357" s="2" t="str">
        <x:v>R2S2</x:v>
      </x:c>
      <x:c r="M357" s="9" t="n">
        <x:v>25.282000000000004</x:v>
      </x:c>
      <x:c r="N357" s="9" t="n">
        <x:v>51.501999999999995</x:v>
      </x:c>
      <x:c r="O357" s="2" t="str">
        <x:v>Valid</x:v>
      </x:c>
      <x:c r="P357" s="2" t="str">
        <x:v>EV000706</x:v>
      </x:c>
      <x:c r="Q357" s="8" t="n">
        <x:v>46300.506423611114</x:v>
      </x:c>
      <x:c r="R357" s="2" t="str">
        <x:v>SCH01</x:v>
      </x:c>
      <x:c r="S357" s="9" t="n">
        <x:v>25.285</x:v>
      </x:c>
      <x:c r="T357" s="9" t="n">
        <x:v>51.51</x:v>
      </x:c>
      <x:c r="U357" s="2" t="str">
        <x:v>SCHOOL_RECEIVER_01</x:v>
      </x:c>
      <x:c r="V357" s="2" t="str">
        <x:v>School staff receipt</x:v>
      </x:c>
      <x:c r="W357" s="2" t="str">
        <x:v>Completed transport</x:v>
      </x:c>
      <x:c r="X357" s="2" t="str">
        <x:v>QR</x:v>
      </x:c>
      <x:c r="Y357" s="2" t="str">
        <x:v>Online</x:v>
      </x:c>
      <x:c r="Z357" s="2" t="str">
        <x:v>Synced</x:v>
      </x:c>
      <x:c r="AA357" s="2"/>
      <x:c r="AB357" s="2"/>
      <x:c r="AC357" s="10" t="n">
        <x:f>IF(OR(K357="",Q357=""),"",ROUND((Q357-K357)*1440,2))</x:f>
        <x:v>43</x:v>
      </x:c>
    </x:row>
    <x:row r="358" ht="21" customHeight="1">
      <x:c r="A358" s="2" t="str">
        <x:v>LN00357</x:v>
      </x:c>
      <x:c r="B358" s="2" t="str">
        <x:v>T20261005-2-2</x:v>
      </x:c>
      <x:c r="C358" s="7" t="n">
        <x:v>46300</x:v>
      </x:c>
      <x:c r="D358" s="2" t="str">
        <x:v>BUS002</x:v>
      </x:c>
      <x:c r="E358" s="2" t="str">
        <x:v>ST067</x:v>
      </x:c>
      <x:c r="F358" s="2" t="n">
        <x:v>2</x:v>
      </x:c>
      <x:c r="G358" s="2" t="str">
        <x:v>Junior</x:v>
      </x:c>
      <x:c r="H358" s="2" t="str">
        <x:v>Pickup</x:v>
      </x:c>
      <x:c r="I358" s="2" t="str">
        <x:v>R2S3</x:v>
      </x:c>
      <x:c r="J358" s="2" t="str">
        <x:v>EV000707</x:v>
      </x:c>
      <x:c r="K358" s="8" t="n">
        <x:v>46300.48145833333</x:v>
      </x:c>
      <x:c r="L358" s="2" t="str">
        <x:v>R2S3</x:v>
      </x:c>
      <x:c r="M358" s="9" t="n">
        <x:v>25.284000000000002</x:v>
      </x:c>
      <x:c r="N358" s="9" t="n">
        <x:v>51.504999999999995</x:v>
      </x:c>
      <x:c r="O358" s="2" t="str">
        <x:v>Valid</x:v>
      </x:c>
      <x:c r="P358" s="2" t="str">
        <x:v>EV000708</x:v>
      </x:c>
      <x:c r="Q358" s="8" t="n">
        <x:v>46300.50645833334</x:v>
      </x:c>
      <x:c r="R358" s="2" t="str">
        <x:v>SCH01</x:v>
      </x:c>
      <x:c r="S358" s="9" t="n">
        <x:v>25.285</x:v>
      </x:c>
      <x:c r="T358" s="9" t="n">
        <x:v>51.51</x:v>
      </x:c>
      <x:c r="U358" s="2" t="str">
        <x:v>SCHOOL_RECEIVER_01</x:v>
      </x:c>
      <x:c r="V358" s="2" t="str">
        <x:v>School staff receipt</x:v>
      </x:c>
      <x:c r="W358" s="2" t="str">
        <x:v>Completed transport</x:v>
      </x:c>
      <x:c r="X358" s="2" t="str">
        <x:v>QR</x:v>
      </x:c>
      <x:c r="Y358" s="2" t="str">
        <x:v>Online</x:v>
      </x:c>
      <x:c r="Z358" s="2" t="str">
        <x:v>Synced</x:v>
      </x:c>
      <x:c r="AA358" s="2"/>
      <x:c r="AB358" s="2"/>
      <x:c r="AC358" s="10" t="n">
        <x:f>IF(OR(K358="",Q358=""),"",ROUND((Q358-K358)*1440,2))</x:f>
        <x:v>36</x:v>
      </x:c>
    </x:row>
    <x:row r="359" ht="21" customHeight="1">
      <x:c r="A359" s="2" t="str">
        <x:v>LN00358</x:v>
      </x:c>
      <x:c r="B359" s="2" t="str">
        <x:v>T20261005-2-2</x:v>
      </x:c>
      <x:c r="C359" s="7" t="n">
        <x:v>46300</x:v>
      </x:c>
      <x:c r="D359" s="2" t="str">
        <x:v>BUS002</x:v>
      </x:c>
      <x:c r="E359" s="2" t="str">
        <x:v>ST068</x:v>
      </x:c>
      <x:c r="F359" s="2" t="n">
        <x:v>2</x:v>
      </x:c>
      <x:c r="G359" s="2" t="str">
        <x:v>Junior</x:v>
      </x:c>
      <x:c r="H359" s="2" t="str">
        <x:v>Pickup</x:v>
      </x:c>
      <x:c r="I359" s="2" t="str">
        <x:v>R2S1</x:v>
      </x:c>
      <x:c r="J359" s="2" t="str">
        <x:v>EV000709</x:v>
      </x:c>
      <x:c r="K359" s="8" t="n">
        <x:v>46300.471770833334</x:v>
      </x:c>
      <x:c r="L359" s="2" t="str">
        <x:v>R2S1</x:v>
      </x:c>
      <x:c r="M359" s="9" t="n">
        <x:v>25.28</x:v>
      </x:c>
      <x:c r="N359" s="9" t="n">
        <x:v>51.498999999999995</x:v>
      </x:c>
      <x:c r="O359" s="2" t="str">
        <x:v>Valid</x:v>
      </x:c>
      <x:c r="P359" s="2" t="str">
        <x:v>EV000710</x:v>
      </x:c>
      <x:c r="Q359" s="8" t="n">
        <x:v>46300.50649305556</x:v>
      </x:c>
      <x:c r="R359" s="2" t="str">
        <x:v>SCH01</x:v>
      </x:c>
      <x:c r="S359" s="9" t="n">
        <x:v>25.285</x:v>
      </x:c>
      <x:c r="T359" s="9" t="n">
        <x:v>51.51</x:v>
      </x:c>
      <x:c r="U359" s="2" t="str">
        <x:v>SCHOOL_RECEIVER_01</x:v>
      </x:c>
      <x:c r="V359" s="2" t="str">
        <x:v>School staff receipt</x:v>
      </x:c>
      <x:c r="W359" s="2" t="str">
        <x:v>Completed transport</x:v>
      </x:c>
      <x:c r="X359" s="2" t="str">
        <x:v>QR</x:v>
      </x:c>
      <x:c r="Y359" s="2" t="str">
        <x:v>Online</x:v>
      </x:c>
      <x:c r="Z359" s="2" t="str">
        <x:v>Synced</x:v>
      </x:c>
      <x:c r="AA359" s="2"/>
      <x:c r="AB359" s="2"/>
      <x:c r="AC359" s="10" t="n">
        <x:f>IF(OR(K359="",Q359=""),"",ROUND((Q359-K359)*1440,2))</x:f>
        <x:v>50</x:v>
      </x:c>
    </x:row>
    <x:row r="360" ht="21" customHeight="1">
      <x:c r="A360" s="2" t="str">
        <x:v>LN00359</x:v>
      </x:c>
      <x:c r="B360" s="2" t="str">
        <x:v>T20261005-2-2</x:v>
      </x:c>
      <x:c r="C360" s="7" t="n">
        <x:v>46300</x:v>
      </x:c>
      <x:c r="D360" s="2" t="str">
        <x:v>BUS002</x:v>
      </x:c>
      <x:c r="E360" s="2" t="str">
        <x:v>ST069</x:v>
      </x:c>
      <x:c r="F360" s="2" t="n">
        <x:v>2</x:v>
      </x:c>
      <x:c r="G360" s="2" t="str">
        <x:v>Junior</x:v>
      </x:c>
      <x:c r="H360" s="2" t="str">
        <x:v>Pickup</x:v>
      </x:c>
      <x:c r="I360" s="2" t="str">
        <x:v>R2S2</x:v>
      </x:c>
      <x:c r="J360" s="2" t="str">
        <x:v>EV000711</x:v>
      </x:c>
      <x:c r="K360" s="8" t="n">
        <x:v>46300.47666666666</x:v>
      </x:c>
      <x:c r="L360" s="2" t="str">
        <x:v>R2S2</x:v>
      </x:c>
      <x:c r="M360" s="9" t="n">
        <x:v>25.282000000000004</x:v>
      </x:c>
      <x:c r="N360" s="9" t="n">
        <x:v>51.501999999999995</x:v>
      </x:c>
      <x:c r="O360" s="2" t="str">
        <x:v>Valid</x:v>
      </x:c>
      <x:c r="P360" s="2" t="str">
        <x:v>EV000712</x:v>
      </x:c>
      <x:c r="Q360" s="8" t="n">
        <x:v>46300.50652777778</x:v>
      </x:c>
      <x:c r="R360" s="2" t="str">
        <x:v>SCH01</x:v>
      </x:c>
      <x:c r="S360" s="9" t="n">
        <x:v>25.285</x:v>
      </x:c>
      <x:c r="T360" s="9" t="n">
        <x:v>51.51</x:v>
      </x:c>
      <x:c r="U360" s="2" t="str">
        <x:v>SCHOOL_RECEIVER_01</x:v>
      </x:c>
      <x:c r="V360" s="2" t="str">
        <x:v>School staff receipt</x:v>
      </x:c>
      <x:c r="W360" s="2" t="str">
        <x:v>Completed transport</x:v>
      </x:c>
      <x:c r="X360" s="2" t="str">
        <x:v>QR</x:v>
      </x:c>
      <x:c r="Y360" s="2" t="str">
        <x:v>Online</x:v>
      </x:c>
      <x:c r="Z360" s="2" t="str">
        <x:v>Synced</x:v>
      </x:c>
      <x:c r="AA360" s="2"/>
      <x:c r="AB360" s="2"/>
      <x:c r="AC360" s="10" t="n">
        <x:f>IF(OR(K360="",Q360=""),"",ROUND((Q360-K360)*1440,2))</x:f>
        <x:v>43</x:v>
      </x:c>
    </x:row>
    <x:row r="361" ht="21" customHeight="1">
      <x:c r="A361" s="2" t="str">
        <x:v>LN00360</x:v>
      </x:c>
      <x:c r="B361" s="2" t="str">
        <x:v>T20261005-2-2</x:v>
      </x:c>
      <x:c r="C361" s="7" t="n">
        <x:v>46300</x:v>
      </x:c>
      <x:c r="D361" s="2" t="str">
        <x:v>BUS002</x:v>
      </x:c>
      <x:c r="E361" s="2" t="str">
        <x:v>ST070</x:v>
      </x:c>
      <x:c r="F361" s="2" t="n">
        <x:v>2</x:v>
      </x:c>
      <x:c r="G361" s="2" t="str">
        <x:v>Junior</x:v>
      </x:c>
      <x:c r="H361" s="2" t="str">
        <x:v>Pickup</x:v>
      </x:c>
      <x:c r="I361" s="2" t="str">
        <x:v>R2S3</x:v>
      </x:c>
      <x:c r="J361" s="2" t="str">
        <x:v>EV000713</x:v>
      </x:c>
      <x:c r="K361" s="8" t="n">
        <x:v>46300.4815625</x:v>
      </x:c>
      <x:c r="L361" s="2" t="str">
        <x:v>R2S3</x:v>
      </x:c>
      <x:c r="M361" s="9" t="n">
        <x:v>25.284000000000002</x:v>
      </x:c>
      <x:c r="N361" s="9" t="n">
        <x:v>51.504999999999995</x:v>
      </x:c>
      <x:c r="O361" s="2" t="str">
        <x:v>Valid</x:v>
      </x:c>
      <x:c r="P361" s="2" t="str">
        <x:v>EV000714</x:v>
      </x:c>
      <x:c r="Q361" s="8" t="n">
        <x:v>46300.506562500006</x:v>
      </x:c>
      <x:c r="R361" s="2" t="str">
        <x:v>SCH01</x:v>
      </x:c>
      <x:c r="S361" s="9" t="n">
        <x:v>25.285</x:v>
      </x:c>
      <x:c r="T361" s="9" t="n">
        <x:v>51.51</x:v>
      </x:c>
      <x:c r="U361" s="2" t="str">
        <x:v>SCHOOL_RECEIVER_01</x:v>
      </x:c>
      <x:c r="V361" s="2" t="str">
        <x:v>School staff receipt</x:v>
      </x:c>
      <x:c r="W361" s="2" t="str">
        <x:v>Completed transport</x:v>
      </x:c>
      <x:c r="X361" s="2" t="str">
        <x:v>QR</x:v>
      </x:c>
      <x:c r="Y361" s="2" t="str">
        <x:v>Online</x:v>
      </x:c>
      <x:c r="Z361" s="2" t="str">
        <x:v>Synced</x:v>
      </x:c>
      <x:c r="AA361" s="2"/>
      <x:c r="AB361" s="2"/>
      <x:c r="AC361" s="10" t="n">
        <x:f>IF(OR(K361="",Q361=""),"",ROUND((Q361-K361)*1440,2))</x:f>
        <x:v>36</x:v>
      </x:c>
    </x:row>
    <x:row r="362" ht="21" customHeight="1">
      <x:c r="A362" s="2" t="str">
        <x:v>LN00361</x:v>
      </x:c>
      <x:c r="B362" s="2" t="str">
        <x:v>T20261005-2-2</x:v>
      </x:c>
      <x:c r="C362" s="7" t="n">
        <x:v>46300</x:v>
      </x:c>
      <x:c r="D362" s="2" t="str">
        <x:v>BUS002</x:v>
      </x:c>
      <x:c r="E362" s="2" t="str">
        <x:v>ST071</x:v>
      </x:c>
      <x:c r="F362" s="2" t="n">
        <x:v>2</x:v>
      </x:c>
      <x:c r="G362" s="2" t="str">
        <x:v>Senior</x:v>
      </x:c>
      <x:c r="H362" s="2" t="str">
        <x:v>Pickup</x:v>
      </x:c>
      <x:c r="I362" s="2" t="str">
        <x:v>R2S1</x:v>
      </x:c>
      <x:c r="J362" s="2" t="str">
        <x:v>EV000715</x:v>
      </x:c>
      <x:c r="K362" s="8" t="n">
        <x:v>46300.47152777778</x:v>
      </x:c>
      <x:c r="L362" s="2" t="str">
        <x:v>R2S1</x:v>
      </x:c>
      <x:c r="M362" s="9" t="n">
        <x:v>25.28</x:v>
      </x:c>
      <x:c r="N362" s="9" t="n">
        <x:v>51.498999999999995</x:v>
      </x:c>
      <x:c r="O362" s="2" t="str">
        <x:v>Valid</x:v>
      </x:c>
      <x:c r="P362" s="2" t="str">
        <x:v>EV000716</x:v>
      </x:c>
      <x:c r="Q362" s="8" t="n">
        <x:v>46300.50659722223</x:v>
      </x:c>
      <x:c r="R362" s="2" t="str">
        <x:v>SCH01</x:v>
      </x:c>
      <x:c r="S362" s="9" t="n">
        <x:v>25.285</x:v>
      </x:c>
      <x:c r="T362" s="9" t="n">
        <x:v>51.51</x:v>
      </x:c>
      <x:c r="U362" s="2" t="str">
        <x:v>SCHOOL_RECEIVER_01</x:v>
      </x:c>
      <x:c r="V362" s="2" t="str">
        <x:v>School staff receipt</x:v>
      </x:c>
      <x:c r="W362" s="2" t="str">
        <x:v>Completed transport</x:v>
      </x:c>
      <x:c r="X362" s="2" t="str">
        <x:v>QR</x:v>
      </x:c>
      <x:c r="Y362" s="2" t="str">
        <x:v>Online</x:v>
      </x:c>
      <x:c r="Z362" s="2" t="str">
        <x:v>Synced</x:v>
      </x:c>
      <x:c r="AA362" s="2"/>
      <x:c r="AB362" s="2"/>
      <x:c r="AC362" s="10" t="n">
        <x:f>IF(OR(K362="",Q362=""),"",ROUND((Q362-K362)*1440,2))</x:f>
        <x:v>50.5</x:v>
      </x:c>
    </x:row>
    <x:row r="363" ht="21" customHeight="1">
      <x:c r="A363" s="2" t="str">
        <x:v>LN00362</x:v>
      </x:c>
      <x:c r="B363" s="2" t="str">
        <x:v>T20261005-2-2</x:v>
      </x:c>
      <x:c r="C363" s="7" t="n">
        <x:v>46300</x:v>
      </x:c>
      <x:c r="D363" s="2" t="str">
        <x:v>BUS002</x:v>
      </x:c>
      <x:c r="E363" s="2" t="str">
        <x:v>ST072</x:v>
      </x:c>
      <x:c r="F363" s="2" t="n">
        <x:v>2</x:v>
      </x:c>
      <x:c r="G363" s="2" t="str">
        <x:v>Senior</x:v>
      </x:c>
      <x:c r="H363" s="2" t="str">
        <x:v>Pickup</x:v>
      </x:c>
      <x:c r="I363" s="2" t="str">
        <x:v>R2S2</x:v>
      </x:c>
      <x:c r="J363" s="2" t="str">
        <x:v>EV000717</x:v>
      </x:c>
      <x:c r="K363" s="8" t="n">
        <x:v>46300.47642361111</x:v>
      </x:c>
      <x:c r="L363" s="2" t="str">
        <x:v>R2S2</x:v>
      </x:c>
      <x:c r="M363" s="9" t="n">
        <x:v>25.282000000000004</x:v>
      </x:c>
      <x:c r="N363" s="9" t="n">
        <x:v>51.501999999999995</x:v>
      </x:c>
      <x:c r="O363" s="2" t="str">
        <x:v>Valid</x:v>
      </x:c>
      <x:c r="P363" s="2" t="str">
        <x:v>EV000718</x:v>
      </x:c>
      <x:c r="Q363" s="8" t="n">
        <x:v>46300.506631944445</x:v>
      </x:c>
      <x:c r="R363" s="2" t="str">
        <x:v>SCH01</x:v>
      </x:c>
      <x:c r="S363" s="9" t="n">
        <x:v>25.285</x:v>
      </x:c>
      <x:c r="T363" s="9" t="n">
        <x:v>51.51</x:v>
      </x:c>
      <x:c r="U363" s="2" t="str">
        <x:v>SCHOOL_RECEIVER_01</x:v>
      </x:c>
      <x:c r="V363" s="2" t="str">
        <x:v>School staff receipt</x:v>
      </x:c>
      <x:c r="W363" s="2" t="str">
        <x:v>Completed transport</x:v>
      </x:c>
      <x:c r="X363" s="2" t="str">
        <x:v>QR</x:v>
      </x:c>
      <x:c r="Y363" s="2" t="str">
        <x:v>Online</x:v>
      </x:c>
      <x:c r="Z363" s="2" t="str">
        <x:v>Synced</x:v>
      </x:c>
      <x:c r="AA363" s="2"/>
      <x:c r="AB363" s="2"/>
      <x:c r="AC363" s="10" t="n">
        <x:f>IF(OR(K363="",Q363=""),"",ROUND((Q363-K363)*1440,2))</x:f>
        <x:v>43.5</x:v>
      </x:c>
    </x:row>
    <x:row r="364" ht="21" customHeight="1">
      <x:c r="A364" s="2" t="str">
        <x:v>LN00363</x:v>
      </x:c>
      <x:c r="B364" s="2" t="str">
        <x:v>T20261005-2-2</x:v>
      </x:c>
      <x:c r="C364" s="7" t="n">
        <x:v>46300</x:v>
      </x:c>
      <x:c r="D364" s="2" t="str">
        <x:v>BUS002</x:v>
      </x:c>
      <x:c r="E364" s="2" t="str">
        <x:v>ST073</x:v>
      </x:c>
      <x:c r="F364" s="2" t="n">
        <x:v>2</x:v>
      </x:c>
      <x:c r="G364" s="2" t="str">
        <x:v>Senior</x:v>
      </x:c>
      <x:c r="H364" s="2" t="str">
        <x:v>Pickup</x:v>
      </x:c>
      <x:c r="I364" s="2" t="str">
        <x:v>R2S3</x:v>
      </x:c>
      <x:c r="J364" s="2" t="str">
        <x:v>EV000719</x:v>
      </x:c>
      <x:c r="K364" s="8" t="n">
        <x:v>46300.48131944444</x:v>
      </x:c>
      <x:c r="L364" s="2" t="str">
        <x:v>R2S3</x:v>
      </x:c>
      <x:c r="M364" s="9" t="n">
        <x:v>25.284000000000002</x:v>
      </x:c>
      <x:c r="N364" s="9" t="n">
        <x:v>51.504999999999995</x:v>
      </x:c>
      <x:c r="O364" s="2" t="str">
        <x:v>Valid</x:v>
      </x:c>
      <x:c r="P364" s="2" t="str">
        <x:v>EV000720</x:v>
      </x:c>
      <x:c r="Q364" s="8" t="n">
        <x:v>46300.50666666667</x:v>
      </x:c>
      <x:c r="R364" s="2" t="str">
        <x:v>SCH01</x:v>
      </x:c>
      <x:c r="S364" s="9" t="n">
        <x:v>25.285</x:v>
      </x:c>
      <x:c r="T364" s="9" t="n">
        <x:v>51.51</x:v>
      </x:c>
      <x:c r="U364" s="2" t="str">
        <x:v>SCHOOL_RECEIVER_01</x:v>
      </x:c>
      <x:c r="V364" s="2" t="str">
        <x:v>School staff receipt</x:v>
      </x:c>
      <x:c r="W364" s="2" t="str">
        <x:v>Completed transport</x:v>
      </x:c>
      <x:c r="X364" s="2" t="str">
        <x:v>QR</x:v>
      </x:c>
      <x:c r="Y364" s="2" t="str">
        <x:v>Online</x:v>
      </x:c>
      <x:c r="Z364" s="2" t="str">
        <x:v>Synced</x:v>
      </x:c>
      <x:c r="AA364" s="2"/>
      <x:c r="AB364" s="2"/>
      <x:c r="AC364" s="10" t="n">
        <x:f>IF(OR(K364="",Q364=""),"",ROUND((Q364-K364)*1440,2))</x:f>
        <x:v>36.5</x:v>
      </x:c>
    </x:row>
    <x:row r="365" ht="21" customHeight="1">
      <x:c r="A365" s="2" t="str">
        <x:v>LN00364</x:v>
      </x:c>
      <x:c r="B365" s="2" t="str">
        <x:v>T20261005-2-2</x:v>
      </x:c>
      <x:c r="C365" s="7" t="n">
        <x:v>46300</x:v>
      </x:c>
      <x:c r="D365" s="2" t="str">
        <x:v>BUS002</x:v>
      </x:c>
      <x:c r="E365" s="2" t="str">
        <x:v>ST074</x:v>
      </x:c>
      <x:c r="F365" s="2" t="n">
        <x:v>2</x:v>
      </x:c>
      <x:c r="G365" s="2" t="str">
        <x:v>Senior</x:v>
      </x:c>
      <x:c r="H365" s="2" t="str">
        <x:v>Pickup</x:v>
      </x:c>
      <x:c r="I365" s="2" t="str">
        <x:v>R2S1</x:v>
      </x:c>
      <x:c r="J365" s="2" t="str">
        <x:v>EV000721</x:v>
      </x:c>
      <x:c r="K365" s="8" t="n">
        <x:v>46300.47163194445</x:v>
      </x:c>
      <x:c r="L365" s="2" t="str">
        <x:v>R2S1</x:v>
      </x:c>
      <x:c r="M365" s="9" t="n">
        <x:v>25.28</x:v>
      </x:c>
      <x:c r="N365" s="9" t="n">
        <x:v>51.498999999999995</x:v>
      </x:c>
      <x:c r="O365" s="2" t="str">
        <x:v>Valid</x:v>
      </x:c>
      <x:c r="P365" s="2" t="str">
        <x:v>EV000722</x:v>
      </x:c>
      <x:c r="Q365" s="8" t="n">
        <x:v>46300.50670138889</x:v>
      </x:c>
      <x:c r="R365" s="2" t="str">
        <x:v>SCH01</x:v>
      </x:c>
      <x:c r="S365" s="9" t="n">
        <x:v>25.285</x:v>
      </x:c>
      <x:c r="T365" s="9" t="n">
        <x:v>51.51</x:v>
      </x:c>
      <x:c r="U365" s="2" t="str">
        <x:v>SCHOOL_RECEIVER_01</x:v>
      </x:c>
      <x:c r="V365" s="2" t="str">
        <x:v>School staff receipt</x:v>
      </x:c>
      <x:c r="W365" s="2" t="str">
        <x:v>Completed transport</x:v>
      </x:c>
      <x:c r="X365" s="2" t="str">
        <x:v>QR</x:v>
      </x:c>
      <x:c r="Y365" s="2" t="str">
        <x:v>Online</x:v>
      </x:c>
      <x:c r="Z365" s="2" t="str">
        <x:v>Synced</x:v>
      </x:c>
      <x:c r="AA365" s="2"/>
      <x:c r="AB365" s="2"/>
      <x:c r="AC365" s="10" t="n">
        <x:f>IF(OR(K365="",Q365=""),"",ROUND((Q365-K365)*1440,2))</x:f>
        <x:v>50.5</x:v>
      </x:c>
    </x:row>
    <x:row r="366" ht="21" customHeight="1">
      <x:c r="A366" s="2" t="str">
        <x:v>LN00365</x:v>
      </x:c>
      <x:c r="B366" s="2" t="str">
        <x:v>T20261005-2-2</x:v>
      </x:c>
      <x:c r="C366" s="7" t="n">
        <x:v>46300</x:v>
      </x:c>
      <x:c r="D366" s="2" t="str">
        <x:v>BUS002</x:v>
      </x:c>
      <x:c r="E366" s="2" t="str">
        <x:v>ST075</x:v>
      </x:c>
      <x:c r="F366" s="2" t="n">
        <x:v>2</x:v>
      </x:c>
      <x:c r="G366" s="2" t="str">
        <x:v>Senior</x:v>
      </x:c>
      <x:c r="H366" s="2" t="str">
        <x:v>Pickup</x:v>
      </x:c>
      <x:c r="I366" s="2" t="str">
        <x:v>R2S2</x:v>
      </x:c>
      <x:c r="J366" s="2" t="str">
        <x:v>EV000723</x:v>
      </x:c>
      <x:c r="K366" s="8" t="n">
        <x:v>46300.47652777778</x:v>
      </x:c>
      <x:c r="L366" s="2" t="str">
        <x:v>R2S2</x:v>
      </x:c>
      <x:c r="M366" s="9" t="n">
        <x:v>25.282000000000004</x:v>
      </x:c>
      <x:c r="N366" s="9" t="n">
        <x:v>51.501999999999995</x:v>
      </x:c>
      <x:c r="O366" s="2" t="str">
        <x:v>Valid</x:v>
      </x:c>
      <x:c r="P366" s="2" t="str">
        <x:v>EV000724</x:v>
      </x:c>
      <x:c r="Q366" s="8" t="n">
        <x:v>46300.506736111114</x:v>
      </x:c>
      <x:c r="R366" s="2" t="str">
        <x:v>SCH01</x:v>
      </x:c>
      <x:c r="S366" s="9" t="n">
        <x:v>25.285</x:v>
      </x:c>
      <x:c r="T366" s="9" t="n">
        <x:v>51.51</x:v>
      </x:c>
      <x:c r="U366" s="2" t="str">
        <x:v>SCHOOL_RECEIVER_01</x:v>
      </x:c>
      <x:c r="V366" s="2" t="str">
        <x:v>School staff receipt</x:v>
      </x:c>
      <x:c r="W366" s="2" t="str">
        <x:v>Completed transport</x:v>
      </x:c>
      <x:c r="X366" s="2" t="str">
        <x:v>QR</x:v>
      </x:c>
      <x:c r="Y366" s="2" t="str">
        <x:v>Online</x:v>
      </x:c>
      <x:c r="Z366" s="2" t="str">
        <x:v>Synced</x:v>
      </x:c>
      <x:c r="AA366" s="2"/>
      <x:c r="AB366" s="2"/>
      <x:c r="AC366" s="10" t="n">
        <x:f>IF(OR(K366="",Q366=""),"",ROUND((Q366-K366)*1440,2))</x:f>
        <x:v>43.5</x:v>
      </x:c>
    </x:row>
    <x:row r="367" ht="21" customHeight="1">
      <x:c r="A367" s="2" t="str">
        <x:v>LN00366</x:v>
      </x:c>
      <x:c r="B367" s="2" t="str">
        <x:v>T20261005-2-2</x:v>
      </x:c>
      <x:c r="C367" s="7" t="n">
        <x:v>46300</x:v>
      </x:c>
      <x:c r="D367" s="2" t="str">
        <x:v>BUS002</x:v>
      </x:c>
      <x:c r="E367" s="2" t="str">
        <x:v>ST076</x:v>
      </x:c>
      <x:c r="F367" s="2" t="n">
        <x:v>2</x:v>
      </x:c>
      <x:c r="G367" s="2" t="str">
        <x:v>Senior</x:v>
      </x:c>
      <x:c r="H367" s="2" t="str">
        <x:v>Pickup</x:v>
      </x:c>
      <x:c r="I367" s="2" t="str">
        <x:v>R2S3</x:v>
      </x:c>
      <x:c r="J367" s="2" t="str">
        <x:v>EV000725</x:v>
      </x:c>
      <x:c r="K367" s="8" t="n">
        <x:v>46300.481423611105</x:v>
      </x:c>
      <x:c r="L367" s="2" t="str">
        <x:v>R2S3</x:v>
      </x:c>
      <x:c r="M367" s="9" t="n">
        <x:v>25.284000000000002</x:v>
      </x:c>
      <x:c r="N367" s="9" t="n">
        <x:v>51.504999999999995</x:v>
      </x:c>
      <x:c r="O367" s="2" t="str">
        <x:v>Valid</x:v>
      </x:c>
      <x:c r="P367" s="2" t="str">
        <x:v>EV000726</x:v>
      </x:c>
      <x:c r="Q367" s="8" t="n">
        <x:v>46300.50677083334</x:v>
      </x:c>
      <x:c r="R367" s="2" t="str">
        <x:v>SCH01</x:v>
      </x:c>
      <x:c r="S367" s="9" t="n">
        <x:v>25.285</x:v>
      </x:c>
      <x:c r="T367" s="9" t="n">
        <x:v>51.51</x:v>
      </x:c>
      <x:c r="U367" s="2" t="str">
        <x:v>SCHOOL_RECEIVER_01</x:v>
      </x:c>
      <x:c r="V367" s="2" t="str">
        <x:v>School staff receipt</x:v>
      </x:c>
      <x:c r="W367" s="2" t="str">
        <x:v>Completed transport</x:v>
      </x:c>
      <x:c r="X367" s="2" t="str">
        <x:v>QR</x:v>
      </x:c>
      <x:c r="Y367" s="2" t="str">
        <x:v>Online</x:v>
      </x:c>
      <x:c r="Z367" s="2" t="str">
        <x:v>Synced</x:v>
      </x:c>
      <x:c r="AA367" s="2"/>
      <x:c r="AB367" s="2"/>
      <x:c r="AC367" s="10" t="n">
        <x:f>IF(OR(K367="",Q367=""),"",ROUND((Q367-K367)*1440,2))</x:f>
        <x:v>36.5</x:v>
      </x:c>
    </x:row>
    <x:row r="368" ht="21" customHeight="1">
      <x:c r="A368" s="2" t="str">
        <x:v>LN00367</x:v>
      </x:c>
      <x:c r="B368" s="2" t="str">
        <x:v>T20261005-2-2</x:v>
      </x:c>
      <x:c r="C368" s="7" t="n">
        <x:v>46300</x:v>
      </x:c>
      <x:c r="D368" s="2" t="str">
        <x:v>BUS002</x:v>
      </x:c>
      <x:c r="E368" s="2" t="str">
        <x:v>ST077</x:v>
      </x:c>
      <x:c r="F368" s="2" t="n">
        <x:v>2</x:v>
      </x:c>
      <x:c r="G368" s="2" t="str">
        <x:v>Senior</x:v>
      </x:c>
      <x:c r="H368" s="2" t="str">
        <x:v>Pickup</x:v>
      </x:c>
      <x:c r="I368" s="2" t="str">
        <x:v>R2S1</x:v>
      </x:c>
      <x:c r="J368" s="2" t="str">
        <x:v>EV000727</x:v>
      </x:c>
      <x:c r="K368" s="8" t="n">
        <x:v>46300.47173611111</x:v>
      </x:c>
      <x:c r="L368" s="2" t="str">
        <x:v>R2S1</x:v>
      </x:c>
      <x:c r="M368" s="9" t="n">
        <x:v>25.28</x:v>
      </x:c>
      <x:c r="N368" s="9" t="n">
        <x:v>51.498999999999995</x:v>
      </x:c>
      <x:c r="O368" s="2" t="str">
        <x:v>Valid</x:v>
      </x:c>
      <x:c r="P368" s="2" t="str">
        <x:v>EV000728</x:v>
      </x:c>
      <x:c r="Q368" s="8" t="n">
        <x:v>46300.50680555556</x:v>
      </x:c>
      <x:c r="R368" s="2" t="str">
        <x:v>SCH01</x:v>
      </x:c>
      <x:c r="S368" s="9" t="n">
        <x:v>25.285</x:v>
      </x:c>
      <x:c r="T368" s="9" t="n">
        <x:v>51.51</x:v>
      </x:c>
      <x:c r="U368" s="2" t="str">
        <x:v>SCHOOL_RECEIVER_01</x:v>
      </x:c>
      <x:c r="V368" s="2" t="str">
        <x:v>School staff receipt</x:v>
      </x:c>
      <x:c r="W368" s="2" t="str">
        <x:v>Completed transport</x:v>
      </x:c>
      <x:c r="X368" s="2" t="str">
        <x:v>QR</x:v>
      </x:c>
      <x:c r="Y368" s="2" t="str">
        <x:v>Online</x:v>
      </x:c>
      <x:c r="Z368" s="2" t="str">
        <x:v>Synced</x:v>
      </x:c>
      <x:c r="AA368" s="2"/>
      <x:c r="AB368" s="2"/>
      <x:c r="AC368" s="10" t="n">
        <x:f>IF(OR(K368="",Q368=""),"",ROUND((Q368-K368)*1440,2))</x:f>
        <x:v>50.5</x:v>
      </x:c>
    </x:row>
    <x:row r="369" ht="21" customHeight="1">
      <x:c r="A369" s="2" t="str">
        <x:v>LN00368</x:v>
      </x:c>
      <x:c r="B369" s="2" t="str">
        <x:v>T20261005-2-2</x:v>
      </x:c>
      <x:c r="C369" s="7" t="n">
        <x:v>46300</x:v>
      </x:c>
      <x:c r="D369" s="2" t="str">
        <x:v>BUS002</x:v>
      </x:c>
      <x:c r="E369" s="2" t="str">
        <x:v>ST078</x:v>
      </x:c>
      <x:c r="F369" s="2" t="n">
        <x:v>2</x:v>
      </x:c>
      <x:c r="G369" s="2" t="str">
        <x:v>Senior</x:v>
      </x:c>
      <x:c r="H369" s="2" t="str">
        <x:v>Pickup</x:v>
      </x:c>
      <x:c r="I369" s="2" t="str">
        <x:v>R2S2</x:v>
      </x:c>
      <x:c r="J369" s="2" t="str">
        <x:v>EV000729</x:v>
      </x:c>
      <x:c r="K369" s="8" t="n">
        <x:v>46300.47663194444</x:v>
      </x:c>
      <x:c r="L369" s="2" t="str">
        <x:v>R2S2</x:v>
      </x:c>
      <x:c r="M369" s="9" t="n">
        <x:v>25.282000000000004</x:v>
      </x:c>
      <x:c r="N369" s="9" t="n">
        <x:v>51.501999999999995</x:v>
      </x:c>
      <x:c r="O369" s="2" t="str">
        <x:v>Valid</x:v>
      </x:c>
      <x:c r="P369" s="2" t="str">
        <x:v>EV000730</x:v>
      </x:c>
      <x:c r="Q369" s="8" t="n">
        <x:v>46300.50684027778</x:v>
      </x:c>
      <x:c r="R369" s="2" t="str">
        <x:v>SCH01</x:v>
      </x:c>
      <x:c r="S369" s="9" t="n">
        <x:v>25.285</x:v>
      </x:c>
      <x:c r="T369" s="9" t="n">
        <x:v>51.51</x:v>
      </x:c>
      <x:c r="U369" s="2" t="str">
        <x:v>SCHOOL_RECEIVER_01</x:v>
      </x:c>
      <x:c r="V369" s="2" t="str">
        <x:v>School staff receipt</x:v>
      </x:c>
      <x:c r="W369" s="2" t="str">
        <x:v>Completed transport</x:v>
      </x:c>
      <x:c r="X369" s="2" t="str">
        <x:v>QR</x:v>
      </x:c>
      <x:c r="Y369" s="2" t="str">
        <x:v>Online</x:v>
      </x:c>
      <x:c r="Z369" s="2" t="str">
        <x:v>Synced</x:v>
      </x:c>
      <x:c r="AA369" s="2"/>
      <x:c r="AB369" s="2"/>
      <x:c r="AC369" s="10" t="n">
        <x:f>IF(OR(K369="",Q369=""),"",ROUND((Q369-K369)*1440,2))</x:f>
        <x:v>43.5</x:v>
      </x:c>
    </x:row>
    <x:row r="370" ht="21" customHeight="1">
      <x:c r="A370" s="2" t="str">
        <x:v>LN00369</x:v>
      </x:c>
      <x:c r="B370" s="2" t="str">
        <x:v>T20261005-2-2</x:v>
      </x:c>
      <x:c r="C370" s="7" t="n">
        <x:v>46300</x:v>
      </x:c>
      <x:c r="D370" s="2" t="str">
        <x:v>BUS002</x:v>
      </x:c>
      <x:c r="E370" s="2" t="str">
        <x:v>ST079</x:v>
      </x:c>
      <x:c r="F370" s="2" t="n">
        <x:v>2</x:v>
      </x:c>
      <x:c r="G370" s="2" t="str">
        <x:v>Senior</x:v>
      </x:c>
      <x:c r="H370" s="2" t="str">
        <x:v>Pickup</x:v>
      </x:c>
      <x:c r="I370" s="2" t="str">
        <x:v>R2S3</x:v>
      </x:c>
      <x:c r="J370" s="2" t="str">
        <x:v>EV000731</x:v>
      </x:c>
      <x:c r="K370" s="8" t="n">
        <x:v>46300.481527777774</x:v>
      </x:c>
      <x:c r="L370" s="2" t="str">
        <x:v>R2S3</x:v>
      </x:c>
      <x:c r="M370" s="9" t="n">
        <x:v>25.284000000000002</x:v>
      </x:c>
      <x:c r="N370" s="9" t="n">
        <x:v>51.504999999999995</x:v>
      </x:c>
      <x:c r="O370" s="2" t="str">
        <x:v>Valid</x:v>
      </x:c>
      <x:c r="P370" s="2" t="str">
        <x:v>EV000732</x:v>
      </x:c>
      <x:c r="Q370" s="8" t="n">
        <x:v>46300.50687500001</x:v>
      </x:c>
      <x:c r="R370" s="2" t="str">
        <x:v>SCH01</x:v>
      </x:c>
      <x:c r="S370" s="9" t="n">
        <x:v>25.285</x:v>
      </x:c>
      <x:c r="T370" s="9" t="n">
        <x:v>51.51</x:v>
      </x:c>
      <x:c r="U370" s="2" t="str">
        <x:v>SCHOOL_RECEIVER_01</x:v>
      </x:c>
      <x:c r="V370" s="2" t="str">
        <x:v>School staff receipt</x:v>
      </x:c>
      <x:c r="W370" s="2" t="str">
        <x:v>Completed transport</x:v>
      </x:c>
      <x:c r="X370" s="2" t="str">
        <x:v>QR</x:v>
      </x:c>
      <x:c r="Y370" s="2" t="str">
        <x:v>Online</x:v>
      </x:c>
      <x:c r="Z370" s="2" t="str">
        <x:v>Synced</x:v>
      </x:c>
      <x:c r="AA370" s="2"/>
      <x:c r="AB370" s="2"/>
      <x:c r="AC370" s="10" t="n">
        <x:f>IF(OR(K370="",Q370=""),"",ROUND((Q370-K370)*1440,2))</x:f>
        <x:v>36.5</x:v>
      </x:c>
    </x:row>
    <x:row r="371" ht="21" customHeight="1">
      <x:c r="A371" s="2" t="str">
        <x:v>LN00370</x:v>
      </x:c>
      <x:c r="B371" s="2" t="str">
        <x:v>T20261005-2-2</x:v>
      </x:c>
      <x:c r="C371" s="7" t="n">
        <x:v>46300</x:v>
      </x:c>
      <x:c r="D371" s="2" t="str">
        <x:v>BUS002</x:v>
      </x:c>
      <x:c r="E371" s="2" t="str">
        <x:v>ST080</x:v>
      </x:c>
      <x:c r="F371" s="2" t="n">
        <x:v>2</x:v>
      </x:c>
      <x:c r="G371" s="2" t="str">
        <x:v>Senior</x:v>
      </x:c>
      <x:c r="H371" s="2" t="str">
        <x:v>Pickup</x:v>
      </x:c>
      <x:c r="I371" s="2" t="str">
        <x:v>R2S1</x:v>
      </x:c>
      <x:c r="J371" s="2" t="str">
        <x:v>EV000733</x:v>
      </x:c>
      <x:c r="K371" s="8" t="n">
        <x:v>46300.47184027778</x:v>
      </x:c>
      <x:c r="L371" s="2" t="str">
        <x:v>R2S1</x:v>
      </x:c>
      <x:c r="M371" s="9" t="n">
        <x:v>25.28</x:v>
      </x:c>
      <x:c r="N371" s="9" t="n">
        <x:v>51.498999999999995</x:v>
      </x:c>
      <x:c r="O371" s="2" t="str">
        <x:v>Valid</x:v>
      </x:c>
      <x:c r="P371" s="2" t="str">
        <x:v>EV000734</x:v>
      </x:c>
      <x:c r="Q371" s="8" t="n">
        <x:v>46300.50690972222</x:v>
      </x:c>
      <x:c r="R371" s="2" t="str">
        <x:v>SCH01</x:v>
      </x:c>
      <x:c r="S371" s="9" t="n">
        <x:v>25.285</x:v>
      </x:c>
      <x:c r="T371" s="9" t="n">
        <x:v>51.51</x:v>
      </x:c>
      <x:c r="U371" s="2" t="str">
        <x:v>SCHOOL_RECEIVER_01</x:v>
      </x:c>
      <x:c r="V371" s="2" t="str">
        <x:v>School staff receipt</x:v>
      </x:c>
      <x:c r="W371" s="2" t="str">
        <x:v>Completed transport</x:v>
      </x:c>
      <x:c r="X371" s="2" t="str">
        <x:v>QR</x:v>
      </x:c>
      <x:c r="Y371" s="2" t="str">
        <x:v>Online</x:v>
      </x:c>
      <x:c r="Z371" s="2" t="str">
        <x:v>Synced</x:v>
      </x:c>
      <x:c r="AA371" s="2"/>
      <x:c r="AB371" s="2"/>
      <x:c r="AC371" s="10" t="n">
        <x:f>IF(OR(K371="",Q371=""),"",ROUND((Q371-K371)*1440,2))</x:f>
        <x:v>50.5</x:v>
      </x:c>
    </x:row>
    <x:row r="372" ht="21" customHeight="1">
      <x:c r="A372" s="2" t="str">
        <x:v>LN00371</x:v>
      </x:c>
      <x:c r="B372" s="2" t="str">
        <x:v>T20261005-3-2</x:v>
      </x:c>
      <x:c r="C372" s="7" t="n">
        <x:v>46300</x:v>
      </x:c>
      <x:c r="D372" s="2" t="str">
        <x:v>BUS002</x:v>
      </x:c>
      <x:c r="E372" s="2" t="str">
        <x:v>ST051</x:v>
      </x:c>
      <x:c r="F372" s="2" t="n">
        <x:v>1</x:v>
      </x:c>
      <x:c r="G372" s="2" t="str">
        <x:v>Senior</x:v>
      </x:c>
      <x:c r="H372" s="2" t="str">
        <x:v>Drop-off</x:v>
      </x:c>
      <x:c r="I372" s="2" t="str">
        <x:v>R2S2</x:v>
      </x:c>
      <x:c r="J372" s="2" t="str">
        <x:v>EV000735</x:v>
      </x:c>
      <x:c r="K372" s="8" t="n">
        <x:v>46300.57291666667</x:v>
      </x:c>
      <x:c r="L372" s="2" t="str">
        <x:v>SCH01</x:v>
      </x:c>
      <x:c r="M372" s="9" t="n">
        <x:v>25.285</x:v>
      </x:c>
      <x:c r="N372" s="9" t="n">
        <x:v>51.51</x:v>
      </x:c>
      <x:c r="O372" s="2" t="str">
        <x:v>Valid</x:v>
      </x:c>
      <x:c r="P372" s="2" t="str">
        <x:v>EV000736</x:v>
      </x:c>
      <x:c r="Q372" s="8" t="n">
        <x:v>46300.59027777778</x:v>
      </x:c>
      <x:c r="R372" s="2" t="str">
        <x:v>R2S2</x:v>
      </x:c>
      <x:c r="S372" s="9" t="n">
        <x:v>25.282000000000004</x:v>
      </x:c>
      <x:c r="T372" s="9" t="n">
        <x:v>51.501999999999995</x:v>
      </x:c>
      <x:c r="U372" s="2" t="str">
        <x:v>G051</x:v>
      </x:c>
      <x:c r="V372" s="2" t="str">
        <x:v>Authorized guardian release</x:v>
      </x:c>
      <x:c r="W372" s="2" t="str">
        <x:v>Completed transport</x:v>
      </x:c>
      <x:c r="X372" s="2" t="str">
        <x:v>QR</x:v>
      </x:c>
      <x:c r="Y372" s="2" t="str">
        <x:v>Online</x:v>
      </x:c>
      <x:c r="Z372" s="2" t="str">
        <x:v>Synced</x:v>
      </x:c>
      <x:c r="AA372" s="2"/>
      <x:c r="AB372" s="2"/>
      <x:c r="AC372" s="10" t="n">
        <x:f>IF(OR(K372="",Q372=""),"",ROUND((Q372-K372)*1440,2))</x:f>
        <x:v>25</x:v>
      </x:c>
    </x:row>
    <x:row r="373" ht="21" customHeight="1">
      <x:c r="A373" s="2" t="str">
        <x:v>LN00372</x:v>
      </x:c>
      <x:c r="B373" s="2" t="str">
        <x:v>T20261005-3-2</x:v>
      </x:c>
      <x:c r="C373" s="7" t="n">
        <x:v>46300</x:v>
      </x:c>
      <x:c r="D373" s="2" t="str">
        <x:v>BUS002</x:v>
      </x:c>
      <x:c r="E373" s="2" t="str">
        <x:v>ST052</x:v>
      </x:c>
      <x:c r="F373" s="2" t="n">
        <x:v>1</x:v>
      </x:c>
      <x:c r="G373" s="2" t="str">
        <x:v>Senior</x:v>
      </x:c>
      <x:c r="H373" s="2" t="str">
        <x:v>Drop-off</x:v>
      </x:c>
      <x:c r="I373" s="2" t="str">
        <x:v>R2S3</x:v>
      </x:c>
      <x:c r="J373" s="2" t="str">
        <x:v>EV000737</x:v>
      </x:c>
      <x:c r="K373" s="8" t="n">
        <x:v>46300.572951388895</x:v>
      </x:c>
      <x:c r="L373" s="2" t="str">
        <x:v>SCH01</x:v>
      </x:c>
      <x:c r="M373" s="9" t="n">
        <x:v>25.285</x:v>
      </x:c>
      <x:c r="N373" s="9" t="n">
        <x:v>51.51</x:v>
      </x:c>
      <x:c r="O373" s="2" t="str">
        <x:v>Valid</x:v>
      </x:c>
      <x:c r="P373" s="2" t="str">
        <x:v>EV000738</x:v>
      </x:c>
      <x:c r="Q373" s="8" t="n">
        <x:v>46300.59447916667</x:v>
      </x:c>
      <x:c r="R373" s="2" t="str">
        <x:v>R2S3</x:v>
      </x:c>
      <x:c r="S373" s="9" t="n">
        <x:v>25.284000000000002</x:v>
      </x:c>
      <x:c r="T373" s="9" t="n">
        <x:v>51.504999999999995</x:v>
      </x:c>
      <x:c r="U373" s="2" t="str">
        <x:v>G052</x:v>
      </x:c>
      <x:c r="V373" s="2" t="str">
        <x:v>Authorized guardian release</x:v>
      </x:c>
      <x:c r="W373" s="2" t="str">
        <x:v>Completed transport</x:v>
      </x:c>
      <x:c r="X373" s="2" t="str">
        <x:v>QR</x:v>
      </x:c>
      <x:c r="Y373" s="2" t="str">
        <x:v>Online</x:v>
      </x:c>
      <x:c r="Z373" s="2" t="str">
        <x:v>Synced</x:v>
      </x:c>
      <x:c r="AA373" s="2"/>
      <x:c r="AB373" s="2"/>
      <x:c r="AC373" s="10" t="n">
        <x:f>IF(OR(K373="",Q373=""),"",ROUND((Q373-K373)*1440,2))</x:f>
        <x:v>31</x:v>
      </x:c>
    </x:row>
    <x:row r="374" ht="21" customHeight="1">
      <x:c r="A374" s="2" t="str">
        <x:v>LN00373</x:v>
      </x:c>
      <x:c r="B374" s="2" t="str">
        <x:v>T20261005-3-2</x:v>
      </x:c>
      <x:c r="C374" s="7" t="n">
        <x:v>46300</x:v>
      </x:c>
      <x:c r="D374" s="2" t="str">
        <x:v>BUS002</x:v>
      </x:c>
      <x:c r="E374" s="2" t="str">
        <x:v>ST053</x:v>
      </x:c>
      <x:c r="F374" s="2" t="n">
        <x:v>1</x:v>
      </x:c>
      <x:c r="G374" s="2" t="str">
        <x:v>Senior</x:v>
      </x:c>
      <x:c r="H374" s="2" t="str">
        <x:v>Drop-off</x:v>
      </x:c>
      <x:c r="I374" s="2" t="str">
        <x:v>R2S1</x:v>
      </x:c>
      <x:c r="J374" s="2" t="str">
        <x:v>EV000739</x:v>
      </x:c>
      <x:c r="K374" s="8" t="n">
        <x:v>46300.57298611112</x:v>
      </x:c>
      <x:c r="L374" s="2" t="str">
        <x:v>SCH01</x:v>
      </x:c>
      <x:c r="M374" s="9" t="n">
        <x:v>25.285</x:v>
      </x:c>
      <x:c r="N374" s="9" t="n">
        <x:v>51.51</x:v>
      </x:c>
      <x:c r="O374" s="2" t="str">
        <x:v>Valid</x:v>
      </x:c>
      <x:c r="P374" s="2" t="str">
        <x:v>EV000740</x:v>
      </x:c>
      <x:c r="Q374" s="8" t="n">
        <x:v>46300.58618055556</x:v>
      </x:c>
      <x:c r="R374" s="2" t="str">
        <x:v>R2S1</x:v>
      </x:c>
      <x:c r="S374" s="9" t="n">
        <x:v>25.28</x:v>
      </x:c>
      <x:c r="T374" s="9" t="n">
        <x:v>51.498999999999995</x:v>
      </x:c>
      <x:c r="U374" s="2" t="str">
        <x:v>G053</x:v>
      </x:c>
      <x:c r="V374" s="2" t="str">
        <x:v>Authorized guardian release</x:v>
      </x:c>
      <x:c r="W374" s="2" t="str">
        <x:v>Completed transport</x:v>
      </x:c>
      <x:c r="X374" s="2" t="str">
        <x:v>QR</x:v>
      </x:c>
      <x:c r="Y374" s="2" t="str">
        <x:v>Online</x:v>
      </x:c>
      <x:c r="Z374" s="2" t="str">
        <x:v>Synced</x:v>
      </x:c>
      <x:c r="AA374" s="2"/>
      <x:c r="AB374" s="2"/>
      <x:c r="AC374" s="10" t="n">
        <x:f>IF(OR(K374="",Q374=""),"",ROUND((Q374-K374)*1440,2))</x:f>
        <x:v>19</x:v>
      </x:c>
    </x:row>
    <x:row r="375" ht="21" customHeight="1">
      <x:c r="A375" s="2" t="str">
        <x:v>LN00374</x:v>
      </x:c>
      <x:c r="B375" s="2" t="str">
        <x:v>T20261005-3-2</x:v>
      </x:c>
      <x:c r="C375" s="7" t="n">
        <x:v>46300</x:v>
      </x:c>
      <x:c r="D375" s="2" t="str">
        <x:v>BUS002</x:v>
      </x:c>
      <x:c r="E375" s="2" t="str">
        <x:v>ST054</x:v>
      </x:c>
      <x:c r="F375" s="2" t="n">
        <x:v>1</x:v>
      </x:c>
      <x:c r="G375" s="2" t="str">
        <x:v>Senior</x:v>
      </x:c>
      <x:c r="H375" s="2" t="str">
        <x:v>Drop-off</x:v>
      </x:c>
      <x:c r="I375" s="2" t="str">
        <x:v>R2S2</x:v>
      </x:c>
      <x:c r="J375" s="2" t="str">
        <x:v>EV000741</x:v>
      </x:c>
      <x:c r="K375" s="8" t="n">
        <x:v>46300.57302083334</x:v>
      </x:c>
      <x:c r="L375" s="2" t="str">
        <x:v>SCH01</x:v>
      </x:c>
      <x:c r="M375" s="9" t="n">
        <x:v>25.285</x:v>
      </x:c>
      <x:c r="N375" s="9" t="n">
        <x:v>51.51</x:v>
      </x:c>
      <x:c r="O375" s="2" t="str">
        <x:v>Valid</x:v>
      </x:c>
      <x:c r="P375" s="2" t="str">
        <x:v>EV000742</x:v>
      </x:c>
      <x:c r="Q375" s="8" t="n">
        <x:v>46300.59038194445</x:v>
      </x:c>
      <x:c r="R375" s="2" t="str">
        <x:v>R2S2</x:v>
      </x:c>
      <x:c r="S375" s="9" t="n">
        <x:v>25.282000000000004</x:v>
      </x:c>
      <x:c r="T375" s="9" t="n">
        <x:v>51.501999999999995</x:v>
      </x:c>
      <x:c r="U375" s="2" t="str">
        <x:v>G054</x:v>
      </x:c>
      <x:c r="V375" s="2" t="str">
        <x:v>Authorized guardian release</x:v>
      </x:c>
      <x:c r="W375" s="2" t="str">
        <x:v>Completed transport</x:v>
      </x:c>
      <x:c r="X375" s="2" t="str">
        <x:v>QR</x:v>
      </x:c>
      <x:c r="Y375" s="2" t="str">
        <x:v>Online</x:v>
      </x:c>
      <x:c r="Z375" s="2" t="str">
        <x:v>Synced</x:v>
      </x:c>
      <x:c r="AA375" s="2"/>
      <x:c r="AB375" s="2"/>
      <x:c r="AC375" s="10" t="n">
        <x:f>IF(OR(K375="",Q375=""),"",ROUND((Q375-K375)*1440,2))</x:f>
        <x:v>25</x:v>
      </x:c>
    </x:row>
    <x:row r="376" ht="21" customHeight="1">
      <x:c r="A376" s="2" t="str">
        <x:v>LN00375</x:v>
      </x:c>
      <x:c r="B376" s="2" t="str">
        <x:v>T20261005-3-2</x:v>
      </x:c>
      <x:c r="C376" s="7" t="n">
        <x:v>46300</x:v>
      </x:c>
      <x:c r="D376" s="2" t="str">
        <x:v>BUS002</x:v>
      </x:c>
      <x:c r="E376" s="2" t="str">
        <x:v>ST055</x:v>
      </x:c>
      <x:c r="F376" s="2" t="n">
        <x:v>1</x:v>
      </x:c>
      <x:c r="G376" s="2" t="str">
        <x:v>Senior</x:v>
      </x:c>
      <x:c r="H376" s="2" t="str">
        <x:v>Drop-off</x:v>
      </x:c>
      <x:c r="I376" s="2" t="str">
        <x:v>R2S3</x:v>
      </x:c>
      <x:c r="J376" s="2" t="str">
        <x:v>EV000743</x:v>
      </x:c>
      <x:c r="K376" s="8" t="n">
        <x:v>46300.573055555564</x:v>
      </x:c>
      <x:c r="L376" s="2" t="str">
        <x:v>SCH01</x:v>
      </x:c>
      <x:c r="M376" s="9" t="n">
        <x:v>25.285</x:v>
      </x:c>
      <x:c r="N376" s="9" t="n">
        <x:v>51.51</x:v>
      </x:c>
      <x:c r="O376" s="2" t="str">
        <x:v>Valid</x:v>
      </x:c>
      <x:c r="P376" s="2" t="str">
        <x:v>EV000744</x:v>
      </x:c>
      <x:c r="Q376" s="8" t="n">
        <x:v>46300.59458333334</x:v>
      </x:c>
      <x:c r="R376" s="2" t="str">
        <x:v>R2S3</x:v>
      </x:c>
      <x:c r="S376" s="9" t="n">
        <x:v>25.284000000000002</x:v>
      </x:c>
      <x:c r="T376" s="9" t="n">
        <x:v>51.504999999999995</x:v>
      </x:c>
      <x:c r="U376" s="2" t="str">
        <x:v>G055</x:v>
      </x:c>
      <x:c r="V376" s="2" t="str">
        <x:v>Authorized guardian release</x:v>
      </x:c>
      <x:c r="W376" s="2" t="str">
        <x:v>Completed transport</x:v>
      </x:c>
      <x:c r="X376" s="2" t="str">
        <x:v>QR</x:v>
      </x:c>
      <x:c r="Y376" s="2" t="str">
        <x:v>Online</x:v>
      </x:c>
      <x:c r="Z376" s="2" t="str">
        <x:v>Synced</x:v>
      </x:c>
      <x:c r="AA376" s="2"/>
      <x:c r="AB376" s="2"/>
      <x:c r="AC376" s="10" t="n">
        <x:f>IF(OR(K376="",Q376=""),"",ROUND((Q376-K376)*1440,2))</x:f>
        <x:v>31</x:v>
      </x:c>
    </x:row>
    <x:row r="377" ht="21" customHeight="1">
      <x:c r="A377" s="2" t="str">
        <x:v>LN00376</x:v>
      </x:c>
      <x:c r="B377" s="2" t="str">
        <x:v>T20261005-3-2</x:v>
      </x:c>
      <x:c r="C377" s="7" t="n">
        <x:v>46300</x:v>
      </x:c>
      <x:c r="D377" s="2" t="str">
        <x:v>BUS002</x:v>
      </x:c>
      <x:c r="E377" s="2" t="str">
        <x:v>ST056</x:v>
      </x:c>
      <x:c r="F377" s="2" t="n">
        <x:v>1</x:v>
      </x:c>
      <x:c r="G377" s="2" t="str">
        <x:v>Senior</x:v>
      </x:c>
      <x:c r="H377" s="2" t="str">
        <x:v>Drop-off</x:v>
      </x:c>
      <x:c r="I377" s="2" t="str">
        <x:v>R2S1</x:v>
      </x:c>
      <x:c r="J377" s="2" t="str">
        <x:v>EV000745</x:v>
      </x:c>
      <x:c r="K377" s="8" t="n">
        <x:v>46300.57309027778</x:v>
      </x:c>
      <x:c r="L377" s="2" t="str">
        <x:v>SCH01</x:v>
      </x:c>
      <x:c r="M377" s="9" t="n">
        <x:v>25.285</x:v>
      </x:c>
      <x:c r="N377" s="9" t="n">
        <x:v>51.51</x:v>
      </x:c>
      <x:c r="O377" s="2" t="str">
        <x:v>Valid</x:v>
      </x:c>
      <x:c r="P377" s="2" t="str">
        <x:v>EV000746</x:v>
      </x:c>
      <x:c r="Q377" s="8" t="n">
        <x:v>46300.58628472222</x:v>
      </x:c>
      <x:c r="R377" s="2" t="str">
        <x:v>R2S1</x:v>
      </x:c>
      <x:c r="S377" s="9" t="n">
        <x:v>25.28</x:v>
      </x:c>
      <x:c r="T377" s="9" t="n">
        <x:v>51.498999999999995</x:v>
      </x:c>
      <x:c r="U377" s="2" t="str">
        <x:v>G056</x:v>
      </x:c>
      <x:c r="V377" s="2" t="str">
        <x:v>Authorized guardian release</x:v>
      </x:c>
      <x:c r="W377" s="2" t="str">
        <x:v>Completed transport</x:v>
      </x:c>
      <x:c r="X377" s="2" t="str">
        <x:v>QR</x:v>
      </x:c>
      <x:c r="Y377" s="2" t="str">
        <x:v>Online</x:v>
      </x:c>
      <x:c r="Z377" s="2" t="str">
        <x:v>Synced</x:v>
      </x:c>
      <x:c r="AA377" s="2"/>
      <x:c r="AB377" s="2"/>
      <x:c r="AC377" s="10" t="n">
        <x:f>IF(OR(K377="",Q377=""),"",ROUND((Q377-K377)*1440,2))</x:f>
        <x:v>19</x:v>
      </x:c>
    </x:row>
    <x:row r="378" ht="21" customHeight="1">
      <x:c r="A378" s="2" t="str">
        <x:v>LN00377</x:v>
      </x:c>
      <x:c r="B378" s="2" t="str">
        <x:v>T20261005-3-2</x:v>
      </x:c>
      <x:c r="C378" s="7" t="n">
        <x:v>46300</x:v>
      </x:c>
      <x:c r="D378" s="2" t="str">
        <x:v>BUS002</x:v>
      </x:c>
      <x:c r="E378" s="2" t="str">
        <x:v>ST057</x:v>
      </x:c>
      <x:c r="F378" s="2" t="n">
        <x:v>1</x:v>
      </x:c>
      <x:c r="G378" s="2" t="str">
        <x:v>Senior</x:v>
      </x:c>
      <x:c r="H378" s="2" t="str">
        <x:v>Drop-off</x:v>
      </x:c>
      <x:c r="I378" s="2" t="str">
        <x:v>R2S2</x:v>
      </x:c>
      <x:c r="J378" s="2" t="str">
        <x:v>EV000747</x:v>
      </x:c>
      <x:c r="K378" s="8" t="n">
        <x:v>46300.573125</x:v>
      </x:c>
      <x:c r="L378" s="2" t="str">
        <x:v>SCH01</x:v>
      </x:c>
      <x:c r="M378" s="9" t="n">
        <x:v>25.285</x:v>
      </x:c>
      <x:c r="N378" s="9" t="n">
        <x:v>51.51</x:v>
      </x:c>
      <x:c r="O378" s="2" t="str">
        <x:v>Valid</x:v>
      </x:c>
      <x:c r="P378" s="2" t="str">
        <x:v>EV000748</x:v>
      </x:c>
      <x:c r="Q378" s="8" t="n">
        <x:v>46300.59048611111</x:v>
      </x:c>
      <x:c r="R378" s="2" t="str">
        <x:v>R2S2</x:v>
      </x:c>
      <x:c r="S378" s="9" t="n">
        <x:v>25.282000000000004</x:v>
      </x:c>
      <x:c r="T378" s="9" t="n">
        <x:v>51.501999999999995</x:v>
      </x:c>
      <x:c r="U378" s="2" t="str">
        <x:v>G057</x:v>
      </x:c>
      <x:c r="V378" s="2" t="str">
        <x:v>Authorized guardian release</x:v>
      </x:c>
      <x:c r="W378" s="2" t="str">
        <x:v>Completed transport</x:v>
      </x:c>
      <x:c r="X378" s="2" t="str">
        <x:v>QR</x:v>
      </x:c>
      <x:c r="Y378" s="2" t="str">
        <x:v>Online</x:v>
      </x:c>
      <x:c r="Z378" s="2" t="str">
        <x:v>Synced</x:v>
      </x:c>
      <x:c r="AA378" s="2"/>
      <x:c r="AB378" s="2"/>
      <x:c r="AC378" s="10" t="n">
        <x:f>IF(OR(K378="",Q378=""),"",ROUND((Q378-K378)*1440,2))</x:f>
        <x:v>25</x:v>
      </x:c>
    </x:row>
    <x:row r="379" ht="21" customHeight="1">
      <x:c r="A379" s="2" t="str">
        <x:v>LN00378</x:v>
      </x:c>
      <x:c r="B379" s="2" t="str">
        <x:v>T20261005-3-2</x:v>
      </x:c>
      <x:c r="C379" s="7" t="n">
        <x:v>46300</x:v>
      </x:c>
      <x:c r="D379" s="2" t="str">
        <x:v>BUS002</x:v>
      </x:c>
      <x:c r="E379" s="2" t="str">
        <x:v>ST058</x:v>
      </x:c>
      <x:c r="F379" s="2" t="n">
        <x:v>1</x:v>
      </x:c>
      <x:c r="G379" s="2" t="str">
        <x:v>Senior</x:v>
      </x:c>
      <x:c r="H379" s="2" t="str">
        <x:v>Drop-off</x:v>
      </x:c>
      <x:c r="I379" s="2" t="str">
        <x:v>R2S3</x:v>
      </x:c>
      <x:c r="J379" s="2" t="str">
        <x:v>EV000749</x:v>
      </x:c>
      <x:c r="K379" s="8" t="n">
        <x:v>46300.573159722226</x:v>
      </x:c>
      <x:c r="L379" s="2" t="str">
        <x:v>SCH01</x:v>
      </x:c>
      <x:c r="M379" s="9" t="n">
        <x:v>25.285</x:v>
      </x:c>
      <x:c r="N379" s="9" t="n">
        <x:v>51.51</x:v>
      </x:c>
      <x:c r="O379" s="2" t="str">
        <x:v>Valid</x:v>
      </x:c>
      <x:c r="P379" s="2" t="str">
        <x:v>EV000750</x:v>
      </x:c>
      <x:c r="Q379" s="8" t="n">
        <x:v>46300.5946875</x:v>
      </x:c>
      <x:c r="R379" s="2" t="str">
        <x:v>R2S3</x:v>
      </x:c>
      <x:c r="S379" s="9" t="n">
        <x:v>25.284000000000002</x:v>
      </x:c>
      <x:c r="T379" s="9" t="n">
        <x:v>51.504999999999995</x:v>
      </x:c>
      <x:c r="U379" s="2" t="str">
        <x:v>G058</x:v>
      </x:c>
      <x:c r="V379" s="2" t="str">
        <x:v>Authorized guardian release</x:v>
      </x:c>
      <x:c r="W379" s="2" t="str">
        <x:v>Completed transport</x:v>
      </x:c>
      <x:c r="X379" s="2" t="str">
        <x:v>QR</x:v>
      </x:c>
      <x:c r="Y379" s="2" t="str">
        <x:v>Online</x:v>
      </x:c>
      <x:c r="Z379" s="2" t="str">
        <x:v>Synced</x:v>
      </x:c>
      <x:c r="AA379" s="2"/>
      <x:c r="AB379" s="2"/>
      <x:c r="AC379" s="10" t="n">
        <x:f>IF(OR(K379="",Q379=""),"",ROUND((Q379-K379)*1440,2))</x:f>
        <x:v>31</x:v>
      </x:c>
    </x:row>
    <x:row r="380" ht="21" customHeight="1">
      <x:c r="A380" s="2" t="str">
        <x:v>LN00379</x:v>
      </x:c>
      <x:c r="B380" s="2" t="str">
        <x:v>T20261005-3-2</x:v>
      </x:c>
      <x:c r="C380" s="7" t="n">
        <x:v>46300</x:v>
      </x:c>
      <x:c r="D380" s="2" t="str">
        <x:v>BUS002</x:v>
      </x:c>
      <x:c r="E380" s="2" t="str">
        <x:v>ST059</x:v>
      </x:c>
      <x:c r="F380" s="2" t="n">
        <x:v>1</x:v>
      </x:c>
      <x:c r="G380" s="2" t="str">
        <x:v>Senior</x:v>
      </x:c>
      <x:c r="H380" s="2" t="str">
        <x:v>Drop-off</x:v>
      </x:c>
      <x:c r="I380" s="2" t="str">
        <x:v>R2S1</x:v>
      </x:c>
      <x:c r="J380" s="2" t="str">
        <x:v>EV000751</x:v>
      </x:c>
      <x:c r="K380" s="8" t="n">
        <x:v>46300.57319444445</x:v>
      </x:c>
      <x:c r="L380" s="2" t="str">
        <x:v>SCH01</x:v>
      </x:c>
      <x:c r="M380" s="9" t="n">
        <x:v>25.285</x:v>
      </x:c>
      <x:c r="N380" s="9" t="n">
        <x:v>51.51</x:v>
      </x:c>
      <x:c r="O380" s="2" t="str">
        <x:v>Valid</x:v>
      </x:c>
      <x:c r="P380" s="2" t="str">
        <x:v>EV000752</x:v>
      </x:c>
      <x:c r="Q380" s="8" t="n">
        <x:v>46300.58638888889</x:v>
      </x:c>
      <x:c r="R380" s="2" t="str">
        <x:v>R2S1</x:v>
      </x:c>
      <x:c r="S380" s="9" t="n">
        <x:v>25.28</x:v>
      </x:c>
      <x:c r="T380" s="9" t="n">
        <x:v>51.498999999999995</x:v>
      </x:c>
      <x:c r="U380" s="2" t="str">
        <x:v>G059</x:v>
      </x:c>
      <x:c r="V380" s="2" t="str">
        <x:v>Authorized guardian release</x:v>
      </x:c>
      <x:c r="W380" s="2" t="str">
        <x:v>Completed transport</x:v>
      </x:c>
      <x:c r="X380" s="2" t="str">
        <x:v>QR</x:v>
      </x:c>
      <x:c r="Y380" s="2" t="str">
        <x:v>Online</x:v>
      </x:c>
      <x:c r="Z380" s="2" t="str">
        <x:v>Synced</x:v>
      </x:c>
      <x:c r="AA380" s="2"/>
      <x:c r="AB380" s="2"/>
      <x:c r="AC380" s="10" t="n">
        <x:f>IF(OR(K380="",Q380=""),"",ROUND((Q380-K380)*1440,2))</x:f>
        <x:v>19</x:v>
      </x:c>
    </x:row>
    <x:row r="381" ht="21" customHeight="1">
      <x:c r="A381" s="2" t="str">
        <x:v>LN00380</x:v>
      </x:c>
      <x:c r="B381" s="2" t="str">
        <x:v>T20261005-3-2</x:v>
      </x:c>
      <x:c r="C381" s="7" t="n">
        <x:v>46300</x:v>
      </x:c>
      <x:c r="D381" s="2" t="str">
        <x:v>BUS002</x:v>
      </x:c>
      <x:c r="E381" s="2" t="str">
        <x:v>ST060</x:v>
      </x:c>
      <x:c r="F381" s="2" t="n">
        <x:v>1</x:v>
      </x:c>
      <x:c r="G381" s="2" t="str">
        <x:v>Senior</x:v>
      </x:c>
      <x:c r="H381" s="2" t="str">
        <x:v>Drop-off</x:v>
      </x:c>
      <x:c r="I381" s="2" t="str">
        <x:v>R2S2</x:v>
      </x:c>
      <x:c r="J381" s="2" t="str">
        <x:v>EV000753</x:v>
      </x:c>
      <x:c r="K381" s="8" t="n">
        <x:v>46300.57322916667</x:v>
      </x:c>
      <x:c r="L381" s="2" t="str">
        <x:v>SCH01</x:v>
      </x:c>
      <x:c r="M381" s="9" t="n">
        <x:v>25.285</x:v>
      </x:c>
      <x:c r="N381" s="9" t="n">
        <x:v>51.51</x:v>
      </x:c>
      <x:c r="O381" s="2" t="str">
        <x:v>Valid</x:v>
      </x:c>
      <x:c r="P381" s="2" t="str">
        <x:v>EV000754</x:v>
      </x:c>
      <x:c r="Q381" s="8" t="n">
        <x:v>46300.59059027778</x:v>
      </x:c>
      <x:c r="R381" s="2" t="str">
        <x:v>R2S2</x:v>
      </x:c>
      <x:c r="S381" s="9" t="n">
        <x:v>25.282000000000004</x:v>
      </x:c>
      <x:c r="T381" s="9" t="n">
        <x:v>51.501999999999995</x:v>
      </x:c>
      <x:c r="U381" s="2" t="str">
        <x:v>G060</x:v>
      </x:c>
      <x:c r="V381" s="2" t="str">
        <x:v>Authorized guardian release</x:v>
      </x:c>
      <x:c r="W381" s="2" t="str">
        <x:v>Completed transport</x:v>
      </x:c>
      <x:c r="X381" s="2" t="str">
        <x:v>QR</x:v>
      </x:c>
      <x:c r="Y381" s="2" t="str">
        <x:v>Online</x:v>
      </x:c>
      <x:c r="Z381" s="2" t="str">
        <x:v>Synced</x:v>
      </x:c>
      <x:c r="AA381" s="2"/>
      <x:c r="AB381" s="2"/>
      <x:c r="AC381" s="10" t="n">
        <x:f>IF(OR(K381="",Q381=""),"",ROUND((Q381-K381)*1440,2))</x:f>
        <x:v>25</x:v>
      </x:c>
    </x:row>
    <x:row r="382" ht="21" customHeight="1">
      <x:c r="A382" s="2" t="str">
        <x:v>LN00381</x:v>
      </x:c>
      <x:c r="B382" s="2" t="str">
        <x:v>T20261005-4-2</x:v>
      </x:c>
      <x:c r="C382" s="7" t="n">
        <x:v>46300</x:v>
      </x:c>
      <x:c r="D382" s="2" t="str">
        <x:v>BUS002</x:v>
      </x:c>
      <x:c r="E382" s="2" t="str">
        <x:v>ST061</x:v>
      </x:c>
      <x:c r="F382" s="2" t="n">
        <x:v>2</x:v>
      </x:c>
      <x:c r="G382" s="2" t="str">
        <x:v>Junior</x:v>
      </x:c>
      <x:c r="H382" s="2" t="str">
        <x:v>Drop-off</x:v>
      </x:c>
      <x:c r="I382" s="2" t="str">
        <x:v>R2S3</x:v>
      </x:c>
      <x:c r="J382" s="2" t="str">
        <x:v>EV000755</x:v>
      </x:c>
      <x:c r="K382" s="8" t="n">
        <x:v>46300.60416666667</x:v>
      </x:c>
      <x:c r="L382" s="2" t="str">
        <x:v>SCH01</x:v>
      </x:c>
      <x:c r="M382" s="9" t="n">
        <x:v>25.285</x:v>
      </x:c>
      <x:c r="N382" s="9" t="n">
        <x:v>51.51</x:v>
      </x:c>
      <x:c r="O382" s="2" t="str">
        <x:v>Valid</x:v>
      </x:c>
      <x:c r="P382" s="2" t="str">
        <x:v>EV000756</x:v>
      </x:c>
      <x:c r="Q382" s="8" t="n">
        <x:v>46300.62708333333</x:v>
      </x:c>
      <x:c r="R382" s="2" t="str">
        <x:v>R2S3</x:v>
      </x:c>
      <x:c r="S382" s="9" t="n">
        <x:v>25.284000000000002</x:v>
      </x:c>
      <x:c r="T382" s="9" t="n">
        <x:v>51.504999999999995</x:v>
      </x:c>
      <x:c r="U382" s="2" t="str">
        <x:v>G061</x:v>
      </x:c>
      <x:c r="V382" s="2" t="str">
        <x:v>Authorized guardian release</x:v>
      </x:c>
      <x:c r="W382" s="2" t="str">
        <x:v>Completed transport</x:v>
      </x:c>
      <x:c r="X382" s="2" t="str">
        <x:v>QR</x:v>
      </x:c>
      <x:c r="Y382" s="2" t="str">
        <x:v>Online</x:v>
      </x:c>
      <x:c r="Z382" s="2" t="str">
        <x:v>Synced</x:v>
      </x:c>
      <x:c r="AA382" s="2"/>
      <x:c r="AB382" s="2"/>
      <x:c r="AC382" s="10" t="n">
        <x:f>IF(OR(K382="",Q382=""),"",ROUND((Q382-K382)*1440,2))</x:f>
        <x:v>33</x:v>
      </x:c>
    </x:row>
    <x:row r="383" ht="21" customHeight="1">
      <x:c r="A383" s="2" t="str">
        <x:v>LN00382</x:v>
      </x:c>
      <x:c r="B383" s="2" t="str">
        <x:v>T20261005-4-2</x:v>
      </x:c>
      <x:c r="C383" s="7" t="n">
        <x:v>46300</x:v>
      </x:c>
      <x:c r="D383" s="2" t="str">
        <x:v>BUS002</x:v>
      </x:c>
      <x:c r="E383" s="2" t="str">
        <x:v>ST062</x:v>
      </x:c>
      <x:c r="F383" s="2" t="n">
        <x:v>2</x:v>
      </x:c>
      <x:c r="G383" s="2" t="str">
        <x:v>Junior</x:v>
      </x:c>
      <x:c r="H383" s="2" t="str">
        <x:v>Drop-off</x:v>
      </x:c>
      <x:c r="I383" s="2" t="str">
        <x:v>R2S1</x:v>
      </x:c>
      <x:c r="J383" s="2" t="str">
        <x:v>EV000757</x:v>
      </x:c>
      <x:c r="K383" s="8" t="n">
        <x:v>46300.604201388895</x:v>
      </x:c>
      <x:c r="L383" s="2" t="str">
        <x:v>SCH01</x:v>
      </x:c>
      <x:c r="M383" s="9" t="n">
        <x:v>25.285</x:v>
      </x:c>
      <x:c r="N383" s="9" t="n">
        <x:v>51.51</x:v>
      </x:c>
      <x:c r="O383" s="2" t="str">
        <x:v>Valid</x:v>
      </x:c>
      <x:c r="P383" s="2" t="str">
        <x:v>EV000758</x:v>
      </x:c>
      <x:c r="Q383" s="8" t="n">
        <x:v>46300.618784722225</x:v>
      </x:c>
      <x:c r="R383" s="2" t="str">
        <x:v>R2S1</x:v>
      </x:c>
      <x:c r="S383" s="9" t="n">
        <x:v>25.28</x:v>
      </x:c>
      <x:c r="T383" s="9" t="n">
        <x:v>51.498999999999995</x:v>
      </x:c>
      <x:c r="U383" s="2" t="str">
        <x:v>G062</x:v>
      </x:c>
      <x:c r="V383" s="2" t="str">
        <x:v>Authorized guardian release</x:v>
      </x:c>
      <x:c r="W383" s="2" t="str">
        <x:v>Completed transport</x:v>
      </x:c>
      <x:c r="X383" s="2" t="str">
        <x:v>QR</x:v>
      </x:c>
      <x:c r="Y383" s="2" t="str">
        <x:v>Online</x:v>
      </x:c>
      <x:c r="Z383" s="2" t="str">
        <x:v>Synced</x:v>
      </x:c>
      <x:c r="AA383" s="2"/>
      <x:c r="AB383" s="2"/>
      <x:c r="AC383" s="10" t="n">
        <x:f>IF(OR(K383="",Q383=""),"",ROUND((Q383-K383)*1440,2))</x:f>
        <x:v>21</x:v>
      </x:c>
    </x:row>
    <x:row r="384" ht="21" customHeight="1">
      <x:c r="A384" s="2" t="str">
        <x:v>LN00383</x:v>
      </x:c>
      <x:c r="B384" s="2" t="str">
        <x:v>T20261005-4-2</x:v>
      </x:c>
      <x:c r="C384" s="7" t="n">
        <x:v>46300</x:v>
      </x:c>
      <x:c r="D384" s="2" t="str">
        <x:v>BUS002</x:v>
      </x:c>
      <x:c r="E384" s="2" t="str">
        <x:v>ST063</x:v>
      </x:c>
      <x:c r="F384" s="2" t="n">
        <x:v>2</x:v>
      </x:c>
      <x:c r="G384" s="2" t="str">
        <x:v>Junior</x:v>
      </x:c>
      <x:c r="H384" s="2" t="str">
        <x:v>Drop-off</x:v>
      </x:c>
      <x:c r="I384" s="2" t="str">
        <x:v>R2S2</x:v>
      </x:c>
      <x:c r="J384" s="2" t="str">
        <x:v>EV000759</x:v>
      </x:c>
      <x:c r="K384" s="8" t="n">
        <x:v>46300.60423611112</x:v>
      </x:c>
      <x:c r="L384" s="2" t="str">
        <x:v>SCH01</x:v>
      </x:c>
      <x:c r="M384" s="9" t="n">
        <x:v>25.285</x:v>
      </x:c>
      <x:c r="N384" s="9" t="n">
        <x:v>51.51</x:v>
      </x:c>
      <x:c r="O384" s="2" t="str">
        <x:v>Valid</x:v>
      </x:c>
      <x:c r="P384" s="2" t="str">
        <x:v>EV000760</x:v>
      </x:c>
      <x:c r="Q384" s="8" t="n">
        <x:v>46300.62298611111</x:v>
      </x:c>
      <x:c r="R384" s="2" t="str">
        <x:v>R2S2</x:v>
      </x:c>
      <x:c r="S384" s="9" t="n">
        <x:v>25.282000000000004</x:v>
      </x:c>
      <x:c r="T384" s="9" t="n">
        <x:v>51.501999999999995</x:v>
      </x:c>
      <x:c r="U384" s="2" t="str">
        <x:v>G063</x:v>
      </x:c>
      <x:c r="V384" s="2" t="str">
        <x:v>Authorized guardian release</x:v>
      </x:c>
      <x:c r="W384" s="2" t="str">
        <x:v>Completed transport</x:v>
      </x:c>
      <x:c r="X384" s="2" t="str">
        <x:v>QR</x:v>
      </x:c>
      <x:c r="Y384" s="2" t="str">
        <x:v>Online</x:v>
      </x:c>
      <x:c r="Z384" s="2" t="str">
        <x:v>Synced</x:v>
      </x:c>
      <x:c r="AA384" s="2"/>
      <x:c r="AB384" s="2"/>
      <x:c r="AC384" s="10" t="n">
        <x:f>IF(OR(K384="",Q384=""),"",ROUND((Q384-K384)*1440,2))</x:f>
        <x:v>27</x:v>
      </x:c>
    </x:row>
    <x:row r="385" ht="21" customHeight="1">
      <x:c r="A385" s="2" t="str">
        <x:v>LN00384</x:v>
      </x:c>
      <x:c r="B385" s="2" t="str">
        <x:v>T20261005-4-2</x:v>
      </x:c>
      <x:c r="C385" s="7" t="n">
        <x:v>46300</x:v>
      </x:c>
      <x:c r="D385" s="2" t="str">
        <x:v>BUS002</x:v>
      </x:c>
      <x:c r="E385" s="2" t="str">
        <x:v>ST064</x:v>
      </x:c>
      <x:c r="F385" s="2" t="n">
        <x:v>2</x:v>
      </x:c>
      <x:c r="G385" s="2" t="str">
        <x:v>Junior</x:v>
      </x:c>
      <x:c r="H385" s="2" t="str">
        <x:v>Drop-off</x:v>
      </x:c>
      <x:c r="I385" s="2" t="str">
        <x:v>R2S3</x:v>
      </x:c>
      <x:c r="J385" s="2" t="str">
        <x:v>EV000761</x:v>
      </x:c>
      <x:c r="K385" s="8" t="n">
        <x:v>46300.60427083334</x:v>
      </x:c>
      <x:c r="L385" s="2" t="str">
        <x:v>SCH01</x:v>
      </x:c>
      <x:c r="M385" s="9" t="n">
        <x:v>25.285</x:v>
      </x:c>
      <x:c r="N385" s="9" t="n">
        <x:v>51.51</x:v>
      </x:c>
      <x:c r="O385" s="2" t="str">
        <x:v>Valid</x:v>
      </x:c>
      <x:c r="P385" s="2" t="str">
        <x:v>EV000762</x:v>
      </x:c>
      <x:c r="Q385" s="8" t="n">
        <x:v>46300.6271875</x:v>
      </x:c>
      <x:c r="R385" s="2" t="str">
        <x:v>R2S3</x:v>
      </x:c>
      <x:c r="S385" s="9" t="n">
        <x:v>25.284000000000002</x:v>
      </x:c>
      <x:c r="T385" s="9" t="n">
        <x:v>51.504999999999995</x:v>
      </x:c>
      <x:c r="U385" s="2" t="str">
        <x:v>G064</x:v>
      </x:c>
      <x:c r="V385" s="2" t="str">
        <x:v>Authorized guardian release</x:v>
      </x:c>
      <x:c r="W385" s="2" t="str">
        <x:v>Completed transport</x:v>
      </x:c>
      <x:c r="X385" s="2" t="str">
        <x:v>QR</x:v>
      </x:c>
      <x:c r="Y385" s="2" t="str">
        <x:v>Online</x:v>
      </x:c>
      <x:c r="Z385" s="2" t="str">
        <x:v>Synced</x:v>
      </x:c>
      <x:c r="AA385" s="2"/>
      <x:c r="AB385" s="2"/>
      <x:c r="AC385" s="10" t="n">
        <x:f>IF(OR(K385="",Q385=""),"",ROUND((Q385-K385)*1440,2))</x:f>
        <x:v>33</x:v>
      </x:c>
    </x:row>
    <x:row r="386" ht="21" customHeight="1">
      <x:c r="A386" s="2" t="str">
        <x:v>LN00385</x:v>
      </x:c>
      <x:c r="B386" s="2" t="str">
        <x:v>T20261005-4-2</x:v>
      </x:c>
      <x:c r="C386" s="7" t="n">
        <x:v>46300</x:v>
      </x:c>
      <x:c r="D386" s="2" t="str">
        <x:v>BUS002</x:v>
      </x:c>
      <x:c r="E386" s="2" t="str">
        <x:v>ST065</x:v>
      </x:c>
      <x:c r="F386" s="2" t="n">
        <x:v>2</x:v>
      </x:c>
      <x:c r="G386" s="2" t="str">
        <x:v>Junior</x:v>
      </x:c>
      <x:c r="H386" s="2" t="str">
        <x:v>Drop-off</x:v>
      </x:c>
      <x:c r="I386" s="2" t="str">
        <x:v>R2S1</x:v>
      </x:c>
      <x:c r="J386" s="2" t="str">
        <x:v>EV000763</x:v>
      </x:c>
      <x:c r="K386" s="8" t="n">
        <x:v>46300.604305555564</x:v>
      </x:c>
      <x:c r="L386" s="2" t="str">
        <x:v>SCH01</x:v>
      </x:c>
      <x:c r="M386" s="9" t="n">
        <x:v>25.285</x:v>
      </x:c>
      <x:c r="N386" s="9" t="n">
        <x:v>51.51</x:v>
      </x:c>
      <x:c r="O386" s="2" t="str">
        <x:v>Valid</x:v>
      </x:c>
      <x:c r="P386" s="2" t="str">
        <x:v>EV000764</x:v>
      </x:c>
      <x:c r="Q386" s="8" t="n">
        <x:v>46300.618888888894</x:v>
      </x:c>
      <x:c r="R386" s="2" t="str">
        <x:v>R2S1</x:v>
      </x:c>
      <x:c r="S386" s="9" t="n">
        <x:v>25.28</x:v>
      </x:c>
      <x:c r="T386" s="9" t="n">
        <x:v>51.498999999999995</x:v>
      </x:c>
      <x:c r="U386" s="2" t="str">
        <x:v>G065</x:v>
      </x:c>
      <x:c r="V386" s="2" t="str">
        <x:v>Authorized guardian release</x:v>
      </x:c>
      <x:c r="W386" s="2" t="str">
        <x:v>Completed transport</x:v>
      </x:c>
      <x:c r="X386" s="2" t="str">
        <x:v>QR</x:v>
      </x:c>
      <x:c r="Y386" s="2" t="str">
        <x:v>Online</x:v>
      </x:c>
      <x:c r="Z386" s="2" t="str">
        <x:v>Synced</x:v>
      </x:c>
      <x:c r="AA386" s="2"/>
      <x:c r="AB386" s="2"/>
      <x:c r="AC386" s="10" t="n">
        <x:f>IF(OR(K386="",Q386=""),"",ROUND((Q386-K386)*1440,2))</x:f>
        <x:v>21</x:v>
      </x:c>
    </x:row>
    <x:row r="387" ht="21" customHeight="1">
      <x:c r="A387" s="2" t="str">
        <x:v>LN00386</x:v>
      </x:c>
      <x:c r="B387" s="2" t="str">
        <x:v>T20261005-4-2</x:v>
      </x:c>
      <x:c r="C387" s="7" t="n">
        <x:v>46300</x:v>
      </x:c>
      <x:c r="D387" s="2" t="str">
        <x:v>BUS002</x:v>
      </x:c>
      <x:c r="E387" s="2" t="str">
        <x:v>ST066</x:v>
      </x:c>
      <x:c r="F387" s="2" t="n">
        <x:v>2</x:v>
      </x:c>
      <x:c r="G387" s="2" t="str">
        <x:v>Junior</x:v>
      </x:c>
      <x:c r="H387" s="2" t="str">
        <x:v>Drop-off</x:v>
      </x:c>
      <x:c r="I387" s="2" t="str">
        <x:v>R2S2</x:v>
      </x:c>
      <x:c r="J387" s="2" t="str">
        <x:v>EV000765</x:v>
      </x:c>
      <x:c r="K387" s="8" t="n">
        <x:v>46300.60434027778</x:v>
      </x:c>
      <x:c r="L387" s="2" t="str">
        <x:v>SCH01</x:v>
      </x:c>
      <x:c r="M387" s="9" t="n">
        <x:v>25.285</x:v>
      </x:c>
      <x:c r="N387" s="9" t="n">
        <x:v>51.51</x:v>
      </x:c>
      <x:c r="O387" s="2" t="str">
        <x:v>Valid</x:v>
      </x:c>
      <x:c r="P387" s="2" t="str">
        <x:v>EV000766</x:v>
      </x:c>
      <x:c r="Q387" s="8" t="n">
        <x:v>46300.623090277775</x:v>
      </x:c>
      <x:c r="R387" s="2" t="str">
        <x:v>R2S2</x:v>
      </x:c>
      <x:c r="S387" s="9" t="n">
        <x:v>25.282000000000004</x:v>
      </x:c>
      <x:c r="T387" s="9" t="n">
        <x:v>51.501999999999995</x:v>
      </x:c>
      <x:c r="U387" s="2" t="str">
        <x:v>G066</x:v>
      </x:c>
      <x:c r="V387" s="2" t="str">
        <x:v>Authorized guardian release</x:v>
      </x:c>
      <x:c r="W387" s="2" t="str">
        <x:v>Completed transport</x:v>
      </x:c>
      <x:c r="X387" s="2" t="str">
        <x:v>QR</x:v>
      </x:c>
      <x:c r="Y387" s="2" t="str">
        <x:v>Online</x:v>
      </x:c>
      <x:c r="Z387" s="2" t="str">
        <x:v>Synced</x:v>
      </x:c>
      <x:c r="AA387" s="2"/>
      <x:c r="AB387" s="2"/>
      <x:c r="AC387" s="10" t="n">
        <x:f>IF(OR(K387="",Q387=""),"",ROUND((Q387-K387)*1440,2))</x:f>
        <x:v>27</x:v>
      </x:c>
    </x:row>
    <x:row r="388" ht="21" customHeight="1">
      <x:c r="A388" s="2" t="str">
        <x:v>LN00387</x:v>
      </x:c>
      <x:c r="B388" s="2" t="str">
        <x:v>T20261005-4-2</x:v>
      </x:c>
      <x:c r="C388" s="7" t="n">
        <x:v>46300</x:v>
      </x:c>
      <x:c r="D388" s="2" t="str">
        <x:v>BUS002</x:v>
      </x:c>
      <x:c r="E388" s="2" t="str">
        <x:v>ST067</x:v>
      </x:c>
      <x:c r="F388" s="2" t="n">
        <x:v>2</x:v>
      </x:c>
      <x:c r="G388" s="2" t="str">
        <x:v>Junior</x:v>
      </x:c>
      <x:c r="H388" s="2" t="str">
        <x:v>Drop-off</x:v>
      </x:c>
      <x:c r="I388" s="2" t="str">
        <x:v>R2S3</x:v>
      </x:c>
      <x:c r="J388" s="2" t="str">
        <x:v>EV000767</x:v>
      </x:c>
      <x:c r="K388" s="8" t="n">
        <x:v>46300.604375</x:v>
      </x:c>
      <x:c r="L388" s="2" t="str">
        <x:v>SCH01</x:v>
      </x:c>
      <x:c r="M388" s="9" t="n">
        <x:v>25.285</x:v>
      </x:c>
      <x:c r="N388" s="9" t="n">
        <x:v>51.51</x:v>
      </x:c>
      <x:c r="O388" s="2" t="str">
        <x:v>Valid</x:v>
      </x:c>
      <x:c r="P388" s="2" t="str">
        <x:v>EV000768</x:v>
      </x:c>
      <x:c r="Q388" s="8" t="n">
        <x:v>46300.627291666664</x:v>
      </x:c>
      <x:c r="R388" s="2" t="str">
        <x:v>R2S3</x:v>
      </x:c>
      <x:c r="S388" s="9" t="n">
        <x:v>25.284000000000002</x:v>
      </x:c>
      <x:c r="T388" s="9" t="n">
        <x:v>51.504999999999995</x:v>
      </x:c>
      <x:c r="U388" s="2" t="str">
        <x:v>G067</x:v>
      </x:c>
      <x:c r="V388" s="2" t="str">
        <x:v>Authorized guardian release</x:v>
      </x:c>
      <x:c r="W388" s="2" t="str">
        <x:v>Completed transport</x:v>
      </x:c>
      <x:c r="X388" s="2" t="str">
        <x:v>QR</x:v>
      </x:c>
      <x:c r="Y388" s="2" t="str">
        <x:v>Online</x:v>
      </x:c>
      <x:c r="Z388" s="2" t="str">
        <x:v>Synced</x:v>
      </x:c>
      <x:c r="AA388" s="2"/>
      <x:c r="AB388" s="2"/>
      <x:c r="AC388" s="10" t="n">
        <x:f>IF(OR(K388="",Q388=""),"",ROUND((Q388-K388)*1440,2))</x:f>
        <x:v>33</x:v>
      </x:c>
    </x:row>
    <x:row r="389" ht="21" customHeight="1">
      <x:c r="A389" s="2" t="str">
        <x:v>LN00388</x:v>
      </x:c>
      <x:c r="B389" s="2" t="str">
        <x:v>T20261005-4-2</x:v>
      </x:c>
      <x:c r="C389" s="7" t="n">
        <x:v>46300</x:v>
      </x:c>
      <x:c r="D389" s="2" t="str">
        <x:v>BUS002</x:v>
      </x:c>
      <x:c r="E389" s="2" t="str">
        <x:v>ST068</x:v>
      </x:c>
      <x:c r="F389" s="2" t="n">
        <x:v>2</x:v>
      </x:c>
      <x:c r="G389" s="2" t="str">
        <x:v>Junior</x:v>
      </x:c>
      <x:c r="H389" s="2" t="str">
        <x:v>Drop-off</x:v>
      </x:c>
      <x:c r="I389" s="2" t="str">
        <x:v>R2S1</x:v>
      </x:c>
      <x:c r="J389" s="2" t="str">
        <x:v>EV000769</x:v>
      </x:c>
      <x:c r="K389" s="8" t="n">
        <x:v>46300.604409722226</x:v>
      </x:c>
      <x:c r="L389" s="2" t="str">
        <x:v>SCH01</x:v>
      </x:c>
      <x:c r="M389" s="9" t="n">
        <x:v>25.285</x:v>
      </x:c>
      <x:c r="N389" s="9" t="n">
        <x:v>51.51</x:v>
      </x:c>
      <x:c r="O389" s="2" t="str">
        <x:v>Valid</x:v>
      </x:c>
      <x:c r="P389" s="2" t="str">
        <x:v>EV000770</x:v>
      </x:c>
      <x:c r="Q389" s="8" t="n">
        <x:v>46300.618993055556</x:v>
      </x:c>
      <x:c r="R389" s="2" t="str">
        <x:v>R2S1</x:v>
      </x:c>
      <x:c r="S389" s="9" t="n">
        <x:v>25.28</x:v>
      </x:c>
      <x:c r="T389" s="9" t="n">
        <x:v>51.498999999999995</x:v>
      </x:c>
      <x:c r="U389" s="2" t="str">
        <x:v>G068</x:v>
      </x:c>
      <x:c r="V389" s="2" t="str">
        <x:v>Authorized guardian release</x:v>
      </x:c>
      <x:c r="W389" s="2" t="str">
        <x:v>Completed transport</x:v>
      </x:c>
      <x:c r="X389" s="2" t="str">
        <x:v>QR</x:v>
      </x:c>
      <x:c r="Y389" s="2" t="str">
        <x:v>Online</x:v>
      </x:c>
      <x:c r="Z389" s="2" t="str">
        <x:v>Synced</x:v>
      </x:c>
      <x:c r="AA389" s="2"/>
      <x:c r="AB389" s="2"/>
      <x:c r="AC389" s="10" t="n">
        <x:f>IF(OR(K389="",Q389=""),"",ROUND((Q389-K389)*1440,2))</x:f>
        <x:v>21</x:v>
      </x:c>
    </x:row>
    <x:row r="390" ht="21" customHeight="1">
      <x:c r="A390" s="2" t="str">
        <x:v>LN00389</x:v>
      </x:c>
      <x:c r="B390" s="2" t="str">
        <x:v>T20261005-4-2</x:v>
      </x:c>
      <x:c r="C390" s="7" t="n">
        <x:v>46300</x:v>
      </x:c>
      <x:c r="D390" s="2" t="str">
        <x:v>BUS002</x:v>
      </x:c>
      <x:c r="E390" s="2" t="str">
        <x:v>ST069</x:v>
      </x:c>
      <x:c r="F390" s="2" t="n">
        <x:v>2</x:v>
      </x:c>
      <x:c r="G390" s="2" t="str">
        <x:v>Junior</x:v>
      </x:c>
      <x:c r="H390" s="2" t="str">
        <x:v>Drop-off</x:v>
      </x:c>
      <x:c r="I390" s="2" t="str">
        <x:v>R2S2</x:v>
      </x:c>
      <x:c r="J390" s="2" t="str">
        <x:v>EV000771</x:v>
      </x:c>
      <x:c r="K390" s="8" t="n">
        <x:v>46300.60444444445</x:v>
      </x:c>
      <x:c r="L390" s="2" t="str">
        <x:v>SCH01</x:v>
      </x:c>
      <x:c r="M390" s="9" t="n">
        <x:v>25.285</x:v>
      </x:c>
      <x:c r="N390" s="9" t="n">
        <x:v>51.51</x:v>
      </x:c>
      <x:c r="O390" s="2" t="str">
        <x:v>Valid</x:v>
      </x:c>
      <x:c r="P390" s="2" t="str">
        <x:v>EV000772</x:v>
      </x:c>
      <x:c r="Q390" s="8" t="n">
        <x:v>46300.623194444444</x:v>
      </x:c>
      <x:c r="R390" s="2" t="str">
        <x:v>R2S2</x:v>
      </x:c>
      <x:c r="S390" s="9" t="n">
        <x:v>25.282000000000004</x:v>
      </x:c>
      <x:c r="T390" s="9" t="n">
        <x:v>51.501999999999995</x:v>
      </x:c>
      <x:c r="U390" s="2" t="str">
        <x:v>G069</x:v>
      </x:c>
      <x:c r="V390" s="2" t="str">
        <x:v>Authorized guardian release</x:v>
      </x:c>
      <x:c r="W390" s="2" t="str">
        <x:v>Completed transport</x:v>
      </x:c>
      <x:c r="X390" s="2" t="str">
        <x:v>QR</x:v>
      </x:c>
      <x:c r="Y390" s="2" t="str">
        <x:v>Online</x:v>
      </x:c>
      <x:c r="Z390" s="2" t="str">
        <x:v>Synced</x:v>
      </x:c>
      <x:c r="AA390" s="2"/>
      <x:c r="AB390" s="2"/>
      <x:c r="AC390" s="10" t="n">
        <x:f>IF(OR(K390="",Q390=""),"",ROUND((Q390-K390)*1440,2))</x:f>
        <x:v>27</x:v>
      </x:c>
    </x:row>
    <x:row r="391" ht="21" customHeight="1">
      <x:c r="A391" s="2" t="str">
        <x:v>LN00390</x:v>
      </x:c>
      <x:c r="B391" s="2" t="str">
        <x:v>T20261005-4-2</x:v>
      </x:c>
      <x:c r="C391" s="7" t="n">
        <x:v>46300</x:v>
      </x:c>
      <x:c r="D391" s="2" t="str">
        <x:v>BUS002</x:v>
      </x:c>
      <x:c r="E391" s="2" t="str">
        <x:v>ST070</x:v>
      </x:c>
      <x:c r="F391" s="2" t="n">
        <x:v>2</x:v>
      </x:c>
      <x:c r="G391" s="2" t="str">
        <x:v>Junior</x:v>
      </x:c>
      <x:c r="H391" s="2" t="str">
        <x:v>Drop-off</x:v>
      </x:c>
      <x:c r="I391" s="2" t="str">
        <x:v>R2S3</x:v>
      </x:c>
      <x:c r="J391" s="2" t="str">
        <x:v>EV000773</x:v>
      </x:c>
      <x:c r="K391" s="8" t="n">
        <x:v>46300.60447916667</x:v>
      </x:c>
      <x:c r="L391" s="2" t="str">
        <x:v>SCH01</x:v>
      </x:c>
      <x:c r="M391" s="9" t="n">
        <x:v>25.285</x:v>
      </x:c>
      <x:c r="N391" s="9" t="n">
        <x:v>51.51</x:v>
      </x:c>
      <x:c r="O391" s="2" t="str">
        <x:v>Valid</x:v>
      </x:c>
      <x:c r="P391" s="2" t="str">
        <x:v>EV000774</x:v>
      </x:c>
      <x:c r="Q391" s="8" t="n">
        <x:v>46300.62739583333</x:v>
      </x:c>
      <x:c r="R391" s="2" t="str">
        <x:v>R2S3</x:v>
      </x:c>
      <x:c r="S391" s="9" t="n">
        <x:v>25.284000000000002</x:v>
      </x:c>
      <x:c r="T391" s="9" t="n">
        <x:v>51.504999999999995</x:v>
      </x:c>
      <x:c r="U391" s="2" t="str">
        <x:v>G070</x:v>
      </x:c>
      <x:c r="V391" s="2" t="str">
        <x:v>Authorized guardian release</x:v>
      </x:c>
      <x:c r="W391" s="2" t="str">
        <x:v>Completed transport</x:v>
      </x:c>
      <x:c r="X391" s="2" t="str">
        <x:v>QR</x:v>
      </x:c>
      <x:c r="Y391" s="2" t="str">
        <x:v>Online</x:v>
      </x:c>
      <x:c r="Z391" s="2" t="str">
        <x:v>Synced</x:v>
      </x:c>
      <x:c r="AA391" s="2"/>
      <x:c r="AB391" s="2"/>
      <x:c r="AC391" s="10" t="n">
        <x:f>IF(OR(K391="",Q391=""),"",ROUND((Q391-K391)*1440,2))</x:f>
        <x:v>33</x:v>
      </x:c>
    </x:row>
    <x:row r="392" ht="21" customHeight="1">
      <x:c r="A392" s="2" t="str">
        <x:v>LN00391</x:v>
      </x:c>
      <x:c r="B392" s="2" t="str">
        <x:v>T20261005-5-2</x:v>
      </x:c>
      <x:c r="C392" s="7" t="n">
        <x:v>46300</x:v>
      </x:c>
      <x:c r="D392" s="2" t="str">
        <x:v>BUS002</x:v>
      </x:c>
      <x:c r="E392" s="2" t="str">
        <x:v>ST071</x:v>
      </x:c>
      <x:c r="F392" s="2" t="n">
        <x:v>2</x:v>
      </x:c>
      <x:c r="G392" s="2" t="str">
        <x:v>Senior</x:v>
      </x:c>
      <x:c r="H392" s="2" t="str">
        <x:v>Drop-off</x:v>
      </x:c>
      <x:c r="I392" s="2" t="str">
        <x:v>R2S1</x:v>
      </x:c>
      <x:c r="J392" s="2" t="str">
        <x:v>EV000775</x:v>
      </x:c>
      <x:c r="K392" s="8" t="n">
        <x:v>46300.70833333333</x:v>
      </x:c>
      <x:c r="L392" s="2" t="str">
        <x:v>SCH01</x:v>
      </x:c>
      <x:c r="M392" s="9" t="n">
        <x:v>25.285</x:v>
      </x:c>
      <x:c r="N392" s="9" t="n">
        <x:v>51.51</x:v>
      </x:c>
      <x:c r="O392" s="2" t="str">
        <x:v>Valid</x:v>
      </x:c>
      <x:c r="P392" s="2" t="str">
        <x:v>EV000776</x:v>
      </x:c>
      <x:c r="Q392" s="8" t="n">
        <x:v>46300.72361111111</x:v>
      </x:c>
      <x:c r="R392" s="2" t="str">
        <x:v>R2S1</x:v>
      </x:c>
      <x:c r="S392" s="9" t="n">
        <x:v>25.28</x:v>
      </x:c>
      <x:c r="T392" s="9" t="n">
        <x:v>51.498999999999995</x:v>
      </x:c>
      <x:c r="U392" s="2" t="str">
        <x:v>G071</x:v>
      </x:c>
      <x:c r="V392" s="2" t="str">
        <x:v>Authorized guardian release</x:v>
      </x:c>
      <x:c r="W392" s="2" t="str">
        <x:v>Completed transport</x:v>
      </x:c>
      <x:c r="X392" s="2" t="str">
        <x:v>QR</x:v>
      </x:c>
      <x:c r="Y392" s="2" t="str">
        <x:v>Online</x:v>
      </x:c>
      <x:c r="Z392" s="2" t="str">
        <x:v>Synced</x:v>
      </x:c>
      <x:c r="AA392" s="2"/>
      <x:c r="AB392" s="2"/>
      <x:c r="AC392" s="10" t="n">
        <x:f>IF(OR(K392="",Q392=""),"",ROUND((Q392-K392)*1440,2))</x:f>
        <x:v>22</x:v>
      </x:c>
    </x:row>
    <x:row r="393" ht="21" customHeight="1">
      <x:c r="A393" s="2" t="str">
        <x:v>LN00392</x:v>
      </x:c>
      <x:c r="B393" s="2" t="str">
        <x:v>T20261005-5-2</x:v>
      </x:c>
      <x:c r="C393" s="7" t="n">
        <x:v>46300</x:v>
      </x:c>
      <x:c r="D393" s="2" t="str">
        <x:v>BUS002</x:v>
      </x:c>
      <x:c r="E393" s="2" t="str">
        <x:v>ST072</x:v>
      </x:c>
      <x:c r="F393" s="2" t="n">
        <x:v>2</x:v>
      </x:c>
      <x:c r="G393" s="2" t="str">
        <x:v>Senior</x:v>
      </x:c>
      <x:c r="H393" s="2" t="str">
        <x:v>Drop-off</x:v>
      </x:c>
      <x:c r="I393" s="2" t="str">
        <x:v>R2S2</x:v>
      </x:c>
      <x:c r="J393" s="2" t="str">
        <x:v>EV000777</x:v>
      </x:c>
      <x:c r="K393" s="8" t="n">
        <x:v>46300.70836805555</x:v>
      </x:c>
      <x:c r="L393" s="2" t="str">
        <x:v>SCH01</x:v>
      </x:c>
      <x:c r="M393" s="9" t="n">
        <x:v>25.285</x:v>
      </x:c>
      <x:c r="N393" s="9" t="n">
        <x:v>51.51</x:v>
      </x:c>
      <x:c r="O393" s="2" t="str">
        <x:v>Valid</x:v>
      </x:c>
      <x:c r="P393" s="2" t="str">
        <x:v>EV000778</x:v>
      </x:c>
      <x:c r="Q393" s="8" t="n">
        <x:v>46300.72850694445</x:v>
      </x:c>
      <x:c r="R393" s="2" t="str">
        <x:v>R2S2</x:v>
      </x:c>
      <x:c r="S393" s="9" t="n">
        <x:v>25.282000000000004</x:v>
      </x:c>
      <x:c r="T393" s="9" t="n">
        <x:v>51.501999999999995</x:v>
      </x:c>
      <x:c r="U393" s="2" t="str">
        <x:v>G072</x:v>
      </x:c>
      <x:c r="V393" s="2" t="str">
        <x:v>Authorized guardian release</x:v>
      </x:c>
      <x:c r="W393" s="2" t="str">
        <x:v>Completed transport</x:v>
      </x:c>
      <x:c r="X393" s="2" t="str">
        <x:v>QR</x:v>
      </x:c>
      <x:c r="Y393" s="2" t="str">
        <x:v>Online</x:v>
      </x:c>
      <x:c r="Z393" s="2" t="str">
        <x:v>Synced</x:v>
      </x:c>
      <x:c r="AA393" s="2"/>
      <x:c r="AB393" s="2"/>
      <x:c r="AC393" s="10" t="n">
        <x:f>IF(OR(K393="",Q393=""),"",ROUND((Q393-K393)*1440,2))</x:f>
        <x:v>29</x:v>
      </x:c>
    </x:row>
    <x:row r="394" ht="21" customHeight="1">
      <x:c r="A394" s="2" t="str">
        <x:v>LN00393</x:v>
      </x:c>
      <x:c r="B394" s="2" t="str">
        <x:v>T20261005-5-2</x:v>
      </x:c>
      <x:c r="C394" s="7" t="n">
        <x:v>46300</x:v>
      </x:c>
      <x:c r="D394" s="2" t="str">
        <x:v>BUS002</x:v>
      </x:c>
      <x:c r="E394" s="2" t="str">
        <x:v>ST073</x:v>
      </x:c>
      <x:c r="F394" s="2" t="n">
        <x:v>2</x:v>
      </x:c>
      <x:c r="G394" s="2" t="str">
        <x:v>Senior</x:v>
      </x:c>
      <x:c r="H394" s="2" t="str">
        <x:v>Drop-off</x:v>
      </x:c>
      <x:c r="I394" s="2" t="str">
        <x:v>R2S3</x:v>
      </x:c>
      <x:c r="J394" s="2" t="str">
        <x:v>EV000779</x:v>
      </x:c>
      <x:c r="K394" s="8" t="n">
        <x:v>46300.708402777775</x:v>
      </x:c>
      <x:c r="L394" s="2" t="str">
        <x:v>SCH01</x:v>
      </x:c>
      <x:c r="M394" s="9" t="n">
        <x:v>25.285</x:v>
      </x:c>
      <x:c r="N394" s="9" t="n">
        <x:v>51.51</x:v>
      </x:c>
      <x:c r="O394" s="2" t="str">
        <x:v>Valid</x:v>
      </x:c>
      <x:c r="P394" s="2" t="str">
        <x:v>EV000780</x:v>
      </x:c>
      <x:c r="Q394" s="8" t="n">
        <x:v>46300.73340277778</x:v>
      </x:c>
      <x:c r="R394" s="2" t="str">
        <x:v>R2S3</x:v>
      </x:c>
      <x:c r="S394" s="9" t="n">
        <x:v>25.284000000000002</x:v>
      </x:c>
      <x:c r="T394" s="9" t="n">
        <x:v>51.504999999999995</x:v>
      </x:c>
      <x:c r="U394" s="2" t="str">
        <x:v>G073</x:v>
      </x:c>
      <x:c r="V394" s="2" t="str">
        <x:v>Authorized guardian release</x:v>
      </x:c>
      <x:c r="W394" s="2" t="str">
        <x:v>Completed transport</x:v>
      </x:c>
      <x:c r="X394" s="2" t="str">
        <x:v>QR</x:v>
      </x:c>
      <x:c r="Y394" s="2" t="str">
        <x:v>Online</x:v>
      </x:c>
      <x:c r="Z394" s="2" t="str">
        <x:v>Synced</x:v>
      </x:c>
      <x:c r="AA394" s="2"/>
      <x:c r="AB394" s="2"/>
      <x:c r="AC394" s="10" t="n">
        <x:f>IF(OR(K394="",Q394=""),"",ROUND((Q394-K394)*1440,2))</x:f>
        <x:v>36</x:v>
      </x:c>
    </x:row>
    <x:row r="395" ht="21" customHeight="1">
      <x:c r="A395" s="2" t="str">
        <x:v>LN00394</x:v>
      </x:c>
      <x:c r="B395" s="2" t="str">
        <x:v>T20261005-5-2</x:v>
      </x:c>
      <x:c r="C395" s="7" t="n">
        <x:v>46300</x:v>
      </x:c>
      <x:c r="D395" s="2" t="str">
        <x:v>BUS002</x:v>
      </x:c>
      <x:c r="E395" s="2" t="str">
        <x:v>ST074</x:v>
      </x:c>
      <x:c r="F395" s="2" t="n">
        <x:v>2</x:v>
      </x:c>
      <x:c r="G395" s="2" t="str">
        <x:v>Senior</x:v>
      </x:c>
      <x:c r="H395" s="2" t="str">
        <x:v>Drop-off</x:v>
      </x:c>
      <x:c r="I395" s="2" t="str">
        <x:v>R2S1</x:v>
      </x:c>
      <x:c r="J395" s="2" t="str">
        <x:v>EV000781</x:v>
      </x:c>
      <x:c r="K395" s="8" t="n">
        <x:v>46300.7084375</x:v>
      </x:c>
      <x:c r="L395" s="2" t="str">
        <x:v>SCH01</x:v>
      </x:c>
      <x:c r="M395" s="9" t="n">
        <x:v>25.285</x:v>
      </x:c>
      <x:c r="N395" s="9" t="n">
        <x:v>51.51</x:v>
      </x:c>
      <x:c r="O395" s="2" t="str">
        <x:v>Valid</x:v>
      </x:c>
      <x:c r="P395" s="2" t="str">
        <x:v>EV000782</x:v>
      </x:c>
      <x:c r="Q395" s="8" t="n">
        <x:v>46300.72371527778</x:v>
      </x:c>
      <x:c r="R395" s="2" t="str">
        <x:v>R2S1</x:v>
      </x:c>
      <x:c r="S395" s="9" t="n">
        <x:v>25.28</x:v>
      </x:c>
      <x:c r="T395" s="9" t="n">
        <x:v>51.498999999999995</x:v>
      </x:c>
      <x:c r="U395" s="2" t="str">
        <x:v>G074</x:v>
      </x:c>
      <x:c r="V395" s="2" t="str">
        <x:v>Authorized guardian release</x:v>
      </x:c>
      <x:c r="W395" s="2" t="str">
        <x:v>Completed transport</x:v>
      </x:c>
      <x:c r="X395" s="2" t="str">
        <x:v>QR</x:v>
      </x:c>
      <x:c r="Y395" s="2" t="str">
        <x:v>Online</x:v>
      </x:c>
      <x:c r="Z395" s="2" t="str">
        <x:v>Synced</x:v>
      </x:c>
      <x:c r="AA395" s="2"/>
      <x:c r="AB395" s="2"/>
      <x:c r="AC395" s="10" t="n">
        <x:f>IF(OR(K395="",Q395=""),"",ROUND((Q395-K395)*1440,2))</x:f>
        <x:v>22</x:v>
      </x:c>
    </x:row>
    <x:row r="396" ht="21" customHeight="1">
      <x:c r="A396" s="2" t="str">
        <x:v>LN00395</x:v>
      </x:c>
      <x:c r="B396" s="2" t="str">
        <x:v>T20261005-5-2</x:v>
      </x:c>
      <x:c r="C396" s="7" t="n">
        <x:v>46300</x:v>
      </x:c>
      <x:c r="D396" s="2" t="str">
        <x:v>BUS002</x:v>
      </x:c>
      <x:c r="E396" s="2" t="str">
        <x:v>ST075</x:v>
      </x:c>
      <x:c r="F396" s="2" t="n">
        <x:v>2</x:v>
      </x:c>
      <x:c r="G396" s="2" t="str">
        <x:v>Senior</x:v>
      </x:c>
      <x:c r="H396" s="2" t="str">
        <x:v>Drop-off</x:v>
      </x:c>
      <x:c r="I396" s="2" t="str">
        <x:v>R2S2</x:v>
      </x:c>
      <x:c r="J396" s="2" t="str">
        <x:v>EV000783</x:v>
      </x:c>
      <x:c r="K396" s="8" t="n">
        <x:v>46300.70847222222</x:v>
      </x:c>
      <x:c r="L396" s="2" t="str">
        <x:v>SCH01</x:v>
      </x:c>
      <x:c r="M396" s="9" t="n">
        <x:v>25.285</x:v>
      </x:c>
      <x:c r="N396" s="9" t="n">
        <x:v>51.51</x:v>
      </x:c>
      <x:c r="O396" s="2" t="str">
        <x:v>Valid</x:v>
      </x:c>
      <x:c r="P396" s="2" t="str">
        <x:v>EV000784</x:v>
      </x:c>
      <x:c r="Q396" s="8" t="n">
        <x:v>46300.72861111112</x:v>
      </x:c>
      <x:c r="R396" s="2" t="str">
        <x:v>R2S2</x:v>
      </x:c>
      <x:c r="S396" s="9" t="n">
        <x:v>25.282000000000004</x:v>
      </x:c>
      <x:c r="T396" s="9" t="n">
        <x:v>51.501999999999995</x:v>
      </x:c>
      <x:c r="U396" s="2" t="str">
        <x:v>G075</x:v>
      </x:c>
      <x:c r="V396" s="2" t="str">
        <x:v>Authorized guardian release</x:v>
      </x:c>
      <x:c r="W396" s="2" t="str">
        <x:v>Completed transport</x:v>
      </x:c>
      <x:c r="X396" s="2" t="str">
        <x:v>QR</x:v>
      </x:c>
      <x:c r="Y396" s="2" t="str">
        <x:v>Online</x:v>
      </x:c>
      <x:c r="Z396" s="2" t="str">
        <x:v>Synced</x:v>
      </x:c>
      <x:c r="AA396" s="2"/>
      <x:c r="AB396" s="2"/>
      <x:c r="AC396" s="10" t="n">
        <x:f>IF(OR(K396="",Q396=""),"",ROUND((Q396-K396)*1440,2))</x:f>
        <x:v>29</x:v>
      </x:c>
    </x:row>
    <x:row r="397" ht="21" customHeight="1">
      <x:c r="A397" s="2" t="str">
        <x:v>LN00396</x:v>
      </x:c>
      <x:c r="B397" s="2" t="str">
        <x:v>T20261005-5-2</x:v>
      </x:c>
      <x:c r="C397" s="7" t="n">
        <x:v>46300</x:v>
      </x:c>
      <x:c r="D397" s="2" t="str">
        <x:v>BUS002</x:v>
      </x:c>
      <x:c r="E397" s="2" t="str">
        <x:v>ST076</x:v>
      </x:c>
      <x:c r="F397" s="2" t="n">
        <x:v>2</x:v>
      </x:c>
      <x:c r="G397" s="2" t="str">
        <x:v>Senior</x:v>
      </x:c>
      <x:c r="H397" s="2" t="str">
        <x:v>Drop-off</x:v>
      </x:c>
      <x:c r="I397" s="2" t="str">
        <x:v>R2S3</x:v>
      </x:c>
      <x:c r="J397" s="2" t="str">
        <x:v>EV000785</x:v>
      </x:c>
      <x:c r="K397" s="8" t="n">
        <x:v>46300.70850694444</x:v>
      </x:c>
      <x:c r="L397" s="2" t="str">
        <x:v>SCH01</x:v>
      </x:c>
      <x:c r="M397" s="9" t="n">
        <x:v>25.285</x:v>
      </x:c>
      <x:c r="N397" s="9" t="n">
        <x:v>51.51</x:v>
      </x:c>
      <x:c r="O397" s="2" t="str">
        <x:v>Valid</x:v>
      </x:c>
      <x:c r="P397" s="2" t="str">
        <x:v>EV000786</x:v>
      </x:c>
      <x:c r="Q397" s="8" t="n">
        <x:v>46300.733506944445</x:v>
      </x:c>
      <x:c r="R397" s="2" t="str">
        <x:v>R2S3</x:v>
      </x:c>
      <x:c r="S397" s="9" t="n">
        <x:v>25.284000000000002</x:v>
      </x:c>
      <x:c r="T397" s="9" t="n">
        <x:v>51.504999999999995</x:v>
      </x:c>
      <x:c r="U397" s="2" t="str">
        <x:v>G076</x:v>
      </x:c>
      <x:c r="V397" s="2" t="str">
        <x:v>Authorized guardian release</x:v>
      </x:c>
      <x:c r="W397" s="2" t="str">
        <x:v>Completed transport</x:v>
      </x:c>
      <x:c r="X397" s="2" t="str">
        <x:v>QR</x:v>
      </x:c>
      <x:c r="Y397" s="2" t="str">
        <x:v>Online</x:v>
      </x:c>
      <x:c r="Z397" s="2" t="str">
        <x:v>Synced</x:v>
      </x:c>
      <x:c r="AA397" s="2"/>
      <x:c r="AB397" s="2"/>
      <x:c r="AC397" s="10" t="n">
        <x:f>IF(OR(K397="",Q397=""),"",ROUND((Q397-K397)*1440,2))</x:f>
        <x:v>36</x:v>
      </x:c>
    </x:row>
    <x:row r="398" ht="21" customHeight="1">
      <x:c r="A398" s="2" t="str">
        <x:v>LN00397</x:v>
      </x:c>
      <x:c r="B398" s="2" t="str">
        <x:v>T20261005-5-2</x:v>
      </x:c>
      <x:c r="C398" s="7" t="n">
        <x:v>46300</x:v>
      </x:c>
      <x:c r="D398" s="2" t="str">
        <x:v>BUS002</x:v>
      </x:c>
      <x:c r="E398" s="2" t="str">
        <x:v>ST077</x:v>
      </x:c>
      <x:c r="F398" s="2" t="n">
        <x:v>2</x:v>
      </x:c>
      <x:c r="G398" s="2" t="str">
        <x:v>Senior</x:v>
      </x:c>
      <x:c r="H398" s="2" t="str">
        <x:v>Drop-off</x:v>
      </x:c>
      <x:c r="I398" s="2" t="str">
        <x:v>R2S1</x:v>
      </x:c>
      <x:c r="J398" s="2" t="str">
        <x:v>EV000787</x:v>
      </x:c>
      <x:c r="K398" s="8" t="n">
        <x:v>46300.70854166666</x:v>
      </x:c>
      <x:c r="L398" s="2" t="str">
        <x:v>SCH01</x:v>
      </x:c>
      <x:c r="M398" s="9" t="n">
        <x:v>25.285</x:v>
      </x:c>
      <x:c r="N398" s="9" t="n">
        <x:v>51.51</x:v>
      </x:c>
      <x:c r="O398" s="2" t="str">
        <x:v>Valid</x:v>
      </x:c>
      <x:c r="P398" s="2" t="str">
        <x:v>EV000788</x:v>
      </x:c>
      <x:c r="Q398" s="8" t="n">
        <x:v>46300.72381944444</x:v>
      </x:c>
      <x:c r="R398" s="2" t="str">
        <x:v>R2S1</x:v>
      </x:c>
      <x:c r="S398" s="9" t="n">
        <x:v>25.28</x:v>
      </x:c>
      <x:c r="T398" s="9" t="n">
        <x:v>51.498999999999995</x:v>
      </x:c>
      <x:c r="U398" s="2" t="str">
        <x:v>G077</x:v>
      </x:c>
      <x:c r="V398" s="2" t="str">
        <x:v>Authorized guardian release</x:v>
      </x:c>
      <x:c r="W398" s="2" t="str">
        <x:v>Completed transport</x:v>
      </x:c>
      <x:c r="X398" s="2" t="str">
        <x:v>QR</x:v>
      </x:c>
      <x:c r="Y398" s="2" t="str">
        <x:v>Online</x:v>
      </x:c>
      <x:c r="Z398" s="2" t="str">
        <x:v>Synced</x:v>
      </x:c>
      <x:c r="AA398" s="2"/>
      <x:c r="AB398" s="2"/>
      <x:c r="AC398" s="10" t="n">
        <x:f>IF(OR(K398="",Q398=""),"",ROUND((Q398-K398)*1440,2))</x:f>
        <x:v>22</x:v>
      </x:c>
    </x:row>
    <x:row r="399" ht="21" customHeight="1">
      <x:c r="A399" s="2" t="str">
        <x:v>LN00398</x:v>
      </x:c>
      <x:c r="B399" s="2" t="str">
        <x:v>T20261005-5-2</x:v>
      </x:c>
      <x:c r="C399" s="7" t="n">
        <x:v>46300</x:v>
      </x:c>
      <x:c r="D399" s="2" t="str">
        <x:v>BUS002</x:v>
      </x:c>
      <x:c r="E399" s="2" t="str">
        <x:v>ST078</x:v>
      </x:c>
      <x:c r="F399" s="2" t="n">
        <x:v>2</x:v>
      </x:c>
      <x:c r="G399" s="2" t="str">
        <x:v>Senior</x:v>
      </x:c>
      <x:c r="H399" s="2" t="str">
        <x:v>Drop-off</x:v>
      </x:c>
      <x:c r="I399" s="2" t="str">
        <x:v>R2S2</x:v>
      </x:c>
      <x:c r="J399" s="2" t="str">
        <x:v>EV000789</x:v>
      </x:c>
      <x:c r="K399" s="8" t="n">
        <x:v>46300.70857638888</x:v>
      </x:c>
      <x:c r="L399" s="2" t="str">
        <x:v>SCH01</x:v>
      </x:c>
      <x:c r="M399" s="9" t="n">
        <x:v>25.285</x:v>
      </x:c>
      <x:c r="N399" s="9" t="n">
        <x:v>51.51</x:v>
      </x:c>
      <x:c r="O399" s="2" t="str">
        <x:v>Valid</x:v>
      </x:c>
      <x:c r="P399" s="2" t="str">
        <x:v>EV000790</x:v>
      </x:c>
      <x:c r="Q399" s="8" t="n">
        <x:v>46300.72871527778</x:v>
      </x:c>
      <x:c r="R399" s="2" t="str">
        <x:v>R2S2</x:v>
      </x:c>
      <x:c r="S399" s="9" t="n">
        <x:v>25.282000000000004</x:v>
      </x:c>
      <x:c r="T399" s="9" t="n">
        <x:v>51.501999999999995</x:v>
      </x:c>
      <x:c r="U399" s="2" t="str">
        <x:v>G078</x:v>
      </x:c>
      <x:c r="V399" s="2" t="str">
        <x:v>Authorized guardian release</x:v>
      </x:c>
      <x:c r="W399" s="2" t="str">
        <x:v>Completed transport</x:v>
      </x:c>
      <x:c r="X399" s="2" t="str">
        <x:v>QR</x:v>
      </x:c>
      <x:c r="Y399" s="2" t="str">
        <x:v>Online</x:v>
      </x:c>
      <x:c r="Z399" s="2" t="str">
        <x:v>Synced</x:v>
      </x:c>
      <x:c r="AA399" s="2"/>
      <x:c r="AB399" s="2"/>
      <x:c r="AC399" s="10" t="n">
        <x:f>IF(OR(K399="",Q399=""),"",ROUND((Q399-K399)*1440,2))</x:f>
        <x:v>29</x:v>
      </x:c>
    </x:row>
    <x:row r="400" ht="21" customHeight="1">
      <x:c r="A400" s="2" t="str">
        <x:v>LN00399</x:v>
      </x:c>
      <x:c r="B400" s="2" t="str">
        <x:v>T20261005-5-2</x:v>
      </x:c>
      <x:c r="C400" s="7" t="n">
        <x:v>46300</x:v>
      </x:c>
      <x:c r="D400" s="2" t="str">
        <x:v>BUS002</x:v>
      </x:c>
      <x:c r="E400" s="2" t="str">
        <x:v>ST079</x:v>
      </x:c>
      <x:c r="F400" s="2" t="n">
        <x:v>2</x:v>
      </x:c>
      <x:c r="G400" s="2" t="str">
        <x:v>Senior</x:v>
      </x:c>
      <x:c r="H400" s="2" t="str">
        <x:v>Drop-off</x:v>
      </x:c>
      <x:c r="I400" s="2" t="str">
        <x:v>R2S3</x:v>
      </x:c>
      <x:c r="J400" s="2" t="str">
        <x:v>EV000791</x:v>
      </x:c>
      <x:c r="K400" s="8" t="n">
        <x:v>46300.708611111106</x:v>
      </x:c>
      <x:c r="L400" s="2" t="str">
        <x:v>SCH01</x:v>
      </x:c>
      <x:c r="M400" s="9" t="n">
        <x:v>25.285</x:v>
      </x:c>
      <x:c r="N400" s="9" t="n">
        <x:v>51.51</x:v>
      </x:c>
      <x:c r="O400" s="2" t="str">
        <x:v>Valid</x:v>
      </x:c>
      <x:c r="P400" s="2" t="str">
        <x:v>EV000792</x:v>
      </x:c>
      <x:c r="Q400" s="8" t="n">
        <x:v>46300.733611111114</x:v>
      </x:c>
      <x:c r="R400" s="2" t="str">
        <x:v>R2S3</x:v>
      </x:c>
      <x:c r="S400" s="9" t="n">
        <x:v>25.284000000000002</x:v>
      </x:c>
      <x:c r="T400" s="9" t="n">
        <x:v>51.504999999999995</x:v>
      </x:c>
      <x:c r="U400" s="2" t="str">
        <x:v>G079</x:v>
      </x:c>
      <x:c r="V400" s="2" t="str">
        <x:v>Authorized guardian release</x:v>
      </x:c>
      <x:c r="W400" s="2" t="str">
        <x:v>Completed transport</x:v>
      </x:c>
      <x:c r="X400" s="2" t="str">
        <x:v>QR</x:v>
      </x:c>
      <x:c r="Y400" s="2" t="str">
        <x:v>Online</x:v>
      </x:c>
      <x:c r="Z400" s="2" t="str">
        <x:v>Synced</x:v>
      </x:c>
      <x:c r="AA400" s="2"/>
      <x:c r="AB400" s="2"/>
      <x:c r="AC400" s="10" t="n">
        <x:f>IF(OR(K400="",Q400=""),"",ROUND((Q400-K400)*1440,2))</x:f>
        <x:v>36</x:v>
      </x:c>
    </x:row>
    <x:row r="401" ht="21" customHeight="1">
      <x:c r="A401" s="2" t="str">
        <x:v>LN00400</x:v>
      </x:c>
      <x:c r="B401" s="2" t="str">
        <x:v>T20261005-5-2</x:v>
      </x:c>
      <x:c r="C401" s="7" t="n">
        <x:v>46300</x:v>
      </x:c>
      <x:c r="D401" s="2" t="str">
        <x:v>BUS002</x:v>
      </x:c>
      <x:c r="E401" s="2" t="str">
        <x:v>ST080</x:v>
      </x:c>
      <x:c r="F401" s="2" t="n">
        <x:v>2</x:v>
      </x:c>
      <x:c r="G401" s="2" t="str">
        <x:v>Senior</x:v>
      </x:c>
      <x:c r="H401" s="2" t="str">
        <x:v>Drop-off</x:v>
      </x:c>
      <x:c r="I401" s="2" t="str">
        <x:v>R2S1</x:v>
      </x:c>
      <x:c r="J401" s="2" t="str">
        <x:v>EV000793</x:v>
      </x:c>
      <x:c r="K401" s="8" t="n">
        <x:v>46300.70864583333</x:v>
      </x:c>
      <x:c r="L401" s="2" t="str">
        <x:v>SCH01</x:v>
      </x:c>
      <x:c r="M401" s="9" t="n">
        <x:v>25.285</x:v>
      </x:c>
      <x:c r="N401" s="9" t="n">
        <x:v>51.51</x:v>
      </x:c>
      <x:c r="O401" s="2" t="str">
        <x:v>Valid</x:v>
      </x:c>
      <x:c r="P401" s="2" t="str">
        <x:v>EV000794</x:v>
      </x:c>
      <x:c r="Q401" s="8" t="n">
        <x:v>46300.72392361111</x:v>
      </x:c>
      <x:c r="R401" s="2" t="str">
        <x:v>R2S1</x:v>
      </x:c>
      <x:c r="S401" s="9" t="n">
        <x:v>25.28</x:v>
      </x:c>
      <x:c r="T401" s="9" t="n">
        <x:v>51.498999999999995</x:v>
      </x:c>
      <x:c r="U401" s="2" t="str">
        <x:v>G080</x:v>
      </x:c>
      <x:c r="V401" s="2" t="str">
        <x:v>Authorized guardian release</x:v>
      </x:c>
      <x:c r="W401" s="2" t="str">
        <x:v>Completed transport</x:v>
      </x:c>
      <x:c r="X401" s="2" t="str">
        <x:v>QR</x:v>
      </x:c>
      <x:c r="Y401" s="2" t="str">
        <x:v>Online</x:v>
      </x:c>
      <x:c r="Z401" s="2" t="str">
        <x:v>Synced</x:v>
      </x:c>
      <x:c r="AA401" s="2"/>
      <x:c r="AB401" s="2"/>
      <x:c r="AC401" s="10" t="n">
        <x:f>IF(OR(K401="",Q401=""),"",ROUND((Q401-K401)*1440,2))</x:f>
        <x:v>22</x:v>
      </x:c>
    </x:row>
    <x:row r="402" ht="21" customHeight="1">
      <x:c r="A402" s="2" t="str">
        <x:v>LN00401</x:v>
      </x:c>
      <x:c r="B402" s="2" t="str">
        <x:v>T20261005-1-3</x:v>
      </x:c>
      <x:c r="C402" s="7" t="n">
        <x:v>46300</x:v>
      </x:c>
      <x:c r="D402" s="2" t="str">
        <x:v>BUS003</x:v>
      </x:c>
      <x:c r="E402" s="2" t="str">
        <x:v>ST081</x:v>
      </x:c>
      <x:c r="F402" s="2" t="n">
        <x:v>1</x:v>
      </x:c>
      <x:c r="G402" s="2" t="str">
        <x:v>Junior</x:v>
      </x:c>
      <x:c r="H402" s="2" t="str">
        <x:v>Pickup</x:v>
      </x:c>
      <x:c r="I402" s="2" t="str">
        <x:v>R3S1</x:v>
      </x:c>
      <x:c r="J402" s="2" t="str">
        <x:v>EV000795</x:v>
      </x:c>
      <x:c r="K402" s="8" t="n">
        <x:v>46300.242361111115</x:v>
      </x:c>
      <x:c r="L402" s="2" t="str">
        <x:v>R3S1</x:v>
      </x:c>
      <x:c r="M402" s="9" t="n">
        <x:v>25.289</x:v>
      </x:c>
      <x:c r="N402" s="9" t="n">
        <x:v>51.507</x:v>
      </x:c>
      <x:c r="O402" s="2" t="str">
        <x:v>Valid</x:v>
      </x:c>
      <x:c r="P402" s="2" t="str">
        <x:v>EV000796</x:v>
      </x:c>
      <x:c r="Q402" s="8" t="n">
        <x:v>46300.27638888889</x:v>
      </x:c>
      <x:c r="R402" s="2" t="str">
        <x:v>SCH01</x:v>
      </x:c>
      <x:c r="S402" s="9" t="n">
        <x:v>25.285</x:v>
      </x:c>
      <x:c r="T402" s="9" t="n">
        <x:v>51.51</x:v>
      </x:c>
      <x:c r="U402" s="2" t="str">
        <x:v>SCHOOL_RECEIVER_01</x:v>
      </x:c>
      <x:c r="V402" s="2" t="str">
        <x:v>School staff receipt</x:v>
      </x:c>
      <x:c r="W402" s="2" t="str">
        <x:v>Completed transport</x:v>
      </x:c>
      <x:c r="X402" s="2" t="str">
        <x:v>QR</x:v>
      </x:c>
      <x:c r="Y402" s="2" t="str">
        <x:v>Online</x:v>
      </x:c>
      <x:c r="Z402" s="2" t="str">
        <x:v>Synced</x:v>
      </x:c>
      <x:c r="AA402" s="2"/>
      <x:c r="AB402" s="2"/>
      <x:c r="AC402" s="10" t="n">
        <x:f>IF(OR(K402="",Q402=""),"",ROUND((Q402-K402)*1440,2))</x:f>
        <x:v>49</x:v>
      </x:c>
    </x:row>
    <x:row r="403" ht="21" customHeight="1">
      <x:c r="A403" s="2" t="str">
        <x:v>LN00402</x:v>
      </x:c>
      <x:c r="B403" s="2" t="str">
        <x:v>T20261005-1-3</x:v>
      </x:c>
      <x:c r="C403" s="7" t="n">
        <x:v>46300</x:v>
      </x:c>
      <x:c r="D403" s="2" t="str">
        <x:v>BUS003</x:v>
      </x:c>
      <x:c r="E403" s="2" t="str">
        <x:v>ST082</x:v>
      </x:c>
      <x:c r="F403" s="2" t="n">
        <x:v>1</x:v>
      </x:c>
      <x:c r="G403" s="2" t="str">
        <x:v>Junior</x:v>
      </x:c>
      <x:c r="H403" s="2" t="str">
        <x:v>Pickup</x:v>
      </x:c>
      <x:c r="I403" s="2" t="str">
        <x:v>R3S2</x:v>
      </x:c>
      <x:c r="J403" s="2" t="str">
        <x:v>EV000797</x:v>
      </x:c>
      <x:c r="K403" s="8" t="n">
        <x:v>46300.24725694444</x:v>
      </x:c>
      <x:c r="L403" s="2" t="str">
        <x:v>R3S2</x:v>
      </x:c>
      <x:c r="M403" s="9" t="n">
        <x:v>25.291000000000004</x:v>
      </x:c>
      <x:c r="N403" s="9" t="n">
        <x:v>51.51</x:v>
      </x:c>
      <x:c r="O403" s="2" t="str">
        <x:v>Valid</x:v>
      </x:c>
      <x:c r="P403" s="2" t="str">
        <x:v>EV000798</x:v>
      </x:c>
      <x:c r="Q403" s="8" t="n">
        <x:v>46300.27642361111</x:v>
      </x:c>
      <x:c r="R403" s="2" t="str">
        <x:v>SCH01</x:v>
      </x:c>
      <x:c r="S403" s="9" t="n">
        <x:v>25.285</x:v>
      </x:c>
      <x:c r="T403" s="9" t="n">
        <x:v>51.51</x:v>
      </x:c>
      <x:c r="U403" s="2" t="str">
        <x:v>SCHOOL_RECEIVER_01</x:v>
      </x:c>
      <x:c r="V403" s="2" t="str">
        <x:v>School staff receipt</x:v>
      </x:c>
      <x:c r="W403" s="2" t="str">
        <x:v>Completed transport</x:v>
      </x:c>
      <x:c r="X403" s="2" t="str">
        <x:v>QR</x:v>
      </x:c>
      <x:c r="Y403" s="2" t="str">
        <x:v>Online</x:v>
      </x:c>
      <x:c r="Z403" s="2" t="str">
        <x:v>Synced</x:v>
      </x:c>
      <x:c r="AA403" s="2"/>
      <x:c r="AB403" s="2"/>
      <x:c r="AC403" s="10" t="n">
        <x:f>IF(OR(K403="",Q403=""),"",ROUND((Q403-K403)*1440,2))</x:f>
        <x:v>42</x:v>
      </x:c>
    </x:row>
    <x:row r="404" ht="21" customHeight="1">
      <x:c r="A404" s="2" t="str">
        <x:v>LN00403</x:v>
      </x:c>
      <x:c r="B404" s="2" t="str">
        <x:v>T20261005-1-3</x:v>
      </x:c>
      <x:c r="C404" s="7" t="n">
        <x:v>46300</x:v>
      </x:c>
      <x:c r="D404" s="2" t="str">
        <x:v>BUS003</x:v>
      </x:c>
      <x:c r="E404" s="2" t="str">
        <x:v>ST083</x:v>
      </x:c>
      <x:c r="F404" s="2" t="n">
        <x:v>1</x:v>
      </x:c>
      <x:c r="G404" s="2" t="str">
        <x:v>Junior</x:v>
      </x:c>
      <x:c r="H404" s="2" t="str">
        <x:v>Pickup</x:v>
      </x:c>
      <x:c r="I404" s="2" t="str">
        <x:v>R3S3</x:v>
      </x:c>
      <x:c r="J404" s="2" t="str">
        <x:v>EV000799</x:v>
      </x:c>
      <x:c r="K404" s="8" t="n">
        <x:v>46300.25215277778</x:v>
      </x:c>
      <x:c r="L404" s="2" t="str">
        <x:v>R3S3</x:v>
      </x:c>
      <x:c r="M404" s="9" t="n">
        <x:v>25.293000000000003</x:v>
      </x:c>
      <x:c r="N404" s="9" t="n">
        <x:v>51.513</x:v>
      </x:c>
      <x:c r="O404" s="2" t="str">
        <x:v>Valid</x:v>
      </x:c>
      <x:c r="P404" s="2" t="str">
        <x:v>EV000800</x:v>
      </x:c>
      <x:c r="Q404" s="8" t="n">
        <x:v>46300.276458333334</x:v>
      </x:c>
      <x:c r="R404" s="2" t="str">
        <x:v>SCH01</x:v>
      </x:c>
      <x:c r="S404" s="9" t="n">
        <x:v>25.285</x:v>
      </x:c>
      <x:c r="T404" s="9" t="n">
        <x:v>51.51</x:v>
      </x:c>
      <x:c r="U404" s="2" t="str">
        <x:v>SCHOOL_RECEIVER_01</x:v>
      </x:c>
      <x:c r="V404" s="2" t="str">
        <x:v>School staff receipt</x:v>
      </x:c>
      <x:c r="W404" s="2" t="str">
        <x:v>Completed transport</x:v>
      </x:c>
      <x:c r="X404" s="2" t="str">
        <x:v>QR</x:v>
      </x:c>
      <x:c r="Y404" s="2" t="str">
        <x:v>Online</x:v>
      </x:c>
      <x:c r="Z404" s="2" t="str">
        <x:v>Synced</x:v>
      </x:c>
      <x:c r="AA404" s="2"/>
      <x:c r="AB404" s="2"/>
      <x:c r="AC404" s="10" t="n">
        <x:f>IF(OR(K404="",Q404=""),"",ROUND((Q404-K404)*1440,2))</x:f>
        <x:v>35</x:v>
      </x:c>
    </x:row>
    <x:row r="405" ht="21" customHeight="1">
      <x:c r="A405" s="2" t="str">
        <x:v>LN00404</x:v>
      </x:c>
      <x:c r="B405" s="2" t="str">
        <x:v>T20261005-1-3</x:v>
      </x:c>
      <x:c r="C405" s="7" t="n">
        <x:v>46300</x:v>
      </x:c>
      <x:c r="D405" s="2" t="str">
        <x:v>BUS003</x:v>
      </x:c>
      <x:c r="E405" s="2" t="str">
        <x:v>ST084</x:v>
      </x:c>
      <x:c r="F405" s="2" t="n">
        <x:v>1</x:v>
      </x:c>
      <x:c r="G405" s="2" t="str">
        <x:v>Junior</x:v>
      </x:c>
      <x:c r="H405" s="2" t="str">
        <x:v>Pickup</x:v>
      </x:c>
      <x:c r="I405" s="2" t="str">
        <x:v>R3S1</x:v>
      </x:c>
      <x:c r="J405" s="2" t="str">
        <x:v>EV000801</x:v>
      </x:c>
      <x:c r="K405" s="8" t="n">
        <x:v>46300.242465277785</x:v>
      </x:c>
      <x:c r="L405" s="2" t="str">
        <x:v>R3S1</x:v>
      </x:c>
      <x:c r="M405" s="9" t="n">
        <x:v>25.289</x:v>
      </x:c>
      <x:c r="N405" s="9" t="n">
        <x:v>51.507</x:v>
      </x:c>
      <x:c r="O405" s="2" t="str">
        <x:v>Valid</x:v>
      </x:c>
      <x:c r="P405" s="2" t="str">
        <x:v>EV000802</x:v>
      </x:c>
      <x:c r="Q405" s="8" t="n">
        <x:v>46300.27649305556</x:v>
      </x:c>
      <x:c r="R405" s="2" t="str">
        <x:v>SCH01</x:v>
      </x:c>
      <x:c r="S405" s="9" t="n">
        <x:v>25.285</x:v>
      </x:c>
      <x:c r="T405" s="9" t="n">
        <x:v>51.51</x:v>
      </x:c>
      <x:c r="U405" s="2" t="str">
        <x:v>SCHOOL_RECEIVER_01</x:v>
      </x:c>
      <x:c r="V405" s="2" t="str">
        <x:v>School staff receipt</x:v>
      </x:c>
      <x:c r="W405" s="2" t="str">
        <x:v>Completed transport</x:v>
      </x:c>
      <x:c r="X405" s="2" t="str">
        <x:v>QR</x:v>
      </x:c>
      <x:c r="Y405" s="2" t="str">
        <x:v>Online</x:v>
      </x:c>
      <x:c r="Z405" s="2" t="str">
        <x:v>Synced</x:v>
      </x:c>
      <x:c r="AA405" s="2"/>
      <x:c r="AB405" s="2"/>
      <x:c r="AC405" s="10" t="n">
        <x:f>IF(OR(K405="",Q405=""),"",ROUND((Q405-K405)*1440,2))</x:f>
        <x:v>49</x:v>
      </x:c>
    </x:row>
    <x:row r="406" ht="21" customHeight="1">
      <x:c r="A406" s="2" t="str">
        <x:v>LN00405</x:v>
      </x:c>
      <x:c r="B406" s="2" t="str">
        <x:v>T20261005-1-3</x:v>
      </x:c>
      <x:c r="C406" s="7" t="n">
        <x:v>46300</x:v>
      </x:c>
      <x:c r="D406" s="2" t="str">
        <x:v>BUS003</x:v>
      </x:c>
      <x:c r="E406" s="2" t="str">
        <x:v>ST085</x:v>
      </x:c>
      <x:c r="F406" s="2" t="n">
        <x:v>1</x:v>
      </x:c>
      <x:c r="G406" s="2" t="str">
        <x:v>Junior</x:v>
      </x:c>
      <x:c r="H406" s="2" t="str">
        <x:v>Pickup</x:v>
      </x:c>
      <x:c r="I406" s="2" t="str">
        <x:v>R3S2</x:v>
      </x:c>
      <x:c r="J406" s="2" t="str">
        <x:v>EV000803</x:v>
      </x:c>
      <x:c r="K406" s="8" t="n">
        <x:v>46300.24736111111</x:v>
      </x:c>
      <x:c r="L406" s="2" t="str">
        <x:v>R3S2</x:v>
      </x:c>
      <x:c r="M406" s="9" t="n">
        <x:v>25.291000000000004</x:v>
      </x:c>
      <x:c r="N406" s="9" t="n">
        <x:v>51.51</x:v>
      </x:c>
      <x:c r="O406" s="2" t="str">
        <x:v>Valid</x:v>
      </x:c>
      <x:c r="P406" s="2" t="str">
        <x:v>EV000804</x:v>
      </x:c>
      <x:c r="Q406" s="8" t="n">
        <x:v>46300.27652777778</x:v>
      </x:c>
      <x:c r="R406" s="2" t="str">
        <x:v>SCH01</x:v>
      </x:c>
      <x:c r="S406" s="9" t="n">
        <x:v>25.285</x:v>
      </x:c>
      <x:c r="T406" s="9" t="n">
        <x:v>51.51</x:v>
      </x:c>
      <x:c r="U406" s="2" t="str">
        <x:v>SCHOOL_RECEIVER_01</x:v>
      </x:c>
      <x:c r="V406" s="2" t="str">
        <x:v>School staff receipt</x:v>
      </x:c>
      <x:c r="W406" s="2" t="str">
        <x:v>Completed transport</x:v>
      </x:c>
      <x:c r="X406" s="2" t="str">
        <x:v>QR</x:v>
      </x:c>
      <x:c r="Y406" s="2" t="str">
        <x:v>Online</x:v>
      </x:c>
      <x:c r="Z406" s="2" t="str">
        <x:v>Synced</x:v>
      </x:c>
      <x:c r="AA406" s="2"/>
      <x:c r="AB406" s="2"/>
      <x:c r="AC406" s="10" t="n">
        <x:f>IF(OR(K406="",Q406=""),"",ROUND((Q406-K406)*1440,2))</x:f>
        <x:v>42</x:v>
      </x:c>
    </x:row>
    <x:row r="407" ht="21" customHeight="1">
      <x:c r="A407" s="2" t="str">
        <x:v>LN00406</x:v>
      </x:c>
      <x:c r="B407" s="2" t="str">
        <x:v>T20261005-1-3</x:v>
      </x:c>
      <x:c r="C407" s="7" t="n">
        <x:v>46300</x:v>
      </x:c>
      <x:c r="D407" s="2" t="str">
        <x:v>BUS003</x:v>
      </x:c>
      <x:c r="E407" s="2" t="str">
        <x:v>ST086</x:v>
      </x:c>
      <x:c r="F407" s="2" t="n">
        <x:v>1</x:v>
      </x:c>
      <x:c r="G407" s="2" t="str">
        <x:v>Junior</x:v>
      </x:c>
      <x:c r="H407" s="2" t="str">
        <x:v>Pickup</x:v>
      </x:c>
      <x:c r="I407" s="2" t="str">
        <x:v>R3S3</x:v>
      </x:c>
      <x:c r="J407" s="2" t="str">
        <x:v>EV000805</x:v>
      </x:c>
      <x:c r="K407" s="8" t="n">
        <x:v>46300.25225694444</x:v>
      </x:c>
      <x:c r="L407" s="2" t="str">
        <x:v>R3S3</x:v>
      </x:c>
      <x:c r="M407" s="9" t="n">
        <x:v>25.293000000000003</x:v>
      </x:c>
      <x:c r="N407" s="9" t="n">
        <x:v>51.513</x:v>
      </x:c>
      <x:c r="O407" s="2" t="str">
        <x:v>Valid</x:v>
      </x:c>
      <x:c r="P407" s="2" t="str">
        <x:v>EV000806</x:v>
      </x:c>
      <x:c r="Q407" s="8" t="n">
        <x:v>46300.276562499996</x:v>
      </x:c>
      <x:c r="R407" s="2" t="str">
        <x:v>SCH01</x:v>
      </x:c>
      <x:c r="S407" s="9" t="n">
        <x:v>25.285</x:v>
      </x:c>
      <x:c r="T407" s="9" t="n">
        <x:v>51.51</x:v>
      </x:c>
      <x:c r="U407" s="2" t="str">
        <x:v>SCHOOL_RECEIVER_01</x:v>
      </x:c>
      <x:c r="V407" s="2" t="str">
        <x:v>School staff receipt</x:v>
      </x:c>
      <x:c r="W407" s="2" t="str">
        <x:v>Completed transport</x:v>
      </x:c>
      <x:c r="X407" s="2" t="str">
        <x:v>QR</x:v>
      </x:c>
      <x:c r="Y407" s="2" t="str">
        <x:v>Online</x:v>
      </x:c>
      <x:c r="Z407" s="2" t="str">
        <x:v>Synced</x:v>
      </x:c>
      <x:c r="AA407" s="2"/>
      <x:c r="AB407" s="2"/>
      <x:c r="AC407" s="10" t="n">
        <x:f>IF(OR(K407="",Q407=""),"",ROUND((Q407-K407)*1440,2))</x:f>
        <x:v>35</x:v>
      </x:c>
    </x:row>
    <x:row r="408" ht="21" customHeight="1">
      <x:c r="A408" s="2" t="str">
        <x:v>LN00407</x:v>
      </x:c>
      <x:c r="B408" s="2" t="str">
        <x:v>T20261005-1-3</x:v>
      </x:c>
      <x:c r="C408" s="7" t="n">
        <x:v>46300</x:v>
      </x:c>
      <x:c r="D408" s="2" t="str">
        <x:v>BUS003</x:v>
      </x:c>
      <x:c r="E408" s="2" t="str">
        <x:v>ST087</x:v>
      </x:c>
      <x:c r="F408" s="2" t="n">
        <x:v>1</x:v>
      </x:c>
      <x:c r="G408" s="2" t="str">
        <x:v>Junior</x:v>
      </x:c>
      <x:c r="H408" s="2" t="str">
        <x:v>Pickup</x:v>
      </x:c>
      <x:c r="I408" s="2" t="str">
        <x:v>R3S1</x:v>
      </x:c>
      <x:c r="J408" s="2" t="str">
        <x:v>EV000807</x:v>
      </x:c>
      <x:c r="K408" s="8" t="n">
        <x:v>46300.24256944445</x:v>
      </x:c>
      <x:c r="L408" s="2" t="str">
        <x:v>R3S1</x:v>
      </x:c>
      <x:c r="M408" s="9" t="n">
        <x:v>25.289</x:v>
      </x:c>
      <x:c r="N408" s="9" t="n">
        <x:v>51.507</x:v>
      </x:c>
      <x:c r="O408" s="2" t="str">
        <x:v>Valid</x:v>
      </x:c>
      <x:c r="P408" s="2" t="str">
        <x:v>EV000808</x:v>
      </x:c>
      <x:c r="Q408" s="8" t="n">
        <x:v>46300.27659722222</x:v>
      </x:c>
      <x:c r="R408" s="2" t="str">
        <x:v>SCH01</x:v>
      </x:c>
      <x:c r="S408" s="9" t="n">
        <x:v>25.285</x:v>
      </x:c>
      <x:c r="T408" s="9" t="n">
        <x:v>51.51</x:v>
      </x:c>
      <x:c r="U408" s="2" t="str">
        <x:v>SCHOOL_RECEIVER_01</x:v>
      </x:c>
      <x:c r="V408" s="2" t="str">
        <x:v>School staff receipt</x:v>
      </x:c>
      <x:c r="W408" s="2" t="str">
        <x:v>Completed transport</x:v>
      </x:c>
      <x:c r="X408" s="2" t="str">
        <x:v>QR</x:v>
      </x:c>
      <x:c r="Y408" s="2" t="str">
        <x:v>Online</x:v>
      </x:c>
      <x:c r="Z408" s="2" t="str">
        <x:v>Synced</x:v>
      </x:c>
      <x:c r="AA408" s="2"/>
      <x:c r="AB408" s="2"/>
      <x:c r="AC408" s="10" t="n">
        <x:f>IF(OR(K408="",Q408=""),"",ROUND((Q408-K408)*1440,2))</x:f>
        <x:v>49</x:v>
      </x:c>
    </x:row>
    <x:row r="409" ht="21" customHeight="1">
      <x:c r="A409" s="2" t="str">
        <x:v>LN00408</x:v>
      </x:c>
      <x:c r="B409" s="2" t="str">
        <x:v>T20261005-1-3</x:v>
      </x:c>
      <x:c r="C409" s="7" t="n">
        <x:v>46300</x:v>
      </x:c>
      <x:c r="D409" s="2" t="str">
        <x:v>BUS003</x:v>
      </x:c>
      <x:c r="E409" s="2" t="str">
        <x:v>ST088</x:v>
      </x:c>
      <x:c r="F409" s="2" t="n">
        <x:v>1</x:v>
      </x:c>
      <x:c r="G409" s="2" t="str">
        <x:v>Junior</x:v>
      </x:c>
      <x:c r="H409" s="2" t="str">
        <x:v>Pickup</x:v>
      </x:c>
      <x:c r="I409" s="2" t="str">
        <x:v>R3S2</x:v>
      </x:c>
      <x:c r="J409" s="2" t="str">
        <x:v>EV000809</x:v>
      </x:c>
      <x:c r="K409" s="8" t="n">
        <x:v>46300.247465277775</x:v>
      </x:c>
      <x:c r="L409" s="2" t="str">
        <x:v>R3S2</x:v>
      </x:c>
      <x:c r="M409" s="9" t="n">
        <x:v>25.291000000000004</x:v>
      </x:c>
      <x:c r="N409" s="9" t="n">
        <x:v>51.51</x:v>
      </x:c>
      <x:c r="O409" s="2" t="str">
        <x:v>Valid</x:v>
      </x:c>
      <x:c r="P409" s="2" t="str">
        <x:v>EV000810</x:v>
      </x:c>
      <x:c r="Q409" s="8" t="n">
        <x:v>46300.27663194444</x:v>
      </x:c>
      <x:c r="R409" s="2" t="str">
        <x:v>SCH01</x:v>
      </x:c>
      <x:c r="S409" s="9" t="n">
        <x:v>25.285</x:v>
      </x:c>
      <x:c r="T409" s="9" t="n">
        <x:v>51.51</x:v>
      </x:c>
      <x:c r="U409" s="2" t="str">
        <x:v>SCHOOL_RECEIVER_01</x:v>
      </x:c>
      <x:c r="V409" s="2" t="str">
        <x:v>School staff receipt</x:v>
      </x:c>
      <x:c r="W409" s="2" t="str">
        <x:v>Completed transport</x:v>
      </x:c>
      <x:c r="X409" s="2" t="str">
        <x:v>QR</x:v>
      </x:c>
      <x:c r="Y409" s="2" t="str">
        <x:v>Online</x:v>
      </x:c>
      <x:c r="Z409" s="2" t="str">
        <x:v>Synced</x:v>
      </x:c>
      <x:c r="AA409" s="2"/>
      <x:c r="AB409" s="2"/>
      <x:c r="AC409" s="10" t="n">
        <x:f>IF(OR(K409="",Q409=""),"",ROUND((Q409-K409)*1440,2))</x:f>
        <x:v>42</x:v>
      </x:c>
    </x:row>
    <x:row r="410" ht="21" customHeight="1">
      <x:c r="A410" s="2" t="str">
        <x:v>LN00409</x:v>
      </x:c>
      <x:c r="B410" s="2" t="str">
        <x:v>T20261005-1-3</x:v>
      </x:c>
      <x:c r="C410" s="7" t="n">
        <x:v>46300</x:v>
      </x:c>
      <x:c r="D410" s="2" t="str">
        <x:v>BUS003</x:v>
      </x:c>
      <x:c r="E410" s="2" t="str">
        <x:v>ST089</x:v>
      </x:c>
      <x:c r="F410" s="2" t="n">
        <x:v>1</x:v>
      </x:c>
      <x:c r="G410" s="2" t="str">
        <x:v>Junior</x:v>
      </x:c>
      <x:c r="H410" s="2" t="str">
        <x:v>Pickup</x:v>
      </x:c>
      <x:c r="I410" s="2" t="str">
        <x:v>R3S3</x:v>
      </x:c>
      <x:c r="J410" s="2" t="str">
        <x:v>EV000811</x:v>
      </x:c>
      <x:c r="K410" s="8" t="n">
        <x:v>46300.25236111111</x:v>
      </x:c>
      <x:c r="L410" s="2" t="str">
        <x:v>R3S3</x:v>
      </x:c>
      <x:c r="M410" s="9" t="n">
        <x:v>25.293000000000003</x:v>
      </x:c>
      <x:c r="N410" s="9" t="n">
        <x:v>51.513</x:v>
      </x:c>
      <x:c r="O410" s="2" t="str">
        <x:v>Valid</x:v>
      </x:c>
      <x:c r="P410" s="2" t="str">
        <x:v>EV000812</x:v>
      </x:c>
      <x:c r="Q410" s="8" t="n">
        <x:v>46300.276666666665</x:v>
      </x:c>
      <x:c r="R410" s="2" t="str">
        <x:v>SCH01</x:v>
      </x:c>
      <x:c r="S410" s="9" t="n">
        <x:v>25.285</x:v>
      </x:c>
      <x:c r="T410" s="9" t="n">
        <x:v>51.51</x:v>
      </x:c>
      <x:c r="U410" s="2" t="str">
        <x:v>SCHOOL_RECEIVER_01</x:v>
      </x:c>
      <x:c r="V410" s="2" t="str">
        <x:v>School staff receipt</x:v>
      </x:c>
      <x:c r="W410" s="2" t="str">
        <x:v>Completed transport</x:v>
      </x:c>
      <x:c r="X410" s="2" t="str">
        <x:v>QR</x:v>
      </x:c>
      <x:c r="Y410" s="2" t="str">
        <x:v>Online</x:v>
      </x:c>
      <x:c r="Z410" s="2" t="str">
        <x:v>Synced</x:v>
      </x:c>
      <x:c r="AA410" s="2"/>
      <x:c r="AB410" s="2"/>
      <x:c r="AC410" s="10" t="n">
        <x:f>IF(OR(K410="",Q410=""),"",ROUND((Q410-K410)*1440,2))</x:f>
        <x:v>35</x:v>
      </x:c>
    </x:row>
    <x:row r="411" ht="21" customHeight="1">
      <x:c r="A411" s="2" t="str">
        <x:v>LN00410</x:v>
      </x:c>
      <x:c r="B411" s="2" t="str">
        <x:v>T20261005-1-3</x:v>
      </x:c>
      <x:c r="C411" s="7" t="n">
        <x:v>46300</x:v>
      </x:c>
      <x:c r="D411" s="2" t="str">
        <x:v>BUS003</x:v>
      </x:c>
      <x:c r="E411" s="2" t="str">
        <x:v>ST090</x:v>
      </x:c>
      <x:c r="F411" s="2" t="n">
        <x:v>1</x:v>
      </x:c>
      <x:c r="G411" s="2" t="str">
        <x:v>Junior</x:v>
      </x:c>
      <x:c r="H411" s="2" t="str">
        <x:v>Pickup</x:v>
      </x:c>
      <x:c r="I411" s="2" t="str">
        <x:v>R3S1</x:v>
      </x:c>
      <x:c r="J411" s="2" t="str">
        <x:v>EV000813</x:v>
      </x:c>
      <x:c r="K411" s="8" t="n">
        <x:v>46300.242673611116</x:v>
      </x:c>
      <x:c r="L411" s="2" t="str">
        <x:v>R3S1</x:v>
      </x:c>
      <x:c r="M411" s="9" t="n">
        <x:v>25.289</x:v>
      </x:c>
      <x:c r="N411" s="9" t="n">
        <x:v>51.507</x:v>
      </x:c>
      <x:c r="O411" s="2" t="str">
        <x:v>Valid</x:v>
      </x:c>
      <x:c r="P411" s="2" t="str">
        <x:v>EV000814</x:v>
      </x:c>
      <x:c r="Q411" s="8" t="n">
        <x:v>46300.27670138889</x:v>
      </x:c>
      <x:c r="R411" s="2" t="str">
        <x:v>SCH01</x:v>
      </x:c>
      <x:c r="S411" s="9" t="n">
        <x:v>25.285</x:v>
      </x:c>
      <x:c r="T411" s="9" t="n">
        <x:v>51.51</x:v>
      </x:c>
      <x:c r="U411" s="2" t="str">
        <x:v>SCHOOL_RECEIVER_01</x:v>
      </x:c>
      <x:c r="V411" s="2" t="str">
        <x:v>School staff receipt</x:v>
      </x:c>
      <x:c r="W411" s="2" t="str">
        <x:v>Completed transport</x:v>
      </x:c>
      <x:c r="X411" s="2" t="str">
        <x:v>QR</x:v>
      </x:c>
      <x:c r="Y411" s="2" t="str">
        <x:v>Online</x:v>
      </x:c>
      <x:c r="Z411" s="2" t="str">
        <x:v>Synced</x:v>
      </x:c>
      <x:c r="AA411" s="2"/>
      <x:c r="AB411" s="2"/>
      <x:c r="AC411" s="10" t="n">
        <x:f>IF(OR(K411="",Q411=""),"",ROUND((Q411-K411)*1440,2))</x:f>
        <x:v>49</x:v>
      </x:c>
    </x:row>
    <x:row r="412" ht="21" customHeight="1">
      <x:c r="A412" s="2" t="str">
        <x:v>LN00411</x:v>
      </x:c>
      <x:c r="B412" s="2" t="str">
        <x:v>T20261005-1-3</x:v>
      </x:c>
      <x:c r="C412" s="7" t="n">
        <x:v>46300</x:v>
      </x:c>
      <x:c r="D412" s="2" t="str">
        <x:v>BUS003</x:v>
      </x:c>
      <x:c r="E412" s="2" t="str">
        <x:v>ST091</x:v>
      </x:c>
      <x:c r="F412" s="2" t="n">
        <x:v>1</x:v>
      </x:c>
      <x:c r="G412" s="2" t="str">
        <x:v>Senior</x:v>
      </x:c>
      <x:c r="H412" s="2" t="str">
        <x:v>Pickup</x:v>
      </x:c>
      <x:c r="I412" s="2" t="str">
        <x:v>R3S2</x:v>
      </x:c>
      <x:c r="J412" s="2" t="str">
        <x:v>EV000815</x:v>
      </x:c>
      <x:c r="K412" s="8" t="n">
        <x:v>46300.24722222222</x:v>
      </x:c>
      <x:c r="L412" s="2" t="str">
        <x:v>R3S2</x:v>
      </x:c>
      <x:c r="M412" s="9" t="n">
        <x:v>25.291000000000004</x:v>
      </x:c>
      <x:c r="N412" s="9" t="n">
        <x:v>51.51</x:v>
      </x:c>
      <x:c r="O412" s="2" t="str">
        <x:v>Valid</x:v>
      </x:c>
      <x:c r="P412" s="2" t="str">
        <x:v>EV000816</x:v>
      </x:c>
      <x:c r="Q412" s="8" t="n">
        <x:v>46300.27673611111</x:v>
      </x:c>
      <x:c r="R412" s="2" t="str">
        <x:v>SCH01</x:v>
      </x:c>
      <x:c r="S412" s="9" t="n">
        <x:v>25.285</x:v>
      </x:c>
      <x:c r="T412" s="9" t="n">
        <x:v>51.51</x:v>
      </x:c>
      <x:c r="U412" s="2" t="str">
        <x:v>SCHOOL_RECEIVER_01</x:v>
      </x:c>
      <x:c r="V412" s="2" t="str">
        <x:v>School staff receipt</x:v>
      </x:c>
      <x:c r="W412" s="2" t="str">
        <x:v>Completed transport</x:v>
      </x:c>
      <x:c r="X412" s="2" t="str">
        <x:v>QR</x:v>
      </x:c>
      <x:c r="Y412" s="2" t="str">
        <x:v>Online</x:v>
      </x:c>
      <x:c r="Z412" s="2" t="str">
        <x:v>Synced</x:v>
      </x:c>
      <x:c r="AA412" s="2"/>
      <x:c r="AB412" s="2"/>
      <x:c r="AC412" s="10" t="n">
        <x:f>IF(OR(K412="",Q412=""),"",ROUND((Q412-K412)*1440,2))</x:f>
        <x:v>42.5</x:v>
      </x:c>
    </x:row>
    <x:row r="413" ht="21" customHeight="1">
      <x:c r="A413" s="2" t="str">
        <x:v>LN00412</x:v>
      </x:c>
      <x:c r="B413" s="2" t="str">
        <x:v>T20261005-1-3</x:v>
      </x:c>
      <x:c r="C413" s="7" t="n">
        <x:v>46300</x:v>
      </x:c>
      <x:c r="D413" s="2" t="str">
        <x:v>BUS003</x:v>
      </x:c>
      <x:c r="E413" s="2" t="str">
        <x:v>ST092</x:v>
      </x:c>
      <x:c r="F413" s="2" t="n">
        <x:v>1</x:v>
      </x:c>
      <x:c r="G413" s="2" t="str">
        <x:v>Senior</x:v>
      </x:c>
      <x:c r="H413" s="2" t="str">
        <x:v>Pickup</x:v>
      </x:c>
      <x:c r="I413" s="2" t="str">
        <x:v>R3S3</x:v>
      </x:c>
      <x:c r="J413" s="2" t="str">
        <x:v>EV000817</x:v>
      </x:c>
      <x:c r="K413" s="8" t="n">
        <x:v>46300.252118055556</x:v>
      </x:c>
      <x:c r="L413" s="2" t="str">
        <x:v>R3S3</x:v>
      </x:c>
      <x:c r="M413" s="9" t="n">
        <x:v>25.293000000000003</x:v>
      </x:c>
      <x:c r="N413" s="9" t="n">
        <x:v>51.513</x:v>
      </x:c>
      <x:c r="O413" s="2" t="str">
        <x:v>Valid</x:v>
      </x:c>
      <x:c r="P413" s="2" t="str">
        <x:v>EV000818</x:v>
      </x:c>
      <x:c r="Q413" s="8" t="n">
        <x:v>46300.276770833334</x:v>
      </x:c>
      <x:c r="R413" s="2" t="str">
        <x:v>SCH01</x:v>
      </x:c>
      <x:c r="S413" s="9" t="n">
        <x:v>25.285</x:v>
      </x:c>
      <x:c r="T413" s="9" t="n">
        <x:v>51.51</x:v>
      </x:c>
      <x:c r="U413" s="2" t="str">
        <x:v>SCHOOL_RECEIVER_01</x:v>
      </x:c>
      <x:c r="V413" s="2" t="str">
        <x:v>School staff receipt</x:v>
      </x:c>
      <x:c r="W413" s="2" t="str">
        <x:v>Completed transport</x:v>
      </x:c>
      <x:c r="X413" s="2" t="str">
        <x:v>QR</x:v>
      </x:c>
      <x:c r="Y413" s="2" t="str">
        <x:v>Online</x:v>
      </x:c>
      <x:c r="Z413" s="2" t="str">
        <x:v>Synced</x:v>
      </x:c>
      <x:c r="AA413" s="2"/>
      <x:c r="AB413" s="2"/>
      <x:c r="AC413" s="10" t="n">
        <x:f>IF(OR(K413="",Q413=""),"",ROUND((Q413-K413)*1440,2))</x:f>
        <x:v>35.5</x:v>
      </x:c>
    </x:row>
    <x:row r="414" ht="21" customHeight="1">
      <x:c r="A414" s="2" t="str">
        <x:v>LN00413</x:v>
      </x:c>
      <x:c r="B414" s="2" t="str">
        <x:v>T20261005-1-3</x:v>
      </x:c>
      <x:c r="C414" s="7" t="n">
        <x:v>46300</x:v>
      </x:c>
      <x:c r="D414" s="2" t="str">
        <x:v>BUS003</x:v>
      </x:c>
      <x:c r="E414" s="2" t="str">
        <x:v>ST093</x:v>
      </x:c>
      <x:c r="F414" s="2" t="n">
        <x:v>1</x:v>
      </x:c>
      <x:c r="G414" s="2" t="str">
        <x:v>Senior</x:v>
      </x:c>
      <x:c r="H414" s="2" t="str">
        <x:v>Pickup</x:v>
      </x:c>
      <x:c r="I414" s="2" t="str">
        <x:v>R3S1</x:v>
      </x:c>
      <x:c r="J414" s="2" t="str">
        <x:v>EV000819</x:v>
      </x:c>
      <x:c r="K414" s="8" t="n">
        <x:v>46300.24243055556</x:v>
      </x:c>
      <x:c r="L414" s="2" t="str">
        <x:v>R3S1</x:v>
      </x:c>
      <x:c r="M414" s="9" t="n">
        <x:v>25.289</x:v>
      </x:c>
      <x:c r="N414" s="9" t="n">
        <x:v>51.507</x:v>
      </x:c>
      <x:c r="O414" s="2" t="str">
        <x:v>Valid</x:v>
      </x:c>
      <x:c r="P414" s="2" t="str">
        <x:v>EV000820</x:v>
      </x:c>
      <x:c r="Q414" s="8" t="n">
        <x:v>46300.27680555556</x:v>
      </x:c>
      <x:c r="R414" s="2" t="str">
        <x:v>SCH01</x:v>
      </x:c>
      <x:c r="S414" s="9" t="n">
        <x:v>25.285</x:v>
      </x:c>
      <x:c r="T414" s="9" t="n">
        <x:v>51.51</x:v>
      </x:c>
      <x:c r="U414" s="2" t="str">
        <x:v>SCHOOL_RECEIVER_01</x:v>
      </x:c>
      <x:c r="V414" s="2" t="str">
        <x:v>School staff receipt</x:v>
      </x:c>
      <x:c r="W414" s="2" t="str">
        <x:v>Completed transport</x:v>
      </x:c>
      <x:c r="X414" s="2" t="str">
        <x:v>QR</x:v>
      </x:c>
      <x:c r="Y414" s="2" t="str">
        <x:v>Online</x:v>
      </x:c>
      <x:c r="Z414" s="2" t="str">
        <x:v>Synced</x:v>
      </x:c>
      <x:c r="AA414" s="2"/>
      <x:c r="AB414" s="2"/>
      <x:c r="AC414" s="10" t="n">
        <x:f>IF(OR(K414="",Q414=""),"",ROUND((Q414-K414)*1440,2))</x:f>
        <x:v>49.5</x:v>
      </x:c>
    </x:row>
    <x:row r="415" ht="21" customHeight="1">
      <x:c r="A415" s="2" t="str">
        <x:v>LN00414</x:v>
      </x:c>
      <x:c r="B415" s="2" t="str">
        <x:v>T20261005-1-3</x:v>
      </x:c>
      <x:c r="C415" s="7" t="n">
        <x:v>46300</x:v>
      </x:c>
      <x:c r="D415" s="2" t="str">
        <x:v>BUS003</x:v>
      </x:c>
      <x:c r="E415" s="2" t="str">
        <x:v>ST094</x:v>
      </x:c>
      <x:c r="F415" s="2" t="n">
        <x:v>1</x:v>
      </x:c>
      <x:c r="G415" s="2" t="str">
        <x:v>Senior</x:v>
      </x:c>
      <x:c r="H415" s="2" t="str">
        <x:v>Pickup</x:v>
      </x:c>
      <x:c r="I415" s="2" t="str">
        <x:v>R3S2</x:v>
      </x:c>
      <x:c r="J415" s="2" t="str">
        <x:v>EV000821</x:v>
      </x:c>
      <x:c r="K415" s="8" t="n">
        <x:v>46300.24732638889</x:v>
      </x:c>
      <x:c r="L415" s="2" t="str">
        <x:v>R3S2</x:v>
      </x:c>
      <x:c r="M415" s="9" t="n">
        <x:v>25.291000000000004</x:v>
      </x:c>
      <x:c r="N415" s="9" t="n">
        <x:v>51.51</x:v>
      </x:c>
      <x:c r="O415" s="2" t="str">
        <x:v>Valid</x:v>
      </x:c>
      <x:c r="P415" s="2" t="str">
        <x:v>EV000822</x:v>
      </x:c>
      <x:c r="Q415" s="8" t="n">
        <x:v>46300.27684027777</x:v>
      </x:c>
      <x:c r="R415" s="2" t="str">
        <x:v>SCH01</x:v>
      </x:c>
      <x:c r="S415" s="9" t="n">
        <x:v>25.285</x:v>
      </x:c>
      <x:c r="T415" s="9" t="n">
        <x:v>51.51</x:v>
      </x:c>
      <x:c r="U415" s="2" t="str">
        <x:v>SCHOOL_RECEIVER_01</x:v>
      </x:c>
      <x:c r="V415" s="2" t="str">
        <x:v>School staff receipt</x:v>
      </x:c>
      <x:c r="W415" s="2" t="str">
        <x:v>Completed transport</x:v>
      </x:c>
      <x:c r="X415" s="2" t="str">
        <x:v>QR</x:v>
      </x:c>
      <x:c r="Y415" s="2" t="str">
        <x:v>Online</x:v>
      </x:c>
      <x:c r="Z415" s="2" t="str">
        <x:v>Synced</x:v>
      </x:c>
      <x:c r="AA415" s="2"/>
      <x:c r="AB415" s="2"/>
      <x:c r="AC415" s="10" t="n">
        <x:f>IF(OR(K415="",Q415=""),"",ROUND((Q415-K415)*1440,2))</x:f>
        <x:v>42.5</x:v>
      </x:c>
    </x:row>
    <x:row r="416" ht="21" customHeight="1">
      <x:c r="A416" s="2" t="str">
        <x:v>LN00415</x:v>
      </x:c>
      <x:c r="B416" s="2" t="str">
        <x:v>T20261005-1-3</x:v>
      </x:c>
      <x:c r="C416" s="7" t="n">
        <x:v>46300</x:v>
      </x:c>
      <x:c r="D416" s="2" t="str">
        <x:v>BUS003</x:v>
      </x:c>
      <x:c r="E416" s="2" t="str">
        <x:v>ST095</x:v>
      </x:c>
      <x:c r="F416" s="2" t="n">
        <x:v>1</x:v>
      </x:c>
      <x:c r="G416" s="2" t="str">
        <x:v>Senior</x:v>
      </x:c>
      <x:c r="H416" s="2" t="str">
        <x:v>Pickup</x:v>
      </x:c>
      <x:c r="I416" s="2" t="str">
        <x:v>R3S3</x:v>
      </x:c>
      <x:c r="J416" s="2" t="str">
        <x:v>EV000823</x:v>
      </x:c>
      <x:c r="K416" s="8" t="n">
        <x:v>46300.252222222225</x:v>
      </x:c>
      <x:c r="L416" s="2" t="str">
        <x:v>R3S3</x:v>
      </x:c>
      <x:c r="M416" s="9" t="n">
        <x:v>25.293000000000003</x:v>
      </x:c>
      <x:c r="N416" s="9" t="n">
        <x:v>51.513</x:v>
      </x:c>
      <x:c r="O416" s="2" t="str">
        <x:v>Valid</x:v>
      </x:c>
      <x:c r="P416" s="2" t="str">
        <x:v>EV000824</x:v>
      </x:c>
      <x:c r="Q416" s="8" t="n">
        <x:v>46300.276874999996</x:v>
      </x:c>
      <x:c r="R416" s="2" t="str">
        <x:v>SCH01</x:v>
      </x:c>
      <x:c r="S416" s="9" t="n">
        <x:v>25.285</x:v>
      </x:c>
      <x:c r="T416" s="9" t="n">
        <x:v>51.51</x:v>
      </x:c>
      <x:c r="U416" s="2" t="str">
        <x:v>SCHOOL_RECEIVER_01</x:v>
      </x:c>
      <x:c r="V416" s="2" t="str">
        <x:v>School staff receipt</x:v>
      </x:c>
      <x:c r="W416" s="2" t="str">
        <x:v>Completed transport</x:v>
      </x:c>
      <x:c r="X416" s="2" t="str">
        <x:v>QR</x:v>
      </x:c>
      <x:c r="Y416" s="2" t="str">
        <x:v>Online</x:v>
      </x:c>
      <x:c r="Z416" s="2" t="str">
        <x:v>Synced</x:v>
      </x:c>
      <x:c r="AA416" s="2"/>
      <x:c r="AB416" s="2"/>
      <x:c r="AC416" s="10" t="n">
        <x:f>IF(OR(K416="",Q416=""),"",ROUND((Q416-K416)*1440,2))</x:f>
        <x:v>35.5</x:v>
      </x:c>
    </x:row>
    <x:row r="417" ht="21" customHeight="1">
      <x:c r="A417" s="2" t="str">
        <x:v>LN00416</x:v>
      </x:c>
      <x:c r="B417" s="2" t="str">
        <x:v>T20261005-1-3</x:v>
      </x:c>
      <x:c r="C417" s="7" t="n">
        <x:v>46300</x:v>
      </x:c>
      <x:c r="D417" s="2" t="str">
        <x:v>BUS003</x:v>
      </x:c>
      <x:c r="E417" s="2" t="str">
        <x:v>ST096</x:v>
      </x:c>
      <x:c r="F417" s="2" t="n">
        <x:v>1</x:v>
      </x:c>
      <x:c r="G417" s="2" t="str">
        <x:v>Senior</x:v>
      </x:c>
      <x:c r="H417" s="2" t="str">
        <x:v>Pickup</x:v>
      </x:c>
      <x:c r="I417" s="2" t="str">
        <x:v>R3S1</x:v>
      </x:c>
      <x:c r="J417" s="2" t="str">
        <x:v>EV000825</x:v>
      </x:c>
      <x:c r="K417" s="8" t="n">
        <x:v>46300.24253472222</x:v>
      </x:c>
      <x:c r="L417" s="2" t="str">
        <x:v>R3S1</x:v>
      </x:c>
      <x:c r="M417" s="9" t="n">
        <x:v>25.289</x:v>
      </x:c>
      <x:c r="N417" s="9" t="n">
        <x:v>51.507</x:v>
      </x:c>
      <x:c r="O417" s="2" t="str">
        <x:v>Valid</x:v>
      </x:c>
      <x:c r="P417" s="2" t="str">
        <x:v>EV000826</x:v>
      </x:c>
      <x:c r="Q417" s="8" t="n">
        <x:v>46300.27690972222</x:v>
      </x:c>
      <x:c r="R417" s="2" t="str">
        <x:v>SCH01</x:v>
      </x:c>
      <x:c r="S417" s="9" t="n">
        <x:v>25.285</x:v>
      </x:c>
      <x:c r="T417" s="9" t="n">
        <x:v>51.51</x:v>
      </x:c>
      <x:c r="U417" s="2" t="str">
        <x:v>SCHOOL_RECEIVER_01</x:v>
      </x:c>
      <x:c r="V417" s="2" t="str">
        <x:v>School staff receipt</x:v>
      </x:c>
      <x:c r="W417" s="2" t="str">
        <x:v>Completed transport</x:v>
      </x:c>
      <x:c r="X417" s="2" t="str">
        <x:v>QR</x:v>
      </x:c>
      <x:c r="Y417" s="2" t="str">
        <x:v>Online</x:v>
      </x:c>
      <x:c r="Z417" s="2" t="str">
        <x:v>Synced</x:v>
      </x:c>
      <x:c r="AA417" s="2"/>
      <x:c r="AB417" s="2"/>
      <x:c r="AC417" s="10" t="n">
        <x:f>IF(OR(K417="",Q417=""),"",ROUND((Q417-K417)*1440,2))</x:f>
        <x:v>49.5</x:v>
      </x:c>
    </x:row>
    <x:row r="418" ht="21" customHeight="1">
      <x:c r="A418" s="2" t="str">
        <x:v>LN00417</x:v>
      </x:c>
      <x:c r="B418" s="2" t="str">
        <x:v>T20261005-1-3</x:v>
      </x:c>
      <x:c r="C418" s="7" t="n">
        <x:v>46300</x:v>
      </x:c>
      <x:c r="D418" s="2" t="str">
        <x:v>BUS003</x:v>
      </x:c>
      <x:c r="E418" s="2" t="str">
        <x:v>ST097</x:v>
      </x:c>
      <x:c r="F418" s="2" t="n">
        <x:v>1</x:v>
      </x:c>
      <x:c r="G418" s="2" t="str">
        <x:v>Senior</x:v>
      </x:c>
      <x:c r="H418" s="2" t="str">
        <x:v>Pickup</x:v>
      </x:c>
      <x:c r="I418" s="2" t="str">
        <x:v>R3S2</x:v>
      </x:c>
      <x:c r="J418" s="2" t="str">
        <x:v>EV000827</x:v>
      </x:c>
      <x:c r="K418" s="8" t="n">
        <x:v>46300.24743055555</x:v>
      </x:c>
      <x:c r="L418" s="2" t="str">
        <x:v>R3S2</x:v>
      </x:c>
      <x:c r="M418" s="9" t="n">
        <x:v>25.291000000000004</x:v>
      </x:c>
      <x:c r="N418" s="9" t="n">
        <x:v>51.51</x:v>
      </x:c>
      <x:c r="O418" s="2" t="str">
        <x:v>Valid</x:v>
      </x:c>
      <x:c r="P418" s="2" t="str">
        <x:v>EV000828</x:v>
      </x:c>
      <x:c r="Q418" s="8" t="n">
        <x:v>46300.27694444444</x:v>
      </x:c>
      <x:c r="R418" s="2" t="str">
        <x:v>SCH01</x:v>
      </x:c>
      <x:c r="S418" s="9" t="n">
        <x:v>25.285</x:v>
      </x:c>
      <x:c r="T418" s="9" t="n">
        <x:v>51.51</x:v>
      </x:c>
      <x:c r="U418" s="2" t="str">
        <x:v>SCHOOL_RECEIVER_01</x:v>
      </x:c>
      <x:c r="V418" s="2" t="str">
        <x:v>School staff receipt</x:v>
      </x:c>
      <x:c r="W418" s="2" t="str">
        <x:v>Completed transport</x:v>
      </x:c>
      <x:c r="X418" s="2" t="str">
        <x:v>QR</x:v>
      </x:c>
      <x:c r="Y418" s="2" t="str">
        <x:v>Online</x:v>
      </x:c>
      <x:c r="Z418" s="2" t="str">
        <x:v>Synced</x:v>
      </x:c>
      <x:c r="AA418" s="2"/>
      <x:c r="AB418" s="2"/>
      <x:c r="AC418" s="10" t="n">
        <x:f>IF(OR(K418="",Q418=""),"",ROUND((Q418-K418)*1440,2))</x:f>
        <x:v>42.5</x:v>
      </x:c>
    </x:row>
    <x:row r="419" ht="21" customHeight="1">
      <x:c r="A419" s="2" t="str">
        <x:v>LN00418</x:v>
      </x:c>
      <x:c r="B419" s="2" t="str">
        <x:v>T20261005-1-3</x:v>
      </x:c>
      <x:c r="C419" s="7" t="n">
        <x:v>46300</x:v>
      </x:c>
      <x:c r="D419" s="2" t="str">
        <x:v>BUS003</x:v>
      </x:c>
      <x:c r="E419" s="2" t="str">
        <x:v>ST098</x:v>
      </x:c>
      <x:c r="F419" s="2" t="n">
        <x:v>1</x:v>
      </x:c>
      <x:c r="G419" s="2" t="str">
        <x:v>Senior</x:v>
      </x:c>
      <x:c r="H419" s="2" t="str">
        <x:v>Pickup</x:v>
      </x:c>
      <x:c r="I419" s="2" t="str">
        <x:v>R3S3</x:v>
      </x:c>
      <x:c r="J419" s="2" t="str">
        <x:v>EV000829</x:v>
      </x:c>
      <x:c r="K419" s="8" t="n">
        <x:v>46300.25232638889</x:v>
      </x:c>
      <x:c r="L419" s="2" t="str">
        <x:v>R3S3</x:v>
      </x:c>
      <x:c r="M419" s="9" t="n">
        <x:v>25.293000000000003</x:v>
      </x:c>
      <x:c r="N419" s="9" t="n">
        <x:v>51.513</x:v>
      </x:c>
      <x:c r="O419" s="2" t="str">
        <x:v>Valid</x:v>
      </x:c>
      <x:c r="P419" s="2" t="str">
        <x:v>EV000830</x:v>
      </x:c>
      <x:c r="Q419" s="8" t="n">
        <x:v>46300.276979166665</x:v>
      </x:c>
      <x:c r="R419" s="2" t="str">
        <x:v>SCH01</x:v>
      </x:c>
      <x:c r="S419" s="9" t="n">
        <x:v>25.285</x:v>
      </x:c>
      <x:c r="T419" s="9" t="n">
        <x:v>51.51</x:v>
      </x:c>
      <x:c r="U419" s="2" t="str">
        <x:v>SCHOOL_RECEIVER_01</x:v>
      </x:c>
      <x:c r="V419" s="2" t="str">
        <x:v>School staff receipt</x:v>
      </x:c>
      <x:c r="W419" s="2" t="str">
        <x:v>Completed transport</x:v>
      </x:c>
      <x:c r="X419" s="2" t="str">
        <x:v>QR</x:v>
      </x:c>
      <x:c r="Y419" s="2" t="str">
        <x:v>Online</x:v>
      </x:c>
      <x:c r="Z419" s="2" t="str">
        <x:v>Synced</x:v>
      </x:c>
      <x:c r="AA419" s="2"/>
      <x:c r="AB419" s="2"/>
      <x:c r="AC419" s="10" t="n">
        <x:f>IF(OR(K419="",Q419=""),"",ROUND((Q419-K419)*1440,2))</x:f>
        <x:v>35.5</x:v>
      </x:c>
    </x:row>
    <x:row r="420" ht="21" customHeight="1">
      <x:c r="A420" s="2" t="str">
        <x:v>LN00419</x:v>
      </x:c>
      <x:c r="B420" s="2" t="str">
        <x:v>T20261005-1-3</x:v>
      </x:c>
      <x:c r="C420" s="7" t="n">
        <x:v>46300</x:v>
      </x:c>
      <x:c r="D420" s="2" t="str">
        <x:v>BUS003</x:v>
      </x:c>
      <x:c r="E420" s="2" t="str">
        <x:v>ST099</x:v>
      </x:c>
      <x:c r="F420" s="2" t="n">
        <x:v>1</x:v>
      </x:c>
      <x:c r="G420" s="2" t="str">
        <x:v>Senior</x:v>
      </x:c>
      <x:c r="H420" s="2" t="str">
        <x:v>Pickup</x:v>
      </x:c>
      <x:c r="I420" s="2" t="str">
        <x:v>R3S1</x:v>
      </x:c>
      <x:c r="J420" s="2" t="str">
        <x:v>EV000831</x:v>
      </x:c>
      <x:c r="K420" s="8" t="n">
        <x:v>46300.24263888889</x:v>
      </x:c>
      <x:c r="L420" s="2" t="str">
        <x:v>R3S1</x:v>
      </x:c>
      <x:c r="M420" s="9" t="n">
        <x:v>25.289</x:v>
      </x:c>
      <x:c r="N420" s="9" t="n">
        <x:v>51.507</x:v>
      </x:c>
      <x:c r="O420" s="2" t="str">
        <x:v>Valid</x:v>
      </x:c>
      <x:c r="P420" s="2" t="str">
        <x:v>EV000832</x:v>
      </x:c>
      <x:c r="Q420" s="8" t="n">
        <x:v>46300.27701388889</x:v>
      </x:c>
      <x:c r="R420" s="2" t="str">
        <x:v>SCH01</x:v>
      </x:c>
      <x:c r="S420" s="9" t="n">
        <x:v>25.285</x:v>
      </x:c>
      <x:c r="T420" s="9" t="n">
        <x:v>51.51</x:v>
      </x:c>
      <x:c r="U420" s="2" t="str">
        <x:v>SCHOOL_RECEIVER_01</x:v>
      </x:c>
      <x:c r="V420" s="2" t="str">
        <x:v>School staff receipt</x:v>
      </x:c>
      <x:c r="W420" s="2" t="str">
        <x:v>Completed transport</x:v>
      </x:c>
      <x:c r="X420" s="2" t="str">
        <x:v>QR</x:v>
      </x:c>
      <x:c r="Y420" s="2" t="str">
        <x:v>Online</x:v>
      </x:c>
      <x:c r="Z420" s="2" t="str">
        <x:v>Synced</x:v>
      </x:c>
      <x:c r="AA420" s="2"/>
      <x:c r="AB420" s="2"/>
      <x:c r="AC420" s="10" t="n">
        <x:f>IF(OR(K420="",Q420=""),"",ROUND((Q420-K420)*1440,2))</x:f>
        <x:v>49.5</x:v>
      </x:c>
    </x:row>
    <x:row r="421" ht="21" customHeight="1">
      <x:c r="A421" s="2" t="str">
        <x:v>LN00420</x:v>
      </x:c>
      <x:c r="B421" s="2" t="str">
        <x:v>T20261005-1-3</x:v>
      </x:c>
      <x:c r="C421" s="7" t="n">
        <x:v>46300</x:v>
      </x:c>
      <x:c r="D421" s="2" t="str">
        <x:v>BUS003</x:v>
      </x:c>
      <x:c r="E421" s="2" t="str">
        <x:v>ST100</x:v>
      </x:c>
      <x:c r="F421" s="2" t="n">
        <x:v>1</x:v>
      </x:c>
      <x:c r="G421" s="2" t="str">
        <x:v>Senior</x:v>
      </x:c>
      <x:c r="H421" s="2" t="str">
        <x:v>Pickup</x:v>
      </x:c>
      <x:c r="I421" s="2" t="str">
        <x:v>R3S2</x:v>
      </x:c>
      <x:c r="J421" s="2" t="str">
        <x:v>EV000833</x:v>
      </x:c>
      <x:c r="K421" s="8" t="n">
        <x:v>46300.24753472222</x:v>
      </x:c>
      <x:c r="L421" s="2" t="str">
        <x:v>R3S2</x:v>
      </x:c>
      <x:c r="M421" s="9" t="n">
        <x:v>25.291000000000004</x:v>
      </x:c>
      <x:c r="N421" s="9" t="n">
        <x:v>51.51</x:v>
      </x:c>
      <x:c r="O421" s="2" t="str">
        <x:v>Valid</x:v>
      </x:c>
      <x:c r="P421" s="2" t="str">
        <x:v>EV000834</x:v>
      </x:c>
      <x:c r="Q421" s="8" t="n">
        <x:v>46300.27704861111</x:v>
      </x:c>
      <x:c r="R421" s="2" t="str">
        <x:v>SCH01</x:v>
      </x:c>
      <x:c r="S421" s="9" t="n">
        <x:v>25.285</x:v>
      </x:c>
      <x:c r="T421" s="9" t="n">
        <x:v>51.51</x:v>
      </x:c>
      <x:c r="U421" s="2" t="str">
        <x:v>SCHOOL_RECEIVER_01</x:v>
      </x:c>
      <x:c r="V421" s="2" t="str">
        <x:v>School staff receipt</x:v>
      </x:c>
      <x:c r="W421" s="2" t="str">
        <x:v>Completed transport</x:v>
      </x:c>
      <x:c r="X421" s="2" t="str">
        <x:v>QR</x:v>
      </x:c>
      <x:c r="Y421" s="2" t="str">
        <x:v>Online</x:v>
      </x:c>
      <x:c r="Z421" s="2" t="str">
        <x:v>Synced</x:v>
      </x:c>
      <x:c r="AA421" s="2"/>
      <x:c r="AB421" s="2"/>
      <x:c r="AC421" s="10" t="n">
        <x:f>IF(OR(K421="",Q421=""),"",ROUND((Q421-K421)*1440,2))</x:f>
        <x:v>42.5</x:v>
      </x:c>
    </x:row>
    <x:row r="422" ht="21" customHeight="1">
      <x:c r="A422" s="2" t="str">
        <x:v>LN00421</x:v>
      </x:c>
      <x:c r="B422" s="2" t="str">
        <x:v>T20261005-2-3</x:v>
      </x:c>
      <x:c r="C422" s="7" t="n">
        <x:v>46300</x:v>
      </x:c>
      <x:c r="D422" s="2" t="str">
        <x:v>BUS003</x:v>
      </x:c>
      <x:c r="E422" s="2" t="str">
        <x:v>ST081</x:v>
      </x:c>
      <x:c r="F422" s="2" t="n">
        <x:v>1</x:v>
      </x:c>
      <x:c r="G422" s="2" t="str">
        <x:v>Junior</x:v>
      </x:c>
      <x:c r="H422" s="2" t="str">
        <x:v>Drop-off</x:v>
      </x:c>
      <x:c r="I422" s="2" t="str">
        <x:v>R3S1</x:v>
      </x:c>
      <x:c r="J422" s="2" t="str">
        <x:v>EV000835</x:v>
      </x:c>
      <x:c r="K422" s="8" t="n">
        <x:v>46300.4375</x:v>
      </x:c>
      <x:c r="L422" s="2" t="str">
        <x:v>SCH01</x:v>
      </x:c>
      <x:c r="M422" s="9" t="n">
        <x:v>25.285</x:v>
      </x:c>
      <x:c r="N422" s="9" t="n">
        <x:v>51.51</x:v>
      </x:c>
      <x:c r="O422" s="2" t="str">
        <x:v>Valid</x:v>
      </x:c>
      <x:c r="P422" s="2" t="str">
        <x:v>EV000836</x:v>
      </x:c>
      <x:c r="Q422" s="8" t="n">
        <x:v>46300.44930555555</x:v>
      </x:c>
      <x:c r="R422" s="2" t="str">
        <x:v>R3S1</x:v>
      </x:c>
      <x:c r="S422" s="9" t="n">
        <x:v>25.289</x:v>
      </x:c>
      <x:c r="T422" s="9" t="n">
        <x:v>51.507</x:v>
      </x:c>
      <x:c r="U422" s="2" t="str">
        <x:v>G081</x:v>
      </x:c>
      <x:c r="V422" s="2" t="str">
        <x:v>Authorized guardian release</x:v>
      </x:c>
      <x:c r="W422" s="2" t="str">
        <x:v>Completed transport</x:v>
      </x:c>
      <x:c r="X422" s="2" t="str">
        <x:v>QR</x:v>
      </x:c>
      <x:c r="Y422" s="2" t="str">
        <x:v>Online</x:v>
      </x:c>
      <x:c r="Z422" s="2" t="str">
        <x:v>Synced</x:v>
      </x:c>
      <x:c r="AA422" s="2"/>
      <x:c r="AB422" s="2"/>
      <x:c r="AC422" s="10" t="n">
        <x:f>IF(OR(K422="",Q422=""),"",ROUND((Q422-K422)*1440,2))</x:f>
        <x:v>17</x:v>
      </x:c>
    </x:row>
    <x:row r="423" ht="21" customHeight="1">
      <x:c r="A423" s="2" t="str">
        <x:v>LN00422</x:v>
      </x:c>
      <x:c r="B423" s="2" t="str">
        <x:v>T20261005-2-3</x:v>
      </x:c>
      <x:c r="C423" s="7" t="n">
        <x:v>46300</x:v>
      </x:c>
      <x:c r="D423" s="2" t="str">
        <x:v>BUS003</x:v>
      </x:c>
      <x:c r="E423" s="2" t="str">
        <x:v>ST082</x:v>
      </x:c>
      <x:c r="F423" s="2" t="n">
        <x:v>1</x:v>
      </x:c>
      <x:c r="G423" s="2" t="str">
        <x:v>Junior</x:v>
      </x:c>
      <x:c r="H423" s="2" t="str">
        <x:v>Drop-off</x:v>
      </x:c>
      <x:c r="I423" s="2" t="str">
        <x:v>R3S2</x:v>
      </x:c>
      <x:c r="J423" s="2" t="str">
        <x:v>EV000837</x:v>
      </x:c>
      <x:c r="K423" s="8" t="n">
        <x:v>46300.43753472222</x:v>
      </x:c>
      <x:c r="L423" s="2" t="str">
        <x:v>SCH01</x:v>
      </x:c>
      <x:c r="M423" s="9" t="n">
        <x:v>25.285</x:v>
      </x:c>
      <x:c r="N423" s="9" t="n">
        <x:v>51.51</x:v>
      </x:c>
      <x:c r="O423" s="2" t="str">
        <x:v>Valid</x:v>
      </x:c>
      <x:c r="P423" s="2" t="str">
        <x:v>EV000838</x:v>
      </x:c>
      <x:c r="Q423" s="8" t="n">
        <x:v>46300.45350694445</x:v>
      </x:c>
      <x:c r="R423" s="2" t="str">
        <x:v>R3S2</x:v>
      </x:c>
      <x:c r="S423" s="9" t="n">
        <x:v>25.291000000000004</x:v>
      </x:c>
      <x:c r="T423" s="9" t="n">
        <x:v>51.51</x:v>
      </x:c>
      <x:c r="U423" s="2" t="str">
        <x:v>G082</x:v>
      </x:c>
      <x:c r="V423" s="2" t="str">
        <x:v>Authorized guardian release</x:v>
      </x:c>
      <x:c r="W423" s="2" t="str">
        <x:v>Completed transport</x:v>
      </x:c>
      <x:c r="X423" s="2" t="str">
        <x:v>QR</x:v>
      </x:c>
      <x:c r="Y423" s="2" t="str">
        <x:v>Online</x:v>
      </x:c>
      <x:c r="Z423" s="2" t="str">
        <x:v>Synced</x:v>
      </x:c>
      <x:c r="AA423" s="2"/>
      <x:c r="AB423" s="2"/>
      <x:c r="AC423" s="10" t="n">
        <x:f>IF(OR(K423="",Q423=""),"",ROUND((Q423-K423)*1440,2))</x:f>
        <x:v>23</x:v>
      </x:c>
    </x:row>
    <x:row r="424" ht="21" customHeight="1">
      <x:c r="A424" s="2" t="str">
        <x:v>LN00423</x:v>
      </x:c>
      <x:c r="B424" s="2" t="str">
        <x:v>T20261005-2-3</x:v>
      </x:c>
      <x:c r="C424" s="7" t="n">
        <x:v>46300</x:v>
      </x:c>
      <x:c r="D424" s="2" t="str">
        <x:v>BUS003</x:v>
      </x:c>
      <x:c r="E424" s="2" t="str">
        <x:v>ST083</x:v>
      </x:c>
      <x:c r="F424" s="2" t="n">
        <x:v>1</x:v>
      </x:c>
      <x:c r="G424" s="2" t="str">
        <x:v>Junior</x:v>
      </x:c>
      <x:c r="H424" s="2" t="str">
        <x:v>Drop-off</x:v>
      </x:c>
      <x:c r="I424" s="2" t="str">
        <x:v>R3S3</x:v>
      </x:c>
      <x:c r="J424" s="2" t="str">
        <x:v>EV000839</x:v>
      </x:c>
      <x:c r="K424" s="8" t="n">
        <x:v>46300.437569444446</x:v>
      </x:c>
      <x:c r="L424" s="2" t="str">
        <x:v>SCH01</x:v>
      </x:c>
      <x:c r="M424" s="9" t="n">
        <x:v>25.285</x:v>
      </x:c>
      <x:c r="N424" s="9" t="n">
        <x:v>51.51</x:v>
      </x:c>
      <x:c r="O424" s="2" t="str">
        <x:v>Valid</x:v>
      </x:c>
      <x:c r="P424" s="2" t="str">
        <x:v>EV000840</x:v>
      </x:c>
      <x:c r="Q424" s="8" t="n">
        <x:v>46300.457708333335</x:v>
      </x:c>
      <x:c r="R424" s="2" t="str">
        <x:v>R3S3</x:v>
      </x:c>
      <x:c r="S424" s="9" t="n">
        <x:v>25.293000000000003</x:v>
      </x:c>
      <x:c r="T424" s="9" t="n">
        <x:v>51.513</x:v>
      </x:c>
      <x:c r="U424" s="2" t="str">
        <x:v>G083</x:v>
      </x:c>
      <x:c r="V424" s="2" t="str">
        <x:v>Authorized guardian release</x:v>
      </x:c>
      <x:c r="W424" s="2" t="str">
        <x:v>Completed transport</x:v>
      </x:c>
      <x:c r="X424" s="2" t="str">
        <x:v>QR</x:v>
      </x:c>
      <x:c r="Y424" s="2" t="str">
        <x:v>Online</x:v>
      </x:c>
      <x:c r="Z424" s="2" t="str">
        <x:v>Synced</x:v>
      </x:c>
      <x:c r="AA424" s="2"/>
      <x:c r="AB424" s="2"/>
      <x:c r="AC424" s="10" t="n">
        <x:f>IF(OR(K424="",Q424=""),"",ROUND((Q424-K424)*1440,2))</x:f>
        <x:v>29</x:v>
      </x:c>
    </x:row>
    <x:row r="425" ht="21" customHeight="1">
      <x:c r="A425" s="2" t="str">
        <x:v>LN00424</x:v>
      </x:c>
      <x:c r="B425" s="2" t="str">
        <x:v>T20261005-2-3</x:v>
      </x:c>
      <x:c r="C425" s="7" t="n">
        <x:v>46300</x:v>
      </x:c>
      <x:c r="D425" s="2" t="str">
        <x:v>BUS003</x:v>
      </x:c>
      <x:c r="E425" s="2" t="str">
        <x:v>ST084</x:v>
      </x:c>
      <x:c r="F425" s="2" t="n">
        <x:v>1</x:v>
      </x:c>
      <x:c r="G425" s="2" t="str">
        <x:v>Junior</x:v>
      </x:c>
      <x:c r="H425" s="2" t="str">
        <x:v>Drop-off</x:v>
      </x:c>
      <x:c r="I425" s="2" t="str">
        <x:v>R3S1</x:v>
      </x:c>
      <x:c r="J425" s="2" t="str">
        <x:v>EV000841</x:v>
      </x:c>
      <x:c r="K425" s="8" t="n">
        <x:v>46300.43760416667</x:v>
      </x:c>
      <x:c r="L425" s="2" t="str">
        <x:v>SCH01</x:v>
      </x:c>
      <x:c r="M425" s="9" t="n">
        <x:v>25.285</x:v>
      </x:c>
      <x:c r="N425" s="9" t="n">
        <x:v>51.51</x:v>
      </x:c>
      <x:c r="O425" s="2" t="str">
        <x:v>Valid</x:v>
      </x:c>
      <x:c r="P425" s="2" t="str">
        <x:v>EV000842</x:v>
      </x:c>
      <x:c r="Q425" s="8" t="n">
        <x:v>46300.44940972222</x:v>
      </x:c>
      <x:c r="R425" s="2" t="str">
        <x:v>R3S1</x:v>
      </x:c>
      <x:c r="S425" s="9" t="n">
        <x:v>25.289</x:v>
      </x:c>
      <x:c r="T425" s="9" t="n">
        <x:v>51.507</x:v>
      </x:c>
      <x:c r="U425" s="2" t="str">
        <x:v>G084</x:v>
      </x:c>
      <x:c r="V425" s="2" t="str">
        <x:v>Authorized guardian release</x:v>
      </x:c>
      <x:c r="W425" s="2" t="str">
        <x:v>Completed transport</x:v>
      </x:c>
      <x:c r="X425" s="2" t="str">
        <x:v>QR</x:v>
      </x:c>
      <x:c r="Y425" s="2" t="str">
        <x:v>Online</x:v>
      </x:c>
      <x:c r="Z425" s="2" t="str">
        <x:v>Synced</x:v>
      </x:c>
      <x:c r="AA425" s="2"/>
      <x:c r="AB425" s="2"/>
      <x:c r="AC425" s="10" t="n">
        <x:f>IF(OR(K425="",Q425=""),"",ROUND((Q425-K425)*1440,2))</x:f>
        <x:v>17</x:v>
      </x:c>
    </x:row>
    <x:row r="426" ht="21" customHeight="1">
      <x:c r="A426" s="2" t="str">
        <x:v>LN00425</x:v>
      </x:c>
      <x:c r="B426" s="2" t="str">
        <x:v>T20261005-2-3</x:v>
      </x:c>
      <x:c r="C426" s="7" t="n">
        <x:v>46300</x:v>
      </x:c>
      <x:c r="D426" s="2" t="str">
        <x:v>BUS003</x:v>
      </x:c>
      <x:c r="E426" s="2" t="str">
        <x:v>ST085</x:v>
      </x:c>
      <x:c r="F426" s="2" t="n">
        <x:v>1</x:v>
      </x:c>
      <x:c r="G426" s="2" t="str">
        <x:v>Junior</x:v>
      </x:c>
      <x:c r="H426" s="2" t="str">
        <x:v>Drop-off</x:v>
      </x:c>
      <x:c r="I426" s="2" t="str">
        <x:v>R3S2</x:v>
      </x:c>
      <x:c r="J426" s="2" t="str">
        <x:v>EV000843</x:v>
      </x:c>
      <x:c r="K426" s="8" t="n">
        <x:v>46300.43763888889</x:v>
      </x:c>
      <x:c r="L426" s="2" t="str">
        <x:v>SCH01</x:v>
      </x:c>
      <x:c r="M426" s="9" t="n">
        <x:v>25.285</x:v>
      </x:c>
      <x:c r="N426" s="9" t="n">
        <x:v>51.51</x:v>
      </x:c>
      <x:c r="O426" s="2" t="str">
        <x:v>Valid</x:v>
      </x:c>
      <x:c r="P426" s="2" t="str">
        <x:v>EV000844</x:v>
      </x:c>
      <x:c r="Q426" s="8" t="n">
        <x:v>46300.453611111116</x:v>
      </x:c>
      <x:c r="R426" s="2" t="str">
        <x:v>R3S2</x:v>
      </x:c>
      <x:c r="S426" s="9" t="n">
        <x:v>25.291000000000004</x:v>
      </x:c>
      <x:c r="T426" s="9" t="n">
        <x:v>51.51</x:v>
      </x:c>
      <x:c r="U426" s="2" t="str">
        <x:v>G085</x:v>
      </x:c>
      <x:c r="V426" s="2" t="str">
        <x:v>Authorized guardian release</x:v>
      </x:c>
      <x:c r="W426" s="2" t="str">
        <x:v>Completed transport</x:v>
      </x:c>
      <x:c r="X426" s="2" t="str">
        <x:v>QR</x:v>
      </x:c>
      <x:c r="Y426" s="2" t="str">
        <x:v>Online</x:v>
      </x:c>
      <x:c r="Z426" s="2" t="str">
        <x:v>Synced</x:v>
      </x:c>
      <x:c r="AA426" s="2"/>
      <x:c r="AB426" s="2"/>
      <x:c r="AC426" s="10" t="n">
        <x:f>IF(OR(K426="",Q426=""),"",ROUND((Q426-K426)*1440,2))</x:f>
        <x:v>23</x:v>
      </x:c>
    </x:row>
    <x:row r="427" ht="21" customHeight="1">
      <x:c r="A427" s="2" t="str">
        <x:v>LN00426</x:v>
      </x:c>
      <x:c r="B427" s="2" t="str">
        <x:v>T20261005-2-3</x:v>
      </x:c>
      <x:c r="C427" s="7" t="n">
        <x:v>46300</x:v>
      </x:c>
      <x:c r="D427" s="2" t="str">
        <x:v>BUS003</x:v>
      </x:c>
      <x:c r="E427" s="2" t="str">
        <x:v>ST086</x:v>
      </x:c>
      <x:c r="F427" s="2" t="n">
        <x:v>1</x:v>
      </x:c>
      <x:c r="G427" s="2" t="str">
        <x:v>Junior</x:v>
      </x:c>
      <x:c r="H427" s="2" t="str">
        <x:v>Drop-off</x:v>
      </x:c>
      <x:c r="I427" s="2" t="str">
        <x:v>R3S3</x:v>
      </x:c>
      <x:c r="J427" s="2" t="str">
        <x:v>EV000845</x:v>
      </x:c>
      <x:c r="K427" s="8" t="n">
        <x:v>46300.43767361111</x:v>
      </x:c>
      <x:c r="L427" s="2" t="str">
        <x:v>SCH01</x:v>
      </x:c>
      <x:c r="M427" s="9" t="n">
        <x:v>25.285</x:v>
      </x:c>
      <x:c r="N427" s="9" t="n">
        <x:v>51.51</x:v>
      </x:c>
      <x:c r="O427" s="2" t="str">
        <x:v>Valid</x:v>
      </x:c>
      <x:c r="P427" s="2" t="str">
        <x:v>EV000846</x:v>
      </x:c>
      <x:c r="Q427" s="8" t="n">
        <x:v>46300.4578125</x:v>
      </x:c>
      <x:c r="R427" s="2" t="str">
        <x:v>R3S3</x:v>
      </x:c>
      <x:c r="S427" s="9" t="n">
        <x:v>25.293000000000003</x:v>
      </x:c>
      <x:c r="T427" s="9" t="n">
        <x:v>51.513</x:v>
      </x:c>
      <x:c r="U427" s="2" t="str">
        <x:v>G086</x:v>
      </x:c>
      <x:c r="V427" s="2" t="str">
        <x:v>Authorized guardian release</x:v>
      </x:c>
      <x:c r="W427" s="2" t="str">
        <x:v>Completed transport</x:v>
      </x:c>
      <x:c r="X427" s="2" t="str">
        <x:v>QR</x:v>
      </x:c>
      <x:c r="Y427" s="2" t="str">
        <x:v>Online</x:v>
      </x:c>
      <x:c r="Z427" s="2" t="str">
        <x:v>Synced</x:v>
      </x:c>
      <x:c r="AA427" s="2"/>
      <x:c r="AB427" s="2"/>
      <x:c r="AC427" s="10" t="n">
        <x:f>IF(OR(K427="",Q427=""),"",ROUND((Q427-K427)*1440,2))</x:f>
        <x:v>29</x:v>
      </x:c>
    </x:row>
    <x:row r="428" ht="21" customHeight="1">
      <x:c r="A428" s="2" t="str">
        <x:v>LN00427</x:v>
      </x:c>
      <x:c r="B428" s="2" t="str">
        <x:v>T20261005-2-3</x:v>
      </x:c>
      <x:c r="C428" s="7" t="n">
        <x:v>46300</x:v>
      </x:c>
      <x:c r="D428" s="2" t="str">
        <x:v>BUS003</x:v>
      </x:c>
      <x:c r="E428" s="2" t="str">
        <x:v>ST087</x:v>
      </x:c>
      <x:c r="F428" s="2" t="n">
        <x:v>1</x:v>
      </x:c>
      <x:c r="G428" s="2" t="str">
        <x:v>Junior</x:v>
      </x:c>
      <x:c r="H428" s="2" t="str">
        <x:v>Drop-off</x:v>
      </x:c>
      <x:c r="I428" s="2" t="str">
        <x:v>R3S1</x:v>
      </x:c>
      <x:c r="J428" s="2" t="str">
        <x:v>EV000847</x:v>
      </x:c>
      <x:c r="K428" s="8" t="n">
        <x:v>46300.43770833333</x:v>
      </x:c>
      <x:c r="L428" s="2" t="str">
        <x:v>SCH01</x:v>
      </x:c>
      <x:c r="M428" s="9" t="n">
        <x:v>25.285</x:v>
      </x:c>
      <x:c r="N428" s="9" t="n">
        <x:v>51.51</x:v>
      </x:c>
      <x:c r="O428" s="2" t="str">
        <x:v>Valid</x:v>
      </x:c>
      <x:c r="P428" s="2" t="str">
        <x:v>EV000848</x:v>
      </x:c>
      <x:c r="Q428" s="8" t="n">
        <x:v>46300.44951388888</x:v>
      </x:c>
      <x:c r="R428" s="2" t="str">
        <x:v>R3S1</x:v>
      </x:c>
      <x:c r="S428" s="9" t="n">
        <x:v>25.289</x:v>
      </x:c>
      <x:c r="T428" s="9" t="n">
        <x:v>51.507</x:v>
      </x:c>
      <x:c r="U428" s="2" t="str">
        <x:v>G087</x:v>
      </x:c>
      <x:c r="V428" s="2" t="str">
        <x:v>Authorized guardian release</x:v>
      </x:c>
      <x:c r="W428" s="2" t="str">
        <x:v>Completed transport</x:v>
      </x:c>
      <x:c r="X428" s="2" t="str">
        <x:v>QR</x:v>
      </x:c>
      <x:c r="Y428" s="2" t="str">
        <x:v>Online</x:v>
      </x:c>
      <x:c r="Z428" s="2" t="str">
        <x:v>Synced</x:v>
      </x:c>
      <x:c r="AA428" s="2"/>
      <x:c r="AB428" s="2"/>
      <x:c r="AC428" s="10" t="n">
        <x:f>IF(OR(K428="",Q428=""),"",ROUND((Q428-K428)*1440,2))</x:f>
        <x:v>17</x:v>
      </x:c>
    </x:row>
    <x:row r="429" ht="21" customHeight="1">
      <x:c r="A429" s="2" t="str">
        <x:v>LN00428</x:v>
      </x:c>
      <x:c r="B429" s="2" t="str">
        <x:v>T20261005-2-3</x:v>
      </x:c>
      <x:c r="C429" s="7" t="n">
        <x:v>46300</x:v>
      </x:c>
      <x:c r="D429" s="2" t="str">
        <x:v>BUS003</x:v>
      </x:c>
      <x:c r="E429" s="2" t="str">
        <x:v>ST088</x:v>
      </x:c>
      <x:c r="F429" s="2" t="n">
        <x:v>1</x:v>
      </x:c>
      <x:c r="G429" s="2" t="str">
        <x:v>Junior</x:v>
      </x:c>
      <x:c r="H429" s="2" t="str">
        <x:v>Drop-off</x:v>
      </x:c>
      <x:c r="I429" s="2" t="str">
        <x:v>R3S2</x:v>
      </x:c>
      <x:c r="J429" s="2" t="str">
        <x:v>EV000849</x:v>
      </x:c>
      <x:c r="K429" s="8" t="n">
        <x:v>46300.437743055554</x:v>
      </x:c>
      <x:c r="L429" s="2" t="str">
        <x:v>SCH01</x:v>
      </x:c>
      <x:c r="M429" s="9" t="n">
        <x:v>25.285</x:v>
      </x:c>
      <x:c r="N429" s="9" t="n">
        <x:v>51.51</x:v>
      </x:c>
      <x:c r="O429" s="2" t="str">
        <x:v>Valid</x:v>
      </x:c>
      <x:c r="P429" s="2" t="str">
        <x:v>EV000850</x:v>
      </x:c>
      <x:c r="Q429" s="8" t="n">
        <x:v>46300.45371527778</x:v>
      </x:c>
      <x:c r="R429" s="2" t="str">
        <x:v>R3S2</x:v>
      </x:c>
      <x:c r="S429" s="9" t="n">
        <x:v>25.291000000000004</x:v>
      </x:c>
      <x:c r="T429" s="9" t="n">
        <x:v>51.51</x:v>
      </x:c>
      <x:c r="U429" s="2" t="str">
        <x:v>G088</x:v>
      </x:c>
      <x:c r="V429" s="2" t="str">
        <x:v>Authorized guardian release</x:v>
      </x:c>
      <x:c r="W429" s="2" t="str">
        <x:v>Completed transport</x:v>
      </x:c>
      <x:c r="X429" s="2" t="str">
        <x:v>QR</x:v>
      </x:c>
      <x:c r="Y429" s="2" t="str">
        <x:v>Online</x:v>
      </x:c>
      <x:c r="Z429" s="2" t="str">
        <x:v>Synced</x:v>
      </x:c>
      <x:c r="AA429" s="2"/>
      <x:c r="AB429" s="2"/>
      <x:c r="AC429" s="10" t="n">
        <x:f>IF(OR(K429="",Q429=""),"",ROUND((Q429-K429)*1440,2))</x:f>
        <x:v>23</x:v>
      </x:c>
    </x:row>
    <x:row r="430" ht="21" customHeight="1">
      <x:c r="A430" s="2" t="str">
        <x:v>LN00429</x:v>
      </x:c>
      <x:c r="B430" s="2" t="str">
        <x:v>T20261005-2-3</x:v>
      </x:c>
      <x:c r="C430" s="7" t="n">
        <x:v>46300</x:v>
      </x:c>
      <x:c r="D430" s="2" t="str">
        <x:v>BUS003</x:v>
      </x:c>
      <x:c r="E430" s="2" t="str">
        <x:v>ST089</x:v>
      </x:c>
      <x:c r="F430" s="2" t="n">
        <x:v>1</x:v>
      </x:c>
      <x:c r="G430" s="2" t="str">
        <x:v>Junior</x:v>
      </x:c>
      <x:c r="H430" s="2" t="str">
        <x:v>Drop-off</x:v>
      </x:c>
      <x:c r="I430" s="2" t="str">
        <x:v>R3S3</x:v>
      </x:c>
      <x:c r="J430" s="2" t="str">
        <x:v>EV000851</x:v>
      </x:c>
      <x:c r="K430" s="8" t="n">
        <x:v>46300.43777777778</x:v>
      </x:c>
      <x:c r="L430" s="2" t="str">
        <x:v>SCH01</x:v>
      </x:c>
      <x:c r="M430" s="9" t="n">
        <x:v>25.285</x:v>
      </x:c>
      <x:c r="N430" s="9" t="n">
        <x:v>51.51</x:v>
      </x:c>
      <x:c r="O430" s="2" t="str">
        <x:v>Valid</x:v>
      </x:c>
      <x:c r="P430" s="2" t="str">
        <x:v>EV000852</x:v>
      </x:c>
      <x:c r="Q430" s="8" t="n">
        <x:v>46300.457916666666</x:v>
      </x:c>
      <x:c r="R430" s="2" t="str">
        <x:v>R3S3</x:v>
      </x:c>
      <x:c r="S430" s="9" t="n">
        <x:v>25.293000000000003</x:v>
      </x:c>
      <x:c r="T430" s="9" t="n">
        <x:v>51.513</x:v>
      </x:c>
      <x:c r="U430" s="2" t="str">
        <x:v>G089</x:v>
      </x:c>
      <x:c r="V430" s="2" t="str">
        <x:v>Authorized guardian release</x:v>
      </x:c>
      <x:c r="W430" s="2" t="str">
        <x:v>Completed transport</x:v>
      </x:c>
      <x:c r="X430" s="2" t="str">
        <x:v>QR</x:v>
      </x:c>
      <x:c r="Y430" s="2" t="str">
        <x:v>Online</x:v>
      </x:c>
      <x:c r="Z430" s="2" t="str">
        <x:v>Synced</x:v>
      </x:c>
      <x:c r="AA430" s="2"/>
      <x:c r="AB430" s="2"/>
      <x:c r="AC430" s="10" t="n">
        <x:f>IF(OR(K430="",Q430=""),"",ROUND((Q430-K430)*1440,2))</x:f>
        <x:v>29</x:v>
      </x:c>
    </x:row>
    <x:row r="431" ht="21" customHeight="1">
      <x:c r="A431" s="2" t="str">
        <x:v>LN00430</x:v>
      </x:c>
      <x:c r="B431" s="2" t="str">
        <x:v>T20261005-2-3</x:v>
      </x:c>
      <x:c r="C431" s="7" t="n">
        <x:v>46300</x:v>
      </x:c>
      <x:c r="D431" s="2" t="str">
        <x:v>BUS003</x:v>
      </x:c>
      <x:c r="E431" s="2" t="str">
        <x:v>ST090</x:v>
      </x:c>
      <x:c r="F431" s="2" t="n">
        <x:v>1</x:v>
      </x:c>
      <x:c r="G431" s="2" t="str">
        <x:v>Junior</x:v>
      </x:c>
      <x:c r="H431" s="2" t="str">
        <x:v>Drop-off</x:v>
      </x:c>
      <x:c r="I431" s="2" t="str">
        <x:v>R3S1</x:v>
      </x:c>
      <x:c r="J431" s="2" t="str">
        <x:v>EV000853</x:v>
      </x:c>
      <x:c r="K431" s="8" t="n">
        <x:v>46300.4378125</x:v>
      </x:c>
      <x:c r="L431" s="2" t="str">
        <x:v>SCH01</x:v>
      </x:c>
      <x:c r="M431" s="9" t="n">
        <x:v>25.285</x:v>
      </x:c>
      <x:c r="N431" s="9" t="n">
        <x:v>51.51</x:v>
      </x:c>
      <x:c r="O431" s="2" t="str">
        <x:v>Valid</x:v>
      </x:c>
      <x:c r="P431" s="2" t="str">
        <x:v>EV000854</x:v>
      </x:c>
      <x:c r="Q431" s="8" t="n">
        <x:v>46300.44961805555</x:v>
      </x:c>
      <x:c r="R431" s="2" t="str">
        <x:v>R3S1</x:v>
      </x:c>
      <x:c r="S431" s="9" t="n">
        <x:v>25.289</x:v>
      </x:c>
      <x:c r="T431" s="9" t="n">
        <x:v>51.507</x:v>
      </x:c>
      <x:c r="U431" s="2" t="str">
        <x:v>G090</x:v>
      </x:c>
      <x:c r="V431" s="2" t="str">
        <x:v>Authorized guardian release</x:v>
      </x:c>
      <x:c r="W431" s="2" t="str">
        <x:v>Completed transport</x:v>
      </x:c>
      <x:c r="X431" s="2" t="str">
        <x:v>QR</x:v>
      </x:c>
      <x:c r="Y431" s="2" t="str">
        <x:v>Online</x:v>
      </x:c>
      <x:c r="Z431" s="2" t="str">
        <x:v>Synced</x:v>
      </x:c>
      <x:c r="AA431" s="2"/>
      <x:c r="AB431" s="2"/>
      <x:c r="AC431" s="10" t="n">
        <x:f>IF(OR(K431="",Q431=""),"",ROUND((Q431-K431)*1440,2))</x:f>
        <x:v>17</x:v>
      </x:c>
    </x:row>
    <x:row r="432" ht="21" customHeight="1">
      <x:c r="A432" s="2" t="str">
        <x:v>LN00431</x:v>
      </x:c>
      <x:c r="B432" s="2" t="str">
        <x:v>T20261005-2-3</x:v>
      </x:c>
      <x:c r="C432" s="7" t="n">
        <x:v>46300</x:v>
      </x:c>
      <x:c r="D432" s="2" t="str">
        <x:v>BUS003</x:v>
      </x:c>
      <x:c r="E432" s="2" t="str">
        <x:v>ST101</x:v>
      </x:c>
      <x:c r="F432" s="2" t="n">
        <x:v>2</x:v>
      </x:c>
      <x:c r="G432" s="2" t="str">
        <x:v>Junior</x:v>
      </x:c>
      <x:c r="H432" s="2" t="str">
        <x:v>Pickup</x:v>
      </x:c>
      <x:c r="I432" s="2" t="str">
        <x:v>R3S3</x:v>
      </x:c>
      <x:c r="J432" s="2" t="str">
        <x:v>EV000855</x:v>
      </x:c>
      <x:c r="K432" s="8" t="n">
        <x:v>46300.48125</x:v>
      </x:c>
      <x:c r="L432" s="2" t="str">
        <x:v>R3S3</x:v>
      </x:c>
      <x:c r="M432" s="9" t="n">
        <x:v>25.293000000000003</x:v>
      </x:c>
      <x:c r="N432" s="9" t="n">
        <x:v>51.513</x:v>
      </x:c>
      <x:c r="O432" s="2" t="str">
        <x:v>Valid</x:v>
      </x:c>
      <x:c r="P432" s="2" t="str">
        <x:v>EV000856</x:v>
      </x:c>
      <x:c r="Q432" s="8" t="n">
        <x:v>46300.506250000006</x:v>
      </x:c>
      <x:c r="R432" s="2" t="str">
        <x:v>SCH01</x:v>
      </x:c>
      <x:c r="S432" s="9" t="n">
        <x:v>25.285</x:v>
      </x:c>
      <x:c r="T432" s="9" t="n">
        <x:v>51.51</x:v>
      </x:c>
      <x:c r="U432" s="2" t="str">
        <x:v>SCHOOL_RECEIVER_01</x:v>
      </x:c>
      <x:c r="V432" s="2" t="str">
        <x:v>School staff receipt</x:v>
      </x:c>
      <x:c r="W432" s="2" t="str">
        <x:v>Completed transport</x:v>
      </x:c>
      <x:c r="X432" s="2" t="str">
        <x:v>QR</x:v>
      </x:c>
      <x:c r="Y432" s="2" t="str">
        <x:v>Online</x:v>
      </x:c>
      <x:c r="Z432" s="2" t="str">
        <x:v>Synced</x:v>
      </x:c>
      <x:c r="AA432" s="2"/>
      <x:c r="AB432" s="2"/>
      <x:c r="AC432" s="10" t="n">
        <x:f>IF(OR(K432="",Q432=""),"",ROUND((Q432-K432)*1440,2))</x:f>
        <x:v>36</x:v>
      </x:c>
    </x:row>
    <x:row r="433" ht="21" customHeight="1">
      <x:c r="A433" s="2" t="str">
        <x:v>LN00432</x:v>
      </x:c>
      <x:c r="B433" s="2" t="str">
        <x:v>T20261005-2-3</x:v>
      </x:c>
      <x:c r="C433" s="7" t="n">
        <x:v>46300</x:v>
      </x:c>
      <x:c r="D433" s="2" t="str">
        <x:v>BUS003</x:v>
      </x:c>
      <x:c r="E433" s="2" t="str">
        <x:v>ST102</x:v>
      </x:c>
      <x:c r="F433" s="2" t="n">
        <x:v>2</x:v>
      </x:c>
      <x:c r="G433" s="2" t="str">
        <x:v>Junior</x:v>
      </x:c>
      <x:c r="H433" s="2" t="str">
        <x:v>Pickup</x:v>
      </x:c>
      <x:c r="I433" s="2" t="str">
        <x:v>R3S1</x:v>
      </x:c>
      <x:c r="J433" s="2" t="str">
        <x:v>EV000857</x:v>
      </x:c>
      <x:c r="K433" s="8" t="n">
        <x:v>46300.4715625</x:v>
      </x:c>
      <x:c r="L433" s="2" t="str">
        <x:v>R3S1</x:v>
      </x:c>
      <x:c r="M433" s="9" t="n">
        <x:v>25.289</x:v>
      </x:c>
      <x:c r="N433" s="9" t="n">
        <x:v>51.507</x:v>
      </x:c>
      <x:c r="O433" s="2" t="str">
        <x:v>Valid</x:v>
      </x:c>
      <x:c r="P433" s="2" t="str">
        <x:v>EV000858</x:v>
      </x:c>
      <x:c r="Q433" s="8" t="n">
        <x:v>46300.50628472223</x:v>
      </x:c>
      <x:c r="R433" s="2" t="str">
        <x:v>SCH01</x:v>
      </x:c>
      <x:c r="S433" s="9" t="n">
        <x:v>25.285</x:v>
      </x:c>
      <x:c r="T433" s="9" t="n">
        <x:v>51.51</x:v>
      </x:c>
      <x:c r="U433" s="2" t="str">
        <x:v>SCHOOL_RECEIVER_01</x:v>
      </x:c>
      <x:c r="V433" s="2" t="str">
        <x:v>School staff receipt</x:v>
      </x:c>
      <x:c r="W433" s="2" t="str">
        <x:v>Completed transport</x:v>
      </x:c>
      <x:c r="X433" s="2" t="str">
        <x:v>QR</x:v>
      </x:c>
      <x:c r="Y433" s="2" t="str">
        <x:v>Online</x:v>
      </x:c>
      <x:c r="Z433" s="2" t="str">
        <x:v>Synced</x:v>
      </x:c>
      <x:c r="AA433" s="2"/>
      <x:c r="AB433" s="2"/>
      <x:c r="AC433" s="10" t="n">
        <x:f>IF(OR(K433="",Q433=""),"",ROUND((Q433-K433)*1440,2))</x:f>
        <x:v>50</x:v>
      </x:c>
    </x:row>
    <x:row r="434" ht="21" customHeight="1">
      <x:c r="A434" s="2" t="str">
        <x:v>LN00433</x:v>
      </x:c>
      <x:c r="B434" s="2" t="str">
        <x:v>T20261005-2-3</x:v>
      </x:c>
      <x:c r="C434" s="7" t="n">
        <x:v>46300</x:v>
      </x:c>
      <x:c r="D434" s="2" t="str">
        <x:v>BUS003</x:v>
      </x:c>
      <x:c r="E434" s="2" t="str">
        <x:v>ST103</x:v>
      </x:c>
      <x:c r="F434" s="2" t="n">
        <x:v>2</x:v>
      </x:c>
      <x:c r="G434" s="2" t="str">
        <x:v>Junior</x:v>
      </x:c>
      <x:c r="H434" s="2" t="str">
        <x:v>Pickup</x:v>
      </x:c>
      <x:c r="I434" s="2" t="str">
        <x:v>R3S2</x:v>
      </x:c>
      <x:c r="J434" s="2" t="str">
        <x:v>EV000859</x:v>
      </x:c>
      <x:c r="K434" s="8" t="n">
        <x:v>46300.47645833333</x:v>
      </x:c>
      <x:c r="L434" s="2" t="str">
        <x:v>R3S2</x:v>
      </x:c>
      <x:c r="M434" s="9" t="n">
        <x:v>25.291000000000004</x:v>
      </x:c>
      <x:c r="N434" s="9" t="n">
        <x:v>51.51</x:v>
      </x:c>
      <x:c r="O434" s="2" t="str">
        <x:v>Valid</x:v>
      </x:c>
      <x:c r="P434" s="2" t="str">
        <x:v>EV000860</x:v>
      </x:c>
      <x:c r="Q434" s="8" t="n">
        <x:v>46300.506319444445</x:v>
      </x:c>
      <x:c r="R434" s="2" t="str">
        <x:v>SCH01</x:v>
      </x:c>
      <x:c r="S434" s="9" t="n">
        <x:v>25.285</x:v>
      </x:c>
      <x:c r="T434" s="9" t="n">
        <x:v>51.51</x:v>
      </x:c>
      <x:c r="U434" s="2" t="str">
        <x:v>SCHOOL_RECEIVER_01</x:v>
      </x:c>
      <x:c r="V434" s="2" t="str">
        <x:v>School staff receipt</x:v>
      </x:c>
      <x:c r="W434" s="2" t="str">
        <x:v>Completed transport</x:v>
      </x:c>
      <x:c r="X434" s="2" t="str">
        <x:v>QR</x:v>
      </x:c>
      <x:c r="Y434" s="2" t="str">
        <x:v>Online</x:v>
      </x:c>
      <x:c r="Z434" s="2" t="str">
        <x:v>Synced</x:v>
      </x:c>
      <x:c r="AA434" s="2"/>
      <x:c r="AB434" s="2"/>
      <x:c r="AC434" s="10" t="n">
        <x:f>IF(OR(K434="",Q434=""),"",ROUND((Q434-K434)*1440,2))</x:f>
        <x:v>43</x:v>
      </x:c>
    </x:row>
    <x:row r="435" ht="21" customHeight="1">
      <x:c r="A435" s="2" t="str">
        <x:v>LN00434</x:v>
      </x:c>
      <x:c r="B435" s="2" t="str">
        <x:v>T20261005-2-3</x:v>
      </x:c>
      <x:c r="C435" s="7" t="n">
        <x:v>46300</x:v>
      </x:c>
      <x:c r="D435" s="2" t="str">
        <x:v>BUS003</x:v>
      </x:c>
      <x:c r="E435" s="2" t="str">
        <x:v>ST104</x:v>
      </x:c>
      <x:c r="F435" s="2" t="n">
        <x:v>2</x:v>
      </x:c>
      <x:c r="G435" s="2" t="str">
        <x:v>Junior</x:v>
      </x:c>
      <x:c r="H435" s="2" t="str">
        <x:v>Pickup</x:v>
      </x:c>
      <x:c r="I435" s="2" t="str">
        <x:v>R3S3</x:v>
      </x:c>
      <x:c r="J435" s="2" t="str">
        <x:v>EV000861</x:v>
      </x:c>
      <x:c r="K435" s="8" t="n">
        <x:v>46300.481354166666</x:v>
      </x:c>
      <x:c r="L435" s="2" t="str">
        <x:v>R3S3</x:v>
      </x:c>
      <x:c r="M435" s="9" t="n">
        <x:v>25.293000000000003</x:v>
      </x:c>
      <x:c r="N435" s="9" t="n">
        <x:v>51.513</x:v>
      </x:c>
      <x:c r="O435" s="2" t="str">
        <x:v>Valid</x:v>
      </x:c>
      <x:c r="P435" s="2" t="str">
        <x:v>EV000862</x:v>
      </x:c>
      <x:c r="Q435" s="8" t="n">
        <x:v>46300.50635416667</x:v>
      </x:c>
      <x:c r="R435" s="2" t="str">
        <x:v>SCH01</x:v>
      </x:c>
      <x:c r="S435" s="9" t="n">
        <x:v>25.285</x:v>
      </x:c>
      <x:c r="T435" s="9" t="n">
        <x:v>51.51</x:v>
      </x:c>
      <x:c r="U435" s="2" t="str">
        <x:v>SCHOOL_RECEIVER_01</x:v>
      </x:c>
      <x:c r="V435" s="2" t="str">
        <x:v>School staff receipt</x:v>
      </x:c>
      <x:c r="W435" s="2" t="str">
        <x:v>Completed transport</x:v>
      </x:c>
      <x:c r="X435" s="2" t="str">
        <x:v>QR</x:v>
      </x:c>
      <x:c r="Y435" s="2" t="str">
        <x:v>Online</x:v>
      </x:c>
      <x:c r="Z435" s="2" t="str">
        <x:v>Synced</x:v>
      </x:c>
      <x:c r="AA435" s="2"/>
      <x:c r="AB435" s="2"/>
      <x:c r="AC435" s="10" t="n">
        <x:f>IF(OR(K435="",Q435=""),"",ROUND((Q435-K435)*1440,2))</x:f>
        <x:v>36</x:v>
      </x:c>
    </x:row>
    <x:row r="436" ht="21" customHeight="1">
      <x:c r="A436" s="2" t="str">
        <x:v>LN00435</x:v>
      </x:c>
      <x:c r="B436" s="2" t="str">
        <x:v>T20261005-2-3</x:v>
      </x:c>
      <x:c r="C436" s="7" t="n">
        <x:v>46300</x:v>
      </x:c>
      <x:c r="D436" s="2" t="str">
        <x:v>BUS003</x:v>
      </x:c>
      <x:c r="E436" s="2" t="str">
        <x:v>ST105</x:v>
      </x:c>
      <x:c r="F436" s="2" t="n">
        <x:v>2</x:v>
      </x:c>
      <x:c r="G436" s="2" t="str">
        <x:v>Junior</x:v>
      </x:c>
      <x:c r="H436" s="2" t="str">
        <x:v>Pickup</x:v>
      </x:c>
      <x:c r="I436" s="2" t="str">
        <x:v>R3S1</x:v>
      </x:c>
      <x:c r="J436" s="2" t="str">
        <x:v>EV000863</x:v>
      </x:c>
      <x:c r="K436" s="8" t="n">
        <x:v>46300.47166666667</x:v>
      </x:c>
      <x:c r="L436" s="2" t="str">
        <x:v>R3S1</x:v>
      </x:c>
      <x:c r="M436" s="9" t="n">
        <x:v>25.289</x:v>
      </x:c>
      <x:c r="N436" s="9" t="n">
        <x:v>51.507</x:v>
      </x:c>
      <x:c r="O436" s="2" t="str">
        <x:v>Valid</x:v>
      </x:c>
      <x:c r="P436" s="2" t="str">
        <x:v>EV000864</x:v>
      </x:c>
      <x:c r="Q436" s="8" t="n">
        <x:v>46300.50638888889</x:v>
      </x:c>
      <x:c r="R436" s="2" t="str">
        <x:v>SCH01</x:v>
      </x:c>
      <x:c r="S436" s="9" t="n">
        <x:v>25.285</x:v>
      </x:c>
      <x:c r="T436" s="9" t="n">
        <x:v>51.51</x:v>
      </x:c>
      <x:c r="U436" s="2" t="str">
        <x:v>SCHOOL_RECEIVER_01</x:v>
      </x:c>
      <x:c r="V436" s="2" t="str">
        <x:v>School staff receipt</x:v>
      </x:c>
      <x:c r="W436" s="2" t="str">
        <x:v>Completed transport</x:v>
      </x:c>
      <x:c r="X436" s="2" t="str">
        <x:v>QR</x:v>
      </x:c>
      <x:c r="Y436" s="2" t="str">
        <x:v>Online</x:v>
      </x:c>
      <x:c r="Z436" s="2" t="str">
        <x:v>Synced</x:v>
      </x:c>
      <x:c r="AA436" s="2"/>
      <x:c r="AB436" s="2"/>
      <x:c r="AC436" s="10" t="n">
        <x:f>IF(OR(K436="",Q436=""),"",ROUND((Q436-K436)*1440,2))</x:f>
        <x:v>50</x:v>
      </x:c>
    </x:row>
    <x:row r="437" ht="21" customHeight="1">
      <x:c r="A437" s="2" t="str">
        <x:v>LN00436</x:v>
      </x:c>
      <x:c r="B437" s="2" t="str">
        <x:v>T20261005-2-3</x:v>
      </x:c>
      <x:c r="C437" s="7" t="n">
        <x:v>46300</x:v>
      </x:c>
      <x:c r="D437" s="2" t="str">
        <x:v>BUS003</x:v>
      </x:c>
      <x:c r="E437" s="2" t="str">
        <x:v>ST106</x:v>
      </x:c>
      <x:c r="F437" s="2" t="n">
        <x:v>2</x:v>
      </x:c>
      <x:c r="G437" s="2" t="str">
        <x:v>Junior</x:v>
      </x:c>
      <x:c r="H437" s="2" t="str">
        <x:v>Pickup</x:v>
      </x:c>
      <x:c r="I437" s="2" t="str">
        <x:v>R3S2</x:v>
      </x:c>
      <x:c r="J437" s="2" t="str">
        <x:v>EV000865</x:v>
      </x:c>
      <x:c r="K437" s="8" t="n">
        <x:v>46300.47656249999</x:v>
      </x:c>
      <x:c r="L437" s="2" t="str">
        <x:v>R3S2</x:v>
      </x:c>
      <x:c r="M437" s="9" t="n">
        <x:v>25.291000000000004</x:v>
      </x:c>
      <x:c r="N437" s="9" t="n">
        <x:v>51.51</x:v>
      </x:c>
      <x:c r="O437" s="2" t="str">
        <x:v>Valid</x:v>
      </x:c>
      <x:c r="P437" s="2" t="str">
        <x:v>EV000866</x:v>
      </x:c>
      <x:c r="Q437" s="8" t="n">
        <x:v>46300.506423611114</x:v>
      </x:c>
      <x:c r="R437" s="2" t="str">
        <x:v>SCH01</x:v>
      </x:c>
      <x:c r="S437" s="9" t="n">
        <x:v>25.285</x:v>
      </x:c>
      <x:c r="T437" s="9" t="n">
        <x:v>51.51</x:v>
      </x:c>
      <x:c r="U437" s="2" t="str">
        <x:v>SCHOOL_RECEIVER_01</x:v>
      </x:c>
      <x:c r="V437" s="2" t="str">
        <x:v>School staff receipt</x:v>
      </x:c>
      <x:c r="W437" s="2" t="str">
        <x:v>Completed transport</x:v>
      </x:c>
      <x:c r="X437" s="2" t="str">
        <x:v>QR</x:v>
      </x:c>
      <x:c r="Y437" s="2" t="str">
        <x:v>Online</x:v>
      </x:c>
      <x:c r="Z437" s="2" t="str">
        <x:v>Synced</x:v>
      </x:c>
      <x:c r="AA437" s="2"/>
      <x:c r="AB437" s="2"/>
      <x:c r="AC437" s="10" t="n">
        <x:f>IF(OR(K437="",Q437=""),"",ROUND((Q437-K437)*1440,2))</x:f>
        <x:v>43</x:v>
      </x:c>
    </x:row>
    <x:row r="438" ht="21" customHeight="1">
      <x:c r="A438" s="2" t="str">
        <x:v>LN00437</x:v>
      </x:c>
      <x:c r="B438" s="2" t="str">
        <x:v>T20261005-2-3</x:v>
      </x:c>
      <x:c r="C438" s="7" t="n">
        <x:v>46300</x:v>
      </x:c>
      <x:c r="D438" s="2" t="str">
        <x:v>BUS003</x:v>
      </x:c>
      <x:c r="E438" s="2" t="str">
        <x:v>ST107</x:v>
      </x:c>
      <x:c r="F438" s="2" t="n">
        <x:v>2</x:v>
      </x:c>
      <x:c r="G438" s="2" t="str">
        <x:v>Junior</x:v>
      </x:c>
      <x:c r="H438" s="2" t="str">
        <x:v>Pickup</x:v>
      </x:c>
      <x:c r="I438" s="2" t="str">
        <x:v>R3S3</x:v>
      </x:c>
      <x:c r="J438" s="2" t="str">
        <x:v>EV000867</x:v>
      </x:c>
      <x:c r="K438" s="8" t="n">
        <x:v>46300.48145833333</x:v>
      </x:c>
      <x:c r="L438" s="2" t="str">
        <x:v>R3S3</x:v>
      </x:c>
      <x:c r="M438" s="9" t="n">
        <x:v>25.293000000000003</x:v>
      </x:c>
      <x:c r="N438" s="9" t="n">
        <x:v>51.513</x:v>
      </x:c>
      <x:c r="O438" s="2" t="str">
        <x:v>Valid</x:v>
      </x:c>
      <x:c r="P438" s="2" t="str">
        <x:v>EV000868</x:v>
      </x:c>
      <x:c r="Q438" s="8" t="n">
        <x:v>46300.50645833334</x:v>
      </x:c>
      <x:c r="R438" s="2" t="str">
        <x:v>SCH01</x:v>
      </x:c>
      <x:c r="S438" s="9" t="n">
        <x:v>25.285</x:v>
      </x:c>
      <x:c r="T438" s="9" t="n">
        <x:v>51.51</x:v>
      </x:c>
      <x:c r="U438" s="2" t="str">
        <x:v>SCHOOL_RECEIVER_01</x:v>
      </x:c>
      <x:c r="V438" s="2" t="str">
        <x:v>School staff receipt</x:v>
      </x:c>
      <x:c r="W438" s="2" t="str">
        <x:v>Completed transport</x:v>
      </x:c>
      <x:c r="X438" s="2" t="str">
        <x:v>QR</x:v>
      </x:c>
      <x:c r="Y438" s="2" t="str">
        <x:v>Online</x:v>
      </x:c>
      <x:c r="Z438" s="2" t="str">
        <x:v>Synced</x:v>
      </x:c>
      <x:c r="AA438" s="2"/>
      <x:c r="AB438" s="2"/>
      <x:c r="AC438" s="10" t="n">
        <x:f>IF(OR(K438="",Q438=""),"",ROUND((Q438-K438)*1440,2))</x:f>
        <x:v>36</x:v>
      </x:c>
    </x:row>
    <x:row r="439" ht="21" customHeight="1">
      <x:c r="A439" s="2" t="str">
        <x:v>LN00438</x:v>
      </x:c>
      <x:c r="B439" s="2" t="str">
        <x:v>T20261005-2-3</x:v>
      </x:c>
      <x:c r="C439" s="7" t="n">
        <x:v>46300</x:v>
      </x:c>
      <x:c r="D439" s="2" t="str">
        <x:v>BUS003</x:v>
      </x:c>
      <x:c r="E439" s="2" t="str">
        <x:v>ST108</x:v>
      </x:c>
      <x:c r="F439" s="2" t="n">
        <x:v>2</x:v>
      </x:c>
      <x:c r="G439" s="2" t="str">
        <x:v>Junior</x:v>
      </x:c>
      <x:c r="H439" s="2" t="str">
        <x:v>Pickup</x:v>
      </x:c>
      <x:c r="I439" s="2" t="str">
        <x:v>R3S1</x:v>
      </x:c>
      <x:c r="J439" s="2" t="str">
        <x:v>EV000869</x:v>
      </x:c>
      <x:c r="K439" s="8" t="n">
        <x:v>46300.471770833334</x:v>
      </x:c>
      <x:c r="L439" s="2" t="str">
        <x:v>R3S1</x:v>
      </x:c>
      <x:c r="M439" s="9" t="n">
        <x:v>25.289</x:v>
      </x:c>
      <x:c r="N439" s="9" t="n">
        <x:v>51.507</x:v>
      </x:c>
      <x:c r="O439" s="2" t="str">
        <x:v>Valid</x:v>
      </x:c>
      <x:c r="P439" s="2" t="str">
        <x:v>EV000870</x:v>
      </x:c>
      <x:c r="Q439" s="8" t="n">
        <x:v>46300.50649305556</x:v>
      </x:c>
      <x:c r="R439" s="2" t="str">
        <x:v>SCH01</x:v>
      </x:c>
      <x:c r="S439" s="9" t="n">
        <x:v>25.285</x:v>
      </x:c>
      <x:c r="T439" s="9" t="n">
        <x:v>51.51</x:v>
      </x:c>
      <x:c r="U439" s="2" t="str">
        <x:v>SCHOOL_RECEIVER_01</x:v>
      </x:c>
      <x:c r="V439" s="2" t="str">
        <x:v>School staff receipt</x:v>
      </x:c>
      <x:c r="W439" s="2" t="str">
        <x:v>Completed transport</x:v>
      </x:c>
      <x:c r="X439" s="2" t="str">
        <x:v>QR</x:v>
      </x:c>
      <x:c r="Y439" s="2" t="str">
        <x:v>Online</x:v>
      </x:c>
      <x:c r="Z439" s="2" t="str">
        <x:v>Synced</x:v>
      </x:c>
      <x:c r="AA439" s="2"/>
      <x:c r="AB439" s="2"/>
      <x:c r="AC439" s="10" t="n">
        <x:f>IF(OR(K439="",Q439=""),"",ROUND((Q439-K439)*1440,2))</x:f>
        <x:v>50</x:v>
      </x:c>
    </x:row>
    <x:row r="440" ht="21" customHeight="1">
      <x:c r="A440" s="2" t="str">
        <x:v>LN00439</x:v>
      </x:c>
      <x:c r="B440" s="2" t="str">
        <x:v>T20261005-2-3</x:v>
      </x:c>
      <x:c r="C440" s="7" t="n">
        <x:v>46300</x:v>
      </x:c>
      <x:c r="D440" s="2" t="str">
        <x:v>BUS003</x:v>
      </x:c>
      <x:c r="E440" s="2" t="str">
        <x:v>ST109</x:v>
      </x:c>
      <x:c r="F440" s="2" t="n">
        <x:v>2</x:v>
      </x:c>
      <x:c r="G440" s="2" t="str">
        <x:v>Junior</x:v>
      </x:c>
      <x:c r="H440" s="2" t="str">
        <x:v>Pickup</x:v>
      </x:c>
      <x:c r="I440" s="2" t="str">
        <x:v>R3S2</x:v>
      </x:c>
      <x:c r="J440" s="2" t="str">
        <x:v>EV000871</x:v>
      </x:c>
      <x:c r="K440" s="8" t="n">
        <x:v>46300.47666666666</x:v>
      </x:c>
      <x:c r="L440" s="2" t="str">
        <x:v>R3S2</x:v>
      </x:c>
      <x:c r="M440" s="9" t="n">
        <x:v>25.291000000000004</x:v>
      </x:c>
      <x:c r="N440" s="9" t="n">
        <x:v>51.51</x:v>
      </x:c>
      <x:c r="O440" s="2" t="str">
        <x:v>Valid</x:v>
      </x:c>
      <x:c r="P440" s="2" t="str">
        <x:v>EV000872</x:v>
      </x:c>
      <x:c r="Q440" s="8" t="n">
        <x:v>46300.50652777778</x:v>
      </x:c>
      <x:c r="R440" s="2" t="str">
        <x:v>SCH01</x:v>
      </x:c>
      <x:c r="S440" s="9" t="n">
        <x:v>25.285</x:v>
      </x:c>
      <x:c r="T440" s="9" t="n">
        <x:v>51.51</x:v>
      </x:c>
      <x:c r="U440" s="2" t="str">
        <x:v>SCHOOL_RECEIVER_01</x:v>
      </x:c>
      <x:c r="V440" s="2" t="str">
        <x:v>School staff receipt</x:v>
      </x:c>
      <x:c r="W440" s="2" t="str">
        <x:v>Completed transport</x:v>
      </x:c>
      <x:c r="X440" s="2" t="str">
        <x:v>QR</x:v>
      </x:c>
      <x:c r="Y440" s="2" t="str">
        <x:v>Online</x:v>
      </x:c>
      <x:c r="Z440" s="2" t="str">
        <x:v>Synced</x:v>
      </x:c>
      <x:c r="AA440" s="2"/>
      <x:c r="AB440" s="2"/>
      <x:c r="AC440" s="10" t="n">
        <x:f>IF(OR(K440="",Q440=""),"",ROUND((Q440-K440)*1440,2))</x:f>
        <x:v>43</x:v>
      </x:c>
    </x:row>
    <x:row r="441" ht="21" customHeight="1">
      <x:c r="A441" s="2" t="str">
        <x:v>LN00440</x:v>
      </x:c>
      <x:c r="B441" s="2" t="str">
        <x:v>T20261005-2-3</x:v>
      </x:c>
      <x:c r="C441" s="7" t="n">
        <x:v>46300</x:v>
      </x:c>
      <x:c r="D441" s="2" t="str">
        <x:v>BUS003</x:v>
      </x:c>
      <x:c r="E441" s="2" t="str">
        <x:v>ST110</x:v>
      </x:c>
      <x:c r="F441" s="2" t="n">
        <x:v>2</x:v>
      </x:c>
      <x:c r="G441" s="2" t="str">
        <x:v>Junior</x:v>
      </x:c>
      <x:c r="H441" s="2" t="str">
        <x:v>Pickup</x:v>
      </x:c>
      <x:c r="I441" s="2" t="str">
        <x:v>R3S3</x:v>
      </x:c>
      <x:c r="J441" s="2" t="str">
        <x:v>EV000873</x:v>
      </x:c>
      <x:c r="K441" s="8" t="n">
        <x:v>46300.4815625</x:v>
      </x:c>
      <x:c r="L441" s="2" t="str">
        <x:v>R3S3</x:v>
      </x:c>
      <x:c r="M441" s="9" t="n">
        <x:v>25.293000000000003</x:v>
      </x:c>
      <x:c r="N441" s="9" t="n">
        <x:v>51.513</x:v>
      </x:c>
      <x:c r="O441" s="2" t="str">
        <x:v>Valid</x:v>
      </x:c>
      <x:c r="P441" s="2" t="str">
        <x:v>EV000874</x:v>
      </x:c>
      <x:c r="Q441" s="8" t="n">
        <x:v>46300.506562500006</x:v>
      </x:c>
      <x:c r="R441" s="2" t="str">
        <x:v>SCH01</x:v>
      </x:c>
      <x:c r="S441" s="9" t="n">
        <x:v>25.285</x:v>
      </x:c>
      <x:c r="T441" s="9" t="n">
        <x:v>51.51</x:v>
      </x:c>
      <x:c r="U441" s="2" t="str">
        <x:v>SCHOOL_RECEIVER_01</x:v>
      </x:c>
      <x:c r="V441" s="2" t="str">
        <x:v>School staff receipt</x:v>
      </x:c>
      <x:c r="W441" s="2" t="str">
        <x:v>Completed transport</x:v>
      </x:c>
      <x:c r="X441" s="2" t="str">
        <x:v>QR</x:v>
      </x:c>
      <x:c r="Y441" s="2" t="str">
        <x:v>Online</x:v>
      </x:c>
      <x:c r="Z441" s="2" t="str">
        <x:v>Synced</x:v>
      </x:c>
      <x:c r="AA441" s="2"/>
      <x:c r="AB441" s="2"/>
      <x:c r="AC441" s="10" t="n">
        <x:f>IF(OR(K441="",Q441=""),"",ROUND((Q441-K441)*1440,2))</x:f>
        <x:v>36</x:v>
      </x:c>
    </x:row>
    <x:row r="442" ht="21" customHeight="1">
      <x:c r="A442" s="2" t="str">
        <x:v>LN00441</x:v>
      </x:c>
      <x:c r="B442" s="2" t="str">
        <x:v>T20261005-2-3</x:v>
      </x:c>
      <x:c r="C442" s="7" t="n">
        <x:v>46300</x:v>
      </x:c>
      <x:c r="D442" s="2" t="str">
        <x:v>BUS003</x:v>
      </x:c>
      <x:c r="E442" s="2" t="str">
        <x:v>ST111</x:v>
      </x:c>
      <x:c r="F442" s="2" t="n">
        <x:v>2</x:v>
      </x:c>
      <x:c r="G442" s="2" t="str">
        <x:v>Senior</x:v>
      </x:c>
      <x:c r="H442" s="2" t="str">
        <x:v>Pickup</x:v>
      </x:c>
      <x:c r="I442" s="2" t="str">
        <x:v>R3S1</x:v>
      </x:c>
      <x:c r="J442" s="2" t="str">
        <x:v>EV000875</x:v>
      </x:c>
      <x:c r="K442" s="8" t="n">
        <x:v>46300.47152777778</x:v>
      </x:c>
      <x:c r="L442" s="2" t="str">
        <x:v>R3S1</x:v>
      </x:c>
      <x:c r="M442" s="9" t="n">
        <x:v>25.289</x:v>
      </x:c>
      <x:c r="N442" s="9" t="n">
        <x:v>51.507</x:v>
      </x:c>
      <x:c r="O442" s="2" t="str">
        <x:v>Valid</x:v>
      </x:c>
      <x:c r="P442" s="2" t="str">
        <x:v>EV000876</x:v>
      </x:c>
      <x:c r="Q442" s="8" t="n">
        <x:v>46300.50659722223</x:v>
      </x:c>
      <x:c r="R442" s="2" t="str">
        <x:v>SCH01</x:v>
      </x:c>
      <x:c r="S442" s="9" t="n">
        <x:v>25.285</x:v>
      </x:c>
      <x:c r="T442" s="9" t="n">
        <x:v>51.51</x:v>
      </x:c>
      <x:c r="U442" s="2" t="str">
        <x:v>SCHOOL_RECEIVER_01</x:v>
      </x:c>
      <x:c r="V442" s="2" t="str">
        <x:v>School staff receipt</x:v>
      </x:c>
      <x:c r="W442" s="2" t="str">
        <x:v>Completed transport</x:v>
      </x:c>
      <x:c r="X442" s="2" t="str">
        <x:v>QR</x:v>
      </x:c>
      <x:c r="Y442" s="2" t="str">
        <x:v>Online</x:v>
      </x:c>
      <x:c r="Z442" s="2" t="str">
        <x:v>Synced</x:v>
      </x:c>
      <x:c r="AA442" s="2"/>
      <x:c r="AB442" s="2"/>
      <x:c r="AC442" s="10" t="n">
        <x:f>IF(OR(K442="",Q442=""),"",ROUND((Q442-K442)*1440,2))</x:f>
        <x:v>50.5</x:v>
      </x:c>
    </x:row>
    <x:row r="443" ht="21" customHeight="1">
      <x:c r="A443" s="2" t="str">
        <x:v>LN00442</x:v>
      </x:c>
      <x:c r="B443" s="2" t="str">
        <x:v>T20261005-2-3</x:v>
      </x:c>
      <x:c r="C443" s="7" t="n">
        <x:v>46300</x:v>
      </x:c>
      <x:c r="D443" s="2" t="str">
        <x:v>BUS003</x:v>
      </x:c>
      <x:c r="E443" s="2" t="str">
        <x:v>ST112</x:v>
      </x:c>
      <x:c r="F443" s="2" t="n">
        <x:v>2</x:v>
      </x:c>
      <x:c r="G443" s="2" t="str">
        <x:v>Senior</x:v>
      </x:c>
      <x:c r="H443" s="2" t="str">
        <x:v>Pickup</x:v>
      </x:c>
      <x:c r="I443" s="2" t="str">
        <x:v>R3S2</x:v>
      </x:c>
      <x:c r="J443" s="2" t="str">
        <x:v>EV000877</x:v>
      </x:c>
      <x:c r="K443" s="8" t="n">
        <x:v>46300.47642361111</x:v>
      </x:c>
      <x:c r="L443" s="2" t="str">
        <x:v>R3S2</x:v>
      </x:c>
      <x:c r="M443" s="9" t="n">
        <x:v>25.291000000000004</x:v>
      </x:c>
      <x:c r="N443" s="9" t="n">
        <x:v>51.51</x:v>
      </x:c>
      <x:c r="O443" s="2" t="str">
        <x:v>Valid</x:v>
      </x:c>
      <x:c r="P443" s="2" t="str">
        <x:v>EV000878</x:v>
      </x:c>
      <x:c r="Q443" s="8" t="n">
        <x:v>46300.506631944445</x:v>
      </x:c>
      <x:c r="R443" s="2" t="str">
        <x:v>SCH01</x:v>
      </x:c>
      <x:c r="S443" s="9" t="n">
        <x:v>25.285</x:v>
      </x:c>
      <x:c r="T443" s="9" t="n">
        <x:v>51.51</x:v>
      </x:c>
      <x:c r="U443" s="2" t="str">
        <x:v>SCHOOL_RECEIVER_01</x:v>
      </x:c>
      <x:c r="V443" s="2" t="str">
        <x:v>School staff receipt</x:v>
      </x:c>
      <x:c r="W443" s="2" t="str">
        <x:v>Completed transport</x:v>
      </x:c>
      <x:c r="X443" s="2" t="str">
        <x:v>QR</x:v>
      </x:c>
      <x:c r="Y443" s="2" t="str">
        <x:v>Online</x:v>
      </x:c>
      <x:c r="Z443" s="2" t="str">
        <x:v>Synced</x:v>
      </x:c>
      <x:c r="AA443" s="2"/>
      <x:c r="AB443" s="2"/>
      <x:c r="AC443" s="10" t="n">
        <x:f>IF(OR(K443="",Q443=""),"",ROUND((Q443-K443)*1440,2))</x:f>
        <x:v>43.5</x:v>
      </x:c>
    </x:row>
    <x:row r="444" ht="21" customHeight="1">
      <x:c r="A444" s="2" t="str">
        <x:v>LN00443</x:v>
      </x:c>
      <x:c r="B444" s="2" t="str">
        <x:v>T20261005-2-3</x:v>
      </x:c>
      <x:c r="C444" s="7" t="n">
        <x:v>46300</x:v>
      </x:c>
      <x:c r="D444" s="2" t="str">
        <x:v>BUS003</x:v>
      </x:c>
      <x:c r="E444" s="2" t="str">
        <x:v>ST113</x:v>
      </x:c>
      <x:c r="F444" s="2" t="n">
        <x:v>2</x:v>
      </x:c>
      <x:c r="G444" s="2" t="str">
        <x:v>Senior</x:v>
      </x:c>
      <x:c r="H444" s="2" t="str">
        <x:v>Pickup</x:v>
      </x:c>
      <x:c r="I444" s="2" t="str">
        <x:v>R3S3</x:v>
      </x:c>
      <x:c r="J444" s="2" t="str">
        <x:v>EV000879</x:v>
      </x:c>
      <x:c r="K444" s="8" t="n">
        <x:v>46300.48131944444</x:v>
      </x:c>
      <x:c r="L444" s="2" t="str">
        <x:v>R3S3</x:v>
      </x:c>
      <x:c r="M444" s="9" t="n">
        <x:v>25.293000000000003</x:v>
      </x:c>
      <x:c r="N444" s="9" t="n">
        <x:v>51.513</x:v>
      </x:c>
      <x:c r="O444" s="2" t="str">
        <x:v>Valid</x:v>
      </x:c>
      <x:c r="P444" s="2" t="str">
        <x:v>EV000880</x:v>
      </x:c>
      <x:c r="Q444" s="8" t="n">
        <x:v>46300.50666666667</x:v>
      </x:c>
      <x:c r="R444" s="2" t="str">
        <x:v>SCH01</x:v>
      </x:c>
      <x:c r="S444" s="9" t="n">
        <x:v>25.285</x:v>
      </x:c>
      <x:c r="T444" s="9" t="n">
        <x:v>51.51</x:v>
      </x:c>
      <x:c r="U444" s="2" t="str">
        <x:v>SCHOOL_RECEIVER_01</x:v>
      </x:c>
      <x:c r="V444" s="2" t="str">
        <x:v>School staff receipt</x:v>
      </x:c>
      <x:c r="W444" s="2" t="str">
        <x:v>Completed transport</x:v>
      </x:c>
      <x:c r="X444" s="2" t="str">
        <x:v>QR</x:v>
      </x:c>
      <x:c r="Y444" s="2" t="str">
        <x:v>Online</x:v>
      </x:c>
      <x:c r="Z444" s="2" t="str">
        <x:v>Synced</x:v>
      </x:c>
      <x:c r="AA444" s="2"/>
      <x:c r="AB444" s="2"/>
      <x:c r="AC444" s="10" t="n">
        <x:f>IF(OR(K444="",Q444=""),"",ROUND((Q444-K444)*1440,2))</x:f>
        <x:v>36.5</x:v>
      </x:c>
    </x:row>
    <x:row r="445" ht="21" customHeight="1">
      <x:c r="A445" s="2" t="str">
        <x:v>LN00444</x:v>
      </x:c>
      <x:c r="B445" s="2" t="str">
        <x:v>T20261005-2-3</x:v>
      </x:c>
      <x:c r="C445" s="7" t="n">
        <x:v>46300</x:v>
      </x:c>
      <x:c r="D445" s="2" t="str">
        <x:v>BUS003</x:v>
      </x:c>
      <x:c r="E445" s="2" t="str">
        <x:v>ST114</x:v>
      </x:c>
      <x:c r="F445" s="2" t="n">
        <x:v>2</x:v>
      </x:c>
      <x:c r="G445" s="2" t="str">
        <x:v>Senior</x:v>
      </x:c>
      <x:c r="H445" s="2" t="str">
        <x:v>Pickup</x:v>
      </x:c>
      <x:c r="I445" s="2" t="str">
        <x:v>R3S1</x:v>
      </x:c>
      <x:c r="J445" s="2" t="str">
        <x:v>EV000881</x:v>
      </x:c>
      <x:c r="K445" s="8" t="n">
        <x:v>46300.47163194445</x:v>
      </x:c>
      <x:c r="L445" s="2" t="str">
        <x:v>R3S1</x:v>
      </x:c>
      <x:c r="M445" s="9" t="n">
        <x:v>25.289</x:v>
      </x:c>
      <x:c r="N445" s="9" t="n">
        <x:v>51.507</x:v>
      </x:c>
      <x:c r="O445" s="2" t="str">
        <x:v>Valid</x:v>
      </x:c>
      <x:c r="P445" s="2" t="str">
        <x:v>EV000882</x:v>
      </x:c>
      <x:c r="Q445" s="8" t="n">
        <x:v>46300.50670138889</x:v>
      </x:c>
      <x:c r="R445" s="2" t="str">
        <x:v>SCH01</x:v>
      </x:c>
      <x:c r="S445" s="9" t="n">
        <x:v>25.285</x:v>
      </x:c>
      <x:c r="T445" s="9" t="n">
        <x:v>51.51</x:v>
      </x:c>
      <x:c r="U445" s="2" t="str">
        <x:v>SCHOOL_RECEIVER_01</x:v>
      </x:c>
      <x:c r="V445" s="2" t="str">
        <x:v>School staff receipt</x:v>
      </x:c>
      <x:c r="W445" s="2" t="str">
        <x:v>Completed transport</x:v>
      </x:c>
      <x:c r="X445" s="2" t="str">
        <x:v>QR</x:v>
      </x:c>
      <x:c r="Y445" s="2" t="str">
        <x:v>Online</x:v>
      </x:c>
      <x:c r="Z445" s="2" t="str">
        <x:v>Synced</x:v>
      </x:c>
      <x:c r="AA445" s="2"/>
      <x:c r="AB445" s="2"/>
      <x:c r="AC445" s="10" t="n">
        <x:f>IF(OR(K445="",Q445=""),"",ROUND((Q445-K445)*1440,2))</x:f>
        <x:v>50.5</x:v>
      </x:c>
    </x:row>
    <x:row r="446" ht="21" customHeight="1">
      <x:c r="A446" s="2" t="str">
        <x:v>LN00445</x:v>
      </x:c>
      <x:c r="B446" s="2" t="str">
        <x:v>T20261005-2-3</x:v>
      </x:c>
      <x:c r="C446" s="7" t="n">
        <x:v>46300</x:v>
      </x:c>
      <x:c r="D446" s="2" t="str">
        <x:v>BUS003</x:v>
      </x:c>
      <x:c r="E446" s="2" t="str">
        <x:v>ST115</x:v>
      </x:c>
      <x:c r="F446" s="2" t="n">
        <x:v>2</x:v>
      </x:c>
      <x:c r="G446" s="2" t="str">
        <x:v>Senior</x:v>
      </x:c>
      <x:c r="H446" s="2" t="str">
        <x:v>Pickup</x:v>
      </x:c>
      <x:c r="I446" s="2" t="str">
        <x:v>R3S2</x:v>
      </x:c>
      <x:c r="J446" s="2" t="str">
        <x:v>EV000883</x:v>
      </x:c>
      <x:c r="K446" s="8" t="n">
        <x:v>46300.47652777778</x:v>
      </x:c>
      <x:c r="L446" s="2" t="str">
        <x:v>R3S2</x:v>
      </x:c>
      <x:c r="M446" s="9" t="n">
        <x:v>25.291000000000004</x:v>
      </x:c>
      <x:c r="N446" s="9" t="n">
        <x:v>51.51</x:v>
      </x:c>
      <x:c r="O446" s="2" t="str">
        <x:v>Valid</x:v>
      </x:c>
      <x:c r="P446" s="2" t="str">
        <x:v>EV000884</x:v>
      </x:c>
      <x:c r="Q446" s="8" t="n">
        <x:v>46300.506736111114</x:v>
      </x:c>
      <x:c r="R446" s="2" t="str">
        <x:v>SCH01</x:v>
      </x:c>
      <x:c r="S446" s="9" t="n">
        <x:v>25.285</x:v>
      </x:c>
      <x:c r="T446" s="9" t="n">
        <x:v>51.51</x:v>
      </x:c>
      <x:c r="U446" s="2" t="str">
        <x:v>SCHOOL_RECEIVER_01</x:v>
      </x:c>
      <x:c r="V446" s="2" t="str">
        <x:v>School staff receipt</x:v>
      </x:c>
      <x:c r="W446" s="2" t="str">
        <x:v>Completed transport</x:v>
      </x:c>
      <x:c r="X446" s="2" t="str">
        <x:v>QR</x:v>
      </x:c>
      <x:c r="Y446" s="2" t="str">
        <x:v>Online</x:v>
      </x:c>
      <x:c r="Z446" s="2" t="str">
        <x:v>Synced</x:v>
      </x:c>
      <x:c r="AA446" s="2"/>
      <x:c r="AB446" s="2"/>
      <x:c r="AC446" s="10" t="n">
        <x:f>IF(OR(K446="",Q446=""),"",ROUND((Q446-K446)*1440,2))</x:f>
        <x:v>43.5</x:v>
      </x:c>
    </x:row>
    <x:row r="447" ht="21" customHeight="1">
      <x:c r="A447" s="2" t="str">
        <x:v>LN00446</x:v>
      </x:c>
      <x:c r="B447" s="2" t="str">
        <x:v>T20261005-2-3</x:v>
      </x:c>
      <x:c r="C447" s="7" t="n">
        <x:v>46300</x:v>
      </x:c>
      <x:c r="D447" s="2" t="str">
        <x:v>BUS003</x:v>
      </x:c>
      <x:c r="E447" s="2" t="str">
        <x:v>ST116</x:v>
      </x:c>
      <x:c r="F447" s="2" t="n">
        <x:v>2</x:v>
      </x:c>
      <x:c r="G447" s="2" t="str">
        <x:v>Senior</x:v>
      </x:c>
      <x:c r="H447" s="2" t="str">
        <x:v>Pickup</x:v>
      </x:c>
      <x:c r="I447" s="2" t="str">
        <x:v>R3S3</x:v>
      </x:c>
      <x:c r="J447" s="2" t="str">
        <x:v>EV000885</x:v>
      </x:c>
      <x:c r="K447" s="8" t="n">
        <x:v>46300.481423611105</x:v>
      </x:c>
      <x:c r="L447" s="2" t="str">
        <x:v>R3S3</x:v>
      </x:c>
      <x:c r="M447" s="9" t="n">
        <x:v>25.293000000000003</x:v>
      </x:c>
      <x:c r="N447" s="9" t="n">
        <x:v>51.513</x:v>
      </x:c>
      <x:c r="O447" s="2" t="str">
        <x:v>Valid</x:v>
      </x:c>
      <x:c r="P447" s="2" t="str">
        <x:v>EV000886</x:v>
      </x:c>
      <x:c r="Q447" s="8" t="n">
        <x:v>46300.50677083334</x:v>
      </x:c>
      <x:c r="R447" s="2" t="str">
        <x:v>SCH01</x:v>
      </x:c>
      <x:c r="S447" s="9" t="n">
        <x:v>25.285</x:v>
      </x:c>
      <x:c r="T447" s="9" t="n">
        <x:v>51.51</x:v>
      </x:c>
      <x:c r="U447" s="2" t="str">
        <x:v>SCHOOL_RECEIVER_01</x:v>
      </x:c>
      <x:c r="V447" s="2" t="str">
        <x:v>School staff receipt</x:v>
      </x:c>
      <x:c r="W447" s="2" t="str">
        <x:v>Completed transport</x:v>
      </x:c>
      <x:c r="X447" s="2" t="str">
        <x:v>QR</x:v>
      </x:c>
      <x:c r="Y447" s="2" t="str">
        <x:v>Online</x:v>
      </x:c>
      <x:c r="Z447" s="2" t="str">
        <x:v>Synced</x:v>
      </x:c>
      <x:c r="AA447" s="2"/>
      <x:c r="AB447" s="2"/>
      <x:c r="AC447" s="10" t="n">
        <x:f>IF(OR(K447="",Q447=""),"",ROUND((Q447-K447)*1440,2))</x:f>
        <x:v>36.5</x:v>
      </x:c>
    </x:row>
    <x:row r="448" ht="21" customHeight="1">
      <x:c r="A448" s="2" t="str">
        <x:v>LN00447</x:v>
      </x:c>
      <x:c r="B448" s="2" t="str">
        <x:v>T20261005-2-3</x:v>
      </x:c>
      <x:c r="C448" s="7" t="n">
        <x:v>46300</x:v>
      </x:c>
      <x:c r="D448" s="2" t="str">
        <x:v>BUS003</x:v>
      </x:c>
      <x:c r="E448" s="2" t="str">
        <x:v>ST117</x:v>
      </x:c>
      <x:c r="F448" s="2" t="n">
        <x:v>2</x:v>
      </x:c>
      <x:c r="G448" s="2" t="str">
        <x:v>Senior</x:v>
      </x:c>
      <x:c r="H448" s="2" t="str">
        <x:v>Pickup</x:v>
      </x:c>
      <x:c r="I448" s="2" t="str">
        <x:v>R3S1</x:v>
      </x:c>
      <x:c r="J448" s="2" t="str">
        <x:v>EV000887</x:v>
      </x:c>
      <x:c r="K448" s="8" t="n">
        <x:v>46300.47173611111</x:v>
      </x:c>
      <x:c r="L448" s="2" t="str">
        <x:v>R3S1</x:v>
      </x:c>
      <x:c r="M448" s="9" t="n">
        <x:v>25.289</x:v>
      </x:c>
      <x:c r="N448" s="9" t="n">
        <x:v>51.507</x:v>
      </x:c>
      <x:c r="O448" s="2" t="str">
        <x:v>Valid</x:v>
      </x:c>
      <x:c r="P448" s="2" t="str">
        <x:v>EV000888</x:v>
      </x:c>
      <x:c r="Q448" s="8" t="n">
        <x:v>46300.50680555556</x:v>
      </x:c>
      <x:c r="R448" s="2" t="str">
        <x:v>SCH01</x:v>
      </x:c>
      <x:c r="S448" s="9" t="n">
        <x:v>25.285</x:v>
      </x:c>
      <x:c r="T448" s="9" t="n">
        <x:v>51.51</x:v>
      </x:c>
      <x:c r="U448" s="2" t="str">
        <x:v>SCHOOL_RECEIVER_01</x:v>
      </x:c>
      <x:c r="V448" s="2" t="str">
        <x:v>School staff receipt</x:v>
      </x:c>
      <x:c r="W448" s="2" t="str">
        <x:v>Completed transport</x:v>
      </x:c>
      <x:c r="X448" s="2" t="str">
        <x:v>QR</x:v>
      </x:c>
      <x:c r="Y448" s="2" t="str">
        <x:v>Online</x:v>
      </x:c>
      <x:c r="Z448" s="2" t="str">
        <x:v>Synced</x:v>
      </x:c>
      <x:c r="AA448" s="2"/>
      <x:c r="AB448" s="2"/>
      <x:c r="AC448" s="10" t="n">
        <x:f>IF(OR(K448="",Q448=""),"",ROUND((Q448-K448)*1440,2))</x:f>
        <x:v>50.5</x:v>
      </x:c>
    </x:row>
    <x:row r="449" ht="21" customHeight="1">
      <x:c r="A449" s="2" t="str">
        <x:v>LN00448</x:v>
      </x:c>
      <x:c r="B449" s="2" t="str">
        <x:v>T20261005-2-3</x:v>
      </x:c>
      <x:c r="C449" s="7" t="n">
        <x:v>46300</x:v>
      </x:c>
      <x:c r="D449" s="2" t="str">
        <x:v>BUS003</x:v>
      </x:c>
      <x:c r="E449" s="2" t="str">
        <x:v>ST118</x:v>
      </x:c>
      <x:c r="F449" s="2" t="n">
        <x:v>2</x:v>
      </x:c>
      <x:c r="G449" s="2" t="str">
        <x:v>Senior</x:v>
      </x:c>
      <x:c r="H449" s="2" t="str">
        <x:v>Pickup</x:v>
      </x:c>
      <x:c r="I449" s="2" t="str">
        <x:v>R3S2</x:v>
      </x:c>
      <x:c r="J449" s="2" t="str">
        <x:v>EV000889</x:v>
      </x:c>
      <x:c r="K449" s="8" t="n">
        <x:v>46300.47663194444</x:v>
      </x:c>
      <x:c r="L449" s="2" t="str">
        <x:v>R3S2</x:v>
      </x:c>
      <x:c r="M449" s="9" t="n">
        <x:v>25.291000000000004</x:v>
      </x:c>
      <x:c r="N449" s="9" t="n">
        <x:v>51.51</x:v>
      </x:c>
      <x:c r="O449" s="2" t="str">
        <x:v>Valid</x:v>
      </x:c>
      <x:c r="P449" s="2" t="str">
        <x:v>EV000890</x:v>
      </x:c>
      <x:c r="Q449" s="8" t="n">
        <x:v>46300.50684027778</x:v>
      </x:c>
      <x:c r="R449" s="2" t="str">
        <x:v>SCH01</x:v>
      </x:c>
      <x:c r="S449" s="9" t="n">
        <x:v>25.285</x:v>
      </x:c>
      <x:c r="T449" s="9" t="n">
        <x:v>51.51</x:v>
      </x:c>
      <x:c r="U449" s="2" t="str">
        <x:v>SCHOOL_RECEIVER_01</x:v>
      </x:c>
      <x:c r="V449" s="2" t="str">
        <x:v>School staff receipt</x:v>
      </x:c>
      <x:c r="W449" s="2" t="str">
        <x:v>Completed transport</x:v>
      </x:c>
      <x:c r="X449" s="2" t="str">
        <x:v>QR</x:v>
      </x:c>
      <x:c r="Y449" s="2" t="str">
        <x:v>Online</x:v>
      </x:c>
      <x:c r="Z449" s="2" t="str">
        <x:v>Synced</x:v>
      </x:c>
      <x:c r="AA449" s="2"/>
      <x:c r="AB449" s="2"/>
      <x:c r="AC449" s="10" t="n">
        <x:f>IF(OR(K449="",Q449=""),"",ROUND((Q449-K449)*1440,2))</x:f>
        <x:v>43.5</x:v>
      </x:c>
    </x:row>
    <x:row r="450" ht="21" customHeight="1">
      <x:c r="A450" s="2" t="str">
        <x:v>LN00449</x:v>
      </x:c>
      <x:c r="B450" s="2" t="str">
        <x:v>T20261005-2-3</x:v>
      </x:c>
      <x:c r="C450" s="7" t="n">
        <x:v>46300</x:v>
      </x:c>
      <x:c r="D450" s="2" t="str">
        <x:v>BUS003</x:v>
      </x:c>
      <x:c r="E450" s="2" t="str">
        <x:v>ST119</x:v>
      </x:c>
      <x:c r="F450" s="2" t="n">
        <x:v>2</x:v>
      </x:c>
      <x:c r="G450" s="2" t="str">
        <x:v>Senior</x:v>
      </x:c>
      <x:c r="H450" s="2" t="str">
        <x:v>Pickup</x:v>
      </x:c>
      <x:c r="I450" s="2" t="str">
        <x:v>R3S3</x:v>
      </x:c>
      <x:c r="J450" s="2" t="str">
        <x:v>EV000891</x:v>
      </x:c>
      <x:c r="K450" s="8" t="n">
        <x:v>46300.481527777774</x:v>
      </x:c>
      <x:c r="L450" s="2" t="str">
        <x:v>R3S3</x:v>
      </x:c>
      <x:c r="M450" s="9" t="n">
        <x:v>25.293000000000003</x:v>
      </x:c>
      <x:c r="N450" s="9" t="n">
        <x:v>51.513</x:v>
      </x:c>
      <x:c r="O450" s="2" t="str">
        <x:v>Valid</x:v>
      </x:c>
      <x:c r="P450" s="2" t="str">
        <x:v>EV000892</x:v>
      </x:c>
      <x:c r="Q450" s="8" t="n">
        <x:v>46300.50687500001</x:v>
      </x:c>
      <x:c r="R450" s="2" t="str">
        <x:v>SCH01</x:v>
      </x:c>
      <x:c r="S450" s="9" t="n">
        <x:v>25.285</x:v>
      </x:c>
      <x:c r="T450" s="9" t="n">
        <x:v>51.51</x:v>
      </x:c>
      <x:c r="U450" s="2" t="str">
        <x:v>SCHOOL_RECEIVER_01</x:v>
      </x:c>
      <x:c r="V450" s="2" t="str">
        <x:v>School staff receipt</x:v>
      </x:c>
      <x:c r="W450" s="2" t="str">
        <x:v>Completed transport</x:v>
      </x:c>
      <x:c r="X450" s="2" t="str">
        <x:v>QR</x:v>
      </x:c>
      <x:c r="Y450" s="2" t="str">
        <x:v>Online</x:v>
      </x:c>
      <x:c r="Z450" s="2" t="str">
        <x:v>Synced</x:v>
      </x:c>
      <x:c r="AA450" s="2"/>
      <x:c r="AB450" s="2"/>
      <x:c r="AC450" s="10" t="n">
        <x:f>IF(OR(K450="",Q450=""),"",ROUND((Q450-K450)*1440,2))</x:f>
        <x:v>36.5</x:v>
      </x:c>
    </x:row>
    <x:row r="451" ht="21" customHeight="1">
      <x:c r="A451" s="2" t="str">
        <x:v>LN00450</x:v>
      </x:c>
      <x:c r="B451" s="2" t="str">
        <x:v>T20261005-2-3</x:v>
      </x:c>
      <x:c r="C451" s="7" t="n">
        <x:v>46300</x:v>
      </x:c>
      <x:c r="D451" s="2" t="str">
        <x:v>BUS003</x:v>
      </x:c>
      <x:c r="E451" s="2" t="str">
        <x:v>ST120</x:v>
      </x:c>
      <x:c r="F451" s="2" t="n">
        <x:v>2</x:v>
      </x:c>
      <x:c r="G451" s="2" t="str">
        <x:v>Senior</x:v>
      </x:c>
      <x:c r="H451" s="2" t="str">
        <x:v>Pickup</x:v>
      </x:c>
      <x:c r="I451" s="2" t="str">
        <x:v>R3S1</x:v>
      </x:c>
      <x:c r="J451" s="2" t="str">
        <x:v>EV000893</x:v>
      </x:c>
      <x:c r="K451" s="8" t="n">
        <x:v>46300.47184027778</x:v>
      </x:c>
      <x:c r="L451" s="2" t="str">
        <x:v>R3S1</x:v>
      </x:c>
      <x:c r="M451" s="9" t="n">
        <x:v>25.289</x:v>
      </x:c>
      <x:c r="N451" s="9" t="n">
        <x:v>51.507</x:v>
      </x:c>
      <x:c r="O451" s="2" t="str">
        <x:v>Valid</x:v>
      </x:c>
      <x:c r="P451" s="2" t="str">
        <x:v>EV000894</x:v>
      </x:c>
      <x:c r="Q451" s="8" t="n">
        <x:v>46300.50690972222</x:v>
      </x:c>
      <x:c r="R451" s="2" t="str">
        <x:v>SCH01</x:v>
      </x:c>
      <x:c r="S451" s="9" t="n">
        <x:v>25.285</x:v>
      </x:c>
      <x:c r="T451" s="9" t="n">
        <x:v>51.51</x:v>
      </x:c>
      <x:c r="U451" s="2" t="str">
        <x:v>SCHOOL_RECEIVER_01</x:v>
      </x:c>
      <x:c r="V451" s="2" t="str">
        <x:v>School staff receipt</x:v>
      </x:c>
      <x:c r="W451" s="2" t="str">
        <x:v>Completed transport</x:v>
      </x:c>
      <x:c r="X451" s="2" t="str">
        <x:v>QR</x:v>
      </x:c>
      <x:c r="Y451" s="2" t="str">
        <x:v>Online</x:v>
      </x:c>
      <x:c r="Z451" s="2" t="str">
        <x:v>Synced</x:v>
      </x:c>
      <x:c r="AA451" s="2"/>
      <x:c r="AB451" s="2"/>
      <x:c r="AC451" s="10" t="n">
        <x:f>IF(OR(K451="",Q451=""),"",ROUND((Q451-K451)*1440,2))</x:f>
        <x:v>50.5</x:v>
      </x:c>
    </x:row>
    <x:row r="452" ht="21" customHeight="1">
      <x:c r="A452" s="2" t="str">
        <x:v>LN00451</x:v>
      </x:c>
      <x:c r="B452" s="2" t="str">
        <x:v>T20261005-3-3</x:v>
      </x:c>
      <x:c r="C452" s="7" t="n">
        <x:v>46300</x:v>
      </x:c>
      <x:c r="D452" s="2" t="str">
        <x:v>BUS003</x:v>
      </x:c>
      <x:c r="E452" s="2" t="str">
        <x:v>ST091</x:v>
      </x:c>
      <x:c r="F452" s="2" t="n">
        <x:v>1</x:v>
      </x:c>
      <x:c r="G452" s="2" t="str">
        <x:v>Senior</x:v>
      </x:c>
      <x:c r="H452" s="2" t="str">
        <x:v>Drop-off</x:v>
      </x:c>
      <x:c r="I452" s="2" t="str">
        <x:v>R3S2</x:v>
      </x:c>
      <x:c r="J452" s="2" t="str">
        <x:v>EV000895</x:v>
      </x:c>
      <x:c r="K452" s="8" t="n">
        <x:v>46300.57291666667</x:v>
      </x:c>
      <x:c r="L452" s="2" t="str">
        <x:v>SCH01</x:v>
      </x:c>
      <x:c r="M452" s="9" t="n">
        <x:v>25.285</x:v>
      </x:c>
      <x:c r="N452" s="9" t="n">
        <x:v>51.51</x:v>
      </x:c>
      <x:c r="O452" s="2" t="str">
        <x:v>Valid</x:v>
      </x:c>
      <x:c r="P452" s="2" t="str">
        <x:v>EV000896</x:v>
      </x:c>
      <x:c r="Q452" s="8" t="n">
        <x:v>46300.59027777778</x:v>
      </x:c>
      <x:c r="R452" s="2" t="str">
        <x:v>R3S2</x:v>
      </x:c>
      <x:c r="S452" s="9" t="n">
        <x:v>25.291000000000004</x:v>
      </x:c>
      <x:c r="T452" s="9" t="n">
        <x:v>51.51</x:v>
      </x:c>
      <x:c r="U452" s="2" t="str">
        <x:v>G091</x:v>
      </x:c>
      <x:c r="V452" s="2" t="str">
        <x:v>Authorized guardian release</x:v>
      </x:c>
      <x:c r="W452" s="2" t="str">
        <x:v>Completed transport</x:v>
      </x:c>
      <x:c r="X452" s="2" t="str">
        <x:v>QR</x:v>
      </x:c>
      <x:c r="Y452" s="2" t="str">
        <x:v>Online</x:v>
      </x:c>
      <x:c r="Z452" s="2" t="str">
        <x:v>Synced</x:v>
      </x:c>
      <x:c r="AA452" s="2"/>
      <x:c r="AB452" s="2"/>
      <x:c r="AC452" s="10" t="n">
        <x:f>IF(OR(K452="",Q452=""),"",ROUND((Q452-K452)*1440,2))</x:f>
        <x:v>25</x:v>
      </x:c>
    </x:row>
    <x:row r="453" ht="21" customHeight="1">
      <x:c r="A453" s="2" t="str">
        <x:v>LN00452</x:v>
      </x:c>
      <x:c r="B453" s="2" t="str">
        <x:v>T20261005-3-3</x:v>
      </x:c>
      <x:c r="C453" s="7" t="n">
        <x:v>46300</x:v>
      </x:c>
      <x:c r="D453" s="2" t="str">
        <x:v>BUS003</x:v>
      </x:c>
      <x:c r="E453" s="2" t="str">
        <x:v>ST092</x:v>
      </x:c>
      <x:c r="F453" s="2" t="n">
        <x:v>1</x:v>
      </x:c>
      <x:c r="G453" s="2" t="str">
        <x:v>Senior</x:v>
      </x:c>
      <x:c r="H453" s="2" t="str">
        <x:v>Drop-off</x:v>
      </x:c>
      <x:c r="I453" s="2" t="str">
        <x:v>R3S3</x:v>
      </x:c>
      <x:c r="J453" s="2" t="str">
        <x:v>EV000897</x:v>
      </x:c>
      <x:c r="K453" s="8" t="n">
        <x:v>46300.572951388895</x:v>
      </x:c>
      <x:c r="L453" s="2" t="str">
        <x:v>SCH01</x:v>
      </x:c>
      <x:c r="M453" s="9" t="n">
        <x:v>25.285</x:v>
      </x:c>
      <x:c r="N453" s="9" t="n">
        <x:v>51.51</x:v>
      </x:c>
      <x:c r="O453" s="2" t="str">
        <x:v>Valid</x:v>
      </x:c>
      <x:c r="P453" s="2" t="str">
        <x:v>EV000898</x:v>
      </x:c>
      <x:c r="Q453" s="8" t="n">
        <x:v>46300.59447916667</x:v>
      </x:c>
      <x:c r="R453" s="2" t="str">
        <x:v>R3S3</x:v>
      </x:c>
      <x:c r="S453" s="9" t="n">
        <x:v>25.293000000000003</x:v>
      </x:c>
      <x:c r="T453" s="9" t="n">
        <x:v>51.513</x:v>
      </x:c>
      <x:c r="U453" s="2" t="str">
        <x:v>G092</x:v>
      </x:c>
      <x:c r="V453" s="2" t="str">
        <x:v>Authorized guardian release</x:v>
      </x:c>
      <x:c r="W453" s="2" t="str">
        <x:v>Completed transport</x:v>
      </x:c>
      <x:c r="X453" s="2" t="str">
        <x:v>QR</x:v>
      </x:c>
      <x:c r="Y453" s="2" t="str">
        <x:v>Online</x:v>
      </x:c>
      <x:c r="Z453" s="2" t="str">
        <x:v>Synced</x:v>
      </x:c>
      <x:c r="AA453" s="2"/>
      <x:c r="AB453" s="2"/>
      <x:c r="AC453" s="10" t="n">
        <x:f>IF(OR(K453="",Q453=""),"",ROUND((Q453-K453)*1440,2))</x:f>
        <x:v>31</x:v>
      </x:c>
    </x:row>
    <x:row r="454" ht="21" customHeight="1">
      <x:c r="A454" s="2" t="str">
        <x:v>LN00453</x:v>
      </x:c>
      <x:c r="B454" s="2" t="str">
        <x:v>T20261005-3-3</x:v>
      </x:c>
      <x:c r="C454" s="7" t="n">
        <x:v>46300</x:v>
      </x:c>
      <x:c r="D454" s="2" t="str">
        <x:v>BUS003</x:v>
      </x:c>
      <x:c r="E454" s="2" t="str">
        <x:v>ST093</x:v>
      </x:c>
      <x:c r="F454" s="2" t="n">
        <x:v>1</x:v>
      </x:c>
      <x:c r="G454" s="2" t="str">
        <x:v>Senior</x:v>
      </x:c>
      <x:c r="H454" s="2" t="str">
        <x:v>Drop-off</x:v>
      </x:c>
      <x:c r="I454" s="2" t="str">
        <x:v>R3S1</x:v>
      </x:c>
      <x:c r="J454" s="2" t="str">
        <x:v>EV000899</x:v>
      </x:c>
      <x:c r="K454" s="8" t="n">
        <x:v>46300.57298611112</x:v>
      </x:c>
      <x:c r="L454" s="2" t="str">
        <x:v>SCH01</x:v>
      </x:c>
      <x:c r="M454" s="9" t="n">
        <x:v>25.285</x:v>
      </x:c>
      <x:c r="N454" s="9" t="n">
        <x:v>51.51</x:v>
      </x:c>
      <x:c r="O454" s="2" t="str">
        <x:v>Valid</x:v>
      </x:c>
      <x:c r="P454" s="2" t="str">
        <x:v>EV000900</x:v>
      </x:c>
      <x:c r="Q454" s="8" t="n">
        <x:v>46300.58618055556</x:v>
      </x:c>
      <x:c r="R454" s="2" t="str">
        <x:v>R3S1</x:v>
      </x:c>
      <x:c r="S454" s="9" t="n">
        <x:v>25.289</x:v>
      </x:c>
      <x:c r="T454" s="9" t="n">
        <x:v>51.507</x:v>
      </x:c>
      <x:c r="U454" s="2" t="str">
        <x:v>G093</x:v>
      </x:c>
      <x:c r="V454" s="2" t="str">
        <x:v>Authorized guardian release</x:v>
      </x:c>
      <x:c r="W454" s="2" t="str">
        <x:v>Completed transport</x:v>
      </x:c>
      <x:c r="X454" s="2" t="str">
        <x:v>QR</x:v>
      </x:c>
      <x:c r="Y454" s="2" t="str">
        <x:v>Online</x:v>
      </x:c>
      <x:c r="Z454" s="2" t="str">
        <x:v>Synced</x:v>
      </x:c>
      <x:c r="AA454" s="2"/>
      <x:c r="AB454" s="2"/>
      <x:c r="AC454" s="10" t="n">
        <x:f>IF(OR(K454="",Q454=""),"",ROUND((Q454-K454)*1440,2))</x:f>
        <x:v>19</x:v>
      </x:c>
    </x:row>
    <x:row r="455" ht="21" customHeight="1">
      <x:c r="A455" s="2" t="str">
        <x:v>LN00454</x:v>
      </x:c>
      <x:c r="B455" s="2" t="str">
        <x:v>T20261005-3-3</x:v>
      </x:c>
      <x:c r="C455" s="7" t="n">
        <x:v>46300</x:v>
      </x:c>
      <x:c r="D455" s="2" t="str">
        <x:v>BUS003</x:v>
      </x:c>
      <x:c r="E455" s="2" t="str">
        <x:v>ST094</x:v>
      </x:c>
      <x:c r="F455" s="2" t="n">
        <x:v>1</x:v>
      </x:c>
      <x:c r="G455" s="2" t="str">
        <x:v>Senior</x:v>
      </x:c>
      <x:c r="H455" s="2" t="str">
        <x:v>Drop-off</x:v>
      </x:c>
      <x:c r="I455" s="2" t="str">
        <x:v>R3S2</x:v>
      </x:c>
      <x:c r="J455" s="2" t="str">
        <x:v>EV000901</x:v>
      </x:c>
      <x:c r="K455" s="8" t="n">
        <x:v>46300.57302083334</x:v>
      </x:c>
      <x:c r="L455" s="2" t="str">
        <x:v>SCH01</x:v>
      </x:c>
      <x:c r="M455" s="9" t="n">
        <x:v>25.285</x:v>
      </x:c>
      <x:c r="N455" s="9" t="n">
        <x:v>51.51</x:v>
      </x:c>
      <x:c r="O455" s="2" t="str">
        <x:v>Valid</x:v>
      </x:c>
      <x:c r="P455" s="2" t="str">
        <x:v>EV000902</x:v>
      </x:c>
      <x:c r="Q455" s="8" t="n">
        <x:v>46300.59038194445</x:v>
      </x:c>
      <x:c r="R455" s="2" t="str">
        <x:v>R3S2</x:v>
      </x:c>
      <x:c r="S455" s="9" t="n">
        <x:v>25.291000000000004</x:v>
      </x:c>
      <x:c r="T455" s="9" t="n">
        <x:v>51.51</x:v>
      </x:c>
      <x:c r="U455" s="2" t="str">
        <x:v>G094</x:v>
      </x:c>
      <x:c r="V455" s="2" t="str">
        <x:v>Authorized guardian release</x:v>
      </x:c>
      <x:c r="W455" s="2" t="str">
        <x:v>Completed transport</x:v>
      </x:c>
      <x:c r="X455" s="2" t="str">
        <x:v>QR</x:v>
      </x:c>
      <x:c r="Y455" s="2" t="str">
        <x:v>Online</x:v>
      </x:c>
      <x:c r="Z455" s="2" t="str">
        <x:v>Synced</x:v>
      </x:c>
      <x:c r="AA455" s="2"/>
      <x:c r="AB455" s="2"/>
      <x:c r="AC455" s="10" t="n">
        <x:f>IF(OR(K455="",Q455=""),"",ROUND((Q455-K455)*1440,2))</x:f>
        <x:v>25</x:v>
      </x:c>
    </x:row>
    <x:row r="456" ht="21" customHeight="1">
      <x:c r="A456" s="2" t="str">
        <x:v>LN00455</x:v>
      </x:c>
      <x:c r="B456" s="2" t="str">
        <x:v>T20261005-3-3</x:v>
      </x:c>
      <x:c r="C456" s="7" t="n">
        <x:v>46300</x:v>
      </x:c>
      <x:c r="D456" s="2" t="str">
        <x:v>BUS003</x:v>
      </x:c>
      <x:c r="E456" s="2" t="str">
        <x:v>ST095</x:v>
      </x:c>
      <x:c r="F456" s="2" t="n">
        <x:v>1</x:v>
      </x:c>
      <x:c r="G456" s="2" t="str">
        <x:v>Senior</x:v>
      </x:c>
      <x:c r="H456" s="2" t="str">
        <x:v>Drop-off</x:v>
      </x:c>
      <x:c r="I456" s="2" t="str">
        <x:v>R3S3</x:v>
      </x:c>
      <x:c r="J456" s="2" t="str">
        <x:v>EV000903</x:v>
      </x:c>
      <x:c r="K456" s="8" t="n">
        <x:v>46300.573055555564</x:v>
      </x:c>
      <x:c r="L456" s="2" t="str">
        <x:v>SCH01</x:v>
      </x:c>
      <x:c r="M456" s="9" t="n">
        <x:v>25.285</x:v>
      </x:c>
      <x:c r="N456" s="9" t="n">
        <x:v>51.51</x:v>
      </x:c>
      <x:c r="O456" s="2" t="str">
        <x:v>Valid</x:v>
      </x:c>
      <x:c r="P456" s="2" t="str">
        <x:v>EV000904</x:v>
      </x:c>
      <x:c r="Q456" s="8" t="n">
        <x:v>46300.59458333334</x:v>
      </x:c>
      <x:c r="R456" s="2" t="str">
        <x:v>R3S3</x:v>
      </x:c>
      <x:c r="S456" s="9" t="n">
        <x:v>25.293000000000003</x:v>
      </x:c>
      <x:c r="T456" s="9" t="n">
        <x:v>51.513</x:v>
      </x:c>
      <x:c r="U456" s="2" t="str">
        <x:v>G095</x:v>
      </x:c>
      <x:c r="V456" s="2" t="str">
        <x:v>Authorized guardian release</x:v>
      </x:c>
      <x:c r="W456" s="2" t="str">
        <x:v>Completed transport</x:v>
      </x:c>
      <x:c r="X456" s="2" t="str">
        <x:v>QR</x:v>
      </x:c>
      <x:c r="Y456" s="2" t="str">
        <x:v>Online</x:v>
      </x:c>
      <x:c r="Z456" s="2" t="str">
        <x:v>Synced</x:v>
      </x:c>
      <x:c r="AA456" s="2"/>
      <x:c r="AB456" s="2"/>
      <x:c r="AC456" s="10" t="n">
        <x:f>IF(OR(K456="",Q456=""),"",ROUND((Q456-K456)*1440,2))</x:f>
        <x:v>31</x:v>
      </x:c>
    </x:row>
    <x:row r="457" ht="21" customHeight="1">
      <x:c r="A457" s="2" t="str">
        <x:v>LN00456</x:v>
      </x:c>
      <x:c r="B457" s="2" t="str">
        <x:v>T20261005-3-3</x:v>
      </x:c>
      <x:c r="C457" s="7" t="n">
        <x:v>46300</x:v>
      </x:c>
      <x:c r="D457" s="2" t="str">
        <x:v>BUS003</x:v>
      </x:c>
      <x:c r="E457" s="2" t="str">
        <x:v>ST096</x:v>
      </x:c>
      <x:c r="F457" s="2" t="n">
        <x:v>1</x:v>
      </x:c>
      <x:c r="G457" s="2" t="str">
        <x:v>Senior</x:v>
      </x:c>
      <x:c r="H457" s="2" t="str">
        <x:v>Drop-off</x:v>
      </x:c>
      <x:c r="I457" s="2" t="str">
        <x:v>R3S1</x:v>
      </x:c>
      <x:c r="J457" s="2" t="str">
        <x:v>EV000905</x:v>
      </x:c>
      <x:c r="K457" s="8" t="n">
        <x:v>46300.57309027778</x:v>
      </x:c>
      <x:c r="L457" s="2" t="str">
        <x:v>SCH01</x:v>
      </x:c>
      <x:c r="M457" s="9" t="n">
        <x:v>25.285</x:v>
      </x:c>
      <x:c r="N457" s="9" t="n">
        <x:v>51.51</x:v>
      </x:c>
      <x:c r="O457" s="2" t="str">
        <x:v>Valid</x:v>
      </x:c>
      <x:c r="P457" s="2" t="str">
        <x:v>EV000906</x:v>
      </x:c>
      <x:c r="Q457" s="8" t="n">
        <x:v>46300.58628472222</x:v>
      </x:c>
      <x:c r="R457" s="2" t="str">
        <x:v>R3S1</x:v>
      </x:c>
      <x:c r="S457" s="9" t="n">
        <x:v>25.289</x:v>
      </x:c>
      <x:c r="T457" s="9" t="n">
        <x:v>51.507</x:v>
      </x:c>
      <x:c r="U457" s="2" t="str">
        <x:v>G096</x:v>
      </x:c>
      <x:c r="V457" s="2" t="str">
        <x:v>Authorized guardian release</x:v>
      </x:c>
      <x:c r="W457" s="2" t="str">
        <x:v>Completed transport</x:v>
      </x:c>
      <x:c r="X457" s="2" t="str">
        <x:v>QR</x:v>
      </x:c>
      <x:c r="Y457" s="2" t="str">
        <x:v>Online</x:v>
      </x:c>
      <x:c r="Z457" s="2" t="str">
        <x:v>Synced</x:v>
      </x:c>
      <x:c r="AA457" s="2"/>
      <x:c r="AB457" s="2"/>
      <x:c r="AC457" s="10" t="n">
        <x:f>IF(OR(K457="",Q457=""),"",ROUND((Q457-K457)*1440,2))</x:f>
        <x:v>19</x:v>
      </x:c>
    </x:row>
    <x:row r="458" ht="21" customHeight="1">
      <x:c r="A458" s="2" t="str">
        <x:v>LN00457</x:v>
      </x:c>
      <x:c r="B458" s="2" t="str">
        <x:v>T20261005-3-3</x:v>
      </x:c>
      <x:c r="C458" s="7" t="n">
        <x:v>46300</x:v>
      </x:c>
      <x:c r="D458" s="2" t="str">
        <x:v>BUS003</x:v>
      </x:c>
      <x:c r="E458" s="2" t="str">
        <x:v>ST097</x:v>
      </x:c>
      <x:c r="F458" s="2" t="n">
        <x:v>1</x:v>
      </x:c>
      <x:c r="G458" s="2" t="str">
        <x:v>Senior</x:v>
      </x:c>
      <x:c r="H458" s="2" t="str">
        <x:v>Drop-off</x:v>
      </x:c>
      <x:c r="I458" s="2" t="str">
        <x:v>R3S2</x:v>
      </x:c>
      <x:c r="J458" s="2" t="str">
        <x:v>EV000907</x:v>
      </x:c>
      <x:c r="K458" s="8" t="n">
        <x:v>46300.573125</x:v>
      </x:c>
      <x:c r="L458" s="2" t="str">
        <x:v>SCH01</x:v>
      </x:c>
      <x:c r="M458" s="9" t="n">
        <x:v>25.285</x:v>
      </x:c>
      <x:c r="N458" s="9" t="n">
        <x:v>51.51</x:v>
      </x:c>
      <x:c r="O458" s="2" t="str">
        <x:v>Valid</x:v>
      </x:c>
      <x:c r="P458" s="2" t="str">
        <x:v>EV000908</x:v>
      </x:c>
      <x:c r="Q458" s="8" t="n">
        <x:v>46300.59048611111</x:v>
      </x:c>
      <x:c r="R458" s="2" t="str">
        <x:v>R3S2</x:v>
      </x:c>
      <x:c r="S458" s="9" t="n">
        <x:v>25.291000000000004</x:v>
      </x:c>
      <x:c r="T458" s="9" t="n">
        <x:v>51.51</x:v>
      </x:c>
      <x:c r="U458" s="2" t="str">
        <x:v>G097</x:v>
      </x:c>
      <x:c r="V458" s="2" t="str">
        <x:v>Authorized guardian release</x:v>
      </x:c>
      <x:c r="W458" s="2" t="str">
        <x:v>Completed transport</x:v>
      </x:c>
      <x:c r="X458" s="2" t="str">
        <x:v>QR</x:v>
      </x:c>
      <x:c r="Y458" s="2" t="str">
        <x:v>Online</x:v>
      </x:c>
      <x:c r="Z458" s="2" t="str">
        <x:v>Synced</x:v>
      </x:c>
      <x:c r="AA458" s="2"/>
      <x:c r="AB458" s="2"/>
      <x:c r="AC458" s="10" t="n">
        <x:f>IF(OR(K458="",Q458=""),"",ROUND((Q458-K458)*1440,2))</x:f>
        <x:v>25</x:v>
      </x:c>
    </x:row>
    <x:row r="459" ht="21" customHeight="1">
      <x:c r="A459" s="2" t="str">
        <x:v>LN00458</x:v>
      </x:c>
      <x:c r="B459" s="2" t="str">
        <x:v>T20261005-3-3</x:v>
      </x:c>
      <x:c r="C459" s="7" t="n">
        <x:v>46300</x:v>
      </x:c>
      <x:c r="D459" s="2" t="str">
        <x:v>BUS003</x:v>
      </x:c>
      <x:c r="E459" s="2" t="str">
        <x:v>ST098</x:v>
      </x:c>
      <x:c r="F459" s="2" t="n">
        <x:v>1</x:v>
      </x:c>
      <x:c r="G459" s="2" t="str">
        <x:v>Senior</x:v>
      </x:c>
      <x:c r="H459" s="2" t="str">
        <x:v>Drop-off</x:v>
      </x:c>
      <x:c r="I459" s="2" t="str">
        <x:v>R3S3</x:v>
      </x:c>
      <x:c r="J459" s="2" t="str">
        <x:v>EV000909</x:v>
      </x:c>
      <x:c r="K459" s="8" t="n">
        <x:v>46300.573159722226</x:v>
      </x:c>
      <x:c r="L459" s="2" t="str">
        <x:v>SCH01</x:v>
      </x:c>
      <x:c r="M459" s="9" t="n">
        <x:v>25.285</x:v>
      </x:c>
      <x:c r="N459" s="9" t="n">
        <x:v>51.51</x:v>
      </x:c>
      <x:c r="O459" s="2" t="str">
        <x:v>Valid</x:v>
      </x:c>
      <x:c r="P459" s="2" t="str">
        <x:v>EV000910</x:v>
      </x:c>
      <x:c r="Q459" s="8" t="n">
        <x:v>46300.5946875</x:v>
      </x:c>
      <x:c r="R459" s="2" t="str">
        <x:v>R3S3</x:v>
      </x:c>
      <x:c r="S459" s="9" t="n">
        <x:v>25.293000000000003</x:v>
      </x:c>
      <x:c r="T459" s="9" t="n">
        <x:v>51.513</x:v>
      </x:c>
      <x:c r="U459" s="2" t="str">
        <x:v>G098</x:v>
      </x:c>
      <x:c r="V459" s="2" t="str">
        <x:v>Authorized guardian release</x:v>
      </x:c>
      <x:c r="W459" s="2" t="str">
        <x:v>Completed transport</x:v>
      </x:c>
      <x:c r="X459" s="2" t="str">
        <x:v>QR</x:v>
      </x:c>
      <x:c r="Y459" s="2" t="str">
        <x:v>Online</x:v>
      </x:c>
      <x:c r="Z459" s="2" t="str">
        <x:v>Synced</x:v>
      </x:c>
      <x:c r="AA459" s="2"/>
      <x:c r="AB459" s="2"/>
      <x:c r="AC459" s="10" t="n">
        <x:f>IF(OR(K459="",Q459=""),"",ROUND((Q459-K459)*1440,2))</x:f>
        <x:v>31</x:v>
      </x:c>
    </x:row>
    <x:row r="460" ht="21" customHeight="1">
      <x:c r="A460" s="2" t="str">
        <x:v>LN00459</x:v>
      </x:c>
      <x:c r="B460" s="2" t="str">
        <x:v>T20261005-3-3</x:v>
      </x:c>
      <x:c r="C460" s="7" t="n">
        <x:v>46300</x:v>
      </x:c>
      <x:c r="D460" s="2" t="str">
        <x:v>BUS003</x:v>
      </x:c>
      <x:c r="E460" s="2" t="str">
        <x:v>ST099</x:v>
      </x:c>
      <x:c r="F460" s="2" t="n">
        <x:v>1</x:v>
      </x:c>
      <x:c r="G460" s="2" t="str">
        <x:v>Senior</x:v>
      </x:c>
      <x:c r="H460" s="2" t="str">
        <x:v>Drop-off</x:v>
      </x:c>
      <x:c r="I460" s="2" t="str">
        <x:v>R3S1</x:v>
      </x:c>
      <x:c r="J460" s="2" t="str">
        <x:v>EV000911</x:v>
      </x:c>
      <x:c r="K460" s="8" t="n">
        <x:v>46300.57319444445</x:v>
      </x:c>
      <x:c r="L460" s="2" t="str">
        <x:v>SCH01</x:v>
      </x:c>
      <x:c r="M460" s="9" t="n">
        <x:v>25.285</x:v>
      </x:c>
      <x:c r="N460" s="9" t="n">
        <x:v>51.51</x:v>
      </x:c>
      <x:c r="O460" s="2" t="str">
        <x:v>Valid</x:v>
      </x:c>
      <x:c r="P460" s="2" t="str">
        <x:v>EV000912</x:v>
      </x:c>
      <x:c r="Q460" s="8" t="n">
        <x:v>46300.58638888889</x:v>
      </x:c>
      <x:c r="R460" s="2" t="str">
        <x:v>R3S1</x:v>
      </x:c>
      <x:c r="S460" s="9" t="n">
        <x:v>25.289</x:v>
      </x:c>
      <x:c r="T460" s="9" t="n">
        <x:v>51.507</x:v>
      </x:c>
      <x:c r="U460" s="2" t="str">
        <x:v>G099</x:v>
      </x:c>
      <x:c r="V460" s="2" t="str">
        <x:v>Authorized guardian release</x:v>
      </x:c>
      <x:c r="W460" s="2" t="str">
        <x:v>Completed transport</x:v>
      </x:c>
      <x:c r="X460" s="2" t="str">
        <x:v>QR</x:v>
      </x:c>
      <x:c r="Y460" s="2" t="str">
        <x:v>Online</x:v>
      </x:c>
      <x:c r="Z460" s="2" t="str">
        <x:v>Synced</x:v>
      </x:c>
      <x:c r="AA460" s="2"/>
      <x:c r="AB460" s="2"/>
      <x:c r="AC460" s="10" t="n">
        <x:f>IF(OR(K460="",Q460=""),"",ROUND((Q460-K460)*1440,2))</x:f>
        <x:v>19</x:v>
      </x:c>
    </x:row>
    <x:row r="461" ht="21" customHeight="1">
      <x:c r="A461" s="2" t="str">
        <x:v>LN00460</x:v>
      </x:c>
      <x:c r="B461" s="2" t="str">
        <x:v>T20261005-3-3</x:v>
      </x:c>
      <x:c r="C461" s="7" t="n">
        <x:v>46300</x:v>
      </x:c>
      <x:c r="D461" s="2" t="str">
        <x:v>BUS003</x:v>
      </x:c>
      <x:c r="E461" s="2" t="str">
        <x:v>ST100</x:v>
      </x:c>
      <x:c r="F461" s="2" t="n">
        <x:v>1</x:v>
      </x:c>
      <x:c r="G461" s="2" t="str">
        <x:v>Senior</x:v>
      </x:c>
      <x:c r="H461" s="2" t="str">
        <x:v>Drop-off</x:v>
      </x:c>
      <x:c r="I461" s="2" t="str">
        <x:v>R3S2</x:v>
      </x:c>
      <x:c r="J461" s="2" t="str">
        <x:v>EV000913</x:v>
      </x:c>
      <x:c r="K461" s="8" t="n">
        <x:v>46300.57322916667</x:v>
      </x:c>
      <x:c r="L461" s="2" t="str">
        <x:v>SCH01</x:v>
      </x:c>
      <x:c r="M461" s="9" t="n">
        <x:v>25.285</x:v>
      </x:c>
      <x:c r="N461" s="9" t="n">
        <x:v>51.51</x:v>
      </x:c>
      <x:c r="O461" s="2" t="str">
        <x:v>Valid</x:v>
      </x:c>
      <x:c r="P461" s="2" t="str">
        <x:v>EV000914</x:v>
      </x:c>
      <x:c r="Q461" s="8" t="n">
        <x:v>46300.59059027778</x:v>
      </x:c>
      <x:c r="R461" s="2" t="str">
        <x:v>R3S2</x:v>
      </x:c>
      <x:c r="S461" s="9" t="n">
        <x:v>25.291000000000004</x:v>
      </x:c>
      <x:c r="T461" s="9" t="n">
        <x:v>51.51</x:v>
      </x:c>
      <x:c r="U461" s="2" t="str">
        <x:v>G100</x:v>
      </x:c>
      <x:c r="V461" s="2" t="str">
        <x:v>Authorized guardian release</x:v>
      </x:c>
      <x:c r="W461" s="2" t="str">
        <x:v>Completed transport</x:v>
      </x:c>
      <x:c r="X461" s="2" t="str">
        <x:v>QR</x:v>
      </x:c>
      <x:c r="Y461" s="2" t="str">
        <x:v>Online</x:v>
      </x:c>
      <x:c r="Z461" s="2" t="str">
        <x:v>Synced</x:v>
      </x:c>
      <x:c r="AA461" s="2"/>
      <x:c r="AB461" s="2"/>
      <x:c r="AC461" s="10" t="n">
        <x:f>IF(OR(K461="",Q461=""),"",ROUND((Q461-K461)*1440,2))</x:f>
        <x:v>25</x:v>
      </x:c>
    </x:row>
    <x:row r="462" ht="21" customHeight="1">
      <x:c r="A462" s="2" t="str">
        <x:v>LN00461</x:v>
      </x:c>
      <x:c r="B462" s="2" t="str">
        <x:v>T20261005-4-3</x:v>
      </x:c>
      <x:c r="C462" s="7" t="n">
        <x:v>46300</x:v>
      </x:c>
      <x:c r="D462" s="2" t="str">
        <x:v>BUS003</x:v>
      </x:c>
      <x:c r="E462" s="2" t="str">
        <x:v>ST101</x:v>
      </x:c>
      <x:c r="F462" s="2" t="n">
        <x:v>2</x:v>
      </x:c>
      <x:c r="G462" s="2" t="str">
        <x:v>Junior</x:v>
      </x:c>
      <x:c r="H462" s="2" t="str">
        <x:v>Drop-off</x:v>
      </x:c>
      <x:c r="I462" s="2" t="str">
        <x:v>R3S3</x:v>
      </x:c>
      <x:c r="J462" s="2" t="str">
        <x:v>EV000915</x:v>
      </x:c>
      <x:c r="K462" s="8" t="n">
        <x:v>46300.60416666667</x:v>
      </x:c>
      <x:c r="L462" s="2" t="str">
        <x:v>SCH01</x:v>
      </x:c>
      <x:c r="M462" s="9" t="n">
        <x:v>25.285</x:v>
      </x:c>
      <x:c r="N462" s="9" t="n">
        <x:v>51.51</x:v>
      </x:c>
      <x:c r="O462" s="2" t="str">
        <x:v>Valid</x:v>
      </x:c>
      <x:c r="P462" s="2" t="str">
        <x:v>EV000916</x:v>
      </x:c>
      <x:c r="Q462" s="8" t="n">
        <x:v>46300.62708333333</x:v>
      </x:c>
      <x:c r="R462" s="2" t="str">
        <x:v>R3S3</x:v>
      </x:c>
      <x:c r="S462" s="9" t="n">
        <x:v>25.293000000000003</x:v>
      </x:c>
      <x:c r="T462" s="9" t="n">
        <x:v>51.513</x:v>
      </x:c>
      <x:c r="U462" s="2" t="str">
        <x:v>G101</x:v>
      </x:c>
      <x:c r="V462" s="2" t="str">
        <x:v>Authorized guardian release</x:v>
      </x:c>
      <x:c r="W462" s="2" t="str">
        <x:v>Completed transport</x:v>
      </x:c>
      <x:c r="X462" s="2" t="str">
        <x:v>QR</x:v>
      </x:c>
      <x:c r="Y462" s="2" t="str">
        <x:v>Online</x:v>
      </x:c>
      <x:c r="Z462" s="2" t="str">
        <x:v>Synced</x:v>
      </x:c>
      <x:c r="AA462" s="2"/>
      <x:c r="AB462" s="2"/>
      <x:c r="AC462" s="10" t="n">
        <x:f>IF(OR(K462="",Q462=""),"",ROUND((Q462-K462)*1440,2))</x:f>
        <x:v>33</x:v>
      </x:c>
    </x:row>
    <x:row r="463" ht="21" customHeight="1">
      <x:c r="A463" s="2" t="str">
        <x:v>LN00462</x:v>
      </x:c>
      <x:c r="B463" s="2" t="str">
        <x:v>T20261005-4-3</x:v>
      </x:c>
      <x:c r="C463" s="7" t="n">
        <x:v>46300</x:v>
      </x:c>
      <x:c r="D463" s="2" t="str">
        <x:v>BUS003</x:v>
      </x:c>
      <x:c r="E463" s="2" t="str">
        <x:v>ST102</x:v>
      </x:c>
      <x:c r="F463" s="2" t="n">
        <x:v>2</x:v>
      </x:c>
      <x:c r="G463" s="2" t="str">
        <x:v>Junior</x:v>
      </x:c>
      <x:c r="H463" s="2" t="str">
        <x:v>Drop-off</x:v>
      </x:c>
      <x:c r="I463" s="2" t="str">
        <x:v>R3S1</x:v>
      </x:c>
      <x:c r="J463" s="2" t="str">
        <x:v>EV000917</x:v>
      </x:c>
      <x:c r="K463" s="8" t="n">
        <x:v>46300.604201388895</x:v>
      </x:c>
      <x:c r="L463" s="2" t="str">
        <x:v>SCH01</x:v>
      </x:c>
      <x:c r="M463" s="9" t="n">
        <x:v>25.285</x:v>
      </x:c>
      <x:c r="N463" s="9" t="n">
        <x:v>51.51</x:v>
      </x:c>
      <x:c r="O463" s="2" t="str">
        <x:v>Valid</x:v>
      </x:c>
      <x:c r="P463" s="2" t="str">
        <x:v>EV000918</x:v>
      </x:c>
      <x:c r="Q463" s="8" t="n">
        <x:v>46300.618784722225</x:v>
      </x:c>
      <x:c r="R463" s="2" t="str">
        <x:v>R3S1</x:v>
      </x:c>
      <x:c r="S463" s="9" t="n">
        <x:v>25.289</x:v>
      </x:c>
      <x:c r="T463" s="9" t="n">
        <x:v>51.507</x:v>
      </x:c>
      <x:c r="U463" s="2" t="str">
        <x:v>G102</x:v>
      </x:c>
      <x:c r="V463" s="2" t="str">
        <x:v>Authorized guardian release</x:v>
      </x:c>
      <x:c r="W463" s="2" t="str">
        <x:v>Completed transport</x:v>
      </x:c>
      <x:c r="X463" s="2" t="str">
        <x:v>QR</x:v>
      </x:c>
      <x:c r="Y463" s="2" t="str">
        <x:v>Online</x:v>
      </x:c>
      <x:c r="Z463" s="2" t="str">
        <x:v>Synced</x:v>
      </x:c>
      <x:c r="AA463" s="2"/>
      <x:c r="AB463" s="2"/>
      <x:c r="AC463" s="10" t="n">
        <x:f>IF(OR(K463="",Q463=""),"",ROUND((Q463-K463)*1440,2))</x:f>
        <x:v>21</x:v>
      </x:c>
    </x:row>
    <x:row r="464" ht="21" customHeight="1">
      <x:c r="A464" s="2" t="str">
        <x:v>LN00463</x:v>
      </x:c>
      <x:c r="B464" s="2" t="str">
        <x:v>T20261005-4-3</x:v>
      </x:c>
      <x:c r="C464" s="7" t="n">
        <x:v>46300</x:v>
      </x:c>
      <x:c r="D464" s="2" t="str">
        <x:v>BUS003</x:v>
      </x:c>
      <x:c r="E464" s="2" t="str">
        <x:v>ST103</x:v>
      </x:c>
      <x:c r="F464" s="2" t="n">
        <x:v>2</x:v>
      </x:c>
      <x:c r="G464" s="2" t="str">
        <x:v>Junior</x:v>
      </x:c>
      <x:c r="H464" s="2" t="str">
        <x:v>Drop-off</x:v>
      </x:c>
      <x:c r="I464" s="2" t="str">
        <x:v>R3S2</x:v>
      </x:c>
      <x:c r="J464" s="2" t="str">
        <x:v>EV000919</x:v>
      </x:c>
      <x:c r="K464" s="8" t="n">
        <x:v>46300.60423611112</x:v>
      </x:c>
      <x:c r="L464" s="2" t="str">
        <x:v>SCH01</x:v>
      </x:c>
      <x:c r="M464" s="9" t="n">
        <x:v>25.285</x:v>
      </x:c>
      <x:c r="N464" s="9" t="n">
        <x:v>51.51</x:v>
      </x:c>
      <x:c r="O464" s="2" t="str">
        <x:v>Valid</x:v>
      </x:c>
      <x:c r="P464" s="2" t="str">
        <x:v>EV000920</x:v>
      </x:c>
      <x:c r="Q464" s="8" t="n">
        <x:v>46300.62298611111</x:v>
      </x:c>
      <x:c r="R464" s="2" t="str">
        <x:v>R3S2</x:v>
      </x:c>
      <x:c r="S464" s="9" t="n">
        <x:v>25.291000000000004</x:v>
      </x:c>
      <x:c r="T464" s="9" t="n">
        <x:v>51.51</x:v>
      </x:c>
      <x:c r="U464" s="2" t="str">
        <x:v>G103</x:v>
      </x:c>
      <x:c r="V464" s="2" t="str">
        <x:v>Authorized guardian release</x:v>
      </x:c>
      <x:c r="W464" s="2" t="str">
        <x:v>Completed transport</x:v>
      </x:c>
      <x:c r="X464" s="2" t="str">
        <x:v>QR</x:v>
      </x:c>
      <x:c r="Y464" s="2" t="str">
        <x:v>Online</x:v>
      </x:c>
      <x:c r="Z464" s="2" t="str">
        <x:v>Synced</x:v>
      </x:c>
      <x:c r="AA464" s="2"/>
      <x:c r="AB464" s="2"/>
      <x:c r="AC464" s="10" t="n">
        <x:f>IF(OR(K464="",Q464=""),"",ROUND((Q464-K464)*1440,2))</x:f>
        <x:v>27</x:v>
      </x:c>
    </x:row>
    <x:row r="465" ht="21" customHeight="1">
      <x:c r="A465" s="2" t="str">
        <x:v>LN00464</x:v>
      </x:c>
      <x:c r="B465" s="2" t="str">
        <x:v>T20261005-4-3</x:v>
      </x:c>
      <x:c r="C465" s="7" t="n">
        <x:v>46300</x:v>
      </x:c>
      <x:c r="D465" s="2" t="str">
        <x:v>BUS003</x:v>
      </x:c>
      <x:c r="E465" s="2" t="str">
        <x:v>ST104</x:v>
      </x:c>
      <x:c r="F465" s="2" t="n">
        <x:v>2</x:v>
      </x:c>
      <x:c r="G465" s="2" t="str">
        <x:v>Junior</x:v>
      </x:c>
      <x:c r="H465" s="2" t="str">
        <x:v>Drop-off</x:v>
      </x:c>
      <x:c r="I465" s="2" t="str">
        <x:v>R3S3</x:v>
      </x:c>
      <x:c r="J465" s="2" t="str">
        <x:v>EV000921</x:v>
      </x:c>
      <x:c r="K465" s="8" t="n">
        <x:v>46300.60427083334</x:v>
      </x:c>
      <x:c r="L465" s="2" t="str">
        <x:v>SCH01</x:v>
      </x:c>
      <x:c r="M465" s="9" t="n">
        <x:v>25.285</x:v>
      </x:c>
      <x:c r="N465" s="9" t="n">
        <x:v>51.51</x:v>
      </x:c>
      <x:c r="O465" s="2" t="str">
        <x:v>Valid</x:v>
      </x:c>
      <x:c r="P465" s="2" t="str">
        <x:v>EV000922</x:v>
      </x:c>
      <x:c r="Q465" s="8" t="n">
        <x:v>46300.6271875</x:v>
      </x:c>
      <x:c r="R465" s="2" t="str">
        <x:v>R3S3</x:v>
      </x:c>
      <x:c r="S465" s="9" t="n">
        <x:v>25.293000000000003</x:v>
      </x:c>
      <x:c r="T465" s="9" t="n">
        <x:v>51.513</x:v>
      </x:c>
      <x:c r="U465" s="2" t="str">
        <x:v>G104</x:v>
      </x:c>
      <x:c r="V465" s="2" t="str">
        <x:v>Authorized guardian release</x:v>
      </x:c>
      <x:c r="W465" s="2" t="str">
        <x:v>Completed transport</x:v>
      </x:c>
      <x:c r="X465" s="2" t="str">
        <x:v>QR</x:v>
      </x:c>
      <x:c r="Y465" s="2" t="str">
        <x:v>Online</x:v>
      </x:c>
      <x:c r="Z465" s="2" t="str">
        <x:v>Synced</x:v>
      </x:c>
      <x:c r="AA465" s="2"/>
      <x:c r="AB465" s="2"/>
      <x:c r="AC465" s="10" t="n">
        <x:f>IF(OR(K465="",Q465=""),"",ROUND((Q465-K465)*1440,2))</x:f>
        <x:v>33</x:v>
      </x:c>
    </x:row>
    <x:row r="466" ht="21" customHeight="1">
      <x:c r="A466" s="2" t="str">
        <x:v>LN00465</x:v>
      </x:c>
      <x:c r="B466" s="2" t="str">
        <x:v>T20261005-4-3</x:v>
      </x:c>
      <x:c r="C466" s="7" t="n">
        <x:v>46300</x:v>
      </x:c>
      <x:c r="D466" s="2" t="str">
        <x:v>BUS003</x:v>
      </x:c>
      <x:c r="E466" s="2" t="str">
        <x:v>ST105</x:v>
      </x:c>
      <x:c r="F466" s="2" t="n">
        <x:v>2</x:v>
      </x:c>
      <x:c r="G466" s="2" t="str">
        <x:v>Junior</x:v>
      </x:c>
      <x:c r="H466" s="2" t="str">
        <x:v>Drop-off</x:v>
      </x:c>
      <x:c r="I466" s="2" t="str">
        <x:v>R3S1</x:v>
      </x:c>
      <x:c r="J466" s="2" t="str">
        <x:v>EV000923</x:v>
      </x:c>
      <x:c r="K466" s="8" t="n">
        <x:v>46300.604305555564</x:v>
      </x:c>
      <x:c r="L466" s="2" t="str">
        <x:v>SCH01</x:v>
      </x:c>
      <x:c r="M466" s="9" t="n">
        <x:v>25.285</x:v>
      </x:c>
      <x:c r="N466" s="9" t="n">
        <x:v>51.51</x:v>
      </x:c>
      <x:c r="O466" s="2" t="str">
        <x:v>Valid</x:v>
      </x:c>
      <x:c r="P466" s="2" t="str">
        <x:v>EV000924</x:v>
      </x:c>
      <x:c r="Q466" s="8" t="n">
        <x:v>46300.618888888894</x:v>
      </x:c>
      <x:c r="R466" s="2" t="str">
        <x:v>R3S1</x:v>
      </x:c>
      <x:c r="S466" s="9" t="n">
        <x:v>25.289</x:v>
      </x:c>
      <x:c r="T466" s="9" t="n">
        <x:v>51.507</x:v>
      </x:c>
      <x:c r="U466" s="2" t="str">
        <x:v>G105</x:v>
      </x:c>
      <x:c r="V466" s="2" t="str">
        <x:v>Authorized guardian release</x:v>
      </x:c>
      <x:c r="W466" s="2" t="str">
        <x:v>Completed transport</x:v>
      </x:c>
      <x:c r="X466" s="2" t="str">
        <x:v>QR</x:v>
      </x:c>
      <x:c r="Y466" s="2" t="str">
        <x:v>Online</x:v>
      </x:c>
      <x:c r="Z466" s="2" t="str">
        <x:v>Synced</x:v>
      </x:c>
      <x:c r="AA466" s="2"/>
      <x:c r="AB466" s="2"/>
      <x:c r="AC466" s="10" t="n">
        <x:f>IF(OR(K466="",Q466=""),"",ROUND((Q466-K466)*1440,2))</x:f>
        <x:v>21</x:v>
      </x:c>
    </x:row>
    <x:row r="467" ht="21" customHeight="1">
      <x:c r="A467" s="2" t="str">
        <x:v>LN00466</x:v>
      </x:c>
      <x:c r="B467" s="2" t="str">
        <x:v>T20261005-4-3</x:v>
      </x:c>
      <x:c r="C467" s="7" t="n">
        <x:v>46300</x:v>
      </x:c>
      <x:c r="D467" s="2" t="str">
        <x:v>BUS003</x:v>
      </x:c>
      <x:c r="E467" s="2" t="str">
        <x:v>ST106</x:v>
      </x:c>
      <x:c r="F467" s="2" t="n">
        <x:v>2</x:v>
      </x:c>
      <x:c r="G467" s="2" t="str">
        <x:v>Junior</x:v>
      </x:c>
      <x:c r="H467" s="2" t="str">
        <x:v>Drop-off</x:v>
      </x:c>
      <x:c r="I467" s="2" t="str">
        <x:v>R3S2</x:v>
      </x:c>
      <x:c r="J467" s="2" t="str">
        <x:v>EV000925</x:v>
      </x:c>
      <x:c r="K467" s="8" t="n">
        <x:v>46300.60434027778</x:v>
      </x:c>
      <x:c r="L467" s="2" t="str">
        <x:v>SCH01</x:v>
      </x:c>
      <x:c r="M467" s="9" t="n">
        <x:v>25.285</x:v>
      </x:c>
      <x:c r="N467" s="9" t="n">
        <x:v>51.51</x:v>
      </x:c>
      <x:c r="O467" s="2" t="str">
        <x:v>Valid</x:v>
      </x:c>
      <x:c r="P467" s="2" t="str">
        <x:v>EV000926</x:v>
      </x:c>
      <x:c r="Q467" s="8" t="n">
        <x:v>46300.623090277775</x:v>
      </x:c>
      <x:c r="R467" s="2" t="str">
        <x:v>R3S2</x:v>
      </x:c>
      <x:c r="S467" s="9" t="n">
        <x:v>25.291000000000004</x:v>
      </x:c>
      <x:c r="T467" s="9" t="n">
        <x:v>51.51</x:v>
      </x:c>
      <x:c r="U467" s="2" t="str">
        <x:v>G106</x:v>
      </x:c>
      <x:c r="V467" s="2" t="str">
        <x:v>Authorized guardian release</x:v>
      </x:c>
      <x:c r="W467" s="2" t="str">
        <x:v>Completed transport</x:v>
      </x:c>
      <x:c r="X467" s="2" t="str">
        <x:v>QR</x:v>
      </x:c>
      <x:c r="Y467" s="2" t="str">
        <x:v>Online</x:v>
      </x:c>
      <x:c r="Z467" s="2" t="str">
        <x:v>Synced</x:v>
      </x:c>
      <x:c r="AA467" s="2"/>
      <x:c r="AB467" s="2"/>
      <x:c r="AC467" s="10" t="n">
        <x:f>IF(OR(K467="",Q467=""),"",ROUND((Q467-K467)*1440,2))</x:f>
        <x:v>27</x:v>
      </x:c>
    </x:row>
    <x:row r="468" ht="21" customHeight="1">
      <x:c r="A468" s="2" t="str">
        <x:v>LN00467</x:v>
      </x:c>
      <x:c r="B468" s="2" t="str">
        <x:v>T20261005-4-3</x:v>
      </x:c>
      <x:c r="C468" s="7" t="n">
        <x:v>46300</x:v>
      </x:c>
      <x:c r="D468" s="2" t="str">
        <x:v>BUS003</x:v>
      </x:c>
      <x:c r="E468" s="2" t="str">
        <x:v>ST107</x:v>
      </x:c>
      <x:c r="F468" s="2" t="n">
        <x:v>2</x:v>
      </x:c>
      <x:c r="G468" s="2" t="str">
        <x:v>Junior</x:v>
      </x:c>
      <x:c r="H468" s="2" t="str">
        <x:v>Drop-off</x:v>
      </x:c>
      <x:c r="I468" s="2" t="str">
        <x:v>R3S3</x:v>
      </x:c>
      <x:c r="J468" s="2" t="str">
        <x:v>EV000927</x:v>
      </x:c>
      <x:c r="K468" s="8" t="n">
        <x:v>46300.604375</x:v>
      </x:c>
      <x:c r="L468" s="2" t="str">
        <x:v>SCH01</x:v>
      </x:c>
      <x:c r="M468" s="9" t="n">
        <x:v>25.285</x:v>
      </x:c>
      <x:c r="N468" s="9" t="n">
        <x:v>51.51</x:v>
      </x:c>
      <x:c r="O468" s="2" t="str">
        <x:v>Valid</x:v>
      </x:c>
      <x:c r="P468" s="2" t="str">
        <x:v>EV000928</x:v>
      </x:c>
      <x:c r="Q468" s="8" t="n">
        <x:v>46300.627291666664</x:v>
      </x:c>
      <x:c r="R468" s="2" t="str">
        <x:v>R3S3</x:v>
      </x:c>
      <x:c r="S468" s="9" t="n">
        <x:v>25.293000000000003</x:v>
      </x:c>
      <x:c r="T468" s="9" t="n">
        <x:v>51.513</x:v>
      </x:c>
      <x:c r="U468" s="2" t="str">
        <x:v>G107</x:v>
      </x:c>
      <x:c r="V468" s="2" t="str">
        <x:v>Authorized guardian release</x:v>
      </x:c>
      <x:c r="W468" s="2" t="str">
        <x:v>Completed transport</x:v>
      </x:c>
      <x:c r="X468" s="2" t="str">
        <x:v>QR</x:v>
      </x:c>
      <x:c r="Y468" s="2" t="str">
        <x:v>Online</x:v>
      </x:c>
      <x:c r="Z468" s="2" t="str">
        <x:v>Synced</x:v>
      </x:c>
      <x:c r="AA468" s="2"/>
      <x:c r="AB468" s="2"/>
      <x:c r="AC468" s="10" t="n">
        <x:f>IF(OR(K468="",Q468=""),"",ROUND((Q468-K468)*1440,2))</x:f>
        <x:v>33</x:v>
      </x:c>
    </x:row>
    <x:row r="469" ht="21" customHeight="1">
      <x:c r="A469" s="2" t="str">
        <x:v>LN00468</x:v>
      </x:c>
      <x:c r="B469" s="2" t="str">
        <x:v>T20261005-4-3</x:v>
      </x:c>
      <x:c r="C469" s="7" t="n">
        <x:v>46300</x:v>
      </x:c>
      <x:c r="D469" s="2" t="str">
        <x:v>BUS003</x:v>
      </x:c>
      <x:c r="E469" s="2" t="str">
        <x:v>ST108</x:v>
      </x:c>
      <x:c r="F469" s="2" t="n">
        <x:v>2</x:v>
      </x:c>
      <x:c r="G469" s="2" t="str">
        <x:v>Junior</x:v>
      </x:c>
      <x:c r="H469" s="2" t="str">
        <x:v>Drop-off</x:v>
      </x:c>
      <x:c r="I469" s="2" t="str">
        <x:v>R3S1</x:v>
      </x:c>
      <x:c r="J469" s="2" t="str">
        <x:v>EV000929</x:v>
      </x:c>
      <x:c r="K469" s="8" t="n">
        <x:v>46300.604409722226</x:v>
      </x:c>
      <x:c r="L469" s="2" t="str">
        <x:v>SCH01</x:v>
      </x:c>
      <x:c r="M469" s="9" t="n">
        <x:v>25.285</x:v>
      </x:c>
      <x:c r="N469" s="9" t="n">
        <x:v>51.51</x:v>
      </x:c>
      <x:c r="O469" s="2" t="str">
        <x:v>Valid</x:v>
      </x:c>
      <x:c r="P469" s="2" t="str">
        <x:v>EV000930</x:v>
      </x:c>
      <x:c r="Q469" s="8" t="n">
        <x:v>46300.618993055556</x:v>
      </x:c>
      <x:c r="R469" s="2" t="str">
        <x:v>R3S1</x:v>
      </x:c>
      <x:c r="S469" s="9" t="n">
        <x:v>25.289</x:v>
      </x:c>
      <x:c r="T469" s="9" t="n">
        <x:v>51.507</x:v>
      </x:c>
      <x:c r="U469" s="2" t="str">
        <x:v>G108</x:v>
      </x:c>
      <x:c r="V469" s="2" t="str">
        <x:v>Authorized guardian release</x:v>
      </x:c>
      <x:c r="W469" s="2" t="str">
        <x:v>Completed transport</x:v>
      </x:c>
      <x:c r="X469" s="2" t="str">
        <x:v>QR</x:v>
      </x:c>
      <x:c r="Y469" s="2" t="str">
        <x:v>Online</x:v>
      </x:c>
      <x:c r="Z469" s="2" t="str">
        <x:v>Synced</x:v>
      </x:c>
      <x:c r="AA469" s="2"/>
      <x:c r="AB469" s="2"/>
      <x:c r="AC469" s="10" t="n">
        <x:f>IF(OR(K469="",Q469=""),"",ROUND((Q469-K469)*1440,2))</x:f>
        <x:v>21</x:v>
      </x:c>
    </x:row>
    <x:row r="470" ht="21" customHeight="1">
      <x:c r="A470" s="2" t="str">
        <x:v>LN00469</x:v>
      </x:c>
      <x:c r="B470" s="2" t="str">
        <x:v>T20261005-4-3</x:v>
      </x:c>
      <x:c r="C470" s="7" t="n">
        <x:v>46300</x:v>
      </x:c>
      <x:c r="D470" s="2" t="str">
        <x:v>BUS003</x:v>
      </x:c>
      <x:c r="E470" s="2" t="str">
        <x:v>ST109</x:v>
      </x:c>
      <x:c r="F470" s="2" t="n">
        <x:v>2</x:v>
      </x:c>
      <x:c r="G470" s="2" t="str">
        <x:v>Junior</x:v>
      </x:c>
      <x:c r="H470" s="2" t="str">
        <x:v>Drop-off</x:v>
      </x:c>
      <x:c r="I470" s="2" t="str">
        <x:v>R3S2</x:v>
      </x:c>
      <x:c r="J470" s="2" t="str">
        <x:v>EV000931</x:v>
      </x:c>
      <x:c r="K470" s="8" t="n">
        <x:v>46300.60444444445</x:v>
      </x:c>
      <x:c r="L470" s="2" t="str">
        <x:v>SCH01</x:v>
      </x:c>
      <x:c r="M470" s="9" t="n">
        <x:v>25.285</x:v>
      </x:c>
      <x:c r="N470" s="9" t="n">
        <x:v>51.51</x:v>
      </x:c>
      <x:c r="O470" s="2" t="str">
        <x:v>Valid</x:v>
      </x:c>
      <x:c r="P470" s="2" t="str">
        <x:v>EV000932</x:v>
      </x:c>
      <x:c r="Q470" s="8" t="n">
        <x:v>46300.623194444444</x:v>
      </x:c>
      <x:c r="R470" s="2" t="str">
        <x:v>R3S2</x:v>
      </x:c>
      <x:c r="S470" s="9" t="n">
        <x:v>25.291000000000004</x:v>
      </x:c>
      <x:c r="T470" s="9" t="n">
        <x:v>51.51</x:v>
      </x:c>
      <x:c r="U470" s="2" t="str">
        <x:v>G109</x:v>
      </x:c>
      <x:c r="V470" s="2" t="str">
        <x:v>Authorized guardian release</x:v>
      </x:c>
      <x:c r="W470" s="2" t="str">
        <x:v>Completed transport</x:v>
      </x:c>
      <x:c r="X470" s="2" t="str">
        <x:v>QR</x:v>
      </x:c>
      <x:c r="Y470" s="2" t="str">
        <x:v>Online</x:v>
      </x:c>
      <x:c r="Z470" s="2" t="str">
        <x:v>Synced</x:v>
      </x:c>
      <x:c r="AA470" s="2"/>
      <x:c r="AB470" s="2"/>
      <x:c r="AC470" s="10" t="n">
        <x:f>IF(OR(K470="",Q470=""),"",ROUND((Q470-K470)*1440,2))</x:f>
        <x:v>27</x:v>
      </x:c>
    </x:row>
    <x:row r="471" ht="21" customHeight="1">
      <x:c r="A471" s="2" t="str">
        <x:v>LN00470</x:v>
      </x:c>
      <x:c r="B471" s="2" t="str">
        <x:v>T20261005-4-3</x:v>
      </x:c>
      <x:c r="C471" s="7" t="n">
        <x:v>46300</x:v>
      </x:c>
      <x:c r="D471" s="2" t="str">
        <x:v>BUS003</x:v>
      </x:c>
      <x:c r="E471" s="2" t="str">
        <x:v>ST110</x:v>
      </x:c>
      <x:c r="F471" s="2" t="n">
        <x:v>2</x:v>
      </x:c>
      <x:c r="G471" s="2" t="str">
        <x:v>Junior</x:v>
      </x:c>
      <x:c r="H471" s="2" t="str">
        <x:v>Drop-off</x:v>
      </x:c>
      <x:c r="I471" s="2" t="str">
        <x:v>R3S3</x:v>
      </x:c>
      <x:c r="J471" s="2" t="str">
        <x:v>EV000933</x:v>
      </x:c>
      <x:c r="K471" s="8" t="n">
        <x:v>46300.60447916667</x:v>
      </x:c>
      <x:c r="L471" s="2" t="str">
        <x:v>SCH01</x:v>
      </x:c>
      <x:c r="M471" s="9" t="n">
        <x:v>25.285</x:v>
      </x:c>
      <x:c r="N471" s="9" t="n">
        <x:v>51.51</x:v>
      </x:c>
      <x:c r="O471" s="2" t="str">
        <x:v>Valid</x:v>
      </x:c>
      <x:c r="P471" s="2" t="str">
        <x:v>EV000934</x:v>
      </x:c>
      <x:c r="Q471" s="8" t="n">
        <x:v>46300.62739583333</x:v>
      </x:c>
      <x:c r="R471" s="2" t="str">
        <x:v>R3S3</x:v>
      </x:c>
      <x:c r="S471" s="9" t="n">
        <x:v>25.293000000000003</x:v>
      </x:c>
      <x:c r="T471" s="9" t="n">
        <x:v>51.513</x:v>
      </x:c>
      <x:c r="U471" s="2" t="str">
        <x:v>G110</x:v>
      </x:c>
      <x:c r="V471" s="2" t="str">
        <x:v>Authorized guardian release</x:v>
      </x:c>
      <x:c r="W471" s="2" t="str">
        <x:v>Completed transport</x:v>
      </x:c>
      <x:c r="X471" s="2" t="str">
        <x:v>QR</x:v>
      </x:c>
      <x:c r="Y471" s="2" t="str">
        <x:v>Online</x:v>
      </x:c>
      <x:c r="Z471" s="2" t="str">
        <x:v>Synced</x:v>
      </x:c>
      <x:c r="AA471" s="2"/>
      <x:c r="AB471" s="2"/>
      <x:c r="AC471" s="10" t="n">
        <x:f>IF(OR(K471="",Q471=""),"",ROUND((Q471-K471)*1440,2))</x:f>
        <x:v>33</x:v>
      </x:c>
    </x:row>
    <x:row r="472" ht="21" customHeight="1">
      <x:c r="A472" s="2" t="str">
        <x:v>LN00471</x:v>
      </x:c>
      <x:c r="B472" s="2" t="str">
        <x:v>T20261005-5-3</x:v>
      </x:c>
      <x:c r="C472" s="7" t="n">
        <x:v>46300</x:v>
      </x:c>
      <x:c r="D472" s="2" t="str">
        <x:v>BUS003</x:v>
      </x:c>
      <x:c r="E472" s="2" t="str">
        <x:v>ST111</x:v>
      </x:c>
      <x:c r="F472" s="2" t="n">
        <x:v>2</x:v>
      </x:c>
      <x:c r="G472" s="2" t="str">
        <x:v>Senior</x:v>
      </x:c>
      <x:c r="H472" s="2" t="str">
        <x:v>Drop-off</x:v>
      </x:c>
      <x:c r="I472" s="2" t="str">
        <x:v>R3S1</x:v>
      </x:c>
      <x:c r="J472" s="2" t="str">
        <x:v>EV000935</x:v>
      </x:c>
      <x:c r="K472" s="8" t="n">
        <x:v>46300.70833333333</x:v>
      </x:c>
      <x:c r="L472" s="2" t="str">
        <x:v>SCH01</x:v>
      </x:c>
      <x:c r="M472" s="9" t="n">
        <x:v>25.285</x:v>
      </x:c>
      <x:c r="N472" s="9" t="n">
        <x:v>51.51</x:v>
      </x:c>
      <x:c r="O472" s="2" t="str">
        <x:v>Valid</x:v>
      </x:c>
      <x:c r="P472" s="2" t="str">
        <x:v>EV000936</x:v>
      </x:c>
      <x:c r="Q472" s="8" t="n">
        <x:v>46300.72361111111</x:v>
      </x:c>
      <x:c r="R472" s="2" t="str">
        <x:v>R3S1</x:v>
      </x:c>
      <x:c r="S472" s="9" t="n">
        <x:v>25.289</x:v>
      </x:c>
      <x:c r="T472" s="9" t="n">
        <x:v>51.507</x:v>
      </x:c>
      <x:c r="U472" s="2" t="str">
        <x:v>G111</x:v>
      </x:c>
      <x:c r="V472" s="2" t="str">
        <x:v>Authorized guardian release</x:v>
      </x:c>
      <x:c r="W472" s="2" t="str">
        <x:v>Completed transport</x:v>
      </x:c>
      <x:c r="X472" s="2" t="str">
        <x:v>QR</x:v>
      </x:c>
      <x:c r="Y472" s="2" t="str">
        <x:v>Online</x:v>
      </x:c>
      <x:c r="Z472" s="2" t="str">
        <x:v>Synced</x:v>
      </x:c>
      <x:c r="AA472" s="2"/>
      <x:c r="AB472" s="2"/>
      <x:c r="AC472" s="10" t="n">
        <x:f>IF(OR(K472="",Q472=""),"",ROUND((Q472-K472)*1440,2))</x:f>
        <x:v>22</x:v>
      </x:c>
    </x:row>
    <x:row r="473" ht="21" customHeight="1">
      <x:c r="A473" s="2" t="str">
        <x:v>LN00472</x:v>
      </x:c>
      <x:c r="B473" s="2" t="str">
        <x:v>T20261005-5-3</x:v>
      </x:c>
      <x:c r="C473" s="7" t="n">
        <x:v>46300</x:v>
      </x:c>
      <x:c r="D473" s="2" t="str">
        <x:v>BUS003</x:v>
      </x:c>
      <x:c r="E473" s="2" t="str">
        <x:v>ST112</x:v>
      </x:c>
      <x:c r="F473" s="2" t="n">
        <x:v>2</x:v>
      </x:c>
      <x:c r="G473" s="2" t="str">
        <x:v>Senior</x:v>
      </x:c>
      <x:c r="H473" s="2" t="str">
        <x:v>Drop-off</x:v>
      </x:c>
      <x:c r="I473" s="2" t="str">
        <x:v>R3S2</x:v>
      </x:c>
      <x:c r="J473" s="2" t="str">
        <x:v>EV000937</x:v>
      </x:c>
      <x:c r="K473" s="8" t="n">
        <x:v>46300.70836805555</x:v>
      </x:c>
      <x:c r="L473" s="2" t="str">
        <x:v>SCH01</x:v>
      </x:c>
      <x:c r="M473" s="9" t="n">
        <x:v>25.285</x:v>
      </x:c>
      <x:c r="N473" s="9" t="n">
        <x:v>51.51</x:v>
      </x:c>
      <x:c r="O473" s="2" t="str">
        <x:v>Valid</x:v>
      </x:c>
      <x:c r="P473" s="2" t="str">
        <x:v>EV000938</x:v>
      </x:c>
      <x:c r="Q473" s="8" t="n">
        <x:v>46300.72850694445</x:v>
      </x:c>
      <x:c r="R473" s="2" t="str">
        <x:v>R3S2</x:v>
      </x:c>
      <x:c r="S473" s="9" t="n">
        <x:v>25.291000000000004</x:v>
      </x:c>
      <x:c r="T473" s="9" t="n">
        <x:v>51.51</x:v>
      </x:c>
      <x:c r="U473" s="2" t="str">
        <x:v>G112</x:v>
      </x:c>
      <x:c r="V473" s="2" t="str">
        <x:v>Authorized guardian release</x:v>
      </x:c>
      <x:c r="W473" s="2" t="str">
        <x:v>Completed transport</x:v>
      </x:c>
      <x:c r="X473" s="2" t="str">
        <x:v>QR</x:v>
      </x:c>
      <x:c r="Y473" s="2" t="str">
        <x:v>Online</x:v>
      </x:c>
      <x:c r="Z473" s="2" t="str">
        <x:v>Synced</x:v>
      </x:c>
      <x:c r="AA473" s="2"/>
      <x:c r="AB473" s="2"/>
      <x:c r="AC473" s="10" t="n">
        <x:f>IF(OR(K473="",Q473=""),"",ROUND((Q473-K473)*1440,2))</x:f>
        <x:v>29</x:v>
      </x:c>
    </x:row>
    <x:row r="474" ht="21" customHeight="1">
      <x:c r="A474" s="2" t="str">
        <x:v>LN00473</x:v>
      </x:c>
      <x:c r="B474" s="2" t="str">
        <x:v>T20261005-5-3</x:v>
      </x:c>
      <x:c r="C474" s="7" t="n">
        <x:v>46300</x:v>
      </x:c>
      <x:c r="D474" s="2" t="str">
        <x:v>BUS003</x:v>
      </x:c>
      <x:c r="E474" s="2" t="str">
        <x:v>ST113</x:v>
      </x:c>
      <x:c r="F474" s="2" t="n">
        <x:v>2</x:v>
      </x:c>
      <x:c r="G474" s="2" t="str">
        <x:v>Senior</x:v>
      </x:c>
      <x:c r="H474" s="2" t="str">
        <x:v>Drop-off</x:v>
      </x:c>
      <x:c r="I474" s="2" t="str">
        <x:v>R3S3</x:v>
      </x:c>
      <x:c r="J474" s="2" t="str">
        <x:v>EV000939</x:v>
      </x:c>
      <x:c r="K474" s="8" t="n">
        <x:v>46300.708402777775</x:v>
      </x:c>
      <x:c r="L474" s="2" t="str">
        <x:v>SCH01</x:v>
      </x:c>
      <x:c r="M474" s="9" t="n">
        <x:v>25.285</x:v>
      </x:c>
      <x:c r="N474" s="9" t="n">
        <x:v>51.51</x:v>
      </x:c>
      <x:c r="O474" s="2" t="str">
        <x:v>Valid</x:v>
      </x:c>
      <x:c r="P474" s="2" t="str">
        <x:v>EV000940</x:v>
      </x:c>
      <x:c r="Q474" s="8" t="n">
        <x:v>46300.73340277778</x:v>
      </x:c>
      <x:c r="R474" s="2" t="str">
        <x:v>R3S3</x:v>
      </x:c>
      <x:c r="S474" s="9" t="n">
        <x:v>25.293000000000003</x:v>
      </x:c>
      <x:c r="T474" s="9" t="n">
        <x:v>51.513</x:v>
      </x:c>
      <x:c r="U474" s="2" t="str">
        <x:v>G113</x:v>
      </x:c>
      <x:c r="V474" s="2" t="str">
        <x:v>Authorized guardian release</x:v>
      </x:c>
      <x:c r="W474" s="2" t="str">
        <x:v>Completed transport</x:v>
      </x:c>
      <x:c r="X474" s="2" t="str">
        <x:v>QR</x:v>
      </x:c>
      <x:c r="Y474" s="2" t="str">
        <x:v>Online</x:v>
      </x:c>
      <x:c r="Z474" s="2" t="str">
        <x:v>Synced</x:v>
      </x:c>
      <x:c r="AA474" s="2"/>
      <x:c r="AB474" s="2"/>
      <x:c r="AC474" s="10" t="n">
        <x:f>IF(OR(K474="",Q474=""),"",ROUND((Q474-K474)*1440,2))</x:f>
        <x:v>36</x:v>
      </x:c>
    </x:row>
    <x:row r="475" ht="21" customHeight="1">
      <x:c r="A475" s="2" t="str">
        <x:v>LN00474</x:v>
      </x:c>
      <x:c r="B475" s="2" t="str">
        <x:v>T20261005-5-3</x:v>
      </x:c>
      <x:c r="C475" s="7" t="n">
        <x:v>46300</x:v>
      </x:c>
      <x:c r="D475" s="2" t="str">
        <x:v>BUS003</x:v>
      </x:c>
      <x:c r="E475" s="2" t="str">
        <x:v>ST114</x:v>
      </x:c>
      <x:c r="F475" s="2" t="n">
        <x:v>2</x:v>
      </x:c>
      <x:c r="G475" s="2" t="str">
        <x:v>Senior</x:v>
      </x:c>
      <x:c r="H475" s="2" t="str">
        <x:v>Drop-off</x:v>
      </x:c>
      <x:c r="I475" s="2" t="str">
        <x:v>R3S1</x:v>
      </x:c>
      <x:c r="J475" s="2" t="str">
        <x:v>EV000941</x:v>
      </x:c>
      <x:c r="K475" s="8" t="n">
        <x:v>46300.7084375</x:v>
      </x:c>
      <x:c r="L475" s="2" t="str">
        <x:v>SCH01</x:v>
      </x:c>
      <x:c r="M475" s="9" t="n">
        <x:v>25.285</x:v>
      </x:c>
      <x:c r="N475" s="9" t="n">
        <x:v>51.51</x:v>
      </x:c>
      <x:c r="O475" s="2" t="str">
        <x:v>Valid</x:v>
      </x:c>
      <x:c r="P475" s="2" t="str">
        <x:v>EV000942</x:v>
      </x:c>
      <x:c r="Q475" s="8" t="n">
        <x:v>46300.72371527778</x:v>
      </x:c>
      <x:c r="R475" s="2" t="str">
        <x:v>R3S1</x:v>
      </x:c>
      <x:c r="S475" s="9" t="n">
        <x:v>25.289</x:v>
      </x:c>
      <x:c r="T475" s="9" t="n">
        <x:v>51.507</x:v>
      </x:c>
      <x:c r="U475" s="2" t="str">
        <x:v>G114</x:v>
      </x:c>
      <x:c r="V475" s="2" t="str">
        <x:v>Authorized guardian release</x:v>
      </x:c>
      <x:c r="W475" s="2" t="str">
        <x:v>Completed transport</x:v>
      </x:c>
      <x:c r="X475" s="2" t="str">
        <x:v>QR</x:v>
      </x:c>
      <x:c r="Y475" s="2" t="str">
        <x:v>Online</x:v>
      </x:c>
      <x:c r="Z475" s="2" t="str">
        <x:v>Synced</x:v>
      </x:c>
      <x:c r="AA475" s="2"/>
      <x:c r="AB475" s="2"/>
      <x:c r="AC475" s="10" t="n">
        <x:f>IF(OR(K475="",Q475=""),"",ROUND((Q475-K475)*1440,2))</x:f>
        <x:v>22</x:v>
      </x:c>
    </x:row>
    <x:row r="476" ht="21" customHeight="1">
      <x:c r="A476" s="2" t="str">
        <x:v>LN00475</x:v>
      </x:c>
      <x:c r="B476" s="2" t="str">
        <x:v>T20261005-5-3</x:v>
      </x:c>
      <x:c r="C476" s="7" t="n">
        <x:v>46300</x:v>
      </x:c>
      <x:c r="D476" s="2" t="str">
        <x:v>BUS003</x:v>
      </x:c>
      <x:c r="E476" s="2" t="str">
        <x:v>ST115</x:v>
      </x:c>
      <x:c r="F476" s="2" t="n">
        <x:v>2</x:v>
      </x:c>
      <x:c r="G476" s="2" t="str">
        <x:v>Senior</x:v>
      </x:c>
      <x:c r="H476" s="2" t="str">
        <x:v>Drop-off</x:v>
      </x:c>
      <x:c r="I476" s="2" t="str">
        <x:v>R3S2</x:v>
      </x:c>
      <x:c r="J476" s="2" t="str">
        <x:v>EV000943</x:v>
      </x:c>
      <x:c r="K476" s="8" t="n">
        <x:v>46300.70847222222</x:v>
      </x:c>
      <x:c r="L476" s="2" t="str">
        <x:v>SCH01</x:v>
      </x:c>
      <x:c r="M476" s="9" t="n">
        <x:v>25.285</x:v>
      </x:c>
      <x:c r="N476" s="9" t="n">
        <x:v>51.51</x:v>
      </x:c>
      <x:c r="O476" s="2" t="str">
        <x:v>Valid</x:v>
      </x:c>
      <x:c r="P476" s="2" t="str">
        <x:v>EV000944</x:v>
      </x:c>
      <x:c r="Q476" s="8" t="n">
        <x:v>46300.72861111112</x:v>
      </x:c>
      <x:c r="R476" s="2" t="str">
        <x:v>R3S2</x:v>
      </x:c>
      <x:c r="S476" s="9" t="n">
        <x:v>25.291000000000004</x:v>
      </x:c>
      <x:c r="T476" s="9" t="n">
        <x:v>51.51</x:v>
      </x:c>
      <x:c r="U476" s="2" t="str">
        <x:v>G115</x:v>
      </x:c>
      <x:c r="V476" s="2" t="str">
        <x:v>Authorized guardian release</x:v>
      </x:c>
      <x:c r="W476" s="2" t="str">
        <x:v>Completed transport</x:v>
      </x:c>
      <x:c r="X476" s="2" t="str">
        <x:v>QR</x:v>
      </x:c>
      <x:c r="Y476" s="2" t="str">
        <x:v>Online</x:v>
      </x:c>
      <x:c r="Z476" s="2" t="str">
        <x:v>Synced</x:v>
      </x:c>
      <x:c r="AA476" s="2"/>
      <x:c r="AB476" s="2"/>
      <x:c r="AC476" s="10" t="n">
        <x:f>IF(OR(K476="",Q476=""),"",ROUND((Q476-K476)*1440,2))</x:f>
        <x:v>29</x:v>
      </x:c>
    </x:row>
    <x:row r="477" ht="21" customHeight="1">
      <x:c r="A477" s="2" t="str">
        <x:v>LN00476</x:v>
      </x:c>
      <x:c r="B477" s="2" t="str">
        <x:v>T20261005-5-3</x:v>
      </x:c>
      <x:c r="C477" s="7" t="n">
        <x:v>46300</x:v>
      </x:c>
      <x:c r="D477" s="2" t="str">
        <x:v>BUS003</x:v>
      </x:c>
      <x:c r="E477" s="2" t="str">
        <x:v>ST116</x:v>
      </x:c>
      <x:c r="F477" s="2" t="n">
        <x:v>2</x:v>
      </x:c>
      <x:c r="G477" s="2" t="str">
        <x:v>Senior</x:v>
      </x:c>
      <x:c r="H477" s="2" t="str">
        <x:v>Drop-off</x:v>
      </x:c>
      <x:c r="I477" s="2" t="str">
        <x:v>R3S3</x:v>
      </x:c>
      <x:c r="J477" s="2" t="str">
        <x:v>EV000945</x:v>
      </x:c>
      <x:c r="K477" s="8" t="n">
        <x:v>46300.70850694444</x:v>
      </x:c>
      <x:c r="L477" s="2" t="str">
        <x:v>SCH01</x:v>
      </x:c>
      <x:c r="M477" s="9" t="n">
        <x:v>25.285</x:v>
      </x:c>
      <x:c r="N477" s="9" t="n">
        <x:v>51.51</x:v>
      </x:c>
      <x:c r="O477" s="2" t="str">
        <x:v>Valid</x:v>
      </x:c>
      <x:c r="P477" s="2" t="str">
        <x:v>EV000946</x:v>
      </x:c>
      <x:c r="Q477" s="8" t="n">
        <x:v>46300.733506944445</x:v>
      </x:c>
      <x:c r="R477" s="2" t="str">
        <x:v>R3S3</x:v>
      </x:c>
      <x:c r="S477" s="9" t="n">
        <x:v>25.293000000000003</x:v>
      </x:c>
      <x:c r="T477" s="9" t="n">
        <x:v>51.513</x:v>
      </x:c>
      <x:c r="U477" s="2" t="str">
        <x:v>G116</x:v>
      </x:c>
      <x:c r="V477" s="2" t="str">
        <x:v>Authorized guardian release</x:v>
      </x:c>
      <x:c r="W477" s="2" t="str">
        <x:v>Completed transport</x:v>
      </x:c>
      <x:c r="X477" s="2" t="str">
        <x:v>QR</x:v>
      </x:c>
      <x:c r="Y477" s="2" t="str">
        <x:v>Online</x:v>
      </x:c>
      <x:c r="Z477" s="2" t="str">
        <x:v>Synced</x:v>
      </x:c>
      <x:c r="AA477" s="2"/>
      <x:c r="AB477" s="2"/>
      <x:c r="AC477" s="10" t="n">
        <x:f>IF(OR(K477="",Q477=""),"",ROUND((Q477-K477)*1440,2))</x:f>
        <x:v>36</x:v>
      </x:c>
    </x:row>
    <x:row r="478" ht="21" customHeight="1">
      <x:c r="A478" s="2" t="str">
        <x:v>LN00477</x:v>
      </x:c>
      <x:c r="B478" s="2" t="str">
        <x:v>T20261005-5-3</x:v>
      </x:c>
      <x:c r="C478" s="7" t="n">
        <x:v>46300</x:v>
      </x:c>
      <x:c r="D478" s="2" t="str">
        <x:v>BUS003</x:v>
      </x:c>
      <x:c r="E478" s="2" t="str">
        <x:v>ST117</x:v>
      </x:c>
      <x:c r="F478" s="2" t="n">
        <x:v>2</x:v>
      </x:c>
      <x:c r="G478" s="2" t="str">
        <x:v>Senior</x:v>
      </x:c>
      <x:c r="H478" s="2" t="str">
        <x:v>Drop-off</x:v>
      </x:c>
      <x:c r="I478" s="2" t="str">
        <x:v>R3S1</x:v>
      </x:c>
      <x:c r="J478" s="2" t="str">
        <x:v>EV000947</x:v>
      </x:c>
      <x:c r="K478" s="8" t="n">
        <x:v>46300.70854166666</x:v>
      </x:c>
      <x:c r="L478" s="2" t="str">
        <x:v>SCH01</x:v>
      </x:c>
      <x:c r="M478" s="9" t="n">
        <x:v>25.285</x:v>
      </x:c>
      <x:c r="N478" s="9" t="n">
        <x:v>51.51</x:v>
      </x:c>
      <x:c r="O478" s="2" t="str">
        <x:v>Valid</x:v>
      </x:c>
      <x:c r="P478" s="2" t="str">
        <x:v>EV000948</x:v>
      </x:c>
      <x:c r="Q478" s="8" t="n">
        <x:v>46300.72381944444</x:v>
      </x:c>
      <x:c r="R478" s="2" t="str">
        <x:v>R3S1</x:v>
      </x:c>
      <x:c r="S478" s="9" t="n">
        <x:v>25.289</x:v>
      </x:c>
      <x:c r="T478" s="9" t="n">
        <x:v>51.507</x:v>
      </x:c>
      <x:c r="U478" s="2" t="str">
        <x:v>G117</x:v>
      </x:c>
      <x:c r="V478" s="2" t="str">
        <x:v>Authorized guardian release</x:v>
      </x:c>
      <x:c r="W478" s="2" t="str">
        <x:v>Completed transport</x:v>
      </x:c>
      <x:c r="X478" s="2" t="str">
        <x:v>QR</x:v>
      </x:c>
      <x:c r="Y478" s="2" t="str">
        <x:v>Online</x:v>
      </x:c>
      <x:c r="Z478" s="2" t="str">
        <x:v>Synced</x:v>
      </x:c>
      <x:c r="AA478" s="2"/>
      <x:c r="AB478" s="2"/>
      <x:c r="AC478" s="10" t="n">
        <x:f>IF(OR(K478="",Q478=""),"",ROUND((Q478-K478)*1440,2))</x:f>
        <x:v>22</x:v>
      </x:c>
    </x:row>
    <x:row r="479" ht="21" customHeight="1">
      <x:c r="A479" s="2" t="str">
        <x:v>LN00478</x:v>
      </x:c>
      <x:c r="B479" s="2" t="str">
        <x:v>T20261005-5-3</x:v>
      </x:c>
      <x:c r="C479" s="7" t="n">
        <x:v>46300</x:v>
      </x:c>
      <x:c r="D479" s="2" t="str">
        <x:v>BUS003</x:v>
      </x:c>
      <x:c r="E479" s="2" t="str">
        <x:v>ST118</x:v>
      </x:c>
      <x:c r="F479" s="2" t="n">
        <x:v>2</x:v>
      </x:c>
      <x:c r="G479" s="2" t="str">
        <x:v>Senior</x:v>
      </x:c>
      <x:c r="H479" s="2" t="str">
        <x:v>Drop-off</x:v>
      </x:c>
      <x:c r="I479" s="2" t="str">
        <x:v>R3S2</x:v>
      </x:c>
      <x:c r="J479" s="2" t="str">
        <x:v>EV000949</x:v>
      </x:c>
      <x:c r="K479" s="8" t="n">
        <x:v>46300.70857638888</x:v>
      </x:c>
      <x:c r="L479" s="2" t="str">
        <x:v>SCH01</x:v>
      </x:c>
      <x:c r="M479" s="9" t="n">
        <x:v>25.285</x:v>
      </x:c>
      <x:c r="N479" s="9" t="n">
        <x:v>51.51</x:v>
      </x:c>
      <x:c r="O479" s="2" t="str">
        <x:v>Valid</x:v>
      </x:c>
      <x:c r="P479" s="2" t="str">
        <x:v>EV000950</x:v>
      </x:c>
      <x:c r="Q479" s="8" t="n">
        <x:v>46300.72871527778</x:v>
      </x:c>
      <x:c r="R479" s="2" t="str">
        <x:v>R3S2</x:v>
      </x:c>
      <x:c r="S479" s="9" t="n">
        <x:v>25.291000000000004</x:v>
      </x:c>
      <x:c r="T479" s="9" t="n">
        <x:v>51.51</x:v>
      </x:c>
      <x:c r="U479" s="2" t="str">
        <x:v>G118</x:v>
      </x:c>
      <x:c r="V479" s="2" t="str">
        <x:v>Authorized guardian release</x:v>
      </x:c>
      <x:c r="W479" s="2" t="str">
        <x:v>Completed transport</x:v>
      </x:c>
      <x:c r="X479" s="2" t="str">
        <x:v>QR</x:v>
      </x:c>
      <x:c r="Y479" s="2" t="str">
        <x:v>Online</x:v>
      </x:c>
      <x:c r="Z479" s="2" t="str">
        <x:v>Synced</x:v>
      </x:c>
      <x:c r="AA479" s="2"/>
      <x:c r="AB479" s="2"/>
      <x:c r="AC479" s="10" t="n">
        <x:f>IF(OR(K479="",Q479=""),"",ROUND((Q479-K479)*1440,2))</x:f>
        <x:v>29</x:v>
      </x:c>
    </x:row>
    <x:row r="480" ht="21" customHeight="1">
      <x:c r="A480" s="2" t="str">
        <x:v>LN00479</x:v>
      </x:c>
      <x:c r="B480" s="2" t="str">
        <x:v>T20261005-5-3</x:v>
      </x:c>
      <x:c r="C480" s="7" t="n">
        <x:v>46300</x:v>
      </x:c>
      <x:c r="D480" s="2" t="str">
        <x:v>BUS003</x:v>
      </x:c>
      <x:c r="E480" s="2" t="str">
        <x:v>ST119</x:v>
      </x:c>
      <x:c r="F480" s="2" t="n">
        <x:v>2</x:v>
      </x:c>
      <x:c r="G480" s="2" t="str">
        <x:v>Senior</x:v>
      </x:c>
      <x:c r="H480" s="2" t="str">
        <x:v>Drop-off</x:v>
      </x:c>
      <x:c r="I480" s="2" t="str">
        <x:v>R3S3</x:v>
      </x:c>
      <x:c r="J480" s="2" t="str">
        <x:v>EV000951</x:v>
      </x:c>
      <x:c r="K480" s="8" t="n">
        <x:v>46300.708611111106</x:v>
      </x:c>
      <x:c r="L480" s="2" t="str">
        <x:v>SCH01</x:v>
      </x:c>
      <x:c r="M480" s="9" t="n">
        <x:v>25.285</x:v>
      </x:c>
      <x:c r="N480" s="9" t="n">
        <x:v>51.51</x:v>
      </x:c>
      <x:c r="O480" s="2" t="str">
        <x:v>Valid</x:v>
      </x:c>
      <x:c r="P480" s="2" t="str">
        <x:v>EV000952</x:v>
      </x:c>
      <x:c r="Q480" s="8" t="n">
        <x:v>46300.733611111114</x:v>
      </x:c>
      <x:c r="R480" s="2" t="str">
        <x:v>R3S3</x:v>
      </x:c>
      <x:c r="S480" s="9" t="n">
        <x:v>25.293000000000003</x:v>
      </x:c>
      <x:c r="T480" s="9" t="n">
        <x:v>51.513</x:v>
      </x:c>
      <x:c r="U480" s="2" t="str">
        <x:v>G119</x:v>
      </x:c>
      <x:c r="V480" s="2" t="str">
        <x:v>Authorized guardian release</x:v>
      </x:c>
      <x:c r="W480" s="2" t="str">
        <x:v>Completed transport</x:v>
      </x:c>
      <x:c r="X480" s="2" t="str">
        <x:v>QR</x:v>
      </x:c>
      <x:c r="Y480" s="2" t="str">
        <x:v>Online</x:v>
      </x:c>
      <x:c r="Z480" s="2" t="str">
        <x:v>Synced</x:v>
      </x:c>
      <x:c r="AA480" s="2"/>
      <x:c r="AB480" s="2"/>
      <x:c r="AC480" s="10" t="n">
        <x:f>IF(OR(K480="",Q480=""),"",ROUND((Q480-K480)*1440,2))</x:f>
        <x:v>36</x:v>
      </x:c>
    </x:row>
    <x:row r="481" ht="21" customHeight="1">
      <x:c r="A481" s="2" t="str">
        <x:v>LN00480</x:v>
      </x:c>
      <x:c r="B481" s="2" t="str">
        <x:v>T20261005-5-3</x:v>
      </x:c>
      <x:c r="C481" s="7" t="n">
        <x:v>46300</x:v>
      </x:c>
      <x:c r="D481" s="2" t="str">
        <x:v>BUS003</x:v>
      </x:c>
      <x:c r="E481" s="2" t="str">
        <x:v>ST120</x:v>
      </x:c>
      <x:c r="F481" s="2" t="n">
        <x:v>2</x:v>
      </x:c>
      <x:c r="G481" s="2" t="str">
        <x:v>Senior</x:v>
      </x:c>
      <x:c r="H481" s="2" t="str">
        <x:v>Drop-off</x:v>
      </x:c>
      <x:c r="I481" s="2" t="str">
        <x:v>R3S1</x:v>
      </x:c>
      <x:c r="J481" s="2" t="str">
        <x:v>EV000953</x:v>
      </x:c>
      <x:c r="K481" s="8" t="n">
        <x:v>46300.70864583333</x:v>
      </x:c>
      <x:c r="L481" s="2" t="str">
        <x:v>SCH01</x:v>
      </x:c>
      <x:c r="M481" s="9" t="n">
        <x:v>25.285</x:v>
      </x:c>
      <x:c r="N481" s="9" t="n">
        <x:v>51.51</x:v>
      </x:c>
      <x:c r="O481" s="2" t="str">
        <x:v>Valid</x:v>
      </x:c>
      <x:c r="P481" s="2" t="str">
        <x:v>EV000954</x:v>
      </x:c>
      <x:c r="Q481" s="8" t="n">
        <x:v>46300.72392361111</x:v>
      </x:c>
      <x:c r="R481" s="2" t="str">
        <x:v>R3S1</x:v>
      </x:c>
      <x:c r="S481" s="9" t="n">
        <x:v>25.289</x:v>
      </x:c>
      <x:c r="T481" s="9" t="n">
        <x:v>51.507</x:v>
      </x:c>
      <x:c r="U481" s="2" t="str">
        <x:v>G120</x:v>
      </x:c>
      <x:c r="V481" s="2" t="str">
        <x:v>Authorized guardian release</x:v>
      </x:c>
      <x:c r="W481" s="2" t="str">
        <x:v>Completed transport</x:v>
      </x:c>
      <x:c r="X481" s="2" t="str">
        <x:v>QR</x:v>
      </x:c>
      <x:c r="Y481" s="2" t="str">
        <x:v>Online</x:v>
      </x:c>
      <x:c r="Z481" s="2" t="str">
        <x:v>Synced</x:v>
      </x:c>
      <x:c r="AA481" s="2"/>
      <x:c r="AB481" s="2"/>
      <x:c r="AC481" s="10" t="n">
        <x:f>IF(OR(K481="",Q481=""),"",ROUND((Q481-K481)*1440,2))</x:f>
        <x:v>22</x:v>
      </x:c>
    </x:row>
    <x:row r="482" ht="21" customHeight="1">
      <x:c r="A482" s="2" t="str">
        <x:v>LN00481</x:v>
      </x:c>
      <x:c r="B482" s="2" t="str">
        <x:v>T20261006-1-1</x:v>
      </x:c>
      <x:c r="C482" s="7" t="n">
        <x:v>46301</x:v>
      </x:c>
      <x:c r="D482" s="2" t="str">
        <x:v>BUS001</x:v>
      </x:c>
      <x:c r="E482" s="2" t="str">
        <x:v>ST001</x:v>
      </x:c>
      <x:c r="F482" s="2" t="n">
        <x:v>1</x:v>
      </x:c>
      <x:c r="G482" s="2" t="str">
        <x:v>Junior</x:v>
      </x:c>
      <x:c r="H482" s="2" t="str">
        <x:v>Pickup</x:v>
      </x:c>
      <x:c r="I482" s="2" t="str">
        <x:v>R1S1</x:v>
      </x:c>
      <x:c r="J482" s="2" t="str">
        <x:v>EV000955</x:v>
      </x:c>
      <x:c r="K482" s="8" t="n">
        <x:v>46301.242361111115</x:v>
      </x:c>
      <x:c r="L482" s="2" t="str">
        <x:v>R1S1</x:v>
      </x:c>
      <x:c r="M482" s="9" t="n">
        <x:v>25.271</x:v>
      </x:c>
      <x:c r="N482" s="9" t="n">
        <x:v>51.491</x:v>
      </x:c>
      <x:c r="O482" s="2" t="str">
        <x:v>Valid</x:v>
      </x:c>
      <x:c r="P482" s="2" t="str">
        <x:v>EV000956</x:v>
      </x:c>
      <x:c r="Q482" s="8" t="n">
        <x:v>46301.27638888889</x:v>
      </x:c>
      <x:c r="R482" s="2" t="str">
        <x:v>SCH01</x:v>
      </x:c>
      <x:c r="S482" s="9" t="n">
        <x:v>25.285</x:v>
      </x:c>
      <x:c r="T482" s="9" t="n">
        <x:v>51.51</x:v>
      </x:c>
      <x:c r="U482" s="2" t="str">
        <x:v>SCHOOL_RECEIVER_01</x:v>
      </x:c>
      <x:c r="V482" s="2" t="str">
        <x:v>School staff receipt</x:v>
      </x:c>
      <x:c r="W482" s="2" t="str">
        <x:v>Completed transport</x:v>
      </x:c>
      <x:c r="X482" s="2" t="str">
        <x:v>QR</x:v>
      </x:c>
      <x:c r="Y482" s="2" t="str">
        <x:v>Online</x:v>
      </x:c>
      <x:c r="Z482" s="2" t="str">
        <x:v>Synced</x:v>
      </x:c>
      <x:c r="AA482" s="2"/>
      <x:c r="AB482" s="2"/>
      <x:c r="AC482" s="10" t="n">
        <x:f>IF(OR(K482="",Q482=""),"",ROUND((Q482-K482)*1440,2))</x:f>
        <x:v>49</x:v>
      </x:c>
    </x:row>
    <x:row r="483" ht="21" customHeight="1">
      <x:c r="A483" s="2" t="str">
        <x:v>LN00482</x:v>
      </x:c>
      <x:c r="B483" s="2" t="str">
        <x:v>T20261006-1-1</x:v>
      </x:c>
      <x:c r="C483" s="7" t="n">
        <x:v>46301</x:v>
      </x:c>
      <x:c r="D483" s="2" t="str">
        <x:v>BUS001</x:v>
      </x:c>
      <x:c r="E483" s="2" t="str">
        <x:v>ST002</x:v>
      </x:c>
      <x:c r="F483" s="2" t="n">
        <x:v>1</x:v>
      </x:c>
      <x:c r="G483" s="2" t="str">
        <x:v>Junior</x:v>
      </x:c>
      <x:c r="H483" s="2" t="str">
        <x:v>Pickup</x:v>
      </x:c>
      <x:c r="I483" s="2" t="str">
        <x:v>R1S2</x:v>
      </x:c>
      <x:c r="J483" s="2" t="str">
        <x:v>EV000957</x:v>
      </x:c>
      <x:c r="K483" s="8" t="n">
        <x:v>46301.24725694444</x:v>
      </x:c>
      <x:c r="L483" s="2" t="str">
        <x:v>R1S2</x:v>
      </x:c>
      <x:c r="M483" s="9" t="n">
        <x:v>25.273000000000003</x:v>
      </x:c>
      <x:c r="N483" s="9" t="n">
        <x:v>51.494</x:v>
      </x:c>
      <x:c r="O483" s="2" t="str">
        <x:v>Valid</x:v>
      </x:c>
      <x:c r="P483" s="2" t="str">
        <x:v>EV000958</x:v>
      </x:c>
      <x:c r="Q483" s="8" t="n">
        <x:v>46301.27642361111</x:v>
      </x:c>
      <x:c r="R483" s="2" t="str">
        <x:v>SCH01</x:v>
      </x:c>
      <x:c r="S483" s="9" t="n">
        <x:v>25.285</x:v>
      </x:c>
      <x:c r="T483" s="9" t="n">
        <x:v>51.51</x:v>
      </x:c>
      <x:c r="U483" s="2" t="str">
        <x:v>SCHOOL_RECEIVER_01</x:v>
      </x:c>
      <x:c r="V483" s="2" t="str">
        <x:v>School staff receipt</x:v>
      </x:c>
      <x:c r="W483" s="2" t="str">
        <x:v>Completed transport</x:v>
      </x:c>
      <x:c r="X483" s="2" t="str">
        <x:v>QR</x:v>
      </x:c>
      <x:c r="Y483" s="2" t="str">
        <x:v>Online</x:v>
      </x:c>
      <x:c r="Z483" s="2" t="str">
        <x:v>Synced</x:v>
      </x:c>
      <x:c r="AA483" s="2"/>
      <x:c r="AB483" s="2"/>
      <x:c r="AC483" s="10" t="n">
        <x:f>IF(OR(K483="",Q483=""),"",ROUND((Q483-K483)*1440,2))</x:f>
        <x:v>42</x:v>
      </x:c>
    </x:row>
    <x:row r="484" ht="21" customHeight="1">
      <x:c r="A484" s="2" t="str">
        <x:v>LN00483</x:v>
      </x:c>
      <x:c r="B484" s="2" t="str">
        <x:v>T20261006-1-1</x:v>
      </x:c>
      <x:c r="C484" s="7" t="n">
        <x:v>46301</x:v>
      </x:c>
      <x:c r="D484" s="2" t="str">
        <x:v>BUS001</x:v>
      </x:c>
      <x:c r="E484" s="2" t="str">
        <x:v>ST003</x:v>
      </x:c>
      <x:c r="F484" s="2" t="n">
        <x:v>1</x:v>
      </x:c>
      <x:c r="G484" s="2" t="str">
        <x:v>Junior</x:v>
      </x:c>
      <x:c r="H484" s="2" t="str">
        <x:v>Pickup</x:v>
      </x:c>
      <x:c r="I484" s="2" t="str">
        <x:v>R1S3</x:v>
      </x:c>
      <x:c r="J484" s="2" t="str">
        <x:v>EV000959</x:v>
      </x:c>
      <x:c r="K484" s="8" t="n">
        <x:v>46301.25215277778</x:v>
      </x:c>
      <x:c r="L484" s="2" t="str">
        <x:v>R1S3</x:v>
      </x:c>
      <x:c r="M484" s="9" t="n">
        <x:v>25.275000000000002</x:v>
      </x:c>
      <x:c r="N484" s="9" t="n">
        <x:v>51.497</x:v>
      </x:c>
      <x:c r="O484" s="2" t="str">
        <x:v>Valid</x:v>
      </x:c>
      <x:c r="P484" s="2" t="str">
        <x:v>EV000960</x:v>
      </x:c>
      <x:c r="Q484" s="8" t="n">
        <x:v>46301.276458333334</x:v>
      </x:c>
      <x:c r="R484" s="2" t="str">
        <x:v>SCH01</x:v>
      </x:c>
      <x:c r="S484" s="9" t="n">
        <x:v>25.285</x:v>
      </x:c>
      <x:c r="T484" s="9" t="n">
        <x:v>51.51</x:v>
      </x:c>
      <x:c r="U484" s="2" t="str">
        <x:v>SCHOOL_RECEIVER_01</x:v>
      </x:c>
      <x:c r="V484" s="2" t="str">
        <x:v>School staff receipt</x:v>
      </x:c>
      <x:c r="W484" s="2" t="str">
        <x:v>Completed transport</x:v>
      </x:c>
      <x:c r="X484" s="2" t="str">
        <x:v>QR</x:v>
      </x:c>
      <x:c r="Y484" s="2" t="str">
        <x:v>Online</x:v>
      </x:c>
      <x:c r="Z484" s="2" t="str">
        <x:v>Synced</x:v>
      </x:c>
      <x:c r="AA484" s="2"/>
      <x:c r="AB484" s="2"/>
      <x:c r="AC484" s="10" t="n">
        <x:f>IF(OR(K484="",Q484=""),"",ROUND((Q484-K484)*1440,2))</x:f>
        <x:v>35</x:v>
      </x:c>
    </x:row>
    <x:row r="485" ht="21" customHeight="1">
      <x:c r="A485" s="2" t="str">
        <x:v>LN00484</x:v>
      </x:c>
      <x:c r="B485" s="2" t="str">
        <x:v>T20261006-1-1</x:v>
      </x:c>
      <x:c r="C485" s="7" t="n">
        <x:v>46301</x:v>
      </x:c>
      <x:c r="D485" s="2" t="str">
        <x:v>BUS001</x:v>
      </x:c>
      <x:c r="E485" s="2" t="str">
        <x:v>ST004</x:v>
      </x:c>
      <x:c r="F485" s="2" t="n">
        <x:v>1</x:v>
      </x:c>
      <x:c r="G485" s="2" t="str">
        <x:v>Junior</x:v>
      </x:c>
      <x:c r="H485" s="2" t="str">
        <x:v>Pickup</x:v>
      </x:c>
      <x:c r="I485" s="2" t="str">
        <x:v>R1S1</x:v>
      </x:c>
      <x:c r="J485" s="2" t="str">
        <x:v>EV000961</x:v>
      </x:c>
      <x:c r="K485" s="8" t="n">
        <x:v>46301.242465277785</x:v>
      </x:c>
      <x:c r="L485" s="2" t="str">
        <x:v>R1S1</x:v>
      </x:c>
      <x:c r="M485" s="9" t="n">
        <x:v>25.271</x:v>
      </x:c>
      <x:c r="N485" s="9" t="n">
        <x:v>51.491</x:v>
      </x:c>
      <x:c r="O485" s="2" t="str">
        <x:v>Valid</x:v>
      </x:c>
      <x:c r="P485" s="2" t="str">
        <x:v>EV000962</x:v>
      </x:c>
      <x:c r="Q485" s="8" t="n">
        <x:v>46301.27649305556</x:v>
      </x:c>
      <x:c r="R485" s="2" t="str">
        <x:v>SCH01</x:v>
      </x:c>
      <x:c r="S485" s="9" t="n">
        <x:v>25.285</x:v>
      </x:c>
      <x:c r="T485" s="9" t="n">
        <x:v>51.51</x:v>
      </x:c>
      <x:c r="U485" s="2" t="str">
        <x:v>SCHOOL_RECEIVER_01</x:v>
      </x:c>
      <x:c r="V485" s="2" t="str">
        <x:v>School staff receipt</x:v>
      </x:c>
      <x:c r="W485" s="2" t="str">
        <x:v>Completed transport</x:v>
      </x:c>
      <x:c r="X485" s="2" t="str">
        <x:v>QR</x:v>
      </x:c>
      <x:c r="Y485" s="2" t="str">
        <x:v>Online</x:v>
      </x:c>
      <x:c r="Z485" s="2" t="str">
        <x:v>Synced</x:v>
      </x:c>
      <x:c r="AA485" s="2"/>
      <x:c r="AB485" s="2"/>
      <x:c r="AC485" s="10" t="n">
        <x:f>IF(OR(K485="",Q485=""),"",ROUND((Q485-K485)*1440,2))</x:f>
        <x:v>49</x:v>
      </x:c>
    </x:row>
    <x:row r="486" ht="21" customHeight="1">
      <x:c r="A486" s="2" t="str">
        <x:v>LN00485</x:v>
      </x:c>
      <x:c r="B486" s="2" t="str">
        <x:v>T20261006-1-1</x:v>
      </x:c>
      <x:c r="C486" s="7" t="n">
        <x:v>46301</x:v>
      </x:c>
      <x:c r="D486" s="2" t="str">
        <x:v>BUS001</x:v>
      </x:c>
      <x:c r="E486" s="2" t="str">
        <x:v>ST005</x:v>
      </x:c>
      <x:c r="F486" s="2" t="n">
        <x:v>1</x:v>
      </x:c>
      <x:c r="G486" s="2" t="str">
        <x:v>Junior</x:v>
      </x:c>
      <x:c r="H486" s="2" t="str">
        <x:v>Pickup</x:v>
      </x:c>
      <x:c r="I486" s="2" t="str">
        <x:v>R1S2</x:v>
      </x:c>
      <x:c r="J486" s="2" t="str">
        <x:v>EV000963</x:v>
      </x:c>
      <x:c r="K486" s="8" t="n">
        <x:v>46301.24736111111</x:v>
      </x:c>
      <x:c r="L486" s="2" t="str">
        <x:v>R1S2</x:v>
      </x:c>
      <x:c r="M486" s="9" t="n">
        <x:v>25.273000000000003</x:v>
      </x:c>
      <x:c r="N486" s="9" t="n">
        <x:v>51.494</x:v>
      </x:c>
      <x:c r="O486" s="2" t="str">
        <x:v>Valid</x:v>
      </x:c>
      <x:c r="P486" s="2" t="str">
        <x:v>EV000964</x:v>
      </x:c>
      <x:c r="Q486" s="8" t="n">
        <x:v>46301.27652777778</x:v>
      </x:c>
      <x:c r="R486" s="2" t="str">
        <x:v>SCH01</x:v>
      </x:c>
      <x:c r="S486" s="9" t="n">
        <x:v>25.285</x:v>
      </x:c>
      <x:c r="T486" s="9" t="n">
        <x:v>51.51</x:v>
      </x:c>
      <x:c r="U486" s="2" t="str">
        <x:v>SCHOOL_RECEIVER_01</x:v>
      </x:c>
      <x:c r="V486" s="2" t="str">
        <x:v>School staff receipt</x:v>
      </x:c>
      <x:c r="W486" s="2" t="str">
        <x:v>Completed transport</x:v>
      </x:c>
      <x:c r="X486" s="2" t="str">
        <x:v>QR</x:v>
      </x:c>
      <x:c r="Y486" s="2" t="str">
        <x:v>Online</x:v>
      </x:c>
      <x:c r="Z486" s="2" t="str">
        <x:v>Synced</x:v>
      </x:c>
      <x:c r="AA486" s="2"/>
      <x:c r="AB486" s="2"/>
      <x:c r="AC486" s="10" t="n">
        <x:f>IF(OR(K486="",Q486=""),"",ROUND((Q486-K486)*1440,2))</x:f>
        <x:v>42</x:v>
      </x:c>
    </x:row>
    <x:row r="487" ht="21" customHeight="1">
      <x:c r="A487" s="2" t="str">
        <x:v>LN00486</x:v>
      </x:c>
      <x:c r="B487" s="2" t="str">
        <x:v>T20261006-1-1</x:v>
      </x:c>
      <x:c r="C487" s="7" t="n">
        <x:v>46301</x:v>
      </x:c>
      <x:c r="D487" s="2" t="str">
        <x:v>BUS001</x:v>
      </x:c>
      <x:c r="E487" s="2" t="str">
        <x:v>ST006</x:v>
      </x:c>
      <x:c r="F487" s="2" t="n">
        <x:v>1</x:v>
      </x:c>
      <x:c r="G487" s="2" t="str">
        <x:v>Junior</x:v>
      </x:c>
      <x:c r="H487" s="2" t="str">
        <x:v>Pickup</x:v>
      </x:c>
      <x:c r="I487" s="2" t="str">
        <x:v>R1S3</x:v>
      </x:c>
      <x:c r="J487" s="2" t="str">
        <x:v>EV000965</x:v>
      </x:c>
      <x:c r="K487" s="8" t="n">
        <x:v>46301.25225694444</x:v>
      </x:c>
      <x:c r="L487" s="2" t="str">
        <x:v>R1S3</x:v>
      </x:c>
      <x:c r="M487" s="9" t="n">
        <x:v>25.275000000000002</x:v>
      </x:c>
      <x:c r="N487" s="9" t="n">
        <x:v>51.497</x:v>
      </x:c>
      <x:c r="O487" s="2" t="str">
        <x:v>Valid</x:v>
      </x:c>
      <x:c r="P487" s="2" t="str">
        <x:v>EV000966</x:v>
      </x:c>
      <x:c r="Q487" s="8" t="n">
        <x:v>46301.276562499996</x:v>
      </x:c>
      <x:c r="R487" s="2" t="str">
        <x:v>SCH01</x:v>
      </x:c>
      <x:c r="S487" s="9" t="n">
        <x:v>25.285</x:v>
      </x:c>
      <x:c r="T487" s="9" t="n">
        <x:v>51.51</x:v>
      </x:c>
      <x:c r="U487" s="2" t="str">
        <x:v>SCHOOL_RECEIVER_01</x:v>
      </x:c>
      <x:c r="V487" s="2" t="str">
        <x:v>School staff receipt</x:v>
      </x:c>
      <x:c r="W487" s="2" t="str">
        <x:v>Completed transport</x:v>
      </x:c>
      <x:c r="X487" s="2" t="str">
        <x:v>QR</x:v>
      </x:c>
      <x:c r="Y487" s="2" t="str">
        <x:v>Online</x:v>
      </x:c>
      <x:c r="Z487" s="2" t="str">
        <x:v>Synced</x:v>
      </x:c>
      <x:c r="AA487" s="2"/>
      <x:c r="AB487" s="2"/>
      <x:c r="AC487" s="10" t="n">
        <x:f>IF(OR(K487="",Q487=""),"",ROUND((Q487-K487)*1440,2))</x:f>
        <x:v>35</x:v>
      </x:c>
    </x:row>
    <x:row r="488" ht="21" customHeight="1">
      <x:c r="A488" s="2" t="str">
        <x:v>LN00487</x:v>
      </x:c>
      <x:c r="B488" s="2" t="str">
        <x:v>T20261006-1-1</x:v>
      </x:c>
      <x:c r="C488" s="7" t="n">
        <x:v>46301</x:v>
      </x:c>
      <x:c r="D488" s="2" t="str">
        <x:v>BUS001</x:v>
      </x:c>
      <x:c r="E488" s="2" t="str">
        <x:v>ST007</x:v>
      </x:c>
      <x:c r="F488" s="2" t="n">
        <x:v>1</x:v>
      </x:c>
      <x:c r="G488" s="2" t="str">
        <x:v>Junior</x:v>
      </x:c>
      <x:c r="H488" s="2" t="str">
        <x:v>Pickup</x:v>
      </x:c>
      <x:c r="I488" s="2" t="str">
        <x:v>R1S1</x:v>
      </x:c>
      <x:c r="J488" s="2" t="str">
        <x:v>EV000967</x:v>
      </x:c>
      <x:c r="K488" s="8" t="n">
        <x:v>46301.24256944445</x:v>
      </x:c>
      <x:c r="L488" s="2" t="str">
        <x:v>R1S1</x:v>
      </x:c>
      <x:c r="M488" s="9" t="n">
        <x:v>25.271</x:v>
      </x:c>
      <x:c r="N488" s="9" t="n">
        <x:v>51.491</x:v>
      </x:c>
      <x:c r="O488" s="2" t="str">
        <x:v>Valid</x:v>
      </x:c>
      <x:c r="P488" s="2" t="str">
        <x:v>EV000968</x:v>
      </x:c>
      <x:c r="Q488" s="8" t="n">
        <x:v>46301.27659722222</x:v>
      </x:c>
      <x:c r="R488" s="2" t="str">
        <x:v>SCH01</x:v>
      </x:c>
      <x:c r="S488" s="9" t="n">
        <x:v>25.285</x:v>
      </x:c>
      <x:c r="T488" s="9" t="n">
        <x:v>51.51</x:v>
      </x:c>
      <x:c r="U488" s="2" t="str">
        <x:v>SCHOOL_RECEIVER_01</x:v>
      </x:c>
      <x:c r="V488" s="2" t="str">
        <x:v>School staff receipt</x:v>
      </x:c>
      <x:c r="W488" s="2" t="str">
        <x:v>Completed transport</x:v>
      </x:c>
      <x:c r="X488" s="2" t="str">
        <x:v>QR</x:v>
      </x:c>
      <x:c r="Y488" s="2" t="str">
        <x:v>Online</x:v>
      </x:c>
      <x:c r="Z488" s="2" t="str">
        <x:v>Synced</x:v>
      </x:c>
      <x:c r="AA488" s="2"/>
      <x:c r="AB488" s="2"/>
      <x:c r="AC488" s="10" t="n">
        <x:f>IF(OR(K488="",Q488=""),"",ROUND((Q488-K488)*1440,2))</x:f>
        <x:v>49</x:v>
      </x:c>
    </x:row>
    <x:row r="489" ht="21" customHeight="1">
      <x:c r="A489" s="2" t="str">
        <x:v>LN00488</x:v>
      </x:c>
      <x:c r="B489" s="2" t="str">
        <x:v>T20261006-1-1</x:v>
      </x:c>
      <x:c r="C489" s="7" t="n">
        <x:v>46301</x:v>
      </x:c>
      <x:c r="D489" s="2" t="str">
        <x:v>BUS001</x:v>
      </x:c>
      <x:c r="E489" s="2" t="str">
        <x:v>ST008</x:v>
      </x:c>
      <x:c r="F489" s="2" t="n">
        <x:v>1</x:v>
      </x:c>
      <x:c r="G489" s="2" t="str">
        <x:v>Junior</x:v>
      </x:c>
      <x:c r="H489" s="2" t="str">
        <x:v>Pickup</x:v>
      </x:c>
      <x:c r="I489" s="2" t="str">
        <x:v>R1S2</x:v>
      </x:c>
      <x:c r="J489" s="2" t="str">
        <x:v>EV000969</x:v>
      </x:c>
      <x:c r="K489" s="8" t="n">
        <x:v>46301.247465277775</x:v>
      </x:c>
      <x:c r="L489" s="2" t="str">
        <x:v>R1S2</x:v>
      </x:c>
      <x:c r="M489" s="9" t="n">
        <x:v>25.273000000000003</x:v>
      </x:c>
      <x:c r="N489" s="9" t="n">
        <x:v>51.494</x:v>
      </x:c>
      <x:c r="O489" s="2" t="str">
        <x:v>Valid</x:v>
      </x:c>
      <x:c r="P489" s="2" t="str">
        <x:v>EV000970</x:v>
      </x:c>
      <x:c r="Q489" s="8" t="n">
        <x:v>46301.27663194444</x:v>
      </x:c>
      <x:c r="R489" s="2" t="str">
        <x:v>SCH01</x:v>
      </x:c>
      <x:c r="S489" s="9" t="n">
        <x:v>25.285</x:v>
      </x:c>
      <x:c r="T489" s="9" t="n">
        <x:v>51.51</x:v>
      </x:c>
      <x:c r="U489" s="2" t="str">
        <x:v>SCHOOL_RECEIVER_01</x:v>
      </x:c>
      <x:c r="V489" s="2" t="str">
        <x:v>School staff receipt</x:v>
      </x:c>
      <x:c r="W489" s="2" t="str">
        <x:v>Completed transport</x:v>
      </x:c>
      <x:c r="X489" s="2" t="str">
        <x:v>QR</x:v>
      </x:c>
      <x:c r="Y489" s="2" t="str">
        <x:v>Online</x:v>
      </x:c>
      <x:c r="Z489" s="2" t="str">
        <x:v>Synced</x:v>
      </x:c>
      <x:c r="AA489" s="2"/>
      <x:c r="AB489" s="2"/>
      <x:c r="AC489" s="10" t="n">
        <x:f>IF(OR(K489="",Q489=""),"",ROUND((Q489-K489)*1440,2))</x:f>
        <x:v>42</x:v>
      </x:c>
    </x:row>
    <x:row r="490" ht="21" customHeight="1">
      <x:c r="A490" s="2" t="str">
        <x:v>LN00489</x:v>
      </x:c>
      <x:c r="B490" s="2" t="str">
        <x:v>T20261006-1-1</x:v>
      </x:c>
      <x:c r="C490" s="7" t="n">
        <x:v>46301</x:v>
      </x:c>
      <x:c r="D490" s="2" t="str">
        <x:v>BUS001</x:v>
      </x:c>
      <x:c r="E490" s="2" t="str">
        <x:v>ST009</x:v>
      </x:c>
      <x:c r="F490" s="2" t="n">
        <x:v>1</x:v>
      </x:c>
      <x:c r="G490" s="2" t="str">
        <x:v>Junior</x:v>
      </x:c>
      <x:c r="H490" s="2" t="str">
        <x:v>Pickup</x:v>
      </x:c>
      <x:c r="I490" s="2" t="str">
        <x:v>R1S3</x:v>
      </x:c>
      <x:c r="J490" s="2" t="str">
        <x:v>EV000971</x:v>
      </x:c>
      <x:c r="K490" s="8" t="n">
        <x:v>46301.25236111111</x:v>
      </x:c>
      <x:c r="L490" s="2" t="str">
        <x:v>R1S3</x:v>
      </x:c>
      <x:c r="M490" s="9" t="n">
        <x:v>25.275000000000002</x:v>
      </x:c>
      <x:c r="N490" s="9" t="n">
        <x:v>51.497</x:v>
      </x:c>
      <x:c r="O490" s="2" t="str">
        <x:v>Valid</x:v>
      </x:c>
      <x:c r="P490" s="2" t="str">
        <x:v>EV000972</x:v>
      </x:c>
      <x:c r="Q490" s="8" t="n">
        <x:v>46301.276666666665</x:v>
      </x:c>
      <x:c r="R490" s="2" t="str">
        <x:v>SCH01</x:v>
      </x:c>
      <x:c r="S490" s="9" t="n">
        <x:v>25.285</x:v>
      </x:c>
      <x:c r="T490" s="9" t="n">
        <x:v>51.51</x:v>
      </x:c>
      <x:c r="U490" s="2" t="str">
        <x:v>SCHOOL_RECEIVER_01</x:v>
      </x:c>
      <x:c r="V490" s="2" t="str">
        <x:v>School staff receipt</x:v>
      </x:c>
      <x:c r="W490" s="2" t="str">
        <x:v>Completed transport</x:v>
      </x:c>
      <x:c r="X490" s="2" t="str">
        <x:v>QR</x:v>
      </x:c>
      <x:c r="Y490" s="2" t="str">
        <x:v>Online</x:v>
      </x:c>
      <x:c r="Z490" s="2" t="str">
        <x:v>Synced</x:v>
      </x:c>
      <x:c r="AA490" s="2"/>
      <x:c r="AB490" s="2"/>
      <x:c r="AC490" s="10" t="n">
        <x:f>IF(OR(K490="",Q490=""),"",ROUND((Q490-K490)*1440,2))</x:f>
        <x:v>35</x:v>
      </x:c>
    </x:row>
    <x:row r="491" ht="21" customHeight="1">
      <x:c r="A491" s="2" t="str">
        <x:v>LN00490</x:v>
      </x:c>
      <x:c r="B491" s="2" t="str">
        <x:v>T20261006-1-1</x:v>
      </x:c>
      <x:c r="C491" s="7" t="n">
        <x:v>46301</x:v>
      </x:c>
      <x:c r="D491" s="2" t="str">
        <x:v>BUS001</x:v>
      </x:c>
      <x:c r="E491" s="2" t="str">
        <x:v>ST010</x:v>
      </x:c>
      <x:c r="F491" s="2" t="n">
        <x:v>1</x:v>
      </x:c>
      <x:c r="G491" s="2" t="str">
        <x:v>Junior</x:v>
      </x:c>
      <x:c r="H491" s="2" t="str">
        <x:v>Pickup</x:v>
      </x:c>
      <x:c r="I491" s="2" t="str">
        <x:v>R1S1</x:v>
      </x:c>
      <x:c r="J491" s="2" t="str">
        <x:v>EV000973</x:v>
      </x:c>
      <x:c r="K491" s="8" t="n">
        <x:v>46301.242673611116</x:v>
      </x:c>
      <x:c r="L491" s="2" t="str">
        <x:v>R1S1</x:v>
      </x:c>
      <x:c r="M491" s="9" t="n">
        <x:v>25.271</x:v>
      </x:c>
      <x:c r="N491" s="9" t="n">
        <x:v>51.491</x:v>
      </x:c>
      <x:c r="O491" s="2" t="str">
        <x:v>Valid</x:v>
      </x:c>
      <x:c r="P491" s="2" t="str">
        <x:v>EV000974</x:v>
      </x:c>
      <x:c r="Q491" s="8" t="n">
        <x:v>46301.27670138889</x:v>
      </x:c>
      <x:c r="R491" s="2" t="str">
        <x:v>SCH01</x:v>
      </x:c>
      <x:c r="S491" s="9" t="n">
        <x:v>25.285</x:v>
      </x:c>
      <x:c r="T491" s="9" t="n">
        <x:v>51.51</x:v>
      </x:c>
      <x:c r="U491" s="2" t="str">
        <x:v>SCHOOL_RECEIVER_01</x:v>
      </x:c>
      <x:c r="V491" s="2" t="str">
        <x:v>School staff receipt</x:v>
      </x:c>
      <x:c r="W491" s="2" t="str">
        <x:v>Completed transport</x:v>
      </x:c>
      <x:c r="X491" s="2" t="str">
        <x:v>QR</x:v>
      </x:c>
      <x:c r="Y491" s="2" t="str">
        <x:v>Online</x:v>
      </x:c>
      <x:c r="Z491" s="2" t="str">
        <x:v>Synced</x:v>
      </x:c>
      <x:c r="AA491" s="2"/>
      <x:c r="AB491" s="2"/>
      <x:c r="AC491" s="10" t="n">
        <x:f>IF(OR(K491="",Q491=""),"",ROUND((Q491-K491)*1440,2))</x:f>
        <x:v>49</x:v>
      </x:c>
    </x:row>
    <x:row r="492" ht="21" customHeight="1">
      <x:c r="A492" s="2" t="str">
        <x:v>LN00491</x:v>
      </x:c>
      <x:c r="B492" s="2" t="str">
        <x:v>T20261006-1-1</x:v>
      </x:c>
      <x:c r="C492" s="7" t="n">
        <x:v>46301</x:v>
      </x:c>
      <x:c r="D492" s="2" t="str">
        <x:v>BUS001</x:v>
      </x:c>
      <x:c r="E492" s="2" t="str">
        <x:v>ST011</x:v>
      </x:c>
      <x:c r="F492" s="2" t="n">
        <x:v>1</x:v>
      </x:c>
      <x:c r="G492" s="2" t="str">
        <x:v>Senior</x:v>
      </x:c>
      <x:c r="H492" s="2" t="str">
        <x:v>Pickup</x:v>
      </x:c>
      <x:c r="I492" s="2" t="str">
        <x:v>R1S2</x:v>
      </x:c>
      <x:c r="J492" s="2" t="str">
        <x:v>EV000975</x:v>
      </x:c>
      <x:c r="K492" s="8" t="n">
        <x:v>46301.24722222222</x:v>
      </x:c>
      <x:c r="L492" s="2" t="str">
        <x:v>R1S2</x:v>
      </x:c>
      <x:c r="M492" s="9" t="n">
        <x:v>25.273000000000003</x:v>
      </x:c>
      <x:c r="N492" s="9" t="n">
        <x:v>51.494</x:v>
      </x:c>
      <x:c r="O492" s="2" t="str">
        <x:v>Valid</x:v>
      </x:c>
      <x:c r="P492" s="2" t="str">
        <x:v>EV000976</x:v>
      </x:c>
      <x:c r="Q492" s="8" t="n">
        <x:v>46301.27673611111</x:v>
      </x:c>
      <x:c r="R492" s="2" t="str">
        <x:v>SCH01</x:v>
      </x:c>
      <x:c r="S492" s="9" t="n">
        <x:v>25.285</x:v>
      </x:c>
      <x:c r="T492" s="9" t="n">
        <x:v>51.51</x:v>
      </x:c>
      <x:c r="U492" s="2" t="str">
        <x:v>SCHOOL_RECEIVER_01</x:v>
      </x:c>
      <x:c r="V492" s="2" t="str">
        <x:v>School staff receipt</x:v>
      </x:c>
      <x:c r="W492" s="2" t="str">
        <x:v>Completed transport</x:v>
      </x:c>
      <x:c r="X492" s="2" t="str">
        <x:v>QR</x:v>
      </x:c>
      <x:c r="Y492" s="2" t="str">
        <x:v>Online</x:v>
      </x:c>
      <x:c r="Z492" s="2" t="str">
        <x:v>Synced</x:v>
      </x:c>
      <x:c r="AA492" s="2"/>
      <x:c r="AB492" s="2"/>
      <x:c r="AC492" s="10" t="n">
        <x:f>IF(OR(K492="",Q492=""),"",ROUND((Q492-K492)*1440,2))</x:f>
        <x:v>42.5</x:v>
      </x:c>
    </x:row>
    <x:row r="493" ht="21" customHeight="1">
      <x:c r="A493" s="2" t="str">
        <x:v>LN00492</x:v>
      </x:c>
      <x:c r="B493" s="2" t="str">
        <x:v>T20261006-1-1</x:v>
      </x:c>
      <x:c r="C493" s="7" t="n">
        <x:v>46301</x:v>
      </x:c>
      <x:c r="D493" s="2" t="str">
        <x:v>BUS001</x:v>
      </x:c>
      <x:c r="E493" s="2" t="str">
        <x:v>ST012</x:v>
      </x:c>
      <x:c r="F493" s="2" t="n">
        <x:v>1</x:v>
      </x:c>
      <x:c r="G493" s="2" t="str">
        <x:v>Senior</x:v>
      </x:c>
      <x:c r="H493" s="2" t="str">
        <x:v>Pickup</x:v>
      </x:c>
      <x:c r="I493" s="2" t="str">
        <x:v>R1S3</x:v>
      </x:c>
      <x:c r="J493" s="2" t="str">
        <x:v>EV000977</x:v>
      </x:c>
      <x:c r="K493" s="8" t="n">
        <x:v>46301.252118055556</x:v>
      </x:c>
      <x:c r="L493" s="2" t="str">
        <x:v>R1S3</x:v>
      </x:c>
      <x:c r="M493" s="9" t="n">
        <x:v>25.275000000000002</x:v>
      </x:c>
      <x:c r="N493" s="9" t="n">
        <x:v>51.497</x:v>
      </x:c>
      <x:c r="O493" s="2" t="str">
        <x:v>Valid</x:v>
      </x:c>
      <x:c r="P493" s="2" t="str">
        <x:v>EV000978</x:v>
      </x:c>
      <x:c r="Q493" s="8" t="n">
        <x:v>46301.276770833334</x:v>
      </x:c>
      <x:c r="R493" s="2" t="str">
        <x:v>SCH01</x:v>
      </x:c>
      <x:c r="S493" s="9" t="n">
        <x:v>25.285</x:v>
      </x:c>
      <x:c r="T493" s="9" t="n">
        <x:v>51.51</x:v>
      </x:c>
      <x:c r="U493" s="2" t="str">
        <x:v>SCHOOL_RECEIVER_01</x:v>
      </x:c>
      <x:c r="V493" s="2" t="str">
        <x:v>School staff receipt</x:v>
      </x:c>
      <x:c r="W493" s="2" t="str">
        <x:v>Completed transport</x:v>
      </x:c>
      <x:c r="X493" s="2" t="str">
        <x:v>QR</x:v>
      </x:c>
      <x:c r="Y493" s="2" t="str">
        <x:v>Online</x:v>
      </x:c>
      <x:c r="Z493" s="2" t="str">
        <x:v>Synced</x:v>
      </x:c>
      <x:c r="AA493" s="2"/>
      <x:c r="AB493" s="2"/>
      <x:c r="AC493" s="10" t="n">
        <x:f>IF(OR(K493="",Q493=""),"",ROUND((Q493-K493)*1440,2))</x:f>
        <x:v>35.5</x:v>
      </x:c>
    </x:row>
    <x:row r="494" ht="21" customHeight="1">
      <x:c r="A494" s="2" t="str">
        <x:v>LN00493</x:v>
      </x:c>
      <x:c r="B494" s="2" t="str">
        <x:v>T20261006-1-1</x:v>
      </x:c>
      <x:c r="C494" s="7" t="n">
        <x:v>46301</x:v>
      </x:c>
      <x:c r="D494" s="2" t="str">
        <x:v>BUS001</x:v>
      </x:c>
      <x:c r="E494" s="2" t="str">
        <x:v>ST013</x:v>
      </x:c>
      <x:c r="F494" s="2" t="n">
        <x:v>1</x:v>
      </x:c>
      <x:c r="G494" s="2" t="str">
        <x:v>Senior</x:v>
      </x:c>
      <x:c r="H494" s="2" t="str">
        <x:v>Pickup</x:v>
      </x:c>
      <x:c r="I494" s="2" t="str">
        <x:v>R1S1</x:v>
      </x:c>
      <x:c r="J494" s="2" t="str">
        <x:v>EV000979</x:v>
      </x:c>
      <x:c r="K494" s="8" t="n">
        <x:v>46301.24243055556</x:v>
      </x:c>
      <x:c r="L494" s="2" t="str">
        <x:v>R1S1</x:v>
      </x:c>
      <x:c r="M494" s="9" t="n">
        <x:v>25.271</x:v>
      </x:c>
      <x:c r="N494" s="9" t="n">
        <x:v>51.491</x:v>
      </x:c>
      <x:c r="O494" s="2" t="str">
        <x:v>Valid</x:v>
      </x:c>
      <x:c r="P494" s="2" t="str">
        <x:v>EV000980</x:v>
      </x:c>
      <x:c r="Q494" s="8" t="n">
        <x:v>46301.27680555556</x:v>
      </x:c>
      <x:c r="R494" s="2" t="str">
        <x:v>SCH01</x:v>
      </x:c>
      <x:c r="S494" s="9" t="n">
        <x:v>25.285</x:v>
      </x:c>
      <x:c r="T494" s="9" t="n">
        <x:v>51.51</x:v>
      </x:c>
      <x:c r="U494" s="2" t="str">
        <x:v>SCHOOL_RECEIVER_01</x:v>
      </x:c>
      <x:c r="V494" s="2" t="str">
        <x:v>School staff receipt</x:v>
      </x:c>
      <x:c r="W494" s="2" t="str">
        <x:v>Completed transport</x:v>
      </x:c>
      <x:c r="X494" s="2" t="str">
        <x:v>QR</x:v>
      </x:c>
      <x:c r="Y494" s="2" t="str">
        <x:v>Online</x:v>
      </x:c>
      <x:c r="Z494" s="2" t="str">
        <x:v>Synced</x:v>
      </x:c>
      <x:c r="AA494" s="2"/>
      <x:c r="AB494" s="2"/>
      <x:c r="AC494" s="10" t="n">
        <x:f>IF(OR(K494="",Q494=""),"",ROUND((Q494-K494)*1440,2))</x:f>
        <x:v>49.5</x:v>
      </x:c>
    </x:row>
    <x:row r="495" ht="21" customHeight="1">
      <x:c r="A495" s="2" t="str">
        <x:v>LN00494</x:v>
      </x:c>
      <x:c r="B495" s="2" t="str">
        <x:v>T20261006-1-1</x:v>
      </x:c>
      <x:c r="C495" s="7" t="n">
        <x:v>46301</x:v>
      </x:c>
      <x:c r="D495" s="2" t="str">
        <x:v>BUS001</x:v>
      </x:c>
      <x:c r="E495" s="2" t="str">
        <x:v>ST014</x:v>
      </x:c>
      <x:c r="F495" s="2" t="n">
        <x:v>1</x:v>
      </x:c>
      <x:c r="G495" s="2" t="str">
        <x:v>Senior</x:v>
      </x:c>
      <x:c r="H495" s="2" t="str">
        <x:v>Pickup</x:v>
      </x:c>
      <x:c r="I495" s="2" t="str">
        <x:v>R1S2</x:v>
      </x:c>
      <x:c r="J495" s="2" t="str">
        <x:v>EV000981</x:v>
      </x:c>
      <x:c r="K495" s="8" t="n">
        <x:v>46301.24732638889</x:v>
      </x:c>
      <x:c r="L495" s="2" t="str">
        <x:v>R1S2</x:v>
      </x:c>
      <x:c r="M495" s="9" t="n">
        <x:v>25.273000000000003</x:v>
      </x:c>
      <x:c r="N495" s="9" t="n">
        <x:v>51.494</x:v>
      </x:c>
      <x:c r="O495" s="2" t="str">
        <x:v>Valid</x:v>
      </x:c>
      <x:c r="P495" s="2" t="str">
        <x:v>EV000982</x:v>
      </x:c>
      <x:c r="Q495" s="8" t="n">
        <x:v>46301.27684027777</x:v>
      </x:c>
      <x:c r="R495" s="2" t="str">
        <x:v>SCH01</x:v>
      </x:c>
      <x:c r="S495" s="9" t="n">
        <x:v>25.285</x:v>
      </x:c>
      <x:c r="T495" s="9" t="n">
        <x:v>51.51</x:v>
      </x:c>
      <x:c r="U495" s="2" t="str">
        <x:v>SCHOOL_RECEIVER_01</x:v>
      </x:c>
      <x:c r="V495" s="2" t="str">
        <x:v>School staff receipt</x:v>
      </x:c>
      <x:c r="W495" s="2" t="str">
        <x:v>Completed transport</x:v>
      </x:c>
      <x:c r="X495" s="2" t="str">
        <x:v>QR</x:v>
      </x:c>
      <x:c r="Y495" s="2" t="str">
        <x:v>Online</x:v>
      </x:c>
      <x:c r="Z495" s="2" t="str">
        <x:v>Synced</x:v>
      </x:c>
      <x:c r="AA495" s="2"/>
      <x:c r="AB495" s="2"/>
      <x:c r="AC495" s="10" t="n">
        <x:f>IF(OR(K495="",Q495=""),"",ROUND((Q495-K495)*1440,2))</x:f>
        <x:v>42.5</x:v>
      </x:c>
    </x:row>
    <x:row r="496" ht="21" customHeight="1">
      <x:c r="A496" s="2" t="str">
        <x:v>LN00495</x:v>
      </x:c>
      <x:c r="B496" s="2" t="str">
        <x:v>T20261006-1-1</x:v>
      </x:c>
      <x:c r="C496" s="7" t="n">
        <x:v>46301</x:v>
      </x:c>
      <x:c r="D496" s="2" t="str">
        <x:v>BUS001</x:v>
      </x:c>
      <x:c r="E496" s="2" t="str">
        <x:v>ST015</x:v>
      </x:c>
      <x:c r="F496" s="2" t="n">
        <x:v>1</x:v>
      </x:c>
      <x:c r="G496" s="2" t="str">
        <x:v>Senior</x:v>
      </x:c>
      <x:c r="H496" s="2" t="str">
        <x:v>Pickup</x:v>
      </x:c>
      <x:c r="I496" s="2" t="str">
        <x:v>R1S3</x:v>
      </x:c>
      <x:c r="J496" s="2" t="str">
        <x:v>EV000983</x:v>
      </x:c>
      <x:c r="K496" s="8" t="n">
        <x:v>46301.252222222225</x:v>
      </x:c>
      <x:c r="L496" s="2" t="str">
        <x:v>R1S3</x:v>
      </x:c>
      <x:c r="M496" s="9" t="n">
        <x:v>25.275000000000002</x:v>
      </x:c>
      <x:c r="N496" s="9" t="n">
        <x:v>51.497</x:v>
      </x:c>
      <x:c r="O496" s="2" t="str">
        <x:v>Valid</x:v>
      </x:c>
      <x:c r="P496" s="2" t="str">
        <x:v>EV000984</x:v>
      </x:c>
      <x:c r="Q496" s="8" t="n">
        <x:v>46301.276874999996</x:v>
      </x:c>
      <x:c r="R496" s="2" t="str">
        <x:v>SCH01</x:v>
      </x:c>
      <x:c r="S496" s="9" t="n">
        <x:v>25.285</x:v>
      </x:c>
      <x:c r="T496" s="9" t="n">
        <x:v>51.51</x:v>
      </x:c>
      <x:c r="U496" s="2" t="str">
        <x:v>SCHOOL_RECEIVER_01</x:v>
      </x:c>
      <x:c r="V496" s="2" t="str">
        <x:v>School staff receipt</x:v>
      </x:c>
      <x:c r="W496" s="2" t="str">
        <x:v>Completed transport</x:v>
      </x:c>
      <x:c r="X496" s="2" t="str">
        <x:v>QR</x:v>
      </x:c>
      <x:c r="Y496" s="2" t="str">
        <x:v>Online</x:v>
      </x:c>
      <x:c r="Z496" s="2" t="str">
        <x:v>Synced</x:v>
      </x:c>
      <x:c r="AA496" s="2"/>
      <x:c r="AB496" s="2"/>
      <x:c r="AC496" s="10" t="n">
        <x:f>IF(OR(K496="",Q496=""),"",ROUND((Q496-K496)*1440,2))</x:f>
        <x:v>35.5</x:v>
      </x:c>
    </x:row>
    <x:row r="497" ht="21" customHeight="1">
      <x:c r="A497" s="2" t="str">
        <x:v>LN00496</x:v>
      </x:c>
      <x:c r="B497" s="2" t="str">
        <x:v>T20261006-1-1</x:v>
      </x:c>
      <x:c r="C497" s="7" t="n">
        <x:v>46301</x:v>
      </x:c>
      <x:c r="D497" s="2" t="str">
        <x:v>BUS001</x:v>
      </x:c>
      <x:c r="E497" s="2" t="str">
        <x:v>ST016</x:v>
      </x:c>
      <x:c r="F497" s="2" t="n">
        <x:v>1</x:v>
      </x:c>
      <x:c r="G497" s="2" t="str">
        <x:v>Senior</x:v>
      </x:c>
      <x:c r="H497" s="2" t="str">
        <x:v>Pickup</x:v>
      </x:c>
      <x:c r="I497" s="2" t="str">
        <x:v>R1S1</x:v>
      </x:c>
      <x:c r="J497" s="2" t="str">
        <x:v>EV000985</x:v>
      </x:c>
      <x:c r="K497" s="8" t="n">
        <x:v>46301.24253472222</x:v>
      </x:c>
      <x:c r="L497" s="2" t="str">
        <x:v>R1S1</x:v>
      </x:c>
      <x:c r="M497" s="9" t="n">
        <x:v>25.271</x:v>
      </x:c>
      <x:c r="N497" s="9" t="n">
        <x:v>51.491</x:v>
      </x:c>
      <x:c r="O497" s="2" t="str">
        <x:v>Valid</x:v>
      </x:c>
      <x:c r="P497" s="2" t="str">
        <x:v>EV000986</x:v>
      </x:c>
      <x:c r="Q497" s="8" t="n">
        <x:v>46301.27690972222</x:v>
      </x:c>
      <x:c r="R497" s="2" t="str">
        <x:v>SCH01</x:v>
      </x:c>
      <x:c r="S497" s="9" t="n">
        <x:v>25.285</x:v>
      </x:c>
      <x:c r="T497" s="9" t="n">
        <x:v>51.51</x:v>
      </x:c>
      <x:c r="U497" s="2" t="str">
        <x:v>SCHOOL_RECEIVER_01</x:v>
      </x:c>
      <x:c r="V497" s="2" t="str">
        <x:v>School staff receipt</x:v>
      </x:c>
      <x:c r="W497" s="2" t="str">
        <x:v>Completed transport</x:v>
      </x:c>
      <x:c r="X497" s="2" t="str">
        <x:v>QR</x:v>
      </x:c>
      <x:c r="Y497" s="2" t="str">
        <x:v>Online</x:v>
      </x:c>
      <x:c r="Z497" s="2" t="str">
        <x:v>Synced</x:v>
      </x:c>
      <x:c r="AA497" s="2"/>
      <x:c r="AB497" s="2"/>
      <x:c r="AC497" s="10" t="n">
        <x:f>IF(OR(K497="",Q497=""),"",ROUND((Q497-K497)*1440,2))</x:f>
        <x:v>49.5</x:v>
      </x:c>
    </x:row>
    <x:row r="498" ht="21" customHeight="1">
      <x:c r="A498" s="2" t="str">
        <x:v>LN00497</x:v>
      </x:c>
      <x:c r="B498" s="2" t="str">
        <x:v>T20261006-1-1</x:v>
      </x:c>
      <x:c r="C498" s="7" t="n">
        <x:v>46301</x:v>
      </x:c>
      <x:c r="D498" s="2" t="str">
        <x:v>BUS001</x:v>
      </x:c>
      <x:c r="E498" s="2" t="str">
        <x:v>ST017</x:v>
      </x:c>
      <x:c r="F498" s="2" t="n">
        <x:v>1</x:v>
      </x:c>
      <x:c r="G498" s="2" t="str">
        <x:v>Senior</x:v>
      </x:c>
      <x:c r="H498" s="2" t="str">
        <x:v>Pickup</x:v>
      </x:c>
      <x:c r="I498" s="2" t="str">
        <x:v>R1S2</x:v>
      </x:c>
      <x:c r="J498" s="2" t="str">
        <x:v>EV000987</x:v>
      </x:c>
      <x:c r="K498" s="8" t="n">
        <x:v>46301.24743055555</x:v>
      </x:c>
      <x:c r="L498" s="2" t="str">
        <x:v>R1S2</x:v>
      </x:c>
      <x:c r="M498" s="9" t="n">
        <x:v>25.273000000000003</x:v>
      </x:c>
      <x:c r="N498" s="9" t="n">
        <x:v>51.494</x:v>
      </x:c>
      <x:c r="O498" s="2" t="str">
        <x:v>Valid</x:v>
      </x:c>
      <x:c r="P498" s="2" t="str">
        <x:v>EV000988</x:v>
      </x:c>
      <x:c r="Q498" s="8" t="n">
        <x:v>46301.27694444444</x:v>
      </x:c>
      <x:c r="R498" s="2" t="str">
        <x:v>SCH01</x:v>
      </x:c>
      <x:c r="S498" s="9" t="n">
        <x:v>25.285</x:v>
      </x:c>
      <x:c r="T498" s="9" t="n">
        <x:v>51.51</x:v>
      </x:c>
      <x:c r="U498" s="2" t="str">
        <x:v>SCHOOL_RECEIVER_01</x:v>
      </x:c>
      <x:c r="V498" s="2" t="str">
        <x:v>School staff receipt</x:v>
      </x:c>
      <x:c r="W498" s="2" t="str">
        <x:v>Completed transport</x:v>
      </x:c>
      <x:c r="X498" s="2" t="str">
        <x:v>QR</x:v>
      </x:c>
      <x:c r="Y498" s="2" t="str">
        <x:v>Online</x:v>
      </x:c>
      <x:c r="Z498" s="2" t="str">
        <x:v>Synced</x:v>
      </x:c>
      <x:c r="AA498" s="2"/>
      <x:c r="AB498" s="2"/>
      <x:c r="AC498" s="10" t="n">
        <x:f>IF(OR(K498="",Q498=""),"",ROUND((Q498-K498)*1440,2))</x:f>
        <x:v>42.5</x:v>
      </x:c>
    </x:row>
    <x:row r="499" ht="21" customHeight="1">
      <x:c r="A499" s="2" t="str">
        <x:v>LN00498</x:v>
      </x:c>
      <x:c r="B499" s="2" t="str">
        <x:v>T20261006-1-1</x:v>
      </x:c>
      <x:c r="C499" s="7" t="n">
        <x:v>46301</x:v>
      </x:c>
      <x:c r="D499" s="2" t="str">
        <x:v>BUS001</x:v>
      </x:c>
      <x:c r="E499" s="2" t="str">
        <x:v>ST018</x:v>
      </x:c>
      <x:c r="F499" s="2" t="n">
        <x:v>1</x:v>
      </x:c>
      <x:c r="G499" s="2" t="str">
        <x:v>Senior</x:v>
      </x:c>
      <x:c r="H499" s="2" t="str">
        <x:v>Pickup</x:v>
      </x:c>
      <x:c r="I499" s="2" t="str">
        <x:v>R1S3</x:v>
      </x:c>
      <x:c r="J499" s="2" t="str">
        <x:v>EV000989</x:v>
      </x:c>
      <x:c r="K499" s="8" t="n">
        <x:v>46301.25232638889</x:v>
      </x:c>
      <x:c r="L499" s="2" t="str">
        <x:v>R1S3</x:v>
      </x:c>
      <x:c r="M499" s="9" t="n">
        <x:v>25.275000000000002</x:v>
      </x:c>
      <x:c r="N499" s="9" t="n">
        <x:v>51.497</x:v>
      </x:c>
      <x:c r="O499" s="2" t="str">
        <x:v>Valid</x:v>
      </x:c>
      <x:c r="P499" s="2" t="str">
        <x:v>EV000990</x:v>
      </x:c>
      <x:c r="Q499" s="8" t="n">
        <x:v>46301.276979166665</x:v>
      </x:c>
      <x:c r="R499" s="2" t="str">
        <x:v>SCH01</x:v>
      </x:c>
      <x:c r="S499" s="9" t="n">
        <x:v>25.285</x:v>
      </x:c>
      <x:c r="T499" s="9" t="n">
        <x:v>51.51</x:v>
      </x:c>
      <x:c r="U499" s="2" t="str">
        <x:v>SCHOOL_RECEIVER_01</x:v>
      </x:c>
      <x:c r="V499" s="2" t="str">
        <x:v>School staff receipt</x:v>
      </x:c>
      <x:c r="W499" s="2" t="str">
        <x:v>Completed transport</x:v>
      </x:c>
      <x:c r="X499" s="2" t="str">
        <x:v>QR</x:v>
      </x:c>
      <x:c r="Y499" s="2" t="str">
        <x:v>Online</x:v>
      </x:c>
      <x:c r="Z499" s="2" t="str">
        <x:v>Synced</x:v>
      </x:c>
      <x:c r="AA499" s="2"/>
      <x:c r="AB499" s="2"/>
      <x:c r="AC499" s="10" t="n">
        <x:f>IF(OR(K499="",Q499=""),"",ROUND((Q499-K499)*1440,2))</x:f>
        <x:v>35.5</x:v>
      </x:c>
    </x:row>
    <x:row r="500" ht="21" customHeight="1">
      <x:c r="A500" s="2" t="str">
        <x:v>LN00499</x:v>
      </x:c>
      <x:c r="B500" s="2" t="str">
        <x:v>T20261006-1-1</x:v>
      </x:c>
      <x:c r="C500" s="7" t="n">
        <x:v>46301</x:v>
      </x:c>
      <x:c r="D500" s="2" t="str">
        <x:v>BUS001</x:v>
      </x:c>
      <x:c r="E500" s="2" t="str">
        <x:v>ST019</x:v>
      </x:c>
      <x:c r="F500" s="2" t="n">
        <x:v>1</x:v>
      </x:c>
      <x:c r="G500" s="2" t="str">
        <x:v>Senior</x:v>
      </x:c>
      <x:c r="H500" s="2" t="str">
        <x:v>Pickup</x:v>
      </x:c>
      <x:c r="I500" s="2" t="str">
        <x:v>R1S1</x:v>
      </x:c>
      <x:c r="J500" s="2" t="str">
        <x:v>EV000991</x:v>
      </x:c>
      <x:c r="K500" s="8" t="n">
        <x:v>46301.24263888889</x:v>
      </x:c>
      <x:c r="L500" s="2" t="str">
        <x:v>R1S1</x:v>
      </x:c>
      <x:c r="M500" s="9" t="n">
        <x:v>25.271</x:v>
      </x:c>
      <x:c r="N500" s="9" t="n">
        <x:v>51.491</x:v>
      </x:c>
      <x:c r="O500" s="2" t="str">
        <x:v>Valid</x:v>
      </x:c>
      <x:c r="P500" s="2" t="str">
        <x:v>EV000992</x:v>
      </x:c>
      <x:c r="Q500" s="8" t="n">
        <x:v>46301.27701388889</x:v>
      </x:c>
      <x:c r="R500" s="2" t="str">
        <x:v>SCH01</x:v>
      </x:c>
      <x:c r="S500" s="9" t="n">
        <x:v>25.285</x:v>
      </x:c>
      <x:c r="T500" s="9" t="n">
        <x:v>51.51</x:v>
      </x:c>
      <x:c r="U500" s="2" t="str">
        <x:v>SCHOOL_RECEIVER_01</x:v>
      </x:c>
      <x:c r="V500" s="2" t="str">
        <x:v>School staff receipt</x:v>
      </x:c>
      <x:c r="W500" s="2" t="str">
        <x:v>Completed transport</x:v>
      </x:c>
      <x:c r="X500" s="2" t="str">
        <x:v>QR</x:v>
      </x:c>
      <x:c r="Y500" s="2" t="str">
        <x:v>Online</x:v>
      </x:c>
      <x:c r="Z500" s="2" t="str">
        <x:v>Synced</x:v>
      </x:c>
      <x:c r="AA500" s="2"/>
      <x:c r="AB500" s="2"/>
      <x:c r="AC500" s="10" t="n">
        <x:f>IF(OR(K500="",Q500=""),"",ROUND((Q500-K500)*1440,2))</x:f>
        <x:v>49.5</x:v>
      </x:c>
    </x:row>
    <x:row r="501" ht="21" customHeight="1">
      <x:c r="A501" s="2" t="str">
        <x:v>LN00500</x:v>
      </x:c>
      <x:c r="B501" s="2" t="str">
        <x:v>T20261006-1-1</x:v>
      </x:c>
      <x:c r="C501" s="7" t="n">
        <x:v>46301</x:v>
      </x:c>
      <x:c r="D501" s="2" t="str">
        <x:v>BUS001</x:v>
      </x:c>
      <x:c r="E501" s="2" t="str">
        <x:v>ST020</x:v>
      </x:c>
      <x:c r="F501" s="2" t="n">
        <x:v>1</x:v>
      </x:c>
      <x:c r="G501" s="2" t="str">
        <x:v>Senior</x:v>
      </x:c>
      <x:c r="H501" s="2" t="str">
        <x:v>Pickup</x:v>
      </x:c>
      <x:c r="I501" s="2" t="str">
        <x:v>R1S2</x:v>
      </x:c>
      <x:c r="J501" s="2" t="str">
        <x:v>EV000993</x:v>
      </x:c>
      <x:c r="K501" s="8" t="n">
        <x:v>46301.24753472222</x:v>
      </x:c>
      <x:c r="L501" s="2" t="str">
        <x:v>R1S2</x:v>
      </x:c>
      <x:c r="M501" s="9" t="n">
        <x:v>25.273000000000003</x:v>
      </x:c>
      <x:c r="N501" s="9" t="n">
        <x:v>51.494</x:v>
      </x:c>
      <x:c r="O501" s="2" t="str">
        <x:v>Valid</x:v>
      </x:c>
      <x:c r="P501" s="2" t="str">
        <x:v>EV000994</x:v>
      </x:c>
      <x:c r="Q501" s="8" t="n">
        <x:v>46301.27704861111</x:v>
      </x:c>
      <x:c r="R501" s="2" t="str">
        <x:v>SCH01</x:v>
      </x:c>
      <x:c r="S501" s="9" t="n">
        <x:v>25.285</x:v>
      </x:c>
      <x:c r="T501" s="9" t="n">
        <x:v>51.51</x:v>
      </x:c>
      <x:c r="U501" s="2" t="str">
        <x:v>SCHOOL_RECEIVER_01</x:v>
      </x:c>
      <x:c r="V501" s="2" t="str">
        <x:v>School staff receipt</x:v>
      </x:c>
      <x:c r="W501" s="2" t="str">
        <x:v>Completed transport</x:v>
      </x:c>
      <x:c r="X501" s="2" t="str">
        <x:v>QR</x:v>
      </x:c>
      <x:c r="Y501" s="2" t="str">
        <x:v>Online</x:v>
      </x:c>
      <x:c r="Z501" s="2" t="str">
        <x:v>Synced</x:v>
      </x:c>
      <x:c r="AA501" s="2"/>
      <x:c r="AB501" s="2"/>
      <x:c r="AC501" s="10" t="n">
        <x:f>IF(OR(K501="",Q501=""),"",ROUND((Q501-K501)*1440,2))</x:f>
        <x:v>42.5</x:v>
      </x:c>
    </x:row>
    <x:row r="502" ht="21" customHeight="1">
      <x:c r="A502" s="2" t="str">
        <x:v>LN00501</x:v>
      </x:c>
      <x:c r="B502" s="2" t="str">
        <x:v>T20261006-2-1</x:v>
      </x:c>
      <x:c r="C502" s="7" t="n">
        <x:v>46301</x:v>
      </x:c>
      <x:c r="D502" s="2" t="str">
        <x:v>BUS001</x:v>
      </x:c>
      <x:c r="E502" s="2" t="str">
        <x:v>ST001</x:v>
      </x:c>
      <x:c r="F502" s="2" t="n">
        <x:v>1</x:v>
      </x:c>
      <x:c r="G502" s="2" t="str">
        <x:v>Junior</x:v>
      </x:c>
      <x:c r="H502" s="2" t="str">
        <x:v>Drop-off</x:v>
      </x:c>
      <x:c r="I502" s="2" t="str">
        <x:v>R1S1</x:v>
      </x:c>
      <x:c r="J502" s="2" t="str">
        <x:v>EV000995</x:v>
      </x:c>
      <x:c r="K502" s="8" t="n">
        <x:v>46301.4375</x:v>
      </x:c>
      <x:c r="L502" s="2" t="str">
        <x:v>SCH01</x:v>
      </x:c>
      <x:c r="M502" s="9" t="n">
        <x:v>25.285</x:v>
      </x:c>
      <x:c r="N502" s="9" t="n">
        <x:v>51.51</x:v>
      </x:c>
      <x:c r="O502" s="2" t="str">
        <x:v>Valid</x:v>
      </x:c>
      <x:c r="P502" s="2" t="str">
        <x:v>EV000996</x:v>
      </x:c>
      <x:c r="Q502" s="8" t="n">
        <x:v>46301.44930555555</x:v>
      </x:c>
      <x:c r="R502" s="2" t="str">
        <x:v>R1S1</x:v>
      </x:c>
      <x:c r="S502" s="9" t="n">
        <x:v>25.271</x:v>
      </x:c>
      <x:c r="T502" s="9" t="n">
        <x:v>51.491</x:v>
      </x:c>
      <x:c r="U502" s="2" t="str">
        <x:v>G001</x:v>
      </x:c>
      <x:c r="V502" s="2" t="str">
        <x:v>Authorized guardian release</x:v>
      </x:c>
      <x:c r="W502" s="2" t="str">
        <x:v>Completed transport</x:v>
      </x:c>
      <x:c r="X502" s="2" t="str">
        <x:v>QR</x:v>
      </x:c>
      <x:c r="Y502" s="2" t="str">
        <x:v>Online</x:v>
      </x:c>
      <x:c r="Z502" s="2" t="str">
        <x:v>Synced</x:v>
      </x:c>
      <x:c r="AA502" s="2"/>
      <x:c r="AB502" s="2"/>
      <x:c r="AC502" s="10" t="n">
        <x:f>IF(OR(K502="",Q502=""),"",ROUND((Q502-K502)*1440,2))</x:f>
        <x:v>17</x:v>
      </x:c>
    </x:row>
    <x:row r="503" ht="21" customHeight="1">
      <x:c r="A503" s="2" t="str">
        <x:v>LN00502</x:v>
      </x:c>
      <x:c r="B503" s="2" t="str">
        <x:v>T20261006-2-1</x:v>
      </x:c>
      <x:c r="C503" s="7" t="n">
        <x:v>46301</x:v>
      </x:c>
      <x:c r="D503" s="2" t="str">
        <x:v>BUS001</x:v>
      </x:c>
      <x:c r="E503" s="2" t="str">
        <x:v>ST002</x:v>
      </x:c>
      <x:c r="F503" s="2" t="n">
        <x:v>1</x:v>
      </x:c>
      <x:c r="G503" s="2" t="str">
        <x:v>Junior</x:v>
      </x:c>
      <x:c r="H503" s="2" t="str">
        <x:v>Drop-off</x:v>
      </x:c>
      <x:c r="I503" s="2" t="str">
        <x:v>R1S2</x:v>
      </x:c>
      <x:c r="J503" s="2" t="str">
        <x:v>EV000997</x:v>
      </x:c>
      <x:c r="K503" s="8" t="n">
        <x:v>46301.43753472222</x:v>
      </x:c>
      <x:c r="L503" s="2" t="str">
        <x:v>SCH01</x:v>
      </x:c>
      <x:c r="M503" s="9" t="n">
        <x:v>25.285</x:v>
      </x:c>
      <x:c r="N503" s="9" t="n">
        <x:v>51.51</x:v>
      </x:c>
      <x:c r="O503" s="2" t="str">
        <x:v>Valid</x:v>
      </x:c>
      <x:c r="P503" s="2" t="str">
        <x:v>EV000998</x:v>
      </x:c>
      <x:c r="Q503" s="8" t="n">
        <x:v>46301.45350694445</x:v>
      </x:c>
      <x:c r="R503" s="2" t="str">
        <x:v>R1S2</x:v>
      </x:c>
      <x:c r="S503" s="9" t="n">
        <x:v>25.273000000000003</x:v>
      </x:c>
      <x:c r="T503" s="9" t="n">
        <x:v>51.494</x:v>
      </x:c>
      <x:c r="U503" s="2" t="str">
        <x:v>G002</x:v>
      </x:c>
      <x:c r="V503" s="2" t="str">
        <x:v>Authorized guardian release</x:v>
      </x:c>
      <x:c r="W503" s="2" t="str">
        <x:v>Completed transport</x:v>
      </x:c>
      <x:c r="X503" s="2" t="str">
        <x:v>QR</x:v>
      </x:c>
      <x:c r="Y503" s="2" t="str">
        <x:v>Online</x:v>
      </x:c>
      <x:c r="Z503" s="2" t="str">
        <x:v>Synced</x:v>
      </x:c>
      <x:c r="AA503" s="2"/>
      <x:c r="AB503" s="2"/>
      <x:c r="AC503" s="10" t="n">
        <x:f>IF(OR(K503="",Q503=""),"",ROUND((Q503-K503)*1440,2))</x:f>
        <x:v>23</x:v>
      </x:c>
    </x:row>
    <x:row r="504" ht="21" customHeight="1">
      <x:c r="A504" s="2" t="str">
        <x:v>LN00503</x:v>
      </x:c>
      <x:c r="B504" s="2" t="str">
        <x:v>T20261006-2-1</x:v>
      </x:c>
      <x:c r="C504" s="7" t="n">
        <x:v>46301</x:v>
      </x:c>
      <x:c r="D504" s="2" t="str">
        <x:v>BUS001</x:v>
      </x:c>
      <x:c r="E504" s="2" t="str">
        <x:v>ST003</x:v>
      </x:c>
      <x:c r="F504" s="2" t="n">
        <x:v>1</x:v>
      </x:c>
      <x:c r="G504" s="2" t="str">
        <x:v>Junior</x:v>
      </x:c>
      <x:c r="H504" s="2" t="str">
        <x:v>Drop-off</x:v>
      </x:c>
      <x:c r="I504" s="2" t="str">
        <x:v>R1S3</x:v>
      </x:c>
      <x:c r="J504" s="2" t="str">
        <x:v>EV000999</x:v>
      </x:c>
      <x:c r="K504" s="8" t="n">
        <x:v>46301.437569444446</x:v>
      </x:c>
      <x:c r="L504" s="2" t="str">
        <x:v>SCH01</x:v>
      </x:c>
      <x:c r="M504" s="9" t="n">
        <x:v>25.285</x:v>
      </x:c>
      <x:c r="N504" s="9" t="n">
        <x:v>51.51</x:v>
      </x:c>
      <x:c r="O504" s="2" t="str">
        <x:v>Valid</x:v>
      </x:c>
      <x:c r="P504" s="2" t="str">
        <x:v>EV001000</x:v>
      </x:c>
      <x:c r="Q504" s="8" t="n">
        <x:v>46301.457708333335</x:v>
      </x:c>
      <x:c r="R504" s="2" t="str">
        <x:v>R1S3</x:v>
      </x:c>
      <x:c r="S504" s="9" t="n">
        <x:v>25.275000000000002</x:v>
      </x:c>
      <x:c r="T504" s="9" t="n">
        <x:v>51.497</x:v>
      </x:c>
      <x:c r="U504" s="2" t="str">
        <x:v>G003</x:v>
      </x:c>
      <x:c r="V504" s="2" t="str">
        <x:v>Authorized guardian release</x:v>
      </x:c>
      <x:c r="W504" s="2" t="str">
        <x:v>Completed transport</x:v>
      </x:c>
      <x:c r="X504" s="2" t="str">
        <x:v>QR</x:v>
      </x:c>
      <x:c r="Y504" s="2" t="str">
        <x:v>Online</x:v>
      </x:c>
      <x:c r="Z504" s="2" t="str">
        <x:v>Synced</x:v>
      </x:c>
      <x:c r="AA504" s="2"/>
      <x:c r="AB504" s="2"/>
      <x:c r="AC504" s="10" t="n">
        <x:f>IF(OR(K504="",Q504=""),"",ROUND((Q504-K504)*1440,2))</x:f>
        <x:v>29</x:v>
      </x:c>
    </x:row>
    <x:row r="505" ht="21" customHeight="1">
      <x:c r="A505" s="2" t="str">
        <x:v>LN00504</x:v>
      </x:c>
      <x:c r="B505" s="2" t="str">
        <x:v>T20261006-2-1</x:v>
      </x:c>
      <x:c r="C505" s="7" t="n">
        <x:v>46301</x:v>
      </x:c>
      <x:c r="D505" s="2" t="str">
        <x:v>BUS001</x:v>
      </x:c>
      <x:c r="E505" s="2" t="str">
        <x:v>ST004</x:v>
      </x:c>
      <x:c r="F505" s="2" t="n">
        <x:v>1</x:v>
      </x:c>
      <x:c r="G505" s="2" t="str">
        <x:v>Junior</x:v>
      </x:c>
      <x:c r="H505" s="2" t="str">
        <x:v>Drop-off</x:v>
      </x:c>
      <x:c r="I505" s="2" t="str">
        <x:v>R1S1</x:v>
      </x:c>
      <x:c r="J505" s="2" t="str">
        <x:v>EV001001</x:v>
      </x:c>
      <x:c r="K505" s="8" t="n">
        <x:v>46301.43760416667</x:v>
      </x:c>
      <x:c r="L505" s="2" t="str">
        <x:v>SCH01</x:v>
      </x:c>
      <x:c r="M505" s="9" t="n">
        <x:v>25.285</x:v>
      </x:c>
      <x:c r="N505" s="9" t="n">
        <x:v>51.51</x:v>
      </x:c>
      <x:c r="O505" s="2" t="str">
        <x:v>Valid</x:v>
      </x:c>
      <x:c r="P505" s="2" t="str">
        <x:v>EV001002</x:v>
      </x:c>
      <x:c r="Q505" s="8" t="n">
        <x:v>46301.44940972222</x:v>
      </x:c>
      <x:c r="R505" s="2" t="str">
        <x:v>R1S1</x:v>
      </x:c>
      <x:c r="S505" s="9" t="n">
        <x:v>25.271</x:v>
      </x:c>
      <x:c r="T505" s="9" t="n">
        <x:v>51.491</x:v>
      </x:c>
      <x:c r="U505" s="2" t="str">
        <x:v>G004</x:v>
      </x:c>
      <x:c r="V505" s="2" t="str">
        <x:v>Authorized guardian release</x:v>
      </x:c>
      <x:c r="W505" s="2" t="str">
        <x:v>Completed transport</x:v>
      </x:c>
      <x:c r="X505" s="2" t="str">
        <x:v>QR</x:v>
      </x:c>
      <x:c r="Y505" s="2" t="str">
        <x:v>Online</x:v>
      </x:c>
      <x:c r="Z505" s="2" t="str">
        <x:v>Synced</x:v>
      </x:c>
      <x:c r="AA505" s="2"/>
      <x:c r="AB505" s="2"/>
      <x:c r="AC505" s="10" t="n">
        <x:f>IF(OR(K505="",Q505=""),"",ROUND((Q505-K505)*1440,2))</x:f>
        <x:v>17</x:v>
      </x:c>
    </x:row>
    <x:row r="506" ht="21" customHeight="1">
      <x:c r="A506" s="2" t="str">
        <x:v>LN00505</x:v>
      </x:c>
      <x:c r="B506" s="2" t="str">
        <x:v>T20261006-2-1</x:v>
      </x:c>
      <x:c r="C506" s="7" t="n">
        <x:v>46301</x:v>
      </x:c>
      <x:c r="D506" s="2" t="str">
        <x:v>BUS001</x:v>
      </x:c>
      <x:c r="E506" s="2" t="str">
        <x:v>ST005</x:v>
      </x:c>
      <x:c r="F506" s="2" t="n">
        <x:v>1</x:v>
      </x:c>
      <x:c r="G506" s="2" t="str">
        <x:v>Junior</x:v>
      </x:c>
      <x:c r="H506" s="2" t="str">
        <x:v>Drop-off</x:v>
      </x:c>
      <x:c r="I506" s="2" t="str">
        <x:v>R1S2</x:v>
      </x:c>
      <x:c r="J506" s="2" t="str">
        <x:v>EV001003</x:v>
      </x:c>
      <x:c r="K506" s="8" t="n">
        <x:v>46301.43763888889</x:v>
      </x:c>
      <x:c r="L506" s="2" t="str">
        <x:v>SCH01</x:v>
      </x:c>
      <x:c r="M506" s="9" t="n">
        <x:v>25.285</x:v>
      </x:c>
      <x:c r="N506" s="9" t="n">
        <x:v>51.51</x:v>
      </x:c>
      <x:c r="O506" s="2" t="str">
        <x:v>Valid</x:v>
      </x:c>
      <x:c r="P506" s="2" t="str">
        <x:v>EV001004</x:v>
      </x:c>
      <x:c r="Q506" s="8" t="n">
        <x:v>46301.453611111116</x:v>
      </x:c>
      <x:c r="R506" s="2" t="str">
        <x:v>R1S2</x:v>
      </x:c>
      <x:c r="S506" s="9" t="n">
        <x:v>25.273000000000003</x:v>
      </x:c>
      <x:c r="T506" s="9" t="n">
        <x:v>51.494</x:v>
      </x:c>
      <x:c r="U506" s="2" t="str">
        <x:v>G005</x:v>
      </x:c>
      <x:c r="V506" s="2" t="str">
        <x:v>Authorized guardian release</x:v>
      </x:c>
      <x:c r="W506" s="2" t="str">
        <x:v>Completed transport</x:v>
      </x:c>
      <x:c r="X506" s="2" t="str">
        <x:v>QR</x:v>
      </x:c>
      <x:c r="Y506" s="2" t="str">
        <x:v>Online</x:v>
      </x:c>
      <x:c r="Z506" s="2" t="str">
        <x:v>Synced</x:v>
      </x:c>
      <x:c r="AA506" s="2"/>
      <x:c r="AB506" s="2"/>
      <x:c r="AC506" s="10" t="n">
        <x:f>IF(OR(K506="",Q506=""),"",ROUND((Q506-K506)*1440,2))</x:f>
        <x:v>23</x:v>
      </x:c>
    </x:row>
    <x:row r="507" ht="21" customHeight="1">
      <x:c r="A507" s="2" t="str">
        <x:v>LN00506</x:v>
      </x:c>
      <x:c r="B507" s="2" t="str">
        <x:v>T20261006-2-1</x:v>
      </x:c>
      <x:c r="C507" s="7" t="n">
        <x:v>46301</x:v>
      </x:c>
      <x:c r="D507" s="2" t="str">
        <x:v>BUS001</x:v>
      </x:c>
      <x:c r="E507" s="2" t="str">
        <x:v>ST006</x:v>
      </x:c>
      <x:c r="F507" s="2" t="n">
        <x:v>1</x:v>
      </x:c>
      <x:c r="G507" s="2" t="str">
        <x:v>Junior</x:v>
      </x:c>
      <x:c r="H507" s="2" t="str">
        <x:v>Drop-off</x:v>
      </x:c>
      <x:c r="I507" s="2" t="str">
        <x:v>R1S3</x:v>
      </x:c>
      <x:c r="J507" s="2" t="str">
        <x:v>EV001005</x:v>
      </x:c>
      <x:c r="K507" s="8" t="n">
        <x:v>46301.43767361111</x:v>
      </x:c>
      <x:c r="L507" s="2" t="str">
        <x:v>SCH01</x:v>
      </x:c>
      <x:c r="M507" s="9" t="n">
        <x:v>25.285</x:v>
      </x:c>
      <x:c r="N507" s="9" t="n">
        <x:v>51.51</x:v>
      </x:c>
      <x:c r="O507" s="2" t="str">
        <x:v>Valid</x:v>
      </x:c>
      <x:c r="P507" s="2" t="str">
        <x:v>EV001006</x:v>
      </x:c>
      <x:c r="Q507" s="8" t="n">
        <x:v>46301.4578125</x:v>
      </x:c>
      <x:c r="R507" s="2" t="str">
        <x:v>R1S3</x:v>
      </x:c>
      <x:c r="S507" s="9" t="n">
        <x:v>25.275000000000002</x:v>
      </x:c>
      <x:c r="T507" s="9" t="n">
        <x:v>51.497</x:v>
      </x:c>
      <x:c r="U507" s="2" t="str">
        <x:v>G006</x:v>
      </x:c>
      <x:c r="V507" s="2" t="str">
        <x:v>Authorized guardian release</x:v>
      </x:c>
      <x:c r="W507" s="2" t="str">
        <x:v>Completed transport</x:v>
      </x:c>
      <x:c r="X507" s="2" t="str">
        <x:v>QR</x:v>
      </x:c>
      <x:c r="Y507" s="2" t="str">
        <x:v>Online</x:v>
      </x:c>
      <x:c r="Z507" s="2" t="str">
        <x:v>Synced</x:v>
      </x:c>
      <x:c r="AA507" s="2"/>
      <x:c r="AB507" s="2"/>
      <x:c r="AC507" s="10" t="n">
        <x:f>IF(OR(K507="",Q507=""),"",ROUND((Q507-K507)*1440,2))</x:f>
        <x:v>29</x:v>
      </x:c>
    </x:row>
    <x:row r="508" ht="21" customHeight="1">
      <x:c r="A508" s="2" t="str">
        <x:v>LN00507</x:v>
      </x:c>
      <x:c r="B508" s="2" t="str">
        <x:v>T20261006-2-1</x:v>
      </x:c>
      <x:c r="C508" s="7" t="n">
        <x:v>46301</x:v>
      </x:c>
      <x:c r="D508" s="2" t="str">
        <x:v>BUS001</x:v>
      </x:c>
      <x:c r="E508" s="2" t="str">
        <x:v>ST007</x:v>
      </x:c>
      <x:c r="F508" s="2" t="n">
        <x:v>1</x:v>
      </x:c>
      <x:c r="G508" s="2" t="str">
        <x:v>Junior</x:v>
      </x:c>
      <x:c r="H508" s="2" t="str">
        <x:v>Drop-off</x:v>
      </x:c>
      <x:c r="I508" s="2" t="str">
        <x:v>R1S1</x:v>
      </x:c>
      <x:c r="J508" s="2" t="str">
        <x:v>EV001007</x:v>
      </x:c>
      <x:c r="K508" s="8" t="n">
        <x:v>46301.43770833333</x:v>
      </x:c>
      <x:c r="L508" s="2" t="str">
        <x:v>SCH01</x:v>
      </x:c>
      <x:c r="M508" s="9" t="n">
        <x:v>25.285</x:v>
      </x:c>
      <x:c r="N508" s="9" t="n">
        <x:v>51.51</x:v>
      </x:c>
      <x:c r="O508" s="2" t="str">
        <x:v>Valid</x:v>
      </x:c>
      <x:c r="P508" s="2" t="str">
        <x:v>EV001008</x:v>
      </x:c>
      <x:c r="Q508" s="8" t="n">
        <x:v>46301.44951388888</x:v>
      </x:c>
      <x:c r="R508" s="2" t="str">
        <x:v>R1S1</x:v>
      </x:c>
      <x:c r="S508" s="9" t="n">
        <x:v>25.271</x:v>
      </x:c>
      <x:c r="T508" s="9" t="n">
        <x:v>51.491</x:v>
      </x:c>
      <x:c r="U508" s="2" t="str">
        <x:v>G007</x:v>
      </x:c>
      <x:c r="V508" s="2" t="str">
        <x:v>Authorized guardian release</x:v>
      </x:c>
      <x:c r="W508" s="2" t="str">
        <x:v>Completed transport</x:v>
      </x:c>
      <x:c r="X508" s="2" t="str">
        <x:v>QR</x:v>
      </x:c>
      <x:c r="Y508" s="2" t="str">
        <x:v>Online</x:v>
      </x:c>
      <x:c r="Z508" s="2" t="str">
        <x:v>Synced</x:v>
      </x:c>
      <x:c r="AA508" s="2"/>
      <x:c r="AB508" s="2"/>
      <x:c r="AC508" s="10" t="n">
        <x:f>IF(OR(K508="",Q508=""),"",ROUND((Q508-K508)*1440,2))</x:f>
        <x:v>17</x:v>
      </x:c>
    </x:row>
    <x:row r="509" ht="21" customHeight="1">
      <x:c r="A509" s="2" t="str">
        <x:v>LN00508</x:v>
      </x:c>
      <x:c r="B509" s="2" t="str">
        <x:v>T20261006-2-1</x:v>
      </x:c>
      <x:c r="C509" s="7" t="n">
        <x:v>46301</x:v>
      </x:c>
      <x:c r="D509" s="2" t="str">
        <x:v>BUS001</x:v>
      </x:c>
      <x:c r="E509" s="2" t="str">
        <x:v>ST008</x:v>
      </x:c>
      <x:c r="F509" s="2" t="n">
        <x:v>1</x:v>
      </x:c>
      <x:c r="G509" s="2" t="str">
        <x:v>Junior</x:v>
      </x:c>
      <x:c r="H509" s="2" t="str">
        <x:v>Drop-off</x:v>
      </x:c>
      <x:c r="I509" s="2" t="str">
        <x:v>R1S2</x:v>
      </x:c>
      <x:c r="J509" s="2" t="str">
        <x:v>EV001009</x:v>
      </x:c>
      <x:c r="K509" s="8" t="n">
        <x:v>46301.437743055554</x:v>
      </x:c>
      <x:c r="L509" s="2" t="str">
        <x:v>SCH01</x:v>
      </x:c>
      <x:c r="M509" s="9" t="n">
        <x:v>25.285</x:v>
      </x:c>
      <x:c r="N509" s="9" t="n">
        <x:v>51.51</x:v>
      </x:c>
      <x:c r="O509" s="2" t="str">
        <x:v>Valid</x:v>
      </x:c>
      <x:c r="P509" s="2" t="str">
        <x:v>EV001010</x:v>
      </x:c>
      <x:c r="Q509" s="8" t="n">
        <x:v>46301.45371527778</x:v>
      </x:c>
      <x:c r="R509" s="2" t="str">
        <x:v>R1S2</x:v>
      </x:c>
      <x:c r="S509" s="9" t="n">
        <x:v>25.273000000000003</x:v>
      </x:c>
      <x:c r="T509" s="9" t="n">
        <x:v>51.494</x:v>
      </x:c>
      <x:c r="U509" s="2" t="str">
        <x:v>G008</x:v>
      </x:c>
      <x:c r="V509" s="2" t="str">
        <x:v>Authorized guardian release</x:v>
      </x:c>
      <x:c r="W509" s="2" t="str">
        <x:v>Completed transport</x:v>
      </x:c>
      <x:c r="X509" s="2" t="str">
        <x:v>QR</x:v>
      </x:c>
      <x:c r="Y509" s="2" t="str">
        <x:v>Online</x:v>
      </x:c>
      <x:c r="Z509" s="2" t="str">
        <x:v>Synced</x:v>
      </x:c>
      <x:c r="AA509" s="2"/>
      <x:c r="AB509" s="2"/>
      <x:c r="AC509" s="10" t="n">
        <x:f>IF(OR(K509="",Q509=""),"",ROUND((Q509-K509)*1440,2))</x:f>
        <x:v>23</x:v>
      </x:c>
    </x:row>
    <x:row r="510" ht="21" customHeight="1">
      <x:c r="A510" s="2" t="str">
        <x:v>LN00509</x:v>
      </x:c>
      <x:c r="B510" s="2" t="str">
        <x:v>T20261006-2-1</x:v>
      </x:c>
      <x:c r="C510" s="7" t="n">
        <x:v>46301</x:v>
      </x:c>
      <x:c r="D510" s="2" t="str">
        <x:v>BUS001</x:v>
      </x:c>
      <x:c r="E510" s="2" t="str">
        <x:v>ST009</x:v>
      </x:c>
      <x:c r="F510" s="2" t="n">
        <x:v>1</x:v>
      </x:c>
      <x:c r="G510" s="2" t="str">
        <x:v>Junior</x:v>
      </x:c>
      <x:c r="H510" s="2" t="str">
        <x:v>Drop-off</x:v>
      </x:c>
      <x:c r="I510" s="2" t="str">
        <x:v>R1S3</x:v>
      </x:c>
      <x:c r="J510" s="2" t="str">
        <x:v>EV001011</x:v>
      </x:c>
      <x:c r="K510" s="8" t="n">
        <x:v>46301.43777777778</x:v>
      </x:c>
      <x:c r="L510" s="2" t="str">
        <x:v>SCH01</x:v>
      </x:c>
      <x:c r="M510" s="9" t="n">
        <x:v>25.285</x:v>
      </x:c>
      <x:c r="N510" s="9" t="n">
        <x:v>51.51</x:v>
      </x:c>
      <x:c r="O510" s="2" t="str">
        <x:v>Valid</x:v>
      </x:c>
      <x:c r="P510" s="2" t="str">
        <x:v>EV001012</x:v>
      </x:c>
      <x:c r="Q510" s="8" t="n">
        <x:v>46301.457916666666</x:v>
      </x:c>
      <x:c r="R510" s="2" t="str">
        <x:v>R1S3</x:v>
      </x:c>
      <x:c r="S510" s="9" t="n">
        <x:v>25.275000000000002</x:v>
      </x:c>
      <x:c r="T510" s="9" t="n">
        <x:v>51.497</x:v>
      </x:c>
      <x:c r="U510" s="2" t="str">
        <x:v>G009</x:v>
      </x:c>
      <x:c r="V510" s="2" t="str">
        <x:v>Authorized guardian release</x:v>
      </x:c>
      <x:c r="W510" s="2" t="str">
        <x:v>Completed transport</x:v>
      </x:c>
      <x:c r="X510" s="2" t="str">
        <x:v>QR</x:v>
      </x:c>
      <x:c r="Y510" s="2" t="str">
        <x:v>Online</x:v>
      </x:c>
      <x:c r="Z510" s="2" t="str">
        <x:v>Synced</x:v>
      </x:c>
      <x:c r="AA510" s="2"/>
      <x:c r="AB510" s="2"/>
      <x:c r="AC510" s="10" t="n">
        <x:f>IF(OR(K510="",Q510=""),"",ROUND((Q510-K510)*1440,2))</x:f>
        <x:v>29</x:v>
      </x:c>
    </x:row>
    <x:row r="511" ht="21" customHeight="1">
      <x:c r="A511" s="2" t="str">
        <x:v>LN00510</x:v>
      </x:c>
      <x:c r="B511" s="2" t="str">
        <x:v>T20261006-2-1</x:v>
      </x:c>
      <x:c r="C511" s="7" t="n">
        <x:v>46301</x:v>
      </x:c>
      <x:c r="D511" s="2" t="str">
        <x:v>BUS001</x:v>
      </x:c>
      <x:c r="E511" s="2" t="str">
        <x:v>ST010</x:v>
      </x:c>
      <x:c r="F511" s="2" t="n">
        <x:v>1</x:v>
      </x:c>
      <x:c r="G511" s="2" t="str">
        <x:v>Junior</x:v>
      </x:c>
      <x:c r="H511" s="2" t="str">
        <x:v>Drop-off</x:v>
      </x:c>
      <x:c r="I511" s="2" t="str">
        <x:v>R1S1</x:v>
      </x:c>
      <x:c r="J511" s="2" t="str">
        <x:v>EV001013</x:v>
      </x:c>
      <x:c r="K511" s="8" t="n">
        <x:v>46301.4378125</x:v>
      </x:c>
      <x:c r="L511" s="2" t="str">
        <x:v>SCH01</x:v>
      </x:c>
      <x:c r="M511" s="9" t="n">
        <x:v>25.285</x:v>
      </x:c>
      <x:c r="N511" s="9" t="n">
        <x:v>51.51</x:v>
      </x:c>
      <x:c r="O511" s="2" t="str">
        <x:v>Valid</x:v>
      </x:c>
      <x:c r="P511" s="2" t="str">
        <x:v>EV001014</x:v>
      </x:c>
      <x:c r="Q511" s="8" t="n">
        <x:v>46301.44961805555</x:v>
      </x:c>
      <x:c r="R511" s="2" t="str">
        <x:v>R1S1</x:v>
      </x:c>
      <x:c r="S511" s="9" t="n">
        <x:v>25.271</x:v>
      </x:c>
      <x:c r="T511" s="9" t="n">
        <x:v>51.491</x:v>
      </x:c>
      <x:c r="U511" s="2" t="str">
        <x:v>G010</x:v>
      </x:c>
      <x:c r="V511" s="2" t="str">
        <x:v>Authorized guardian release</x:v>
      </x:c>
      <x:c r="W511" s="2" t="str">
        <x:v>Completed transport</x:v>
      </x:c>
      <x:c r="X511" s="2" t="str">
        <x:v>QR</x:v>
      </x:c>
      <x:c r="Y511" s="2" t="str">
        <x:v>Online</x:v>
      </x:c>
      <x:c r="Z511" s="2" t="str">
        <x:v>Synced</x:v>
      </x:c>
      <x:c r="AA511" s="2"/>
      <x:c r="AB511" s="2"/>
      <x:c r="AC511" s="10" t="n">
        <x:f>IF(OR(K511="",Q511=""),"",ROUND((Q511-K511)*1440,2))</x:f>
        <x:v>17</x:v>
      </x:c>
    </x:row>
    <x:row r="512" ht="21" customHeight="1">
      <x:c r="A512" s="2" t="str">
        <x:v>LN00511</x:v>
      </x:c>
      <x:c r="B512" s="2" t="str">
        <x:v>T20261006-2-1</x:v>
      </x:c>
      <x:c r="C512" s="7" t="n">
        <x:v>46301</x:v>
      </x:c>
      <x:c r="D512" s="2" t="str">
        <x:v>BUS001</x:v>
      </x:c>
      <x:c r="E512" s="2" t="str">
        <x:v>ST021</x:v>
      </x:c>
      <x:c r="F512" s="2" t="n">
        <x:v>2</x:v>
      </x:c>
      <x:c r="G512" s="2" t="str">
        <x:v>Junior</x:v>
      </x:c>
      <x:c r="H512" s="2" t="str">
        <x:v>Pickup</x:v>
      </x:c>
      <x:c r="I512" s="2" t="str">
        <x:v>R1S3</x:v>
      </x:c>
      <x:c r="J512" s="2" t="str">
        <x:v>EV001015</x:v>
      </x:c>
      <x:c r="K512" s="8" t="n">
        <x:v>46301.48125</x:v>
      </x:c>
      <x:c r="L512" s="2" t="str">
        <x:v>R1S3</x:v>
      </x:c>
      <x:c r="M512" s="9" t="n">
        <x:v>25.275000000000002</x:v>
      </x:c>
      <x:c r="N512" s="9" t="n">
        <x:v>51.497</x:v>
      </x:c>
      <x:c r="O512" s="2" t="str">
        <x:v>Valid</x:v>
      </x:c>
      <x:c r="P512" s="2" t="str">
        <x:v>EV001016</x:v>
      </x:c>
      <x:c r="Q512" s="8" t="n">
        <x:v>46301.506250000006</x:v>
      </x:c>
      <x:c r="R512" s="2" t="str">
        <x:v>SCH01</x:v>
      </x:c>
      <x:c r="S512" s="9" t="n">
        <x:v>25.285</x:v>
      </x:c>
      <x:c r="T512" s="9" t="n">
        <x:v>51.51</x:v>
      </x:c>
      <x:c r="U512" s="2" t="str">
        <x:v>SCHOOL_RECEIVER_01</x:v>
      </x:c>
      <x:c r="V512" s="2" t="str">
        <x:v>School staff receipt</x:v>
      </x:c>
      <x:c r="W512" s="2" t="str">
        <x:v>Completed transport</x:v>
      </x:c>
      <x:c r="X512" s="2" t="str">
        <x:v>QR</x:v>
      </x:c>
      <x:c r="Y512" s="2" t="str">
        <x:v>Online</x:v>
      </x:c>
      <x:c r="Z512" s="2" t="str">
        <x:v>Synced</x:v>
      </x:c>
      <x:c r="AA512" s="2"/>
      <x:c r="AB512" s="2"/>
      <x:c r="AC512" s="10" t="n">
        <x:f>IF(OR(K512="",Q512=""),"",ROUND((Q512-K512)*1440,2))</x:f>
        <x:v>36</x:v>
      </x:c>
    </x:row>
    <x:row r="513" ht="21" customHeight="1">
      <x:c r="A513" s="2" t="str">
        <x:v>LN00512</x:v>
      </x:c>
      <x:c r="B513" s="2" t="str">
        <x:v>T20261006-2-1</x:v>
      </x:c>
      <x:c r="C513" s="7" t="n">
        <x:v>46301</x:v>
      </x:c>
      <x:c r="D513" s="2" t="str">
        <x:v>BUS001</x:v>
      </x:c>
      <x:c r="E513" s="2" t="str">
        <x:v>ST022</x:v>
      </x:c>
      <x:c r="F513" s="2" t="n">
        <x:v>2</x:v>
      </x:c>
      <x:c r="G513" s="2" t="str">
        <x:v>Junior</x:v>
      </x:c>
      <x:c r="H513" s="2" t="str">
        <x:v>Pickup</x:v>
      </x:c>
      <x:c r="I513" s="2" t="str">
        <x:v>R1S1</x:v>
      </x:c>
      <x:c r="J513" s="2" t="str">
        <x:v>EV001017</x:v>
      </x:c>
      <x:c r="K513" s="8" t="n">
        <x:v>46301.4715625</x:v>
      </x:c>
      <x:c r="L513" s="2" t="str">
        <x:v>R1S1</x:v>
      </x:c>
      <x:c r="M513" s="9" t="n">
        <x:v>25.271</x:v>
      </x:c>
      <x:c r="N513" s="9" t="n">
        <x:v>51.491</x:v>
      </x:c>
      <x:c r="O513" s="2" t="str">
        <x:v>Valid</x:v>
      </x:c>
      <x:c r="P513" s="2" t="str">
        <x:v>EV001018</x:v>
      </x:c>
      <x:c r="Q513" s="8" t="n">
        <x:v>46301.50628472223</x:v>
      </x:c>
      <x:c r="R513" s="2" t="str">
        <x:v>SCH01</x:v>
      </x:c>
      <x:c r="S513" s="9" t="n">
        <x:v>25.285</x:v>
      </x:c>
      <x:c r="T513" s="9" t="n">
        <x:v>51.51</x:v>
      </x:c>
      <x:c r="U513" s="2" t="str">
        <x:v>SCHOOL_RECEIVER_01</x:v>
      </x:c>
      <x:c r="V513" s="2" t="str">
        <x:v>School staff receipt</x:v>
      </x:c>
      <x:c r="W513" s="2" t="str">
        <x:v>Completed transport</x:v>
      </x:c>
      <x:c r="X513" s="2" t="str">
        <x:v>QR</x:v>
      </x:c>
      <x:c r="Y513" s="2" t="str">
        <x:v>Online</x:v>
      </x:c>
      <x:c r="Z513" s="2" t="str">
        <x:v>Synced</x:v>
      </x:c>
      <x:c r="AA513" s="2"/>
      <x:c r="AB513" s="2"/>
      <x:c r="AC513" s="10" t="n">
        <x:f>IF(OR(K513="",Q513=""),"",ROUND((Q513-K513)*1440,2))</x:f>
        <x:v>50</x:v>
      </x:c>
    </x:row>
    <x:row r="514" ht="21" customHeight="1">
      <x:c r="A514" s="2" t="str">
        <x:v>LN00513</x:v>
      </x:c>
      <x:c r="B514" s="2" t="str">
        <x:v>T20261006-2-1</x:v>
      </x:c>
      <x:c r="C514" s="7" t="n">
        <x:v>46301</x:v>
      </x:c>
      <x:c r="D514" s="2" t="str">
        <x:v>BUS001</x:v>
      </x:c>
      <x:c r="E514" s="2" t="str">
        <x:v>ST023</x:v>
      </x:c>
      <x:c r="F514" s="2" t="n">
        <x:v>2</x:v>
      </x:c>
      <x:c r="G514" s="2" t="str">
        <x:v>Junior</x:v>
      </x:c>
      <x:c r="H514" s="2" t="str">
        <x:v>Pickup</x:v>
      </x:c>
      <x:c r="I514" s="2" t="str">
        <x:v>R1S2</x:v>
      </x:c>
      <x:c r="J514" s="2" t="str">
        <x:v>EV001019</x:v>
      </x:c>
      <x:c r="K514" s="8" t="n">
        <x:v>46301.47645833333</x:v>
      </x:c>
      <x:c r="L514" s="2" t="str">
        <x:v>R1S2</x:v>
      </x:c>
      <x:c r="M514" s="9" t="n">
        <x:v>25.273000000000003</x:v>
      </x:c>
      <x:c r="N514" s="9" t="n">
        <x:v>51.494</x:v>
      </x:c>
      <x:c r="O514" s="2" t="str">
        <x:v>Valid</x:v>
      </x:c>
      <x:c r="P514" s="2" t="str">
        <x:v>EV001020</x:v>
      </x:c>
      <x:c r="Q514" s="8" t="n">
        <x:v>46301.506319444445</x:v>
      </x:c>
      <x:c r="R514" s="2" t="str">
        <x:v>SCH01</x:v>
      </x:c>
      <x:c r="S514" s="9" t="n">
        <x:v>25.285</x:v>
      </x:c>
      <x:c r="T514" s="9" t="n">
        <x:v>51.51</x:v>
      </x:c>
      <x:c r="U514" s="2" t="str">
        <x:v>SCHOOL_RECEIVER_01</x:v>
      </x:c>
      <x:c r="V514" s="2" t="str">
        <x:v>School staff receipt</x:v>
      </x:c>
      <x:c r="W514" s="2" t="str">
        <x:v>Completed transport</x:v>
      </x:c>
      <x:c r="X514" s="2" t="str">
        <x:v>QR</x:v>
      </x:c>
      <x:c r="Y514" s="2" t="str">
        <x:v>Online</x:v>
      </x:c>
      <x:c r="Z514" s="2" t="str">
        <x:v>Synced</x:v>
      </x:c>
      <x:c r="AA514" s="2"/>
      <x:c r="AB514" s="2"/>
      <x:c r="AC514" s="10" t="n">
        <x:f>IF(OR(K514="",Q514=""),"",ROUND((Q514-K514)*1440,2))</x:f>
        <x:v>43</x:v>
      </x:c>
    </x:row>
    <x:row r="515" ht="21" customHeight="1">
      <x:c r="A515" s="2" t="str">
        <x:v>LN00514</x:v>
      </x:c>
      <x:c r="B515" s="2" t="str">
        <x:v>T20261006-2-1</x:v>
      </x:c>
      <x:c r="C515" s="7" t="n">
        <x:v>46301</x:v>
      </x:c>
      <x:c r="D515" s="2" t="str">
        <x:v>BUS001</x:v>
      </x:c>
      <x:c r="E515" s="2" t="str">
        <x:v>ST024</x:v>
      </x:c>
      <x:c r="F515" s="2" t="n">
        <x:v>2</x:v>
      </x:c>
      <x:c r="G515" s="2" t="str">
        <x:v>Junior</x:v>
      </x:c>
      <x:c r="H515" s="2" t="str">
        <x:v>Pickup</x:v>
      </x:c>
      <x:c r="I515" s="2" t="str">
        <x:v>R1S3</x:v>
      </x:c>
      <x:c r="J515" s="2" t="str">
        <x:v>EV001021</x:v>
      </x:c>
      <x:c r="K515" s="8" t="n">
        <x:v>46301.481354166666</x:v>
      </x:c>
      <x:c r="L515" s="2" t="str">
        <x:v>R1S3</x:v>
      </x:c>
      <x:c r="M515" s="9" t="n">
        <x:v>25.275000000000002</x:v>
      </x:c>
      <x:c r="N515" s="9" t="n">
        <x:v>51.497</x:v>
      </x:c>
      <x:c r="O515" s="2" t="str">
        <x:v>Valid</x:v>
      </x:c>
      <x:c r="P515" s="2" t="str">
        <x:v>EV001022</x:v>
      </x:c>
      <x:c r="Q515" s="8" t="n">
        <x:v>46301.50635416667</x:v>
      </x:c>
      <x:c r="R515" s="2" t="str">
        <x:v>SCH01</x:v>
      </x:c>
      <x:c r="S515" s="9" t="n">
        <x:v>25.285</x:v>
      </x:c>
      <x:c r="T515" s="9" t="n">
        <x:v>51.51</x:v>
      </x:c>
      <x:c r="U515" s="2" t="str">
        <x:v>SCHOOL_RECEIVER_01</x:v>
      </x:c>
      <x:c r="V515" s="2" t="str">
        <x:v>School staff receipt</x:v>
      </x:c>
      <x:c r="W515" s="2" t="str">
        <x:v>Completed transport</x:v>
      </x:c>
      <x:c r="X515" s="2" t="str">
        <x:v>QR</x:v>
      </x:c>
      <x:c r="Y515" s="2" t="str">
        <x:v>Online</x:v>
      </x:c>
      <x:c r="Z515" s="2" t="str">
        <x:v>Synced</x:v>
      </x:c>
      <x:c r="AA515" s="2"/>
      <x:c r="AB515" s="2"/>
      <x:c r="AC515" s="10" t="n">
        <x:f>IF(OR(K515="",Q515=""),"",ROUND((Q515-K515)*1440,2))</x:f>
        <x:v>36</x:v>
      </x:c>
    </x:row>
    <x:row r="516" ht="21" customHeight="1">
      <x:c r="A516" s="2" t="str">
        <x:v>LN00515</x:v>
      </x:c>
      <x:c r="B516" s="2" t="str">
        <x:v>T20261006-2-1</x:v>
      </x:c>
      <x:c r="C516" s="7" t="n">
        <x:v>46301</x:v>
      </x:c>
      <x:c r="D516" s="2" t="str">
        <x:v>BUS001</x:v>
      </x:c>
      <x:c r="E516" s="2" t="str">
        <x:v>ST025</x:v>
      </x:c>
      <x:c r="F516" s="2" t="n">
        <x:v>2</x:v>
      </x:c>
      <x:c r="G516" s="2" t="str">
        <x:v>Junior</x:v>
      </x:c>
      <x:c r="H516" s="2" t="str">
        <x:v>Pickup</x:v>
      </x:c>
      <x:c r="I516" s="2" t="str">
        <x:v>R1S1</x:v>
      </x:c>
      <x:c r="J516" s="2" t="str">
        <x:v>EV001023</x:v>
      </x:c>
      <x:c r="K516" s="8" t="n">
        <x:v>46301.47166666667</x:v>
      </x:c>
      <x:c r="L516" s="2" t="str">
        <x:v>R1S1</x:v>
      </x:c>
      <x:c r="M516" s="9" t="n">
        <x:v>25.271</x:v>
      </x:c>
      <x:c r="N516" s="9" t="n">
        <x:v>51.491</x:v>
      </x:c>
      <x:c r="O516" s="2" t="str">
        <x:v>Valid</x:v>
      </x:c>
      <x:c r="P516" s="2" t="str">
        <x:v>EV001024</x:v>
      </x:c>
      <x:c r="Q516" s="8" t="n">
        <x:v>46301.50638888889</x:v>
      </x:c>
      <x:c r="R516" s="2" t="str">
        <x:v>SCH01</x:v>
      </x:c>
      <x:c r="S516" s="9" t="n">
        <x:v>25.285</x:v>
      </x:c>
      <x:c r="T516" s="9" t="n">
        <x:v>51.51</x:v>
      </x:c>
      <x:c r="U516" s="2" t="str">
        <x:v>SCHOOL_RECEIVER_01</x:v>
      </x:c>
      <x:c r="V516" s="2" t="str">
        <x:v>School staff receipt</x:v>
      </x:c>
      <x:c r="W516" s="2" t="str">
        <x:v>Completed transport</x:v>
      </x:c>
      <x:c r="X516" s="2" t="str">
        <x:v>QR</x:v>
      </x:c>
      <x:c r="Y516" s="2" t="str">
        <x:v>Online</x:v>
      </x:c>
      <x:c r="Z516" s="2" t="str">
        <x:v>Synced</x:v>
      </x:c>
      <x:c r="AA516" s="2"/>
      <x:c r="AB516" s="2"/>
      <x:c r="AC516" s="10" t="n">
        <x:f>IF(OR(K516="",Q516=""),"",ROUND((Q516-K516)*1440,2))</x:f>
        <x:v>50</x:v>
      </x:c>
    </x:row>
    <x:row r="517" ht="21" customHeight="1">
      <x:c r="A517" s="2" t="str">
        <x:v>LN00516</x:v>
      </x:c>
      <x:c r="B517" s="2" t="str">
        <x:v>T20261006-2-1</x:v>
      </x:c>
      <x:c r="C517" s="7" t="n">
        <x:v>46301</x:v>
      </x:c>
      <x:c r="D517" s="2" t="str">
        <x:v>BUS001</x:v>
      </x:c>
      <x:c r="E517" s="2" t="str">
        <x:v>ST026</x:v>
      </x:c>
      <x:c r="F517" s="2" t="n">
        <x:v>2</x:v>
      </x:c>
      <x:c r="G517" s="2" t="str">
        <x:v>Junior</x:v>
      </x:c>
      <x:c r="H517" s="2" t="str">
        <x:v>Pickup</x:v>
      </x:c>
      <x:c r="I517" s="2" t="str">
        <x:v>R1S2</x:v>
      </x:c>
      <x:c r="J517" s="2" t="str">
        <x:v>EV001025</x:v>
      </x:c>
      <x:c r="K517" s="8" t="n">
        <x:v>46301.47656249999</x:v>
      </x:c>
      <x:c r="L517" s="2" t="str">
        <x:v>R1S2</x:v>
      </x:c>
      <x:c r="M517" s="9" t="n">
        <x:v>25.273000000000003</x:v>
      </x:c>
      <x:c r="N517" s="9" t="n">
        <x:v>51.494</x:v>
      </x:c>
      <x:c r="O517" s="2" t="str">
        <x:v>Valid</x:v>
      </x:c>
      <x:c r="P517" s="2" t="str">
        <x:v>EV001026</x:v>
      </x:c>
      <x:c r="Q517" s="8" t="n">
        <x:v>46301.506423611114</x:v>
      </x:c>
      <x:c r="R517" s="2" t="str">
        <x:v>SCH01</x:v>
      </x:c>
      <x:c r="S517" s="9" t="n">
        <x:v>25.285</x:v>
      </x:c>
      <x:c r="T517" s="9" t="n">
        <x:v>51.51</x:v>
      </x:c>
      <x:c r="U517" s="2" t="str">
        <x:v>SCHOOL_RECEIVER_01</x:v>
      </x:c>
      <x:c r="V517" s="2" t="str">
        <x:v>School staff receipt</x:v>
      </x:c>
      <x:c r="W517" s="2" t="str">
        <x:v>Completed transport</x:v>
      </x:c>
      <x:c r="X517" s="2" t="str">
        <x:v>QR</x:v>
      </x:c>
      <x:c r="Y517" s="2" t="str">
        <x:v>Online</x:v>
      </x:c>
      <x:c r="Z517" s="2" t="str">
        <x:v>Synced</x:v>
      </x:c>
      <x:c r="AA517" s="2"/>
      <x:c r="AB517" s="2"/>
      <x:c r="AC517" s="10" t="n">
        <x:f>IF(OR(K517="",Q517=""),"",ROUND((Q517-K517)*1440,2))</x:f>
        <x:v>43</x:v>
      </x:c>
    </x:row>
    <x:row r="518" ht="21" customHeight="1">
      <x:c r="A518" s="2" t="str">
        <x:v>LN00517</x:v>
      </x:c>
      <x:c r="B518" s="2" t="str">
        <x:v>T20261006-2-1</x:v>
      </x:c>
      <x:c r="C518" s="7" t="n">
        <x:v>46301</x:v>
      </x:c>
      <x:c r="D518" s="2" t="str">
        <x:v>BUS001</x:v>
      </x:c>
      <x:c r="E518" s="2" t="str">
        <x:v>ST027</x:v>
      </x:c>
      <x:c r="F518" s="2" t="n">
        <x:v>2</x:v>
      </x:c>
      <x:c r="G518" s="2" t="str">
        <x:v>Junior</x:v>
      </x:c>
      <x:c r="H518" s="2" t="str">
        <x:v>Pickup</x:v>
      </x:c>
      <x:c r="I518" s="2" t="str">
        <x:v>R1S3</x:v>
      </x:c>
      <x:c r="J518" s="2" t="str">
        <x:v>EV001027</x:v>
      </x:c>
      <x:c r="K518" s="8" t="n">
        <x:v>46301.48145833333</x:v>
      </x:c>
      <x:c r="L518" s="2" t="str">
        <x:v>R1S3</x:v>
      </x:c>
      <x:c r="M518" s="9" t="n">
        <x:v>25.275000000000002</x:v>
      </x:c>
      <x:c r="N518" s="9" t="n">
        <x:v>51.497</x:v>
      </x:c>
      <x:c r="O518" s="2" t="str">
        <x:v>Valid</x:v>
      </x:c>
      <x:c r="P518" s="2" t="str">
        <x:v>EV001028</x:v>
      </x:c>
      <x:c r="Q518" s="8" t="n">
        <x:v>46301.50645833334</x:v>
      </x:c>
      <x:c r="R518" s="2" t="str">
        <x:v>SCH01</x:v>
      </x:c>
      <x:c r="S518" s="9" t="n">
        <x:v>25.285</x:v>
      </x:c>
      <x:c r="T518" s="9" t="n">
        <x:v>51.51</x:v>
      </x:c>
      <x:c r="U518" s="2" t="str">
        <x:v>SCHOOL_RECEIVER_01</x:v>
      </x:c>
      <x:c r="V518" s="2" t="str">
        <x:v>School staff receipt</x:v>
      </x:c>
      <x:c r="W518" s="2" t="str">
        <x:v>Completed transport</x:v>
      </x:c>
      <x:c r="X518" s="2" t="str">
        <x:v>QR</x:v>
      </x:c>
      <x:c r="Y518" s="2" t="str">
        <x:v>Online</x:v>
      </x:c>
      <x:c r="Z518" s="2" t="str">
        <x:v>Synced</x:v>
      </x:c>
      <x:c r="AA518" s="2"/>
      <x:c r="AB518" s="2"/>
      <x:c r="AC518" s="10" t="n">
        <x:f>IF(OR(K518="",Q518=""),"",ROUND((Q518-K518)*1440,2))</x:f>
        <x:v>36</x:v>
      </x:c>
    </x:row>
    <x:row r="519" ht="21" customHeight="1">
      <x:c r="A519" s="2" t="str">
        <x:v>LN00518</x:v>
      </x:c>
      <x:c r="B519" s="2" t="str">
        <x:v>T20261006-2-1</x:v>
      </x:c>
      <x:c r="C519" s="7" t="n">
        <x:v>46301</x:v>
      </x:c>
      <x:c r="D519" s="2" t="str">
        <x:v>BUS001</x:v>
      </x:c>
      <x:c r="E519" s="2" t="str">
        <x:v>ST028</x:v>
      </x:c>
      <x:c r="F519" s="2" t="n">
        <x:v>2</x:v>
      </x:c>
      <x:c r="G519" s="2" t="str">
        <x:v>Junior</x:v>
      </x:c>
      <x:c r="H519" s="2" t="str">
        <x:v>Pickup</x:v>
      </x:c>
      <x:c r="I519" s="2" t="str">
        <x:v>R1S1</x:v>
      </x:c>
      <x:c r="J519" s="2" t="str">
        <x:v>EV001029</x:v>
      </x:c>
      <x:c r="K519" s="8" t="n">
        <x:v>46301.471770833334</x:v>
      </x:c>
      <x:c r="L519" s="2" t="str">
        <x:v>R1S1</x:v>
      </x:c>
      <x:c r="M519" s="9" t="n">
        <x:v>25.271</x:v>
      </x:c>
      <x:c r="N519" s="9" t="n">
        <x:v>51.491</x:v>
      </x:c>
      <x:c r="O519" s="2" t="str">
        <x:v>Valid</x:v>
      </x:c>
      <x:c r="P519" s="2" t="str">
        <x:v>EV001030</x:v>
      </x:c>
      <x:c r="Q519" s="8" t="n">
        <x:v>46301.50649305556</x:v>
      </x:c>
      <x:c r="R519" s="2" t="str">
        <x:v>SCH01</x:v>
      </x:c>
      <x:c r="S519" s="9" t="n">
        <x:v>25.285</x:v>
      </x:c>
      <x:c r="T519" s="9" t="n">
        <x:v>51.51</x:v>
      </x:c>
      <x:c r="U519" s="2" t="str">
        <x:v>SCHOOL_RECEIVER_01</x:v>
      </x:c>
      <x:c r="V519" s="2" t="str">
        <x:v>School staff receipt</x:v>
      </x:c>
      <x:c r="W519" s="2" t="str">
        <x:v>Completed transport</x:v>
      </x:c>
      <x:c r="X519" s="2" t="str">
        <x:v>QR</x:v>
      </x:c>
      <x:c r="Y519" s="2" t="str">
        <x:v>Online</x:v>
      </x:c>
      <x:c r="Z519" s="2" t="str">
        <x:v>Synced</x:v>
      </x:c>
      <x:c r="AA519" s="2"/>
      <x:c r="AB519" s="2"/>
      <x:c r="AC519" s="10" t="n">
        <x:f>IF(OR(K519="",Q519=""),"",ROUND((Q519-K519)*1440,2))</x:f>
        <x:v>50</x:v>
      </x:c>
    </x:row>
    <x:row r="520" ht="21" customHeight="1">
      <x:c r="A520" s="2" t="str">
        <x:v>LN00519</x:v>
      </x:c>
      <x:c r="B520" s="2" t="str">
        <x:v>T20261006-2-1</x:v>
      </x:c>
      <x:c r="C520" s="7" t="n">
        <x:v>46301</x:v>
      </x:c>
      <x:c r="D520" s="2" t="str">
        <x:v>BUS001</x:v>
      </x:c>
      <x:c r="E520" s="2" t="str">
        <x:v>ST029</x:v>
      </x:c>
      <x:c r="F520" s="2" t="n">
        <x:v>2</x:v>
      </x:c>
      <x:c r="G520" s="2" t="str">
        <x:v>Junior</x:v>
      </x:c>
      <x:c r="H520" s="2" t="str">
        <x:v>Pickup</x:v>
      </x:c>
      <x:c r="I520" s="2" t="str">
        <x:v>R1S2</x:v>
      </x:c>
      <x:c r="J520" s="2" t="str">
        <x:v>EV001031</x:v>
      </x:c>
      <x:c r="K520" s="8" t="n">
        <x:v>46301.47666666666</x:v>
      </x:c>
      <x:c r="L520" s="2" t="str">
        <x:v>R1S2</x:v>
      </x:c>
      <x:c r="M520" s="9" t="n">
        <x:v>25.273000000000003</x:v>
      </x:c>
      <x:c r="N520" s="9" t="n">
        <x:v>51.494</x:v>
      </x:c>
      <x:c r="O520" s="2" t="str">
        <x:v>Valid</x:v>
      </x:c>
      <x:c r="P520" s="2" t="str">
        <x:v>EV001032</x:v>
      </x:c>
      <x:c r="Q520" s="8" t="n">
        <x:v>46301.50652777778</x:v>
      </x:c>
      <x:c r="R520" s="2" t="str">
        <x:v>SCH01</x:v>
      </x:c>
      <x:c r="S520" s="9" t="n">
        <x:v>25.285</x:v>
      </x:c>
      <x:c r="T520" s="9" t="n">
        <x:v>51.51</x:v>
      </x:c>
      <x:c r="U520" s="2" t="str">
        <x:v>SCHOOL_RECEIVER_01</x:v>
      </x:c>
      <x:c r="V520" s="2" t="str">
        <x:v>School staff receipt</x:v>
      </x:c>
      <x:c r="W520" s="2" t="str">
        <x:v>Completed transport</x:v>
      </x:c>
      <x:c r="X520" s="2" t="str">
        <x:v>QR</x:v>
      </x:c>
      <x:c r="Y520" s="2" t="str">
        <x:v>Online</x:v>
      </x:c>
      <x:c r="Z520" s="2" t="str">
        <x:v>Synced</x:v>
      </x:c>
      <x:c r="AA520" s="2"/>
      <x:c r="AB520" s="2"/>
      <x:c r="AC520" s="10" t="n">
        <x:f>IF(OR(K520="",Q520=""),"",ROUND((Q520-K520)*1440,2))</x:f>
        <x:v>43</x:v>
      </x:c>
    </x:row>
    <x:row r="521" ht="21" customHeight="1">
      <x:c r="A521" s="2" t="str">
        <x:v>LN00520</x:v>
      </x:c>
      <x:c r="B521" s="2" t="str">
        <x:v>T20261006-2-1</x:v>
      </x:c>
      <x:c r="C521" s="7" t="n">
        <x:v>46301</x:v>
      </x:c>
      <x:c r="D521" s="2" t="str">
        <x:v>BUS001</x:v>
      </x:c>
      <x:c r="E521" s="2" t="str">
        <x:v>ST030</x:v>
      </x:c>
      <x:c r="F521" s="2" t="n">
        <x:v>2</x:v>
      </x:c>
      <x:c r="G521" s="2" t="str">
        <x:v>Junior</x:v>
      </x:c>
      <x:c r="H521" s="2" t="str">
        <x:v>Pickup</x:v>
      </x:c>
      <x:c r="I521" s="2" t="str">
        <x:v>R1S3</x:v>
      </x:c>
      <x:c r="J521" s="2" t="str">
        <x:v>EV001033</x:v>
      </x:c>
      <x:c r="K521" s="8" t="n">
        <x:v>46301.4815625</x:v>
      </x:c>
      <x:c r="L521" s="2" t="str">
        <x:v>R1S3</x:v>
      </x:c>
      <x:c r="M521" s="9" t="n">
        <x:v>25.275000000000002</x:v>
      </x:c>
      <x:c r="N521" s="9" t="n">
        <x:v>51.497</x:v>
      </x:c>
      <x:c r="O521" s="2" t="str">
        <x:v>Valid</x:v>
      </x:c>
      <x:c r="P521" s="2" t="str">
        <x:v>EV001034</x:v>
      </x:c>
      <x:c r="Q521" s="8" t="n">
        <x:v>46301.506562500006</x:v>
      </x:c>
      <x:c r="R521" s="2" t="str">
        <x:v>SCH01</x:v>
      </x:c>
      <x:c r="S521" s="9" t="n">
        <x:v>25.285</x:v>
      </x:c>
      <x:c r="T521" s="9" t="n">
        <x:v>51.51</x:v>
      </x:c>
      <x:c r="U521" s="2" t="str">
        <x:v>SCHOOL_RECEIVER_01</x:v>
      </x:c>
      <x:c r="V521" s="2" t="str">
        <x:v>School staff receipt</x:v>
      </x:c>
      <x:c r="W521" s="2" t="str">
        <x:v>Completed transport</x:v>
      </x:c>
      <x:c r="X521" s="2" t="str">
        <x:v>QR</x:v>
      </x:c>
      <x:c r="Y521" s="2" t="str">
        <x:v>Online</x:v>
      </x:c>
      <x:c r="Z521" s="2" t="str">
        <x:v>Synced</x:v>
      </x:c>
      <x:c r="AA521" s="2"/>
      <x:c r="AB521" s="2"/>
      <x:c r="AC521" s="10" t="n">
        <x:f>IF(OR(K521="",Q521=""),"",ROUND((Q521-K521)*1440,2))</x:f>
        <x:v>36</x:v>
      </x:c>
    </x:row>
    <x:row r="522" ht="21" customHeight="1">
      <x:c r="A522" s="2" t="str">
        <x:v>LN00521</x:v>
      </x:c>
      <x:c r="B522" s="2" t="str">
        <x:v>T20261006-2-1</x:v>
      </x:c>
      <x:c r="C522" s="7" t="n">
        <x:v>46301</x:v>
      </x:c>
      <x:c r="D522" s="2" t="str">
        <x:v>BUS001</x:v>
      </x:c>
      <x:c r="E522" s="2" t="str">
        <x:v>ST031</x:v>
      </x:c>
      <x:c r="F522" s="2" t="n">
        <x:v>2</x:v>
      </x:c>
      <x:c r="G522" s="2" t="str">
        <x:v>Senior</x:v>
      </x:c>
      <x:c r="H522" s="2" t="str">
        <x:v>Pickup</x:v>
      </x:c>
      <x:c r="I522" s="2" t="str">
        <x:v>R1S1</x:v>
      </x:c>
      <x:c r="J522" s="2" t="str">
        <x:v>EV001035</x:v>
      </x:c>
      <x:c r="K522" s="8" t="n">
        <x:v>46301.47152777778</x:v>
      </x:c>
      <x:c r="L522" s="2" t="str">
        <x:v>R1S1</x:v>
      </x:c>
      <x:c r="M522" s="9" t="n">
        <x:v>25.271</x:v>
      </x:c>
      <x:c r="N522" s="9" t="n">
        <x:v>51.491</x:v>
      </x:c>
      <x:c r="O522" s="2" t="str">
        <x:v>Valid</x:v>
      </x:c>
      <x:c r="P522" s="2" t="str">
        <x:v>EV001036</x:v>
      </x:c>
      <x:c r="Q522" s="8" t="n">
        <x:v>46301.50659722223</x:v>
      </x:c>
      <x:c r="R522" s="2" t="str">
        <x:v>SCH01</x:v>
      </x:c>
      <x:c r="S522" s="9" t="n">
        <x:v>25.285</x:v>
      </x:c>
      <x:c r="T522" s="9" t="n">
        <x:v>51.51</x:v>
      </x:c>
      <x:c r="U522" s="2" t="str">
        <x:v>SCHOOL_RECEIVER_01</x:v>
      </x:c>
      <x:c r="V522" s="2" t="str">
        <x:v>School staff receipt</x:v>
      </x:c>
      <x:c r="W522" s="2" t="str">
        <x:v>Completed transport</x:v>
      </x:c>
      <x:c r="X522" s="2" t="str">
        <x:v>QR</x:v>
      </x:c>
      <x:c r="Y522" s="2" t="str">
        <x:v>Online</x:v>
      </x:c>
      <x:c r="Z522" s="2" t="str">
        <x:v>Synced</x:v>
      </x:c>
      <x:c r="AA522" s="2"/>
      <x:c r="AB522" s="2"/>
      <x:c r="AC522" s="10" t="n">
        <x:f>IF(OR(K522="",Q522=""),"",ROUND((Q522-K522)*1440,2))</x:f>
        <x:v>50.5</x:v>
      </x:c>
    </x:row>
    <x:row r="523" ht="21" customHeight="1">
      <x:c r="A523" s="2" t="str">
        <x:v>LN00522</x:v>
      </x:c>
      <x:c r="B523" s="2" t="str">
        <x:v>T20261006-2-1</x:v>
      </x:c>
      <x:c r="C523" s="7" t="n">
        <x:v>46301</x:v>
      </x:c>
      <x:c r="D523" s="2" t="str">
        <x:v>BUS001</x:v>
      </x:c>
      <x:c r="E523" s="2" t="str">
        <x:v>ST032</x:v>
      </x:c>
      <x:c r="F523" s="2" t="n">
        <x:v>2</x:v>
      </x:c>
      <x:c r="G523" s="2" t="str">
        <x:v>Senior</x:v>
      </x:c>
      <x:c r="H523" s="2" t="str">
        <x:v>Pickup</x:v>
      </x:c>
      <x:c r="I523" s="2" t="str">
        <x:v>R1S2</x:v>
      </x:c>
      <x:c r="J523" s="2" t="str">
        <x:v>EV001037</x:v>
      </x:c>
      <x:c r="K523" s="8" t="n">
        <x:v>46301.47642361111</x:v>
      </x:c>
      <x:c r="L523" s="2" t="str">
        <x:v>R1S2</x:v>
      </x:c>
      <x:c r="M523" s="9" t="n">
        <x:v>25.273000000000003</x:v>
      </x:c>
      <x:c r="N523" s="9" t="n">
        <x:v>51.494</x:v>
      </x:c>
      <x:c r="O523" s="2" t="str">
        <x:v>Valid</x:v>
      </x:c>
      <x:c r="P523" s="2" t="str">
        <x:v>EV001038</x:v>
      </x:c>
      <x:c r="Q523" s="8" t="n">
        <x:v>46301.506631944445</x:v>
      </x:c>
      <x:c r="R523" s="2" t="str">
        <x:v>SCH01</x:v>
      </x:c>
      <x:c r="S523" s="9" t="n">
        <x:v>25.285</x:v>
      </x:c>
      <x:c r="T523" s="9" t="n">
        <x:v>51.51</x:v>
      </x:c>
      <x:c r="U523" s="2" t="str">
        <x:v>SCHOOL_RECEIVER_01</x:v>
      </x:c>
      <x:c r="V523" s="2" t="str">
        <x:v>School staff receipt</x:v>
      </x:c>
      <x:c r="W523" s="2" t="str">
        <x:v>Completed transport</x:v>
      </x:c>
      <x:c r="X523" s="2" t="str">
        <x:v>QR</x:v>
      </x:c>
      <x:c r="Y523" s="2" t="str">
        <x:v>Online</x:v>
      </x:c>
      <x:c r="Z523" s="2" t="str">
        <x:v>Synced</x:v>
      </x:c>
      <x:c r="AA523" s="2"/>
      <x:c r="AB523" s="2"/>
      <x:c r="AC523" s="10" t="n">
        <x:f>IF(OR(K523="",Q523=""),"",ROUND((Q523-K523)*1440,2))</x:f>
        <x:v>43.5</x:v>
      </x:c>
    </x:row>
    <x:row r="524" ht="21" customHeight="1">
      <x:c r="A524" s="2" t="str">
        <x:v>LN00523</x:v>
      </x:c>
      <x:c r="B524" s="2" t="str">
        <x:v>T20261006-2-1</x:v>
      </x:c>
      <x:c r="C524" s="7" t="n">
        <x:v>46301</x:v>
      </x:c>
      <x:c r="D524" s="2" t="str">
        <x:v>BUS001</x:v>
      </x:c>
      <x:c r="E524" s="2" t="str">
        <x:v>ST033</x:v>
      </x:c>
      <x:c r="F524" s="2" t="n">
        <x:v>2</x:v>
      </x:c>
      <x:c r="G524" s="2" t="str">
        <x:v>Senior</x:v>
      </x:c>
      <x:c r="H524" s="2" t="str">
        <x:v>Pickup</x:v>
      </x:c>
      <x:c r="I524" s="2" t="str">
        <x:v>R1S3</x:v>
      </x:c>
      <x:c r="J524" s="2" t="str">
        <x:v>EV001039</x:v>
      </x:c>
      <x:c r="K524" s="8" t="n">
        <x:v>46301.48131944444</x:v>
      </x:c>
      <x:c r="L524" s="2" t="str">
        <x:v>R1S3</x:v>
      </x:c>
      <x:c r="M524" s="9" t="n">
        <x:v>25.275000000000002</x:v>
      </x:c>
      <x:c r="N524" s="9" t="n">
        <x:v>51.497</x:v>
      </x:c>
      <x:c r="O524" s="2" t="str">
        <x:v>Valid</x:v>
      </x:c>
      <x:c r="P524" s="2" t="str">
        <x:v>EV001040</x:v>
      </x:c>
      <x:c r="Q524" s="8" t="n">
        <x:v>46301.50666666667</x:v>
      </x:c>
      <x:c r="R524" s="2" t="str">
        <x:v>SCH01</x:v>
      </x:c>
      <x:c r="S524" s="9" t="n">
        <x:v>25.285</x:v>
      </x:c>
      <x:c r="T524" s="9" t="n">
        <x:v>51.51</x:v>
      </x:c>
      <x:c r="U524" s="2" t="str">
        <x:v>SCHOOL_RECEIVER_01</x:v>
      </x:c>
      <x:c r="V524" s="2" t="str">
        <x:v>School staff receipt</x:v>
      </x:c>
      <x:c r="W524" s="2" t="str">
        <x:v>Completed transport</x:v>
      </x:c>
      <x:c r="X524" s="2" t="str">
        <x:v>QR</x:v>
      </x:c>
      <x:c r="Y524" s="2" t="str">
        <x:v>Online</x:v>
      </x:c>
      <x:c r="Z524" s="2" t="str">
        <x:v>Synced</x:v>
      </x:c>
      <x:c r="AA524" s="2"/>
      <x:c r="AB524" s="2"/>
      <x:c r="AC524" s="10" t="n">
        <x:f>IF(OR(K524="",Q524=""),"",ROUND((Q524-K524)*1440,2))</x:f>
        <x:v>36.5</x:v>
      </x:c>
    </x:row>
    <x:row r="525" ht="21" customHeight="1">
      <x:c r="A525" s="2" t="str">
        <x:v>LN00524</x:v>
      </x:c>
      <x:c r="B525" s="2" t="str">
        <x:v>T20261006-2-1</x:v>
      </x:c>
      <x:c r="C525" s="7" t="n">
        <x:v>46301</x:v>
      </x:c>
      <x:c r="D525" s="2" t="str">
        <x:v>BUS001</x:v>
      </x:c>
      <x:c r="E525" s="2" t="str">
        <x:v>ST034</x:v>
      </x:c>
      <x:c r="F525" s="2" t="n">
        <x:v>2</x:v>
      </x:c>
      <x:c r="G525" s="2" t="str">
        <x:v>Senior</x:v>
      </x:c>
      <x:c r="H525" s="2" t="str">
        <x:v>Pickup</x:v>
      </x:c>
      <x:c r="I525" s="2" t="str">
        <x:v>R1S1</x:v>
      </x:c>
      <x:c r="J525" s="2" t="str">
        <x:v>EV001041</x:v>
      </x:c>
      <x:c r="K525" s="8" t="n">
        <x:v>46301.47163194445</x:v>
      </x:c>
      <x:c r="L525" s="2" t="str">
        <x:v>R1S1</x:v>
      </x:c>
      <x:c r="M525" s="9" t="n">
        <x:v>25.271</x:v>
      </x:c>
      <x:c r="N525" s="9" t="n">
        <x:v>51.491</x:v>
      </x:c>
      <x:c r="O525" s="2" t="str">
        <x:v>Valid</x:v>
      </x:c>
      <x:c r="P525" s="2" t="str">
        <x:v>EV001042</x:v>
      </x:c>
      <x:c r="Q525" s="8" t="n">
        <x:v>46301.50670138889</x:v>
      </x:c>
      <x:c r="R525" s="2" t="str">
        <x:v>SCH01</x:v>
      </x:c>
      <x:c r="S525" s="9" t="n">
        <x:v>25.285</x:v>
      </x:c>
      <x:c r="T525" s="9" t="n">
        <x:v>51.51</x:v>
      </x:c>
      <x:c r="U525" s="2" t="str">
        <x:v>SCHOOL_RECEIVER_01</x:v>
      </x:c>
      <x:c r="V525" s="2" t="str">
        <x:v>School staff receipt</x:v>
      </x:c>
      <x:c r="W525" s="2" t="str">
        <x:v>Completed transport</x:v>
      </x:c>
      <x:c r="X525" s="2" t="str">
        <x:v>QR</x:v>
      </x:c>
      <x:c r="Y525" s="2" t="str">
        <x:v>Online</x:v>
      </x:c>
      <x:c r="Z525" s="2" t="str">
        <x:v>Synced</x:v>
      </x:c>
      <x:c r="AA525" s="2"/>
      <x:c r="AB525" s="2"/>
      <x:c r="AC525" s="10" t="n">
        <x:f>IF(OR(K525="",Q525=""),"",ROUND((Q525-K525)*1440,2))</x:f>
        <x:v>50.5</x:v>
      </x:c>
    </x:row>
    <x:row r="526" ht="21" customHeight="1">
      <x:c r="A526" s="2" t="str">
        <x:v>LN00525</x:v>
      </x:c>
      <x:c r="B526" s="2" t="str">
        <x:v>T20261006-2-1</x:v>
      </x:c>
      <x:c r="C526" s="7" t="n">
        <x:v>46301</x:v>
      </x:c>
      <x:c r="D526" s="2" t="str">
        <x:v>BUS001</x:v>
      </x:c>
      <x:c r="E526" s="2" t="str">
        <x:v>ST035</x:v>
      </x:c>
      <x:c r="F526" s="2" t="n">
        <x:v>2</x:v>
      </x:c>
      <x:c r="G526" s="2" t="str">
        <x:v>Senior</x:v>
      </x:c>
      <x:c r="H526" s="2" t="str">
        <x:v>Pickup</x:v>
      </x:c>
      <x:c r="I526" s="2" t="str">
        <x:v>R1S2</x:v>
      </x:c>
      <x:c r="J526" s="2" t="str">
        <x:v>EV001043</x:v>
      </x:c>
      <x:c r="K526" s="8" t="n">
        <x:v>46301.47652777778</x:v>
      </x:c>
      <x:c r="L526" s="2" t="str">
        <x:v>R1S2</x:v>
      </x:c>
      <x:c r="M526" s="9" t="n">
        <x:v>25.273000000000003</x:v>
      </x:c>
      <x:c r="N526" s="9" t="n">
        <x:v>51.494</x:v>
      </x:c>
      <x:c r="O526" s="2" t="str">
        <x:v>Valid</x:v>
      </x:c>
      <x:c r="P526" s="2" t="str">
        <x:v>EV001044</x:v>
      </x:c>
      <x:c r="Q526" s="8" t="n">
        <x:v>46301.506736111114</x:v>
      </x:c>
      <x:c r="R526" s="2" t="str">
        <x:v>SCH01</x:v>
      </x:c>
      <x:c r="S526" s="9" t="n">
        <x:v>25.285</x:v>
      </x:c>
      <x:c r="T526" s="9" t="n">
        <x:v>51.51</x:v>
      </x:c>
      <x:c r="U526" s="2" t="str">
        <x:v>SCHOOL_RECEIVER_01</x:v>
      </x:c>
      <x:c r="V526" s="2" t="str">
        <x:v>School staff receipt</x:v>
      </x:c>
      <x:c r="W526" s="2" t="str">
        <x:v>Completed transport</x:v>
      </x:c>
      <x:c r="X526" s="2" t="str">
        <x:v>QR</x:v>
      </x:c>
      <x:c r="Y526" s="2" t="str">
        <x:v>Online</x:v>
      </x:c>
      <x:c r="Z526" s="2" t="str">
        <x:v>Synced</x:v>
      </x:c>
      <x:c r="AA526" s="2"/>
      <x:c r="AB526" s="2"/>
      <x:c r="AC526" s="10" t="n">
        <x:f>IF(OR(K526="",Q526=""),"",ROUND((Q526-K526)*1440,2))</x:f>
        <x:v>43.5</x:v>
      </x:c>
    </x:row>
    <x:row r="527" ht="21" customHeight="1">
      <x:c r="A527" s="2" t="str">
        <x:v>LN00526</x:v>
      </x:c>
      <x:c r="B527" s="2" t="str">
        <x:v>T20261006-2-1</x:v>
      </x:c>
      <x:c r="C527" s="7" t="n">
        <x:v>46301</x:v>
      </x:c>
      <x:c r="D527" s="2" t="str">
        <x:v>BUS001</x:v>
      </x:c>
      <x:c r="E527" s="2" t="str">
        <x:v>ST036</x:v>
      </x:c>
      <x:c r="F527" s="2" t="n">
        <x:v>2</x:v>
      </x:c>
      <x:c r="G527" s="2" t="str">
        <x:v>Senior</x:v>
      </x:c>
      <x:c r="H527" s="2" t="str">
        <x:v>Pickup</x:v>
      </x:c>
      <x:c r="I527" s="2" t="str">
        <x:v>R1S3</x:v>
      </x:c>
      <x:c r="J527" s="2" t="str">
        <x:v>EV001045</x:v>
      </x:c>
      <x:c r="K527" s="8" t="n">
        <x:v>46301.481423611105</x:v>
      </x:c>
      <x:c r="L527" s="2" t="str">
        <x:v>R1S3</x:v>
      </x:c>
      <x:c r="M527" s="9" t="n">
        <x:v>25.275000000000002</x:v>
      </x:c>
      <x:c r="N527" s="9" t="n">
        <x:v>51.497</x:v>
      </x:c>
      <x:c r="O527" s="2" t="str">
        <x:v>Valid</x:v>
      </x:c>
      <x:c r="P527" s="2" t="str">
        <x:v>EV001046</x:v>
      </x:c>
      <x:c r="Q527" s="8" t="n">
        <x:v>46301.50677083334</x:v>
      </x:c>
      <x:c r="R527" s="2" t="str">
        <x:v>SCH01</x:v>
      </x:c>
      <x:c r="S527" s="9" t="n">
        <x:v>25.285</x:v>
      </x:c>
      <x:c r="T527" s="9" t="n">
        <x:v>51.51</x:v>
      </x:c>
      <x:c r="U527" s="2" t="str">
        <x:v>SCHOOL_RECEIVER_01</x:v>
      </x:c>
      <x:c r="V527" s="2" t="str">
        <x:v>School staff receipt</x:v>
      </x:c>
      <x:c r="W527" s="2" t="str">
        <x:v>Completed transport</x:v>
      </x:c>
      <x:c r="X527" s="2" t="str">
        <x:v>QR</x:v>
      </x:c>
      <x:c r="Y527" s="2" t="str">
        <x:v>Online</x:v>
      </x:c>
      <x:c r="Z527" s="2" t="str">
        <x:v>Synced</x:v>
      </x:c>
      <x:c r="AA527" s="2"/>
      <x:c r="AB527" s="2"/>
      <x:c r="AC527" s="10" t="n">
        <x:f>IF(OR(K527="",Q527=""),"",ROUND((Q527-K527)*1440,2))</x:f>
        <x:v>36.5</x:v>
      </x:c>
    </x:row>
    <x:row r="528" ht="21" customHeight="1">
      <x:c r="A528" s="2" t="str">
        <x:v>LN00527</x:v>
      </x:c>
      <x:c r="B528" s="2" t="str">
        <x:v>T20261006-2-1</x:v>
      </x:c>
      <x:c r="C528" s="7" t="n">
        <x:v>46301</x:v>
      </x:c>
      <x:c r="D528" s="2" t="str">
        <x:v>BUS001</x:v>
      </x:c>
      <x:c r="E528" s="2" t="str">
        <x:v>ST037</x:v>
      </x:c>
      <x:c r="F528" s="2" t="n">
        <x:v>2</x:v>
      </x:c>
      <x:c r="G528" s="2" t="str">
        <x:v>Senior</x:v>
      </x:c>
      <x:c r="H528" s="2" t="str">
        <x:v>Pickup</x:v>
      </x:c>
      <x:c r="I528" s="2" t="str">
        <x:v>R1S1</x:v>
      </x:c>
      <x:c r="J528" s="2" t="str">
        <x:v>EV001047</x:v>
      </x:c>
      <x:c r="K528" s="8" t="n">
        <x:v>46301.47173611111</x:v>
      </x:c>
      <x:c r="L528" s="2" t="str">
        <x:v>R1S1</x:v>
      </x:c>
      <x:c r="M528" s="9" t="n">
        <x:v>25.271</x:v>
      </x:c>
      <x:c r="N528" s="9" t="n">
        <x:v>51.491</x:v>
      </x:c>
      <x:c r="O528" s="2" t="str">
        <x:v>Valid</x:v>
      </x:c>
      <x:c r="P528" s="2" t="str">
        <x:v>EV001048</x:v>
      </x:c>
      <x:c r="Q528" s="8" t="n">
        <x:v>46301.50680555556</x:v>
      </x:c>
      <x:c r="R528" s="2" t="str">
        <x:v>SCH01</x:v>
      </x:c>
      <x:c r="S528" s="9" t="n">
        <x:v>25.285</x:v>
      </x:c>
      <x:c r="T528" s="9" t="n">
        <x:v>51.51</x:v>
      </x:c>
      <x:c r="U528" s="2" t="str">
        <x:v>SCHOOL_RECEIVER_01</x:v>
      </x:c>
      <x:c r="V528" s="2" t="str">
        <x:v>School staff receipt</x:v>
      </x:c>
      <x:c r="W528" s="2" t="str">
        <x:v>Completed transport</x:v>
      </x:c>
      <x:c r="X528" s="2" t="str">
        <x:v>QR</x:v>
      </x:c>
      <x:c r="Y528" s="2" t="str">
        <x:v>Online</x:v>
      </x:c>
      <x:c r="Z528" s="2" t="str">
        <x:v>Synced</x:v>
      </x:c>
      <x:c r="AA528" s="2"/>
      <x:c r="AB528" s="2"/>
      <x:c r="AC528" s="10" t="n">
        <x:f>IF(OR(K528="",Q528=""),"",ROUND((Q528-K528)*1440,2))</x:f>
        <x:v>50.5</x:v>
      </x:c>
    </x:row>
    <x:row r="529" ht="21" customHeight="1">
      <x:c r="A529" s="2" t="str">
        <x:v>LN00528</x:v>
      </x:c>
      <x:c r="B529" s="2" t="str">
        <x:v>T20261006-2-1</x:v>
      </x:c>
      <x:c r="C529" s="7" t="n">
        <x:v>46301</x:v>
      </x:c>
      <x:c r="D529" s="2" t="str">
        <x:v>BUS001</x:v>
      </x:c>
      <x:c r="E529" s="2" t="str">
        <x:v>ST038</x:v>
      </x:c>
      <x:c r="F529" s="2" t="n">
        <x:v>2</x:v>
      </x:c>
      <x:c r="G529" s="2" t="str">
        <x:v>Senior</x:v>
      </x:c>
      <x:c r="H529" s="2" t="str">
        <x:v>Pickup</x:v>
      </x:c>
      <x:c r="I529" s="2" t="str">
        <x:v>R1S2</x:v>
      </x:c>
      <x:c r="J529" s="2" t="str">
        <x:v>EV001049</x:v>
      </x:c>
      <x:c r="K529" s="8" t="n">
        <x:v>46301.47663194444</x:v>
      </x:c>
      <x:c r="L529" s="2" t="str">
        <x:v>R1S2</x:v>
      </x:c>
      <x:c r="M529" s="9" t="n">
        <x:v>25.273000000000003</x:v>
      </x:c>
      <x:c r="N529" s="9" t="n">
        <x:v>51.494</x:v>
      </x:c>
      <x:c r="O529" s="2" t="str">
        <x:v>Valid</x:v>
      </x:c>
      <x:c r="P529" s="2" t="str">
        <x:v>EV001050</x:v>
      </x:c>
      <x:c r="Q529" s="8" t="n">
        <x:v>46301.50684027778</x:v>
      </x:c>
      <x:c r="R529" s="2" t="str">
        <x:v>SCH01</x:v>
      </x:c>
      <x:c r="S529" s="9" t="n">
        <x:v>25.285</x:v>
      </x:c>
      <x:c r="T529" s="9" t="n">
        <x:v>51.51</x:v>
      </x:c>
      <x:c r="U529" s="2" t="str">
        <x:v>SCHOOL_RECEIVER_01</x:v>
      </x:c>
      <x:c r="V529" s="2" t="str">
        <x:v>School staff receipt</x:v>
      </x:c>
      <x:c r="W529" s="2" t="str">
        <x:v>Completed transport</x:v>
      </x:c>
      <x:c r="X529" s="2" t="str">
        <x:v>QR</x:v>
      </x:c>
      <x:c r="Y529" s="2" t="str">
        <x:v>Online</x:v>
      </x:c>
      <x:c r="Z529" s="2" t="str">
        <x:v>Synced</x:v>
      </x:c>
      <x:c r="AA529" s="2"/>
      <x:c r="AB529" s="2"/>
      <x:c r="AC529" s="10" t="n">
        <x:f>IF(OR(K529="",Q529=""),"",ROUND((Q529-K529)*1440,2))</x:f>
        <x:v>43.5</x:v>
      </x:c>
    </x:row>
    <x:row r="530" ht="21" customHeight="1">
      <x:c r="A530" s="2" t="str">
        <x:v>LN00529</x:v>
      </x:c>
      <x:c r="B530" s="2" t="str">
        <x:v>T20261006-2-1</x:v>
      </x:c>
      <x:c r="C530" s="7" t="n">
        <x:v>46301</x:v>
      </x:c>
      <x:c r="D530" s="2" t="str">
        <x:v>BUS001</x:v>
      </x:c>
      <x:c r="E530" s="2" t="str">
        <x:v>ST039</x:v>
      </x:c>
      <x:c r="F530" s="2" t="n">
        <x:v>2</x:v>
      </x:c>
      <x:c r="G530" s="2" t="str">
        <x:v>Senior</x:v>
      </x:c>
      <x:c r="H530" s="2" t="str">
        <x:v>Pickup</x:v>
      </x:c>
      <x:c r="I530" s="2" t="str">
        <x:v>R1S3</x:v>
      </x:c>
      <x:c r="J530" s="2" t="str">
        <x:v>EV001051</x:v>
      </x:c>
      <x:c r="K530" s="8" t="n">
        <x:v>46301.481527777774</x:v>
      </x:c>
      <x:c r="L530" s="2" t="str">
        <x:v>R1S3</x:v>
      </x:c>
      <x:c r="M530" s="9" t="n">
        <x:v>25.275000000000002</x:v>
      </x:c>
      <x:c r="N530" s="9" t="n">
        <x:v>51.497</x:v>
      </x:c>
      <x:c r="O530" s="2" t="str">
        <x:v>Valid</x:v>
      </x:c>
      <x:c r="P530" s="2" t="str">
        <x:v>EV001052</x:v>
      </x:c>
      <x:c r="Q530" s="8" t="n">
        <x:v>46301.50687500001</x:v>
      </x:c>
      <x:c r="R530" s="2" t="str">
        <x:v>SCH01</x:v>
      </x:c>
      <x:c r="S530" s="9" t="n">
        <x:v>25.285</x:v>
      </x:c>
      <x:c r="T530" s="9" t="n">
        <x:v>51.51</x:v>
      </x:c>
      <x:c r="U530" s="2" t="str">
        <x:v>SCHOOL_RECEIVER_01</x:v>
      </x:c>
      <x:c r="V530" s="2" t="str">
        <x:v>School staff receipt</x:v>
      </x:c>
      <x:c r="W530" s="2" t="str">
        <x:v>Completed transport</x:v>
      </x:c>
      <x:c r="X530" s="2" t="str">
        <x:v>QR</x:v>
      </x:c>
      <x:c r="Y530" s="2" t="str">
        <x:v>Online</x:v>
      </x:c>
      <x:c r="Z530" s="2" t="str">
        <x:v>Synced</x:v>
      </x:c>
      <x:c r="AA530" s="2"/>
      <x:c r="AB530" s="2"/>
      <x:c r="AC530" s="10" t="n">
        <x:f>IF(OR(K530="",Q530=""),"",ROUND((Q530-K530)*1440,2))</x:f>
        <x:v>36.5</x:v>
      </x:c>
    </x:row>
    <x:row r="531" ht="21" customHeight="1">
      <x:c r="A531" s="2" t="str">
        <x:v>LN00530</x:v>
      </x:c>
      <x:c r="B531" s="2" t="str">
        <x:v>T20261006-2-1</x:v>
      </x:c>
      <x:c r="C531" s="7" t="n">
        <x:v>46301</x:v>
      </x:c>
      <x:c r="D531" s="2" t="str">
        <x:v>BUS001</x:v>
      </x:c>
      <x:c r="E531" s="2" t="str">
        <x:v>ST040</x:v>
      </x:c>
      <x:c r="F531" s="2" t="n">
        <x:v>2</x:v>
      </x:c>
      <x:c r="G531" s="2" t="str">
        <x:v>Senior</x:v>
      </x:c>
      <x:c r="H531" s="2" t="str">
        <x:v>Pickup</x:v>
      </x:c>
      <x:c r="I531" s="2" t="str">
        <x:v>R1S1</x:v>
      </x:c>
      <x:c r="J531" s="2" t="str">
        <x:v>EV001053</x:v>
      </x:c>
      <x:c r="K531" s="8" t="n">
        <x:v>46301.47184027778</x:v>
      </x:c>
      <x:c r="L531" s="2" t="str">
        <x:v>R1S1</x:v>
      </x:c>
      <x:c r="M531" s="9" t="n">
        <x:v>25.271</x:v>
      </x:c>
      <x:c r="N531" s="9" t="n">
        <x:v>51.491</x:v>
      </x:c>
      <x:c r="O531" s="2" t="str">
        <x:v>Valid</x:v>
      </x:c>
      <x:c r="P531" s="2" t="str">
        <x:v>EV001054</x:v>
      </x:c>
      <x:c r="Q531" s="8" t="n">
        <x:v>46301.50690972222</x:v>
      </x:c>
      <x:c r="R531" s="2" t="str">
        <x:v>SCH01</x:v>
      </x:c>
      <x:c r="S531" s="9" t="n">
        <x:v>25.285</x:v>
      </x:c>
      <x:c r="T531" s="9" t="n">
        <x:v>51.51</x:v>
      </x:c>
      <x:c r="U531" s="2" t="str">
        <x:v>SCHOOL_RECEIVER_01</x:v>
      </x:c>
      <x:c r="V531" s="2" t="str">
        <x:v>School staff receipt</x:v>
      </x:c>
      <x:c r="W531" s="2" t="str">
        <x:v>Completed transport</x:v>
      </x:c>
      <x:c r="X531" s="2" t="str">
        <x:v>QR</x:v>
      </x:c>
      <x:c r="Y531" s="2" t="str">
        <x:v>Online</x:v>
      </x:c>
      <x:c r="Z531" s="2" t="str">
        <x:v>Synced</x:v>
      </x:c>
      <x:c r="AA531" s="2"/>
      <x:c r="AB531" s="2"/>
      <x:c r="AC531" s="10" t="n">
        <x:f>IF(OR(K531="",Q531=""),"",ROUND((Q531-K531)*1440,2))</x:f>
        <x:v>50.5</x:v>
      </x:c>
    </x:row>
    <x:row r="532" ht="21" customHeight="1">
      <x:c r="A532" s="2" t="str">
        <x:v>LN00531</x:v>
      </x:c>
      <x:c r="B532" s="2" t="str">
        <x:v>T20261006-3-1</x:v>
      </x:c>
      <x:c r="C532" s="7" t="n">
        <x:v>46301</x:v>
      </x:c>
      <x:c r="D532" s="2" t="str">
        <x:v>BUS001</x:v>
      </x:c>
      <x:c r="E532" s="2" t="str">
        <x:v>ST011</x:v>
      </x:c>
      <x:c r="F532" s="2" t="n">
        <x:v>1</x:v>
      </x:c>
      <x:c r="G532" s="2" t="str">
        <x:v>Senior</x:v>
      </x:c>
      <x:c r="H532" s="2" t="str">
        <x:v>Drop-off</x:v>
      </x:c>
      <x:c r="I532" s="2" t="str">
        <x:v>R1S2</x:v>
      </x:c>
      <x:c r="J532" s="2" t="str">
        <x:v>EV001055</x:v>
      </x:c>
      <x:c r="K532" s="8" t="n">
        <x:v>46301.57291666667</x:v>
      </x:c>
      <x:c r="L532" s="2" t="str">
        <x:v>SCH01</x:v>
      </x:c>
      <x:c r="M532" s="9" t="n">
        <x:v>25.285</x:v>
      </x:c>
      <x:c r="N532" s="9" t="n">
        <x:v>51.51</x:v>
      </x:c>
      <x:c r="O532" s="2" t="str">
        <x:v>Valid</x:v>
      </x:c>
      <x:c r="P532" s="2" t="str">
        <x:v>EV001056</x:v>
      </x:c>
      <x:c r="Q532" s="8" t="n">
        <x:v>46301.59027777778</x:v>
      </x:c>
      <x:c r="R532" s="2" t="str">
        <x:v>R1S2</x:v>
      </x:c>
      <x:c r="S532" s="9" t="n">
        <x:v>25.273000000000003</x:v>
      </x:c>
      <x:c r="T532" s="9" t="n">
        <x:v>51.494</x:v>
      </x:c>
      <x:c r="U532" s="2" t="str">
        <x:v>G011</x:v>
      </x:c>
      <x:c r="V532" s="2" t="str">
        <x:v>Authorized guardian release</x:v>
      </x:c>
      <x:c r="W532" s="2" t="str">
        <x:v>Completed transport</x:v>
      </x:c>
      <x:c r="X532" s="2" t="str">
        <x:v>QR</x:v>
      </x:c>
      <x:c r="Y532" s="2" t="str">
        <x:v>Online</x:v>
      </x:c>
      <x:c r="Z532" s="2" t="str">
        <x:v>Synced</x:v>
      </x:c>
      <x:c r="AA532" s="2"/>
      <x:c r="AB532" s="2"/>
      <x:c r="AC532" s="10" t="n">
        <x:f>IF(OR(K532="",Q532=""),"",ROUND((Q532-K532)*1440,2))</x:f>
        <x:v>25</x:v>
      </x:c>
    </x:row>
    <x:row r="533" ht="21" customHeight="1">
      <x:c r="A533" s="2" t="str">
        <x:v>LN00532</x:v>
      </x:c>
      <x:c r="B533" s="2" t="str">
        <x:v>T20261006-3-1</x:v>
      </x:c>
      <x:c r="C533" s="7" t="n">
        <x:v>46301</x:v>
      </x:c>
      <x:c r="D533" s="2" t="str">
        <x:v>BUS001</x:v>
      </x:c>
      <x:c r="E533" s="2" t="str">
        <x:v>ST012</x:v>
      </x:c>
      <x:c r="F533" s="2" t="n">
        <x:v>1</x:v>
      </x:c>
      <x:c r="G533" s="2" t="str">
        <x:v>Senior</x:v>
      </x:c>
      <x:c r="H533" s="2" t="str">
        <x:v>Drop-off</x:v>
      </x:c>
      <x:c r="I533" s="2" t="str">
        <x:v>R1S3</x:v>
      </x:c>
      <x:c r="J533" s="2" t="str">
        <x:v>EV001057</x:v>
      </x:c>
      <x:c r="K533" s="8" t="n">
        <x:v>46301.572951388895</x:v>
      </x:c>
      <x:c r="L533" s="2" t="str">
        <x:v>SCH01</x:v>
      </x:c>
      <x:c r="M533" s="9" t="n">
        <x:v>25.285</x:v>
      </x:c>
      <x:c r="N533" s="9" t="n">
        <x:v>51.51</x:v>
      </x:c>
      <x:c r="O533" s="2" t="str">
        <x:v>Valid</x:v>
      </x:c>
      <x:c r="P533" s="2" t="str">
        <x:v>EV001058</x:v>
      </x:c>
      <x:c r="Q533" s="8" t="n">
        <x:v>46301.59447916667</x:v>
      </x:c>
      <x:c r="R533" s="2" t="str">
        <x:v>R1S3</x:v>
      </x:c>
      <x:c r="S533" s="9" t="n">
        <x:v>25.275000000000002</x:v>
      </x:c>
      <x:c r="T533" s="9" t="n">
        <x:v>51.497</x:v>
      </x:c>
      <x:c r="U533" s="2" t="str">
        <x:v>G012</x:v>
      </x:c>
      <x:c r="V533" s="2" t="str">
        <x:v>Authorized guardian release</x:v>
      </x:c>
      <x:c r="W533" s="2" t="str">
        <x:v>Completed transport</x:v>
      </x:c>
      <x:c r="X533" s="2" t="str">
        <x:v>QR</x:v>
      </x:c>
      <x:c r="Y533" s="2" t="str">
        <x:v>Online</x:v>
      </x:c>
      <x:c r="Z533" s="2" t="str">
        <x:v>Synced</x:v>
      </x:c>
      <x:c r="AA533" s="2"/>
      <x:c r="AB533" s="2"/>
      <x:c r="AC533" s="10" t="n">
        <x:f>IF(OR(K533="",Q533=""),"",ROUND((Q533-K533)*1440,2))</x:f>
        <x:v>31</x:v>
      </x:c>
    </x:row>
    <x:row r="534" ht="21" customHeight="1">
      <x:c r="A534" s="2" t="str">
        <x:v>LN00533</x:v>
      </x:c>
      <x:c r="B534" s="2" t="str">
        <x:v>T20261006-3-1</x:v>
      </x:c>
      <x:c r="C534" s="7" t="n">
        <x:v>46301</x:v>
      </x:c>
      <x:c r="D534" s="2" t="str">
        <x:v>BUS001</x:v>
      </x:c>
      <x:c r="E534" s="2" t="str">
        <x:v>ST013</x:v>
      </x:c>
      <x:c r="F534" s="2" t="n">
        <x:v>1</x:v>
      </x:c>
      <x:c r="G534" s="2" t="str">
        <x:v>Senior</x:v>
      </x:c>
      <x:c r="H534" s="2" t="str">
        <x:v>Drop-off</x:v>
      </x:c>
      <x:c r="I534" s="2" t="str">
        <x:v>R1S1</x:v>
      </x:c>
      <x:c r="J534" s="2" t="str">
        <x:v>EV001059</x:v>
      </x:c>
      <x:c r="K534" s="8" t="n">
        <x:v>46301.57298611112</x:v>
      </x:c>
      <x:c r="L534" s="2" t="str">
        <x:v>SCH01</x:v>
      </x:c>
      <x:c r="M534" s="9" t="n">
        <x:v>25.285</x:v>
      </x:c>
      <x:c r="N534" s="9" t="n">
        <x:v>51.51</x:v>
      </x:c>
      <x:c r="O534" s="2" t="str">
        <x:v>Valid</x:v>
      </x:c>
      <x:c r="P534" s="2" t="str">
        <x:v>EV001060</x:v>
      </x:c>
      <x:c r="Q534" s="8" t="n">
        <x:v>46301.58618055556</x:v>
      </x:c>
      <x:c r="R534" s="2" t="str">
        <x:v>R1S1</x:v>
      </x:c>
      <x:c r="S534" s="9" t="n">
        <x:v>25.271</x:v>
      </x:c>
      <x:c r="T534" s="9" t="n">
        <x:v>51.491</x:v>
      </x:c>
      <x:c r="U534" s="2" t="str">
        <x:v>G013</x:v>
      </x:c>
      <x:c r="V534" s="2" t="str">
        <x:v>Authorized guardian release</x:v>
      </x:c>
      <x:c r="W534" s="2" t="str">
        <x:v>Completed transport</x:v>
      </x:c>
      <x:c r="X534" s="2" t="str">
        <x:v>QR</x:v>
      </x:c>
      <x:c r="Y534" s="2" t="str">
        <x:v>Online</x:v>
      </x:c>
      <x:c r="Z534" s="2" t="str">
        <x:v>Synced</x:v>
      </x:c>
      <x:c r="AA534" s="2"/>
      <x:c r="AB534" s="2"/>
      <x:c r="AC534" s="10" t="n">
        <x:f>IF(OR(K534="",Q534=""),"",ROUND((Q534-K534)*1440,2))</x:f>
        <x:v>19</x:v>
      </x:c>
    </x:row>
    <x:row r="535" ht="21" customHeight="1">
      <x:c r="A535" s="2" t="str">
        <x:v>LN00534</x:v>
      </x:c>
      <x:c r="B535" s="2" t="str">
        <x:v>T20261006-3-1</x:v>
      </x:c>
      <x:c r="C535" s="7" t="n">
        <x:v>46301</x:v>
      </x:c>
      <x:c r="D535" s="2" t="str">
        <x:v>BUS001</x:v>
      </x:c>
      <x:c r="E535" s="2" t="str">
        <x:v>ST014</x:v>
      </x:c>
      <x:c r="F535" s="2" t="n">
        <x:v>1</x:v>
      </x:c>
      <x:c r="G535" s="2" t="str">
        <x:v>Senior</x:v>
      </x:c>
      <x:c r="H535" s="2" t="str">
        <x:v>Drop-off</x:v>
      </x:c>
      <x:c r="I535" s="2" t="str">
        <x:v>R1S2</x:v>
      </x:c>
      <x:c r="J535" s="2" t="str">
        <x:v>EV001061</x:v>
      </x:c>
      <x:c r="K535" s="8" t="n">
        <x:v>46301.57302083334</x:v>
      </x:c>
      <x:c r="L535" s="2" t="str">
        <x:v>SCH01</x:v>
      </x:c>
      <x:c r="M535" s="9" t="n">
        <x:v>25.285</x:v>
      </x:c>
      <x:c r="N535" s="9" t="n">
        <x:v>51.51</x:v>
      </x:c>
      <x:c r="O535" s="2" t="str">
        <x:v>Valid</x:v>
      </x:c>
      <x:c r="P535" s="2" t="str">
        <x:v>EV001062</x:v>
      </x:c>
      <x:c r="Q535" s="8" t="n">
        <x:v>46301.59038194445</x:v>
      </x:c>
      <x:c r="R535" s="2" t="str">
        <x:v>R1S2</x:v>
      </x:c>
      <x:c r="S535" s="9" t="n">
        <x:v>25.273000000000003</x:v>
      </x:c>
      <x:c r="T535" s="9" t="n">
        <x:v>51.494</x:v>
      </x:c>
      <x:c r="U535" s="2" t="str">
        <x:v>G014</x:v>
      </x:c>
      <x:c r="V535" s="2" t="str">
        <x:v>Authorized guardian release</x:v>
      </x:c>
      <x:c r="W535" s="2" t="str">
        <x:v>Completed transport</x:v>
      </x:c>
      <x:c r="X535" s="2" t="str">
        <x:v>QR</x:v>
      </x:c>
      <x:c r="Y535" s="2" t="str">
        <x:v>Online</x:v>
      </x:c>
      <x:c r="Z535" s="2" t="str">
        <x:v>Synced</x:v>
      </x:c>
      <x:c r="AA535" s="2"/>
      <x:c r="AB535" s="2"/>
      <x:c r="AC535" s="10" t="n">
        <x:f>IF(OR(K535="",Q535=""),"",ROUND((Q535-K535)*1440,2))</x:f>
        <x:v>25</x:v>
      </x:c>
    </x:row>
    <x:row r="536" ht="21" customHeight="1">
      <x:c r="A536" s="2" t="str">
        <x:v>LN00535</x:v>
      </x:c>
      <x:c r="B536" s="2" t="str">
        <x:v>T20261006-3-1</x:v>
      </x:c>
      <x:c r="C536" s="7" t="n">
        <x:v>46301</x:v>
      </x:c>
      <x:c r="D536" s="2" t="str">
        <x:v>BUS001</x:v>
      </x:c>
      <x:c r="E536" s="2" t="str">
        <x:v>ST015</x:v>
      </x:c>
      <x:c r="F536" s="2" t="n">
        <x:v>1</x:v>
      </x:c>
      <x:c r="G536" s="2" t="str">
        <x:v>Senior</x:v>
      </x:c>
      <x:c r="H536" s="2" t="str">
        <x:v>Drop-off</x:v>
      </x:c>
      <x:c r="I536" s="2" t="str">
        <x:v>R1S3</x:v>
      </x:c>
      <x:c r="J536" s="2" t="str">
        <x:v>EV001063</x:v>
      </x:c>
      <x:c r="K536" s="8" t="n">
        <x:v>46301.573055555564</x:v>
      </x:c>
      <x:c r="L536" s="2" t="str">
        <x:v>SCH01</x:v>
      </x:c>
      <x:c r="M536" s="9" t="n">
        <x:v>25.285</x:v>
      </x:c>
      <x:c r="N536" s="9" t="n">
        <x:v>51.51</x:v>
      </x:c>
      <x:c r="O536" s="2" t="str">
        <x:v>Valid</x:v>
      </x:c>
      <x:c r="P536" s="2" t="str">
        <x:v>EV001064</x:v>
      </x:c>
      <x:c r="Q536" s="8" t="n">
        <x:v>46301.59458333334</x:v>
      </x:c>
      <x:c r="R536" s="2" t="str">
        <x:v>R1S3</x:v>
      </x:c>
      <x:c r="S536" s="9" t="n">
        <x:v>25.275000000000002</x:v>
      </x:c>
      <x:c r="T536" s="9" t="n">
        <x:v>51.497</x:v>
      </x:c>
      <x:c r="U536" s="2" t="str">
        <x:v>G015</x:v>
      </x:c>
      <x:c r="V536" s="2" t="str">
        <x:v>Authorized guardian release</x:v>
      </x:c>
      <x:c r="W536" s="2" t="str">
        <x:v>Completed transport</x:v>
      </x:c>
      <x:c r="X536" s="2" t="str">
        <x:v>QR</x:v>
      </x:c>
      <x:c r="Y536" s="2" t="str">
        <x:v>Online</x:v>
      </x:c>
      <x:c r="Z536" s="2" t="str">
        <x:v>Synced</x:v>
      </x:c>
      <x:c r="AA536" s="2"/>
      <x:c r="AB536" s="2"/>
      <x:c r="AC536" s="10" t="n">
        <x:f>IF(OR(K536="",Q536=""),"",ROUND((Q536-K536)*1440,2))</x:f>
        <x:v>31</x:v>
      </x:c>
    </x:row>
    <x:row r="537" ht="21" customHeight="1">
      <x:c r="A537" s="2" t="str">
        <x:v>LN00536</x:v>
      </x:c>
      <x:c r="B537" s="2" t="str">
        <x:v>T20261006-3-1</x:v>
      </x:c>
      <x:c r="C537" s="7" t="n">
        <x:v>46301</x:v>
      </x:c>
      <x:c r="D537" s="2" t="str">
        <x:v>BUS001</x:v>
      </x:c>
      <x:c r="E537" s="2" t="str">
        <x:v>ST016</x:v>
      </x:c>
      <x:c r="F537" s="2" t="n">
        <x:v>1</x:v>
      </x:c>
      <x:c r="G537" s="2" t="str">
        <x:v>Senior</x:v>
      </x:c>
      <x:c r="H537" s="2" t="str">
        <x:v>Drop-off</x:v>
      </x:c>
      <x:c r="I537" s="2" t="str">
        <x:v>R1S1</x:v>
      </x:c>
      <x:c r="J537" s="2" t="str">
        <x:v>EV001065</x:v>
      </x:c>
      <x:c r="K537" s="8" t="n">
        <x:v>46301.57309027778</x:v>
      </x:c>
      <x:c r="L537" s="2" t="str">
        <x:v>SCH01</x:v>
      </x:c>
      <x:c r="M537" s="9" t="n">
        <x:v>25.285</x:v>
      </x:c>
      <x:c r="N537" s="9" t="n">
        <x:v>51.51</x:v>
      </x:c>
      <x:c r="O537" s="2" t="str">
        <x:v>Valid</x:v>
      </x:c>
      <x:c r="P537" s="2" t="str">
        <x:v>EV001066</x:v>
      </x:c>
      <x:c r="Q537" s="8" t="n">
        <x:v>46301.58628472222</x:v>
      </x:c>
      <x:c r="R537" s="2" t="str">
        <x:v>R1S1</x:v>
      </x:c>
      <x:c r="S537" s="9" t="n">
        <x:v>25.271</x:v>
      </x:c>
      <x:c r="T537" s="9" t="n">
        <x:v>51.491</x:v>
      </x:c>
      <x:c r="U537" s="2" t="str">
        <x:v>G016</x:v>
      </x:c>
      <x:c r="V537" s="2" t="str">
        <x:v>Authorized guardian release</x:v>
      </x:c>
      <x:c r="W537" s="2" t="str">
        <x:v>Completed transport</x:v>
      </x:c>
      <x:c r="X537" s="2" t="str">
        <x:v>QR</x:v>
      </x:c>
      <x:c r="Y537" s="2" t="str">
        <x:v>Online</x:v>
      </x:c>
      <x:c r="Z537" s="2" t="str">
        <x:v>Synced</x:v>
      </x:c>
      <x:c r="AA537" s="2"/>
      <x:c r="AB537" s="2"/>
      <x:c r="AC537" s="10" t="n">
        <x:f>IF(OR(K537="",Q537=""),"",ROUND((Q537-K537)*1440,2))</x:f>
        <x:v>19</x:v>
      </x:c>
    </x:row>
    <x:row r="538" ht="21" customHeight="1">
      <x:c r="A538" s="2" t="str">
        <x:v>LN00537</x:v>
      </x:c>
      <x:c r="B538" s="2" t="str">
        <x:v>T20261006-3-1</x:v>
      </x:c>
      <x:c r="C538" s="7" t="n">
        <x:v>46301</x:v>
      </x:c>
      <x:c r="D538" s="2" t="str">
        <x:v>BUS001</x:v>
      </x:c>
      <x:c r="E538" s="2" t="str">
        <x:v>ST017</x:v>
      </x:c>
      <x:c r="F538" s="2" t="n">
        <x:v>1</x:v>
      </x:c>
      <x:c r="G538" s="2" t="str">
        <x:v>Senior</x:v>
      </x:c>
      <x:c r="H538" s="2" t="str">
        <x:v>Drop-off</x:v>
      </x:c>
      <x:c r="I538" s="2" t="str">
        <x:v>R1S2</x:v>
      </x:c>
      <x:c r="J538" s="2" t="str">
        <x:v>EV001067</x:v>
      </x:c>
      <x:c r="K538" s="8" t="n">
        <x:v>46301.573125</x:v>
      </x:c>
      <x:c r="L538" s="2" t="str">
        <x:v>SCH01</x:v>
      </x:c>
      <x:c r="M538" s="9" t="n">
        <x:v>25.285</x:v>
      </x:c>
      <x:c r="N538" s="9" t="n">
        <x:v>51.51</x:v>
      </x:c>
      <x:c r="O538" s="2" t="str">
        <x:v>Valid</x:v>
      </x:c>
      <x:c r="P538" s="2" t="str">
        <x:v>EV001068</x:v>
      </x:c>
      <x:c r="Q538" s="8" t="n">
        <x:v>46301.59048611111</x:v>
      </x:c>
      <x:c r="R538" s="2" t="str">
        <x:v>R1S2</x:v>
      </x:c>
      <x:c r="S538" s="9" t="n">
        <x:v>25.273000000000003</x:v>
      </x:c>
      <x:c r="T538" s="9" t="n">
        <x:v>51.494</x:v>
      </x:c>
      <x:c r="U538" s="2" t="str">
        <x:v>G017</x:v>
      </x:c>
      <x:c r="V538" s="2" t="str">
        <x:v>Authorized guardian release</x:v>
      </x:c>
      <x:c r="W538" s="2" t="str">
        <x:v>Completed transport</x:v>
      </x:c>
      <x:c r="X538" s="2" t="str">
        <x:v>QR</x:v>
      </x:c>
      <x:c r="Y538" s="2" t="str">
        <x:v>Online</x:v>
      </x:c>
      <x:c r="Z538" s="2" t="str">
        <x:v>Synced</x:v>
      </x:c>
      <x:c r="AA538" s="2"/>
      <x:c r="AB538" s="2"/>
      <x:c r="AC538" s="10" t="n">
        <x:f>IF(OR(K538="",Q538=""),"",ROUND((Q538-K538)*1440,2))</x:f>
        <x:v>25</x:v>
      </x:c>
    </x:row>
    <x:row r="539" ht="21" customHeight="1">
      <x:c r="A539" s="2" t="str">
        <x:v>LN00538</x:v>
      </x:c>
      <x:c r="B539" s="2" t="str">
        <x:v>T20261006-3-1</x:v>
      </x:c>
      <x:c r="C539" s="7" t="n">
        <x:v>46301</x:v>
      </x:c>
      <x:c r="D539" s="2" t="str">
        <x:v>BUS001</x:v>
      </x:c>
      <x:c r="E539" s="2" t="str">
        <x:v>ST018</x:v>
      </x:c>
      <x:c r="F539" s="2" t="n">
        <x:v>1</x:v>
      </x:c>
      <x:c r="G539" s="2" t="str">
        <x:v>Senior</x:v>
      </x:c>
      <x:c r="H539" s="2" t="str">
        <x:v>Drop-off</x:v>
      </x:c>
      <x:c r="I539" s="2" t="str">
        <x:v>R1S3</x:v>
      </x:c>
      <x:c r="J539" s="2" t="str">
        <x:v>EV001069</x:v>
      </x:c>
      <x:c r="K539" s="8" t="n">
        <x:v>46301.573159722226</x:v>
      </x:c>
      <x:c r="L539" s="2" t="str">
        <x:v>SCH01</x:v>
      </x:c>
      <x:c r="M539" s="9" t="n">
        <x:v>25.285</x:v>
      </x:c>
      <x:c r="N539" s="9" t="n">
        <x:v>51.51</x:v>
      </x:c>
      <x:c r="O539" s="2" t="str">
        <x:v>Valid</x:v>
      </x:c>
      <x:c r="P539" s="2" t="str">
        <x:v>EV001070</x:v>
      </x:c>
      <x:c r="Q539" s="8" t="n">
        <x:v>46301.5946875</x:v>
      </x:c>
      <x:c r="R539" s="2" t="str">
        <x:v>R1S3</x:v>
      </x:c>
      <x:c r="S539" s="9" t="n">
        <x:v>25.275000000000002</x:v>
      </x:c>
      <x:c r="T539" s="9" t="n">
        <x:v>51.497</x:v>
      </x:c>
      <x:c r="U539" s="2" t="str">
        <x:v>G018</x:v>
      </x:c>
      <x:c r="V539" s="2" t="str">
        <x:v>Authorized guardian release</x:v>
      </x:c>
      <x:c r="W539" s="2" t="str">
        <x:v>Completed transport</x:v>
      </x:c>
      <x:c r="X539" s="2" t="str">
        <x:v>QR</x:v>
      </x:c>
      <x:c r="Y539" s="2" t="str">
        <x:v>Online</x:v>
      </x:c>
      <x:c r="Z539" s="2" t="str">
        <x:v>Synced</x:v>
      </x:c>
      <x:c r="AA539" s="2"/>
      <x:c r="AB539" s="2"/>
      <x:c r="AC539" s="10" t="n">
        <x:f>IF(OR(K539="",Q539=""),"",ROUND((Q539-K539)*1440,2))</x:f>
        <x:v>31</x:v>
      </x:c>
    </x:row>
    <x:row r="540" ht="21" customHeight="1">
      <x:c r="A540" s="2" t="str">
        <x:v>LN00539</x:v>
      </x:c>
      <x:c r="B540" s="2" t="str">
        <x:v>T20261006-3-1</x:v>
      </x:c>
      <x:c r="C540" s="7" t="n">
        <x:v>46301</x:v>
      </x:c>
      <x:c r="D540" s="2" t="str">
        <x:v>BUS001</x:v>
      </x:c>
      <x:c r="E540" s="2" t="str">
        <x:v>ST019</x:v>
      </x:c>
      <x:c r="F540" s="2" t="n">
        <x:v>1</x:v>
      </x:c>
      <x:c r="G540" s="2" t="str">
        <x:v>Senior</x:v>
      </x:c>
      <x:c r="H540" s="2" t="str">
        <x:v>Drop-off</x:v>
      </x:c>
      <x:c r="I540" s="2" t="str">
        <x:v>R1S1</x:v>
      </x:c>
      <x:c r="J540" s="2" t="str">
        <x:v>EV001071</x:v>
      </x:c>
      <x:c r="K540" s="8" t="n">
        <x:v>46301.57319444445</x:v>
      </x:c>
      <x:c r="L540" s="2" t="str">
        <x:v>SCH01</x:v>
      </x:c>
      <x:c r="M540" s="9" t="n">
        <x:v>25.285</x:v>
      </x:c>
      <x:c r="N540" s="9" t="n">
        <x:v>51.51</x:v>
      </x:c>
      <x:c r="O540" s="2" t="str">
        <x:v>Valid</x:v>
      </x:c>
      <x:c r="P540" s="2" t="str">
        <x:v>EV001072</x:v>
      </x:c>
      <x:c r="Q540" s="8" t="n">
        <x:v>46301.58638888889</x:v>
      </x:c>
      <x:c r="R540" s="2" t="str">
        <x:v>R1S1</x:v>
      </x:c>
      <x:c r="S540" s="9" t="n">
        <x:v>25.271</x:v>
      </x:c>
      <x:c r="T540" s="9" t="n">
        <x:v>51.491</x:v>
      </x:c>
      <x:c r="U540" s="2" t="str">
        <x:v>G019</x:v>
      </x:c>
      <x:c r="V540" s="2" t="str">
        <x:v>Authorized guardian release</x:v>
      </x:c>
      <x:c r="W540" s="2" t="str">
        <x:v>Completed transport</x:v>
      </x:c>
      <x:c r="X540" s="2" t="str">
        <x:v>QR</x:v>
      </x:c>
      <x:c r="Y540" s="2" t="str">
        <x:v>Online</x:v>
      </x:c>
      <x:c r="Z540" s="2" t="str">
        <x:v>Synced</x:v>
      </x:c>
      <x:c r="AA540" s="2"/>
      <x:c r="AB540" s="2"/>
      <x:c r="AC540" s="10" t="n">
        <x:f>IF(OR(K540="",Q540=""),"",ROUND((Q540-K540)*1440,2))</x:f>
        <x:v>19</x:v>
      </x:c>
    </x:row>
    <x:row r="541" ht="21" customHeight="1">
      <x:c r="A541" s="2" t="str">
        <x:v>LN00540</x:v>
      </x:c>
      <x:c r="B541" s="2" t="str">
        <x:v>T20261006-3-1</x:v>
      </x:c>
      <x:c r="C541" s="7" t="n">
        <x:v>46301</x:v>
      </x:c>
      <x:c r="D541" s="2" t="str">
        <x:v>BUS001</x:v>
      </x:c>
      <x:c r="E541" s="2" t="str">
        <x:v>ST020</x:v>
      </x:c>
      <x:c r="F541" s="2" t="n">
        <x:v>1</x:v>
      </x:c>
      <x:c r="G541" s="2" t="str">
        <x:v>Senior</x:v>
      </x:c>
      <x:c r="H541" s="2" t="str">
        <x:v>Drop-off</x:v>
      </x:c>
      <x:c r="I541" s="2" t="str">
        <x:v>R1S2</x:v>
      </x:c>
      <x:c r="J541" s="2" t="str">
        <x:v>EV001073</x:v>
      </x:c>
      <x:c r="K541" s="8" t="n">
        <x:v>46301.57322916667</x:v>
      </x:c>
      <x:c r="L541" s="2" t="str">
        <x:v>SCH01</x:v>
      </x:c>
      <x:c r="M541" s="9" t="n">
        <x:v>25.285</x:v>
      </x:c>
      <x:c r="N541" s="9" t="n">
        <x:v>51.51</x:v>
      </x:c>
      <x:c r="O541" s="2" t="str">
        <x:v>Valid</x:v>
      </x:c>
      <x:c r="P541" s="2" t="str">
        <x:v>EV001074</x:v>
      </x:c>
      <x:c r="Q541" s="8" t="n">
        <x:v>46301.59059027778</x:v>
      </x:c>
      <x:c r="R541" s="2" t="str">
        <x:v>R1S2</x:v>
      </x:c>
      <x:c r="S541" s="9" t="n">
        <x:v>25.273000000000003</x:v>
      </x:c>
      <x:c r="T541" s="9" t="n">
        <x:v>51.494</x:v>
      </x:c>
      <x:c r="U541" s="2" t="str">
        <x:v>G020</x:v>
      </x:c>
      <x:c r="V541" s="2" t="str">
        <x:v>Authorized guardian release</x:v>
      </x:c>
      <x:c r="W541" s="2" t="str">
        <x:v>Completed transport</x:v>
      </x:c>
      <x:c r="X541" s="2" t="str">
        <x:v>QR</x:v>
      </x:c>
      <x:c r="Y541" s="2" t="str">
        <x:v>Online</x:v>
      </x:c>
      <x:c r="Z541" s="2" t="str">
        <x:v>Synced</x:v>
      </x:c>
      <x:c r="AA541" s="2"/>
      <x:c r="AB541" s="2"/>
      <x:c r="AC541" s="10" t="n">
        <x:f>IF(OR(K541="",Q541=""),"",ROUND((Q541-K541)*1440,2))</x:f>
        <x:v>25</x:v>
      </x:c>
    </x:row>
    <x:row r="542" ht="21" customHeight="1">
      <x:c r="A542" s="2" t="str">
        <x:v>LN00541</x:v>
      </x:c>
      <x:c r="B542" s="2" t="str">
        <x:v>T20261006-4-1</x:v>
      </x:c>
      <x:c r="C542" s="7" t="n">
        <x:v>46301</x:v>
      </x:c>
      <x:c r="D542" s="2" t="str">
        <x:v>BUS001</x:v>
      </x:c>
      <x:c r="E542" s="2" t="str">
        <x:v>ST021</x:v>
      </x:c>
      <x:c r="F542" s="2" t="n">
        <x:v>2</x:v>
      </x:c>
      <x:c r="G542" s="2" t="str">
        <x:v>Junior</x:v>
      </x:c>
      <x:c r="H542" s="2" t="str">
        <x:v>Drop-off</x:v>
      </x:c>
      <x:c r="I542" s="2" t="str">
        <x:v>R1S3</x:v>
      </x:c>
      <x:c r="J542" s="2" t="str">
        <x:v>EV001075</x:v>
      </x:c>
      <x:c r="K542" s="8" t="n">
        <x:v>46301.60416666667</x:v>
      </x:c>
      <x:c r="L542" s="2" t="str">
        <x:v>SCH01</x:v>
      </x:c>
      <x:c r="M542" s="9" t="n">
        <x:v>25.285</x:v>
      </x:c>
      <x:c r="N542" s="9" t="n">
        <x:v>51.51</x:v>
      </x:c>
      <x:c r="O542" s="2" t="str">
        <x:v>Valid</x:v>
      </x:c>
      <x:c r="P542" s="2" t="str">
        <x:v>EV001076</x:v>
      </x:c>
      <x:c r="Q542" s="8" t="n">
        <x:v>46301.62708333333</x:v>
      </x:c>
      <x:c r="R542" s="2" t="str">
        <x:v>R1S3</x:v>
      </x:c>
      <x:c r="S542" s="9" t="n">
        <x:v>25.275000000000002</x:v>
      </x:c>
      <x:c r="T542" s="9" t="n">
        <x:v>51.497</x:v>
      </x:c>
      <x:c r="U542" s="2" t="str">
        <x:v>G021</x:v>
      </x:c>
      <x:c r="V542" s="2" t="str">
        <x:v>Authorized guardian release</x:v>
      </x:c>
      <x:c r="W542" s="2" t="str">
        <x:v>Completed transport</x:v>
      </x:c>
      <x:c r="X542" s="2" t="str">
        <x:v>QR</x:v>
      </x:c>
      <x:c r="Y542" s="2" t="str">
        <x:v>Online</x:v>
      </x:c>
      <x:c r="Z542" s="2" t="str">
        <x:v>Synced</x:v>
      </x:c>
      <x:c r="AA542" s="2"/>
      <x:c r="AB542" s="2"/>
      <x:c r="AC542" s="10" t="n">
        <x:f>IF(OR(K542="",Q542=""),"",ROUND((Q542-K542)*1440,2))</x:f>
        <x:v>33</x:v>
      </x:c>
    </x:row>
    <x:row r="543" ht="21" customHeight="1">
      <x:c r="A543" s="2" t="str">
        <x:v>LN00542</x:v>
      </x:c>
      <x:c r="B543" s="2" t="str">
        <x:v>T20261006-4-1</x:v>
      </x:c>
      <x:c r="C543" s="7" t="n">
        <x:v>46301</x:v>
      </x:c>
      <x:c r="D543" s="2" t="str">
        <x:v>BUS001</x:v>
      </x:c>
      <x:c r="E543" s="2" t="str">
        <x:v>ST022</x:v>
      </x:c>
      <x:c r="F543" s="2" t="n">
        <x:v>2</x:v>
      </x:c>
      <x:c r="G543" s="2" t="str">
        <x:v>Junior</x:v>
      </x:c>
      <x:c r="H543" s="2" t="str">
        <x:v>Drop-off</x:v>
      </x:c>
      <x:c r="I543" s="2" t="str">
        <x:v>R1S1</x:v>
      </x:c>
      <x:c r="J543" s="2" t="str">
        <x:v>EV001077</x:v>
      </x:c>
      <x:c r="K543" s="8" t="n">
        <x:v>46301.604201388895</x:v>
      </x:c>
      <x:c r="L543" s="2" t="str">
        <x:v>SCH01</x:v>
      </x:c>
      <x:c r="M543" s="9" t="n">
        <x:v>25.285</x:v>
      </x:c>
      <x:c r="N543" s="9" t="n">
        <x:v>51.51</x:v>
      </x:c>
      <x:c r="O543" s="2" t="str">
        <x:v>Valid</x:v>
      </x:c>
      <x:c r="P543" s="2" t="str">
        <x:v>EV001078</x:v>
      </x:c>
      <x:c r="Q543" s="8" t="n">
        <x:v>46301.618784722225</x:v>
      </x:c>
      <x:c r="R543" s="2" t="str">
        <x:v>R1S1</x:v>
      </x:c>
      <x:c r="S543" s="9" t="n">
        <x:v>25.271</x:v>
      </x:c>
      <x:c r="T543" s="9" t="n">
        <x:v>51.491</x:v>
      </x:c>
      <x:c r="U543" s="2" t="str">
        <x:v>G022</x:v>
      </x:c>
      <x:c r="V543" s="2" t="str">
        <x:v>Authorized guardian release</x:v>
      </x:c>
      <x:c r="W543" s="2" t="str">
        <x:v>Completed transport</x:v>
      </x:c>
      <x:c r="X543" s="2" t="str">
        <x:v>QR</x:v>
      </x:c>
      <x:c r="Y543" s="2" t="str">
        <x:v>Online</x:v>
      </x:c>
      <x:c r="Z543" s="2" t="str">
        <x:v>Synced</x:v>
      </x:c>
      <x:c r="AA543" s="2"/>
      <x:c r="AB543" s="2"/>
      <x:c r="AC543" s="10" t="n">
        <x:f>IF(OR(K543="",Q543=""),"",ROUND((Q543-K543)*1440,2))</x:f>
        <x:v>21</x:v>
      </x:c>
    </x:row>
    <x:row r="544" ht="21" customHeight="1">
      <x:c r="A544" s="2" t="str">
        <x:v>LN00543</x:v>
      </x:c>
      <x:c r="B544" s="2" t="str">
        <x:v>T20261006-4-1</x:v>
      </x:c>
      <x:c r="C544" s="7" t="n">
        <x:v>46301</x:v>
      </x:c>
      <x:c r="D544" s="2" t="str">
        <x:v>BUS001</x:v>
      </x:c>
      <x:c r="E544" s="2" t="str">
        <x:v>ST023</x:v>
      </x:c>
      <x:c r="F544" s="2" t="n">
        <x:v>2</x:v>
      </x:c>
      <x:c r="G544" s="2" t="str">
        <x:v>Junior</x:v>
      </x:c>
      <x:c r="H544" s="2" t="str">
        <x:v>Drop-off</x:v>
      </x:c>
      <x:c r="I544" s="2" t="str">
        <x:v>R1S2</x:v>
      </x:c>
      <x:c r="J544" s="2" t="str">
        <x:v>EV001079</x:v>
      </x:c>
      <x:c r="K544" s="8" t="n">
        <x:v>46301.60423611112</x:v>
      </x:c>
      <x:c r="L544" s="2" t="str">
        <x:v>SCH01</x:v>
      </x:c>
      <x:c r="M544" s="9" t="n">
        <x:v>25.285</x:v>
      </x:c>
      <x:c r="N544" s="9" t="n">
        <x:v>51.51</x:v>
      </x:c>
      <x:c r="O544" s="2" t="str">
        <x:v>Valid</x:v>
      </x:c>
      <x:c r="P544" s="2" t="str">
        <x:v>EV001080</x:v>
      </x:c>
      <x:c r="Q544" s="8" t="n">
        <x:v>46301.62298611111</x:v>
      </x:c>
      <x:c r="R544" s="2" t="str">
        <x:v>R1S2</x:v>
      </x:c>
      <x:c r="S544" s="9" t="n">
        <x:v>25.273000000000003</x:v>
      </x:c>
      <x:c r="T544" s="9" t="n">
        <x:v>51.494</x:v>
      </x:c>
      <x:c r="U544" s="2" t="str">
        <x:v>G023</x:v>
      </x:c>
      <x:c r="V544" s="2" t="str">
        <x:v>Authorized guardian release</x:v>
      </x:c>
      <x:c r="W544" s="2" t="str">
        <x:v>Completed transport</x:v>
      </x:c>
      <x:c r="X544" s="2" t="str">
        <x:v>QR</x:v>
      </x:c>
      <x:c r="Y544" s="2" t="str">
        <x:v>Online</x:v>
      </x:c>
      <x:c r="Z544" s="2" t="str">
        <x:v>Synced</x:v>
      </x:c>
      <x:c r="AA544" s="2"/>
      <x:c r="AB544" s="2"/>
      <x:c r="AC544" s="10" t="n">
        <x:f>IF(OR(K544="",Q544=""),"",ROUND((Q544-K544)*1440,2))</x:f>
        <x:v>27</x:v>
      </x:c>
    </x:row>
    <x:row r="545" ht="21" customHeight="1">
      <x:c r="A545" s="2" t="str">
        <x:v>LN00544</x:v>
      </x:c>
      <x:c r="B545" s="2" t="str">
        <x:v>T20261006-4-1</x:v>
      </x:c>
      <x:c r="C545" s="7" t="n">
        <x:v>46301</x:v>
      </x:c>
      <x:c r="D545" s="2" t="str">
        <x:v>BUS001</x:v>
      </x:c>
      <x:c r="E545" s="2" t="str">
        <x:v>ST024</x:v>
      </x:c>
      <x:c r="F545" s="2" t="n">
        <x:v>2</x:v>
      </x:c>
      <x:c r="G545" s="2" t="str">
        <x:v>Junior</x:v>
      </x:c>
      <x:c r="H545" s="2" t="str">
        <x:v>Drop-off</x:v>
      </x:c>
      <x:c r="I545" s="2" t="str">
        <x:v>R1S3</x:v>
      </x:c>
      <x:c r="J545" s="2" t="str">
        <x:v>EV001081</x:v>
      </x:c>
      <x:c r="K545" s="8" t="n">
        <x:v>46301.60427083334</x:v>
      </x:c>
      <x:c r="L545" s="2" t="str">
        <x:v>SCH01</x:v>
      </x:c>
      <x:c r="M545" s="9" t="n">
        <x:v>25.285</x:v>
      </x:c>
      <x:c r="N545" s="9" t="n">
        <x:v>51.51</x:v>
      </x:c>
      <x:c r="O545" s="2" t="str">
        <x:v>Valid</x:v>
      </x:c>
      <x:c r="P545" s="2" t="str">
        <x:v>EV001082</x:v>
      </x:c>
      <x:c r="Q545" s="8" t="n">
        <x:v>46301.6271875</x:v>
      </x:c>
      <x:c r="R545" s="2" t="str">
        <x:v>R1S3</x:v>
      </x:c>
      <x:c r="S545" s="9" t="n">
        <x:v>25.275000000000002</x:v>
      </x:c>
      <x:c r="T545" s="9" t="n">
        <x:v>51.497</x:v>
      </x:c>
      <x:c r="U545" s="2" t="str">
        <x:v>G024</x:v>
      </x:c>
      <x:c r="V545" s="2" t="str">
        <x:v>Authorized guardian release</x:v>
      </x:c>
      <x:c r="W545" s="2" t="str">
        <x:v>Completed transport</x:v>
      </x:c>
      <x:c r="X545" s="2" t="str">
        <x:v>QR</x:v>
      </x:c>
      <x:c r="Y545" s="2" t="str">
        <x:v>Online</x:v>
      </x:c>
      <x:c r="Z545" s="2" t="str">
        <x:v>Synced</x:v>
      </x:c>
      <x:c r="AA545" s="2"/>
      <x:c r="AB545" s="2"/>
      <x:c r="AC545" s="10" t="n">
        <x:f>IF(OR(K545="",Q545=""),"",ROUND((Q545-K545)*1440,2))</x:f>
        <x:v>33</x:v>
      </x:c>
    </x:row>
    <x:row r="546" ht="21" customHeight="1">
      <x:c r="A546" s="2" t="str">
        <x:v>LN00545</x:v>
      </x:c>
      <x:c r="B546" s="2" t="str">
        <x:v>T20261006-4-1</x:v>
      </x:c>
      <x:c r="C546" s="7" t="n">
        <x:v>46301</x:v>
      </x:c>
      <x:c r="D546" s="2" t="str">
        <x:v>BUS001</x:v>
      </x:c>
      <x:c r="E546" s="2" t="str">
        <x:v>ST025</x:v>
      </x:c>
      <x:c r="F546" s="2" t="n">
        <x:v>2</x:v>
      </x:c>
      <x:c r="G546" s="2" t="str">
        <x:v>Junior</x:v>
      </x:c>
      <x:c r="H546" s="2" t="str">
        <x:v>Drop-off</x:v>
      </x:c>
      <x:c r="I546" s="2" t="str">
        <x:v>R1S1</x:v>
      </x:c>
      <x:c r="J546" s="2" t="str">
        <x:v>EV001083</x:v>
      </x:c>
      <x:c r="K546" s="8" t="n">
        <x:v>46301.604305555564</x:v>
      </x:c>
      <x:c r="L546" s="2" t="str">
        <x:v>SCH01</x:v>
      </x:c>
      <x:c r="M546" s="9" t="n">
        <x:v>25.285</x:v>
      </x:c>
      <x:c r="N546" s="9" t="n">
        <x:v>51.51</x:v>
      </x:c>
      <x:c r="O546" s="2" t="str">
        <x:v>Valid</x:v>
      </x:c>
      <x:c r="P546" s="2" t="str">
        <x:v>EV001084</x:v>
      </x:c>
      <x:c r="Q546" s="8" t="n">
        <x:v>46301.618888888894</x:v>
      </x:c>
      <x:c r="R546" s="2" t="str">
        <x:v>R1S1</x:v>
      </x:c>
      <x:c r="S546" s="9" t="n">
        <x:v>25.271</x:v>
      </x:c>
      <x:c r="T546" s="9" t="n">
        <x:v>51.491</x:v>
      </x:c>
      <x:c r="U546" s="2" t="str">
        <x:v>G025</x:v>
      </x:c>
      <x:c r="V546" s="2" t="str">
        <x:v>Authorized guardian release</x:v>
      </x:c>
      <x:c r="W546" s="2" t="str">
        <x:v>Completed transport</x:v>
      </x:c>
      <x:c r="X546" s="2" t="str">
        <x:v>QR</x:v>
      </x:c>
      <x:c r="Y546" s="2" t="str">
        <x:v>Online</x:v>
      </x:c>
      <x:c r="Z546" s="2" t="str">
        <x:v>Synced</x:v>
      </x:c>
      <x:c r="AA546" s="2"/>
      <x:c r="AB546" s="2"/>
      <x:c r="AC546" s="10" t="n">
        <x:f>IF(OR(K546="",Q546=""),"",ROUND((Q546-K546)*1440,2))</x:f>
        <x:v>21</x:v>
      </x:c>
    </x:row>
    <x:row r="547" ht="21" customHeight="1">
      <x:c r="A547" s="2" t="str">
        <x:v>LN00546</x:v>
      </x:c>
      <x:c r="B547" s="2" t="str">
        <x:v>T20261006-4-1</x:v>
      </x:c>
      <x:c r="C547" s="7" t="n">
        <x:v>46301</x:v>
      </x:c>
      <x:c r="D547" s="2" t="str">
        <x:v>BUS001</x:v>
      </x:c>
      <x:c r="E547" s="2" t="str">
        <x:v>ST026</x:v>
      </x:c>
      <x:c r="F547" s="2" t="n">
        <x:v>2</x:v>
      </x:c>
      <x:c r="G547" s="2" t="str">
        <x:v>Junior</x:v>
      </x:c>
      <x:c r="H547" s="2" t="str">
        <x:v>Drop-off</x:v>
      </x:c>
      <x:c r="I547" s="2" t="str">
        <x:v>R1S2</x:v>
      </x:c>
      <x:c r="J547" s="2" t="str">
        <x:v>EV001085</x:v>
      </x:c>
      <x:c r="K547" s="8" t="n">
        <x:v>46301.60434027778</x:v>
      </x:c>
      <x:c r="L547" s="2" t="str">
        <x:v>SCH01</x:v>
      </x:c>
      <x:c r="M547" s="9" t="n">
        <x:v>25.285</x:v>
      </x:c>
      <x:c r="N547" s="9" t="n">
        <x:v>51.51</x:v>
      </x:c>
      <x:c r="O547" s="2" t="str">
        <x:v>Valid</x:v>
      </x:c>
      <x:c r="P547" s="2" t="str">
        <x:v>EV001086</x:v>
      </x:c>
      <x:c r="Q547" s="8" t="n">
        <x:v>46301.623090277775</x:v>
      </x:c>
      <x:c r="R547" s="2" t="str">
        <x:v>R1S2</x:v>
      </x:c>
      <x:c r="S547" s="9" t="n">
        <x:v>25.273000000000003</x:v>
      </x:c>
      <x:c r="T547" s="9" t="n">
        <x:v>51.494</x:v>
      </x:c>
      <x:c r="U547" s="2" t="str">
        <x:v>G026</x:v>
      </x:c>
      <x:c r="V547" s="2" t="str">
        <x:v>Authorized guardian release</x:v>
      </x:c>
      <x:c r="W547" s="2" t="str">
        <x:v>Completed transport</x:v>
      </x:c>
      <x:c r="X547" s="2" t="str">
        <x:v>QR</x:v>
      </x:c>
      <x:c r="Y547" s="2" t="str">
        <x:v>Online</x:v>
      </x:c>
      <x:c r="Z547" s="2" t="str">
        <x:v>Synced</x:v>
      </x:c>
      <x:c r="AA547" s="2"/>
      <x:c r="AB547" s="2"/>
      <x:c r="AC547" s="10" t="n">
        <x:f>IF(OR(K547="",Q547=""),"",ROUND((Q547-K547)*1440,2))</x:f>
        <x:v>27</x:v>
      </x:c>
    </x:row>
    <x:row r="548" ht="21" customHeight="1">
      <x:c r="A548" s="2" t="str">
        <x:v>LN00547</x:v>
      </x:c>
      <x:c r="B548" s="2" t="str">
        <x:v>T20261006-4-1</x:v>
      </x:c>
      <x:c r="C548" s="7" t="n">
        <x:v>46301</x:v>
      </x:c>
      <x:c r="D548" s="2" t="str">
        <x:v>BUS001</x:v>
      </x:c>
      <x:c r="E548" s="2" t="str">
        <x:v>ST027</x:v>
      </x:c>
      <x:c r="F548" s="2" t="n">
        <x:v>2</x:v>
      </x:c>
      <x:c r="G548" s="2" t="str">
        <x:v>Junior</x:v>
      </x:c>
      <x:c r="H548" s="2" t="str">
        <x:v>Drop-off</x:v>
      </x:c>
      <x:c r="I548" s="2" t="str">
        <x:v>R1S3</x:v>
      </x:c>
      <x:c r="J548" s="2" t="str">
        <x:v>EV001087</x:v>
      </x:c>
      <x:c r="K548" s="8" t="n">
        <x:v>46301.604375</x:v>
      </x:c>
      <x:c r="L548" s="2" t="str">
        <x:v>SCH01</x:v>
      </x:c>
      <x:c r="M548" s="9" t="n">
        <x:v>25.285</x:v>
      </x:c>
      <x:c r="N548" s="9" t="n">
        <x:v>51.51</x:v>
      </x:c>
      <x:c r="O548" s="2" t="str">
        <x:v>Valid</x:v>
      </x:c>
      <x:c r="P548" s="2" t="str">
        <x:v>EV001088</x:v>
      </x:c>
      <x:c r="Q548" s="8" t="n">
        <x:v>46301.627291666664</x:v>
      </x:c>
      <x:c r="R548" s="2" t="str">
        <x:v>R1S3</x:v>
      </x:c>
      <x:c r="S548" s="9" t="n">
        <x:v>25.275000000000002</x:v>
      </x:c>
      <x:c r="T548" s="9" t="n">
        <x:v>51.497</x:v>
      </x:c>
      <x:c r="U548" s="2" t="str">
        <x:v>G027</x:v>
      </x:c>
      <x:c r="V548" s="2" t="str">
        <x:v>Authorized guardian release</x:v>
      </x:c>
      <x:c r="W548" s="2" t="str">
        <x:v>Completed transport</x:v>
      </x:c>
      <x:c r="X548" s="2" t="str">
        <x:v>QR</x:v>
      </x:c>
      <x:c r="Y548" s="2" t="str">
        <x:v>Online</x:v>
      </x:c>
      <x:c r="Z548" s="2" t="str">
        <x:v>Synced</x:v>
      </x:c>
      <x:c r="AA548" s="2"/>
      <x:c r="AB548" s="2"/>
      <x:c r="AC548" s="10" t="n">
        <x:f>IF(OR(K548="",Q548=""),"",ROUND((Q548-K548)*1440,2))</x:f>
        <x:v>33</x:v>
      </x:c>
    </x:row>
    <x:row r="549" ht="21" customHeight="1">
      <x:c r="A549" s="2" t="str">
        <x:v>LN00548</x:v>
      </x:c>
      <x:c r="B549" s="2" t="str">
        <x:v>T20261006-4-1</x:v>
      </x:c>
      <x:c r="C549" s="7" t="n">
        <x:v>46301</x:v>
      </x:c>
      <x:c r="D549" s="2" t="str">
        <x:v>BUS001</x:v>
      </x:c>
      <x:c r="E549" s="2" t="str">
        <x:v>ST028</x:v>
      </x:c>
      <x:c r="F549" s="2" t="n">
        <x:v>2</x:v>
      </x:c>
      <x:c r="G549" s="2" t="str">
        <x:v>Junior</x:v>
      </x:c>
      <x:c r="H549" s="2" t="str">
        <x:v>Drop-off</x:v>
      </x:c>
      <x:c r="I549" s="2" t="str">
        <x:v>R1S1</x:v>
      </x:c>
      <x:c r="J549" s="2" t="str">
        <x:v>EV001089</x:v>
      </x:c>
      <x:c r="K549" s="8" t="n">
        <x:v>46301.604409722226</x:v>
      </x:c>
      <x:c r="L549" s="2" t="str">
        <x:v>SCH01</x:v>
      </x:c>
      <x:c r="M549" s="9" t="n">
        <x:v>25.285</x:v>
      </x:c>
      <x:c r="N549" s="9" t="n">
        <x:v>51.51</x:v>
      </x:c>
      <x:c r="O549" s="2" t="str">
        <x:v>Valid</x:v>
      </x:c>
      <x:c r="P549" s="2" t="str">
        <x:v>EV001090</x:v>
      </x:c>
      <x:c r="Q549" s="8" t="n">
        <x:v>46301.618993055556</x:v>
      </x:c>
      <x:c r="R549" s="2" t="str">
        <x:v>R1S1</x:v>
      </x:c>
      <x:c r="S549" s="9" t="n">
        <x:v>25.271</x:v>
      </x:c>
      <x:c r="T549" s="9" t="n">
        <x:v>51.491</x:v>
      </x:c>
      <x:c r="U549" s="2" t="str">
        <x:v>G028</x:v>
      </x:c>
      <x:c r="V549" s="2" t="str">
        <x:v>Authorized guardian release</x:v>
      </x:c>
      <x:c r="W549" s="2" t="str">
        <x:v>Completed transport</x:v>
      </x:c>
      <x:c r="X549" s="2" t="str">
        <x:v>QR</x:v>
      </x:c>
      <x:c r="Y549" s="2" t="str">
        <x:v>Online</x:v>
      </x:c>
      <x:c r="Z549" s="2" t="str">
        <x:v>Synced</x:v>
      </x:c>
      <x:c r="AA549" s="2"/>
      <x:c r="AB549" s="2"/>
      <x:c r="AC549" s="10" t="n">
        <x:f>IF(OR(K549="",Q549=""),"",ROUND((Q549-K549)*1440,2))</x:f>
        <x:v>21</x:v>
      </x:c>
    </x:row>
    <x:row r="550" ht="21" customHeight="1">
      <x:c r="A550" s="2" t="str">
        <x:v>LN00549</x:v>
      </x:c>
      <x:c r="B550" s="2" t="str">
        <x:v>T20261006-4-1</x:v>
      </x:c>
      <x:c r="C550" s="7" t="n">
        <x:v>46301</x:v>
      </x:c>
      <x:c r="D550" s="2" t="str">
        <x:v>BUS001</x:v>
      </x:c>
      <x:c r="E550" s="2" t="str">
        <x:v>ST029</x:v>
      </x:c>
      <x:c r="F550" s="2" t="n">
        <x:v>2</x:v>
      </x:c>
      <x:c r="G550" s="2" t="str">
        <x:v>Junior</x:v>
      </x:c>
      <x:c r="H550" s="2" t="str">
        <x:v>Drop-off</x:v>
      </x:c>
      <x:c r="I550" s="2" t="str">
        <x:v>R1S2</x:v>
      </x:c>
      <x:c r="J550" s="2" t="str">
        <x:v>EV001091</x:v>
      </x:c>
      <x:c r="K550" s="8" t="n">
        <x:v>46301.60444444445</x:v>
      </x:c>
      <x:c r="L550" s="2" t="str">
        <x:v>SCH01</x:v>
      </x:c>
      <x:c r="M550" s="9" t="n">
        <x:v>25.285</x:v>
      </x:c>
      <x:c r="N550" s="9" t="n">
        <x:v>51.51</x:v>
      </x:c>
      <x:c r="O550" s="2" t="str">
        <x:v>Valid</x:v>
      </x:c>
      <x:c r="P550" s="2" t="str">
        <x:v>EV001092</x:v>
      </x:c>
      <x:c r="Q550" s="8" t="n">
        <x:v>46301.623194444444</x:v>
      </x:c>
      <x:c r="R550" s="2" t="str">
        <x:v>R1S2</x:v>
      </x:c>
      <x:c r="S550" s="9" t="n">
        <x:v>25.273000000000003</x:v>
      </x:c>
      <x:c r="T550" s="9" t="n">
        <x:v>51.494</x:v>
      </x:c>
      <x:c r="U550" s="2" t="str">
        <x:v>G029</x:v>
      </x:c>
      <x:c r="V550" s="2" t="str">
        <x:v>Authorized guardian release</x:v>
      </x:c>
      <x:c r="W550" s="2" t="str">
        <x:v>Completed transport</x:v>
      </x:c>
      <x:c r="X550" s="2" t="str">
        <x:v>QR</x:v>
      </x:c>
      <x:c r="Y550" s="2" t="str">
        <x:v>Online</x:v>
      </x:c>
      <x:c r="Z550" s="2" t="str">
        <x:v>Synced</x:v>
      </x:c>
      <x:c r="AA550" s="2"/>
      <x:c r="AB550" s="2"/>
      <x:c r="AC550" s="10" t="n">
        <x:f>IF(OR(K550="",Q550=""),"",ROUND((Q550-K550)*1440,2))</x:f>
        <x:v>27</x:v>
      </x:c>
    </x:row>
    <x:row r="551" ht="21" customHeight="1">
      <x:c r="A551" s="2" t="str">
        <x:v>LN00550</x:v>
      </x:c>
      <x:c r="B551" s="2" t="str">
        <x:v>T20261006-4-1</x:v>
      </x:c>
      <x:c r="C551" s="7" t="n">
        <x:v>46301</x:v>
      </x:c>
      <x:c r="D551" s="2" t="str">
        <x:v>BUS001</x:v>
      </x:c>
      <x:c r="E551" s="2" t="str">
        <x:v>ST030</x:v>
      </x:c>
      <x:c r="F551" s="2" t="n">
        <x:v>2</x:v>
      </x:c>
      <x:c r="G551" s="2" t="str">
        <x:v>Junior</x:v>
      </x:c>
      <x:c r="H551" s="2" t="str">
        <x:v>Drop-off</x:v>
      </x:c>
      <x:c r="I551" s="2" t="str">
        <x:v>R1S3</x:v>
      </x:c>
      <x:c r="J551" s="2" t="str">
        <x:v>EV001093</x:v>
      </x:c>
      <x:c r="K551" s="8" t="n">
        <x:v>46301.60447916667</x:v>
      </x:c>
      <x:c r="L551" s="2" t="str">
        <x:v>SCH01</x:v>
      </x:c>
      <x:c r="M551" s="9" t="n">
        <x:v>25.285</x:v>
      </x:c>
      <x:c r="N551" s="9" t="n">
        <x:v>51.51</x:v>
      </x:c>
      <x:c r="O551" s="2" t="str">
        <x:v>Valid</x:v>
      </x:c>
      <x:c r="P551" s="2" t="str">
        <x:v>EV001094</x:v>
      </x:c>
      <x:c r="Q551" s="8" t="n">
        <x:v>46301.62739583333</x:v>
      </x:c>
      <x:c r="R551" s="2" t="str">
        <x:v>R1S3</x:v>
      </x:c>
      <x:c r="S551" s="9" t="n">
        <x:v>25.275000000000002</x:v>
      </x:c>
      <x:c r="T551" s="9" t="n">
        <x:v>51.497</x:v>
      </x:c>
      <x:c r="U551" s="2" t="str">
        <x:v>G030</x:v>
      </x:c>
      <x:c r="V551" s="2" t="str">
        <x:v>Authorized guardian release</x:v>
      </x:c>
      <x:c r="W551" s="2" t="str">
        <x:v>Completed transport</x:v>
      </x:c>
      <x:c r="X551" s="2" t="str">
        <x:v>QR</x:v>
      </x:c>
      <x:c r="Y551" s="2" t="str">
        <x:v>Online</x:v>
      </x:c>
      <x:c r="Z551" s="2" t="str">
        <x:v>Synced</x:v>
      </x:c>
      <x:c r="AA551" s="2"/>
      <x:c r="AB551" s="2"/>
      <x:c r="AC551" s="10" t="n">
        <x:f>IF(OR(K551="",Q551=""),"",ROUND((Q551-K551)*1440,2))</x:f>
        <x:v>33</x:v>
      </x:c>
    </x:row>
    <x:row r="552" ht="21" customHeight="1">
      <x:c r="A552" s="2" t="str">
        <x:v>LN00551</x:v>
      </x:c>
      <x:c r="B552" s="2" t="str">
        <x:v>T20261006-5-1</x:v>
      </x:c>
      <x:c r="C552" s="7" t="n">
        <x:v>46301</x:v>
      </x:c>
      <x:c r="D552" s="2" t="str">
        <x:v>BUS001</x:v>
      </x:c>
      <x:c r="E552" s="2" t="str">
        <x:v>ST031</x:v>
      </x:c>
      <x:c r="F552" s="2" t="n">
        <x:v>2</x:v>
      </x:c>
      <x:c r="G552" s="2" t="str">
        <x:v>Senior</x:v>
      </x:c>
      <x:c r="H552" s="2" t="str">
        <x:v>Drop-off</x:v>
      </x:c>
      <x:c r="I552" s="2" t="str">
        <x:v>R1S1</x:v>
      </x:c>
      <x:c r="J552" s="2" t="str">
        <x:v>EV001095</x:v>
      </x:c>
      <x:c r="K552" s="8" t="n">
        <x:v>46301.70833333333</x:v>
      </x:c>
      <x:c r="L552" s="2" t="str">
        <x:v>SCH01</x:v>
      </x:c>
      <x:c r="M552" s="9" t="n">
        <x:v>25.285</x:v>
      </x:c>
      <x:c r="N552" s="9" t="n">
        <x:v>51.51</x:v>
      </x:c>
      <x:c r="O552" s="2" t="str">
        <x:v>Valid</x:v>
      </x:c>
      <x:c r="P552" s="2" t="str">
        <x:v>EV001096</x:v>
      </x:c>
      <x:c r="Q552" s="8" t="n">
        <x:v>46301.72361111111</x:v>
      </x:c>
      <x:c r="R552" s="2" t="str">
        <x:v>R1S1</x:v>
      </x:c>
      <x:c r="S552" s="9" t="n">
        <x:v>25.271</x:v>
      </x:c>
      <x:c r="T552" s="9" t="n">
        <x:v>51.491</x:v>
      </x:c>
      <x:c r="U552" s="2" t="str">
        <x:v>G031</x:v>
      </x:c>
      <x:c r="V552" s="2" t="str">
        <x:v>Authorized guardian release</x:v>
      </x:c>
      <x:c r="W552" s="2" t="str">
        <x:v>Completed transport</x:v>
      </x:c>
      <x:c r="X552" s="2" t="str">
        <x:v>QR</x:v>
      </x:c>
      <x:c r="Y552" s="2" t="str">
        <x:v>Online</x:v>
      </x:c>
      <x:c r="Z552" s="2" t="str">
        <x:v>Synced</x:v>
      </x:c>
      <x:c r="AA552" s="2"/>
      <x:c r="AB552" s="2"/>
      <x:c r="AC552" s="10" t="n">
        <x:f>IF(OR(K552="",Q552=""),"",ROUND((Q552-K552)*1440,2))</x:f>
        <x:v>22</x:v>
      </x:c>
    </x:row>
    <x:row r="553" ht="21" customHeight="1">
      <x:c r="A553" s="2" t="str">
        <x:v>LN00552</x:v>
      </x:c>
      <x:c r="B553" s="2" t="str">
        <x:v>T20261006-5-1</x:v>
      </x:c>
      <x:c r="C553" s="7" t="n">
        <x:v>46301</x:v>
      </x:c>
      <x:c r="D553" s="2" t="str">
        <x:v>BUS001</x:v>
      </x:c>
      <x:c r="E553" s="2" t="str">
        <x:v>ST032</x:v>
      </x:c>
      <x:c r="F553" s="2" t="n">
        <x:v>2</x:v>
      </x:c>
      <x:c r="G553" s="2" t="str">
        <x:v>Senior</x:v>
      </x:c>
      <x:c r="H553" s="2" t="str">
        <x:v>Drop-off</x:v>
      </x:c>
      <x:c r="I553" s="2" t="str">
        <x:v>R1S2</x:v>
      </x:c>
      <x:c r="J553" s="2" t="str">
        <x:v>EV001097</x:v>
      </x:c>
      <x:c r="K553" s="8" t="n">
        <x:v>46301.70836805555</x:v>
      </x:c>
      <x:c r="L553" s="2" t="str">
        <x:v>SCH01</x:v>
      </x:c>
      <x:c r="M553" s="9" t="n">
        <x:v>25.285</x:v>
      </x:c>
      <x:c r="N553" s="9" t="n">
        <x:v>51.51</x:v>
      </x:c>
      <x:c r="O553" s="2" t="str">
        <x:v>Valid</x:v>
      </x:c>
      <x:c r="P553" s="2" t="str">
        <x:v>EV001098</x:v>
      </x:c>
      <x:c r="Q553" s="8" t="n">
        <x:v>46301.72850694445</x:v>
      </x:c>
      <x:c r="R553" s="2" t="str">
        <x:v>R1S2</x:v>
      </x:c>
      <x:c r="S553" s="9" t="n">
        <x:v>25.273000000000003</x:v>
      </x:c>
      <x:c r="T553" s="9" t="n">
        <x:v>51.494</x:v>
      </x:c>
      <x:c r="U553" s="2" t="str">
        <x:v>G032</x:v>
      </x:c>
      <x:c r="V553" s="2" t="str">
        <x:v>Authorized guardian release</x:v>
      </x:c>
      <x:c r="W553" s="2" t="str">
        <x:v>Completed transport</x:v>
      </x:c>
      <x:c r="X553" s="2" t="str">
        <x:v>QR</x:v>
      </x:c>
      <x:c r="Y553" s="2" t="str">
        <x:v>Online</x:v>
      </x:c>
      <x:c r="Z553" s="2" t="str">
        <x:v>Synced</x:v>
      </x:c>
      <x:c r="AA553" s="2"/>
      <x:c r="AB553" s="2"/>
      <x:c r="AC553" s="10" t="n">
        <x:f>IF(OR(K553="",Q553=""),"",ROUND((Q553-K553)*1440,2))</x:f>
        <x:v>29</x:v>
      </x:c>
    </x:row>
    <x:row r="554" ht="21" customHeight="1">
      <x:c r="A554" s="2" t="str">
        <x:v>LN00553</x:v>
      </x:c>
      <x:c r="B554" s="2" t="str">
        <x:v>T20261006-5-1</x:v>
      </x:c>
      <x:c r="C554" s="7" t="n">
        <x:v>46301</x:v>
      </x:c>
      <x:c r="D554" s="2" t="str">
        <x:v>BUS001</x:v>
      </x:c>
      <x:c r="E554" s="2" t="str">
        <x:v>ST033</x:v>
      </x:c>
      <x:c r="F554" s="2" t="n">
        <x:v>2</x:v>
      </x:c>
      <x:c r="G554" s="2" t="str">
        <x:v>Senior</x:v>
      </x:c>
      <x:c r="H554" s="2" t="str">
        <x:v>Drop-off</x:v>
      </x:c>
      <x:c r="I554" s="2" t="str">
        <x:v>R1S3</x:v>
      </x:c>
      <x:c r="J554" s="2" t="str">
        <x:v>EV001099</x:v>
      </x:c>
      <x:c r="K554" s="8" t="n">
        <x:v>46301.708402777775</x:v>
      </x:c>
      <x:c r="L554" s="2" t="str">
        <x:v>SCH01</x:v>
      </x:c>
      <x:c r="M554" s="9" t="n">
        <x:v>25.285</x:v>
      </x:c>
      <x:c r="N554" s="9" t="n">
        <x:v>51.51</x:v>
      </x:c>
      <x:c r="O554" s="2" t="str">
        <x:v>Valid</x:v>
      </x:c>
      <x:c r="P554" s="2" t="str">
        <x:v>EV001100</x:v>
      </x:c>
      <x:c r="Q554" s="8" t="n">
        <x:v>46301.73340277778</x:v>
      </x:c>
      <x:c r="R554" s="2" t="str">
        <x:v>R1S3</x:v>
      </x:c>
      <x:c r="S554" s="9" t="n">
        <x:v>25.275000000000002</x:v>
      </x:c>
      <x:c r="T554" s="9" t="n">
        <x:v>51.497</x:v>
      </x:c>
      <x:c r="U554" s="2" t="str">
        <x:v>G033</x:v>
      </x:c>
      <x:c r="V554" s="2" t="str">
        <x:v>Authorized guardian release</x:v>
      </x:c>
      <x:c r="W554" s="2" t="str">
        <x:v>Completed transport</x:v>
      </x:c>
      <x:c r="X554" s="2" t="str">
        <x:v>QR</x:v>
      </x:c>
      <x:c r="Y554" s="2" t="str">
        <x:v>Online</x:v>
      </x:c>
      <x:c r="Z554" s="2" t="str">
        <x:v>Synced</x:v>
      </x:c>
      <x:c r="AA554" s="2"/>
      <x:c r="AB554" s="2"/>
      <x:c r="AC554" s="10" t="n">
        <x:f>IF(OR(K554="",Q554=""),"",ROUND((Q554-K554)*1440,2))</x:f>
        <x:v>36</x:v>
      </x:c>
    </x:row>
    <x:row r="555" ht="21" customHeight="1">
      <x:c r="A555" s="2" t="str">
        <x:v>LN00554</x:v>
      </x:c>
      <x:c r="B555" s="2" t="str">
        <x:v>T20261006-5-1</x:v>
      </x:c>
      <x:c r="C555" s="7" t="n">
        <x:v>46301</x:v>
      </x:c>
      <x:c r="D555" s="2" t="str">
        <x:v>BUS001</x:v>
      </x:c>
      <x:c r="E555" s="2" t="str">
        <x:v>ST034</x:v>
      </x:c>
      <x:c r="F555" s="2" t="n">
        <x:v>2</x:v>
      </x:c>
      <x:c r="G555" s="2" t="str">
        <x:v>Senior</x:v>
      </x:c>
      <x:c r="H555" s="2" t="str">
        <x:v>Drop-off</x:v>
      </x:c>
      <x:c r="I555" s="2" t="str">
        <x:v>R1S1</x:v>
      </x:c>
      <x:c r="J555" s="2" t="str">
        <x:v>EV001101</x:v>
      </x:c>
      <x:c r="K555" s="8" t="n">
        <x:v>46301.7084375</x:v>
      </x:c>
      <x:c r="L555" s="2" t="str">
        <x:v>SCH01</x:v>
      </x:c>
      <x:c r="M555" s="9" t="n">
        <x:v>25.285</x:v>
      </x:c>
      <x:c r="N555" s="9" t="n">
        <x:v>51.51</x:v>
      </x:c>
      <x:c r="O555" s="2" t="str">
        <x:v>Valid</x:v>
      </x:c>
      <x:c r="P555" s="2" t="str">
        <x:v>EV001102</x:v>
      </x:c>
      <x:c r="Q555" s="8" t="n">
        <x:v>46301.72371527778</x:v>
      </x:c>
      <x:c r="R555" s="2" t="str">
        <x:v>R1S1</x:v>
      </x:c>
      <x:c r="S555" s="9" t="n">
        <x:v>25.271</x:v>
      </x:c>
      <x:c r="T555" s="9" t="n">
        <x:v>51.491</x:v>
      </x:c>
      <x:c r="U555" s="2" t="str">
        <x:v>G034</x:v>
      </x:c>
      <x:c r="V555" s="2" t="str">
        <x:v>Authorized guardian release</x:v>
      </x:c>
      <x:c r="W555" s="2" t="str">
        <x:v>Completed transport</x:v>
      </x:c>
      <x:c r="X555" s="2" t="str">
        <x:v>QR</x:v>
      </x:c>
      <x:c r="Y555" s="2" t="str">
        <x:v>Online</x:v>
      </x:c>
      <x:c r="Z555" s="2" t="str">
        <x:v>Synced</x:v>
      </x:c>
      <x:c r="AA555" s="2"/>
      <x:c r="AB555" s="2"/>
      <x:c r="AC555" s="10" t="n">
        <x:f>IF(OR(K555="",Q555=""),"",ROUND((Q555-K555)*1440,2))</x:f>
        <x:v>22</x:v>
      </x:c>
    </x:row>
    <x:row r="556" ht="21" customHeight="1">
      <x:c r="A556" s="2" t="str">
        <x:v>LN00555</x:v>
      </x:c>
      <x:c r="B556" s="2" t="str">
        <x:v>T20261006-5-1</x:v>
      </x:c>
      <x:c r="C556" s="7" t="n">
        <x:v>46301</x:v>
      </x:c>
      <x:c r="D556" s="2" t="str">
        <x:v>BUS001</x:v>
      </x:c>
      <x:c r="E556" s="2" t="str">
        <x:v>ST035</x:v>
      </x:c>
      <x:c r="F556" s="2" t="n">
        <x:v>2</x:v>
      </x:c>
      <x:c r="G556" s="2" t="str">
        <x:v>Senior</x:v>
      </x:c>
      <x:c r="H556" s="2" t="str">
        <x:v>Drop-off</x:v>
      </x:c>
      <x:c r="I556" s="2" t="str">
        <x:v>R1S2</x:v>
      </x:c>
      <x:c r="J556" s="2" t="str">
        <x:v>EV001103</x:v>
      </x:c>
      <x:c r="K556" s="8" t="n">
        <x:v>46301.70847222222</x:v>
      </x:c>
      <x:c r="L556" s="2" t="str">
        <x:v>SCH01</x:v>
      </x:c>
      <x:c r="M556" s="9" t="n">
        <x:v>25.285</x:v>
      </x:c>
      <x:c r="N556" s="9" t="n">
        <x:v>51.51</x:v>
      </x:c>
      <x:c r="O556" s="2" t="str">
        <x:v>Valid</x:v>
      </x:c>
      <x:c r="P556" s="2" t="str">
        <x:v>EV001104</x:v>
      </x:c>
      <x:c r="Q556" s="8" t="n">
        <x:v>46301.72861111112</x:v>
      </x:c>
      <x:c r="R556" s="2" t="str">
        <x:v>R1S2</x:v>
      </x:c>
      <x:c r="S556" s="9" t="n">
        <x:v>25.273000000000003</x:v>
      </x:c>
      <x:c r="T556" s="9" t="n">
        <x:v>51.494</x:v>
      </x:c>
      <x:c r="U556" s="2" t="str">
        <x:v>G035</x:v>
      </x:c>
      <x:c r="V556" s="2" t="str">
        <x:v>Authorized guardian release</x:v>
      </x:c>
      <x:c r="W556" s="2" t="str">
        <x:v>Completed transport</x:v>
      </x:c>
      <x:c r="X556" s="2" t="str">
        <x:v>QR</x:v>
      </x:c>
      <x:c r="Y556" s="2" t="str">
        <x:v>Online</x:v>
      </x:c>
      <x:c r="Z556" s="2" t="str">
        <x:v>Synced</x:v>
      </x:c>
      <x:c r="AA556" s="2"/>
      <x:c r="AB556" s="2"/>
      <x:c r="AC556" s="10" t="n">
        <x:f>IF(OR(K556="",Q556=""),"",ROUND((Q556-K556)*1440,2))</x:f>
        <x:v>29</x:v>
      </x:c>
    </x:row>
    <x:row r="557" ht="21" customHeight="1">
      <x:c r="A557" s="2" t="str">
        <x:v>LN00556</x:v>
      </x:c>
      <x:c r="B557" s="2" t="str">
        <x:v>T20261006-5-1</x:v>
      </x:c>
      <x:c r="C557" s="7" t="n">
        <x:v>46301</x:v>
      </x:c>
      <x:c r="D557" s="2" t="str">
        <x:v>BUS001</x:v>
      </x:c>
      <x:c r="E557" s="2" t="str">
        <x:v>ST036</x:v>
      </x:c>
      <x:c r="F557" s="2" t="n">
        <x:v>2</x:v>
      </x:c>
      <x:c r="G557" s="2" t="str">
        <x:v>Senior</x:v>
      </x:c>
      <x:c r="H557" s="2" t="str">
        <x:v>Drop-off</x:v>
      </x:c>
      <x:c r="I557" s="2" t="str">
        <x:v>R1S3</x:v>
      </x:c>
      <x:c r="J557" s="2" t="str">
        <x:v>EV001105</x:v>
      </x:c>
      <x:c r="K557" s="8" t="n">
        <x:v>46301.70850694444</x:v>
      </x:c>
      <x:c r="L557" s="2" t="str">
        <x:v>SCH01</x:v>
      </x:c>
      <x:c r="M557" s="9" t="n">
        <x:v>25.285</x:v>
      </x:c>
      <x:c r="N557" s="9" t="n">
        <x:v>51.51</x:v>
      </x:c>
      <x:c r="O557" s="2" t="str">
        <x:v>Valid</x:v>
      </x:c>
      <x:c r="P557" s="2" t="str">
        <x:v>EV001106</x:v>
      </x:c>
      <x:c r="Q557" s="8" t="n">
        <x:v>46301.733506944445</x:v>
      </x:c>
      <x:c r="R557" s="2" t="str">
        <x:v>R1S3</x:v>
      </x:c>
      <x:c r="S557" s="9" t="n">
        <x:v>25.275000000000002</x:v>
      </x:c>
      <x:c r="T557" s="9" t="n">
        <x:v>51.497</x:v>
      </x:c>
      <x:c r="U557" s="2" t="str">
        <x:v>G036</x:v>
      </x:c>
      <x:c r="V557" s="2" t="str">
        <x:v>Authorized guardian release</x:v>
      </x:c>
      <x:c r="W557" s="2" t="str">
        <x:v>Completed transport</x:v>
      </x:c>
      <x:c r="X557" s="2" t="str">
        <x:v>QR</x:v>
      </x:c>
      <x:c r="Y557" s="2" t="str">
        <x:v>Online</x:v>
      </x:c>
      <x:c r="Z557" s="2" t="str">
        <x:v>Synced</x:v>
      </x:c>
      <x:c r="AA557" s="2"/>
      <x:c r="AB557" s="2"/>
      <x:c r="AC557" s="10" t="n">
        <x:f>IF(OR(K557="",Q557=""),"",ROUND((Q557-K557)*1440,2))</x:f>
        <x:v>36</x:v>
      </x:c>
    </x:row>
    <x:row r="558" ht="21" customHeight="1">
      <x:c r="A558" s="2" t="str">
        <x:v>LN00557</x:v>
      </x:c>
      <x:c r="B558" s="2" t="str">
        <x:v>T20261006-5-1</x:v>
      </x:c>
      <x:c r="C558" s="7" t="n">
        <x:v>46301</x:v>
      </x:c>
      <x:c r="D558" s="2" t="str">
        <x:v>BUS001</x:v>
      </x:c>
      <x:c r="E558" s="2" t="str">
        <x:v>ST037</x:v>
      </x:c>
      <x:c r="F558" s="2" t="n">
        <x:v>2</x:v>
      </x:c>
      <x:c r="G558" s="2" t="str">
        <x:v>Senior</x:v>
      </x:c>
      <x:c r="H558" s="2" t="str">
        <x:v>Drop-off</x:v>
      </x:c>
      <x:c r="I558" s="2" t="str">
        <x:v>R1S1</x:v>
      </x:c>
      <x:c r="J558" s="2" t="str">
        <x:v>EV001107</x:v>
      </x:c>
      <x:c r="K558" s="8" t="n">
        <x:v>46301.70854166666</x:v>
      </x:c>
      <x:c r="L558" s="2" t="str">
        <x:v>SCH01</x:v>
      </x:c>
      <x:c r="M558" s="9" t="n">
        <x:v>25.285</x:v>
      </x:c>
      <x:c r="N558" s="9" t="n">
        <x:v>51.51</x:v>
      </x:c>
      <x:c r="O558" s="2" t="str">
        <x:v>Valid</x:v>
      </x:c>
      <x:c r="P558" s="2" t="str">
        <x:v>EV001108</x:v>
      </x:c>
      <x:c r="Q558" s="8" t="n">
        <x:v>46301.72381944444</x:v>
      </x:c>
      <x:c r="R558" s="2" t="str">
        <x:v>R1S1</x:v>
      </x:c>
      <x:c r="S558" s="9" t="n">
        <x:v>25.271</x:v>
      </x:c>
      <x:c r="T558" s="9" t="n">
        <x:v>51.491</x:v>
      </x:c>
      <x:c r="U558" s="2" t="str">
        <x:v>G037</x:v>
      </x:c>
      <x:c r="V558" s="2" t="str">
        <x:v>Authorized guardian release</x:v>
      </x:c>
      <x:c r="W558" s="2" t="str">
        <x:v>Completed transport</x:v>
      </x:c>
      <x:c r="X558" s="2" t="str">
        <x:v>QR</x:v>
      </x:c>
      <x:c r="Y558" s="2" t="str">
        <x:v>Online</x:v>
      </x:c>
      <x:c r="Z558" s="2" t="str">
        <x:v>Synced</x:v>
      </x:c>
      <x:c r="AA558" s="2"/>
      <x:c r="AB558" s="2"/>
      <x:c r="AC558" s="10" t="n">
        <x:f>IF(OR(K558="",Q558=""),"",ROUND((Q558-K558)*1440,2))</x:f>
        <x:v>22</x:v>
      </x:c>
    </x:row>
    <x:row r="559" ht="21" customHeight="1">
      <x:c r="A559" s="2" t="str">
        <x:v>LN00558</x:v>
      </x:c>
      <x:c r="B559" s="2" t="str">
        <x:v>T20261006-5-1</x:v>
      </x:c>
      <x:c r="C559" s="7" t="n">
        <x:v>46301</x:v>
      </x:c>
      <x:c r="D559" s="2" t="str">
        <x:v>BUS001</x:v>
      </x:c>
      <x:c r="E559" s="2" t="str">
        <x:v>ST038</x:v>
      </x:c>
      <x:c r="F559" s="2" t="n">
        <x:v>2</x:v>
      </x:c>
      <x:c r="G559" s="2" t="str">
        <x:v>Senior</x:v>
      </x:c>
      <x:c r="H559" s="2" t="str">
        <x:v>Drop-off</x:v>
      </x:c>
      <x:c r="I559" s="2" t="str">
        <x:v>R1S2</x:v>
      </x:c>
      <x:c r="J559" s="2" t="str">
        <x:v>EV001109</x:v>
      </x:c>
      <x:c r="K559" s="8" t="n">
        <x:v>46301.70857638888</x:v>
      </x:c>
      <x:c r="L559" s="2" t="str">
        <x:v>SCH01</x:v>
      </x:c>
      <x:c r="M559" s="9" t="n">
        <x:v>25.285</x:v>
      </x:c>
      <x:c r="N559" s="9" t="n">
        <x:v>51.51</x:v>
      </x:c>
      <x:c r="O559" s="2" t="str">
        <x:v>Valid</x:v>
      </x:c>
      <x:c r="P559" s="2" t="str">
        <x:v>EV001110</x:v>
      </x:c>
      <x:c r="Q559" s="8" t="n">
        <x:v>46301.72871527778</x:v>
      </x:c>
      <x:c r="R559" s="2" t="str">
        <x:v>R1S2</x:v>
      </x:c>
      <x:c r="S559" s="9" t="n">
        <x:v>25.273000000000003</x:v>
      </x:c>
      <x:c r="T559" s="9" t="n">
        <x:v>51.494</x:v>
      </x:c>
      <x:c r="U559" s="2" t="str">
        <x:v>G038</x:v>
      </x:c>
      <x:c r="V559" s="2" t="str">
        <x:v>Authorized guardian release</x:v>
      </x:c>
      <x:c r="W559" s="2" t="str">
        <x:v>Completed transport</x:v>
      </x:c>
      <x:c r="X559" s="2" t="str">
        <x:v>QR</x:v>
      </x:c>
      <x:c r="Y559" s="2" t="str">
        <x:v>Online</x:v>
      </x:c>
      <x:c r="Z559" s="2" t="str">
        <x:v>Synced</x:v>
      </x:c>
      <x:c r="AA559" s="2"/>
      <x:c r="AB559" s="2"/>
      <x:c r="AC559" s="10" t="n">
        <x:f>IF(OR(K559="",Q559=""),"",ROUND((Q559-K559)*1440,2))</x:f>
        <x:v>29</x:v>
      </x:c>
    </x:row>
    <x:row r="560" ht="21" customHeight="1">
      <x:c r="A560" s="2" t="str">
        <x:v>LN00559</x:v>
      </x:c>
      <x:c r="B560" s="2" t="str">
        <x:v>T20261006-5-1</x:v>
      </x:c>
      <x:c r="C560" s="7" t="n">
        <x:v>46301</x:v>
      </x:c>
      <x:c r="D560" s="2" t="str">
        <x:v>BUS001</x:v>
      </x:c>
      <x:c r="E560" s="2" t="str">
        <x:v>ST039</x:v>
      </x:c>
      <x:c r="F560" s="2" t="n">
        <x:v>2</x:v>
      </x:c>
      <x:c r="G560" s="2" t="str">
        <x:v>Senior</x:v>
      </x:c>
      <x:c r="H560" s="2" t="str">
        <x:v>Drop-off</x:v>
      </x:c>
      <x:c r="I560" s="2" t="str">
        <x:v>R1S3</x:v>
      </x:c>
      <x:c r="J560" s="2" t="str">
        <x:v>EV001111</x:v>
      </x:c>
      <x:c r="K560" s="8" t="n">
        <x:v>46301.708611111106</x:v>
      </x:c>
      <x:c r="L560" s="2" t="str">
        <x:v>SCH01</x:v>
      </x:c>
      <x:c r="M560" s="9" t="n">
        <x:v>25.285</x:v>
      </x:c>
      <x:c r="N560" s="9" t="n">
        <x:v>51.51</x:v>
      </x:c>
      <x:c r="O560" s="2" t="str">
        <x:v>Valid</x:v>
      </x:c>
      <x:c r="P560" s="2" t="str">
        <x:v>EV001112</x:v>
      </x:c>
      <x:c r="Q560" s="8" t="n">
        <x:v>46301.733611111114</x:v>
      </x:c>
      <x:c r="R560" s="2" t="str">
        <x:v>R1S3</x:v>
      </x:c>
      <x:c r="S560" s="9" t="n">
        <x:v>25.275000000000002</x:v>
      </x:c>
      <x:c r="T560" s="9" t="n">
        <x:v>51.497</x:v>
      </x:c>
      <x:c r="U560" s="2" t="str">
        <x:v>G039</x:v>
      </x:c>
      <x:c r="V560" s="2" t="str">
        <x:v>Authorized guardian release</x:v>
      </x:c>
      <x:c r="W560" s="2" t="str">
        <x:v>Completed transport</x:v>
      </x:c>
      <x:c r="X560" s="2" t="str">
        <x:v>QR</x:v>
      </x:c>
      <x:c r="Y560" s="2" t="str">
        <x:v>Online</x:v>
      </x:c>
      <x:c r="Z560" s="2" t="str">
        <x:v>Synced</x:v>
      </x:c>
      <x:c r="AA560" s="2"/>
      <x:c r="AB560" s="2"/>
      <x:c r="AC560" s="10" t="n">
        <x:f>IF(OR(K560="",Q560=""),"",ROUND((Q560-K560)*1440,2))</x:f>
        <x:v>36</x:v>
      </x:c>
    </x:row>
    <x:row r="561" ht="21" customHeight="1">
      <x:c r="A561" s="2" t="str">
        <x:v>LN00560</x:v>
      </x:c>
      <x:c r="B561" s="2" t="str">
        <x:v>T20261006-5-1</x:v>
      </x:c>
      <x:c r="C561" s="7" t="n">
        <x:v>46301</x:v>
      </x:c>
      <x:c r="D561" s="2" t="str">
        <x:v>BUS001</x:v>
      </x:c>
      <x:c r="E561" s="2" t="str">
        <x:v>ST040</x:v>
      </x:c>
      <x:c r="F561" s="2" t="n">
        <x:v>2</x:v>
      </x:c>
      <x:c r="G561" s="2" t="str">
        <x:v>Senior</x:v>
      </x:c>
      <x:c r="H561" s="2" t="str">
        <x:v>Drop-off</x:v>
      </x:c>
      <x:c r="I561" s="2" t="str">
        <x:v>R1S1</x:v>
      </x:c>
      <x:c r="J561" s="2" t="str">
        <x:v>EV001113</x:v>
      </x:c>
      <x:c r="K561" s="8" t="n">
        <x:v>46301.70864583333</x:v>
      </x:c>
      <x:c r="L561" s="2" t="str">
        <x:v>SCH01</x:v>
      </x:c>
      <x:c r="M561" s="9" t="n">
        <x:v>25.285</x:v>
      </x:c>
      <x:c r="N561" s="9" t="n">
        <x:v>51.51</x:v>
      </x:c>
      <x:c r="O561" s="2" t="str">
        <x:v>Valid</x:v>
      </x:c>
      <x:c r="P561" s="2" t="str">
        <x:v>EV001114</x:v>
      </x:c>
      <x:c r="Q561" s="8" t="n">
        <x:v>46301.72392361111</x:v>
      </x:c>
      <x:c r="R561" s="2" t="str">
        <x:v>R1S1</x:v>
      </x:c>
      <x:c r="S561" s="9" t="n">
        <x:v>25.271</x:v>
      </x:c>
      <x:c r="T561" s="9" t="n">
        <x:v>51.491</x:v>
      </x:c>
      <x:c r="U561" s="2" t="str">
        <x:v>G040</x:v>
      </x:c>
      <x:c r="V561" s="2" t="str">
        <x:v>Authorized guardian release</x:v>
      </x:c>
      <x:c r="W561" s="2" t="str">
        <x:v>Completed transport</x:v>
      </x:c>
      <x:c r="X561" s="2" t="str">
        <x:v>QR</x:v>
      </x:c>
      <x:c r="Y561" s="2" t="str">
        <x:v>Online</x:v>
      </x:c>
      <x:c r="Z561" s="2" t="str">
        <x:v>Synced</x:v>
      </x:c>
      <x:c r="AA561" s="2"/>
      <x:c r="AB561" s="2"/>
      <x:c r="AC561" s="10" t="n">
        <x:f>IF(OR(K561="",Q561=""),"",ROUND((Q561-K561)*1440,2))</x:f>
        <x:v>22</x:v>
      </x:c>
    </x:row>
    <x:row r="562" ht="21" customHeight="1">
      <x:c r="A562" s="2" t="str">
        <x:v>LN00561</x:v>
      </x:c>
      <x:c r="B562" s="2" t="str">
        <x:v>T20261006-1-2</x:v>
      </x:c>
      <x:c r="C562" s="7" t="n">
        <x:v>46301</x:v>
      </x:c>
      <x:c r="D562" s="2" t="str">
        <x:v>BUS002</x:v>
      </x:c>
      <x:c r="E562" s="2" t="str">
        <x:v>ST041</x:v>
      </x:c>
      <x:c r="F562" s="2" t="n">
        <x:v>1</x:v>
      </x:c>
      <x:c r="G562" s="2" t="str">
        <x:v>Junior</x:v>
      </x:c>
      <x:c r="H562" s="2" t="str">
        <x:v>Pickup</x:v>
      </x:c>
      <x:c r="I562" s="2" t="str">
        <x:v>R2S1</x:v>
      </x:c>
      <x:c r="J562" s="2" t="str">
        <x:v>EV001115</x:v>
      </x:c>
      <x:c r="K562" s="8" t="n">
        <x:v>46301.242361111115</x:v>
      </x:c>
      <x:c r="L562" s="2" t="str">
        <x:v>R2S1</x:v>
      </x:c>
      <x:c r="M562" s="9" t="n">
        <x:v>25.28</x:v>
      </x:c>
      <x:c r="N562" s="9" t="n">
        <x:v>51.498999999999995</x:v>
      </x:c>
      <x:c r="O562" s="2" t="str">
        <x:v>Valid</x:v>
      </x:c>
      <x:c r="P562" s="2" t="str">
        <x:v>EV001116</x:v>
      </x:c>
      <x:c r="Q562" s="8" t="n">
        <x:v>46301.27638888889</x:v>
      </x:c>
      <x:c r="R562" s="2" t="str">
        <x:v>SCH01</x:v>
      </x:c>
      <x:c r="S562" s="9" t="n">
        <x:v>25.285</x:v>
      </x:c>
      <x:c r="T562" s="9" t="n">
        <x:v>51.51</x:v>
      </x:c>
      <x:c r="U562" s="2" t="str">
        <x:v>SCHOOL_RECEIVER_01</x:v>
      </x:c>
      <x:c r="V562" s="2" t="str">
        <x:v>School staff receipt</x:v>
      </x:c>
      <x:c r="W562" s="2" t="str">
        <x:v>Completed transport</x:v>
      </x:c>
      <x:c r="X562" s="2" t="str">
        <x:v>QR</x:v>
      </x:c>
      <x:c r="Y562" s="2" t="str">
        <x:v>Online</x:v>
      </x:c>
      <x:c r="Z562" s="2" t="str">
        <x:v>Synced</x:v>
      </x:c>
      <x:c r="AA562" s="2"/>
      <x:c r="AB562" s="2"/>
      <x:c r="AC562" s="10" t="n">
        <x:f>IF(OR(K562="",Q562=""),"",ROUND((Q562-K562)*1440,2))</x:f>
        <x:v>49</x:v>
      </x:c>
    </x:row>
    <x:row r="563" ht="21" customHeight="1">
      <x:c r="A563" s="2" t="str">
        <x:v>LN00562</x:v>
      </x:c>
      <x:c r="B563" s="2" t="str">
        <x:v>T20261006-1-2</x:v>
      </x:c>
      <x:c r="C563" s="7" t="n">
        <x:v>46301</x:v>
      </x:c>
      <x:c r="D563" s="2" t="str">
        <x:v>BUS002</x:v>
      </x:c>
      <x:c r="E563" s="2" t="str">
        <x:v>ST042</x:v>
      </x:c>
      <x:c r="F563" s="2" t="n">
        <x:v>1</x:v>
      </x:c>
      <x:c r="G563" s="2" t="str">
        <x:v>Junior</x:v>
      </x:c>
      <x:c r="H563" s="2" t="str">
        <x:v>Pickup</x:v>
      </x:c>
      <x:c r="I563" s="2" t="str">
        <x:v>R2S2</x:v>
      </x:c>
      <x:c r="J563" s="2" t="str">
        <x:v>EV001117</x:v>
      </x:c>
      <x:c r="K563" s="8" t="n">
        <x:v>46301.24725694444</x:v>
      </x:c>
      <x:c r="L563" s="2" t="str">
        <x:v>R2S2</x:v>
      </x:c>
      <x:c r="M563" s="9" t="n">
        <x:v>25.282000000000004</x:v>
      </x:c>
      <x:c r="N563" s="9" t="n">
        <x:v>51.501999999999995</x:v>
      </x:c>
      <x:c r="O563" s="2" t="str">
        <x:v>Valid</x:v>
      </x:c>
      <x:c r="P563" s="2" t="str">
        <x:v>EV001118</x:v>
      </x:c>
      <x:c r="Q563" s="8" t="n">
        <x:v>46301.27642361111</x:v>
      </x:c>
      <x:c r="R563" s="2" t="str">
        <x:v>SCH01</x:v>
      </x:c>
      <x:c r="S563" s="9" t="n">
        <x:v>25.285</x:v>
      </x:c>
      <x:c r="T563" s="9" t="n">
        <x:v>51.51</x:v>
      </x:c>
      <x:c r="U563" s="2" t="str">
        <x:v>SCHOOL_RECEIVER_01</x:v>
      </x:c>
      <x:c r="V563" s="2" t="str">
        <x:v>School staff receipt</x:v>
      </x:c>
      <x:c r="W563" s="2" t="str">
        <x:v>Completed transport</x:v>
      </x:c>
      <x:c r="X563" s="2" t="str">
        <x:v>QR</x:v>
      </x:c>
      <x:c r="Y563" s="2" t="str">
        <x:v>Online</x:v>
      </x:c>
      <x:c r="Z563" s="2" t="str">
        <x:v>Synced</x:v>
      </x:c>
      <x:c r="AA563" s="2"/>
      <x:c r="AB563" s="2"/>
      <x:c r="AC563" s="10" t="n">
        <x:f>IF(OR(K563="",Q563=""),"",ROUND((Q563-K563)*1440,2))</x:f>
        <x:v>42</x:v>
      </x:c>
    </x:row>
    <x:row r="564" ht="21" customHeight="1">
      <x:c r="A564" s="2" t="str">
        <x:v>LN00563</x:v>
      </x:c>
      <x:c r="B564" s="2" t="str">
        <x:v>T20261006-1-2</x:v>
      </x:c>
      <x:c r="C564" s="7" t="n">
        <x:v>46301</x:v>
      </x:c>
      <x:c r="D564" s="2" t="str">
        <x:v>BUS002</x:v>
      </x:c>
      <x:c r="E564" s="2" t="str">
        <x:v>ST043</x:v>
      </x:c>
      <x:c r="F564" s="2" t="n">
        <x:v>1</x:v>
      </x:c>
      <x:c r="G564" s="2" t="str">
        <x:v>Junior</x:v>
      </x:c>
      <x:c r="H564" s="2" t="str">
        <x:v>Pickup</x:v>
      </x:c>
      <x:c r="I564" s="2" t="str">
        <x:v>R2S3</x:v>
      </x:c>
      <x:c r="J564" s="2" t="str">
        <x:v>EV001119</x:v>
      </x:c>
      <x:c r="K564" s="8" t="n">
        <x:v>46301.25215277778</x:v>
      </x:c>
      <x:c r="L564" s="2" t="str">
        <x:v>R2S3</x:v>
      </x:c>
      <x:c r="M564" s="9" t="n">
        <x:v>25.284000000000002</x:v>
      </x:c>
      <x:c r="N564" s="9" t="n">
        <x:v>51.504999999999995</x:v>
      </x:c>
      <x:c r="O564" s="2" t="str">
        <x:v>Valid</x:v>
      </x:c>
      <x:c r="P564" s="2" t="str">
        <x:v>EV001120</x:v>
      </x:c>
      <x:c r="Q564" s="8" t="n">
        <x:v>46301.276458333334</x:v>
      </x:c>
      <x:c r="R564" s="2" t="str">
        <x:v>SCH01</x:v>
      </x:c>
      <x:c r="S564" s="9" t="n">
        <x:v>25.285</x:v>
      </x:c>
      <x:c r="T564" s="9" t="n">
        <x:v>51.51</x:v>
      </x:c>
      <x:c r="U564" s="2" t="str">
        <x:v>SCHOOL_RECEIVER_01</x:v>
      </x:c>
      <x:c r="V564" s="2" t="str">
        <x:v>School staff receipt</x:v>
      </x:c>
      <x:c r="W564" s="2" t="str">
        <x:v>Completed transport</x:v>
      </x:c>
      <x:c r="X564" s="2" t="str">
        <x:v>QR</x:v>
      </x:c>
      <x:c r="Y564" s="2" t="str">
        <x:v>Online</x:v>
      </x:c>
      <x:c r="Z564" s="2" t="str">
        <x:v>Synced</x:v>
      </x:c>
      <x:c r="AA564" s="2"/>
      <x:c r="AB564" s="2"/>
      <x:c r="AC564" s="10" t="n">
        <x:f>IF(OR(K564="",Q564=""),"",ROUND((Q564-K564)*1440,2))</x:f>
        <x:v>35</x:v>
      </x:c>
    </x:row>
    <x:row r="565" ht="21" customHeight="1">
      <x:c r="A565" s="2" t="str">
        <x:v>LN00564</x:v>
      </x:c>
      <x:c r="B565" s="2" t="str">
        <x:v>T20261006-1-2</x:v>
      </x:c>
      <x:c r="C565" s="7" t="n">
        <x:v>46301</x:v>
      </x:c>
      <x:c r="D565" s="2" t="str">
        <x:v>BUS002</x:v>
      </x:c>
      <x:c r="E565" s="2" t="str">
        <x:v>ST044</x:v>
      </x:c>
      <x:c r="F565" s="2" t="n">
        <x:v>1</x:v>
      </x:c>
      <x:c r="G565" s="2" t="str">
        <x:v>Junior</x:v>
      </x:c>
      <x:c r="H565" s="2" t="str">
        <x:v>Pickup</x:v>
      </x:c>
      <x:c r="I565" s="2" t="str">
        <x:v>R2S1</x:v>
      </x:c>
      <x:c r="J565" s="2" t="str">
        <x:v>EV001121</x:v>
      </x:c>
      <x:c r="K565" s="8" t="n">
        <x:v>46301.242465277785</x:v>
      </x:c>
      <x:c r="L565" s="2" t="str">
        <x:v>R2S1</x:v>
      </x:c>
      <x:c r="M565" s="9" t="n">
        <x:v>25.28</x:v>
      </x:c>
      <x:c r="N565" s="9" t="n">
        <x:v>51.498999999999995</x:v>
      </x:c>
      <x:c r="O565" s="2" t="str">
        <x:v>Valid</x:v>
      </x:c>
      <x:c r="P565" s="2" t="str">
        <x:v>EV001122</x:v>
      </x:c>
      <x:c r="Q565" s="8" t="n">
        <x:v>46301.27649305556</x:v>
      </x:c>
      <x:c r="R565" s="2" t="str">
        <x:v>SCH01</x:v>
      </x:c>
      <x:c r="S565" s="9" t="n">
        <x:v>25.285</x:v>
      </x:c>
      <x:c r="T565" s="9" t="n">
        <x:v>51.51</x:v>
      </x:c>
      <x:c r="U565" s="2" t="str">
        <x:v>SCHOOL_RECEIVER_01</x:v>
      </x:c>
      <x:c r="V565" s="2" t="str">
        <x:v>School staff receipt</x:v>
      </x:c>
      <x:c r="W565" s="2" t="str">
        <x:v>Completed transport</x:v>
      </x:c>
      <x:c r="X565" s="2" t="str">
        <x:v>QR</x:v>
      </x:c>
      <x:c r="Y565" s="2" t="str">
        <x:v>Online</x:v>
      </x:c>
      <x:c r="Z565" s="2" t="str">
        <x:v>Synced</x:v>
      </x:c>
      <x:c r="AA565" s="2"/>
      <x:c r="AB565" s="2"/>
      <x:c r="AC565" s="10" t="n">
        <x:f>IF(OR(K565="",Q565=""),"",ROUND((Q565-K565)*1440,2))</x:f>
        <x:v>49</x:v>
      </x:c>
    </x:row>
    <x:row r="566" ht="21" customHeight="1">
      <x:c r="A566" s="2" t="str">
        <x:v>LN00565</x:v>
      </x:c>
      <x:c r="B566" s="2" t="str">
        <x:v>T20261006-1-2</x:v>
      </x:c>
      <x:c r="C566" s="7" t="n">
        <x:v>46301</x:v>
      </x:c>
      <x:c r="D566" s="2" t="str">
        <x:v>BUS002</x:v>
      </x:c>
      <x:c r="E566" s="2" t="str">
        <x:v>ST045</x:v>
      </x:c>
      <x:c r="F566" s="2" t="n">
        <x:v>1</x:v>
      </x:c>
      <x:c r="G566" s="2" t="str">
        <x:v>Junior</x:v>
      </x:c>
      <x:c r="H566" s="2" t="str">
        <x:v>Pickup</x:v>
      </x:c>
      <x:c r="I566" s="2" t="str">
        <x:v>R2S2</x:v>
      </x:c>
      <x:c r="J566" s="2" t="str">
        <x:v>EV001123</x:v>
      </x:c>
      <x:c r="K566" s="8" t="n">
        <x:v>46301.24736111111</x:v>
      </x:c>
      <x:c r="L566" s="2" t="str">
        <x:v>R2S2</x:v>
      </x:c>
      <x:c r="M566" s="9" t="n">
        <x:v>25.282000000000004</x:v>
      </x:c>
      <x:c r="N566" s="9" t="n">
        <x:v>51.501999999999995</x:v>
      </x:c>
      <x:c r="O566" s="2" t="str">
        <x:v>Valid</x:v>
      </x:c>
      <x:c r="P566" s="2" t="str">
        <x:v>EV001124</x:v>
      </x:c>
      <x:c r="Q566" s="8" t="n">
        <x:v>46301.27652777778</x:v>
      </x:c>
      <x:c r="R566" s="2" t="str">
        <x:v>SCH01</x:v>
      </x:c>
      <x:c r="S566" s="9" t="n">
        <x:v>25.285</x:v>
      </x:c>
      <x:c r="T566" s="9" t="n">
        <x:v>51.51</x:v>
      </x:c>
      <x:c r="U566" s="2" t="str">
        <x:v>SCHOOL_RECEIVER_01</x:v>
      </x:c>
      <x:c r="V566" s="2" t="str">
        <x:v>School staff receipt</x:v>
      </x:c>
      <x:c r="W566" s="2" t="str">
        <x:v>Completed transport</x:v>
      </x:c>
      <x:c r="X566" s="2" t="str">
        <x:v>QR</x:v>
      </x:c>
      <x:c r="Y566" s="2" t="str">
        <x:v>Online</x:v>
      </x:c>
      <x:c r="Z566" s="2" t="str">
        <x:v>Synced</x:v>
      </x:c>
      <x:c r="AA566" s="2"/>
      <x:c r="AB566" s="2"/>
      <x:c r="AC566" s="10" t="n">
        <x:f>IF(OR(K566="",Q566=""),"",ROUND((Q566-K566)*1440,2))</x:f>
        <x:v>42</x:v>
      </x:c>
    </x:row>
    <x:row r="567" ht="21" customHeight="1">
      <x:c r="A567" s="2" t="str">
        <x:v>LN00566</x:v>
      </x:c>
      <x:c r="B567" s="2" t="str">
        <x:v>T20261006-1-2</x:v>
      </x:c>
      <x:c r="C567" s="7" t="n">
        <x:v>46301</x:v>
      </x:c>
      <x:c r="D567" s="2" t="str">
        <x:v>BUS002</x:v>
      </x:c>
      <x:c r="E567" s="2" t="str">
        <x:v>ST046</x:v>
      </x:c>
      <x:c r="F567" s="2" t="n">
        <x:v>1</x:v>
      </x:c>
      <x:c r="G567" s="2" t="str">
        <x:v>Junior</x:v>
      </x:c>
      <x:c r="H567" s="2" t="str">
        <x:v>Pickup</x:v>
      </x:c>
      <x:c r="I567" s="2" t="str">
        <x:v>R2S3</x:v>
      </x:c>
      <x:c r="J567" s="2" t="str">
        <x:v>EV001125</x:v>
      </x:c>
      <x:c r="K567" s="8" t="n">
        <x:v>46301.25225694444</x:v>
      </x:c>
      <x:c r="L567" s="2" t="str">
        <x:v>R2S3</x:v>
      </x:c>
      <x:c r="M567" s="9" t="n">
        <x:v>25.284000000000002</x:v>
      </x:c>
      <x:c r="N567" s="9" t="n">
        <x:v>51.504999999999995</x:v>
      </x:c>
      <x:c r="O567" s="2" t="str">
        <x:v>Valid</x:v>
      </x:c>
      <x:c r="P567" s="2" t="str">
        <x:v>EV001126</x:v>
      </x:c>
      <x:c r="Q567" s="8" t="n">
        <x:v>46301.276562499996</x:v>
      </x:c>
      <x:c r="R567" s="2" t="str">
        <x:v>SCH01</x:v>
      </x:c>
      <x:c r="S567" s="9" t="n">
        <x:v>25.285</x:v>
      </x:c>
      <x:c r="T567" s="9" t="n">
        <x:v>51.51</x:v>
      </x:c>
      <x:c r="U567" s="2" t="str">
        <x:v>SCHOOL_RECEIVER_01</x:v>
      </x:c>
      <x:c r="V567" s="2" t="str">
        <x:v>School staff receipt</x:v>
      </x:c>
      <x:c r="W567" s="2" t="str">
        <x:v>Completed transport</x:v>
      </x:c>
      <x:c r="X567" s="2" t="str">
        <x:v>QR</x:v>
      </x:c>
      <x:c r="Y567" s="2" t="str">
        <x:v>Online</x:v>
      </x:c>
      <x:c r="Z567" s="2" t="str">
        <x:v>Synced</x:v>
      </x:c>
      <x:c r="AA567" s="2"/>
      <x:c r="AB567" s="2"/>
      <x:c r="AC567" s="10" t="n">
        <x:f>IF(OR(K567="",Q567=""),"",ROUND((Q567-K567)*1440,2))</x:f>
        <x:v>35</x:v>
      </x:c>
    </x:row>
    <x:row r="568" ht="21" customHeight="1">
      <x:c r="A568" s="2" t="str">
        <x:v>LN00567</x:v>
      </x:c>
      <x:c r="B568" s="2" t="str">
        <x:v>T20261006-1-2</x:v>
      </x:c>
      <x:c r="C568" s="7" t="n">
        <x:v>46301</x:v>
      </x:c>
      <x:c r="D568" s="2" t="str">
        <x:v>BUS002</x:v>
      </x:c>
      <x:c r="E568" s="2" t="str">
        <x:v>ST047</x:v>
      </x:c>
      <x:c r="F568" s="2" t="n">
        <x:v>1</x:v>
      </x:c>
      <x:c r="G568" s="2" t="str">
        <x:v>Junior</x:v>
      </x:c>
      <x:c r="H568" s="2" t="str">
        <x:v>Pickup</x:v>
      </x:c>
      <x:c r="I568" s="2" t="str">
        <x:v>R2S1</x:v>
      </x:c>
      <x:c r="J568" s="2" t="str">
        <x:v>EV001127</x:v>
      </x:c>
      <x:c r="K568" s="8" t="n">
        <x:v>46301.24256944445</x:v>
      </x:c>
      <x:c r="L568" s="2" t="str">
        <x:v>R2S1</x:v>
      </x:c>
      <x:c r="M568" s="9" t="n">
        <x:v>25.28</x:v>
      </x:c>
      <x:c r="N568" s="9" t="n">
        <x:v>51.498999999999995</x:v>
      </x:c>
      <x:c r="O568" s="2" t="str">
        <x:v>Valid</x:v>
      </x:c>
      <x:c r="P568" s="2" t="str">
        <x:v>EV001128</x:v>
      </x:c>
      <x:c r="Q568" s="8" t="n">
        <x:v>46301.27659722222</x:v>
      </x:c>
      <x:c r="R568" s="2" t="str">
        <x:v>SCH01</x:v>
      </x:c>
      <x:c r="S568" s="9" t="n">
        <x:v>25.285</x:v>
      </x:c>
      <x:c r="T568" s="9" t="n">
        <x:v>51.51</x:v>
      </x:c>
      <x:c r="U568" s="2" t="str">
        <x:v>SCHOOL_RECEIVER_01</x:v>
      </x:c>
      <x:c r="V568" s="2" t="str">
        <x:v>School staff receipt</x:v>
      </x:c>
      <x:c r="W568" s="2" t="str">
        <x:v>Completed transport</x:v>
      </x:c>
      <x:c r="X568" s="2" t="str">
        <x:v>QR</x:v>
      </x:c>
      <x:c r="Y568" s="2" t="str">
        <x:v>Online</x:v>
      </x:c>
      <x:c r="Z568" s="2" t="str">
        <x:v>Synced</x:v>
      </x:c>
      <x:c r="AA568" s="2"/>
      <x:c r="AB568" s="2"/>
      <x:c r="AC568" s="10" t="n">
        <x:f>IF(OR(K568="",Q568=""),"",ROUND((Q568-K568)*1440,2))</x:f>
        <x:v>49</x:v>
      </x:c>
    </x:row>
    <x:row r="569" ht="21" customHeight="1">
      <x:c r="A569" s="2" t="str">
        <x:v>LN00568</x:v>
      </x:c>
      <x:c r="B569" s="2" t="str">
        <x:v>T20261006-1-2</x:v>
      </x:c>
      <x:c r="C569" s="7" t="n">
        <x:v>46301</x:v>
      </x:c>
      <x:c r="D569" s="2" t="str">
        <x:v>BUS002</x:v>
      </x:c>
      <x:c r="E569" s="2" t="str">
        <x:v>ST048</x:v>
      </x:c>
      <x:c r="F569" s="2" t="n">
        <x:v>1</x:v>
      </x:c>
      <x:c r="G569" s="2" t="str">
        <x:v>Junior</x:v>
      </x:c>
      <x:c r="H569" s="2" t="str">
        <x:v>Pickup</x:v>
      </x:c>
      <x:c r="I569" s="2" t="str">
        <x:v>R2S2</x:v>
      </x:c>
      <x:c r="J569" s="2" t="str">
        <x:v>EV001129</x:v>
      </x:c>
      <x:c r="K569" s="8" t="n">
        <x:v>46301.247465277775</x:v>
      </x:c>
      <x:c r="L569" s="2" t="str">
        <x:v>R2S2</x:v>
      </x:c>
      <x:c r="M569" s="9" t="n">
        <x:v>25.282000000000004</x:v>
      </x:c>
      <x:c r="N569" s="9" t="n">
        <x:v>51.501999999999995</x:v>
      </x:c>
      <x:c r="O569" s="2" t="str">
        <x:v>Valid</x:v>
      </x:c>
      <x:c r="P569" s="2" t="str">
        <x:v>EV001130</x:v>
      </x:c>
      <x:c r="Q569" s="8" t="n">
        <x:v>46301.27663194444</x:v>
      </x:c>
      <x:c r="R569" s="2" t="str">
        <x:v>SCH01</x:v>
      </x:c>
      <x:c r="S569" s="9" t="n">
        <x:v>25.285</x:v>
      </x:c>
      <x:c r="T569" s="9" t="n">
        <x:v>51.51</x:v>
      </x:c>
      <x:c r="U569" s="2" t="str">
        <x:v>SCHOOL_RECEIVER_01</x:v>
      </x:c>
      <x:c r="V569" s="2" t="str">
        <x:v>School staff receipt</x:v>
      </x:c>
      <x:c r="W569" s="2" t="str">
        <x:v>Completed transport</x:v>
      </x:c>
      <x:c r="X569" s="2" t="str">
        <x:v>QR</x:v>
      </x:c>
      <x:c r="Y569" s="2" t="str">
        <x:v>Online</x:v>
      </x:c>
      <x:c r="Z569" s="2" t="str">
        <x:v>Synced</x:v>
      </x:c>
      <x:c r="AA569" s="2"/>
      <x:c r="AB569" s="2"/>
      <x:c r="AC569" s="10" t="n">
        <x:f>IF(OR(K569="",Q569=""),"",ROUND((Q569-K569)*1440,2))</x:f>
        <x:v>42</x:v>
      </x:c>
    </x:row>
    <x:row r="570" ht="21" customHeight="1">
      <x:c r="A570" s="2" t="str">
        <x:v>LN00569</x:v>
      </x:c>
      <x:c r="B570" s="2" t="str">
        <x:v>T20261006-1-2</x:v>
      </x:c>
      <x:c r="C570" s="7" t="n">
        <x:v>46301</x:v>
      </x:c>
      <x:c r="D570" s="2" t="str">
        <x:v>BUS002</x:v>
      </x:c>
      <x:c r="E570" s="2" t="str">
        <x:v>ST049</x:v>
      </x:c>
      <x:c r="F570" s="2" t="n">
        <x:v>1</x:v>
      </x:c>
      <x:c r="G570" s="2" t="str">
        <x:v>Junior</x:v>
      </x:c>
      <x:c r="H570" s="2" t="str">
        <x:v>Pickup</x:v>
      </x:c>
      <x:c r="I570" s="2" t="str">
        <x:v>R2S3</x:v>
      </x:c>
      <x:c r="J570" s="2" t="str">
        <x:v>EV001131</x:v>
      </x:c>
      <x:c r="K570" s="8" t="n">
        <x:v>46301.25236111111</x:v>
      </x:c>
      <x:c r="L570" s="2" t="str">
        <x:v>R2S3</x:v>
      </x:c>
      <x:c r="M570" s="9" t="n">
        <x:v>25.284000000000002</x:v>
      </x:c>
      <x:c r="N570" s="9" t="n">
        <x:v>51.504999999999995</x:v>
      </x:c>
      <x:c r="O570" s="2" t="str">
        <x:v>Valid</x:v>
      </x:c>
      <x:c r="P570" s="2" t="str">
        <x:v>EV001132</x:v>
      </x:c>
      <x:c r="Q570" s="8" t="n">
        <x:v>46301.276666666665</x:v>
      </x:c>
      <x:c r="R570" s="2" t="str">
        <x:v>SCH01</x:v>
      </x:c>
      <x:c r="S570" s="9" t="n">
        <x:v>25.285</x:v>
      </x:c>
      <x:c r="T570" s="9" t="n">
        <x:v>51.51</x:v>
      </x:c>
      <x:c r="U570" s="2" t="str">
        <x:v>SCHOOL_RECEIVER_01</x:v>
      </x:c>
      <x:c r="V570" s="2" t="str">
        <x:v>School staff receipt</x:v>
      </x:c>
      <x:c r="W570" s="2" t="str">
        <x:v>Completed transport</x:v>
      </x:c>
      <x:c r="X570" s="2" t="str">
        <x:v>QR</x:v>
      </x:c>
      <x:c r="Y570" s="2" t="str">
        <x:v>Online</x:v>
      </x:c>
      <x:c r="Z570" s="2" t="str">
        <x:v>Synced</x:v>
      </x:c>
      <x:c r="AA570" s="2"/>
      <x:c r="AB570" s="2"/>
      <x:c r="AC570" s="10" t="n">
        <x:f>IF(OR(K570="",Q570=""),"",ROUND((Q570-K570)*1440,2))</x:f>
        <x:v>35</x:v>
      </x:c>
    </x:row>
    <x:row r="571" ht="21" customHeight="1">
      <x:c r="A571" s="2" t="str">
        <x:v>LN00570</x:v>
      </x:c>
      <x:c r="B571" s="2" t="str">
        <x:v>T20261006-1-2</x:v>
      </x:c>
      <x:c r="C571" s="7" t="n">
        <x:v>46301</x:v>
      </x:c>
      <x:c r="D571" s="2" t="str">
        <x:v>BUS002</x:v>
      </x:c>
      <x:c r="E571" s="2" t="str">
        <x:v>ST050</x:v>
      </x:c>
      <x:c r="F571" s="2" t="n">
        <x:v>1</x:v>
      </x:c>
      <x:c r="G571" s="2" t="str">
        <x:v>Junior</x:v>
      </x:c>
      <x:c r="H571" s="2" t="str">
        <x:v>Pickup</x:v>
      </x:c>
      <x:c r="I571" s="2" t="str">
        <x:v>R2S1</x:v>
      </x:c>
      <x:c r="J571" s="2" t="str">
        <x:v>EV001133</x:v>
      </x:c>
      <x:c r="K571" s="8" t="n">
        <x:v>46301.242673611116</x:v>
      </x:c>
      <x:c r="L571" s="2" t="str">
        <x:v>R2S1</x:v>
      </x:c>
      <x:c r="M571" s="9" t="n">
        <x:v>25.28</x:v>
      </x:c>
      <x:c r="N571" s="9" t="n">
        <x:v>51.498999999999995</x:v>
      </x:c>
      <x:c r="O571" s="2" t="str">
        <x:v>Valid</x:v>
      </x:c>
      <x:c r="P571" s="2" t="str">
        <x:v>EV001134</x:v>
      </x:c>
      <x:c r="Q571" s="8" t="n">
        <x:v>46301.27670138889</x:v>
      </x:c>
      <x:c r="R571" s="2" t="str">
        <x:v>SCH01</x:v>
      </x:c>
      <x:c r="S571" s="9" t="n">
        <x:v>25.285</x:v>
      </x:c>
      <x:c r="T571" s="9" t="n">
        <x:v>51.51</x:v>
      </x:c>
      <x:c r="U571" s="2" t="str">
        <x:v>SCHOOL_RECEIVER_01</x:v>
      </x:c>
      <x:c r="V571" s="2" t="str">
        <x:v>School staff receipt</x:v>
      </x:c>
      <x:c r="W571" s="2" t="str">
        <x:v>Completed transport</x:v>
      </x:c>
      <x:c r="X571" s="2" t="str">
        <x:v>QR</x:v>
      </x:c>
      <x:c r="Y571" s="2" t="str">
        <x:v>Online</x:v>
      </x:c>
      <x:c r="Z571" s="2" t="str">
        <x:v>Synced</x:v>
      </x:c>
      <x:c r="AA571" s="2"/>
      <x:c r="AB571" s="2"/>
      <x:c r="AC571" s="10" t="n">
        <x:f>IF(OR(K571="",Q571=""),"",ROUND((Q571-K571)*1440,2))</x:f>
        <x:v>49</x:v>
      </x:c>
    </x:row>
    <x:row r="572" ht="21" customHeight="1">
      <x:c r="A572" s="2" t="str">
        <x:v>LN00571</x:v>
      </x:c>
      <x:c r="B572" s="2" t="str">
        <x:v>T20261006-1-2</x:v>
      </x:c>
      <x:c r="C572" s="7" t="n">
        <x:v>46301</x:v>
      </x:c>
      <x:c r="D572" s="2" t="str">
        <x:v>BUS002</x:v>
      </x:c>
      <x:c r="E572" s="2" t="str">
        <x:v>ST051</x:v>
      </x:c>
      <x:c r="F572" s="2" t="n">
        <x:v>1</x:v>
      </x:c>
      <x:c r="G572" s="2" t="str">
        <x:v>Senior</x:v>
      </x:c>
      <x:c r="H572" s="2" t="str">
        <x:v>Pickup</x:v>
      </x:c>
      <x:c r="I572" s="2" t="str">
        <x:v>R2S2</x:v>
      </x:c>
      <x:c r="J572" s="2" t="str">
        <x:v>EV001135</x:v>
      </x:c>
      <x:c r="K572" s="8" t="n">
        <x:v>46301.24722222222</x:v>
      </x:c>
      <x:c r="L572" s="2" t="str">
        <x:v>R2S2</x:v>
      </x:c>
      <x:c r="M572" s="9" t="n">
        <x:v>25.282000000000004</x:v>
      </x:c>
      <x:c r="N572" s="9" t="n">
        <x:v>51.501999999999995</x:v>
      </x:c>
      <x:c r="O572" s="2" t="str">
        <x:v>Valid</x:v>
      </x:c>
      <x:c r="P572" s="2" t="str">
        <x:v>EV001136</x:v>
      </x:c>
      <x:c r="Q572" s="8" t="n">
        <x:v>46301.27673611111</x:v>
      </x:c>
      <x:c r="R572" s="2" t="str">
        <x:v>SCH01</x:v>
      </x:c>
      <x:c r="S572" s="9" t="n">
        <x:v>25.285</x:v>
      </x:c>
      <x:c r="T572" s="9" t="n">
        <x:v>51.51</x:v>
      </x:c>
      <x:c r="U572" s="2" t="str">
        <x:v>SCHOOL_RECEIVER_01</x:v>
      </x:c>
      <x:c r="V572" s="2" t="str">
        <x:v>School staff receipt</x:v>
      </x:c>
      <x:c r="W572" s="2" t="str">
        <x:v>Completed transport</x:v>
      </x:c>
      <x:c r="X572" s="2" t="str">
        <x:v>QR</x:v>
      </x:c>
      <x:c r="Y572" s="2" t="str">
        <x:v>Online</x:v>
      </x:c>
      <x:c r="Z572" s="2" t="str">
        <x:v>Synced</x:v>
      </x:c>
      <x:c r="AA572" s="2"/>
      <x:c r="AB572" s="2"/>
      <x:c r="AC572" s="10" t="n">
        <x:f>IF(OR(K572="",Q572=""),"",ROUND((Q572-K572)*1440,2))</x:f>
        <x:v>42.5</x:v>
      </x:c>
    </x:row>
    <x:row r="573" ht="21" customHeight="1">
      <x:c r="A573" s="2" t="str">
        <x:v>LN00572</x:v>
      </x:c>
      <x:c r="B573" s="2" t="str">
        <x:v>T20261006-1-2</x:v>
      </x:c>
      <x:c r="C573" s="7" t="n">
        <x:v>46301</x:v>
      </x:c>
      <x:c r="D573" s="2" t="str">
        <x:v>BUS002</x:v>
      </x:c>
      <x:c r="E573" s="2" t="str">
        <x:v>ST052</x:v>
      </x:c>
      <x:c r="F573" s="2" t="n">
        <x:v>1</x:v>
      </x:c>
      <x:c r="G573" s="2" t="str">
        <x:v>Senior</x:v>
      </x:c>
      <x:c r="H573" s="2" t="str">
        <x:v>Pickup</x:v>
      </x:c>
      <x:c r="I573" s="2" t="str">
        <x:v>R2S3</x:v>
      </x:c>
      <x:c r="J573" s="2" t="str">
        <x:v>EV001137</x:v>
      </x:c>
      <x:c r="K573" s="8" t="n">
        <x:v>46301.252118055556</x:v>
      </x:c>
      <x:c r="L573" s="2" t="str">
        <x:v>R2S3</x:v>
      </x:c>
      <x:c r="M573" s="9" t="n">
        <x:v>25.284000000000002</x:v>
      </x:c>
      <x:c r="N573" s="9" t="n">
        <x:v>51.504999999999995</x:v>
      </x:c>
      <x:c r="O573" s="2" t="str">
        <x:v>Valid</x:v>
      </x:c>
      <x:c r="P573" s="2" t="str">
        <x:v>EV001138</x:v>
      </x:c>
      <x:c r="Q573" s="8" t="n">
        <x:v>46301.276770833334</x:v>
      </x:c>
      <x:c r="R573" s="2" t="str">
        <x:v>SCH01</x:v>
      </x:c>
      <x:c r="S573" s="9" t="n">
        <x:v>25.285</x:v>
      </x:c>
      <x:c r="T573" s="9" t="n">
        <x:v>51.51</x:v>
      </x:c>
      <x:c r="U573" s="2" t="str">
        <x:v>SCHOOL_RECEIVER_01</x:v>
      </x:c>
      <x:c r="V573" s="2" t="str">
        <x:v>School staff receipt</x:v>
      </x:c>
      <x:c r="W573" s="2" t="str">
        <x:v>Completed transport</x:v>
      </x:c>
      <x:c r="X573" s="2" t="str">
        <x:v>QR</x:v>
      </x:c>
      <x:c r="Y573" s="2" t="str">
        <x:v>Online</x:v>
      </x:c>
      <x:c r="Z573" s="2" t="str">
        <x:v>Synced</x:v>
      </x:c>
      <x:c r="AA573" s="2"/>
      <x:c r="AB573" s="2"/>
      <x:c r="AC573" s="10" t="n">
        <x:f>IF(OR(K573="",Q573=""),"",ROUND((Q573-K573)*1440,2))</x:f>
        <x:v>35.5</x:v>
      </x:c>
    </x:row>
    <x:row r="574" ht="21" customHeight="1">
      <x:c r="A574" s="2" t="str">
        <x:v>LN00573</x:v>
      </x:c>
      <x:c r="B574" s="2" t="str">
        <x:v>T20261006-1-2</x:v>
      </x:c>
      <x:c r="C574" s="7" t="n">
        <x:v>46301</x:v>
      </x:c>
      <x:c r="D574" s="2" t="str">
        <x:v>BUS002</x:v>
      </x:c>
      <x:c r="E574" s="2" t="str">
        <x:v>ST053</x:v>
      </x:c>
      <x:c r="F574" s="2" t="n">
        <x:v>1</x:v>
      </x:c>
      <x:c r="G574" s="2" t="str">
        <x:v>Senior</x:v>
      </x:c>
      <x:c r="H574" s="2" t="str">
        <x:v>Pickup</x:v>
      </x:c>
      <x:c r="I574" s="2" t="str">
        <x:v>R2S1</x:v>
      </x:c>
      <x:c r="J574" s="2" t="str">
        <x:v>EV001139</x:v>
      </x:c>
      <x:c r="K574" s="8" t="n">
        <x:v>46301.24243055556</x:v>
      </x:c>
      <x:c r="L574" s="2" t="str">
        <x:v>R2S1</x:v>
      </x:c>
      <x:c r="M574" s="9" t="n">
        <x:v>25.28</x:v>
      </x:c>
      <x:c r="N574" s="9" t="n">
        <x:v>51.498999999999995</x:v>
      </x:c>
      <x:c r="O574" s="2" t="str">
        <x:v>Valid</x:v>
      </x:c>
      <x:c r="P574" s="2" t="str">
        <x:v>EV001140</x:v>
      </x:c>
      <x:c r="Q574" s="8" t="n">
        <x:v>46301.27680555556</x:v>
      </x:c>
      <x:c r="R574" s="2" t="str">
        <x:v>SCH01</x:v>
      </x:c>
      <x:c r="S574" s="9" t="n">
        <x:v>25.285</x:v>
      </x:c>
      <x:c r="T574" s="9" t="n">
        <x:v>51.51</x:v>
      </x:c>
      <x:c r="U574" s="2" t="str">
        <x:v>SCHOOL_RECEIVER_01</x:v>
      </x:c>
      <x:c r="V574" s="2" t="str">
        <x:v>School staff receipt</x:v>
      </x:c>
      <x:c r="W574" s="2" t="str">
        <x:v>Completed transport</x:v>
      </x:c>
      <x:c r="X574" s="2" t="str">
        <x:v>QR</x:v>
      </x:c>
      <x:c r="Y574" s="2" t="str">
        <x:v>Online</x:v>
      </x:c>
      <x:c r="Z574" s="2" t="str">
        <x:v>Synced</x:v>
      </x:c>
      <x:c r="AA574" s="2"/>
      <x:c r="AB574" s="2"/>
      <x:c r="AC574" s="10" t="n">
        <x:f>IF(OR(K574="",Q574=""),"",ROUND((Q574-K574)*1440,2))</x:f>
        <x:v>49.5</x:v>
      </x:c>
    </x:row>
    <x:row r="575" ht="21" customHeight="1">
      <x:c r="A575" s="2" t="str">
        <x:v>LN00574</x:v>
      </x:c>
      <x:c r="B575" s="2" t="str">
        <x:v>T20261006-1-2</x:v>
      </x:c>
      <x:c r="C575" s="7" t="n">
        <x:v>46301</x:v>
      </x:c>
      <x:c r="D575" s="2" t="str">
        <x:v>BUS002</x:v>
      </x:c>
      <x:c r="E575" s="2" t="str">
        <x:v>ST054</x:v>
      </x:c>
      <x:c r="F575" s="2" t="n">
        <x:v>1</x:v>
      </x:c>
      <x:c r="G575" s="2" t="str">
        <x:v>Senior</x:v>
      </x:c>
      <x:c r="H575" s="2" t="str">
        <x:v>Pickup</x:v>
      </x:c>
      <x:c r="I575" s="2" t="str">
        <x:v>R2S2</x:v>
      </x:c>
      <x:c r="J575" s="2" t="str">
        <x:v>EV001141</x:v>
      </x:c>
      <x:c r="K575" s="8" t="n">
        <x:v>46301.24732638889</x:v>
      </x:c>
      <x:c r="L575" s="2" t="str">
        <x:v>R2S2</x:v>
      </x:c>
      <x:c r="M575" s="9" t="n">
        <x:v>25.282000000000004</x:v>
      </x:c>
      <x:c r="N575" s="9" t="n">
        <x:v>51.501999999999995</x:v>
      </x:c>
      <x:c r="O575" s="2" t="str">
        <x:v>Valid</x:v>
      </x:c>
      <x:c r="P575" s="2" t="str">
        <x:v>EV001142</x:v>
      </x:c>
      <x:c r="Q575" s="8" t="n">
        <x:v>46301.27684027777</x:v>
      </x:c>
      <x:c r="R575" s="2" t="str">
        <x:v>SCH01</x:v>
      </x:c>
      <x:c r="S575" s="9" t="n">
        <x:v>25.285</x:v>
      </x:c>
      <x:c r="T575" s="9" t="n">
        <x:v>51.51</x:v>
      </x:c>
      <x:c r="U575" s="2" t="str">
        <x:v>SCHOOL_RECEIVER_01</x:v>
      </x:c>
      <x:c r="V575" s="2" t="str">
        <x:v>School staff receipt</x:v>
      </x:c>
      <x:c r="W575" s="2" t="str">
        <x:v>Completed transport</x:v>
      </x:c>
      <x:c r="X575" s="2" t="str">
        <x:v>QR</x:v>
      </x:c>
      <x:c r="Y575" s="2" t="str">
        <x:v>Online</x:v>
      </x:c>
      <x:c r="Z575" s="2" t="str">
        <x:v>Synced</x:v>
      </x:c>
      <x:c r="AA575" s="2"/>
      <x:c r="AB575" s="2"/>
      <x:c r="AC575" s="10" t="n">
        <x:f>IF(OR(K575="",Q575=""),"",ROUND((Q575-K575)*1440,2))</x:f>
        <x:v>42.5</x:v>
      </x:c>
    </x:row>
    <x:row r="576" ht="21" customHeight="1">
      <x:c r="A576" s="2" t="str">
        <x:v>LN00575</x:v>
      </x:c>
      <x:c r="B576" s="2" t="str">
        <x:v>T20261006-1-2</x:v>
      </x:c>
      <x:c r="C576" s="7" t="n">
        <x:v>46301</x:v>
      </x:c>
      <x:c r="D576" s="2" t="str">
        <x:v>BUS002</x:v>
      </x:c>
      <x:c r="E576" s="2" t="str">
        <x:v>ST055</x:v>
      </x:c>
      <x:c r="F576" s="2" t="n">
        <x:v>1</x:v>
      </x:c>
      <x:c r="G576" s="2" t="str">
        <x:v>Senior</x:v>
      </x:c>
      <x:c r="H576" s="2" t="str">
        <x:v>Pickup</x:v>
      </x:c>
      <x:c r="I576" s="2" t="str">
        <x:v>R2S3</x:v>
      </x:c>
      <x:c r="J576" s="2" t="str">
        <x:v>EV001143</x:v>
      </x:c>
      <x:c r="K576" s="8" t="n">
        <x:v>46301.252222222225</x:v>
      </x:c>
      <x:c r="L576" s="2" t="str">
        <x:v>R2S3</x:v>
      </x:c>
      <x:c r="M576" s="9" t="n">
        <x:v>25.284000000000002</x:v>
      </x:c>
      <x:c r="N576" s="9" t="n">
        <x:v>51.504999999999995</x:v>
      </x:c>
      <x:c r="O576" s="2" t="str">
        <x:v>Valid</x:v>
      </x:c>
      <x:c r="P576" s="2" t="str">
        <x:v>EV001144</x:v>
      </x:c>
      <x:c r="Q576" s="8" t="n">
        <x:v>46301.276874999996</x:v>
      </x:c>
      <x:c r="R576" s="2" t="str">
        <x:v>SCH01</x:v>
      </x:c>
      <x:c r="S576" s="9" t="n">
        <x:v>25.285</x:v>
      </x:c>
      <x:c r="T576" s="9" t="n">
        <x:v>51.51</x:v>
      </x:c>
      <x:c r="U576" s="2" t="str">
        <x:v>SCHOOL_RECEIVER_01</x:v>
      </x:c>
      <x:c r="V576" s="2" t="str">
        <x:v>School staff receipt</x:v>
      </x:c>
      <x:c r="W576" s="2" t="str">
        <x:v>Completed transport</x:v>
      </x:c>
      <x:c r="X576" s="2" t="str">
        <x:v>QR</x:v>
      </x:c>
      <x:c r="Y576" s="2" t="str">
        <x:v>Online</x:v>
      </x:c>
      <x:c r="Z576" s="2" t="str">
        <x:v>Synced</x:v>
      </x:c>
      <x:c r="AA576" s="2"/>
      <x:c r="AB576" s="2"/>
      <x:c r="AC576" s="10" t="n">
        <x:f>IF(OR(K576="",Q576=""),"",ROUND((Q576-K576)*1440,2))</x:f>
        <x:v>35.5</x:v>
      </x:c>
    </x:row>
    <x:row r="577" ht="21" customHeight="1">
      <x:c r="A577" s="2" t="str">
        <x:v>LN00576</x:v>
      </x:c>
      <x:c r="B577" s="2" t="str">
        <x:v>T20261006-1-2</x:v>
      </x:c>
      <x:c r="C577" s="7" t="n">
        <x:v>46301</x:v>
      </x:c>
      <x:c r="D577" s="2" t="str">
        <x:v>BUS002</x:v>
      </x:c>
      <x:c r="E577" s="2" t="str">
        <x:v>ST056</x:v>
      </x:c>
      <x:c r="F577" s="2" t="n">
        <x:v>1</x:v>
      </x:c>
      <x:c r="G577" s="2" t="str">
        <x:v>Senior</x:v>
      </x:c>
      <x:c r="H577" s="2" t="str">
        <x:v>Pickup</x:v>
      </x:c>
      <x:c r="I577" s="2" t="str">
        <x:v>R2S1</x:v>
      </x:c>
      <x:c r="J577" s="2" t="str">
        <x:v>EV001145</x:v>
      </x:c>
      <x:c r="K577" s="8" t="n">
        <x:v>46301.24253472222</x:v>
      </x:c>
      <x:c r="L577" s="2" t="str">
        <x:v>R2S1</x:v>
      </x:c>
      <x:c r="M577" s="9" t="n">
        <x:v>25.28</x:v>
      </x:c>
      <x:c r="N577" s="9" t="n">
        <x:v>51.498999999999995</x:v>
      </x:c>
      <x:c r="O577" s="2" t="str">
        <x:v>Valid</x:v>
      </x:c>
      <x:c r="P577" s="2" t="str">
        <x:v>EV001146</x:v>
      </x:c>
      <x:c r="Q577" s="8" t="n">
        <x:v>46301.27690972222</x:v>
      </x:c>
      <x:c r="R577" s="2" t="str">
        <x:v>SCH01</x:v>
      </x:c>
      <x:c r="S577" s="9" t="n">
        <x:v>25.285</x:v>
      </x:c>
      <x:c r="T577" s="9" t="n">
        <x:v>51.51</x:v>
      </x:c>
      <x:c r="U577" s="2" t="str">
        <x:v>SCHOOL_RECEIVER_01</x:v>
      </x:c>
      <x:c r="V577" s="2" t="str">
        <x:v>School staff receipt</x:v>
      </x:c>
      <x:c r="W577" s="2" t="str">
        <x:v>Completed transport</x:v>
      </x:c>
      <x:c r="X577" s="2" t="str">
        <x:v>QR</x:v>
      </x:c>
      <x:c r="Y577" s="2" t="str">
        <x:v>Online</x:v>
      </x:c>
      <x:c r="Z577" s="2" t="str">
        <x:v>Synced</x:v>
      </x:c>
      <x:c r="AA577" s="2"/>
      <x:c r="AB577" s="2"/>
      <x:c r="AC577" s="10" t="n">
        <x:f>IF(OR(K577="",Q577=""),"",ROUND((Q577-K577)*1440,2))</x:f>
        <x:v>49.5</x:v>
      </x:c>
    </x:row>
    <x:row r="578" ht="21" customHeight="1">
      <x:c r="A578" s="2" t="str">
        <x:v>LN00577</x:v>
      </x:c>
      <x:c r="B578" s="2" t="str">
        <x:v>T20261006-1-2</x:v>
      </x:c>
      <x:c r="C578" s="7" t="n">
        <x:v>46301</x:v>
      </x:c>
      <x:c r="D578" s="2" t="str">
        <x:v>BUS002</x:v>
      </x:c>
      <x:c r="E578" s="2" t="str">
        <x:v>ST057</x:v>
      </x:c>
      <x:c r="F578" s="2" t="n">
        <x:v>1</x:v>
      </x:c>
      <x:c r="G578" s="2" t="str">
        <x:v>Senior</x:v>
      </x:c>
      <x:c r="H578" s="2" t="str">
        <x:v>Pickup</x:v>
      </x:c>
      <x:c r="I578" s="2" t="str">
        <x:v>R2S2</x:v>
      </x:c>
      <x:c r="J578" s="2" t="str">
        <x:v>EV001147</x:v>
      </x:c>
      <x:c r="K578" s="8" t="n">
        <x:v>46301.24743055555</x:v>
      </x:c>
      <x:c r="L578" s="2" t="str">
        <x:v>R2S2</x:v>
      </x:c>
      <x:c r="M578" s="9" t="n">
        <x:v>25.282000000000004</x:v>
      </x:c>
      <x:c r="N578" s="9" t="n">
        <x:v>51.501999999999995</x:v>
      </x:c>
      <x:c r="O578" s="2" t="str">
        <x:v>Valid</x:v>
      </x:c>
      <x:c r="P578" s="2" t="str">
        <x:v>EV001148</x:v>
      </x:c>
      <x:c r="Q578" s="8" t="n">
        <x:v>46301.27694444444</x:v>
      </x:c>
      <x:c r="R578" s="2" t="str">
        <x:v>SCH01</x:v>
      </x:c>
      <x:c r="S578" s="9" t="n">
        <x:v>25.285</x:v>
      </x:c>
      <x:c r="T578" s="9" t="n">
        <x:v>51.51</x:v>
      </x:c>
      <x:c r="U578" s="2" t="str">
        <x:v>SCHOOL_RECEIVER_01</x:v>
      </x:c>
      <x:c r="V578" s="2" t="str">
        <x:v>School staff receipt</x:v>
      </x:c>
      <x:c r="W578" s="2" t="str">
        <x:v>Completed transport</x:v>
      </x:c>
      <x:c r="X578" s="2" t="str">
        <x:v>QR</x:v>
      </x:c>
      <x:c r="Y578" s="2" t="str">
        <x:v>Online</x:v>
      </x:c>
      <x:c r="Z578" s="2" t="str">
        <x:v>Synced</x:v>
      </x:c>
      <x:c r="AA578" s="2"/>
      <x:c r="AB578" s="2"/>
      <x:c r="AC578" s="10" t="n">
        <x:f>IF(OR(K578="",Q578=""),"",ROUND((Q578-K578)*1440,2))</x:f>
        <x:v>42.5</x:v>
      </x:c>
    </x:row>
    <x:row r="579" ht="21" customHeight="1">
      <x:c r="A579" s="2" t="str">
        <x:v>LN00578</x:v>
      </x:c>
      <x:c r="B579" s="2" t="str">
        <x:v>T20261006-1-2</x:v>
      </x:c>
      <x:c r="C579" s="7" t="n">
        <x:v>46301</x:v>
      </x:c>
      <x:c r="D579" s="2" t="str">
        <x:v>BUS002</x:v>
      </x:c>
      <x:c r="E579" s="2" t="str">
        <x:v>ST058</x:v>
      </x:c>
      <x:c r="F579" s="2" t="n">
        <x:v>1</x:v>
      </x:c>
      <x:c r="G579" s="2" t="str">
        <x:v>Senior</x:v>
      </x:c>
      <x:c r="H579" s="2" t="str">
        <x:v>Pickup</x:v>
      </x:c>
      <x:c r="I579" s="2" t="str">
        <x:v>R2S3</x:v>
      </x:c>
      <x:c r="J579" s="2" t="str">
        <x:v>EV001149</x:v>
      </x:c>
      <x:c r="K579" s="8" t="n">
        <x:v>46301.25232638889</x:v>
      </x:c>
      <x:c r="L579" s="2" t="str">
        <x:v>R2S3</x:v>
      </x:c>
      <x:c r="M579" s="9" t="n">
        <x:v>25.284000000000002</x:v>
      </x:c>
      <x:c r="N579" s="9" t="n">
        <x:v>51.504999999999995</x:v>
      </x:c>
      <x:c r="O579" s="2" t="str">
        <x:v>Valid</x:v>
      </x:c>
      <x:c r="P579" s="2" t="str">
        <x:v>EV001150</x:v>
      </x:c>
      <x:c r="Q579" s="8" t="n">
        <x:v>46301.276979166665</x:v>
      </x:c>
      <x:c r="R579" s="2" t="str">
        <x:v>SCH01</x:v>
      </x:c>
      <x:c r="S579" s="9" t="n">
        <x:v>25.285</x:v>
      </x:c>
      <x:c r="T579" s="9" t="n">
        <x:v>51.51</x:v>
      </x:c>
      <x:c r="U579" s="2" t="str">
        <x:v>SCHOOL_RECEIVER_01</x:v>
      </x:c>
      <x:c r="V579" s="2" t="str">
        <x:v>School staff receipt</x:v>
      </x:c>
      <x:c r="W579" s="2" t="str">
        <x:v>Completed transport</x:v>
      </x:c>
      <x:c r="X579" s="2" t="str">
        <x:v>QR</x:v>
      </x:c>
      <x:c r="Y579" s="2" t="str">
        <x:v>Online</x:v>
      </x:c>
      <x:c r="Z579" s="2" t="str">
        <x:v>Synced</x:v>
      </x:c>
      <x:c r="AA579" s="2"/>
      <x:c r="AB579" s="2"/>
      <x:c r="AC579" s="10" t="n">
        <x:f>IF(OR(K579="",Q579=""),"",ROUND((Q579-K579)*1440,2))</x:f>
        <x:v>35.5</x:v>
      </x:c>
    </x:row>
    <x:row r="580" ht="21" customHeight="1">
      <x:c r="A580" s="2" t="str">
        <x:v>LN00579</x:v>
      </x:c>
      <x:c r="B580" s="2" t="str">
        <x:v>T20261006-1-2</x:v>
      </x:c>
      <x:c r="C580" s="7" t="n">
        <x:v>46301</x:v>
      </x:c>
      <x:c r="D580" s="2" t="str">
        <x:v>BUS002</x:v>
      </x:c>
      <x:c r="E580" s="2" t="str">
        <x:v>ST059</x:v>
      </x:c>
      <x:c r="F580" s="2" t="n">
        <x:v>1</x:v>
      </x:c>
      <x:c r="G580" s="2" t="str">
        <x:v>Senior</x:v>
      </x:c>
      <x:c r="H580" s="2" t="str">
        <x:v>Pickup</x:v>
      </x:c>
      <x:c r="I580" s="2" t="str">
        <x:v>R2S1</x:v>
      </x:c>
      <x:c r="J580" s="2" t="str">
        <x:v>EV001151</x:v>
      </x:c>
      <x:c r="K580" s="8" t="n">
        <x:v>46301.24263888889</x:v>
      </x:c>
      <x:c r="L580" s="2" t="str">
        <x:v>R2S1</x:v>
      </x:c>
      <x:c r="M580" s="9" t="n">
        <x:v>25.28</x:v>
      </x:c>
      <x:c r="N580" s="9" t="n">
        <x:v>51.498999999999995</x:v>
      </x:c>
      <x:c r="O580" s="2" t="str">
        <x:v>Valid</x:v>
      </x:c>
      <x:c r="P580" s="2" t="str">
        <x:v>EV001152</x:v>
      </x:c>
      <x:c r="Q580" s="8" t="n">
        <x:v>46301.27701388889</x:v>
      </x:c>
      <x:c r="R580" s="2" t="str">
        <x:v>SCH01</x:v>
      </x:c>
      <x:c r="S580" s="9" t="n">
        <x:v>25.285</x:v>
      </x:c>
      <x:c r="T580" s="9" t="n">
        <x:v>51.51</x:v>
      </x:c>
      <x:c r="U580" s="2" t="str">
        <x:v>SCHOOL_RECEIVER_01</x:v>
      </x:c>
      <x:c r="V580" s="2" t="str">
        <x:v>School staff receipt</x:v>
      </x:c>
      <x:c r="W580" s="2" t="str">
        <x:v>Completed transport</x:v>
      </x:c>
      <x:c r="X580" s="2" t="str">
        <x:v>QR</x:v>
      </x:c>
      <x:c r="Y580" s="2" t="str">
        <x:v>Online</x:v>
      </x:c>
      <x:c r="Z580" s="2" t="str">
        <x:v>Synced</x:v>
      </x:c>
      <x:c r="AA580" s="2"/>
      <x:c r="AB580" s="2"/>
      <x:c r="AC580" s="10" t="n">
        <x:f>IF(OR(K580="",Q580=""),"",ROUND((Q580-K580)*1440,2))</x:f>
        <x:v>49.5</x:v>
      </x:c>
    </x:row>
    <x:row r="581" ht="21" customHeight="1">
      <x:c r="A581" s="2" t="str">
        <x:v>LN00580</x:v>
      </x:c>
      <x:c r="B581" s="2" t="str">
        <x:v>T20261006-1-2</x:v>
      </x:c>
      <x:c r="C581" s="7" t="n">
        <x:v>46301</x:v>
      </x:c>
      <x:c r="D581" s="2" t="str">
        <x:v>BUS002</x:v>
      </x:c>
      <x:c r="E581" s="2" t="str">
        <x:v>ST060</x:v>
      </x:c>
      <x:c r="F581" s="2" t="n">
        <x:v>1</x:v>
      </x:c>
      <x:c r="G581" s="2" t="str">
        <x:v>Senior</x:v>
      </x:c>
      <x:c r="H581" s="2" t="str">
        <x:v>Pickup</x:v>
      </x:c>
      <x:c r="I581" s="2" t="str">
        <x:v>R2S2</x:v>
      </x:c>
      <x:c r="J581" s="2" t="str">
        <x:v>EV001153</x:v>
      </x:c>
      <x:c r="K581" s="8" t="n">
        <x:v>46301.24753472222</x:v>
      </x:c>
      <x:c r="L581" s="2" t="str">
        <x:v>R2S2</x:v>
      </x:c>
      <x:c r="M581" s="9" t="n">
        <x:v>25.282000000000004</x:v>
      </x:c>
      <x:c r="N581" s="9" t="n">
        <x:v>51.501999999999995</x:v>
      </x:c>
      <x:c r="O581" s="2" t="str">
        <x:v>Valid</x:v>
      </x:c>
      <x:c r="P581" s="2" t="str">
        <x:v>EV001154</x:v>
      </x:c>
      <x:c r="Q581" s="8" t="n">
        <x:v>46301.27704861111</x:v>
      </x:c>
      <x:c r="R581" s="2" t="str">
        <x:v>SCH01</x:v>
      </x:c>
      <x:c r="S581" s="9" t="n">
        <x:v>25.285</x:v>
      </x:c>
      <x:c r="T581" s="9" t="n">
        <x:v>51.51</x:v>
      </x:c>
      <x:c r="U581" s="2" t="str">
        <x:v>SCHOOL_RECEIVER_01</x:v>
      </x:c>
      <x:c r="V581" s="2" t="str">
        <x:v>School staff receipt</x:v>
      </x:c>
      <x:c r="W581" s="2" t="str">
        <x:v>Completed transport</x:v>
      </x:c>
      <x:c r="X581" s="2" t="str">
        <x:v>QR</x:v>
      </x:c>
      <x:c r="Y581" s="2" t="str">
        <x:v>Online</x:v>
      </x:c>
      <x:c r="Z581" s="2" t="str">
        <x:v>Synced</x:v>
      </x:c>
      <x:c r="AA581" s="2"/>
      <x:c r="AB581" s="2"/>
      <x:c r="AC581" s="10" t="n">
        <x:f>IF(OR(K581="",Q581=""),"",ROUND((Q581-K581)*1440,2))</x:f>
        <x:v>42.5</x:v>
      </x:c>
    </x:row>
    <x:row r="582" ht="21" customHeight="1">
      <x:c r="A582" s="2" t="str">
        <x:v>LN00581</x:v>
      </x:c>
      <x:c r="B582" s="2" t="str">
        <x:v>T20261006-2-2</x:v>
      </x:c>
      <x:c r="C582" s="7" t="n">
        <x:v>46301</x:v>
      </x:c>
      <x:c r="D582" s="2" t="str">
        <x:v>BUS002</x:v>
      </x:c>
      <x:c r="E582" s="2" t="str">
        <x:v>ST041</x:v>
      </x:c>
      <x:c r="F582" s="2" t="n">
        <x:v>1</x:v>
      </x:c>
      <x:c r="G582" s="2" t="str">
        <x:v>Junior</x:v>
      </x:c>
      <x:c r="H582" s="2" t="str">
        <x:v>Drop-off</x:v>
      </x:c>
      <x:c r="I582" s="2" t="str">
        <x:v>R2S1</x:v>
      </x:c>
      <x:c r="J582" s="2" t="str">
        <x:v>EV001155</x:v>
      </x:c>
      <x:c r="K582" s="8" t="n">
        <x:v>46301.4375</x:v>
      </x:c>
      <x:c r="L582" s="2" t="str">
        <x:v>SCH01</x:v>
      </x:c>
      <x:c r="M582" s="9" t="n">
        <x:v>25.285</x:v>
      </x:c>
      <x:c r="N582" s="9" t="n">
        <x:v>51.51</x:v>
      </x:c>
      <x:c r="O582" s="2" t="str">
        <x:v>Valid</x:v>
      </x:c>
      <x:c r="P582" s="2" t="str">
        <x:v>EV001156</x:v>
      </x:c>
      <x:c r="Q582" s="8" t="n">
        <x:v>46301.44930555555</x:v>
      </x:c>
      <x:c r="R582" s="2" t="str">
        <x:v>R2S1</x:v>
      </x:c>
      <x:c r="S582" s="9" t="n">
        <x:v>25.28</x:v>
      </x:c>
      <x:c r="T582" s="9" t="n">
        <x:v>51.498999999999995</x:v>
      </x:c>
      <x:c r="U582" s="2" t="str">
        <x:v>G041</x:v>
      </x:c>
      <x:c r="V582" s="2" t="str">
        <x:v>Authorized guardian release</x:v>
      </x:c>
      <x:c r="W582" s="2" t="str">
        <x:v>Completed transport</x:v>
      </x:c>
      <x:c r="X582" s="2" t="str">
        <x:v>QR</x:v>
      </x:c>
      <x:c r="Y582" s="2" t="str">
        <x:v>Online</x:v>
      </x:c>
      <x:c r="Z582" s="2" t="str">
        <x:v>Synced</x:v>
      </x:c>
      <x:c r="AA582" s="2"/>
      <x:c r="AB582" s="2"/>
      <x:c r="AC582" s="10" t="n">
        <x:f>IF(OR(K582="",Q582=""),"",ROUND((Q582-K582)*1440,2))</x:f>
        <x:v>17</x:v>
      </x:c>
    </x:row>
    <x:row r="583" ht="21" customHeight="1">
      <x:c r="A583" s="2" t="str">
        <x:v>LN00582</x:v>
      </x:c>
      <x:c r="B583" s="2" t="str">
        <x:v>T20261006-2-2</x:v>
      </x:c>
      <x:c r="C583" s="7" t="n">
        <x:v>46301</x:v>
      </x:c>
      <x:c r="D583" s="2" t="str">
        <x:v>BUS002</x:v>
      </x:c>
      <x:c r="E583" s="2" t="str">
        <x:v>ST042</x:v>
      </x:c>
      <x:c r="F583" s="2" t="n">
        <x:v>1</x:v>
      </x:c>
      <x:c r="G583" s="2" t="str">
        <x:v>Junior</x:v>
      </x:c>
      <x:c r="H583" s="2" t="str">
        <x:v>Drop-off</x:v>
      </x:c>
      <x:c r="I583" s="2" t="str">
        <x:v>R2S2</x:v>
      </x:c>
      <x:c r="J583" s="2" t="str">
        <x:v>EV001157</x:v>
      </x:c>
      <x:c r="K583" s="8" t="n">
        <x:v>46301.43753472222</x:v>
      </x:c>
      <x:c r="L583" s="2" t="str">
        <x:v>SCH01</x:v>
      </x:c>
      <x:c r="M583" s="9" t="n">
        <x:v>25.285</x:v>
      </x:c>
      <x:c r="N583" s="9" t="n">
        <x:v>51.51</x:v>
      </x:c>
      <x:c r="O583" s="2" t="str">
        <x:v>Valid</x:v>
      </x:c>
      <x:c r="P583" s="2" t="str">
        <x:v>EV001158</x:v>
      </x:c>
      <x:c r="Q583" s="8" t="n">
        <x:v>46301.45350694445</x:v>
      </x:c>
      <x:c r="R583" s="2" t="str">
        <x:v>R2S2</x:v>
      </x:c>
      <x:c r="S583" s="9" t="n">
        <x:v>25.282000000000004</x:v>
      </x:c>
      <x:c r="T583" s="9" t="n">
        <x:v>51.501999999999995</x:v>
      </x:c>
      <x:c r="U583" s="2" t="str">
        <x:v>G042</x:v>
      </x:c>
      <x:c r="V583" s="2" t="str">
        <x:v>Authorized guardian release</x:v>
      </x:c>
      <x:c r="W583" s="2" t="str">
        <x:v>Completed transport</x:v>
      </x:c>
      <x:c r="X583" s="2" t="str">
        <x:v>QR</x:v>
      </x:c>
      <x:c r="Y583" s="2" t="str">
        <x:v>Online</x:v>
      </x:c>
      <x:c r="Z583" s="2" t="str">
        <x:v>Synced</x:v>
      </x:c>
      <x:c r="AA583" s="2"/>
      <x:c r="AB583" s="2"/>
      <x:c r="AC583" s="10" t="n">
        <x:f>IF(OR(K583="",Q583=""),"",ROUND((Q583-K583)*1440,2))</x:f>
        <x:v>23</x:v>
      </x:c>
    </x:row>
    <x:row r="584" ht="21" customHeight="1">
      <x:c r="A584" s="2" t="str">
        <x:v>LN00583</x:v>
      </x:c>
      <x:c r="B584" s="2" t="str">
        <x:v>T20261006-2-2</x:v>
      </x:c>
      <x:c r="C584" s="7" t="n">
        <x:v>46301</x:v>
      </x:c>
      <x:c r="D584" s="2" t="str">
        <x:v>BUS002</x:v>
      </x:c>
      <x:c r="E584" s="2" t="str">
        <x:v>ST043</x:v>
      </x:c>
      <x:c r="F584" s="2" t="n">
        <x:v>1</x:v>
      </x:c>
      <x:c r="G584" s="2" t="str">
        <x:v>Junior</x:v>
      </x:c>
      <x:c r="H584" s="2" t="str">
        <x:v>Drop-off</x:v>
      </x:c>
      <x:c r="I584" s="2" t="str">
        <x:v>R2S3</x:v>
      </x:c>
      <x:c r="J584" s="2" t="str">
        <x:v>EV001159</x:v>
      </x:c>
      <x:c r="K584" s="8" t="n">
        <x:v>46301.437569444446</x:v>
      </x:c>
      <x:c r="L584" s="2" t="str">
        <x:v>SCH01</x:v>
      </x:c>
      <x:c r="M584" s="9" t="n">
        <x:v>25.285</x:v>
      </x:c>
      <x:c r="N584" s="9" t="n">
        <x:v>51.51</x:v>
      </x:c>
      <x:c r="O584" s="2" t="str">
        <x:v>Valid</x:v>
      </x:c>
      <x:c r="P584" s="2" t="str">
        <x:v>EV001160</x:v>
      </x:c>
      <x:c r="Q584" s="8" t="n">
        <x:v>46301.457708333335</x:v>
      </x:c>
      <x:c r="R584" s="2" t="str">
        <x:v>R2S3</x:v>
      </x:c>
      <x:c r="S584" s="9" t="n">
        <x:v>25.284000000000002</x:v>
      </x:c>
      <x:c r="T584" s="9" t="n">
        <x:v>51.504999999999995</x:v>
      </x:c>
      <x:c r="U584" s="2" t="str">
        <x:v>G043</x:v>
      </x:c>
      <x:c r="V584" s="2" t="str">
        <x:v>Authorized guardian release</x:v>
      </x:c>
      <x:c r="W584" s="2" t="str">
        <x:v>Completed transport</x:v>
      </x:c>
      <x:c r="X584" s="2" t="str">
        <x:v>QR</x:v>
      </x:c>
      <x:c r="Y584" s="2" t="str">
        <x:v>Online</x:v>
      </x:c>
      <x:c r="Z584" s="2" t="str">
        <x:v>Synced</x:v>
      </x:c>
      <x:c r="AA584" s="2"/>
      <x:c r="AB584" s="2"/>
      <x:c r="AC584" s="10" t="n">
        <x:f>IF(OR(K584="",Q584=""),"",ROUND((Q584-K584)*1440,2))</x:f>
        <x:v>29</x:v>
      </x:c>
    </x:row>
    <x:row r="585" ht="21" customHeight="1">
      <x:c r="A585" s="2" t="str">
        <x:v>LN00584</x:v>
      </x:c>
      <x:c r="B585" s="2" t="str">
        <x:v>T20261006-2-2</x:v>
      </x:c>
      <x:c r="C585" s="7" t="n">
        <x:v>46301</x:v>
      </x:c>
      <x:c r="D585" s="2" t="str">
        <x:v>BUS002</x:v>
      </x:c>
      <x:c r="E585" s="2" t="str">
        <x:v>ST044</x:v>
      </x:c>
      <x:c r="F585" s="2" t="n">
        <x:v>1</x:v>
      </x:c>
      <x:c r="G585" s="2" t="str">
        <x:v>Junior</x:v>
      </x:c>
      <x:c r="H585" s="2" t="str">
        <x:v>Drop-off</x:v>
      </x:c>
      <x:c r="I585" s="2" t="str">
        <x:v>R2S1</x:v>
      </x:c>
      <x:c r="J585" s="2" t="str">
        <x:v>EV001161</x:v>
      </x:c>
      <x:c r="K585" s="8" t="n">
        <x:v>46301.43760416667</x:v>
      </x:c>
      <x:c r="L585" s="2" t="str">
        <x:v>SCH01</x:v>
      </x:c>
      <x:c r="M585" s="9" t="n">
        <x:v>25.285</x:v>
      </x:c>
      <x:c r="N585" s="9" t="n">
        <x:v>51.51</x:v>
      </x:c>
      <x:c r="O585" s="2" t="str">
        <x:v>Valid</x:v>
      </x:c>
      <x:c r="P585" s="2" t="str">
        <x:v>EV001162</x:v>
      </x:c>
      <x:c r="Q585" s="8" t="n">
        <x:v>46301.44940972222</x:v>
      </x:c>
      <x:c r="R585" s="2" t="str">
        <x:v>R2S1</x:v>
      </x:c>
      <x:c r="S585" s="9" t="n">
        <x:v>25.28</x:v>
      </x:c>
      <x:c r="T585" s="9" t="n">
        <x:v>51.498999999999995</x:v>
      </x:c>
      <x:c r="U585" s="2" t="str">
        <x:v>G044</x:v>
      </x:c>
      <x:c r="V585" s="2" t="str">
        <x:v>Authorized guardian release</x:v>
      </x:c>
      <x:c r="W585" s="2" t="str">
        <x:v>Completed transport</x:v>
      </x:c>
      <x:c r="X585" s="2" t="str">
        <x:v>QR</x:v>
      </x:c>
      <x:c r="Y585" s="2" t="str">
        <x:v>Online</x:v>
      </x:c>
      <x:c r="Z585" s="2" t="str">
        <x:v>Synced</x:v>
      </x:c>
      <x:c r="AA585" s="2"/>
      <x:c r="AB585" s="2"/>
      <x:c r="AC585" s="10" t="n">
        <x:f>IF(OR(K585="",Q585=""),"",ROUND((Q585-K585)*1440,2))</x:f>
        <x:v>17</x:v>
      </x:c>
    </x:row>
    <x:row r="586" ht="21" customHeight="1">
      <x:c r="A586" s="2" t="str">
        <x:v>LN00585</x:v>
      </x:c>
      <x:c r="B586" s="2" t="str">
        <x:v>T20261006-2-2</x:v>
      </x:c>
      <x:c r="C586" s="7" t="n">
        <x:v>46301</x:v>
      </x:c>
      <x:c r="D586" s="2" t="str">
        <x:v>BUS002</x:v>
      </x:c>
      <x:c r="E586" s="2" t="str">
        <x:v>ST045</x:v>
      </x:c>
      <x:c r="F586" s="2" t="n">
        <x:v>1</x:v>
      </x:c>
      <x:c r="G586" s="2" t="str">
        <x:v>Junior</x:v>
      </x:c>
      <x:c r="H586" s="2" t="str">
        <x:v>Drop-off</x:v>
      </x:c>
      <x:c r="I586" s="2" t="str">
        <x:v>R2S2</x:v>
      </x:c>
      <x:c r="J586" s="2" t="str">
        <x:v>EV001163</x:v>
      </x:c>
      <x:c r="K586" s="8" t="n">
        <x:v>46301.43763888889</x:v>
      </x:c>
      <x:c r="L586" s="2" t="str">
        <x:v>SCH01</x:v>
      </x:c>
      <x:c r="M586" s="9" t="n">
        <x:v>25.285</x:v>
      </x:c>
      <x:c r="N586" s="9" t="n">
        <x:v>51.51</x:v>
      </x:c>
      <x:c r="O586" s="2" t="str">
        <x:v>Valid</x:v>
      </x:c>
      <x:c r="P586" s="2" t="str">
        <x:v>EV001164</x:v>
      </x:c>
      <x:c r="Q586" s="8" t="n">
        <x:v>46301.453611111116</x:v>
      </x:c>
      <x:c r="R586" s="2" t="str">
        <x:v>R2S2</x:v>
      </x:c>
      <x:c r="S586" s="9" t="n">
        <x:v>25.282000000000004</x:v>
      </x:c>
      <x:c r="T586" s="9" t="n">
        <x:v>51.501999999999995</x:v>
      </x:c>
      <x:c r="U586" s="2" t="str">
        <x:v>G045</x:v>
      </x:c>
      <x:c r="V586" s="2" t="str">
        <x:v>Authorized guardian release</x:v>
      </x:c>
      <x:c r="W586" s="2" t="str">
        <x:v>Completed transport</x:v>
      </x:c>
      <x:c r="X586" s="2" t="str">
        <x:v>QR</x:v>
      </x:c>
      <x:c r="Y586" s="2" t="str">
        <x:v>Online</x:v>
      </x:c>
      <x:c r="Z586" s="2" t="str">
        <x:v>Synced</x:v>
      </x:c>
      <x:c r="AA586" s="2"/>
      <x:c r="AB586" s="2"/>
      <x:c r="AC586" s="10" t="n">
        <x:f>IF(OR(K586="",Q586=""),"",ROUND((Q586-K586)*1440,2))</x:f>
        <x:v>23</x:v>
      </x:c>
    </x:row>
    <x:row r="587" ht="21" customHeight="1">
      <x:c r="A587" s="2" t="str">
        <x:v>LN00586</x:v>
      </x:c>
      <x:c r="B587" s="2" t="str">
        <x:v>T20261006-2-2</x:v>
      </x:c>
      <x:c r="C587" s="7" t="n">
        <x:v>46301</x:v>
      </x:c>
      <x:c r="D587" s="2" t="str">
        <x:v>BUS002</x:v>
      </x:c>
      <x:c r="E587" s="2" t="str">
        <x:v>ST046</x:v>
      </x:c>
      <x:c r="F587" s="2" t="n">
        <x:v>1</x:v>
      </x:c>
      <x:c r="G587" s="2" t="str">
        <x:v>Junior</x:v>
      </x:c>
      <x:c r="H587" s="2" t="str">
        <x:v>Drop-off</x:v>
      </x:c>
      <x:c r="I587" s="2" t="str">
        <x:v>R2S3</x:v>
      </x:c>
      <x:c r="J587" s="2" t="str">
        <x:v>EV001165</x:v>
      </x:c>
      <x:c r="K587" s="8" t="n">
        <x:v>46301.43767361111</x:v>
      </x:c>
      <x:c r="L587" s="2" t="str">
        <x:v>SCH01</x:v>
      </x:c>
      <x:c r="M587" s="9" t="n">
        <x:v>25.285</x:v>
      </x:c>
      <x:c r="N587" s="9" t="n">
        <x:v>51.51</x:v>
      </x:c>
      <x:c r="O587" s="2" t="str">
        <x:v>Valid</x:v>
      </x:c>
      <x:c r="P587" s="2" t="str">
        <x:v>EV001166</x:v>
      </x:c>
      <x:c r="Q587" s="8" t="n">
        <x:v>46301.4578125</x:v>
      </x:c>
      <x:c r="R587" s="2" t="str">
        <x:v>R2S3</x:v>
      </x:c>
      <x:c r="S587" s="9" t="n">
        <x:v>25.284000000000002</x:v>
      </x:c>
      <x:c r="T587" s="9" t="n">
        <x:v>51.504999999999995</x:v>
      </x:c>
      <x:c r="U587" s="2" t="str">
        <x:v>G046</x:v>
      </x:c>
      <x:c r="V587" s="2" t="str">
        <x:v>Authorized guardian release</x:v>
      </x:c>
      <x:c r="W587" s="2" t="str">
        <x:v>Completed transport</x:v>
      </x:c>
      <x:c r="X587" s="2" t="str">
        <x:v>QR</x:v>
      </x:c>
      <x:c r="Y587" s="2" t="str">
        <x:v>Online</x:v>
      </x:c>
      <x:c r="Z587" s="2" t="str">
        <x:v>Synced</x:v>
      </x:c>
      <x:c r="AA587" s="2"/>
      <x:c r="AB587" s="2"/>
      <x:c r="AC587" s="10" t="n">
        <x:f>IF(OR(K587="",Q587=""),"",ROUND((Q587-K587)*1440,2))</x:f>
        <x:v>29</x:v>
      </x:c>
    </x:row>
    <x:row r="588" ht="21" customHeight="1">
      <x:c r="A588" s="2" t="str">
        <x:v>LN00587</x:v>
      </x:c>
      <x:c r="B588" s="2" t="str">
        <x:v>T20261006-2-2</x:v>
      </x:c>
      <x:c r="C588" s="7" t="n">
        <x:v>46301</x:v>
      </x:c>
      <x:c r="D588" s="2" t="str">
        <x:v>BUS002</x:v>
      </x:c>
      <x:c r="E588" s="2" t="str">
        <x:v>ST047</x:v>
      </x:c>
      <x:c r="F588" s="2" t="n">
        <x:v>1</x:v>
      </x:c>
      <x:c r="G588" s="2" t="str">
        <x:v>Junior</x:v>
      </x:c>
      <x:c r="H588" s="2" t="str">
        <x:v>Drop-off</x:v>
      </x:c>
      <x:c r="I588" s="2" t="str">
        <x:v>R2S1</x:v>
      </x:c>
      <x:c r="J588" s="2" t="str">
        <x:v>EV001167</x:v>
      </x:c>
      <x:c r="K588" s="8" t="n">
        <x:v>46301.43770833333</x:v>
      </x:c>
      <x:c r="L588" s="2" t="str">
        <x:v>SCH01</x:v>
      </x:c>
      <x:c r="M588" s="9" t="n">
        <x:v>25.285</x:v>
      </x:c>
      <x:c r="N588" s="9" t="n">
        <x:v>51.51</x:v>
      </x:c>
      <x:c r="O588" s="2" t="str">
        <x:v>Valid</x:v>
      </x:c>
      <x:c r="P588" s="2" t="str">
        <x:v>EV001168</x:v>
      </x:c>
      <x:c r="Q588" s="8" t="n">
        <x:v>46301.44951388888</x:v>
      </x:c>
      <x:c r="R588" s="2" t="str">
        <x:v>R2S1</x:v>
      </x:c>
      <x:c r="S588" s="9" t="n">
        <x:v>25.28</x:v>
      </x:c>
      <x:c r="T588" s="9" t="n">
        <x:v>51.498999999999995</x:v>
      </x:c>
      <x:c r="U588" s="2" t="str">
        <x:v>G047</x:v>
      </x:c>
      <x:c r="V588" s="2" t="str">
        <x:v>Authorized guardian release</x:v>
      </x:c>
      <x:c r="W588" s="2" t="str">
        <x:v>Completed transport</x:v>
      </x:c>
      <x:c r="X588" s="2" t="str">
        <x:v>QR</x:v>
      </x:c>
      <x:c r="Y588" s="2" t="str">
        <x:v>Online</x:v>
      </x:c>
      <x:c r="Z588" s="2" t="str">
        <x:v>Synced</x:v>
      </x:c>
      <x:c r="AA588" s="2"/>
      <x:c r="AB588" s="2"/>
      <x:c r="AC588" s="10" t="n">
        <x:f>IF(OR(K588="",Q588=""),"",ROUND((Q588-K588)*1440,2))</x:f>
        <x:v>17</x:v>
      </x:c>
    </x:row>
    <x:row r="589" ht="21" customHeight="1">
      <x:c r="A589" s="2" t="str">
        <x:v>LN00588</x:v>
      </x:c>
      <x:c r="B589" s="2" t="str">
        <x:v>T20261006-2-2</x:v>
      </x:c>
      <x:c r="C589" s="7" t="n">
        <x:v>46301</x:v>
      </x:c>
      <x:c r="D589" s="2" t="str">
        <x:v>BUS002</x:v>
      </x:c>
      <x:c r="E589" s="2" t="str">
        <x:v>ST048</x:v>
      </x:c>
      <x:c r="F589" s="2" t="n">
        <x:v>1</x:v>
      </x:c>
      <x:c r="G589" s="2" t="str">
        <x:v>Junior</x:v>
      </x:c>
      <x:c r="H589" s="2" t="str">
        <x:v>Drop-off</x:v>
      </x:c>
      <x:c r="I589" s="2" t="str">
        <x:v>R2S2</x:v>
      </x:c>
      <x:c r="J589" s="2" t="str">
        <x:v>EV001169</x:v>
      </x:c>
      <x:c r="K589" s="8" t="n">
        <x:v>46301.437743055554</x:v>
      </x:c>
      <x:c r="L589" s="2" t="str">
        <x:v>SCH01</x:v>
      </x:c>
      <x:c r="M589" s="9" t="n">
        <x:v>25.285</x:v>
      </x:c>
      <x:c r="N589" s="9" t="n">
        <x:v>51.51</x:v>
      </x:c>
      <x:c r="O589" s="2" t="str">
        <x:v>Valid</x:v>
      </x:c>
      <x:c r="P589" s="2" t="str">
        <x:v>EV001170</x:v>
      </x:c>
      <x:c r="Q589" s="8" t="n">
        <x:v>46301.45371527778</x:v>
      </x:c>
      <x:c r="R589" s="2" t="str">
        <x:v>R2S2</x:v>
      </x:c>
      <x:c r="S589" s="9" t="n">
        <x:v>25.282000000000004</x:v>
      </x:c>
      <x:c r="T589" s="9" t="n">
        <x:v>51.501999999999995</x:v>
      </x:c>
      <x:c r="U589" s="2" t="str">
        <x:v>G048</x:v>
      </x:c>
      <x:c r="V589" s="2" t="str">
        <x:v>Authorized guardian release</x:v>
      </x:c>
      <x:c r="W589" s="2" t="str">
        <x:v>Completed transport</x:v>
      </x:c>
      <x:c r="X589" s="2" t="str">
        <x:v>QR</x:v>
      </x:c>
      <x:c r="Y589" s="2" t="str">
        <x:v>Online</x:v>
      </x:c>
      <x:c r="Z589" s="2" t="str">
        <x:v>Synced</x:v>
      </x:c>
      <x:c r="AA589" s="2"/>
      <x:c r="AB589" s="2"/>
      <x:c r="AC589" s="10" t="n">
        <x:f>IF(OR(K589="",Q589=""),"",ROUND((Q589-K589)*1440,2))</x:f>
        <x:v>23</x:v>
      </x:c>
    </x:row>
    <x:row r="590" ht="21" customHeight="1">
      <x:c r="A590" s="2" t="str">
        <x:v>LN00589</x:v>
      </x:c>
      <x:c r="B590" s="2" t="str">
        <x:v>T20261006-2-2</x:v>
      </x:c>
      <x:c r="C590" s="7" t="n">
        <x:v>46301</x:v>
      </x:c>
      <x:c r="D590" s="2" t="str">
        <x:v>BUS002</x:v>
      </x:c>
      <x:c r="E590" s="2" t="str">
        <x:v>ST049</x:v>
      </x:c>
      <x:c r="F590" s="2" t="n">
        <x:v>1</x:v>
      </x:c>
      <x:c r="G590" s="2" t="str">
        <x:v>Junior</x:v>
      </x:c>
      <x:c r="H590" s="2" t="str">
        <x:v>Drop-off</x:v>
      </x:c>
      <x:c r="I590" s="2" t="str">
        <x:v>R2S3</x:v>
      </x:c>
      <x:c r="J590" s="2" t="str">
        <x:v>EV001171</x:v>
      </x:c>
      <x:c r="K590" s="8" t="n">
        <x:v>46301.43777777778</x:v>
      </x:c>
      <x:c r="L590" s="2" t="str">
        <x:v>SCH01</x:v>
      </x:c>
      <x:c r="M590" s="9" t="n">
        <x:v>25.285</x:v>
      </x:c>
      <x:c r="N590" s="9" t="n">
        <x:v>51.51</x:v>
      </x:c>
      <x:c r="O590" s="2" t="str">
        <x:v>Valid</x:v>
      </x:c>
      <x:c r="P590" s="2" t="str">
        <x:v>EV001172</x:v>
      </x:c>
      <x:c r="Q590" s="8" t="n">
        <x:v>46301.457916666666</x:v>
      </x:c>
      <x:c r="R590" s="2" t="str">
        <x:v>R2S3</x:v>
      </x:c>
      <x:c r="S590" s="9" t="n">
        <x:v>25.284000000000002</x:v>
      </x:c>
      <x:c r="T590" s="9" t="n">
        <x:v>51.504999999999995</x:v>
      </x:c>
      <x:c r="U590" s="2" t="str">
        <x:v>G049</x:v>
      </x:c>
      <x:c r="V590" s="2" t="str">
        <x:v>Authorized guardian release</x:v>
      </x:c>
      <x:c r="W590" s="2" t="str">
        <x:v>Completed transport</x:v>
      </x:c>
      <x:c r="X590" s="2" t="str">
        <x:v>QR</x:v>
      </x:c>
      <x:c r="Y590" s="2" t="str">
        <x:v>Online</x:v>
      </x:c>
      <x:c r="Z590" s="2" t="str">
        <x:v>Synced</x:v>
      </x:c>
      <x:c r="AA590" s="2"/>
      <x:c r="AB590" s="2"/>
      <x:c r="AC590" s="10" t="n">
        <x:f>IF(OR(K590="",Q590=""),"",ROUND((Q590-K590)*1440,2))</x:f>
        <x:v>29</x:v>
      </x:c>
    </x:row>
    <x:row r="591" ht="21" customHeight="1">
      <x:c r="A591" s="2" t="str">
        <x:v>LN00590</x:v>
      </x:c>
      <x:c r="B591" s="2" t="str">
        <x:v>T20261006-2-2</x:v>
      </x:c>
      <x:c r="C591" s="7" t="n">
        <x:v>46301</x:v>
      </x:c>
      <x:c r="D591" s="2" t="str">
        <x:v>BUS002</x:v>
      </x:c>
      <x:c r="E591" s="2" t="str">
        <x:v>ST050</x:v>
      </x:c>
      <x:c r="F591" s="2" t="n">
        <x:v>1</x:v>
      </x:c>
      <x:c r="G591" s="2" t="str">
        <x:v>Junior</x:v>
      </x:c>
      <x:c r="H591" s="2" t="str">
        <x:v>Drop-off</x:v>
      </x:c>
      <x:c r="I591" s="2" t="str">
        <x:v>R2S1</x:v>
      </x:c>
      <x:c r="J591" s="2" t="str">
        <x:v>EV001173</x:v>
      </x:c>
      <x:c r="K591" s="8" t="n">
        <x:v>46301.4378125</x:v>
      </x:c>
      <x:c r="L591" s="2" t="str">
        <x:v>SCH01</x:v>
      </x:c>
      <x:c r="M591" s="9" t="n">
        <x:v>25.285</x:v>
      </x:c>
      <x:c r="N591" s="9" t="n">
        <x:v>51.51</x:v>
      </x:c>
      <x:c r="O591" s="2" t="str">
        <x:v>Valid</x:v>
      </x:c>
      <x:c r="P591" s="2" t="str">
        <x:v>EV001174</x:v>
      </x:c>
      <x:c r="Q591" s="8" t="n">
        <x:v>46301.44961805555</x:v>
      </x:c>
      <x:c r="R591" s="2" t="str">
        <x:v>R2S1</x:v>
      </x:c>
      <x:c r="S591" s="9" t="n">
        <x:v>25.28</x:v>
      </x:c>
      <x:c r="T591" s="9" t="n">
        <x:v>51.498999999999995</x:v>
      </x:c>
      <x:c r="U591" s="2" t="str">
        <x:v>G050</x:v>
      </x:c>
      <x:c r="V591" s="2" t="str">
        <x:v>Authorized guardian release</x:v>
      </x:c>
      <x:c r="W591" s="2" t="str">
        <x:v>Completed transport</x:v>
      </x:c>
      <x:c r="X591" s="2" t="str">
        <x:v>QR</x:v>
      </x:c>
      <x:c r="Y591" s="2" t="str">
        <x:v>Online</x:v>
      </x:c>
      <x:c r="Z591" s="2" t="str">
        <x:v>Synced</x:v>
      </x:c>
      <x:c r="AA591" s="2"/>
      <x:c r="AB591" s="2"/>
      <x:c r="AC591" s="10" t="n">
        <x:f>IF(OR(K591="",Q591=""),"",ROUND((Q591-K591)*1440,2))</x:f>
        <x:v>17</x:v>
      </x:c>
    </x:row>
    <x:row r="592" ht="21" customHeight="1">
      <x:c r="A592" s="2" t="str">
        <x:v>LN00591</x:v>
      </x:c>
      <x:c r="B592" s="2" t="str">
        <x:v>T20261006-2-2</x:v>
      </x:c>
      <x:c r="C592" s="7" t="n">
        <x:v>46301</x:v>
      </x:c>
      <x:c r="D592" s="2" t="str">
        <x:v>BUS002</x:v>
      </x:c>
      <x:c r="E592" s="2" t="str">
        <x:v>ST061</x:v>
      </x:c>
      <x:c r="F592" s="2" t="n">
        <x:v>2</x:v>
      </x:c>
      <x:c r="G592" s="2" t="str">
        <x:v>Junior</x:v>
      </x:c>
      <x:c r="H592" s="2" t="str">
        <x:v>Pickup</x:v>
      </x:c>
      <x:c r="I592" s="2" t="str">
        <x:v>R2S3</x:v>
      </x:c>
      <x:c r="J592" s="2" t="str">
        <x:v>EV001175</x:v>
      </x:c>
      <x:c r="K592" s="8" t="n">
        <x:v>46301.48125</x:v>
      </x:c>
      <x:c r="L592" s="2" t="str">
        <x:v>R2S3</x:v>
      </x:c>
      <x:c r="M592" s="9" t="n">
        <x:v>25.284000000000002</x:v>
      </x:c>
      <x:c r="N592" s="9" t="n">
        <x:v>51.504999999999995</x:v>
      </x:c>
      <x:c r="O592" s="2" t="str">
        <x:v>Valid</x:v>
      </x:c>
      <x:c r="P592" s="2" t="str">
        <x:v>EV001176</x:v>
      </x:c>
      <x:c r="Q592" s="8" t="n">
        <x:v>46301.506250000006</x:v>
      </x:c>
      <x:c r="R592" s="2" t="str">
        <x:v>SCH01</x:v>
      </x:c>
      <x:c r="S592" s="9" t="n">
        <x:v>25.285</x:v>
      </x:c>
      <x:c r="T592" s="9" t="n">
        <x:v>51.51</x:v>
      </x:c>
      <x:c r="U592" s="2" t="str">
        <x:v>SCHOOL_RECEIVER_01</x:v>
      </x:c>
      <x:c r="V592" s="2" t="str">
        <x:v>School staff receipt</x:v>
      </x:c>
      <x:c r="W592" s="2" t="str">
        <x:v>Completed transport</x:v>
      </x:c>
      <x:c r="X592" s="2" t="str">
        <x:v>QR</x:v>
      </x:c>
      <x:c r="Y592" s="2" t="str">
        <x:v>Offline</x:v>
      </x:c>
      <x:c r="Z592" s="2" t="str">
        <x:v>Synced</x:v>
      </x:c>
      <x:c r="AA592" s="2"/>
      <x:c r="AB592" s="2"/>
      <x:c r="AC592" s="10" t="n">
        <x:f>IF(OR(K592="",Q592=""),"",ROUND((Q592-K592)*1440,2))</x:f>
        <x:v>36</x:v>
      </x:c>
    </x:row>
    <x:row r="593" ht="21" customHeight="1">
      <x:c r="A593" s="2" t="str">
        <x:v>LN00592</x:v>
      </x:c>
      <x:c r="B593" s="2" t="str">
        <x:v>T20261006-2-2</x:v>
      </x:c>
      <x:c r="C593" s="7" t="n">
        <x:v>46301</x:v>
      </x:c>
      <x:c r="D593" s="2" t="str">
        <x:v>BUS002</x:v>
      </x:c>
      <x:c r="E593" s="2" t="str">
        <x:v>ST062</x:v>
      </x:c>
      <x:c r="F593" s="2" t="n">
        <x:v>2</x:v>
      </x:c>
      <x:c r="G593" s="2" t="str">
        <x:v>Junior</x:v>
      </x:c>
      <x:c r="H593" s="2" t="str">
        <x:v>Pickup</x:v>
      </x:c>
      <x:c r="I593" s="2" t="str">
        <x:v>R2S1</x:v>
      </x:c>
      <x:c r="J593" s="2" t="str">
        <x:v>EV001177</x:v>
      </x:c>
      <x:c r="K593" s="8" t="n">
        <x:v>46301.4715625</x:v>
      </x:c>
      <x:c r="L593" s="2" t="str">
        <x:v>R2S1</x:v>
      </x:c>
      <x:c r="M593" s="9" t="n">
        <x:v>25.28</x:v>
      </x:c>
      <x:c r="N593" s="9" t="n">
        <x:v>51.498999999999995</x:v>
      </x:c>
      <x:c r="O593" s="2" t="str">
        <x:v>Valid</x:v>
      </x:c>
      <x:c r="P593" s="2" t="str">
        <x:v>EV001178</x:v>
      </x:c>
      <x:c r="Q593" s="8" t="n">
        <x:v>46301.50628472223</x:v>
      </x:c>
      <x:c r="R593" s="2" t="str">
        <x:v>SCH01</x:v>
      </x:c>
      <x:c r="S593" s="9" t="n">
        <x:v>25.285</x:v>
      </x:c>
      <x:c r="T593" s="9" t="n">
        <x:v>51.51</x:v>
      </x:c>
      <x:c r="U593" s="2" t="str">
        <x:v>SCHOOL_RECEIVER_01</x:v>
      </x:c>
      <x:c r="V593" s="2" t="str">
        <x:v>School staff receipt</x:v>
      </x:c>
      <x:c r="W593" s="2" t="str">
        <x:v>Completed transport</x:v>
      </x:c>
      <x:c r="X593" s="2" t="str">
        <x:v>QR</x:v>
      </x:c>
      <x:c r="Y593" s="2" t="str">
        <x:v>Offline</x:v>
      </x:c>
      <x:c r="Z593" s="2" t="str">
        <x:v>Synced</x:v>
      </x:c>
      <x:c r="AA593" s="2"/>
      <x:c r="AB593" s="2"/>
      <x:c r="AC593" s="10" t="n">
        <x:f>IF(OR(K593="",Q593=""),"",ROUND((Q593-K593)*1440,2))</x:f>
        <x:v>50</x:v>
      </x:c>
    </x:row>
    <x:row r="594" ht="21" customHeight="1">
      <x:c r="A594" s="2" t="str">
        <x:v>LN00593</x:v>
      </x:c>
      <x:c r="B594" s="2" t="str">
        <x:v>T20261006-2-2</x:v>
      </x:c>
      <x:c r="C594" s="7" t="n">
        <x:v>46301</x:v>
      </x:c>
      <x:c r="D594" s="2" t="str">
        <x:v>BUS002</x:v>
      </x:c>
      <x:c r="E594" s="2" t="str">
        <x:v>ST063</x:v>
      </x:c>
      <x:c r="F594" s="2" t="n">
        <x:v>2</x:v>
      </x:c>
      <x:c r="G594" s="2" t="str">
        <x:v>Junior</x:v>
      </x:c>
      <x:c r="H594" s="2" t="str">
        <x:v>Pickup</x:v>
      </x:c>
      <x:c r="I594" s="2" t="str">
        <x:v>R2S2</x:v>
      </x:c>
      <x:c r="J594" s="2" t="str">
        <x:v>EV001179</x:v>
      </x:c>
      <x:c r="K594" s="8" t="n">
        <x:v>46301.47645833333</x:v>
      </x:c>
      <x:c r="L594" s="2" t="str">
        <x:v>R2S2</x:v>
      </x:c>
      <x:c r="M594" s="9" t="n">
        <x:v>25.282000000000004</x:v>
      </x:c>
      <x:c r="N594" s="9" t="n">
        <x:v>51.501999999999995</x:v>
      </x:c>
      <x:c r="O594" s="2" t="str">
        <x:v>Valid</x:v>
      </x:c>
      <x:c r="P594" s="2" t="str">
        <x:v>EV001180</x:v>
      </x:c>
      <x:c r="Q594" s="8" t="n">
        <x:v>46301.506319444445</x:v>
      </x:c>
      <x:c r="R594" s="2" t="str">
        <x:v>SCH01</x:v>
      </x:c>
      <x:c r="S594" s="9" t="n">
        <x:v>25.285</x:v>
      </x:c>
      <x:c r="T594" s="9" t="n">
        <x:v>51.51</x:v>
      </x:c>
      <x:c r="U594" s="2" t="str">
        <x:v>SCHOOL_RECEIVER_01</x:v>
      </x:c>
      <x:c r="V594" s="2" t="str">
        <x:v>School staff receipt</x:v>
      </x:c>
      <x:c r="W594" s="2" t="str">
        <x:v>Completed transport</x:v>
      </x:c>
      <x:c r="X594" s="2" t="str">
        <x:v>QR</x:v>
      </x:c>
      <x:c r="Y594" s="2" t="str">
        <x:v>Offline</x:v>
      </x:c>
      <x:c r="Z594" s="2" t="str">
        <x:v>Synced</x:v>
      </x:c>
      <x:c r="AA594" s="2"/>
      <x:c r="AB594" s="2"/>
      <x:c r="AC594" s="10" t="n">
        <x:f>IF(OR(K594="",Q594=""),"",ROUND((Q594-K594)*1440,2))</x:f>
        <x:v>43</x:v>
      </x:c>
    </x:row>
    <x:row r="595" ht="21" customHeight="1">
      <x:c r="A595" s="2" t="str">
        <x:v>LN00594</x:v>
      </x:c>
      <x:c r="B595" s="2" t="str">
        <x:v>T20261006-2-2</x:v>
      </x:c>
      <x:c r="C595" s="7" t="n">
        <x:v>46301</x:v>
      </x:c>
      <x:c r="D595" s="2" t="str">
        <x:v>BUS002</x:v>
      </x:c>
      <x:c r="E595" s="2" t="str">
        <x:v>ST064</x:v>
      </x:c>
      <x:c r="F595" s="2" t="n">
        <x:v>2</x:v>
      </x:c>
      <x:c r="G595" s="2" t="str">
        <x:v>Junior</x:v>
      </x:c>
      <x:c r="H595" s="2" t="str">
        <x:v>Pickup</x:v>
      </x:c>
      <x:c r="I595" s="2" t="str">
        <x:v>R2S3</x:v>
      </x:c>
      <x:c r="J595" s="2" t="str">
        <x:v>EV001181</x:v>
      </x:c>
      <x:c r="K595" s="8" t="n">
        <x:v>46301.481354166666</x:v>
      </x:c>
      <x:c r="L595" s="2" t="str">
        <x:v>R2S3</x:v>
      </x:c>
      <x:c r="M595" s="9" t="n">
        <x:v>25.284000000000002</x:v>
      </x:c>
      <x:c r="N595" s="9" t="n">
        <x:v>51.504999999999995</x:v>
      </x:c>
      <x:c r="O595" s="2" t="str">
        <x:v>Valid</x:v>
      </x:c>
      <x:c r="P595" s="2" t="str">
        <x:v>EV001182</x:v>
      </x:c>
      <x:c r="Q595" s="8" t="n">
        <x:v>46301.50635416667</x:v>
      </x:c>
      <x:c r="R595" s="2" t="str">
        <x:v>SCH01</x:v>
      </x:c>
      <x:c r="S595" s="9" t="n">
        <x:v>25.285</x:v>
      </x:c>
      <x:c r="T595" s="9" t="n">
        <x:v>51.51</x:v>
      </x:c>
      <x:c r="U595" s="2" t="str">
        <x:v>SCHOOL_RECEIVER_01</x:v>
      </x:c>
      <x:c r="V595" s="2" t="str">
        <x:v>School staff receipt</x:v>
      </x:c>
      <x:c r="W595" s="2" t="str">
        <x:v>Completed transport</x:v>
      </x:c>
      <x:c r="X595" s="2" t="str">
        <x:v>QR</x:v>
      </x:c>
      <x:c r="Y595" s="2" t="str">
        <x:v>Offline</x:v>
      </x:c>
      <x:c r="Z595" s="2" t="str">
        <x:v>Synced</x:v>
      </x:c>
      <x:c r="AA595" s="2"/>
      <x:c r="AB595" s="2"/>
      <x:c r="AC595" s="10" t="n">
        <x:f>IF(OR(K595="",Q595=""),"",ROUND((Q595-K595)*1440,2))</x:f>
        <x:v>36</x:v>
      </x:c>
    </x:row>
    <x:row r="596" ht="21" customHeight="1">
      <x:c r="A596" s="2" t="str">
        <x:v>LN00595</x:v>
      </x:c>
      <x:c r="B596" s="2" t="str">
        <x:v>T20261006-2-2</x:v>
      </x:c>
      <x:c r="C596" s="7" t="n">
        <x:v>46301</x:v>
      </x:c>
      <x:c r="D596" s="2" t="str">
        <x:v>BUS002</x:v>
      </x:c>
      <x:c r="E596" s="2" t="str">
        <x:v>ST065</x:v>
      </x:c>
      <x:c r="F596" s="2" t="n">
        <x:v>2</x:v>
      </x:c>
      <x:c r="G596" s="2" t="str">
        <x:v>Junior</x:v>
      </x:c>
      <x:c r="H596" s="2" t="str">
        <x:v>Pickup</x:v>
      </x:c>
      <x:c r="I596" s="2" t="str">
        <x:v>R2S1</x:v>
      </x:c>
      <x:c r="J596" s="2" t="str">
        <x:v>EV001183</x:v>
      </x:c>
      <x:c r="K596" s="8" t="n">
        <x:v>46301.47166666667</x:v>
      </x:c>
      <x:c r="L596" s="2" t="str">
        <x:v>R2S1</x:v>
      </x:c>
      <x:c r="M596" s="9" t="n">
        <x:v>25.28</x:v>
      </x:c>
      <x:c r="N596" s="9" t="n">
        <x:v>51.498999999999995</x:v>
      </x:c>
      <x:c r="O596" s="2" t="str">
        <x:v>Valid</x:v>
      </x:c>
      <x:c r="P596" s="2" t="str">
        <x:v>EV001184</x:v>
      </x:c>
      <x:c r="Q596" s="8" t="n">
        <x:v>46301.50638888889</x:v>
      </x:c>
      <x:c r="R596" s="2" t="str">
        <x:v>SCH01</x:v>
      </x:c>
      <x:c r="S596" s="9" t="n">
        <x:v>25.285</x:v>
      </x:c>
      <x:c r="T596" s="9" t="n">
        <x:v>51.51</x:v>
      </x:c>
      <x:c r="U596" s="2" t="str">
        <x:v>SCHOOL_RECEIVER_01</x:v>
      </x:c>
      <x:c r="V596" s="2" t="str">
        <x:v>School staff receipt</x:v>
      </x:c>
      <x:c r="W596" s="2" t="str">
        <x:v>Completed transport</x:v>
      </x:c>
      <x:c r="X596" s="2" t="str">
        <x:v>QR</x:v>
      </x:c>
      <x:c r="Y596" s="2" t="str">
        <x:v>Offline</x:v>
      </x:c>
      <x:c r="Z596" s="2" t="str">
        <x:v>Synced</x:v>
      </x:c>
      <x:c r="AA596" s="2"/>
      <x:c r="AB596" s="2"/>
      <x:c r="AC596" s="10" t="n">
        <x:f>IF(OR(K596="",Q596=""),"",ROUND((Q596-K596)*1440,2))</x:f>
        <x:v>50</x:v>
      </x:c>
    </x:row>
    <x:row r="597" ht="21" customHeight="1">
      <x:c r="A597" s="2" t="str">
        <x:v>LN00596</x:v>
      </x:c>
      <x:c r="B597" s="2" t="str">
        <x:v>T20261006-2-2</x:v>
      </x:c>
      <x:c r="C597" s="7" t="n">
        <x:v>46301</x:v>
      </x:c>
      <x:c r="D597" s="2" t="str">
        <x:v>BUS002</x:v>
      </x:c>
      <x:c r="E597" s="2" t="str">
        <x:v>ST066</x:v>
      </x:c>
      <x:c r="F597" s="2" t="n">
        <x:v>2</x:v>
      </x:c>
      <x:c r="G597" s="2" t="str">
        <x:v>Junior</x:v>
      </x:c>
      <x:c r="H597" s="2" t="str">
        <x:v>Pickup</x:v>
      </x:c>
      <x:c r="I597" s="2" t="str">
        <x:v>R2S2</x:v>
      </x:c>
      <x:c r="J597" s="2" t="str">
        <x:v>EV001185</x:v>
      </x:c>
      <x:c r="K597" s="8" t="n">
        <x:v>46301.47656249999</x:v>
      </x:c>
      <x:c r="L597" s="2" t="str">
        <x:v>R2S2</x:v>
      </x:c>
      <x:c r="M597" s="9" t="n">
        <x:v>25.282000000000004</x:v>
      </x:c>
      <x:c r="N597" s="9" t="n">
        <x:v>51.501999999999995</x:v>
      </x:c>
      <x:c r="O597" s="2" t="str">
        <x:v>Valid</x:v>
      </x:c>
      <x:c r="P597" s="2" t="str">
        <x:v>EV001186</x:v>
      </x:c>
      <x:c r="Q597" s="8" t="n">
        <x:v>46301.506423611114</x:v>
      </x:c>
      <x:c r="R597" s="2" t="str">
        <x:v>SCH01</x:v>
      </x:c>
      <x:c r="S597" s="9" t="n">
        <x:v>25.285</x:v>
      </x:c>
      <x:c r="T597" s="9" t="n">
        <x:v>51.51</x:v>
      </x:c>
      <x:c r="U597" s="2" t="str">
        <x:v>SCHOOL_RECEIVER_01</x:v>
      </x:c>
      <x:c r="V597" s="2" t="str">
        <x:v>School staff receipt</x:v>
      </x:c>
      <x:c r="W597" s="2" t="str">
        <x:v>Completed transport</x:v>
      </x:c>
      <x:c r="X597" s="2" t="str">
        <x:v>QR</x:v>
      </x:c>
      <x:c r="Y597" s="2" t="str">
        <x:v>Offline</x:v>
      </x:c>
      <x:c r="Z597" s="2" t="str">
        <x:v>Synced</x:v>
      </x:c>
      <x:c r="AA597" s="2"/>
      <x:c r="AB597" s="2"/>
      <x:c r="AC597" s="10" t="n">
        <x:f>IF(OR(K597="",Q597=""),"",ROUND((Q597-K597)*1440,2))</x:f>
        <x:v>43</x:v>
      </x:c>
    </x:row>
    <x:row r="598" ht="21" customHeight="1">
      <x:c r="A598" s="2" t="str">
        <x:v>LN00597</x:v>
      </x:c>
      <x:c r="B598" s="2" t="str">
        <x:v>T20261006-2-2</x:v>
      </x:c>
      <x:c r="C598" s="7" t="n">
        <x:v>46301</x:v>
      </x:c>
      <x:c r="D598" s="2" t="str">
        <x:v>BUS002</x:v>
      </x:c>
      <x:c r="E598" s="2" t="str">
        <x:v>ST067</x:v>
      </x:c>
      <x:c r="F598" s="2" t="n">
        <x:v>2</x:v>
      </x:c>
      <x:c r="G598" s="2" t="str">
        <x:v>Junior</x:v>
      </x:c>
      <x:c r="H598" s="2" t="str">
        <x:v>Pickup</x:v>
      </x:c>
      <x:c r="I598" s="2" t="str">
        <x:v>R2S3</x:v>
      </x:c>
      <x:c r="J598" s="2" t="str">
        <x:v>EV001187</x:v>
      </x:c>
      <x:c r="K598" s="8" t="n">
        <x:v>46301.48145833333</x:v>
      </x:c>
      <x:c r="L598" s="2" t="str">
        <x:v>R2S3</x:v>
      </x:c>
      <x:c r="M598" s="9" t="n">
        <x:v>25.284000000000002</x:v>
      </x:c>
      <x:c r="N598" s="9" t="n">
        <x:v>51.504999999999995</x:v>
      </x:c>
      <x:c r="O598" s="2" t="str">
        <x:v>Valid</x:v>
      </x:c>
      <x:c r="P598" s="2" t="str">
        <x:v>EV001188</x:v>
      </x:c>
      <x:c r="Q598" s="8" t="n">
        <x:v>46301.50645833334</x:v>
      </x:c>
      <x:c r="R598" s="2" t="str">
        <x:v>SCH01</x:v>
      </x:c>
      <x:c r="S598" s="9" t="n">
        <x:v>25.285</x:v>
      </x:c>
      <x:c r="T598" s="9" t="n">
        <x:v>51.51</x:v>
      </x:c>
      <x:c r="U598" s="2" t="str">
        <x:v>SCHOOL_RECEIVER_01</x:v>
      </x:c>
      <x:c r="V598" s="2" t="str">
        <x:v>School staff receipt</x:v>
      </x:c>
      <x:c r="W598" s="2" t="str">
        <x:v>Completed transport</x:v>
      </x:c>
      <x:c r="X598" s="2" t="str">
        <x:v>QR</x:v>
      </x:c>
      <x:c r="Y598" s="2" t="str">
        <x:v>Offline</x:v>
      </x:c>
      <x:c r="Z598" s="2" t="str">
        <x:v>Synced</x:v>
      </x:c>
      <x:c r="AA598" s="2"/>
      <x:c r="AB598" s="2"/>
      <x:c r="AC598" s="10" t="n">
        <x:f>IF(OR(K598="",Q598=""),"",ROUND((Q598-K598)*1440,2))</x:f>
        <x:v>36</x:v>
      </x:c>
    </x:row>
    <x:row r="599" ht="21" customHeight="1">
      <x:c r="A599" s="2" t="str">
        <x:v>LN00598</x:v>
      </x:c>
      <x:c r="B599" s="2" t="str">
        <x:v>T20261006-2-2</x:v>
      </x:c>
      <x:c r="C599" s="7" t="n">
        <x:v>46301</x:v>
      </x:c>
      <x:c r="D599" s="2" t="str">
        <x:v>BUS002</x:v>
      </x:c>
      <x:c r="E599" s="2" t="str">
        <x:v>ST068</x:v>
      </x:c>
      <x:c r="F599" s="2" t="n">
        <x:v>2</x:v>
      </x:c>
      <x:c r="G599" s="2" t="str">
        <x:v>Junior</x:v>
      </x:c>
      <x:c r="H599" s="2" t="str">
        <x:v>Pickup</x:v>
      </x:c>
      <x:c r="I599" s="2" t="str">
        <x:v>R2S1</x:v>
      </x:c>
      <x:c r="J599" s="2" t="str">
        <x:v>EV001189</x:v>
      </x:c>
      <x:c r="K599" s="8" t="n">
        <x:v>46301.471770833334</x:v>
      </x:c>
      <x:c r="L599" s="2" t="str">
        <x:v>R2S1</x:v>
      </x:c>
      <x:c r="M599" s="9" t="n">
        <x:v>25.28</x:v>
      </x:c>
      <x:c r="N599" s="9" t="n">
        <x:v>51.498999999999995</x:v>
      </x:c>
      <x:c r="O599" s="2" t="str">
        <x:v>Valid</x:v>
      </x:c>
      <x:c r="P599" s="2" t="str">
        <x:v>EV001190</x:v>
      </x:c>
      <x:c r="Q599" s="8" t="n">
        <x:v>46301.50649305556</x:v>
      </x:c>
      <x:c r="R599" s="2" t="str">
        <x:v>SCH01</x:v>
      </x:c>
      <x:c r="S599" s="9" t="n">
        <x:v>25.285</x:v>
      </x:c>
      <x:c r="T599" s="9" t="n">
        <x:v>51.51</x:v>
      </x:c>
      <x:c r="U599" s="2" t="str">
        <x:v>SCHOOL_RECEIVER_01</x:v>
      </x:c>
      <x:c r="V599" s="2" t="str">
        <x:v>School staff receipt</x:v>
      </x:c>
      <x:c r="W599" s="2" t="str">
        <x:v>Completed transport</x:v>
      </x:c>
      <x:c r="X599" s="2" t="str">
        <x:v>QR</x:v>
      </x:c>
      <x:c r="Y599" s="2" t="str">
        <x:v>Offline</x:v>
      </x:c>
      <x:c r="Z599" s="2" t="str">
        <x:v>Synced</x:v>
      </x:c>
      <x:c r="AA599" s="2"/>
      <x:c r="AB599" s="2"/>
      <x:c r="AC599" s="10" t="n">
        <x:f>IF(OR(K599="",Q599=""),"",ROUND((Q599-K599)*1440,2))</x:f>
        <x:v>50</x:v>
      </x:c>
    </x:row>
    <x:row r="600" ht="21" customHeight="1">
      <x:c r="A600" s="2" t="str">
        <x:v>LN00599</x:v>
      </x:c>
      <x:c r="B600" s="2" t="str">
        <x:v>T20261006-2-2</x:v>
      </x:c>
      <x:c r="C600" s="7" t="n">
        <x:v>46301</x:v>
      </x:c>
      <x:c r="D600" s="2" t="str">
        <x:v>BUS002</x:v>
      </x:c>
      <x:c r="E600" s="2" t="str">
        <x:v>ST069</x:v>
      </x:c>
      <x:c r="F600" s="2" t="n">
        <x:v>2</x:v>
      </x:c>
      <x:c r="G600" s="2" t="str">
        <x:v>Junior</x:v>
      </x:c>
      <x:c r="H600" s="2" t="str">
        <x:v>Pickup</x:v>
      </x:c>
      <x:c r="I600" s="2" t="str">
        <x:v>R2S2</x:v>
      </x:c>
      <x:c r="J600" s="2" t="str">
        <x:v>EV001191</x:v>
      </x:c>
      <x:c r="K600" s="8" t="n">
        <x:v>46301.47666666666</x:v>
      </x:c>
      <x:c r="L600" s="2" t="str">
        <x:v>R2S2</x:v>
      </x:c>
      <x:c r="M600" s="9" t="n">
        <x:v>25.282000000000004</x:v>
      </x:c>
      <x:c r="N600" s="9" t="n">
        <x:v>51.501999999999995</x:v>
      </x:c>
      <x:c r="O600" s="2" t="str">
        <x:v>Valid</x:v>
      </x:c>
      <x:c r="P600" s="2" t="str">
        <x:v>EV001192</x:v>
      </x:c>
      <x:c r="Q600" s="8" t="n">
        <x:v>46301.50652777778</x:v>
      </x:c>
      <x:c r="R600" s="2" t="str">
        <x:v>SCH01</x:v>
      </x:c>
      <x:c r="S600" s="9" t="n">
        <x:v>25.285</x:v>
      </x:c>
      <x:c r="T600" s="9" t="n">
        <x:v>51.51</x:v>
      </x:c>
      <x:c r="U600" s="2" t="str">
        <x:v>SCHOOL_RECEIVER_01</x:v>
      </x:c>
      <x:c r="V600" s="2" t="str">
        <x:v>School staff receipt</x:v>
      </x:c>
      <x:c r="W600" s="2" t="str">
        <x:v>Completed transport</x:v>
      </x:c>
      <x:c r="X600" s="2" t="str">
        <x:v>QR</x:v>
      </x:c>
      <x:c r="Y600" s="2" t="str">
        <x:v>Offline</x:v>
      </x:c>
      <x:c r="Z600" s="2" t="str">
        <x:v>Synced</x:v>
      </x:c>
      <x:c r="AA600" s="2"/>
      <x:c r="AB600" s="2"/>
      <x:c r="AC600" s="10" t="n">
        <x:f>IF(OR(K600="",Q600=""),"",ROUND((Q600-K600)*1440,2))</x:f>
        <x:v>43</x:v>
      </x:c>
    </x:row>
    <x:row r="601" ht="21" customHeight="1">
      <x:c r="A601" s="2" t="str">
        <x:v>LN00600</x:v>
      </x:c>
      <x:c r="B601" s="2" t="str">
        <x:v>T20261006-2-2</x:v>
      </x:c>
      <x:c r="C601" s="7" t="n">
        <x:v>46301</x:v>
      </x:c>
      <x:c r="D601" s="2" t="str">
        <x:v>BUS002</x:v>
      </x:c>
      <x:c r="E601" s="2" t="str">
        <x:v>ST070</x:v>
      </x:c>
      <x:c r="F601" s="2" t="n">
        <x:v>2</x:v>
      </x:c>
      <x:c r="G601" s="2" t="str">
        <x:v>Junior</x:v>
      </x:c>
      <x:c r="H601" s="2" t="str">
        <x:v>Pickup</x:v>
      </x:c>
      <x:c r="I601" s="2" t="str">
        <x:v>R2S3</x:v>
      </x:c>
      <x:c r="J601" s="2" t="str">
        <x:v>EV001193</x:v>
      </x:c>
      <x:c r="K601" s="8" t="n">
        <x:v>46301.4815625</x:v>
      </x:c>
      <x:c r="L601" s="2" t="str">
        <x:v>R2S3</x:v>
      </x:c>
      <x:c r="M601" s="9" t="n">
        <x:v>25.284000000000002</x:v>
      </x:c>
      <x:c r="N601" s="9" t="n">
        <x:v>51.504999999999995</x:v>
      </x:c>
      <x:c r="O601" s="2" t="str">
        <x:v>Valid</x:v>
      </x:c>
      <x:c r="P601" s="2" t="str">
        <x:v>EV001194</x:v>
      </x:c>
      <x:c r="Q601" s="8" t="n">
        <x:v>46301.506562500006</x:v>
      </x:c>
      <x:c r="R601" s="2" t="str">
        <x:v>SCH01</x:v>
      </x:c>
      <x:c r="S601" s="9" t="n">
        <x:v>25.285</x:v>
      </x:c>
      <x:c r="T601" s="9" t="n">
        <x:v>51.51</x:v>
      </x:c>
      <x:c r="U601" s="2" t="str">
        <x:v>SCHOOL_RECEIVER_01</x:v>
      </x:c>
      <x:c r="V601" s="2" t="str">
        <x:v>School staff receipt</x:v>
      </x:c>
      <x:c r="W601" s="2" t="str">
        <x:v>Completed transport</x:v>
      </x:c>
      <x:c r="X601" s="2" t="str">
        <x:v>QR</x:v>
      </x:c>
      <x:c r="Y601" s="2" t="str">
        <x:v>Offline</x:v>
      </x:c>
      <x:c r="Z601" s="2" t="str">
        <x:v>Synced</x:v>
      </x:c>
      <x:c r="AA601" s="2"/>
      <x:c r="AB601" s="2"/>
      <x:c r="AC601" s="10" t="n">
        <x:f>IF(OR(K601="",Q601=""),"",ROUND((Q601-K601)*1440,2))</x:f>
        <x:v>36</x:v>
      </x:c>
    </x:row>
    <x:row r="602" ht="21" customHeight="1">
      <x:c r="A602" s="2" t="str">
        <x:v>LN00601</x:v>
      </x:c>
      <x:c r="B602" s="2" t="str">
        <x:v>T20261006-2-2</x:v>
      </x:c>
      <x:c r="C602" s="7" t="n">
        <x:v>46301</x:v>
      </x:c>
      <x:c r="D602" s="2" t="str">
        <x:v>BUS002</x:v>
      </x:c>
      <x:c r="E602" s="2" t="str">
        <x:v>ST071</x:v>
      </x:c>
      <x:c r="F602" s="2" t="n">
        <x:v>2</x:v>
      </x:c>
      <x:c r="G602" s="2" t="str">
        <x:v>Senior</x:v>
      </x:c>
      <x:c r="H602" s="2" t="str">
        <x:v>Pickup</x:v>
      </x:c>
      <x:c r="I602" s="2" t="str">
        <x:v>R2S1</x:v>
      </x:c>
      <x:c r="J602" s="2" t="str">
        <x:v>EV001195</x:v>
      </x:c>
      <x:c r="K602" s="8" t="n">
        <x:v>46301.47152777778</x:v>
      </x:c>
      <x:c r="L602" s="2" t="str">
        <x:v>R2S1</x:v>
      </x:c>
      <x:c r="M602" s="9" t="n">
        <x:v>25.28</x:v>
      </x:c>
      <x:c r="N602" s="9" t="n">
        <x:v>51.498999999999995</x:v>
      </x:c>
      <x:c r="O602" s="2" t="str">
        <x:v>Valid</x:v>
      </x:c>
      <x:c r="P602" s="2" t="str">
        <x:v>EV001196</x:v>
      </x:c>
      <x:c r="Q602" s="8" t="n">
        <x:v>46301.50659722223</x:v>
      </x:c>
      <x:c r="R602" s="2" t="str">
        <x:v>SCH01</x:v>
      </x:c>
      <x:c r="S602" s="9" t="n">
        <x:v>25.285</x:v>
      </x:c>
      <x:c r="T602" s="9" t="n">
        <x:v>51.51</x:v>
      </x:c>
      <x:c r="U602" s="2" t="str">
        <x:v>SCHOOL_RECEIVER_01</x:v>
      </x:c>
      <x:c r="V602" s="2" t="str">
        <x:v>School staff receipt</x:v>
      </x:c>
      <x:c r="W602" s="2" t="str">
        <x:v>Completed transport</x:v>
      </x:c>
      <x:c r="X602" s="2" t="str">
        <x:v>QR</x:v>
      </x:c>
      <x:c r="Y602" s="2" t="str">
        <x:v>Offline</x:v>
      </x:c>
      <x:c r="Z602" s="2" t="str">
        <x:v>Synced</x:v>
      </x:c>
      <x:c r="AA602" s="2"/>
      <x:c r="AB602" s="2"/>
      <x:c r="AC602" s="10" t="n">
        <x:f>IF(OR(K602="",Q602=""),"",ROUND((Q602-K602)*1440,2))</x:f>
        <x:v>50.5</x:v>
      </x:c>
    </x:row>
    <x:row r="603" ht="21" customHeight="1">
      <x:c r="A603" s="2" t="str">
        <x:v>LN00602</x:v>
      </x:c>
      <x:c r="B603" s="2" t="str">
        <x:v>T20261006-2-2</x:v>
      </x:c>
      <x:c r="C603" s="7" t="n">
        <x:v>46301</x:v>
      </x:c>
      <x:c r="D603" s="2" t="str">
        <x:v>BUS002</x:v>
      </x:c>
      <x:c r="E603" s="2" t="str">
        <x:v>ST072</x:v>
      </x:c>
      <x:c r="F603" s="2" t="n">
        <x:v>2</x:v>
      </x:c>
      <x:c r="G603" s="2" t="str">
        <x:v>Senior</x:v>
      </x:c>
      <x:c r="H603" s="2" t="str">
        <x:v>Pickup</x:v>
      </x:c>
      <x:c r="I603" s="2" t="str">
        <x:v>R2S2</x:v>
      </x:c>
      <x:c r="J603" s="2" t="str">
        <x:v>EV001197</x:v>
      </x:c>
      <x:c r="K603" s="8" t="n">
        <x:v>46301.47642361111</x:v>
      </x:c>
      <x:c r="L603" s="2" t="str">
        <x:v>R2S2</x:v>
      </x:c>
      <x:c r="M603" s="9" t="n">
        <x:v>25.282000000000004</x:v>
      </x:c>
      <x:c r="N603" s="9" t="n">
        <x:v>51.501999999999995</x:v>
      </x:c>
      <x:c r="O603" s="2" t="str">
        <x:v>Valid</x:v>
      </x:c>
      <x:c r="P603" s="2" t="str">
        <x:v>EV001198</x:v>
      </x:c>
      <x:c r="Q603" s="8" t="n">
        <x:v>46301.506631944445</x:v>
      </x:c>
      <x:c r="R603" s="2" t="str">
        <x:v>SCH01</x:v>
      </x:c>
      <x:c r="S603" s="9" t="n">
        <x:v>25.285</x:v>
      </x:c>
      <x:c r="T603" s="9" t="n">
        <x:v>51.51</x:v>
      </x:c>
      <x:c r="U603" s="2" t="str">
        <x:v>SCHOOL_RECEIVER_01</x:v>
      </x:c>
      <x:c r="V603" s="2" t="str">
        <x:v>School staff receipt</x:v>
      </x:c>
      <x:c r="W603" s="2" t="str">
        <x:v>Completed transport</x:v>
      </x:c>
      <x:c r="X603" s="2" t="str">
        <x:v>QR</x:v>
      </x:c>
      <x:c r="Y603" s="2" t="str">
        <x:v>Offline</x:v>
      </x:c>
      <x:c r="Z603" s="2" t="str">
        <x:v>Synced</x:v>
      </x:c>
      <x:c r="AA603" s="2"/>
      <x:c r="AB603" s="2"/>
      <x:c r="AC603" s="10" t="n">
        <x:f>IF(OR(K603="",Q603=""),"",ROUND((Q603-K603)*1440,2))</x:f>
        <x:v>43.5</x:v>
      </x:c>
    </x:row>
    <x:row r="604" ht="21" customHeight="1">
      <x:c r="A604" s="2" t="str">
        <x:v>LN00603</x:v>
      </x:c>
      <x:c r="B604" s="2" t="str">
        <x:v>T20261006-2-2</x:v>
      </x:c>
      <x:c r="C604" s="7" t="n">
        <x:v>46301</x:v>
      </x:c>
      <x:c r="D604" s="2" t="str">
        <x:v>BUS002</x:v>
      </x:c>
      <x:c r="E604" s="2" t="str">
        <x:v>ST073</x:v>
      </x:c>
      <x:c r="F604" s="2" t="n">
        <x:v>2</x:v>
      </x:c>
      <x:c r="G604" s="2" t="str">
        <x:v>Senior</x:v>
      </x:c>
      <x:c r="H604" s="2" t="str">
        <x:v>Pickup</x:v>
      </x:c>
      <x:c r="I604" s="2" t="str">
        <x:v>R2S3</x:v>
      </x:c>
      <x:c r="J604" s="2" t="str">
        <x:v>EV001199</x:v>
      </x:c>
      <x:c r="K604" s="8" t="n">
        <x:v>46301.48131944444</x:v>
      </x:c>
      <x:c r="L604" s="2" t="str">
        <x:v>R2S3</x:v>
      </x:c>
      <x:c r="M604" s="9" t="n">
        <x:v>25.284000000000002</x:v>
      </x:c>
      <x:c r="N604" s="9" t="n">
        <x:v>51.504999999999995</x:v>
      </x:c>
      <x:c r="O604" s="2" t="str">
        <x:v>Valid</x:v>
      </x:c>
      <x:c r="P604" s="2" t="str">
        <x:v>EV001200</x:v>
      </x:c>
      <x:c r="Q604" s="8" t="n">
        <x:v>46301.50666666667</x:v>
      </x:c>
      <x:c r="R604" s="2" t="str">
        <x:v>SCH01</x:v>
      </x:c>
      <x:c r="S604" s="9" t="n">
        <x:v>25.285</x:v>
      </x:c>
      <x:c r="T604" s="9" t="n">
        <x:v>51.51</x:v>
      </x:c>
      <x:c r="U604" s="2" t="str">
        <x:v>SCHOOL_RECEIVER_01</x:v>
      </x:c>
      <x:c r="V604" s="2" t="str">
        <x:v>School staff receipt</x:v>
      </x:c>
      <x:c r="W604" s="2" t="str">
        <x:v>Completed transport</x:v>
      </x:c>
      <x:c r="X604" s="2" t="str">
        <x:v>QR</x:v>
      </x:c>
      <x:c r="Y604" s="2" t="str">
        <x:v>Offline</x:v>
      </x:c>
      <x:c r="Z604" s="2" t="str">
        <x:v>Synced</x:v>
      </x:c>
      <x:c r="AA604" s="2"/>
      <x:c r="AB604" s="2"/>
      <x:c r="AC604" s="10" t="n">
        <x:f>IF(OR(K604="",Q604=""),"",ROUND((Q604-K604)*1440,2))</x:f>
        <x:v>36.5</x:v>
      </x:c>
    </x:row>
    <x:row r="605" ht="21" customHeight="1">
      <x:c r="A605" s="2" t="str">
        <x:v>LN00604</x:v>
      </x:c>
      <x:c r="B605" s="2" t="str">
        <x:v>T20261006-2-2</x:v>
      </x:c>
      <x:c r="C605" s="7" t="n">
        <x:v>46301</x:v>
      </x:c>
      <x:c r="D605" s="2" t="str">
        <x:v>BUS002</x:v>
      </x:c>
      <x:c r="E605" s="2" t="str">
        <x:v>ST074</x:v>
      </x:c>
      <x:c r="F605" s="2" t="n">
        <x:v>2</x:v>
      </x:c>
      <x:c r="G605" s="2" t="str">
        <x:v>Senior</x:v>
      </x:c>
      <x:c r="H605" s="2" t="str">
        <x:v>Pickup</x:v>
      </x:c>
      <x:c r="I605" s="2" t="str">
        <x:v>R2S1</x:v>
      </x:c>
      <x:c r="J605" s="2" t="str">
        <x:v>EV001201</x:v>
      </x:c>
      <x:c r="K605" s="8" t="n">
        <x:v>46301.47163194445</x:v>
      </x:c>
      <x:c r="L605" s="2" t="str">
        <x:v>R2S1</x:v>
      </x:c>
      <x:c r="M605" s="9" t="n">
        <x:v>25.28</x:v>
      </x:c>
      <x:c r="N605" s="9" t="n">
        <x:v>51.498999999999995</x:v>
      </x:c>
      <x:c r="O605" s="2" t="str">
        <x:v>Valid</x:v>
      </x:c>
      <x:c r="P605" s="2" t="str">
        <x:v>EV001202</x:v>
      </x:c>
      <x:c r="Q605" s="8" t="n">
        <x:v>46301.50670138889</x:v>
      </x:c>
      <x:c r="R605" s="2" t="str">
        <x:v>SCH01</x:v>
      </x:c>
      <x:c r="S605" s="9" t="n">
        <x:v>25.285</x:v>
      </x:c>
      <x:c r="T605" s="9" t="n">
        <x:v>51.51</x:v>
      </x:c>
      <x:c r="U605" s="2" t="str">
        <x:v>SCHOOL_RECEIVER_01</x:v>
      </x:c>
      <x:c r="V605" s="2" t="str">
        <x:v>School staff receipt</x:v>
      </x:c>
      <x:c r="W605" s="2" t="str">
        <x:v>Completed transport</x:v>
      </x:c>
      <x:c r="X605" s="2" t="str">
        <x:v>QR</x:v>
      </x:c>
      <x:c r="Y605" s="2" t="str">
        <x:v>Offline</x:v>
      </x:c>
      <x:c r="Z605" s="2" t="str">
        <x:v>Synced</x:v>
      </x:c>
      <x:c r="AA605" s="2"/>
      <x:c r="AB605" s="2"/>
      <x:c r="AC605" s="10" t="n">
        <x:f>IF(OR(K605="",Q605=""),"",ROUND((Q605-K605)*1440,2))</x:f>
        <x:v>50.5</x:v>
      </x:c>
    </x:row>
    <x:row r="606" ht="21" customHeight="1">
      <x:c r="A606" s="2" t="str">
        <x:v>LN00605</x:v>
      </x:c>
      <x:c r="B606" s="2" t="str">
        <x:v>T20261006-2-2</x:v>
      </x:c>
      <x:c r="C606" s="7" t="n">
        <x:v>46301</x:v>
      </x:c>
      <x:c r="D606" s="2" t="str">
        <x:v>BUS002</x:v>
      </x:c>
      <x:c r="E606" s="2" t="str">
        <x:v>ST075</x:v>
      </x:c>
      <x:c r="F606" s="2" t="n">
        <x:v>2</x:v>
      </x:c>
      <x:c r="G606" s="2" t="str">
        <x:v>Senior</x:v>
      </x:c>
      <x:c r="H606" s="2" t="str">
        <x:v>Pickup</x:v>
      </x:c>
      <x:c r="I606" s="2" t="str">
        <x:v>R2S2</x:v>
      </x:c>
      <x:c r="J606" s="2" t="str">
        <x:v>EV001203</x:v>
      </x:c>
      <x:c r="K606" s="8" t="n">
        <x:v>46301.47652777778</x:v>
      </x:c>
      <x:c r="L606" s="2" t="str">
        <x:v>R2S2</x:v>
      </x:c>
      <x:c r="M606" s="9" t="n">
        <x:v>25.282000000000004</x:v>
      </x:c>
      <x:c r="N606" s="9" t="n">
        <x:v>51.501999999999995</x:v>
      </x:c>
      <x:c r="O606" s="2" t="str">
        <x:v>Valid</x:v>
      </x:c>
      <x:c r="P606" s="2" t="str">
        <x:v>EV001204</x:v>
      </x:c>
      <x:c r="Q606" s="8" t="n">
        <x:v>46301.506736111114</x:v>
      </x:c>
      <x:c r="R606" s="2" t="str">
        <x:v>SCH01</x:v>
      </x:c>
      <x:c r="S606" s="9" t="n">
        <x:v>25.285</x:v>
      </x:c>
      <x:c r="T606" s="9" t="n">
        <x:v>51.51</x:v>
      </x:c>
      <x:c r="U606" s="2" t="str">
        <x:v>SCHOOL_RECEIVER_01</x:v>
      </x:c>
      <x:c r="V606" s="2" t="str">
        <x:v>School staff receipt</x:v>
      </x:c>
      <x:c r="W606" s="2" t="str">
        <x:v>Completed transport</x:v>
      </x:c>
      <x:c r="X606" s="2" t="str">
        <x:v>QR</x:v>
      </x:c>
      <x:c r="Y606" s="2" t="str">
        <x:v>Offline</x:v>
      </x:c>
      <x:c r="Z606" s="2" t="str">
        <x:v>Synced</x:v>
      </x:c>
      <x:c r="AA606" s="2"/>
      <x:c r="AB606" s="2"/>
      <x:c r="AC606" s="10" t="n">
        <x:f>IF(OR(K606="",Q606=""),"",ROUND((Q606-K606)*1440,2))</x:f>
        <x:v>43.5</x:v>
      </x:c>
    </x:row>
    <x:row r="607" ht="21" customHeight="1">
      <x:c r="A607" s="2" t="str">
        <x:v>LN00606</x:v>
      </x:c>
      <x:c r="B607" s="2" t="str">
        <x:v>T20261006-2-2</x:v>
      </x:c>
      <x:c r="C607" s="7" t="n">
        <x:v>46301</x:v>
      </x:c>
      <x:c r="D607" s="2" t="str">
        <x:v>BUS002</x:v>
      </x:c>
      <x:c r="E607" s="2" t="str">
        <x:v>ST076</x:v>
      </x:c>
      <x:c r="F607" s="2" t="n">
        <x:v>2</x:v>
      </x:c>
      <x:c r="G607" s="2" t="str">
        <x:v>Senior</x:v>
      </x:c>
      <x:c r="H607" s="2" t="str">
        <x:v>Pickup</x:v>
      </x:c>
      <x:c r="I607" s="2" t="str">
        <x:v>R2S3</x:v>
      </x:c>
      <x:c r="J607" s="2" t="str">
        <x:v>EV001205</x:v>
      </x:c>
      <x:c r="K607" s="8" t="n">
        <x:v>46301.481423611105</x:v>
      </x:c>
      <x:c r="L607" s="2" t="str">
        <x:v>R2S3</x:v>
      </x:c>
      <x:c r="M607" s="9" t="n">
        <x:v>25.284000000000002</x:v>
      </x:c>
      <x:c r="N607" s="9" t="n">
        <x:v>51.504999999999995</x:v>
      </x:c>
      <x:c r="O607" s="2" t="str">
        <x:v>Valid</x:v>
      </x:c>
      <x:c r="P607" s="2" t="str">
        <x:v>EV001206</x:v>
      </x:c>
      <x:c r="Q607" s="8" t="n">
        <x:v>46301.50677083334</x:v>
      </x:c>
      <x:c r="R607" s="2" t="str">
        <x:v>SCH01</x:v>
      </x:c>
      <x:c r="S607" s="9" t="n">
        <x:v>25.285</x:v>
      </x:c>
      <x:c r="T607" s="9" t="n">
        <x:v>51.51</x:v>
      </x:c>
      <x:c r="U607" s="2" t="str">
        <x:v>SCHOOL_RECEIVER_01</x:v>
      </x:c>
      <x:c r="V607" s="2" t="str">
        <x:v>School staff receipt</x:v>
      </x:c>
      <x:c r="W607" s="2" t="str">
        <x:v>Completed transport</x:v>
      </x:c>
      <x:c r="X607" s="2" t="str">
        <x:v>QR</x:v>
      </x:c>
      <x:c r="Y607" s="2" t="str">
        <x:v>Offline</x:v>
      </x:c>
      <x:c r="Z607" s="2" t="str">
        <x:v>Synced</x:v>
      </x:c>
      <x:c r="AA607" s="2"/>
      <x:c r="AB607" s="2"/>
      <x:c r="AC607" s="10" t="n">
        <x:f>IF(OR(K607="",Q607=""),"",ROUND((Q607-K607)*1440,2))</x:f>
        <x:v>36.5</x:v>
      </x:c>
    </x:row>
    <x:row r="608" ht="21" customHeight="1">
      <x:c r="A608" s="2" t="str">
        <x:v>LN00607</x:v>
      </x:c>
      <x:c r="B608" s="2" t="str">
        <x:v>T20261006-2-2</x:v>
      </x:c>
      <x:c r="C608" s="7" t="n">
        <x:v>46301</x:v>
      </x:c>
      <x:c r="D608" s="2" t="str">
        <x:v>BUS002</x:v>
      </x:c>
      <x:c r="E608" s="2" t="str">
        <x:v>ST077</x:v>
      </x:c>
      <x:c r="F608" s="2" t="n">
        <x:v>2</x:v>
      </x:c>
      <x:c r="G608" s="2" t="str">
        <x:v>Senior</x:v>
      </x:c>
      <x:c r="H608" s="2" t="str">
        <x:v>Pickup</x:v>
      </x:c>
      <x:c r="I608" s="2" t="str">
        <x:v>R2S1</x:v>
      </x:c>
      <x:c r="J608" s="2" t="str">
        <x:v>EV001207</x:v>
      </x:c>
      <x:c r="K608" s="8" t="n">
        <x:v>46301.47173611111</x:v>
      </x:c>
      <x:c r="L608" s="2" t="str">
        <x:v>R2S1</x:v>
      </x:c>
      <x:c r="M608" s="9" t="n">
        <x:v>25.28</x:v>
      </x:c>
      <x:c r="N608" s="9" t="n">
        <x:v>51.498999999999995</x:v>
      </x:c>
      <x:c r="O608" s="2" t="str">
        <x:v>Valid</x:v>
      </x:c>
      <x:c r="P608" s="2" t="str">
        <x:v>EV001208</x:v>
      </x:c>
      <x:c r="Q608" s="8" t="n">
        <x:v>46301.50680555556</x:v>
      </x:c>
      <x:c r="R608" s="2" t="str">
        <x:v>SCH01</x:v>
      </x:c>
      <x:c r="S608" s="9" t="n">
        <x:v>25.285</x:v>
      </x:c>
      <x:c r="T608" s="9" t="n">
        <x:v>51.51</x:v>
      </x:c>
      <x:c r="U608" s="2" t="str">
        <x:v>SCHOOL_RECEIVER_01</x:v>
      </x:c>
      <x:c r="V608" s="2" t="str">
        <x:v>School staff receipt</x:v>
      </x:c>
      <x:c r="W608" s="2" t="str">
        <x:v>Completed transport</x:v>
      </x:c>
      <x:c r="X608" s="2" t="str">
        <x:v>QR</x:v>
      </x:c>
      <x:c r="Y608" s="2" t="str">
        <x:v>Offline</x:v>
      </x:c>
      <x:c r="Z608" s="2" t="str">
        <x:v>Synced</x:v>
      </x:c>
      <x:c r="AA608" s="2"/>
      <x:c r="AB608" s="2"/>
      <x:c r="AC608" s="10" t="n">
        <x:f>IF(OR(K608="",Q608=""),"",ROUND((Q608-K608)*1440,2))</x:f>
        <x:v>50.5</x:v>
      </x:c>
    </x:row>
    <x:row r="609" ht="21" customHeight="1">
      <x:c r="A609" s="2" t="str">
        <x:v>LN00608</x:v>
      </x:c>
      <x:c r="B609" s="2" t="str">
        <x:v>T20261006-2-2</x:v>
      </x:c>
      <x:c r="C609" s="7" t="n">
        <x:v>46301</x:v>
      </x:c>
      <x:c r="D609" s="2" t="str">
        <x:v>BUS002</x:v>
      </x:c>
      <x:c r="E609" s="2" t="str">
        <x:v>ST078</x:v>
      </x:c>
      <x:c r="F609" s="2" t="n">
        <x:v>2</x:v>
      </x:c>
      <x:c r="G609" s="2" t="str">
        <x:v>Senior</x:v>
      </x:c>
      <x:c r="H609" s="2" t="str">
        <x:v>Pickup</x:v>
      </x:c>
      <x:c r="I609" s="2" t="str">
        <x:v>R2S2</x:v>
      </x:c>
      <x:c r="J609" s="2" t="str">
        <x:v>EV001209</x:v>
      </x:c>
      <x:c r="K609" s="8" t="n">
        <x:v>46301.47663194444</x:v>
      </x:c>
      <x:c r="L609" s="2" t="str">
        <x:v>R2S2</x:v>
      </x:c>
      <x:c r="M609" s="9" t="n">
        <x:v>25.282000000000004</x:v>
      </x:c>
      <x:c r="N609" s="9" t="n">
        <x:v>51.501999999999995</x:v>
      </x:c>
      <x:c r="O609" s="2" t="str">
        <x:v>Valid</x:v>
      </x:c>
      <x:c r="P609" s="2" t="str">
        <x:v>EV001210</x:v>
      </x:c>
      <x:c r="Q609" s="8" t="n">
        <x:v>46301.50684027778</x:v>
      </x:c>
      <x:c r="R609" s="2" t="str">
        <x:v>SCH01</x:v>
      </x:c>
      <x:c r="S609" s="9" t="n">
        <x:v>25.285</x:v>
      </x:c>
      <x:c r="T609" s="9" t="n">
        <x:v>51.51</x:v>
      </x:c>
      <x:c r="U609" s="2" t="str">
        <x:v>SCHOOL_RECEIVER_01</x:v>
      </x:c>
      <x:c r="V609" s="2" t="str">
        <x:v>School staff receipt</x:v>
      </x:c>
      <x:c r="W609" s="2" t="str">
        <x:v>Completed transport</x:v>
      </x:c>
      <x:c r="X609" s="2" t="str">
        <x:v>QR</x:v>
      </x:c>
      <x:c r="Y609" s="2" t="str">
        <x:v>Offline</x:v>
      </x:c>
      <x:c r="Z609" s="2" t="str">
        <x:v>Synced</x:v>
      </x:c>
      <x:c r="AA609" s="2"/>
      <x:c r="AB609" s="2"/>
      <x:c r="AC609" s="10" t="n">
        <x:f>IF(OR(K609="",Q609=""),"",ROUND((Q609-K609)*1440,2))</x:f>
        <x:v>43.5</x:v>
      </x:c>
    </x:row>
    <x:row r="610" ht="21" customHeight="1">
      <x:c r="A610" s="2" t="str">
        <x:v>LN00609</x:v>
      </x:c>
      <x:c r="B610" s="2" t="str">
        <x:v>T20261006-2-2</x:v>
      </x:c>
      <x:c r="C610" s="7" t="n">
        <x:v>46301</x:v>
      </x:c>
      <x:c r="D610" s="2" t="str">
        <x:v>BUS002</x:v>
      </x:c>
      <x:c r="E610" s="2" t="str">
        <x:v>ST079</x:v>
      </x:c>
      <x:c r="F610" s="2" t="n">
        <x:v>2</x:v>
      </x:c>
      <x:c r="G610" s="2" t="str">
        <x:v>Senior</x:v>
      </x:c>
      <x:c r="H610" s="2" t="str">
        <x:v>Pickup</x:v>
      </x:c>
      <x:c r="I610" s="2" t="str">
        <x:v>R2S3</x:v>
      </x:c>
      <x:c r="J610" s="2" t="str">
        <x:v>EV001211</x:v>
      </x:c>
      <x:c r="K610" s="8" t="n">
        <x:v>46301.481527777774</x:v>
      </x:c>
      <x:c r="L610" s="2" t="str">
        <x:v>R2S3</x:v>
      </x:c>
      <x:c r="M610" s="9" t="n">
        <x:v>25.284000000000002</x:v>
      </x:c>
      <x:c r="N610" s="9" t="n">
        <x:v>51.504999999999995</x:v>
      </x:c>
      <x:c r="O610" s="2" t="str">
        <x:v>Valid</x:v>
      </x:c>
      <x:c r="P610" s="2" t="str">
        <x:v>EV001212</x:v>
      </x:c>
      <x:c r="Q610" s="8" t="n">
        <x:v>46301.50687500001</x:v>
      </x:c>
      <x:c r="R610" s="2" t="str">
        <x:v>SCH01</x:v>
      </x:c>
      <x:c r="S610" s="9" t="n">
        <x:v>25.285</x:v>
      </x:c>
      <x:c r="T610" s="9" t="n">
        <x:v>51.51</x:v>
      </x:c>
      <x:c r="U610" s="2" t="str">
        <x:v>SCHOOL_RECEIVER_01</x:v>
      </x:c>
      <x:c r="V610" s="2" t="str">
        <x:v>School staff receipt</x:v>
      </x:c>
      <x:c r="W610" s="2" t="str">
        <x:v>Completed transport</x:v>
      </x:c>
      <x:c r="X610" s="2" t="str">
        <x:v>QR</x:v>
      </x:c>
      <x:c r="Y610" s="2" t="str">
        <x:v>Offline</x:v>
      </x:c>
      <x:c r="Z610" s="2" t="str">
        <x:v>Synced</x:v>
      </x:c>
      <x:c r="AA610" s="2"/>
      <x:c r="AB610" s="2"/>
      <x:c r="AC610" s="10" t="n">
        <x:f>IF(OR(K610="",Q610=""),"",ROUND((Q610-K610)*1440,2))</x:f>
        <x:v>36.5</x:v>
      </x:c>
    </x:row>
    <x:row r="611" ht="21" customHeight="1">
      <x:c r="A611" s="2" t="str">
        <x:v>LN00610</x:v>
      </x:c>
      <x:c r="B611" s="2" t="str">
        <x:v>T20261006-2-2</x:v>
      </x:c>
      <x:c r="C611" s="7" t="n">
        <x:v>46301</x:v>
      </x:c>
      <x:c r="D611" s="2" t="str">
        <x:v>BUS002</x:v>
      </x:c>
      <x:c r="E611" s="2" t="str">
        <x:v>ST080</x:v>
      </x:c>
      <x:c r="F611" s="2" t="n">
        <x:v>2</x:v>
      </x:c>
      <x:c r="G611" s="2" t="str">
        <x:v>Senior</x:v>
      </x:c>
      <x:c r="H611" s="2" t="str">
        <x:v>Pickup</x:v>
      </x:c>
      <x:c r="I611" s="2" t="str">
        <x:v>R2S1</x:v>
      </x:c>
      <x:c r="J611" s="2" t="str">
        <x:v>EV001213</x:v>
      </x:c>
      <x:c r="K611" s="8" t="n">
        <x:v>46301.47184027778</x:v>
      </x:c>
      <x:c r="L611" s="2" t="str">
        <x:v>R2S1</x:v>
      </x:c>
      <x:c r="M611" s="9" t="n">
        <x:v>25.28</x:v>
      </x:c>
      <x:c r="N611" s="9" t="n">
        <x:v>51.498999999999995</x:v>
      </x:c>
      <x:c r="O611" s="2" t="str">
        <x:v>Valid</x:v>
      </x:c>
      <x:c r="P611" s="2" t="str">
        <x:v>EV001214</x:v>
      </x:c>
      <x:c r="Q611" s="8" t="n">
        <x:v>46301.50690972222</x:v>
      </x:c>
      <x:c r="R611" s="2" t="str">
        <x:v>SCH01</x:v>
      </x:c>
      <x:c r="S611" s="9" t="n">
        <x:v>25.285</x:v>
      </x:c>
      <x:c r="T611" s="9" t="n">
        <x:v>51.51</x:v>
      </x:c>
      <x:c r="U611" s="2" t="str">
        <x:v>SCHOOL_RECEIVER_01</x:v>
      </x:c>
      <x:c r="V611" s="2" t="str">
        <x:v>School staff receipt</x:v>
      </x:c>
      <x:c r="W611" s="2" t="str">
        <x:v>Completed transport</x:v>
      </x:c>
      <x:c r="X611" s="2" t="str">
        <x:v>QR</x:v>
      </x:c>
      <x:c r="Y611" s="2" t="str">
        <x:v>Offline</x:v>
      </x:c>
      <x:c r="Z611" s="2" t="str">
        <x:v>Synced</x:v>
      </x:c>
      <x:c r="AA611" s="2"/>
      <x:c r="AB611" s="2"/>
      <x:c r="AC611" s="10" t="n">
        <x:f>IF(OR(K611="",Q611=""),"",ROUND((Q611-K611)*1440,2))</x:f>
        <x:v>50.5</x:v>
      </x:c>
    </x:row>
    <x:row r="612" ht="21" customHeight="1">
      <x:c r="A612" s="2" t="str">
        <x:v>LN00611</x:v>
      </x:c>
      <x:c r="B612" s="2" t="str">
        <x:v>T20261006-3-2</x:v>
      </x:c>
      <x:c r="C612" s="7" t="n">
        <x:v>46301</x:v>
      </x:c>
      <x:c r="D612" s="2" t="str">
        <x:v>BUS002</x:v>
      </x:c>
      <x:c r="E612" s="2" t="str">
        <x:v>ST051</x:v>
      </x:c>
      <x:c r="F612" s="2" t="n">
        <x:v>1</x:v>
      </x:c>
      <x:c r="G612" s="2" t="str">
        <x:v>Senior</x:v>
      </x:c>
      <x:c r="H612" s="2" t="str">
        <x:v>Drop-off</x:v>
      </x:c>
      <x:c r="I612" s="2" t="str">
        <x:v>R2S2</x:v>
      </x:c>
      <x:c r="J612" s="2" t="str">
        <x:v>EV001215</x:v>
      </x:c>
      <x:c r="K612" s="8" t="n">
        <x:v>46301.57291666667</x:v>
      </x:c>
      <x:c r="L612" s="2" t="str">
        <x:v>SCH01</x:v>
      </x:c>
      <x:c r="M612" s="9" t="n">
        <x:v>25.285</x:v>
      </x:c>
      <x:c r="N612" s="9" t="n">
        <x:v>51.51</x:v>
      </x:c>
      <x:c r="O612" s="2" t="str">
        <x:v>Valid</x:v>
      </x:c>
      <x:c r="P612" s="2" t="str">
        <x:v>EV001216</x:v>
      </x:c>
      <x:c r="Q612" s="8" t="n">
        <x:v>46301.59027777778</x:v>
      </x:c>
      <x:c r="R612" s="2" t="str">
        <x:v>R2S2</x:v>
      </x:c>
      <x:c r="S612" s="9" t="n">
        <x:v>25.282000000000004</x:v>
      </x:c>
      <x:c r="T612" s="9" t="n">
        <x:v>51.501999999999995</x:v>
      </x:c>
      <x:c r="U612" s="2" t="str">
        <x:v>G051</x:v>
      </x:c>
      <x:c r="V612" s="2" t="str">
        <x:v>Authorized guardian release</x:v>
      </x:c>
      <x:c r="W612" s="2" t="str">
        <x:v>Completed transport</x:v>
      </x:c>
      <x:c r="X612" s="2" t="str">
        <x:v>QR</x:v>
      </x:c>
      <x:c r="Y612" s="2" t="str">
        <x:v>Online</x:v>
      </x:c>
      <x:c r="Z612" s="2" t="str">
        <x:v>Synced</x:v>
      </x:c>
      <x:c r="AA612" s="2"/>
      <x:c r="AB612" s="2"/>
      <x:c r="AC612" s="10" t="n">
        <x:f>IF(OR(K612="",Q612=""),"",ROUND((Q612-K612)*1440,2))</x:f>
        <x:v>25</x:v>
      </x:c>
    </x:row>
    <x:row r="613" ht="21" customHeight="1">
      <x:c r="A613" s="2" t="str">
        <x:v>LN00612</x:v>
      </x:c>
      <x:c r="B613" s="2" t="str">
        <x:v>T20261006-3-2</x:v>
      </x:c>
      <x:c r="C613" s="7" t="n">
        <x:v>46301</x:v>
      </x:c>
      <x:c r="D613" s="2" t="str">
        <x:v>BUS002</x:v>
      </x:c>
      <x:c r="E613" s="2" t="str">
        <x:v>ST052</x:v>
      </x:c>
      <x:c r="F613" s="2" t="n">
        <x:v>1</x:v>
      </x:c>
      <x:c r="G613" s="2" t="str">
        <x:v>Senior</x:v>
      </x:c>
      <x:c r="H613" s="2" t="str">
        <x:v>Drop-off</x:v>
      </x:c>
      <x:c r="I613" s="2" t="str">
        <x:v>R2S3</x:v>
      </x:c>
      <x:c r="J613" s="2" t="str">
        <x:v>EV001217</x:v>
      </x:c>
      <x:c r="K613" s="8" t="n">
        <x:v>46301.572951388895</x:v>
      </x:c>
      <x:c r="L613" s="2" t="str">
        <x:v>SCH01</x:v>
      </x:c>
      <x:c r="M613" s="9" t="n">
        <x:v>25.285</x:v>
      </x:c>
      <x:c r="N613" s="9" t="n">
        <x:v>51.51</x:v>
      </x:c>
      <x:c r="O613" s="2" t="str">
        <x:v>Valid</x:v>
      </x:c>
      <x:c r="P613" s="2" t="str">
        <x:v>EV001218</x:v>
      </x:c>
      <x:c r="Q613" s="8" t="n">
        <x:v>46301.59447916667</x:v>
      </x:c>
      <x:c r="R613" s="2" t="str">
        <x:v>R2S3</x:v>
      </x:c>
      <x:c r="S613" s="9" t="n">
        <x:v>25.284000000000002</x:v>
      </x:c>
      <x:c r="T613" s="9" t="n">
        <x:v>51.504999999999995</x:v>
      </x:c>
      <x:c r="U613" s="2" t="str">
        <x:v>G052</x:v>
      </x:c>
      <x:c r="V613" s="2" t="str">
        <x:v>Authorized guardian release</x:v>
      </x:c>
      <x:c r="W613" s="2" t="str">
        <x:v>Completed transport</x:v>
      </x:c>
      <x:c r="X613" s="2" t="str">
        <x:v>QR</x:v>
      </x:c>
      <x:c r="Y613" s="2" t="str">
        <x:v>Online</x:v>
      </x:c>
      <x:c r="Z613" s="2" t="str">
        <x:v>Synced</x:v>
      </x:c>
      <x:c r="AA613" s="2"/>
      <x:c r="AB613" s="2"/>
      <x:c r="AC613" s="10" t="n">
        <x:f>IF(OR(K613="",Q613=""),"",ROUND((Q613-K613)*1440,2))</x:f>
        <x:v>31</x:v>
      </x:c>
    </x:row>
    <x:row r="614" ht="21" customHeight="1">
      <x:c r="A614" s="2" t="str">
        <x:v>LN00613</x:v>
      </x:c>
      <x:c r="B614" s="2" t="str">
        <x:v>T20261006-3-2</x:v>
      </x:c>
      <x:c r="C614" s="7" t="n">
        <x:v>46301</x:v>
      </x:c>
      <x:c r="D614" s="2" t="str">
        <x:v>BUS002</x:v>
      </x:c>
      <x:c r="E614" s="2" t="str">
        <x:v>ST053</x:v>
      </x:c>
      <x:c r="F614" s="2" t="n">
        <x:v>1</x:v>
      </x:c>
      <x:c r="G614" s="2" t="str">
        <x:v>Senior</x:v>
      </x:c>
      <x:c r="H614" s="2" t="str">
        <x:v>Drop-off</x:v>
      </x:c>
      <x:c r="I614" s="2" t="str">
        <x:v>R2S1</x:v>
      </x:c>
      <x:c r="J614" s="2" t="str">
        <x:v>EV001219</x:v>
      </x:c>
      <x:c r="K614" s="8" t="n">
        <x:v>46301.57298611112</x:v>
      </x:c>
      <x:c r="L614" s="2" t="str">
        <x:v>SCH01</x:v>
      </x:c>
      <x:c r="M614" s="9" t="n">
        <x:v>25.285</x:v>
      </x:c>
      <x:c r="N614" s="9" t="n">
        <x:v>51.51</x:v>
      </x:c>
      <x:c r="O614" s="2" t="str">
        <x:v>Valid</x:v>
      </x:c>
      <x:c r="P614" s="2" t="str">
        <x:v>EV001220</x:v>
      </x:c>
      <x:c r="Q614" s="8" t="n">
        <x:v>46301.58618055556</x:v>
      </x:c>
      <x:c r="R614" s="2" t="str">
        <x:v>R2S1</x:v>
      </x:c>
      <x:c r="S614" s="9" t="n">
        <x:v>25.28</x:v>
      </x:c>
      <x:c r="T614" s="9" t="n">
        <x:v>51.498999999999995</x:v>
      </x:c>
      <x:c r="U614" s="2" t="str">
        <x:v>G053</x:v>
      </x:c>
      <x:c r="V614" s="2" t="str">
        <x:v>Authorized guardian release</x:v>
      </x:c>
      <x:c r="W614" s="2" t="str">
        <x:v>Completed transport</x:v>
      </x:c>
      <x:c r="X614" s="2" t="str">
        <x:v>QR</x:v>
      </x:c>
      <x:c r="Y614" s="2" t="str">
        <x:v>Online</x:v>
      </x:c>
      <x:c r="Z614" s="2" t="str">
        <x:v>Synced</x:v>
      </x:c>
      <x:c r="AA614" s="2"/>
      <x:c r="AB614" s="2"/>
      <x:c r="AC614" s="10" t="n">
        <x:f>IF(OR(K614="",Q614=""),"",ROUND((Q614-K614)*1440,2))</x:f>
        <x:v>19</x:v>
      </x:c>
    </x:row>
    <x:row r="615" ht="21" customHeight="1">
      <x:c r="A615" s="2" t="str">
        <x:v>LN00614</x:v>
      </x:c>
      <x:c r="B615" s="2" t="str">
        <x:v>T20261006-3-2</x:v>
      </x:c>
      <x:c r="C615" s="7" t="n">
        <x:v>46301</x:v>
      </x:c>
      <x:c r="D615" s="2" t="str">
        <x:v>BUS002</x:v>
      </x:c>
      <x:c r="E615" s="2" t="str">
        <x:v>ST054</x:v>
      </x:c>
      <x:c r="F615" s="2" t="n">
        <x:v>1</x:v>
      </x:c>
      <x:c r="G615" s="2" t="str">
        <x:v>Senior</x:v>
      </x:c>
      <x:c r="H615" s="2" t="str">
        <x:v>Drop-off</x:v>
      </x:c>
      <x:c r="I615" s="2" t="str">
        <x:v>R2S2</x:v>
      </x:c>
      <x:c r="J615" s="2" t="str">
        <x:v>EV001221</x:v>
      </x:c>
      <x:c r="K615" s="8" t="n">
        <x:v>46301.57302083334</x:v>
      </x:c>
      <x:c r="L615" s="2" t="str">
        <x:v>SCH01</x:v>
      </x:c>
      <x:c r="M615" s="9" t="n">
        <x:v>25.285</x:v>
      </x:c>
      <x:c r="N615" s="9" t="n">
        <x:v>51.51</x:v>
      </x:c>
      <x:c r="O615" s="2" t="str">
        <x:v>Valid</x:v>
      </x:c>
      <x:c r="P615" s="2" t="str">
        <x:v>EV001222</x:v>
      </x:c>
      <x:c r="Q615" s="8" t="n">
        <x:v>46301.59038194445</x:v>
      </x:c>
      <x:c r="R615" s="2" t="str">
        <x:v>R2S2</x:v>
      </x:c>
      <x:c r="S615" s="9" t="n">
        <x:v>25.282000000000004</x:v>
      </x:c>
      <x:c r="T615" s="9" t="n">
        <x:v>51.501999999999995</x:v>
      </x:c>
      <x:c r="U615" s="2" t="str">
        <x:v>G054</x:v>
      </x:c>
      <x:c r="V615" s="2" t="str">
        <x:v>Authorized guardian release</x:v>
      </x:c>
      <x:c r="W615" s="2" t="str">
        <x:v>Completed transport</x:v>
      </x:c>
      <x:c r="X615" s="2" t="str">
        <x:v>QR</x:v>
      </x:c>
      <x:c r="Y615" s="2" t="str">
        <x:v>Online</x:v>
      </x:c>
      <x:c r="Z615" s="2" t="str">
        <x:v>Synced</x:v>
      </x:c>
      <x:c r="AA615" s="2"/>
      <x:c r="AB615" s="2"/>
      <x:c r="AC615" s="10" t="n">
        <x:f>IF(OR(K615="",Q615=""),"",ROUND((Q615-K615)*1440,2))</x:f>
        <x:v>25</x:v>
      </x:c>
    </x:row>
    <x:row r="616" ht="21" customHeight="1">
      <x:c r="A616" s="2" t="str">
        <x:v>LN00615</x:v>
      </x:c>
      <x:c r="B616" s="2" t="str">
        <x:v>T20261006-3-2</x:v>
      </x:c>
      <x:c r="C616" s="7" t="n">
        <x:v>46301</x:v>
      </x:c>
      <x:c r="D616" s="2" t="str">
        <x:v>BUS002</x:v>
      </x:c>
      <x:c r="E616" s="2" t="str">
        <x:v>ST055</x:v>
      </x:c>
      <x:c r="F616" s="2" t="n">
        <x:v>1</x:v>
      </x:c>
      <x:c r="G616" s="2" t="str">
        <x:v>Senior</x:v>
      </x:c>
      <x:c r="H616" s="2" t="str">
        <x:v>Drop-off</x:v>
      </x:c>
      <x:c r="I616" s="2" t="str">
        <x:v>R2S3</x:v>
      </x:c>
      <x:c r="J616" s="2" t="str">
        <x:v>EV001223</x:v>
      </x:c>
      <x:c r="K616" s="8" t="n">
        <x:v>46301.573055555564</x:v>
      </x:c>
      <x:c r="L616" s="2" t="str">
        <x:v>SCH01</x:v>
      </x:c>
      <x:c r="M616" s="9" t="n">
        <x:v>25.285</x:v>
      </x:c>
      <x:c r="N616" s="9" t="n">
        <x:v>51.51</x:v>
      </x:c>
      <x:c r="O616" s="2" t="str">
        <x:v>Valid</x:v>
      </x:c>
      <x:c r="P616" s="2" t="str">
        <x:v>EV001224</x:v>
      </x:c>
      <x:c r="Q616" s="8" t="n">
        <x:v>46301.59458333334</x:v>
      </x:c>
      <x:c r="R616" s="2" t="str">
        <x:v>R2S3</x:v>
      </x:c>
      <x:c r="S616" s="9" t="n">
        <x:v>25.284000000000002</x:v>
      </x:c>
      <x:c r="T616" s="9" t="n">
        <x:v>51.504999999999995</x:v>
      </x:c>
      <x:c r="U616" s="2" t="str">
        <x:v>G055</x:v>
      </x:c>
      <x:c r="V616" s="2" t="str">
        <x:v>Authorized guardian release</x:v>
      </x:c>
      <x:c r="W616" s="2" t="str">
        <x:v>Completed transport</x:v>
      </x:c>
      <x:c r="X616" s="2" t="str">
        <x:v>QR</x:v>
      </x:c>
      <x:c r="Y616" s="2" t="str">
        <x:v>Online</x:v>
      </x:c>
      <x:c r="Z616" s="2" t="str">
        <x:v>Synced</x:v>
      </x:c>
      <x:c r="AA616" s="2"/>
      <x:c r="AB616" s="2"/>
      <x:c r="AC616" s="10" t="n">
        <x:f>IF(OR(K616="",Q616=""),"",ROUND((Q616-K616)*1440,2))</x:f>
        <x:v>31</x:v>
      </x:c>
    </x:row>
    <x:row r="617" ht="21" customHeight="1">
      <x:c r="A617" s="2" t="str">
        <x:v>LN00616</x:v>
      </x:c>
      <x:c r="B617" s="2" t="str">
        <x:v>T20261006-3-2</x:v>
      </x:c>
      <x:c r="C617" s="7" t="n">
        <x:v>46301</x:v>
      </x:c>
      <x:c r="D617" s="2" t="str">
        <x:v>BUS002</x:v>
      </x:c>
      <x:c r="E617" s="2" t="str">
        <x:v>ST056</x:v>
      </x:c>
      <x:c r="F617" s="2" t="n">
        <x:v>1</x:v>
      </x:c>
      <x:c r="G617" s="2" t="str">
        <x:v>Senior</x:v>
      </x:c>
      <x:c r="H617" s="2" t="str">
        <x:v>Drop-off</x:v>
      </x:c>
      <x:c r="I617" s="2" t="str">
        <x:v>R2S1</x:v>
      </x:c>
      <x:c r="J617" s="2" t="str">
        <x:v>EV001225</x:v>
      </x:c>
      <x:c r="K617" s="8" t="n">
        <x:v>46301.57309027778</x:v>
      </x:c>
      <x:c r="L617" s="2" t="str">
        <x:v>SCH01</x:v>
      </x:c>
      <x:c r="M617" s="9" t="n">
        <x:v>25.285</x:v>
      </x:c>
      <x:c r="N617" s="9" t="n">
        <x:v>51.51</x:v>
      </x:c>
      <x:c r="O617" s="2" t="str">
        <x:v>Valid</x:v>
      </x:c>
      <x:c r="P617" s="2" t="str">
        <x:v>EV001226</x:v>
      </x:c>
      <x:c r="Q617" s="8" t="n">
        <x:v>46301.58628472222</x:v>
      </x:c>
      <x:c r="R617" s="2" t="str">
        <x:v>R2S1</x:v>
      </x:c>
      <x:c r="S617" s="9" t="n">
        <x:v>25.28</x:v>
      </x:c>
      <x:c r="T617" s="9" t="n">
        <x:v>51.498999999999995</x:v>
      </x:c>
      <x:c r="U617" s="2" t="str">
        <x:v>G056</x:v>
      </x:c>
      <x:c r="V617" s="2" t="str">
        <x:v>Authorized guardian release</x:v>
      </x:c>
      <x:c r="W617" s="2" t="str">
        <x:v>Completed transport</x:v>
      </x:c>
      <x:c r="X617" s="2" t="str">
        <x:v>QR</x:v>
      </x:c>
      <x:c r="Y617" s="2" t="str">
        <x:v>Online</x:v>
      </x:c>
      <x:c r="Z617" s="2" t="str">
        <x:v>Synced</x:v>
      </x:c>
      <x:c r="AA617" s="2"/>
      <x:c r="AB617" s="2"/>
      <x:c r="AC617" s="10" t="n">
        <x:f>IF(OR(K617="",Q617=""),"",ROUND((Q617-K617)*1440,2))</x:f>
        <x:v>19</x:v>
      </x:c>
    </x:row>
    <x:row r="618" ht="21" customHeight="1">
      <x:c r="A618" s="2" t="str">
        <x:v>LN00617</x:v>
      </x:c>
      <x:c r="B618" s="2" t="str">
        <x:v>T20261006-3-2</x:v>
      </x:c>
      <x:c r="C618" s="7" t="n">
        <x:v>46301</x:v>
      </x:c>
      <x:c r="D618" s="2" t="str">
        <x:v>BUS002</x:v>
      </x:c>
      <x:c r="E618" s="2" t="str">
        <x:v>ST057</x:v>
      </x:c>
      <x:c r="F618" s="2" t="n">
        <x:v>1</x:v>
      </x:c>
      <x:c r="G618" s="2" t="str">
        <x:v>Senior</x:v>
      </x:c>
      <x:c r="H618" s="2" t="str">
        <x:v>Drop-off</x:v>
      </x:c>
      <x:c r="I618" s="2" t="str">
        <x:v>R2S2</x:v>
      </x:c>
      <x:c r="J618" s="2" t="str">
        <x:v>EV001227</x:v>
      </x:c>
      <x:c r="K618" s="8" t="n">
        <x:v>46301.573125</x:v>
      </x:c>
      <x:c r="L618" s="2" t="str">
        <x:v>SCH01</x:v>
      </x:c>
      <x:c r="M618" s="9" t="n">
        <x:v>25.285</x:v>
      </x:c>
      <x:c r="N618" s="9" t="n">
        <x:v>51.51</x:v>
      </x:c>
      <x:c r="O618" s="2" t="str">
        <x:v>Valid</x:v>
      </x:c>
      <x:c r="P618" s="2" t="str">
        <x:v>EV001228</x:v>
      </x:c>
      <x:c r="Q618" s="8" t="n">
        <x:v>46301.59048611111</x:v>
      </x:c>
      <x:c r="R618" s="2" t="str">
        <x:v>R2S2</x:v>
      </x:c>
      <x:c r="S618" s="9" t="n">
        <x:v>25.282000000000004</x:v>
      </x:c>
      <x:c r="T618" s="9" t="n">
        <x:v>51.501999999999995</x:v>
      </x:c>
      <x:c r="U618" s="2" t="str">
        <x:v>G057</x:v>
      </x:c>
      <x:c r="V618" s="2" t="str">
        <x:v>Authorized guardian release</x:v>
      </x:c>
      <x:c r="W618" s="2" t="str">
        <x:v>Completed transport</x:v>
      </x:c>
      <x:c r="X618" s="2" t="str">
        <x:v>QR</x:v>
      </x:c>
      <x:c r="Y618" s="2" t="str">
        <x:v>Online</x:v>
      </x:c>
      <x:c r="Z618" s="2" t="str">
        <x:v>Synced</x:v>
      </x:c>
      <x:c r="AA618" s="2"/>
      <x:c r="AB618" s="2"/>
      <x:c r="AC618" s="10" t="n">
        <x:f>IF(OR(K618="",Q618=""),"",ROUND((Q618-K618)*1440,2))</x:f>
        <x:v>25</x:v>
      </x:c>
    </x:row>
    <x:row r="619" ht="21" customHeight="1">
      <x:c r="A619" s="2" t="str">
        <x:v>LN00618</x:v>
      </x:c>
      <x:c r="B619" s="2" t="str">
        <x:v>T20261006-3-2</x:v>
      </x:c>
      <x:c r="C619" s="7" t="n">
        <x:v>46301</x:v>
      </x:c>
      <x:c r="D619" s="2" t="str">
        <x:v>BUS002</x:v>
      </x:c>
      <x:c r="E619" s="2" t="str">
        <x:v>ST058</x:v>
      </x:c>
      <x:c r="F619" s="2" t="n">
        <x:v>1</x:v>
      </x:c>
      <x:c r="G619" s="2" t="str">
        <x:v>Senior</x:v>
      </x:c>
      <x:c r="H619" s="2" t="str">
        <x:v>Drop-off</x:v>
      </x:c>
      <x:c r="I619" s="2" t="str">
        <x:v>R2S3</x:v>
      </x:c>
      <x:c r="J619" s="2" t="str">
        <x:v>EV001229</x:v>
      </x:c>
      <x:c r="K619" s="8" t="n">
        <x:v>46301.573159722226</x:v>
      </x:c>
      <x:c r="L619" s="2" t="str">
        <x:v>SCH01</x:v>
      </x:c>
      <x:c r="M619" s="9" t="n">
        <x:v>25.285</x:v>
      </x:c>
      <x:c r="N619" s="9" t="n">
        <x:v>51.51</x:v>
      </x:c>
      <x:c r="O619" s="2" t="str">
        <x:v>Valid</x:v>
      </x:c>
      <x:c r="P619" s="2" t="str">
        <x:v>EV001230</x:v>
      </x:c>
      <x:c r="Q619" s="8" t="n">
        <x:v>46301.5946875</x:v>
      </x:c>
      <x:c r="R619" s="2" t="str">
        <x:v>R2S3</x:v>
      </x:c>
      <x:c r="S619" s="9" t="n">
        <x:v>25.284000000000002</x:v>
      </x:c>
      <x:c r="T619" s="9" t="n">
        <x:v>51.504999999999995</x:v>
      </x:c>
      <x:c r="U619" s="2" t="str">
        <x:v>G058</x:v>
      </x:c>
      <x:c r="V619" s="2" t="str">
        <x:v>Authorized guardian release</x:v>
      </x:c>
      <x:c r="W619" s="2" t="str">
        <x:v>Completed transport</x:v>
      </x:c>
      <x:c r="X619" s="2" t="str">
        <x:v>QR</x:v>
      </x:c>
      <x:c r="Y619" s="2" t="str">
        <x:v>Online</x:v>
      </x:c>
      <x:c r="Z619" s="2" t="str">
        <x:v>Synced</x:v>
      </x:c>
      <x:c r="AA619" s="2"/>
      <x:c r="AB619" s="2"/>
      <x:c r="AC619" s="10" t="n">
        <x:f>IF(OR(K619="",Q619=""),"",ROUND((Q619-K619)*1440,2))</x:f>
        <x:v>31</x:v>
      </x:c>
    </x:row>
    <x:row r="620" ht="21" customHeight="1">
      <x:c r="A620" s="2" t="str">
        <x:v>LN00619</x:v>
      </x:c>
      <x:c r="B620" s="2" t="str">
        <x:v>T20261006-3-2</x:v>
      </x:c>
      <x:c r="C620" s="7" t="n">
        <x:v>46301</x:v>
      </x:c>
      <x:c r="D620" s="2" t="str">
        <x:v>BUS002</x:v>
      </x:c>
      <x:c r="E620" s="2" t="str">
        <x:v>ST059</x:v>
      </x:c>
      <x:c r="F620" s="2" t="n">
        <x:v>1</x:v>
      </x:c>
      <x:c r="G620" s="2" t="str">
        <x:v>Senior</x:v>
      </x:c>
      <x:c r="H620" s="2" t="str">
        <x:v>Drop-off</x:v>
      </x:c>
      <x:c r="I620" s="2" t="str">
        <x:v>R2S1</x:v>
      </x:c>
      <x:c r="J620" s="2" t="str">
        <x:v>EV001231</x:v>
      </x:c>
      <x:c r="K620" s="8" t="n">
        <x:v>46301.57319444445</x:v>
      </x:c>
      <x:c r="L620" s="2" t="str">
        <x:v>SCH01</x:v>
      </x:c>
      <x:c r="M620" s="9" t="n">
        <x:v>25.285</x:v>
      </x:c>
      <x:c r="N620" s="9" t="n">
        <x:v>51.51</x:v>
      </x:c>
      <x:c r="O620" s="2" t="str">
        <x:v>Valid</x:v>
      </x:c>
      <x:c r="P620" s="2" t="str">
        <x:v>EV001232</x:v>
      </x:c>
      <x:c r="Q620" s="8" t="n">
        <x:v>46301.58638888889</x:v>
      </x:c>
      <x:c r="R620" s="2" t="str">
        <x:v>R2S1</x:v>
      </x:c>
      <x:c r="S620" s="9" t="n">
        <x:v>25.28</x:v>
      </x:c>
      <x:c r="T620" s="9" t="n">
        <x:v>51.498999999999995</x:v>
      </x:c>
      <x:c r="U620" s="2" t="str">
        <x:v>G059</x:v>
      </x:c>
      <x:c r="V620" s="2" t="str">
        <x:v>Authorized guardian release</x:v>
      </x:c>
      <x:c r="W620" s="2" t="str">
        <x:v>Completed transport</x:v>
      </x:c>
      <x:c r="X620" s="2" t="str">
        <x:v>QR</x:v>
      </x:c>
      <x:c r="Y620" s="2" t="str">
        <x:v>Online</x:v>
      </x:c>
      <x:c r="Z620" s="2" t="str">
        <x:v>Synced</x:v>
      </x:c>
      <x:c r="AA620" s="2"/>
      <x:c r="AB620" s="2"/>
      <x:c r="AC620" s="10" t="n">
        <x:f>IF(OR(K620="",Q620=""),"",ROUND((Q620-K620)*1440,2))</x:f>
        <x:v>19</x:v>
      </x:c>
    </x:row>
    <x:row r="621" ht="21" customHeight="1">
      <x:c r="A621" s="2" t="str">
        <x:v>LN00620</x:v>
      </x:c>
      <x:c r="B621" s="2" t="str">
        <x:v>T20261006-3-2</x:v>
      </x:c>
      <x:c r="C621" s="7" t="n">
        <x:v>46301</x:v>
      </x:c>
      <x:c r="D621" s="2" t="str">
        <x:v>BUS002</x:v>
      </x:c>
      <x:c r="E621" s="2" t="str">
        <x:v>ST060</x:v>
      </x:c>
      <x:c r="F621" s="2" t="n">
        <x:v>1</x:v>
      </x:c>
      <x:c r="G621" s="2" t="str">
        <x:v>Senior</x:v>
      </x:c>
      <x:c r="H621" s="2" t="str">
        <x:v>Drop-off</x:v>
      </x:c>
      <x:c r="I621" s="2" t="str">
        <x:v>R2S2</x:v>
      </x:c>
      <x:c r="J621" s="2" t="str">
        <x:v>EV001233</x:v>
      </x:c>
      <x:c r="K621" s="8" t="n">
        <x:v>46301.57322916667</x:v>
      </x:c>
      <x:c r="L621" s="2" t="str">
        <x:v>SCH01</x:v>
      </x:c>
      <x:c r="M621" s="9" t="n">
        <x:v>25.285</x:v>
      </x:c>
      <x:c r="N621" s="9" t="n">
        <x:v>51.51</x:v>
      </x:c>
      <x:c r="O621" s="2" t="str">
        <x:v>Valid</x:v>
      </x:c>
      <x:c r="P621" s="2" t="str">
        <x:v>EV001234</x:v>
      </x:c>
      <x:c r="Q621" s="8" t="n">
        <x:v>46301.59059027778</x:v>
      </x:c>
      <x:c r="R621" s="2" t="str">
        <x:v>R2S2</x:v>
      </x:c>
      <x:c r="S621" s="9" t="n">
        <x:v>25.282000000000004</x:v>
      </x:c>
      <x:c r="T621" s="9" t="n">
        <x:v>51.501999999999995</x:v>
      </x:c>
      <x:c r="U621" s="2" t="str">
        <x:v>G060</x:v>
      </x:c>
      <x:c r="V621" s="2" t="str">
        <x:v>Authorized guardian release</x:v>
      </x:c>
      <x:c r="W621" s="2" t="str">
        <x:v>Completed transport</x:v>
      </x:c>
      <x:c r="X621" s="2" t="str">
        <x:v>QR</x:v>
      </x:c>
      <x:c r="Y621" s="2" t="str">
        <x:v>Online</x:v>
      </x:c>
      <x:c r="Z621" s="2" t="str">
        <x:v>Synced</x:v>
      </x:c>
      <x:c r="AA621" s="2"/>
      <x:c r="AB621" s="2"/>
      <x:c r="AC621" s="10" t="n">
        <x:f>IF(OR(K621="",Q621=""),"",ROUND((Q621-K621)*1440,2))</x:f>
        <x:v>25</x:v>
      </x:c>
    </x:row>
    <x:row r="622" ht="21" customHeight="1">
      <x:c r="A622" s="2" t="str">
        <x:v>LN00621</x:v>
      </x:c>
      <x:c r="B622" s="2" t="str">
        <x:v>T20261006-4-2</x:v>
      </x:c>
      <x:c r="C622" s="7" t="n">
        <x:v>46301</x:v>
      </x:c>
      <x:c r="D622" s="2" t="str">
        <x:v>BUS002</x:v>
      </x:c>
      <x:c r="E622" s="2" t="str">
        <x:v>ST061</x:v>
      </x:c>
      <x:c r="F622" s="2" t="n">
        <x:v>2</x:v>
      </x:c>
      <x:c r="G622" s="2" t="str">
        <x:v>Junior</x:v>
      </x:c>
      <x:c r="H622" s="2" t="str">
        <x:v>Drop-off</x:v>
      </x:c>
      <x:c r="I622" s="2" t="str">
        <x:v>R2S3</x:v>
      </x:c>
      <x:c r="J622" s="2" t="str">
        <x:v>EV001235</x:v>
      </x:c>
      <x:c r="K622" s="8" t="n">
        <x:v>46301.60416666667</x:v>
      </x:c>
      <x:c r="L622" s="2" t="str">
        <x:v>SCH01</x:v>
      </x:c>
      <x:c r="M622" s="9" t="n">
        <x:v>25.285</x:v>
      </x:c>
      <x:c r="N622" s="9" t="n">
        <x:v>51.51</x:v>
      </x:c>
      <x:c r="O622" s="2" t="str">
        <x:v>Valid</x:v>
      </x:c>
      <x:c r="P622" s="2" t="str">
        <x:v>EV001236</x:v>
      </x:c>
      <x:c r="Q622" s="8" t="n">
        <x:v>46301.62708333333</x:v>
      </x:c>
      <x:c r="R622" s="2" t="str">
        <x:v>R2S3</x:v>
      </x:c>
      <x:c r="S622" s="9" t="n">
        <x:v>25.284000000000002</x:v>
      </x:c>
      <x:c r="T622" s="9" t="n">
        <x:v>51.504999999999995</x:v>
      </x:c>
      <x:c r="U622" s="2" t="str">
        <x:v>G061</x:v>
      </x:c>
      <x:c r="V622" s="2" t="str">
        <x:v>Authorized guardian release</x:v>
      </x:c>
      <x:c r="W622" s="2" t="str">
        <x:v>Completed transport</x:v>
      </x:c>
      <x:c r="X622" s="2" t="str">
        <x:v>QR</x:v>
      </x:c>
      <x:c r="Y622" s="2" t="str">
        <x:v>Online</x:v>
      </x:c>
      <x:c r="Z622" s="2" t="str">
        <x:v>Synced</x:v>
      </x:c>
      <x:c r="AA622" s="2"/>
      <x:c r="AB622" s="2"/>
      <x:c r="AC622" s="10" t="n">
        <x:f>IF(OR(K622="",Q622=""),"",ROUND((Q622-K622)*1440,2))</x:f>
        <x:v>33</x:v>
      </x:c>
    </x:row>
    <x:row r="623" ht="21" customHeight="1">
      <x:c r="A623" s="2" t="str">
        <x:v>LN00622</x:v>
      </x:c>
      <x:c r="B623" s="2" t="str">
        <x:v>T20261006-4-2</x:v>
      </x:c>
      <x:c r="C623" s="7" t="n">
        <x:v>46301</x:v>
      </x:c>
      <x:c r="D623" s="2" t="str">
        <x:v>BUS002</x:v>
      </x:c>
      <x:c r="E623" s="2" t="str">
        <x:v>ST062</x:v>
      </x:c>
      <x:c r="F623" s="2" t="n">
        <x:v>2</x:v>
      </x:c>
      <x:c r="G623" s="2" t="str">
        <x:v>Junior</x:v>
      </x:c>
      <x:c r="H623" s="2" t="str">
        <x:v>Drop-off</x:v>
      </x:c>
      <x:c r="I623" s="2" t="str">
        <x:v>R2S1</x:v>
      </x:c>
      <x:c r="J623" s="2" t="str">
        <x:v>EV001237</x:v>
      </x:c>
      <x:c r="K623" s="8" t="n">
        <x:v>46301.604201388895</x:v>
      </x:c>
      <x:c r="L623" s="2" t="str">
        <x:v>SCH01</x:v>
      </x:c>
      <x:c r="M623" s="9" t="n">
        <x:v>25.285</x:v>
      </x:c>
      <x:c r="N623" s="9" t="n">
        <x:v>51.51</x:v>
      </x:c>
      <x:c r="O623" s="2" t="str">
        <x:v>Valid</x:v>
      </x:c>
      <x:c r="P623" s="2" t="str">
        <x:v>EV001238</x:v>
      </x:c>
      <x:c r="Q623" s="8" t="n">
        <x:v>46301.618784722225</x:v>
      </x:c>
      <x:c r="R623" s="2" t="str">
        <x:v>R2S1</x:v>
      </x:c>
      <x:c r="S623" s="9" t="n">
        <x:v>25.28</x:v>
      </x:c>
      <x:c r="T623" s="9" t="n">
        <x:v>51.498999999999995</x:v>
      </x:c>
      <x:c r="U623" s="2" t="str">
        <x:v>G062</x:v>
      </x:c>
      <x:c r="V623" s="2" t="str">
        <x:v>Authorized guardian release</x:v>
      </x:c>
      <x:c r="W623" s="2" t="str">
        <x:v>Completed transport</x:v>
      </x:c>
      <x:c r="X623" s="2" t="str">
        <x:v>QR</x:v>
      </x:c>
      <x:c r="Y623" s="2" t="str">
        <x:v>Online</x:v>
      </x:c>
      <x:c r="Z623" s="2" t="str">
        <x:v>Synced</x:v>
      </x:c>
      <x:c r="AA623" s="2"/>
      <x:c r="AB623" s="2"/>
      <x:c r="AC623" s="10" t="n">
        <x:f>IF(OR(K623="",Q623=""),"",ROUND((Q623-K623)*1440,2))</x:f>
        <x:v>21</x:v>
      </x:c>
    </x:row>
    <x:row r="624" ht="21" customHeight="1">
      <x:c r="A624" s="2" t="str">
        <x:v>LN00623</x:v>
      </x:c>
      <x:c r="B624" s="2" t="str">
        <x:v>T20261006-4-2</x:v>
      </x:c>
      <x:c r="C624" s="7" t="n">
        <x:v>46301</x:v>
      </x:c>
      <x:c r="D624" s="2" t="str">
        <x:v>BUS002</x:v>
      </x:c>
      <x:c r="E624" s="2" t="str">
        <x:v>ST063</x:v>
      </x:c>
      <x:c r="F624" s="2" t="n">
        <x:v>2</x:v>
      </x:c>
      <x:c r="G624" s="2" t="str">
        <x:v>Junior</x:v>
      </x:c>
      <x:c r="H624" s="2" t="str">
        <x:v>Drop-off</x:v>
      </x:c>
      <x:c r="I624" s="2" t="str">
        <x:v>R2S2</x:v>
      </x:c>
      <x:c r="J624" s="2" t="str">
        <x:v>EV001239</x:v>
      </x:c>
      <x:c r="K624" s="8" t="n">
        <x:v>46301.60423611112</x:v>
      </x:c>
      <x:c r="L624" s="2" t="str">
        <x:v>SCH01</x:v>
      </x:c>
      <x:c r="M624" s="9" t="n">
        <x:v>25.285</x:v>
      </x:c>
      <x:c r="N624" s="9" t="n">
        <x:v>51.51</x:v>
      </x:c>
      <x:c r="O624" s="2" t="str">
        <x:v>Valid</x:v>
      </x:c>
      <x:c r="P624" s="2" t="str">
        <x:v>EV001240</x:v>
      </x:c>
      <x:c r="Q624" s="8" t="n">
        <x:v>46301.62298611111</x:v>
      </x:c>
      <x:c r="R624" s="2" t="str">
        <x:v>R2S2</x:v>
      </x:c>
      <x:c r="S624" s="9" t="n">
        <x:v>25.282000000000004</x:v>
      </x:c>
      <x:c r="T624" s="9" t="n">
        <x:v>51.501999999999995</x:v>
      </x:c>
      <x:c r="U624" s="2" t="str">
        <x:v>G063</x:v>
      </x:c>
      <x:c r="V624" s="2" t="str">
        <x:v>Authorized guardian release</x:v>
      </x:c>
      <x:c r="W624" s="2" t="str">
        <x:v>Completed transport</x:v>
      </x:c>
      <x:c r="X624" s="2" t="str">
        <x:v>QR</x:v>
      </x:c>
      <x:c r="Y624" s="2" t="str">
        <x:v>Online</x:v>
      </x:c>
      <x:c r="Z624" s="2" t="str">
        <x:v>Synced</x:v>
      </x:c>
      <x:c r="AA624" s="2"/>
      <x:c r="AB624" s="2"/>
      <x:c r="AC624" s="10" t="n">
        <x:f>IF(OR(K624="",Q624=""),"",ROUND((Q624-K624)*1440,2))</x:f>
        <x:v>27</x:v>
      </x:c>
    </x:row>
    <x:row r="625" ht="21" customHeight="1">
      <x:c r="A625" s="2" t="str">
        <x:v>LN00624</x:v>
      </x:c>
      <x:c r="B625" s="2" t="str">
        <x:v>T20261006-4-2</x:v>
      </x:c>
      <x:c r="C625" s="7" t="n">
        <x:v>46301</x:v>
      </x:c>
      <x:c r="D625" s="2" t="str">
        <x:v>BUS002</x:v>
      </x:c>
      <x:c r="E625" s="2" t="str">
        <x:v>ST064</x:v>
      </x:c>
      <x:c r="F625" s="2" t="n">
        <x:v>2</x:v>
      </x:c>
      <x:c r="G625" s="2" t="str">
        <x:v>Junior</x:v>
      </x:c>
      <x:c r="H625" s="2" t="str">
        <x:v>Drop-off</x:v>
      </x:c>
      <x:c r="I625" s="2" t="str">
        <x:v>R2S3</x:v>
      </x:c>
      <x:c r="J625" s="2" t="str">
        <x:v>EV001241</x:v>
      </x:c>
      <x:c r="K625" s="8" t="n">
        <x:v>46301.60427083334</x:v>
      </x:c>
      <x:c r="L625" s="2" t="str">
        <x:v>SCH01</x:v>
      </x:c>
      <x:c r="M625" s="9" t="n">
        <x:v>25.285</x:v>
      </x:c>
      <x:c r="N625" s="9" t="n">
        <x:v>51.51</x:v>
      </x:c>
      <x:c r="O625" s="2" t="str">
        <x:v>Valid</x:v>
      </x:c>
      <x:c r="P625" s="2" t="str">
        <x:v>EV001242</x:v>
      </x:c>
      <x:c r="Q625" s="8" t="n">
        <x:v>46301.6271875</x:v>
      </x:c>
      <x:c r="R625" s="2" t="str">
        <x:v>R2S3</x:v>
      </x:c>
      <x:c r="S625" s="9" t="n">
        <x:v>25.284000000000002</x:v>
      </x:c>
      <x:c r="T625" s="9" t="n">
        <x:v>51.504999999999995</x:v>
      </x:c>
      <x:c r="U625" s="2" t="str">
        <x:v>G064</x:v>
      </x:c>
      <x:c r="V625" s="2" t="str">
        <x:v>Authorized guardian release</x:v>
      </x:c>
      <x:c r="W625" s="2" t="str">
        <x:v>Completed transport</x:v>
      </x:c>
      <x:c r="X625" s="2" t="str">
        <x:v>QR</x:v>
      </x:c>
      <x:c r="Y625" s="2" t="str">
        <x:v>Online</x:v>
      </x:c>
      <x:c r="Z625" s="2" t="str">
        <x:v>Synced</x:v>
      </x:c>
      <x:c r="AA625" s="2"/>
      <x:c r="AB625" s="2"/>
      <x:c r="AC625" s="10" t="n">
        <x:f>IF(OR(K625="",Q625=""),"",ROUND((Q625-K625)*1440,2))</x:f>
        <x:v>33</x:v>
      </x:c>
    </x:row>
    <x:row r="626" ht="21" customHeight="1">
      <x:c r="A626" s="2" t="str">
        <x:v>LN00625</x:v>
      </x:c>
      <x:c r="B626" s="2" t="str">
        <x:v>T20261006-4-2</x:v>
      </x:c>
      <x:c r="C626" s="7" t="n">
        <x:v>46301</x:v>
      </x:c>
      <x:c r="D626" s="2" t="str">
        <x:v>BUS002</x:v>
      </x:c>
      <x:c r="E626" s="2" t="str">
        <x:v>ST065</x:v>
      </x:c>
      <x:c r="F626" s="2" t="n">
        <x:v>2</x:v>
      </x:c>
      <x:c r="G626" s="2" t="str">
        <x:v>Junior</x:v>
      </x:c>
      <x:c r="H626" s="2" t="str">
        <x:v>Drop-off</x:v>
      </x:c>
      <x:c r="I626" s="2" t="str">
        <x:v>R2S1</x:v>
      </x:c>
      <x:c r="J626" s="2" t="str">
        <x:v>EV001243</x:v>
      </x:c>
      <x:c r="K626" s="8" t="n">
        <x:v>46301.604305555564</x:v>
      </x:c>
      <x:c r="L626" s="2" t="str">
        <x:v>SCH01</x:v>
      </x:c>
      <x:c r="M626" s="9" t="n">
        <x:v>25.285</x:v>
      </x:c>
      <x:c r="N626" s="9" t="n">
        <x:v>51.51</x:v>
      </x:c>
      <x:c r="O626" s="2" t="str">
        <x:v>Valid</x:v>
      </x:c>
      <x:c r="P626" s="2" t="str">
        <x:v>EV001244</x:v>
      </x:c>
      <x:c r="Q626" s="8" t="n">
        <x:v>46301.618888888894</x:v>
      </x:c>
      <x:c r="R626" s="2" t="str">
        <x:v>R2S1</x:v>
      </x:c>
      <x:c r="S626" s="9" t="n">
        <x:v>25.28</x:v>
      </x:c>
      <x:c r="T626" s="9" t="n">
        <x:v>51.498999999999995</x:v>
      </x:c>
      <x:c r="U626" s="2" t="str">
        <x:v>G065</x:v>
      </x:c>
      <x:c r="V626" s="2" t="str">
        <x:v>Authorized guardian release</x:v>
      </x:c>
      <x:c r="W626" s="2" t="str">
        <x:v>Completed transport</x:v>
      </x:c>
      <x:c r="X626" s="2" t="str">
        <x:v>QR</x:v>
      </x:c>
      <x:c r="Y626" s="2" t="str">
        <x:v>Online</x:v>
      </x:c>
      <x:c r="Z626" s="2" t="str">
        <x:v>Synced</x:v>
      </x:c>
      <x:c r="AA626" s="2"/>
      <x:c r="AB626" s="2"/>
      <x:c r="AC626" s="10" t="n">
        <x:f>IF(OR(K626="",Q626=""),"",ROUND((Q626-K626)*1440,2))</x:f>
        <x:v>21</x:v>
      </x:c>
    </x:row>
    <x:row r="627" ht="21" customHeight="1">
      <x:c r="A627" s="2" t="str">
        <x:v>LN00626</x:v>
      </x:c>
      <x:c r="B627" s="2" t="str">
        <x:v>T20261006-4-2</x:v>
      </x:c>
      <x:c r="C627" s="7" t="n">
        <x:v>46301</x:v>
      </x:c>
      <x:c r="D627" s="2" t="str">
        <x:v>BUS002</x:v>
      </x:c>
      <x:c r="E627" s="2" t="str">
        <x:v>ST066</x:v>
      </x:c>
      <x:c r="F627" s="2" t="n">
        <x:v>2</x:v>
      </x:c>
      <x:c r="G627" s="2" t="str">
        <x:v>Junior</x:v>
      </x:c>
      <x:c r="H627" s="2" t="str">
        <x:v>Drop-off</x:v>
      </x:c>
      <x:c r="I627" s="2" t="str">
        <x:v>R2S2</x:v>
      </x:c>
      <x:c r="J627" s="2" t="str">
        <x:v>EV001245</x:v>
      </x:c>
      <x:c r="K627" s="8" t="n">
        <x:v>46301.60434027778</x:v>
      </x:c>
      <x:c r="L627" s="2" t="str">
        <x:v>SCH01</x:v>
      </x:c>
      <x:c r="M627" s="9" t="n">
        <x:v>25.285</x:v>
      </x:c>
      <x:c r="N627" s="9" t="n">
        <x:v>51.51</x:v>
      </x:c>
      <x:c r="O627" s="2" t="str">
        <x:v>Valid</x:v>
      </x:c>
      <x:c r="P627" s="2" t="str">
        <x:v>EV001246</x:v>
      </x:c>
      <x:c r="Q627" s="8" t="n">
        <x:v>46301.623090277775</x:v>
      </x:c>
      <x:c r="R627" s="2" t="str">
        <x:v>R2S2</x:v>
      </x:c>
      <x:c r="S627" s="9" t="n">
        <x:v>25.282000000000004</x:v>
      </x:c>
      <x:c r="T627" s="9" t="n">
        <x:v>51.501999999999995</x:v>
      </x:c>
      <x:c r="U627" s="2" t="str">
        <x:v>G066</x:v>
      </x:c>
      <x:c r="V627" s="2" t="str">
        <x:v>Authorized guardian release</x:v>
      </x:c>
      <x:c r="W627" s="2" t="str">
        <x:v>Completed transport</x:v>
      </x:c>
      <x:c r="X627" s="2" t="str">
        <x:v>QR</x:v>
      </x:c>
      <x:c r="Y627" s="2" t="str">
        <x:v>Online</x:v>
      </x:c>
      <x:c r="Z627" s="2" t="str">
        <x:v>Synced</x:v>
      </x:c>
      <x:c r="AA627" s="2"/>
      <x:c r="AB627" s="2"/>
      <x:c r="AC627" s="10" t="n">
        <x:f>IF(OR(K627="",Q627=""),"",ROUND((Q627-K627)*1440,2))</x:f>
        <x:v>27</x:v>
      </x:c>
    </x:row>
    <x:row r="628" ht="21" customHeight="1">
      <x:c r="A628" s="2" t="str">
        <x:v>LN00627</x:v>
      </x:c>
      <x:c r="B628" s="2" t="str">
        <x:v>T20261006-4-2</x:v>
      </x:c>
      <x:c r="C628" s="7" t="n">
        <x:v>46301</x:v>
      </x:c>
      <x:c r="D628" s="2" t="str">
        <x:v>BUS002</x:v>
      </x:c>
      <x:c r="E628" s="2" t="str">
        <x:v>ST067</x:v>
      </x:c>
      <x:c r="F628" s="2" t="n">
        <x:v>2</x:v>
      </x:c>
      <x:c r="G628" s="2" t="str">
        <x:v>Junior</x:v>
      </x:c>
      <x:c r="H628" s="2" t="str">
        <x:v>Drop-off</x:v>
      </x:c>
      <x:c r="I628" s="2" t="str">
        <x:v>R2S3</x:v>
      </x:c>
      <x:c r="J628" s="2" t="str">
        <x:v>EV001247</x:v>
      </x:c>
      <x:c r="K628" s="8" t="n">
        <x:v>46301.604375</x:v>
      </x:c>
      <x:c r="L628" s="2" t="str">
        <x:v>SCH01</x:v>
      </x:c>
      <x:c r="M628" s="9" t="n">
        <x:v>25.285</x:v>
      </x:c>
      <x:c r="N628" s="9" t="n">
        <x:v>51.51</x:v>
      </x:c>
      <x:c r="O628" s="2" t="str">
        <x:v>Valid</x:v>
      </x:c>
      <x:c r="P628" s="2" t="str">
        <x:v>EV001248</x:v>
      </x:c>
      <x:c r="Q628" s="8" t="n">
        <x:v>46301.627291666664</x:v>
      </x:c>
      <x:c r="R628" s="2" t="str">
        <x:v>R2S3</x:v>
      </x:c>
      <x:c r="S628" s="9" t="n">
        <x:v>25.284000000000002</x:v>
      </x:c>
      <x:c r="T628" s="9" t="n">
        <x:v>51.504999999999995</x:v>
      </x:c>
      <x:c r="U628" s="2" t="str">
        <x:v>G067</x:v>
      </x:c>
      <x:c r="V628" s="2" t="str">
        <x:v>Authorized guardian release</x:v>
      </x:c>
      <x:c r="W628" s="2" t="str">
        <x:v>Completed transport</x:v>
      </x:c>
      <x:c r="X628" s="2" t="str">
        <x:v>QR</x:v>
      </x:c>
      <x:c r="Y628" s="2" t="str">
        <x:v>Online</x:v>
      </x:c>
      <x:c r="Z628" s="2" t="str">
        <x:v>Synced</x:v>
      </x:c>
      <x:c r="AA628" s="2"/>
      <x:c r="AB628" s="2"/>
      <x:c r="AC628" s="10" t="n">
        <x:f>IF(OR(K628="",Q628=""),"",ROUND((Q628-K628)*1440,2))</x:f>
        <x:v>33</x:v>
      </x:c>
    </x:row>
    <x:row r="629" ht="21" customHeight="1">
      <x:c r="A629" s="2" t="str">
        <x:v>LN00628</x:v>
      </x:c>
      <x:c r="B629" s="2" t="str">
        <x:v>T20261006-4-2</x:v>
      </x:c>
      <x:c r="C629" s="7" t="n">
        <x:v>46301</x:v>
      </x:c>
      <x:c r="D629" s="2" t="str">
        <x:v>BUS002</x:v>
      </x:c>
      <x:c r="E629" s="2" t="str">
        <x:v>ST068</x:v>
      </x:c>
      <x:c r="F629" s="2" t="n">
        <x:v>2</x:v>
      </x:c>
      <x:c r="G629" s="2" t="str">
        <x:v>Junior</x:v>
      </x:c>
      <x:c r="H629" s="2" t="str">
        <x:v>Drop-off</x:v>
      </x:c>
      <x:c r="I629" s="2" t="str">
        <x:v>R2S1</x:v>
      </x:c>
      <x:c r="J629" s="2" t="str">
        <x:v>EV001249</x:v>
      </x:c>
      <x:c r="K629" s="8" t="n">
        <x:v>46301.604409722226</x:v>
      </x:c>
      <x:c r="L629" s="2" t="str">
        <x:v>SCH01</x:v>
      </x:c>
      <x:c r="M629" s="9" t="n">
        <x:v>25.285</x:v>
      </x:c>
      <x:c r="N629" s="9" t="n">
        <x:v>51.51</x:v>
      </x:c>
      <x:c r="O629" s="2" t="str">
        <x:v>Valid</x:v>
      </x:c>
      <x:c r="P629" s="2" t="str">
        <x:v>EV001250</x:v>
      </x:c>
      <x:c r="Q629" s="8" t="n">
        <x:v>46301.618993055556</x:v>
      </x:c>
      <x:c r="R629" s="2" t="str">
        <x:v>R2S1</x:v>
      </x:c>
      <x:c r="S629" s="9" t="n">
        <x:v>25.28</x:v>
      </x:c>
      <x:c r="T629" s="9" t="n">
        <x:v>51.498999999999995</x:v>
      </x:c>
      <x:c r="U629" s="2" t="str">
        <x:v>G068</x:v>
      </x:c>
      <x:c r="V629" s="2" t="str">
        <x:v>Authorized guardian release</x:v>
      </x:c>
      <x:c r="W629" s="2" t="str">
        <x:v>Completed transport</x:v>
      </x:c>
      <x:c r="X629" s="2" t="str">
        <x:v>QR</x:v>
      </x:c>
      <x:c r="Y629" s="2" t="str">
        <x:v>Online</x:v>
      </x:c>
      <x:c r="Z629" s="2" t="str">
        <x:v>Synced</x:v>
      </x:c>
      <x:c r="AA629" s="2"/>
      <x:c r="AB629" s="2"/>
      <x:c r="AC629" s="10" t="n">
        <x:f>IF(OR(K629="",Q629=""),"",ROUND((Q629-K629)*1440,2))</x:f>
        <x:v>21</x:v>
      </x:c>
    </x:row>
    <x:row r="630" ht="21" customHeight="1">
      <x:c r="A630" s="2" t="str">
        <x:v>LN00629</x:v>
      </x:c>
      <x:c r="B630" s="2" t="str">
        <x:v>T20261006-4-2</x:v>
      </x:c>
      <x:c r="C630" s="7" t="n">
        <x:v>46301</x:v>
      </x:c>
      <x:c r="D630" s="2" t="str">
        <x:v>BUS002</x:v>
      </x:c>
      <x:c r="E630" s="2" t="str">
        <x:v>ST069</x:v>
      </x:c>
      <x:c r="F630" s="2" t="n">
        <x:v>2</x:v>
      </x:c>
      <x:c r="G630" s="2" t="str">
        <x:v>Junior</x:v>
      </x:c>
      <x:c r="H630" s="2" t="str">
        <x:v>Drop-off</x:v>
      </x:c>
      <x:c r="I630" s="2" t="str">
        <x:v>R2S2</x:v>
      </x:c>
      <x:c r="J630" s="2" t="str">
        <x:v>EV001251</x:v>
      </x:c>
      <x:c r="K630" s="8" t="n">
        <x:v>46301.60444444445</x:v>
      </x:c>
      <x:c r="L630" s="2" t="str">
        <x:v>SCH01</x:v>
      </x:c>
      <x:c r="M630" s="9" t="n">
        <x:v>25.285</x:v>
      </x:c>
      <x:c r="N630" s="9" t="n">
        <x:v>51.51</x:v>
      </x:c>
      <x:c r="O630" s="2" t="str">
        <x:v>Valid</x:v>
      </x:c>
      <x:c r="P630" s="2" t="str">
        <x:v>EV001252</x:v>
      </x:c>
      <x:c r="Q630" s="8" t="n">
        <x:v>46301.623194444444</x:v>
      </x:c>
      <x:c r="R630" s="2" t="str">
        <x:v>R2S2</x:v>
      </x:c>
      <x:c r="S630" s="9" t="n">
        <x:v>25.282000000000004</x:v>
      </x:c>
      <x:c r="T630" s="9" t="n">
        <x:v>51.501999999999995</x:v>
      </x:c>
      <x:c r="U630" s="2" t="str">
        <x:v>G069</x:v>
      </x:c>
      <x:c r="V630" s="2" t="str">
        <x:v>Authorized guardian release</x:v>
      </x:c>
      <x:c r="W630" s="2" t="str">
        <x:v>Completed transport</x:v>
      </x:c>
      <x:c r="X630" s="2" t="str">
        <x:v>QR</x:v>
      </x:c>
      <x:c r="Y630" s="2" t="str">
        <x:v>Online</x:v>
      </x:c>
      <x:c r="Z630" s="2" t="str">
        <x:v>Synced</x:v>
      </x:c>
      <x:c r="AA630" s="2"/>
      <x:c r="AB630" s="2"/>
      <x:c r="AC630" s="10" t="n">
        <x:f>IF(OR(K630="",Q630=""),"",ROUND((Q630-K630)*1440,2))</x:f>
        <x:v>27</x:v>
      </x:c>
    </x:row>
    <x:row r="631" ht="21" customHeight="1">
      <x:c r="A631" s="2" t="str">
        <x:v>LN00630</x:v>
      </x:c>
      <x:c r="B631" s="2" t="str">
        <x:v>T20261006-4-2</x:v>
      </x:c>
      <x:c r="C631" s="7" t="n">
        <x:v>46301</x:v>
      </x:c>
      <x:c r="D631" s="2" t="str">
        <x:v>BUS002</x:v>
      </x:c>
      <x:c r="E631" s="2" t="str">
        <x:v>ST070</x:v>
      </x:c>
      <x:c r="F631" s="2" t="n">
        <x:v>2</x:v>
      </x:c>
      <x:c r="G631" s="2" t="str">
        <x:v>Junior</x:v>
      </x:c>
      <x:c r="H631" s="2" t="str">
        <x:v>Drop-off</x:v>
      </x:c>
      <x:c r="I631" s="2" t="str">
        <x:v>R2S3</x:v>
      </x:c>
      <x:c r="J631" s="2" t="str">
        <x:v>EV001253</x:v>
      </x:c>
      <x:c r="K631" s="8" t="n">
        <x:v>46301.60447916667</x:v>
      </x:c>
      <x:c r="L631" s="2" t="str">
        <x:v>SCH01</x:v>
      </x:c>
      <x:c r="M631" s="9" t="n">
        <x:v>25.285</x:v>
      </x:c>
      <x:c r="N631" s="9" t="n">
        <x:v>51.51</x:v>
      </x:c>
      <x:c r="O631" s="2" t="str">
        <x:v>Valid</x:v>
      </x:c>
      <x:c r="P631" s="2" t="str">
        <x:v>EV001254</x:v>
      </x:c>
      <x:c r="Q631" s="8" t="n">
        <x:v>46301.62739583333</x:v>
      </x:c>
      <x:c r="R631" s="2" t="str">
        <x:v>R2S3</x:v>
      </x:c>
      <x:c r="S631" s="9" t="n">
        <x:v>25.284000000000002</x:v>
      </x:c>
      <x:c r="T631" s="9" t="n">
        <x:v>51.504999999999995</x:v>
      </x:c>
      <x:c r="U631" s="2" t="str">
        <x:v>G070</x:v>
      </x:c>
      <x:c r="V631" s="2" t="str">
        <x:v>Authorized guardian release</x:v>
      </x:c>
      <x:c r="W631" s="2" t="str">
        <x:v>Completed transport</x:v>
      </x:c>
      <x:c r="X631" s="2" t="str">
        <x:v>QR</x:v>
      </x:c>
      <x:c r="Y631" s="2" t="str">
        <x:v>Online</x:v>
      </x:c>
      <x:c r="Z631" s="2" t="str">
        <x:v>Synced</x:v>
      </x:c>
      <x:c r="AA631" s="2"/>
      <x:c r="AB631" s="2"/>
      <x:c r="AC631" s="10" t="n">
        <x:f>IF(OR(K631="",Q631=""),"",ROUND((Q631-K631)*1440,2))</x:f>
        <x:v>33</x:v>
      </x:c>
    </x:row>
    <x:row r="632" ht="21" customHeight="1">
      <x:c r="A632" s="2" t="str">
        <x:v>LN00631</x:v>
      </x:c>
      <x:c r="B632" s="2" t="str">
        <x:v>T20261006-5-2</x:v>
      </x:c>
      <x:c r="C632" s="7" t="n">
        <x:v>46301</x:v>
      </x:c>
      <x:c r="D632" s="2" t="str">
        <x:v>BUS002</x:v>
      </x:c>
      <x:c r="E632" s="2" t="str">
        <x:v>ST071</x:v>
      </x:c>
      <x:c r="F632" s="2" t="n">
        <x:v>2</x:v>
      </x:c>
      <x:c r="G632" s="2" t="str">
        <x:v>Senior</x:v>
      </x:c>
      <x:c r="H632" s="2" t="str">
        <x:v>Drop-off</x:v>
      </x:c>
      <x:c r="I632" s="2" t="str">
        <x:v>R2S1</x:v>
      </x:c>
      <x:c r="J632" s="2" t="str">
        <x:v>EV001255</x:v>
      </x:c>
      <x:c r="K632" s="8" t="n">
        <x:v>46301.70833333333</x:v>
      </x:c>
      <x:c r="L632" s="2" t="str">
        <x:v>SCH01</x:v>
      </x:c>
      <x:c r="M632" s="9" t="n">
        <x:v>25.285</x:v>
      </x:c>
      <x:c r="N632" s="9" t="n">
        <x:v>51.51</x:v>
      </x:c>
      <x:c r="O632" s="2" t="str">
        <x:v>Valid</x:v>
      </x:c>
      <x:c r="P632" s="2" t="str">
        <x:v>EV001256</x:v>
      </x:c>
      <x:c r="Q632" s="8" t="n">
        <x:v>46301.72361111111</x:v>
      </x:c>
      <x:c r="R632" s="2" t="str">
        <x:v>R2S1</x:v>
      </x:c>
      <x:c r="S632" s="9" t="n">
        <x:v>25.28</x:v>
      </x:c>
      <x:c r="T632" s="9" t="n">
        <x:v>51.498999999999995</x:v>
      </x:c>
      <x:c r="U632" s="2" t="str">
        <x:v>G071</x:v>
      </x:c>
      <x:c r="V632" s="2" t="str">
        <x:v>Authorized guardian release</x:v>
      </x:c>
      <x:c r="W632" s="2" t="str">
        <x:v>Completed transport</x:v>
      </x:c>
      <x:c r="X632" s="2" t="str">
        <x:v>QR</x:v>
      </x:c>
      <x:c r="Y632" s="2" t="str">
        <x:v>Online</x:v>
      </x:c>
      <x:c r="Z632" s="2" t="str">
        <x:v>Synced</x:v>
      </x:c>
      <x:c r="AA632" s="2"/>
      <x:c r="AB632" s="2"/>
      <x:c r="AC632" s="10" t="n">
        <x:f>IF(OR(K632="",Q632=""),"",ROUND((Q632-K632)*1440,2))</x:f>
        <x:v>22</x:v>
      </x:c>
    </x:row>
    <x:row r="633" ht="21" customHeight="1">
      <x:c r="A633" s="2" t="str">
        <x:v>LN00632</x:v>
      </x:c>
      <x:c r="B633" s="2" t="str">
        <x:v>T20261006-5-2</x:v>
      </x:c>
      <x:c r="C633" s="7" t="n">
        <x:v>46301</x:v>
      </x:c>
      <x:c r="D633" s="2" t="str">
        <x:v>BUS002</x:v>
      </x:c>
      <x:c r="E633" s="2" t="str">
        <x:v>ST072</x:v>
      </x:c>
      <x:c r="F633" s="2" t="n">
        <x:v>2</x:v>
      </x:c>
      <x:c r="G633" s="2" t="str">
        <x:v>Senior</x:v>
      </x:c>
      <x:c r="H633" s="2" t="str">
        <x:v>Drop-off</x:v>
      </x:c>
      <x:c r="I633" s="2" t="str">
        <x:v>R2S2</x:v>
      </x:c>
      <x:c r="J633" s="2" t="str">
        <x:v>EV001257</x:v>
      </x:c>
      <x:c r="K633" s="8" t="n">
        <x:v>46301.70836805555</x:v>
      </x:c>
      <x:c r="L633" s="2" t="str">
        <x:v>SCH01</x:v>
      </x:c>
      <x:c r="M633" s="9" t="n">
        <x:v>25.285</x:v>
      </x:c>
      <x:c r="N633" s="9" t="n">
        <x:v>51.51</x:v>
      </x:c>
      <x:c r="O633" s="2" t="str">
        <x:v>Valid</x:v>
      </x:c>
      <x:c r="P633" s="2" t="str">
        <x:v>EV001258</x:v>
      </x:c>
      <x:c r="Q633" s="8" t="n">
        <x:v>46301.72850694445</x:v>
      </x:c>
      <x:c r="R633" s="2" t="str">
        <x:v>R2S2</x:v>
      </x:c>
      <x:c r="S633" s="9" t="n">
        <x:v>25.282000000000004</x:v>
      </x:c>
      <x:c r="T633" s="9" t="n">
        <x:v>51.501999999999995</x:v>
      </x:c>
      <x:c r="U633" s="2" t="str">
        <x:v>G072</x:v>
      </x:c>
      <x:c r="V633" s="2" t="str">
        <x:v>Authorized guardian release</x:v>
      </x:c>
      <x:c r="W633" s="2" t="str">
        <x:v>Completed transport</x:v>
      </x:c>
      <x:c r="X633" s="2" t="str">
        <x:v>QR</x:v>
      </x:c>
      <x:c r="Y633" s="2" t="str">
        <x:v>Online</x:v>
      </x:c>
      <x:c r="Z633" s="2" t="str">
        <x:v>Synced</x:v>
      </x:c>
      <x:c r="AA633" s="2"/>
      <x:c r="AB633" s="2"/>
      <x:c r="AC633" s="10" t="n">
        <x:f>IF(OR(K633="",Q633=""),"",ROUND((Q633-K633)*1440,2))</x:f>
        <x:v>29</x:v>
      </x:c>
    </x:row>
    <x:row r="634" ht="21" customHeight="1">
      <x:c r="A634" s="2" t="str">
        <x:v>LN00633</x:v>
      </x:c>
      <x:c r="B634" s="2" t="str">
        <x:v>T20261006-5-2</x:v>
      </x:c>
      <x:c r="C634" s="7" t="n">
        <x:v>46301</x:v>
      </x:c>
      <x:c r="D634" s="2" t="str">
        <x:v>BUS002</x:v>
      </x:c>
      <x:c r="E634" s="2" t="str">
        <x:v>ST073</x:v>
      </x:c>
      <x:c r="F634" s="2" t="n">
        <x:v>2</x:v>
      </x:c>
      <x:c r="G634" s="2" t="str">
        <x:v>Senior</x:v>
      </x:c>
      <x:c r="H634" s="2" t="str">
        <x:v>Drop-off</x:v>
      </x:c>
      <x:c r="I634" s="2" t="str">
        <x:v>R2S3</x:v>
      </x:c>
      <x:c r="J634" s="2" t="str">
        <x:v>EV001259</x:v>
      </x:c>
      <x:c r="K634" s="8" t="n">
        <x:v>46301.708402777775</x:v>
      </x:c>
      <x:c r="L634" s="2" t="str">
        <x:v>SCH01</x:v>
      </x:c>
      <x:c r="M634" s="9" t="n">
        <x:v>25.285</x:v>
      </x:c>
      <x:c r="N634" s="9" t="n">
        <x:v>51.51</x:v>
      </x:c>
      <x:c r="O634" s="2" t="str">
        <x:v>Valid</x:v>
      </x:c>
      <x:c r="P634" s="2" t="str">
        <x:v>EV001260</x:v>
      </x:c>
      <x:c r="Q634" s="8" t="n">
        <x:v>46301.73340277778</x:v>
      </x:c>
      <x:c r="R634" s="2" t="str">
        <x:v>R2S3</x:v>
      </x:c>
      <x:c r="S634" s="9" t="n">
        <x:v>25.284000000000002</x:v>
      </x:c>
      <x:c r="T634" s="9" t="n">
        <x:v>51.504999999999995</x:v>
      </x:c>
      <x:c r="U634" s="2" t="str">
        <x:v>G073</x:v>
      </x:c>
      <x:c r="V634" s="2" t="str">
        <x:v>Authorized guardian release</x:v>
      </x:c>
      <x:c r="W634" s="2" t="str">
        <x:v>Completed transport</x:v>
      </x:c>
      <x:c r="X634" s="2" t="str">
        <x:v>QR</x:v>
      </x:c>
      <x:c r="Y634" s="2" t="str">
        <x:v>Online</x:v>
      </x:c>
      <x:c r="Z634" s="2" t="str">
        <x:v>Synced</x:v>
      </x:c>
      <x:c r="AA634" s="2"/>
      <x:c r="AB634" s="2"/>
      <x:c r="AC634" s="10" t="n">
        <x:f>IF(OR(K634="",Q634=""),"",ROUND((Q634-K634)*1440,2))</x:f>
        <x:v>36</x:v>
      </x:c>
    </x:row>
    <x:row r="635" ht="21" customHeight="1">
      <x:c r="A635" s="2" t="str">
        <x:v>LN00634</x:v>
      </x:c>
      <x:c r="B635" s="2" t="str">
        <x:v>T20261006-5-2</x:v>
      </x:c>
      <x:c r="C635" s="7" t="n">
        <x:v>46301</x:v>
      </x:c>
      <x:c r="D635" s="2" t="str">
        <x:v>BUS002</x:v>
      </x:c>
      <x:c r="E635" s="2" t="str">
        <x:v>ST074</x:v>
      </x:c>
      <x:c r="F635" s="2" t="n">
        <x:v>2</x:v>
      </x:c>
      <x:c r="G635" s="2" t="str">
        <x:v>Senior</x:v>
      </x:c>
      <x:c r="H635" s="2" t="str">
        <x:v>Drop-off</x:v>
      </x:c>
      <x:c r="I635" s="2" t="str">
        <x:v>R2S1</x:v>
      </x:c>
      <x:c r="J635" s="2" t="str">
        <x:v>EV001261</x:v>
      </x:c>
      <x:c r="K635" s="8" t="n">
        <x:v>46301.7084375</x:v>
      </x:c>
      <x:c r="L635" s="2" t="str">
        <x:v>SCH01</x:v>
      </x:c>
      <x:c r="M635" s="9" t="n">
        <x:v>25.285</x:v>
      </x:c>
      <x:c r="N635" s="9" t="n">
        <x:v>51.51</x:v>
      </x:c>
      <x:c r="O635" s="2" t="str">
        <x:v>Valid</x:v>
      </x:c>
      <x:c r="P635" s="2" t="str">
        <x:v>EV001262</x:v>
      </x:c>
      <x:c r="Q635" s="8" t="n">
        <x:v>46301.72371527778</x:v>
      </x:c>
      <x:c r="R635" s="2" t="str">
        <x:v>R2S1</x:v>
      </x:c>
      <x:c r="S635" s="9" t="n">
        <x:v>25.28</x:v>
      </x:c>
      <x:c r="T635" s="9" t="n">
        <x:v>51.498999999999995</x:v>
      </x:c>
      <x:c r="U635" s="2" t="str">
        <x:v>G074</x:v>
      </x:c>
      <x:c r="V635" s="2" t="str">
        <x:v>Authorized guardian release</x:v>
      </x:c>
      <x:c r="W635" s="2" t="str">
        <x:v>Completed transport</x:v>
      </x:c>
      <x:c r="X635" s="2" t="str">
        <x:v>QR</x:v>
      </x:c>
      <x:c r="Y635" s="2" t="str">
        <x:v>Online</x:v>
      </x:c>
      <x:c r="Z635" s="2" t="str">
        <x:v>Synced</x:v>
      </x:c>
      <x:c r="AA635" s="2"/>
      <x:c r="AB635" s="2"/>
      <x:c r="AC635" s="10" t="n">
        <x:f>IF(OR(K635="",Q635=""),"",ROUND((Q635-K635)*1440,2))</x:f>
        <x:v>22</x:v>
      </x:c>
    </x:row>
    <x:row r="636" ht="21" customHeight="1">
      <x:c r="A636" s="2" t="str">
        <x:v>LN00635</x:v>
      </x:c>
      <x:c r="B636" s="2" t="str">
        <x:v>T20261006-5-2</x:v>
      </x:c>
      <x:c r="C636" s="7" t="n">
        <x:v>46301</x:v>
      </x:c>
      <x:c r="D636" s="2" t="str">
        <x:v>BUS002</x:v>
      </x:c>
      <x:c r="E636" s="2" t="str">
        <x:v>ST075</x:v>
      </x:c>
      <x:c r="F636" s="2" t="n">
        <x:v>2</x:v>
      </x:c>
      <x:c r="G636" s="2" t="str">
        <x:v>Senior</x:v>
      </x:c>
      <x:c r="H636" s="2" t="str">
        <x:v>Drop-off</x:v>
      </x:c>
      <x:c r="I636" s="2" t="str">
        <x:v>R2S2</x:v>
      </x:c>
      <x:c r="J636" s="2" t="str">
        <x:v>EV001263</x:v>
      </x:c>
      <x:c r="K636" s="8" t="n">
        <x:v>46301.70847222222</x:v>
      </x:c>
      <x:c r="L636" s="2" t="str">
        <x:v>SCH01</x:v>
      </x:c>
      <x:c r="M636" s="9" t="n">
        <x:v>25.285</x:v>
      </x:c>
      <x:c r="N636" s="9" t="n">
        <x:v>51.51</x:v>
      </x:c>
      <x:c r="O636" s="2" t="str">
        <x:v>Valid</x:v>
      </x:c>
      <x:c r="P636" s="2" t="str">
        <x:v>EV001264</x:v>
      </x:c>
      <x:c r="Q636" s="8" t="n">
        <x:v>46301.72861111112</x:v>
      </x:c>
      <x:c r="R636" s="2" t="str">
        <x:v>R2S2</x:v>
      </x:c>
      <x:c r="S636" s="9" t="n">
        <x:v>25.282000000000004</x:v>
      </x:c>
      <x:c r="T636" s="9" t="n">
        <x:v>51.501999999999995</x:v>
      </x:c>
      <x:c r="U636" s="2" t="str">
        <x:v>G075</x:v>
      </x:c>
      <x:c r="V636" s="2" t="str">
        <x:v>Authorized guardian release</x:v>
      </x:c>
      <x:c r="W636" s="2" t="str">
        <x:v>Completed transport</x:v>
      </x:c>
      <x:c r="X636" s="2" t="str">
        <x:v>QR</x:v>
      </x:c>
      <x:c r="Y636" s="2" t="str">
        <x:v>Online</x:v>
      </x:c>
      <x:c r="Z636" s="2" t="str">
        <x:v>Synced</x:v>
      </x:c>
      <x:c r="AA636" s="2"/>
      <x:c r="AB636" s="2"/>
      <x:c r="AC636" s="10" t="n">
        <x:f>IF(OR(K636="",Q636=""),"",ROUND((Q636-K636)*1440,2))</x:f>
        <x:v>29</x:v>
      </x:c>
    </x:row>
    <x:row r="637" ht="21" customHeight="1">
      <x:c r="A637" s="2" t="str">
        <x:v>LN00636</x:v>
      </x:c>
      <x:c r="B637" s="2" t="str">
        <x:v>T20261006-5-2</x:v>
      </x:c>
      <x:c r="C637" s="7" t="n">
        <x:v>46301</x:v>
      </x:c>
      <x:c r="D637" s="2" t="str">
        <x:v>BUS002</x:v>
      </x:c>
      <x:c r="E637" s="2" t="str">
        <x:v>ST076</x:v>
      </x:c>
      <x:c r="F637" s="2" t="n">
        <x:v>2</x:v>
      </x:c>
      <x:c r="G637" s="2" t="str">
        <x:v>Senior</x:v>
      </x:c>
      <x:c r="H637" s="2" t="str">
        <x:v>Drop-off</x:v>
      </x:c>
      <x:c r="I637" s="2" t="str">
        <x:v>R2S3</x:v>
      </x:c>
      <x:c r="J637" s="2" t="str">
        <x:v>EV001265</x:v>
      </x:c>
      <x:c r="K637" s="8" t="n">
        <x:v>46301.70850694444</x:v>
      </x:c>
      <x:c r="L637" s="2" t="str">
        <x:v>SCH01</x:v>
      </x:c>
      <x:c r="M637" s="9" t="n">
        <x:v>25.285</x:v>
      </x:c>
      <x:c r="N637" s="9" t="n">
        <x:v>51.51</x:v>
      </x:c>
      <x:c r="O637" s="2" t="str">
        <x:v>Valid</x:v>
      </x:c>
      <x:c r="P637" s="2" t="str">
        <x:v>EV001266</x:v>
      </x:c>
      <x:c r="Q637" s="8" t="n">
        <x:v>46301.733506944445</x:v>
      </x:c>
      <x:c r="R637" s="2" t="str">
        <x:v>R2S3</x:v>
      </x:c>
      <x:c r="S637" s="9" t="n">
        <x:v>25.284000000000002</x:v>
      </x:c>
      <x:c r="T637" s="9" t="n">
        <x:v>51.504999999999995</x:v>
      </x:c>
      <x:c r="U637" s="2" t="str">
        <x:v>G076</x:v>
      </x:c>
      <x:c r="V637" s="2" t="str">
        <x:v>Authorized guardian release</x:v>
      </x:c>
      <x:c r="W637" s="2" t="str">
        <x:v>Completed transport</x:v>
      </x:c>
      <x:c r="X637" s="2" t="str">
        <x:v>QR</x:v>
      </x:c>
      <x:c r="Y637" s="2" t="str">
        <x:v>Online</x:v>
      </x:c>
      <x:c r="Z637" s="2" t="str">
        <x:v>Synced</x:v>
      </x:c>
      <x:c r="AA637" s="2"/>
      <x:c r="AB637" s="2"/>
      <x:c r="AC637" s="10" t="n">
        <x:f>IF(OR(K637="",Q637=""),"",ROUND((Q637-K637)*1440,2))</x:f>
        <x:v>36</x:v>
      </x:c>
    </x:row>
    <x:row r="638" ht="21" customHeight="1">
      <x:c r="A638" s="2" t="str">
        <x:v>LN00637</x:v>
      </x:c>
      <x:c r="B638" s="2" t="str">
        <x:v>T20261006-5-2</x:v>
      </x:c>
      <x:c r="C638" s="7" t="n">
        <x:v>46301</x:v>
      </x:c>
      <x:c r="D638" s="2" t="str">
        <x:v>BUS002</x:v>
      </x:c>
      <x:c r="E638" s="2" t="str">
        <x:v>ST077</x:v>
      </x:c>
      <x:c r="F638" s="2" t="n">
        <x:v>2</x:v>
      </x:c>
      <x:c r="G638" s="2" t="str">
        <x:v>Senior</x:v>
      </x:c>
      <x:c r="H638" s="2" t="str">
        <x:v>Drop-off</x:v>
      </x:c>
      <x:c r="I638" s="2" t="str">
        <x:v>R2S1</x:v>
      </x:c>
      <x:c r="J638" s="2" t="str">
        <x:v>EV001267</x:v>
      </x:c>
      <x:c r="K638" s="8" t="n">
        <x:v>46301.70854166666</x:v>
      </x:c>
      <x:c r="L638" s="2" t="str">
        <x:v>SCH01</x:v>
      </x:c>
      <x:c r="M638" s="9" t="n">
        <x:v>25.285</x:v>
      </x:c>
      <x:c r="N638" s="9" t="n">
        <x:v>51.51</x:v>
      </x:c>
      <x:c r="O638" s="2" t="str">
        <x:v>Valid</x:v>
      </x:c>
      <x:c r="P638" s="2" t="str">
        <x:v>EV001268</x:v>
      </x:c>
      <x:c r="Q638" s="8" t="n">
        <x:v>46301.72381944444</x:v>
      </x:c>
      <x:c r="R638" s="2" t="str">
        <x:v>R2S1</x:v>
      </x:c>
      <x:c r="S638" s="9" t="n">
        <x:v>25.28</x:v>
      </x:c>
      <x:c r="T638" s="9" t="n">
        <x:v>51.498999999999995</x:v>
      </x:c>
      <x:c r="U638" s="2" t="str">
        <x:v>G077</x:v>
      </x:c>
      <x:c r="V638" s="2" t="str">
        <x:v>Authorized guardian release</x:v>
      </x:c>
      <x:c r="W638" s="2" t="str">
        <x:v>Completed transport</x:v>
      </x:c>
      <x:c r="X638" s="2" t="str">
        <x:v>QR</x:v>
      </x:c>
      <x:c r="Y638" s="2" t="str">
        <x:v>Online</x:v>
      </x:c>
      <x:c r="Z638" s="2" t="str">
        <x:v>Synced</x:v>
      </x:c>
      <x:c r="AA638" s="2"/>
      <x:c r="AB638" s="2"/>
      <x:c r="AC638" s="10" t="n">
        <x:f>IF(OR(K638="",Q638=""),"",ROUND((Q638-K638)*1440,2))</x:f>
        <x:v>22</x:v>
      </x:c>
    </x:row>
    <x:row r="639" ht="21" customHeight="1">
      <x:c r="A639" s="2" t="str">
        <x:v>LN00638</x:v>
      </x:c>
      <x:c r="B639" s="2" t="str">
        <x:v>T20261006-5-2</x:v>
      </x:c>
      <x:c r="C639" s="7" t="n">
        <x:v>46301</x:v>
      </x:c>
      <x:c r="D639" s="2" t="str">
        <x:v>BUS002</x:v>
      </x:c>
      <x:c r="E639" s="2" t="str">
        <x:v>ST078</x:v>
      </x:c>
      <x:c r="F639" s="2" t="n">
        <x:v>2</x:v>
      </x:c>
      <x:c r="G639" s="2" t="str">
        <x:v>Senior</x:v>
      </x:c>
      <x:c r="H639" s="2" t="str">
        <x:v>Drop-off</x:v>
      </x:c>
      <x:c r="I639" s="2" t="str">
        <x:v>R2S2</x:v>
      </x:c>
      <x:c r="J639" s="2" t="str">
        <x:v>EV001269</x:v>
      </x:c>
      <x:c r="K639" s="8" t="n">
        <x:v>46301.70857638888</x:v>
      </x:c>
      <x:c r="L639" s="2" t="str">
        <x:v>SCH01</x:v>
      </x:c>
      <x:c r="M639" s="9" t="n">
        <x:v>25.285</x:v>
      </x:c>
      <x:c r="N639" s="9" t="n">
        <x:v>51.51</x:v>
      </x:c>
      <x:c r="O639" s="2" t="str">
        <x:v>Valid</x:v>
      </x:c>
      <x:c r="P639" s="2" t="str">
        <x:v>EV001270</x:v>
      </x:c>
      <x:c r="Q639" s="8" t="n">
        <x:v>46301.72871527778</x:v>
      </x:c>
      <x:c r="R639" s="2" t="str">
        <x:v>R2S2</x:v>
      </x:c>
      <x:c r="S639" s="9" t="n">
        <x:v>25.282000000000004</x:v>
      </x:c>
      <x:c r="T639" s="9" t="n">
        <x:v>51.501999999999995</x:v>
      </x:c>
      <x:c r="U639" s="2" t="str">
        <x:v>G078</x:v>
      </x:c>
      <x:c r="V639" s="2" t="str">
        <x:v>Authorized guardian release</x:v>
      </x:c>
      <x:c r="W639" s="2" t="str">
        <x:v>Completed transport</x:v>
      </x:c>
      <x:c r="X639" s="2" t="str">
        <x:v>QR</x:v>
      </x:c>
      <x:c r="Y639" s="2" t="str">
        <x:v>Online</x:v>
      </x:c>
      <x:c r="Z639" s="2" t="str">
        <x:v>Synced</x:v>
      </x:c>
      <x:c r="AA639" s="2"/>
      <x:c r="AB639" s="2"/>
      <x:c r="AC639" s="10" t="n">
        <x:f>IF(OR(K639="",Q639=""),"",ROUND((Q639-K639)*1440,2))</x:f>
        <x:v>29</x:v>
      </x:c>
    </x:row>
    <x:row r="640" ht="21" customHeight="1">
      <x:c r="A640" s="2" t="str">
        <x:v>LN00639</x:v>
      </x:c>
      <x:c r="B640" s="2" t="str">
        <x:v>T20261006-5-2</x:v>
      </x:c>
      <x:c r="C640" s="7" t="n">
        <x:v>46301</x:v>
      </x:c>
      <x:c r="D640" s="2" t="str">
        <x:v>BUS002</x:v>
      </x:c>
      <x:c r="E640" s="2" t="str">
        <x:v>ST079</x:v>
      </x:c>
      <x:c r="F640" s="2" t="n">
        <x:v>2</x:v>
      </x:c>
      <x:c r="G640" s="2" t="str">
        <x:v>Senior</x:v>
      </x:c>
      <x:c r="H640" s="2" t="str">
        <x:v>Drop-off</x:v>
      </x:c>
      <x:c r="I640" s="2" t="str">
        <x:v>R2S3</x:v>
      </x:c>
      <x:c r="J640" s="2" t="str">
        <x:v>EV001271</x:v>
      </x:c>
      <x:c r="K640" s="8" t="n">
        <x:v>46301.708611111106</x:v>
      </x:c>
      <x:c r="L640" s="2" t="str">
        <x:v>SCH01</x:v>
      </x:c>
      <x:c r="M640" s="9" t="n">
        <x:v>25.285</x:v>
      </x:c>
      <x:c r="N640" s="9" t="n">
        <x:v>51.51</x:v>
      </x:c>
      <x:c r="O640" s="2" t="str">
        <x:v>Valid</x:v>
      </x:c>
      <x:c r="P640" s="2" t="str">
        <x:v>EV001272</x:v>
      </x:c>
      <x:c r="Q640" s="8" t="n">
        <x:v>46301.733611111114</x:v>
      </x:c>
      <x:c r="R640" s="2" t="str">
        <x:v>R2S3</x:v>
      </x:c>
      <x:c r="S640" s="9" t="n">
        <x:v>25.284000000000002</x:v>
      </x:c>
      <x:c r="T640" s="9" t="n">
        <x:v>51.504999999999995</x:v>
      </x:c>
      <x:c r="U640" s="2" t="str">
        <x:v>G079</x:v>
      </x:c>
      <x:c r="V640" s="2" t="str">
        <x:v>Authorized guardian release</x:v>
      </x:c>
      <x:c r="W640" s="2" t="str">
        <x:v>Completed transport</x:v>
      </x:c>
      <x:c r="X640" s="2" t="str">
        <x:v>QR</x:v>
      </x:c>
      <x:c r="Y640" s="2" t="str">
        <x:v>Online</x:v>
      </x:c>
      <x:c r="Z640" s="2" t="str">
        <x:v>Synced</x:v>
      </x:c>
      <x:c r="AA640" s="2"/>
      <x:c r="AB640" s="2"/>
      <x:c r="AC640" s="10" t="n">
        <x:f>IF(OR(K640="",Q640=""),"",ROUND((Q640-K640)*1440,2))</x:f>
        <x:v>36</x:v>
      </x:c>
    </x:row>
    <x:row r="641" ht="21" customHeight="1">
      <x:c r="A641" s="2" t="str">
        <x:v>LN00640</x:v>
      </x:c>
      <x:c r="B641" s="2" t="str">
        <x:v>T20261006-5-2</x:v>
      </x:c>
      <x:c r="C641" s="7" t="n">
        <x:v>46301</x:v>
      </x:c>
      <x:c r="D641" s="2" t="str">
        <x:v>BUS002</x:v>
      </x:c>
      <x:c r="E641" s="2" t="str">
        <x:v>ST080</x:v>
      </x:c>
      <x:c r="F641" s="2" t="n">
        <x:v>2</x:v>
      </x:c>
      <x:c r="G641" s="2" t="str">
        <x:v>Senior</x:v>
      </x:c>
      <x:c r="H641" s="2" t="str">
        <x:v>Drop-off</x:v>
      </x:c>
      <x:c r="I641" s="2" t="str">
        <x:v>R2S1</x:v>
      </x:c>
      <x:c r="J641" s="2" t="str">
        <x:v>EV001273</x:v>
      </x:c>
      <x:c r="K641" s="8" t="n">
        <x:v>46301.70864583333</x:v>
      </x:c>
      <x:c r="L641" s="2" t="str">
        <x:v>SCH01</x:v>
      </x:c>
      <x:c r="M641" s="9" t="n">
        <x:v>25.285</x:v>
      </x:c>
      <x:c r="N641" s="9" t="n">
        <x:v>51.51</x:v>
      </x:c>
      <x:c r="O641" s="2" t="str">
        <x:v>Valid</x:v>
      </x:c>
      <x:c r="P641" s="2" t="str">
        <x:v>EV001274</x:v>
      </x:c>
      <x:c r="Q641" s="8" t="n">
        <x:v>46301.72392361111</x:v>
      </x:c>
      <x:c r="R641" s="2" t="str">
        <x:v>R2S1</x:v>
      </x:c>
      <x:c r="S641" s="9" t="n">
        <x:v>25.28</x:v>
      </x:c>
      <x:c r="T641" s="9" t="n">
        <x:v>51.498999999999995</x:v>
      </x:c>
      <x:c r="U641" s="2" t="str">
        <x:v>G080</x:v>
      </x:c>
      <x:c r="V641" s="2" t="str">
        <x:v>Authorized guardian release</x:v>
      </x:c>
      <x:c r="W641" s="2" t="str">
        <x:v>Completed transport</x:v>
      </x:c>
      <x:c r="X641" s="2" t="str">
        <x:v>QR</x:v>
      </x:c>
      <x:c r="Y641" s="2" t="str">
        <x:v>Online</x:v>
      </x:c>
      <x:c r="Z641" s="2" t="str">
        <x:v>Synced</x:v>
      </x:c>
      <x:c r="AA641" s="2"/>
      <x:c r="AB641" s="2"/>
      <x:c r="AC641" s="10" t="n">
        <x:f>IF(OR(K641="",Q641=""),"",ROUND((Q641-K641)*1440,2))</x:f>
        <x:v>22</x:v>
      </x:c>
    </x:row>
    <x:row r="642" ht="21" customHeight="1">
      <x:c r="A642" s="2" t="str">
        <x:v>LN00641</x:v>
      </x:c>
      <x:c r="B642" s="2" t="str">
        <x:v>T20261006-1-3</x:v>
      </x:c>
      <x:c r="C642" s="7" t="n">
        <x:v>46301</x:v>
      </x:c>
      <x:c r="D642" s="2" t="str">
        <x:v>BUS003</x:v>
      </x:c>
      <x:c r="E642" s="2" t="str">
        <x:v>ST081</x:v>
      </x:c>
      <x:c r="F642" s="2" t="n">
        <x:v>1</x:v>
      </x:c>
      <x:c r="G642" s="2" t="str">
        <x:v>Junior</x:v>
      </x:c>
      <x:c r="H642" s="2" t="str">
        <x:v>Pickup</x:v>
      </x:c>
      <x:c r="I642" s="2" t="str">
        <x:v>R3S1</x:v>
      </x:c>
      <x:c r="J642" s="2" t="str">
        <x:v>EV001275</x:v>
      </x:c>
      <x:c r="K642" s="8" t="n">
        <x:v>46301.242361111115</x:v>
      </x:c>
      <x:c r="L642" s="2" t="str">
        <x:v>R3S1</x:v>
      </x:c>
      <x:c r="M642" s="9" t="n">
        <x:v>25.289</x:v>
      </x:c>
      <x:c r="N642" s="9" t="n">
        <x:v>51.507</x:v>
      </x:c>
      <x:c r="O642" s="2" t="str">
        <x:v>Valid</x:v>
      </x:c>
      <x:c r="P642" s="2" t="str">
        <x:v>EV001276</x:v>
      </x:c>
      <x:c r="Q642" s="8" t="n">
        <x:v>46301.27638888889</x:v>
      </x:c>
      <x:c r="R642" s="2" t="str">
        <x:v>SCH01</x:v>
      </x:c>
      <x:c r="S642" s="9" t="n">
        <x:v>25.285</x:v>
      </x:c>
      <x:c r="T642" s="9" t="n">
        <x:v>51.51</x:v>
      </x:c>
      <x:c r="U642" s="2" t="str">
        <x:v>SCHOOL_RECEIVER_01</x:v>
      </x:c>
      <x:c r="V642" s="2" t="str">
        <x:v>School staff receipt</x:v>
      </x:c>
      <x:c r="W642" s="2" t="str">
        <x:v>Completed transport</x:v>
      </x:c>
      <x:c r="X642" s="2" t="str">
        <x:v>QR</x:v>
      </x:c>
      <x:c r="Y642" s="2" t="str">
        <x:v>Online</x:v>
      </x:c>
      <x:c r="Z642" s="2" t="str">
        <x:v>Synced</x:v>
      </x:c>
      <x:c r="AA642" s="2"/>
      <x:c r="AB642" s="2"/>
      <x:c r="AC642" s="10" t="n">
        <x:f>IF(OR(K642="",Q642=""),"",ROUND((Q642-K642)*1440,2))</x:f>
        <x:v>49</x:v>
      </x:c>
    </x:row>
    <x:row r="643" ht="21" customHeight="1">
      <x:c r="A643" s="2" t="str">
        <x:v>LN00642</x:v>
      </x:c>
      <x:c r="B643" s="2" t="str">
        <x:v>T20261006-1-3</x:v>
      </x:c>
      <x:c r="C643" s="7" t="n">
        <x:v>46301</x:v>
      </x:c>
      <x:c r="D643" s="2" t="str">
        <x:v>BUS003</x:v>
      </x:c>
      <x:c r="E643" s="2" t="str">
        <x:v>ST082</x:v>
      </x:c>
      <x:c r="F643" s="2" t="n">
        <x:v>1</x:v>
      </x:c>
      <x:c r="G643" s="2" t="str">
        <x:v>Junior</x:v>
      </x:c>
      <x:c r="H643" s="2" t="str">
        <x:v>Pickup</x:v>
      </x:c>
      <x:c r="I643" s="2" t="str">
        <x:v>R3S2</x:v>
      </x:c>
      <x:c r="J643" s="2" t="str">
        <x:v>EV001277</x:v>
      </x:c>
      <x:c r="K643" s="8" t="n">
        <x:v>46301.24725694444</x:v>
      </x:c>
      <x:c r="L643" s="2" t="str">
        <x:v>R3S2</x:v>
      </x:c>
      <x:c r="M643" s="9" t="n">
        <x:v>25.291000000000004</x:v>
      </x:c>
      <x:c r="N643" s="9" t="n">
        <x:v>51.51</x:v>
      </x:c>
      <x:c r="O643" s="2" t="str">
        <x:v>Valid</x:v>
      </x:c>
      <x:c r="P643" s="2" t="str">
        <x:v>EV001278</x:v>
      </x:c>
      <x:c r="Q643" s="8" t="n">
        <x:v>46301.27642361111</x:v>
      </x:c>
      <x:c r="R643" s="2" t="str">
        <x:v>SCH01</x:v>
      </x:c>
      <x:c r="S643" s="9" t="n">
        <x:v>25.285</x:v>
      </x:c>
      <x:c r="T643" s="9" t="n">
        <x:v>51.51</x:v>
      </x:c>
      <x:c r="U643" s="2" t="str">
        <x:v>SCHOOL_RECEIVER_01</x:v>
      </x:c>
      <x:c r="V643" s="2" t="str">
        <x:v>School staff receipt</x:v>
      </x:c>
      <x:c r="W643" s="2" t="str">
        <x:v>Completed transport</x:v>
      </x:c>
      <x:c r="X643" s="2" t="str">
        <x:v>QR</x:v>
      </x:c>
      <x:c r="Y643" s="2" t="str">
        <x:v>Online</x:v>
      </x:c>
      <x:c r="Z643" s="2" t="str">
        <x:v>Synced</x:v>
      </x:c>
      <x:c r="AA643" s="2"/>
      <x:c r="AB643" s="2"/>
      <x:c r="AC643" s="10" t="n">
        <x:f>IF(OR(K643="",Q643=""),"",ROUND((Q643-K643)*1440,2))</x:f>
        <x:v>42</x:v>
      </x:c>
    </x:row>
    <x:row r="644" ht="21" customHeight="1">
      <x:c r="A644" s="2" t="str">
        <x:v>LN00643</x:v>
      </x:c>
      <x:c r="B644" s="2" t="str">
        <x:v>T20261006-1-3</x:v>
      </x:c>
      <x:c r="C644" s="7" t="n">
        <x:v>46301</x:v>
      </x:c>
      <x:c r="D644" s="2" t="str">
        <x:v>BUS003</x:v>
      </x:c>
      <x:c r="E644" s="2" t="str">
        <x:v>ST083</x:v>
      </x:c>
      <x:c r="F644" s="2" t="n">
        <x:v>1</x:v>
      </x:c>
      <x:c r="G644" s="2" t="str">
        <x:v>Junior</x:v>
      </x:c>
      <x:c r="H644" s="2" t="str">
        <x:v>Pickup</x:v>
      </x:c>
      <x:c r="I644" s="2" t="str">
        <x:v>R3S3</x:v>
      </x:c>
      <x:c r="J644" s="2" t="str">
        <x:v>EV001279</x:v>
      </x:c>
      <x:c r="K644" s="8" t="n">
        <x:v>46301.25215277778</x:v>
      </x:c>
      <x:c r="L644" s="2" t="str">
        <x:v>R3S3</x:v>
      </x:c>
      <x:c r="M644" s="9" t="n">
        <x:v>25.293000000000003</x:v>
      </x:c>
      <x:c r="N644" s="9" t="n">
        <x:v>51.513</x:v>
      </x:c>
      <x:c r="O644" s="2" t="str">
        <x:v>Valid</x:v>
      </x:c>
      <x:c r="P644" s="2" t="str">
        <x:v>EV001280</x:v>
      </x:c>
      <x:c r="Q644" s="8" t="n">
        <x:v>46301.276458333334</x:v>
      </x:c>
      <x:c r="R644" s="2" t="str">
        <x:v>SCH01</x:v>
      </x:c>
      <x:c r="S644" s="9" t="n">
        <x:v>25.285</x:v>
      </x:c>
      <x:c r="T644" s="9" t="n">
        <x:v>51.51</x:v>
      </x:c>
      <x:c r="U644" s="2" t="str">
        <x:v>SCHOOL_RECEIVER_01</x:v>
      </x:c>
      <x:c r="V644" s="2" t="str">
        <x:v>School staff receipt</x:v>
      </x:c>
      <x:c r="W644" s="2" t="str">
        <x:v>Completed transport</x:v>
      </x:c>
      <x:c r="X644" s="2" t="str">
        <x:v>QR</x:v>
      </x:c>
      <x:c r="Y644" s="2" t="str">
        <x:v>Online</x:v>
      </x:c>
      <x:c r="Z644" s="2" t="str">
        <x:v>Synced</x:v>
      </x:c>
      <x:c r="AA644" s="2"/>
      <x:c r="AB644" s="2"/>
      <x:c r="AC644" s="10" t="n">
        <x:f>IF(OR(K644="",Q644=""),"",ROUND((Q644-K644)*1440,2))</x:f>
        <x:v>35</x:v>
      </x:c>
    </x:row>
    <x:row r="645" ht="21" customHeight="1">
      <x:c r="A645" s="2" t="str">
        <x:v>LN00644</x:v>
      </x:c>
      <x:c r="B645" s="2" t="str">
        <x:v>T20261006-1-3</x:v>
      </x:c>
      <x:c r="C645" s="7" t="n">
        <x:v>46301</x:v>
      </x:c>
      <x:c r="D645" s="2" t="str">
        <x:v>BUS003</x:v>
      </x:c>
      <x:c r="E645" s="2" t="str">
        <x:v>ST084</x:v>
      </x:c>
      <x:c r="F645" s="2" t="n">
        <x:v>1</x:v>
      </x:c>
      <x:c r="G645" s="2" t="str">
        <x:v>Junior</x:v>
      </x:c>
      <x:c r="H645" s="2" t="str">
        <x:v>Pickup</x:v>
      </x:c>
      <x:c r="I645" s="2" t="str">
        <x:v>R3S1</x:v>
      </x:c>
      <x:c r="J645" s="2" t="str">
        <x:v>EV001281</x:v>
      </x:c>
      <x:c r="K645" s="8" t="n">
        <x:v>46301.242465277785</x:v>
      </x:c>
      <x:c r="L645" s="2" t="str">
        <x:v>R3S1</x:v>
      </x:c>
      <x:c r="M645" s="9" t="n">
        <x:v>25.289</x:v>
      </x:c>
      <x:c r="N645" s="9" t="n">
        <x:v>51.507</x:v>
      </x:c>
      <x:c r="O645" s="2" t="str">
        <x:v>Valid</x:v>
      </x:c>
      <x:c r="P645" s="2" t="str">
        <x:v>EV001282</x:v>
      </x:c>
      <x:c r="Q645" s="8" t="n">
        <x:v>46301.27649305556</x:v>
      </x:c>
      <x:c r="R645" s="2" t="str">
        <x:v>SCH01</x:v>
      </x:c>
      <x:c r="S645" s="9" t="n">
        <x:v>25.285</x:v>
      </x:c>
      <x:c r="T645" s="9" t="n">
        <x:v>51.51</x:v>
      </x:c>
      <x:c r="U645" s="2" t="str">
        <x:v>SCHOOL_RECEIVER_01</x:v>
      </x:c>
      <x:c r="V645" s="2" t="str">
        <x:v>School staff receipt</x:v>
      </x:c>
      <x:c r="W645" s="2" t="str">
        <x:v>Completed transport</x:v>
      </x:c>
      <x:c r="X645" s="2" t="str">
        <x:v>QR</x:v>
      </x:c>
      <x:c r="Y645" s="2" t="str">
        <x:v>Online</x:v>
      </x:c>
      <x:c r="Z645" s="2" t="str">
        <x:v>Synced</x:v>
      </x:c>
      <x:c r="AA645" s="2"/>
      <x:c r="AB645" s="2"/>
      <x:c r="AC645" s="10" t="n">
        <x:f>IF(OR(K645="",Q645=""),"",ROUND((Q645-K645)*1440,2))</x:f>
        <x:v>49</x:v>
      </x:c>
    </x:row>
    <x:row r="646" ht="21" customHeight="1">
      <x:c r="A646" s="2" t="str">
        <x:v>LN00645</x:v>
      </x:c>
      <x:c r="B646" s="2" t="str">
        <x:v>T20261006-1-3</x:v>
      </x:c>
      <x:c r="C646" s="7" t="n">
        <x:v>46301</x:v>
      </x:c>
      <x:c r="D646" s="2" t="str">
        <x:v>BUS003</x:v>
      </x:c>
      <x:c r="E646" s="2" t="str">
        <x:v>ST085</x:v>
      </x:c>
      <x:c r="F646" s="2" t="n">
        <x:v>1</x:v>
      </x:c>
      <x:c r="G646" s="2" t="str">
        <x:v>Junior</x:v>
      </x:c>
      <x:c r="H646" s="2" t="str">
        <x:v>Pickup</x:v>
      </x:c>
      <x:c r="I646" s="2" t="str">
        <x:v>R3S2</x:v>
      </x:c>
      <x:c r="J646" s="2" t="str">
        <x:v>EV001283</x:v>
      </x:c>
      <x:c r="K646" s="8" t="n">
        <x:v>46301.24736111111</x:v>
      </x:c>
      <x:c r="L646" s="2" t="str">
        <x:v>R3S2</x:v>
      </x:c>
      <x:c r="M646" s="9" t="n">
        <x:v>25.291000000000004</x:v>
      </x:c>
      <x:c r="N646" s="9" t="n">
        <x:v>51.51</x:v>
      </x:c>
      <x:c r="O646" s="2" t="str">
        <x:v>Valid</x:v>
      </x:c>
      <x:c r="P646" s="2" t="str">
        <x:v>EV001284</x:v>
      </x:c>
      <x:c r="Q646" s="8" t="n">
        <x:v>46301.27652777778</x:v>
      </x:c>
      <x:c r="R646" s="2" t="str">
        <x:v>SCH01</x:v>
      </x:c>
      <x:c r="S646" s="9" t="n">
        <x:v>25.285</x:v>
      </x:c>
      <x:c r="T646" s="9" t="n">
        <x:v>51.51</x:v>
      </x:c>
      <x:c r="U646" s="2" t="str">
        <x:v>SCHOOL_RECEIVER_01</x:v>
      </x:c>
      <x:c r="V646" s="2" t="str">
        <x:v>School staff receipt</x:v>
      </x:c>
      <x:c r="W646" s="2" t="str">
        <x:v>Completed transport</x:v>
      </x:c>
      <x:c r="X646" s="2" t="str">
        <x:v>Manual</x:v>
      </x:c>
      <x:c r="Y646" s="2" t="str">
        <x:v>Online</x:v>
      </x:c>
      <x:c r="Z646" s="2" t="str">
        <x:v>Synced</x:v>
      </x:c>
      <x:c r="AA646" s="2" t="str">
        <x:v>Badge forgotten; staff verified identity</x:v>
      </x:c>
      <x:c r="AB646" s="2"/>
      <x:c r="AC646" s="10" t="n">
        <x:f>IF(OR(K646="",Q646=""),"",ROUND((Q646-K646)*1440,2))</x:f>
        <x:v>42</x:v>
      </x:c>
    </x:row>
    <x:row r="647" ht="21" customHeight="1">
      <x:c r="A647" s="2" t="str">
        <x:v>LN00646</x:v>
      </x:c>
      <x:c r="B647" s="2" t="str">
        <x:v>T20261006-1-3</x:v>
      </x:c>
      <x:c r="C647" s="7" t="n">
        <x:v>46301</x:v>
      </x:c>
      <x:c r="D647" s="2" t="str">
        <x:v>BUS003</x:v>
      </x:c>
      <x:c r="E647" s="2" t="str">
        <x:v>ST086</x:v>
      </x:c>
      <x:c r="F647" s="2" t="n">
        <x:v>1</x:v>
      </x:c>
      <x:c r="G647" s="2" t="str">
        <x:v>Junior</x:v>
      </x:c>
      <x:c r="H647" s="2" t="str">
        <x:v>Pickup</x:v>
      </x:c>
      <x:c r="I647" s="2" t="str">
        <x:v>R3S3</x:v>
      </x:c>
      <x:c r="J647" s="2" t="str">
        <x:v>EV001285</x:v>
      </x:c>
      <x:c r="K647" s="8" t="n">
        <x:v>46301.25225694444</x:v>
      </x:c>
      <x:c r="L647" s="2" t="str">
        <x:v>R3S3</x:v>
      </x:c>
      <x:c r="M647" s="9" t="n">
        <x:v>25.293000000000003</x:v>
      </x:c>
      <x:c r="N647" s="9" t="n">
        <x:v>51.513</x:v>
      </x:c>
      <x:c r="O647" s="2" t="str">
        <x:v>Valid</x:v>
      </x:c>
      <x:c r="P647" s="2" t="str">
        <x:v>EV001286</x:v>
      </x:c>
      <x:c r="Q647" s="8" t="n">
        <x:v>46301.276562499996</x:v>
      </x:c>
      <x:c r="R647" s="2" t="str">
        <x:v>SCH01</x:v>
      </x:c>
      <x:c r="S647" s="9" t="n">
        <x:v>25.285</x:v>
      </x:c>
      <x:c r="T647" s="9" t="n">
        <x:v>51.51</x:v>
      </x:c>
      <x:c r="U647" s="2" t="str">
        <x:v>SCHOOL_RECEIVER_01</x:v>
      </x:c>
      <x:c r="V647" s="2" t="str">
        <x:v>School staff receipt</x:v>
      </x:c>
      <x:c r="W647" s="2" t="str">
        <x:v>Completed transport</x:v>
      </x:c>
      <x:c r="X647" s="2" t="str">
        <x:v>QR</x:v>
      </x:c>
      <x:c r="Y647" s="2" t="str">
        <x:v>Online</x:v>
      </x:c>
      <x:c r="Z647" s="2" t="str">
        <x:v>Synced</x:v>
      </x:c>
      <x:c r="AA647" s="2"/>
      <x:c r="AB647" s="2"/>
      <x:c r="AC647" s="10" t="n">
        <x:f>IF(OR(K647="",Q647=""),"",ROUND((Q647-K647)*1440,2))</x:f>
        <x:v>35</x:v>
      </x:c>
    </x:row>
    <x:row r="648" ht="21" customHeight="1">
      <x:c r="A648" s="2" t="str">
        <x:v>LN00647</x:v>
      </x:c>
      <x:c r="B648" s="2" t="str">
        <x:v>T20261006-1-3</x:v>
      </x:c>
      <x:c r="C648" s="7" t="n">
        <x:v>46301</x:v>
      </x:c>
      <x:c r="D648" s="2" t="str">
        <x:v>BUS003</x:v>
      </x:c>
      <x:c r="E648" s="2" t="str">
        <x:v>ST087</x:v>
      </x:c>
      <x:c r="F648" s="2" t="n">
        <x:v>1</x:v>
      </x:c>
      <x:c r="G648" s="2" t="str">
        <x:v>Junior</x:v>
      </x:c>
      <x:c r="H648" s="2" t="str">
        <x:v>Pickup</x:v>
      </x:c>
      <x:c r="I648" s="2" t="str">
        <x:v>R3S1</x:v>
      </x:c>
      <x:c r="J648" s="2" t="str">
        <x:v>EV001287</x:v>
      </x:c>
      <x:c r="K648" s="8" t="n">
        <x:v>46301.24256944445</x:v>
      </x:c>
      <x:c r="L648" s="2" t="str">
        <x:v>R3S1</x:v>
      </x:c>
      <x:c r="M648" s="9" t="n">
        <x:v>25.289</x:v>
      </x:c>
      <x:c r="N648" s="9" t="n">
        <x:v>51.507</x:v>
      </x:c>
      <x:c r="O648" s="2" t="str">
        <x:v>Valid</x:v>
      </x:c>
      <x:c r="P648" s="2" t="str">
        <x:v>EV001288</x:v>
      </x:c>
      <x:c r="Q648" s="8" t="n">
        <x:v>46301.27659722222</x:v>
      </x:c>
      <x:c r="R648" s="2" t="str">
        <x:v>SCH01</x:v>
      </x:c>
      <x:c r="S648" s="9" t="n">
        <x:v>25.285</x:v>
      </x:c>
      <x:c r="T648" s="9" t="n">
        <x:v>51.51</x:v>
      </x:c>
      <x:c r="U648" s="2" t="str">
        <x:v>SCHOOL_RECEIVER_01</x:v>
      </x:c>
      <x:c r="V648" s="2" t="str">
        <x:v>School staff receipt</x:v>
      </x:c>
      <x:c r="W648" s="2" t="str">
        <x:v>Completed transport</x:v>
      </x:c>
      <x:c r="X648" s="2" t="str">
        <x:v>QR</x:v>
      </x:c>
      <x:c r="Y648" s="2" t="str">
        <x:v>Online</x:v>
      </x:c>
      <x:c r="Z648" s="2" t="str">
        <x:v>Synced</x:v>
      </x:c>
      <x:c r="AA648" s="2"/>
      <x:c r="AB648" s="2"/>
      <x:c r="AC648" s="10" t="n">
        <x:f>IF(OR(K648="",Q648=""),"",ROUND((Q648-K648)*1440,2))</x:f>
        <x:v>49</x:v>
      </x:c>
    </x:row>
    <x:row r="649" ht="21" customHeight="1">
      <x:c r="A649" s="2" t="str">
        <x:v>LN00648</x:v>
      </x:c>
      <x:c r="B649" s="2" t="str">
        <x:v>T20261006-1-3</x:v>
      </x:c>
      <x:c r="C649" s="7" t="n">
        <x:v>46301</x:v>
      </x:c>
      <x:c r="D649" s="2" t="str">
        <x:v>BUS003</x:v>
      </x:c>
      <x:c r="E649" s="2" t="str">
        <x:v>ST088</x:v>
      </x:c>
      <x:c r="F649" s="2" t="n">
        <x:v>1</x:v>
      </x:c>
      <x:c r="G649" s="2" t="str">
        <x:v>Junior</x:v>
      </x:c>
      <x:c r="H649" s="2" t="str">
        <x:v>Pickup</x:v>
      </x:c>
      <x:c r="I649" s="2" t="str">
        <x:v>R3S2</x:v>
      </x:c>
      <x:c r="J649" s="2" t="str">
        <x:v>EV001289</x:v>
      </x:c>
      <x:c r="K649" s="8" t="n">
        <x:v>46301.247465277775</x:v>
      </x:c>
      <x:c r="L649" s="2" t="str">
        <x:v>R3S2</x:v>
      </x:c>
      <x:c r="M649" s="9" t="n">
        <x:v>25.291000000000004</x:v>
      </x:c>
      <x:c r="N649" s="9" t="n">
        <x:v>51.51</x:v>
      </x:c>
      <x:c r="O649" s="2" t="str">
        <x:v>Valid</x:v>
      </x:c>
      <x:c r="P649" s="2" t="str">
        <x:v>EV001290</x:v>
      </x:c>
      <x:c r="Q649" s="8" t="n">
        <x:v>46301.27663194444</x:v>
      </x:c>
      <x:c r="R649" s="2" t="str">
        <x:v>SCH01</x:v>
      </x:c>
      <x:c r="S649" s="9" t="n">
        <x:v>25.285</x:v>
      </x:c>
      <x:c r="T649" s="9" t="n">
        <x:v>51.51</x:v>
      </x:c>
      <x:c r="U649" s="2" t="str">
        <x:v>SCHOOL_RECEIVER_01</x:v>
      </x:c>
      <x:c r="V649" s="2" t="str">
        <x:v>School staff receipt</x:v>
      </x:c>
      <x:c r="W649" s="2" t="str">
        <x:v>Completed transport</x:v>
      </x:c>
      <x:c r="X649" s="2" t="str">
        <x:v>QR</x:v>
      </x:c>
      <x:c r="Y649" s="2" t="str">
        <x:v>Online</x:v>
      </x:c>
      <x:c r="Z649" s="2" t="str">
        <x:v>Synced</x:v>
      </x:c>
      <x:c r="AA649" s="2"/>
      <x:c r="AB649" s="2"/>
      <x:c r="AC649" s="10" t="n">
        <x:f>IF(OR(K649="",Q649=""),"",ROUND((Q649-K649)*1440,2))</x:f>
        <x:v>42</x:v>
      </x:c>
    </x:row>
    <x:row r="650" ht="21" customHeight="1">
      <x:c r="A650" s="2" t="str">
        <x:v>LN00649</x:v>
      </x:c>
      <x:c r="B650" s="2" t="str">
        <x:v>T20261006-1-3</x:v>
      </x:c>
      <x:c r="C650" s="7" t="n">
        <x:v>46301</x:v>
      </x:c>
      <x:c r="D650" s="2" t="str">
        <x:v>BUS003</x:v>
      </x:c>
      <x:c r="E650" s="2" t="str">
        <x:v>ST089</x:v>
      </x:c>
      <x:c r="F650" s="2" t="n">
        <x:v>1</x:v>
      </x:c>
      <x:c r="G650" s="2" t="str">
        <x:v>Junior</x:v>
      </x:c>
      <x:c r="H650" s="2" t="str">
        <x:v>Pickup</x:v>
      </x:c>
      <x:c r="I650" s="2" t="str">
        <x:v>R3S3</x:v>
      </x:c>
      <x:c r="J650" s="2" t="str">
        <x:v>EV001291</x:v>
      </x:c>
      <x:c r="K650" s="8" t="n">
        <x:v>46301.25236111111</x:v>
      </x:c>
      <x:c r="L650" s="2" t="str">
        <x:v>R3S3</x:v>
      </x:c>
      <x:c r="M650" s="9" t="n">
        <x:v>25.293000000000003</x:v>
      </x:c>
      <x:c r="N650" s="9" t="n">
        <x:v>51.513</x:v>
      </x:c>
      <x:c r="O650" s="2" t="str">
        <x:v>Valid</x:v>
      </x:c>
      <x:c r="P650" s="2" t="str">
        <x:v>EV001292</x:v>
      </x:c>
      <x:c r="Q650" s="8" t="n">
        <x:v>46301.276666666665</x:v>
      </x:c>
      <x:c r="R650" s="2" t="str">
        <x:v>SCH01</x:v>
      </x:c>
      <x:c r="S650" s="9" t="n">
        <x:v>25.285</x:v>
      </x:c>
      <x:c r="T650" s="9" t="n">
        <x:v>51.51</x:v>
      </x:c>
      <x:c r="U650" s="2" t="str">
        <x:v>SCHOOL_RECEIVER_01</x:v>
      </x:c>
      <x:c r="V650" s="2" t="str">
        <x:v>School staff receipt</x:v>
      </x:c>
      <x:c r="W650" s="2" t="str">
        <x:v>Completed transport</x:v>
      </x:c>
      <x:c r="X650" s="2" t="str">
        <x:v>QR</x:v>
      </x:c>
      <x:c r="Y650" s="2" t="str">
        <x:v>Online</x:v>
      </x:c>
      <x:c r="Z650" s="2" t="str">
        <x:v>Synced</x:v>
      </x:c>
      <x:c r="AA650" s="2"/>
      <x:c r="AB650" s="2"/>
      <x:c r="AC650" s="10" t="n">
        <x:f>IF(OR(K650="",Q650=""),"",ROUND((Q650-K650)*1440,2))</x:f>
        <x:v>35</x:v>
      </x:c>
    </x:row>
    <x:row r="651" ht="21" customHeight="1">
      <x:c r="A651" s="2" t="str">
        <x:v>LN00650</x:v>
      </x:c>
      <x:c r="B651" s="2" t="str">
        <x:v>T20261006-1-3</x:v>
      </x:c>
      <x:c r="C651" s="7" t="n">
        <x:v>46301</x:v>
      </x:c>
      <x:c r="D651" s="2" t="str">
        <x:v>BUS003</x:v>
      </x:c>
      <x:c r="E651" s="2" t="str">
        <x:v>ST090</x:v>
      </x:c>
      <x:c r="F651" s="2" t="n">
        <x:v>1</x:v>
      </x:c>
      <x:c r="G651" s="2" t="str">
        <x:v>Junior</x:v>
      </x:c>
      <x:c r="H651" s="2" t="str">
        <x:v>Pickup</x:v>
      </x:c>
      <x:c r="I651" s="2" t="str">
        <x:v>R3S1</x:v>
      </x:c>
      <x:c r="J651" s="2" t="str">
        <x:v>EV001293</x:v>
      </x:c>
      <x:c r="K651" s="8" t="n">
        <x:v>46301.242673611116</x:v>
      </x:c>
      <x:c r="L651" s="2" t="str">
        <x:v>R3S1</x:v>
      </x:c>
      <x:c r="M651" s="9" t="n">
        <x:v>25.289</x:v>
      </x:c>
      <x:c r="N651" s="9" t="n">
        <x:v>51.507</x:v>
      </x:c>
      <x:c r="O651" s="2" t="str">
        <x:v>Valid</x:v>
      </x:c>
      <x:c r="P651" s="2" t="str">
        <x:v>EV001294</x:v>
      </x:c>
      <x:c r="Q651" s="8" t="n">
        <x:v>46301.27670138889</x:v>
      </x:c>
      <x:c r="R651" s="2" t="str">
        <x:v>SCH01</x:v>
      </x:c>
      <x:c r="S651" s="9" t="n">
        <x:v>25.285</x:v>
      </x:c>
      <x:c r="T651" s="9" t="n">
        <x:v>51.51</x:v>
      </x:c>
      <x:c r="U651" s="2" t="str">
        <x:v>SCHOOL_RECEIVER_01</x:v>
      </x:c>
      <x:c r="V651" s="2" t="str">
        <x:v>School staff receipt</x:v>
      </x:c>
      <x:c r="W651" s="2" t="str">
        <x:v>Completed transport</x:v>
      </x:c>
      <x:c r="X651" s="2" t="str">
        <x:v>QR</x:v>
      </x:c>
      <x:c r="Y651" s="2" t="str">
        <x:v>Online</x:v>
      </x:c>
      <x:c r="Z651" s="2" t="str">
        <x:v>Synced</x:v>
      </x:c>
      <x:c r="AA651" s="2"/>
      <x:c r="AB651" s="2"/>
      <x:c r="AC651" s="10" t="n">
        <x:f>IF(OR(K651="",Q651=""),"",ROUND((Q651-K651)*1440,2))</x:f>
        <x:v>49</x:v>
      </x:c>
    </x:row>
    <x:row r="652" ht="21" customHeight="1">
      <x:c r="A652" s="2" t="str">
        <x:v>LN00651</x:v>
      </x:c>
      <x:c r="B652" s="2" t="str">
        <x:v>T20261006-1-3</x:v>
      </x:c>
      <x:c r="C652" s="7" t="n">
        <x:v>46301</x:v>
      </x:c>
      <x:c r="D652" s="2" t="str">
        <x:v>BUS003</x:v>
      </x:c>
      <x:c r="E652" s="2" t="str">
        <x:v>ST091</x:v>
      </x:c>
      <x:c r="F652" s="2" t="n">
        <x:v>1</x:v>
      </x:c>
      <x:c r="G652" s="2" t="str">
        <x:v>Senior</x:v>
      </x:c>
      <x:c r="H652" s="2" t="str">
        <x:v>Pickup</x:v>
      </x:c>
      <x:c r="I652" s="2" t="str">
        <x:v>R3S2</x:v>
      </x:c>
      <x:c r="J652" s="2" t="str">
        <x:v>EV001295</x:v>
      </x:c>
      <x:c r="K652" s="8" t="n">
        <x:v>46301.24722222222</x:v>
      </x:c>
      <x:c r="L652" s="2" t="str">
        <x:v>R3S2</x:v>
      </x:c>
      <x:c r="M652" s="9" t="n">
        <x:v>25.291000000000004</x:v>
      </x:c>
      <x:c r="N652" s="9" t="n">
        <x:v>51.51</x:v>
      </x:c>
      <x:c r="O652" s="2" t="str">
        <x:v>Valid</x:v>
      </x:c>
      <x:c r="P652" s="2" t="str">
        <x:v>EV001296</x:v>
      </x:c>
      <x:c r="Q652" s="8" t="n">
        <x:v>46301.27673611111</x:v>
      </x:c>
      <x:c r="R652" s="2" t="str">
        <x:v>SCH01</x:v>
      </x:c>
      <x:c r="S652" s="9" t="n">
        <x:v>25.285</x:v>
      </x:c>
      <x:c r="T652" s="9" t="n">
        <x:v>51.51</x:v>
      </x:c>
      <x:c r="U652" s="2" t="str">
        <x:v>SCHOOL_RECEIVER_01</x:v>
      </x:c>
      <x:c r="V652" s="2" t="str">
        <x:v>School staff receipt</x:v>
      </x:c>
      <x:c r="W652" s="2" t="str">
        <x:v>Completed transport</x:v>
      </x:c>
      <x:c r="X652" s="2" t="str">
        <x:v>QR</x:v>
      </x:c>
      <x:c r="Y652" s="2" t="str">
        <x:v>Online</x:v>
      </x:c>
      <x:c r="Z652" s="2" t="str">
        <x:v>Synced</x:v>
      </x:c>
      <x:c r="AA652" s="2"/>
      <x:c r="AB652" s="2"/>
      <x:c r="AC652" s="10" t="n">
        <x:f>IF(OR(K652="",Q652=""),"",ROUND((Q652-K652)*1440,2))</x:f>
        <x:v>42.5</x:v>
      </x:c>
    </x:row>
    <x:row r="653" ht="21" customHeight="1">
      <x:c r="A653" s="2" t="str">
        <x:v>LN00652</x:v>
      </x:c>
      <x:c r="B653" s="2" t="str">
        <x:v>T20261006-1-3</x:v>
      </x:c>
      <x:c r="C653" s="7" t="n">
        <x:v>46301</x:v>
      </x:c>
      <x:c r="D653" s="2" t="str">
        <x:v>BUS003</x:v>
      </x:c>
      <x:c r="E653" s="2" t="str">
        <x:v>ST092</x:v>
      </x:c>
      <x:c r="F653" s="2" t="n">
        <x:v>1</x:v>
      </x:c>
      <x:c r="G653" s="2" t="str">
        <x:v>Senior</x:v>
      </x:c>
      <x:c r="H653" s="2" t="str">
        <x:v>Pickup</x:v>
      </x:c>
      <x:c r="I653" s="2" t="str">
        <x:v>R3S3</x:v>
      </x:c>
      <x:c r="J653" s="2" t="str">
        <x:v>EV001297</x:v>
      </x:c>
      <x:c r="K653" s="8" t="n">
        <x:v>46301.252118055556</x:v>
      </x:c>
      <x:c r="L653" s="2" t="str">
        <x:v>R3S3</x:v>
      </x:c>
      <x:c r="M653" s="9" t="n">
        <x:v>25.293000000000003</x:v>
      </x:c>
      <x:c r="N653" s="9" t="n">
        <x:v>51.513</x:v>
      </x:c>
      <x:c r="O653" s="2" t="str">
        <x:v>Valid</x:v>
      </x:c>
      <x:c r="P653" s="2" t="str">
        <x:v>EV001298</x:v>
      </x:c>
      <x:c r="Q653" s="8" t="n">
        <x:v>46301.276770833334</x:v>
      </x:c>
      <x:c r="R653" s="2" t="str">
        <x:v>SCH01</x:v>
      </x:c>
      <x:c r="S653" s="9" t="n">
        <x:v>25.285</x:v>
      </x:c>
      <x:c r="T653" s="9" t="n">
        <x:v>51.51</x:v>
      </x:c>
      <x:c r="U653" s="2" t="str">
        <x:v>SCHOOL_RECEIVER_01</x:v>
      </x:c>
      <x:c r="V653" s="2" t="str">
        <x:v>School staff receipt</x:v>
      </x:c>
      <x:c r="W653" s="2" t="str">
        <x:v>Completed transport</x:v>
      </x:c>
      <x:c r="X653" s="2" t="str">
        <x:v>QR</x:v>
      </x:c>
      <x:c r="Y653" s="2" t="str">
        <x:v>Online</x:v>
      </x:c>
      <x:c r="Z653" s="2" t="str">
        <x:v>Synced</x:v>
      </x:c>
      <x:c r="AA653" s="2"/>
      <x:c r="AB653" s="2"/>
      <x:c r="AC653" s="10" t="n">
        <x:f>IF(OR(K653="",Q653=""),"",ROUND((Q653-K653)*1440,2))</x:f>
        <x:v>35.5</x:v>
      </x:c>
    </x:row>
    <x:row r="654" ht="21" customHeight="1">
      <x:c r="A654" s="2" t="str">
        <x:v>LN00653</x:v>
      </x:c>
      <x:c r="B654" s="2" t="str">
        <x:v>T20261006-1-3</x:v>
      </x:c>
      <x:c r="C654" s="7" t="n">
        <x:v>46301</x:v>
      </x:c>
      <x:c r="D654" s="2" t="str">
        <x:v>BUS003</x:v>
      </x:c>
      <x:c r="E654" s="2" t="str">
        <x:v>ST093</x:v>
      </x:c>
      <x:c r="F654" s="2" t="n">
        <x:v>1</x:v>
      </x:c>
      <x:c r="G654" s="2" t="str">
        <x:v>Senior</x:v>
      </x:c>
      <x:c r="H654" s="2" t="str">
        <x:v>Pickup</x:v>
      </x:c>
      <x:c r="I654" s="2" t="str">
        <x:v>R3S1</x:v>
      </x:c>
      <x:c r="J654" s="2" t="str">
        <x:v>EV001299</x:v>
      </x:c>
      <x:c r="K654" s="8" t="n">
        <x:v>46301.24243055556</x:v>
      </x:c>
      <x:c r="L654" s="2" t="str">
        <x:v>R3S1</x:v>
      </x:c>
      <x:c r="M654" s="9" t="n">
        <x:v>25.289</x:v>
      </x:c>
      <x:c r="N654" s="9" t="n">
        <x:v>51.507</x:v>
      </x:c>
      <x:c r="O654" s="2" t="str">
        <x:v>Valid</x:v>
      </x:c>
      <x:c r="P654" s="2" t="str">
        <x:v>EV001300</x:v>
      </x:c>
      <x:c r="Q654" s="8" t="n">
        <x:v>46301.27680555556</x:v>
      </x:c>
      <x:c r="R654" s="2" t="str">
        <x:v>SCH01</x:v>
      </x:c>
      <x:c r="S654" s="9" t="n">
        <x:v>25.285</x:v>
      </x:c>
      <x:c r="T654" s="9" t="n">
        <x:v>51.51</x:v>
      </x:c>
      <x:c r="U654" s="2" t="str">
        <x:v>SCHOOL_RECEIVER_01</x:v>
      </x:c>
      <x:c r="V654" s="2" t="str">
        <x:v>School staff receipt</x:v>
      </x:c>
      <x:c r="W654" s="2" t="str">
        <x:v>Completed transport</x:v>
      </x:c>
      <x:c r="X654" s="2" t="str">
        <x:v>QR</x:v>
      </x:c>
      <x:c r="Y654" s="2" t="str">
        <x:v>Online</x:v>
      </x:c>
      <x:c r="Z654" s="2" t="str">
        <x:v>Synced</x:v>
      </x:c>
      <x:c r="AA654" s="2"/>
      <x:c r="AB654" s="2"/>
      <x:c r="AC654" s="10" t="n">
        <x:f>IF(OR(K654="",Q654=""),"",ROUND((Q654-K654)*1440,2))</x:f>
        <x:v>49.5</x:v>
      </x:c>
    </x:row>
    <x:row r="655" ht="21" customHeight="1">
      <x:c r="A655" s="2" t="str">
        <x:v>LN00654</x:v>
      </x:c>
      <x:c r="B655" s="2" t="str">
        <x:v>T20261006-1-3</x:v>
      </x:c>
      <x:c r="C655" s="7" t="n">
        <x:v>46301</x:v>
      </x:c>
      <x:c r="D655" s="2" t="str">
        <x:v>BUS003</x:v>
      </x:c>
      <x:c r="E655" s="2" t="str">
        <x:v>ST094</x:v>
      </x:c>
      <x:c r="F655" s="2" t="n">
        <x:v>1</x:v>
      </x:c>
      <x:c r="G655" s="2" t="str">
        <x:v>Senior</x:v>
      </x:c>
      <x:c r="H655" s="2" t="str">
        <x:v>Pickup</x:v>
      </x:c>
      <x:c r="I655" s="2" t="str">
        <x:v>R3S2</x:v>
      </x:c>
      <x:c r="J655" s="2" t="str">
        <x:v>EV001301</x:v>
      </x:c>
      <x:c r="K655" s="8" t="n">
        <x:v>46301.24732638889</x:v>
      </x:c>
      <x:c r="L655" s="2" t="str">
        <x:v>R3S2</x:v>
      </x:c>
      <x:c r="M655" s="9" t="n">
        <x:v>25.291000000000004</x:v>
      </x:c>
      <x:c r="N655" s="9" t="n">
        <x:v>51.51</x:v>
      </x:c>
      <x:c r="O655" s="2" t="str">
        <x:v>Valid</x:v>
      </x:c>
      <x:c r="P655" s="2" t="str">
        <x:v>EV001302</x:v>
      </x:c>
      <x:c r="Q655" s="8" t="n">
        <x:v>46301.27684027777</x:v>
      </x:c>
      <x:c r="R655" s="2" t="str">
        <x:v>SCH01</x:v>
      </x:c>
      <x:c r="S655" s="9" t="n">
        <x:v>25.285</x:v>
      </x:c>
      <x:c r="T655" s="9" t="n">
        <x:v>51.51</x:v>
      </x:c>
      <x:c r="U655" s="2" t="str">
        <x:v>SCHOOL_RECEIVER_01</x:v>
      </x:c>
      <x:c r="V655" s="2" t="str">
        <x:v>School staff receipt</x:v>
      </x:c>
      <x:c r="W655" s="2" t="str">
        <x:v>Completed transport</x:v>
      </x:c>
      <x:c r="X655" s="2" t="str">
        <x:v>QR</x:v>
      </x:c>
      <x:c r="Y655" s="2" t="str">
        <x:v>Online</x:v>
      </x:c>
      <x:c r="Z655" s="2" t="str">
        <x:v>Synced</x:v>
      </x:c>
      <x:c r="AA655" s="2"/>
      <x:c r="AB655" s="2"/>
      <x:c r="AC655" s="10" t="n">
        <x:f>IF(OR(K655="",Q655=""),"",ROUND((Q655-K655)*1440,2))</x:f>
        <x:v>42.5</x:v>
      </x:c>
    </x:row>
    <x:row r="656" ht="21" customHeight="1">
      <x:c r="A656" s="2" t="str">
        <x:v>LN00655</x:v>
      </x:c>
      <x:c r="B656" s="2" t="str">
        <x:v>T20261006-1-3</x:v>
      </x:c>
      <x:c r="C656" s="7" t="n">
        <x:v>46301</x:v>
      </x:c>
      <x:c r="D656" s="2" t="str">
        <x:v>BUS003</x:v>
      </x:c>
      <x:c r="E656" s="2" t="str">
        <x:v>ST095</x:v>
      </x:c>
      <x:c r="F656" s="2" t="n">
        <x:v>1</x:v>
      </x:c>
      <x:c r="G656" s="2" t="str">
        <x:v>Senior</x:v>
      </x:c>
      <x:c r="H656" s="2" t="str">
        <x:v>Pickup</x:v>
      </x:c>
      <x:c r="I656" s="2" t="str">
        <x:v>R3S3</x:v>
      </x:c>
      <x:c r="J656" s="2" t="str">
        <x:v>EV001303</x:v>
      </x:c>
      <x:c r="K656" s="8" t="n">
        <x:v>46301.252222222225</x:v>
      </x:c>
      <x:c r="L656" s="2" t="str">
        <x:v>R3S3</x:v>
      </x:c>
      <x:c r="M656" s="9" t="n">
        <x:v>25.293000000000003</x:v>
      </x:c>
      <x:c r="N656" s="9" t="n">
        <x:v>51.513</x:v>
      </x:c>
      <x:c r="O656" s="2" t="str">
        <x:v>Valid</x:v>
      </x:c>
      <x:c r="P656" s="2" t="str">
        <x:v>EV001304</x:v>
      </x:c>
      <x:c r="Q656" s="8" t="n">
        <x:v>46301.276874999996</x:v>
      </x:c>
      <x:c r="R656" s="2" t="str">
        <x:v>SCH01</x:v>
      </x:c>
      <x:c r="S656" s="9" t="n">
        <x:v>25.285</x:v>
      </x:c>
      <x:c r="T656" s="9" t="n">
        <x:v>51.51</x:v>
      </x:c>
      <x:c r="U656" s="2" t="str">
        <x:v>SCHOOL_RECEIVER_01</x:v>
      </x:c>
      <x:c r="V656" s="2" t="str">
        <x:v>School staff receipt</x:v>
      </x:c>
      <x:c r="W656" s="2" t="str">
        <x:v>Completed transport</x:v>
      </x:c>
      <x:c r="X656" s="2" t="str">
        <x:v>QR</x:v>
      </x:c>
      <x:c r="Y656" s="2" t="str">
        <x:v>Online</x:v>
      </x:c>
      <x:c r="Z656" s="2" t="str">
        <x:v>Synced</x:v>
      </x:c>
      <x:c r="AA656" s="2"/>
      <x:c r="AB656" s="2"/>
      <x:c r="AC656" s="10" t="n">
        <x:f>IF(OR(K656="",Q656=""),"",ROUND((Q656-K656)*1440,2))</x:f>
        <x:v>35.5</x:v>
      </x:c>
    </x:row>
    <x:row r="657" ht="21" customHeight="1">
      <x:c r="A657" s="2" t="str">
        <x:v>LN00656</x:v>
      </x:c>
      <x:c r="B657" s="2" t="str">
        <x:v>T20261006-1-3</x:v>
      </x:c>
      <x:c r="C657" s="7" t="n">
        <x:v>46301</x:v>
      </x:c>
      <x:c r="D657" s="2" t="str">
        <x:v>BUS003</x:v>
      </x:c>
      <x:c r="E657" s="2" t="str">
        <x:v>ST096</x:v>
      </x:c>
      <x:c r="F657" s="2" t="n">
        <x:v>1</x:v>
      </x:c>
      <x:c r="G657" s="2" t="str">
        <x:v>Senior</x:v>
      </x:c>
      <x:c r="H657" s="2" t="str">
        <x:v>Pickup</x:v>
      </x:c>
      <x:c r="I657" s="2" t="str">
        <x:v>R3S1</x:v>
      </x:c>
      <x:c r="J657" s="2" t="str">
        <x:v>EV001305</x:v>
      </x:c>
      <x:c r="K657" s="8" t="n">
        <x:v>46301.24253472222</x:v>
      </x:c>
      <x:c r="L657" s="2" t="str">
        <x:v>R3S1</x:v>
      </x:c>
      <x:c r="M657" s="9" t="n">
        <x:v>25.289</x:v>
      </x:c>
      <x:c r="N657" s="9" t="n">
        <x:v>51.507</x:v>
      </x:c>
      <x:c r="O657" s="2" t="str">
        <x:v>Valid</x:v>
      </x:c>
      <x:c r="P657" s="2" t="str">
        <x:v>EV001306</x:v>
      </x:c>
      <x:c r="Q657" s="8" t="n">
        <x:v>46301.27690972222</x:v>
      </x:c>
      <x:c r="R657" s="2" t="str">
        <x:v>SCH01</x:v>
      </x:c>
      <x:c r="S657" s="9" t="n">
        <x:v>25.285</x:v>
      </x:c>
      <x:c r="T657" s="9" t="n">
        <x:v>51.51</x:v>
      </x:c>
      <x:c r="U657" s="2" t="str">
        <x:v>SCHOOL_RECEIVER_01</x:v>
      </x:c>
      <x:c r="V657" s="2" t="str">
        <x:v>School staff receipt</x:v>
      </x:c>
      <x:c r="W657" s="2" t="str">
        <x:v>Completed transport</x:v>
      </x:c>
      <x:c r="X657" s="2" t="str">
        <x:v>QR</x:v>
      </x:c>
      <x:c r="Y657" s="2" t="str">
        <x:v>Online</x:v>
      </x:c>
      <x:c r="Z657" s="2" t="str">
        <x:v>Synced</x:v>
      </x:c>
      <x:c r="AA657" s="2"/>
      <x:c r="AB657" s="2"/>
      <x:c r="AC657" s="10" t="n">
        <x:f>IF(OR(K657="",Q657=""),"",ROUND((Q657-K657)*1440,2))</x:f>
        <x:v>49.5</x:v>
      </x:c>
    </x:row>
    <x:row r="658" ht="21" customHeight="1">
      <x:c r="A658" s="2" t="str">
        <x:v>LN00657</x:v>
      </x:c>
      <x:c r="B658" s="2" t="str">
        <x:v>T20261006-1-3</x:v>
      </x:c>
      <x:c r="C658" s="7" t="n">
        <x:v>46301</x:v>
      </x:c>
      <x:c r="D658" s="2" t="str">
        <x:v>BUS003</x:v>
      </x:c>
      <x:c r="E658" s="2" t="str">
        <x:v>ST097</x:v>
      </x:c>
      <x:c r="F658" s="2" t="n">
        <x:v>1</x:v>
      </x:c>
      <x:c r="G658" s="2" t="str">
        <x:v>Senior</x:v>
      </x:c>
      <x:c r="H658" s="2" t="str">
        <x:v>Pickup</x:v>
      </x:c>
      <x:c r="I658" s="2" t="str">
        <x:v>R3S2</x:v>
      </x:c>
      <x:c r="J658" s="2" t="str">
        <x:v>EV001307</x:v>
      </x:c>
      <x:c r="K658" s="8" t="n">
        <x:v>46301.24743055555</x:v>
      </x:c>
      <x:c r="L658" s="2" t="str">
        <x:v>R3S2</x:v>
      </x:c>
      <x:c r="M658" s="9" t="n">
        <x:v>25.291000000000004</x:v>
      </x:c>
      <x:c r="N658" s="9" t="n">
        <x:v>51.51</x:v>
      </x:c>
      <x:c r="O658" s="2" t="str">
        <x:v>Valid</x:v>
      </x:c>
      <x:c r="P658" s="2" t="str">
        <x:v>EV001308</x:v>
      </x:c>
      <x:c r="Q658" s="8" t="n">
        <x:v>46301.27694444444</x:v>
      </x:c>
      <x:c r="R658" s="2" t="str">
        <x:v>SCH01</x:v>
      </x:c>
      <x:c r="S658" s="9" t="n">
        <x:v>25.285</x:v>
      </x:c>
      <x:c r="T658" s="9" t="n">
        <x:v>51.51</x:v>
      </x:c>
      <x:c r="U658" s="2" t="str">
        <x:v>SCHOOL_RECEIVER_01</x:v>
      </x:c>
      <x:c r="V658" s="2" t="str">
        <x:v>School staff receipt</x:v>
      </x:c>
      <x:c r="W658" s="2" t="str">
        <x:v>Completed transport</x:v>
      </x:c>
      <x:c r="X658" s="2" t="str">
        <x:v>QR</x:v>
      </x:c>
      <x:c r="Y658" s="2" t="str">
        <x:v>Online</x:v>
      </x:c>
      <x:c r="Z658" s="2" t="str">
        <x:v>Synced</x:v>
      </x:c>
      <x:c r="AA658" s="2"/>
      <x:c r="AB658" s="2"/>
      <x:c r="AC658" s="10" t="n">
        <x:f>IF(OR(K658="",Q658=""),"",ROUND((Q658-K658)*1440,2))</x:f>
        <x:v>42.5</x:v>
      </x:c>
    </x:row>
    <x:row r="659" ht="21" customHeight="1">
      <x:c r="A659" s="2" t="str">
        <x:v>LN00658</x:v>
      </x:c>
      <x:c r="B659" s="2" t="str">
        <x:v>T20261006-1-3</x:v>
      </x:c>
      <x:c r="C659" s="7" t="n">
        <x:v>46301</x:v>
      </x:c>
      <x:c r="D659" s="2" t="str">
        <x:v>BUS003</x:v>
      </x:c>
      <x:c r="E659" s="2" t="str">
        <x:v>ST098</x:v>
      </x:c>
      <x:c r="F659" s="2" t="n">
        <x:v>1</x:v>
      </x:c>
      <x:c r="G659" s="2" t="str">
        <x:v>Senior</x:v>
      </x:c>
      <x:c r="H659" s="2" t="str">
        <x:v>Pickup</x:v>
      </x:c>
      <x:c r="I659" s="2" t="str">
        <x:v>R3S3</x:v>
      </x:c>
      <x:c r="J659" s="2" t="str">
        <x:v>EV001309</x:v>
      </x:c>
      <x:c r="K659" s="8" t="n">
        <x:v>46301.25232638889</x:v>
      </x:c>
      <x:c r="L659" s="2" t="str">
        <x:v>R3S3</x:v>
      </x:c>
      <x:c r="M659" s="9" t="n">
        <x:v>25.293000000000003</x:v>
      </x:c>
      <x:c r="N659" s="9" t="n">
        <x:v>51.513</x:v>
      </x:c>
      <x:c r="O659" s="2" t="str">
        <x:v>Valid</x:v>
      </x:c>
      <x:c r="P659" s="2" t="str">
        <x:v>EV001310</x:v>
      </x:c>
      <x:c r="Q659" s="8" t="n">
        <x:v>46301.276979166665</x:v>
      </x:c>
      <x:c r="R659" s="2" t="str">
        <x:v>SCH01</x:v>
      </x:c>
      <x:c r="S659" s="9" t="n">
        <x:v>25.285</x:v>
      </x:c>
      <x:c r="T659" s="9" t="n">
        <x:v>51.51</x:v>
      </x:c>
      <x:c r="U659" s="2" t="str">
        <x:v>SCHOOL_RECEIVER_01</x:v>
      </x:c>
      <x:c r="V659" s="2" t="str">
        <x:v>School staff receipt</x:v>
      </x:c>
      <x:c r="W659" s="2" t="str">
        <x:v>Completed transport</x:v>
      </x:c>
      <x:c r="X659" s="2" t="str">
        <x:v>QR</x:v>
      </x:c>
      <x:c r="Y659" s="2" t="str">
        <x:v>Online</x:v>
      </x:c>
      <x:c r="Z659" s="2" t="str">
        <x:v>Synced</x:v>
      </x:c>
      <x:c r="AA659" s="2"/>
      <x:c r="AB659" s="2"/>
      <x:c r="AC659" s="10" t="n">
        <x:f>IF(OR(K659="",Q659=""),"",ROUND((Q659-K659)*1440,2))</x:f>
        <x:v>35.5</x:v>
      </x:c>
    </x:row>
    <x:row r="660" ht="21" customHeight="1">
      <x:c r="A660" s="2" t="str">
        <x:v>LN00659</x:v>
      </x:c>
      <x:c r="B660" s="2" t="str">
        <x:v>T20261006-1-3</x:v>
      </x:c>
      <x:c r="C660" s="7" t="n">
        <x:v>46301</x:v>
      </x:c>
      <x:c r="D660" s="2" t="str">
        <x:v>BUS003</x:v>
      </x:c>
      <x:c r="E660" s="2" t="str">
        <x:v>ST099</x:v>
      </x:c>
      <x:c r="F660" s="2" t="n">
        <x:v>1</x:v>
      </x:c>
      <x:c r="G660" s="2" t="str">
        <x:v>Senior</x:v>
      </x:c>
      <x:c r="H660" s="2" t="str">
        <x:v>Pickup</x:v>
      </x:c>
      <x:c r="I660" s="2" t="str">
        <x:v>R3S1</x:v>
      </x:c>
      <x:c r="J660" s="2" t="str">
        <x:v>EV001311</x:v>
      </x:c>
      <x:c r="K660" s="8" t="n">
        <x:v>46301.24263888889</x:v>
      </x:c>
      <x:c r="L660" s="2" t="str">
        <x:v>R3S1</x:v>
      </x:c>
      <x:c r="M660" s="9" t="n">
        <x:v>25.289</x:v>
      </x:c>
      <x:c r="N660" s="9" t="n">
        <x:v>51.507</x:v>
      </x:c>
      <x:c r="O660" s="2" t="str">
        <x:v>Valid</x:v>
      </x:c>
      <x:c r="P660" s="2" t="str">
        <x:v>EV001312</x:v>
      </x:c>
      <x:c r="Q660" s="8" t="n">
        <x:v>46301.27701388889</x:v>
      </x:c>
      <x:c r="R660" s="2" t="str">
        <x:v>SCH01</x:v>
      </x:c>
      <x:c r="S660" s="9" t="n">
        <x:v>25.285</x:v>
      </x:c>
      <x:c r="T660" s="9" t="n">
        <x:v>51.51</x:v>
      </x:c>
      <x:c r="U660" s="2" t="str">
        <x:v>SCHOOL_RECEIVER_01</x:v>
      </x:c>
      <x:c r="V660" s="2" t="str">
        <x:v>School staff receipt</x:v>
      </x:c>
      <x:c r="W660" s="2" t="str">
        <x:v>Completed transport</x:v>
      </x:c>
      <x:c r="X660" s="2" t="str">
        <x:v>QR</x:v>
      </x:c>
      <x:c r="Y660" s="2" t="str">
        <x:v>Online</x:v>
      </x:c>
      <x:c r="Z660" s="2" t="str">
        <x:v>Synced</x:v>
      </x:c>
      <x:c r="AA660" s="2"/>
      <x:c r="AB660" s="2"/>
      <x:c r="AC660" s="10" t="n">
        <x:f>IF(OR(K660="",Q660=""),"",ROUND((Q660-K660)*1440,2))</x:f>
        <x:v>49.5</x:v>
      </x:c>
    </x:row>
    <x:row r="661" ht="21" customHeight="1">
      <x:c r="A661" s="2" t="str">
        <x:v>LN00660</x:v>
      </x:c>
      <x:c r="B661" s="2" t="str">
        <x:v>T20261006-1-3</x:v>
      </x:c>
      <x:c r="C661" s="7" t="n">
        <x:v>46301</x:v>
      </x:c>
      <x:c r="D661" s="2" t="str">
        <x:v>BUS003</x:v>
      </x:c>
      <x:c r="E661" s="2" t="str">
        <x:v>ST100</x:v>
      </x:c>
      <x:c r="F661" s="2" t="n">
        <x:v>1</x:v>
      </x:c>
      <x:c r="G661" s="2" t="str">
        <x:v>Senior</x:v>
      </x:c>
      <x:c r="H661" s="2" t="str">
        <x:v>Pickup</x:v>
      </x:c>
      <x:c r="I661" s="2" t="str">
        <x:v>R3S2</x:v>
      </x:c>
      <x:c r="J661" s="2" t="str">
        <x:v>EV001313</x:v>
      </x:c>
      <x:c r="K661" s="8" t="n">
        <x:v>46301.24753472222</x:v>
      </x:c>
      <x:c r="L661" s="2" t="str">
        <x:v>R3S2</x:v>
      </x:c>
      <x:c r="M661" s="9" t="n">
        <x:v>25.291000000000004</x:v>
      </x:c>
      <x:c r="N661" s="9" t="n">
        <x:v>51.51</x:v>
      </x:c>
      <x:c r="O661" s="2" t="str">
        <x:v>Valid</x:v>
      </x:c>
      <x:c r="P661" s="2" t="str">
        <x:v>EV001314</x:v>
      </x:c>
      <x:c r="Q661" s="8" t="n">
        <x:v>46301.27704861111</x:v>
      </x:c>
      <x:c r="R661" s="2" t="str">
        <x:v>SCH01</x:v>
      </x:c>
      <x:c r="S661" s="9" t="n">
        <x:v>25.285</x:v>
      </x:c>
      <x:c r="T661" s="9" t="n">
        <x:v>51.51</x:v>
      </x:c>
      <x:c r="U661" s="2" t="str">
        <x:v>SCHOOL_RECEIVER_01</x:v>
      </x:c>
      <x:c r="V661" s="2" t="str">
        <x:v>School staff receipt</x:v>
      </x:c>
      <x:c r="W661" s="2" t="str">
        <x:v>Completed transport</x:v>
      </x:c>
      <x:c r="X661" s="2" t="str">
        <x:v>QR</x:v>
      </x:c>
      <x:c r="Y661" s="2" t="str">
        <x:v>Online</x:v>
      </x:c>
      <x:c r="Z661" s="2" t="str">
        <x:v>Synced</x:v>
      </x:c>
      <x:c r="AA661" s="2"/>
      <x:c r="AB661" s="2"/>
      <x:c r="AC661" s="10" t="n">
        <x:f>IF(OR(K661="",Q661=""),"",ROUND((Q661-K661)*1440,2))</x:f>
        <x:v>42.5</x:v>
      </x:c>
    </x:row>
    <x:row r="662" ht="21" customHeight="1">
      <x:c r="A662" s="2" t="str">
        <x:v>LN00661</x:v>
      </x:c>
      <x:c r="B662" s="2" t="str">
        <x:v>T20261006-2-3</x:v>
      </x:c>
      <x:c r="C662" s="7" t="n">
        <x:v>46301</x:v>
      </x:c>
      <x:c r="D662" s="2" t="str">
        <x:v>BUS003</x:v>
      </x:c>
      <x:c r="E662" s="2" t="str">
        <x:v>ST081</x:v>
      </x:c>
      <x:c r="F662" s="2" t="n">
        <x:v>1</x:v>
      </x:c>
      <x:c r="G662" s="2" t="str">
        <x:v>Junior</x:v>
      </x:c>
      <x:c r="H662" s="2" t="str">
        <x:v>Drop-off</x:v>
      </x:c>
      <x:c r="I662" s="2" t="str">
        <x:v>R3S1</x:v>
      </x:c>
      <x:c r="J662" s="2" t="str">
        <x:v>EV001315</x:v>
      </x:c>
      <x:c r="K662" s="8" t="n">
        <x:v>46301.4375</x:v>
      </x:c>
      <x:c r="L662" s="2" t="str">
        <x:v>SCH01</x:v>
      </x:c>
      <x:c r="M662" s="9" t="n">
        <x:v>25.285</x:v>
      </x:c>
      <x:c r="N662" s="9" t="n">
        <x:v>51.51</x:v>
      </x:c>
      <x:c r="O662" s="2" t="str">
        <x:v>Valid</x:v>
      </x:c>
      <x:c r="P662" s="2" t="str">
        <x:v>EV001316</x:v>
      </x:c>
      <x:c r="Q662" s="8" t="n">
        <x:v>46301.44930555555</x:v>
      </x:c>
      <x:c r="R662" s="2" t="str">
        <x:v>R3S1</x:v>
      </x:c>
      <x:c r="S662" s="9" t="n">
        <x:v>25.289</x:v>
      </x:c>
      <x:c r="T662" s="9" t="n">
        <x:v>51.507</x:v>
      </x:c>
      <x:c r="U662" s="2" t="str">
        <x:v>G081</x:v>
      </x:c>
      <x:c r="V662" s="2" t="str">
        <x:v>Authorized guardian release</x:v>
      </x:c>
      <x:c r="W662" s="2" t="str">
        <x:v>Completed transport</x:v>
      </x:c>
      <x:c r="X662" s="2" t="str">
        <x:v>QR</x:v>
      </x:c>
      <x:c r="Y662" s="2" t="str">
        <x:v>Online</x:v>
      </x:c>
      <x:c r="Z662" s="2" t="str">
        <x:v>Synced</x:v>
      </x:c>
      <x:c r="AA662" s="2"/>
      <x:c r="AB662" s="2"/>
      <x:c r="AC662" s="10" t="n">
        <x:f>IF(OR(K662="",Q662=""),"",ROUND((Q662-K662)*1440,2))</x:f>
        <x:v>17</x:v>
      </x:c>
    </x:row>
    <x:row r="663" ht="21" customHeight="1">
      <x:c r="A663" s="2" t="str">
        <x:v>LN00662</x:v>
      </x:c>
      <x:c r="B663" s="2" t="str">
        <x:v>T20261006-2-3</x:v>
      </x:c>
      <x:c r="C663" s="7" t="n">
        <x:v>46301</x:v>
      </x:c>
      <x:c r="D663" s="2" t="str">
        <x:v>BUS003</x:v>
      </x:c>
      <x:c r="E663" s="2" t="str">
        <x:v>ST082</x:v>
      </x:c>
      <x:c r="F663" s="2" t="n">
        <x:v>1</x:v>
      </x:c>
      <x:c r="G663" s="2" t="str">
        <x:v>Junior</x:v>
      </x:c>
      <x:c r="H663" s="2" t="str">
        <x:v>Drop-off</x:v>
      </x:c>
      <x:c r="I663" s="2" t="str">
        <x:v>R3S2</x:v>
      </x:c>
      <x:c r="J663" s="2" t="str">
        <x:v>EV001317</x:v>
      </x:c>
      <x:c r="K663" s="8" t="n">
        <x:v>46301.43753472222</x:v>
      </x:c>
      <x:c r="L663" s="2" t="str">
        <x:v>SCH01</x:v>
      </x:c>
      <x:c r="M663" s="9" t="n">
        <x:v>25.285</x:v>
      </x:c>
      <x:c r="N663" s="9" t="n">
        <x:v>51.51</x:v>
      </x:c>
      <x:c r="O663" s="2" t="str">
        <x:v>Valid</x:v>
      </x:c>
      <x:c r="P663" s="2" t="str">
        <x:v>EV001318</x:v>
      </x:c>
      <x:c r="Q663" s="8" t="n">
        <x:v>46301.45350694445</x:v>
      </x:c>
      <x:c r="R663" s="2" t="str">
        <x:v>R3S2</x:v>
      </x:c>
      <x:c r="S663" s="9" t="n">
        <x:v>25.291000000000004</x:v>
      </x:c>
      <x:c r="T663" s="9" t="n">
        <x:v>51.51</x:v>
      </x:c>
      <x:c r="U663" s="2" t="str">
        <x:v>G082</x:v>
      </x:c>
      <x:c r="V663" s="2" t="str">
        <x:v>Authorized guardian release</x:v>
      </x:c>
      <x:c r="W663" s="2" t="str">
        <x:v>Completed transport</x:v>
      </x:c>
      <x:c r="X663" s="2" t="str">
        <x:v>QR</x:v>
      </x:c>
      <x:c r="Y663" s="2" t="str">
        <x:v>Online</x:v>
      </x:c>
      <x:c r="Z663" s="2" t="str">
        <x:v>Synced</x:v>
      </x:c>
      <x:c r="AA663" s="2"/>
      <x:c r="AB663" s="2"/>
      <x:c r="AC663" s="10" t="n">
        <x:f>IF(OR(K663="",Q663=""),"",ROUND((Q663-K663)*1440,2))</x:f>
        <x:v>23</x:v>
      </x:c>
    </x:row>
    <x:row r="664" ht="21" customHeight="1">
      <x:c r="A664" s="2" t="str">
        <x:v>LN00663</x:v>
      </x:c>
      <x:c r="B664" s="2" t="str">
        <x:v>T20261006-2-3</x:v>
      </x:c>
      <x:c r="C664" s="7" t="n">
        <x:v>46301</x:v>
      </x:c>
      <x:c r="D664" s="2" t="str">
        <x:v>BUS003</x:v>
      </x:c>
      <x:c r="E664" s="2" t="str">
        <x:v>ST083</x:v>
      </x:c>
      <x:c r="F664" s="2" t="n">
        <x:v>1</x:v>
      </x:c>
      <x:c r="G664" s="2" t="str">
        <x:v>Junior</x:v>
      </x:c>
      <x:c r="H664" s="2" t="str">
        <x:v>Drop-off</x:v>
      </x:c>
      <x:c r="I664" s="2" t="str">
        <x:v>R3S3</x:v>
      </x:c>
      <x:c r="J664" s="2" t="str">
        <x:v>EV001319</x:v>
      </x:c>
      <x:c r="K664" s="8" t="n">
        <x:v>46301.437569444446</x:v>
      </x:c>
      <x:c r="L664" s="2" t="str">
        <x:v>SCH01</x:v>
      </x:c>
      <x:c r="M664" s="9" t="n">
        <x:v>25.285</x:v>
      </x:c>
      <x:c r="N664" s="9" t="n">
        <x:v>51.51</x:v>
      </x:c>
      <x:c r="O664" s="2" t="str">
        <x:v>Valid</x:v>
      </x:c>
      <x:c r="P664" s="2" t="str">
        <x:v>EV001320</x:v>
      </x:c>
      <x:c r="Q664" s="8" t="n">
        <x:v>46301.457708333335</x:v>
      </x:c>
      <x:c r="R664" s="2" t="str">
        <x:v>R3S3</x:v>
      </x:c>
      <x:c r="S664" s="9" t="n">
        <x:v>25.293000000000003</x:v>
      </x:c>
      <x:c r="T664" s="9" t="n">
        <x:v>51.513</x:v>
      </x:c>
      <x:c r="U664" s="2" t="str">
        <x:v>G083</x:v>
      </x:c>
      <x:c r="V664" s="2" t="str">
        <x:v>Authorized guardian release</x:v>
      </x:c>
      <x:c r="W664" s="2" t="str">
        <x:v>Completed transport</x:v>
      </x:c>
      <x:c r="X664" s="2" t="str">
        <x:v>QR</x:v>
      </x:c>
      <x:c r="Y664" s="2" t="str">
        <x:v>Online</x:v>
      </x:c>
      <x:c r="Z664" s="2" t="str">
        <x:v>Synced</x:v>
      </x:c>
      <x:c r="AA664" s="2"/>
      <x:c r="AB664" s="2"/>
      <x:c r="AC664" s="10" t="n">
        <x:f>IF(OR(K664="",Q664=""),"",ROUND((Q664-K664)*1440,2))</x:f>
        <x:v>29</x:v>
      </x:c>
    </x:row>
    <x:row r="665" ht="21" customHeight="1">
      <x:c r="A665" s="2" t="str">
        <x:v>LN00664</x:v>
      </x:c>
      <x:c r="B665" s="2" t="str">
        <x:v>T20261006-2-3</x:v>
      </x:c>
      <x:c r="C665" s="7" t="n">
        <x:v>46301</x:v>
      </x:c>
      <x:c r="D665" s="2" t="str">
        <x:v>BUS003</x:v>
      </x:c>
      <x:c r="E665" s="2" t="str">
        <x:v>ST084</x:v>
      </x:c>
      <x:c r="F665" s="2" t="n">
        <x:v>1</x:v>
      </x:c>
      <x:c r="G665" s="2" t="str">
        <x:v>Junior</x:v>
      </x:c>
      <x:c r="H665" s="2" t="str">
        <x:v>Drop-off</x:v>
      </x:c>
      <x:c r="I665" s="2" t="str">
        <x:v>R3S1</x:v>
      </x:c>
      <x:c r="J665" s="2" t="str">
        <x:v>EV001321</x:v>
      </x:c>
      <x:c r="K665" s="8" t="n">
        <x:v>46301.43760416667</x:v>
      </x:c>
      <x:c r="L665" s="2" t="str">
        <x:v>SCH01</x:v>
      </x:c>
      <x:c r="M665" s="9" t="n">
        <x:v>25.285</x:v>
      </x:c>
      <x:c r="N665" s="9" t="n">
        <x:v>51.51</x:v>
      </x:c>
      <x:c r="O665" s="2" t="str">
        <x:v>Valid</x:v>
      </x:c>
      <x:c r="P665" s="2" t="str">
        <x:v>EV001322</x:v>
      </x:c>
      <x:c r="Q665" s="8" t="n">
        <x:v>46301.44940972222</x:v>
      </x:c>
      <x:c r="R665" s="2" t="str">
        <x:v>R3S1</x:v>
      </x:c>
      <x:c r="S665" s="9" t="n">
        <x:v>25.289</x:v>
      </x:c>
      <x:c r="T665" s="9" t="n">
        <x:v>51.507</x:v>
      </x:c>
      <x:c r="U665" s="2" t="str">
        <x:v>G084</x:v>
      </x:c>
      <x:c r="V665" s="2" t="str">
        <x:v>Authorized guardian release</x:v>
      </x:c>
      <x:c r="W665" s="2" t="str">
        <x:v>Completed transport</x:v>
      </x:c>
      <x:c r="X665" s="2" t="str">
        <x:v>QR</x:v>
      </x:c>
      <x:c r="Y665" s="2" t="str">
        <x:v>Online</x:v>
      </x:c>
      <x:c r="Z665" s="2" t="str">
        <x:v>Synced</x:v>
      </x:c>
      <x:c r="AA665" s="2"/>
      <x:c r="AB665" s="2"/>
      <x:c r="AC665" s="10" t="n">
        <x:f>IF(OR(K665="",Q665=""),"",ROUND((Q665-K665)*1440,2))</x:f>
        <x:v>17</x:v>
      </x:c>
    </x:row>
    <x:row r="666" ht="21" customHeight="1">
      <x:c r="A666" s="2" t="str">
        <x:v>LN00665</x:v>
      </x:c>
      <x:c r="B666" s="2" t="str">
        <x:v>T20261006-2-3</x:v>
      </x:c>
      <x:c r="C666" s="7" t="n">
        <x:v>46301</x:v>
      </x:c>
      <x:c r="D666" s="2" t="str">
        <x:v>BUS003</x:v>
      </x:c>
      <x:c r="E666" s="2" t="str">
        <x:v>ST085</x:v>
      </x:c>
      <x:c r="F666" s="2" t="n">
        <x:v>1</x:v>
      </x:c>
      <x:c r="G666" s="2" t="str">
        <x:v>Junior</x:v>
      </x:c>
      <x:c r="H666" s="2" t="str">
        <x:v>Drop-off</x:v>
      </x:c>
      <x:c r="I666" s="2" t="str">
        <x:v>R3S2</x:v>
      </x:c>
      <x:c r="J666" s="2" t="str">
        <x:v>EV001323</x:v>
      </x:c>
      <x:c r="K666" s="8" t="n">
        <x:v>46301.43763888889</x:v>
      </x:c>
      <x:c r="L666" s="2" t="str">
        <x:v>SCH01</x:v>
      </x:c>
      <x:c r="M666" s="9" t="n">
        <x:v>25.285</x:v>
      </x:c>
      <x:c r="N666" s="9" t="n">
        <x:v>51.51</x:v>
      </x:c>
      <x:c r="O666" s="2" t="str">
        <x:v>Valid</x:v>
      </x:c>
      <x:c r="P666" s="2" t="str">
        <x:v>EV001324</x:v>
      </x:c>
      <x:c r="Q666" s="8" t="n">
        <x:v>46301.453611111116</x:v>
      </x:c>
      <x:c r="R666" s="2" t="str">
        <x:v>R3S2</x:v>
      </x:c>
      <x:c r="S666" s="9" t="n">
        <x:v>25.291000000000004</x:v>
      </x:c>
      <x:c r="T666" s="9" t="n">
        <x:v>51.51</x:v>
      </x:c>
      <x:c r="U666" s="2" t="str">
        <x:v>G085</x:v>
      </x:c>
      <x:c r="V666" s="2" t="str">
        <x:v>Authorized guardian release</x:v>
      </x:c>
      <x:c r="W666" s="2" t="str">
        <x:v>Completed transport</x:v>
      </x:c>
      <x:c r="X666" s="2" t="str">
        <x:v>Manual</x:v>
      </x:c>
      <x:c r="Y666" s="2" t="str">
        <x:v>Online</x:v>
      </x:c>
      <x:c r="Z666" s="2" t="str">
        <x:v>Synced</x:v>
      </x:c>
      <x:c r="AA666" s="2" t="str">
        <x:v>Badge forgotten; staff verified identity</x:v>
      </x:c>
      <x:c r="AB666" s="2"/>
      <x:c r="AC666" s="10" t="n">
        <x:f>IF(OR(K666="",Q666=""),"",ROUND((Q666-K666)*1440,2))</x:f>
        <x:v>23</x:v>
      </x:c>
    </x:row>
    <x:row r="667" ht="21" customHeight="1">
      <x:c r="A667" s="2" t="str">
        <x:v>LN00666</x:v>
      </x:c>
      <x:c r="B667" s="2" t="str">
        <x:v>T20261006-2-3</x:v>
      </x:c>
      <x:c r="C667" s="7" t="n">
        <x:v>46301</x:v>
      </x:c>
      <x:c r="D667" s="2" t="str">
        <x:v>BUS003</x:v>
      </x:c>
      <x:c r="E667" s="2" t="str">
        <x:v>ST086</x:v>
      </x:c>
      <x:c r="F667" s="2" t="n">
        <x:v>1</x:v>
      </x:c>
      <x:c r="G667" s="2" t="str">
        <x:v>Junior</x:v>
      </x:c>
      <x:c r="H667" s="2" t="str">
        <x:v>Drop-off</x:v>
      </x:c>
      <x:c r="I667" s="2" t="str">
        <x:v>R3S3</x:v>
      </x:c>
      <x:c r="J667" s="2" t="str">
        <x:v>EV001325</x:v>
      </x:c>
      <x:c r="K667" s="8" t="n">
        <x:v>46301.43767361111</x:v>
      </x:c>
      <x:c r="L667" s="2" t="str">
        <x:v>SCH01</x:v>
      </x:c>
      <x:c r="M667" s="9" t="n">
        <x:v>25.285</x:v>
      </x:c>
      <x:c r="N667" s="9" t="n">
        <x:v>51.51</x:v>
      </x:c>
      <x:c r="O667" s="2" t="str">
        <x:v>Valid</x:v>
      </x:c>
      <x:c r="P667" s="2" t="str">
        <x:v>EV001326</x:v>
      </x:c>
      <x:c r="Q667" s="8" t="n">
        <x:v>46301.4578125</x:v>
      </x:c>
      <x:c r="R667" s="2" t="str">
        <x:v>R3S3</x:v>
      </x:c>
      <x:c r="S667" s="9" t="n">
        <x:v>25.293000000000003</x:v>
      </x:c>
      <x:c r="T667" s="9" t="n">
        <x:v>51.513</x:v>
      </x:c>
      <x:c r="U667" s="2" t="str">
        <x:v>G086</x:v>
      </x:c>
      <x:c r="V667" s="2" t="str">
        <x:v>Authorized guardian release</x:v>
      </x:c>
      <x:c r="W667" s="2" t="str">
        <x:v>Completed transport</x:v>
      </x:c>
      <x:c r="X667" s="2" t="str">
        <x:v>QR</x:v>
      </x:c>
      <x:c r="Y667" s="2" t="str">
        <x:v>Online</x:v>
      </x:c>
      <x:c r="Z667" s="2" t="str">
        <x:v>Synced</x:v>
      </x:c>
      <x:c r="AA667" s="2"/>
      <x:c r="AB667" s="2"/>
      <x:c r="AC667" s="10" t="n">
        <x:f>IF(OR(K667="",Q667=""),"",ROUND((Q667-K667)*1440,2))</x:f>
        <x:v>29</x:v>
      </x:c>
    </x:row>
    <x:row r="668" ht="21" customHeight="1">
      <x:c r="A668" s="2" t="str">
        <x:v>LN00667</x:v>
      </x:c>
      <x:c r="B668" s="2" t="str">
        <x:v>T20261006-2-3</x:v>
      </x:c>
      <x:c r="C668" s="7" t="n">
        <x:v>46301</x:v>
      </x:c>
      <x:c r="D668" s="2" t="str">
        <x:v>BUS003</x:v>
      </x:c>
      <x:c r="E668" s="2" t="str">
        <x:v>ST087</x:v>
      </x:c>
      <x:c r="F668" s="2" t="n">
        <x:v>1</x:v>
      </x:c>
      <x:c r="G668" s="2" t="str">
        <x:v>Junior</x:v>
      </x:c>
      <x:c r="H668" s="2" t="str">
        <x:v>Drop-off</x:v>
      </x:c>
      <x:c r="I668" s="2" t="str">
        <x:v>R3S1</x:v>
      </x:c>
      <x:c r="J668" s="2" t="str">
        <x:v>EV001327</x:v>
      </x:c>
      <x:c r="K668" s="8" t="n">
        <x:v>46301.43770833333</x:v>
      </x:c>
      <x:c r="L668" s="2" t="str">
        <x:v>SCH01</x:v>
      </x:c>
      <x:c r="M668" s="9" t="n">
        <x:v>25.285</x:v>
      </x:c>
      <x:c r="N668" s="9" t="n">
        <x:v>51.51</x:v>
      </x:c>
      <x:c r="O668" s="2" t="str">
        <x:v>Valid</x:v>
      </x:c>
      <x:c r="P668" s="2" t="str">
        <x:v>EV001328</x:v>
      </x:c>
      <x:c r="Q668" s="8" t="n">
        <x:v>46301.44951388888</x:v>
      </x:c>
      <x:c r="R668" s="2" t="str">
        <x:v>R3S1</x:v>
      </x:c>
      <x:c r="S668" s="9" t="n">
        <x:v>25.289</x:v>
      </x:c>
      <x:c r="T668" s="9" t="n">
        <x:v>51.507</x:v>
      </x:c>
      <x:c r="U668" s="2" t="str">
        <x:v>G087</x:v>
      </x:c>
      <x:c r="V668" s="2" t="str">
        <x:v>Authorized guardian release</x:v>
      </x:c>
      <x:c r="W668" s="2" t="str">
        <x:v>Completed transport</x:v>
      </x:c>
      <x:c r="X668" s="2" t="str">
        <x:v>QR</x:v>
      </x:c>
      <x:c r="Y668" s="2" t="str">
        <x:v>Online</x:v>
      </x:c>
      <x:c r="Z668" s="2" t="str">
        <x:v>Synced</x:v>
      </x:c>
      <x:c r="AA668" s="2"/>
      <x:c r="AB668" s="2"/>
      <x:c r="AC668" s="10" t="n">
        <x:f>IF(OR(K668="",Q668=""),"",ROUND((Q668-K668)*1440,2))</x:f>
        <x:v>17</x:v>
      </x:c>
    </x:row>
    <x:row r="669" ht="21" customHeight="1">
      <x:c r="A669" s="2" t="str">
        <x:v>LN00668</x:v>
      </x:c>
      <x:c r="B669" s="2" t="str">
        <x:v>T20261006-2-3</x:v>
      </x:c>
      <x:c r="C669" s="7" t="n">
        <x:v>46301</x:v>
      </x:c>
      <x:c r="D669" s="2" t="str">
        <x:v>BUS003</x:v>
      </x:c>
      <x:c r="E669" s="2" t="str">
        <x:v>ST088</x:v>
      </x:c>
      <x:c r="F669" s="2" t="n">
        <x:v>1</x:v>
      </x:c>
      <x:c r="G669" s="2" t="str">
        <x:v>Junior</x:v>
      </x:c>
      <x:c r="H669" s="2" t="str">
        <x:v>Drop-off</x:v>
      </x:c>
      <x:c r="I669" s="2" t="str">
        <x:v>R3S2</x:v>
      </x:c>
      <x:c r="J669" s="2" t="str">
        <x:v>EV001329</x:v>
      </x:c>
      <x:c r="K669" s="8" t="n">
        <x:v>46301.437743055554</x:v>
      </x:c>
      <x:c r="L669" s="2" t="str">
        <x:v>SCH01</x:v>
      </x:c>
      <x:c r="M669" s="9" t="n">
        <x:v>25.285</x:v>
      </x:c>
      <x:c r="N669" s="9" t="n">
        <x:v>51.51</x:v>
      </x:c>
      <x:c r="O669" s="2" t="str">
        <x:v>Valid</x:v>
      </x:c>
      <x:c r="P669" s="2" t="str">
        <x:v>EV001330</x:v>
      </x:c>
      <x:c r="Q669" s="8" t="n">
        <x:v>46301.45371527778</x:v>
      </x:c>
      <x:c r="R669" s="2" t="str">
        <x:v>R3S2</x:v>
      </x:c>
      <x:c r="S669" s="9" t="n">
        <x:v>25.291000000000004</x:v>
      </x:c>
      <x:c r="T669" s="9" t="n">
        <x:v>51.51</x:v>
      </x:c>
      <x:c r="U669" s="2" t="str">
        <x:v>G088</x:v>
      </x:c>
      <x:c r="V669" s="2" t="str">
        <x:v>Authorized guardian release</x:v>
      </x:c>
      <x:c r="W669" s="2" t="str">
        <x:v>Completed transport</x:v>
      </x:c>
      <x:c r="X669" s="2" t="str">
        <x:v>QR</x:v>
      </x:c>
      <x:c r="Y669" s="2" t="str">
        <x:v>Online</x:v>
      </x:c>
      <x:c r="Z669" s="2" t="str">
        <x:v>Synced</x:v>
      </x:c>
      <x:c r="AA669" s="2"/>
      <x:c r="AB669" s="2"/>
      <x:c r="AC669" s="10" t="n">
        <x:f>IF(OR(K669="",Q669=""),"",ROUND((Q669-K669)*1440,2))</x:f>
        <x:v>23</x:v>
      </x:c>
    </x:row>
    <x:row r="670" ht="21" customHeight="1">
      <x:c r="A670" s="2" t="str">
        <x:v>LN00669</x:v>
      </x:c>
      <x:c r="B670" s="2" t="str">
        <x:v>T20261006-2-3</x:v>
      </x:c>
      <x:c r="C670" s="7" t="n">
        <x:v>46301</x:v>
      </x:c>
      <x:c r="D670" s="2" t="str">
        <x:v>BUS003</x:v>
      </x:c>
      <x:c r="E670" s="2" t="str">
        <x:v>ST089</x:v>
      </x:c>
      <x:c r="F670" s="2" t="n">
        <x:v>1</x:v>
      </x:c>
      <x:c r="G670" s="2" t="str">
        <x:v>Junior</x:v>
      </x:c>
      <x:c r="H670" s="2" t="str">
        <x:v>Drop-off</x:v>
      </x:c>
      <x:c r="I670" s="2" t="str">
        <x:v>R3S3</x:v>
      </x:c>
      <x:c r="J670" s="2" t="str">
        <x:v>EV001331</x:v>
      </x:c>
      <x:c r="K670" s="8" t="n">
        <x:v>46301.43777777778</x:v>
      </x:c>
      <x:c r="L670" s="2" t="str">
        <x:v>SCH01</x:v>
      </x:c>
      <x:c r="M670" s="9" t="n">
        <x:v>25.285</x:v>
      </x:c>
      <x:c r="N670" s="9" t="n">
        <x:v>51.51</x:v>
      </x:c>
      <x:c r="O670" s="2" t="str">
        <x:v>Valid</x:v>
      </x:c>
      <x:c r="P670" s="2" t="str">
        <x:v>EV001332</x:v>
      </x:c>
      <x:c r="Q670" s="8" t="n">
        <x:v>46301.457916666666</x:v>
      </x:c>
      <x:c r="R670" s="2" t="str">
        <x:v>R3S3</x:v>
      </x:c>
      <x:c r="S670" s="9" t="n">
        <x:v>25.293000000000003</x:v>
      </x:c>
      <x:c r="T670" s="9" t="n">
        <x:v>51.513</x:v>
      </x:c>
      <x:c r="U670" s="2" t="str">
        <x:v>G089</x:v>
      </x:c>
      <x:c r="V670" s="2" t="str">
        <x:v>Authorized guardian release</x:v>
      </x:c>
      <x:c r="W670" s="2" t="str">
        <x:v>Completed transport</x:v>
      </x:c>
      <x:c r="X670" s="2" t="str">
        <x:v>QR</x:v>
      </x:c>
      <x:c r="Y670" s="2" t="str">
        <x:v>Online</x:v>
      </x:c>
      <x:c r="Z670" s="2" t="str">
        <x:v>Synced</x:v>
      </x:c>
      <x:c r="AA670" s="2"/>
      <x:c r="AB670" s="2"/>
      <x:c r="AC670" s="10" t="n">
        <x:f>IF(OR(K670="",Q670=""),"",ROUND((Q670-K670)*1440,2))</x:f>
        <x:v>29</x:v>
      </x:c>
    </x:row>
    <x:row r="671" ht="21" customHeight="1">
      <x:c r="A671" s="2" t="str">
        <x:v>LN00670</x:v>
      </x:c>
      <x:c r="B671" s="2" t="str">
        <x:v>T20261006-2-3</x:v>
      </x:c>
      <x:c r="C671" s="7" t="n">
        <x:v>46301</x:v>
      </x:c>
      <x:c r="D671" s="2" t="str">
        <x:v>BUS003</x:v>
      </x:c>
      <x:c r="E671" s="2" t="str">
        <x:v>ST090</x:v>
      </x:c>
      <x:c r="F671" s="2" t="n">
        <x:v>1</x:v>
      </x:c>
      <x:c r="G671" s="2" t="str">
        <x:v>Junior</x:v>
      </x:c>
      <x:c r="H671" s="2" t="str">
        <x:v>Drop-off</x:v>
      </x:c>
      <x:c r="I671" s="2" t="str">
        <x:v>R3S1</x:v>
      </x:c>
      <x:c r="J671" s="2" t="str">
        <x:v>EV001333</x:v>
      </x:c>
      <x:c r="K671" s="8" t="n">
        <x:v>46301.4378125</x:v>
      </x:c>
      <x:c r="L671" s="2" t="str">
        <x:v>SCH01</x:v>
      </x:c>
      <x:c r="M671" s="9" t="n">
        <x:v>25.285</x:v>
      </x:c>
      <x:c r="N671" s="9" t="n">
        <x:v>51.51</x:v>
      </x:c>
      <x:c r="O671" s="2" t="str">
        <x:v>Valid</x:v>
      </x:c>
      <x:c r="P671" s="2" t="str">
        <x:v>EV001334</x:v>
      </x:c>
      <x:c r="Q671" s="8" t="n">
        <x:v>46301.44961805555</x:v>
      </x:c>
      <x:c r="R671" s="2" t="str">
        <x:v>R3S1</x:v>
      </x:c>
      <x:c r="S671" s="9" t="n">
        <x:v>25.289</x:v>
      </x:c>
      <x:c r="T671" s="9" t="n">
        <x:v>51.507</x:v>
      </x:c>
      <x:c r="U671" s="2" t="str">
        <x:v>G090</x:v>
      </x:c>
      <x:c r="V671" s="2" t="str">
        <x:v>Authorized guardian release</x:v>
      </x:c>
      <x:c r="W671" s="2" t="str">
        <x:v>Completed transport</x:v>
      </x:c>
      <x:c r="X671" s="2" t="str">
        <x:v>QR</x:v>
      </x:c>
      <x:c r="Y671" s="2" t="str">
        <x:v>Online</x:v>
      </x:c>
      <x:c r="Z671" s="2" t="str">
        <x:v>Synced</x:v>
      </x:c>
      <x:c r="AA671" s="2"/>
      <x:c r="AB671" s="2"/>
      <x:c r="AC671" s="10" t="n">
        <x:f>IF(OR(K671="",Q671=""),"",ROUND((Q671-K671)*1440,2))</x:f>
        <x:v>17</x:v>
      </x:c>
    </x:row>
    <x:row r="672" ht="21" customHeight="1">
      <x:c r="A672" s="2" t="str">
        <x:v>LN00671</x:v>
      </x:c>
      <x:c r="B672" s="2" t="str">
        <x:v>T20261006-2-3</x:v>
      </x:c>
      <x:c r="C672" s="7" t="n">
        <x:v>46301</x:v>
      </x:c>
      <x:c r="D672" s="2" t="str">
        <x:v>BUS003</x:v>
      </x:c>
      <x:c r="E672" s="2" t="str">
        <x:v>ST101</x:v>
      </x:c>
      <x:c r="F672" s="2" t="n">
        <x:v>2</x:v>
      </x:c>
      <x:c r="G672" s="2" t="str">
        <x:v>Junior</x:v>
      </x:c>
      <x:c r="H672" s="2" t="str">
        <x:v>Pickup</x:v>
      </x:c>
      <x:c r="I672" s="2" t="str">
        <x:v>R3S3</x:v>
      </x:c>
      <x:c r="J672" s="2" t="str">
        <x:v>EV001335</x:v>
      </x:c>
      <x:c r="K672" s="8" t="n">
        <x:v>46301.48125</x:v>
      </x:c>
      <x:c r="L672" s="2" t="str">
        <x:v>R3S3</x:v>
      </x:c>
      <x:c r="M672" s="9" t="n">
        <x:v>25.293000000000003</x:v>
      </x:c>
      <x:c r="N672" s="9" t="n">
        <x:v>51.513</x:v>
      </x:c>
      <x:c r="O672" s="2" t="str">
        <x:v>Valid</x:v>
      </x:c>
      <x:c r="P672" s="2" t="str">
        <x:v>EV001336</x:v>
      </x:c>
      <x:c r="Q672" s="8" t="n">
        <x:v>46301.506250000006</x:v>
      </x:c>
      <x:c r="R672" s="2" t="str">
        <x:v>SCH01</x:v>
      </x:c>
      <x:c r="S672" s="9" t="n">
        <x:v>25.285</x:v>
      </x:c>
      <x:c r="T672" s="9" t="n">
        <x:v>51.51</x:v>
      </x:c>
      <x:c r="U672" s="2" t="str">
        <x:v>SCHOOL_RECEIVER_01</x:v>
      </x:c>
      <x:c r="V672" s="2" t="str">
        <x:v>School staff receipt</x:v>
      </x:c>
      <x:c r="W672" s="2" t="str">
        <x:v>Completed transport</x:v>
      </x:c>
      <x:c r="X672" s="2" t="str">
        <x:v>QR</x:v>
      </x:c>
      <x:c r="Y672" s="2" t="str">
        <x:v>Online</x:v>
      </x:c>
      <x:c r="Z672" s="2" t="str">
        <x:v>Synced</x:v>
      </x:c>
      <x:c r="AA672" s="2"/>
      <x:c r="AB672" s="2"/>
      <x:c r="AC672" s="10" t="n">
        <x:f>IF(OR(K672="",Q672=""),"",ROUND((Q672-K672)*1440,2))</x:f>
        <x:v>36</x:v>
      </x:c>
    </x:row>
    <x:row r="673" ht="21" customHeight="1">
      <x:c r="A673" s="2" t="str">
        <x:v>LN00672</x:v>
      </x:c>
      <x:c r="B673" s="2" t="str">
        <x:v>T20261006-2-3</x:v>
      </x:c>
      <x:c r="C673" s="7" t="n">
        <x:v>46301</x:v>
      </x:c>
      <x:c r="D673" s="2" t="str">
        <x:v>BUS003</x:v>
      </x:c>
      <x:c r="E673" s="2" t="str">
        <x:v>ST102</x:v>
      </x:c>
      <x:c r="F673" s="2" t="n">
        <x:v>2</x:v>
      </x:c>
      <x:c r="G673" s="2" t="str">
        <x:v>Junior</x:v>
      </x:c>
      <x:c r="H673" s="2" t="str">
        <x:v>Pickup</x:v>
      </x:c>
      <x:c r="I673" s="2" t="str">
        <x:v>R3S1</x:v>
      </x:c>
      <x:c r="J673" s="2" t="str">
        <x:v>EV001337</x:v>
      </x:c>
      <x:c r="K673" s="8" t="n">
        <x:v>46301.4715625</x:v>
      </x:c>
      <x:c r="L673" s="2" t="str">
        <x:v>R3S1</x:v>
      </x:c>
      <x:c r="M673" s="9" t="n">
        <x:v>25.289</x:v>
      </x:c>
      <x:c r="N673" s="9" t="n">
        <x:v>51.507</x:v>
      </x:c>
      <x:c r="O673" s="2" t="str">
        <x:v>Valid</x:v>
      </x:c>
      <x:c r="P673" s="2" t="str">
        <x:v>EV001338</x:v>
      </x:c>
      <x:c r="Q673" s="8" t="n">
        <x:v>46301.50628472223</x:v>
      </x:c>
      <x:c r="R673" s="2" t="str">
        <x:v>SCH01</x:v>
      </x:c>
      <x:c r="S673" s="9" t="n">
        <x:v>25.285</x:v>
      </x:c>
      <x:c r="T673" s="9" t="n">
        <x:v>51.51</x:v>
      </x:c>
      <x:c r="U673" s="2" t="str">
        <x:v>SCHOOL_RECEIVER_01</x:v>
      </x:c>
      <x:c r="V673" s="2" t="str">
        <x:v>School staff receipt</x:v>
      </x:c>
      <x:c r="W673" s="2" t="str">
        <x:v>Completed transport</x:v>
      </x:c>
      <x:c r="X673" s="2" t="str">
        <x:v>QR</x:v>
      </x:c>
      <x:c r="Y673" s="2" t="str">
        <x:v>Online</x:v>
      </x:c>
      <x:c r="Z673" s="2" t="str">
        <x:v>Synced</x:v>
      </x:c>
      <x:c r="AA673" s="2"/>
      <x:c r="AB673" s="2"/>
      <x:c r="AC673" s="10" t="n">
        <x:f>IF(OR(K673="",Q673=""),"",ROUND((Q673-K673)*1440,2))</x:f>
        <x:v>50</x:v>
      </x:c>
    </x:row>
    <x:row r="674" ht="21" customHeight="1">
      <x:c r="A674" s="2" t="str">
        <x:v>LN00673</x:v>
      </x:c>
      <x:c r="B674" s="2" t="str">
        <x:v>T20261006-2-3</x:v>
      </x:c>
      <x:c r="C674" s="7" t="n">
        <x:v>46301</x:v>
      </x:c>
      <x:c r="D674" s="2" t="str">
        <x:v>BUS003</x:v>
      </x:c>
      <x:c r="E674" s="2" t="str">
        <x:v>ST103</x:v>
      </x:c>
      <x:c r="F674" s="2" t="n">
        <x:v>2</x:v>
      </x:c>
      <x:c r="G674" s="2" t="str">
        <x:v>Junior</x:v>
      </x:c>
      <x:c r="H674" s="2" t="str">
        <x:v>Pickup</x:v>
      </x:c>
      <x:c r="I674" s="2" t="str">
        <x:v>R3S2</x:v>
      </x:c>
      <x:c r="J674" s="2" t="str">
        <x:v>EV001339</x:v>
      </x:c>
      <x:c r="K674" s="8" t="n">
        <x:v>46301.47645833333</x:v>
      </x:c>
      <x:c r="L674" s="2" t="str">
        <x:v>R3S2</x:v>
      </x:c>
      <x:c r="M674" s="9" t="n">
        <x:v>25.291000000000004</x:v>
      </x:c>
      <x:c r="N674" s="9" t="n">
        <x:v>51.51</x:v>
      </x:c>
      <x:c r="O674" s="2" t="str">
        <x:v>Valid</x:v>
      </x:c>
      <x:c r="P674" s="2" t="str">
        <x:v>EV001340</x:v>
      </x:c>
      <x:c r="Q674" s="8" t="n">
        <x:v>46301.506319444445</x:v>
      </x:c>
      <x:c r="R674" s="2" t="str">
        <x:v>SCH01</x:v>
      </x:c>
      <x:c r="S674" s="9" t="n">
        <x:v>25.285</x:v>
      </x:c>
      <x:c r="T674" s="9" t="n">
        <x:v>51.51</x:v>
      </x:c>
      <x:c r="U674" s="2" t="str">
        <x:v>SCHOOL_RECEIVER_01</x:v>
      </x:c>
      <x:c r="V674" s="2" t="str">
        <x:v>School staff receipt</x:v>
      </x:c>
      <x:c r="W674" s="2" t="str">
        <x:v>Completed transport</x:v>
      </x:c>
      <x:c r="X674" s="2" t="str">
        <x:v>QR</x:v>
      </x:c>
      <x:c r="Y674" s="2" t="str">
        <x:v>Online</x:v>
      </x:c>
      <x:c r="Z674" s="2" t="str">
        <x:v>Synced</x:v>
      </x:c>
      <x:c r="AA674" s="2"/>
      <x:c r="AB674" s="2"/>
      <x:c r="AC674" s="10" t="n">
        <x:f>IF(OR(K674="",Q674=""),"",ROUND((Q674-K674)*1440,2))</x:f>
        <x:v>43</x:v>
      </x:c>
    </x:row>
    <x:row r="675" ht="21" customHeight="1">
      <x:c r="A675" s="2" t="str">
        <x:v>LN00674</x:v>
      </x:c>
      <x:c r="B675" s="2" t="str">
        <x:v>T20261006-2-3</x:v>
      </x:c>
      <x:c r="C675" s="7" t="n">
        <x:v>46301</x:v>
      </x:c>
      <x:c r="D675" s="2" t="str">
        <x:v>BUS003</x:v>
      </x:c>
      <x:c r="E675" s="2" t="str">
        <x:v>ST104</x:v>
      </x:c>
      <x:c r="F675" s="2" t="n">
        <x:v>2</x:v>
      </x:c>
      <x:c r="G675" s="2" t="str">
        <x:v>Junior</x:v>
      </x:c>
      <x:c r="H675" s="2" t="str">
        <x:v>Pickup</x:v>
      </x:c>
      <x:c r="I675" s="2" t="str">
        <x:v>R3S3</x:v>
      </x:c>
      <x:c r="J675" s="2" t="str">
        <x:v>EV001341</x:v>
      </x:c>
      <x:c r="K675" s="8" t="n">
        <x:v>46301.481354166666</x:v>
      </x:c>
      <x:c r="L675" s="2" t="str">
        <x:v>R3S3</x:v>
      </x:c>
      <x:c r="M675" s="9" t="n">
        <x:v>25.293000000000003</x:v>
      </x:c>
      <x:c r="N675" s="9" t="n">
        <x:v>51.513</x:v>
      </x:c>
      <x:c r="O675" s="2" t="str">
        <x:v>Valid</x:v>
      </x:c>
      <x:c r="P675" s="2" t="str">
        <x:v>EV001342</x:v>
      </x:c>
      <x:c r="Q675" s="8" t="n">
        <x:v>46301.50635416667</x:v>
      </x:c>
      <x:c r="R675" s="2" t="str">
        <x:v>SCH01</x:v>
      </x:c>
      <x:c r="S675" s="9" t="n">
        <x:v>25.285</x:v>
      </x:c>
      <x:c r="T675" s="9" t="n">
        <x:v>51.51</x:v>
      </x:c>
      <x:c r="U675" s="2" t="str">
        <x:v>SCHOOL_RECEIVER_01</x:v>
      </x:c>
      <x:c r="V675" s="2" t="str">
        <x:v>School staff receipt</x:v>
      </x:c>
      <x:c r="W675" s="2" t="str">
        <x:v>Completed transport</x:v>
      </x:c>
      <x:c r="X675" s="2" t="str">
        <x:v>QR</x:v>
      </x:c>
      <x:c r="Y675" s="2" t="str">
        <x:v>Online</x:v>
      </x:c>
      <x:c r="Z675" s="2" t="str">
        <x:v>Synced</x:v>
      </x:c>
      <x:c r="AA675" s="2"/>
      <x:c r="AB675" s="2"/>
      <x:c r="AC675" s="10" t="n">
        <x:f>IF(OR(K675="",Q675=""),"",ROUND((Q675-K675)*1440,2))</x:f>
        <x:v>36</x:v>
      </x:c>
    </x:row>
    <x:row r="676" ht="21" customHeight="1">
      <x:c r="A676" s="2" t="str">
        <x:v>LN00675</x:v>
      </x:c>
      <x:c r="B676" s="2" t="str">
        <x:v>T20261006-2-3</x:v>
      </x:c>
      <x:c r="C676" s="7" t="n">
        <x:v>46301</x:v>
      </x:c>
      <x:c r="D676" s="2" t="str">
        <x:v>BUS003</x:v>
      </x:c>
      <x:c r="E676" s="2" t="str">
        <x:v>ST105</x:v>
      </x:c>
      <x:c r="F676" s="2" t="n">
        <x:v>2</x:v>
      </x:c>
      <x:c r="G676" s="2" t="str">
        <x:v>Junior</x:v>
      </x:c>
      <x:c r="H676" s="2" t="str">
        <x:v>Pickup</x:v>
      </x:c>
      <x:c r="I676" s="2" t="str">
        <x:v>R3S1</x:v>
      </x:c>
      <x:c r="J676" s="2" t="str">
        <x:v>EV001343</x:v>
      </x:c>
      <x:c r="K676" s="8" t="n">
        <x:v>46301.47166666667</x:v>
      </x:c>
      <x:c r="L676" s="2" t="str">
        <x:v>R3S1</x:v>
      </x:c>
      <x:c r="M676" s="9" t="n">
        <x:v>25.289</x:v>
      </x:c>
      <x:c r="N676" s="9" t="n">
        <x:v>51.507</x:v>
      </x:c>
      <x:c r="O676" s="2" t="str">
        <x:v>Valid</x:v>
      </x:c>
      <x:c r="P676" s="2" t="str">
        <x:v>EV001344</x:v>
      </x:c>
      <x:c r="Q676" s="8" t="n">
        <x:v>46301.50638888889</x:v>
      </x:c>
      <x:c r="R676" s="2" t="str">
        <x:v>SCH01</x:v>
      </x:c>
      <x:c r="S676" s="9" t="n">
        <x:v>25.285</x:v>
      </x:c>
      <x:c r="T676" s="9" t="n">
        <x:v>51.51</x:v>
      </x:c>
      <x:c r="U676" s="2" t="str">
        <x:v>SCHOOL_RECEIVER_01</x:v>
      </x:c>
      <x:c r="V676" s="2" t="str">
        <x:v>School staff receipt</x:v>
      </x:c>
      <x:c r="W676" s="2" t="str">
        <x:v>Completed transport</x:v>
      </x:c>
      <x:c r="X676" s="2" t="str">
        <x:v>QR</x:v>
      </x:c>
      <x:c r="Y676" s="2" t="str">
        <x:v>Online</x:v>
      </x:c>
      <x:c r="Z676" s="2" t="str">
        <x:v>Synced</x:v>
      </x:c>
      <x:c r="AA676" s="2"/>
      <x:c r="AB676" s="2"/>
      <x:c r="AC676" s="10" t="n">
        <x:f>IF(OR(K676="",Q676=""),"",ROUND((Q676-K676)*1440,2))</x:f>
        <x:v>50</x:v>
      </x:c>
    </x:row>
    <x:row r="677" ht="21" customHeight="1">
      <x:c r="A677" s="2" t="str">
        <x:v>LN00676</x:v>
      </x:c>
      <x:c r="B677" s="2" t="str">
        <x:v>T20261006-2-3</x:v>
      </x:c>
      <x:c r="C677" s="7" t="n">
        <x:v>46301</x:v>
      </x:c>
      <x:c r="D677" s="2" t="str">
        <x:v>BUS003</x:v>
      </x:c>
      <x:c r="E677" s="2" t="str">
        <x:v>ST106</x:v>
      </x:c>
      <x:c r="F677" s="2" t="n">
        <x:v>2</x:v>
      </x:c>
      <x:c r="G677" s="2" t="str">
        <x:v>Junior</x:v>
      </x:c>
      <x:c r="H677" s="2" t="str">
        <x:v>Pickup</x:v>
      </x:c>
      <x:c r="I677" s="2" t="str">
        <x:v>R3S2</x:v>
      </x:c>
      <x:c r="J677" s="2" t="str">
        <x:v>EV001345</x:v>
      </x:c>
      <x:c r="K677" s="8" t="n">
        <x:v>46301.47656249999</x:v>
      </x:c>
      <x:c r="L677" s="2" t="str">
        <x:v>R3S2</x:v>
      </x:c>
      <x:c r="M677" s="9" t="n">
        <x:v>25.291000000000004</x:v>
      </x:c>
      <x:c r="N677" s="9" t="n">
        <x:v>51.51</x:v>
      </x:c>
      <x:c r="O677" s="2" t="str">
        <x:v>Valid</x:v>
      </x:c>
      <x:c r="P677" s="2" t="str">
        <x:v>EV001346</x:v>
      </x:c>
      <x:c r="Q677" s="8" t="n">
        <x:v>46301.506423611114</x:v>
      </x:c>
      <x:c r="R677" s="2" t="str">
        <x:v>SCH01</x:v>
      </x:c>
      <x:c r="S677" s="9" t="n">
        <x:v>25.285</x:v>
      </x:c>
      <x:c r="T677" s="9" t="n">
        <x:v>51.51</x:v>
      </x:c>
      <x:c r="U677" s="2" t="str">
        <x:v>SCHOOL_RECEIVER_01</x:v>
      </x:c>
      <x:c r="V677" s="2" t="str">
        <x:v>School staff receipt</x:v>
      </x:c>
      <x:c r="W677" s="2" t="str">
        <x:v>Completed transport</x:v>
      </x:c>
      <x:c r="X677" s="2" t="str">
        <x:v>QR</x:v>
      </x:c>
      <x:c r="Y677" s="2" t="str">
        <x:v>Online</x:v>
      </x:c>
      <x:c r="Z677" s="2" t="str">
        <x:v>Synced</x:v>
      </x:c>
      <x:c r="AA677" s="2"/>
      <x:c r="AB677" s="2"/>
      <x:c r="AC677" s="10" t="n">
        <x:f>IF(OR(K677="",Q677=""),"",ROUND((Q677-K677)*1440,2))</x:f>
        <x:v>43</x:v>
      </x:c>
    </x:row>
    <x:row r="678" ht="21" customHeight="1">
      <x:c r="A678" s="2" t="str">
        <x:v>LN00677</x:v>
      </x:c>
      <x:c r="B678" s="2" t="str">
        <x:v>T20261006-2-3</x:v>
      </x:c>
      <x:c r="C678" s="7" t="n">
        <x:v>46301</x:v>
      </x:c>
      <x:c r="D678" s="2" t="str">
        <x:v>BUS003</x:v>
      </x:c>
      <x:c r="E678" s="2" t="str">
        <x:v>ST107</x:v>
      </x:c>
      <x:c r="F678" s="2" t="n">
        <x:v>2</x:v>
      </x:c>
      <x:c r="G678" s="2" t="str">
        <x:v>Junior</x:v>
      </x:c>
      <x:c r="H678" s="2" t="str">
        <x:v>Pickup</x:v>
      </x:c>
      <x:c r="I678" s="2" t="str">
        <x:v>R3S3</x:v>
      </x:c>
      <x:c r="J678" s="2" t="str">
        <x:v>EV001347</x:v>
      </x:c>
      <x:c r="K678" s="8" t="n">
        <x:v>46301.48145833333</x:v>
      </x:c>
      <x:c r="L678" s="2" t="str">
        <x:v>R3S3</x:v>
      </x:c>
      <x:c r="M678" s="9" t="n">
        <x:v>25.293000000000003</x:v>
      </x:c>
      <x:c r="N678" s="9" t="n">
        <x:v>51.513</x:v>
      </x:c>
      <x:c r="O678" s="2" t="str">
        <x:v>Valid</x:v>
      </x:c>
      <x:c r="P678" s="2" t="str">
        <x:v>EV001348</x:v>
      </x:c>
      <x:c r="Q678" s="8" t="n">
        <x:v>46301.50645833334</x:v>
      </x:c>
      <x:c r="R678" s="2" t="str">
        <x:v>SCH01</x:v>
      </x:c>
      <x:c r="S678" s="9" t="n">
        <x:v>25.285</x:v>
      </x:c>
      <x:c r="T678" s="9" t="n">
        <x:v>51.51</x:v>
      </x:c>
      <x:c r="U678" s="2" t="str">
        <x:v>SCHOOL_RECEIVER_01</x:v>
      </x:c>
      <x:c r="V678" s="2" t="str">
        <x:v>School staff receipt</x:v>
      </x:c>
      <x:c r="W678" s="2" t="str">
        <x:v>Completed transport</x:v>
      </x:c>
      <x:c r="X678" s="2" t="str">
        <x:v>QR</x:v>
      </x:c>
      <x:c r="Y678" s="2" t="str">
        <x:v>Online</x:v>
      </x:c>
      <x:c r="Z678" s="2" t="str">
        <x:v>Synced</x:v>
      </x:c>
      <x:c r="AA678" s="2"/>
      <x:c r="AB678" s="2"/>
      <x:c r="AC678" s="10" t="n">
        <x:f>IF(OR(K678="",Q678=""),"",ROUND((Q678-K678)*1440,2))</x:f>
        <x:v>36</x:v>
      </x:c>
    </x:row>
    <x:row r="679" ht="21" customHeight="1">
      <x:c r="A679" s="2" t="str">
        <x:v>LN00678</x:v>
      </x:c>
      <x:c r="B679" s="2" t="str">
        <x:v>T20261006-2-3</x:v>
      </x:c>
      <x:c r="C679" s="7" t="n">
        <x:v>46301</x:v>
      </x:c>
      <x:c r="D679" s="2" t="str">
        <x:v>BUS003</x:v>
      </x:c>
      <x:c r="E679" s="2" t="str">
        <x:v>ST108</x:v>
      </x:c>
      <x:c r="F679" s="2" t="n">
        <x:v>2</x:v>
      </x:c>
      <x:c r="G679" s="2" t="str">
        <x:v>Junior</x:v>
      </x:c>
      <x:c r="H679" s="2" t="str">
        <x:v>Pickup</x:v>
      </x:c>
      <x:c r="I679" s="2" t="str">
        <x:v>R3S1</x:v>
      </x:c>
      <x:c r="J679" s="2" t="str">
        <x:v>EV001349</x:v>
      </x:c>
      <x:c r="K679" s="8" t="n">
        <x:v>46301.471770833334</x:v>
      </x:c>
      <x:c r="L679" s="2" t="str">
        <x:v>R3S1</x:v>
      </x:c>
      <x:c r="M679" s="9" t="n">
        <x:v>25.289</x:v>
      </x:c>
      <x:c r="N679" s="9" t="n">
        <x:v>51.507</x:v>
      </x:c>
      <x:c r="O679" s="2" t="str">
        <x:v>Valid</x:v>
      </x:c>
      <x:c r="P679" s="2" t="str">
        <x:v>EV001350</x:v>
      </x:c>
      <x:c r="Q679" s="8" t="n">
        <x:v>46301.50649305556</x:v>
      </x:c>
      <x:c r="R679" s="2" t="str">
        <x:v>SCH01</x:v>
      </x:c>
      <x:c r="S679" s="9" t="n">
        <x:v>25.285</x:v>
      </x:c>
      <x:c r="T679" s="9" t="n">
        <x:v>51.51</x:v>
      </x:c>
      <x:c r="U679" s="2" t="str">
        <x:v>SCHOOL_RECEIVER_01</x:v>
      </x:c>
      <x:c r="V679" s="2" t="str">
        <x:v>School staff receipt</x:v>
      </x:c>
      <x:c r="W679" s="2" t="str">
        <x:v>Completed transport</x:v>
      </x:c>
      <x:c r="X679" s="2" t="str">
        <x:v>QR</x:v>
      </x:c>
      <x:c r="Y679" s="2" t="str">
        <x:v>Online</x:v>
      </x:c>
      <x:c r="Z679" s="2" t="str">
        <x:v>Synced</x:v>
      </x:c>
      <x:c r="AA679" s="2"/>
      <x:c r="AB679" s="2"/>
      <x:c r="AC679" s="10" t="n">
        <x:f>IF(OR(K679="",Q679=""),"",ROUND((Q679-K679)*1440,2))</x:f>
        <x:v>50</x:v>
      </x:c>
    </x:row>
    <x:row r="680" ht="21" customHeight="1">
      <x:c r="A680" s="2" t="str">
        <x:v>LN00679</x:v>
      </x:c>
      <x:c r="B680" s="2" t="str">
        <x:v>T20261006-2-3</x:v>
      </x:c>
      <x:c r="C680" s="7" t="n">
        <x:v>46301</x:v>
      </x:c>
      <x:c r="D680" s="2" t="str">
        <x:v>BUS003</x:v>
      </x:c>
      <x:c r="E680" s="2" t="str">
        <x:v>ST109</x:v>
      </x:c>
      <x:c r="F680" s="2" t="n">
        <x:v>2</x:v>
      </x:c>
      <x:c r="G680" s="2" t="str">
        <x:v>Junior</x:v>
      </x:c>
      <x:c r="H680" s="2" t="str">
        <x:v>Pickup</x:v>
      </x:c>
      <x:c r="I680" s="2" t="str">
        <x:v>R3S2</x:v>
      </x:c>
      <x:c r="J680" s="2" t="str">
        <x:v>EV001351</x:v>
      </x:c>
      <x:c r="K680" s="8" t="n">
        <x:v>46301.47666666666</x:v>
      </x:c>
      <x:c r="L680" s="2" t="str">
        <x:v>R3S2</x:v>
      </x:c>
      <x:c r="M680" s="9" t="n">
        <x:v>25.291000000000004</x:v>
      </x:c>
      <x:c r="N680" s="9" t="n">
        <x:v>51.51</x:v>
      </x:c>
      <x:c r="O680" s="2" t="str">
        <x:v>Valid</x:v>
      </x:c>
      <x:c r="P680" s="2" t="str">
        <x:v>EV001352</x:v>
      </x:c>
      <x:c r="Q680" s="8" t="n">
        <x:v>46301.50652777778</x:v>
      </x:c>
      <x:c r="R680" s="2" t="str">
        <x:v>SCH01</x:v>
      </x:c>
      <x:c r="S680" s="9" t="n">
        <x:v>25.285</x:v>
      </x:c>
      <x:c r="T680" s="9" t="n">
        <x:v>51.51</x:v>
      </x:c>
      <x:c r="U680" s="2" t="str">
        <x:v>SCHOOL_RECEIVER_01</x:v>
      </x:c>
      <x:c r="V680" s="2" t="str">
        <x:v>School staff receipt</x:v>
      </x:c>
      <x:c r="W680" s="2" t="str">
        <x:v>Completed transport</x:v>
      </x:c>
      <x:c r="X680" s="2" t="str">
        <x:v>QR</x:v>
      </x:c>
      <x:c r="Y680" s="2" t="str">
        <x:v>Online</x:v>
      </x:c>
      <x:c r="Z680" s="2" t="str">
        <x:v>Synced</x:v>
      </x:c>
      <x:c r="AA680" s="2"/>
      <x:c r="AB680" s="2"/>
      <x:c r="AC680" s="10" t="n">
        <x:f>IF(OR(K680="",Q680=""),"",ROUND((Q680-K680)*1440,2))</x:f>
        <x:v>43</x:v>
      </x:c>
    </x:row>
    <x:row r="681" ht="21" customHeight="1">
      <x:c r="A681" s="2" t="str">
        <x:v>LN00680</x:v>
      </x:c>
      <x:c r="B681" s="2" t="str">
        <x:v>T20261006-2-3</x:v>
      </x:c>
      <x:c r="C681" s="7" t="n">
        <x:v>46301</x:v>
      </x:c>
      <x:c r="D681" s="2" t="str">
        <x:v>BUS003</x:v>
      </x:c>
      <x:c r="E681" s="2" t="str">
        <x:v>ST110</x:v>
      </x:c>
      <x:c r="F681" s="2" t="n">
        <x:v>2</x:v>
      </x:c>
      <x:c r="G681" s="2" t="str">
        <x:v>Junior</x:v>
      </x:c>
      <x:c r="H681" s="2" t="str">
        <x:v>Pickup</x:v>
      </x:c>
      <x:c r="I681" s="2" t="str">
        <x:v>R3S3</x:v>
      </x:c>
      <x:c r="J681" s="2" t="str">
        <x:v>EV001353</x:v>
      </x:c>
      <x:c r="K681" s="8" t="n">
        <x:v>46301.4815625</x:v>
      </x:c>
      <x:c r="L681" s="2" t="str">
        <x:v>R3S3</x:v>
      </x:c>
      <x:c r="M681" s="9" t="n">
        <x:v>25.293000000000003</x:v>
      </x:c>
      <x:c r="N681" s="9" t="n">
        <x:v>51.513</x:v>
      </x:c>
      <x:c r="O681" s="2" t="str">
        <x:v>Valid</x:v>
      </x:c>
      <x:c r="P681" s="2" t="str">
        <x:v>EV001354</x:v>
      </x:c>
      <x:c r="Q681" s="8" t="n">
        <x:v>46301.506562500006</x:v>
      </x:c>
      <x:c r="R681" s="2" t="str">
        <x:v>SCH01</x:v>
      </x:c>
      <x:c r="S681" s="9" t="n">
        <x:v>25.285</x:v>
      </x:c>
      <x:c r="T681" s="9" t="n">
        <x:v>51.51</x:v>
      </x:c>
      <x:c r="U681" s="2" t="str">
        <x:v>SCHOOL_RECEIVER_01</x:v>
      </x:c>
      <x:c r="V681" s="2" t="str">
        <x:v>School staff receipt</x:v>
      </x:c>
      <x:c r="W681" s="2" t="str">
        <x:v>Completed transport</x:v>
      </x:c>
      <x:c r="X681" s="2" t="str">
        <x:v>QR</x:v>
      </x:c>
      <x:c r="Y681" s="2" t="str">
        <x:v>Online</x:v>
      </x:c>
      <x:c r="Z681" s="2" t="str">
        <x:v>Synced</x:v>
      </x:c>
      <x:c r="AA681" s="2"/>
      <x:c r="AB681" s="2"/>
      <x:c r="AC681" s="10" t="n">
        <x:f>IF(OR(K681="",Q681=""),"",ROUND((Q681-K681)*1440,2))</x:f>
        <x:v>36</x:v>
      </x:c>
    </x:row>
    <x:row r="682" ht="21" customHeight="1">
      <x:c r="A682" s="2" t="str">
        <x:v>LN00681</x:v>
      </x:c>
      <x:c r="B682" s="2" t="str">
        <x:v>T20261006-2-3</x:v>
      </x:c>
      <x:c r="C682" s="7" t="n">
        <x:v>46301</x:v>
      </x:c>
      <x:c r="D682" s="2" t="str">
        <x:v>BUS003</x:v>
      </x:c>
      <x:c r="E682" s="2" t="str">
        <x:v>ST111</x:v>
      </x:c>
      <x:c r="F682" s="2" t="n">
        <x:v>2</x:v>
      </x:c>
      <x:c r="G682" s="2" t="str">
        <x:v>Senior</x:v>
      </x:c>
      <x:c r="H682" s="2" t="str">
        <x:v>Pickup</x:v>
      </x:c>
      <x:c r="I682" s="2" t="str">
        <x:v>R3S1</x:v>
      </x:c>
      <x:c r="J682" s="2" t="str">
        <x:v>EV001355</x:v>
      </x:c>
      <x:c r="K682" s="8" t="n">
        <x:v>46301.47152777778</x:v>
      </x:c>
      <x:c r="L682" s="2" t="str">
        <x:v>R3S1</x:v>
      </x:c>
      <x:c r="M682" s="9" t="n">
        <x:v>25.289</x:v>
      </x:c>
      <x:c r="N682" s="9" t="n">
        <x:v>51.507</x:v>
      </x:c>
      <x:c r="O682" s="2" t="str">
        <x:v>Valid</x:v>
      </x:c>
      <x:c r="P682" s="2" t="str">
        <x:v>EV001356</x:v>
      </x:c>
      <x:c r="Q682" s="8" t="n">
        <x:v>46301.50659722223</x:v>
      </x:c>
      <x:c r="R682" s="2" t="str">
        <x:v>SCH01</x:v>
      </x:c>
      <x:c r="S682" s="9" t="n">
        <x:v>25.285</x:v>
      </x:c>
      <x:c r="T682" s="9" t="n">
        <x:v>51.51</x:v>
      </x:c>
      <x:c r="U682" s="2" t="str">
        <x:v>SCHOOL_RECEIVER_01</x:v>
      </x:c>
      <x:c r="V682" s="2" t="str">
        <x:v>School staff receipt</x:v>
      </x:c>
      <x:c r="W682" s="2" t="str">
        <x:v>Completed transport</x:v>
      </x:c>
      <x:c r="X682" s="2" t="str">
        <x:v>QR</x:v>
      </x:c>
      <x:c r="Y682" s="2" t="str">
        <x:v>Online</x:v>
      </x:c>
      <x:c r="Z682" s="2" t="str">
        <x:v>Synced</x:v>
      </x:c>
      <x:c r="AA682" s="2"/>
      <x:c r="AB682" s="2"/>
      <x:c r="AC682" s="10" t="n">
        <x:f>IF(OR(K682="",Q682=""),"",ROUND((Q682-K682)*1440,2))</x:f>
        <x:v>50.5</x:v>
      </x:c>
    </x:row>
    <x:row r="683" ht="21" customHeight="1">
      <x:c r="A683" s="2" t="str">
        <x:v>LN00682</x:v>
      </x:c>
      <x:c r="B683" s="2" t="str">
        <x:v>T20261006-2-3</x:v>
      </x:c>
      <x:c r="C683" s="7" t="n">
        <x:v>46301</x:v>
      </x:c>
      <x:c r="D683" s="2" t="str">
        <x:v>BUS003</x:v>
      </x:c>
      <x:c r="E683" s="2" t="str">
        <x:v>ST112</x:v>
      </x:c>
      <x:c r="F683" s="2" t="n">
        <x:v>2</x:v>
      </x:c>
      <x:c r="G683" s="2" t="str">
        <x:v>Senior</x:v>
      </x:c>
      <x:c r="H683" s="2" t="str">
        <x:v>Pickup</x:v>
      </x:c>
      <x:c r="I683" s="2" t="str">
        <x:v>R3S2</x:v>
      </x:c>
      <x:c r="J683" s="2" t="str">
        <x:v>EV001357</x:v>
      </x:c>
      <x:c r="K683" s="8" t="n">
        <x:v>46301.47642361111</x:v>
      </x:c>
      <x:c r="L683" s="2" t="str">
        <x:v>R3S2</x:v>
      </x:c>
      <x:c r="M683" s="9" t="n">
        <x:v>25.291000000000004</x:v>
      </x:c>
      <x:c r="N683" s="9" t="n">
        <x:v>51.51</x:v>
      </x:c>
      <x:c r="O683" s="2" t="str">
        <x:v>Valid</x:v>
      </x:c>
      <x:c r="P683" s="2" t="str">
        <x:v>EV001358</x:v>
      </x:c>
      <x:c r="Q683" s="8" t="n">
        <x:v>46301.506631944445</x:v>
      </x:c>
      <x:c r="R683" s="2" t="str">
        <x:v>SCH01</x:v>
      </x:c>
      <x:c r="S683" s="9" t="n">
        <x:v>25.285</x:v>
      </x:c>
      <x:c r="T683" s="9" t="n">
        <x:v>51.51</x:v>
      </x:c>
      <x:c r="U683" s="2" t="str">
        <x:v>SCHOOL_RECEIVER_01</x:v>
      </x:c>
      <x:c r="V683" s="2" t="str">
        <x:v>School staff receipt</x:v>
      </x:c>
      <x:c r="W683" s="2" t="str">
        <x:v>Completed transport</x:v>
      </x:c>
      <x:c r="X683" s="2" t="str">
        <x:v>QR</x:v>
      </x:c>
      <x:c r="Y683" s="2" t="str">
        <x:v>Online</x:v>
      </x:c>
      <x:c r="Z683" s="2" t="str">
        <x:v>Synced</x:v>
      </x:c>
      <x:c r="AA683" s="2"/>
      <x:c r="AB683" s="2"/>
      <x:c r="AC683" s="10" t="n">
        <x:f>IF(OR(K683="",Q683=""),"",ROUND((Q683-K683)*1440,2))</x:f>
        <x:v>43.5</x:v>
      </x:c>
    </x:row>
    <x:row r="684" ht="21" customHeight="1">
      <x:c r="A684" s="2" t="str">
        <x:v>LN00683</x:v>
      </x:c>
      <x:c r="B684" s="2" t="str">
        <x:v>T20261006-2-3</x:v>
      </x:c>
      <x:c r="C684" s="7" t="n">
        <x:v>46301</x:v>
      </x:c>
      <x:c r="D684" s="2" t="str">
        <x:v>BUS003</x:v>
      </x:c>
      <x:c r="E684" s="2" t="str">
        <x:v>ST113</x:v>
      </x:c>
      <x:c r="F684" s="2" t="n">
        <x:v>2</x:v>
      </x:c>
      <x:c r="G684" s="2" t="str">
        <x:v>Senior</x:v>
      </x:c>
      <x:c r="H684" s="2" t="str">
        <x:v>Pickup</x:v>
      </x:c>
      <x:c r="I684" s="2" t="str">
        <x:v>R3S3</x:v>
      </x:c>
      <x:c r="J684" s="2" t="str">
        <x:v>EV001359</x:v>
      </x:c>
      <x:c r="K684" s="8" t="n">
        <x:v>46301.48131944444</x:v>
      </x:c>
      <x:c r="L684" s="2" t="str">
        <x:v>R3S3</x:v>
      </x:c>
      <x:c r="M684" s="9" t="n">
        <x:v>25.293000000000003</x:v>
      </x:c>
      <x:c r="N684" s="9" t="n">
        <x:v>51.513</x:v>
      </x:c>
      <x:c r="O684" s="2" t="str">
        <x:v>Valid</x:v>
      </x:c>
      <x:c r="P684" s="2" t="str">
        <x:v>EV001360</x:v>
      </x:c>
      <x:c r="Q684" s="8" t="n">
        <x:v>46301.50666666667</x:v>
      </x:c>
      <x:c r="R684" s="2" t="str">
        <x:v>SCH01</x:v>
      </x:c>
      <x:c r="S684" s="9" t="n">
        <x:v>25.285</x:v>
      </x:c>
      <x:c r="T684" s="9" t="n">
        <x:v>51.51</x:v>
      </x:c>
      <x:c r="U684" s="2" t="str">
        <x:v>SCHOOL_RECEIVER_01</x:v>
      </x:c>
      <x:c r="V684" s="2" t="str">
        <x:v>School staff receipt</x:v>
      </x:c>
      <x:c r="W684" s="2" t="str">
        <x:v>Completed transport</x:v>
      </x:c>
      <x:c r="X684" s="2" t="str">
        <x:v>QR</x:v>
      </x:c>
      <x:c r="Y684" s="2" t="str">
        <x:v>Online</x:v>
      </x:c>
      <x:c r="Z684" s="2" t="str">
        <x:v>Synced</x:v>
      </x:c>
      <x:c r="AA684" s="2"/>
      <x:c r="AB684" s="2"/>
      <x:c r="AC684" s="10" t="n">
        <x:f>IF(OR(K684="",Q684=""),"",ROUND((Q684-K684)*1440,2))</x:f>
        <x:v>36.5</x:v>
      </x:c>
    </x:row>
    <x:row r="685" ht="21" customHeight="1">
      <x:c r="A685" s="2" t="str">
        <x:v>LN00684</x:v>
      </x:c>
      <x:c r="B685" s="2" t="str">
        <x:v>T20261006-2-3</x:v>
      </x:c>
      <x:c r="C685" s="7" t="n">
        <x:v>46301</x:v>
      </x:c>
      <x:c r="D685" s="2" t="str">
        <x:v>BUS003</x:v>
      </x:c>
      <x:c r="E685" s="2" t="str">
        <x:v>ST114</x:v>
      </x:c>
      <x:c r="F685" s="2" t="n">
        <x:v>2</x:v>
      </x:c>
      <x:c r="G685" s="2" t="str">
        <x:v>Senior</x:v>
      </x:c>
      <x:c r="H685" s="2" t="str">
        <x:v>Pickup</x:v>
      </x:c>
      <x:c r="I685" s="2" t="str">
        <x:v>R3S1</x:v>
      </x:c>
      <x:c r="J685" s="2" t="str">
        <x:v>EV001361</x:v>
      </x:c>
      <x:c r="K685" s="8" t="n">
        <x:v>46301.47163194445</x:v>
      </x:c>
      <x:c r="L685" s="2" t="str">
        <x:v>R3S1</x:v>
      </x:c>
      <x:c r="M685" s="9" t="n">
        <x:v>25.289</x:v>
      </x:c>
      <x:c r="N685" s="9" t="n">
        <x:v>51.507</x:v>
      </x:c>
      <x:c r="O685" s="2" t="str">
        <x:v>Valid</x:v>
      </x:c>
      <x:c r="P685" s="2" t="str">
        <x:v>EV001362</x:v>
      </x:c>
      <x:c r="Q685" s="8" t="n">
        <x:v>46301.50670138889</x:v>
      </x:c>
      <x:c r="R685" s="2" t="str">
        <x:v>SCH01</x:v>
      </x:c>
      <x:c r="S685" s="9" t="n">
        <x:v>25.285</x:v>
      </x:c>
      <x:c r="T685" s="9" t="n">
        <x:v>51.51</x:v>
      </x:c>
      <x:c r="U685" s="2" t="str">
        <x:v>SCHOOL_RECEIVER_01</x:v>
      </x:c>
      <x:c r="V685" s="2" t="str">
        <x:v>School staff receipt</x:v>
      </x:c>
      <x:c r="W685" s="2" t="str">
        <x:v>Completed transport</x:v>
      </x:c>
      <x:c r="X685" s="2" t="str">
        <x:v>QR</x:v>
      </x:c>
      <x:c r="Y685" s="2" t="str">
        <x:v>Online</x:v>
      </x:c>
      <x:c r="Z685" s="2" t="str">
        <x:v>Synced</x:v>
      </x:c>
      <x:c r="AA685" s="2"/>
      <x:c r="AB685" s="2"/>
      <x:c r="AC685" s="10" t="n">
        <x:f>IF(OR(K685="",Q685=""),"",ROUND((Q685-K685)*1440,2))</x:f>
        <x:v>50.5</x:v>
      </x:c>
    </x:row>
    <x:row r="686" ht="21" customHeight="1">
      <x:c r="A686" s="2" t="str">
        <x:v>LN00685</x:v>
      </x:c>
      <x:c r="B686" s="2" t="str">
        <x:v>T20261006-2-3</x:v>
      </x:c>
      <x:c r="C686" s="7" t="n">
        <x:v>46301</x:v>
      </x:c>
      <x:c r="D686" s="2" t="str">
        <x:v>BUS003</x:v>
      </x:c>
      <x:c r="E686" s="2" t="str">
        <x:v>ST115</x:v>
      </x:c>
      <x:c r="F686" s="2" t="n">
        <x:v>2</x:v>
      </x:c>
      <x:c r="G686" s="2" t="str">
        <x:v>Senior</x:v>
      </x:c>
      <x:c r="H686" s="2" t="str">
        <x:v>Pickup</x:v>
      </x:c>
      <x:c r="I686" s="2" t="str">
        <x:v>R3S2</x:v>
      </x:c>
      <x:c r="J686" s="2" t="str">
        <x:v>EV001363</x:v>
      </x:c>
      <x:c r="K686" s="8" t="n">
        <x:v>46301.47652777778</x:v>
      </x:c>
      <x:c r="L686" s="2" t="str">
        <x:v>R3S2</x:v>
      </x:c>
      <x:c r="M686" s="9" t="n">
        <x:v>25.291000000000004</x:v>
      </x:c>
      <x:c r="N686" s="9" t="n">
        <x:v>51.51</x:v>
      </x:c>
      <x:c r="O686" s="2" t="str">
        <x:v>Valid</x:v>
      </x:c>
      <x:c r="P686" s="2" t="str">
        <x:v>EV001364</x:v>
      </x:c>
      <x:c r="Q686" s="8" t="n">
        <x:v>46301.506736111114</x:v>
      </x:c>
      <x:c r="R686" s="2" t="str">
        <x:v>SCH01</x:v>
      </x:c>
      <x:c r="S686" s="9" t="n">
        <x:v>25.285</x:v>
      </x:c>
      <x:c r="T686" s="9" t="n">
        <x:v>51.51</x:v>
      </x:c>
      <x:c r="U686" s="2" t="str">
        <x:v>SCHOOL_RECEIVER_01</x:v>
      </x:c>
      <x:c r="V686" s="2" t="str">
        <x:v>School staff receipt</x:v>
      </x:c>
      <x:c r="W686" s="2" t="str">
        <x:v>Completed transport</x:v>
      </x:c>
      <x:c r="X686" s="2" t="str">
        <x:v>QR</x:v>
      </x:c>
      <x:c r="Y686" s="2" t="str">
        <x:v>Online</x:v>
      </x:c>
      <x:c r="Z686" s="2" t="str">
        <x:v>Synced</x:v>
      </x:c>
      <x:c r="AA686" s="2"/>
      <x:c r="AB686" s="2"/>
      <x:c r="AC686" s="10" t="n">
        <x:f>IF(OR(K686="",Q686=""),"",ROUND((Q686-K686)*1440,2))</x:f>
        <x:v>43.5</x:v>
      </x:c>
    </x:row>
    <x:row r="687" ht="21" customHeight="1">
      <x:c r="A687" s="2" t="str">
        <x:v>LN00686</x:v>
      </x:c>
      <x:c r="B687" s="2" t="str">
        <x:v>T20261006-2-3</x:v>
      </x:c>
      <x:c r="C687" s="7" t="n">
        <x:v>46301</x:v>
      </x:c>
      <x:c r="D687" s="2" t="str">
        <x:v>BUS003</x:v>
      </x:c>
      <x:c r="E687" s="2" t="str">
        <x:v>ST116</x:v>
      </x:c>
      <x:c r="F687" s="2" t="n">
        <x:v>2</x:v>
      </x:c>
      <x:c r="G687" s="2" t="str">
        <x:v>Senior</x:v>
      </x:c>
      <x:c r="H687" s="2" t="str">
        <x:v>Pickup</x:v>
      </x:c>
      <x:c r="I687" s="2" t="str">
        <x:v>R3S3</x:v>
      </x:c>
      <x:c r="J687" s="2" t="str">
        <x:v>EV001365</x:v>
      </x:c>
      <x:c r="K687" s="8" t="n">
        <x:v>46301.481423611105</x:v>
      </x:c>
      <x:c r="L687" s="2" t="str">
        <x:v>R3S3</x:v>
      </x:c>
      <x:c r="M687" s="9" t="n">
        <x:v>25.293000000000003</x:v>
      </x:c>
      <x:c r="N687" s="9" t="n">
        <x:v>51.513</x:v>
      </x:c>
      <x:c r="O687" s="2" t="str">
        <x:v>Valid</x:v>
      </x:c>
      <x:c r="P687" s="2" t="str">
        <x:v>EV001366</x:v>
      </x:c>
      <x:c r="Q687" s="8" t="n">
        <x:v>46301.50677083334</x:v>
      </x:c>
      <x:c r="R687" s="2" t="str">
        <x:v>SCH01</x:v>
      </x:c>
      <x:c r="S687" s="9" t="n">
        <x:v>25.285</x:v>
      </x:c>
      <x:c r="T687" s="9" t="n">
        <x:v>51.51</x:v>
      </x:c>
      <x:c r="U687" s="2" t="str">
        <x:v>SCHOOL_RECEIVER_01</x:v>
      </x:c>
      <x:c r="V687" s="2" t="str">
        <x:v>School staff receipt</x:v>
      </x:c>
      <x:c r="W687" s="2" t="str">
        <x:v>Completed transport</x:v>
      </x:c>
      <x:c r="X687" s="2" t="str">
        <x:v>QR</x:v>
      </x:c>
      <x:c r="Y687" s="2" t="str">
        <x:v>Online</x:v>
      </x:c>
      <x:c r="Z687" s="2" t="str">
        <x:v>Synced</x:v>
      </x:c>
      <x:c r="AA687" s="2"/>
      <x:c r="AB687" s="2"/>
      <x:c r="AC687" s="10" t="n">
        <x:f>IF(OR(K687="",Q687=""),"",ROUND((Q687-K687)*1440,2))</x:f>
        <x:v>36.5</x:v>
      </x:c>
    </x:row>
    <x:row r="688" ht="21" customHeight="1">
      <x:c r="A688" s="2" t="str">
        <x:v>LN00687</x:v>
      </x:c>
      <x:c r="B688" s="2" t="str">
        <x:v>T20261006-2-3</x:v>
      </x:c>
      <x:c r="C688" s="7" t="n">
        <x:v>46301</x:v>
      </x:c>
      <x:c r="D688" s="2" t="str">
        <x:v>BUS003</x:v>
      </x:c>
      <x:c r="E688" s="2" t="str">
        <x:v>ST117</x:v>
      </x:c>
      <x:c r="F688" s="2" t="n">
        <x:v>2</x:v>
      </x:c>
      <x:c r="G688" s="2" t="str">
        <x:v>Senior</x:v>
      </x:c>
      <x:c r="H688" s="2" t="str">
        <x:v>Pickup</x:v>
      </x:c>
      <x:c r="I688" s="2" t="str">
        <x:v>R3S1</x:v>
      </x:c>
      <x:c r="J688" s="2" t="str">
        <x:v>EV001367</x:v>
      </x:c>
      <x:c r="K688" s="8" t="n">
        <x:v>46301.47173611111</x:v>
      </x:c>
      <x:c r="L688" s="2" t="str">
        <x:v>R3S1</x:v>
      </x:c>
      <x:c r="M688" s="9" t="n">
        <x:v>25.289</x:v>
      </x:c>
      <x:c r="N688" s="9" t="n">
        <x:v>51.507</x:v>
      </x:c>
      <x:c r="O688" s="2" t="str">
        <x:v>Valid</x:v>
      </x:c>
      <x:c r="P688" s="2" t="str">
        <x:v>EV001368</x:v>
      </x:c>
      <x:c r="Q688" s="8" t="n">
        <x:v>46301.50680555556</x:v>
      </x:c>
      <x:c r="R688" s="2" t="str">
        <x:v>SCH01</x:v>
      </x:c>
      <x:c r="S688" s="9" t="n">
        <x:v>25.285</x:v>
      </x:c>
      <x:c r="T688" s="9" t="n">
        <x:v>51.51</x:v>
      </x:c>
      <x:c r="U688" s="2" t="str">
        <x:v>SCHOOL_RECEIVER_01</x:v>
      </x:c>
      <x:c r="V688" s="2" t="str">
        <x:v>School staff receipt</x:v>
      </x:c>
      <x:c r="W688" s="2" t="str">
        <x:v>Completed transport</x:v>
      </x:c>
      <x:c r="X688" s="2" t="str">
        <x:v>QR</x:v>
      </x:c>
      <x:c r="Y688" s="2" t="str">
        <x:v>Online</x:v>
      </x:c>
      <x:c r="Z688" s="2" t="str">
        <x:v>Synced</x:v>
      </x:c>
      <x:c r="AA688" s="2"/>
      <x:c r="AB688" s="2"/>
      <x:c r="AC688" s="10" t="n">
        <x:f>IF(OR(K688="",Q688=""),"",ROUND((Q688-K688)*1440,2))</x:f>
        <x:v>50.5</x:v>
      </x:c>
    </x:row>
    <x:row r="689" ht="21" customHeight="1">
      <x:c r="A689" s="2" t="str">
        <x:v>LN00688</x:v>
      </x:c>
      <x:c r="B689" s="2" t="str">
        <x:v>T20261006-2-3</x:v>
      </x:c>
      <x:c r="C689" s="7" t="n">
        <x:v>46301</x:v>
      </x:c>
      <x:c r="D689" s="2" t="str">
        <x:v>BUS003</x:v>
      </x:c>
      <x:c r="E689" s="2" t="str">
        <x:v>ST118</x:v>
      </x:c>
      <x:c r="F689" s="2" t="n">
        <x:v>2</x:v>
      </x:c>
      <x:c r="G689" s="2" t="str">
        <x:v>Senior</x:v>
      </x:c>
      <x:c r="H689" s="2" t="str">
        <x:v>Pickup</x:v>
      </x:c>
      <x:c r="I689" s="2" t="str">
        <x:v>R3S2</x:v>
      </x:c>
      <x:c r="J689" s="2" t="str">
        <x:v>EV001369</x:v>
      </x:c>
      <x:c r="K689" s="8" t="n">
        <x:v>46301.47663194444</x:v>
      </x:c>
      <x:c r="L689" s="2" t="str">
        <x:v>R3S2</x:v>
      </x:c>
      <x:c r="M689" s="9" t="n">
        <x:v>25.291000000000004</x:v>
      </x:c>
      <x:c r="N689" s="9" t="n">
        <x:v>51.51</x:v>
      </x:c>
      <x:c r="O689" s="2" t="str">
        <x:v>Valid</x:v>
      </x:c>
      <x:c r="P689" s="2" t="str">
        <x:v>EV001370</x:v>
      </x:c>
      <x:c r="Q689" s="8" t="n">
        <x:v>46301.50684027778</x:v>
      </x:c>
      <x:c r="R689" s="2" t="str">
        <x:v>SCH01</x:v>
      </x:c>
      <x:c r="S689" s="9" t="n">
        <x:v>25.285</x:v>
      </x:c>
      <x:c r="T689" s="9" t="n">
        <x:v>51.51</x:v>
      </x:c>
      <x:c r="U689" s="2" t="str">
        <x:v>SCHOOL_RECEIVER_01</x:v>
      </x:c>
      <x:c r="V689" s="2" t="str">
        <x:v>School staff receipt</x:v>
      </x:c>
      <x:c r="W689" s="2" t="str">
        <x:v>Completed transport</x:v>
      </x:c>
      <x:c r="X689" s="2" t="str">
        <x:v>QR</x:v>
      </x:c>
      <x:c r="Y689" s="2" t="str">
        <x:v>Online</x:v>
      </x:c>
      <x:c r="Z689" s="2" t="str">
        <x:v>Synced</x:v>
      </x:c>
      <x:c r="AA689" s="2"/>
      <x:c r="AB689" s="2"/>
      <x:c r="AC689" s="10" t="n">
        <x:f>IF(OR(K689="",Q689=""),"",ROUND((Q689-K689)*1440,2))</x:f>
        <x:v>43.5</x:v>
      </x:c>
    </x:row>
    <x:row r="690" ht="21" customHeight="1">
      <x:c r="A690" s="2" t="str">
        <x:v>LN00689</x:v>
      </x:c>
      <x:c r="B690" s="2" t="str">
        <x:v>T20261006-2-3</x:v>
      </x:c>
      <x:c r="C690" s="7" t="n">
        <x:v>46301</x:v>
      </x:c>
      <x:c r="D690" s="2" t="str">
        <x:v>BUS003</x:v>
      </x:c>
      <x:c r="E690" s="2" t="str">
        <x:v>ST119</x:v>
      </x:c>
      <x:c r="F690" s="2" t="n">
        <x:v>2</x:v>
      </x:c>
      <x:c r="G690" s="2" t="str">
        <x:v>Senior</x:v>
      </x:c>
      <x:c r="H690" s="2" t="str">
        <x:v>Pickup</x:v>
      </x:c>
      <x:c r="I690" s="2" t="str">
        <x:v>R3S3</x:v>
      </x:c>
      <x:c r="J690" s="2" t="str">
        <x:v>EV001371</x:v>
      </x:c>
      <x:c r="K690" s="8" t="n">
        <x:v>46301.481527777774</x:v>
      </x:c>
      <x:c r="L690" s="2" t="str">
        <x:v>R3S3</x:v>
      </x:c>
      <x:c r="M690" s="9" t="n">
        <x:v>25.293000000000003</x:v>
      </x:c>
      <x:c r="N690" s="9" t="n">
        <x:v>51.513</x:v>
      </x:c>
      <x:c r="O690" s="2" t="str">
        <x:v>Valid</x:v>
      </x:c>
      <x:c r="P690" s="2" t="str">
        <x:v>EV001372</x:v>
      </x:c>
      <x:c r="Q690" s="8" t="n">
        <x:v>46301.50687500001</x:v>
      </x:c>
      <x:c r="R690" s="2" t="str">
        <x:v>SCH01</x:v>
      </x:c>
      <x:c r="S690" s="9" t="n">
        <x:v>25.285</x:v>
      </x:c>
      <x:c r="T690" s="9" t="n">
        <x:v>51.51</x:v>
      </x:c>
      <x:c r="U690" s="2" t="str">
        <x:v>SCHOOL_RECEIVER_01</x:v>
      </x:c>
      <x:c r="V690" s="2" t="str">
        <x:v>School staff receipt</x:v>
      </x:c>
      <x:c r="W690" s="2" t="str">
        <x:v>Completed transport</x:v>
      </x:c>
      <x:c r="X690" s="2" t="str">
        <x:v>QR</x:v>
      </x:c>
      <x:c r="Y690" s="2" t="str">
        <x:v>Online</x:v>
      </x:c>
      <x:c r="Z690" s="2" t="str">
        <x:v>Synced</x:v>
      </x:c>
      <x:c r="AA690" s="2"/>
      <x:c r="AB690" s="2"/>
      <x:c r="AC690" s="10" t="n">
        <x:f>IF(OR(K690="",Q690=""),"",ROUND((Q690-K690)*1440,2))</x:f>
        <x:v>36.5</x:v>
      </x:c>
    </x:row>
    <x:row r="691" ht="21" customHeight="1">
      <x:c r="A691" s="2" t="str">
        <x:v>LN00690</x:v>
      </x:c>
      <x:c r="B691" s="2" t="str">
        <x:v>T20261006-2-3</x:v>
      </x:c>
      <x:c r="C691" s="7" t="n">
        <x:v>46301</x:v>
      </x:c>
      <x:c r="D691" s="2" t="str">
        <x:v>BUS003</x:v>
      </x:c>
      <x:c r="E691" s="2" t="str">
        <x:v>ST120</x:v>
      </x:c>
      <x:c r="F691" s="2" t="n">
        <x:v>2</x:v>
      </x:c>
      <x:c r="G691" s="2" t="str">
        <x:v>Senior</x:v>
      </x:c>
      <x:c r="H691" s="2" t="str">
        <x:v>Pickup</x:v>
      </x:c>
      <x:c r="I691" s="2" t="str">
        <x:v>R3S1</x:v>
      </x:c>
      <x:c r="J691" s="2" t="str">
        <x:v>EV001373</x:v>
      </x:c>
      <x:c r="K691" s="8" t="n">
        <x:v>46301.47184027778</x:v>
      </x:c>
      <x:c r="L691" s="2" t="str">
        <x:v>R3S1</x:v>
      </x:c>
      <x:c r="M691" s="9" t="n">
        <x:v>25.289</x:v>
      </x:c>
      <x:c r="N691" s="9" t="n">
        <x:v>51.507</x:v>
      </x:c>
      <x:c r="O691" s="2" t="str">
        <x:v>Valid</x:v>
      </x:c>
      <x:c r="P691" s="2" t="str">
        <x:v>EV001374</x:v>
      </x:c>
      <x:c r="Q691" s="8" t="n">
        <x:v>46301.50690972222</x:v>
      </x:c>
      <x:c r="R691" s="2" t="str">
        <x:v>SCH01</x:v>
      </x:c>
      <x:c r="S691" s="9" t="n">
        <x:v>25.285</x:v>
      </x:c>
      <x:c r="T691" s="9" t="n">
        <x:v>51.51</x:v>
      </x:c>
      <x:c r="U691" s="2" t="str">
        <x:v>SCHOOL_RECEIVER_01</x:v>
      </x:c>
      <x:c r="V691" s="2" t="str">
        <x:v>School staff receipt</x:v>
      </x:c>
      <x:c r="W691" s="2" t="str">
        <x:v>Completed transport</x:v>
      </x:c>
      <x:c r="X691" s="2" t="str">
        <x:v>QR</x:v>
      </x:c>
      <x:c r="Y691" s="2" t="str">
        <x:v>Online</x:v>
      </x:c>
      <x:c r="Z691" s="2" t="str">
        <x:v>Synced</x:v>
      </x:c>
      <x:c r="AA691" s="2"/>
      <x:c r="AB691" s="2"/>
      <x:c r="AC691" s="10" t="n">
        <x:f>IF(OR(K691="",Q691=""),"",ROUND((Q691-K691)*1440,2))</x:f>
        <x:v>50.5</x:v>
      </x:c>
    </x:row>
    <x:row r="692" ht="21" customHeight="1">
      <x:c r="A692" s="2" t="str">
        <x:v>LN00691</x:v>
      </x:c>
      <x:c r="B692" s="2" t="str">
        <x:v>T20261006-3-3</x:v>
      </x:c>
      <x:c r="C692" s="7" t="n">
        <x:v>46301</x:v>
      </x:c>
      <x:c r="D692" s="2" t="str">
        <x:v>BUS003</x:v>
      </x:c>
      <x:c r="E692" s="2" t="str">
        <x:v>ST091</x:v>
      </x:c>
      <x:c r="F692" s="2" t="n">
        <x:v>1</x:v>
      </x:c>
      <x:c r="G692" s="2" t="str">
        <x:v>Senior</x:v>
      </x:c>
      <x:c r="H692" s="2" t="str">
        <x:v>Drop-off</x:v>
      </x:c>
      <x:c r="I692" s="2" t="str">
        <x:v>R3S2</x:v>
      </x:c>
      <x:c r="J692" s="2" t="str">
        <x:v>EV001375</x:v>
      </x:c>
      <x:c r="K692" s="8" t="n">
        <x:v>46301.57291666667</x:v>
      </x:c>
      <x:c r="L692" s="2" t="str">
        <x:v>SCH01</x:v>
      </x:c>
      <x:c r="M692" s="9" t="n">
        <x:v>25.285</x:v>
      </x:c>
      <x:c r="N692" s="9" t="n">
        <x:v>51.51</x:v>
      </x:c>
      <x:c r="O692" s="2" t="str">
        <x:v>Valid</x:v>
      </x:c>
      <x:c r="P692" s="2" t="str">
        <x:v>EV001376</x:v>
      </x:c>
      <x:c r="Q692" s="8" t="n">
        <x:v>46301.59027777778</x:v>
      </x:c>
      <x:c r="R692" s="2" t="str">
        <x:v>R3S2</x:v>
      </x:c>
      <x:c r="S692" s="9" t="n">
        <x:v>25.291000000000004</x:v>
      </x:c>
      <x:c r="T692" s="9" t="n">
        <x:v>51.51</x:v>
      </x:c>
      <x:c r="U692" s="2" t="str">
        <x:v>G091</x:v>
      </x:c>
      <x:c r="V692" s="2" t="str">
        <x:v>Authorized guardian release</x:v>
      </x:c>
      <x:c r="W692" s="2" t="str">
        <x:v>Completed transport</x:v>
      </x:c>
      <x:c r="X692" s="2" t="str">
        <x:v>QR</x:v>
      </x:c>
      <x:c r="Y692" s="2" t="str">
        <x:v>Online</x:v>
      </x:c>
      <x:c r="Z692" s="2" t="str">
        <x:v>Synced</x:v>
      </x:c>
      <x:c r="AA692" s="2"/>
      <x:c r="AB692" s="2"/>
      <x:c r="AC692" s="10" t="n">
        <x:f>IF(OR(K692="",Q692=""),"",ROUND((Q692-K692)*1440,2))</x:f>
        <x:v>25</x:v>
      </x:c>
    </x:row>
    <x:row r="693" ht="21" customHeight="1">
      <x:c r="A693" s="2" t="str">
        <x:v>LN00692</x:v>
      </x:c>
      <x:c r="B693" s="2" t="str">
        <x:v>T20261006-3-3</x:v>
      </x:c>
      <x:c r="C693" s="7" t="n">
        <x:v>46301</x:v>
      </x:c>
      <x:c r="D693" s="2" t="str">
        <x:v>BUS003</x:v>
      </x:c>
      <x:c r="E693" s="2" t="str">
        <x:v>ST092</x:v>
      </x:c>
      <x:c r="F693" s="2" t="n">
        <x:v>1</x:v>
      </x:c>
      <x:c r="G693" s="2" t="str">
        <x:v>Senior</x:v>
      </x:c>
      <x:c r="H693" s="2" t="str">
        <x:v>Drop-off</x:v>
      </x:c>
      <x:c r="I693" s="2" t="str">
        <x:v>R3S3</x:v>
      </x:c>
      <x:c r="J693" s="2" t="str">
        <x:v>EV001377</x:v>
      </x:c>
      <x:c r="K693" s="8" t="n">
        <x:v>46301.572951388895</x:v>
      </x:c>
      <x:c r="L693" s="2" t="str">
        <x:v>SCH01</x:v>
      </x:c>
      <x:c r="M693" s="9" t="n">
        <x:v>25.285</x:v>
      </x:c>
      <x:c r="N693" s="9" t="n">
        <x:v>51.51</x:v>
      </x:c>
      <x:c r="O693" s="2" t="str">
        <x:v>Valid</x:v>
      </x:c>
      <x:c r="P693" s="2" t="str">
        <x:v>EV001378</x:v>
      </x:c>
      <x:c r="Q693" s="8" t="n">
        <x:v>46301.59447916667</x:v>
      </x:c>
      <x:c r="R693" s="2" t="str">
        <x:v>R3S3</x:v>
      </x:c>
      <x:c r="S693" s="9" t="n">
        <x:v>25.293000000000003</x:v>
      </x:c>
      <x:c r="T693" s="9" t="n">
        <x:v>51.513</x:v>
      </x:c>
      <x:c r="U693" s="2" t="str">
        <x:v>G092</x:v>
      </x:c>
      <x:c r="V693" s="2" t="str">
        <x:v>Authorized guardian release</x:v>
      </x:c>
      <x:c r="W693" s="2" t="str">
        <x:v>Completed transport</x:v>
      </x:c>
      <x:c r="X693" s="2" t="str">
        <x:v>QR</x:v>
      </x:c>
      <x:c r="Y693" s="2" t="str">
        <x:v>Online</x:v>
      </x:c>
      <x:c r="Z693" s="2" t="str">
        <x:v>Synced</x:v>
      </x:c>
      <x:c r="AA693" s="2"/>
      <x:c r="AB693" s="2"/>
      <x:c r="AC693" s="10" t="n">
        <x:f>IF(OR(K693="",Q693=""),"",ROUND((Q693-K693)*1440,2))</x:f>
        <x:v>31</x:v>
      </x:c>
    </x:row>
    <x:row r="694" ht="21" customHeight="1">
      <x:c r="A694" s="2" t="str">
        <x:v>LN00693</x:v>
      </x:c>
      <x:c r="B694" s="2" t="str">
        <x:v>T20261006-3-3</x:v>
      </x:c>
      <x:c r="C694" s="7" t="n">
        <x:v>46301</x:v>
      </x:c>
      <x:c r="D694" s="2" t="str">
        <x:v>BUS003</x:v>
      </x:c>
      <x:c r="E694" s="2" t="str">
        <x:v>ST093</x:v>
      </x:c>
      <x:c r="F694" s="2" t="n">
        <x:v>1</x:v>
      </x:c>
      <x:c r="G694" s="2" t="str">
        <x:v>Senior</x:v>
      </x:c>
      <x:c r="H694" s="2" t="str">
        <x:v>Drop-off</x:v>
      </x:c>
      <x:c r="I694" s="2" t="str">
        <x:v>R3S1</x:v>
      </x:c>
      <x:c r="J694" s="2" t="str">
        <x:v>EV001379</x:v>
      </x:c>
      <x:c r="K694" s="8" t="n">
        <x:v>46301.57298611112</x:v>
      </x:c>
      <x:c r="L694" s="2" t="str">
        <x:v>SCH01</x:v>
      </x:c>
      <x:c r="M694" s="9" t="n">
        <x:v>25.285</x:v>
      </x:c>
      <x:c r="N694" s="9" t="n">
        <x:v>51.51</x:v>
      </x:c>
      <x:c r="O694" s="2" t="str">
        <x:v>Valid</x:v>
      </x:c>
      <x:c r="P694" s="2" t="str">
        <x:v>EV001380</x:v>
      </x:c>
      <x:c r="Q694" s="8" t="n">
        <x:v>46301.58618055556</x:v>
      </x:c>
      <x:c r="R694" s="2" t="str">
        <x:v>R3S1</x:v>
      </x:c>
      <x:c r="S694" s="9" t="n">
        <x:v>25.289</x:v>
      </x:c>
      <x:c r="T694" s="9" t="n">
        <x:v>51.507</x:v>
      </x:c>
      <x:c r="U694" s="2" t="str">
        <x:v>G093</x:v>
      </x:c>
      <x:c r="V694" s="2" t="str">
        <x:v>Authorized guardian release</x:v>
      </x:c>
      <x:c r="W694" s="2" t="str">
        <x:v>Completed transport</x:v>
      </x:c>
      <x:c r="X694" s="2" t="str">
        <x:v>QR</x:v>
      </x:c>
      <x:c r="Y694" s="2" t="str">
        <x:v>Online</x:v>
      </x:c>
      <x:c r="Z694" s="2" t="str">
        <x:v>Synced</x:v>
      </x:c>
      <x:c r="AA694" s="2"/>
      <x:c r="AB694" s="2"/>
      <x:c r="AC694" s="10" t="n">
        <x:f>IF(OR(K694="",Q694=""),"",ROUND((Q694-K694)*1440,2))</x:f>
        <x:v>19</x:v>
      </x:c>
    </x:row>
    <x:row r="695" ht="21" customHeight="1">
      <x:c r="A695" s="2" t="str">
        <x:v>LN00694</x:v>
      </x:c>
      <x:c r="B695" s="2" t="str">
        <x:v>T20261006-3-3</x:v>
      </x:c>
      <x:c r="C695" s="7" t="n">
        <x:v>46301</x:v>
      </x:c>
      <x:c r="D695" s="2" t="str">
        <x:v>BUS003</x:v>
      </x:c>
      <x:c r="E695" s="2" t="str">
        <x:v>ST094</x:v>
      </x:c>
      <x:c r="F695" s="2" t="n">
        <x:v>1</x:v>
      </x:c>
      <x:c r="G695" s="2" t="str">
        <x:v>Senior</x:v>
      </x:c>
      <x:c r="H695" s="2" t="str">
        <x:v>Drop-off</x:v>
      </x:c>
      <x:c r="I695" s="2" t="str">
        <x:v>R3S2</x:v>
      </x:c>
      <x:c r="J695" s="2" t="str">
        <x:v>EV001381</x:v>
      </x:c>
      <x:c r="K695" s="8" t="n">
        <x:v>46301.57302083334</x:v>
      </x:c>
      <x:c r="L695" s="2" t="str">
        <x:v>SCH01</x:v>
      </x:c>
      <x:c r="M695" s="9" t="n">
        <x:v>25.285</x:v>
      </x:c>
      <x:c r="N695" s="9" t="n">
        <x:v>51.51</x:v>
      </x:c>
      <x:c r="O695" s="2" t="str">
        <x:v>Valid</x:v>
      </x:c>
      <x:c r="P695" s="2" t="str">
        <x:v>EV001382</x:v>
      </x:c>
      <x:c r="Q695" s="8" t="n">
        <x:v>46301.59038194445</x:v>
      </x:c>
      <x:c r="R695" s="2" t="str">
        <x:v>R3S2</x:v>
      </x:c>
      <x:c r="S695" s="9" t="n">
        <x:v>25.291000000000004</x:v>
      </x:c>
      <x:c r="T695" s="9" t="n">
        <x:v>51.51</x:v>
      </x:c>
      <x:c r="U695" s="2" t="str">
        <x:v>G094</x:v>
      </x:c>
      <x:c r="V695" s="2" t="str">
        <x:v>Authorized guardian release</x:v>
      </x:c>
      <x:c r="W695" s="2" t="str">
        <x:v>Completed transport</x:v>
      </x:c>
      <x:c r="X695" s="2" t="str">
        <x:v>QR</x:v>
      </x:c>
      <x:c r="Y695" s="2" t="str">
        <x:v>Online</x:v>
      </x:c>
      <x:c r="Z695" s="2" t="str">
        <x:v>Synced</x:v>
      </x:c>
      <x:c r="AA695" s="2"/>
      <x:c r="AB695" s="2"/>
      <x:c r="AC695" s="10" t="n">
        <x:f>IF(OR(K695="",Q695=""),"",ROUND((Q695-K695)*1440,2))</x:f>
        <x:v>25</x:v>
      </x:c>
    </x:row>
    <x:row r="696" ht="21" customHeight="1">
      <x:c r="A696" s="2" t="str">
        <x:v>LN00695</x:v>
      </x:c>
      <x:c r="B696" s="2" t="str">
        <x:v>T20261006-3-3</x:v>
      </x:c>
      <x:c r="C696" s="7" t="n">
        <x:v>46301</x:v>
      </x:c>
      <x:c r="D696" s="2" t="str">
        <x:v>BUS003</x:v>
      </x:c>
      <x:c r="E696" s="2" t="str">
        <x:v>ST095</x:v>
      </x:c>
      <x:c r="F696" s="2" t="n">
        <x:v>1</x:v>
      </x:c>
      <x:c r="G696" s="2" t="str">
        <x:v>Senior</x:v>
      </x:c>
      <x:c r="H696" s="2" t="str">
        <x:v>Drop-off</x:v>
      </x:c>
      <x:c r="I696" s="2" t="str">
        <x:v>R3S3</x:v>
      </x:c>
      <x:c r="J696" s="2" t="str">
        <x:v>EV001383</x:v>
      </x:c>
      <x:c r="K696" s="8" t="n">
        <x:v>46301.573055555564</x:v>
      </x:c>
      <x:c r="L696" s="2" t="str">
        <x:v>SCH01</x:v>
      </x:c>
      <x:c r="M696" s="9" t="n">
        <x:v>25.285</x:v>
      </x:c>
      <x:c r="N696" s="9" t="n">
        <x:v>51.51</x:v>
      </x:c>
      <x:c r="O696" s="2" t="str">
        <x:v>Valid</x:v>
      </x:c>
      <x:c r="P696" s="2" t="str">
        <x:v>EV001384</x:v>
      </x:c>
      <x:c r="Q696" s="8" t="n">
        <x:v>46301.59458333334</x:v>
      </x:c>
      <x:c r="R696" s="2" t="str">
        <x:v>R3S3</x:v>
      </x:c>
      <x:c r="S696" s="9" t="n">
        <x:v>25.293000000000003</x:v>
      </x:c>
      <x:c r="T696" s="9" t="n">
        <x:v>51.513</x:v>
      </x:c>
      <x:c r="U696" s="2" t="str">
        <x:v>G095</x:v>
      </x:c>
      <x:c r="V696" s="2" t="str">
        <x:v>Authorized guardian release</x:v>
      </x:c>
      <x:c r="W696" s="2" t="str">
        <x:v>Completed transport</x:v>
      </x:c>
      <x:c r="X696" s="2" t="str">
        <x:v>QR</x:v>
      </x:c>
      <x:c r="Y696" s="2" t="str">
        <x:v>Online</x:v>
      </x:c>
      <x:c r="Z696" s="2" t="str">
        <x:v>Synced</x:v>
      </x:c>
      <x:c r="AA696" s="2"/>
      <x:c r="AB696" s="2"/>
      <x:c r="AC696" s="10" t="n">
        <x:f>IF(OR(K696="",Q696=""),"",ROUND((Q696-K696)*1440,2))</x:f>
        <x:v>31</x:v>
      </x:c>
    </x:row>
    <x:row r="697" ht="21" customHeight="1">
      <x:c r="A697" s="2" t="str">
        <x:v>LN00696</x:v>
      </x:c>
      <x:c r="B697" s="2" t="str">
        <x:v>T20261006-3-3</x:v>
      </x:c>
      <x:c r="C697" s="7" t="n">
        <x:v>46301</x:v>
      </x:c>
      <x:c r="D697" s="2" t="str">
        <x:v>BUS003</x:v>
      </x:c>
      <x:c r="E697" s="2" t="str">
        <x:v>ST096</x:v>
      </x:c>
      <x:c r="F697" s="2" t="n">
        <x:v>1</x:v>
      </x:c>
      <x:c r="G697" s="2" t="str">
        <x:v>Senior</x:v>
      </x:c>
      <x:c r="H697" s="2" t="str">
        <x:v>Drop-off</x:v>
      </x:c>
      <x:c r="I697" s="2" t="str">
        <x:v>R3S1</x:v>
      </x:c>
      <x:c r="J697" s="2" t="str">
        <x:v>EV001385</x:v>
      </x:c>
      <x:c r="K697" s="8" t="n">
        <x:v>46301.57309027778</x:v>
      </x:c>
      <x:c r="L697" s="2" t="str">
        <x:v>SCH01</x:v>
      </x:c>
      <x:c r="M697" s="9" t="n">
        <x:v>25.285</x:v>
      </x:c>
      <x:c r="N697" s="9" t="n">
        <x:v>51.51</x:v>
      </x:c>
      <x:c r="O697" s="2" t="str">
        <x:v>Valid</x:v>
      </x:c>
      <x:c r="P697" s="2" t="str">
        <x:v>EV001386</x:v>
      </x:c>
      <x:c r="Q697" s="8" t="n">
        <x:v>46301.58628472222</x:v>
      </x:c>
      <x:c r="R697" s="2" t="str">
        <x:v>R3S1</x:v>
      </x:c>
      <x:c r="S697" s="9" t="n">
        <x:v>25.289</x:v>
      </x:c>
      <x:c r="T697" s="9" t="n">
        <x:v>51.507</x:v>
      </x:c>
      <x:c r="U697" s="2" t="str">
        <x:v>G096</x:v>
      </x:c>
      <x:c r="V697" s="2" t="str">
        <x:v>Authorized guardian release</x:v>
      </x:c>
      <x:c r="W697" s="2" t="str">
        <x:v>Completed transport</x:v>
      </x:c>
      <x:c r="X697" s="2" t="str">
        <x:v>QR</x:v>
      </x:c>
      <x:c r="Y697" s="2" t="str">
        <x:v>Online</x:v>
      </x:c>
      <x:c r="Z697" s="2" t="str">
        <x:v>Synced</x:v>
      </x:c>
      <x:c r="AA697" s="2"/>
      <x:c r="AB697" s="2"/>
      <x:c r="AC697" s="10" t="n">
        <x:f>IF(OR(K697="",Q697=""),"",ROUND((Q697-K697)*1440,2))</x:f>
        <x:v>19</x:v>
      </x:c>
    </x:row>
    <x:row r="698" ht="21" customHeight="1">
      <x:c r="A698" s="2" t="str">
        <x:v>LN00697</x:v>
      </x:c>
      <x:c r="B698" s="2" t="str">
        <x:v>T20261006-3-3</x:v>
      </x:c>
      <x:c r="C698" s="7" t="n">
        <x:v>46301</x:v>
      </x:c>
      <x:c r="D698" s="2" t="str">
        <x:v>BUS003</x:v>
      </x:c>
      <x:c r="E698" s="2" t="str">
        <x:v>ST097</x:v>
      </x:c>
      <x:c r="F698" s="2" t="n">
        <x:v>1</x:v>
      </x:c>
      <x:c r="G698" s="2" t="str">
        <x:v>Senior</x:v>
      </x:c>
      <x:c r="H698" s="2" t="str">
        <x:v>Drop-off</x:v>
      </x:c>
      <x:c r="I698" s="2" t="str">
        <x:v>R3S2</x:v>
      </x:c>
      <x:c r="J698" s="2" t="str">
        <x:v>EV001387</x:v>
      </x:c>
      <x:c r="K698" s="8" t="n">
        <x:v>46301.573125</x:v>
      </x:c>
      <x:c r="L698" s="2" t="str">
        <x:v>SCH01</x:v>
      </x:c>
      <x:c r="M698" s="9" t="n">
        <x:v>25.285</x:v>
      </x:c>
      <x:c r="N698" s="9" t="n">
        <x:v>51.51</x:v>
      </x:c>
      <x:c r="O698" s="2" t="str">
        <x:v>Valid</x:v>
      </x:c>
      <x:c r="P698" s="2" t="str">
        <x:v>EV001388</x:v>
      </x:c>
      <x:c r="Q698" s="8" t="n">
        <x:v>46301.59048611111</x:v>
      </x:c>
      <x:c r="R698" s="2" t="str">
        <x:v>R3S2</x:v>
      </x:c>
      <x:c r="S698" s="9" t="n">
        <x:v>25.291000000000004</x:v>
      </x:c>
      <x:c r="T698" s="9" t="n">
        <x:v>51.51</x:v>
      </x:c>
      <x:c r="U698" s="2" t="str">
        <x:v>G097</x:v>
      </x:c>
      <x:c r="V698" s="2" t="str">
        <x:v>Authorized guardian release</x:v>
      </x:c>
      <x:c r="W698" s="2" t="str">
        <x:v>Completed transport</x:v>
      </x:c>
      <x:c r="X698" s="2" t="str">
        <x:v>QR</x:v>
      </x:c>
      <x:c r="Y698" s="2" t="str">
        <x:v>Online</x:v>
      </x:c>
      <x:c r="Z698" s="2" t="str">
        <x:v>Synced</x:v>
      </x:c>
      <x:c r="AA698" s="2"/>
      <x:c r="AB698" s="2"/>
      <x:c r="AC698" s="10" t="n">
        <x:f>IF(OR(K698="",Q698=""),"",ROUND((Q698-K698)*1440,2))</x:f>
        <x:v>25</x:v>
      </x:c>
    </x:row>
    <x:row r="699" ht="21" customHeight="1">
      <x:c r="A699" s="2" t="str">
        <x:v>LN00698</x:v>
      </x:c>
      <x:c r="B699" s="2" t="str">
        <x:v>T20261006-3-3</x:v>
      </x:c>
      <x:c r="C699" s="7" t="n">
        <x:v>46301</x:v>
      </x:c>
      <x:c r="D699" s="2" t="str">
        <x:v>BUS003</x:v>
      </x:c>
      <x:c r="E699" s="2" t="str">
        <x:v>ST098</x:v>
      </x:c>
      <x:c r="F699" s="2" t="n">
        <x:v>1</x:v>
      </x:c>
      <x:c r="G699" s="2" t="str">
        <x:v>Senior</x:v>
      </x:c>
      <x:c r="H699" s="2" t="str">
        <x:v>Drop-off</x:v>
      </x:c>
      <x:c r="I699" s="2" t="str">
        <x:v>R3S3</x:v>
      </x:c>
      <x:c r="J699" s="2" t="str">
        <x:v>EV001389</x:v>
      </x:c>
      <x:c r="K699" s="8" t="n">
        <x:v>46301.573159722226</x:v>
      </x:c>
      <x:c r="L699" s="2" t="str">
        <x:v>SCH01</x:v>
      </x:c>
      <x:c r="M699" s="9" t="n">
        <x:v>25.285</x:v>
      </x:c>
      <x:c r="N699" s="9" t="n">
        <x:v>51.51</x:v>
      </x:c>
      <x:c r="O699" s="2" t="str">
        <x:v>Valid</x:v>
      </x:c>
      <x:c r="P699" s="2" t="str">
        <x:v>EV001390</x:v>
      </x:c>
      <x:c r="Q699" s="8" t="n">
        <x:v>46301.5946875</x:v>
      </x:c>
      <x:c r="R699" s="2" t="str">
        <x:v>R3S3</x:v>
      </x:c>
      <x:c r="S699" s="9" t="n">
        <x:v>25.293000000000003</x:v>
      </x:c>
      <x:c r="T699" s="9" t="n">
        <x:v>51.513</x:v>
      </x:c>
      <x:c r="U699" s="2" t="str">
        <x:v>G098</x:v>
      </x:c>
      <x:c r="V699" s="2" t="str">
        <x:v>Authorized guardian release</x:v>
      </x:c>
      <x:c r="W699" s="2" t="str">
        <x:v>Completed transport</x:v>
      </x:c>
      <x:c r="X699" s="2" t="str">
        <x:v>QR</x:v>
      </x:c>
      <x:c r="Y699" s="2" t="str">
        <x:v>Online</x:v>
      </x:c>
      <x:c r="Z699" s="2" t="str">
        <x:v>Synced</x:v>
      </x:c>
      <x:c r="AA699" s="2"/>
      <x:c r="AB699" s="2"/>
      <x:c r="AC699" s="10" t="n">
        <x:f>IF(OR(K699="",Q699=""),"",ROUND((Q699-K699)*1440,2))</x:f>
        <x:v>31</x:v>
      </x:c>
    </x:row>
    <x:row r="700" ht="21" customHeight="1">
      <x:c r="A700" s="2" t="str">
        <x:v>LN00699</x:v>
      </x:c>
      <x:c r="B700" s="2" t="str">
        <x:v>T20261006-3-3</x:v>
      </x:c>
      <x:c r="C700" s="7" t="n">
        <x:v>46301</x:v>
      </x:c>
      <x:c r="D700" s="2" t="str">
        <x:v>BUS003</x:v>
      </x:c>
      <x:c r="E700" s="2" t="str">
        <x:v>ST099</x:v>
      </x:c>
      <x:c r="F700" s="2" t="n">
        <x:v>1</x:v>
      </x:c>
      <x:c r="G700" s="2" t="str">
        <x:v>Senior</x:v>
      </x:c>
      <x:c r="H700" s="2" t="str">
        <x:v>Drop-off</x:v>
      </x:c>
      <x:c r="I700" s="2" t="str">
        <x:v>R3S1</x:v>
      </x:c>
      <x:c r="J700" s="2" t="str">
        <x:v>EV001391</x:v>
      </x:c>
      <x:c r="K700" s="8" t="n">
        <x:v>46301.57319444445</x:v>
      </x:c>
      <x:c r="L700" s="2" t="str">
        <x:v>SCH01</x:v>
      </x:c>
      <x:c r="M700" s="9" t="n">
        <x:v>25.285</x:v>
      </x:c>
      <x:c r="N700" s="9" t="n">
        <x:v>51.51</x:v>
      </x:c>
      <x:c r="O700" s="2" t="str">
        <x:v>Valid</x:v>
      </x:c>
      <x:c r="P700" s="2" t="str">
        <x:v>EV001392</x:v>
      </x:c>
      <x:c r="Q700" s="8" t="n">
        <x:v>46301.58638888889</x:v>
      </x:c>
      <x:c r="R700" s="2" t="str">
        <x:v>R3S1</x:v>
      </x:c>
      <x:c r="S700" s="9" t="n">
        <x:v>25.289</x:v>
      </x:c>
      <x:c r="T700" s="9" t="n">
        <x:v>51.507</x:v>
      </x:c>
      <x:c r="U700" s="2" t="str">
        <x:v>G099</x:v>
      </x:c>
      <x:c r="V700" s="2" t="str">
        <x:v>Authorized guardian release</x:v>
      </x:c>
      <x:c r="W700" s="2" t="str">
        <x:v>Completed transport</x:v>
      </x:c>
      <x:c r="X700" s="2" t="str">
        <x:v>QR</x:v>
      </x:c>
      <x:c r="Y700" s="2" t="str">
        <x:v>Online</x:v>
      </x:c>
      <x:c r="Z700" s="2" t="str">
        <x:v>Synced</x:v>
      </x:c>
      <x:c r="AA700" s="2"/>
      <x:c r="AB700" s="2"/>
      <x:c r="AC700" s="10" t="n">
        <x:f>IF(OR(K700="",Q700=""),"",ROUND((Q700-K700)*1440,2))</x:f>
        <x:v>19</x:v>
      </x:c>
    </x:row>
    <x:row r="701" ht="21" customHeight="1">
      <x:c r="A701" s="2" t="str">
        <x:v>LN00700</x:v>
      </x:c>
      <x:c r="B701" s="2" t="str">
        <x:v>T20261006-3-3</x:v>
      </x:c>
      <x:c r="C701" s="7" t="n">
        <x:v>46301</x:v>
      </x:c>
      <x:c r="D701" s="2" t="str">
        <x:v>BUS003</x:v>
      </x:c>
      <x:c r="E701" s="2" t="str">
        <x:v>ST100</x:v>
      </x:c>
      <x:c r="F701" s="2" t="n">
        <x:v>1</x:v>
      </x:c>
      <x:c r="G701" s="2" t="str">
        <x:v>Senior</x:v>
      </x:c>
      <x:c r="H701" s="2" t="str">
        <x:v>Drop-off</x:v>
      </x:c>
      <x:c r="I701" s="2" t="str">
        <x:v>R3S2</x:v>
      </x:c>
      <x:c r="J701" s="2" t="str">
        <x:v>EV001393</x:v>
      </x:c>
      <x:c r="K701" s="8" t="n">
        <x:v>46301.57322916667</x:v>
      </x:c>
      <x:c r="L701" s="2" t="str">
        <x:v>SCH01</x:v>
      </x:c>
      <x:c r="M701" s="9" t="n">
        <x:v>25.285</x:v>
      </x:c>
      <x:c r="N701" s="9" t="n">
        <x:v>51.51</x:v>
      </x:c>
      <x:c r="O701" s="2" t="str">
        <x:v>Valid</x:v>
      </x:c>
      <x:c r="P701" s="2" t="str">
        <x:v>EV001394</x:v>
      </x:c>
      <x:c r="Q701" s="8" t="n">
        <x:v>46301.59059027778</x:v>
      </x:c>
      <x:c r="R701" s="2" t="str">
        <x:v>R3S2</x:v>
      </x:c>
      <x:c r="S701" s="9" t="n">
        <x:v>25.291000000000004</x:v>
      </x:c>
      <x:c r="T701" s="9" t="n">
        <x:v>51.51</x:v>
      </x:c>
      <x:c r="U701" s="2" t="str">
        <x:v>G100</x:v>
      </x:c>
      <x:c r="V701" s="2" t="str">
        <x:v>Authorized guardian release</x:v>
      </x:c>
      <x:c r="W701" s="2" t="str">
        <x:v>Completed transport</x:v>
      </x:c>
      <x:c r="X701" s="2" t="str">
        <x:v>QR</x:v>
      </x:c>
      <x:c r="Y701" s="2" t="str">
        <x:v>Online</x:v>
      </x:c>
      <x:c r="Z701" s="2" t="str">
        <x:v>Synced</x:v>
      </x:c>
      <x:c r="AA701" s="2"/>
      <x:c r="AB701" s="2"/>
      <x:c r="AC701" s="10" t="n">
        <x:f>IF(OR(K701="",Q701=""),"",ROUND((Q701-K701)*1440,2))</x:f>
        <x:v>25</x:v>
      </x:c>
    </x:row>
    <x:row r="702" ht="21" customHeight="1">
      <x:c r="A702" s="2" t="str">
        <x:v>LN00701</x:v>
      </x:c>
      <x:c r="B702" s="2" t="str">
        <x:v>T20261006-4-3</x:v>
      </x:c>
      <x:c r="C702" s="7" t="n">
        <x:v>46301</x:v>
      </x:c>
      <x:c r="D702" s="2" t="str">
        <x:v>BUS003</x:v>
      </x:c>
      <x:c r="E702" s="2" t="str">
        <x:v>ST101</x:v>
      </x:c>
      <x:c r="F702" s="2" t="n">
        <x:v>2</x:v>
      </x:c>
      <x:c r="G702" s="2" t="str">
        <x:v>Junior</x:v>
      </x:c>
      <x:c r="H702" s="2" t="str">
        <x:v>Drop-off</x:v>
      </x:c>
      <x:c r="I702" s="2" t="str">
        <x:v>R3S3</x:v>
      </x:c>
      <x:c r="J702" s="2" t="str">
        <x:v>EV001395</x:v>
      </x:c>
      <x:c r="K702" s="8" t="n">
        <x:v>46301.60416666667</x:v>
      </x:c>
      <x:c r="L702" s="2" t="str">
        <x:v>SCH01</x:v>
      </x:c>
      <x:c r="M702" s="9" t="n">
        <x:v>25.285</x:v>
      </x:c>
      <x:c r="N702" s="9" t="n">
        <x:v>51.51</x:v>
      </x:c>
      <x:c r="O702" s="2" t="str">
        <x:v>Valid</x:v>
      </x:c>
      <x:c r="P702" s="2" t="str">
        <x:v>EV001396</x:v>
      </x:c>
      <x:c r="Q702" s="8" t="n">
        <x:v>46301.62708333333</x:v>
      </x:c>
      <x:c r="R702" s="2" t="str">
        <x:v>R3S3</x:v>
      </x:c>
      <x:c r="S702" s="9" t="n">
        <x:v>25.293000000000003</x:v>
      </x:c>
      <x:c r="T702" s="9" t="n">
        <x:v>51.513</x:v>
      </x:c>
      <x:c r="U702" s="2" t="str">
        <x:v>G101</x:v>
      </x:c>
      <x:c r="V702" s="2" t="str">
        <x:v>Authorized guardian release</x:v>
      </x:c>
      <x:c r="W702" s="2" t="str">
        <x:v>Completed transport</x:v>
      </x:c>
      <x:c r="X702" s="2" t="str">
        <x:v>QR</x:v>
      </x:c>
      <x:c r="Y702" s="2" t="str">
        <x:v>Online</x:v>
      </x:c>
      <x:c r="Z702" s="2" t="str">
        <x:v>Synced</x:v>
      </x:c>
      <x:c r="AA702" s="2"/>
      <x:c r="AB702" s="2"/>
      <x:c r="AC702" s="10" t="n">
        <x:f>IF(OR(K702="",Q702=""),"",ROUND((Q702-K702)*1440,2))</x:f>
        <x:v>33</x:v>
      </x:c>
    </x:row>
    <x:row r="703" ht="21" customHeight="1">
      <x:c r="A703" s="2" t="str">
        <x:v>LN00702</x:v>
      </x:c>
      <x:c r="B703" s="2" t="str">
        <x:v>T20261006-4-3</x:v>
      </x:c>
      <x:c r="C703" s="7" t="n">
        <x:v>46301</x:v>
      </x:c>
      <x:c r="D703" s="2" t="str">
        <x:v>BUS003</x:v>
      </x:c>
      <x:c r="E703" s="2" t="str">
        <x:v>ST102</x:v>
      </x:c>
      <x:c r="F703" s="2" t="n">
        <x:v>2</x:v>
      </x:c>
      <x:c r="G703" s="2" t="str">
        <x:v>Junior</x:v>
      </x:c>
      <x:c r="H703" s="2" t="str">
        <x:v>Drop-off</x:v>
      </x:c>
      <x:c r="I703" s="2" t="str">
        <x:v>R3S1</x:v>
      </x:c>
      <x:c r="J703" s="2" t="str">
        <x:v>EV001397</x:v>
      </x:c>
      <x:c r="K703" s="8" t="n">
        <x:v>46301.604201388895</x:v>
      </x:c>
      <x:c r="L703" s="2" t="str">
        <x:v>SCH01</x:v>
      </x:c>
      <x:c r="M703" s="9" t="n">
        <x:v>25.285</x:v>
      </x:c>
      <x:c r="N703" s="9" t="n">
        <x:v>51.51</x:v>
      </x:c>
      <x:c r="O703" s="2" t="str">
        <x:v>Valid</x:v>
      </x:c>
      <x:c r="P703" s="2" t="str">
        <x:v>EV001398</x:v>
      </x:c>
      <x:c r="Q703" s="8" t="n">
        <x:v>46301.618784722225</x:v>
      </x:c>
      <x:c r="R703" s="2" t="str">
        <x:v>R3S1</x:v>
      </x:c>
      <x:c r="S703" s="9" t="n">
        <x:v>25.289</x:v>
      </x:c>
      <x:c r="T703" s="9" t="n">
        <x:v>51.507</x:v>
      </x:c>
      <x:c r="U703" s="2" t="str">
        <x:v>G102</x:v>
      </x:c>
      <x:c r="V703" s="2" t="str">
        <x:v>Authorized guardian release</x:v>
      </x:c>
      <x:c r="W703" s="2" t="str">
        <x:v>Completed transport</x:v>
      </x:c>
      <x:c r="X703" s="2" t="str">
        <x:v>QR</x:v>
      </x:c>
      <x:c r="Y703" s="2" t="str">
        <x:v>Online</x:v>
      </x:c>
      <x:c r="Z703" s="2" t="str">
        <x:v>Synced</x:v>
      </x:c>
      <x:c r="AA703" s="2"/>
      <x:c r="AB703" s="2"/>
      <x:c r="AC703" s="10" t="n">
        <x:f>IF(OR(K703="",Q703=""),"",ROUND((Q703-K703)*1440,2))</x:f>
        <x:v>21</x:v>
      </x:c>
    </x:row>
    <x:row r="704" ht="21" customHeight="1">
      <x:c r="A704" s="2" t="str">
        <x:v>LN00703</x:v>
      </x:c>
      <x:c r="B704" s="2" t="str">
        <x:v>T20261006-4-3</x:v>
      </x:c>
      <x:c r="C704" s="7" t="n">
        <x:v>46301</x:v>
      </x:c>
      <x:c r="D704" s="2" t="str">
        <x:v>BUS003</x:v>
      </x:c>
      <x:c r="E704" s="2" t="str">
        <x:v>ST103</x:v>
      </x:c>
      <x:c r="F704" s="2" t="n">
        <x:v>2</x:v>
      </x:c>
      <x:c r="G704" s="2" t="str">
        <x:v>Junior</x:v>
      </x:c>
      <x:c r="H704" s="2" t="str">
        <x:v>Drop-off</x:v>
      </x:c>
      <x:c r="I704" s="2" t="str">
        <x:v>R3S2</x:v>
      </x:c>
      <x:c r="J704" s="2" t="str">
        <x:v>EV001399</x:v>
      </x:c>
      <x:c r="K704" s="8" t="n">
        <x:v>46301.60423611112</x:v>
      </x:c>
      <x:c r="L704" s="2" t="str">
        <x:v>SCH01</x:v>
      </x:c>
      <x:c r="M704" s="9" t="n">
        <x:v>25.285</x:v>
      </x:c>
      <x:c r="N704" s="9" t="n">
        <x:v>51.51</x:v>
      </x:c>
      <x:c r="O704" s="2" t="str">
        <x:v>Valid</x:v>
      </x:c>
      <x:c r="P704" s="2" t="str">
        <x:v>EV001400</x:v>
      </x:c>
      <x:c r="Q704" s="8" t="n">
        <x:v>46301.62298611111</x:v>
      </x:c>
      <x:c r="R704" s="2" t="str">
        <x:v>R3S2</x:v>
      </x:c>
      <x:c r="S704" s="9" t="n">
        <x:v>25.291000000000004</x:v>
      </x:c>
      <x:c r="T704" s="9" t="n">
        <x:v>51.51</x:v>
      </x:c>
      <x:c r="U704" s="2" t="str">
        <x:v>G103</x:v>
      </x:c>
      <x:c r="V704" s="2" t="str">
        <x:v>Authorized guardian release</x:v>
      </x:c>
      <x:c r="W704" s="2" t="str">
        <x:v>Completed transport</x:v>
      </x:c>
      <x:c r="X704" s="2" t="str">
        <x:v>QR</x:v>
      </x:c>
      <x:c r="Y704" s="2" t="str">
        <x:v>Online</x:v>
      </x:c>
      <x:c r="Z704" s="2" t="str">
        <x:v>Synced</x:v>
      </x:c>
      <x:c r="AA704" s="2"/>
      <x:c r="AB704" s="2"/>
      <x:c r="AC704" s="10" t="n">
        <x:f>IF(OR(K704="",Q704=""),"",ROUND((Q704-K704)*1440,2))</x:f>
        <x:v>27</x:v>
      </x:c>
    </x:row>
    <x:row r="705" ht="21" customHeight="1">
      <x:c r="A705" s="2" t="str">
        <x:v>LN00704</x:v>
      </x:c>
      <x:c r="B705" s="2" t="str">
        <x:v>T20261006-4-3</x:v>
      </x:c>
      <x:c r="C705" s="7" t="n">
        <x:v>46301</x:v>
      </x:c>
      <x:c r="D705" s="2" t="str">
        <x:v>BUS003</x:v>
      </x:c>
      <x:c r="E705" s="2" t="str">
        <x:v>ST104</x:v>
      </x:c>
      <x:c r="F705" s="2" t="n">
        <x:v>2</x:v>
      </x:c>
      <x:c r="G705" s="2" t="str">
        <x:v>Junior</x:v>
      </x:c>
      <x:c r="H705" s="2" t="str">
        <x:v>Drop-off</x:v>
      </x:c>
      <x:c r="I705" s="2" t="str">
        <x:v>R3S3</x:v>
      </x:c>
      <x:c r="J705" s="2" t="str">
        <x:v>EV001401</x:v>
      </x:c>
      <x:c r="K705" s="8" t="n">
        <x:v>46301.60427083334</x:v>
      </x:c>
      <x:c r="L705" s="2" t="str">
        <x:v>SCH01</x:v>
      </x:c>
      <x:c r="M705" s="9" t="n">
        <x:v>25.285</x:v>
      </x:c>
      <x:c r="N705" s="9" t="n">
        <x:v>51.51</x:v>
      </x:c>
      <x:c r="O705" s="2" t="str">
        <x:v>Valid</x:v>
      </x:c>
      <x:c r="P705" s="2" t="str">
        <x:v>EV001402</x:v>
      </x:c>
      <x:c r="Q705" s="8" t="n">
        <x:v>46301.6271875</x:v>
      </x:c>
      <x:c r="R705" s="2" t="str">
        <x:v>R3S3</x:v>
      </x:c>
      <x:c r="S705" s="9" t="n">
        <x:v>25.293000000000003</x:v>
      </x:c>
      <x:c r="T705" s="9" t="n">
        <x:v>51.513</x:v>
      </x:c>
      <x:c r="U705" s="2" t="str">
        <x:v>G104</x:v>
      </x:c>
      <x:c r="V705" s="2" t="str">
        <x:v>Authorized guardian release</x:v>
      </x:c>
      <x:c r="W705" s="2" t="str">
        <x:v>Completed transport</x:v>
      </x:c>
      <x:c r="X705" s="2" t="str">
        <x:v>QR</x:v>
      </x:c>
      <x:c r="Y705" s="2" t="str">
        <x:v>Online</x:v>
      </x:c>
      <x:c r="Z705" s="2" t="str">
        <x:v>Synced</x:v>
      </x:c>
      <x:c r="AA705" s="2"/>
      <x:c r="AB705" s="2"/>
      <x:c r="AC705" s="10" t="n">
        <x:f>IF(OR(K705="",Q705=""),"",ROUND((Q705-K705)*1440,2))</x:f>
        <x:v>33</x:v>
      </x:c>
    </x:row>
    <x:row r="706" ht="21" customHeight="1">
      <x:c r="A706" s="2" t="str">
        <x:v>LN00705</x:v>
      </x:c>
      <x:c r="B706" s="2" t="str">
        <x:v>T20261006-4-3</x:v>
      </x:c>
      <x:c r="C706" s="7" t="n">
        <x:v>46301</x:v>
      </x:c>
      <x:c r="D706" s="2" t="str">
        <x:v>BUS003</x:v>
      </x:c>
      <x:c r="E706" s="2" t="str">
        <x:v>ST105</x:v>
      </x:c>
      <x:c r="F706" s="2" t="n">
        <x:v>2</x:v>
      </x:c>
      <x:c r="G706" s="2" t="str">
        <x:v>Junior</x:v>
      </x:c>
      <x:c r="H706" s="2" t="str">
        <x:v>Drop-off</x:v>
      </x:c>
      <x:c r="I706" s="2" t="str">
        <x:v>R3S1</x:v>
      </x:c>
      <x:c r="J706" s="2" t="str">
        <x:v>EV001403</x:v>
      </x:c>
      <x:c r="K706" s="8" t="n">
        <x:v>46301.604305555564</x:v>
      </x:c>
      <x:c r="L706" s="2" t="str">
        <x:v>SCH01</x:v>
      </x:c>
      <x:c r="M706" s="9" t="n">
        <x:v>25.285</x:v>
      </x:c>
      <x:c r="N706" s="9" t="n">
        <x:v>51.51</x:v>
      </x:c>
      <x:c r="O706" s="2" t="str">
        <x:v>Valid</x:v>
      </x:c>
      <x:c r="P706" s="2" t="str">
        <x:v>EV001404</x:v>
      </x:c>
      <x:c r="Q706" s="8" t="n">
        <x:v>46301.618888888894</x:v>
      </x:c>
      <x:c r="R706" s="2" t="str">
        <x:v>R3S1</x:v>
      </x:c>
      <x:c r="S706" s="9" t="n">
        <x:v>25.289</x:v>
      </x:c>
      <x:c r="T706" s="9" t="n">
        <x:v>51.507</x:v>
      </x:c>
      <x:c r="U706" s="2" t="str">
        <x:v>G105</x:v>
      </x:c>
      <x:c r="V706" s="2" t="str">
        <x:v>Authorized guardian release</x:v>
      </x:c>
      <x:c r="W706" s="2" t="str">
        <x:v>Completed transport</x:v>
      </x:c>
      <x:c r="X706" s="2" t="str">
        <x:v>QR</x:v>
      </x:c>
      <x:c r="Y706" s="2" t="str">
        <x:v>Online</x:v>
      </x:c>
      <x:c r="Z706" s="2" t="str">
        <x:v>Synced</x:v>
      </x:c>
      <x:c r="AA706" s="2"/>
      <x:c r="AB706" s="2"/>
      <x:c r="AC706" s="10" t="n">
        <x:f>IF(OR(K706="",Q706=""),"",ROUND((Q706-K706)*1440,2))</x:f>
        <x:v>21</x:v>
      </x:c>
    </x:row>
    <x:row r="707" ht="21" customHeight="1">
      <x:c r="A707" s="2" t="str">
        <x:v>LN00706</x:v>
      </x:c>
      <x:c r="B707" s="2" t="str">
        <x:v>T20261006-4-3</x:v>
      </x:c>
      <x:c r="C707" s="7" t="n">
        <x:v>46301</x:v>
      </x:c>
      <x:c r="D707" s="2" t="str">
        <x:v>BUS003</x:v>
      </x:c>
      <x:c r="E707" s="2" t="str">
        <x:v>ST106</x:v>
      </x:c>
      <x:c r="F707" s="2" t="n">
        <x:v>2</x:v>
      </x:c>
      <x:c r="G707" s="2" t="str">
        <x:v>Junior</x:v>
      </x:c>
      <x:c r="H707" s="2" t="str">
        <x:v>Drop-off</x:v>
      </x:c>
      <x:c r="I707" s="2" t="str">
        <x:v>R3S2</x:v>
      </x:c>
      <x:c r="J707" s="2" t="str">
        <x:v>EV001405</x:v>
      </x:c>
      <x:c r="K707" s="8" t="n">
        <x:v>46301.60434027778</x:v>
      </x:c>
      <x:c r="L707" s="2" t="str">
        <x:v>SCH01</x:v>
      </x:c>
      <x:c r="M707" s="9" t="n">
        <x:v>25.285</x:v>
      </x:c>
      <x:c r="N707" s="9" t="n">
        <x:v>51.51</x:v>
      </x:c>
      <x:c r="O707" s="2" t="str">
        <x:v>Valid</x:v>
      </x:c>
      <x:c r="P707" s="2" t="str">
        <x:v>EV001406</x:v>
      </x:c>
      <x:c r="Q707" s="8" t="n">
        <x:v>46301.623090277775</x:v>
      </x:c>
      <x:c r="R707" s="2" t="str">
        <x:v>R3S2</x:v>
      </x:c>
      <x:c r="S707" s="9" t="n">
        <x:v>25.291000000000004</x:v>
      </x:c>
      <x:c r="T707" s="9" t="n">
        <x:v>51.51</x:v>
      </x:c>
      <x:c r="U707" s="2" t="str">
        <x:v>G106</x:v>
      </x:c>
      <x:c r="V707" s="2" t="str">
        <x:v>Authorized guardian release</x:v>
      </x:c>
      <x:c r="W707" s="2" t="str">
        <x:v>Completed transport</x:v>
      </x:c>
      <x:c r="X707" s="2" t="str">
        <x:v>QR</x:v>
      </x:c>
      <x:c r="Y707" s="2" t="str">
        <x:v>Online</x:v>
      </x:c>
      <x:c r="Z707" s="2" t="str">
        <x:v>Synced</x:v>
      </x:c>
      <x:c r="AA707" s="2"/>
      <x:c r="AB707" s="2"/>
      <x:c r="AC707" s="10" t="n">
        <x:f>IF(OR(K707="",Q707=""),"",ROUND((Q707-K707)*1440,2))</x:f>
        <x:v>27</x:v>
      </x:c>
    </x:row>
    <x:row r="708" ht="21" customHeight="1">
      <x:c r="A708" s="2" t="str">
        <x:v>LN00707</x:v>
      </x:c>
      <x:c r="B708" s="2" t="str">
        <x:v>T20261006-4-3</x:v>
      </x:c>
      <x:c r="C708" s="7" t="n">
        <x:v>46301</x:v>
      </x:c>
      <x:c r="D708" s="2" t="str">
        <x:v>BUS003</x:v>
      </x:c>
      <x:c r="E708" s="2" t="str">
        <x:v>ST107</x:v>
      </x:c>
      <x:c r="F708" s="2" t="n">
        <x:v>2</x:v>
      </x:c>
      <x:c r="G708" s="2" t="str">
        <x:v>Junior</x:v>
      </x:c>
      <x:c r="H708" s="2" t="str">
        <x:v>Drop-off</x:v>
      </x:c>
      <x:c r="I708" s="2" t="str">
        <x:v>R3S3</x:v>
      </x:c>
      <x:c r="J708" s="2" t="str">
        <x:v>EV001407</x:v>
      </x:c>
      <x:c r="K708" s="8" t="n">
        <x:v>46301.604375</x:v>
      </x:c>
      <x:c r="L708" s="2" t="str">
        <x:v>SCH01</x:v>
      </x:c>
      <x:c r="M708" s="9" t="n">
        <x:v>25.285</x:v>
      </x:c>
      <x:c r="N708" s="9" t="n">
        <x:v>51.51</x:v>
      </x:c>
      <x:c r="O708" s="2" t="str">
        <x:v>Valid</x:v>
      </x:c>
      <x:c r="P708" s="2" t="str">
        <x:v>EV001408</x:v>
      </x:c>
      <x:c r="Q708" s="8" t="n">
        <x:v>46301.627291666664</x:v>
      </x:c>
      <x:c r="R708" s="2" t="str">
        <x:v>R3S3</x:v>
      </x:c>
      <x:c r="S708" s="9" t="n">
        <x:v>25.293000000000003</x:v>
      </x:c>
      <x:c r="T708" s="9" t="n">
        <x:v>51.513</x:v>
      </x:c>
      <x:c r="U708" s="2" t="str">
        <x:v>G107</x:v>
      </x:c>
      <x:c r="V708" s="2" t="str">
        <x:v>Authorized guardian release</x:v>
      </x:c>
      <x:c r="W708" s="2" t="str">
        <x:v>Completed transport</x:v>
      </x:c>
      <x:c r="X708" s="2" t="str">
        <x:v>QR</x:v>
      </x:c>
      <x:c r="Y708" s="2" t="str">
        <x:v>Online</x:v>
      </x:c>
      <x:c r="Z708" s="2" t="str">
        <x:v>Synced</x:v>
      </x:c>
      <x:c r="AA708" s="2"/>
      <x:c r="AB708" s="2"/>
      <x:c r="AC708" s="10" t="n">
        <x:f>IF(OR(K708="",Q708=""),"",ROUND((Q708-K708)*1440,2))</x:f>
        <x:v>33</x:v>
      </x:c>
    </x:row>
    <x:row r="709" ht="21" customHeight="1">
      <x:c r="A709" s="2" t="str">
        <x:v>LN00708</x:v>
      </x:c>
      <x:c r="B709" s="2" t="str">
        <x:v>T20261006-4-3</x:v>
      </x:c>
      <x:c r="C709" s="7" t="n">
        <x:v>46301</x:v>
      </x:c>
      <x:c r="D709" s="2" t="str">
        <x:v>BUS003</x:v>
      </x:c>
      <x:c r="E709" s="2" t="str">
        <x:v>ST108</x:v>
      </x:c>
      <x:c r="F709" s="2" t="n">
        <x:v>2</x:v>
      </x:c>
      <x:c r="G709" s="2" t="str">
        <x:v>Junior</x:v>
      </x:c>
      <x:c r="H709" s="2" t="str">
        <x:v>Drop-off</x:v>
      </x:c>
      <x:c r="I709" s="2" t="str">
        <x:v>R3S1</x:v>
      </x:c>
      <x:c r="J709" s="2" t="str">
        <x:v>EV001409</x:v>
      </x:c>
      <x:c r="K709" s="8" t="n">
        <x:v>46301.604409722226</x:v>
      </x:c>
      <x:c r="L709" s="2" t="str">
        <x:v>SCH01</x:v>
      </x:c>
      <x:c r="M709" s="9" t="n">
        <x:v>25.285</x:v>
      </x:c>
      <x:c r="N709" s="9" t="n">
        <x:v>51.51</x:v>
      </x:c>
      <x:c r="O709" s="2" t="str">
        <x:v>Valid</x:v>
      </x:c>
      <x:c r="P709" s="2" t="str">
        <x:v>EV001410</x:v>
      </x:c>
      <x:c r="Q709" s="8" t="n">
        <x:v>46301.618993055556</x:v>
      </x:c>
      <x:c r="R709" s="2" t="str">
        <x:v>R3S1</x:v>
      </x:c>
      <x:c r="S709" s="9" t="n">
        <x:v>25.289</x:v>
      </x:c>
      <x:c r="T709" s="9" t="n">
        <x:v>51.507</x:v>
      </x:c>
      <x:c r="U709" s="2" t="str">
        <x:v>G108</x:v>
      </x:c>
      <x:c r="V709" s="2" t="str">
        <x:v>Authorized guardian release</x:v>
      </x:c>
      <x:c r="W709" s="2" t="str">
        <x:v>Completed transport</x:v>
      </x:c>
      <x:c r="X709" s="2" t="str">
        <x:v>QR</x:v>
      </x:c>
      <x:c r="Y709" s="2" t="str">
        <x:v>Online</x:v>
      </x:c>
      <x:c r="Z709" s="2" t="str">
        <x:v>Synced</x:v>
      </x:c>
      <x:c r="AA709" s="2"/>
      <x:c r="AB709" s="2"/>
      <x:c r="AC709" s="10" t="n">
        <x:f>IF(OR(K709="",Q709=""),"",ROUND((Q709-K709)*1440,2))</x:f>
        <x:v>21</x:v>
      </x:c>
    </x:row>
    <x:row r="710" ht="21" customHeight="1">
      <x:c r="A710" s="2" t="str">
        <x:v>LN00709</x:v>
      </x:c>
      <x:c r="B710" s="2" t="str">
        <x:v>T20261006-4-3</x:v>
      </x:c>
      <x:c r="C710" s="7" t="n">
        <x:v>46301</x:v>
      </x:c>
      <x:c r="D710" s="2" t="str">
        <x:v>BUS003</x:v>
      </x:c>
      <x:c r="E710" s="2" t="str">
        <x:v>ST109</x:v>
      </x:c>
      <x:c r="F710" s="2" t="n">
        <x:v>2</x:v>
      </x:c>
      <x:c r="G710" s="2" t="str">
        <x:v>Junior</x:v>
      </x:c>
      <x:c r="H710" s="2" t="str">
        <x:v>Drop-off</x:v>
      </x:c>
      <x:c r="I710" s="2" t="str">
        <x:v>R3S2</x:v>
      </x:c>
      <x:c r="J710" s="2" t="str">
        <x:v>EV001411</x:v>
      </x:c>
      <x:c r="K710" s="8" t="n">
        <x:v>46301.60444444445</x:v>
      </x:c>
      <x:c r="L710" s="2" t="str">
        <x:v>SCH01</x:v>
      </x:c>
      <x:c r="M710" s="9" t="n">
        <x:v>25.285</x:v>
      </x:c>
      <x:c r="N710" s="9" t="n">
        <x:v>51.51</x:v>
      </x:c>
      <x:c r="O710" s="2" t="str">
        <x:v>Valid</x:v>
      </x:c>
      <x:c r="P710" s="2" t="str">
        <x:v>EV001412</x:v>
      </x:c>
      <x:c r="Q710" s="8" t="n">
        <x:v>46301.623194444444</x:v>
      </x:c>
      <x:c r="R710" s="2" t="str">
        <x:v>R3S2</x:v>
      </x:c>
      <x:c r="S710" s="9" t="n">
        <x:v>25.291000000000004</x:v>
      </x:c>
      <x:c r="T710" s="9" t="n">
        <x:v>51.51</x:v>
      </x:c>
      <x:c r="U710" s="2" t="str">
        <x:v>G109</x:v>
      </x:c>
      <x:c r="V710" s="2" t="str">
        <x:v>Authorized guardian release</x:v>
      </x:c>
      <x:c r="W710" s="2" t="str">
        <x:v>Completed transport</x:v>
      </x:c>
      <x:c r="X710" s="2" t="str">
        <x:v>QR</x:v>
      </x:c>
      <x:c r="Y710" s="2" t="str">
        <x:v>Online</x:v>
      </x:c>
      <x:c r="Z710" s="2" t="str">
        <x:v>Synced</x:v>
      </x:c>
      <x:c r="AA710" s="2"/>
      <x:c r="AB710" s="2"/>
      <x:c r="AC710" s="10" t="n">
        <x:f>IF(OR(K710="",Q710=""),"",ROUND((Q710-K710)*1440,2))</x:f>
        <x:v>27</x:v>
      </x:c>
    </x:row>
    <x:row r="711" ht="21" customHeight="1">
      <x:c r="A711" s="2" t="str">
        <x:v>LN00710</x:v>
      </x:c>
      <x:c r="B711" s="2" t="str">
        <x:v>T20261006-4-3</x:v>
      </x:c>
      <x:c r="C711" s="7" t="n">
        <x:v>46301</x:v>
      </x:c>
      <x:c r="D711" s="2" t="str">
        <x:v>BUS003</x:v>
      </x:c>
      <x:c r="E711" s="2" t="str">
        <x:v>ST110</x:v>
      </x:c>
      <x:c r="F711" s="2" t="n">
        <x:v>2</x:v>
      </x:c>
      <x:c r="G711" s="2" t="str">
        <x:v>Junior</x:v>
      </x:c>
      <x:c r="H711" s="2" t="str">
        <x:v>Drop-off</x:v>
      </x:c>
      <x:c r="I711" s="2" t="str">
        <x:v>R3S3</x:v>
      </x:c>
      <x:c r="J711" s="2" t="str">
        <x:v>EV001413</x:v>
      </x:c>
      <x:c r="K711" s="8" t="n">
        <x:v>46301.60447916667</x:v>
      </x:c>
      <x:c r="L711" s="2" t="str">
        <x:v>SCH01</x:v>
      </x:c>
      <x:c r="M711" s="9" t="n">
        <x:v>25.285</x:v>
      </x:c>
      <x:c r="N711" s="9" t="n">
        <x:v>51.51</x:v>
      </x:c>
      <x:c r="O711" s="2" t="str">
        <x:v>Valid</x:v>
      </x:c>
      <x:c r="P711" s="2" t="str">
        <x:v>EV001414</x:v>
      </x:c>
      <x:c r="Q711" s="8" t="n">
        <x:v>46301.62739583333</x:v>
      </x:c>
      <x:c r="R711" s="2" t="str">
        <x:v>R3S3</x:v>
      </x:c>
      <x:c r="S711" s="9" t="n">
        <x:v>25.293000000000003</x:v>
      </x:c>
      <x:c r="T711" s="9" t="n">
        <x:v>51.513</x:v>
      </x:c>
      <x:c r="U711" s="2" t="str">
        <x:v>G110</x:v>
      </x:c>
      <x:c r="V711" s="2" t="str">
        <x:v>Authorized guardian release</x:v>
      </x:c>
      <x:c r="W711" s="2" t="str">
        <x:v>Completed transport</x:v>
      </x:c>
      <x:c r="X711" s="2" t="str">
        <x:v>QR</x:v>
      </x:c>
      <x:c r="Y711" s="2" t="str">
        <x:v>Online</x:v>
      </x:c>
      <x:c r="Z711" s="2" t="str">
        <x:v>Synced</x:v>
      </x:c>
      <x:c r="AA711" s="2"/>
      <x:c r="AB711" s="2"/>
      <x:c r="AC711" s="10" t="n">
        <x:f>IF(OR(K711="",Q711=""),"",ROUND((Q711-K711)*1440,2))</x:f>
        <x:v>33</x:v>
      </x:c>
    </x:row>
    <x:row r="712" ht="21" customHeight="1">
      <x:c r="A712" s="2" t="str">
        <x:v>LN00711</x:v>
      </x:c>
      <x:c r="B712" s="2" t="str">
        <x:v>T20261006-5-3</x:v>
      </x:c>
      <x:c r="C712" s="7" t="n">
        <x:v>46301</x:v>
      </x:c>
      <x:c r="D712" s="2" t="str">
        <x:v>BUS003</x:v>
      </x:c>
      <x:c r="E712" s="2" t="str">
        <x:v>ST111</x:v>
      </x:c>
      <x:c r="F712" s="2" t="n">
        <x:v>2</x:v>
      </x:c>
      <x:c r="G712" s="2" t="str">
        <x:v>Senior</x:v>
      </x:c>
      <x:c r="H712" s="2" t="str">
        <x:v>Drop-off</x:v>
      </x:c>
      <x:c r="I712" s="2" t="str">
        <x:v>R3S1</x:v>
      </x:c>
      <x:c r="J712" s="2" t="str">
        <x:v>EV001415</x:v>
      </x:c>
      <x:c r="K712" s="8" t="n">
        <x:v>46301.70833333333</x:v>
      </x:c>
      <x:c r="L712" s="2" t="str">
        <x:v>SCH01</x:v>
      </x:c>
      <x:c r="M712" s="9" t="n">
        <x:v>25.285</x:v>
      </x:c>
      <x:c r="N712" s="9" t="n">
        <x:v>51.51</x:v>
      </x:c>
      <x:c r="O712" s="2" t="str">
        <x:v>Valid</x:v>
      </x:c>
      <x:c r="P712" s="2" t="str">
        <x:v>EV001416</x:v>
      </x:c>
      <x:c r="Q712" s="8" t="n">
        <x:v>46301.72361111111</x:v>
      </x:c>
      <x:c r="R712" s="2" t="str">
        <x:v>R3S1</x:v>
      </x:c>
      <x:c r="S712" s="9" t="n">
        <x:v>25.289</x:v>
      </x:c>
      <x:c r="T712" s="9" t="n">
        <x:v>51.507</x:v>
      </x:c>
      <x:c r="U712" s="2" t="str">
        <x:v>G111</x:v>
      </x:c>
      <x:c r="V712" s="2" t="str">
        <x:v>Authorized guardian release</x:v>
      </x:c>
      <x:c r="W712" s="2" t="str">
        <x:v>Completed transport</x:v>
      </x:c>
      <x:c r="X712" s="2" t="str">
        <x:v>QR</x:v>
      </x:c>
      <x:c r="Y712" s="2" t="str">
        <x:v>Online</x:v>
      </x:c>
      <x:c r="Z712" s="2" t="str">
        <x:v>Synced</x:v>
      </x:c>
      <x:c r="AA712" s="2"/>
      <x:c r="AB712" s="2"/>
      <x:c r="AC712" s="10" t="n">
        <x:f>IF(OR(K712="",Q712=""),"",ROUND((Q712-K712)*1440,2))</x:f>
        <x:v>22</x:v>
      </x:c>
    </x:row>
    <x:row r="713" ht="21" customHeight="1">
      <x:c r="A713" s="2" t="str">
        <x:v>LN00712</x:v>
      </x:c>
      <x:c r="B713" s="2" t="str">
        <x:v>T20261006-5-3</x:v>
      </x:c>
      <x:c r="C713" s="7" t="n">
        <x:v>46301</x:v>
      </x:c>
      <x:c r="D713" s="2" t="str">
        <x:v>BUS003</x:v>
      </x:c>
      <x:c r="E713" s="2" t="str">
        <x:v>ST112</x:v>
      </x:c>
      <x:c r="F713" s="2" t="n">
        <x:v>2</x:v>
      </x:c>
      <x:c r="G713" s="2" t="str">
        <x:v>Senior</x:v>
      </x:c>
      <x:c r="H713" s="2" t="str">
        <x:v>Drop-off</x:v>
      </x:c>
      <x:c r="I713" s="2" t="str">
        <x:v>R3S2</x:v>
      </x:c>
      <x:c r="J713" s="2" t="str">
        <x:v>EV001417</x:v>
      </x:c>
      <x:c r="K713" s="8" t="n">
        <x:v>46301.70836805555</x:v>
      </x:c>
      <x:c r="L713" s="2" t="str">
        <x:v>SCH01</x:v>
      </x:c>
      <x:c r="M713" s="9" t="n">
        <x:v>25.285</x:v>
      </x:c>
      <x:c r="N713" s="9" t="n">
        <x:v>51.51</x:v>
      </x:c>
      <x:c r="O713" s="2" t="str">
        <x:v>Valid</x:v>
      </x:c>
      <x:c r="P713" s="2" t="str">
        <x:v>EV001418</x:v>
      </x:c>
      <x:c r="Q713" s="8" t="n">
        <x:v>46301.72850694445</x:v>
      </x:c>
      <x:c r="R713" s="2" t="str">
        <x:v>R3S2</x:v>
      </x:c>
      <x:c r="S713" s="9" t="n">
        <x:v>25.291000000000004</x:v>
      </x:c>
      <x:c r="T713" s="9" t="n">
        <x:v>51.51</x:v>
      </x:c>
      <x:c r="U713" s="2" t="str">
        <x:v>G112</x:v>
      </x:c>
      <x:c r="V713" s="2" t="str">
        <x:v>Authorized guardian release</x:v>
      </x:c>
      <x:c r="W713" s="2" t="str">
        <x:v>Completed transport</x:v>
      </x:c>
      <x:c r="X713" s="2" t="str">
        <x:v>QR</x:v>
      </x:c>
      <x:c r="Y713" s="2" t="str">
        <x:v>Online</x:v>
      </x:c>
      <x:c r="Z713" s="2" t="str">
        <x:v>Synced</x:v>
      </x:c>
      <x:c r="AA713" s="2"/>
      <x:c r="AB713" s="2"/>
      <x:c r="AC713" s="10" t="n">
        <x:f>IF(OR(K713="",Q713=""),"",ROUND((Q713-K713)*1440,2))</x:f>
        <x:v>29</x:v>
      </x:c>
    </x:row>
    <x:row r="714" ht="21" customHeight="1">
      <x:c r="A714" s="2" t="str">
        <x:v>LN00713</x:v>
      </x:c>
      <x:c r="B714" s="2" t="str">
        <x:v>T20261006-5-3</x:v>
      </x:c>
      <x:c r="C714" s="7" t="n">
        <x:v>46301</x:v>
      </x:c>
      <x:c r="D714" s="2" t="str">
        <x:v>BUS003</x:v>
      </x:c>
      <x:c r="E714" s="2" t="str">
        <x:v>ST113</x:v>
      </x:c>
      <x:c r="F714" s="2" t="n">
        <x:v>2</x:v>
      </x:c>
      <x:c r="G714" s="2" t="str">
        <x:v>Senior</x:v>
      </x:c>
      <x:c r="H714" s="2" t="str">
        <x:v>Drop-off</x:v>
      </x:c>
      <x:c r="I714" s="2" t="str">
        <x:v>R3S3</x:v>
      </x:c>
      <x:c r="J714" s="2" t="str">
        <x:v>EV001419</x:v>
      </x:c>
      <x:c r="K714" s="8" t="n">
        <x:v>46301.708402777775</x:v>
      </x:c>
      <x:c r="L714" s="2" t="str">
        <x:v>SCH01</x:v>
      </x:c>
      <x:c r="M714" s="9" t="n">
        <x:v>25.285</x:v>
      </x:c>
      <x:c r="N714" s="9" t="n">
        <x:v>51.51</x:v>
      </x:c>
      <x:c r="O714" s="2" t="str">
        <x:v>Valid</x:v>
      </x:c>
      <x:c r="P714" s="2" t="str">
        <x:v>EV001420</x:v>
      </x:c>
      <x:c r="Q714" s="8" t="n">
        <x:v>46301.73340277778</x:v>
      </x:c>
      <x:c r="R714" s="2" t="str">
        <x:v>R3S3</x:v>
      </x:c>
      <x:c r="S714" s="9" t="n">
        <x:v>25.293000000000003</x:v>
      </x:c>
      <x:c r="T714" s="9" t="n">
        <x:v>51.513</x:v>
      </x:c>
      <x:c r="U714" s="2" t="str">
        <x:v>G113</x:v>
      </x:c>
      <x:c r="V714" s="2" t="str">
        <x:v>Authorized guardian release</x:v>
      </x:c>
      <x:c r="W714" s="2" t="str">
        <x:v>Completed transport</x:v>
      </x:c>
      <x:c r="X714" s="2" t="str">
        <x:v>QR</x:v>
      </x:c>
      <x:c r="Y714" s="2" t="str">
        <x:v>Online</x:v>
      </x:c>
      <x:c r="Z714" s="2" t="str">
        <x:v>Synced</x:v>
      </x:c>
      <x:c r="AA714" s="2"/>
      <x:c r="AB714" s="2"/>
      <x:c r="AC714" s="10" t="n">
        <x:f>IF(OR(K714="",Q714=""),"",ROUND((Q714-K714)*1440,2))</x:f>
        <x:v>36</x:v>
      </x:c>
    </x:row>
    <x:row r="715" ht="21" customHeight="1">
      <x:c r="A715" s="2" t="str">
        <x:v>LN00714</x:v>
      </x:c>
      <x:c r="B715" s="2" t="str">
        <x:v>T20261006-5-3</x:v>
      </x:c>
      <x:c r="C715" s="7" t="n">
        <x:v>46301</x:v>
      </x:c>
      <x:c r="D715" s="2" t="str">
        <x:v>BUS003</x:v>
      </x:c>
      <x:c r="E715" s="2" t="str">
        <x:v>ST114</x:v>
      </x:c>
      <x:c r="F715" s="2" t="n">
        <x:v>2</x:v>
      </x:c>
      <x:c r="G715" s="2" t="str">
        <x:v>Senior</x:v>
      </x:c>
      <x:c r="H715" s="2" t="str">
        <x:v>Drop-off</x:v>
      </x:c>
      <x:c r="I715" s="2" t="str">
        <x:v>R3S1</x:v>
      </x:c>
      <x:c r="J715" s="2" t="str">
        <x:v>EV001421</x:v>
      </x:c>
      <x:c r="K715" s="8" t="n">
        <x:v>46301.7084375</x:v>
      </x:c>
      <x:c r="L715" s="2" t="str">
        <x:v>SCH01</x:v>
      </x:c>
      <x:c r="M715" s="9" t="n">
        <x:v>25.285</x:v>
      </x:c>
      <x:c r="N715" s="9" t="n">
        <x:v>51.51</x:v>
      </x:c>
      <x:c r="O715" s="2" t="str">
        <x:v>Valid</x:v>
      </x:c>
      <x:c r="P715" s="2" t="str">
        <x:v>EV001422</x:v>
      </x:c>
      <x:c r="Q715" s="8" t="n">
        <x:v>46301.72371527778</x:v>
      </x:c>
      <x:c r="R715" s="2" t="str">
        <x:v>R3S1</x:v>
      </x:c>
      <x:c r="S715" s="9" t="n">
        <x:v>25.289</x:v>
      </x:c>
      <x:c r="T715" s="9" t="n">
        <x:v>51.507</x:v>
      </x:c>
      <x:c r="U715" s="2" t="str">
        <x:v>G114</x:v>
      </x:c>
      <x:c r="V715" s="2" t="str">
        <x:v>Authorized guardian release</x:v>
      </x:c>
      <x:c r="W715" s="2" t="str">
        <x:v>Completed transport</x:v>
      </x:c>
      <x:c r="X715" s="2" t="str">
        <x:v>QR</x:v>
      </x:c>
      <x:c r="Y715" s="2" t="str">
        <x:v>Online</x:v>
      </x:c>
      <x:c r="Z715" s="2" t="str">
        <x:v>Synced</x:v>
      </x:c>
      <x:c r="AA715" s="2"/>
      <x:c r="AB715" s="2"/>
      <x:c r="AC715" s="10" t="n">
        <x:f>IF(OR(K715="",Q715=""),"",ROUND((Q715-K715)*1440,2))</x:f>
        <x:v>22</x:v>
      </x:c>
    </x:row>
    <x:row r="716" ht="21" customHeight="1">
      <x:c r="A716" s="2" t="str">
        <x:v>LN00715</x:v>
      </x:c>
      <x:c r="B716" s="2" t="str">
        <x:v>T20261006-5-3</x:v>
      </x:c>
      <x:c r="C716" s="7" t="n">
        <x:v>46301</x:v>
      </x:c>
      <x:c r="D716" s="2" t="str">
        <x:v>BUS003</x:v>
      </x:c>
      <x:c r="E716" s="2" t="str">
        <x:v>ST115</x:v>
      </x:c>
      <x:c r="F716" s="2" t="n">
        <x:v>2</x:v>
      </x:c>
      <x:c r="G716" s="2" t="str">
        <x:v>Senior</x:v>
      </x:c>
      <x:c r="H716" s="2" t="str">
        <x:v>Drop-off</x:v>
      </x:c>
      <x:c r="I716" s="2" t="str">
        <x:v>R3S2</x:v>
      </x:c>
      <x:c r="J716" s="2" t="str">
        <x:v>EV001423</x:v>
      </x:c>
      <x:c r="K716" s="8" t="n">
        <x:v>46301.70847222222</x:v>
      </x:c>
      <x:c r="L716" s="2" t="str">
        <x:v>SCH01</x:v>
      </x:c>
      <x:c r="M716" s="9" t="n">
        <x:v>25.285</x:v>
      </x:c>
      <x:c r="N716" s="9" t="n">
        <x:v>51.51</x:v>
      </x:c>
      <x:c r="O716" s="2" t="str">
        <x:v>Valid</x:v>
      </x:c>
      <x:c r="P716" s="2" t="str">
        <x:v>EV001424</x:v>
      </x:c>
      <x:c r="Q716" s="8" t="n">
        <x:v>46301.72861111112</x:v>
      </x:c>
      <x:c r="R716" s="2" t="str">
        <x:v>R3S2</x:v>
      </x:c>
      <x:c r="S716" s="9" t="n">
        <x:v>25.291000000000004</x:v>
      </x:c>
      <x:c r="T716" s="9" t="n">
        <x:v>51.51</x:v>
      </x:c>
      <x:c r="U716" s="2" t="str">
        <x:v>G115</x:v>
      </x:c>
      <x:c r="V716" s="2" t="str">
        <x:v>Authorized guardian release</x:v>
      </x:c>
      <x:c r="W716" s="2" t="str">
        <x:v>Completed transport</x:v>
      </x:c>
      <x:c r="X716" s="2" t="str">
        <x:v>QR</x:v>
      </x:c>
      <x:c r="Y716" s="2" t="str">
        <x:v>Online</x:v>
      </x:c>
      <x:c r="Z716" s="2" t="str">
        <x:v>Synced</x:v>
      </x:c>
      <x:c r="AA716" s="2"/>
      <x:c r="AB716" s="2"/>
      <x:c r="AC716" s="10" t="n">
        <x:f>IF(OR(K716="",Q716=""),"",ROUND((Q716-K716)*1440,2))</x:f>
        <x:v>29</x:v>
      </x:c>
    </x:row>
    <x:row r="717" ht="21" customHeight="1">
      <x:c r="A717" s="2" t="str">
        <x:v>LN00716</x:v>
      </x:c>
      <x:c r="B717" s="2" t="str">
        <x:v>T20261006-5-3</x:v>
      </x:c>
      <x:c r="C717" s="7" t="n">
        <x:v>46301</x:v>
      </x:c>
      <x:c r="D717" s="2" t="str">
        <x:v>BUS003</x:v>
      </x:c>
      <x:c r="E717" s="2" t="str">
        <x:v>ST116</x:v>
      </x:c>
      <x:c r="F717" s="2" t="n">
        <x:v>2</x:v>
      </x:c>
      <x:c r="G717" s="2" t="str">
        <x:v>Senior</x:v>
      </x:c>
      <x:c r="H717" s="2" t="str">
        <x:v>Drop-off</x:v>
      </x:c>
      <x:c r="I717" s="2" t="str">
        <x:v>R3S3</x:v>
      </x:c>
      <x:c r="J717" s="2" t="str">
        <x:v>EV001425</x:v>
      </x:c>
      <x:c r="K717" s="8" t="n">
        <x:v>46301.70850694444</x:v>
      </x:c>
      <x:c r="L717" s="2" t="str">
        <x:v>SCH01</x:v>
      </x:c>
      <x:c r="M717" s="9" t="n">
        <x:v>25.285</x:v>
      </x:c>
      <x:c r="N717" s="9" t="n">
        <x:v>51.51</x:v>
      </x:c>
      <x:c r="O717" s="2" t="str">
        <x:v>Valid</x:v>
      </x:c>
      <x:c r="P717" s="2" t="str">
        <x:v>EV001426</x:v>
      </x:c>
      <x:c r="Q717" s="8" t="n">
        <x:v>46301.733506944445</x:v>
      </x:c>
      <x:c r="R717" s="2" t="str">
        <x:v>R3S3</x:v>
      </x:c>
      <x:c r="S717" s="9" t="n">
        <x:v>25.293000000000003</x:v>
      </x:c>
      <x:c r="T717" s="9" t="n">
        <x:v>51.513</x:v>
      </x:c>
      <x:c r="U717" s="2" t="str">
        <x:v>G116</x:v>
      </x:c>
      <x:c r="V717" s="2" t="str">
        <x:v>Authorized guardian release</x:v>
      </x:c>
      <x:c r="W717" s="2" t="str">
        <x:v>Completed transport</x:v>
      </x:c>
      <x:c r="X717" s="2" t="str">
        <x:v>QR</x:v>
      </x:c>
      <x:c r="Y717" s="2" t="str">
        <x:v>Online</x:v>
      </x:c>
      <x:c r="Z717" s="2" t="str">
        <x:v>Synced</x:v>
      </x:c>
      <x:c r="AA717" s="2"/>
      <x:c r="AB717" s="2"/>
      <x:c r="AC717" s="10" t="n">
        <x:f>IF(OR(K717="",Q717=""),"",ROUND((Q717-K717)*1440,2))</x:f>
        <x:v>36</x:v>
      </x:c>
    </x:row>
    <x:row r="718" ht="21" customHeight="1">
      <x:c r="A718" s="2" t="str">
        <x:v>LN00717</x:v>
      </x:c>
      <x:c r="B718" s="2" t="str">
        <x:v>T20261006-5-3</x:v>
      </x:c>
      <x:c r="C718" s="7" t="n">
        <x:v>46301</x:v>
      </x:c>
      <x:c r="D718" s="2" t="str">
        <x:v>BUS003</x:v>
      </x:c>
      <x:c r="E718" s="2" t="str">
        <x:v>ST117</x:v>
      </x:c>
      <x:c r="F718" s="2" t="n">
        <x:v>2</x:v>
      </x:c>
      <x:c r="G718" s="2" t="str">
        <x:v>Senior</x:v>
      </x:c>
      <x:c r="H718" s="2" t="str">
        <x:v>Drop-off</x:v>
      </x:c>
      <x:c r="I718" s="2" t="str">
        <x:v>R3S1</x:v>
      </x:c>
      <x:c r="J718" s="2" t="str">
        <x:v>EV001427</x:v>
      </x:c>
      <x:c r="K718" s="8" t="n">
        <x:v>46301.70854166666</x:v>
      </x:c>
      <x:c r="L718" s="2" t="str">
        <x:v>SCH01</x:v>
      </x:c>
      <x:c r="M718" s="9" t="n">
        <x:v>25.285</x:v>
      </x:c>
      <x:c r="N718" s="9" t="n">
        <x:v>51.51</x:v>
      </x:c>
      <x:c r="O718" s="2" t="str">
        <x:v>Valid</x:v>
      </x:c>
      <x:c r="P718" s="2" t="str">
        <x:v>EV001428</x:v>
      </x:c>
      <x:c r="Q718" s="8" t="n">
        <x:v>46301.72381944444</x:v>
      </x:c>
      <x:c r="R718" s="2" t="str">
        <x:v>R3S1</x:v>
      </x:c>
      <x:c r="S718" s="9" t="n">
        <x:v>25.289</x:v>
      </x:c>
      <x:c r="T718" s="9" t="n">
        <x:v>51.507</x:v>
      </x:c>
      <x:c r="U718" s="2" t="str">
        <x:v>G117</x:v>
      </x:c>
      <x:c r="V718" s="2" t="str">
        <x:v>Authorized guardian release</x:v>
      </x:c>
      <x:c r="W718" s="2" t="str">
        <x:v>Completed transport</x:v>
      </x:c>
      <x:c r="X718" s="2" t="str">
        <x:v>QR</x:v>
      </x:c>
      <x:c r="Y718" s="2" t="str">
        <x:v>Online</x:v>
      </x:c>
      <x:c r="Z718" s="2" t="str">
        <x:v>Synced</x:v>
      </x:c>
      <x:c r="AA718" s="2"/>
      <x:c r="AB718" s="2"/>
      <x:c r="AC718" s="10" t="n">
        <x:f>IF(OR(K718="",Q718=""),"",ROUND((Q718-K718)*1440,2))</x:f>
        <x:v>22</x:v>
      </x:c>
    </x:row>
    <x:row r="719" ht="21" customHeight="1">
      <x:c r="A719" s="2" t="str">
        <x:v>LN00718</x:v>
      </x:c>
      <x:c r="B719" s="2" t="str">
        <x:v>T20261006-5-3</x:v>
      </x:c>
      <x:c r="C719" s="7" t="n">
        <x:v>46301</x:v>
      </x:c>
      <x:c r="D719" s="2" t="str">
        <x:v>BUS003</x:v>
      </x:c>
      <x:c r="E719" s="2" t="str">
        <x:v>ST118</x:v>
      </x:c>
      <x:c r="F719" s="2" t="n">
        <x:v>2</x:v>
      </x:c>
      <x:c r="G719" s="2" t="str">
        <x:v>Senior</x:v>
      </x:c>
      <x:c r="H719" s="2" t="str">
        <x:v>Drop-off</x:v>
      </x:c>
      <x:c r="I719" s="2" t="str">
        <x:v>R3S2</x:v>
      </x:c>
      <x:c r="J719" s="2" t="str">
        <x:v>EV001429</x:v>
      </x:c>
      <x:c r="K719" s="8" t="n">
        <x:v>46301.70857638888</x:v>
      </x:c>
      <x:c r="L719" s="2" t="str">
        <x:v>SCH01</x:v>
      </x:c>
      <x:c r="M719" s="9" t="n">
        <x:v>25.285</x:v>
      </x:c>
      <x:c r="N719" s="9" t="n">
        <x:v>51.51</x:v>
      </x:c>
      <x:c r="O719" s="2" t="str">
        <x:v>Valid</x:v>
      </x:c>
      <x:c r="P719" s="2" t="str">
        <x:v>EV001430</x:v>
      </x:c>
      <x:c r="Q719" s="8" t="n">
        <x:v>46301.72871527778</x:v>
      </x:c>
      <x:c r="R719" s="2" t="str">
        <x:v>R3S2</x:v>
      </x:c>
      <x:c r="S719" s="9" t="n">
        <x:v>25.291000000000004</x:v>
      </x:c>
      <x:c r="T719" s="9" t="n">
        <x:v>51.51</x:v>
      </x:c>
      <x:c r="U719" s="2" t="str">
        <x:v>G118</x:v>
      </x:c>
      <x:c r="V719" s="2" t="str">
        <x:v>Authorized guardian release</x:v>
      </x:c>
      <x:c r="W719" s="2" t="str">
        <x:v>Completed transport</x:v>
      </x:c>
      <x:c r="X719" s="2" t="str">
        <x:v>QR</x:v>
      </x:c>
      <x:c r="Y719" s="2" t="str">
        <x:v>Online</x:v>
      </x:c>
      <x:c r="Z719" s="2" t="str">
        <x:v>Synced</x:v>
      </x:c>
      <x:c r="AA719" s="2"/>
      <x:c r="AB719" s="2"/>
      <x:c r="AC719" s="10" t="n">
        <x:f>IF(OR(K719="",Q719=""),"",ROUND((Q719-K719)*1440,2))</x:f>
        <x:v>29</x:v>
      </x:c>
    </x:row>
    <x:row r="720" ht="21" customHeight="1">
      <x:c r="A720" s="2" t="str">
        <x:v>LN00719</x:v>
      </x:c>
      <x:c r="B720" s="2" t="str">
        <x:v>T20261006-5-3</x:v>
      </x:c>
      <x:c r="C720" s="7" t="n">
        <x:v>46301</x:v>
      </x:c>
      <x:c r="D720" s="2" t="str">
        <x:v>BUS003</x:v>
      </x:c>
      <x:c r="E720" s="2" t="str">
        <x:v>ST119</x:v>
      </x:c>
      <x:c r="F720" s="2" t="n">
        <x:v>2</x:v>
      </x:c>
      <x:c r="G720" s="2" t="str">
        <x:v>Senior</x:v>
      </x:c>
      <x:c r="H720" s="2" t="str">
        <x:v>Drop-off</x:v>
      </x:c>
      <x:c r="I720" s="2" t="str">
        <x:v>R3S3</x:v>
      </x:c>
      <x:c r="J720" s="2" t="str">
        <x:v>EV001431</x:v>
      </x:c>
      <x:c r="K720" s="8" t="n">
        <x:v>46301.708611111106</x:v>
      </x:c>
      <x:c r="L720" s="2" t="str">
        <x:v>SCH01</x:v>
      </x:c>
      <x:c r="M720" s="9" t="n">
        <x:v>25.285</x:v>
      </x:c>
      <x:c r="N720" s="9" t="n">
        <x:v>51.51</x:v>
      </x:c>
      <x:c r="O720" s="2" t="str">
        <x:v>Valid</x:v>
      </x:c>
      <x:c r="P720" s="2" t="str">
        <x:v>EV001432</x:v>
      </x:c>
      <x:c r="Q720" s="8" t="n">
        <x:v>46301.733611111114</x:v>
      </x:c>
      <x:c r="R720" s="2" t="str">
        <x:v>R3S3</x:v>
      </x:c>
      <x:c r="S720" s="9" t="n">
        <x:v>25.293000000000003</x:v>
      </x:c>
      <x:c r="T720" s="9" t="n">
        <x:v>51.513</x:v>
      </x:c>
      <x:c r="U720" s="2" t="str">
        <x:v>G119</x:v>
      </x:c>
      <x:c r="V720" s="2" t="str">
        <x:v>Authorized guardian release</x:v>
      </x:c>
      <x:c r="W720" s="2" t="str">
        <x:v>Completed transport</x:v>
      </x:c>
      <x:c r="X720" s="2" t="str">
        <x:v>QR</x:v>
      </x:c>
      <x:c r="Y720" s="2" t="str">
        <x:v>Online</x:v>
      </x:c>
      <x:c r="Z720" s="2" t="str">
        <x:v>Synced</x:v>
      </x:c>
      <x:c r="AA720" s="2"/>
      <x:c r="AB720" s="2"/>
      <x:c r="AC720" s="10" t="n">
        <x:f>IF(OR(K720="",Q720=""),"",ROUND((Q720-K720)*1440,2))</x:f>
        <x:v>36</x:v>
      </x:c>
    </x:row>
    <x:row r="721" ht="21" customHeight="1">
      <x:c r="A721" s="2" t="str">
        <x:v>LN00720</x:v>
      </x:c>
      <x:c r="B721" s="2" t="str">
        <x:v>T20261006-5-3</x:v>
      </x:c>
      <x:c r="C721" s="7" t="n">
        <x:v>46301</x:v>
      </x:c>
      <x:c r="D721" s="2" t="str">
        <x:v>BUS003</x:v>
      </x:c>
      <x:c r="E721" s="2" t="str">
        <x:v>ST120</x:v>
      </x:c>
      <x:c r="F721" s="2" t="n">
        <x:v>2</x:v>
      </x:c>
      <x:c r="G721" s="2" t="str">
        <x:v>Senior</x:v>
      </x:c>
      <x:c r="H721" s="2" t="str">
        <x:v>Drop-off</x:v>
      </x:c>
      <x:c r="I721" s="2" t="str">
        <x:v>R3S1</x:v>
      </x:c>
      <x:c r="J721" s="2" t="str">
        <x:v>EV001433</x:v>
      </x:c>
      <x:c r="K721" s="8" t="n">
        <x:v>46301.70864583333</x:v>
      </x:c>
      <x:c r="L721" s="2" t="str">
        <x:v>SCH01</x:v>
      </x:c>
      <x:c r="M721" s="9" t="n">
        <x:v>25.285</x:v>
      </x:c>
      <x:c r="N721" s="9" t="n">
        <x:v>51.51</x:v>
      </x:c>
      <x:c r="O721" s="2" t="str">
        <x:v>Valid</x:v>
      </x:c>
      <x:c r="P721" s="2" t="str">
        <x:v>EV001434</x:v>
      </x:c>
      <x:c r="Q721" s="8" t="n">
        <x:v>46301.72392361111</x:v>
      </x:c>
      <x:c r="R721" s="2" t="str">
        <x:v>R3S1</x:v>
      </x:c>
      <x:c r="S721" s="9" t="n">
        <x:v>25.289</x:v>
      </x:c>
      <x:c r="T721" s="9" t="n">
        <x:v>51.507</x:v>
      </x:c>
      <x:c r="U721" s="2" t="str">
        <x:v>G120</x:v>
      </x:c>
      <x:c r="V721" s="2" t="str">
        <x:v>Authorized guardian release</x:v>
      </x:c>
      <x:c r="W721" s="2" t="str">
        <x:v>Completed transport</x:v>
      </x:c>
      <x:c r="X721" s="2" t="str">
        <x:v>QR</x:v>
      </x:c>
      <x:c r="Y721" s="2" t="str">
        <x:v>Online</x:v>
      </x:c>
      <x:c r="Z721" s="2" t="str">
        <x:v>Synced</x:v>
      </x:c>
      <x:c r="AA721" s="2"/>
      <x:c r="AB721" s="2"/>
      <x:c r="AC721" s="10" t="n">
        <x:f>IF(OR(K721="",Q721=""),"",ROUND((Q721-K721)*1440,2))</x:f>
        <x:v>22</x:v>
      </x:c>
    </x:row>
    <x:row r="722" ht="21" customHeight="1">
      <x:c r="A722" s="2" t="str">
        <x:v>LN00721</x:v>
      </x:c>
      <x:c r="B722" s="2" t="str">
        <x:v>T20261007-1-1</x:v>
      </x:c>
      <x:c r="C722" s="7" t="n">
        <x:v>46302</x:v>
      </x:c>
      <x:c r="D722" s="2" t="str">
        <x:v>BUS001</x:v>
      </x:c>
      <x:c r="E722" s="2" t="str">
        <x:v>ST001</x:v>
      </x:c>
      <x:c r="F722" s="2" t="n">
        <x:v>1</x:v>
      </x:c>
      <x:c r="G722" s="2" t="str">
        <x:v>Junior</x:v>
      </x:c>
      <x:c r="H722" s="2" t="str">
        <x:v>Pickup</x:v>
      </x:c>
      <x:c r="I722" s="2" t="str">
        <x:v>R1S1</x:v>
      </x:c>
      <x:c r="J722" s="2" t="str">
        <x:v>EV001435</x:v>
      </x:c>
      <x:c r="K722" s="8" t="n">
        <x:v>46302.242361111115</x:v>
      </x:c>
      <x:c r="L722" s="2" t="str">
        <x:v>R1S1</x:v>
      </x:c>
      <x:c r="M722" s="9" t="n">
        <x:v>25.271</x:v>
      </x:c>
      <x:c r="N722" s="9" t="n">
        <x:v>51.491</x:v>
      </x:c>
      <x:c r="O722" s="2" t="str">
        <x:v>Valid</x:v>
      </x:c>
      <x:c r="P722" s="2" t="str">
        <x:v>EV001436</x:v>
      </x:c>
      <x:c r="Q722" s="8" t="n">
        <x:v>46302.27638888889</x:v>
      </x:c>
      <x:c r="R722" s="2" t="str">
        <x:v>SCH01</x:v>
      </x:c>
      <x:c r="S722" s="9" t="n">
        <x:v>25.285</x:v>
      </x:c>
      <x:c r="T722" s="9" t="n">
        <x:v>51.51</x:v>
      </x:c>
      <x:c r="U722" s="2" t="str">
        <x:v>SCHOOL_RECEIVER_01</x:v>
      </x:c>
      <x:c r="V722" s="2" t="str">
        <x:v>School staff receipt</x:v>
      </x:c>
      <x:c r="W722" s="2" t="str">
        <x:v>Completed transport</x:v>
      </x:c>
      <x:c r="X722" s="2" t="str">
        <x:v>QR</x:v>
      </x:c>
      <x:c r="Y722" s="2" t="str">
        <x:v>Online</x:v>
      </x:c>
      <x:c r="Z722" s="2" t="str">
        <x:v>Synced</x:v>
      </x:c>
      <x:c r="AA722" s="2"/>
      <x:c r="AB722" s="2"/>
      <x:c r="AC722" s="10" t="n">
        <x:f>IF(OR(K722="",Q722=""),"",ROUND((Q722-K722)*1440,2))</x:f>
        <x:v>49</x:v>
      </x:c>
    </x:row>
    <x:row r="723" ht="21" customHeight="1">
      <x:c r="A723" s="2" t="str">
        <x:v>LN00722</x:v>
      </x:c>
      <x:c r="B723" s="2" t="str">
        <x:v>T20261007-1-1</x:v>
      </x:c>
      <x:c r="C723" s="7" t="n">
        <x:v>46302</x:v>
      </x:c>
      <x:c r="D723" s="2" t="str">
        <x:v>BUS001</x:v>
      </x:c>
      <x:c r="E723" s="2" t="str">
        <x:v>ST002</x:v>
      </x:c>
      <x:c r="F723" s="2" t="n">
        <x:v>1</x:v>
      </x:c>
      <x:c r="G723" s="2" t="str">
        <x:v>Junior</x:v>
      </x:c>
      <x:c r="H723" s="2" t="str">
        <x:v>Pickup</x:v>
      </x:c>
      <x:c r="I723" s="2" t="str">
        <x:v>R1S2</x:v>
      </x:c>
      <x:c r="J723" s="2" t="str">
        <x:v>EV001437</x:v>
      </x:c>
      <x:c r="K723" s="8" t="n">
        <x:v>46302.24725694444</x:v>
      </x:c>
      <x:c r="L723" s="2" t="str">
        <x:v>R1S2</x:v>
      </x:c>
      <x:c r="M723" s="9" t="n">
        <x:v>25.273000000000003</x:v>
      </x:c>
      <x:c r="N723" s="9" t="n">
        <x:v>51.494</x:v>
      </x:c>
      <x:c r="O723" s="2" t="str">
        <x:v>Valid</x:v>
      </x:c>
      <x:c r="P723" s="2" t="str">
        <x:v>EV001438</x:v>
      </x:c>
      <x:c r="Q723" s="8" t="n">
        <x:v>46302.27642361111</x:v>
      </x:c>
      <x:c r="R723" s="2" t="str">
        <x:v>SCH01</x:v>
      </x:c>
      <x:c r="S723" s="9" t="n">
        <x:v>25.285</x:v>
      </x:c>
      <x:c r="T723" s="9" t="n">
        <x:v>51.51</x:v>
      </x:c>
      <x:c r="U723" s="2" t="str">
        <x:v>SCHOOL_RECEIVER_01</x:v>
      </x:c>
      <x:c r="V723" s="2" t="str">
        <x:v>School staff receipt</x:v>
      </x:c>
      <x:c r="W723" s="2" t="str">
        <x:v>Completed transport</x:v>
      </x:c>
      <x:c r="X723" s="2" t="str">
        <x:v>QR</x:v>
      </x:c>
      <x:c r="Y723" s="2" t="str">
        <x:v>Online</x:v>
      </x:c>
      <x:c r="Z723" s="2" t="str">
        <x:v>Synced</x:v>
      </x:c>
      <x:c r="AA723" s="2"/>
      <x:c r="AB723" s="2"/>
      <x:c r="AC723" s="10" t="n">
        <x:f>IF(OR(K723="",Q723=""),"",ROUND((Q723-K723)*1440,2))</x:f>
        <x:v>42</x:v>
      </x:c>
    </x:row>
    <x:row r="724" ht="21" customHeight="1">
      <x:c r="A724" s="2" t="str">
        <x:v>LN00723</x:v>
      </x:c>
      <x:c r="B724" s="2" t="str">
        <x:v>T20261007-1-1</x:v>
      </x:c>
      <x:c r="C724" s="7" t="n">
        <x:v>46302</x:v>
      </x:c>
      <x:c r="D724" s="2" t="str">
        <x:v>BUS001</x:v>
      </x:c>
      <x:c r="E724" s="2" t="str">
        <x:v>ST003</x:v>
      </x:c>
      <x:c r="F724" s="2" t="n">
        <x:v>1</x:v>
      </x:c>
      <x:c r="G724" s="2" t="str">
        <x:v>Junior</x:v>
      </x:c>
      <x:c r="H724" s="2" t="str">
        <x:v>Pickup</x:v>
      </x:c>
      <x:c r="I724" s="2" t="str">
        <x:v>R1S3</x:v>
      </x:c>
      <x:c r="J724" s="2" t="str">
        <x:v>EV001439</x:v>
      </x:c>
      <x:c r="K724" s="8" t="n">
        <x:v>46302.25215277778</x:v>
      </x:c>
      <x:c r="L724" s="2" t="str">
        <x:v>R1S3</x:v>
      </x:c>
      <x:c r="M724" s="9" t="n">
        <x:v>25.275000000000002</x:v>
      </x:c>
      <x:c r="N724" s="9" t="n">
        <x:v>51.497</x:v>
      </x:c>
      <x:c r="O724" s="2" t="str">
        <x:v>Valid</x:v>
      </x:c>
      <x:c r="P724" s="2" t="str">
        <x:v>EV001440</x:v>
      </x:c>
      <x:c r="Q724" s="8" t="n">
        <x:v>46302.276458333334</x:v>
      </x:c>
      <x:c r="R724" s="2" t="str">
        <x:v>SCH01</x:v>
      </x:c>
      <x:c r="S724" s="9" t="n">
        <x:v>25.285</x:v>
      </x:c>
      <x:c r="T724" s="9" t="n">
        <x:v>51.51</x:v>
      </x:c>
      <x:c r="U724" s="2" t="str">
        <x:v>SCHOOL_RECEIVER_01</x:v>
      </x:c>
      <x:c r="V724" s="2" t="str">
        <x:v>School staff receipt</x:v>
      </x:c>
      <x:c r="W724" s="2" t="str">
        <x:v>Completed transport</x:v>
      </x:c>
      <x:c r="X724" s="2" t="str">
        <x:v>QR</x:v>
      </x:c>
      <x:c r="Y724" s="2" t="str">
        <x:v>Online</x:v>
      </x:c>
      <x:c r="Z724" s="2" t="str">
        <x:v>Synced</x:v>
      </x:c>
      <x:c r="AA724" s="2"/>
      <x:c r="AB724" s="2"/>
      <x:c r="AC724" s="10" t="n">
        <x:f>IF(OR(K724="",Q724=""),"",ROUND((Q724-K724)*1440,2))</x:f>
        <x:v>35</x:v>
      </x:c>
    </x:row>
    <x:row r="725" ht="21" customHeight="1">
      <x:c r="A725" s="2" t="str">
        <x:v>LN00724</x:v>
      </x:c>
      <x:c r="B725" s="2" t="str">
        <x:v>T20261007-1-1</x:v>
      </x:c>
      <x:c r="C725" s="7" t="n">
        <x:v>46302</x:v>
      </x:c>
      <x:c r="D725" s="2" t="str">
        <x:v>BUS001</x:v>
      </x:c>
      <x:c r="E725" s="2" t="str">
        <x:v>ST004</x:v>
      </x:c>
      <x:c r="F725" s="2" t="n">
        <x:v>1</x:v>
      </x:c>
      <x:c r="G725" s="2" t="str">
        <x:v>Junior</x:v>
      </x:c>
      <x:c r="H725" s="2" t="str">
        <x:v>Pickup</x:v>
      </x:c>
      <x:c r="I725" s="2" t="str">
        <x:v>R1S1</x:v>
      </x:c>
      <x:c r="J725" s="2" t="str">
        <x:v>EV001441</x:v>
      </x:c>
      <x:c r="K725" s="8" t="n">
        <x:v>46302.242465277785</x:v>
      </x:c>
      <x:c r="L725" s="2" t="str">
        <x:v>R1S1</x:v>
      </x:c>
      <x:c r="M725" s="9" t="n">
        <x:v>25.271</x:v>
      </x:c>
      <x:c r="N725" s="9" t="n">
        <x:v>51.491</x:v>
      </x:c>
      <x:c r="O725" s="2" t="str">
        <x:v>Valid</x:v>
      </x:c>
      <x:c r="P725" s="2" t="str">
        <x:v>EV001442</x:v>
      </x:c>
      <x:c r="Q725" s="8" t="n">
        <x:v>46302.27649305556</x:v>
      </x:c>
      <x:c r="R725" s="2" t="str">
        <x:v>SCH01</x:v>
      </x:c>
      <x:c r="S725" s="9" t="n">
        <x:v>25.285</x:v>
      </x:c>
      <x:c r="T725" s="9" t="n">
        <x:v>51.51</x:v>
      </x:c>
      <x:c r="U725" s="2" t="str">
        <x:v>SCHOOL_RECEIVER_01</x:v>
      </x:c>
      <x:c r="V725" s="2" t="str">
        <x:v>School staff receipt</x:v>
      </x:c>
      <x:c r="W725" s="2" t="str">
        <x:v>Completed transport</x:v>
      </x:c>
      <x:c r="X725" s="2" t="str">
        <x:v>QR</x:v>
      </x:c>
      <x:c r="Y725" s="2" t="str">
        <x:v>Online</x:v>
      </x:c>
      <x:c r="Z725" s="2" t="str">
        <x:v>Synced</x:v>
      </x:c>
      <x:c r="AA725" s="2"/>
      <x:c r="AB725" s="2"/>
      <x:c r="AC725" s="10" t="n">
        <x:f>IF(OR(K725="",Q725=""),"",ROUND((Q725-K725)*1440,2))</x:f>
        <x:v>49</x:v>
      </x:c>
    </x:row>
    <x:row r="726" ht="21" customHeight="1">
      <x:c r="A726" s="2" t="str">
        <x:v>LN00725</x:v>
      </x:c>
      <x:c r="B726" s="2" t="str">
        <x:v>T20261007-1-1</x:v>
      </x:c>
      <x:c r="C726" s="7" t="n">
        <x:v>46302</x:v>
      </x:c>
      <x:c r="D726" s="2" t="str">
        <x:v>BUS001</x:v>
      </x:c>
      <x:c r="E726" s="2" t="str">
        <x:v>ST005</x:v>
      </x:c>
      <x:c r="F726" s="2" t="n">
        <x:v>1</x:v>
      </x:c>
      <x:c r="G726" s="2" t="str">
        <x:v>Junior</x:v>
      </x:c>
      <x:c r="H726" s="2" t="str">
        <x:v>Pickup</x:v>
      </x:c>
      <x:c r="I726" s="2" t="str">
        <x:v>R1S2</x:v>
      </x:c>
      <x:c r="J726" s="2" t="str">
        <x:v>EV001443</x:v>
      </x:c>
      <x:c r="K726" s="8" t="n">
        <x:v>46302.24736111111</x:v>
      </x:c>
      <x:c r="L726" s="2" t="str">
        <x:v>R1S2</x:v>
      </x:c>
      <x:c r="M726" s="9" t="n">
        <x:v>25.273000000000003</x:v>
      </x:c>
      <x:c r="N726" s="9" t="n">
        <x:v>51.494</x:v>
      </x:c>
      <x:c r="O726" s="2" t="str">
        <x:v>Valid</x:v>
      </x:c>
      <x:c r="P726" s="2" t="str">
        <x:v>EV001444</x:v>
      </x:c>
      <x:c r="Q726" s="8" t="n">
        <x:v>46302.27652777778</x:v>
      </x:c>
      <x:c r="R726" s="2" t="str">
        <x:v>SCH01</x:v>
      </x:c>
      <x:c r="S726" s="9" t="n">
        <x:v>25.285</x:v>
      </x:c>
      <x:c r="T726" s="9" t="n">
        <x:v>51.51</x:v>
      </x:c>
      <x:c r="U726" s="2" t="str">
        <x:v>SCHOOL_RECEIVER_01</x:v>
      </x:c>
      <x:c r="V726" s="2" t="str">
        <x:v>School staff receipt</x:v>
      </x:c>
      <x:c r="W726" s="2" t="str">
        <x:v>Completed transport</x:v>
      </x:c>
      <x:c r="X726" s="2" t="str">
        <x:v>QR</x:v>
      </x:c>
      <x:c r="Y726" s="2" t="str">
        <x:v>Online</x:v>
      </x:c>
      <x:c r="Z726" s="2" t="str">
        <x:v>Synced</x:v>
      </x:c>
      <x:c r="AA726" s="2"/>
      <x:c r="AB726" s="2"/>
      <x:c r="AC726" s="10" t="n">
        <x:f>IF(OR(K726="",Q726=""),"",ROUND((Q726-K726)*1440,2))</x:f>
        <x:v>42</x:v>
      </x:c>
    </x:row>
    <x:row r="727" ht="21" customHeight="1">
      <x:c r="A727" s="2" t="str">
        <x:v>LN00726</x:v>
      </x:c>
      <x:c r="B727" s="2" t="str">
        <x:v>T20261007-1-1</x:v>
      </x:c>
      <x:c r="C727" s="7" t="n">
        <x:v>46302</x:v>
      </x:c>
      <x:c r="D727" s="2" t="str">
        <x:v>BUS001</x:v>
      </x:c>
      <x:c r="E727" s="2" t="str">
        <x:v>ST006</x:v>
      </x:c>
      <x:c r="F727" s="2" t="n">
        <x:v>1</x:v>
      </x:c>
      <x:c r="G727" s="2" t="str">
        <x:v>Junior</x:v>
      </x:c>
      <x:c r="H727" s="2" t="str">
        <x:v>Pickup</x:v>
      </x:c>
      <x:c r="I727" s="2" t="str">
        <x:v>R1S3</x:v>
      </x:c>
      <x:c r="J727" s="2" t="str">
        <x:v>EV001445</x:v>
      </x:c>
      <x:c r="K727" s="8" t="n">
        <x:v>46302.25225694444</x:v>
      </x:c>
      <x:c r="L727" s="2" t="str">
        <x:v>R1S3</x:v>
      </x:c>
      <x:c r="M727" s="9" t="n">
        <x:v>25.275000000000002</x:v>
      </x:c>
      <x:c r="N727" s="9" t="n">
        <x:v>51.497</x:v>
      </x:c>
      <x:c r="O727" s="2" t="str">
        <x:v>Valid</x:v>
      </x:c>
      <x:c r="P727" s="2" t="str">
        <x:v>EV001446</x:v>
      </x:c>
      <x:c r="Q727" s="8" t="n">
        <x:v>46302.276562499996</x:v>
      </x:c>
      <x:c r="R727" s="2" t="str">
        <x:v>SCH01</x:v>
      </x:c>
      <x:c r="S727" s="9" t="n">
        <x:v>25.285</x:v>
      </x:c>
      <x:c r="T727" s="9" t="n">
        <x:v>51.51</x:v>
      </x:c>
      <x:c r="U727" s="2" t="str">
        <x:v>SCHOOL_RECEIVER_01</x:v>
      </x:c>
      <x:c r="V727" s="2" t="str">
        <x:v>School staff receipt</x:v>
      </x:c>
      <x:c r="W727" s="2" t="str">
        <x:v>Completed transport</x:v>
      </x:c>
      <x:c r="X727" s="2" t="str">
        <x:v>QR</x:v>
      </x:c>
      <x:c r="Y727" s="2" t="str">
        <x:v>Online</x:v>
      </x:c>
      <x:c r="Z727" s="2" t="str">
        <x:v>Synced</x:v>
      </x:c>
      <x:c r="AA727" s="2"/>
      <x:c r="AB727" s="2"/>
      <x:c r="AC727" s="10" t="n">
        <x:f>IF(OR(K727="",Q727=""),"",ROUND((Q727-K727)*1440,2))</x:f>
        <x:v>35</x:v>
      </x:c>
    </x:row>
    <x:row r="728" ht="21" customHeight="1">
      <x:c r="A728" s="2" t="str">
        <x:v>LN00727</x:v>
      </x:c>
      <x:c r="B728" s="2" t="str">
        <x:v>T20261007-1-1</x:v>
      </x:c>
      <x:c r="C728" s="7" t="n">
        <x:v>46302</x:v>
      </x:c>
      <x:c r="D728" s="2" t="str">
        <x:v>BUS001</x:v>
      </x:c>
      <x:c r="E728" s="2" t="str">
        <x:v>ST007</x:v>
      </x:c>
      <x:c r="F728" s="2" t="n">
        <x:v>1</x:v>
      </x:c>
      <x:c r="G728" s="2" t="str">
        <x:v>Junior</x:v>
      </x:c>
      <x:c r="H728" s="2" t="str">
        <x:v>Pickup</x:v>
      </x:c>
      <x:c r="I728" s="2" t="str">
        <x:v>R1S1</x:v>
      </x:c>
      <x:c r="J728" s="2" t="str">
        <x:v>EV001447</x:v>
      </x:c>
      <x:c r="K728" s="8" t="n">
        <x:v>46302.24256944445</x:v>
      </x:c>
      <x:c r="L728" s="2" t="str">
        <x:v>R1S1</x:v>
      </x:c>
      <x:c r="M728" s="9" t="n">
        <x:v>25.271</x:v>
      </x:c>
      <x:c r="N728" s="9" t="n">
        <x:v>51.491</x:v>
      </x:c>
      <x:c r="O728" s="2" t="str">
        <x:v>Valid</x:v>
      </x:c>
      <x:c r="P728" s="2" t="str">
        <x:v>EV001448</x:v>
      </x:c>
      <x:c r="Q728" s="8" t="n">
        <x:v>46302.27659722222</x:v>
      </x:c>
      <x:c r="R728" s="2" t="str">
        <x:v>SCH01</x:v>
      </x:c>
      <x:c r="S728" s="9" t="n">
        <x:v>25.285</x:v>
      </x:c>
      <x:c r="T728" s="9" t="n">
        <x:v>51.51</x:v>
      </x:c>
      <x:c r="U728" s="2" t="str">
        <x:v>SCHOOL_RECEIVER_01</x:v>
      </x:c>
      <x:c r="V728" s="2" t="str">
        <x:v>School staff receipt</x:v>
      </x:c>
      <x:c r="W728" s="2" t="str">
        <x:v>Completed transport</x:v>
      </x:c>
      <x:c r="X728" s="2" t="str">
        <x:v>QR</x:v>
      </x:c>
      <x:c r="Y728" s="2" t="str">
        <x:v>Online</x:v>
      </x:c>
      <x:c r="Z728" s="2" t="str">
        <x:v>Synced</x:v>
      </x:c>
      <x:c r="AA728" s="2"/>
      <x:c r="AB728" s="2"/>
      <x:c r="AC728" s="10" t="n">
        <x:f>IF(OR(K728="",Q728=""),"",ROUND((Q728-K728)*1440,2))</x:f>
        <x:v>49</x:v>
      </x:c>
    </x:row>
    <x:row r="729" ht="21" customHeight="1">
      <x:c r="A729" s="2" t="str">
        <x:v>LN00728</x:v>
      </x:c>
      <x:c r="B729" s="2" t="str">
        <x:v>T20261007-1-1</x:v>
      </x:c>
      <x:c r="C729" s="7" t="n">
        <x:v>46302</x:v>
      </x:c>
      <x:c r="D729" s="2" t="str">
        <x:v>BUS001</x:v>
      </x:c>
      <x:c r="E729" s="2" t="str">
        <x:v>ST008</x:v>
      </x:c>
      <x:c r="F729" s="2" t="n">
        <x:v>1</x:v>
      </x:c>
      <x:c r="G729" s="2" t="str">
        <x:v>Junior</x:v>
      </x:c>
      <x:c r="H729" s="2" t="str">
        <x:v>Pickup</x:v>
      </x:c>
      <x:c r="I729" s="2" t="str">
        <x:v>R1S2</x:v>
      </x:c>
      <x:c r="J729" s="2" t="str">
        <x:v>EV001449</x:v>
      </x:c>
      <x:c r="K729" s="8" t="n">
        <x:v>46302.247465277775</x:v>
      </x:c>
      <x:c r="L729" s="2" t="str">
        <x:v>R1S2</x:v>
      </x:c>
      <x:c r="M729" s="9" t="n">
        <x:v>25.273000000000003</x:v>
      </x:c>
      <x:c r="N729" s="9" t="n">
        <x:v>51.494</x:v>
      </x:c>
      <x:c r="O729" s="2" t="str">
        <x:v>Valid</x:v>
      </x:c>
      <x:c r="P729" s="2" t="str">
        <x:v>EV001450</x:v>
      </x:c>
      <x:c r="Q729" s="8" t="n">
        <x:v>46302.27663194444</x:v>
      </x:c>
      <x:c r="R729" s="2" t="str">
        <x:v>SCH01</x:v>
      </x:c>
      <x:c r="S729" s="9" t="n">
        <x:v>25.285</x:v>
      </x:c>
      <x:c r="T729" s="9" t="n">
        <x:v>51.51</x:v>
      </x:c>
      <x:c r="U729" s="2" t="str">
        <x:v>SCHOOL_RECEIVER_01</x:v>
      </x:c>
      <x:c r="V729" s="2" t="str">
        <x:v>School staff receipt</x:v>
      </x:c>
      <x:c r="W729" s="2" t="str">
        <x:v>Completed transport</x:v>
      </x:c>
      <x:c r="X729" s="2" t="str">
        <x:v>QR</x:v>
      </x:c>
      <x:c r="Y729" s="2" t="str">
        <x:v>Online</x:v>
      </x:c>
      <x:c r="Z729" s="2" t="str">
        <x:v>Synced</x:v>
      </x:c>
      <x:c r="AA729" s="2"/>
      <x:c r="AB729" s="2"/>
      <x:c r="AC729" s="10" t="n">
        <x:f>IF(OR(K729="",Q729=""),"",ROUND((Q729-K729)*1440,2))</x:f>
        <x:v>42</x:v>
      </x:c>
    </x:row>
    <x:row r="730" ht="21" customHeight="1">
      <x:c r="A730" s="2" t="str">
        <x:v>LN00729</x:v>
      </x:c>
      <x:c r="B730" s="2" t="str">
        <x:v>T20261007-1-1</x:v>
      </x:c>
      <x:c r="C730" s="7" t="n">
        <x:v>46302</x:v>
      </x:c>
      <x:c r="D730" s="2" t="str">
        <x:v>BUS001</x:v>
      </x:c>
      <x:c r="E730" s="2" t="str">
        <x:v>ST009</x:v>
      </x:c>
      <x:c r="F730" s="2" t="n">
        <x:v>1</x:v>
      </x:c>
      <x:c r="G730" s="2" t="str">
        <x:v>Junior</x:v>
      </x:c>
      <x:c r="H730" s="2" t="str">
        <x:v>Pickup</x:v>
      </x:c>
      <x:c r="I730" s="2" t="str">
        <x:v>R1S3</x:v>
      </x:c>
      <x:c r="J730" s="2" t="str">
        <x:v>EV001451</x:v>
      </x:c>
      <x:c r="K730" s="8" t="n">
        <x:v>46302.25236111111</x:v>
      </x:c>
      <x:c r="L730" s="2" t="str">
        <x:v>R1S3</x:v>
      </x:c>
      <x:c r="M730" s="9" t="n">
        <x:v>25.275000000000002</x:v>
      </x:c>
      <x:c r="N730" s="9" t="n">
        <x:v>51.497</x:v>
      </x:c>
      <x:c r="O730" s="2" t="str">
        <x:v>Valid</x:v>
      </x:c>
      <x:c r="P730" s="2" t="str">
        <x:v>EV001452</x:v>
      </x:c>
      <x:c r="Q730" s="8" t="n">
        <x:v>46302.276666666665</x:v>
      </x:c>
      <x:c r="R730" s="2" t="str">
        <x:v>SCH01</x:v>
      </x:c>
      <x:c r="S730" s="9" t="n">
        <x:v>25.285</x:v>
      </x:c>
      <x:c r="T730" s="9" t="n">
        <x:v>51.51</x:v>
      </x:c>
      <x:c r="U730" s="2" t="str">
        <x:v>SCHOOL_RECEIVER_01</x:v>
      </x:c>
      <x:c r="V730" s="2" t="str">
        <x:v>School staff receipt</x:v>
      </x:c>
      <x:c r="W730" s="2" t="str">
        <x:v>Completed transport</x:v>
      </x:c>
      <x:c r="X730" s="2" t="str">
        <x:v>QR</x:v>
      </x:c>
      <x:c r="Y730" s="2" t="str">
        <x:v>Online</x:v>
      </x:c>
      <x:c r="Z730" s="2" t="str">
        <x:v>Synced</x:v>
      </x:c>
      <x:c r="AA730" s="2"/>
      <x:c r="AB730" s="2"/>
      <x:c r="AC730" s="10" t="n">
        <x:f>IF(OR(K730="",Q730=""),"",ROUND((Q730-K730)*1440,2))</x:f>
        <x:v>35</x:v>
      </x:c>
    </x:row>
    <x:row r="731" ht="21" customHeight="1">
      <x:c r="A731" s="2" t="str">
        <x:v>LN00730</x:v>
      </x:c>
      <x:c r="B731" s="2" t="str">
        <x:v>T20261007-1-1</x:v>
      </x:c>
      <x:c r="C731" s="7" t="n">
        <x:v>46302</x:v>
      </x:c>
      <x:c r="D731" s="2" t="str">
        <x:v>BUS001</x:v>
      </x:c>
      <x:c r="E731" s="2" t="str">
        <x:v>ST010</x:v>
      </x:c>
      <x:c r="F731" s="2" t="n">
        <x:v>1</x:v>
      </x:c>
      <x:c r="G731" s="2" t="str">
        <x:v>Junior</x:v>
      </x:c>
      <x:c r="H731" s="2" t="str">
        <x:v>Pickup</x:v>
      </x:c>
      <x:c r="I731" s="2" t="str">
        <x:v>R1S1</x:v>
      </x:c>
      <x:c r="J731" s="2" t="str">
        <x:v>EV001453</x:v>
      </x:c>
      <x:c r="K731" s="8" t="n">
        <x:v>46302.242673611116</x:v>
      </x:c>
      <x:c r="L731" s="2" t="str">
        <x:v>R1S1</x:v>
      </x:c>
      <x:c r="M731" s="9" t="n">
        <x:v>25.271</x:v>
      </x:c>
      <x:c r="N731" s="9" t="n">
        <x:v>51.491</x:v>
      </x:c>
      <x:c r="O731" s="2" t="str">
        <x:v>Valid</x:v>
      </x:c>
      <x:c r="P731" s="2" t="str">
        <x:v>EV001454</x:v>
      </x:c>
      <x:c r="Q731" s="8" t="n">
        <x:v>46302.27670138889</x:v>
      </x:c>
      <x:c r="R731" s="2" t="str">
        <x:v>SCH01</x:v>
      </x:c>
      <x:c r="S731" s="9" t="n">
        <x:v>25.285</x:v>
      </x:c>
      <x:c r="T731" s="9" t="n">
        <x:v>51.51</x:v>
      </x:c>
      <x:c r="U731" s="2" t="str">
        <x:v>SCHOOL_RECEIVER_01</x:v>
      </x:c>
      <x:c r="V731" s="2" t="str">
        <x:v>School staff receipt</x:v>
      </x:c>
      <x:c r="W731" s="2" t="str">
        <x:v>Completed transport</x:v>
      </x:c>
      <x:c r="X731" s="2" t="str">
        <x:v>QR</x:v>
      </x:c>
      <x:c r="Y731" s="2" t="str">
        <x:v>Online</x:v>
      </x:c>
      <x:c r="Z731" s="2" t="str">
        <x:v>Synced</x:v>
      </x:c>
      <x:c r="AA731" s="2"/>
      <x:c r="AB731" s="2"/>
      <x:c r="AC731" s="10" t="n">
        <x:f>IF(OR(K731="",Q731=""),"",ROUND((Q731-K731)*1440,2))</x:f>
        <x:v>49</x:v>
      </x:c>
    </x:row>
    <x:row r="732" ht="21" customHeight="1">
      <x:c r="A732" s="2" t="str">
        <x:v>LN00731</x:v>
      </x:c>
      <x:c r="B732" s="2" t="str">
        <x:v>T20261007-1-1</x:v>
      </x:c>
      <x:c r="C732" s="7" t="n">
        <x:v>46302</x:v>
      </x:c>
      <x:c r="D732" s="2" t="str">
        <x:v>BUS001</x:v>
      </x:c>
      <x:c r="E732" s="2" t="str">
        <x:v>ST011</x:v>
      </x:c>
      <x:c r="F732" s="2" t="n">
        <x:v>1</x:v>
      </x:c>
      <x:c r="G732" s="2" t="str">
        <x:v>Senior</x:v>
      </x:c>
      <x:c r="H732" s="2" t="str">
        <x:v>Pickup</x:v>
      </x:c>
      <x:c r="I732" s="2" t="str">
        <x:v>R1S2</x:v>
      </x:c>
      <x:c r="J732" s="2" t="str">
        <x:v>EV001455</x:v>
      </x:c>
      <x:c r="K732" s="8" t="n">
        <x:v>46302.24722222222</x:v>
      </x:c>
      <x:c r="L732" s="2" t="str">
        <x:v>R1S2</x:v>
      </x:c>
      <x:c r="M732" s="9" t="n">
        <x:v>25.273000000000003</x:v>
      </x:c>
      <x:c r="N732" s="9" t="n">
        <x:v>51.494</x:v>
      </x:c>
      <x:c r="O732" s="2" t="str">
        <x:v>Valid</x:v>
      </x:c>
      <x:c r="P732" s="2" t="str">
        <x:v>EV001456</x:v>
      </x:c>
      <x:c r="Q732" s="8" t="n">
        <x:v>46302.27673611111</x:v>
      </x:c>
      <x:c r="R732" s="2" t="str">
        <x:v>SCH01</x:v>
      </x:c>
      <x:c r="S732" s="9" t="n">
        <x:v>25.285</x:v>
      </x:c>
      <x:c r="T732" s="9" t="n">
        <x:v>51.51</x:v>
      </x:c>
      <x:c r="U732" s="2" t="str">
        <x:v>SCHOOL_RECEIVER_01</x:v>
      </x:c>
      <x:c r="V732" s="2" t="str">
        <x:v>School staff receipt</x:v>
      </x:c>
      <x:c r="W732" s="2" t="str">
        <x:v>Completed transport</x:v>
      </x:c>
      <x:c r="X732" s="2" t="str">
        <x:v>QR</x:v>
      </x:c>
      <x:c r="Y732" s="2" t="str">
        <x:v>Online</x:v>
      </x:c>
      <x:c r="Z732" s="2" t="str">
        <x:v>Synced</x:v>
      </x:c>
      <x:c r="AA732" s="2"/>
      <x:c r="AB732" s="2"/>
      <x:c r="AC732" s="10" t="n">
        <x:f>IF(OR(K732="",Q732=""),"",ROUND((Q732-K732)*1440,2))</x:f>
        <x:v>42.5</x:v>
      </x:c>
    </x:row>
    <x:row r="733" ht="21" customHeight="1">
      <x:c r="A733" s="2" t="str">
        <x:v>LN00732</x:v>
      </x:c>
      <x:c r="B733" s="2" t="str">
        <x:v>T20261007-1-1</x:v>
      </x:c>
      <x:c r="C733" s="7" t="n">
        <x:v>46302</x:v>
      </x:c>
      <x:c r="D733" s="2" t="str">
        <x:v>BUS001</x:v>
      </x:c>
      <x:c r="E733" s="2" t="str">
        <x:v>ST012</x:v>
      </x:c>
      <x:c r="F733" s="2" t="n">
        <x:v>1</x:v>
      </x:c>
      <x:c r="G733" s="2" t="str">
        <x:v>Senior</x:v>
      </x:c>
      <x:c r="H733" s="2" t="str">
        <x:v>Pickup</x:v>
      </x:c>
      <x:c r="I733" s="2" t="str">
        <x:v>R1S3</x:v>
      </x:c>
      <x:c r="J733" s="2" t="str">
        <x:v>EV001457</x:v>
      </x:c>
      <x:c r="K733" s="8" t="n">
        <x:v>46302.252118055556</x:v>
      </x:c>
      <x:c r="L733" s="2" t="str">
        <x:v>R1S3</x:v>
      </x:c>
      <x:c r="M733" s="9" t="n">
        <x:v>25.275000000000002</x:v>
      </x:c>
      <x:c r="N733" s="9" t="n">
        <x:v>51.497</x:v>
      </x:c>
      <x:c r="O733" s="2" t="str">
        <x:v>Valid</x:v>
      </x:c>
      <x:c r="P733" s="2" t="str">
        <x:v>EV001458</x:v>
      </x:c>
      <x:c r="Q733" s="8" t="n">
        <x:v>46302.276770833334</x:v>
      </x:c>
      <x:c r="R733" s="2" t="str">
        <x:v>SCH01</x:v>
      </x:c>
      <x:c r="S733" s="9" t="n">
        <x:v>25.285</x:v>
      </x:c>
      <x:c r="T733" s="9" t="n">
        <x:v>51.51</x:v>
      </x:c>
      <x:c r="U733" s="2" t="str">
        <x:v>SCHOOL_RECEIVER_01</x:v>
      </x:c>
      <x:c r="V733" s="2" t="str">
        <x:v>School staff receipt</x:v>
      </x:c>
      <x:c r="W733" s="2" t="str">
        <x:v>Completed transport</x:v>
      </x:c>
      <x:c r="X733" s="2" t="str">
        <x:v>QR</x:v>
      </x:c>
      <x:c r="Y733" s="2" t="str">
        <x:v>Online</x:v>
      </x:c>
      <x:c r="Z733" s="2" t="str">
        <x:v>Synced</x:v>
      </x:c>
      <x:c r="AA733" s="2"/>
      <x:c r="AB733" s="2"/>
      <x:c r="AC733" s="10" t="n">
        <x:f>IF(OR(K733="",Q733=""),"",ROUND((Q733-K733)*1440,2))</x:f>
        <x:v>35.5</x:v>
      </x:c>
    </x:row>
    <x:row r="734" ht="21" customHeight="1">
      <x:c r="A734" s="2" t="str">
        <x:v>LN00733</x:v>
      </x:c>
      <x:c r="B734" s="2" t="str">
        <x:v>T20261007-1-1</x:v>
      </x:c>
      <x:c r="C734" s="7" t="n">
        <x:v>46302</x:v>
      </x:c>
      <x:c r="D734" s="2" t="str">
        <x:v>BUS001</x:v>
      </x:c>
      <x:c r="E734" s="2" t="str">
        <x:v>ST013</x:v>
      </x:c>
      <x:c r="F734" s="2" t="n">
        <x:v>1</x:v>
      </x:c>
      <x:c r="G734" s="2" t="str">
        <x:v>Senior</x:v>
      </x:c>
      <x:c r="H734" s="2" t="str">
        <x:v>Pickup</x:v>
      </x:c>
      <x:c r="I734" s="2" t="str">
        <x:v>R1S1</x:v>
      </x:c>
      <x:c r="J734" s="2" t="str">
        <x:v>EV001459</x:v>
      </x:c>
      <x:c r="K734" s="8" t="n">
        <x:v>46302.24243055556</x:v>
      </x:c>
      <x:c r="L734" s="2" t="str">
        <x:v>R1S1</x:v>
      </x:c>
      <x:c r="M734" s="9" t="n">
        <x:v>25.271</x:v>
      </x:c>
      <x:c r="N734" s="9" t="n">
        <x:v>51.491</x:v>
      </x:c>
      <x:c r="O734" s="2" t="str">
        <x:v>Valid</x:v>
      </x:c>
      <x:c r="P734" s="2" t="str">
        <x:v>EV001460</x:v>
      </x:c>
      <x:c r="Q734" s="8" t="n">
        <x:v>46302.27680555556</x:v>
      </x:c>
      <x:c r="R734" s="2" t="str">
        <x:v>SCH01</x:v>
      </x:c>
      <x:c r="S734" s="9" t="n">
        <x:v>25.285</x:v>
      </x:c>
      <x:c r="T734" s="9" t="n">
        <x:v>51.51</x:v>
      </x:c>
      <x:c r="U734" s="2" t="str">
        <x:v>SCHOOL_RECEIVER_01</x:v>
      </x:c>
      <x:c r="V734" s="2" t="str">
        <x:v>School staff receipt</x:v>
      </x:c>
      <x:c r="W734" s="2" t="str">
        <x:v>Completed transport</x:v>
      </x:c>
      <x:c r="X734" s="2" t="str">
        <x:v>QR</x:v>
      </x:c>
      <x:c r="Y734" s="2" t="str">
        <x:v>Online</x:v>
      </x:c>
      <x:c r="Z734" s="2" t="str">
        <x:v>Synced</x:v>
      </x:c>
      <x:c r="AA734" s="2"/>
      <x:c r="AB734" s="2"/>
      <x:c r="AC734" s="10" t="n">
        <x:f>IF(OR(K734="",Q734=""),"",ROUND((Q734-K734)*1440,2))</x:f>
        <x:v>49.5</x:v>
      </x:c>
    </x:row>
    <x:row r="735" ht="21" customHeight="1">
      <x:c r="A735" s="2" t="str">
        <x:v>LN00734</x:v>
      </x:c>
      <x:c r="B735" s="2" t="str">
        <x:v>T20261007-1-1</x:v>
      </x:c>
      <x:c r="C735" s="7" t="n">
        <x:v>46302</x:v>
      </x:c>
      <x:c r="D735" s="2" t="str">
        <x:v>BUS001</x:v>
      </x:c>
      <x:c r="E735" s="2" t="str">
        <x:v>ST014</x:v>
      </x:c>
      <x:c r="F735" s="2" t="n">
        <x:v>1</x:v>
      </x:c>
      <x:c r="G735" s="2" t="str">
        <x:v>Senior</x:v>
      </x:c>
      <x:c r="H735" s="2" t="str">
        <x:v>Pickup</x:v>
      </x:c>
      <x:c r="I735" s="2" t="str">
        <x:v>R1S2</x:v>
      </x:c>
      <x:c r="J735" s="2" t="str">
        <x:v>EV001461</x:v>
      </x:c>
      <x:c r="K735" s="8" t="n">
        <x:v>46302.24732638889</x:v>
      </x:c>
      <x:c r="L735" s="2" t="str">
        <x:v>R1S2</x:v>
      </x:c>
      <x:c r="M735" s="9" t="n">
        <x:v>25.273000000000003</x:v>
      </x:c>
      <x:c r="N735" s="9" t="n">
        <x:v>51.494</x:v>
      </x:c>
      <x:c r="O735" s="2" t="str">
        <x:v>Valid</x:v>
      </x:c>
      <x:c r="P735" s="2" t="str">
        <x:v>EV001462</x:v>
      </x:c>
      <x:c r="Q735" s="8" t="n">
        <x:v>46302.27684027777</x:v>
      </x:c>
      <x:c r="R735" s="2" t="str">
        <x:v>SCH01</x:v>
      </x:c>
      <x:c r="S735" s="9" t="n">
        <x:v>25.285</x:v>
      </x:c>
      <x:c r="T735" s="9" t="n">
        <x:v>51.51</x:v>
      </x:c>
      <x:c r="U735" s="2" t="str">
        <x:v>SCHOOL_RECEIVER_01</x:v>
      </x:c>
      <x:c r="V735" s="2" t="str">
        <x:v>School staff receipt</x:v>
      </x:c>
      <x:c r="W735" s="2" t="str">
        <x:v>Completed transport</x:v>
      </x:c>
      <x:c r="X735" s="2" t="str">
        <x:v>QR</x:v>
      </x:c>
      <x:c r="Y735" s="2" t="str">
        <x:v>Online</x:v>
      </x:c>
      <x:c r="Z735" s="2" t="str">
        <x:v>Synced</x:v>
      </x:c>
      <x:c r="AA735" s="2"/>
      <x:c r="AB735" s="2"/>
      <x:c r="AC735" s="10" t="n">
        <x:f>IF(OR(K735="",Q735=""),"",ROUND((Q735-K735)*1440,2))</x:f>
        <x:v>42.5</x:v>
      </x:c>
    </x:row>
    <x:row r="736" ht="21" customHeight="1">
      <x:c r="A736" s="2" t="str">
        <x:v>LN00735</x:v>
      </x:c>
      <x:c r="B736" s="2" t="str">
        <x:v>T20261007-1-1</x:v>
      </x:c>
      <x:c r="C736" s="7" t="n">
        <x:v>46302</x:v>
      </x:c>
      <x:c r="D736" s="2" t="str">
        <x:v>BUS001</x:v>
      </x:c>
      <x:c r="E736" s="2" t="str">
        <x:v>ST015</x:v>
      </x:c>
      <x:c r="F736" s="2" t="n">
        <x:v>1</x:v>
      </x:c>
      <x:c r="G736" s="2" t="str">
        <x:v>Senior</x:v>
      </x:c>
      <x:c r="H736" s="2" t="str">
        <x:v>Pickup</x:v>
      </x:c>
      <x:c r="I736" s="2" t="str">
        <x:v>R1S3</x:v>
      </x:c>
      <x:c r="J736" s="2" t="str">
        <x:v>EV001463</x:v>
      </x:c>
      <x:c r="K736" s="8" t="n">
        <x:v>46302.252222222225</x:v>
      </x:c>
      <x:c r="L736" s="2" t="str">
        <x:v>R1S3</x:v>
      </x:c>
      <x:c r="M736" s="9" t="n">
        <x:v>25.275000000000002</x:v>
      </x:c>
      <x:c r="N736" s="9" t="n">
        <x:v>51.497</x:v>
      </x:c>
      <x:c r="O736" s="2" t="str">
        <x:v>Valid</x:v>
      </x:c>
      <x:c r="P736" s="2" t="str">
        <x:v>EV001464</x:v>
      </x:c>
      <x:c r="Q736" s="8" t="n">
        <x:v>46302.276874999996</x:v>
      </x:c>
      <x:c r="R736" s="2" t="str">
        <x:v>SCH01</x:v>
      </x:c>
      <x:c r="S736" s="9" t="n">
        <x:v>25.285</x:v>
      </x:c>
      <x:c r="T736" s="9" t="n">
        <x:v>51.51</x:v>
      </x:c>
      <x:c r="U736" s="2" t="str">
        <x:v>SCHOOL_RECEIVER_01</x:v>
      </x:c>
      <x:c r="V736" s="2" t="str">
        <x:v>School staff receipt</x:v>
      </x:c>
      <x:c r="W736" s="2" t="str">
        <x:v>Completed transport</x:v>
      </x:c>
      <x:c r="X736" s="2" t="str">
        <x:v>QR</x:v>
      </x:c>
      <x:c r="Y736" s="2" t="str">
        <x:v>Online</x:v>
      </x:c>
      <x:c r="Z736" s="2" t="str">
        <x:v>Synced</x:v>
      </x:c>
      <x:c r="AA736" s="2"/>
      <x:c r="AB736" s="2"/>
      <x:c r="AC736" s="10" t="n">
        <x:f>IF(OR(K736="",Q736=""),"",ROUND((Q736-K736)*1440,2))</x:f>
        <x:v>35.5</x:v>
      </x:c>
    </x:row>
    <x:row r="737" ht="21" customHeight="1">
      <x:c r="A737" s="2" t="str">
        <x:v>LN00736</x:v>
      </x:c>
      <x:c r="B737" s="2" t="str">
        <x:v>T20261007-1-1</x:v>
      </x:c>
      <x:c r="C737" s="7" t="n">
        <x:v>46302</x:v>
      </x:c>
      <x:c r="D737" s="2" t="str">
        <x:v>BUS001</x:v>
      </x:c>
      <x:c r="E737" s="2" t="str">
        <x:v>ST016</x:v>
      </x:c>
      <x:c r="F737" s="2" t="n">
        <x:v>1</x:v>
      </x:c>
      <x:c r="G737" s="2" t="str">
        <x:v>Senior</x:v>
      </x:c>
      <x:c r="H737" s="2" t="str">
        <x:v>Pickup</x:v>
      </x:c>
      <x:c r="I737" s="2" t="str">
        <x:v>R1S1</x:v>
      </x:c>
      <x:c r="J737" s="2" t="str">
        <x:v>EV001465</x:v>
      </x:c>
      <x:c r="K737" s="8" t="n">
        <x:v>46302.24253472222</x:v>
      </x:c>
      <x:c r="L737" s="2" t="str">
        <x:v>R1S1</x:v>
      </x:c>
      <x:c r="M737" s="9" t="n">
        <x:v>25.271</x:v>
      </x:c>
      <x:c r="N737" s="9" t="n">
        <x:v>51.491</x:v>
      </x:c>
      <x:c r="O737" s="2" t="str">
        <x:v>Valid</x:v>
      </x:c>
      <x:c r="P737" s="2" t="str">
        <x:v>EV001466</x:v>
      </x:c>
      <x:c r="Q737" s="8" t="n">
        <x:v>46302.27690972222</x:v>
      </x:c>
      <x:c r="R737" s="2" t="str">
        <x:v>SCH01</x:v>
      </x:c>
      <x:c r="S737" s="9" t="n">
        <x:v>25.285</x:v>
      </x:c>
      <x:c r="T737" s="9" t="n">
        <x:v>51.51</x:v>
      </x:c>
      <x:c r="U737" s="2" t="str">
        <x:v>SCHOOL_RECEIVER_01</x:v>
      </x:c>
      <x:c r="V737" s="2" t="str">
        <x:v>School staff receipt</x:v>
      </x:c>
      <x:c r="W737" s="2" t="str">
        <x:v>Completed transport</x:v>
      </x:c>
      <x:c r="X737" s="2" t="str">
        <x:v>QR</x:v>
      </x:c>
      <x:c r="Y737" s="2" t="str">
        <x:v>Online</x:v>
      </x:c>
      <x:c r="Z737" s="2" t="str">
        <x:v>Synced</x:v>
      </x:c>
      <x:c r="AA737" s="2"/>
      <x:c r="AB737" s="2"/>
      <x:c r="AC737" s="10" t="n">
        <x:f>IF(OR(K737="",Q737=""),"",ROUND((Q737-K737)*1440,2))</x:f>
        <x:v>49.5</x:v>
      </x:c>
    </x:row>
    <x:row r="738" ht="21" customHeight="1">
      <x:c r="A738" s="2" t="str">
        <x:v>LN00737</x:v>
      </x:c>
      <x:c r="B738" s="2" t="str">
        <x:v>T20261007-1-1</x:v>
      </x:c>
      <x:c r="C738" s="7" t="n">
        <x:v>46302</x:v>
      </x:c>
      <x:c r="D738" s="2" t="str">
        <x:v>BUS001</x:v>
      </x:c>
      <x:c r="E738" s="2" t="str">
        <x:v>ST017</x:v>
      </x:c>
      <x:c r="F738" s="2" t="n">
        <x:v>1</x:v>
      </x:c>
      <x:c r="G738" s="2" t="str">
        <x:v>Senior</x:v>
      </x:c>
      <x:c r="H738" s="2" t="str">
        <x:v>Pickup</x:v>
      </x:c>
      <x:c r="I738" s="2" t="str">
        <x:v>R1S2</x:v>
      </x:c>
      <x:c r="J738" s="2" t="str">
        <x:v>EV001467</x:v>
      </x:c>
      <x:c r="K738" s="8" t="n">
        <x:v>46302.24743055555</x:v>
      </x:c>
      <x:c r="L738" s="2" t="str">
        <x:v>R1S2</x:v>
      </x:c>
      <x:c r="M738" s="9" t="n">
        <x:v>25.273000000000003</x:v>
      </x:c>
      <x:c r="N738" s="9" t="n">
        <x:v>51.494</x:v>
      </x:c>
      <x:c r="O738" s="2" t="str">
        <x:v>Valid</x:v>
      </x:c>
      <x:c r="P738" s="2" t="str">
        <x:v>EV001468</x:v>
      </x:c>
      <x:c r="Q738" s="8" t="n">
        <x:v>46302.27694444444</x:v>
      </x:c>
      <x:c r="R738" s="2" t="str">
        <x:v>SCH01</x:v>
      </x:c>
      <x:c r="S738" s="9" t="n">
        <x:v>25.285</x:v>
      </x:c>
      <x:c r="T738" s="9" t="n">
        <x:v>51.51</x:v>
      </x:c>
      <x:c r="U738" s="2" t="str">
        <x:v>SCHOOL_RECEIVER_01</x:v>
      </x:c>
      <x:c r="V738" s="2" t="str">
        <x:v>School staff receipt</x:v>
      </x:c>
      <x:c r="W738" s="2" t="str">
        <x:v>Completed transport</x:v>
      </x:c>
      <x:c r="X738" s="2" t="str">
        <x:v>QR</x:v>
      </x:c>
      <x:c r="Y738" s="2" t="str">
        <x:v>Online</x:v>
      </x:c>
      <x:c r="Z738" s="2" t="str">
        <x:v>Synced</x:v>
      </x:c>
      <x:c r="AA738" s="2"/>
      <x:c r="AB738" s="2"/>
      <x:c r="AC738" s="10" t="n">
        <x:f>IF(OR(K738="",Q738=""),"",ROUND((Q738-K738)*1440,2))</x:f>
        <x:v>42.5</x:v>
      </x:c>
    </x:row>
    <x:row r="739" ht="21" customHeight="1">
      <x:c r="A739" s="2" t="str">
        <x:v>LN00738</x:v>
      </x:c>
      <x:c r="B739" s="2" t="str">
        <x:v>T20261007-1-1</x:v>
      </x:c>
      <x:c r="C739" s="7" t="n">
        <x:v>46302</x:v>
      </x:c>
      <x:c r="D739" s="2" t="str">
        <x:v>BUS001</x:v>
      </x:c>
      <x:c r="E739" s="2" t="str">
        <x:v>ST018</x:v>
      </x:c>
      <x:c r="F739" s="2" t="n">
        <x:v>1</x:v>
      </x:c>
      <x:c r="G739" s="2" t="str">
        <x:v>Senior</x:v>
      </x:c>
      <x:c r="H739" s="2" t="str">
        <x:v>Pickup</x:v>
      </x:c>
      <x:c r="I739" s="2" t="str">
        <x:v>R1S3</x:v>
      </x:c>
      <x:c r="J739" s="2" t="str">
        <x:v>EV001469</x:v>
      </x:c>
      <x:c r="K739" s="8" t="n">
        <x:v>46302.25232638889</x:v>
      </x:c>
      <x:c r="L739" s="2" t="str">
        <x:v>R1S3</x:v>
      </x:c>
      <x:c r="M739" s="9" t="n">
        <x:v>25.275000000000002</x:v>
      </x:c>
      <x:c r="N739" s="9" t="n">
        <x:v>51.497</x:v>
      </x:c>
      <x:c r="O739" s="2" t="str">
        <x:v>Valid</x:v>
      </x:c>
      <x:c r="P739" s="2" t="str">
        <x:v>EV001470</x:v>
      </x:c>
      <x:c r="Q739" s="8" t="n">
        <x:v>46302.276979166665</x:v>
      </x:c>
      <x:c r="R739" s="2" t="str">
        <x:v>SCH01</x:v>
      </x:c>
      <x:c r="S739" s="9" t="n">
        <x:v>25.285</x:v>
      </x:c>
      <x:c r="T739" s="9" t="n">
        <x:v>51.51</x:v>
      </x:c>
      <x:c r="U739" s="2" t="str">
        <x:v>SCHOOL_RECEIVER_01</x:v>
      </x:c>
      <x:c r="V739" s="2" t="str">
        <x:v>School staff receipt</x:v>
      </x:c>
      <x:c r="W739" s="2" t="str">
        <x:v>Completed transport</x:v>
      </x:c>
      <x:c r="X739" s="2" t="str">
        <x:v>QR</x:v>
      </x:c>
      <x:c r="Y739" s="2" t="str">
        <x:v>Online</x:v>
      </x:c>
      <x:c r="Z739" s="2" t="str">
        <x:v>Synced</x:v>
      </x:c>
      <x:c r="AA739" s="2"/>
      <x:c r="AB739" s="2"/>
      <x:c r="AC739" s="10" t="n">
        <x:f>IF(OR(K739="",Q739=""),"",ROUND((Q739-K739)*1440,2))</x:f>
        <x:v>35.5</x:v>
      </x:c>
    </x:row>
    <x:row r="740" ht="21" customHeight="1">
      <x:c r="A740" s="2" t="str">
        <x:v>LN00739</x:v>
      </x:c>
      <x:c r="B740" s="2" t="str">
        <x:v>T20261007-1-1</x:v>
      </x:c>
      <x:c r="C740" s="7" t="n">
        <x:v>46302</x:v>
      </x:c>
      <x:c r="D740" s="2" t="str">
        <x:v>BUS001</x:v>
      </x:c>
      <x:c r="E740" s="2" t="str">
        <x:v>ST019</x:v>
      </x:c>
      <x:c r="F740" s="2" t="n">
        <x:v>1</x:v>
      </x:c>
      <x:c r="G740" s="2" t="str">
        <x:v>Senior</x:v>
      </x:c>
      <x:c r="H740" s="2" t="str">
        <x:v>Pickup</x:v>
      </x:c>
      <x:c r="I740" s="2" t="str">
        <x:v>R1S1</x:v>
      </x:c>
      <x:c r="J740" s="2" t="str">
        <x:v>EV001471</x:v>
      </x:c>
      <x:c r="K740" s="8" t="n">
        <x:v>46302.24263888889</x:v>
      </x:c>
      <x:c r="L740" s="2" t="str">
        <x:v>R1S1</x:v>
      </x:c>
      <x:c r="M740" s="9" t="n">
        <x:v>25.271</x:v>
      </x:c>
      <x:c r="N740" s="9" t="n">
        <x:v>51.491</x:v>
      </x:c>
      <x:c r="O740" s="2" t="str">
        <x:v>Valid</x:v>
      </x:c>
      <x:c r="P740" s="2" t="str">
        <x:v>EV001472</x:v>
      </x:c>
      <x:c r="Q740" s="8" t="n">
        <x:v>46302.27701388889</x:v>
      </x:c>
      <x:c r="R740" s="2" t="str">
        <x:v>SCH01</x:v>
      </x:c>
      <x:c r="S740" s="9" t="n">
        <x:v>25.285</x:v>
      </x:c>
      <x:c r="T740" s="9" t="n">
        <x:v>51.51</x:v>
      </x:c>
      <x:c r="U740" s="2" t="str">
        <x:v>SCHOOL_RECEIVER_01</x:v>
      </x:c>
      <x:c r="V740" s="2" t="str">
        <x:v>School staff receipt</x:v>
      </x:c>
      <x:c r="W740" s="2" t="str">
        <x:v>Completed transport</x:v>
      </x:c>
      <x:c r="X740" s="2" t="str">
        <x:v>QR</x:v>
      </x:c>
      <x:c r="Y740" s="2" t="str">
        <x:v>Online</x:v>
      </x:c>
      <x:c r="Z740" s="2" t="str">
        <x:v>Synced</x:v>
      </x:c>
      <x:c r="AA740" s="2"/>
      <x:c r="AB740" s="2"/>
      <x:c r="AC740" s="10" t="n">
        <x:f>IF(OR(K740="",Q740=""),"",ROUND((Q740-K740)*1440,2))</x:f>
        <x:v>49.5</x:v>
      </x:c>
    </x:row>
    <x:row r="741" ht="21" customHeight="1">
      <x:c r="A741" s="2" t="str">
        <x:v>LN00740</x:v>
      </x:c>
      <x:c r="B741" s="2" t="str">
        <x:v>T20261007-1-1</x:v>
      </x:c>
      <x:c r="C741" s="7" t="n">
        <x:v>46302</x:v>
      </x:c>
      <x:c r="D741" s="2" t="str">
        <x:v>BUS001</x:v>
      </x:c>
      <x:c r="E741" s="2" t="str">
        <x:v>ST020</x:v>
      </x:c>
      <x:c r="F741" s="2" t="n">
        <x:v>1</x:v>
      </x:c>
      <x:c r="G741" s="2" t="str">
        <x:v>Senior</x:v>
      </x:c>
      <x:c r="H741" s="2" t="str">
        <x:v>Pickup</x:v>
      </x:c>
      <x:c r="I741" s="2" t="str">
        <x:v>R1S2</x:v>
      </x:c>
      <x:c r="J741" s="2" t="str">
        <x:v>EV001473</x:v>
      </x:c>
      <x:c r="K741" s="8" t="n">
        <x:v>46302.24753472222</x:v>
      </x:c>
      <x:c r="L741" s="2" t="str">
        <x:v>R1S2</x:v>
      </x:c>
      <x:c r="M741" s="9" t="n">
        <x:v>25.273000000000003</x:v>
      </x:c>
      <x:c r="N741" s="9" t="n">
        <x:v>51.494</x:v>
      </x:c>
      <x:c r="O741" s="2" t="str">
        <x:v>Valid</x:v>
      </x:c>
      <x:c r="P741" s="2" t="str">
        <x:v>EV001474</x:v>
      </x:c>
      <x:c r="Q741" s="8" t="n">
        <x:v>46302.27704861111</x:v>
      </x:c>
      <x:c r="R741" s="2" t="str">
        <x:v>SCH01</x:v>
      </x:c>
      <x:c r="S741" s="9" t="n">
        <x:v>25.285</x:v>
      </x:c>
      <x:c r="T741" s="9" t="n">
        <x:v>51.51</x:v>
      </x:c>
      <x:c r="U741" s="2" t="str">
        <x:v>SCHOOL_RECEIVER_01</x:v>
      </x:c>
      <x:c r="V741" s="2" t="str">
        <x:v>School staff receipt</x:v>
      </x:c>
      <x:c r="W741" s="2" t="str">
        <x:v>Completed transport</x:v>
      </x:c>
      <x:c r="X741" s="2" t="str">
        <x:v>QR</x:v>
      </x:c>
      <x:c r="Y741" s="2" t="str">
        <x:v>Online</x:v>
      </x:c>
      <x:c r="Z741" s="2" t="str">
        <x:v>Synced</x:v>
      </x:c>
      <x:c r="AA741" s="2"/>
      <x:c r="AB741" s="2"/>
      <x:c r="AC741" s="10" t="n">
        <x:f>IF(OR(K741="",Q741=""),"",ROUND((Q741-K741)*1440,2))</x:f>
        <x:v>42.5</x:v>
      </x:c>
    </x:row>
    <x:row r="742" ht="21" customHeight="1">
      <x:c r="A742" s="2" t="str">
        <x:v>LN00741</x:v>
      </x:c>
      <x:c r="B742" s="2" t="str">
        <x:v>T20261007-2-1</x:v>
      </x:c>
      <x:c r="C742" s="7" t="n">
        <x:v>46302</x:v>
      </x:c>
      <x:c r="D742" s="2" t="str">
        <x:v>BUS001</x:v>
      </x:c>
      <x:c r="E742" s="2" t="str">
        <x:v>ST001</x:v>
      </x:c>
      <x:c r="F742" s="2" t="n">
        <x:v>1</x:v>
      </x:c>
      <x:c r="G742" s="2" t="str">
        <x:v>Junior</x:v>
      </x:c>
      <x:c r="H742" s="2" t="str">
        <x:v>Drop-off</x:v>
      </x:c>
      <x:c r="I742" s="2" t="str">
        <x:v>R1S1</x:v>
      </x:c>
      <x:c r="J742" s="2" t="str">
        <x:v>EV001475</x:v>
      </x:c>
      <x:c r="K742" s="8" t="n">
        <x:v>46302.4375</x:v>
      </x:c>
      <x:c r="L742" s="2" t="str">
        <x:v>SCH01</x:v>
      </x:c>
      <x:c r="M742" s="9" t="n">
        <x:v>25.285</x:v>
      </x:c>
      <x:c r="N742" s="9" t="n">
        <x:v>51.51</x:v>
      </x:c>
      <x:c r="O742" s="2" t="str">
        <x:v>Valid</x:v>
      </x:c>
      <x:c r="P742" s="2" t="str">
        <x:v>EV001476</x:v>
      </x:c>
      <x:c r="Q742" s="8" t="n">
        <x:v>46302.44930555555</x:v>
      </x:c>
      <x:c r="R742" s="2" t="str">
        <x:v>R1S1</x:v>
      </x:c>
      <x:c r="S742" s="9" t="n">
        <x:v>25.271</x:v>
      </x:c>
      <x:c r="T742" s="9" t="n">
        <x:v>51.491</x:v>
      </x:c>
      <x:c r="U742" s="2" t="str">
        <x:v>G001</x:v>
      </x:c>
      <x:c r="V742" s="2" t="str">
        <x:v>Authorized guardian release</x:v>
      </x:c>
      <x:c r="W742" s="2" t="str">
        <x:v>Completed transport</x:v>
      </x:c>
      <x:c r="X742" s="2" t="str">
        <x:v>QR</x:v>
      </x:c>
      <x:c r="Y742" s="2" t="str">
        <x:v>Online</x:v>
      </x:c>
      <x:c r="Z742" s="2" t="str">
        <x:v>Synced</x:v>
      </x:c>
      <x:c r="AA742" s="2"/>
      <x:c r="AB742" s="2"/>
      <x:c r="AC742" s="10" t="n">
        <x:f>IF(OR(K742="",Q742=""),"",ROUND((Q742-K742)*1440,2))</x:f>
        <x:v>17</x:v>
      </x:c>
    </x:row>
    <x:row r="743" ht="21" customHeight="1">
      <x:c r="A743" s="2" t="str">
        <x:v>LN00742</x:v>
      </x:c>
      <x:c r="B743" s="2" t="str">
        <x:v>T20261007-2-1</x:v>
      </x:c>
      <x:c r="C743" s="7" t="n">
        <x:v>46302</x:v>
      </x:c>
      <x:c r="D743" s="2" t="str">
        <x:v>BUS001</x:v>
      </x:c>
      <x:c r="E743" s="2" t="str">
        <x:v>ST002</x:v>
      </x:c>
      <x:c r="F743" s="2" t="n">
        <x:v>1</x:v>
      </x:c>
      <x:c r="G743" s="2" t="str">
        <x:v>Junior</x:v>
      </x:c>
      <x:c r="H743" s="2" t="str">
        <x:v>Drop-off</x:v>
      </x:c>
      <x:c r="I743" s="2" t="str">
        <x:v>R1S2</x:v>
      </x:c>
      <x:c r="J743" s="2" t="str">
        <x:v>EV001477</x:v>
      </x:c>
      <x:c r="K743" s="8" t="n">
        <x:v>46302.43753472222</x:v>
      </x:c>
      <x:c r="L743" s="2" t="str">
        <x:v>SCH01</x:v>
      </x:c>
      <x:c r="M743" s="9" t="n">
        <x:v>25.285</x:v>
      </x:c>
      <x:c r="N743" s="9" t="n">
        <x:v>51.51</x:v>
      </x:c>
      <x:c r="O743" s="2" t="str">
        <x:v>Valid</x:v>
      </x:c>
      <x:c r="P743" s="2" t="str">
        <x:v>EV001478</x:v>
      </x:c>
      <x:c r="Q743" s="8" t="n">
        <x:v>46302.45350694445</x:v>
      </x:c>
      <x:c r="R743" s="2" t="str">
        <x:v>R1S2</x:v>
      </x:c>
      <x:c r="S743" s="9" t="n">
        <x:v>25.273000000000003</x:v>
      </x:c>
      <x:c r="T743" s="9" t="n">
        <x:v>51.494</x:v>
      </x:c>
      <x:c r="U743" s="2" t="str">
        <x:v>G002</x:v>
      </x:c>
      <x:c r="V743" s="2" t="str">
        <x:v>Authorized guardian release</x:v>
      </x:c>
      <x:c r="W743" s="2" t="str">
        <x:v>Completed transport</x:v>
      </x:c>
      <x:c r="X743" s="2" t="str">
        <x:v>QR</x:v>
      </x:c>
      <x:c r="Y743" s="2" t="str">
        <x:v>Online</x:v>
      </x:c>
      <x:c r="Z743" s="2" t="str">
        <x:v>Synced</x:v>
      </x:c>
      <x:c r="AA743" s="2"/>
      <x:c r="AB743" s="2"/>
      <x:c r="AC743" s="10" t="n">
        <x:f>IF(OR(K743="",Q743=""),"",ROUND((Q743-K743)*1440,2))</x:f>
        <x:v>23</x:v>
      </x:c>
    </x:row>
    <x:row r="744" ht="21" customHeight="1">
      <x:c r="A744" s="2" t="str">
        <x:v>LN00743</x:v>
      </x:c>
      <x:c r="B744" s="2" t="str">
        <x:v>T20261007-2-1</x:v>
      </x:c>
      <x:c r="C744" s="7" t="n">
        <x:v>46302</x:v>
      </x:c>
      <x:c r="D744" s="2" t="str">
        <x:v>BUS001</x:v>
      </x:c>
      <x:c r="E744" s="2" t="str">
        <x:v>ST003</x:v>
      </x:c>
      <x:c r="F744" s="2" t="n">
        <x:v>1</x:v>
      </x:c>
      <x:c r="G744" s="2" t="str">
        <x:v>Junior</x:v>
      </x:c>
      <x:c r="H744" s="2" t="str">
        <x:v>Drop-off</x:v>
      </x:c>
      <x:c r="I744" s="2" t="str">
        <x:v>R1S3</x:v>
      </x:c>
      <x:c r="J744" s="2" t="str">
        <x:v>EV001479</x:v>
      </x:c>
      <x:c r="K744" s="8" t="n">
        <x:v>46302.437569444446</x:v>
      </x:c>
      <x:c r="L744" s="2" t="str">
        <x:v>SCH01</x:v>
      </x:c>
      <x:c r="M744" s="9" t="n">
        <x:v>25.285</x:v>
      </x:c>
      <x:c r="N744" s="9" t="n">
        <x:v>51.51</x:v>
      </x:c>
      <x:c r="O744" s="2" t="str">
        <x:v>Valid</x:v>
      </x:c>
      <x:c r="P744" s="2" t="str">
        <x:v>EV001480</x:v>
      </x:c>
      <x:c r="Q744" s="8" t="n">
        <x:v>46302.457708333335</x:v>
      </x:c>
      <x:c r="R744" s="2" t="str">
        <x:v>R1S3</x:v>
      </x:c>
      <x:c r="S744" s="9" t="n">
        <x:v>25.275000000000002</x:v>
      </x:c>
      <x:c r="T744" s="9" t="n">
        <x:v>51.497</x:v>
      </x:c>
      <x:c r="U744" s="2" t="str">
        <x:v>G003</x:v>
      </x:c>
      <x:c r="V744" s="2" t="str">
        <x:v>Authorized guardian release</x:v>
      </x:c>
      <x:c r="W744" s="2" t="str">
        <x:v>Completed transport</x:v>
      </x:c>
      <x:c r="X744" s="2" t="str">
        <x:v>QR</x:v>
      </x:c>
      <x:c r="Y744" s="2" t="str">
        <x:v>Online</x:v>
      </x:c>
      <x:c r="Z744" s="2" t="str">
        <x:v>Synced</x:v>
      </x:c>
      <x:c r="AA744" s="2"/>
      <x:c r="AB744" s="2"/>
      <x:c r="AC744" s="10" t="n">
        <x:f>IF(OR(K744="",Q744=""),"",ROUND((Q744-K744)*1440,2))</x:f>
        <x:v>29</x:v>
      </x:c>
    </x:row>
    <x:row r="745" ht="21" customHeight="1">
      <x:c r="A745" s="2" t="str">
        <x:v>LN00744</x:v>
      </x:c>
      <x:c r="B745" s="2" t="str">
        <x:v>T20261007-2-1</x:v>
      </x:c>
      <x:c r="C745" s="7" t="n">
        <x:v>46302</x:v>
      </x:c>
      <x:c r="D745" s="2" t="str">
        <x:v>BUS001</x:v>
      </x:c>
      <x:c r="E745" s="2" t="str">
        <x:v>ST004</x:v>
      </x:c>
      <x:c r="F745" s="2" t="n">
        <x:v>1</x:v>
      </x:c>
      <x:c r="G745" s="2" t="str">
        <x:v>Junior</x:v>
      </x:c>
      <x:c r="H745" s="2" t="str">
        <x:v>Drop-off</x:v>
      </x:c>
      <x:c r="I745" s="2" t="str">
        <x:v>R1S1</x:v>
      </x:c>
      <x:c r="J745" s="2" t="str">
        <x:v>EV001481</x:v>
      </x:c>
      <x:c r="K745" s="8" t="n">
        <x:v>46302.43760416667</x:v>
      </x:c>
      <x:c r="L745" s="2" t="str">
        <x:v>SCH01</x:v>
      </x:c>
      <x:c r="M745" s="9" t="n">
        <x:v>25.285</x:v>
      </x:c>
      <x:c r="N745" s="9" t="n">
        <x:v>51.51</x:v>
      </x:c>
      <x:c r="O745" s="2" t="str">
        <x:v>Valid</x:v>
      </x:c>
      <x:c r="P745" s="2" t="str">
        <x:v>EV001482</x:v>
      </x:c>
      <x:c r="Q745" s="8" t="n">
        <x:v>46302.44940972222</x:v>
      </x:c>
      <x:c r="R745" s="2" t="str">
        <x:v>R1S1</x:v>
      </x:c>
      <x:c r="S745" s="9" t="n">
        <x:v>25.271</x:v>
      </x:c>
      <x:c r="T745" s="9" t="n">
        <x:v>51.491</x:v>
      </x:c>
      <x:c r="U745" s="2" t="str">
        <x:v>G004</x:v>
      </x:c>
      <x:c r="V745" s="2" t="str">
        <x:v>Authorized guardian release</x:v>
      </x:c>
      <x:c r="W745" s="2" t="str">
        <x:v>Completed transport</x:v>
      </x:c>
      <x:c r="X745" s="2" t="str">
        <x:v>QR</x:v>
      </x:c>
      <x:c r="Y745" s="2" t="str">
        <x:v>Online</x:v>
      </x:c>
      <x:c r="Z745" s="2" t="str">
        <x:v>Synced</x:v>
      </x:c>
      <x:c r="AA745" s="2"/>
      <x:c r="AB745" s="2"/>
      <x:c r="AC745" s="10" t="n">
        <x:f>IF(OR(K745="",Q745=""),"",ROUND((Q745-K745)*1440,2))</x:f>
        <x:v>17</x:v>
      </x:c>
    </x:row>
    <x:row r="746" ht="21" customHeight="1">
      <x:c r="A746" s="2" t="str">
        <x:v>LN00745</x:v>
      </x:c>
      <x:c r="B746" s="2" t="str">
        <x:v>T20261007-2-1</x:v>
      </x:c>
      <x:c r="C746" s="7" t="n">
        <x:v>46302</x:v>
      </x:c>
      <x:c r="D746" s="2" t="str">
        <x:v>BUS001</x:v>
      </x:c>
      <x:c r="E746" s="2" t="str">
        <x:v>ST005</x:v>
      </x:c>
      <x:c r="F746" s="2" t="n">
        <x:v>1</x:v>
      </x:c>
      <x:c r="G746" s="2" t="str">
        <x:v>Junior</x:v>
      </x:c>
      <x:c r="H746" s="2" t="str">
        <x:v>Drop-off</x:v>
      </x:c>
      <x:c r="I746" s="2" t="str">
        <x:v>R1S2</x:v>
      </x:c>
      <x:c r="J746" s="2" t="str">
        <x:v>EV001483</x:v>
      </x:c>
      <x:c r="K746" s="8" t="n">
        <x:v>46302.43763888889</x:v>
      </x:c>
      <x:c r="L746" s="2" t="str">
        <x:v>SCH01</x:v>
      </x:c>
      <x:c r="M746" s="9" t="n">
        <x:v>25.285</x:v>
      </x:c>
      <x:c r="N746" s="9" t="n">
        <x:v>51.51</x:v>
      </x:c>
      <x:c r="O746" s="2" t="str">
        <x:v>Valid</x:v>
      </x:c>
      <x:c r="P746" s="2" t="str">
        <x:v>EV001484</x:v>
      </x:c>
      <x:c r="Q746" s="8" t="n">
        <x:v>46302.453611111116</x:v>
      </x:c>
      <x:c r="R746" s="2" t="str">
        <x:v>R1S2</x:v>
      </x:c>
      <x:c r="S746" s="9" t="n">
        <x:v>25.273000000000003</x:v>
      </x:c>
      <x:c r="T746" s="9" t="n">
        <x:v>51.494</x:v>
      </x:c>
      <x:c r="U746" s="2" t="str">
        <x:v>G005</x:v>
      </x:c>
      <x:c r="V746" s="2" t="str">
        <x:v>Authorized guardian release</x:v>
      </x:c>
      <x:c r="W746" s="2" t="str">
        <x:v>Completed transport</x:v>
      </x:c>
      <x:c r="X746" s="2" t="str">
        <x:v>QR</x:v>
      </x:c>
      <x:c r="Y746" s="2" t="str">
        <x:v>Online</x:v>
      </x:c>
      <x:c r="Z746" s="2" t="str">
        <x:v>Synced</x:v>
      </x:c>
      <x:c r="AA746" s="2"/>
      <x:c r="AB746" s="2"/>
      <x:c r="AC746" s="10" t="n">
        <x:f>IF(OR(K746="",Q746=""),"",ROUND((Q746-K746)*1440,2))</x:f>
        <x:v>23</x:v>
      </x:c>
    </x:row>
    <x:row r="747" ht="21" customHeight="1">
      <x:c r="A747" s="2" t="str">
        <x:v>LN00746</x:v>
      </x:c>
      <x:c r="B747" s="2" t="str">
        <x:v>T20261007-2-1</x:v>
      </x:c>
      <x:c r="C747" s="7" t="n">
        <x:v>46302</x:v>
      </x:c>
      <x:c r="D747" s="2" t="str">
        <x:v>BUS001</x:v>
      </x:c>
      <x:c r="E747" s="2" t="str">
        <x:v>ST006</x:v>
      </x:c>
      <x:c r="F747" s="2" t="n">
        <x:v>1</x:v>
      </x:c>
      <x:c r="G747" s="2" t="str">
        <x:v>Junior</x:v>
      </x:c>
      <x:c r="H747" s="2" t="str">
        <x:v>Drop-off</x:v>
      </x:c>
      <x:c r="I747" s="2" t="str">
        <x:v>R1S3</x:v>
      </x:c>
      <x:c r="J747" s="2" t="str">
        <x:v>EV001485</x:v>
      </x:c>
      <x:c r="K747" s="8" t="n">
        <x:v>46302.43767361111</x:v>
      </x:c>
      <x:c r="L747" s="2" t="str">
        <x:v>SCH01</x:v>
      </x:c>
      <x:c r="M747" s="9" t="n">
        <x:v>25.285</x:v>
      </x:c>
      <x:c r="N747" s="9" t="n">
        <x:v>51.51</x:v>
      </x:c>
      <x:c r="O747" s="2" t="str">
        <x:v>Valid</x:v>
      </x:c>
      <x:c r="P747" s="2" t="str">
        <x:v>EV001486</x:v>
      </x:c>
      <x:c r="Q747" s="8" t="n">
        <x:v>46302.4578125</x:v>
      </x:c>
      <x:c r="R747" s="2" t="str">
        <x:v>R1S3</x:v>
      </x:c>
      <x:c r="S747" s="9" t="n">
        <x:v>25.275000000000002</x:v>
      </x:c>
      <x:c r="T747" s="9" t="n">
        <x:v>51.497</x:v>
      </x:c>
      <x:c r="U747" s="2" t="str">
        <x:v>G006</x:v>
      </x:c>
      <x:c r="V747" s="2" t="str">
        <x:v>Authorized guardian release</x:v>
      </x:c>
      <x:c r="W747" s="2" t="str">
        <x:v>Completed transport</x:v>
      </x:c>
      <x:c r="X747" s="2" t="str">
        <x:v>QR</x:v>
      </x:c>
      <x:c r="Y747" s="2" t="str">
        <x:v>Online</x:v>
      </x:c>
      <x:c r="Z747" s="2" t="str">
        <x:v>Synced</x:v>
      </x:c>
      <x:c r="AA747" s="2"/>
      <x:c r="AB747" s="2"/>
      <x:c r="AC747" s="10" t="n">
        <x:f>IF(OR(K747="",Q747=""),"",ROUND((Q747-K747)*1440,2))</x:f>
        <x:v>29</x:v>
      </x:c>
    </x:row>
    <x:row r="748" ht="21" customHeight="1">
      <x:c r="A748" s="2" t="str">
        <x:v>LN00747</x:v>
      </x:c>
      <x:c r="B748" s="2" t="str">
        <x:v>T20261007-2-1</x:v>
      </x:c>
      <x:c r="C748" s="7" t="n">
        <x:v>46302</x:v>
      </x:c>
      <x:c r="D748" s="2" t="str">
        <x:v>BUS001</x:v>
      </x:c>
      <x:c r="E748" s="2" t="str">
        <x:v>ST007</x:v>
      </x:c>
      <x:c r="F748" s="2" t="n">
        <x:v>1</x:v>
      </x:c>
      <x:c r="G748" s="2" t="str">
        <x:v>Junior</x:v>
      </x:c>
      <x:c r="H748" s="2" t="str">
        <x:v>Drop-off</x:v>
      </x:c>
      <x:c r="I748" s="2" t="str">
        <x:v>R1S1</x:v>
      </x:c>
      <x:c r="J748" s="2" t="str">
        <x:v>EV001487</x:v>
      </x:c>
      <x:c r="K748" s="8" t="n">
        <x:v>46302.43770833333</x:v>
      </x:c>
      <x:c r="L748" s="2" t="str">
        <x:v>SCH01</x:v>
      </x:c>
      <x:c r="M748" s="9" t="n">
        <x:v>25.285</x:v>
      </x:c>
      <x:c r="N748" s="9" t="n">
        <x:v>51.51</x:v>
      </x:c>
      <x:c r="O748" s="2" t="str">
        <x:v>Valid</x:v>
      </x:c>
      <x:c r="P748" s="2" t="str">
        <x:v>EV001488</x:v>
      </x:c>
      <x:c r="Q748" s="8" t="n">
        <x:v>46302.44951388888</x:v>
      </x:c>
      <x:c r="R748" s="2" t="str">
        <x:v>R1S1</x:v>
      </x:c>
      <x:c r="S748" s="9" t="n">
        <x:v>25.271</x:v>
      </x:c>
      <x:c r="T748" s="9" t="n">
        <x:v>51.491</x:v>
      </x:c>
      <x:c r="U748" s="2" t="str">
        <x:v>G007</x:v>
      </x:c>
      <x:c r="V748" s="2" t="str">
        <x:v>Authorized guardian release</x:v>
      </x:c>
      <x:c r="W748" s="2" t="str">
        <x:v>Completed transport</x:v>
      </x:c>
      <x:c r="X748" s="2" t="str">
        <x:v>QR</x:v>
      </x:c>
      <x:c r="Y748" s="2" t="str">
        <x:v>Online</x:v>
      </x:c>
      <x:c r="Z748" s="2" t="str">
        <x:v>Synced</x:v>
      </x:c>
      <x:c r="AA748" s="2"/>
      <x:c r="AB748" s="2"/>
      <x:c r="AC748" s="10" t="n">
        <x:f>IF(OR(K748="",Q748=""),"",ROUND((Q748-K748)*1440,2))</x:f>
        <x:v>17</x:v>
      </x:c>
    </x:row>
    <x:row r="749" ht="21" customHeight="1">
      <x:c r="A749" s="2" t="str">
        <x:v>LN00748</x:v>
      </x:c>
      <x:c r="B749" s="2" t="str">
        <x:v>T20261007-2-1</x:v>
      </x:c>
      <x:c r="C749" s="7" t="n">
        <x:v>46302</x:v>
      </x:c>
      <x:c r="D749" s="2" t="str">
        <x:v>BUS001</x:v>
      </x:c>
      <x:c r="E749" s="2" t="str">
        <x:v>ST008</x:v>
      </x:c>
      <x:c r="F749" s="2" t="n">
        <x:v>1</x:v>
      </x:c>
      <x:c r="G749" s="2" t="str">
        <x:v>Junior</x:v>
      </x:c>
      <x:c r="H749" s="2" t="str">
        <x:v>Drop-off</x:v>
      </x:c>
      <x:c r="I749" s="2" t="str">
        <x:v>R1S2</x:v>
      </x:c>
      <x:c r="J749" s="2" t="str">
        <x:v>EV001489</x:v>
      </x:c>
      <x:c r="K749" s="8" t="n">
        <x:v>46302.437743055554</x:v>
      </x:c>
      <x:c r="L749" s="2" t="str">
        <x:v>SCH01</x:v>
      </x:c>
      <x:c r="M749" s="9" t="n">
        <x:v>25.285</x:v>
      </x:c>
      <x:c r="N749" s="9" t="n">
        <x:v>51.51</x:v>
      </x:c>
      <x:c r="O749" s="2" t="str">
        <x:v>Valid</x:v>
      </x:c>
      <x:c r="P749" s="2" t="str">
        <x:v>EV001490</x:v>
      </x:c>
      <x:c r="Q749" s="8" t="n">
        <x:v>46302.45371527778</x:v>
      </x:c>
      <x:c r="R749" s="2" t="str">
        <x:v>R1S2</x:v>
      </x:c>
      <x:c r="S749" s="9" t="n">
        <x:v>25.273000000000003</x:v>
      </x:c>
      <x:c r="T749" s="9" t="n">
        <x:v>51.494</x:v>
      </x:c>
      <x:c r="U749" s="2" t="str">
        <x:v>G008</x:v>
      </x:c>
      <x:c r="V749" s="2" t="str">
        <x:v>Authorized guardian release</x:v>
      </x:c>
      <x:c r="W749" s="2" t="str">
        <x:v>Completed transport</x:v>
      </x:c>
      <x:c r="X749" s="2" t="str">
        <x:v>QR</x:v>
      </x:c>
      <x:c r="Y749" s="2" t="str">
        <x:v>Online</x:v>
      </x:c>
      <x:c r="Z749" s="2" t="str">
        <x:v>Synced</x:v>
      </x:c>
      <x:c r="AA749" s="2"/>
      <x:c r="AB749" s="2"/>
      <x:c r="AC749" s="10" t="n">
        <x:f>IF(OR(K749="",Q749=""),"",ROUND((Q749-K749)*1440,2))</x:f>
        <x:v>23</x:v>
      </x:c>
    </x:row>
    <x:row r="750" ht="21" customHeight="1">
      <x:c r="A750" s="2" t="str">
        <x:v>LN00749</x:v>
      </x:c>
      <x:c r="B750" s="2" t="str">
        <x:v>T20261007-2-1</x:v>
      </x:c>
      <x:c r="C750" s="7" t="n">
        <x:v>46302</x:v>
      </x:c>
      <x:c r="D750" s="2" t="str">
        <x:v>BUS001</x:v>
      </x:c>
      <x:c r="E750" s="2" t="str">
        <x:v>ST009</x:v>
      </x:c>
      <x:c r="F750" s="2" t="n">
        <x:v>1</x:v>
      </x:c>
      <x:c r="G750" s="2" t="str">
        <x:v>Junior</x:v>
      </x:c>
      <x:c r="H750" s="2" t="str">
        <x:v>Drop-off</x:v>
      </x:c>
      <x:c r="I750" s="2" t="str">
        <x:v>R1S3</x:v>
      </x:c>
      <x:c r="J750" s="2" t="str">
        <x:v>EV001491</x:v>
      </x:c>
      <x:c r="K750" s="8" t="n">
        <x:v>46302.43777777778</x:v>
      </x:c>
      <x:c r="L750" s="2" t="str">
        <x:v>SCH01</x:v>
      </x:c>
      <x:c r="M750" s="9" t="n">
        <x:v>25.285</x:v>
      </x:c>
      <x:c r="N750" s="9" t="n">
        <x:v>51.51</x:v>
      </x:c>
      <x:c r="O750" s="2" t="str">
        <x:v>Valid</x:v>
      </x:c>
      <x:c r="P750" s="2" t="str">
        <x:v>EV001492</x:v>
      </x:c>
      <x:c r="Q750" s="8" t="n">
        <x:v>46302.457916666666</x:v>
      </x:c>
      <x:c r="R750" s="2" t="str">
        <x:v>R1S3</x:v>
      </x:c>
      <x:c r="S750" s="9" t="n">
        <x:v>25.275000000000002</x:v>
      </x:c>
      <x:c r="T750" s="9" t="n">
        <x:v>51.497</x:v>
      </x:c>
      <x:c r="U750" s="2" t="str">
        <x:v>G009</x:v>
      </x:c>
      <x:c r="V750" s="2" t="str">
        <x:v>Authorized guardian release</x:v>
      </x:c>
      <x:c r="W750" s="2" t="str">
        <x:v>Completed transport</x:v>
      </x:c>
      <x:c r="X750" s="2" t="str">
        <x:v>QR</x:v>
      </x:c>
      <x:c r="Y750" s="2" t="str">
        <x:v>Online</x:v>
      </x:c>
      <x:c r="Z750" s="2" t="str">
        <x:v>Synced</x:v>
      </x:c>
      <x:c r="AA750" s="2"/>
      <x:c r="AB750" s="2"/>
      <x:c r="AC750" s="10" t="n">
        <x:f>IF(OR(K750="",Q750=""),"",ROUND((Q750-K750)*1440,2))</x:f>
        <x:v>29</x:v>
      </x:c>
    </x:row>
    <x:row r="751" ht="21" customHeight="1">
      <x:c r="A751" s="2" t="str">
        <x:v>LN00750</x:v>
      </x:c>
      <x:c r="B751" s="2" t="str">
        <x:v>T20261007-2-1</x:v>
      </x:c>
      <x:c r="C751" s="7" t="n">
        <x:v>46302</x:v>
      </x:c>
      <x:c r="D751" s="2" t="str">
        <x:v>BUS001</x:v>
      </x:c>
      <x:c r="E751" s="2" t="str">
        <x:v>ST010</x:v>
      </x:c>
      <x:c r="F751" s="2" t="n">
        <x:v>1</x:v>
      </x:c>
      <x:c r="G751" s="2" t="str">
        <x:v>Junior</x:v>
      </x:c>
      <x:c r="H751" s="2" t="str">
        <x:v>Drop-off</x:v>
      </x:c>
      <x:c r="I751" s="2" t="str">
        <x:v>R1S1</x:v>
      </x:c>
      <x:c r="J751" s="2" t="str">
        <x:v>EV001493</x:v>
      </x:c>
      <x:c r="K751" s="8" t="n">
        <x:v>46302.4378125</x:v>
      </x:c>
      <x:c r="L751" s="2" t="str">
        <x:v>SCH01</x:v>
      </x:c>
      <x:c r="M751" s="9" t="n">
        <x:v>25.285</x:v>
      </x:c>
      <x:c r="N751" s="9" t="n">
        <x:v>51.51</x:v>
      </x:c>
      <x:c r="O751" s="2" t="str">
        <x:v>Valid</x:v>
      </x:c>
      <x:c r="P751" s="2" t="str">
        <x:v>EV001494</x:v>
      </x:c>
      <x:c r="Q751" s="8" t="n">
        <x:v>46302.44961805555</x:v>
      </x:c>
      <x:c r="R751" s="2" t="str">
        <x:v>R1S1</x:v>
      </x:c>
      <x:c r="S751" s="9" t="n">
        <x:v>25.271</x:v>
      </x:c>
      <x:c r="T751" s="9" t="n">
        <x:v>51.491</x:v>
      </x:c>
      <x:c r="U751" s="2" t="str">
        <x:v>G010</x:v>
      </x:c>
      <x:c r="V751" s="2" t="str">
        <x:v>Authorized guardian release</x:v>
      </x:c>
      <x:c r="W751" s="2" t="str">
        <x:v>Completed transport</x:v>
      </x:c>
      <x:c r="X751" s="2" t="str">
        <x:v>QR</x:v>
      </x:c>
      <x:c r="Y751" s="2" t="str">
        <x:v>Online</x:v>
      </x:c>
      <x:c r="Z751" s="2" t="str">
        <x:v>Synced</x:v>
      </x:c>
      <x:c r="AA751" s="2"/>
      <x:c r="AB751" s="2"/>
      <x:c r="AC751" s="10" t="n">
        <x:f>IF(OR(K751="",Q751=""),"",ROUND((Q751-K751)*1440,2))</x:f>
        <x:v>17</x:v>
      </x:c>
    </x:row>
    <x:row r="752" ht="21" customHeight="1">
      <x:c r="A752" s="2" t="str">
        <x:v>LN00751</x:v>
      </x:c>
      <x:c r="B752" s="2" t="str">
        <x:v>T20261007-2-1</x:v>
      </x:c>
      <x:c r="C752" s="7" t="n">
        <x:v>46302</x:v>
      </x:c>
      <x:c r="D752" s="2" t="str">
        <x:v>BUS001</x:v>
      </x:c>
      <x:c r="E752" s="2" t="str">
        <x:v>ST021</x:v>
      </x:c>
      <x:c r="F752" s="2" t="n">
        <x:v>2</x:v>
      </x:c>
      <x:c r="G752" s="2" t="str">
        <x:v>Junior</x:v>
      </x:c>
      <x:c r="H752" s="2" t="str">
        <x:v>Pickup</x:v>
      </x:c>
      <x:c r="I752" s="2" t="str">
        <x:v>R1S3</x:v>
      </x:c>
      <x:c r="J752" s="2" t="str">
        <x:v>EV001495</x:v>
      </x:c>
      <x:c r="K752" s="8" t="n">
        <x:v>46302.48125</x:v>
      </x:c>
      <x:c r="L752" s="2" t="str">
        <x:v>R1S3</x:v>
      </x:c>
      <x:c r="M752" s="9" t="n">
        <x:v>25.275000000000002</x:v>
      </x:c>
      <x:c r="N752" s="9" t="n">
        <x:v>51.497</x:v>
      </x:c>
      <x:c r="O752" s="2" t="str">
        <x:v>Valid</x:v>
      </x:c>
      <x:c r="P752" s="2" t="str">
        <x:v>EV001496</x:v>
      </x:c>
      <x:c r="Q752" s="8" t="n">
        <x:v>46302.506250000006</x:v>
      </x:c>
      <x:c r="R752" s="2" t="str">
        <x:v>SCH01</x:v>
      </x:c>
      <x:c r="S752" s="9" t="n">
        <x:v>25.285</x:v>
      </x:c>
      <x:c r="T752" s="9" t="n">
        <x:v>51.51</x:v>
      </x:c>
      <x:c r="U752" s="2" t="str">
        <x:v>SCHOOL_RECEIVER_01</x:v>
      </x:c>
      <x:c r="V752" s="2" t="str">
        <x:v>School staff receipt</x:v>
      </x:c>
      <x:c r="W752" s="2" t="str">
        <x:v>Completed transport</x:v>
      </x:c>
      <x:c r="X752" s="2" t="str">
        <x:v>QR</x:v>
      </x:c>
      <x:c r="Y752" s="2" t="str">
        <x:v>Online</x:v>
      </x:c>
      <x:c r="Z752" s="2" t="str">
        <x:v>Synced</x:v>
      </x:c>
      <x:c r="AA752" s="2"/>
      <x:c r="AB752" s="2"/>
      <x:c r="AC752" s="10" t="n">
        <x:f>IF(OR(K752="",Q752=""),"",ROUND((Q752-K752)*1440,2))</x:f>
        <x:v>36</x:v>
      </x:c>
    </x:row>
    <x:row r="753" ht="21" customHeight="1">
      <x:c r="A753" s="2" t="str">
        <x:v>LN00752</x:v>
      </x:c>
      <x:c r="B753" s="2" t="str">
        <x:v>T20261007-2-1</x:v>
      </x:c>
      <x:c r="C753" s="7" t="n">
        <x:v>46302</x:v>
      </x:c>
      <x:c r="D753" s="2" t="str">
        <x:v>BUS001</x:v>
      </x:c>
      <x:c r="E753" s="2" t="str">
        <x:v>ST022</x:v>
      </x:c>
      <x:c r="F753" s="2" t="n">
        <x:v>2</x:v>
      </x:c>
      <x:c r="G753" s="2" t="str">
        <x:v>Junior</x:v>
      </x:c>
      <x:c r="H753" s="2" t="str">
        <x:v>Pickup</x:v>
      </x:c>
      <x:c r="I753" s="2" t="str">
        <x:v>R1S1</x:v>
      </x:c>
      <x:c r="J753" s="2" t="str">
        <x:v>EV001497</x:v>
      </x:c>
      <x:c r="K753" s="8" t="n">
        <x:v>46302.4715625</x:v>
      </x:c>
      <x:c r="L753" s="2" t="str">
        <x:v>R1S1</x:v>
      </x:c>
      <x:c r="M753" s="9" t="n">
        <x:v>25.271</x:v>
      </x:c>
      <x:c r="N753" s="9" t="n">
        <x:v>51.491</x:v>
      </x:c>
      <x:c r="O753" s="2" t="str">
        <x:v>Valid</x:v>
      </x:c>
      <x:c r="P753" s="2" t="str">
        <x:v>EV001498</x:v>
      </x:c>
      <x:c r="Q753" s="8" t="n">
        <x:v>46302.50628472223</x:v>
      </x:c>
      <x:c r="R753" s="2" t="str">
        <x:v>SCH01</x:v>
      </x:c>
      <x:c r="S753" s="9" t="n">
        <x:v>25.285</x:v>
      </x:c>
      <x:c r="T753" s="9" t="n">
        <x:v>51.51</x:v>
      </x:c>
      <x:c r="U753" s="2" t="str">
        <x:v>SCHOOL_RECEIVER_01</x:v>
      </x:c>
      <x:c r="V753" s="2" t="str">
        <x:v>School staff receipt</x:v>
      </x:c>
      <x:c r="W753" s="2" t="str">
        <x:v>Completed transport</x:v>
      </x:c>
      <x:c r="X753" s="2" t="str">
        <x:v>QR</x:v>
      </x:c>
      <x:c r="Y753" s="2" t="str">
        <x:v>Online</x:v>
      </x:c>
      <x:c r="Z753" s="2" t="str">
        <x:v>Synced</x:v>
      </x:c>
      <x:c r="AA753" s="2"/>
      <x:c r="AB753" s="2"/>
      <x:c r="AC753" s="10" t="n">
        <x:f>IF(OR(K753="",Q753=""),"",ROUND((Q753-K753)*1440,2))</x:f>
        <x:v>50</x:v>
      </x:c>
    </x:row>
    <x:row r="754" ht="21" customHeight="1">
      <x:c r="A754" s="2" t="str">
        <x:v>LN00753</x:v>
      </x:c>
      <x:c r="B754" s="2" t="str">
        <x:v>T20261007-2-1</x:v>
      </x:c>
      <x:c r="C754" s="7" t="n">
        <x:v>46302</x:v>
      </x:c>
      <x:c r="D754" s="2" t="str">
        <x:v>BUS001</x:v>
      </x:c>
      <x:c r="E754" s="2" t="str">
        <x:v>ST023</x:v>
      </x:c>
      <x:c r="F754" s="2" t="n">
        <x:v>2</x:v>
      </x:c>
      <x:c r="G754" s="2" t="str">
        <x:v>Junior</x:v>
      </x:c>
      <x:c r="H754" s="2" t="str">
        <x:v>Pickup</x:v>
      </x:c>
      <x:c r="I754" s="2" t="str">
        <x:v>R1S2</x:v>
      </x:c>
      <x:c r="J754" s="2" t="str">
        <x:v>EV001499</x:v>
      </x:c>
      <x:c r="K754" s="8" t="n">
        <x:v>46302.47645833333</x:v>
      </x:c>
      <x:c r="L754" s="2" t="str">
        <x:v>R1S2</x:v>
      </x:c>
      <x:c r="M754" s="9" t="n">
        <x:v>25.273000000000003</x:v>
      </x:c>
      <x:c r="N754" s="9" t="n">
        <x:v>51.494</x:v>
      </x:c>
      <x:c r="O754" s="2" t="str">
        <x:v>Valid</x:v>
      </x:c>
      <x:c r="P754" s="2" t="str">
        <x:v>EV001500</x:v>
      </x:c>
      <x:c r="Q754" s="8" t="n">
        <x:v>46302.506319444445</x:v>
      </x:c>
      <x:c r="R754" s="2" t="str">
        <x:v>SCH01</x:v>
      </x:c>
      <x:c r="S754" s="9" t="n">
        <x:v>25.285</x:v>
      </x:c>
      <x:c r="T754" s="9" t="n">
        <x:v>51.51</x:v>
      </x:c>
      <x:c r="U754" s="2" t="str">
        <x:v>SCHOOL_RECEIVER_01</x:v>
      </x:c>
      <x:c r="V754" s="2" t="str">
        <x:v>School staff receipt</x:v>
      </x:c>
      <x:c r="W754" s="2" t="str">
        <x:v>Completed transport</x:v>
      </x:c>
      <x:c r="X754" s="2" t="str">
        <x:v>QR</x:v>
      </x:c>
      <x:c r="Y754" s="2" t="str">
        <x:v>Online</x:v>
      </x:c>
      <x:c r="Z754" s="2" t="str">
        <x:v>Synced</x:v>
      </x:c>
      <x:c r="AA754" s="2"/>
      <x:c r="AB754" s="2"/>
      <x:c r="AC754" s="10" t="n">
        <x:f>IF(OR(K754="",Q754=""),"",ROUND((Q754-K754)*1440,2))</x:f>
        <x:v>43</x:v>
      </x:c>
    </x:row>
    <x:row r="755" ht="21" customHeight="1">
      <x:c r="A755" s="2" t="str">
        <x:v>LN00754</x:v>
      </x:c>
      <x:c r="B755" s="2" t="str">
        <x:v>T20261007-2-1</x:v>
      </x:c>
      <x:c r="C755" s="7" t="n">
        <x:v>46302</x:v>
      </x:c>
      <x:c r="D755" s="2" t="str">
        <x:v>BUS001</x:v>
      </x:c>
      <x:c r="E755" s="2" t="str">
        <x:v>ST024</x:v>
      </x:c>
      <x:c r="F755" s="2" t="n">
        <x:v>2</x:v>
      </x:c>
      <x:c r="G755" s="2" t="str">
        <x:v>Junior</x:v>
      </x:c>
      <x:c r="H755" s="2" t="str">
        <x:v>Pickup</x:v>
      </x:c>
      <x:c r="I755" s="2" t="str">
        <x:v>R1S3</x:v>
      </x:c>
      <x:c r="J755" s="2" t="str">
        <x:v>EV001501</x:v>
      </x:c>
      <x:c r="K755" s="8" t="n">
        <x:v>46302.481354166666</x:v>
      </x:c>
      <x:c r="L755" s="2" t="str">
        <x:v>R1S3</x:v>
      </x:c>
      <x:c r="M755" s="9" t="n">
        <x:v>25.275000000000002</x:v>
      </x:c>
      <x:c r="N755" s="9" t="n">
        <x:v>51.497</x:v>
      </x:c>
      <x:c r="O755" s="2" t="str">
        <x:v>Valid</x:v>
      </x:c>
      <x:c r="P755" s="2" t="str">
        <x:v>EV001502</x:v>
      </x:c>
      <x:c r="Q755" s="8" t="n">
        <x:v>46302.50635416667</x:v>
      </x:c>
      <x:c r="R755" s="2" t="str">
        <x:v>SCH01</x:v>
      </x:c>
      <x:c r="S755" s="9" t="n">
        <x:v>25.285</x:v>
      </x:c>
      <x:c r="T755" s="9" t="n">
        <x:v>51.51</x:v>
      </x:c>
      <x:c r="U755" s="2" t="str">
        <x:v>SCHOOL_RECEIVER_01</x:v>
      </x:c>
      <x:c r="V755" s="2" t="str">
        <x:v>School staff receipt</x:v>
      </x:c>
      <x:c r="W755" s="2" t="str">
        <x:v>Completed transport</x:v>
      </x:c>
      <x:c r="X755" s="2" t="str">
        <x:v>QR</x:v>
      </x:c>
      <x:c r="Y755" s="2" t="str">
        <x:v>Online</x:v>
      </x:c>
      <x:c r="Z755" s="2" t="str">
        <x:v>Synced</x:v>
      </x:c>
      <x:c r="AA755" s="2"/>
      <x:c r="AB755" s="2"/>
      <x:c r="AC755" s="10" t="n">
        <x:f>IF(OR(K755="",Q755=""),"",ROUND((Q755-K755)*1440,2))</x:f>
        <x:v>36</x:v>
      </x:c>
    </x:row>
    <x:row r="756" ht="21" customHeight="1">
      <x:c r="A756" s="2" t="str">
        <x:v>LN00755</x:v>
      </x:c>
      <x:c r="B756" s="2" t="str">
        <x:v>T20261007-2-1</x:v>
      </x:c>
      <x:c r="C756" s="7" t="n">
        <x:v>46302</x:v>
      </x:c>
      <x:c r="D756" s="2" t="str">
        <x:v>BUS001</x:v>
      </x:c>
      <x:c r="E756" s="2" t="str">
        <x:v>ST025</x:v>
      </x:c>
      <x:c r="F756" s="2" t="n">
        <x:v>2</x:v>
      </x:c>
      <x:c r="G756" s="2" t="str">
        <x:v>Junior</x:v>
      </x:c>
      <x:c r="H756" s="2" t="str">
        <x:v>Pickup</x:v>
      </x:c>
      <x:c r="I756" s="2" t="str">
        <x:v>R1S1</x:v>
      </x:c>
      <x:c r="J756" s="2" t="str">
        <x:v>EV001503</x:v>
      </x:c>
      <x:c r="K756" s="8" t="n">
        <x:v>46302.47166666667</x:v>
      </x:c>
      <x:c r="L756" s="2" t="str">
        <x:v>R1S1</x:v>
      </x:c>
      <x:c r="M756" s="9" t="n">
        <x:v>25.271</x:v>
      </x:c>
      <x:c r="N756" s="9" t="n">
        <x:v>51.491</x:v>
      </x:c>
      <x:c r="O756" s="2" t="str">
        <x:v>Valid</x:v>
      </x:c>
      <x:c r="P756" s="2" t="str">
        <x:v>EV001504</x:v>
      </x:c>
      <x:c r="Q756" s="8" t="n">
        <x:v>46302.50638888889</x:v>
      </x:c>
      <x:c r="R756" s="2" t="str">
        <x:v>SCH01</x:v>
      </x:c>
      <x:c r="S756" s="9" t="n">
        <x:v>25.285</x:v>
      </x:c>
      <x:c r="T756" s="9" t="n">
        <x:v>51.51</x:v>
      </x:c>
      <x:c r="U756" s="2" t="str">
        <x:v>SCHOOL_RECEIVER_01</x:v>
      </x:c>
      <x:c r="V756" s="2" t="str">
        <x:v>School staff receipt</x:v>
      </x:c>
      <x:c r="W756" s="2" t="str">
        <x:v>Completed transport</x:v>
      </x:c>
      <x:c r="X756" s="2" t="str">
        <x:v>QR</x:v>
      </x:c>
      <x:c r="Y756" s="2" t="str">
        <x:v>Online</x:v>
      </x:c>
      <x:c r="Z756" s="2" t="str">
        <x:v>Synced</x:v>
      </x:c>
      <x:c r="AA756" s="2"/>
      <x:c r="AB756" s="2"/>
      <x:c r="AC756" s="10" t="n">
        <x:f>IF(OR(K756="",Q756=""),"",ROUND((Q756-K756)*1440,2))</x:f>
        <x:v>50</x:v>
      </x:c>
    </x:row>
    <x:row r="757" ht="21" customHeight="1">
      <x:c r="A757" s="2" t="str">
        <x:v>LN00756</x:v>
      </x:c>
      <x:c r="B757" s="2" t="str">
        <x:v>T20261007-2-1</x:v>
      </x:c>
      <x:c r="C757" s="7" t="n">
        <x:v>46302</x:v>
      </x:c>
      <x:c r="D757" s="2" t="str">
        <x:v>BUS001</x:v>
      </x:c>
      <x:c r="E757" s="2" t="str">
        <x:v>ST026</x:v>
      </x:c>
      <x:c r="F757" s="2" t="n">
        <x:v>2</x:v>
      </x:c>
      <x:c r="G757" s="2" t="str">
        <x:v>Junior</x:v>
      </x:c>
      <x:c r="H757" s="2" t="str">
        <x:v>Pickup</x:v>
      </x:c>
      <x:c r="I757" s="2" t="str">
        <x:v>R1S2</x:v>
      </x:c>
      <x:c r="J757" s="2" t="str">
        <x:v>EV001505</x:v>
      </x:c>
      <x:c r="K757" s="8" t="n">
        <x:v>46302.47656249999</x:v>
      </x:c>
      <x:c r="L757" s="2" t="str">
        <x:v>R1S2</x:v>
      </x:c>
      <x:c r="M757" s="9" t="n">
        <x:v>25.273000000000003</x:v>
      </x:c>
      <x:c r="N757" s="9" t="n">
        <x:v>51.494</x:v>
      </x:c>
      <x:c r="O757" s="2" t="str">
        <x:v>Valid</x:v>
      </x:c>
      <x:c r="P757" s="2" t="str">
        <x:v>EV001506</x:v>
      </x:c>
      <x:c r="Q757" s="8" t="n">
        <x:v>46302.506423611114</x:v>
      </x:c>
      <x:c r="R757" s="2" t="str">
        <x:v>SCH01</x:v>
      </x:c>
      <x:c r="S757" s="9" t="n">
        <x:v>25.285</x:v>
      </x:c>
      <x:c r="T757" s="9" t="n">
        <x:v>51.51</x:v>
      </x:c>
      <x:c r="U757" s="2" t="str">
        <x:v>SCHOOL_RECEIVER_01</x:v>
      </x:c>
      <x:c r="V757" s="2" t="str">
        <x:v>School staff receipt</x:v>
      </x:c>
      <x:c r="W757" s="2" t="str">
        <x:v>Completed transport</x:v>
      </x:c>
      <x:c r="X757" s="2" t="str">
        <x:v>QR</x:v>
      </x:c>
      <x:c r="Y757" s="2" t="str">
        <x:v>Online</x:v>
      </x:c>
      <x:c r="Z757" s="2" t="str">
        <x:v>Synced</x:v>
      </x:c>
      <x:c r="AA757" s="2"/>
      <x:c r="AB757" s="2"/>
      <x:c r="AC757" s="10" t="n">
        <x:f>IF(OR(K757="",Q757=""),"",ROUND((Q757-K757)*1440,2))</x:f>
        <x:v>43</x:v>
      </x:c>
    </x:row>
    <x:row r="758" ht="21" customHeight="1">
      <x:c r="A758" s="2" t="str">
        <x:v>LN00757</x:v>
      </x:c>
      <x:c r="B758" s="2" t="str">
        <x:v>T20261007-2-1</x:v>
      </x:c>
      <x:c r="C758" s="7" t="n">
        <x:v>46302</x:v>
      </x:c>
      <x:c r="D758" s="2" t="str">
        <x:v>BUS001</x:v>
      </x:c>
      <x:c r="E758" s="2" t="str">
        <x:v>ST027</x:v>
      </x:c>
      <x:c r="F758" s="2" t="n">
        <x:v>2</x:v>
      </x:c>
      <x:c r="G758" s="2" t="str">
        <x:v>Junior</x:v>
      </x:c>
      <x:c r="H758" s="2" t="str">
        <x:v>Pickup</x:v>
      </x:c>
      <x:c r="I758" s="2" t="str">
        <x:v>R1S3</x:v>
      </x:c>
      <x:c r="J758" s="2" t="str">
        <x:v>EV001507</x:v>
      </x:c>
      <x:c r="K758" s="8" t="n">
        <x:v>46302.48145833333</x:v>
      </x:c>
      <x:c r="L758" s="2" t="str">
        <x:v>R1S3</x:v>
      </x:c>
      <x:c r="M758" s="9" t="n">
        <x:v>25.275000000000002</x:v>
      </x:c>
      <x:c r="N758" s="9" t="n">
        <x:v>51.497</x:v>
      </x:c>
      <x:c r="O758" s="2" t="str">
        <x:v>Valid</x:v>
      </x:c>
      <x:c r="P758" s="2" t="str">
        <x:v>EV001508</x:v>
      </x:c>
      <x:c r="Q758" s="8" t="n">
        <x:v>46302.50645833334</x:v>
      </x:c>
      <x:c r="R758" s="2" t="str">
        <x:v>SCH01</x:v>
      </x:c>
      <x:c r="S758" s="9" t="n">
        <x:v>25.285</x:v>
      </x:c>
      <x:c r="T758" s="9" t="n">
        <x:v>51.51</x:v>
      </x:c>
      <x:c r="U758" s="2" t="str">
        <x:v>SCHOOL_RECEIVER_01</x:v>
      </x:c>
      <x:c r="V758" s="2" t="str">
        <x:v>School staff receipt</x:v>
      </x:c>
      <x:c r="W758" s="2" t="str">
        <x:v>Completed transport</x:v>
      </x:c>
      <x:c r="X758" s="2" t="str">
        <x:v>QR</x:v>
      </x:c>
      <x:c r="Y758" s="2" t="str">
        <x:v>Online</x:v>
      </x:c>
      <x:c r="Z758" s="2" t="str">
        <x:v>Synced</x:v>
      </x:c>
      <x:c r="AA758" s="2"/>
      <x:c r="AB758" s="2"/>
      <x:c r="AC758" s="10" t="n">
        <x:f>IF(OR(K758="",Q758=""),"",ROUND((Q758-K758)*1440,2))</x:f>
        <x:v>36</x:v>
      </x:c>
    </x:row>
    <x:row r="759" ht="21" customHeight="1">
      <x:c r="A759" s="2" t="str">
        <x:v>LN00758</x:v>
      </x:c>
      <x:c r="B759" s="2" t="str">
        <x:v>T20261007-2-1</x:v>
      </x:c>
      <x:c r="C759" s="7" t="n">
        <x:v>46302</x:v>
      </x:c>
      <x:c r="D759" s="2" t="str">
        <x:v>BUS001</x:v>
      </x:c>
      <x:c r="E759" s="2" t="str">
        <x:v>ST028</x:v>
      </x:c>
      <x:c r="F759" s="2" t="n">
        <x:v>2</x:v>
      </x:c>
      <x:c r="G759" s="2" t="str">
        <x:v>Junior</x:v>
      </x:c>
      <x:c r="H759" s="2" t="str">
        <x:v>Pickup</x:v>
      </x:c>
      <x:c r="I759" s="2" t="str">
        <x:v>R1S1</x:v>
      </x:c>
      <x:c r="J759" s="2" t="str">
        <x:v>EV001509</x:v>
      </x:c>
      <x:c r="K759" s="8" t="n">
        <x:v>46302.471770833334</x:v>
      </x:c>
      <x:c r="L759" s="2" t="str">
        <x:v>R1S1</x:v>
      </x:c>
      <x:c r="M759" s="9" t="n">
        <x:v>25.271</x:v>
      </x:c>
      <x:c r="N759" s="9" t="n">
        <x:v>51.491</x:v>
      </x:c>
      <x:c r="O759" s="2" t="str">
        <x:v>Valid</x:v>
      </x:c>
      <x:c r="P759" s="2" t="str">
        <x:v>EV001510</x:v>
      </x:c>
      <x:c r="Q759" s="8" t="n">
        <x:v>46302.50649305556</x:v>
      </x:c>
      <x:c r="R759" s="2" t="str">
        <x:v>SCH01</x:v>
      </x:c>
      <x:c r="S759" s="9" t="n">
        <x:v>25.285</x:v>
      </x:c>
      <x:c r="T759" s="9" t="n">
        <x:v>51.51</x:v>
      </x:c>
      <x:c r="U759" s="2" t="str">
        <x:v>SCHOOL_RECEIVER_01</x:v>
      </x:c>
      <x:c r="V759" s="2" t="str">
        <x:v>School staff receipt</x:v>
      </x:c>
      <x:c r="W759" s="2" t="str">
        <x:v>Completed transport</x:v>
      </x:c>
      <x:c r="X759" s="2" t="str">
        <x:v>QR</x:v>
      </x:c>
      <x:c r="Y759" s="2" t="str">
        <x:v>Online</x:v>
      </x:c>
      <x:c r="Z759" s="2" t="str">
        <x:v>Synced</x:v>
      </x:c>
      <x:c r="AA759" s="2"/>
      <x:c r="AB759" s="2"/>
      <x:c r="AC759" s="10" t="n">
        <x:f>IF(OR(K759="",Q759=""),"",ROUND((Q759-K759)*1440,2))</x:f>
        <x:v>50</x:v>
      </x:c>
    </x:row>
    <x:row r="760" ht="21" customHeight="1">
      <x:c r="A760" s="2" t="str">
        <x:v>LN00759</x:v>
      </x:c>
      <x:c r="B760" s="2" t="str">
        <x:v>T20261007-2-1</x:v>
      </x:c>
      <x:c r="C760" s="7" t="n">
        <x:v>46302</x:v>
      </x:c>
      <x:c r="D760" s="2" t="str">
        <x:v>BUS001</x:v>
      </x:c>
      <x:c r="E760" s="2" t="str">
        <x:v>ST029</x:v>
      </x:c>
      <x:c r="F760" s="2" t="n">
        <x:v>2</x:v>
      </x:c>
      <x:c r="G760" s="2" t="str">
        <x:v>Junior</x:v>
      </x:c>
      <x:c r="H760" s="2" t="str">
        <x:v>Pickup</x:v>
      </x:c>
      <x:c r="I760" s="2" t="str">
        <x:v>R1S2</x:v>
      </x:c>
      <x:c r="J760" s="2" t="str">
        <x:v>EV001511</x:v>
      </x:c>
      <x:c r="K760" s="8" t="n">
        <x:v>46302.47666666666</x:v>
      </x:c>
      <x:c r="L760" s="2" t="str">
        <x:v>R1S2</x:v>
      </x:c>
      <x:c r="M760" s="9" t="n">
        <x:v>25.273000000000003</x:v>
      </x:c>
      <x:c r="N760" s="9" t="n">
        <x:v>51.494</x:v>
      </x:c>
      <x:c r="O760" s="2" t="str">
        <x:v>Valid</x:v>
      </x:c>
      <x:c r="P760" s="2" t="str">
        <x:v>EV001512</x:v>
      </x:c>
      <x:c r="Q760" s="8" t="n">
        <x:v>46302.50652777778</x:v>
      </x:c>
      <x:c r="R760" s="2" t="str">
        <x:v>SCH01</x:v>
      </x:c>
      <x:c r="S760" s="9" t="n">
        <x:v>25.285</x:v>
      </x:c>
      <x:c r="T760" s="9" t="n">
        <x:v>51.51</x:v>
      </x:c>
      <x:c r="U760" s="2" t="str">
        <x:v>SCHOOL_RECEIVER_01</x:v>
      </x:c>
      <x:c r="V760" s="2" t="str">
        <x:v>School staff receipt</x:v>
      </x:c>
      <x:c r="W760" s="2" t="str">
        <x:v>Completed transport</x:v>
      </x:c>
      <x:c r="X760" s="2" t="str">
        <x:v>QR</x:v>
      </x:c>
      <x:c r="Y760" s="2" t="str">
        <x:v>Online</x:v>
      </x:c>
      <x:c r="Z760" s="2" t="str">
        <x:v>Synced</x:v>
      </x:c>
      <x:c r="AA760" s="2"/>
      <x:c r="AB760" s="2"/>
      <x:c r="AC760" s="10" t="n">
        <x:f>IF(OR(K760="",Q760=""),"",ROUND((Q760-K760)*1440,2))</x:f>
        <x:v>43</x:v>
      </x:c>
    </x:row>
    <x:row r="761" ht="21" customHeight="1">
      <x:c r="A761" s="2" t="str">
        <x:v>LN00760</x:v>
      </x:c>
      <x:c r="B761" s="2" t="str">
        <x:v>T20261007-2-1</x:v>
      </x:c>
      <x:c r="C761" s="7" t="n">
        <x:v>46302</x:v>
      </x:c>
      <x:c r="D761" s="2" t="str">
        <x:v>BUS001</x:v>
      </x:c>
      <x:c r="E761" s="2" t="str">
        <x:v>ST030</x:v>
      </x:c>
      <x:c r="F761" s="2" t="n">
        <x:v>2</x:v>
      </x:c>
      <x:c r="G761" s="2" t="str">
        <x:v>Junior</x:v>
      </x:c>
      <x:c r="H761" s="2" t="str">
        <x:v>Pickup</x:v>
      </x:c>
      <x:c r="I761" s="2" t="str">
        <x:v>R1S3</x:v>
      </x:c>
      <x:c r="J761" s="2" t="str">
        <x:v>EV001513</x:v>
      </x:c>
      <x:c r="K761" s="8" t="n">
        <x:v>46302.4815625</x:v>
      </x:c>
      <x:c r="L761" s="2" t="str">
        <x:v>R1S3</x:v>
      </x:c>
      <x:c r="M761" s="9" t="n">
        <x:v>25.275000000000002</x:v>
      </x:c>
      <x:c r="N761" s="9" t="n">
        <x:v>51.497</x:v>
      </x:c>
      <x:c r="O761" s="2" t="str">
        <x:v>Valid</x:v>
      </x:c>
      <x:c r="P761" s="2" t="str">
        <x:v>EV001514</x:v>
      </x:c>
      <x:c r="Q761" s="8" t="n">
        <x:v>46302.506562500006</x:v>
      </x:c>
      <x:c r="R761" s="2" t="str">
        <x:v>SCH01</x:v>
      </x:c>
      <x:c r="S761" s="9" t="n">
        <x:v>25.285</x:v>
      </x:c>
      <x:c r="T761" s="9" t="n">
        <x:v>51.51</x:v>
      </x:c>
      <x:c r="U761" s="2" t="str">
        <x:v>SCHOOL_RECEIVER_01</x:v>
      </x:c>
      <x:c r="V761" s="2" t="str">
        <x:v>School staff receipt</x:v>
      </x:c>
      <x:c r="W761" s="2" t="str">
        <x:v>Completed transport</x:v>
      </x:c>
      <x:c r="X761" s="2" t="str">
        <x:v>QR</x:v>
      </x:c>
      <x:c r="Y761" s="2" t="str">
        <x:v>Online</x:v>
      </x:c>
      <x:c r="Z761" s="2" t="str">
        <x:v>Synced</x:v>
      </x:c>
      <x:c r="AA761" s="2"/>
      <x:c r="AB761" s="2"/>
      <x:c r="AC761" s="10" t="n">
        <x:f>IF(OR(K761="",Q761=""),"",ROUND((Q761-K761)*1440,2))</x:f>
        <x:v>36</x:v>
      </x:c>
    </x:row>
    <x:row r="762" ht="21" customHeight="1">
      <x:c r="A762" s="2" t="str">
        <x:v>LN00761</x:v>
      </x:c>
      <x:c r="B762" s="2" t="str">
        <x:v>T20261007-2-1</x:v>
      </x:c>
      <x:c r="C762" s="7" t="n">
        <x:v>46302</x:v>
      </x:c>
      <x:c r="D762" s="2" t="str">
        <x:v>BUS001</x:v>
      </x:c>
      <x:c r="E762" s="2" t="str">
        <x:v>ST031</x:v>
      </x:c>
      <x:c r="F762" s="2" t="n">
        <x:v>2</x:v>
      </x:c>
      <x:c r="G762" s="2" t="str">
        <x:v>Senior</x:v>
      </x:c>
      <x:c r="H762" s="2" t="str">
        <x:v>Pickup</x:v>
      </x:c>
      <x:c r="I762" s="2" t="str">
        <x:v>R1S1</x:v>
      </x:c>
      <x:c r="J762" s="2" t="str">
        <x:v>EV001515</x:v>
      </x:c>
      <x:c r="K762" s="8" t="n">
        <x:v>46302.47152777778</x:v>
      </x:c>
      <x:c r="L762" s="2" t="str">
        <x:v>R1S1</x:v>
      </x:c>
      <x:c r="M762" s="9" t="n">
        <x:v>25.271</x:v>
      </x:c>
      <x:c r="N762" s="9" t="n">
        <x:v>51.491</x:v>
      </x:c>
      <x:c r="O762" s="2" t="str">
        <x:v>Valid</x:v>
      </x:c>
      <x:c r="P762" s="2" t="str">
        <x:v>EV001516</x:v>
      </x:c>
      <x:c r="Q762" s="8" t="n">
        <x:v>46302.50659722223</x:v>
      </x:c>
      <x:c r="R762" s="2" t="str">
        <x:v>SCH01</x:v>
      </x:c>
      <x:c r="S762" s="9" t="n">
        <x:v>25.285</x:v>
      </x:c>
      <x:c r="T762" s="9" t="n">
        <x:v>51.51</x:v>
      </x:c>
      <x:c r="U762" s="2" t="str">
        <x:v>SCHOOL_RECEIVER_01</x:v>
      </x:c>
      <x:c r="V762" s="2" t="str">
        <x:v>School staff receipt</x:v>
      </x:c>
      <x:c r="W762" s="2" t="str">
        <x:v>Completed transport</x:v>
      </x:c>
      <x:c r="X762" s="2" t="str">
        <x:v>QR</x:v>
      </x:c>
      <x:c r="Y762" s="2" t="str">
        <x:v>Online</x:v>
      </x:c>
      <x:c r="Z762" s="2" t="str">
        <x:v>Synced</x:v>
      </x:c>
      <x:c r="AA762" s="2"/>
      <x:c r="AB762" s="2"/>
      <x:c r="AC762" s="10" t="n">
        <x:f>IF(OR(K762="",Q762=""),"",ROUND((Q762-K762)*1440,2))</x:f>
        <x:v>50.5</x:v>
      </x:c>
    </x:row>
    <x:row r="763" ht="21" customHeight="1">
      <x:c r="A763" s="2" t="str">
        <x:v>LN00762</x:v>
      </x:c>
      <x:c r="B763" s="2" t="str">
        <x:v>T20261007-2-1</x:v>
      </x:c>
      <x:c r="C763" s="7" t="n">
        <x:v>46302</x:v>
      </x:c>
      <x:c r="D763" s="2" t="str">
        <x:v>BUS001</x:v>
      </x:c>
      <x:c r="E763" s="2" t="str">
        <x:v>ST032</x:v>
      </x:c>
      <x:c r="F763" s="2" t="n">
        <x:v>2</x:v>
      </x:c>
      <x:c r="G763" s="2" t="str">
        <x:v>Senior</x:v>
      </x:c>
      <x:c r="H763" s="2" t="str">
        <x:v>Pickup</x:v>
      </x:c>
      <x:c r="I763" s="2" t="str">
        <x:v>R1S2</x:v>
      </x:c>
      <x:c r="J763" s="2" t="str">
        <x:v>EV001517</x:v>
      </x:c>
      <x:c r="K763" s="8" t="n">
        <x:v>46302.47642361111</x:v>
      </x:c>
      <x:c r="L763" s="2" t="str">
        <x:v>R1S2</x:v>
      </x:c>
      <x:c r="M763" s="9" t="n">
        <x:v>25.273000000000003</x:v>
      </x:c>
      <x:c r="N763" s="9" t="n">
        <x:v>51.494</x:v>
      </x:c>
      <x:c r="O763" s="2" t="str">
        <x:v>Valid</x:v>
      </x:c>
      <x:c r="P763" s="2" t="str">
        <x:v>EV001518</x:v>
      </x:c>
      <x:c r="Q763" s="8" t="n">
        <x:v>46302.506631944445</x:v>
      </x:c>
      <x:c r="R763" s="2" t="str">
        <x:v>SCH01</x:v>
      </x:c>
      <x:c r="S763" s="9" t="n">
        <x:v>25.285</x:v>
      </x:c>
      <x:c r="T763" s="9" t="n">
        <x:v>51.51</x:v>
      </x:c>
      <x:c r="U763" s="2" t="str">
        <x:v>SCHOOL_RECEIVER_01</x:v>
      </x:c>
      <x:c r="V763" s="2" t="str">
        <x:v>School staff receipt</x:v>
      </x:c>
      <x:c r="W763" s="2" t="str">
        <x:v>Completed transport</x:v>
      </x:c>
      <x:c r="X763" s="2" t="str">
        <x:v>QR</x:v>
      </x:c>
      <x:c r="Y763" s="2" t="str">
        <x:v>Online</x:v>
      </x:c>
      <x:c r="Z763" s="2" t="str">
        <x:v>Synced</x:v>
      </x:c>
      <x:c r="AA763" s="2"/>
      <x:c r="AB763" s="2"/>
      <x:c r="AC763" s="10" t="n">
        <x:f>IF(OR(K763="",Q763=""),"",ROUND((Q763-K763)*1440,2))</x:f>
        <x:v>43.5</x:v>
      </x:c>
    </x:row>
    <x:row r="764" ht="21" customHeight="1">
      <x:c r="A764" s="2" t="str">
        <x:v>LN00763</x:v>
      </x:c>
      <x:c r="B764" s="2" t="str">
        <x:v>T20261007-2-1</x:v>
      </x:c>
      <x:c r="C764" s="7" t="n">
        <x:v>46302</x:v>
      </x:c>
      <x:c r="D764" s="2" t="str">
        <x:v>BUS001</x:v>
      </x:c>
      <x:c r="E764" s="2" t="str">
        <x:v>ST033</x:v>
      </x:c>
      <x:c r="F764" s="2" t="n">
        <x:v>2</x:v>
      </x:c>
      <x:c r="G764" s="2" t="str">
        <x:v>Senior</x:v>
      </x:c>
      <x:c r="H764" s="2" t="str">
        <x:v>Pickup</x:v>
      </x:c>
      <x:c r="I764" s="2" t="str">
        <x:v>R1S3</x:v>
      </x:c>
      <x:c r="J764" s="2" t="str">
        <x:v>EV001519</x:v>
      </x:c>
      <x:c r="K764" s="8" t="n">
        <x:v>46302.48131944444</x:v>
      </x:c>
      <x:c r="L764" s="2" t="str">
        <x:v>R1S3</x:v>
      </x:c>
      <x:c r="M764" s="9" t="n">
        <x:v>25.275000000000002</x:v>
      </x:c>
      <x:c r="N764" s="9" t="n">
        <x:v>51.497</x:v>
      </x:c>
      <x:c r="O764" s="2" t="str">
        <x:v>Valid</x:v>
      </x:c>
      <x:c r="P764" s="2" t="str">
        <x:v>EV001520</x:v>
      </x:c>
      <x:c r="Q764" s="8" t="n">
        <x:v>46302.50666666667</x:v>
      </x:c>
      <x:c r="R764" s="2" t="str">
        <x:v>SCH01</x:v>
      </x:c>
      <x:c r="S764" s="9" t="n">
        <x:v>25.285</x:v>
      </x:c>
      <x:c r="T764" s="9" t="n">
        <x:v>51.51</x:v>
      </x:c>
      <x:c r="U764" s="2" t="str">
        <x:v>SCHOOL_RECEIVER_01</x:v>
      </x:c>
      <x:c r="V764" s="2" t="str">
        <x:v>School staff receipt</x:v>
      </x:c>
      <x:c r="W764" s="2" t="str">
        <x:v>Completed transport</x:v>
      </x:c>
      <x:c r="X764" s="2" t="str">
        <x:v>QR</x:v>
      </x:c>
      <x:c r="Y764" s="2" t="str">
        <x:v>Online</x:v>
      </x:c>
      <x:c r="Z764" s="2" t="str">
        <x:v>Synced</x:v>
      </x:c>
      <x:c r="AA764" s="2"/>
      <x:c r="AB764" s="2"/>
      <x:c r="AC764" s="10" t="n">
        <x:f>IF(OR(K764="",Q764=""),"",ROUND((Q764-K764)*1440,2))</x:f>
        <x:v>36.5</x:v>
      </x:c>
    </x:row>
    <x:row r="765" ht="21" customHeight="1">
      <x:c r="A765" s="2" t="str">
        <x:v>LN00764</x:v>
      </x:c>
      <x:c r="B765" s="2" t="str">
        <x:v>T20261007-2-1</x:v>
      </x:c>
      <x:c r="C765" s="7" t="n">
        <x:v>46302</x:v>
      </x:c>
      <x:c r="D765" s="2" t="str">
        <x:v>BUS001</x:v>
      </x:c>
      <x:c r="E765" s="2" t="str">
        <x:v>ST034</x:v>
      </x:c>
      <x:c r="F765" s="2" t="n">
        <x:v>2</x:v>
      </x:c>
      <x:c r="G765" s="2" t="str">
        <x:v>Senior</x:v>
      </x:c>
      <x:c r="H765" s="2" t="str">
        <x:v>Pickup</x:v>
      </x:c>
      <x:c r="I765" s="2" t="str">
        <x:v>R1S1</x:v>
      </x:c>
      <x:c r="J765" s="2" t="str">
        <x:v>EV001521</x:v>
      </x:c>
      <x:c r="K765" s="8" t="n">
        <x:v>46302.47163194445</x:v>
      </x:c>
      <x:c r="L765" s="2" t="str">
        <x:v>R1S1</x:v>
      </x:c>
      <x:c r="M765" s="9" t="n">
        <x:v>25.271</x:v>
      </x:c>
      <x:c r="N765" s="9" t="n">
        <x:v>51.491</x:v>
      </x:c>
      <x:c r="O765" s="2" t="str">
        <x:v>Valid</x:v>
      </x:c>
      <x:c r="P765" s="2" t="str">
        <x:v>EV001522</x:v>
      </x:c>
      <x:c r="Q765" s="8" t="n">
        <x:v>46302.50670138889</x:v>
      </x:c>
      <x:c r="R765" s="2" t="str">
        <x:v>SCH01</x:v>
      </x:c>
      <x:c r="S765" s="9" t="n">
        <x:v>25.285</x:v>
      </x:c>
      <x:c r="T765" s="9" t="n">
        <x:v>51.51</x:v>
      </x:c>
      <x:c r="U765" s="2" t="str">
        <x:v>SCHOOL_RECEIVER_01</x:v>
      </x:c>
      <x:c r="V765" s="2" t="str">
        <x:v>School staff receipt</x:v>
      </x:c>
      <x:c r="W765" s="2" t="str">
        <x:v>Completed transport</x:v>
      </x:c>
      <x:c r="X765" s="2" t="str">
        <x:v>QR</x:v>
      </x:c>
      <x:c r="Y765" s="2" t="str">
        <x:v>Online</x:v>
      </x:c>
      <x:c r="Z765" s="2" t="str">
        <x:v>Synced</x:v>
      </x:c>
      <x:c r="AA765" s="2"/>
      <x:c r="AB765" s="2"/>
      <x:c r="AC765" s="10" t="n">
        <x:f>IF(OR(K765="",Q765=""),"",ROUND((Q765-K765)*1440,2))</x:f>
        <x:v>50.5</x:v>
      </x:c>
    </x:row>
    <x:row r="766" ht="21" customHeight="1">
      <x:c r="A766" s="2" t="str">
        <x:v>LN00765</x:v>
      </x:c>
      <x:c r="B766" s="2" t="str">
        <x:v>T20261007-2-1</x:v>
      </x:c>
      <x:c r="C766" s="7" t="n">
        <x:v>46302</x:v>
      </x:c>
      <x:c r="D766" s="2" t="str">
        <x:v>BUS001</x:v>
      </x:c>
      <x:c r="E766" s="2" t="str">
        <x:v>ST035</x:v>
      </x:c>
      <x:c r="F766" s="2" t="n">
        <x:v>2</x:v>
      </x:c>
      <x:c r="G766" s="2" t="str">
        <x:v>Senior</x:v>
      </x:c>
      <x:c r="H766" s="2" t="str">
        <x:v>Pickup</x:v>
      </x:c>
      <x:c r="I766" s="2" t="str">
        <x:v>R1S2</x:v>
      </x:c>
      <x:c r="J766" s="2" t="str">
        <x:v>EV001523</x:v>
      </x:c>
      <x:c r="K766" s="8" t="n">
        <x:v>46302.47652777778</x:v>
      </x:c>
      <x:c r="L766" s="2" t="str">
        <x:v>R1S2</x:v>
      </x:c>
      <x:c r="M766" s="9" t="n">
        <x:v>25.273000000000003</x:v>
      </x:c>
      <x:c r="N766" s="9" t="n">
        <x:v>51.494</x:v>
      </x:c>
      <x:c r="O766" s="2" t="str">
        <x:v>Valid</x:v>
      </x:c>
      <x:c r="P766" s="2" t="str">
        <x:v>EV001524</x:v>
      </x:c>
      <x:c r="Q766" s="8" t="n">
        <x:v>46302.506736111114</x:v>
      </x:c>
      <x:c r="R766" s="2" t="str">
        <x:v>SCH01</x:v>
      </x:c>
      <x:c r="S766" s="9" t="n">
        <x:v>25.285</x:v>
      </x:c>
      <x:c r="T766" s="9" t="n">
        <x:v>51.51</x:v>
      </x:c>
      <x:c r="U766" s="2" t="str">
        <x:v>SCHOOL_RECEIVER_01</x:v>
      </x:c>
      <x:c r="V766" s="2" t="str">
        <x:v>School staff receipt</x:v>
      </x:c>
      <x:c r="W766" s="2" t="str">
        <x:v>Completed transport</x:v>
      </x:c>
      <x:c r="X766" s="2" t="str">
        <x:v>QR</x:v>
      </x:c>
      <x:c r="Y766" s="2" t="str">
        <x:v>Online</x:v>
      </x:c>
      <x:c r="Z766" s="2" t="str">
        <x:v>Synced</x:v>
      </x:c>
      <x:c r="AA766" s="2"/>
      <x:c r="AB766" s="2"/>
      <x:c r="AC766" s="10" t="n">
        <x:f>IF(OR(K766="",Q766=""),"",ROUND((Q766-K766)*1440,2))</x:f>
        <x:v>43.5</x:v>
      </x:c>
    </x:row>
    <x:row r="767" ht="21" customHeight="1">
      <x:c r="A767" s="2" t="str">
        <x:v>LN00766</x:v>
      </x:c>
      <x:c r="B767" s="2" t="str">
        <x:v>T20261007-2-1</x:v>
      </x:c>
      <x:c r="C767" s="7" t="n">
        <x:v>46302</x:v>
      </x:c>
      <x:c r="D767" s="2" t="str">
        <x:v>BUS001</x:v>
      </x:c>
      <x:c r="E767" s="2" t="str">
        <x:v>ST036</x:v>
      </x:c>
      <x:c r="F767" s="2" t="n">
        <x:v>2</x:v>
      </x:c>
      <x:c r="G767" s="2" t="str">
        <x:v>Senior</x:v>
      </x:c>
      <x:c r="H767" s="2" t="str">
        <x:v>Pickup</x:v>
      </x:c>
      <x:c r="I767" s="2" t="str">
        <x:v>R1S3</x:v>
      </x:c>
      <x:c r="J767" s="2" t="str">
        <x:v>EV001525</x:v>
      </x:c>
      <x:c r="K767" s="8" t="n">
        <x:v>46302.481423611105</x:v>
      </x:c>
      <x:c r="L767" s="2" t="str">
        <x:v>R1S3</x:v>
      </x:c>
      <x:c r="M767" s="9" t="n">
        <x:v>25.275000000000002</x:v>
      </x:c>
      <x:c r="N767" s="9" t="n">
        <x:v>51.497</x:v>
      </x:c>
      <x:c r="O767" s="2" t="str">
        <x:v>Valid</x:v>
      </x:c>
      <x:c r="P767" s="2" t="str">
        <x:v>EV001526</x:v>
      </x:c>
      <x:c r="Q767" s="8" t="n">
        <x:v>46302.50677083334</x:v>
      </x:c>
      <x:c r="R767" s="2" t="str">
        <x:v>SCH01</x:v>
      </x:c>
      <x:c r="S767" s="9" t="n">
        <x:v>25.285</x:v>
      </x:c>
      <x:c r="T767" s="9" t="n">
        <x:v>51.51</x:v>
      </x:c>
      <x:c r="U767" s="2" t="str">
        <x:v>SCHOOL_RECEIVER_01</x:v>
      </x:c>
      <x:c r="V767" s="2" t="str">
        <x:v>School staff receipt</x:v>
      </x:c>
      <x:c r="W767" s="2" t="str">
        <x:v>Completed transport</x:v>
      </x:c>
      <x:c r="X767" s="2" t="str">
        <x:v>QR</x:v>
      </x:c>
      <x:c r="Y767" s="2" t="str">
        <x:v>Online</x:v>
      </x:c>
      <x:c r="Z767" s="2" t="str">
        <x:v>Synced</x:v>
      </x:c>
      <x:c r="AA767" s="2"/>
      <x:c r="AB767" s="2"/>
      <x:c r="AC767" s="10" t="n">
        <x:f>IF(OR(K767="",Q767=""),"",ROUND((Q767-K767)*1440,2))</x:f>
        <x:v>36.5</x:v>
      </x:c>
    </x:row>
    <x:row r="768" ht="21" customHeight="1">
      <x:c r="A768" s="2" t="str">
        <x:v>LN00767</x:v>
      </x:c>
      <x:c r="B768" s="2" t="str">
        <x:v>T20261007-2-1</x:v>
      </x:c>
      <x:c r="C768" s="7" t="n">
        <x:v>46302</x:v>
      </x:c>
      <x:c r="D768" s="2" t="str">
        <x:v>BUS001</x:v>
      </x:c>
      <x:c r="E768" s="2" t="str">
        <x:v>ST037</x:v>
      </x:c>
      <x:c r="F768" s="2" t="n">
        <x:v>2</x:v>
      </x:c>
      <x:c r="G768" s="2" t="str">
        <x:v>Senior</x:v>
      </x:c>
      <x:c r="H768" s="2" t="str">
        <x:v>Pickup</x:v>
      </x:c>
      <x:c r="I768" s="2" t="str">
        <x:v>R1S1</x:v>
      </x:c>
      <x:c r="J768" s="2" t="str">
        <x:v>EV001527</x:v>
      </x:c>
      <x:c r="K768" s="8" t="n">
        <x:v>46302.47173611111</x:v>
      </x:c>
      <x:c r="L768" s="2" t="str">
        <x:v>R1S1</x:v>
      </x:c>
      <x:c r="M768" s="9" t="n">
        <x:v>25.271</x:v>
      </x:c>
      <x:c r="N768" s="9" t="n">
        <x:v>51.491</x:v>
      </x:c>
      <x:c r="O768" s="2" t="str">
        <x:v>Valid</x:v>
      </x:c>
      <x:c r="P768" s="2" t="str">
        <x:v>EV001528</x:v>
      </x:c>
      <x:c r="Q768" s="8" t="n">
        <x:v>46302.50680555556</x:v>
      </x:c>
      <x:c r="R768" s="2" t="str">
        <x:v>SCH01</x:v>
      </x:c>
      <x:c r="S768" s="9" t="n">
        <x:v>25.285</x:v>
      </x:c>
      <x:c r="T768" s="9" t="n">
        <x:v>51.51</x:v>
      </x:c>
      <x:c r="U768" s="2" t="str">
        <x:v>SCHOOL_RECEIVER_01</x:v>
      </x:c>
      <x:c r="V768" s="2" t="str">
        <x:v>School staff receipt</x:v>
      </x:c>
      <x:c r="W768" s="2" t="str">
        <x:v>Completed transport</x:v>
      </x:c>
      <x:c r="X768" s="2" t="str">
        <x:v>QR</x:v>
      </x:c>
      <x:c r="Y768" s="2" t="str">
        <x:v>Online</x:v>
      </x:c>
      <x:c r="Z768" s="2" t="str">
        <x:v>Synced</x:v>
      </x:c>
      <x:c r="AA768" s="2"/>
      <x:c r="AB768" s="2"/>
      <x:c r="AC768" s="10" t="n">
        <x:f>IF(OR(K768="",Q768=""),"",ROUND((Q768-K768)*1440,2))</x:f>
        <x:v>50.5</x:v>
      </x:c>
    </x:row>
    <x:row r="769" ht="21" customHeight="1">
      <x:c r="A769" s="2" t="str">
        <x:v>LN00768</x:v>
      </x:c>
      <x:c r="B769" s="2" t="str">
        <x:v>T20261007-2-1</x:v>
      </x:c>
      <x:c r="C769" s="7" t="n">
        <x:v>46302</x:v>
      </x:c>
      <x:c r="D769" s="2" t="str">
        <x:v>BUS001</x:v>
      </x:c>
      <x:c r="E769" s="2" t="str">
        <x:v>ST038</x:v>
      </x:c>
      <x:c r="F769" s="2" t="n">
        <x:v>2</x:v>
      </x:c>
      <x:c r="G769" s="2" t="str">
        <x:v>Senior</x:v>
      </x:c>
      <x:c r="H769" s="2" t="str">
        <x:v>Pickup</x:v>
      </x:c>
      <x:c r="I769" s="2" t="str">
        <x:v>R1S2</x:v>
      </x:c>
      <x:c r="J769" s="2" t="str">
        <x:v>EV001529</x:v>
      </x:c>
      <x:c r="K769" s="8" t="n">
        <x:v>46302.47663194444</x:v>
      </x:c>
      <x:c r="L769" s="2" t="str">
        <x:v>R1S2</x:v>
      </x:c>
      <x:c r="M769" s="9" t="n">
        <x:v>25.273000000000003</x:v>
      </x:c>
      <x:c r="N769" s="9" t="n">
        <x:v>51.494</x:v>
      </x:c>
      <x:c r="O769" s="2" t="str">
        <x:v>Valid</x:v>
      </x:c>
      <x:c r="P769" s="2" t="str">
        <x:v>EV001530</x:v>
      </x:c>
      <x:c r="Q769" s="8" t="n">
        <x:v>46302.50684027778</x:v>
      </x:c>
      <x:c r="R769" s="2" t="str">
        <x:v>SCH01</x:v>
      </x:c>
      <x:c r="S769" s="9" t="n">
        <x:v>25.285</x:v>
      </x:c>
      <x:c r="T769" s="9" t="n">
        <x:v>51.51</x:v>
      </x:c>
      <x:c r="U769" s="2" t="str">
        <x:v>SCHOOL_RECEIVER_01</x:v>
      </x:c>
      <x:c r="V769" s="2" t="str">
        <x:v>School staff receipt</x:v>
      </x:c>
      <x:c r="W769" s="2" t="str">
        <x:v>Completed transport</x:v>
      </x:c>
      <x:c r="X769" s="2" t="str">
        <x:v>QR</x:v>
      </x:c>
      <x:c r="Y769" s="2" t="str">
        <x:v>Online</x:v>
      </x:c>
      <x:c r="Z769" s="2" t="str">
        <x:v>Synced</x:v>
      </x:c>
      <x:c r="AA769" s="2"/>
      <x:c r="AB769" s="2"/>
      <x:c r="AC769" s="10" t="n">
        <x:f>IF(OR(K769="",Q769=""),"",ROUND((Q769-K769)*1440,2))</x:f>
        <x:v>43.5</x:v>
      </x:c>
    </x:row>
    <x:row r="770" ht="21" customHeight="1">
      <x:c r="A770" s="2" t="str">
        <x:v>LN00769</x:v>
      </x:c>
      <x:c r="B770" s="2" t="str">
        <x:v>T20261007-2-1</x:v>
      </x:c>
      <x:c r="C770" s="7" t="n">
        <x:v>46302</x:v>
      </x:c>
      <x:c r="D770" s="2" t="str">
        <x:v>BUS001</x:v>
      </x:c>
      <x:c r="E770" s="2" t="str">
        <x:v>ST039</x:v>
      </x:c>
      <x:c r="F770" s="2" t="n">
        <x:v>2</x:v>
      </x:c>
      <x:c r="G770" s="2" t="str">
        <x:v>Senior</x:v>
      </x:c>
      <x:c r="H770" s="2" t="str">
        <x:v>Pickup</x:v>
      </x:c>
      <x:c r="I770" s="2" t="str">
        <x:v>R1S3</x:v>
      </x:c>
      <x:c r="J770" s="2" t="str">
        <x:v>EV001531</x:v>
      </x:c>
      <x:c r="K770" s="8" t="n">
        <x:v>46302.481527777774</x:v>
      </x:c>
      <x:c r="L770" s="2" t="str">
        <x:v>R1S3</x:v>
      </x:c>
      <x:c r="M770" s="9" t="n">
        <x:v>25.275000000000002</x:v>
      </x:c>
      <x:c r="N770" s="9" t="n">
        <x:v>51.497</x:v>
      </x:c>
      <x:c r="O770" s="2" t="str">
        <x:v>Valid</x:v>
      </x:c>
      <x:c r="P770" s="2" t="str">
        <x:v>EV001532</x:v>
      </x:c>
      <x:c r="Q770" s="8" t="n">
        <x:v>46302.50687500001</x:v>
      </x:c>
      <x:c r="R770" s="2" t="str">
        <x:v>SCH01</x:v>
      </x:c>
      <x:c r="S770" s="9" t="n">
        <x:v>25.285</x:v>
      </x:c>
      <x:c r="T770" s="9" t="n">
        <x:v>51.51</x:v>
      </x:c>
      <x:c r="U770" s="2" t="str">
        <x:v>SCHOOL_RECEIVER_01</x:v>
      </x:c>
      <x:c r="V770" s="2" t="str">
        <x:v>School staff receipt</x:v>
      </x:c>
      <x:c r="W770" s="2" t="str">
        <x:v>Completed transport</x:v>
      </x:c>
      <x:c r="X770" s="2" t="str">
        <x:v>QR</x:v>
      </x:c>
      <x:c r="Y770" s="2" t="str">
        <x:v>Online</x:v>
      </x:c>
      <x:c r="Z770" s="2" t="str">
        <x:v>Synced</x:v>
      </x:c>
      <x:c r="AA770" s="2"/>
      <x:c r="AB770" s="2"/>
      <x:c r="AC770" s="10" t="n">
        <x:f>IF(OR(K770="",Q770=""),"",ROUND((Q770-K770)*1440,2))</x:f>
        <x:v>36.5</x:v>
      </x:c>
    </x:row>
    <x:row r="771" ht="21" customHeight="1">
      <x:c r="A771" s="2" t="str">
        <x:v>LN00770</x:v>
      </x:c>
      <x:c r="B771" s="2" t="str">
        <x:v>T20261007-2-1</x:v>
      </x:c>
      <x:c r="C771" s="7" t="n">
        <x:v>46302</x:v>
      </x:c>
      <x:c r="D771" s="2" t="str">
        <x:v>BUS001</x:v>
      </x:c>
      <x:c r="E771" s="2" t="str">
        <x:v>ST040</x:v>
      </x:c>
      <x:c r="F771" s="2" t="n">
        <x:v>2</x:v>
      </x:c>
      <x:c r="G771" s="2" t="str">
        <x:v>Senior</x:v>
      </x:c>
      <x:c r="H771" s="2" t="str">
        <x:v>Pickup</x:v>
      </x:c>
      <x:c r="I771" s="2" t="str">
        <x:v>R1S1</x:v>
      </x:c>
      <x:c r="J771" s="2" t="str">
        <x:v>EV001533</x:v>
      </x:c>
      <x:c r="K771" s="8" t="n">
        <x:v>46302.47184027778</x:v>
      </x:c>
      <x:c r="L771" s="2" t="str">
        <x:v>R1S1</x:v>
      </x:c>
      <x:c r="M771" s="9" t="n">
        <x:v>25.271</x:v>
      </x:c>
      <x:c r="N771" s="9" t="n">
        <x:v>51.491</x:v>
      </x:c>
      <x:c r="O771" s="2" t="str">
        <x:v>Valid</x:v>
      </x:c>
      <x:c r="P771" s="2" t="str">
        <x:v>EV001534</x:v>
      </x:c>
      <x:c r="Q771" s="8" t="n">
        <x:v>46302.50690972222</x:v>
      </x:c>
      <x:c r="R771" s="2" t="str">
        <x:v>SCH01</x:v>
      </x:c>
      <x:c r="S771" s="9" t="n">
        <x:v>25.285</x:v>
      </x:c>
      <x:c r="T771" s="9" t="n">
        <x:v>51.51</x:v>
      </x:c>
      <x:c r="U771" s="2" t="str">
        <x:v>SCHOOL_RECEIVER_01</x:v>
      </x:c>
      <x:c r="V771" s="2" t="str">
        <x:v>School staff receipt</x:v>
      </x:c>
      <x:c r="W771" s="2" t="str">
        <x:v>Completed transport</x:v>
      </x:c>
      <x:c r="X771" s="2" t="str">
        <x:v>QR</x:v>
      </x:c>
      <x:c r="Y771" s="2" t="str">
        <x:v>Online</x:v>
      </x:c>
      <x:c r="Z771" s="2" t="str">
        <x:v>Synced</x:v>
      </x:c>
      <x:c r="AA771" s="2"/>
      <x:c r="AB771" s="2"/>
      <x:c r="AC771" s="10" t="n">
        <x:f>IF(OR(K771="",Q771=""),"",ROUND((Q771-K771)*1440,2))</x:f>
        <x:v>50.5</x:v>
      </x:c>
    </x:row>
    <x:row r="772" ht="21" customHeight="1">
      <x:c r="A772" s="2" t="str">
        <x:v>LN00771</x:v>
      </x:c>
      <x:c r="B772" s="2" t="str">
        <x:v>T20261007-3-1</x:v>
      </x:c>
      <x:c r="C772" s="7" t="n">
        <x:v>46302</x:v>
      </x:c>
      <x:c r="D772" s="2" t="str">
        <x:v>BUS001</x:v>
      </x:c>
      <x:c r="E772" s="2" t="str">
        <x:v>ST011</x:v>
      </x:c>
      <x:c r="F772" s="2" t="n">
        <x:v>1</x:v>
      </x:c>
      <x:c r="G772" s="2" t="str">
        <x:v>Senior</x:v>
      </x:c>
      <x:c r="H772" s="2" t="str">
        <x:v>Drop-off</x:v>
      </x:c>
      <x:c r="I772" s="2" t="str">
        <x:v>R1S2</x:v>
      </x:c>
      <x:c r="J772" s="2" t="str">
        <x:v>EV001535</x:v>
      </x:c>
      <x:c r="K772" s="8" t="n">
        <x:v>46302.57291666667</x:v>
      </x:c>
      <x:c r="L772" s="2" t="str">
        <x:v>SCH01</x:v>
      </x:c>
      <x:c r="M772" s="9" t="n">
        <x:v>25.285</x:v>
      </x:c>
      <x:c r="N772" s="9" t="n">
        <x:v>51.51</x:v>
      </x:c>
      <x:c r="O772" s="2" t="str">
        <x:v>Valid</x:v>
      </x:c>
      <x:c r="P772" s="2" t="str">
        <x:v>EV001536</x:v>
      </x:c>
      <x:c r="Q772" s="8" t="n">
        <x:v>46302.59027777778</x:v>
      </x:c>
      <x:c r="R772" s="2" t="str">
        <x:v>R1S2</x:v>
      </x:c>
      <x:c r="S772" s="9" t="n">
        <x:v>25.273000000000003</x:v>
      </x:c>
      <x:c r="T772" s="9" t="n">
        <x:v>51.494</x:v>
      </x:c>
      <x:c r="U772" s="2" t="str">
        <x:v>G011</x:v>
      </x:c>
      <x:c r="V772" s="2" t="str">
        <x:v>Authorized guardian release</x:v>
      </x:c>
      <x:c r="W772" s="2" t="str">
        <x:v>Completed transport</x:v>
      </x:c>
      <x:c r="X772" s="2" t="str">
        <x:v>QR</x:v>
      </x:c>
      <x:c r="Y772" s="2" t="str">
        <x:v>Online</x:v>
      </x:c>
      <x:c r="Z772" s="2" t="str">
        <x:v>Synced</x:v>
      </x:c>
      <x:c r="AA772" s="2"/>
      <x:c r="AB772" s="2"/>
      <x:c r="AC772" s="10" t="n">
        <x:f>IF(OR(K772="",Q772=""),"",ROUND((Q772-K772)*1440,2))</x:f>
        <x:v>25</x:v>
      </x:c>
    </x:row>
    <x:row r="773" ht="21" customHeight="1">
      <x:c r="A773" s="2" t="str">
        <x:v>LN00772</x:v>
      </x:c>
      <x:c r="B773" s="2" t="str">
        <x:v>T20261007-3-1</x:v>
      </x:c>
      <x:c r="C773" s="7" t="n">
        <x:v>46302</x:v>
      </x:c>
      <x:c r="D773" s="2" t="str">
        <x:v>BUS001</x:v>
      </x:c>
      <x:c r="E773" s="2" t="str">
        <x:v>ST012</x:v>
      </x:c>
      <x:c r="F773" s="2" t="n">
        <x:v>1</x:v>
      </x:c>
      <x:c r="G773" s="2" t="str">
        <x:v>Senior</x:v>
      </x:c>
      <x:c r="H773" s="2" t="str">
        <x:v>Drop-off</x:v>
      </x:c>
      <x:c r="I773" s="2" t="str">
        <x:v>R1S3</x:v>
      </x:c>
      <x:c r="J773" s="2" t="str">
        <x:v>EV001537</x:v>
      </x:c>
      <x:c r="K773" s="8" t="n">
        <x:v>46302.572951388895</x:v>
      </x:c>
      <x:c r="L773" s="2" t="str">
        <x:v>SCH01</x:v>
      </x:c>
      <x:c r="M773" s="9" t="n">
        <x:v>25.285</x:v>
      </x:c>
      <x:c r="N773" s="9" t="n">
        <x:v>51.51</x:v>
      </x:c>
      <x:c r="O773" s="2" t="str">
        <x:v>Valid</x:v>
      </x:c>
      <x:c r="P773" s="2" t="str">
        <x:v>EV001538</x:v>
      </x:c>
      <x:c r="Q773" s="8" t="n">
        <x:v>46302.59447916667</x:v>
      </x:c>
      <x:c r="R773" s="2" t="str">
        <x:v>R1S3</x:v>
      </x:c>
      <x:c r="S773" s="9" t="n">
        <x:v>25.275000000000002</x:v>
      </x:c>
      <x:c r="T773" s="9" t="n">
        <x:v>51.497</x:v>
      </x:c>
      <x:c r="U773" s="2" t="str">
        <x:v>G012</x:v>
      </x:c>
      <x:c r="V773" s="2" t="str">
        <x:v>Authorized guardian release</x:v>
      </x:c>
      <x:c r="W773" s="2" t="str">
        <x:v>Completed transport</x:v>
      </x:c>
      <x:c r="X773" s="2" t="str">
        <x:v>QR</x:v>
      </x:c>
      <x:c r="Y773" s="2" t="str">
        <x:v>Online</x:v>
      </x:c>
      <x:c r="Z773" s="2" t="str">
        <x:v>Synced</x:v>
      </x:c>
      <x:c r="AA773" s="2"/>
      <x:c r="AB773" s="2"/>
      <x:c r="AC773" s="10" t="n">
        <x:f>IF(OR(K773="",Q773=""),"",ROUND((Q773-K773)*1440,2))</x:f>
        <x:v>31</x:v>
      </x:c>
    </x:row>
    <x:row r="774" ht="21" customHeight="1">
      <x:c r="A774" s="2" t="str">
        <x:v>LN00773</x:v>
      </x:c>
      <x:c r="B774" s="2" t="str">
        <x:v>T20261007-3-1</x:v>
      </x:c>
      <x:c r="C774" s="7" t="n">
        <x:v>46302</x:v>
      </x:c>
      <x:c r="D774" s="2" t="str">
        <x:v>BUS001</x:v>
      </x:c>
      <x:c r="E774" s="2" t="str">
        <x:v>ST013</x:v>
      </x:c>
      <x:c r="F774" s="2" t="n">
        <x:v>1</x:v>
      </x:c>
      <x:c r="G774" s="2" t="str">
        <x:v>Senior</x:v>
      </x:c>
      <x:c r="H774" s="2" t="str">
        <x:v>Drop-off</x:v>
      </x:c>
      <x:c r="I774" s="2" t="str">
        <x:v>R1S1</x:v>
      </x:c>
      <x:c r="J774" s="2" t="str">
        <x:v>EV001539</x:v>
      </x:c>
      <x:c r="K774" s="8" t="n">
        <x:v>46302.57298611112</x:v>
      </x:c>
      <x:c r="L774" s="2" t="str">
        <x:v>SCH01</x:v>
      </x:c>
      <x:c r="M774" s="9" t="n">
        <x:v>25.285</x:v>
      </x:c>
      <x:c r="N774" s="9" t="n">
        <x:v>51.51</x:v>
      </x:c>
      <x:c r="O774" s="2" t="str">
        <x:v>Valid</x:v>
      </x:c>
      <x:c r="P774" s="2" t="str">
        <x:v>EV001540</x:v>
      </x:c>
      <x:c r="Q774" s="8" t="n">
        <x:v>46302.58618055556</x:v>
      </x:c>
      <x:c r="R774" s="2" t="str">
        <x:v>R1S1</x:v>
      </x:c>
      <x:c r="S774" s="9" t="n">
        <x:v>25.271</x:v>
      </x:c>
      <x:c r="T774" s="9" t="n">
        <x:v>51.491</x:v>
      </x:c>
      <x:c r="U774" s="2" t="str">
        <x:v>G013</x:v>
      </x:c>
      <x:c r="V774" s="2" t="str">
        <x:v>Authorized guardian release</x:v>
      </x:c>
      <x:c r="W774" s="2" t="str">
        <x:v>Completed transport</x:v>
      </x:c>
      <x:c r="X774" s="2" t="str">
        <x:v>QR</x:v>
      </x:c>
      <x:c r="Y774" s="2" t="str">
        <x:v>Online</x:v>
      </x:c>
      <x:c r="Z774" s="2" t="str">
        <x:v>Synced</x:v>
      </x:c>
      <x:c r="AA774" s="2"/>
      <x:c r="AB774" s="2"/>
      <x:c r="AC774" s="10" t="n">
        <x:f>IF(OR(K774="",Q774=""),"",ROUND((Q774-K774)*1440,2))</x:f>
        <x:v>19</x:v>
      </x:c>
    </x:row>
    <x:row r="775" ht="21" customHeight="1">
      <x:c r="A775" s="2" t="str">
        <x:v>LN00774</x:v>
      </x:c>
      <x:c r="B775" s="2" t="str">
        <x:v>T20261007-3-1</x:v>
      </x:c>
      <x:c r="C775" s="7" t="n">
        <x:v>46302</x:v>
      </x:c>
      <x:c r="D775" s="2" t="str">
        <x:v>BUS001</x:v>
      </x:c>
      <x:c r="E775" s="2" t="str">
        <x:v>ST014</x:v>
      </x:c>
      <x:c r="F775" s="2" t="n">
        <x:v>1</x:v>
      </x:c>
      <x:c r="G775" s="2" t="str">
        <x:v>Senior</x:v>
      </x:c>
      <x:c r="H775" s="2" t="str">
        <x:v>Drop-off</x:v>
      </x:c>
      <x:c r="I775" s="2" t="str">
        <x:v>R1S2</x:v>
      </x:c>
      <x:c r="J775" s="2" t="str">
        <x:v>EV001541</x:v>
      </x:c>
      <x:c r="K775" s="8" t="n">
        <x:v>46302.57302083334</x:v>
      </x:c>
      <x:c r="L775" s="2" t="str">
        <x:v>SCH01</x:v>
      </x:c>
      <x:c r="M775" s="9" t="n">
        <x:v>25.285</x:v>
      </x:c>
      <x:c r="N775" s="9" t="n">
        <x:v>51.51</x:v>
      </x:c>
      <x:c r="O775" s="2" t="str">
        <x:v>Valid</x:v>
      </x:c>
      <x:c r="P775" s="2" t="str">
        <x:v>EV001542</x:v>
      </x:c>
      <x:c r="Q775" s="8" t="n">
        <x:v>46302.59038194445</x:v>
      </x:c>
      <x:c r="R775" s="2" t="str">
        <x:v>R1S2</x:v>
      </x:c>
      <x:c r="S775" s="9" t="n">
        <x:v>25.273000000000003</x:v>
      </x:c>
      <x:c r="T775" s="9" t="n">
        <x:v>51.494</x:v>
      </x:c>
      <x:c r="U775" s="2" t="str">
        <x:v>G014</x:v>
      </x:c>
      <x:c r="V775" s="2" t="str">
        <x:v>Authorized guardian release</x:v>
      </x:c>
      <x:c r="W775" s="2" t="str">
        <x:v>Completed transport</x:v>
      </x:c>
      <x:c r="X775" s="2" t="str">
        <x:v>QR</x:v>
      </x:c>
      <x:c r="Y775" s="2" t="str">
        <x:v>Online</x:v>
      </x:c>
      <x:c r="Z775" s="2" t="str">
        <x:v>Synced</x:v>
      </x:c>
      <x:c r="AA775" s="2"/>
      <x:c r="AB775" s="2"/>
      <x:c r="AC775" s="10" t="n">
        <x:f>IF(OR(K775="",Q775=""),"",ROUND((Q775-K775)*1440,2))</x:f>
        <x:v>25</x:v>
      </x:c>
    </x:row>
    <x:row r="776" ht="21" customHeight="1">
      <x:c r="A776" s="2" t="str">
        <x:v>LN00775</x:v>
      </x:c>
      <x:c r="B776" s="2" t="str">
        <x:v>T20261007-3-1</x:v>
      </x:c>
      <x:c r="C776" s="7" t="n">
        <x:v>46302</x:v>
      </x:c>
      <x:c r="D776" s="2" t="str">
        <x:v>BUS001</x:v>
      </x:c>
      <x:c r="E776" s="2" t="str">
        <x:v>ST015</x:v>
      </x:c>
      <x:c r="F776" s="2" t="n">
        <x:v>1</x:v>
      </x:c>
      <x:c r="G776" s="2" t="str">
        <x:v>Senior</x:v>
      </x:c>
      <x:c r="H776" s="2" t="str">
        <x:v>Drop-off</x:v>
      </x:c>
      <x:c r="I776" s="2" t="str">
        <x:v>R1S3</x:v>
      </x:c>
      <x:c r="J776" s="2" t="str">
        <x:v>EV001543</x:v>
      </x:c>
      <x:c r="K776" s="8" t="n">
        <x:v>46302.573055555564</x:v>
      </x:c>
      <x:c r="L776" s="2" t="str">
        <x:v>SCH01</x:v>
      </x:c>
      <x:c r="M776" s="9" t="n">
        <x:v>25.285</x:v>
      </x:c>
      <x:c r="N776" s="9" t="n">
        <x:v>51.51</x:v>
      </x:c>
      <x:c r="O776" s="2" t="str">
        <x:v>Valid</x:v>
      </x:c>
      <x:c r="P776" s="2" t="str">
        <x:v>EV001544</x:v>
      </x:c>
      <x:c r="Q776" s="8" t="n">
        <x:v>46302.59805555556</x:v>
      </x:c>
      <x:c r="R776" s="2" t="str">
        <x:v>R1S3</x:v>
      </x:c>
      <x:c r="S776" s="9" t="n">
        <x:v>25.275000000000002</x:v>
      </x:c>
      <x:c r="T776" s="9" t="n">
        <x:v>51.497</x:v>
      </x:c>
      <x:c r="U776" s="2" t="str">
        <x:v>G015</x:v>
      </x:c>
      <x:c r="V776" s="2" t="str">
        <x:v>Authorized guardian release</x:v>
      </x:c>
      <x:c r="W776" s="2" t="str">
        <x:v>Completed transport</x:v>
      </x:c>
      <x:c r="X776" s="2" t="str">
        <x:v>QR</x:v>
      </x:c>
      <x:c r="Y776" s="2" t="str">
        <x:v>Online</x:v>
      </x:c>
      <x:c r="Z776" s="2" t="str">
        <x:v>Synced</x:v>
      </x:c>
      <x:c r="AA776" s="2"/>
      <x:c r="AB776" s="2" t="str">
        <x:v>EX0004</x:v>
      </x:c>
      <x:c r="AC776" s="10" t="n">
        <x:f>IF(OR(K776="",Q776=""),"",ROUND((Q776-K776)*1440,2))</x:f>
        <x:v>36</x:v>
      </x:c>
    </x:row>
    <x:row r="777" ht="21" customHeight="1">
      <x:c r="A777" s="2" t="str">
        <x:v>LN00776</x:v>
      </x:c>
      <x:c r="B777" s="2" t="str">
        <x:v>T20261007-3-1</x:v>
      </x:c>
      <x:c r="C777" s="7" t="n">
        <x:v>46302</x:v>
      </x:c>
      <x:c r="D777" s="2" t="str">
        <x:v>BUS001</x:v>
      </x:c>
      <x:c r="E777" s="2" t="str">
        <x:v>ST016</x:v>
      </x:c>
      <x:c r="F777" s="2" t="n">
        <x:v>1</x:v>
      </x:c>
      <x:c r="G777" s="2" t="str">
        <x:v>Senior</x:v>
      </x:c>
      <x:c r="H777" s="2" t="str">
        <x:v>Drop-off</x:v>
      </x:c>
      <x:c r="I777" s="2" t="str">
        <x:v>R1S1</x:v>
      </x:c>
      <x:c r="J777" s="2" t="str">
        <x:v>EV001545</x:v>
      </x:c>
      <x:c r="K777" s="8" t="n">
        <x:v>46302.57309027778</x:v>
      </x:c>
      <x:c r="L777" s="2" t="str">
        <x:v>SCH01</x:v>
      </x:c>
      <x:c r="M777" s="9" t="n">
        <x:v>25.285</x:v>
      </x:c>
      <x:c r="N777" s="9" t="n">
        <x:v>51.51</x:v>
      </x:c>
      <x:c r="O777" s="2" t="str">
        <x:v>Valid</x:v>
      </x:c>
      <x:c r="P777" s="2" t="str">
        <x:v>EV001546</x:v>
      </x:c>
      <x:c r="Q777" s="8" t="n">
        <x:v>46302.58628472222</x:v>
      </x:c>
      <x:c r="R777" s="2" t="str">
        <x:v>R1S1</x:v>
      </x:c>
      <x:c r="S777" s="9" t="n">
        <x:v>25.271</x:v>
      </x:c>
      <x:c r="T777" s="9" t="n">
        <x:v>51.491</x:v>
      </x:c>
      <x:c r="U777" s="2" t="str">
        <x:v>G016</x:v>
      </x:c>
      <x:c r="V777" s="2" t="str">
        <x:v>Authorized guardian release</x:v>
      </x:c>
      <x:c r="W777" s="2" t="str">
        <x:v>Completed transport</x:v>
      </x:c>
      <x:c r="X777" s="2" t="str">
        <x:v>QR</x:v>
      </x:c>
      <x:c r="Y777" s="2" t="str">
        <x:v>Online</x:v>
      </x:c>
      <x:c r="Z777" s="2" t="str">
        <x:v>Synced</x:v>
      </x:c>
      <x:c r="AA777" s="2"/>
      <x:c r="AB777" s="2"/>
      <x:c r="AC777" s="10" t="n">
        <x:f>IF(OR(K777="",Q777=""),"",ROUND((Q777-K777)*1440,2))</x:f>
        <x:v>19</x:v>
      </x:c>
    </x:row>
    <x:row r="778" ht="21" customHeight="1">
      <x:c r="A778" s="2" t="str">
        <x:v>LN00777</x:v>
      </x:c>
      <x:c r="B778" s="2" t="str">
        <x:v>T20261007-3-1</x:v>
      </x:c>
      <x:c r="C778" s="7" t="n">
        <x:v>46302</x:v>
      </x:c>
      <x:c r="D778" s="2" t="str">
        <x:v>BUS001</x:v>
      </x:c>
      <x:c r="E778" s="2" t="str">
        <x:v>ST017</x:v>
      </x:c>
      <x:c r="F778" s="2" t="n">
        <x:v>1</x:v>
      </x:c>
      <x:c r="G778" s="2" t="str">
        <x:v>Senior</x:v>
      </x:c>
      <x:c r="H778" s="2" t="str">
        <x:v>Drop-off</x:v>
      </x:c>
      <x:c r="I778" s="2" t="str">
        <x:v>R1S2</x:v>
      </x:c>
      <x:c r="J778" s="2" t="str">
        <x:v>EV001547</x:v>
      </x:c>
      <x:c r="K778" s="8" t="n">
        <x:v>46302.573125</x:v>
      </x:c>
      <x:c r="L778" s="2" t="str">
        <x:v>SCH01</x:v>
      </x:c>
      <x:c r="M778" s="9" t="n">
        <x:v>25.285</x:v>
      </x:c>
      <x:c r="N778" s="9" t="n">
        <x:v>51.51</x:v>
      </x:c>
      <x:c r="O778" s="2" t="str">
        <x:v>Valid</x:v>
      </x:c>
      <x:c r="P778" s="2" t="str">
        <x:v>EV001548</x:v>
      </x:c>
      <x:c r="Q778" s="8" t="n">
        <x:v>46302.59048611111</x:v>
      </x:c>
      <x:c r="R778" s="2" t="str">
        <x:v>R1S2</x:v>
      </x:c>
      <x:c r="S778" s="9" t="n">
        <x:v>25.273000000000003</x:v>
      </x:c>
      <x:c r="T778" s="9" t="n">
        <x:v>51.494</x:v>
      </x:c>
      <x:c r="U778" s="2" t="str">
        <x:v>G017</x:v>
      </x:c>
      <x:c r="V778" s="2" t="str">
        <x:v>Authorized guardian release</x:v>
      </x:c>
      <x:c r="W778" s="2" t="str">
        <x:v>Completed transport</x:v>
      </x:c>
      <x:c r="X778" s="2" t="str">
        <x:v>QR</x:v>
      </x:c>
      <x:c r="Y778" s="2" t="str">
        <x:v>Online</x:v>
      </x:c>
      <x:c r="Z778" s="2" t="str">
        <x:v>Synced</x:v>
      </x:c>
      <x:c r="AA778" s="2"/>
      <x:c r="AB778" s="2"/>
      <x:c r="AC778" s="10" t="n">
        <x:f>IF(OR(K778="",Q778=""),"",ROUND((Q778-K778)*1440,2))</x:f>
        <x:v>25</x:v>
      </x:c>
    </x:row>
    <x:row r="779" ht="21" customHeight="1">
      <x:c r="A779" s="2" t="str">
        <x:v>LN00778</x:v>
      </x:c>
      <x:c r="B779" s="2" t="str">
        <x:v>T20261007-3-1</x:v>
      </x:c>
      <x:c r="C779" s="7" t="n">
        <x:v>46302</x:v>
      </x:c>
      <x:c r="D779" s="2" t="str">
        <x:v>BUS001</x:v>
      </x:c>
      <x:c r="E779" s="2" t="str">
        <x:v>ST018</x:v>
      </x:c>
      <x:c r="F779" s="2" t="n">
        <x:v>1</x:v>
      </x:c>
      <x:c r="G779" s="2" t="str">
        <x:v>Senior</x:v>
      </x:c>
      <x:c r="H779" s="2" t="str">
        <x:v>Drop-off</x:v>
      </x:c>
      <x:c r="I779" s="2" t="str">
        <x:v>R1S3</x:v>
      </x:c>
      <x:c r="J779" s="2" t="str">
        <x:v>EV001549</x:v>
      </x:c>
      <x:c r="K779" s="8" t="n">
        <x:v>46302.573159722226</x:v>
      </x:c>
      <x:c r="L779" s="2" t="str">
        <x:v>SCH01</x:v>
      </x:c>
      <x:c r="M779" s="9" t="n">
        <x:v>25.285</x:v>
      </x:c>
      <x:c r="N779" s="9" t="n">
        <x:v>51.51</x:v>
      </x:c>
      <x:c r="O779" s="2" t="str">
        <x:v>Valid</x:v>
      </x:c>
      <x:c r="P779" s="2" t="str">
        <x:v>EV001550</x:v>
      </x:c>
      <x:c r="Q779" s="8" t="n">
        <x:v>46302.5946875</x:v>
      </x:c>
      <x:c r="R779" s="2" t="str">
        <x:v>R1S3</x:v>
      </x:c>
      <x:c r="S779" s="9" t="n">
        <x:v>25.275000000000002</x:v>
      </x:c>
      <x:c r="T779" s="9" t="n">
        <x:v>51.497</x:v>
      </x:c>
      <x:c r="U779" s="2" t="str">
        <x:v>G018</x:v>
      </x:c>
      <x:c r="V779" s="2" t="str">
        <x:v>Authorized guardian release</x:v>
      </x:c>
      <x:c r="W779" s="2" t="str">
        <x:v>Completed transport</x:v>
      </x:c>
      <x:c r="X779" s="2" t="str">
        <x:v>QR</x:v>
      </x:c>
      <x:c r="Y779" s="2" t="str">
        <x:v>Online</x:v>
      </x:c>
      <x:c r="Z779" s="2" t="str">
        <x:v>Synced</x:v>
      </x:c>
      <x:c r="AA779" s="2"/>
      <x:c r="AB779" s="2"/>
      <x:c r="AC779" s="10" t="n">
        <x:f>IF(OR(K779="",Q779=""),"",ROUND((Q779-K779)*1440,2))</x:f>
        <x:v>31</x:v>
      </x:c>
    </x:row>
    <x:row r="780" ht="21" customHeight="1">
      <x:c r="A780" s="2" t="str">
        <x:v>LN00779</x:v>
      </x:c>
      <x:c r="B780" s="2" t="str">
        <x:v>T20261007-3-1</x:v>
      </x:c>
      <x:c r="C780" s="7" t="n">
        <x:v>46302</x:v>
      </x:c>
      <x:c r="D780" s="2" t="str">
        <x:v>BUS001</x:v>
      </x:c>
      <x:c r="E780" s="2" t="str">
        <x:v>ST019</x:v>
      </x:c>
      <x:c r="F780" s="2" t="n">
        <x:v>1</x:v>
      </x:c>
      <x:c r="G780" s="2" t="str">
        <x:v>Senior</x:v>
      </x:c>
      <x:c r="H780" s="2" t="str">
        <x:v>Drop-off</x:v>
      </x:c>
      <x:c r="I780" s="2" t="str">
        <x:v>R1S1</x:v>
      </x:c>
      <x:c r="J780" s="2" t="str">
        <x:v>EV001551</x:v>
      </x:c>
      <x:c r="K780" s="8" t="n">
        <x:v>46302.57319444445</x:v>
      </x:c>
      <x:c r="L780" s="2" t="str">
        <x:v>SCH01</x:v>
      </x:c>
      <x:c r="M780" s="9" t="n">
        <x:v>25.285</x:v>
      </x:c>
      <x:c r="N780" s="9" t="n">
        <x:v>51.51</x:v>
      </x:c>
      <x:c r="O780" s="2" t="str">
        <x:v>Valid</x:v>
      </x:c>
      <x:c r="P780" s="2" t="str">
        <x:v>EV001552</x:v>
      </x:c>
      <x:c r="Q780" s="8" t="n">
        <x:v>46302.58638888889</x:v>
      </x:c>
      <x:c r="R780" s="2" t="str">
        <x:v>R1S1</x:v>
      </x:c>
      <x:c r="S780" s="9" t="n">
        <x:v>25.271</x:v>
      </x:c>
      <x:c r="T780" s="9" t="n">
        <x:v>51.491</x:v>
      </x:c>
      <x:c r="U780" s="2" t="str">
        <x:v>G019</x:v>
      </x:c>
      <x:c r="V780" s="2" t="str">
        <x:v>Authorized guardian release</x:v>
      </x:c>
      <x:c r="W780" s="2" t="str">
        <x:v>Completed transport</x:v>
      </x:c>
      <x:c r="X780" s="2" t="str">
        <x:v>QR</x:v>
      </x:c>
      <x:c r="Y780" s="2" t="str">
        <x:v>Online</x:v>
      </x:c>
      <x:c r="Z780" s="2" t="str">
        <x:v>Synced</x:v>
      </x:c>
      <x:c r="AA780" s="2"/>
      <x:c r="AB780" s="2"/>
      <x:c r="AC780" s="10" t="n">
        <x:f>IF(OR(K780="",Q780=""),"",ROUND((Q780-K780)*1440,2))</x:f>
        <x:v>19</x:v>
      </x:c>
    </x:row>
    <x:row r="781" ht="21" customHeight="1">
      <x:c r="A781" s="2" t="str">
        <x:v>LN00780</x:v>
      </x:c>
      <x:c r="B781" s="2" t="str">
        <x:v>T20261007-3-1</x:v>
      </x:c>
      <x:c r="C781" s="7" t="n">
        <x:v>46302</x:v>
      </x:c>
      <x:c r="D781" s="2" t="str">
        <x:v>BUS001</x:v>
      </x:c>
      <x:c r="E781" s="2" t="str">
        <x:v>ST020</x:v>
      </x:c>
      <x:c r="F781" s="2" t="n">
        <x:v>1</x:v>
      </x:c>
      <x:c r="G781" s="2" t="str">
        <x:v>Senior</x:v>
      </x:c>
      <x:c r="H781" s="2" t="str">
        <x:v>Drop-off</x:v>
      </x:c>
      <x:c r="I781" s="2" t="str">
        <x:v>R1S2</x:v>
      </x:c>
      <x:c r="J781" s="2" t="str">
        <x:v>EV001553</x:v>
      </x:c>
      <x:c r="K781" s="8" t="n">
        <x:v>46302.57322916667</x:v>
      </x:c>
      <x:c r="L781" s="2" t="str">
        <x:v>SCH01</x:v>
      </x:c>
      <x:c r="M781" s="9" t="n">
        <x:v>25.285</x:v>
      </x:c>
      <x:c r="N781" s="9" t="n">
        <x:v>51.51</x:v>
      </x:c>
      <x:c r="O781" s="2" t="str">
        <x:v>Valid</x:v>
      </x:c>
      <x:c r="P781" s="2" t="str">
        <x:v>EV001554</x:v>
      </x:c>
      <x:c r="Q781" s="8" t="n">
        <x:v>46302.59059027778</x:v>
      </x:c>
      <x:c r="R781" s="2" t="str">
        <x:v>R1S2</x:v>
      </x:c>
      <x:c r="S781" s="9" t="n">
        <x:v>25.273000000000003</x:v>
      </x:c>
      <x:c r="T781" s="9" t="n">
        <x:v>51.494</x:v>
      </x:c>
      <x:c r="U781" s="2" t="str">
        <x:v>G020</x:v>
      </x:c>
      <x:c r="V781" s="2" t="str">
        <x:v>Authorized guardian release</x:v>
      </x:c>
      <x:c r="W781" s="2" t="str">
        <x:v>Completed transport</x:v>
      </x:c>
      <x:c r="X781" s="2" t="str">
        <x:v>QR</x:v>
      </x:c>
      <x:c r="Y781" s="2" t="str">
        <x:v>Online</x:v>
      </x:c>
      <x:c r="Z781" s="2" t="str">
        <x:v>Synced</x:v>
      </x:c>
      <x:c r="AA781" s="2"/>
      <x:c r="AB781" s="2"/>
      <x:c r="AC781" s="10" t="n">
        <x:f>IF(OR(K781="",Q781=""),"",ROUND((Q781-K781)*1440,2))</x:f>
        <x:v>25</x:v>
      </x:c>
    </x:row>
    <x:row r="782" ht="21" customHeight="1">
      <x:c r="A782" s="2" t="str">
        <x:v>LN00781</x:v>
      </x:c>
      <x:c r="B782" s="2" t="str">
        <x:v>T20261007-4-1</x:v>
      </x:c>
      <x:c r="C782" s="7" t="n">
        <x:v>46302</x:v>
      </x:c>
      <x:c r="D782" s="2" t="str">
        <x:v>BUS001</x:v>
      </x:c>
      <x:c r="E782" s="2" t="str">
        <x:v>ST021</x:v>
      </x:c>
      <x:c r="F782" s="2" t="n">
        <x:v>2</x:v>
      </x:c>
      <x:c r="G782" s="2" t="str">
        <x:v>Junior</x:v>
      </x:c>
      <x:c r="H782" s="2" t="str">
        <x:v>Drop-off</x:v>
      </x:c>
      <x:c r="I782" s="2" t="str">
        <x:v>R1S3</x:v>
      </x:c>
      <x:c r="J782" s="2" t="str">
        <x:v>EV001555</x:v>
      </x:c>
      <x:c r="K782" s="8" t="n">
        <x:v>46302.60416666667</x:v>
      </x:c>
      <x:c r="L782" s="2" t="str">
        <x:v>SCH01</x:v>
      </x:c>
      <x:c r="M782" s="9" t="n">
        <x:v>25.285</x:v>
      </x:c>
      <x:c r="N782" s="9" t="n">
        <x:v>51.51</x:v>
      </x:c>
      <x:c r="O782" s="2" t="str">
        <x:v>Valid</x:v>
      </x:c>
      <x:c r="P782" s="2" t="str">
        <x:v>EV001556</x:v>
      </x:c>
      <x:c r="Q782" s="8" t="n">
        <x:v>46302.62708333333</x:v>
      </x:c>
      <x:c r="R782" s="2" t="str">
        <x:v>R1S3</x:v>
      </x:c>
      <x:c r="S782" s="9" t="n">
        <x:v>25.275000000000002</x:v>
      </x:c>
      <x:c r="T782" s="9" t="n">
        <x:v>51.497</x:v>
      </x:c>
      <x:c r="U782" s="2" t="str">
        <x:v>G021</x:v>
      </x:c>
      <x:c r="V782" s="2" t="str">
        <x:v>Authorized guardian release</x:v>
      </x:c>
      <x:c r="W782" s="2" t="str">
        <x:v>Completed transport</x:v>
      </x:c>
      <x:c r="X782" s="2" t="str">
        <x:v>QR</x:v>
      </x:c>
      <x:c r="Y782" s="2" t="str">
        <x:v>Online</x:v>
      </x:c>
      <x:c r="Z782" s="2" t="str">
        <x:v>Synced</x:v>
      </x:c>
      <x:c r="AA782" s="2"/>
      <x:c r="AB782" s="2"/>
      <x:c r="AC782" s="10" t="n">
        <x:f>IF(OR(K782="",Q782=""),"",ROUND((Q782-K782)*1440,2))</x:f>
        <x:v>33</x:v>
      </x:c>
    </x:row>
    <x:row r="783" ht="21" customHeight="1">
      <x:c r="A783" s="2" t="str">
        <x:v>LN00782</x:v>
      </x:c>
      <x:c r="B783" s="2" t="str">
        <x:v>T20261007-4-1</x:v>
      </x:c>
      <x:c r="C783" s="7" t="n">
        <x:v>46302</x:v>
      </x:c>
      <x:c r="D783" s="2" t="str">
        <x:v>BUS001</x:v>
      </x:c>
      <x:c r="E783" s="2" t="str">
        <x:v>ST022</x:v>
      </x:c>
      <x:c r="F783" s="2" t="n">
        <x:v>2</x:v>
      </x:c>
      <x:c r="G783" s="2" t="str">
        <x:v>Junior</x:v>
      </x:c>
      <x:c r="H783" s="2" t="str">
        <x:v>Drop-off</x:v>
      </x:c>
      <x:c r="I783" s="2" t="str">
        <x:v>R1S1</x:v>
      </x:c>
      <x:c r="J783" s="2" t="str">
        <x:v>EV001557</x:v>
      </x:c>
      <x:c r="K783" s="8" t="n">
        <x:v>46302.604201388895</x:v>
      </x:c>
      <x:c r="L783" s="2" t="str">
        <x:v>SCH01</x:v>
      </x:c>
      <x:c r="M783" s="9" t="n">
        <x:v>25.285</x:v>
      </x:c>
      <x:c r="N783" s="9" t="n">
        <x:v>51.51</x:v>
      </x:c>
      <x:c r="O783" s="2" t="str">
        <x:v>Valid</x:v>
      </x:c>
      <x:c r="P783" s="2" t="str">
        <x:v>EV001558</x:v>
      </x:c>
      <x:c r="Q783" s="8" t="n">
        <x:v>46302.618784722225</x:v>
      </x:c>
      <x:c r="R783" s="2" t="str">
        <x:v>R1S1</x:v>
      </x:c>
      <x:c r="S783" s="9" t="n">
        <x:v>25.271</x:v>
      </x:c>
      <x:c r="T783" s="9" t="n">
        <x:v>51.491</x:v>
      </x:c>
      <x:c r="U783" s="2" t="str">
        <x:v>G022</x:v>
      </x:c>
      <x:c r="V783" s="2" t="str">
        <x:v>Authorized guardian release</x:v>
      </x:c>
      <x:c r="W783" s="2" t="str">
        <x:v>Completed transport</x:v>
      </x:c>
      <x:c r="X783" s="2" t="str">
        <x:v>QR</x:v>
      </x:c>
      <x:c r="Y783" s="2" t="str">
        <x:v>Online</x:v>
      </x:c>
      <x:c r="Z783" s="2" t="str">
        <x:v>Synced</x:v>
      </x:c>
      <x:c r="AA783" s="2"/>
      <x:c r="AB783" s="2"/>
      <x:c r="AC783" s="10" t="n">
        <x:f>IF(OR(K783="",Q783=""),"",ROUND((Q783-K783)*1440,2))</x:f>
        <x:v>21</x:v>
      </x:c>
    </x:row>
    <x:row r="784" ht="21" customHeight="1">
      <x:c r="A784" s="2" t="str">
        <x:v>LN00783</x:v>
      </x:c>
      <x:c r="B784" s="2" t="str">
        <x:v>T20261007-4-1</x:v>
      </x:c>
      <x:c r="C784" s="7" t="n">
        <x:v>46302</x:v>
      </x:c>
      <x:c r="D784" s="2" t="str">
        <x:v>BUS001</x:v>
      </x:c>
      <x:c r="E784" s="2" t="str">
        <x:v>ST023</x:v>
      </x:c>
      <x:c r="F784" s="2" t="n">
        <x:v>2</x:v>
      </x:c>
      <x:c r="G784" s="2" t="str">
        <x:v>Junior</x:v>
      </x:c>
      <x:c r="H784" s="2" t="str">
        <x:v>Drop-off</x:v>
      </x:c>
      <x:c r="I784" s="2" t="str">
        <x:v>R1S2</x:v>
      </x:c>
      <x:c r="J784" s="2" t="str">
        <x:v>EV001559</x:v>
      </x:c>
      <x:c r="K784" s="8" t="n">
        <x:v>46302.60423611112</x:v>
      </x:c>
      <x:c r="L784" s="2" t="str">
        <x:v>SCH01</x:v>
      </x:c>
      <x:c r="M784" s="9" t="n">
        <x:v>25.285</x:v>
      </x:c>
      <x:c r="N784" s="9" t="n">
        <x:v>51.51</x:v>
      </x:c>
      <x:c r="O784" s="2" t="str">
        <x:v>Valid</x:v>
      </x:c>
      <x:c r="P784" s="2" t="str">
        <x:v>EV001560</x:v>
      </x:c>
      <x:c r="Q784" s="8" t="n">
        <x:v>46302.62298611111</x:v>
      </x:c>
      <x:c r="R784" s="2" t="str">
        <x:v>R1S2</x:v>
      </x:c>
      <x:c r="S784" s="9" t="n">
        <x:v>25.273000000000003</x:v>
      </x:c>
      <x:c r="T784" s="9" t="n">
        <x:v>51.494</x:v>
      </x:c>
      <x:c r="U784" s="2" t="str">
        <x:v>G023</x:v>
      </x:c>
      <x:c r="V784" s="2" t="str">
        <x:v>Authorized guardian release</x:v>
      </x:c>
      <x:c r="W784" s="2" t="str">
        <x:v>Completed transport</x:v>
      </x:c>
      <x:c r="X784" s="2" t="str">
        <x:v>QR</x:v>
      </x:c>
      <x:c r="Y784" s="2" t="str">
        <x:v>Online</x:v>
      </x:c>
      <x:c r="Z784" s="2" t="str">
        <x:v>Synced</x:v>
      </x:c>
      <x:c r="AA784" s="2"/>
      <x:c r="AB784" s="2"/>
      <x:c r="AC784" s="10" t="n">
        <x:f>IF(OR(K784="",Q784=""),"",ROUND((Q784-K784)*1440,2))</x:f>
        <x:v>27</x:v>
      </x:c>
    </x:row>
    <x:row r="785" ht="21" customHeight="1">
      <x:c r="A785" s="2" t="str">
        <x:v>LN00784</x:v>
      </x:c>
      <x:c r="B785" s="2" t="str">
        <x:v>T20261007-4-1</x:v>
      </x:c>
      <x:c r="C785" s="7" t="n">
        <x:v>46302</x:v>
      </x:c>
      <x:c r="D785" s="2" t="str">
        <x:v>BUS001</x:v>
      </x:c>
      <x:c r="E785" s="2" t="str">
        <x:v>ST024</x:v>
      </x:c>
      <x:c r="F785" s="2" t="n">
        <x:v>2</x:v>
      </x:c>
      <x:c r="G785" s="2" t="str">
        <x:v>Junior</x:v>
      </x:c>
      <x:c r="H785" s="2" t="str">
        <x:v>Drop-off</x:v>
      </x:c>
      <x:c r="I785" s="2" t="str">
        <x:v>R1S3</x:v>
      </x:c>
      <x:c r="J785" s="2" t="str">
        <x:v>EV001561</x:v>
      </x:c>
      <x:c r="K785" s="8" t="n">
        <x:v>46302.60427083334</x:v>
      </x:c>
      <x:c r="L785" s="2" t="str">
        <x:v>SCH01</x:v>
      </x:c>
      <x:c r="M785" s="9" t="n">
        <x:v>25.285</x:v>
      </x:c>
      <x:c r="N785" s="9" t="n">
        <x:v>51.51</x:v>
      </x:c>
      <x:c r="O785" s="2" t="str">
        <x:v>Valid</x:v>
      </x:c>
      <x:c r="P785" s="2" t="str">
        <x:v>EV001562</x:v>
      </x:c>
      <x:c r="Q785" s="8" t="n">
        <x:v>46302.6271875</x:v>
      </x:c>
      <x:c r="R785" s="2" t="str">
        <x:v>R1S3</x:v>
      </x:c>
      <x:c r="S785" s="9" t="n">
        <x:v>25.275000000000002</x:v>
      </x:c>
      <x:c r="T785" s="9" t="n">
        <x:v>51.497</x:v>
      </x:c>
      <x:c r="U785" s="2" t="str">
        <x:v>G024</x:v>
      </x:c>
      <x:c r="V785" s="2" t="str">
        <x:v>Authorized guardian release</x:v>
      </x:c>
      <x:c r="W785" s="2" t="str">
        <x:v>Completed transport</x:v>
      </x:c>
      <x:c r="X785" s="2" t="str">
        <x:v>QR</x:v>
      </x:c>
      <x:c r="Y785" s="2" t="str">
        <x:v>Online</x:v>
      </x:c>
      <x:c r="Z785" s="2" t="str">
        <x:v>Synced</x:v>
      </x:c>
      <x:c r="AA785" s="2"/>
      <x:c r="AB785" s="2"/>
      <x:c r="AC785" s="10" t="n">
        <x:f>IF(OR(K785="",Q785=""),"",ROUND((Q785-K785)*1440,2))</x:f>
        <x:v>33</x:v>
      </x:c>
    </x:row>
    <x:row r="786" ht="21" customHeight="1">
      <x:c r="A786" s="2" t="str">
        <x:v>LN00785</x:v>
      </x:c>
      <x:c r="B786" s="2" t="str">
        <x:v>T20261007-4-1</x:v>
      </x:c>
      <x:c r="C786" s="7" t="n">
        <x:v>46302</x:v>
      </x:c>
      <x:c r="D786" s="2" t="str">
        <x:v>BUS001</x:v>
      </x:c>
      <x:c r="E786" s="2" t="str">
        <x:v>ST025</x:v>
      </x:c>
      <x:c r="F786" s="2" t="n">
        <x:v>2</x:v>
      </x:c>
      <x:c r="G786" s="2" t="str">
        <x:v>Junior</x:v>
      </x:c>
      <x:c r="H786" s="2" t="str">
        <x:v>Drop-off</x:v>
      </x:c>
      <x:c r="I786" s="2" t="str">
        <x:v>R1S1</x:v>
      </x:c>
      <x:c r="J786" s="2" t="str">
        <x:v>EV001563</x:v>
      </x:c>
      <x:c r="K786" s="8" t="n">
        <x:v>46302.604305555564</x:v>
      </x:c>
      <x:c r="L786" s="2" t="str">
        <x:v>SCH01</x:v>
      </x:c>
      <x:c r="M786" s="9" t="n">
        <x:v>25.285</x:v>
      </x:c>
      <x:c r="N786" s="9" t="n">
        <x:v>51.51</x:v>
      </x:c>
      <x:c r="O786" s="2" t="str">
        <x:v>Valid</x:v>
      </x:c>
      <x:c r="P786" s="2" t="str">
        <x:v>EV001564</x:v>
      </x:c>
      <x:c r="Q786" s="8" t="n">
        <x:v>46302.618888888894</x:v>
      </x:c>
      <x:c r="R786" s="2" t="str">
        <x:v>R1S1</x:v>
      </x:c>
      <x:c r="S786" s="9" t="n">
        <x:v>25.271</x:v>
      </x:c>
      <x:c r="T786" s="9" t="n">
        <x:v>51.491</x:v>
      </x:c>
      <x:c r="U786" s="2" t="str">
        <x:v>G025</x:v>
      </x:c>
      <x:c r="V786" s="2" t="str">
        <x:v>Authorized guardian release</x:v>
      </x:c>
      <x:c r="W786" s="2" t="str">
        <x:v>Completed transport</x:v>
      </x:c>
      <x:c r="X786" s="2" t="str">
        <x:v>QR</x:v>
      </x:c>
      <x:c r="Y786" s="2" t="str">
        <x:v>Online</x:v>
      </x:c>
      <x:c r="Z786" s="2" t="str">
        <x:v>Synced</x:v>
      </x:c>
      <x:c r="AA786" s="2"/>
      <x:c r="AB786" s="2"/>
      <x:c r="AC786" s="10" t="n">
        <x:f>IF(OR(K786="",Q786=""),"",ROUND((Q786-K786)*1440,2))</x:f>
        <x:v>21</x:v>
      </x:c>
    </x:row>
    <x:row r="787" ht="21" customHeight="1">
      <x:c r="A787" s="2" t="str">
        <x:v>LN00786</x:v>
      </x:c>
      <x:c r="B787" s="2" t="str">
        <x:v>T20261007-4-1</x:v>
      </x:c>
      <x:c r="C787" s="7" t="n">
        <x:v>46302</x:v>
      </x:c>
      <x:c r="D787" s="2" t="str">
        <x:v>BUS001</x:v>
      </x:c>
      <x:c r="E787" s="2" t="str">
        <x:v>ST026</x:v>
      </x:c>
      <x:c r="F787" s="2" t="n">
        <x:v>2</x:v>
      </x:c>
      <x:c r="G787" s="2" t="str">
        <x:v>Junior</x:v>
      </x:c>
      <x:c r="H787" s="2" t="str">
        <x:v>Drop-off</x:v>
      </x:c>
      <x:c r="I787" s="2" t="str">
        <x:v>R1S2</x:v>
      </x:c>
      <x:c r="J787" s="2" t="str">
        <x:v>EV001565</x:v>
      </x:c>
      <x:c r="K787" s="8" t="n">
        <x:v>46302.60434027778</x:v>
      </x:c>
      <x:c r="L787" s="2" t="str">
        <x:v>SCH01</x:v>
      </x:c>
      <x:c r="M787" s="9" t="n">
        <x:v>25.285</x:v>
      </x:c>
      <x:c r="N787" s="9" t="n">
        <x:v>51.51</x:v>
      </x:c>
      <x:c r="O787" s="2" t="str">
        <x:v>Valid</x:v>
      </x:c>
      <x:c r="P787" s="2" t="str">
        <x:v>EV001566</x:v>
      </x:c>
      <x:c r="Q787" s="8" t="n">
        <x:v>46302.623090277775</x:v>
      </x:c>
      <x:c r="R787" s="2" t="str">
        <x:v>R1S2</x:v>
      </x:c>
      <x:c r="S787" s="9" t="n">
        <x:v>25.273000000000003</x:v>
      </x:c>
      <x:c r="T787" s="9" t="n">
        <x:v>51.494</x:v>
      </x:c>
      <x:c r="U787" s="2" t="str">
        <x:v>G026</x:v>
      </x:c>
      <x:c r="V787" s="2" t="str">
        <x:v>Authorized guardian release</x:v>
      </x:c>
      <x:c r="W787" s="2" t="str">
        <x:v>Completed transport</x:v>
      </x:c>
      <x:c r="X787" s="2" t="str">
        <x:v>QR</x:v>
      </x:c>
      <x:c r="Y787" s="2" t="str">
        <x:v>Online</x:v>
      </x:c>
      <x:c r="Z787" s="2" t="str">
        <x:v>Synced</x:v>
      </x:c>
      <x:c r="AA787" s="2"/>
      <x:c r="AB787" s="2"/>
      <x:c r="AC787" s="10" t="n">
        <x:f>IF(OR(K787="",Q787=""),"",ROUND((Q787-K787)*1440,2))</x:f>
        <x:v>27</x:v>
      </x:c>
    </x:row>
    <x:row r="788" ht="21" customHeight="1">
      <x:c r="A788" s="2" t="str">
        <x:v>LN00787</x:v>
      </x:c>
      <x:c r="B788" s="2" t="str">
        <x:v>T20261007-4-1</x:v>
      </x:c>
      <x:c r="C788" s="7" t="n">
        <x:v>46302</x:v>
      </x:c>
      <x:c r="D788" s="2" t="str">
        <x:v>BUS001</x:v>
      </x:c>
      <x:c r="E788" s="2" t="str">
        <x:v>ST027</x:v>
      </x:c>
      <x:c r="F788" s="2" t="n">
        <x:v>2</x:v>
      </x:c>
      <x:c r="G788" s="2" t="str">
        <x:v>Junior</x:v>
      </x:c>
      <x:c r="H788" s="2" t="str">
        <x:v>Drop-off</x:v>
      </x:c>
      <x:c r="I788" s="2" t="str">
        <x:v>R1S3</x:v>
      </x:c>
      <x:c r="J788" s="2" t="str">
        <x:v>EV001567</x:v>
      </x:c>
      <x:c r="K788" s="8" t="n">
        <x:v>46302.604375</x:v>
      </x:c>
      <x:c r="L788" s="2" t="str">
        <x:v>SCH01</x:v>
      </x:c>
      <x:c r="M788" s="9" t="n">
        <x:v>25.285</x:v>
      </x:c>
      <x:c r="N788" s="9" t="n">
        <x:v>51.51</x:v>
      </x:c>
      <x:c r="O788" s="2" t="str">
        <x:v>Valid</x:v>
      </x:c>
      <x:c r="P788" s="2" t="str">
        <x:v>EV001568</x:v>
      </x:c>
      <x:c r="Q788" s="8" t="n">
        <x:v>46302.627291666664</x:v>
      </x:c>
      <x:c r="R788" s="2" t="str">
        <x:v>R1S3</x:v>
      </x:c>
      <x:c r="S788" s="9" t="n">
        <x:v>25.275000000000002</x:v>
      </x:c>
      <x:c r="T788" s="9" t="n">
        <x:v>51.497</x:v>
      </x:c>
      <x:c r="U788" s="2" t="str">
        <x:v>G027</x:v>
      </x:c>
      <x:c r="V788" s="2" t="str">
        <x:v>Authorized guardian release</x:v>
      </x:c>
      <x:c r="W788" s="2" t="str">
        <x:v>Completed transport</x:v>
      </x:c>
      <x:c r="X788" s="2" t="str">
        <x:v>QR</x:v>
      </x:c>
      <x:c r="Y788" s="2" t="str">
        <x:v>Online</x:v>
      </x:c>
      <x:c r="Z788" s="2" t="str">
        <x:v>Synced</x:v>
      </x:c>
      <x:c r="AA788" s="2"/>
      <x:c r="AB788" s="2"/>
      <x:c r="AC788" s="10" t="n">
        <x:f>IF(OR(K788="",Q788=""),"",ROUND((Q788-K788)*1440,2))</x:f>
        <x:v>33</x:v>
      </x:c>
    </x:row>
    <x:row r="789" ht="21" customHeight="1">
      <x:c r="A789" s="2" t="str">
        <x:v>LN00788</x:v>
      </x:c>
      <x:c r="B789" s="2" t="str">
        <x:v>T20261007-4-1</x:v>
      </x:c>
      <x:c r="C789" s="7" t="n">
        <x:v>46302</x:v>
      </x:c>
      <x:c r="D789" s="2" t="str">
        <x:v>BUS001</x:v>
      </x:c>
      <x:c r="E789" s="2" t="str">
        <x:v>ST028</x:v>
      </x:c>
      <x:c r="F789" s="2" t="n">
        <x:v>2</x:v>
      </x:c>
      <x:c r="G789" s="2" t="str">
        <x:v>Junior</x:v>
      </x:c>
      <x:c r="H789" s="2" t="str">
        <x:v>Drop-off</x:v>
      </x:c>
      <x:c r="I789" s="2" t="str">
        <x:v>R1S1</x:v>
      </x:c>
      <x:c r="J789" s="2" t="str">
        <x:v>EV001569</x:v>
      </x:c>
      <x:c r="K789" s="8" t="n">
        <x:v>46302.604409722226</x:v>
      </x:c>
      <x:c r="L789" s="2" t="str">
        <x:v>SCH01</x:v>
      </x:c>
      <x:c r="M789" s="9" t="n">
        <x:v>25.285</x:v>
      </x:c>
      <x:c r="N789" s="9" t="n">
        <x:v>51.51</x:v>
      </x:c>
      <x:c r="O789" s="2" t="str">
        <x:v>Valid</x:v>
      </x:c>
      <x:c r="P789" s="2" t="str">
        <x:v>EV001570</x:v>
      </x:c>
      <x:c r="Q789" s="8" t="n">
        <x:v>46302.618993055556</x:v>
      </x:c>
      <x:c r="R789" s="2" t="str">
        <x:v>R1S1</x:v>
      </x:c>
      <x:c r="S789" s="9" t="n">
        <x:v>25.271</x:v>
      </x:c>
      <x:c r="T789" s="9" t="n">
        <x:v>51.491</x:v>
      </x:c>
      <x:c r="U789" s="2" t="str">
        <x:v>G028</x:v>
      </x:c>
      <x:c r="V789" s="2" t="str">
        <x:v>Authorized guardian release</x:v>
      </x:c>
      <x:c r="W789" s="2" t="str">
        <x:v>Completed transport</x:v>
      </x:c>
      <x:c r="X789" s="2" t="str">
        <x:v>QR</x:v>
      </x:c>
      <x:c r="Y789" s="2" t="str">
        <x:v>Online</x:v>
      </x:c>
      <x:c r="Z789" s="2" t="str">
        <x:v>Synced</x:v>
      </x:c>
      <x:c r="AA789" s="2"/>
      <x:c r="AB789" s="2"/>
      <x:c r="AC789" s="10" t="n">
        <x:f>IF(OR(K789="",Q789=""),"",ROUND((Q789-K789)*1440,2))</x:f>
        <x:v>21</x:v>
      </x:c>
    </x:row>
    <x:row r="790" ht="21" customHeight="1">
      <x:c r="A790" s="2" t="str">
        <x:v>LN00789</x:v>
      </x:c>
      <x:c r="B790" s="2" t="str">
        <x:v>T20261007-4-1</x:v>
      </x:c>
      <x:c r="C790" s="7" t="n">
        <x:v>46302</x:v>
      </x:c>
      <x:c r="D790" s="2" t="str">
        <x:v>BUS001</x:v>
      </x:c>
      <x:c r="E790" s="2" t="str">
        <x:v>ST029</x:v>
      </x:c>
      <x:c r="F790" s="2" t="n">
        <x:v>2</x:v>
      </x:c>
      <x:c r="G790" s="2" t="str">
        <x:v>Junior</x:v>
      </x:c>
      <x:c r="H790" s="2" t="str">
        <x:v>Drop-off</x:v>
      </x:c>
      <x:c r="I790" s="2" t="str">
        <x:v>R1S2</x:v>
      </x:c>
      <x:c r="J790" s="2" t="str">
        <x:v>EV001571</x:v>
      </x:c>
      <x:c r="K790" s="8" t="n">
        <x:v>46302.60444444445</x:v>
      </x:c>
      <x:c r="L790" s="2" t="str">
        <x:v>SCH01</x:v>
      </x:c>
      <x:c r="M790" s="9" t="n">
        <x:v>25.285</x:v>
      </x:c>
      <x:c r="N790" s="9" t="n">
        <x:v>51.51</x:v>
      </x:c>
      <x:c r="O790" s="2" t="str">
        <x:v>Valid</x:v>
      </x:c>
      <x:c r="P790" s="2" t="str">
        <x:v>EV001572</x:v>
      </x:c>
      <x:c r="Q790" s="8" t="n">
        <x:v>46302.623194444444</x:v>
      </x:c>
      <x:c r="R790" s="2" t="str">
        <x:v>R1S2</x:v>
      </x:c>
      <x:c r="S790" s="9" t="n">
        <x:v>25.273000000000003</x:v>
      </x:c>
      <x:c r="T790" s="9" t="n">
        <x:v>51.494</x:v>
      </x:c>
      <x:c r="U790" s="2" t="str">
        <x:v>G029</x:v>
      </x:c>
      <x:c r="V790" s="2" t="str">
        <x:v>Authorized guardian release</x:v>
      </x:c>
      <x:c r="W790" s="2" t="str">
        <x:v>Completed transport</x:v>
      </x:c>
      <x:c r="X790" s="2" t="str">
        <x:v>QR</x:v>
      </x:c>
      <x:c r="Y790" s="2" t="str">
        <x:v>Online</x:v>
      </x:c>
      <x:c r="Z790" s="2" t="str">
        <x:v>Synced</x:v>
      </x:c>
      <x:c r="AA790" s="2"/>
      <x:c r="AB790" s="2"/>
      <x:c r="AC790" s="10" t="n">
        <x:f>IF(OR(K790="",Q790=""),"",ROUND((Q790-K790)*1440,2))</x:f>
        <x:v>27</x:v>
      </x:c>
    </x:row>
    <x:row r="791" ht="21" customHeight="1">
      <x:c r="A791" s="2" t="str">
        <x:v>LN00790</x:v>
      </x:c>
      <x:c r="B791" s="2" t="str">
        <x:v>T20261007-4-1</x:v>
      </x:c>
      <x:c r="C791" s="7" t="n">
        <x:v>46302</x:v>
      </x:c>
      <x:c r="D791" s="2" t="str">
        <x:v>BUS001</x:v>
      </x:c>
      <x:c r="E791" s="2" t="str">
        <x:v>ST030</x:v>
      </x:c>
      <x:c r="F791" s="2" t="n">
        <x:v>2</x:v>
      </x:c>
      <x:c r="G791" s="2" t="str">
        <x:v>Junior</x:v>
      </x:c>
      <x:c r="H791" s="2" t="str">
        <x:v>Drop-off</x:v>
      </x:c>
      <x:c r="I791" s="2" t="str">
        <x:v>R1S3</x:v>
      </x:c>
      <x:c r="J791" s="2" t="str">
        <x:v>EV001573</x:v>
      </x:c>
      <x:c r="K791" s="8" t="n">
        <x:v>46302.60447916667</x:v>
      </x:c>
      <x:c r="L791" s="2" t="str">
        <x:v>SCH01</x:v>
      </x:c>
      <x:c r="M791" s="9" t="n">
        <x:v>25.285</x:v>
      </x:c>
      <x:c r="N791" s="9" t="n">
        <x:v>51.51</x:v>
      </x:c>
      <x:c r="O791" s="2" t="str">
        <x:v>Valid</x:v>
      </x:c>
      <x:c r="P791" s="2" t="str">
        <x:v>EV001574</x:v>
      </x:c>
      <x:c r="Q791" s="8" t="n">
        <x:v>46302.62739583333</x:v>
      </x:c>
      <x:c r="R791" s="2" t="str">
        <x:v>R1S3</x:v>
      </x:c>
      <x:c r="S791" s="9" t="n">
        <x:v>25.275000000000002</x:v>
      </x:c>
      <x:c r="T791" s="9" t="n">
        <x:v>51.497</x:v>
      </x:c>
      <x:c r="U791" s="2" t="str">
        <x:v>G030</x:v>
      </x:c>
      <x:c r="V791" s="2" t="str">
        <x:v>Authorized guardian release</x:v>
      </x:c>
      <x:c r="W791" s="2" t="str">
        <x:v>Completed transport</x:v>
      </x:c>
      <x:c r="X791" s="2" t="str">
        <x:v>QR</x:v>
      </x:c>
      <x:c r="Y791" s="2" t="str">
        <x:v>Online</x:v>
      </x:c>
      <x:c r="Z791" s="2" t="str">
        <x:v>Synced</x:v>
      </x:c>
      <x:c r="AA791" s="2"/>
      <x:c r="AB791" s="2"/>
      <x:c r="AC791" s="10" t="n">
        <x:f>IF(OR(K791="",Q791=""),"",ROUND((Q791-K791)*1440,2))</x:f>
        <x:v>33</x:v>
      </x:c>
    </x:row>
    <x:row r="792" ht="21" customHeight="1">
      <x:c r="A792" s="2" t="str">
        <x:v>LN00791</x:v>
      </x:c>
      <x:c r="B792" s="2" t="str">
        <x:v>T20261007-5-1</x:v>
      </x:c>
      <x:c r="C792" s="7" t="n">
        <x:v>46302</x:v>
      </x:c>
      <x:c r="D792" s="2" t="str">
        <x:v>BUS001</x:v>
      </x:c>
      <x:c r="E792" s="2" t="str">
        <x:v>ST031</x:v>
      </x:c>
      <x:c r="F792" s="2" t="n">
        <x:v>2</x:v>
      </x:c>
      <x:c r="G792" s="2" t="str">
        <x:v>Senior</x:v>
      </x:c>
      <x:c r="H792" s="2" t="str">
        <x:v>Drop-off</x:v>
      </x:c>
      <x:c r="I792" s="2" t="str">
        <x:v>R1S1</x:v>
      </x:c>
      <x:c r="J792" s="2" t="str">
        <x:v>EV001575</x:v>
      </x:c>
      <x:c r="K792" s="8" t="n">
        <x:v>46302.70833333333</x:v>
      </x:c>
      <x:c r="L792" s="2" t="str">
        <x:v>SCH01</x:v>
      </x:c>
      <x:c r="M792" s="9" t="n">
        <x:v>25.285</x:v>
      </x:c>
      <x:c r="N792" s="9" t="n">
        <x:v>51.51</x:v>
      </x:c>
      <x:c r="O792" s="2" t="str">
        <x:v>Valid</x:v>
      </x:c>
      <x:c r="P792" s="2" t="str">
        <x:v>EV001576</x:v>
      </x:c>
      <x:c r="Q792" s="8" t="n">
        <x:v>46302.72361111111</x:v>
      </x:c>
      <x:c r="R792" s="2" t="str">
        <x:v>R1S1</x:v>
      </x:c>
      <x:c r="S792" s="9" t="n">
        <x:v>25.271</x:v>
      </x:c>
      <x:c r="T792" s="9" t="n">
        <x:v>51.491</x:v>
      </x:c>
      <x:c r="U792" s="2" t="str">
        <x:v>G031</x:v>
      </x:c>
      <x:c r="V792" s="2" t="str">
        <x:v>Authorized guardian release</x:v>
      </x:c>
      <x:c r="W792" s="2" t="str">
        <x:v>Completed transport</x:v>
      </x:c>
      <x:c r="X792" s="2" t="str">
        <x:v>QR</x:v>
      </x:c>
      <x:c r="Y792" s="2" t="str">
        <x:v>Online</x:v>
      </x:c>
      <x:c r="Z792" s="2" t="str">
        <x:v>Synced</x:v>
      </x:c>
      <x:c r="AA792" s="2"/>
      <x:c r="AB792" s="2"/>
      <x:c r="AC792" s="10" t="n">
        <x:f>IF(OR(K792="",Q792=""),"",ROUND((Q792-K792)*1440,2))</x:f>
        <x:v>22</x:v>
      </x:c>
    </x:row>
    <x:row r="793" ht="21" customHeight="1">
      <x:c r="A793" s="2" t="str">
        <x:v>LN00792</x:v>
      </x:c>
      <x:c r="B793" s="2" t="str">
        <x:v>T20261007-5-1</x:v>
      </x:c>
      <x:c r="C793" s="7" t="n">
        <x:v>46302</x:v>
      </x:c>
      <x:c r="D793" s="2" t="str">
        <x:v>BUS001</x:v>
      </x:c>
      <x:c r="E793" s="2" t="str">
        <x:v>ST032</x:v>
      </x:c>
      <x:c r="F793" s="2" t="n">
        <x:v>2</x:v>
      </x:c>
      <x:c r="G793" s="2" t="str">
        <x:v>Senior</x:v>
      </x:c>
      <x:c r="H793" s="2" t="str">
        <x:v>Drop-off</x:v>
      </x:c>
      <x:c r="I793" s="2" t="str">
        <x:v>R1S2</x:v>
      </x:c>
      <x:c r="J793" s="2" t="str">
        <x:v>EV001577</x:v>
      </x:c>
      <x:c r="K793" s="8" t="n">
        <x:v>46302.70836805555</x:v>
      </x:c>
      <x:c r="L793" s="2" t="str">
        <x:v>SCH01</x:v>
      </x:c>
      <x:c r="M793" s="9" t="n">
        <x:v>25.285</x:v>
      </x:c>
      <x:c r="N793" s="9" t="n">
        <x:v>51.51</x:v>
      </x:c>
      <x:c r="O793" s="2" t="str">
        <x:v>Valid</x:v>
      </x:c>
      <x:c r="P793" s="2" t="str">
        <x:v>EV001578</x:v>
      </x:c>
      <x:c r="Q793" s="8" t="n">
        <x:v>46302.72850694445</x:v>
      </x:c>
      <x:c r="R793" s="2" t="str">
        <x:v>R1S2</x:v>
      </x:c>
      <x:c r="S793" s="9" t="n">
        <x:v>25.273000000000003</x:v>
      </x:c>
      <x:c r="T793" s="9" t="n">
        <x:v>51.494</x:v>
      </x:c>
      <x:c r="U793" s="2" t="str">
        <x:v>G032</x:v>
      </x:c>
      <x:c r="V793" s="2" t="str">
        <x:v>Authorized guardian release</x:v>
      </x:c>
      <x:c r="W793" s="2" t="str">
        <x:v>Completed transport</x:v>
      </x:c>
      <x:c r="X793" s="2" t="str">
        <x:v>QR</x:v>
      </x:c>
      <x:c r="Y793" s="2" t="str">
        <x:v>Online</x:v>
      </x:c>
      <x:c r="Z793" s="2" t="str">
        <x:v>Synced</x:v>
      </x:c>
      <x:c r="AA793" s="2"/>
      <x:c r="AB793" s="2"/>
      <x:c r="AC793" s="10" t="n">
        <x:f>IF(OR(K793="",Q793=""),"",ROUND((Q793-K793)*1440,2))</x:f>
        <x:v>29</x:v>
      </x:c>
    </x:row>
    <x:row r="794" ht="21" customHeight="1">
      <x:c r="A794" s="2" t="str">
        <x:v>LN00793</x:v>
      </x:c>
      <x:c r="B794" s="2" t="str">
        <x:v>T20261007-5-1</x:v>
      </x:c>
      <x:c r="C794" s="7" t="n">
        <x:v>46302</x:v>
      </x:c>
      <x:c r="D794" s="2" t="str">
        <x:v>BUS001</x:v>
      </x:c>
      <x:c r="E794" s="2" t="str">
        <x:v>ST033</x:v>
      </x:c>
      <x:c r="F794" s="2" t="n">
        <x:v>2</x:v>
      </x:c>
      <x:c r="G794" s="2" t="str">
        <x:v>Senior</x:v>
      </x:c>
      <x:c r="H794" s="2" t="str">
        <x:v>Drop-off</x:v>
      </x:c>
      <x:c r="I794" s="2" t="str">
        <x:v>R1S3</x:v>
      </x:c>
      <x:c r="J794" s="2" t="str">
        <x:v>EV001579</x:v>
      </x:c>
      <x:c r="K794" s="8" t="n">
        <x:v>46302.708402777775</x:v>
      </x:c>
      <x:c r="L794" s="2" t="str">
        <x:v>SCH01</x:v>
      </x:c>
      <x:c r="M794" s="9" t="n">
        <x:v>25.285</x:v>
      </x:c>
      <x:c r="N794" s="9" t="n">
        <x:v>51.51</x:v>
      </x:c>
      <x:c r="O794" s="2" t="str">
        <x:v>Valid</x:v>
      </x:c>
      <x:c r="P794" s="2" t="str">
        <x:v>EV001580</x:v>
      </x:c>
      <x:c r="Q794" s="8" t="n">
        <x:v>46302.73340277778</x:v>
      </x:c>
      <x:c r="R794" s="2" t="str">
        <x:v>R1S3</x:v>
      </x:c>
      <x:c r="S794" s="9" t="n">
        <x:v>25.275000000000002</x:v>
      </x:c>
      <x:c r="T794" s="9" t="n">
        <x:v>51.497</x:v>
      </x:c>
      <x:c r="U794" s="2" t="str">
        <x:v>G033</x:v>
      </x:c>
      <x:c r="V794" s="2" t="str">
        <x:v>Authorized guardian release</x:v>
      </x:c>
      <x:c r="W794" s="2" t="str">
        <x:v>Completed transport</x:v>
      </x:c>
      <x:c r="X794" s="2" t="str">
        <x:v>QR</x:v>
      </x:c>
      <x:c r="Y794" s="2" t="str">
        <x:v>Online</x:v>
      </x:c>
      <x:c r="Z794" s="2" t="str">
        <x:v>Synced</x:v>
      </x:c>
      <x:c r="AA794" s="2"/>
      <x:c r="AB794" s="2"/>
      <x:c r="AC794" s="10" t="n">
        <x:f>IF(OR(K794="",Q794=""),"",ROUND((Q794-K794)*1440,2))</x:f>
        <x:v>36</x:v>
      </x:c>
    </x:row>
    <x:row r="795" ht="21" customHeight="1">
      <x:c r="A795" s="2" t="str">
        <x:v>LN00794</x:v>
      </x:c>
      <x:c r="B795" s="2" t="str">
        <x:v>T20261007-5-1</x:v>
      </x:c>
      <x:c r="C795" s="7" t="n">
        <x:v>46302</x:v>
      </x:c>
      <x:c r="D795" s="2" t="str">
        <x:v>BUS001</x:v>
      </x:c>
      <x:c r="E795" s="2" t="str">
        <x:v>ST034</x:v>
      </x:c>
      <x:c r="F795" s="2" t="n">
        <x:v>2</x:v>
      </x:c>
      <x:c r="G795" s="2" t="str">
        <x:v>Senior</x:v>
      </x:c>
      <x:c r="H795" s="2" t="str">
        <x:v>Drop-off</x:v>
      </x:c>
      <x:c r="I795" s="2" t="str">
        <x:v>R1S1</x:v>
      </x:c>
      <x:c r="J795" s="2" t="str">
        <x:v>EV001581</x:v>
      </x:c>
      <x:c r="K795" s="8" t="n">
        <x:v>46302.7084375</x:v>
      </x:c>
      <x:c r="L795" s="2" t="str">
        <x:v>SCH01</x:v>
      </x:c>
      <x:c r="M795" s="9" t="n">
        <x:v>25.285</x:v>
      </x:c>
      <x:c r="N795" s="9" t="n">
        <x:v>51.51</x:v>
      </x:c>
      <x:c r="O795" s="2" t="str">
        <x:v>Valid</x:v>
      </x:c>
      <x:c r="P795" s="2" t="str">
        <x:v>EV001582</x:v>
      </x:c>
      <x:c r="Q795" s="8" t="n">
        <x:v>46302.72371527778</x:v>
      </x:c>
      <x:c r="R795" s="2" t="str">
        <x:v>R1S1</x:v>
      </x:c>
      <x:c r="S795" s="9" t="n">
        <x:v>25.271</x:v>
      </x:c>
      <x:c r="T795" s="9" t="n">
        <x:v>51.491</x:v>
      </x:c>
      <x:c r="U795" s="2" t="str">
        <x:v>G034</x:v>
      </x:c>
      <x:c r="V795" s="2" t="str">
        <x:v>Authorized guardian release</x:v>
      </x:c>
      <x:c r="W795" s="2" t="str">
        <x:v>Completed transport</x:v>
      </x:c>
      <x:c r="X795" s="2" t="str">
        <x:v>QR</x:v>
      </x:c>
      <x:c r="Y795" s="2" t="str">
        <x:v>Online</x:v>
      </x:c>
      <x:c r="Z795" s="2" t="str">
        <x:v>Synced</x:v>
      </x:c>
      <x:c r="AA795" s="2"/>
      <x:c r="AB795" s="2"/>
      <x:c r="AC795" s="10" t="n">
        <x:f>IF(OR(K795="",Q795=""),"",ROUND((Q795-K795)*1440,2))</x:f>
        <x:v>22</x:v>
      </x:c>
    </x:row>
    <x:row r="796" ht="21" customHeight="1">
      <x:c r="A796" s="2" t="str">
        <x:v>LN00795</x:v>
      </x:c>
      <x:c r="B796" s="2" t="str">
        <x:v>T20261007-5-1</x:v>
      </x:c>
      <x:c r="C796" s="7" t="n">
        <x:v>46302</x:v>
      </x:c>
      <x:c r="D796" s="2" t="str">
        <x:v>BUS001</x:v>
      </x:c>
      <x:c r="E796" s="2" t="str">
        <x:v>ST035</x:v>
      </x:c>
      <x:c r="F796" s="2" t="n">
        <x:v>2</x:v>
      </x:c>
      <x:c r="G796" s="2" t="str">
        <x:v>Senior</x:v>
      </x:c>
      <x:c r="H796" s="2" t="str">
        <x:v>Drop-off</x:v>
      </x:c>
      <x:c r="I796" s="2" t="str">
        <x:v>R1S2</x:v>
      </x:c>
      <x:c r="J796" s="2" t="str">
        <x:v>EV001583</x:v>
      </x:c>
      <x:c r="K796" s="8" t="n">
        <x:v>46302.70847222222</x:v>
      </x:c>
      <x:c r="L796" s="2" t="str">
        <x:v>SCH01</x:v>
      </x:c>
      <x:c r="M796" s="9" t="n">
        <x:v>25.285</x:v>
      </x:c>
      <x:c r="N796" s="9" t="n">
        <x:v>51.51</x:v>
      </x:c>
      <x:c r="O796" s="2" t="str">
        <x:v>Valid</x:v>
      </x:c>
      <x:c r="P796" s="2" t="str">
        <x:v>EV001584</x:v>
      </x:c>
      <x:c r="Q796" s="8" t="n">
        <x:v>46302.72861111112</x:v>
      </x:c>
      <x:c r="R796" s="2" t="str">
        <x:v>R1S2</x:v>
      </x:c>
      <x:c r="S796" s="9" t="n">
        <x:v>25.273000000000003</x:v>
      </x:c>
      <x:c r="T796" s="9" t="n">
        <x:v>51.494</x:v>
      </x:c>
      <x:c r="U796" s="2" t="str">
        <x:v>G035</x:v>
      </x:c>
      <x:c r="V796" s="2" t="str">
        <x:v>Authorized guardian release</x:v>
      </x:c>
      <x:c r="W796" s="2" t="str">
        <x:v>Completed transport</x:v>
      </x:c>
      <x:c r="X796" s="2" t="str">
        <x:v>QR</x:v>
      </x:c>
      <x:c r="Y796" s="2" t="str">
        <x:v>Online</x:v>
      </x:c>
      <x:c r="Z796" s="2" t="str">
        <x:v>Synced</x:v>
      </x:c>
      <x:c r="AA796" s="2"/>
      <x:c r="AB796" s="2"/>
      <x:c r="AC796" s="10" t="n">
        <x:f>IF(OR(K796="",Q796=""),"",ROUND((Q796-K796)*1440,2))</x:f>
        <x:v>29</x:v>
      </x:c>
    </x:row>
    <x:row r="797" ht="21" customHeight="1">
      <x:c r="A797" s="2" t="str">
        <x:v>LN00796</x:v>
      </x:c>
      <x:c r="B797" s="2" t="str">
        <x:v>T20261007-5-1</x:v>
      </x:c>
      <x:c r="C797" s="7" t="n">
        <x:v>46302</x:v>
      </x:c>
      <x:c r="D797" s="2" t="str">
        <x:v>BUS001</x:v>
      </x:c>
      <x:c r="E797" s="2" t="str">
        <x:v>ST036</x:v>
      </x:c>
      <x:c r="F797" s="2" t="n">
        <x:v>2</x:v>
      </x:c>
      <x:c r="G797" s="2" t="str">
        <x:v>Senior</x:v>
      </x:c>
      <x:c r="H797" s="2" t="str">
        <x:v>Drop-off</x:v>
      </x:c>
      <x:c r="I797" s="2" t="str">
        <x:v>R1S3</x:v>
      </x:c>
      <x:c r="J797" s="2" t="str">
        <x:v>EV001585</x:v>
      </x:c>
      <x:c r="K797" s="8" t="n">
        <x:v>46302.70850694444</x:v>
      </x:c>
      <x:c r="L797" s="2" t="str">
        <x:v>SCH01</x:v>
      </x:c>
      <x:c r="M797" s="9" t="n">
        <x:v>25.285</x:v>
      </x:c>
      <x:c r="N797" s="9" t="n">
        <x:v>51.51</x:v>
      </x:c>
      <x:c r="O797" s="2" t="str">
        <x:v>Valid</x:v>
      </x:c>
      <x:c r="P797" s="2" t="str">
        <x:v>EV001586</x:v>
      </x:c>
      <x:c r="Q797" s="8" t="n">
        <x:v>46302.733506944445</x:v>
      </x:c>
      <x:c r="R797" s="2" t="str">
        <x:v>R1S3</x:v>
      </x:c>
      <x:c r="S797" s="9" t="n">
        <x:v>25.275000000000002</x:v>
      </x:c>
      <x:c r="T797" s="9" t="n">
        <x:v>51.497</x:v>
      </x:c>
      <x:c r="U797" s="2" t="str">
        <x:v>G036</x:v>
      </x:c>
      <x:c r="V797" s="2" t="str">
        <x:v>Authorized guardian release</x:v>
      </x:c>
      <x:c r="W797" s="2" t="str">
        <x:v>Completed transport</x:v>
      </x:c>
      <x:c r="X797" s="2" t="str">
        <x:v>QR</x:v>
      </x:c>
      <x:c r="Y797" s="2" t="str">
        <x:v>Online</x:v>
      </x:c>
      <x:c r="Z797" s="2" t="str">
        <x:v>Synced</x:v>
      </x:c>
      <x:c r="AA797" s="2"/>
      <x:c r="AB797" s="2"/>
      <x:c r="AC797" s="10" t="n">
        <x:f>IF(OR(K797="",Q797=""),"",ROUND((Q797-K797)*1440,2))</x:f>
        <x:v>36</x:v>
      </x:c>
    </x:row>
    <x:row r="798" ht="21" customHeight="1">
      <x:c r="A798" s="2" t="str">
        <x:v>LN00797</x:v>
      </x:c>
      <x:c r="B798" s="2" t="str">
        <x:v>T20261007-5-1</x:v>
      </x:c>
      <x:c r="C798" s="7" t="n">
        <x:v>46302</x:v>
      </x:c>
      <x:c r="D798" s="2" t="str">
        <x:v>BUS001</x:v>
      </x:c>
      <x:c r="E798" s="2" t="str">
        <x:v>ST037</x:v>
      </x:c>
      <x:c r="F798" s="2" t="n">
        <x:v>2</x:v>
      </x:c>
      <x:c r="G798" s="2" t="str">
        <x:v>Senior</x:v>
      </x:c>
      <x:c r="H798" s="2" t="str">
        <x:v>Drop-off</x:v>
      </x:c>
      <x:c r="I798" s="2" t="str">
        <x:v>R1S1</x:v>
      </x:c>
      <x:c r="J798" s="2" t="str">
        <x:v>EV001587</x:v>
      </x:c>
      <x:c r="K798" s="8" t="n">
        <x:v>46302.70854166666</x:v>
      </x:c>
      <x:c r="L798" s="2" t="str">
        <x:v>SCH01</x:v>
      </x:c>
      <x:c r="M798" s="9" t="n">
        <x:v>25.285</x:v>
      </x:c>
      <x:c r="N798" s="9" t="n">
        <x:v>51.51</x:v>
      </x:c>
      <x:c r="O798" s="2" t="str">
        <x:v>Valid</x:v>
      </x:c>
      <x:c r="P798" s="2" t="str">
        <x:v>EV001588</x:v>
      </x:c>
      <x:c r="Q798" s="8" t="n">
        <x:v>46302.72381944444</x:v>
      </x:c>
      <x:c r="R798" s="2" t="str">
        <x:v>R1S1</x:v>
      </x:c>
      <x:c r="S798" s="9" t="n">
        <x:v>25.271</x:v>
      </x:c>
      <x:c r="T798" s="9" t="n">
        <x:v>51.491</x:v>
      </x:c>
      <x:c r="U798" s="2" t="str">
        <x:v>G037</x:v>
      </x:c>
      <x:c r="V798" s="2" t="str">
        <x:v>Authorized guardian release</x:v>
      </x:c>
      <x:c r="W798" s="2" t="str">
        <x:v>Completed transport</x:v>
      </x:c>
      <x:c r="X798" s="2" t="str">
        <x:v>QR</x:v>
      </x:c>
      <x:c r="Y798" s="2" t="str">
        <x:v>Online</x:v>
      </x:c>
      <x:c r="Z798" s="2" t="str">
        <x:v>Synced</x:v>
      </x:c>
      <x:c r="AA798" s="2"/>
      <x:c r="AB798" s="2"/>
      <x:c r="AC798" s="10" t="n">
        <x:f>IF(OR(K798="",Q798=""),"",ROUND((Q798-K798)*1440,2))</x:f>
        <x:v>22</x:v>
      </x:c>
    </x:row>
    <x:row r="799" ht="21" customHeight="1">
      <x:c r="A799" s="2" t="str">
        <x:v>LN00798</x:v>
      </x:c>
      <x:c r="B799" s="2" t="str">
        <x:v>T20261007-5-1</x:v>
      </x:c>
      <x:c r="C799" s="7" t="n">
        <x:v>46302</x:v>
      </x:c>
      <x:c r="D799" s="2" t="str">
        <x:v>BUS001</x:v>
      </x:c>
      <x:c r="E799" s="2" t="str">
        <x:v>ST038</x:v>
      </x:c>
      <x:c r="F799" s="2" t="n">
        <x:v>2</x:v>
      </x:c>
      <x:c r="G799" s="2" t="str">
        <x:v>Senior</x:v>
      </x:c>
      <x:c r="H799" s="2" t="str">
        <x:v>Drop-off</x:v>
      </x:c>
      <x:c r="I799" s="2" t="str">
        <x:v>R1S2</x:v>
      </x:c>
      <x:c r="J799" s="2" t="str">
        <x:v>EV001589</x:v>
      </x:c>
      <x:c r="K799" s="8" t="n">
        <x:v>46302.70857638888</x:v>
      </x:c>
      <x:c r="L799" s="2" t="str">
        <x:v>SCH01</x:v>
      </x:c>
      <x:c r="M799" s="9" t="n">
        <x:v>25.285</x:v>
      </x:c>
      <x:c r="N799" s="9" t="n">
        <x:v>51.51</x:v>
      </x:c>
      <x:c r="O799" s="2" t="str">
        <x:v>Valid</x:v>
      </x:c>
      <x:c r="P799" s="2" t="str">
        <x:v>EV001590</x:v>
      </x:c>
      <x:c r="Q799" s="8" t="n">
        <x:v>46302.72871527778</x:v>
      </x:c>
      <x:c r="R799" s="2" t="str">
        <x:v>R1S2</x:v>
      </x:c>
      <x:c r="S799" s="9" t="n">
        <x:v>25.273000000000003</x:v>
      </x:c>
      <x:c r="T799" s="9" t="n">
        <x:v>51.494</x:v>
      </x:c>
      <x:c r="U799" s="2" t="str">
        <x:v>G038</x:v>
      </x:c>
      <x:c r="V799" s="2" t="str">
        <x:v>Authorized guardian release</x:v>
      </x:c>
      <x:c r="W799" s="2" t="str">
        <x:v>Completed transport</x:v>
      </x:c>
      <x:c r="X799" s="2" t="str">
        <x:v>QR</x:v>
      </x:c>
      <x:c r="Y799" s="2" t="str">
        <x:v>Online</x:v>
      </x:c>
      <x:c r="Z799" s="2" t="str">
        <x:v>Synced</x:v>
      </x:c>
      <x:c r="AA799" s="2"/>
      <x:c r="AB799" s="2"/>
      <x:c r="AC799" s="10" t="n">
        <x:f>IF(OR(K799="",Q799=""),"",ROUND((Q799-K799)*1440,2))</x:f>
        <x:v>29</x:v>
      </x:c>
    </x:row>
    <x:row r="800" ht="21" customHeight="1">
      <x:c r="A800" s="2" t="str">
        <x:v>LN00799</x:v>
      </x:c>
      <x:c r="B800" s="2" t="str">
        <x:v>T20261007-5-1</x:v>
      </x:c>
      <x:c r="C800" s="7" t="n">
        <x:v>46302</x:v>
      </x:c>
      <x:c r="D800" s="2" t="str">
        <x:v>BUS001</x:v>
      </x:c>
      <x:c r="E800" s="2" t="str">
        <x:v>ST039</x:v>
      </x:c>
      <x:c r="F800" s="2" t="n">
        <x:v>2</x:v>
      </x:c>
      <x:c r="G800" s="2" t="str">
        <x:v>Senior</x:v>
      </x:c>
      <x:c r="H800" s="2" t="str">
        <x:v>Drop-off</x:v>
      </x:c>
      <x:c r="I800" s="2" t="str">
        <x:v>R1S3</x:v>
      </x:c>
      <x:c r="J800" s="2" t="str">
        <x:v>EV001591</x:v>
      </x:c>
      <x:c r="K800" s="8" t="n">
        <x:v>46302.708611111106</x:v>
      </x:c>
      <x:c r="L800" s="2" t="str">
        <x:v>SCH01</x:v>
      </x:c>
      <x:c r="M800" s="9" t="n">
        <x:v>25.285</x:v>
      </x:c>
      <x:c r="N800" s="9" t="n">
        <x:v>51.51</x:v>
      </x:c>
      <x:c r="O800" s="2" t="str">
        <x:v>Valid</x:v>
      </x:c>
      <x:c r="P800" s="2" t="str">
        <x:v>EV001592</x:v>
      </x:c>
      <x:c r="Q800" s="8" t="n">
        <x:v>46302.733611111114</x:v>
      </x:c>
      <x:c r="R800" s="2" t="str">
        <x:v>R1S3</x:v>
      </x:c>
      <x:c r="S800" s="9" t="n">
        <x:v>25.275000000000002</x:v>
      </x:c>
      <x:c r="T800" s="9" t="n">
        <x:v>51.497</x:v>
      </x:c>
      <x:c r="U800" s="2" t="str">
        <x:v>G039</x:v>
      </x:c>
      <x:c r="V800" s="2" t="str">
        <x:v>Authorized guardian release</x:v>
      </x:c>
      <x:c r="W800" s="2" t="str">
        <x:v>Completed transport</x:v>
      </x:c>
      <x:c r="X800" s="2" t="str">
        <x:v>QR</x:v>
      </x:c>
      <x:c r="Y800" s="2" t="str">
        <x:v>Online</x:v>
      </x:c>
      <x:c r="Z800" s="2" t="str">
        <x:v>Synced</x:v>
      </x:c>
      <x:c r="AA800" s="2"/>
      <x:c r="AB800" s="2"/>
      <x:c r="AC800" s="10" t="n">
        <x:f>IF(OR(K800="",Q800=""),"",ROUND((Q800-K800)*1440,2))</x:f>
        <x:v>36</x:v>
      </x:c>
    </x:row>
    <x:row r="801" ht="21" customHeight="1">
      <x:c r="A801" s="2" t="str">
        <x:v>LN00800</x:v>
      </x:c>
      <x:c r="B801" s="2" t="str">
        <x:v>T20261007-5-1</x:v>
      </x:c>
      <x:c r="C801" s="7" t="n">
        <x:v>46302</x:v>
      </x:c>
      <x:c r="D801" s="2" t="str">
        <x:v>BUS001</x:v>
      </x:c>
      <x:c r="E801" s="2" t="str">
        <x:v>ST040</x:v>
      </x:c>
      <x:c r="F801" s="2" t="n">
        <x:v>2</x:v>
      </x:c>
      <x:c r="G801" s="2" t="str">
        <x:v>Senior</x:v>
      </x:c>
      <x:c r="H801" s="2" t="str">
        <x:v>Drop-off</x:v>
      </x:c>
      <x:c r="I801" s="2" t="str">
        <x:v>R1S1</x:v>
      </x:c>
      <x:c r="J801" s="2" t="str">
        <x:v>EV001593</x:v>
      </x:c>
      <x:c r="K801" s="8" t="n">
        <x:v>46302.70864583333</x:v>
      </x:c>
      <x:c r="L801" s="2" t="str">
        <x:v>SCH01</x:v>
      </x:c>
      <x:c r="M801" s="9" t="n">
        <x:v>25.285</x:v>
      </x:c>
      <x:c r="N801" s="9" t="n">
        <x:v>51.51</x:v>
      </x:c>
      <x:c r="O801" s="2" t="str">
        <x:v>Valid</x:v>
      </x:c>
      <x:c r="P801" s="2" t="str">
        <x:v>EV001594</x:v>
      </x:c>
      <x:c r="Q801" s="8" t="n">
        <x:v>46302.72392361111</x:v>
      </x:c>
      <x:c r="R801" s="2" t="str">
        <x:v>R1S1</x:v>
      </x:c>
      <x:c r="S801" s="9" t="n">
        <x:v>25.271</x:v>
      </x:c>
      <x:c r="T801" s="9" t="n">
        <x:v>51.491</x:v>
      </x:c>
      <x:c r="U801" s="2" t="str">
        <x:v>G040</x:v>
      </x:c>
      <x:c r="V801" s="2" t="str">
        <x:v>Authorized guardian release</x:v>
      </x:c>
      <x:c r="W801" s="2" t="str">
        <x:v>Completed transport</x:v>
      </x:c>
      <x:c r="X801" s="2" t="str">
        <x:v>QR</x:v>
      </x:c>
      <x:c r="Y801" s="2" t="str">
        <x:v>Online</x:v>
      </x:c>
      <x:c r="Z801" s="2" t="str">
        <x:v>Synced</x:v>
      </x:c>
      <x:c r="AA801" s="2"/>
      <x:c r="AB801" s="2"/>
      <x:c r="AC801" s="10" t="n">
        <x:f>IF(OR(K801="",Q801=""),"",ROUND((Q801-K801)*1440,2))</x:f>
        <x:v>22</x:v>
      </x:c>
    </x:row>
    <x:row r="802" ht="21" customHeight="1">
      <x:c r="A802" s="2" t="str">
        <x:v>LN00801</x:v>
      </x:c>
      <x:c r="B802" s="2" t="str">
        <x:v>T20261007-1-2</x:v>
      </x:c>
      <x:c r="C802" s="7" t="n">
        <x:v>46302</x:v>
      </x:c>
      <x:c r="D802" s="2" t="str">
        <x:v>BUS002</x:v>
      </x:c>
      <x:c r="E802" s="2" t="str">
        <x:v>ST041</x:v>
      </x:c>
      <x:c r="F802" s="2" t="n">
        <x:v>1</x:v>
      </x:c>
      <x:c r="G802" s="2" t="str">
        <x:v>Junior</x:v>
      </x:c>
      <x:c r="H802" s="2" t="str">
        <x:v>Pickup</x:v>
      </x:c>
      <x:c r="I802" s="2" t="str">
        <x:v>R2S1</x:v>
      </x:c>
      <x:c r="J802" s="2" t="str">
        <x:v>EV001595</x:v>
      </x:c>
      <x:c r="K802" s="8" t="n">
        <x:v>46302.242361111115</x:v>
      </x:c>
      <x:c r="L802" s="2" t="str">
        <x:v>R2S1</x:v>
      </x:c>
      <x:c r="M802" s="9" t="n">
        <x:v>25.28</x:v>
      </x:c>
      <x:c r="N802" s="9" t="n">
        <x:v>51.498999999999995</x:v>
      </x:c>
      <x:c r="O802" s="2" t="str">
        <x:v>Valid</x:v>
      </x:c>
      <x:c r="P802" s="2" t="str">
        <x:v>EV001596</x:v>
      </x:c>
      <x:c r="Q802" s="8" t="n">
        <x:v>46302.27638888889</x:v>
      </x:c>
      <x:c r="R802" s="2" t="str">
        <x:v>SCH01</x:v>
      </x:c>
      <x:c r="S802" s="9" t="n">
        <x:v>25.285</x:v>
      </x:c>
      <x:c r="T802" s="9" t="n">
        <x:v>51.51</x:v>
      </x:c>
      <x:c r="U802" s="2" t="str">
        <x:v>SCHOOL_RECEIVER_01</x:v>
      </x:c>
      <x:c r="V802" s="2" t="str">
        <x:v>School staff receipt</x:v>
      </x:c>
      <x:c r="W802" s="2" t="str">
        <x:v>Completed transport</x:v>
      </x:c>
      <x:c r="X802" s="2" t="str">
        <x:v>QR</x:v>
      </x:c>
      <x:c r="Y802" s="2" t="str">
        <x:v>Online</x:v>
      </x:c>
      <x:c r="Z802" s="2" t="str">
        <x:v>Synced</x:v>
      </x:c>
      <x:c r="AA802" s="2"/>
      <x:c r="AB802" s="2"/>
      <x:c r="AC802" s="10" t="n">
        <x:f>IF(OR(K802="",Q802=""),"",ROUND((Q802-K802)*1440,2))</x:f>
        <x:v>49</x:v>
      </x:c>
    </x:row>
    <x:row r="803" ht="21" customHeight="1">
      <x:c r="A803" s="2" t="str">
        <x:v>LN00802</x:v>
      </x:c>
      <x:c r="B803" s="2" t="str">
        <x:v>T20261007-1-2</x:v>
      </x:c>
      <x:c r="C803" s="7" t="n">
        <x:v>46302</x:v>
      </x:c>
      <x:c r="D803" s="2" t="str">
        <x:v>BUS002</x:v>
      </x:c>
      <x:c r="E803" s="2" t="str">
        <x:v>ST042</x:v>
      </x:c>
      <x:c r="F803" s="2" t="n">
        <x:v>1</x:v>
      </x:c>
      <x:c r="G803" s="2" t="str">
        <x:v>Junior</x:v>
      </x:c>
      <x:c r="H803" s="2" t="str">
        <x:v>Pickup</x:v>
      </x:c>
      <x:c r="I803" s="2" t="str">
        <x:v>R2S2</x:v>
      </x:c>
      <x:c r="J803" s="2" t="str">
        <x:v>EV001597</x:v>
      </x:c>
      <x:c r="K803" s="8" t="n">
        <x:v>46302.24725694444</x:v>
      </x:c>
      <x:c r="L803" s="2" t="str">
        <x:v>R2S2</x:v>
      </x:c>
      <x:c r="M803" s="9" t="n">
        <x:v>25.282000000000004</x:v>
      </x:c>
      <x:c r="N803" s="9" t="n">
        <x:v>51.501999999999995</x:v>
      </x:c>
      <x:c r="O803" s="2" t="str">
        <x:v>Valid</x:v>
      </x:c>
      <x:c r="P803" s="2" t="str">
        <x:v>EV001598</x:v>
      </x:c>
      <x:c r="Q803" s="8" t="n">
        <x:v>46302.27642361111</x:v>
      </x:c>
      <x:c r="R803" s="2" t="str">
        <x:v>SCH01</x:v>
      </x:c>
      <x:c r="S803" s="9" t="n">
        <x:v>25.285</x:v>
      </x:c>
      <x:c r="T803" s="9" t="n">
        <x:v>51.51</x:v>
      </x:c>
      <x:c r="U803" s="2" t="str">
        <x:v>SCHOOL_RECEIVER_01</x:v>
      </x:c>
      <x:c r="V803" s="2" t="str">
        <x:v>School staff receipt</x:v>
      </x:c>
      <x:c r="W803" s="2" t="str">
        <x:v>Completed transport</x:v>
      </x:c>
      <x:c r="X803" s="2" t="str">
        <x:v>QR</x:v>
      </x:c>
      <x:c r="Y803" s="2" t="str">
        <x:v>Online</x:v>
      </x:c>
      <x:c r="Z803" s="2" t="str">
        <x:v>Synced</x:v>
      </x:c>
      <x:c r="AA803" s="2"/>
      <x:c r="AB803" s="2"/>
      <x:c r="AC803" s="10" t="n">
        <x:f>IF(OR(K803="",Q803=""),"",ROUND((Q803-K803)*1440,2))</x:f>
        <x:v>42</x:v>
      </x:c>
    </x:row>
    <x:row r="804" ht="21" customHeight="1">
      <x:c r="A804" s="2" t="str">
        <x:v>LN00803</x:v>
      </x:c>
      <x:c r="B804" s="2" t="str">
        <x:v>T20261007-1-2</x:v>
      </x:c>
      <x:c r="C804" s="7" t="n">
        <x:v>46302</x:v>
      </x:c>
      <x:c r="D804" s="2" t="str">
        <x:v>BUS002</x:v>
      </x:c>
      <x:c r="E804" s="2" t="str">
        <x:v>ST043</x:v>
      </x:c>
      <x:c r="F804" s="2" t="n">
        <x:v>1</x:v>
      </x:c>
      <x:c r="G804" s="2" t="str">
        <x:v>Junior</x:v>
      </x:c>
      <x:c r="H804" s="2" t="str">
        <x:v>Pickup</x:v>
      </x:c>
      <x:c r="I804" s="2" t="str">
        <x:v>R2S3</x:v>
      </x:c>
      <x:c r="J804" s="2" t="str">
        <x:v>EV001599</x:v>
      </x:c>
      <x:c r="K804" s="8" t="n">
        <x:v>46302.25215277778</x:v>
      </x:c>
      <x:c r="L804" s="2" t="str">
        <x:v>R2S3</x:v>
      </x:c>
      <x:c r="M804" s="9" t="n">
        <x:v>25.284000000000002</x:v>
      </x:c>
      <x:c r="N804" s="9" t="n">
        <x:v>51.504999999999995</x:v>
      </x:c>
      <x:c r="O804" s="2" t="str">
        <x:v>Valid</x:v>
      </x:c>
      <x:c r="P804" s="2" t="str">
        <x:v>EV001600</x:v>
      </x:c>
      <x:c r="Q804" s="8" t="n">
        <x:v>46302.276458333334</x:v>
      </x:c>
      <x:c r="R804" s="2" t="str">
        <x:v>SCH01</x:v>
      </x:c>
      <x:c r="S804" s="9" t="n">
        <x:v>25.285</x:v>
      </x:c>
      <x:c r="T804" s="9" t="n">
        <x:v>51.51</x:v>
      </x:c>
      <x:c r="U804" s="2" t="str">
        <x:v>SCHOOL_RECEIVER_01</x:v>
      </x:c>
      <x:c r="V804" s="2" t="str">
        <x:v>School staff receipt</x:v>
      </x:c>
      <x:c r="W804" s="2" t="str">
        <x:v>Completed transport</x:v>
      </x:c>
      <x:c r="X804" s="2" t="str">
        <x:v>QR</x:v>
      </x:c>
      <x:c r="Y804" s="2" t="str">
        <x:v>Online</x:v>
      </x:c>
      <x:c r="Z804" s="2" t="str">
        <x:v>Synced</x:v>
      </x:c>
      <x:c r="AA804" s="2"/>
      <x:c r="AB804" s="2"/>
      <x:c r="AC804" s="10" t="n">
        <x:f>IF(OR(K804="",Q804=""),"",ROUND((Q804-K804)*1440,2))</x:f>
        <x:v>35</x:v>
      </x:c>
    </x:row>
    <x:row r="805" ht="21" customHeight="1">
      <x:c r="A805" s="2" t="str">
        <x:v>LN00804</x:v>
      </x:c>
      <x:c r="B805" s="2" t="str">
        <x:v>T20261007-1-2</x:v>
      </x:c>
      <x:c r="C805" s="7" t="n">
        <x:v>46302</x:v>
      </x:c>
      <x:c r="D805" s="2" t="str">
        <x:v>BUS002</x:v>
      </x:c>
      <x:c r="E805" s="2" t="str">
        <x:v>ST044</x:v>
      </x:c>
      <x:c r="F805" s="2" t="n">
        <x:v>1</x:v>
      </x:c>
      <x:c r="G805" s="2" t="str">
        <x:v>Junior</x:v>
      </x:c>
      <x:c r="H805" s="2" t="str">
        <x:v>Pickup</x:v>
      </x:c>
      <x:c r="I805" s="2" t="str">
        <x:v>R2S1</x:v>
      </x:c>
      <x:c r="J805" s="2" t="str">
        <x:v>EV001601</x:v>
      </x:c>
      <x:c r="K805" s="8" t="n">
        <x:v>46302.242465277785</x:v>
      </x:c>
      <x:c r="L805" s="2" t="str">
        <x:v>R2S1</x:v>
      </x:c>
      <x:c r="M805" s="9" t="n">
        <x:v>25.28</x:v>
      </x:c>
      <x:c r="N805" s="9" t="n">
        <x:v>51.498999999999995</x:v>
      </x:c>
      <x:c r="O805" s="2" t="str">
        <x:v>Valid</x:v>
      </x:c>
      <x:c r="P805" s="2" t="str">
        <x:v>EV001602</x:v>
      </x:c>
      <x:c r="Q805" s="8" t="n">
        <x:v>46302.27649305556</x:v>
      </x:c>
      <x:c r="R805" s="2" t="str">
        <x:v>SCH01</x:v>
      </x:c>
      <x:c r="S805" s="9" t="n">
        <x:v>25.285</x:v>
      </x:c>
      <x:c r="T805" s="9" t="n">
        <x:v>51.51</x:v>
      </x:c>
      <x:c r="U805" s="2" t="str">
        <x:v>SCHOOL_RECEIVER_01</x:v>
      </x:c>
      <x:c r="V805" s="2" t="str">
        <x:v>School staff receipt</x:v>
      </x:c>
      <x:c r="W805" s="2" t="str">
        <x:v>Completed transport</x:v>
      </x:c>
      <x:c r="X805" s="2" t="str">
        <x:v>QR</x:v>
      </x:c>
      <x:c r="Y805" s="2" t="str">
        <x:v>Online</x:v>
      </x:c>
      <x:c r="Z805" s="2" t="str">
        <x:v>Synced</x:v>
      </x:c>
      <x:c r="AA805" s="2"/>
      <x:c r="AB805" s="2"/>
      <x:c r="AC805" s="10" t="n">
        <x:f>IF(OR(K805="",Q805=""),"",ROUND((Q805-K805)*1440,2))</x:f>
        <x:v>49</x:v>
      </x:c>
    </x:row>
    <x:row r="806" ht="21" customHeight="1">
      <x:c r="A806" s="2" t="str">
        <x:v>LN00805</x:v>
      </x:c>
      <x:c r="B806" s="2" t="str">
        <x:v>T20261007-1-2</x:v>
      </x:c>
      <x:c r="C806" s="7" t="n">
        <x:v>46302</x:v>
      </x:c>
      <x:c r="D806" s="2" t="str">
        <x:v>BUS002</x:v>
      </x:c>
      <x:c r="E806" s="2" t="str">
        <x:v>ST045</x:v>
      </x:c>
      <x:c r="F806" s="2" t="n">
        <x:v>1</x:v>
      </x:c>
      <x:c r="G806" s="2" t="str">
        <x:v>Junior</x:v>
      </x:c>
      <x:c r="H806" s="2" t="str">
        <x:v>Pickup</x:v>
      </x:c>
      <x:c r="I806" s="2" t="str">
        <x:v>R2S2</x:v>
      </x:c>
      <x:c r="J806" s="2" t="str">
        <x:v>EV001603</x:v>
      </x:c>
      <x:c r="K806" s="8" t="n">
        <x:v>46302.24736111111</x:v>
      </x:c>
      <x:c r="L806" s="2" t="str">
        <x:v>R2S2</x:v>
      </x:c>
      <x:c r="M806" s="9" t="n">
        <x:v>25.282000000000004</x:v>
      </x:c>
      <x:c r="N806" s="9" t="n">
        <x:v>51.501999999999995</x:v>
      </x:c>
      <x:c r="O806" s="2" t="str">
        <x:v>Valid</x:v>
      </x:c>
      <x:c r="P806" s="2" t="str">
        <x:v>EV001604</x:v>
      </x:c>
      <x:c r="Q806" s="8" t="n">
        <x:v>46302.27652777778</x:v>
      </x:c>
      <x:c r="R806" s="2" t="str">
        <x:v>SCH01</x:v>
      </x:c>
      <x:c r="S806" s="9" t="n">
        <x:v>25.285</x:v>
      </x:c>
      <x:c r="T806" s="9" t="n">
        <x:v>51.51</x:v>
      </x:c>
      <x:c r="U806" s="2" t="str">
        <x:v>SCHOOL_RECEIVER_01</x:v>
      </x:c>
      <x:c r="V806" s="2" t="str">
        <x:v>School staff receipt</x:v>
      </x:c>
      <x:c r="W806" s="2" t="str">
        <x:v>Completed transport</x:v>
      </x:c>
      <x:c r="X806" s="2" t="str">
        <x:v>QR</x:v>
      </x:c>
      <x:c r="Y806" s="2" t="str">
        <x:v>Online</x:v>
      </x:c>
      <x:c r="Z806" s="2" t="str">
        <x:v>Synced</x:v>
      </x:c>
      <x:c r="AA806" s="2"/>
      <x:c r="AB806" s="2"/>
      <x:c r="AC806" s="10" t="n">
        <x:f>IF(OR(K806="",Q806=""),"",ROUND((Q806-K806)*1440,2))</x:f>
        <x:v>42</x:v>
      </x:c>
    </x:row>
    <x:row r="807" ht="21" customHeight="1">
      <x:c r="A807" s="2" t="str">
        <x:v>LN00806</x:v>
      </x:c>
      <x:c r="B807" s="2" t="str">
        <x:v>T20261007-1-2</x:v>
      </x:c>
      <x:c r="C807" s="7" t="n">
        <x:v>46302</x:v>
      </x:c>
      <x:c r="D807" s="2" t="str">
        <x:v>BUS002</x:v>
      </x:c>
      <x:c r="E807" s="2" t="str">
        <x:v>ST046</x:v>
      </x:c>
      <x:c r="F807" s="2" t="n">
        <x:v>1</x:v>
      </x:c>
      <x:c r="G807" s="2" t="str">
        <x:v>Junior</x:v>
      </x:c>
      <x:c r="H807" s="2" t="str">
        <x:v>Pickup</x:v>
      </x:c>
      <x:c r="I807" s="2" t="str">
        <x:v>R2S3</x:v>
      </x:c>
      <x:c r="J807" s="2" t="str">
        <x:v>EV001605</x:v>
      </x:c>
      <x:c r="K807" s="8" t="n">
        <x:v>46302.25225694444</x:v>
      </x:c>
      <x:c r="L807" s="2" t="str">
        <x:v>R2S3</x:v>
      </x:c>
      <x:c r="M807" s="9" t="n">
        <x:v>25.284000000000002</x:v>
      </x:c>
      <x:c r="N807" s="9" t="n">
        <x:v>51.504999999999995</x:v>
      </x:c>
      <x:c r="O807" s="2" t="str">
        <x:v>Valid</x:v>
      </x:c>
      <x:c r="P807" s="2" t="str">
        <x:v>EV001606</x:v>
      </x:c>
      <x:c r="Q807" s="8" t="n">
        <x:v>46302.276562499996</x:v>
      </x:c>
      <x:c r="R807" s="2" t="str">
        <x:v>SCH01</x:v>
      </x:c>
      <x:c r="S807" s="9" t="n">
        <x:v>25.285</x:v>
      </x:c>
      <x:c r="T807" s="9" t="n">
        <x:v>51.51</x:v>
      </x:c>
      <x:c r="U807" s="2" t="str">
        <x:v>SCHOOL_RECEIVER_01</x:v>
      </x:c>
      <x:c r="V807" s="2" t="str">
        <x:v>School staff receipt</x:v>
      </x:c>
      <x:c r="W807" s="2" t="str">
        <x:v>Completed transport</x:v>
      </x:c>
      <x:c r="X807" s="2" t="str">
        <x:v>QR</x:v>
      </x:c>
      <x:c r="Y807" s="2" t="str">
        <x:v>Online</x:v>
      </x:c>
      <x:c r="Z807" s="2" t="str">
        <x:v>Synced</x:v>
      </x:c>
      <x:c r="AA807" s="2"/>
      <x:c r="AB807" s="2"/>
      <x:c r="AC807" s="10" t="n">
        <x:f>IF(OR(K807="",Q807=""),"",ROUND((Q807-K807)*1440,2))</x:f>
        <x:v>35</x:v>
      </x:c>
    </x:row>
    <x:row r="808" ht="21" customHeight="1">
      <x:c r="A808" s="2" t="str">
        <x:v>LN00807</x:v>
      </x:c>
      <x:c r="B808" s="2" t="str">
        <x:v>T20261007-1-2</x:v>
      </x:c>
      <x:c r="C808" s="7" t="n">
        <x:v>46302</x:v>
      </x:c>
      <x:c r="D808" s="2" t="str">
        <x:v>BUS002</x:v>
      </x:c>
      <x:c r="E808" s="2" t="str">
        <x:v>ST047</x:v>
      </x:c>
      <x:c r="F808" s="2" t="n">
        <x:v>1</x:v>
      </x:c>
      <x:c r="G808" s="2" t="str">
        <x:v>Junior</x:v>
      </x:c>
      <x:c r="H808" s="2" t="str">
        <x:v>Pickup</x:v>
      </x:c>
      <x:c r="I808" s="2" t="str">
        <x:v>R2S1</x:v>
      </x:c>
      <x:c r="J808" s="2" t="str">
        <x:v>EV001607</x:v>
      </x:c>
      <x:c r="K808" s="8" t="n">
        <x:v>46302.24256944445</x:v>
      </x:c>
      <x:c r="L808" s="2" t="str">
        <x:v>R2S1</x:v>
      </x:c>
      <x:c r="M808" s="9" t="n">
        <x:v>25.28</x:v>
      </x:c>
      <x:c r="N808" s="9" t="n">
        <x:v>51.498999999999995</x:v>
      </x:c>
      <x:c r="O808" s="2" t="str">
        <x:v>Valid</x:v>
      </x:c>
      <x:c r="P808" s="2" t="str">
        <x:v>EV001608</x:v>
      </x:c>
      <x:c r="Q808" s="8" t="n">
        <x:v>46302.27659722222</x:v>
      </x:c>
      <x:c r="R808" s="2" t="str">
        <x:v>SCH01</x:v>
      </x:c>
      <x:c r="S808" s="9" t="n">
        <x:v>25.285</x:v>
      </x:c>
      <x:c r="T808" s="9" t="n">
        <x:v>51.51</x:v>
      </x:c>
      <x:c r="U808" s="2" t="str">
        <x:v>SCHOOL_RECEIVER_01</x:v>
      </x:c>
      <x:c r="V808" s="2" t="str">
        <x:v>School staff receipt</x:v>
      </x:c>
      <x:c r="W808" s="2" t="str">
        <x:v>Completed transport</x:v>
      </x:c>
      <x:c r="X808" s="2" t="str">
        <x:v>QR</x:v>
      </x:c>
      <x:c r="Y808" s="2" t="str">
        <x:v>Online</x:v>
      </x:c>
      <x:c r="Z808" s="2" t="str">
        <x:v>Synced</x:v>
      </x:c>
      <x:c r="AA808" s="2"/>
      <x:c r="AB808" s="2"/>
      <x:c r="AC808" s="10" t="n">
        <x:f>IF(OR(K808="",Q808=""),"",ROUND((Q808-K808)*1440,2))</x:f>
        <x:v>49</x:v>
      </x:c>
    </x:row>
    <x:row r="809" ht="21" customHeight="1">
      <x:c r="A809" s="2" t="str">
        <x:v>LN00808</x:v>
      </x:c>
      <x:c r="B809" s="2" t="str">
        <x:v>T20261007-1-2</x:v>
      </x:c>
      <x:c r="C809" s="7" t="n">
        <x:v>46302</x:v>
      </x:c>
      <x:c r="D809" s="2" t="str">
        <x:v>BUS002</x:v>
      </x:c>
      <x:c r="E809" s="2" t="str">
        <x:v>ST048</x:v>
      </x:c>
      <x:c r="F809" s="2" t="n">
        <x:v>1</x:v>
      </x:c>
      <x:c r="G809" s="2" t="str">
        <x:v>Junior</x:v>
      </x:c>
      <x:c r="H809" s="2" t="str">
        <x:v>Pickup</x:v>
      </x:c>
      <x:c r="I809" s="2" t="str">
        <x:v>R2S2</x:v>
      </x:c>
      <x:c r="J809" s="2" t="str">
        <x:v>EV001609</x:v>
      </x:c>
      <x:c r="K809" s="8" t="n">
        <x:v>46302.247465277775</x:v>
      </x:c>
      <x:c r="L809" s="2" t="str">
        <x:v>R2S2</x:v>
      </x:c>
      <x:c r="M809" s="9" t="n">
        <x:v>25.282000000000004</x:v>
      </x:c>
      <x:c r="N809" s="9" t="n">
        <x:v>51.501999999999995</x:v>
      </x:c>
      <x:c r="O809" s="2" t="str">
        <x:v>Valid</x:v>
      </x:c>
      <x:c r="P809" s="2" t="str">
        <x:v>EV001610</x:v>
      </x:c>
      <x:c r="Q809" s="8" t="n">
        <x:v>46302.27663194444</x:v>
      </x:c>
      <x:c r="R809" s="2" t="str">
        <x:v>SCH01</x:v>
      </x:c>
      <x:c r="S809" s="9" t="n">
        <x:v>25.285</x:v>
      </x:c>
      <x:c r="T809" s="9" t="n">
        <x:v>51.51</x:v>
      </x:c>
      <x:c r="U809" s="2" t="str">
        <x:v>SCHOOL_RECEIVER_01</x:v>
      </x:c>
      <x:c r="V809" s="2" t="str">
        <x:v>School staff receipt</x:v>
      </x:c>
      <x:c r="W809" s="2" t="str">
        <x:v>Completed transport</x:v>
      </x:c>
      <x:c r="X809" s="2" t="str">
        <x:v>QR</x:v>
      </x:c>
      <x:c r="Y809" s="2" t="str">
        <x:v>Online</x:v>
      </x:c>
      <x:c r="Z809" s="2" t="str">
        <x:v>Synced</x:v>
      </x:c>
      <x:c r="AA809" s="2"/>
      <x:c r="AB809" s="2"/>
      <x:c r="AC809" s="10" t="n">
        <x:f>IF(OR(K809="",Q809=""),"",ROUND((Q809-K809)*1440,2))</x:f>
        <x:v>42</x:v>
      </x:c>
    </x:row>
    <x:row r="810" ht="21" customHeight="1">
      <x:c r="A810" s="2" t="str">
        <x:v>LN00809</x:v>
      </x:c>
      <x:c r="B810" s="2" t="str">
        <x:v>T20261007-1-2</x:v>
      </x:c>
      <x:c r="C810" s="7" t="n">
        <x:v>46302</x:v>
      </x:c>
      <x:c r="D810" s="2" t="str">
        <x:v>BUS002</x:v>
      </x:c>
      <x:c r="E810" s="2" t="str">
        <x:v>ST049</x:v>
      </x:c>
      <x:c r="F810" s="2" t="n">
        <x:v>1</x:v>
      </x:c>
      <x:c r="G810" s="2" t="str">
        <x:v>Junior</x:v>
      </x:c>
      <x:c r="H810" s="2" t="str">
        <x:v>Pickup</x:v>
      </x:c>
      <x:c r="I810" s="2" t="str">
        <x:v>R2S3</x:v>
      </x:c>
      <x:c r="J810" s="2" t="str">
        <x:v>EV001611</x:v>
      </x:c>
      <x:c r="K810" s="8" t="n">
        <x:v>46302.25236111111</x:v>
      </x:c>
      <x:c r="L810" s="2" t="str">
        <x:v>R2S3</x:v>
      </x:c>
      <x:c r="M810" s="9" t="n">
        <x:v>25.284000000000002</x:v>
      </x:c>
      <x:c r="N810" s="9" t="n">
        <x:v>51.504999999999995</x:v>
      </x:c>
      <x:c r="O810" s="2" t="str">
        <x:v>Valid</x:v>
      </x:c>
      <x:c r="P810" s="2" t="str">
        <x:v>EV001612</x:v>
      </x:c>
      <x:c r="Q810" s="8" t="n">
        <x:v>46302.276666666665</x:v>
      </x:c>
      <x:c r="R810" s="2" t="str">
        <x:v>SCH01</x:v>
      </x:c>
      <x:c r="S810" s="9" t="n">
        <x:v>25.285</x:v>
      </x:c>
      <x:c r="T810" s="9" t="n">
        <x:v>51.51</x:v>
      </x:c>
      <x:c r="U810" s="2" t="str">
        <x:v>SCHOOL_RECEIVER_01</x:v>
      </x:c>
      <x:c r="V810" s="2" t="str">
        <x:v>School staff receipt</x:v>
      </x:c>
      <x:c r="W810" s="2" t="str">
        <x:v>Completed transport</x:v>
      </x:c>
      <x:c r="X810" s="2" t="str">
        <x:v>QR</x:v>
      </x:c>
      <x:c r="Y810" s="2" t="str">
        <x:v>Online</x:v>
      </x:c>
      <x:c r="Z810" s="2" t="str">
        <x:v>Synced</x:v>
      </x:c>
      <x:c r="AA810" s="2"/>
      <x:c r="AB810" s="2"/>
      <x:c r="AC810" s="10" t="n">
        <x:f>IF(OR(K810="",Q810=""),"",ROUND((Q810-K810)*1440,2))</x:f>
        <x:v>35</x:v>
      </x:c>
    </x:row>
    <x:row r="811" ht="21" customHeight="1">
      <x:c r="A811" s="2" t="str">
        <x:v>LN00810</x:v>
      </x:c>
      <x:c r="B811" s="2" t="str">
        <x:v>T20261007-1-2</x:v>
      </x:c>
      <x:c r="C811" s="7" t="n">
        <x:v>46302</x:v>
      </x:c>
      <x:c r="D811" s="2" t="str">
        <x:v>BUS002</x:v>
      </x:c>
      <x:c r="E811" s="2" t="str">
        <x:v>ST050</x:v>
      </x:c>
      <x:c r="F811" s="2" t="n">
        <x:v>1</x:v>
      </x:c>
      <x:c r="G811" s="2" t="str">
        <x:v>Junior</x:v>
      </x:c>
      <x:c r="H811" s="2" t="str">
        <x:v>Pickup</x:v>
      </x:c>
      <x:c r="I811" s="2" t="str">
        <x:v>R2S1</x:v>
      </x:c>
      <x:c r="J811" s="2" t="str">
        <x:v>EV001613</x:v>
      </x:c>
      <x:c r="K811" s="8" t="n">
        <x:v>46302.242673611116</x:v>
      </x:c>
      <x:c r="L811" s="2" t="str">
        <x:v>R2S1</x:v>
      </x:c>
      <x:c r="M811" s="9" t="n">
        <x:v>25.28</x:v>
      </x:c>
      <x:c r="N811" s="9" t="n">
        <x:v>51.498999999999995</x:v>
      </x:c>
      <x:c r="O811" s="2" t="str">
        <x:v>Valid</x:v>
      </x:c>
      <x:c r="P811" s="2" t="str">
        <x:v>EV001614</x:v>
      </x:c>
      <x:c r="Q811" s="8" t="n">
        <x:v>46302.27670138889</x:v>
      </x:c>
      <x:c r="R811" s="2" t="str">
        <x:v>SCH01</x:v>
      </x:c>
      <x:c r="S811" s="9" t="n">
        <x:v>25.285</x:v>
      </x:c>
      <x:c r="T811" s="9" t="n">
        <x:v>51.51</x:v>
      </x:c>
      <x:c r="U811" s="2" t="str">
        <x:v>SCHOOL_RECEIVER_01</x:v>
      </x:c>
      <x:c r="V811" s="2" t="str">
        <x:v>School staff receipt</x:v>
      </x:c>
      <x:c r="W811" s="2" t="str">
        <x:v>Completed transport</x:v>
      </x:c>
      <x:c r="X811" s="2" t="str">
        <x:v>QR</x:v>
      </x:c>
      <x:c r="Y811" s="2" t="str">
        <x:v>Online</x:v>
      </x:c>
      <x:c r="Z811" s="2" t="str">
        <x:v>Synced</x:v>
      </x:c>
      <x:c r="AA811" s="2"/>
      <x:c r="AB811" s="2"/>
      <x:c r="AC811" s="10" t="n">
        <x:f>IF(OR(K811="",Q811=""),"",ROUND((Q811-K811)*1440,2))</x:f>
        <x:v>49</x:v>
      </x:c>
    </x:row>
    <x:row r="812" ht="21" customHeight="1">
      <x:c r="A812" s="2" t="str">
        <x:v>LN00811</x:v>
      </x:c>
      <x:c r="B812" s="2" t="str">
        <x:v>T20261007-1-2</x:v>
      </x:c>
      <x:c r="C812" s="7" t="n">
        <x:v>46302</x:v>
      </x:c>
      <x:c r="D812" s="2" t="str">
        <x:v>BUS002</x:v>
      </x:c>
      <x:c r="E812" s="2" t="str">
        <x:v>ST051</x:v>
      </x:c>
      <x:c r="F812" s="2" t="n">
        <x:v>1</x:v>
      </x:c>
      <x:c r="G812" s="2" t="str">
        <x:v>Senior</x:v>
      </x:c>
      <x:c r="H812" s="2" t="str">
        <x:v>Pickup</x:v>
      </x:c>
      <x:c r="I812" s="2" t="str">
        <x:v>R2S2</x:v>
      </x:c>
      <x:c r="J812" s="2" t="str">
        <x:v>EV001615</x:v>
      </x:c>
      <x:c r="K812" s="8" t="n">
        <x:v>46302.24722222222</x:v>
      </x:c>
      <x:c r="L812" s="2" t="str">
        <x:v>R2S2</x:v>
      </x:c>
      <x:c r="M812" s="9" t="n">
        <x:v>25.282000000000004</x:v>
      </x:c>
      <x:c r="N812" s="9" t="n">
        <x:v>51.501999999999995</x:v>
      </x:c>
      <x:c r="O812" s="2" t="str">
        <x:v>Valid</x:v>
      </x:c>
      <x:c r="P812" s="2" t="str">
        <x:v>EV001616</x:v>
      </x:c>
      <x:c r="Q812" s="8" t="n">
        <x:v>46302.27673611111</x:v>
      </x:c>
      <x:c r="R812" s="2" t="str">
        <x:v>SCH01</x:v>
      </x:c>
      <x:c r="S812" s="9" t="n">
        <x:v>25.285</x:v>
      </x:c>
      <x:c r="T812" s="9" t="n">
        <x:v>51.51</x:v>
      </x:c>
      <x:c r="U812" s="2" t="str">
        <x:v>SCHOOL_RECEIVER_01</x:v>
      </x:c>
      <x:c r="V812" s="2" t="str">
        <x:v>School staff receipt</x:v>
      </x:c>
      <x:c r="W812" s="2" t="str">
        <x:v>Completed transport</x:v>
      </x:c>
      <x:c r="X812" s="2" t="str">
        <x:v>QR</x:v>
      </x:c>
      <x:c r="Y812" s="2" t="str">
        <x:v>Online</x:v>
      </x:c>
      <x:c r="Z812" s="2" t="str">
        <x:v>Synced</x:v>
      </x:c>
      <x:c r="AA812" s="2"/>
      <x:c r="AB812" s="2"/>
      <x:c r="AC812" s="10" t="n">
        <x:f>IF(OR(K812="",Q812=""),"",ROUND((Q812-K812)*1440,2))</x:f>
        <x:v>42.5</x:v>
      </x:c>
    </x:row>
    <x:row r="813" ht="21" customHeight="1">
      <x:c r="A813" s="2" t="str">
        <x:v>LN00812</x:v>
      </x:c>
      <x:c r="B813" s="2" t="str">
        <x:v>T20261007-1-2</x:v>
      </x:c>
      <x:c r="C813" s="7" t="n">
        <x:v>46302</x:v>
      </x:c>
      <x:c r="D813" s="2" t="str">
        <x:v>BUS002</x:v>
      </x:c>
      <x:c r="E813" s="2" t="str">
        <x:v>ST052</x:v>
      </x:c>
      <x:c r="F813" s="2" t="n">
        <x:v>1</x:v>
      </x:c>
      <x:c r="G813" s="2" t="str">
        <x:v>Senior</x:v>
      </x:c>
      <x:c r="H813" s="2" t="str">
        <x:v>Pickup</x:v>
      </x:c>
      <x:c r="I813" s="2" t="str">
        <x:v>R2S3</x:v>
      </x:c>
      <x:c r="J813" s="2" t="str">
        <x:v>EV001617</x:v>
      </x:c>
      <x:c r="K813" s="8" t="n">
        <x:v>46302.252118055556</x:v>
      </x:c>
      <x:c r="L813" s="2" t="str">
        <x:v>R2S3</x:v>
      </x:c>
      <x:c r="M813" s="9" t="n">
        <x:v>25.284000000000002</x:v>
      </x:c>
      <x:c r="N813" s="9" t="n">
        <x:v>51.504999999999995</x:v>
      </x:c>
      <x:c r="O813" s="2" t="str">
        <x:v>Valid</x:v>
      </x:c>
      <x:c r="P813" s="2" t="str">
        <x:v>EV001618</x:v>
      </x:c>
      <x:c r="Q813" s="8" t="n">
        <x:v>46302.276770833334</x:v>
      </x:c>
      <x:c r="R813" s="2" t="str">
        <x:v>SCH01</x:v>
      </x:c>
      <x:c r="S813" s="9" t="n">
        <x:v>25.285</x:v>
      </x:c>
      <x:c r="T813" s="9" t="n">
        <x:v>51.51</x:v>
      </x:c>
      <x:c r="U813" s="2" t="str">
        <x:v>SCHOOL_RECEIVER_01</x:v>
      </x:c>
      <x:c r="V813" s="2" t="str">
        <x:v>School staff receipt</x:v>
      </x:c>
      <x:c r="W813" s="2" t="str">
        <x:v>Completed transport</x:v>
      </x:c>
      <x:c r="X813" s="2" t="str">
        <x:v>QR</x:v>
      </x:c>
      <x:c r="Y813" s="2" t="str">
        <x:v>Online</x:v>
      </x:c>
      <x:c r="Z813" s="2" t="str">
        <x:v>Synced</x:v>
      </x:c>
      <x:c r="AA813" s="2"/>
      <x:c r="AB813" s="2"/>
      <x:c r="AC813" s="10" t="n">
        <x:f>IF(OR(K813="",Q813=""),"",ROUND((Q813-K813)*1440,2))</x:f>
        <x:v>35.5</x:v>
      </x:c>
    </x:row>
    <x:row r="814" ht="21" customHeight="1">
      <x:c r="A814" s="2" t="str">
        <x:v>LN00813</x:v>
      </x:c>
      <x:c r="B814" s="2" t="str">
        <x:v>T20261007-1-2</x:v>
      </x:c>
      <x:c r="C814" s="7" t="n">
        <x:v>46302</x:v>
      </x:c>
      <x:c r="D814" s="2" t="str">
        <x:v>BUS002</x:v>
      </x:c>
      <x:c r="E814" s="2" t="str">
        <x:v>ST053</x:v>
      </x:c>
      <x:c r="F814" s="2" t="n">
        <x:v>1</x:v>
      </x:c>
      <x:c r="G814" s="2" t="str">
        <x:v>Senior</x:v>
      </x:c>
      <x:c r="H814" s="2" t="str">
        <x:v>Pickup</x:v>
      </x:c>
      <x:c r="I814" s="2" t="str">
        <x:v>R2S1</x:v>
      </x:c>
      <x:c r="J814" s="2" t="str">
        <x:v>EV001619</x:v>
      </x:c>
      <x:c r="K814" s="8" t="n">
        <x:v>46302.24243055556</x:v>
      </x:c>
      <x:c r="L814" s="2" t="str">
        <x:v>R2S1</x:v>
      </x:c>
      <x:c r="M814" s="9" t="n">
        <x:v>25.28</x:v>
      </x:c>
      <x:c r="N814" s="9" t="n">
        <x:v>51.498999999999995</x:v>
      </x:c>
      <x:c r="O814" s="2" t="str">
        <x:v>Valid</x:v>
      </x:c>
      <x:c r="P814" s="2" t="str">
        <x:v>EV001620</x:v>
      </x:c>
      <x:c r="Q814" s="8" t="n">
        <x:v>46302.27680555556</x:v>
      </x:c>
      <x:c r="R814" s="2" t="str">
        <x:v>SCH01</x:v>
      </x:c>
      <x:c r="S814" s="9" t="n">
        <x:v>25.285</x:v>
      </x:c>
      <x:c r="T814" s="9" t="n">
        <x:v>51.51</x:v>
      </x:c>
      <x:c r="U814" s="2" t="str">
        <x:v>SCHOOL_RECEIVER_01</x:v>
      </x:c>
      <x:c r="V814" s="2" t="str">
        <x:v>School staff receipt</x:v>
      </x:c>
      <x:c r="W814" s="2" t="str">
        <x:v>Completed transport</x:v>
      </x:c>
      <x:c r="X814" s="2" t="str">
        <x:v>QR</x:v>
      </x:c>
      <x:c r="Y814" s="2" t="str">
        <x:v>Online</x:v>
      </x:c>
      <x:c r="Z814" s="2" t="str">
        <x:v>Synced</x:v>
      </x:c>
      <x:c r="AA814" s="2"/>
      <x:c r="AB814" s="2"/>
      <x:c r="AC814" s="10" t="n">
        <x:f>IF(OR(K814="",Q814=""),"",ROUND((Q814-K814)*1440,2))</x:f>
        <x:v>49.5</x:v>
      </x:c>
    </x:row>
    <x:row r="815" ht="21" customHeight="1">
      <x:c r="A815" s="2" t="str">
        <x:v>LN00814</x:v>
      </x:c>
      <x:c r="B815" s="2" t="str">
        <x:v>T20261007-1-2</x:v>
      </x:c>
      <x:c r="C815" s="7" t="n">
        <x:v>46302</x:v>
      </x:c>
      <x:c r="D815" s="2" t="str">
        <x:v>BUS002</x:v>
      </x:c>
      <x:c r="E815" s="2" t="str">
        <x:v>ST054</x:v>
      </x:c>
      <x:c r="F815" s="2" t="n">
        <x:v>1</x:v>
      </x:c>
      <x:c r="G815" s="2" t="str">
        <x:v>Senior</x:v>
      </x:c>
      <x:c r="H815" s="2" t="str">
        <x:v>Pickup</x:v>
      </x:c>
      <x:c r="I815" s="2" t="str">
        <x:v>R2S2</x:v>
      </x:c>
      <x:c r="J815" s="2" t="str">
        <x:v>EV001621</x:v>
      </x:c>
      <x:c r="K815" s="8" t="n">
        <x:v>46302.24732638889</x:v>
      </x:c>
      <x:c r="L815" s="2" t="str">
        <x:v>R2S2</x:v>
      </x:c>
      <x:c r="M815" s="9" t="n">
        <x:v>25.282000000000004</x:v>
      </x:c>
      <x:c r="N815" s="9" t="n">
        <x:v>51.501999999999995</x:v>
      </x:c>
      <x:c r="O815" s="2" t="str">
        <x:v>Valid</x:v>
      </x:c>
      <x:c r="P815" s="2" t="str">
        <x:v>EV001622</x:v>
      </x:c>
      <x:c r="Q815" s="8" t="n">
        <x:v>46302.27684027777</x:v>
      </x:c>
      <x:c r="R815" s="2" t="str">
        <x:v>SCH01</x:v>
      </x:c>
      <x:c r="S815" s="9" t="n">
        <x:v>25.285</x:v>
      </x:c>
      <x:c r="T815" s="9" t="n">
        <x:v>51.51</x:v>
      </x:c>
      <x:c r="U815" s="2" t="str">
        <x:v>SCHOOL_RECEIVER_01</x:v>
      </x:c>
      <x:c r="V815" s="2" t="str">
        <x:v>School staff receipt</x:v>
      </x:c>
      <x:c r="W815" s="2" t="str">
        <x:v>Completed transport</x:v>
      </x:c>
      <x:c r="X815" s="2" t="str">
        <x:v>QR</x:v>
      </x:c>
      <x:c r="Y815" s="2" t="str">
        <x:v>Online</x:v>
      </x:c>
      <x:c r="Z815" s="2" t="str">
        <x:v>Synced</x:v>
      </x:c>
      <x:c r="AA815" s="2"/>
      <x:c r="AB815" s="2"/>
      <x:c r="AC815" s="10" t="n">
        <x:f>IF(OR(K815="",Q815=""),"",ROUND((Q815-K815)*1440,2))</x:f>
        <x:v>42.5</x:v>
      </x:c>
    </x:row>
    <x:row r="816" ht="21" customHeight="1">
      <x:c r="A816" s="2" t="str">
        <x:v>LN00815</x:v>
      </x:c>
      <x:c r="B816" s="2" t="str">
        <x:v>T20261007-1-2</x:v>
      </x:c>
      <x:c r="C816" s="7" t="n">
        <x:v>46302</x:v>
      </x:c>
      <x:c r="D816" s="2" t="str">
        <x:v>BUS002</x:v>
      </x:c>
      <x:c r="E816" s="2" t="str">
        <x:v>ST055</x:v>
      </x:c>
      <x:c r="F816" s="2" t="n">
        <x:v>1</x:v>
      </x:c>
      <x:c r="G816" s="2" t="str">
        <x:v>Senior</x:v>
      </x:c>
      <x:c r="H816" s="2" t="str">
        <x:v>Pickup</x:v>
      </x:c>
      <x:c r="I816" s="2" t="str">
        <x:v>R2S3</x:v>
      </x:c>
      <x:c r="J816" s="2" t="str">
        <x:v>EV001623</x:v>
      </x:c>
      <x:c r="K816" s="8" t="n">
        <x:v>46302.252222222225</x:v>
      </x:c>
      <x:c r="L816" s="2" t="str">
        <x:v>R2S3</x:v>
      </x:c>
      <x:c r="M816" s="9" t="n">
        <x:v>25.284000000000002</x:v>
      </x:c>
      <x:c r="N816" s="9" t="n">
        <x:v>51.504999999999995</x:v>
      </x:c>
      <x:c r="O816" s="2" t="str">
        <x:v>Valid</x:v>
      </x:c>
      <x:c r="P816" s="2" t="str">
        <x:v>EV001624</x:v>
      </x:c>
      <x:c r="Q816" s="8" t="n">
        <x:v>46302.276874999996</x:v>
      </x:c>
      <x:c r="R816" s="2" t="str">
        <x:v>SCH01</x:v>
      </x:c>
      <x:c r="S816" s="9" t="n">
        <x:v>25.285</x:v>
      </x:c>
      <x:c r="T816" s="9" t="n">
        <x:v>51.51</x:v>
      </x:c>
      <x:c r="U816" s="2" t="str">
        <x:v>SCHOOL_RECEIVER_01</x:v>
      </x:c>
      <x:c r="V816" s="2" t="str">
        <x:v>School staff receipt</x:v>
      </x:c>
      <x:c r="W816" s="2" t="str">
        <x:v>Completed transport</x:v>
      </x:c>
      <x:c r="X816" s="2" t="str">
        <x:v>QR</x:v>
      </x:c>
      <x:c r="Y816" s="2" t="str">
        <x:v>Online</x:v>
      </x:c>
      <x:c r="Z816" s="2" t="str">
        <x:v>Synced</x:v>
      </x:c>
      <x:c r="AA816" s="2"/>
      <x:c r="AB816" s="2"/>
      <x:c r="AC816" s="10" t="n">
        <x:f>IF(OR(K816="",Q816=""),"",ROUND((Q816-K816)*1440,2))</x:f>
        <x:v>35.5</x:v>
      </x:c>
    </x:row>
    <x:row r="817" ht="21" customHeight="1">
      <x:c r="A817" s="2" t="str">
        <x:v>LN00816</x:v>
      </x:c>
      <x:c r="B817" s="2" t="str">
        <x:v>T20261007-1-2</x:v>
      </x:c>
      <x:c r="C817" s="7" t="n">
        <x:v>46302</x:v>
      </x:c>
      <x:c r="D817" s="2" t="str">
        <x:v>BUS002</x:v>
      </x:c>
      <x:c r="E817" s="2" t="str">
        <x:v>ST056</x:v>
      </x:c>
      <x:c r="F817" s="2" t="n">
        <x:v>1</x:v>
      </x:c>
      <x:c r="G817" s="2" t="str">
        <x:v>Senior</x:v>
      </x:c>
      <x:c r="H817" s="2" t="str">
        <x:v>Pickup</x:v>
      </x:c>
      <x:c r="I817" s="2" t="str">
        <x:v>R2S1</x:v>
      </x:c>
      <x:c r="J817" s="2" t="str">
        <x:v>EV001625</x:v>
      </x:c>
      <x:c r="K817" s="8" t="n">
        <x:v>46302.24253472222</x:v>
      </x:c>
      <x:c r="L817" s="2" t="str">
        <x:v>R2S1</x:v>
      </x:c>
      <x:c r="M817" s="9" t="n">
        <x:v>25.28</x:v>
      </x:c>
      <x:c r="N817" s="9" t="n">
        <x:v>51.498999999999995</x:v>
      </x:c>
      <x:c r="O817" s="2" t="str">
        <x:v>Valid</x:v>
      </x:c>
      <x:c r="P817" s="2" t="str">
        <x:v>EV001626</x:v>
      </x:c>
      <x:c r="Q817" s="8" t="n">
        <x:v>46302.27690972222</x:v>
      </x:c>
      <x:c r="R817" s="2" t="str">
        <x:v>SCH01</x:v>
      </x:c>
      <x:c r="S817" s="9" t="n">
        <x:v>25.285</x:v>
      </x:c>
      <x:c r="T817" s="9" t="n">
        <x:v>51.51</x:v>
      </x:c>
      <x:c r="U817" s="2" t="str">
        <x:v>SCHOOL_RECEIVER_01</x:v>
      </x:c>
      <x:c r="V817" s="2" t="str">
        <x:v>School staff receipt</x:v>
      </x:c>
      <x:c r="W817" s="2" t="str">
        <x:v>Completed transport</x:v>
      </x:c>
      <x:c r="X817" s="2" t="str">
        <x:v>QR</x:v>
      </x:c>
      <x:c r="Y817" s="2" t="str">
        <x:v>Online</x:v>
      </x:c>
      <x:c r="Z817" s="2" t="str">
        <x:v>Synced</x:v>
      </x:c>
      <x:c r="AA817" s="2"/>
      <x:c r="AB817" s="2"/>
      <x:c r="AC817" s="10" t="n">
        <x:f>IF(OR(K817="",Q817=""),"",ROUND((Q817-K817)*1440,2))</x:f>
        <x:v>49.5</x:v>
      </x:c>
    </x:row>
    <x:row r="818" ht="21" customHeight="1">
      <x:c r="A818" s="2" t="str">
        <x:v>LN00817</x:v>
      </x:c>
      <x:c r="B818" s="2" t="str">
        <x:v>T20261007-1-2</x:v>
      </x:c>
      <x:c r="C818" s="7" t="n">
        <x:v>46302</x:v>
      </x:c>
      <x:c r="D818" s="2" t="str">
        <x:v>BUS002</x:v>
      </x:c>
      <x:c r="E818" s="2" t="str">
        <x:v>ST057</x:v>
      </x:c>
      <x:c r="F818" s="2" t="n">
        <x:v>1</x:v>
      </x:c>
      <x:c r="G818" s="2" t="str">
        <x:v>Senior</x:v>
      </x:c>
      <x:c r="H818" s="2" t="str">
        <x:v>Pickup</x:v>
      </x:c>
      <x:c r="I818" s="2" t="str">
        <x:v>R2S2</x:v>
      </x:c>
      <x:c r="J818" s="2" t="str">
        <x:v>EV001627</x:v>
      </x:c>
      <x:c r="K818" s="8" t="n">
        <x:v>46302.24743055555</x:v>
      </x:c>
      <x:c r="L818" s="2" t="str">
        <x:v>R2S2</x:v>
      </x:c>
      <x:c r="M818" s="9" t="n">
        <x:v>25.282000000000004</x:v>
      </x:c>
      <x:c r="N818" s="9" t="n">
        <x:v>51.501999999999995</x:v>
      </x:c>
      <x:c r="O818" s="2" t="str">
        <x:v>Valid</x:v>
      </x:c>
      <x:c r="P818" s="2" t="str">
        <x:v>EV001628</x:v>
      </x:c>
      <x:c r="Q818" s="8" t="n">
        <x:v>46302.27694444444</x:v>
      </x:c>
      <x:c r="R818" s="2" t="str">
        <x:v>SCH01</x:v>
      </x:c>
      <x:c r="S818" s="9" t="n">
        <x:v>25.285</x:v>
      </x:c>
      <x:c r="T818" s="9" t="n">
        <x:v>51.51</x:v>
      </x:c>
      <x:c r="U818" s="2" t="str">
        <x:v>SCHOOL_RECEIVER_01</x:v>
      </x:c>
      <x:c r="V818" s="2" t="str">
        <x:v>School staff receipt</x:v>
      </x:c>
      <x:c r="W818" s="2" t="str">
        <x:v>Completed transport</x:v>
      </x:c>
      <x:c r="X818" s="2" t="str">
        <x:v>QR</x:v>
      </x:c>
      <x:c r="Y818" s="2" t="str">
        <x:v>Online</x:v>
      </x:c>
      <x:c r="Z818" s="2" t="str">
        <x:v>Synced</x:v>
      </x:c>
      <x:c r="AA818" s="2"/>
      <x:c r="AB818" s="2"/>
      <x:c r="AC818" s="10" t="n">
        <x:f>IF(OR(K818="",Q818=""),"",ROUND((Q818-K818)*1440,2))</x:f>
        <x:v>42.5</x:v>
      </x:c>
    </x:row>
    <x:row r="819" ht="21" customHeight="1">
      <x:c r="A819" s="2" t="str">
        <x:v>LN00818</x:v>
      </x:c>
      <x:c r="B819" s="2" t="str">
        <x:v>T20261007-1-2</x:v>
      </x:c>
      <x:c r="C819" s="7" t="n">
        <x:v>46302</x:v>
      </x:c>
      <x:c r="D819" s="2" t="str">
        <x:v>BUS002</x:v>
      </x:c>
      <x:c r="E819" s="2" t="str">
        <x:v>ST058</x:v>
      </x:c>
      <x:c r="F819" s="2" t="n">
        <x:v>1</x:v>
      </x:c>
      <x:c r="G819" s="2" t="str">
        <x:v>Senior</x:v>
      </x:c>
      <x:c r="H819" s="2" t="str">
        <x:v>Pickup</x:v>
      </x:c>
      <x:c r="I819" s="2" t="str">
        <x:v>R2S3</x:v>
      </x:c>
      <x:c r="J819" s="2" t="str">
        <x:v>EV001629</x:v>
      </x:c>
      <x:c r="K819" s="8" t="n">
        <x:v>46302.25232638889</x:v>
      </x:c>
      <x:c r="L819" s="2" t="str">
        <x:v>R2S3</x:v>
      </x:c>
      <x:c r="M819" s="9" t="n">
        <x:v>25.284000000000002</x:v>
      </x:c>
      <x:c r="N819" s="9" t="n">
        <x:v>51.504999999999995</x:v>
      </x:c>
      <x:c r="O819" s="2" t="str">
        <x:v>Valid</x:v>
      </x:c>
      <x:c r="P819" s="2" t="str">
        <x:v>EV001630</x:v>
      </x:c>
      <x:c r="Q819" s="8" t="n">
        <x:v>46302.276979166665</x:v>
      </x:c>
      <x:c r="R819" s="2" t="str">
        <x:v>SCH01</x:v>
      </x:c>
      <x:c r="S819" s="9" t="n">
        <x:v>25.285</x:v>
      </x:c>
      <x:c r="T819" s="9" t="n">
        <x:v>51.51</x:v>
      </x:c>
      <x:c r="U819" s="2" t="str">
        <x:v>SCHOOL_RECEIVER_01</x:v>
      </x:c>
      <x:c r="V819" s="2" t="str">
        <x:v>School staff receipt</x:v>
      </x:c>
      <x:c r="W819" s="2" t="str">
        <x:v>Completed transport</x:v>
      </x:c>
      <x:c r="X819" s="2" t="str">
        <x:v>QR</x:v>
      </x:c>
      <x:c r="Y819" s="2" t="str">
        <x:v>Online</x:v>
      </x:c>
      <x:c r="Z819" s="2" t="str">
        <x:v>Synced</x:v>
      </x:c>
      <x:c r="AA819" s="2"/>
      <x:c r="AB819" s="2"/>
      <x:c r="AC819" s="10" t="n">
        <x:f>IF(OR(K819="",Q819=""),"",ROUND((Q819-K819)*1440,2))</x:f>
        <x:v>35.5</x:v>
      </x:c>
    </x:row>
    <x:row r="820" ht="21" customHeight="1">
      <x:c r="A820" s="2" t="str">
        <x:v>LN00819</x:v>
      </x:c>
      <x:c r="B820" s="2" t="str">
        <x:v>T20261007-1-2</x:v>
      </x:c>
      <x:c r="C820" s="7" t="n">
        <x:v>46302</x:v>
      </x:c>
      <x:c r="D820" s="2" t="str">
        <x:v>BUS002</x:v>
      </x:c>
      <x:c r="E820" s="2" t="str">
        <x:v>ST059</x:v>
      </x:c>
      <x:c r="F820" s="2" t="n">
        <x:v>1</x:v>
      </x:c>
      <x:c r="G820" s="2" t="str">
        <x:v>Senior</x:v>
      </x:c>
      <x:c r="H820" s="2" t="str">
        <x:v>Pickup</x:v>
      </x:c>
      <x:c r="I820" s="2" t="str">
        <x:v>R2S1</x:v>
      </x:c>
      <x:c r="J820" s="2" t="str">
        <x:v>EV001631</x:v>
      </x:c>
      <x:c r="K820" s="8" t="n">
        <x:v>46302.24263888889</x:v>
      </x:c>
      <x:c r="L820" s="2" t="str">
        <x:v>R2S1</x:v>
      </x:c>
      <x:c r="M820" s="9" t="n">
        <x:v>25.28</x:v>
      </x:c>
      <x:c r="N820" s="9" t="n">
        <x:v>51.498999999999995</x:v>
      </x:c>
      <x:c r="O820" s="2" t="str">
        <x:v>Valid</x:v>
      </x:c>
      <x:c r="P820" s="2" t="str">
        <x:v>EV001632</x:v>
      </x:c>
      <x:c r="Q820" s="8" t="n">
        <x:v>46302.27701388889</x:v>
      </x:c>
      <x:c r="R820" s="2" t="str">
        <x:v>SCH01</x:v>
      </x:c>
      <x:c r="S820" s="9" t="n">
        <x:v>25.285</x:v>
      </x:c>
      <x:c r="T820" s="9" t="n">
        <x:v>51.51</x:v>
      </x:c>
      <x:c r="U820" s="2" t="str">
        <x:v>SCHOOL_RECEIVER_01</x:v>
      </x:c>
      <x:c r="V820" s="2" t="str">
        <x:v>School staff receipt</x:v>
      </x:c>
      <x:c r="W820" s="2" t="str">
        <x:v>Completed transport</x:v>
      </x:c>
      <x:c r="X820" s="2" t="str">
        <x:v>QR</x:v>
      </x:c>
      <x:c r="Y820" s="2" t="str">
        <x:v>Online</x:v>
      </x:c>
      <x:c r="Z820" s="2" t="str">
        <x:v>Synced</x:v>
      </x:c>
      <x:c r="AA820" s="2"/>
      <x:c r="AB820" s="2"/>
      <x:c r="AC820" s="10" t="n">
        <x:f>IF(OR(K820="",Q820=""),"",ROUND((Q820-K820)*1440,2))</x:f>
        <x:v>49.5</x:v>
      </x:c>
    </x:row>
    <x:row r="821" ht="21" customHeight="1">
      <x:c r="A821" s="2" t="str">
        <x:v>LN00820</x:v>
      </x:c>
      <x:c r="B821" s="2" t="str">
        <x:v>T20261007-1-2</x:v>
      </x:c>
      <x:c r="C821" s="7" t="n">
        <x:v>46302</x:v>
      </x:c>
      <x:c r="D821" s="2" t="str">
        <x:v>BUS002</x:v>
      </x:c>
      <x:c r="E821" s="2" t="str">
        <x:v>ST060</x:v>
      </x:c>
      <x:c r="F821" s="2" t="n">
        <x:v>1</x:v>
      </x:c>
      <x:c r="G821" s="2" t="str">
        <x:v>Senior</x:v>
      </x:c>
      <x:c r="H821" s="2" t="str">
        <x:v>Pickup</x:v>
      </x:c>
      <x:c r="I821" s="2" t="str">
        <x:v>R2S2</x:v>
      </x:c>
      <x:c r="J821" s="2" t="str">
        <x:v>EV001633</x:v>
      </x:c>
      <x:c r="K821" s="8" t="n">
        <x:v>46302.24753472222</x:v>
      </x:c>
      <x:c r="L821" s="2" t="str">
        <x:v>R2S2</x:v>
      </x:c>
      <x:c r="M821" s="9" t="n">
        <x:v>25.282000000000004</x:v>
      </x:c>
      <x:c r="N821" s="9" t="n">
        <x:v>51.501999999999995</x:v>
      </x:c>
      <x:c r="O821" s="2" t="str">
        <x:v>Valid</x:v>
      </x:c>
      <x:c r="P821" s="2" t="str">
        <x:v>EV001634</x:v>
      </x:c>
      <x:c r="Q821" s="8" t="n">
        <x:v>46302.27704861111</x:v>
      </x:c>
      <x:c r="R821" s="2" t="str">
        <x:v>SCH01</x:v>
      </x:c>
      <x:c r="S821" s="9" t="n">
        <x:v>25.285</x:v>
      </x:c>
      <x:c r="T821" s="9" t="n">
        <x:v>51.51</x:v>
      </x:c>
      <x:c r="U821" s="2" t="str">
        <x:v>SCHOOL_RECEIVER_01</x:v>
      </x:c>
      <x:c r="V821" s="2" t="str">
        <x:v>School staff receipt</x:v>
      </x:c>
      <x:c r="W821" s="2" t="str">
        <x:v>Completed transport</x:v>
      </x:c>
      <x:c r="X821" s="2" t="str">
        <x:v>QR</x:v>
      </x:c>
      <x:c r="Y821" s="2" t="str">
        <x:v>Online</x:v>
      </x:c>
      <x:c r="Z821" s="2" t="str">
        <x:v>Synced</x:v>
      </x:c>
      <x:c r="AA821" s="2"/>
      <x:c r="AB821" s="2"/>
      <x:c r="AC821" s="10" t="n">
        <x:f>IF(OR(K821="",Q821=""),"",ROUND((Q821-K821)*1440,2))</x:f>
        <x:v>42.5</x:v>
      </x:c>
    </x:row>
    <x:row r="822" ht="21" customHeight="1">
      <x:c r="A822" s="2" t="str">
        <x:v>LN00821</x:v>
      </x:c>
      <x:c r="B822" s="2" t="str">
        <x:v>T20261007-2-2</x:v>
      </x:c>
      <x:c r="C822" s="7" t="n">
        <x:v>46302</x:v>
      </x:c>
      <x:c r="D822" s="2" t="str">
        <x:v>BUS002</x:v>
      </x:c>
      <x:c r="E822" s="2" t="str">
        <x:v>ST041</x:v>
      </x:c>
      <x:c r="F822" s="2" t="n">
        <x:v>1</x:v>
      </x:c>
      <x:c r="G822" s="2" t="str">
        <x:v>Junior</x:v>
      </x:c>
      <x:c r="H822" s="2" t="str">
        <x:v>Drop-off</x:v>
      </x:c>
      <x:c r="I822" s="2" t="str">
        <x:v>R2S1</x:v>
      </x:c>
      <x:c r="J822" s="2" t="str">
        <x:v>EV001635</x:v>
      </x:c>
      <x:c r="K822" s="8" t="n">
        <x:v>46302.4375</x:v>
      </x:c>
      <x:c r="L822" s="2" t="str">
        <x:v>SCH01</x:v>
      </x:c>
      <x:c r="M822" s="9" t="n">
        <x:v>25.285</x:v>
      </x:c>
      <x:c r="N822" s="9" t="n">
        <x:v>51.51</x:v>
      </x:c>
      <x:c r="O822" s="2" t="str">
        <x:v>Valid</x:v>
      </x:c>
      <x:c r="P822" s="2" t="str">
        <x:v>EV001636</x:v>
      </x:c>
      <x:c r="Q822" s="8" t="n">
        <x:v>46302.44930555555</x:v>
      </x:c>
      <x:c r="R822" s="2" t="str">
        <x:v>R2S1</x:v>
      </x:c>
      <x:c r="S822" s="9" t="n">
        <x:v>25.28</x:v>
      </x:c>
      <x:c r="T822" s="9" t="n">
        <x:v>51.498999999999995</x:v>
      </x:c>
      <x:c r="U822" s="2" t="str">
        <x:v>G041</x:v>
      </x:c>
      <x:c r="V822" s="2" t="str">
        <x:v>Authorized guardian release</x:v>
      </x:c>
      <x:c r="W822" s="2" t="str">
        <x:v>Completed transport</x:v>
      </x:c>
      <x:c r="X822" s="2" t="str">
        <x:v>QR</x:v>
      </x:c>
      <x:c r="Y822" s="2" t="str">
        <x:v>Online</x:v>
      </x:c>
      <x:c r="Z822" s="2" t="str">
        <x:v>Synced</x:v>
      </x:c>
      <x:c r="AA822" s="2"/>
      <x:c r="AB822" s="2"/>
      <x:c r="AC822" s="10" t="n">
        <x:f>IF(OR(K822="",Q822=""),"",ROUND((Q822-K822)*1440,2))</x:f>
        <x:v>17</x:v>
      </x:c>
    </x:row>
    <x:row r="823" ht="21" customHeight="1">
      <x:c r="A823" s="2" t="str">
        <x:v>LN00822</x:v>
      </x:c>
      <x:c r="B823" s="2" t="str">
        <x:v>T20261007-2-2</x:v>
      </x:c>
      <x:c r="C823" s="7" t="n">
        <x:v>46302</x:v>
      </x:c>
      <x:c r="D823" s="2" t="str">
        <x:v>BUS002</x:v>
      </x:c>
      <x:c r="E823" s="2" t="str">
        <x:v>ST042</x:v>
      </x:c>
      <x:c r="F823" s="2" t="n">
        <x:v>1</x:v>
      </x:c>
      <x:c r="G823" s="2" t="str">
        <x:v>Junior</x:v>
      </x:c>
      <x:c r="H823" s="2" t="str">
        <x:v>Drop-off</x:v>
      </x:c>
      <x:c r="I823" s="2" t="str">
        <x:v>R2S2</x:v>
      </x:c>
      <x:c r="J823" s="2" t="str">
        <x:v>EV001637</x:v>
      </x:c>
      <x:c r="K823" s="8" t="n">
        <x:v>46302.43753472222</x:v>
      </x:c>
      <x:c r="L823" s="2" t="str">
        <x:v>SCH01</x:v>
      </x:c>
      <x:c r="M823" s="9" t="n">
        <x:v>25.285</x:v>
      </x:c>
      <x:c r="N823" s="9" t="n">
        <x:v>51.51</x:v>
      </x:c>
      <x:c r="O823" s="2" t="str">
        <x:v>Valid</x:v>
      </x:c>
      <x:c r="P823" s="2" t="str">
        <x:v>EV001638</x:v>
      </x:c>
      <x:c r="Q823" s="8" t="n">
        <x:v>46302.45350694445</x:v>
      </x:c>
      <x:c r="R823" s="2" t="str">
        <x:v>R2S2</x:v>
      </x:c>
      <x:c r="S823" s="9" t="n">
        <x:v>25.282000000000004</x:v>
      </x:c>
      <x:c r="T823" s="9" t="n">
        <x:v>51.501999999999995</x:v>
      </x:c>
      <x:c r="U823" s="2" t="str">
        <x:v>G042</x:v>
      </x:c>
      <x:c r="V823" s="2" t="str">
        <x:v>Authorized guardian release</x:v>
      </x:c>
      <x:c r="W823" s="2" t="str">
        <x:v>Completed transport</x:v>
      </x:c>
      <x:c r="X823" s="2" t="str">
        <x:v>QR</x:v>
      </x:c>
      <x:c r="Y823" s="2" t="str">
        <x:v>Online</x:v>
      </x:c>
      <x:c r="Z823" s="2" t="str">
        <x:v>Synced</x:v>
      </x:c>
      <x:c r="AA823" s="2"/>
      <x:c r="AB823" s="2"/>
      <x:c r="AC823" s="10" t="n">
        <x:f>IF(OR(K823="",Q823=""),"",ROUND((Q823-K823)*1440,2))</x:f>
        <x:v>23</x:v>
      </x:c>
    </x:row>
    <x:row r="824" ht="21" customHeight="1">
      <x:c r="A824" s="2" t="str">
        <x:v>LN00823</x:v>
      </x:c>
      <x:c r="B824" s="2" t="str">
        <x:v>T20261007-2-2</x:v>
      </x:c>
      <x:c r="C824" s="7" t="n">
        <x:v>46302</x:v>
      </x:c>
      <x:c r="D824" s="2" t="str">
        <x:v>BUS002</x:v>
      </x:c>
      <x:c r="E824" s="2" t="str">
        <x:v>ST043</x:v>
      </x:c>
      <x:c r="F824" s="2" t="n">
        <x:v>1</x:v>
      </x:c>
      <x:c r="G824" s="2" t="str">
        <x:v>Junior</x:v>
      </x:c>
      <x:c r="H824" s="2" t="str">
        <x:v>Drop-off</x:v>
      </x:c>
      <x:c r="I824" s="2" t="str">
        <x:v>R2S3</x:v>
      </x:c>
      <x:c r="J824" s="2" t="str">
        <x:v>EV001639</x:v>
      </x:c>
      <x:c r="K824" s="8" t="n">
        <x:v>46302.437569444446</x:v>
      </x:c>
      <x:c r="L824" s="2" t="str">
        <x:v>SCH01</x:v>
      </x:c>
      <x:c r="M824" s="9" t="n">
        <x:v>25.285</x:v>
      </x:c>
      <x:c r="N824" s="9" t="n">
        <x:v>51.51</x:v>
      </x:c>
      <x:c r="O824" s="2" t="str">
        <x:v>Valid</x:v>
      </x:c>
      <x:c r="P824" s="2" t="str">
        <x:v>EV001640</x:v>
      </x:c>
      <x:c r="Q824" s="8" t="n">
        <x:v>46302.457708333335</x:v>
      </x:c>
      <x:c r="R824" s="2" t="str">
        <x:v>R2S3</x:v>
      </x:c>
      <x:c r="S824" s="9" t="n">
        <x:v>25.284000000000002</x:v>
      </x:c>
      <x:c r="T824" s="9" t="n">
        <x:v>51.504999999999995</x:v>
      </x:c>
      <x:c r="U824" s="2" t="str">
        <x:v>G043</x:v>
      </x:c>
      <x:c r="V824" s="2" t="str">
        <x:v>Authorized guardian release</x:v>
      </x:c>
      <x:c r="W824" s="2" t="str">
        <x:v>Completed transport</x:v>
      </x:c>
      <x:c r="X824" s="2" t="str">
        <x:v>QR</x:v>
      </x:c>
      <x:c r="Y824" s="2" t="str">
        <x:v>Online</x:v>
      </x:c>
      <x:c r="Z824" s="2" t="str">
        <x:v>Synced</x:v>
      </x:c>
      <x:c r="AA824" s="2"/>
      <x:c r="AB824" s="2"/>
      <x:c r="AC824" s="10" t="n">
        <x:f>IF(OR(K824="",Q824=""),"",ROUND((Q824-K824)*1440,2))</x:f>
        <x:v>29</x:v>
      </x:c>
    </x:row>
    <x:row r="825" ht="21" customHeight="1">
      <x:c r="A825" s="2" t="str">
        <x:v>LN00824</x:v>
      </x:c>
      <x:c r="B825" s="2" t="str">
        <x:v>T20261007-2-2</x:v>
      </x:c>
      <x:c r="C825" s="7" t="n">
        <x:v>46302</x:v>
      </x:c>
      <x:c r="D825" s="2" t="str">
        <x:v>BUS002</x:v>
      </x:c>
      <x:c r="E825" s="2" t="str">
        <x:v>ST044</x:v>
      </x:c>
      <x:c r="F825" s="2" t="n">
        <x:v>1</x:v>
      </x:c>
      <x:c r="G825" s="2" t="str">
        <x:v>Junior</x:v>
      </x:c>
      <x:c r="H825" s="2" t="str">
        <x:v>Drop-off</x:v>
      </x:c>
      <x:c r="I825" s="2" t="str">
        <x:v>R2S1</x:v>
      </x:c>
      <x:c r="J825" s="2" t="str">
        <x:v>EV001641</x:v>
      </x:c>
      <x:c r="K825" s="8" t="n">
        <x:v>46302.43760416667</x:v>
      </x:c>
      <x:c r="L825" s="2" t="str">
        <x:v>SCH01</x:v>
      </x:c>
      <x:c r="M825" s="9" t="n">
        <x:v>25.285</x:v>
      </x:c>
      <x:c r="N825" s="9" t="n">
        <x:v>51.51</x:v>
      </x:c>
      <x:c r="O825" s="2" t="str">
        <x:v>Valid</x:v>
      </x:c>
      <x:c r="P825" s="2" t="str">
        <x:v>EV001642</x:v>
      </x:c>
      <x:c r="Q825" s="8" t="n">
        <x:v>46302.44940972222</x:v>
      </x:c>
      <x:c r="R825" s="2" t="str">
        <x:v>R2S1</x:v>
      </x:c>
      <x:c r="S825" s="9" t="n">
        <x:v>25.28</x:v>
      </x:c>
      <x:c r="T825" s="9" t="n">
        <x:v>51.498999999999995</x:v>
      </x:c>
      <x:c r="U825" s="2" t="str">
        <x:v>G044</x:v>
      </x:c>
      <x:c r="V825" s="2" t="str">
        <x:v>Authorized guardian release</x:v>
      </x:c>
      <x:c r="W825" s="2" t="str">
        <x:v>Completed transport</x:v>
      </x:c>
      <x:c r="X825" s="2" t="str">
        <x:v>QR</x:v>
      </x:c>
      <x:c r="Y825" s="2" t="str">
        <x:v>Online</x:v>
      </x:c>
      <x:c r="Z825" s="2" t="str">
        <x:v>Synced</x:v>
      </x:c>
      <x:c r="AA825" s="2"/>
      <x:c r="AB825" s="2"/>
      <x:c r="AC825" s="10" t="n">
        <x:f>IF(OR(K825="",Q825=""),"",ROUND((Q825-K825)*1440,2))</x:f>
        <x:v>17</x:v>
      </x:c>
    </x:row>
    <x:row r="826" ht="21" customHeight="1">
      <x:c r="A826" s="2" t="str">
        <x:v>LN00825</x:v>
      </x:c>
      <x:c r="B826" s="2" t="str">
        <x:v>T20261007-2-2</x:v>
      </x:c>
      <x:c r="C826" s="7" t="n">
        <x:v>46302</x:v>
      </x:c>
      <x:c r="D826" s="2" t="str">
        <x:v>BUS002</x:v>
      </x:c>
      <x:c r="E826" s="2" t="str">
        <x:v>ST045</x:v>
      </x:c>
      <x:c r="F826" s="2" t="n">
        <x:v>1</x:v>
      </x:c>
      <x:c r="G826" s="2" t="str">
        <x:v>Junior</x:v>
      </x:c>
      <x:c r="H826" s="2" t="str">
        <x:v>Drop-off</x:v>
      </x:c>
      <x:c r="I826" s="2" t="str">
        <x:v>R2S2</x:v>
      </x:c>
      <x:c r="J826" s="2" t="str">
        <x:v>EV001643</x:v>
      </x:c>
      <x:c r="K826" s="8" t="n">
        <x:v>46302.43763888889</x:v>
      </x:c>
      <x:c r="L826" s="2" t="str">
        <x:v>SCH01</x:v>
      </x:c>
      <x:c r="M826" s="9" t="n">
        <x:v>25.285</x:v>
      </x:c>
      <x:c r="N826" s="9" t="n">
        <x:v>51.51</x:v>
      </x:c>
      <x:c r="O826" s="2" t="str">
        <x:v>Valid</x:v>
      </x:c>
      <x:c r="P826" s="2" t="str">
        <x:v>EV001644</x:v>
      </x:c>
      <x:c r="Q826" s="8" t="n">
        <x:v>46302.453611111116</x:v>
      </x:c>
      <x:c r="R826" s="2" t="str">
        <x:v>R2S2</x:v>
      </x:c>
      <x:c r="S826" s="9" t="n">
        <x:v>25.282000000000004</x:v>
      </x:c>
      <x:c r="T826" s="9" t="n">
        <x:v>51.501999999999995</x:v>
      </x:c>
      <x:c r="U826" s="2" t="str">
        <x:v>G045</x:v>
      </x:c>
      <x:c r="V826" s="2" t="str">
        <x:v>Authorized guardian release</x:v>
      </x:c>
      <x:c r="W826" s="2" t="str">
        <x:v>Completed transport</x:v>
      </x:c>
      <x:c r="X826" s="2" t="str">
        <x:v>QR</x:v>
      </x:c>
      <x:c r="Y826" s="2" t="str">
        <x:v>Online</x:v>
      </x:c>
      <x:c r="Z826" s="2" t="str">
        <x:v>Synced</x:v>
      </x:c>
      <x:c r="AA826" s="2"/>
      <x:c r="AB826" s="2"/>
      <x:c r="AC826" s="10" t="n">
        <x:f>IF(OR(K826="",Q826=""),"",ROUND((Q826-K826)*1440,2))</x:f>
        <x:v>23</x:v>
      </x:c>
    </x:row>
    <x:row r="827" ht="21" customHeight="1">
      <x:c r="A827" s="2" t="str">
        <x:v>LN00826</x:v>
      </x:c>
      <x:c r="B827" s="2" t="str">
        <x:v>T20261007-2-2</x:v>
      </x:c>
      <x:c r="C827" s="7" t="n">
        <x:v>46302</x:v>
      </x:c>
      <x:c r="D827" s="2" t="str">
        <x:v>BUS002</x:v>
      </x:c>
      <x:c r="E827" s="2" t="str">
        <x:v>ST046</x:v>
      </x:c>
      <x:c r="F827" s="2" t="n">
        <x:v>1</x:v>
      </x:c>
      <x:c r="G827" s="2" t="str">
        <x:v>Junior</x:v>
      </x:c>
      <x:c r="H827" s="2" t="str">
        <x:v>Drop-off</x:v>
      </x:c>
      <x:c r="I827" s="2" t="str">
        <x:v>R2S3</x:v>
      </x:c>
      <x:c r="J827" s="2" t="str">
        <x:v>EV001645</x:v>
      </x:c>
      <x:c r="K827" s="8" t="n">
        <x:v>46302.43767361111</x:v>
      </x:c>
      <x:c r="L827" s="2" t="str">
        <x:v>SCH01</x:v>
      </x:c>
      <x:c r="M827" s="9" t="n">
        <x:v>25.285</x:v>
      </x:c>
      <x:c r="N827" s="9" t="n">
        <x:v>51.51</x:v>
      </x:c>
      <x:c r="O827" s="2" t="str">
        <x:v>Valid</x:v>
      </x:c>
      <x:c r="P827" s="2" t="str">
        <x:v>EV001646</x:v>
      </x:c>
      <x:c r="Q827" s="8" t="n">
        <x:v>46302.4578125</x:v>
      </x:c>
      <x:c r="R827" s="2" t="str">
        <x:v>R2S3</x:v>
      </x:c>
      <x:c r="S827" s="9" t="n">
        <x:v>25.284000000000002</x:v>
      </x:c>
      <x:c r="T827" s="9" t="n">
        <x:v>51.504999999999995</x:v>
      </x:c>
      <x:c r="U827" s="2" t="str">
        <x:v>G046</x:v>
      </x:c>
      <x:c r="V827" s="2" t="str">
        <x:v>Authorized guardian release</x:v>
      </x:c>
      <x:c r="W827" s="2" t="str">
        <x:v>Completed transport</x:v>
      </x:c>
      <x:c r="X827" s="2" t="str">
        <x:v>QR</x:v>
      </x:c>
      <x:c r="Y827" s="2" t="str">
        <x:v>Online</x:v>
      </x:c>
      <x:c r="Z827" s="2" t="str">
        <x:v>Synced</x:v>
      </x:c>
      <x:c r="AA827" s="2"/>
      <x:c r="AB827" s="2"/>
      <x:c r="AC827" s="10" t="n">
        <x:f>IF(OR(K827="",Q827=""),"",ROUND((Q827-K827)*1440,2))</x:f>
        <x:v>29</x:v>
      </x:c>
    </x:row>
    <x:row r="828" ht="21" customHeight="1">
      <x:c r="A828" s="2" t="str">
        <x:v>LN00827</x:v>
      </x:c>
      <x:c r="B828" s="2" t="str">
        <x:v>T20261007-2-2</x:v>
      </x:c>
      <x:c r="C828" s="7" t="n">
        <x:v>46302</x:v>
      </x:c>
      <x:c r="D828" s="2" t="str">
        <x:v>BUS002</x:v>
      </x:c>
      <x:c r="E828" s="2" t="str">
        <x:v>ST047</x:v>
      </x:c>
      <x:c r="F828" s="2" t="n">
        <x:v>1</x:v>
      </x:c>
      <x:c r="G828" s="2" t="str">
        <x:v>Junior</x:v>
      </x:c>
      <x:c r="H828" s="2" t="str">
        <x:v>Drop-off</x:v>
      </x:c>
      <x:c r="I828" s="2" t="str">
        <x:v>R2S1</x:v>
      </x:c>
      <x:c r="J828" s="2" t="str">
        <x:v>EV001647</x:v>
      </x:c>
      <x:c r="K828" s="8" t="n">
        <x:v>46302.43770833333</x:v>
      </x:c>
      <x:c r="L828" s="2" t="str">
        <x:v>SCH01</x:v>
      </x:c>
      <x:c r="M828" s="9" t="n">
        <x:v>25.285</x:v>
      </x:c>
      <x:c r="N828" s="9" t="n">
        <x:v>51.51</x:v>
      </x:c>
      <x:c r="O828" s="2" t="str">
        <x:v>Valid</x:v>
      </x:c>
      <x:c r="P828" s="2" t="str">
        <x:v>EV001648</x:v>
      </x:c>
      <x:c r="Q828" s="8" t="n">
        <x:v>46302.44951388888</x:v>
      </x:c>
      <x:c r="R828" s="2" t="str">
        <x:v>R2S1</x:v>
      </x:c>
      <x:c r="S828" s="9" t="n">
        <x:v>25.28</x:v>
      </x:c>
      <x:c r="T828" s="9" t="n">
        <x:v>51.498999999999995</x:v>
      </x:c>
      <x:c r="U828" s="2" t="str">
        <x:v>G047</x:v>
      </x:c>
      <x:c r="V828" s="2" t="str">
        <x:v>Authorized guardian release</x:v>
      </x:c>
      <x:c r="W828" s="2" t="str">
        <x:v>Completed transport</x:v>
      </x:c>
      <x:c r="X828" s="2" t="str">
        <x:v>QR</x:v>
      </x:c>
      <x:c r="Y828" s="2" t="str">
        <x:v>Online</x:v>
      </x:c>
      <x:c r="Z828" s="2" t="str">
        <x:v>Synced</x:v>
      </x:c>
      <x:c r="AA828" s="2"/>
      <x:c r="AB828" s="2"/>
      <x:c r="AC828" s="10" t="n">
        <x:f>IF(OR(K828="",Q828=""),"",ROUND((Q828-K828)*1440,2))</x:f>
        <x:v>17</x:v>
      </x:c>
    </x:row>
    <x:row r="829" ht="21" customHeight="1">
      <x:c r="A829" s="2" t="str">
        <x:v>LN00828</x:v>
      </x:c>
      <x:c r="B829" s="2" t="str">
        <x:v>T20261007-2-2</x:v>
      </x:c>
      <x:c r="C829" s="7" t="n">
        <x:v>46302</x:v>
      </x:c>
      <x:c r="D829" s="2" t="str">
        <x:v>BUS002</x:v>
      </x:c>
      <x:c r="E829" s="2" t="str">
        <x:v>ST048</x:v>
      </x:c>
      <x:c r="F829" s="2" t="n">
        <x:v>1</x:v>
      </x:c>
      <x:c r="G829" s="2" t="str">
        <x:v>Junior</x:v>
      </x:c>
      <x:c r="H829" s="2" t="str">
        <x:v>Drop-off</x:v>
      </x:c>
      <x:c r="I829" s="2" t="str">
        <x:v>R2S2</x:v>
      </x:c>
      <x:c r="J829" s="2" t="str">
        <x:v>EV001649</x:v>
      </x:c>
      <x:c r="K829" s="8" t="n">
        <x:v>46302.437743055554</x:v>
      </x:c>
      <x:c r="L829" s="2" t="str">
        <x:v>SCH01</x:v>
      </x:c>
      <x:c r="M829" s="9" t="n">
        <x:v>25.285</x:v>
      </x:c>
      <x:c r="N829" s="9" t="n">
        <x:v>51.51</x:v>
      </x:c>
      <x:c r="O829" s="2" t="str">
        <x:v>Valid</x:v>
      </x:c>
      <x:c r="P829" s="2" t="str">
        <x:v>EV001650</x:v>
      </x:c>
      <x:c r="Q829" s="8" t="n">
        <x:v>46302.45371527778</x:v>
      </x:c>
      <x:c r="R829" s="2" t="str">
        <x:v>R2S2</x:v>
      </x:c>
      <x:c r="S829" s="9" t="n">
        <x:v>25.282000000000004</x:v>
      </x:c>
      <x:c r="T829" s="9" t="n">
        <x:v>51.501999999999995</x:v>
      </x:c>
      <x:c r="U829" s="2" t="str">
        <x:v>G048</x:v>
      </x:c>
      <x:c r="V829" s="2" t="str">
        <x:v>Authorized guardian release</x:v>
      </x:c>
      <x:c r="W829" s="2" t="str">
        <x:v>Completed transport</x:v>
      </x:c>
      <x:c r="X829" s="2" t="str">
        <x:v>QR</x:v>
      </x:c>
      <x:c r="Y829" s="2" t="str">
        <x:v>Online</x:v>
      </x:c>
      <x:c r="Z829" s="2" t="str">
        <x:v>Synced</x:v>
      </x:c>
      <x:c r="AA829" s="2"/>
      <x:c r="AB829" s="2"/>
      <x:c r="AC829" s="10" t="n">
        <x:f>IF(OR(K829="",Q829=""),"",ROUND((Q829-K829)*1440,2))</x:f>
        <x:v>23</x:v>
      </x:c>
    </x:row>
    <x:row r="830" ht="21" customHeight="1">
      <x:c r="A830" s="2" t="str">
        <x:v>LN00829</x:v>
      </x:c>
      <x:c r="B830" s="2" t="str">
        <x:v>T20261007-2-2</x:v>
      </x:c>
      <x:c r="C830" s="7" t="n">
        <x:v>46302</x:v>
      </x:c>
      <x:c r="D830" s="2" t="str">
        <x:v>BUS002</x:v>
      </x:c>
      <x:c r="E830" s="2" t="str">
        <x:v>ST049</x:v>
      </x:c>
      <x:c r="F830" s="2" t="n">
        <x:v>1</x:v>
      </x:c>
      <x:c r="G830" s="2" t="str">
        <x:v>Junior</x:v>
      </x:c>
      <x:c r="H830" s="2" t="str">
        <x:v>Drop-off</x:v>
      </x:c>
      <x:c r="I830" s="2" t="str">
        <x:v>R2S3</x:v>
      </x:c>
      <x:c r="J830" s="2" t="str">
        <x:v>EV001651</x:v>
      </x:c>
      <x:c r="K830" s="8" t="n">
        <x:v>46302.43777777778</x:v>
      </x:c>
      <x:c r="L830" s="2" t="str">
        <x:v>SCH01</x:v>
      </x:c>
      <x:c r="M830" s="9" t="n">
        <x:v>25.285</x:v>
      </x:c>
      <x:c r="N830" s="9" t="n">
        <x:v>51.51</x:v>
      </x:c>
      <x:c r="O830" s="2" t="str">
        <x:v>Valid</x:v>
      </x:c>
      <x:c r="P830" s="2" t="str">
        <x:v>EV001652</x:v>
      </x:c>
      <x:c r="Q830" s="8" t="n">
        <x:v>46302.457916666666</x:v>
      </x:c>
      <x:c r="R830" s="2" t="str">
        <x:v>R2S3</x:v>
      </x:c>
      <x:c r="S830" s="9" t="n">
        <x:v>25.284000000000002</x:v>
      </x:c>
      <x:c r="T830" s="9" t="n">
        <x:v>51.504999999999995</x:v>
      </x:c>
      <x:c r="U830" s="2" t="str">
        <x:v>G049</x:v>
      </x:c>
      <x:c r="V830" s="2" t="str">
        <x:v>Authorized guardian release</x:v>
      </x:c>
      <x:c r="W830" s="2" t="str">
        <x:v>Completed transport</x:v>
      </x:c>
      <x:c r="X830" s="2" t="str">
        <x:v>QR</x:v>
      </x:c>
      <x:c r="Y830" s="2" t="str">
        <x:v>Online</x:v>
      </x:c>
      <x:c r="Z830" s="2" t="str">
        <x:v>Synced</x:v>
      </x:c>
      <x:c r="AA830" s="2"/>
      <x:c r="AB830" s="2"/>
      <x:c r="AC830" s="10" t="n">
        <x:f>IF(OR(K830="",Q830=""),"",ROUND((Q830-K830)*1440,2))</x:f>
        <x:v>29</x:v>
      </x:c>
    </x:row>
    <x:row r="831" ht="21" customHeight="1">
      <x:c r="A831" s="2" t="str">
        <x:v>LN00830</x:v>
      </x:c>
      <x:c r="B831" s="2" t="str">
        <x:v>T20261007-2-2</x:v>
      </x:c>
      <x:c r="C831" s="7" t="n">
        <x:v>46302</x:v>
      </x:c>
      <x:c r="D831" s="2" t="str">
        <x:v>BUS002</x:v>
      </x:c>
      <x:c r="E831" s="2" t="str">
        <x:v>ST050</x:v>
      </x:c>
      <x:c r="F831" s="2" t="n">
        <x:v>1</x:v>
      </x:c>
      <x:c r="G831" s="2" t="str">
        <x:v>Junior</x:v>
      </x:c>
      <x:c r="H831" s="2" t="str">
        <x:v>Drop-off</x:v>
      </x:c>
      <x:c r="I831" s="2" t="str">
        <x:v>R2S1</x:v>
      </x:c>
      <x:c r="J831" s="2" t="str">
        <x:v>EV001653</x:v>
      </x:c>
      <x:c r="K831" s="8" t="n">
        <x:v>46302.4378125</x:v>
      </x:c>
      <x:c r="L831" s="2" t="str">
        <x:v>SCH01</x:v>
      </x:c>
      <x:c r="M831" s="9" t="n">
        <x:v>25.285</x:v>
      </x:c>
      <x:c r="N831" s="9" t="n">
        <x:v>51.51</x:v>
      </x:c>
      <x:c r="O831" s="2" t="str">
        <x:v>Valid</x:v>
      </x:c>
      <x:c r="P831" s="2" t="str">
        <x:v>EV001654</x:v>
      </x:c>
      <x:c r="Q831" s="8" t="n">
        <x:v>46302.44961805555</x:v>
      </x:c>
      <x:c r="R831" s="2" t="str">
        <x:v>R2S1</x:v>
      </x:c>
      <x:c r="S831" s="9" t="n">
        <x:v>25.28</x:v>
      </x:c>
      <x:c r="T831" s="9" t="n">
        <x:v>51.498999999999995</x:v>
      </x:c>
      <x:c r="U831" s="2" t="str">
        <x:v>G050</x:v>
      </x:c>
      <x:c r="V831" s="2" t="str">
        <x:v>Authorized guardian release</x:v>
      </x:c>
      <x:c r="W831" s="2" t="str">
        <x:v>Completed transport</x:v>
      </x:c>
      <x:c r="X831" s="2" t="str">
        <x:v>QR</x:v>
      </x:c>
      <x:c r="Y831" s="2" t="str">
        <x:v>Online</x:v>
      </x:c>
      <x:c r="Z831" s="2" t="str">
        <x:v>Synced</x:v>
      </x:c>
      <x:c r="AA831" s="2"/>
      <x:c r="AB831" s="2"/>
      <x:c r="AC831" s="10" t="n">
        <x:f>IF(OR(K831="",Q831=""),"",ROUND((Q831-K831)*1440,2))</x:f>
        <x:v>17</x:v>
      </x:c>
    </x:row>
    <x:row r="832" ht="21" customHeight="1">
      <x:c r="A832" s="2" t="str">
        <x:v>LN00831</x:v>
      </x:c>
      <x:c r="B832" s="2" t="str">
        <x:v>T20261007-2-2</x:v>
      </x:c>
      <x:c r="C832" s="7" t="n">
        <x:v>46302</x:v>
      </x:c>
      <x:c r="D832" s="2" t="str">
        <x:v>BUS002</x:v>
      </x:c>
      <x:c r="E832" s="2" t="str">
        <x:v>ST061</x:v>
      </x:c>
      <x:c r="F832" s="2" t="n">
        <x:v>2</x:v>
      </x:c>
      <x:c r="G832" s="2" t="str">
        <x:v>Junior</x:v>
      </x:c>
      <x:c r="H832" s="2" t="str">
        <x:v>Pickup</x:v>
      </x:c>
      <x:c r="I832" s="2" t="str">
        <x:v>R2S3</x:v>
      </x:c>
      <x:c r="J832" s="2" t="str">
        <x:v>EV001655</x:v>
      </x:c>
      <x:c r="K832" s="8" t="n">
        <x:v>46302.48125</x:v>
      </x:c>
      <x:c r="L832" s="2" t="str">
        <x:v>R2S3</x:v>
      </x:c>
      <x:c r="M832" s="9" t="n">
        <x:v>25.284000000000002</x:v>
      </x:c>
      <x:c r="N832" s="9" t="n">
        <x:v>51.504999999999995</x:v>
      </x:c>
      <x:c r="O832" s="2" t="str">
        <x:v>Valid</x:v>
      </x:c>
      <x:c r="P832" s="2" t="str">
        <x:v>EV001656</x:v>
      </x:c>
      <x:c r="Q832" s="8" t="n">
        <x:v>46302.506250000006</x:v>
      </x:c>
      <x:c r="R832" s="2" t="str">
        <x:v>SCH01</x:v>
      </x:c>
      <x:c r="S832" s="9" t="n">
        <x:v>25.285</x:v>
      </x:c>
      <x:c r="T832" s="9" t="n">
        <x:v>51.51</x:v>
      </x:c>
      <x:c r="U832" s="2" t="str">
        <x:v>SCHOOL_RECEIVER_01</x:v>
      </x:c>
      <x:c r="V832" s="2" t="str">
        <x:v>School staff receipt</x:v>
      </x:c>
      <x:c r="W832" s="2" t="str">
        <x:v>Completed transport</x:v>
      </x:c>
      <x:c r="X832" s="2" t="str">
        <x:v>QR</x:v>
      </x:c>
      <x:c r="Y832" s="2" t="str">
        <x:v>Online</x:v>
      </x:c>
      <x:c r="Z832" s="2" t="str">
        <x:v>Synced</x:v>
      </x:c>
      <x:c r="AA832" s="2"/>
      <x:c r="AB832" s="2"/>
      <x:c r="AC832" s="10" t="n">
        <x:f>IF(OR(K832="",Q832=""),"",ROUND((Q832-K832)*1440,2))</x:f>
        <x:v>36</x:v>
      </x:c>
    </x:row>
    <x:row r="833" ht="21" customHeight="1">
      <x:c r="A833" s="2" t="str">
        <x:v>LN00832</x:v>
      </x:c>
      <x:c r="B833" s="2" t="str">
        <x:v>T20261007-2-2</x:v>
      </x:c>
      <x:c r="C833" s="7" t="n">
        <x:v>46302</x:v>
      </x:c>
      <x:c r="D833" s="2" t="str">
        <x:v>BUS002</x:v>
      </x:c>
      <x:c r="E833" s="2" t="str">
        <x:v>ST062</x:v>
      </x:c>
      <x:c r="F833" s="2" t="n">
        <x:v>2</x:v>
      </x:c>
      <x:c r="G833" s="2" t="str">
        <x:v>Junior</x:v>
      </x:c>
      <x:c r="H833" s="2" t="str">
        <x:v>Pickup</x:v>
      </x:c>
      <x:c r="I833" s="2" t="str">
        <x:v>R2S1</x:v>
      </x:c>
      <x:c r="J833" s="2" t="str">
        <x:v>EV001657</x:v>
      </x:c>
      <x:c r="K833" s="8" t="n">
        <x:v>46302.4715625</x:v>
      </x:c>
      <x:c r="L833" s="2" t="str">
        <x:v>R2S1</x:v>
      </x:c>
      <x:c r="M833" s="9" t="n">
        <x:v>25.28</x:v>
      </x:c>
      <x:c r="N833" s="9" t="n">
        <x:v>51.498999999999995</x:v>
      </x:c>
      <x:c r="O833" s="2" t="str">
        <x:v>Valid</x:v>
      </x:c>
      <x:c r="P833" s="2" t="str">
        <x:v>EV001658</x:v>
      </x:c>
      <x:c r="Q833" s="8" t="n">
        <x:v>46302.50628472223</x:v>
      </x:c>
      <x:c r="R833" s="2" t="str">
        <x:v>SCH01</x:v>
      </x:c>
      <x:c r="S833" s="9" t="n">
        <x:v>25.285</x:v>
      </x:c>
      <x:c r="T833" s="9" t="n">
        <x:v>51.51</x:v>
      </x:c>
      <x:c r="U833" s="2" t="str">
        <x:v>SCHOOL_RECEIVER_01</x:v>
      </x:c>
      <x:c r="V833" s="2" t="str">
        <x:v>School staff receipt</x:v>
      </x:c>
      <x:c r="W833" s="2" t="str">
        <x:v>Completed transport</x:v>
      </x:c>
      <x:c r="X833" s="2" t="str">
        <x:v>QR</x:v>
      </x:c>
      <x:c r="Y833" s="2" t="str">
        <x:v>Online</x:v>
      </x:c>
      <x:c r="Z833" s="2" t="str">
        <x:v>Synced</x:v>
      </x:c>
      <x:c r="AA833" s="2"/>
      <x:c r="AB833" s="2"/>
      <x:c r="AC833" s="10" t="n">
        <x:f>IF(OR(K833="",Q833=""),"",ROUND((Q833-K833)*1440,2))</x:f>
        <x:v>50</x:v>
      </x:c>
    </x:row>
    <x:row r="834" ht="21" customHeight="1">
      <x:c r="A834" s="2" t="str">
        <x:v>LN00833</x:v>
      </x:c>
      <x:c r="B834" s="2" t="str">
        <x:v>T20261007-2-2</x:v>
      </x:c>
      <x:c r="C834" s="7" t="n">
        <x:v>46302</x:v>
      </x:c>
      <x:c r="D834" s="2" t="str">
        <x:v>BUS002</x:v>
      </x:c>
      <x:c r="E834" s="2" t="str">
        <x:v>ST063</x:v>
      </x:c>
      <x:c r="F834" s="2" t="n">
        <x:v>2</x:v>
      </x:c>
      <x:c r="G834" s="2" t="str">
        <x:v>Junior</x:v>
      </x:c>
      <x:c r="H834" s="2" t="str">
        <x:v>Pickup</x:v>
      </x:c>
      <x:c r="I834" s="2" t="str">
        <x:v>R2S2</x:v>
      </x:c>
      <x:c r="J834" s="2" t="str">
        <x:v>EV001659</x:v>
      </x:c>
      <x:c r="K834" s="8" t="n">
        <x:v>46302.47645833333</x:v>
      </x:c>
      <x:c r="L834" s="2" t="str">
        <x:v>R2S2</x:v>
      </x:c>
      <x:c r="M834" s="9" t="n">
        <x:v>25.282000000000004</x:v>
      </x:c>
      <x:c r="N834" s="9" t="n">
        <x:v>51.501999999999995</x:v>
      </x:c>
      <x:c r="O834" s="2" t="str">
        <x:v>Valid</x:v>
      </x:c>
      <x:c r="P834" s="2" t="str">
        <x:v>EV001660</x:v>
      </x:c>
      <x:c r="Q834" s="8" t="n">
        <x:v>46302.506319444445</x:v>
      </x:c>
      <x:c r="R834" s="2" t="str">
        <x:v>SCH01</x:v>
      </x:c>
      <x:c r="S834" s="9" t="n">
        <x:v>25.285</x:v>
      </x:c>
      <x:c r="T834" s="9" t="n">
        <x:v>51.51</x:v>
      </x:c>
      <x:c r="U834" s="2" t="str">
        <x:v>SCHOOL_RECEIVER_01</x:v>
      </x:c>
      <x:c r="V834" s="2" t="str">
        <x:v>School staff receipt</x:v>
      </x:c>
      <x:c r="W834" s="2" t="str">
        <x:v>Completed transport</x:v>
      </x:c>
      <x:c r="X834" s="2" t="str">
        <x:v>QR</x:v>
      </x:c>
      <x:c r="Y834" s="2" t="str">
        <x:v>Online</x:v>
      </x:c>
      <x:c r="Z834" s="2" t="str">
        <x:v>Synced</x:v>
      </x:c>
      <x:c r="AA834" s="2"/>
      <x:c r="AB834" s="2"/>
      <x:c r="AC834" s="10" t="n">
        <x:f>IF(OR(K834="",Q834=""),"",ROUND((Q834-K834)*1440,2))</x:f>
        <x:v>43</x:v>
      </x:c>
    </x:row>
    <x:row r="835" ht="21" customHeight="1">
      <x:c r="A835" s="2" t="str">
        <x:v>LN00834</x:v>
      </x:c>
      <x:c r="B835" s="2" t="str">
        <x:v>T20261007-2-2</x:v>
      </x:c>
      <x:c r="C835" s="7" t="n">
        <x:v>46302</x:v>
      </x:c>
      <x:c r="D835" s="2" t="str">
        <x:v>BUS002</x:v>
      </x:c>
      <x:c r="E835" s="2" t="str">
        <x:v>ST064</x:v>
      </x:c>
      <x:c r="F835" s="2" t="n">
        <x:v>2</x:v>
      </x:c>
      <x:c r="G835" s="2" t="str">
        <x:v>Junior</x:v>
      </x:c>
      <x:c r="H835" s="2" t="str">
        <x:v>Pickup</x:v>
      </x:c>
      <x:c r="I835" s="2" t="str">
        <x:v>R2S3</x:v>
      </x:c>
      <x:c r="J835" s="2" t="str">
        <x:v>EV001661</x:v>
      </x:c>
      <x:c r="K835" s="8" t="n">
        <x:v>46302.481354166666</x:v>
      </x:c>
      <x:c r="L835" s="2" t="str">
        <x:v>R2S3</x:v>
      </x:c>
      <x:c r="M835" s="9" t="n">
        <x:v>25.284000000000002</x:v>
      </x:c>
      <x:c r="N835" s="9" t="n">
        <x:v>51.504999999999995</x:v>
      </x:c>
      <x:c r="O835" s="2" t="str">
        <x:v>Valid</x:v>
      </x:c>
      <x:c r="P835" s="2" t="str">
        <x:v>EV001662</x:v>
      </x:c>
      <x:c r="Q835" s="8" t="n">
        <x:v>46302.50635416667</x:v>
      </x:c>
      <x:c r="R835" s="2" t="str">
        <x:v>SCH01</x:v>
      </x:c>
      <x:c r="S835" s="9" t="n">
        <x:v>25.285</x:v>
      </x:c>
      <x:c r="T835" s="9" t="n">
        <x:v>51.51</x:v>
      </x:c>
      <x:c r="U835" s="2" t="str">
        <x:v>SCHOOL_RECEIVER_01</x:v>
      </x:c>
      <x:c r="V835" s="2" t="str">
        <x:v>School staff receipt</x:v>
      </x:c>
      <x:c r="W835" s="2" t="str">
        <x:v>Completed transport</x:v>
      </x:c>
      <x:c r="X835" s="2" t="str">
        <x:v>QR</x:v>
      </x:c>
      <x:c r="Y835" s="2" t="str">
        <x:v>Online</x:v>
      </x:c>
      <x:c r="Z835" s="2" t="str">
        <x:v>Synced</x:v>
      </x:c>
      <x:c r="AA835" s="2"/>
      <x:c r="AB835" s="2"/>
      <x:c r="AC835" s="10" t="n">
        <x:f>IF(OR(K835="",Q835=""),"",ROUND((Q835-K835)*1440,2))</x:f>
        <x:v>36</x:v>
      </x:c>
    </x:row>
    <x:row r="836" ht="21" customHeight="1">
      <x:c r="A836" s="2" t="str">
        <x:v>LN00835</x:v>
      </x:c>
      <x:c r="B836" s="2" t="str">
        <x:v>T20261007-2-2</x:v>
      </x:c>
      <x:c r="C836" s="7" t="n">
        <x:v>46302</x:v>
      </x:c>
      <x:c r="D836" s="2" t="str">
        <x:v>BUS002</x:v>
      </x:c>
      <x:c r="E836" s="2" t="str">
        <x:v>ST065</x:v>
      </x:c>
      <x:c r="F836" s="2" t="n">
        <x:v>2</x:v>
      </x:c>
      <x:c r="G836" s="2" t="str">
        <x:v>Junior</x:v>
      </x:c>
      <x:c r="H836" s="2" t="str">
        <x:v>Pickup</x:v>
      </x:c>
      <x:c r="I836" s="2" t="str">
        <x:v>R2S1</x:v>
      </x:c>
      <x:c r="J836" s="2" t="str">
        <x:v>EV001663</x:v>
      </x:c>
      <x:c r="K836" s="8" t="n">
        <x:v>46302.47166666667</x:v>
      </x:c>
      <x:c r="L836" s="2" t="str">
        <x:v>R2S1</x:v>
      </x:c>
      <x:c r="M836" s="9" t="n">
        <x:v>25.28</x:v>
      </x:c>
      <x:c r="N836" s="9" t="n">
        <x:v>51.498999999999995</x:v>
      </x:c>
      <x:c r="O836" s="2" t="str">
        <x:v>Valid</x:v>
      </x:c>
      <x:c r="P836" s="2" t="str">
        <x:v>EV001664</x:v>
      </x:c>
      <x:c r="Q836" s="8" t="n">
        <x:v>46302.50638888889</x:v>
      </x:c>
      <x:c r="R836" s="2" t="str">
        <x:v>SCH01</x:v>
      </x:c>
      <x:c r="S836" s="9" t="n">
        <x:v>25.285</x:v>
      </x:c>
      <x:c r="T836" s="9" t="n">
        <x:v>51.51</x:v>
      </x:c>
      <x:c r="U836" s="2" t="str">
        <x:v>SCHOOL_RECEIVER_01</x:v>
      </x:c>
      <x:c r="V836" s="2" t="str">
        <x:v>School staff receipt</x:v>
      </x:c>
      <x:c r="W836" s="2" t="str">
        <x:v>Completed transport</x:v>
      </x:c>
      <x:c r="X836" s="2" t="str">
        <x:v>QR</x:v>
      </x:c>
      <x:c r="Y836" s="2" t="str">
        <x:v>Online</x:v>
      </x:c>
      <x:c r="Z836" s="2" t="str">
        <x:v>Synced</x:v>
      </x:c>
      <x:c r="AA836" s="2"/>
      <x:c r="AB836" s="2"/>
      <x:c r="AC836" s="10" t="n">
        <x:f>IF(OR(K836="",Q836=""),"",ROUND((Q836-K836)*1440,2))</x:f>
        <x:v>50</x:v>
      </x:c>
    </x:row>
    <x:row r="837" ht="21" customHeight="1">
      <x:c r="A837" s="2" t="str">
        <x:v>LN00836</x:v>
      </x:c>
      <x:c r="B837" s="2" t="str">
        <x:v>T20261007-2-2</x:v>
      </x:c>
      <x:c r="C837" s="7" t="n">
        <x:v>46302</x:v>
      </x:c>
      <x:c r="D837" s="2" t="str">
        <x:v>BUS002</x:v>
      </x:c>
      <x:c r="E837" s="2" t="str">
        <x:v>ST066</x:v>
      </x:c>
      <x:c r="F837" s="2" t="n">
        <x:v>2</x:v>
      </x:c>
      <x:c r="G837" s="2" t="str">
        <x:v>Junior</x:v>
      </x:c>
      <x:c r="H837" s="2" t="str">
        <x:v>Pickup</x:v>
      </x:c>
      <x:c r="I837" s="2" t="str">
        <x:v>R2S2</x:v>
      </x:c>
      <x:c r="J837" s="2" t="str">
        <x:v>EV001665</x:v>
      </x:c>
      <x:c r="K837" s="8" t="n">
        <x:v>46302.47656249999</x:v>
      </x:c>
      <x:c r="L837" s="2" t="str">
        <x:v>R2S2</x:v>
      </x:c>
      <x:c r="M837" s="9" t="n">
        <x:v>25.282000000000004</x:v>
      </x:c>
      <x:c r="N837" s="9" t="n">
        <x:v>51.501999999999995</x:v>
      </x:c>
      <x:c r="O837" s="2" t="str">
        <x:v>Valid</x:v>
      </x:c>
      <x:c r="P837" s="2" t="str">
        <x:v>EV001666</x:v>
      </x:c>
      <x:c r="Q837" s="8" t="n">
        <x:v>46302.506423611114</x:v>
      </x:c>
      <x:c r="R837" s="2" t="str">
        <x:v>SCH01</x:v>
      </x:c>
      <x:c r="S837" s="9" t="n">
        <x:v>25.285</x:v>
      </x:c>
      <x:c r="T837" s="9" t="n">
        <x:v>51.51</x:v>
      </x:c>
      <x:c r="U837" s="2" t="str">
        <x:v>SCHOOL_RECEIVER_01</x:v>
      </x:c>
      <x:c r="V837" s="2" t="str">
        <x:v>School staff receipt</x:v>
      </x:c>
      <x:c r="W837" s="2" t="str">
        <x:v>Completed transport</x:v>
      </x:c>
      <x:c r="X837" s="2" t="str">
        <x:v>QR</x:v>
      </x:c>
      <x:c r="Y837" s="2" t="str">
        <x:v>Online</x:v>
      </x:c>
      <x:c r="Z837" s="2" t="str">
        <x:v>Synced</x:v>
      </x:c>
      <x:c r="AA837" s="2"/>
      <x:c r="AB837" s="2"/>
      <x:c r="AC837" s="10" t="n">
        <x:f>IF(OR(K837="",Q837=""),"",ROUND((Q837-K837)*1440,2))</x:f>
        <x:v>43</x:v>
      </x:c>
    </x:row>
    <x:row r="838" ht="21" customHeight="1">
      <x:c r="A838" s="2" t="str">
        <x:v>LN00837</x:v>
      </x:c>
      <x:c r="B838" s="2" t="str">
        <x:v>T20261007-2-2</x:v>
      </x:c>
      <x:c r="C838" s="7" t="n">
        <x:v>46302</x:v>
      </x:c>
      <x:c r="D838" s="2" t="str">
        <x:v>BUS002</x:v>
      </x:c>
      <x:c r="E838" s="2" t="str">
        <x:v>ST067</x:v>
      </x:c>
      <x:c r="F838" s="2" t="n">
        <x:v>2</x:v>
      </x:c>
      <x:c r="G838" s="2" t="str">
        <x:v>Junior</x:v>
      </x:c>
      <x:c r="H838" s="2" t="str">
        <x:v>Pickup</x:v>
      </x:c>
      <x:c r="I838" s="2" t="str">
        <x:v>R2S3</x:v>
      </x:c>
      <x:c r="J838" s="2" t="str">
        <x:v>EV001667</x:v>
      </x:c>
      <x:c r="K838" s="8" t="n">
        <x:v>46302.48145833333</x:v>
      </x:c>
      <x:c r="L838" s="2" t="str">
        <x:v>R2S3</x:v>
      </x:c>
      <x:c r="M838" s="9" t="n">
        <x:v>25.284000000000002</x:v>
      </x:c>
      <x:c r="N838" s="9" t="n">
        <x:v>51.504999999999995</x:v>
      </x:c>
      <x:c r="O838" s="2" t="str">
        <x:v>Valid</x:v>
      </x:c>
      <x:c r="P838" s="2" t="str">
        <x:v>EV001668</x:v>
      </x:c>
      <x:c r="Q838" s="8" t="n">
        <x:v>46302.50645833334</x:v>
      </x:c>
      <x:c r="R838" s="2" t="str">
        <x:v>SCH01</x:v>
      </x:c>
      <x:c r="S838" s="9" t="n">
        <x:v>25.285</x:v>
      </x:c>
      <x:c r="T838" s="9" t="n">
        <x:v>51.51</x:v>
      </x:c>
      <x:c r="U838" s="2" t="str">
        <x:v>SCHOOL_RECEIVER_01</x:v>
      </x:c>
      <x:c r="V838" s="2" t="str">
        <x:v>School staff receipt</x:v>
      </x:c>
      <x:c r="W838" s="2" t="str">
        <x:v>Completed transport</x:v>
      </x:c>
      <x:c r="X838" s="2" t="str">
        <x:v>QR</x:v>
      </x:c>
      <x:c r="Y838" s="2" t="str">
        <x:v>Online</x:v>
      </x:c>
      <x:c r="Z838" s="2" t="str">
        <x:v>Synced</x:v>
      </x:c>
      <x:c r="AA838" s="2"/>
      <x:c r="AB838" s="2"/>
      <x:c r="AC838" s="10" t="n">
        <x:f>IF(OR(K838="",Q838=""),"",ROUND((Q838-K838)*1440,2))</x:f>
        <x:v>36</x:v>
      </x:c>
    </x:row>
    <x:row r="839" ht="21" customHeight="1">
      <x:c r="A839" s="2" t="str">
        <x:v>LN00838</x:v>
      </x:c>
      <x:c r="B839" s="2" t="str">
        <x:v>T20261007-2-2</x:v>
      </x:c>
      <x:c r="C839" s="7" t="n">
        <x:v>46302</x:v>
      </x:c>
      <x:c r="D839" s="2" t="str">
        <x:v>BUS002</x:v>
      </x:c>
      <x:c r="E839" s="2" t="str">
        <x:v>ST068</x:v>
      </x:c>
      <x:c r="F839" s="2" t="n">
        <x:v>2</x:v>
      </x:c>
      <x:c r="G839" s="2" t="str">
        <x:v>Junior</x:v>
      </x:c>
      <x:c r="H839" s="2" t="str">
        <x:v>Pickup</x:v>
      </x:c>
      <x:c r="I839" s="2" t="str">
        <x:v>R2S1</x:v>
      </x:c>
      <x:c r="J839" s="2" t="str">
        <x:v>EV001669</x:v>
      </x:c>
      <x:c r="K839" s="8" t="n">
        <x:v>46302.471770833334</x:v>
      </x:c>
      <x:c r="L839" s="2" t="str">
        <x:v>R2S1</x:v>
      </x:c>
      <x:c r="M839" s="9" t="n">
        <x:v>25.28</x:v>
      </x:c>
      <x:c r="N839" s="9" t="n">
        <x:v>51.498999999999995</x:v>
      </x:c>
      <x:c r="O839" s="2" t="str">
        <x:v>Valid</x:v>
      </x:c>
      <x:c r="P839" s="2" t="str">
        <x:v>EV001670</x:v>
      </x:c>
      <x:c r="Q839" s="8" t="n">
        <x:v>46302.50649305556</x:v>
      </x:c>
      <x:c r="R839" s="2" t="str">
        <x:v>SCH01</x:v>
      </x:c>
      <x:c r="S839" s="9" t="n">
        <x:v>25.285</x:v>
      </x:c>
      <x:c r="T839" s="9" t="n">
        <x:v>51.51</x:v>
      </x:c>
      <x:c r="U839" s="2" t="str">
        <x:v>SCHOOL_RECEIVER_01</x:v>
      </x:c>
      <x:c r="V839" s="2" t="str">
        <x:v>School staff receipt</x:v>
      </x:c>
      <x:c r="W839" s="2" t="str">
        <x:v>Completed transport</x:v>
      </x:c>
      <x:c r="X839" s="2" t="str">
        <x:v>QR</x:v>
      </x:c>
      <x:c r="Y839" s="2" t="str">
        <x:v>Online</x:v>
      </x:c>
      <x:c r="Z839" s="2" t="str">
        <x:v>Synced</x:v>
      </x:c>
      <x:c r="AA839" s="2"/>
      <x:c r="AB839" s="2"/>
      <x:c r="AC839" s="10" t="n">
        <x:f>IF(OR(K839="",Q839=""),"",ROUND((Q839-K839)*1440,2))</x:f>
        <x:v>50</x:v>
      </x:c>
    </x:row>
    <x:row r="840" ht="21" customHeight="1">
      <x:c r="A840" s="2" t="str">
        <x:v>LN00839</x:v>
      </x:c>
      <x:c r="B840" s="2" t="str">
        <x:v>T20261007-2-2</x:v>
      </x:c>
      <x:c r="C840" s="7" t="n">
        <x:v>46302</x:v>
      </x:c>
      <x:c r="D840" s="2" t="str">
        <x:v>BUS002</x:v>
      </x:c>
      <x:c r="E840" s="2" t="str">
        <x:v>ST069</x:v>
      </x:c>
      <x:c r="F840" s="2" t="n">
        <x:v>2</x:v>
      </x:c>
      <x:c r="G840" s="2" t="str">
        <x:v>Junior</x:v>
      </x:c>
      <x:c r="H840" s="2" t="str">
        <x:v>Pickup</x:v>
      </x:c>
      <x:c r="I840" s="2" t="str">
        <x:v>R2S2</x:v>
      </x:c>
      <x:c r="J840" s="2" t="str">
        <x:v>EV001671</x:v>
      </x:c>
      <x:c r="K840" s="8" t="n">
        <x:v>46302.47666666666</x:v>
      </x:c>
      <x:c r="L840" s="2" t="str">
        <x:v>R2S2</x:v>
      </x:c>
      <x:c r="M840" s="9" t="n">
        <x:v>25.282000000000004</x:v>
      </x:c>
      <x:c r="N840" s="9" t="n">
        <x:v>51.501999999999995</x:v>
      </x:c>
      <x:c r="O840" s="2" t="str">
        <x:v>Valid</x:v>
      </x:c>
      <x:c r="P840" s="2" t="str">
        <x:v>EV001672</x:v>
      </x:c>
      <x:c r="Q840" s="8" t="n">
        <x:v>46302.50652777778</x:v>
      </x:c>
      <x:c r="R840" s="2" t="str">
        <x:v>SCH01</x:v>
      </x:c>
      <x:c r="S840" s="9" t="n">
        <x:v>25.285</x:v>
      </x:c>
      <x:c r="T840" s="9" t="n">
        <x:v>51.51</x:v>
      </x:c>
      <x:c r="U840" s="2" t="str">
        <x:v>SCHOOL_RECEIVER_01</x:v>
      </x:c>
      <x:c r="V840" s="2" t="str">
        <x:v>School staff receipt</x:v>
      </x:c>
      <x:c r="W840" s="2" t="str">
        <x:v>Completed transport</x:v>
      </x:c>
      <x:c r="X840" s="2" t="str">
        <x:v>QR</x:v>
      </x:c>
      <x:c r="Y840" s="2" t="str">
        <x:v>Online</x:v>
      </x:c>
      <x:c r="Z840" s="2" t="str">
        <x:v>Synced</x:v>
      </x:c>
      <x:c r="AA840" s="2"/>
      <x:c r="AB840" s="2"/>
      <x:c r="AC840" s="10" t="n">
        <x:f>IF(OR(K840="",Q840=""),"",ROUND((Q840-K840)*1440,2))</x:f>
        <x:v>43</x:v>
      </x:c>
    </x:row>
    <x:row r="841" ht="21" customHeight="1">
      <x:c r="A841" s="2" t="str">
        <x:v>LN00840</x:v>
      </x:c>
      <x:c r="B841" s="2" t="str">
        <x:v>T20261007-2-2</x:v>
      </x:c>
      <x:c r="C841" s="7" t="n">
        <x:v>46302</x:v>
      </x:c>
      <x:c r="D841" s="2" t="str">
        <x:v>BUS002</x:v>
      </x:c>
      <x:c r="E841" s="2" t="str">
        <x:v>ST070</x:v>
      </x:c>
      <x:c r="F841" s="2" t="n">
        <x:v>2</x:v>
      </x:c>
      <x:c r="G841" s="2" t="str">
        <x:v>Junior</x:v>
      </x:c>
      <x:c r="H841" s="2" t="str">
        <x:v>Pickup</x:v>
      </x:c>
      <x:c r="I841" s="2" t="str">
        <x:v>R2S3</x:v>
      </x:c>
      <x:c r="J841" s="2" t="str">
        <x:v>EV001673</x:v>
      </x:c>
      <x:c r="K841" s="8" t="n">
        <x:v>46302.4815625</x:v>
      </x:c>
      <x:c r="L841" s="2" t="str">
        <x:v>R2S3</x:v>
      </x:c>
      <x:c r="M841" s="9"/>
      <x:c r="N841" s="9"/>
      <x:c r="O841" s="2" t="str">
        <x:v>Unavailable</x:v>
      </x:c>
      <x:c r="P841" s="2" t="str">
        <x:v>EV001674</x:v>
      </x:c>
      <x:c r="Q841" s="8" t="n">
        <x:v>46302.506562500006</x:v>
      </x:c>
      <x:c r="R841" s="2" t="str">
        <x:v>SCH01</x:v>
      </x:c>
      <x:c r="S841" s="9" t="n">
        <x:v>25.285</x:v>
      </x:c>
      <x:c r="T841" s="9" t="n">
        <x:v>51.51</x:v>
      </x:c>
      <x:c r="U841" s="2" t="str">
        <x:v>SCHOOL_RECEIVER_01</x:v>
      </x:c>
      <x:c r="V841" s="2" t="str">
        <x:v>School staff receipt</x:v>
      </x:c>
      <x:c r="W841" s="2" t="str">
        <x:v>Completed transport</x:v>
      </x:c>
      <x:c r="X841" s="2" t="str">
        <x:v>QR</x:v>
      </x:c>
      <x:c r="Y841" s="2" t="str">
        <x:v>Online</x:v>
      </x:c>
      <x:c r="Z841" s="2" t="str">
        <x:v>Synced</x:v>
      </x:c>
      <x:c r="AA841" s="2"/>
      <x:c r="AB841" s="2" t="str">
        <x:v>EX0005</x:v>
      </x:c>
      <x:c r="AC841" s="10" t="n">
        <x:f>IF(OR(K841="",Q841=""),"",ROUND((Q841-K841)*1440,2))</x:f>
        <x:v>36</x:v>
      </x:c>
    </x:row>
    <x:row r="842" ht="21" customHeight="1">
      <x:c r="A842" s="2" t="str">
        <x:v>LN00841</x:v>
      </x:c>
      <x:c r="B842" s="2" t="str">
        <x:v>T20261007-2-2</x:v>
      </x:c>
      <x:c r="C842" s="7" t="n">
        <x:v>46302</x:v>
      </x:c>
      <x:c r="D842" s="2" t="str">
        <x:v>BUS002</x:v>
      </x:c>
      <x:c r="E842" s="2" t="str">
        <x:v>ST071</x:v>
      </x:c>
      <x:c r="F842" s="2" t="n">
        <x:v>2</x:v>
      </x:c>
      <x:c r="G842" s="2" t="str">
        <x:v>Senior</x:v>
      </x:c>
      <x:c r="H842" s="2" t="str">
        <x:v>Pickup</x:v>
      </x:c>
      <x:c r="I842" s="2" t="str">
        <x:v>R2S1</x:v>
      </x:c>
      <x:c r="J842" s="2" t="str">
        <x:v>EV001675</x:v>
      </x:c>
      <x:c r="K842" s="8" t="n">
        <x:v>46302.47152777778</x:v>
      </x:c>
      <x:c r="L842" s="2" t="str">
        <x:v>R2S1</x:v>
      </x:c>
      <x:c r="M842" s="9" t="n">
        <x:v>25.28</x:v>
      </x:c>
      <x:c r="N842" s="9" t="n">
        <x:v>51.498999999999995</x:v>
      </x:c>
      <x:c r="O842" s="2" t="str">
        <x:v>Valid</x:v>
      </x:c>
      <x:c r="P842" s="2" t="str">
        <x:v>EV001676</x:v>
      </x:c>
      <x:c r="Q842" s="8" t="n">
        <x:v>46302.50659722223</x:v>
      </x:c>
      <x:c r="R842" s="2" t="str">
        <x:v>SCH01</x:v>
      </x:c>
      <x:c r="S842" s="9" t="n">
        <x:v>25.285</x:v>
      </x:c>
      <x:c r="T842" s="9" t="n">
        <x:v>51.51</x:v>
      </x:c>
      <x:c r="U842" s="2" t="str">
        <x:v>SCHOOL_RECEIVER_01</x:v>
      </x:c>
      <x:c r="V842" s="2" t="str">
        <x:v>School staff receipt</x:v>
      </x:c>
      <x:c r="W842" s="2" t="str">
        <x:v>Completed transport</x:v>
      </x:c>
      <x:c r="X842" s="2" t="str">
        <x:v>QR</x:v>
      </x:c>
      <x:c r="Y842" s="2" t="str">
        <x:v>Online</x:v>
      </x:c>
      <x:c r="Z842" s="2" t="str">
        <x:v>Synced</x:v>
      </x:c>
      <x:c r="AA842" s="2"/>
      <x:c r="AB842" s="2"/>
      <x:c r="AC842" s="10" t="n">
        <x:f>IF(OR(K842="",Q842=""),"",ROUND((Q842-K842)*1440,2))</x:f>
        <x:v>50.5</x:v>
      </x:c>
    </x:row>
    <x:row r="843" ht="21" customHeight="1">
      <x:c r="A843" s="2" t="str">
        <x:v>LN00842</x:v>
      </x:c>
      <x:c r="B843" s="2" t="str">
        <x:v>T20261007-2-2</x:v>
      </x:c>
      <x:c r="C843" s="7" t="n">
        <x:v>46302</x:v>
      </x:c>
      <x:c r="D843" s="2" t="str">
        <x:v>BUS002</x:v>
      </x:c>
      <x:c r="E843" s="2" t="str">
        <x:v>ST072</x:v>
      </x:c>
      <x:c r="F843" s="2" t="n">
        <x:v>2</x:v>
      </x:c>
      <x:c r="G843" s="2" t="str">
        <x:v>Senior</x:v>
      </x:c>
      <x:c r="H843" s="2" t="str">
        <x:v>Pickup</x:v>
      </x:c>
      <x:c r="I843" s="2" t="str">
        <x:v>R2S2</x:v>
      </x:c>
      <x:c r="J843" s="2" t="str">
        <x:v>EV001677</x:v>
      </x:c>
      <x:c r="K843" s="8" t="n">
        <x:v>46302.47642361111</x:v>
      </x:c>
      <x:c r="L843" s="2" t="str">
        <x:v>R2S2</x:v>
      </x:c>
      <x:c r="M843" s="9" t="n">
        <x:v>25.282000000000004</x:v>
      </x:c>
      <x:c r="N843" s="9" t="n">
        <x:v>51.501999999999995</x:v>
      </x:c>
      <x:c r="O843" s="2" t="str">
        <x:v>Valid</x:v>
      </x:c>
      <x:c r="P843" s="2" t="str">
        <x:v>EV001678</x:v>
      </x:c>
      <x:c r="Q843" s="8" t="n">
        <x:v>46302.506631944445</x:v>
      </x:c>
      <x:c r="R843" s="2" t="str">
        <x:v>SCH01</x:v>
      </x:c>
      <x:c r="S843" s="9" t="n">
        <x:v>25.285</x:v>
      </x:c>
      <x:c r="T843" s="9" t="n">
        <x:v>51.51</x:v>
      </x:c>
      <x:c r="U843" s="2" t="str">
        <x:v>SCHOOL_RECEIVER_01</x:v>
      </x:c>
      <x:c r="V843" s="2" t="str">
        <x:v>School staff receipt</x:v>
      </x:c>
      <x:c r="W843" s="2" t="str">
        <x:v>Completed transport</x:v>
      </x:c>
      <x:c r="X843" s="2" t="str">
        <x:v>QR</x:v>
      </x:c>
      <x:c r="Y843" s="2" t="str">
        <x:v>Online</x:v>
      </x:c>
      <x:c r="Z843" s="2" t="str">
        <x:v>Synced</x:v>
      </x:c>
      <x:c r="AA843" s="2"/>
      <x:c r="AB843" s="2"/>
      <x:c r="AC843" s="10" t="n">
        <x:f>IF(OR(K843="",Q843=""),"",ROUND((Q843-K843)*1440,2))</x:f>
        <x:v>43.5</x:v>
      </x:c>
    </x:row>
    <x:row r="844" ht="21" customHeight="1">
      <x:c r="A844" s="2" t="str">
        <x:v>LN00843</x:v>
      </x:c>
      <x:c r="B844" s="2" t="str">
        <x:v>T20261007-2-2</x:v>
      </x:c>
      <x:c r="C844" s="7" t="n">
        <x:v>46302</x:v>
      </x:c>
      <x:c r="D844" s="2" t="str">
        <x:v>BUS002</x:v>
      </x:c>
      <x:c r="E844" s="2" t="str">
        <x:v>ST073</x:v>
      </x:c>
      <x:c r="F844" s="2" t="n">
        <x:v>2</x:v>
      </x:c>
      <x:c r="G844" s="2" t="str">
        <x:v>Senior</x:v>
      </x:c>
      <x:c r="H844" s="2" t="str">
        <x:v>Pickup</x:v>
      </x:c>
      <x:c r="I844" s="2" t="str">
        <x:v>R2S3</x:v>
      </x:c>
      <x:c r="J844" s="2" t="str">
        <x:v>EV001679</x:v>
      </x:c>
      <x:c r="K844" s="8" t="n">
        <x:v>46302.48131944444</x:v>
      </x:c>
      <x:c r="L844" s="2" t="str">
        <x:v>R2S3</x:v>
      </x:c>
      <x:c r="M844" s="9" t="n">
        <x:v>25.284000000000002</x:v>
      </x:c>
      <x:c r="N844" s="9" t="n">
        <x:v>51.504999999999995</x:v>
      </x:c>
      <x:c r="O844" s="2" t="str">
        <x:v>Valid</x:v>
      </x:c>
      <x:c r="P844" s="2" t="str">
        <x:v>EV001680</x:v>
      </x:c>
      <x:c r="Q844" s="8" t="n">
        <x:v>46302.50666666667</x:v>
      </x:c>
      <x:c r="R844" s="2" t="str">
        <x:v>SCH01</x:v>
      </x:c>
      <x:c r="S844" s="9" t="n">
        <x:v>25.285</x:v>
      </x:c>
      <x:c r="T844" s="9" t="n">
        <x:v>51.51</x:v>
      </x:c>
      <x:c r="U844" s="2" t="str">
        <x:v>SCHOOL_RECEIVER_01</x:v>
      </x:c>
      <x:c r="V844" s="2" t="str">
        <x:v>School staff receipt</x:v>
      </x:c>
      <x:c r="W844" s="2" t="str">
        <x:v>Completed transport</x:v>
      </x:c>
      <x:c r="X844" s="2" t="str">
        <x:v>QR</x:v>
      </x:c>
      <x:c r="Y844" s="2" t="str">
        <x:v>Online</x:v>
      </x:c>
      <x:c r="Z844" s="2" t="str">
        <x:v>Synced</x:v>
      </x:c>
      <x:c r="AA844" s="2"/>
      <x:c r="AB844" s="2"/>
      <x:c r="AC844" s="10" t="n">
        <x:f>IF(OR(K844="",Q844=""),"",ROUND((Q844-K844)*1440,2))</x:f>
        <x:v>36.5</x:v>
      </x:c>
    </x:row>
    <x:row r="845" ht="21" customHeight="1">
      <x:c r="A845" s="2" t="str">
        <x:v>LN00844</x:v>
      </x:c>
      <x:c r="B845" s="2" t="str">
        <x:v>T20261007-2-2</x:v>
      </x:c>
      <x:c r="C845" s="7" t="n">
        <x:v>46302</x:v>
      </x:c>
      <x:c r="D845" s="2" t="str">
        <x:v>BUS002</x:v>
      </x:c>
      <x:c r="E845" s="2" t="str">
        <x:v>ST074</x:v>
      </x:c>
      <x:c r="F845" s="2" t="n">
        <x:v>2</x:v>
      </x:c>
      <x:c r="G845" s="2" t="str">
        <x:v>Senior</x:v>
      </x:c>
      <x:c r="H845" s="2" t="str">
        <x:v>Pickup</x:v>
      </x:c>
      <x:c r="I845" s="2" t="str">
        <x:v>R2S1</x:v>
      </x:c>
      <x:c r="J845" s="2" t="str">
        <x:v>EV001681</x:v>
      </x:c>
      <x:c r="K845" s="8" t="n">
        <x:v>46302.47163194445</x:v>
      </x:c>
      <x:c r="L845" s="2" t="str">
        <x:v>R2S1</x:v>
      </x:c>
      <x:c r="M845" s="9" t="n">
        <x:v>25.28</x:v>
      </x:c>
      <x:c r="N845" s="9" t="n">
        <x:v>51.498999999999995</x:v>
      </x:c>
      <x:c r="O845" s="2" t="str">
        <x:v>Valid</x:v>
      </x:c>
      <x:c r="P845" s="2" t="str">
        <x:v>EV001682</x:v>
      </x:c>
      <x:c r="Q845" s="8" t="n">
        <x:v>46302.50670138889</x:v>
      </x:c>
      <x:c r="R845" s="2" t="str">
        <x:v>SCH01</x:v>
      </x:c>
      <x:c r="S845" s="9" t="n">
        <x:v>25.285</x:v>
      </x:c>
      <x:c r="T845" s="9" t="n">
        <x:v>51.51</x:v>
      </x:c>
      <x:c r="U845" s="2" t="str">
        <x:v>SCHOOL_RECEIVER_01</x:v>
      </x:c>
      <x:c r="V845" s="2" t="str">
        <x:v>School staff receipt</x:v>
      </x:c>
      <x:c r="W845" s="2" t="str">
        <x:v>Completed transport</x:v>
      </x:c>
      <x:c r="X845" s="2" t="str">
        <x:v>QR</x:v>
      </x:c>
      <x:c r="Y845" s="2" t="str">
        <x:v>Online</x:v>
      </x:c>
      <x:c r="Z845" s="2" t="str">
        <x:v>Synced</x:v>
      </x:c>
      <x:c r="AA845" s="2"/>
      <x:c r="AB845" s="2"/>
      <x:c r="AC845" s="10" t="n">
        <x:f>IF(OR(K845="",Q845=""),"",ROUND((Q845-K845)*1440,2))</x:f>
        <x:v>50.5</x:v>
      </x:c>
    </x:row>
    <x:row r="846" ht="21" customHeight="1">
      <x:c r="A846" s="2" t="str">
        <x:v>LN00845</x:v>
      </x:c>
      <x:c r="B846" s="2" t="str">
        <x:v>T20261007-2-2</x:v>
      </x:c>
      <x:c r="C846" s="7" t="n">
        <x:v>46302</x:v>
      </x:c>
      <x:c r="D846" s="2" t="str">
        <x:v>BUS002</x:v>
      </x:c>
      <x:c r="E846" s="2" t="str">
        <x:v>ST075</x:v>
      </x:c>
      <x:c r="F846" s="2" t="n">
        <x:v>2</x:v>
      </x:c>
      <x:c r="G846" s="2" t="str">
        <x:v>Senior</x:v>
      </x:c>
      <x:c r="H846" s="2" t="str">
        <x:v>Pickup</x:v>
      </x:c>
      <x:c r="I846" s="2" t="str">
        <x:v>R2S2</x:v>
      </x:c>
      <x:c r="J846" s="2" t="str">
        <x:v>EV001683</x:v>
      </x:c>
      <x:c r="K846" s="8" t="n">
        <x:v>46302.47652777778</x:v>
      </x:c>
      <x:c r="L846" s="2" t="str">
        <x:v>R2S2</x:v>
      </x:c>
      <x:c r="M846" s="9" t="n">
        <x:v>25.282000000000004</x:v>
      </x:c>
      <x:c r="N846" s="9" t="n">
        <x:v>51.501999999999995</x:v>
      </x:c>
      <x:c r="O846" s="2" t="str">
        <x:v>Valid</x:v>
      </x:c>
      <x:c r="P846" s="2" t="str">
        <x:v>EV001684</x:v>
      </x:c>
      <x:c r="Q846" s="8" t="n">
        <x:v>46302.506736111114</x:v>
      </x:c>
      <x:c r="R846" s="2" t="str">
        <x:v>SCH01</x:v>
      </x:c>
      <x:c r="S846" s="9" t="n">
        <x:v>25.285</x:v>
      </x:c>
      <x:c r="T846" s="9" t="n">
        <x:v>51.51</x:v>
      </x:c>
      <x:c r="U846" s="2" t="str">
        <x:v>SCHOOL_RECEIVER_01</x:v>
      </x:c>
      <x:c r="V846" s="2" t="str">
        <x:v>School staff receipt</x:v>
      </x:c>
      <x:c r="W846" s="2" t="str">
        <x:v>Completed transport</x:v>
      </x:c>
      <x:c r="X846" s="2" t="str">
        <x:v>QR</x:v>
      </x:c>
      <x:c r="Y846" s="2" t="str">
        <x:v>Online</x:v>
      </x:c>
      <x:c r="Z846" s="2" t="str">
        <x:v>Synced</x:v>
      </x:c>
      <x:c r="AA846" s="2"/>
      <x:c r="AB846" s="2"/>
      <x:c r="AC846" s="10" t="n">
        <x:f>IF(OR(K846="",Q846=""),"",ROUND((Q846-K846)*1440,2))</x:f>
        <x:v>43.5</x:v>
      </x:c>
    </x:row>
    <x:row r="847" ht="21" customHeight="1">
      <x:c r="A847" s="2" t="str">
        <x:v>LN00846</x:v>
      </x:c>
      <x:c r="B847" s="2" t="str">
        <x:v>T20261007-2-2</x:v>
      </x:c>
      <x:c r="C847" s="7" t="n">
        <x:v>46302</x:v>
      </x:c>
      <x:c r="D847" s="2" t="str">
        <x:v>BUS002</x:v>
      </x:c>
      <x:c r="E847" s="2" t="str">
        <x:v>ST076</x:v>
      </x:c>
      <x:c r="F847" s="2" t="n">
        <x:v>2</x:v>
      </x:c>
      <x:c r="G847" s="2" t="str">
        <x:v>Senior</x:v>
      </x:c>
      <x:c r="H847" s="2" t="str">
        <x:v>Pickup</x:v>
      </x:c>
      <x:c r="I847" s="2" t="str">
        <x:v>R2S3</x:v>
      </x:c>
      <x:c r="J847" s="2" t="str">
        <x:v>EV001685</x:v>
      </x:c>
      <x:c r="K847" s="8" t="n">
        <x:v>46302.481423611105</x:v>
      </x:c>
      <x:c r="L847" s="2" t="str">
        <x:v>R2S3</x:v>
      </x:c>
      <x:c r="M847" s="9" t="n">
        <x:v>25.284000000000002</x:v>
      </x:c>
      <x:c r="N847" s="9" t="n">
        <x:v>51.504999999999995</x:v>
      </x:c>
      <x:c r="O847" s="2" t="str">
        <x:v>Valid</x:v>
      </x:c>
      <x:c r="P847" s="2" t="str">
        <x:v>EV001686</x:v>
      </x:c>
      <x:c r="Q847" s="8" t="n">
        <x:v>46302.50677083334</x:v>
      </x:c>
      <x:c r="R847" s="2" t="str">
        <x:v>SCH01</x:v>
      </x:c>
      <x:c r="S847" s="9" t="n">
        <x:v>25.285</x:v>
      </x:c>
      <x:c r="T847" s="9" t="n">
        <x:v>51.51</x:v>
      </x:c>
      <x:c r="U847" s="2" t="str">
        <x:v>SCHOOL_RECEIVER_01</x:v>
      </x:c>
      <x:c r="V847" s="2" t="str">
        <x:v>School staff receipt</x:v>
      </x:c>
      <x:c r="W847" s="2" t="str">
        <x:v>Completed transport</x:v>
      </x:c>
      <x:c r="X847" s="2" t="str">
        <x:v>QR</x:v>
      </x:c>
      <x:c r="Y847" s="2" t="str">
        <x:v>Online</x:v>
      </x:c>
      <x:c r="Z847" s="2" t="str">
        <x:v>Synced</x:v>
      </x:c>
      <x:c r="AA847" s="2"/>
      <x:c r="AB847" s="2"/>
      <x:c r="AC847" s="10" t="n">
        <x:f>IF(OR(K847="",Q847=""),"",ROUND((Q847-K847)*1440,2))</x:f>
        <x:v>36.5</x:v>
      </x:c>
    </x:row>
    <x:row r="848" ht="21" customHeight="1">
      <x:c r="A848" s="2" t="str">
        <x:v>LN00847</x:v>
      </x:c>
      <x:c r="B848" s="2" t="str">
        <x:v>T20261007-2-2</x:v>
      </x:c>
      <x:c r="C848" s="7" t="n">
        <x:v>46302</x:v>
      </x:c>
      <x:c r="D848" s="2" t="str">
        <x:v>BUS002</x:v>
      </x:c>
      <x:c r="E848" s="2" t="str">
        <x:v>ST077</x:v>
      </x:c>
      <x:c r="F848" s="2" t="n">
        <x:v>2</x:v>
      </x:c>
      <x:c r="G848" s="2" t="str">
        <x:v>Senior</x:v>
      </x:c>
      <x:c r="H848" s="2" t="str">
        <x:v>Pickup</x:v>
      </x:c>
      <x:c r="I848" s="2" t="str">
        <x:v>R2S1</x:v>
      </x:c>
      <x:c r="J848" s="2" t="str">
        <x:v>EV001687</x:v>
      </x:c>
      <x:c r="K848" s="8" t="n">
        <x:v>46302.47173611111</x:v>
      </x:c>
      <x:c r="L848" s="2" t="str">
        <x:v>R2S1</x:v>
      </x:c>
      <x:c r="M848" s="9" t="n">
        <x:v>25.28</x:v>
      </x:c>
      <x:c r="N848" s="9" t="n">
        <x:v>51.498999999999995</x:v>
      </x:c>
      <x:c r="O848" s="2" t="str">
        <x:v>Valid</x:v>
      </x:c>
      <x:c r="P848" s="2" t="str">
        <x:v>EV001688</x:v>
      </x:c>
      <x:c r="Q848" s="8" t="n">
        <x:v>46302.50680555556</x:v>
      </x:c>
      <x:c r="R848" s="2" t="str">
        <x:v>SCH01</x:v>
      </x:c>
      <x:c r="S848" s="9" t="n">
        <x:v>25.285</x:v>
      </x:c>
      <x:c r="T848" s="9" t="n">
        <x:v>51.51</x:v>
      </x:c>
      <x:c r="U848" s="2" t="str">
        <x:v>SCHOOL_RECEIVER_01</x:v>
      </x:c>
      <x:c r="V848" s="2" t="str">
        <x:v>School staff receipt</x:v>
      </x:c>
      <x:c r="W848" s="2" t="str">
        <x:v>Completed transport</x:v>
      </x:c>
      <x:c r="X848" s="2" t="str">
        <x:v>QR</x:v>
      </x:c>
      <x:c r="Y848" s="2" t="str">
        <x:v>Online</x:v>
      </x:c>
      <x:c r="Z848" s="2" t="str">
        <x:v>Synced</x:v>
      </x:c>
      <x:c r="AA848" s="2"/>
      <x:c r="AB848" s="2"/>
      <x:c r="AC848" s="10" t="n">
        <x:f>IF(OR(K848="",Q848=""),"",ROUND((Q848-K848)*1440,2))</x:f>
        <x:v>50.5</x:v>
      </x:c>
    </x:row>
    <x:row r="849" ht="21" customHeight="1">
      <x:c r="A849" s="2" t="str">
        <x:v>LN00848</x:v>
      </x:c>
      <x:c r="B849" s="2" t="str">
        <x:v>T20261007-2-2</x:v>
      </x:c>
      <x:c r="C849" s="7" t="n">
        <x:v>46302</x:v>
      </x:c>
      <x:c r="D849" s="2" t="str">
        <x:v>BUS002</x:v>
      </x:c>
      <x:c r="E849" s="2" t="str">
        <x:v>ST078</x:v>
      </x:c>
      <x:c r="F849" s="2" t="n">
        <x:v>2</x:v>
      </x:c>
      <x:c r="G849" s="2" t="str">
        <x:v>Senior</x:v>
      </x:c>
      <x:c r="H849" s="2" t="str">
        <x:v>Pickup</x:v>
      </x:c>
      <x:c r="I849" s="2" t="str">
        <x:v>R2S2</x:v>
      </x:c>
      <x:c r="J849" s="2" t="str">
        <x:v>EV001689</x:v>
      </x:c>
      <x:c r="K849" s="8" t="n">
        <x:v>46302.47663194444</x:v>
      </x:c>
      <x:c r="L849" s="2" t="str">
        <x:v>R2S2</x:v>
      </x:c>
      <x:c r="M849" s="9" t="n">
        <x:v>25.282000000000004</x:v>
      </x:c>
      <x:c r="N849" s="9" t="n">
        <x:v>51.501999999999995</x:v>
      </x:c>
      <x:c r="O849" s="2" t="str">
        <x:v>Valid</x:v>
      </x:c>
      <x:c r="P849" s="2" t="str">
        <x:v>EV001690</x:v>
      </x:c>
      <x:c r="Q849" s="8" t="n">
        <x:v>46302.50684027778</x:v>
      </x:c>
      <x:c r="R849" s="2" t="str">
        <x:v>SCH01</x:v>
      </x:c>
      <x:c r="S849" s="9" t="n">
        <x:v>25.285</x:v>
      </x:c>
      <x:c r="T849" s="9" t="n">
        <x:v>51.51</x:v>
      </x:c>
      <x:c r="U849" s="2" t="str">
        <x:v>SCHOOL_RECEIVER_01</x:v>
      </x:c>
      <x:c r="V849" s="2" t="str">
        <x:v>School staff receipt</x:v>
      </x:c>
      <x:c r="W849" s="2" t="str">
        <x:v>Completed transport</x:v>
      </x:c>
      <x:c r="X849" s="2" t="str">
        <x:v>QR</x:v>
      </x:c>
      <x:c r="Y849" s="2" t="str">
        <x:v>Online</x:v>
      </x:c>
      <x:c r="Z849" s="2" t="str">
        <x:v>Synced</x:v>
      </x:c>
      <x:c r="AA849" s="2"/>
      <x:c r="AB849" s="2"/>
      <x:c r="AC849" s="10" t="n">
        <x:f>IF(OR(K849="",Q849=""),"",ROUND((Q849-K849)*1440,2))</x:f>
        <x:v>43.5</x:v>
      </x:c>
    </x:row>
    <x:row r="850" ht="21" customHeight="1">
      <x:c r="A850" s="2" t="str">
        <x:v>LN00849</x:v>
      </x:c>
      <x:c r="B850" s="2" t="str">
        <x:v>T20261007-2-2</x:v>
      </x:c>
      <x:c r="C850" s="7" t="n">
        <x:v>46302</x:v>
      </x:c>
      <x:c r="D850" s="2" t="str">
        <x:v>BUS002</x:v>
      </x:c>
      <x:c r="E850" s="2" t="str">
        <x:v>ST079</x:v>
      </x:c>
      <x:c r="F850" s="2" t="n">
        <x:v>2</x:v>
      </x:c>
      <x:c r="G850" s="2" t="str">
        <x:v>Senior</x:v>
      </x:c>
      <x:c r="H850" s="2" t="str">
        <x:v>Pickup</x:v>
      </x:c>
      <x:c r="I850" s="2" t="str">
        <x:v>R2S3</x:v>
      </x:c>
      <x:c r="J850" s="2" t="str">
        <x:v>EV001691</x:v>
      </x:c>
      <x:c r="K850" s="8" t="n">
        <x:v>46302.481527777774</x:v>
      </x:c>
      <x:c r="L850" s="2" t="str">
        <x:v>R2S3</x:v>
      </x:c>
      <x:c r="M850" s="9" t="n">
        <x:v>25.284000000000002</x:v>
      </x:c>
      <x:c r="N850" s="9" t="n">
        <x:v>51.504999999999995</x:v>
      </x:c>
      <x:c r="O850" s="2" t="str">
        <x:v>Valid</x:v>
      </x:c>
      <x:c r="P850" s="2" t="str">
        <x:v>EV001692</x:v>
      </x:c>
      <x:c r="Q850" s="8" t="n">
        <x:v>46302.50687500001</x:v>
      </x:c>
      <x:c r="R850" s="2" t="str">
        <x:v>SCH01</x:v>
      </x:c>
      <x:c r="S850" s="9" t="n">
        <x:v>25.285</x:v>
      </x:c>
      <x:c r="T850" s="9" t="n">
        <x:v>51.51</x:v>
      </x:c>
      <x:c r="U850" s="2" t="str">
        <x:v>SCHOOL_RECEIVER_01</x:v>
      </x:c>
      <x:c r="V850" s="2" t="str">
        <x:v>School staff receipt</x:v>
      </x:c>
      <x:c r="W850" s="2" t="str">
        <x:v>Completed transport</x:v>
      </x:c>
      <x:c r="X850" s="2" t="str">
        <x:v>QR</x:v>
      </x:c>
      <x:c r="Y850" s="2" t="str">
        <x:v>Online</x:v>
      </x:c>
      <x:c r="Z850" s="2" t="str">
        <x:v>Synced</x:v>
      </x:c>
      <x:c r="AA850" s="2"/>
      <x:c r="AB850" s="2"/>
      <x:c r="AC850" s="10" t="n">
        <x:f>IF(OR(K850="",Q850=""),"",ROUND((Q850-K850)*1440,2))</x:f>
        <x:v>36.5</x:v>
      </x:c>
    </x:row>
    <x:row r="851" ht="21" customHeight="1">
      <x:c r="A851" s="2" t="str">
        <x:v>LN00850</x:v>
      </x:c>
      <x:c r="B851" s="2" t="str">
        <x:v>T20261007-2-2</x:v>
      </x:c>
      <x:c r="C851" s="7" t="n">
        <x:v>46302</x:v>
      </x:c>
      <x:c r="D851" s="2" t="str">
        <x:v>BUS002</x:v>
      </x:c>
      <x:c r="E851" s="2" t="str">
        <x:v>ST080</x:v>
      </x:c>
      <x:c r="F851" s="2" t="n">
        <x:v>2</x:v>
      </x:c>
      <x:c r="G851" s="2" t="str">
        <x:v>Senior</x:v>
      </x:c>
      <x:c r="H851" s="2" t="str">
        <x:v>Pickup</x:v>
      </x:c>
      <x:c r="I851" s="2" t="str">
        <x:v>R2S1</x:v>
      </x:c>
      <x:c r="J851" s="2" t="str">
        <x:v>EV001693</x:v>
      </x:c>
      <x:c r="K851" s="8" t="n">
        <x:v>46302.47184027778</x:v>
      </x:c>
      <x:c r="L851" s="2" t="str">
        <x:v>R2S1</x:v>
      </x:c>
      <x:c r="M851" s="9" t="n">
        <x:v>25.28</x:v>
      </x:c>
      <x:c r="N851" s="9" t="n">
        <x:v>51.498999999999995</x:v>
      </x:c>
      <x:c r="O851" s="2" t="str">
        <x:v>Valid</x:v>
      </x:c>
      <x:c r="P851" s="2" t="str">
        <x:v>EV001694</x:v>
      </x:c>
      <x:c r="Q851" s="8" t="n">
        <x:v>46302.50690972222</x:v>
      </x:c>
      <x:c r="R851" s="2" t="str">
        <x:v>SCH01</x:v>
      </x:c>
      <x:c r="S851" s="9" t="n">
        <x:v>25.285</x:v>
      </x:c>
      <x:c r="T851" s="9" t="n">
        <x:v>51.51</x:v>
      </x:c>
      <x:c r="U851" s="2" t="str">
        <x:v>SCHOOL_RECEIVER_01</x:v>
      </x:c>
      <x:c r="V851" s="2" t="str">
        <x:v>School staff receipt</x:v>
      </x:c>
      <x:c r="W851" s="2" t="str">
        <x:v>Completed transport</x:v>
      </x:c>
      <x:c r="X851" s="2" t="str">
        <x:v>QR</x:v>
      </x:c>
      <x:c r="Y851" s="2" t="str">
        <x:v>Online</x:v>
      </x:c>
      <x:c r="Z851" s="2" t="str">
        <x:v>Synced</x:v>
      </x:c>
      <x:c r="AA851" s="2"/>
      <x:c r="AB851" s="2"/>
      <x:c r="AC851" s="10" t="n">
        <x:f>IF(OR(K851="",Q851=""),"",ROUND((Q851-K851)*1440,2))</x:f>
        <x:v>50.5</x:v>
      </x:c>
    </x:row>
    <x:row r="852" ht="21" customHeight="1">
      <x:c r="A852" s="2" t="str">
        <x:v>LN00851</x:v>
      </x:c>
      <x:c r="B852" s="2" t="str">
        <x:v>T20261007-3-2</x:v>
      </x:c>
      <x:c r="C852" s="7" t="n">
        <x:v>46302</x:v>
      </x:c>
      <x:c r="D852" s="2" t="str">
        <x:v>BUS002</x:v>
      </x:c>
      <x:c r="E852" s="2" t="str">
        <x:v>ST051</x:v>
      </x:c>
      <x:c r="F852" s="2" t="n">
        <x:v>1</x:v>
      </x:c>
      <x:c r="G852" s="2" t="str">
        <x:v>Senior</x:v>
      </x:c>
      <x:c r="H852" s="2" t="str">
        <x:v>Drop-off</x:v>
      </x:c>
      <x:c r="I852" s="2" t="str">
        <x:v>R2S2</x:v>
      </x:c>
      <x:c r="J852" s="2" t="str">
        <x:v>EV001695</x:v>
      </x:c>
      <x:c r="K852" s="8" t="n">
        <x:v>46302.57291666667</x:v>
      </x:c>
      <x:c r="L852" s="2" t="str">
        <x:v>SCH01</x:v>
      </x:c>
      <x:c r="M852" s="9" t="n">
        <x:v>25.285</x:v>
      </x:c>
      <x:c r="N852" s="9" t="n">
        <x:v>51.51</x:v>
      </x:c>
      <x:c r="O852" s="2" t="str">
        <x:v>Valid</x:v>
      </x:c>
      <x:c r="P852" s="2" t="str">
        <x:v>EV001696</x:v>
      </x:c>
      <x:c r="Q852" s="8" t="n">
        <x:v>46302.59027777778</x:v>
      </x:c>
      <x:c r="R852" s="2" t="str">
        <x:v>R2S2</x:v>
      </x:c>
      <x:c r="S852" s="9" t="n">
        <x:v>25.282000000000004</x:v>
      </x:c>
      <x:c r="T852" s="9" t="n">
        <x:v>51.501999999999995</x:v>
      </x:c>
      <x:c r="U852" s="2" t="str">
        <x:v>G051</x:v>
      </x:c>
      <x:c r="V852" s="2" t="str">
        <x:v>Authorized guardian release</x:v>
      </x:c>
      <x:c r="W852" s="2" t="str">
        <x:v>Completed transport</x:v>
      </x:c>
      <x:c r="X852" s="2" t="str">
        <x:v>QR</x:v>
      </x:c>
      <x:c r="Y852" s="2" t="str">
        <x:v>Online</x:v>
      </x:c>
      <x:c r="Z852" s="2" t="str">
        <x:v>Synced</x:v>
      </x:c>
      <x:c r="AA852" s="2"/>
      <x:c r="AB852" s="2"/>
      <x:c r="AC852" s="10" t="n">
        <x:f>IF(OR(K852="",Q852=""),"",ROUND((Q852-K852)*1440,2))</x:f>
        <x:v>25</x:v>
      </x:c>
    </x:row>
    <x:row r="853" ht="21" customHeight="1">
      <x:c r="A853" s="2" t="str">
        <x:v>LN00852</x:v>
      </x:c>
      <x:c r="B853" s="2" t="str">
        <x:v>T20261007-3-2</x:v>
      </x:c>
      <x:c r="C853" s="7" t="n">
        <x:v>46302</x:v>
      </x:c>
      <x:c r="D853" s="2" t="str">
        <x:v>BUS002</x:v>
      </x:c>
      <x:c r="E853" s="2" t="str">
        <x:v>ST052</x:v>
      </x:c>
      <x:c r="F853" s="2" t="n">
        <x:v>1</x:v>
      </x:c>
      <x:c r="G853" s="2" t="str">
        <x:v>Senior</x:v>
      </x:c>
      <x:c r="H853" s="2" t="str">
        <x:v>Drop-off</x:v>
      </x:c>
      <x:c r="I853" s="2" t="str">
        <x:v>R2S3</x:v>
      </x:c>
      <x:c r="J853" s="2" t="str">
        <x:v>EV001697</x:v>
      </x:c>
      <x:c r="K853" s="8" t="n">
        <x:v>46302.572951388895</x:v>
      </x:c>
      <x:c r="L853" s="2" t="str">
        <x:v>SCH01</x:v>
      </x:c>
      <x:c r="M853" s="9" t="n">
        <x:v>25.285</x:v>
      </x:c>
      <x:c r="N853" s="9" t="n">
        <x:v>51.51</x:v>
      </x:c>
      <x:c r="O853" s="2" t="str">
        <x:v>Valid</x:v>
      </x:c>
      <x:c r="P853" s="2" t="str">
        <x:v>EV001698</x:v>
      </x:c>
      <x:c r="Q853" s="8" t="n">
        <x:v>46302.59447916667</x:v>
      </x:c>
      <x:c r="R853" s="2" t="str">
        <x:v>R2S3</x:v>
      </x:c>
      <x:c r="S853" s="9" t="n">
        <x:v>25.284000000000002</x:v>
      </x:c>
      <x:c r="T853" s="9" t="n">
        <x:v>51.504999999999995</x:v>
      </x:c>
      <x:c r="U853" s="2" t="str">
        <x:v>G052</x:v>
      </x:c>
      <x:c r="V853" s="2" t="str">
        <x:v>Authorized guardian release</x:v>
      </x:c>
      <x:c r="W853" s="2" t="str">
        <x:v>Completed transport</x:v>
      </x:c>
      <x:c r="X853" s="2" t="str">
        <x:v>QR</x:v>
      </x:c>
      <x:c r="Y853" s="2" t="str">
        <x:v>Online</x:v>
      </x:c>
      <x:c r="Z853" s="2" t="str">
        <x:v>Synced</x:v>
      </x:c>
      <x:c r="AA853" s="2"/>
      <x:c r="AB853" s="2"/>
      <x:c r="AC853" s="10" t="n">
        <x:f>IF(OR(K853="",Q853=""),"",ROUND((Q853-K853)*1440,2))</x:f>
        <x:v>31</x:v>
      </x:c>
    </x:row>
    <x:row r="854" ht="21" customHeight="1">
      <x:c r="A854" s="2" t="str">
        <x:v>LN00853</x:v>
      </x:c>
      <x:c r="B854" s="2" t="str">
        <x:v>T20261007-3-2</x:v>
      </x:c>
      <x:c r="C854" s="7" t="n">
        <x:v>46302</x:v>
      </x:c>
      <x:c r="D854" s="2" t="str">
        <x:v>BUS002</x:v>
      </x:c>
      <x:c r="E854" s="2" t="str">
        <x:v>ST053</x:v>
      </x:c>
      <x:c r="F854" s="2" t="n">
        <x:v>1</x:v>
      </x:c>
      <x:c r="G854" s="2" t="str">
        <x:v>Senior</x:v>
      </x:c>
      <x:c r="H854" s="2" t="str">
        <x:v>Drop-off</x:v>
      </x:c>
      <x:c r="I854" s="2" t="str">
        <x:v>R2S1</x:v>
      </x:c>
      <x:c r="J854" s="2" t="str">
        <x:v>EV001699</x:v>
      </x:c>
      <x:c r="K854" s="8" t="n">
        <x:v>46302.57298611112</x:v>
      </x:c>
      <x:c r="L854" s="2" t="str">
        <x:v>SCH01</x:v>
      </x:c>
      <x:c r="M854" s="9" t="n">
        <x:v>25.285</x:v>
      </x:c>
      <x:c r="N854" s="9" t="n">
        <x:v>51.51</x:v>
      </x:c>
      <x:c r="O854" s="2" t="str">
        <x:v>Valid</x:v>
      </x:c>
      <x:c r="P854" s="2" t="str">
        <x:v>EV001700</x:v>
      </x:c>
      <x:c r="Q854" s="8" t="n">
        <x:v>46302.58618055556</x:v>
      </x:c>
      <x:c r="R854" s="2" t="str">
        <x:v>R2S1</x:v>
      </x:c>
      <x:c r="S854" s="9" t="n">
        <x:v>25.28</x:v>
      </x:c>
      <x:c r="T854" s="9" t="n">
        <x:v>51.498999999999995</x:v>
      </x:c>
      <x:c r="U854" s="2" t="str">
        <x:v>G053</x:v>
      </x:c>
      <x:c r="V854" s="2" t="str">
        <x:v>Authorized guardian release</x:v>
      </x:c>
      <x:c r="W854" s="2" t="str">
        <x:v>Completed transport</x:v>
      </x:c>
      <x:c r="X854" s="2" t="str">
        <x:v>QR</x:v>
      </x:c>
      <x:c r="Y854" s="2" t="str">
        <x:v>Online</x:v>
      </x:c>
      <x:c r="Z854" s="2" t="str">
        <x:v>Synced</x:v>
      </x:c>
      <x:c r="AA854" s="2"/>
      <x:c r="AB854" s="2"/>
      <x:c r="AC854" s="10" t="n">
        <x:f>IF(OR(K854="",Q854=""),"",ROUND((Q854-K854)*1440,2))</x:f>
        <x:v>19</x:v>
      </x:c>
    </x:row>
    <x:row r="855" ht="21" customHeight="1">
      <x:c r="A855" s="2" t="str">
        <x:v>LN00854</x:v>
      </x:c>
      <x:c r="B855" s="2" t="str">
        <x:v>T20261007-3-2</x:v>
      </x:c>
      <x:c r="C855" s="7" t="n">
        <x:v>46302</x:v>
      </x:c>
      <x:c r="D855" s="2" t="str">
        <x:v>BUS002</x:v>
      </x:c>
      <x:c r="E855" s="2" t="str">
        <x:v>ST054</x:v>
      </x:c>
      <x:c r="F855" s="2" t="n">
        <x:v>1</x:v>
      </x:c>
      <x:c r="G855" s="2" t="str">
        <x:v>Senior</x:v>
      </x:c>
      <x:c r="H855" s="2" t="str">
        <x:v>Drop-off</x:v>
      </x:c>
      <x:c r="I855" s="2" t="str">
        <x:v>R2S2</x:v>
      </x:c>
      <x:c r="J855" s="2" t="str">
        <x:v>EV001701</x:v>
      </x:c>
      <x:c r="K855" s="8" t="n">
        <x:v>46302.57302083334</x:v>
      </x:c>
      <x:c r="L855" s="2" t="str">
        <x:v>SCH01</x:v>
      </x:c>
      <x:c r="M855" s="9" t="n">
        <x:v>25.285</x:v>
      </x:c>
      <x:c r="N855" s="9" t="n">
        <x:v>51.51</x:v>
      </x:c>
      <x:c r="O855" s="2" t="str">
        <x:v>Valid</x:v>
      </x:c>
      <x:c r="P855" s="2" t="str">
        <x:v>EV001702</x:v>
      </x:c>
      <x:c r="Q855" s="8" t="n">
        <x:v>46302.59038194445</x:v>
      </x:c>
      <x:c r="R855" s="2" t="str">
        <x:v>R2S2</x:v>
      </x:c>
      <x:c r="S855" s="9" t="n">
        <x:v>25.282000000000004</x:v>
      </x:c>
      <x:c r="T855" s="9" t="n">
        <x:v>51.501999999999995</x:v>
      </x:c>
      <x:c r="U855" s="2" t="str">
        <x:v>G054</x:v>
      </x:c>
      <x:c r="V855" s="2" t="str">
        <x:v>Authorized guardian release</x:v>
      </x:c>
      <x:c r="W855" s="2" t="str">
        <x:v>Completed transport</x:v>
      </x:c>
      <x:c r="X855" s="2" t="str">
        <x:v>QR</x:v>
      </x:c>
      <x:c r="Y855" s="2" t="str">
        <x:v>Online</x:v>
      </x:c>
      <x:c r="Z855" s="2" t="str">
        <x:v>Synced</x:v>
      </x:c>
      <x:c r="AA855" s="2"/>
      <x:c r="AB855" s="2"/>
      <x:c r="AC855" s="10" t="n">
        <x:f>IF(OR(K855="",Q855=""),"",ROUND((Q855-K855)*1440,2))</x:f>
        <x:v>25</x:v>
      </x:c>
    </x:row>
    <x:row r="856" ht="21" customHeight="1">
      <x:c r="A856" s="2" t="str">
        <x:v>LN00855</x:v>
      </x:c>
      <x:c r="B856" s="2" t="str">
        <x:v>T20261007-3-2</x:v>
      </x:c>
      <x:c r="C856" s="7" t="n">
        <x:v>46302</x:v>
      </x:c>
      <x:c r="D856" s="2" t="str">
        <x:v>BUS002</x:v>
      </x:c>
      <x:c r="E856" s="2" t="str">
        <x:v>ST055</x:v>
      </x:c>
      <x:c r="F856" s="2" t="n">
        <x:v>1</x:v>
      </x:c>
      <x:c r="G856" s="2" t="str">
        <x:v>Senior</x:v>
      </x:c>
      <x:c r="H856" s="2" t="str">
        <x:v>Drop-off</x:v>
      </x:c>
      <x:c r="I856" s="2" t="str">
        <x:v>R2S3</x:v>
      </x:c>
      <x:c r="J856" s="2" t="str">
        <x:v>EV001703</x:v>
      </x:c>
      <x:c r="K856" s="8" t="n">
        <x:v>46302.573055555564</x:v>
      </x:c>
      <x:c r="L856" s="2" t="str">
        <x:v>SCH01</x:v>
      </x:c>
      <x:c r="M856" s="9" t="n">
        <x:v>25.285</x:v>
      </x:c>
      <x:c r="N856" s="9" t="n">
        <x:v>51.51</x:v>
      </x:c>
      <x:c r="O856" s="2" t="str">
        <x:v>Valid</x:v>
      </x:c>
      <x:c r="P856" s="2" t="str">
        <x:v>EV001704</x:v>
      </x:c>
      <x:c r="Q856" s="8" t="n">
        <x:v>46302.59458333334</x:v>
      </x:c>
      <x:c r="R856" s="2" t="str">
        <x:v>R2S3</x:v>
      </x:c>
      <x:c r="S856" s="9" t="n">
        <x:v>25.284000000000002</x:v>
      </x:c>
      <x:c r="T856" s="9" t="n">
        <x:v>51.504999999999995</x:v>
      </x:c>
      <x:c r="U856" s="2" t="str">
        <x:v>G055</x:v>
      </x:c>
      <x:c r="V856" s="2" t="str">
        <x:v>Authorized guardian release</x:v>
      </x:c>
      <x:c r="W856" s="2" t="str">
        <x:v>Completed transport</x:v>
      </x:c>
      <x:c r="X856" s="2" t="str">
        <x:v>QR</x:v>
      </x:c>
      <x:c r="Y856" s="2" t="str">
        <x:v>Online</x:v>
      </x:c>
      <x:c r="Z856" s="2" t="str">
        <x:v>Synced</x:v>
      </x:c>
      <x:c r="AA856" s="2"/>
      <x:c r="AB856" s="2"/>
      <x:c r="AC856" s="10" t="n">
        <x:f>IF(OR(K856="",Q856=""),"",ROUND((Q856-K856)*1440,2))</x:f>
        <x:v>31</x:v>
      </x:c>
    </x:row>
    <x:row r="857" ht="21" customHeight="1">
      <x:c r="A857" s="2" t="str">
        <x:v>LN00856</x:v>
      </x:c>
      <x:c r="B857" s="2" t="str">
        <x:v>T20261007-3-2</x:v>
      </x:c>
      <x:c r="C857" s="7" t="n">
        <x:v>46302</x:v>
      </x:c>
      <x:c r="D857" s="2" t="str">
        <x:v>BUS002</x:v>
      </x:c>
      <x:c r="E857" s="2" t="str">
        <x:v>ST056</x:v>
      </x:c>
      <x:c r="F857" s="2" t="n">
        <x:v>1</x:v>
      </x:c>
      <x:c r="G857" s="2" t="str">
        <x:v>Senior</x:v>
      </x:c>
      <x:c r="H857" s="2" t="str">
        <x:v>Drop-off</x:v>
      </x:c>
      <x:c r="I857" s="2" t="str">
        <x:v>R2S1</x:v>
      </x:c>
      <x:c r="J857" s="2" t="str">
        <x:v>EV001705</x:v>
      </x:c>
      <x:c r="K857" s="8" t="n">
        <x:v>46302.57309027778</x:v>
      </x:c>
      <x:c r="L857" s="2" t="str">
        <x:v>SCH01</x:v>
      </x:c>
      <x:c r="M857" s="9" t="n">
        <x:v>25.285</x:v>
      </x:c>
      <x:c r="N857" s="9" t="n">
        <x:v>51.51</x:v>
      </x:c>
      <x:c r="O857" s="2" t="str">
        <x:v>Valid</x:v>
      </x:c>
      <x:c r="P857" s="2" t="str">
        <x:v>EV001706</x:v>
      </x:c>
      <x:c r="Q857" s="8" t="n">
        <x:v>46302.58628472222</x:v>
      </x:c>
      <x:c r="R857" s="2" t="str">
        <x:v>R2S1</x:v>
      </x:c>
      <x:c r="S857" s="9" t="n">
        <x:v>25.28</x:v>
      </x:c>
      <x:c r="T857" s="9" t="n">
        <x:v>51.498999999999995</x:v>
      </x:c>
      <x:c r="U857" s="2" t="str">
        <x:v>G056</x:v>
      </x:c>
      <x:c r="V857" s="2" t="str">
        <x:v>Authorized guardian release</x:v>
      </x:c>
      <x:c r="W857" s="2" t="str">
        <x:v>Completed transport</x:v>
      </x:c>
      <x:c r="X857" s="2" t="str">
        <x:v>QR</x:v>
      </x:c>
      <x:c r="Y857" s="2" t="str">
        <x:v>Online</x:v>
      </x:c>
      <x:c r="Z857" s="2" t="str">
        <x:v>Synced</x:v>
      </x:c>
      <x:c r="AA857" s="2"/>
      <x:c r="AB857" s="2"/>
      <x:c r="AC857" s="10" t="n">
        <x:f>IF(OR(K857="",Q857=""),"",ROUND((Q857-K857)*1440,2))</x:f>
        <x:v>19</x:v>
      </x:c>
    </x:row>
    <x:row r="858" ht="21" customHeight="1">
      <x:c r="A858" s="2" t="str">
        <x:v>LN00857</x:v>
      </x:c>
      <x:c r="B858" s="2" t="str">
        <x:v>T20261007-3-2</x:v>
      </x:c>
      <x:c r="C858" s="7" t="n">
        <x:v>46302</x:v>
      </x:c>
      <x:c r="D858" s="2" t="str">
        <x:v>BUS002</x:v>
      </x:c>
      <x:c r="E858" s="2" t="str">
        <x:v>ST057</x:v>
      </x:c>
      <x:c r="F858" s="2" t="n">
        <x:v>1</x:v>
      </x:c>
      <x:c r="G858" s="2" t="str">
        <x:v>Senior</x:v>
      </x:c>
      <x:c r="H858" s="2" t="str">
        <x:v>Drop-off</x:v>
      </x:c>
      <x:c r="I858" s="2" t="str">
        <x:v>R2S2</x:v>
      </x:c>
      <x:c r="J858" s="2" t="str">
        <x:v>EV001707</x:v>
      </x:c>
      <x:c r="K858" s="8" t="n">
        <x:v>46302.573125</x:v>
      </x:c>
      <x:c r="L858" s="2" t="str">
        <x:v>SCH01</x:v>
      </x:c>
      <x:c r="M858" s="9" t="n">
        <x:v>25.285</x:v>
      </x:c>
      <x:c r="N858" s="9" t="n">
        <x:v>51.51</x:v>
      </x:c>
      <x:c r="O858" s="2" t="str">
        <x:v>Valid</x:v>
      </x:c>
      <x:c r="P858" s="2" t="str">
        <x:v>EV001708</x:v>
      </x:c>
      <x:c r="Q858" s="8" t="n">
        <x:v>46302.59048611111</x:v>
      </x:c>
      <x:c r="R858" s="2" t="str">
        <x:v>R2S2</x:v>
      </x:c>
      <x:c r="S858" s="9" t="n">
        <x:v>25.282000000000004</x:v>
      </x:c>
      <x:c r="T858" s="9" t="n">
        <x:v>51.501999999999995</x:v>
      </x:c>
      <x:c r="U858" s="2" t="str">
        <x:v>G057</x:v>
      </x:c>
      <x:c r="V858" s="2" t="str">
        <x:v>Authorized guardian release</x:v>
      </x:c>
      <x:c r="W858" s="2" t="str">
        <x:v>Completed transport</x:v>
      </x:c>
      <x:c r="X858" s="2" t="str">
        <x:v>QR</x:v>
      </x:c>
      <x:c r="Y858" s="2" t="str">
        <x:v>Online</x:v>
      </x:c>
      <x:c r="Z858" s="2" t="str">
        <x:v>Synced</x:v>
      </x:c>
      <x:c r="AA858" s="2"/>
      <x:c r="AB858" s="2"/>
      <x:c r="AC858" s="10" t="n">
        <x:f>IF(OR(K858="",Q858=""),"",ROUND((Q858-K858)*1440,2))</x:f>
        <x:v>25</x:v>
      </x:c>
    </x:row>
    <x:row r="859" ht="21" customHeight="1">
      <x:c r="A859" s="2" t="str">
        <x:v>LN00858</x:v>
      </x:c>
      <x:c r="B859" s="2" t="str">
        <x:v>T20261007-3-2</x:v>
      </x:c>
      <x:c r="C859" s="7" t="n">
        <x:v>46302</x:v>
      </x:c>
      <x:c r="D859" s="2" t="str">
        <x:v>BUS002</x:v>
      </x:c>
      <x:c r="E859" s="2" t="str">
        <x:v>ST058</x:v>
      </x:c>
      <x:c r="F859" s="2" t="n">
        <x:v>1</x:v>
      </x:c>
      <x:c r="G859" s="2" t="str">
        <x:v>Senior</x:v>
      </x:c>
      <x:c r="H859" s="2" t="str">
        <x:v>Drop-off</x:v>
      </x:c>
      <x:c r="I859" s="2" t="str">
        <x:v>R2S3</x:v>
      </x:c>
      <x:c r="J859" s="2" t="str">
        <x:v>EV001709</x:v>
      </x:c>
      <x:c r="K859" s="8" t="n">
        <x:v>46302.573159722226</x:v>
      </x:c>
      <x:c r="L859" s="2" t="str">
        <x:v>SCH01</x:v>
      </x:c>
      <x:c r="M859" s="9" t="n">
        <x:v>25.285</x:v>
      </x:c>
      <x:c r="N859" s="9" t="n">
        <x:v>51.51</x:v>
      </x:c>
      <x:c r="O859" s="2" t="str">
        <x:v>Valid</x:v>
      </x:c>
      <x:c r="P859" s="2" t="str">
        <x:v>EV001710</x:v>
      </x:c>
      <x:c r="Q859" s="8" t="n">
        <x:v>46302.5946875</x:v>
      </x:c>
      <x:c r="R859" s="2" t="str">
        <x:v>R2S3</x:v>
      </x:c>
      <x:c r="S859" s="9" t="n">
        <x:v>25.284000000000002</x:v>
      </x:c>
      <x:c r="T859" s="9" t="n">
        <x:v>51.504999999999995</x:v>
      </x:c>
      <x:c r="U859" s="2" t="str">
        <x:v>G058</x:v>
      </x:c>
      <x:c r="V859" s="2" t="str">
        <x:v>Authorized guardian release</x:v>
      </x:c>
      <x:c r="W859" s="2" t="str">
        <x:v>Completed transport</x:v>
      </x:c>
      <x:c r="X859" s="2" t="str">
        <x:v>QR</x:v>
      </x:c>
      <x:c r="Y859" s="2" t="str">
        <x:v>Online</x:v>
      </x:c>
      <x:c r="Z859" s="2" t="str">
        <x:v>Synced</x:v>
      </x:c>
      <x:c r="AA859" s="2"/>
      <x:c r="AB859" s="2"/>
      <x:c r="AC859" s="10" t="n">
        <x:f>IF(OR(K859="",Q859=""),"",ROUND((Q859-K859)*1440,2))</x:f>
        <x:v>31</x:v>
      </x:c>
    </x:row>
    <x:row r="860" ht="21" customHeight="1">
      <x:c r="A860" s="2" t="str">
        <x:v>LN00859</x:v>
      </x:c>
      <x:c r="B860" s="2" t="str">
        <x:v>T20261007-3-2</x:v>
      </x:c>
      <x:c r="C860" s="7" t="n">
        <x:v>46302</x:v>
      </x:c>
      <x:c r="D860" s="2" t="str">
        <x:v>BUS002</x:v>
      </x:c>
      <x:c r="E860" s="2" t="str">
        <x:v>ST059</x:v>
      </x:c>
      <x:c r="F860" s="2" t="n">
        <x:v>1</x:v>
      </x:c>
      <x:c r="G860" s="2" t="str">
        <x:v>Senior</x:v>
      </x:c>
      <x:c r="H860" s="2" t="str">
        <x:v>Drop-off</x:v>
      </x:c>
      <x:c r="I860" s="2" t="str">
        <x:v>R2S1</x:v>
      </x:c>
      <x:c r="J860" s="2" t="str">
        <x:v>EV001711</x:v>
      </x:c>
      <x:c r="K860" s="8" t="n">
        <x:v>46302.57319444445</x:v>
      </x:c>
      <x:c r="L860" s="2" t="str">
        <x:v>SCH01</x:v>
      </x:c>
      <x:c r="M860" s="9" t="n">
        <x:v>25.285</x:v>
      </x:c>
      <x:c r="N860" s="9" t="n">
        <x:v>51.51</x:v>
      </x:c>
      <x:c r="O860" s="2" t="str">
        <x:v>Valid</x:v>
      </x:c>
      <x:c r="P860" s="2" t="str">
        <x:v>EV001712</x:v>
      </x:c>
      <x:c r="Q860" s="8" t="n">
        <x:v>46302.58638888889</x:v>
      </x:c>
      <x:c r="R860" s="2" t="str">
        <x:v>R2S1</x:v>
      </x:c>
      <x:c r="S860" s="9" t="n">
        <x:v>25.28</x:v>
      </x:c>
      <x:c r="T860" s="9" t="n">
        <x:v>51.498999999999995</x:v>
      </x:c>
      <x:c r="U860" s="2" t="str">
        <x:v>G059</x:v>
      </x:c>
      <x:c r="V860" s="2" t="str">
        <x:v>Authorized guardian release</x:v>
      </x:c>
      <x:c r="W860" s="2" t="str">
        <x:v>Completed transport</x:v>
      </x:c>
      <x:c r="X860" s="2" t="str">
        <x:v>QR</x:v>
      </x:c>
      <x:c r="Y860" s="2" t="str">
        <x:v>Online</x:v>
      </x:c>
      <x:c r="Z860" s="2" t="str">
        <x:v>Synced</x:v>
      </x:c>
      <x:c r="AA860" s="2"/>
      <x:c r="AB860" s="2"/>
      <x:c r="AC860" s="10" t="n">
        <x:f>IF(OR(K860="",Q860=""),"",ROUND((Q860-K860)*1440,2))</x:f>
        <x:v>19</x:v>
      </x:c>
    </x:row>
    <x:row r="861" ht="21" customHeight="1">
      <x:c r="A861" s="2" t="str">
        <x:v>LN00860</x:v>
      </x:c>
      <x:c r="B861" s="2" t="str">
        <x:v>T20261007-3-2</x:v>
      </x:c>
      <x:c r="C861" s="7" t="n">
        <x:v>46302</x:v>
      </x:c>
      <x:c r="D861" s="2" t="str">
        <x:v>BUS002</x:v>
      </x:c>
      <x:c r="E861" s="2" t="str">
        <x:v>ST060</x:v>
      </x:c>
      <x:c r="F861" s="2" t="n">
        <x:v>1</x:v>
      </x:c>
      <x:c r="G861" s="2" t="str">
        <x:v>Senior</x:v>
      </x:c>
      <x:c r="H861" s="2" t="str">
        <x:v>Drop-off</x:v>
      </x:c>
      <x:c r="I861" s="2" t="str">
        <x:v>R2S2</x:v>
      </x:c>
      <x:c r="J861" s="2" t="str">
        <x:v>EV001713</x:v>
      </x:c>
      <x:c r="K861" s="8" t="n">
        <x:v>46302.57322916667</x:v>
      </x:c>
      <x:c r="L861" s="2" t="str">
        <x:v>SCH01</x:v>
      </x:c>
      <x:c r="M861" s="9" t="n">
        <x:v>25.285</x:v>
      </x:c>
      <x:c r="N861" s="9" t="n">
        <x:v>51.51</x:v>
      </x:c>
      <x:c r="O861" s="2" t="str">
        <x:v>Valid</x:v>
      </x:c>
      <x:c r="P861" s="2" t="str">
        <x:v>EV001714</x:v>
      </x:c>
      <x:c r="Q861" s="8" t="n">
        <x:v>46302.59059027778</x:v>
      </x:c>
      <x:c r="R861" s="2" t="str">
        <x:v>R2S2</x:v>
      </x:c>
      <x:c r="S861" s="9" t="n">
        <x:v>25.282000000000004</x:v>
      </x:c>
      <x:c r="T861" s="9" t="n">
        <x:v>51.501999999999995</x:v>
      </x:c>
      <x:c r="U861" s="2" t="str">
        <x:v>G060</x:v>
      </x:c>
      <x:c r="V861" s="2" t="str">
        <x:v>Authorized guardian release</x:v>
      </x:c>
      <x:c r="W861" s="2" t="str">
        <x:v>Completed transport</x:v>
      </x:c>
      <x:c r="X861" s="2" t="str">
        <x:v>QR</x:v>
      </x:c>
      <x:c r="Y861" s="2" t="str">
        <x:v>Online</x:v>
      </x:c>
      <x:c r="Z861" s="2" t="str">
        <x:v>Synced</x:v>
      </x:c>
      <x:c r="AA861" s="2"/>
      <x:c r="AB861" s="2"/>
      <x:c r="AC861" s="10" t="n">
        <x:f>IF(OR(K861="",Q861=""),"",ROUND((Q861-K861)*1440,2))</x:f>
        <x:v>25</x:v>
      </x:c>
    </x:row>
    <x:row r="862" ht="21" customHeight="1">
      <x:c r="A862" s="2" t="str">
        <x:v>LN00861</x:v>
      </x:c>
      <x:c r="B862" s="2" t="str">
        <x:v>T20261007-4-2</x:v>
      </x:c>
      <x:c r="C862" s="7" t="n">
        <x:v>46302</x:v>
      </x:c>
      <x:c r="D862" s="2" t="str">
        <x:v>BUS002</x:v>
      </x:c>
      <x:c r="E862" s="2" t="str">
        <x:v>ST061</x:v>
      </x:c>
      <x:c r="F862" s="2" t="n">
        <x:v>2</x:v>
      </x:c>
      <x:c r="G862" s="2" t="str">
        <x:v>Junior</x:v>
      </x:c>
      <x:c r="H862" s="2" t="str">
        <x:v>Drop-off</x:v>
      </x:c>
      <x:c r="I862" s="2" t="str">
        <x:v>R2S3</x:v>
      </x:c>
      <x:c r="J862" s="2" t="str">
        <x:v>EV001715</x:v>
      </x:c>
      <x:c r="K862" s="8" t="n">
        <x:v>46302.60416666667</x:v>
      </x:c>
      <x:c r="L862" s="2" t="str">
        <x:v>SCH01</x:v>
      </x:c>
      <x:c r="M862" s="9" t="n">
        <x:v>25.285</x:v>
      </x:c>
      <x:c r="N862" s="9" t="n">
        <x:v>51.51</x:v>
      </x:c>
      <x:c r="O862" s="2" t="str">
        <x:v>Valid</x:v>
      </x:c>
      <x:c r="P862" s="2" t="str">
        <x:v>EV001716</x:v>
      </x:c>
      <x:c r="Q862" s="8" t="n">
        <x:v>46302.62708333333</x:v>
      </x:c>
      <x:c r="R862" s="2" t="str">
        <x:v>R2S3</x:v>
      </x:c>
      <x:c r="S862" s="9" t="n">
        <x:v>25.284000000000002</x:v>
      </x:c>
      <x:c r="T862" s="9" t="n">
        <x:v>51.504999999999995</x:v>
      </x:c>
      <x:c r="U862" s="2" t="str">
        <x:v>G061</x:v>
      </x:c>
      <x:c r="V862" s="2" t="str">
        <x:v>Authorized guardian release</x:v>
      </x:c>
      <x:c r="W862" s="2" t="str">
        <x:v>Completed transport</x:v>
      </x:c>
      <x:c r="X862" s="2" t="str">
        <x:v>QR</x:v>
      </x:c>
      <x:c r="Y862" s="2" t="str">
        <x:v>Online</x:v>
      </x:c>
      <x:c r="Z862" s="2" t="str">
        <x:v>Synced</x:v>
      </x:c>
      <x:c r="AA862" s="2"/>
      <x:c r="AB862" s="2"/>
      <x:c r="AC862" s="10" t="n">
        <x:f>IF(OR(K862="",Q862=""),"",ROUND((Q862-K862)*1440,2))</x:f>
        <x:v>33</x:v>
      </x:c>
    </x:row>
    <x:row r="863" ht="21" customHeight="1">
      <x:c r="A863" s="2" t="str">
        <x:v>LN00862</x:v>
      </x:c>
      <x:c r="B863" s="2" t="str">
        <x:v>T20261007-4-2</x:v>
      </x:c>
      <x:c r="C863" s="7" t="n">
        <x:v>46302</x:v>
      </x:c>
      <x:c r="D863" s="2" t="str">
        <x:v>BUS002</x:v>
      </x:c>
      <x:c r="E863" s="2" t="str">
        <x:v>ST062</x:v>
      </x:c>
      <x:c r="F863" s="2" t="n">
        <x:v>2</x:v>
      </x:c>
      <x:c r="G863" s="2" t="str">
        <x:v>Junior</x:v>
      </x:c>
      <x:c r="H863" s="2" t="str">
        <x:v>Drop-off</x:v>
      </x:c>
      <x:c r="I863" s="2" t="str">
        <x:v>R2S1</x:v>
      </x:c>
      <x:c r="J863" s="2" t="str">
        <x:v>EV001717</x:v>
      </x:c>
      <x:c r="K863" s="8" t="n">
        <x:v>46302.604201388895</x:v>
      </x:c>
      <x:c r="L863" s="2" t="str">
        <x:v>SCH01</x:v>
      </x:c>
      <x:c r="M863" s="9" t="n">
        <x:v>25.285</x:v>
      </x:c>
      <x:c r="N863" s="9" t="n">
        <x:v>51.51</x:v>
      </x:c>
      <x:c r="O863" s="2" t="str">
        <x:v>Valid</x:v>
      </x:c>
      <x:c r="P863" s="2" t="str">
        <x:v>EV001718</x:v>
      </x:c>
      <x:c r="Q863" s="8" t="n">
        <x:v>46302.618784722225</x:v>
      </x:c>
      <x:c r="R863" s="2" t="str">
        <x:v>R2S1</x:v>
      </x:c>
      <x:c r="S863" s="9" t="n">
        <x:v>25.28</x:v>
      </x:c>
      <x:c r="T863" s="9" t="n">
        <x:v>51.498999999999995</x:v>
      </x:c>
      <x:c r="U863" s="2" t="str">
        <x:v>G062</x:v>
      </x:c>
      <x:c r="V863" s="2" t="str">
        <x:v>Authorized guardian release</x:v>
      </x:c>
      <x:c r="W863" s="2" t="str">
        <x:v>Completed transport</x:v>
      </x:c>
      <x:c r="X863" s="2" t="str">
        <x:v>QR</x:v>
      </x:c>
      <x:c r="Y863" s="2" t="str">
        <x:v>Online</x:v>
      </x:c>
      <x:c r="Z863" s="2" t="str">
        <x:v>Synced</x:v>
      </x:c>
      <x:c r="AA863" s="2"/>
      <x:c r="AB863" s="2"/>
      <x:c r="AC863" s="10" t="n">
        <x:f>IF(OR(K863="",Q863=""),"",ROUND((Q863-K863)*1440,2))</x:f>
        <x:v>21</x:v>
      </x:c>
    </x:row>
    <x:row r="864" ht="21" customHeight="1">
      <x:c r="A864" s="2" t="str">
        <x:v>LN00863</x:v>
      </x:c>
      <x:c r="B864" s="2" t="str">
        <x:v>T20261007-4-2</x:v>
      </x:c>
      <x:c r="C864" s="7" t="n">
        <x:v>46302</x:v>
      </x:c>
      <x:c r="D864" s="2" t="str">
        <x:v>BUS002</x:v>
      </x:c>
      <x:c r="E864" s="2" t="str">
        <x:v>ST063</x:v>
      </x:c>
      <x:c r="F864" s="2" t="n">
        <x:v>2</x:v>
      </x:c>
      <x:c r="G864" s="2" t="str">
        <x:v>Junior</x:v>
      </x:c>
      <x:c r="H864" s="2" t="str">
        <x:v>Drop-off</x:v>
      </x:c>
      <x:c r="I864" s="2" t="str">
        <x:v>R2S2</x:v>
      </x:c>
      <x:c r="J864" s="2" t="str">
        <x:v>EV001719</x:v>
      </x:c>
      <x:c r="K864" s="8" t="n">
        <x:v>46302.60423611112</x:v>
      </x:c>
      <x:c r="L864" s="2" t="str">
        <x:v>SCH01</x:v>
      </x:c>
      <x:c r="M864" s="9" t="n">
        <x:v>25.285</x:v>
      </x:c>
      <x:c r="N864" s="9" t="n">
        <x:v>51.51</x:v>
      </x:c>
      <x:c r="O864" s="2" t="str">
        <x:v>Valid</x:v>
      </x:c>
      <x:c r="P864" s="2" t="str">
        <x:v>EV001720</x:v>
      </x:c>
      <x:c r="Q864" s="8" t="n">
        <x:v>46302.62298611111</x:v>
      </x:c>
      <x:c r="R864" s="2" t="str">
        <x:v>R2S2</x:v>
      </x:c>
      <x:c r="S864" s="9" t="n">
        <x:v>25.282000000000004</x:v>
      </x:c>
      <x:c r="T864" s="9" t="n">
        <x:v>51.501999999999995</x:v>
      </x:c>
      <x:c r="U864" s="2" t="str">
        <x:v>G063</x:v>
      </x:c>
      <x:c r="V864" s="2" t="str">
        <x:v>Authorized guardian release</x:v>
      </x:c>
      <x:c r="W864" s="2" t="str">
        <x:v>Completed transport</x:v>
      </x:c>
      <x:c r="X864" s="2" t="str">
        <x:v>QR</x:v>
      </x:c>
      <x:c r="Y864" s="2" t="str">
        <x:v>Online</x:v>
      </x:c>
      <x:c r="Z864" s="2" t="str">
        <x:v>Synced</x:v>
      </x:c>
      <x:c r="AA864" s="2"/>
      <x:c r="AB864" s="2"/>
      <x:c r="AC864" s="10" t="n">
        <x:f>IF(OR(K864="",Q864=""),"",ROUND((Q864-K864)*1440,2))</x:f>
        <x:v>27</x:v>
      </x:c>
    </x:row>
    <x:row r="865" ht="21" customHeight="1">
      <x:c r="A865" s="2" t="str">
        <x:v>LN00864</x:v>
      </x:c>
      <x:c r="B865" s="2" t="str">
        <x:v>T20261007-4-2</x:v>
      </x:c>
      <x:c r="C865" s="7" t="n">
        <x:v>46302</x:v>
      </x:c>
      <x:c r="D865" s="2" t="str">
        <x:v>BUS002</x:v>
      </x:c>
      <x:c r="E865" s="2" t="str">
        <x:v>ST064</x:v>
      </x:c>
      <x:c r="F865" s="2" t="n">
        <x:v>2</x:v>
      </x:c>
      <x:c r="G865" s="2" t="str">
        <x:v>Junior</x:v>
      </x:c>
      <x:c r="H865" s="2" t="str">
        <x:v>Drop-off</x:v>
      </x:c>
      <x:c r="I865" s="2" t="str">
        <x:v>R2S3</x:v>
      </x:c>
      <x:c r="J865" s="2" t="str">
        <x:v>EV001721</x:v>
      </x:c>
      <x:c r="K865" s="8" t="n">
        <x:v>46302.60427083334</x:v>
      </x:c>
      <x:c r="L865" s="2" t="str">
        <x:v>SCH01</x:v>
      </x:c>
      <x:c r="M865" s="9" t="n">
        <x:v>25.285</x:v>
      </x:c>
      <x:c r="N865" s="9" t="n">
        <x:v>51.51</x:v>
      </x:c>
      <x:c r="O865" s="2" t="str">
        <x:v>Valid</x:v>
      </x:c>
      <x:c r="P865" s="2" t="str">
        <x:v>EV001722</x:v>
      </x:c>
      <x:c r="Q865" s="8" t="n">
        <x:v>46302.6271875</x:v>
      </x:c>
      <x:c r="R865" s="2" t="str">
        <x:v>R2S3</x:v>
      </x:c>
      <x:c r="S865" s="9" t="n">
        <x:v>25.284000000000002</x:v>
      </x:c>
      <x:c r="T865" s="9" t="n">
        <x:v>51.504999999999995</x:v>
      </x:c>
      <x:c r="U865" s="2" t="str">
        <x:v>G064</x:v>
      </x:c>
      <x:c r="V865" s="2" t="str">
        <x:v>Authorized guardian release</x:v>
      </x:c>
      <x:c r="W865" s="2" t="str">
        <x:v>Completed transport</x:v>
      </x:c>
      <x:c r="X865" s="2" t="str">
        <x:v>QR</x:v>
      </x:c>
      <x:c r="Y865" s="2" t="str">
        <x:v>Online</x:v>
      </x:c>
      <x:c r="Z865" s="2" t="str">
        <x:v>Synced</x:v>
      </x:c>
      <x:c r="AA865" s="2"/>
      <x:c r="AB865" s="2"/>
      <x:c r="AC865" s="10" t="n">
        <x:f>IF(OR(K865="",Q865=""),"",ROUND((Q865-K865)*1440,2))</x:f>
        <x:v>33</x:v>
      </x:c>
    </x:row>
    <x:row r="866" ht="21" customHeight="1">
      <x:c r="A866" s="2" t="str">
        <x:v>LN00865</x:v>
      </x:c>
      <x:c r="B866" s="2" t="str">
        <x:v>T20261007-4-2</x:v>
      </x:c>
      <x:c r="C866" s="7" t="n">
        <x:v>46302</x:v>
      </x:c>
      <x:c r="D866" s="2" t="str">
        <x:v>BUS002</x:v>
      </x:c>
      <x:c r="E866" s="2" t="str">
        <x:v>ST065</x:v>
      </x:c>
      <x:c r="F866" s="2" t="n">
        <x:v>2</x:v>
      </x:c>
      <x:c r="G866" s="2" t="str">
        <x:v>Junior</x:v>
      </x:c>
      <x:c r="H866" s="2" t="str">
        <x:v>Drop-off</x:v>
      </x:c>
      <x:c r="I866" s="2" t="str">
        <x:v>R2S1</x:v>
      </x:c>
      <x:c r="J866" s="2" t="str">
        <x:v>EV001723</x:v>
      </x:c>
      <x:c r="K866" s="8" t="n">
        <x:v>46302.604305555564</x:v>
      </x:c>
      <x:c r="L866" s="2" t="str">
        <x:v>SCH01</x:v>
      </x:c>
      <x:c r="M866" s="9" t="n">
        <x:v>25.285</x:v>
      </x:c>
      <x:c r="N866" s="9" t="n">
        <x:v>51.51</x:v>
      </x:c>
      <x:c r="O866" s="2" t="str">
        <x:v>Valid</x:v>
      </x:c>
      <x:c r="P866" s="2" t="str">
        <x:v>EV001724</x:v>
      </x:c>
      <x:c r="Q866" s="8" t="n">
        <x:v>46302.618888888894</x:v>
      </x:c>
      <x:c r="R866" s="2" t="str">
        <x:v>R2S1</x:v>
      </x:c>
      <x:c r="S866" s="9" t="n">
        <x:v>25.28</x:v>
      </x:c>
      <x:c r="T866" s="9" t="n">
        <x:v>51.498999999999995</x:v>
      </x:c>
      <x:c r="U866" s="2" t="str">
        <x:v>G065</x:v>
      </x:c>
      <x:c r="V866" s="2" t="str">
        <x:v>Authorized guardian release</x:v>
      </x:c>
      <x:c r="W866" s="2" t="str">
        <x:v>Completed transport</x:v>
      </x:c>
      <x:c r="X866" s="2" t="str">
        <x:v>QR</x:v>
      </x:c>
      <x:c r="Y866" s="2" t="str">
        <x:v>Online</x:v>
      </x:c>
      <x:c r="Z866" s="2" t="str">
        <x:v>Synced</x:v>
      </x:c>
      <x:c r="AA866" s="2"/>
      <x:c r="AB866" s="2"/>
      <x:c r="AC866" s="10" t="n">
        <x:f>IF(OR(K866="",Q866=""),"",ROUND((Q866-K866)*1440,2))</x:f>
        <x:v>21</x:v>
      </x:c>
    </x:row>
    <x:row r="867" ht="21" customHeight="1">
      <x:c r="A867" s="2" t="str">
        <x:v>LN00866</x:v>
      </x:c>
      <x:c r="B867" s="2" t="str">
        <x:v>T20261007-4-2</x:v>
      </x:c>
      <x:c r="C867" s="7" t="n">
        <x:v>46302</x:v>
      </x:c>
      <x:c r="D867" s="2" t="str">
        <x:v>BUS002</x:v>
      </x:c>
      <x:c r="E867" s="2" t="str">
        <x:v>ST066</x:v>
      </x:c>
      <x:c r="F867" s="2" t="n">
        <x:v>2</x:v>
      </x:c>
      <x:c r="G867" s="2" t="str">
        <x:v>Junior</x:v>
      </x:c>
      <x:c r="H867" s="2" t="str">
        <x:v>Drop-off</x:v>
      </x:c>
      <x:c r="I867" s="2" t="str">
        <x:v>R2S2</x:v>
      </x:c>
      <x:c r="J867" s="2" t="str">
        <x:v>EV001725</x:v>
      </x:c>
      <x:c r="K867" s="8" t="n">
        <x:v>46302.60434027778</x:v>
      </x:c>
      <x:c r="L867" s="2" t="str">
        <x:v>SCH01</x:v>
      </x:c>
      <x:c r="M867" s="9" t="n">
        <x:v>25.285</x:v>
      </x:c>
      <x:c r="N867" s="9" t="n">
        <x:v>51.51</x:v>
      </x:c>
      <x:c r="O867" s="2" t="str">
        <x:v>Valid</x:v>
      </x:c>
      <x:c r="P867" s="2" t="str">
        <x:v>EV001726</x:v>
      </x:c>
      <x:c r="Q867" s="8" t="n">
        <x:v>46302.623090277775</x:v>
      </x:c>
      <x:c r="R867" s="2" t="str">
        <x:v>R2S2</x:v>
      </x:c>
      <x:c r="S867" s="9" t="n">
        <x:v>25.282000000000004</x:v>
      </x:c>
      <x:c r="T867" s="9" t="n">
        <x:v>51.501999999999995</x:v>
      </x:c>
      <x:c r="U867" s="2" t="str">
        <x:v>G066</x:v>
      </x:c>
      <x:c r="V867" s="2" t="str">
        <x:v>Authorized guardian release</x:v>
      </x:c>
      <x:c r="W867" s="2" t="str">
        <x:v>Completed transport</x:v>
      </x:c>
      <x:c r="X867" s="2" t="str">
        <x:v>QR</x:v>
      </x:c>
      <x:c r="Y867" s="2" t="str">
        <x:v>Online</x:v>
      </x:c>
      <x:c r="Z867" s="2" t="str">
        <x:v>Synced</x:v>
      </x:c>
      <x:c r="AA867" s="2"/>
      <x:c r="AB867" s="2"/>
      <x:c r="AC867" s="10" t="n">
        <x:f>IF(OR(K867="",Q867=""),"",ROUND((Q867-K867)*1440,2))</x:f>
        <x:v>27</x:v>
      </x:c>
    </x:row>
    <x:row r="868" ht="21" customHeight="1">
      <x:c r="A868" s="2" t="str">
        <x:v>LN00867</x:v>
      </x:c>
      <x:c r="B868" s="2" t="str">
        <x:v>T20261007-4-2</x:v>
      </x:c>
      <x:c r="C868" s="7" t="n">
        <x:v>46302</x:v>
      </x:c>
      <x:c r="D868" s="2" t="str">
        <x:v>BUS002</x:v>
      </x:c>
      <x:c r="E868" s="2" t="str">
        <x:v>ST067</x:v>
      </x:c>
      <x:c r="F868" s="2" t="n">
        <x:v>2</x:v>
      </x:c>
      <x:c r="G868" s="2" t="str">
        <x:v>Junior</x:v>
      </x:c>
      <x:c r="H868" s="2" t="str">
        <x:v>Drop-off</x:v>
      </x:c>
      <x:c r="I868" s="2" t="str">
        <x:v>R2S3</x:v>
      </x:c>
      <x:c r="J868" s="2" t="str">
        <x:v>EV001727</x:v>
      </x:c>
      <x:c r="K868" s="8" t="n">
        <x:v>46302.604375</x:v>
      </x:c>
      <x:c r="L868" s="2" t="str">
        <x:v>SCH01</x:v>
      </x:c>
      <x:c r="M868" s="9" t="n">
        <x:v>25.285</x:v>
      </x:c>
      <x:c r="N868" s="9" t="n">
        <x:v>51.51</x:v>
      </x:c>
      <x:c r="O868" s="2" t="str">
        <x:v>Valid</x:v>
      </x:c>
      <x:c r="P868" s="2" t="str">
        <x:v>EV001728</x:v>
      </x:c>
      <x:c r="Q868" s="8" t="n">
        <x:v>46302.627291666664</x:v>
      </x:c>
      <x:c r="R868" s="2" t="str">
        <x:v>R2S3</x:v>
      </x:c>
      <x:c r="S868" s="9" t="n">
        <x:v>25.284000000000002</x:v>
      </x:c>
      <x:c r="T868" s="9" t="n">
        <x:v>51.504999999999995</x:v>
      </x:c>
      <x:c r="U868" s="2" t="str">
        <x:v>G067</x:v>
      </x:c>
      <x:c r="V868" s="2" t="str">
        <x:v>Authorized guardian release</x:v>
      </x:c>
      <x:c r="W868" s="2" t="str">
        <x:v>Completed transport</x:v>
      </x:c>
      <x:c r="X868" s="2" t="str">
        <x:v>QR</x:v>
      </x:c>
      <x:c r="Y868" s="2" t="str">
        <x:v>Online</x:v>
      </x:c>
      <x:c r="Z868" s="2" t="str">
        <x:v>Synced</x:v>
      </x:c>
      <x:c r="AA868" s="2"/>
      <x:c r="AB868" s="2"/>
      <x:c r="AC868" s="10" t="n">
        <x:f>IF(OR(K868="",Q868=""),"",ROUND((Q868-K868)*1440,2))</x:f>
        <x:v>33</x:v>
      </x:c>
    </x:row>
    <x:row r="869" ht="21" customHeight="1">
      <x:c r="A869" s="2" t="str">
        <x:v>LN00868</x:v>
      </x:c>
      <x:c r="B869" s="2" t="str">
        <x:v>T20261007-4-2</x:v>
      </x:c>
      <x:c r="C869" s="7" t="n">
        <x:v>46302</x:v>
      </x:c>
      <x:c r="D869" s="2" t="str">
        <x:v>BUS002</x:v>
      </x:c>
      <x:c r="E869" s="2" t="str">
        <x:v>ST068</x:v>
      </x:c>
      <x:c r="F869" s="2" t="n">
        <x:v>2</x:v>
      </x:c>
      <x:c r="G869" s="2" t="str">
        <x:v>Junior</x:v>
      </x:c>
      <x:c r="H869" s="2" t="str">
        <x:v>Drop-off</x:v>
      </x:c>
      <x:c r="I869" s="2" t="str">
        <x:v>R2S1</x:v>
      </x:c>
      <x:c r="J869" s="2" t="str">
        <x:v>EV001729</x:v>
      </x:c>
      <x:c r="K869" s="8" t="n">
        <x:v>46302.604409722226</x:v>
      </x:c>
      <x:c r="L869" s="2" t="str">
        <x:v>SCH01</x:v>
      </x:c>
      <x:c r="M869" s="9" t="n">
        <x:v>25.285</x:v>
      </x:c>
      <x:c r="N869" s="9" t="n">
        <x:v>51.51</x:v>
      </x:c>
      <x:c r="O869" s="2" t="str">
        <x:v>Valid</x:v>
      </x:c>
      <x:c r="P869" s="2" t="str">
        <x:v>EV001730</x:v>
      </x:c>
      <x:c r="Q869" s="8" t="n">
        <x:v>46302.618993055556</x:v>
      </x:c>
      <x:c r="R869" s="2" t="str">
        <x:v>R2S1</x:v>
      </x:c>
      <x:c r="S869" s="9" t="n">
        <x:v>25.28</x:v>
      </x:c>
      <x:c r="T869" s="9" t="n">
        <x:v>51.498999999999995</x:v>
      </x:c>
      <x:c r="U869" s="2" t="str">
        <x:v>G068</x:v>
      </x:c>
      <x:c r="V869" s="2" t="str">
        <x:v>Authorized guardian release</x:v>
      </x:c>
      <x:c r="W869" s="2" t="str">
        <x:v>Completed transport</x:v>
      </x:c>
      <x:c r="X869" s="2" t="str">
        <x:v>QR</x:v>
      </x:c>
      <x:c r="Y869" s="2" t="str">
        <x:v>Online</x:v>
      </x:c>
      <x:c r="Z869" s="2" t="str">
        <x:v>Synced</x:v>
      </x:c>
      <x:c r="AA869" s="2"/>
      <x:c r="AB869" s="2"/>
      <x:c r="AC869" s="10" t="n">
        <x:f>IF(OR(K869="",Q869=""),"",ROUND((Q869-K869)*1440,2))</x:f>
        <x:v>21</x:v>
      </x:c>
    </x:row>
    <x:row r="870" ht="21" customHeight="1">
      <x:c r="A870" s="2" t="str">
        <x:v>LN00869</x:v>
      </x:c>
      <x:c r="B870" s="2" t="str">
        <x:v>T20261007-4-2</x:v>
      </x:c>
      <x:c r="C870" s="7" t="n">
        <x:v>46302</x:v>
      </x:c>
      <x:c r="D870" s="2" t="str">
        <x:v>BUS002</x:v>
      </x:c>
      <x:c r="E870" s="2" t="str">
        <x:v>ST069</x:v>
      </x:c>
      <x:c r="F870" s="2" t="n">
        <x:v>2</x:v>
      </x:c>
      <x:c r="G870" s="2" t="str">
        <x:v>Junior</x:v>
      </x:c>
      <x:c r="H870" s="2" t="str">
        <x:v>Drop-off</x:v>
      </x:c>
      <x:c r="I870" s="2" t="str">
        <x:v>R2S2</x:v>
      </x:c>
      <x:c r="J870" s="2" t="str">
        <x:v>EV001731</x:v>
      </x:c>
      <x:c r="K870" s="8" t="n">
        <x:v>46302.60444444445</x:v>
      </x:c>
      <x:c r="L870" s="2" t="str">
        <x:v>SCH01</x:v>
      </x:c>
      <x:c r="M870" s="9" t="n">
        <x:v>25.285</x:v>
      </x:c>
      <x:c r="N870" s="9" t="n">
        <x:v>51.51</x:v>
      </x:c>
      <x:c r="O870" s="2" t="str">
        <x:v>Valid</x:v>
      </x:c>
      <x:c r="P870" s="2" t="str">
        <x:v>EV001732</x:v>
      </x:c>
      <x:c r="Q870" s="8" t="n">
        <x:v>46302.623194444444</x:v>
      </x:c>
      <x:c r="R870" s="2" t="str">
        <x:v>R2S2</x:v>
      </x:c>
      <x:c r="S870" s="9" t="n">
        <x:v>25.282000000000004</x:v>
      </x:c>
      <x:c r="T870" s="9" t="n">
        <x:v>51.501999999999995</x:v>
      </x:c>
      <x:c r="U870" s="2" t="str">
        <x:v>G069</x:v>
      </x:c>
      <x:c r="V870" s="2" t="str">
        <x:v>Authorized guardian release</x:v>
      </x:c>
      <x:c r="W870" s="2" t="str">
        <x:v>Completed transport</x:v>
      </x:c>
      <x:c r="X870" s="2" t="str">
        <x:v>QR</x:v>
      </x:c>
      <x:c r="Y870" s="2" t="str">
        <x:v>Online</x:v>
      </x:c>
      <x:c r="Z870" s="2" t="str">
        <x:v>Synced</x:v>
      </x:c>
      <x:c r="AA870" s="2"/>
      <x:c r="AB870" s="2"/>
      <x:c r="AC870" s="10" t="n">
        <x:f>IF(OR(K870="",Q870=""),"",ROUND((Q870-K870)*1440,2))</x:f>
        <x:v>27</x:v>
      </x:c>
    </x:row>
    <x:row r="871" ht="21" customHeight="1">
      <x:c r="A871" s="2" t="str">
        <x:v>LN00870</x:v>
      </x:c>
      <x:c r="B871" s="2" t="str">
        <x:v>T20261007-4-2</x:v>
      </x:c>
      <x:c r="C871" s="7" t="n">
        <x:v>46302</x:v>
      </x:c>
      <x:c r="D871" s="2" t="str">
        <x:v>BUS002</x:v>
      </x:c>
      <x:c r="E871" s="2" t="str">
        <x:v>ST070</x:v>
      </x:c>
      <x:c r="F871" s="2" t="n">
        <x:v>2</x:v>
      </x:c>
      <x:c r="G871" s="2" t="str">
        <x:v>Junior</x:v>
      </x:c>
      <x:c r="H871" s="2" t="str">
        <x:v>Drop-off</x:v>
      </x:c>
      <x:c r="I871" s="2" t="str">
        <x:v>R2S3</x:v>
      </x:c>
      <x:c r="J871" s="2" t="str">
        <x:v>EV001733</x:v>
      </x:c>
      <x:c r="K871" s="8" t="n">
        <x:v>46302.60447916667</x:v>
      </x:c>
      <x:c r="L871" s="2" t="str">
        <x:v>SCH01</x:v>
      </x:c>
      <x:c r="M871" s="9" t="n">
        <x:v>25.285</x:v>
      </x:c>
      <x:c r="N871" s="9" t="n">
        <x:v>51.51</x:v>
      </x:c>
      <x:c r="O871" s="2" t="str">
        <x:v>Valid</x:v>
      </x:c>
      <x:c r="P871" s="2" t="str">
        <x:v>EV001734</x:v>
      </x:c>
      <x:c r="Q871" s="8" t="n">
        <x:v>46302.62739583333</x:v>
      </x:c>
      <x:c r="R871" s="2" t="str">
        <x:v>R2S3</x:v>
      </x:c>
      <x:c r="S871" s="9" t="n">
        <x:v>25.284000000000002</x:v>
      </x:c>
      <x:c r="T871" s="9" t="n">
        <x:v>51.504999999999995</x:v>
      </x:c>
      <x:c r="U871" s="2" t="str">
        <x:v>G070</x:v>
      </x:c>
      <x:c r="V871" s="2" t="str">
        <x:v>Authorized guardian release</x:v>
      </x:c>
      <x:c r="W871" s="2" t="str">
        <x:v>Completed transport</x:v>
      </x:c>
      <x:c r="X871" s="2" t="str">
        <x:v>QR</x:v>
      </x:c>
      <x:c r="Y871" s="2" t="str">
        <x:v>Online</x:v>
      </x:c>
      <x:c r="Z871" s="2" t="str">
        <x:v>Synced</x:v>
      </x:c>
      <x:c r="AA871" s="2"/>
      <x:c r="AB871" s="2"/>
      <x:c r="AC871" s="10" t="n">
        <x:f>IF(OR(K871="",Q871=""),"",ROUND((Q871-K871)*1440,2))</x:f>
        <x:v>33</x:v>
      </x:c>
    </x:row>
    <x:row r="872" ht="21" customHeight="1">
      <x:c r="A872" s="2" t="str">
        <x:v>LN00871</x:v>
      </x:c>
      <x:c r="B872" s="2" t="str">
        <x:v>T20261007-5-2</x:v>
      </x:c>
      <x:c r="C872" s="7" t="n">
        <x:v>46302</x:v>
      </x:c>
      <x:c r="D872" s="2" t="str">
        <x:v>BUS002</x:v>
      </x:c>
      <x:c r="E872" s="2" t="str">
        <x:v>ST071</x:v>
      </x:c>
      <x:c r="F872" s="2" t="n">
        <x:v>2</x:v>
      </x:c>
      <x:c r="G872" s="2" t="str">
        <x:v>Senior</x:v>
      </x:c>
      <x:c r="H872" s="2" t="str">
        <x:v>Drop-off</x:v>
      </x:c>
      <x:c r="I872" s="2" t="str">
        <x:v>R2S1</x:v>
      </x:c>
      <x:c r="J872" s="2" t="str">
        <x:v>EV001735</x:v>
      </x:c>
      <x:c r="K872" s="8" t="n">
        <x:v>46302.70833333333</x:v>
      </x:c>
      <x:c r="L872" s="2" t="str">
        <x:v>SCH01</x:v>
      </x:c>
      <x:c r="M872" s="9" t="n">
        <x:v>25.285</x:v>
      </x:c>
      <x:c r="N872" s="9" t="n">
        <x:v>51.51</x:v>
      </x:c>
      <x:c r="O872" s="2" t="str">
        <x:v>Valid</x:v>
      </x:c>
      <x:c r="P872" s="2" t="str">
        <x:v>EV001736</x:v>
      </x:c>
      <x:c r="Q872" s="8" t="n">
        <x:v>46302.72361111111</x:v>
      </x:c>
      <x:c r="R872" s="2" t="str">
        <x:v>R2S1</x:v>
      </x:c>
      <x:c r="S872" s="9" t="n">
        <x:v>25.28</x:v>
      </x:c>
      <x:c r="T872" s="9" t="n">
        <x:v>51.498999999999995</x:v>
      </x:c>
      <x:c r="U872" s="2" t="str">
        <x:v>G071</x:v>
      </x:c>
      <x:c r="V872" s="2" t="str">
        <x:v>Authorized guardian release</x:v>
      </x:c>
      <x:c r="W872" s="2" t="str">
        <x:v>Completed transport</x:v>
      </x:c>
      <x:c r="X872" s="2" t="str">
        <x:v>QR</x:v>
      </x:c>
      <x:c r="Y872" s="2" t="str">
        <x:v>Online</x:v>
      </x:c>
      <x:c r="Z872" s="2" t="str">
        <x:v>Synced</x:v>
      </x:c>
      <x:c r="AA872" s="2"/>
      <x:c r="AB872" s="2"/>
      <x:c r="AC872" s="10" t="n">
        <x:f>IF(OR(K872="",Q872=""),"",ROUND((Q872-K872)*1440,2))</x:f>
        <x:v>22</x:v>
      </x:c>
    </x:row>
    <x:row r="873" ht="21" customHeight="1">
      <x:c r="A873" s="2" t="str">
        <x:v>LN00872</x:v>
      </x:c>
      <x:c r="B873" s="2" t="str">
        <x:v>T20261007-5-2</x:v>
      </x:c>
      <x:c r="C873" s="7" t="n">
        <x:v>46302</x:v>
      </x:c>
      <x:c r="D873" s="2" t="str">
        <x:v>BUS002</x:v>
      </x:c>
      <x:c r="E873" s="2" t="str">
        <x:v>ST072</x:v>
      </x:c>
      <x:c r="F873" s="2" t="n">
        <x:v>2</x:v>
      </x:c>
      <x:c r="G873" s="2" t="str">
        <x:v>Senior</x:v>
      </x:c>
      <x:c r="H873" s="2" t="str">
        <x:v>Drop-off</x:v>
      </x:c>
      <x:c r="I873" s="2" t="str">
        <x:v>R2S2</x:v>
      </x:c>
      <x:c r="J873" s="2" t="str">
        <x:v>EV001737</x:v>
      </x:c>
      <x:c r="K873" s="8" t="n">
        <x:v>46302.70836805555</x:v>
      </x:c>
      <x:c r="L873" s="2" t="str">
        <x:v>SCH01</x:v>
      </x:c>
      <x:c r="M873" s="9" t="n">
        <x:v>25.285</x:v>
      </x:c>
      <x:c r="N873" s="9" t="n">
        <x:v>51.51</x:v>
      </x:c>
      <x:c r="O873" s="2" t="str">
        <x:v>Valid</x:v>
      </x:c>
      <x:c r="P873" s="2" t="str">
        <x:v>EV001738</x:v>
      </x:c>
      <x:c r="Q873" s="8" t="n">
        <x:v>46302.72850694445</x:v>
      </x:c>
      <x:c r="R873" s="2" t="str">
        <x:v>R2S2</x:v>
      </x:c>
      <x:c r="S873" s="9" t="n">
        <x:v>25.282000000000004</x:v>
      </x:c>
      <x:c r="T873" s="9" t="n">
        <x:v>51.501999999999995</x:v>
      </x:c>
      <x:c r="U873" s="2" t="str">
        <x:v>G072</x:v>
      </x:c>
      <x:c r="V873" s="2" t="str">
        <x:v>Authorized guardian release</x:v>
      </x:c>
      <x:c r="W873" s="2" t="str">
        <x:v>Completed transport</x:v>
      </x:c>
      <x:c r="X873" s="2" t="str">
        <x:v>QR</x:v>
      </x:c>
      <x:c r="Y873" s="2" t="str">
        <x:v>Online</x:v>
      </x:c>
      <x:c r="Z873" s="2" t="str">
        <x:v>Synced</x:v>
      </x:c>
      <x:c r="AA873" s="2"/>
      <x:c r="AB873" s="2"/>
      <x:c r="AC873" s="10" t="n">
        <x:f>IF(OR(K873="",Q873=""),"",ROUND((Q873-K873)*1440,2))</x:f>
        <x:v>29</x:v>
      </x:c>
    </x:row>
    <x:row r="874" ht="21" customHeight="1">
      <x:c r="A874" s="2" t="str">
        <x:v>LN00873</x:v>
      </x:c>
      <x:c r="B874" s="2" t="str">
        <x:v>T20261007-5-2</x:v>
      </x:c>
      <x:c r="C874" s="7" t="n">
        <x:v>46302</x:v>
      </x:c>
      <x:c r="D874" s="2" t="str">
        <x:v>BUS002</x:v>
      </x:c>
      <x:c r="E874" s="2" t="str">
        <x:v>ST073</x:v>
      </x:c>
      <x:c r="F874" s="2" t="n">
        <x:v>2</x:v>
      </x:c>
      <x:c r="G874" s="2" t="str">
        <x:v>Senior</x:v>
      </x:c>
      <x:c r="H874" s="2" t="str">
        <x:v>Drop-off</x:v>
      </x:c>
      <x:c r="I874" s="2" t="str">
        <x:v>R2S3</x:v>
      </x:c>
      <x:c r="J874" s="2" t="str">
        <x:v>EV001739</x:v>
      </x:c>
      <x:c r="K874" s="8" t="n">
        <x:v>46302.708402777775</x:v>
      </x:c>
      <x:c r="L874" s="2" t="str">
        <x:v>SCH01</x:v>
      </x:c>
      <x:c r="M874" s="9" t="n">
        <x:v>25.285</x:v>
      </x:c>
      <x:c r="N874" s="9" t="n">
        <x:v>51.51</x:v>
      </x:c>
      <x:c r="O874" s="2" t="str">
        <x:v>Valid</x:v>
      </x:c>
      <x:c r="P874" s="2" t="str">
        <x:v>EV001740</x:v>
      </x:c>
      <x:c r="Q874" s="8" t="n">
        <x:v>46302.73340277778</x:v>
      </x:c>
      <x:c r="R874" s="2" t="str">
        <x:v>R2S3</x:v>
      </x:c>
      <x:c r="S874" s="9" t="n">
        <x:v>25.284000000000002</x:v>
      </x:c>
      <x:c r="T874" s="9" t="n">
        <x:v>51.504999999999995</x:v>
      </x:c>
      <x:c r="U874" s="2" t="str">
        <x:v>G073</x:v>
      </x:c>
      <x:c r="V874" s="2" t="str">
        <x:v>Authorized guardian release</x:v>
      </x:c>
      <x:c r="W874" s="2" t="str">
        <x:v>Completed transport</x:v>
      </x:c>
      <x:c r="X874" s="2" t="str">
        <x:v>QR</x:v>
      </x:c>
      <x:c r="Y874" s="2" t="str">
        <x:v>Online</x:v>
      </x:c>
      <x:c r="Z874" s="2" t="str">
        <x:v>Synced</x:v>
      </x:c>
      <x:c r="AA874" s="2"/>
      <x:c r="AB874" s="2"/>
      <x:c r="AC874" s="10" t="n">
        <x:f>IF(OR(K874="",Q874=""),"",ROUND((Q874-K874)*1440,2))</x:f>
        <x:v>36</x:v>
      </x:c>
    </x:row>
    <x:row r="875" ht="21" customHeight="1">
      <x:c r="A875" s="2" t="str">
        <x:v>LN00874</x:v>
      </x:c>
      <x:c r="B875" s="2" t="str">
        <x:v>T20261007-5-2</x:v>
      </x:c>
      <x:c r="C875" s="7" t="n">
        <x:v>46302</x:v>
      </x:c>
      <x:c r="D875" s="2" t="str">
        <x:v>BUS002</x:v>
      </x:c>
      <x:c r="E875" s="2" t="str">
        <x:v>ST074</x:v>
      </x:c>
      <x:c r="F875" s="2" t="n">
        <x:v>2</x:v>
      </x:c>
      <x:c r="G875" s="2" t="str">
        <x:v>Senior</x:v>
      </x:c>
      <x:c r="H875" s="2" t="str">
        <x:v>Drop-off</x:v>
      </x:c>
      <x:c r="I875" s="2" t="str">
        <x:v>R2S1</x:v>
      </x:c>
      <x:c r="J875" s="2" t="str">
        <x:v>EV001741</x:v>
      </x:c>
      <x:c r="K875" s="8" t="n">
        <x:v>46302.7084375</x:v>
      </x:c>
      <x:c r="L875" s="2" t="str">
        <x:v>SCH01</x:v>
      </x:c>
      <x:c r="M875" s="9" t="n">
        <x:v>25.285</x:v>
      </x:c>
      <x:c r="N875" s="9" t="n">
        <x:v>51.51</x:v>
      </x:c>
      <x:c r="O875" s="2" t="str">
        <x:v>Valid</x:v>
      </x:c>
      <x:c r="P875" s="2" t="str">
        <x:v>EV001742</x:v>
      </x:c>
      <x:c r="Q875" s="8" t="n">
        <x:v>46302.72371527778</x:v>
      </x:c>
      <x:c r="R875" s="2" t="str">
        <x:v>R2S1</x:v>
      </x:c>
      <x:c r="S875" s="9" t="n">
        <x:v>25.28</x:v>
      </x:c>
      <x:c r="T875" s="9" t="n">
        <x:v>51.498999999999995</x:v>
      </x:c>
      <x:c r="U875" s="2" t="str">
        <x:v>G074</x:v>
      </x:c>
      <x:c r="V875" s="2" t="str">
        <x:v>Authorized guardian release</x:v>
      </x:c>
      <x:c r="W875" s="2" t="str">
        <x:v>Completed transport</x:v>
      </x:c>
      <x:c r="X875" s="2" t="str">
        <x:v>QR</x:v>
      </x:c>
      <x:c r="Y875" s="2" t="str">
        <x:v>Online</x:v>
      </x:c>
      <x:c r="Z875" s="2" t="str">
        <x:v>Synced</x:v>
      </x:c>
      <x:c r="AA875" s="2"/>
      <x:c r="AB875" s="2"/>
      <x:c r="AC875" s="10" t="n">
        <x:f>IF(OR(K875="",Q875=""),"",ROUND((Q875-K875)*1440,2))</x:f>
        <x:v>22</x:v>
      </x:c>
    </x:row>
    <x:row r="876" ht="21" customHeight="1">
      <x:c r="A876" s="2" t="str">
        <x:v>LN00875</x:v>
      </x:c>
      <x:c r="B876" s="2" t="str">
        <x:v>T20261007-5-2</x:v>
      </x:c>
      <x:c r="C876" s="7" t="n">
        <x:v>46302</x:v>
      </x:c>
      <x:c r="D876" s="2" t="str">
        <x:v>BUS002</x:v>
      </x:c>
      <x:c r="E876" s="2" t="str">
        <x:v>ST075</x:v>
      </x:c>
      <x:c r="F876" s="2" t="n">
        <x:v>2</x:v>
      </x:c>
      <x:c r="G876" s="2" t="str">
        <x:v>Senior</x:v>
      </x:c>
      <x:c r="H876" s="2" t="str">
        <x:v>Drop-off</x:v>
      </x:c>
      <x:c r="I876" s="2" t="str">
        <x:v>R2S2</x:v>
      </x:c>
      <x:c r="J876" s="2" t="str">
        <x:v>EV001743</x:v>
      </x:c>
      <x:c r="K876" s="8" t="n">
        <x:v>46302.70847222222</x:v>
      </x:c>
      <x:c r="L876" s="2" t="str">
        <x:v>SCH01</x:v>
      </x:c>
      <x:c r="M876" s="9" t="n">
        <x:v>25.285</x:v>
      </x:c>
      <x:c r="N876" s="9" t="n">
        <x:v>51.51</x:v>
      </x:c>
      <x:c r="O876" s="2" t="str">
        <x:v>Valid</x:v>
      </x:c>
      <x:c r="P876" s="2" t="str">
        <x:v>EV001744</x:v>
      </x:c>
      <x:c r="Q876" s="8" t="n">
        <x:v>46302.72861111112</x:v>
      </x:c>
      <x:c r="R876" s="2" t="str">
        <x:v>R2S2</x:v>
      </x:c>
      <x:c r="S876" s="9" t="n">
        <x:v>25.282000000000004</x:v>
      </x:c>
      <x:c r="T876" s="9" t="n">
        <x:v>51.501999999999995</x:v>
      </x:c>
      <x:c r="U876" s="2" t="str">
        <x:v>G075</x:v>
      </x:c>
      <x:c r="V876" s="2" t="str">
        <x:v>Authorized guardian release</x:v>
      </x:c>
      <x:c r="W876" s="2" t="str">
        <x:v>Completed transport</x:v>
      </x:c>
      <x:c r="X876" s="2" t="str">
        <x:v>QR</x:v>
      </x:c>
      <x:c r="Y876" s="2" t="str">
        <x:v>Online</x:v>
      </x:c>
      <x:c r="Z876" s="2" t="str">
        <x:v>Synced</x:v>
      </x:c>
      <x:c r="AA876" s="2"/>
      <x:c r="AB876" s="2"/>
      <x:c r="AC876" s="10" t="n">
        <x:f>IF(OR(K876="",Q876=""),"",ROUND((Q876-K876)*1440,2))</x:f>
        <x:v>29</x:v>
      </x:c>
    </x:row>
    <x:row r="877" ht="21" customHeight="1">
      <x:c r="A877" s="2" t="str">
        <x:v>LN00876</x:v>
      </x:c>
      <x:c r="B877" s="2" t="str">
        <x:v>T20261007-5-2</x:v>
      </x:c>
      <x:c r="C877" s="7" t="n">
        <x:v>46302</x:v>
      </x:c>
      <x:c r="D877" s="2" t="str">
        <x:v>BUS002</x:v>
      </x:c>
      <x:c r="E877" s="2" t="str">
        <x:v>ST076</x:v>
      </x:c>
      <x:c r="F877" s="2" t="n">
        <x:v>2</x:v>
      </x:c>
      <x:c r="G877" s="2" t="str">
        <x:v>Senior</x:v>
      </x:c>
      <x:c r="H877" s="2" t="str">
        <x:v>Drop-off</x:v>
      </x:c>
      <x:c r="I877" s="2" t="str">
        <x:v>R2S3</x:v>
      </x:c>
      <x:c r="J877" s="2" t="str">
        <x:v>EV001745</x:v>
      </x:c>
      <x:c r="K877" s="8" t="n">
        <x:v>46302.70850694444</x:v>
      </x:c>
      <x:c r="L877" s="2" t="str">
        <x:v>SCH01</x:v>
      </x:c>
      <x:c r="M877" s="9" t="n">
        <x:v>25.285</x:v>
      </x:c>
      <x:c r="N877" s="9" t="n">
        <x:v>51.51</x:v>
      </x:c>
      <x:c r="O877" s="2" t="str">
        <x:v>Valid</x:v>
      </x:c>
      <x:c r="P877" s="2" t="str">
        <x:v>EV001746</x:v>
      </x:c>
      <x:c r="Q877" s="8" t="n">
        <x:v>46302.733506944445</x:v>
      </x:c>
      <x:c r="R877" s="2" t="str">
        <x:v>R2S3</x:v>
      </x:c>
      <x:c r="S877" s="9" t="n">
        <x:v>25.284000000000002</x:v>
      </x:c>
      <x:c r="T877" s="9" t="n">
        <x:v>51.504999999999995</x:v>
      </x:c>
      <x:c r="U877" s="2" t="str">
        <x:v>G076</x:v>
      </x:c>
      <x:c r="V877" s="2" t="str">
        <x:v>Authorized guardian release</x:v>
      </x:c>
      <x:c r="W877" s="2" t="str">
        <x:v>Completed transport</x:v>
      </x:c>
      <x:c r="X877" s="2" t="str">
        <x:v>QR</x:v>
      </x:c>
      <x:c r="Y877" s="2" t="str">
        <x:v>Online</x:v>
      </x:c>
      <x:c r="Z877" s="2" t="str">
        <x:v>Synced</x:v>
      </x:c>
      <x:c r="AA877" s="2"/>
      <x:c r="AB877" s="2"/>
      <x:c r="AC877" s="10" t="n">
        <x:f>IF(OR(K877="",Q877=""),"",ROUND((Q877-K877)*1440,2))</x:f>
        <x:v>36</x:v>
      </x:c>
    </x:row>
    <x:row r="878" ht="21" customHeight="1">
      <x:c r="A878" s="2" t="str">
        <x:v>LN00877</x:v>
      </x:c>
      <x:c r="B878" s="2" t="str">
        <x:v>T20261007-5-2</x:v>
      </x:c>
      <x:c r="C878" s="7" t="n">
        <x:v>46302</x:v>
      </x:c>
      <x:c r="D878" s="2" t="str">
        <x:v>BUS002</x:v>
      </x:c>
      <x:c r="E878" s="2" t="str">
        <x:v>ST077</x:v>
      </x:c>
      <x:c r="F878" s="2" t="n">
        <x:v>2</x:v>
      </x:c>
      <x:c r="G878" s="2" t="str">
        <x:v>Senior</x:v>
      </x:c>
      <x:c r="H878" s="2" t="str">
        <x:v>Drop-off</x:v>
      </x:c>
      <x:c r="I878" s="2" t="str">
        <x:v>R2S1</x:v>
      </x:c>
      <x:c r="J878" s="2" t="str">
        <x:v>EV001747</x:v>
      </x:c>
      <x:c r="K878" s="8" t="n">
        <x:v>46302.70854166666</x:v>
      </x:c>
      <x:c r="L878" s="2" t="str">
        <x:v>SCH01</x:v>
      </x:c>
      <x:c r="M878" s="9" t="n">
        <x:v>25.285</x:v>
      </x:c>
      <x:c r="N878" s="9" t="n">
        <x:v>51.51</x:v>
      </x:c>
      <x:c r="O878" s="2" t="str">
        <x:v>Valid</x:v>
      </x:c>
      <x:c r="P878" s="2" t="str">
        <x:v>EV001748</x:v>
      </x:c>
      <x:c r="Q878" s="8" t="n">
        <x:v>46302.72381944444</x:v>
      </x:c>
      <x:c r="R878" s="2" t="str">
        <x:v>R2S1</x:v>
      </x:c>
      <x:c r="S878" s="9" t="n">
        <x:v>25.28</x:v>
      </x:c>
      <x:c r="T878" s="9" t="n">
        <x:v>51.498999999999995</x:v>
      </x:c>
      <x:c r="U878" s="2" t="str">
        <x:v>G077</x:v>
      </x:c>
      <x:c r="V878" s="2" t="str">
        <x:v>Authorized guardian release</x:v>
      </x:c>
      <x:c r="W878" s="2" t="str">
        <x:v>Completed transport</x:v>
      </x:c>
      <x:c r="X878" s="2" t="str">
        <x:v>QR</x:v>
      </x:c>
      <x:c r="Y878" s="2" t="str">
        <x:v>Online</x:v>
      </x:c>
      <x:c r="Z878" s="2" t="str">
        <x:v>Synced</x:v>
      </x:c>
      <x:c r="AA878" s="2"/>
      <x:c r="AB878" s="2"/>
      <x:c r="AC878" s="10" t="n">
        <x:f>IF(OR(K878="",Q878=""),"",ROUND((Q878-K878)*1440,2))</x:f>
        <x:v>22</x:v>
      </x:c>
    </x:row>
    <x:row r="879" ht="21" customHeight="1">
      <x:c r="A879" s="2" t="str">
        <x:v>LN00878</x:v>
      </x:c>
      <x:c r="B879" s="2" t="str">
        <x:v>T20261007-5-2</x:v>
      </x:c>
      <x:c r="C879" s="7" t="n">
        <x:v>46302</x:v>
      </x:c>
      <x:c r="D879" s="2" t="str">
        <x:v>BUS002</x:v>
      </x:c>
      <x:c r="E879" s="2" t="str">
        <x:v>ST078</x:v>
      </x:c>
      <x:c r="F879" s="2" t="n">
        <x:v>2</x:v>
      </x:c>
      <x:c r="G879" s="2" t="str">
        <x:v>Senior</x:v>
      </x:c>
      <x:c r="H879" s="2" t="str">
        <x:v>Drop-off</x:v>
      </x:c>
      <x:c r="I879" s="2" t="str">
        <x:v>R2S2</x:v>
      </x:c>
      <x:c r="J879" s="2" t="str">
        <x:v>EV001749</x:v>
      </x:c>
      <x:c r="K879" s="8" t="n">
        <x:v>46302.70857638888</x:v>
      </x:c>
      <x:c r="L879" s="2" t="str">
        <x:v>SCH01</x:v>
      </x:c>
      <x:c r="M879" s="9" t="n">
        <x:v>25.285</x:v>
      </x:c>
      <x:c r="N879" s="9" t="n">
        <x:v>51.51</x:v>
      </x:c>
      <x:c r="O879" s="2" t="str">
        <x:v>Valid</x:v>
      </x:c>
      <x:c r="P879" s="2" t="str">
        <x:v>EV001750</x:v>
      </x:c>
      <x:c r="Q879" s="8" t="n">
        <x:v>46302.72871527778</x:v>
      </x:c>
      <x:c r="R879" s="2" t="str">
        <x:v>R2S2</x:v>
      </x:c>
      <x:c r="S879" s="9" t="n">
        <x:v>25.282000000000004</x:v>
      </x:c>
      <x:c r="T879" s="9" t="n">
        <x:v>51.501999999999995</x:v>
      </x:c>
      <x:c r="U879" s="2" t="str">
        <x:v>G078</x:v>
      </x:c>
      <x:c r="V879" s="2" t="str">
        <x:v>Authorized guardian release</x:v>
      </x:c>
      <x:c r="W879" s="2" t="str">
        <x:v>Completed transport</x:v>
      </x:c>
      <x:c r="X879" s="2" t="str">
        <x:v>QR</x:v>
      </x:c>
      <x:c r="Y879" s="2" t="str">
        <x:v>Online</x:v>
      </x:c>
      <x:c r="Z879" s="2" t="str">
        <x:v>Synced</x:v>
      </x:c>
      <x:c r="AA879" s="2"/>
      <x:c r="AB879" s="2"/>
      <x:c r="AC879" s="10" t="n">
        <x:f>IF(OR(K879="",Q879=""),"",ROUND((Q879-K879)*1440,2))</x:f>
        <x:v>29</x:v>
      </x:c>
    </x:row>
    <x:row r="880" ht="21" customHeight="1">
      <x:c r="A880" s="2" t="str">
        <x:v>LN00879</x:v>
      </x:c>
      <x:c r="B880" s="2" t="str">
        <x:v>T20261007-5-2</x:v>
      </x:c>
      <x:c r="C880" s="7" t="n">
        <x:v>46302</x:v>
      </x:c>
      <x:c r="D880" s="2" t="str">
        <x:v>BUS002</x:v>
      </x:c>
      <x:c r="E880" s="2" t="str">
        <x:v>ST079</x:v>
      </x:c>
      <x:c r="F880" s="2" t="n">
        <x:v>2</x:v>
      </x:c>
      <x:c r="G880" s="2" t="str">
        <x:v>Senior</x:v>
      </x:c>
      <x:c r="H880" s="2" t="str">
        <x:v>Drop-off</x:v>
      </x:c>
      <x:c r="I880" s="2" t="str">
        <x:v>R2S3</x:v>
      </x:c>
      <x:c r="J880" s="2" t="str">
        <x:v>EV001751</x:v>
      </x:c>
      <x:c r="K880" s="8" t="n">
        <x:v>46302.708611111106</x:v>
      </x:c>
      <x:c r="L880" s="2" t="str">
        <x:v>SCH01</x:v>
      </x:c>
      <x:c r="M880" s="9" t="n">
        <x:v>25.285</x:v>
      </x:c>
      <x:c r="N880" s="9" t="n">
        <x:v>51.51</x:v>
      </x:c>
      <x:c r="O880" s="2" t="str">
        <x:v>Valid</x:v>
      </x:c>
      <x:c r="P880" s="2" t="str">
        <x:v>EV001752</x:v>
      </x:c>
      <x:c r="Q880" s="8" t="n">
        <x:v>46302.733611111114</x:v>
      </x:c>
      <x:c r="R880" s="2" t="str">
        <x:v>R2S3</x:v>
      </x:c>
      <x:c r="S880" s="9" t="n">
        <x:v>25.284000000000002</x:v>
      </x:c>
      <x:c r="T880" s="9" t="n">
        <x:v>51.504999999999995</x:v>
      </x:c>
      <x:c r="U880" s="2" t="str">
        <x:v>G079</x:v>
      </x:c>
      <x:c r="V880" s="2" t="str">
        <x:v>Authorized guardian release</x:v>
      </x:c>
      <x:c r="W880" s="2" t="str">
        <x:v>Completed transport</x:v>
      </x:c>
      <x:c r="X880" s="2" t="str">
        <x:v>QR</x:v>
      </x:c>
      <x:c r="Y880" s="2" t="str">
        <x:v>Online</x:v>
      </x:c>
      <x:c r="Z880" s="2" t="str">
        <x:v>Synced</x:v>
      </x:c>
      <x:c r="AA880" s="2"/>
      <x:c r="AB880" s="2"/>
      <x:c r="AC880" s="10" t="n">
        <x:f>IF(OR(K880="",Q880=""),"",ROUND((Q880-K880)*1440,2))</x:f>
        <x:v>36</x:v>
      </x:c>
    </x:row>
    <x:row r="881" ht="21" customHeight="1">
      <x:c r="A881" s="2" t="str">
        <x:v>LN00880</x:v>
      </x:c>
      <x:c r="B881" s="2" t="str">
        <x:v>T20261007-5-2</x:v>
      </x:c>
      <x:c r="C881" s="7" t="n">
        <x:v>46302</x:v>
      </x:c>
      <x:c r="D881" s="2" t="str">
        <x:v>BUS002</x:v>
      </x:c>
      <x:c r="E881" s="2" t="str">
        <x:v>ST080</x:v>
      </x:c>
      <x:c r="F881" s="2" t="n">
        <x:v>2</x:v>
      </x:c>
      <x:c r="G881" s="2" t="str">
        <x:v>Senior</x:v>
      </x:c>
      <x:c r="H881" s="2" t="str">
        <x:v>Drop-off</x:v>
      </x:c>
      <x:c r="I881" s="2" t="str">
        <x:v>R2S1</x:v>
      </x:c>
      <x:c r="J881" s="2" t="str">
        <x:v>EV001753</x:v>
      </x:c>
      <x:c r="K881" s="8" t="n">
        <x:v>46302.70864583333</x:v>
      </x:c>
      <x:c r="L881" s="2" t="str">
        <x:v>SCH01</x:v>
      </x:c>
      <x:c r="M881" s="9" t="n">
        <x:v>25.285</x:v>
      </x:c>
      <x:c r="N881" s="9" t="n">
        <x:v>51.51</x:v>
      </x:c>
      <x:c r="O881" s="2" t="str">
        <x:v>Valid</x:v>
      </x:c>
      <x:c r="P881" s="2" t="str">
        <x:v>EV001754</x:v>
      </x:c>
      <x:c r="Q881" s="8" t="n">
        <x:v>46302.72392361111</x:v>
      </x:c>
      <x:c r="R881" s="2" t="str">
        <x:v>R2S1</x:v>
      </x:c>
      <x:c r="S881" s="9" t="n">
        <x:v>25.28</x:v>
      </x:c>
      <x:c r="T881" s="9" t="n">
        <x:v>51.498999999999995</x:v>
      </x:c>
      <x:c r="U881" s="2" t="str">
        <x:v>G080</x:v>
      </x:c>
      <x:c r="V881" s="2" t="str">
        <x:v>Authorized guardian release</x:v>
      </x:c>
      <x:c r="W881" s="2" t="str">
        <x:v>Completed transport</x:v>
      </x:c>
      <x:c r="X881" s="2" t="str">
        <x:v>QR</x:v>
      </x:c>
      <x:c r="Y881" s="2" t="str">
        <x:v>Online</x:v>
      </x:c>
      <x:c r="Z881" s="2" t="str">
        <x:v>Synced</x:v>
      </x:c>
      <x:c r="AA881" s="2"/>
      <x:c r="AB881" s="2"/>
      <x:c r="AC881" s="10" t="n">
        <x:f>IF(OR(K881="",Q881=""),"",ROUND((Q881-K881)*1440,2))</x:f>
        <x:v>22</x:v>
      </x:c>
    </x:row>
    <x:row r="882" ht="21" customHeight="1">
      <x:c r="A882" s="2" t="str">
        <x:v>LN00881</x:v>
      </x:c>
      <x:c r="B882" s="2" t="str">
        <x:v>T20261007-1-3</x:v>
      </x:c>
      <x:c r="C882" s="7" t="n">
        <x:v>46302</x:v>
      </x:c>
      <x:c r="D882" s="2" t="str">
        <x:v>BUS003</x:v>
      </x:c>
      <x:c r="E882" s="2" t="str">
        <x:v>ST081</x:v>
      </x:c>
      <x:c r="F882" s="2" t="n">
        <x:v>1</x:v>
      </x:c>
      <x:c r="G882" s="2" t="str">
        <x:v>Junior</x:v>
      </x:c>
      <x:c r="H882" s="2" t="str">
        <x:v>Pickup</x:v>
      </x:c>
      <x:c r="I882" s="2" t="str">
        <x:v>R3S1</x:v>
      </x:c>
      <x:c r="J882" s="2" t="str">
        <x:v>EV001755</x:v>
      </x:c>
      <x:c r="K882" s="8" t="n">
        <x:v>46302.242361111115</x:v>
      </x:c>
      <x:c r="L882" s="2" t="str">
        <x:v>R3S1</x:v>
      </x:c>
      <x:c r="M882" s="9" t="n">
        <x:v>25.289</x:v>
      </x:c>
      <x:c r="N882" s="9" t="n">
        <x:v>51.507</x:v>
      </x:c>
      <x:c r="O882" s="2" t="str">
        <x:v>Valid</x:v>
      </x:c>
      <x:c r="P882" s="2" t="str">
        <x:v>EV001756</x:v>
      </x:c>
      <x:c r="Q882" s="8" t="n">
        <x:v>46302.27638888889</x:v>
      </x:c>
      <x:c r="R882" s="2" t="str">
        <x:v>SCH01</x:v>
      </x:c>
      <x:c r="S882" s="9" t="n">
        <x:v>25.285</x:v>
      </x:c>
      <x:c r="T882" s="9" t="n">
        <x:v>51.51</x:v>
      </x:c>
      <x:c r="U882" s="2" t="str">
        <x:v>SCHOOL_RECEIVER_01</x:v>
      </x:c>
      <x:c r="V882" s="2" t="str">
        <x:v>School staff receipt</x:v>
      </x:c>
      <x:c r="W882" s="2" t="str">
        <x:v>Completed transport</x:v>
      </x:c>
      <x:c r="X882" s="2" t="str">
        <x:v>QR</x:v>
      </x:c>
      <x:c r="Y882" s="2" t="str">
        <x:v>Online</x:v>
      </x:c>
      <x:c r="Z882" s="2" t="str">
        <x:v>Synced</x:v>
      </x:c>
      <x:c r="AA882" s="2"/>
      <x:c r="AB882" s="2"/>
      <x:c r="AC882" s="10" t="n">
        <x:f>IF(OR(K882="",Q882=""),"",ROUND((Q882-K882)*1440,2))</x:f>
        <x:v>49</x:v>
      </x:c>
    </x:row>
    <x:row r="883" ht="21" customHeight="1">
      <x:c r="A883" s="2" t="str">
        <x:v>LN00882</x:v>
      </x:c>
      <x:c r="B883" s="2" t="str">
        <x:v>T20261007-1-3</x:v>
      </x:c>
      <x:c r="C883" s="7" t="n">
        <x:v>46302</x:v>
      </x:c>
      <x:c r="D883" s="2" t="str">
        <x:v>BUS003</x:v>
      </x:c>
      <x:c r="E883" s="2" t="str">
        <x:v>ST082</x:v>
      </x:c>
      <x:c r="F883" s="2" t="n">
        <x:v>1</x:v>
      </x:c>
      <x:c r="G883" s="2" t="str">
        <x:v>Junior</x:v>
      </x:c>
      <x:c r="H883" s="2" t="str">
        <x:v>Pickup</x:v>
      </x:c>
      <x:c r="I883" s="2" t="str">
        <x:v>R3S2</x:v>
      </x:c>
      <x:c r="J883" s="2" t="str">
        <x:v>EV001757</x:v>
      </x:c>
      <x:c r="K883" s="8" t="n">
        <x:v>46302.24725694444</x:v>
      </x:c>
      <x:c r="L883" s="2" t="str">
        <x:v>R3S2</x:v>
      </x:c>
      <x:c r="M883" s="9" t="n">
        <x:v>25.291000000000004</x:v>
      </x:c>
      <x:c r="N883" s="9" t="n">
        <x:v>51.51</x:v>
      </x:c>
      <x:c r="O883" s="2" t="str">
        <x:v>Valid</x:v>
      </x:c>
      <x:c r="P883" s="2" t="str">
        <x:v>EV001758</x:v>
      </x:c>
      <x:c r="Q883" s="8" t="n">
        <x:v>46302.27642361111</x:v>
      </x:c>
      <x:c r="R883" s="2" t="str">
        <x:v>SCH01</x:v>
      </x:c>
      <x:c r="S883" s="9" t="n">
        <x:v>25.285</x:v>
      </x:c>
      <x:c r="T883" s="9" t="n">
        <x:v>51.51</x:v>
      </x:c>
      <x:c r="U883" s="2" t="str">
        <x:v>SCHOOL_RECEIVER_01</x:v>
      </x:c>
      <x:c r="V883" s="2" t="str">
        <x:v>School staff receipt</x:v>
      </x:c>
      <x:c r="W883" s="2" t="str">
        <x:v>Completed transport</x:v>
      </x:c>
      <x:c r="X883" s="2" t="str">
        <x:v>QR</x:v>
      </x:c>
      <x:c r="Y883" s="2" t="str">
        <x:v>Online</x:v>
      </x:c>
      <x:c r="Z883" s="2" t="str">
        <x:v>Synced</x:v>
      </x:c>
      <x:c r="AA883" s="2"/>
      <x:c r="AB883" s="2"/>
      <x:c r="AC883" s="10" t="n">
        <x:f>IF(OR(K883="",Q883=""),"",ROUND((Q883-K883)*1440,2))</x:f>
        <x:v>42</x:v>
      </x:c>
    </x:row>
    <x:row r="884" ht="21" customHeight="1">
      <x:c r="A884" s="2" t="str">
        <x:v>LN00883</x:v>
      </x:c>
      <x:c r="B884" s="2" t="str">
        <x:v>T20261007-1-3</x:v>
      </x:c>
      <x:c r="C884" s="7" t="n">
        <x:v>46302</x:v>
      </x:c>
      <x:c r="D884" s="2" t="str">
        <x:v>BUS003</x:v>
      </x:c>
      <x:c r="E884" s="2" t="str">
        <x:v>ST083</x:v>
      </x:c>
      <x:c r="F884" s="2" t="n">
        <x:v>1</x:v>
      </x:c>
      <x:c r="G884" s="2" t="str">
        <x:v>Junior</x:v>
      </x:c>
      <x:c r="H884" s="2" t="str">
        <x:v>Pickup</x:v>
      </x:c>
      <x:c r="I884" s="2" t="str">
        <x:v>R3S3</x:v>
      </x:c>
      <x:c r="J884" s="2" t="str">
        <x:v>EV001759</x:v>
      </x:c>
      <x:c r="K884" s="8" t="n">
        <x:v>46302.25215277778</x:v>
      </x:c>
      <x:c r="L884" s="2" t="str">
        <x:v>R3S3</x:v>
      </x:c>
      <x:c r="M884" s="9" t="n">
        <x:v>25.293000000000003</x:v>
      </x:c>
      <x:c r="N884" s="9" t="n">
        <x:v>51.513</x:v>
      </x:c>
      <x:c r="O884" s="2" t="str">
        <x:v>Valid</x:v>
      </x:c>
      <x:c r="P884" s="2" t="str">
        <x:v>EV001760</x:v>
      </x:c>
      <x:c r="Q884" s="8" t="n">
        <x:v>46302.276458333334</x:v>
      </x:c>
      <x:c r="R884" s="2" t="str">
        <x:v>SCH01</x:v>
      </x:c>
      <x:c r="S884" s="9" t="n">
        <x:v>25.285</x:v>
      </x:c>
      <x:c r="T884" s="9" t="n">
        <x:v>51.51</x:v>
      </x:c>
      <x:c r="U884" s="2" t="str">
        <x:v>SCHOOL_RECEIVER_01</x:v>
      </x:c>
      <x:c r="V884" s="2" t="str">
        <x:v>School staff receipt</x:v>
      </x:c>
      <x:c r="W884" s="2" t="str">
        <x:v>Completed transport</x:v>
      </x:c>
      <x:c r="X884" s="2" t="str">
        <x:v>QR</x:v>
      </x:c>
      <x:c r="Y884" s="2" t="str">
        <x:v>Online</x:v>
      </x:c>
      <x:c r="Z884" s="2" t="str">
        <x:v>Synced</x:v>
      </x:c>
      <x:c r="AA884" s="2"/>
      <x:c r="AB884" s="2"/>
      <x:c r="AC884" s="10" t="n">
        <x:f>IF(OR(K884="",Q884=""),"",ROUND((Q884-K884)*1440,2))</x:f>
        <x:v>35</x:v>
      </x:c>
    </x:row>
    <x:row r="885" ht="21" customHeight="1">
      <x:c r="A885" s="2" t="str">
        <x:v>LN00884</x:v>
      </x:c>
      <x:c r="B885" s="2" t="str">
        <x:v>T20261007-1-3</x:v>
      </x:c>
      <x:c r="C885" s="7" t="n">
        <x:v>46302</x:v>
      </x:c>
      <x:c r="D885" s="2" t="str">
        <x:v>BUS003</x:v>
      </x:c>
      <x:c r="E885" s="2" t="str">
        <x:v>ST084</x:v>
      </x:c>
      <x:c r="F885" s="2" t="n">
        <x:v>1</x:v>
      </x:c>
      <x:c r="G885" s="2" t="str">
        <x:v>Junior</x:v>
      </x:c>
      <x:c r="H885" s="2" t="str">
        <x:v>Pickup</x:v>
      </x:c>
      <x:c r="I885" s="2" t="str">
        <x:v>R3S1</x:v>
      </x:c>
      <x:c r="J885" s="2" t="str">
        <x:v>EV001761</x:v>
      </x:c>
      <x:c r="K885" s="8" t="n">
        <x:v>46302.242465277785</x:v>
      </x:c>
      <x:c r="L885" s="2" t="str">
        <x:v>R3S1</x:v>
      </x:c>
      <x:c r="M885" s="9" t="n">
        <x:v>25.289</x:v>
      </x:c>
      <x:c r="N885" s="9" t="n">
        <x:v>51.507</x:v>
      </x:c>
      <x:c r="O885" s="2" t="str">
        <x:v>Valid</x:v>
      </x:c>
      <x:c r="P885" s="2" t="str">
        <x:v>EV001762</x:v>
      </x:c>
      <x:c r="Q885" s="8" t="n">
        <x:v>46302.27649305556</x:v>
      </x:c>
      <x:c r="R885" s="2" t="str">
        <x:v>SCH01</x:v>
      </x:c>
      <x:c r="S885" s="9" t="n">
        <x:v>25.285</x:v>
      </x:c>
      <x:c r="T885" s="9" t="n">
        <x:v>51.51</x:v>
      </x:c>
      <x:c r="U885" s="2" t="str">
        <x:v>SCHOOL_RECEIVER_01</x:v>
      </x:c>
      <x:c r="V885" s="2" t="str">
        <x:v>School staff receipt</x:v>
      </x:c>
      <x:c r="W885" s="2" t="str">
        <x:v>Completed transport</x:v>
      </x:c>
      <x:c r="X885" s="2" t="str">
        <x:v>QR</x:v>
      </x:c>
      <x:c r="Y885" s="2" t="str">
        <x:v>Online</x:v>
      </x:c>
      <x:c r="Z885" s="2" t="str">
        <x:v>Synced</x:v>
      </x:c>
      <x:c r="AA885" s="2"/>
      <x:c r="AB885" s="2"/>
      <x:c r="AC885" s="10" t="n">
        <x:f>IF(OR(K885="",Q885=""),"",ROUND((Q885-K885)*1440,2))</x:f>
        <x:v>49</x:v>
      </x:c>
    </x:row>
    <x:row r="886" ht="21" customHeight="1">
      <x:c r="A886" s="2" t="str">
        <x:v>LN00885</x:v>
      </x:c>
      <x:c r="B886" s="2" t="str">
        <x:v>T20261007-1-3</x:v>
      </x:c>
      <x:c r="C886" s="7" t="n">
        <x:v>46302</x:v>
      </x:c>
      <x:c r="D886" s="2" t="str">
        <x:v>BUS003</x:v>
      </x:c>
      <x:c r="E886" s="2" t="str">
        <x:v>ST085</x:v>
      </x:c>
      <x:c r="F886" s="2" t="n">
        <x:v>1</x:v>
      </x:c>
      <x:c r="G886" s="2" t="str">
        <x:v>Junior</x:v>
      </x:c>
      <x:c r="H886" s="2" t="str">
        <x:v>Pickup</x:v>
      </x:c>
      <x:c r="I886" s="2" t="str">
        <x:v>R3S2</x:v>
      </x:c>
      <x:c r="J886" s="2" t="str">
        <x:v>EV001763</x:v>
      </x:c>
      <x:c r="K886" s="8" t="n">
        <x:v>46302.24736111111</x:v>
      </x:c>
      <x:c r="L886" s="2" t="str">
        <x:v>R3S2</x:v>
      </x:c>
      <x:c r="M886" s="9" t="n">
        <x:v>25.291000000000004</x:v>
      </x:c>
      <x:c r="N886" s="9" t="n">
        <x:v>51.51</x:v>
      </x:c>
      <x:c r="O886" s="2" t="str">
        <x:v>Valid</x:v>
      </x:c>
      <x:c r="P886" s="2" t="str">
        <x:v>EV001764</x:v>
      </x:c>
      <x:c r="Q886" s="8" t="n">
        <x:v>46302.27652777778</x:v>
      </x:c>
      <x:c r="R886" s="2" t="str">
        <x:v>SCH01</x:v>
      </x:c>
      <x:c r="S886" s="9" t="n">
        <x:v>25.285</x:v>
      </x:c>
      <x:c r="T886" s="9" t="n">
        <x:v>51.51</x:v>
      </x:c>
      <x:c r="U886" s="2" t="str">
        <x:v>SCHOOL_RECEIVER_01</x:v>
      </x:c>
      <x:c r="V886" s="2" t="str">
        <x:v>School staff receipt</x:v>
      </x:c>
      <x:c r="W886" s="2" t="str">
        <x:v>Completed transport</x:v>
      </x:c>
      <x:c r="X886" s="2" t="str">
        <x:v>QR</x:v>
      </x:c>
      <x:c r="Y886" s="2" t="str">
        <x:v>Online</x:v>
      </x:c>
      <x:c r="Z886" s="2" t="str">
        <x:v>Synced</x:v>
      </x:c>
      <x:c r="AA886" s="2"/>
      <x:c r="AB886" s="2"/>
      <x:c r="AC886" s="10" t="n">
        <x:f>IF(OR(K886="",Q886=""),"",ROUND((Q886-K886)*1440,2))</x:f>
        <x:v>42</x:v>
      </x:c>
    </x:row>
    <x:row r="887" ht="21" customHeight="1">
      <x:c r="A887" s="2" t="str">
        <x:v>LN00886</x:v>
      </x:c>
      <x:c r="B887" s="2" t="str">
        <x:v>T20261007-1-3</x:v>
      </x:c>
      <x:c r="C887" s="7" t="n">
        <x:v>46302</x:v>
      </x:c>
      <x:c r="D887" s="2" t="str">
        <x:v>BUS003</x:v>
      </x:c>
      <x:c r="E887" s="2" t="str">
        <x:v>ST086</x:v>
      </x:c>
      <x:c r="F887" s="2" t="n">
        <x:v>1</x:v>
      </x:c>
      <x:c r="G887" s="2" t="str">
        <x:v>Junior</x:v>
      </x:c>
      <x:c r="H887" s="2" t="str">
        <x:v>Pickup</x:v>
      </x:c>
      <x:c r="I887" s="2" t="str">
        <x:v>R3S3</x:v>
      </x:c>
      <x:c r="J887" s="2" t="str">
        <x:v>EV001765</x:v>
      </x:c>
      <x:c r="K887" s="8" t="n">
        <x:v>46302.25225694444</x:v>
      </x:c>
      <x:c r="L887" s="2" t="str">
        <x:v>R3S3</x:v>
      </x:c>
      <x:c r="M887" s="9" t="n">
        <x:v>25.293000000000003</x:v>
      </x:c>
      <x:c r="N887" s="9" t="n">
        <x:v>51.513</x:v>
      </x:c>
      <x:c r="O887" s="2" t="str">
        <x:v>Valid</x:v>
      </x:c>
      <x:c r="P887" s="2" t="str">
        <x:v>EV001766</x:v>
      </x:c>
      <x:c r="Q887" s="8" t="n">
        <x:v>46302.276562499996</x:v>
      </x:c>
      <x:c r="R887" s="2" t="str">
        <x:v>SCH01</x:v>
      </x:c>
      <x:c r="S887" s="9" t="n">
        <x:v>25.285</x:v>
      </x:c>
      <x:c r="T887" s="9" t="n">
        <x:v>51.51</x:v>
      </x:c>
      <x:c r="U887" s="2" t="str">
        <x:v>SCHOOL_RECEIVER_01</x:v>
      </x:c>
      <x:c r="V887" s="2" t="str">
        <x:v>School staff receipt</x:v>
      </x:c>
      <x:c r="W887" s="2" t="str">
        <x:v>Completed transport</x:v>
      </x:c>
      <x:c r="X887" s="2" t="str">
        <x:v>QR</x:v>
      </x:c>
      <x:c r="Y887" s="2" t="str">
        <x:v>Online</x:v>
      </x:c>
      <x:c r="Z887" s="2" t="str">
        <x:v>Synced</x:v>
      </x:c>
      <x:c r="AA887" s="2"/>
      <x:c r="AB887" s="2"/>
      <x:c r="AC887" s="10" t="n">
        <x:f>IF(OR(K887="",Q887=""),"",ROUND((Q887-K887)*1440,2))</x:f>
        <x:v>35</x:v>
      </x:c>
    </x:row>
    <x:row r="888" ht="21" customHeight="1">
      <x:c r="A888" s="2" t="str">
        <x:v>LN00887</x:v>
      </x:c>
      <x:c r="B888" s="2" t="str">
        <x:v>T20261007-1-3</x:v>
      </x:c>
      <x:c r="C888" s="7" t="n">
        <x:v>46302</x:v>
      </x:c>
      <x:c r="D888" s="2" t="str">
        <x:v>BUS003</x:v>
      </x:c>
      <x:c r="E888" s="2" t="str">
        <x:v>ST087</x:v>
      </x:c>
      <x:c r="F888" s="2" t="n">
        <x:v>1</x:v>
      </x:c>
      <x:c r="G888" s="2" t="str">
        <x:v>Junior</x:v>
      </x:c>
      <x:c r="H888" s="2" t="str">
        <x:v>Pickup</x:v>
      </x:c>
      <x:c r="I888" s="2" t="str">
        <x:v>R3S1</x:v>
      </x:c>
      <x:c r="J888" s="2" t="str">
        <x:v>EV001767</x:v>
      </x:c>
      <x:c r="K888" s="8" t="n">
        <x:v>46302.24256944445</x:v>
      </x:c>
      <x:c r="L888" s="2" t="str">
        <x:v>R3S1</x:v>
      </x:c>
      <x:c r="M888" s="9" t="n">
        <x:v>25.289</x:v>
      </x:c>
      <x:c r="N888" s="9" t="n">
        <x:v>51.507</x:v>
      </x:c>
      <x:c r="O888" s="2" t="str">
        <x:v>Valid</x:v>
      </x:c>
      <x:c r="P888" s="2" t="str">
        <x:v>EV001768</x:v>
      </x:c>
      <x:c r="Q888" s="8" t="n">
        <x:v>46302.27659722222</x:v>
      </x:c>
      <x:c r="R888" s="2" t="str">
        <x:v>SCH01</x:v>
      </x:c>
      <x:c r="S888" s="9" t="n">
        <x:v>25.285</x:v>
      </x:c>
      <x:c r="T888" s="9" t="n">
        <x:v>51.51</x:v>
      </x:c>
      <x:c r="U888" s="2" t="str">
        <x:v>SCHOOL_RECEIVER_01</x:v>
      </x:c>
      <x:c r="V888" s="2" t="str">
        <x:v>School staff receipt</x:v>
      </x:c>
      <x:c r="W888" s="2" t="str">
        <x:v>Completed transport</x:v>
      </x:c>
      <x:c r="X888" s="2" t="str">
        <x:v>QR</x:v>
      </x:c>
      <x:c r="Y888" s="2" t="str">
        <x:v>Online</x:v>
      </x:c>
      <x:c r="Z888" s="2" t="str">
        <x:v>Synced</x:v>
      </x:c>
      <x:c r="AA888" s="2"/>
      <x:c r="AB888" s="2"/>
      <x:c r="AC888" s="10" t="n">
        <x:f>IF(OR(K888="",Q888=""),"",ROUND((Q888-K888)*1440,2))</x:f>
        <x:v>49</x:v>
      </x:c>
    </x:row>
    <x:row r="889" ht="21" customHeight="1">
      <x:c r="A889" s="2" t="str">
        <x:v>LN00888</x:v>
      </x:c>
      <x:c r="B889" s="2" t="str">
        <x:v>T20261007-1-3</x:v>
      </x:c>
      <x:c r="C889" s="7" t="n">
        <x:v>46302</x:v>
      </x:c>
      <x:c r="D889" s="2" t="str">
        <x:v>BUS003</x:v>
      </x:c>
      <x:c r="E889" s="2" t="str">
        <x:v>ST088</x:v>
      </x:c>
      <x:c r="F889" s="2" t="n">
        <x:v>1</x:v>
      </x:c>
      <x:c r="G889" s="2" t="str">
        <x:v>Junior</x:v>
      </x:c>
      <x:c r="H889" s="2" t="str">
        <x:v>Pickup</x:v>
      </x:c>
      <x:c r="I889" s="2" t="str">
        <x:v>R3S2</x:v>
      </x:c>
      <x:c r="J889" s="2" t="str">
        <x:v>EV001769</x:v>
      </x:c>
      <x:c r="K889" s="8" t="n">
        <x:v>46302.247465277775</x:v>
      </x:c>
      <x:c r="L889" s="2" t="str">
        <x:v>R3S2</x:v>
      </x:c>
      <x:c r="M889" s="9" t="n">
        <x:v>25.291000000000004</x:v>
      </x:c>
      <x:c r="N889" s="9" t="n">
        <x:v>51.51</x:v>
      </x:c>
      <x:c r="O889" s="2" t="str">
        <x:v>Valid</x:v>
      </x:c>
      <x:c r="P889" s="2" t="str">
        <x:v>EV001770</x:v>
      </x:c>
      <x:c r="Q889" s="8" t="n">
        <x:v>46302.27663194444</x:v>
      </x:c>
      <x:c r="R889" s="2" t="str">
        <x:v>SCH01</x:v>
      </x:c>
      <x:c r="S889" s="9" t="n">
        <x:v>25.285</x:v>
      </x:c>
      <x:c r="T889" s="9" t="n">
        <x:v>51.51</x:v>
      </x:c>
      <x:c r="U889" s="2" t="str">
        <x:v>SCHOOL_RECEIVER_01</x:v>
      </x:c>
      <x:c r="V889" s="2" t="str">
        <x:v>School staff receipt</x:v>
      </x:c>
      <x:c r="W889" s="2" t="str">
        <x:v>Completed transport</x:v>
      </x:c>
      <x:c r="X889" s="2" t="str">
        <x:v>QR</x:v>
      </x:c>
      <x:c r="Y889" s="2" t="str">
        <x:v>Online</x:v>
      </x:c>
      <x:c r="Z889" s="2" t="str">
        <x:v>Synced</x:v>
      </x:c>
      <x:c r="AA889" s="2"/>
      <x:c r="AB889" s="2"/>
      <x:c r="AC889" s="10" t="n">
        <x:f>IF(OR(K889="",Q889=""),"",ROUND((Q889-K889)*1440,2))</x:f>
        <x:v>42</x:v>
      </x:c>
    </x:row>
    <x:row r="890" ht="21" customHeight="1">
      <x:c r="A890" s="2" t="str">
        <x:v>LN00889</x:v>
      </x:c>
      <x:c r="B890" s="2" t="str">
        <x:v>T20261007-1-3</x:v>
      </x:c>
      <x:c r="C890" s="7" t="n">
        <x:v>46302</x:v>
      </x:c>
      <x:c r="D890" s="2" t="str">
        <x:v>BUS003</x:v>
      </x:c>
      <x:c r="E890" s="2" t="str">
        <x:v>ST089</x:v>
      </x:c>
      <x:c r="F890" s="2" t="n">
        <x:v>1</x:v>
      </x:c>
      <x:c r="G890" s="2" t="str">
        <x:v>Junior</x:v>
      </x:c>
      <x:c r="H890" s="2" t="str">
        <x:v>Pickup</x:v>
      </x:c>
      <x:c r="I890" s="2" t="str">
        <x:v>R3S3</x:v>
      </x:c>
      <x:c r="J890" s="2" t="str">
        <x:v>EV001771</x:v>
      </x:c>
      <x:c r="K890" s="8" t="n">
        <x:v>46302.25236111111</x:v>
      </x:c>
      <x:c r="L890" s="2" t="str">
        <x:v>R3S3</x:v>
      </x:c>
      <x:c r="M890" s="9" t="n">
        <x:v>25.293000000000003</x:v>
      </x:c>
      <x:c r="N890" s="9" t="n">
        <x:v>51.513</x:v>
      </x:c>
      <x:c r="O890" s="2" t="str">
        <x:v>Valid</x:v>
      </x:c>
      <x:c r="P890" s="2" t="str">
        <x:v>EV001772</x:v>
      </x:c>
      <x:c r="Q890" s="8" t="n">
        <x:v>46302.276666666665</x:v>
      </x:c>
      <x:c r="R890" s="2" t="str">
        <x:v>SCH01</x:v>
      </x:c>
      <x:c r="S890" s="9" t="n">
        <x:v>25.285</x:v>
      </x:c>
      <x:c r="T890" s="9" t="n">
        <x:v>51.51</x:v>
      </x:c>
      <x:c r="U890" s="2" t="str">
        <x:v>SCHOOL_RECEIVER_01</x:v>
      </x:c>
      <x:c r="V890" s="2" t="str">
        <x:v>School staff receipt</x:v>
      </x:c>
      <x:c r="W890" s="2" t="str">
        <x:v>Completed transport</x:v>
      </x:c>
      <x:c r="X890" s="2" t="str">
        <x:v>QR</x:v>
      </x:c>
      <x:c r="Y890" s="2" t="str">
        <x:v>Online</x:v>
      </x:c>
      <x:c r="Z890" s="2" t="str">
        <x:v>Synced</x:v>
      </x:c>
      <x:c r="AA890" s="2"/>
      <x:c r="AB890" s="2"/>
      <x:c r="AC890" s="10" t="n">
        <x:f>IF(OR(K890="",Q890=""),"",ROUND((Q890-K890)*1440,2))</x:f>
        <x:v>35</x:v>
      </x:c>
    </x:row>
    <x:row r="891" ht="21" customHeight="1">
      <x:c r="A891" s="2" t="str">
        <x:v>LN00890</x:v>
      </x:c>
      <x:c r="B891" s="2" t="str">
        <x:v>T20261007-1-3</x:v>
      </x:c>
      <x:c r="C891" s="7" t="n">
        <x:v>46302</x:v>
      </x:c>
      <x:c r="D891" s="2" t="str">
        <x:v>BUS003</x:v>
      </x:c>
      <x:c r="E891" s="2" t="str">
        <x:v>ST090</x:v>
      </x:c>
      <x:c r="F891" s="2" t="n">
        <x:v>1</x:v>
      </x:c>
      <x:c r="G891" s="2" t="str">
        <x:v>Junior</x:v>
      </x:c>
      <x:c r="H891" s="2" t="str">
        <x:v>Pickup</x:v>
      </x:c>
      <x:c r="I891" s="2" t="str">
        <x:v>R3S1</x:v>
      </x:c>
      <x:c r="J891" s="2" t="str">
        <x:v>EV001773</x:v>
      </x:c>
      <x:c r="K891" s="8" t="n">
        <x:v>46302.242673611116</x:v>
      </x:c>
      <x:c r="L891" s="2" t="str">
        <x:v>R3S1</x:v>
      </x:c>
      <x:c r="M891" s="9" t="n">
        <x:v>25.289</x:v>
      </x:c>
      <x:c r="N891" s="9" t="n">
        <x:v>51.507</x:v>
      </x:c>
      <x:c r="O891" s="2" t="str">
        <x:v>Valid</x:v>
      </x:c>
      <x:c r="P891" s="2" t="str">
        <x:v>EV001774</x:v>
      </x:c>
      <x:c r="Q891" s="8" t="n">
        <x:v>46302.27670138889</x:v>
      </x:c>
      <x:c r="R891" s="2" t="str">
        <x:v>SCH01</x:v>
      </x:c>
      <x:c r="S891" s="9" t="n">
        <x:v>25.285</x:v>
      </x:c>
      <x:c r="T891" s="9" t="n">
        <x:v>51.51</x:v>
      </x:c>
      <x:c r="U891" s="2" t="str">
        <x:v>SCHOOL_RECEIVER_01</x:v>
      </x:c>
      <x:c r="V891" s="2" t="str">
        <x:v>School staff receipt</x:v>
      </x:c>
      <x:c r="W891" s="2" t="str">
        <x:v>Completed transport</x:v>
      </x:c>
      <x:c r="X891" s="2" t="str">
        <x:v>QR</x:v>
      </x:c>
      <x:c r="Y891" s="2" t="str">
        <x:v>Online</x:v>
      </x:c>
      <x:c r="Z891" s="2" t="str">
        <x:v>Synced</x:v>
      </x:c>
      <x:c r="AA891" s="2"/>
      <x:c r="AB891" s="2"/>
      <x:c r="AC891" s="10" t="n">
        <x:f>IF(OR(K891="",Q891=""),"",ROUND((Q891-K891)*1440,2))</x:f>
        <x:v>49</x:v>
      </x:c>
    </x:row>
    <x:row r="892" ht="21" customHeight="1">
      <x:c r="A892" s="2" t="str">
        <x:v>LN00891</x:v>
      </x:c>
      <x:c r="B892" s="2" t="str">
        <x:v>T20261007-1-3</x:v>
      </x:c>
      <x:c r="C892" s="7" t="n">
        <x:v>46302</x:v>
      </x:c>
      <x:c r="D892" s="2" t="str">
        <x:v>BUS003</x:v>
      </x:c>
      <x:c r="E892" s="2" t="str">
        <x:v>ST091</x:v>
      </x:c>
      <x:c r="F892" s="2" t="n">
        <x:v>1</x:v>
      </x:c>
      <x:c r="G892" s="2" t="str">
        <x:v>Senior</x:v>
      </x:c>
      <x:c r="H892" s="2" t="str">
        <x:v>Pickup</x:v>
      </x:c>
      <x:c r="I892" s="2" t="str">
        <x:v>R3S2</x:v>
      </x:c>
      <x:c r="J892" s="2" t="str">
        <x:v>EV001775</x:v>
      </x:c>
      <x:c r="K892" s="8" t="n">
        <x:v>46302.24722222222</x:v>
      </x:c>
      <x:c r="L892" s="2" t="str">
        <x:v>R3S2</x:v>
      </x:c>
      <x:c r="M892" s="9" t="n">
        <x:v>25.291000000000004</x:v>
      </x:c>
      <x:c r="N892" s="9" t="n">
        <x:v>51.51</x:v>
      </x:c>
      <x:c r="O892" s="2" t="str">
        <x:v>Valid</x:v>
      </x:c>
      <x:c r="P892" s="2" t="str">
        <x:v>EV001776</x:v>
      </x:c>
      <x:c r="Q892" s="8" t="n">
        <x:v>46302.27673611111</x:v>
      </x:c>
      <x:c r="R892" s="2" t="str">
        <x:v>SCH01</x:v>
      </x:c>
      <x:c r="S892" s="9" t="n">
        <x:v>25.285</x:v>
      </x:c>
      <x:c r="T892" s="9" t="n">
        <x:v>51.51</x:v>
      </x:c>
      <x:c r="U892" s="2" t="str">
        <x:v>SCHOOL_RECEIVER_01</x:v>
      </x:c>
      <x:c r="V892" s="2" t="str">
        <x:v>School staff receipt</x:v>
      </x:c>
      <x:c r="W892" s="2" t="str">
        <x:v>Completed transport</x:v>
      </x:c>
      <x:c r="X892" s="2" t="str">
        <x:v>QR</x:v>
      </x:c>
      <x:c r="Y892" s="2" t="str">
        <x:v>Online</x:v>
      </x:c>
      <x:c r="Z892" s="2" t="str">
        <x:v>Synced</x:v>
      </x:c>
      <x:c r="AA892" s="2"/>
      <x:c r="AB892" s="2"/>
      <x:c r="AC892" s="10" t="n">
        <x:f>IF(OR(K892="",Q892=""),"",ROUND((Q892-K892)*1440,2))</x:f>
        <x:v>42.5</x:v>
      </x:c>
    </x:row>
    <x:row r="893" ht="21" customHeight="1">
      <x:c r="A893" s="2" t="str">
        <x:v>LN00892</x:v>
      </x:c>
      <x:c r="B893" s="2" t="str">
        <x:v>T20261007-1-3</x:v>
      </x:c>
      <x:c r="C893" s="7" t="n">
        <x:v>46302</x:v>
      </x:c>
      <x:c r="D893" s="2" t="str">
        <x:v>BUS003</x:v>
      </x:c>
      <x:c r="E893" s="2" t="str">
        <x:v>ST092</x:v>
      </x:c>
      <x:c r="F893" s="2" t="n">
        <x:v>1</x:v>
      </x:c>
      <x:c r="G893" s="2" t="str">
        <x:v>Senior</x:v>
      </x:c>
      <x:c r="H893" s="2" t="str">
        <x:v>Pickup</x:v>
      </x:c>
      <x:c r="I893" s="2" t="str">
        <x:v>R3S3</x:v>
      </x:c>
      <x:c r="J893" s="2" t="str">
        <x:v>EV001777</x:v>
      </x:c>
      <x:c r="K893" s="8" t="n">
        <x:v>46302.252118055556</x:v>
      </x:c>
      <x:c r="L893" s="2" t="str">
        <x:v>R3S3</x:v>
      </x:c>
      <x:c r="M893" s="9" t="n">
        <x:v>25.293000000000003</x:v>
      </x:c>
      <x:c r="N893" s="9" t="n">
        <x:v>51.513</x:v>
      </x:c>
      <x:c r="O893" s="2" t="str">
        <x:v>Valid</x:v>
      </x:c>
      <x:c r="P893" s="2" t="str">
        <x:v>EV001778</x:v>
      </x:c>
      <x:c r="Q893" s="8" t="n">
        <x:v>46302.276770833334</x:v>
      </x:c>
      <x:c r="R893" s="2" t="str">
        <x:v>SCH01</x:v>
      </x:c>
      <x:c r="S893" s="9" t="n">
        <x:v>25.285</x:v>
      </x:c>
      <x:c r="T893" s="9" t="n">
        <x:v>51.51</x:v>
      </x:c>
      <x:c r="U893" s="2" t="str">
        <x:v>SCHOOL_RECEIVER_01</x:v>
      </x:c>
      <x:c r="V893" s="2" t="str">
        <x:v>School staff receipt</x:v>
      </x:c>
      <x:c r="W893" s="2" t="str">
        <x:v>Completed transport</x:v>
      </x:c>
      <x:c r="X893" s="2" t="str">
        <x:v>QR</x:v>
      </x:c>
      <x:c r="Y893" s="2" t="str">
        <x:v>Online</x:v>
      </x:c>
      <x:c r="Z893" s="2" t="str">
        <x:v>Synced</x:v>
      </x:c>
      <x:c r="AA893" s="2"/>
      <x:c r="AB893" s="2"/>
      <x:c r="AC893" s="10" t="n">
        <x:f>IF(OR(K893="",Q893=""),"",ROUND((Q893-K893)*1440,2))</x:f>
        <x:v>35.5</x:v>
      </x:c>
    </x:row>
    <x:row r="894" ht="21" customHeight="1">
      <x:c r="A894" s="2" t="str">
        <x:v>LN00893</x:v>
      </x:c>
      <x:c r="B894" s="2" t="str">
        <x:v>T20261007-1-3</x:v>
      </x:c>
      <x:c r="C894" s="7" t="n">
        <x:v>46302</x:v>
      </x:c>
      <x:c r="D894" s="2" t="str">
        <x:v>BUS003</x:v>
      </x:c>
      <x:c r="E894" s="2" t="str">
        <x:v>ST093</x:v>
      </x:c>
      <x:c r="F894" s="2" t="n">
        <x:v>1</x:v>
      </x:c>
      <x:c r="G894" s="2" t="str">
        <x:v>Senior</x:v>
      </x:c>
      <x:c r="H894" s="2" t="str">
        <x:v>Pickup</x:v>
      </x:c>
      <x:c r="I894" s="2" t="str">
        <x:v>R3S1</x:v>
      </x:c>
      <x:c r="J894" s="2" t="str">
        <x:v>EV001779</x:v>
      </x:c>
      <x:c r="K894" s="8" t="n">
        <x:v>46302.24243055556</x:v>
      </x:c>
      <x:c r="L894" s="2" t="str">
        <x:v>R3S1</x:v>
      </x:c>
      <x:c r="M894" s="9" t="n">
        <x:v>25.289</x:v>
      </x:c>
      <x:c r="N894" s="9" t="n">
        <x:v>51.507</x:v>
      </x:c>
      <x:c r="O894" s="2" t="str">
        <x:v>Valid</x:v>
      </x:c>
      <x:c r="P894" s="2" t="str">
        <x:v>EV001780</x:v>
      </x:c>
      <x:c r="Q894" s="8" t="n">
        <x:v>46302.27680555556</x:v>
      </x:c>
      <x:c r="R894" s="2" t="str">
        <x:v>SCH01</x:v>
      </x:c>
      <x:c r="S894" s="9" t="n">
        <x:v>25.285</x:v>
      </x:c>
      <x:c r="T894" s="9" t="n">
        <x:v>51.51</x:v>
      </x:c>
      <x:c r="U894" s="2" t="str">
        <x:v>SCHOOL_RECEIVER_01</x:v>
      </x:c>
      <x:c r="V894" s="2" t="str">
        <x:v>School staff receipt</x:v>
      </x:c>
      <x:c r="W894" s="2" t="str">
        <x:v>Completed transport</x:v>
      </x:c>
      <x:c r="X894" s="2" t="str">
        <x:v>QR</x:v>
      </x:c>
      <x:c r="Y894" s="2" t="str">
        <x:v>Online</x:v>
      </x:c>
      <x:c r="Z894" s="2" t="str">
        <x:v>Synced</x:v>
      </x:c>
      <x:c r="AA894" s="2"/>
      <x:c r="AB894" s="2"/>
      <x:c r="AC894" s="10" t="n">
        <x:f>IF(OR(K894="",Q894=""),"",ROUND((Q894-K894)*1440,2))</x:f>
        <x:v>49.5</x:v>
      </x:c>
    </x:row>
    <x:row r="895" ht="21" customHeight="1">
      <x:c r="A895" s="2" t="str">
        <x:v>LN00894</x:v>
      </x:c>
      <x:c r="B895" s="2" t="str">
        <x:v>T20261007-1-3</x:v>
      </x:c>
      <x:c r="C895" s="7" t="n">
        <x:v>46302</x:v>
      </x:c>
      <x:c r="D895" s="2" t="str">
        <x:v>BUS003</x:v>
      </x:c>
      <x:c r="E895" s="2" t="str">
        <x:v>ST094</x:v>
      </x:c>
      <x:c r="F895" s="2" t="n">
        <x:v>1</x:v>
      </x:c>
      <x:c r="G895" s="2" t="str">
        <x:v>Senior</x:v>
      </x:c>
      <x:c r="H895" s="2" t="str">
        <x:v>Pickup</x:v>
      </x:c>
      <x:c r="I895" s="2" t="str">
        <x:v>R3S2</x:v>
      </x:c>
      <x:c r="J895" s="2" t="str">
        <x:v>EV001781</x:v>
      </x:c>
      <x:c r="K895" s="8" t="n">
        <x:v>46302.24732638889</x:v>
      </x:c>
      <x:c r="L895" s="2" t="str">
        <x:v>R3S2</x:v>
      </x:c>
      <x:c r="M895" s="9" t="n">
        <x:v>25.291000000000004</x:v>
      </x:c>
      <x:c r="N895" s="9" t="n">
        <x:v>51.51</x:v>
      </x:c>
      <x:c r="O895" s="2" t="str">
        <x:v>Valid</x:v>
      </x:c>
      <x:c r="P895" s="2" t="str">
        <x:v>EV001782</x:v>
      </x:c>
      <x:c r="Q895" s="8" t="n">
        <x:v>46302.27684027777</x:v>
      </x:c>
      <x:c r="R895" s="2" t="str">
        <x:v>SCH01</x:v>
      </x:c>
      <x:c r="S895" s="9" t="n">
        <x:v>25.285</x:v>
      </x:c>
      <x:c r="T895" s="9" t="n">
        <x:v>51.51</x:v>
      </x:c>
      <x:c r="U895" s="2" t="str">
        <x:v>SCHOOL_RECEIVER_01</x:v>
      </x:c>
      <x:c r="V895" s="2" t="str">
        <x:v>School staff receipt</x:v>
      </x:c>
      <x:c r="W895" s="2" t="str">
        <x:v>Completed transport</x:v>
      </x:c>
      <x:c r="X895" s="2" t="str">
        <x:v>QR</x:v>
      </x:c>
      <x:c r="Y895" s="2" t="str">
        <x:v>Online</x:v>
      </x:c>
      <x:c r="Z895" s="2" t="str">
        <x:v>Synced</x:v>
      </x:c>
      <x:c r="AA895" s="2"/>
      <x:c r="AB895" s="2"/>
      <x:c r="AC895" s="10" t="n">
        <x:f>IF(OR(K895="",Q895=""),"",ROUND((Q895-K895)*1440,2))</x:f>
        <x:v>42.5</x:v>
      </x:c>
    </x:row>
    <x:row r="896" ht="21" customHeight="1">
      <x:c r="A896" s="2" t="str">
        <x:v>LN00895</x:v>
      </x:c>
      <x:c r="B896" s="2" t="str">
        <x:v>T20261007-1-3</x:v>
      </x:c>
      <x:c r="C896" s="7" t="n">
        <x:v>46302</x:v>
      </x:c>
      <x:c r="D896" s="2" t="str">
        <x:v>BUS003</x:v>
      </x:c>
      <x:c r="E896" s="2" t="str">
        <x:v>ST095</x:v>
      </x:c>
      <x:c r="F896" s="2" t="n">
        <x:v>1</x:v>
      </x:c>
      <x:c r="G896" s="2" t="str">
        <x:v>Senior</x:v>
      </x:c>
      <x:c r="H896" s="2" t="str">
        <x:v>Pickup</x:v>
      </x:c>
      <x:c r="I896" s="2" t="str">
        <x:v>R3S3</x:v>
      </x:c>
      <x:c r="J896" s="2" t="str">
        <x:v>EV001783</x:v>
      </x:c>
      <x:c r="K896" s="8" t="n">
        <x:v>46302.252222222225</x:v>
      </x:c>
      <x:c r="L896" s="2" t="str">
        <x:v>R3S3</x:v>
      </x:c>
      <x:c r="M896" s="9" t="n">
        <x:v>25.293000000000003</x:v>
      </x:c>
      <x:c r="N896" s="9" t="n">
        <x:v>51.513</x:v>
      </x:c>
      <x:c r="O896" s="2" t="str">
        <x:v>Valid</x:v>
      </x:c>
      <x:c r="P896" s="2" t="str">
        <x:v>EV001784</x:v>
      </x:c>
      <x:c r="Q896" s="8" t="n">
        <x:v>46302.276874999996</x:v>
      </x:c>
      <x:c r="R896" s="2" t="str">
        <x:v>SCH01</x:v>
      </x:c>
      <x:c r="S896" s="9" t="n">
        <x:v>25.285</x:v>
      </x:c>
      <x:c r="T896" s="9" t="n">
        <x:v>51.51</x:v>
      </x:c>
      <x:c r="U896" s="2" t="str">
        <x:v>SCHOOL_RECEIVER_01</x:v>
      </x:c>
      <x:c r="V896" s="2" t="str">
        <x:v>School staff receipt</x:v>
      </x:c>
      <x:c r="W896" s="2" t="str">
        <x:v>Completed transport</x:v>
      </x:c>
      <x:c r="X896" s="2" t="str">
        <x:v>QR</x:v>
      </x:c>
      <x:c r="Y896" s="2" t="str">
        <x:v>Online</x:v>
      </x:c>
      <x:c r="Z896" s="2" t="str">
        <x:v>Synced</x:v>
      </x:c>
      <x:c r="AA896" s="2"/>
      <x:c r="AB896" s="2"/>
      <x:c r="AC896" s="10" t="n">
        <x:f>IF(OR(K896="",Q896=""),"",ROUND((Q896-K896)*1440,2))</x:f>
        <x:v>35.5</x:v>
      </x:c>
    </x:row>
    <x:row r="897" ht="21" customHeight="1">
      <x:c r="A897" s="2" t="str">
        <x:v>LN00896</x:v>
      </x:c>
      <x:c r="B897" s="2" t="str">
        <x:v>T20261007-1-3</x:v>
      </x:c>
      <x:c r="C897" s="7" t="n">
        <x:v>46302</x:v>
      </x:c>
      <x:c r="D897" s="2" t="str">
        <x:v>BUS003</x:v>
      </x:c>
      <x:c r="E897" s="2" t="str">
        <x:v>ST096</x:v>
      </x:c>
      <x:c r="F897" s="2" t="n">
        <x:v>1</x:v>
      </x:c>
      <x:c r="G897" s="2" t="str">
        <x:v>Senior</x:v>
      </x:c>
      <x:c r="H897" s="2" t="str">
        <x:v>Pickup</x:v>
      </x:c>
      <x:c r="I897" s="2" t="str">
        <x:v>R3S1</x:v>
      </x:c>
      <x:c r="J897" s="2" t="str">
        <x:v>EV001785</x:v>
      </x:c>
      <x:c r="K897" s="8" t="n">
        <x:v>46302.24253472222</x:v>
      </x:c>
      <x:c r="L897" s="2" t="str">
        <x:v>R3S1</x:v>
      </x:c>
      <x:c r="M897" s="9" t="n">
        <x:v>25.289</x:v>
      </x:c>
      <x:c r="N897" s="9" t="n">
        <x:v>51.507</x:v>
      </x:c>
      <x:c r="O897" s="2" t="str">
        <x:v>Valid</x:v>
      </x:c>
      <x:c r="P897" s="2" t="str">
        <x:v>EV001786</x:v>
      </x:c>
      <x:c r="Q897" s="8" t="n">
        <x:v>46302.27690972222</x:v>
      </x:c>
      <x:c r="R897" s="2" t="str">
        <x:v>SCH01</x:v>
      </x:c>
      <x:c r="S897" s="9" t="n">
        <x:v>25.285</x:v>
      </x:c>
      <x:c r="T897" s="9" t="n">
        <x:v>51.51</x:v>
      </x:c>
      <x:c r="U897" s="2" t="str">
        <x:v>SCHOOL_RECEIVER_01</x:v>
      </x:c>
      <x:c r="V897" s="2" t="str">
        <x:v>School staff receipt</x:v>
      </x:c>
      <x:c r="W897" s="2" t="str">
        <x:v>Completed transport</x:v>
      </x:c>
      <x:c r="X897" s="2" t="str">
        <x:v>QR</x:v>
      </x:c>
      <x:c r="Y897" s="2" t="str">
        <x:v>Online</x:v>
      </x:c>
      <x:c r="Z897" s="2" t="str">
        <x:v>Synced</x:v>
      </x:c>
      <x:c r="AA897" s="2"/>
      <x:c r="AB897" s="2"/>
      <x:c r="AC897" s="10" t="n">
        <x:f>IF(OR(K897="",Q897=""),"",ROUND((Q897-K897)*1440,2))</x:f>
        <x:v>49.5</x:v>
      </x:c>
    </x:row>
    <x:row r="898" ht="21" customHeight="1">
      <x:c r="A898" s="2" t="str">
        <x:v>LN00897</x:v>
      </x:c>
      <x:c r="B898" s="2" t="str">
        <x:v>T20261007-1-3</x:v>
      </x:c>
      <x:c r="C898" s="7" t="n">
        <x:v>46302</x:v>
      </x:c>
      <x:c r="D898" s="2" t="str">
        <x:v>BUS003</x:v>
      </x:c>
      <x:c r="E898" s="2" t="str">
        <x:v>ST097</x:v>
      </x:c>
      <x:c r="F898" s="2" t="n">
        <x:v>1</x:v>
      </x:c>
      <x:c r="G898" s="2" t="str">
        <x:v>Senior</x:v>
      </x:c>
      <x:c r="H898" s="2" t="str">
        <x:v>Pickup</x:v>
      </x:c>
      <x:c r="I898" s="2" t="str">
        <x:v>R3S2</x:v>
      </x:c>
      <x:c r="J898" s="2" t="str">
        <x:v>EV001787</x:v>
      </x:c>
      <x:c r="K898" s="8" t="n">
        <x:v>46302.24743055555</x:v>
      </x:c>
      <x:c r="L898" s="2" t="str">
        <x:v>R3S2</x:v>
      </x:c>
      <x:c r="M898" s="9" t="n">
        <x:v>25.291000000000004</x:v>
      </x:c>
      <x:c r="N898" s="9" t="n">
        <x:v>51.51</x:v>
      </x:c>
      <x:c r="O898" s="2" t="str">
        <x:v>Valid</x:v>
      </x:c>
      <x:c r="P898" s="2" t="str">
        <x:v>EV001788</x:v>
      </x:c>
      <x:c r="Q898" s="8" t="n">
        <x:v>46302.27694444444</x:v>
      </x:c>
      <x:c r="R898" s="2" t="str">
        <x:v>SCH01</x:v>
      </x:c>
      <x:c r="S898" s="9" t="n">
        <x:v>25.285</x:v>
      </x:c>
      <x:c r="T898" s="9" t="n">
        <x:v>51.51</x:v>
      </x:c>
      <x:c r="U898" s="2" t="str">
        <x:v>SCHOOL_RECEIVER_01</x:v>
      </x:c>
      <x:c r="V898" s="2" t="str">
        <x:v>School staff receipt</x:v>
      </x:c>
      <x:c r="W898" s="2" t="str">
        <x:v>Completed transport</x:v>
      </x:c>
      <x:c r="X898" s="2" t="str">
        <x:v>QR</x:v>
      </x:c>
      <x:c r="Y898" s="2" t="str">
        <x:v>Online</x:v>
      </x:c>
      <x:c r="Z898" s="2" t="str">
        <x:v>Synced</x:v>
      </x:c>
      <x:c r="AA898" s="2"/>
      <x:c r="AB898" s="2"/>
      <x:c r="AC898" s="10" t="n">
        <x:f>IF(OR(K898="",Q898=""),"",ROUND((Q898-K898)*1440,2))</x:f>
        <x:v>42.5</x:v>
      </x:c>
    </x:row>
    <x:row r="899" ht="21" customHeight="1">
      <x:c r="A899" s="2" t="str">
        <x:v>LN00898</x:v>
      </x:c>
      <x:c r="B899" s="2" t="str">
        <x:v>T20261007-1-3</x:v>
      </x:c>
      <x:c r="C899" s="7" t="n">
        <x:v>46302</x:v>
      </x:c>
      <x:c r="D899" s="2" t="str">
        <x:v>BUS003</x:v>
      </x:c>
      <x:c r="E899" s="2" t="str">
        <x:v>ST098</x:v>
      </x:c>
      <x:c r="F899" s="2" t="n">
        <x:v>1</x:v>
      </x:c>
      <x:c r="G899" s="2" t="str">
        <x:v>Senior</x:v>
      </x:c>
      <x:c r="H899" s="2" t="str">
        <x:v>Pickup</x:v>
      </x:c>
      <x:c r="I899" s="2" t="str">
        <x:v>R3S3</x:v>
      </x:c>
      <x:c r="J899" s="2" t="str">
        <x:v>EV001789</x:v>
      </x:c>
      <x:c r="K899" s="8" t="n">
        <x:v>46302.25232638889</x:v>
      </x:c>
      <x:c r="L899" s="2" t="str">
        <x:v>R3S3</x:v>
      </x:c>
      <x:c r="M899" s="9" t="n">
        <x:v>25.293000000000003</x:v>
      </x:c>
      <x:c r="N899" s="9" t="n">
        <x:v>51.513</x:v>
      </x:c>
      <x:c r="O899" s="2" t="str">
        <x:v>Valid</x:v>
      </x:c>
      <x:c r="P899" s="2" t="str">
        <x:v>EV001790</x:v>
      </x:c>
      <x:c r="Q899" s="8" t="n">
        <x:v>46302.276979166665</x:v>
      </x:c>
      <x:c r="R899" s="2" t="str">
        <x:v>SCH01</x:v>
      </x:c>
      <x:c r="S899" s="9" t="n">
        <x:v>25.285</x:v>
      </x:c>
      <x:c r="T899" s="9" t="n">
        <x:v>51.51</x:v>
      </x:c>
      <x:c r="U899" s="2" t="str">
        <x:v>SCHOOL_RECEIVER_01</x:v>
      </x:c>
      <x:c r="V899" s="2" t="str">
        <x:v>School staff receipt</x:v>
      </x:c>
      <x:c r="W899" s="2" t="str">
        <x:v>Completed transport</x:v>
      </x:c>
      <x:c r="X899" s="2" t="str">
        <x:v>QR</x:v>
      </x:c>
      <x:c r="Y899" s="2" t="str">
        <x:v>Online</x:v>
      </x:c>
      <x:c r="Z899" s="2" t="str">
        <x:v>Synced</x:v>
      </x:c>
      <x:c r="AA899" s="2"/>
      <x:c r="AB899" s="2"/>
      <x:c r="AC899" s="10" t="n">
        <x:f>IF(OR(K899="",Q899=""),"",ROUND((Q899-K899)*1440,2))</x:f>
        <x:v>35.5</x:v>
      </x:c>
    </x:row>
    <x:row r="900" ht="21" customHeight="1">
      <x:c r="A900" s="2" t="str">
        <x:v>LN00899</x:v>
      </x:c>
      <x:c r="B900" s="2" t="str">
        <x:v>T20261007-1-3</x:v>
      </x:c>
      <x:c r="C900" s="7" t="n">
        <x:v>46302</x:v>
      </x:c>
      <x:c r="D900" s="2" t="str">
        <x:v>BUS003</x:v>
      </x:c>
      <x:c r="E900" s="2" t="str">
        <x:v>ST099</x:v>
      </x:c>
      <x:c r="F900" s="2" t="n">
        <x:v>1</x:v>
      </x:c>
      <x:c r="G900" s="2" t="str">
        <x:v>Senior</x:v>
      </x:c>
      <x:c r="H900" s="2" t="str">
        <x:v>Pickup</x:v>
      </x:c>
      <x:c r="I900" s="2" t="str">
        <x:v>R3S1</x:v>
      </x:c>
      <x:c r="J900" s="2" t="str">
        <x:v>EV001791</x:v>
      </x:c>
      <x:c r="K900" s="8" t="n">
        <x:v>46302.24263888889</x:v>
      </x:c>
      <x:c r="L900" s="2" t="str">
        <x:v>R3S1</x:v>
      </x:c>
      <x:c r="M900" s="9" t="n">
        <x:v>25.289</x:v>
      </x:c>
      <x:c r="N900" s="9" t="n">
        <x:v>51.507</x:v>
      </x:c>
      <x:c r="O900" s="2" t="str">
        <x:v>Valid</x:v>
      </x:c>
      <x:c r="P900" s="2" t="str">
        <x:v>EV001792</x:v>
      </x:c>
      <x:c r="Q900" s="8" t="n">
        <x:v>46302.27701388889</x:v>
      </x:c>
      <x:c r="R900" s="2" t="str">
        <x:v>SCH01</x:v>
      </x:c>
      <x:c r="S900" s="9" t="n">
        <x:v>25.285</x:v>
      </x:c>
      <x:c r="T900" s="9" t="n">
        <x:v>51.51</x:v>
      </x:c>
      <x:c r="U900" s="2" t="str">
        <x:v>SCHOOL_RECEIVER_01</x:v>
      </x:c>
      <x:c r="V900" s="2" t="str">
        <x:v>School staff receipt</x:v>
      </x:c>
      <x:c r="W900" s="2" t="str">
        <x:v>Completed transport</x:v>
      </x:c>
      <x:c r="X900" s="2" t="str">
        <x:v>QR</x:v>
      </x:c>
      <x:c r="Y900" s="2" t="str">
        <x:v>Online</x:v>
      </x:c>
      <x:c r="Z900" s="2" t="str">
        <x:v>Synced</x:v>
      </x:c>
      <x:c r="AA900" s="2"/>
      <x:c r="AB900" s="2"/>
      <x:c r="AC900" s="10" t="n">
        <x:f>IF(OR(K900="",Q900=""),"",ROUND((Q900-K900)*1440,2))</x:f>
        <x:v>49.5</x:v>
      </x:c>
    </x:row>
    <x:row r="901" ht="21" customHeight="1">
      <x:c r="A901" s="2" t="str">
        <x:v>LN00900</x:v>
      </x:c>
      <x:c r="B901" s="2" t="str">
        <x:v>T20261007-1-3</x:v>
      </x:c>
      <x:c r="C901" s="7" t="n">
        <x:v>46302</x:v>
      </x:c>
      <x:c r="D901" s="2" t="str">
        <x:v>BUS003</x:v>
      </x:c>
      <x:c r="E901" s="2" t="str">
        <x:v>ST100</x:v>
      </x:c>
      <x:c r="F901" s="2" t="n">
        <x:v>1</x:v>
      </x:c>
      <x:c r="G901" s="2" t="str">
        <x:v>Senior</x:v>
      </x:c>
      <x:c r="H901" s="2" t="str">
        <x:v>Pickup</x:v>
      </x:c>
      <x:c r="I901" s="2" t="str">
        <x:v>R3S2</x:v>
      </x:c>
      <x:c r="J901" s="2" t="str">
        <x:v>EV001793</x:v>
      </x:c>
      <x:c r="K901" s="8" t="n">
        <x:v>46302.24753472222</x:v>
      </x:c>
      <x:c r="L901" s="2" t="str">
        <x:v>R3S2</x:v>
      </x:c>
      <x:c r="M901" s="9" t="n">
        <x:v>25.291000000000004</x:v>
      </x:c>
      <x:c r="N901" s="9" t="n">
        <x:v>51.51</x:v>
      </x:c>
      <x:c r="O901" s="2" t="str">
        <x:v>Valid</x:v>
      </x:c>
      <x:c r="P901" s="2" t="str">
        <x:v>EV001794</x:v>
      </x:c>
      <x:c r="Q901" s="8" t="n">
        <x:v>46302.27704861111</x:v>
      </x:c>
      <x:c r="R901" s="2" t="str">
        <x:v>SCH01</x:v>
      </x:c>
      <x:c r="S901" s="9" t="n">
        <x:v>25.285</x:v>
      </x:c>
      <x:c r="T901" s="9" t="n">
        <x:v>51.51</x:v>
      </x:c>
      <x:c r="U901" s="2" t="str">
        <x:v>SCHOOL_RECEIVER_01</x:v>
      </x:c>
      <x:c r="V901" s="2" t="str">
        <x:v>School staff receipt</x:v>
      </x:c>
      <x:c r="W901" s="2" t="str">
        <x:v>Completed transport</x:v>
      </x:c>
      <x:c r="X901" s="2" t="str">
        <x:v>QR</x:v>
      </x:c>
      <x:c r="Y901" s="2" t="str">
        <x:v>Online</x:v>
      </x:c>
      <x:c r="Z901" s="2" t="str">
        <x:v>Synced</x:v>
      </x:c>
      <x:c r="AA901" s="2"/>
      <x:c r="AB901" s="2"/>
      <x:c r="AC901" s="10" t="n">
        <x:f>IF(OR(K901="",Q901=""),"",ROUND((Q901-K901)*1440,2))</x:f>
        <x:v>42.5</x:v>
      </x:c>
    </x:row>
    <x:row r="902" ht="21" customHeight="1">
      <x:c r="A902" s="2" t="str">
        <x:v>LN00901</x:v>
      </x:c>
      <x:c r="B902" s="2" t="str">
        <x:v>T20261007-2-3</x:v>
      </x:c>
      <x:c r="C902" s="7" t="n">
        <x:v>46302</x:v>
      </x:c>
      <x:c r="D902" s="2" t="str">
        <x:v>BUS003</x:v>
      </x:c>
      <x:c r="E902" s="2" t="str">
        <x:v>ST081</x:v>
      </x:c>
      <x:c r="F902" s="2" t="n">
        <x:v>1</x:v>
      </x:c>
      <x:c r="G902" s="2" t="str">
        <x:v>Junior</x:v>
      </x:c>
      <x:c r="H902" s="2" t="str">
        <x:v>Drop-off</x:v>
      </x:c>
      <x:c r="I902" s="2" t="str">
        <x:v>R3S1</x:v>
      </x:c>
      <x:c r="J902" s="2" t="str">
        <x:v>EV001795</x:v>
      </x:c>
      <x:c r="K902" s="8" t="n">
        <x:v>46302.4375</x:v>
      </x:c>
      <x:c r="L902" s="2" t="str">
        <x:v>SCH01</x:v>
      </x:c>
      <x:c r="M902" s="9" t="n">
        <x:v>25.285</x:v>
      </x:c>
      <x:c r="N902" s="9" t="n">
        <x:v>51.51</x:v>
      </x:c>
      <x:c r="O902" s="2" t="str">
        <x:v>Valid</x:v>
      </x:c>
      <x:c r="P902" s="2" t="str">
        <x:v>EV001796</x:v>
      </x:c>
      <x:c r="Q902" s="8" t="n">
        <x:v>46302.44930555555</x:v>
      </x:c>
      <x:c r="R902" s="2" t="str">
        <x:v>R3S1</x:v>
      </x:c>
      <x:c r="S902" s="9" t="n">
        <x:v>25.289</x:v>
      </x:c>
      <x:c r="T902" s="9" t="n">
        <x:v>51.507</x:v>
      </x:c>
      <x:c r="U902" s="2" t="str">
        <x:v>G081</x:v>
      </x:c>
      <x:c r="V902" s="2" t="str">
        <x:v>Authorized guardian release</x:v>
      </x:c>
      <x:c r="W902" s="2" t="str">
        <x:v>Completed transport</x:v>
      </x:c>
      <x:c r="X902" s="2" t="str">
        <x:v>QR</x:v>
      </x:c>
      <x:c r="Y902" s="2" t="str">
        <x:v>Online</x:v>
      </x:c>
      <x:c r="Z902" s="2" t="str">
        <x:v>Synced</x:v>
      </x:c>
      <x:c r="AA902" s="2"/>
      <x:c r="AB902" s="2"/>
      <x:c r="AC902" s="10" t="n">
        <x:f>IF(OR(K902="",Q902=""),"",ROUND((Q902-K902)*1440,2))</x:f>
        <x:v>17</x:v>
      </x:c>
    </x:row>
    <x:row r="903" ht="21" customHeight="1">
      <x:c r="A903" s="2" t="str">
        <x:v>LN00902</x:v>
      </x:c>
      <x:c r="B903" s="2" t="str">
        <x:v>T20261007-2-3</x:v>
      </x:c>
      <x:c r="C903" s="7" t="n">
        <x:v>46302</x:v>
      </x:c>
      <x:c r="D903" s="2" t="str">
        <x:v>BUS003</x:v>
      </x:c>
      <x:c r="E903" s="2" t="str">
        <x:v>ST082</x:v>
      </x:c>
      <x:c r="F903" s="2" t="n">
        <x:v>1</x:v>
      </x:c>
      <x:c r="G903" s="2" t="str">
        <x:v>Junior</x:v>
      </x:c>
      <x:c r="H903" s="2" t="str">
        <x:v>Drop-off</x:v>
      </x:c>
      <x:c r="I903" s="2" t="str">
        <x:v>R3S2</x:v>
      </x:c>
      <x:c r="J903" s="2" t="str">
        <x:v>EV001797</x:v>
      </x:c>
      <x:c r="K903" s="8" t="n">
        <x:v>46302.43753472222</x:v>
      </x:c>
      <x:c r="L903" s="2" t="str">
        <x:v>SCH01</x:v>
      </x:c>
      <x:c r="M903" s="9" t="n">
        <x:v>25.285</x:v>
      </x:c>
      <x:c r="N903" s="9" t="n">
        <x:v>51.51</x:v>
      </x:c>
      <x:c r="O903" s="2" t="str">
        <x:v>Valid</x:v>
      </x:c>
      <x:c r="P903" s="2" t="str">
        <x:v>EV001798</x:v>
      </x:c>
      <x:c r="Q903" s="8" t="n">
        <x:v>46302.45350694445</x:v>
      </x:c>
      <x:c r="R903" s="2" t="str">
        <x:v>R3S2</x:v>
      </x:c>
      <x:c r="S903" s="9" t="n">
        <x:v>25.291000000000004</x:v>
      </x:c>
      <x:c r="T903" s="9" t="n">
        <x:v>51.51</x:v>
      </x:c>
      <x:c r="U903" s="2" t="str">
        <x:v>G082</x:v>
      </x:c>
      <x:c r="V903" s="2" t="str">
        <x:v>Authorized guardian release</x:v>
      </x:c>
      <x:c r="W903" s="2" t="str">
        <x:v>Completed transport</x:v>
      </x:c>
      <x:c r="X903" s="2" t="str">
        <x:v>QR</x:v>
      </x:c>
      <x:c r="Y903" s="2" t="str">
        <x:v>Online</x:v>
      </x:c>
      <x:c r="Z903" s="2" t="str">
        <x:v>Synced</x:v>
      </x:c>
      <x:c r="AA903" s="2"/>
      <x:c r="AB903" s="2"/>
      <x:c r="AC903" s="10" t="n">
        <x:f>IF(OR(K903="",Q903=""),"",ROUND((Q903-K903)*1440,2))</x:f>
        <x:v>23</x:v>
      </x:c>
    </x:row>
    <x:row r="904" ht="21" customHeight="1">
      <x:c r="A904" s="2" t="str">
        <x:v>LN00903</x:v>
      </x:c>
      <x:c r="B904" s="2" t="str">
        <x:v>T20261007-2-3</x:v>
      </x:c>
      <x:c r="C904" s="7" t="n">
        <x:v>46302</x:v>
      </x:c>
      <x:c r="D904" s="2" t="str">
        <x:v>BUS003</x:v>
      </x:c>
      <x:c r="E904" s="2" t="str">
        <x:v>ST083</x:v>
      </x:c>
      <x:c r="F904" s="2" t="n">
        <x:v>1</x:v>
      </x:c>
      <x:c r="G904" s="2" t="str">
        <x:v>Junior</x:v>
      </x:c>
      <x:c r="H904" s="2" t="str">
        <x:v>Drop-off</x:v>
      </x:c>
      <x:c r="I904" s="2" t="str">
        <x:v>R3S3</x:v>
      </x:c>
      <x:c r="J904" s="2" t="str">
        <x:v>EV001799</x:v>
      </x:c>
      <x:c r="K904" s="8" t="n">
        <x:v>46302.437569444446</x:v>
      </x:c>
      <x:c r="L904" s="2" t="str">
        <x:v>SCH01</x:v>
      </x:c>
      <x:c r="M904" s="9" t="n">
        <x:v>25.285</x:v>
      </x:c>
      <x:c r="N904" s="9" t="n">
        <x:v>51.51</x:v>
      </x:c>
      <x:c r="O904" s="2" t="str">
        <x:v>Valid</x:v>
      </x:c>
      <x:c r="P904" s="2" t="str">
        <x:v>EV001800</x:v>
      </x:c>
      <x:c r="Q904" s="8" t="n">
        <x:v>46302.457708333335</x:v>
      </x:c>
      <x:c r="R904" s="2" t="str">
        <x:v>R3S3</x:v>
      </x:c>
      <x:c r="S904" s="9" t="n">
        <x:v>25.293000000000003</x:v>
      </x:c>
      <x:c r="T904" s="9" t="n">
        <x:v>51.513</x:v>
      </x:c>
      <x:c r="U904" s="2" t="str">
        <x:v>G083</x:v>
      </x:c>
      <x:c r="V904" s="2" t="str">
        <x:v>Authorized guardian release</x:v>
      </x:c>
      <x:c r="W904" s="2" t="str">
        <x:v>Completed transport</x:v>
      </x:c>
      <x:c r="X904" s="2" t="str">
        <x:v>QR</x:v>
      </x:c>
      <x:c r="Y904" s="2" t="str">
        <x:v>Online</x:v>
      </x:c>
      <x:c r="Z904" s="2" t="str">
        <x:v>Synced</x:v>
      </x:c>
      <x:c r="AA904" s="2"/>
      <x:c r="AB904" s="2"/>
      <x:c r="AC904" s="10" t="n">
        <x:f>IF(OR(K904="",Q904=""),"",ROUND((Q904-K904)*1440,2))</x:f>
        <x:v>29</x:v>
      </x:c>
    </x:row>
    <x:row r="905" ht="21" customHeight="1">
      <x:c r="A905" s="2" t="str">
        <x:v>LN00904</x:v>
      </x:c>
      <x:c r="B905" s="2" t="str">
        <x:v>T20261007-2-3</x:v>
      </x:c>
      <x:c r="C905" s="7" t="n">
        <x:v>46302</x:v>
      </x:c>
      <x:c r="D905" s="2" t="str">
        <x:v>BUS003</x:v>
      </x:c>
      <x:c r="E905" s="2" t="str">
        <x:v>ST084</x:v>
      </x:c>
      <x:c r="F905" s="2" t="n">
        <x:v>1</x:v>
      </x:c>
      <x:c r="G905" s="2" t="str">
        <x:v>Junior</x:v>
      </x:c>
      <x:c r="H905" s="2" t="str">
        <x:v>Drop-off</x:v>
      </x:c>
      <x:c r="I905" s="2" t="str">
        <x:v>R3S1</x:v>
      </x:c>
      <x:c r="J905" s="2" t="str">
        <x:v>EV001801</x:v>
      </x:c>
      <x:c r="K905" s="8" t="n">
        <x:v>46302.43760416667</x:v>
      </x:c>
      <x:c r="L905" s="2" t="str">
        <x:v>SCH01</x:v>
      </x:c>
      <x:c r="M905" s="9" t="n">
        <x:v>25.285</x:v>
      </x:c>
      <x:c r="N905" s="9" t="n">
        <x:v>51.51</x:v>
      </x:c>
      <x:c r="O905" s="2" t="str">
        <x:v>Valid</x:v>
      </x:c>
      <x:c r="P905" s="2" t="str">
        <x:v>EV001802</x:v>
      </x:c>
      <x:c r="Q905" s="8" t="n">
        <x:v>46302.44940972222</x:v>
      </x:c>
      <x:c r="R905" s="2" t="str">
        <x:v>R3S1</x:v>
      </x:c>
      <x:c r="S905" s="9" t="n">
        <x:v>25.289</x:v>
      </x:c>
      <x:c r="T905" s="9" t="n">
        <x:v>51.507</x:v>
      </x:c>
      <x:c r="U905" s="2" t="str">
        <x:v>G084</x:v>
      </x:c>
      <x:c r="V905" s="2" t="str">
        <x:v>Authorized guardian release</x:v>
      </x:c>
      <x:c r="W905" s="2" t="str">
        <x:v>Completed transport</x:v>
      </x:c>
      <x:c r="X905" s="2" t="str">
        <x:v>QR</x:v>
      </x:c>
      <x:c r="Y905" s="2" t="str">
        <x:v>Online</x:v>
      </x:c>
      <x:c r="Z905" s="2" t="str">
        <x:v>Synced</x:v>
      </x:c>
      <x:c r="AA905" s="2"/>
      <x:c r="AB905" s="2"/>
      <x:c r="AC905" s="10" t="n">
        <x:f>IF(OR(K905="",Q905=""),"",ROUND((Q905-K905)*1440,2))</x:f>
        <x:v>17</x:v>
      </x:c>
    </x:row>
    <x:row r="906" ht="21" customHeight="1">
      <x:c r="A906" s="2" t="str">
        <x:v>LN00905</x:v>
      </x:c>
      <x:c r="B906" s="2" t="str">
        <x:v>T20261007-2-3</x:v>
      </x:c>
      <x:c r="C906" s="7" t="n">
        <x:v>46302</x:v>
      </x:c>
      <x:c r="D906" s="2" t="str">
        <x:v>BUS003</x:v>
      </x:c>
      <x:c r="E906" s="2" t="str">
        <x:v>ST085</x:v>
      </x:c>
      <x:c r="F906" s="2" t="n">
        <x:v>1</x:v>
      </x:c>
      <x:c r="G906" s="2" t="str">
        <x:v>Junior</x:v>
      </x:c>
      <x:c r="H906" s="2" t="str">
        <x:v>Drop-off</x:v>
      </x:c>
      <x:c r="I906" s="2" t="str">
        <x:v>R3S2</x:v>
      </x:c>
      <x:c r="J906" s="2" t="str">
        <x:v>EV001803</x:v>
      </x:c>
      <x:c r="K906" s="8" t="n">
        <x:v>46302.43763888889</x:v>
      </x:c>
      <x:c r="L906" s="2" t="str">
        <x:v>SCH01</x:v>
      </x:c>
      <x:c r="M906" s="9" t="n">
        <x:v>25.285</x:v>
      </x:c>
      <x:c r="N906" s="9" t="n">
        <x:v>51.51</x:v>
      </x:c>
      <x:c r="O906" s="2" t="str">
        <x:v>Valid</x:v>
      </x:c>
      <x:c r="P906" s="2" t="str">
        <x:v>EV001804</x:v>
      </x:c>
      <x:c r="Q906" s="8" t="n">
        <x:v>46302.453611111116</x:v>
      </x:c>
      <x:c r="R906" s="2" t="str">
        <x:v>R3S2</x:v>
      </x:c>
      <x:c r="S906" s="9" t="n">
        <x:v>25.291000000000004</x:v>
      </x:c>
      <x:c r="T906" s="9" t="n">
        <x:v>51.51</x:v>
      </x:c>
      <x:c r="U906" s="2" t="str">
        <x:v>G085</x:v>
      </x:c>
      <x:c r="V906" s="2" t="str">
        <x:v>Authorized guardian release</x:v>
      </x:c>
      <x:c r="W906" s="2" t="str">
        <x:v>Completed transport</x:v>
      </x:c>
      <x:c r="X906" s="2" t="str">
        <x:v>QR</x:v>
      </x:c>
      <x:c r="Y906" s="2" t="str">
        <x:v>Online</x:v>
      </x:c>
      <x:c r="Z906" s="2" t="str">
        <x:v>Synced</x:v>
      </x:c>
      <x:c r="AA906" s="2"/>
      <x:c r="AB906" s="2"/>
      <x:c r="AC906" s="10" t="n">
        <x:f>IF(OR(K906="",Q906=""),"",ROUND((Q906-K906)*1440,2))</x:f>
        <x:v>23</x:v>
      </x:c>
    </x:row>
    <x:row r="907" ht="21" customHeight="1">
      <x:c r="A907" s="2" t="str">
        <x:v>LN00906</x:v>
      </x:c>
      <x:c r="B907" s="2" t="str">
        <x:v>T20261007-2-3</x:v>
      </x:c>
      <x:c r="C907" s="7" t="n">
        <x:v>46302</x:v>
      </x:c>
      <x:c r="D907" s="2" t="str">
        <x:v>BUS003</x:v>
      </x:c>
      <x:c r="E907" s="2" t="str">
        <x:v>ST086</x:v>
      </x:c>
      <x:c r="F907" s="2" t="n">
        <x:v>1</x:v>
      </x:c>
      <x:c r="G907" s="2" t="str">
        <x:v>Junior</x:v>
      </x:c>
      <x:c r="H907" s="2" t="str">
        <x:v>Drop-off</x:v>
      </x:c>
      <x:c r="I907" s="2" t="str">
        <x:v>R3S3</x:v>
      </x:c>
      <x:c r="J907" s="2" t="str">
        <x:v>EV001805</x:v>
      </x:c>
      <x:c r="K907" s="8" t="n">
        <x:v>46302.43767361111</x:v>
      </x:c>
      <x:c r="L907" s="2" t="str">
        <x:v>SCH01</x:v>
      </x:c>
      <x:c r="M907" s="9" t="n">
        <x:v>25.285</x:v>
      </x:c>
      <x:c r="N907" s="9" t="n">
        <x:v>51.51</x:v>
      </x:c>
      <x:c r="O907" s="2" t="str">
        <x:v>Valid</x:v>
      </x:c>
      <x:c r="P907" s="2" t="str">
        <x:v>EV001806</x:v>
      </x:c>
      <x:c r="Q907" s="8" t="n">
        <x:v>46302.4578125</x:v>
      </x:c>
      <x:c r="R907" s="2" t="str">
        <x:v>R3S3</x:v>
      </x:c>
      <x:c r="S907" s="9" t="n">
        <x:v>25.293000000000003</x:v>
      </x:c>
      <x:c r="T907" s="9" t="n">
        <x:v>51.513</x:v>
      </x:c>
      <x:c r="U907" s="2" t="str">
        <x:v>G086</x:v>
      </x:c>
      <x:c r="V907" s="2" t="str">
        <x:v>Authorized guardian release</x:v>
      </x:c>
      <x:c r="W907" s="2" t="str">
        <x:v>Completed transport</x:v>
      </x:c>
      <x:c r="X907" s="2" t="str">
        <x:v>QR</x:v>
      </x:c>
      <x:c r="Y907" s="2" t="str">
        <x:v>Online</x:v>
      </x:c>
      <x:c r="Z907" s="2" t="str">
        <x:v>Synced</x:v>
      </x:c>
      <x:c r="AA907" s="2"/>
      <x:c r="AB907" s="2"/>
      <x:c r="AC907" s="10" t="n">
        <x:f>IF(OR(K907="",Q907=""),"",ROUND((Q907-K907)*1440,2))</x:f>
        <x:v>29</x:v>
      </x:c>
    </x:row>
    <x:row r="908" ht="21" customHeight="1">
      <x:c r="A908" s="2" t="str">
        <x:v>LN00907</x:v>
      </x:c>
      <x:c r="B908" s="2" t="str">
        <x:v>T20261007-2-3</x:v>
      </x:c>
      <x:c r="C908" s="7" t="n">
        <x:v>46302</x:v>
      </x:c>
      <x:c r="D908" s="2" t="str">
        <x:v>BUS003</x:v>
      </x:c>
      <x:c r="E908" s="2" t="str">
        <x:v>ST087</x:v>
      </x:c>
      <x:c r="F908" s="2" t="n">
        <x:v>1</x:v>
      </x:c>
      <x:c r="G908" s="2" t="str">
        <x:v>Junior</x:v>
      </x:c>
      <x:c r="H908" s="2" t="str">
        <x:v>Drop-off</x:v>
      </x:c>
      <x:c r="I908" s="2" t="str">
        <x:v>R3S1</x:v>
      </x:c>
      <x:c r="J908" s="2" t="str">
        <x:v>EV001807</x:v>
      </x:c>
      <x:c r="K908" s="8" t="n">
        <x:v>46302.43770833333</x:v>
      </x:c>
      <x:c r="L908" s="2" t="str">
        <x:v>SCH01</x:v>
      </x:c>
      <x:c r="M908" s="9" t="n">
        <x:v>25.285</x:v>
      </x:c>
      <x:c r="N908" s="9" t="n">
        <x:v>51.51</x:v>
      </x:c>
      <x:c r="O908" s="2" t="str">
        <x:v>Valid</x:v>
      </x:c>
      <x:c r="P908" s="2" t="str">
        <x:v>EV001808</x:v>
      </x:c>
      <x:c r="Q908" s="8" t="n">
        <x:v>46302.44951388888</x:v>
      </x:c>
      <x:c r="R908" s="2" t="str">
        <x:v>R3S1</x:v>
      </x:c>
      <x:c r="S908" s="9" t="n">
        <x:v>25.289</x:v>
      </x:c>
      <x:c r="T908" s="9" t="n">
        <x:v>51.507</x:v>
      </x:c>
      <x:c r="U908" s="2" t="str">
        <x:v>G087</x:v>
      </x:c>
      <x:c r="V908" s="2" t="str">
        <x:v>Authorized guardian release</x:v>
      </x:c>
      <x:c r="W908" s="2" t="str">
        <x:v>Completed transport</x:v>
      </x:c>
      <x:c r="X908" s="2" t="str">
        <x:v>QR</x:v>
      </x:c>
      <x:c r="Y908" s="2" t="str">
        <x:v>Online</x:v>
      </x:c>
      <x:c r="Z908" s="2" t="str">
        <x:v>Synced</x:v>
      </x:c>
      <x:c r="AA908" s="2"/>
      <x:c r="AB908" s="2"/>
      <x:c r="AC908" s="10" t="n">
        <x:f>IF(OR(K908="",Q908=""),"",ROUND((Q908-K908)*1440,2))</x:f>
        <x:v>17</x:v>
      </x:c>
    </x:row>
    <x:row r="909" ht="21" customHeight="1">
      <x:c r="A909" s="2" t="str">
        <x:v>LN00908</x:v>
      </x:c>
      <x:c r="B909" s="2" t="str">
        <x:v>T20261007-2-3</x:v>
      </x:c>
      <x:c r="C909" s="7" t="n">
        <x:v>46302</x:v>
      </x:c>
      <x:c r="D909" s="2" t="str">
        <x:v>BUS003</x:v>
      </x:c>
      <x:c r="E909" s="2" t="str">
        <x:v>ST088</x:v>
      </x:c>
      <x:c r="F909" s="2" t="n">
        <x:v>1</x:v>
      </x:c>
      <x:c r="G909" s="2" t="str">
        <x:v>Junior</x:v>
      </x:c>
      <x:c r="H909" s="2" t="str">
        <x:v>Drop-off</x:v>
      </x:c>
      <x:c r="I909" s="2" t="str">
        <x:v>R3S2</x:v>
      </x:c>
      <x:c r="J909" s="2" t="str">
        <x:v>EV001809</x:v>
      </x:c>
      <x:c r="K909" s="8" t="n">
        <x:v>46302.437743055554</x:v>
      </x:c>
      <x:c r="L909" s="2" t="str">
        <x:v>SCH01</x:v>
      </x:c>
      <x:c r="M909" s="9" t="n">
        <x:v>25.285</x:v>
      </x:c>
      <x:c r="N909" s="9" t="n">
        <x:v>51.51</x:v>
      </x:c>
      <x:c r="O909" s="2" t="str">
        <x:v>Valid</x:v>
      </x:c>
      <x:c r="P909" s="2" t="str">
        <x:v>EV001810</x:v>
      </x:c>
      <x:c r="Q909" s="8" t="n">
        <x:v>46302.45371527778</x:v>
      </x:c>
      <x:c r="R909" s="2" t="str">
        <x:v>R3S2</x:v>
      </x:c>
      <x:c r="S909" s="9" t="n">
        <x:v>25.291000000000004</x:v>
      </x:c>
      <x:c r="T909" s="9" t="n">
        <x:v>51.51</x:v>
      </x:c>
      <x:c r="U909" s="2" t="str">
        <x:v>G088</x:v>
      </x:c>
      <x:c r="V909" s="2" t="str">
        <x:v>Authorized guardian release</x:v>
      </x:c>
      <x:c r="W909" s="2" t="str">
        <x:v>Completed transport</x:v>
      </x:c>
      <x:c r="X909" s="2" t="str">
        <x:v>QR</x:v>
      </x:c>
      <x:c r="Y909" s="2" t="str">
        <x:v>Online</x:v>
      </x:c>
      <x:c r="Z909" s="2" t="str">
        <x:v>Synced</x:v>
      </x:c>
      <x:c r="AA909" s="2"/>
      <x:c r="AB909" s="2"/>
      <x:c r="AC909" s="10" t="n">
        <x:f>IF(OR(K909="",Q909=""),"",ROUND((Q909-K909)*1440,2))</x:f>
        <x:v>23</x:v>
      </x:c>
    </x:row>
    <x:row r="910" ht="21" customHeight="1">
      <x:c r="A910" s="2" t="str">
        <x:v>LN00909</x:v>
      </x:c>
      <x:c r="B910" s="2" t="str">
        <x:v>T20261007-2-3</x:v>
      </x:c>
      <x:c r="C910" s="7" t="n">
        <x:v>46302</x:v>
      </x:c>
      <x:c r="D910" s="2" t="str">
        <x:v>BUS003</x:v>
      </x:c>
      <x:c r="E910" s="2" t="str">
        <x:v>ST089</x:v>
      </x:c>
      <x:c r="F910" s="2" t="n">
        <x:v>1</x:v>
      </x:c>
      <x:c r="G910" s="2" t="str">
        <x:v>Junior</x:v>
      </x:c>
      <x:c r="H910" s="2" t="str">
        <x:v>Drop-off</x:v>
      </x:c>
      <x:c r="I910" s="2" t="str">
        <x:v>R3S3</x:v>
      </x:c>
      <x:c r="J910" s="2" t="str">
        <x:v>EV001811</x:v>
      </x:c>
      <x:c r="K910" s="8" t="n">
        <x:v>46302.43777777778</x:v>
      </x:c>
      <x:c r="L910" s="2" t="str">
        <x:v>SCH01</x:v>
      </x:c>
      <x:c r="M910" s="9" t="n">
        <x:v>25.285</x:v>
      </x:c>
      <x:c r="N910" s="9" t="n">
        <x:v>51.51</x:v>
      </x:c>
      <x:c r="O910" s="2" t="str">
        <x:v>Valid</x:v>
      </x:c>
      <x:c r="P910" s="2" t="str">
        <x:v>EV001812</x:v>
      </x:c>
      <x:c r="Q910" s="8" t="n">
        <x:v>46302.457916666666</x:v>
      </x:c>
      <x:c r="R910" s="2" t="str">
        <x:v>R3S3</x:v>
      </x:c>
      <x:c r="S910" s="9" t="n">
        <x:v>25.293000000000003</x:v>
      </x:c>
      <x:c r="T910" s="9" t="n">
        <x:v>51.513</x:v>
      </x:c>
      <x:c r="U910" s="2" t="str">
        <x:v>G089</x:v>
      </x:c>
      <x:c r="V910" s="2" t="str">
        <x:v>Authorized guardian release</x:v>
      </x:c>
      <x:c r="W910" s="2" t="str">
        <x:v>Completed transport</x:v>
      </x:c>
      <x:c r="X910" s="2" t="str">
        <x:v>QR</x:v>
      </x:c>
      <x:c r="Y910" s="2" t="str">
        <x:v>Online</x:v>
      </x:c>
      <x:c r="Z910" s="2" t="str">
        <x:v>Synced</x:v>
      </x:c>
      <x:c r="AA910" s="2"/>
      <x:c r="AB910" s="2"/>
      <x:c r="AC910" s="10" t="n">
        <x:f>IF(OR(K910="",Q910=""),"",ROUND((Q910-K910)*1440,2))</x:f>
        <x:v>29</x:v>
      </x:c>
    </x:row>
    <x:row r="911" ht="21" customHeight="1">
      <x:c r="A911" s="2" t="str">
        <x:v>LN00910</x:v>
      </x:c>
      <x:c r="B911" s="2" t="str">
        <x:v>T20261007-2-3</x:v>
      </x:c>
      <x:c r="C911" s="7" t="n">
        <x:v>46302</x:v>
      </x:c>
      <x:c r="D911" s="2" t="str">
        <x:v>BUS003</x:v>
      </x:c>
      <x:c r="E911" s="2" t="str">
        <x:v>ST090</x:v>
      </x:c>
      <x:c r="F911" s="2" t="n">
        <x:v>1</x:v>
      </x:c>
      <x:c r="G911" s="2" t="str">
        <x:v>Junior</x:v>
      </x:c>
      <x:c r="H911" s="2" t="str">
        <x:v>Drop-off</x:v>
      </x:c>
      <x:c r="I911" s="2" t="str">
        <x:v>R3S1</x:v>
      </x:c>
      <x:c r="J911" s="2" t="str">
        <x:v>EV001813</x:v>
      </x:c>
      <x:c r="K911" s="8" t="n">
        <x:v>46302.4378125</x:v>
      </x:c>
      <x:c r="L911" s="2" t="str">
        <x:v>SCH01</x:v>
      </x:c>
      <x:c r="M911" s="9" t="n">
        <x:v>25.285</x:v>
      </x:c>
      <x:c r="N911" s="9" t="n">
        <x:v>51.51</x:v>
      </x:c>
      <x:c r="O911" s="2" t="str">
        <x:v>Valid</x:v>
      </x:c>
      <x:c r="P911" s="2" t="str">
        <x:v>EV001814</x:v>
      </x:c>
      <x:c r="Q911" s="8" t="n">
        <x:v>46302.44961805555</x:v>
      </x:c>
      <x:c r="R911" s="2" t="str">
        <x:v>R3S1</x:v>
      </x:c>
      <x:c r="S911" s="9" t="n">
        <x:v>25.289</x:v>
      </x:c>
      <x:c r="T911" s="9" t="n">
        <x:v>51.507</x:v>
      </x:c>
      <x:c r="U911" s="2" t="str">
        <x:v>G090</x:v>
      </x:c>
      <x:c r="V911" s="2" t="str">
        <x:v>Authorized guardian release</x:v>
      </x:c>
      <x:c r="W911" s="2" t="str">
        <x:v>Completed transport</x:v>
      </x:c>
      <x:c r="X911" s="2" t="str">
        <x:v>QR</x:v>
      </x:c>
      <x:c r="Y911" s="2" t="str">
        <x:v>Online</x:v>
      </x:c>
      <x:c r="Z911" s="2" t="str">
        <x:v>Synced</x:v>
      </x:c>
      <x:c r="AA911" s="2"/>
      <x:c r="AB911" s="2"/>
      <x:c r="AC911" s="10" t="n">
        <x:f>IF(OR(K911="",Q911=""),"",ROUND((Q911-K911)*1440,2))</x:f>
        <x:v>17</x:v>
      </x:c>
    </x:row>
    <x:row r="912" ht="21" customHeight="1">
      <x:c r="A912" s="2" t="str">
        <x:v>LN00911</x:v>
      </x:c>
      <x:c r="B912" s="2" t="str">
        <x:v>T20261007-2-3</x:v>
      </x:c>
      <x:c r="C912" s="7" t="n">
        <x:v>46302</x:v>
      </x:c>
      <x:c r="D912" s="2" t="str">
        <x:v>BUS003</x:v>
      </x:c>
      <x:c r="E912" s="2" t="str">
        <x:v>ST101</x:v>
      </x:c>
      <x:c r="F912" s="2" t="n">
        <x:v>2</x:v>
      </x:c>
      <x:c r="G912" s="2" t="str">
        <x:v>Junior</x:v>
      </x:c>
      <x:c r="H912" s="2" t="str">
        <x:v>Pickup</x:v>
      </x:c>
      <x:c r="I912" s="2" t="str">
        <x:v>R3S3</x:v>
      </x:c>
      <x:c r="J912" s="2" t="str">
        <x:v>EV001815</x:v>
      </x:c>
      <x:c r="K912" s="8" t="n">
        <x:v>46302.48125</x:v>
      </x:c>
      <x:c r="L912" s="2" t="str">
        <x:v>R3S3</x:v>
      </x:c>
      <x:c r="M912" s="9" t="n">
        <x:v>25.293000000000003</x:v>
      </x:c>
      <x:c r="N912" s="9" t="n">
        <x:v>51.513</x:v>
      </x:c>
      <x:c r="O912" s="2" t="str">
        <x:v>Valid</x:v>
      </x:c>
      <x:c r="P912" s="2" t="str">
        <x:v>EV001816</x:v>
      </x:c>
      <x:c r="Q912" s="8" t="n">
        <x:v>46302.506250000006</x:v>
      </x:c>
      <x:c r="R912" s="2" t="str">
        <x:v>SCH01</x:v>
      </x:c>
      <x:c r="S912" s="9" t="n">
        <x:v>25.285</x:v>
      </x:c>
      <x:c r="T912" s="9" t="n">
        <x:v>51.51</x:v>
      </x:c>
      <x:c r="U912" s="2" t="str">
        <x:v>SCHOOL_RECEIVER_01</x:v>
      </x:c>
      <x:c r="V912" s="2" t="str">
        <x:v>School staff receipt</x:v>
      </x:c>
      <x:c r="W912" s="2" t="str">
        <x:v>Completed transport</x:v>
      </x:c>
      <x:c r="X912" s="2" t="str">
        <x:v>QR</x:v>
      </x:c>
      <x:c r="Y912" s="2" t="str">
        <x:v>Online</x:v>
      </x:c>
      <x:c r="Z912" s="2" t="str">
        <x:v>Synced</x:v>
      </x:c>
      <x:c r="AA912" s="2"/>
      <x:c r="AB912" s="2"/>
      <x:c r="AC912" s="10" t="n">
        <x:f>IF(OR(K912="",Q912=""),"",ROUND((Q912-K912)*1440,2))</x:f>
        <x:v>36</x:v>
      </x:c>
    </x:row>
    <x:row r="913" ht="21" customHeight="1">
      <x:c r="A913" s="2" t="str">
        <x:v>LN00912</x:v>
      </x:c>
      <x:c r="B913" s="2" t="str">
        <x:v>T20261007-2-3</x:v>
      </x:c>
      <x:c r="C913" s="7" t="n">
        <x:v>46302</x:v>
      </x:c>
      <x:c r="D913" s="2" t="str">
        <x:v>BUS003</x:v>
      </x:c>
      <x:c r="E913" s="2" t="str">
        <x:v>ST102</x:v>
      </x:c>
      <x:c r="F913" s="2" t="n">
        <x:v>2</x:v>
      </x:c>
      <x:c r="G913" s="2" t="str">
        <x:v>Junior</x:v>
      </x:c>
      <x:c r="H913" s="2" t="str">
        <x:v>Pickup</x:v>
      </x:c>
      <x:c r="I913" s="2" t="str">
        <x:v>R3S1</x:v>
      </x:c>
      <x:c r="J913" s="2" t="str">
        <x:v>EV001817</x:v>
      </x:c>
      <x:c r="K913" s="8" t="n">
        <x:v>46302.4715625</x:v>
      </x:c>
      <x:c r="L913" s="2" t="str">
        <x:v>R3S1</x:v>
      </x:c>
      <x:c r="M913" s="9" t="n">
        <x:v>25.289</x:v>
      </x:c>
      <x:c r="N913" s="9" t="n">
        <x:v>51.507</x:v>
      </x:c>
      <x:c r="O913" s="2" t="str">
        <x:v>Valid</x:v>
      </x:c>
      <x:c r="P913" s="2" t="str">
        <x:v>EV001818</x:v>
      </x:c>
      <x:c r="Q913" s="8" t="n">
        <x:v>46302.50628472223</x:v>
      </x:c>
      <x:c r="R913" s="2" t="str">
        <x:v>SCH01</x:v>
      </x:c>
      <x:c r="S913" s="9" t="n">
        <x:v>25.285</x:v>
      </x:c>
      <x:c r="T913" s="9" t="n">
        <x:v>51.51</x:v>
      </x:c>
      <x:c r="U913" s="2" t="str">
        <x:v>SCHOOL_RECEIVER_01</x:v>
      </x:c>
      <x:c r="V913" s="2" t="str">
        <x:v>School staff receipt</x:v>
      </x:c>
      <x:c r="W913" s="2" t="str">
        <x:v>Completed transport</x:v>
      </x:c>
      <x:c r="X913" s="2" t="str">
        <x:v>QR</x:v>
      </x:c>
      <x:c r="Y913" s="2" t="str">
        <x:v>Online</x:v>
      </x:c>
      <x:c r="Z913" s="2" t="str">
        <x:v>Synced</x:v>
      </x:c>
      <x:c r="AA913" s="2"/>
      <x:c r="AB913" s="2"/>
      <x:c r="AC913" s="10" t="n">
        <x:f>IF(OR(K913="",Q913=""),"",ROUND((Q913-K913)*1440,2))</x:f>
        <x:v>50</x:v>
      </x:c>
    </x:row>
    <x:row r="914" ht="21" customHeight="1">
      <x:c r="A914" s="2" t="str">
        <x:v>LN00913</x:v>
      </x:c>
      <x:c r="B914" s="2" t="str">
        <x:v>T20261007-2-3</x:v>
      </x:c>
      <x:c r="C914" s="7" t="n">
        <x:v>46302</x:v>
      </x:c>
      <x:c r="D914" s="2" t="str">
        <x:v>BUS003</x:v>
      </x:c>
      <x:c r="E914" s="2" t="str">
        <x:v>ST103</x:v>
      </x:c>
      <x:c r="F914" s="2" t="n">
        <x:v>2</x:v>
      </x:c>
      <x:c r="G914" s="2" t="str">
        <x:v>Junior</x:v>
      </x:c>
      <x:c r="H914" s="2" t="str">
        <x:v>Pickup</x:v>
      </x:c>
      <x:c r="I914" s="2" t="str">
        <x:v>R3S2</x:v>
      </x:c>
      <x:c r="J914" s="2" t="str">
        <x:v>EV001819</x:v>
      </x:c>
      <x:c r="K914" s="8" t="n">
        <x:v>46302.47645833333</x:v>
      </x:c>
      <x:c r="L914" s="2" t="str">
        <x:v>R3S2</x:v>
      </x:c>
      <x:c r="M914" s="9" t="n">
        <x:v>25.291000000000004</x:v>
      </x:c>
      <x:c r="N914" s="9" t="n">
        <x:v>51.51</x:v>
      </x:c>
      <x:c r="O914" s="2" t="str">
        <x:v>Valid</x:v>
      </x:c>
      <x:c r="P914" s="2" t="str">
        <x:v>EV001820</x:v>
      </x:c>
      <x:c r="Q914" s="8" t="n">
        <x:v>46302.506319444445</x:v>
      </x:c>
      <x:c r="R914" s="2" t="str">
        <x:v>SCH01</x:v>
      </x:c>
      <x:c r="S914" s="9" t="n">
        <x:v>25.285</x:v>
      </x:c>
      <x:c r="T914" s="9" t="n">
        <x:v>51.51</x:v>
      </x:c>
      <x:c r="U914" s="2" t="str">
        <x:v>SCHOOL_RECEIVER_01</x:v>
      </x:c>
      <x:c r="V914" s="2" t="str">
        <x:v>School staff receipt</x:v>
      </x:c>
      <x:c r="W914" s="2" t="str">
        <x:v>Completed transport</x:v>
      </x:c>
      <x:c r="X914" s="2" t="str">
        <x:v>QR</x:v>
      </x:c>
      <x:c r="Y914" s="2" t="str">
        <x:v>Online</x:v>
      </x:c>
      <x:c r="Z914" s="2" t="str">
        <x:v>Synced</x:v>
      </x:c>
      <x:c r="AA914" s="2"/>
      <x:c r="AB914" s="2"/>
      <x:c r="AC914" s="10" t="n">
        <x:f>IF(OR(K914="",Q914=""),"",ROUND((Q914-K914)*1440,2))</x:f>
        <x:v>43</x:v>
      </x:c>
    </x:row>
    <x:row r="915" ht="21" customHeight="1">
      <x:c r="A915" s="2" t="str">
        <x:v>LN00914</x:v>
      </x:c>
      <x:c r="B915" s="2" t="str">
        <x:v>T20261007-2-3</x:v>
      </x:c>
      <x:c r="C915" s="7" t="n">
        <x:v>46302</x:v>
      </x:c>
      <x:c r="D915" s="2" t="str">
        <x:v>BUS003</x:v>
      </x:c>
      <x:c r="E915" s="2" t="str">
        <x:v>ST104</x:v>
      </x:c>
      <x:c r="F915" s="2" t="n">
        <x:v>2</x:v>
      </x:c>
      <x:c r="G915" s="2" t="str">
        <x:v>Junior</x:v>
      </x:c>
      <x:c r="H915" s="2" t="str">
        <x:v>Pickup</x:v>
      </x:c>
      <x:c r="I915" s="2" t="str">
        <x:v>R3S3</x:v>
      </x:c>
      <x:c r="J915" s="2" t="str">
        <x:v>EV001821</x:v>
      </x:c>
      <x:c r="K915" s="8" t="n">
        <x:v>46302.481354166666</x:v>
      </x:c>
      <x:c r="L915" s="2" t="str">
        <x:v>R3S3</x:v>
      </x:c>
      <x:c r="M915" s="9" t="n">
        <x:v>25.293000000000003</x:v>
      </x:c>
      <x:c r="N915" s="9" t="n">
        <x:v>51.513</x:v>
      </x:c>
      <x:c r="O915" s="2" t="str">
        <x:v>Valid</x:v>
      </x:c>
      <x:c r="P915" s="2" t="str">
        <x:v>EV001822</x:v>
      </x:c>
      <x:c r="Q915" s="8" t="n">
        <x:v>46302.50635416667</x:v>
      </x:c>
      <x:c r="R915" s="2" t="str">
        <x:v>SCH01</x:v>
      </x:c>
      <x:c r="S915" s="9" t="n">
        <x:v>25.285</x:v>
      </x:c>
      <x:c r="T915" s="9" t="n">
        <x:v>51.51</x:v>
      </x:c>
      <x:c r="U915" s="2" t="str">
        <x:v>SCHOOL_RECEIVER_01</x:v>
      </x:c>
      <x:c r="V915" s="2" t="str">
        <x:v>School staff receipt</x:v>
      </x:c>
      <x:c r="W915" s="2" t="str">
        <x:v>Completed transport</x:v>
      </x:c>
      <x:c r="X915" s="2" t="str">
        <x:v>QR</x:v>
      </x:c>
      <x:c r="Y915" s="2" t="str">
        <x:v>Online</x:v>
      </x:c>
      <x:c r="Z915" s="2" t="str">
        <x:v>Synced</x:v>
      </x:c>
      <x:c r="AA915" s="2"/>
      <x:c r="AB915" s="2"/>
      <x:c r="AC915" s="10" t="n">
        <x:f>IF(OR(K915="",Q915=""),"",ROUND((Q915-K915)*1440,2))</x:f>
        <x:v>36</x:v>
      </x:c>
    </x:row>
    <x:row r="916" ht="21" customHeight="1">
      <x:c r="A916" s="2" t="str">
        <x:v>LN00915</x:v>
      </x:c>
      <x:c r="B916" s="2" t="str">
        <x:v>T20261007-2-3</x:v>
      </x:c>
      <x:c r="C916" s="7" t="n">
        <x:v>46302</x:v>
      </x:c>
      <x:c r="D916" s="2" t="str">
        <x:v>BUS003</x:v>
      </x:c>
      <x:c r="E916" s="2" t="str">
        <x:v>ST105</x:v>
      </x:c>
      <x:c r="F916" s="2" t="n">
        <x:v>2</x:v>
      </x:c>
      <x:c r="G916" s="2" t="str">
        <x:v>Junior</x:v>
      </x:c>
      <x:c r="H916" s="2" t="str">
        <x:v>Pickup</x:v>
      </x:c>
      <x:c r="I916" s="2" t="str">
        <x:v>R3S1</x:v>
      </x:c>
      <x:c r="J916" s="2" t="str">
        <x:v>EV001823</x:v>
      </x:c>
      <x:c r="K916" s="8" t="n">
        <x:v>46302.47166666667</x:v>
      </x:c>
      <x:c r="L916" s="2" t="str">
        <x:v>R3S1</x:v>
      </x:c>
      <x:c r="M916" s="9" t="n">
        <x:v>25.289</x:v>
      </x:c>
      <x:c r="N916" s="9" t="n">
        <x:v>51.507</x:v>
      </x:c>
      <x:c r="O916" s="2" t="str">
        <x:v>Valid</x:v>
      </x:c>
      <x:c r="P916" s="2" t="str">
        <x:v>EV001824</x:v>
      </x:c>
      <x:c r="Q916" s="8" t="n">
        <x:v>46302.50638888889</x:v>
      </x:c>
      <x:c r="R916" s="2" t="str">
        <x:v>SCH01</x:v>
      </x:c>
      <x:c r="S916" s="9" t="n">
        <x:v>25.285</x:v>
      </x:c>
      <x:c r="T916" s="9" t="n">
        <x:v>51.51</x:v>
      </x:c>
      <x:c r="U916" s="2" t="str">
        <x:v>SCHOOL_RECEIVER_01</x:v>
      </x:c>
      <x:c r="V916" s="2" t="str">
        <x:v>School staff receipt</x:v>
      </x:c>
      <x:c r="W916" s="2" t="str">
        <x:v>Completed transport</x:v>
      </x:c>
      <x:c r="X916" s="2" t="str">
        <x:v>QR</x:v>
      </x:c>
      <x:c r="Y916" s="2" t="str">
        <x:v>Online</x:v>
      </x:c>
      <x:c r="Z916" s="2" t="str">
        <x:v>Synced</x:v>
      </x:c>
      <x:c r="AA916" s="2"/>
      <x:c r="AB916" s="2"/>
      <x:c r="AC916" s="10" t="n">
        <x:f>IF(OR(K916="",Q916=""),"",ROUND((Q916-K916)*1440,2))</x:f>
        <x:v>50</x:v>
      </x:c>
    </x:row>
    <x:row r="917" ht="21" customHeight="1">
      <x:c r="A917" s="2" t="str">
        <x:v>LN00916</x:v>
      </x:c>
      <x:c r="B917" s="2" t="str">
        <x:v>T20261007-2-3</x:v>
      </x:c>
      <x:c r="C917" s="7" t="n">
        <x:v>46302</x:v>
      </x:c>
      <x:c r="D917" s="2" t="str">
        <x:v>BUS003</x:v>
      </x:c>
      <x:c r="E917" s="2" t="str">
        <x:v>ST106</x:v>
      </x:c>
      <x:c r="F917" s="2" t="n">
        <x:v>2</x:v>
      </x:c>
      <x:c r="G917" s="2" t="str">
        <x:v>Junior</x:v>
      </x:c>
      <x:c r="H917" s="2" t="str">
        <x:v>Pickup</x:v>
      </x:c>
      <x:c r="I917" s="2" t="str">
        <x:v>R3S2</x:v>
      </x:c>
      <x:c r="J917" s="2" t="str">
        <x:v>EV001825</x:v>
      </x:c>
      <x:c r="K917" s="8" t="n">
        <x:v>46302.47656249999</x:v>
      </x:c>
      <x:c r="L917" s="2" t="str">
        <x:v>R3S2</x:v>
      </x:c>
      <x:c r="M917" s="9" t="n">
        <x:v>25.291000000000004</x:v>
      </x:c>
      <x:c r="N917" s="9" t="n">
        <x:v>51.51</x:v>
      </x:c>
      <x:c r="O917" s="2" t="str">
        <x:v>Valid</x:v>
      </x:c>
      <x:c r="P917" s="2" t="str">
        <x:v>EV001826</x:v>
      </x:c>
      <x:c r="Q917" s="8" t="n">
        <x:v>46302.506423611114</x:v>
      </x:c>
      <x:c r="R917" s="2" t="str">
        <x:v>SCH01</x:v>
      </x:c>
      <x:c r="S917" s="9" t="n">
        <x:v>25.285</x:v>
      </x:c>
      <x:c r="T917" s="9" t="n">
        <x:v>51.51</x:v>
      </x:c>
      <x:c r="U917" s="2" t="str">
        <x:v>SCHOOL_RECEIVER_01</x:v>
      </x:c>
      <x:c r="V917" s="2" t="str">
        <x:v>School staff receipt</x:v>
      </x:c>
      <x:c r="W917" s="2" t="str">
        <x:v>Completed transport</x:v>
      </x:c>
      <x:c r="X917" s="2" t="str">
        <x:v>QR</x:v>
      </x:c>
      <x:c r="Y917" s="2" t="str">
        <x:v>Online</x:v>
      </x:c>
      <x:c r="Z917" s="2" t="str">
        <x:v>Synced</x:v>
      </x:c>
      <x:c r="AA917" s="2"/>
      <x:c r="AB917" s="2"/>
      <x:c r="AC917" s="10" t="n">
        <x:f>IF(OR(K917="",Q917=""),"",ROUND((Q917-K917)*1440,2))</x:f>
        <x:v>43</x:v>
      </x:c>
    </x:row>
    <x:row r="918" ht="21" customHeight="1">
      <x:c r="A918" s="2" t="str">
        <x:v>LN00917</x:v>
      </x:c>
      <x:c r="B918" s="2" t="str">
        <x:v>T20261007-2-3</x:v>
      </x:c>
      <x:c r="C918" s="7" t="n">
        <x:v>46302</x:v>
      </x:c>
      <x:c r="D918" s="2" t="str">
        <x:v>BUS003</x:v>
      </x:c>
      <x:c r="E918" s="2" t="str">
        <x:v>ST107</x:v>
      </x:c>
      <x:c r="F918" s="2" t="n">
        <x:v>2</x:v>
      </x:c>
      <x:c r="G918" s="2" t="str">
        <x:v>Junior</x:v>
      </x:c>
      <x:c r="H918" s="2" t="str">
        <x:v>Pickup</x:v>
      </x:c>
      <x:c r="I918" s="2" t="str">
        <x:v>R3S3</x:v>
      </x:c>
      <x:c r="J918" s="2" t="str">
        <x:v>EV001827</x:v>
      </x:c>
      <x:c r="K918" s="8" t="n">
        <x:v>46302.48145833333</x:v>
      </x:c>
      <x:c r="L918" s="2" t="str">
        <x:v>R3S3</x:v>
      </x:c>
      <x:c r="M918" s="9" t="n">
        <x:v>25.293000000000003</x:v>
      </x:c>
      <x:c r="N918" s="9" t="n">
        <x:v>51.513</x:v>
      </x:c>
      <x:c r="O918" s="2" t="str">
        <x:v>Valid</x:v>
      </x:c>
      <x:c r="P918" s="2" t="str">
        <x:v>EV001828</x:v>
      </x:c>
      <x:c r="Q918" s="8" t="n">
        <x:v>46302.50645833334</x:v>
      </x:c>
      <x:c r="R918" s="2" t="str">
        <x:v>SCH01</x:v>
      </x:c>
      <x:c r="S918" s="9" t="n">
        <x:v>25.285</x:v>
      </x:c>
      <x:c r="T918" s="9" t="n">
        <x:v>51.51</x:v>
      </x:c>
      <x:c r="U918" s="2" t="str">
        <x:v>SCHOOL_RECEIVER_01</x:v>
      </x:c>
      <x:c r="V918" s="2" t="str">
        <x:v>School staff receipt</x:v>
      </x:c>
      <x:c r="W918" s="2" t="str">
        <x:v>Completed transport</x:v>
      </x:c>
      <x:c r="X918" s="2" t="str">
        <x:v>QR</x:v>
      </x:c>
      <x:c r="Y918" s="2" t="str">
        <x:v>Online</x:v>
      </x:c>
      <x:c r="Z918" s="2" t="str">
        <x:v>Synced</x:v>
      </x:c>
      <x:c r="AA918" s="2"/>
      <x:c r="AB918" s="2"/>
      <x:c r="AC918" s="10" t="n">
        <x:f>IF(OR(K918="",Q918=""),"",ROUND((Q918-K918)*1440,2))</x:f>
        <x:v>36</x:v>
      </x:c>
    </x:row>
    <x:row r="919" ht="21" customHeight="1">
      <x:c r="A919" s="2" t="str">
        <x:v>LN00918</x:v>
      </x:c>
      <x:c r="B919" s="2" t="str">
        <x:v>T20261007-2-3</x:v>
      </x:c>
      <x:c r="C919" s="7" t="n">
        <x:v>46302</x:v>
      </x:c>
      <x:c r="D919" s="2" t="str">
        <x:v>BUS003</x:v>
      </x:c>
      <x:c r="E919" s="2" t="str">
        <x:v>ST108</x:v>
      </x:c>
      <x:c r="F919" s="2" t="n">
        <x:v>2</x:v>
      </x:c>
      <x:c r="G919" s="2" t="str">
        <x:v>Junior</x:v>
      </x:c>
      <x:c r="H919" s="2" t="str">
        <x:v>Pickup</x:v>
      </x:c>
      <x:c r="I919" s="2" t="str">
        <x:v>R3S1</x:v>
      </x:c>
      <x:c r="J919" s="2" t="str">
        <x:v>EV001829</x:v>
      </x:c>
      <x:c r="K919" s="8" t="n">
        <x:v>46302.471770833334</x:v>
      </x:c>
      <x:c r="L919" s="2" t="str">
        <x:v>R3S1</x:v>
      </x:c>
      <x:c r="M919" s="9" t="n">
        <x:v>25.289</x:v>
      </x:c>
      <x:c r="N919" s="9" t="n">
        <x:v>51.507</x:v>
      </x:c>
      <x:c r="O919" s="2" t="str">
        <x:v>Valid</x:v>
      </x:c>
      <x:c r="P919" s="2" t="str">
        <x:v>EV001830</x:v>
      </x:c>
      <x:c r="Q919" s="8" t="n">
        <x:v>46302.50649305556</x:v>
      </x:c>
      <x:c r="R919" s="2" t="str">
        <x:v>SCH01</x:v>
      </x:c>
      <x:c r="S919" s="9" t="n">
        <x:v>25.285</x:v>
      </x:c>
      <x:c r="T919" s="9" t="n">
        <x:v>51.51</x:v>
      </x:c>
      <x:c r="U919" s="2" t="str">
        <x:v>SCHOOL_RECEIVER_01</x:v>
      </x:c>
      <x:c r="V919" s="2" t="str">
        <x:v>School staff receipt</x:v>
      </x:c>
      <x:c r="W919" s="2" t="str">
        <x:v>Completed transport</x:v>
      </x:c>
      <x:c r="X919" s="2" t="str">
        <x:v>QR</x:v>
      </x:c>
      <x:c r="Y919" s="2" t="str">
        <x:v>Online</x:v>
      </x:c>
      <x:c r="Z919" s="2" t="str">
        <x:v>Synced</x:v>
      </x:c>
      <x:c r="AA919" s="2"/>
      <x:c r="AB919" s="2"/>
      <x:c r="AC919" s="10" t="n">
        <x:f>IF(OR(K919="",Q919=""),"",ROUND((Q919-K919)*1440,2))</x:f>
        <x:v>50</x:v>
      </x:c>
    </x:row>
    <x:row r="920" ht="21" customHeight="1">
      <x:c r="A920" s="2" t="str">
        <x:v>LN00919</x:v>
      </x:c>
      <x:c r="B920" s="2" t="str">
        <x:v>T20261007-2-3</x:v>
      </x:c>
      <x:c r="C920" s="7" t="n">
        <x:v>46302</x:v>
      </x:c>
      <x:c r="D920" s="2" t="str">
        <x:v>BUS003</x:v>
      </x:c>
      <x:c r="E920" s="2" t="str">
        <x:v>ST109</x:v>
      </x:c>
      <x:c r="F920" s="2" t="n">
        <x:v>2</x:v>
      </x:c>
      <x:c r="G920" s="2" t="str">
        <x:v>Junior</x:v>
      </x:c>
      <x:c r="H920" s="2" t="str">
        <x:v>Pickup</x:v>
      </x:c>
      <x:c r="I920" s="2" t="str">
        <x:v>R3S2</x:v>
      </x:c>
      <x:c r="J920" s="2" t="str">
        <x:v>EV001831</x:v>
      </x:c>
      <x:c r="K920" s="8" t="n">
        <x:v>46302.47666666666</x:v>
      </x:c>
      <x:c r="L920" s="2" t="str">
        <x:v>R3S2</x:v>
      </x:c>
      <x:c r="M920" s="9" t="n">
        <x:v>25.291000000000004</x:v>
      </x:c>
      <x:c r="N920" s="9" t="n">
        <x:v>51.51</x:v>
      </x:c>
      <x:c r="O920" s="2" t="str">
        <x:v>Valid</x:v>
      </x:c>
      <x:c r="P920" s="2" t="str">
        <x:v>EV001832</x:v>
      </x:c>
      <x:c r="Q920" s="8" t="n">
        <x:v>46302.50652777778</x:v>
      </x:c>
      <x:c r="R920" s="2" t="str">
        <x:v>SCH01</x:v>
      </x:c>
      <x:c r="S920" s="9" t="n">
        <x:v>25.285</x:v>
      </x:c>
      <x:c r="T920" s="9" t="n">
        <x:v>51.51</x:v>
      </x:c>
      <x:c r="U920" s="2" t="str">
        <x:v>SCHOOL_RECEIVER_01</x:v>
      </x:c>
      <x:c r="V920" s="2" t="str">
        <x:v>School staff receipt</x:v>
      </x:c>
      <x:c r="W920" s="2" t="str">
        <x:v>Completed transport</x:v>
      </x:c>
      <x:c r="X920" s="2" t="str">
        <x:v>QR</x:v>
      </x:c>
      <x:c r="Y920" s="2" t="str">
        <x:v>Online</x:v>
      </x:c>
      <x:c r="Z920" s="2" t="str">
        <x:v>Synced</x:v>
      </x:c>
      <x:c r="AA920" s="2"/>
      <x:c r="AB920" s="2"/>
      <x:c r="AC920" s="10" t="n">
        <x:f>IF(OR(K920="",Q920=""),"",ROUND((Q920-K920)*1440,2))</x:f>
        <x:v>43</x:v>
      </x:c>
    </x:row>
    <x:row r="921" ht="21" customHeight="1">
      <x:c r="A921" s="2" t="str">
        <x:v>LN00920</x:v>
      </x:c>
      <x:c r="B921" s="2" t="str">
        <x:v>T20261007-2-3</x:v>
      </x:c>
      <x:c r="C921" s="7" t="n">
        <x:v>46302</x:v>
      </x:c>
      <x:c r="D921" s="2" t="str">
        <x:v>BUS003</x:v>
      </x:c>
      <x:c r="E921" s="2" t="str">
        <x:v>ST110</x:v>
      </x:c>
      <x:c r="F921" s="2" t="n">
        <x:v>2</x:v>
      </x:c>
      <x:c r="G921" s="2" t="str">
        <x:v>Junior</x:v>
      </x:c>
      <x:c r="H921" s="2" t="str">
        <x:v>Pickup</x:v>
      </x:c>
      <x:c r="I921" s="2" t="str">
        <x:v>R3S3</x:v>
      </x:c>
      <x:c r="J921" s="2" t="str">
        <x:v>EV001833</x:v>
      </x:c>
      <x:c r="K921" s="8" t="n">
        <x:v>46302.4815625</x:v>
      </x:c>
      <x:c r="L921" s="2" t="str">
        <x:v>R3S3</x:v>
      </x:c>
      <x:c r="M921" s="9" t="n">
        <x:v>25.293000000000003</x:v>
      </x:c>
      <x:c r="N921" s="9" t="n">
        <x:v>51.513</x:v>
      </x:c>
      <x:c r="O921" s="2" t="str">
        <x:v>Valid</x:v>
      </x:c>
      <x:c r="P921" s="2" t="str">
        <x:v>EV001834</x:v>
      </x:c>
      <x:c r="Q921" s="8" t="n">
        <x:v>46302.506562500006</x:v>
      </x:c>
      <x:c r="R921" s="2" t="str">
        <x:v>SCH01</x:v>
      </x:c>
      <x:c r="S921" s="9" t="n">
        <x:v>25.285</x:v>
      </x:c>
      <x:c r="T921" s="9" t="n">
        <x:v>51.51</x:v>
      </x:c>
      <x:c r="U921" s="2" t="str">
        <x:v>SCHOOL_RECEIVER_01</x:v>
      </x:c>
      <x:c r="V921" s="2" t="str">
        <x:v>School staff receipt</x:v>
      </x:c>
      <x:c r="W921" s="2" t="str">
        <x:v>Completed transport</x:v>
      </x:c>
      <x:c r="X921" s="2" t="str">
        <x:v>QR</x:v>
      </x:c>
      <x:c r="Y921" s="2" t="str">
        <x:v>Online</x:v>
      </x:c>
      <x:c r="Z921" s="2" t="str">
        <x:v>Synced</x:v>
      </x:c>
      <x:c r="AA921" s="2"/>
      <x:c r="AB921" s="2"/>
      <x:c r="AC921" s="10" t="n">
        <x:f>IF(OR(K921="",Q921=""),"",ROUND((Q921-K921)*1440,2))</x:f>
        <x:v>36</x:v>
      </x:c>
    </x:row>
    <x:row r="922" ht="21" customHeight="1">
      <x:c r="A922" s="2" t="str">
        <x:v>LN00921</x:v>
      </x:c>
      <x:c r="B922" s="2" t="str">
        <x:v>T20261007-2-3</x:v>
      </x:c>
      <x:c r="C922" s="7" t="n">
        <x:v>46302</x:v>
      </x:c>
      <x:c r="D922" s="2" t="str">
        <x:v>BUS003</x:v>
      </x:c>
      <x:c r="E922" s="2" t="str">
        <x:v>ST111</x:v>
      </x:c>
      <x:c r="F922" s="2" t="n">
        <x:v>2</x:v>
      </x:c>
      <x:c r="G922" s="2" t="str">
        <x:v>Senior</x:v>
      </x:c>
      <x:c r="H922" s="2" t="str">
        <x:v>Pickup</x:v>
      </x:c>
      <x:c r="I922" s="2" t="str">
        <x:v>R3S1</x:v>
      </x:c>
      <x:c r="J922" s="2" t="str">
        <x:v>EV001835</x:v>
      </x:c>
      <x:c r="K922" s="8" t="n">
        <x:v>46302.47152777778</x:v>
      </x:c>
      <x:c r="L922" s="2" t="str">
        <x:v>R3S1</x:v>
      </x:c>
      <x:c r="M922" s="9" t="n">
        <x:v>25.289</x:v>
      </x:c>
      <x:c r="N922" s="9" t="n">
        <x:v>51.507</x:v>
      </x:c>
      <x:c r="O922" s="2" t="str">
        <x:v>Valid</x:v>
      </x:c>
      <x:c r="P922" s="2" t="str">
        <x:v>EV001836</x:v>
      </x:c>
      <x:c r="Q922" s="8" t="n">
        <x:v>46302.50659722223</x:v>
      </x:c>
      <x:c r="R922" s="2" t="str">
        <x:v>SCH01</x:v>
      </x:c>
      <x:c r="S922" s="9" t="n">
        <x:v>25.285</x:v>
      </x:c>
      <x:c r="T922" s="9" t="n">
        <x:v>51.51</x:v>
      </x:c>
      <x:c r="U922" s="2" t="str">
        <x:v>SCHOOL_RECEIVER_01</x:v>
      </x:c>
      <x:c r="V922" s="2" t="str">
        <x:v>School staff receipt</x:v>
      </x:c>
      <x:c r="W922" s="2" t="str">
        <x:v>Completed transport</x:v>
      </x:c>
      <x:c r="X922" s="2" t="str">
        <x:v>QR</x:v>
      </x:c>
      <x:c r="Y922" s="2" t="str">
        <x:v>Online</x:v>
      </x:c>
      <x:c r="Z922" s="2" t="str">
        <x:v>Synced</x:v>
      </x:c>
      <x:c r="AA922" s="2"/>
      <x:c r="AB922" s="2"/>
      <x:c r="AC922" s="10" t="n">
        <x:f>IF(OR(K922="",Q922=""),"",ROUND((Q922-K922)*1440,2))</x:f>
        <x:v>50.5</x:v>
      </x:c>
    </x:row>
    <x:row r="923" ht="21" customHeight="1">
      <x:c r="A923" s="2" t="str">
        <x:v>LN00922</x:v>
      </x:c>
      <x:c r="B923" s="2" t="str">
        <x:v>T20261007-2-3</x:v>
      </x:c>
      <x:c r="C923" s="7" t="n">
        <x:v>46302</x:v>
      </x:c>
      <x:c r="D923" s="2" t="str">
        <x:v>BUS003</x:v>
      </x:c>
      <x:c r="E923" s="2" t="str">
        <x:v>ST112</x:v>
      </x:c>
      <x:c r="F923" s="2" t="n">
        <x:v>2</x:v>
      </x:c>
      <x:c r="G923" s="2" t="str">
        <x:v>Senior</x:v>
      </x:c>
      <x:c r="H923" s="2" t="str">
        <x:v>Pickup</x:v>
      </x:c>
      <x:c r="I923" s="2" t="str">
        <x:v>R3S2</x:v>
      </x:c>
      <x:c r="J923" s="2" t="str">
        <x:v>EV001837</x:v>
      </x:c>
      <x:c r="K923" s="8" t="n">
        <x:v>46302.47642361111</x:v>
      </x:c>
      <x:c r="L923" s="2" t="str">
        <x:v>R3S2</x:v>
      </x:c>
      <x:c r="M923" s="9" t="n">
        <x:v>25.291000000000004</x:v>
      </x:c>
      <x:c r="N923" s="9" t="n">
        <x:v>51.51</x:v>
      </x:c>
      <x:c r="O923" s="2" t="str">
        <x:v>Valid</x:v>
      </x:c>
      <x:c r="P923" s="2" t="str">
        <x:v>EV001838</x:v>
      </x:c>
      <x:c r="Q923" s="8" t="n">
        <x:v>46302.506631944445</x:v>
      </x:c>
      <x:c r="R923" s="2" t="str">
        <x:v>SCH01</x:v>
      </x:c>
      <x:c r="S923" s="9" t="n">
        <x:v>25.285</x:v>
      </x:c>
      <x:c r="T923" s="9" t="n">
        <x:v>51.51</x:v>
      </x:c>
      <x:c r="U923" s="2" t="str">
        <x:v>SCHOOL_RECEIVER_01</x:v>
      </x:c>
      <x:c r="V923" s="2" t="str">
        <x:v>School staff receipt</x:v>
      </x:c>
      <x:c r="W923" s="2" t="str">
        <x:v>Completed transport</x:v>
      </x:c>
      <x:c r="X923" s="2" t="str">
        <x:v>QR</x:v>
      </x:c>
      <x:c r="Y923" s="2" t="str">
        <x:v>Online</x:v>
      </x:c>
      <x:c r="Z923" s="2" t="str">
        <x:v>Synced</x:v>
      </x:c>
      <x:c r="AA923" s="2"/>
      <x:c r="AB923" s="2"/>
      <x:c r="AC923" s="10" t="n">
        <x:f>IF(OR(K923="",Q923=""),"",ROUND((Q923-K923)*1440,2))</x:f>
        <x:v>43.5</x:v>
      </x:c>
    </x:row>
    <x:row r="924" ht="21" customHeight="1">
      <x:c r="A924" s="2" t="str">
        <x:v>LN00923</x:v>
      </x:c>
      <x:c r="B924" s="2" t="str">
        <x:v>T20261007-2-3</x:v>
      </x:c>
      <x:c r="C924" s="7" t="n">
        <x:v>46302</x:v>
      </x:c>
      <x:c r="D924" s="2" t="str">
        <x:v>BUS003</x:v>
      </x:c>
      <x:c r="E924" s="2" t="str">
        <x:v>ST113</x:v>
      </x:c>
      <x:c r="F924" s="2" t="n">
        <x:v>2</x:v>
      </x:c>
      <x:c r="G924" s="2" t="str">
        <x:v>Senior</x:v>
      </x:c>
      <x:c r="H924" s="2" t="str">
        <x:v>Pickup</x:v>
      </x:c>
      <x:c r="I924" s="2" t="str">
        <x:v>R3S3</x:v>
      </x:c>
      <x:c r="J924" s="2" t="str">
        <x:v>EV001839</x:v>
      </x:c>
      <x:c r="K924" s="8" t="n">
        <x:v>46302.48131944444</x:v>
      </x:c>
      <x:c r="L924" s="2" t="str">
        <x:v>R3S3</x:v>
      </x:c>
      <x:c r="M924" s="9" t="n">
        <x:v>25.293000000000003</x:v>
      </x:c>
      <x:c r="N924" s="9" t="n">
        <x:v>51.513</x:v>
      </x:c>
      <x:c r="O924" s="2" t="str">
        <x:v>Valid</x:v>
      </x:c>
      <x:c r="P924" s="2" t="str">
        <x:v>EV001840</x:v>
      </x:c>
      <x:c r="Q924" s="8" t="n">
        <x:v>46302.50666666667</x:v>
      </x:c>
      <x:c r="R924" s="2" t="str">
        <x:v>SCH01</x:v>
      </x:c>
      <x:c r="S924" s="9" t="n">
        <x:v>25.285</x:v>
      </x:c>
      <x:c r="T924" s="9" t="n">
        <x:v>51.51</x:v>
      </x:c>
      <x:c r="U924" s="2" t="str">
        <x:v>SCHOOL_RECEIVER_01</x:v>
      </x:c>
      <x:c r="V924" s="2" t="str">
        <x:v>School staff receipt</x:v>
      </x:c>
      <x:c r="W924" s="2" t="str">
        <x:v>Completed transport</x:v>
      </x:c>
      <x:c r="X924" s="2" t="str">
        <x:v>QR</x:v>
      </x:c>
      <x:c r="Y924" s="2" t="str">
        <x:v>Online</x:v>
      </x:c>
      <x:c r="Z924" s="2" t="str">
        <x:v>Synced</x:v>
      </x:c>
      <x:c r="AA924" s="2"/>
      <x:c r="AB924" s="2"/>
      <x:c r="AC924" s="10" t="n">
        <x:f>IF(OR(K924="",Q924=""),"",ROUND((Q924-K924)*1440,2))</x:f>
        <x:v>36.5</x:v>
      </x:c>
    </x:row>
    <x:row r="925" ht="21" customHeight="1">
      <x:c r="A925" s="2" t="str">
        <x:v>LN00924</x:v>
      </x:c>
      <x:c r="B925" s="2" t="str">
        <x:v>T20261007-2-3</x:v>
      </x:c>
      <x:c r="C925" s="7" t="n">
        <x:v>46302</x:v>
      </x:c>
      <x:c r="D925" s="2" t="str">
        <x:v>BUS003</x:v>
      </x:c>
      <x:c r="E925" s="2" t="str">
        <x:v>ST114</x:v>
      </x:c>
      <x:c r="F925" s="2" t="n">
        <x:v>2</x:v>
      </x:c>
      <x:c r="G925" s="2" t="str">
        <x:v>Senior</x:v>
      </x:c>
      <x:c r="H925" s="2" t="str">
        <x:v>Pickup</x:v>
      </x:c>
      <x:c r="I925" s="2" t="str">
        <x:v>R3S1</x:v>
      </x:c>
      <x:c r="J925" s="2" t="str">
        <x:v>EV001841</x:v>
      </x:c>
      <x:c r="K925" s="8" t="n">
        <x:v>46302.47163194445</x:v>
      </x:c>
      <x:c r="L925" s="2" t="str">
        <x:v>R3S1</x:v>
      </x:c>
      <x:c r="M925" s="9" t="n">
        <x:v>25.289</x:v>
      </x:c>
      <x:c r="N925" s="9" t="n">
        <x:v>51.507</x:v>
      </x:c>
      <x:c r="O925" s="2" t="str">
        <x:v>Valid</x:v>
      </x:c>
      <x:c r="P925" s="2" t="str">
        <x:v>EV001842</x:v>
      </x:c>
      <x:c r="Q925" s="8" t="n">
        <x:v>46302.50670138889</x:v>
      </x:c>
      <x:c r="R925" s="2" t="str">
        <x:v>SCH01</x:v>
      </x:c>
      <x:c r="S925" s="9" t="n">
        <x:v>25.285</x:v>
      </x:c>
      <x:c r="T925" s="9" t="n">
        <x:v>51.51</x:v>
      </x:c>
      <x:c r="U925" s="2" t="str">
        <x:v>SCHOOL_RECEIVER_01</x:v>
      </x:c>
      <x:c r="V925" s="2" t="str">
        <x:v>School staff receipt</x:v>
      </x:c>
      <x:c r="W925" s="2" t="str">
        <x:v>Completed transport</x:v>
      </x:c>
      <x:c r="X925" s="2" t="str">
        <x:v>QR</x:v>
      </x:c>
      <x:c r="Y925" s="2" t="str">
        <x:v>Online</x:v>
      </x:c>
      <x:c r="Z925" s="2" t="str">
        <x:v>Synced</x:v>
      </x:c>
      <x:c r="AA925" s="2"/>
      <x:c r="AB925" s="2"/>
      <x:c r="AC925" s="10" t="n">
        <x:f>IF(OR(K925="",Q925=""),"",ROUND((Q925-K925)*1440,2))</x:f>
        <x:v>50.5</x:v>
      </x:c>
    </x:row>
    <x:row r="926" ht="21" customHeight="1">
      <x:c r="A926" s="2" t="str">
        <x:v>LN00925</x:v>
      </x:c>
      <x:c r="B926" s="2" t="str">
        <x:v>T20261007-2-3</x:v>
      </x:c>
      <x:c r="C926" s="7" t="n">
        <x:v>46302</x:v>
      </x:c>
      <x:c r="D926" s="2" t="str">
        <x:v>BUS003</x:v>
      </x:c>
      <x:c r="E926" s="2" t="str">
        <x:v>ST115</x:v>
      </x:c>
      <x:c r="F926" s="2" t="n">
        <x:v>2</x:v>
      </x:c>
      <x:c r="G926" s="2" t="str">
        <x:v>Senior</x:v>
      </x:c>
      <x:c r="H926" s="2" t="str">
        <x:v>Pickup</x:v>
      </x:c>
      <x:c r="I926" s="2" t="str">
        <x:v>R3S2</x:v>
      </x:c>
      <x:c r="J926" s="2" t="str">
        <x:v>EV001843</x:v>
      </x:c>
      <x:c r="K926" s="8" t="n">
        <x:v>46302.47652777778</x:v>
      </x:c>
      <x:c r="L926" s="2" t="str">
        <x:v>R3S2</x:v>
      </x:c>
      <x:c r="M926" s="9" t="n">
        <x:v>25.291000000000004</x:v>
      </x:c>
      <x:c r="N926" s="9" t="n">
        <x:v>51.51</x:v>
      </x:c>
      <x:c r="O926" s="2" t="str">
        <x:v>Valid</x:v>
      </x:c>
      <x:c r="P926" s="2" t="str">
        <x:v>EV001844</x:v>
      </x:c>
      <x:c r="Q926" s="8" t="n">
        <x:v>46302.506736111114</x:v>
      </x:c>
      <x:c r="R926" s="2" t="str">
        <x:v>SCH01</x:v>
      </x:c>
      <x:c r="S926" s="9" t="n">
        <x:v>25.285</x:v>
      </x:c>
      <x:c r="T926" s="9" t="n">
        <x:v>51.51</x:v>
      </x:c>
      <x:c r="U926" s="2" t="str">
        <x:v>SCHOOL_RECEIVER_01</x:v>
      </x:c>
      <x:c r="V926" s="2" t="str">
        <x:v>School staff receipt</x:v>
      </x:c>
      <x:c r="W926" s="2" t="str">
        <x:v>Completed transport</x:v>
      </x:c>
      <x:c r="X926" s="2" t="str">
        <x:v>QR</x:v>
      </x:c>
      <x:c r="Y926" s="2" t="str">
        <x:v>Online</x:v>
      </x:c>
      <x:c r="Z926" s="2" t="str">
        <x:v>Synced</x:v>
      </x:c>
      <x:c r="AA926" s="2"/>
      <x:c r="AB926" s="2"/>
      <x:c r="AC926" s="10" t="n">
        <x:f>IF(OR(K926="",Q926=""),"",ROUND((Q926-K926)*1440,2))</x:f>
        <x:v>43.5</x:v>
      </x:c>
    </x:row>
    <x:row r="927" ht="21" customHeight="1">
      <x:c r="A927" s="2" t="str">
        <x:v>LN00926</x:v>
      </x:c>
      <x:c r="B927" s="2" t="str">
        <x:v>T20261007-2-3</x:v>
      </x:c>
      <x:c r="C927" s="7" t="n">
        <x:v>46302</x:v>
      </x:c>
      <x:c r="D927" s="2" t="str">
        <x:v>BUS003</x:v>
      </x:c>
      <x:c r="E927" s="2" t="str">
        <x:v>ST116</x:v>
      </x:c>
      <x:c r="F927" s="2" t="n">
        <x:v>2</x:v>
      </x:c>
      <x:c r="G927" s="2" t="str">
        <x:v>Senior</x:v>
      </x:c>
      <x:c r="H927" s="2" t="str">
        <x:v>Pickup</x:v>
      </x:c>
      <x:c r="I927" s="2" t="str">
        <x:v>R3S3</x:v>
      </x:c>
      <x:c r="J927" s="2" t="str">
        <x:v>EV001845</x:v>
      </x:c>
      <x:c r="K927" s="8" t="n">
        <x:v>46302.481423611105</x:v>
      </x:c>
      <x:c r="L927" s="2" t="str">
        <x:v>R3S3</x:v>
      </x:c>
      <x:c r="M927" s="9" t="n">
        <x:v>25.293000000000003</x:v>
      </x:c>
      <x:c r="N927" s="9" t="n">
        <x:v>51.513</x:v>
      </x:c>
      <x:c r="O927" s="2" t="str">
        <x:v>Valid</x:v>
      </x:c>
      <x:c r="P927" s="2" t="str">
        <x:v>EV001846</x:v>
      </x:c>
      <x:c r="Q927" s="8" t="n">
        <x:v>46302.50677083334</x:v>
      </x:c>
      <x:c r="R927" s="2" t="str">
        <x:v>SCH01</x:v>
      </x:c>
      <x:c r="S927" s="9" t="n">
        <x:v>25.285</x:v>
      </x:c>
      <x:c r="T927" s="9" t="n">
        <x:v>51.51</x:v>
      </x:c>
      <x:c r="U927" s="2" t="str">
        <x:v>SCHOOL_RECEIVER_01</x:v>
      </x:c>
      <x:c r="V927" s="2" t="str">
        <x:v>School staff receipt</x:v>
      </x:c>
      <x:c r="W927" s="2" t="str">
        <x:v>Completed transport</x:v>
      </x:c>
      <x:c r="X927" s="2" t="str">
        <x:v>QR</x:v>
      </x:c>
      <x:c r="Y927" s="2" t="str">
        <x:v>Online</x:v>
      </x:c>
      <x:c r="Z927" s="2" t="str">
        <x:v>Synced</x:v>
      </x:c>
      <x:c r="AA927" s="2"/>
      <x:c r="AB927" s="2"/>
      <x:c r="AC927" s="10" t="n">
        <x:f>IF(OR(K927="",Q927=""),"",ROUND((Q927-K927)*1440,2))</x:f>
        <x:v>36.5</x:v>
      </x:c>
    </x:row>
    <x:row r="928" ht="21" customHeight="1">
      <x:c r="A928" s="2" t="str">
        <x:v>LN00927</x:v>
      </x:c>
      <x:c r="B928" s="2" t="str">
        <x:v>T20261007-2-3</x:v>
      </x:c>
      <x:c r="C928" s="7" t="n">
        <x:v>46302</x:v>
      </x:c>
      <x:c r="D928" s="2" t="str">
        <x:v>BUS003</x:v>
      </x:c>
      <x:c r="E928" s="2" t="str">
        <x:v>ST117</x:v>
      </x:c>
      <x:c r="F928" s="2" t="n">
        <x:v>2</x:v>
      </x:c>
      <x:c r="G928" s="2" t="str">
        <x:v>Senior</x:v>
      </x:c>
      <x:c r="H928" s="2" t="str">
        <x:v>Pickup</x:v>
      </x:c>
      <x:c r="I928" s="2" t="str">
        <x:v>R3S1</x:v>
      </x:c>
      <x:c r="J928" s="2" t="str">
        <x:v>EV001847</x:v>
      </x:c>
      <x:c r="K928" s="8" t="n">
        <x:v>46302.47173611111</x:v>
      </x:c>
      <x:c r="L928" s="2" t="str">
        <x:v>R3S1</x:v>
      </x:c>
      <x:c r="M928" s="9" t="n">
        <x:v>25.289</x:v>
      </x:c>
      <x:c r="N928" s="9" t="n">
        <x:v>51.507</x:v>
      </x:c>
      <x:c r="O928" s="2" t="str">
        <x:v>Valid</x:v>
      </x:c>
      <x:c r="P928" s="2" t="str">
        <x:v>EV001848</x:v>
      </x:c>
      <x:c r="Q928" s="8" t="n">
        <x:v>46302.50680555556</x:v>
      </x:c>
      <x:c r="R928" s="2" t="str">
        <x:v>SCH01</x:v>
      </x:c>
      <x:c r="S928" s="9" t="n">
        <x:v>25.285</x:v>
      </x:c>
      <x:c r="T928" s="9" t="n">
        <x:v>51.51</x:v>
      </x:c>
      <x:c r="U928" s="2" t="str">
        <x:v>SCHOOL_RECEIVER_01</x:v>
      </x:c>
      <x:c r="V928" s="2" t="str">
        <x:v>School staff receipt</x:v>
      </x:c>
      <x:c r="W928" s="2" t="str">
        <x:v>Completed transport</x:v>
      </x:c>
      <x:c r="X928" s="2" t="str">
        <x:v>QR</x:v>
      </x:c>
      <x:c r="Y928" s="2" t="str">
        <x:v>Online</x:v>
      </x:c>
      <x:c r="Z928" s="2" t="str">
        <x:v>Synced</x:v>
      </x:c>
      <x:c r="AA928" s="2"/>
      <x:c r="AB928" s="2"/>
      <x:c r="AC928" s="10" t="n">
        <x:f>IF(OR(K928="",Q928=""),"",ROUND((Q928-K928)*1440,2))</x:f>
        <x:v>50.5</x:v>
      </x:c>
    </x:row>
    <x:row r="929" ht="21" customHeight="1">
      <x:c r="A929" s="2" t="str">
        <x:v>LN00928</x:v>
      </x:c>
      <x:c r="B929" s="2" t="str">
        <x:v>T20261007-2-3</x:v>
      </x:c>
      <x:c r="C929" s="7" t="n">
        <x:v>46302</x:v>
      </x:c>
      <x:c r="D929" s="2" t="str">
        <x:v>BUS003</x:v>
      </x:c>
      <x:c r="E929" s="2" t="str">
        <x:v>ST118</x:v>
      </x:c>
      <x:c r="F929" s="2" t="n">
        <x:v>2</x:v>
      </x:c>
      <x:c r="G929" s="2" t="str">
        <x:v>Senior</x:v>
      </x:c>
      <x:c r="H929" s="2" t="str">
        <x:v>Pickup</x:v>
      </x:c>
      <x:c r="I929" s="2" t="str">
        <x:v>R3S2</x:v>
      </x:c>
      <x:c r="J929" s="2" t="str">
        <x:v>EV001849</x:v>
      </x:c>
      <x:c r="K929" s="8" t="n">
        <x:v>46302.47663194444</x:v>
      </x:c>
      <x:c r="L929" s="2" t="str">
        <x:v>R3S2</x:v>
      </x:c>
      <x:c r="M929" s="9" t="n">
        <x:v>25.291000000000004</x:v>
      </x:c>
      <x:c r="N929" s="9" t="n">
        <x:v>51.51</x:v>
      </x:c>
      <x:c r="O929" s="2" t="str">
        <x:v>Valid</x:v>
      </x:c>
      <x:c r="P929" s="2" t="str">
        <x:v>EV001850</x:v>
      </x:c>
      <x:c r="Q929" s="8" t="n">
        <x:v>46302.50684027778</x:v>
      </x:c>
      <x:c r="R929" s="2" t="str">
        <x:v>SCH01</x:v>
      </x:c>
      <x:c r="S929" s="9" t="n">
        <x:v>25.285</x:v>
      </x:c>
      <x:c r="T929" s="9" t="n">
        <x:v>51.51</x:v>
      </x:c>
      <x:c r="U929" s="2" t="str">
        <x:v>SCHOOL_RECEIVER_01</x:v>
      </x:c>
      <x:c r="V929" s="2" t="str">
        <x:v>School staff receipt</x:v>
      </x:c>
      <x:c r="W929" s="2" t="str">
        <x:v>Completed transport</x:v>
      </x:c>
      <x:c r="X929" s="2" t="str">
        <x:v>QR</x:v>
      </x:c>
      <x:c r="Y929" s="2" t="str">
        <x:v>Online</x:v>
      </x:c>
      <x:c r="Z929" s="2" t="str">
        <x:v>Synced</x:v>
      </x:c>
      <x:c r="AA929" s="2"/>
      <x:c r="AB929" s="2"/>
      <x:c r="AC929" s="10" t="n">
        <x:f>IF(OR(K929="",Q929=""),"",ROUND((Q929-K929)*1440,2))</x:f>
        <x:v>43.5</x:v>
      </x:c>
    </x:row>
    <x:row r="930" ht="21" customHeight="1">
      <x:c r="A930" s="2" t="str">
        <x:v>LN00929</x:v>
      </x:c>
      <x:c r="B930" s="2" t="str">
        <x:v>T20261007-2-3</x:v>
      </x:c>
      <x:c r="C930" s="7" t="n">
        <x:v>46302</x:v>
      </x:c>
      <x:c r="D930" s="2" t="str">
        <x:v>BUS003</x:v>
      </x:c>
      <x:c r="E930" s="2" t="str">
        <x:v>ST119</x:v>
      </x:c>
      <x:c r="F930" s="2" t="n">
        <x:v>2</x:v>
      </x:c>
      <x:c r="G930" s="2" t="str">
        <x:v>Senior</x:v>
      </x:c>
      <x:c r="H930" s="2" t="str">
        <x:v>Pickup</x:v>
      </x:c>
      <x:c r="I930" s="2" t="str">
        <x:v>R3S3</x:v>
      </x:c>
      <x:c r="J930" s="2" t="str">
        <x:v>EV001851</x:v>
      </x:c>
      <x:c r="K930" s="8" t="n">
        <x:v>46302.481527777774</x:v>
      </x:c>
      <x:c r="L930" s="2" t="str">
        <x:v>R3S3</x:v>
      </x:c>
      <x:c r="M930" s="9" t="n">
        <x:v>25.293000000000003</x:v>
      </x:c>
      <x:c r="N930" s="9" t="n">
        <x:v>51.513</x:v>
      </x:c>
      <x:c r="O930" s="2" t="str">
        <x:v>Valid</x:v>
      </x:c>
      <x:c r="P930" s="2" t="str">
        <x:v>EV001852</x:v>
      </x:c>
      <x:c r="Q930" s="8" t="n">
        <x:v>46302.50687500001</x:v>
      </x:c>
      <x:c r="R930" s="2" t="str">
        <x:v>SCH01</x:v>
      </x:c>
      <x:c r="S930" s="9" t="n">
        <x:v>25.285</x:v>
      </x:c>
      <x:c r="T930" s="9" t="n">
        <x:v>51.51</x:v>
      </x:c>
      <x:c r="U930" s="2" t="str">
        <x:v>SCHOOL_RECEIVER_01</x:v>
      </x:c>
      <x:c r="V930" s="2" t="str">
        <x:v>School staff receipt</x:v>
      </x:c>
      <x:c r="W930" s="2" t="str">
        <x:v>Completed transport</x:v>
      </x:c>
      <x:c r="X930" s="2" t="str">
        <x:v>QR</x:v>
      </x:c>
      <x:c r="Y930" s="2" t="str">
        <x:v>Online</x:v>
      </x:c>
      <x:c r="Z930" s="2" t="str">
        <x:v>Synced</x:v>
      </x:c>
      <x:c r="AA930" s="2"/>
      <x:c r="AB930" s="2"/>
      <x:c r="AC930" s="10" t="n">
        <x:f>IF(OR(K930="",Q930=""),"",ROUND((Q930-K930)*1440,2))</x:f>
        <x:v>36.5</x:v>
      </x:c>
    </x:row>
    <x:row r="931" ht="21" customHeight="1">
      <x:c r="A931" s="2" t="str">
        <x:v>LN00930</x:v>
      </x:c>
      <x:c r="B931" s="2" t="str">
        <x:v>T20261007-2-3</x:v>
      </x:c>
      <x:c r="C931" s="7" t="n">
        <x:v>46302</x:v>
      </x:c>
      <x:c r="D931" s="2" t="str">
        <x:v>BUS003</x:v>
      </x:c>
      <x:c r="E931" s="2" t="str">
        <x:v>ST120</x:v>
      </x:c>
      <x:c r="F931" s="2" t="n">
        <x:v>2</x:v>
      </x:c>
      <x:c r="G931" s="2" t="str">
        <x:v>Senior</x:v>
      </x:c>
      <x:c r="H931" s="2" t="str">
        <x:v>Pickup</x:v>
      </x:c>
      <x:c r="I931" s="2" t="str">
        <x:v>R3S1</x:v>
      </x:c>
      <x:c r="J931" s="2" t="str">
        <x:v>EV001853</x:v>
      </x:c>
      <x:c r="K931" s="8" t="n">
        <x:v>46302.47184027778</x:v>
      </x:c>
      <x:c r="L931" s="2" t="str">
        <x:v>R3S1</x:v>
      </x:c>
      <x:c r="M931" s="9" t="n">
        <x:v>25.289</x:v>
      </x:c>
      <x:c r="N931" s="9" t="n">
        <x:v>51.507</x:v>
      </x:c>
      <x:c r="O931" s="2" t="str">
        <x:v>Valid</x:v>
      </x:c>
      <x:c r="P931" s="2" t="str">
        <x:v>EV001854</x:v>
      </x:c>
      <x:c r="Q931" s="8" t="n">
        <x:v>46302.50690972222</x:v>
      </x:c>
      <x:c r="R931" s="2" t="str">
        <x:v>SCH01</x:v>
      </x:c>
      <x:c r="S931" s="9" t="n">
        <x:v>25.285</x:v>
      </x:c>
      <x:c r="T931" s="9" t="n">
        <x:v>51.51</x:v>
      </x:c>
      <x:c r="U931" s="2" t="str">
        <x:v>SCHOOL_RECEIVER_01</x:v>
      </x:c>
      <x:c r="V931" s="2" t="str">
        <x:v>School staff receipt</x:v>
      </x:c>
      <x:c r="W931" s="2" t="str">
        <x:v>Completed transport</x:v>
      </x:c>
      <x:c r="X931" s="2" t="str">
        <x:v>QR</x:v>
      </x:c>
      <x:c r="Y931" s="2" t="str">
        <x:v>Online</x:v>
      </x:c>
      <x:c r="Z931" s="2" t="str">
        <x:v>Synced</x:v>
      </x:c>
      <x:c r="AA931" s="2"/>
      <x:c r="AB931" s="2"/>
      <x:c r="AC931" s="10" t="n">
        <x:f>IF(OR(K931="",Q931=""),"",ROUND((Q931-K931)*1440,2))</x:f>
        <x:v>50.5</x:v>
      </x:c>
    </x:row>
    <x:row r="932" ht="21" customHeight="1">
      <x:c r="A932" s="2" t="str">
        <x:v>LN00931</x:v>
      </x:c>
      <x:c r="B932" s="2" t="str">
        <x:v>T20261007-3-3</x:v>
      </x:c>
      <x:c r="C932" s="7" t="n">
        <x:v>46302</x:v>
      </x:c>
      <x:c r="D932" s="2" t="str">
        <x:v>BUS003</x:v>
      </x:c>
      <x:c r="E932" s="2" t="str">
        <x:v>ST091</x:v>
      </x:c>
      <x:c r="F932" s="2" t="n">
        <x:v>1</x:v>
      </x:c>
      <x:c r="G932" s="2" t="str">
        <x:v>Senior</x:v>
      </x:c>
      <x:c r="H932" s="2" t="str">
        <x:v>Drop-off</x:v>
      </x:c>
      <x:c r="I932" s="2" t="str">
        <x:v>R3S2</x:v>
      </x:c>
      <x:c r="J932" s="2" t="str">
        <x:v>EV001855</x:v>
      </x:c>
      <x:c r="K932" s="8" t="n">
        <x:v>46302.57291666667</x:v>
      </x:c>
      <x:c r="L932" s="2" t="str">
        <x:v>SCH01</x:v>
      </x:c>
      <x:c r="M932" s="9" t="n">
        <x:v>25.285</x:v>
      </x:c>
      <x:c r="N932" s="9" t="n">
        <x:v>51.51</x:v>
      </x:c>
      <x:c r="O932" s="2" t="str">
        <x:v>Valid</x:v>
      </x:c>
      <x:c r="P932" s="2" t="str">
        <x:v>EV001856</x:v>
      </x:c>
      <x:c r="Q932" s="8" t="n">
        <x:v>46302.59027777778</x:v>
      </x:c>
      <x:c r="R932" s="2" t="str">
        <x:v>R3S2</x:v>
      </x:c>
      <x:c r="S932" s="9" t="n">
        <x:v>25.291000000000004</x:v>
      </x:c>
      <x:c r="T932" s="9" t="n">
        <x:v>51.51</x:v>
      </x:c>
      <x:c r="U932" s="2" t="str">
        <x:v>G091</x:v>
      </x:c>
      <x:c r="V932" s="2" t="str">
        <x:v>Authorized guardian release</x:v>
      </x:c>
      <x:c r="W932" s="2" t="str">
        <x:v>Completed transport</x:v>
      </x:c>
      <x:c r="X932" s="2" t="str">
        <x:v>QR</x:v>
      </x:c>
      <x:c r="Y932" s="2" t="str">
        <x:v>Online</x:v>
      </x:c>
      <x:c r="Z932" s="2" t="str">
        <x:v>Synced</x:v>
      </x:c>
      <x:c r="AA932" s="2"/>
      <x:c r="AB932" s="2"/>
      <x:c r="AC932" s="10" t="n">
        <x:f>IF(OR(K932="",Q932=""),"",ROUND((Q932-K932)*1440,2))</x:f>
        <x:v>25</x:v>
      </x:c>
    </x:row>
    <x:row r="933" ht="21" customHeight="1">
      <x:c r="A933" s="2" t="str">
        <x:v>LN00932</x:v>
      </x:c>
      <x:c r="B933" s="2" t="str">
        <x:v>T20261007-3-3</x:v>
      </x:c>
      <x:c r="C933" s="7" t="n">
        <x:v>46302</x:v>
      </x:c>
      <x:c r="D933" s="2" t="str">
        <x:v>BUS003</x:v>
      </x:c>
      <x:c r="E933" s="2" t="str">
        <x:v>ST092</x:v>
      </x:c>
      <x:c r="F933" s="2" t="n">
        <x:v>1</x:v>
      </x:c>
      <x:c r="G933" s="2" t="str">
        <x:v>Senior</x:v>
      </x:c>
      <x:c r="H933" s="2" t="str">
        <x:v>Drop-off</x:v>
      </x:c>
      <x:c r="I933" s="2" t="str">
        <x:v>R3S3</x:v>
      </x:c>
      <x:c r="J933" s="2" t="str">
        <x:v>EV001857</x:v>
      </x:c>
      <x:c r="K933" s="8" t="n">
        <x:v>46302.572951388895</x:v>
      </x:c>
      <x:c r="L933" s="2" t="str">
        <x:v>SCH01</x:v>
      </x:c>
      <x:c r="M933" s="9" t="n">
        <x:v>25.285</x:v>
      </x:c>
      <x:c r="N933" s="9" t="n">
        <x:v>51.51</x:v>
      </x:c>
      <x:c r="O933" s="2" t="str">
        <x:v>Valid</x:v>
      </x:c>
      <x:c r="P933" s="2" t="str">
        <x:v>EV001858</x:v>
      </x:c>
      <x:c r="Q933" s="8" t="n">
        <x:v>46302.59447916667</x:v>
      </x:c>
      <x:c r="R933" s="2" t="str">
        <x:v>R3S3</x:v>
      </x:c>
      <x:c r="S933" s="9" t="n">
        <x:v>25.293000000000003</x:v>
      </x:c>
      <x:c r="T933" s="9" t="n">
        <x:v>51.513</x:v>
      </x:c>
      <x:c r="U933" s="2" t="str">
        <x:v>G092</x:v>
      </x:c>
      <x:c r="V933" s="2" t="str">
        <x:v>Authorized guardian release</x:v>
      </x:c>
      <x:c r="W933" s="2" t="str">
        <x:v>Completed transport</x:v>
      </x:c>
      <x:c r="X933" s="2" t="str">
        <x:v>QR</x:v>
      </x:c>
      <x:c r="Y933" s="2" t="str">
        <x:v>Online</x:v>
      </x:c>
      <x:c r="Z933" s="2" t="str">
        <x:v>Synced</x:v>
      </x:c>
      <x:c r="AA933" s="2"/>
      <x:c r="AB933" s="2"/>
      <x:c r="AC933" s="10" t="n">
        <x:f>IF(OR(K933="",Q933=""),"",ROUND((Q933-K933)*1440,2))</x:f>
        <x:v>31</x:v>
      </x:c>
    </x:row>
    <x:row r="934" ht="21" customHeight="1">
      <x:c r="A934" s="2" t="str">
        <x:v>LN00933</x:v>
      </x:c>
      <x:c r="B934" s="2" t="str">
        <x:v>T20261007-3-3</x:v>
      </x:c>
      <x:c r="C934" s="7" t="n">
        <x:v>46302</x:v>
      </x:c>
      <x:c r="D934" s="2" t="str">
        <x:v>BUS003</x:v>
      </x:c>
      <x:c r="E934" s="2" t="str">
        <x:v>ST093</x:v>
      </x:c>
      <x:c r="F934" s="2" t="n">
        <x:v>1</x:v>
      </x:c>
      <x:c r="G934" s="2" t="str">
        <x:v>Senior</x:v>
      </x:c>
      <x:c r="H934" s="2" t="str">
        <x:v>Drop-off</x:v>
      </x:c>
      <x:c r="I934" s="2" t="str">
        <x:v>R3S1</x:v>
      </x:c>
      <x:c r="J934" s="2" t="str">
        <x:v>EV001859</x:v>
      </x:c>
      <x:c r="K934" s="8" t="n">
        <x:v>46302.57298611112</x:v>
      </x:c>
      <x:c r="L934" s="2" t="str">
        <x:v>SCH01</x:v>
      </x:c>
      <x:c r="M934" s="9" t="n">
        <x:v>25.285</x:v>
      </x:c>
      <x:c r="N934" s="9" t="n">
        <x:v>51.51</x:v>
      </x:c>
      <x:c r="O934" s="2" t="str">
        <x:v>Valid</x:v>
      </x:c>
      <x:c r="P934" s="2" t="str">
        <x:v>EV001860</x:v>
      </x:c>
      <x:c r="Q934" s="8" t="n">
        <x:v>46302.58618055556</x:v>
      </x:c>
      <x:c r="R934" s="2" t="str">
        <x:v>R3S1</x:v>
      </x:c>
      <x:c r="S934" s="9" t="n">
        <x:v>25.289</x:v>
      </x:c>
      <x:c r="T934" s="9" t="n">
        <x:v>51.507</x:v>
      </x:c>
      <x:c r="U934" s="2" t="str">
        <x:v>G093</x:v>
      </x:c>
      <x:c r="V934" s="2" t="str">
        <x:v>Authorized guardian release</x:v>
      </x:c>
      <x:c r="W934" s="2" t="str">
        <x:v>Completed transport</x:v>
      </x:c>
      <x:c r="X934" s="2" t="str">
        <x:v>QR</x:v>
      </x:c>
      <x:c r="Y934" s="2" t="str">
        <x:v>Online</x:v>
      </x:c>
      <x:c r="Z934" s="2" t="str">
        <x:v>Synced</x:v>
      </x:c>
      <x:c r="AA934" s="2"/>
      <x:c r="AB934" s="2"/>
      <x:c r="AC934" s="10" t="n">
        <x:f>IF(OR(K934="",Q934=""),"",ROUND((Q934-K934)*1440,2))</x:f>
        <x:v>19</x:v>
      </x:c>
    </x:row>
    <x:row r="935" ht="21" customHeight="1">
      <x:c r="A935" s="2" t="str">
        <x:v>LN00934</x:v>
      </x:c>
      <x:c r="B935" s="2" t="str">
        <x:v>T20261007-3-3</x:v>
      </x:c>
      <x:c r="C935" s="7" t="n">
        <x:v>46302</x:v>
      </x:c>
      <x:c r="D935" s="2" t="str">
        <x:v>BUS003</x:v>
      </x:c>
      <x:c r="E935" s="2" t="str">
        <x:v>ST094</x:v>
      </x:c>
      <x:c r="F935" s="2" t="n">
        <x:v>1</x:v>
      </x:c>
      <x:c r="G935" s="2" t="str">
        <x:v>Senior</x:v>
      </x:c>
      <x:c r="H935" s="2" t="str">
        <x:v>Drop-off</x:v>
      </x:c>
      <x:c r="I935" s="2" t="str">
        <x:v>R3S2</x:v>
      </x:c>
      <x:c r="J935" s="2" t="str">
        <x:v>EV001861</x:v>
      </x:c>
      <x:c r="K935" s="8" t="n">
        <x:v>46302.57302083334</x:v>
      </x:c>
      <x:c r="L935" s="2" t="str">
        <x:v>SCH01</x:v>
      </x:c>
      <x:c r="M935" s="9" t="n">
        <x:v>25.285</x:v>
      </x:c>
      <x:c r="N935" s="9" t="n">
        <x:v>51.51</x:v>
      </x:c>
      <x:c r="O935" s="2" t="str">
        <x:v>Valid</x:v>
      </x:c>
      <x:c r="P935" s="2" t="str">
        <x:v>EV001862</x:v>
      </x:c>
      <x:c r="Q935" s="8" t="n">
        <x:v>46302.59038194445</x:v>
      </x:c>
      <x:c r="R935" s="2" t="str">
        <x:v>R3S2</x:v>
      </x:c>
      <x:c r="S935" s="9" t="n">
        <x:v>25.291000000000004</x:v>
      </x:c>
      <x:c r="T935" s="9" t="n">
        <x:v>51.51</x:v>
      </x:c>
      <x:c r="U935" s="2" t="str">
        <x:v>G094</x:v>
      </x:c>
      <x:c r="V935" s="2" t="str">
        <x:v>Authorized guardian release</x:v>
      </x:c>
      <x:c r="W935" s="2" t="str">
        <x:v>Completed transport</x:v>
      </x:c>
      <x:c r="X935" s="2" t="str">
        <x:v>QR</x:v>
      </x:c>
      <x:c r="Y935" s="2" t="str">
        <x:v>Online</x:v>
      </x:c>
      <x:c r="Z935" s="2" t="str">
        <x:v>Synced</x:v>
      </x:c>
      <x:c r="AA935" s="2"/>
      <x:c r="AB935" s="2"/>
      <x:c r="AC935" s="10" t="n">
        <x:f>IF(OR(K935="",Q935=""),"",ROUND((Q935-K935)*1440,2))</x:f>
        <x:v>25</x:v>
      </x:c>
    </x:row>
    <x:row r="936" ht="21" customHeight="1">
      <x:c r="A936" s="2" t="str">
        <x:v>LN00935</x:v>
      </x:c>
      <x:c r="B936" s="2" t="str">
        <x:v>T20261007-3-3</x:v>
      </x:c>
      <x:c r="C936" s="7" t="n">
        <x:v>46302</x:v>
      </x:c>
      <x:c r="D936" s="2" t="str">
        <x:v>BUS003</x:v>
      </x:c>
      <x:c r="E936" s="2" t="str">
        <x:v>ST095</x:v>
      </x:c>
      <x:c r="F936" s="2" t="n">
        <x:v>1</x:v>
      </x:c>
      <x:c r="G936" s="2" t="str">
        <x:v>Senior</x:v>
      </x:c>
      <x:c r="H936" s="2" t="str">
        <x:v>Drop-off</x:v>
      </x:c>
      <x:c r="I936" s="2" t="str">
        <x:v>R3S3</x:v>
      </x:c>
      <x:c r="J936" s="2" t="str">
        <x:v>EV001863</x:v>
      </x:c>
      <x:c r="K936" s="8" t="n">
        <x:v>46302.573055555564</x:v>
      </x:c>
      <x:c r="L936" s="2" t="str">
        <x:v>SCH01</x:v>
      </x:c>
      <x:c r="M936" s="9" t="n">
        <x:v>25.285</x:v>
      </x:c>
      <x:c r="N936" s="9" t="n">
        <x:v>51.51</x:v>
      </x:c>
      <x:c r="O936" s="2" t="str">
        <x:v>Valid</x:v>
      </x:c>
      <x:c r="P936" s="2" t="str">
        <x:v>EV001864</x:v>
      </x:c>
      <x:c r="Q936" s="8" t="n">
        <x:v>46302.59458333334</x:v>
      </x:c>
      <x:c r="R936" s="2" t="str">
        <x:v>R3S3</x:v>
      </x:c>
      <x:c r="S936" s="9" t="n">
        <x:v>25.293000000000003</x:v>
      </x:c>
      <x:c r="T936" s="9" t="n">
        <x:v>51.513</x:v>
      </x:c>
      <x:c r="U936" s="2" t="str">
        <x:v>G095</x:v>
      </x:c>
      <x:c r="V936" s="2" t="str">
        <x:v>Authorized guardian release</x:v>
      </x:c>
      <x:c r="W936" s="2" t="str">
        <x:v>Completed transport</x:v>
      </x:c>
      <x:c r="X936" s="2" t="str">
        <x:v>QR</x:v>
      </x:c>
      <x:c r="Y936" s="2" t="str">
        <x:v>Online</x:v>
      </x:c>
      <x:c r="Z936" s="2" t="str">
        <x:v>Synced</x:v>
      </x:c>
      <x:c r="AA936" s="2"/>
      <x:c r="AB936" s="2"/>
      <x:c r="AC936" s="10" t="n">
        <x:f>IF(OR(K936="",Q936=""),"",ROUND((Q936-K936)*1440,2))</x:f>
        <x:v>31</x:v>
      </x:c>
    </x:row>
    <x:row r="937" ht="21" customHeight="1">
      <x:c r="A937" s="2" t="str">
        <x:v>LN00936</x:v>
      </x:c>
      <x:c r="B937" s="2" t="str">
        <x:v>T20261007-3-3</x:v>
      </x:c>
      <x:c r="C937" s="7" t="n">
        <x:v>46302</x:v>
      </x:c>
      <x:c r="D937" s="2" t="str">
        <x:v>BUS003</x:v>
      </x:c>
      <x:c r="E937" s="2" t="str">
        <x:v>ST096</x:v>
      </x:c>
      <x:c r="F937" s="2" t="n">
        <x:v>1</x:v>
      </x:c>
      <x:c r="G937" s="2" t="str">
        <x:v>Senior</x:v>
      </x:c>
      <x:c r="H937" s="2" t="str">
        <x:v>Drop-off</x:v>
      </x:c>
      <x:c r="I937" s="2" t="str">
        <x:v>R3S1</x:v>
      </x:c>
      <x:c r="J937" s="2" t="str">
        <x:v>EV001865</x:v>
      </x:c>
      <x:c r="K937" s="8" t="n">
        <x:v>46302.57309027778</x:v>
      </x:c>
      <x:c r="L937" s="2" t="str">
        <x:v>SCH01</x:v>
      </x:c>
      <x:c r="M937" s="9" t="n">
        <x:v>25.285</x:v>
      </x:c>
      <x:c r="N937" s="9" t="n">
        <x:v>51.51</x:v>
      </x:c>
      <x:c r="O937" s="2" t="str">
        <x:v>Valid</x:v>
      </x:c>
      <x:c r="P937" s="2" t="str">
        <x:v>EV001866</x:v>
      </x:c>
      <x:c r="Q937" s="8" t="n">
        <x:v>46302.58628472222</x:v>
      </x:c>
      <x:c r="R937" s="2" t="str">
        <x:v>R3S1</x:v>
      </x:c>
      <x:c r="S937" s="9" t="n">
        <x:v>25.289</x:v>
      </x:c>
      <x:c r="T937" s="9" t="n">
        <x:v>51.507</x:v>
      </x:c>
      <x:c r="U937" s="2" t="str">
        <x:v>G096</x:v>
      </x:c>
      <x:c r="V937" s="2" t="str">
        <x:v>Authorized guardian release</x:v>
      </x:c>
      <x:c r="W937" s="2" t="str">
        <x:v>Completed transport</x:v>
      </x:c>
      <x:c r="X937" s="2" t="str">
        <x:v>QR</x:v>
      </x:c>
      <x:c r="Y937" s="2" t="str">
        <x:v>Online</x:v>
      </x:c>
      <x:c r="Z937" s="2" t="str">
        <x:v>Synced</x:v>
      </x:c>
      <x:c r="AA937" s="2"/>
      <x:c r="AB937" s="2"/>
      <x:c r="AC937" s="10" t="n">
        <x:f>IF(OR(K937="",Q937=""),"",ROUND((Q937-K937)*1440,2))</x:f>
        <x:v>19</x:v>
      </x:c>
    </x:row>
    <x:row r="938" ht="21" customHeight="1">
      <x:c r="A938" s="2" t="str">
        <x:v>LN00937</x:v>
      </x:c>
      <x:c r="B938" s="2" t="str">
        <x:v>T20261007-3-3</x:v>
      </x:c>
      <x:c r="C938" s="7" t="n">
        <x:v>46302</x:v>
      </x:c>
      <x:c r="D938" s="2" t="str">
        <x:v>BUS003</x:v>
      </x:c>
      <x:c r="E938" s="2" t="str">
        <x:v>ST097</x:v>
      </x:c>
      <x:c r="F938" s="2" t="n">
        <x:v>1</x:v>
      </x:c>
      <x:c r="G938" s="2" t="str">
        <x:v>Senior</x:v>
      </x:c>
      <x:c r="H938" s="2" t="str">
        <x:v>Drop-off</x:v>
      </x:c>
      <x:c r="I938" s="2" t="str">
        <x:v>R3S2</x:v>
      </x:c>
      <x:c r="J938" s="2" t="str">
        <x:v>EV001867</x:v>
      </x:c>
      <x:c r="K938" s="8" t="n">
        <x:v>46302.573125</x:v>
      </x:c>
      <x:c r="L938" s="2" t="str">
        <x:v>SCH01</x:v>
      </x:c>
      <x:c r="M938" s="9" t="n">
        <x:v>25.285</x:v>
      </x:c>
      <x:c r="N938" s="9" t="n">
        <x:v>51.51</x:v>
      </x:c>
      <x:c r="O938" s="2" t="str">
        <x:v>Valid</x:v>
      </x:c>
      <x:c r="P938" s="2" t="str">
        <x:v>EV001868</x:v>
      </x:c>
      <x:c r="Q938" s="8" t="n">
        <x:v>46302.59048611111</x:v>
      </x:c>
      <x:c r="R938" s="2" t="str">
        <x:v>R3S2</x:v>
      </x:c>
      <x:c r="S938" s="9" t="n">
        <x:v>25.291000000000004</x:v>
      </x:c>
      <x:c r="T938" s="9" t="n">
        <x:v>51.51</x:v>
      </x:c>
      <x:c r="U938" s="2" t="str">
        <x:v>G097</x:v>
      </x:c>
      <x:c r="V938" s="2" t="str">
        <x:v>Authorized guardian release</x:v>
      </x:c>
      <x:c r="W938" s="2" t="str">
        <x:v>Completed transport</x:v>
      </x:c>
      <x:c r="X938" s="2" t="str">
        <x:v>QR</x:v>
      </x:c>
      <x:c r="Y938" s="2" t="str">
        <x:v>Online</x:v>
      </x:c>
      <x:c r="Z938" s="2" t="str">
        <x:v>Synced</x:v>
      </x:c>
      <x:c r="AA938" s="2"/>
      <x:c r="AB938" s="2"/>
      <x:c r="AC938" s="10" t="n">
        <x:f>IF(OR(K938="",Q938=""),"",ROUND((Q938-K938)*1440,2))</x:f>
        <x:v>25</x:v>
      </x:c>
    </x:row>
    <x:row r="939" ht="21" customHeight="1">
      <x:c r="A939" s="2" t="str">
        <x:v>LN00938</x:v>
      </x:c>
      <x:c r="B939" s="2" t="str">
        <x:v>T20261007-3-3</x:v>
      </x:c>
      <x:c r="C939" s="7" t="n">
        <x:v>46302</x:v>
      </x:c>
      <x:c r="D939" s="2" t="str">
        <x:v>BUS003</x:v>
      </x:c>
      <x:c r="E939" s="2" t="str">
        <x:v>ST098</x:v>
      </x:c>
      <x:c r="F939" s="2" t="n">
        <x:v>1</x:v>
      </x:c>
      <x:c r="G939" s="2" t="str">
        <x:v>Senior</x:v>
      </x:c>
      <x:c r="H939" s="2" t="str">
        <x:v>Drop-off</x:v>
      </x:c>
      <x:c r="I939" s="2" t="str">
        <x:v>R3S3</x:v>
      </x:c>
      <x:c r="J939" s="2" t="str">
        <x:v>EV001869</x:v>
      </x:c>
      <x:c r="K939" s="8" t="n">
        <x:v>46302.573159722226</x:v>
      </x:c>
      <x:c r="L939" s="2" t="str">
        <x:v>SCH01</x:v>
      </x:c>
      <x:c r="M939" s="9" t="n">
        <x:v>25.285</x:v>
      </x:c>
      <x:c r="N939" s="9" t="n">
        <x:v>51.51</x:v>
      </x:c>
      <x:c r="O939" s="2" t="str">
        <x:v>Valid</x:v>
      </x:c>
      <x:c r="P939" s="2" t="str">
        <x:v>EV001870</x:v>
      </x:c>
      <x:c r="Q939" s="8" t="n">
        <x:v>46302.5946875</x:v>
      </x:c>
      <x:c r="R939" s="2" t="str">
        <x:v>R3S3</x:v>
      </x:c>
      <x:c r="S939" s="9" t="n">
        <x:v>25.293000000000003</x:v>
      </x:c>
      <x:c r="T939" s="9" t="n">
        <x:v>51.513</x:v>
      </x:c>
      <x:c r="U939" s="2" t="str">
        <x:v>G098</x:v>
      </x:c>
      <x:c r="V939" s="2" t="str">
        <x:v>Authorized guardian release</x:v>
      </x:c>
      <x:c r="W939" s="2" t="str">
        <x:v>Completed transport</x:v>
      </x:c>
      <x:c r="X939" s="2" t="str">
        <x:v>QR</x:v>
      </x:c>
      <x:c r="Y939" s="2" t="str">
        <x:v>Online</x:v>
      </x:c>
      <x:c r="Z939" s="2" t="str">
        <x:v>Synced</x:v>
      </x:c>
      <x:c r="AA939" s="2"/>
      <x:c r="AB939" s="2"/>
      <x:c r="AC939" s="10" t="n">
        <x:f>IF(OR(K939="",Q939=""),"",ROUND((Q939-K939)*1440,2))</x:f>
        <x:v>31</x:v>
      </x:c>
    </x:row>
    <x:row r="940" ht="21" customHeight="1">
      <x:c r="A940" s="2" t="str">
        <x:v>LN00939</x:v>
      </x:c>
      <x:c r="B940" s="2" t="str">
        <x:v>T20261007-3-3</x:v>
      </x:c>
      <x:c r="C940" s="7" t="n">
        <x:v>46302</x:v>
      </x:c>
      <x:c r="D940" s="2" t="str">
        <x:v>BUS003</x:v>
      </x:c>
      <x:c r="E940" s="2" t="str">
        <x:v>ST099</x:v>
      </x:c>
      <x:c r="F940" s="2" t="n">
        <x:v>1</x:v>
      </x:c>
      <x:c r="G940" s="2" t="str">
        <x:v>Senior</x:v>
      </x:c>
      <x:c r="H940" s="2" t="str">
        <x:v>Drop-off</x:v>
      </x:c>
      <x:c r="I940" s="2" t="str">
        <x:v>R3S1</x:v>
      </x:c>
      <x:c r="J940" s="2" t="str">
        <x:v>EV001871</x:v>
      </x:c>
      <x:c r="K940" s="8" t="n">
        <x:v>46302.57319444445</x:v>
      </x:c>
      <x:c r="L940" s="2" t="str">
        <x:v>SCH01</x:v>
      </x:c>
      <x:c r="M940" s="9" t="n">
        <x:v>25.285</x:v>
      </x:c>
      <x:c r="N940" s="9" t="n">
        <x:v>51.51</x:v>
      </x:c>
      <x:c r="O940" s="2" t="str">
        <x:v>Valid</x:v>
      </x:c>
      <x:c r="P940" s="2" t="str">
        <x:v>EV001872</x:v>
      </x:c>
      <x:c r="Q940" s="8" t="n">
        <x:v>46302.58638888889</x:v>
      </x:c>
      <x:c r="R940" s="2" t="str">
        <x:v>R3S1</x:v>
      </x:c>
      <x:c r="S940" s="9" t="n">
        <x:v>25.289</x:v>
      </x:c>
      <x:c r="T940" s="9" t="n">
        <x:v>51.507</x:v>
      </x:c>
      <x:c r="U940" s="2" t="str">
        <x:v>G099</x:v>
      </x:c>
      <x:c r="V940" s="2" t="str">
        <x:v>Authorized guardian release</x:v>
      </x:c>
      <x:c r="W940" s="2" t="str">
        <x:v>Completed transport</x:v>
      </x:c>
      <x:c r="X940" s="2" t="str">
        <x:v>QR</x:v>
      </x:c>
      <x:c r="Y940" s="2" t="str">
        <x:v>Online</x:v>
      </x:c>
      <x:c r="Z940" s="2" t="str">
        <x:v>Synced</x:v>
      </x:c>
      <x:c r="AA940" s="2"/>
      <x:c r="AB940" s="2"/>
      <x:c r="AC940" s="10" t="n">
        <x:f>IF(OR(K940="",Q940=""),"",ROUND((Q940-K940)*1440,2))</x:f>
        <x:v>19</x:v>
      </x:c>
    </x:row>
    <x:row r="941" ht="21" customHeight="1">
      <x:c r="A941" s="2" t="str">
        <x:v>LN00940</x:v>
      </x:c>
      <x:c r="B941" s="2" t="str">
        <x:v>T20261007-3-3</x:v>
      </x:c>
      <x:c r="C941" s="7" t="n">
        <x:v>46302</x:v>
      </x:c>
      <x:c r="D941" s="2" t="str">
        <x:v>BUS003</x:v>
      </x:c>
      <x:c r="E941" s="2" t="str">
        <x:v>ST100</x:v>
      </x:c>
      <x:c r="F941" s="2" t="n">
        <x:v>1</x:v>
      </x:c>
      <x:c r="G941" s="2" t="str">
        <x:v>Senior</x:v>
      </x:c>
      <x:c r="H941" s="2" t="str">
        <x:v>Drop-off</x:v>
      </x:c>
      <x:c r="I941" s="2" t="str">
        <x:v>R3S2</x:v>
      </x:c>
      <x:c r="J941" s="2" t="str">
        <x:v>EV001873</x:v>
      </x:c>
      <x:c r="K941" s="8" t="n">
        <x:v>46302.57322916667</x:v>
      </x:c>
      <x:c r="L941" s="2" t="str">
        <x:v>SCH01</x:v>
      </x:c>
      <x:c r="M941" s="9" t="n">
        <x:v>25.285</x:v>
      </x:c>
      <x:c r="N941" s="9" t="n">
        <x:v>51.51</x:v>
      </x:c>
      <x:c r="O941" s="2" t="str">
        <x:v>Valid</x:v>
      </x:c>
      <x:c r="P941" s="2" t="str">
        <x:v>EV001874</x:v>
      </x:c>
      <x:c r="Q941" s="8" t="n">
        <x:v>46302.59059027778</x:v>
      </x:c>
      <x:c r="R941" s="2" t="str">
        <x:v>R3S2</x:v>
      </x:c>
      <x:c r="S941" s="9" t="n">
        <x:v>25.291000000000004</x:v>
      </x:c>
      <x:c r="T941" s="9" t="n">
        <x:v>51.51</x:v>
      </x:c>
      <x:c r="U941" s="2" t="str">
        <x:v>G100</x:v>
      </x:c>
      <x:c r="V941" s="2" t="str">
        <x:v>Authorized guardian release</x:v>
      </x:c>
      <x:c r="W941" s="2" t="str">
        <x:v>Completed transport</x:v>
      </x:c>
      <x:c r="X941" s="2" t="str">
        <x:v>QR</x:v>
      </x:c>
      <x:c r="Y941" s="2" t="str">
        <x:v>Online</x:v>
      </x:c>
      <x:c r="Z941" s="2" t="str">
        <x:v>Synced</x:v>
      </x:c>
      <x:c r="AA941" s="2"/>
      <x:c r="AB941" s="2"/>
      <x:c r="AC941" s="10" t="n">
        <x:f>IF(OR(K941="",Q941=""),"",ROUND((Q941-K941)*1440,2))</x:f>
        <x:v>25</x:v>
      </x:c>
    </x:row>
    <x:row r="942" ht="21" customHeight="1">
      <x:c r="A942" s="2" t="str">
        <x:v>LN00941</x:v>
      </x:c>
      <x:c r="B942" s="2" t="str">
        <x:v>T20261007-4-3</x:v>
      </x:c>
      <x:c r="C942" s="7" t="n">
        <x:v>46302</x:v>
      </x:c>
      <x:c r="D942" s="2" t="str">
        <x:v>BUS003</x:v>
      </x:c>
      <x:c r="E942" s="2" t="str">
        <x:v>ST101</x:v>
      </x:c>
      <x:c r="F942" s="2" t="n">
        <x:v>2</x:v>
      </x:c>
      <x:c r="G942" s="2" t="str">
        <x:v>Junior</x:v>
      </x:c>
      <x:c r="H942" s="2" t="str">
        <x:v>Drop-off</x:v>
      </x:c>
      <x:c r="I942" s="2" t="str">
        <x:v>R3S3</x:v>
      </x:c>
      <x:c r="J942" s="2" t="str">
        <x:v>EV001875</x:v>
      </x:c>
      <x:c r="K942" s="8" t="n">
        <x:v>46302.60416666667</x:v>
      </x:c>
      <x:c r="L942" s="2" t="str">
        <x:v>SCH01</x:v>
      </x:c>
      <x:c r="M942" s="9" t="n">
        <x:v>25.285</x:v>
      </x:c>
      <x:c r="N942" s="9" t="n">
        <x:v>51.51</x:v>
      </x:c>
      <x:c r="O942" s="2" t="str">
        <x:v>Valid</x:v>
      </x:c>
      <x:c r="P942" s="2" t="str">
        <x:v>EV001876</x:v>
      </x:c>
      <x:c r="Q942" s="8" t="n">
        <x:v>46302.62708333333</x:v>
      </x:c>
      <x:c r="R942" s="2" t="str">
        <x:v>R3S3</x:v>
      </x:c>
      <x:c r="S942" s="9" t="n">
        <x:v>25.293000000000003</x:v>
      </x:c>
      <x:c r="T942" s="9" t="n">
        <x:v>51.513</x:v>
      </x:c>
      <x:c r="U942" s="2" t="str">
        <x:v>G101</x:v>
      </x:c>
      <x:c r="V942" s="2" t="str">
        <x:v>Authorized guardian release</x:v>
      </x:c>
      <x:c r="W942" s="2" t="str">
        <x:v>Completed transport</x:v>
      </x:c>
      <x:c r="X942" s="2" t="str">
        <x:v>QR</x:v>
      </x:c>
      <x:c r="Y942" s="2" t="str">
        <x:v>Online</x:v>
      </x:c>
      <x:c r="Z942" s="2" t="str">
        <x:v>Synced</x:v>
      </x:c>
      <x:c r="AA942" s="2"/>
      <x:c r="AB942" s="2"/>
      <x:c r="AC942" s="10" t="n">
        <x:f>IF(OR(K942="",Q942=""),"",ROUND((Q942-K942)*1440,2))</x:f>
        <x:v>33</x:v>
      </x:c>
    </x:row>
    <x:row r="943" ht="21" customHeight="1">
      <x:c r="A943" s="2" t="str">
        <x:v>LN00942</x:v>
      </x:c>
      <x:c r="B943" s="2" t="str">
        <x:v>T20261007-4-3</x:v>
      </x:c>
      <x:c r="C943" s="7" t="n">
        <x:v>46302</x:v>
      </x:c>
      <x:c r="D943" s="2" t="str">
        <x:v>BUS003</x:v>
      </x:c>
      <x:c r="E943" s="2" t="str">
        <x:v>ST102</x:v>
      </x:c>
      <x:c r="F943" s="2" t="n">
        <x:v>2</x:v>
      </x:c>
      <x:c r="G943" s="2" t="str">
        <x:v>Junior</x:v>
      </x:c>
      <x:c r="H943" s="2" t="str">
        <x:v>Drop-off</x:v>
      </x:c>
      <x:c r="I943" s="2" t="str">
        <x:v>R3S1</x:v>
      </x:c>
      <x:c r="J943" s="2" t="str">
        <x:v>EV001877</x:v>
      </x:c>
      <x:c r="K943" s="8" t="n">
        <x:v>46302.604201388895</x:v>
      </x:c>
      <x:c r="L943" s="2" t="str">
        <x:v>SCH01</x:v>
      </x:c>
      <x:c r="M943" s="9" t="n">
        <x:v>25.285</x:v>
      </x:c>
      <x:c r="N943" s="9" t="n">
        <x:v>51.51</x:v>
      </x:c>
      <x:c r="O943" s="2" t="str">
        <x:v>Valid</x:v>
      </x:c>
      <x:c r="P943" s="2" t="str">
        <x:v>EV001878</x:v>
      </x:c>
      <x:c r="Q943" s="8" t="n">
        <x:v>46302.618784722225</x:v>
      </x:c>
      <x:c r="R943" s="2" t="str">
        <x:v>R3S1</x:v>
      </x:c>
      <x:c r="S943" s="9" t="n">
        <x:v>25.289</x:v>
      </x:c>
      <x:c r="T943" s="9" t="n">
        <x:v>51.507</x:v>
      </x:c>
      <x:c r="U943" s="2" t="str">
        <x:v>G102</x:v>
      </x:c>
      <x:c r="V943" s="2" t="str">
        <x:v>Authorized guardian release</x:v>
      </x:c>
      <x:c r="W943" s="2" t="str">
        <x:v>Completed transport</x:v>
      </x:c>
      <x:c r="X943" s="2" t="str">
        <x:v>QR</x:v>
      </x:c>
      <x:c r="Y943" s="2" t="str">
        <x:v>Online</x:v>
      </x:c>
      <x:c r="Z943" s="2" t="str">
        <x:v>Synced</x:v>
      </x:c>
      <x:c r="AA943" s="2"/>
      <x:c r="AB943" s="2"/>
      <x:c r="AC943" s="10" t="n">
        <x:f>IF(OR(K943="",Q943=""),"",ROUND((Q943-K943)*1440,2))</x:f>
        <x:v>21</x:v>
      </x:c>
    </x:row>
    <x:row r="944" ht="21" customHeight="1">
      <x:c r="A944" s="2" t="str">
        <x:v>LN00943</x:v>
      </x:c>
      <x:c r="B944" s="2" t="str">
        <x:v>T20261007-4-3</x:v>
      </x:c>
      <x:c r="C944" s="7" t="n">
        <x:v>46302</x:v>
      </x:c>
      <x:c r="D944" s="2" t="str">
        <x:v>BUS003</x:v>
      </x:c>
      <x:c r="E944" s="2" t="str">
        <x:v>ST103</x:v>
      </x:c>
      <x:c r="F944" s="2" t="n">
        <x:v>2</x:v>
      </x:c>
      <x:c r="G944" s="2" t="str">
        <x:v>Junior</x:v>
      </x:c>
      <x:c r="H944" s="2" t="str">
        <x:v>Drop-off</x:v>
      </x:c>
      <x:c r="I944" s="2" t="str">
        <x:v>R3S2</x:v>
      </x:c>
      <x:c r="J944" s="2" t="str">
        <x:v>EV001879</x:v>
      </x:c>
      <x:c r="K944" s="8" t="n">
        <x:v>46302.60423611112</x:v>
      </x:c>
      <x:c r="L944" s="2" t="str">
        <x:v>SCH01</x:v>
      </x:c>
      <x:c r="M944" s="9" t="n">
        <x:v>25.285</x:v>
      </x:c>
      <x:c r="N944" s="9" t="n">
        <x:v>51.51</x:v>
      </x:c>
      <x:c r="O944" s="2" t="str">
        <x:v>Valid</x:v>
      </x:c>
      <x:c r="P944" s="2" t="str">
        <x:v>EV001880</x:v>
      </x:c>
      <x:c r="Q944" s="8" t="n">
        <x:v>46302.62298611111</x:v>
      </x:c>
      <x:c r="R944" s="2" t="str">
        <x:v>R3S2</x:v>
      </x:c>
      <x:c r="S944" s="9" t="n">
        <x:v>25.291000000000004</x:v>
      </x:c>
      <x:c r="T944" s="9" t="n">
        <x:v>51.51</x:v>
      </x:c>
      <x:c r="U944" s="2" t="str">
        <x:v>G103</x:v>
      </x:c>
      <x:c r="V944" s="2" t="str">
        <x:v>Authorized guardian release</x:v>
      </x:c>
      <x:c r="W944" s="2" t="str">
        <x:v>Completed transport</x:v>
      </x:c>
      <x:c r="X944" s="2" t="str">
        <x:v>QR</x:v>
      </x:c>
      <x:c r="Y944" s="2" t="str">
        <x:v>Online</x:v>
      </x:c>
      <x:c r="Z944" s="2" t="str">
        <x:v>Synced</x:v>
      </x:c>
      <x:c r="AA944" s="2"/>
      <x:c r="AB944" s="2"/>
      <x:c r="AC944" s="10" t="n">
        <x:f>IF(OR(K944="",Q944=""),"",ROUND((Q944-K944)*1440,2))</x:f>
        <x:v>27</x:v>
      </x:c>
    </x:row>
    <x:row r="945" ht="21" customHeight="1">
      <x:c r="A945" s="2" t="str">
        <x:v>LN00944</x:v>
      </x:c>
      <x:c r="B945" s="2" t="str">
        <x:v>T20261007-4-3</x:v>
      </x:c>
      <x:c r="C945" s="7" t="n">
        <x:v>46302</x:v>
      </x:c>
      <x:c r="D945" s="2" t="str">
        <x:v>BUS003</x:v>
      </x:c>
      <x:c r="E945" s="2" t="str">
        <x:v>ST104</x:v>
      </x:c>
      <x:c r="F945" s="2" t="n">
        <x:v>2</x:v>
      </x:c>
      <x:c r="G945" s="2" t="str">
        <x:v>Junior</x:v>
      </x:c>
      <x:c r="H945" s="2" t="str">
        <x:v>Drop-off</x:v>
      </x:c>
      <x:c r="I945" s="2" t="str">
        <x:v>R3S3</x:v>
      </x:c>
      <x:c r="J945" s="2" t="str">
        <x:v>EV001881</x:v>
      </x:c>
      <x:c r="K945" s="8" t="n">
        <x:v>46302.60427083334</x:v>
      </x:c>
      <x:c r="L945" s="2" t="str">
        <x:v>SCH01</x:v>
      </x:c>
      <x:c r="M945" s="9" t="n">
        <x:v>25.285</x:v>
      </x:c>
      <x:c r="N945" s="9" t="n">
        <x:v>51.51</x:v>
      </x:c>
      <x:c r="O945" s="2" t="str">
        <x:v>Valid</x:v>
      </x:c>
      <x:c r="P945" s="2" t="str">
        <x:v>EV001882</x:v>
      </x:c>
      <x:c r="Q945" s="8" t="n">
        <x:v>46302.6271875</x:v>
      </x:c>
      <x:c r="R945" s="2" t="str">
        <x:v>R3S3</x:v>
      </x:c>
      <x:c r="S945" s="9" t="n">
        <x:v>25.293000000000003</x:v>
      </x:c>
      <x:c r="T945" s="9" t="n">
        <x:v>51.513</x:v>
      </x:c>
      <x:c r="U945" s="2" t="str">
        <x:v>G104</x:v>
      </x:c>
      <x:c r="V945" s="2" t="str">
        <x:v>Authorized guardian release</x:v>
      </x:c>
      <x:c r="W945" s="2" t="str">
        <x:v>Completed transport</x:v>
      </x:c>
      <x:c r="X945" s="2" t="str">
        <x:v>QR</x:v>
      </x:c>
      <x:c r="Y945" s="2" t="str">
        <x:v>Online</x:v>
      </x:c>
      <x:c r="Z945" s="2" t="str">
        <x:v>Synced</x:v>
      </x:c>
      <x:c r="AA945" s="2"/>
      <x:c r="AB945" s="2"/>
      <x:c r="AC945" s="10" t="n">
        <x:f>IF(OR(K945="",Q945=""),"",ROUND((Q945-K945)*1440,2))</x:f>
        <x:v>33</x:v>
      </x:c>
    </x:row>
    <x:row r="946" ht="21" customHeight="1">
      <x:c r="A946" s="2" t="str">
        <x:v>LN00945</x:v>
      </x:c>
      <x:c r="B946" s="2" t="str">
        <x:v>T20261007-4-3</x:v>
      </x:c>
      <x:c r="C946" s="7" t="n">
        <x:v>46302</x:v>
      </x:c>
      <x:c r="D946" s="2" t="str">
        <x:v>BUS003</x:v>
      </x:c>
      <x:c r="E946" s="2" t="str">
        <x:v>ST105</x:v>
      </x:c>
      <x:c r="F946" s="2" t="n">
        <x:v>2</x:v>
      </x:c>
      <x:c r="G946" s="2" t="str">
        <x:v>Junior</x:v>
      </x:c>
      <x:c r="H946" s="2" t="str">
        <x:v>Drop-off</x:v>
      </x:c>
      <x:c r="I946" s="2" t="str">
        <x:v>R3S1</x:v>
      </x:c>
      <x:c r="J946" s="2" t="str">
        <x:v>EV001883</x:v>
      </x:c>
      <x:c r="K946" s="8" t="n">
        <x:v>46302.604305555564</x:v>
      </x:c>
      <x:c r="L946" s="2" t="str">
        <x:v>SCH01</x:v>
      </x:c>
      <x:c r="M946" s="9" t="n">
        <x:v>25.285</x:v>
      </x:c>
      <x:c r="N946" s="9" t="n">
        <x:v>51.51</x:v>
      </x:c>
      <x:c r="O946" s="2" t="str">
        <x:v>Valid</x:v>
      </x:c>
      <x:c r="P946" s="2" t="str">
        <x:v>EV001884</x:v>
      </x:c>
      <x:c r="Q946" s="8" t="n">
        <x:v>46302.618888888894</x:v>
      </x:c>
      <x:c r="R946" s="2" t="str">
        <x:v>R3S1</x:v>
      </x:c>
      <x:c r="S946" s="9" t="n">
        <x:v>25.289</x:v>
      </x:c>
      <x:c r="T946" s="9" t="n">
        <x:v>51.507</x:v>
      </x:c>
      <x:c r="U946" s="2" t="str">
        <x:v>G105</x:v>
      </x:c>
      <x:c r="V946" s="2" t="str">
        <x:v>Authorized guardian release</x:v>
      </x:c>
      <x:c r="W946" s="2" t="str">
        <x:v>Completed transport</x:v>
      </x:c>
      <x:c r="X946" s="2" t="str">
        <x:v>QR</x:v>
      </x:c>
      <x:c r="Y946" s="2" t="str">
        <x:v>Online</x:v>
      </x:c>
      <x:c r="Z946" s="2" t="str">
        <x:v>Synced</x:v>
      </x:c>
      <x:c r="AA946" s="2"/>
      <x:c r="AB946" s="2"/>
      <x:c r="AC946" s="10" t="n">
        <x:f>IF(OR(K946="",Q946=""),"",ROUND((Q946-K946)*1440,2))</x:f>
        <x:v>21</x:v>
      </x:c>
    </x:row>
    <x:row r="947" ht="21" customHeight="1">
      <x:c r="A947" s="2" t="str">
        <x:v>LN00946</x:v>
      </x:c>
      <x:c r="B947" s="2" t="str">
        <x:v>T20261007-4-3</x:v>
      </x:c>
      <x:c r="C947" s="7" t="n">
        <x:v>46302</x:v>
      </x:c>
      <x:c r="D947" s="2" t="str">
        <x:v>BUS003</x:v>
      </x:c>
      <x:c r="E947" s="2" t="str">
        <x:v>ST106</x:v>
      </x:c>
      <x:c r="F947" s="2" t="n">
        <x:v>2</x:v>
      </x:c>
      <x:c r="G947" s="2" t="str">
        <x:v>Junior</x:v>
      </x:c>
      <x:c r="H947" s="2" t="str">
        <x:v>Drop-off</x:v>
      </x:c>
      <x:c r="I947" s="2" t="str">
        <x:v>R3S2</x:v>
      </x:c>
      <x:c r="J947" s="2" t="str">
        <x:v>EV001885</x:v>
      </x:c>
      <x:c r="K947" s="8" t="n">
        <x:v>46302.60434027778</x:v>
      </x:c>
      <x:c r="L947" s="2" t="str">
        <x:v>SCH01</x:v>
      </x:c>
      <x:c r="M947" s="9" t="n">
        <x:v>25.285</x:v>
      </x:c>
      <x:c r="N947" s="9" t="n">
        <x:v>51.51</x:v>
      </x:c>
      <x:c r="O947" s="2" t="str">
        <x:v>Valid</x:v>
      </x:c>
      <x:c r="P947" s="2" t="str">
        <x:v>EV001886</x:v>
      </x:c>
      <x:c r="Q947" s="8" t="n">
        <x:v>46302.623090277775</x:v>
      </x:c>
      <x:c r="R947" s="2" t="str">
        <x:v>R3S2</x:v>
      </x:c>
      <x:c r="S947" s="9" t="n">
        <x:v>25.291000000000004</x:v>
      </x:c>
      <x:c r="T947" s="9" t="n">
        <x:v>51.51</x:v>
      </x:c>
      <x:c r="U947" s="2" t="str">
        <x:v>G106</x:v>
      </x:c>
      <x:c r="V947" s="2" t="str">
        <x:v>Authorized guardian release</x:v>
      </x:c>
      <x:c r="W947" s="2" t="str">
        <x:v>Completed transport</x:v>
      </x:c>
      <x:c r="X947" s="2" t="str">
        <x:v>QR</x:v>
      </x:c>
      <x:c r="Y947" s="2" t="str">
        <x:v>Online</x:v>
      </x:c>
      <x:c r="Z947" s="2" t="str">
        <x:v>Synced</x:v>
      </x:c>
      <x:c r="AA947" s="2"/>
      <x:c r="AB947" s="2"/>
      <x:c r="AC947" s="10" t="n">
        <x:f>IF(OR(K947="",Q947=""),"",ROUND((Q947-K947)*1440,2))</x:f>
        <x:v>27</x:v>
      </x:c>
    </x:row>
    <x:row r="948" ht="21" customHeight="1">
      <x:c r="A948" s="2" t="str">
        <x:v>LN00947</x:v>
      </x:c>
      <x:c r="B948" s="2" t="str">
        <x:v>T20261007-4-3</x:v>
      </x:c>
      <x:c r="C948" s="7" t="n">
        <x:v>46302</x:v>
      </x:c>
      <x:c r="D948" s="2" t="str">
        <x:v>BUS003</x:v>
      </x:c>
      <x:c r="E948" s="2" t="str">
        <x:v>ST107</x:v>
      </x:c>
      <x:c r="F948" s="2" t="n">
        <x:v>2</x:v>
      </x:c>
      <x:c r="G948" s="2" t="str">
        <x:v>Junior</x:v>
      </x:c>
      <x:c r="H948" s="2" t="str">
        <x:v>Drop-off</x:v>
      </x:c>
      <x:c r="I948" s="2" t="str">
        <x:v>R3S3</x:v>
      </x:c>
      <x:c r="J948" s="2" t="str">
        <x:v>EV001887</x:v>
      </x:c>
      <x:c r="K948" s="8" t="n">
        <x:v>46302.604375</x:v>
      </x:c>
      <x:c r="L948" s="2" t="str">
        <x:v>SCH01</x:v>
      </x:c>
      <x:c r="M948" s="9" t="n">
        <x:v>25.285</x:v>
      </x:c>
      <x:c r="N948" s="9" t="n">
        <x:v>51.51</x:v>
      </x:c>
      <x:c r="O948" s="2" t="str">
        <x:v>Valid</x:v>
      </x:c>
      <x:c r="P948" s="2" t="str">
        <x:v>EV001888</x:v>
      </x:c>
      <x:c r="Q948" s="8" t="n">
        <x:v>46302.627291666664</x:v>
      </x:c>
      <x:c r="R948" s="2" t="str">
        <x:v>R3S3</x:v>
      </x:c>
      <x:c r="S948" s="9" t="n">
        <x:v>25.293000000000003</x:v>
      </x:c>
      <x:c r="T948" s="9" t="n">
        <x:v>51.513</x:v>
      </x:c>
      <x:c r="U948" s="2" t="str">
        <x:v>G107</x:v>
      </x:c>
      <x:c r="V948" s="2" t="str">
        <x:v>Authorized guardian release</x:v>
      </x:c>
      <x:c r="W948" s="2" t="str">
        <x:v>Completed transport</x:v>
      </x:c>
      <x:c r="X948" s="2" t="str">
        <x:v>QR</x:v>
      </x:c>
      <x:c r="Y948" s="2" t="str">
        <x:v>Online</x:v>
      </x:c>
      <x:c r="Z948" s="2" t="str">
        <x:v>Synced</x:v>
      </x:c>
      <x:c r="AA948" s="2"/>
      <x:c r="AB948" s="2"/>
      <x:c r="AC948" s="10" t="n">
        <x:f>IF(OR(K948="",Q948=""),"",ROUND((Q948-K948)*1440,2))</x:f>
        <x:v>33</x:v>
      </x:c>
    </x:row>
    <x:row r="949" ht="21" customHeight="1">
      <x:c r="A949" s="2" t="str">
        <x:v>LN00948</x:v>
      </x:c>
      <x:c r="B949" s="2" t="str">
        <x:v>T20261007-4-3</x:v>
      </x:c>
      <x:c r="C949" s="7" t="n">
        <x:v>46302</x:v>
      </x:c>
      <x:c r="D949" s="2" t="str">
        <x:v>BUS003</x:v>
      </x:c>
      <x:c r="E949" s="2" t="str">
        <x:v>ST108</x:v>
      </x:c>
      <x:c r="F949" s="2" t="n">
        <x:v>2</x:v>
      </x:c>
      <x:c r="G949" s="2" t="str">
        <x:v>Junior</x:v>
      </x:c>
      <x:c r="H949" s="2" t="str">
        <x:v>Drop-off</x:v>
      </x:c>
      <x:c r="I949" s="2" t="str">
        <x:v>R3S1</x:v>
      </x:c>
      <x:c r="J949" s="2" t="str">
        <x:v>EV001889</x:v>
      </x:c>
      <x:c r="K949" s="8" t="n">
        <x:v>46302.604409722226</x:v>
      </x:c>
      <x:c r="L949" s="2" t="str">
        <x:v>SCH01</x:v>
      </x:c>
      <x:c r="M949" s="9" t="n">
        <x:v>25.285</x:v>
      </x:c>
      <x:c r="N949" s="9" t="n">
        <x:v>51.51</x:v>
      </x:c>
      <x:c r="O949" s="2" t="str">
        <x:v>Valid</x:v>
      </x:c>
      <x:c r="P949" s="2" t="str">
        <x:v>EV001890</x:v>
      </x:c>
      <x:c r="Q949" s="8" t="n">
        <x:v>46302.618993055556</x:v>
      </x:c>
      <x:c r="R949" s="2" t="str">
        <x:v>R3S1</x:v>
      </x:c>
      <x:c r="S949" s="9" t="n">
        <x:v>25.289</x:v>
      </x:c>
      <x:c r="T949" s="9" t="n">
        <x:v>51.507</x:v>
      </x:c>
      <x:c r="U949" s="2" t="str">
        <x:v>G108</x:v>
      </x:c>
      <x:c r="V949" s="2" t="str">
        <x:v>Authorized guardian release</x:v>
      </x:c>
      <x:c r="W949" s="2" t="str">
        <x:v>Completed transport</x:v>
      </x:c>
      <x:c r="X949" s="2" t="str">
        <x:v>QR</x:v>
      </x:c>
      <x:c r="Y949" s="2" t="str">
        <x:v>Online</x:v>
      </x:c>
      <x:c r="Z949" s="2" t="str">
        <x:v>Synced</x:v>
      </x:c>
      <x:c r="AA949" s="2"/>
      <x:c r="AB949" s="2"/>
      <x:c r="AC949" s="10" t="n">
        <x:f>IF(OR(K949="",Q949=""),"",ROUND((Q949-K949)*1440,2))</x:f>
        <x:v>21</x:v>
      </x:c>
    </x:row>
    <x:row r="950" ht="21" customHeight="1">
      <x:c r="A950" s="2" t="str">
        <x:v>LN00949</x:v>
      </x:c>
      <x:c r="B950" s="2" t="str">
        <x:v>T20261007-4-3</x:v>
      </x:c>
      <x:c r="C950" s="7" t="n">
        <x:v>46302</x:v>
      </x:c>
      <x:c r="D950" s="2" t="str">
        <x:v>BUS003</x:v>
      </x:c>
      <x:c r="E950" s="2" t="str">
        <x:v>ST109</x:v>
      </x:c>
      <x:c r="F950" s="2" t="n">
        <x:v>2</x:v>
      </x:c>
      <x:c r="G950" s="2" t="str">
        <x:v>Junior</x:v>
      </x:c>
      <x:c r="H950" s="2" t="str">
        <x:v>Drop-off</x:v>
      </x:c>
      <x:c r="I950" s="2" t="str">
        <x:v>R3S2</x:v>
      </x:c>
      <x:c r="J950" s="2" t="str">
        <x:v>EV001891</x:v>
      </x:c>
      <x:c r="K950" s="8" t="n">
        <x:v>46302.60444444445</x:v>
      </x:c>
      <x:c r="L950" s="2" t="str">
        <x:v>SCH01</x:v>
      </x:c>
      <x:c r="M950" s="9" t="n">
        <x:v>25.285</x:v>
      </x:c>
      <x:c r="N950" s="9" t="n">
        <x:v>51.51</x:v>
      </x:c>
      <x:c r="O950" s="2" t="str">
        <x:v>Valid</x:v>
      </x:c>
      <x:c r="P950" s="2" t="str">
        <x:v>EV001892</x:v>
      </x:c>
      <x:c r="Q950" s="8" t="n">
        <x:v>46302.623194444444</x:v>
      </x:c>
      <x:c r="R950" s="2" t="str">
        <x:v>R3S2</x:v>
      </x:c>
      <x:c r="S950" s="9" t="n">
        <x:v>25.291000000000004</x:v>
      </x:c>
      <x:c r="T950" s="9" t="n">
        <x:v>51.51</x:v>
      </x:c>
      <x:c r="U950" s="2" t="str">
        <x:v>G109</x:v>
      </x:c>
      <x:c r="V950" s="2" t="str">
        <x:v>Authorized guardian release</x:v>
      </x:c>
      <x:c r="W950" s="2" t="str">
        <x:v>Completed transport</x:v>
      </x:c>
      <x:c r="X950" s="2" t="str">
        <x:v>QR</x:v>
      </x:c>
      <x:c r="Y950" s="2" t="str">
        <x:v>Online</x:v>
      </x:c>
      <x:c r="Z950" s="2" t="str">
        <x:v>Synced</x:v>
      </x:c>
      <x:c r="AA950" s="2"/>
      <x:c r="AB950" s="2"/>
      <x:c r="AC950" s="10" t="n">
        <x:f>IF(OR(K950="",Q950=""),"",ROUND((Q950-K950)*1440,2))</x:f>
        <x:v>27</x:v>
      </x:c>
    </x:row>
    <x:row r="951" ht="21" customHeight="1">
      <x:c r="A951" s="2" t="str">
        <x:v>LN00950</x:v>
      </x:c>
      <x:c r="B951" s="2" t="str">
        <x:v>T20261007-4-3</x:v>
      </x:c>
      <x:c r="C951" s="7" t="n">
        <x:v>46302</x:v>
      </x:c>
      <x:c r="D951" s="2" t="str">
        <x:v>BUS003</x:v>
      </x:c>
      <x:c r="E951" s="2" t="str">
        <x:v>ST110</x:v>
      </x:c>
      <x:c r="F951" s="2" t="n">
        <x:v>2</x:v>
      </x:c>
      <x:c r="G951" s="2" t="str">
        <x:v>Junior</x:v>
      </x:c>
      <x:c r="H951" s="2" t="str">
        <x:v>Drop-off</x:v>
      </x:c>
      <x:c r="I951" s="2" t="str">
        <x:v>R3S3</x:v>
      </x:c>
      <x:c r="J951" s="2" t="str">
        <x:v>EV001893</x:v>
      </x:c>
      <x:c r="K951" s="8" t="n">
        <x:v>46302.60447916667</x:v>
      </x:c>
      <x:c r="L951" s="2" t="str">
        <x:v>SCH01</x:v>
      </x:c>
      <x:c r="M951" s="9" t="n">
        <x:v>25.285</x:v>
      </x:c>
      <x:c r="N951" s="9" t="n">
        <x:v>51.51</x:v>
      </x:c>
      <x:c r="O951" s="2" t="str">
        <x:v>Valid</x:v>
      </x:c>
      <x:c r="P951" s="2" t="str">
        <x:v>EV001894</x:v>
      </x:c>
      <x:c r="Q951" s="8" t="n">
        <x:v>46302.62739583333</x:v>
      </x:c>
      <x:c r="R951" s="2" t="str">
        <x:v>R3S3</x:v>
      </x:c>
      <x:c r="S951" s="9" t="n">
        <x:v>25.293000000000003</x:v>
      </x:c>
      <x:c r="T951" s="9" t="n">
        <x:v>51.513</x:v>
      </x:c>
      <x:c r="U951" s="2" t="str">
        <x:v>G110</x:v>
      </x:c>
      <x:c r="V951" s="2" t="str">
        <x:v>Authorized guardian release</x:v>
      </x:c>
      <x:c r="W951" s="2" t="str">
        <x:v>Completed transport</x:v>
      </x:c>
      <x:c r="X951" s="2" t="str">
        <x:v>QR</x:v>
      </x:c>
      <x:c r="Y951" s="2" t="str">
        <x:v>Online</x:v>
      </x:c>
      <x:c r="Z951" s="2" t="str">
        <x:v>Synced</x:v>
      </x:c>
      <x:c r="AA951" s="2"/>
      <x:c r="AB951" s="2"/>
      <x:c r="AC951" s="10" t="n">
        <x:f>IF(OR(K951="",Q951=""),"",ROUND((Q951-K951)*1440,2))</x:f>
        <x:v>33</x:v>
      </x:c>
    </x:row>
    <x:row r="952" ht="21" customHeight="1">
      <x:c r="A952" s="2" t="str">
        <x:v>LN00951</x:v>
      </x:c>
      <x:c r="B952" s="2" t="str">
        <x:v>T20261007-5-3</x:v>
      </x:c>
      <x:c r="C952" s="7" t="n">
        <x:v>46302</x:v>
      </x:c>
      <x:c r="D952" s="2" t="str">
        <x:v>BUS003</x:v>
      </x:c>
      <x:c r="E952" s="2" t="str">
        <x:v>ST111</x:v>
      </x:c>
      <x:c r="F952" s="2" t="n">
        <x:v>2</x:v>
      </x:c>
      <x:c r="G952" s="2" t="str">
        <x:v>Senior</x:v>
      </x:c>
      <x:c r="H952" s="2" t="str">
        <x:v>Drop-off</x:v>
      </x:c>
      <x:c r="I952" s="2" t="str">
        <x:v>R3S1</x:v>
      </x:c>
      <x:c r="J952" s="2" t="str">
        <x:v>EV001895</x:v>
      </x:c>
      <x:c r="K952" s="8" t="n">
        <x:v>46302.70833333333</x:v>
      </x:c>
      <x:c r="L952" s="2" t="str">
        <x:v>SCH01</x:v>
      </x:c>
      <x:c r="M952" s="9" t="n">
        <x:v>25.285</x:v>
      </x:c>
      <x:c r="N952" s="9" t="n">
        <x:v>51.51</x:v>
      </x:c>
      <x:c r="O952" s="2" t="str">
        <x:v>Valid</x:v>
      </x:c>
      <x:c r="P952" s="2" t="str">
        <x:v>EV001896</x:v>
      </x:c>
      <x:c r="Q952" s="8" t="n">
        <x:v>46302.72361111111</x:v>
      </x:c>
      <x:c r="R952" s="2" t="str">
        <x:v>R3S1</x:v>
      </x:c>
      <x:c r="S952" s="9" t="n">
        <x:v>25.289</x:v>
      </x:c>
      <x:c r="T952" s="9" t="n">
        <x:v>51.507</x:v>
      </x:c>
      <x:c r="U952" s="2" t="str">
        <x:v>G111</x:v>
      </x:c>
      <x:c r="V952" s="2" t="str">
        <x:v>Authorized guardian release</x:v>
      </x:c>
      <x:c r="W952" s="2" t="str">
        <x:v>Completed transport</x:v>
      </x:c>
      <x:c r="X952" s="2" t="str">
        <x:v>QR</x:v>
      </x:c>
      <x:c r="Y952" s="2" t="str">
        <x:v>Online</x:v>
      </x:c>
      <x:c r="Z952" s="2" t="str">
        <x:v>Synced</x:v>
      </x:c>
      <x:c r="AA952" s="2"/>
      <x:c r="AB952" s="2"/>
      <x:c r="AC952" s="10" t="n">
        <x:f>IF(OR(K952="",Q952=""),"",ROUND((Q952-K952)*1440,2))</x:f>
        <x:v>22</x:v>
      </x:c>
    </x:row>
    <x:row r="953" ht="21" customHeight="1">
      <x:c r="A953" s="2" t="str">
        <x:v>LN00952</x:v>
      </x:c>
      <x:c r="B953" s="2" t="str">
        <x:v>T20261007-5-3</x:v>
      </x:c>
      <x:c r="C953" s="7" t="n">
        <x:v>46302</x:v>
      </x:c>
      <x:c r="D953" s="2" t="str">
        <x:v>BUS003</x:v>
      </x:c>
      <x:c r="E953" s="2" t="str">
        <x:v>ST112</x:v>
      </x:c>
      <x:c r="F953" s="2" t="n">
        <x:v>2</x:v>
      </x:c>
      <x:c r="G953" s="2" t="str">
        <x:v>Senior</x:v>
      </x:c>
      <x:c r="H953" s="2" t="str">
        <x:v>Drop-off</x:v>
      </x:c>
      <x:c r="I953" s="2" t="str">
        <x:v>R3S2</x:v>
      </x:c>
      <x:c r="J953" s="2" t="str">
        <x:v>EV001897</x:v>
      </x:c>
      <x:c r="K953" s="8" t="n">
        <x:v>46302.70836805555</x:v>
      </x:c>
      <x:c r="L953" s="2" t="str">
        <x:v>SCH01</x:v>
      </x:c>
      <x:c r="M953" s="9" t="n">
        <x:v>25.285</x:v>
      </x:c>
      <x:c r="N953" s="9" t="n">
        <x:v>51.51</x:v>
      </x:c>
      <x:c r="O953" s="2" t="str">
        <x:v>Valid</x:v>
      </x:c>
      <x:c r="P953" s="2" t="str">
        <x:v>EV001898</x:v>
      </x:c>
      <x:c r="Q953" s="8" t="n">
        <x:v>46302.72850694445</x:v>
      </x:c>
      <x:c r="R953" s="2" t="str">
        <x:v>R3S2</x:v>
      </x:c>
      <x:c r="S953" s="9" t="n">
        <x:v>25.291000000000004</x:v>
      </x:c>
      <x:c r="T953" s="9" t="n">
        <x:v>51.51</x:v>
      </x:c>
      <x:c r="U953" s="2" t="str">
        <x:v>G112</x:v>
      </x:c>
      <x:c r="V953" s="2" t="str">
        <x:v>Authorized guardian release</x:v>
      </x:c>
      <x:c r="W953" s="2" t="str">
        <x:v>Completed transport</x:v>
      </x:c>
      <x:c r="X953" s="2" t="str">
        <x:v>QR</x:v>
      </x:c>
      <x:c r="Y953" s="2" t="str">
        <x:v>Online</x:v>
      </x:c>
      <x:c r="Z953" s="2" t="str">
        <x:v>Synced</x:v>
      </x:c>
      <x:c r="AA953" s="2"/>
      <x:c r="AB953" s="2"/>
      <x:c r="AC953" s="10" t="n">
        <x:f>IF(OR(K953="",Q953=""),"",ROUND((Q953-K953)*1440,2))</x:f>
        <x:v>29</x:v>
      </x:c>
    </x:row>
    <x:row r="954" ht="21" customHeight="1">
      <x:c r="A954" s="2" t="str">
        <x:v>LN00953</x:v>
      </x:c>
      <x:c r="B954" s="2" t="str">
        <x:v>T20261007-5-3</x:v>
      </x:c>
      <x:c r="C954" s="7" t="n">
        <x:v>46302</x:v>
      </x:c>
      <x:c r="D954" s="2" t="str">
        <x:v>BUS003</x:v>
      </x:c>
      <x:c r="E954" s="2" t="str">
        <x:v>ST113</x:v>
      </x:c>
      <x:c r="F954" s="2" t="n">
        <x:v>2</x:v>
      </x:c>
      <x:c r="G954" s="2" t="str">
        <x:v>Senior</x:v>
      </x:c>
      <x:c r="H954" s="2" t="str">
        <x:v>Drop-off</x:v>
      </x:c>
      <x:c r="I954" s="2" t="str">
        <x:v>R3S3</x:v>
      </x:c>
      <x:c r="J954" s="2" t="str">
        <x:v>EV001899</x:v>
      </x:c>
      <x:c r="K954" s="8" t="n">
        <x:v>46302.708402777775</x:v>
      </x:c>
      <x:c r="L954" s="2" t="str">
        <x:v>SCH01</x:v>
      </x:c>
      <x:c r="M954" s="9" t="n">
        <x:v>25.285</x:v>
      </x:c>
      <x:c r="N954" s="9" t="n">
        <x:v>51.51</x:v>
      </x:c>
      <x:c r="O954" s="2" t="str">
        <x:v>Valid</x:v>
      </x:c>
      <x:c r="P954" s="2" t="str">
        <x:v>EV001900</x:v>
      </x:c>
      <x:c r="Q954" s="8" t="n">
        <x:v>46302.73340277778</x:v>
      </x:c>
      <x:c r="R954" s="2" t="str">
        <x:v>R3S3</x:v>
      </x:c>
      <x:c r="S954" s="9" t="n">
        <x:v>25.293000000000003</x:v>
      </x:c>
      <x:c r="T954" s="9" t="n">
        <x:v>51.513</x:v>
      </x:c>
      <x:c r="U954" s="2" t="str">
        <x:v>G113</x:v>
      </x:c>
      <x:c r="V954" s="2" t="str">
        <x:v>Authorized guardian release</x:v>
      </x:c>
      <x:c r="W954" s="2" t="str">
        <x:v>Completed transport</x:v>
      </x:c>
      <x:c r="X954" s="2" t="str">
        <x:v>QR</x:v>
      </x:c>
      <x:c r="Y954" s="2" t="str">
        <x:v>Online</x:v>
      </x:c>
      <x:c r="Z954" s="2" t="str">
        <x:v>Synced</x:v>
      </x:c>
      <x:c r="AA954" s="2"/>
      <x:c r="AB954" s="2"/>
      <x:c r="AC954" s="10" t="n">
        <x:f>IF(OR(K954="",Q954=""),"",ROUND((Q954-K954)*1440,2))</x:f>
        <x:v>36</x:v>
      </x:c>
    </x:row>
    <x:row r="955" ht="21" customHeight="1">
      <x:c r="A955" s="2" t="str">
        <x:v>LN00954</x:v>
      </x:c>
      <x:c r="B955" s="2" t="str">
        <x:v>T20261007-5-3</x:v>
      </x:c>
      <x:c r="C955" s="7" t="n">
        <x:v>46302</x:v>
      </x:c>
      <x:c r="D955" s="2" t="str">
        <x:v>BUS003</x:v>
      </x:c>
      <x:c r="E955" s="2" t="str">
        <x:v>ST114</x:v>
      </x:c>
      <x:c r="F955" s="2" t="n">
        <x:v>2</x:v>
      </x:c>
      <x:c r="G955" s="2" t="str">
        <x:v>Senior</x:v>
      </x:c>
      <x:c r="H955" s="2" t="str">
        <x:v>Drop-off</x:v>
      </x:c>
      <x:c r="I955" s="2" t="str">
        <x:v>R3S1</x:v>
      </x:c>
      <x:c r="J955" s="2" t="str">
        <x:v>EV001901</x:v>
      </x:c>
      <x:c r="K955" s="8" t="n">
        <x:v>46302.7084375</x:v>
      </x:c>
      <x:c r="L955" s="2" t="str">
        <x:v>SCH01</x:v>
      </x:c>
      <x:c r="M955" s="9" t="n">
        <x:v>25.285</x:v>
      </x:c>
      <x:c r="N955" s="9" t="n">
        <x:v>51.51</x:v>
      </x:c>
      <x:c r="O955" s="2" t="str">
        <x:v>Valid</x:v>
      </x:c>
      <x:c r="P955" s="2" t="str">
        <x:v>EV001902</x:v>
      </x:c>
      <x:c r="Q955" s="8" t="n">
        <x:v>46302.72371527778</x:v>
      </x:c>
      <x:c r="R955" s="2" t="str">
        <x:v>R3S1</x:v>
      </x:c>
      <x:c r="S955" s="9" t="n">
        <x:v>25.289</x:v>
      </x:c>
      <x:c r="T955" s="9" t="n">
        <x:v>51.507</x:v>
      </x:c>
      <x:c r="U955" s="2" t="str">
        <x:v>G114</x:v>
      </x:c>
      <x:c r="V955" s="2" t="str">
        <x:v>Authorized guardian release</x:v>
      </x:c>
      <x:c r="W955" s="2" t="str">
        <x:v>Completed transport</x:v>
      </x:c>
      <x:c r="X955" s="2" t="str">
        <x:v>QR</x:v>
      </x:c>
      <x:c r="Y955" s="2" t="str">
        <x:v>Online</x:v>
      </x:c>
      <x:c r="Z955" s="2" t="str">
        <x:v>Synced</x:v>
      </x:c>
      <x:c r="AA955" s="2"/>
      <x:c r="AB955" s="2"/>
      <x:c r="AC955" s="10" t="n">
        <x:f>IF(OR(K955="",Q955=""),"",ROUND((Q955-K955)*1440,2))</x:f>
        <x:v>22</x:v>
      </x:c>
    </x:row>
    <x:row r="956" ht="21" customHeight="1">
      <x:c r="A956" s="2" t="str">
        <x:v>LN00955</x:v>
      </x:c>
      <x:c r="B956" s="2" t="str">
        <x:v>T20261007-5-3</x:v>
      </x:c>
      <x:c r="C956" s="7" t="n">
        <x:v>46302</x:v>
      </x:c>
      <x:c r="D956" s="2" t="str">
        <x:v>BUS003</x:v>
      </x:c>
      <x:c r="E956" s="2" t="str">
        <x:v>ST115</x:v>
      </x:c>
      <x:c r="F956" s="2" t="n">
        <x:v>2</x:v>
      </x:c>
      <x:c r="G956" s="2" t="str">
        <x:v>Senior</x:v>
      </x:c>
      <x:c r="H956" s="2" t="str">
        <x:v>Drop-off</x:v>
      </x:c>
      <x:c r="I956" s="2" t="str">
        <x:v>R3S2</x:v>
      </x:c>
      <x:c r="J956" s="2" t="str">
        <x:v>EV001903</x:v>
      </x:c>
      <x:c r="K956" s="8" t="n">
        <x:v>46302.70847222222</x:v>
      </x:c>
      <x:c r="L956" s="2" t="str">
        <x:v>SCH01</x:v>
      </x:c>
      <x:c r="M956" s="9" t="n">
        <x:v>25.285</x:v>
      </x:c>
      <x:c r="N956" s="9" t="n">
        <x:v>51.51</x:v>
      </x:c>
      <x:c r="O956" s="2" t="str">
        <x:v>Valid</x:v>
      </x:c>
      <x:c r="P956" s="2" t="str">
        <x:v>EV001904</x:v>
      </x:c>
      <x:c r="Q956" s="8" t="n">
        <x:v>46302.72861111112</x:v>
      </x:c>
      <x:c r="R956" s="2" t="str">
        <x:v>R3S2</x:v>
      </x:c>
      <x:c r="S956" s="9" t="n">
        <x:v>25.291000000000004</x:v>
      </x:c>
      <x:c r="T956" s="9" t="n">
        <x:v>51.51</x:v>
      </x:c>
      <x:c r="U956" s="2" t="str">
        <x:v>G115</x:v>
      </x:c>
      <x:c r="V956" s="2" t="str">
        <x:v>Authorized guardian release</x:v>
      </x:c>
      <x:c r="W956" s="2" t="str">
        <x:v>Completed transport</x:v>
      </x:c>
      <x:c r="X956" s="2" t="str">
        <x:v>QR</x:v>
      </x:c>
      <x:c r="Y956" s="2" t="str">
        <x:v>Online</x:v>
      </x:c>
      <x:c r="Z956" s="2" t="str">
        <x:v>Synced</x:v>
      </x:c>
      <x:c r="AA956" s="2"/>
      <x:c r="AB956" s="2"/>
      <x:c r="AC956" s="10" t="n">
        <x:f>IF(OR(K956="",Q956=""),"",ROUND((Q956-K956)*1440,2))</x:f>
        <x:v>29</x:v>
      </x:c>
    </x:row>
    <x:row r="957" ht="21" customHeight="1">
      <x:c r="A957" s="2" t="str">
        <x:v>LN00956</x:v>
      </x:c>
      <x:c r="B957" s="2" t="str">
        <x:v>T20261007-5-3</x:v>
      </x:c>
      <x:c r="C957" s="7" t="n">
        <x:v>46302</x:v>
      </x:c>
      <x:c r="D957" s="2" t="str">
        <x:v>BUS003</x:v>
      </x:c>
      <x:c r="E957" s="2" t="str">
        <x:v>ST116</x:v>
      </x:c>
      <x:c r="F957" s="2" t="n">
        <x:v>2</x:v>
      </x:c>
      <x:c r="G957" s="2" t="str">
        <x:v>Senior</x:v>
      </x:c>
      <x:c r="H957" s="2" t="str">
        <x:v>Drop-off</x:v>
      </x:c>
      <x:c r="I957" s="2" t="str">
        <x:v>R3S3</x:v>
      </x:c>
      <x:c r="J957" s="2" t="str">
        <x:v>EV001905</x:v>
      </x:c>
      <x:c r="K957" s="8" t="n">
        <x:v>46302.70850694444</x:v>
      </x:c>
      <x:c r="L957" s="2" t="str">
        <x:v>SCH01</x:v>
      </x:c>
      <x:c r="M957" s="9" t="n">
        <x:v>25.285</x:v>
      </x:c>
      <x:c r="N957" s="9" t="n">
        <x:v>51.51</x:v>
      </x:c>
      <x:c r="O957" s="2" t="str">
        <x:v>Valid</x:v>
      </x:c>
      <x:c r="P957" s="2" t="str">
        <x:v>EV001906</x:v>
      </x:c>
      <x:c r="Q957" s="8" t="n">
        <x:v>46302.733506944445</x:v>
      </x:c>
      <x:c r="R957" s="2" t="str">
        <x:v>R3S3</x:v>
      </x:c>
      <x:c r="S957" s="9" t="n">
        <x:v>25.293000000000003</x:v>
      </x:c>
      <x:c r="T957" s="9" t="n">
        <x:v>51.513</x:v>
      </x:c>
      <x:c r="U957" s="2" t="str">
        <x:v>G116</x:v>
      </x:c>
      <x:c r="V957" s="2" t="str">
        <x:v>Authorized guardian release</x:v>
      </x:c>
      <x:c r="W957" s="2" t="str">
        <x:v>Completed transport</x:v>
      </x:c>
      <x:c r="X957" s="2" t="str">
        <x:v>QR</x:v>
      </x:c>
      <x:c r="Y957" s="2" t="str">
        <x:v>Online</x:v>
      </x:c>
      <x:c r="Z957" s="2" t="str">
        <x:v>Synced</x:v>
      </x:c>
      <x:c r="AA957" s="2"/>
      <x:c r="AB957" s="2"/>
      <x:c r="AC957" s="10" t="n">
        <x:f>IF(OR(K957="",Q957=""),"",ROUND((Q957-K957)*1440,2))</x:f>
        <x:v>36</x:v>
      </x:c>
    </x:row>
    <x:row r="958" ht="21" customHeight="1">
      <x:c r="A958" s="2" t="str">
        <x:v>LN00957</x:v>
      </x:c>
      <x:c r="B958" s="2" t="str">
        <x:v>T20261007-5-3</x:v>
      </x:c>
      <x:c r="C958" s="7" t="n">
        <x:v>46302</x:v>
      </x:c>
      <x:c r="D958" s="2" t="str">
        <x:v>BUS003</x:v>
      </x:c>
      <x:c r="E958" s="2" t="str">
        <x:v>ST117</x:v>
      </x:c>
      <x:c r="F958" s="2" t="n">
        <x:v>2</x:v>
      </x:c>
      <x:c r="G958" s="2" t="str">
        <x:v>Senior</x:v>
      </x:c>
      <x:c r="H958" s="2" t="str">
        <x:v>Drop-off</x:v>
      </x:c>
      <x:c r="I958" s="2" t="str">
        <x:v>R3S1</x:v>
      </x:c>
      <x:c r="J958" s="2" t="str">
        <x:v>EV001907</x:v>
      </x:c>
      <x:c r="K958" s="8" t="n">
        <x:v>46302.70854166666</x:v>
      </x:c>
      <x:c r="L958" s="2" t="str">
        <x:v>SCH01</x:v>
      </x:c>
      <x:c r="M958" s="9" t="n">
        <x:v>25.285</x:v>
      </x:c>
      <x:c r="N958" s="9" t="n">
        <x:v>51.51</x:v>
      </x:c>
      <x:c r="O958" s="2" t="str">
        <x:v>Valid</x:v>
      </x:c>
      <x:c r="P958" s="2" t="str">
        <x:v>EV001908</x:v>
      </x:c>
      <x:c r="Q958" s="8" t="n">
        <x:v>46302.72381944444</x:v>
      </x:c>
      <x:c r="R958" s="2" t="str">
        <x:v>R3S1</x:v>
      </x:c>
      <x:c r="S958" s="9" t="n">
        <x:v>25.289</x:v>
      </x:c>
      <x:c r="T958" s="9" t="n">
        <x:v>51.507</x:v>
      </x:c>
      <x:c r="U958" s="2" t="str">
        <x:v>G117</x:v>
      </x:c>
      <x:c r="V958" s="2" t="str">
        <x:v>Authorized guardian release</x:v>
      </x:c>
      <x:c r="W958" s="2" t="str">
        <x:v>Completed transport</x:v>
      </x:c>
      <x:c r="X958" s="2" t="str">
        <x:v>QR</x:v>
      </x:c>
      <x:c r="Y958" s="2" t="str">
        <x:v>Online</x:v>
      </x:c>
      <x:c r="Z958" s="2" t="str">
        <x:v>Synced</x:v>
      </x:c>
      <x:c r="AA958" s="2"/>
      <x:c r="AB958" s="2"/>
      <x:c r="AC958" s="10" t="n">
        <x:f>IF(OR(K958="",Q958=""),"",ROUND((Q958-K958)*1440,2))</x:f>
        <x:v>22</x:v>
      </x:c>
    </x:row>
    <x:row r="959" ht="21" customHeight="1">
      <x:c r="A959" s="2" t="str">
        <x:v>LN00958</x:v>
      </x:c>
      <x:c r="B959" s="2" t="str">
        <x:v>T20261007-5-3</x:v>
      </x:c>
      <x:c r="C959" s="7" t="n">
        <x:v>46302</x:v>
      </x:c>
      <x:c r="D959" s="2" t="str">
        <x:v>BUS003</x:v>
      </x:c>
      <x:c r="E959" s="2" t="str">
        <x:v>ST118</x:v>
      </x:c>
      <x:c r="F959" s="2" t="n">
        <x:v>2</x:v>
      </x:c>
      <x:c r="G959" s="2" t="str">
        <x:v>Senior</x:v>
      </x:c>
      <x:c r="H959" s="2" t="str">
        <x:v>Drop-off</x:v>
      </x:c>
      <x:c r="I959" s="2" t="str">
        <x:v>R3S2</x:v>
      </x:c>
      <x:c r="J959" s="2" t="str">
        <x:v>EV001909</x:v>
      </x:c>
      <x:c r="K959" s="8" t="n">
        <x:v>46302.70857638888</x:v>
      </x:c>
      <x:c r="L959" s="2" t="str">
        <x:v>SCH01</x:v>
      </x:c>
      <x:c r="M959" s="9" t="n">
        <x:v>25.285</x:v>
      </x:c>
      <x:c r="N959" s="9" t="n">
        <x:v>51.51</x:v>
      </x:c>
      <x:c r="O959" s="2" t="str">
        <x:v>Valid</x:v>
      </x:c>
      <x:c r="P959" s="2" t="str">
        <x:v>EV001910</x:v>
      </x:c>
      <x:c r="Q959" s="8" t="n">
        <x:v>46302.72871527778</x:v>
      </x:c>
      <x:c r="R959" s="2" t="str">
        <x:v>R3S2</x:v>
      </x:c>
      <x:c r="S959" s="9" t="n">
        <x:v>25.291000000000004</x:v>
      </x:c>
      <x:c r="T959" s="9" t="n">
        <x:v>51.51</x:v>
      </x:c>
      <x:c r="U959" s="2" t="str">
        <x:v>G118</x:v>
      </x:c>
      <x:c r="V959" s="2" t="str">
        <x:v>Authorized guardian release</x:v>
      </x:c>
      <x:c r="W959" s="2" t="str">
        <x:v>Completed transport</x:v>
      </x:c>
      <x:c r="X959" s="2" t="str">
        <x:v>QR</x:v>
      </x:c>
      <x:c r="Y959" s="2" t="str">
        <x:v>Online</x:v>
      </x:c>
      <x:c r="Z959" s="2" t="str">
        <x:v>Synced</x:v>
      </x:c>
      <x:c r="AA959" s="2"/>
      <x:c r="AB959" s="2"/>
      <x:c r="AC959" s="10" t="n">
        <x:f>IF(OR(K959="",Q959=""),"",ROUND((Q959-K959)*1440,2))</x:f>
        <x:v>29</x:v>
      </x:c>
    </x:row>
    <x:row r="960" ht="21" customHeight="1">
      <x:c r="A960" s="2" t="str">
        <x:v>LN00959</x:v>
      </x:c>
      <x:c r="B960" s="2" t="str">
        <x:v>T20261007-5-3</x:v>
      </x:c>
      <x:c r="C960" s="7" t="n">
        <x:v>46302</x:v>
      </x:c>
      <x:c r="D960" s="2" t="str">
        <x:v>BUS003</x:v>
      </x:c>
      <x:c r="E960" s="2" t="str">
        <x:v>ST119</x:v>
      </x:c>
      <x:c r="F960" s="2" t="n">
        <x:v>2</x:v>
      </x:c>
      <x:c r="G960" s="2" t="str">
        <x:v>Senior</x:v>
      </x:c>
      <x:c r="H960" s="2" t="str">
        <x:v>Drop-off</x:v>
      </x:c>
      <x:c r="I960" s="2" t="str">
        <x:v>R3S3</x:v>
      </x:c>
      <x:c r="J960" s="2" t="str">
        <x:v>EV001911</x:v>
      </x:c>
      <x:c r="K960" s="8" t="n">
        <x:v>46302.708611111106</x:v>
      </x:c>
      <x:c r="L960" s="2" t="str">
        <x:v>SCH01</x:v>
      </x:c>
      <x:c r="M960" s="9" t="n">
        <x:v>25.285</x:v>
      </x:c>
      <x:c r="N960" s="9" t="n">
        <x:v>51.51</x:v>
      </x:c>
      <x:c r="O960" s="2" t="str">
        <x:v>Valid</x:v>
      </x:c>
      <x:c r="P960" s="2" t="str">
        <x:v>EV001912</x:v>
      </x:c>
      <x:c r="Q960" s="8" t="n">
        <x:v>46302.733611111114</x:v>
      </x:c>
      <x:c r="R960" s="2" t="str">
        <x:v>R3S3</x:v>
      </x:c>
      <x:c r="S960" s="9" t="n">
        <x:v>25.293000000000003</x:v>
      </x:c>
      <x:c r="T960" s="9" t="n">
        <x:v>51.513</x:v>
      </x:c>
      <x:c r="U960" s="2" t="str">
        <x:v>G119</x:v>
      </x:c>
      <x:c r="V960" s="2" t="str">
        <x:v>Authorized guardian release</x:v>
      </x:c>
      <x:c r="W960" s="2" t="str">
        <x:v>Completed transport</x:v>
      </x:c>
      <x:c r="X960" s="2" t="str">
        <x:v>QR</x:v>
      </x:c>
      <x:c r="Y960" s="2" t="str">
        <x:v>Online</x:v>
      </x:c>
      <x:c r="Z960" s="2" t="str">
        <x:v>Synced</x:v>
      </x:c>
      <x:c r="AA960" s="2"/>
      <x:c r="AB960" s="2"/>
      <x:c r="AC960" s="10" t="n">
        <x:f>IF(OR(K960="",Q960=""),"",ROUND((Q960-K960)*1440,2))</x:f>
        <x:v>36</x:v>
      </x:c>
    </x:row>
    <x:row r="961" ht="21" customHeight="1">
      <x:c r="A961" s="2" t="str">
        <x:v>LN00960</x:v>
      </x:c>
      <x:c r="B961" s="2" t="str">
        <x:v>T20261007-5-3</x:v>
      </x:c>
      <x:c r="C961" s="7" t="n">
        <x:v>46302</x:v>
      </x:c>
      <x:c r="D961" s="2" t="str">
        <x:v>BUS003</x:v>
      </x:c>
      <x:c r="E961" s="2" t="str">
        <x:v>ST120</x:v>
      </x:c>
      <x:c r="F961" s="2" t="n">
        <x:v>2</x:v>
      </x:c>
      <x:c r="G961" s="2" t="str">
        <x:v>Senior</x:v>
      </x:c>
      <x:c r="H961" s="2" t="str">
        <x:v>Drop-off</x:v>
      </x:c>
      <x:c r="I961" s="2" t="str">
        <x:v>R3S1</x:v>
      </x:c>
      <x:c r="J961" s="2" t="str">
        <x:v>EV001913</x:v>
      </x:c>
      <x:c r="K961" s="8" t="n">
        <x:v>46302.70864583333</x:v>
      </x:c>
      <x:c r="L961" s="2" t="str">
        <x:v>SCH01</x:v>
      </x:c>
      <x:c r="M961" s="9" t="n">
        <x:v>25.285</x:v>
      </x:c>
      <x:c r="N961" s="9" t="n">
        <x:v>51.51</x:v>
      </x:c>
      <x:c r="O961" s="2" t="str">
        <x:v>Valid</x:v>
      </x:c>
      <x:c r="P961" s="2" t="str">
        <x:v>EV001914</x:v>
      </x:c>
      <x:c r="Q961" s="8" t="n">
        <x:v>46302.72392361111</x:v>
      </x:c>
      <x:c r="R961" s="2" t="str">
        <x:v>R3S1</x:v>
      </x:c>
      <x:c r="S961" s="9" t="n">
        <x:v>25.289</x:v>
      </x:c>
      <x:c r="T961" s="9" t="n">
        <x:v>51.507</x:v>
      </x:c>
      <x:c r="U961" s="2" t="str">
        <x:v>G120</x:v>
      </x:c>
      <x:c r="V961" s="2" t="str">
        <x:v>Authorized guardian release</x:v>
      </x:c>
      <x:c r="W961" s="2" t="str">
        <x:v>Completed transport</x:v>
      </x:c>
      <x:c r="X961" s="2" t="str">
        <x:v>QR</x:v>
      </x:c>
      <x:c r="Y961" s="2" t="str">
        <x:v>Online</x:v>
      </x:c>
      <x:c r="Z961" s="2" t="str">
        <x:v>Synced</x:v>
      </x:c>
      <x:c r="AA961" s="2"/>
      <x:c r="AB961" s="2"/>
      <x:c r="AC961" s="10" t="n">
        <x:f>IF(OR(K961="",Q961=""),"",ROUND((Q961-K961)*1440,2))</x:f>
        <x:v>22</x:v>
      </x:c>
    </x:row>
    <x:row r="962" ht="21" customHeight="1">
      <x:c r="A962" s="2" t="str">
        <x:v>LN00961</x:v>
      </x:c>
      <x:c r="B962" s="2" t="str">
        <x:v>T20261008-1-1</x:v>
      </x:c>
      <x:c r="C962" s="7" t="n">
        <x:v>46303</x:v>
      </x:c>
      <x:c r="D962" s="2" t="str">
        <x:v>BUS001</x:v>
      </x:c>
      <x:c r="E962" s="2" t="str">
        <x:v>ST001</x:v>
      </x:c>
      <x:c r="F962" s="2" t="n">
        <x:v>1</x:v>
      </x:c>
      <x:c r="G962" s="2" t="str">
        <x:v>Junior</x:v>
      </x:c>
      <x:c r="H962" s="2" t="str">
        <x:v>Pickup</x:v>
      </x:c>
      <x:c r="I962" s="2" t="str">
        <x:v>R1S1</x:v>
      </x:c>
      <x:c r="J962" s="2" t="str">
        <x:v>EV001915</x:v>
      </x:c>
      <x:c r="K962" s="8" t="n">
        <x:v>46303.242361111115</x:v>
      </x:c>
      <x:c r="L962" s="2" t="str">
        <x:v>R1S1</x:v>
      </x:c>
      <x:c r="M962" s="9" t="n">
        <x:v>25.271</x:v>
      </x:c>
      <x:c r="N962" s="9" t="n">
        <x:v>51.491</x:v>
      </x:c>
      <x:c r="O962" s="2" t="str">
        <x:v>Valid</x:v>
      </x:c>
      <x:c r="P962" s="2" t="str">
        <x:v>EV001916</x:v>
      </x:c>
      <x:c r="Q962" s="8" t="n">
        <x:v>46303.27638888889</x:v>
      </x:c>
      <x:c r="R962" s="2" t="str">
        <x:v>SCH01</x:v>
      </x:c>
      <x:c r="S962" s="9" t="n">
        <x:v>25.285</x:v>
      </x:c>
      <x:c r="T962" s="9" t="n">
        <x:v>51.51</x:v>
      </x:c>
      <x:c r="U962" s="2" t="str">
        <x:v>SCHOOL_RECEIVER_01</x:v>
      </x:c>
      <x:c r="V962" s="2" t="str">
        <x:v>School staff receipt</x:v>
      </x:c>
      <x:c r="W962" s="2" t="str">
        <x:v>Completed transport</x:v>
      </x:c>
      <x:c r="X962" s="2" t="str">
        <x:v>QR</x:v>
      </x:c>
      <x:c r="Y962" s="2" t="str">
        <x:v>Online</x:v>
      </x:c>
      <x:c r="Z962" s="2" t="str">
        <x:v>Synced</x:v>
      </x:c>
      <x:c r="AA962" s="2"/>
      <x:c r="AB962" s="2"/>
      <x:c r="AC962" s="10" t="n">
        <x:f>IF(OR(K962="",Q962=""),"",ROUND((Q962-K962)*1440,2))</x:f>
        <x:v>49</x:v>
      </x:c>
    </x:row>
    <x:row r="963" ht="21" customHeight="1">
      <x:c r="A963" s="2" t="str">
        <x:v>LN00962</x:v>
      </x:c>
      <x:c r="B963" s="2" t="str">
        <x:v>T20261008-1-1</x:v>
      </x:c>
      <x:c r="C963" s="7" t="n">
        <x:v>46303</x:v>
      </x:c>
      <x:c r="D963" s="2" t="str">
        <x:v>BUS001</x:v>
      </x:c>
      <x:c r="E963" s="2" t="str">
        <x:v>ST002</x:v>
      </x:c>
      <x:c r="F963" s="2" t="n">
        <x:v>1</x:v>
      </x:c>
      <x:c r="G963" s="2" t="str">
        <x:v>Junior</x:v>
      </x:c>
      <x:c r="H963" s="2" t="str">
        <x:v>Pickup</x:v>
      </x:c>
      <x:c r="I963" s="2" t="str">
        <x:v>R1S2</x:v>
      </x:c>
      <x:c r="J963" s="2" t="str">
        <x:v>EV001917</x:v>
      </x:c>
      <x:c r="K963" s="8" t="n">
        <x:v>46303.24725694444</x:v>
      </x:c>
      <x:c r="L963" s="2" t="str">
        <x:v>R1S2</x:v>
      </x:c>
      <x:c r="M963" s="9" t="n">
        <x:v>25.273000000000003</x:v>
      </x:c>
      <x:c r="N963" s="9" t="n">
        <x:v>51.494</x:v>
      </x:c>
      <x:c r="O963" s="2" t="str">
        <x:v>Valid</x:v>
      </x:c>
      <x:c r="P963" s="2" t="str">
        <x:v>EV001918</x:v>
      </x:c>
      <x:c r="Q963" s="8" t="n">
        <x:v>46303.27642361111</x:v>
      </x:c>
      <x:c r="R963" s="2" t="str">
        <x:v>SCH01</x:v>
      </x:c>
      <x:c r="S963" s="9" t="n">
        <x:v>25.285</x:v>
      </x:c>
      <x:c r="T963" s="9" t="n">
        <x:v>51.51</x:v>
      </x:c>
      <x:c r="U963" s="2" t="str">
        <x:v>SCHOOL_RECEIVER_01</x:v>
      </x:c>
      <x:c r="V963" s="2" t="str">
        <x:v>School staff receipt</x:v>
      </x:c>
      <x:c r="W963" s="2" t="str">
        <x:v>Completed transport</x:v>
      </x:c>
      <x:c r="X963" s="2" t="str">
        <x:v>QR</x:v>
      </x:c>
      <x:c r="Y963" s="2" t="str">
        <x:v>Online</x:v>
      </x:c>
      <x:c r="Z963" s="2" t="str">
        <x:v>Synced</x:v>
      </x:c>
      <x:c r="AA963" s="2"/>
      <x:c r="AB963" s="2"/>
      <x:c r="AC963" s="10" t="n">
        <x:f>IF(OR(K963="",Q963=""),"",ROUND((Q963-K963)*1440,2))</x:f>
        <x:v>42</x:v>
      </x:c>
    </x:row>
    <x:row r="964" ht="21" customHeight="1">
      <x:c r="A964" s="2" t="str">
        <x:v>LN00963</x:v>
      </x:c>
      <x:c r="B964" s="2" t="str">
        <x:v>T20261008-1-1</x:v>
      </x:c>
      <x:c r="C964" s="7" t="n">
        <x:v>46303</x:v>
      </x:c>
      <x:c r="D964" s="2" t="str">
        <x:v>BUS001</x:v>
      </x:c>
      <x:c r="E964" s="2" t="str">
        <x:v>ST003</x:v>
      </x:c>
      <x:c r="F964" s="2" t="n">
        <x:v>1</x:v>
      </x:c>
      <x:c r="G964" s="2" t="str">
        <x:v>Junior</x:v>
      </x:c>
      <x:c r="H964" s="2" t="str">
        <x:v>Pickup</x:v>
      </x:c>
      <x:c r="I964" s="2" t="str">
        <x:v>R1S3</x:v>
      </x:c>
      <x:c r="J964" s="2" t="str">
        <x:v>EV001919</x:v>
      </x:c>
      <x:c r="K964" s="8" t="n">
        <x:v>46303.25215277778</x:v>
      </x:c>
      <x:c r="L964" s="2" t="str">
        <x:v>R1S3</x:v>
      </x:c>
      <x:c r="M964" s="9" t="n">
        <x:v>25.275000000000002</x:v>
      </x:c>
      <x:c r="N964" s="9" t="n">
        <x:v>51.497</x:v>
      </x:c>
      <x:c r="O964" s="2" t="str">
        <x:v>Valid</x:v>
      </x:c>
      <x:c r="P964" s="2" t="str">
        <x:v>EV001920</x:v>
      </x:c>
      <x:c r="Q964" s="8" t="n">
        <x:v>46303.276458333334</x:v>
      </x:c>
      <x:c r="R964" s="2" t="str">
        <x:v>SCH01</x:v>
      </x:c>
      <x:c r="S964" s="9" t="n">
        <x:v>25.285</x:v>
      </x:c>
      <x:c r="T964" s="9" t="n">
        <x:v>51.51</x:v>
      </x:c>
      <x:c r="U964" s="2" t="str">
        <x:v>SCHOOL_RECEIVER_01</x:v>
      </x:c>
      <x:c r="V964" s="2" t="str">
        <x:v>School staff receipt</x:v>
      </x:c>
      <x:c r="W964" s="2" t="str">
        <x:v>Completed transport</x:v>
      </x:c>
      <x:c r="X964" s="2" t="str">
        <x:v>QR</x:v>
      </x:c>
      <x:c r="Y964" s="2" t="str">
        <x:v>Online</x:v>
      </x:c>
      <x:c r="Z964" s="2" t="str">
        <x:v>Synced</x:v>
      </x:c>
      <x:c r="AA964" s="2"/>
      <x:c r="AB964" s="2"/>
      <x:c r="AC964" s="10" t="n">
        <x:f>IF(OR(K964="",Q964=""),"",ROUND((Q964-K964)*1440,2))</x:f>
        <x:v>35</x:v>
      </x:c>
    </x:row>
    <x:row r="965" ht="21" customHeight="1">
      <x:c r="A965" s="2" t="str">
        <x:v>LN00964</x:v>
      </x:c>
      <x:c r="B965" s="2" t="str">
        <x:v>T20261008-1-1</x:v>
      </x:c>
      <x:c r="C965" s="7" t="n">
        <x:v>46303</x:v>
      </x:c>
      <x:c r="D965" s="2" t="str">
        <x:v>BUS001</x:v>
      </x:c>
      <x:c r="E965" s="2" t="str">
        <x:v>ST004</x:v>
      </x:c>
      <x:c r="F965" s="2" t="n">
        <x:v>1</x:v>
      </x:c>
      <x:c r="G965" s="2" t="str">
        <x:v>Junior</x:v>
      </x:c>
      <x:c r="H965" s="2" t="str">
        <x:v>Pickup</x:v>
      </x:c>
      <x:c r="I965" s="2" t="str">
        <x:v>R1S1</x:v>
      </x:c>
      <x:c r="J965" s="2" t="str">
        <x:v>EV001921</x:v>
      </x:c>
      <x:c r="K965" s="8" t="n">
        <x:v>46303.242465277785</x:v>
      </x:c>
      <x:c r="L965" s="2" t="str">
        <x:v>R1S1</x:v>
      </x:c>
      <x:c r="M965" s="9" t="n">
        <x:v>25.271</x:v>
      </x:c>
      <x:c r="N965" s="9" t="n">
        <x:v>51.491</x:v>
      </x:c>
      <x:c r="O965" s="2" t="str">
        <x:v>Valid</x:v>
      </x:c>
      <x:c r="P965" s="2" t="str">
        <x:v>EV001922</x:v>
      </x:c>
      <x:c r="Q965" s="8" t="n">
        <x:v>46303.27649305556</x:v>
      </x:c>
      <x:c r="R965" s="2" t="str">
        <x:v>SCH01</x:v>
      </x:c>
      <x:c r="S965" s="9" t="n">
        <x:v>25.285</x:v>
      </x:c>
      <x:c r="T965" s="9" t="n">
        <x:v>51.51</x:v>
      </x:c>
      <x:c r="U965" s="2" t="str">
        <x:v>SCHOOL_RECEIVER_01</x:v>
      </x:c>
      <x:c r="V965" s="2" t="str">
        <x:v>School staff receipt</x:v>
      </x:c>
      <x:c r="W965" s="2" t="str">
        <x:v>Completed transport</x:v>
      </x:c>
      <x:c r="X965" s="2" t="str">
        <x:v>QR</x:v>
      </x:c>
      <x:c r="Y965" s="2" t="str">
        <x:v>Online</x:v>
      </x:c>
      <x:c r="Z965" s="2" t="str">
        <x:v>Synced</x:v>
      </x:c>
      <x:c r="AA965" s="2"/>
      <x:c r="AB965" s="2"/>
      <x:c r="AC965" s="10" t="n">
        <x:f>IF(OR(K965="",Q965=""),"",ROUND((Q965-K965)*1440,2))</x:f>
        <x:v>49</x:v>
      </x:c>
    </x:row>
    <x:row r="966" ht="21" customHeight="1">
      <x:c r="A966" s="2" t="str">
        <x:v>LN00965</x:v>
      </x:c>
      <x:c r="B966" s="2" t="str">
        <x:v>T20261008-1-1</x:v>
      </x:c>
      <x:c r="C966" s="7" t="n">
        <x:v>46303</x:v>
      </x:c>
      <x:c r="D966" s="2" t="str">
        <x:v>BUS001</x:v>
      </x:c>
      <x:c r="E966" s="2" t="str">
        <x:v>ST005</x:v>
      </x:c>
      <x:c r="F966" s="2" t="n">
        <x:v>1</x:v>
      </x:c>
      <x:c r="G966" s="2" t="str">
        <x:v>Junior</x:v>
      </x:c>
      <x:c r="H966" s="2" t="str">
        <x:v>Pickup</x:v>
      </x:c>
      <x:c r="I966" s="2" t="str">
        <x:v>R1S2</x:v>
      </x:c>
      <x:c r="J966" s="2" t="str">
        <x:v>EV001923</x:v>
      </x:c>
      <x:c r="K966" s="8" t="n">
        <x:v>46303.24736111111</x:v>
      </x:c>
      <x:c r="L966" s="2" t="str">
        <x:v>R1S2</x:v>
      </x:c>
      <x:c r="M966" s="9" t="n">
        <x:v>25.273000000000003</x:v>
      </x:c>
      <x:c r="N966" s="9" t="n">
        <x:v>51.494</x:v>
      </x:c>
      <x:c r="O966" s="2" t="str">
        <x:v>Valid</x:v>
      </x:c>
      <x:c r="P966" s="2" t="str">
        <x:v>EV001924</x:v>
      </x:c>
      <x:c r="Q966" s="8" t="n">
        <x:v>46303.27652777778</x:v>
      </x:c>
      <x:c r="R966" s="2" t="str">
        <x:v>SCH01</x:v>
      </x:c>
      <x:c r="S966" s="9" t="n">
        <x:v>25.285</x:v>
      </x:c>
      <x:c r="T966" s="9" t="n">
        <x:v>51.51</x:v>
      </x:c>
      <x:c r="U966" s="2" t="str">
        <x:v>SCHOOL_RECEIVER_01</x:v>
      </x:c>
      <x:c r="V966" s="2" t="str">
        <x:v>School staff receipt</x:v>
      </x:c>
      <x:c r="W966" s="2" t="str">
        <x:v>Completed transport</x:v>
      </x:c>
      <x:c r="X966" s="2" t="str">
        <x:v>QR</x:v>
      </x:c>
      <x:c r="Y966" s="2" t="str">
        <x:v>Online</x:v>
      </x:c>
      <x:c r="Z966" s="2" t="str">
        <x:v>Synced</x:v>
      </x:c>
      <x:c r="AA966" s="2"/>
      <x:c r="AB966" s="2"/>
      <x:c r="AC966" s="10" t="n">
        <x:f>IF(OR(K966="",Q966=""),"",ROUND((Q966-K966)*1440,2))</x:f>
        <x:v>42</x:v>
      </x:c>
    </x:row>
    <x:row r="967" ht="21" customHeight="1">
      <x:c r="A967" s="2" t="str">
        <x:v>LN00966</x:v>
      </x:c>
      <x:c r="B967" s="2" t="str">
        <x:v>T20261008-1-1</x:v>
      </x:c>
      <x:c r="C967" s="7" t="n">
        <x:v>46303</x:v>
      </x:c>
      <x:c r="D967" s="2" t="str">
        <x:v>BUS001</x:v>
      </x:c>
      <x:c r="E967" s="2" t="str">
        <x:v>ST006</x:v>
      </x:c>
      <x:c r="F967" s="2" t="n">
        <x:v>1</x:v>
      </x:c>
      <x:c r="G967" s="2" t="str">
        <x:v>Junior</x:v>
      </x:c>
      <x:c r="H967" s="2" t="str">
        <x:v>Pickup</x:v>
      </x:c>
      <x:c r="I967" s="2" t="str">
        <x:v>R1S3</x:v>
      </x:c>
      <x:c r="J967" s="2" t="str">
        <x:v>EV001925</x:v>
      </x:c>
      <x:c r="K967" s="8" t="n">
        <x:v>46303.25225694444</x:v>
      </x:c>
      <x:c r="L967" s="2" t="str">
        <x:v>R1S3</x:v>
      </x:c>
      <x:c r="M967" s="9" t="n">
        <x:v>25.275000000000002</x:v>
      </x:c>
      <x:c r="N967" s="9" t="n">
        <x:v>51.497</x:v>
      </x:c>
      <x:c r="O967" s="2" t="str">
        <x:v>Valid</x:v>
      </x:c>
      <x:c r="P967" s="2" t="str">
        <x:v>EV001926</x:v>
      </x:c>
      <x:c r="Q967" s="8" t="n">
        <x:v>46303.276562499996</x:v>
      </x:c>
      <x:c r="R967" s="2" t="str">
        <x:v>SCH01</x:v>
      </x:c>
      <x:c r="S967" s="9" t="n">
        <x:v>25.285</x:v>
      </x:c>
      <x:c r="T967" s="9" t="n">
        <x:v>51.51</x:v>
      </x:c>
      <x:c r="U967" s="2" t="str">
        <x:v>SCHOOL_RECEIVER_01</x:v>
      </x:c>
      <x:c r="V967" s="2" t="str">
        <x:v>School staff receipt</x:v>
      </x:c>
      <x:c r="W967" s="2" t="str">
        <x:v>Completed transport</x:v>
      </x:c>
      <x:c r="X967" s="2" t="str">
        <x:v>QR</x:v>
      </x:c>
      <x:c r="Y967" s="2" t="str">
        <x:v>Online</x:v>
      </x:c>
      <x:c r="Z967" s="2" t="str">
        <x:v>Synced</x:v>
      </x:c>
      <x:c r="AA967" s="2"/>
      <x:c r="AB967" s="2"/>
      <x:c r="AC967" s="10" t="n">
        <x:f>IF(OR(K967="",Q967=""),"",ROUND((Q967-K967)*1440,2))</x:f>
        <x:v>35</x:v>
      </x:c>
    </x:row>
    <x:row r="968" ht="21" customHeight="1">
      <x:c r="A968" s="2" t="str">
        <x:v>LN00967</x:v>
      </x:c>
      <x:c r="B968" s="2" t="str">
        <x:v>T20261008-1-1</x:v>
      </x:c>
      <x:c r="C968" s="7" t="n">
        <x:v>46303</x:v>
      </x:c>
      <x:c r="D968" s="2" t="str">
        <x:v>BUS001</x:v>
      </x:c>
      <x:c r="E968" s="2" t="str">
        <x:v>ST007</x:v>
      </x:c>
      <x:c r="F968" s="2" t="n">
        <x:v>1</x:v>
      </x:c>
      <x:c r="G968" s="2" t="str">
        <x:v>Junior</x:v>
      </x:c>
      <x:c r="H968" s="2" t="str">
        <x:v>Pickup</x:v>
      </x:c>
      <x:c r="I968" s="2" t="str">
        <x:v>R1S1</x:v>
      </x:c>
      <x:c r="J968" s="2" t="str">
        <x:v>EV001927</x:v>
      </x:c>
      <x:c r="K968" s="8" t="n">
        <x:v>46303.24256944445</x:v>
      </x:c>
      <x:c r="L968" s="2" t="str">
        <x:v>R1S1</x:v>
      </x:c>
      <x:c r="M968" s="9" t="n">
        <x:v>25.271</x:v>
      </x:c>
      <x:c r="N968" s="9" t="n">
        <x:v>51.491</x:v>
      </x:c>
      <x:c r="O968" s="2" t="str">
        <x:v>Valid</x:v>
      </x:c>
      <x:c r="P968" s="2" t="str">
        <x:v>EV001928</x:v>
      </x:c>
      <x:c r="Q968" s="8" t="n">
        <x:v>46303.27659722222</x:v>
      </x:c>
      <x:c r="R968" s="2" t="str">
        <x:v>SCH01</x:v>
      </x:c>
      <x:c r="S968" s="9" t="n">
        <x:v>25.285</x:v>
      </x:c>
      <x:c r="T968" s="9" t="n">
        <x:v>51.51</x:v>
      </x:c>
      <x:c r="U968" s="2" t="str">
        <x:v>SCHOOL_RECEIVER_01</x:v>
      </x:c>
      <x:c r="V968" s="2" t="str">
        <x:v>School staff receipt</x:v>
      </x:c>
      <x:c r="W968" s="2" t="str">
        <x:v>Completed transport</x:v>
      </x:c>
      <x:c r="X968" s="2" t="str">
        <x:v>QR</x:v>
      </x:c>
      <x:c r="Y968" s="2" t="str">
        <x:v>Online</x:v>
      </x:c>
      <x:c r="Z968" s="2" t="str">
        <x:v>Synced</x:v>
      </x:c>
      <x:c r="AA968" s="2"/>
      <x:c r="AB968" s="2"/>
      <x:c r="AC968" s="10" t="n">
        <x:f>IF(OR(K968="",Q968=""),"",ROUND((Q968-K968)*1440,2))</x:f>
        <x:v>49</x:v>
      </x:c>
    </x:row>
    <x:row r="969" ht="21" customHeight="1">
      <x:c r="A969" s="2" t="str">
        <x:v>LN00968</x:v>
      </x:c>
      <x:c r="B969" s="2" t="str">
        <x:v>T20261008-1-1</x:v>
      </x:c>
      <x:c r="C969" s="7" t="n">
        <x:v>46303</x:v>
      </x:c>
      <x:c r="D969" s="2" t="str">
        <x:v>BUS001</x:v>
      </x:c>
      <x:c r="E969" s="2" t="str">
        <x:v>ST008</x:v>
      </x:c>
      <x:c r="F969" s="2" t="n">
        <x:v>1</x:v>
      </x:c>
      <x:c r="G969" s="2" t="str">
        <x:v>Junior</x:v>
      </x:c>
      <x:c r="H969" s="2" t="str">
        <x:v>Pickup</x:v>
      </x:c>
      <x:c r="I969" s="2" t="str">
        <x:v>R1S2</x:v>
      </x:c>
      <x:c r="J969" s="2" t="str">
        <x:v>EV001929</x:v>
      </x:c>
      <x:c r="K969" s="8" t="n">
        <x:v>46303.247465277775</x:v>
      </x:c>
      <x:c r="L969" s="2" t="str">
        <x:v>R1S2</x:v>
      </x:c>
      <x:c r="M969" s="9" t="n">
        <x:v>25.273000000000003</x:v>
      </x:c>
      <x:c r="N969" s="9" t="n">
        <x:v>51.494</x:v>
      </x:c>
      <x:c r="O969" s="2" t="str">
        <x:v>Valid</x:v>
      </x:c>
      <x:c r="P969" s="2" t="str">
        <x:v>EV001930</x:v>
      </x:c>
      <x:c r="Q969" s="8" t="n">
        <x:v>46303.27663194444</x:v>
      </x:c>
      <x:c r="R969" s="2" t="str">
        <x:v>SCH01</x:v>
      </x:c>
      <x:c r="S969" s="9" t="n">
        <x:v>25.285</x:v>
      </x:c>
      <x:c r="T969" s="9" t="n">
        <x:v>51.51</x:v>
      </x:c>
      <x:c r="U969" s="2" t="str">
        <x:v>SCHOOL_RECEIVER_01</x:v>
      </x:c>
      <x:c r="V969" s="2" t="str">
        <x:v>School staff receipt</x:v>
      </x:c>
      <x:c r="W969" s="2" t="str">
        <x:v>Completed transport</x:v>
      </x:c>
      <x:c r="X969" s="2" t="str">
        <x:v>QR</x:v>
      </x:c>
      <x:c r="Y969" s="2" t="str">
        <x:v>Online</x:v>
      </x:c>
      <x:c r="Z969" s="2" t="str">
        <x:v>Synced</x:v>
      </x:c>
      <x:c r="AA969" s="2"/>
      <x:c r="AB969" s="2"/>
      <x:c r="AC969" s="10" t="n">
        <x:f>IF(OR(K969="",Q969=""),"",ROUND((Q969-K969)*1440,2))</x:f>
        <x:v>42</x:v>
      </x:c>
    </x:row>
    <x:row r="970" ht="21" customHeight="1">
      <x:c r="A970" s="2" t="str">
        <x:v>LN00969</x:v>
      </x:c>
      <x:c r="B970" s="2" t="str">
        <x:v>T20261008-1-1</x:v>
      </x:c>
      <x:c r="C970" s="7" t="n">
        <x:v>46303</x:v>
      </x:c>
      <x:c r="D970" s="2" t="str">
        <x:v>BUS001</x:v>
      </x:c>
      <x:c r="E970" s="2" t="str">
        <x:v>ST009</x:v>
      </x:c>
      <x:c r="F970" s="2" t="n">
        <x:v>1</x:v>
      </x:c>
      <x:c r="G970" s="2" t="str">
        <x:v>Junior</x:v>
      </x:c>
      <x:c r="H970" s="2" t="str">
        <x:v>Pickup</x:v>
      </x:c>
      <x:c r="I970" s="2" t="str">
        <x:v>R1S3</x:v>
      </x:c>
      <x:c r="J970" s="2" t="str">
        <x:v>EV001931</x:v>
      </x:c>
      <x:c r="K970" s="8" t="n">
        <x:v>46303.25236111111</x:v>
      </x:c>
      <x:c r="L970" s="2" t="str">
        <x:v>R1S3</x:v>
      </x:c>
      <x:c r="M970" s="9" t="n">
        <x:v>25.275000000000002</x:v>
      </x:c>
      <x:c r="N970" s="9" t="n">
        <x:v>51.497</x:v>
      </x:c>
      <x:c r="O970" s="2" t="str">
        <x:v>Valid</x:v>
      </x:c>
      <x:c r="P970" s="2" t="str">
        <x:v>EV001932</x:v>
      </x:c>
      <x:c r="Q970" s="8" t="n">
        <x:v>46303.276666666665</x:v>
      </x:c>
      <x:c r="R970" s="2" t="str">
        <x:v>SCH01</x:v>
      </x:c>
      <x:c r="S970" s="9" t="n">
        <x:v>25.285</x:v>
      </x:c>
      <x:c r="T970" s="9" t="n">
        <x:v>51.51</x:v>
      </x:c>
      <x:c r="U970" s="2" t="str">
        <x:v>SCHOOL_RECEIVER_01</x:v>
      </x:c>
      <x:c r="V970" s="2" t="str">
        <x:v>School staff receipt</x:v>
      </x:c>
      <x:c r="W970" s="2" t="str">
        <x:v>Completed transport</x:v>
      </x:c>
      <x:c r="X970" s="2" t="str">
        <x:v>QR</x:v>
      </x:c>
      <x:c r="Y970" s="2" t="str">
        <x:v>Online</x:v>
      </x:c>
      <x:c r="Z970" s="2" t="str">
        <x:v>Synced</x:v>
      </x:c>
      <x:c r="AA970" s="2"/>
      <x:c r="AB970" s="2"/>
      <x:c r="AC970" s="10" t="n">
        <x:f>IF(OR(K970="",Q970=""),"",ROUND((Q970-K970)*1440,2))</x:f>
        <x:v>35</x:v>
      </x:c>
    </x:row>
    <x:row r="971" ht="21" customHeight="1">
      <x:c r="A971" s="2" t="str">
        <x:v>LN00970</x:v>
      </x:c>
      <x:c r="B971" s="2" t="str">
        <x:v>T20261008-1-1</x:v>
      </x:c>
      <x:c r="C971" s="7" t="n">
        <x:v>46303</x:v>
      </x:c>
      <x:c r="D971" s="2" t="str">
        <x:v>BUS001</x:v>
      </x:c>
      <x:c r="E971" s="2" t="str">
        <x:v>ST010</x:v>
      </x:c>
      <x:c r="F971" s="2" t="n">
        <x:v>1</x:v>
      </x:c>
      <x:c r="G971" s="2" t="str">
        <x:v>Junior</x:v>
      </x:c>
      <x:c r="H971" s="2" t="str">
        <x:v>Pickup</x:v>
      </x:c>
      <x:c r="I971" s="2" t="str">
        <x:v>R1S1</x:v>
      </x:c>
      <x:c r="J971" s="2" t="str">
        <x:v>EV001933</x:v>
      </x:c>
      <x:c r="K971" s="8" t="n">
        <x:v>46303.242673611116</x:v>
      </x:c>
      <x:c r="L971" s="2" t="str">
        <x:v>R1S1</x:v>
      </x:c>
      <x:c r="M971" s="9" t="n">
        <x:v>25.271</x:v>
      </x:c>
      <x:c r="N971" s="9" t="n">
        <x:v>51.491</x:v>
      </x:c>
      <x:c r="O971" s="2" t="str">
        <x:v>Valid</x:v>
      </x:c>
      <x:c r="P971" s="2" t="str">
        <x:v>EV001934</x:v>
      </x:c>
      <x:c r="Q971" s="8" t="n">
        <x:v>46303.27670138889</x:v>
      </x:c>
      <x:c r="R971" s="2" t="str">
        <x:v>SCH01</x:v>
      </x:c>
      <x:c r="S971" s="9" t="n">
        <x:v>25.285</x:v>
      </x:c>
      <x:c r="T971" s="9" t="n">
        <x:v>51.51</x:v>
      </x:c>
      <x:c r="U971" s="2" t="str">
        <x:v>SCHOOL_RECEIVER_01</x:v>
      </x:c>
      <x:c r="V971" s="2" t="str">
        <x:v>School staff receipt</x:v>
      </x:c>
      <x:c r="W971" s="2" t="str">
        <x:v>Completed transport</x:v>
      </x:c>
      <x:c r="X971" s="2" t="str">
        <x:v>QR</x:v>
      </x:c>
      <x:c r="Y971" s="2" t="str">
        <x:v>Online</x:v>
      </x:c>
      <x:c r="Z971" s="2" t="str">
        <x:v>Synced</x:v>
      </x:c>
      <x:c r="AA971" s="2"/>
      <x:c r="AB971" s="2"/>
      <x:c r="AC971" s="10" t="n">
        <x:f>IF(OR(K971="",Q971=""),"",ROUND((Q971-K971)*1440,2))</x:f>
        <x:v>49</x:v>
      </x:c>
    </x:row>
    <x:row r="972" ht="21" customHeight="1">
      <x:c r="A972" s="2" t="str">
        <x:v>LN00971</x:v>
      </x:c>
      <x:c r="B972" s="2" t="str">
        <x:v>T20261008-1-1</x:v>
      </x:c>
      <x:c r="C972" s="7" t="n">
        <x:v>46303</x:v>
      </x:c>
      <x:c r="D972" s="2" t="str">
        <x:v>BUS001</x:v>
      </x:c>
      <x:c r="E972" s="2" t="str">
        <x:v>ST011</x:v>
      </x:c>
      <x:c r="F972" s="2" t="n">
        <x:v>1</x:v>
      </x:c>
      <x:c r="G972" s="2" t="str">
        <x:v>Senior</x:v>
      </x:c>
      <x:c r="H972" s="2" t="str">
        <x:v>Pickup</x:v>
      </x:c>
      <x:c r="I972" s="2" t="str">
        <x:v>R1S2</x:v>
      </x:c>
      <x:c r="J972" s="2" t="str">
        <x:v>EV001935</x:v>
      </x:c>
      <x:c r="K972" s="8" t="n">
        <x:v>46303.24722222222</x:v>
      </x:c>
      <x:c r="L972" s="2" t="str">
        <x:v>R1S2</x:v>
      </x:c>
      <x:c r="M972" s="9" t="n">
        <x:v>25.273000000000003</x:v>
      </x:c>
      <x:c r="N972" s="9" t="n">
        <x:v>51.494</x:v>
      </x:c>
      <x:c r="O972" s="2" t="str">
        <x:v>Valid</x:v>
      </x:c>
      <x:c r="P972" s="2" t="str">
        <x:v>EV001936</x:v>
      </x:c>
      <x:c r="Q972" s="8" t="n">
        <x:v>46303.27673611111</x:v>
      </x:c>
      <x:c r="R972" s="2" t="str">
        <x:v>SCH01</x:v>
      </x:c>
      <x:c r="S972" s="9" t="n">
        <x:v>25.285</x:v>
      </x:c>
      <x:c r="T972" s="9" t="n">
        <x:v>51.51</x:v>
      </x:c>
      <x:c r="U972" s="2" t="str">
        <x:v>SCHOOL_RECEIVER_01</x:v>
      </x:c>
      <x:c r="V972" s="2" t="str">
        <x:v>School staff receipt</x:v>
      </x:c>
      <x:c r="W972" s="2" t="str">
        <x:v>Completed transport</x:v>
      </x:c>
      <x:c r="X972" s="2" t="str">
        <x:v>QR</x:v>
      </x:c>
      <x:c r="Y972" s="2" t="str">
        <x:v>Online</x:v>
      </x:c>
      <x:c r="Z972" s="2" t="str">
        <x:v>Synced</x:v>
      </x:c>
      <x:c r="AA972" s="2"/>
      <x:c r="AB972" s="2"/>
      <x:c r="AC972" s="10" t="n">
        <x:f>IF(OR(K972="",Q972=""),"",ROUND((Q972-K972)*1440,2))</x:f>
        <x:v>42.5</x:v>
      </x:c>
    </x:row>
    <x:row r="973" ht="21" customHeight="1">
      <x:c r="A973" s="2" t="str">
        <x:v>LN00972</x:v>
      </x:c>
      <x:c r="B973" s="2" t="str">
        <x:v>T20261008-1-1</x:v>
      </x:c>
      <x:c r="C973" s="7" t="n">
        <x:v>46303</x:v>
      </x:c>
      <x:c r="D973" s="2" t="str">
        <x:v>BUS001</x:v>
      </x:c>
      <x:c r="E973" s="2" t="str">
        <x:v>ST012</x:v>
      </x:c>
      <x:c r="F973" s="2" t="n">
        <x:v>1</x:v>
      </x:c>
      <x:c r="G973" s="2" t="str">
        <x:v>Senior</x:v>
      </x:c>
      <x:c r="H973" s="2" t="str">
        <x:v>Pickup</x:v>
      </x:c>
      <x:c r="I973" s="2" t="str">
        <x:v>R1S3</x:v>
      </x:c>
      <x:c r="J973" s="2" t="str">
        <x:v>EV001937</x:v>
      </x:c>
      <x:c r="K973" s="8" t="n">
        <x:v>46303.252118055556</x:v>
      </x:c>
      <x:c r="L973" s="2" t="str">
        <x:v>R1S3</x:v>
      </x:c>
      <x:c r="M973" s="9" t="n">
        <x:v>25.275000000000002</x:v>
      </x:c>
      <x:c r="N973" s="9" t="n">
        <x:v>51.497</x:v>
      </x:c>
      <x:c r="O973" s="2" t="str">
        <x:v>Valid</x:v>
      </x:c>
      <x:c r="P973" s="2" t="str">
        <x:v>EV001938</x:v>
      </x:c>
      <x:c r="Q973" s="8" t="n">
        <x:v>46303.276770833334</x:v>
      </x:c>
      <x:c r="R973" s="2" t="str">
        <x:v>SCH01</x:v>
      </x:c>
      <x:c r="S973" s="9" t="n">
        <x:v>25.285</x:v>
      </x:c>
      <x:c r="T973" s="9" t="n">
        <x:v>51.51</x:v>
      </x:c>
      <x:c r="U973" s="2" t="str">
        <x:v>SCHOOL_RECEIVER_01</x:v>
      </x:c>
      <x:c r="V973" s="2" t="str">
        <x:v>School staff receipt</x:v>
      </x:c>
      <x:c r="W973" s="2" t="str">
        <x:v>Completed transport</x:v>
      </x:c>
      <x:c r="X973" s="2" t="str">
        <x:v>QR</x:v>
      </x:c>
      <x:c r="Y973" s="2" t="str">
        <x:v>Online</x:v>
      </x:c>
      <x:c r="Z973" s="2" t="str">
        <x:v>Synced</x:v>
      </x:c>
      <x:c r="AA973" s="2"/>
      <x:c r="AB973" s="2"/>
      <x:c r="AC973" s="10" t="n">
        <x:f>IF(OR(K973="",Q973=""),"",ROUND((Q973-K973)*1440,2))</x:f>
        <x:v>35.5</x:v>
      </x:c>
    </x:row>
    <x:row r="974" ht="21" customHeight="1">
      <x:c r="A974" s="2" t="str">
        <x:v>LN00973</x:v>
      </x:c>
      <x:c r="B974" s="2" t="str">
        <x:v>T20261008-1-1</x:v>
      </x:c>
      <x:c r="C974" s="7" t="n">
        <x:v>46303</x:v>
      </x:c>
      <x:c r="D974" s="2" t="str">
        <x:v>BUS001</x:v>
      </x:c>
      <x:c r="E974" s="2" t="str">
        <x:v>ST013</x:v>
      </x:c>
      <x:c r="F974" s="2" t="n">
        <x:v>1</x:v>
      </x:c>
      <x:c r="G974" s="2" t="str">
        <x:v>Senior</x:v>
      </x:c>
      <x:c r="H974" s="2" t="str">
        <x:v>Pickup</x:v>
      </x:c>
      <x:c r="I974" s="2" t="str">
        <x:v>R1S1</x:v>
      </x:c>
      <x:c r="J974" s="2" t="str">
        <x:v>EV001939</x:v>
      </x:c>
      <x:c r="K974" s="8" t="n">
        <x:v>46303.24243055556</x:v>
      </x:c>
      <x:c r="L974" s="2" t="str">
        <x:v>R1S1</x:v>
      </x:c>
      <x:c r="M974" s="9" t="n">
        <x:v>25.271</x:v>
      </x:c>
      <x:c r="N974" s="9" t="n">
        <x:v>51.491</x:v>
      </x:c>
      <x:c r="O974" s="2" t="str">
        <x:v>Valid</x:v>
      </x:c>
      <x:c r="P974" s="2" t="str">
        <x:v>EV001940</x:v>
      </x:c>
      <x:c r="Q974" s="8" t="n">
        <x:v>46303.27680555556</x:v>
      </x:c>
      <x:c r="R974" s="2" t="str">
        <x:v>SCH01</x:v>
      </x:c>
      <x:c r="S974" s="9" t="n">
        <x:v>25.285</x:v>
      </x:c>
      <x:c r="T974" s="9" t="n">
        <x:v>51.51</x:v>
      </x:c>
      <x:c r="U974" s="2" t="str">
        <x:v>SCHOOL_RECEIVER_01</x:v>
      </x:c>
      <x:c r="V974" s="2" t="str">
        <x:v>School staff receipt</x:v>
      </x:c>
      <x:c r="W974" s="2" t="str">
        <x:v>Completed transport</x:v>
      </x:c>
      <x:c r="X974" s="2" t="str">
        <x:v>QR</x:v>
      </x:c>
      <x:c r="Y974" s="2" t="str">
        <x:v>Online</x:v>
      </x:c>
      <x:c r="Z974" s="2" t="str">
        <x:v>Synced</x:v>
      </x:c>
      <x:c r="AA974" s="2"/>
      <x:c r="AB974" s="2"/>
      <x:c r="AC974" s="10" t="n">
        <x:f>IF(OR(K974="",Q974=""),"",ROUND((Q974-K974)*1440,2))</x:f>
        <x:v>49.5</x:v>
      </x:c>
    </x:row>
    <x:row r="975" ht="21" customHeight="1">
      <x:c r="A975" s="2" t="str">
        <x:v>LN00974</x:v>
      </x:c>
      <x:c r="B975" s="2" t="str">
        <x:v>T20261008-1-1</x:v>
      </x:c>
      <x:c r="C975" s="7" t="n">
        <x:v>46303</x:v>
      </x:c>
      <x:c r="D975" s="2" t="str">
        <x:v>BUS001</x:v>
      </x:c>
      <x:c r="E975" s="2" t="str">
        <x:v>ST014</x:v>
      </x:c>
      <x:c r="F975" s="2" t="n">
        <x:v>1</x:v>
      </x:c>
      <x:c r="G975" s="2" t="str">
        <x:v>Senior</x:v>
      </x:c>
      <x:c r="H975" s="2" t="str">
        <x:v>Pickup</x:v>
      </x:c>
      <x:c r="I975" s="2" t="str">
        <x:v>R1S2</x:v>
      </x:c>
      <x:c r="J975" s="2" t="str">
        <x:v>EV001941</x:v>
      </x:c>
      <x:c r="K975" s="8" t="n">
        <x:v>46303.24732638889</x:v>
      </x:c>
      <x:c r="L975" s="2" t="str">
        <x:v>R1S2</x:v>
      </x:c>
      <x:c r="M975" s="9" t="n">
        <x:v>25.273000000000003</x:v>
      </x:c>
      <x:c r="N975" s="9" t="n">
        <x:v>51.494</x:v>
      </x:c>
      <x:c r="O975" s="2" t="str">
        <x:v>Valid</x:v>
      </x:c>
      <x:c r="P975" s="2" t="str">
        <x:v>EV001942</x:v>
      </x:c>
      <x:c r="Q975" s="8" t="n">
        <x:v>46303.27684027777</x:v>
      </x:c>
      <x:c r="R975" s="2" t="str">
        <x:v>SCH01</x:v>
      </x:c>
      <x:c r="S975" s="9" t="n">
        <x:v>25.285</x:v>
      </x:c>
      <x:c r="T975" s="9" t="n">
        <x:v>51.51</x:v>
      </x:c>
      <x:c r="U975" s="2" t="str">
        <x:v>SCHOOL_RECEIVER_01</x:v>
      </x:c>
      <x:c r="V975" s="2" t="str">
        <x:v>School staff receipt</x:v>
      </x:c>
      <x:c r="W975" s="2" t="str">
        <x:v>Completed transport</x:v>
      </x:c>
      <x:c r="X975" s="2" t="str">
        <x:v>QR</x:v>
      </x:c>
      <x:c r="Y975" s="2" t="str">
        <x:v>Online</x:v>
      </x:c>
      <x:c r="Z975" s="2" t="str">
        <x:v>Synced</x:v>
      </x:c>
      <x:c r="AA975" s="2"/>
      <x:c r="AB975" s="2"/>
      <x:c r="AC975" s="10" t="n">
        <x:f>IF(OR(K975="",Q975=""),"",ROUND((Q975-K975)*1440,2))</x:f>
        <x:v>42.5</x:v>
      </x:c>
    </x:row>
    <x:row r="976" ht="21" customHeight="1">
      <x:c r="A976" s="2" t="str">
        <x:v>LN00975</x:v>
      </x:c>
      <x:c r="B976" s="2" t="str">
        <x:v>T20261008-1-1</x:v>
      </x:c>
      <x:c r="C976" s="7" t="n">
        <x:v>46303</x:v>
      </x:c>
      <x:c r="D976" s="2" t="str">
        <x:v>BUS001</x:v>
      </x:c>
      <x:c r="E976" s="2" t="str">
        <x:v>ST015</x:v>
      </x:c>
      <x:c r="F976" s="2" t="n">
        <x:v>1</x:v>
      </x:c>
      <x:c r="G976" s="2" t="str">
        <x:v>Senior</x:v>
      </x:c>
      <x:c r="H976" s="2" t="str">
        <x:v>Pickup</x:v>
      </x:c>
      <x:c r="I976" s="2" t="str">
        <x:v>R1S3</x:v>
      </x:c>
      <x:c r="J976" s="2" t="str">
        <x:v>EV001943</x:v>
      </x:c>
      <x:c r="K976" s="8" t="n">
        <x:v>46303.252222222225</x:v>
      </x:c>
      <x:c r="L976" s="2" t="str">
        <x:v>R1S3</x:v>
      </x:c>
      <x:c r="M976" s="9" t="n">
        <x:v>25.275000000000002</x:v>
      </x:c>
      <x:c r="N976" s="9" t="n">
        <x:v>51.497</x:v>
      </x:c>
      <x:c r="O976" s="2" t="str">
        <x:v>Valid</x:v>
      </x:c>
      <x:c r="P976" s="2" t="str">
        <x:v>EV001944</x:v>
      </x:c>
      <x:c r="Q976" s="8" t="n">
        <x:v>46303.276874999996</x:v>
      </x:c>
      <x:c r="R976" s="2" t="str">
        <x:v>SCH01</x:v>
      </x:c>
      <x:c r="S976" s="9" t="n">
        <x:v>25.285</x:v>
      </x:c>
      <x:c r="T976" s="9" t="n">
        <x:v>51.51</x:v>
      </x:c>
      <x:c r="U976" s="2" t="str">
        <x:v>SCHOOL_RECEIVER_01</x:v>
      </x:c>
      <x:c r="V976" s="2" t="str">
        <x:v>School staff receipt</x:v>
      </x:c>
      <x:c r="W976" s="2" t="str">
        <x:v>Completed transport</x:v>
      </x:c>
      <x:c r="X976" s="2" t="str">
        <x:v>QR</x:v>
      </x:c>
      <x:c r="Y976" s="2" t="str">
        <x:v>Online</x:v>
      </x:c>
      <x:c r="Z976" s="2" t="str">
        <x:v>Synced</x:v>
      </x:c>
      <x:c r="AA976" s="2"/>
      <x:c r="AB976" s="2"/>
      <x:c r="AC976" s="10" t="n">
        <x:f>IF(OR(K976="",Q976=""),"",ROUND((Q976-K976)*1440,2))</x:f>
        <x:v>35.5</x:v>
      </x:c>
    </x:row>
    <x:row r="977" ht="21" customHeight="1">
      <x:c r="A977" s="2" t="str">
        <x:v>LN00976</x:v>
      </x:c>
      <x:c r="B977" s="2" t="str">
        <x:v>T20261008-1-1</x:v>
      </x:c>
      <x:c r="C977" s="7" t="n">
        <x:v>46303</x:v>
      </x:c>
      <x:c r="D977" s="2" t="str">
        <x:v>BUS001</x:v>
      </x:c>
      <x:c r="E977" s="2" t="str">
        <x:v>ST016</x:v>
      </x:c>
      <x:c r="F977" s="2" t="n">
        <x:v>1</x:v>
      </x:c>
      <x:c r="G977" s="2" t="str">
        <x:v>Senior</x:v>
      </x:c>
      <x:c r="H977" s="2" t="str">
        <x:v>Pickup</x:v>
      </x:c>
      <x:c r="I977" s="2" t="str">
        <x:v>R1S1</x:v>
      </x:c>
      <x:c r="J977" s="2" t="str">
        <x:v>EV001945</x:v>
      </x:c>
      <x:c r="K977" s="8" t="n">
        <x:v>46303.24253472222</x:v>
      </x:c>
      <x:c r="L977" s="2" t="str">
        <x:v>R1S1</x:v>
      </x:c>
      <x:c r="M977" s="9" t="n">
        <x:v>25.271</x:v>
      </x:c>
      <x:c r="N977" s="9" t="n">
        <x:v>51.491</x:v>
      </x:c>
      <x:c r="O977" s="2" t="str">
        <x:v>Valid</x:v>
      </x:c>
      <x:c r="P977" s="2" t="str">
        <x:v>EV001946</x:v>
      </x:c>
      <x:c r="Q977" s="8" t="n">
        <x:v>46303.27690972222</x:v>
      </x:c>
      <x:c r="R977" s="2" t="str">
        <x:v>SCH01</x:v>
      </x:c>
      <x:c r="S977" s="9" t="n">
        <x:v>25.285</x:v>
      </x:c>
      <x:c r="T977" s="9" t="n">
        <x:v>51.51</x:v>
      </x:c>
      <x:c r="U977" s="2" t="str">
        <x:v>SCHOOL_RECEIVER_01</x:v>
      </x:c>
      <x:c r="V977" s="2" t="str">
        <x:v>School staff receipt</x:v>
      </x:c>
      <x:c r="W977" s="2" t="str">
        <x:v>Completed transport</x:v>
      </x:c>
      <x:c r="X977" s="2" t="str">
        <x:v>QR</x:v>
      </x:c>
      <x:c r="Y977" s="2" t="str">
        <x:v>Online</x:v>
      </x:c>
      <x:c r="Z977" s="2" t="str">
        <x:v>Synced</x:v>
      </x:c>
      <x:c r="AA977" s="2"/>
      <x:c r="AB977" s="2"/>
      <x:c r="AC977" s="10" t="n">
        <x:f>IF(OR(K977="",Q977=""),"",ROUND((Q977-K977)*1440,2))</x:f>
        <x:v>49.5</x:v>
      </x:c>
    </x:row>
    <x:row r="978" ht="21" customHeight="1">
      <x:c r="A978" s="2" t="str">
        <x:v>LN00977</x:v>
      </x:c>
      <x:c r="B978" s="2" t="str">
        <x:v>T20261008-1-1</x:v>
      </x:c>
      <x:c r="C978" s="7" t="n">
        <x:v>46303</x:v>
      </x:c>
      <x:c r="D978" s="2" t="str">
        <x:v>BUS001</x:v>
      </x:c>
      <x:c r="E978" s="2" t="str">
        <x:v>ST017</x:v>
      </x:c>
      <x:c r="F978" s="2" t="n">
        <x:v>1</x:v>
      </x:c>
      <x:c r="G978" s="2" t="str">
        <x:v>Senior</x:v>
      </x:c>
      <x:c r="H978" s="2" t="str">
        <x:v>Pickup</x:v>
      </x:c>
      <x:c r="I978" s="2" t="str">
        <x:v>R1S2</x:v>
      </x:c>
      <x:c r="J978" s="2" t="str">
        <x:v>EV001947</x:v>
      </x:c>
      <x:c r="K978" s="8" t="n">
        <x:v>46303.24743055555</x:v>
      </x:c>
      <x:c r="L978" s="2" t="str">
        <x:v>R1S2</x:v>
      </x:c>
      <x:c r="M978" s="9" t="n">
        <x:v>25.273000000000003</x:v>
      </x:c>
      <x:c r="N978" s="9" t="n">
        <x:v>51.494</x:v>
      </x:c>
      <x:c r="O978" s="2" t="str">
        <x:v>Valid</x:v>
      </x:c>
      <x:c r="P978" s="2" t="str">
        <x:v>EV001948</x:v>
      </x:c>
      <x:c r="Q978" s="8" t="n">
        <x:v>46303.27694444444</x:v>
      </x:c>
      <x:c r="R978" s="2" t="str">
        <x:v>SCH01</x:v>
      </x:c>
      <x:c r="S978" s="9" t="n">
        <x:v>25.285</x:v>
      </x:c>
      <x:c r="T978" s="9" t="n">
        <x:v>51.51</x:v>
      </x:c>
      <x:c r="U978" s="2" t="str">
        <x:v>SCHOOL_RECEIVER_01</x:v>
      </x:c>
      <x:c r="V978" s="2" t="str">
        <x:v>School staff receipt</x:v>
      </x:c>
      <x:c r="W978" s="2" t="str">
        <x:v>Completed transport</x:v>
      </x:c>
      <x:c r="X978" s="2" t="str">
        <x:v>QR</x:v>
      </x:c>
      <x:c r="Y978" s="2" t="str">
        <x:v>Online</x:v>
      </x:c>
      <x:c r="Z978" s="2" t="str">
        <x:v>Synced</x:v>
      </x:c>
      <x:c r="AA978" s="2"/>
      <x:c r="AB978" s="2"/>
      <x:c r="AC978" s="10" t="n">
        <x:f>IF(OR(K978="",Q978=""),"",ROUND((Q978-K978)*1440,2))</x:f>
        <x:v>42.5</x:v>
      </x:c>
    </x:row>
    <x:row r="979" ht="21" customHeight="1">
      <x:c r="A979" s="2" t="str">
        <x:v>LN00978</x:v>
      </x:c>
      <x:c r="B979" s="2" t="str">
        <x:v>T20261008-1-1</x:v>
      </x:c>
      <x:c r="C979" s="7" t="n">
        <x:v>46303</x:v>
      </x:c>
      <x:c r="D979" s="2" t="str">
        <x:v>BUS001</x:v>
      </x:c>
      <x:c r="E979" s="2" t="str">
        <x:v>ST018</x:v>
      </x:c>
      <x:c r="F979" s="2" t="n">
        <x:v>1</x:v>
      </x:c>
      <x:c r="G979" s="2" t="str">
        <x:v>Senior</x:v>
      </x:c>
      <x:c r="H979" s="2" t="str">
        <x:v>Pickup</x:v>
      </x:c>
      <x:c r="I979" s="2" t="str">
        <x:v>R1S3</x:v>
      </x:c>
      <x:c r="J979" s="2" t="str">
        <x:v>EV001949</x:v>
      </x:c>
      <x:c r="K979" s="8" t="n">
        <x:v>46303.25232638889</x:v>
      </x:c>
      <x:c r="L979" s="2" t="str">
        <x:v>R1S3</x:v>
      </x:c>
      <x:c r="M979" s="9" t="n">
        <x:v>25.275000000000002</x:v>
      </x:c>
      <x:c r="N979" s="9" t="n">
        <x:v>51.497</x:v>
      </x:c>
      <x:c r="O979" s="2" t="str">
        <x:v>Valid</x:v>
      </x:c>
      <x:c r="P979" s="2" t="str">
        <x:v>EV001950</x:v>
      </x:c>
      <x:c r="Q979" s="8" t="n">
        <x:v>46303.276979166665</x:v>
      </x:c>
      <x:c r="R979" s="2" t="str">
        <x:v>SCH01</x:v>
      </x:c>
      <x:c r="S979" s="9" t="n">
        <x:v>25.285</x:v>
      </x:c>
      <x:c r="T979" s="9" t="n">
        <x:v>51.51</x:v>
      </x:c>
      <x:c r="U979" s="2" t="str">
        <x:v>SCHOOL_RECEIVER_01</x:v>
      </x:c>
      <x:c r="V979" s="2" t="str">
        <x:v>School staff receipt</x:v>
      </x:c>
      <x:c r="W979" s="2" t="str">
        <x:v>Completed transport</x:v>
      </x:c>
      <x:c r="X979" s="2" t="str">
        <x:v>QR</x:v>
      </x:c>
      <x:c r="Y979" s="2" t="str">
        <x:v>Online</x:v>
      </x:c>
      <x:c r="Z979" s="2" t="str">
        <x:v>Synced</x:v>
      </x:c>
      <x:c r="AA979" s="2"/>
      <x:c r="AB979" s="2"/>
      <x:c r="AC979" s="10" t="n">
        <x:f>IF(OR(K979="",Q979=""),"",ROUND((Q979-K979)*1440,2))</x:f>
        <x:v>35.5</x:v>
      </x:c>
    </x:row>
    <x:row r="980" ht="21" customHeight="1">
      <x:c r="A980" s="2" t="str">
        <x:v>LN00979</x:v>
      </x:c>
      <x:c r="B980" s="2" t="str">
        <x:v>T20261008-1-1</x:v>
      </x:c>
      <x:c r="C980" s="7" t="n">
        <x:v>46303</x:v>
      </x:c>
      <x:c r="D980" s="2" t="str">
        <x:v>BUS001</x:v>
      </x:c>
      <x:c r="E980" s="2" t="str">
        <x:v>ST019</x:v>
      </x:c>
      <x:c r="F980" s="2" t="n">
        <x:v>1</x:v>
      </x:c>
      <x:c r="G980" s="2" t="str">
        <x:v>Senior</x:v>
      </x:c>
      <x:c r="H980" s="2" t="str">
        <x:v>Pickup</x:v>
      </x:c>
      <x:c r="I980" s="2" t="str">
        <x:v>R1S1</x:v>
      </x:c>
      <x:c r="J980" s="2" t="str">
        <x:v>EV001951</x:v>
      </x:c>
      <x:c r="K980" s="8" t="n">
        <x:v>46303.24263888889</x:v>
      </x:c>
      <x:c r="L980" s="2" t="str">
        <x:v>R1S1</x:v>
      </x:c>
      <x:c r="M980" s="9" t="n">
        <x:v>25.271</x:v>
      </x:c>
      <x:c r="N980" s="9" t="n">
        <x:v>51.491</x:v>
      </x:c>
      <x:c r="O980" s="2" t="str">
        <x:v>Valid</x:v>
      </x:c>
      <x:c r="P980" s="2" t="str">
        <x:v>EV001952</x:v>
      </x:c>
      <x:c r="Q980" s="8" t="n">
        <x:v>46303.27701388889</x:v>
      </x:c>
      <x:c r="R980" s="2" t="str">
        <x:v>SCH01</x:v>
      </x:c>
      <x:c r="S980" s="9" t="n">
        <x:v>25.285</x:v>
      </x:c>
      <x:c r="T980" s="9" t="n">
        <x:v>51.51</x:v>
      </x:c>
      <x:c r="U980" s="2" t="str">
        <x:v>SCHOOL_RECEIVER_01</x:v>
      </x:c>
      <x:c r="V980" s="2" t="str">
        <x:v>School staff receipt</x:v>
      </x:c>
      <x:c r="W980" s="2" t="str">
        <x:v>Completed transport</x:v>
      </x:c>
      <x:c r="X980" s="2" t="str">
        <x:v>QR</x:v>
      </x:c>
      <x:c r="Y980" s="2" t="str">
        <x:v>Online</x:v>
      </x:c>
      <x:c r="Z980" s="2" t="str">
        <x:v>Synced</x:v>
      </x:c>
      <x:c r="AA980" s="2"/>
      <x:c r="AB980" s="2"/>
      <x:c r="AC980" s="10" t="n">
        <x:f>IF(OR(K980="",Q980=""),"",ROUND((Q980-K980)*1440,2))</x:f>
        <x:v>49.5</x:v>
      </x:c>
    </x:row>
    <x:row r="981" ht="21" customHeight="1">
      <x:c r="A981" s="2" t="str">
        <x:v>LN00980</x:v>
      </x:c>
      <x:c r="B981" s="2" t="str">
        <x:v>T20261008-1-1</x:v>
      </x:c>
      <x:c r="C981" s="7" t="n">
        <x:v>46303</x:v>
      </x:c>
      <x:c r="D981" s="2" t="str">
        <x:v>BUS001</x:v>
      </x:c>
      <x:c r="E981" s="2" t="str">
        <x:v>ST020</x:v>
      </x:c>
      <x:c r="F981" s="2" t="n">
        <x:v>1</x:v>
      </x:c>
      <x:c r="G981" s="2" t="str">
        <x:v>Senior</x:v>
      </x:c>
      <x:c r="H981" s="2" t="str">
        <x:v>Pickup</x:v>
      </x:c>
      <x:c r="I981" s="2" t="str">
        <x:v>R1S2</x:v>
      </x:c>
      <x:c r="J981" s="2" t="str">
        <x:v>EV001953</x:v>
      </x:c>
      <x:c r="K981" s="8" t="n">
        <x:v>46303.24753472222</x:v>
      </x:c>
      <x:c r="L981" s="2" t="str">
        <x:v>R1S2</x:v>
      </x:c>
      <x:c r="M981" s="9" t="n">
        <x:v>25.273000000000003</x:v>
      </x:c>
      <x:c r="N981" s="9" t="n">
        <x:v>51.494</x:v>
      </x:c>
      <x:c r="O981" s="2" t="str">
        <x:v>Valid</x:v>
      </x:c>
      <x:c r="P981" s="2" t="str">
        <x:v>EV001954</x:v>
      </x:c>
      <x:c r="Q981" s="8" t="n">
        <x:v>46303.27704861111</x:v>
      </x:c>
      <x:c r="R981" s="2" t="str">
        <x:v>SCH01</x:v>
      </x:c>
      <x:c r="S981" s="9" t="n">
        <x:v>25.285</x:v>
      </x:c>
      <x:c r="T981" s="9" t="n">
        <x:v>51.51</x:v>
      </x:c>
      <x:c r="U981" s="2" t="str">
        <x:v>SCHOOL_RECEIVER_01</x:v>
      </x:c>
      <x:c r="V981" s="2" t="str">
        <x:v>School staff receipt</x:v>
      </x:c>
      <x:c r="W981" s="2" t="str">
        <x:v>Completed transport</x:v>
      </x:c>
      <x:c r="X981" s="2" t="str">
        <x:v>QR</x:v>
      </x:c>
      <x:c r="Y981" s="2" t="str">
        <x:v>Online</x:v>
      </x:c>
      <x:c r="Z981" s="2" t="str">
        <x:v>Synced</x:v>
      </x:c>
      <x:c r="AA981" s="2"/>
      <x:c r="AB981" s="2"/>
      <x:c r="AC981" s="10" t="n">
        <x:f>IF(OR(K981="",Q981=""),"",ROUND((Q981-K981)*1440,2))</x:f>
        <x:v>42.5</x:v>
      </x:c>
    </x:row>
    <x:row r="982" ht="21" customHeight="1">
      <x:c r="A982" s="2" t="str">
        <x:v>LN00981</x:v>
      </x:c>
      <x:c r="B982" s="2" t="str">
        <x:v>T20261008-2-1</x:v>
      </x:c>
      <x:c r="C982" s="7" t="n">
        <x:v>46303</x:v>
      </x:c>
      <x:c r="D982" s="2" t="str">
        <x:v>BUS001</x:v>
      </x:c>
      <x:c r="E982" s="2" t="str">
        <x:v>ST001</x:v>
      </x:c>
      <x:c r="F982" s="2" t="n">
        <x:v>1</x:v>
      </x:c>
      <x:c r="G982" s="2" t="str">
        <x:v>Junior</x:v>
      </x:c>
      <x:c r="H982" s="2" t="str">
        <x:v>Drop-off</x:v>
      </x:c>
      <x:c r="I982" s="2" t="str">
        <x:v>R1S1</x:v>
      </x:c>
      <x:c r="J982" s="2" t="str">
        <x:v>EV001955</x:v>
      </x:c>
      <x:c r="K982" s="8" t="n">
        <x:v>46303.4375</x:v>
      </x:c>
      <x:c r="L982" s="2" t="str">
        <x:v>SCH01</x:v>
      </x:c>
      <x:c r="M982" s="9" t="n">
        <x:v>25.285</x:v>
      </x:c>
      <x:c r="N982" s="9" t="n">
        <x:v>51.51</x:v>
      </x:c>
      <x:c r="O982" s="2" t="str">
        <x:v>Valid</x:v>
      </x:c>
      <x:c r="P982" s="2" t="str">
        <x:v>EV001956</x:v>
      </x:c>
      <x:c r="Q982" s="8" t="n">
        <x:v>46303.44930555555</x:v>
      </x:c>
      <x:c r="R982" s="2" t="str">
        <x:v>R1S1</x:v>
      </x:c>
      <x:c r="S982" s="9" t="n">
        <x:v>25.271</x:v>
      </x:c>
      <x:c r="T982" s="9" t="n">
        <x:v>51.491</x:v>
      </x:c>
      <x:c r="U982" s="2" t="str">
        <x:v>G001</x:v>
      </x:c>
      <x:c r="V982" s="2" t="str">
        <x:v>Authorized guardian release</x:v>
      </x:c>
      <x:c r="W982" s="2" t="str">
        <x:v>Completed transport</x:v>
      </x:c>
      <x:c r="X982" s="2" t="str">
        <x:v>QR</x:v>
      </x:c>
      <x:c r="Y982" s="2" t="str">
        <x:v>Online</x:v>
      </x:c>
      <x:c r="Z982" s="2" t="str">
        <x:v>Synced</x:v>
      </x:c>
      <x:c r="AA982" s="2"/>
      <x:c r="AB982" s="2"/>
      <x:c r="AC982" s="10" t="n">
        <x:f>IF(OR(K982="",Q982=""),"",ROUND((Q982-K982)*1440,2))</x:f>
        <x:v>17</x:v>
      </x:c>
    </x:row>
    <x:row r="983" ht="21" customHeight="1">
      <x:c r="A983" s="2" t="str">
        <x:v>LN00982</x:v>
      </x:c>
      <x:c r="B983" s="2" t="str">
        <x:v>T20261008-2-1</x:v>
      </x:c>
      <x:c r="C983" s="7" t="n">
        <x:v>46303</x:v>
      </x:c>
      <x:c r="D983" s="2" t="str">
        <x:v>BUS001</x:v>
      </x:c>
      <x:c r="E983" s="2" t="str">
        <x:v>ST002</x:v>
      </x:c>
      <x:c r="F983" s="2" t="n">
        <x:v>1</x:v>
      </x:c>
      <x:c r="G983" s="2" t="str">
        <x:v>Junior</x:v>
      </x:c>
      <x:c r="H983" s="2" t="str">
        <x:v>Drop-off</x:v>
      </x:c>
      <x:c r="I983" s="2" t="str">
        <x:v>R1S2</x:v>
      </x:c>
      <x:c r="J983" s="2" t="str">
        <x:v>EV001957</x:v>
      </x:c>
      <x:c r="K983" s="8" t="n">
        <x:v>46303.43753472222</x:v>
      </x:c>
      <x:c r="L983" s="2" t="str">
        <x:v>SCH01</x:v>
      </x:c>
      <x:c r="M983" s="9" t="n">
        <x:v>25.285</x:v>
      </x:c>
      <x:c r="N983" s="9" t="n">
        <x:v>51.51</x:v>
      </x:c>
      <x:c r="O983" s="2" t="str">
        <x:v>Valid</x:v>
      </x:c>
      <x:c r="P983" s="2" t="str">
        <x:v>EV001958</x:v>
      </x:c>
      <x:c r="Q983" s="8" t="n">
        <x:v>46303.45350694445</x:v>
      </x:c>
      <x:c r="R983" s="2" t="str">
        <x:v>R1S2</x:v>
      </x:c>
      <x:c r="S983" s="9" t="n">
        <x:v>25.273000000000003</x:v>
      </x:c>
      <x:c r="T983" s="9" t="n">
        <x:v>51.494</x:v>
      </x:c>
      <x:c r="U983" s="2" t="str">
        <x:v>G002</x:v>
      </x:c>
      <x:c r="V983" s="2" t="str">
        <x:v>Authorized guardian release</x:v>
      </x:c>
      <x:c r="W983" s="2" t="str">
        <x:v>Completed transport</x:v>
      </x:c>
      <x:c r="X983" s="2" t="str">
        <x:v>QR</x:v>
      </x:c>
      <x:c r="Y983" s="2" t="str">
        <x:v>Online</x:v>
      </x:c>
      <x:c r="Z983" s="2" t="str">
        <x:v>Synced</x:v>
      </x:c>
      <x:c r="AA983" s="2"/>
      <x:c r="AB983" s="2"/>
      <x:c r="AC983" s="10" t="n">
        <x:f>IF(OR(K983="",Q983=""),"",ROUND((Q983-K983)*1440,2))</x:f>
        <x:v>23</x:v>
      </x:c>
    </x:row>
    <x:row r="984" ht="21" customHeight="1">
      <x:c r="A984" s="2" t="str">
        <x:v>LN00983</x:v>
      </x:c>
      <x:c r="B984" s="2" t="str">
        <x:v>T20261008-2-1</x:v>
      </x:c>
      <x:c r="C984" s="7" t="n">
        <x:v>46303</x:v>
      </x:c>
      <x:c r="D984" s="2" t="str">
        <x:v>BUS001</x:v>
      </x:c>
      <x:c r="E984" s="2" t="str">
        <x:v>ST003</x:v>
      </x:c>
      <x:c r="F984" s="2" t="n">
        <x:v>1</x:v>
      </x:c>
      <x:c r="G984" s="2" t="str">
        <x:v>Junior</x:v>
      </x:c>
      <x:c r="H984" s="2" t="str">
        <x:v>Drop-off</x:v>
      </x:c>
      <x:c r="I984" s="2" t="str">
        <x:v>R1S3</x:v>
      </x:c>
      <x:c r="J984" s="2" t="str">
        <x:v>EV001959</x:v>
      </x:c>
      <x:c r="K984" s="8" t="n">
        <x:v>46303.437569444446</x:v>
      </x:c>
      <x:c r="L984" s="2" t="str">
        <x:v>SCH01</x:v>
      </x:c>
      <x:c r="M984" s="9" t="n">
        <x:v>25.285</x:v>
      </x:c>
      <x:c r="N984" s="9" t="n">
        <x:v>51.51</x:v>
      </x:c>
      <x:c r="O984" s="2" t="str">
        <x:v>Valid</x:v>
      </x:c>
      <x:c r="P984" s="2" t="str">
        <x:v>EV001960</x:v>
      </x:c>
      <x:c r="Q984" s="8" t="n">
        <x:v>46303.457708333335</x:v>
      </x:c>
      <x:c r="R984" s="2" t="str">
        <x:v>R1S3</x:v>
      </x:c>
      <x:c r="S984" s="9" t="n">
        <x:v>25.275000000000002</x:v>
      </x:c>
      <x:c r="T984" s="9" t="n">
        <x:v>51.497</x:v>
      </x:c>
      <x:c r="U984" s="2" t="str">
        <x:v>G003</x:v>
      </x:c>
      <x:c r="V984" s="2" t="str">
        <x:v>Authorized guardian release</x:v>
      </x:c>
      <x:c r="W984" s="2" t="str">
        <x:v>Completed transport</x:v>
      </x:c>
      <x:c r="X984" s="2" t="str">
        <x:v>QR</x:v>
      </x:c>
      <x:c r="Y984" s="2" t="str">
        <x:v>Online</x:v>
      </x:c>
      <x:c r="Z984" s="2" t="str">
        <x:v>Synced</x:v>
      </x:c>
      <x:c r="AA984" s="2"/>
      <x:c r="AB984" s="2"/>
      <x:c r="AC984" s="10" t="n">
        <x:f>IF(OR(K984="",Q984=""),"",ROUND((Q984-K984)*1440,2))</x:f>
        <x:v>29</x:v>
      </x:c>
    </x:row>
    <x:row r="985" ht="21" customHeight="1">
      <x:c r="A985" s="2" t="str">
        <x:v>LN00984</x:v>
      </x:c>
      <x:c r="B985" s="2" t="str">
        <x:v>T20261008-2-1</x:v>
      </x:c>
      <x:c r="C985" s="7" t="n">
        <x:v>46303</x:v>
      </x:c>
      <x:c r="D985" s="2" t="str">
        <x:v>BUS001</x:v>
      </x:c>
      <x:c r="E985" s="2" t="str">
        <x:v>ST004</x:v>
      </x:c>
      <x:c r="F985" s="2" t="n">
        <x:v>1</x:v>
      </x:c>
      <x:c r="G985" s="2" t="str">
        <x:v>Junior</x:v>
      </x:c>
      <x:c r="H985" s="2" t="str">
        <x:v>Drop-off</x:v>
      </x:c>
      <x:c r="I985" s="2" t="str">
        <x:v>R1S1</x:v>
      </x:c>
      <x:c r="J985" s="2" t="str">
        <x:v>EV001961</x:v>
      </x:c>
      <x:c r="K985" s="8" t="n">
        <x:v>46303.43760416667</x:v>
      </x:c>
      <x:c r="L985" s="2" t="str">
        <x:v>SCH01</x:v>
      </x:c>
      <x:c r="M985" s="9" t="n">
        <x:v>25.285</x:v>
      </x:c>
      <x:c r="N985" s="9" t="n">
        <x:v>51.51</x:v>
      </x:c>
      <x:c r="O985" s="2" t="str">
        <x:v>Valid</x:v>
      </x:c>
      <x:c r="P985" s="2" t="str">
        <x:v>EV001962</x:v>
      </x:c>
      <x:c r="Q985" s="8" t="n">
        <x:v>46303.44940972222</x:v>
      </x:c>
      <x:c r="R985" s="2" t="str">
        <x:v>R1S1</x:v>
      </x:c>
      <x:c r="S985" s="9" t="n">
        <x:v>25.271</x:v>
      </x:c>
      <x:c r="T985" s="9" t="n">
        <x:v>51.491</x:v>
      </x:c>
      <x:c r="U985" s="2" t="str">
        <x:v>G004</x:v>
      </x:c>
      <x:c r="V985" s="2" t="str">
        <x:v>Authorized guardian release</x:v>
      </x:c>
      <x:c r="W985" s="2" t="str">
        <x:v>Completed transport</x:v>
      </x:c>
      <x:c r="X985" s="2" t="str">
        <x:v>QR</x:v>
      </x:c>
      <x:c r="Y985" s="2" t="str">
        <x:v>Online</x:v>
      </x:c>
      <x:c r="Z985" s="2" t="str">
        <x:v>Synced</x:v>
      </x:c>
      <x:c r="AA985" s="2"/>
      <x:c r="AB985" s="2"/>
      <x:c r="AC985" s="10" t="n">
        <x:f>IF(OR(K985="",Q985=""),"",ROUND((Q985-K985)*1440,2))</x:f>
        <x:v>17</x:v>
      </x:c>
    </x:row>
    <x:row r="986" ht="21" customHeight="1">
      <x:c r="A986" s="2" t="str">
        <x:v>LN00985</x:v>
      </x:c>
      <x:c r="B986" s="2" t="str">
        <x:v>T20261008-2-1</x:v>
      </x:c>
      <x:c r="C986" s="7" t="n">
        <x:v>46303</x:v>
      </x:c>
      <x:c r="D986" s="2" t="str">
        <x:v>BUS001</x:v>
      </x:c>
      <x:c r="E986" s="2" t="str">
        <x:v>ST005</x:v>
      </x:c>
      <x:c r="F986" s="2" t="n">
        <x:v>1</x:v>
      </x:c>
      <x:c r="G986" s="2" t="str">
        <x:v>Junior</x:v>
      </x:c>
      <x:c r="H986" s="2" t="str">
        <x:v>Drop-off</x:v>
      </x:c>
      <x:c r="I986" s="2" t="str">
        <x:v>R1S2</x:v>
      </x:c>
      <x:c r="J986" s="2" t="str">
        <x:v>EV001963</x:v>
      </x:c>
      <x:c r="K986" s="8" t="n">
        <x:v>46303.43763888889</x:v>
      </x:c>
      <x:c r="L986" s="2" t="str">
        <x:v>SCH01</x:v>
      </x:c>
      <x:c r="M986" s="9" t="n">
        <x:v>25.285</x:v>
      </x:c>
      <x:c r="N986" s="9" t="n">
        <x:v>51.51</x:v>
      </x:c>
      <x:c r="O986" s="2" t="str">
        <x:v>Valid</x:v>
      </x:c>
      <x:c r="P986" s="2" t="str">
        <x:v>EV001964</x:v>
      </x:c>
      <x:c r="Q986" s="8" t="n">
        <x:v>46303.453611111116</x:v>
      </x:c>
      <x:c r="R986" s="2" t="str">
        <x:v>R1S2</x:v>
      </x:c>
      <x:c r="S986" s="9" t="n">
        <x:v>25.273000000000003</x:v>
      </x:c>
      <x:c r="T986" s="9" t="n">
        <x:v>51.494</x:v>
      </x:c>
      <x:c r="U986" s="2" t="str">
        <x:v>G005</x:v>
      </x:c>
      <x:c r="V986" s="2" t="str">
        <x:v>Authorized guardian release</x:v>
      </x:c>
      <x:c r="W986" s="2" t="str">
        <x:v>Completed transport</x:v>
      </x:c>
      <x:c r="X986" s="2" t="str">
        <x:v>QR</x:v>
      </x:c>
      <x:c r="Y986" s="2" t="str">
        <x:v>Online</x:v>
      </x:c>
      <x:c r="Z986" s="2" t="str">
        <x:v>Synced</x:v>
      </x:c>
      <x:c r="AA986" s="2"/>
      <x:c r="AB986" s="2"/>
      <x:c r="AC986" s="10" t="n">
        <x:f>IF(OR(K986="",Q986=""),"",ROUND((Q986-K986)*1440,2))</x:f>
        <x:v>23</x:v>
      </x:c>
    </x:row>
    <x:row r="987" ht="21" customHeight="1">
      <x:c r="A987" s="2" t="str">
        <x:v>LN00986</x:v>
      </x:c>
      <x:c r="B987" s="2" t="str">
        <x:v>T20261008-2-1</x:v>
      </x:c>
      <x:c r="C987" s="7" t="n">
        <x:v>46303</x:v>
      </x:c>
      <x:c r="D987" s="2" t="str">
        <x:v>BUS001</x:v>
      </x:c>
      <x:c r="E987" s="2" t="str">
        <x:v>ST006</x:v>
      </x:c>
      <x:c r="F987" s="2" t="n">
        <x:v>1</x:v>
      </x:c>
      <x:c r="G987" s="2" t="str">
        <x:v>Junior</x:v>
      </x:c>
      <x:c r="H987" s="2" t="str">
        <x:v>Drop-off</x:v>
      </x:c>
      <x:c r="I987" s="2" t="str">
        <x:v>R1S3</x:v>
      </x:c>
      <x:c r="J987" s="2" t="str">
        <x:v>EV001965</x:v>
      </x:c>
      <x:c r="K987" s="8" t="n">
        <x:v>46303.43767361111</x:v>
      </x:c>
      <x:c r="L987" s="2" t="str">
        <x:v>SCH01</x:v>
      </x:c>
      <x:c r="M987" s="9" t="n">
        <x:v>25.285</x:v>
      </x:c>
      <x:c r="N987" s="9" t="n">
        <x:v>51.51</x:v>
      </x:c>
      <x:c r="O987" s="2" t="str">
        <x:v>Valid</x:v>
      </x:c>
      <x:c r="P987" s="2" t="str">
        <x:v>EV001966</x:v>
      </x:c>
      <x:c r="Q987" s="8" t="n">
        <x:v>46303.4578125</x:v>
      </x:c>
      <x:c r="R987" s="2" t="str">
        <x:v>R1S3</x:v>
      </x:c>
      <x:c r="S987" s="9" t="n">
        <x:v>25.275000000000002</x:v>
      </x:c>
      <x:c r="T987" s="9" t="n">
        <x:v>51.497</x:v>
      </x:c>
      <x:c r="U987" s="2" t="str">
        <x:v>G006</x:v>
      </x:c>
      <x:c r="V987" s="2" t="str">
        <x:v>Authorized guardian release</x:v>
      </x:c>
      <x:c r="W987" s="2" t="str">
        <x:v>Completed transport</x:v>
      </x:c>
      <x:c r="X987" s="2" t="str">
        <x:v>QR</x:v>
      </x:c>
      <x:c r="Y987" s="2" t="str">
        <x:v>Online</x:v>
      </x:c>
      <x:c r="Z987" s="2" t="str">
        <x:v>Synced</x:v>
      </x:c>
      <x:c r="AA987" s="2"/>
      <x:c r="AB987" s="2"/>
      <x:c r="AC987" s="10" t="n">
        <x:f>IF(OR(K987="",Q987=""),"",ROUND((Q987-K987)*1440,2))</x:f>
        <x:v>29</x:v>
      </x:c>
    </x:row>
    <x:row r="988" ht="21" customHeight="1">
      <x:c r="A988" s="2" t="str">
        <x:v>LN00987</x:v>
      </x:c>
      <x:c r="B988" s="2" t="str">
        <x:v>T20261008-2-1</x:v>
      </x:c>
      <x:c r="C988" s="7" t="n">
        <x:v>46303</x:v>
      </x:c>
      <x:c r="D988" s="2" t="str">
        <x:v>BUS001</x:v>
      </x:c>
      <x:c r="E988" s="2" t="str">
        <x:v>ST007</x:v>
      </x:c>
      <x:c r="F988" s="2" t="n">
        <x:v>1</x:v>
      </x:c>
      <x:c r="G988" s="2" t="str">
        <x:v>Junior</x:v>
      </x:c>
      <x:c r="H988" s="2" t="str">
        <x:v>Drop-off</x:v>
      </x:c>
      <x:c r="I988" s="2" t="str">
        <x:v>R1S1</x:v>
      </x:c>
      <x:c r="J988" s="2" t="str">
        <x:v>EV001967</x:v>
      </x:c>
      <x:c r="K988" s="8" t="n">
        <x:v>46303.43770833333</x:v>
      </x:c>
      <x:c r="L988" s="2" t="str">
        <x:v>SCH01</x:v>
      </x:c>
      <x:c r="M988" s="9" t="n">
        <x:v>25.285</x:v>
      </x:c>
      <x:c r="N988" s="9" t="n">
        <x:v>51.51</x:v>
      </x:c>
      <x:c r="O988" s="2" t="str">
        <x:v>Valid</x:v>
      </x:c>
      <x:c r="P988" s="2" t="str">
        <x:v>EV001968</x:v>
      </x:c>
      <x:c r="Q988" s="8" t="n">
        <x:v>46303.44951388888</x:v>
      </x:c>
      <x:c r="R988" s="2" t="str">
        <x:v>R1S1</x:v>
      </x:c>
      <x:c r="S988" s="9" t="n">
        <x:v>25.271</x:v>
      </x:c>
      <x:c r="T988" s="9" t="n">
        <x:v>51.491</x:v>
      </x:c>
      <x:c r="U988" s="2" t="str">
        <x:v>G007</x:v>
      </x:c>
      <x:c r="V988" s="2" t="str">
        <x:v>Authorized guardian release</x:v>
      </x:c>
      <x:c r="W988" s="2" t="str">
        <x:v>Completed transport</x:v>
      </x:c>
      <x:c r="X988" s="2" t="str">
        <x:v>QR</x:v>
      </x:c>
      <x:c r="Y988" s="2" t="str">
        <x:v>Online</x:v>
      </x:c>
      <x:c r="Z988" s="2" t="str">
        <x:v>Synced</x:v>
      </x:c>
      <x:c r="AA988" s="2"/>
      <x:c r="AB988" s="2"/>
      <x:c r="AC988" s="10" t="n">
        <x:f>IF(OR(K988="",Q988=""),"",ROUND((Q988-K988)*1440,2))</x:f>
        <x:v>17</x:v>
      </x:c>
    </x:row>
    <x:row r="989" ht="21" customHeight="1">
      <x:c r="A989" s="2" t="str">
        <x:v>LN00988</x:v>
      </x:c>
      <x:c r="B989" s="2" t="str">
        <x:v>T20261008-2-1</x:v>
      </x:c>
      <x:c r="C989" s="7" t="n">
        <x:v>46303</x:v>
      </x:c>
      <x:c r="D989" s="2" t="str">
        <x:v>BUS001</x:v>
      </x:c>
      <x:c r="E989" s="2" t="str">
        <x:v>ST008</x:v>
      </x:c>
      <x:c r="F989" s="2" t="n">
        <x:v>1</x:v>
      </x:c>
      <x:c r="G989" s="2" t="str">
        <x:v>Junior</x:v>
      </x:c>
      <x:c r="H989" s="2" t="str">
        <x:v>Drop-off</x:v>
      </x:c>
      <x:c r="I989" s="2" t="str">
        <x:v>R1S2</x:v>
      </x:c>
      <x:c r="J989" s="2" t="str">
        <x:v>EV001969</x:v>
      </x:c>
      <x:c r="K989" s="8" t="n">
        <x:v>46303.437743055554</x:v>
      </x:c>
      <x:c r="L989" s="2" t="str">
        <x:v>SCH01</x:v>
      </x:c>
      <x:c r="M989" s="9" t="n">
        <x:v>25.285</x:v>
      </x:c>
      <x:c r="N989" s="9" t="n">
        <x:v>51.51</x:v>
      </x:c>
      <x:c r="O989" s="2" t="str">
        <x:v>Valid</x:v>
      </x:c>
      <x:c r="P989" s="2" t="str">
        <x:v>EV001970</x:v>
      </x:c>
      <x:c r="Q989" s="8" t="n">
        <x:v>46303.45371527778</x:v>
      </x:c>
      <x:c r="R989" s="2" t="str">
        <x:v>R1S2</x:v>
      </x:c>
      <x:c r="S989" s="9" t="n">
        <x:v>25.273000000000003</x:v>
      </x:c>
      <x:c r="T989" s="9" t="n">
        <x:v>51.494</x:v>
      </x:c>
      <x:c r="U989" s="2" t="str">
        <x:v>G008</x:v>
      </x:c>
      <x:c r="V989" s="2" t="str">
        <x:v>Authorized guardian release</x:v>
      </x:c>
      <x:c r="W989" s="2" t="str">
        <x:v>Completed transport</x:v>
      </x:c>
      <x:c r="X989" s="2" t="str">
        <x:v>QR</x:v>
      </x:c>
      <x:c r="Y989" s="2" t="str">
        <x:v>Online</x:v>
      </x:c>
      <x:c r="Z989" s="2" t="str">
        <x:v>Synced</x:v>
      </x:c>
      <x:c r="AA989" s="2"/>
      <x:c r="AB989" s="2"/>
      <x:c r="AC989" s="10" t="n">
        <x:f>IF(OR(K989="",Q989=""),"",ROUND((Q989-K989)*1440,2))</x:f>
        <x:v>23</x:v>
      </x:c>
    </x:row>
    <x:row r="990" ht="21" customHeight="1">
      <x:c r="A990" s="2" t="str">
        <x:v>LN00989</x:v>
      </x:c>
      <x:c r="B990" s="2" t="str">
        <x:v>T20261008-2-1</x:v>
      </x:c>
      <x:c r="C990" s="7" t="n">
        <x:v>46303</x:v>
      </x:c>
      <x:c r="D990" s="2" t="str">
        <x:v>BUS001</x:v>
      </x:c>
      <x:c r="E990" s="2" t="str">
        <x:v>ST009</x:v>
      </x:c>
      <x:c r="F990" s="2" t="n">
        <x:v>1</x:v>
      </x:c>
      <x:c r="G990" s="2" t="str">
        <x:v>Junior</x:v>
      </x:c>
      <x:c r="H990" s="2" t="str">
        <x:v>Drop-off</x:v>
      </x:c>
      <x:c r="I990" s="2" t="str">
        <x:v>R1S3</x:v>
      </x:c>
      <x:c r="J990" s="2" t="str">
        <x:v>EV001971</x:v>
      </x:c>
      <x:c r="K990" s="8" t="n">
        <x:v>46303.43777777778</x:v>
      </x:c>
      <x:c r="L990" s="2" t="str">
        <x:v>SCH01</x:v>
      </x:c>
      <x:c r="M990" s="9" t="n">
        <x:v>25.285</x:v>
      </x:c>
      <x:c r="N990" s="9" t="n">
        <x:v>51.51</x:v>
      </x:c>
      <x:c r="O990" s="2" t="str">
        <x:v>Valid</x:v>
      </x:c>
      <x:c r="P990" s="2" t="str">
        <x:v>EV001972</x:v>
      </x:c>
      <x:c r="Q990" s="8" t="n">
        <x:v>46303.457916666666</x:v>
      </x:c>
      <x:c r="R990" s="2" t="str">
        <x:v>R1S3</x:v>
      </x:c>
      <x:c r="S990" s="9" t="n">
        <x:v>25.275000000000002</x:v>
      </x:c>
      <x:c r="T990" s="9" t="n">
        <x:v>51.497</x:v>
      </x:c>
      <x:c r="U990" s="2" t="str">
        <x:v>G009</x:v>
      </x:c>
      <x:c r="V990" s="2" t="str">
        <x:v>Authorized guardian release</x:v>
      </x:c>
      <x:c r="W990" s="2" t="str">
        <x:v>Completed transport</x:v>
      </x:c>
      <x:c r="X990" s="2" t="str">
        <x:v>QR</x:v>
      </x:c>
      <x:c r="Y990" s="2" t="str">
        <x:v>Online</x:v>
      </x:c>
      <x:c r="Z990" s="2" t="str">
        <x:v>Synced</x:v>
      </x:c>
      <x:c r="AA990" s="2"/>
      <x:c r="AB990" s="2"/>
      <x:c r="AC990" s="10" t="n">
        <x:f>IF(OR(K990="",Q990=""),"",ROUND((Q990-K990)*1440,2))</x:f>
        <x:v>29</x:v>
      </x:c>
    </x:row>
    <x:row r="991" ht="21" customHeight="1">
      <x:c r="A991" s="2" t="str">
        <x:v>LN00990</x:v>
      </x:c>
      <x:c r="B991" s="2" t="str">
        <x:v>T20261008-2-1</x:v>
      </x:c>
      <x:c r="C991" s="7" t="n">
        <x:v>46303</x:v>
      </x:c>
      <x:c r="D991" s="2" t="str">
        <x:v>BUS001</x:v>
      </x:c>
      <x:c r="E991" s="2" t="str">
        <x:v>ST010</x:v>
      </x:c>
      <x:c r="F991" s="2" t="n">
        <x:v>1</x:v>
      </x:c>
      <x:c r="G991" s="2" t="str">
        <x:v>Junior</x:v>
      </x:c>
      <x:c r="H991" s="2" t="str">
        <x:v>Drop-off</x:v>
      </x:c>
      <x:c r="I991" s="2" t="str">
        <x:v>R1S1</x:v>
      </x:c>
      <x:c r="J991" s="2" t="str">
        <x:v>EV001973</x:v>
      </x:c>
      <x:c r="K991" s="8" t="n">
        <x:v>46303.4378125</x:v>
      </x:c>
      <x:c r="L991" s="2" t="str">
        <x:v>SCH01</x:v>
      </x:c>
      <x:c r="M991" s="9" t="n">
        <x:v>25.285</x:v>
      </x:c>
      <x:c r="N991" s="9" t="n">
        <x:v>51.51</x:v>
      </x:c>
      <x:c r="O991" s="2" t="str">
        <x:v>Valid</x:v>
      </x:c>
      <x:c r="P991" s="2" t="str">
        <x:v>EV001974</x:v>
      </x:c>
      <x:c r="Q991" s="8" t="n">
        <x:v>46303.44961805555</x:v>
      </x:c>
      <x:c r="R991" s="2" t="str">
        <x:v>R1S1</x:v>
      </x:c>
      <x:c r="S991" s="9" t="n">
        <x:v>25.271</x:v>
      </x:c>
      <x:c r="T991" s="9" t="n">
        <x:v>51.491</x:v>
      </x:c>
      <x:c r="U991" s="2" t="str">
        <x:v>G010</x:v>
      </x:c>
      <x:c r="V991" s="2" t="str">
        <x:v>Authorized guardian release</x:v>
      </x:c>
      <x:c r="W991" s="2" t="str">
        <x:v>Completed transport</x:v>
      </x:c>
      <x:c r="X991" s="2" t="str">
        <x:v>QR</x:v>
      </x:c>
      <x:c r="Y991" s="2" t="str">
        <x:v>Online</x:v>
      </x:c>
      <x:c r="Z991" s="2" t="str">
        <x:v>Synced</x:v>
      </x:c>
      <x:c r="AA991" s="2"/>
      <x:c r="AB991" s="2"/>
      <x:c r="AC991" s="10" t="n">
        <x:f>IF(OR(K991="",Q991=""),"",ROUND((Q991-K991)*1440,2))</x:f>
        <x:v>17</x:v>
      </x:c>
    </x:row>
    <x:row r="992" ht="21" customHeight="1">
      <x:c r="A992" s="2" t="str">
        <x:v>LN00991</x:v>
      </x:c>
      <x:c r="B992" s="2" t="str">
        <x:v>T20261008-2-1</x:v>
      </x:c>
      <x:c r="C992" s="7" t="n">
        <x:v>46303</x:v>
      </x:c>
      <x:c r="D992" s="2" t="str">
        <x:v>BUS001</x:v>
      </x:c>
      <x:c r="E992" s="2" t="str">
        <x:v>ST021</x:v>
      </x:c>
      <x:c r="F992" s="2" t="n">
        <x:v>2</x:v>
      </x:c>
      <x:c r="G992" s="2" t="str">
        <x:v>Junior</x:v>
      </x:c>
      <x:c r="H992" s="2" t="str">
        <x:v>Pickup</x:v>
      </x:c>
      <x:c r="I992" s="2" t="str">
        <x:v>R1S3</x:v>
      </x:c>
      <x:c r="J992" s="2" t="str">
        <x:v>EV001975</x:v>
      </x:c>
      <x:c r="K992" s="8" t="n">
        <x:v>46303.48125</x:v>
      </x:c>
      <x:c r="L992" s="2" t="str">
        <x:v>R1S3</x:v>
      </x:c>
      <x:c r="M992" s="9" t="n">
        <x:v>25.275000000000002</x:v>
      </x:c>
      <x:c r="N992" s="9" t="n">
        <x:v>51.497</x:v>
      </x:c>
      <x:c r="O992" s="2" t="str">
        <x:v>Valid</x:v>
      </x:c>
      <x:c r="P992" s="2" t="str">
        <x:v>EV001976</x:v>
      </x:c>
      <x:c r="Q992" s="8" t="n">
        <x:v>46303.506250000006</x:v>
      </x:c>
      <x:c r="R992" s="2" t="str">
        <x:v>SCH01</x:v>
      </x:c>
      <x:c r="S992" s="9" t="n">
        <x:v>25.285</x:v>
      </x:c>
      <x:c r="T992" s="9" t="n">
        <x:v>51.51</x:v>
      </x:c>
      <x:c r="U992" s="2" t="str">
        <x:v>SCHOOL_RECEIVER_01</x:v>
      </x:c>
      <x:c r="V992" s="2" t="str">
        <x:v>School staff receipt</x:v>
      </x:c>
      <x:c r="W992" s="2" t="str">
        <x:v>Completed transport</x:v>
      </x:c>
      <x:c r="X992" s="2" t="str">
        <x:v>QR</x:v>
      </x:c>
      <x:c r="Y992" s="2" t="str">
        <x:v>Online</x:v>
      </x:c>
      <x:c r="Z992" s="2" t="str">
        <x:v>Synced</x:v>
      </x:c>
      <x:c r="AA992" s="2"/>
      <x:c r="AB992" s="2"/>
      <x:c r="AC992" s="10" t="n">
        <x:f>IF(OR(K992="",Q992=""),"",ROUND((Q992-K992)*1440,2))</x:f>
        <x:v>36</x:v>
      </x:c>
    </x:row>
    <x:row r="993" ht="21" customHeight="1">
      <x:c r="A993" s="2" t="str">
        <x:v>LN00992</x:v>
      </x:c>
      <x:c r="B993" s="2" t="str">
        <x:v>T20261008-2-1</x:v>
      </x:c>
      <x:c r="C993" s="7" t="n">
        <x:v>46303</x:v>
      </x:c>
      <x:c r="D993" s="2" t="str">
        <x:v>BUS001</x:v>
      </x:c>
      <x:c r="E993" s="2" t="str">
        <x:v>ST022</x:v>
      </x:c>
      <x:c r="F993" s="2" t="n">
        <x:v>2</x:v>
      </x:c>
      <x:c r="G993" s="2" t="str">
        <x:v>Junior</x:v>
      </x:c>
      <x:c r="H993" s="2" t="str">
        <x:v>Pickup</x:v>
      </x:c>
      <x:c r="I993" s="2" t="str">
        <x:v>R1S1</x:v>
      </x:c>
      <x:c r="J993" s="2" t="str">
        <x:v>EV001977</x:v>
      </x:c>
      <x:c r="K993" s="8" t="n">
        <x:v>46303.4715625</x:v>
      </x:c>
      <x:c r="L993" s="2" t="str">
        <x:v>R1S1</x:v>
      </x:c>
      <x:c r="M993" s="9" t="n">
        <x:v>25.271</x:v>
      </x:c>
      <x:c r="N993" s="9" t="n">
        <x:v>51.491</x:v>
      </x:c>
      <x:c r="O993" s="2" t="str">
        <x:v>Valid</x:v>
      </x:c>
      <x:c r="P993" s="2" t="str">
        <x:v>EV001978</x:v>
      </x:c>
      <x:c r="Q993" s="8" t="n">
        <x:v>46303.50628472223</x:v>
      </x:c>
      <x:c r="R993" s="2" t="str">
        <x:v>SCH01</x:v>
      </x:c>
      <x:c r="S993" s="9" t="n">
        <x:v>25.285</x:v>
      </x:c>
      <x:c r="T993" s="9" t="n">
        <x:v>51.51</x:v>
      </x:c>
      <x:c r="U993" s="2" t="str">
        <x:v>SCHOOL_RECEIVER_01</x:v>
      </x:c>
      <x:c r="V993" s="2" t="str">
        <x:v>School staff receipt</x:v>
      </x:c>
      <x:c r="W993" s="2" t="str">
        <x:v>Completed transport</x:v>
      </x:c>
      <x:c r="X993" s="2" t="str">
        <x:v>QR</x:v>
      </x:c>
      <x:c r="Y993" s="2" t="str">
        <x:v>Online</x:v>
      </x:c>
      <x:c r="Z993" s="2" t="str">
        <x:v>Synced</x:v>
      </x:c>
      <x:c r="AA993" s="2"/>
      <x:c r="AB993" s="2"/>
      <x:c r="AC993" s="10" t="n">
        <x:f>IF(OR(K993="",Q993=""),"",ROUND((Q993-K993)*1440,2))</x:f>
        <x:v>50</x:v>
      </x:c>
    </x:row>
    <x:row r="994" ht="21" customHeight="1">
      <x:c r="A994" s="2" t="str">
        <x:v>LN00993</x:v>
      </x:c>
      <x:c r="B994" s="2" t="str">
        <x:v>T20261008-2-1</x:v>
      </x:c>
      <x:c r="C994" s="7" t="n">
        <x:v>46303</x:v>
      </x:c>
      <x:c r="D994" s="2" t="str">
        <x:v>BUS001</x:v>
      </x:c>
      <x:c r="E994" s="2" t="str">
        <x:v>ST023</x:v>
      </x:c>
      <x:c r="F994" s="2" t="n">
        <x:v>2</x:v>
      </x:c>
      <x:c r="G994" s="2" t="str">
        <x:v>Junior</x:v>
      </x:c>
      <x:c r="H994" s="2" t="str">
        <x:v>Pickup</x:v>
      </x:c>
      <x:c r="I994" s="2" t="str">
        <x:v>R1S2</x:v>
      </x:c>
      <x:c r="J994" s="2" t="str">
        <x:v>EV001979</x:v>
      </x:c>
      <x:c r="K994" s="8" t="n">
        <x:v>46303.47645833333</x:v>
      </x:c>
      <x:c r="L994" s="2" t="str">
        <x:v>R1S2</x:v>
      </x:c>
      <x:c r="M994" s="9" t="n">
        <x:v>25.273000000000003</x:v>
      </x:c>
      <x:c r="N994" s="9" t="n">
        <x:v>51.494</x:v>
      </x:c>
      <x:c r="O994" s="2" t="str">
        <x:v>Valid</x:v>
      </x:c>
      <x:c r="P994" s="2" t="str">
        <x:v>EV001980</x:v>
      </x:c>
      <x:c r="Q994" s="8" t="n">
        <x:v>46303.506319444445</x:v>
      </x:c>
      <x:c r="R994" s="2" t="str">
        <x:v>SCH01</x:v>
      </x:c>
      <x:c r="S994" s="9" t="n">
        <x:v>25.285</x:v>
      </x:c>
      <x:c r="T994" s="9" t="n">
        <x:v>51.51</x:v>
      </x:c>
      <x:c r="U994" s="2" t="str">
        <x:v>SCHOOL_RECEIVER_01</x:v>
      </x:c>
      <x:c r="V994" s="2" t="str">
        <x:v>School staff receipt</x:v>
      </x:c>
      <x:c r="W994" s="2" t="str">
        <x:v>Completed transport</x:v>
      </x:c>
      <x:c r="X994" s="2" t="str">
        <x:v>QR</x:v>
      </x:c>
      <x:c r="Y994" s="2" t="str">
        <x:v>Online</x:v>
      </x:c>
      <x:c r="Z994" s="2" t="str">
        <x:v>Synced</x:v>
      </x:c>
      <x:c r="AA994" s="2"/>
      <x:c r="AB994" s="2"/>
      <x:c r="AC994" s="10" t="n">
        <x:f>IF(OR(K994="",Q994=""),"",ROUND((Q994-K994)*1440,2))</x:f>
        <x:v>43</x:v>
      </x:c>
    </x:row>
    <x:row r="995" ht="21" customHeight="1">
      <x:c r="A995" s="2" t="str">
        <x:v>LN00994</x:v>
      </x:c>
      <x:c r="B995" s="2" t="str">
        <x:v>T20261008-2-1</x:v>
      </x:c>
      <x:c r="C995" s="7" t="n">
        <x:v>46303</x:v>
      </x:c>
      <x:c r="D995" s="2" t="str">
        <x:v>BUS001</x:v>
      </x:c>
      <x:c r="E995" s="2" t="str">
        <x:v>ST024</x:v>
      </x:c>
      <x:c r="F995" s="2" t="n">
        <x:v>2</x:v>
      </x:c>
      <x:c r="G995" s="2" t="str">
        <x:v>Junior</x:v>
      </x:c>
      <x:c r="H995" s="2" t="str">
        <x:v>Pickup</x:v>
      </x:c>
      <x:c r="I995" s="2" t="str">
        <x:v>R1S3</x:v>
      </x:c>
      <x:c r="J995" s="2" t="str">
        <x:v>EV001981</x:v>
      </x:c>
      <x:c r="K995" s="8" t="n">
        <x:v>46303.481354166666</x:v>
      </x:c>
      <x:c r="L995" s="2" t="str">
        <x:v>R1S3</x:v>
      </x:c>
      <x:c r="M995" s="9" t="n">
        <x:v>25.275000000000002</x:v>
      </x:c>
      <x:c r="N995" s="9" t="n">
        <x:v>51.497</x:v>
      </x:c>
      <x:c r="O995" s="2" t="str">
        <x:v>Valid</x:v>
      </x:c>
      <x:c r="P995" s="2" t="str">
        <x:v>EV001982</x:v>
      </x:c>
      <x:c r="Q995" s="8" t="n">
        <x:v>46303.50635416667</x:v>
      </x:c>
      <x:c r="R995" s="2" t="str">
        <x:v>SCH01</x:v>
      </x:c>
      <x:c r="S995" s="9" t="n">
        <x:v>25.285</x:v>
      </x:c>
      <x:c r="T995" s="9" t="n">
        <x:v>51.51</x:v>
      </x:c>
      <x:c r="U995" s="2" t="str">
        <x:v>SCHOOL_RECEIVER_01</x:v>
      </x:c>
      <x:c r="V995" s="2" t="str">
        <x:v>School staff receipt</x:v>
      </x:c>
      <x:c r="W995" s="2" t="str">
        <x:v>Completed transport</x:v>
      </x:c>
      <x:c r="X995" s="2" t="str">
        <x:v>QR</x:v>
      </x:c>
      <x:c r="Y995" s="2" t="str">
        <x:v>Online</x:v>
      </x:c>
      <x:c r="Z995" s="2" t="str">
        <x:v>Synced</x:v>
      </x:c>
      <x:c r="AA995" s="2"/>
      <x:c r="AB995" s="2"/>
      <x:c r="AC995" s="10" t="n">
        <x:f>IF(OR(K995="",Q995=""),"",ROUND((Q995-K995)*1440,2))</x:f>
        <x:v>36</x:v>
      </x:c>
    </x:row>
    <x:row r="996" ht="21" customHeight="1">
      <x:c r="A996" s="2" t="str">
        <x:v>LN00995</x:v>
      </x:c>
      <x:c r="B996" s="2" t="str">
        <x:v>T20261008-2-1</x:v>
      </x:c>
      <x:c r="C996" s="7" t="n">
        <x:v>46303</x:v>
      </x:c>
      <x:c r="D996" s="2" t="str">
        <x:v>BUS001</x:v>
      </x:c>
      <x:c r="E996" s="2" t="str">
        <x:v>ST025</x:v>
      </x:c>
      <x:c r="F996" s="2" t="n">
        <x:v>2</x:v>
      </x:c>
      <x:c r="G996" s="2" t="str">
        <x:v>Junior</x:v>
      </x:c>
      <x:c r="H996" s="2" t="str">
        <x:v>Pickup</x:v>
      </x:c>
      <x:c r="I996" s="2" t="str">
        <x:v>R1S1</x:v>
      </x:c>
      <x:c r="J996" s="2" t="str">
        <x:v>EV001983</x:v>
      </x:c>
      <x:c r="K996" s="8" t="n">
        <x:v>46303.47166666667</x:v>
      </x:c>
      <x:c r="L996" s="2" t="str">
        <x:v>R1S1</x:v>
      </x:c>
      <x:c r="M996" s="9" t="n">
        <x:v>25.271</x:v>
      </x:c>
      <x:c r="N996" s="9" t="n">
        <x:v>51.491</x:v>
      </x:c>
      <x:c r="O996" s="2" t="str">
        <x:v>Valid</x:v>
      </x:c>
      <x:c r="P996" s="2" t="str">
        <x:v>EV001984</x:v>
      </x:c>
      <x:c r="Q996" s="8" t="n">
        <x:v>46303.50638888889</x:v>
      </x:c>
      <x:c r="R996" s="2" t="str">
        <x:v>SCH01</x:v>
      </x:c>
      <x:c r="S996" s="9" t="n">
        <x:v>25.285</x:v>
      </x:c>
      <x:c r="T996" s="9" t="n">
        <x:v>51.51</x:v>
      </x:c>
      <x:c r="U996" s="2" t="str">
        <x:v>SCHOOL_RECEIVER_01</x:v>
      </x:c>
      <x:c r="V996" s="2" t="str">
        <x:v>School staff receipt</x:v>
      </x:c>
      <x:c r="W996" s="2" t="str">
        <x:v>Completed transport</x:v>
      </x:c>
      <x:c r="X996" s="2" t="str">
        <x:v>QR</x:v>
      </x:c>
      <x:c r="Y996" s="2" t="str">
        <x:v>Online</x:v>
      </x:c>
      <x:c r="Z996" s="2" t="str">
        <x:v>Synced</x:v>
      </x:c>
      <x:c r="AA996" s="2"/>
      <x:c r="AB996" s="2"/>
      <x:c r="AC996" s="10" t="n">
        <x:f>IF(OR(K996="",Q996=""),"",ROUND((Q996-K996)*1440,2))</x:f>
        <x:v>50</x:v>
      </x:c>
    </x:row>
    <x:row r="997" ht="21" customHeight="1">
      <x:c r="A997" s="2" t="str">
        <x:v>LN00996</x:v>
      </x:c>
      <x:c r="B997" s="2" t="str">
        <x:v>T20261008-2-1</x:v>
      </x:c>
      <x:c r="C997" s="7" t="n">
        <x:v>46303</x:v>
      </x:c>
      <x:c r="D997" s="2" t="str">
        <x:v>BUS001</x:v>
      </x:c>
      <x:c r="E997" s="2" t="str">
        <x:v>ST026</x:v>
      </x:c>
      <x:c r="F997" s="2" t="n">
        <x:v>2</x:v>
      </x:c>
      <x:c r="G997" s="2" t="str">
        <x:v>Junior</x:v>
      </x:c>
      <x:c r="H997" s="2" t="str">
        <x:v>Pickup</x:v>
      </x:c>
      <x:c r="I997" s="2" t="str">
        <x:v>R1S2</x:v>
      </x:c>
      <x:c r="J997" s="2" t="str">
        <x:v>EV001985</x:v>
      </x:c>
      <x:c r="K997" s="8" t="n">
        <x:v>46303.47656249999</x:v>
      </x:c>
      <x:c r="L997" s="2" t="str">
        <x:v>R1S2</x:v>
      </x:c>
      <x:c r="M997" s="9" t="n">
        <x:v>25.273000000000003</x:v>
      </x:c>
      <x:c r="N997" s="9" t="n">
        <x:v>51.494</x:v>
      </x:c>
      <x:c r="O997" s="2" t="str">
        <x:v>Valid</x:v>
      </x:c>
      <x:c r="P997" s="2" t="str">
        <x:v>EV001986</x:v>
      </x:c>
      <x:c r="Q997" s="8" t="n">
        <x:v>46303.506423611114</x:v>
      </x:c>
      <x:c r="R997" s="2" t="str">
        <x:v>SCH01</x:v>
      </x:c>
      <x:c r="S997" s="9" t="n">
        <x:v>25.285</x:v>
      </x:c>
      <x:c r="T997" s="9" t="n">
        <x:v>51.51</x:v>
      </x:c>
      <x:c r="U997" s="2" t="str">
        <x:v>SCHOOL_RECEIVER_01</x:v>
      </x:c>
      <x:c r="V997" s="2" t="str">
        <x:v>School staff receipt</x:v>
      </x:c>
      <x:c r="W997" s="2" t="str">
        <x:v>Completed transport</x:v>
      </x:c>
      <x:c r="X997" s="2" t="str">
        <x:v>QR</x:v>
      </x:c>
      <x:c r="Y997" s="2" t="str">
        <x:v>Online</x:v>
      </x:c>
      <x:c r="Z997" s="2" t="str">
        <x:v>Synced</x:v>
      </x:c>
      <x:c r="AA997" s="2"/>
      <x:c r="AB997" s="2"/>
      <x:c r="AC997" s="10" t="n">
        <x:f>IF(OR(K997="",Q997=""),"",ROUND((Q997-K997)*1440,2))</x:f>
        <x:v>43</x:v>
      </x:c>
    </x:row>
    <x:row r="998" ht="21" customHeight="1">
      <x:c r="A998" s="2" t="str">
        <x:v>LN00997</x:v>
      </x:c>
      <x:c r="B998" s="2" t="str">
        <x:v>T20261008-2-1</x:v>
      </x:c>
      <x:c r="C998" s="7" t="n">
        <x:v>46303</x:v>
      </x:c>
      <x:c r="D998" s="2" t="str">
        <x:v>BUS001</x:v>
      </x:c>
      <x:c r="E998" s="2" t="str">
        <x:v>ST027</x:v>
      </x:c>
      <x:c r="F998" s="2" t="n">
        <x:v>2</x:v>
      </x:c>
      <x:c r="G998" s="2" t="str">
        <x:v>Junior</x:v>
      </x:c>
      <x:c r="H998" s="2" t="str">
        <x:v>Pickup</x:v>
      </x:c>
      <x:c r="I998" s="2" t="str">
        <x:v>R1S3</x:v>
      </x:c>
      <x:c r="J998" s="2" t="str">
        <x:v>EV001987</x:v>
      </x:c>
      <x:c r="K998" s="8" t="n">
        <x:v>46303.48145833333</x:v>
      </x:c>
      <x:c r="L998" s="2" t="str">
        <x:v>R1S3</x:v>
      </x:c>
      <x:c r="M998" s="9" t="n">
        <x:v>25.275000000000002</x:v>
      </x:c>
      <x:c r="N998" s="9" t="n">
        <x:v>51.497</x:v>
      </x:c>
      <x:c r="O998" s="2" t="str">
        <x:v>Valid</x:v>
      </x:c>
      <x:c r="P998" s="2" t="str">
        <x:v>EV001988</x:v>
      </x:c>
      <x:c r="Q998" s="8" t="n">
        <x:v>46303.50645833334</x:v>
      </x:c>
      <x:c r="R998" s="2" t="str">
        <x:v>SCH01</x:v>
      </x:c>
      <x:c r="S998" s="9" t="n">
        <x:v>25.285</x:v>
      </x:c>
      <x:c r="T998" s="9" t="n">
        <x:v>51.51</x:v>
      </x:c>
      <x:c r="U998" s="2" t="str">
        <x:v>SCHOOL_RECEIVER_01</x:v>
      </x:c>
      <x:c r="V998" s="2" t="str">
        <x:v>School staff receipt</x:v>
      </x:c>
      <x:c r="W998" s="2" t="str">
        <x:v>Completed transport</x:v>
      </x:c>
      <x:c r="X998" s="2" t="str">
        <x:v>QR</x:v>
      </x:c>
      <x:c r="Y998" s="2" t="str">
        <x:v>Online</x:v>
      </x:c>
      <x:c r="Z998" s="2" t="str">
        <x:v>Synced</x:v>
      </x:c>
      <x:c r="AA998" s="2"/>
      <x:c r="AB998" s="2"/>
      <x:c r="AC998" s="10" t="n">
        <x:f>IF(OR(K998="",Q998=""),"",ROUND((Q998-K998)*1440,2))</x:f>
        <x:v>36</x:v>
      </x:c>
    </x:row>
    <x:row r="999" ht="21" customHeight="1">
      <x:c r="A999" s="2" t="str">
        <x:v>LN00998</x:v>
      </x:c>
      <x:c r="B999" s="2" t="str">
        <x:v>T20261008-2-1</x:v>
      </x:c>
      <x:c r="C999" s="7" t="n">
        <x:v>46303</x:v>
      </x:c>
      <x:c r="D999" s="2" t="str">
        <x:v>BUS001</x:v>
      </x:c>
      <x:c r="E999" s="2" t="str">
        <x:v>ST028</x:v>
      </x:c>
      <x:c r="F999" s="2" t="n">
        <x:v>2</x:v>
      </x:c>
      <x:c r="G999" s="2" t="str">
        <x:v>Junior</x:v>
      </x:c>
      <x:c r="H999" s="2" t="str">
        <x:v>Pickup</x:v>
      </x:c>
      <x:c r="I999" s="2" t="str">
        <x:v>R1S1</x:v>
      </x:c>
      <x:c r="J999" s="2" t="str">
        <x:v>EV001989</x:v>
      </x:c>
      <x:c r="K999" s="8" t="n">
        <x:v>46303.471770833334</x:v>
      </x:c>
      <x:c r="L999" s="2" t="str">
        <x:v>R1S1</x:v>
      </x:c>
      <x:c r="M999" s="9" t="n">
        <x:v>25.271</x:v>
      </x:c>
      <x:c r="N999" s="9" t="n">
        <x:v>51.491</x:v>
      </x:c>
      <x:c r="O999" s="2" t="str">
        <x:v>Valid</x:v>
      </x:c>
      <x:c r="P999" s="2" t="str">
        <x:v>EV001990</x:v>
      </x:c>
      <x:c r="Q999" s="8" t="n">
        <x:v>46303.50649305556</x:v>
      </x:c>
      <x:c r="R999" s="2" t="str">
        <x:v>SCH01</x:v>
      </x:c>
      <x:c r="S999" s="9" t="n">
        <x:v>25.285</x:v>
      </x:c>
      <x:c r="T999" s="9" t="n">
        <x:v>51.51</x:v>
      </x:c>
      <x:c r="U999" s="2" t="str">
        <x:v>SCHOOL_RECEIVER_01</x:v>
      </x:c>
      <x:c r="V999" s="2" t="str">
        <x:v>School staff receipt</x:v>
      </x:c>
      <x:c r="W999" s="2" t="str">
        <x:v>Completed transport</x:v>
      </x:c>
      <x:c r="X999" s="2" t="str">
        <x:v>QR</x:v>
      </x:c>
      <x:c r="Y999" s="2" t="str">
        <x:v>Online</x:v>
      </x:c>
      <x:c r="Z999" s="2" t="str">
        <x:v>Synced</x:v>
      </x:c>
      <x:c r="AA999" s="2"/>
      <x:c r="AB999" s="2"/>
      <x:c r="AC999" s="10" t="n">
        <x:f>IF(OR(K999="",Q999=""),"",ROUND((Q999-K999)*1440,2))</x:f>
        <x:v>50</x:v>
      </x:c>
    </x:row>
    <x:row r="1000" ht="21" customHeight="1">
      <x:c r="A1000" s="2" t="str">
        <x:v>LN00999</x:v>
      </x:c>
      <x:c r="B1000" s="2" t="str">
        <x:v>T20261008-2-1</x:v>
      </x:c>
      <x:c r="C1000" s="7" t="n">
        <x:v>46303</x:v>
      </x:c>
      <x:c r="D1000" s="2" t="str">
        <x:v>BUS001</x:v>
      </x:c>
      <x:c r="E1000" s="2" t="str">
        <x:v>ST029</x:v>
      </x:c>
      <x:c r="F1000" s="2" t="n">
        <x:v>2</x:v>
      </x:c>
      <x:c r="G1000" s="2" t="str">
        <x:v>Junior</x:v>
      </x:c>
      <x:c r="H1000" s="2" t="str">
        <x:v>Pickup</x:v>
      </x:c>
      <x:c r="I1000" s="2" t="str">
        <x:v>R1S2</x:v>
      </x:c>
      <x:c r="J1000" s="2" t="str">
        <x:v>EV001991</x:v>
      </x:c>
      <x:c r="K1000" s="8" t="n">
        <x:v>46303.47666666666</x:v>
      </x:c>
      <x:c r="L1000" s="2" t="str">
        <x:v>R1S2</x:v>
      </x:c>
      <x:c r="M1000" s="9" t="n">
        <x:v>25.273000000000003</x:v>
      </x:c>
      <x:c r="N1000" s="9" t="n">
        <x:v>51.494</x:v>
      </x:c>
      <x:c r="O1000" s="2" t="str">
        <x:v>Valid</x:v>
      </x:c>
      <x:c r="P1000" s="2" t="str">
        <x:v>EV001992</x:v>
      </x:c>
      <x:c r="Q1000" s="8" t="n">
        <x:v>46303.50652777778</x:v>
      </x:c>
      <x:c r="R1000" s="2" t="str">
        <x:v>SCH01</x:v>
      </x:c>
      <x:c r="S1000" s="9" t="n">
        <x:v>25.285</x:v>
      </x:c>
      <x:c r="T1000" s="9" t="n">
        <x:v>51.51</x:v>
      </x:c>
      <x:c r="U1000" s="2" t="str">
        <x:v>SCHOOL_RECEIVER_01</x:v>
      </x:c>
      <x:c r="V1000" s="2" t="str">
        <x:v>School staff receipt</x:v>
      </x:c>
      <x:c r="W1000" s="2" t="str">
        <x:v>Completed transport</x:v>
      </x:c>
      <x:c r="X1000" s="2" t="str">
        <x:v>QR</x:v>
      </x:c>
      <x:c r="Y1000" s="2" t="str">
        <x:v>Online</x:v>
      </x:c>
      <x:c r="Z1000" s="2" t="str">
        <x:v>Synced</x:v>
      </x:c>
      <x:c r="AA1000" s="2"/>
      <x:c r="AB1000" s="2"/>
      <x:c r="AC1000" s="10" t="n">
        <x:f>IF(OR(K1000="",Q1000=""),"",ROUND((Q1000-K1000)*1440,2))</x:f>
        <x:v>43</x:v>
      </x:c>
    </x:row>
    <x:row r="1001" ht="21" customHeight="1">
      <x:c r="A1001" s="2" t="str">
        <x:v>LN01000</x:v>
      </x:c>
      <x:c r="B1001" s="2" t="str">
        <x:v>T20261008-2-1</x:v>
      </x:c>
      <x:c r="C1001" s="7" t="n">
        <x:v>46303</x:v>
      </x:c>
      <x:c r="D1001" s="2" t="str">
        <x:v>BUS001</x:v>
      </x:c>
      <x:c r="E1001" s="2" t="str">
        <x:v>ST030</x:v>
      </x:c>
      <x:c r="F1001" s="2" t="n">
        <x:v>2</x:v>
      </x:c>
      <x:c r="G1001" s="2" t="str">
        <x:v>Junior</x:v>
      </x:c>
      <x:c r="H1001" s="2" t="str">
        <x:v>Pickup</x:v>
      </x:c>
      <x:c r="I1001" s="2" t="str">
        <x:v>R1S3</x:v>
      </x:c>
      <x:c r="J1001" s="2" t="str">
        <x:v>EV001993</x:v>
      </x:c>
      <x:c r="K1001" s="8" t="n">
        <x:v>46303.4815625</x:v>
      </x:c>
      <x:c r="L1001" s="2" t="str">
        <x:v>R1S3</x:v>
      </x:c>
      <x:c r="M1001" s="9" t="n">
        <x:v>25.275000000000002</x:v>
      </x:c>
      <x:c r="N1001" s="9" t="n">
        <x:v>51.497</x:v>
      </x:c>
      <x:c r="O1001" s="2" t="str">
        <x:v>Valid</x:v>
      </x:c>
      <x:c r="P1001" s="2" t="str">
        <x:v>EV001994</x:v>
      </x:c>
      <x:c r="Q1001" s="8" t="n">
        <x:v>46303.506562500006</x:v>
      </x:c>
      <x:c r="R1001" s="2" t="str">
        <x:v>SCH01</x:v>
      </x:c>
      <x:c r="S1001" s="9" t="n">
        <x:v>25.285</x:v>
      </x:c>
      <x:c r="T1001" s="9" t="n">
        <x:v>51.51</x:v>
      </x:c>
      <x:c r="U1001" s="2" t="str">
        <x:v>SCHOOL_RECEIVER_01</x:v>
      </x:c>
      <x:c r="V1001" s="2" t="str">
        <x:v>School staff receipt</x:v>
      </x:c>
      <x:c r="W1001" s="2" t="str">
        <x:v>Completed transport</x:v>
      </x:c>
      <x:c r="X1001" s="2" t="str">
        <x:v>QR</x:v>
      </x:c>
      <x:c r="Y1001" s="2" t="str">
        <x:v>Online</x:v>
      </x:c>
      <x:c r="Z1001" s="2" t="str">
        <x:v>Synced</x:v>
      </x:c>
      <x:c r="AA1001" s="2"/>
      <x:c r="AB1001" s="2"/>
      <x:c r="AC1001" s="10" t="n">
        <x:f>IF(OR(K1001="",Q1001=""),"",ROUND((Q1001-K1001)*1440,2))</x:f>
        <x:v>36</x:v>
      </x:c>
    </x:row>
    <x:row r="1002" ht="21" customHeight="1">
      <x:c r="A1002" s="2" t="str">
        <x:v>LN01001</x:v>
      </x:c>
      <x:c r="B1002" s="2" t="str">
        <x:v>T20261008-2-1</x:v>
      </x:c>
      <x:c r="C1002" s="7" t="n">
        <x:v>46303</x:v>
      </x:c>
      <x:c r="D1002" s="2" t="str">
        <x:v>BUS001</x:v>
      </x:c>
      <x:c r="E1002" s="2" t="str">
        <x:v>ST031</x:v>
      </x:c>
      <x:c r="F1002" s="2" t="n">
        <x:v>2</x:v>
      </x:c>
      <x:c r="G1002" s="2" t="str">
        <x:v>Senior</x:v>
      </x:c>
      <x:c r="H1002" s="2" t="str">
        <x:v>Pickup</x:v>
      </x:c>
      <x:c r="I1002" s="2" t="str">
        <x:v>R1S1</x:v>
      </x:c>
      <x:c r="J1002" s="2" t="str">
        <x:v>EV001995</x:v>
      </x:c>
      <x:c r="K1002" s="8" t="n">
        <x:v>46303.47152777778</x:v>
      </x:c>
      <x:c r="L1002" s="2" t="str">
        <x:v>R1S1</x:v>
      </x:c>
      <x:c r="M1002" s="9" t="n">
        <x:v>25.271</x:v>
      </x:c>
      <x:c r="N1002" s="9" t="n">
        <x:v>51.491</x:v>
      </x:c>
      <x:c r="O1002" s="2" t="str">
        <x:v>Valid</x:v>
      </x:c>
      <x:c r="P1002" s="2" t="str">
        <x:v>EV001996</x:v>
      </x:c>
      <x:c r="Q1002" s="8" t="n">
        <x:v>46303.50659722223</x:v>
      </x:c>
      <x:c r="R1002" s="2" t="str">
        <x:v>SCH01</x:v>
      </x:c>
      <x:c r="S1002" s="9" t="n">
        <x:v>25.285</x:v>
      </x:c>
      <x:c r="T1002" s="9" t="n">
        <x:v>51.51</x:v>
      </x:c>
      <x:c r="U1002" s="2" t="str">
        <x:v>SCHOOL_RECEIVER_01</x:v>
      </x:c>
      <x:c r="V1002" s="2" t="str">
        <x:v>School staff receipt</x:v>
      </x:c>
      <x:c r="W1002" s="2" t="str">
        <x:v>Completed transport</x:v>
      </x:c>
      <x:c r="X1002" s="2" t="str">
        <x:v>QR</x:v>
      </x:c>
      <x:c r="Y1002" s="2" t="str">
        <x:v>Online</x:v>
      </x:c>
      <x:c r="Z1002" s="2" t="str">
        <x:v>Synced</x:v>
      </x:c>
      <x:c r="AA1002" s="2"/>
      <x:c r="AB1002" s="2"/>
      <x:c r="AC1002" s="10" t="n">
        <x:f>IF(OR(K1002="",Q1002=""),"",ROUND((Q1002-K1002)*1440,2))</x:f>
        <x:v>50.5</x:v>
      </x:c>
    </x:row>
    <x:row r="1003" ht="21" customHeight="1">
      <x:c r="A1003" s="2" t="str">
        <x:v>LN01002</x:v>
      </x:c>
      <x:c r="B1003" s="2" t="str">
        <x:v>T20261008-2-1</x:v>
      </x:c>
      <x:c r="C1003" s="7" t="n">
        <x:v>46303</x:v>
      </x:c>
      <x:c r="D1003" s="2" t="str">
        <x:v>BUS001</x:v>
      </x:c>
      <x:c r="E1003" s="2" t="str">
        <x:v>ST032</x:v>
      </x:c>
      <x:c r="F1003" s="2" t="n">
        <x:v>2</x:v>
      </x:c>
      <x:c r="G1003" s="2" t="str">
        <x:v>Senior</x:v>
      </x:c>
      <x:c r="H1003" s="2" t="str">
        <x:v>Pickup</x:v>
      </x:c>
      <x:c r="I1003" s="2" t="str">
        <x:v>R1S2</x:v>
      </x:c>
      <x:c r="J1003" s="2" t="str">
        <x:v>EV001997</x:v>
      </x:c>
      <x:c r="K1003" s="8" t="n">
        <x:v>46303.47642361111</x:v>
      </x:c>
      <x:c r="L1003" s="2" t="str">
        <x:v>R1S2</x:v>
      </x:c>
      <x:c r="M1003" s="9" t="n">
        <x:v>25.273000000000003</x:v>
      </x:c>
      <x:c r="N1003" s="9" t="n">
        <x:v>51.494</x:v>
      </x:c>
      <x:c r="O1003" s="2" t="str">
        <x:v>Valid</x:v>
      </x:c>
      <x:c r="P1003" s="2" t="str">
        <x:v>EV001998</x:v>
      </x:c>
      <x:c r="Q1003" s="8" t="n">
        <x:v>46303.506631944445</x:v>
      </x:c>
      <x:c r="R1003" s="2" t="str">
        <x:v>SCH01</x:v>
      </x:c>
      <x:c r="S1003" s="9" t="n">
        <x:v>25.285</x:v>
      </x:c>
      <x:c r="T1003" s="9" t="n">
        <x:v>51.51</x:v>
      </x:c>
      <x:c r="U1003" s="2" t="str">
        <x:v>SCHOOL_RECEIVER_01</x:v>
      </x:c>
      <x:c r="V1003" s="2" t="str">
        <x:v>School staff receipt</x:v>
      </x:c>
      <x:c r="W1003" s="2" t="str">
        <x:v>Completed transport</x:v>
      </x:c>
      <x:c r="X1003" s="2" t="str">
        <x:v>QR</x:v>
      </x:c>
      <x:c r="Y1003" s="2" t="str">
        <x:v>Online</x:v>
      </x:c>
      <x:c r="Z1003" s="2" t="str">
        <x:v>Synced</x:v>
      </x:c>
      <x:c r="AA1003" s="2"/>
      <x:c r="AB1003" s="2"/>
      <x:c r="AC1003" s="10" t="n">
        <x:f>IF(OR(K1003="",Q1003=""),"",ROUND((Q1003-K1003)*1440,2))</x:f>
        <x:v>43.5</x:v>
      </x:c>
    </x:row>
    <x:row r="1004" ht="21" customHeight="1">
      <x:c r="A1004" s="2" t="str">
        <x:v>LN01003</x:v>
      </x:c>
      <x:c r="B1004" s="2" t="str">
        <x:v>T20261008-2-1</x:v>
      </x:c>
      <x:c r="C1004" s="7" t="n">
        <x:v>46303</x:v>
      </x:c>
      <x:c r="D1004" s="2" t="str">
        <x:v>BUS001</x:v>
      </x:c>
      <x:c r="E1004" s="2" t="str">
        <x:v>ST033</x:v>
      </x:c>
      <x:c r="F1004" s="2" t="n">
        <x:v>2</x:v>
      </x:c>
      <x:c r="G1004" s="2" t="str">
        <x:v>Senior</x:v>
      </x:c>
      <x:c r="H1004" s="2" t="str">
        <x:v>Pickup</x:v>
      </x:c>
      <x:c r="I1004" s="2" t="str">
        <x:v>R1S3</x:v>
      </x:c>
      <x:c r="J1004" s="2" t="str">
        <x:v>EV001999</x:v>
      </x:c>
      <x:c r="K1004" s="8" t="n">
        <x:v>46303.48131944444</x:v>
      </x:c>
      <x:c r="L1004" s="2" t="str">
        <x:v>R1S3</x:v>
      </x:c>
      <x:c r="M1004" s="9" t="n">
        <x:v>25.275000000000002</x:v>
      </x:c>
      <x:c r="N1004" s="9" t="n">
        <x:v>51.497</x:v>
      </x:c>
      <x:c r="O1004" s="2" t="str">
        <x:v>Valid</x:v>
      </x:c>
      <x:c r="P1004" s="2" t="str">
        <x:v>EV002000</x:v>
      </x:c>
      <x:c r="Q1004" s="8" t="n">
        <x:v>46303.50666666667</x:v>
      </x:c>
      <x:c r="R1004" s="2" t="str">
        <x:v>SCH01</x:v>
      </x:c>
      <x:c r="S1004" s="9" t="n">
        <x:v>25.285</x:v>
      </x:c>
      <x:c r="T1004" s="9" t="n">
        <x:v>51.51</x:v>
      </x:c>
      <x:c r="U1004" s="2" t="str">
        <x:v>SCHOOL_RECEIVER_01</x:v>
      </x:c>
      <x:c r="V1004" s="2" t="str">
        <x:v>School staff receipt</x:v>
      </x:c>
      <x:c r="W1004" s="2" t="str">
        <x:v>Completed transport</x:v>
      </x:c>
      <x:c r="X1004" s="2" t="str">
        <x:v>QR</x:v>
      </x:c>
      <x:c r="Y1004" s="2" t="str">
        <x:v>Online</x:v>
      </x:c>
      <x:c r="Z1004" s="2" t="str">
        <x:v>Synced</x:v>
      </x:c>
      <x:c r="AA1004" s="2"/>
      <x:c r="AB1004" s="2"/>
      <x:c r="AC1004" s="10" t="n">
        <x:f>IF(OR(K1004="",Q1004=""),"",ROUND((Q1004-K1004)*1440,2))</x:f>
        <x:v>36.5</x:v>
      </x:c>
    </x:row>
    <x:row r="1005" ht="21" customHeight="1">
      <x:c r="A1005" s="2" t="str">
        <x:v>LN01004</x:v>
      </x:c>
      <x:c r="B1005" s="2" t="str">
        <x:v>T20261008-2-1</x:v>
      </x:c>
      <x:c r="C1005" s="7" t="n">
        <x:v>46303</x:v>
      </x:c>
      <x:c r="D1005" s="2" t="str">
        <x:v>BUS001</x:v>
      </x:c>
      <x:c r="E1005" s="2" t="str">
        <x:v>ST034</x:v>
      </x:c>
      <x:c r="F1005" s="2" t="n">
        <x:v>2</x:v>
      </x:c>
      <x:c r="G1005" s="2" t="str">
        <x:v>Senior</x:v>
      </x:c>
      <x:c r="H1005" s="2" t="str">
        <x:v>Pickup</x:v>
      </x:c>
      <x:c r="I1005" s="2" t="str">
        <x:v>R1S1</x:v>
      </x:c>
      <x:c r="J1005" s="2" t="str">
        <x:v>EV002001</x:v>
      </x:c>
      <x:c r="K1005" s="8" t="n">
        <x:v>46303.47163194445</x:v>
      </x:c>
      <x:c r="L1005" s="2" t="str">
        <x:v>R1S1</x:v>
      </x:c>
      <x:c r="M1005" s="9" t="n">
        <x:v>25.271</x:v>
      </x:c>
      <x:c r="N1005" s="9" t="n">
        <x:v>51.491</x:v>
      </x:c>
      <x:c r="O1005" s="2" t="str">
        <x:v>Valid</x:v>
      </x:c>
      <x:c r="P1005" s="2" t="str">
        <x:v>EV002002</x:v>
      </x:c>
      <x:c r="Q1005" s="8" t="n">
        <x:v>46303.50670138889</x:v>
      </x:c>
      <x:c r="R1005" s="2" t="str">
        <x:v>SCH01</x:v>
      </x:c>
      <x:c r="S1005" s="9" t="n">
        <x:v>25.285</x:v>
      </x:c>
      <x:c r="T1005" s="9" t="n">
        <x:v>51.51</x:v>
      </x:c>
      <x:c r="U1005" s="2" t="str">
        <x:v>SCHOOL_RECEIVER_01</x:v>
      </x:c>
      <x:c r="V1005" s="2" t="str">
        <x:v>School staff receipt</x:v>
      </x:c>
      <x:c r="W1005" s="2" t="str">
        <x:v>Completed transport</x:v>
      </x:c>
      <x:c r="X1005" s="2" t="str">
        <x:v>QR</x:v>
      </x:c>
      <x:c r="Y1005" s="2" t="str">
        <x:v>Online</x:v>
      </x:c>
      <x:c r="Z1005" s="2" t="str">
        <x:v>Synced</x:v>
      </x:c>
      <x:c r="AA1005" s="2"/>
      <x:c r="AB1005" s="2"/>
      <x:c r="AC1005" s="10" t="n">
        <x:f>IF(OR(K1005="",Q1005=""),"",ROUND((Q1005-K1005)*1440,2))</x:f>
        <x:v>50.5</x:v>
      </x:c>
    </x:row>
    <x:row r="1006" ht="21" customHeight="1">
      <x:c r="A1006" s="2" t="str">
        <x:v>LN01005</x:v>
      </x:c>
      <x:c r="B1006" s="2" t="str">
        <x:v>T20261008-2-1</x:v>
      </x:c>
      <x:c r="C1006" s="7" t="n">
        <x:v>46303</x:v>
      </x:c>
      <x:c r="D1006" s="2" t="str">
        <x:v>BUS001</x:v>
      </x:c>
      <x:c r="E1006" s="2" t="str">
        <x:v>ST035</x:v>
      </x:c>
      <x:c r="F1006" s="2" t="n">
        <x:v>2</x:v>
      </x:c>
      <x:c r="G1006" s="2" t="str">
        <x:v>Senior</x:v>
      </x:c>
      <x:c r="H1006" s="2" t="str">
        <x:v>Pickup</x:v>
      </x:c>
      <x:c r="I1006" s="2" t="str">
        <x:v>R1S2</x:v>
      </x:c>
      <x:c r="J1006" s="2" t="str">
        <x:v>EV002003</x:v>
      </x:c>
      <x:c r="K1006" s="8" t="n">
        <x:v>46303.47652777778</x:v>
      </x:c>
      <x:c r="L1006" s="2" t="str">
        <x:v>R1S2</x:v>
      </x:c>
      <x:c r="M1006" s="9" t="n">
        <x:v>25.273000000000003</x:v>
      </x:c>
      <x:c r="N1006" s="9" t="n">
        <x:v>51.494</x:v>
      </x:c>
      <x:c r="O1006" s="2" t="str">
        <x:v>Valid</x:v>
      </x:c>
      <x:c r="P1006" s="2" t="str">
        <x:v>EV002004</x:v>
      </x:c>
      <x:c r="Q1006" s="8" t="n">
        <x:v>46303.506736111114</x:v>
      </x:c>
      <x:c r="R1006" s="2" t="str">
        <x:v>SCH01</x:v>
      </x:c>
      <x:c r="S1006" s="9" t="n">
        <x:v>25.285</x:v>
      </x:c>
      <x:c r="T1006" s="9" t="n">
        <x:v>51.51</x:v>
      </x:c>
      <x:c r="U1006" s="2" t="str">
        <x:v>SCHOOL_RECEIVER_01</x:v>
      </x:c>
      <x:c r="V1006" s="2" t="str">
        <x:v>School staff receipt</x:v>
      </x:c>
      <x:c r="W1006" s="2" t="str">
        <x:v>Completed transport</x:v>
      </x:c>
      <x:c r="X1006" s="2" t="str">
        <x:v>QR</x:v>
      </x:c>
      <x:c r="Y1006" s="2" t="str">
        <x:v>Online</x:v>
      </x:c>
      <x:c r="Z1006" s="2" t="str">
        <x:v>Synced</x:v>
      </x:c>
      <x:c r="AA1006" s="2"/>
      <x:c r="AB1006" s="2"/>
      <x:c r="AC1006" s="10" t="n">
        <x:f>IF(OR(K1006="",Q1006=""),"",ROUND((Q1006-K1006)*1440,2))</x:f>
        <x:v>43.5</x:v>
      </x:c>
    </x:row>
    <x:row r="1007" ht="21" customHeight="1">
      <x:c r="A1007" s="2" t="str">
        <x:v>LN01006</x:v>
      </x:c>
      <x:c r="B1007" s="2" t="str">
        <x:v>T20261008-2-1</x:v>
      </x:c>
      <x:c r="C1007" s="7" t="n">
        <x:v>46303</x:v>
      </x:c>
      <x:c r="D1007" s="2" t="str">
        <x:v>BUS001</x:v>
      </x:c>
      <x:c r="E1007" s="2" t="str">
        <x:v>ST036</x:v>
      </x:c>
      <x:c r="F1007" s="2" t="n">
        <x:v>2</x:v>
      </x:c>
      <x:c r="G1007" s="2" t="str">
        <x:v>Senior</x:v>
      </x:c>
      <x:c r="H1007" s="2" t="str">
        <x:v>Pickup</x:v>
      </x:c>
      <x:c r="I1007" s="2" t="str">
        <x:v>R1S3</x:v>
      </x:c>
      <x:c r="J1007" s="2" t="str">
        <x:v>EV002005</x:v>
      </x:c>
      <x:c r="K1007" s="8" t="n">
        <x:v>46303.481423611105</x:v>
      </x:c>
      <x:c r="L1007" s="2" t="str">
        <x:v>R1S3</x:v>
      </x:c>
      <x:c r="M1007" s="9" t="n">
        <x:v>25.275000000000002</x:v>
      </x:c>
      <x:c r="N1007" s="9" t="n">
        <x:v>51.497</x:v>
      </x:c>
      <x:c r="O1007" s="2" t="str">
        <x:v>Valid</x:v>
      </x:c>
      <x:c r="P1007" s="2" t="str">
        <x:v>EV002006</x:v>
      </x:c>
      <x:c r="Q1007" s="8" t="n">
        <x:v>46303.50677083334</x:v>
      </x:c>
      <x:c r="R1007" s="2" t="str">
        <x:v>SCH01</x:v>
      </x:c>
      <x:c r="S1007" s="9" t="n">
        <x:v>25.285</x:v>
      </x:c>
      <x:c r="T1007" s="9" t="n">
        <x:v>51.51</x:v>
      </x:c>
      <x:c r="U1007" s="2" t="str">
        <x:v>SCHOOL_RECEIVER_01</x:v>
      </x:c>
      <x:c r="V1007" s="2" t="str">
        <x:v>School staff receipt</x:v>
      </x:c>
      <x:c r="W1007" s="2" t="str">
        <x:v>Completed transport</x:v>
      </x:c>
      <x:c r="X1007" s="2" t="str">
        <x:v>QR</x:v>
      </x:c>
      <x:c r="Y1007" s="2" t="str">
        <x:v>Online</x:v>
      </x:c>
      <x:c r="Z1007" s="2" t="str">
        <x:v>Synced</x:v>
      </x:c>
      <x:c r="AA1007" s="2"/>
      <x:c r="AB1007" s="2"/>
      <x:c r="AC1007" s="10" t="n">
        <x:f>IF(OR(K1007="",Q1007=""),"",ROUND((Q1007-K1007)*1440,2))</x:f>
        <x:v>36.5</x:v>
      </x:c>
    </x:row>
    <x:row r="1008" ht="21" customHeight="1">
      <x:c r="A1008" s="2" t="str">
        <x:v>LN01007</x:v>
      </x:c>
      <x:c r="B1008" s="2" t="str">
        <x:v>T20261008-2-1</x:v>
      </x:c>
      <x:c r="C1008" s="7" t="n">
        <x:v>46303</x:v>
      </x:c>
      <x:c r="D1008" s="2" t="str">
        <x:v>BUS001</x:v>
      </x:c>
      <x:c r="E1008" s="2" t="str">
        <x:v>ST037</x:v>
      </x:c>
      <x:c r="F1008" s="2" t="n">
        <x:v>2</x:v>
      </x:c>
      <x:c r="G1008" s="2" t="str">
        <x:v>Senior</x:v>
      </x:c>
      <x:c r="H1008" s="2" t="str">
        <x:v>Pickup</x:v>
      </x:c>
      <x:c r="I1008" s="2" t="str">
        <x:v>R1S1</x:v>
      </x:c>
      <x:c r="J1008" s="2" t="str">
        <x:v>EV002007</x:v>
      </x:c>
      <x:c r="K1008" s="8" t="n">
        <x:v>46303.47173611111</x:v>
      </x:c>
      <x:c r="L1008" s="2" t="str">
        <x:v>R1S1</x:v>
      </x:c>
      <x:c r="M1008" s="9" t="n">
        <x:v>25.271</x:v>
      </x:c>
      <x:c r="N1008" s="9" t="n">
        <x:v>51.491</x:v>
      </x:c>
      <x:c r="O1008" s="2" t="str">
        <x:v>Valid</x:v>
      </x:c>
      <x:c r="P1008" s="2" t="str">
        <x:v>EV002008</x:v>
      </x:c>
      <x:c r="Q1008" s="8" t="n">
        <x:v>46303.50680555556</x:v>
      </x:c>
      <x:c r="R1008" s="2" t="str">
        <x:v>SCH01</x:v>
      </x:c>
      <x:c r="S1008" s="9" t="n">
        <x:v>25.285</x:v>
      </x:c>
      <x:c r="T1008" s="9" t="n">
        <x:v>51.51</x:v>
      </x:c>
      <x:c r="U1008" s="2" t="str">
        <x:v>SCHOOL_RECEIVER_01</x:v>
      </x:c>
      <x:c r="V1008" s="2" t="str">
        <x:v>School staff receipt</x:v>
      </x:c>
      <x:c r="W1008" s="2" t="str">
        <x:v>Completed transport</x:v>
      </x:c>
      <x:c r="X1008" s="2" t="str">
        <x:v>QR</x:v>
      </x:c>
      <x:c r="Y1008" s="2" t="str">
        <x:v>Online</x:v>
      </x:c>
      <x:c r="Z1008" s="2" t="str">
        <x:v>Synced</x:v>
      </x:c>
      <x:c r="AA1008" s="2"/>
      <x:c r="AB1008" s="2"/>
      <x:c r="AC1008" s="10" t="n">
        <x:f>IF(OR(K1008="",Q1008=""),"",ROUND((Q1008-K1008)*1440,2))</x:f>
        <x:v>50.5</x:v>
      </x:c>
    </x:row>
    <x:row r="1009" ht="21" customHeight="1">
      <x:c r="A1009" s="2" t="str">
        <x:v>LN01008</x:v>
      </x:c>
      <x:c r="B1009" s="2" t="str">
        <x:v>T20261008-2-1</x:v>
      </x:c>
      <x:c r="C1009" s="7" t="n">
        <x:v>46303</x:v>
      </x:c>
      <x:c r="D1009" s="2" t="str">
        <x:v>BUS001</x:v>
      </x:c>
      <x:c r="E1009" s="2" t="str">
        <x:v>ST038</x:v>
      </x:c>
      <x:c r="F1009" s="2" t="n">
        <x:v>2</x:v>
      </x:c>
      <x:c r="G1009" s="2" t="str">
        <x:v>Senior</x:v>
      </x:c>
      <x:c r="H1009" s="2" t="str">
        <x:v>Pickup</x:v>
      </x:c>
      <x:c r="I1009" s="2" t="str">
        <x:v>R1S2</x:v>
      </x:c>
      <x:c r="J1009" s="2" t="str">
        <x:v>EV002009</x:v>
      </x:c>
      <x:c r="K1009" s="8" t="n">
        <x:v>46303.47663194444</x:v>
      </x:c>
      <x:c r="L1009" s="2" t="str">
        <x:v>R1S2</x:v>
      </x:c>
      <x:c r="M1009" s="9" t="n">
        <x:v>25.273000000000003</x:v>
      </x:c>
      <x:c r="N1009" s="9" t="n">
        <x:v>51.494</x:v>
      </x:c>
      <x:c r="O1009" s="2" t="str">
        <x:v>Valid</x:v>
      </x:c>
      <x:c r="P1009" s="2" t="str">
        <x:v>EV002010</x:v>
      </x:c>
      <x:c r="Q1009" s="8" t="n">
        <x:v>46303.50684027778</x:v>
      </x:c>
      <x:c r="R1009" s="2" t="str">
        <x:v>SCH01</x:v>
      </x:c>
      <x:c r="S1009" s="9" t="n">
        <x:v>25.285</x:v>
      </x:c>
      <x:c r="T1009" s="9" t="n">
        <x:v>51.51</x:v>
      </x:c>
      <x:c r="U1009" s="2" t="str">
        <x:v>SCHOOL_RECEIVER_01</x:v>
      </x:c>
      <x:c r="V1009" s="2" t="str">
        <x:v>School staff receipt</x:v>
      </x:c>
      <x:c r="W1009" s="2" t="str">
        <x:v>Completed transport</x:v>
      </x:c>
      <x:c r="X1009" s="2" t="str">
        <x:v>QR</x:v>
      </x:c>
      <x:c r="Y1009" s="2" t="str">
        <x:v>Online</x:v>
      </x:c>
      <x:c r="Z1009" s="2" t="str">
        <x:v>Synced</x:v>
      </x:c>
      <x:c r="AA1009" s="2"/>
      <x:c r="AB1009" s="2"/>
      <x:c r="AC1009" s="10" t="n">
        <x:f>IF(OR(K1009="",Q1009=""),"",ROUND((Q1009-K1009)*1440,2))</x:f>
        <x:v>43.5</x:v>
      </x:c>
    </x:row>
    <x:row r="1010" ht="21" customHeight="1">
      <x:c r="A1010" s="2" t="str">
        <x:v>LN01009</x:v>
      </x:c>
      <x:c r="B1010" s="2" t="str">
        <x:v>T20261008-2-1</x:v>
      </x:c>
      <x:c r="C1010" s="7" t="n">
        <x:v>46303</x:v>
      </x:c>
      <x:c r="D1010" s="2" t="str">
        <x:v>BUS001</x:v>
      </x:c>
      <x:c r="E1010" s="2" t="str">
        <x:v>ST039</x:v>
      </x:c>
      <x:c r="F1010" s="2" t="n">
        <x:v>2</x:v>
      </x:c>
      <x:c r="G1010" s="2" t="str">
        <x:v>Senior</x:v>
      </x:c>
      <x:c r="H1010" s="2" t="str">
        <x:v>Pickup</x:v>
      </x:c>
      <x:c r="I1010" s="2" t="str">
        <x:v>R1S3</x:v>
      </x:c>
      <x:c r="J1010" s="2" t="str">
        <x:v>EV002011</x:v>
      </x:c>
      <x:c r="K1010" s="8" t="n">
        <x:v>46303.481527777774</x:v>
      </x:c>
      <x:c r="L1010" s="2" t="str">
        <x:v>R1S3</x:v>
      </x:c>
      <x:c r="M1010" s="9" t="n">
        <x:v>25.275000000000002</x:v>
      </x:c>
      <x:c r="N1010" s="9" t="n">
        <x:v>51.497</x:v>
      </x:c>
      <x:c r="O1010" s="2" t="str">
        <x:v>Valid</x:v>
      </x:c>
      <x:c r="P1010" s="2" t="str">
        <x:v>EV002012</x:v>
      </x:c>
      <x:c r="Q1010" s="8" t="n">
        <x:v>46303.50687500001</x:v>
      </x:c>
      <x:c r="R1010" s="2" t="str">
        <x:v>SCH01</x:v>
      </x:c>
      <x:c r="S1010" s="9" t="n">
        <x:v>25.285</x:v>
      </x:c>
      <x:c r="T1010" s="9" t="n">
        <x:v>51.51</x:v>
      </x:c>
      <x:c r="U1010" s="2" t="str">
        <x:v>SCHOOL_RECEIVER_01</x:v>
      </x:c>
      <x:c r="V1010" s="2" t="str">
        <x:v>School staff receipt</x:v>
      </x:c>
      <x:c r="W1010" s="2" t="str">
        <x:v>Completed transport</x:v>
      </x:c>
      <x:c r="X1010" s="2" t="str">
        <x:v>QR</x:v>
      </x:c>
      <x:c r="Y1010" s="2" t="str">
        <x:v>Online</x:v>
      </x:c>
      <x:c r="Z1010" s="2" t="str">
        <x:v>Synced</x:v>
      </x:c>
      <x:c r="AA1010" s="2"/>
      <x:c r="AB1010" s="2"/>
      <x:c r="AC1010" s="10" t="n">
        <x:f>IF(OR(K1010="",Q1010=""),"",ROUND((Q1010-K1010)*1440,2))</x:f>
        <x:v>36.5</x:v>
      </x:c>
    </x:row>
    <x:row r="1011" ht="21" customHeight="1">
      <x:c r="A1011" s="2" t="str">
        <x:v>LN01010</x:v>
      </x:c>
      <x:c r="B1011" s="2" t="str">
        <x:v>T20261008-2-1</x:v>
      </x:c>
      <x:c r="C1011" s="7" t="n">
        <x:v>46303</x:v>
      </x:c>
      <x:c r="D1011" s="2" t="str">
        <x:v>BUS001</x:v>
      </x:c>
      <x:c r="E1011" s="2" t="str">
        <x:v>ST040</x:v>
      </x:c>
      <x:c r="F1011" s="2" t="n">
        <x:v>2</x:v>
      </x:c>
      <x:c r="G1011" s="2" t="str">
        <x:v>Senior</x:v>
      </x:c>
      <x:c r="H1011" s="2" t="str">
        <x:v>Pickup</x:v>
      </x:c>
      <x:c r="I1011" s="2" t="str">
        <x:v>R1S1</x:v>
      </x:c>
      <x:c r="J1011" s="2" t="str">
        <x:v>EV002013</x:v>
      </x:c>
      <x:c r="K1011" s="8" t="n">
        <x:v>46303.47184027778</x:v>
      </x:c>
      <x:c r="L1011" s="2" t="str">
        <x:v>R1S1</x:v>
      </x:c>
      <x:c r="M1011" s="9" t="n">
        <x:v>25.271</x:v>
      </x:c>
      <x:c r="N1011" s="9" t="n">
        <x:v>51.491</x:v>
      </x:c>
      <x:c r="O1011" s="2" t="str">
        <x:v>Valid</x:v>
      </x:c>
      <x:c r="P1011" s="2" t="str">
        <x:v>EV002014</x:v>
      </x:c>
      <x:c r="Q1011" s="8" t="n">
        <x:v>46303.50690972222</x:v>
      </x:c>
      <x:c r="R1011" s="2" t="str">
        <x:v>SCH01</x:v>
      </x:c>
      <x:c r="S1011" s="9" t="n">
        <x:v>25.285</x:v>
      </x:c>
      <x:c r="T1011" s="9" t="n">
        <x:v>51.51</x:v>
      </x:c>
      <x:c r="U1011" s="2" t="str">
        <x:v>SCHOOL_RECEIVER_01</x:v>
      </x:c>
      <x:c r="V1011" s="2" t="str">
        <x:v>School staff receipt</x:v>
      </x:c>
      <x:c r="W1011" s="2" t="str">
        <x:v>Completed transport</x:v>
      </x:c>
      <x:c r="X1011" s="2" t="str">
        <x:v>QR</x:v>
      </x:c>
      <x:c r="Y1011" s="2" t="str">
        <x:v>Online</x:v>
      </x:c>
      <x:c r="Z1011" s="2" t="str">
        <x:v>Synced</x:v>
      </x:c>
      <x:c r="AA1011" s="2"/>
      <x:c r="AB1011" s="2"/>
      <x:c r="AC1011" s="10" t="n">
        <x:f>IF(OR(K1011="",Q1011=""),"",ROUND((Q1011-K1011)*1440,2))</x:f>
        <x:v>50.5</x:v>
      </x:c>
    </x:row>
    <x:row r="1012" ht="21" customHeight="1">
      <x:c r="A1012" s="2" t="str">
        <x:v>LN01011</x:v>
      </x:c>
      <x:c r="B1012" s="2" t="str">
        <x:v>T20261008-3-1</x:v>
      </x:c>
      <x:c r="C1012" s="7" t="n">
        <x:v>46303</x:v>
      </x:c>
      <x:c r="D1012" s="2" t="str">
        <x:v>BUS001</x:v>
      </x:c>
      <x:c r="E1012" s="2" t="str">
        <x:v>ST011</x:v>
      </x:c>
      <x:c r="F1012" s="2" t="n">
        <x:v>1</x:v>
      </x:c>
      <x:c r="G1012" s="2" t="str">
        <x:v>Senior</x:v>
      </x:c>
      <x:c r="H1012" s="2" t="str">
        <x:v>Drop-off</x:v>
      </x:c>
      <x:c r="I1012" s="2" t="str">
        <x:v>R1S2</x:v>
      </x:c>
      <x:c r="J1012" s="2" t="str">
        <x:v>EV002015</x:v>
      </x:c>
      <x:c r="K1012" s="8" t="n">
        <x:v>46303.57291666667</x:v>
      </x:c>
      <x:c r="L1012" s="2" t="str">
        <x:v>SCH01</x:v>
      </x:c>
      <x:c r="M1012" s="9" t="n">
        <x:v>25.285</x:v>
      </x:c>
      <x:c r="N1012" s="9" t="n">
        <x:v>51.51</x:v>
      </x:c>
      <x:c r="O1012" s="2" t="str">
        <x:v>Valid</x:v>
      </x:c>
      <x:c r="P1012" s="2" t="str">
        <x:v>EV002016</x:v>
      </x:c>
      <x:c r="Q1012" s="8" t="n">
        <x:v>46303.59027777778</x:v>
      </x:c>
      <x:c r="R1012" s="2" t="str">
        <x:v>R1S2</x:v>
      </x:c>
      <x:c r="S1012" s="9" t="n">
        <x:v>25.273000000000003</x:v>
      </x:c>
      <x:c r="T1012" s="9" t="n">
        <x:v>51.494</x:v>
      </x:c>
      <x:c r="U1012" s="2" t="str">
        <x:v>G011</x:v>
      </x:c>
      <x:c r="V1012" s="2" t="str">
        <x:v>Authorized guardian release</x:v>
      </x:c>
      <x:c r="W1012" s="2" t="str">
        <x:v>Completed transport</x:v>
      </x:c>
      <x:c r="X1012" s="2" t="str">
        <x:v>QR</x:v>
      </x:c>
      <x:c r="Y1012" s="2" t="str">
        <x:v>Online</x:v>
      </x:c>
      <x:c r="Z1012" s="2" t="str">
        <x:v>Synced</x:v>
      </x:c>
      <x:c r="AA1012" s="2"/>
      <x:c r="AB1012" s="2"/>
      <x:c r="AC1012" s="10" t="n">
        <x:f>IF(OR(K1012="",Q1012=""),"",ROUND((Q1012-K1012)*1440,2))</x:f>
        <x:v>25</x:v>
      </x:c>
    </x:row>
    <x:row r="1013" ht="21" customHeight="1">
      <x:c r="A1013" s="2" t="str">
        <x:v>LN01012</x:v>
      </x:c>
      <x:c r="B1013" s="2" t="str">
        <x:v>T20261008-3-1</x:v>
      </x:c>
      <x:c r="C1013" s="7" t="n">
        <x:v>46303</x:v>
      </x:c>
      <x:c r="D1013" s="2" t="str">
        <x:v>BUS001</x:v>
      </x:c>
      <x:c r="E1013" s="2" t="str">
        <x:v>ST012</x:v>
      </x:c>
      <x:c r="F1013" s="2" t="n">
        <x:v>1</x:v>
      </x:c>
      <x:c r="G1013" s="2" t="str">
        <x:v>Senior</x:v>
      </x:c>
      <x:c r="H1013" s="2" t="str">
        <x:v>Drop-off</x:v>
      </x:c>
      <x:c r="I1013" s="2" t="str">
        <x:v>R1S3</x:v>
      </x:c>
      <x:c r="J1013" s="2" t="str">
        <x:v>EV002017</x:v>
      </x:c>
      <x:c r="K1013" s="8" t="n">
        <x:v>46303.572951388895</x:v>
      </x:c>
      <x:c r="L1013" s="2" t="str">
        <x:v>SCH01</x:v>
      </x:c>
      <x:c r="M1013" s="9" t="n">
        <x:v>25.285</x:v>
      </x:c>
      <x:c r="N1013" s="9" t="n">
        <x:v>51.51</x:v>
      </x:c>
      <x:c r="O1013" s="2" t="str">
        <x:v>Valid</x:v>
      </x:c>
      <x:c r="P1013" s="2" t="str">
        <x:v>EV002018</x:v>
      </x:c>
      <x:c r="Q1013" s="8" t="n">
        <x:v>46303.59447916667</x:v>
      </x:c>
      <x:c r="R1013" s="2" t="str">
        <x:v>R1S3</x:v>
      </x:c>
      <x:c r="S1013" s="9" t="n">
        <x:v>25.275000000000002</x:v>
      </x:c>
      <x:c r="T1013" s="9" t="n">
        <x:v>51.497</x:v>
      </x:c>
      <x:c r="U1013" s="2" t="str">
        <x:v>G012</x:v>
      </x:c>
      <x:c r="V1013" s="2" t="str">
        <x:v>Authorized guardian release</x:v>
      </x:c>
      <x:c r="W1013" s="2" t="str">
        <x:v>Completed transport</x:v>
      </x:c>
      <x:c r="X1013" s="2" t="str">
        <x:v>QR</x:v>
      </x:c>
      <x:c r="Y1013" s="2" t="str">
        <x:v>Online</x:v>
      </x:c>
      <x:c r="Z1013" s="2" t="str">
        <x:v>Synced</x:v>
      </x:c>
      <x:c r="AA1013" s="2"/>
      <x:c r="AB1013" s="2"/>
      <x:c r="AC1013" s="10" t="n">
        <x:f>IF(OR(K1013="",Q1013=""),"",ROUND((Q1013-K1013)*1440,2))</x:f>
        <x:v>31</x:v>
      </x:c>
    </x:row>
    <x:row r="1014" ht="21" customHeight="1">
      <x:c r="A1014" s="2" t="str">
        <x:v>LN01013</x:v>
      </x:c>
      <x:c r="B1014" s="2" t="str">
        <x:v>T20261008-3-1</x:v>
      </x:c>
      <x:c r="C1014" s="7" t="n">
        <x:v>46303</x:v>
      </x:c>
      <x:c r="D1014" s="2" t="str">
        <x:v>BUS001</x:v>
      </x:c>
      <x:c r="E1014" s="2" t="str">
        <x:v>ST013</x:v>
      </x:c>
      <x:c r="F1014" s="2" t="n">
        <x:v>1</x:v>
      </x:c>
      <x:c r="G1014" s="2" t="str">
        <x:v>Senior</x:v>
      </x:c>
      <x:c r="H1014" s="2" t="str">
        <x:v>Drop-off</x:v>
      </x:c>
      <x:c r="I1014" s="2" t="str">
        <x:v>R1S1</x:v>
      </x:c>
      <x:c r="J1014" s="2" t="str">
        <x:v>EV002019</x:v>
      </x:c>
      <x:c r="K1014" s="8" t="n">
        <x:v>46303.57298611112</x:v>
      </x:c>
      <x:c r="L1014" s="2" t="str">
        <x:v>SCH01</x:v>
      </x:c>
      <x:c r="M1014" s="9" t="n">
        <x:v>25.285</x:v>
      </x:c>
      <x:c r="N1014" s="9" t="n">
        <x:v>51.51</x:v>
      </x:c>
      <x:c r="O1014" s="2" t="str">
        <x:v>Valid</x:v>
      </x:c>
      <x:c r="P1014" s="2" t="str">
        <x:v>EV002020</x:v>
      </x:c>
      <x:c r="Q1014" s="8" t="n">
        <x:v>46303.58618055556</x:v>
      </x:c>
      <x:c r="R1014" s="2" t="str">
        <x:v>R1S1</x:v>
      </x:c>
      <x:c r="S1014" s="9" t="n">
        <x:v>25.271</x:v>
      </x:c>
      <x:c r="T1014" s="9" t="n">
        <x:v>51.491</x:v>
      </x:c>
      <x:c r="U1014" s="2" t="str">
        <x:v>G013</x:v>
      </x:c>
      <x:c r="V1014" s="2" t="str">
        <x:v>Authorized guardian release</x:v>
      </x:c>
      <x:c r="W1014" s="2" t="str">
        <x:v>Completed transport</x:v>
      </x:c>
      <x:c r="X1014" s="2" t="str">
        <x:v>QR</x:v>
      </x:c>
      <x:c r="Y1014" s="2" t="str">
        <x:v>Online</x:v>
      </x:c>
      <x:c r="Z1014" s="2" t="str">
        <x:v>Synced</x:v>
      </x:c>
      <x:c r="AA1014" s="2"/>
      <x:c r="AB1014" s="2"/>
      <x:c r="AC1014" s="10" t="n">
        <x:f>IF(OR(K1014="",Q1014=""),"",ROUND((Q1014-K1014)*1440,2))</x:f>
        <x:v>19</x:v>
      </x:c>
    </x:row>
    <x:row r="1015" ht="21" customHeight="1">
      <x:c r="A1015" s="2" t="str">
        <x:v>LN01014</x:v>
      </x:c>
      <x:c r="B1015" s="2" t="str">
        <x:v>T20261008-3-1</x:v>
      </x:c>
      <x:c r="C1015" s="7" t="n">
        <x:v>46303</x:v>
      </x:c>
      <x:c r="D1015" s="2" t="str">
        <x:v>BUS001</x:v>
      </x:c>
      <x:c r="E1015" s="2" t="str">
        <x:v>ST014</x:v>
      </x:c>
      <x:c r="F1015" s="2" t="n">
        <x:v>1</x:v>
      </x:c>
      <x:c r="G1015" s="2" t="str">
        <x:v>Senior</x:v>
      </x:c>
      <x:c r="H1015" s="2" t="str">
        <x:v>Drop-off</x:v>
      </x:c>
      <x:c r="I1015" s="2" t="str">
        <x:v>R1S2</x:v>
      </x:c>
      <x:c r="J1015" s="2" t="str">
        <x:v>EV002021</x:v>
      </x:c>
      <x:c r="K1015" s="8" t="n">
        <x:v>46303.57302083334</x:v>
      </x:c>
      <x:c r="L1015" s="2" t="str">
        <x:v>SCH01</x:v>
      </x:c>
      <x:c r="M1015" s="9" t="n">
        <x:v>25.285</x:v>
      </x:c>
      <x:c r="N1015" s="9" t="n">
        <x:v>51.51</x:v>
      </x:c>
      <x:c r="O1015" s="2" t="str">
        <x:v>Valid</x:v>
      </x:c>
      <x:c r="P1015" s="2" t="str">
        <x:v>EV002022</x:v>
      </x:c>
      <x:c r="Q1015" s="8" t="n">
        <x:v>46303.59038194445</x:v>
      </x:c>
      <x:c r="R1015" s="2" t="str">
        <x:v>R1S2</x:v>
      </x:c>
      <x:c r="S1015" s="9" t="n">
        <x:v>25.273000000000003</x:v>
      </x:c>
      <x:c r="T1015" s="9" t="n">
        <x:v>51.494</x:v>
      </x:c>
      <x:c r="U1015" s="2" t="str">
        <x:v>G014</x:v>
      </x:c>
      <x:c r="V1015" s="2" t="str">
        <x:v>Authorized guardian release</x:v>
      </x:c>
      <x:c r="W1015" s="2" t="str">
        <x:v>Completed transport</x:v>
      </x:c>
      <x:c r="X1015" s="2" t="str">
        <x:v>QR</x:v>
      </x:c>
      <x:c r="Y1015" s="2" t="str">
        <x:v>Online</x:v>
      </x:c>
      <x:c r="Z1015" s="2" t="str">
        <x:v>Synced</x:v>
      </x:c>
      <x:c r="AA1015" s="2"/>
      <x:c r="AB1015" s="2"/>
      <x:c r="AC1015" s="10" t="n">
        <x:f>IF(OR(K1015="",Q1015=""),"",ROUND((Q1015-K1015)*1440,2))</x:f>
        <x:v>25</x:v>
      </x:c>
    </x:row>
    <x:row r="1016" ht="21" customHeight="1">
      <x:c r="A1016" s="2" t="str">
        <x:v>LN01015</x:v>
      </x:c>
      <x:c r="B1016" s="2" t="str">
        <x:v>T20261008-3-1</x:v>
      </x:c>
      <x:c r="C1016" s="7" t="n">
        <x:v>46303</x:v>
      </x:c>
      <x:c r="D1016" s="2" t="str">
        <x:v>BUS001</x:v>
      </x:c>
      <x:c r="E1016" s="2" t="str">
        <x:v>ST015</x:v>
      </x:c>
      <x:c r="F1016" s="2" t="n">
        <x:v>1</x:v>
      </x:c>
      <x:c r="G1016" s="2" t="str">
        <x:v>Senior</x:v>
      </x:c>
      <x:c r="H1016" s="2" t="str">
        <x:v>Drop-off</x:v>
      </x:c>
      <x:c r="I1016" s="2" t="str">
        <x:v>R1S3</x:v>
      </x:c>
      <x:c r="J1016" s="2" t="str">
        <x:v>EV002023</x:v>
      </x:c>
      <x:c r="K1016" s="8" t="n">
        <x:v>46303.573055555564</x:v>
      </x:c>
      <x:c r="L1016" s="2" t="str">
        <x:v>SCH01</x:v>
      </x:c>
      <x:c r="M1016" s="9" t="n">
        <x:v>25.285</x:v>
      </x:c>
      <x:c r="N1016" s="9" t="n">
        <x:v>51.51</x:v>
      </x:c>
      <x:c r="O1016" s="2" t="str">
        <x:v>Valid</x:v>
      </x:c>
      <x:c r="P1016" s="2" t="str">
        <x:v>EV002024</x:v>
      </x:c>
      <x:c r="Q1016" s="8" t="n">
        <x:v>46303.59458333334</x:v>
      </x:c>
      <x:c r="R1016" s="2" t="str">
        <x:v>R1S3</x:v>
      </x:c>
      <x:c r="S1016" s="9" t="n">
        <x:v>25.275000000000002</x:v>
      </x:c>
      <x:c r="T1016" s="9" t="n">
        <x:v>51.497</x:v>
      </x:c>
      <x:c r="U1016" s="2" t="str">
        <x:v>G015</x:v>
      </x:c>
      <x:c r="V1016" s="2" t="str">
        <x:v>Authorized guardian release</x:v>
      </x:c>
      <x:c r="W1016" s="2" t="str">
        <x:v>Completed transport</x:v>
      </x:c>
      <x:c r="X1016" s="2" t="str">
        <x:v>QR</x:v>
      </x:c>
      <x:c r="Y1016" s="2" t="str">
        <x:v>Online</x:v>
      </x:c>
      <x:c r="Z1016" s="2" t="str">
        <x:v>Synced</x:v>
      </x:c>
      <x:c r="AA1016" s="2"/>
      <x:c r="AB1016" s="2"/>
      <x:c r="AC1016" s="10" t="n">
        <x:f>IF(OR(K1016="",Q1016=""),"",ROUND((Q1016-K1016)*1440,2))</x:f>
        <x:v>31</x:v>
      </x:c>
    </x:row>
    <x:row r="1017" ht="21" customHeight="1">
      <x:c r="A1017" s="2" t="str">
        <x:v>LN01016</x:v>
      </x:c>
      <x:c r="B1017" s="2" t="str">
        <x:v>T20261008-3-1</x:v>
      </x:c>
      <x:c r="C1017" s="7" t="n">
        <x:v>46303</x:v>
      </x:c>
      <x:c r="D1017" s="2" t="str">
        <x:v>BUS001</x:v>
      </x:c>
      <x:c r="E1017" s="2" t="str">
        <x:v>ST016</x:v>
      </x:c>
      <x:c r="F1017" s="2" t="n">
        <x:v>1</x:v>
      </x:c>
      <x:c r="G1017" s="2" t="str">
        <x:v>Senior</x:v>
      </x:c>
      <x:c r="H1017" s="2" t="str">
        <x:v>Drop-off</x:v>
      </x:c>
      <x:c r="I1017" s="2" t="str">
        <x:v>R1S1</x:v>
      </x:c>
      <x:c r="J1017" s="2" t="str">
        <x:v>EV002025</x:v>
      </x:c>
      <x:c r="K1017" s="8" t="n">
        <x:v>46303.57309027778</x:v>
      </x:c>
      <x:c r="L1017" s="2" t="str">
        <x:v>SCH01</x:v>
      </x:c>
      <x:c r="M1017" s="9" t="n">
        <x:v>25.285</x:v>
      </x:c>
      <x:c r="N1017" s="9" t="n">
        <x:v>51.51</x:v>
      </x:c>
      <x:c r="O1017" s="2" t="str">
        <x:v>Valid</x:v>
      </x:c>
      <x:c r="P1017" s="2" t="str">
        <x:v>EV002026</x:v>
      </x:c>
      <x:c r="Q1017" s="8" t="n">
        <x:v>46303.58628472222</x:v>
      </x:c>
      <x:c r="R1017" s="2" t="str">
        <x:v>R1S1</x:v>
      </x:c>
      <x:c r="S1017" s="9" t="n">
        <x:v>25.271</x:v>
      </x:c>
      <x:c r="T1017" s="9" t="n">
        <x:v>51.491</x:v>
      </x:c>
      <x:c r="U1017" s="2" t="str">
        <x:v>G016</x:v>
      </x:c>
      <x:c r="V1017" s="2" t="str">
        <x:v>Authorized guardian release</x:v>
      </x:c>
      <x:c r="W1017" s="2" t="str">
        <x:v>Completed transport</x:v>
      </x:c>
      <x:c r="X1017" s="2" t="str">
        <x:v>QR</x:v>
      </x:c>
      <x:c r="Y1017" s="2" t="str">
        <x:v>Online</x:v>
      </x:c>
      <x:c r="Z1017" s="2" t="str">
        <x:v>Synced</x:v>
      </x:c>
      <x:c r="AA1017" s="2"/>
      <x:c r="AB1017" s="2"/>
      <x:c r="AC1017" s="10" t="n">
        <x:f>IF(OR(K1017="",Q1017=""),"",ROUND((Q1017-K1017)*1440,2))</x:f>
        <x:v>19</x:v>
      </x:c>
    </x:row>
    <x:row r="1018" ht="21" customHeight="1">
      <x:c r="A1018" s="2" t="str">
        <x:v>LN01017</x:v>
      </x:c>
      <x:c r="B1018" s="2" t="str">
        <x:v>T20261008-3-1</x:v>
      </x:c>
      <x:c r="C1018" s="7" t="n">
        <x:v>46303</x:v>
      </x:c>
      <x:c r="D1018" s="2" t="str">
        <x:v>BUS001</x:v>
      </x:c>
      <x:c r="E1018" s="2" t="str">
        <x:v>ST017</x:v>
      </x:c>
      <x:c r="F1018" s="2" t="n">
        <x:v>1</x:v>
      </x:c>
      <x:c r="G1018" s="2" t="str">
        <x:v>Senior</x:v>
      </x:c>
      <x:c r="H1018" s="2" t="str">
        <x:v>Drop-off</x:v>
      </x:c>
      <x:c r="I1018" s="2" t="str">
        <x:v>R1S2</x:v>
      </x:c>
      <x:c r="J1018" s="2" t="str">
        <x:v>EV002027</x:v>
      </x:c>
      <x:c r="K1018" s="8" t="n">
        <x:v>46303.573125</x:v>
      </x:c>
      <x:c r="L1018" s="2" t="str">
        <x:v>SCH01</x:v>
      </x:c>
      <x:c r="M1018" s="9" t="n">
        <x:v>25.285</x:v>
      </x:c>
      <x:c r="N1018" s="9" t="n">
        <x:v>51.51</x:v>
      </x:c>
      <x:c r="O1018" s="2" t="str">
        <x:v>Valid</x:v>
      </x:c>
      <x:c r="P1018" s="2" t="str">
        <x:v>EV002028</x:v>
      </x:c>
      <x:c r="Q1018" s="8" t="n">
        <x:v>46303.59048611111</x:v>
      </x:c>
      <x:c r="R1018" s="2" t="str">
        <x:v>R1S2</x:v>
      </x:c>
      <x:c r="S1018" s="9" t="n">
        <x:v>25.273000000000003</x:v>
      </x:c>
      <x:c r="T1018" s="9" t="n">
        <x:v>51.494</x:v>
      </x:c>
      <x:c r="U1018" s="2" t="str">
        <x:v>G017</x:v>
      </x:c>
      <x:c r="V1018" s="2" t="str">
        <x:v>Authorized guardian release</x:v>
      </x:c>
      <x:c r="W1018" s="2" t="str">
        <x:v>Completed transport</x:v>
      </x:c>
      <x:c r="X1018" s="2" t="str">
        <x:v>QR</x:v>
      </x:c>
      <x:c r="Y1018" s="2" t="str">
        <x:v>Online</x:v>
      </x:c>
      <x:c r="Z1018" s="2" t="str">
        <x:v>Synced</x:v>
      </x:c>
      <x:c r="AA1018" s="2"/>
      <x:c r="AB1018" s="2"/>
      <x:c r="AC1018" s="10" t="n">
        <x:f>IF(OR(K1018="",Q1018=""),"",ROUND((Q1018-K1018)*1440,2))</x:f>
        <x:v>25</x:v>
      </x:c>
    </x:row>
    <x:row r="1019" ht="21" customHeight="1">
      <x:c r="A1019" s="2" t="str">
        <x:v>LN01018</x:v>
      </x:c>
      <x:c r="B1019" s="2" t="str">
        <x:v>T20261008-3-1</x:v>
      </x:c>
      <x:c r="C1019" s="7" t="n">
        <x:v>46303</x:v>
      </x:c>
      <x:c r="D1019" s="2" t="str">
        <x:v>BUS001</x:v>
      </x:c>
      <x:c r="E1019" s="2" t="str">
        <x:v>ST018</x:v>
      </x:c>
      <x:c r="F1019" s="2" t="n">
        <x:v>1</x:v>
      </x:c>
      <x:c r="G1019" s="2" t="str">
        <x:v>Senior</x:v>
      </x:c>
      <x:c r="H1019" s="2" t="str">
        <x:v>Drop-off</x:v>
      </x:c>
      <x:c r="I1019" s="2" t="str">
        <x:v>R1S3</x:v>
      </x:c>
      <x:c r="J1019" s="2" t="str">
        <x:v>EV002029</x:v>
      </x:c>
      <x:c r="K1019" s="8" t="n">
        <x:v>46303.573159722226</x:v>
      </x:c>
      <x:c r="L1019" s="2" t="str">
        <x:v>SCH01</x:v>
      </x:c>
      <x:c r="M1019" s="9" t="n">
        <x:v>25.285</x:v>
      </x:c>
      <x:c r="N1019" s="9" t="n">
        <x:v>51.51</x:v>
      </x:c>
      <x:c r="O1019" s="2" t="str">
        <x:v>Valid</x:v>
      </x:c>
      <x:c r="P1019" s="2" t="str">
        <x:v>EV002030</x:v>
      </x:c>
      <x:c r="Q1019" s="8" t="n">
        <x:v>46303.5946875</x:v>
      </x:c>
      <x:c r="R1019" s="2" t="str">
        <x:v>R1S3</x:v>
      </x:c>
      <x:c r="S1019" s="9" t="n">
        <x:v>25.275000000000002</x:v>
      </x:c>
      <x:c r="T1019" s="9" t="n">
        <x:v>51.497</x:v>
      </x:c>
      <x:c r="U1019" s="2" t="str">
        <x:v>G018</x:v>
      </x:c>
      <x:c r="V1019" s="2" t="str">
        <x:v>Authorized guardian release</x:v>
      </x:c>
      <x:c r="W1019" s="2" t="str">
        <x:v>Completed transport</x:v>
      </x:c>
      <x:c r="X1019" s="2" t="str">
        <x:v>QR</x:v>
      </x:c>
      <x:c r="Y1019" s="2" t="str">
        <x:v>Online</x:v>
      </x:c>
      <x:c r="Z1019" s="2" t="str">
        <x:v>Synced</x:v>
      </x:c>
      <x:c r="AA1019" s="2"/>
      <x:c r="AB1019" s="2"/>
      <x:c r="AC1019" s="10" t="n">
        <x:f>IF(OR(K1019="",Q1019=""),"",ROUND((Q1019-K1019)*1440,2))</x:f>
        <x:v>31</x:v>
      </x:c>
    </x:row>
    <x:row r="1020" ht="21" customHeight="1">
      <x:c r="A1020" s="2" t="str">
        <x:v>LN01019</x:v>
      </x:c>
      <x:c r="B1020" s="2" t="str">
        <x:v>T20261008-3-1</x:v>
      </x:c>
      <x:c r="C1020" s="7" t="n">
        <x:v>46303</x:v>
      </x:c>
      <x:c r="D1020" s="2" t="str">
        <x:v>BUS001</x:v>
      </x:c>
      <x:c r="E1020" s="2" t="str">
        <x:v>ST019</x:v>
      </x:c>
      <x:c r="F1020" s="2" t="n">
        <x:v>1</x:v>
      </x:c>
      <x:c r="G1020" s="2" t="str">
        <x:v>Senior</x:v>
      </x:c>
      <x:c r="H1020" s="2" t="str">
        <x:v>Drop-off</x:v>
      </x:c>
      <x:c r="I1020" s="2" t="str">
        <x:v>R1S1</x:v>
      </x:c>
      <x:c r="J1020" s="2" t="str">
        <x:v>EV002031</x:v>
      </x:c>
      <x:c r="K1020" s="8" t="n">
        <x:v>46303.57319444445</x:v>
      </x:c>
      <x:c r="L1020" s="2" t="str">
        <x:v>SCH01</x:v>
      </x:c>
      <x:c r="M1020" s="9" t="n">
        <x:v>25.285</x:v>
      </x:c>
      <x:c r="N1020" s="9" t="n">
        <x:v>51.51</x:v>
      </x:c>
      <x:c r="O1020" s="2" t="str">
        <x:v>Valid</x:v>
      </x:c>
      <x:c r="P1020" s="2" t="str">
        <x:v>EV002032</x:v>
      </x:c>
      <x:c r="Q1020" s="8" t="n">
        <x:v>46303.58638888889</x:v>
      </x:c>
      <x:c r="R1020" s="2" t="str">
        <x:v>R1S1</x:v>
      </x:c>
      <x:c r="S1020" s="9" t="n">
        <x:v>25.271</x:v>
      </x:c>
      <x:c r="T1020" s="9" t="n">
        <x:v>51.491</x:v>
      </x:c>
      <x:c r="U1020" s="2" t="str">
        <x:v>G019</x:v>
      </x:c>
      <x:c r="V1020" s="2" t="str">
        <x:v>Authorized guardian release</x:v>
      </x:c>
      <x:c r="W1020" s="2" t="str">
        <x:v>Completed transport</x:v>
      </x:c>
      <x:c r="X1020" s="2" t="str">
        <x:v>QR</x:v>
      </x:c>
      <x:c r="Y1020" s="2" t="str">
        <x:v>Online</x:v>
      </x:c>
      <x:c r="Z1020" s="2" t="str">
        <x:v>Synced</x:v>
      </x:c>
      <x:c r="AA1020" s="2"/>
      <x:c r="AB1020" s="2"/>
      <x:c r="AC1020" s="10" t="n">
        <x:f>IF(OR(K1020="",Q1020=""),"",ROUND((Q1020-K1020)*1440,2))</x:f>
        <x:v>19</x:v>
      </x:c>
    </x:row>
    <x:row r="1021" ht="21" customHeight="1">
      <x:c r="A1021" s="2" t="str">
        <x:v>LN01020</x:v>
      </x:c>
      <x:c r="B1021" s="2" t="str">
        <x:v>T20261008-3-1</x:v>
      </x:c>
      <x:c r="C1021" s="7" t="n">
        <x:v>46303</x:v>
      </x:c>
      <x:c r="D1021" s="2" t="str">
        <x:v>BUS001</x:v>
      </x:c>
      <x:c r="E1021" s="2" t="str">
        <x:v>ST020</x:v>
      </x:c>
      <x:c r="F1021" s="2" t="n">
        <x:v>1</x:v>
      </x:c>
      <x:c r="G1021" s="2" t="str">
        <x:v>Senior</x:v>
      </x:c>
      <x:c r="H1021" s="2" t="str">
        <x:v>Drop-off</x:v>
      </x:c>
      <x:c r="I1021" s="2" t="str">
        <x:v>R1S2</x:v>
      </x:c>
      <x:c r="J1021" s="2" t="str">
        <x:v>EV002033</x:v>
      </x:c>
      <x:c r="K1021" s="8" t="n">
        <x:v>46303.57322916667</x:v>
      </x:c>
      <x:c r="L1021" s="2" t="str">
        <x:v>SCH01</x:v>
      </x:c>
      <x:c r="M1021" s="9" t="n">
        <x:v>25.285</x:v>
      </x:c>
      <x:c r="N1021" s="9" t="n">
        <x:v>51.51</x:v>
      </x:c>
      <x:c r="O1021" s="2" t="str">
        <x:v>Valid</x:v>
      </x:c>
      <x:c r="P1021" s="2" t="str">
        <x:v>EV002034</x:v>
      </x:c>
      <x:c r="Q1021" s="8" t="n">
        <x:v>46303.59059027778</x:v>
      </x:c>
      <x:c r="R1021" s="2" t="str">
        <x:v>R1S2</x:v>
      </x:c>
      <x:c r="S1021" s="9" t="n">
        <x:v>25.273000000000003</x:v>
      </x:c>
      <x:c r="T1021" s="9" t="n">
        <x:v>51.494</x:v>
      </x:c>
      <x:c r="U1021" s="2" t="str">
        <x:v>G020</x:v>
      </x:c>
      <x:c r="V1021" s="2" t="str">
        <x:v>Authorized guardian release</x:v>
      </x:c>
      <x:c r="W1021" s="2" t="str">
        <x:v>Completed transport</x:v>
      </x:c>
      <x:c r="X1021" s="2" t="str">
        <x:v>QR</x:v>
      </x:c>
      <x:c r="Y1021" s="2" t="str">
        <x:v>Online</x:v>
      </x:c>
      <x:c r="Z1021" s="2" t="str">
        <x:v>Synced</x:v>
      </x:c>
      <x:c r="AA1021" s="2"/>
      <x:c r="AB1021" s="2"/>
      <x:c r="AC1021" s="10" t="n">
        <x:f>IF(OR(K1021="",Q1021=""),"",ROUND((Q1021-K1021)*1440,2))</x:f>
        <x:v>25</x:v>
      </x:c>
    </x:row>
    <x:row r="1022" ht="21" customHeight="1">
      <x:c r="A1022" s="2" t="str">
        <x:v>LN01021</x:v>
      </x:c>
      <x:c r="B1022" s="2" t="str">
        <x:v>T20261008-4-1</x:v>
      </x:c>
      <x:c r="C1022" s="7" t="n">
        <x:v>46303</x:v>
      </x:c>
      <x:c r="D1022" s="2" t="str">
        <x:v>BUS001</x:v>
      </x:c>
      <x:c r="E1022" s="2" t="str">
        <x:v>ST021</x:v>
      </x:c>
      <x:c r="F1022" s="2" t="n">
        <x:v>2</x:v>
      </x:c>
      <x:c r="G1022" s="2" t="str">
        <x:v>Junior</x:v>
      </x:c>
      <x:c r="H1022" s="2" t="str">
        <x:v>Drop-off</x:v>
      </x:c>
      <x:c r="I1022" s="2" t="str">
        <x:v>R1S3</x:v>
      </x:c>
      <x:c r="J1022" s="2" t="str">
        <x:v>EV002035</x:v>
      </x:c>
      <x:c r="K1022" s="8" t="n">
        <x:v>46303.60416666667</x:v>
      </x:c>
      <x:c r="L1022" s="2" t="str">
        <x:v>SCH01</x:v>
      </x:c>
      <x:c r="M1022" s="9" t="n">
        <x:v>25.285</x:v>
      </x:c>
      <x:c r="N1022" s="9" t="n">
        <x:v>51.51</x:v>
      </x:c>
      <x:c r="O1022" s="2" t="str">
        <x:v>Valid</x:v>
      </x:c>
      <x:c r="P1022" s="2" t="str">
        <x:v>EV002036</x:v>
      </x:c>
      <x:c r="Q1022" s="8" t="n">
        <x:v>46303.62708333333</x:v>
      </x:c>
      <x:c r="R1022" s="2" t="str">
        <x:v>R1S3</x:v>
      </x:c>
      <x:c r="S1022" s="9" t="n">
        <x:v>25.275000000000002</x:v>
      </x:c>
      <x:c r="T1022" s="9" t="n">
        <x:v>51.497</x:v>
      </x:c>
      <x:c r="U1022" s="2" t="str">
        <x:v>G021</x:v>
      </x:c>
      <x:c r="V1022" s="2" t="str">
        <x:v>Authorized guardian release</x:v>
      </x:c>
      <x:c r="W1022" s="2" t="str">
        <x:v>Completed transport</x:v>
      </x:c>
      <x:c r="X1022" s="2" t="str">
        <x:v>QR</x:v>
      </x:c>
      <x:c r="Y1022" s="2" t="str">
        <x:v>Online</x:v>
      </x:c>
      <x:c r="Z1022" s="2" t="str">
        <x:v>Synced</x:v>
      </x:c>
      <x:c r="AA1022" s="2"/>
      <x:c r="AB1022" s="2"/>
      <x:c r="AC1022" s="10" t="n">
        <x:f>IF(OR(K1022="",Q1022=""),"",ROUND((Q1022-K1022)*1440,2))</x:f>
        <x:v>33</x:v>
      </x:c>
    </x:row>
    <x:row r="1023" ht="21" customHeight="1">
      <x:c r="A1023" s="2" t="str">
        <x:v>LN01022</x:v>
      </x:c>
      <x:c r="B1023" s="2" t="str">
        <x:v>T20261008-4-1</x:v>
      </x:c>
      <x:c r="C1023" s="7" t="n">
        <x:v>46303</x:v>
      </x:c>
      <x:c r="D1023" s="2" t="str">
        <x:v>BUS001</x:v>
      </x:c>
      <x:c r="E1023" s="2" t="str">
        <x:v>ST022</x:v>
      </x:c>
      <x:c r="F1023" s="2" t="n">
        <x:v>2</x:v>
      </x:c>
      <x:c r="G1023" s="2" t="str">
        <x:v>Junior</x:v>
      </x:c>
      <x:c r="H1023" s="2" t="str">
        <x:v>Drop-off</x:v>
      </x:c>
      <x:c r="I1023" s="2" t="str">
        <x:v>R1S1</x:v>
      </x:c>
      <x:c r="J1023" s="2" t="str">
        <x:v>EV002037</x:v>
      </x:c>
      <x:c r="K1023" s="8" t="n">
        <x:v>46303.604201388895</x:v>
      </x:c>
      <x:c r="L1023" s="2" t="str">
        <x:v>SCH01</x:v>
      </x:c>
      <x:c r="M1023" s="9" t="n">
        <x:v>25.285</x:v>
      </x:c>
      <x:c r="N1023" s="9" t="n">
        <x:v>51.51</x:v>
      </x:c>
      <x:c r="O1023" s="2" t="str">
        <x:v>Valid</x:v>
      </x:c>
      <x:c r="P1023" s="2" t="str">
        <x:v>EV002038</x:v>
      </x:c>
      <x:c r="Q1023" s="8" t="n">
        <x:v>46303.618784722225</x:v>
      </x:c>
      <x:c r="R1023" s="2" t="str">
        <x:v>R1S1</x:v>
      </x:c>
      <x:c r="S1023" s="9" t="n">
        <x:v>25.271</x:v>
      </x:c>
      <x:c r="T1023" s="9" t="n">
        <x:v>51.491</x:v>
      </x:c>
      <x:c r="U1023" s="2" t="str">
        <x:v>G022</x:v>
      </x:c>
      <x:c r="V1023" s="2" t="str">
        <x:v>Authorized guardian release</x:v>
      </x:c>
      <x:c r="W1023" s="2" t="str">
        <x:v>Completed transport</x:v>
      </x:c>
      <x:c r="X1023" s="2" t="str">
        <x:v>QR</x:v>
      </x:c>
      <x:c r="Y1023" s="2" t="str">
        <x:v>Online</x:v>
      </x:c>
      <x:c r="Z1023" s="2" t="str">
        <x:v>Synced</x:v>
      </x:c>
      <x:c r="AA1023" s="2"/>
      <x:c r="AB1023" s="2"/>
      <x:c r="AC1023" s="10" t="n">
        <x:f>IF(OR(K1023="",Q1023=""),"",ROUND((Q1023-K1023)*1440,2))</x:f>
        <x:v>21</x:v>
      </x:c>
    </x:row>
    <x:row r="1024" ht="21" customHeight="1">
      <x:c r="A1024" s="2" t="str">
        <x:v>LN01023</x:v>
      </x:c>
      <x:c r="B1024" s="2" t="str">
        <x:v>T20261008-4-1</x:v>
      </x:c>
      <x:c r="C1024" s="7" t="n">
        <x:v>46303</x:v>
      </x:c>
      <x:c r="D1024" s="2" t="str">
        <x:v>BUS001</x:v>
      </x:c>
      <x:c r="E1024" s="2" t="str">
        <x:v>ST023</x:v>
      </x:c>
      <x:c r="F1024" s="2" t="n">
        <x:v>2</x:v>
      </x:c>
      <x:c r="G1024" s="2" t="str">
        <x:v>Junior</x:v>
      </x:c>
      <x:c r="H1024" s="2" t="str">
        <x:v>Drop-off</x:v>
      </x:c>
      <x:c r="I1024" s="2" t="str">
        <x:v>R1S2</x:v>
      </x:c>
      <x:c r="J1024" s="2" t="str">
        <x:v>EV002039</x:v>
      </x:c>
      <x:c r="K1024" s="8" t="n">
        <x:v>46303.60423611112</x:v>
      </x:c>
      <x:c r="L1024" s="2" t="str">
        <x:v>SCH01</x:v>
      </x:c>
      <x:c r="M1024" s="9" t="n">
        <x:v>25.285</x:v>
      </x:c>
      <x:c r="N1024" s="9" t="n">
        <x:v>51.51</x:v>
      </x:c>
      <x:c r="O1024" s="2" t="str">
        <x:v>Valid</x:v>
      </x:c>
      <x:c r="P1024" s="2" t="str">
        <x:v>EV002040</x:v>
      </x:c>
      <x:c r="Q1024" s="8" t="n">
        <x:v>46303.62298611111</x:v>
      </x:c>
      <x:c r="R1024" s="2" t="str">
        <x:v>R1S2</x:v>
      </x:c>
      <x:c r="S1024" s="9" t="n">
        <x:v>25.273000000000003</x:v>
      </x:c>
      <x:c r="T1024" s="9" t="n">
        <x:v>51.494</x:v>
      </x:c>
      <x:c r="U1024" s="2" t="str">
        <x:v>G023</x:v>
      </x:c>
      <x:c r="V1024" s="2" t="str">
        <x:v>Authorized guardian release</x:v>
      </x:c>
      <x:c r="W1024" s="2" t="str">
        <x:v>Completed transport</x:v>
      </x:c>
      <x:c r="X1024" s="2" t="str">
        <x:v>QR</x:v>
      </x:c>
      <x:c r="Y1024" s="2" t="str">
        <x:v>Online</x:v>
      </x:c>
      <x:c r="Z1024" s="2" t="str">
        <x:v>Synced</x:v>
      </x:c>
      <x:c r="AA1024" s="2"/>
      <x:c r="AB1024" s="2"/>
      <x:c r="AC1024" s="10" t="n">
        <x:f>IF(OR(K1024="",Q1024=""),"",ROUND((Q1024-K1024)*1440,2))</x:f>
        <x:v>27</x:v>
      </x:c>
    </x:row>
    <x:row r="1025" ht="21" customHeight="1">
      <x:c r="A1025" s="2" t="str">
        <x:v>LN01024</x:v>
      </x:c>
      <x:c r="B1025" s="2" t="str">
        <x:v>T20261008-4-1</x:v>
      </x:c>
      <x:c r="C1025" s="7" t="n">
        <x:v>46303</x:v>
      </x:c>
      <x:c r="D1025" s="2" t="str">
        <x:v>BUS001</x:v>
      </x:c>
      <x:c r="E1025" s="2" t="str">
        <x:v>ST024</x:v>
      </x:c>
      <x:c r="F1025" s="2" t="n">
        <x:v>2</x:v>
      </x:c>
      <x:c r="G1025" s="2" t="str">
        <x:v>Junior</x:v>
      </x:c>
      <x:c r="H1025" s="2" t="str">
        <x:v>Drop-off</x:v>
      </x:c>
      <x:c r="I1025" s="2" t="str">
        <x:v>R1S3</x:v>
      </x:c>
      <x:c r="J1025" s="2" t="str">
        <x:v>EV002041</x:v>
      </x:c>
      <x:c r="K1025" s="8" t="n">
        <x:v>46303.60427083334</x:v>
      </x:c>
      <x:c r="L1025" s="2" t="str">
        <x:v>SCH01</x:v>
      </x:c>
      <x:c r="M1025" s="9" t="n">
        <x:v>25.285</x:v>
      </x:c>
      <x:c r="N1025" s="9" t="n">
        <x:v>51.51</x:v>
      </x:c>
      <x:c r="O1025" s="2" t="str">
        <x:v>Valid</x:v>
      </x:c>
      <x:c r="P1025" s="2" t="str">
        <x:v>EV002042</x:v>
      </x:c>
      <x:c r="Q1025" s="8" t="n">
        <x:v>46303.6271875</x:v>
      </x:c>
      <x:c r="R1025" s="2" t="str">
        <x:v>R1S3</x:v>
      </x:c>
      <x:c r="S1025" s="9" t="n">
        <x:v>25.275000000000002</x:v>
      </x:c>
      <x:c r="T1025" s="9" t="n">
        <x:v>51.497</x:v>
      </x:c>
      <x:c r="U1025" s="2" t="str">
        <x:v>G024</x:v>
      </x:c>
      <x:c r="V1025" s="2" t="str">
        <x:v>Authorized guardian release</x:v>
      </x:c>
      <x:c r="W1025" s="2" t="str">
        <x:v>Completed transport</x:v>
      </x:c>
      <x:c r="X1025" s="2" t="str">
        <x:v>QR</x:v>
      </x:c>
      <x:c r="Y1025" s="2" t="str">
        <x:v>Online</x:v>
      </x:c>
      <x:c r="Z1025" s="2" t="str">
        <x:v>Synced</x:v>
      </x:c>
      <x:c r="AA1025" s="2"/>
      <x:c r="AB1025" s="2"/>
      <x:c r="AC1025" s="10" t="n">
        <x:f>IF(OR(K1025="",Q1025=""),"",ROUND((Q1025-K1025)*1440,2))</x:f>
        <x:v>33</x:v>
      </x:c>
    </x:row>
    <x:row r="1026" ht="21" customHeight="1">
      <x:c r="A1026" s="2" t="str">
        <x:v>LN01025</x:v>
      </x:c>
      <x:c r="B1026" s="2" t="str">
        <x:v>T20261008-4-1</x:v>
      </x:c>
      <x:c r="C1026" s="7" t="n">
        <x:v>46303</x:v>
      </x:c>
      <x:c r="D1026" s="2" t="str">
        <x:v>BUS001</x:v>
      </x:c>
      <x:c r="E1026" s="2" t="str">
        <x:v>ST025</x:v>
      </x:c>
      <x:c r="F1026" s="2" t="n">
        <x:v>2</x:v>
      </x:c>
      <x:c r="G1026" s="2" t="str">
        <x:v>Junior</x:v>
      </x:c>
      <x:c r="H1026" s="2" t="str">
        <x:v>Drop-off</x:v>
      </x:c>
      <x:c r="I1026" s="2" t="str">
        <x:v>R1S1</x:v>
      </x:c>
      <x:c r="J1026" s="2" t="str">
        <x:v>EV002043</x:v>
      </x:c>
      <x:c r="K1026" s="8" t="n">
        <x:v>46303.604305555564</x:v>
      </x:c>
      <x:c r="L1026" s="2" t="str">
        <x:v>SCH01</x:v>
      </x:c>
      <x:c r="M1026" s="9" t="n">
        <x:v>25.285</x:v>
      </x:c>
      <x:c r="N1026" s="9" t="n">
        <x:v>51.51</x:v>
      </x:c>
      <x:c r="O1026" s="2" t="str">
        <x:v>Valid</x:v>
      </x:c>
      <x:c r="P1026" s="2" t="str">
        <x:v>EV002044</x:v>
      </x:c>
      <x:c r="Q1026" s="8" t="n">
        <x:v>46303.618888888894</x:v>
      </x:c>
      <x:c r="R1026" s="2" t="str">
        <x:v>R1S1</x:v>
      </x:c>
      <x:c r="S1026" s="9" t="n">
        <x:v>25.271</x:v>
      </x:c>
      <x:c r="T1026" s="9" t="n">
        <x:v>51.491</x:v>
      </x:c>
      <x:c r="U1026" s="2" t="str">
        <x:v>G025</x:v>
      </x:c>
      <x:c r="V1026" s="2" t="str">
        <x:v>Authorized guardian release</x:v>
      </x:c>
      <x:c r="W1026" s="2" t="str">
        <x:v>Completed transport</x:v>
      </x:c>
      <x:c r="X1026" s="2" t="str">
        <x:v>QR</x:v>
      </x:c>
      <x:c r="Y1026" s="2" t="str">
        <x:v>Online</x:v>
      </x:c>
      <x:c r="Z1026" s="2" t="str">
        <x:v>Synced</x:v>
      </x:c>
      <x:c r="AA1026" s="2"/>
      <x:c r="AB1026" s="2"/>
      <x:c r="AC1026" s="10" t="n">
        <x:f>IF(OR(K1026="",Q1026=""),"",ROUND((Q1026-K1026)*1440,2))</x:f>
        <x:v>21</x:v>
      </x:c>
    </x:row>
    <x:row r="1027" ht="21" customHeight="1">
      <x:c r="A1027" s="2" t="str">
        <x:v>LN01026</x:v>
      </x:c>
      <x:c r="B1027" s="2" t="str">
        <x:v>T20261008-4-1</x:v>
      </x:c>
      <x:c r="C1027" s="7" t="n">
        <x:v>46303</x:v>
      </x:c>
      <x:c r="D1027" s="2" t="str">
        <x:v>BUS001</x:v>
      </x:c>
      <x:c r="E1027" s="2" t="str">
        <x:v>ST026</x:v>
      </x:c>
      <x:c r="F1027" s="2" t="n">
        <x:v>2</x:v>
      </x:c>
      <x:c r="G1027" s="2" t="str">
        <x:v>Junior</x:v>
      </x:c>
      <x:c r="H1027" s="2" t="str">
        <x:v>Drop-off</x:v>
      </x:c>
      <x:c r="I1027" s="2" t="str">
        <x:v>R1S2</x:v>
      </x:c>
      <x:c r="J1027" s="2" t="str">
        <x:v>EV002045</x:v>
      </x:c>
      <x:c r="K1027" s="8" t="n">
        <x:v>46303.60434027778</x:v>
      </x:c>
      <x:c r="L1027" s="2" t="str">
        <x:v>SCH01</x:v>
      </x:c>
      <x:c r="M1027" s="9" t="n">
        <x:v>25.285</x:v>
      </x:c>
      <x:c r="N1027" s="9" t="n">
        <x:v>51.51</x:v>
      </x:c>
      <x:c r="O1027" s="2" t="str">
        <x:v>Valid</x:v>
      </x:c>
      <x:c r="P1027" s="2" t="str">
        <x:v>EV002046</x:v>
      </x:c>
      <x:c r="Q1027" s="8" t="n">
        <x:v>46303.623090277775</x:v>
      </x:c>
      <x:c r="R1027" s="2" t="str">
        <x:v>R1S2</x:v>
      </x:c>
      <x:c r="S1027" s="9" t="n">
        <x:v>25.273000000000003</x:v>
      </x:c>
      <x:c r="T1027" s="9" t="n">
        <x:v>51.494</x:v>
      </x:c>
      <x:c r="U1027" s="2" t="str">
        <x:v>G026</x:v>
      </x:c>
      <x:c r="V1027" s="2" t="str">
        <x:v>Authorized guardian release</x:v>
      </x:c>
      <x:c r="W1027" s="2" t="str">
        <x:v>Completed transport</x:v>
      </x:c>
      <x:c r="X1027" s="2" t="str">
        <x:v>QR</x:v>
      </x:c>
      <x:c r="Y1027" s="2" t="str">
        <x:v>Online</x:v>
      </x:c>
      <x:c r="Z1027" s="2" t="str">
        <x:v>Synced</x:v>
      </x:c>
      <x:c r="AA1027" s="2"/>
      <x:c r="AB1027" s="2"/>
      <x:c r="AC1027" s="10" t="n">
        <x:f>IF(OR(K1027="",Q1027=""),"",ROUND((Q1027-K1027)*1440,2))</x:f>
        <x:v>27</x:v>
      </x:c>
    </x:row>
    <x:row r="1028" ht="21" customHeight="1">
      <x:c r="A1028" s="2" t="str">
        <x:v>LN01027</x:v>
      </x:c>
      <x:c r="B1028" s="2" t="str">
        <x:v>T20261008-4-1</x:v>
      </x:c>
      <x:c r="C1028" s="7" t="n">
        <x:v>46303</x:v>
      </x:c>
      <x:c r="D1028" s="2" t="str">
        <x:v>BUS001</x:v>
      </x:c>
      <x:c r="E1028" s="2" t="str">
        <x:v>ST027</x:v>
      </x:c>
      <x:c r="F1028" s="2" t="n">
        <x:v>2</x:v>
      </x:c>
      <x:c r="G1028" s="2" t="str">
        <x:v>Junior</x:v>
      </x:c>
      <x:c r="H1028" s="2" t="str">
        <x:v>Drop-off</x:v>
      </x:c>
      <x:c r="I1028" s="2" t="str">
        <x:v>R1S3</x:v>
      </x:c>
      <x:c r="J1028" s="2" t="str">
        <x:v>EV002047</x:v>
      </x:c>
      <x:c r="K1028" s="8" t="n">
        <x:v>46303.604375</x:v>
      </x:c>
      <x:c r="L1028" s="2" t="str">
        <x:v>SCH01</x:v>
      </x:c>
      <x:c r="M1028" s="9" t="n">
        <x:v>25.285</x:v>
      </x:c>
      <x:c r="N1028" s="9" t="n">
        <x:v>51.51</x:v>
      </x:c>
      <x:c r="O1028" s="2" t="str">
        <x:v>Valid</x:v>
      </x:c>
      <x:c r="P1028" s="2" t="str">
        <x:v>EV002048</x:v>
      </x:c>
      <x:c r="Q1028" s="8" t="n">
        <x:v>46303.627291666664</x:v>
      </x:c>
      <x:c r="R1028" s="2" t="str">
        <x:v>R1S3</x:v>
      </x:c>
      <x:c r="S1028" s="9" t="n">
        <x:v>25.275000000000002</x:v>
      </x:c>
      <x:c r="T1028" s="9" t="n">
        <x:v>51.497</x:v>
      </x:c>
      <x:c r="U1028" s="2" t="str">
        <x:v>G027</x:v>
      </x:c>
      <x:c r="V1028" s="2" t="str">
        <x:v>Authorized guardian release</x:v>
      </x:c>
      <x:c r="W1028" s="2" t="str">
        <x:v>Completed transport</x:v>
      </x:c>
      <x:c r="X1028" s="2" t="str">
        <x:v>QR</x:v>
      </x:c>
      <x:c r="Y1028" s="2" t="str">
        <x:v>Online</x:v>
      </x:c>
      <x:c r="Z1028" s="2" t="str">
        <x:v>Synced</x:v>
      </x:c>
      <x:c r="AA1028" s="2"/>
      <x:c r="AB1028" s="2"/>
      <x:c r="AC1028" s="10" t="n">
        <x:f>IF(OR(K1028="",Q1028=""),"",ROUND((Q1028-K1028)*1440,2))</x:f>
        <x:v>33</x:v>
      </x:c>
    </x:row>
    <x:row r="1029" ht="21" customHeight="1">
      <x:c r="A1029" s="2" t="str">
        <x:v>LN01028</x:v>
      </x:c>
      <x:c r="B1029" s="2" t="str">
        <x:v>T20261008-4-1</x:v>
      </x:c>
      <x:c r="C1029" s="7" t="n">
        <x:v>46303</x:v>
      </x:c>
      <x:c r="D1029" s="2" t="str">
        <x:v>BUS001</x:v>
      </x:c>
      <x:c r="E1029" s="2" t="str">
        <x:v>ST028</x:v>
      </x:c>
      <x:c r="F1029" s="2" t="n">
        <x:v>2</x:v>
      </x:c>
      <x:c r="G1029" s="2" t="str">
        <x:v>Junior</x:v>
      </x:c>
      <x:c r="H1029" s="2" t="str">
        <x:v>Drop-off</x:v>
      </x:c>
      <x:c r="I1029" s="2" t="str">
        <x:v>R1S1</x:v>
      </x:c>
      <x:c r="J1029" s="2" t="str">
        <x:v>EV002049</x:v>
      </x:c>
      <x:c r="K1029" s="8" t="n">
        <x:v>46303.604409722226</x:v>
      </x:c>
      <x:c r="L1029" s="2" t="str">
        <x:v>SCH01</x:v>
      </x:c>
      <x:c r="M1029" s="9" t="n">
        <x:v>25.285</x:v>
      </x:c>
      <x:c r="N1029" s="9" t="n">
        <x:v>51.51</x:v>
      </x:c>
      <x:c r="O1029" s="2" t="str">
        <x:v>Valid</x:v>
      </x:c>
      <x:c r="P1029" s="2" t="str">
        <x:v>EV002050</x:v>
      </x:c>
      <x:c r="Q1029" s="8" t="n">
        <x:v>46303.618993055556</x:v>
      </x:c>
      <x:c r="R1029" s="2" t="str">
        <x:v>R1S1</x:v>
      </x:c>
      <x:c r="S1029" s="9" t="n">
        <x:v>25.271</x:v>
      </x:c>
      <x:c r="T1029" s="9" t="n">
        <x:v>51.491</x:v>
      </x:c>
      <x:c r="U1029" s="2" t="str">
        <x:v>G028</x:v>
      </x:c>
      <x:c r="V1029" s="2" t="str">
        <x:v>Authorized guardian release</x:v>
      </x:c>
      <x:c r="W1029" s="2" t="str">
        <x:v>Completed transport</x:v>
      </x:c>
      <x:c r="X1029" s="2" t="str">
        <x:v>QR</x:v>
      </x:c>
      <x:c r="Y1029" s="2" t="str">
        <x:v>Online</x:v>
      </x:c>
      <x:c r="Z1029" s="2" t="str">
        <x:v>Synced</x:v>
      </x:c>
      <x:c r="AA1029" s="2"/>
      <x:c r="AB1029" s="2"/>
      <x:c r="AC1029" s="10" t="n">
        <x:f>IF(OR(K1029="",Q1029=""),"",ROUND((Q1029-K1029)*1440,2))</x:f>
        <x:v>21</x:v>
      </x:c>
    </x:row>
    <x:row r="1030" ht="21" customHeight="1">
      <x:c r="A1030" s="2" t="str">
        <x:v>LN01029</x:v>
      </x:c>
      <x:c r="B1030" s="2" t="str">
        <x:v>T20261008-4-1</x:v>
      </x:c>
      <x:c r="C1030" s="7" t="n">
        <x:v>46303</x:v>
      </x:c>
      <x:c r="D1030" s="2" t="str">
        <x:v>BUS001</x:v>
      </x:c>
      <x:c r="E1030" s="2" t="str">
        <x:v>ST029</x:v>
      </x:c>
      <x:c r="F1030" s="2" t="n">
        <x:v>2</x:v>
      </x:c>
      <x:c r="G1030" s="2" t="str">
        <x:v>Junior</x:v>
      </x:c>
      <x:c r="H1030" s="2" t="str">
        <x:v>Drop-off</x:v>
      </x:c>
      <x:c r="I1030" s="2" t="str">
        <x:v>R1S2</x:v>
      </x:c>
      <x:c r="J1030" s="2" t="str">
        <x:v>EV002051</x:v>
      </x:c>
      <x:c r="K1030" s="8" t="n">
        <x:v>46303.60444444445</x:v>
      </x:c>
      <x:c r="L1030" s="2" t="str">
        <x:v>SCH01</x:v>
      </x:c>
      <x:c r="M1030" s="9" t="n">
        <x:v>25.285</x:v>
      </x:c>
      <x:c r="N1030" s="9" t="n">
        <x:v>51.51</x:v>
      </x:c>
      <x:c r="O1030" s="2" t="str">
        <x:v>Valid</x:v>
      </x:c>
      <x:c r="P1030" s="2" t="str">
        <x:v>EV002052</x:v>
      </x:c>
      <x:c r="Q1030" s="8" t="n">
        <x:v>46303.623194444444</x:v>
      </x:c>
      <x:c r="R1030" s="2" t="str">
        <x:v>R1S2</x:v>
      </x:c>
      <x:c r="S1030" s="9" t="n">
        <x:v>25.273000000000003</x:v>
      </x:c>
      <x:c r="T1030" s="9" t="n">
        <x:v>51.494</x:v>
      </x:c>
      <x:c r="U1030" s="2" t="str">
        <x:v>G029</x:v>
      </x:c>
      <x:c r="V1030" s="2" t="str">
        <x:v>Authorized guardian release</x:v>
      </x:c>
      <x:c r="W1030" s="2" t="str">
        <x:v>Completed transport</x:v>
      </x:c>
      <x:c r="X1030" s="2" t="str">
        <x:v>QR</x:v>
      </x:c>
      <x:c r="Y1030" s="2" t="str">
        <x:v>Online</x:v>
      </x:c>
      <x:c r="Z1030" s="2" t="str">
        <x:v>Synced</x:v>
      </x:c>
      <x:c r="AA1030" s="2"/>
      <x:c r="AB1030" s="2"/>
      <x:c r="AC1030" s="10" t="n">
        <x:f>IF(OR(K1030="",Q1030=""),"",ROUND((Q1030-K1030)*1440,2))</x:f>
        <x:v>27</x:v>
      </x:c>
    </x:row>
    <x:row r="1031" ht="21" customHeight="1">
      <x:c r="A1031" s="2" t="str">
        <x:v>LN01030</x:v>
      </x:c>
      <x:c r="B1031" s="2" t="str">
        <x:v>T20261008-4-1</x:v>
      </x:c>
      <x:c r="C1031" s="7" t="n">
        <x:v>46303</x:v>
      </x:c>
      <x:c r="D1031" s="2" t="str">
        <x:v>BUS001</x:v>
      </x:c>
      <x:c r="E1031" s="2" t="str">
        <x:v>ST030</x:v>
      </x:c>
      <x:c r="F1031" s="2" t="n">
        <x:v>2</x:v>
      </x:c>
      <x:c r="G1031" s="2" t="str">
        <x:v>Junior</x:v>
      </x:c>
      <x:c r="H1031" s="2" t="str">
        <x:v>Drop-off</x:v>
      </x:c>
      <x:c r="I1031" s="2" t="str">
        <x:v>R1S3</x:v>
      </x:c>
      <x:c r="J1031" s="2" t="str">
        <x:v>EV002053</x:v>
      </x:c>
      <x:c r="K1031" s="8" t="n">
        <x:v>46303.60447916667</x:v>
      </x:c>
      <x:c r="L1031" s="2" t="str">
        <x:v>SCH01</x:v>
      </x:c>
      <x:c r="M1031" s="9" t="n">
        <x:v>25.285</x:v>
      </x:c>
      <x:c r="N1031" s="9" t="n">
        <x:v>51.51</x:v>
      </x:c>
      <x:c r="O1031" s="2" t="str">
        <x:v>Valid</x:v>
      </x:c>
      <x:c r="P1031" s="2" t="str">
        <x:v>EV002054</x:v>
      </x:c>
      <x:c r="Q1031" s="8" t="n">
        <x:v>46303.62739583333</x:v>
      </x:c>
      <x:c r="R1031" s="2" t="str">
        <x:v>R1S3</x:v>
      </x:c>
      <x:c r="S1031" s="9" t="n">
        <x:v>25.275000000000002</x:v>
      </x:c>
      <x:c r="T1031" s="9" t="n">
        <x:v>51.497</x:v>
      </x:c>
      <x:c r="U1031" s="2" t="str">
        <x:v>G030</x:v>
      </x:c>
      <x:c r="V1031" s="2" t="str">
        <x:v>Authorized guardian release</x:v>
      </x:c>
      <x:c r="W1031" s="2" t="str">
        <x:v>Completed transport</x:v>
      </x:c>
      <x:c r="X1031" s="2" t="str">
        <x:v>QR</x:v>
      </x:c>
      <x:c r="Y1031" s="2" t="str">
        <x:v>Online</x:v>
      </x:c>
      <x:c r="Z1031" s="2" t="str">
        <x:v>Synced</x:v>
      </x:c>
      <x:c r="AA1031" s="2"/>
      <x:c r="AB1031" s="2"/>
      <x:c r="AC1031" s="10" t="n">
        <x:f>IF(OR(K1031="",Q1031=""),"",ROUND((Q1031-K1031)*1440,2))</x:f>
        <x:v>33</x:v>
      </x:c>
    </x:row>
    <x:row r="1032" ht="21" customHeight="1">
      <x:c r="A1032" s="2" t="str">
        <x:v>LN01031</x:v>
      </x:c>
      <x:c r="B1032" s="2" t="str">
        <x:v>T20261008-5-1</x:v>
      </x:c>
      <x:c r="C1032" s="7" t="n">
        <x:v>46303</x:v>
      </x:c>
      <x:c r="D1032" s="2" t="str">
        <x:v>BUS001</x:v>
      </x:c>
      <x:c r="E1032" s="2" t="str">
        <x:v>ST031</x:v>
      </x:c>
      <x:c r="F1032" s="2" t="n">
        <x:v>2</x:v>
      </x:c>
      <x:c r="G1032" s="2" t="str">
        <x:v>Senior</x:v>
      </x:c>
      <x:c r="H1032" s="2" t="str">
        <x:v>Drop-off</x:v>
      </x:c>
      <x:c r="I1032" s="2" t="str">
        <x:v>R1S1</x:v>
      </x:c>
      <x:c r="J1032" s="2" t="str">
        <x:v>EV002055</x:v>
      </x:c>
      <x:c r="K1032" s="8" t="n">
        <x:v>46303.70833333333</x:v>
      </x:c>
      <x:c r="L1032" s="2" t="str">
        <x:v>SCH01</x:v>
      </x:c>
      <x:c r="M1032" s="9" t="n">
        <x:v>25.285</x:v>
      </x:c>
      <x:c r="N1032" s="9" t="n">
        <x:v>51.51</x:v>
      </x:c>
      <x:c r="O1032" s="2" t="str">
        <x:v>Valid</x:v>
      </x:c>
      <x:c r="P1032" s="2" t="str">
        <x:v>EV002056</x:v>
      </x:c>
      <x:c r="Q1032" s="8" t="n">
        <x:v>46303.72361111111</x:v>
      </x:c>
      <x:c r="R1032" s="2" t="str">
        <x:v>R1S1</x:v>
      </x:c>
      <x:c r="S1032" s="9" t="n">
        <x:v>25.271</x:v>
      </x:c>
      <x:c r="T1032" s="9" t="n">
        <x:v>51.491</x:v>
      </x:c>
      <x:c r="U1032" s="2" t="str">
        <x:v>G031</x:v>
      </x:c>
      <x:c r="V1032" s="2" t="str">
        <x:v>Authorized guardian release</x:v>
      </x:c>
      <x:c r="W1032" s="2" t="str">
        <x:v>Completed transport</x:v>
      </x:c>
      <x:c r="X1032" s="2" t="str">
        <x:v>QR</x:v>
      </x:c>
      <x:c r="Y1032" s="2" t="str">
        <x:v>Online</x:v>
      </x:c>
      <x:c r="Z1032" s="2" t="str">
        <x:v>Synced</x:v>
      </x:c>
      <x:c r="AA1032" s="2"/>
      <x:c r="AB1032" s="2"/>
      <x:c r="AC1032" s="10" t="n">
        <x:f>IF(OR(K1032="",Q1032=""),"",ROUND((Q1032-K1032)*1440,2))</x:f>
        <x:v>22</x:v>
      </x:c>
    </x:row>
    <x:row r="1033" ht="21" customHeight="1">
      <x:c r="A1033" s="2" t="str">
        <x:v>LN01032</x:v>
      </x:c>
      <x:c r="B1033" s="2" t="str">
        <x:v>T20261008-5-1</x:v>
      </x:c>
      <x:c r="C1033" s="7" t="n">
        <x:v>46303</x:v>
      </x:c>
      <x:c r="D1033" s="2" t="str">
        <x:v>BUS001</x:v>
      </x:c>
      <x:c r="E1033" s="2" t="str">
        <x:v>ST032</x:v>
      </x:c>
      <x:c r="F1033" s="2" t="n">
        <x:v>2</x:v>
      </x:c>
      <x:c r="G1033" s="2" t="str">
        <x:v>Senior</x:v>
      </x:c>
      <x:c r="H1033" s="2" t="str">
        <x:v>Drop-off</x:v>
      </x:c>
      <x:c r="I1033" s="2" t="str">
        <x:v>R1S2</x:v>
      </x:c>
      <x:c r="J1033" s="2" t="str">
        <x:v>EV002057</x:v>
      </x:c>
      <x:c r="K1033" s="8" t="n">
        <x:v>46303.70836805555</x:v>
      </x:c>
      <x:c r="L1033" s="2" t="str">
        <x:v>SCH01</x:v>
      </x:c>
      <x:c r="M1033" s="9" t="n">
        <x:v>25.285</x:v>
      </x:c>
      <x:c r="N1033" s="9" t="n">
        <x:v>51.51</x:v>
      </x:c>
      <x:c r="O1033" s="2" t="str">
        <x:v>Valid</x:v>
      </x:c>
      <x:c r="P1033" s="2" t="str">
        <x:v>EV002058</x:v>
      </x:c>
      <x:c r="Q1033" s="8" t="n">
        <x:v>46303.72850694445</x:v>
      </x:c>
      <x:c r="R1033" s="2" t="str">
        <x:v>R1S2</x:v>
      </x:c>
      <x:c r="S1033" s="9" t="n">
        <x:v>25.273000000000003</x:v>
      </x:c>
      <x:c r="T1033" s="9" t="n">
        <x:v>51.494</x:v>
      </x:c>
      <x:c r="U1033" s="2" t="str">
        <x:v>G032</x:v>
      </x:c>
      <x:c r="V1033" s="2" t="str">
        <x:v>Authorized guardian release</x:v>
      </x:c>
      <x:c r="W1033" s="2" t="str">
        <x:v>Completed transport</x:v>
      </x:c>
      <x:c r="X1033" s="2" t="str">
        <x:v>QR</x:v>
      </x:c>
      <x:c r="Y1033" s="2" t="str">
        <x:v>Online</x:v>
      </x:c>
      <x:c r="Z1033" s="2" t="str">
        <x:v>Synced</x:v>
      </x:c>
      <x:c r="AA1033" s="2"/>
      <x:c r="AB1033" s="2"/>
      <x:c r="AC1033" s="10" t="n">
        <x:f>IF(OR(K1033="",Q1033=""),"",ROUND((Q1033-K1033)*1440,2))</x:f>
        <x:v>29</x:v>
      </x:c>
    </x:row>
    <x:row r="1034" ht="21" customHeight="1">
      <x:c r="A1034" s="2" t="str">
        <x:v>LN01033</x:v>
      </x:c>
      <x:c r="B1034" s="2" t="str">
        <x:v>T20261008-5-1</x:v>
      </x:c>
      <x:c r="C1034" s="7" t="n">
        <x:v>46303</x:v>
      </x:c>
      <x:c r="D1034" s="2" t="str">
        <x:v>BUS001</x:v>
      </x:c>
      <x:c r="E1034" s="2" t="str">
        <x:v>ST033</x:v>
      </x:c>
      <x:c r="F1034" s="2" t="n">
        <x:v>2</x:v>
      </x:c>
      <x:c r="G1034" s="2" t="str">
        <x:v>Senior</x:v>
      </x:c>
      <x:c r="H1034" s="2" t="str">
        <x:v>Drop-off</x:v>
      </x:c>
      <x:c r="I1034" s="2" t="str">
        <x:v>R1S3</x:v>
      </x:c>
      <x:c r="J1034" s="2" t="str">
        <x:v>EV002059</x:v>
      </x:c>
      <x:c r="K1034" s="8" t="n">
        <x:v>46303.708402777775</x:v>
      </x:c>
      <x:c r="L1034" s="2" t="str">
        <x:v>SCH01</x:v>
      </x:c>
      <x:c r="M1034" s="9" t="n">
        <x:v>25.285</x:v>
      </x:c>
      <x:c r="N1034" s="9" t="n">
        <x:v>51.51</x:v>
      </x:c>
      <x:c r="O1034" s="2" t="str">
        <x:v>Valid</x:v>
      </x:c>
      <x:c r="P1034" s="2" t="str">
        <x:v>EV002060</x:v>
      </x:c>
      <x:c r="Q1034" s="8" t="n">
        <x:v>46303.73340277778</x:v>
      </x:c>
      <x:c r="R1034" s="2" t="str">
        <x:v>R1S3</x:v>
      </x:c>
      <x:c r="S1034" s="9" t="n">
        <x:v>25.275000000000002</x:v>
      </x:c>
      <x:c r="T1034" s="9" t="n">
        <x:v>51.497</x:v>
      </x:c>
      <x:c r="U1034" s="2" t="str">
        <x:v>G033</x:v>
      </x:c>
      <x:c r="V1034" s="2" t="str">
        <x:v>Authorized guardian release</x:v>
      </x:c>
      <x:c r="W1034" s="2" t="str">
        <x:v>Completed transport</x:v>
      </x:c>
      <x:c r="X1034" s="2" t="str">
        <x:v>QR</x:v>
      </x:c>
      <x:c r="Y1034" s="2" t="str">
        <x:v>Online</x:v>
      </x:c>
      <x:c r="Z1034" s="2" t="str">
        <x:v>Synced</x:v>
      </x:c>
      <x:c r="AA1034" s="2"/>
      <x:c r="AB1034" s="2"/>
      <x:c r="AC1034" s="10" t="n">
        <x:f>IF(OR(K1034="",Q1034=""),"",ROUND((Q1034-K1034)*1440,2))</x:f>
        <x:v>36</x:v>
      </x:c>
    </x:row>
    <x:row r="1035" ht="21" customHeight="1">
      <x:c r="A1035" s="2" t="str">
        <x:v>LN01034</x:v>
      </x:c>
      <x:c r="B1035" s="2" t="str">
        <x:v>T20261008-5-1</x:v>
      </x:c>
      <x:c r="C1035" s="7" t="n">
        <x:v>46303</x:v>
      </x:c>
      <x:c r="D1035" s="2" t="str">
        <x:v>BUS001</x:v>
      </x:c>
      <x:c r="E1035" s="2" t="str">
        <x:v>ST034</x:v>
      </x:c>
      <x:c r="F1035" s="2" t="n">
        <x:v>2</x:v>
      </x:c>
      <x:c r="G1035" s="2" t="str">
        <x:v>Senior</x:v>
      </x:c>
      <x:c r="H1035" s="2" t="str">
        <x:v>Drop-off</x:v>
      </x:c>
      <x:c r="I1035" s="2" t="str">
        <x:v>R1S1</x:v>
      </x:c>
      <x:c r="J1035" s="2" t="str">
        <x:v>EV002061</x:v>
      </x:c>
      <x:c r="K1035" s="8" t="n">
        <x:v>46303.7084375</x:v>
      </x:c>
      <x:c r="L1035" s="2" t="str">
        <x:v>SCH01</x:v>
      </x:c>
      <x:c r="M1035" s="9" t="n">
        <x:v>25.285</x:v>
      </x:c>
      <x:c r="N1035" s="9" t="n">
        <x:v>51.51</x:v>
      </x:c>
      <x:c r="O1035" s="2" t="str">
        <x:v>Valid</x:v>
      </x:c>
      <x:c r="P1035" s="2" t="str">
        <x:v>EV002062</x:v>
      </x:c>
      <x:c r="Q1035" s="8" t="n">
        <x:v>46303.72371527778</x:v>
      </x:c>
      <x:c r="R1035" s="2" t="str">
        <x:v>R1S1</x:v>
      </x:c>
      <x:c r="S1035" s="9" t="n">
        <x:v>25.271</x:v>
      </x:c>
      <x:c r="T1035" s="9" t="n">
        <x:v>51.491</x:v>
      </x:c>
      <x:c r="U1035" s="2" t="str">
        <x:v>G034</x:v>
      </x:c>
      <x:c r="V1035" s="2" t="str">
        <x:v>Authorized guardian release</x:v>
      </x:c>
      <x:c r="W1035" s="2" t="str">
        <x:v>Completed transport</x:v>
      </x:c>
      <x:c r="X1035" s="2" t="str">
        <x:v>QR</x:v>
      </x:c>
      <x:c r="Y1035" s="2" t="str">
        <x:v>Online</x:v>
      </x:c>
      <x:c r="Z1035" s="2" t="str">
        <x:v>Synced</x:v>
      </x:c>
      <x:c r="AA1035" s="2"/>
      <x:c r="AB1035" s="2"/>
      <x:c r="AC1035" s="10" t="n">
        <x:f>IF(OR(K1035="",Q1035=""),"",ROUND((Q1035-K1035)*1440,2))</x:f>
        <x:v>22</x:v>
      </x:c>
    </x:row>
    <x:row r="1036" ht="21" customHeight="1">
      <x:c r="A1036" s="2" t="str">
        <x:v>LN01035</x:v>
      </x:c>
      <x:c r="B1036" s="2" t="str">
        <x:v>T20261008-5-1</x:v>
      </x:c>
      <x:c r="C1036" s="7" t="n">
        <x:v>46303</x:v>
      </x:c>
      <x:c r="D1036" s="2" t="str">
        <x:v>BUS001</x:v>
      </x:c>
      <x:c r="E1036" s="2" t="str">
        <x:v>ST035</x:v>
      </x:c>
      <x:c r="F1036" s="2" t="n">
        <x:v>2</x:v>
      </x:c>
      <x:c r="G1036" s="2" t="str">
        <x:v>Senior</x:v>
      </x:c>
      <x:c r="H1036" s="2" t="str">
        <x:v>Drop-off</x:v>
      </x:c>
      <x:c r="I1036" s="2" t="str">
        <x:v>R1S2</x:v>
      </x:c>
      <x:c r="J1036" s="2" t="str">
        <x:v>EV002063</x:v>
      </x:c>
      <x:c r="K1036" s="8" t="n">
        <x:v>46303.70847222222</x:v>
      </x:c>
      <x:c r="L1036" s="2" t="str">
        <x:v>SCH01</x:v>
      </x:c>
      <x:c r="M1036" s="9" t="n">
        <x:v>25.285</x:v>
      </x:c>
      <x:c r="N1036" s="9" t="n">
        <x:v>51.51</x:v>
      </x:c>
      <x:c r="O1036" s="2" t="str">
        <x:v>Valid</x:v>
      </x:c>
      <x:c r="P1036" s="2" t="str">
        <x:v>EV002064</x:v>
      </x:c>
      <x:c r="Q1036" s="8" t="n">
        <x:v>46303.72861111112</x:v>
      </x:c>
      <x:c r="R1036" s="2" t="str">
        <x:v>R1S2</x:v>
      </x:c>
      <x:c r="S1036" s="9" t="n">
        <x:v>25.273000000000003</x:v>
      </x:c>
      <x:c r="T1036" s="9" t="n">
        <x:v>51.494</x:v>
      </x:c>
      <x:c r="U1036" s="2" t="str">
        <x:v>G035</x:v>
      </x:c>
      <x:c r="V1036" s="2" t="str">
        <x:v>Authorized guardian release</x:v>
      </x:c>
      <x:c r="W1036" s="2" t="str">
        <x:v>Completed transport</x:v>
      </x:c>
      <x:c r="X1036" s="2" t="str">
        <x:v>QR</x:v>
      </x:c>
      <x:c r="Y1036" s="2" t="str">
        <x:v>Online</x:v>
      </x:c>
      <x:c r="Z1036" s="2" t="str">
        <x:v>Synced</x:v>
      </x:c>
      <x:c r="AA1036" s="2"/>
      <x:c r="AB1036" s="2"/>
      <x:c r="AC1036" s="10" t="n">
        <x:f>IF(OR(K1036="",Q1036=""),"",ROUND((Q1036-K1036)*1440,2))</x:f>
        <x:v>29</x:v>
      </x:c>
    </x:row>
    <x:row r="1037" ht="21" customHeight="1">
      <x:c r="A1037" s="2" t="str">
        <x:v>LN01036</x:v>
      </x:c>
      <x:c r="B1037" s="2" t="str">
        <x:v>T20261008-5-1</x:v>
      </x:c>
      <x:c r="C1037" s="7" t="n">
        <x:v>46303</x:v>
      </x:c>
      <x:c r="D1037" s="2" t="str">
        <x:v>BUS001</x:v>
      </x:c>
      <x:c r="E1037" s="2" t="str">
        <x:v>ST036</x:v>
      </x:c>
      <x:c r="F1037" s="2" t="n">
        <x:v>2</x:v>
      </x:c>
      <x:c r="G1037" s="2" t="str">
        <x:v>Senior</x:v>
      </x:c>
      <x:c r="H1037" s="2" t="str">
        <x:v>Drop-off</x:v>
      </x:c>
      <x:c r="I1037" s="2" t="str">
        <x:v>R1S3</x:v>
      </x:c>
      <x:c r="J1037" s="2" t="str">
        <x:v>EV002065</x:v>
      </x:c>
      <x:c r="K1037" s="8" t="n">
        <x:v>46303.70850694444</x:v>
      </x:c>
      <x:c r="L1037" s="2" t="str">
        <x:v>SCH01</x:v>
      </x:c>
      <x:c r="M1037" s="9" t="n">
        <x:v>25.285</x:v>
      </x:c>
      <x:c r="N1037" s="9" t="n">
        <x:v>51.51</x:v>
      </x:c>
      <x:c r="O1037" s="2" t="str">
        <x:v>Valid</x:v>
      </x:c>
      <x:c r="P1037" s="2" t="str">
        <x:v>EV002066</x:v>
      </x:c>
      <x:c r="Q1037" s="8" t="n">
        <x:v>46303.733506944445</x:v>
      </x:c>
      <x:c r="R1037" s="2" t="str">
        <x:v>R1S3</x:v>
      </x:c>
      <x:c r="S1037" s="9" t="n">
        <x:v>25.275000000000002</x:v>
      </x:c>
      <x:c r="T1037" s="9" t="n">
        <x:v>51.497</x:v>
      </x:c>
      <x:c r="U1037" s="2" t="str">
        <x:v>G036</x:v>
      </x:c>
      <x:c r="V1037" s="2" t="str">
        <x:v>Authorized guardian release</x:v>
      </x:c>
      <x:c r="W1037" s="2" t="str">
        <x:v>Completed transport</x:v>
      </x:c>
      <x:c r="X1037" s="2" t="str">
        <x:v>QR</x:v>
      </x:c>
      <x:c r="Y1037" s="2" t="str">
        <x:v>Online</x:v>
      </x:c>
      <x:c r="Z1037" s="2" t="str">
        <x:v>Synced</x:v>
      </x:c>
      <x:c r="AA1037" s="2"/>
      <x:c r="AB1037" s="2"/>
      <x:c r="AC1037" s="10" t="n">
        <x:f>IF(OR(K1037="",Q1037=""),"",ROUND((Q1037-K1037)*1440,2))</x:f>
        <x:v>36</x:v>
      </x:c>
    </x:row>
    <x:row r="1038" ht="21" customHeight="1">
      <x:c r="A1038" s="2" t="str">
        <x:v>LN01037</x:v>
      </x:c>
      <x:c r="B1038" s="2" t="str">
        <x:v>T20261008-5-1</x:v>
      </x:c>
      <x:c r="C1038" s="7" t="n">
        <x:v>46303</x:v>
      </x:c>
      <x:c r="D1038" s="2" t="str">
        <x:v>BUS001</x:v>
      </x:c>
      <x:c r="E1038" s="2" t="str">
        <x:v>ST037</x:v>
      </x:c>
      <x:c r="F1038" s="2" t="n">
        <x:v>2</x:v>
      </x:c>
      <x:c r="G1038" s="2" t="str">
        <x:v>Senior</x:v>
      </x:c>
      <x:c r="H1038" s="2" t="str">
        <x:v>Drop-off</x:v>
      </x:c>
      <x:c r="I1038" s="2" t="str">
        <x:v>R1S1</x:v>
      </x:c>
      <x:c r="J1038" s="2" t="str">
        <x:v>EV002067</x:v>
      </x:c>
      <x:c r="K1038" s="8" t="n">
        <x:v>46303.70854166666</x:v>
      </x:c>
      <x:c r="L1038" s="2" t="str">
        <x:v>SCH01</x:v>
      </x:c>
      <x:c r="M1038" s="9" t="n">
        <x:v>25.285</x:v>
      </x:c>
      <x:c r="N1038" s="9" t="n">
        <x:v>51.51</x:v>
      </x:c>
      <x:c r="O1038" s="2" t="str">
        <x:v>Valid</x:v>
      </x:c>
      <x:c r="P1038" s="2" t="str">
        <x:v>EV002068</x:v>
      </x:c>
      <x:c r="Q1038" s="8" t="n">
        <x:v>46303.72381944444</x:v>
      </x:c>
      <x:c r="R1038" s="2" t="str">
        <x:v>R1S1</x:v>
      </x:c>
      <x:c r="S1038" s="9" t="n">
        <x:v>25.271</x:v>
      </x:c>
      <x:c r="T1038" s="9" t="n">
        <x:v>51.491</x:v>
      </x:c>
      <x:c r="U1038" s="2" t="str">
        <x:v>G037</x:v>
      </x:c>
      <x:c r="V1038" s="2" t="str">
        <x:v>Authorized guardian release</x:v>
      </x:c>
      <x:c r="W1038" s="2" t="str">
        <x:v>Completed transport</x:v>
      </x:c>
      <x:c r="X1038" s="2" t="str">
        <x:v>QR</x:v>
      </x:c>
      <x:c r="Y1038" s="2" t="str">
        <x:v>Online</x:v>
      </x:c>
      <x:c r="Z1038" s="2" t="str">
        <x:v>Synced</x:v>
      </x:c>
      <x:c r="AA1038" s="2"/>
      <x:c r="AB1038" s="2"/>
      <x:c r="AC1038" s="10" t="n">
        <x:f>IF(OR(K1038="",Q1038=""),"",ROUND((Q1038-K1038)*1440,2))</x:f>
        <x:v>22</x:v>
      </x:c>
    </x:row>
    <x:row r="1039" ht="21" customHeight="1">
      <x:c r="A1039" s="2" t="str">
        <x:v>LN01038</x:v>
      </x:c>
      <x:c r="B1039" s="2" t="str">
        <x:v>T20261008-5-1</x:v>
      </x:c>
      <x:c r="C1039" s="7" t="n">
        <x:v>46303</x:v>
      </x:c>
      <x:c r="D1039" s="2" t="str">
        <x:v>BUS001</x:v>
      </x:c>
      <x:c r="E1039" s="2" t="str">
        <x:v>ST038</x:v>
      </x:c>
      <x:c r="F1039" s="2" t="n">
        <x:v>2</x:v>
      </x:c>
      <x:c r="G1039" s="2" t="str">
        <x:v>Senior</x:v>
      </x:c>
      <x:c r="H1039" s="2" t="str">
        <x:v>Drop-off</x:v>
      </x:c>
      <x:c r="I1039" s="2" t="str">
        <x:v>R1S2</x:v>
      </x:c>
      <x:c r="J1039" s="2" t="str">
        <x:v>EV002069</x:v>
      </x:c>
      <x:c r="K1039" s="8" t="n">
        <x:v>46303.70857638888</x:v>
      </x:c>
      <x:c r="L1039" s="2" t="str">
        <x:v>SCH01</x:v>
      </x:c>
      <x:c r="M1039" s="9" t="n">
        <x:v>25.285</x:v>
      </x:c>
      <x:c r="N1039" s="9" t="n">
        <x:v>51.51</x:v>
      </x:c>
      <x:c r="O1039" s="2" t="str">
        <x:v>Valid</x:v>
      </x:c>
      <x:c r="P1039" s="2" t="str">
        <x:v>EV002070</x:v>
      </x:c>
      <x:c r="Q1039" s="8" t="n">
        <x:v>46303.72871527778</x:v>
      </x:c>
      <x:c r="R1039" s="2" t="str">
        <x:v>R1S2</x:v>
      </x:c>
      <x:c r="S1039" s="9" t="n">
        <x:v>25.273000000000003</x:v>
      </x:c>
      <x:c r="T1039" s="9" t="n">
        <x:v>51.494</x:v>
      </x:c>
      <x:c r="U1039" s="2" t="str">
        <x:v>G038</x:v>
      </x:c>
      <x:c r="V1039" s="2" t="str">
        <x:v>Authorized guardian release</x:v>
      </x:c>
      <x:c r="W1039" s="2" t="str">
        <x:v>Completed transport</x:v>
      </x:c>
      <x:c r="X1039" s="2" t="str">
        <x:v>QR</x:v>
      </x:c>
      <x:c r="Y1039" s="2" t="str">
        <x:v>Online</x:v>
      </x:c>
      <x:c r="Z1039" s="2" t="str">
        <x:v>Synced</x:v>
      </x:c>
      <x:c r="AA1039" s="2"/>
      <x:c r="AB1039" s="2"/>
      <x:c r="AC1039" s="10" t="n">
        <x:f>IF(OR(K1039="",Q1039=""),"",ROUND((Q1039-K1039)*1440,2))</x:f>
        <x:v>29</x:v>
      </x:c>
    </x:row>
    <x:row r="1040" ht="21" customHeight="1">
      <x:c r="A1040" s="2" t="str">
        <x:v>LN01039</x:v>
      </x:c>
      <x:c r="B1040" s="2" t="str">
        <x:v>T20261008-5-1</x:v>
      </x:c>
      <x:c r="C1040" s="7" t="n">
        <x:v>46303</x:v>
      </x:c>
      <x:c r="D1040" s="2" t="str">
        <x:v>BUS001</x:v>
      </x:c>
      <x:c r="E1040" s="2" t="str">
        <x:v>ST039</x:v>
      </x:c>
      <x:c r="F1040" s="2" t="n">
        <x:v>2</x:v>
      </x:c>
      <x:c r="G1040" s="2" t="str">
        <x:v>Senior</x:v>
      </x:c>
      <x:c r="H1040" s="2" t="str">
        <x:v>Drop-off</x:v>
      </x:c>
      <x:c r="I1040" s="2" t="str">
        <x:v>R1S3</x:v>
      </x:c>
      <x:c r="J1040" s="2" t="str">
        <x:v>EV002071</x:v>
      </x:c>
      <x:c r="K1040" s="8" t="n">
        <x:v>46303.708611111106</x:v>
      </x:c>
      <x:c r="L1040" s="2" t="str">
        <x:v>SCH01</x:v>
      </x:c>
      <x:c r="M1040" s="9" t="n">
        <x:v>25.285</x:v>
      </x:c>
      <x:c r="N1040" s="9" t="n">
        <x:v>51.51</x:v>
      </x:c>
      <x:c r="O1040" s="2" t="str">
        <x:v>Valid</x:v>
      </x:c>
      <x:c r="P1040" s="2" t="str">
        <x:v>EV002072</x:v>
      </x:c>
      <x:c r="Q1040" s="8" t="n">
        <x:v>46303.733611111114</x:v>
      </x:c>
      <x:c r="R1040" s="2" t="str">
        <x:v>R1S3</x:v>
      </x:c>
      <x:c r="S1040" s="9" t="n">
        <x:v>25.275000000000002</x:v>
      </x:c>
      <x:c r="T1040" s="9" t="n">
        <x:v>51.497</x:v>
      </x:c>
      <x:c r="U1040" s="2" t="str">
        <x:v>G039</x:v>
      </x:c>
      <x:c r="V1040" s="2" t="str">
        <x:v>Authorized guardian release</x:v>
      </x:c>
      <x:c r="W1040" s="2" t="str">
        <x:v>Completed transport</x:v>
      </x:c>
      <x:c r="X1040" s="2" t="str">
        <x:v>QR</x:v>
      </x:c>
      <x:c r="Y1040" s="2" t="str">
        <x:v>Online</x:v>
      </x:c>
      <x:c r="Z1040" s="2" t="str">
        <x:v>Synced</x:v>
      </x:c>
      <x:c r="AA1040" s="2"/>
      <x:c r="AB1040" s="2"/>
      <x:c r="AC1040" s="10" t="n">
        <x:f>IF(OR(K1040="",Q1040=""),"",ROUND((Q1040-K1040)*1440,2))</x:f>
        <x:v>36</x:v>
      </x:c>
    </x:row>
    <x:row r="1041" ht="21" customHeight="1">
      <x:c r="A1041" s="2" t="str">
        <x:v>LN01040</x:v>
      </x:c>
      <x:c r="B1041" s="2" t="str">
        <x:v>T20261008-5-1</x:v>
      </x:c>
      <x:c r="C1041" s="7" t="n">
        <x:v>46303</x:v>
      </x:c>
      <x:c r="D1041" s="2" t="str">
        <x:v>BUS001</x:v>
      </x:c>
      <x:c r="E1041" s="2" t="str">
        <x:v>ST040</x:v>
      </x:c>
      <x:c r="F1041" s="2" t="n">
        <x:v>2</x:v>
      </x:c>
      <x:c r="G1041" s="2" t="str">
        <x:v>Senior</x:v>
      </x:c>
      <x:c r="H1041" s="2" t="str">
        <x:v>Drop-off</x:v>
      </x:c>
      <x:c r="I1041" s="2" t="str">
        <x:v>R1S1</x:v>
      </x:c>
      <x:c r="J1041" s="2" t="str">
        <x:v>EV002073</x:v>
      </x:c>
      <x:c r="K1041" s="8" t="n">
        <x:v>46303.70864583333</x:v>
      </x:c>
      <x:c r="L1041" s="2" t="str">
        <x:v>SCH01</x:v>
      </x:c>
      <x:c r="M1041" s="9" t="n">
        <x:v>25.285</x:v>
      </x:c>
      <x:c r="N1041" s="9" t="n">
        <x:v>51.51</x:v>
      </x:c>
      <x:c r="O1041" s="2" t="str">
        <x:v>Valid</x:v>
      </x:c>
      <x:c r="P1041" s="2" t="str">
        <x:v>EV002074</x:v>
      </x:c>
      <x:c r="Q1041" s="8" t="n">
        <x:v>46303.72392361111</x:v>
      </x:c>
      <x:c r="R1041" s="2" t="str">
        <x:v>R1S1</x:v>
      </x:c>
      <x:c r="S1041" s="9" t="n">
        <x:v>25.271</x:v>
      </x:c>
      <x:c r="T1041" s="9" t="n">
        <x:v>51.491</x:v>
      </x:c>
      <x:c r="U1041" s="2" t="str">
        <x:v>G040</x:v>
      </x:c>
      <x:c r="V1041" s="2" t="str">
        <x:v>Authorized guardian release</x:v>
      </x:c>
      <x:c r="W1041" s="2" t="str">
        <x:v>Completed transport</x:v>
      </x:c>
      <x:c r="X1041" s="2" t="str">
        <x:v>QR</x:v>
      </x:c>
      <x:c r="Y1041" s="2" t="str">
        <x:v>Online</x:v>
      </x:c>
      <x:c r="Z1041" s="2" t="str">
        <x:v>Synced</x:v>
      </x:c>
      <x:c r="AA1041" s="2"/>
      <x:c r="AB1041" s="2"/>
      <x:c r="AC1041" s="10" t="n">
        <x:f>IF(OR(K1041="",Q1041=""),"",ROUND((Q1041-K1041)*1440,2))</x:f>
        <x:v>22</x:v>
      </x:c>
    </x:row>
    <x:row r="1042" ht="21" customHeight="1">
      <x:c r="A1042" s="2" t="str">
        <x:v>LN01041</x:v>
      </x:c>
      <x:c r="B1042" s="2" t="str">
        <x:v>T20261008-1-2</x:v>
      </x:c>
      <x:c r="C1042" s="7" t="n">
        <x:v>46303</x:v>
      </x:c>
      <x:c r="D1042" s="2" t="str">
        <x:v>BUS002</x:v>
      </x:c>
      <x:c r="E1042" s="2" t="str">
        <x:v>ST041</x:v>
      </x:c>
      <x:c r="F1042" s="2" t="n">
        <x:v>1</x:v>
      </x:c>
      <x:c r="G1042" s="2" t="str">
        <x:v>Junior</x:v>
      </x:c>
      <x:c r="H1042" s="2" t="str">
        <x:v>Pickup</x:v>
      </x:c>
      <x:c r="I1042" s="2" t="str">
        <x:v>R2S1</x:v>
      </x:c>
      <x:c r="J1042" s="2" t="str">
        <x:v>EV002075</x:v>
      </x:c>
      <x:c r="K1042" s="8" t="n">
        <x:v>46303.242361111115</x:v>
      </x:c>
      <x:c r="L1042" s="2" t="str">
        <x:v>R2S1</x:v>
      </x:c>
      <x:c r="M1042" s="9" t="n">
        <x:v>25.28</x:v>
      </x:c>
      <x:c r="N1042" s="9" t="n">
        <x:v>51.498999999999995</x:v>
      </x:c>
      <x:c r="O1042" s="2" t="str">
        <x:v>Valid</x:v>
      </x:c>
      <x:c r="P1042" s="2" t="str">
        <x:v>EV002076</x:v>
      </x:c>
      <x:c r="Q1042" s="8" t="n">
        <x:v>46303.27638888889</x:v>
      </x:c>
      <x:c r="R1042" s="2" t="str">
        <x:v>SCH01</x:v>
      </x:c>
      <x:c r="S1042" s="9" t="n">
        <x:v>25.285</x:v>
      </x:c>
      <x:c r="T1042" s="9" t="n">
        <x:v>51.51</x:v>
      </x:c>
      <x:c r="U1042" s="2" t="str">
        <x:v>SCHOOL_RECEIVER_01</x:v>
      </x:c>
      <x:c r="V1042" s="2" t="str">
        <x:v>School staff receipt</x:v>
      </x:c>
      <x:c r="W1042" s="2" t="str">
        <x:v>Completed transport</x:v>
      </x:c>
      <x:c r="X1042" s="2" t="str">
        <x:v>QR</x:v>
      </x:c>
      <x:c r="Y1042" s="2" t="str">
        <x:v>Online</x:v>
      </x:c>
      <x:c r="Z1042" s="2" t="str">
        <x:v>Synced</x:v>
      </x:c>
      <x:c r="AA1042" s="2"/>
      <x:c r="AB1042" s="2"/>
      <x:c r="AC1042" s="10" t="n">
        <x:f>IF(OR(K1042="",Q1042=""),"",ROUND((Q1042-K1042)*1440,2))</x:f>
        <x:v>49</x:v>
      </x:c>
    </x:row>
    <x:row r="1043" ht="21" customHeight="1">
      <x:c r="A1043" s="2" t="str">
        <x:v>LN01042</x:v>
      </x:c>
      <x:c r="B1043" s="2" t="str">
        <x:v>T20261008-1-2</x:v>
      </x:c>
      <x:c r="C1043" s="7" t="n">
        <x:v>46303</x:v>
      </x:c>
      <x:c r="D1043" s="2" t="str">
        <x:v>BUS002</x:v>
      </x:c>
      <x:c r="E1043" s="2" t="str">
        <x:v>ST042</x:v>
      </x:c>
      <x:c r="F1043" s="2" t="n">
        <x:v>1</x:v>
      </x:c>
      <x:c r="G1043" s="2" t="str">
        <x:v>Junior</x:v>
      </x:c>
      <x:c r="H1043" s="2" t="str">
        <x:v>Pickup</x:v>
      </x:c>
      <x:c r="I1043" s="2" t="str">
        <x:v>R2S2</x:v>
      </x:c>
      <x:c r="J1043" s="2" t="str">
        <x:v>EV002077</x:v>
      </x:c>
      <x:c r="K1043" s="8" t="n">
        <x:v>46303.24725694444</x:v>
      </x:c>
      <x:c r="L1043" s="2" t="str">
        <x:v>R2S2</x:v>
      </x:c>
      <x:c r="M1043" s="9" t="n">
        <x:v>25.282000000000004</x:v>
      </x:c>
      <x:c r="N1043" s="9" t="n">
        <x:v>51.501999999999995</x:v>
      </x:c>
      <x:c r="O1043" s="2" t="str">
        <x:v>Valid</x:v>
      </x:c>
      <x:c r="P1043" s="2" t="str">
        <x:v>EV002078</x:v>
      </x:c>
      <x:c r="Q1043" s="8" t="n">
        <x:v>46303.27642361111</x:v>
      </x:c>
      <x:c r="R1043" s="2" t="str">
        <x:v>SCH01</x:v>
      </x:c>
      <x:c r="S1043" s="9" t="n">
        <x:v>25.285</x:v>
      </x:c>
      <x:c r="T1043" s="9" t="n">
        <x:v>51.51</x:v>
      </x:c>
      <x:c r="U1043" s="2" t="str">
        <x:v>SCHOOL_RECEIVER_01</x:v>
      </x:c>
      <x:c r="V1043" s="2" t="str">
        <x:v>School staff receipt</x:v>
      </x:c>
      <x:c r="W1043" s="2" t="str">
        <x:v>Completed transport</x:v>
      </x:c>
      <x:c r="X1043" s="2" t="str">
        <x:v>QR</x:v>
      </x:c>
      <x:c r="Y1043" s="2" t="str">
        <x:v>Online</x:v>
      </x:c>
      <x:c r="Z1043" s="2" t="str">
        <x:v>Synced</x:v>
      </x:c>
      <x:c r="AA1043" s="2"/>
      <x:c r="AB1043" s="2"/>
      <x:c r="AC1043" s="10" t="n">
        <x:f>IF(OR(K1043="",Q1043=""),"",ROUND((Q1043-K1043)*1440,2))</x:f>
        <x:v>42</x:v>
      </x:c>
    </x:row>
    <x:row r="1044" ht="21" customHeight="1">
      <x:c r="A1044" s="2" t="str">
        <x:v>LN01043</x:v>
      </x:c>
      <x:c r="B1044" s="2" t="str">
        <x:v>T20261008-1-2</x:v>
      </x:c>
      <x:c r="C1044" s="7" t="n">
        <x:v>46303</x:v>
      </x:c>
      <x:c r="D1044" s="2" t="str">
        <x:v>BUS002</x:v>
      </x:c>
      <x:c r="E1044" s="2" t="str">
        <x:v>ST043</x:v>
      </x:c>
      <x:c r="F1044" s="2" t="n">
        <x:v>1</x:v>
      </x:c>
      <x:c r="G1044" s="2" t="str">
        <x:v>Junior</x:v>
      </x:c>
      <x:c r="H1044" s="2" t="str">
        <x:v>Pickup</x:v>
      </x:c>
      <x:c r="I1044" s="2" t="str">
        <x:v>R2S3</x:v>
      </x:c>
      <x:c r="J1044" s="2" t="str">
        <x:v>EV002079</x:v>
      </x:c>
      <x:c r="K1044" s="8" t="n">
        <x:v>46303.25215277778</x:v>
      </x:c>
      <x:c r="L1044" s="2" t="str">
        <x:v>R2S3</x:v>
      </x:c>
      <x:c r="M1044" s="9" t="n">
        <x:v>25.284000000000002</x:v>
      </x:c>
      <x:c r="N1044" s="9" t="n">
        <x:v>51.504999999999995</x:v>
      </x:c>
      <x:c r="O1044" s="2" t="str">
        <x:v>Valid</x:v>
      </x:c>
      <x:c r="P1044" s="2" t="str">
        <x:v>EV002080</x:v>
      </x:c>
      <x:c r="Q1044" s="8" t="n">
        <x:v>46303.276458333334</x:v>
      </x:c>
      <x:c r="R1044" s="2" t="str">
        <x:v>SCH01</x:v>
      </x:c>
      <x:c r="S1044" s="9" t="n">
        <x:v>25.285</x:v>
      </x:c>
      <x:c r="T1044" s="9" t="n">
        <x:v>51.51</x:v>
      </x:c>
      <x:c r="U1044" s="2" t="str">
        <x:v>SCHOOL_RECEIVER_01</x:v>
      </x:c>
      <x:c r="V1044" s="2" t="str">
        <x:v>School staff receipt</x:v>
      </x:c>
      <x:c r="W1044" s="2" t="str">
        <x:v>Completed transport</x:v>
      </x:c>
      <x:c r="X1044" s="2" t="str">
        <x:v>QR</x:v>
      </x:c>
      <x:c r="Y1044" s="2" t="str">
        <x:v>Online</x:v>
      </x:c>
      <x:c r="Z1044" s="2" t="str">
        <x:v>Synced</x:v>
      </x:c>
      <x:c r="AA1044" s="2"/>
      <x:c r="AB1044" s="2"/>
      <x:c r="AC1044" s="10" t="n">
        <x:f>IF(OR(K1044="",Q1044=""),"",ROUND((Q1044-K1044)*1440,2))</x:f>
        <x:v>35</x:v>
      </x:c>
    </x:row>
    <x:row r="1045" ht="21" customHeight="1">
      <x:c r="A1045" s="2" t="str">
        <x:v>LN01044</x:v>
      </x:c>
      <x:c r="B1045" s="2" t="str">
        <x:v>T20261008-1-2</x:v>
      </x:c>
      <x:c r="C1045" s="7" t="n">
        <x:v>46303</x:v>
      </x:c>
      <x:c r="D1045" s="2" t="str">
        <x:v>BUS002</x:v>
      </x:c>
      <x:c r="E1045" s="2" t="str">
        <x:v>ST044</x:v>
      </x:c>
      <x:c r="F1045" s="2" t="n">
        <x:v>1</x:v>
      </x:c>
      <x:c r="G1045" s="2" t="str">
        <x:v>Junior</x:v>
      </x:c>
      <x:c r="H1045" s="2" t="str">
        <x:v>Pickup</x:v>
      </x:c>
      <x:c r="I1045" s="2" t="str">
        <x:v>R2S1</x:v>
      </x:c>
      <x:c r="J1045" s="2" t="str">
        <x:v>EV002081</x:v>
      </x:c>
      <x:c r="K1045" s="8" t="n">
        <x:v>46303.242465277785</x:v>
      </x:c>
      <x:c r="L1045" s="2" t="str">
        <x:v>R2S1</x:v>
      </x:c>
      <x:c r="M1045" s="9" t="n">
        <x:v>25.28</x:v>
      </x:c>
      <x:c r="N1045" s="9" t="n">
        <x:v>51.498999999999995</x:v>
      </x:c>
      <x:c r="O1045" s="2" t="str">
        <x:v>Valid</x:v>
      </x:c>
      <x:c r="P1045" s="2" t="str">
        <x:v>EV002082</x:v>
      </x:c>
      <x:c r="Q1045" s="8" t="n">
        <x:v>46303.27649305556</x:v>
      </x:c>
      <x:c r="R1045" s="2" t="str">
        <x:v>SCH01</x:v>
      </x:c>
      <x:c r="S1045" s="9" t="n">
        <x:v>25.285</x:v>
      </x:c>
      <x:c r="T1045" s="9" t="n">
        <x:v>51.51</x:v>
      </x:c>
      <x:c r="U1045" s="2" t="str">
        <x:v>SCHOOL_RECEIVER_01</x:v>
      </x:c>
      <x:c r="V1045" s="2" t="str">
        <x:v>School staff receipt</x:v>
      </x:c>
      <x:c r="W1045" s="2" t="str">
        <x:v>Completed transport</x:v>
      </x:c>
      <x:c r="X1045" s="2" t="str">
        <x:v>QR</x:v>
      </x:c>
      <x:c r="Y1045" s="2" t="str">
        <x:v>Online</x:v>
      </x:c>
      <x:c r="Z1045" s="2" t="str">
        <x:v>Synced</x:v>
      </x:c>
      <x:c r="AA1045" s="2"/>
      <x:c r="AB1045" s="2"/>
      <x:c r="AC1045" s="10" t="n">
        <x:f>IF(OR(K1045="",Q1045=""),"",ROUND((Q1045-K1045)*1440,2))</x:f>
        <x:v>49</x:v>
      </x:c>
    </x:row>
    <x:row r="1046" ht="21" customHeight="1">
      <x:c r="A1046" s="2" t="str">
        <x:v>LN01045</x:v>
      </x:c>
      <x:c r="B1046" s="2" t="str">
        <x:v>T20261008-1-2</x:v>
      </x:c>
      <x:c r="C1046" s="7" t="n">
        <x:v>46303</x:v>
      </x:c>
      <x:c r="D1046" s="2" t="str">
        <x:v>BUS002</x:v>
      </x:c>
      <x:c r="E1046" s="2" t="str">
        <x:v>ST045</x:v>
      </x:c>
      <x:c r="F1046" s="2" t="n">
        <x:v>1</x:v>
      </x:c>
      <x:c r="G1046" s="2" t="str">
        <x:v>Junior</x:v>
      </x:c>
      <x:c r="H1046" s="2" t="str">
        <x:v>Pickup</x:v>
      </x:c>
      <x:c r="I1046" s="2" t="str">
        <x:v>R2S2</x:v>
      </x:c>
      <x:c r="J1046" s="2" t="str">
        <x:v>EV002083</x:v>
      </x:c>
      <x:c r="K1046" s="8" t="n">
        <x:v>46303.24736111111</x:v>
      </x:c>
      <x:c r="L1046" s="2" t="str">
        <x:v>R2S2</x:v>
      </x:c>
      <x:c r="M1046" s="9" t="n">
        <x:v>25.282000000000004</x:v>
      </x:c>
      <x:c r="N1046" s="9" t="n">
        <x:v>51.501999999999995</x:v>
      </x:c>
      <x:c r="O1046" s="2" t="str">
        <x:v>Valid</x:v>
      </x:c>
      <x:c r="P1046" s="2" t="str">
        <x:v>EV002084</x:v>
      </x:c>
      <x:c r="Q1046" s="8" t="n">
        <x:v>46303.27652777778</x:v>
      </x:c>
      <x:c r="R1046" s="2" t="str">
        <x:v>SCH01</x:v>
      </x:c>
      <x:c r="S1046" s="9" t="n">
        <x:v>25.285</x:v>
      </x:c>
      <x:c r="T1046" s="9" t="n">
        <x:v>51.51</x:v>
      </x:c>
      <x:c r="U1046" s="2" t="str">
        <x:v>SCHOOL_RECEIVER_01</x:v>
      </x:c>
      <x:c r="V1046" s="2" t="str">
        <x:v>School staff receipt</x:v>
      </x:c>
      <x:c r="W1046" s="2" t="str">
        <x:v>Completed transport</x:v>
      </x:c>
      <x:c r="X1046" s="2" t="str">
        <x:v>QR</x:v>
      </x:c>
      <x:c r="Y1046" s="2" t="str">
        <x:v>Online</x:v>
      </x:c>
      <x:c r="Z1046" s="2" t="str">
        <x:v>Synced</x:v>
      </x:c>
      <x:c r="AA1046" s="2"/>
      <x:c r="AB1046" s="2"/>
      <x:c r="AC1046" s="10" t="n">
        <x:f>IF(OR(K1046="",Q1046=""),"",ROUND((Q1046-K1046)*1440,2))</x:f>
        <x:v>42</x:v>
      </x:c>
    </x:row>
    <x:row r="1047" ht="21" customHeight="1">
      <x:c r="A1047" s="2" t="str">
        <x:v>LN01046</x:v>
      </x:c>
      <x:c r="B1047" s="2" t="str">
        <x:v>T20261008-1-2</x:v>
      </x:c>
      <x:c r="C1047" s="7" t="n">
        <x:v>46303</x:v>
      </x:c>
      <x:c r="D1047" s="2" t="str">
        <x:v>BUS002</x:v>
      </x:c>
      <x:c r="E1047" s="2" t="str">
        <x:v>ST046</x:v>
      </x:c>
      <x:c r="F1047" s="2" t="n">
        <x:v>1</x:v>
      </x:c>
      <x:c r="G1047" s="2" t="str">
        <x:v>Junior</x:v>
      </x:c>
      <x:c r="H1047" s="2" t="str">
        <x:v>Pickup</x:v>
      </x:c>
      <x:c r="I1047" s="2" t="str">
        <x:v>R2S3</x:v>
      </x:c>
      <x:c r="J1047" s="2" t="str">
        <x:v>EV002085</x:v>
      </x:c>
      <x:c r="K1047" s="8" t="n">
        <x:v>46303.25225694444</x:v>
      </x:c>
      <x:c r="L1047" s="2" t="str">
        <x:v>R2S3</x:v>
      </x:c>
      <x:c r="M1047" s="9" t="n">
        <x:v>25.284000000000002</x:v>
      </x:c>
      <x:c r="N1047" s="9" t="n">
        <x:v>51.504999999999995</x:v>
      </x:c>
      <x:c r="O1047" s="2" t="str">
        <x:v>Valid</x:v>
      </x:c>
      <x:c r="P1047" s="2" t="str">
        <x:v>EV002086</x:v>
      </x:c>
      <x:c r="Q1047" s="8" t="n">
        <x:v>46303.276562499996</x:v>
      </x:c>
      <x:c r="R1047" s="2" t="str">
        <x:v>SCH01</x:v>
      </x:c>
      <x:c r="S1047" s="9" t="n">
        <x:v>25.285</x:v>
      </x:c>
      <x:c r="T1047" s="9" t="n">
        <x:v>51.51</x:v>
      </x:c>
      <x:c r="U1047" s="2" t="str">
        <x:v>SCHOOL_RECEIVER_01</x:v>
      </x:c>
      <x:c r="V1047" s="2" t="str">
        <x:v>School staff receipt</x:v>
      </x:c>
      <x:c r="W1047" s="2" t="str">
        <x:v>Completed transport</x:v>
      </x:c>
      <x:c r="X1047" s="2" t="str">
        <x:v>QR</x:v>
      </x:c>
      <x:c r="Y1047" s="2" t="str">
        <x:v>Online</x:v>
      </x:c>
      <x:c r="Z1047" s="2" t="str">
        <x:v>Synced</x:v>
      </x:c>
      <x:c r="AA1047" s="2"/>
      <x:c r="AB1047" s="2"/>
      <x:c r="AC1047" s="10" t="n">
        <x:f>IF(OR(K1047="",Q1047=""),"",ROUND((Q1047-K1047)*1440,2))</x:f>
        <x:v>35</x:v>
      </x:c>
    </x:row>
    <x:row r="1048" ht="21" customHeight="1">
      <x:c r="A1048" s="2" t="str">
        <x:v>LN01047</x:v>
      </x:c>
      <x:c r="B1048" s="2" t="str">
        <x:v>T20261008-1-2</x:v>
      </x:c>
      <x:c r="C1048" s="7" t="n">
        <x:v>46303</x:v>
      </x:c>
      <x:c r="D1048" s="2" t="str">
        <x:v>BUS002</x:v>
      </x:c>
      <x:c r="E1048" s="2" t="str">
        <x:v>ST047</x:v>
      </x:c>
      <x:c r="F1048" s="2" t="n">
        <x:v>1</x:v>
      </x:c>
      <x:c r="G1048" s="2" t="str">
        <x:v>Junior</x:v>
      </x:c>
      <x:c r="H1048" s="2" t="str">
        <x:v>Pickup</x:v>
      </x:c>
      <x:c r="I1048" s="2" t="str">
        <x:v>R2S1</x:v>
      </x:c>
      <x:c r="J1048" s="2" t="str">
        <x:v>EV002087</x:v>
      </x:c>
      <x:c r="K1048" s="8" t="n">
        <x:v>46303.24256944445</x:v>
      </x:c>
      <x:c r="L1048" s="2" t="str">
        <x:v>R2S1</x:v>
      </x:c>
      <x:c r="M1048" s="9" t="n">
        <x:v>25.28</x:v>
      </x:c>
      <x:c r="N1048" s="9" t="n">
        <x:v>51.498999999999995</x:v>
      </x:c>
      <x:c r="O1048" s="2" t="str">
        <x:v>Valid</x:v>
      </x:c>
      <x:c r="P1048" s="2" t="str">
        <x:v>EV002088</x:v>
      </x:c>
      <x:c r="Q1048" s="8" t="n">
        <x:v>46303.27659722222</x:v>
      </x:c>
      <x:c r="R1048" s="2" t="str">
        <x:v>SCH01</x:v>
      </x:c>
      <x:c r="S1048" s="9" t="n">
        <x:v>25.285</x:v>
      </x:c>
      <x:c r="T1048" s="9" t="n">
        <x:v>51.51</x:v>
      </x:c>
      <x:c r="U1048" s="2" t="str">
        <x:v>SCHOOL_RECEIVER_01</x:v>
      </x:c>
      <x:c r="V1048" s="2" t="str">
        <x:v>School staff receipt</x:v>
      </x:c>
      <x:c r="W1048" s="2" t="str">
        <x:v>Completed transport</x:v>
      </x:c>
      <x:c r="X1048" s="2" t="str">
        <x:v>QR</x:v>
      </x:c>
      <x:c r="Y1048" s="2" t="str">
        <x:v>Online</x:v>
      </x:c>
      <x:c r="Z1048" s="2" t="str">
        <x:v>Synced</x:v>
      </x:c>
      <x:c r="AA1048" s="2"/>
      <x:c r="AB1048" s="2"/>
      <x:c r="AC1048" s="10" t="n">
        <x:f>IF(OR(K1048="",Q1048=""),"",ROUND((Q1048-K1048)*1440,2))</x:f>
        <x:v>49</x:v>
      </x:c>
    </x:row>
    <x:row r="1049" ht="21" customHeight="1">
      <x:c r="A1049" s="2" t="str">
        <x:v>LN01048</x:v>
      </x:c>
      <x:c r="B1049" s="2" t="str">
        <x:v>T20261008-1-2</x:v>
      </x:c>
      <x:c r="C1049" s="7" t="n">
        <x:v>46303</x:v>
      </x:c>
      <x:c r="D1049" s="2" t="str">
        <x:v>BUS002</x:v>
      </x:c>
      <x:c r="E1049" s="2" t="str">
        <x:v>ST048</x:v>
      </x:c>
      <x:c r="F1049" s="2" t="n">
        <x:v>1</x:v>
      </x:c>
      <x:c r="G1049" s="2" t="str">
        <x:v>Junior</x:v>
      </x:c>
      <x:c r="H1049" s="2" t="str">
        <x:v>Pickup</x:v>
      </x:c>
      <x:c r="I1049" s="2" t="str">
        <x:v>R2S2</x:v>
      </x:c>
      <x:c r="J1049" s="2" t="str">
        <x:v>EV002089</x:v>
      </x:c>
      <x:c r="K1049" s="8" t="n">
        <x:v>46303.247465277775</x:v>
      </x:c>
      <x:c r="L1049" s="2" t="str">
        <x:v>R2S2</x:v>
      </x:c>
      <x:c r="M1049" s="9" t="n">
        <x:v>25.282000000000004</x:v>
      </x:c>
      <x:c r="N1049" s="9" t="n">
        <x:v>51.501999999999995</x:v>
      </x:c>
      <x:c r="O1049" s="2" t="str">
        <x:v>Valid</x:v>
      </x:c>
      <x:c r="P1049" s="2" t="str">
        <x:v>EV002090</x:v>
      </x:c>
      <x:c r="Q1049" s="8" t="n">
        <x:v>46303.27663194444</x:v>
      </x:c>
      <x:c r="R1049" s="2" t="str">
        <x:v>SCH01</x:v>
      </x:c>
      <x:c r="S1049" s="9" t="n">
        <x:v>25.285</x:v>
      </x:c>
      <x:c r="T1049" s="9" t="n">
        <x:v>51.51</x:v>
      </x:c>
      <x:c r="U1049" s="2" t="str">
        <x:v>SCHOOL_RECEIVER_01</x:v>
      </x:c>
      <x:c r="V1049" s="2" t="str">
        <x:v>School staff receipt</x:v>
      </x:c>
      <x:c r="W1049" s="2" t="str">
        <x:v>Completed transport</x:v>
      </x:c>
      <x:c r="X1049" s="2" t="str">
        <x:v>QR</x:v>
      </x:c>
      <x:c r="Y1049" s="2" t="str">
        <x:v>Online</x:v>
      </x:c>
      <x:c r="Z1049" s="2" t="str">
        <x:v>Synced</x:v>
      </x:c>
      <x:c r="AA1049" s="2"/>
      <x:c r="AB1049" s="2"/>
      <x:c r="AC1049" s="10" t="n">
        <x:f>IF(OR(K1049="",Q1049=""),"",ROUND((Q1049-K1049)*1440,2))</x:f>
        <x:v>42</x:v>
      </x:c>
    </x:row>
    <x:row r="1050" ht="21" customHeight="1">
      <x:c r="A1050" s="2" t="str">
        <x:v>LN01049</x:v>
      </x:c>
      <x:c r="B1050" s="2" t="str">
        <x:v>T20261008-1-2</x:v>
      </x:c>
      <x:c r="C1050" s="7" t="n">
        <x:v>46303</x:v>
      </x:c>
      <x:c r="D1050" s="2" t="str">
        <x:v>BUS002</x:v>
      </x:c>
      <x:c r="E1050" s="2" t="str">
        <x:v>ST049</x:v>
      </x:c>
      <x:c r="F1050" s="2" t="n">
        <x:v>1</x:v>
      </x:c>
      <x:c r="G1050" s="2" t="str">
        <x:v>Junior</x:v>
      </x:c>
      <x:c r="H1050" s="2" t="str">
        <x:v>Pickup</x:v>
      </x:c>
      <x:c r="I1050" s="2" t="str">
        <x:v>R2S3</x:v>
      </x:c>
      <x:c r="J1050" s="2" t="str">
        <x:v>EV002091</x:v>
      </x:c>
      <x:c r="K1050" s="8" t="n">
        <x:v>46303.25236111111</x:v>
      </x:c>
      <x:c r="L1050" s="2" t="str">
        <x:v>R2S3</x:v>
      </x:c>
      <x:c r="M1050" s="9" t="n">
        <x:v>25.284000000000002</x:v>
      </x:c>
      <x:c r="N1050" s="9" t="n">
        <x:v>51.504999999999995</x:v>
      </x:c>
      <x:c r="O1050" s="2" t="str">
        <x:v>Valid</x:v>
      </x:c>
      <x:c r="P1050" s="2" t="str">
        <x:v>EV002092</x:v>
      </x:c>
      <x:c r="Q1050" s="8" t="n">
        <x:v>46303.276666666665</x:v>
      </x:c>
      <x:c r="R1050" s="2" t="str">
        <x:v>SCH01</x:v>
      </x:c>
      <x:c r="S1050" s="9" t="n">
        <x:v>25.285</x:v>
      </x:c>
      <x:c r="T1050" s="9" t="n">
        <x:v>51.51</x:v>
      </x:c>
      <x:c r="U1050" s="2" t="str">
        <x:v>SCHOOL_RECEIVER_01</x:v>
      </x:c>
      <x:c r="V1050" s="2" t="str">
        <x:v>School staff receipt</x:v>
      </x:c>
      <x:c r="W1050" s="2" t="str">
        <x:v>Completed transport</x:v>
      </x:c>
      <x:c r="X1050" s="2" t="str">
        <x:v>QR</x:v>
      </x:c>
      <x:c r="Y1050" s="2" t="str">
        <x:v>Online</x:v>
      </x:c>
      <x:c r="Z1050" s="2" t="str">
        <x:v>Synced</x:v>
      </x:c>
      <x:c r="AA1050" s="2"/>
      <x:c r="AB1050" s="2"/>
      <x:c r="AC1050" s="10" t="n">
        <x:f>IF(OR(K1050="",Q1050=""),"",ROUND((Q1050-K1050)*1440,2))</x:f>
        <x:v>35</x:v>
      </x:c>
    </x:row>
    <x:row r="1051" ht="21" customHeight="1">
      <x:c r="A1051" s="2" t="str">
        <x:v>LN01050</x:v>
      </x:c>
      <x:c r="B1051" s="2" t="str">
        <x:v>T20261008-1-2</x:v>
      </x:c>
      <x:c r="C1051" s="7" t="n">
        <x:v>46303</x:v>
      </x:c>
      <x:c r="D1051" s="2" t="str">
        <x:v>BUS002</x:v>
      </x:c>
      <x:c r="E1051" s="2" t="str">
        <x:v>ST050</x:v>
      </x:c>
      <x:c r="F1051" s="2" t="n">
        <x:v>1</x:v>
      </x:c>
      <x:c r="G1051" s="2" t="str">
        <x:v>Junior</x:v>
      </x:c>
      <x:c r="H1051" s="2" t="str">
        <x:v>Pickup</x:v>
      </x:c>
      <x:c r="I1051" s="2" t="str">
        <x:v>R2S1</x:v>
      </x:c>
      <x:c r="J1051" s="2" t="str">
        <x:v>EV002093</x:v>
      </x:c>
      <x:c r="K1051" s="8" t="n">
        <x:v>46303.242673611116</x:v>
      </x:c>
      <x:c r="L1051" s="2" t="str">
        <x:v>R2S1</x:v>
      </x:c>
      <x:c r="M1051" s="9" t="n">
        <x:v>25.28</x:v>
      </x:c>
      <x:c r="N1051" s="9" t="n">
        <x:v>51.498999999999995</x:v>
      </x:c>
      <x:c r="O1051" s="2" t="str">
        <x:v>Valid</x:v>
      </x:c>
      <x:c r="P1051" s="2" t="str">
        <x:v>EV002094</x:v>
      </x:c>
      <x:c r="Q1051" s="8" t="n">
        <x:v>46303.27670138889</x:v>
      </x:c>
      <x:c r="R1051" s="2" t="str">
        <x:v>SCH01</x:v>
      </x:c>
      <x:c r="S1051" s="9" t="n">
        <x:v>25.285</x:v>
      </x:c>
      <x:c r="T1051" s="9" t="n">
        <x:v>51.51</x:v>
      </x:c>
      <x:c r="U1051" s="2" t="str">
        <x:v>SCHOOL_RECEIVER_01</x:v>
      </x:c>
      <x:c r="V1051" s="2" t="str">
        <x:v>School staff receipt</x:v>
      </x:c>
      <x:c r="W1051" s="2" t="str">
        <x:v>Completed transport</x:v>
      </x:c>
      <x:c r="X1051" s="2" t="str">
        <x:v>QR</x:v>
      </x:c>
      <x:c r="Y1051" s="2" t="str">
        <x:v>Online</x:v>
      </x:c>
      <x:c r="Z1051" s="2" t="str">
        <x:v>Synced</x:v>
      </x:c>
      <x:c r="AA1051" s="2"/>
      <x:c r="AB1051" s="2"/>
      <x:c r="AC1051" s="10" t="n">
        <x:f>IF(OR(K1051="",Q1051=""),"",ROUND((Q1051-K1051)*1440,2))</x:f>
        <x:v>49</x:v>
      </x:c>
    </x:row>
    <x:row r="1052" ht="21" customHeight="1">
      <x:c r="A1052" s="2" t="str">
        <x:v>LN01051</x:v>
      </x:c>
      <x:c r="B1052" s="2" t="str">
        <x:v>T20261008-1-2</x:v>
      </x:c>
      <x:c r="C1052" s="7" t="n">
        <x:v>46303</x:v>
      </x:c>
      <x:c r="D1052" s="2" t="str">
        <x:v>BUS002</x:v>
      </x:c>
      <x:c r="E1052" s="2" t="str">
        <x:v>ST051</x:v>
      </x:c>
      <x:c r="F1052" s="2" t="n">
        <x:v>1</x:v>
      </x:c>
      <x:c r="G1052" s="2" t="str">
        <x:v>Senior</x:v>
      </x:c>
      <x:c r="H1052" s="2" t="str">
        <x:v>Pickup</x:v>
      </x:c>
      <x:c r="I1052" s="2" t="str">
        <x:v>R2S2</x:v>
      </x:c>
      <x:c r="J1052" s="2" t="str">
        <x:v>EV002095</x:v>
      </x:c>
      <x:c r="K1052" s="8" t="n">
        <x:v>46303.24722222222</x:v>
      </x:c>
      <x:c r="L1052" s="2" t="str">
        <x:v>R2S2</x:v>
      </x:c>
      <x:c r="M1052" s="9" t="n">
        <x:v>25.282000000000004</x:v>
      </x:c>
      <x:c r="N1052" s="9" t="n">
        <x:v>51.501999999999995</x:v>
      </x:c>
      <x:c r="O1052" s="2" t="str">
        <x:v>Valid</x:v>
      </x:c>
      <x:c r="P1052" s="2" t="str">
        <x:v>EV002096</x:v>
      </x:c>
      <x:c r="Q1052" s="8" t="n">
        <x:v>46303.27673611111</x:v>
      </x:c>
      <x:c r="R1052" s="2" t="str">
        <x:v>SCH01</x:v>
      </x:c>
      <x:c r="S1052" s="9" t="n">
        <x:v>25.285</x:v>
      </x:c>
      <x:c r="T1052" s="9" t="n">
        <x:v>51.51</x:v>
      </x:c>
      <x:c r="U1052" s="2" t="str">
        <x:v>SCHOOL_RECEIVER_01</x:v>
      </x:c>
      <x:c r="V1052" s="2" t="str">
        <x:v>School staff receipt</x:v>
      </x:c>
      <x:c r="W1052" s="2" t="str">
        <x:v>Completed transport</x:v>
      </x:c>
      <x:c r="X1052" s="2" t="str">
        <x:v>QR</x:v>
      </x:c>
      <x:c r="Y1052" s="2" t="str">
        <x:v>Online</x:v>
      </x:c>
      <x:c r="Z1052" s="2" t="str">
        <x:v>Synced</x:v>
      </x:c>
      <x:c r="AA1052" s="2"/>
      <x:c r="AB1052" s="2"/>
      <x:c r="AC1052" s="10" t="n">
        <x:f>IF(OR(K1052="",Q1052=""),"",ROUND((Q1052-K1052)*1440,2))</x:f>
        <x:v>42.5</x:v>
      </x:c>
    </x:row>
    <x:row r="1053" ht="21" customHeight="1">
      <x:c r="A1053" s="2" t="str">
        <x:v>LN01052</x:v>
      </x:c>
      <x:c r="B1053" s="2" t="str">
        <x:v>T20261008-1-2</x:v>
      </x:c>
      <x:c r="C1053" s="7" t="n">
        <x:v>46303</x:v>
      </x:c>
      <x:c r="D1053" s="2" t="str">
        <x:v>BUS002</x:v>
      </x:c>
      <x:c r="E1053" s="2" t="str">
        <x:v>ST052</x:v>
      </x:c>
      <x:c r="F1053" s="2" t="n">
        <x:v>1</x:v>
      </x:c>
      <x:c r="G1053" s="2" t="str">
        <x:v>Senior</x:v>
      </x:c>
      <x:c r="H1053" s="2" t="str">
        <x:v>Pickup</x:v>
      </x:c>
      <x:c r="I1053" s="2" t="str">
        <x:v>R2S3</x:v>
      </x:c>
      <x:c r="J1053" s="2" t="str">
        <x:v>EV002097</x:v>
      </x:c>
      <x:c r="K1053" s="8" t="n">
        <x:v>46303.252118055556</x:v>
      </x:c>
      <x:c r="L1053" s="2" t="str">
        <x:v>R2S3</x:v>
      </x:c>
      <x:c r="M1053" s="9" t="n">
        <x:v>25.284000000000002</x:v>
      </x:c>
      <x:c r="N1053" s="9" t="n">
        <x:v>51.504999999999995</x:v>
      </x:c>
      <x:c r="O1053" s="2" t="str">
        <x:v>Valid</x:v>
      </x:c>
      <x:c r="P1053" s="2" t="str">
        <x:v>EV002098</x:v>
      </x:c>
      <x:c r="Q1053" s="8" t="n">
        <x:v>46303.276770833334</x:v>
      </x:c>
      <x:c r="R1053" s="2" t="str">
        <x:v>SCH01</x:v>
      </x:c>
      <x:c r="S1053" s="9" t="n">
        <x:v>25.285</x:v>
      </x:c>
      <x:c r="T1053" s="9" t="n">
        <x:v>51.51</x:v>
      </x:c>
      <x:c r="U1053" s="2" t="str">
        <x:v>SCHOOL_RECEIVER_01</x:v>
      </x:c>
      <x:c r="V1053" s="2" t="str">
        <x:v>School staff receipt</x:v>
      </x:c>
      <x:c r="W1053" s="2" t="str">
        <x:v>Completed transport</x:v>
      </x:c>
      <x:c r="X1053" s="2" t="str">
        <x:v>QR</x:v>
      </x:c>
      <x:c r="Y1053" s="2" t="str">
        <x:v>Online</x:v>
      </x:c>
      <x:c r="Z1053" s="2" t="str">
        <x:v>Synced</x:v>
      </x:c>
      <x:c r="AA1053" s="2"/>
      <x:c r="AB1053" s="2"/>
      <x:c r="AC1053" s="10" t="n">
        <x:f>IF(OR(K1053="",Q1053=""),"",ROUND((Q1053-K1053)*1440,2))</x:f>
        <x:v>35.5</x:v>
      </x:c>
    </x:row>
    <x:row r="1054" ht="21" customHeight="1">
      <x:c r="A1054" s="2" t="str">
        <x:v>LN01053</x:v>
      </x:c>
      <x:c r="B1054" s="2" t="str">
        <x:v>T20261008-1-2</x:v>
      </x:c>
      <x:c r="C1054" s="7" t="n">
        <x:v>46303</x:v>
      </x:c>
      <x:c r="D1054" s="2" t="str">
        <x:v>BUS002</x:v>
      </x:c>
      <x:c r="E1054" s="2" t="str">
        <x:v>ST053</x:v>
      </x:c>
      <x:c r="F1054" s="2" t="n">
        <x:v>1</x:v>
      </x:c>
      <x:c r="G1054" s="2" t="str">
        <x:v>Senior</x:v>
      </x:c>
      <x:c r="H1054" s="2" t="str">
        <x:v>Pickup</x:v>
      </x:c>
      <x:c r="I1054" s="2" t="str">
        <x:v>R2S1</x:v>
      </x:c>
      <x:c r="J1054" s="2" t="str">
        <x:v>EV002099</x:v>
      </x:c>
      <x:c r="K1054" s="8" t="n">
        <x:v>46303.24243055556</x:v>
      </x:c>
      <x:c r="L1054" s="2" t="str">
        <x:v>R2S1</x:v>
      </x:c>
      <x:c r="M1054" s="9" t="n">
        <x:v>25.28</x:v>
      </x:c>
      <x:c r="N1054" s="9" t="n">
        <x:v>51.498999999999995</x:v>
      </x:c>
      <x:c r="O1054" s="2" t="str">
        <x:v>Valid</x:v>
      </x:c>
      <x:c r="P1054" s="2" t="str">
        <x:v>EV002100</x:v>
      </x:c>
      <x:c r="Q1054" s="8" t="n">
        <x:v>46303.27680555556</x:v>
      </x:c>
      <x:c r="R1054" s="2" t="str">
        <x:v>SCH01</x:v>
      </x:c>
      <x:c r="S1054" s="9" t="n">
        <x:v>25.285</x:v>
      </x:c>
      <x:c r="T1054" s="9" t="n">
        <x:v>51.51</x:v>
      </x:c>
      <x:c r="U1054" s="2" t="str">
        <x:v>SCHOOL_RECEIVER_01</x:v>
      </x:c>
      <x:c r="V1054" s="2" t="str">
        <x:v>School staff receipt</x:v>
      </x:c>
      <x:c r="W1054" s="2" t="str">
        <x:v>Completed transport</x:v>
      </x:c>
      <x:c r="X1054" s="2" t="str">
        <x:v>QR</x:v>
      </x:c>
      <x:c r="Y1054" s="2" t="str">
        <x:v>Online</x:v>
      </x:c>
      <x:c r="Z1054" s="2" t="str">
        <x:v>Synced</x:v>
      </x:c>
      <x:c r="AA1054" s="2"/>
      <x:c r="AB1054" s="2"/>
      <x:c r="AC1054" s="10" t="n">
        <x:f>IF(OR(K1054="",Q1054=""),"",ROUND((Q1054-K1054)*1440,2))</x:f>
        <x:v>49.5</x:v>
      </x:c>
    </x:row>
    <x:row r="1055" ht="21" customHeight="1">
      <x:c r="A1055" s="2" t="str">
        <x:v>LN01054</x:v>
      </x:c>
      <x:c r="B1055" s="2" t="str">
        <x:v>T20261008-1-2</x:v>
      </x:c>
      <x:c r="C1055" s="7" t="n">
        <x:v>46303</x:v>
      </x:c>
      <x:c r="D1055" s="2" t="str">
        <x:v>BUS002</x:v>
      </x:c>
      <x:c r="E1055" s="2" t="str">
        <x:v>ST054</x:v>
      </x:c>
      <x:c r="F1055" s="2" t="n">
        <x:v>1</x:v>
      </x:c>
      <x:c r="G1055" s="2" t="str">
        <x:v>Senior</x:v>
      </x:c>
      <x:c r="H1055" s="2" t="str">
        <x:v>Pickup</x:v>
      </x:c>
      <x:c r="I1055" s="2" t="str">
        <x:v>R2S2</x:v>
      </x:c>
      <x:c r="J1055" s="2" t="str">
        <x:v>EV002101</x:v>
      </x:c>
      <x:c r="K1055" s="8" t="n">
        <x:v>46303.24732638889</x:v>
      </x:c>
      <x:c r="L1055" s="2" t="str">
        <x:v>R2S2</x:v>
      </x:c>
      <x:c r="M1055" s="9" t="n">
        <x:v>25.282000000000004</x:v>
      </x:c>
      <x:c r="N1055" s="9" t="n">
        <x:v>51.501999999999995</x:v>
      </x:c>
      <x:c r="O1055" s="2" t="str">
        <x:v>Valid</x:v>
      </x:c>
      <x:c r="P1055" s="2" t="str">
        <x:v>EV002102</x:v>
      </x:c>
      <x:c r="Q1055" s="8" t="n">
        <x:v>46303.27684027777</x:v>
      </x:c>
      <x:c r="R1055" s="2" t="str">
        <x:v>SCH01</x:v>
      </x:c>
      <x:c r="S1055" s="9" t="n">
        <x:v>25.285</x:v>
      </x:c>
      <x:c r="T1055" s="9" t="n">
        <x:v>51.51</x:v>
      </x:c>
      <x:c r="U1055" s="2" t="str">
        <x:v>SCHOOL_RECEIVER_01</x:v>
      </x:c>
      <x:c r="V1055" s="2" t="str">
        <x:v>School staff receipt</x:v>
      </x:c>
      <x:c r="W1055" s="2" t="str">
        <x:v>Completed transport</x:v>
      </x:c>
      <x:c r="X1055" s="2" t="str">
        <x:v>QR</x:v>
      </x:c>
      <x:c r="Y1055" s="2" t="str">
        <x:v>Online</x:v>
      </x:c>
      <x:c r="Z1055" s="2" t="str">
        <x:v>Synced</x:v>
      </x:c>
      <x:c r="AA1055" s="2"/>
      <x:c r="AB1055" s="2"/>
      <x:c r="AC1055" s="10" t="n">
        <x:f>IF(OR(K1055="",Q1055=""),"",ROUND((Q1055-K1055)*1440,2))</x:f>
        <x:v>42.5</x:v>
      </x:c>
    </x:row>
    <x:row r="1056" ht="21" customHeight="1">
      <x:c r="A1056" s="2" t="str">
        <x:v>LN01055</x:v>
      </x:c>
      <x:c r="B1056" s="2" t="str">
        <x:v>T20261008-1-2</x:v>
      </x:c>
      <x:c r="C1056" s="7" t="n">
        <x:v>46303</x:v>
      </x:c>
      <x:c r="D1056" s="2" t="str">
        <x:v>BUS002</x:v>
      </x:c>
      <x:c r="E1056" s="2" t="str">
        <x:v>ST055</x:v>
      </x:c>
      <x:c r="F1056" s="2" t="n">
        <x:v>1</x:v>
      </x:c>
      <x:c r="G1056" s="2" t="str">
        <x:v>Senior</x:v>
      </x:c>
      <x:c r="H1056" s="2" t="str">
        <x:v>Pickup</x:v>
      </x:c>
      <x:c r="I1056" s="2" t="str">
        <x:v>R2S3</x:v>
      </x:c>
      <x:c r="J1056" s="2" t="str">
        <x:v>EV002103</x:v>
      </x:c>
      <x:c r="K1056" s="8" t="n">
        <x:v>46303.252222222225</x:v>
      </x:c>
      <x:c r="L1056" s="2" t="str">
        <x:v>R2S3</x:v>
      </x:c>
      <x:c r="M1056" s="9" t="n">
        <x:v>25.284000000000002</x:v>
      </x:c>
      <x:c r="N1056" s="9" t="n">
        <x:v>51.504999999999995</x:v>
      </x:c>
      <x:c r="O1056" s="2" t="str">
        <x:v>Valid</x:v>
      </x:c>
      <x:c r="P1056" s="2" t="str">
        <x:v>EV002104</x:v>
      </x:c>
      <x:c r="Q1056" s="8" t="n">
        <x:v>46303.276874999996</x:v>
      </x:c>
      <x:c r="R1056" s="2" t="str">
        <x:v>SCH01</x:v>
      </x:c>
      <x:c r="S1056" s="9" t="n">
        <x:v>25.285</x:v>
      </x:c>
      <x:c r="T1056" s="9" t="n">
        <x:v>51.51</x:v>
      </x:c>
      <x:c r="U1056" s="2" t="str">
        <x:v>SCHOOL_RECEIVER_01</x:v>
      </x:c>
      <x:c r="V1056" s="2" t="str">
        <x:v>School staff receipt</x:v>
      </x:c>
      <x:c r="W1056" s="2" t="str">
        <x:v>Completed transport</x:v>
      </x:c>
      <x:c r="X1056" s="2" t="str">
        <x:v>QR</x:v>
      </x:c>
      <x:c r="Y1056" s="2" t="str">
        <x:v>Online</x:v>
      </x:c>
      <x:c r="Z1056" s="2" t="str">
        <x:v>Synced</x:v>
      </x:c>
      <x:c r="AA1056" s="2"/>
      <x:c r="AB1056" s="2"/>
      <x:c r="AC1056" s="10" t="n">
        <x:f>IF(OR(K1056="",Q1056=""),"",ROUND((Q1056-K1056)*1440,2))</x:f>
        <x:v>35.5</x:v>
      </x:c>
    </x:row>
    <x:row r="1057" ht="21" customHeight="1">
      <x:c r="A1057" s="2" t="str">
        <x:v>LN01056</x:v>
      </x:c>
      <x:c r="B1057" s="2" t="str">
        <x:v>T20261008-1-2</x:v>
      </x:c>
      <x:c r="C1057" s="7" t="n">
        <x:v>46303</x:v>
      </x:c>
      <x:c r="D1057" s="2" t="str">
        <x:v>BUS002</x:v>
      </x:c>
      <x:c r="E1057" s="2" t="str">
        <x:v>ST056</x:v>
      </x:c>
      <x:c r="F1057" s="2" t="n">
        <x:v>1</x:v>
      </x:c>
      <x:c r="G1057" s="2" t="str">
        <x:v>Senior</x:v>
      </x:c>
      <x:c r="H1057" s="2" t="str">
        <x:v>Pickup</x:v>
      </x:c>
      <x:c r="I1057" s="2" t="str">
        <x:v>R2S1</x:v>
      </x:c>
      <x:c r="J1057" s="2" t="str">
        <x:v>EV002105</x:v>
      </x:c>
      <x:c r="K1057" s="8" t="n">
        <x:v>46303.24253472222</x:v>
      </x:c>
      <x:c r="L1057" s="2" t="str">
        <x:v>R2S1</x:v>
      </x:c>
      <x:c r="M1057" s="9" t="n">
        <x:v>25.28</x:v>
      </x:c>
      <x:c r="N1057" s="9" t="n">
        <x:v>51.498999999999995</x:v>
      </x:c>
      <x:c r="O1057" s="2" t="str">
        <x:v>Valid</x:v>
      </x:c>
      <x:c r="P1057" s="2" t="str">
        <x:v>EV002106</x:v>
      </x:c>
      <x:c r="Q1057" s="8" t="n">
        <x:v>46303.27690972222</x:v>
      </x:c>
      <x:c r="R1057" s="2" t="str">
        <x:v>SCH01</x:v>
      </x:c>
      <x:c r="S1057" s="9" t="n">
        <x:v>25.285</x:v>
      </x:c>
      <x:c r="T1057" s="9" t="n">
        <x:v>51.51</x:v>
      </x:c>
      <x:c r="U1057" s="2" t="str">
        <x:v>SCHOOL_RECEIVER_01</x:v>
      </x:c>
      <x:c r="V1057" s="2" t="str">
        <x:v>School staff receipt</x:v>
      </x:c>
      <x:c r="W1057" s="2" t="str">
        <x:v>Completed transport</x:v>
      </x:c>
      <x:c r="X1057" s="2" t="str">
        <x:v>QR</x:v>
      </x:c>
      <x:c r="Y1057" s="2" t="str">
        <x:v>Online</x:v>
      </x:c>
      <x:c r="Z1057" s="2" t="str">
        <x:v>Synced</x:v>
      </x:c>
      <x:c r="AA1057" s="2"/>
      <x:c r="AB1057" s="2"/>
      <x:c r="AC1057" s="10" t="n">
        <x:f>IF(OR(K1057="",Q1057=""),"",ROUND((Q1057-K1057)*1440,2))</x:f>
        <x:v>49.5</x:v>
      </x:c>
    </x:row>
    <x:row r="1058" ht="21" customHeight="1">
      <x:c r="A1058" s="2" t="str">
        <x:v>LN01057</x:v>
      </x:c>
      <x:c r="B1058" s="2" t="str">
        <x:v>T20261008-1-2</x:v>
      </x:c>
      <x:c r="C1058" s="7" t="n">
        <x:v>46303</x:v>
      </x:c>
      <x:c r="D1058" s="2" t="str">
        <x:v>BUS002</x:v>
      </x:c>
      <x:c r="E1058" s="2" t="str">
        <x:v>ST057</x:v>
      </x:c>
      <x:c r="F1058" s="2" t="n">
        <x:v>1</x:v>
      </x:c>
      <x:c r="G1058" s="2" t="str">
        <x:v>Senior</x:v>
      </x:c>
      <x:c r="H1058" s="2" t="str">
        <x:v>Pickup</x:v>
      </x:c>
      <x:c r="I1058" s="2" t="str">
        <x:v>R2S2</x:v>
      </x:c>
      <x:c r="J1058" s="2" t="str">
        <x:v>EV002107</x:v>
      </x:c>
      <x:c r="K1058" s="8" t="n">
        <x:v>46303.24743055555</x:v>
      </x:c>
      <x:c r="L1058" s="2" t="str">
        <x:v>R2S2</x:v>
      </x:c>
      <x:c r="M1058" s="9" t="n">
        <x:v>25.282000000000004</x:v>
      </x:c>
      <x:c r="N1058" s="9" t="n">
        <x:v>51.501999999999995</x:v>
      </x:c>
      <x:c r="O1058" s="2" t="str">
        <x:v>Valid</x:v>
      </x:c>
      <x:c r="P1058" s="2" t="str">
        <x:v>EV002108</x:v>
      </x:c>
      <x:c r="Q1058" s="8" t="n">
        <x:v>46303.27694444444</x:v>
      </x:c>
      <x:c r="R1058" s="2" t="str">
        <x:v>SCH01</x:v>
      </x:c>
      <x:c r="S1058" s="9" t="n">
        <x:v>25.285</x:v>
      </x:c>
      <x:c r="T1058" s="9" t="n">
        <x:v>51.51</x:v>
      </x:c>
      <x:c r="U1058" s="2" t="str">
        <x:v>SCHOOL_RECEIVER_01</x:v>
      </x:c>
      <x:c r="V1058" s="2" t="str">
        <x:v>School staff receipt</x:v>
      </x:c>
      <x:c r="W1058" s="2" t="str">
        <x:v>Completed transport</x:v>
      </x:c>
      <x:c r="X1058" s="2" t="str">
        <x:v>QR</x:v>
      </x:c>
      <x:c r="Y1058" s="2" t="str">
        <x:v>Online</x:v>
      </x:c>
      <x:c r="Z1058" s="2" t="str">
        <x:v>Synced</x:v>
      </x:c>
      <x:c r="AA1058" s="2"/>
      <x:c r="AB1058" s="2"/>
      <x:c r="AC1058" s="10" t="n">
        <x:f>IF(OR(K1058="",Q1058=""),"",ROUND((Q1058-K1058)*1440,2))</x:f>
        <x:v>42.5</x:v>
      </x:c>
    </x:row>
    <x:row r="1059" ht="21" customHeight="1">
      <x:c r="A1059" s="2" t="str">
        <x:v>LN01058</x:v>
      </x:c>
      <x:c r="B1059" s="2" t="str">
        <x:v>T20261008-1-2</x:v>
      </x:c>
      <x:c r="C1059" s="7" t="n">
        <x:v>46303</x:v>
      </x:c>
      <x:c r="D1059" s="2" t="str">
        <x:v>BUS002</x:v>
      </x:c>
      <x:c r="E1059" s="2" t="str">
        <x:v>ST058</x:v>
      </x:c>
      <x:c r="F1059" s="2" t="n">
        <x:v>1</x:v>
      </x:c>
      <x:c r="G1059" s="2" t="str">
        <x:v>Senior</x:v>
      </x:c>
      <x:c r="H1059" s="2" t="str">
        <x:v>Pickup</x:v>
      </x:c>
      <x:c r="I1059" s="2" t="str">
        <x:v>R2S3</x:v>
      </x:c>
      <x:c r="J1059" s="2" t="str">
        <x:v>EV002109</x:v>
      </x:c>
      <x:c r="K1059" s="8" t="n">
        <x:v>46303.25232638889</x:v>
      </x:c>
      <x:c r="L1059" s="2" t="str">
        <x:v>R2S3</x:v>
      </x:c>
      <x:c r="M1059" s="9" t="n">
        <x:v>25.284000000000002</x:v>
      </x:c>
      <x:c r="N1059" s="9" t="n">
        <x:v>51.504999999999995</x:v>
      </x:c>
      <x:c r="O1059" s="2" t="str">
        <x:v>Valid</x:v>
      </x:c>
      <x:c r="P1059" s="2" t="str">
        <x:v>EV002110</x:v>
      </x:c>
      <x:c r="Q1059" s="8" t="n">
        <x:v>46303.276979166665</x:v>
      </x:c>
      <x:c r="R1059" s="2" t="str">
        <x:v>SCH01</x:v>
      </x:c>
      <x:c r="S1059" s="9" t="n">
        <x:v>25.285</x:v>
      </x:c>
      <x:c r="T1059" s="9" t="n">
        <x:v>51.51</x:v>
      </x:c>
      <x:c r="U1059" s="2" t="str">
        <x:v>SCHOOL_RECEIVER_01</x:v>
      </x:c>
      <x:c r="V1059" s="2" t="str">
        <x:v>School staff receipt</x:v>
      </x:c>
      <x:c r="W1059" s="2" t="str">
        <x:v>Completed transport</x:v>
      </x:c>
      <x:c r="X1059" s="2" t="str">
        <x:v>QR</x:v>
      </x:c>
      <x:c r="Y1059" s="2" t="str">
        <x:v>Online</x:v>
      </x:c>
      <x:c r="Z1059" s="2" t="str">
        <x:v>Synced</x:v>
      </x:c>
      <x:c r="AA1059" s="2"/>
      <x:c r="AB1059" s="2"/>
      <x:c r="AC1059" s="10" t="n">
        <x:f>IF(OR(K1059="",Q1059=""),"",ROUND((Q1059-K1059)*1440,2))</x:f>
        <x:v>35.5</x:v>
      </x:c>
    </x:row>
    <x:row r="1060" ht="21" customHeight="1">
      <x:c r="A1060" s="2" t="str">
        <x:v>LN01059</x:v>
      </x:c>
      <x:c r="B1060" s="2" t="str">
        <x:v>T20261008-1-2</x:v>
      </x:c>
      <x:c r="C1060" s="7" t="n">
        <x:v>46303</x:v>
      </x:c>
      <x:c r="D1060" s="2" t="str">
        <x:v>BUS002</x:v>
      </x:c>
      <x:c r="E1060" s="2" t="str">
        <x:v>ST059</x:v>
      </x:c>
      <x:c r="F1060" s="2" t="n">
        <x:v>1</x:v>
      </x:c>
      <x:c r="G1060" s="2" t="str">
        <x:v>Senior</x:v>
      </x:c>
      <x:c r="H1060" s="2" t="str">
        <x:v>Pickup</x:v>
      </x:c>
      <x:c r="I1060" s="2" t="str">
        <x:v>R2S1</x:v>
      </x:c>
      <x:c r="J1060" s="2" t="str">
        <x:v>EV002111</x:v>
      </x:c>
      <x:c r="K1060" s="8" t="n">
        <x:v>46303.24263888889</x:v>
      </x:c>
      <x:c r="L1060" s="2" t="str">
        <x:v>R2S1</x:v>
      </x:c>
      <x:c r="M1060" s="9" t="n">
        <x:v>25.28</x:v>
      </x:c>
      <x:c r="N1060" s="9" t="n">
        <x:v>51.498999999999995</x:v>
      </x:c>
      <x:c r="O1060" s="2" t="str">
        <x:v>Valid</x:v>
      </x:c>
      <x:c r="P1060" s="2" t="str">
        <x:v>EV002112</x:v>
      </x:c>
      <x:c r="Q1060" s="8" t="n">
        <x:v>46303.27701388889</x:v>
      </x:c>
      <x:c r="R1060" s="2" t="str">
        <x:v>SCH01</x:v>
      </x:c>
      <x:c r="S1060" s="9" t="n">
        <x:v>25.285</x:v>
      </x:c>
      <x:c r="T1060" s="9" t="n">
        <x:v>51.51</x:v>
      </x:c>
      <x:c r="U1060" s="2" t="str">
        <x:v>SCHOOL_RECEIVER_01</x:v>
      </x:c>
      <x:c r="V1060" s="2" t="str">
        <x:v>School staff receipt</x:v>
      </x:c>
      <x:c r="W1060" s="2" t="str">
        <x:v>Completed transport</x:v>
      </x:c>
      <x:c r="X1060" s="2" t="str">
        <x:v>QR</x:v>
      </x:c>
      <x:c r="Y1060" s="2" t="str">
        <x:v>Online</x:v>
      </x:c>
      <x:c r="Z1060" s="2" t="str">
        <x:v>Synced</x:v>
      </x:c>
      <x:c r="AA1060" s="2"/>
      <x:c r="AB1060" s="2"/>
      <x:c r="AC1060" s="10" t="n">
        <x:f>IF(OR(K1060="",Q1060=""),"",ROUND((Q1060-K1060)*1440,2))</x:f>
        <x:v>49.5</x:v>
      </x:c>
    </x:row>
    <x:row r="1061" ht="21" customHeight="1">
      <x:c r="A1061" s="2" t="str">
        <x:v>LN01060</x:v>
      </x:c>
      <x:c r="B1061" s="2" t="str">
        <x:v>T20261008-1-2</x:v>
      </x:c>
      <x:c r="C1061" s="7" t="n">
        <x:v>46303</x:v>
      </x:c>
      <x:c r="D1061" s="2" t="str">
        <x:v>BUS002</x:v>
      </x:c>
      <x:c r="E1061" s="2" t="str">
        <x:v>ST060</x:v>
      </x:c>
      <x:c r="F1061" s="2" t="n">
        <x:v>1</x:v>
      </x:c>
      <x:c r="G1061" s="2" t="str">
        <x:v>Senior</x:v>
      </x:c>
      <x:c r="H1061" s="2" t="str">
        <x:v>Pickup</x:v>
      </x:c>
      <x:c r="I1061" s="2" t="str">
        <x:v>R2S2</x:v>
      </x:c>
      <x:c r="J1061" s="2" t="str">
        <x:v>EV002113</x:v>
      </x:c>
      <x:c r="K1061" s="8" t="n">
        <x:v>46303.24753472222</x:v>
      </x:c>
      <x:c r="L1061" s="2" t="str">
        <x:v>R2S2</x:v>
      </x:c>
      <x:c r="M1061" s="9" t="n">
        <x:v>25.282000000000004</x:v>
      </x:c>
      <x:c r="N1061" s="9" t="n">
        <x:v>51.501999999999995</x:v>
      </x:c>
      <x:c r="O1061" s="2" t="str">
        <x:v>Valid</x:v>
      </x:c>
      <x:c r="P1061" s="2" t="str">
        <x:v>EV002114</x:v>
      </x:c>
      <x:c r="Q1061" s="8" t="n">
        <x:v>46303.27704861111</x:v>
      </x:c>
      <x:c r="R1061" s="2" t="str">
        <x:v>SCH01</x:v>
      </x:c>
      <x:c r="S1061" s="9" t="n">
        <x:v>25.285</x:v>
      </x:c>
      <x:c r="T1061" s="9" t="n">
        <x:v>51.51</x:v>
      </x:c>
      <x:c r="U1061" s="2" t="str">
        <x:v>SCHOOL_RECEIVER_01</x:v>
      </x:c>
      <x:c r="V1061" s="2" t="str">
        <x:v>School staff receipt</x:v>
      </x:c>
      <x:c r="W1061" s="2" t="str">
        <x:v>Completed transport</x:v>
      </x:c>
      <x:c r="X1061" s="2" t="str">
        <x:v>QR</x:v>
      </x:c>
      <x:c r="Y1061" s="2" t="str">
        <x:v>Online</x:v>
      </x:c>
      <x:c r="Z1061" s="2" t="str">
        <x:v>Synced</x:v>
      </x:c>
      <x:c r="AA1061" s="2"/>
      <x:c r="AB1061" s="2"/>
      <x:c r="AC1061" s="10" t="n">
        <x:f>IF(OR(K1061="",Q1061=""),"",ROUND((Q1061-K1061)*1440,2))</x:f>
        <x:v>42.5</x:v>
      </x:c>
    </x:row>
    <x:row r="1062" ht="21" customHeight="1">
      <x:c r="A1062" s="2" t="str">
        <x:v>LN01061</x:v>
      </x:c>
      <x:c r="B1062" s="2" t="str">
        <x:v>T20261008-2-2</x:v>
      </x:c>
      <x:c r="C1062" s="7" t="n">
        <x:v>46303</x:v>
      </x:c>
      <x:c r="D1062" s="2" t="str">
        <x:v>BUS002</x:v>
      </x:c>
      <x:c r="E1062" s="2" t="str">
        <x:v>ST041</x:v>
      </x:c>
      <x:c r="F1062" s="2" t="n">
        <x:v>1</x:v>
      </x:c>
      <x:c r="G1062" s="2" t="str">
        <x:v>Junior</x:v>
      </x:c>
      <x:c r="H1062" s="2" t="str">
        <x:v>Drop-off</x:v>
      </x:c>
      <x:c r="I1062" s="2" t="str">
        <x:v>R2S1</x:v>
      </x:c>
      <x:c r="J1062" s="2" t="str">
        <x:v>EV002115</x:v>
      </x:c>
      <x:c r="K1062" s="8" t="n">
        <x:v>46303.4375</x:v>
      </x:c>
      <x:c r="L1062" s="2" t="str">
        <x:v>SCH01</x:v>
      </x:c>
      <x:c r="M1062" s="9" t="n">
        <x:v>25.285</x:v>
      </x:c>
      <x:c r="N1062" s="9" t="n">
        <x:v>51.51</x:v>
      </x:c>
      <x:c r="O1062" s="2" t="str">
        <x:v>Valid</x:v>
      </x:c>
      <x:c r="P1062" s="2" t="str">
        <x:v>EV002116</x:v>
      </x:c>
      <x:c r="Q1062" s="8" t="n">
        <x:v>46303.44930555555</x:v>
      </x:c>
      <x:c r="R1062" s="2" t="str">
        <x:v>R2S1</x:v>
      </x:c>
      <x:c r="S1062" s="9" t="n">
        <x:v>25.28</x:v>
      </x:c>
      <x:c r="T1062" s="9" t="n">
        <x:v>51.498999999999995</x:v>
      </x:c>
      <x:c r="U1062" s="2" t="str">
        <x:v>G041</x:v>
      </x:c>
      <x:c r="V1062" s="2" t="str">
        <x:v>Authorized guardian release</x:v>
      </x:c>
      <x:c r="W1062" s="2" t="str">
        <x:v>Completed transport</x:v>
      </x:c>
      <x:c r="X1062" s="2" t="str">
        <x:v>QR</x:v>
      </x:c>
      <x:c r="Y1062" s="2" t="str">
        <x:v>Online</x:v>
      </x:c>
      <x:c r="Z1062" s="2" t="str">
        <x:v>Synced</x:v>
      </x:c>
      <x:c r="AA1062" s="2"/>
      <x:c r="AB1062" s="2"/>
      <x:c r="AC1062" s="10" t="n">
        <x:f>IF(OR(K1062="",Q1062=""),"",ROUND((Q1062-K1062)*1440,2))</x:f>
        <x:v>17</x:v>
      </x:c>
    </x:row>
    <x:row r="1063" ht="21" customHeight="1">
      <x:c r="A1063" s="2" t="str">
        <x:v>LN01062</x:v>
      </x:c>
      <x:c r="B1063" s="2" t="str">
        <x:v>T20261008-2-2</x:v>
      </x:c>
      <x:c r="C1063" s="7" t="n">
        <x:v>46303</x:v>
      </x:c>
      <x:c r="D1063" s="2" t="str">
        <x:v>BUS002</x:v>
      </x:c>
      <x:c r="E1063" s="2" t="str">
        <x:v>ST042</x:v>
      </x:c>
      <x:c r="F1063" s="2" t="n">
        <x:v>1</x:v>
      </x:c>
      <x:c r="G1063" s="2" t="str">
        <x:v>Junior</x:v>
      </x:c>
      <x:c r="H1063" s="2" t="str">
        <x:v>Drop-off</x:v>
      </x:c>
      <x:c r="I1063" s="2" t="str">
        <x:v>R2S2</x:v>
      </x:c>
      <x:c r="J1063" s="2" t="str">
        <x:v>EV002117</x:v>
      </x:c>
      <x:c r="K1063" s="8" t="n">
        <x:v>46303.43753472222</x:v>
      </x:c>
      <x:c r="L1063" s="2" t="str">
        <x:v>SCH01</x:v>
      </x:c>
      <x:c r="M1063" s="9" t="n">
        <x:v>25.285</x:v>
      </x:c>
      <x:c r="N1063" s="9" t="n">
        <x:v>51.51</x:v>
      </x:c>
      <x:c r="O1063" s="2" t="str">
        <x:v>Valid</x:v>
      </x:c>
      <x:c r="P1063" s="2" t="str">
        <x:v>EV002118</x:v>
      </x:c>
      <x:c r="Q1063" s="8" t="n">
        <x:v>46303.45350694445</x:v>
      </x:c>
      <x:c r="R1063" s="2" t="str">
        <x:v>R2S2</x:v>
      </x:c>
      <x:c r="S1063" s="9" t="n">
        <x:v>25.282000000000004</x:v>
      </x:c>
      <x:c r="T1063" s="9" t="n">
        <x:v>51.501999999999995</x:v>
      </x:c>
      <x:c r="U1063" s="2" t="str">
        <x:v>G042</x:v>
      </x:c>
      <x:c r="V1063" s="2" t="str">
        <x:v>Authorized guardian release</x:v>
      </x:c>
      <x:c r="W1063" s="2" t="str">
        <x:v>Completed transport</x:v>
      </x:c>
      <x:c r="X1063" s="2" t="str">
        <x:v>QR</x:v>
      </x:c>
      <x:c r="Y1063" s="2" t="str">
        <x:v>Online</x:v>
      </x:c>
      <x:c r="Z1063" s="2" t="str">
        <x:v>Synced</x:v>
      </x:c>
      <x:c r="AA1063" s="2"/>
      <x:c r="AB1063" s="2"/>
      <x:c r="AC1063" s="10" t="n">
        <x:f>IF(OR(K1063="",Q1063=""),"",ROUND((Q1063-K1063)*1440,2))</x:f>
        <x:v>23</x:v>
      </x:c>
    </x:row>
    <x:row r="1064" ht="21" customHeight="1">
      <x:c r="A1064" s="2" t="str">
        <x:v>LN01063</x:v>
      </x:c>
      <x:c r="B1064" s="2" t="str">
        <x:v>T20261008-2-2</x:v>
      </x:c>
      <x:c r="C1064" s="7" t="n">
        <x:v>46303</x:v>
      </x:c>
      <x:c r="D1064" s="2" t="str">
        <x:v>BUS002</x:v>
      </x:c>
      <x:c r="E1064" s="2" t="str">
        <x:v>ST043</x:v>
      </x:c>
      <x:c r="F1064" s="2" t="n">
        <x:v>1</x:v>
      </x:c>
      <x:c r="G1064" s="2" t="str">
        <x:v>Junior</x:v>
      </x:c>
      <x:c r="H1064" s="2" t="str">
        <x:v>Drop-off</x:v>
      </x:c>
      <x:c r="I1064" s="2" t="str">
        <x:v>R2S3</x:v>
      </x:c>
      <x:c r="J1064" s="2" t="str">
        <x:v>EV002119</x:v>
      </x:c>
      <x:c r="K1064" s="8" t="n">
        <x:v>46303.437569444446</x:v>
      </x:c>
      <x:c r="L1064" s="2" t="str">
        <x:v>SCH01</x:v>
      </x:c>
      <x:c r="M1064" s="9" t="n">
        <x:v>25.285</x:v>
      </x:c>
      <x:c r="N1064" s="9" t="n">
        <x:v>51.51</x:v>
      </x:c>
      <x:c r="O1064" s="2" t="str">
        <x:v>Valid</x:v>
      </x:c>
      <x:c r="P1064" s="2" t="str">
        <x:v>EV002120</x:v>
      </x:c>
      <x:c r="Q1064" s="8" t="n">
        <x:v>46303.457708333335</x:v>
      </x:c>
      <x:c r="R1064" s="2" t="str">
        <x:v>R2S3</x:v>
      </x:c>
      <x:c r="S1064" s="9" t="n">
        <x:v>25.284000000000002</x:v>
      </x:c>
      <x:c r="T1064" s="9" t="n">
        <x:v>51.504999999999995</x:v>
      </x:c>
      <x:c r="U1064" s="2" t="str">
        <x:v>G043</x:v>
      </x:c>
      <x:c r="V1064" s="2" t="str">
        <x:v>Authorized guardian release</x:v>
      </x:c>
      <x:c r="W1064" s="2" t="str">
        <x:v>Completed transport</x:v>
      </x:c>
      <x:c r="X1064" s="2" t="str">
        <x:v>QR</x:v>
      </x:c>
      <x:c r="Y1064" s="2" t="str">
        <x:v>Online</x:v>
      </x:c>
      <x:c r="Z1064" s="2" t="str">
        <x:v>Synced</x:v>
      </x:c>
      <x:c r="AA1064" s="2"/>
      <x:c r="AB1064" s="2"/>
      <x:c r="AC1064" s="10" t="n">
        <x:f>IF(OR(K1064="",Q1064=""),"",ROUND((Q1064-K1064)*1440,2))</x:f>
        <x:v>29</x:v>
      </x:c>
    </x:row>
    <x:row r="1065" ht="21" customHeight="1">
      <x:c r="A1065" s="2" t="str">
        <x:v>LN01064</x:v>
      </x:c>
      <x:c r="B1065" s="2" t="str">
        <x:v>T20261008-2-2</x:v>
      </x:c>
      <x:c r="C1065" s="7" t="n">
        <x:v>46303</x:v>
      </x:c>
      <x:c r="D1065" s="2" t="str">
        <x:v>BUS002</x:v>
      </x:c>
      <x:c r="E1065" s="2" t="str">
        <x:v>ST044</x:v>
      </x:c>
      <x:c r="F1065" s="2" t="n">
        <x:v>1</x:v>
      </x:c>
      <x:c r="G1065" s="2" t="str">
        <x:v>Junior</x:v>
      </x:c>
      <x:c r="H1065" s="2" t="str">
        <x:v>Drop-off</x:v>
      </x:c>
      <x:c r="I1065" s="2" t="str">
        <x:v>R2S1</x:v>
      </x:c>
      <x:c r="J1065" s="2" t="str">
        <x:v>EV002121</x:v>
      </x:c>
      <x:c r="K1065" s="8" t="n">
        <x:v>46303.43760416667</x:v>
      </x:c>
      <x:c r="L1065" s="2" t="str">
        <x:v>SCH01</x:v>
      </x:c>
      <x:c r="M1065" s="9" t="n">
        <x:v>25.285</x:v>
      </x:c>
      <x:c r="N1065" s="9" t="n">
        <x:v>51.51</x:v>
      </x:c>
      <x:c r="O1065" s="2" t="str">
        <x:v>Valid</x:v>
      </x:c>
      <x:c r="P1065" s="2" t="str">
        <x:v>EV002122</x:v>
      </x:c>
      <x:c r="Q1065" s="8" t="n">
        <x:v>46303.44940972222</x:v>
      </x:c>
      <x:c r="R1065" s="2" t="str">
        <x:v>R2S1</x:v>
      </x:c>
      <x:c r="S1065" s="9" t="n">
        <x:v>25.28</x:v>
      </x:c>
      <x:c r="T1065" s="9" t="n">
        <x:v>51.498999999999995</x:v>
      </x:c>
      <x:c r="U1065" s="2" t="str">
        <x:v>G044</x:v>
      </x:c>
      <x:c r="V1065" s="2" t="str">
        <x:v>Authorized guardian release</x:v>
      </x:c>
      <x:c r="W1065" s="2" t="str">
        <x:v>Completed transport</x:v>
      </x:c>
      <x:c r="X1065" s="2" t="str">
        <x:v>QR</x:v>
      </x:c>
      <x:c r="Y1065" s="2" t="str">
        <x:v>Online</x:v>
      </x:c>
      <x:c r="Z1065" s="2" t="str">
        <x:v>Synced</x:v>
      </x:c>
      <x:c r="AA1065" s="2"/>
      <x:c r="AB1065" s="2"/>
      <x:c r="AC1065" s="10" t="n">
        <x:f>IF(OR(K1065="",Q1065=""),"",ROUND((Q1065-K1065)*1440,2))</x:f>
        <x:v>17</x:v>
      </x:c>
    </x:row>
    <x:row r="1066" ht="21" customHeight="1">
      <x:c r="A1066" s="2" t="str">
        <x:v>LN01065</x:v>
      </x:c>
      <x:c r="B1066" s="2" t="str">
        <x:v>T20261008-2-2</x:v>
      </x:c>
      <x:c r="C1066" s="7" t="n">
        <x:v>46303</x:v>
      </x:c>
      <x:c r="D1066" s="2" t="str">
        <x:v>BUS002</x:v>
      </x:c>
      <x:c r="E1066" s="2" t="str">
        <x:v>ST045</x:v>
      </x:c>
      <x:c r="F1066" s="2" t="n">
        <x:v>1</x:v>
      </x:c>
      <x:c r="G1066" s="2" t="str">
        <x:v>Junior</x:v>
      </x:c>
      <x:c r="H1066" s="2" t="str">
        <x:v>Drop-off</x:v>
      </x:c>
      <x:c r="I1066" s="2" t="str">
        <x:v>R2S2</x:v>
      </x:c>
      <x:c r="J1066" s="2" t="str">
        <x:v>EV002123</x:v>
      </x:c>
      <x:c r="K1066" s="8" t="n">
        <x:v>46303.43763888889</x:v>
      </x:c>
      <x:c r="L1066" s="2" t="str">
        <x:v>SCH01</x:v>
      </x:c>
      <x:c r="M1066" s="9" t="n">
        <x:v>25.285</x:v>
      </x:c>
      <x:c r="N1066" s="9" t="n">
        <x:v>51.51</x:v>
      </x:c>
      <x:c r="O1066" s="2" t="str">
        <x:v>Valid</x:v>
      </x:c>
      <x:c r="P1066" s="2" t="str">
        <x:v>EV002124</x:v>
      </x:c>
      <x:c r="Q1066" s="8" t="n">
        <x:v>46303.453611111116</x:v>
      </x:c>
      <x:c r="R1066" s="2" t="str">
        <x:v>R2S2</x:v>
      </x:c>
      <x:c r="S1066" s="9" t="n">
        <x:v>25.282000000000004</x:v>
      </x:c>
      <x:c r="T1066" s="9" t="n">
        <x:v>51.501999999999995</x:v>
      </x:c>
      <x:c r="U1066" s="2" t="str">
        <x:v>G045</x:v>
      </x:c>
      <x:c r="V1066" s="2" t="str">
        <x:v>Authorized guardian release</x:v>
      </x:c>
      <x:c r="W1066" s="2" t="str">
        <x:v>Completed transport</x:v>
      </x:c>
      <x:c r="X1066" s="2" t="str">
        <x:v>QR</x:v>
      </x:c>
      <x:c r="Y1066" s="2" t="str">
        <x:v>Online</x:v>
      </x:c>
      <x:c r="Z1066" s="2" t="str">
        <x:v>Synced</x:v>
      </x:c>
      <x:c r="AA1066" s="2"/>
      <x:c r="AB1066" s="2"/>
      <x:c r="AC1066" s="10" t="n">
        <x:f>IF(OR(K1066="",Q1066=""),"",ROUND((Q1066-K1066)*1440,2))</x:f>
        <x:v>23</x:v>
      </x:c>
    </x:row>
    <x:row r="1067" ht="21" customHeight="1">
      <x:c r="A1067" s="2" t="str">
        <x:v>LN01066</x:v>
      </x:c>
      <x:c r="B1067" s="2" t="str">
        <x:v>T20261008-2-2</x:v>
      </x:c>
      <x:c r="C1067" s="7" t="n">
        <x:v>46303</x:v>
      </x:c>
      <x:c r="D1067" s="2" t="str">
        <x:v>BUS002</x:v>
      </x:c>
      <x:c r="E1067" s="2" t="str">
        <x:v>ST046</x:v>
      </x:c>
      <x:c r="F1067" s="2" t="n">
        <x:v>1</x:v>
      </x:c>
      <x:c r="G1067" s="2" t="str">
        <x:v>Junior</x:v>
      </x:c>
      <x:c r="H1067" s="2" t="str">
        <x:v>Drop-off</x:v>
      </x:c>
      <x:c r="I1067" s="2" t="str">
        <x:v>R2S3</x:v>
      </x:c>
      <x:c r="J1067" s="2" t="str">
        <x:v>EV002125</x:v>
      </x:c>
      <x:c r="K1067" s="8" t="n">
        <x:v>46303.43767361111</x:v>
      </x:c>
      <x:c r="L1067" s="2" t="str">
        <x:v>SCH01</x:v>
      </x:c>
      <x:c r="M1067" s="9" t="n">
        <x:v>25.285</x:v>
      </x:c>
      <x:c r="N1067" s="9" t="n">
        <x:v>51.51</x:v>
      </x:c>
      <x:c r="O1067" s="2" t="str">
        <x:v>Valid</x:v>
      </x:c>
      <x:c r="P1067" s="2" t="str">
        <x:v>EV002126</x:v>
      </x:c>
      <x:c r="Q1067" s="8" t="n">
        <x:v>46303.4578125</x:v>
      </x:c>
      <x:c r="R1067" s="2" t="str">
        <x:v>R2S3</x:v>
      </x:c>
      <x:c r="S1067" s="9" t="n">
        <x:v>25.284000000000002</x:v>
      </x:c>
      <x:c r="T1067" s="9" t="n">
        <x:v>51.504999999999995</x:v>
      </x:c>
      <x:c r="U1067" s="2" t="str">
        <x:v>G046</x:v>
      </x:c>
      <x:c r="V1067" s="2" t="str">
        <x:v>Authorized guardian release</x:v>
      </x:c>
      <x:c r="W1067" s="2" t="str">
        <x:v>Completed transport</x:v>
      </x:c>
      <x:c r="X1067" s="2" t="str">
        <x:v>QR</x:v>
      </x:c>
      <x:c r="Y1067" s="2" t="str">
        <x:v>Online</x:v>
      </x:c>
      <x:c r="Z1067" s="2" t="str">
        <x:v>Synced</x:v>
      </x:c>
      <x:c r="AA1067" s="2"/>
      <x:c r="AB1067" s="2"/>
      <x:c r="AC1067" s="10" t="n">
        <x:f>IF(OR(K1067="",Q1067=""),"",ROUND((Q1067-K1067)*1440,2))</x:f>
        <x:v>29</x:v>
      </x:c>
    </x:row>
    <x:row r="1068" ht="21" customHeight="1">
      <x:c r="A1068" s="2" t="str">
        <x:v>LN01067</x:v>
      </x:c>
      <x:c r="B1068" s="2" t="str">
        <x:v>T20261008-2-2</x:v>
      </x:c>
      <x:c r="C1068" s="7" t="n">
        <x:v>46303</x:v>
      </x:c>
      <x:c r="D1068" s="2" t="str">
        <x:v>BUS002</x:v>
      </x:c>
      <x:c r="E1068" s="2" t="str">
        <x:v>ST047</x:v>
      </x:c>
      <x:c r="F1068" s="2" t="n">
        <x:v>1</x:v>
      </x:c>
      <x:c r="G1068" s="2" t="str">
        <x:v>Junior</x:v>
      </x:c>
      <x:c r="H1068" s="2" t="str">
        <x:v>Drop-off</x:v>
      </x:c>
      <x:c r="I1068" s="2" t="str">
        <x:v>R2S1</x:v>
      </x:c>
      <x:c r="J1068" s="2" t="str">
        <x:v>EV002127</x:v>
      </x:c>
      <x:c r="K1068" s="8" t="n">
        <x:v>46303.43770833333</x:v>
      </x:c>
      <x:c r="L1068" s="2" t="str">
        <x:v>SCH01</x:v>
      </x:c>
      <x:c r="M1068" s="9" t="n">
        <x:v>25.285</x:v>
      </x:c>
      <x:c r="N1068" s="9" t="n">
        <x:v>51.51</x:v>
      </x:c>
      <x:c r="O1068" s="2" t="str">
        <x:v>Valid</x:v>
      </x:c>
      <x:c r="P1068" s="2" t="str">
        <x:v>EV002128</x:v>
      </x:c>
      <x:c r="Q1068" s="8" t="n">
        <x:v>46303.44951388888</x:v>
      </x:c>
      <x:c r="R1068" s="2" t="str">
        <x:v>R2S1</x:v>
      </x:c>
      <x:c r="S1068" s="9" t="n">
        <x:v>25.28</x:v>
      </x:c>
      <x:c r="T1068" s="9" t="n">
        <x:v>51.498999999999995</x:v>
      </x:c>
      <x:c r="U1068" s="2" t="str">
        <x:v>G047</x:v>
      </x:c>
      <x:c r="V1068" s="2" t="str">
        <x:v>Authorized guardian release</x:v>
      </x:c>
      <x:c r="W1068" s="2" t="str">
        <x:v>Completed transport</x:v>
      </x:c>
      <x:c r="X1068" s="2" t="str">
        <x:v>QR</x:v>
      </x:c>
      <x:c r="Y1068" s="2" t="str">
        <x:v>Online</x:v>
      </x:c>
      <x:c r="Z1068" s="2" t="str">
        <x:v>Synced</x:v>
      </x:c>
      <x:c r="AA1068" s="2"/>
      <x:c r="AB1068" s="2"/>
      <x:c r="AC1068" s="10" t="n">
        <x:f>IF(OR(K1068="",Q1068=""),"",ROUND((Q1068-K1068)*1440,2))</x:f>
        <x:v>17</x:v>
      </x:c>
    </x:row>
    <x:row r="1069" ht="21" customHeight="1">
      <x:c r="A1069" s="2" t="str">
        <x:v>LN01068</x:v>
      </x:c>
      <x:c r="B1069" s="2" t="str">
        <x:v>T20261008-2-2</x:v>
      </x:c>
      <x:c r="C1069" s="7" t="n">
        <x:v>46303</x:v>
      </x:c>
      <x:c r="D1069" s="2" t="str">
        <x:v>BUS002</x:v>
      </x:c>
      <x:c r="E1069" s="2" t="str">
        <x:v>ST048</x:v>
      </x:c>
      <x:c r="F1069" s="2" t="n">
        <x:v>1</x:v>
      </x:c>
      <x:c r="G1069" s="2" t="str">
        <x:v>Junior</x:v>
      </x:c>
      <x:c r="H1069" s="2" t="str">
        <x:v>Drop-off</x:v>
      </x:c>
      <x:c r="I1069" s="2" t="str">
        <x:v>R2S2</x:v>
      </x:c>
      <x:c r="J1069" s="2" t="str">
        <x:v>EV002129</x:v>
      </x:c>
      <x:c r="K1069" s="8" t="n">
        <x:v>46303.437743055554</x:v>
      </x:c>
      <x:c r="L1069" s="2" t="str">
        <x:v>SCH01</x:v>
      </x:c>
      <x:c r="M1069" s="9" t="n">
        <x:v>25.285</x:v>
      </x:c>
      <x:c r="N1069" s="9" t="n">
        <x:v>51.51</x:v>
      </x:c>
      <x:c r="O1069" s="2" t="str">
        <x:v>Valid</x:v>
      </x:c>
      <x:c r="P1069" s="2" t="str">
        <x:v>EV002130</x:v>
      </x:c>
      <x:c r="Q1069" s="8" t="n">
        <x:v>46303.45371527778</x:v>
      </x:c>
      <x:c r="R1069" s="2" t="str">
        <x:v>R2S2</x:v>
      </x:c>
      <x:c r="S1069" s="9" t="n">
        <x:v>25.282000000000004</x:v>
      </x:c>
      <x:c r="T1069" s="9" t="n">
        <x:v>51.501999999999995</x:v>
      </x:c>
      <x:c r="U1069" s="2" t="str">
        <x:v>G048</x:v>
      </x:c>
      <x:c r="V1069" s="2" t="str">
        <x:v>Authorized guardian release</x:v>
      </x:c>
      <x:c r="W1069" s="2" t="str">
        <x:v>Completed transport</x:v>
      </x:c>
      <x:c r="X1069" s="2" t="str">
        <x:v>QR</x:v>
      </x:c>
      <x:c r="Y1069" s="2" t="str">
        <x:v>Online</x:v>
      </x:c>
      <x:c r="Z1069" s="2" t="str">
        <x:v>Synced</x:v>
      </x:c>
      <x:c r="AA1069" s="2"/>
      <x:c r="AB1069" s="2"/>
      <x:c r="AC1069" s="10" t="n">
        <x:f>IF(OR(K1069="",Q1069=""),"",ROUND((Q1069-K1069)*1440,2))</x:f>
        <x:v>23</x:v>
      </x:c>
    </x:row>
    <x:row r="1070" ht="21" customHeight="1">
      <x:c r="A1070" s="2" t="str">
        <x:v>LN01069</x:v>
      </x:c>
      <x:c r="B1070" s="2" t="str">
        <x:v>T20261008-2-2</x:v>
      </x:c>
      <x:c r="C1070" s="7" t="n">
        <x:v>46303</x:v>
      </x:c>
      <x:c r="D1070" s="2" t="str">
        <x:v>BUS002</x:v>
      </x:c>
      <x:c r="E1070" s="2" t="str">
        <x:v>ST049</x:v>
      </x:c>
      <x:c r="F1070" s="2" t="n">
        <x:v>1</x:v>
      </x:c>
      <x:c r="G1070" s="2" t="str">
        <x:v>Junior</x:v>
      </x:c>
      <x:c r="H1070" s="2" t="str">
        <x:v>Drop-off</x:v>
      </x:c>
      <x:c r="I1070" s="2" t="str">
        <x:v>R2S3</x:v>
      </x:c>
      <x:c r="J1070" s="2" t="str">
        <x:v>EV002131</x:v>
      </x:c>
      <x:c r="K1070" s="8" t="n">
        <x:v>46303.43777777778</x:v>
      </x:c>
      <x:c r="L1070" s="2" t="str">
        <x:v>SCH01</x:v>
      </x:c>
      <x:c r="M1070" s="9" t="n">
        <x:v>25.285</x:v>
      </x:c>
      <x:c r="N1070" s="9" t="n">
        <x:v>51.51</x:v>
      </x:c>
      <x:c r="O1070" s="2" t="str">
        <x:v>Valid</x:v>
      </x:c>
      <x:c r="P1070" s="2" t="str">
        <x:v>EV002132</x:v>
      </x:c>
      <x:c r="Q1070" s="8" t="n">
        <x:v>46303.457916666666</x:v>
      </x:c>
      <x:c r="R1070" s="2" t="str">
        <x:v>R2S3</x:v>
      </x:c>
      <x:c r="S1070" s="9" t="n">
        <x:v>25.284000000000002</x:v>
      </x:c>
      <x:c r="T1070" s="9" t="n">
        <x:v>51.504999999999995</x:v>
      </x:c>
      <x:c r="U1070" s="2" t="str">
        <x:v>G049</x:v>
      </x:c>
      <x:c r="V1070" s="2" t="str">
        <x:v>Authorized guardian release</x:v>
      </x:c>
      <x:c r="W1070" s="2" t="str">
        <x:v>Completed transport</x:v>
      </x:c>
      <x:c r="X1070" s="2" t="str">
        <x:v>QR</x:v>
      </x:c>
      <x:c r="Y1070" s="2" t="str">
        <x:v>Online</x:v>
      </x:c>
      <x:c r="Z1070" s="2" t="str">
        <x:v>Synced</x:v>
      </x:c>
      <x:c r="AA1070" s="2"/>
      <x:c r="AB1070" s="2"/>
      <x:c r="AC1070" s="10" t="n">
        <x:f>IF(OR(K1070="",Q1070=""),"",ROUND((Q1070-K1070)*1440,2))</x:f>
        <x:v>29</x:v>
      </x:c>
    </x:row>
    <x:row r="1071" ht="21" customHeight="1">
      <x:c r="A1071" s="2" t="str">
        <x:v>LN01070</x:v>
      </x:c>
      <x:c r="B1071" s="2" t="str">
        <x:v>T20261008-2-2</x:v>
      </x:c>
      <x:c r="C1071" s="7" t="n">
        <x:v>46303</x:v>
      </x:c>
      <x:c r="D1071" s="2" t="str">
        <x:v>BUS002</x:v>
      </x:c>
      <x:c r="E1071" s="2" t="str">
        <x:v>ST050</x:v>
      </x:c>
      <x:c r="F1071" s="2" t="n">
        <x:v>1</x:v>
      </x:c>
      <x:c r="G1071" s="2" t="str">
        <x:v>Junior</x:v>
      </x:c>
      <x:c r="H1071" s="2" t="str">
        <x:v>Drop-off</x:v>
      </x:c>
      <x:c r="I1071" s="2" t="str">
        <x:v>R2S1</x:v>
      </x:c>
      <x:c r="J1071" s="2" t="str">
        <x:v>EV002133</x:v>
      </x:c>
      <x:c r="K1071" s="8" t="n">
        <x:v>46303.4378125</x:v>
      </x:c>
      <x:c r="L1071" s="2" t="str">
        <x:v>SCH01</x:v>
      </x:c>
      <x:c r="M1071" s="9" t="n">
        <x:v>25.285</x:v>
      </x:c>
      <x:c r="N1071" s="9" t="n">
        <x:v>51.51</x:v>
      </x:c>
      <x:c r="O1071" s="2" t="str">
        <x:v>Valid</x:v>
      </x:c>
      <x:c r="P1071" s="2" t="str">
        <x:v>EV002134</x:v>
      </x:c>
      <x:c r="Q1071" s="8" t="n">
        <x:v>46303.44961805555</x:v>
      </x:c>
      <x:c r="R1071" s="2" t="str">
        <x:v>R2S1</x:v>
      </x:c>
      <x:c r="S1071" s="9" t="n">
        <x:v>25.28</x:v>
      </x:c>
      <x:c r="T1071" s="9" t="n">
        <x:v>51.498999999999995</x:v>
      </x:c>
      <x:c r="U1071" s="2" t="str">
        <x:v>G050</x:v>
      </x:c>
      <x:c r="V1071" s="2" t="str">
        <x:v>Authorized guardian release</x:v>
      </x:c>
      <x:c r="W1071" s="2" t="str">
        <x:v>Completed transport</x:v>
      </x:c>
      <x:c r="X1071" s="2" t="str">
        <x:v>QR</x:v>
      </x:c>
      <x:c r="Y1071" s="2" t="str">
        <x:v>Online</x:v>
      </x:c>
      <x:c r="Z1071" s="2" t="str">
        <x:v>Synced</x:v>
      </x:c>
      <x:c r="AA1071" s="2"/>
      <x:c r="AB1071" s="2"/>
      <x:c r="AC1071" s="10" t="n">
        <x:f>IF(OR(K1071="",Q1071=""),"",ROUND((Q1071-K1071)*1440,2))</x:f>
        <x:v>17</x:v>
      </x:c>
    </x:row>
    <x:row r="1072" ht="21" customHeight="1">
      <x:c r="A1072" s="2" t="str">
        <x:v>LN01071</x:v>
      </x:c>
      <x:c r="B1072" s="2" t="str">
        <x:v>T20261008-2-2</x:v>
      </x:c>
      <x:c r="C1072" s="7" t="n">
        <x:v>46303</x:v>
      </x:c>
      <x:c r="D1072" s="2" t="str">
        <x:v>BUS002</x:v>
      </x:c>
      <x:c r="E1072" s="2" t="str">
        <x:v>ST061</x:v>
      </x:c>
      <x:c r="F1072" s="2" t="n">
        <x:v>2</x:v>
      </x:c>
      <x:c r="G1072" s="2" t="str">
        <x:v>Junior</x:v>
      </x:c>
      <x:c r="H1072" s="2" t="str">
        <x:v>Pickup</x:v>
      </x:c>
      <x:c r="I1072" s="2" t="str">
        <x:v>R2S3</x:v>
      </x:c>
      <x:c r="J1072" s="2" t="str">
        <x:v>EV002135</x:v>
      </x:c>
      <x:c r="K1072" s="8" t="n">
        <x:v>46303.48125</x:v>
      </x:c>
      <x:c r="L1072" s="2" t="str">
        <x:v>R2S3</x:v>
      </x:c>
      <x:c r="M1072" s="9" t="n">
        <x:v>25.284000000000002</x:v>
      </x:c>
      <x:c r="N1072" s="9" t="n">
        <x:v>51.504999999999995</x:v>
      </x:c>
      <x:c r="O1072" s="2" t="str">
        <x:v>Valid</x:v>
      </x:c>
      <x:c r="P1072" s="2" t="str">
        <x:v>EV002136</x:v>
      </x:c>
      <x:c r="Q1072" s="8" t="n">
        <x:v>46303.506250000006</x:v>
      </x:c>
      <x:c r="R1072" s="2" t="str">
        <x:v>SCH01</x:v>
      </x:c>
      <x:c r="S1072" s="9" t="n">
        <x:v>25.285</x:v>
      </x:c>
      <x:c r="T1072" s="9" t="n">
        <x:v>51.51</x:v>
      </x:c>
      <x:c r="U1072" s="2" t="str">
        <x:v>SCHOOL_RECEIVER_01</x:v>
      </x:c>
      <x:c r="V1072" s="2" t="str">
        <x:v>School staff receipt</x:v>
      </x:c>
      <x:c r="W1072" s="2" t="str">
        <x:v>Completed transport</x:v>
      </x:c>
      <x:c r="X1072" s="2" t="str">
        <x:v>QR</x:v>
      </x:c>
      <x:c r="Y1072" s="2" t="str">
        <x:v>Online</x:v>
      </x:c>
      <x:c r="Z1072" s="2" t="str">
        <x:v>Synced</x:v>
      </x:c>
      <x:c r="AA1072" s="2"/>
      <x:c r="AB1072" s="2"/>
      <x:c r="AC1072" s="10" t="n">
        <x:f>IF(OR(K1072="",Q1072=""),"",ROUND((Q1072-K1072)*1440,2))</x:f>
        <x:v>36</x:v>
      </x:c>
    </x:row>
    <x:row r="1073" ht="21" customHeight="1">
      <x:c r="A1073" s="2" t="str">
        <x:v>LN01072</x:v>
      </x:c>
      <x:c r="B1073" s="2" t="str">
        <x:v>T20261008-2-2</x:v>
      </x:c>
      <x:c r="C1073" s="7" t="n">
        <x:v>46303</x:v>
      </x:c>
      <x:c r="D1073" s="2" t="str">
        <x:v>BUS002</x:v>
      </x:c>
      <x:c r="E1073" s="2" t="str">
        <x:v>ST062</x:v>
      </x:c>
      <x:c r="F1073" s="2" t="n">
        <x:v>2</x:v>
      </x:c>
      <x:c r="G1073" s="2" t="str">
        <x:v>Junior</x:v>
      </x:c>
      <x:c r="H1073" s="2" t="str">
        <x:v>Pickup</x:v>
      </x:c>
      <x:c r="I1073" s="2" t="str">
        <x:v>R2S1</x:v>
      </x:c>
      <x:c r="J1073" s="2" t="str">
        <x:v>EV002137</x:v>
      </x:c>
      <x:c r="K1073" s="8" t="n">
        <x:v>46303.4715625</x:v>
      </x:c>
      <x:c r="L1073" s="2" t="str">
        <x:v>R2S1</x:v>
      </x:c>
      <x:c r="M1073" s="9" t="n">
        <x:v>25.28</x:v>
      </x:c>
      <x:c r="N1073" s="9" t="n">
        <x:v>51.498999999999995</x:v>
      </x:c>
      <x:c r="O1073" s="2" t="str">
        <x:v>Valid</x:v>
      </x:c>
      <x:c r="P1073" s="2" t="str">
        <x:v>EV002138</x:v>
      </x:c>
      <x:c r="Q1073" s="8" t="n">
        <x:v>46303.50628472223</x:v>
      </x:c>
      <x:c r="R1073" s="2" t="str">
        <x:v>SCH01</x:v>
      </x:c>
      <x:c r="S1073" s="9" t="n">
        <x:v>25.285</x:v>
      </x:c>
      <x:c r="T1073" s="9" t="n">
        <x:v>51.51</x:v>
      </x:c>
      <x:c r="U1073" s="2" t="str">
        <x:v>SCHOOL_RECEIVER_01</x:v>
      </x:c>
      <x:c r="V1073" s="2" t="str">
        <x:v>School staff receipt</x:v>
      </x:c>
      <x:c r="W1073" s="2" t="str">
        <x:v>Completed transport</x:v>
      </x:c>
      <x:c r="X1073" s="2" t="str">
        <x:v>QR</x:v>
      </x:c>
      <x:c r="Y1073" s="2" t="str">
        <x:v>Online</x:v>
      </x:c>
      <x:c r="Z1073" s="2" t="str">
        <x:v>Synced</x:v>
      </x:c>
      <x:c r="AA1073" s="2"/>
      <x:c r="AB1073" s="2"/>
      <x:c r="AC1073" s="10" t="n">
        <x:f>IF(OR(K1073="",Q1073=""),"",ROUND((Q1073-K1073)*1440,2))</x:f>
        <x:v>50</x:v>
      </x:c>
    </x:row>
    <x:row r="1074" ht="21" customHeight="1">
      <x:c r="A1074" s="2" t="str">
        <x:v>LN01073</x:v>
      </x:c>
      <x:c r="B1074" s="2" t="str">
        <x:v>T20261008-2-2</x:v>
      </x:c>
      <x:c r="C1074" s="7" t="n">
        <x:v>46303</x:v>
      </x:c>
      <x:c r="D1074" s="2" t="str">
        <x:v>BUS002</x:v>
      </x:c>
      <x:c r="E1074" s="2" t="str">
        <x:v>ST063</x:v>
      </x:c>
      <x:c r="F1074" s="2" t="n">
        <x:v>2</x:v>
      </x:c>
      <x:c r="G1074" s="2" t="str">
        <x:v>Junior</x:v>
      </x:c>
      <x:c r="H1074" s="2" t="str">
        <x:v>Pickup</x:v>
      </x:c>
      <x:c r="I1074" s="2" t="str">
        <x:v>R2S2</x:v>
      </x:c>
      <x:c r="J1074" s="2" t="str">
        <x:v>EV002139</x:v>
      </x:c>
      <x:c r="K1074" s="8" t="n">
        <x:v>46303.47645833333</x:v>
      </x:c>
      <x:c r="L1074" s="2" t="str">
        <x:v>R2S2</x:v>
      </x:c>
      <x:c r="M1074" s="9" t="n">
        <x:v>25.282000000000004</x:v>
      </x:c>
      <x:c r="N1074" s="9" t="n">
        <x:v>51.501999999999995</x:v>
      </x:c>
      <x:c r="O1074" s="2" t="str">
        <x:v>Valid</x:v>
      </x:c>
      <x:c r="P1074" s="2" t="str">
        <x:v>EV002140</x:v>
      </x:c>
      <x:c r="Q1074" s="8" t="n">
        <x:v>46303.506319444445</x:v>
      </x:c>
      <x:c r="R1074" s="2" t="str">
        <x:v>SCH01</x:v>
      </x:c>
      <x:c r="S1074" s="9" t="n">
        <x:v>25.285</x:v>
      </x:c>
      <x:c r="T1074" s="9" t="n">
        <x:v>51.51</x:v>
      </x:c>
      <x:c r="U1074" s="2" t="str">
        <x:v>SCHOOL_RECEIVER_01</x:v>
      </x:c>
      <x:c r="V1074" s="2" t="str">
        <x:v>School staff receipt</x:v>
      </x:c>
      <x:c r="W1074" s="2" t="str">
        <x:v>Completed transport</x:v>
      </x:c>
      <x:c r="X1074" s="2" t="str">
        <x:v>QR</x:v>
      </x:c>
      <x:c r="Y1074" s="2" t="str">
        <x:v>Online</x:v>
      </x:c>
      <x:c r="Z1074" s="2" t="str">
        <x:v>Synced</x:v>
      </x:c>
      <x:c r="AA1074" s="2"/>
      <x:c r="AB1074" s="2"/>
      <x:c r="AC1074" s="10" t="n">
        <x:f>IF(OR(K1074="",Q1074=""),"",ROUND((Q1074-K1074)*1440,2))</x:f>
        <x:v>43</x:v>
      </x:c>
    </x:row>
    <x:row r="1075" ht="21" customHeight="1">
      <x:c r="A1075" s="2" t="str">
        <x:v>LN01074</x:v>
      </x:c>
      <x:c r="B1075" s="2" t="str">
        <x:v>T20261008-2-2</x:v>
      </x:c>
      <x:c r="C1075" s="7" t="n">
        <x:v>46303</x:v>
      </x:c>
      <x:c r="D1075" s="2" t="str">
        <x:v>BUS002</x:v>
      </x:c>
      <x:c r="E1075" s="2" t="str">
        <x:v>ST064</x:v>
      </x:c>
      <x:c r="F1075" s="2" t="n">
        <x:v>2</x:v>
      </x:c>
      <x:c r="G1075" s="2" t="str">
        <x:v>Junior</x:v>
      </x:c>
      <x:c r="H1075" s="2" t="str">
        <x:v>Pickup</x:v>
      </x:c>
      <x:c r="I1075" s="2" t="str">
        <x:v>R2S3</x:v>
      </x:c>
      <x:c r="J1075" s="2" t="str">
        <x:v>EV002141</x:v>
      </x:c>
      <x:c r="K1075" s="8" t="n">
        <x:v>46303.481354166666</x:v>
      </x:c>
      <x:c r="L1075" s="2" t="str">
        <x:v>R2S3</x:v>
      </x:c>
      <x:c r="M1075" s="9" t="n">
        <x:v>25.284000000000002</x:v>
      </x:c>
      <x:c r="N1075" s="9" t="n">
        <x:v>51.504999999999995</x:v>
      </x:c>
      <x:c r="O1075" s="2" t="str">
        <x:v>Valid</x:v>
      </x:c>
      <x:c r="P1075" s="2" t="str">
        <x:v>EV002142</x:v>
      </x:c>
      <x:c r="Q1075" s="8" t="n">
        <x:v>46303.50635416667</x:v>
      </x:c>
      <x:c r="R1075" s="2" t="str">
        <x:v>SCH01</x:v>
      </x:c>
      <x:c r="S1075" s="9" t="n">
        <x:v>25.285</x:v>
      </x:c>
      <x:c r="T1075" s="9" t="n">
        <x:v>51.51</x:v>
      </x:c>
      <x:c r="U1075" s="2" t="str">
        <x:v>SCHOOL_RECEIVER_01</x:v>
      </x:c>
      <x:c r="V1075" s="2" t="str">
        <x:v>School staff receipt</x:v>
      </x:c>
      <x:c r="W1075" s="2" t="str">
        <x:v>Completed transport</x:v>
      </x:c>
      <x:c r="X1075" s="2" t="str">
        <x:v>QR</x:v>
      </x:c>
      <x:c r="Y1075" s="2" t="str">
        <x:v>Online</x:v>
      </x:c>
      <x:c r="Z1075" s="2" t="str">
        <x:v>Synced</x:v>
      </x:c>
      <x:c r="AA1075" s="2"/>
      <x:c r="AB1075" s="2"/>
      <x:c r="AC1075" s="10" t="n">
        <x:f>IF(OR(K1075="",Q1075=""),"",ROUND((Q1075-K1075)*1440,2))</x:f>
        <x:v>36</x:v>
      </x:c>
    </x:row>
    <x:row r="1076" ht="21" customHeight="1">
      <x:c r="A1076" s="2" t="str">
        <x:v>LN01075</x:v>
      </x:c>
      <x:c r="B1076" s="2" t="str">
        <x:v>T20261008-2-2</x:v>
      </x:c>
      <x:c r="C1076" s="7" t="n">
        <x:v>46303</x:v>
      </x:c>
      <x:c r="D1076" s="2" t="str">
        <x:v>BUS002</x:v>
      </x:c>
      <x:c r="E1076" s="2" t="str">
        <x:v>ST065</x:v>
      </x:c>
      <x:c r="F1076" s="2" t="n">
        <x:v>2</x:v>
      </x:c>
      <x:c r="G1076" s="2" t="str">
        <x:v>Junior</x:v>
      </x:c>
      <x:c r="H1076" s="2" t="str">
        <x:v>Pickup</x:v>
      </x:c>
      <x:c r="I1076" s="2" t="str">
        <x:v>R2S1</x:v>
      </x:c>
      <x:c r="J1076" s="2" t="str">
        <x:v>EV002143</x:v>
      </x:c>
      <x:c r="K1076" s="8" t="n">
        <x:v>46303.47166666667</x:v>
      </x:c>
      <x:c r="L1076" s="2" t="str">
        <x:v>R2S1</x:v>
      </x:c>
      <x:c r="M1076" s="9" t="n">
        <x:v>25.28</x:v>
      </x:c>
      <x:c r="N1076" s="9" t="n">
        <x:v>51.498999999999995</x:v>
      </x:c>
      <x:c r="O1076" s="2" t="str">
        <x:v>Valid</x:v>
      </x:c>
      <x:c r="P1076" s="2" t="str">
        <x:v>EV002144</x:v>
      </x:c>
      <x:c r="Q1076" s="8" t="n">
        <x:v>46303.50638888889</x:v>
      </x:c>
      <x:c r="R1076" s="2" t="str">
        <x:v>SCH01</x:v>
      </x:c>
      <x:c r="S1076" s="9" t="n">
        <x:v>25.285</x:v>
      </x:c>
      <x:c r="T1076" s="9" t="n">
        <x:v>51.51</x:v>
      </x:c>
      <x:c r="U1076" s="2" t="str">
        <x:v>SCHOOL_RECEIVER_01</x:v>
      </x:c>
      <x:c r="V1076" s="2" t="str">
        <x:v>School staff receipt</x:v>
      </x:c>
      <x:c r="W1076" s="2" t="str">
        <x:v>Completed transport</x:v>
      </x:c>
      <x:c r="X1076" s="2" t="str">
        <x:v>QR</x:v>
      </x:c>
      <x:c r="Y1076" s="2" t="str">
        <x:v>Online</x:v>
      </x:c>
      <x:c r="Z1076" s="2" t="str">
        <x:v>Synced</x:v>
      </x:c>
      <x:c r="AA1076" s="2"/>
      <x:c r="AB1076" s="2"/>
      <x:c r="AC1076" s="10" t="n">
        <x:f>IF(OR(K1076="",Q1076=""),"",ROUND((Q1076-K1076)*1440,2))</x:f>
        <x:v>50</x:v>
      </x:c>
    </x:row>
    <x:row r="1077" ht="21" customHeight="1">
      <x:c r="A1077" s="2" t="str">
        <x:v>LN01076</x:v>
      </x:c>
      <x:c r="B1077" s="2" t="str">
        <x:v>T20261008-2-2</x:v>
      </x:c>
      <x:c r="C1077" s="7" t="n">
        <x:v>46303</x:v>
      </x:c>
      <x:c r="D1077" s="2" t="str">
        <x:v>BUS002</x:v>
      </x:c>
      <x:c r="E1077" s="2" t="str">
        <x:v>ST066</x:v>
      </x:c>
      <x:c r="F1077" s="2" t="n">
        <x:v>2</x:v>
      </x:c>
      <x:c r="G1077" s="2" t="str">
        <x:v>Junior</x:v>
      </x:c>
      <x:c r="H1077" s="2" t="str">
        <x:v>Pickup</x:v>
      </x:c>
      <x:c r="I1077" s="2" t="str">
        <x:v>R2S2</x:v>
      </x:c>
      <x:c r="J1077" s="2" t="str">
        <x:v>EV002145</x:v>
      </x:c>
      <x:c r="K1077" s="8" t="n">
        <x:v>46303.47656249999</x:v>
      </x:c>
      <x:c r="L1077" s="2" t="str">
        <x:v>R2S2</x:v>
      </x:c>
      <x:c r="M1077" s="9" t="n">
        <x:v>25.282000000000004</x:v>
      </x:c>
      <x:c r="N1077" s="9" t="n">
        <x:v>51.501999999999995</x:v>
      </x:c>
      <x:c r="O1077" s="2" t="str">
        <x:v>Valid</x:v>
      </x:c>
      <x:c r="P1077" s="2" t="str">
        <x:v>EV002146</x:v>
      </x:c>
      <x:c r="Q1077" s="8" t="n">
        <x:v>46303.506423611114</x:v>
      </x:c>
      <x:c r="R1077" s="2" t="str">
        <x:v>SCH01</x:v>
      </x:c>
      <x:c r="S1077" s="9" t="n">
        <x:v>25.285</x:v>
      </x:c>
      <x:c r="T1077" s="9" t="n">
        <x:v>51.51</x:v>
      </x:c>
      <x:c r="U1077" s="2" t="str">
        <x:v>SCHOOL_RECEIVER_01</x:v>
      </x:c>
      <x:c r="V1077" s="2" t="str">
        <x:v>School staff receipt</x:v>
      </x:c>
      <x:c r="W1077" s="2" t="str">
        <x:v>Completed transport</x:v>
      </x:c>
      <x:c r="X1077" s="2" t="str">
        <x:v>QR</x:v>
      </x:c>
      <x:c r="Y1077" s="2" t="str">
        <x:v>Online</x:v>
      </x:c>
      <x:c r="Z1077" s="2" t="str">
        <x:v>Synced</x:v>
      </x:c>
      <x:c r="AA1077" s="2"/>
      <x:c r="AB1077" s="2"/>
      <x:c r="AC1077" s="10" t="n">
        <x:f>IF(OR(K1077="",Q1077=""),"",ROUND((Q1077-K1077)*1440,2))</x:f>
        <x:v>43</x:v>
      </x:c>
    </x:row>
    <x:row r="1078" ht="21" customHeight="1">
      <x:c r="A1078" s="2" t="str">
        <x:v>LN01077</x:v>
      </x:c>
      <x:c r="B1078" s="2" t="str">
        <x:v>T20261008-2-2</x:v>
      </x:c>
      <x:c r="C1078" s="7" t="n">
        <x:v>46303</x:v>
      </x:c>
      <x:c r="D1078" s="2" t="str">
        <x:v>BUS002</x:v>
      </x:c>
      <x:c r="E1078" s="2" t="str">
        <x:v>ST067</x:v>
      </x:c>
      <x:c r="F1078" s="2" t="n">
        <x:v>2</x:v>
      </x:c>
      <x:c r="G1078" s="2" t="str">
        <x:v>Junior</x:v>
      </x:c>
      <x:c r="H1078" s="2" t="str">
        <x:v>Pickup</x:v>
      </x:c>
      <x:c r="I1078" s="2" t="str">
        <x:v>R2S3</x:v>
      </x:c>
      <x:c r="J1078" s="2" t="str">
        <x:v>EV002147</x:v>
      </x:c>
      <x:c r="K1078" s="8" t="n">
        <x:v>46303.48145833333</x:v>
      </x:c>
      <x:c r="L1078" s="2" t="str">
        <x:v>R2S3</x:v>
      </x:c>
      <x:c r="M1078" s="9" t="n">
        <x:v>25.284000000000002</x:v>
      </x:c>
      <x:c r="N1078" s="9" t="n">
        <x:v>51.504999999999995</x:v>
      </x:c>
      <x:c r="O1078" s="2" t="str">
        <x:v>Valid</x:v>
      </x:c>
      <x:c r="P1078" s="2" t="str">
        <x:v>EV002148</x:v>
      </x:c>
      <x:c r="Q1078" s="8" t="n">
        <x:v>46303.50645833334</x:v>
      </x:c>
      <x:c r="R1078" s="2" t="str">
        <x:v>SCH01</x:v>
      </x:c>
      <x:c r="S1078" s="9" t="n">
        <x:v>25.285</x:v>
      </x:c>
      <x:c r="T1078" s="9" t="n">
        <x:v>51.51</x:v>
      </x:c>
      <x:c r="U1078" s="2" t="str">
        <x:v>SCHOOL_RECEIVER_01</x:v>
      </x:c>
      <x:c r="V1078" s="2" t="str">
        <x:v>School staff receipt</x:v>
      </x:c>
      <x:c r="W1078" s="2" t="str">
        <x:v>Completed transport</x:v>
      </x:c>
      <x:c r="X1078" s="2" t="str">
        <x:v>QR</x:v>
      </x:c>
      <x:c r="Y1078" s="2" t="str">
        <x:v>Online</x:v>
      </x:c>
      <x:c r="Z1078" s="2" t="str">
        <x:v>Synced</x:v>
      </x:c>
      <x:c r="AA1078" s="2"/>
      <x:c r="AB1078" s="2"/>
      <x:c r="AC1078" s="10" t="n">
        <x:f>IF(OR(K1078="",Q1078=""),"",ROUND((Q1078-K1078)*1440,2))</x:f>
        <x:v>36</x:v>
      </x:c>
    </x:row>
    <x:row r="1079" ht="21" customHeight="1">
      <x:c r="A1079" s="2" t="str">
        <x:v>LN01078</x:v>
      </x:c>
      <x:c r="B1079" s="2" t="str">
        <x:v>T20261008-2-2</x:v>
      </x:c>
      <x:c r="C1079" s="7" t="n">
        <x:v>46303</x:v>
      </x:c>
      <x:c r="D1079" s="2" t="str">
        <x:v>BUS002</x:v>
      </x:c>
      <x:c r="E1079" s="2" t="str">
        <x:v>ST068</x:v>
      </x:c>
      <x:c r="F1079" s="2" t="n">
        <x:v>2</x:v>
      </x:c>
      <x:c r="G1079" s="2" t="str">
        <x:v>Junior</x:v>
      </x:c>
      <x:c r="H1079" s="2" t="str">
        <x:v>Pickup</x:v>
      </x:c>
      <x:c r="I1079" s="2" t="str">
        <x:v>R2S1</x:v>
      </x:c>
      <x:c r="J1079" s="2" t="str">
        <x:v>EV002149</x:v>
      </x:c>
      <x:c r="K1079" s="8" t="n">
        <x:v>46303.471770833334</x:v>
      </x:c>
      <x:c r="L1079" s="2" t="str">
        <x:v>R2S1</x:v>
      </x:c>
      <x:c r="M1079" s="9" t="n">
        <x:v>25.28</x:v>
      </x:c>
      <x:c r="N1079" s="9" t="n">
        <x:v>51.498999999999995</x:v>
      </x:c>
      <x:c r="O1079" s="2" t="str">
        <x:v>Valid</x:v>
      </x:c>
      <x:c r="P1079" s="2" t="str">
        <x:v>EV002150</x:v>
      </x:c>
      <x:c r="Q1079" s="8" t="n">
        <x:v>46303.50649305556</x:v>
      </x:c>
      <x:c r="R1079" s="2" t="str">
        <x:v>SCH01</x:v>
      </x:c>
      <x:c r="S1079" s="9" t="n">
        <x:v>25.285</x:v>
      </x:c>
      <x:c r="T1079" s="9" t="n">
        <x:v>51.51</x:v>
      </x:c>
      <x:c r="U1079" s="2" t="str">
        <x:v>SCHOOL_RECEIVER_01</x:v>
      </x:c>
      <x:c r="V1079" s="2" t="str">
        <x:v>School staff receipt</x:v>
      </x:c>
      <x:c r="W1079" s="2" t="str">
        <x:v>Completed transport</x:v>
      </x:c>
      <x:c r="X1079" s="2" t="str">
        <x:v>QR</x:v>
      </x:c>
      <x:c r="Y1079" s="2" t="str">
        <x:v>Online</x:v>
      </x:c>
      <x:c r="Z1079" s="2" t="str">
        <x:v>Synced</x:v>
      </x:c>
      <x:c r="AA1079" s="2"/>
      <x:c r="AB1079" s="2"/>
      <x:c r="AC1079" s="10" t="n">
        <x:f>IF(OR(K1079="",Q1079=""),"",ROUND((Q1079-K1079)*1440,2))</x:f>
        <x:v>50</x:v>
      </x:c>
    </x:row>
    <x:row r="1080" ht="21" customHeight="1">
      <x:c r="A1080" s="2" t="str">
        <x:v>LN01079</x:v>
      </x:c>
      <x:c r="B1080" s="2" t="str">
        <x:v>T20261008-2-2</x:v>
      </x:c>
      <x:c r="C1080" s="7" t="n">
        <x:v>46303</x:v>
      </x:c>
      <x:c r="D1080" s="2" t="str">
        <x:v>BUS002</x:v>
      </x:c>
      <x:c r="E1080" s="2" t="str">
        <x:v>ST069</x:v>
      </x:c>
      <x:c r="F1080" s="2" t="n">
        <x:v>2</x:v>
      </x:c>
      <x:c r="G1080" s="2" t="str">
        <x:v>Junior</x:v>
      </x:c>
      <x:c r="H1080" s="2" t="str">
        <x:v>Pickup</x:v>
      </x:c>
      <x:c r="I1080" s="2" t="str">
        <x:v>R2S2</x:v>
      </x:c>
      <x:c r="J1080" s="2" t="str">
        <x:v>EV002151</x:v>
      </x:c>
      <x:c r="K1080" s="8" t="n">
        <x:v>46303.47666666666</x:v>
      </x:c>
      <x:c r="L1080" s="2" t="str">
        <x:v>R2S2</x:v>
      </x:c>
      <x:c r="M1080" s="9" t="n">
        <x:v>25.282000000000004</x:v>
      </x:c>
      <x:c r="N1080" s="9" t="n">
        <x:v>51.501999999999995</x:v>
      </x:c>
      <x:c r="O1080" s="2" t="str">
        <x:v>Valid</x:v>
      </x:c>
      <x:c r="P1080" s="2" t="str">
        <x:v>EV002152</x:v>
      </x:c>
      <x:c r="Q1080" s="8" t="n">
        <x:v>46303.50652777778</x:v>
      </x:c>
      <x:c r="R1080" s="2" t="str">
        <x:v>SCH01</x:v>
      </x:c>
      <x:c r="S1080" s="9" t="n">
        <x:v>25.285</x:v>
      </x:c>
      <x:c r="T1080" s="9" t="n">
        <x:v>51.51</x:v>
      </x:c>
      <x:c r="U1080" s="2" t="str">
        <x:v>SCHOOL_RECEIVER_01</x:v>
      </x:c>
      <x:c r="V1080" s="2" t="str">
        <x:v>School staff receipt</x:v>
      </x:c>
      <x:c r="W1080" s="2" t="str">
        <x:v>Completed transport</x:v>
      </x:c>
      <x:c r="X1080" s="2" t="str">
        <x:v>QR</x:v>
      </x:c>
      <x:c r="Y1080" s="2" t="str">
        <x:v>Online</x:v>
      </x:c>
      <x:c r="Z1080" s="2" t="str">
        <x:v>Synced</x:v>
      </x:c>
      <x:c r="AA1080" s="2"/>
      <x:c r="AB1080" s="2"/>
      <x:c r="AC1080" s="10" t="n">
        <x:f>IF(OR(K1080="",Q1080=""),"",ROUND((Q1080-K1080)*1440,2))</x:f>
        <x:v>43</x:v>
      </x:c>
    </x:row>
    <x:row r="1081" ht="21" customHeight="1">
      <x:c r="A1081" s="2" t="str">
        <x:v>LN01080</x:v>
      </x:c>
      <x:c r="B1081" s="2" t="str">
        <x:v>T20261008-2-2</x:v>
      </x:c>
      <x:c r="C1081" s="7" t="n">
        <x:v>46303</x:v>
      </x:c>
      <x:c r="D1081" s="2" t="str">
        <x:v>BUS002</x:v>
      </x:c>
      <x:c r="E1081" s="2" t="str">
        <x:v>ST070</x:v>
      </x:c>
      <x:c r="F1081" s="2" t="n">
        <x:v>2</x:v>
      </x:c>
      <x:c r="G1081" s="2" t="str">
        <x:v>Junior</x:v>
      </x:c>
      <x:c r="H1081" s="2" t="str">
        <x:v>Pickup</x:v>
      </x:c>
      <x:c r="I1081" s="2" t="str">
        <x:v>R2S3</x:v>
      </x:c>
      <x:c r="J1081" s="2" t="str">
        <x:v>EV002153</x:v>
      </x:c>
      <x:c r="K1081" s="8" t="n">
        <x:v>46303.4815625</x:v>
      </x:c>
      <x:c r="L1081" s="2" t="str">
        <x:v>R2S3</x:v>
      </x:c>
      <x:c r="M1081" s="9" t="n">
        <x:v>25.284000000000002</x:v>
      </x:c>
      <x:c r="N1081" s="9" t="n">
        <x:v>51.504999999999995</x:v>
      </x:c>
      <x:c r="O1081" s="2" t="str">
        <x:v>Valid</x:v>
      </x:c>
      <x:c r="P1081" s="2" t="str">
        <x:v>EV002154</x:v>
      </x:c>
      <x:c r="Q1081" s="8" t="n">
        <x:v>46303.506562500006</x:v>
      </x:c>
      <x:c r="R1081" s="2" t="str">
        <x:v>SCH01</x:v>
      </x:c>
      <x:c r="S1081" s="9" t="n">
        <x:v>25.285</x:v>
      </x:c>
      <x:c r="T1081" s="9" t="n">
        <x:v>51.51</x:v>
      </x:c>
      <x:c r="U1081" s="2" t="str">
        <x:v>SCHOOL_RECEIVER_01</x:v>
      </x:c>
      <x:c r="V1081" s="2" t="str">
        <x:v>School staff receipt</x:v>
      </x:c>
      <x:c r="W1081" s="2" t="str">
        <x:v>Completed transport</x:v>
      </x:c>
      <x:c r="X1081" s="2" t="str">
        <x:v>QR</x:v>
      </x:c>
      <x:c r="Y1081" s="2" t="str">
        <x:v>Online</x:v>
      </x:c>
      <x:c r="Z1081" s="2" t="str">
        <x:v>Synced</x:v>
      </x:c>
      <x:c r="AA1081" s="2"/>
      <x:c r="AB1081" s="2"/>
      <x:c r="AC1081" s="10" t="n">
        <x:f>IF(OR(K1081="",Q1081=""),"",ROUND((Q1081-K1081)*1440,2))</x:f>
        <x:v>36</x:v>
      </x:c>
    </x:row>
    <x:row r="1082" ht="21" customHeight="1">
      <x:c r="A1082" s="2" t="str">
        <x:v>LN01081</x:v>
      </x:c>
      <x:c r="B1082" s="2" t="str">
        <x:v>T20261008-2-2</x:v>
      </x:c>
      <x:c r="C1082" s="7" t="n">
        <x:v>46303</x:v>
      </x:c>
      <x:c r="D1082" s="2" t="str">
        <x:v>BUS002</x:v>
      </x:c>
      <x:c r="E1082" s="2" t="str">
        <x:v>ST071</x:v>
      </x:c>
      <x:c r="F1082" s="2" t="n">
        <x:v>2</x:v>
      </x:c>
      <x:c r="G1082" s="2" t="str">
        <x:v>Senior</x:v>
      </x:c>
      <x:c r="H1082" s="2" t="str">
        <x:v>Pickup</x:v>
      </x:c>
      <x:c r="I1082" s="2" t="str">
        <x:v>R2S1</x:v>
      </x:c>
      <x:c r="J1082" s="2" t="str">
        <x:v>EV002155</x:v>
      </x:c>
      <x:c r="K1082" s="8" t="n">
        <x:v>46303.47152777778</x:v>
      </x:c>
      <x:c r="L1082" s="2" t="str">
        <x:v>R2S1</x:v>
      </x:c>
      <x:c r="M1082" s="9" t="n">
        <x:v>25.28</x:v>
      </x:c>
      <x:c r="N1082" s="9" t="n">
        <x:v>51.498999999999995</x:v>
      </x:c>
      <x:c r="O1082" s="2" t="str">
        <x:v>Valid</x:v>
      </x:c>
      <x:c r="P1082" s="2" t="str">
        <x:v>EV002156</x:v>
      </x:c>
      <x:c r="Q1082" s="8" t="n">
        <x:v>46303.50659722223</x:v>
      </x:c>
      <x:c r="R1082" s="2" t="str">
        <x:v>SCH01</x:v>
      </x:c>
      <x:c r="S1082" s="9" t="n">
        <x:v>25.285</x:v>
      </x:c>
      <x:c r="T1082" s="9" t="n">
        <x:v>51.51</x:v>
      </x:c>
      <x:c r="U1082" s="2" t="str">
        <x:v>SCHOOL_RECEIVER_01</x:v>
      </x:c>
      <x:c r="V1082" s="2" t="str">
        <x:v>School staff receipt</x:v>
      </x:c>
      <x:c r="W1082" s="2" t="str">
        <x:v>Completed transport</x:v>
      </x:c>
      <x:c r="X1082" s="2" t="str">
        <x:v>QR</x:v>
      </x:c>
      <x:c r="Y1082" s="2" t="str">
        <x:v>Online</x:v>
      </x:c>
      <x:c r="Z1082" s="2" t="str">
        <x:v>Synced</x:v>
      </x:c>
      <x:c r="AA1082" s="2"/>
      <x:c r="AB1082" s="2"/>
      <x:c r="AC1082" s="10" t="n">
        <x:f>IF(OR(K1082="",Q1082=""),"",ROUND((Q1082-K1082)*1440,2))</x:f>
        <x:v>50.5</x:v>
      </x:c>
    </x:row>
    <x:row r="1083" ht="21" customHeight="1">
      <x:c r="A1083" s="2" t="str">
        <x:v>LN01082</x:v>
      </x:c>
      <x:c r="B1083" s="2" t="str">
        <x:v>T20261008-2-2</x:v>
      </x:c>
      <x:c r="C1083" s="7" t="n">
        <x:v>46303</x:v>
      </x:c>
      <x:c r="D1083" s="2" t="str">
        <x:v>BUS002</x:v>
      </x:c>
      <x:c r="E1083" s="2" t="str">
        <x:v>ST072</x:v>
      </x:c>
      <x:c r="F1083" s="2" t="n">
        <x:v>2</x:v>
      </x:c>
      <x:c r="G1083" s="2" t="str">
        <x:v>Senior</x:v>
      </x:c>
      <x:c r="H1083" s="2" t="str">
        <x:v>Pickup</x:v>
      </x:c>
      <x:c r="I1083" s="2" t="str">
        <x:v>R2S2</x:v>
      </x:c>
      <x:c r="J1083" s="2" t="str">
        <x:v>EV002157</x:v>
      </x:c>
      <x:c r="K1083" s="8" t="n">
        <x:v>46303.47642361111</x:v>
      </x:c>
      <x:c r="L1083" s="2" t="str">
        <x:v>R2S2</x:v>
      </x:c>
      <x:c r="M1083" s="9" t="n">
        <x:v>25.282000000000004</x:v>
      </x:c>
      <x:c r="N1083" s="9" t="n">
        <x:v>51.501999999999995</x:v>
      </x:c>
      <x:c r="O1083" s="2" t="str">
        <x:v>Valid</x:v>
      </x:c>
      <x:c r="P1083" s="2" t="str">
        <x:v>EV002158</x:v>
      </x:c>
      <x:c r="Q1083" s="8" t="n">
        <x:v>46303.506631944445</x:v>
      </x:c>
      <x:c r="R1083" s="2" t="str">
        <x:v>SCH01</x:v>
      </x:c>
      <x:c r="S1083" s="9" t="n">
        <x:v>25.285</x:v>
      </x:c>
      <x:c r="T1083" s="9" t="n">
        <x:v>51.51</x:v>
      </x:c>
      <x:c r="U1083" s="2" t="str">
        <x:v>SCHOOL_RECEIVER_01</x:v>
      </x:c>
      <x:c r="V1083" s="2" t="str">
        <x:v>School staff receipt</x:v>
      </x:c>
      <x:c r="W1083" s="2" t="str">
        <x:v>Completed transport</x:v>
      </x:c>
      <x:c r="X1083" s="2" t="str">
        <x:v>QR</x:v>
      </x:c>
      <x:c r="Y1083" s="2" t="str">
        <x:v>Online</x:v>
      </x:c>
      <x:c r="Z1083" s="2" t="str">
        <x:v>Synced</x:v>
      </x:c>
      <x:c r="AA1083" s="2"/>
      <x:c r="AB1083" s="2"/>
      <x:c r="AC1083" s="10" t="n">
        <x:f>IF(OR(K1083="",Q1083=""),"",ROUND((Q1083-K1083)*1440,2))</x:f>
        <x:v>43.5</x:v>
      </x:c>
    </x:row>
    <x:row r="1084" ht="21" customHeight="1">
      <x:c r="A1084" s="2" t="str">
        <x:v>LN01083</x:v>
      </x:c>
      <x:c r="B1084" s="2" t="str">
        <x:v>T20261008-2-2</x:v>
      </x:c>
      <x:c r="C1084" s="7" t="n">
        <x:v>46303</x:v>
      </x:c>
      <x:c r="D1084" s="2" t="str">
        <x:v>BUS002</x:v>
      </x:c>
      <x:c r="E1084" s="2" t="str">
        <x:v>ST073</x:v>
      </x:c>
      <x:c r="F1084" s="2" t="n">
        <x:v>2</x:v>
      </x:c>
      <x:c r="G1084" s="2" t="str">
        <x:v>Senior</x:v>
      </x:c>
      <x:c r="H1084" s="2" t="str">
        <x:v>Pickup</x:v>
      </x:c>
      <x:c r="I1084" s="2" t="str">
        <x:v>R2S3</x:v>
      </x:c>
      <x:c r="J1084" s="2" t="str">
        <x:v>EV002159</x:v>
      </x:c>
      <x:c r="K1084" s="8" t="n">
        <x:v>46303.48131944444</x:v>
      </x:c>
      <x:c r="L1084" s="2" t="str">
        <x:v>R2S3</x:v>
      </x:c>
      <x:c r="M1084" s="9" t="n">
        <x:v>25.284000000000002</x:v>
      </x:c>
      <x:c r="N1084" s="9" t="n">
        <x:v>51.504999999999995</x:v>
      </x:c>
      <x:c r="O1084" s="2" t="str">
        <x:v>Valid</x:v>
      </x:c>
      <x:c r="P1084" s="2" t="str">
        <x:v>EV002160</x:v>
      </x:c>
      <x:c r="Q1084" s="8" t="n">
        <x:v>46303.50666666667</x:v>
      </x:c>
      <x:c r="R1084" s="2" t="str">
        <x:v>SCH01</x:v>
      </x:c>
      <x:c r="S1084" s="9" t="n">
        <x:v>25.285</x:v>
      </x:c>
      <x:c r="T1084" s="9" t="n">
        <x:v>51.51</x:v>
      </x:c>
      <x:c r="U1084" s="2" t="str">
        <x:v>SCHOOL_RECEIVER_01</x:v>
      </x:c>
      <x:c r="V1084" s="2" t="str">
        <x:v>School staff receipt</x:v>
      </x:c>
      <x:c r="W1084" s="2" t="str">
        <x:v>Completed transport</x:v>
      </x:c>
      <x:c r="X1084" s="2" t="str">
        <x:v>QR</x:v>
      </x:c>
      <x:c r="Y1084" s="2" t="str">
        <x:v>Online</x:v>
      </x:c>
      <x:c r="Z1084" s="2" t="str">
        <x:v>Synced</x:v>
      </x:c>
      <x:c r="AA1084" s="2"/>
      <x:c r="AB1084" s="2"/>
      <x:c r="AC1084" s="10" t="n">
        <x:f>IF(OR(K1084="",Q1084=""),"",ROUND((Q1084-K1084)*1440,2))</x:f>
        <x:v>36.5</x:v>
      </x:c>
    </x:row>
    <x:row r="1085" ht="21" customHeight="1">
      <x:c r="A1085" s="2" t="str">
        <x:v>LN01084</x:v>
      </x:c>
      <x:c r="B1085" s="2" t="str">
        <x:v>T20261008-2-2</x:v>
      </x:c>
      <x:c r="C1085" s="7" t="n">
        <x:v>46303</x:v>
      </x:c>
      <x:c r="D1085" s="2" t="str">
        <x:v>BUS002</x:v>
      </x:c>
      <x:c r="E1085" s="2" t="str">
        <x:v>ST074</x:v>
      </x:c>
      <x:c r="F1085" s="2" t="n">
        <x:v>2</x:v>
      </x:c>
      <x:c r="G1085" s="2" t="str">
        <x:v>Senior</x:v>
      </x:c>
      <x:c r="H1085" s="2" t="str">
        <x:v>Pickup</x:v>
      </x:c>
      <x:c r="I1085" s="2" t="str">
        <x:v>R2S1</x:v>
      </x:c>
      <x:c r="J1085" s="2" t="str">
        <x:v>EV002161</x:v>
      </x:c>
      <x:c r="K1085" s="8" t="n">
        <x:v>46303.47163194445</x:v>
      </x:c>
      <x:c r="L1085" s="2" t="str">
        <x:v>R2S1</x:v>
      </x:c>
      <x:c r="M1085" s="9" t="n">
        <x:v>25.28</x:v>
      </x:c>
      <x:c r="N1085" s="9" t="n">
        <x:v>51.498999999999995</x:v>
      </x:c>
      <x:c r="O1085" s="2" t="str">
        <x:v>Valid</x:v>
      </x:c>
      <x:c r="P1085" s="2" t="str">
        <x:v>EV002162</x:v>
      </x:c>
      <x:c r="Q1085" s="8" t="n">
        <x:v>46303.50670138889</x:v>
      </x:c>
      <x:c r="R1085" s="2" t="str">
        <x:v>SCH01</x:v>
      </x:c>
      <x:c r="S1085" s="9" t="n">
        <x:v>25.285</x:v>
      </x:c>
      <x:c r="T1085" s="9" t="n">
        <x:v>51.51</x:v>
      </x:c>
      <x:c r="U1085" s="2" t="str">
        <x:v>SCHOOL_RECEIVER_01</x:v>
      </x:c>
      <x:c r="V1085" s="2" t="str">
        <x:v>School staff receipt</x:v>
      </x:c>
      <x:c r="W1085" s="2" t="str">
        <x:v>Completed transport</x:v>
      </x:c>
      <x:c r="X1085" s="2" t="str">
        <x:v>QR</x:v>
      </x:c>
      <x:c r="Y1085" s="2" t="str">
        <x:v>Online</x:v>
      </x:c>
      <x:c r="Z1085" s="2" t="str">
        <x:v>Synced</x:v>
      </x:c>
      <x:c r="AA1085" s="2"/>
      <x:c r="AB1085" s="2"/>
      <x:c r="AC1085" s="10" t="n">
        <x:f>IF(OR(K1085="",Q1085=""),"",ROUND((Q1085-K1085)*1440,2))</x:f>
        <x:v>50.5</x:v>
      </x:c>
    </x:row>
    <x:row r="1086" ht="21" customHeight="1">
      <x:c r="A1086" s="2" t="str">
        <x:v>LN01085</x:v>
      </x:c>
      <x:c r="B1086" s="2" t="str">
        <x:v>T20261008-2-2</x:v>
      </x:c>
      <x:c r="C1086" s="7" t="n">
        <x:v>46303</x:v>
      </x:c>
      <x:c r="D1086" s="2" t="str">
        <x:v>BUS002</x:v>
      </x:c>
      <x:c r="E1086" s="2" t="str">
        <x:v>ST075</x:v>
      </x:c>
      <x:c r="F1086" s="2" t="n">
        <x:v>2</x:v>
      </x:c>
      <x:c r="G1086" s="2" t="str">
        <x:v>Senior</x:v>
      </x:c>
      <x:c r="H1086" s="2" t="str">
        <x:v>Pickup</x:v>
      </x:c>
      <x:c r="I1086" s="2" t="str">
        <x:v>R2S2</x:v>
      </x:c>
      <x:c r="J1086" s="2" t="str">
        <x:v>EV002163</x:v>
      </x:c>
      <x:c r="K1086" s="8" t="n">
        <x:v>46303.47652777778</x:v>
      </x:c>
      <x:c r="L1086" s="2" t="str">
        <x:v>R2S2</x:v>
      </x:c>
      <x:c r="M1086" s="9" t="n">
        <x:v>25.282000000000004</x:v>
      </x:c>
      <x:c r="N1086" s="9" t="n">
        <x:v>51.501999999999995</x:v>
      </x:c>
      <x:c r="O1086" s="2" t="str">
        <x:v>Valid</x:v>
      </x:c>
      <x:c r="P1086" s="2" t="str">
        <x:v>EV002164</x:v>
      </x:c>
      <x:c r="Q1086" s="8" t="n">
        <x:v>46303.506736111114</x:v>
      </x:c>
      <x:c r="R1086" s="2" t="str">
        <x:v>SCH01</x:v>
      </x:c>
      <x:c r="S1086" s="9" t="n">
        <x:v>25.285</x:v>
      </x:c>
      <x:c r="T1086" s="9" t="n">
        <x:v>51.51</x:v>
      </x:c>
      <x:c r="U1086" s="2" t="str">
        <x:v>SCHOOL_RECEIVER_01</x:v>
      </x:c>
      <x:c r="V1086" s="2" t="str">
        <x:v>School staff receipt</x:v>
      </x:c>
      <x:c r="W1086" s="2" t="str">
        <x:v>Completed transport</x:v>
      </x:c>
      <x:c r="X1086" s="2" t="str">
        <x:v>QR</x:v>
      </x:c>
      <x:c r="Y1086" s="2" t="str">
        <x:v>Online</x:v>
      </x:c>
      <x:c r="Z1086" s="2" t="str">
        <x:v>Synced</x:v>
      </x:c>
      <x:c r="AA1086" s="2"/>
      <x:c r="AB1086" s="2"/>
      <x:c r="AC1086" s="10" t="n">
        <x:f>IF(OR(K1086="",Q1086=""),"",ROUND((Q1086-K1086)*1440,2))</x:f>
        <x:v>43.5</x:v>
      </x:c>
    </x:row>
    <x:row r="1087" ht="21" customHeight="1">
      <x:c r="A1087" s="2" t="str">
        <x:v>LN01086</x:v>
      </x:c>
      <x:c r="B1087" s="2" t="str">
        <x:v>T20261008-2-2</x:v>
      </x:c>
      <x:c r="C1087" s="7" t="n">
        <x:v>46303</x:v>
      </x:c>
      <x:c r="D1087" s="2" t="str">
        <x:v>BUS002</x:v>
      </x:c>
      <x:c r="E1087" s="2" t="str">
        <x:v>ST076</x:v>
      </x:c>
      <x:c r="F1087" s="2" t="n">
        <x:v>2</x:v>
      </x:c>
      <x:c r="G1087" s="2" t="str">
        <x:v>Senior</x:v>
      </x:c>
      <x:c r="H1087" s="2" t="str">
        <x:v>Pickup</x:v>
      </x:c>
      <x:c r="I1087" s="2" t="str">
        <x:v>R2S3</x:v>
      </x:c>
      <x:c r="J1087" s="2" t="str">
        <x:v>EV002165</x:v>
      </x:c>
      <x:c r="K1087" s="8" t="n">
        <x:v>46303.481423611105</x:v>
      </x:c>
      <x:c r="L1087" s="2" t="str">
        <x:v>R2S3</x:v>
      </x:c>
      <x:c r="M1087" s="9" t="n">
        <x:v>25.284000000000002</x:v>
      </x:c>
      <x:c r="N1087" s="9" t="n">
        <x:v>51.504999999999995</x:v>
      </x:c>
      <x:c r="O1087" s="2" t="str">
        <x:v>Valid</x:v>
      </x:c>
      <x:c r="P1087" s="2" t="str">
        <x:v>EV002166</x:v>
      </x:c>
      <x:c r="Q1087" s="8" t="n">
        <x:v>46303.50677083334</x:v>
      </x:c>
      <x:c r="R1087" s="2" t="str">
        <x:v>SCH01</x:v>
      </x:c>
      <x:c r="S1087" s="9" t="n">
        <x:v>25.285</x:v>
      </x:c>
      <x:c r="T1087" s="9" t="n">
        <x:v>51.51</x:v>
      </x:c>
      <x:c r="U1087" s="2" t="str">
        <x:v>SCHOOL_RECEIVER_01</x:v>
      </x:c>
      <x:c r="V1087" s="2" t="str">
        <x:v>School staff receipt</x:v>
      </x:c>
      <x:c r="W1087" s="2" t="str">
        <x:v>Completed transport</x:v>
      </x:c>
      <x:c r="X1087" s="2" t="str">
        <x:v>QR</x:v>
      </x:c>
      <x:c r="Y1087" s="2" t="str">
        <x:v>Online</x:v>
      </x:c>
      <x:c r="Z1087" s="2" t="str">
        <x:v>Synced</x:v>
      </x:c>
      <x:c r="AA1087" s="2"/>
      <x:c r="AB1087" s="2"/>
      <x:c r="AC1087" s="10" t="n">
        <x:f>IF(OR(K1087="",Q1087=""),"",ROUND((Q1087-K1087)*1440,2))</x:f>
        <x:v>36.5</x:v>
      </x:c>
    </x:row>
    <x:row r="1088" ht="21" customHeight="1">
      <x:c r="A1088" s="2" t="str">
        <x:v>LN01087</x:v>
      </x:c>
      <x:c r="B1088" s="2" t="str">
        <x:v>T20261008-2-2</x:v>
      </x:c>
      <x:c r="C1088" s="7" t="n">
        <x:v>46303</x:v>
      </x:c>
      <x:c r="D1088" s="2" t="str">
        <x:v>BUS002</x:v>
      </x:c>
      <x:c r="E1088" s="2" t="str">
        <x:v>ST077</x:v>
      </x:c>
      <x:c r="F1088" s="2" t="n">
        <x:v>2</x:v>
      </x:c>
      <x:c r="G1088" s="2" t="str">
        <x:v>Senior</x:v>
      </x:c>
      <x:c r="H1088" s="2" t="str">
        <x:v>Pickup</x:v>
      </x:c>
      <x:c r="I1088" s="2" t="str">
        <x:v>R2S1</x:v>
      </x:c>
      <x:c r="J1088" s="2" t="str">
        <x:v>EV002167</x:v>
      </x:c>
      <x:c r="K1088" s="8" t="n">
        <x:v>46303.47173611111</x:v>
      </x:c>
      <x:c r="L1088" s="2" t="str">
        <x:v>R2S1</x:v>
      </x:c>
      <x:c r="M1088" s="9" t="n">
        <x:v>25.28</x:v>
      </x:c>
      <x:c r="N1088" s="9" t="n">
        <x:v>51.498999999999995</x:v>
      </x:c>
      <x:c r="O1088" s="2" t="str">
        <x:v>Valid</x:v>
      </x:c>
      <x:c r="P1088" s="2" t="str">
        <x:v>EV002168</x:v>
      </x:c>
      <x:c r="Q1088" s="8" t="n">
        <x:v>46303.50680555556</x:v>
      </x:c>
      <x:c r="R1088" s="2" t="str">
        <x:v>SCH01</x:v>
      </x:c>
      <x:c r="S1088" s="9" t="n">
        <x:v>25.285</x:v>
      </x:c>
      <x:c r="T1088" s="9" t="n">
        <x:v>51.51</x:v>
      </x:c>
      <x:c r="U1088" s="2" t="str">
        <x:v>SCHOOL_RECEIVER_01</x:v>
      </x:c>
      <x:c r="V1088" s="2" t="str">
        <x:v>School staff receipt</x:v>
      </x:c>
      <x:c r="W1088" s="2" t="str">
        <x:v>Completed transport</x:v>
      </x:c>
      <x:c r="X1088" s="2" t="str">
        <x:v>QR</x:v>
      </x:c>
      <x:c r="Y1088" s="2" t="str">
        <x:v>Online</x:v>
      </x:c>
      <x:c r="Z1088" s="2" t="str">
        <x:v>Synced</x:v>
      </x:c>
      <x:c r="AA1088" s="2"/>
      <x:c r="AB1088" s="2"/>
      <x:c r="AC1088" s="10" t="n">
        <x:f>IF(OR(K1088="",Q1088=""),"",ROUND((Q1088-K1088)*1440,2))</x:f>
        <x:v>50.5</x:v>
      </x:c>
    </x:row>
    <x:row r="1089" ht="21" customHeight="1">
      <x:c r="A1089" s="2" t="str">
        <x:v>LN01088</x:v>
      </x:c>
      <x:c r="B1089" s="2" t="str">
        <x:v>T20261008-2-2</x:v>
      </x:c>
      <x:c r="C1089" s="7" t="n">
        <x:v>46303</x:v>
      </x:c>
      <x:c r="D1089" s="2" t="str">
        <x:v>BUS002</x:v>
      </x:c>
      <x:c r="E1089" s="2" t="str">
        <x:v>ST078</x:v>
      </x:c>
      <x:c r="F1089" s="2" t="n">
        <x:v>2</x:v>
      </x:c>
      <x:c r="G1089" s="2" t="str">
        <x:v>Senior</x:v>
      </x:c>
      <x:c r="H1089" s="2" t="str">
        <x:v>Pickup</x:v>
      </x:c>
      <x:c r="I1089" s="2" t="str">
        <x:v>R2S2</x:v>
      </x:c>
      <x:c r="J1089" s="2" t="str">
        <x:v>EV002169</x:v>
      </x:c>
      <x:c r="K1089" s="8" t="n">
        <x:v>46303.47663194444</x:v>
      </x:c>
      <x:c r="L1089" s="2" t="str">
        <x:v>R2S2</x:v>
      </x:c>
      <x:c r="M1089" s="9" t="n">
        <x:v>25.282000000000004</x:v>
      </x:c>
      <x:c r="N1089" s="9" t="n">
        <x:v>51.501999999999995</x:v>
      </x:c>
      <x:c r="O1089" s="2" t="str">
        <x:v>Valid</x:v>
      </x:c>
      <x:c r="P1089" s="2" t="str">
        <x:v>EV002170</x:v>
      </x:c>
      <x:c r="Q1089" s="8" t="n">
        <x:v>46303.50684027778</x:v>
      </x:c>
      <x:c r="R1089" s="2" t="str">
        <x:v>SCH01</x:v>
      </x:c>
      <x:c r="S1089" s="9" t="n">
        <x:v>25.285</x:v>
      </x:c>
      <x:c r="T1089" s="9" t="n">
        <x:v>51.51</x:v>
      </x:c>
      <x:c r="U1089" s="2" t="str">
        <x:v>SCHOOL_RECEIVER_01</x:v>
      </x:c>
      <x:c r="V1089" s="2" t="str">
        <x:v>School staff receipt</x:v>
      </x:c>
      <x:c r="W1089" s="2" t="str">
        <x:v>Completed transport</x:v>
      </x:c>
      <x:c r="X1089" s="2" t="str">
        <x:v>QR</x:v>
      </x:c>
      <x:c r="Y1089" s="2" t="str">
        <x:v>Online</x:v>
      </x:c>
      <x:c r="Z1089" s="2" t="str">
        <x:v>Synced</x:v>
      </x:c>
      <x:c r="AA1089" s="2"/>
      <x:c r="AB1089" s="2"/>
      <x:c r="AC1089" s="10" t="n">
        <x:f>IF(OR(K1089="",Q1089=""),"",ROUND((Q1089-K1089)*1440,2))</x:f>
        <x:v>43.5</x:v>
      </x:c>
    </x:row>
    <x:row r="1090" ht="21" customHeight="1">
      <x:c r="A1090" s="2" t="str">
        <x:v>LN01089</x:v>
      </x:c>
      <x:c r="B1090" s="2" t="str">
        <x:v>T20261008-2-2</x:v>
      </x:c>
      <x:c r="C1090" s="7" t="n">
        <x:v>46303</x:v>
      </x:c>
      <x:c r="D1090" s="2" t="str">
        <x:v>BUS002</x:v>
      </x:c>
      <x:c r="E1090" s="2" t="str">
        <x:v>ST079</x:v>
      </x:c>
      <x:c r="F1090" s="2" t="n">
        <x:v>2</x:v>
      </x:c>
      <x:c r="G1090" s="2" t="str">
        <x:v>Senior</x:v>
      </x:c>
      <x:c r="H1090" s="2" t="str">
        <x:v>Pickup</x:v>
      </x:c>
      <x:c r="I1090" s="2" t="str">
        <x:v>R2S3</x:v>
      </x:c>
      <x:c r="J1090" s="2" t="str">
        <x:v>EV002171</x:v>
      </x:c>
      <x:c r="K1090" s="8" t="n">
        <x:v>46303.481527777774</x:v>
      </x:c>
      <x:c r="L1090" s="2" t="str">
        <x:v>R2S3</x:v>
      </x:c>
      <x:c r="M1090" s="9" t="n">
        <x:v>25.284000000000002</x:v>
      </x:c>
      <x:c r="N1090" s="9" t="n">
        <x:v>51.504999999999995</x:v>
      </x:c>
      <x:c r="O1090" s="2" t="str">
        <x:v>Valid</x:v>
      </x:c>
      <x:c r="P1090" s="2" t="str">
        <x:v>EV002172</x:v>
      </x:c>
      <x:c r="Q1090" s="8" t="n">
        <x:v>46303.50687500001</x:v>
      </x:c>
      <x:c r="R1090" s="2" t="str">
        <x:v>SCH01</x:v>
      </x:c>
      <x:c r="S1090" s="9" t="n">
        <x:v>25.285</x:v>
      </x:c>
      <x:c r="T1090" s="9" t="n">
        <x:v>51.51</x:v>
      </x:c>
      <x:c r="U1090" s="2" t="str">
        <x:v>SCHOOL_RECEIVER_01</x:v>
      </x:c>
      <x:c r="V1090" s="2" t="str">
        <x:v>School staff receipt</x:v>
      </x:c>
      <x:c r="W1090" s="2" t="str">
        <x:v>Completed transport</x:v>
      </x:c>
      <x:c r="X1090" s="2" t="str">
        <x:v>QR</x:v>
      </x:c>
      <x:c r="Y1090" s="2" t="str">
        <x:v>Online</x:v>
      </x:c>
      <x:c r="Z1090" s="2" t="str">
        <x:v>Synced</x:v>
      </x:c>
      <x:c r="AA1090" s="2"/>
      <x:c r="AB1090" s="2"/>
      <x:c r="AC1090" s="10" t="n">
        <x:f>IF(OR(K1090="",Q1090=""),"",ROUND((Q1090-K1090)*1440,2))</x:f>
        <x:v>36.5</x:v>
      </x:c>
    </x:row>
    <x:row r="1091" ht="21" customHeight="1">
      <x:c r="A1091" s="2" t="str">
        <x:v>LN01090</x:v>
      </x:c>
      <x:c r="B1091" s="2" t="str">
        <x:v>T20261008-2-2</x:v>
      </x:c>
      <x:c r="C1091" s="7" t="n">
        <x:v>46303</x:v>
      </x:c>
      <x:c r="D1091" s="2" t="str">
        <x:v>BUS002</x:v>
      </x:c>
      <x:c r="E1091" s="2" t="str">
        <x:v>ST080</x:v>
      </x:c>
      <x:c r="F1091" s="2" t="n">
        <x:v>2</x:v>
      </x:c>
      <x:c r="G1091" s="2" t="str">
        <x:v>Senior</x:v>
      </x:c>
      <x:c r="H1091" s="2" t="str">
        <x:v>Pickup</x:v>
      </x:c>
      <x:c r="I1091" s="2" t="str">
        <x:v>R2S1</x:v>
      </x:c>
      <x:c r="J1091" s="2" t="str">
        <x:v>EV002173</x:v>
      </x:c>
      <x:c r="K1091" s="8" t="n">
        <x:v>46303.47184027778</x:v>
      </x:c>
      <x:c r="L1091" s="2" t="str">
        <x:v>R2S1</x:v>
      </x:c>
      <x:c r="M1091" s="9" t="n">
        <x:v>25.28</x:v>
      </x:c>
      <x:c r="N1091" s="9" t="n">
        <x:v>51.498999999999995</x:v>
      </x:c>
      <x:c r="O1091" s="2" t="str">
        <x:v>Valid</x:v>
      </x:c>
      <x:c r="P1091" s="2" t="str">
        <x:v>EV002174</x:v>
      </x:c>
      <x:c r="Q1091" s="8" t="n">
        <x:v>46303.50690972222</x:v>
      </x:c>
      <x:c r="R1091" s="2" t="str">
        <x:v>SCH01</x:v>
      </x:c>
      <x:c r="S1091" s="9" t="n">
        <x:v>25.285</x:v>
      </x:c>
      <x:c r="T1091" s="9" t="n">
        <x:v>51.51</x:v>
      </x:c>
      <x:c r="U1091" s="2" t="str">
        <x:v>SCHOOL_RECEIVER_01</x:v>
      </x:c>
      <x:c r="V1091" s="2" t="str">
        <x:v>School staff receipt</x:v>
      </x:c>
      <x:c r="W1091" s="2" t="str">
        <x:v>Completed transport</x:v>
      </x:c>
      <x:c r="X1091" s="2" t="str">
        <x:v>QR</x:v>
      </x:c>
      <x:c r="Y1091" s="2" t="str">
        <x:v>Online</x:v>
      </x:c>
      <x:c r="Z1091" s="2" t="str">
        <x:v>Synced</x:v>
      </x:c>
      <x:c r="AA1091" s="2"/>
      <x:c r="AB1091" s="2"/>
      <x:c r="AC1091" s="10" t="n">
        <x:f>IF(OR(K1091="",Q1091=""),"",ROUND((Q1091-K1091)*1440,2))</x:f>
        <x:v>50.5</x:v>
      </x:c>
    </x:row>
    <x:row r="1092" ht="21" customHeight="1">
      <x:c r="A1092" s="2" t="str">
        <x:v>LN01091</x:v>
      </x:c>
      <x:c r="B1092" s="2" t="str">
        <x:v>T20261008-3-2</x:v>
      </x:c>
      <x:c r="C1092" s="7" t="n">
        <x:v>46303</x:v>
      </x:c>
      <x:c r="D1092" s="2" t="str">
        <x:v>BUS002</x:v>
      </x:c>
      <x:c r="E1092" s="2" t="str">
        <x:v>ST051</x:v>
      </x:c>
      <x:c r="F1092" s="2" t="n">
        <x:v>1</x:v>
      </x:c>
      <x:c r="G1092" s="2" t="str">
        <x:v>Senior</x:v>
      </x:c>
      <x:c r="H1092" s="2" t="str">
        <x:v>Drop-off</x:v>
      </x:c>
      <x:c r="I1092" s="2" t="str">
        <x:v>R2S2</x:v>
      </x:c>
      <x:c r="J1092" s="2" t="str">
        <x:v>EV002175</x:v>
      </x:c>
      <x:c r="K1092" s="8" t="n">
        <x:v>46303.57291666667</x:v>
      </x:c>
      <x:c r="L1092" s="2" t="str">
        <x:v>SCH01</x:v>
      </x:c>
      <x:c r="M1092" s="9" t="n">
        <x:v>25.285</x:v>
      </x:c>
      <x:c r="N1092" s="9" t="n">
        <x:v>51.51</x:v>
      </x:c>
      <x:c r="O1092" s="2" t="str">
        <x:v>Valid</x:v>
      </x:c>
      <x:c r="P1092" s="2" t="str">
        <x:v>EV002176</x:v>
      </x:c>
      <x:c r="Q1092" s="8" t="n">
        <x:v>46303.59027777778</x:v>
      </x:c>
      <x:c r="R1092" s="2" t="str">
        <x:v>R2S2</x:v>
      </x:c>
      <x:c r="S1092" s="9" t="n">
        <x:v>25.282000000000004</x:v>
      </x:c>
      <x:c r="T1092" s="9" t="n">
        <x:v>51.501999999999995</x:v>
      </x:c>
      <x:c r="U1092" s="2" t="str">
        <x:v>G051</x:v>
      </x:c>
      <x:c r="V1092" s="2" t="str">
        <x:v>Authorized guardian release</x:v>
      </x:c>
      <x:c r="W1092" s="2" t="str">
        <x:v>Completed transport</x:v>
      </x:c>
      <x:c r="X1092" s="2" t="str">
        <x:v>QR</x:v>
      </x:c>
      <x:c r="Y1092" s="2" t="str">
        <x:v>Online</x:v>
      </x:c>
      <x:c r="Z1092" s="2" t="str">
        <x:v>Synced</x:v>
      </x:c>
      <x:c r="AA1092" s="2"/>
      <x:c r="AB1092" s="2"/>
      <x:c r="AC1092" s="10" t="n">
        <x:f>IF(OR(K1092="",Q1092=""),"",ROUND((Q1092-K1092)*1440,2))</x:f>
        <x:v>25</x:v>
      </x:c>
    </x:row>
    <x:row r="1093" ht="21" customHeight="1">
      <x:c r="A1093" s="2" t="str">
        <x:v>LN01092</x:v>
      </x:c>
      <x:c r="B1093" s="2" t="str">
        <x:v>T20261008-3-2</x:v>
      </x:c>
      <x:c r="C1093" s="7" t="n">
        <x:v>46303</x:v>
      </x:c>
      <x:c r="D1093" s="2" t="str">
        <x:v>BUS002</x:v>
      </x:c>
      <x:c r="E1093" s="2" t="str">
        <x:v>ST052</x:v>
      </x:c>
      <x:c r="F1093" s="2" t="n">
        <x:v>1</x:v>
      </x:c>
      <x:c r="G1093" s="2" t="str">
        <x:v>Senior</x:v>
      </x:c>
      <x:c r="H1093" s="2" t="str">
        <x:v>Drop-off</x:v>
      </x:c>
      <x:c r="I1093" s="2" t="str">
        <x:v>R2S3</x:v>
      </x:c>
      <x:c r="J1093" s="2" t="str">
        <x:v>EV002177</x:v>
      </x:c>
      <x:c r="K1093" s="8" t="n">
        <x:v>46303.572951388895</x:v>
      </x:c>
      <x:c r="L1093" s="2" t="str">
        <x:v>SCH01</x:v>
      </x:c>
      <x:c r="M1093" s="9" t="n">
        <x:v>25.285</x:v>
      </x:c>
      <x:c r="N1093" s="9" t="n">
        <x:v>51.51</x:v>
      </x:c>
      <x:c r="O1093" s="2" t="str">
        <x:v>Valid</x:v>
      </x:c>
      <x:c r="P1093" s="2" t="str">
        <x:v>EV002178</x:v>
      </x:c>
      <x:c r="Q1093" s="8" t="n">
        <x:v>46303.59447916667</x:v>
      </x:c>
      <x:c r="R1093" s="2" t="str">
        <x:v>R2S3</x:v>
      </x:c>
      <x:c r="S1093" s="9" t="n">
        <x:v>25.284000000000002</x:v>
      </x:c>
      <x:c r="T1093" s="9" t="n">
        <x:v>51.504999999999995</x:v>
      </x:c>
      <x:c r="U1093" s="2" t="str">
        <x:v>G052</x:v>
      </x:c>
      <x:c r="V1093" s="2" t="str">
        <x:v>Authorized guardian release</x:v>
      </x:c>
      <x:c r="W1093" s="2" t="str">
        <x:v>Completed transport</x:v>
      </x:c>
      <x:c r="X1093" s="2" t="str">
        <x:v>QR</x:v>
      </x:c>
      <x:c r="Y1093" s="2" t="str">
        <x:v>Online</x:v>
      </x:c>
      <x:c r="Z1093" s="2" t="str">
        <x:v>Synced</x:v>
      </x:c>
      <x:c r="AA1093" s="2"/>
      <x:c r="AB1093" s="2"/>
      <x:c r="AC1093" s="10" t="n">
        <x:f>IF(OR(K1093="",Q1093=""),"",ROUND((Q1093-K1093)*1440,2))</x:f>
        <x:v>31</x:v>
      </x:c>
    </x:row>
    <x:row r="1094" ht="21" customHeight="1">
      <x:c r="A1094" s="2" t="str">
        <x:v>LN01093</x:v>
      </x:c>
      <x:c r="B1094" s="2" t="str">
        <x:v>T20261008-3-2</x:v>
      </x:c>
      <x:c r="C1094" s="7" t="n">
        <x:v>46303</x:v>
      </x:c>
      <x:c r="D1094" s="2" t="str">
        <x:v>BUS002</x:v>
      </x:c>
      <x:c r="E1094" s="2" t="str">
        <x:v>ST053</x:v>
      </x:c>
      <x:c r="F1094" s="2" t="n">
        <x:v>1</x:v>
      </x:c>
      <x:c r="G1094" s="2" t="str">
        <x:v>Senior</x:v>
      </x:c>
      <x:c r="H1094" s="2" t="str">
        <x:v>Drop-off</x:v>
      </x:c>
      <x:c r="I1094" s="2" t="str">
        <x:v>R2S1</x:v>
      </x:c>
      <x:c r="J1094" s="2" t="str">
        <x:v>EV002179</x:v>
      </x:c>
      <x:c r="K1094" s="8" t="n">
        <x:v>46303.57298611112</x:v>
      </x:c>
      <x:c r="L1094" s="2" t="str">
        <x:v>SCH01</x:v>
      </x:c>
      <x:c r="M1094" s="9" t="n">
        <x:v>25.285</x:v>
      </x:c>
      <x:c r="N1094" s="9" t="n">
        <x:v>51.51</x:v>
      </x:c>
      <x:c r="O1094" s="2" t="str">
        <x:v>Valid</x:v>
      </x:c>
      <x:c r="P1094" s="2" t="str">
        <x:v>EV002180</x:v>
      </x:c>
      <x:c r="Q1094" s="8" t="n">
        <x:v>46303.58618055556</x:v>
      </x:c>
      <x:c r="R1094" s="2" t="str">
        <x:v>R2S1</x:v>
      </x:c>
      <x:c r="S1094" s="9" t="n">
        <x:v>25.28</x:v>
      </x:c>
      <x:c r="T1094" s="9" t="n">
        <x:v>51.498999999999995</x:v>
      </x:c>
      <x:c r="U1094" s="2" t="str">
        <x:v>G053</x:v>
      </x:c>
      <x:c r="V1094" s="2" t="str">
        <x:v>Authorized guardian release</x:v>
      </x:c>
      <x:c r="W1094" s="2" t="str">
        <x:v>Completed transport</x:v>
      </x:c>
      <x:c r="X1094" s="2" t="str">
        <x:v>QR</x:v>
      </x:c>
      <x:c r="Y1094" s="2" t="str">
        <x:v>Online</x:v>
      </x:c>
      <x:c r="Z1094" s="2" t="str">
        <x:v>Synced</x:v>
      </x:c>
      <x:c r="AA1094" s="2"/>
      <x:c r="AB1094" s="2"/>
      <x:c r="AC1094" s="10" t="n">
        <x:f>IF(OR(K1094="",Q1094=""),"",ROUND((Q1094-K1094)*1440,2))</x:f>
        <x:v>19</x:v>
      </x:c>
    </x:row>
    <x:row r="1095" ht="21" customHeight="1">
      <x:c r="A1095" s="2" t="str">
        <x:v>LN01094</x:v>
      </x:c>
      <x:c r="B1095" s="2" t="str">
        <x:v>T20261008-3-2</x:v>
      </x:c>
      <x:c r="C1095" s="7" t="n">
        <x:v>46303</x:v>
      </x:c>
      <x:c r="D1095" s="2" t="str">
        <x:v>BUS002</x:v>
      </x:c>
      <x:c r="E1095" s="2" t="str">
        <x:v>ST054</x:v>
      </x:c>
      <x:c r="F1095" s="2" t="n">
        <x:v>1</x:v>
      </x:c>
      <x:c r="G1095" s="2" t="str">
        <x:v>Senior</x:v>
      </x:c>
      <x:c r="H1095" s="2" t="str">
        <x:v>Drop-off</x:v>
      </x:c>
      <x:c r="I1095" s="2" t="str">
        <x:v>R2S2</x:v>
      </x:c>
      <x:c r="J1095" s="2" t="str">
        <x:v>EV002181</x:v>
      </x:c>
      <x:c r="K1095" s="8" t="n">
        <x:v>46303.57302083334</x:v>
      </x:c>
      <x:c r="L1095" s="2" t="str">
        <x:v>SCH01</x:v>
      </x:c>
      <x:c r="M1095" s="9" t="n">
        <x:v>25.285</x:v>
      </x:c>
      <x:c r="N1095" s="9" t="n">
        <x:v>51.51</x:v>
      </x:c>
      <x:c r="O1095" s="2" t="str">
        <x:v>Valid</x:v>
      </x:c>
      <x:c r="P1095" s="2" t="str">
        <x:v>EV002182</x:v>
      </x:c>
      <x:c r="Q1095" s="8" t="n">
        <x:v>46303.59038194445</x:v>
      </x:c>
      <x:c r="R1095" s="2" t="str">
        <x:v>R2S2</x:v>
      </x:c>
      <x:c r="S1095" s="9" t="n">
        <x:v>25.282000000000004</x:v>
      </x:c>
      <x:c r="T1095" s="9" t="n">
        <x:v>51.501999999999995</x:v>
      </x:c>
      <x:c r="U1095" s="2" t="str">
        <x:v>G054</x:v>
      </x:c>
      <x:c r="V1095" s="2" t="str">
        <x:v>Authorized guardian release</x:v>
      </x:c>
      <x:c r="W1095" s="2" t="str">
        <x:v>Completed transport</x:v>
      </x:c>
      <x:c r="X1095" s="2" t="str">
        <x:v>QR</x:v>
      </x:c>
      <x:c r="Y1095" s="2" t="str">
        <x:v>Online</x:v>
      </x:c>
      <x:c r="Z1095" s="2" t="str">
        <x:v>Synced</x:v>
      </x:c>
      <x:c r="AA1095" s="2"/>
      <x:c r="AB1095" s="2"/>
      <x:c r="AC1095" s="10" t="n">
        <x:f>IF(OR(K1095="",Q1095=""),"",ROUND((Q1095-K1095)*1440,2))</x:f>
        <x:v>25</x:v>
      </x:c>
    </x:row>
    <x:row r="1096" ht="21" customHeight="1">
      <x:c r="A1096" s="2" t="str">
        <x:v>LN01095</x:v>
      </x:c>
      <x:c r="B1096" s="2" t="str">
        <x:v>T20261008-3-2</x:v>
      </x:c>
      <x:c r="C1096" s="7" t="n">
        <x:v>46303</x:v>
      </x:c>
      <x:c r="D1096" s="2" t="str">
        <x:v>BUS002</x:v>
      </x:c>
      <x:c r="E1096" s="2" t="str">
        <x:v>ST055</x:v>
      </x:c>
      <x:c r="F1096" s="2" t="n">
        <x:v>1</x:v>
      </x:c>
      <x:c r="G1096" s="2" t="str">
        <x:v>Senior</x:v>
      </x:c>
      <x:c r="H1096" s="2" t="str">
        <x:v>Drop-off</x:v>
      </x:c>
      <x:c r="I1096" s="2" t="str">
        <x:v>R2S3</x:v>
      </x:c>
      <x:c r="J1096" s="2" t="str">
        <x:v>EV002183</x:v>
      </x:c>
      <x:c r="K1096" s="8" t="n">
        <x:v>46303.573055555564</x:v>
      </x:c>
      <x:c r="L1096" s="2" t="str">
        <x:v>SCH01</x:v>
      </x:c>
      <x:c r="M1096" s="9" t="n">
        <x:v>25.285</x:v>
      </x:c>
      <x:c r="N1096" s="9" t="n">
        <x:v>51.51</x:v>
      </x:c>
      <x:c r="O1096" s="2" t="str">
        <x:v>Valid</x:v>
      </x:c>
      <x:c r="P1096" s="2" t="str">
        <x:v>EV002184</x:v>
      </x:c>
      <x:c r="Q1096" s="8" t="n">
        <x:v>46303.59458333334</x:v>
      </x:c>
      <x:c r="R1096" s="2" t="str">
        <x:v>R2S3</x:v>
      </x:c>
      <x:c r="S1096" s="9" t="n">
        <x:v>25.284000000000002</x:v>
      </x:c>
      <x:c r="T1096" s="9" t="n">
        <x:v>51.504999999999995</x:v>
      </x:c>
      <x:c r="U1096" s="2" t="str">
        <x:v>G055</x:v>
      </x:c>
      <x:c r="V1096" s="2" t="str">
        <x:v>Authorized guardian release</x:v>
      </x:c>
      <x:c r="W1096" s="2" t="str">
        <x:v>Completed transport</x:v>
      </x:c>
      <x:c r="X1096" s="2" t="str">
        <x:v>QR</x:v>
      </x:c>
      <x:c r="Y1096" s="2" t="str">
        <x:v>Online</x:v>
      </x:c>
      <x:c r="Z1096" s="2" t="str">
        <x:v>Synced</x:v>
      </x:c>
      <x:c r="AA1096" s="2"/>
      <x:c r="AB1096" s="2"/>
      <x:c r="AC1096" s="10" t="n">
        <x:f>IF(OR(K1096="",Q1096=""),"",ROUND((Q1096-K1096)*1440,2))</x:f>
        <x:v>31</x:v>
      </x:c>
    </x:row>
    <x:row r="1097" ht="21" customHeight="1">
      <x:c r="A1097" s="2" t="str">
        <x:v>LN01096</x:v>
      </x:c>
      <x:c r="B1097" s="2" t="str">
        <x:v>T20261008-3-2</x:v>
      </x:c>
      <x:c r="C1097" s="7" t="n">
        <x:v>46303</x:v>
      </x:c>
      <x:c r="D1097" s="2" t="str">
        <x:v>BUS002</x:v>
      </x:c>
      <x:c r="E1097" s="2" t="str">
        <x:v>ST056</x:v>
      </x:c>
      <x:c r="F1097" s="2" t="n">
        <x:v>1</x:v>
      </x:c>
      <x:c r="G1097" s="2" t="str">
        <x:v>Senior</x:v>
      </x:c>
      <x:c r="H1097" s="2" t="str">
        <x:v>Drop-off</x:v>
      </x:c>
      <x:c r="I1097" s="2" t="str">
        <x:v>R2S1</x:v>
      </x:c>
      <x:c r="J1097" s="2" t="str">
        <x:v>EV002185</x:v>
      </x:c>
      <x:c r="K1097" s="8" t="n">
        <x:v>46303.57309027778</x:v>
      </x:c>
      <x:c r="L1097" s="2" t="str">
        <x:v>SCH01</x:v>
      </x:c>
      <x:c r="M1097" s="9" t="n">
        <x:v>25.285</x:v>
      </x:c>
      <x:c r="N1097" s="9" t="n">
        <x:v>51.51</x:v>
      </x:c>
      <x:c r="O1097" s="2" t="str">
        <x:v>Valid</x:v>
      </x:c>
      <x:c r="P1097" s="2" t="str">
        <x:v>EV002186</x:v>
      </x:c>
      <x:c r="Q1097" s="8" t="n">
        <x:v>46303.58628472222</x:v>
      </x:c>
      <x:c r="R1097" s="2" t="str">
        <x:v>R2S1</x:v>
      </x:c>
      <x:c r="S1097" s="9" t="n">
        <x:v>25.28</x:v>
      </x:c>
      <x:c r="T1097" s="9" t="n">
        <x:v>51.498999999999995</x:v>
      </x:c>
      <x:c r="U1097" s="2" t="str">
        <x:v>G056</x:v>
      </x:c>
      <x:c r="V1097" s="2" t="str">
        <x:v>Authorized guardian release</x:v>
      </x:c>
      <x:c r="W1097" s="2" t="str">
        <x:v>Completed transport</x:v>
      </x:c>
      <x:c r="X1097" s="2" t="str">
        <x:v>QR</x:v>
      </x:c>
      <x:c r="Y1097" s="2" t="str">
        <x:v>Online</x:v>
      </x:c>
      <x:c r="Z1097" s="2" t="str">
        <x:v>Synced</x:v>
      </x:c>
      <x:c r="AA1097" s="2"/>
      <x:c r="AB1097" s="2"/>
      <x:c r="AC1097" s="10" t="n">
        <x:f>IF(OR(K1097="",Q1097=""),"",ROUND((Q1097-K1097)*1440,2))</x:f>
        <x:v>19</x:v>
      </x:c>
    </x:row>
    <x:row r="1098" ht="21" customHeight="1">
      <x:c r="A1098" s="2" t="str">
        <x:v>LN01097</x:v>
      </x:c>
      <x:c r="B1098" s="2" t="str">
        <x:v>T20261008-3-2</x:v>
      </x:c>
      <x:c r="C1098" s="7" t="n">
        <x:v>46303</x:v>
      </x:c>
      <x:c r="D1098" s="2" t="str">
        <x:v>BUS002</x:v>
      </x:c>
      <x:c r="E1098" s="2" t="str">
        <x:v>ST057</x:v>
      </x:c>
      <x:c r="F1098" s="2" t="n">
        <x:v>1</x:v>
      </x:c>
      <x:c r="G1098" s="2" t="str">
        <x:v>Senior</x:v>
      </x:c>
      <x:c r="H1098" s="2" t="str">
        <x:v>Drop-off</x:v>
      </x:c>
      <x:c r="I1098" s="2" t="str">
        <x:v>R2S2</x:v>
      </x:c>
      <x:c r="J1098" s="2" t="str">
        <x:v>EV002187</x:v>
      </x:c>
      <x:c r="K1098" s="8" t="n">
        <x:v>46303.573125</x:v>
      </x:c>
      <x:c r="L1098" s="2" t="str">
        <x:v>SCH01</x:v>
      </x:c>
      <x:c r="M1098" s="9" t="n">
        <x:v>25.285</x:v>
      </x:c>
      <x:c r="N1098" s="9" t="n">
        <x:v>51.51</x:v>
      </x:c>
      <x:c r="O1098" s="2" t="str">
        <x:v>Valid</x:v>
      </x:c>
      <x:c r="P1098" s="2" t="str">
        <x:v>EV002188</x:v>
      </x:c>
      <x:c r="Q1098" s="8" t="n">
        <x:v>46303.59048611111</x:v>
      </x:c>
      <x:c r="R1098" s="2" t="str">
        <x:v>R2S2</x:v>
      </x:c>
      <x:c r="S1098" s="9" t="n">
        <x:v>25.282000000000004</x:v>
      </x:c>
      <x:c r="T1098" s="9" t="n">
        <x:v>51.501999999999995</x:v>
      </x:c>
      <x:c r="U1098" s="2" t="str">
        <x:v>G057</x:v>
      </x:c>
      <x:c r="V1098" s="2" t="str">
        <x:v>Authorized guardian release</x:v>
      </x:c>
      <x:c r="W1098" s="2" t="str">
        <x:v>Completed transport</x:v>
      </x:c>
      <x:c r="X1098" s="2" t="str">
        <x:v>QR</x:v>
      </x:c>
      <x:c r="Y1098" s="2" t="str">
        <x:v>Online</x:v>
      </x:c>
      <x:c r="Z1098" s="2" t="str">
        <x:v>Synced</x:v>
      </x:c>
      <x:c r="AA1098" s="2"/>
      <x:c r="AB1098" s="2"/>
      <x:c r="AC1098" s="10" t="n">
        <x:f>IF(OR(K1098="",Q1098=""),"",ROUND((Q1098-K1098)*1440,2))</x:f>
        <x:v>25</x:v>
      </x:c>
    </x:row>
    <x:row r="1099" ht="21" customHeight="1">
      <x:c r="A1099" s="2" t="str">
        <x:v>LN01098</x:v>
      </x:c>
      <x:c r="B1099" s="2" t="str">
        <x:v>T20261008-3-2</x:v>
      </x:c>
      <x:c r="C1099" s="7" t="n">
        <x:v>46303</x:v>
      </x:c>
      <x:c r="D1099" s="2" t="str">
        <x:v>BUS002</x:v>
      </x:c>
      <x:c r="E1099" s="2" t="str">
        <x:v>ST058</x:v>
      </x:c>
      <x:c r="F1099" s="2" t="n">
        <x:v>1</x:v>
      </x:c>
      <x:c r="G1099" s="2" t="str">
        <x:v>Senior</x:v>
      </x:c>
      <x:c r="H1099" s="2" t="str">
        <x:v>Drop-off</x:v>
      </x:c>
      <x:c r="I1099" s="2" t="str">
        <x:v>R2S3</x:v>
      </x:c>
      <x:c r="J1099" s="2" t="str">
        <x:v>EV002189</x:v>
      </x:c>
      <x:c r="K1099" s="8" t="n">
        <x:v>46303.573159722226</x:v>
      </x:c>
      <x:c r="L1099" s="2" t="str">
        <x:v>SCH01</x:v>
      </x:c>
      <x:c r="M1099" s="9" t="n">
        <x:v>25.285</x:v>
      </x:c>
      <x:c r="N1099" s="9" t="n">
        <x:v>51.51</x:v>
      </x:c>
      <x:c r="O1099" s="2" t="str">
        <x:v>Valid</x:v>
      </x:c>
      <x:c r="P1099" s="2" t="str">
        <x:v>EV002190</x:v>
      </x:c>
      <x:c r="Q1099" s="8" t="n">
        <x:v>46303.5946875</x:v>
      </x:c>
      <x:c r="R1099" s="2" t="str">
        <x:v>R2S3</x:v>
      </x:c>
      <x:c r="S1099" s="9" t="n">
        <x:v>25.284000000000002</x:v>
      </x:c>
      <x:c r="T1099" s="9" t="n">
        <x:v>51.504999999999995</x:v>
      </x:c>
      <x:c r="U1099" s="2" t="str">
        <x:v>G058</x:v>
      </x:c>
      <x:c r="V1099" s="2" t="str">
        <x:v>Authorized guardian release</x:v>
      </x:c>
      <x:c r="W1099" s="2" t="str">
        <x:v>Completed transport</x:v>
      </x:c>
      <x:c r="X1099" s="2" t="str">
        <x:v>QR</x:v>
      </x:c>
      <x:c r="Y1099" s="2" t="str">
        <x:v>Online</x:v>
      </x:c>
      <x:c r="Z1099" s="2" t="str">
        <x:v>Synced</x:v>
      </x:c>
      <x:c r="AA1099" s="2"/>
      <x:c r="AB1099" s="2"/>
      <x:c r="AC1099" s="10" t="n">
        <x:f>IF(OR(K1099="",Q1099=""),"",ROUND((Q1099-K1099)*1440,2))</x:f>
        <x:v>31</x:v>
      </x:c>
    </x:row>
    <x:row r="1100" ht="21" customHeight="1">
      <x:c r="A1100" s="2" t="str">
        <x:v>LN01099</x:v>
      </x:c>
      <x:c r="B1100" s="2" t="str">
        <x:v>T20261008-3-2</x:v>
      </x:c>
      <x:c r="C1100" s="7" t="n">
        <x:v>46303</x:v>
      </x:c>
      <x:c r="D1100" s="2" t="str">
        <x:v>BUS002</x:v>
      </x:c>
      <x:c r="E1100" s="2" t="str">
        <x:v>ST059</x:v>
      </x:c>
      <x:c r="F1100" s="2" t="n">
        <x:v>1</x:v>
      </x:c>
      <x:c r="G1100" s="2" t="str">
        <x:v>Senior</x:v>
      </x:c>
      <x:c r="H1100" s="2" t="str">
        <x:v>Drop-off</x:v>
      </x:c>
      <x:c r="I1100" s="2" t="str">
        <x:v>R2S1</x:v>
      </x:c>
      <x:c r="J1100" s="2" t="str">
        <x:v>EV002191</x:v>
      </x:c>
      <x:c r="K1100" s="8" t="n">
        <x:v>46303.57319444445</x:v>
      </x:c>
      <x:c r="L1100" s="2" t="str">
        <x:v>SCH01</x:v>
      </x:c>
      <x:c r="M1100" s="9" t="n">
        <x:v>25.285</x:v>
      </x:c>
      <x:c r="N1100" s="9" t="n">
        <x:v>51.51</x:v>
      </x:c>
      <x:c r="O1100" s="2" t="str">
        <x:v>Valid</x:v>
      </x:c>
      <x:c r="P1100" s="2" t="str">
        <x:v>EV002192</x:v>
      </x:c>
      <x:c r="Q1100" s="8" t="n">
        <x:v>46303.58638888889</x:v>
      </x:c>
      <x:c r="R1100" s="2" t="str">
        <x:v>R2S1</x:v>
      </x:c>
      <x:c r="S1100" s="9" t="n">
        <x:v>25.28</x:v>
      </x:c>
      <x:c r="T1100" s="9" t="n">
        <x:v>51.498999999999995</x:v>
      </x:c>
      <x:c r="U1100" s="2" t="str">
        <x:v>G059</x:v>
      </x:c>
      <x:c r="V1100" s="2" t="str">
        <x:v>Authorized guardian release</x:v>
      </x:c>
      <x:c r="W1100" s="2" t="str">
        <x:v>Completed transport</x:v>
      </x:c>
      <x:c r="X1100" s="2" t="str">
        <x:v>QR</x:v>
      </x:c>
      <x:c r="Y1100" s="2" t="str">
        <x:v>Online</x:v>
      </x:c>
      <x:c r="Z1100" s="2" t="str">
        <x:v>Synced</x:v>
      </x:c>
      <x:c r="AA1100" s="2"/>
      <x:c r="AB1100" s="2"/>
      <x:c r="AC1100" s="10" t="n">
        <x:f>IF(OR(K1100="",Q1100=""),"",ROUND((Q1100-K1100)*1440,2))</x:f>
        <x:v>19</x:v>
      </x:c>
    </x:row>
    <x:row r="1101" ht="21" customHeight="1">
      <x:c r="A1101" s="2" t="str">
        <x:v>LN01100</x:v>
      </x:c>
      <x:c r="B1101" s="2" t="str">
        <x:v>T20261008-3-2</x:v>
      </x:c>
      <x:c r="C1101" s="7" t="n">
        <x:v>46303</x:v>
      </x:c>
      <x:c r="D1101" s="2" t="str">
        <x:v>BUS002</x:v>
      </x:c>
      <x:c r="E1101" s="2" t="str">
        <x:v>ST060</x:v>
      </x:c>
      <x:c r="F1101" s="2" t="n">
        <x:v>1</x:v>
      </x:c>
      <x:c r="G1101" s="2" t="str">
        <x:v>Senior</x:v>
      </x:c>
      <x:c r="H1101" s="2" t="str">
        <x:v>Drop-off</x:v>
      </x:c>
      <x:c r="I1101" s="2" t="str">
        <x:v>R2S2</x:v>
      </x:c>
      <x:c r="J1101" s="2" t="str">
        <x:v>EV002193</x:v>
      </x:c>
      <x:c r="K1101" s="8" t="n">
        <x:v>46303.57322916667</x:v>
      </x:c>
      <x:c r="L1101" s="2" t="str">
        <x:v>SCH01</x:v>
      </x:c>
      <x:c r="M1101" s="9" t="n">
        <x:v>25.285</x:v>
      </x:c>
      <x:c r="N1101" s="9" t="n">
        <x:v>51.51</x:v>
      </x:c>
      <x:c r="O1101" s="2" t="str">
        <x:v>Valid</x:v>
      </x:c>
      <x:c r="P1101" s="2" t="str">
        <x:v>EV002194</x:v>
      </x:c>
      <x:c r="Q1101" s="8" t="n">
        <x:v>46303.59059027778</x:v>
      </x:c>
      <x:c r="R1101" s="2" t="str">
        <x:v>R2S2</x:v>
      </x:c>
      <x:c r="S1101" s="9" t="n">
        <x:v>25.282000000000004</x:v>
      </x:c>
      <x:c r="T1101" s="9" t="n">
        <x:v>51.501999999999995</x:v>
      </x:c>
      <x:c r="U1101" s="2" t="str">
        <x:v>G060</x:v>
      </x:c>
      <x:c r="V1101" s="2" t="str">
        <x:v>Authorized guardian release</x:v>
      </x:c>
      <x:c r="W1101" s="2" t="str">
        <x:v>Completed transport</x:v>
      </x:c>
      <x:c r="X1101" s="2" t="str">
        <x:v>QR</x:v>
      </x:c>
      <x:c r="Y1101" s="2" t="str">
        <x:v>Online</x:v>
      </x:c>
      <x:c r="Z1101" s="2" t="str">
        <x:v>Synced</x:v>
      </x:c>
      <x:c r="AA1101" s="2"/>
      <x:c r="AB1101" s="2"/>
      <x:c r="AC1101" s="10" t="n">
        <x:f>IF(OR(K1101="",Q1101=""),"",ROUND((Q1101-K1101)*1440,2))</x:f>
        <x:v>25</x:v>
      </x:c>
    </x:row>
    <x:row r="1102" ht="21" customHeight="1">
      <x:c r="A1102" s="2" t="str">
        <x:v>LN01101</x:v>
      </x:c>
      <x:c r="B1102" s="2" t="str">
        <x:v>T20261008-4-2</x:v>
      </x:c>
      <x:c r="C1102" s="7" t="n">
        <x:v>46303</x:v>
      </x:c>
      <x:c r="D1102" s="2" t="str">
        <x:v>BUS002</x:v>
      </x:c>
      <x:c r="E1102" s="2" t="str">
        <x:v>ST061</x:v>
      </x:c>
      <x:c r="F1102" s="2" t="n">
        <x:v>2</x:v>
      </x:c>
      <x:c r="G1102" s="2" t="str">
        <x:v>Junior</x:v>
      </x:c>
      <x:c r="H1102" s="2" t="str">
        <x:v>Drop-off</x:v>
      </x:c>
      <x:c r="I1102" s="2" t="str">
        <x:v>R2S3</x:v>
      </x:c>
      <x:c r="J1102" s="2" t="str">
        <x:v>EV002195</x:v>
      </x:c>
      <x:c r="K1102" s="8" t="n">
        <x:v>46303.60416666667</x:v>
      </x:c>
      <x:c r="L1102" s="2" t="str">
        <x:v>SCH01</x:v>
      </x:c>
      <x:c r="M1102" s="9" t="n">
        <x:v>25.285</x:v>
      </x:c>
      <x:c r="N1102" s="9" t="n">
        <x:v>51.51</x:v>
      </x:c>
      <x:c r="O1102" s="2" t="str">
        <x:v>Valid</x:v>
      </x:c>
      <x:c r="P1102" s="2" t="str">
        <x:v>EV002196</x:v>
      </x:c>
      <x:c r="Q1102" s="8" t="n">
        <x:v>46303.62708333333</x:v>
      </x:c>
      <x:c r="R1102" s="2" t="str">
        <x:v>R2S3</x:v>
      </x:c>
      <x:c r="S1102" s="9" t="n">
        <x:v>25.284000000000002</x:v>
      </x:c>
      <x:c r="T1102" s="9" t="n">
        <x:v>51.504999999999995</x:v>
      </x:c>
      <x:c r="U1102" s="2" t="str">
        <x:v>G061</x:v>
      </x:c>
      <x:c r="V1102" s="2" t="str">
        <x:v>Authorized guardian release</x:v>
      </x:c>
      <x:c r="W1102" s="2" t="str">
        <x:v>Completed transport</x:v>
      </x:c>
      <x:c r="X1102" s="2" t="str">
        <x:v>QR</x:v>
      </x:c>
      <x:c r="Y1102" s="2" t="str">
        <x:v>Online</x:v>
      </x:c>
      <x:c r="Z1102" s="2" t="str">
        <x:v>Synced</x:v>
      </x:c>
      <x:c r="AA1102" s="2"/>
      <x:c r="AB1102" s="2"/>
      <x:c r="AC1102" s="10" t="n">
        <x:f>IF(OR(K1102="",Q1102=""),"",ROUND((Q1102-K1102)*1440,2))</x:f>
        <x:v>33</x:v>
      </x:c>
    </x:row>
    <x:row r="1103" ht="21" customHeight="1">
      <x:c r="A1103" s="2" t="str">
        <x:v>LN01102</x:v>
      </x:c>
      <x:c r="B1103" s="2" t="str">
        <x:v>T20261008-4-2</x:v>
      </x:c>
      <x:c r="C1103" s="7" t="n">
        <x:v>46303</x:v>
      </x:c>
      <x:c r="D1103" s="2" t="str">
        <x:v>BUS002</x:v>
      </x:c>
      <x:c r="E1103" s="2" t="str">
        <x:v>ST062</x:v>
      </x:c>
      <x:c r="F1103" s="2" t="n">
        <x:v>2</x:v>
      </x:c>
      <x:c r="G1103" s="2" t="str">
        <x:v>Junior</x:v>
      </x:c>
      <x:c r="H1103" s="2" t="str">
        <x:v>Drop-off</x:v>
      </x:c>
      <x:c r="I1103" s="2" t="str">
        <x:v>R2S1</x:v>
      </x:c>
      <x:c r="J1103" s="2" t="str">
        <x:v>EV002197</x:v>
      </x:c>
      <x:c r="K1103" s="8" t="n">
        <x:v>46303.604201388895</x:v>
      </x:c>
      <x:c r="L1103" s="2" t="str">
        <x:v>SCH01</x:v>
      </x:c>
      <x:c r="M1103" s="9" t="n">
        <x:v>25.285</x:v>
      </x:c>
      <x:c r="N1103" s="9" t="n">
        <x:v>51.51</x:v>
      </x:c>
      <x:c r="O1103" s="2" t="str">
        <x:v>Valid</x:v>
      </x:c>
      <x:c r="P1103" s="2" t="str">
        <x:v>EV002198</x:v>
      </x:c>
      <x:c r="Q1103" s="8" t="n">
        <x:v>46303.618784722225</x:v>
      </x:c>
      <x:c r="R1103" s="2" t="str">
        <x:v>R2S1</x:v>
      </x:c>
      <x:c r="S1103" s="9" t="n">
        <x:v>25.28</x:v>
      </x:c>
      <x:c r="T1103" s="9" t="n">
        <x:v>51.498999999999995</x:v>
      </x:c>
      <x:c r="U1103" s="2" t="str">
        <x:v>G062</x:v>
      </x:c>
      <x:c r="V1103" s="2" t="str">
        <x:v>Authorized guardian release</x:v>
      </x:c>
      <x:c r="W1103" s="2" t="str">
        <x:v>Completed transport</x:v>
      </x:c>
      <x:c r="X1103" s="2" t="str">
        <x:v>QR</x:v>
      </x:c>
      <x:c r="Y1103" s="2" t="str">
        <x:v>Online</x:v>
      </x:c>
      <x:c r="Z1103" s="2" t="str">
        <x:v>Synced</x:v>
      </x:c>
      <x:c r="AA1103" s="2"/>
      <x:c r="AB1103" s="2"/>
      <x:c r="AC1103" s="10" t="n">
        <x:f>IF(OR(K1103="",Q1103=""),"",ROUND((Q1103-K1103)*1440,2))</x:f>
        <x:v>21</x:v>
      </x:c>
    </x:row>
    <x:row r="1104" ht="21" customHeight="1">
      <x:c r="A1104" s="2" t="str">
        <x:v>LN01103</x:v>
      </x:c>
      <x:c r="B1104" s="2" t="str">
        <x:v>T20261008-4-2</x:v>
      </x:c>
      <x:c r="C1104" s="7" t="n">
        <x:v>46303</x:v>
      </x:c>
      <x:c r="D1104" s="2" t="str">
        <x:v>BUS002</x:v>
      </x:c>
      <x:c r="E1104" s="2" t="str">
        <x:v>ST063</x:v>
      </x:c>
      <x:c r="F1104" s="2" t="n">
        <x:v>2</x:v>
      </x:c>
      <x:c r="G1104" s="2" t="str">
        <x:v>Junior</x:v>
      </x:c>
      <x:c r="H1104" s="2" t="str">
        <x:v>Drop-off</x:v>
      </x:c>
      <x:c r="I1104" s="2" t="str">
        <x:v>R2S2</x:v>
      </x:c>
      <x:c r="J1104" s="2" t="str">
        <x:v>EV002199</x:v>
      </x:c>
      <x:c r="K1104" s="8" t="n">
        <x:v>46303.60423611112</x:v>
      </x:c>
      <x:c r="L1104" s="2" t="str">
        <x:v>SCH01</x:v>
      </x:c>
      <x:c r="M1104" s="9" t="n">
        <x:v>25.285</x:v>
      </x:c>
      <x:c r="N1104" s="9" t="n">
        <x:v>51.51</x:v>
      </x:c>
      <x:c r="O1104" s="2" t="str">
        <x:v>Valid</x:v>
      </x:c>
      <x:c r="P1104" s="2" t="str">
        <x:v>EV002200</x:v>
      </x:c>
      <x:c r="Q1104" s="8" t="n">
        <x:v>46303.62298611111</x:v>
      </x:c>
      <x:c r="R1104" s="2" t="str">
        <x:v>R2S2</x:v>
      </x:c>
      <x:c r="S1104" s="9" t="n">
        <x:v>25.282000000000004</x:v>
      </x:c>
      <x:c r="T1104" s="9" t="n">
        <x:v>51.501999999999995</x:v>
      </x:c>
      <x:c r="U1104" s="2" t="str">
        <x:v>G063</x:v>
      </x:c>
      <x:c r="V1104" s="2" t="str">
        <x:v>Authorized guardian release</x:v>
      </x:c>
      <x:c r="W1104" s="2" t="str">
        <x:v>Completed transport</x:v>
      </x:c>
      <x:c r="X1104" s="2" t="str">
        <x:v>QR</x:v>
      </x:c>
      <x:c r="Y1104" s="2" t="str">
        <x:v>Online</x:v>
      </x:c>
      <x:c r="Z1104" s="2" t="str">
        <x:v>Synced</x:v>
      </x:c>
      <x:c r="AA1104" s="2"/>
      <x:c r="AB1104" s="2"/>
      <x:c r="AC1104" s="10" t="n">
        <x:f>IF(OR(K1104="",Q1104=""),"",ROUND((Q1104-K1104)*1440,2))</x:f>
        <x:v>27</x:v>
      </x:c>
    </x:row>
    <x:row r="1105" ht="21" customHeight="1">
      <x:c r="A1105" s="2" t="str">
        <x:v>LN01104</x:v>
      </x:c>
      <x:c r="B1105" s="2" t="str">
        <x:v>T20261008-4-2</x:v>
      </x:c>
      <x:c r="C1105" s="7" t="n">
        <x:v>46303</x:v>
      </x:c>
      <x:c r="D1105" s="2" t="str">
        <x:v>BUS002</x:v>
      </x:c>
      <x:c r="E1105" s="2" t="str">
        <x:v>ST064</x:v>
      </x:c>
      <x:c r="F1105" s="2" t="n">
        <x:v>2</x:v>
      </x:c>
      <x:c r="G1105" s="2" t="str">
        <x:v>Junior</x:v>
      </x:c>
      <x:c r="H1105" s="2" t="str">
        <x:v>Drop-off</x:v>
      </x:c>
      <x:c r="I1105" s="2" t="str">
        <x:v>R2S3</x:v>
      </x:c>
      <x:c r="J1105" s="2" t="str">
        <x:v>EV002201</x:v>
      </x:c>
      <x:c r="K1105" s="8" t="n">
        <x:v>46303.60427083334</x:v>
      </x:c>
      <x:c r="L1105" s="2" t="str">
        <x:v>SCH01</x:v>
      </x:c>
      <x:c r="M1105" s="9" t="n">
        <x:v>25.285</x:v>
      </x:c>
      <x:c r="N1105" s="9" t="n">
        <x:v>51.51</x:v>
      </x:c>
      <x:c r="O1105" s="2" t="str">
        <x:v>Valid</x:v>
      </x:c>
      <x:c r="P1105" s="2" t="str">
        <x:v>EV002202</x:v>
      </x:c>
      <x:c r="Q1105" s="8" t="n">
        <x:v>46303.6271875</x:v>
      </x:c>
      <x:c r="R1105" s="2" t="str">
        <x:v>R2S3</x:v>
      </x:c>
      <x:c r="S1105" s="9" t="n">
        <x:v>25.284000000000002</x:v>
      </x:c>
      <x:c r="T1105" s="9" t="n">
        <x:v>51.504999999999995</x:v>
      </x:c>
      <x:c r="U1105" s="2" t="str">
        <x:v>G064</x:v>
      </x:c>
      <x:c r="V1105" s="2" t="str">
        <x:v>Authorized guardian release</x:v>
      </x:c>
      <x:c r="W1105" s="2" t="str">
        <x:v>Completed transport</x:v>
      </x:c>
      <x:c r="X1105" s="2" t="str">
        <x:v>QR</x:v>
      </x:c>
      <x:c r="Y1105" s="2" t="str">
        <x:v>Online</x:v>
      </x:c>
      <x:c r="Z1105" s="2" t="str">
        <x:v>Synced</x:v>
      </x:c>
      <x:c r="AA1105" s="2"/>
      <x:c r="AB1105" s="2"/>
      <x:c r="AC1105" s="10" t="n">
        <x:f>IF(OR(K1105="",Q1105=""),"",ROUND((Q1105-K1105)*1440,2))</x:f>
        <x:v>33</x:v>
      </x:c>
    </x:row>
    <x:row r="1106" ht="21" customHeight="1">
      <x:c r="A1106" s="2" t="str">
        <x:v>LN01105</x:v>
      </x:c>
      <x:c r="B1106" s="2" t="str">
        <x:v>T20261008-4-2</x:v>
      </x:c>
      <x:c r="C1106" s="7" t="n">
        <x:v>46303</x:v>
      </x:c>
      <x:c r="D1106" s="2" t="str">
        <x:v>BUS002</x:v>
      </x:c>
      <x:c r="E1106" s="2" t="str">
        <x:v>ST065</x:v>
      </x:c>
      <x:c r="F1106" s="2" t="n">
        <x:v>2</x:v>
      </x:c>
      <x:c r="G1106" s="2" t="str">
        <x:v>Junior</x:v>
      </x:c>
      <x:c r="H1106" s="2" t="str">
        <x:v>Drop-off</x:v>
      </x:c>
      <x:c r="I1106" s="2" t="str">
        <x:v>R2S1</x:v>
      </x:c>
      <x:c r="J1106" s="2" t="str">
        <x:v>EV002203</x:v>
      </x:c>
      <x:c r="K1106" s="8" t="n">
        <x:v>46303.604305555564</x:v>
      </x:c>
      <x:c r="L1106" s="2" t="str">
        <x:v>SCH01</x:v>
      </x:c>
      <x:c r="M1106" s="9" t="n">
        <x:v>25.285</x:v>
      </x:c>
      <x:c r="N1106" s="9" t="n">
        <x:v>51.51</x:v>
      </x:c>
      <x:c r="O1106" s="2" t="str">
        <x:v>Valid</x:v>
      </x:c>
      <x:c r="P1106" s="2" t="str">
        <x:v>EV002204</x:v>
      </x:c>
      <x:c r="Q1106" s="8" t="n">
        <x:v>46303.618888888894</x:v>
      </x:c>
      <x:c r="R1106" s="2" t="str">
        <x:v>R2S1</x:v>
      </x:c>
      <x:c r="S1106" s="9" t="n">
        <x:v>25.28</x:v>
      </x:c>
      <x:c r="T1106" s="9" t="n">
        <x:v>51.498999999999995</x:v>
      </x:c>
      <x:c r="U1106" s="2" t="str">
        <x:v>G065</x:v>
      </x:c>
      <x:c r="V1106" s="2" t="str">
        <x:v>Authorized guardian release</x:v>
      </x:c>
      <x:c r="W1106" s="2" t="str">
        <x:v>Completed transport</x:v>
      </x:c>
      <x:c r="X1106" s="2" t="str">
        <x:v>QR</x:v>
      </x:c>
      <x:c r="Y1106" s="2" t="str">
        <x:v>Online</x:v>
      </x:c>
      <x:c r="Z1106" s="2" t="str">
        <x:v>Synced</x:v>
      </x:c>
      <x:c r="AA1106" s="2"/>
      <x:c r="AB1106" s="2"/>
      <x:c r="AC1106" s="10" t="n">
        <x:f>IF(OR(K1106="",Q1106=""),"",ROUND((Q1106-K1106)*1440,2))</x:f>
        <x:v>21</x:v>
      </x:c>
    </x:row>
    <x:row r="1107" ht="21" customHeight="1">
      <x:c r="A1107" s="2" t="str">
        <x:v>LN01106</x:v>
      </x:c>
      <x:c r="B1107" s="2" t="str">
        <x:v>T20261008-4-2</x:v>
      </x:c>
      <x:c r="C1107" s="7" t="n">
        <x:v>46303</x:v>
      </x:c>
      <x:c r="D1107" s="2" t="str">
        <x:v>BUS002</x:v>
      </x:c>
      <x:c r="E1107" s="2" t="str">
        <x:v>ST066</x:v>
      </x:c>
      <x:c r="F1107" s="2" t="n">
        <x:v>2</x:v>
      </x:c>
      <x:c r="G1107" s="2" t="str">
        <x:v>Junior</x:v>
      </x:c>
      <x:c r="H1107" s="2" t="str">
        <x:v>Drop-off</x:v>
      </x:c>
      <x:c r="I1107" s="2" t="str">
        <x:v>R2S2</x:v>
      </x:c>
      <x:c r="J1107" s="2" t="str">
        <x:v>EV002205</x:v>
      </x:c>
      <x:c r="K1107" s="8" t="n">
        <x:v>46303.60434027778</x:v>
      </x:c>
      <x:c r="L1107" s="2" t="str">
        <x:v>SCH01</x:v>
      </x:c>
      <x:c r="M1107" s="9" t="n">
        <x:v>25.285</x:v>
      </x:c>
      <x:c r="N1107" s="9" t="n">
        <x:v>51.51</x:v>
      </x:c>
      <x:c r="O1107" s="2" t="str">
        <x:v>Valid</x:v>
      </x:c>
      <x:c r="P1107" s="2" t="str">
        <x:v>EV002206</x:v>
      </x:c>
      <x:c r="Q1107" s="8" t="n">
        <x:v>46303.623090277775</x:v>
      </x:c>
      <x:c r="R1107" s="2" t="str">
        <x:v>R2S2</x:v>
      </x:c>
      <x:c r="S1107" s="9" t="n">
        <x:v>25.282000000000004</x:v>
      </x:c>
      <x:c r="T1107" s="9" t="n">
        <x:v>51.501999999999995</x:v>
      </x:c>
      <x:c r="U1107" s="2" t="str">
        <x:v>G066</x:v>
      </x:c>
      <x:c r="V1107" s="2" t="str">
        <x:v>Authorized guardian release</x:v>
      </x:c>
      <x:c r="W1107" s="2" t="str">
        <x:v>Completed transport</x:v>
      </x:c>
      <x:c r="X1107" s="2" t="str">
        <x:v>QR</x:v>
      </x:c>
      <x:c r="Y1107" s="2" t="str">
        <x:v>Online</x:v>
      </x:c>
      <x:c r="Z1107" s="2" t="str">
        <x:v>Synced</x:v>
      </x:c>
      <x:c r="AA1107" s="2"/>
      <x:c r="AB1107" s="2"/>
      <x:c r="AC1107" s="10" t="n">
        <x:f>IF(OR(K1107="",Q1107=""),"",ROUND((Q1107-K1107)*1440,2))</x:f>
        <x:v>27</x:v>
      </x:c>
    </x:row>
    <x:row r="1108" ht="21" customHeight="1">
      <x:c r="A1108" s="2" t="str">
        <x:v>LN01107</x:v>
      </x:c>
      <x:c r="B1108" s="2" t="str">
        <x:v>T20261008-4-2</x:v>
      </x:c>
      <x:c r="C1108" s="7" t="n">
        <x:v>46303</x:v>
      </x:c>
      <x:c r="D1108" s="2" t="str">
        <x:v>BUS002</x:v>
      </x:c>
      <x:c r="E1108" s="2" t="str">
        <x:v>ST067</x:v>
      </x:c>
      <x:c r="F1108" s="2" t="n">
        <x:v>2</x:v>
      </x:c>
      <x:c r="G1108" s="2" t="str">
        <x:v>Junior</x:v>
      </x:c>
      <x:c r="H1108" s="2" t="str">
        <x:v>Drop-off</x:v>
      </x:c>
      <x:c r="I1108" s="2" t="str">
        <x:v>R2S3</x:v>
      </x:c>
      <x:c r="J1108" s="2" t="str">
        <x:v>EV002207</x:v>
      </x:c>
      <x:c r="K1108" s="8" t="n">
        <x:v>46303.604375</x:v>
      </x:c>
      <x:c r="L1108" s="2" t="str">
        <x:v>SCH01</x:v>
      </x:c>
      <x:c r="M1108" s="9" t="n">
        <x:v>25.285</x:v>
      </x:c>
      <x:c r="N1108" s="9" t="n">
        <x:v>51.51</x:v>
      </x:c>
      <x:c r="O1108" s="2" t="str">
        <x:v>Valid</x:v>
      </x:c>
      <x:c r="P1108" s="2" t="str">
        <x:v>EV002208</x:v>
      </x:c>
      <x:c r="Q1108" s="8" t="n">
        <x:v>46303.627291666664</x:v>
      </x:c>
      <x:c r="R1108" s="2" t="str">
        <x:v>R2S3</x:v>
      </x:c>
      <x:c r="S1108" s="9" t="n">
        <x:v>25.284000000000002</x:v>
      </x:c>
      <x:c r="T1108" s="9" t="n">
        <x:v>51.504999999999995</x:v>
      </x:c>
      <x:c r="U1108" s="2" t="str">
        <x:v>G067</x:v>
      </x:c>
      <x:c r="V1108" s="2" t="str">
        <x:v>Authorized guardian release</x:v>
      </x:c>
      <x:c r="W1108" s="2" t="str">
        <x:v>Completed transport</x:v>
      </x:c>
      <x:c r="X1108" s="2" t="str">
        <x:v>QR</x:v>
      </x:c>
      <x:c r="Y1108" s="2" t="str">
        <x:v>Online</x:v>
      </x:c>
      <x:c r="Z1108" s="2" t="str">
        <x:v>Synced</x:v>
      </x:c>
      <x:c r="AA1108" s="2"/>
      <x:c r="AB1108" s="2"/>
      <x:c r="AC1108" s="10" t="n">
        <x:f>IF(OR(K1108="",Q1108=""),"",ROUND((Q1108-K1108)*1440,2))</x:f>
        <x:v>33</x:v>
      </x:c>
    </x:row>
    <x:row r="1109" ht="21" customHeight="1">
      <x:c r="A1109" s="2" t="str">
        <x:v>LN01108</x:v>
      </x:c>
      <x:c r="B1109" s="2" t="str">
        <x:v>T20261008-4-2</x:v>
      </x:c>
      <x:c r="C1109" s="7" t="n">
        <x:v>46303</x:v>
      </x:c>
      <x:c r="D1109" s="2" t="str">
        <x:v>BUS002</x:v>
      </x:c>
      <x:c r="E1109" s="2" t="str">
        <x:v>ST068</x:v>
      </x:c>
      <x:c r="F1109" s="2" t="n">
        <x:v>2</x:v>
      </x:c>
      <x:c r="G1109" s="2" t="str">
        <x:v>Junior</x:v>
      </x:c>
      <x:c r="H1109" s="2" t="str">
        <x:v>Drop-off</x:v>
      </x:c>
      <x:c r="I1109" s="2" t="str">
        <x:v>R2S1</x:v>
      </x:c>
      <x:c r="J1109" s="2" t="str">
        <x:v>EV002209</x:v>
      </x:c>
      <x:c r="K1109" s="8" t="n">
        <x:v>46303.604409722226</x:v>
      </x:c>
      <x:c r="L1109" s="2" t="str">
        <x:v>SCH01</x:v>
      </x:c>
      <x:c r="M1109" s="9" t="n">
        <x:v>25.285</x:v>
      </x:c>
      <x:c r="N1109" s="9" t="n">
        <x:v>51.51</x:v>
      </x:c>
      <x:c r="O1109" s="2" t="str">
        <x:v>Valid</x:v>
      </x:c>
      <x:c r="P1109" s="2" t="str">
        <x:v>EV002210</x:v>
      </x:c>
      <x:c r="Q1109" s="8" t="n">
        <x:v>46303.618993055556</x:v>
      </x:c>
      <x:c r="R1109" s="2" t="str">
        <x:v>R2S1</x:v>
      </x:c>
      <x:c r="S1109" s="9" t="n">
        <x:v>25.28</x:v>
      </x:c>
      <x:c r="T1109" s="9" t="n">
        <x:v>51.498999999999995</x:v>
      </x:c>
      <x:c r="U1109" s="2" t="str">
        <x:v>G068</x:v>
      </x:c>
      <x:c r="V1109" s="2" t="str">
        <x:v>Authorized guardian release</x:v>
      </x:c>
      <x:c r="W1109" s="2" t="str">
        <x:v>Completed transport</x:v>
      </x:c>
      <x:c r="X1109" s="2" t="str">
        <x:v>QR</x:v>
      </x:c>
      <x:c r="Y1109" s="2" t="str">
        <x:v>Online</x:v>
      </x:c>
      <x:c r="Z1109" s="2" t="str">
        <x:v>Synced</x:v>
      </x:c>
      <x:c r="AA1109" s="2"/>
      <x:c r="AB1109" s="2"/>
      <x:c r="AC1109" s="10" t="n">
        <x:f>IF(OR(K1109="",Q1109=""),"",ROUND((Q1109-K1109)*1440,2))</x:f>
        <x:v>21</x:v>
      </x:c>
    </x:row>
    <x:row r="1110" ht="21" customHeight="1">
      <x:c r="A1110" s="2" t="str">
        <x:v>LN01109</x:v>
      </x:c>
      <x:c r="B1110" s="2" t="str">
        <x:v>T20261008-4-2</x:v>
      </x:c>
      <x:c r="C1110" s="7" t="n">
        <x:v>46303</x:v>
      </x:c>
      <x:c r="D1110" s="2" t="str">
        <x:v>BUS002</x:v>
      </x:c>
      <x:c r="E1110" s="2" t="str">
        <x:v>ST069</x:v>
      </x:c>
      <x:c r="F1110" s="2" t="n">
        <x:v>2</x:v>
      </x:c>
      <x:c r="G1110" s="2" t="str">
        <x:v>Junior</x:v>
      </x:c>
      <x:c r="H1110" s="2" t="str">
        <x:v>Drop-off</x:v>
      </x:c>
      <x:c r="I1110" s="2" t="str">
        <x:v>R2S2</x:v>
      </x:c>
      <x:c r="J1110" s="2" t="str">
        <x:v>EV002211</x:v>
      </x:c>
      <x:c r="K1110" s="8" t="n">
        <x:v>46303.60444444445</x:v>
      </x:c>
      <x:c r="L1110" s="2" t="str">
        <x:v>SCH01</x:v>
      </x:c>
      <x:c r="M1110" s="9" t="n">
        <x:v>25.285</x:v>
      </x:c>
      <x:c r="N1110" s="9" t="n">
        <x:v>51.51</x:v>
      </x:c>
      <x:c r="O1110" s="2" t="str">
        <x:v>Valid</x:v>
      </x:c>
      <x:c r="P1110" s="2" t="str">
        <x:v>EV002212</x:v>
      </x:c>
      <x:c r="Q1110" s="8" t="n">
        <x:v>46303.623194444444</x:v>
      </x:c>
      <x:c r="R1110" s="2" t="str">
        <x:v>R2S2</x:v>
      </x:c>
      <x:c r="S1110" s="9" t="n">
        <x:v>25.282000000000004</x:v>
      </x:c>
      <x:c r="T1110" s="9" t="n">
        <x:v>51.501999999999995</x:v>
      </x:c>
      <x:c r="U1110" s="2" t="str">
        <x:v>G069</x:v>
      </x:c>
      <x:c r="V1110" s="2" t="str">
        <x:v>Authorized guardian release</x:v>
      </x:c>
      <x:c r="W1110" s="2" t="str">
        <x:v>Completed transport</x:v>
      </x:c>
      <x:c r="X1110" s="2" t="str">
        <x:v>QR</x:v>
      </x:c>
      <x:c r="Y1110" s="2" t="str">
        <x:v>Online</x:v>
      </x:c>
      <x:c r="Z1110" s="2" t="str">
        <x:v>Synced</x:v>
      </x:c>
      <x:c r="AA1110" s="2"/>
      <x:c r="AB1110" s="2"/>
      <x:c r="AC1110" s="10" t="n">
        <x:f>IF(OR(K1110="",Q1110=""),"",ROUND((Q1110-K1110)*1440,2))</x:f>
        <x:v>27</x:v>
      </x:c>
    </x:row>
    <x:row r="1111" ht="21" customHeight="1">
      <x:c r="A1111" s="2" t="str">
        <x:v>LN01110</x:v>
      </x:c>
      <x:c r="B1111" s="2" t="str">
        <x:v>T20261008-4-2</x:v>
      </x:c>
      <x:c r="C1111" s="7" t="n">
        <x:v>46303</x:v>
      </x:c>
      <x:c r="D1111" s="2" t="str">
        <x:v>BUS002</x:v>
      </x:c>
      <x:c r="E1111" s="2" t="str">
        <x:v>ST070</x:v>
      </x:c>
      <x:c r="F1111" s="2" t="n">
        <x:v>2</x:v>
      </x:c>
      <x:c r="G1111" s="2" t="str">
        <x:v>Junior</x:v>
      </x:c>
      <x:c r="H1111" s="2" t="str">
        <x:v>Drop-off</x:v>
      </x:c>
      <x:c r="I1111" s="2" t="str">
        <x:v>R2S3</x:v>
      </x:c>
      <x:c r="J1111" s="2" t="str">
        <x:v>EV002213</x:v>
      </x:c>
      <x:c r="K1111" s="8" t="n">
        <x:v>46303.60447916667</x:v>
      </x:c>
      <x:c r="L1111" s="2" t="str">
        <x:v>SCH01</x:v>
      </x:c>
      <x:c r="M1111" s="9" t="n">
        <x:v>25.285</x:v>
      </x:c>
      <x:c r="N1111" s="9" t="n">
        <x:v>51.51</x:v>
      </x:c>
      <x:c r="O1111" s="2" t="str">
        <x:v>Valid</x:v>
      </x:c>
      <x:c r="P1111" s="2" t="str">
        <x:v>EV002214</x:v>
      </x:c>
      <x:c r="Q1111" s="8" t="n">
        <x:v>46303.62739583333</x:v>
      </x:c>
      <x:c r="R1111" s="2" t="str">
        <x:v>R2S3</x:v>
      </x:c>
      <x:c r="S1111" s="9" t="n">
        <x:v>25.284000000000002</x:v>
      </x:c>
      <x:c r="T1111" s="9" t="n">
        <x:v>51.504999999999995</x:v>
      </x:c>
      <x:c r="U1111" s="2" t="str">
        <x:v>G070</x:v>
      </x:c>
      <x:c r="V1111" s="2" t="str">
        <x:v>Authorized guardian release</x:v>
      </x:c>
      <x:c r="W1111" s="2" t="str">
        <x:v>Completed transport</x:v>
      </x:c>
      <x:c r="X1111" s="2" t="str">
        <x:v>QR</x:v>
      </x:c>
      <x:c r="Y1111" s="2" t="str">
        <x:v>Online</x:v>
      </x:c>
      <x:c r="Z1111" s="2" t="str">
        <x:v>Synced</x:v>
      </x:c>
      <x:c r="AA1111" s="2"/>
      <x:c r="AB1111" s="2"/>
      <x:c r="AC1111" s="10" t="n">
        <x:f>IF(OR(K1111="",Q1111=""),"",ROUND((Q1111-K1111)*1440,2))</x:f>
        <x:v>33</x:v>
      </x:c>
    </x:row>
    <x:row r="1112" ht="21" customHeight="1">
      <x:c r="A1112" s="2" t="str">
        <x:v>LN01111</x:v>
      </x:c>
      <x:c r="B1112" s="2" t="str">
        <x:v>T20261008-5-2</x:v>
      </x:c>
      <x:c r="C1112" s="7" t="n">
        <x:v>46303</x:v>
      </x:c>
      <x:c r="D1112" s="2" t="str">
        <x:v>BUS002</x:v>
      </x:c>
      <x:c r="E1112" s="2" t="str">
        <x:v>ST071</x:v>
      </x:c>
      <x:c r="F1112" s="2" t="n">
        <x:v>2</x:v>
      </x:c>
      <x:c r="G1112" s="2" t="str">
        <x:v>Senior</x:v>
      </x:c>
      <x:c r="H1112" s="2" t="str">
        <x:v>Drop-off</x:v>
      </x:c>
      <x:c r="I1112" s="2" t="str">
        <x:v>R2S1</x:v>
      </x:c>
      <x:c r="J1112" s="2" t="str">
        <x:v>EV002215</x:v>
      </x:c>
      <x:c r="K1112" s="8" t="n">
        <x:v>46303.70833333333</x:v>
      </x:c>
      <x:c r="L1112" s="2" t="str">
        <x:v>SCH01</x:v>
      </x:c>
      <x:c r="M1112" s="9" t="n">
        <x:v>25.285</x:v>
      </x:c>
      <x:c r="N1112" s="9" t="n">
        <x:v>51.51</x:v>
      </x:c>
      <x:c r="O1112" s="2" t="str">
        <x:v>Valid</x:v>
      </x:c>
      <x:c r="P1112" s="2" t="str">
        <x:v>EV002216</x:v>
      </x:c>
      <x:c r="Q1112" s="8" t="n">
        <x:v>46303.72361111111</x:v>
      </x:c>
      <x:c r="R1112" s="2" t="str">
        <x:v>R2S1</x:v>
      </x:c>
      <x:c r="S1112" s="9" t="n">
        <x:v>25.28</x:v>
      </x:c>
      <x:c r="T1112" s="9" t="n">
        <x:v>51.498999999999995</x:v>
      </x:c>
      <x:c r="U1112" s="2" t="str">
        <x:v>G071</x:v>
      </x:c>
      <x:c r="V1112" s="2" t="str">
        <x:v>Authorized guardian release</x:v>
      </x:c>
      <x:c r="W1112" s="2" t="str">
        <x:v>Completed transport</x:v>
      </x:c>
      <x:c r="X1112" s="2" t="str">
        <x:v>QR</x:v>
      </x:c>
      <x:c r="Y1112" s="2" t="str">
        <x:v>Online</x:v>
      </x:c>
      <x:c r="Z1112" s="2" t="str">
        <x:v>Synced</x:v>
      </x:c>
      <x:c r="AA1112" s="2"/>
      <x:c r="AB1112" s="2"/>
      <x:c r="AC1112" s="10" t="n">
        <x:f>IF(OR(K1112="",Q1112=""),"",ROUND((Q1112-K1112)*1440,2))</x:f>
        <x:v>22</x:v>
      </x:c>
    </x:row>
    <x:row r="1113" ht="21" customHeight="1">
      <x:c r="A1113" s="2" t="str">
        <x:v>LN01112</x:v>
      </x:c>
      <x:c r="B1113" s="2" t="str">
        <x:v>T20261008-5-2</x:v>
      </x:c>
      <x:c r="C1113" s="7" t="n">
        <x:v>46303</x:v>
      </x:c>
      <x:c r="D1113" s="2" t="str">
        <x:v>BUS002</x:v>
      </x:c>
      <x:c r="E1113" s="2" t="str">
        <x:v>ST072</x:v>
      </x:c>
      <x:c r="F1113" s="2" t="n">
        <x:v>2</x:v>
      </x:c>
      <x:c r="G1113" s="2" t="str">
        <x:v>Senior</x:v>
      </x:c>
      <x:c r="H1113" s="2" t="str">
        <x:v>Drop-off</x:v>
      </x:c>
      <x:c r="I1113" s="2" t="str">
        <x:v>R2S2</x:v>
      </x:c>
      <x:c r="J1113" s="2" t="str">
        <x:v>EV002217</x:v>
      </x:c>
      <x:c r="K1113" s="8" t="n">
        <x:v>46303.70836805555</x:v>
      </x:c>
      <x:c r="L1113" s="2" t="str">
        <x:v>SCH01</x:v>
      </x:c>
      <x:c r="M1113" s="9" t="n">
        <x:v>25.285</x:v>
      </x:c>
      <x:c r="N1113" s="9" t="n">
        <x:v>51.51</x:v>
      </x:c>
      <x:c r="O1113" s="2" t="str">
        <x:v>Valid</x:v>
      </x:c>
      <x:c r="P1113" s="2" t="str">
        <x:v>EV002218</x:v>
      </x:c>
      <x:c r="Q1113" s="8" t="n">
        <x:v>46303.72850694445</x:v>
      </x:c>
      <x:c r="R1113" s="2" t="str">
        <x:v>R2S2</x:v>
      </x:c>
      <x:c r="S1113" s="9" t="n">
        <x:v>25.282000000000004</x:v>
      </x:c>
      <x:c r="T1113" s="9" t="n">
        <x:v>51.501999999999995</x:v>
      </x:c>
      <x:c r="U1113" s="2" t="str">
        <x:v>G072</x:v>
      </x:c>
      <x:c r="V1113" s="2" t="str">
        <x:v>Authorized guardian release</x:v>
      </x:c>
      <x:c r="W1113" s="2" t="str">
        <x:v>Completed transport</x:v>
      </x:c>
      <x:c r="X1113" s="2" t="str">
        <x:v>QR</x:v>
      </x:c>
      <x:c r="Y1113" s="2" t="str">
        <x:v>Online</x:v>
      </x:c>
      <x:c r="Z1113" s="2" t="str">
        <x:v>Synced</x:v>
      </x:c>
      <x:c r="AA1113" s="2"/>
      <x:c r="AB1113" s="2"/>
      <x:c r="AC1113" s="10" t="n">
        <x:f>IF(OR(K1113="",Q1113=""),"",ROUND((Q1113-K1113)*1440,2))</x:f>
        <x:v>29</x:v>
      </x:c>
    </x:row>
    <x:row r="1114" ht="21" customHeight="1">
      <x:c r="A1114" s="2" t="str">
        <x:v>LN01113</x:v>
      </x:c>
      <x:c r="B1114" s="2" t="str">
        <x:v>T20261008-5-2</x:v>
      </x:c>
      <x:c r="C1114" s="7" t="n">
        <x:v>46303</x:v>
      </x:c>
      <x:c r="D1114" s="2" t="str">
        <x:v>BUS002</x:v>
      </x:c>
      <x:c r="E1114" s="2" t="str">
        <x:v>ST073</x:v>
      </x:c>
      <x:c r="F1114" s="2" t="n">
        <x:v>2</x:v>
      </x:c>
      <x:c r="G1114" s="2" t="str">
        <x:v>Senior</x:v>
      </x:c>
      <x:c r="H1114" s="2" t="str">
        <x:v>Drop-off</x:v>
      </x:c>
      <x:c r="I1114" s="2" t="str">
        <x:v>R2S3</x:v>
      </x:c>
      <x:c r="J1114" s="2" t="str">
        <x:v>EV002219</x:v>
      </x:c>
      <x:c r="K1114" s="8" t="n">
        <x:v>46303.708402777775</x:v>
      </x:c>
      <x:c r="L1114" s="2" t="str">
        <x:v>SCH01</x:v>
      </x:c>
      <x:c r="M1114" s="9" t="n">
        <x:v>25.285</x:v>
      </x:c>
      <x:c r="N1114" s="9" t="n">
        <x:v>51.51</x:v>
      </x:c>
      <x:c r="O1114" s="2" t="str">
        <x:v>Valid</x:v>
      </x:c>
      <x:c r="P1114" s="2" t="str">
        <x:v>EV002220</x:v>
      </x:c>
      <x:c r="Q1114" s="8" t="n">
        <x:v>46303.73340277778</x:v>
      </x:c>
      <x:c r="R1114" s="2" t="str">
        <x:v>R2S3</x:v>
      </x:c>
      <x:c r="S1114" s="9" t="n">
        <x:v>25.284000000000002</x:v>
      </x:c>
      <x:c r="T1114" s="9" t="n">
        <x:v>51.504999999999995</x:v>
      </x:c>
      <x:c r="U1114" s="2" t="str">
        <x:v>G073</x:v>
      </x:c>
      <x:c r="V1114" s="2" t="str">
        <x:v>Authorized guardian release</x:v>
      </x:c>
      <x:c r="W1114" s="2" t="str">
        <x:v>Completed transport</x:v>
      </x:c>
      <x:c r="X1114" s="2" t="str">
        <x:v>QR</x:v>
      </x:c>
      <x:c r="Y1114" s="2" t="str">
        <x:v>Online</x:v>
      </x:c>
      <x:c r="Z1114" s="2" t="str">
        <x:v>Synced</x:v>
      </x:c>
      <x:c r="AA1114" s="2"/>
      <x:c r="AB1114" s="2"/>
      <x:c r="AC1114" s="10" t="n">
        <x:f>IF(OR(K1114="",Q1114=""),"",ROUND((Q1114-K1114)*1440,2))</x:f>
        <x:v>36</x:v>
      </x:c>
    </x:row>
    <x:row r="1115" ht="21" customHeight="1">
      <x:c r="A1115" s="2" t="str">
        <x:v>LN01114</x:v>
      </x:c>
      <x:c r="B1115" s="2" t="str">
        <x:v>T20261008-5-2</x:v>
      </x:c>
      <x:c r="C1115" s="7" t="n">
        <x:v>46303</x:v>
      </x:c>
      <x:c r="D1115" s="2" t="str">
        <x:v>BUS002</x:v>
      </x:c>
      <x:c r="E1115" s="2" t="str">
        <x:v>ST074</x:v>
      </x:c>
      <x:c r="F1115" s="2" t="n">
        <x:v>2</x:v>
      </x:c>
      <x:c r="G1115" s="2" t="str">
        <x:v>Senior</x:v>
      </x:c>
      <x:c r="H1115" s="2" t="str">
        <x:v>Drop-off</x:v>
      </x:c>
      <x:c r="I1115" s="2" t="str">
        <x:v>R2S1</x:v>
      </x:c>
      <x:c r="J1115" s="2" t="str">
        <x:v>EV002221</x:v>
      </x:c>
      <x:c r="K1115" s="8" t="n">
        <x:v>46303.7084375</x:v>
      </x:c>
      <x:c r="L1115" s="2" t="str">
        <x:v>SCH01</x:v>
      </x:c>
      <x:c r="M1115" s="9" t="n">
        <x:v>25.285</x:v>
      </x:c>
      <x:c r="N1115" s="9" t="n">
        <x:v>51.51</x:v>
      </x:c>
      <x:c r="O1115" s="2" t="str">
        <x:v>Valid</x:v>
      </x:c>
      <x:c r="P1115" s="2" t="str">
        <x:v>EV002222</x:v>
      </x:c>
      <x:c r="Q1115" s="8" t="n">
        <x:v>46303.72371527778</x:v>
      </x:c>
      <x:c r="R1115" s="2" t="str">
        <x:v>R2S1</x:v>
      </x:c>
      <x:c r="S1115" s="9" t="n">
        <x:v>25.28</x:v>
      </x:c>
      <x:c r="T1115" s="9" t="n">
        <x:v>51.498999999999995</x:v>
      </x:c>
      <x:c r="U1115" s="2" t="str">
        <x:v>G074</x:v>
      </x:c>
      <x:c r="V1115" s="2" t="str">
        <x:v>Authorized guardian release</x:v>
      </x:c>
      <x:c r="W1115" s="2" t="str">
        <x:v>Completed transport</x:v>
      </x:c>
      <x:c r="X1115" s="2" t="str">
        <x:v>QR</x:v>
      </x:c>
      <x:c r="Y1115" s="2" t="str">
        <x:v>Online</x:v>
      </x:c>
      <x:c r="Z1115" s="2" t="str">
        <x:v>Synced</x:v>
      </x:c>
      <x:c r="AA1115" s="2"/>
      <x:c r="AB1115" s="2"/>
      <x:c r="AC1115" s="10" t="n">
        <x:f>IF(OR(K1115="",Q1115=""),"",ROUND((Q1115-K1115)*1440,2))</x:f>
        <x:v>22</x:v>
      </x:c>
    </x:row>
    <x:row r="1116" ht="21" customHeight="1">
      <x:c r="A1116" s="2" t="str">
        <x:v>LN01115</x:v>
      </x:c>
      <x:c r="B1116" s="2" t="str">
        <x:v>T20261008-5-2</x:v>
      </x:c>
      <x:c r="C1116" s="7" t="n">
        <x:v>46303</x:v>
      </x:c>
      <x:c r="D1116" s="2" t="str">
        <x:v>BUS002</x:v>
      </x:c>
      <x:c r="E1116" s="2" t="str">
        <x:v>ST075</x:v>
      </x:c>
      <x:c r="F1116" s="2" t="n">
        <x:v>2</x:v>
      </x:c>
      <x:c r="G1116" s="2" t="str">
        <x:v>Senior</x:v>
      </x:c>
      <x:c r="H1116" s="2" t="str">
        <x:v>Drop-off</x:v>
      </x:c>
      <x:c r="I1116" s="2" t="str">
        <x:v>R2S2</x:v>
      </x:c>
      <x:c r="J1116" s="2" t="str">
        <x:v>EV002223</x:v>
      </x:c>
      <x:c r="K1116" s="8" t="n">
        <x:v>46303.70847222222</x:v>
      </x:c>
      <x:c r="L1116" s="2" t="str">
        <x:v>SCH01</x:v>
      </x:c>
      <x:c r="M1116" s="9" t="n">
        <x:v>25.285</x:v>
      </x:c>
      <x:c r="N1116" s="9" t="n">
        <x:v>51.51</x:v>
      </x:c>
      <x:c r="O1116" s="2" t="str">
        <x:v>Valid</x:v>
      </x:c>
      <x:c r="P1116" s="2" t="str">
        <x:v>EV002224</x:v>
      </x:c>
      <x:c r="Q1116" s="8" t="n">
        <x:v>46303.72861111112</x:v>
      </x:c>
      <x:c r="R1116" s="2" t="str">
        <x:v>R2S2</x:v>
      </x:c>
      <x:c r="S1116" s="9" t="n">
        <x:v>25.282000000000004</x:v>
      </x:c>
      <x:c r="T1116" s="9" t="n">
        <x:v>51.501999999999995</x:v>
      </x:c>
      <x:c r="U1116" s="2" t="str">
        <x:v>G075</x:v>
      </x:c>
      <x:c r="V1116" s="2" t="str">
        <x:v>Authorized guardian release</x:v>
      </x:c>
      <x:c r="W1116" s="2" t="str">
        <x:v>Completed transport</x:v>
      </x:c>
      <x:c r="X1116" s="2" t="str">
        <x:v>QR</x:v>
      </x:c>
      <x:c r="Y1116" s="2" t="str">
        <x:v>Online</x:v>
      </x:c>
      <x:c r="Z1116" s="2" t="str">
        <x:v>Synced</x:v>
      </x:c>
      <x:c r="AA1116" s="2"/>
      <x:c r="AB1116" s="2"/>
      <x:c r="AC1116" s="10" t="n">
        <x:f>IF(OR(K1116="",Q1116=""),"",ROUND((Q1116-K1116)*1440,2))</x:f>
        <x:v>29</x:v>
      </x:c>
    </x:row>
    <x:row r="1117" ht="21" customHeight="1">
      <x:c r="A1117" s="2" t="str">
        <x:v>LN01116</x:v>
      </x:c>
      <x:c r="B1117" s="2" t="str">
        <x:v>T20261008-5-2</x:v>
      </x:c>
      <x:c r="C1117" s="7" t="n">
        <x:v>46303</x:v>
      </x:c>
      <x:c r="D1117" s="2" t="str">
        <x:v>BUS002</x:v>
      </x:c>
      <x:c r="E1117" s="2" t="str">
        <x:v>ST076</x:v>
      </x:c>
      <x:c r="F1117" s="2" t="n">
        <x:v>2</x:v>
      </x:c>
      <x:c r="G1117" s="2" t="str">
        <x:v>Senior</x:v>
      </x:c>
      <x:c r="H1117" s="2" t="str">
        <x:v>Drop-off</x:v>
      </x:c>
      <x:c r="I1117" s="2" t="str">
        <x:v>R2S3</x:v>
      </x:c>
      <x:c r="J1117" s="2" t="str">
        <x:v>EV002225</x:v>
      </x:c>
      <x:c r="K1117" s="8" t="n">
        <x:v>46303.70850694444</x:v>
      </x:c>
      <x:c r="L1117" s="2" t="str">
        <x:v>SCH01</x:v>
      </x:c>
      <x:c r="M1117" s="9" t="n">
        <x:v>25.285</x:v>
      </x:c>
      <x:c r="N1117" s="9" t="n">
        <x:v>51.51</x:v>
      </x:c>
      <x:c r="O1117" s="2" t="str">
        <x:v>Valid</x:v>
      </x:c>
      <x:c r="P1117" s="2" t="str">
        <x:v>EV002226</x:v>
      </x:c>
      <x:c r="Q1117" s="8" t="n">
        <x:v>46303.733506944445</x:v>
      </x:c>
      <x:c r="R1117" s="2" t="str">
        <x:v>R2S3</x:v>
      </x:c>
      <x:c r="S1117" s="9" t="n">
        <x:v>25.284000000000002</x:v>
      </x:c>
      <x:c r="T1117" s="9" t="n">
        <x:v>51.504999999999995</x:v>
      </x:c>
      <x:c r="U1117" s="2" t="str">
        <x:v>G076</x:v>
      </x:c>
      <x:c r="V1117" s="2" t="str">
        <x:v>Authorized guardian release</x:v>
      </x:c>
      <x:c r="W1117" s="2" t="str">
        <x:v>Completed transport</x:v>
      </x:c>
      <x:c r="X1117" s="2" t="str">
        <x:v>QR</x:v>
      </x:c>
      <x:c r="Y1117" s="2" t="str">
        <x:v>Online</x:v>
      </x:c>
      <x:c r="Z1117" s="2" t="str">
        <x:v>Synced</x:v>
      </x:c>
      <x:c r="AA1117" s="2"/>
      <x:c r="AB1117" s="2"/>
      <x:c r="AC1117" s="10" t="n">
        <x:f>IF(OR(K1117="",Q1117=""),"",ROUND((Q1117-K1117)*1440,2))</x:f>
        <x:v>36</x:v>
      </x:c>
    </x:row>
    <x:row r="1118" ht="21" customHeight="1">
      <x:c r="A1118" s="2" t="str">
        <x:v>LN01117</x:v>
      </x:c>
      <x:c r="B1118" s="2" t="str">
        <x:v>T20261008-5-2</x:v>
      </x:c>
      <x:c r="C1118" s="7" t="n">
        <x:v>46303</x:v>
      </x:c>
      <x:c r="D1118" s="2" t="str">
        <x:v>BUS002</x:v>
      </x:c>
      <x:c r="E1118" s="2" t="str">
        <x:v>ST077</x:v>
      </x:c>
      <x:c r="F1118" s="2" t="n">
        <x:v>2</x:v>
      </x:c>
      <x:c r="G1118" s="2" t="str">
        <x:v>Senior</x:v>
      </x:c>
      <x:c r="H1118" s="2" t="str">
        <x:v>Drop-off</x:v>
      </x:c>
      <x:c r="I1118" s="2" t="str">
        <x:v>R2S1</x:v>
      </x:c>
      <x:c r="J1118" s="2" t="str">
        <x:v>EV002227</x:v>
      </x:c>
      <x:c r="K1118" s="8" t="n">
        <x:v>46303.70854166666</x:v>
      </x:c>
      <x:c r="L1118" s="2" t="str">
        <x:v>SCH01</x:v>
      </x:c>
      <x:c r="M1118" s="9" t="n">
        <x:v>25.285</x:v>
      </x:c>
      <x:c r="N1118" s="9" t="n">
        <x:v>51.51</x:v>
      </x:c>
      <x:c r="O1118" s="2" t="str">
        <x:v>Valid</x:v>
      </x:c>
      <x:c r="P1118" s="2" t="str">
        <x:v>EV002228</x:v>
      </x:c>
      <x:c r="Q1118" s="8" t="n">
        <x:v>46303.72381944444</x:v>
      </x:c>
      <x:c r="R1118" s="2" t="str">
        <x:v>R2S1</x:v>
      </x:c>
      <x:c r="S1118" s="9" t="n">
        <x:v>25.28</x:v>
      </x:c>
      <x:c r="T1118" s="9" t="n">
        <x:v>51.498999999999995</x:v>
      </x:c>
      <x:c r="U1118" s="2" t="str">
        <x:v>G077</x:v>
      </x:c>
      <x:c r="V1118" s="2" t="str">
        <x:v>Authorized guardian release</x:v>
      </x:c>
      <x:c r="W1118" s="2" t="str">
        <x:v>Completed transport</x:v>
      </x:c>
      <x:c r="X1118" s="2" t="str">
        <x:v>QR</x:v>
      </x:c>
      <x:c r="Y1118" s="2" t="str">
        <x:v>Online</x:v>
      </x:c>
      <x:c r="Z1118" s="2" t="str">
        <x:v>Synced</x:v>
      </x:c>
      <x:c r="AA1118" s="2"/>
      <x:c r="AB1118" s="2"/>
      <x:c r="AC1118" s="10" t="n">
        <x:f>IF(OR(K1118="",Q1118=""),"",ROUND((Q1118-K1118)*1440,2))</x:f>
        <x:v>22</x:v>
      </x:c>
    </x:row>
    <x:row r="1119" ht="21" customHeight="1">
      <x:c r="A1119" s="2" t="str">
        <x:v>LN01118</x:v>
      </x:c>
      <x:c r="B1119" s="2" t="str">
        <x:v>T20261008-5-2</x:v>
      </x:c>
      <x:c r="C1119" s="7" t="n">
        <x:v>46303</x:v>
      </x:c>
      <x:c r="D1119" s="2" t="str">
        <x:v>BUS002</x:v>
      </x:c>
      <x:c r="E1119" s="2" t="str">
        <x:v>ST078</x:v>
      </x:c>
      <x:c r="F1119" s="2" t="n">
        <x:v>2</x:v>
      </x:c>
      <x:c r="G1119" s="2" t="str">
        <x:v>Senior</x:v>
      </x:c>
      <x:c r="H1119" s="2" t="str">
        <x:v>Drop-off</x:v>
      </x:c>
      <x:c r="I1119" s="2" t="str">
        <x:v>R2S2</x:v>
      </x:c>
      <x:c r="J1119" s="2" t="str">
        <x:v>EV002229</x:v>
      </x:c>
      <x:c r="K1119" s="8" t="n">
        <x:v>46303.70857638888</x:v>
      </x:c>
      <x:c r="L1119" s="2" t="str">
        <x:v>SCH01</x:v>
      </x:c>
      <x:c r="M1119" s="9" t="n">
        <x:v>25.285</x:v>
      </x:c>
      <x:c r="N1119" s="9" t="n">
        <x:v>51.51</x:v>
      </x:c>
      <x:c r="O1119" s="2" t="str">
        <x:v>Valid</x:v>
      </x:c>
      <x:c r="P1119" s="2" t="str">
        <x:v>EV002230</x:v>
      </x:c>
      <x:c r="Q1119" s="8" t="n">
        <x:v>46303.72871527778</x:v>
      </x:c>
      <x:c r="R1119" s="2" t="str">
        <x:v>R2S2</x:v>
      </x:c>
      <x:c r="S1119" s="9" t="n">
        <x:v>25.282000000000004</x:v>
      </x:c>
      <x:c r="T1119" s="9" t="n">
        <x:v>51.501999999999995</x:v>
      </x:c>
      <x:c r="U1119" s="2" t="str">
        <x:v>G078</x:v>
      </x:c>
      <x:c r="V1119" s="2" t="str">
        <x:v>Authorized guardian release</x:v>
      </x:c>
      <x:c r="W1119" s="2" t="str">
        <x:v>Completed transport</x:v>
      </x:c>
      <x:c r="X1119" s="2" t="str">
        <x:v>QR</x:v>
      </x:c>
      <x:c r="Y1119" s="2" t="str">
        <x:v>Online</x:v>
      </x:c>
      <x:c r="Z1119" s="2" t="str">
        <x:v>Synced</x:v>
      </x:c>
      <x:c r="AA1119" s="2"/>
      <x:c r="AB1119" s="2"/>
      <x:c r="AC1119" s="10" t="n">
        <x:f>IF(OR(K1119="",Q1119=""),"",ROUND((Q1119-K1119)*1440,2))</x:f>
        <x:v>29</x:v>
      </x:c>
    </x:row>
    <x:row r="1120" ht="21" customHeight="1">
      <x:c r="A1120" s="2" t="str">
        <x:v>LN01119</x:v>
      </x:c>
      <x:c r="B1120" s="2" t="str">
        <x:v>T20261008-5-2</x:v>
      </x:c>
      <x:c r="C1120" s="7" t="n">
        <x:v>46303</x:v>
      </x:c>
      <x:c r="D1120" s="2" t="str">
        <x:v>BUS002</x:v>
      </x:c>
      <x:c r="E1120" s="2" t="str">
        <x:v>ST079</x:v>
      </x:c>
      <x:c r="F1120" s="2" t="n">
        <x:v>2</x:v>
      </x:c>
      <x:c r="G1120" s="2" t="str">
        <x:v>Senior</x:v>
      </x:c>
      <x:c r="H1120" s="2" t="str">
        <x:v>Drop-off</x:v>
      </x:c>
      <x:c r="I1120" s="2" t="str">
        <x:v>R2S3</x:v>
      </x:c>
      <x:c r="J1120" s="2" t="str">
        <x:v>EV002231</x:v>
      </x:c>
      <x:c r="K1120" s="8" t="n">
        <x:v>46303.708611111106</x:v>
      </x:c>
      <x:c r="L1120" s="2" t="str">
        <x:v>SCH01</x:v>
      </x:c>
      <x:c r="M1120" s="9" t="n">
        <x:v>25.285</x:v>
      </x:c>
      <x:c r="N1120" s="9" t="n">
        <x:v>51.51</x:v>
      </x:c>
      <x:c r="O1120" s="2" t="str">
        <x:v>Valid</x:v>
      </x:c>
      <x:c r="P1120" s="2" t="str">
        <x:v>EV002232</x:v>
      </x:c>
      <x:c r="Q1120" s="8" t="n">
        <x:v>46303.733611111114</x:v>
      </x:c>
      <x:c r="R1120" s="2" t="str">
        <x:v>R2S3</x:v>
      </x:c>
      <x:c r="S1120" s="9" t="n">
        <x:v>25.284000000000002</x:v>
      </x:c>
      <x:c r="T1120" s="9" t="n">
        <x:v>51.504999999999995</x:v>
      </x:c>
      <x:c r="U1120" s="2" t="str">
        <x:v>G079</x:v>
      </x:c>
      <x:c r="V1120" s="2" t="str">
        <x:v>Authorized guardian release</x:v>
      </x:c>
      <x:c r="W1120" s="2" t="str">
        <x:v>Completed transport</x:v>
      </x:c>
      <x:c r="X1120" s="2" t="str">
        <x:v>QR</x:v>
      </x:c>
      <x:c r="Y1120" s="2" t="str">
        <x:v>Online</x:v>
      </x:c>
      <x:c r="Z1120" s="2" t="str">
        <x:v>Synced</x:v>
      </x:c>
      <x:c r="AA1120" s="2"/>
      <x:c r="AB1120" s="2"/>
      <x:c r="AC1120" s="10" t="n">
        <x:f>IF(OR(K1120="",Q1120=""),"",ROUND((Q1120-K1120)*1440,2))</x:f>
        <x:v>36</x:v>
      </x:c>
    </x:row>
    <x:row r="1121" ht="21" customHeight="1">
      <x:c r="A1121" s="2" t="str">
        <x:v>LN01120</x:v>
      </x:c>
      <x:c r="B1121" s="2" t="str">
        <x:v>T20261008-5-2</x:v>
      </x:c>
      <x:c r="C1121" s="7" t="n">
        <x:v>46303</x:v>
      </x:c>
      <x:c r="D1121" s="2" t="str">
        <x:v>BUS002</x:v>
      </x:c>
      <x:c r="E1121" s="2" t="str">
        <x:v>ST080</x:v>
      </x:c>
      <x:c r="F1121" s="2" t="n">
        <x:v>2</x:v>
      </x:c>
      <x:c r="G1121" s="2" t="str">
        <x:v>Senior</x:v>
      </x:c>
      <x:c r="H1121" s="2" t="str">
        <x:v>Drop-off</x:v>
      </x:c>
      <x:c r="I1121" s="2" t="str">
        <x:v>R2S1</x:v>
      </x:c>
      <x:c r="J1121" s="2" t="str">
        <x:v>EV002233</x:v>
      </x:c>
      <x:c r="K1121" s="8" t="n">
        <x:v>46303.70864583333</x:v>
      </x:c>
      <x:c r="L1121" s="2" t="str">
        <x:v>SCH01</x:v>
      </x:c>
      <x:c r="M1121" s="9" t="n">
        <x:v>25.285</x:v>
      </x:c>
      <x:c r="N1121" s="9" t="n">
        <x:v>51.51</x:v>
      </x:c>
      <x:c r="O1121" s="2" t="str">
        <x:v>Valid</x:v>
      </x:c>
      <x:c r="P1121" s="2" t="str">
        <x:v>EV002234</x:v>
      </x:c>
      <x:c r="Q1121" s="8" t="n">
        <x:v>46303.72392361111</x:v>
      </x:c>
      <x:c r="R1121" s="2" t="str">
        <x:v>R2S1</x:v>
      </x:c>
      <x:c r="S1121" s="9" t="n">
        <x:v>25.28</x:v>
      </x:c>
      <x:c r="T1121" s="9" t="n">
        <x:v>51.498999999999995</x:v>
      </x:c>
      <x:c r="U1121" s="2" t="str">
        <x:v>G080</x:v>
      </x:c>
      <x:c r="V1121" s="2" t="str">
        <x:v>Authorized guardian release</x:v>
      </x:c>
      <x:c r="W1121" s="2" t="str">
        <x:v>Completed transport</x:v>
      </x:c>
      <x:c r="X1121" s="2" t="str">
        <x:v>QR</x:v>
      </x:c>
      <x:c r="Y1121" s="2" t="str">
        <x:v>Online</x:v>
      </x:c>
      <x:c r="Z1121" s="2" t="str">
        <x:v>Synced</x:v>
      </x:c>
      <x:c r="AA1121" s="2"/>
      <x:c r="AB1121" s="2"/>
      <x:c r="AC1121" s="10" t="n">
        <x:f>IF(OR(K1121="",Q1121=""),"",ROUND((Q1121-K1121)*1440,2))</x:f>
        <x:v>22</x:v>
      </x:c>
    </x:row>
    <x:row r="1122" ht="21" customHeight="1">
      <x:c r="A1122" s="2" t="str">
        <x:v>LN01121</x:v>
      </x:c>
      <x:c r="B1122" s="2" t="str">
        <x:v>T20261008-1-3</x:v>
      </x:c>
      <x:c r="C1122" s="7" t="n">
        <x:v>46303</x:v>
      </x:c>
      <x:c r="D1122" s="2" t="str">
        <x:v>BUS003</x:v>
      </x:c>
      <x:c r="E1122" s="2" t="str">
        <x:v>ST081</x:v>
      </x:c>
      <x:c r="F1122" s="2" t="n">
        <x:v>1</x:v>
      </x:c>
      <x:c r="G1122" s="2" t="str">
        <x:v>Junior</x:v>
      </x:c>
      <x:c r="H1122" s="2" t="str">
        <x:v>Pickup</x:v>
      </x:c>
      <x:c r="I1122" s="2" t="str">
        <x:v>R3S1</x:v>
      </x:c>
      <x:c r="J1122" s="2" t="str">
        <x:v>EV002235</x:v>
      </x:c>
      <x:c r="K1122" s="8" t="n">
        <x:v>46303.242361111115</x:v>
      </x:c>
      <x:c r="L1122" s="2" t="str">
        <x:v>R3S1</x:v>
      </x:c>
      <x:c r="M1122" s="9" t="n">
        <x:v>25.289</x:v>
      </x:c>
      <x:c r="N1122" s="9" t="n">
        <x:v>51.507</x:v>
      </x:c>
      <x:c r="O1122" s="2" t="str">
        <x:v>Valid</x:v>
      </x:c>
      <x:c r="P1122" s="2" t="str">
        <x:v>EV002236</x:v>
      </x:c>
      <x:c r="Q1122" s="8" t="n">
        <x:v>46303.27638888889</x:v>
      </x:c>
      <x:c r="R1122" s="2" t="str">
        <x:v>SCH01</x:v>
      </x:c>
      <x:c r="S1122" s="9" t="n">
        <x:v>25.285</x:v>
      </x:c>
      <x:c r="T1122" s="9" t="n">
        <x:v>51.51</x:v>
      </x:c>
      <x:c r="U1122" s="2" t="str">
        <x:v>SCHOOL_RECEIVER_01</x:v>
      </x:c>
      <x:c r="V1122" s="2" t="str">
        <x:v>School staff receipt</x:v>
      </x:c>
      <x:c r="W1122" s="2" t="str">
        <x:v>Completed transport</x:v>
      </x:c>
      <x:c r="X1122" s="2" t="str">
        <x:v>QR</x:v>
      </x:c>
      <x:c r="Y1122" s="2" t="str">
        <x:v>Online</x:v>
      </x:c>
      <x:c r="Z1122" s="2" t="str">
        <x:v>Synced</x:v>
      </x:c>
      <x:c r="AA1122" s="2"/>
      <x:c r="AB1122" s="2"/>
      <x:c r="AC1122" s="10" t="n">
        <x:f>IF(OR(K1122="",Q1122=""),"",ROUND((Q1122-K1122)*1440,2))</x:f>
        <x:v>49</x:v>
      </x:c>
    </x:row>
    <x:row r="1123" ht="21" customHeight="1">
      <x:c r="A1123" s="2" t="str">
        <x:v>LN01122</x:v>
      </x:c>
      <x:c r="B1123" s="2" t="str">
        <x:v>T20261008-1-3</x:v>
      </x:c>
      <x:c r="C1123" s="7" t="n">
        <x:v>46303</x:v>
      </x:c>
      <x:c r="D1123" s="2" t="str">
        <x:v>BUS003</x:v>
      </x:c>
      <x:c r="E1123" s="2" t="str">
        <x:v>ST082</x:v>
      </x:c>
      <x:c r="F1123" s="2" t="n">
        <x:v>1</x:v>
      </x:c>
      <x:c r="G1123" s="2" t="str">
        <x:v>Junior</x:v>
      </x:c>
      <x:c r="H1123" s="2" t="str">
        <x:v>Pickup</x:v>
      </x:c>
      <x:c r="I1123" s="2" t="str">
        <x:v>R3S2</x:v>
      </x:c>
      <x:c r="J1123" s="2" t="str">
        <x:v>EV002237</x:v>
      </x:c>
      <x:c r="K1123" s="8" t="n">
        <x:v>46303.24725694444</x:v>
      </x:c>
      <x:c r="L1123" s="2" t="str">
        <x:v>R3S2</x:v>
      </x:c>
      <x:c r="M1123" s="9" t="n">
        <x:v>25.291000000000004</x:v>
      </x:c>
      <x:c r="N1123" s="9" t="n">
        <x:v>51.51</x:v>
      </x:c>
      <x:c r="O1123" s="2" t="str">
        <x:v>Valid</x:v>
      </x:c>
      <x:c r="P1123" s="2" t="str">
        <x:v>EV002238</x:v>
      </x:c>
      <x:c r="Q1123" s="8" t="n">
        <x:v>46303.27642361111</x:v>
      </x:c>
      <x:c r="R1123" s="2" t="str">
        <x:v>SCH01</x:v>
      </x:c>
      <x:c r="S1123" s="9" t="n">
        <x:v>25.285</x:v>
      </x:c>
      <x:c r="T1123" s="9" t="n">
        <x:v>51.51</x:v>
      </x:c>
      <x:c r="U1123" s="2" t="str">
        <x:v>SCHOOL_RECEIVER_01</x:v>
      </x:c>
      <x:c r="V1123" s="2" t="str">
        <x:v>School staff receipt</x:v>
      </x:c>
      <x:c r="W1123" s="2" t="str">
        <x:v>Completed transport</x:v>
      </x:c>
      <x:c r="X1123" s="2" t="str">
        <x:v>QR</x:v>
      </x:c>
      <x:c r="Y1123" s="2" t="str">
        <x:v>Online</x:v>
      </x:c>
      <x:c r="Z1123" s="2" t="str">
        <x:v>Synced</x:v>
      </x:c>
      <x:c r="AA1123" s="2"/>
      <x:c r="AB1123" s="2"/>
      <x:c r="AC1123" s="10" t="n">
        <x:f>IF(OR(K1123="",Q1123=""),"",ROUND((Q1123-K1123)*1440,2))</x:f>
        <x:v>42</x:v>
      </x:c>
    </x:row>
    <x:row r="1124" ht="21" customHeight="1">
      <x:c r="A1124" s="2" t="str">
        <x:v>LN01123</x:v>
      </x:c>
      <x:c r="B1124" s="2" t="str">
        <x:v>T20261008-1-3</x:v>
      </x:c>
      <x:c r="C1124" s="7" t="n">
        <x:v>46303</x:v>
      </x:c>
      <x:c r="D1124" s="2" t="str">
        <x:v>BUS003</x:v>
      </x:c>
      <x:c r="E1124" s="2" t="str">
        <x:v>ST083</x:v>
      </x:c>
      <x:c r="F1124" s="2" t="n">
        <x:v>1</x:v>
      </x:c>
      <x:c r="G1124" s="2" t="str">
        <x:v>Junior</x:v>
      </x:c>
      <x:c r="H1124" s="2" t="str">
        <x:v>Pickup</x:v>
      </x:c>
      <x:c r="I1124" s="2" t="str">
        <x:v>R3S3</x:v>
      </x:c>
      <x:c r="J1124" s="2" t="str">
        <x:v>EV002239</x:v>
      </x:c>
      <x:c r="K1124" s="8" t="n">
        <x:v>46303.25215277778</x:v>
      </x:c>
      <x:c r="L1124" s="2" t="str">
        <x:v>R3S3</x:v>
      </x:c>
      <x:c r="M1124" s="9" t="n">
        <x:v>25.293000000000003</x:v>
      </x:c>
      <x:c r="N1124" s="9" t="n">
        <x:v>51.513</x:v>
      </x:c>
      <x:c r="O1124" s="2" t="str">
        <x:v>Valid</x:v>
      </x:c>
      <x:c r="P1124" s="2" t="str">
        <x:v>EV002240</x:v>
      </x:c>
      <x:c r="Q1124" s="8" t="n">
        <x:v>46303.276458333334</x:v>
      </x:c>
      <x:c r="R1124" s="2" t="str">
        <x:v>SCH01</x:v>
      </x:c>
      <x:c r="S1124" s="9" t="n">
        <x:v>25.285</x:v>
      </x:c>
      <x:c r="T1124" s="9" t="n">
        <x:v>51.51</x:v>
      </x:c>
      <x:c r="U1124" s="2" t="str">
        <x:v>SCHOOL_RECEIVER_01</x:v>
      </x:c>
      <x:c r="V1124" s="2" t="str">
        <x:v>School staff receipt</x:v>
      </x:c>
      <x:c r="W1124" s="2" t="str">
        <x:v>Completed transport</x:v>
      </x:c>
      <x:c r="X1124" s="2" t="str">
        <x:v>QR</x:v>
      </x:c>
      <x:c r="Y1124" s="2" t="str">
        <x:v>Online</x:v>
      </x:c>
      <x:c r="Z1124" s="2" t="str">
        <x:v>Synced</x:v>
      </x:c>
      <x:c r="AA1124" s="2"/>
      <x:c r="AB1124" s="2"/>
      <x:c r="AC1124" s="10" t="n">
        <x:f>IF(OR(K1124="",Q1124=""),"",ROUND((Q1124-K1124)*1440,2))</x:f>
        <x:v>35</x:v>
      </x:c>
    </x:row>
    <x:row r="1125" ht="21" customHeight="1">
      <x:c r="A1125" s="2" t="str">
        <x:v>LN01124</x:v>
      </x:c>
      <x:c r="B1125" s="2" t="str">
        <x:v>T20261008-1-3</x:v>
      </x:c>
      <x:c r="C1125" s="7" t="n">
        <x:v>46303</x:v>
      </x:c>
      <x:c r="D1125" s="2" t="str">
        <x:v>BUS003</x:v>
      </x:c>
      <x:c r="E1125" s="2" t="str">
        <x:v>ST084</x:v>
      </x:c>
      <x:c r="F1125" s="2" t="n">
        <x:v>1</x:v>
      </x:c>
      <x:c r="G1125" s="2" t="str">
        <x:v>Junior</x:v>
      </x:c>
      <x:c r="H1125" s="2" t="str">
        <x:v>Pickup</x:v>
      </x:c>
      <x:c r="I1125" s="2" t="str">
        <x:v>R3S1</x:v>
      </x:c>
      <x:c r="J1125" s="2" t="str">
        <x:v>EV002241</x:v>
      </x:c>
      <x:c r="K1125" s="8" t="n">
        <x:v>46303.242465277785</x:v>
      </x:c>
      <x:c r="L1125" s="2" t="str">
        <x:v>R3S1</x:v>
      </x:c>
      <x:c r="M1125" s="9" t="n">
        <x:v>25.289</x:v>
      </x:c>
      <x:c r="N1125" s="9" t="n">
        <x:v>51.507</x:v>
      </x:c>
      <x:c r="O1125" s="2" t="str">
        <x:v>Valid</x:v>
      </x:c>
      <x:c r="P1125" s="2" t="str">
        <x:v>EV002242</x:v>
      </x:c>
      <x:c r="Q1125" s="8" t="n">
        <x:v>46303.27649305556</x:v>
      </x:c>
      <x:c r="R1125" s="2" t="str">
        <x:v>SCH01</x:v>
      </x:c>
      <x:c r="S1125" s="9" t="n">
        <x:v>25.285</x:v>
      </x:c>
      <x:c r="T1125" s="9" t="n">
        <x:v>51.51</x:v>
      </x:c>
      <x:c r="U1125" s="2" t="str">
        <x:v>SCHOOL_RECEIVER_01</x:v>
      </x:c>
      <x:c r="V1125" s="2" t="str">
        <x:v>School staff receipt</x:v>
      </x:c>
      <x:c r="W1125" s="2" t="str">
        <x:v>Completed transport</x:v>
      </x:c>
      <x:c r="X1125" s="2" t="str">
        <x:v>QR</x:v>
      </x:c>
      <x:c r="Y1125" s="2" t="str">
        <x:v>Online</x:v>
      </x:c>
      <x:c r="Z1125" s="2" t="str">
        <x:v>Synced</x:v>
      </x:c>
      <x:c r="AA1125" s="2"/>
      <x:c r="AB1125" s="2"/>
      <x:c r="AC1125" s="10" t="n">
        <x:f>IF(OR(K1125="",Q1125=""),"",ROUND((Q1125-K1125)*1440,2))</x:f>
        <x:v>49</x:v>
      </x:c>
    </x:row>
    <x:row r="1126" ht="21" customHeight="1">
      <x:c r="A1126" s="2" t="str">
        <x:v>LN01125</x:v>
      </x:c>
      <x:c r="B1126" s="2" t="str">
        <x:v>T20261008-1-3</x:v>
      </x:c>
      <x:c r="C1126" s="7" t="n">
        <x:v>46303</x:v>
      </x:c>
      <x:c r="D1126" s="2" t="str">
        <x:v>BUS003</x:v>
      </x:c>
      <x:c r="E1126" s="2" t="str">
        <x:v>ST085</x:v>
      </x:c>
      <x:c r="F1126" s="2" t="n">
        <x:v>1</x:v>
      </x:c>
      <x:c r="G1126" s="2" t="str">
        <x:v>Junior</x:v>
      </x:c>
      <x:c r="H1126" s="2" t="str">
        <x:v>Pickup</x:v>
      </x:c>
      <x:c r="I1126" s="2" t="str">
        <x:v>R3S2</x:v>
      </x:c>
      <x:c r="J1126" s="2" t="str">
        <x:v>EV002243</x:v>
      </x:c>
      <x:c r="K1126" s="8" t="n">
        <x:v>46303.24736111111</x:v>
      </x:c>
      <x:c r="L1126" s="2" t="str">
        <x:v>R3S2</x:v>
      </x:c>
      <x:c r="M1126" s="9" t="n">
        <x:v>25.291000000000004</x:v>
      </x:c>
      <x:c r="N1126" s="9" t="n">
        <x:v>51.51</x:v>
      </x:c>
      <x:c r="O1126" s="2" t="str">
        <x:v>Valid</x:v>
      </x:c>
      <x:c r="P1126" s="2" t="str">
        <x:v>EV002244</x:v>
      </x:c>
      <x:c r="Q1126" s="8" t="n">
        <x:v>46303.27652777778</x:v>
      </x:c>
      <x:c r="R1126" s="2" t="str">
        <x:v>SCH01</x:v>
      </x:c>
      <x:c r="S1126" s="9" t="n">
        <x:v>25.285</x:v>
      </x:c>
      <x:c r="T1126" s="9" t="n">
        <x:v>51.51</x:v>
      </x:c>
      <x:c r="U1126" s="2" t="str">
        <x:v>SCHOOL_RECEIVER_01</x:v>
      </x:c>
      <x:c r="V1126" s="2" t="str">
        <x:v>School staff receipt</x:v>
      </x:c>
      <x:c r="W1126" s="2" t="str">
        <x:v>Completed transport</x:v>
      </x:c>
      <x:c r="X1126" s="2" t="str">
        <x:v>QR</x:v>
      </x:c>
      <x:c r="Y1126" s="2" t="str">
        <x:v>Online</x:v>
      </x:c>
      <x:c r="Z1126" s="2" t="str">
        <x:v>Synced</x:v>
      </x:c>
      <x:c r="AA1126" s="2"/>
      <x:c r="AB1126" s="2"/>
      <x:c r="AC1126" s="10" t="n">
        <x:f>IF(OR(K1126="",Q1126=""),"",ROUND((Q1126-K1126)*1440,2))</x:f>
        <x:v>42</x:v>
      </x:c>
    </x:row>
    <x:row r="1127" ht="21" customHeight="1">
      <x:c r="A1127" s="2" t="str">
        <x:v>LN01126</x:v>
      </x:c>
      <x:c r="B1127" s="2" t="str">
        <x:v>T20261008-1-3</x:v>
      </x:c>
      <x:c r="C1127" s="7" t="n">
        <x:v>46303</x:v>
      </x:c>
      <x:c r="D1127" s="2" t="str">
        <x:v>BUS003</x:v>
      </x:c>
      <x:c r="E1127" s="2" t="str">
        <x:v>ST086</x:v>
      </x:c>
      <x:c r="F1127" s="2" t="n">
        <x:v>1</x:v>
      </x:c>
      <x:c r="G1127" s="2" t="str">
        <x:v>Junior</x:v>
      </x:c>
      <x:c r="H1127" s="2" t="str">
        <x:v>Pickup</x:v>
      </x:c>
      <x:c r="I1127" s="2" t="str">
        <x:v>R3S3</x:v>
      </x:c>
      <x:c r="J1127" s="2" t="str">
        <x:v>EV002245</x:v>
      </x:c>
      <x:c r="K1127" s="8" t="n">
        <x:v>46303.25225694444</x:v>
      </x:c>
      <x:c r="L1127" s="2" t="str">
        <x:v>R3S3</x:v>
      </x:c>
      <x:c r="M1127" s="9" t="n">
        <x:v>25.293000000000003</x:v>
      </x:c>
      <x:c r="N1127" s="9" t="n">
        <x:v>51.513</x:v>
      </x:c>
      <x:c r="O1127" s="2" t="str">
        <x:v>Valid</x:v>
      </x:c>
      <x:c r="P1127" s="2" t="str">
        <x:v>EV002246</x:v>
      </x:c>
      <x:c r="Q1127" s="8" t="n">
        <x:v>46303.276562499996</x:v>
      </x:c>
      <x:c r="R1127" s="2" t="str">
        <x:v>SCH01</x:v>
      </x:c>
      <x:c r="S1127" s="9" t="n">
        <x:v>25.285</x:v>
      </x:c>
      <x:c r="T1127" s="9" t="n">
        <x:v>51.51</x:v>
      </x:c>
      <x:c r="U1127" s="2" t="str">
        <x:v>SCHOOL_RECEIVER_01</x:v>
      </x:c>
      <x:c r="V1127" s="2" t="str">
        <x:v>School staff receipt</x:v>
      </x:c>
      <x:c r="W1127" s="2" t="str">
        <x:v>Completed transport</x:v>
      </x:c>
      <x:c r="X1127" s="2" t="str">
        <x:v>QR</x:v>
      </x:c>
      <x:c r="Y1127" s="2" t="str">
        <x:v>Online</x:v>
      </x:c>
      <x:c r="Z1127" s="2" t="str">
        <x:v>Synced</x:v>
      </x:c>
      <x:c r="AA1127" s="2"/>
      <x:c r="AB1127" s="2"/>
      <x:c r="AC1127" s="10" t="n">
        <x:f>IF(OR(K1127="",Q1127=""),"",ROUND((Q1127-K1127)*1440,2))</x:f>
        <x:v>35</x:v>
      </x:c>
    </x:row>
    <x:row r="1128" ht="21" customHeight="1">
      <x:c r="A1128" s="2" t="str">
        <x:v>LN01127</x:v>
      </x:c>
      <x:c r="B1128" s="2" t="str">
        <x:v>T20261008-1-3</x:v>
      </x:c>
      <x:c r="C1128" s="7" t="n">
        <x:v>46303</x:v>
      </x:c>
      <x:c r="D1128" s="2" t="str">
        <x:v>BUS003</x:v>
      </x:c>
      <x:c r="E1128" s="2" t="str">
        <x:v>ST087</x:v>
      </x:c>
      <x:c r="F1128" s="2" t="n">
        <x:v>1</x:v>
      </x:c>
      <x:c r="G1128" s="2" t="str">
        <x:v>Junior</x:v>
      </x:c>
      <x:c r="H1128" s="2" t="str">
        <x:v>Pickup</x:v>
      </x:c>
      <x:c r="I1128" s="2" t="str">
        <x:v>R3S1</x:v>
      </x:c>
      <x:c r="J1128" s="2" t="str">
        <x:v>EV002247</x:v>
      </x:c>
      <x:c r="K1128" s="8" t="n">
        <x:v>46303.24256944445</x:v>
      </x:c>
      <x:c r="L1128" s="2" t="str">
        <x:v>R3S1</x:v>
      </x:c>
      <x:c r="M1128" s="9" t="n">
        <x:v>25.289</x:v>
      </x:c>
      <x:c r="N1128" s="9" t="n">
        <x:v>51.507</x:v>
      </x:c>
      <x:c r="O1128" s="2" t="str">
        <x:v>Valid</x:v>
      </x:c>
      <x:c r="P1128" s="2" t="str">
        <x:v>EV002248</x:v>
      </x:c>
      <x:c r="Q1128" s="8" t="n">
        <x:v>46303.27659722222</x:v>
      </x:c>
      <x:c r="R1128" s="2" t="str">
        <x:v>SCH01</x:v>
      </x:c>
      <x:c r="S1128" s="9" t="n">
        <x:v>25.285</x:v>
      </x:c>
      <x:c r="T1128" s="9" t="n">
        <x:v>51.51</x:v>
      </x:c>
      <x:c r="U1128" s="2" t="str">
        <x:v>SCHOOL_RECEIVER_01</x:v>
      </x:c>
      <x:c r="V1128" s="2" t="str">
        <x:v>School staff receipt</x:v>
      </x:c>
      <x:c r="W1128" s="2" t="str">
        <x:v>Completed transport</x:v>
      </x:c>
      <x:c r="X1128" s="2" t="str">
        <x:v>QR</x:v>
      </x:c>
      <x:c r="Y1128" s="2" t="str">
        <x:v>Online</x:v>
      </x:c>
      <x:c r="Z1128" s="2" t="str">
        <x:v>Synced</x:v>
      </x:c>
      <x:c r="AA1128" s="2"/>
      <x:c r="AB1128" s="2"/>
      <x:c r="AC1128" s="10" t="n">
        <x:f>IF(OR(K1128="",Q1128=""),"",ROUND((Q1128-K1128)*1440,2))</x:f>
        <x:v>49</x:v>
      </x:c>
    </x:row>
    <x:row r="1129" ht="21" customHeight="1">
      <x:c r="A1129" s="2" t="str">
        <x:v>LN01128</x:v>
      </x:c>
      <x:c r="B1129" s="2" t="str">
        <x:v>T20261008-1-3</x:v>
      </x:c>
      <x:c r="C1129" s="7" t="n">
        <x:v>46303</x:v>
      </x:c>
      <x:c r="D1129" s="2" t="str">
        <x:v>BUS003</x:v>
      </x:c>
      <x:c r="E1129" s="2" t="str">
        <x:v>ST088</x:v>
      </x:c>
      <x:c r="F1129" s="2" t="n">
        <x:v>1</x:v>
      </x:c>
      <x:c r="G1129" s="2" t="str">
        <x:v>Junior</x:v>
      </x:c>
      <x:c r="H1129" s="2" t="str">
        <x:v>Pickup</x:v>
      </x:c>
      <x:c r="I1129" s="2" t="str">
        <x:v>R3S2</x:v>
      </x:c>
      <x:c r="J1129" s="2" t="str">
        <x:v>EV002249</x:v>
      </x:c>
      <x:c r="K1129" s="8" t="n">
        <x:v>46303.247465277775</x:v>
      </x:c>
      <x:c r="L1129" s="2" t="str">
        <x:v>R3S2</x:v>
      </x:c>
      <x:c r="M1129" s="9" t="n">
        <x:v>25.291000000000004</x:v>
      </x:c>
      <x:c r="N1129" s="9" t="n">
        <x:v>51.51</x:v>
      </x:c>
      <x:c r="O1129" s="2" t="str">
        <x:v>Valid</x:v>
      </x:c>
      <x:c r="P1129" s="2" t="str">
        <x:v>EV002250</x:v>
      </x:c>
      <x:c r="Q1129" s="8" t="n">
        <x:v>46303.27663194444</x:v>
      </x:c>
      <x:c r="R1129" s="2" t="str">
        <x:v>SCH01</x:v>
      </x:c>
      <x:c r="S1129" s="9" t="n">
        <x:v>25.285</x:v>
      </x:c>
      <x:c r="T1129" s="9" t="n">
        <x:v>51.51</x:v>
      </x:c>
      <x:c r="U1129" s="2" t="str">
        <x:v>SCHOOL_RECEIVER_01</x:v>
      </x:c>
      <x:c r="V1129" s="2" t="str">
        <x:v>School staff receipt</x:v>
      </x:c>
      <x:c r="W1129" s="2" t="str">
        <x:v>Completed transport</x:v>
      </x:c>
      <x:c r="X1129" s="2" t="str">
        <x:v>QR</x:v>
      </x:c>
      <x:c r="Y1129" s="2" t="str">
        <x:v>Online</x:v>
      </x:c>
      <x:c r="Z1129" s="2" t="str">
        <x:v>Synced</x:v>
      </x:c>
      <x:c r="AA1129" s="2"/>
      <x:c r="AB1129" s="2"/>
      <x:c r="AC1129" s="10" t="n">
        <x:f>IF(OR(K1129="",Q1129=""),"",ROUND((Q1129-K1129)*1440,2))</x:f>
        <x:v>42</x:v>
      </x:c>
    </x:row>
    <x:row r="1130" ht="21" customHeight="1">
      <x:c r="A1130" s="2" t="str">
        <x:v>LN01129</x:v>
      </x:c>
      <x:c r="B1130" s="2" t="str">
        <x:v>T20261008-1-3</x:v>
      </x:c>
      <x:c r="C1130" s="7" t="n">
        <x:v>46303</x:v>
      </x:c>
      <x:c r="D1130" s="2" t="str">
        <x:v>BUS003</x:v>
      </x:c>
      <x:c r="E1130" s="2" t="str">
        <x:v>ST089</x:v>
      </x:c>
      <x:c r="F1130" s="2" t="n">
        <x:v>1</x:v>
      </x:c>
      <x:c r="G1130" s="2" t="str">
        <x:v>Junior</x:v>
      </x:c>
      <x:c r="H1130" s="2" t="str">
        <x:v>Pickup</x:v>
      </x:c>
      <x:c r="I1130" s="2" t="str">
        <x:v>R3S3</x:v>
      </x:c>
      <x:c r="J1130" s="2" t="str">
        <x:v>EV002251</x:v>
      </x:c>
      <x:c r="K1130" s="8" t="n">
        <x:v>46303.25236111111</x:v>
      </x:c>
      <x:c r="L1130" s="2" t="str">
        <x:v>R3S3</x:v>
      </x:c>
      <x:c r="M1130" s="9" t="n">
        <x:v>25.293000000000003</x:v>
      </x:c>
      <x:c r="N1130" s="9" t="n">
        <x:v>51.513</x:v>
      </x:c>
      <x:c r="O1130" s="2" t="str">
        <x:v>Valid</x:v>
      </x:c>
      <x:c r="P1130" s="2" t="str">
        <x:v>EV002252</x:v>
      </x:c>
      <x:c r="Q1130" s="8" t="n">
        <x:v>46303.276666666665</x:v>
      </x:c>
      <x:c r="R1130" s="2" t="str">
        <x:v>SCH01</x:v>
      </x:c>
      <x:c r="S1130" s="9" t="n">
        <x:v>25.285</x:v>
      </x:c>
      <x:c r="T1130" s="9" t="n">
        <x:v>51.51</x:v>
      </x:c>
      <x:c r="U1130" s="2" t="str">
        <x:v>SCHOOL_RECEIVER_01</x:v>
      </x:c>
      <x:c r="V1130" s="2" t="str">
        <x:v>School staff receipt</x:v>
      </x:c>
      <x:c r="W1130" s="2" t="str">
        <x:v>Completed transport</x:v>
      </x:c>
      <x:c r="X1130" s="2" t="str">
        <x:v>QR</x:v>
      </x:c>
      <x:c r="Y1130" s="2" t="str">
        <x:v>Online</x:v>
      </x:c>
      <x:c r="Z1130" s="2" t="str">
        <x:v>Synced</x:v>
      </x:c>
      <x:c r="AA1130" s="2"/>
      <x:c r="AB1130" s="2"/>
      <x:c r="AC1130" s="10" t="n">
        <x:f>IF(OR(K1130="",Q1130=""),"",ROUND((Q1130-K1130)*1440,2))</x:f>
        <x:v>35</x:v>
      </x:c>
    </x:row>
    <x:row r="1131" ht="21" customHeight="1">
      <x:c r="A1131" s="2" t="str">
        <x:v>LN01130</x:v>
      </x:c>
      <x:c r="B1131" s="2" t="str">
        <x:v>T20261008-1-3</x:v>
      </x:c>
      <x:c r="C1131" s="7" t="n">
        <x:v>46303</x:v>
      </x:c>
      <x:c r="D1131" s="2" t="str">
        <x:v>BUS003</x:v>
      </x:c>
      <x:c r="E1131" s="2" t="str">
        <x:v>ST090</x:v>
      </x:c>
      <x:c r="F1131" s="2" t="n">
        <x:v>1</x:v>
      </x:c>
      <x:c r="G1131" s="2" t="str">
        <x:v>Junior</x:v>
      </x:c>
      <x:c r="H1131" s="2" t="str">
        <x:v>Pickup</x:v>
      </x:c>
      <x:c r="I1131" s="2" t="str">
        <x:v>R3S1</x:v>
      </x:c>
      <x:c r="J1131" s="2" t="str">
        <x:v>EV002253</x:v>
      </x:c>
      <x:c r="K1131" s="8" t="n">
        <x:v>46303.242673611116</x:v>
      </x:c>
      <x:c r="L1131" s="2" t="str">
        <x:v>R3S1</x:v>
      </x:c>
      <x:c r="M1131" s="9" t="n">
        <x:v>25.289</x:v>
      </x:c>
      <x:c r="N1131" s="9" t="n">
        <x:v>51.507</x:v>
      </x:c>
      <x:c r="O1131" s="2" t="str">
        <x:v>Valid</x:v>
      </x:c>
      <x:c r="P1131" s="2" t="str">
        <x:v>EV002254</x:v>
      </x:c>
      <x:c r="Q1131" s="8" t="n">
        <x:v>46303.27670138889</x:v>
      </x:c>
      <x:c r="R1131" s="2" t="str">
        <x:v>SCH01</x:v>
      </x:c>
      <x:c r="S1131" s="9" t="n">
        <x:v>25.285</x:v>
      </x:c>
      <x:c r="T1131" s="9" t="n">
        <x:v>51.51</x:v>
      </x:c>
      <x:c r="U1131" s="2" t="str">
        <x:v>SCHOOL_RECEIVER_01</x:v>
      </x:c>
      <x:c r="V1131" s="2" t="str">
        <x:v>School staff receipt</x:v>
      </x:c>
      <x:c r="W1131" s="2" t="str">
        <x:v>Completed transport</x:v>
      </x:c>
      <x:c r="X1131" s="2" t="str">
        <x:v>QR</x:v>
      </x:c>
      <x:c r="Y1131" s="2" t="str">
        <x:v>Online</x:v>
      </x:c>
      <x:c r="Z1131" s="2" t="str">
        <x:v>Synced</x:v>
      </x:c>
      <x:c r="AA1131" s="2"/>
      <x:c r="AB1131" s="2"/>
      <x:c r="AC1131" s="10" t="n">
        <x:f>IF(OR(K1131="",Q1131=""),"",ROUND((Q1131-K1131)*1440,2))</x:f>
        <x:v>49</x:v>
      </x:c>
    </x:row>
    <x:row r="1132" ht="21" customHeight="1">
      <x:c r="A1132" s="2" t="str">
        <x:v>LN01131</x:v>
      </x:c>
      <x:c r="B1132" s="2" t="str">
        <x:v>T20261008-1-3</x:v>
      </x:c>
      <x:c r="C1132" s="7" t="n">
        <x:v>46303</x:v>
      </x:c>
      <x:c r="D1132" s="2" t="str">
        <x:v>BUS003</x:v>
      </x:c>
      <x:c r="E1132" s="2" t="str">
        <x:v>ST091</x:v>
      </x:c>
      <x:c r="F1132" s="2" t="n">
        <x:v>1</x:v>
      </x:c>
      <x:c r="G1132" s="2" t="str">
        <x:v>Senior</x:v>
      </x:c>
      <x:c r="H1132" s="2" t="str">
        <x:v>Pickup</x:v>
      </x:c>
      <x:c r="I1132" s="2" t="str">
        <x:v>R3S2</x:v>
      </x:c>
      <x:c r="J1132" s="2" t="str">
        <x:v>EV002255</x:v>
      </x:c>
      <x:c r="K1132" s="8" t="n">
        <x:v>46303.24722222222</x:v>
      </x:c>
      <x:c r="L1132" s="2" t="str">
        <x:v>R3S2</x:v>
      </x:c>
      <x:c r="M1132" s="9" t="n">
        <x:v>25.291000000000004</x:v>
      </x:c>
      <x:c r="N1132" s="9" t="n">
        <x:v>51.51</x:v>
      </x:c>
      <x:c r="O1132" s="2" t="str">
        <x:v>Valid</x:v>
      </x:c>
      <x:c r="P1132" s="2" t="str">
        <x:v>EV002256</x:v>
      </x:c>
      <x:c r="Q1132" s="8" t="n">
        <x:v>46303.27673611111</x:v>
      </x:c>
      <x:c r="R1132" s="2" t="str">
        <x:v>SCH01</x:v>
      </x:c>
      <x:c r="S1132" s="9" t="n">
        <x:v>25.285</x:v>
      </x:c>
      <x:c r="T1132" s="9" t="n">
        <x:v>51.51</x:v>
      </x:c>
      <x:c r="U1132" s="2" t="str">
        <x:v>SCHOOL_RECEIVER_01</x:v>
      </x:c>
      <x:c r="V1132" s="2" t="str">
        <x:v>School staff receipt</x:v>
      </x:c>
      <x:c r="W1132" s="2" t="str">
        <x:v>Completed transport</x:v>
      </x:c>
      <x:c r="X1132" s="2" t="str">
        <x:v>QR</x:v>
      </x:c>
      <x:c r="Y1132" s="2" t="str">
        <x:v>Online</x:v>
      </x:c>
      <x:c r="Z1132" s="2" t="str">
        <x:v>Synced</x:v>
      </x:c>
      <x:c r="AA1132" s="2"/>
      <x:c r="AB1132" s="2"/>
      <x:c r="AC1132" s="10" t="n">
        <x:f>IF(OR(K1132="",Q1132=""),"",ROUND((Q1132-K1132)*1440,2))</x:f>
        <x:v>42.5</x:v>
      </x:c>
    </x:row>
    <x:row r="1133" ht="21" customHeight="1">
      <x:c r="A1133" s="2" t="str">
        <x:v>LN01132</x:v>
      </x:c>
      <x:c r="B1133" s="2" t="str">
        <x:v>T20261008-1-3</x:v>
      </x:c>
      <x:c r="C1133" s="7" t="n">
        <x:v>46303</x:v>
      </x:c>
      <x:c r="D1133" s="2" t="str">
        <x:v>BUS003</x:v>
      </x:c>
      <x:c r="E1133" s="2" t="str">
        <x:v>ST092</x:v>
      </x:c>
      <x:c r="F1133" s="2" t="n">
        <x:v>1</x:v>
      </x:c>
      <x:c r="G1133" s="2" t="str">
        <x:v>Senior</x:v>
      </x:c>
      <x:c r="H1133" s="2" t="str">
        <x:v>Pickup</x:v>
      </x:c>
      <x:c r="I1133" s="2" t="str">
        <x:v>R3S3</x:v>
      </x:c>
      <x:c r="J1133" s="2" t="str">
        <x:v>EV002257</x:v>
      </x:c>
      <x:c r="K1133" s="8" t="n">
        <x:v>46303.252118055556</x:v>
      </x:c>
      <x:c r="L1133" s="2" t="str">
        <x:v>R3S3</x:v>
      </x:c>
      <x:c r="M1133" s="9" t="n">
        <x:v>25.293000000000003</x:v>
      </x:c>
      <x:c r="N1133" s="9" t="n">
        <x:v>51.513</x:v>
      </x:c>
      <x:c r="O1133" s="2" t="str">
        <x:v>Valid</x:v>
      </x:c>
      <x:c r="P1133" s="2" t="str">
        <x:v>EV002258</x:v>
      </x:c>
      <x:c r="Q1133" s="8" t="n">
        <x:v>46303.276770833334</x:v>
      </x:c>
      <x:c r="R1133" s="2" t="str">
        <x:v>SCH01</x:v>
      </x:c>
      <x:c r="S1133" s="9" t="n">
        <x:v>25.285</x:v>
      </x:c>
      <x:c r="T1133" s="9" t="n">
        <x:v>51.51</x:v>
      </x:c>
      <x:c r="U1133" s="2" t="str">
        <x:v>SCHOOL_RECEIVER_01</x:v>
      </x:c>
      <x:c r="V1133" s="2" t="str">
        <x:v>School staff receipt</x:v>
      </x:c>
      <x:c r="W1133" s="2" t="str">
        <x:v>Completed transport</x:v>
      </x:c>
      <x:c r="X1133" s="2" t="str">
        <x:v>QR</x:v>
      </x:c>
      <x:c r="Y1133" s="2" t="str">
        <x:v>Online</x:v>
      </x:c>
      <x:c r="Z1133" s="2" t="str">
        <x:v>Synced</x:v>
      </x:c>
      <x:c r="AA1133" s="2"/>
      <x:c r="AB1133" s="2"/>
      <x:c r="AC1133" s="10" t="n">
        <x:f>IF(OR(K1133="",Q1133=""),"",ROUND((Q1133-K1133)*1440,2))</x:f>
        <x:v>35.5</x:v>
      </x:c>
    </x:row>
    <x:row r="1134" ht="21" customHeight="1">
      <x:c r="A1134" s="2" t="str">
        <x:v>LN01133</x:v>
      </x:c>
      <x:c r="B1134" s="2" t="str">
        <x:v>T20261008-1-3</x:v>
      </x:c>
      <x:c r="C1134" s="7" t="n">
        <x:v>46303</x:v>
      </x:c>
      <x:c r="D1134" s="2" t="str">
        <x:v>BUS003</x:v>
      </x:c>
      <x:c r="E1134" s="2" t="str">
        <x:v>ST093</x:v>
      </x:c>
      <x:c r="F1134" s="2" t="n">
        <x:v>1</x:v>
      </x:c>
      <x:c r="G1134" s="2" t="str">
        <x:v>Senior</x:v>
      </x:c>
      <x:c r="H1134" s="2" t="str">
        <x:v>Pickup</x:v>
      </x:c>
      <x:c r="I1134" s="2" t="str">
        <x:v>R3S1</x:v>
      </x:c>
      <x:c r="J1134" s="2" t="str">
        <x:v>EV002259</x:v>
      </x:c>
      <x:c r="K1134" s="8" t="n">
        <x:v>46303.24243055556</x:v>
      </x:c>
      <x:c r="L1134" s="2" t="str">
        <x:v>R3S1</x:v>
      </x:c>
      <x:c r="M1134" s="9" t="n">
        <x:v>25.289</x:v>
      </x:c>
      <x:c r="N1134" s="9" t="n">
        <x:v>51.507</x:v>
      </x:c>
      <x:c r="O1134" s="2" t="str">
        <x:v>Valid</x:v>
      </x:c>
      <x:c r="P1134" s="2" t="str">
        <x:v>EV002260</x:v>
      </x:c>
      <x:c r="Q1134" s="8" t="n">
        <x:v>46303.27680555556</x:v>
      </x:c>
      <x:c r="R1134" s="2" t="str">
        <x:v>SCH01</x:v>
      </x:c>
      <x:c r="S1134" s="9" t="n">
        <x:v>25.285</x:v>
      </x:c>
      <x:c r="T1134" s="9" t="n">
        <x:v>51.51</x:v>
      </x:c>
      <x:c r="U1134" s="2" t="str">
        <x:v>SCHOOL_RECEIVER_01</x:v>
      </x:c>
      <x:c r="V1134" s="2" t="str">
        <x:v>School staff receipt</x:v>
      </x:c>
      <x:c r="W1134" s="2" t="str">
        <x:v>Completed transport</x:v>
      </x:c>
      <x:c r="X1134" s="2" t="str">
        <x:v>QR</x:v>
      </x:c>
      <x:c r="Y1134" s="2" t="str">
        <x:v>Online</x:v>
      </x:c>
      <x:c r="Z1134" s="2" t="str">
        <x:v>Synced</x:v>
      </x:c>
      <x:c r="AA1134" s="2"/>
      <x:c r="AB1134" s="2"/>
      <x:c r="AC1134" s="10" t="n">
        <x:f>IF(OR(K1134="",Q1134=""),"",ROUND((Q1134-K1134)*1440,2))</x:f>
        <x:v>49.5</x:v>
      </x:c>
    </x:row>
    <x:row r="1135" ht="21" customHeight="1">
      <x:c r="A1135" s="2" t="str">
        <x:v>LN01134</x:v>
      </x:c>
      <x:c r="B1135" s="2" t="str">
        <x:v>T20261008-1-3</x:v>
      </x:c>
      <x:c r="C1135" s="7" t="n">
        <x:v>46303</x:v>
      </x:c>
      <x:c r="D1135" s="2" t="str">
        <x:v>BUS003</x:v>
      </x:c>
      <x:c r="E1135" s="2" t="str">
        <x:v>ST094</x:v>
      </x:c>
      <x:c r="F1135" s="2" t="n">
        <x:v>1</x:v>
      </x:c>
      <x:c r="G1135" s="2" t="str">
        <x:v>Senior</x:v>
      </x:c>
      <x:c r="H1135" s="2" t="str">
        <x:v>Pickup</x:v>
      </x:c>
      <x:c r="I1135" s="2" t="str">
        <x:v>R3S2</x:v>
      </x:c>
      <x:c r="J1135" s="2" t="str">
        <x:v>EV002261</x:v>
      </x:c>
      <x:c r="K1135" s="8" t="n">
        <x:v>46303.24732638889</x:v>
      </x:c>
      <x:c r="L1135" s="2" t="str">
        <x:v>R3S2</x:v>
      </x:c>
      <x:c r="M1135" s="9" t="n">
        <x:v>25.291000000000004</x:v>
      </x:c>
      <x:c r="N1135" s="9" t="n">
        <x:v>51.51</x:v>
      </x:c>
      <x:c r="O1135" s="2" t="str">
        <x:v>Valid</x:v>
      </x:c>
      <x:c r="P1135" s="2" t="str">
        <x:v>EV002262</x:v>
      </x:c>
      <x:c r="Q1135" s="8" t="n">
        <x:v>46303.27684027777</x:v>
      </x:c>
      <x:c r="R1135" s="2" t="str">
        <x:v>SCH01</x:v>
      </x:c>
      <x:c r="S1135" s="9" t="n">
        <x:v>25.285</x:v>
      </x:c>
      <x:c r="T1135" s="9" t="n">
        <x:v>51.51</x:v>
      </x:c>
      <x:c r="U1135" s="2" t="str">
        <x:v>SCHOOL_RECEIVER_01</x:v>
      </x:c>
      <x:c r="V1135" s="2" t="str">
        <x:v>School staff receipt</x:v>
      </x:c>
      <x:c r="W1135" s="2" t="str">
        <x:v>Completed transport</x:v>
      </x:c>
      <x:c r="X1135" s="2" t="str">
        <x:v>QR</x:v>
      </x:c>
      <x:c r="Y1135" s="2" t="str">
        <x:v>Online</x:v>
      </x:c>
      <x:c r="Z1135" s="2" t="str">
        <x:v>Synced</x:v>
      </x:c>
      <x:c r="AA1135" s="2"/>
      <x:c r="AB1135" s="2"/>
      <x:c r="AC1135" s="10" t="n">
        <x:f>IF(OR(K1135="",Q1135=""),"",ROUND((Q1135-K1135)*1440,2))</x:f>
        <x:v>42.5</x:v>
      </x:c>
    </x:row>
    <x:row r="1136" ht="21" customHeight="1">
      <x:c r="A1136" s="2" t="str">
        <x:v>LN01135</x:v>
      </x:c>
      <x:c r="B1136" s="2" t="str">
        <x:v>T20261008-1-3</x:v>
      </x:c>
      <x:c r="C1136" s="7" t="n">
        <x:v>46303</x:v>
      </x:c>
      <x:c r="D1136" s="2" t="str">
        <x:v>BUS003</x:v>
      </x:c>
      <x:c r="E1136" s="2" t="str">
        <x:v>ST095</x:v>
      </x:c>
      <x:c r="F1136" s="2" t="n">
        <x:v>1</x:v>
      </x:c>
      <x:c r="G1136" s="2" t="str">
        <x:v>Senior</x:v>
      </x:c>
      <x:c r="H1136" s="2" t="str">
        <x:v>Pickup</x:v>
      </x:c>
      <x:c r="I1136" s="2" t="str">
        <x:v>R3S3</x:v>
      </x:c>
      <x:c r="J1136" s="2" t="str">
        <x:v>EV002263</x:v>
      </x:c>
      <x:c r="K1136" s="8" t="n">
        <x:v>46303.252222222225</x:v>
      </x:c>
      <x:c r="L1136" s="2" t="str">
        <x:v>R3S3</x:v>
      </x:c>
      <x:c r="M1136" s="9" t="n">
        <x:v>25.293000000000003</x:v>
      </x:c>
      <x:c r="N1136" s="9" t="n">
        <x:v>51.513</x:v>
      </x:c>
      <x:c r="O1136" s="2" t="str">
        <x:v>Valid</x:v>
      </x:c>
      <x:c r="P1136" s="2" t="str">
        <x:v>EV002264</x:v>
      </x:c>
      <x:c r="Q1136" s="8" t="n">
        <x:v>46303.276874999996</x:v>
      </x:c>
      <x:c r="R1136" s="2" t="str">
        <x:v>SCH01</x:v>
      </x:c>
      <x:c r="S1136" s="9" t="n">
        <x:v>25.285</x:v>
      </x:c>
      <x:c r="T1136" s="9" t="n">
        <x:v>51.51</x:v>
      </x:c>
      <x:c r="U1136" s="2" t="str">
        <x:v>SCHOOL_RECEIVER_01</x:v>
      </x:c>
      <x:c r="V1136" s="2" t="str">
        <x:v>School staff receipt</x:v>
      </x:c>
      <x:c r="W1136" s="2" t="str">
        <x:v>Completed transport</x:v>
      </x:c>
      <x:c r="X1136" s="2" t="str">
        <x:v>QR</x:v>
      </x:c>
      <x:c r="Y1136" s="2" t="str">
        <x:v>Online</x:v>
      </x:c>
      <x:c r="Z1136" s="2" t="str">
        <x:v>Synced</x:v>
      </x:c>
      <x:c r="AA1136" s="2"/>
      <x:c r="AB1136" s="2"/>
      <x:c r="AC1136" s="10" t="n">
        <x:f>IF(OR(K1136="",Q1136=""),"",ROUND((Q1136-K1136)*1440,2))</x:f>
        <x:v>35.5</x:v>
      </x:c>
    </x:row>
    <x:row r="1137" ht="21" customHeight="1">
      <x:c r="A1137" s="2" t="str">
        <x:v>LN01136</x:v>
      </x:c>
      <x:c r="B1137" s="2" t="str">
        <x:v>T20261008-1-3</x:v>
      </x:c>
      <x:c r="C1137" s="7" t="n">
        <x:v>46303</x:v>
      </x:c>
      <x:c r="D1137" s="2" t="str">
        <x:v>BUS003</x:v>
      </x:c>
      <x:c r="E1137" s="2" t="str">
        <x:v>ST096</x:v>
      </x:c>
      <x:c r="F1137" s="2" t="n">
        <x:v>1</x:v>
      </x:c>
      <x:c r="G1137" s="2" t="str">
        <x:v>Senior</x:v>
      </x:c>
      <x:c r="H1137" s="2" t="str">
        <x:v>Pickup</x:v>
      </x:c>
      <x:c r="I1137" s="2" t="str">
        <x:v>R3S1</x:v>
      </x:c>
      <x:c r="J1137" s="2" t="str">
        <x:v>EV002265</x:v>
      </x:c>
      <x:c r="K1137" s="8" t="n">
        <x:v>46303.24253472222</x:v>
      </x:c>
      <x:c r="L1137" s="2" t="str">
        <x:v>R3S1</x:v>
      </x:c>
      <x:c r="M1137" s="9" t="n">
        <x:v>25.289</x:v>
      </x:c>
      <x:c r="N1137" s="9" t="n">
        <x:v>51.507</x:v>
      </x:c>
      <x:c r="O1137" s="2" t="str">
        <x:v>Valid</x:v>
      </x:c>
      <x:c r="P1137" s="2" t="str">
        <x:v>EV002266</x:v>
      </x:c>
      <x:c r="Q1137" s="8" t="n">
        <x:v>46303.27690972222</x:v>
      </x:c>
      <x:c r="R1137" s="2" t="str">
        <x:v>SCH01</x:v>
      </x:c>
      <x:c r="S1137" s="9" t="n">
        <x:v>25.285</x:v>
      </x:c>
      <x:c r="T1137" s="9" t="n">
        <x:v>51.51</x:v>
      </x:c>
      <x:c r="U1137" s="2" t="str">
        <x:v>SCHOOL_RECEIVER_01</x:v>
      </x:c>
      <x:c r="V1137" s="2" t="str">
        <x:v>School staff receipt</x:v>
      </x:c>
      <x:c r="W1137" s="2" t="str">
        <x:v>Completed transport</x:v>
      </x:c>
      <x:c r="X1137" s="2" t="str">
        <x:v>QR</x:v>
      </x:c>
      <x:c r="Y1137" s="2" t="str">
        <x:v>Online</x:v>
      </x:c>
      <x:c r="Z1137" s="2" t="str">
        <x:v>Synced</x:v>
      </x:c>
      <x:c r="AA1137" s="2"/>
      <x:c r="AB1137" s="2"/>
      <x:c r="AC1137" s="10" t="n">
        <x:f>IF(OR(K1137="",Q1137=""),"",ROUND((Q1137-K1137)*1440,2))</x:f>
        <x:v>49.5</x:v>
      </x:c>
    </x:row>
    <x:row r="1138" ht="21" customHeight="1">
      <x:c r="A1138" s="2" t="str">
        <x:v>LN01137</x:v>
      </x:c>
      <x:c r="B1138" s="2" t="str">
        <x:v>T20261008-1-3</x:v>
      </x:c>
      <x:c r="C1138" s="7" t="n">
        <x:v>46303</x:v>
      </x:c>
      <x:c r="D1138" s="2" t="str">
        <x:v>BUS003</x:v>
      </x:c>
      <x:c r="E1138" s="2" t="str">
        <x:v>ST097</x:v>
      </x:c>
      <x:c r="F1138" s="2" t="n">
        <x:v>1</x:v>
      </x:c>
      <x:c r="G1138" s="2" t="str">
        <x:v>Senior</x:v>
      </x:c>
      <x:c r="H1138" s="2" t="str">
        <x:v>Pickup</x:v>
      </x:c>
      <x:c r="I1138" s="2" t="str">
        <x:v>R3S2</x:v>
      </x:c>
      <x:c r="J1138" s="2" t="str">
        <x:v>EV002267</x:v>
      </x:c>
      <x:c r="K1138" s="8" t="n">
        <x:v>46303.24743055555</x:v>
      </x:c>
      <x:c r="L1138" s="2" t="str">
        <x:v>R3S2</x:v>
      </x:c>
      <x:c r="M1138" s="9" t="n">
        <x:v>25.291000000000004</x:v>
      </x:c>
      <x:c r="N1138" s="9" t="n">
        <x:v>51.51</x:v>
      </x:c>
      <x:c r="O1138" s="2" t="str">
        <x:v>Valid</x:v>
      </x:c>
      <x:c r="P1138" s="2" t="str">
        <x:v>EV002268</x:v>
      </x:c>
      <x:c r="Q1138" s="8" t="n">
        <x:v>46303.27694444444</x:v>
      </x:c>
      <x:c r="R1138" s="2" t="str">
        <x:v>SCH01</x:v>
      </x:c>
      <x:c r="S1138" s="9" t="n">
        <x:v>25.285</x:v>
      </x:c>
      <x:c r="T1138" s="9" t="n">
        <x:v>51.51</x:v>
      </x:c>
      <x:c r="U1138" s="2" t="str">
        <x:v>SCHOOL_RECEIVER_01</x:v>
      </x:c>
      <x:c r="V1138" s="2" t="str">
        <x:v>School staff receipt</x:v>
      </x:c>
      <x:c r="W1138" s="2" t="str">
        <x:v>Completed transport</x:v>
      </x:c>
      <x:c r="X1138" s="2" t="str">
        <x:v>QR</x:v>
      </x:c>
      <x:c r="Y1138" s="2" t="str">
        <x:v>Online</x:v>
      </x:c>
      <x:c r="Z1138" s="2" t="str">
        <x:v>Synced</x:v>
      </x:c>
      <x:c r="AA1138" s="2"/>
      <x:c r="AB1138" s="2"/>
      <x:c r="AC1138" s="10" t="n">
        <x:f>IF(OR(K1138="",Q1138=""),"",ROUND((Q1138-K1138)*1440,2))</x:f>
        <x:v>42.5</x:v>
      </x:c>
    </x:row>
    <x:row r="1139" ht="21" customHeight="1">
      <x:c r="A1139" s="2" t="str">
        <x:v>LN01138</x:v>
      </x:c>
      <x:c r="B1139" s="2" t="str">
        <x:v>T20261008-1-3</x:v>
      </x:c>
      <x:c r="C1139" s="7" t="n">
        <x:v>46303</x:v>
      </x:c>
      <x:c r="D1139" s="2" t="str">
        <x:v>BUS003</x:v>
      </x:c>
      <x:c r="E1139" s="2" t="str">
        <x:v>ST098</x:v>
      </x:c>
      <x:c r="F1139" s="2" t="n">
        <x:v>1</x:v>
      </x:c>
      <x:c r="G1139" s="2" t="str">
        <x:v>Senior</x:v>
      </x:c>
      <x:c r="H1139" s="2" t="str">
        <x:v>Pickup</x:v>
      </x:c>
      <x:c r="I1139" s="2" t="str">
        <x:v>R3S3</x:v>
      </x:c>
      <x:c r="J1139" s="2" t="str">
        <x:v>EV002269</x:v>
      </x:c>
      <x:c r="K1139" s="8" t="n">
        <x:v>46303.25232638889</x:v>
      </x:c>
      <x:c r="L1139" s="2" t="str">
        <x:v>R3S3</x:v>
      </x:c>
      <x:c r="M1139" s="9" t="n">
        <x:v>25.293000000000003</x:v>
      </x:c>
      <x:c r="N1139" s="9" t="n">
        <x:v>51.513</x:v>
      </x:c>
      <x:c r="O1139" s="2" t="str">
        <x:v>Valid</x:v>
      </x:c>
      <x:c r="P1139" s="2" t="str">
        <x:v>EV002270</x:v>
      </x:c>
      <x:c r="Q1139" s="8" t="n">
        <x:v>46303.276979166665</x:v>
      </x:c>
      <x:c r="R1139" s="2" t="str">
        <x:v>SCH01</x:v>
      </x:c>
      <x:c r="S1139" s="9" t="n">
        <x:v>25.285</x:v>
      </x:c>
      <x:c r="T1139" s="9" t="n">
        <x:v>51.51</x:v>
      </x:c>
      <x:c r="U1139" s="2" t="str">
        <x:v>SCHOOL_RECEIVER_01</x:v>
      </x:c>
      <x:c r="V1139" s="2" t="str">
        <x:v>School staff receipt</x:v>
      </x:c>
      <x:c r="W1139" s="2" t="str">
        <x:v>Completed transport</x:v>
      </x:c>
      <x:c r="X1139" s="2" t="str">
        <x:v>QR</x:v>
      </x:c>
      <x:c r="Y1139" s="2" t="str">
        <x:v>Online</x:v>
      </x:c>
      <x:c r="Z1139" s="2" t="str">
        <x:v>Synced</x:v>
      </x:c>
      <x:c r="AA1139" s="2"/>
      <x:c r="AB1139" s="2"/>
      <x:c r="AC1139" s="10" t="n">
        <x:f>IF(OR(K1139="",Q1139=""),"",ROUND((Q1139-K1139)*1440,2))</x:f>
        <x:v>35.5</x:v>
      </x:c>
    </x:row>
    <x:row r="1140" ht="21" customHeight="1">
      <x:c r="A1140" s="2" t="str">
        <x:v>LN01139</x:v>
      </x:c>
      <x:c r="B1140" s="2" t="str">
        <x:v>T20261008-1-3</x:v>
      </x:c>
      <x:c r="C1140" s="7" t="n">
        <x:v>46303</x:v>
      </x:c>
      <x:c r="D1140" s="2" t="str">
        <x:v>BUS003</x:v>
      </x:c>
      <x:c r="E1140" s="2" t="str">
        <x:v>ST099</x:v>
      </x:c>
      <x:c r="F1140" s="2" t="n">
        <x:v>1</x:v>
      </x:c>
      <x:c r="G1140" s="2" t="str">
        <x:v>Senior</x:v>
      </x:c>
      <x:c r="H1140" s="2" t="str">
        <x:v>Pickup</x:v>
      </x:c>
      <x:c r="I1140" s="2" t="str">
        <x:v>R3S1</x:v>
      </x:c>
      <x:c r="J1140" s="2" t="str">
        <x:v>EV002271</x:v>
      </x:c>
      <x:c r="K1140" s="8" t="n">
        <x:v>46303.24263888889</x:v>
      </x:c>
      <x:c r="L1140" s="2" t="str">
        <x:v>R3S1</x:v>
      </x:c>
      <x:c r="M1140" s="9" t="n">
        <x:v>25.289</x:v>
      </x:c>
      <x:c r="N1140" s="9" t="n">
        <x:v>51.507</x:v>
      </x:c>
      <x:c r="O1140" s="2" t="str">
        <x:v>Valid</x:v>
      </x:c>
      <x:c r="P1140" s="2" t="str">
        <x:v>EV002272</x:v>
      </x:c>
      <x:c r="Q1140" s="8" t="n">
        <x:v>46303.27701388889</x:v>
      </x:c>
      <x:c r="R1140" s="2" t="str">
        <x:v>SCH01</x:v>
      </x:c>
      <x:c r="S1140" s="9" t="n">
        <x:v>25.285</x:v>
      </x:c>
      <x:c r="T1140" s="9" t="n">
        <x:v>51.51</x:v>
      </x:c>
      <x:c r="U1140" s="2" t="str">
        <x:v>SCHOOL_RECEIVER_01</x:v>
      </x:c>
      <x:c r="V1140" s="2" t="str">
        <x:v>School staff receipt</x:v>
      </x:c>
      <x:c r="W1140" s="2" t="str">
        <x:v>Completed transport</x:v>
      </x:c>
      <x:c r="X1140" s="2" t="str">
        <x:v>QR</x:v>
      </x:c>
      <x:c r="Y1140" s="2" t="str">
        <x:v>Online</x:v>
      </x:c>
      <x:c r="Z1140" s="2" t="str">
        <x:v>Synced</x:v>
      </x:c>
      <x:c r="AA1140" s="2"/>
      <x:c r="AB1140" s="2"/>
      <x:c r="AC1140" s="10" t="n">
        <x:f>IF(OR(K1140="",Q1140=""),"",ROUND((Q1140-K1140)*1440,2))</x:f>
        <x:v>49.5</x:v>
      </x:c>
    </x:row>
    <x:row r="1141" ht="21" customHeight="1">
      <x:c r="A1141" s="2" t="str">
        <x:v>LN01140</x:v>
      </x:c>
      <x:c r="B1141" s="2" t="str">
        <x:v>T20261008-1-3</x:v>
      </x:c>
      <x:c r="C1141" s="7" t="n">
        <x:v>46303</x:v>
      </x:c>
      <x:c r="D1141" s="2" t="str">
        <x:v>BUS003</x:v>
      </x:c>
      <x:c r="E1141" s="2" t="str">
        <x:v>ST100</x:v>
      </x:c>
      <x:c r="F1141" s="2" t="n">
        <x:v>1</x:v>
      </x:c>
      <x:c r="G1141" s="2" t="str">
        <x:v>Senior</x:v>
      </x:c>
      <x:c r="H1141" s="2" t="str">
        <x:v>Pickup</x:v>
      </x:c>
      <x:c r="I1141" s="2" t="str">
        <x:v>R3S2</x:v>
      </x:c>
      <x:c r="J1141" s="2" t="str">
        <x:v>EV002273</x:v>
      </x:c>
      <x:c r="K1141" s="8" t="n">
        <x:v>46303.24753472222</x:v>
      </x:c>
      <x:c r="L1141" s="2" t="str">
        <x:v>R3S2</x:v>
      </x:c>
      <x:c r="M1141" s="9" t="n">
        <x:v>25.291000000000004</x:v>
      </x:c>
      <x:c r="N1141" s="9" t="n">
        <x:v>51.51</x:v>
      </x:c>
      <x:c r="O1141" s="2" t="str">
        <x:v>Valid</x:v>
      </x:c>
      <x:c r="P1141" s="2" t="str">
        <x:v>EV002274</x:v>
      </x:c>
      <x:c r="Q1141" s="8" t="n">
        <x:v>46303.27704861111</x:v>
      </x:c>
      <x:c r="R1141" s="2" t="str">
        <x:v>SCH01</x:v>
      </x:c>
      <x:c r="S1141" s="9" t="n">
        <x:v>25.285</x:v>
      </x:c>
      <x:c r="T1141" s="9" t="n">
        <x:v>51.51</x:v>
      </x:c>
      <x:c r="U1141" s="2" t="str">
        <x:v>SCHOOL_RECEIVER_01</x:v>
      </x:c>
      <x:c r="V1141" s="2" t="str">
        <x:v>School staff receipt</x:v>
      </x:c>
      <x:c r="W1141" s="2" t="str">
        <x:v>Completed transport</x:v>
      </x:c>
      <x:c r="X1141" s="2" t="str">
        <x:v>QR</x:v>
      </x:c>
      <x:c r="Y1141" s="2" t="str">
        <x:v>Online</x:v>
      </x:c>
      <x:c r="Z1141" s="2" t="str">
        <x:v>Synced</x:v>
      </x:c>
      <x:c r="AA1141" s="2"/>
      <x:c r="AB1141" s="2"/>
      <x:c r="AC1141" s="10" t="n">
        <x:f>IF(OR(K1141="",Q1141=""),"",ROUND((Q1141-K1141)*1440,2))</x:f>
        <x:v>42.5</x:v>
      </x:c>
    </x:row>
    <x:row r="1142" ht="21" customHeight="1">
      <x:c r="A1142" s="2" t="str">
        <x:v>LN01141</x:v>
      </x:c>
      <x:c r="B1142" s="2" t="str">
        <x:v>T20261008-2-3</x:v>
      </x:c>
      <x:c r="C1142" s="7" t="n">
        <x:v>46303</x:v>
      </x:c>
      <x:c r="D1142" s="2" t="str">
        <x:v>BUS003</x:v>
      </x:c>
      <x:c r="E1142" s="2" t="str">
        <x:v>ST081</x:v>
      </x:c>
      <x:c r="F1142" s="2" t="n">
        <x:v>1</x:v>
      </x:c>
      <x:c r="G1142" s="2" t="str">
        <x:v>Junior</x:v>
      </x:c>
      <x:c r="H1142" s="2" t="str">
        <x:v>Drop-off</x:v>
      </x:c>
      <x:c r="I1142" s="2" t="str">
        <x:v>R3S1</x:v>
      </x:c>
      <x:c r="J1142" s="2" t="str">
        <x:v>EV002275</x:v>
      </x:c>
      <x:c r="K1142" s="8" t="n">
        <x:v>46303.4375</x:v>
      </x:c>
      <x:c r="L1142" s="2" t="str">
        <x:v>SCH01</x:v>
      </x:c>
      <x:c r="M1142" s="9" t="n">
        <x:v>25.285</x:v>
      </x:c>
      <x:c r="N1142" s="9" t="n">
        <x:v>51.51</x:v>
      </x:c>
      <x:c r="O1142" s="2" t="str">
        <x:v>Valid</x:v>
      </x:c>
      <x:c r="P1142" s="2" t="str">
        <x:v>EV002276</x:v>
      </x:c>
      <x:c r="Q1142" s="8" t="n">
        <x:v>46303.44930555555</x:v>
      </x:c>
      <x:c r="R1142" s="2" t="str">
        <x:v>R3S1</x:v>
      </x:c>
      <x:c r="S1142" s="9" t="n">
        <x:v>25.289</x:v>
      </x:c>
      <x:c r="T1142" s="9" t="n">
        <x:v>51.507</x:v>
      </x:c>
      <x:c r="U1142" s="2" t="str">
        <x:v>G081</x:v>
      </x:c>
      <x:c r="V1142" s="2" t="str">
        <x:v>Authorized guardian release</x:v>
      </x:c>
      <x:c r="W1142" s="2" t="str">
        <x:v>Completed transport</x:v>
      </x:c>
      <x:c r="X1142" s="2" t="str">
        <x:v>QR</x:v>
      </x:c>
      <x:c r="Y1142" s="2" t="str">
        <x:v>Online</x:v>
      </x:c>
      <x:c r="Z1142" s="2" t="str">
        <x:v>Synced</x:v>
      </x:c>
      <x:c r="AA1142" s="2"/>
      <x:c r="AB1142" s="2"/>
      <x:c r="AC1142" s="10" t="n">
        <x:f>IF(OR(K1142="",Q1142=""),"",ROUND((Q1142-K1142)*1440,2))</x:f>
        <x:v>17</x:v>
      </x:c>
    </x:row>
    <x:row r="1143" ht="21" customHeight="1">
      <x:c r="A1143" s="2" t="str">
        <x:v>LN01142</x:v>
      </x:c>
      <x:c r="B1143" s="2" t="str">
        <x:v>T20261008-2-3</x:v>
      </x:c>
      <x:c r="C1143" s="7" t="n">
        <x:v>46303</x:v>
      </x:c>
      <x:c r="D1143" s="2" t="str">
        <x:v>BUS003</x:v>
      </x:c>
      <x:c r="E1143" s="2" t="str">
        <x:v>ST082</x:v>
      </x:c>
      <x:c r="F1143" s="2" t="n">
        <x:v>1</x:v>
      </x:c>
      <x:c r="G1143" s="2" t="str">
        <x:v>Junior</x:v>
      </x:c>
      <x:c r="H1143" s="2" t="str">
        <x:v>Drop-off</x:v>
      </x:c>
      <x:c r="I1143" s="2" t="str">
        <x:v>R3S2</x:v>
      </x:c>
      <x:c r="J1143" s="2" t="str">
        <x:v>EV002277</x:v>
      </x:c>
      <x:c r="K1143" s="8" t="n">
        <x:v>46303.43753472222</x:v>
      </x:c>
      <x:c r="L1143" s="2" t="str">
        <x:v>SCH01</x:v>
      </x:c>
      <x:c r="M1143" s="9" t="n">
        <x:v>25.285</x:v>
      </x:c>
      <x:c r="N1143" s="9" t="n">
        <x:v>51.51</x:v>
      </x:c>
      <x:c r="O1143" s="2" t="str">
        <x:v>Valid</x:v>
      </x:c>
      <x:c r="P1143" s="2" t="str">
        <x:v>EV002278</x:v>
      </x:c>
      <x:c r="Q1143" s="8" t="n">
        <x:v>46303.45350694445</x:v>
      </x:c>
      <x:c r="R1143" s="2" t="str">
        <x:v>R3S2</x:v>
      </x:c>
      <x:c r="S1143" s="9" t="n">
        <x:v>25.291000000000004</x:v>
      </x:c>
      <x:c r="T1143" s="9" t="n">
        <x:v>51.51</x:v>
      </x:c>
      <x:c r="U1143" s="2" t="str">
        <x:v>G082</x:v>
      </x:c>
      <x:c r="V1143" s="2" t="str">
        <x:v>Authorized guardian release</x:v>
      </x:c>
      <x:c r="W1143" s="2" t="str">
        <x:v>Completed transport</x:v>
      </x:c>
      <x:c r="X1143" s="2" t="str">
        <x:v>QR</x:v>
      </x:c>
      <x:c r="Y1143" s="2" t="str">
        <x:v>Online</x:v>
      </x:c>
      <x:c r="Z1143" s="2" t="str">
        <x:v>Synced</x:v>
      </x:c>
      <x:c r="AA1143" s="2"/>
      <x:c r="AB1143" s="2"/>
      <x:c r="AC1143" s="10" t="n">
        <x:f>IF(OR(K1143="",Q1143=""),"",ROUND((Q1143-K1143)*1440,2))</x:f>
        <x:v>23</x:v>
      </x:c>
    </x:row>
    <x:row r="1144" ht="21" customHeight="1">
      <x:c r="A1144" s="2" t="str">
        <x:v>LN01143</x:v>
      </x:c>
      <x:c r="B1144" s="2" t="str">
        <x:v>T20261008-2-3</x:v>
      </x:c>
      <x:c r="C1144" s="7" t="n">
        <x:v>46303</x:v>
      </x:c>
      <x:c r="D1144" s="2" t="str">
        <x:v>BUS003</x:v>
      </x:c>
      <x:c r="E1144" s="2" t="str">
        <x:v>ST083</x:v>
      </x:c>
      <x:c r="F1144" s="2" t="n">
        <x:v>1</x:v>
      </x:c>
      <x:c r="G1144" s="2" t="str">
        <x:v>Junior</x:v>
      </x:c>
      <x:c r="H1144" s="2" t="str">
        <x:v>Drop-off</x:v>
      </x:c>
      <x:c r="I1144" s="2" t="str">
        <x:v>R3S3</x:v>
      </x:c>
      <x:c r="J1144" s="2" t="str">
        <x:v>EV002279</x:v>
      </x:c>
      <x:c r="K1144" s="8" t="n">
        <x:v>46303.437569444446</x:v>
      </x:c>
      <x:c r="L1144" s="2" t="str">
        <x:v>SCH01</x:v>
      </x:c>
      <x:c r="M1144" s="9" t="n">
        <x:v>25.285</x:v>
      </x:c>
      <x:c r="N1144" s="9" t="n">
        <x:v>51.51</x:v>
      </x:c>
      <x:c r="O1144" s="2" t="str">
        <x:v>Valid</x:v>
      </x:c>
      <x:c r="P1144" s="2" t="str">
        <x:v>EV002280</x:v>
      </x:c>
      <x:c r="Q1144" s="8" t="n">
        <x:v>46303.457708333335</x:v>
      </x:c>
      <x:c r="R1144" s="2" t="str">
        <x:v>R3S3</x:v>
      </x:c>
      <x:c r="S1144" s="9" t="n">
        <x:v>25.293000000000003</x:v>
      </x:c>
      <x:c r="T1144" s="9" t="n">
        <x:v>51.513</x:v>
      </x:c>
      <x:c r="U1144" s="2" t="str">
        <x:v>G083</x:v>
      </x:c>
      <x:c r="V1144" s="2" t="str">
        <x:v>Authorized guardian release</x:v>
      </x:c>
      <x:c r="W1144" s="2" t="str">
        <x:v>Completed transport</x:v>
      </x:c>
      <x:c r="X1144" s="2" t="str">
        <x:v>QR</x:v>
      </x:c>
      <x:c r="Y1144" s="2" t="str">
        <x:v>Online</x:v>
      </x:c>
      <x:c r="Z1144" s="2" t="str">
        <x:v>Synced</x:v>
      </x:c>
      <x:c r="AA1144" s="2"/>
      <x:c r="AB1144" s="2"/>
      <x:c r="AC1144" s="10" t="n">
        <x:f>IF(OR(K1144="",Q1144=""),"",ROUND((Q1144-K1144)*1440,2))</x:f>
        <x:v>29</x:v>
      </x:c>
    </x:row>
    <x:row r="1145" ht="21" customHeight="1">
      <x:c r="A1145" s="2" t="str">
        <x:v>LN01144</x:v>
      </x:c>
      <x:c r="B1145" s="2" t="str">
        <x:v>T20261008-2-3</x:v>
      </x:c>
      <x:c r="C1145" s="7" t="n">
        <x:v>46303</x:v>
      </x:c>
      <x:c r="D1145" s="2" t="str">
        <x:v>BUS003</x:v>
      </x:c>
      <x:c r="E1145" s="2" t="str">
        <x:v>ST084</x:v>
      </x:c>
      <x:c r="F1145" s="2" t="n">
        <x:v>1</x:v>
      </x:c>
      <x:c r="G1145" s="2" t="str">
        <x:v>Junior</x:v>
      </x:c>
      <x:c r="H1145" s="2" t="str">
        <x:v>Drop-off</x:v>
      </x:c>
      <x:c r="I1145" s="2" t="str">
        <x:v>R3S1</x:v>
      </x:c>
      <x:c r="J1145" s="2" t="str">
        <x:v>EV002281</x:v>
      </x:c>
      <x:c r="K1145" s="8" t="n">
        <x:v>46303.43760416667</x:v>
      </x:c>
      <x:c r="L1145" s="2" t="str">
        <x:v>SCH01</x:v>
      </x:c>
      <x:c r="M1145" s="9" t="n">
        <x:v>25.285</x:v>
      </x:c>
      <x:c r="N1145" s="9" t="n">
        <x:v>51.51</x:v>
      </x:c>
      <x:c r="O1145" s="2" t="str">
        <x:v>Valid</x:v>
      </x:c>
      <x:c r="P1145" s="2" t="str">
        <x:v>EV002282</x:v>
      </x:c>
      <x:c r="Q1145" s="8" t="n">
        <x:v>46303.44940972222</x:v>
      </x:c>
      <x:c r="R1145" s="2" t="str">
        <x:v>R3S1</x:v>
      </x:c>
      <x:c r="S1145" s="9" t="n">
        <x:v>25.289</x:v>
      </x:c>
      <x:c r="T1145" s="9" t="n">
        <x:v>51.507</x:v>
      </x:c>
      <x:c r="U1145" s="2" t="str">
        <x:v>G084</x:v>
      </x:c>
      <x:c r="V1145" s="2" t="str">
        <x:v>Authorized guardian release</x:v>
      </x:c>
      <x:c r="W1145" s="2" t="str">
        <x:v>Completed transport</x:v>
      </x:c>
      <x:c r="X1145" s="2" t="str">
        <x:v>QR</x:v>
      </x:c>
      <x:c r="Y1145" s="2" t="str">
        <x:v>Online</x:v>
      </x:c>
      <x:c r="Z1145" s="2" t="str">
        <x:v>Synced</x:v>
      </x:c>
      <x:c r="AA1145" s="2"/>
      <x:c r="AB1145" s="2"/>
      <x:c r="AC1145" s="10" t="n">
        <x:f>IF(OR(K1145="",Q1145=""),"",ROUND((Q1145-K1145)*1440,2))</x:f>
        <x:v>17</x:v>
      </x:c>
    </x:row>
    <x:row r="1146" ht="21" customHeight="1">
      <x:c r="A1146" s="2" t="str">
        <x:v>LN01145</x:v>
      </x:c>
      <x:c r="B1146" s="2" t="str">
        <x:v>T20261008-2-3</x:v>
      </x:c>
      <x:c r="C1146" s="7" t="n">
        <x:v>46303</x:v>
      </x:c>
      <x:c r="D1146" s="2" t="str">
        <x:v>BUS003</x:v>
      </x:c>
      <x:c r="E1146" s="2" t="str">
        <x:v>ST085</x:v>
      </x:c>
      <x:c r="F1146" s="2" t="n">
        <x:v>1</x:v>
      </x:c>
      <x:c r="G1146" s="2" t="str">
        <x:v>Junior</x:v>
      </x:c>
      <x:c r="H1146" s="2" t="str">
        <x:v>Drop-off</x:v>
      </x:c>
      <x:c r="I1146" s="2" t="str">
        <x:v>R3S2</x:v>
      </x:c>
      <x:c r="J1146" s="2" t="str">
        <x:v>EV002283</x:v>
      </x:c>
      <x:c r="K1146" s="8" t="n">
        <x:v>46303.43763888889</x:v>
      </x:c>
      <x:c r="L1146" s="2" t="str">
        <x:v>SCH01</x:v>
      </x:c>
      <x:c r="M1146" s="9" t="n">
        <x:v>25.285</x:v>
      </x:c>
      <x:c r="N1146" s="9" t="n">
        <x:v>51.51</x:v>
      </x:c>
      <x:c r="O1146" s="2" t="str">
        <x:v>Valid</x:v>
      </x:c>
      <x:c r="P1146" s="2" t="str">
        <x:v>EV002284</x:v>
      </x:c>
      <x:c r="Q1146" s="8" t="n">
        <x:v>46303.453611111116</x:v>
      </x:c>
      <x:c r="R1146" s="2" t="str">
        <x:v>R3S2</x:v>
      </x:c>
      <x:c r="S1146" s="9" t="n">
        <x:v>25.291000000000004</x:v>
      </x:c>
      <x:c r="T1146" s="9" t="n">
        <x:v>51.51</x:v>
      </x:c>
      <x:c r="U1146" s="2" t="str">
        <x:v>G085</x:v>
      </x:c>
      <x:c r="V1146" s="2" t="str">
        <x:v>Authorized guardian release</x:v>
      </x:c>
      <x:c r="W1146" s="2" t="str">
        <x:v>Completed transport</x:v>
      </x:c>
      <x:c r="X1146" s="2" t="str">
        <x:v>QR</x:v>
      </x:c>
      <x:c r="Y1146" s="2" t="str">
        <x:v>Online</x:v>
      </x:c>
      <x:c r="Z1146" s="2" t="str">
        <x:v>Synced</x:v>
      </x:c>
      <x:c r="AA1146" s="2"/>
      <x:c r="AB1146" s="2"/>
      <x:c r="AC1146" s="10" t="n">
        <x:f>IF(OR(K1146="",Q1146=""),"",ROUND((Q1146-K1146)*1440,2))</x:f>
        <x:v>23</x:v>
      </x:c>
    </x:row>
    <x:row r="1147" ht="21" customHeight="1">
      <x:c r="A1147" s="2" t="str">
        <x:v>LN01146</x:v>
      </x:c>
      <x:c r="B1147" s="2" t="str">
        <x:v>T20261008-2-3</x:v>
      </x:c>
      <x:c r="C1147" s="7" t="n">
        <x:v>46303</x:v>
      </x:c>
      <x:c r="D1147" s="2" t="str">
        <x:v>BUS003</x:v>
      </x:c>
      <x:c r="E1147" s="2" t="str">
        <x:v>ST086</x:v>
      </x:c>
      <x:c r="F1147" s="2" t="n">
        <x:v>1</x:v>
      </x:c>
      <x:c r="G1147" s="2" t="str">
        <x:v>Junior</x:v>
      </x:c>
      <x:c r="H1147" s="2" t="str">
        <x:v>Drop-off</x:v>
      </x:c>
      <x:c r="I1147" s="2" t="str">
        <x:v>R3S3</x:v>
      </x:c>
      <x:c r="J1147" s="2" t="str">
        <x:v>EV002285</x:v>
      </x:c>
      <x:c r="K1147" s="8" t="n">
        <x:v>46303.43767361111</x:v>
      </x:c>
      <x:c r="L1147" s="2" t="str">
        <x:v>SCH01</x:v>
      </x:c>
      <x:c r="M1147" s="9" t="n">
        <x:v>25.285</x:v>
      </x:c>
      <x:c r="N1147" s="9" t="n">
        <x:v>51.51</x:v>
      </x:c>
      <x:c r="O1147" s="2" t="str">
        <x:v>Valid</x:v>
      </x:c>
      <x:c r="P1147" s="2" t="str">
        <x:v>EV002286</x:v>
      </x:c>
      <x:c r="Q1147" s="8" t="n">
        <x:v>46303.4578125</x:v>
      </x:c>
      <x:c r="R1147" s="2" t="str">
        <x:v>R3S3</x:v>
      </x:c>
      <x:c r="S1147" s="9" t="n">
        <x:v>25.293000000000003</x:v>
      </x:c>
      <x:c r="T1147" s="9" t="n">
        <x:v>51.513</x:v>
      </x:c>
      <x:c r="U1147" s="2" t="str">
        <x:v>G086</x:v>
      </x:c>
      <x:c r="V1147" s="2" t="str">
        <x:v>Authorized guardian release</x:v>
      </x:c>
      <x:c r="W1147" s="2" t="str">
        <x:v>Completed transport</x:v>
      </x:c>
      <x:c r="X1147" s="2" t="str">
        <x:v>QR</x:v>
      </x:c>
      <x:c r="Y1147" s="2" t="str">
        <x:v>Online</x:v>
      </x:c>
      <x:c r="Z1147" s="2" t="str">
        <x:v>Synced</x:v>
      </x:c>
      <x:c r="AA1147" s="2"/>
      <x:c r="AB1147" s="2"/>
      <x:c r="AC1147" s="10" t="n">
        <x:f>IF(OR(K1147="",Q1147=""),"",ROUND((Q1147-K1147)*1440,2))</x:f>
        <x:v>29</x:v>
      </x:c>
    </x:row>
    <x:row r="1148" ht="21" customHeight="1">
      <x:c r="A1148" s="2" t="str">
        <x:v>LN01147</x:v>
      </x:c>
      <x:c r="B1148" s="2" t="str">
        <x:v>T20261008-2-3</x:v>
      </x:c>
      <x:c r="C1148" s="7" t="n">
        <x:v>46303</x:v>
      </x:c>
      <x:c r="D1148" s="2" t="str">
        <x:v>BUS003</x:v>
      </x:c>
      <x:c r="E1148" s="2" t="str">
        <x:v>ST087</x:v>
      </x:c>
      <x:c r="F1148" s="2" t="n">
        <x:v>1</x:v>
      </x:c>
      <x:c r="G1148" s="2" t="str">
        <x:v>Junior</x:v>
      </x:c>
      <x:c r="H1148" s="2" t="str">
        <x:v>Drop-off</x:v>
      </x:c>
      <x:c r="I1148" s="2" t="str">
        <x:v>R3S1</x:v>
      </x:c>
      <x:c r="J1148" s="2" t="str">
        <x:v>EV002287</x:v>
      </x:c>
      <x:c r="K1148" s="8" t="n">
        <x:v>46303.43770833333</x:v>
      </x:c>
      <x:c r="L1148" s="2" t="str">
        <x:v>SCH01</x:v>
      </x:c>
      <x:c r="M1148" s="9" t="n">
        <x:v>25.285</x:v>
      </x:c>
      <x:c r="N1148" s="9" t="n">
        <x:v>51.51</x:v>
      </x:c>
      <x:c r="O1148" s="2" t="str">
        <x:v>Valid</x:v>
      </x:c>
      <x:c r="P1148" s="2" t="str">
        <x:v>EV002288</x:v>
      </x:c>
      <x:c r="Q1148" s="8" t="n">
        <x:v>46303.44951388888</x:v>
      </x:c>
      <x:c r="R1148" s="2" t="str">
        <x:v>R3S1</x:v>
      </x:c>
      <x:c r="S1148" s="9" t="n">
        <x:v>25.289</x:v>
      </x:c>
      <x:c r="T1148" s="9" t="n">
        <x:v>51.507</x:v>
      </x:c>
      <x:c r="U1148" s="2" t="str">
        <x:v>G087</x:v>
      </x:c>
      <x:c r="V1148" s="2" t="str">
        <x:v>Authorized guardian release</x:v>
      </x:c>
      <x:c r="W1148" s="2" t="str">
        <x:v>Completed transport</x:v>
      </x:c>
      <x:c r="X1148" s="2" t="str">
        <x:v>QR</x:v>
      </x:c>
      <x:c r="Y1148" s="2" t="str">
        <x:v>Online</x:v>
      </x:c>
      <x:c r="Z1148" s="2" t="str">
        <x:v>Synced</x:v>
      </x:c>
      <x:c r="AA1148" s="2"/>
      <x:c r="AB1148" s="2"/>
      <x:c r="AC1148" s="10" t="n">
        <x:f>IF(OR(K1148="",Q1148=""),"",ROUND((Q1148-K1148)*1440,2))</x:f>
        <x:v>17</x:v>
      </x:c>
    </x:row>
    <x:row r="1149" ht="21" customHeight="1">
      <x:c r="A1149" s="2" t="str">
        <x:v>LN01148</x:v>
      </x:c>
      <x:c r="B1149" s="2" t="str">
        <x:v>T20261008-2-3</x:v>
      </x:c>
      <x:c r="C1149" s="7" t="n">
        <x:v>46303</x:v>
      </x:c>
      <x:c r="D1149" s="2" t="str">
        <x:v>BUS003</x:v>
      </x:c>
      <x:c r="E1149" s="2" t="str">
        <x:v>ST088</x:v>
      </x:c>
      <x:c r="F1149" s="2" t="n">
        <x:v>1</x:v>
      </x:c>
      <x:c r="G1149" s="2" t="str">
        <x:v>Junior</x:v>
      </x:c>
      <x:c r="H1149" s="2" t="str">
        <x:v>Drop-off</x:v>
      </x:c>
      <x:c r="I1149" s="2" t="str">
        <x:v>R3S2</x:v>
      </x:c>
      <x:c r="J1149" s="2" t="str">
        <x:v>EV002289</x:v>
      </x:c>
      <x:c r="K1149" s="8" t="n">
        <x:v>46303.437743055554</x:v>
      </x:c>
      <x:c r="L1149" s="2" t="str">
        <x:v>SCH01</x:v>
      </x:c>
      <x:c r="M1149" s="9" t="n">
        <x:v>25.285</x:v>
      </x:c>
      <x:c r="N1149" s="9" t="n">
        <x:v>51.51</x:v>
      </x:c>
      <x:c r="O1149" s="2" t="str">
        <x:v>Valid</x:v>
      </x:c>
      <x:c r="P1149" s="2" t="str">
        <x:v>EV002290</x:v>
      </x:c>
      <x:c r="Q1149" s="8" t="n">
        <x:v>46303.45371527778</x:v>
      </x:c>
      <x:c r="R1149" s="2" t="str">
        <x:v>R3S2</x:v>
      </x:c>
      <x:c r="S1149" s="9" t="n">
        <x:v>25.291000000000004</x:v>
      </x:c>
      <x:c r="T1149" s="9" t="n">
        <x:v>51.51</x:v>
      </x:c>
      <x:c r="U1149" s="2" t="str">
        <x:v>G088</x:v>
      </x:c>
      <x:c r="V1149" s="2" t="str">
        <x:v>Authorized guardian release</x:v>
      </x:c>
      <x:c r="W1149" s="2" t="str">
        <x:v>Completed transport</x:v>
      </x:c>
      <x:c r="X1149" s="2" t="str">
        <x:v>QR</x:v>
      </x:c>
      <x:c r="Y1149" s="2" t="str">
        <x:v>Online</x:v>
      </x:c>
      <x:c r="Z1149" s="2" t="str">
        <x:v>Synced</x:v>
      </x:c>
      <x:c r="AA1149" s="2"/>
      <x:c r="AB1149" s="2"/>
      <x:c r="AC1149" s="10" t="n">
        <x:f>IF(OR(K1149="",Q1149=""),"",ROUND((Q1149-K1149)*1440,2))</x:f>
        <x:v>23</x:v>
      </x:c>
    </x:row>
    <x:row r="1150" ht="21" customHeight="1">
      <x:c r="A1150" s="2" t="str">
        <x:v>LN01149</x:v>
      </x:c>
      <x:c r="B1150" s="2" t="str">
        <x:v>T20261008-2-3</x:v>
      </x:c>
      <x:c r="C1150" s="7" t="n">
        <x:v>46303</x:v>
      </x:c>
      <x:c r="D1150" s="2" t="str">
        <x:v>BUS003</x:v>
      </x:c>
      <x:c r="E1150" s="2" t="str">
        <x:v>ST089</x:v>
      </x:c>
      <x:c r="F1150" s="2" t="n">
        <x:v>1</x:v>
      </x:c>
      <x:c r="G1150" s="2" t="str">
        <x:v>Junior</x:v>
      </x:c>
      <x:c r="H1150" s="2" t="str">
        <x:v>Drop-off</x:v>
      </x:c>
      <x:c r="I1150" s="2" t="str">
        <x:v>R3S3</x:v>
      </x:c>
      <x:c r="J1150" s="2" t="str">
        <x:v>EV002291</x:v>
      </x:c>
      <x:c r="K1150" s="8" t="n">
        <x:v>46303.43777777778</x:v>
      </x:c>
      <x:c r="L1150" s="2" t="str">
        <x:v>SCH01</x:v>
      </x:c>
      <x:c r="M1150" s="9" t="n">
        <x:v>25.285</x:v>
      </x:c>
      <x:c r="N1150" s="9" t="n">
        <x:v>51.51</x:v>
      </x:c>
      <x:c r="O1150" s="2" t="str">
        <x:v>Valid</x:v>
      </x:c>
      <x:c r="P1150" s="2" t="str">
        <x:v>EV002292</x:v>
      </x:c>
      <x:c r="Q1150" s="8" t="n">
        <x:v>46303.457916666666</x:v>
      </x:c>
      <x:c r="R1150" s="2" t="str">
        <x:v>R3S3</x:v>
      </x:c>
      <x:c r="S1150" s="9" t="n">
        <x:v>25.293000000000003</x:v>
      </x:c>
      <x:c r="T1150" s="9" t="n">
        <x:v>51.513</x:v>
      </x:c>
      <x:c r="U1150" s="2" t="str">
        <x:v>G089</x:v>
      </x:c>
      <x:c r="V1150" s="2" t="str">
        <x:v>Authorized guardian release</x:v>
      </x:c>
      <x:c r="W1150" s="2" t="str">
        <x:v>Completed transport</x:v>
      </x:c>
      <x:c r="X1150" s="2" t="str">
        <x:v>QR</x:v>
      </x:c>
      <x:c r="Y1150" s="2" t="str">
        <x:v>Online</x:v>
      </x:c>
      <x:c r="Z1150" s="2" t="str">
        <x:v>Synced</x:v>
      </x:c>
      <x:c r="AA1150" s="2"/>
      <x:c r="AB1150" s="2"/>
      <x:c r="AC1150" s="10" t="n">
        <x:f>IF(OR(K1150="",Q1150=""),"",ROUND((Q1150-K1150)*1440,2))</x:f>
        <x:v>29</x:v>
      </x:c>
    </x:row>
    <x:row r="1151" ht="21" customHeight="1">
      <x:c r="A1151" s="2" t="str">
        <x:v>LN01150</x:v>
      </x:c>
      <x:c r="B1151" s="2" t="str">
        <x:v>T20261008-2-3</x:v>
      </x:c>
      <x:c r="C1151" s="7" t="n">
        <x:v>46303</x:v>
      </x:c>
      <x:c r="D1151" s="2" t="str">
        <x:v>BUS003</x:v>
      </x:c>
      <x:c r="E1151" s="2" t="str">
        <x:v>ST090</x:v>
      </x:c>
      <x:c r="F1151" s="2" t="n">
        <x:v>1</x:v>
      </x:c>
      <x:c r="G1151" s="2" t="str">
        <x:v>Junior</x:v>
      </x:c>
      <x:c r="H1151" s="2" t="str">
        <x:v>Drop-off</x:v>
      </x:c>
      <x:c r="I1151" s="2" t="str">
        <x:v>R3S1</x:v>
      </x:c>
      <x:c r="J1151" s="2" t="str">
        <x:v>EV002293</x:v>
      </x:c>
      <x:c r="K1151" s="8" t="n">
        <x:v>46303.4378125</x:v>
      </x:c>
      <x:c r="L1151" s="2" t="str">
        <x:v>SCH01</x:v>
      </x:c>
      <x:c r="M1151" s="9" t="n">
        <x:v>25.285</x:v>
      </x:c>
      <x:c r="N1151" s="9" t="n">
        <x:v>51.51</x:v>
      </x:c>
      <x:c r="O1151" s="2" t="str">
        <x:v>Valid</x:v>
      </x:c>
      <x:c r="P1151" s="2" t="str">
        <x:v>EV002294</x:v>
      </x:c>
      <x:c r="Q1151" s="8" t="n">
        <x:v>46303.44961805555</x:v>
      </x:c>
      <x:c r="R1151" s="2" t="str">
        <x:v>R3S1</x:v>
      </x:c>
      <x:c r="S1151" s="9" t="n">
        <x:v>25.289</x:v>
      </x:c>
      <x:c r="T1151" s="9" t="n">
        <x:v>51.507</x:v>
      </x:c>
      <x:c r="U1151" s="2" t="str">
        <x:v>G090</x:v>
      </x:c>
      <x:c r="V1151" s="2" t="str">
        <x:v>Authorized guardian release</x:v>
      </x:c>
      <x:c r="W1151" s="2" t="str">
        <x:v>Completed transport</x:v>
      </x:c>
      <x:c r="X1151" s="2" t="str">
        <x:v>QR</x:v>
      </x:c>
      <x:c r="Y1151" s="2" t="str">
        <x:v>Online</x:v>
      </x:c>
      <x:c r="Z1151" s="2" t="str">
        <x:v>Synced</x:v>
      </x:c>
      <x:c r="AA1151" s="2"/>
      <x:c r="AB1151" s="2"/>
      <x:c r="AC1151" s="10" t="n">
        <x:f>IF(OR(K1151="",Q1151=""),"",ROUND((Q1151-K1151)*1440,2))</x:f>
        <x:v>17</x:v>
      </x:c>
    </x:row>
    <x:row r="1152" ht="21" customHeight="1">
      <x:c r="A1152" s="2" t="str">
        <x:v>LN01151</x:v>
      </x:c>
      <x:c r="B1152" s="2" t="str">
        <x:v>T20261008-2-3</x:v>
      </x:c>
      <x:c r="C1152" s="7" t="n">
        <x:v>46303</x:v>
      </x:c>
      <x:c r="D1152" s="2" t="str">
        <x:v>BUS003</x:v>
      </x:c>
      <x:c r="E1152" s="2" t="str">
        <x:v>ST101</x:v>
      </x:c>
      <x:c r="F1152" s="2" t="n">
        <x:v>2</x:v>
      </x:c>
      <x:c r="G1152" s="2" t="str">
        <x:v>Junior</x:v>
      </x:c>
      <x:c r="H1152" s="2" t="str">
        <x:v>Pickup</x:v>
      </x:c>
      <x:c r="I1152" s="2" t="str">
        <x:v>R3S3</x:v>
      </x:c>
      <x:c r="J1152" s="2" t="str">
        <x:v>EV002295</x:v>
      </x:c>
      <x:c r="K1152" s="8" t="n">
        <x:v>46303.48125</x:v>
      </x:c>
      <x:c r="L1152" s="2" t="str">
        <x:v>R3S3</x:v>
      </x:c>
      <x:c r="M1152" s="9" t="n">
        <x:v>25.293000000000003</x:v>
      </x:c>
      <x:c r="N1152" s="9" t="n">
        <x:v>51.513</x:v>
      </x:c>
      <x:c r="O1152" s="2" t="str">
        <x:v>Valid</x:v>
      </x:c>
      <x:c r="P1152" s="2" t="str">
        <x:v>EV002296</x:v>
      </x:c>
      <x:c r="Q1152" s="8" t="n">
        <x:v>46303.506250000006</x:v>
      </x:c>
      <x:c r="R1152" s="2" t="str">
        <x:v>SCH01</x:v>
      </x:c>
      <x:c r="S1152" s="9" t="n">
        <x:v>25.285</x:v>
      </x:c>
      <x:c r="T1152" s="9" t="n">
        <x:v>51.51</x:v>
      </x:c>
      <x:c r="U1152" s="2" t="str">
        <x:v>SCHOOL_RECEIVER_01</x:v>
      </x:c>
      <x:c r="V1152" s="2" t="str">
        <x:v>School staff receipt</x:v>
      </x:c>
      <x:c r="W1152" s="2" t="str">
        <x:v>Completed transport</x:v>
      </x:c>
      <x:c r="X1152" s="2" t="str">
        <x:v>QR</x:v>
      </x:c>
      <x:c r="Y1152" s="2" t="str">
        <x:v>Online</x:v>
      </x:c>
      <x:c r="Z1152" s="2" t="str">
        <x:v>Synced</x:v>
      </x:c>
      <x:c r="AA1152" s="2"/>
      <x:c r="AB1152" s="2"/>
      <x:c r="AC1152" s="10" t="n">
        <x:f>IF(OR(K1152="",Q1152=""),"",ROUND((Q1152-K1152)*1440,2))</x:f>
        <x:v>36</x:v>
      </x:c>
    </x:row>
    <x:row r="1153" ht="21" customHeight="1">
      <x:c r="A1153" s="2" t="str">
        <x:v>LN01152</x:v>
      </x:c>
      <x:c r="B1153" s="2" t="str">
        <x:v>T20261008-2-3</x:v>
      </x:c>
      <x:c r="C1153" s="7" t="n">
        <x:v>46303</x:v>
      </x:c>
      <x:c r="D1153" s="2" t="str">
        <x:v>BUS003</x:v>
      </x:c>
      <x:c r="E1153" s="2" t="str">
        <x:v>ST102</x:v>
      </x:c>
      <x:c r="F1153" s="2" t="n">
        <x:v>2</x:v>
      </x:c>
      <x:c r="G1153" s="2" t="str">
        <x:v>Junior</x:v>
      </x:c>
      <x:c r="H1153" s="2" t="str">
        <x:v>Pickup</x:v>
      </x:c>
      <x:c r="I1153" s="2" t="str">
        <x:v>R3S1</x:v>
      </x:c>
      <x:c r="J1153" s="2" t="str">
        <x:v>EV002297</x:v>
      </x:c>
      <x:c r="K1153" s="8" t="n">
        <x:v>46303.4715625</x:v>
      </x:c>
      <x:c r="L1153" s="2" t="str">
        <x:v>R3S1</x:v>
      </x:c>
      <x:c r="M1153" s="9" t="n">
        <x:v>25.289</x:v>
      </x:c>
      <x:c r="N1153" s="9" t="n">
        <x:v>51.507</x:v>
      </x:c>
      <x:c r="O1153" s="2" t="str">
        <x:v>Valid</x:v>
      </x:c>
      <x:c r="P1153" s="2" t="str">
        <x:v>EV002298</x:v>
      </x:c>
      <x:c r="Q1153" s="8" t="n">
        <x:v>46303.50628472223</x:v>
      </x:c>
      <x:c r="R1153" s="2" t="str">
        <x:v>SCH01</x:v>
      </x:c>
      <x:c r="S1153" s="9" t="n">
        <x:v>25.285</x:v>
      </x:c>
      <x:c r="T1153" s="9" t="n">
        <x:v>51.51</x:v>
      </x:c>
      <x:c r="U1153" s="2" t="str">
        <x:v>SCHOOL_RECEIVER_01</x:v>
      </x:c>
      <x:c r="V1153" s="2" t="str">
        <x:v>School staff receipt</x:v>
      </x:c>
      <x:c r="W1153" s="2" t="str">
        <x:v>Completed transport</x:v>
      </x:c>
      <x:c r="X1153" s="2" t="str">
        <x:v>QR</x:v>
      </x:c>
      <x:c r="Y1153" s="2" t="str">
        <x:v>Online</x:v>
      </x:c>
      <x:c r="Z1153" s="2" t="str">
        <x:v>Synced</x:v>
      </x:c>
      <x:c r="AA1153" s="2"/>
      <x:c r="AB1153" s="2"/>
      <x:c r="AC1153" s="10" t="n">
        <x:f>IF(OR(K1153="",Q1153=""),"",ROUND((Q1153-K1153)*1440,2))</x:f>
        <x:v>50</x:v>
      </x:c>
    </x:row>
    <x:row r="1154" ht="21" customHeight="1">
      <x:c r="A1154" s="2" t="str">
        <x:v>LN01153</x:v>
      </x:c>
      <x:c r="B1154" s="2" t="str">
        <x:v>T20261008-2-3</x:v>
      </x:c>
      <x:c r="C1154" s="7" t="n">
        <x:v>46303</x:v>
      </x:c>
      <x:c r="D1154" s="2" t="str">
        <x:v>BUS003</x:v>
      </x:c>
      <x:c r="E1154" s="2" t="str">
        <x:v>ST103</x:v>
      </x:c>
      <x:c r="F1154" s="2" t="n">
        <x:v>2</x:v>
      </x:c>
      <x:c r="G1154" s="2" t="str">
        <x:v>Junior</x:v>
      </x:c>
      <x:c r="H1154" s="2" t="str">
        <x:v>Pickup</x:v>
      </x:c>
      <x:c r="I1154" s="2" t="str">
        <x:v>R3S2</x:v>
      </x:c>
      <x:c r="J1154" s="2" t="str">
        <x:v>EV002299</x:v>
      </x:c>
      <x:c r="K1154" s="8" t="n">
        <x:v>46303.47645833333</x:v>
      </x:c>
      <x:c r="L1154" s="2" t="str">
        <x:v>R3S2</x:v>
      </x:c>
      <x:c r="M1154" s="9" t="n">
        <x:v>25.291000000000004</x:v>
      </x:c>
      <x:c r="N1154" s="9" t="n">
        <x:v>51.51</x:v>
      </x:c>
      <x:c r="O1154" s="2" t="str">
        <x:v>Valid</x:v>
      </x:c>
      <x:c r="P1154" s="2" t="str">
        <x:v>EV002300</x:v>
      </x:c>
      <x:c r="Q1154" s="8" t="n">
        <x:v>46303.506319444445</x:v>
      </x:c>
      <x:c r="R1154" s="2" t="str">
        <x:v>SCH01</x:v>
      </x:c>
      <x:c r="S1154" s="9" t="n">
        <x:v>25.285</x:v>
      </x:c>
      <x:c r="T1154" s="9" t="n">
        <x:v>51.51</x:v>
      </x:c>
      <x:c r="U1154" s="2" t="str">
        <x:v>SCHOOL_RECEIVER_01</x:v>
      </x:c>
      <x:c r="V1154" s="2" t="str">
        <x:v>School staff receipt</x:v>
      </x:c>
      <x:c r="W1154" s="2" t="str">
        <x:v>Completed transport</x:v>
      </x:c>
      <x:c r="X1154" s="2" t="str">
        <x:v>QR</x:v>
      </x:c>
      <x:c r="Y1154" s="2" t="str">
        <x:v>Online</x:v>
      </x:c>
      <x:c r="Z1154" s="2" t="str">
        <x:v>Synced</x:v>
      </x:c>
      <x:c r="AA1154" s="2"/>
      <x:c r="AB1154" s="2"/>
      <x:c r="AC1154" s="10" t="n">
        <x:f>IF(OR(K1154="",Q1154=""),"",ROUND((Q1154-K1154)*1440,2))</x:f>
        <x:v>43</x:v>
      </x:c>
    </x:row>
    <x:row r="1155" ht="21" customHeight="1">
      <x:c r="A1155" s="2" t="str">
        <x:v>LN01154</x:v>
      </x:c>
      <x:c r="B1155" s="2" t="str">
        <x:v>T20261008-2-3</x:v>
      </x:c>
      <x:c r="C1155" s="7" t="n">
        <x:v>46303</x:v>
      </x:c>
      <x:c r="D1155" s="2" t="str">
        <x:v>BUS003</x:v>
      </x:c>
      <x:c r="E1155" s="2" t="str">
        <x:v>ST104</x:v>
      </x:c>
      <x:c r="F1155" s="2" t="n">
        <x:v>2</x:v>
      </x:c>
      <x:c r="G1155" s="2" t="str">
        <x:v>Junior</x:v>
      </x:c>
      <x:c r="H1155" s="2" t="str">
        <x:v>Pickup</x:v>
      </x:c>
      <x:c r="I1155" s="2" t="str">
        <x:v>R3S3</x:v>
      </x:c>
      <x:c r="J1155" s="2" t="str">
        <x:v>EV002301</x:v>
      </x:c>
      <x:c r="K1155" s="8" t="n">
        <x:v>46303.481354166666</x:v>
      </x:c>
      <x:c r="L1155" s="2" t="str">
        <x:v>R3S3</x:v>
      </x:c>
      <x:c r="M1155" s="9" t="n">
        <x:v>25.293000000000003</x:v>
      </x:c>
      <x:c r="N1155" s="9" t="n">
        <x:v>51.513</x:v>
      </x:c>
      <x:c r="O1155" s="2" t="str">
        <x:v>Valid</x:v>
      </x:c>
      <x:c r="P1155" s="2" t="str">
        <x:v>EV002302</x:v>
      </x:c>
      <x:c r="Q1155" s="8" t="n">
        <x:v>46303.50635416667</x:v>
      </x:c>
      <x:c r="R1155" s="2" t="str">
        <x:v>SCH01</x:v>
      </x:c>
      <x:c r="S1155" s="9" t="n">
        <x:v>25.285</x:v>
      </x:c>
      <x:c r="T1155" s="9" t="n">
        <x:v>51.51</x:v>
      </x:c>
      <x:c r="U1155" s="2" t="str">
        <x:v>SCHOOL_RECEIVER_01</x:v>
      </x:c>
      <x:c r="V1155" s="2" t="str">
        <x:v>School staff receipt</x:v>
      </x:c>
      <x:c r="W1155" s="2" t="str">
        <x:v>Completed transport</x:v>
      </x:c>
      <x:c r="X1155" s="2" t="str">
        <x:v>QR</x:v>
      </x:c>
      <x:c r="Y1155" s="2" t="str">
        <x:v>Online</x:v>
      </x:c>
      <x:c r="Z1155" s="2" t="str">
        <x:v>Synced</x:v>
      </x:c>
      <x:c r="AA1155" s="2"/>
      <x:c r="AB1155" s="2"/>
      <x:c r="AC1155" s="10" t="n">
        <x:f>IF(OR(K1155="",Q1155=""),"",ROUND((Q1155-K1155)*1440,2))</x:f>
        <x:v>36</x:v>
      </x:c>
    </x:row>
    <x:row r="1156" ht="21" customHeight="1">
      <x:c r="A1156" s="2" t="str">
        <x:v>LN01155</x:v>
      </x:c>
      <x:c r="B1156" s="2" t="str">
        <x:v>T20261008-2-3</x:v>
      </x:c>
      <x:c r="C1156" s="7" t="n">
        <x:v>46303</x:v>
      </x:c>
      <x:c r="D1156" s="2" t="str">
        <x:v>BUS003</x:v>
      </x:c>
      <x:c r="E1156" s="2" t="str">
        <x:v>ST105</x:v>
      </x:c>
      <x:c r="F1156" s="2" t="n">
        <x:v>2</x:v>
      </x:c>
      <x:c r="G1156" s="2" t="str">
        <x:v>Junior</x:v>
      </x:c>
      <x:c r="H1156" s="2" t="str">
        <x:v>Pickup</x:v>
      </x:c>
      <x:c r="I1156" s="2" t="str">
        <x:v>R3S1</x:v>
      </x:c>
      <x:c r="J1156" s="2" t="str">
        <x:v>EV002303</x:v>
      </x:c>
      <x:c r="K1156" s="8" t="n">
        <x:v>46303.47166666667</x:v>
      </x:c>
      <x:c r="L1156" s="2" t="str">
        <x:v>R3S1</x:v>
      </x:c>
      <x:c r="M1156" s="9" t="n">
        <x:v>25.289</x:v>
      </x:c>
      <x:c r="N1156" s="9" t="n">
        <x:v>51.507</x:v>
      </x:c>
      <x:c r="O1156" s="2" t="str">
        <x:v>Valid</x:v>
      </x:c>
      <x:c r="P1156" s="2" t="str">
        <x:v>EV002304</x:v>
      </x:c>
      <x:c r="Q1156" s="8" t="n">
        <x:v>46303.50638888889</x:v>
      </x:c>
      <x:c r="R1156" s="2" t="str">
        <x:v>SCH01</x:v>
      </x:c>
      <x:c r="S1156" s="9" t="n">
        <x:v>25.285</x:v>
      </x:c>
      <x:c r="T1156" s="9" t="n">
        <x:v>51.51</x:v>
      </x:c>
      <x:c r="U1156" s="2" t="str">
        <x:v>SCHOOL_RECEIVER_01</x:v>
      </x:c>
      <x:c r="V1156" s="2" t="str">
        <x:v>School staff receipt</x:v>
      </x:c>
      <x:c r="W1156" s="2" t="str">
        <x:v>Completed transport</x:v>
      </x:c>
      <x:c r="X1156" s="2" t="str">
        <x:v>QR</x:v>
      </x:c>
      <x:c r="Y1156" s="2" t="str">
        <x:v>Online</x:v>
      </x:c>
      <x:c r="Z1156" s="2" t="str">
        <x:v>Synced</x:v>
      </x:c>
      <x:c r="AA1156" s="2"/>
      <x:c r="AB1156" s="2"/>
      <x:c r="AC1156" s="10" t="n">
        <x:f>IF(OR(K1156="",Q1156=""),"",ROUND((Q1156-K1156)*1440,2))</x:f>
        <x:v>50</x:v>
      </x:c>
    </x:row>
    <x:row r="1157" ht="21" customHeight="1">
      <x:c r="A1157" s="2" t="str">
        <x:v>LN01156</x:v>
      </x:c>
      <x:c r="B1157" s="2" t="str">
        <x:v>T20261008-2-3</x:v>
      </x:c>
      <x:c r="C1157" s="7" t="n">
        <x:v>46303</x:v>
      </x:c>
      <x:c r="D1157" s="2" t="str">
        <x:v>BUS003</x:v>
      </x:c>
      <x:c r="E1157" s="2" t="str">
        <x:v>ST106</x:v>
      </x:c>
      <x:c r="F1157" s="2" t="n">
        <x:v>2</x:v>
      </x:c>
      <x:c r="G1157" s="2" t="str">
        <x:v>Junior</x:v>
      </x:c>
      <x:c r="H1157" s="2" t="str">
        <x:v>Pickup</x:v>
      </x:c>
      <x:c r="I1157" s="2" t="str">
        <x:v>R3S2</x:v>
      </x:c>
      <x:c r="J1157" s="2" t="str">
        <x:v>EV002305</x:v>
      </x:c>
      <x:c r="K1157" s="8" t="n">
        <x:v>46303.47656249999</x:v>
      </x:c>
      <x:c r="L1157" s="2" t="str">
        <x:v>R3S2</x:v>
      </x:c>
      <x:c r="M1157" s="9" t="n">
        <x:v>25.291000000000004</x:v>
      </x:c>
      <x:c r="N1157" s="9" t="n">
        <x:v>51.51</x:v>
      </x:c>
      <x:c r="O1157" s="2" t="str">
        <x:v>Valid</x:v>
      </x:c>
      <x:c r="P1157" s="2" t="str">
        <x:v>EV002306</x:v>
      </x:c>
      <x:c r="Q1157" s="8" t="n">
        <x:v>46303.506423611114</x:v>
      </x:c>
      <x:c r="R1157" s="2" t="str">
        <x:v>SCH01</x:v>
      </x:c>
      <x:c r="S1157" s="9" t="n">
        <x:v>25.285</x:v>
      </x:c>
      <x:c r="T1157" s="9" t="n">
        <x:v>51.51</x:v>
      </x:c>
      <x:c r="U1157" s="2" t="str">
        <x:v>SCHOOL_RECEIVER_01</x:v>
      </x:c>
      <x:c r="V1157" s="2" t="str">
        <x:v>School staff receipt</x:v>
      </x:c>
      <x:c r="W1157" s="2" t="str">
        <x:v>Completed transport</x:v>
      </x:c>
      <x:c r="X1157" s="2" t="str">
        <x:v>QR</x:v>
      </x:c>
      <x:c r="Y1157" s="2" t="str">
        <x:v>Online</x:v>
      </x:c>
      <x:c r="Z1157" s="2" t="str">
        <x:v>Synced</x:v>
      </x:c>
      <x:c r="AA1157" s="2"/>
      <x:c r="AB1157" s="2"/>
      <x:c r="AC1157" s="10" t="n">
        <x:f>IF(OR(K1157="",Q1157=""),"",ROUND((Q1157-K1157)*1440,2))</x:f>
        <x:v>43</x:v>
      </x:c>
    </x:row>
    <x:row r="1158" ht="21" customHeight="1">
      <x:c r="A1158" s="2" t="str">
        <x:v>LN01157</x:v>
      </x:c>
      <x:c r="B1158" s="2" t="str">
        <x:v>T20261008-2-3</x:v>
      </x:c>
      <x:c r="C1158" s="7" t="n">
        <x:v>46303</x:v>
      </x:c>
      <x:c r="D1158" s="2" t="str">
        <x:v>BUS003</x:v>
      </x:c>
      <x:c r="E1158" s="2" t="str">
        <x:v>ST107</x:v>
      </x:c>
      <x:c r="F1158" s="2" t="n">
        <x:v>2</x:v>
      </x:c>
      <x:c r="G1158" s="2" t="str">
        <x:v>Junior</x:v>
      </x:c>
      <x:c r="H1158" s="2" t="str">
        <x:v>Pickup</x:v>
      </x:c>
      <x:c r="I1158" s="2" t="str">
        <x:v>R3S3</x:v>
      </x:c>
      <x:c r="J1158" s="2" t="str">
        <x:v>EV002307</x:v>
      </x:c>
      <x:c r="K1158" s="8" t="n">
        <x:v>46303.48145833333</x:v>
      </x:c>
      <x:c r="L1158" s="2" t="str">
        <x:v>R3S3</x:v>
      </x:c>
      <x:c r="M1158" s="9" t="n">
        <x:v>25.293000000000003</x:v>
      </x:c>
      <x:c r="N1158" s="9" t="n">
        <x:v>51.513</x:v>
      </x:c>
      <x:c r="O1158" s="2" t="str">
        <x:v>Valid</x:v>
      </x:c>
      <x:c r="P1158" s="2" t="str">
        <x:v>EV002308</x:v>
      </x:c>
      <x:c r="Q1158" s="8" t="n">
        <x:v>46303.50645833334</x:v>
      </x:c>
      <x:c r="R1158" s="2" t="str">
        <x:v>SCH01</x:v>
      </x:c>
      <x:c r="S1158" s="9" t="n">
        <x:v>25.285</x:v>
      </x:c>
      <x:c r="T1158" s="9" t="n">
        <x:v>51.51</x:v>
      </x:c>
      <x:c r="U1158" s="2" t="str">
        <x:v>SCHOOL_RECEIVER_01</x:v>
      </x:c>
      <x:c r="V1158" s="2" t="str">
        <x:v>School staff receipt</x:v>
      </x:c>
      <x:c r="W1158" s="2" t="str">
        <x:v>Completed transport</x:v>
      </x:c>
      <x:c r="X1158" s="2" t="str">
        <x:v>QR</x:v>
      </x:c>
      <x:c r="Y1158" s="2" t="str">
        <x:v>Online</x:v>
      </x:c>
      <x:c r="Z1158" s="2" t="str">
        <x:v>Synced</x:v>
      </x:c>
      <x:c r="AA1158" s="2"/>
      <x:c r="AB1158" s="2"/>
      <x:c r="AC1158" s="10" t="n">
        <x:f>IF(OR(K1158="",Q1158=""),"",ROUND((Q1158-K1158)*1440,2))</x:f>
        <x:v>36</x:v>
      </x:c>
    </x:row>
    <x:row r="1159" ht="21" customHeight="1">
      <x:c r="A1159" s="2" t="str">
        <x:v>LN01158</x:v>
      </x:c>
      <x:c r="B1159" s="2" t="str">
        <x:v>T20261008-2-3</x:v>
      </x:c>
      <x:c r="C1159" s="7" t="n">
        <x:v>46303</x:v>
      </x:c>
      <x:c r="D1159" s="2" t="str">
        <x:v>BUS003</x:v>
      </x:c>
      <x:c r="E1159" s="2" t="str">
        <x:v>ST108</x:v>
      </x:c>
      <x:c r="F1159" s="2" t="n">
        <x:v>2</x:v>
      </x:c>
      <x:c r="G1159" s="2" t="str">
        <x:v>Junior</x:v>
      </x:c>
      <x:c r="H1159" s="2" t="str">
        <x:v>Pickup</x:v>
      </x:c>
      <x:c r="I1159" s="2" t="str">
        <x:v>R3S1</x:v>
      </x:c>
      <x:c r="J1159" s="2" t="str">
        <x:v>EV002309</x:v>
      </x:c>
      <x:c r="K1159" s="8" t="n">
        <x:v>46303.471770833334</x:v>
      </x:c>
      <x:c r="L1159" s="2" t="str">
        <x:v>R3S1</x:v>
      </x:c>
      <x:c r="M1159" s="9" t="n">
        <x:v>25.289</x:v>
      </x:c>
      <x:c r="N1159" s="9" t="n">
        <x:v>51.507</x:v>
      </x:c>
      <x:c r="O1159" s="2" t="str">
        <x:v>Valid</x:v>
      </x:c>
      <x:c r="P1159" s="2" t="str">
        <x:v>EV002310</x:v>
      </x:c>
      <x:c r="Q1159" s="8" t="n">
        <x:v>46303.50649305556</x:v>
      </x:c>
      <x:c r="R1159" s="2" t="str">
        <x:v>SCH01</x:v>
      </x:c>
      <x:c r="S1159" s="9" t="n">
        <x:v>25.285</x:v>
      </x:c>
      <x:c r="T1159" s="9" t="n">
        <x:v>51.51</x:v>
      </x:c>
      <x:c r="U1159" s="2" t="str">
        <x:v>SCHOOL_RECEIVER_01</x:v>
      </x:c>
      <x:c r="V1159" s="2" t="str">
        <x:v>School staff receipt</x:v>
      </x:c>
      <x:c r="W1159" s="2" t="str">
        <x:v>Completed transport</x:v>
      </x:c>
      <x:c r="X1159" s="2" t="str">
        <x:v>QR</x:v>
      </x:c>
      <x:c r="Y1159" s="2" t="str">
        <x:v>Online</x:v>
      </x:c>
      <x:c r="Z1159" s="2" t="str">
        <x:v>Synced</x:v>
      </x:c>
      <x:c r="AA1159" s="2"/>
      <x:c r="AB1159" s="2"/>
      <x:c r="AC1159" s="10" t="n">
        <x:f>IF(OR(K1159="",Q1159=""),"",ROUND((Q1159-K1159)*1440,2))</x:f>
        <x:v>50</x:v>
      </x:c>
    </x:row>
    <x:row r="1160" ht="21" customHeight="1">
      <x:c r="A1160" s="2" t="str">
        <x:v>LN01159</x:v>
      </x:c>
      <x:c r="B1160" s="2" t="str">
        <x:v>T20261008-2-3</x:v>
      </x:c>
      <x:c r="C1160" s="7" t="n">
        <x:v>46303</x:v>
      </x:c>
      <x:c r="D1160" s="2" t="str">
        <x:v>BUS003</x:v>
      </x:c>
      <x:c r="E1160" s="2" t="str">
        <x:v>ST109</x:v>
      </x:c>
      <x:c r="F1160" s="2" t="n">
        <x:v>2</x:v>
      </x:c>
      <x:c r="G1160" s="2" t="str">
        <x:v>Junior</x:v>
      </x:c>
      <x:c r="H1160" s="2" t="str">
        <x:v>Pickup</x:v>
      </x:c>
      <x:c r="I1160" s="2" t="str">
        <x:v>R3S2</x:v>
      </x:c>
      <x:c r="J1160" s="2" t="str">
        <x:v>EV002311</x:v>
      </x:c>
      <x:c r="K1160" s="8" t="n">
        <x:v>46303.47666666666</x:v>
      </x:c>
      <x:c r="L1160" s="2" t="str">
        <x:v>R3S2</x:v>
      </x:c>
      <x:c r="M1160" s="9" t="n">
        <x:v>25.291000000000004</x:v>
      </x:c>
      <x:c r="N1160" s="9" t="n">
        <x:v>51.51</x:v>
      </x:c>
      <x:c r="O1160" s="2" t="str">
        <x:v>Valid</x:v>
      </x:c>
      <x:c r="P1160" s="2" t="str">
        <x:v>EV002312</x:v>
      </x:c>
      <x:c r="Q1160" s="8" t="n">
        <x:v>46303.50652777778</x:v>
      </x:c>
      <x:c r="R1160" s="2" t="str">
        <x:v>SCH01</x:v>
      </x:c>
      <x:c r="S1160" s="9" t="n">
        <x:v>25.285</x:v>
      </x:c>
      <x:c r="T1160" s="9" t="n">
        <x:v>51.51</x:v>
      </x:c>
      <x:c r="U1160" s="2" t="str">
        <x:v>SCHOOL_RECEIVER_01</x:v>
      </x:c>
      <x:c r="V1160" s="2" t="str">
        <x:v>School staff receipt</x:v>
      </x:c>
      <x:c r="W1160" s="2" t="str">
        <x:v>Completed transport</x:v>
      </x:c>
      <x:c r="X1160" s="2" t="str">
        <x:v>QR</x:v>
      </x:c>
      <x:c r="Y1160" s="2" t="str">
        <x:v>Online</x:v>
      </x:c>
      <x:c r="Z1160" s="2" t="str">
        <x:v>Synced</x:v>
      </x:c>
      <x:c r="AA1160" s="2"/>
      <x:c r="AB1160" s="2"/>
      <x:c r="AC1160" s="10" t="n">
        <x:f>IF(OR(K1160="",Q1160=""),"",ROUND((Q1160-K1160)*1440,2))</x:f>
        <x:v>43</x:v>
      </x:c>
    </x:row>
    <x:row r="1161" ht="21" customHeight="1">
      <x:c r="A1161" s="2" t="str">
        <x:v>LN01160</x:v>
      </x:c>
      <x:c r="B1161" s="2" t="str">
        <x:v>T20261008-2-3</x:v>
      </x:c>
      <x:c r="C1161" s="7" t="n">
        <x:v>46303</x:v>
      </x:c>
      <x:c r="D1161" s="2" t="str">
        <x:v>BUS003</x:v>
      </x:c>
      <x:c r="E1161" s="2" t="str">
        <x:v>ST110</x:v>
      </x:c>
      <x:c r="F1161" s="2" t="n">
        <x:v>2</x:v>
      </x:c>
      <x:c r="G1161" s="2" t="str">
        <x:v>Junior</x:v>
      </x:c>
      <x:c r="H1161" s="2" t="str">
        <x:v>Pickup</x:v>
      </x:c>
      <x:c r="I1161" s="2" t="str">
        <x:v>R3S3</x:v>
      </x:c>
      <x:c r="J1161" s="2" t="str">
        <x:v>EV002313</x:v>
      </x:c>
      <x:c r="K1161" s="8" t="n">
        <x:v>46303.4815625</x:v>
      </x:c>
      <x:c r="L1161" s="2" t="str">
        <x:v>R3S3</x:v>
      </x:c>
      <x:c r="M1161" s="9" t="n">
        <x:v>25.293000000000003</x:v>
      </x:c>
      <x:c r="N1161" s="9" t="n">
        <x:v>51.513</x:v>
      </x:c>
      <x:c r="O1161" s="2" t="str">
        <x:v>Valid</x:v>
      </x:c>
      <x:c r="P1161" s="2" t="str">
        <x:v>EV002314</x:v>
      </x:c>
      <x:c r="Q1161" s="8" t="n">
        <x:v>46303.506562500006</x:v>
      </x:c>
      <x:c r="R1161" s="2" t="str">
        <x:v>SCH01</x:v>
      </x:c>
      <x:c r="S1161" s="9" t="n">
        <x:v>25.285</x:v>
      </x:c>
      <x:c r="T1161" s="9" t="n">
        <x:v>51.51</x:v>
      </x:c>
      <x:c r="U1161" s="2" t="str">
        <x:v>SCHOOL_RECEIVER_01</x:v>
      </x:c>
      <x:c r="V1161" s="2" t="str">
        <x:v>School staff receipt</x:v>
      </x:c>
      <x:c r="W1161" s="2" t="str">
        <x:v>Completed transport</x:v>
      </x:c>
      <x:c r="X1161" s="2" t="str">
        <x:v>QR</x:v>
      </x:c>
      <x:c r="Y1161" s="2" t="str">
        <x:v>Online</x:v>
      </x:c>
      <x:c r="Z1161" s="2" t="str">
        <x:v>Synced</x:v>
      </x:c>
      <x:c r="AA1161" s="2"/>
      <x:c r="AB1161" s="2"/>
      <x:c r="AC1161" s="10" t="n">
        <x:f>IF(OR(K1161="",Q1161=""),"",ROUND((Q1161-K1161)*1440,2))</x:f>
        <x:v>36</x:v>
      </x:c>
    </x:row>
    <x:row r="1162" ht="21" customHeight="1">
      <x:c r="A1162" s="2" t="str">
        <x:v>LN01161</x:v>
      </x:c>
      <x:c r="B1162" s="2" t="str">
        <x:v>T20261008-2-3</x:v>
      </x:c>
      <x:c r="C1162" s="7" t="n">
        <x:v>46303</x:v>
      </x:c>
      <x:c r="D1162" s="2" t="str">
        <x:v>BUS003</x:v>
      </x:c>
      <x:c r="E1162" s="2" t="str">
        <x:v>ST111</x:v>
      </x:c>
      <x:c r="F1162" s="2" t="n">
        <x:v>2</x:v>
      </x:c>
      <x:c r="G1162" s="2" t="str">
        <x:v>Senior</x:v>
      </x:c>
      <x:c r="H1162" s="2" t="str">
        <x:v>Pickup</x:v>
      </x:c>
      <x:c r="I1162" s="2" t="str">
        <x:v>R3S1</x:v>
      </x:c>
      <x:c r="J1162" s="2" t="str">
        <x:v>EV002315</x:v>
      </x:c>
      <x:c r="K1162" s="8" t="n">
        <x:v>46303.47152777778</x:v>
      </x:c>
      <x:c r="L1162" s="2" t="str">
        <x:v>R3S1</x:v>
      </x:c>
      <x:c r="M1162" s="9" t="n">
        <x:v>25.289</x:v>
      </x:c>
      <x:c r="N1162" s="9" t="n">
        <x:v>51.507</x:v>
      </x:c>
      <x:c r="O1162" s="2" t="str">
        <x:v>Valid</x:v>
      </x:c>
      <x:c r="P1162" s="2" t="str">
        <x:v>EV002316</x:v>
      </x:c>
      <x:c r="Q1162" s="8" t="n">
        <x:v>46303.50659722223</x:v>
      </x:c>
      <x:c r="R1162" s="2" t="str">
        <x:v>SCH01</x:v>
      </x:c>
      <x:c r="S1162" s="9" t="n">
        <x:v>25.285</x:v>
      </x:c>
      <x:c r="T1162" s="9" t="n">
        <x:v>51.51</x:v>
      </x:c>
      <x:c r="U1162" s="2" t="str">
        <x:v>SCHOOL_RECEIVER_01</x:v>
      </x:c>
      <x:c r="V1162" s="2" t="str">
        <x:v>School staff receipt</x:v>
      </x:c>
      <x:c r="W1162" s="2" t="str">
        <x:v>Completed transport</x:v>
      </x:c>
      <x:c r="X1162" s="2" t="str">
        <x:v>QR</x:v>
      </x:c>
      <x:c r="Y1162" s="2" t="str">
        <x:v>Online</x:v>
      </x:c>
      <x:c r="Z1162" s="2" t="str">
        <x:v>Synced</x:v>
      </x:c>
      <x:c r="AA1162" s="2"/>
      <x:c r="AB1162" s="2"/>
      <x:c r="AC1162" s="10" t="n">
        <x:f>IF(OR(K1162="",Q1162=""),"",ROUND((Q1162-K1162)*1440,2))</x:f>
        <x:v>50.5</x:v>
      </x:c>
    </x:row>
    <x:row r="1163" ht="21" customHeight="1">
      <x:c r="A1163" s="2" t="str">
        <x:v>LN01162</x:v>
      </x:c>
      <x:c r="B1163" s="2" t="str">
        <x:v>T20261008-2-3</x:v>
      </x:c>
      <x:c r="C1163" s="7" t="n">
        <x:v>46303</x:v>
      </x:c>
      <x:c r="D1163" s="2" t="str">
        <x:v>BUS003</x:v>
      </x:c>
      <x:c r="E1163" s="2" t="str">
        <x:v>ST112</x:v>
      </x:c>
      <x:c r="F1163" s="2" t="n">
        <x:v>2</x:v>
      </x:c>
      <x:c r="G1163" s="2" t="str">
        <x:v>Senior</x:v>
      </x:c>
      <x:c r="H1163" s="2" t="str">
        <x:v>Pickup</x:v>
      </x:c>
      <x:c r="I1163" s="2" t="str">
        <x:v>R3S2</x:v>
      </x:c>
      <x:c r="J1163" s="2" t="str">
        <x:v>EV002317</x:v>
      </x:c>
      <x:c r="K1163" s="8" t="n">
        <x:v>46303.47642361111</x:v>
      </x:c>
      <x:c r="L1163" s="2" t="str">
        <x:v>R3S2</x:v>
      </x:c>
      <x:c r="M1163" s="9" t="n">
        <x:v>25.291000000000004</x:v>
      </x:c>
      <x:c r="N1163" s="9" t="n">
        <x:v>51.51</x:v>
      </x:c>
      <x:c r="O1163" s="2" t="str">
        <x:v>Valid</x:v>
      </x:c>
      <x:c r="P1163" s="2" t="str">
        <x:v>EV002318</x:v>
      </x:c>
      <x:c r="Q1163" s="8" t="n">
        <x:v>46303.506631944445</x:v>
      </x:c>
      <x:c r="R1163" s="2" t="str">
        <x:v>SCH01</x:v>
      </x:c>
      <x:c r="S1163" s="9" t="n">
        <x:v>25.285</x:v>
      </x:c>
      <x:c r="T1163" s="9" t="n">
        <x:v>51.51</x:v>
      </x:c>
      <x:c r="U1163" s="2" t="str">
        <x:v>SCHOOL_RECEIVER_01</x:v>
      </x:c>
      <x:c r="V1163" s="2" t="str">
        <x:v>School staff receipt</x:v>
      </x:c>
      <x:c r="W1163" s="2" t="str">
        <x:v>Completed transport</x:v>
      </x:c>
      <x:c r="X1163" s="2" t="str">
        <x:v>QR</x:v>
      </x:c>
      <x:c r="Y1163" s="2" t="str">
        <x:v>Online</x:v>
      </x:c>
      <x:c r="Z1163" s="2" t="str">
        <x:v>Synced</x:v>
      </x:c>
      <x:c r="AA1163" s="2"/>
      <x:c r="AB1163" s="2"/>
      <x:c r="AC1163" s="10" t="n">
        <x:f>IF(OR(K1163="",Q1163=""),"",ROUND((Q1163-K1163)*1440,2))</x:f>
        <x:v>43.5</x:v>
      </x:c>
    </x:row>
    <x:row r="1164" ht="21" customHeight="1">
      <x:c r="A1164" s="2" t="str">
        <x:v>LN01163</x:v>
      </x:c>
      <x:c r="B1164" s="2" t="str">
        <x:v>T20261008-2-3</x:v>
      </x:c>
      <x:c r="C1164" s="7" t="n">
        <x:v>46303</x:v>
      </x:c>
      <x:c r="D1164" s="2" t="str">
        <x:v>BUS003</x:v>
      </x:c>
      <x:c r="E1164" s="2" t="str">
        <x:v>ST113</x:v>
      </x:c>
      <x:c r="F1164" s="2" t="n">
        <x:v>2</x:v>
      </x:c>
      <x:c r="G1164" s="2" t="str">
        <x:v>Senior</x:v>
      </x:c>
      <x:c r="H1164" s="2" t="str">
        <x:v>Pickup</x:v>
      </x:c>
      <x:c r="I1164" s="2" t="str">
        <x:v>R3S3</x:v>
      </x:c>
      <x:c r="J1164" s="2" t="str">
        <x:v>EV002319</x:v>
      </x:c>
      <x:c r="K1164" s="8" t="n">
        <x:v>46303.48131944444</x:v>
      </x:c>
      <x:c r="L1164" s="2" t="str">
        <x:v>R3S3</x:v>
      </x:c>
      <x:c r="M1164" s="9" t="n">
        <x:v>25.293000000000003</x:v>
      </x:c>
      <x:c r="N1164" s="9" t="n">
        <x:v>51.513</x:v>
      </x:c>
      <x:c r="O1164" s="2" t="str">
        <x:v>Valid</x:v>
      </x:c>
      <x:c r="P1164" s="2" t="str">
        <x:v>EV002320</x:v>
      </x:c>
      <x:c r="Q1164" s="8" t="n">
        <x:v>46303.50666666667</x:v>
      </x:c>
      <x:c r="R1164" s="2" t="str">
        <x:v>SCH01</x:v>
      </x:c>
      <x:c r="S1164" s="9" t="n">
        <x:v>25.285</x:v>
      </x:c>
      <x:c r="T1164" s="9" t="n">
        <x:v>51.51</x:v>
      </x:c>
      <x:c r="U1164" s="2" t="str">
        <x:v>SCHOOL_RECEIVER_01</x:v>
      </x:c>
      <x:c r="V1164" s="2" t="str">
        <x:v>School staff receipt</x:v>
      </x:c>
      <x:c r="W1164" s="2" t="str">
        <x:v>Completed transport</x:v>
      </x:c>
      <x:c r="X1164" s="2" t="str">
        <x:v>QR</x:v>
      </x:c>
      <x:c r="Y1164" s="2" t="str">
        <x:v>Online</x:v>
      </x:c>
      <x:c r="Z1164" s="2" t="str">
        <x:v>Synced</x:v>
      </x:c>
      <x:c r="AA1164" s="2"/>
      <x:c r="AB1164" s="2"/>
      <x:c r="AC1164" s="10" t="n">
        <x:f>IF(OR(K1164="",Q1164=""),"",ROUND((Q1164-K1164)*1440,2))</x:f>
        <x:v>36.5</x:v>
      </x:c>
    </x:row>
    <x:row r="1165" ht="21" customHeight="1">
      <x:c r="A1165" s="2" t="str">
        <x:v>LN01164</x:v>
      </x:c>
      <x:c r="B1165" s="2" t="str">
        <x:v>T20261008-2-3</x:v>
      </x:c>
      <x:c r="C1165" s="7" t="n">
        <x:v>46303</x:v>
      </x:c>
      <x:c r="D1165" s="2" t="str">
        <x:v>BUS003</x:v>
      </x:c>
      <x:c r="E1165" s="2" t="str">
        <x:v>ST114</x:v>
      </x:c>
      <x:c r="F1165" s="2" t="n">
        <x:v>2</x:v>
      </x:c>
      <x:c r="G1165" s="2" t="str">
        <x:v>Senior</x:v>
      </x:c>
      <x:c r="H1165" s="2" t="str">
        <x:v>Pickup</x:v>
      </x:c>
      <x:c r="I1165" s="2" t="str">
        <x:v>R3S1</x:v>
      </x:c>
      <x:c r="J1165" s="2" t="str">
        <x:v>EV002321</x:v>
      </x:c>
      <x:c r="K1165" s="8" t="n">
        <x:v>46303.47163194445</x:v>
      </x:c>
      <x:c r="L1165" s="2" t="str">
        <x:v>R3S1</x:v>
      </x:c>
      <x:c r="M1165" s="9" t="n">
        <x:v>25.289</x:v>
      </x:c>
      <x:c r="N1165" s="9" t="n">
        <x:v>51.507</x:v>
      </x:c>
      <x:c r="O1165" s="2" t="str">
        <x:v>Valid</x:v>
      </x:c>
      <x:c r="P1165" s="2" t="str">
        <x:v>EV002322</x:v>
      </x:c>
      <x:c r="Q1165" s="8" t="n">
        <x:v>46303.50670138889</x:v>
      </x:c>
      <x:c r="R1165" s="2" t="str">
        <x:v>SCH01</x:v>
      </x:c>
      <x:c r="S1165" s="9" t="n">
        <x:v>25.285</x:v>
      </x:c>
      <x:c r="T1165" s="9" t="n">
        <x:v>51.51</x:v>
      </x:c>
      <x:c r="U1165" s="2" t="str">
        <x:v>SCHOOL_RECEIVER_01</x:v>
      </x:c>
      <x:c r="V1165" s="2" t="str">
        <x:v>School staff receipt</x:v>
      </x:c>
      <x:c r="W1165" s="2" t="str">
        <x:v>Completed transport</x:v>
      </x:c>
      <x:c r="X1165" s="2" t="str">
        <x:v>QR</x:v>
      </x:c>
      <x:c r="Y1165" s="2" t="str">
        <x:v>Online</x:v>
      </x:c>
      <x:c r="Z1165" s="2" t="str">
        <x:v>Synced</x:v>
      </x:c>
      <x:c r="AA1165" s="2"/>
      <x:c r="AB1165" s="2"/>
      <x:c r="AC1165" s="10" t="n">
        <x:f>IF(OR(K1165="",Q1165=""),"",ROUND((Q1165-K1165)*1440,2))</x:f>
        <x:v>50.5</x:v>
      </x:c>
    </x:row>
    <x:row r="1166" ht="21" customHeight="1">
      <x:c r="A1166" s="2" t="str">
        <x:v>LN01165</x:v>
      </x:c>
      <x:c r="B1166" s="2" t="str">
        <x:v>T20261008-2-3</x:v>
      </x:c>
      <x:c r="C1166" s="7" t="n">
        <x:v>46303</x:v>
      </x:c>
      <x:c r="D1166" s="2" t="str">
        <x:v>BUS003</x:v>
      </x:c>
      <x:c r="E1166" s="2" t="str">
        <x:v>ST115</x:v>
      </x:c>
      <x:c r="F1166" s="2" t="n">
        <x:v>2</x:v>
      </x:c>
      <x:c r="G1166" s="2" t="str">
        <x:v>Senior</x:v>
      </x:c>
      <x:c r="H1166" s="2" t="str">
        <x:v>Pickup</x:v>
      </x:c>
      <x:c r="I1166" s="2" t="str">
        <x:v>R3S2</x:v>
      </x:c>
      <x:c r="J1166" s="2" t="str">
        <x:v>EV002323</x:v>
      </x:c>
      <x:c r="K1166" s="8" t="n">
        <x:v>46303.47652777778</x:v>
      </x:c>
      <x:c r="L1166" s="2" t="str">
        <x:v>R3S2</x:v>
      </x:c>
      <x:c r="M1166" s="9" t="n">
        <x:v>25.291000000000004</x:v>
      </x:c>
      <x:c r="N1166" s="9" t="n">
        <x:v>51.51</x:v>
      </x:c>
      <x:c r="O1166" s="2" t="str">
        <x:v>Valid</x:v>
      </x:c>
      <x:c r="P1166" s="2" t="str">
        <x:v>EV002324</x:v>
      </x:c>
      <x:c r="Q1166" s="8" t="n">
        <x:v>46303.506736111114</x:v>
      </x:c>
      <x:c r="R1166" s="2" t="str">
        <x:v>SCH01</x:v>
      </x:c>
      <x:c r="S1166" s="9" t="n">
        <x:v>25.285</x:v>
      </x:c>
      <x:c r="T1166" s="9" t="n">
        <x:v>51.51</x:v>
      </x:c>
      <x:c r="U1166" s="2" t="str">
        <x:v>SCHOOL_RECEIVER_01</x:v>
      </x:c>
      <x:c r="V1166" s="2" t="str">
        <x:v>School staff receipt</x:v>
      </x:c>
      <x:c r="W1166" s="2" t="str">
        <x:v>Completed transport</x:v>
      </x:c>
      <x:c r="X1166" s="2" t="str">
        <x:v>QR</x:v>
      </x:c>
      <x:c r="Y1166" s="2" t="str">
        <x:v>Online</x:v>
      </x:c>
      <x:c r="Z1166" s="2" t="str">
        <x:v>Synced</x:v>
      </x:c>
      <x:c r="AA1166" s="2"/>
      <x:c r="AB1166" s="2"/>
      <x:c r="AC1166" s="10" t="n">
        <x:f>IF(OR(K1166="",Q1166=""),"",ROUND((Q1166-K1166)*1440,2))</x:f>
        <x:v>43.5</x:v>
      </x:c>
    </x:row>
    <x:row r="1167" ht="21" customHeight="1">
      <x:c r="A1167" s="2" t="str">
        <x:v>LN01166</x:v>
      </x:c>
      <x:c r="B1167" s="2" t="str">
        <x:v>T20261008-2-3</x:v>
      </x:c>
      <x:c r="C1167" s="7" t="n">
        <x:v>46303</x:v>
      </x:c>
      <x:c r="D1167" s="2" t="str">
        <x:v>BUS003</x:v>
      </x:c>
      <x:c r="E1167" s="2" t="str">
        <x:v>ST116</x:v>
      </x:c>
      <x:c r="F1167" s="2" t="n">
        <x:v>2</x:v>
      </x:c>
      <x:c r="G1167" s="2" t="str">
        <x:v>Senior</x:v>
      </x:c>
      <x:c r="H1167" s="2" t="str">
        <x:v>Pickup</x:v>
      </x:c>
      <x:c r="I1167" s="2" t="str">
        <x:v>R3S3</x:v>
      </x:c>
      <x:c r="J1167" s="2" t="str">
        <x:v>EV002325</x:v>
      </x:c>
      <x:c r="K1167" s="8" t="n">
        <x:v>46303.481423611105</x:v>
      </x:c>
      <x:c r="L1167" s="2" t="str">
        <x:v>R3S3</x:v>
      </x:c>
      <x:c r="M1167" s="9" t="n">
        <x:v>25.293000000000003</x:v>
      </x:c>
      <x:c r="N1167" s="9" t="n">
        <x:v>51.513</x:v>
      </x:c>
      <x:c r="O1167" s="2" t="str">
        <x:v>Valid</x:v>
      </x:c>
      <x:c r="P1167" s="2" t="str">
        <x:v>EV002326</x:v>
      </x:c>
      <x:c r="Q1167" s="8" t="n">
        <x:v>46303.50677083334</x:v>
      </x:c>
      <x:c r="R1167" s="2" t="str">
        <x:v>SCH01</x:v>
      </x:c>
      <x:c r="S1167" s="9" t="n">
        <x:v>25.285</x:v>
      </x:c>
      <x:c r="T1167" s="9" t="n">
        <x:v>51.51</x:v>
      </x:c>
      <x:c r="U1167" s="2" t="str">
        <x:v>SCHOOL_RECEIVER_01</x:v>
      </x:c>
      <x:c r="V1167" s="2" t="str">
        <x:v>School staff receipt</x:v>
      </x:c>
      <x:c r="W1167" s="2" t="str">
        <x:v>Completed transport</x:v>
      </x:c>
      <x:c r="X1167" s="2" t="str">
        <x:v>QR</x:v>
      </x:c>
      <x:c r="Y1167" s="2" t="str">
        <x:v>Online</x:v>
      </x:c>
      <x:c r="Z1167" s="2" t="str">
        <x:v>Synced</x:v>
      </x:c>
      <x:c r="AA1167" s="2"/>
      <x:c r="AB1167" s="2"/>
      <x:c r="AC1167" s="10" t="n">
        <x:f>IF(OR(K1167="",Q1167=""),"",ROUND((Q1167-K1167)*1440,2))</x:f>
        <x:v>36.5</x:v>
      </x:c>
    </x:row>
    <x:row r="1168" ht="21" customHeight="1">
      <x:c r="A1168" s="2" t="str">
        <x:v>LN01167</x:v>
      </x:c>
      <x:c r="B1168" s="2" t="str">
        <x:v>T20261008-2-3</x:v>
      </x:c>
      <x:c r="C1168" s="7" t="n">
        <x:v>46303</x:v>
      </x:c>
      <x:c r="D1168" s="2" t="str">
        <x:v>BUS003</x:v>
      </x:c>
      <x:c r="E1168" s="2" t="str">
        <x:v>ST117</x:v>
      </x:c>
      <x:c r="F1168" s="2" t="n">
        <x:v>2</x:v>
      </x:c>
      <x:c r="G1168" s="2" t="str">
        <x:v>Senior</x:v>
      </x:c>
      <x:c r="H1168" s="2" t="str">
        <x:v>Pickup</x:v>
      </x:c>
      <x:c r="I1168" s="2" t="str">
        <x:v>R3S1</x:v>
      </x:c>
      <x:c r="J1168" s="2" t="str">
        <x:v>EV002327</x:v>
      </x:c>
      <x:c r="K1168" s="8" t="n">
        <x:v>46303.47173611111</x:v>
      </x:c>
      <x:c r="L1168" s="2" t="str">
        <x:v>R3S1</x:v>
      </x:c>
      <x:c r="M1168" s="9" t="n">
        <x:v>25.289</x:v>
      </x:c>
      <x:c r="N1168" s="9" t="n">
        <x:v>51.507</x:v>
      </x:c>
      <x:c r="O1168" s="2" t="str">
        <x:v>Valid</x:v>
      </x:c>
      <x:c r="P1168" s="2" t="str">
        <x:v>EV002328</x:v>
      </x:c>
      <x:c r="Q1168" s="8" t="n">
        <x:v>46303.50680555556</x:v>
      </x:c>
      <x:c r="R1168" s="2" t="str">
        <x:v>SCH01</x:v>
      </x:c>
      <x:c r="S1168" s="9" t="n">
        <x:v>25.285</x:v>
      </x:c>
      <x:c r="T1168" s="9" t="n">
        <x:v>51.51</x:v>
      </x:c>
      <x:c r="U1168" s="2" t="str">
        <x:v>SCHOOL_RECEIVER_01</x:v>
      </x:c>
      <x:c r="V1168" s="2" t="str">
        <x:v>School staff receipt</x:v>
      </x:c>
      <x:c r="W1168" s="2" t="str">
        <x:v>Completed transport</x:v>
      </x:c>
      <x:c r="X1168" s="2" t="str">
        <x:v>QR</x:v>
      </x:c>
      <x:c r="Y1168" s="2" t="str">
        <x:v>Online</x:v>
      </x:c>
      <x:c r="Z1168" s="2" t="str">
        <x:v>Synced</x:v>
      </x:c>
      <x:c r="AA1168" s="2"/>
      <x:c r="AB1168" s="2"/>
      <x:c r="AC1168" s="10" t="n">
        <x:f>IF(OR(K1168="",Q1168=""),"",ROUND((Q1168-K1168)*1440,2))</x:f>
        <x:v>50.5</x:v>
      </x:c>
    </x:row>
    <x:row r="1169" ht="21" customHeight="1">
      <x:c r="A1169" s="2" t="str">
        <x:v>LN01168</x:v>
      </x:c>
      <x:c r="B1169" s="2" t="str">
        <x:v>T20261008-2-3</x:v>
      </x:c>
      <x:c r="C1169" s="7" t="n">
        <x:v>46303</x:v>
      </x:c>
      <x:c r="D1169" s="2" t="str">
        <x:v>BUS003</x:v>
      </x:c>
      <x:c r="E1169" s="2" t="str">
        <x:v>ST118</x:v>
      </x:c>
      <x:c r="F1169" s="2" t="n">
        <x:v>2</x:v>
      </x:c>
      <x:c r="G1169" s="2" t="str">
        <x:v>Senior</x:v>
      </x:c>
      <x:c r="H1169" s="2" t="str">
        <x:v>Pickup</x:v>
      </x:c>
      <x:c r="I1169" s="2" t="str">
        <x:v>R3S2</x:v>
      </x:c>
      <x:c r="J1169" s="2" t="str">
        <x:v>EV002329</x:v>
      </x:c>
      <x:c r="K1169" s="8" t="n">
        <x:v>46303.47663194444</x:v>
      </x:c>
      <x:c r="L1169" s="2" t="str">
        <x:v>R3S2</x:v>
      </x:c>
      <x:c r="M1169" s="9" t="n">
        <x:v>25.291000000000004</x:v>
      </x:c>
      <x:c r="N1169" s="9" t="n">
        <x:v>51.51</x:v>
      </x:c>
      <x:c r="O1169" s="2" t="str">
        <x:v>Valid</x:v>
      </x:c>
      <x:c r="P1169" s="2" t="str">
        <x:v>EV002330</x:v>
      </x:c>
      <x:c r="Q1169" s="8" t="n">
        <x:v>46303.50684027778</x:v>
      </x:c>
      <x:c r="R1169" s="2" t="str">
        <x:v>SCH01</x:v>
      </x:c>
      <x:c r="S1169" s="9" t="n">
        <x:v>25.285</x:v>
      </x:c>
      <x:c r="T1169" s="9" t="n">
        <x:v>51.51</x:v>
      </x:c>
      <x:c r="U1169" s="2" t="str">
        <x:v>SCHOOL_RECEIVER_01</x:v>
      </x:c>
      <x:c r="V1169" s="2" t="str">
        <x:v>School staff receipt</x:v>
      </x:c>
      <x:c r="W1169" s="2" t="str">
        <x:v>Completed transport</x:v>
      </x:c>
      <x:c r="X1169" s="2" t="str">
        <x:v>QR</x:v>
      </x:c>
      <x:c r="Y1169" s="2" t="str">
        <x:v>Online</x:v>
      </x:c>
      <x:c r="Z1169" s="2" t="str">
        <x:v>Synced</x:v>
      </x:c>
      <x:c r="AA1169" s="2"/>
      <x:c r="AB1169" s="2"/>
      <x:c r="AC1169" s="10" t="n">
        <x:f>IF(OR(K1169="",Q1169=""),"",ROUND((Q1169-K1169)*1440,2))</x:f>
        <x:v>43.5</x:v>
      </x:c>
    </x:row>
    <x:row r="1170" ht="21" customHeight="1">
      <x:c r="A1170" s="2" t="str">
        <x:v>LN01169</x:v>
      </x:c>
      <x:c r="B1170" s="2" t="str">
        <x:v>T20261008-2-3</x:v>
      </x:c>
      <x:c r="C1170" s="7" t="n">
        <x:v>46303</x:v>
      </x:c>
      <x:c r="D1170" s="2" t="str">
        <x:v>BUS003</x:v>
      </x:c>
      <x:c r="E1170" s="2" t="str">
        <x:v>ST119</x:v>
      </x:c>
      <x:c r="F1170" s="2" t="n">
        <x:v>2</x:v>
      </x:c>
      <x:c r="G1170" s="2" t="str">
        <x:v>Senior</x:v>
      </x:c>
      <x:c r="H1170" s="2" t="str">
        <x:v>Pickup</x:v>
      </x:c>
      <x:c r="I1170" s="2" t="str">
        <x:v>R3S3</x:v>
      </x:c>
      <x:c r="J1170" s="2" t="str">
        <x:v>EV002331</x:v>
      </x:c>
      <x:c r="K1170" s="8" t="n">
        <x:v>46303.481527777774</x:v>
      </x:c>
      <x:c r="L1170" s="2" t="str">
        <x:v>R3S3</x:v>
      </x:c>
      <x:c r="M1170" s="9" t="n">
        <x:v>25.293000000000003</x:v>
      </x:c>
      <x:c r="N1170" s="9" t="n">
        <x:v>51.513</x:v>
      </x:c>
      <x:c r="O1170" s="2" t="str">
        <x:v>Valid</x:v>
      </x:c>
      <x:c r="P1170" s="2" t="str">
        <x:v>EV002332</x:v>
      </x:c>
      <x:c r="Q1170" s="8" t="n">
        <x:v>46303.50687500001</x:v>
      </x:c>
      <x:c r="R1170" s="2" t="str">
        <x:v>SCH01</x:v>
      </x:c>
      <x:c r="S1170" s="9" t="n">
        <x:v>25.285</x:v>
      </x:c>
      <x:c r="T1170" s="9" t="n">
        <x:v>51.51</x:v>
      </x:c>
      <x:c r="U1170" s="2" t="str">
        <x:v>SCHOOL_RECEIVER_01</x:v>
      </x:c>
      <x:c r="V1170" s="2" t="str">
        <x:v>School staff receipt</x:v>
      </x:c>
      <x:c r="W1170" s="2" t="str">
        <x:v>Completed transport</x:v>
      </x:c>
      <x:c r="X1170" s="2" t="str">
        <x:v>QR</x:v>
      </x:c>
      <x:c r="Y1170" s="2" t="str">
        <x:v>Online</x:v>
      </x:c>
      <x:c r="Z1170" s="2" t="str">
        <x:v>Synced</x:v>
      </x:c>
      <x:c r="AA1170" s="2"/>
      <x:c r="AB1170" s="2"/>
      <x:c r="AC1170" s="10" t="n">
        <x:f>IF(OR(K1170="",Q1170=""),"",ROUND((Q1170-K1170)*1440,2))</x:f>
        <x:v>36.5</x:v>
      </x:c>
    </x:row>
    <x:row r="1171" ht="21" customHeight="1">
      <x:c r="A1171" s="2" t="str">
        <x:v>LN01170</x:v>
      </x:c>
      <x:c r="B1171" s="2" t="str">
        <x:v>T20261008-2-3</x:v>
      </x:c>
      <x:c r="C1171" s="7" t="n">
        <x:v>46303</x:v>
      </x:c>
      <x:c r="D1171" s="2" t="str">
        <x:v>BUS003</x:v>
      </x:c>
      <x:c r="E1171" s="2" t="str">
        <x:v>ST120</x:v>
      </x:c>
      <x:c r="F1171" s="2" t="n">
        <x:v>2</x:v>
      </x:c>
      <x:c r="G1171" s="2" t="str">
        <x:v>Senior</x:v>
      </x:c>
      <x:c r="H1171" s="2" t="str">
        <x:v>Pickup</x:v>
      </x:c>
      <x:c r="I1171" s="2" t="str">
        <x:v>R3S1</x:v>
      </x:c>
      <x:c r="J1171" s="2" t="str">
        <x:v>EV002333</x:v>
      </x:c>
      <x:c r="K1171" s="8" t="n">
        <x:v>46303.47184027778</x:v>
      </x:c>
      <x:c r="L1171" s="2" t="str">
        <x:v>R3S1</x:v>
      </x:c>
      <x:c r="M1171" s="9" t="n">
        <x:v>25.289</x:v>
      </x:c>
      <x:c r="N1171" s="9" t="n">
        <x:v>51.507</x:v>
      </x:c>
      <x:c r="O1171" s="2" t="str">
        <x:v>Valid</x:v>
      </x:c>
      <x:c r="P1171" s="2" t="str">
        <x:v>EV002334</x:v>
      </x:c>
      <x:c r="Q1171" s="8" t="n">
        <x:v>46303.50690972222</x:v>
      </x:c>
      <x:c r="R1171" s="2" t="str">
        <x:v>SCH01</x:v>
      </x:c>
      <x:c r="S1171" s="9" t="n">
        <x:v>25.285</x:v>
      </x:c>
      <x:c r="T1171" s="9" t="n">
        <x:v>51.51</x:v>
      </x:c>
      <x:c r="U1171" s="2" t="str">
        <x:v>SCHOOL_RECEIVER_01</x:v>
      </x:c>
      <x:c r="V1171" s="2" t="str">
        <x:v>School staff receipt</x:v>
      </x:c>
      <x:c r="W1171" s="2" t="str">
        <x:v>Completed transport</x:v>
      </x:c>
      <x:c r="X1171" s="2" t="str">
        <x:v>QR</x:v>
      </x:c>
      <x:c r="Y1171" s="2" t="str">
        <x:v>Online</x:v>
      </x:c>
      <x:c r="Z1171" s="2" t="str">
        <x:v>Synced</x:v>
      </x:c>
      <x:c r="AA1171" s="2"/>
      <x:c r="AB1171" s="2"/>
      <x:c r="AC1171" s="10" t="n">
        <x:f>IF(OR(K1171="",Q1171=""),"",ROUND((Q1171-K1171)*1440,2))</x:f>
        <x:v>50.5</x:v>
      </x:c>
    </x:row>
    <x:row r="1172" ht="21" customHeight="1">
      <x:c r="A1172" s="2" t="str">
        <x:v>LN01171</x:v>
      </x:c>
      <x:c r="B1172" s="2" t="str">
        <x:v>T20261008-3-3</x:v>
      </x:c>
      <x:c r="C1172" s="7" t="n">
        <x:v>46303</x:v>
      </x:c>
      <x:c r="D1172" s="2" t="str">
        <x:v>BUS003</x:v>
      </x:c>
      <x:c r="E1172" s="2" t="str">
        <x:v>ST091</x:v>
      </x:c>
      <x:c r="F1172" s="2" t="n">
        <x:v>1</x:v>
      </x:c>
      <x:c r="G1172" s="2" t="str">
        <x:v>Senior</x:v>
      </x:c>
      <x:c r="H1172" s="2" t="str">
        <x:v>Drop-off</x:v>
      </x:c>
      <x:c r="I1172" s="2" t="str">
        <x:v>R3S2</x:v>
      </x:c>
      <x:c r="J1172" s="2" t="str">
        <x:v>EV002335</x:v>
      </x:c>
      <x:c r="K1172" s="8" t="n">
        <x:v>46303.57291666667</x:v>
      </x:c>
      <x:c r="L1172" s="2" t="str">
        <x:v>SCH01</x:v>
      </x:c>
      <x:c r="M1172" s="9" t="n">
        <x:v>25.285</x:v>
      </x:c>
      <x:c r="N1172" s="9" t="n">
        <x:v>51.51</x:v>
      </x:c>
      <x:c r="O1172" s="2" t="str">
        <x:v>Valid</x:v>
      </x:c>
      <x:c r="P1172" s="2" t="str">
        <x:v>EV002336</x:v>
      </x:c>
      <x:c r="Q1172" s="8" t="n">
        <x:v>46303.59027777778</x:v>
      </x:c>
      <x:c r="R1172" s="2" t="str">
        <x:v>R3S2</x:v>
      </x:c>
      <x:c r="S1172" s="9" t="n">
        <x:v>25.291000000000004</x:v>
      </x:c>
      <x:c r="T1172" s="9" t="n">
        <x:v>51.51</x:v>
      </x:c>
      <x:c r="U1172" s="2" t="str">
        <x:v>G091</x:v>
      </x:c>
      <x:c r="V1172" s="2" t="str">
        <x:v>Authorized guardian release</x:v>
      </x:c>
      <x:c r="W1172" s="2" t="str">
        <x:v>Completed transport</x:v>
      </x:c>
      <x:c r="X1172" s="2" t="str">
        <x:v>QR</x:v>
      </x:c>
      <x:c r="Y1172" s="2" t="str">
        <x:v>Online</x:v>
      </x:c>
      <x:c r="Z1172" s="2" t="str">
        <x:v>Synced</x:v>
      </x:c>
      <x:c r="AA1172" s="2"/>
      <x:c r="AB1172" s="2"/>
      <x:c r="AC1172" s="10" t="n">
        <x:f>IF(OR(K1172="",Q1172=""),"",ROUND((Q1172-K1172)*1440,2))</x:f>
        <x:v>25</x:v>
      </x:c>
    </x:row>
    <x:row r="1173" ht="21" customHeight="1">
      <x:c r="A1173" s="2" t="str">
        <x:v>LN01172</x:v>
      </x:c>
      <x:c r="B1173" s="2" t="str">
        <x:v>T20261008-3-3</x:v>
      </x:c>
      <x:c r="C1173" s="7" t="n">
        <x:v>46303</x:v>
      </x:c>
      <x:c r="D1173" s="2" t="str">
        <x:v>BUS003</x:v>
      </x:c>
      <x:c r="E1173" s="2" t="str">
        <x:v>ST092</x:v>
      </x:c>
      <x:c r="F1173" s="2" t="n">
        <x:v>1</x:v>
      </x:c>
      <x:c r="G1173" s="2" t="str">
        <x:v>Senior</x:v>
      </x:c>
      <x:c r="H1173" s="2" t="str">
        <x:v>Drop-off</x:v>
      </x:c>
      <x:c r="I1173" s="2" t="str">
        <x:v>R3S3</x:v>
      </x:c>
      <x:c r="J1173" s="2" t="str">
        <x:v>EV002337</x:v>
      </x:c>
      <x:c r="K1173" s="8" t="n">
        <x:v>46303.572951388895</x:v>
      </x:c>
      <x:c r="L1173" s="2" t="str">
        <x:v>SCH01</x:v>
      </x:c>
      <x:c r="M1173" s="9" t="n">
        <x:v>25.285</x:v>
      </x:c>
      <x:c r="N1173" s="9" t="n">
        <x:v>51.51</x:v>
      </x:c>
      <x:c r="O1173" s="2" t="str">
        <x:v>Valid</x:v>
      </x:c>
      <x:c r="P1173" s="2" t="str">
        <x:v>EV002338</x:v>
      </x:c>
      <x:c r="Q1173" s="8" t="n">
        <x:v>46303.59447916667</x:v>
      </x:c>
      <x:c r="R1173" s="2" t="str">
        <x:v>R3S3</x:v>
      </x:c>
      <x:c r="S1173" s="9" t="n">
        <x:v>25.293000000000003</x:v>
      </x:c>
      <x:c r="T1173" s="9" t="n">
        <x:v>51.513</x:v>
      </x:c>
      <x:c r="U1173" s="2" t="str">
        <x:v>G092</x:v>
      </x:c>
      <x:c r="V1173" s="2" t="str">
        <x:v>Authorized guardian release</x:v>
      </x:c>
      <x:c r="W1173" s="2" t="str">
        <x:v>Completed transport</x:v>
      </x:c>
      <x:c r="X1173" s="2" t="str">
        <x:v>QR</x:v>
      </x:c>
      <x:c r="Y1173" s="2" t="str">
        <x:v>Online</x:v>
      </x:c>
      <x:c r="Z1173" s="2" t="str">
        <x:v>Synced</x:v>
      </x:c>
      <x:c r="AA1173" s="2"/>
      <x:c r="AB1173" s="2"/>
      <x:c r="AC1173" s="10" t="n">
        <x:f>IF(OR(K1173="",Q1173=""),"",ROUND((Q1173-K1173)*1440,2))</x:f>
        <x:v>31</x:v>
      </x:c>
    </x:row>
    <x:row r="1174" ht="21" customHeight="1">
      <x:c r="A1174" s="2" t="str">
        <x:v>LN01173</x:v>
      </x:c>
      <x:c r="B1174" s="2" t="str">
        <x:v>T20261008-3-3</x:v>
      </x:c>
      <x:c r="C1174" s="7" t="n">
        <x:v>46303</x:v>
      </x:c>
      <x:c r="D1174" s="2" t="str">
        <x:v>BUS003</x:v>
      </x:c>
      <x:c r="E1174" s="2" t="str">
        <x:v>ST093</x:v>
      </x:c>
      <x:c r="F1174" s="2" t="n">
        <x:v>1</x:v>
      </x:c>
      <x:c r="G1174" s="2" t="str">
        <x:v>Senior</x:v>
      </x:c>
      <x:c r="H1174" s="2" t="str">
        <x:v>Drop-off</x:v>
      </x:c>
      <x:c r="I1174" s="2" t="str">
        <x:v>R3S1</x:v>
      </x:c>
      <x:c r="J1174" s="2" t="str">
        <x:v>EV002339</x:v>
      </x:c>
      <x:c r="K1174" s="8" t="n">
        <x:v>46303.57298611112</x:v>
      </x:c>
      <x:c r="L1174" s="2" t="str">
        <x:v>SCH01</x:v>
      </x:c>
      <x:c r="M1174" s="9" t="n">
        <x:v>25.285</x:v>
      </x:c>
      <x:c r="N1174" s="9" t="n">
        <x:v>51.51</x:v>
      </x:c>
      <x:c r="O1174" s="2" t="str">
        <x:v>Valid</x:v>
      </x:c>
      <x:c r="P1174" s="2" t="str">
        <x:v>EV002340</x:v>
      </x:c>
      <x:c r="Q1174" s="8" t="n">
        <x:v>46303.58618055556</x:v>
      </x:c>
      <x:c r="R1174" s="2" t="str">
        <x:v>R3S1</x:v>
      </x:c>
      <x:c r="S1174" s="9" t="n">
        <x:v>25.289</x:v>
      </x:c>
      <x:c r="T1174" s="9" t="n">
        <x:v>51.507</x:v>
      </x:c>
      <x:c r="U1174" s="2" t="str">
        <x:v>G093</x:v>
      </x:c>
      <x:c r="V1174" s="2" t="str">
        <x:v>Authorized guardian release</x:v>
      </x:c>
      <x:c r="W1174" s="2" t="str">
        <x:v>Completed transport</x:v>
      </x:c>
      <x:c r="X1174" s="2" t="str">
        <x:v>QR</x:v>
      </x:c>
      <x:c r="Y1174" s="2" t="str">
        <x:v>Online</x:v>
      </x:c>
      <x:c r="Z1174" s="2" t="str">
        <x:v>Synced</x:v>
      </x:c>
      <x:c r="AA1174" s="2"/>
      <x:c r="AB1174" s="2"/>
      <x:c r="AC1174" s="10" t="n">
        <x:f>IF(OR(K1174="",Q1174=""),"",ROUND((Q1174-K1174)*1440,2))</x:f>
        <x:v>19</x:v>
      </x:c>
    </x:row>
    <x:row r="1175" ht="21" customHeight="1">
      <x:c r="A1175" s="2" t="str">
        <x:v>LN01174</x:v>
      </x:c>
      <x:c r="B1175" s="2" t="str">
        <x:v>T20261008-3-3</x:v>
      </x:c>
      <x:c r="C1175" s="7" t="n">
        <x:v>46303</x:v>
      </x:c>
      <x:c r="D1175" s="2" t="str">
        <x:v>BUS003</x:v>
      </x:c>
      <x:c r="E1175" s="2" t="str">
        <x:v>ST094</x:v>
      </x:c>
      <x:c r="F1175" s="2" t="n">
        <x:v>1</x:v>
      </x:c>
      <x:c r="G1175" s="2" t="str">
        <x:v>Senior</x:v>
      </x:c>
      <x:c r="H1175" s="2" t="str">
        <x:v>Drop-off</x:v>
      </x:c>
      <x:c r="I1175" s="2" t="str">
        <x:v>R3S2</x:v>
      </x:c>
      <x:c r="J1175" s="2" t="str">
        <x:v>EV002341</x:v>
      </x:c>
      <x:c r="K1175" s="8" t="n">
        <x:v>46303.57302083334</x:v>
      </x:c>
      <x:c r="L1175" s="2" t="str">
        <x:v>SCH01</x:v>
      </x:c>
      <x:c r="M1175" s="9" t="n">
        <x:v>25.285</x:v>
      </x:c>
      <x:c r="N1175" s="9" t="n">
        <x:v>51.51</x:v>
      </x:c>
      <x:c r="O1175" s="2" t="str">
        <x:v>Valid</x:v>
      </x:c>
      <x:c r="P1175" s="2" t="str">
        <x:v>EV002342</x:v>
      </x:c>
      <x:c r="Q1175" s="8" t="n">
        <x:v>46303.59038194445</x:v>
      </x:c>
      <x:c r="R1175" s="2" t="str">
        <x:v>R3S2</x:v>
      </x:c>
      <x:c r="S1175" s="9" t="n">
        <x:v>25.291000000000004</x:v>
      </x:c>
      <x:c r="T1175" s="9" t="n">
        <x:v>51.51</x:v>
      </x:c>
      <x:c r="U1175" s="2" t="str">
        <x:v>G094</x:v>
      </x:c>
      <x:c r="V1175" s="2" t="str">
        <x:v>Authorized guardian release</x:v>
      </x:c>
      <x:c r="W1175" s="2" t="str">
        <x:v>Completed transport</x:v>
      </x:c>
      <x:c r="X1175" s="2" t="str">
        <x:v>QR</x:v>
      </x:c>
      <x:c r="Y1175" s="2" t="str">
        <x:v>Online</x:v>
      </x:c>
      <x:c r="Z1175" s="2" t="str">
        <x:v>Synced</x:v>
      </x:c>
      <x:c r="AA1175" s="2"/>
      <x:c r="AB1175" s="2"/>
      <x:c r="AC1175" s="10" t="n">
        <x:f>IF(OR(K1175="",Q1175=""),"",ROUND((Q1175-K1175)*1440,2))</x:f>
        <x:v>25</x:v>
      </x:c>
    </x:row>
    <x:row r="1176" ht="21" customHeight="1">
      <x:c r="A1176" s="2" t="str">
        <x:v>LN01175</x:v>
      </x:c>
      <x:c r="B1176" s="2" t="str">
        <x:v>T20261008-3-3</x:v>
      </x:c>
      <x:c r="C1176" s="7" t="n">
        <x:v>46303</x:v>
      </x:c>
      <x:c r="D1176" s="2" t="str">
        <x:v>BUS003</x:v>
      </x:c>
      <x:c r="E1176" s="2" t="str">
        <x:v>ST095</x:v>
      </x:c>
      <x:c r="F1176" s="2" t="n">
        <x:v>1</x:v>
      </x:c>
      <x:c r="G1176" s="2" t="str">
        <x:v>Senior</x:v>
      </x:c>
      <x:c r="H1176" s="2" t="str">
        <x:v>Drop-off</x:v>
      </x:c>
      <x:c r="I1176" s="2" t="str">
        <x:v>R3S3</x:v>
      </x:c>
      <x:c r="J1176" s="2" t="str">
        <x:v>EV002343</x:v>
      </x:c>
      <x:c r="K1176" s="8" t="n">
        <x:v>46303.573055555564</x:v>
      </x:c>
      <x:c r="L1176" s="2" t="str">
        <x:v>SCH01</x:v>
      </x:c>
      <x:c r="M1176" s="9" t="n">
        <x:v>25.285</x:v>
      </x:c>
      <x:c r="N1176" s="9" t="n">
        <x:v>51.51</x:v>
      </x:c>
      <x:c r="O1176" s="2" t="str">
        <x:v>Valid</x:v>
      </x:c>
      <x:c r="P1176" s="2" t="str">
        <x:v>EV002344</x:v>
      </x:c>
      <x:c r="Q1176" s="8" t="n">
        <x:v>46303.59458333334</x:v>
      </x:c>
      <x:c r="R1176" s="2" t="str">
        <x:v>R3S3</x:v>
      </x:c>
      <x:c r="S1176" s="9" t="n">
        <x:v>25.293000000000003</x:v>
      </x:c>
      <x:c r="T1176" s="9" t="n">
        <x:v>51.513</x:v>
      </x:c>
      <x:c r="U1176" s="2" t="str">
        <x:v>G095</x:v>
      </x:c>
      <x:c r="V1176" s="2" t="str">
        <x:v>Authorized guardian release</x:v>
      </x:c>
      <x:c r="W1176" s="2" t="str">
        <x:v>Completed transport</x:v>
      </x:c>
      <x:c r="X1176" s="2" t="str">
        <x:v>QR</x:v>
      </x:c>
      <x:c r="Y1176" s="2" t="str">
        <x:v>Online</x:v>
      </x:c>
      <x:c r="Z1176" s="2" t="str">
        <x:v>Synced</x:v>
      </x:c>
      <x:c r="AA1176" s="2"/>
      <x:c r="AB1176" s="2"/>
      <x:c r="AC1176" s="10" t="n">
        <x:f>IF(OR(K1176="",Q1176=""),"",ROUND((Q1176-K1176)*1440,2))</x:f>
        <x:v>31</x:v>
      </x:c>
    </x:row>
    <x:row r="1177" ht="21" customHeight="1">
      <x:c r="A1177" s="2" t="str">
        <x:v>LN01176</x:v>
      </x:c>
      <x:c r="B1177" s="2" t="str">
        <x:v>T20261008-3-3</x:v>
      </x:c>
      <x:c r="C1177" s="7" t="n">
        <x:v>46303</x:v>
      </x:c>
      <x:c r="D1177" s="2" t="str">
        <x:v>BUS003</x:v>
      </x:c>
      <x:c r="E1177" s="2" t="str">
        <x:v>ST096</x:v>
      </x:c>
      <x:c r="F1177" s="2" t="n">
        <x:v>1</x:v>
      </x:c>
      <x:c r="G1177" s="2" t="str">
        <x:v>Senior</x:v>
      </x:c>
      <x:c r="H1177" s="2" t="str">
        <x:v>Drop-off</x:v>
      </x:c>
      <x:c r="I1177" s="2" t="str">
        <x:v>R3S1</x:v>
      </x:c>
      <x:c r="J1177" s="2" t="str">
        <x:v>EV002345</x:v>
      </x:c>
      <x:c r="K1177" s="8" t="n">
        <x:v>46303.57309027778</x:v>
      </x:c>
      <x:c r="L1177" s="2" t="str">
        <x:v>SCH01</x:v>
      </x:c>
      <x:c r="M1177" s="9" t="n">
        <x:v>25.285</x:v>
      </x:c>
      <x:c r="N1177" s="9" t="n">
        <x:v>51.51</x:v>
      </x:c>
      <x:c r="O1177" s="2" t="str">
        <x:v>Valid</x:v>
      </x:c>
      <x:c r="P1177" s="2" t="str">
        <x:v>EV002346</x:v>
      </x:c>
      <x:c r="Q1177" s="8" t="n">
        <x:v>46303.58628472222</x:v>
      </x:c>
      <x:c r="R1177" s="2" t="str">
        <x:v>R3S1</x:v>
      </x:c>
      <x:c r="S1177" s="9" t="n">
        <x:v>25.289</x:v>
      </x:c>
      <x:c r="T1177" s="9" t="n">
        <x:v>51.507</x:v>
      </x:c>
      <x:c r="U1177" s="2" t="str">
        <x:v>G096</x:v>
      </x:c>
      <x:c r="V1177" s="2" t="str">
        <x:v>Authorized guardian release</x:v>
      </x:c>
      <x:c r="W1177" s="2" t="str">
        <x:v>Completed transport</x:v>
      </x:c>
      <x:c r="X1177" s="2" t="str">
        <x:v>QR</x:v>
      </x:c>
      <x:c r="Y1177" s="2" t="str">
        <x:v>Online</x:v>
      </x:c>
      <x:c r="Z1177" s="2" t="str">
        <x:v>Synced</x:v>
      </x:c>
      <x:c r="AA1177" s="2"/>
      <x:c r="AB1177" s="2"/>
      <x:c r="AC1177" s="10" t="n">
        <x:f>IF(OR(K1177="",Q1177=""),"",ROUND((Q1177-K1177)*1440,2))</x:f>
        <x:v>19</x:v>
      </x:c>
    </x:row>
    <x:row r="1178" ht="21" customHeight="1">
      <x:c r="A1178" s="2" t="str">
        <x:v>LN01177</x:v>
      </x:c>
      <x:c r="B1178" s="2" t="str">
        <x:v>T20261008-3-3</x:v>
      </x:c>
      <x:c r="C1178" s="7" t="n">
        <x:v>46303</x:v>
      </x:c>
      <x:c r="D1178" s="2" t="str">
        <x:v>BUS003</x:v>
      </x:c>
      <x:c r="E1178" s="2" t="str">
        <x:v>ST097</x:v>
      </x:c>
      <x:c r="F1178" s="2" t="n">
        <x:v>1</x:v>
      </x:c>
      <x:c r="G1178" s="2" t="str">
        <x:v>Senior</x:v>
      </x:c>
      <x:c r="H1178" s="2" t="str">
        <x:v>Drop-off</x:v>
      </x:c>
      <x:c r="I1178" s="2" t="str">
        <x:v>R3S2</x:v>
      </x:c>
      <x:c r="J1178" s="2" t="str">
        <x:v>EV002347</x:v>
      </x:c>
      <x:c r="K1178" s="8" t="n">
        <x:v>46303.573125</x:v>
      </x:c>
      <x:c r="L1178" s="2" t="str">
        <x:v>SCH01</x:v>
      </x:c>
      <x:c r="M1178" s="9" t="n">
        <x:v>25.285</x:v>
      </x:c>
      <x:c r="N1178" s="9" t="n">
        <x:v>51.51</x:v>
      </x:c>
      <x:c r="O1178" s="2" t="str">
        <x:v>Valid</x:v>
      </x:c>
      <x:c r="P1178" s="2" t="str">
        <x:v>EV002348</x:v>
      </x:c>
      <x:c r="Q1178" s="8" t="n">
        <x:v>46303.59048611111</x:v>
      </x:c>
      <x:c r="R1178" s="2" t="str">
        <x:v>R3S2</x:v>
      </x:c>
      <x:c r="S1178" s="9" t="n">
        <x:v>25.291000000000004</x:v>
      </x:c>
      <x:c r="T1178" s="9" t="n">
        <x:v>51.51</x:v>
      </x:c>
      <x:c r="U1178" s="2" t="str">
        <x:v>G097</x:v>
      </x:c>
      <x:c r="V1178" s="2" t="str">
        <x:v>Authorized guardian release</x:v>
      </x:c>
      <x:c r="W1178" s="2" t="str">
        <x:v>Completed transport</x:v>
      </x:c>
      <x:c r="X1178" s="2" t="str">
        <x:v>QR</x:v>
      </x:c>
      <x:c r="Y1178" s="2" t="str">
        <x:v>Online</x:v>
      </x:c>
      <x:c r="Z1178" s="2" t="str">
        <x:v>Synced</x:v>
      </x:c>
      <x:c r="AA1178" s="2"/>
      <x:c r="AB1178" s="2"/>
      <x:c r="AC1178" s="10" t="n">
        <x:f>IF(OR(K1178="",Q1178=""),"",ROUND((Q1178-K1178)*1440,2))</x:f>
        <x:v>25</x:v>
      </x:c>
    </x:row>
    <x:row r="1179" ht="21" customHeight="1">
      <x:c r="A1179" s="2" t="str">
        <x:v>LN01178</x:v>
      </x:c>
      <x:c r="B1179" s="2" t="str">
        <x:v>T20261008-3-3</x:v>
      </x:c>
      <x:c r="C1179" s="7" t="n">
        <x:v>46303</x:v>
      </x:c>
      <x:c r="D1179" s="2" t="str">
        <x:v>BUS003</x:v>
      </x:c>
      <x:c r="E1179" s="2" t="str">
        <x:v>ST098</x:v>
      </x:c>
      <x:c r="F1179" s="2" t="n">
        <x:v>1</x:v>
      </x:c>
      <x:c r="G1179" s="2" t="str">
        <x:v>Senior</x:v>
      </x:c>
      <x:c r="H1179" s="2" t="str">
        <x:v>Drop-off</x:v>
      </x:c>
      <x:c r="I1179" s="2" t="str">
        <x:v>R3S3</x:v>
      </x:c>
      <x:c r="J1179" s="2" t="str">
        <x:v>EV002349</x:v>
      </x:c>
      <x:c r="K1179" s="8" t="n">
        <x:v>46303.573159722226</x:v>
      </x:c>
      <x:c r="L1179" s="2" t="str">
        <x:v>SCH01</x:v>
      </x:c>
      <x:c r="M1179" s="9" t="n">
        <x:v>25.285</x:v>
      </x:c>
      <x:c r="N1179" s="9" t="n">
        <x:v>51.51</x:v>
      </x:c>
      <x:c r="O1179" s="2" t="str">
        <x:v>Valid</x:v>
      </x:c>
      <x:c r="P1179" s="2" t="str">
        <x:v>EV002350</x:v>
      </x:c>
      <x:c r="Q1179" s="8" t="n">
        <x:v>46303.5946875</x:v>
      </x:c>
      <x:c r="R1179" s="2" t="str">
        <x:v>R3S3</x:v>
      </x:c>
      <x:c r="S1179" s="9" t="n">
        <x:v>25.293000000000003</x:v>
      </x:c>
      <x:c r="T1179" s="9" t="n">
        <x:v>51.513</x:v>
      </x:c>
      <x:c r="U1179" s="2" t="str">
        <x:v>G098</x:v>
      </x:c>
      <x:c r="V1179" s="2" t="str">
        <x:v>Authorized guardian release</x:v>
      </x:c>
      <x:c r="W1179" s="2" t="str">
        <x:v>Completed transport</x:v>
      </x:c>
      <x:c r="X1179" s="2" t="str">
        <x:v>QR</x:v>
      </x:c>
      <x:c r="Y1179" s="2" t="str">
        <x:v>Online</x:v>
      </x:c>
      <x:c r="Z1179" s="2" t="str">
        <x:v>Synced</x:v>
      </x:c>
      <x:c r="AA1179" s="2"/>
      <x:c r="AB1179" s="2"/>
      <x:c r="AC1179" s="10" t="n">
        <x:f>IF(OR(K1179="",Q1179=""),"",ROUND((Q1179-K1179)*1440,2))</x:f>
        <x:v>31</x:v>
      </x:c>
    </x:row>
    <x:row r="1180" ht="21" customHeight="1">
      <x:c r="A1180" s="2" t="str">
        <x:v>LN01179</x:v>
      </x:c>
      <x:c r="B1180" s="2" t="str">
        <x:v>T20261008-3-3</x:v>
      </x:c>
      <x:c r="C1180" s="7" t="n">
        <x:v>46303</x:v>
      </x:c>
      <x:c r="D1180" s="2" t="str">
        <x:v>BUS003</x:v>
      </x:c>
      <x:c r="E1180" s="2" t="str">
        <x:v>ST099</x:v>
      </x:c>
      <x:c r="F1180" s="2" t="n">
        <x:v>1</x:v>
      </x:c>
      <x:c r="G1180" s="2" t="str">
        <x:v>Senior</x:v>
      </x:c>
      <x:c r="H1180" s="2" t="str">
        <x:v>Drop-off</x:v>
      </x:c>
      <x:c r="I1180" s="2" t="str">
        <x:v>R3S1</x:v>
      </x:c>
      <x:c r="J1180" s="2" t="str">
        <x:v>EV002351</x:v>
      </x:c>
      <x:c r="K1180" s="8" t="n">
        <x:v>46303.57319444445</x:v>
      </x:c>
      <x:c r="L1180" s="2" t="str">
        <x:v>SCH01</x:v>
      </x:c>
      <x:c r="M1180" s="9" t="n">
        <x:v>25.285</x:v>
      </x:c>
      <x:c r="N1180" s="9" t="n">
        <x:v>51.51</x:v>
      </x:c>
      <x:c r="O1180" s="2" t="str">
        <x:v>Valid</x:v>
      </x:c>
      <x:c r="P1180" s="2" t="str">
        <x:v>EV002352</x:v>
      </x:c>
      <x:c r="Q1180" s="8" t="n">
        <x:v>46303.58638888889</x:v>
      </x:c>
      <x:c r="R1180" s="2" t="str">
        <x:v>R3S1</x:v>
      </x:c>
      <x:c r="S1180" s="9" t="n">
        <x:v>25.289</x:v>
      </x:c>
      <x:c r="T1180" s="9" t="n">
        <x:v>51.507</x:v>
      </x:c>
      <x:c r="U1180" s="2" t="str">
        <x:v>G099</x:v>
      </x:c>
      <x:c r="V1180" s="2" t="str">
        <x:v>Authorized guardian release</x:v>
      </x:c>
      <x:c r="W1180" s="2" t="str">
        <x:v>Completed transport</x:v>
      </x:c>
      <x:c r="X1180" s="2" t="str">
        <x:v>QR</x:v>
      </x:c>
      <x:c r="Y1180" s="2" t="str">
        <x:v>Online</x:v>
      </x:c>
      <x:c r="Z1180" s="2" t="str">
        <x:v>Synced</x:v>
      </x:c>
      <x:c r="AA1180" s="2"/>
      <x:c r="AB1180" s="2"/>
      <x:c r="AC1180" s="10" t="n">
        <x:f>IF(OR(K1180="",Q1180=""),"",ROUND((Q1180-K1180)*1440,2))</x:f>
        <x:v>19</x:v>
      </x:c>
    </x:row>
    <x:row r="1181" ht="21" customHeight="1">
      <x:c r="A1181" s="2" t="str">
        <x:v>LN01180</x:v>
      </x:c>
      <x:c r="B1181" s="2" t="str">
        <x:v>T20261008-3-3</x:v>
      </x:c>
      <x:c r="C1181" s="7" t="n">
        <x:v>46303</x:v>
      </x:c>
      <x:c r="D1181" s="2" t="str">
        <x:v>BUS003</x:v>
      </x:c>
      <x:c r="E1181" s="2" t="str">
        <x:v>ST100</x:v>
      </x:c>
      <x:c r="F1181" s="2" t="n">
        <x:v>1</x:v>
      </x:c>
      <x:c r="G1181" s="2" t="str">
        <x:v>Senior</x:v>
      </x:c>
      <x:c r="H1181" s="2" t="str">
        <x:v>Drop-off</x:v>
      </x:c>
      <x:c r="I1181" s="2" t="str">
        <x:v>R3S2</x:v>
      </x:c>
      <x:c r="J1181" s="2" t="str">
        <x:v>EV002353</x:v>
      </x:c>
      <x:c r="K1181" s="8" t="n">
        <x:v>46303.57322916667</x:v>
      </x:c>
      <x:c r="L1181" s="2" t="str">
        <x:v>SCH01</x:v>
      </x:c>
      <x:c r="M1181" s="9" t="n">
        <x:v>25.285</x:v>
      </x:c>
      <x:c r="N1181" s="9" t="n">
        <x:v>51.51</x:v>
      </x:c>
      <x:c r="O1181" s="2" t="str">
        <x:v>Valid</x:v>
      </x:c>
      <x:c r="P1181" s="2" t="str">
        <x:v>EV002354</x:v>
      </x:c>
      <x:c r="Q1181" s="8" t="n">
        <x:v>46303.59059027778</x:v>
      </x:c>
      <x:c r="R1181" s="2" t="str">
        <x:v>R3S2</x:v>
      </x:c>
      <x:c r="S1181" s="9" t="n">
        <x:v>25.291000000000004</x:v>
      </x:c>
      <x:c r="T1181" s="9" t="n">
        <x:v>51.51</x:v>
      </x:c>
      <x:c r="U1181" s="2" t="str">
        <x:v>G100</x:v>
      </x:c>
      <x:c r="V1181" s="2" t="str">
        <x:v>Authorized guardian release</x:v>
      </x:c>
      <x:c r="W1181" s="2" t="str">
        <x:v>Completed transport</x:v>
      </x:c>
      <x:c r="X1181" s="2" t="str">
        <x:v>QR</x:v>
      </x:c>
      <x:c r="Y1181" s="2" t="str">
        <x:v>Online</x:v>
      </x:c>
      <x:c r="Z1181" s="2" t="str">
        <x:v>Synced</x:v>
      </x:c>
      <x:c r="AA1181" s="2"/>
      <x:c r="AB1181" s="2"/>
      <x:c r="AC1181" s="10" t="n">
        <x:f>IF(OR(K1181="",Q1181=""),"",ROUND((Q1181-K1181)*1440,2))</x:f>
        <x:v>25</x:v>
      </x:c>
    </x:row>
    <x:row r="1182" ht="21" customHeight="1">
      <x:c r="A1182" s="2" t="str">
        <x:v>LN01181</x:v>
      </x:c>
      <x:c r="B1182" s="2" t="str">
        <x:v>T20261008-4-3</x:v>
      </x:c>
      <x:c r="C1182" s="7" t="n">
        <x:v>46303</x:v>
      </x:c>
      <x:c r="D1182" s="2" t="str">
        <x:v>BUS003</x:v>
      </x:c>
      <x:c r="E1182" s="2" t="str">
        <x:v>ST101</x:v>
      </x:c>
      <x:c r="F1182" s="2" t="n">
        <x:v>2</x:v>
      </x:c>
      <x:c r="G1182" s="2" t="str">
        <x:v>Junior</x:v>
      </x:c>
      <x:c r="H1182" s="2" t="str">
        <x:v>Drop-off</x:v>
      </x:c>
      <x:c r="I1182" s="2" t="str">
        <x:v>R3S3</x:v>
      </x:c>
      <x:c r="J1182" s="2" t="str">
        <x:v>EV002355</x:v>
      </x:c>
      <x:c r="K1182" s="8" t="n">
        <x:v>46303.60416666667</x:v>
      </x:c>
      <x:c r="L1182" s="2" t="str">
        <x:v>SCH01</x:v>
      </x:c>
      <x:c r="M1182" s="9" t="n">
        <x:v>25.285</x:v>
      </x:c>
      <x:c r="N1182" s="9" t="n">
        <x:v>51.51</x:v>
      </x:c>
      <x:c r="O1182" s="2" t="str">
        <x:v>Valid</x:v>
      </x:c>
      <x:c r="P1182" s="2" t="str">
        <x:v>EV002356</x:v>
      </x:c>
      <x:c r="Q1182" s="8" t="n">
        <x:v>46303.62708333333</x:v>
      </x:c>
      <x:c r="R1182" s="2" t="str">
        <x:v>R3S3</x:v>
      </x:c>
      <x:c r="S1182" s="9" t="n">
        <x:v>25.293000000000003</x:v>
      </x:c>
      <x:c r="T1182" s="9" t="n">
        <x:v>51.513</x:v>
      </x:c>
      <x:c r="U1182" s="2" t="str">
        <x:v>G101</x:v>
      </x:c>
      <x:c r="V1182" s="2" t="str">
        <x:v>Authorized guardian release</x:v>
      </x:c>
      <x:c r="W1182" s="2" t="str">
        <x:v>Completed transport</x:v>
      </x:c>
      <x:c r="X1182" s="2" t="str">
        <x:v>QR</x:v>
      </x:c>
      <x:c r="Y1182" s="2" t="str">
        <x:v>Online</x:v>
      </x:c>
      <x:c r="Z1182" s="2" t="str">
        <x:v>Synced</x:v>
      </x:c>
      <x:c r="AA1182" s="2"/>
      <x:c r="AB1182" s="2"/>
      <x:c r="AC1182" s="10" t="n">
        <x:f>IF(OR(K1182="",Q1182=""),"",ROUND((Q1182-K1182)*1440,2))</x:f>
        <x:v>33</x:v>
      </x:c>
    </x:row>
    <x:row r="1183" ht="21" customHeight="1">
      <x:c r="A1183" s="2" t="str">
        <x:v>LN01182</x:v>
      </x:c>
      <x:c r="B1183" s="2" t="str">
        <x:v>T20261008-4-3</x:v>
      </x:c>
      <x:c r="C1183" s="7" t="n">
        <x:v>46303</x:v>
      </x:c>
      <x:c r="D1183" s="2" t="str">
        <x:v>BUS003</x:v>
      </x:c>
      <x:c r="E1183" s="2" t="str">
        <x:v>ST102</x:v>
      </x:c>
      <x:c r="F1183" s="2" t="n">
        <x:v>2</x:v>
      </x:c>
      <x:c r="G1183" s="2" t="str">
        <x:v>Junior</x:v>
      </x:c>
      <x:c r="H1183" s="2" t="str">
        <x:v>Drop-off</x:v>
      </x:c>
      <x:c r="I1183" s="2" t="str">
        <x:v>R3S1</x:v>
      </x:c>
      <x:c r="J1183" s="2" t="str">
        <x:v>EV002357</x:v>
      </x:c>
      <x:c r="K1183" s="8" t="n">
        <x:v>46303.604201388895</x:v>
      </x:c>
      <x:c r="L1183" s="2" t="str">
        <x:v>SCH01</x:v>
      </x:c>
      <x:c r="M1183" s="9" t="n">
        <x:v>25.285</x:v>
      </x:c>
      <x:c r="N1183" s="9" t="n">
        <x:v>51.51</x:v>
      </x:c>
      <x:c r="O1183" s="2" t="str">
        <x:v>Valid</x:v>
      </x:c>
      <x:c r="P1183" s="2" t="str">
        <x:v>EV002358</x:v>
      </x:c>
      <x:c r="Q1183" s="8" t="n">
        <x:v>46303.618784722225</x:v>
      </x:c>
      <x:c r="R1183" s="2" t="str">
        <x:v>R3S1</x:v>
      </x:c>
      <x:c r="S1183" s="9" t="n">
        <x:v>25.289</x:v>
      </x:c>
      <x:c r="T1183" s="9" t="n">
        <x:v>51.507</x:v>
      </x:c>
      <x:c r="U1183" s="2" t="str">
        <x:v>G102</x:v>
      </x:c>
      <x:c r="V1183" s="2" t="str">
        <x:v>Authorized guardian release</x:v>
      </x:c>
      <x:c r="W1183" s="2" t="str">
        <x:v>Completed transport</x:v>
      </x:c>
      <x:c r="X1183" s="2" t="str">
        <x:v>QR</x:v>
      </x:c>
      <x:c r="Y1183" s="2" t="str">
        <x:v>Online</x:v>
      </x:c>
      <x:c r="Z1183" s="2" t="str">
        <x:v>Synced</x:v>
      </x:c>
      <x:c r="AA1183" s="2"/>
      <x:c r="AB1183" s="2"/>
      <x:c r="AC1183" s="10" t="n">
        <x:f>IF(OR(K1183="",Q1183=""),"",ROUND((Q1183-K1183)*1440,2))</x:f>
        <x:v>21</x:v>
      </x:c>
    </x:row>
    <x:row r="1184" ht="21" customHeight="1">
      <x:c r="A1184" s="2" t="str">
        <x:v>LN01183</x:v>
      </x:c>
      <x:c r="B1184" s="2" t="str">
        <x:v>T20261008-4-3</x:v>
      </x:c>
      <x:c r="C1184" s="7" t="n">
        <x:v>46303</x:v>
      </x:c>
      <x:c r="D1184" s="2" t="str">
        <x:v>BUS003</x:v>
      </x:c>
      <x:c r="E1184" s="2" t="str">
        <x:v>ST103</x:v>
      </x:c>
      <x:c r="F1184" s="2" t="n">
        <x:v>2</x:v>
      </x:c>
      <x:c r="G1184" s="2" t="str">
        <x:v>Junior</x:v>
      </x:c>
      <x:c r="H1184" s="2" t="str">
        <x:v>Drop-off</x:v>
      </x:c>
      <x:c r="I1184" s="2" t="str">
        <x:v>R3S2</x:v>
      </x:c>
      <x:c r="J1184" s="2" t="str">
        <x:v>EV002359</x:v>
      </x:c>
      <x:c r="K1184" s="8" t="n">
        <x:v>46303.60423611112</x:v>
      </x:c>
      <x:c r="L1184" s="2" t="str">
        <x:v>SCH01</x:v>
      </x:c>
      <x:c r="M1184" s="9" t="n">
        <x:v>25.285</x:v>
      </x:c>
      <x:c r="N1184" s="9" t="n">
        <x:v>51.51</x:v>
      </x:c>
      <x:c r="O1184" s="2" t="str">
        <x:v>Valid</x:v>
      </x:c>
      <x:c r="P1184" s="2" t="str">
        <x:v>EV002360</x:v>
      </x:c>
      <x:c r="Q1184" s="8" t="n">
        <x:v>46303.62298611111</x:v>
      </x:c>
      <x:c r="R1184" s="2" t="str">
        <x:v>R3S2</x:v>
      </x:c>
      <x:c r="S1184" s="9" t="n">
        <x:v>25.291000000000004</x:v>
      </x:c>
      <x:c r="T1184" s="9" t="n">
        <x:v>51.51</x:v>
      </x:c>
      <x:c r="U1184" s="2" t="str">
        <x:v>G103</x:v>
      </x:c>
      <x:c r="V1184" s="2" t="str">
        <x:v>Authorized guardian release</x:v>
      </x:c>
      <x:c r="W1184" s="2" t="str">
        <x:v>Completed transport</x:v>
      </x:c>
      <x:c r="X1184" s="2" t="str">
        <x:v>QR</x:v>
      </x:c>
      <x:c r="Y1184" s="2" t="str">
        <x:v>Online</x:v>
      </x:c>
      <x:c r="Z1184" s="2" t="str">
        <x:v>Synced</x:v>
      </x:c>
      <x:c r="AA1184" s="2"/>
      <x:c r="AB1184" s="2"/>
      <x:c r="AC1184" s="10" t="n">
        <x:f>IF(OR(K1184="",Q1184=""),"",ROUND((Q1184-K1184)*1440,2))</x:f>
        <x:v>27</x:v>
      </x:c>
    </x:row>
    <x:row r="1185" ht="21" customHeight="1">
      <x:c r="A1185" s="2" t="str">
        <x:v>LN01184</x:v>
      </x:c>
      <x:c r="B1185" s="2" t="str">
        <x:v>T20261008-4-3</x:v>
      </x:c>
      <x:c r="C1185" s="7" t="n">
        <x:v>46303</x:v>
      </x:c>
      <x:c r="D1185" s="2" t="str">
        <x:v>BUS003</x:v>
      </x:c>
      <x:c r="E1185" s="2" t="str">
        <x:v>ST104</x:v>
      </x:c>
      <x:c r="F1185" s="2" t="n">
        <x:v>2</x:v>
      </x:c>
      <x:c r="G1185" s="2" t="str">
        <x:v>Junior</x:v>
      </x:c>
      <x:c r="H1185" s="2" t="str">
        <x:v>Drop-off</x:v>
      </x:c>
      <x:c r="I1185" s="2" t="str">
        <x:v>R3S3</x:v>
      </x:c>
      <x:c r="J1185" s="2" t="str">
        <x:v>EV002361</x:v>
      </x:c>
      <x:c r="K1185" s="8" t="n">
        <x:v>46303.60427083334</x:v>
      </x:c>
      <x:c r="L1185" s="2" t="str">
        <x:v>SCH01</x:v>
      </x:c>
      <x:c r="M1185" s="9" t="n">
        <x:v>25.285</x:v>
      </x:c>
      <x:c r="N1185" s="9" t="n">
        <x:v>51.51</x:v>
      </x:c>
      <x:c r="O1185" s="2" t="str">
        <x:v>Valid</x:v>
      </x:c>
      <x:c r="P1185" s="2" t="str">
        <x:v>EV002362</x:v>
      </x:c>
      <x:c r="Q1185" s="8" t="n">
        <x:v>46303.6271875</x:v>
      </x:c>
      <x:c r="R1185" s="2" t="str">
        <x:v>R3S3</x:v>
      </x:c>
      <x:c r="S1185" s="9" t="n">
        <x:v>25.293000000000003</x:v>
      </x:c>
      <x:c r="T1185" s="9" t="n">
        <x:v>51.513</x:v>
      </x:c>
      <x:c r="U1185" s="2" t="str">
        <x:v>G104</x:v>
      </x:c>
      <x:c r="V1185" s="2" t="str">
        <x:v>Authorized guardian release</x:v>
      </x:c>
      <x:c r="W1185" s="2" t="str">
        <x:v>Completed transport</x:v>
      </x:c>
      <x:c r="X1185" s="2" t="str">
        <x:v>QR</x:v>
      </x:c>
      <x:c r="Y1185" s="2" t="str">
        <x:v>Online</x:v>
      </x:c>
      <x:c r="Z1185" s="2" t="str">
        <x:v>Synced</x:v>
      </x:c>
      <x:c r="AA1185" s="2"/>
      <x:c r="AB1185" s="2"/>
      <x:c r="AC1185" s="10" t="n">
        <x:f>IF(OR(K1185="",Q1185=""),"",ROUND((Q1185-K1185)*1440,2))</x:f>
        <x:v>33</x:v>
      </x:c>
    </x:row>
    <x:row r="1186" ht="21" customHeight="1">
      <x:c r="A1186" s="2" t="str">
        <x:v>LN01185</x:v>
      </x:c>
      <x:c r="B1186" s="2" t="str">
        <x:v>T20261008-4-3</x:v>
      </x:c>
      <x:c r="C1186" s="7" t="n">
        <x:v>46303</x:v>
      </x:c>
      <x:c r="D1186" s="2" t="str">
        <x:v>BUS003</x:v>
      </x:c>
      <x:c r="E1186" s="2" t="str">
        <x:v>ST105</x:v>
      </x:c>
      <x:c r="F1186" s="2" t="n">
        <x:v>2</x:v>
      </x:c>
      <x:c r="G1186" s="2" t="str">
        <x:v>Junior</x:v>
      </x:c>
      <x:c r="H1186" s="2" t="str">
        <x:v>Drop-off</x:v>
      </x:c>
      <x:c r="I1186" s="2" t="str">
        <x:v>R3S1</x:v>
      </x:c>
      <x:c r="J1186" s="2" t="str">
        <x:v>EV002363</x:v>
      </x:c>
      <x:c r="K1186" s="8" t="n">
        <x:v>46303.604305555564</x:v>
      </x:c>
      <x:c r="L1186" s="2" t="str">
        <x:v>SCH01</x:v>
      </x:c>
      <x:c r="M1186" s="9" t="n">
        <x:v>25.285</x:v>
      </x:c>
      <x:c r="N1186" s="9" t="n">
        <x:v>51.51</x:v>
      </x:c>
      <x:c r="O1186" s="2" t="str">
        <x:v>Valid</x:v>
      </x:c>
      <x:c r="P1186" s="2" t="str">
        <x:v>EV002364</x:v>
      </x:c>
      <x:c r="Q1186" s="8" t="n">
        <x:v>46303.618888888894</x:v>
      </x:c>
      <x:c r="R1186" s="2" t="str">
        <x:v>R3S1</x:v>
      </x:c>
      <x:c r="S1186" s="9" t="n">
        <x:v>25.289</x:v>
      </x:c>
      <x:c r="T1186" s="9" t="n">
        <x:v>51.507</x:v>
      </x:c>
      <x:c r="U1186" s="2" t="str">
        <x:v>G105</x:v>
      </x:c>
      <x:c r="V1186" s="2" t="str">
        <x:v>Authorized guardian release</x:v>
      </x:c>
      <x:c r="W1186" s="2" t="str">
        <x:v>Completed transport</x:v>
      </x:c>
      <x:c r="X1186" s="2" t="str">
        <x:v>QR</x:v>
      </x:c>
      <x:c r="Y1186" s="2" t="str">
        <x:v>Online</x:v>
      </x:c>
      <x:c r="Z1186" s="2" t="str">
        <x:v>Synced</x:v>
      </x:c>
      <x:c r="AA1186" s="2"/>
      <x:c r="AB1186" s="2"/>
      <x:c r="AC1186" s="10" t="n">
        <x:f>IF(OR(K1186="",Q1186=""),"",ROUND((Q1186-K1186)*1440,2))</x:f>
        <x:v>21</x:v>
      </x:c>
    </x:row>
    <x:row r="1187" ht="21" customHeight="1">
      <x:c r="A1187" s="2" t="str">
        <x:v>LN01186</x:v>
      </x:c>
      <x:c r="B1187" s="2" t="str">
        <x:v>T20261008-4-3</x:v>
      </x:c>
      <x:c r="C1187" s="7" t="n">
        <x:v>46303</x:v>
      </x:c>
      <x:c r="D1187" s="2" t="str">
        <x:v>BUS003</x:v>
      </x:c>
      <x:c r="E1187" s="2" t="str">
        <x:v>ST106</x:v>
      </x:c>
      <x:c r="F1187" s="2" t="n">
        <x:v>2</x:v>
      </x:c>
      <x:c r="G1187" s="2" t="str">
        <x:v>Junior</x:v>
      </x:c>
      <x:c r="H1187" s="2" t="str">
        <x:v>Drop-off</x:v>
      </x:c>
      <x:c r="I1187" s="2" t="str">
        <x:v>R3S2</x:v>
      </x:c>
      <x:c r="J1187" s="2" t="str">
        <x:v>EV002365</x:v>
      </x:c>
      <x:c r="K1187" s="8" t="n">
        <x:v>46303.60434027778</x:v>
      </x:c>
      <x:c r="L1187" s="2" t="str">
        <x:v>SCH01</x:v>
      </x:c>
      <x:c r="M1187" s="9" t="n">
        <x:v>25.285</x:v>
      </x:c>
      <x:c r="N1187" s="9" t="n">
        <x:v>51.51</x:v>
      </x:c>
      <x:c r="O1187" s="2" t="str">
        <x:v>Valid</x:v>
      </x:c>
      <x:c r="P1187" s="2" t="str">
        <x:v>EV002366</x:v>
      </x:c>
      <x:c r="Q1187" s="8" t="n">
        <x:v>46303.623090277775</x:v>
      </x:c>
      <x:c r="R1187" s="2" t="str">
        <x:v>R3S2</x:v>
      </x:c>
      <x:c r="S1187" s="9" t="n">
        <x:v>25.291000000000004</x:v>
      </x:c>
      <x:c r="T1187" s="9" t="n">
        <x:v>51.51</x:v>
      </x:c>
      <x:c r="U1187" s="2" t="str">
        <x:v>G106</x:v>
      </x:c>
      <x:c r="V1187" s="2" t="str">
        <x:v>Authorized guardian release</x:v>
      </x:c>
      <x:c r="W1187" s="2" t="str">
        <x:v>Completed transport</x:v>
      </x:c>
      <x:c r="X1187" s="2" t="str">
        <x:v>QR</x:v>
      </x:c>
      <x:c r="Y1187" s="2" t="str">
        <x:v>Online</x:v>
      </x:c>
      <x:c r="Z1187" s="2" t="str">
        <x:v>Synced</x:v>
      </x:c>
      <x:c r="AA1187" s="2"/>
      <x:c r="AB1187" s="2"/>
      <x:c r="AC1187" s="10" t="n">
        <x:f>IF(OR(K1187="",Q1187=""),"",ROUND((Q1187-K1187)*1440,2))</x:f>
        <x:v>27</x:v>
      </x:c>
    </x:row>
    <x:row r="1188" ht="21" customHeight="1">
      <x:c r="A1188" s="2" t="str">
        <x:v>LN01187</x:v>
      </x:c>
      <x:c r="B1188" s="2" t="str">
        <x:v>T20261008-4-3</x:v>
      </x:c>
      <x:c r="C1188" s="7" t="n">
        <x:v>46303</x:v>
      </x:c>
      <x:c r="D1188" s="2" t="str">
        <x:v>BUS003</x:v>
      </x:c>
      <x:c r="E1188" s="2" t="str">
        <x:v>ST107</x:v>
      </x:c>
      <x:c r="F1188" s="2" t="n">
        <x:v>2</x:v>
      </x:c>
      <x:c r="G1188" s="2" t="str">
        <x:v>Junior</x:v>
      </x:c>
      <x:c r="H1188" s="2" t="str">
        <x:v>Drop-off</x:v>
      </x:c>
      <x:c r="I1188" s="2" t="str">
        <x:v>R3S3</x:v>
      </x:c>
      <x:c r="J1188" s="2" t="str">
        <x:v>EV002367</x:v>
      </x:c>
      <x:c r="K1188" s="8" t="n">
        <x:v>46303.604375</x:v>
      </x:c>
      <x:c r="L1188" s="2" t="str">
        <x:v>SCH01</x:v>
      </x:c>
      <x:c r="M1188" s="9" t="n">
        <x:v>25.285</x:v>
      </x:c>
      <x:c r="N1188" s="9" t="n">
        <x:v>51.51</x:v>
      </x:c>
      <x:c r="O1188" s="2" t="str">
        <x:v>Valid</x:v>
      </x:c>
      <x:c r="P1188" s="2" t="str">
        <x:v>EV002368</x:v>
      </x:c>
      <x:c r="Q1188" s="8" t="n">
        <x:v>46303.627291666664</x:v>
      </x:c>
      <x:c r="R1188" s="2" t="str">
        <x:v>R3S3</x:v>
      </x:c>
      <x:c r="S1188" s="9" t="n">
        <x:v>25.293000000000003</x:v>
      </x:c>
      <x:c r="T1188" s="9" t="n">
        <x:v>51.513</x:v>
      </x:c>
      <x:c r="U1188" s="2" t="str">
        <x:v>G107</x:v>
      </x:c>
      <x:c r="V1188" s="2" t="str">
        <x:v>Authorized guardian release</x:v>
      </x:c>
      <x:c r="W1188" s="2" t="str">
        <x:v>Completed transport</x:v>
      </x:c>
      <x:c r="X1188" s="2" t="str">
        <x:v>QR</x:v>
      </x:c>
      <x:c r="Y1188" s="2" t="str">
        <x:v>Online</x:v>
      </x:c>
      <x:c r="Z1188" s="2" t="str">
        <x:v>Synced</x:v>
      </x:c>
      <x:c r="AA1188" s="2"/>
      <x:c r="AB1188" s="2"/>
      <x:c r="AC1188" s="10" t="n">
        <x:f>IF(OR(K1188="",Q1188=""),"",ROUND((Q1188-K1188)*1440,2))</x:f>
        <x:v>33</x:v>
      </x:c>
    </x:row>
    <x:row r="1189" ht="21" customHeight="1">
      <x:c r="A1189" s="2" t="str">
        <x:v>LN01188</x:v>
      </x:c>
      <x:c r="B1189" s="2" t="str">
        <x:v>T20261008-4-3</x:v>
      </x:c>
      <x:c r="C1189" s="7" t="n">
        <x:v>46303</x:v>
      </x:c>
      <x:c r="D1189" s="2" t="str">
        <x:v>BUS003</x:v>
      </x:c>
      <x:c r="E1189" s="2" t="str">
        <x:v>ST108</x:v>
      </x:c>
      <x:c r="F1189" s="2" t="n">
        <x:v>2</x:v>
      </x:c>
      <x:c r="G1189" s="2" t="str">
        <x:v>Junior</x:v>
      </x:c>
      <x:c r="H1189" s="2" t="str">
        <x:v>Drop-off</x:v>
      </x:c>
      <x:c r="I1189" s="2" t="str">
        <x:v>R3S1</x:v>
      </x:c>
      <x:c r="J1189" s="2" t="str">
        <x:v>EV002369</x:v>
      </x:c>
      <x:c r="K1189" s="8" t="n">
        <x:v>46303.604409722226</x:v>
      </x:c>
      <x:c r="L1189" s="2" t="str">
        <x:v>SCH01</x:v>
      </x:c>
      <x:c r="M1189" s="9" t="n">
        <x:v>25.285</x:v>
      </x:c>
      <x:c r="N1189" s="9" t="n">
        <x:v>51.51</x:v>
      </x:c>
      <x:c r="O1189" s="2" t="str">
        <x:v>Valid</x:v>
      </x:c>
      <x:c r="P1189" s="2" t="str">
        <x:v>EV002370</x:v>
      </x:c>
      <x:c r="Q1189" s="8" t="n">
        <x:v>46303.618993055556</x:v>
      </x:c>
      <x:c r="R1189" s="2" t="str">
        <x:v>R3S1</x:v>
      </x:c>
      <x:c r="S1189" s="9" t="n">
        <x:v>25.289</x:v>
      </x:c>
      <x:c r="T1189" s="9" t="n">
        <x:v>51.507</x:v>
      </x:c>
      <x:c r="U1189" s="2" t="str">
        <x:v>G108</x:v>
      </x:c>
      <x:c r="V1189" s="2" t="str">
        <x:v>Authorized guardian release</x:v>
      </x:c>
      <x:c r="W1189" s="2" t="str">
        <x:v>Completed transport</x:v>
      </x:c>
      <x:c r="X1189" s="2" t="str">
        <x:v>QR</x:v>
      </x:c>
      <x:c r="Y1189" s="2" t="str">
        <x:v>Online</x:v>
      </x:c>
      <x:c r="Z1189" s="2" t="str">
        <x:v>Synced</x:v>
      </x:c>
      <x:c r="AA1189" s="2"/>
      <x:c r="AB1189" s="2"/>
      <x:c r="AC1189" s="10" t="n">
        <x:f>IF(OR(K1189="",Q1189=""),"",ROUND((Q1189-K1189)*1440,2))</x:f>
        <x:v>21</x:v>
      </x:c>
    </x:row>
    <x:row r="1190" ht="21" customHeight="1">
      <x:c r="A1190" s="2" t="str">
        <x:v>LN01189</x:v>
      </x:c>
      <x:c r="B1190" s="2" t="str">
        <x:v>T20261008-4-3</x:v>
      </x:c>
      <x:c r="C1190" s="7" t="n">
        <x:v>46303</x:v>
      </x:c>
      <x:c r="D1190" s="2" t="str">
        <x:v>BUS003</x:v>
      </x:c>
      <x:c r="E1190" s="2" t="str">
        <x:v>ST109</x:v>
      </x:c>
      <x:c r="F1190" s="2" t="n">
        <x:v>2</x:v>
      </x:c>
      <x:c r="G1190" s="2" t="str">
        <x:v>Junior</x:v>
      </x:c>
      <x:c r="H1190" s="2" t="str">
        <x:v>Drop-off</x:v>
      </x:c>
      <x:c r="I1190" s="2" t="str">
        <x:v>R3S2</x:v>
      </x:c>
      <x:c r="J1190" s="2" t="str">
        <x:v>EV002371</x:v>
      </x:c>
      <x:c r="K1190" s="8" t="n">
        <x:v>46303.60444444445</x:v>
      </x:c>
      <x:c r="L1190" s="2" t="str">
        <x:v>SCH01</x:v>
      </x:c>
      <x:c r="M1190" s="9" t="n">
        <x:v>25.285</x:v>
      </x:c>
      <x:c r="N1190" s="9" t="n">
        <x:v>51.51</x:v>
      </x:c>
      <x:c r="O1190" s="2" t="str">
        <x:v>Valid</x:v>
      </x:c>
      <x:c r="P1190" s="2" t="str">
        <x:v>EV002372</x:v>
      </x:c>
      <x:c r="Q1190" s="8" t="n">
        <x:v>46303.623194444444</x:v>
      </x:c>
      <x:c r="R1190" s="2" t="str">
        <x:v>R3S2</x:v>
      </x:c>
      <x:c r="S1190" s="9" t="n">
        <x:v>25.291000000000004</x:v>
      </x:c>
      <x:c r="T1190" s="9" t="n">
        <x:v>51.51</x:v>
      </x:c>
      <x:c r="U1190" s="2" t="str">
        <x:v>G109</x:v>
      </x:c>
      <x:c r="V1190" s="2" t="str">
        <x:v>Authorized guardian release</x:v>
      </x:c>
      <x:c r="W1190" s="2" t="str">
        <x:v>Completed transport</x:v>
      </x:c>
      <x:c r="X1190" s="2" t="str">
        <x:v>QR</x:v>
      </x:c>
      <x:c r="Y1190" s="2" t="str">
        <x:v>Online</x:v>
      </x:c>
      <x:c r="Z1190" s="2" t="str">
        <x:v>Synced</x:v>
      </x:c>
      <x:c r="AA1190" s="2"/>
      <x:c r="AB1190" s="2"/>
      <x:c r="AC1190" s="10" t="n">
        <x:f>IF(OR(K1190="",Q1190=""),"",ROUND((Q1190-K1190)*1440,2))</x:f>
        <x:v>27</x:v>
      </x:c>
    </x:row>
    <x:row r="1191" ht="21" customHeight="1">
      <x:c r="A1191" s="2" t="str">
        <x:v>LN01190</x:v>
      </x:c>
      <x:c r="B1191" s="2" t="str">
        <x:v>T20261008-4-3</x:v>
      </x:c>
      <x:c r="C1191" s="7" t="n">
        <x:v>46303</x:v>
      </x:c>
      <x:c r="D1191" s="2" t="str">
        <x:v>BUS003</x:v>
      </x:c>
      <x:c r="E1191" s="2" t="str">
        <x:v>ST110</x:v>
      </x:c>
      <x:c r="F1191" s="2" t="n">
        <x:v>2</x:v>
      </x:c>
      <x:c r="G1191" s="2" t="str">
        <x:v>Junior</x:v>
      </x:c>
      <x:c r="H1191" s="2" t="str">
        <x:v>Drop-off</x:v>
      </x:c>
      <x:c r="I1191" s="2" t="str">
        <x:v>R3S3</x:v>
      </x:c>
      <x:c r="J1191" s="2" t="str">
        <x:v>EV002373</x:v>
      </x:c>
      <x:c r="K1191" s="8" t="n">
        <x:v>46303.60447916667</x:v>
      </x:c>
      <x:c r="L1191" s="2" t="str">
        <x:v>SCH01</x:v>
      </x:c>
      <x:c r="M1191" s="9" t="n">
        <x:v>25.285</x:v>
      </x:c>
      <x:c r="N1191" s="9" t="n">
        <x:v>51.51</x:v>
      </x:c>
      <x:c r="O1191" s="2" t="str">
        <x:v>Valid</x:v>
      </x:c>
      <x:c r="P1191" s="2" t="str">
        <x:v>EV002374</x:v>
      </x:c>
      <x:c r="Q1191" s="8" t="n">
        <x:v>46303.62739583333</x:v>
      </x:c>
      <x:c r="R1191" s="2" t="str">
        <x:v>R3S3</x:v>
      </x:c>
      <x:c r="S1191" s="9" t="n">
        <x:v>25.293000000000003</x:v>
      </x:c>
      <x:c r="T1191" s="9" t="n">
        <x:v>51.513</x:v>
      </x:c>
      <x:c r="U1191" s="2" t="str">
        <x:v>G110</x:v>
      </x:c>
      <x:c r="V1191" s="2" t="str">
        <x:v>Authorized guardian release</x:v>
      </x:c>
      <x:c r="W1191" s="2" t="str">
        <x:v>Completed transport</x:v>
      </x:c>
      <x:c r="X1191" s="2" t="str">
        <x:v>QR</x:v>
      </x:c>
      <x:c r="Y1191" s="2" t="str">
        <x:v>Online</x:v>
      </x:c>
      <x:c r="Z1191" s="2" t="str">
        <x:v>Synced</x:v>
      </x:c>
      <x:c r="AA1191" s="2"/>
      <x:c r="AB1191" s="2"/>
      <x:c r="AC1191" s="10" t="n">
        <x:f>IF(OR(K1191="",Q1191=""),"",ROUND((Q1191-K1191)*1440,2))</x:f>
        <x:v>33</x:v>
      </x:c>
    </x:row>
    <x:row r="1192" ht="21" customHeight="1">
      <x:c r="A1192" s="2" t="str">
        <x:v>LN01191</x:v>
      </x:c>
      <x:c r="B1192" s="2" t="str">
        <x:v>T20261008-5-3</x:v>
      </x:c>
      <x:c r="C1192" s="7" t="n">
        <x:v>46303</x:v>
      </x:c>
      <x:c r="D1192" s="2" t="str">
        <x:v>BUS003</x:v>
      </x:c>
      <x:c r="E1192" s="2" t="str">
        <x:v>ST111</x:v>
      </x:c>
      <x:c r="F1192" s="2" t="n">
        <x:v>2</x:v>
      </x:c>
      <x:c r="G1192" s="2" t="str">
        <x:v>Senior</x:v>
      </x:c>
      <x:c r="H1192" s="2" t="str">
        <x:v>Drop-off</x:v>
      </x:c>
      <x:c r="I1192" s="2" t="str">
        <x:v>R3S1</x:v>
      </x:c>
      <x:c r="J1192" s="2" t="str">
        <x:v>EV002375</x:v>
      </x:c>
      <x:c r="K1192" s="8" t="n">
        <x:v>46303.70833333333</x:v>
      </x:c>
      <x:c r="L1192" s="2" t="str">
        <x:v>SCH01</x:v>
      </x:c>
      <x:c r="M1192" s="9" t="n">
        <x:v>25.285</x:v>
      </x:c>
      <x:c r="N1192" s="9" t="n">
        <x:v>51.51</x:v>
      </x:c>
      <x:c r="O1192" s="2" t="str">
        <x:v>Valid</x:v>
      </x:c>
      <x:c r="P1192" s="2" t="str">
        <x:v>EV002376</x:v>
      </x:c>
      <x:c r="Q1192" s="8" t="n">
        <x:v>46303.72361111111</x:v>
      </x:c>
      <x:c r="R1192" s="2" t="str">
        <x:v>R3S1</x:v>
      </x:c>
      <x:c r="S1192" s="9" t="n">
        <x:v>25.289</x:v>
      </x:c>
      <x:c r="T1192" s="9" t="n">
        <x:v>51.507</x:v>
      </x:c>
      <x:c r="U1192" s="2" t="str">
        <x:v>G111</x:v>
      </x:c>
      <x:c r="V1192" s="2" t="str">
        <x:v>Authorized guardian release</x:v>
      </x:c>
      <x:c r="W1192" s="2" t="str">
        <x:v>Completed transport</x:v>
      </x:c>
      <x:c r="X1192" s="2" t="str">
        <x:v>QR</x:v>
      </x:c>
      <x:c r="Y1192" s="2" t="str">
        <x:v>Online</x:v>
      </x:c>
      <x:c r="Z1192" s="2" t="str">
        <x:v>Synced</x:v>
      </x:c>
      <x:c r="AA1192" s="2"/>
      <x:c r="AB1192" s="2"/>
      <x:c r="AC1192" s="10" t="n">
        <x:f>IF(OR(K1192="",Q1192=""),"",ROUND((Q1192-K1192)*1440,2))</x:f>
        <x:v>22</x:v>
      </x:c>
    </x:row>
    <x:row r="1193" ht="21" customHeight="1">
      <x:c r="A1193" s="2" t="str">
        <x:v>LN01192</x:v>
      </x:c>
      <x:c r="B1193" s="2" t="str">
        <x:v>T20261008-5-3</x:v>
      </x:c>
      <x:c r="C1193" s="7" t="n">
        <x:v>46303</x:v>
      </x:c>
      <x:c r="D1193" s="2" t="str">
        <x:v>BUS003</x:v>
      </x:c>
      <x:c r="E1193" s="2" t="str">
        <x:v>ST112</x:v>
      </x:c>
      <x:c r="F1193" s="2" t="n">
        <x:v>2</x:v>
      </x:c>
      <x:c r="G1193" s="2" t="str">
        <x:v>Senior</x:v>
      </x:c>
      <x:c r="H1193" s="2" t="str">
        <x:v>Drop-off</x:v>
      </x:c>
      <x:c r="I1193" s="2" t="str">
        <x:v>R3S2</x:v>
      </x:c>
      <x:c r="J1193" s="2" t="str">
        <x:v>EV002377</x:v>
      </x:c>
      <x:c r="K1193" s="8" t="n">
        <x:v>46303.70836805555</x:v>
      </x:c>
      <x:c r="L1193" s="2" t="str">
        <x:v>SCH01</x:v>
      </x:c>
      <x:c r="M1193" s="9" t="n">
        <x:v>25.285</x:v>
      </x:c>
      <x:c r="N1193" s="9" t="n">
        <x:v>51.51</x:v>
      </x:c>
      <x:c r="O1193" s="2" t="str">
        <x:v>Valid</x:v>
      </x:c>
      <x:c r="P1193" s="2" t="str">
        <x:v>EV002378</x:v>
      </x:c>
      <x:c r="Q1193" s="8" t="n">
        <x:v>46303.72850694445</x:v>
      </x:c>
      <x:c r="R1193" s="2" t="str">
        <x:v>R3S2</x:v>
      </x:c>
      <x:c r="S1193" s="9" t="n">
        <x:v>25.291000000000004</x:v>
      </x:c>
      <x:c r="T1193" s="9" t="n">
        <x:v>51.51</x:v>
      </x:c>
      <x:c r="U1193" s="2" t="str">
        <x:v>G112</x:v>
      </x:c>
      <x:c r="V1193" s="2" t="str">
        <x:v>Authorized guardian release</x:v>
      </x:c>
      <x:c r="W1193" s="2" t="str">
        <x:v>Completed transport</x:v>
      </x:c>
      <x:c r="X1193" s="2" t="str">
        <x:v>QR</x:v>
      </x:c>
      <x:c r="Y1193" s="2" t="str">
        <x:v>Online</x:v>
      </x:c>
      <x:c r="Z1193" s="2" t="str">
        <x:v>Synced</x:v>
      </x:c>
      <x:c r="AA1193" s="2"/>
      <x:c r="AB1193" s="2"/>
      <x:c r="AC1193" s="10" t="n">
        <x:f>IF(OR(K1193="",Q1193=""),"",ROUND((Q1193-K1193)*1440,2))</x:f>
        <x:v>29</x:v>
      </x:c>
    </x:row>
    <x:row r="1194" ht="21" customHeight="1">
      <x:c r="A1194" s="2" t="str">
        <x:v>LN01193</x:v>
      </x:c>
      <x:c r="B1194" s="2" t="str">
        <x:v>T20261008-5-3</x:v>
      </x:c>
      <x:c r="C1194" s="7" t="n">
        <x:v>46303</x:v>
      </x:c>
      <x:c r="D1194" s="2" t="str">
        <x:v>BUS003</x:v>
      </x:c>
      <x:c r="E1194" s="2" t="str">
        <x:v>ST113</x:v>
      </x:c>
      <x:c r="F1194" s="2" t="n">
        <x:v>2</x:v>
      </x:c>
      <x:c r="G1194" s="2" t="str">
        <x:v>Senior</x:v>
      </x:c>
      <x:c r="H1194" s="2" t="str">
        <x:v>Drop-off</x:v>
      </x:c>
      <x:c r="I1194" s="2" t="str">
        <x:v>R3S3</x:v>
      </x:c>
      <x:c r="J1194" s="2" t="str">
        <x:v>EV002379</x:v>
      </x:c>
      <x:c r="K1194" s="8" t="n">
        <x:v>46303.708402777775</x:v>
      </x:c>
      <x:c r="L1194" s="2" t="str">
        <x:v>SCH01</x:v>
      </x:c>
      <x:c r="M1194" s="9" t="n">
        <x:v>25.285</x:v>
      </x:c>
      <x:c r="N1194" s="9" t="n">
        <x:v>51.51</x:v>
      </x:c>
      <x:c r="O1194" s="2" t="str">
        <x:v>Valid</x:v>
      </x:c>
      <x:c r="P1194" s="2" t="str">
        <x:v>EV002380</x:v>
      </x:c>
      <x:c r="Q1194" s="8" t="n">
        <x:v>46303.73340277778</x:v>
      </x:c>
      <x:c r="R1194" s="2" t="str">
        <x:v>R3S3</x:v>
      </x:c>
      <x:c r="S1194" s="9" t="n">
        <x:v>25.293000000000003</x:v>
      </x:c>
      <x:c r="T1194" s="9" t="n">
        <x:v>51.513</x:v>
      </x:c>
      <x:c r="U1194" s="2" t="str">
        <x:v>G113</x:v>
      </x:c>
      <x:c r="V1194" s="2" t="str">
        <x:v>Authorized guardian release</x:v>
      </x:c>
      <x:c r="W1194" s="2" t="str">
        <x:v>Completed transport</x:v>
      </x:c>
      <x:c r="X1194" s="2" t="str">
        <x:v>QR</x:v>
      </x:c>
      <x:c r="Y1194" s="2" t="str">
        <x:v>Online</x:v>
      </x:c>
      <x:c r="Z1194" s="2" t="str">
        <x:v>Synced</x:v>
      </x:c>
      <x:c r="AA1194" s="2"/>
      <x:c r="AB1194" s="2"/>
      <x:c r="AC1194" s="10" t="n">
        <x:f>IF(OR(K1194="",Q1194=""),"",ROUND((Q1194-K1194)*1440,2))</x:f>
        <x:v>36</x:v>
      </x:c>
    </x:row>
    <x:row r="1195" ht="21" customHeight="1">
      <x:c r="A1195" s="2" t="str">
        <x:v>LN01194</x:v>
      </x:c>
      <x:c r="B1195" s="2" t="str">
        <x:v>T20261008-5-3</x:v>
      </x:c>
      <x:c r="C1195" s="7" t="n">
        <x:v>46303</x:v>
      </x:c>
      <x:c r="D1195" s="2" t="str">
        <x:v>BUS003</x:v>
      </x:c>
      <x:c r="E1195" s="2" t="str">
        <x:v>ST114</x:v>
      </x:c>
      <x:c r="F1195" s="2" t="n">
        <x:v>2</x:v>
      </x:c>
      <x:c r="G1195" s="2" t="str">
        <x:v>Senior</x:v>
      </x:c>
      <x:c r="H1195" s="2" t="str">
        <x:v>Drop-off</x:v>
      </x:c>
      <x:c r="I1195" s="2" t="str">
        <x:v>R3S1</x:v>
      </x:c>
      <x:c r="J1195" s="2" t="str">
        <x:v>EV002381</x:v>
      </x:c>
      <x:c r="K1195" s="8" t="n">
        <x:v>46303.7084375</x:v>
      </x:c>
      <x:c r="L1195" s="2" t="str">
        <x:v>SCH01</x:v>
      </x:c>
      <x:c r="M1195" s="9" t="n">
        <x:v>25.285</x:v>
      </x:c>
      <x:c r="N1195" s="9" t="n">
        <x:v>51.51</x:v>
      </x:c>
      <x:c r="O1195" s="2" t="str">
        <x:v>Valid</x:v>
      </x:c>
      <x:c r="P1195" s="2" t="str">
        <x:v>EV002382</x:v>
      </x:c>
      <x:c r="Q1195" s="8" t="n">
        <x:v>46303.72371527778</x:v>
      </x:c>
      <x:c r="R1195" s="2" t="str">
        <x:v>R3S1</x:v>
      </x:c>
      <x:c r="S1195" s="9" t="n">
        <x:v>25.289</x:v>
      </x:c>
      <x:c r="T1195" s="9" t="n">
        <x:v>51.507</x:v>
      </x:c>
      <x:c r="U1195" s="2" t="str">
        <x:v>G114</x:v>
      </x:c>
      <x:c r="V1195" s="2" t="str">
        <x:v>Authorized guardian release</x:v>
      </x:c>
      <x:c r="W1195" s="2" t="str">
        <x:v>Completed transport</x:v>
      </x:c>
      <x:c r="X1195" s="2" t="str">
        <x:v>QR</x:v>
      </x:c>
      <x:c r="Y1195" s="2" t="str">
        <x:v>Online</x:v>
      </x:c>
      <x:c r="Z1195" s="2" t="str">
        <x:v>Synced</x:v>
      </x:c>
      <x:c r="AA1195" s="2"/>
      <x:c r="AB1195" s="2"/>
      <x:c r="AC1195" s="10" t="n">
        <x:f>IF(OR(K1195="",Q1195=""),"",ROUND((Q1195-K1195)*1440,2))</x:f>
        <x:v>22</x:v>
      </x:c>
    </x:row>
    <x:row r="1196" ht="21" customHeight="1">
      <x:c r="A1196" s="2" t="str">
        <x:v>LN01195</x:v>
      </x:c>
      <x:c r="B1196" s="2" t="str">
        <x:v>T20261008-5-3</x:v>
      </x:c>
      <x:c r="C1196" s="7" t="n">
        <x:v>46303</x:v>
      </x:c>
      <x:c r="D1196" s="2" t="str">
        <x:v>BUS003</x:v>
      </x:c>
      <x:c r="E1196" s="2" t="str">
        <x:v>ST115</x:v>
      </x:c>
      <x:c r="F1196" s="2" t="n">
        <x:v>2</x:v>
      </x:c>
      <x:c r="G1196" s="2" t="str">
        <x:v>Senior</x:v>
      </x:c>
      <x:c r="H1196" s="2" t="str">
        <x:v>Drop-off</x:v>
      </x:c>
      <x:c r="I1196" s="2" t="str">
        <x:v>R3S2</x:v>
      </x:c>
      <x:c r="J1196" s="2" t="str">
        <x:v>EV002383</x:v>
      </x:c>
      <x:c r="K1196" s="8" t="n">
        <x:v>46303.70847222222</x:v>
      </x:c>
      <x:c r="L1196" s="2" t="str">
        <x:v>SCH01</x:v>
      </x:c>
      <x:c r="M1196" s="9" t="n">
        <x:v>25.285</x:v>
      </x:c>
      <x:c r="N1196" s="9" t="n">
        <x:v>51.51</x:v>
      </x:c>
      <x:c r="O1196" s="2" t="str">
        <x:v>Valid</x:v>
      </x:c>
      <x:c r="P1196" s="2" t="str">
        <x:v>EV002384</x:v>
      </x:c>
      <x:c r="Q1196" s="8" t="n">
        <x:v>46303.72861111112</x:v>
      </x:c>
      <x:c r="R1196" s="2" t="str">
        <x:v>R3S2</x:v>
      </x:c>
      <x:c r="S1196" s="9" t="n">
        <x:v>25.291000000000004</x:v>
      </x:c>
      <x:c r="T1196" s="9" t="n">
        <x:v>51.51</x:v>
      </x:c>
      <x:c r="U1196" s="2" t="str">
        <x:v>G115</x:v>
      </x:c>
      <x:c r="V1196" s="2" t="str">
        <x:v>Authorized guardian release</x:v>
      </x:c>
      <x:c r="W1196" s="2" t="str">
        <x:v>Completed transport</x:v>
      </x:c>
      <x:c r="X1196" s="2" t="str">
        <x:v>QR</x:v>
      </x:c>
      <x:c r="Y1196" s="2" t="str">
        <x:v>Online</x:v>
      </x:c>
      <x:c r="Z1196" s="2" t="str">
        <x:v>Synced</x:v>
      </x:c>
      <x:c r="AA1196" s="2"/>
      <x:c r="AB1196" s="2"/>
      <x:c r="AC1196" s="10" t="n">
        <x:f>IF(OR(K1196="",Q1196=""),"",ROUND((Q1196-K1196)*1440,2))</x:f>
        <x:v>29</x:v>
      </x:c>
    </x:row>
    <x:row r="1197" ht="21" customHeight="1">
      <x:c r="A1197" s="2" t="str">
        <x:v>LN01196</x:v>
      </x:c>
      <x:c r="B1197" s="2" t="str">
        <x:v>T20261008-5-3</x:v>
      </x:c>
      <x:c r="C1197" s="7" t="n">
        <x:v>46303</x:v>
      </x:c>
      <x:c r="D1197" s="2" t="str">
        <x:v>BUS003</x:v>
      </x:c>
      <x:c r="E1197" s="2" t="str">
        <x:v>ST116</x:v>
      </x:c>
      <x:c r="F1197" s="2" t="n">
        <x:v>2</x:v>
      </x:c>
      <x:c r="G1197" s="2" t="str">
        <x:v>Senior</x:v>
      </x:c>
      <x:c r="H1197" s="2" t="str">
        <x:v>Drop-off</x:v>
      </x:c>
      <x:c r="I1197" s="2" t="str">
        <x:v>R3S3</x:v>
      </x:c>
      <x:c r="J1197" s="2" t="str">
        <x:v>EV002385</x:v>
      </x:c>
      <x:c r="K1197" s="8" t="n">
        <x:v>46303.70850694444</x:v>
      </x:c>
      <x:c r="L1197" s="2" t="str">
        <x:v>SCH01</x:v>
      </x:c>
      <x:c r="M1197" s="9" t="n">
        <x:v>25.285</x:v>
      </x:c>
      <x:c r="N1197" s="9" t="n">
        <x:v>51.51</x:v>
      </x:c>
      <x:c r="O1197" s="2" t="str">
        <x:v>Valid</x:v>
      </x:c>
      <x:c r="P1197" s="2" t="str">
        <x:v>EV002386</x:v>
      </x:c>
      <x:c r="Q1197" s="8" t="n">
        <x:v>46303.733506944445</x:v>
      </x:c>
      <x:c r="R1197" s="2" t="str">
        <x:v>R3S3</x:v>
      </x:c>
      <x:c r="S1197" s="9" t="n">
        <x:v>25.293000000000003</x:v>
      </x:c>
      <x:c r="T1197" s="9" t="n">
        <x:v>51.513</x:v>
      </x:c>
      <x:c r="U1197" s="2" t="str">
        <x:v>G116</x:v>
      </x:c>
      <x:c r="V1197" s="2" t="str">
        <x:v>Authorized guardian release</x:v>
      </x:c>
      <x:c r="W1197" s="2" t="str">
        <x:v>Completed transport</x:v>
      </x:c>
      <x:c r="X1197" s="2" t="str">
        <x:v>QR</x:v>
      </x:c>
      <x:c r="Y1197" s="2" t="str">
        <x:v>Online</x:v>
      </x:c>
      <x:c r="Z1197" s="2" t="str">
        <x:v>Synced</x:v>
      </x:c>
      <x:c r="AA1197" s="2"/>
      <x:c r="AB1197" s="2"/>
      <x:c r="AC1197" s="10" t="n">
        <x:f>IF(OR(K1197="",Q1197=""),"",ROUND((Q1197-K1197)*1440,2))</x:f>
        <x:v>36</x:v>
      </x:c>
    </x:row>
    <x:row r="1198" ht="21" customHeight="1">
      <x:c r="A1198" s="2" t="str">
        <x:v>LN01197</x:v>
      </x:c>
      <x:c r="B1198" s="2" t="str">
        <x:v>T20261008-5-3</x:v>
      </x:c>
      <x:c r="C1198" s="7" t="n">
        <x:v>46303</x:v>
      </x:c>
      <x:c r="D1198" s="2" t="str">
        <x:v>BUS003</x:v>
      </x:c>
      <x:c r="E1198" s="2" t="str">
        <x:v>ST117</x:v>
      </x:c>
      <x:c r="F1198" s="2" t="n">
        <x:v>2</x:v>
      </x:c>
      <x:c r="G1198" s="2" t="str">
        <x:v>Senior</x:v>
      </x:c>
      <x:c r="H1198" s="2" t="str">
        <x:v>Drop-off</x:v>
      </x:c>
      <x:c r="I1198" s="2" t="str">
        <x:v>R3S1</x:v>
      </x:c>
      <x:c r="J1198" s="2" t="str">
        <x:v>EV002387</x:v>
      </x:c>
      <x:c r="K1198" s="8" t="n">
        <x:v>46303.70854166666</x:v>
      </x:c>
      <x:c r="L1198" s="2" t="str">
        <x:v>SCH01</x:v>
      </x:c>
      <x:c r="M1198" s="9" t="n">
        <x:v>25.285</x:v>
      </x:c>
      <x:c r="N1198" s="9" t="n">
        <x:v>51.51</x:v>
      </x:c>
      <x:c r="O1198" s="2" t="str">
        <x:v>Valid</x:v>
      </x:c>
      <x:c r="P1198" s="2" t="str">
        <x:v>EV002388</x:v>
      </x:c>
      <x:c r="Q1198" s="8" t="n">
        <x:v>46303.72381944444</x:v>
      </x:c>
      <x:c r="R1198" s="2" t="str">
        <x:v>R3S1</x:v>
      </x:c>
      <x:c r="S1198" s="9" t="n">
        <x:v>25.289</x:v>
      </x:c>
      <x:c r="T1198" s="9" t="n">
        <x:v>51.507</x:v>
      </x:c>
      <x:c r="U1198" s="2" t="str">
        <x:v>G117</x:v>
      </x:c>
      <x:c r="V1198" s="2" t="str">
        <x:v>Authorized guardian release</x:v>
      </x:c>
      <x:c r="W1198" s="2" t="str">
        <x:v>Completed transport</x:v>
      </x:c>
      <x:c r="X1198" s="2" t="str">
        <x:v>QR</x:v>
      </x:c>
      <x:c r="Y1198" s="2" t="str">
        <x:v>Online</x:v>
      </x:c>
      <x:c r="Z1198" s="2" t="str">
        <x:v>Synced</x:v>
      </x:c>
      <x:c r="AA1198" s="2"/>
      <x:c r="AB1198" s="2"/>
      <x:c r="AC1198" s="10" t="n">
        <x:f>IF(OR(K1198="",Q1198=""),"",ROUND((Q1198-K1198)*1440,2))</x:f>
        <x:v>22</x:v>
      </x:c>
    </x:row>
    <x:row r="1199" ht="21" customHeight="1">
      <x:c r="A1199" s="2" t="str">
        <x:v>LN01198</x:v>
      </x:c>
      <x:c r="B1199" s="2" t="str">
        <x:v>T20261008-5-3</x:v>
      </x:c>
      <x:c r="C1199" s="7" t="n">
        <x:v>46303</x:v>
      </x:c>
      <x:c r="D1199" s="2" t="str">
        <x:v>BUS003</x:v>
      </x:c>
      <x:c r="E1199" s="2" t="str">
        <x:v>ST118</x:v>
      </x:c>
      <x:c r="F1199" s="2" t="n">
        <x:v>2</x:v>
      </x:c>
      <x:c r="G1199" s="2" t="str">
        <x:v>Senior</x:v>
      </x:c>
      <x:c r="H1199" s="2" t="str">
        <x:v>Drop-off</x:v>
      </x:c>
      <x:c r="I1199" s="2" t="str">
        <x:v>R3S2</x:v>
      </x:c>
      <x:c r="J1199" s="2" t="str">
        <x:v>EV002389</x:v>
      </x:c>
      <x:c r="K1199" s="8" t="n">
        <x:v>46303.70857638888</x:v>
      </x:c>
      <x:c r="L1199" s="2" t="str">
        <x:v>SCH01</x:v>
      </x:c>
      <x:c r="M1199" s="9" t="n">
        <x:v>25.285</x:v>
      </x:c>
      <x:c r="N1199" s="9" t="n">
        <x:v>51.51</x:v>
      </x:c>
      <x:c r="O1199" s="2" t="str">
        <x:v>Valid</x:v>
      </x:c>
      <x:c r="P1199" s="2" t="str">
        <x:v>EV002390</x:v>
      </x:c>
      <x:c r="Q1199" s="8" t="n">
        <x:v>46303.72871527778</x:v>
      </x:c>
      <x:c r="R1199" s="2" t="str">
        <x:v>R3S2</x:v>
      </x:c>
      <x:c r="S1199" s="9" t="n">
        <x:v>25.291000000000004</x:v>
      </x:c>
      <x:c r="T1199" s="9" t="n">
        <x:v>51.51</x:v>
      </x:c>
      <x:c r="U1199" s="2" t="str">
        <x:v>G118</x:v>
      </x:c>
      <x:c r="V1199" s="2" t="str">
        <x:v>Authorized guardian release</x:v>
      </x:c>
      <x:c r="W1199" s="2" t="str">
        <x:v>Completed transport</x:v>
      </x:c>
      <x:c r="X1199" s="2" t="str">
        <x:v>QR</x:v>
      </x:c>
      <x:c r="Y1199" s="2" t="str">
        <x:v>Online</x:v>
      </x:c>
      <x:c r="Z1199" s="2" t="str">
        <x:v>Synced</x:v>
      </x:c>
      <x:c r="AA1199" s="2"/>
      <x:c r="AB1199" s="2"/>
      <x:c r="AC1199" s="10" t="n">
        <x:f>IF(OR(K1199="",Q1199=""),"",ROUND((Q1199-K1199)*1440,2))</x:f>
        <x:v>29</x:v>
      </x:c>
    </x:row>
    <x:row r="1200" ht="21" customHeight="1">
      <x:c r="A1200" s="2" t="str">
        <x:v>LN01199</x:v>
      </x:c>
      <x:c r="B1200" s="2" t="str">
        <x:v>T20261008-5-3</x:v>
      </x:c>
      <x:c r="C1200" s="7" t="n">
        <x:v>46303</x:v>
      </x:c>
      <x:c r="D1200" s="2" t="str">
        <x:v>BUS003</x:v>
      </x:c>
      <x:c r="E1200" s="2" t="str">
        <x:v>ST119</x:v>
      </x:c>
      <x:c r="F1200" s="2" t="n">
        <x:v>2</x:v>
      </x:c>
      <x:c r="G1200" s="2" t="str">
        <x:v>Senior</x:v>
      </x:c>
      <x:c r="H1200" s="2" t="str">
        <x:v>Drop-off</x:v>
      </x:c>
      <x:c r="I1200" s="2" t="str">
        <x:v>R3S3</x:v>
      </x:c>
      <x:c r="J1200" s="2" t="str">
        <x:v>EV002391</x:v>
      </x:c>
      <x:c r="K1200" s="8" t="n">
        <x:v>46303.708611111106</x:v>
      </x:c>
      <x:c r="L1200" s="2" t="str">
        <x:v>SCH01</x:v>
      </x:c>
      <x:c r="M1200" s="9" t="n">
        <x:v>25.285</x:v>
      </x:c>
      <x:c r="N1200" s="9" t="n">
        <x:v>51.51</x:v>
      </x:c>
      <x:c r="O1200" s="2" t="str">
        <x:v>Valid</x:v>
      </x:c>
      <x:c r="P1200" s="2" t="str">
        <x:v>EV002392</x:v>
      </x:c>
      <x:c r="Q1200" s="8" t="n">
        <x:v>46303.733611111114</x:v>
      </x:c>
      <x:c r="R1200" s="2" t="str">
        <x:v>R3S3</x:v>
      </x:c>
      <x:c r="S1200" s="9" t="n">
        <x:v>25.293000000000003</x:v>
      </x:c>
      <x:c r="T1200" s="9" t="n">
        <x:v>51.513</x:v>
      </x:c>
      <x:c r="U1200" s="2" t="str">
        <x:v>G119</x:v>
      </x:c>
      <x:c r="V1200" s="2" t="str">
        <x:v>Authorized guardian release</x:v>
      </x:c>
      <x:c r="W1200" s="2" t="str">
        <x:v>Completed transport</x:v>
      </x:c>
      <x:c r="X1200" s="2" t="str">
        <x:v>QR</x:v>
      </x:c>
      <x:c r="Y1200" s="2" t="str">
        <x:v>Online</x:v>
      </x:c>
      <x:c r="Z1200" s="2" t="str">
        <x:v>Synced</x:v>
      </x:c>
      <x:c r="AA1200" s="2"/>
      <x:c r="AB1200" s="2"/>
      <x:c r="AC1200" s="10" t="n">
        <x:f>IF(OR(K1200="",Q1200=""),"",ROUND((Q1200-K1200)*1440,2))</x:f>
        <x:v>36</x:v>
      </x:c>
    </x:row>
    <x:row r="1201" ht="21" customHeight="1">
      <x:c r="A1201" s="2" t="str">
        <x:v>LN01200</x:v>
      </x:c>
      <x:c r="B1201" s="2" t="str">
        <x:v>T20261008-5-3</x:v>
      </x:c>
      <x:c r="C1201" s="7" t="n">
        <x:v>46303</x:v>
      </x:c>
      <x:c r="D1201" s="2" t="str">
        <x:v>BUS003</x:v>
      </x:c>
      <x:c r="E1201" s="2" t="str">
        <x:v>ST120</x:v>
      </x:c>
      <x:c r="F1201" s="2" t="n">
        <x:v>2</x:v>
      </x:c>
      <x:c r="G1201" s="2" t="str">
        <x:v>Senior</x:v>
      </x:c>
      <x:c r="H1201" s="2" t="str">
        <x:v>Drop-off</x:v>
      </x:c>
      <x:c r="I1201" s="2" t="str">
        <x:v>R3S1</x:v>
      </x:c>
      <x:c r="J1201" s="2" t="str">
        <x:v>EV002393</x:v>
      </x:c>
      <x:c r="K1201" s="8" t="n">
        <x:v>46303.70864583333</x:v>
      </x:c>
      <x:c r="L1201" s="2" t="str">
        <x:v>SCH01</x:v>
      </x:c>
      <x:c r="M1201" s="9" t="n">
        <x:v>25.285</x:v>
      </x:c>
      <x:c r="N1201" s="9" t="n">
        <x:v>51.51</x:v>
      </x:c>
      <x:c r="O1201" s="2" t="str">
        <x:v>Valid</x:v>
      </x:c>
      <x:c r="P1201" s="2"/>
      <x:c r="Q1201" s="8"/>
      <x:c r="R1201" s="2"/>
      <x:c r="S1201" s="9"/>
      <x:c r="T1201" s="9"/>
      <x:c r="U1201" s="2"/>
      <x:c r="V1201" s="2"/>
      <x:c r="W1201" s="2" t="str">
        <x:v>Onboard</x:v>
      </x:c>
      <x:c r="X1201" s="2" t="str">
        <x:v>QR</x:v>
      </x:c>
      <x:c r="Y1201" s="2" t="str">
        <x:v>Online</x:v>
      </x:c>
      <x:c r="Z1201" s="2" t="str">
        <x:v>Synced</x:v>
      </x:c>
      <x:c r="AA1201" s="2"/>
      <x:c r="AB1201" s="2" t="str">
        <x:v>EX0006</x:v>
      </x:c>
      <x:c r="AC1201" s="10" t="str">
        <x:f>IF(OR(K1201="",Q1201=""),"",ROUND((Q1201-K1201)*1440,2))</x:f>
      </x:c>
    </x:row>
  </x:sheetData>
  <x:conditionalFormatting sqref="W2:W1201">
    <x:cfRule type="containsText" dxfId="1" priority="1" operator="containsText" text="Onboard"/>
  </x:conditionalFormatting>
  <x:pageMargins left="0.7" right="0.7" top="0.75" bottom="0.75" header="0.3" footer="0.3"/>
  <x:tableParts count="1">
    <x:tablePart xmlns:r="http://schemas.openxmlformats.org/officeDocument/2006/relationships" r:id="R3abb2998d3aa46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0" hidden="0" customWidth="1"/>
    <x:col min="5" max="5" width="27" hidden="0" customWidth="1"/>
    <x:col min="6" max="6" width="25" hidden="0" customWidth="1"/>
    <x:col min="7" max="7" width="25" hidden="0" customWidth="1"/>
    <x:col min="8" max="8" width="20" hidden="0" customWidth="1"/>
    <x:col min="9" max="9" width="17" hidden="0" customWidth="1"/>
    <x:col min="10" max="10" width="17" hidden="0" customWidth="1"/>
    <x:col min="11" max="11" width="20" hidden="0" customWidth="1"/>
    <x:col min="12" max="12" width="27" hidden="0" customWidth="1"/>
    <x:col min="13" max="13" width="20" hidden="0" customWidth="1"/>
    <x:col min="14" max="14" width="20" hidden="0" customWidth="1"/>
    <x:col min="15" max="15" width="27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7" hidden="0" customWidth="1"/>
  </x:cols>
  <x:sheetData>
    <x:row r="1" ht="34" customHeight="1">
      <x:c r="A1" s="6" t="str">
        <x:v>Event_ID</x:v>
      </x:c>
      <x:c r="B1" s="6" t="str">
        <x:v>Trip_ID</x:v>
      </x:c>
      <x:c r="C1" s="6" t="str">
        <x:v>Student_ID</x:v>
      </x:c>
      <x:c r="D1" s="6" t="str">
        <x:v>Badge_Token</x:v>
      </x:c>
      <x:c r="E1" s="6" t="str">
        <x:v>Event_Type</x:v>
      </x:c>
      <x:c r="F1" s="6" t="str">
        <x:v>Capture_Time</x:v>
      </x:c>
      <x:c r="G1" s="6" t="str">
        <x:v>Server_Receipt_Time</x:v>
      </x:c>
      <x:c r="H1" s="6" t="str">
        <x:v>Location_ID</x:v>
      </x:c>
      <x:c r="I1" s="6" t="str">
        <x:v>Latitude</x:v>
      </x:c>
      <x:c r="J1" s="6" t="str">
        <x:v>Longitude</x:v>
      </x:c>
      <x:c r="K1" s="6" t="str">
        <x:v>Accuracy_Metres</x:v>
      </x:c>
      <x:c r="L1" s="6" t="str">
        <x:v>GPS_Status</x:v>
      </x:c>
      <x:c r="M1" s="6" t="str">
        <x:v>Capture_Method</x:v>
      </x:c>
      <x:c r="N1" s="6" t="str">
        <x:v>Accepted</x:v>
      </x:c>
      <x:c r="O1" s="6" t="str">
        <x:v>Validation_Result</x:v>
      </x:c>
      <x:c r="P1" s="6" t="str">
        <x:v>Operator_ID</x:v>
      </x:c>
      <x:c r="Q1" s="6" t="str">
        <x:v>Device_ID</x:v>
      </x:c>
      <x:c r="R1" s="6" t="str">
        <x:v>Device_Sequence</x:v>
      </x:c>
      <x:c r="S1" s="6" t="str">
        <x:v>Capture_Connectivity</x:v>
      </x:c>
      <x:c r="T1" s="6" t="str">
        <x:v>Sync_Status</x:v>
      </x:c>
    </x:row>
    <x:row r="2" ht="21" customHeight="1">
      <x:c r="A2" s="2" t="str">
        <x:v>EV000040</x:v>
      </x:c>
      <x:c r="B2" s="2" t="str">
        <x:v>T20261004-1-1</x:v>
      </x:c>
      <x:c r="C2" s="2" t="str">
        <x:v>ST041</x:v>
      </x:c>
      <x:c r="D2" s="2" t="str">
        <x:v>78597cf805a87b7619460b6ed67f501f</x:v>
      </x:c>
      <x:c r="E2" s="2" t="str">
        <x:v>CHECK_IN</x:v>
      </x:c>
      <x:c r="F2" s="8" t="n">
        <x:v>46299.23611111111</x:v>
      </x:c>
      <x:c r="G2" s="8" t="n">
        <x:v>46299.236134259256</x:v>
      </x:c>
      <x:c r="H2" s="2" t="str">
        <x:v>R1S1</x:v>
      </x:c>
      <x:c r="I2" s="9" t="n">
        <x:v>25.271</x:v>
      </x:c>
      <x:c r="J2" s="9" t="n">
        <x:v>51.491</x:v>
      </x:c>
      <x:c r="K2" s="2" t="n">
        <x:v>8</x:v>
      </x:c>
      <x:c r="L2" s="2" t="str">
        <x:v>Valid</x:v>
      </x:c>
      <x:c r="M2" s="2" t="str">
        <x:v>QR</x:v>
      </x:c>
      <x:c r="N2" s="2" t="n">
        <x:v>0</x:v>
      </x:c>
      <x:c r="O2" s="2" t="str">
        <x:v>Wrong bus rejected</x:v>
      </x:c>
      <x:c r="P2" s="2" t="str">
        <x:v>S001</x:v>
      </x:c>
      <x:c r="Q2" s="2" t="str">
        <x:v>DEV001</x:v>
      </x:c>
      <x:c r="R2" s="2" t="n">
        <x:v>1</x:v>
      </x:c>
      <x:c r="S2" s="2" t="str">
        <x:v>Online</x:v>
      </x:c>
      <x:c r="T2" s="2" t="str">
        <x:v>Synced</x:v>
      </x:c>
    </x:row>
    <x:row r="3" ht="21" customHeight="1">
      <x:c r="A3" s="2" t="str">
        <x:v>EV000159</x:v>
      </x:c>
      <x:c r="B3" s="2" t="str">
        <x:v>T20261004-1-2</x:v>
      </x:c>
      <x:c r="C3" s="2" t="str">
        <x:v>ST041</x:v>
      </x:c>
      <x:c r="D3" s="2" t="str">
        <x:v>78597cf805a87b7619460b6ed67f501f</x:v>
      </x:c>
      <x:c r="E3" s="2" t="str">
        <x:v>CHECK_IN</x:v>
      </x:c>
      <x:c r="F3" s="8" t="n">
        <x:v>46299.242361111115</x:v>
      </x:c>
      <x:c r="G3" s="8" t="n">
        <x:v>46299.24238425926</x:v>
      </x:c>
      <x:c r="H3" s="2" t="str">
        <x:v>R2S1</x:v>
      </x:c>
      <x:c r="I3" s="9" t="n">
        <x:v>25.28</x:v>
      </x:c>
      <x:c r="J3" s="9" t="n">
        <x:v>51.498999999999995</x:v>
      </x:c>
      <x:c r="K3" s="2" t="n">
        <x:v>8</x:v>
      </x:c>
      <x:c r="L3" s="2" t="str">
        <x:v>Valid</x:v>
      </x:c>
      <x:c r="M3" s="2" t="str">
        <x:v>QR</x:v>
      </x:c>
      <x:c r="N3" s="2" t="n">
        <x:v>1</x:v>
      </x:c>
      <x:c r="O3" s="2" t="str">
        <x:v>Accepted</x:v>
      </x:c>
      <x:c r="P3" s="2" t="str">
        <x:v>S002</x:v>
      </x:c>
      <x:c r="Q3" s="2" t="str">
        <x:v>DEV002</x:v>
      </x:c>
      <x:c r="R3" s="2" t="n">
        <x:v>1</x:v>
      </x:c>
      <x:c r="S3" s="2" t="str">
        <x:v>Online</x:v>
      </x:c>
      <x:c r="T3" s="2" t="str">
        <x:v>Synced</x:v>
      </x:c>
    </x:row>
    <x:row r="4" ht="21" customHeight="1">
      <x:c r="A4" s="2" t="str">
        <x:v>EV000319</x:v>
      </x:c>
      <x:c r="B4" s="2" t="str">
        <x:v>T20261004-1-3</x:v>
      </x:c>
      <x:c r="C4" s="2" t="str">
        <x:v>ST081</x:v>
      </x:c>
      <x:c r="D4" s="2" t="str">
        <x:v>8631b63b10b36bffa6456d354db9c08f</x:v>
      </x:c>
      <x:c r="E4" s="2" t="str">
        <x:v>CHECK_IN</x:v>
      </x:c>
      <x:c r="F4" s="8" t="n">
        <x:v>46299.242361111115</x:v>
      </x:c>
      <x:c r="G4" s="8" t="n">
        <x:v>46299.24238425926</x:v>
      </x:c>
      <x:c r="H4" s="2" t="str">
        <x:v>R3S1</x:v>
      </x:c>
      <x:c r="I4" s="9" t="n">
        <x:v>25.289</x:v>
      </x:c>
      <x:c r="J4" s="9" t="n">
        <x:v>51.507</x:v>
      </x:c>
      <x:c r="K4" s="2" t="n">
        <x:v>8</x:v>
      </x:c>
      <x:c r="L4" s="2" t="str">
        <x:v>Valid</x:v>
      </x:c>
      <x:c r="M4" s="2" t="str">
        <x:v>QR</x:v>
      </x:c>
      <x:c r="N4" s="2" t="n">
        <x:v>1</x:v>
      </x:c>
      <x:c r="O4" s="2" t="str">
        <x:v>Accepted</x:v>
      </x:c>
      <x:c r="P4" s="2" t="str">
        <x:v>S003</x:v>
      </x:c>
      <x:c r="Q4" s="2" t="str">
        <x:v>DEV003</x:v>
      </x:c>
      <x:c r="R4" s="2" t="n">
        <x:v>1</x:v>
      </x:c>
      <x:c r="S4" s="2" t="str">
        <x:v>Online</x:v>
      </x:c>
      <x:c r="T4" s="2" t="str">
        <x:v>Synced</x:v>
      </x:c>
    </x:row>
    <x:row r="5" ht="21" customHeight="1">
      <x:c r="A5" s="2" t="str">
        <x:v>EV000024</x:v>
      </x:c>
      <x:c r="B5" s="2" t="str">
        <x:v>T20261004-1-1</x:v>
      </x:c>
      <x:c r="C5" s="2" t="str">
        <x:v>ST013</x:v>
      </x:c>
      <x:c r="D5" s="2" t="str">
        <x:v>ddc4bbe364f02f5a2177795c49ea7ba9</x:v>
      </x:c>
      <x:c r="E5" s="2" t="str">
        <x:v>CHECK_IN</x:v>
      </x:c>
      <x:c r="F5" s="8" t="n">
        <x:v>46299.24243055556</x:v>
      </x:c>
      <x:c r="G5" s="8" t="n">
        <x:v>46299.24245370371</x:v>
      </x:c>
      <x:c r="H5" s="2" t="str">
        <x:v>R1S1</x:v>
      </x:c>
      <x:c r="I5" s="9" t="n">
        <x:v>25.271</x:v>
      </x:c>
      <x:c r="J5" s="9" t="n">
        <x:v>51.491</x:v>
      </x:c>
      <x:c r="K5" s="2" t="n">
        <x:v>8</x:v>
      </x:c>
      <x:c r="L5" s="2" t="str">
        <x:v>Valid</x:v>
      </x:c>
      <x:c r="M5" s="2" t="str">
        <x:v>QR</x:v>
      </x:c>
      <x:c r="N5" s="2" t="n">
        <x:v>1</x:v>
      </x:c>
      <x:c r="O5" s="2" t="str">
        <x:v>Accepted</x:v>
      </x:c>
      <x:c r="P5" s="2" t="str">
        <x:v>S001</x:v>
      </x:c>
      <x:c r="Q5" s="2" t="str">
        <x:v>DEV001</x:v>
      </x:c>
      <x:c r="R5" s="2" t="n">
        <x:v>2</x:v>
      </x:c>
      <x:c r="S5" s="2" t="str">
        <x:v>Online</x:v>
      </x:c>
      <x:c r="T5" s="2" t="str">
        <x:v>Synced</x:v>
      </x:c>
    </x:row>
    <x:row r="6" ht="21" customHeight="1">
      <x:c r="A6" s="2" t="str">
        <x:v>EV000183</x:v>
      </x:c>
      <x:c r="B6" s="2" t="str">
        <x:v>T20261004-1-2</x:v>
      </x:c>
      <x:c r="C6" s="2" t="str">
        <x:v>ST053</x:v>
      </x:c>
      <x:c r="D6" s="2" t="str">
        <x:v>e476277c519e294480cfa14a37e177a0</x:v>
      </x:c>
      <x:c r="E6" s="2" t="str">
        <x:v>CHECK_IN</x:v>
      </x:c>
      <x:c r="F6" s="8" t="n">
        <x:v>46299.24243055556</x:v>
      </x:c>
      <x:c r="G6" s="8" t="n">
        <x:v>46299.24245370371</x:v>
      </x:c>
      <x:c r="H6" s="2" t="str">
        <x:v>R2S1</x:v>
      </x:c>
      <x:c r="I6" s="9" t="n">
        <x:v>25.28</x:v>
      </x:c>
      <x:c r="J6" s="9" t="n">
        <x:v>51.498999999999995</x:v>
      </x:c>
      <x:c r="K6" s="2" t="n">
        <x:v>8</x:v>
      </x:c>
      <x:c r="L6" s="2" t="str">
        <x:v>Valid</x:v>
      </x:c>
      <x:c r="M6" s="2" t="str">
        <x:v>QR</x:v>
      </x:c>
      <x:c r="N6" s="2" t="n">
        <x:v>1</x:v>
      </x:c>
      <x:c r="O6" s="2" t="str">
        <x:v>Accepted</x:v>
      </x:c>
      <x:c r="P6" s="2" t="str">
        <x:v>S002</x:v>
      </x:c>
      <x:c r="Q6" s="2" t="str">
        <x:v>DEV002</x:v>
      </x:c>
      <x:c r="R6" s="2" t="n">
        <x:v>2</x:v>
      </x:c>
      <x:c r="S6" s="2" t="str">
        <x:v>Online</x:v>
      </x:c>
      <x:c r="T6" s="2" t="str">
        <x:v>Synced</x:v>
      </x:c>
    </x:row>
    <x:row r="7" ht="21" customHeight="1">
      <x:c r="A7" s="2" t="str">
        <x:v>EV000343</x:v>
      </x:c>
      <x:c r="B7" s="2" t="str">
        <x:v>T20261004-1-3</x:v>
      </x:c>
      <x:c r="C7" s="2" t="str">
        <x:v>ST093</x:v>
      </x:c>
      <x:c r="D7" s="2" t="str">
        <x:v>e69cdca4f10e82426e9a3098f4672791</x:v>
      </x:c>
      <x:c r="E7" s="2" t="str">
        <x:v>CHECK_IN</x:v>
      </x:c>
      <x:c r="F7" s="8" t="n">
        <x:v>46299.24243055556</x:v>
      </x:c>
      <x:c r="G7" s="8" t="n">
        <x:v>46299.24245370371</x:v>
      </x:c>
      <x:c r="H7" s="2" t="str">
        <x:v>R3S1</x:v>
      </x:c>
      <x:c r="I7" s="9" t="n">
        <x:v>25.289</x:v>
      </x:c>
      <x:c r="J7" s="9" t="n">
        <x:v>51.507</x:v>
      </x:c>
      <x:c r="K7" s="2" t="n">
        <x:v>8</x:v>
      </x:c>
      <x:c r="L7" s="2" t="str">
        <x:v>Valid</x:v>
      </x:c>
      <x:c r="M7" s="2" t="str">
        <x:v>QR</x:v>
      </x:c>
      <x:c r="N7" s="2" t="n">
        <x:v>1</x:v>
      </x:c>
      <x:c r="O7" s="2" t="str">
        <x:v>Accepted</x:v>
      </x:c>
      <x:c r="P7" s="2" t="str">
        <x:v>S003</x:v>
      </x:c>
      <x:c r="Q7" s="2" t="str">
        <x:v>DEV003</x:v>
      </x:c>
      <x:c r="R7" s="2" t="n">
        <x:v>2</x:v>
      </x:c>
      <x:c r="S7" s="2" t="str">
        <x:v>Online</x:v>
      </x:c>
      <x:c r="T7" s="2" t="str">
        <x:v>Synced</x:v>
      </x:c>
    </x:row>
    <x:row r="8" ht="21" customHeight="1">
      <x:c r="A8" s="2" t="str">
        <x:v>EV000005</x:v>
      </x:c>
      <x:c r="B8" s="2" t="str">
        <x:v>T20261004-1-1</x:v>
      </x:c>
      <x:c r="C8" s="2" t="str">
        <x:v>ST004</x:v>
      </x:c>
      <x:c r="D8" s="2" t="str">
        <x:v>7dee56e67101a0dd8483e1503eba9a72</x:v>
      </x:c>
      <x:c r="E8" s="2" t="str">
        <x:v>CHECK_IN</x:v>
      </x:c>
      <x:c r="F8" s="8" t="n">
        <x:v>46299.242465277785</x:v>
      </x:c>
      <x:c r="G8" s="8" t="n">
        <x:v>46299.24248842593</x:v>
      </x:c>
      <x:c r="H8" s="2" t="str">
        <x:v>R1S1</x:v>
      </x:c>
      <x:c r="I8" s="9" t="n">
        <x:v>25.271</x:v>
      </x:c>
      <x:c r="J8" s="9" t="n">
        <x:v>51.491</x:v>
      </x:c>
      <x:c r="K8" s="2" t="n">
        <x:v>8</x:v>
      </x:c>
      <x:c r="L8" s="2" t="str">
        <x:v>Valid</x:v>
      </x:c>
      <x:c r="M8" s="2" t="str">
        <x:v>QR</x:v>
      </x:c>
      <x:c r="N8" s="2" t="n">
        <x:v>1</x:v>
      </x:c>
      <x:c r="O8" s="2" t="str">
        <x:v>Accepted</x:v>
      </x:c>
      <x:c r="P8" s="2" t="str">
        <x:v>S001</x:v>
      </x:c>
      <x:c r="Q8" s="2" t="str">
        <x:v>DEV001</x:v>
      </x:c>
      <x:c r="R8" s="2" t="n">
        <x:v>3</x:v>
      </x:c>
      <x:c r="S8" s="2" t="str">
        <x:v>Online</x:v>
      </x:c>
      <x:c r="T8" s="2" t="str">
        <x:v>Synced</x:v>
      </x:c>
    </x:row>
    <x:row r="9" ht="21" customHeight="1">
      <x:c r="A9" s="2" t="str">
        <x:v>EV000165</x:v>
      </x:c>
      <x:c r="B9" s="2" t="str">
        <x:v>T20261004-1-2</x:v>
      </x:c>
      <x:c r="C9" s="2" t="str">
        <x:v>ST044</x:v>
      </x:c>
      <x:c r="D9" s="2" t="str">
        <x:v>638b036dff08260bc8976402fb10157a</x:v>
      </x:c>
      <x:c r="E9" s="2" t="str">
        <x:v>CHECK_IN</x:v>
      </x:c>
      <x:c r="F9" s="8" t="n">
        <x:v>46299.242465277785</x:v>
      </x:c>
      <x:c r="G9" s="8" t="n">
        <x:v>46299.24248842593</x:v>
      </x:c>
      <x:c r="H9" s="2" t="str">
        <x:v>R2S1</x:v>
      </x:c>
      <x:c r="I9" s="9" t="n">
        <x:v>25.28</x:v>
      </x:c>
      <x:c r="J9" s="9" t="n">
        <x:v>51.498999999999995</x:v>
      </x:c>
      <x:c r="K9" s="2" t="n">
        <x:v>8</x:v>
      </x:c>
      <x:c r="L9" s="2" t="str">
        <x:v>Valid</x:v>
      </x:c>
      <x:c r="M9" s="2" t="str">
        <x:v>QR</x:v>
      </x:c>
      <x:c r="N9" s="2" t="n">
        <x:v>1</x:v>
      </x:c>
      <x:c r="O9" s="2" t="str">
        <x:v>Accepted</x:v>
      </x:c>
      <x:c r="P9" s="2" t="str">
        <x:v>S002</x:v>
      </x:c>
      <x:c r="Q9" s="2" t="str">
        <x:v>DEV002</x:v>
      </x:c>
      <x:c r="R9" s="2" t="n">
        <x:v>3</x:v>
      </x:c>
      <x:c r="S9" s="2" t="str">
        <x:v>Online</x:v>
      </x:c>
      <x:c r="T9" s="2" t="str">
        <x:v>Synced</x:v>
      </x:c>
    </x:row>
    <x:row r="10" ht="21" customHeight="1">
      <x:c r="A10" s="2" t="str">
        <x:v>EV000325</x:v>
      </x:c>
      <x:c r="B10" s="2" t="str">
        <x:v>T20261004-1-3</x:v>
      </x:c>
      <x:c r="C10" s="2" t="str">
        <x:v>ST084</x:v>
      </x:c>
      <x:c r="D10" s="2" t="str">
        <x:v>2f6163b722feb8421b83fd278ee72e5c</x:v>
      </x:c>
      <x:c r="E10" s="2" t="str">
        <x:v>CHECK_IN</x:v>
      </x:c>
      <x:c r="F10" s="8" t="n">
        <x:v>46299.242465277785</x:v>
      </x:c>
      <x:c r="G10" s="8" t="n">
        <x:v>46299.24248842593</x:v>
      </x:c>
      <x:c r="H10" s="2" t="str">
        <x:v>R3S1</x:v>
      </x:c>
      <x:c r="I10" s="9" t="n">
        <x:v>25.289</x:v>
      </x:c>
      <x:c r="J10" s="9" t="n">
        <x:v>51.507</x:v>
      </x:c>
      <x:c r="K10" s="2" t="n">
        <x:v>8</x:v>
      </x:c>
      <x:c r="L10" s="2" t="str">
        <x:v>Valid</x:v>
      </x:c>
      <x:c r="M10" s="2" t="str">
        <x:v>QR</x:v>
      </x:c>
      <x:c r="N10" s="2" t="n">
        <x:v>1</x:v>
      </x:c>
      <x:c r="O10" s="2" t="str">
        <x:v>Accepted</x:v>
      </x:c>
      <x:c r="P10" s="2" t="str">
        <x:v>S003</x:v>
      </x:c>
      <x:c r="Q10" s="2" t="str">
        <x:v>DEV003</x:v>
      </x:c>
      <x:c r="R10" s="2" t="n">
        <x:v>3</x:v>
      </x:c>
      <x:c r="S10" s="2" t="str">
        <x:v>Online</x:v>
      </x:c>
      <x:c r="T10" s="2" t="str">
        <x:v>Synced</x:v>
      </x:c>
    </x:row>
    <x:row r="11" ht="21" customHeight="1">
      <x:c r="A11" s="2" t="str">
        <x:v>EV000030</x:v>
      </x:c>
      <x:c r="B11" s="2" t="str">
        <x:v>T20261004-1-1</x:v>
      </x:c>
      <x:c r="C11" s="2" t="str">
        <x:v>ST016</x:v>
      </x:c>
      <x:c r="D11" s="2" t="str">
        <x:v>5227a65bcc4ea356d570fe16b2970ea5</x:v>
      </x:c>
      <x:c r="E11" s="2" t="str">
        <x:v>CHECK_IN</x:v>
      </x:c>
      <x:c r="F11" s="8" t="n">
        <x:v>46299.24253472222</x:v>
      </x:c>
      <x:c r="G11" s="8" t="n">
        <x:v>46299.24255787037</x:v>
      </x:c>
      <x:c r="H11" s="2" t="str">
        <x:v>R1S1</x:v>
      </x:c>
      <x:c r="I11" s="9" t="n">
        <x:v>25.271</x:v>
      </x:c>
      <x:c r="J11" s="9" t="n">
        <x:v>51.491</x:v>
      </x:c>
      <x:c r="K11" s="2" t="n">
        <x:v>8</x:v>
      </x:c>
      <x:c r="L11" s="2" t="str">
        <x:v>Valid</x:v>
      </x:c>
      <x:c r="M11" s="2" t="str">
        <x:v>QR</x:v>
      </x:c>
      <x:c r="N11" s="2" t="n">
        <x:v>1</x:v>
      </x:c>
      <x:c r="O11" s="2" t="str">
        <x:v>Accepted</x:v>
      </x:c>
      <x:c r="P11" s="2" t="str">
        <x:v>S001</x:v>
      </x:c>
      <x:c r="Q11" s="2" t="str">
        <x:v>DEV001</x:v>
      </x:c>
      <x:c r="R11" s="2" t="n">
        <x:v>4</x:v>
      </x:c>
      <x:c r="S11" s="2" t="str">
        <x:v>Online</x:v>
      </x:c>
      <x:c r="T11" s="2" t="str">
        <x:v>Synced</x:v>
      </x:c>
    </x:row>
    <x:row r="12" ht="21" customHeight="1">
      <x:c r="A12" s="2" t="str">
        <x:v>EV000189</x:v>
      </x:c>
      <x:c r="B12" s="2" t="str">
        <x:v>T20261004-1-2</x:v>
      </x:c>
      <x:c r="C12" s="2" t="str">
        <x:v>ST056</x:v>
      </x:c>
      <x:c r="D12" s="2" t="str">
        <x:v>245ed370430be1001f6d7d13404dd8b1</x:v>
      </x:c>
      <x:c r="E12" s="2" t="str">
        <x:v>CHECK_IN</x:v>
      </x:c>
      <x:c r="F12" s="8" t="n">
        <x:v>46299.24253472222</x:v>
      </x:c>
      <x:c r="G12" s="8" t="n">
        <x:v>46299.24255787037</x:v>
      </x:c>
      <x:c r="H12" s="2" t="str">
        <x:v>R2S1</x:v>
      </x:c>
      <x:c r="I12" s="9" t="n">
        <x:v>25.28</x:v>
      </x:c>
      <x:c r="J12" s="9" t="n">
        <x:v>51.498999999999995</x:v>
      </x:c>
      <x:c r="K12" s="2" t="n">
        <x:v>8</x:v>
      </x:c>
      <x:c r="L12" s="2" t="str">
        <x:v>Valid</x:v>
      </x:c>
      <x:c r="M12" s="2" t="str">
        <x:v>QR</x:v>
      </x:c>
      <x:c r="N12" s="2" t="n">
        <x:v>1</x:v>
      </x:c>
      <x:c r="O12" s="2" t="str">
        <x:v>Accepted</x:v>
      </x:c>
      <x:c r="P12" s="2" t="str">
        <x:v>S002</x:v>
      </x:c>
      <x:c r="Q12" s="2" t="str">
        <x:v>DEV002</x:v>
      </x:c>
      <x:c r="R12" s="2" t="n">
        <x:v>4</x:v>
      </x:c>
      <x:c r="S12" s="2" t="str">
        <x:v>Online</x:v>
      </x:c>
      <x:c r="T12" s="2" t="str">
        <x:v>Synced</x:v>
      </x:c>
    </x:row>
    <x:row r="13" ht="21" customHeight="1">
      <x:c r="A13" s="2" t="str">
        <x:v>EV000349</x:v>
      </x:c>
      <x:c r="B13" s="2" t="str">
        <x:v>T20261004-1-3</x:v>
      </x:c>
      <x:c r="C13" s="2" t="str">
        <x:v>ST096</x:v>
      </x:c>
      <x:c r="D13" s="2" t="str">
        <x:v>46905fa8ca039f79eec63d82a6ea3c69</x:v>
      </x:c>
      <x:c r="E13" s="2" t="str">
        <x:v>CHECK_IN</x:v>
      </x:c>
      <x:c r="F13" s="8" t="n">
        <x:v>46299.24253472222</x:v>
      </x:c>
      <x:c r="G13" s="8" t="n">
        <x:v>46299.24255787037</x:v>
      </x:c>
      <x:c r="H13" s="2" t="str">
        <x:v>R3S1</x:v>
      </x:c>
      <x:c r="I13" s="9" t="n">
        <x:v>25.289</x:v>
      </x:c>
      <x:c r="J13" s="9" t="n">
        <x:v>51.507</x:v>
      </x:c>
      <x:c r="K13" s="2" t="n">
        <x:v>8</x:v>
      </x:c>
      <x:c r="L13" s="2" t="str">
        <x:v>Valid</x:v>
      </x:c>
      <x:c r="M13" s="2" t="str">
        <x:v>QR</x:v>
      </x:c>
      <x:c r="N13" s="2" t="n">
        <x:v>1</x:v>
      </x:c>
      <x:c r="O13" s="2" t="str">
        <x:v>Accepted</x:v>
      </x:c>
      <x:c r="P13" s="2" t="str">
        <x:v>S003</x:v>
      </x:c>
      <x:c r="Q13" s="2" t="str">
        <x:v>DEV003</x:v>
      </x:c>
      <x:c r="R13" s="2" t="n">
        <x:v>4</x:v>
      </x:c>
      <x:c r="S13" s="2" t="str">
        <x:v>Online</x:v>
      </x:c>
      <x:c r="T13" s="2" t="str">
        <x:v>Synced</x:v>
      </x:c>
    </x:row>
    <x:row r="14" ht="21" customHeight="1">
      <x:c r="A14" s="2" t="str">
        <x:v>EV000011</x:v>
      </x:c>
      <x:c r="B14" s="2" t="str">
        <x:v>T20261004-1-1</x:v>
      </x:c>
      <x:c r="C14" s="2" t="str">
        <x:v>ST007</x:v>
      </x:c>
      <x:c r="D14" s="2" t="str">
        <x:v>2376173ab02a96d9b58d44caf4008dfd</x:v>
      </x:c>
      <x:c r="E14" s="2" t="str">
        <x:v>CHECK_IN</x:v>
      </x:c>
      <x:c r="F14" s="8" t="n">
        <x:v>46299.24256944445</x:v>
      </x:c>
      <x:c r="G14" s="8" t="n">
        <x:v>46299.24259259259</x:v>
      </x:c>
      <x:c r="H14" s="2" t="str">
        <x:v>R1S1</x:v>
      </x:c>
      <x:c r="I14" s="9" t="n">
        <x:v>25.271</x:v>
      </x:c>
      <x:c r="J14" s="9" t="n">
        <x:v>51.491</x:v>
      </x:c>
      <x:c r="K14" s="2" t="n">
        <x:v>8</x:v>
      </x:c>
      <x:c r="L14" s="2" t="str">
        <x:v>Valid</x:v>
      </x:c>
      <x:c r="M14" s="2" t="str">
        <x:v>QR</x:v>
      </x:c>
      <x:c r="N14" s="2" t="n">
        <x:v>1</x:v>
      </x:c>
      <x:c r="O14" s="2" t="str">
        <x:v>Accepted</x:v>
      </x:c>
      <x:c r="P14" s="2" t="str">
        <x:v>S001</x:v>
      </x:c>
      <x:c r="Q14" s="2" t="str">
        <x:v>DEV001</x:v>
      </x:c>
      <x:c r="R14" s="2" t="n">
        <x:v>5</x:v>
      </x:c>
      <x:c r="S14" s="2" t="str">
        <x:v>Online</x:v>
      </x:c>
      <x:c r="T14" s="2" t="str">
        <x:v>Synced</x:v>
      </x:c>
    </x:row>
    <x:row r="15" ht="21" customHeight="1">
      <x:c r="A15" s="2" t="str">
        <x:v>EV000171</x:v>
      </x:c>
      <x:c r="B15" s="2" t="str">
        <x:v>T20261004-1-2</x:v>
      </x:c>
      <x:c r="C15" s="2" t="str">
        <x:v>ST047</x:v>
      </x:c>
      <x:c r="D15" s="2" t="str">
        <x:v>b3f6380a42fb190ae04afac7edee87cd</x:v>
      </x:c>
      <x:c r="E15" s="2" t="str">
        <x:v>CHECK_IN</x:v>
      </x:c>
      <x:c r="F15" s="8" t="n">
        <x:v>46299.24256944445</x:v>
      </x:c>
      <x:c r="G15" s="8" t="n">
        <x:v>46299.24259259259</x:v>
      </x:c>
      <x:c r="H15" s="2" t="str">
        <x:v>R2S1</x:v>
      </x:c>
      <x:c r="I15" s="9" t="n">
        <x:v>25.28</x:v>
      </x:c>
      <x:c r="J15" s="9" t="n">
        <x:v>51.498999999999995</x:v>
      </x:c>
      <x:c r="K15" s="2" t="n">
        <x:v>8</x:v>
      </x:c>
      <x:c r="L15" s="2" t="str">
        <x:v>Valid</x:v>
      </x:c>
      <x:c r="M15" s="2" t="str">
        <x:v>QR</x:v>
      </x:c>
      <x:c r="N15" s="2" t="n">
        <x:v>1</x:v>
      </x:c>
      <x:c r="O15" s="2" t="str">
        <x:v>Accepted</x:v>
      </x:c>
      <x:c r="P15" s="2" t="str">
        <x:v>S002</x:v>
      </x:c>
      <x:c r="Q15" s="2" t="str">
        <x:v>DEV002</x:v>
      </x:c>
      <x:c r="R15" s="2" t="n">
        <x:v>5</x:v>
      </x:c>
      <x:c r="S15" s="2" t="str">
        <x:v>Online</x:v>
      </x:c>
      <x:c r="T15" s="2" t="str">
        <x:v>Synced</x:v>
      </x:c>
    </x:row>
    <x:row r="16" ht="21" customHeight="1">
      <x:c r="A16" s="2" t="str">
        <x:v>EV000331</x:v>
      </x:c>
      <x:c r="B16" s="2" t="str">
        <x:v>T20261004-1-3</x:v>
      </x:c>
      <x:c r="C16" s="2" t="str">
        <x:v>ST087</x:v>
      </x:c>
      <x:c r="D16" s="2" t="str">
        <x:v>30243cf46003be06b271950aa5cd47a6</x:v>
      </x:c>
      <x:c r="E16" s="2" t="str">
        <x:v>CHECK_IN</x:v>
      </x:c>
      <x:c r="F16" s="8" t="n">
        <x:v>46299.24256944445</x:v>
      </x:c>
      <x:c r="G16" s="8" t="n">
        <x:v>46299.24259259259</x:v>
      </x:c>
      <x:c r="H16" s="2" t="str">
        <x:v>R3S1</x:v>
      </x:c>
      <x:c r="I16" s="9" t="n">
        <x:v>25.289</x:v>
      </x:c>
      <x:c r="J16" s="9" t="n">
        <x:v>51.507</x:v>
      </x:c>
      <x:c r="K16" s="2" t="n">
        <x:v>8</x:v>
      </x:c>
      <x:c r="L16" s="2" t="str">
        <x:v>Valid</x:v>
      </x:c>
      <x:c r="M16" s="2" t="str">
        <x:v>QR</x:v>
      </x:c>
      <x:c r="N16" s="2" t="n">
        <x:v>1</x:v>
      </x:c>
      <x:c r="O16" s="2" t="str">
        <x:v>Accepted</x:v>
      </x:c>
      <x:c r="P16" s="2" t="str">
        <x:v>S003</x:v>
      </x:c>
      <x:c r="Q16" s="2" t="str">
        <x:v>DEV003</x:v>
      </x:c>
      <x:c r="R16" s="2" t="n">
        <x:v>5</x:v>
      </x:c>
      <x:c r="S16" s="2" t="str">
        <x:v>Online</x:v>
      </x:c>
      <x:c r="T16" s="2" t="str">
        <x:v>Synced</x:v>
      </x:c>
    </x:row>
    <x:row r="17" ht="21" customHeight="1">
      <x:c r="A17" s="2" t="str">
        <x:v>EV000036</x:v>
      </x:c>
      <x:c r="B17" s="2" t="str">
        <x:v>T20261004-1-1</x:v>
      </x:c>
      <x:c r="C17" s="2" t="str">
        <x:v>ST019</x:v>
      </x:c>
      <x:c r="D17" s="2" t="str">
        <x:v>b83400b1b6dcfb0f7cb413571cb76f8f</x:v>
      </x:c>
      <x:c r="E17" s="2" t="str">
        <x:v>CHECK_IN</x:v>
      </x:c>
      <x:c r="F17" s="8" t="n">
        <x:v>46299.24263888889</x:v>
      </x:c>
      <x:c r="G17" s="8" t="n">
        <x:v>46299.24266203704</x:v>
      </x:c>
      <x:c r="H17" s="2" t="str">
        <x:v>R1S1</x:v>
      </x:c>
      <x:c r="I17" s="9" t="n">
        <x:v>25.271</x:v>
      </x:c>
      <x:c r="J17" s="9" t="n">
        <x:v>51.491</x:v>
      </x:c>
      <x:c r="K17" s="2" t="n">
        <x:v>8</x:v>
      </x:c>
      <x:c r="L17" s="2" t="str">
        <x:v>Valid</x:v>
      </x:c>
      <x:c r="M17" s="2" t="str">
        <x:v>QR</x:v>
      </x:c>
      <x:c r="N17" s="2" t="n">
        <x:v>1</x:v>
      </x:c>
      <x:c r="O17" s="2" t="str">
        <x:v>Accepted</x:v>
      </x:c>
      <x:c r="P17" s="2" t="str">
        <x:v>S001</x:v>
      </x:c>
      <x:c r="Q17" s="2" t="str">
        <x:v>DEV001</x:v>
      </x:c>
      <x:c r="R17" s="2" t="n">
        <x:v>6</x:v>
      </x:c>
      <x:c r="S17" s="2" t="str">
        <x:v>Online</x:v>
      </x:c>
      <x:c r="T17" s="2" t="str">
        <x:v>Synced</x:v>
      </x:c>
    </x:row>
    <x:row r="18" ht="21" customHeight="1">
      <x:c r="A18" s="2" t="str">
        <x:v>EV000195</x:v>
      </x:c>
      <x:c r="B18" s="2" t="str">
        <x:v>T20261004-1-2</x:v>
      </x:c>
      <x:c r="C18" s="2" t="str">
        <x:v>ST059</x:v>
      </x:c>
      <x:c r="D18" s="2" t="str">
        <x:v>08b31edc14b3a345822a41d6515bfcba</x:v>
      </x:c>
      <x:c r="E18" s="2" t="str">
        <x:v>CHECK_IN</x:v>
      </x:c>
      <x:c r="F18" s="8" t="n">
        <x:v>46299.24263888889</x:v>
      </x:c>
      <x:c r="G18" s="8" t="n">
        <x:v>46299.24266203704</x:v>
      </x:c>
      <x:c r="H18" s="2" t="str">
        <x:v>R2S1</x:v>
      </x:c>
      <x:c r="I18" s="9" t="n">
        <x:v>25.28</x:v>
      </x:c>
      <x:c r="J18" s="9" t="n">
        <x:v>51.498999999999995</x:v>
      </x:c>
      <x:c r="K18" s="2" t="n">
        <x:v>8</x:v>
      </x:c>
      <x:c r="L18" s="2" t="str">
        <x:v>Valid</x:v>
      </x:c>
      <x:c r="M18" s="2" t="str">
        <x:v>QR</x:v>
      </x:c>
      <x:c r="N18" s="2" t="n">
        <x:v>1</x:v>
      </x:c>
      <x:c r="O18" s="2" t="str">
        <x:v>Accepted</x:v>
      </x:c>
      <x:c r="P18" s="2" t="str">
        <x:v>S002</x:v>
      </x:c>
      <x:c r="Q18" s="2" t="str">
        <x:v>DEV002</x:v>
      </x:c>
      <x:c r="R18" s="2" t="n">
        <x:v>6</x:v>
      </x:c>
      <x:c r="S18" s="2" t="str">
        <x:v>Online</x:v>
      </x:c>
      <x:c r="T18" s="2" t="str">
        <x:v>Synced</x:v>
      </x:c>
    </x:row>
    <x:row r="19" ht="21" customHeight="1">
      <x:c r="A19" s="2" t="str">
        <x:v>EV000355</x:v>
      </x:c>
      <x:c r="B19" s="2" t="str">
        <x:v>T20261004-1-3</x:v>
      </x:c>
      <x:c r="C19" s="2" t="str">
        <x:v>ST099</x:v>
      </x:c>
      <x:c r="D19" s="2" t="str">
        <x:v>46d20c66394c55b68e36e5335452d87c</x:v>
      </x:c>
      <x:c r="E19" s="2" t="str">
        <x:v>CHECK_IN</x:v>
      </x:c>
      <x:c r="F19" s="8" t="n">
        <x:v>46299.24263888889</x:v>
      </x:c>
      <x:c r="G19" s="8" t="n">
        <x:v>46299.24266203704</x:v>
      </x:c>
      <x:c r="H19" s="2" t="str">
        <x:v>R3S1</x:v>
      </x:c>
      <x:c r="I19" s="9" t="n">
        <x:v>25.289</x:v>
      </x:c>
      <x:c r="J19" s="9" t="n">
        <x:v>51.507</x:v>
      </x:c>
      <x:c r="K19" s="2" t="n">
        <x:v>8</x:v>
      </x:c>
      <x:c r="L19" s="2" t="str">
        <x:v>Valid</x:v>
      </x:c>
      <x:c r="M19" s="2" t="str">
        <x:v>QR</x:v>
      </x:c>
      <x:c r="N19" s="2" t="n">
        <x:v>1</x:v>
      </x:c>
      <x:c r="O19" s="2" t="str">
        <x:v>Accepted</x:v>
      </x:c>
      <x:c r="P19" s="2" t="str">
        <x:v>S003</x:v>
      </x:c>
      <x:c r="Q19" s="2" t="str">
        <x:v>DEV003</x:v>
      </x:c>
      <x:c r="R19" s="2" t="n">
        <x:v>6</x:v>
      </x:c>
      <x:c r="S19" s="2" t="str">
        <x:v>Online</x:v>
      </x:c>
      <x:c r="T19" s="2" t="str">
        <x:v>Synced</x:v>
      </x:c>
    </x:row>
    <x:row r="20" ht="21" customHeight="1">
      <x:c r="A20" s="2" t="str">
        <x:v>EV000017</x:v>
      </x:c>
      <x:c r="B20" s="2" t="str">
        <x:v>T20261004-1-1</x:v>
      </x:c>
      <x:c r="C20" s="2" t="str">
        <x:v>ST010</x:v>
      </x:c>
      <x:c r="D20" s="2" t="str">
        <x:v>df6521f6838e149b7b1f3fd27dcbf586</x:v>
      </x:c>
      <x:c r="E20" s="2" t="str">
        <x:v>CHECK_IN</x:v>
      </x:c>
      <x:c r="F20" s="8" t="n">
        <x:v>46299.242673611116</x:v>
      </x:c>
      <x:c r="G20" s="8" t="n">
        <x:v>46299.24269675926</x:v>
      </x:c>
      <x:c r="H20" s="2" t="str">
        <x:v>R1S1</x:v>
      </x:c>
      <x:c r="I20" s="9" t="n">
        <x:v>25.271</x:v>
      </x:c>
      <x:c r="J20" s="9" t="n">
        <x:v>51.491</x:v>
      </x:c>
      <x:c r="K20" s="2" t="n">
        <x:v>8</x:v>
      </x:c>
      <x:c r="L20" s="2" t="str">
        <x:v>Valid</x:v>
      </x:c>
      <x:c r="M20" s="2" t="str">
        <x:v>QR</x:v>
      </x:c>
      <x:c r="N20" s="2" t="n">
        <x:v>1</x:v>
      </x:c>
      <x:c r="O20" s="2" t="str">
        <x:v>Accepted</x:v>
      </x:c>
      <x:c r="P20" s="2" t="str">
        <x:v>S001</x:v>
      </x:c>
      <x:c r="Q20" s="2" t="str">
        <x:v>DEV001</x:v>
      </x:c>
      <x:c r="R20" s="2" t="n">
        <x:v>7</x:v>
      </x:c>
      <x:c r="S20" s="2" t="str">
        <x:v>Online</x:v>
      </x:c>
      <x:c r="T20" s="2" t="str">
        <x:v>Synced</x:v>
      </x:c>
    </x:row>
    <x:row r="21" ht="21" customHeight="1">
      <x:c r="A21" s="2" t="str">
        <x:v>EV000177</x:v>
      </x:c>
      <x:c r="B21" s="2" t="str">
        <x:v>T20261004-1-2</x:v>
      </x:c>
      <x:c r="C21" s="2" t="str">
        <x:v>ST050</x:v>
      </x:c>
      <x:c r="D21" s="2" t="str">
        <x:v>ca49474881a6395691ac81bd08684ed6</x:v>
      </x:c>
      <x:c r="E21" s="2" t="str">
        <x:v>CHECK_IN</x:v>
      </x:c>
      <x:c r="F21" s="8" t="n">
        <x:v>46299.242673611116</x:v>
      </x:c>
      <x:c r="G21" s="8" t="n">
        <x:v>46299.24269675926</x:v>
      </x:c>
      <x:c r="H21" s="2" t="str">
        <x:v>R2S1</x:v>
      </x:c>
      <x:c r="I21" s="9" t="n">
        <x:v>25.28</x:v>
      </x:c>
      <x:c r="J21" s="9" t="n">
        <x:v>51.498999999999995</x:v>
      </x:c>
      <x:c r="K21" s="2" t="n">
        <x:v>8</x:v>
      </x:c>
      <x:c r="L21" s="2" t="str">
        <x:v>Valid</x:v>
      </x:c>
      <x:c r="M21" s="2" t="str">
        <x:v>QR</x:v>
      </x:c>
      <x:c r="N21" s="2" t="n">
        <x:v>1</x:v>
      </x:c>
      <x:c r="O21" s="2" t="str">
        <x:v>Accepted</x:v>
      </x:c>
      <x:c r="P21" s="2" t="str">
        <x:v>S002</x:v>
      </x:c>
      <x:c r="Q21" s="2" t="str">
        <x:v>DEV002</x:v>
      </x:c>
      <x:c r="R21" s="2" t="n">
        <x:v>7</x:v>
      </x:c>
      <x:c r="S21" s="2" t="str">
        <x:v>Online</x:v>
      </x:c>
      <x:c r="T21" s="2" t="str">
        <x:v>Synced</x:v>
      </x:c>
    </x:row>
    <x:row r="22" ht="21" customHeight="1">
      <x:c r="A22" s="2" t="str">
        <x:v>EV000337</x:v>
      </x:c>
      <x:c r="B22" s="2" t="str">
        <x:v>T20261004-1-3</x:v>
      </x:c>
      <x:c r="C22" s="2" t="str">
        <x:v>ST090</x:v>
      </x:c>
      <x:c r="D22" s="2" t="str">
        <x:v>3b91252475551a374010825e1f05642c</x:v>
      </x:c>
      <x:c r="E22" s="2" t="str">
        <x:v>CHECK_IN</x:v>
      </x:c>
      <x:c r="F22" s="8" t="n">
        <x:v>46299.242673611116</x:v>
      </x:c>
      <x:c r="G22" s="8" t="n">
        <x:v>46299.24269675926</x:v>
      </x:c>
      <x:c r="H22" s="2" t="str">
        <x:v>R3S1</x:v>
      </x:c>
      <x:c r="I22" s="9" t="n">
        <x:v>25.289</x:v>
      </x:c>
      <x:c r="J22" s="9" t="n">
        <x:v>51.507</x:v>
      </x:c>
      <x:c r="K22" s="2" t="n">
        <x:v>8</x:v>
      </x:c>
      <x:c r="L22" s="2" t="str">
        <x:v>Valid</x:v>
      </x:c>
      <x:c r="M22" s="2" t="str">
        <x:v>QR</x:v>
      </x:c>
      <x:c r="N22" s="2" t="n">
        <x:v>1</x:v>
      </x:c>
      <x:c r="O22" s="2" t="str">
        <x:v>Accepted</x:v>
      </x:c>
      <x:c r="P22" s="2" t="str">
        <x:v>S003</x:v>
      </x:c>
      <x:c r="Q22" s="2" t="str">
        <x:v>DEV003</x:v>
      </x:c>
      <x:c r="R22" s="2" t="n">
        <x:v>7</x:v>
      </x:c>
      <x:c r="S22" s="2" t="str">
        <x:v>Online</x:v>
      </x:c>
      <x:c r="T22" s="2" t="str">
        <x:v>Synced</x:v>
      </x:c>
    </x:row>
    <x:row r="23" ht="21" customHeight="1">
      <x:c r="A23" s="2" t="str">
        <x:v>EV000019</x:v>
      </x:c>
      <x:c r="B23" s="2" t="str">
        <x:v>T20261004-1-1</x:v>
      </x:c>
      <x:c r="C23" s="2" t="str">
        <x:v>ST010</x:v>
      </x:c>
      <x:c r="D23" s="2" t="str">
        <x:v>df6521f6838e149b7b1f3fd27dcbf586</x:v>
      </x:c>
      <x:c r="E23" s="2" t="str">
        <x:v>CHECK_IN</x:v>
      </x:c>
      <x:c r="F23" s="8" t="n">
        <x:v>46299.24268518519</x:v>
      </x:c>
      <x:c r="G23" s="8" t="n">
        <x:v>46299.24270833334</x:v>
      </x:c>
      <x:c r="H23" s="2" t="str">
        <x:v>R1S1</x:v>
      </x:c>
      <x:c r="I23" s="9" t="n">
        <x:v>25.271</x:v>
      </x:c>
      <x:c r="J23" s="9" t="n">
        <x:v>51.491</x:v>
      </x:c>
      <x:c r="K23" s="2" t="n">
        <x:v>8</x:v>
      </x:c>
      <x:c r="L23" s="2" t="str">
        <x:v>Valid</x:v>
      </x:c>
      <x:c r="M23" s="2" t="str">
        <x:v>QR</x:v>
      </x:c>
      <x:c r="N23" s="2" t="n">
        <x:v>0</x:v>
      </x:c>
      <x:c r="O23" s="2" t="str">
        <x:v>Duplicate entry rejected</x:v>
      </x:c>
      <x:c r="P23" s="2" t="str">
        <x:v>S001</x:v>
      </x:c>
      <x:c r="Q23" s="2" t="str">
        <x:v>DEV001</x:v>
      </x:c>
      <x:c r="R23" s="2" t="n">
        <x:v>8</x:v>
      </x:c>
      <x:c r="S23" s="2" t="str">
        <x:v>Online</x:v>
      </x:c>
      <x:c r="T23" s="2" t="str">
        <x:v>Synced</x:v>
      </x:c>
    </x:row>
    <x:row r="24" ht="21" customHeight="1">
      <x:c r="A24" s="2" t="str">
        <x:v>EV000020</x:v>
      </x:c>
      <x:c r="B24" s="2" t="str">
        <x:v>T20261004-1-1</x:v>
      </x:c>
      <x:c r="C24" s="2" t="str">
        <x:v>ST011</x:v>
      </x:c>
      <x:c r="D24" s="2" t="str">
        <x:v>38c917effc7ec45ac750455eb7892f3e</x:v>
      </x:c>
      <x:c r="E24" s="2" t="str">
        <x:v>CHECK_IN</x:v>
      </x:c>
      <x:c r="F24" s="8" t="n">
        <x:v>46299.24722222222</x:v>
      </x:c>
      <x:c r="G24" s="8" t="n">
        <x:v>46299.24724537037</x:v>
      </x:c>
      <x:c r="H24" s="2" t="str">
        <x:v>R1S2</x:v>
      </x:c>
      <x:c r="I24" s="9" t="n">
        <x:v>25.273000000000003</x:v>
      </x:c>
      <x:c r="J24" s="9" t="n">
        <x:v>51.494</x:v>
      </x:c>
      <x:c r="K24" s="2" t="n">
        <x:v>8</x:v>
      </x:c>
      <x:c r="L24" s="2" t="str">
        <x:v>Valid</x:v>
      </x:c>
      <x:c r="M24" s="2" t="str">
        <x:v>QR</x:v>
      </x:c>
      <x:c r="N24" s="2" t="n">
        <x:v>1</x:v>
      </x:c>
      <x:c r="O24" s="2" t="str">
        <x:v>Accepted</x:v>
      </x:c>
      <x:c r="P24" s="2" t="str">
        <x:v>S001</x:v>
      </x:c>
      <x:c r="Q24" s="2" t="str">
        <x:v>DEV001</x:v>
      </x:c>
      <x:c r="R24" s="2" t="n">
        <x:v>9</x:v>
      </x:c>
      <x:c r="S24" s="2" t="str">
        <x:v>Online</x:v>
      </x:c>
      <x:c r="T24" s="2" t="str">
        <x:v>Synced</x:v>
      </x:c>
    </x:row>
    <x:row r="25" ht="21" customHeight="1">
      <x:c r="A25" s="2" t="str">
        <x:v>EV000179</x:v>
      </x:c>
      <x:c r="B25" s="2" t="str">
        <x:v>T20261004-1-2</x:v>
      </x:c>
      <x:c r="C25" s="2" t="str">
        <x:v>ST051</x:v>
      </x:c>
      <x:c r="D25" s="2" t="str">
        <x:v>410a66d29aea7be5806f7d6945266303</x:v>
      </x:c>
      <x:c r="E25" s="2" t="str">
        <x:v>CHECK_IN</x:v>
      </x:c>
      <x:c r="F25" s="8" t="n">
        <x:v>46299.24722222222</x:v>
      </x:c>
      <x:c r="G25" s="8" t="n">
        <x:v>46299.24724537037</x:v>
      </x:c>
      <x:c r="H25" s="2" t="str">
        <x:v>R2S2</x:v>
      </x:c>
      <x:c r="I25" s="9" t="n">
        <x:v>25.282000000000004</x:v>
      </x:c>
      <x:c r="J25" s="9" t="n">
        <x:v>51.501999999999995</x:v>
      </x:c>
      <x:c r="K25" s="2" t="n">
        <x:v>8</x:v>
      </x:c>
      <x:c r="L25" s="2" t="str">
        <x:v>Valid</x:v>
      </x:c>
      <x:c r="M25" s="2" t="str">
        <x:v>QR</x:v>
      </x:c>
      <x:c r="N25" s="2" t="n">
        <x:v>1</x:v>
      </x:c>
      <x:c r="O25" s="2" t="str">
        <x:v>Accepted</x:v>
      </x:c>
      <x:c r="P25" s="2" t="str">
        <x:v>S002</x:v>
      </x:c>
      <x:c r="Q25" s="2" t="str">
        <x:v>DEV002</x:v>
      </x:c>
      <x:c r="R25" s="2" t="n">
        <x:v>8</x:v>
      </x:c>
      <x:c r="S25" s="2" t="str">
        <x:v>Online</x:v>
      </x:c>
      <x:c r="T25" s="2" t="str">
        <x:v>Synced</x:v>
      </x:c>
    </x:row>
    <x:row r="26" ht="21" customHeight="1">
      <x:c r="A26" s="2" t="str">
        <x:v>EV000339</x:v>
      </x:c>
      <x:c r="B26" s="2" t="str">
        <x:v>T20261004-1-3</x:v>
      </x:c>
      <x:c r="C26" s="2" t="str">
        <x:v>ST091</x:v>
      </x:c>
      <x:c r="D26" s="2" t="str">
        <x:v>2d74afc7329a1eb53bd16a92fc366891</x:v>
      </x:c>
      <x:c r="E26" s="2" t="str">
        <x:v>CHECK_IN</x:v>
      </x:c>
      <x:c r="F26" s="8" t="n">
        <x:v>46299.24722222222</x:v>
      </x:c>
      <x:c r="G26" s="8" t="n">
        <x:v>46299.24724537037</x:v>
      </x:c>
      <x:c r="H26" s="2" t="str">
        <x:v>R3S2</x:v>
      </x:c>
      <x:c r="I26" s="9" t="n">
        <x:v>25.291000000000004</x:v>
      </x:c>
      <x:c r="J26" s="9" t="n">
        <x:v>51.51</x:v>
      </x:c>
      <x:c r="K26" s="2" t="n">
        <x:v>8</x:v>
      </x:c>
      <x:c r="L26" s="2" t="str">
        <x:v>Valid</x:v>
      </x:c>
      <x:c r="M26" s="2" t="str">
        <x:v>QR</x:v>
      </x:c>
      <x:c r="N26" s="2" t="n">
        <x:v>1</x:v>
      </x:c>
      <x:c r="O26" s="2" t="str">
        <x:v>Accepted</x:v>
      </x:c>
      <x:c r="P26" s="2" t="str">
        <x:v>S003</x:v>
      </x:c>
      <x:c r="Q26" s="2" t="str">
        <x:v>DEV003</x:v>
      </x:c>
      <x:c r="R26" s="2" t="n">
        <x:v>8</x:v>
      </x:c>
      <x:c r="S26" s="2" t="str">
        <x:v>Online</x:v>
      </x:c>
      <x:c r="T26" s="2" t="str">
        <x:v>Synced</x:v>
      </x:c>
    </x:row>
    <x:row r="27" ht="21" customHeight="1">
      <x:c r="A27" s="2" t="str">
        <x:v>EV000001</x:v>
      </x:c>
      <x:c r="B27" s="2" t="str">
        <x:v>T20261004-1-1</x:v>
      </x:c>
      <x:c r="C27" s="2" t="str">
        <x:v>ST002</x:v>
      </x:c>
      <x:c r="D27" s="2" t="str">
        <x:v>c9302a76d79e524442f3775978bb57a1</x:v>
      </x:c>
      <x:c r="E27" s="2" t="str">
        <x:v>CHECK_IN</x:v>
      </x:c>
      <x:c r="F27" s="8" t="n">
        <x:v>46299.24725694444</x:v>
      </x:c>
      <x:c r="G27" s="8" t="n">
        <x:v>46299.24728009259</x:v>
      </x:c>
      <x:c r="H27" s="2" t="str">
        <x:v>R1S2</x:v>
      </x:c>
      <x:c r="I27" s="9" t="n">
        <x:v>25.273000000000003</x:v>
      </x:c>
      <x:c r="J27" s="9" t="n">
        <x:v>51.494</x:v>
      </x:c>
      <x:c r="K27" s="2" t="n">
        <x:v>8</x:v>
      </x:c>
      <x:c r="L27" s="2" t="str">
        <x:v>Valid</x:v>
      </x:c>
      <x:c r="M27" s="2" t="str">
        <x:v>QR</x:v>
      </x:c>
      <x:c r="N27" s="2" t="n">
        <x:v>1</x:v>
      </x:c>
      <x:c r="O27" s="2" t="str">
        <x:v>Accepted</x:v>
      </x:c>
      <x:c r="P27" s="2" t="str">
        <x:v>S001</x:v>
      </x:c>
      <x:c r="Q27" s="2" t="str">
        <x:v>DEV001</x:v>
      </x:c>
      <x:c r="R27" s="2" t="n">
        <x:v>10</x:v>
      </x:c>
      <x:c r="S27" s="2" t="str">
        <x:v>Online</x:v>
      </x:c>
      <x:c r="T27" s="2" t="str">
        <x:v>Synced</x:v>
      </x:c>
    </x:row>
    <x:row r="28" ht="21" customHeight="1">
      <x:c r="A28" s="2" t="str">
        <x:v>EV000161</x:v>
      </x:c>
      <x:c r="B28" s="2" t="str">
        <x:v>T20261004-1-2</x:v>
      </x:c>
      <x:c r="C28" s="2" t="str">
        <x:v>ST042</x:v>
      </x:c>
      <x:c r="D28" s="2" t="str">
        <x:v>9cf3254a8e8c8233e36089501cd1bc60</x:v>
      </x:c>
      <x:c r="E28" s="2" t="str">
        <x:v>CHECK_IN</x:v>
      </x:c>
      <x:c r="F28" s="8" t="n">
        <x:v>46299.24725694444</x:v>
      </x:c>
      <x:c r="G28" s="8" t="n">
        <x:v>46299.24728009259</x:v>
      </x:c>
      <x:c r="H28" s="2" t="str">
        <x:v>R2S2</x:v>
      </x:c>
      <x:c r="I28" s="9" t="n">
        <x:v>25.282000000000004</x:v>
      </x:c>
      <x:c r="J28" s="9" t="n">
        <x:v>51.501999999999995</x:v>
      </x:c>
      <x:c r="K28" s="2" t="n">
        <x:v>8</x:v>
      </x:c>
      <x:c r="L28" s="2" t="str">
        <x:v>Valid</x:v>
      </x:c>
      <x:c r="M28" s="2" t="str">
        <x:v>QR</x:v>
      </x:c>
      <x:c r="N28" s="2" t="n">
        <x:v>1</x:v>
      </x:c>
      <x:c r="O28" s="2" t="str">
        <x:v>Accepted</x:v>
      </x:c>
      <x:c r="P28" s="2" t="str">
        <x:v>S002</x:v>
      </x:c>
      <x:c r="Q28" s="2" t="str">
        <x:v>DEV002</x:v>
      </x:c>
      <x:c r="R28" s="2" t="n">
        <x:v>9</x:v>
      </x:c>
      <x:c r="S28" s="2" t="str">
        <x:v>Online</x:v>
      </x:c>
      <x:c r="T28" s="2" t="str">
        <x:v>Synced</x:v>
      </x:c>
    </x:row>
    <x:row r="29" ht="21" customHeight="1">
      <x:c r="A29" s="2" t="str">
        <x:v>EV000321</x:v>
      </x:c>
      <x:c r="B29" s="2" t="str">
        <x:v>T20261004-1-3</x:v>
      </x:c>
      <x:c r="C29" s="2" t="str">
        <x:v>ST082</x:v>
      </x:c>
      <x:c r="D29" s="2" t="str">
        <x:v>fb7e28e2da3ace738571a6966bcaaec0</x:v>
      </x:c>
      <x:c r="E29" s="2" t="str">
        <x:v>CHECK_IN</x:v>
      </x:c>
      <x:c r="F29" s="8" t="n">
        <x:v>46299.24725694444</x:v>
      </x:c>
      <x:c r="G29" s="8" t="n">
        <x:v>46299.24728009259</x:v>
      </x:c>
      <x:c r="H29" s="2" t="str">
        <x:v>R3S2</x:v>
      </x:c>
      <x:c r="I29" s="9" t="n">
        <x:v>25.291000000000004</x:v>
      </x:c>
      <x:c r="J29" s="9" t="n">
        <x:v>51.51</x:v>
      </x:c>
      <x:c r="K29" s="2" t="n">
        <x:v>8</x:v>
      </x:c>
      <x:c r="L29" s="2" t="str">
        <x:v>Valid</x:v>
      </x:c>
      <x:c r="M29" s="2" t="str">
        <x:v>QR</x:v>
      </x:c>
      <x:c r="N29" s="2" t="n">
        <x:v>1</x:v>
      </x:c>
      <x:c r="O29" s="2" t="str">
        <x:v>Accepted</x:v>
      </x:c>
      <x:c r="P29" s="2" t="str">
        <x:v>S003</x:v>
      </x:c>
      <x:c r="Q29" s="2" t="str">
        <x:v>DEV003</x:v>
      </x:c>
      <x:c r="R29" s="2" t="n">
        <x:v>9</x:v>
      </x:c>
      <x:c r="S29" s="2" t="str">
        <x:v>Online</x:v>
      </x:c>
      <x:c r="T29" s="2" t="str">
        <x:v>Synced</x:v>
      </x:c>
    </x:row>
    <x:row r="30" ht="21" customHeight="1">
      <x:c r="A30" s="2" t="str">
        <x:v>EV000026</x:v>
      </x:c>
      <x:c r="B30" s="2" t="str">
        <x:v>T20261004-1-1</x:v>
      </x:c>
      <x:c r="C30" s="2" t="str">
        <x:v>ST014</x:v>
      </x:c>
      <x:c r="D30" s="2" t="str">
        <x:v>6ea4b25306143e251962ae19fa8ee7af</x:v>
      </x:c>
      <x:c r="E30" s="2" t="str">
        <x:v>CHECK_IN</x:v>
      </x:c>
      <x:c r="F30" s="8" t="n">
        <x:v>46299.24732638889</x:v>
      </x:c>
      <x:c r="G30" s="8" t="n">
        <x:v>46299.247349537036</x:v>
      </x:c>
      <x:c r="H30" s="2" t="str">
        <x:v>R1S2</x:v>
      </x:c>
      <x:c r="I30" s="9" t="n">
        <x:v>25.273000000000003</x:v>
      </x:c>
      <x:c r="J30" s="9" t="n">
        <x:v>51.494</x:v>
      </x:c>
      <x:c r="K30" s="2" t="n">
        <x:v>8</x:v>
      </x:c>
      <x:c r="L30" s="2" t="str">
        <x:v>Valid</x:v>
      </x:c>
      <x:c r="M30" s="2" t="str">
        <x:v>QR</x:v>
      </x:c>
      <x:c r="N30" s="2" t="n">
        <x:v>1</x:v>
      </x:c>
      <x:c r="O30" s="2" t="str">
        <x:v>Accepted</x:v>
      </x:c>
      <x:c r="P30" s="2" t="str">
        <x:v>S001</x:v>
      </x:c>
      <x:c r="Q30" s="2" t="str">
        <x:v>DEV001</x:v>
      </x:c>
      <x:c r="R30" s="2" t="n">
        <x:v>11</x:v>
      </x:c>
      <x:c r="S30" s="2" t="str">
        <x:v>Online</x:v>
      </x:c>
      <x:c r="T30" s="2" t="str">
        <x:v>Synced</x:v>
      </x:c>
    </x:row>
    <x:row r="31" ht="21" customHeight="1">
      <x:c r="A31" s="2" t="str">
        <x:v>EV000185</x:v>
      </x:c>
      <x:c r="B31" s="2" t="str">
        <x:v>T20261004-1-2</x:v>
      </x:c>
      <x:c r="C31" s="2" t="str">
        <x:v>ST054</x:v>
      </x:c>
      <x:c r="D31" s="2" t="str">
        <x:v>1c9a916db52e081aeb59bc928cb914dd</x:v>
      </x:c>
      <x:c r="E31" s="2" t="str">
        <x:v>CHECK_IN</x:v>
      </x:c>
      <x:c r="F31" s="8" t="n">
        <x:v>46299.24732638889</x:v>
      </x:c>
      <x:c r="G31" s="8" t="n">
        <x:v>46299.247349537036</x:v>
      </x:c>
      <x:c r="H31" s="2" t="str">
        <x:v>R2S2</x:v>
      </x:c>
      <x:c r="I31" s="9" t="n">
        <x:v>25.282000000000004</x:v>
      </x:c>
      <x:c r="J31" s="9" t="n">
        <x:v>51.501999999999995</x:v>
      </x:c>
      <x:c r="K31" s="2" t="n">
        <x:v>8</x:v>
      </x:c>
      <x:c r="L31" s="2" t="str">
        <x:v>Valid</x:v>
      </x:c>
      <x:c r="M31" s="2" t="str">
        <x:v>QR</x:v>
      </x:c>
      <x:c r="N31" s="2" t="n">
        <x:v>1</x:v>
      </x:c>
      <x:c r="O31" s="2" t="str">
        <x:v>Accepted</x:v>
      </x:c>
      <x:c r="P31" s="2" t="str">
        <x:v>S002</x:v>
      </x:c>
      <x:c r="Q31" s="2" t="str">
        <x:v>DEV002</x:v>
      </x:c>
      <x:c r="R31" s="2" t="n">
        <x:v>10</x:v>
      </x:c>
      <x:c r="S31" s="2" t="str">
        <x:v>Online</x:v>
      </x:c>
      <x:c r="T31" s="2" t="str">
        <x:v>Synced</x:v>
      </x:c>
    </x:row>
    <x:row r="32" ht="21" customHeight="1">
      <x:c r="A32" s="2" t="str">
        <x:v>EV000345</x:v>
      </x:c>
      <x:c r="B32" s="2" t="str">
        <x:v>T20261004-1-3</x:v>
      </x:c>
      <x:c r="C32" s="2" t="str">
        <x:v>ST094</x:v>
      </x:c>
      <x:c r="D32" s="2" t="str">
        <x:v>b6fd37c188877a378c496dccb3132cf2</x:v>
      </x:c>
      <x:c r="E32" s="2" t="str">
        <x:v>CHECK_IN</x:v>
      </x:c>
      <x:c r="F32" s="8" t="n">
        <x:v>46299.24732638889</x:v>
      </x:c>
      <x:c r="G32" s="8" t="n">
        <x:v>46299.247349537036</x:v>
      </x:c>
      <x:c r="H32" s="2" t="str">
        <x:v>R3S2</x:v>
      </x:c>
      <x:c r="I32" s="9" t="n">
        <x:v>25.291000000000004</x:v>
      </x:c>
      <x:c r="J32" s="9" t="n">
        <x:v>51.51</x:v>
      </x:c>
      <x:c r="K32" s="2" t="n">
        <x:v>8</x:v>
      </x:c>
      <x:c r="L32" s="2" t="str">
        <x:v>Valid</x:v>
      </x:c>
      <x:c r="M32" s="2" t="str">
        <x:v>QR</x:v>
      </x:c>
      <x:c r="N32" s="2" t="n">
        <x:v>1</x:v>
      </x:c>
      <x:c r="O32" s="2" t="str">
        <x:v>Accepted</x:v>
      </x:c>
      <x:c r="P32" s="2" t="str">
        <x:v>S003</x:v>
      </x:c>
      <x:c r="Q32" s="2" t="str">
        <x:v>DEV003</x:v>
      </x:c>
      <x:c r="R32" s="2" t="n">
        <x:v>10</x:v>
      </x:c>
      <x:c r="S32" s="2" t="str">
        <x:v>Online</x:v>
      </x:c>
      <x:c r="T32" s="2" t="str">
        <x:v>Synced</x:v>
      </x:c>
    </x:row>
    <x:row r="33" ht="21" customHeight="1">
      <x:c r="A33" s="2" t="str">
        <x:v>EV000007</x:v>
      </x:c>
      <x:c r="B33" s="2" t="str">
        <x:v>T20261004-1-1</x:v>
      </x:c>
      <x:c r="C33" s="2" t="str">
        <x:v>ST005</x:v>
      </x:c>
      <x:c r="D33" s="2" t="str">
        <x:v>426727a8a0b9d51694a399a005c786cf</x:v>
      </x:c>
      <x:c r="E33" s="2" t="str">
        <x:v>CHECK_IN</x:v>
      </x:c>
      <x:c r="F33" s="8" t="n">
        <x:v>46299.24736111111</x:v>
      </x:c>
      <x:c r="G33" s="8" t="n">
        <x:v>46299.24738425926</x:v>
      </x:c>
      <x:c r="H33" s="2" t="str">
        <x:v>R1S2</x:v>
      </x:c>
      <x:c r="I33" s="9" t="n">
        <x:v>25.273000000000003</x:v>
      </x:c>
      <x:c r="J33" s="9" t="n">
        <x:v>51.494</x:v>
      </x:c>
      <x:c r="K33" s="2" t="n">
        <x:v>8</x:v>
      </x:c>
      <x:c r="L33" s="2" t="str">
        <x:v>Valid</x:v>
      </x:c>
      <x:c r="M33" s="2" t="str">
        <x:v>QR</x:v>
      </x:c>
      <x:c r="N33" s="2" t="n">
        <x:v>1</x:v>
      </x:c>
      <x:c r="O33" s="2" t="str">
        <x:v>Accepted</x:v>
      </x:c>
      <x:c r="P33" s="2" t="str">
        <x:v>S001</x:v>
      </x:c>
      <x:c r="Q33" s="2" t="str">
        <x:v>DEV001</x:v>
      </x:c>
      <x:c r="R33" s="2" t="n">
        <x:v>12</x:v>
      </x:c>
      <x:c r="S33" s="2" t="str">
        <x:v>Online</x:v>
      </x:c>
      <x:c r="T33" s="2" t="str">
        <x:v>Synced</x:v>
      </x:c>
    </x:row>
    <x:row r="34" ht="21" customHeight="1">
      <x:c r="A34" s="2" t="str">
        <x:v>EV000167</x:v>
      </x:c>
      <x:c r="B34" s="2" t="str">
        <x:v>T20261004-1-2</x:v>
      </x:c>
      <x:c r="C34" s="2" t="str">
        <x:v>ST045</x:v>
      </x:c>
      <x:c r="D34" s="2" t="str">
        <x:v>10d8df8a06a7c869bcaa1adbc88c05bc</x:v>
      </x:c>
      <x:c r="E34" s="2" t="str">
        <x:v>CHECK_IN</x:v>
      </x:c>
      <x:c r="F34" s="8" t="n">
        <x:v>46299.24736111111</x:v>
      </x:c>
      <x:c r="G34" s="8" t="n">
        <x:v>46299.24738425926</x:v>
      </x:c>
      <x:c r="H34" s="2" t="str">
        <x:v>R2S2</x:v>
      </x:c>
      <x:c r="I34" s="9" t="n">
        <x:v>25.282000000000004</x:v>
      </x:c>
      <x:c r="J34" s="9" t="n">
        <x:v>51.501999999999995</x:v>
      </x:c>
      <x:c r="K34" s="2" t="n">
        <x:v>8</x:v>
      </x:c>
      <x:c r="L34" s="2" t="str">
        <x:v>Valid</x:v>
      </x:c>
      <x:c r="M34" s="2" t="str">
        <x:v>QR</x:v>
      </x:c>
      <x:c r="N34" s="2" t="n">
        <x:v>1</x:v>
      </x:c>
      <x:c r="O34" s="2" t="str">
        <x:v>Accepted</x:v>
      </x:c>
      <x:c r="P34" s="2" t="str">
        <x:v>S002</x:v>
      </x:c>
      <x:c r="Q34" s="2" t="str">
        <x:v>DEV002</x:v>
      </x:c>
      <x:c r="R34" s="2" t="n">
        <x:v>11</x:v>
      </x:c>
      <x:c r="S34" s="2" t="str">
        <x:v>Online</x:v>
      </x:c>
      <x:c r="T34" s="2" t="str">
        <x:v>Synced</x:v>
      </x:c>
    </x:row>
    <x:row r="35" ht="21" customHeight="1">
      <x:c r="A35" s="2" t="str">
        <x:v>EV000327</x:v>
      </x:c>
      <x:c r="B35" s="2" t="str">
        <x:v>T20261004-1-3</x:v>
      </x:c>
      <x:c r="C35" s="2" t="str">
        <x:v>ST085</x:v>
      </x:c>
      <x:c r="D35" s="2" t="str">
        <x:v>80babdd572dde222a75b7ad8f0fe7ffa</x:v>
      </x:c>
      <x:c r="E35" s="2" t="str">
        <x:v>CHECK_IN</x:v>
      </x:c>
      <x:c r="F35" s="8" t="n">
        <x:v>46299.24736111111</x:v>
      </x:c>
      <x:c r="G35" s="8" t="n">
        <x:v>46299.24738425926</x:v>
      </x:c>
      <x:c r="H35" s="2" t="str">
        <x:v>R3S2</x:v>
      </x:c>
      <x:c r="I35" s="9" t="n">
        <x:v>25.291000000000004</x:v>
      </x:c>
      <x:c r="J35" s="9" t="n">
        <x:v>51.51</x:v>
      </x:c>
      <x:c r="K35" s="2" t="n">
        <x:v>8</x:v>
      </x:c>
      <x:c r="L35" s="2" t="str">
        <x:v>Valid</x:v>
      </x:c>
      <x:c r="M35" s="2" t="str">
        <x:v>QR</x:v>
      </x:c>
      <x:c r="N35" s="2" t="n">
        <x:v>1</x:v>
      </x:c>
      <x:c r="O35" s="2" t="str">
        <x:v>Accepted</x:v>
      </x:c>
      <x:c r="P35" s="2" t="str">
        <x:v>S003</x:v>
      </x:c>
      <x:c r="Q35" s="2" t="str">
        <x:v>DEV003</x:v>
      </x:c>
      <x:c r="R35" s="2" t="n">
        <x:v>11</x:v>
      </x:c>
      <x:c r="S35" s="2" t="str">
        <x:v>Online</x:v>
      </x:c>
      <x:c r="T35" s="2" t="str">
        <x:v>Synced</x:v>
      </x:c>
    </x:row>
    <x:row r="36" ht="21" customHeight="1">
      <x:c r="A36" s="2" t="str">
        <x:v>EV000032</x:v>
      </x:c>
      <x:c r="B36" s="2" t="str">
        <x:v>T20261004-1-1</x:v>
      </x:c>
      <x:c r="C36" s="2" t="str">
        <x:v>ST017</x:v>
      </x:c>
      <x:c r="D36" s="2" t="str">
        <x:v>ea6159d457322f2456f4cadd6b3d659f</x:v>
      </x:c>
      <x:c r="E36" s="2" t="str">
        <x:v>CHECK_IN</x:v>
      </x:c>
      <x:c r="F36" s="8" t="n">
        <x:v>46299.24743055555</x:v>
      </x:c>
      <x:c r="G36" s="8" t="n">
        <x:v>46299.2474537037</x:v>
      </x:c>
      <x:c r="H36" s="2" t="str">
        <x:v>R1S2</x:v>
      </x:c>
      <x:c r="I36" s="9" t="n">
        <x:v>25.273000000000003</x:v>
      </x:c>
      <x:c r="J36" s="9" t="n">
        <x:v>51.494</x:v>
      </x:c>
      <x:c r="K36" s="2" t="n">
        <x:v>8</x:v>
      </x:c>
      <x:c r="L36" s="2" t="str">
        <x:v>Valid</x:v>
      </x:c>
      <x:c r="M36" s="2" t="str">
        <x:v>QR</x:v>
      </x:c>
      <x:c r="N36" s="2" t="n">
        <x:v>1</x:v>
      </x:c>
      <x:c r="O36" s="2" t="str">
        <x:v>Accepted</x:v>
      </x:c>
      <x:c r="P36" s="2" t="str">
        <x:v>S001</x:v>
      </x:c>
      <x:c r="Q36" s="2" t="str">
        <x:v>DEV001</x:v>
      </x:c>
      <x:c r="R36" s="2" t="n">
        <x:v>13</x:v>
      </x:c>
      <x:c r="S36" s="2" t="str">
        <x:v>Online</x:v>
      </x:c>
      <x:c r="T36" s="2" t="str">
        <x:v>Synced</x:v>
      </x:c>
    </x:row>
    <x:row r="37" ht="21" customHeight="1">
      <x:c r="A37" s="2" t="str">
        <x:v>EV000191</x:v>
      </x:c>
      <x:c r="B37" s="2" t="str">
        <x:v>T20261004-1-2</x:v>
      </x:c>
      <x:c r="C37" s="2" t="str">
        <x:v>ST057</x:v>
      </x:c>
      <x:c r="D37" s="2" t="str">
        <x:v>68d992c7418727808ad27d2e5ee9b88d</x:v>
      </x:c>
      <x:c r="E37" s="2" t="str">
        <x:v>CHECK_IN</x:v>
      </x:c>
      <x:c r="F37" s="8" t="n">
        <x:v>46299.24743055555</x:v>
      </x:c>
      <x:c r="G37" s="8" t="n">
        <x:v>46299.2474537037</x:v>
      </x:c>
      <x:c r="H37" s="2" t="str">
        <x:v>R2S2</x:v>
      </x:c>
      <x:c r="I37" s="9" t="n">
        <x:v>25.282000000000004</x:v>
      </x:c>
      <x:c r="J37" s="9" t="n">
        <x:v>51.501999999999995</x:v>
      </x:c>
      <x:c r="K37" s="2" t="n">
        <x:v>8</x:v>
      </x:c>
      <x:c r="L37" s="2" t="str">
        <x:v>Valid</x:v>
      </x:c>
      <x:c r="M37" s="2" t="str">
        <x:v>QR</x:v>
      </x:c>
      <x:c r="N37" s="2" t="n">
        <x:v>1</x:v>
      </x:c>
      <x:c r="O37" s="2" t="str">
        <x:v>Accepted</x:v>
      </x:c>
      <x:c r="P37" s="2" t="str">
        <x:v>S002</x:v>
      </x:c>
      <x:c r="Q37" s="2" t="str">
        <x:v>DEV002</x:v>
      </x:c>
      <x:c r="R37" s="2" t="n">
        <x:v>12</x:v>
      </x:c>
      <x:c r="S37" s="2" t="str">
        <x:v>Online</x:v>
      </x:c>
      <x:c r="T37" s="2" t="str">
        <x:v>Synced</x:v>
      </x:c>
    </x:row>
    <x:row r="38" ht="21" customHeight="1">
      <x:c r="A38" s="2" t="str">
        <x:v>EV000351</x:v>
      </x:c>
      <x:c r="B38" s="2" t="str">
        <x:v>T20261004-1-3</x:v>
      </x:c>
      <x:c r="C38" s="2" t="str">
        <x:v>ST097</x:v>
      </x:c>
      <x:c r="D38" s="2" t="str">
        <x:v>0ccbf8d08569df9dde2207b8d5616d1e</x:v>
      </x:c>
      <x:c r="E38" s="2" t="str">
        <x:v>CHECK_IN</x:v>
      </x:c>
      <x:c r="F38" s="8" t="n">
        <x:v>46299.24743055555</x:v>
      </x:c>
      <x:c r="G38" s="8" t="n">
        <x:v>46299.2474537037</x:v>
      </x:c>
      <x:c r="H38" s="2" t="str">
        <x:v>R3S2</x:v>
      </x:c>
      <x:c r="I38" s="9" t="n">
        <x:v>25.291000000000004</x:v>
      </x:c>
      <x:c r="J38" s="9" t="n">
        <x:v>51.51</x:v>
      </x:c>
      <x:c r="K38" s="2" t="n">
        <x:v>8</x:v>
      </x:c>
      <x:c r="L38" s="2" t="str">
        <x:v>Valid</x:v>
      </x:c>
      <x:c r="M38" s="2" t="str">
        <x:v>QR</x:v>
      </x:c>
      <x:c r="N38" s="2" t="n">
        <x:v>1</x:v>
      </x:c>
      <x:c r="O38" s="2" t="str">
        <x:v>Accepted</x:v>
      </x:c>
      <x:c r="P38" s="2" t="str">
        <x:v>S003</x:v>
      </x:c>
      <x:c r="Q38" s="2" t="str">
        <x:v>DEV003</x:v>
      </x:c>
      <x:c r="R38" s="2" t="n">
        <x:v>12</x:v>
      </x:c>
      <x:c r="S38" s="2" t="str">
        <x:v>Online</x:v>
      </x:c>
      <x:c r="T38" s="2" t="str">
        <x:v>Synced</x:v>
      </x:c>
    </x:row>
    <x:row r="39" ht="21" customHeight="1">
      <x:c r="A39" s="2" t="str">
        <x:v>EV000013</x:v>
      </x:c>
      <x:c r="B39" s="2" t="str">
        <x:v>T20261004-1-1</x:v>
      </x:c>
      <x:c r="C39" s="2" t="str">
        <x:v>ST008</x:v>
      </x:c>
      <x:c r="D39" s="2" t="str">
        <x:v>ac4baf5d317844907005c691f401c42d</x:v>
      </x:c>
      <x:c r="E39" s="2" t="str">
        <x:v>CHECK_IN</x:v>
      </x:c>
      <x:c r="F39" s="8" t="n">
        <x:v>46299.247465277775</x:v>
      </x:c>
      <x:c r="G39" s="8" t="n">
        <x:v>46299.24748842592</x:v>
      </x:c>
      <x:c r="H39" s="2" t="str">
        <x:v>R1S2</x:v>
      </x:c>
      <x:c r="I39" s="9" t="n">
        <x:v>25.273000000000003</x:v>
      </x:c>
      <x:c r="J39" s="9" t="n">
        <x:v>51.494</x:v>
      </x:c>
      <x:c r="K39" s="2" t="n">
        <x:v>8</x:v>
      </x:c>
      <x:c r="L39" s="2" t="str">
        <x:v>Valid</x:v>
      </x:c>
      <x:c r="M39" s="2" t="str">
        <x:v>QR</x:v>
      </x:c>
      <x:c r="N39" s="2" t="n">
        <x:v>1</x:v>
      </x:c>
      <x:c r="O39" s="2" t="str">
        <x:v>Accepted</x:v>
      </x:c>
      <x:c r="P39" s="2" t="str">
        <x:v>S001</x:v>
      </x:c>
      <x:c r="Q39" s="2" t="str">
        <x:v>DEV001</x:v>
      </x:c>
      <x:c r="R39" s="2" t="n">
        <x:v>14</x:v>
      </x:c>
      <x:c r="S39" s="2" t="str">
        <x:v>Online</x:v>
      </x:c>
      <x:c r="T39" s="2" t="str">
        <x:v>Synced</x:v>
      </x:c>
    </x:row>
    <x:row r="40" ht="21" customHeight="1">
      <x:c r="A40" s="2" t="str">
        <x:v>EV000173</x:v>
      </x:c>
      <x:c r="B40" s="2" t="str">
        <x:v>T20261004-1-2</x:v>
      </x:c>
      <x:c r="C40" s="2" t="str">
        <x:v>ST048</x:v>
      </x:c>
      <x:c r="D40" s="2" t="str">
        <x:v>e3a3009a9bd3946e21f417e93203aa79</x:v>
      </x:c>
      <x:c r="E40" s="2" t="str">
        <x:v>CHECK_IN</x:v>
      </x:c>
      <x:c r="F40" s="8" t="n">
        <x:v>46299.247465277775</x:v>
      </x:c>
      <x:c r="G40" s="8" t="n">
        <x:v>46299.24748842592</x:v>
      </x:c>
      <x:c r="H40" s="2" t="str">
        <x:v>R2S2</x:v>
      </x:c>
      <x:c r="I40" s="9" t="n">
        <x:v>25.282000000000004</x:v>
      </x:c>
      <x:c r="J40" s="9" t="n">
        <x:v>51.501999999999995</x:v>
      </x:c>
      <x:c r="K40" s="2" t="n">
        <x:v>8</x:v>
      </x:c>
      <x:c r="L40" s="2" t="str">
        <x:v>Valid</x:v>
      </x:c>
      <x:c r="M40" s="2" t="str">
        <x:v>QR</x:v>
      </x:c>
      <x:c r="N40" s="2" t="n">
        <x:v>1</x:v>
      </x:c>
      <x:c r="O40" s="2" t="str">
        <x:v>Accepted</x:v>
      </x:c>
      <x:c r="P40" s="2" t="str">
        <x:v>S002</x:v>
      </x:c>
      <x:c r="Q40" s="2" t="str">
        <x:v>DEV002</x:v>
      </x:c>
      <x:c r="R40" s="2" t="n">
        <x:v>13</x:v>
      </x:c>
      <x:c r="S40" s="2" t="str">
        <x:v>Online</x:v>
      </x:c>
      <x:c r="T40" s="2" t="str">
        <x:v>Synced</x:v>
      </x:c>
    </x:row>
    <x:row r="41" ht="21" customHeight="1">
      <x:c r="A41" s="2" t="str">
        <x:v>EV000333</x:v>
      </x:c>
      <x:c r="B41" s="2" t="str">
        <x:v>T20261004-1-3</x:v>
      </x:c>
      <x:c r="C41" s="2" t="str">
        <x:v>ST088</x:v>
      </x:c>
      <x:c r="D41" s="2" t="str">
        <x:v>b227769e0483e6c28eed8e8d448bfbbe</x:v>
      </x:c>
      <x:c r="E41" s="2" t="str">
        <x:v>CHECK_IN</x:v>
      </x:c>
      <x:c r="F41" s="8" t="n">
        <x:v>46299.247465277775</x:v>
      </x:c>
      <x:c r="G41" s="8" t="n">
        <x:v>46299.24748842592</x:v>
      </x:c>
      <x:c r="H41" s="2" t="str">
        <x:v>R3S2</x:v>
      </x:c>
      <x:c r="I41" s="9" t="n">
        <x:v>25.291000000000004</x:v>
      </x:c>
      <x:c r="J41" s="9" t="n">
        <x:v>51.51</x:v>
      </x:c>
      <x:c r="K41" s="2" t="n">
        <x:v>8</x:v>
      </x:c>
      <x:c r="L41" s="2" t="str">
        <x:v>Valid</x:v>
      </x:c>
      <x:c r="M41" s="2" t="str">
        <x:v>QR</x:v>
      </x:c>
      <x:c r="N41" s="2" t="n">
        <x:v>1</x:v>
      </x:c>
      <x:c r="O41" s="2" t="str">
        <x:v>Accepted</x:v>
      </x:c>
      <x:c r="P41" s="2" t="str">
        <x:v>S003</x:v>
      </x:c>
      <x:c r="Q41" s="2" t="str">
        <x:v>DEV003</x:v>
      </x:c>
      <x:c r="R41" s="2" t="n">
        <x:v>13</x:v>
      </x:c>
      <x:c r="S41" s="2" t="str">
        <x:v>Online</x:v>
      </x:c>
      <x:c r="T41" s="2" t="str">
        <x:v>Synced</x:v>
      </x:c>
    </x:row>
    <x:row r="42" ht="21" customHeight="1">
      <x:c r="A42" s="2" t="str">
        <x:v>EV000038</x:v>
      </x:c>
      <x:c r="B42" s="2" t="str">
        <x:v>T20261004-1-1</x:v>
      </x:c>
      <x:c r="C42" s="2" t="str">
        <x:v>ST020</x:v>
      </x:c>
      <x:c r="D42" s="2" t="str">
        <x:v>9f8daa9030f9f7599cd24e056935ab8d</x:v>
      </x:c>
      <x:c r="E42" s="2" t="str">
        <x:v>CHECK_IN</x:v>
      </x:c>
      <x:c r="F42" s="8" t="n">
        <x:v>46299.24753472222</x:v>
      </x:c>
      <x:c r="G42" s="8" t="n">
        <x:v>46299.24755787037</x:v>
      </x:c>
      <x:c r="H42" s="2" t="str">
        <x:v>R1S2</x:v>
      </x:c>
      <x:c r="I42" s="9" t="n">
        <x:v>25.273000000000003</x:v>
      </x:c>
      <x:c r="J42" s="9" t="n">
        <x:v>51.494</x:v>
      </x:c>
      <x:c r="K42" s="2" t="n">
        <x:v>8</x:v>
      </x:c>
      <x:c r="L42" s="2" t="str">
        <x:v>Valid</x:v>
      </x:c>
      <x:c r="M42" s="2" t="str">
        <x:v>QR</x:v>
      </x:c>
      <x:c r="N42" s="2" t="n">
        <x:v>1</x:v>
      </x:c>
      <x:c r="O42" s="2" t="str">
        <x:v>Accepted</x:v>
      </x:c>
      <x:c r="P42" s="2" t="str">
        <x:v>S001</x:v>
      </x:c>
      <x:c r="Q42" s="2" t="str">
        <x:v>DEV001</x:v>
      </x:c>
      <x:c r="R42" s="2" t="n">
        <x:v>15</x:v>
      </x:c>
      <x:c r="S42" s="2" t="str">
        <x:v>Online</x:v>
      </x:c>
      <x:c r="T42" s="2" t="str">
        <x:v>Synced</x:v>
      </x:c>
    </x:row>
    <x:row r="43" ht="21" customHeight="1">
      <x:c r="A43" s="2" t="str">
        <x:v>EV000197</x:v>
      </x:c>
      <x:c r="B43" s="2" t="str">
        <x:v>T20261004-1-2</x:v>
      </x:c>
      <x:c r="C43" s="2" t="str">
        <x:v>ST060</x:v>
      </x:c>
      <x:c r="D43" s="2" t="str">
        <x:v>a424ea3d9a5cb1c08037457e61cef61f</x:v>
      </x:c>
      <x:c r="E43" s="2" t="str">
        <x:v>CHECK_IN</x:v>
      </x:c>
      <x:c r="F43" s="8" t="n">
        <x:v>46299.24753472222</x:v>
      </x:c>
      <x:c r="G43" s="8" t="n">
        <x:v>46299.24755787037</x:v>
      </x:c>
      <x:c r="H43" s="2" t="str">
        <x:v>R2S2</x:v>
      </x:c>
      <x:c r="I43" s="9" t="n">
        <x:v>25.282000000000004</x:v>
      </x:c>
      <x:c r="J43" s="9" t="n">
        <x:v>51.501999999999995</x:v>
      </x:c>
      <x:c r="K43" s="2" t="n">
        <x:v>8</x:v>
      </x:c>
      <x:c r="L43" s="2" t="str">
        <x:v>Valid</x:v>
      </x:c>
      <x:c r="M43" s="2" t="str">
        <x:v>QR</x:v>
      </x:c>
      <x:c r="N43" s="2" t="n">
        <x:v>1</x:v>
      </x:c>
      <x:c r="O43" s="2" t="str">
        <x:v>Accepted</x:v>
      </x:c>
      <x:c r="P43" s="2" t="str">
        <x:v>S002</x:v>
      </x:c>
      <x:c r="Q43" s="2" t="str">
        <x:v>DEV002</x:v>
      </x:c>
      <x:c r="R43" s="2" t="n">
        <x:v>14</x:v>
      </x:c>
      <x:c r="S43" s="2" t="str">
        <x:v>Online</x:v>
      </x:c>
      <x:c r="T43" s="2" t="str">
        <x:v>Synced</x:v>
      </x:c>
    </x:row>
    <x:row r="44" ht="21" customHeight="1">
      <x:c r="A44" s="2" t="str">
        <x:v>EV000357</x:v>
      </x:c>
      <x:c r="B44" s="2" t="str">
        <x:v>T20261004-1-3</x:v>
      </x:c>
      <x:c r="C44" s="2" t="str">
        <x:v>ST100</x:v>
      </x:c>
      <x:c r="D44" s="2" t="str">
        <x:v>6ba3ddf298bc4515d195454c1e81d9d6</x:v>
      </x:c>
      <x:c r="E44" s="2" t="str">
        <x:v>CHECK_IN</x:v>
      </x:c>
      <x:c r="F44" s="8" t="n">
        <x:v>46299.24753472222</x:v>
      </x:c>
      <x:c r="G44" s="8" t="n">
        <x:v>46299.24755787037</x:v>
      </x:c>
      <x:c r="H44" s="2" t="str">
        <x:v>R3S2</x:v>
      </x:c>
      <x:c r="I44" s="9" t="n">
        <x:v>25.291000000000004</x:v>
      </x:c>
      <x:c r="J44" s="9" t="n">
        <x:v>51.51</x:v>
      </x:c>
      <x:c r="K44" s="2" t="n">
        <x:v>8</x:v>
      </x:c>
      <x:c r="L44" s="2" t="str">
        <x:v>Valid</x:v>
      </x:c>
      <x:c r="M44" s="2" t="str">
        <x:v>QR</x:v>
      </x:c>
      <x:c r="N44" s="2" t="n">
        <x:v>1</x:v>
      </x:c>
      <x:c r="O44" s="2" t="str">
        <x:v>Accepted</x:v>
      </x:c>
      <x:c r="P44" s="2" t="str">
        <x:v>S003</x:v>
      </x:c>
      <x:c r="Q44" s="2" t="str">
        <x:v>DEV003</x:v>
      </x:c>
      <x:c r="R44" s="2" t="n">
        <x:v>14</x:v>
      </x:c>
      <x:c r="S44" s="2" t="str">
        <x:v>Online</x:v>
      </x:c>
      <x:c r="T44" s="2" t="str">
        <x:v>Synced</x:v>
      </x:c>
    </x:row>
    <x:row r="45" ht="21" customHeight="1">
      <x:c r="A45" s="2" t="str">
        <x:v>EV000022</x:v>
      </x:c>
      <x:c r="B45" s="2" t="str">
        <x:v>T20261004-1-1</x:v>
      </x:c>
      <x:c r="C45" s="2" t="str">
        <x:v>ST012</x:v>
      </x:c>
      <x:c r="D45" s="2" t="str">
        <x:v>8d45a06a93234042b630e18d7821ea23</x:v>
      </x:c>
      <x:c r="E45" s="2" t="str">
        <x:v>CHECK_IN</x:v>
      </x:c>
      <x:c r="F45" s="8" t="n">
        <x:v>46299.252118055556</x:v>
      </x:c>
      <x:c r="G45" s="8" t="n">
        <x:v>46299.2521412037</x:v>
      </x:c>
      <x:c r="H45" s="2" t="str">
        <x:v>R1S3</x:v>
      </x:c>
      <x:c r="I45" s="9" t="n">
        <x:v>25.275000000000002</x:v>
      </x:c>
      <x:c r="J45" s="9" t="n">
        <x:v>51.497</x:v>
      </x:c>
      <x:c r="K45" s="2" t="n">
        <x:v>8</x:v>
      </x:c>
      <x:c r="L45" s="2" t="str">
        <x:v>Valid</x:v>
      </x:c>
      <x:c r="M45" s="2" t="str">
        <x:v>QR</x:v>
      </x:c>
      <x:c r="N45" s="2" t="n">
        <x:v>1</x:v>
      </x:c>
      <x:c r="O45" s="2" t="str">
        <x:v>Accepted</x:v>
      </x:c>
      <x:c r="P45" s="2" t="str">
        <x:v>S001</x:v>
      </x:c>
      <x:c r="Q45" s="2" t="str">
        <x:v>DEV001</x:v>
      </x:c>
      <x:c r="R45" s="2" t="n">
        <x:v>16</x:v>
      </x:c>
      <x:c r="S45" s="2" t="str">
        <x:v>Online</x:v>
      </x:c>
      <x:c r="T45" s="2" t="str">
        <x:v>Synced</x:v>
      </x:c>
    </x:row>
    <x:row r="46" ht="21" customHeight="1">
      <x:c r="A46" s="2" t="str">
        <x:v>EV000181</x:v>
      </x:c>
      <x:c r="B46" s="2" t="str">
        <x:v>T20261004-1-2</x:v>
      </x:c>
      <x:c r="C46" s="2" t="str">
        <x:v>ST052</x:v>
      </x:c>
      <x:c r="D46" s="2" t="str">
        <x:v>0c1c5957fe0604ae228ff5e1e1a785bc</x:v>
      </x:c>
      <x:c r="E46" s="2" t="str">
        <x:v>CHECK_IN</x:v>
      </x:c>
      <x:c r="F46" s="8" t="n">
        <x:v>46299.252118055556</x:v>
      </x:c>
      <x:c r="G46" s="8" t="n">
        <x:v>46299.2521412037</x:v>
      </x:c>
      <x:c r="H46" s="2" t="str">
        <x:v>R2S3</x:v>
      </x:c>
      <x:c r="I46" s="9" t="n">
        <x:v>25.284000000000002</x:v>
      </x:c>
      <x:c r="J46" s="9" t="n">
        <x:v>51.504999999999995</x:v>
      </x:c>
      <x:c r="K46" s="2" t="n">
        <x:v>8</x:v>
      </x:c>
      <x:c r="L46" s="2" t="str">
        <x:v>Valid</x:v>
      </x:c>
      <x:c r="M46" s="2" t="str">
        <x:v>QR</x:v>
      </x:c>
      <x:c r="N46" s="2" t="n">
        <x:v>1</x:v>
      </x:c>
      <x:c r="O46" s="2" t="str">
        <x:v>Accepted</x:v>
      </x:c>
      <x:c r="P46" s="2" t="str">
        <x:v>S002</x:v>
      </x:c>
      <x:c r="Q46" s="2" t="str">
        <x:v>DEV002</x:v>
      </x:c>
      <x:c r="R46" s="2" t="n">
        <x:v>15</x:v>
      </x:c>
      <x:c r="S46" s="2" t="str">
        <x:v>Online</x:v>
      </x:c>
      <x:c r="T46" s="2" t="str">
        <x:v>Synced</x:v>
      </x:c>
    </x:row>
    <x:row r="47" ht="21" customHeight="1">
      <x:c r="A47" s="2" t="str">
        <x:v>EV000341</x:v>
      </x:c>
      <x:c r="B47" s="2" t="str">
        <x:v>T20261004-1-3</x:v>
      </x:c>
      <x:c r="C47" s="2" t="str">
        <x:v>ST092</x:v>
      </x:c>
      <x:c r="D47" s="2" t="str">
        <x:v>e83e93b137787f284ae9574a02ff0cc7</x:v>
      </x:c>
      <x:c r="E47" s="2" t="str">
        <x:v>CHECK_IN</x:v>
      </x:c>
      <x:c r="F47" s="8" t="n">
        <x:v>46299.252118055556</x:v>
      </x:c>
      <x:c r="G47" s="8" t="n">
        <x:v>46299.2521412037</x:v>
      </x:c>
      <x:c r="H47" s="2" t="str">
        <x:v>R3S3</x:v>
      </x:c>
      <x:c r="I47" s="9" t="n">
        <x:v>25.293000000000003</x:v>
      </x:c>
      <x:c r="J47" s="9" t="n">
        <x:v>51.513</x:v>
      </x:c>
      <x:c r="K47" s="2" t="n">
        <x:v>8</x:v>
      </x:c>
      <x:c r="L47" s="2" t="str">
        <x:v>Valid</x:v>
      </x:c>
      <x:c r="M47" s="2" t="str">
        <x:v>QR</x:v>
      </x:c>
      <x:c r="N47" s="2" t="n">
        <x:v>1</x:v>
      </x:c>
      <x:c r="O47" s="2" t="str">
        <x:v>Accepted</x:v>
      </x:c>
      <x:c r="P47" s="2" t="str">
        <x:v>S003</x:v>
      </x:c>
      <x:c r="Q47" s="2" t="str">
        <x:v>DEV003</x:v>
      </x:c>
      <x:c r="R47" s="2" t="n">
        <x:v>15</x:v>
      </x:c>
      <x:c r="S47" s="2" t="str">
        <x:v>Online</x:v>
      </x:c>
      <x:c r="T47" s="2" t="str">
        <x:v>Synced</x:v>
      </x:c>
    </x:row>
    <x:row r="48" ht="21" customHeight="1">
      <x:c r="A48" s="2" t="str">
        <x:v>EV000003</x:v>
      </x:c>
      <x:c r="B48" s="2" t="str">
        <x:v>T20261004-1-1</x:v>
      </x:c>
      <x:c r="C48" s="2" t="str">
        <x:v>ST003</x:v>
      </x:c>
      <x:c r="D48" s="2" t="str">
        <x:v>7598e98213cb52db1085c9a94fae1915</x:v>
      </x:c>
      <x:c r="E48" s="2" t="str">
        <x:v>CHECK_IN</x:v>
      </x:c>
      <x:c r="F48" s="8" t="n">
        <x:v>46299.25215277778</x:v>
      </x:c>
      <x:c r="G48" s="8" t="n">
        <x:v>46299.252175925925</x:v>
      </x:c>
      <x:c r="H48" s="2" t="str">
        <x:v>R1S3</x:v>
      </x:c>
      <x:c r="I48" s="9" t="n">
        <x:v>25.275000000000002</x:v>
      </x:c>
      <x:c r="J48" s="9" t="n">
        <x:v>51.497</x:v>
      </x:c>
      <x:c r="K48" s="2" t="n">
        <x:v>8</x:v>
      </x:c>
      <x:c r="L48" s="2" t="str">
        <x:v>Valid</x:v>
      </x:c>
      <x:c r="M48" s="2" t="str">
        <x:v>QR</x:v>
      </x:c>
      <x:c r="N48" s="2" t="n">
        <x:v>1</x:v>
      </x:c>
      <x:c r="O48" s="2" t="str">
        <x:v>Accepted</x:v>
      </x:c>
      <x:c r="P48" s="2" t="str">
        <x:v>S001</x:v>
      </x:c>
      <x:c r="Q48" s="2" t="str">
        <x:v>DEV001</x:v>
      </x:c>
      <x:c r="R48" s="2" t="n">
        <x:v>17</x:v>
      </x:c>
      <x:c r="S48" s="2" t="str">
        <x:v>Online</x:v>
      </x:c>
      <x:c r="T48" s="2" t="str">
        <x:v>Synced</x:v>
      </x:c>
    </x:row>
    <x:row r="49" ht="21" customHeight="1">
      <x:c r="A49" s="2" t="str">
        <x:v>EV000163</x:v>
      </x:c>
      <x:c r="B49" s="2" t="str">
        <x:v>T20261004-1-2</x:v>
      </x:c>
      <x:c r="C49" s="2" t="str">
        <x:v>ST043</x:v>
      </x:c>
      <x:c r="D49" s="2" t="str">
        <x:v>db51093fe9dac44d59345ee12f7e9c56</x:v>
      </x:c>
      <x:c r="E49" s="2" t="str">
        <x:v>CHECK_IN</x:v>
      </x:c>
      <x:c r="F49" s="8" t="n">
        <x:v>46299.25215277778</x:v>
      </x:c>
      <x:c r="G49" s="8" t="n">
        <x:v>46299.252175925925</x:v>
      </x:c>
      <x:c r="H49" s="2" t="str">
        <x:v>R2S3</x:v>
      </x:c>
      <x:c r="I49" s="9" t="n">
        <x:v>25.284000000000002</x:v>
      </x:c>
      <x:c r="J49" s="9" t="n">
        <x:v>51.504999999999995</x:v>
      </x:c>
      <x:c r="K49" s="2" t="n">
        <x:v>8</x:v>
      </x:c>
      <x:c r="L49" s="2" t="str">
        <x:v>Valid</x:v>
      </x:c>
      <x:c r="M49" s="2" t="str">
        <x:v>QR</x:v>
      </x:c>
      <x:c r="N49" s="2" t="n">
        <x:v>1</x:v>
      </x:c>
      <x:c r="O49" s="2" t="str">
        <x:v>Accepted</x:v>
      </x:c>
      <x:c r="P49" s="2" t="str">
        <x:v>S002</x:v>
      </x:c>
      <x:c r="Q49" s="2" t="str">
        <x:v>DEV002</x:v>
      </x:c>
      <x:c r="R49" s="2" t="n">
        <x:v>16</x:v>
      </x:c>
      <x:c r="S49" s="2" t="str">
        <x:v>Online</x:v>
      </x:c>
      <x:c r="T49" s="2" t="str">
        <x:v>Synced</x:v>
      </x:c>
    </x:row>
    <x:row r="50" ht="21" customHeight="1">
      <x:c r="A50" s="2" t="str">
        <x:v>EV000323</x:v>
      </x:c>
      <x:c r="B50" s="2" t="str">
        <x:v>T20261004-1-3</x:v>
      </x:c>
      <x:c r="C50" s="2" t="str">
        <x:v>ST083</x:v>
      </x:c>
      <x:c r="D50" s="2" t="str">
        <x:v>19cc474730ce4d97be031814010d13a9</x:v>
      </x:c>
      <x:c r="E50" s="2" t="str">
        <x:v>CHECK_IN</x:v>
      </x:c>
      <x:c r="F50" s="8" t="n">
        <x:v>46299.25215277778</x:v>
      </x:c>
      <x:c r="G50" s="8" t="n">
        <x:v>46299.252175925925</x:v>
      </x:c>
      <x:c r="H50" s="2" t="str">
        <x:v>R3S3</x:v>
      </x:c>
      <x:c r="I50" s="9" t="n">
        <x:v>25.293000000000003</x:v>
      </x:c>
      <x:c r="J50" s="9" t="n">
        <x:v>51.513</x:v>
      </x:c>
      <x:c r="K50" s="2" t="n">
        <x:v>8</x:v>
      </x:c>
      <x:c r="L50" s="2" t="str">
        <x:v>Valid</x:v>
      </x:c>
      <x:c r="M50" s="2" t="str">
        <x:v>QR</x:v>
      </x:c>
      <x:c r="N50" s="2" t="n">
        <x:v>1</x:v>
      </x:c>
      <x:c r="O50" s="2" t="str">
        <x:v>Accepted</x:v>
      </x:c>
      <x:c r="P50" s="2" t="str">
        <x:v>S003</x:v>
      </x:c>
      <x:c r="Q50" s="2" t="str">
        <x:v>DEV003</x:v>
      </x:c>
      <x:c r="R50" s="2" t="n">
        <x:v>16</x:v>
      </x:c>
      <x:c r="S50" s="2" t="str">
        <x:v>Online</x:v>
      </x:c>
      <x:c r="T50" s="2" t="str">
        <x:v>Synced</x:v>
      </x:c>
    </x:row>
    <x:row r="51" ht="21" customHeight="1">
      <x:c r="A51" s="2" t="str">
        <x:v>EV000028</x:v>
      </x:c>
      <x:c r="B51" s="2" t="str">
        <x:v>T20261004-1-1</x:v>
      </x:c>
      <x:c r="C51" s="2" t="str">
        <x:v>ST015</x:v>
      </x:c>
      <x:c r="D51" s="2" t="str">
        <x:v>997c76227e9b12bdccc68d0d53a8d1df</x:v>
      </x:c>
      <x:c r="E51" s="2" t="str">
        <x:v>CHECK_IN</x:v>
      </x:c>
      <x:c r="F51" s="8" t="n">
        <x:v>46299.252222222225</x:v>
      </x:c>
      <x:c r="G51" s="8" t="n">
        <x:v>46299.25224537037</x:v>
      </x:c>
      <x:c r="H51" s="2" t="str">
        <x:v>R1S3</x:v>
      </x:c>
      <x:c r="I51" s="9" t="n">
        <x:v>25.275000000000002</x:v>
      </x:c>
      <x:c r="J51" s="9" t="n">
        <x:v>51.497</x:v>
      </x:c>
      <x:c r="K51" s="2" t="n">
        <x:v>8</x:v>
      </x:c>
      <x:c r="L51" s="2" t="str">
        <x:v>Valid</x:v>
      </x:c>
      <x:c r="M51" s="2" t="str">
        <x:v>QR</x:v>
      </x:c>
      <x:c r="N51" s="2" t="n">
        <x:v>1</x:v>
      </x:c>
      <x:c r="O51" s="2" t="str">
        <x:v>Accepted</x:v>
      </x:c>
      <x:c r="P51" s="2" t="str">
        <x:v>S001</x:v>
      </x:c>
      <x:c r="Q51" s="2" t="str">
        <x:v>DEV001</x:v>
      </x:c>
      <x:c r="R51" s="2" t="n">
        <x:v>18</x:v>
      </x:c>
      <x:c r="S51" s="2" t="str">
        <x:v>Online</x:v>
      </x:c>
      <x:c r="T51" s="2" t="str">
        <x:v>Synced</x:v>
      </x:c>
    </x:row>
    <x:row r="52" ht="21" customHeight="1">
      <x:c r="A52" s="2" t="str">
        <x:v>EV000187</x:v>
      </x:c>
      <x:c r="B52" s="2" t="str">
        <x:v>T20261004-1-2</x:v>
      </x:c>
      <x:c r="C52" s="2" t="str">
        <x:v>ST055</x:v>
      </x:c>
      <x:c r="D52" s="2" t="str">
        <x:v>e796258b9306e2b3efab77a21add36a5</x:v>
      </x:c>
      <x:c r="E52" s="2" t="str">
        <x:v>CHECK_IN</x:v>
      </x:c>
      <x:c r="F52" s="8" t="n">
        <x:v>46299.252222222225</x:v>
      </x:c>
      <x:c r="G52" s="8" t="n">
        <x:v>46299.25224537037</x:v>
      </x:c>
      <x:c r="H52" s="2" t="str">
        <x:v>R2S3</x:v>
      </x:c>
      <x:c r="I52" s="9" t="n">
        <x:v>25.284000000000002</x:v>
      </x:c>
      <x:c r="J52" s="9" t="n">
        <x:v>51.504999999999995</x:v>
      </x:c>
      <x:c r="K52" s="2" t="n">
        <x:v>8</x:v>
      </x:c>
      <x:c r="L52" s="2" t="str">
        <x:v>Valid</x:v>
      </x:c>
      <x:c r="M52" s="2" t="str">
        <x:v>QR</x:v>
      </x:c>
      <x:c r="N52" s="2" t="n">
        <x:v>1</x:v>
      </x:c>
      <x:c r="O52" s="2" t="str">
        <x:v>Accepted</x:v>
      </x:c>
      <x:c r="P52" s="2" t="str">
        <x:v>S002</x:v>
      </x:c>
      <x:c r="Q52" s="2" t="str">
        <x:v>DEV002</x:v>
      </x:c>
      <x:c r="R52" s="2" t="n">
        <x:v>17</x:v>
      </x:c>
      <x:c r="S52" s="2" t="str">
        <x:v>Online</x:v>
      </x:c>
      <x:c r="T52" s="2" t="str">
        <x:v>Synced</x:v>
      </x:c>
    </x:row>
    <x:row r="53" ht="21" customHeight="1">
      <x:c r="A53" s="2" t="str">
        <x:v>EV000347</x:v>
      </x:c>
      <x:c r="B53" s="2" t="str">
        <x:v>T20261004-1-3</x:v>
      </x:c>
      <x:c r="C53" s="2" t="str">
        <x:v>ST095</x:v>
      </x:c>
      <x:c r="D53" s="2" t="str">
        <x:v>0935ee2c52872353d5a355eed1202dbe</x:v>
      </x:c>
      <x:c r="E53" s="2" t="str">
        <x:v>CHECK_IN</x:v>
      </x:c>
      <x:c r="F53" s="8" t="n">
        <x:v>46299.252222222225</x:v>
      </x:c>
      <x:c r="G53" s="8" t="n">
        <x:v>46299.25224537037</x:v>
      </x:c>
      <x:c r="H53" s="2" t="str">
        <x:v>R3S3</x:v>
      </x:c>
      <x:c r="I53" s="9" t="n">
        <x:v>25.293000000000003</x:v>
      </x:c>
      <x:c r="J53" s="9" t="n">
        <x:v>51.513</x:v>
      </x:c>
      <x:c r="K53" s="2" t="n">
        <x:v>8</x:v>
      </x:c>
      <x:c r="L53" s="2" t="str">
        <x:v>Valid</x:v>
      </x:c>
      <x:c r="M53" s="2" t="str">
        <x:v>QR</x:v>
      </x:c>
      <x:c r="N53" s="2" t="n">
        <x:v>1</x:v>
      </x:c>
      <x:c r="O53" s="2" t="str">
        <x:v>Accepted</x:v>
      </x:c>
      <x:c r="P53" s="2" t="str">
        <x:v>S003</x:v>
      </x:c>
      <x:c r="Q53" s="2" t="str">
        <x:v>DEV003</x:v>
      </x:c>
      <x:c r="R53" s="2" t="n">
        <x:v>17</x:v>
      </x:c>
      <x:c r="S53" s="2" t="str">
        <x:v>Online</x:v>
      </x:c>
      <x:c r="T53" s="2" t="str">
        <x:v>Synced</x:v>
      </x:c>
    </x:row>
    <x:row r="54" ht="21" customHeight="1">
      <x:c r="A54" s="2" t="str">
        <x:v>EV000009</x:v>
      </x:c>
      <x:c r="B54" s="2" t="str">
        <x:v>T20261004-1-1</x:v>
      </x:c>
      <x:c r="C54" s="2" t="str">
        <x:v>ST006</x:v>
      </x:c>
      <x:c r="D54" s="2" t="str">
        <x:v>8edd7f2c984bf2eb5adf75591d6f1e9c</x:v>
      </x:c>
      <x:c r="E54" s="2" t="str">
        <x:v>CHECK_IN</x:v>
      </x:c>
      <x:c r="F54" s="8" t="n">
        <x:v>46299.25225694444</x:v>
      </x:c>
      <x:c r="G54" s="8" t="n">
        <x:v>46299.25228009259</x:v>
      </x:c>
      <x:c r="H54" s="2" t="str">
        <x:v>R1S3</x:v>
      </x:c>
      <x:c r="I54" s="9" t="n">
        <x:v>25.275000000000002</x:v>
      </x:c>
      <x:c r="J54" s="9" t="n">
        <x:v>51.497</x:v>
      </x:c>
      <x:c r="K54" s="2" t="n">
        <x:v>8</x:v>
      </x:c>
      <x:c r="L54" s="2" t="str">
        <x:v>Valid</x:v>
      </x:c>
      <x:c r="M54" s="2" t="str">
        <x:v>QR</x:v>
      </x:c>
      <x:c r="N54" s="2" t="n">
        <x:v>1</x:v>
      </x:c>
      <x:c r="O54" s="2" t="str">
        <x:v>Accepted</x:v>
      </x:c>
      <x:c r="P54" s="2" t="str">
        <x:v>S001</x:v>
      </x:c>
      <x:c r="Q54" s="2" t="str">
        <x:v>DEV001</x:v>
      </x:c>
      <x:c r="R54" s="2" t="n">
        <x:v>19</x:v>
      </x:c>
      <x:c r="S54" s="2" t="str">
        <x:v>Online</x:v>
      </x:c>
      <x:c r="T54" s="2" t="str">
        <x:v>Synced</x:v>
      </x:c>
    </x:row>
    <x:row r="55" ht="21" customHeight="1">
      <x:c r="A55" s="2" t="str">
        <x:v>EV000169</x:v>
      </x:c>
      <x:c r="B55" s="2" t="str">
        <x:v>T20261004-1-2</x:v>
      </x:c>
      <x:c r="C55" s="2" t="str">
        <x:v>ST046</x:v>
      </x:c>
      <x:c r="D55" s="2" t="str">
        <x:v>82365992d443d056f10fa7522ac29057</x:v>
      </x:c>
      <x:c r="E55" s="2" t="str">
        <x:v>CHECK_IN</x:v>
      </x:c>
      <x:c r="F55" s="8" t="n">
        <x:v>46299.25225694444</x:v>
      </x:c>
      <x:c r="G55" s="8" t="n">
        <x:v>46299.25228009259</x:v>
      </x:c>
      <x:c r="H55" s="2" t="str">
        <x:v>R2S3</x:v>
      </x:c>
      <x:c r="I55" s="9" t="n">
        <x:v>25.284000000000002</x:v>
      </x:c>
      <x:c r="J55" s="9" t="n">
        <x:v>51.504999999999995</x:v>
      </x:c>
      <x:c r="K55" s="2" t="n">
        <x:v>8</x:v>
      </x:c>
      <x:c r="L55" s="2" t="str">
        <x:v>Valid</x:v>
      </x:c>
      <x:c r="M55" s="2" t="str">
        <x:v>QR</x:v>
      </x:c>
      <x:c r="N55" s="2" t="n">
        <x:v>1</x:v>
      </x:c>
      <x:c r="O55" s="2" t="str">
        <x:v>Accepted</x:v>
      </x:c>
      <x:c r="P55" s="2" t="str">
        <x:v>S002</x:v>
      </x:c>
      <x:c r="Q55" s="2" t="str">
        <x:v>DEV002</x:v>
      </x:c>
      <x:c r="R55" s="2" t="n">
        <x:v>18</x:v>
      </x:c>
      <x:c r="S55" s="2" t="str">
        <x:v>Online</x:v>
      </x:c>
      <x:c r="T55" s="2" t="str">
        <x:v>Synced</x:v>
      </x:c>
    </x:row>
    <x:row r="56" ht="21" customHeight="1">
      <x:c r="A56" s="2" t="str">
        <x:v>EV000329</x:v>
      </x:c>
      <x:c r="B56" s="2" t="str">
        <x:v>T20261004-1-3</x:v>
      </x:c>
      <x:c r="C56" s="2" t="str">
        <x:v>ST086</x:v>
      </x:c>
      <x:c r="D56" s="2" t="str">
        <x:v>33c5dfd0f17fcbe34d50fd9b0a0c0e5b</x:v>
      </x:c>
      <x:c r="E56" s="2" t="str">
        <x:v>CHECK_IN</x:v>
      </x:c>
      <x:c r="F56" s="8" t="n">
        <x:v>46299.25225694444</x:v>
      </x:c>
      <x:c r="G56" s="8" t="n">
        <x:v>46299.25228009259</x:v>
      </x:c>
      <x:c r="H56" s="2" t="str">
        <x:v>R3S3</x:v>
      </x:c>
      <x:c r="I56" s="9" t="n">
        <x:v>25.293000000000003</x:v>
      </x:c>
      <x:c r="J56" s="9" t="n">
        <x:v>51.513</x:v>
      </x:c>
      <x:c r="K56" s="2" t="n">
        <x:v>8</x:v>
      </x:c>
      <x:c r="L56" s="2" t="str">
        <x:v>Valid</x:v>
      </x:c>
      <x:c r="M56" s="2" t="str">
        <x:v>QR</x:v>
      </x:c>
      <x:c r="N56" s="2" t="n">
        <x:v>1</x:v>
      </x:c>
      <x:c r="O56" s="2" t="str">
        <x:v>Accepted</x:v>
      </x:c>
      <x:c r="P56" s="2" t="str">
        <x:v>S003</x:v>
      </x:c>
      <x:c r="Q56" s="2" t="str">
        <x:v>DEV003</x:v>
      </x:c>
      <x:c r="R56" s="2" t="n">
        <x:v>18</x:v>
      </x:c>
      <x:c r="S56" s="2" t="str">
        <x:v>Online</x:v>
      </x:c>
      <x:c r="T56" s="2" t="str">
        <x:v>Synced</x:v>
      </x:c>
    </x:row>
    <x:row r="57" ht="21" customHeight="1">
      <x:c r="A57" s="2" t="str">
        <x:v>EV000034</x:v>
      </x:c>
      <x:c r="B57" s="2" t="str">
        <x:v>T20261004-1-1</x:v>
      </x:c>
      <x:c r="C57" s="2" t="str">
        <x:v>ST018</x:v>
      </x:c>
      <x:c r="D57" s="2" t="str">
        <x:v>4c1b40081ed5c7c21b8392ee528dbe54</x:v>
      </x:c>
      <x:c r="E57" s="2" t="str">
        <x:v>CHECK_IN</x:v>
      </x:c>
      <x:c r="F57" s="8" t="n">
        <x:v>46299.25232638889</x:v>
      </x:c>
      <x:c r="G57" s="8" t="n">
        <x:v>46299.25234953703</x:v>
      </x:c>
      <x:c r="H57" s="2" t="str">
        <x:v>R1S3</x:v>
      </x:c>
      <x:c r="I57" s="9" t="n">
        <x:v>25.275000000000002</x:v>
      </x:c>
      <x:c r="J57" s="9" t="n">
        <x:v>51.497</x:v>
      </x:c>
      <x:c r="K57" s="2" t="n">
        <x:v>8</x:v>
      </x:c>
      <x:c r="L57" s="2" t="str">
        <x:v>Valid</x:v>
      </x:c>
      <x:c r="M57" s="2" t="str">
        <x:v>QR</x:v>
      </x:c>
      <x:c r="N57" s="2" t="n">
        <x:v>1</x:v>
      </x:c>
      <x:c r="O57" s="2" t="str">
        <x:v>Accepted</x:v>
      </x:c>
      <x:c r="P57" s="2" t="str">
        <x:v>S001</x:v>
      </x:c>
      <x:c r="Q57" s="2" t="str">
        <x:v>DEV001</x:v>
      </x:c>
      <x:c r="R57" s="2" t="n">
        <x:v>20</x:v>
      </x:c>
      <x:c r="S57" s="2" t="str">
        <x:v>Online</x:v>
      </x:c>
      <x:c r="T57" s="2" t="str">
        <x:v>Synced</x:v>
      </x:c>
    </x:row>
    <x:row r="58" ht="21" customHeight="1">
      <x:c r="A58" s="2" t="str">
        <x:v>EV000193</x:v>
      </x:c>
      <x:c r="B58" s="2" t="str">
        <x:v>T20261004-1-2</x:v>
      </x:c>
      <x:c r="C58" s="2" t="str">
        <x:v>ST058</x:v>
      </x:c>
      <x:c r="D58" s="2" t="str">
        <x:v>ebf7e65b57e2c8bcd02f90b1d5692596</x:v>
      </x:c>
      <x:c r="E58" s="2" t="str">
        <x:v>CHECK_IN</x:v>
      </x:c>
      <x:c r="F58" s="8" t="n">
        <x:v>46299.25232638889</x:v>
      </x:c>
      <x:c r="G58" s="8" t="n">
        <x:v>46299.25234953703</x:v>
      </x:c>
      <x:c r="H58" s="2" t="str">
        <x:v>R2S3</x:v>
      </x:c>
      <x:c r="I58" s="9" t="n">
        <x:v>25.284000000000002</x:v>
      </x:c>
      <x:c r="J58" s="9" t="n">
        <x:v>51.504999999999995</x:v>
      </x:c>
      <x:c r="K58" s="2" t="n">
        <x:v>8</x:v>
      </x:c>
      <x:c r="L58" s="2" t="str">
        <x:v>Valid</x:v>
      </x:c>
      <x:c r="M58" s="2" t="str">
        <x:v>QR</x:v>
      </x:c>
      <x:c r="N58" s="2" t="n">
        <x:v>1</x:v>
      </x:c>
      <x:c r="O58" s="2" t="str">
        <x:v>Accepted</x:v>
      </x:c>
      <x:c r="P58" s="2" t="str">
        <x:v>S002</x:v>
      </x:c>
      <x:c r="Q58" s="2" t="str">
        <x:v>DEV002</x:v>
      </x:c>
      <x:c r="R58" s="2" t="n">
        <x:v>19</x:v>
      </x:c>
      <x:c r="S58" s="2" t="str">
        <x:v>Online</x:v>
      </x:c>
      <x:c r="T58" s="2" t="str">
        <x:v>Synced</x:v>
      </x:c>
    </x:row>
    <x:row r="59" ht="21" customHeight="1">
      <x:c r="A59" s="2" t="str">
        <x:v>EV000353</x:v>
      </x:c>
      <x:c r="B59" s="2" t="str">
        <x:v>T20261004-1-3</x:v>
      </x:c>
      <x:c r="C59" s="2" t="str">
        <x:v>ST098</x:v>
      </x:c>
      <x:c r="D59" s="2" t="str">
        <x:v>4b453acdeca94f98f11a429464f7bff7</x:v>
      </x:c>
      <x:c r="E59" s="2" t="str">
        <x:v>CHECK_IN</x:v>
      </x:c>
      <x:c r="F59" s="8" t="n">
        <x:v>46299.25232638889</x:v>
      </x:c>
      <x:c r="G59" s="8" t="n">
        <x:v>46299.25234953703</x:v>
      </x:c>
      <x:c r="H59" s="2" t="str">
        <x:v>R3S3</x:v>
      </x:c>
      <x:c r="I59" s="9" t="n">
        <x:v>25.293000000000003</x:v>
      </x:c>
      <x:c r="J59" s="9" t="n">
        <x:v>51.513</x:v>
      </x:c>
      <x:c r="K59" s="2" t="n">
        <x:v>8</x:v>
      </x:c>
      <x:c r="L59" s="2" t="str">
        <x:v>Valid</x:v>
      </x:c>
      <x:c r="M59" s="2" t="str">
        <x:v>QR</x:v>
      </x:c>
      <x:c r="N59" s="2" t="n">
        <x:v>1</x:v>
      </x:c>
      <x:c r="O59" s="2" t="str">
        <x:v>Accepted</x:v>
      </x:c>
      <x:c r="P59" s="2" t="str">
        <x:v>S003</x:v>
      </x:c>
      <x:c r="Q59" s="2" t="str">
        <x:v>DEV003</x:v>
      </x:c>
      <x:c r="R59" s="2" t="n">
        <x:v>19</x:v>
      </x:c>
      <x:c r="S59" s="2" t="str">
        <x:v>Online</x:v>
      </x:c>
      <x:c r="T59" s="2" t="str">
        <x:v>Synced</x:v>
      </x:c>
    </x:row>
    <x:row r="60" ht="21" customHeight="1">
      <x:c r="A60" s="2" t="str">
        <x:v>EV000015</x:v>
      </x:c>
      <x:c r="B60" s="2" t="str">
        <x:v>T20261004-1-1</x:v>
      </x:c>
      <x:c r="C60" s="2" t="str">
        <x:v>ST009</x:v>
      </x:c>
      <x:c r="D60" s="2" t="str">
        <x:v>fdc849f07f4ba12ab82f6bed87d7275d</x:v>
      </x:c>
      <x:c r="E60" s="2" t="str">
        <x:v>CHECK_IN</x:v>
      </x:c>
      <x:c r="F60" s="8" t="n">
        <x:v>46299.25236111111</x:v>
      </x:c>
      <x:c r="G60" s="8" t="n">
        <x:v>46299.252384259256</x:v>
      </x:c>
      <x:c r="H60" s="2" t="str">
        <x:v>R1S3</x:v>
      </x:c>
      <x:c r="I60" s="9" t="n">
        <x:v>25.275000000000002</x:v>
      </x:c>
      <x:c r="J60" s="9" t="n">
        <x:v>51.497</x:v>
      </x:c>
      <x:c r="K60" s="2" t="n">
        <x:v>8</x:v>
      </x:c>
      <x:c r="L60" s="2" t="str">
        <x:v>Valid</x:v>
      </x:c>
      <x:c r="M60" s="2" t="str">
        <x:v>QR</x:v>
      </x:c>
      <x:c r="N60" s="2" t="n">
        <x:v>1</x:v>
      </x:c>
      <x:c r="O60" s="2" t="str">
        <x:v>Accepted</x:v>
      </x:c>
      <x:c r="P60" s="2" t="str">
        <x:v>S001</x:v>
      </x:c>
      <x:c r="Q60" s="2" t="str">
        <x:v>DEV001</x:v>
      </x:c>
      <x:c r="R60" s="2" t="n">
        <x:v>21</x:v>
      </x:c>
      <x:c r="S60" s="2" t="str">
        <x:v>Online</x:v>
      </x:c>
      <x:c r="T60" s="2" t="str">
        <x:v>Synced</x:v>
      </x:c>
    </x:row>
    <x:row r="61" ht="21" customHeight="1">
      <x:c r="A61" s="2" t="str">
        <x:v>EV000175</x:v>
      </x:c>
      <x:c r="B61" s="2" t="str">
        <x:v>T20261004-1-2</x:v>
      </x:c>
      <x:c r="C61" s="2" t="str">
        <x:v>ST049</x:v>
      </x:c>
      <x:c r="D61" s="2" t="str">
        <x:v>aac0da9ca028b4b4fe1fc2c1eb298502</x:v>
      </x:c>
      <x:c r="E61" s="2" t="str">
        <x:v>CHECK_IN</x:v>
      </x:c>
      <x:c r="F61" s="8" t="n">
        <x:v>46299.25236111111</x:v>
      </x:c>
      <x:c r="G61" s="8" t="n">
        <x:v>46299.252384259256</x:v>
      </x:c>
      <x:c r="H61" s="2" t="str">
        <x:v>R2S3</x:v>
      </x:c>
      <x:c r="I61" s="9" t="n">
        <x:v>25.284000000000002</x:v>
      </x:c>
      <x:c r="J61" s="9" t="n">
        <x:v>51.504999999999995</x:v>
      </x:c>
      <x:c r="K61" s="2" t="n">
        <x:v>8</x:v>
      </x:c>
      <x:c r="L61" s="2" t="str">
        <x:v>Valid</x:v>
      </x:c>
      <x:c r="M61" s="2" t="str">
        <x:v>QR</x:v>
      </x:c>
      <x:c r="N61" s="2" t="n">
        <x:v>1</x:v>
      </x:c>
      <x:c r="O61" s="2" t="str">
        <x:v>Accepted</x:v>
      </x:c>
      <x:c r="P61" s="2" t="str">
        <x:v>S002</x:v>
      </x:c>
      <x:c r="Q61" s="2" t="str">
        <x:v>DEV002</x:v>
      </x:c>
      <x:c r="R61" s="2" t="n">
        <x:v>20</x:v>
      </x:c>
      <x:c r="S61" s="2" t="str">
        <x:v>Online</x:v>
      </x:c>
      <x:c r="T61" s="2" t="str">
        <x:v>Synced</x:v>
      </x:c>
    </x:row>
    <x:row r="62" ht="21" customHeight="1">
      <x:c r="A62" s="2" t="str">
        <x:v>EV000335</x:v>
      </x:c>
      <x:c r="B62" s="2" t="str">
        <x:v>T20261004-1-3</x:v>
      </x:c>
      <x:c r="C62" s="2" t="str">
        <x:v>ST089</x:v>
      </x:c>
      <x:c r="D62" s="2" t="str">
        <x:v>0bd697ec3f7c09918d8dd004b5340b03</x:v>
      </x:c>
      <x:c r="E62" s="2" t="str">
        <x:v>CHECK_IN</x:v>
      </x:c>
      <x:c r="F62" s="8" t="n">
        <x:v>46299.25236111111</x:v>
      </x:c>
      <x:c r="G62" s="8" t="n">
        <x:v>46299.252384259256</x:v>
      </x:c>
      <x:c r="H62" s="2" t="str">
        <x:v>R3S3</x:v>
      </x:c>
      <x:c r="I62" s="9" t="n">
        <x:v>25.293000000000003</x:v>
      </x:c>
      <x:c r="J62" s="9" t="n">
        <x:v>51.513</x:v>
      </x:c>
      <x:c r="K62" s="2" t="n">
        <x:v>8</x:v>
      </x:c>
      <x:c r="L62" s="2" t="str">
        <x:v>Valid</x:v>
      </x:c>
      <x:c r="M62" s="2" t="str">
        <x:v>QR</x:v>
      </x:c>
      <x:c r="N62" s="2" t="n">
        <x:v>1</x:v>
      </x:c>
      <x:c r="O62" s="2" t="str">
        <x:v>Accepted</x:v>
      </x:c>
      <x:c r="P62" s="2" t="str">
        <x:v>S003</x:v>
      </x:c>
      <x:c r="Q62" s="2" t="str">
        <x:v>DEV003</x:v>
      </x:c>
      <x:c r="R62" s="2" t="n">
        <x:v>20</x:v>
      </x:c>
      <x:c r="S62" s="2" t="str">
        <x:v>Online</x:v>
      </x:c>
      <x:c r="T62" s="2" t="str">
        <x:v>Synced</x:v>
      </x:c>
    </x:row>
    <x:row r="63" ht="21" customHeight="1">
      <x:c r="A63" s="2" t="str">
        <x:v>EV000160</x:v>
      </x:c>
      <x:c r="B63" s="2" t="str">
        <x:v>T20261004-1-2</x:v>
      </x:c>
      <x:c r="C63" s="2" t="str">
        <x:v>ST041</x:v>
      </x:c>
      <x:c r="D63" s="2" t="str">
        <x:v>78597cf805a87b7619460b6ed67f501f</x:v>
      </x:c>
      <x:c r="E63" s="2" t="str">
        <x:v>CHECK_OUT</x:v>
      </x:c>
      <x:c r="F63" s="8" t="n">
        <x:v>46299.27638888889</x:v>
      </x:c>
      <x:c r="G63" s="8" t="n">
        <x:v>46299.276412037034</x:v>
      </x:c>
      <x:c r="H63" s="2" t="str">
        <x:v>SCH01</x:v>
      </x:c>
      <x:c r="I63" s="9" t="n">
        <x:v>25.285</x:v>
      </x:c>
      <x:c r="J63" s="9" t="n">
        <x:v>51.51</x:v>
      </x:c>
      <x:c r="K63" s="2" t="n">
        <x:v>8</x:v>
      </x:c>
      <x:c r="L63" s="2" t="str">
        <x:v>Valid</x:v>
      </x:c>
      <x:c r="M63" s="2" t="str">
        <x:v>QR</x:v>
      </x:c>
      <x:c r="N63" s="2" t="n">
        <x:v>1</x:v>
      </x:c>
      <x:c r="O63" s="2" t="str">
        <x:v>Accepted</x:v>
      </x:c>
      <x:c r="P63" s="2" t="str">
        <x:v>S002</x:v>
      </x:c>
      <x:c r="Q63" s="2" t="str">
        <x:v>DEV002</x:v>
      </x:c>
      <x:c r="R63" s="2" t="n">
        <x:v>21</x:v>
      </x:c>
      <x:c r="S63" s="2" t="str">
        <x:v>Online</x:v>
      </x:c>
      <x:c r="T63" s="2" t="str">
        <x:v>Synced</x:v>
      </x:c>
    </x:row>
    <x:row r="64" ht="21" customHeight="1">
      <x:c r="A64" s="2" t="str">
        <x:v>EV000320</x:v>
      </x:c>
      <x:c r="B64" s="2" t="str">
        <x:v>T20261004-1-3</x:v>
      </x:c>
      <x:c r="C64" s="2" t="str">
        <x:v>ST081</x:v>
      </x:c>
      <x:c r="D64" s="2" t="str">
        <x:v>8631b63b10b36bffa6456d354db9c08f</x:v>
      </x:c>
      <x:c r="E64" s="2" t="str">
        <x:v>CHECK_OUT</x:v>
      </x:c>
      <x:c r="F64" s="8" t="n">
        <x:v>46299.27638888889</x:v>
      </x:c>
      <x:c r="G64" s="8" t="n">
        <x:v>46299.276412037034</x:v>
      </x:c>
      <x:c r="H64" s="2" t="str">
        <x:v>SCH01</x:v>
      </x:c>
      <x:c r="I64" s="9" t="n">
        <x:v>25.285</x:v>
      </x:c>
      <x:c r="J64" s="9" t="n">
        <x:v>51.51</x:v>
      </x:c>
      <x:c r="K64" s="2" t="n">
        <x:v>8</x:v>
      </x:c>
      <x:c r="L64" s="2" t="str">
        <x:v>Valid</x:v>
      </x:c>
      <x:c r="M64" s="2" t="str">
        <x:v>QR</x:v>
      </x:c>
      <x:c r="N64" s="2" t="n">
        <x:v>1</x:v>
      </x:c>
      <x:c r="O64" s="2" t="str">
        <x:v>Accepted</x:v>
      </x:c>
      <x:c r="P64" s="2" t="str">
        <x:v>S003</x:v>
      </x:c>
      <x:c r="Q64" s="2" t="str">
        <x:v>DEV003</x:v>
      </x:c>
      <x:c r="R64" s="2" t="n">
        <x:v>21</x:v>
      </x:c>
      <x:c r="S64" s="2" t="str">
        <x:v>Online</x:v>
      </x:c>
      <x:c r="T64" s="2" t="str">
        <x:v>Synced</x:v>
      </x:c>
    </x:row>
    <x:row r="65" ht="21" customHeight="1">
      <x:c r="A65" s="2" t="str">
        <x:v>EV000002</x:v>
      </x:c>
      <x:c r="B65" s="2" t="str">
        <x:v>T20261004-1-1</x:v>
      </x:c>
      <x:c r="C65" s="2" t="str">
        <x:v>ST002</x:v>
      </x:c>
      <x:c r="D65" s="2" t="str">
        <x:v>c9302a76d79e524442f3775978bb57a1</x:v>
      </x:c>
      <x:c r="E65" s="2" t="str">
        <x:v>CHECK_OUT</x:v>
      </x:c>
      <x:c r="F65" s="8" t="n">
        <x:v>46299.27642361111</x:v>
      </x:c>
      <x:c r="G65" s="8" t="n">
        <x:v>46299.27644675926</x:v>
      </x:c>
      <x:c r="H65" s="2" t="str">
        <x:v>SCH01</x:v>
      </x:c>
      <x:c r="I65" s="9" t="n">
        <x:v>25.285</x:v>
      </x:c>
      <x:c r="J65" s="9" t="n">
        <x:v>51.51</x:v>
      </x:c>
      <x:c r="K65" s="2" t="n">
        <x:v>8</x:v>
      </x:c>
      <x:c r="L65" s="2" t="str">
        <x:v>Valid</x:v>
      </x:c>
      <x:c r="M65" s="2" t="str">
        <x:v>QR</x:v>
      </x:c>
      <x:c r="N65" s="2" t="n">
        <x:v>1</x:v>
      </x:c>
      <x:c r="O65" s="2" t="str">
        <x:v>Accepted</x:v>
      </x:c>
      <x:c r="P65" s="2" t="str">
        <x:v>S001</x:v>
      </x:c>
      <x:c r="Q65" s="2" t="str">
        <x:v>DEV001</x:v>
      </x:c>
      <x:c r="R65" s="2" t="n">
        <x:v>22</x:v>
      </x:c>
      <x:c r="S65" s="2" t="str">
        <x:v>Online</x:v>
      </x:c>
      <x:c r="T65" s="2" t="str">
        <x:v>Synced</x:v>
      </x:c>
    </x:row>
    <x:row r="66" ht="21" customHeight="1">
      <x:c r="A66" s="2" t="str">
        <x:v>EV000162</x:v>
      </x:c>
      <x:c r="B66" s="2" t="str">
        <x:v>T20261004-1-2</x:v>
      </x:c>
      <x:c r="C66" s="2" t="str">
        <x:v>ST042</x:v>
      </x:c>
      <x:c r="D66" s="2" t="str">
        <x:v>9cf3254a8e8c8233e36089501cd1bc60</x:v>
      </x:c>
      <x:c r="E66" s="2" t="str">
        <x:v>CHECK_OUT</x:v>
      </x:c>
      <x:c r="F66" s="8" t="n">
        <x:v>46299.27642361111</x:v>
      </x:c>
      <x:c r="G66" s="8" t="n">
        <x:v>46299.27644675926</x:v>
      </x:c>
      <x:c r="H66" s="2" t="str">
        <x:v>SCH01</x:v>
      </x:c>
      <x:c r="I66" s="9" t="n">
        <x:v>25.285</x:v>
      </x:c>
      <x:c r="J66" s="9" t="n">
        <x:v>51.51</x:v>
      </x:c>
      <x:c r="K66" s="2" t="n">
        <x:v>8</x:v>
      </x:c>
      <x:c r="L66" s="2" t="str">
        <x:v>Valid</x:v>
      </x:c>
      <x:c r="M66" s="2" t="str">
        <x:v>QR</x:v>
      </x:c>
      <x:c r="N66" s="2" t="n">
        <x:v>1</x:v>
      </x:c>
      <x:c r="O66" s="2" t="str">
        <x:v>Accepted</x:v>
      </x:c>
      <x:c r="P66" s="2" t="str">
        <x:v>S002</x:v>
      </x:c>
      <x:c r="Q66" s="2" t="str">
        <x:v>DEV002</x:v>
      </x:c>
      <x:c r="R66" s="2" t="n">
        <x:v>22</x:v>
      </x:c>
      <x:c r="S66" s="2" t="str">
        <x:v>Online</x:v>
      </x:c>
      <x:c r="T66" s="2" t="str">
        <x:v>Synced</x:v>
      </x:c>
    </x:row>
    <x:row r="67" ht="21" customHeight="1">
      <x:c r="A67" s="2" t="str">
        <x:v>EV000322</x:v>
      </x:c>
      <x:c r="B67" s="2" t="str">
        <x:v>T20261004-1-3</x:v>
      </x:c>
      <x:c r="C67" s="2" t="str">
        <x:v>ST082</x:v>
      </x:c>
      <x:c r="D67" s="2" t="str">
        <x:v>fb7e28e2da3ace738571a6966bcaaec0</x:v>
      </x:c>
      <x:c r="E67" s="2" t="str">
        <x:v>CHECK_OUT</x:v>
      </x:c>
      <x:c r="F67" s="8" t="n">
        <x:v>46299.27642361111</x:v>
      </x:c>
      <x:c r="G67" s="8" t="n">
        <x:v>46299.27644675926</x:v>
      </x:c>
      <x:c r="H67" s="2" t="str">
        <x:v>SCH01</x:v>
      </x:c>
      <x:c r="I67" s="9" t="n">
        <x:v>25.285</x:v>
      </x:c>
      <x:c r="J67" s="9" t="n">
        <x:v>51.51</x:v>
      </x:c>
      <x:c r="K67" s="2" t="n">
        <x:v>8</x:v>
      </x:c>
      <x:c r="L67" s="2" t="str">
        <x:v>Valid</x:v>
      </x:c>
      <x:c r="M67" s="2" t="str">
        <x:v>QR</x:v>
      </x:c>
      <x:c r="N67" s="2" t="n">
        <x:v>1</x:v>
      </x:c>
      <x:c r="O67" s="2" t="str">
        <x:v>Accepted</x:v>
      </x:c>
      <x:c r="P67" s="2" t="str">
        <x:v>S003</x:v>
      </x:c>
      <x:c r="Q67" s="2" t="str">
        <x:v>DEV003</x:v>
      </x:c>
      <x:c r="R67" s="2" t="n">
        <x:v>22</x:v>
      </x:c>
      <x:c r="S67" s="2" t="str">
        <x:v>Online</x:v>
      </x:c>
      <x:c r="T67" s="2" t="str">
        <x:v>Synced</x:v>
      </x:c>
    </x:row>
    <x:row r="68" ht="21" customHeight="1">
      <x:c r="A68" s="2" t="str">
        <x:v>EV000004</x:v>
      </x:c>
      <x:c r="B68" s="2" t="str">
        <x:v>T20261004-1-1</x:v>
      </x:c>
      <x:c r="C68" s="2" t="str">
        <x:v>ST003</x:v>
      </x:c>
      <x:c r="D68" s="2" t="str">
        <x:v>7598e98213cb52db1085c9a94fae1915</x:v>
      </x:c>
      <x:c r="E68" s="2" t="str">
        <x:v>CHECK_OUT</x:v>
      </x:c>
      <x:c r="F68" s="8" t="n">
        <x:v>46299.276458333334</x:v>
      </x:c>
      <x:c r="G68" s="8" t="n">
        <x:v>46299.27648148148</x:v>
      </x:c>
      <x:c r="H68" s="2" t="str">
        <x:v>SCH01</x:v>
      </x:c>
      <x:c r="I68" s="9" t="n">
        <x:v>25.285</x:v>
      </x:c>
      <x:c r="J68" s="9" t="n">
        <x:v>51.51</x:v>
      </x:c>
      <x:c r="K68" s="2" t="n">
        <x:v>8</x:v>
      </x:c>
      <x:c r="L68" s="2" t="str">
        <x:v>Valid</x:v>
      </x:c>
      <x:c r="M68" s="2" t="str">
        <x:v>QR</x:v>
      </x:c>
      <x:c r="N68" s="2" t="n">
        <x:v>1</x:v>
      </x:c>
      <x:c r="O68" s="2" t="str">
        <x:v>Accepted</x:v>
      </x:c>
      <x:c r="P68" s="2" t="str">
        <x:v>S001</x:v>
      </x:c>
      <x:c r="Q68" s="2" t="str">
        <x:v>DEV001</x:v>
      </x:c>
      <x:c r="R68" s="2" t="n">
        <x:v>23</x:v>
      </x:c>
      <x:c r="S68" s="2" t="str">
        <x:v>Online</x:v>
      </x:c>
      <x:c r="T68" s="2" t="str">
        <x:v>Synced</x:v>
      </x:c>
    </x:row>
    <x:row r="69" ht="21" customHeight="1">
      <x:c r="A69" s="2" t="str">
        <x:v>EV000164</x:v>
      </x:c>
      <x:c r="B69" s="2" t="str">
        <x:v>T20261004-1-2</x:v>
      </x:c>
      <x:c r="C69" s="2" t="str">
        <x:v>ST043</x:v>
      </x:c>
      <x:c r="D69" s="2" t="str">
        <x:v>db51093fe9dac44d59345ee12f7e9c56</x:v>
      </x:c>
      <x:c r="E69" s="2" t="str">
        <x:v>CHECK_OUT</x:v>
      </x:c>
      <x:c r="F69" s="8" t="n">
        <x:v>46299.276458333334</x:v>
      </x:c>
      <x:c r="G69" s="8" t="n">
        <x:v>46299.27648148148</x:v>
      </x:c>
      <x:c r="H69" s="2" t="str">
        <x:v>SCH01</x:v>
      </x:c>
      <x:c r="I69" s="9" t="n">
        <x:v>25.285</x:v>
      </x:c>
      <x:c r="J69" s="9" t="n">
        <x:v>51.51</x:v>
      </x:c>
      <x:c r="K69" s="2" t="n">
        <x:v>8</x:v>
      </x:c>
      <x:c r="L69" s="2" t="str">
        <x:v>Valid</x:v>
      </x:c>
      <x:c r="M69" s="2" t="str">
        <x:v>QR</x:v>
      </x:c>
      <x:c r="N69" s="2" t="n">
        <x:v>1</x:v>
      </x:c>
      <x:c r="O69" s="2" t="str">
        <x:v>Accepted</x:v>
      </x:c>
      <x:c r="P69" s="2" t="str">
        <x:v>S002</x:v>
      </x:c>
      <x:c r="Q69" s="2" t="str">
        <x:v>DEV002</x:v>
      </x:c>
      <x:c r="R69" s="2" t="n">
        <x:v>23</x:v>
      </x:c>
      <x:c r="S69" s="2" t="str">
        <x:v>Online</x:v>
      </x:c>
      <x:c r="T69" s="2" t="str">
        <x:v>Synced</x:v>
      </x:c>
    </x:row>
    <x:row r="70" ht="21" customHeight="1">
      <x:c r="A70" s="2" t="str">
        <x:v>EV000324</x:v>
      </x:c>
      <x:c r="B70" s="2" t="str">
        <x:v>T20261004-1-3</x:v>
      </x:c>
      <x:c r="C70" s="2" t="str">
        <x:v>ST083</x:v>
      </x:c>
      <x:c r="D70" s="2" t="str">
        <x:v>19cc474730ce4d97be031814010d13a9</x:v>
      </x:c>
      <x:c r="E70" s="2" t="str">
        <x:v>CHECK_OUT</x:v>
      </x:c>
      <x:c r="F70" s="8" t="n">
        <x:v>46299.276458333334</x:v>
      </x:c>
      <x:c r="G70" s="8" t="n">
        <x:v>46299.27648148148</x:v>
      </x:c>
      <x:c r="H70" s="2" t="str">
        <x:v>SCH01</x:v>
      </x:c>
      <x:c r="I70" s="9" t="n">
        <x:v>25.285</x:v>
      </x:c>
      <x:c r="J70" s="9" t="n">
        <x:v>51.51</x:v>
      </x:c>
      <x:c r="K70" s="2" t="n">
        <x:v>8</x:v>
      </x:c>
      <x:c r="L70" s="2" t="str">
        <x:v>Valid</x:v>
      </x:c>
      <x:c r="M70" s="2" t="str">
        <x:v>QR</x:v>
      </x:c>
      <x:c r="N70" s="2" t="n">
        <x:v>1</x:v>
      </x:c>
      <x:c r="O70" s="2" t="str">
        <x:v>Accepted</x:v>
      </x:c>
      <x:c r="P70" s="2" t="str">
        <x:v>S003</x:v>
      </x:c>
      <x:c r="Q70" s="2" t="str">
        <x:v>DEV003</x:v>
      </x:c>
      <x:c r="R70" s="2" t="n">
        <x:v>23</x:v>
      </x:c>
      <x:c r="S70" s="2" t="str">
        <x:v>Online</x:v>
      </x:c>
      <x:c r="T70" s="2" t="str">
        <x:v>Synced</x:v>
      </x:c>
    </x:row>
    <x:row r="71" ht="21" customHeight="1">
      <x:c r="A71" s="2" t="str">
        <x:v>EV000006</x:v>
      </x:c>
      <x:c r="B71" s="2" t="str">
        <x:v>T20261004-1-1</x:v>
      </x:c>
      <x:c r="C71" s="2" t="str">
        <x:v>ST004</x:v>
      </x:c>
      <x:c r="D71" s="2" t="str">
        <x:v>7dee56e67101a0dd8483e1503eba9a72</x:v>
      </x:c>
      <x:c r="E71" s="2" t="str">
        <x:v>CHECK_OUT</x:v>
      </x:c>
      <x:c r="F71" s="8" t="n">
        <x:v>46299.27649305556</x:v>
      </x:c>
      <x:c r="G71" s="8" t="n">
        <x:v>46299.2765162037</x:v>
      </x:c>
      <x:c r="H71" s="2" t="str">
        <x:v>SCH01</x:v>
      </x:c>
      <x:c r="I71" s="9" t="n">
        <x:v>25.285</x:v>
      </x:c>
      <x:c r="J71" s="9" t="n">
        <x:v>51.51</x:v>
      </x:c>
      <x:c r="K71" s="2" t="n">
        <x:v>8</x:v>
      </x:c>
      <x:c r="L71" s="2" t="str">
        <x:v>Valid</x:v>
      </x:c>
      <x:c r="M71" s="2" t="str">
        <x:v>QR</x:v>
      </x:c>
      <x:c r="N71" s="2" t="n">
        <x:v>1</x:v>
      </x:c>
      <x:c r="O71" s="2" t="str">
        <x:v>Accepted</x:v>
      </x:c>
      <x:c r="P71" s="2" t="str">
        <x:v>S001</x:v>
      </x:c>
      <x:c r="Q71" s="2" t="str">
        <x:v>DEV001</x:v>
      </x:c>
      <x:c r="R71" s="2" t="n">
        <x:v>24</x:v>
      </x:c>
      <x:c r="S71" s="2" t="str">
        <x:v>Online</x:v>
      </x:c>
      <x:c r="T71" s="2" t="str">
        <x:v>Synced</x:v>
      </x:c>
    </x:row>
    <x:row r="72" ht="21" customHeight="1">
      <x:c r="A72" s="2" t="str">
        <x:v>EV000166</x:v>
      </x:c>
      <x:c r="B72" s="2" t="str">
        <x:v>T20261004-1-2</x:v>
      </x:c>
      <x:c r="C72" s="2" t="str">
        <x:v>ST044</x:v>
      </x:c>
      <x:c r="D72" s="2" t="str">
        <x:v>638b036dff08260bc8976402fb10157a</x:v>
      </x:c>
      <x:c r="E72" s="2" t="str">
        <x:v>CHECK_OUT</x:v>
      </x:c>
      <x:c r="F72" s="8" t="n">
        <x:v>46299.27649305556</x:v>
      </x:c>
      <x:c r="G72" s="8" t="n">
        <x:v>46299.2765162037</x:v>
      </x:c>
      <x:c r="H72" s="2" t="str">
        <x:v>SCH01</x:v>
      </x:c>
      <x:c r="I72" s="9" t="n">
        <x:v>25.285</x:v>
      </x:c>
      <x:c r="J72" s="9" t="n">
        <x:v>51.51</x:v>
      </x:c>
      <x:c r="K72" s="2" t="n">
        <x:v>8</x:v>
      </x:c>
      <x:c r="L72" s="2" t="str">
        <x:v>Valid</x:v>
      </x:c>
      <x:c r="M72" s="2" t="str">
        <x:v>QR</x:v>
      </x:c>
      <x:c r="N72" s="2" t="n">
        <x:v>1</x:v>
      </x:c>
      <x:c r="O72" s="2" t="str">
        <x:v>Accepted</x:v>
      </x:c>
      <x:c r="P72" s="2" t="str">
        <x:v>S002</x:v>
      </x:c>
      <x:c r="Q72" s="2" t="str">
        <x:v>DEV002</x:v>
      </x:c>
      <x:c r="R72" s="2" t="n">
        <x:v>24</x:v>
      </x:c>
      <x:c r="S72" s="2" t="str">
        <x:v>Online</x:v>
      </x:c>
      <x:c r="T72" s="2" t="str">
        <x:v>Synced</x:v>
      </x:c>
    </x:row>
    <x:row r="73" ht="21" customHeight="1">
      <x:c r="A73" s="2" t="str">
        <x:v>EV000326</x:v>
      </x:c>
      <x:c r="B73" s="2" t="str">
        <x:v>T20261004-1-3</x:v>
      </x:c>
      <x:c r="C73" s="2" t="str">
        <x:v>ST084</x:v>
      </x:c>
      <x:c r="D73" s="2" t="str">
        <x:v>2f6163b722feb8421b83fd278ee72e5c</x:v>
      </x:c>
      <x:c r="E73" s="2" t="str">
        <x:v>CHECK_OUT</x:v>
      </x:c>
      <x:c r="F73" s="8" t="n">
        <x:v>46299.27649305556</x:v>
      </x:c>
      <x:c r="G73" s="8" t="n">
        <x:v>46299.2765162037</x:v>
      </x:c>
      <x:c r="H73" s="2" t="str">
        <x:v>SCH01</x:v>
      </x:c>
      <x:c r="I73" s="9" t="n">
        <x:v>25.285</x:v>
      </x:c>
      <x:c r="J73" s="9" t="n">
        <x:v>51.51</x:v>
      </x:c>
      <x:c r="K73" s="2" t="n">
        <x:v>8</x:v>
      </x:c>
      <x:c r="L73" s="2" t="str">
        <x:v>Valid</x:v>
      </x:c>
      <x:c r="M73" s="2" t="str">
        <x:v>QR</x:v>
      </x:c>
      <x:c r="N73" s="2" t="n">
        <x:v>1</x:v>
      </x:c>
      <x:c r="O73" s="2" t="str">
        <x:v>Accepted</x:v>
      </x:c>
      <x:c r="P73" s="2" t="str">
        <x:v>S003</x:v>
      </x:c>
      <x:c r="Q73" s="2" t="str">
        <x:v>DEV003</x:v>
      </x:c>
      <x:c r="R73" s="2" t="n">
        <x:v>24</x:v>
      </x:c>
      <x:c r="S73" s="2" t="str">
        <x:v>Online</x:v>
      </x:c>
      <x:c r="T73" s="2" t="str">
        <x:v>Synced</x:v>
      </x:c>
    </x:row>
    <x:row r="74" ht="21" customHeight="1">
      <x:c r="A74" s="2" t="str">
        <x:v>EV000008</x:v>
      </x:c>
      <x:c r="B74" s="2" t="str">
        <x:v>T20261004-1-1</x:v>
      </x:c>
      <x:c r="C74" s="2" t="str">
        <x:v>ST005</x:v>
      </x:c>
      <x:c r="D74" s="2" t="str">
        <x:v>426727a8a0b9d51694a399a005c786cf</x:v>
      </x:c>
      <x:c r="E74" s="2" t="str">
        <x:v>CHECK_OUT</x:v>
      </x:c>
      <x:c r="F74" s="8" t="n">
        <x:v>46299.27652777778</x:v>
      </x:c>
      <x:c r="G74" s="8" t="n">
        <x:v>46299.276550925926</x:v>
      </x:c>
      <x:c r="H74" s="2" t="str">
        <x:v>SCH01</x:v>
      </x:c>
      <x:c r="I74" s="9" t="n">
        <x:v>25.285</x:v>
      </x:c>
      <x:c r="J74" s="9" t="n">
        <x:v>51.51</x:v>
      </x:c>
      <x:c r="K74" s="2" t="n">
        <x:v>8</x:v>
      </x:c>
      <x:c r="L74" s="2" t="str">
        <x:v>Valid</x:v>
      </x:c>
      <x:c r="M74" s="2" t="str">
        <x:v>QR</x:v>
      </x:c>
      <x:c r="N74" s="2" t="n">
        <x:v>1</x:v>
      </x:c>
      <x:c r="O74" s="2" t="str">
        <x:v>Accepted</x:v>
      </x:c>
      <x:c r="P74" s="2" t="str">
        <x:v>S001</x:v>
      </x:c>
      <x:c r="Q74" s="2" t="str">
        <x:v>DEV001</x:v>
      </x:c>
      <x:c r="R74" s="2" t="n">
        <x:v>25</x:v>
      </x:c>
      <x:c r="S74" s="2" t="str">
        <x:v>Online</x:v>
      </x:c>
      <x:c r="T74" s="2" t="str">
        <x:v>Synced</x:v>
      </x:c>
    </x:row>
    <x:row r="75" ht="21" customHeight="1">
      <x:c r="A75" s="2" t="str">
        <x:v>EV000168</x:v>
      </x:c>
      <x:c r="B75" s="2" t="str">
        <x:v>T20261004-1-2</x:v>
      </x:c>
      <x:c r="C75" s="2" t="str">
        <x:v>ST045</x:v>
      </x:c>
      <x:c r="D75" s="2" t="str">
        <x:v>10d8df8a06a7c869bcaa1adbc88c05bc</x:v>
      </x:c>
      <x:c r="E75" s="2" t="str">
        <x:v>CHECK_OUT</x:v>
      </x:c>
      <x:c r="F75" s="8" t="n">
        <x:v>46299.27652777778</x:v>
      </x:c>
      <x:c r="G75" s="8" t="n">
        <x:v>46299.276550925926</x:v>
      </x:c>
      <x:c r="H75" s="2" t="str">
        <x:v>SCH01</x:v>
      </x:c>
      <x:c r="I75" s="9" t="n">
        <x:v>25.285</x:v>
      </x:c>
      <x:c r="J75" s="9" t="n">
        <x:v>51.51</x:v>
      </x:c>
      <x:c r="K75" s="2" t="n">
        <x:v>8</x:v>
      </x:c>
      <x:c r="L75" s="2" t="str">
        <x:v>Valid</x:v>
      </x:c>
      <x:c r="M75" s="2" t="str">
        <x:v>QR</x:v>
      </x:c>
      <x:c r="N75" s="2" t="n">
        <x:v>1</x:v>
      </x:c>
      <x:c r="O75" s="2" t="str">
        <x:v>Accepted</x:v>
      </x:c>
      <x:c r="P75" s="2" t="str">
        <x:v>S002</x:v>
      </x:c>
      <x:c r="Q75" s="2" t="str">
        <x:v>DEV002</x:v>
      </x:c>
      <x:c r="R75" s="2" t="n">
        <x:v>25</x:v>
      </x:c>
      <x:c r="S75" s="2" t="str">
        <x:v>Online</x:v>
      </x:c>
      <x:c r="T75" s="2" t="str">
        <x:v>Synced</x:v>
      </x:c>
    </x:row>
    <x:row r="76" ht="21" customHeight="1">
      <x:c r="A76" s="2" t="str">
        <x:v>EV000328</x:v>
      </x:c>
      <x:c r="B76" s="2" t="str">
        <x:v>T20261004-1-3</x:v>
      </x:c>
      <x:c r="C76" s="2" t="str">
        <x:v>ST085</x:v>
      </x:c>
      <x:c r="D76" s="2" t="str">
        <x:v>80babdd572dde222a75b7ad8f0fe7ffa</x:v>
      </x:c>
      <x:c r="E76" s="2" t="str">
        <x:v>CHECK_OUT</x:v>
      </x:c>
      <x:c r="F76" s="8" t="n">
        <x:v>46299.27652777778</x:v>
      </x:c>
      <x:c r="G76" s="8" t="n">
        <x:v>46299.276550925926</x:v>
      </x:c>
      <x:c r="H76" s="2" t="str">
        <x:v>SCH01</x:v>
      </x:c>
      <x:c r="I76" s="9" t="n">
        <x:v>25.285</x:v>
      </x:c>
      <x:c r="J76" s="9" t="n">
        <x:v>51.51</x:v>
      </x:c>
      <x:c r="K76" s="2" t="n">
        <x:v>8</x:v>
      </x:c>
      <x:c r="L76" s="2" t="str">
        <x:v>Valid</x:v>
      </x:c>
      <x:c r="M76" s="2" t="str">
        <x:v>QR</x:v>
      </x:c>
      <x:c r="N76" s="2" t="n">
        <x:v>1</x:v>
      </x:c>
      <x:c r="O76" s="2" t="str">
        <x:v>Accepted</x:v>
      </x:c>
      <x:c r="P76" s="2" t="str">
        <x:v>S003</x:v>
      </x:c>
      <x:c r="Q76" s="2" t="str">
        <x:v>DEV003</x:v>
      </x:c>
      <x:c r="R76" s="2" t="n">
        <x:v>25</x:v>
      </x:c>
      <x:c r="S76" s="2" t="str">
        <x:v>Online</x:v>
      </x:c>
      <x:c r="T76" s="2" t="str">
        <x:v>Synced</x:v>
      </x:c>
    </x:row>
    <x:row r="77" ht="21" customHeight="1">
      <x:c r="A77" s="2" t="str">
        <x:v>EV000010</x:v>
      </x:c>
      <x:c r="B77" s="2" t="str">
        <x:v>T20261004-1-1</x:v>
      </x:c>
      <x:c r="C77" s="2" t="str">
        <x:v>ST006</x:v>
      </x:c>
      <x:c r="D77" s="2" t="str">
        <x:v>8edd7f2c984bf2eb5adf75591d6f1e9c</x:v>
      </x:c>
      <x:c r="E77" s="2" t="str">
        <x:v>CHECK_OUT</x:v>
      </x:c>
      <x:c r="F77" s="8" t="n">
        <x:v>46299.276562499996</x:v>
      </x:c>
      <x:c r="G77" s="8" t="n">
        <x:v>46299.27658564814</x:v>
      </x:c>
      <x:c r="H77" s="2" t="str">
        <x:v>SCH01</x:v>
      </x:c>
      <x:c r="I77" s="9" t="n">
        <x:v>25.285</x:v>
      </x:c>
      <x:c r="J77" s="9" t="n">
        <x:v>51.51</x:v>
      </x:c>
      <x:c r="K77" s="2" t="n">
        <x:v>8</x:v>
      </x:c>
      <x:c r="L77" s="2" t="str">
        <x:v>Valid</x:v>
      </x:c>
      <x:c r="M77" s="2" t="str">
        <x:v>QR</x:v>
      </x:c>
      <x:c r="N77" s="2" t="n">
        <x:v>1</x:v>
      </x:c>
      <x:c r="O77" s="2" t="str">
        <x:v>Accepted</x:v>
      </x:c>
      <x:c r="P77" s="2" t="str">
        <x:v>S001</x:v>
      </x:c>
      <x:c r="Q77" s="2" t="str">
        <x:v>DEV001</x:v>
      </x:c>
      <x:c r="R77" s="2" t="n">
        <x:v>26</x:v>
      </x:c>
      <x:c r="S77" s="2" t="str">
        <x:v>Online</x:v>
      </x:c>
      <x:c r="T77" s="2" t="str">
        <x:v>Synced</x:v>
      </x:c>
    </x:row>
    <x:row r="78" ht="21" customHeight="1">
      <x:c r="A78" s="2" t="str">
        <x:v>EV000170</x:v>
      </x:c>
      <x:c r="B78" s="2" t="str">
        <x:v>T20261004-1-2</x:v>
      </x:c>
      <x:c r="C78" s="2" t="str">
        <x:v>ST046</x:v>
      </x:c>
      <x:c r="D78" s="2" t="str">
        <x:v>82365992d443d056f10fa7522ac29057</x:v>
      </x:c>
      <x:c r="E78" s="2" t="str">
        <x:v>CHECK_OUT</x:v>
      </x:c>
      <x:c r="F78" s="8" t="n">
        <x:v>46299.276562499996</x:v>
      </x:c>
      <x:c r="G78" s="8" t="n">
        <x:v>46299.27658564814</x:v>
      </x:c>
      <x:c r="H78" s="2" t="str">
        <x:v>SCH01</x:v>
      </x:c>
      <x:c r="I78" s="9" t="n">
        <x:v>25.285</x:v>
      </x:c>
      <x:c r="J78" s="9" t="n">
        <x:v>51.51</x:v>
      </x:c>
      <x:c r="K78" s="2" t="n">
        <x:v>8</x:v>
      </x:c>
      <x:c r="L78" s="2" t="str">
        <x:v>Valid</x:v>
      </x:c>
      <x:c r="M78" s="2" t="str">
        <x:v>QR</x:v>
      </x:c>
      <x:c r="N78" s="2" t="n">
        <x:v>1</x:v>
      </x:c>
      <x:c r="O78" s="2" t="str">
        <x:v>Accepted</x:v>
      </x:c>
      <x:c r="P78" s="2" t="str">
        <x:v>S002</x:v>
      </x:c>
      <x:c r="Q78" s="2" t="str">
        <x:v>DEV002</x:v>
      </x:c>
      <x:c r="R78" s="2" t="n">
        <x:v>26</x:v>
      </x:c>
      <x:c r="S78" s="2" t="str">
        <x:v>Online</x:v>
      </x:c>
      <x:c r="T78" s="2" t="str">
        <x:v>Synced</x:v>
      </x:c>
    </x:row>
    <x:row r="79" ht="21" customHeight="1">
      <x:c r="A79" s="2" t="str">
        <x:v>EV000330</x:v>
      </x:c>
      <x:c r="B79" s="2" t="str">
        <x:v>T20261004-1-3</x:v>
      </x:c>
      <x:c r="C79" s="2" t="str">
        <x:v>ST086</x:v>
      </x:c>
      <x:c r="D79" s="2" t="str">
        <x:v>33c5dfd0f17fcbe34d50fd9b0a0c0e5b</x:v>
      </x:c>
      <x:c r="E79" s="2" t="str">
        <x:v>CHECK_OUT</x:v>
      </x:c>
      <x:c r="F79" s="8" t="n">
        <x:v>46299.276562499996</x:v>
      </x:c>
      <x:c r="G79" s="8" t="n">
        <x:v>46299.27658564814</x:v>
      </x:c>
      <x:c r="H79" s="2" t="str">
        <x:v>SCH01</x:v>
      </x:c>
      <x:c r="I79" s="9" t="n">
        <x:v>25.285</x:v>
      </x:c>
      <x:c r="J79" s="9" t="n">
        <x:v>51.51</x:v>
      </x:c>
      <x:c r="K79" s="2" t="n">
        <x:v>8</x:v>
      </x:c>
      <x:c r="L79" s="2" t="str">
        <x:v>Valid</x:v>
      </x:c>
      <x:c r="M79" s="2" t="str">
        <x:v>QR</x:v>
      </x:c>
      <x:c r="N79" s="2" t="n">
        <x:v>1</x:v>
      </x:c>
      <x:c r="O79" s="2" t="str">
        <x:v>Accepted</x:v>
      </x:c>
      <x:c r="P79" s="2" t="str">
        <x:v>S003</x:v>
      </x:c>
      <x:c r="Q79" s="2" t="str">
        <x:v>DEV003</x:v>
      </x:c>
      <x:c r="R79" s="2" t="n">
        <x:v>26</x:v>
      </x:c>
      <x:c r="S79" s="2" t="str">
        <x:v>Online</x:v>
      </x:c>
      <x:c r="T79" s="2" t="str">
        <x:v>Synced</x:v>
      </x:c>
    </x:row>
    <x:row r="80" ht="21" customHeight="1">
      <x:c r="A80" s="2" t="str">
        <x:v>EV000012</x:v>
      </x:c>
      <x:c r="B80" s="2" t="str">
        <x:v>T20261004-1-1</x:v>
      </x:c>
      <x:c r="C80" s="2" t="str">
        <x:v>ST007</x:v>
      </x:c>
      <x:c r="D80" s="2" t="str">
        <x:v>2376173ab02a96d9b58d44caf4008dfd</x:v>
      </x:c>
      <x:c r="E80" s="2" t="str">
        <x:v>CHECK_OUT</x:v>
      </x:c>
      <x:c r="F80" s="8" t="n">
        <x:v>46299.27659722222</x:v>
      </x:c>
      <x:c r="G80" s="8" t="n">
        <x:v>46299.276620370365</x:v>
      </x:c>
      <x:c r="H80" s="2" t="str">
        <x:v>SCH01</x:v>
      </x:c>
      <x:c r="I80" s="9" t="n">
        <x:v>25.285</x:v>
      </x:c>
      <x:c r="J80" s="9" t="n">
        <x:v>51.51</x:v>
      </x:c>
      <x:c r="K80" s="2" t="n">
        <x:v>8</x:v>
      </x:c>
      <x:c r="L80" s="2" t="str">
        <x:v>Valid</x:v>
      </x:c>
      <x:c r="M80" s="2" t="str">
        <x:v>QR</x:v>
      </x:c>
      <x:c r="N80" s="2" t="n">
        <x:v>1</x:v>
      </x:c>
      <x:c r="O80" s="2" t="str">
        <x:v>Accepted</x:v>
      </x:c>
      <x:c r="P80" s="2" t="str">
        <x:v>S001</x:v>
      </x:c>
      <x:c r="Q80" s="2" t="str">
        <x:v>DEV001</x:v>
      </x:c>
      <x:c r="R80" s="2" t="n">
        <x:v>27</x:v>
      </x:c>
      <x:c r="S80" s="2" t="str">
        <x:v>Online</x:v>
      </x:c>
      <x:c r="T80" s="2" t="str">
        <x:v>Synced</x:v>
      </x:c>
    </x:row>
    <x:row r="81" ht="21" customHeight="1">
      <x:c r="A81" s="2" t="str">
        <x:v>EV000172</x:v>
      </x:c>
      <x:c r="B81" s="2" t="str">
        <x:v>T20261004-1-2</x:v>
      </x:c>
      <x:c r="C81" s="2" t="str">
        <x:v>ST047</x:v>
      </x:c>
      <x:c r="D81" s="2" t="str">
        <x:v>b3f6380a42fb190ae04afac7edee87cd</x:v>
      </x:c>
      <x:c r="E81" s="2" t="str">
        <x:v>CHECK_OUT</x:v>
      </x:c>
      <x:c r="F81" s="8" t="n">
        <x:v>46299.27659722222</x:v>
      </x:c>
      <x:c r="G81" s="8" t="n">
        <x:v>46299.276620370365</x:v>
      </x:c>
      <x:c r="H81" s="2" t="str">
        <x:v>SCH01</x:v>
      </x:c>
      <x:c r="I81" s="9" t="n">
        <x:v>25.285</x:v>
      </x:c>
      <x:c r="J81" s="9" t="n">
        <x:v>51.51</x:v>
      </x:c>
      <x:c r="K81" s="2" t="n">
        <x:v>8</x:v>
      </x:c>
      <x:c r="L81" s="2" t="str">
        <x:v>Valid</x:v>
      </x:c>
      <x:c r="M81" s="2" t="str">
        <x:v>QR</x:v>
      </x:c>
      <x:c r="N81" s="2" t="n">
        <x:v>1</x:v>
      </x:c>
      <x:c r="O81" s="2" t="str">
        <x:v>Accepted</x:v>
      </x:c>
      <x:c r="P81" s="2" t="str">
        <x:v>S002</x:v>
      </x:c>
      <x:c r="Q81" s="2" t="str">
        <x:v>DEV002</x:v>
      </x:c>
      <x:c r="R81" s="2" t="n">
        <x:v>27</x:v>
      </x:c>
      <x:c r="S81" s="2" t="str">
        <x:v>Online</x:v>
      </x:c>
      <x:c r="T81" s="2" t="str">
        <x:v>Synced</x:v>
      </x:c>
    </x:row>
    <x:row r="82" ht="21" customHeight="1">
      <x:c r="A82" s="2" t="str">
        <x:v>EV000332</x:v>
      </x:c>
      <x:c r="B82" s="2" t="str">
        <x:v>T20261004-1-3</x:v>
      </x:c>
      <x:c r="C82" s="2" t="str">
        <x:v>ST087</x:v>
      </x:c>
      <x:c r="D82" s="2" t="str">
        <x:v>30243cf46003be06b271950aa5cd47a6</x:v>
      </x:c>
      <x:c r="E82" s="2" t="str">
        <x:v>CHECK_OUT</x:v>
      </x:c>
      <x:c r="F82" s="8" t="n">
        <x:v>46299.27659722222</x:v>
      </x:c>
      <x:c r="G82" s="8" t="n">
        <x:v>46299.276620370365</x:v>
      </x:c>
      <x:c r="H82" s="2" t="str">
        <x:v>SCH01</x:v>
      </x:c>
      <x:c r="I82" s="9" t="n">
        <x:v>25.285</x:v>
      </x:c>
      <x:c r="J82" s="9" t="n">
        <x:v>51.51</x:v>
      </x:c>
      <x:c r="K82" s="2" t="n">
        <x:v>8</x:v>
      </x:c>
      <x:c r="L82" s="2" t="str">
        <x:v>Valid</x:v>
      </x:c>
      <x:c r="M82" s="2" t="str">
        <x:v>QR</x:v>
      </x:c>
      <x:c r="N82" s="2" t="n">
        <x:v>1</x:v>
      </x:c>
      <x:c r="O82" s="2" t="str">
        <x:v>Accepted</x:v>
      </x:c>
      <x:c r="P82" s="2" t="str">
        <x:v>S003</x:v>
      </x:c>
      <x:c r="Q82" s="2" t="str">
        <x:v>DEV003</x:v>
      </x:c>
      <x:c r="R82" s="2" t="n">
        <x:v>27</x:v>
      </x:c>
      <x:c r="S82" s="2" t="str">
        <x:v>Online</x:v>
      </x:c>
      <x:c r="T82" s="2" t="str">
        <x:v>Synced</x:v>
      </x:c>
    </x:row>
    <x:row r="83" ht="21" customHeight="1">
      <x:c r="A83" s="2" t="str">
        <x:v>EV000014</x:v>
      </x:c>
      <x:c r="B83" s="2" t="str">
        <x:v>T20261004-1-1</x:v>
      </x:c>
      <x:c r="C83" s="2" t="str">
        <x:v>ST008</x:v>
      </x:c>
      <x:c r="D83" s="2" t="str">
        <x:v>ac4baf5d317844907005c691f401c42d</x:v>
      </x:c>
      <x:c r="E83" s="2" t="str">
        <x:v>CHECK_OUT</x:v>
      </x:c>
      <x:c r="F83" s="8" t="n">
        <x:v>46299.27663194444</x:v>
      </x:c>
      <x:c r="G83" s="8" t="n">
        <x:v>46299.27665509259</x:v>
      </x:c>
      <x:c r="H83" s="2" t="str">
        <x:v>SCH01</x:v>
      </x:c>
      <x:c r="I83" s="9" t="n">
        <x:v>25.285</x:v>
      </x:c>
      <x:c r="J83" s="9" t="n">
        <x:v>51.51</x:v>
      </x:c>
      <x:c r="K83" s="2" t="n">
        <x:v>8</x:v>
      </x:c>
      <x:c r="L83" s="2" t="str">
        <x:v>Valid</x:v>
      </x:c>
      <x:c r="M83" s="2" t="str">
        <x:v>QR</x:v>
      </x:c>
      <x:c r="N83" s="2" t="n">
        <x:v>1</x:v>
      </x:c>
      <x:c r="O83" s="2" t="str">
        <x:v>Accepted</x:v>
      </x:c>
      <x:c r="P83" s="2" t="str">
        <x:v>S001</x:v>
      </x:c>
      <x:c r="Q83" s="2" t="str">
        <x:v>DEV001</x:v>
      </x:c>
      <x:c r="R83" s="2" t="n">
        <x:v>28</x:v>
      </x:c>
      <x:c r="S83" s="2" t="str">
        <x:v>Online</x:v>
      </x:c>
      <x:c r="T83" s="2" t="str">
        <x:v>Synced</x:v>
      </x:c>
    </x:row>
    <x:row r="84" ht="21" customHeight="1">
      <x:c r="A84" s="2" t="str">
        <x:v>EV000174</x:v>
      </x:c>
      <x:c r="B84" s="2" t="str">
        <x:v>T20261004-1-2</x:v>
      </x:c>
      <x:c r="C84" s="2" t="str">
        <x:v>ST048</x:v>
      </x:c>
      <x:c r="D84" s="2" t="str">
        <x:v>e3a3009a9bd3946e21f417e93203aa79</x:v>
      </x:c>
      <x:c r="E84" s="2" t="str">
        <x:v>CHECK_OUT</x:v>
      </x:c>
      <x:c r="F84" s="8" t="n">
        <x:v>46299.27663194444</x:v>
      </x:c>
      <x:c r="G84" s="8" t="n">
        <x:v>46299.27665509259</x:v>
      </x:c>
      <x:c r="H84" s="2" t="str">
        <x:v>SCH01</x:v>
      </x:c>
      <x:c r="I84" s="9" t="n">
        <x:v>25.285</x:v>
      </x:c>
      <x:c r="J84" s="9" t="n">
        <x:v>51.51</x:v>
      </x:c>
      <x:c r="K84" s="2" t="n">
        <x:v>8</x:v>
      </x:c>
      <x:c r="L84" s="2" t="str">
        <x:v>Valid</x:v>
      </x:c>
      <x:c r="M84" s="2" t="str">
        <x:v>QR</x:v>
      </x:c>
      <x:c r="N84" s="2" t="n">
        <x:v>1</x:v>
      </x:c>
      <x:c r="O84" s="2" t="str">
        <x:v>Accepted</x:v>
      </x:c>
      <x:c r="P84" s="2" t="str">
        <x:v>S002</x:v>
      </x:c>
      <x:c r="Q84" s="2" t="str">
        <x:v>DEV002</x:v>
      </x:c>
      <x:c r="R84" s="2" t="n">
        <x:v>28</x:v>
      </x:c>
      <x:c r="S84" s="2" t="str">
        <x:v>Online</x:v>
      </x:c>
      <x:c r="T84" s="2" t="str">
        <x:v>Synced</x:v>
      </x:c>
    </x:row>
    <x:row r="85" ht="21" customHeight="1">
      <x:c r="A85" s="2" t="str">
        <x:v>EV000334</x:v>
      </x:c>
      <x:c r="B85" s="2" t="str">
        <x:v>T20261004-1-3</x:v>
      </x:c>
      <x:c r="C85" s="2" t="str">
        <x:v>ST088</x:v>
      </x:c>
      <x:c r="D85" s="2" t="str">
        <x:v>b227769e0483e6c28eed8e8d448bfbbe</x:v>
      </x:c>
      <x:c r="E85" s="2" t="str">
        <x:v>CHECK_OUT</x:v>
      </x:c>
      <x:c r="F85" s="8" t="n">
        <x:v>46299.27663194444</x:v>
      </x:c>
      <x:c r="G85" s="8" t="n">
        <x:v>46299.27665509259</x:v>
      </x:c>
      <x:c r="H85" s="2" t="str">
        <x:v>SCH01</x:v>
      </x:c>
      <x:c r="I85" s="9" t="n">
        <x:v>25.285</x:v>
      </x:c>
      <x:c r="J85" s="9" t="n">
        <x:v>51.51</x:v>
      </x:c>
      <x:c r="K85" s="2" t="n">
        <x:v>8</x:v>
      </x:c>
      <x:c r="L85" s="2" t="str">
        <x:v>Valid</x:v>
      </x:c>
      <x:c r="M85" s="2" t="str">
        <x:v>QR</x:v>
      </x:c>
      <x:c r="N85" s="2" t="n">
        <x:v>1</x:v>
      </x:c>
      <x:c r="O85" s="2" t="str">
        <x:v>Accepted</x:v>
      </x:c>
      <x:c r="P85" s="2" t="str">
        <x:v>S003</x:v>
      </x:c>
      <x:c r="Q85" s="2" t="str">
        <x:v>DEV003</x:v>
      </x:c>
      <x:c r="R85" s="2" t="n">
        <x:v>28</x:v>
      </x:c>
      <x:c r="S85" s="2" t="str">
        <x:v>Online</x:v>
      </x:c>
      <x:c r="T85" s="2" t="str">
        <x:v>Synced</x:v>
      </x:c>
    </x:row>
    <x:row r="86" ht="21" customHeight="1">
      <x:c r="A86" s="2" t="str">
        <x:v>EV000016</x:v>
      </x:c>
      <x:c r="B86" s="2" t="str">
        <x:v>T20261004-1-1</x:v>
      </x:c>
      <x:c r="C86" s="2" t="str">
        <x:v>ST009</x:v>
      </x:c>
      <x:c r="D86" s="2" t="str">
        <x:v>fdc849f07f4ba12ab82f6bed87d7275d</x:v>
      </x:c>
      <x:c r="E86" s="2" t="str">
        <x:v>CHECK_OUT</x:v>
      </x:c>
      <x:c r="F86" s="8" t="n">
        <x:v>46299.276666666665</x:v>
      </x:c>
      <x:c r="G86" s="8" t="n">
        <x:v>46299.27668981481</x:v>
      </x:c>
      <x:c r="H86" s="2" t="str">
        <x:v>SCH01</x:v>
      </x:c>
      <x:c r="I86" s="9" t="n">
        <x:v>25.285</x:v>
      </x:c>
      <x:c r="J86" s="9" t="n">
        <x:v>51.51</x:v>
      </x:c>
      <x:c r="K86" s="2" t="n">
        <x:v>8</x:v>
      </x:c>
      <x:c r="L86" s="2" t="str">
        <x:v>Valid</x:v>
      </x:c>
      <x:c r="M86" s="2" t="str">
        <x:v>QR</x:v>
      </x:c>
      <x:c r="N86" s="2" t="n">
        <x:v>1</x:v>
      </x:c>
      <x:c r="O86" s="2" t="str">
        <x:v>Accepted</x:v>
      </x:c>
      <x:c r="P86" s="2" t="str">
        <x:v>S001</x:v>
      </x:c>
      <x:c r="Q86" s="2" t="str">
        <x:v>DEV001</x:v>
      </x:c>
      <x:c r="R86" s="2" t="n">
        <x:v>29</x:v>
      </x:c>
      <x:c r="S86" s="2" t="str">
        <x:v>Online</x:v>
      </x:c>
      <x:c r="T86" s="2" t="str">
        <x:v>Synced</x:v>
      </x:c>
    </x:row>
    <x:row r="87" ht="21" customHeight="1">
      <x:c r="A87" s="2" t="str">
        <x:v>EV000176</x:v>
      </x:c>
      <x:c r="B87" s="2" t="str">
        <x:v>T20261004-1-2</x:v>
      </x:c>
      <x:c r="C87" s="2" t="str">
        <x:v>ST049</x:v>
      </x:c>
      <x:c r="D87" s="2" t="str">
        <x:v>aac0da9ca028b4b4fe1fc2c1eb298502</x:v>
      </x:c>
      <x:c r="E87" s="2" t="str">
        <x:v>CHECK_OUT</x:v>
      </x:c>
      <x:c r="F87" s="8" t="n">
        <x:v>46299.276666666665</x:v>
      </x:c>
      <x:c r="G87" s="8" t="n">
        <x:v>46299.27668981481</x:v>
      </x:c>
      <x:c r="H87" s="2" t="str">
        <x:v>SCH01</x:v>
      </x:c>
      <x:c r="I87" s="9" t="n">
        <x:v>25.285</x:v>
      </x:c>
      <x:c r="J87" s="9" t="n">
        <x:v>51.51</x:v>
      </x:c>
      <x:c r="K87" s="2" t="n">
        <x:v>8</x:v>
      </x:c>
      <x:c r="L87" s="2" t="str">
        <x:v>Valid</x:v>
      </x:c>
      <x:c r="M87" s="2" t="str">
        <x:v>QR</x:v>
      </x:c>
      <x:c r="N87" s="2" t="n">
        <x:v>1</x:v>
      </x:c>
      <x:c r="O87" s="2" t="str">
        <x:v>Accepted</x:v>
      </x:c>
      <x:c r="P87" s="2" t="str">
        <x:v>S002</x:v>
      </x:c>
      <x:c r="Q87" s="2" t="str">
        <x:v>DEV002</x:v>
      </x:c>
      <x:c r="R87" s="2" t="n">
        <x:v>29</x:v>
      </x:c>
      <x:c r="S87" s="2" t="str">
        <x:v>Online</x:v>
      </x:c>
      <x:c r="T87" s="2" t="str">
        <x:v>Synced</x:v>
      </x:c>
    </x:row>
    <x:row r="88" ht="21" customHeight="1">
      <x:c r="A88" s="2" t="str">
        <x:v>EV000336</x:v>
      </x:c>
      <x:c r="B88" s="2" t="str">
        <x:v>T20261004-1-3</x:v>
      </x:c>
      <x:c r="C88" s="2" t="str">
        <x:v>ST089</x:v>
      </x:c>
      <x:c r="D88" s="2" t="str">
        <x:v>0bd697ec3f7c09918d8dd004b5340b03</x:v>
      </x:c>
      <x:c r="E88" s="2" t="str">
        <x:v>CHECK_OUT</x:v>
      </x:c>
      <x:c r="F88" s="8" t="n">
        <x:v>46299.276666666665</x:v>
      </x:c>
      <x:c r="G88" s="8" t="n">
        <x:v>46299.27668981481</x:v>
      </x:c>
      <x:c r="H88" s="2" t="str">
        <x:v>SCH01</x:v>
      </x:c>
      <x:c r="I88" s="9" t="n">
        <x:v>25.285</x:v>
      </x:c>
      <x:c r="J88" s="9" t="n">
        <x:v>51.51</x:v>
      </x:c>
      <x:c r="K88" s="2" t="n">
        <x:v>8</x:v>
      </x:c>
      <x:c r="L88" s="2" t="str">
        <x:v>Valid</x:v>
      </x:c>
      <x:c r="M88" s="2" t="str">
        <x:v>QR</x:v>
      </x:c>
      <x:c r="N88" s="2" t="n">
        <x:v>1</x:v>
      </x:c>
      <x:c r="O88" s="2" t="str">
        <x:v>Accepted</x:v>
      </x:c>
      <x:c r="P88" s="2" t="str">
        <x:v>S003</x:v>
      </x:c>
      <x:c r="Q88" s="2" t="str">
        <x:v>DEV003</x:v>
      </x:c>
      <x:c r="R88" s="2" t="n">
        <x:v>29</x:v>
      </x:c>
      <x:c r="S88" s="2" t="str">
        <x:v>Online</x:v>
      </x:c>
      <x:c r="T88" s="2" t="str">
        <x:v>Synced</x:v>
      </x:c>
    </x:row>
    <x:row r="89" ht="21" customHeight="1">
      <x:c r="A89" s="2" t="str">
        <x:v>EV000018</x:v>
      </x:c>
      <x:c r="B89" s="2" t="str">
        <x:v>T20261004-1-1</x:v>
      </x:c>
      <x:c r="C89" s="2" t="str">
        <x:v>ST010</x:v>
      </x:c>
      <x:c r="D89" s="2" t="str">
        <x:v>df6521f6838e149b7b1f3fd27dcbf586</x:v>
      </x:c>
      <x:c r="E89" s="2" t="str">
        <x:v>CHECK_OUT</x:v>
      </x:c>
      <x:c r="F89" s="8" t="n">
        <x:v>46299.27670138889</x:v>
      </x:c>
      <x:c r="G89" s="8" t="n">
        <x:v>46299.276724537034</x:v>
      </x:c>
      <x:c r="H89" s="2" t="str">
        <x:v>SCH01</x:v>
      </x:c>
      <x:c r="I89" s="9" t="n">
        <x:v>25.285</x:v>
      </x:c>
      <x:c r="J89" s="9" t="n">
        <x:v>51.51</x:v>
      </x:c>
      <x:c r="K89" s="2" t="n">
        <x:v>8</x:v>
      </x:c>
      <x:c r="L89" s="2" t="str">
        <x:v>Valid</x:v>
      </x:c>
      <x:c r="M89" s="2" t="str">
        <x:v>QR</x:v>
      </x:c>
      <x:c r="N89" s="2" t="n">
        <x:v>1</x:v>
      </x:c>
      <x:c r="O89" s="2" t="str">
        <x:v>Accepted</x:v>
      </x:c>
      <x:c r="P89" s="2" t="str">
        <x:v>S001</x:v>
      </x:c>
      <x:c r="Q89" s="2" t="str">
        <x:v>DEV001</x:v>
      </x:c>
      <x:c r="R89" s="2" t="n">
        <x:v>30</x:v>
      </x:c>
      <x:c r="S89" s="2" t="str">
        <x:v>Online</x:v>
      </x:c>
      <x:c r="T89" s="2" t="str">
        <x:v>Synced</x:v>
      </x:c>
    </x:row>
    <x:row r="90" ht="21" customHeight="1">
      <x:c r="A90" s="2" t="str">
        <x:v>EV000178</x:v>
      </x:c>
      <x:c r="B90" s="2" t="str">
        <x:v>T20261004-1-2</x:v>
      </x:c>
      <x:c r="C90" s="2" t="str">
        <x:v>ST050</x:v>
      </x:c>
      <x:c r="D90" s="2" t="str">
        <x:v>ca49474881a6395691ac81bd08684ed6</x:v>
      </x:c>
      <x:c r="E90" s="2" t="str">
        <x:v>CHECK_OUT</x:v>
      </x:c>
      <x:c r="F90" s="8" t="n">
        <x:v>46299.27670138889</x:v>
      </x:c>
      <x:c r="G90" s="8" t="n">
        <x:v>46299.276724537034</x:v>
      </x:c>
      <x:c r="H90" s="2" t="str">
        <x:v>SCH01</x:v>
      </x:c>
      <x:c r="I90" s="9" t="n">
        <x:v>25.285</x:v>
      </x:c>
      <x:c r="J90" s="9" t="n">
        <x:v>51.51</x:v>
      </x:c>
      <x:c r="K90" s="2" t="n">
        <x:v>8</x:v>
      </x:c>
      <x:c r="L90" s="2" t="str">
        <x:v>Valid</x:v>
      </x:c>
      <x:c r="M90" s="2" t="str">
        <x:v>QR</x:v>
      </x:c>
      <x:c r="N90" s="2" t="n">
        <x:v>1</x:v>
      </x:c>
      <x:c r="O90" s="2" t="str">
        <x:v>Accepted</x:v>
      </x:c>
      <x:c r="P90" s="2" t="str">
        <x:v>S002</x:v>
      </x:c>
      <x:c r="Q90" s="2" t="str">
        <x:v>DEV002</x:v>
      </x:c>
      <x:c r="R90" s="2" t="n">
        <x:v>30</x:v>
      </x:c>
      <x:c r="S90" s="2" t="str">
        <x:v>Online</x:v>
      </x:c>
      <x:c r="T90" s="2" t="str">
        <x:v>Synced</x:v>
      </x:c>
    </x:row>
    <x:row r="91" ht="21" customHeight="1">
      <x:c r="A91" s="2" t="str">
        <x:v>EV000338</x:v>
      </x:c>
      <x:c r="B91" s="2" t="str">
        <x:v>T20261004-1-3</x:v>
      </x:c>
      <x:c r="C91" s="2" t="str">
        <x:v>ST090</x:v>
      </x:c>
      <x:c r="D91" s="2" t="str">
        <x:v>3b91252475551a374010825e1f05642c</x:v>
      </x:c>
      <x:c r="E91" s="2" t="str">
        <x:v>CHECK_OUT</x:v>
      </x:c>
      <x:c r="F91" s="8" t="n">
        <x:v>46299.27670138889</x:v>
      </x:c>
      <x:c r="G91" s="8" t="n">
        <x:v>46299.276724537034</x:v>
      </x:c>
      <x:c r="H91" s="2" t="str">
        <x:v>SCH01</x:v>
      </x:c>
      <x:c r="I91" s="9" t="n">
        <x:v>25.285</x:v>
      </x:c>
      <x:c r="J91" s="9" t="n">
        <x:v>51.51</x:v>
      </x:c>
      <x:c r="K91" s="2" t="n">
        <x:v>8</x:v>
      </x:c>
      <x:c r="L91" s="2" t="str">
        <x:v>Valid</x:v>
      </x:c>
      <x:c r="M91" s="2" t="str">
        <x:v>QR</x:v>
      </x:c>
      <x:c r="N91" s="2" t="n">
        <x:v>1</x:v>
      </x:c>
      <x:c r="O91" s="2" t="str">
        <x:v>Accepted</x:v>
      </x:c>
      <x:c r="P91" s="2" t="str">
        <x:v>S003</x:v>
      </x:c>
      <x:c r="Q91" s="2" t="str">
        <x:v>DEV003</x:v>
      </x:c>
      <x:c r="R91" s="2" t="n">
        <x:v>30</x:v>
      </x:c>
      <x:c r="S91" s="2" t="str">
        <x:v>Online</x:v>
      </x:c>
      <x:c r="T91" s="2" t="str">
        <x:v>Synced</x:v>
      </x:c>
    </x:row>
    <x:row r="92" ht="21" customHeight="1">
      <x:c r="A92" s="2" t="str">
        <x:v>EV000021</x:v>
      </x:c>
      <x:c r="B92" s="2" t="str">
        <x:v>T20261004-1-1</x:v>
      </x:c>
      <x:c r="C92" s="2" t="str">
        <x:v>ST011</x:v>
      </x:c>
      <x:c r="D92" s="2" t="str">
        <x:v>38c917effc7ec45ac750455eb7892f3e</x:v>
      </x:c>
      <x:c r="E92" s="2" t="str">
        <x:v>CHECK_OUT</x:v>
      </x:c>
      <x:c r="F92" s="8" t="n">
        <x:v>46299.27673611111</x:v>
      </x:c>
      <x:c r="G92" s="8" t="n">
        <x:v>46299.27675925926</x:v>
      </x:c>
      <x:c r="H92" s="2" t="str">
        <x:v>SCH01</x:v>
      </x:c>
      <x:c r="I92" s="9" t="n">
        <x:v>25.285</x:v>
      </x:c>
      <x:c r="J92" s="9" t="n">
        <x:v>51.51</x:v>
      </x:c>
      <x:c r="K92" s="2" t="n">
        <x:v>8</x:v>
      </x:c>
      <x:c r="L92" s="2" t="str">
        <x:v>Valid</x:v>
      </x:c>
      <x:c r="M92" s="2" t="str">
        <x:v>QR</x:v>
      </x:c>
      <x:c r="N92" s="2" t="n">
        <x:v>1</x:v>
      </x:c>
      <x:c r="O92" s="2" t="str">
        <x:v>Accepted</x:v>
      </x:c>
      <x:c r="P92" s="2" t="str">
        <x:v>S001</x:v>
      </x:c>
      <x:c r="Q92" s="2" t="str">
        <x:v>DEV001</x:v>
      </x:c>
      <x:c r="R92" s="2" t="n">
        <x:v>31</x:v>
      </x:c>
      <x:c r="S92" s="2" t="str">
        <x:v>Online</x:v>
      </x:c>
      <x:c r="T92" s="2" t="str">
        <x:v>Synced</x:v>
      </x:c>
    </x:row>
    <x:row r="93" ht="21" customHeight="1">
      <x:c r="A93" s="2" t="str">
        <x:v>EV000180</x:v>
      </x:c>
      <x:c r="B93" s="2" t="str">
        <x:v>T20261004-1-2</x:v>
      </x:c>
      <x:c r="C93" s="2" t="str">
        <x:v>ST051</x:v>
      </x:c>
      <x:c r="D93" s="2" t="str">
        <x:v>410a66d29aea7be5806f7d6945266303</x:v>
      </x:c>
      <x:c r="E93" s="2" t="str">
        <x:v>CHECK_OUT</x:v>
      </x:c>
      <x:c r="F93" s="8" t="n">
        <x:v>46299.27673611111</x:v>
      </x:c>
      <x:c r="G93" s="8" t="n">
        <x:v>46299.27675925926</x:v>
      </x:c>
      <x:c r="H93" s="2" t="str">
        <x:v>SCH01</x:v>
      </x:c>
      <x:c r="I93" s="9" t="n">
        <x:v>25.285</x:v>
      </x:c>
      <x:c r="J93" s="9" t="n">
        <x:v>51.51</x:v>
      </x:c>
      <x:c r="K93" s="2" t="n">
        <x:v>8</x:v>
      </x:c>
      <x:c r="L93" s="2" t="str">
        <x:v>Valid</x:v>
      </x:c>
      <x:c r="M93" s="2" t="str">
        <x:v>QR</x:v>
      </x:c>
      <x:c r="N93" s="2" t="n">
        <x:v>1</x:v>
      </x:c>
      <x:c r="O93" s="2" t="str">
        <x:v>Accepted</x:v>
      </x:c>
      <x:c r="P93" s="2" t="str">
        <x:v>S002</x:v>
      </x:c>
      <x:c r="Q93" s="2" t="str">
        <x:v>DEV002</x:v>
      </x:c>
      <x:c r="R93" s="2" t="n">
        <x:v>31</x:v>
      </x:c>
      <x:c r="S93" s="2" t="str">
        <x:v>Online</x:v>
      </x:c>
      <x:c r="T93" s="2" t="str">
        <x:v>Synced</x:v>
      </x:c>
    </x:row>
    <x:row r="94" ht="21" customHeight="1">
      <x:c r="A94" s="2" t="str">
        <x:v>EV000340</x:v>
      </x:c>
      <x:c r="B94" s="2" t="str">
        <x:v>T20261004-1-3</x:v>
      </x:c>
      <x:c r="C94" s="2" t="str">
        <x:v>ST091</x:v>
      </x:c>
      <x:c r="D94" s="2" t="str">
        <x:v>2d74afc7329a1eb53bd16a92fc366891</x:v>
      </x:c>
      <x:c r="E94" s="2" t="str">
        <x:v>CHECK_OUT</x:v>
      </x:c>
      <x:c r="F94" s="8" t="n">
        <x:v>46299.27673611111</x:v>
      </x:c>
      <x:c r="G94" s="8" t="n">
        <x:v>46299.27675925926</x:v>
      </x:c>
      <x:c r="H94" s="2" t="str">
        <x:v>SCH01</x:v>
      </x:c>
      <x:c r="I94" s="9" t="n">
        <x:v>25.285</x:v>
      </x:c>
      <x:c r="J94" s="9" t="n">
        <x:v>51.51</x:v>
      </x:c>
      <x:c r="K94" s="2" t="n">
        <x:v>8</x:v>
      </x:c>
      <x:c r="L94" s="2" t="str">
        <x:v>Valid</x:v>
      </x:c>
      <x:c r="M94" s="2" t="str">
        <x:v>QR</x:v>
      </x:c>
      <x:c r="N94" s="2" t="n">
        <x:v>1</x:v>
      </x:c>
      <x:c r="O94" s="2" t="str">
        <x:v>Accepted</x:v>
      </x:c>
      <x:c r="P94" s="2" t="str">
        <x:v>S003</x:v>
      </x:c>
      <x:c r="Q94" s="2" t="str">
        <x:v>DEV003</x:v>
      </x:c>
      <x:c r="R94" s="2" t="n">
        <x:v>31</x:v>
      </x:c>
      <x:c r="S94" s="2" t="str">
        <x:v>Online</x:v>
      </x:c>
      <x:c r="T94" s="2" t="str">
        <x:v>Synced</x:v>
      </x:c>
    </x:row>
    <x:row r="95" ht="21" customHeight="1">
      <x:c r="A95" s="2" t="str">
        <x:v>EV000023</x:v>
      </x:c>
      <x:c r="B95" s="2" t="str">
        <x:v>T20261004-1-1</x:v>
      </x:c>
      <x:c r="C95" s="2" t="str">
        <x:v>ST012</x:v>
      </x:c>
      <x:c r="D95" s="2" t="str">
        <x:v>8d45a06a93234042b630e18d7821ea23</x:v>
      </x:c>
      <x:c r="E95" s="2" t="str">
        <x:v>CHECK_OUT</x:v>
      </x:c>
      <x:c r="F95" s="8" t="n">
        <x:v>46299.276770833334</x:v>
      </x:c>
      <x:c r="G95" s="8" t="n">
        <x:v>46299.27679398148</x:v>
      </x:c>
      <x:c r="H95" s="2" t="str">
        <x:v>SCH01</x:v>
      </x:c>
      <x:c r="I95" s="9" t="n">
        <x:v>25.285</x:v>
      </x:c>
      <x:c r="J95" s="9" t="n">
        <x:v>51.51</x:v>
      </x:c>
      <x:c r="K95" s="2" t="n">
        <x:v>8</x:v>
      </x:c>
      <x:c r="L95" s="2" t="str">
        <x:v>Valid</x:v>
      </x:c>
      <x:c r="M95" s="2" t="str">
        <x:v>QR</x:v>
      </x:c>
      <x:c r="N95" s="2" t="n">
        <x:v>1</x:v>
      </x:c>
      <x:c r="O95" s="2" t="str">
        <x:v>Accepted</x:v>
      </x:c>
      <x:c r="P95" s="2" t="str">
        <x:v>S001</x:v>
      </x:c>
      <x:c r="Q95" s="2" t="str">
        <x:v>DEV001</x:v>
      </x:c>
      <x:c r="R95" s="2" t="n">
        <x:v>32</x:v>
      </x:c>
      <x:c r="S95" s="2" t="str">
        <x:v>Online</x:v>
      </x:c>
      <x:c r="T95" s="2" t="str">
        <x:v>Synced</x:v>
      </x:c>
    </x:row>
    <x:row r="96" ht="21" customHeight="1">
      <x:c r="A96" s="2" t="str">
        <x:v>EV000182</x:v>
      </x:c>
      <x:c r="B96" s="2" t="str">
        <x:v>T20261004-1-2</x:v>
      </x:c>
      <x:c r="C96" s="2" t="str">
        <x:v>ST052</x:v>
      </x:c>
      <x:c r="D96" s="2" t="str">
        <x:v>0c1c5957fe0604ae228ff5e1e1a785bc</x:v>
      </x:c>
      <x:c r="E96" s="2" t="str">
        <x:v>CHECK_OUT</x:v>
      </x:c>
      <x:c r="F96" s="8" t="n">
        <x:v>46299.276770833334</x:v>
      </x:c>
      <x:c r="G96" s="8" t="n">
        <x:v>46299.27679398148</x:v>
      </x:c>
      <x:c r="H96" s="2" t="str">
        <x:v>SCH01</x:v>
      </x:c>
      <x:c r="I96" s="9" t="n">
        <x:v>25.285</x:v>
      </x:c>
      <x:c r="J96" s="9" t="n">
        <x:v>51.51</x:v>
      </x:c>
      <x:c r="K96" s="2" t="n">
        <x:v>8</x:v>
      </x:c>
      <x:c r="L96" s="2" t="str">
        <x:v>Valid</x:v>
      </x:c>
      <x:c r="M96" s="2" t="str">
        <x:v>QR</x:v>
      </x:c>
      <x:c r="N96" s="2" t="n">
        <x:v>1</x:v>
      </x:c>
      <x:c r="O96" s="2" t="str">
        <x:v>Accepted</x:v>
      </x:c>
      <x:c r="P96" s="2" t="str">
        <x:v>S002</x:v>
      </x:c>
      <x:c r="Q96" s="2" t="str">
        <x:v>DEV002</x:v>
      </x:c>
      <x:c r="R96" s="2" t="n">
        <x:v>32</x:v>
      </x:c>
      <x:c r="S96" s="2" t="str">
        <x:v>Online</x:v>
      </x:c>
      <x:c r="T96" s="2" t="str">
        <x:v>Synced</x:v>
      </x:c>
    </x:row>
    <x:row r="97" ht="21" customHeight="1">
      <x:c r="A97" s="2" t="str">
        <x:v>EV000342</x:v>
      </x:c>
      <x:c r="B97" s="2" t="str">
        <x:v>T20261004-1-3</x:v>
      </x:c>
      <x:c r="C97" s="2" t="str">
        <x:v>ST092</x:v>
      </x:c>
      <x:c r="D97" s="2" t="str">
        <x:v>e83e93b137787f284ae9574a02ff0cc7</x:v>
      </x:c>
      <x:c r="E97" s="2" t="str">
        <x:v>CHECK_OUT</x:v>
      </x:c>
      <x:c r="F97" s="8" t="n">
        <x:v>46299.276770833334</x:v>
      </x:c>
      <x:c r="G97" s="8" t="n">
        <x:v>46299.27679398148</x:v>
      </x:c>
      <x:c r="H97" s="2" t="str">
        <x:v>SCH01</x:v>
      </x:c>
      <x:c r="I97" s="9" t="n">
        <x:v>25.285</x:v>
      </x:c>
      <x:c r="J97" s="9" t="n">
        <x:v>51.51</x:v>
      </x:c>
      <x:c r="K97" s="2" t="n">
        <x:v>8</x:v>
      </x:c>
      <x:c r="L97" s="2" t="str">
        <x:v>Valid</x:v>
      </x:c>
      <x:c r="M97" s="2" t="str">
        <x:v>QR</x:v>
      </x:c>
      <x:c r="N97" s="2" t="n">
        <x:v>1</x:v>
      </x:c>
      <x:c r="O97" s="2" t="str">
        <x:v>Accepted</x:v>
      </x:c>
      <x:c r="P97" s="2" t="str">
        <x:v>S003</x:v>
      </x:c>
      <x:c r="Q97" s="2" t="str">
        <x:v>DEV003</x:v>
      </x:c>
      <x:c r="R97" s="2" t="n">
        <x:v>32</x:v>
      </x:c>
      <x:c r="S97" s="2" t="str">
        <x:v>Online</x:v>
      </x:c>
      <x:c r="T97" s="2" t="str">
        <x:v>Synced</x:v>
      </x:c>
    </x:row>
    <x:row r="98" ht="21" customHeight="1">
      <x:c r="A98" s="2" t="str">
        <x:v>EV000025</x:v>
      </x:c>
      <x:c r="B98" s="2" t="str">
        <x:v>T20261004-1-1</x:v>
      </x:c>
      <x:c r="C98" s="2" t="str">
        <x:v>ST013</x:v>
      </x:c>
      <x:c r="D98" s="2" t="str">
        <x:v>ddc4bbe364f02f5a2177795c49ea7ba9</x:v>
      </x:c>
      <x:c r="E98" s="2" t="str">
        <x:v>CHECK_OUT</x:v>
      </x:c>
      <x:c r="F98" s="8" t="n">
        <x:v>46299.27680555556</x:v>
      </x:c>
      <x:c r="G98" s="8" t="n">
        <x:v>46299.2768287037</x:v>
      </x:c>
      <x:c r="H98" s="2" t="str">
        <x:v>SCH01</x:v>
      </x:c>
      <x:c r="I98" s="9" t="n">
        <x:v>25.285</x:v>
      </x:c>
      <x:c r="J98" s="9" t="n">
        <x:v>51.51</x:v>
      </x:c>
      <x:c r="K98" s="2" t="n">
        <x:v>8</x:v>
      </x:c>
      <x:c r="L98" s="2" t="str">
        <x:v>Valid</x:v>
      </x:c>
      <x:c r="M98" s="2" t="str">
        <x:v>QR</x:v>
      </x:c>
      <x:c r="N98" s="2" t="n">
        <x:v>1</x:v>
      </x:c>
      <x:c r="O98" s="2" t="str">
        <x:v>Accepted</x:v>
      </x:c>
      <x:c r="P98" s="2" t="str">
        <x:v>S001</x:v>
      </x:c>
      <x:c r="Q98" s="2" t="str">
        <x:v>DEV001</x:v>
      </x:c>
      <x:c r="R98" s="2" t="n">
        <x:v>33</x:v>
      </x:c>
      <x:c r="S98" s="2" t="str">
        <x:v>Online</x:v>
      </x:c>
      <x:c r="T98" s="2" t="str">
        <x:v>Synced</x:v>
      </x:c>
    </x:row>
    <x:row r="99" ht="21" customHeight="1">
      <x:c r="A99" s="2" t="str">
        <x:v>EV000184</x:v>
      </x:c>
      <x:c r="B99" s="2" t="str">
        <x:v>T20261004-1-2</x:v>
      </x:c>
      <x:c r="C99" s="2" t="str">
        <x:v>ST053</x:v>
      </x:c>
      <x:c r="D99" s="2" t="str">
        <x:v>e476277c519e294480cfa14a37e177a0</x:v>
      </x:c>
      <x:c r="E99" s="2" t="str">
        <x:v>CHECK_OUT</x:v>
      </x:c>
      <x:c r="F99" s="8" t="n">
        <x:v>46299.27680555556</x:v>
      </x:c>
      <x:c r="G99" s="8" t="n">
        <x:v>46299.2768287037</x:v>
      </x:c>
      <x:c r="H99" s="2" t="str">
        <x:v>SCH01</x:v>
      </x:c>
      <x:c r="I99" s="9" t="n">
        <x:v>25.285</x:v>
      </x:c>
      <x:c r="J99" s="9" t="n">
        <x:v>51.51</x:v>
      </x:c>
      <x:c r="K99" s="2" t="n">
        <x:v>8</x:v>
      </x:c>
      <x:c r="L99" s="2" t="str">
        <x:v>Valid</x:v>
      </x:c>
      <x:c r="M99" s="2" t="str">
        <x:v>QR</x:v>
      </x:c>
      <x:c r="N99" s="2" t="n">
        <x:v>1</x:v>
      </x:c>
      <x:c r="O99" s="2" t="str">
        <x:v>Accepted</x:v>
      </x:c>
      <x:c r="P99" s="2" t="str">
        <x:v>S002</x:v>
      </x:c>
      <x:c r="Q99" s="2" t="str">
        <x:v>DEV002</x:v>
      </x:c>
      <x:c r="R99" s="2" t="n">
        <x:v>33</x:v>
      </x:c>
      <x:c r="S99" s="2" t="str">
        <x:v>Online</x:v>
      </x:c>
      <x:c r="T99" s="2" t="str">
        <x:v>Synced</x:v>
      </x:c>
    </x:row>
    <x:row r="100" ht="21" customHeight="1">
      <x:c r="A100" s="2" t="str">
        <x:v>EV000344</x:v>
      </x:c>
      <x:c r="B100" s="2" t="str">
        <x:v>T20261004-1-3</x:v>
      </x:c>
      <x:c r="C100" s="2" t="str">
        <x:v>ST093</x:v>
      </x:c>
      <x:c r="D100" s="2" t="str">
        <x:v>e69cdca4f10e82426e9a3098f4672791</x:v>
      </x:c>
      <x:c r="E100" s="2" t="str">
        <x:v>CHECK_OUT</x:v>
      </x:c>
      <x:c r="F100" s="8" t="n">
        <x:v>46299.27680555556</x:v>
      </x:c>
      <x:c r="G100" s="8" t="n">
        <x:v>46299.2768287037</x:v>
      </x:c>
      <x:c r="H100" s="2" t="str">
        <x:v>SCH01</x:v>
      </x:c>
      <x:c r="I100" s="9" t="n">
        <x:v>25.285</x:v>
      </x:c>
      <x:c r="J100" s="9" t="n">
        <x:v>51.51</x:v>
      </x:c>
      <x:c r="K100" s="2" t="n">
        <x:v>8</x:v>
      </x:c>
      <x:c r="L100" s="2" t="str">
        <x:v>Valid</x:v>
      </x:c>
      <x:c r="M100" s="2" t="str">
        <x:v>QR</x:v>
      </x:c>
      <x:c r="N100" s="2" t="n">
        <x:v>1</x:v>
      </x:c>
      <x:c r="O100" s="2" t="str">
        <x:v>Accepted</x:v>
      </x:c>
      <x:c r="P100" s="2" t="str">
        <x:v>S003</x:v>
      </x:c>
      <x:c r="Q100" s="2" t="str">
        <x:v>DEV003</x:v>
      </x:c>
      <x:c r="R100" s="2" t="n">
        <x:v>33</x:v>
      </x:c>
      <x:c r="S100" s="2" t="str">
        <x:v>Online</x:v>
      </x:c>
      <x:c r="T100" s="2" t="str">
        <x:v>Synced</x:v>
      </x:c>
    </x:row>
    <x:row r="101" ht="21" customHeight="1">
      <x:c r="A101" s="2" t="str">
        <x:v>EV000027</x:v>
      </x:c>
      <x:c r="B101" s="2" t="str">
        <x:v>T20261004-1-1</x:v>
      </x:c>
      <x:c r="C101" s="2" t="str">
        <x:v>ST014</x:v>
      </x:c>
      <x:c r="D101" s="2" t="str">
        <x:v>6ea4b25306143e251962ae19fa8ee7af</x:v>
      </x:c>
      <x:c r="E101" s="2" t="str">
        <x:v>CHECK_OUT</x:v>
      </x:c>
      <x:c r="F101" s="8" t="n">
        <x:v>46299.27684027777</x:v>
      </x:c>
      <x:c r="G101" s="8" t="n">
        <x:v>46299.27686342592</x:v>
      </x:c>
      <x:c r="H101" s="2" t="str">
        <x:v>SCH01</x:v>
      </x:c>
      <x:c r="I101" s="9" t="n">
        <x:v>25.285</x:v>
      </x:c>
      <x:c r="J101" s="9" t="n">
        <x:v>51.51</x:v>
      </x:c>
      <x:c r="K101" s="2" t="n">
        <x:v>8</x:v>
      </x:c>
      <x:c r="L101" s="2" t="str">
        <x:v>Valid</x:v>
      </x:c>
      <x:c r="M101" s="2" t="str">
        <x:v>QR</x:v>
      </x:c>
      <x:c r="N101" s="2" t="n">
        <x:v>1</x:v>
      </x:c>
      <x:c r="O101" s="2" t="str">
        <x:v>Accepted</x:v>
      </x:c>
      <x:c r="P101" s="2" t="str">
        <x:v>S001</x:v>
      </x:c>
      <x:c r="Q101" s="2" t="str">
        <x:v>DEV001</x:v>
      </x:c>
      <x:c r="R101" s="2" t="n">
        <x:v>34</x:v>
      </x:c>
      <x:c r="S101" s="2" t="str">
        <x:v>Online</x:v>
      </x:c>
      <x:c r="T101" s="2" t="str">
        <x:v>Synced</x:v>
      </x:c>
    </x:row>
    <x:row r="102" ht="21" customHeight="1">
      <x:c r="A102" s="2" t="str">
        <x:v>EV000186</x:v>
      </x:c>
      <x:c r="B102" s="2" t="str">
        <x:v>T20261004-1-2</x:v>
      </x:c>
      <x:c r="C102" s="2" t="str">
        <x:v>ST054</x:v>
      </x:c>
      <x:c r="D102" s="2" t="str">
        <x:v>1c9a916db52e081aeb59bc928cb914dd</x:v>
      </x:c>
      <x:c r="E102" s="2" t="str">
        <x:v>CHECK_OUT</x:v>
      </x:c>
      <x:c r="F102" s="8" t="n">
        <x:v>46299.27684027777</x:v>
      </x:c>
      <x:c r="G102" s="8" t="n">
        <x:v>46299.27686342592</x:v>
      </x:c>
      <x:c r="H102" s="2" t="str">
        <x:v>SCH01</x:v>
      </x:c>
      <x:c r="I102" s="9" t="n">
        <x:v>25.285</x:v>
      </x:c>
      <x:c r="J102" s="9" t="n">
        <x:v>51.51</x:v>
      </x:c>
      <x:c r="K102" s="2" t="n">
        <x:v>8</x:v>
      </x:c>
      <x:c r="L102" s="2" t="str">
        <x:v>Valid</x:v>
      </x:c>
      <x:c r="M102" s="2" t="str">
        <x:v>QR</x:v>
      </x:c>
      <x:c r="N102" s="2" t="n">
        <x:v>1</x:v>
      </x:c>
      <x:c r="O102" s="2" t="str">
        <x:v>Accepted</x:v>
      </x:c>
      <x:c r="P102" s="2" t="str">
        <x:v>S002</x:v>
      </x:c>
      <x:c r="Q102" s="2" t="str">
        <x:v>DEV002</x:v>
      </x:c>
      <x:c r="R102" s="2" t="n">
        <x:v>34</x:v>
      </x:c>
      <x:c r="S102" s="2" t="str">
        <x:v>Online</x:v>
      </x:c>
      <x:c r="T102" s="2" t="str">
        <x:v>Synced</x:v>
      </x:c>
    </x:row>
    <x:row r="103" ht="21" customHeight="1">
      <x:c r="A103" s="2" t="str">
        <x:v>EV000346</x:v>
      </x:c>
      <x:c r="B103" s="2" t="str">
        <x:v>T20261004-1-3</x:v>
      </x:c>
      <x:c r="C103" s="2" t="str">
        <x:v>ST094</x:v>
      </x:c>
      <x:c r="D103" s="2" t="str">
        <x:v>b6fd37c188877a378c496dccb3132cf2</x:v>
      </x:c>
      <x:c r="E103" s="2" t="str">
        <x:v>CHECK_OUT</x:v>
      </x:c>
      <x:c r="F103" s="8" t="n">
        <x:v>46299.27684027777</x:v>
      </x:c>
      <x:c r="G103" s="8" t="n">
        <x:v>46299.27686342592</x:v>
      </x:c>
      <x:c r="H103" s="2" t="str">
        <x:v>SCH01</x:v>
      </x:c>
      <x:c r="I103" s="9" t="n">
        <x:v>25.285</x:v>
      </x:c>
      <x:c r="J103" s="9" t="n">
        <x:v>51.51</x:v>
      </x:c>
      <x:c r="K103" s="2" t="n">
        <x:v>8</x:v>
      </x:c>
      <x:c r="L103" s="2" t="str">
        <x:v>Valid</x:v>
      </x:c>
      <x:c r="M103" s="2" t="str">
        <x:v>QR</x:v>
      </x:c>
      <x:c r="N103" s="2" t="n">
        <x:v>1</x:v>
      </x:c>
      <x:c r="O103" s="2" t="str">
        <x:v>Accepted</x:v>
      </x:c>
      <x:c r="P103" s="2" t="str">
        <x:v>S003</x:v>
      </x:c>
      <x:c r="Q103" s="2" t="str">
        <x:v>DEV003</x:v>
      </x:c>
      <x:c r="R103" s="2" t="n">
        <x:v>34</x:v>
      </x:c>
      <x:c r="S103" s="2" t="str">
        <x:v>Online</x:v>
      </x:c>
      <x:c r="T103" s="2" t="str">
        <x:v>Synced</x:v>
      </x:c>
    </x:row>
    <x:row r="104" ht="21" customHeight="1">
      <x:c r="A104" s="2" t="str">
        <x:v>EV000029</x:v>
      </x:c>
      <x:c r="B104" s="2" t="str">
        <x:v>T20261004-1-1</x:v>
      </x:c>
      <x:c r="C104" s="2" t="str">
        <x:v>ST015</x:v>
      </x:c>
      <x:c r="D104" s="2" t="str">
        <x:v>997c76227e9b12bdccc68d0d53a8d1df</x:v>
      </x:c>
      <x:c r="E104" s="2" t="str">
        <x:v>CHECK_OUT</x:v>
      </x:c>
      <x:c r="F104" s="8" t="n">
        <x:v>46299.276874999996</x:v>
      </x:c>
      <x:c r="G104" s="8" t="n">
        <x:v>46299.27689814814</x:v>
      </x:c>
      <x:c r="H104" s="2" t="str">
        <x:v>SCH01</x:v>
      </x:c>
      <x:c r="I104" s="9" t="n">
        <x:v>25.285</x:v>
      </x:c>
      <x:c r="J104" s="9" t="n">
        <x:v>51.51</x:v>
      </x:c>
      <x:c r="K104" s="2" t="n">
        <x:v>8</x:v>
      </x:c>
      <x:c r="L104" s="2" t="str">
        <x:v>Valid</x:v>
      </x:c>
      <x:c r="M104" s="2" t="str">
        <x:v>QR</x:v>
      </x:c>
      <x:c r="N104" s="2" t="n">
        <x:v>1</x:v>
      </x:c>
      <x:c r="O104" s="2" t="str">
        <x:v>Accepted</x:v>
      </x:c>
      <x:c r="P104" s="2" t="str">
        <x:v>S001</x:v>
      </x:c>
      <x:c r="Q104" s="2" t="str">
        <x:v>DEV001</x:v>
      </x:c>
      <x:c r="R104" s="2" t="n">
        <x:v>35</x:v>
      </x:c>
      <x:c r="S104" s="2" t="str">
        <x:v>Online</x:v>
      </x:c>
      <x:c r="T104" s="2" t="str">
        <x:v>Synced</x:v>
      </x:c>
    </x:row>
    <x:row r="105" ht="21" customHeight="1">
      <x:c r="A105" s="2" t="str">
        <x:v>EV000188</x:v>
      </x:c>
      <x:c r="B105" s="2" t="str">
        <x:v>T20261004-1-2</x:v>
      </x:c>
      <x:c r="C105" s="2" t="str">
        <x:v>ST055</x:v>
      </x:c>
      <x:c r="D105" s="2" t="str">
        <x:v>e796258b9306e2b3efab77a21add36a5</x:v>
      </x:c>
      <x:c r="E105" s="2" t="str">
        <x:v>CHECK_OUT</x:v>
      </x:c>
      <x:c r="F105" s="8" t="n">
        <x:v>46299.276874999996</x:v>
      </x:c>
      <x:c r="G105" s="8" t="n">
        <x:v>46299.27689814814</x:v>
      </x:c>
      <x:c r="H105" s="2" t="str">
        <x:v>SCH01</x:v>
      </x:c>
      <x:c r="I105" s="9" t="n">
        <x:v>25.285</x:v>
      </x:c>
      <x:c r="J105" s="9" t="n">
        <x:v>51.51</x:v>
      </x:c>
      <x:c r="K105" s="2" t="n">
        <x:v>8</x:v>
      </x:c>
      <x:c r="L105" s="2" t="str">
        <x:v>Valid</x:v>
      </x:c>
      <x:c r="M105" s="2" t="str">
        <x:v>QR</x:v>
      </x:c>
      <x:c r="N105" s="2" t="n">
        <x:v>1</x:v>
      </x:c>
      <x:c r="O105" s="2" t="str">
        <x:v>Accepted</x:v>
      </x:c>
      <x:c r="P105" s="2" t="str">
        <x:v>S002</x:v>
      </x:c>
      <x:c r="Q105" s="2" t="str">
        <x:v>DEV002</x:v>
      </x:c>
      <x:c r="R105" s="2" t="n">
        <x:v>35</x:v>
      </x:c>
      <x:c r="S105" s="2" t="str">
        <x:v>Online</x:v>
      </x:c>
      <x:c r="T105" s="2" t="str">
        <x:v>Synced</x:v>
      </x:c>
    </x:row>
    <x:row r="106" ht="21" customHeight="1">
      <x:c r="A106" s="2" t="str">
        <x:v>EV000348</x:v>
      </x:c>
      <x:c r="B106" s="2" t="str">
        <x:v>T20261004-1-3</x:v>
      </x:c>
      <x:c r="C106" s="2" t="str">
        <x:v>ST095</x:v>
      </x:c>
      <x:c r="D106" s="2" t="str">
        <x:v>0935ee2c52872353d5a355eed1202dbe</x:v>
      </x:c>
      <x:c r="E106" s="2" t="str">
        <x:v>CHECK_OUT</x:v>
      </x:c>
      <x:c r="F106" s="8" t="n">
        <x:v>46299.276874999996</x:v>
      </x:c>
      <x:c r="G106" s="8" t="n">
        <x:v>46299.27689814814</x:v>
      </x:c>
      <x:c r="H106" s="2" t="str">
        <x:v>SCH01</x:v>
      </x:c>
      <x:c r="I106" s="9" t="n">
        <x:v>25.285</x:v>
      </x:c>
      <x:c r="J106" s="9" t="n">
        <x:v>51.51</x:v>
      </x:c>
      <x:c r="K106" s="2" t="n">
        <x:v>8</x:v>
      </x:c>
      <x:c r="L106" s="2" t="str">
        <x:v>Valid</x:v>
      </x:c>
      <x:c r="M106" s="2" t="str">
        <x:v>QR</x:v>
      </x:c>
      <x:c r="N106" s="2" t="n">
        <x:v>1</x:v>
      </x:c>
      <x:c r="O106" s="2" t="str">
        <x:v>Accepted</x:v>
      </x:c>
      <x:c r="P106" s="2" t="str">
        <x:v>S003</x:v>
      </x:c>
      <x:c r="Q106" s="2" t="str">
        <x:v>DEV003</x:v>
      </x:c>
      <x:c r="R106" s="2" t="n">
        <x:v>35</x:v>
      </x:c>
      <x:c r="S106" s="2" t="str">
        <x:v>Online</x:v>
      </x:c>
      <x:c r="T106" s="2" t="str">
        <x:v>Synced</x:v>
      </x:c>
    </x:row>
    <x:row r="107" ht="21" customHeight="1">
      <x:c r="A107" s="2" t="str">
        <x:v>EV000031</x:v>
      </x:c>
      <x:c r="B107" s="2" t="str">
        <x:v>T20261004-1-1</x:v>
      </x:c>
      <x:c r="C107" s="2" t="str">
        <x:v>ST016</x:v>
      </x:c>
      <x:c r="D107" s="2" t="str">
        <x:v>5227a65bcc4ea356d570fe16b2970ea5</x:v>
      </x:c>
      <x:c r="E107" s="2" t="str">
        <x:v>CHECK_OUT</x:v>
      </x:c>
      <x:c r="F107" s="8" t="n">
        <x:v>46299.27690972222</x:v>
      </x:c>
      <x:c r="G107" s="8" t="n">
        <x:v>46299.276932870365</x:v>
      </x:c>
      <x:c r="H107" s="2" t="str">
        <x:v>SCH01</x:v>
      </x:c>
      <x:c r="I107" s="9" t="n">
        <x:v>25.285</x:v>
      </x:c>
      <x:c r="J107" s="9" t="n">
        <x:v>51.51</x:v>
      </x:c>
      <x:c r="K107" s="2" t="n">
        <x:v>8</x:v>
      </x:c>
      <x:c r="L107" s="2" t="str">
        <x:v>Valid</x:v>
      </x:c>
      <x:c r="M107" s="2" t="str">
        <x:v>QR</x:v>
      </x:c>
      <x:c r="N107" s="2" t="n">
        <x:v>1</x:v>
      </x:c>
      <x:c r="O107" s="2" t="str">
        <x:v>Accepted</x:v>
      </x:c>
      <x:c r="P107" s="2" t="str">
        <x:v>S001</x:v>
      </x:c>
      <x:c r="Q107" s="2" t="str">
        <x:v>DEV001</x:v>
      </x:c>
      <x:c r="R107" s="2" t="n">
        <x:v>36</x:v>
      </x:c>
      <x:c r="S107" s="2" t="str">
        <x:v>Online</x:v>
      </x:c>
      <x:c r="T107" s="2" t="str">
        <x:v>Synced</x:v>
      </x:c>
    </x:row>
    <x:row r="108" ht="21" customHeight="1">
      <x:c r="A108" s="2" t="str">
        <x:v>EV000190</x:v>
      </x:c>
      <x:c r="B108" s="2" t="str">
        <x:v>T20261004-1-2</x:v>
      </x:c>
      <x:c r="C108" s="2" t="str">
        <x:v>ST056</x:v>
      </x:c>
      <x:c r="D108" s="2" t="str">
        <x:v>245ed370430be1001f6d7d13404dd8b1</x:v>
      </x:c>
      <x:c r="E108" s="2" t="str">
        <x:v>CHECK_OUT</x:v>
      </x:c>
      <x:c r="F108" s="8" t="n">
        <x:v>46299.27690972222</x:v>
      </x:c>
      <x:c r="G108" s="8" t="n">
        <x:v>46299.276932870365</x:v>
      </x:c>
      <x:c r="H108" s="2" t="str">
        <x:v>SCH01</x:v>
      </x:c>
      <x:c r="I108" s="9" t="n">
        <x:v>25.285</x:v>
      </x:c>
      <x:c r="J108" s="9" t="n">
        <x:v>51.51</x:v>
      </x:c>
      <x:c r="K108" s="2" t="n">
        <x:v>8</x:v>
      </x:c>
      <x:c r="L108" s="2" t="str">
        <x:v>Valid</x:v>
      </x:c>
      <x:c r="M108" s="2" t="str">
        <x:v>QR</x:v>
      </x:c>
      <x:c r="N108" s="2" t="n">
        <x:v>1</x:v>
      </x:c>
      <x:c r="O108" s="2" t="str">
        <x:v>Accepted</x:v>
      </x:c>
      <x:c r="P108" s="2" t="str">
        <x:v>S002</x:v>
      </x:c>
      <x:c r="Q108" s="2" t="str">
        <x:v>DEV002</x:v>
      </x:c>
      <x:c r="R108" s="2" t="n">
        <x:v>36</x:v>
      </x:c>
      <x:c r="S108" s="2" t="str">
        <x:v>Online</x:v>
      </x:c>
      <x:c r="T108" s="2" t="str">
        <x:v>Synced</x:v>
      </x:c>
    </x:row>
    <x:row r="109" ht="21" customHeight="1">
      <x:c r="A109" s="2" t="str">
        <x:v>EV000350</x:v>
      </x:c>
      <x:c r="B109" s="2" t="str">
        <x:v>T20261004-1-3</x:v>
      </x:c>
      <x:c r="C109" s="2" t="str">
        <x:v>ST096</x:v>
      </x:c>
      <x:c r="D109" s="2" t="str">
        <x:v>46905fa8ca039f79eec63d82a6ea3c69</x:v>
      </x:c>
      <x:c r="E109" s="2" t="str">
        <x:v>CHECK_OUT</x:v>
      </x:c>
      <x:c r="F109" s="8" t="n">
        <x:v>46299.27690972222</x:v>
      </x:c>
      <x:c r="G109" s="8" t="n">
        <x:v>46299.276932870365</x:v>
      </x:c>
      <x:c r="H109" s="2" t="str">
        <x:v>SCH01</x:v>
      </x:c>
      <x:c r="I109" s="9" t="n">
        <x:v>25.285</x:v>
      </x:c>
      <x:c r="J109" s="9" t="n">
        <x:v>51.51</x:v>
      </x:c>
      <x:c r="K109" s="2" t="n">
        <x:v>8</x:v>
      </x:c>
      <x:c r="L109" s="2" t="str">
        <x:v>Valid</x:v>
      </x:c>
      <x:c r="M109" s="2" t="str">
        <x:v>QR</x:v>
      </x:c>
      <x:c r="N109" s="2" t="n">
        <x:v>1</x:v>
      </x:c>
      <x:c r="O109" s="2" t="str">
        <x:v>Accepted</x:v>
      </x:c>
      <x:c r="P109" s="2" t="str">
        <x:v>S003</x:v>
      </x:c>
      <x:c r="Q109" s="2" t="str">
        <x:v>DEV003</x:v>
      </x:c>
      <x:c r="R109" s="2" t="n">
        <x:v>36</x:v>
      </x:c>
      <x:c r="S109" s="2" t="str">
        <x:v>Online</x:v>
      </x:c>
      <x:c r="T109" s="2" t="str">
        <x:v>Synced</x:v>
      </x:c>
    </x:row>
    <x:row r="110" ht="21" customHeight="1">
      <x:c r="A110" s="2" t="str">
        <x:v>EV000033</x:v>
      </x:c>
      <x:c r="B110" s="2" t="str">
        <x:v>T20261004-1-1</x:v>
      </x:c>
      <x:c r="C110" s="2" t="str">
        <x:v>ST017</x:v>
      </x:c>
      <x:c r="D110" s="2" t="str">
        <x:v>ea6159d457322f2456f4cadd6b3d659f</x:v>
      </x:c>
      <x:c r="E110" s="2" t="str">
        <x:v>CHECK_OUT</x:v>
      </x:c>
      <x:c r="F110" s="8" t="n">
        <x:v>46299.27694444444</x:v>
      </x:c>
      <x:c r="G110" s="8" t="n">
        <x:v>46299.27696759259</x:v>
      </x:c>
      <x:c r="H110" s="2" t="str">
        <x:v>SCH01</x:v>
      </x:c>
      <x:c r="I110" s="9" t="n">
        <x:v>25.285</x:v>
      </x:c>
      <x:c r="J110" s="9" t="n">
        <x:v>51.51</x:v>
      </x:c>
      <x:c r="K110" s="2" t="n">
        <x:v>8</x:v>
      </x:c>
      <x:c r="L110" s="2" t="str">
        <x:v>Valid</x:v>
      </x:c>
      <x:c r="M110" s="2" t="str">
        <x:v>QR</x:v>
      </x:c>
      <x:c r="N110" s="2" t="n">
        <x:v>1</x:v>
      </x:c>
      <x:c r="O110" s="2" t="str">
        <x:v>Accepted</x:v>
      </x:c>
      <x:c r="P110" s="2" t="str">
        <x:v>S001</x:v>
      </x:c>
      <x:c r="Q110" s="2" t="str">
        <x:v>DEV001</x:v>
      </x:c>
      <x:c r="R110" s="2" t="n">
        <x:v>37</x:v>
      </x:c>
      <x:c r="S110" s="2" t="str">
        <x:v>Online</x:v>
      </x:c>
      <x:c r="T110" s="2" t="str">
        <x:v>Synced</x:v>
      </x:c>
    </x:row>
    <x:row r="111" ht="21" customHeight="1">
      <x:c r="A111" s="2" t="str">
        <x:v>EV000192</x:v>
      </x:c>
      <x:c r="B111" s="2" t="str">
        <x:v>T20261004-1-2</x:v>
      </x:c>
      <x:c r="C111" s="2" t="str">
        <x:v>ST057</x:v>
      </x:c>
      <x:c r="D111" s="2" t="str">
        <x:v>68d992c7418727808ad27d2e5ee9b88d</x:v>
      </x:c>
      <x:c r="E111" s="2" t="str">
        <x:v>CHECK_OUT</x:v>
      </x:c>
      <x:c r="F111" s="8" t="n">
        <x:v>46299.27694444444</x:v>
      </x:c>
      <x:c r="G111" s="8" t="n">
        <x:v>46299.27696759259</x:v>
      </x:c>
      <x:c r="H111" s="2" t="str">
        <x:v>SCH01</x:v>
      </x:c>
      <x:c r="I111" s="9" t="n">
        <x:v>25.285</x:v>
      </x:c>
      <x:c r="J111" s="9" t="n">
        <x:v>51.51</x:v>
      </x:c>
      <x:c r="K111" s="2" t="n">
        <x:v>8</x:v>
      </x:c>
      <x:c r="L111" s="2" t="str">
        <x:v>Valid</x:v>
      </x:c>
      <x:c r="M111" s="2" t="str">
        <x:v>QR</x:v>
      </x:c>
      <x:c r="N111" s="2" t="n">
        <x:v>1</x:v>
      </x:c>
      <x:c r="O111" s="2" t="str">
        <x:v>Accepted</x:v>
      </x:c>
      <x:c r="P111" s="2" t="str">
        <x:v>S002</x:v>
      </x:c>
      <x:c r="Q111" s="2" t="str">
        <x:v>DEV002</x:v>
      </x:c>
      <x:c r="R111" s="2" t="n">
        <x:v>37</x:v>
      </x:c>
      <x:c r="S111" s="2" t="str">
        <x:v>Online</x:v>
      </x:c>
      <x:c r="T111" s="2" t="str">
        <x:v>Synced</x:v>
      </x:c>
    </x:row>
    <x:row r="112" ht="21" customHeight="1">
      <x:c r="A112" s="2" t="str">
        <x:v>EV000352</x:v>
      </x:c>
      <x:c r="B112" s="2" t="str">
        <x:v>T20261004-1-3</x:v>
      </x:c>
      <x:c r="C112" s="2" t="str">
        <x:v>ST097</x:v>
      </x:c>
      <x:c r="D112" s="2" t="str">
        <x:v>0ccbf8d08569df9dde2207b8d5616d1e</x:v>
      </x:c>
      <x:c r="E112" s="2" t="str">
        <x:v>CHECK_OUT</x:v>
      </x:c>
      <x:c r="F112" s="8" t="n">
        <x:v>46299.27694444444</x:v>
      </x:c>
      <x:c r="G112" s="8" t="n">
        <x:v>46299.27696759259</x:v>
      </x:c>
      <x:c r="H112" s="2" t="str">
        <x:v>SCH01</x:v>
      </x:c>
      <x:c r="I112" s="9" t="n">
        <x:v>25.285</x:v>
      </x:c>
      <x:c r="J112" s="9" t="n">
        <x:v>51.51</x:v>
      </x:c>
      <x:c r="K112" s="2" t="n">
        <x:v>8</x:v>
      </x:c>
      <x:c r="L112" s="2" t="str">
        <x:v>Valid</x:v>
      </x:c>
      <x:c r="M112" s="2" t="str">
        <x:v>QR</x:v>
      </x:c>
      <x:c r="N112" s="2" t="n">
        <x:v>1</x:v>
      </x:c>
      <x:c r="O112" s="2" t="str">
        <x:v>Accepted</x:v>
      </x:c>
      <x:c r="P112" s="2" t="str">
        <x:v>S003</x:v>
      </x:c>
      <x:c r="Q112" s="2" t="str">
        <x:v>DEV003</x:v>
      </x:c>
      <x:c r="R112" s="2" t="n">
        <x:v>37</x:v>
      </x:c>
      <x:c r="S112" s="2" t="str">
        <x:v>Online</x:v>
      </x:c>
      <x:c r="T112" s="2" t="str">
        <x:v>Synced</x:v>
      </x:c>
    </x:row>
    <x:row r="113" ht="21" customHeight="1">
      <x:c r="A113" s="2" t="str">
        <x:v>EV000035</x:v>
      </x:c>
      <x:c r="B113" s="2" t="str">
        <x:v>T20261004-1-1</x:v>
      </x:c>
      <x:c r="C113" s="2" t="str">
        <x:v>ST018</x:v>
      </x:c>
      <x:c r="D113" s="2" t="str">
        <x:v>4c1b40081ed5c7c21b8392ee528dbe54</x:v>
      </x:c>
      <x:c r="E113" s="2" t="str">
        <x:v>CHECK_OUT</x:v>
      </x:c>
      <x:c r="F113" s="8" t="n">
        <x:v>46299.276979166665</x:v>
      </x:c>
      <x:c r="G113" s="8" t="n">
        <x:v>46299.27700231481</x:v>
      </x:c>
      <x:c r="H113" s="2" t="str">
        <x:v>SCH01</x:v>
      </x:c>
      <x:c r="I113" s="9" t="n">
        <x:v>25.285</x:v>
      </x:c>
      <x:c r="J113" s="9" t="n">
        <x:v>51.51</x:v>
      </x:c>
      <x:c r="K113" s="2" t="n">
        <x:v>8</x:v>
      </x:c>
      <x:c r="L113" s="2" t="str">
        <x:v>Valid</x:v>
      </x:c>
      <x:c r="M113" s="2" t="str">
        <x:v>QR</x:v>
      </x:c>
      <x:c r="N113" s="2" t="n">
        <x:v>1</x:v>
      </x:c>
      <x:c r="O113" s="2" t="str">
        <x:v>Accepted</x:v>
      </x:c>
      <x:c r="P113" s="2" t="str">
        <x:v>S001</x:v>
      </x:c>
      <x:c r="Q113" s="2" t="str">
        <x:v>DEV001</x:v>
      </x:c>
      <x:c r="R113" s="2" t="n">
        <x:v>38</x:v>
      </x:c>
      <x:c r="S113" s="2" t="str">
        <x:v>Online</x:v>
      </x:c>
      <x:c r="T113" s="2" t="str">
        <x:v>Synced</x:v>
      </x:c>
    </x:row>
    <x:row r="114" ht="21" customHeight="1">
      <x:c r="A114" s="2" t="str">
        <x:v>EV000194</x:v>
      </x:c>
      <x:c r="B114" s="2" t="str">
        <x:v>T20261004-1-2</x:v>
      </x:c>
      <x:c r="C114" s="2" t="str">
        <x:v>ST058</x:v>
      </x:c>
      <x:c r="D114" s="2" t="str">
        <x:v>ebf7e65b57e2c8bcd02f90b1d5692596</x:v>
      </x:c>
      <x:c r="E114" s="2" t="str">
        <x:v>CHECK_OUT</x:v>
      </x:c>
      <x:c r="F114" s="8" t="n">
        <x:v>46299.276979166665</x:v>
      </x:c>
      <x:c r="G114" s="8" t="n">
        <x:v>46299.27700231481</x:v>
      </x:c>
      <x:c r="H114" s="2" t="str">
        <x:v>SCH01</x:v>
      </x:c>
      <x:c r="I114" s="9" t="n">
        <x:v>25.285</x:v>
      </x:c>
      <x:c r="J114" s="9" t="n">
        <x:v>51.51</x:v>
      </x:c>
      <x:c r="K114" s="2" t="n">
        <x:v>8</x:v>
      </x:c>
      <x:c r="L114" s="2" t="str">
        <x:v>Valid</x:v>
      </x:c>
      <x:c r="M114" s="2" t="str">
        <x:v>QR</x:v>
      </x:c>
      <x:c r="N114" s="2" t="n">
        <x:v>1</x:v>
      </x:c>
      <x:c r="O114" s="2" t="str">
        <x:v>Accepted</x:v>
      </x:c>
      <x:c r="P114" s="2" t="str">
        <x:v>S002</x:v>
      </x:c>
      <x:c r="Q114" s="2" t="str">
        <x:v>DEV002</x:v>
      </x:c>
      <x:c r="R114" s="2" t="n">
        <x:v>38</x:v>
      </x:c>
      <x:c r="S114" s="2" t="str">
        <x:v>Online</x:v>
      </x:c>
      <x:c r="T114" s="2" t="str">
        <x:v>Synced</x:v>
      </x:c>
    </x:row>
    <x:row r="115" ht="21" customHeight="1">
      <x:c r="A115" s="2" t="str">
        <x:v>EV000354</x:v>
      </x:c>
      <x:c r="B115" s="2" t="str">
        <x:v>T20261004-1-3</x:v>
      </x:c>
      <x:c r="C115" s="2" t="str">
        <x:v>ST098</x:v>
      </x:c>
      <x:c r="D115" s="2" t="str">
        <x:v>4b453acdeca94f98f11a429464f7bff7</x:v>
      </x:c>
      <x:c r="E115" s="2" t="str">
        <x:v>CHECK_OUT</x:v>
      </x:c>
      <x:c r="F115" s="8" t="n">
        <x:v>46299.276979166665</x:v>
      </x:c>
      <x:c r="G115" s="8" t="n">
        <x:v>46299.27700231481</x:v>
      </x:c>
      <x:c r="H115" s="2" t="str">
        <x:v>SCH01</x:v>
      </x:c>
      <x:c r="I115" s="9" t="n">
        <x:v>25.285</x:v>
      </x:c>
      <x:c r="J115" s="9" t="n">
        <x:v>51.51</x:v>
      </x:c>
      <x:c r="K115" s="2" t="n">
        <x:v>8</x:v>
      </x:c>
      <x:c r="L115" s="2" t="str">
        <x:v>Valid</x:v>
      </x:c>
      <x:c r="M115" s="2" t="str">
        <x:v>QR</x:v>
      </x:c>
      <x:c r="N115" s="2" t="n">
        <x:v>1</x:v>
      </x:c>
      <x:c r="O115" s="2" t="str">
        <x:v>Accepted</x:v>
      </x:c>
      <x:c r="P115" s="2" t="str">
        <x:v>S003</x:v>
      </x:c>
      <x:c r="Q115" s="2" t="str">
        <x:v>DEV003</x:v>
      </x:c>
      <x:c r="R115" s="2" t="n">
        <x:v>38</x:v>
      </x:c>
      <x:c r="S115" s="2" t="str">
        <x:v>Online</x:v>
      </x:c>
      <x:c r="T115" s="2" t="str">
        <x:v>Synced</x:v>
      </x:c>
    </x:row>
    <x:row r="116" ht="21" customHeight="1">
      <x:c r="A116" s="2" t="str">
        <x:v>EV000037</x:v>
      </x:c>
      <x:c r="B116" s="2" t="str">
        <x:v>T20261004-1-1</x:v>
      </x:c>
      <x:c r="C116" s="2" t="str">
        <x:v>ST019</x:v>
      </x:c>
      <x:c r="D116" s="2" t="str">
        <x:v>b83400b1b6dcfb0f7cb413571cb76f8f</x:v>
      </x:c>
      <x:c r="E116" s="2" t="str">
        <x:v>CHECK_OUT</x:v>
      </x:c>
      <x:c r="F116" s="8" t="n">
        <x:v>46299.27701388889</x:v>
      </x:c>
      <x:c r="G116" s="8" t="n">
        <x:v>46299.277037037034</x:v>
      </x:c>
      <x:c r="H116" s="2" t="str">
        <x:v>SCH01</x:v>
      </x:c>
      <x:c r="I116" s="9" t="n">
        <x:v>25.285</x:v>
      </x:c>
      <x:c r="J116" s="9" t="n">
        <x:v>51.51</x:v>
      </x:c>
      <x:c r="K116" s="2" t="n">
        <x:v>8</x:v>
      </x:c>
      <x:c r="L116" s="2" t="str">
        <x:v>Valid</x:v>
      </x:c>
      <x:c r="M116" s="2" t="str">
        <x:v>QR</x:v>
      </x:c>
      <x:c r="N116" s="2" t="n">
        <x:v>1</x:v>
      </x:c>
      <x:c r="O116" s="2" t="str">
        <x:v>Accepted</x:v>
      </x:c>
      <x:c r="P116" s="2" t="str">
        <x:v>S001</x:v>
      </x:c>
      <x:c r="Q116" s="2" t="str">
        <x:v>DEV001</x:v>
      </x:c>
      <x:c r="R116" s="2" t="n">
        <x:v>39</x:v>
      </x:c>
      <x:c r="S116" s="2" t="str">
        <x:v>Online</x:v>
      </x:c>
      <x:c r="T116" s="2" t="str">
        <x:v>Synced</x:v>
      </x:c>
    </x:row>
    <x:row r="117" ht="21" customHeight="1">
      <x:c r="A117" s="2" t="str">
        <x:v>EV000196</x:v>
      </x:c>
      <x:c r="B117" s="2" t="str">
        <x:v>T20261004-1-2</x:v>
      </x:c>
      <x:c r="C117" s="2" t="str">
        <x:v>ST059</x:v>
      </x:c>
      <x:c r="D117" s="2" t="str">
        <x:v>08b31edc14b3a345822a41d6515bfcba</x:v>
      </x:c>
      <x:c r="E117" s="2" t="str">
        <x:v>CHECK_OUT</x:v>
      </x:c>
      <x:c r="F117" s="8" t="n">
        <x:v>46299.27701388889</x:v>
      </x:c>
      <x:c r="G117" s="8" t="n">
        <x:v>46299.277037037034</x:v>
      </x:c>
      <x:c r="H117" s="2" t="str">
        <x:v>SCH01</x:v>
      </x:c>
      <x:c r="I117" s="9" t="n">
        <x:v>25.285</x:v>
      </x:c>
      <x:c r="J117" s="9" t="n">
        <x:v>51.51</x:v>
      </x:c>
      <x:c r="K117" s="2" t="n">
        <x:v>8</x:v>
      </x:c>
      <x:c r="L117" s="2" t="str">
        <x:v>Valid</x:v>
      </x:c>
      <x:c r="M117" s="2" t="str">
        <x:v>QR</x:v>
      </x:c>
      <x:c r="N117" s="2" t="n">
        <x:v>1</x:v>
      </x:c>
      <x:c r="O117" s="2" t="str">
        <x:v>Accepted</x:v>
      </x:c>
      <x:c r="P117" s="2" t="str">
        <x:v>S002</x:v>
      </x:c>
      <x:c r="Q117" s="2" t="str">
        <x:v>DEV002</x:v>
      </x:c>
      <x:c r="R117" s="2" t="n">
        <x:v>39</x:v>
      </x:c>
      <x:c r="S117" s="2" t="str">
        <x:v>Online</x:v>
      </x:c>
      <x:c r="T117" s="2" t="str">
        <x:v>Synced</x:v>
      </x:c>
    </x:row>
    <x:row r="118" ht="21" customHeight="1">
      <x:c r="A118" s="2" t="str">
        <x:v>EV000356</x:v>
      </x:c>
      <x:c r="B118" s="2" t="str">
        <x:v>T20261004-1-3</x:v>
      </x:c>
      <x:c r="C118" s="2" t="str">
        <x:v>ST099</x:v>
      </x:c>
      <x:c r="D118" s="2" t="str">
        <x:v>46d20c66394c55b68e36e5335452d87c</x:v>
      </x:c>
      <x:c r="E118" s="2" t="str">
        <x:v>CHECK_OUT</x:v>
      </x:c>
      <x:c r="F118" s="8" t="n">
        <x:v>46299.27701388889</x:v>
      </x:c>
      <x:c r="G118" s="8" t="n">
        <x:v>46299.277037037034</x:v>
      </x:c>
      <x:c r="H118" s="2" t="str">
        <x:v>SCH01</x:v>
      </x:c>
      <x:c r="I118" s="9" t="n">
        <x:v>25.285</x:v>
      </x:c>
      <x:c r="J118" s="9" t="n">
        <x:v>51.51</x:v>
      </x:c>
      <x:c r="K118" s="2" t="n">
        <x:v>8</x:v>
      </x:c>
      <x:c r="L118" s="2" t="str">
        <x:v>Valid</x:v>
      </x:c>
      <x:c r="M118" s="2" t="str">
        <x:v>QR</x:v>
      </x:c>
      <x:c r="N118" s="2" t="n">
        <x:v>1</x:v>
      </x:c>
      <x:c r="O118" s="2" t="str">
        <x:v>Accepted</x:v>
      </x:c>
      <x:c r="P118" s="2" t="str">
        <x:v>S003</x:v>
      </x:c>
      <x:c r="Q118" s="2" t="str">
        <x:v>DEV003</x:v>
      </x:c>
      <x:c r="R118" s="2" t="n">
        <x:v>39</x:v>
      </x:c>
      <x:c r="S118" s="2" t="str">
        <x:v>Online</x:v>
      </x:c>
      <x:c r="T118" s="2" t="str">
        <x:v>Synced</x:v>
      </x:c>
    </x:row>
    <x:row r="119" ht="21" customHeight="1">
      <x:c r="A119" s="2" t="str">
        <x:v>EV000039</x:v>
      </x:c>
      <x:c r="B119" s="2" t="str">
        <x:v>T20261004-1-1</x:v>
      </x:c>
      <x:c r="C119" s="2" t="str">
        <x:v>ST020</x:v>
      </x:c>
      <x:c r="D119" s="2" t="str">
        <x:v>9f8daa9030f9f7599cd24e056935ab8d</x:v>
      </x:c>
      <x:c r="E119" s="2" t="str">
        <x:v>CHECK_OUT</x:v>
      </x:c>
      <x:c r="F119" s="8" t="n">
        <x:v>46299.27704861111</x:v>
      </x:c>
      <x:c r="G119" s="8" t="n">
        <x:v>46299.27707175926</x:v>
      </x:c>
      <x:c r="H119" s="2" t="str">
        <x:v>SCH01</x:v>
      </x:c>
      <x:c r="I119" s="9" t="n">
        <x:v>25.285</x:v>
      </x:c>
      <x:c r="J119" s="9" t="n">
        <x:v>51.51</x:v>
      </x:c>
      <x:c r="K119" s="2" t="n">
        <x:v>8</x:v>
      </x:c>
      <x:c r="L119" s="2" t="str">
        <x:v>Valid</x:v>
      </x:c>
      <x:c r="M119" s="2" t="str">
        <x:v>QR</x:v>
      </x:c>
      <x:c r="N119" s="2" t="n">
        <x:v>1</x:v>
      </x:c>
      <x:c r="O119" s="2" t="str">
        <x:v>Accepted</x:v>
      </x:c>
      <x:c r="P119" s="2" t="str">
        <x:v>S001</x:v>
      </x:c>
      <x:c r="Q119" s="2" t="str">
        <x:v>DEV001</x:v>
      </x:c>
      <x:c r="R119" s="2" t="n">
        <x:v>40</x:v>
      </x:c>
      <x:c r="S119" s="2" t="str">
        <x:v>Online</x:v>
      </x:c>
      <x:c r="T119" s="2" t="str">
        <x:v>Synced</x:v>
      </x:c>
    </x:row>
    <x:row r="120" ht="21" customHeight="1">
      <x:c r="A120" s="2" t="str">
        <x:v>EV000198</x:v>
      </x:c>
      <x:c r="B120" s="2" t="str">
        <x:v>T20261004-1-2</x:v>
      </x:c>
      <x:c r="C120" s="2" t="str">
        <x:v>ST060</x:v>
      </x:c>
      <x:c r="D120" s="2" t="str">
        <x:v>a424ea3d9a5cb1c08037457e61cef61f</x:v>
      </x:c>
      <x:c r="E120" s="2" t="str">
        <x:v>CHECK_OUT</x:v>
      </x:c>
      <x:c r="F120" s="8" t="n">
        <x:v>46299.27704861111</x:v>
      </x:c>
      <x:c r="G120" s="8" t="n">
        <x:v>46299.27707175926</x:v>
      </x:c>
      <x:c r="H120" s="2" t="str">
        <x:v>SCH01</x:v>
      </x:c>
      <x:c r="I120" s="9" t="n">
        <x:v>25.285</x:v>
      </x:c>
      <x:c r="J120" s="9" t="n">
        <x:v>51.51</x:v>
      </x:c>
      <x:c r="K120" s="2" t="n">
        <x:v>8</x:v>
      </x:c>
      <x:c r="L120" s="2" t="str">
        <x:v>Valid</x:v>
      </x:c>
      <x:c r="M120" s="2" t="str">
        <x:v>QR</x:v>
      </x:c>
      <x:c r="N120" s="2" t="n">
        <x:v>1</x:v>
      </x:c>
      <x:c r="O120" s="2" t="str">
        <x:v>Accepted</x:v>
      </x:c>
      <x:c r="P120" s="2" t="str">
        <x:v>S002</x:v>
      </x:c>
      <x:c r="Q120" s="2" t="str">
        <x:v>DEV002</x:v>
      </x:c>
      <x:c r="R120" s="2" t="n">
        <x:v>40</x:v>
      </x:c>
      <x:c r="S120" s="2" t="str">
        <x:v>Online</x:v>
      </x:c>
      <x:c r="T120" s="2" t="str">
        <x:v>Synced</x:v>
      </x:c>
    </x:row>
    <x:row r="121" ht="21" customHeight="1">
      <x:c r="A121" s="2" t="str">
        <x:v>EV000358</x:v>
      </x:c>
      <x:c r="B121" s="2" t="str">
        <x:v>T20261004-1-3</x:v>
      </x:c>
      <x:c r="C121" s="2" t="str">
        <x:v>ST100</x:v>
      </x:c>
      <x:c r="D121" s="2" t="str">
        <x:v>6ba3ddf298bc4515d195454c1e81d9d6</x:v>
      </x:c>
      <x:c r="E121" s="2" t="str">
        <x:v>CHECK_OUT</x:v>
      </x:c>
      <x:c r="F121" s="8" t="n">
        <x:v>46299.27704861111</x:v>
      </x:c>
      <x:c r="G121" s="8" t="n">
        <x:v>46299.27707175926</x:v>
      </x:c>
      <x:c r="H121" s="2" t="str">
        <x:v>SCH01</x:v>
      </x:c>
      <x:c r="I121" s="9" t="n">
        <x:v>25.285</x:v>
      </x:c>
      <x:c r="J121" s="9" t="n">
        <x:v>51.51</x:v>
      </x:c>
      <x:c r="K121" s="2" t="n">
        <x:v>8</x:v>
      </x:c>
      <x:c r="L121" s="2" t="str">
        <x:v>Valid</x:v>
      </x:c>
      <x:c r="M121" s="2" t="str">
        <x:v>QR</x:v>
      </x:c>
      <x:c r="N121" s="2" t="n">
        <x:v>1</x:v>
      </x:c>
      <x:c r="O121" s="2" t="str">
        <x:v>Accepted</x:v>
      </x:c>
      <x:c r="P121" s="2" t="str">
        <x:v>S003</x:v>
      </x:c>
      <x:c r="Q121" s="2" t="str">
        <x:v>DEV003</x:v>
      </x:c>
      <x:c r="R121" s="2" t="n">
        <x:v>40</x:v>
      </x:c>
      <x:c r="S121" s="2" t="str">
        <x:v>Online</x:v>
      </x:c>
      <x:c r="T121" s="2" t="str">
        <x:v>Synced</x:v>
      </x:c>
    </x:row>
    <x:row r="122" ht="21" customHeight="1">
      <x:c r="A122" s="2" t="str">
        <x:v>EV000199</x:v>
      </x:c>
      <x:c r="B122" s="2" t="str">
        <x:v>T20261004-2-2</x:v>
      </x:c>
      <x:c r="C122" s="2" t="str">
        <x:v>ST041</x:v>
      </x:c>
      <x:c r="D122" s="2" t="str">
        <x:v>78597cf805a87b7619460b6ed67f501f</x:v>
      </x:c>
      <x:c r="E122" s="2" t="str">
        <x:v>CHECK_IN</x:v>
      </x:c>
      <x:c r="F122" s="8" t="n">
        <x:v>46299.4375</x:v>
      </x:c>
      <x:c r="G122" s="8" t="n">
        <x:v>46299.437523148146</x:v>
      </x:c>
      <x:c r="H122" s="2" t="str">
        <x:v>SCH01</x:v>
      </x:c>
      <x:c r="I122" s="9" t="n">
        <x:v>25.285</x:v>
      </x:c>
      <x:c r="J122" s="9" t="n">
        <x:v>51.51</x:v>
      </x:c>
      <x:c r="K122" s="2" t="n">
        <x:v>8</x:v>
      </x:c>
      <x:c r="L122" s="2" t="str">
        <x:v>Valid</x:v>
      </x:c>
      <x:c r="M122" s="2" t="str">
        <x:v>QR</x:v>
      </x:c>
      <x:c r="N122" s="2" t="n">
        <x:v>1</x:v>
      </x:c>
      <x:c r="O122" s="2" t="str">
        <x:v>Accepted</x:v>
      </x:c>
      <x:c r="P122" s="2" t="str">
        <x:v>S002</x:v>
      </x:c>
      <x:c r="Q122" s="2" t="str">
        <x:v>DEV002</x:v>
      </x:c>
      <x:c r="R122" s="2" t="n">
        <x:v>1</x:v>
      </x:c>
      <x:c r="S122" s="2" t="str">
        <x:v>Online</x:v>
      </x:c>
      <x:c r="T122" s="2" t="str">
        <x:v>Synced</x:v>
      </x:c>
    </x:row>
    <x:row r="123" ht="21" customHeight="1">
      <x:c r="A123" s="2" t="str">
        <x:v>EV000359</x:v>
      </x:c>
      <x:c r="B123" s="2" t="str">
        <x:v>T20261004-2-3</x:v>
      </x:c>
      <x:c r="C123" s="2" t="str">
        <x:v>ST081</x:v>
      </x:c>
      <x:c r="D123" s="2" t="str">
        <x:v>8631b63b10b36bffa6456d354db9c08f</x:v>
      </x:c>
      <x:c r="E123" s="2" t="str">
        <x:v>CHECK_IN</x:v>
      </x:c>
      <x:c r="F123" s="8" t="n">
        <x:v>46299.4375</x:v>
      </x:c>
      <x:c r="G123" s="8" t="n">
        <x:v>46299.437523148146</x:v>
      </x:c>
      <x:c r="H123" s="2" t="str">
        <x:v>SCH01</x:v>
      </x:c>
      <x:c r="I123" s="9" t="n">
        <x:v>25.285</x:v>
      </x:c>
      <x:c r="J123" s="9" t="n">
        <x:v>51.51</x:v>
      </x:c>
      <x:c r="K123" s="2" t="n">
        <x:v>8</x:v>
      </x:c>
      <x:c r="L123" s="2" t="str">
        <x:v>Valid</x:v>
      </x:c>
      <x:c r="M123" s="2" t="str">
        <x:v>QR</x:v>
      </x:c>
      <x:c r="N123" s="2" t="n">
        <x:v>1</x:v>
      </x:c>
      <x:c r="O123" s="2" t="str">
        <x:v>Accepted</x:v>
      </x:c>
      <x:c r="P123" s="2" t="str">
        <x:v>S003</x:v>
      </x:c>
      <x:c r="Q123" s="2" t="str">
        <x:v>DEV003</x:v>
      </x:c>
      <x:c r="R123" s="2" t="n">
        <x:v>1</x:v>
      </x:c>
      <x:c r="S123" s="2" t="str">
        <x:v>Online</x:v>
      </x:c>
      <x:c r="T123" s="2" t="str">
        <x:v>Synced</x:v>
      </x:c>
    </x:row>
    <x:row r="124" ht="21" customHeight="1">
      <x:c r="A124" s="2" t="str">
        <x:v>EV000041</x:v>
      </x:c>
      <x:c r="B124" s="2" t="str">
        <x:v>T20261004-2-1</x:v>
      </x:c>
      <x:c r="C124" s="2" t="str">
        <x:v>ST002</x:v>
      </x:c>
      <x:c r="D124" s="2" t="str">
        <x:v>c9302a76d79e524442f3775978bb57a1</x:v>
      </x:c>
      <x:c r="E124" s="2" t="str">
        <x:v>CHECK_IN</x:v>
      </x:c>
      <x:c r="F124" s="8" t="n">
        <x:v>46299.43753472222</x:v>
      </x:c>
      <x:c r="G124" s="8" t="n">
        <x:v>46299.43755787037</x:v>
      </x:c>
      <x:c r="H124" s="2" t="str">
        <x:v>SCH01</x:v>
      </x:c>
      <x:c r="I124" s="9" t="n">
        <x:v>25.285</x:v>
      </x:c>
      <x:c r="J124" s="9" t="n">
        <x:v>51.51</x:v>
      </x:c>
      <x:c r="K124" s="2" t="n">
        <x:v>8</x:v>
      </x:c>
      <x:c r="L124" s="2" t="str">
        <x:v>Valid</x:v>
      </x:c>
      <x:c r="M124" s="2" t="str">
        <x:v>QR</x:v>
      </x:c>
      <x:c r="N124" s="2" t="n">
        <x:v>1</x:v>
      </x:c>
      <x:c r="O124" s="2" t="str">
        <x:v>Accepted</x:v>
      </x:c>
      <x:c r="P124" s="2" t="str">
        <x:v>S001</x:v>
      </x:c>
      <x:c r="Q124" s="2" t="str">
        <x:v>DEV001</x:v>
      </x:c>
      <x:c r="R124" s="2" t="n">
        <x:v>1</x:v>
      </x:c>
      <x:c r="S124" s="2" t="str">
        <x:v>Online</x:v>
      </x:c>
      <x:c r="T124" s="2" t="str">
        <x:v>Synced</x:v>
      </x:c>
    </x:row>
    <x:row r="125" ht="21" customHeight="1">
      <x:c r="A125" s="2" t="str">
        <x:v>EV000201</x:v>
      </x:c>
      <x:c r="B125" s="2" t="str">
        <x:v>T20261004-2-2</x:v>
      </x:c>
      <x:c r="C125" s="2" t="str">
        <x:v>ST042</x:v>
      </x:c>
      <x:c r="D125" s="2" t="str">
        <x:v>9cf3254a8e8c8233e36089501cd1bc60</x:v>
      </x:c>
      <x:c r="E125" s="2" t="str">
        <x:v>CHECK_IN</x:v>
      </x:c>
      <x:c r="F125" s="8" t="n">
        <x:v>46299.43753472222</x:v>
      </x:c>
      <x:c r="G125" s="8" t="n">
        <x:v>46299.43755787037</x:v>
      </x:c>
      <x:c r="H125" s="2" t="str">
        <x:v>SCH01</x:v>
      </x:c>
      <x:c r="I125" s="9" t="n">
        <x:v>25.285</x:v>
      </x:c>
      <x:c r="J125" s="9" t="n">
        <x:v>51.51</x:v>
      </x:c>
      <x:c r="K125" s="2" t="n">
        <x:v>8</x:v>
      </x:c>
      <x:c r="L125" s="2" t="str">
        <x:v>Valid</x:v>
      </x:c>
      <x:c r="M125" s="2" t="str">
        <x:v>QR</x:v>
      </x:c>
      <x:c r="N125" s="2" t="n">
        <x:v>1</x:v>
      </x:c>
      <x:c r="O125" s="2" t="str">
        <x:v>Accepted</x:v>
      </x:c>
      <x:c r="P125" s="2" t="str">
        <x:v>S002</x:v>
      </x:c>
      <x:c r="Q125" s="2" t="str">
        <x:v>DEV002</x:v>
      </x:c>
      <x:c r="R125" s="2" t="n">
        <x:v>2</x:v>
      </x:c>
      <x:c r="S125" s="2" t="str">
        <x:v>Online</x:v>
      </x:c>
      <x:c r="T125" s="2" t="str">
        <x:v>Synced</x:v>
      </x:c>
    </x:row>
    <x:row r="126" ht="21" customHeight="1">
      <x:c r="A126" s="2" t="str">
        <x:v>EV000361</x:v>
      </x:c>
      <x:c r="B126" s="2" t="str">
        <x:v>T20261004-2-3</x:v>
      </x:c>
      <x:c r="C126" s="2" t="str">
        <x:v>ST082</x:v>
      </x:c>
      <x:c r="D126" s="2" t="str">
        <x:v>fb7e28e2da3ace738571a6966bcaaec0</x:v>
      </x:c>
      <x:c r="E126" s="2" t="str">
        <x:v>CHECK_IN</x:v>
      </x:c>
      <x:c r="F126" s="8" t="n">
        <x:v>46299.43753472222</x:v>
      </x:c>
      <x:c r="G126" s="8" t="n">
        <x:v>46299.43755787037</x:v>
      </x:c>
      <x:c r="H126" s="2" t="str">
        <x:v>SCH01</x:v>
      </x:c>
      <x:c r="I126" s="9" t="n">
        <x:v>25.285</x:v>
      </x:c>
      <x:c r="J126" s="9" t="n">
        <x:v>51.51</x:v>
      </x:c>
      <x:c r="K126" s="2" t="n">
        <x:v>8</x:v>
      </x:c>
      <x:c r="L126" s="2" t="str">
        <x:v>Valid</x:v>
      </x:c>
      <x:c r="M126" s="2" t="str">
        <x:v>QR</x:v>
      </x:c>
      <x:c r="N126" s="2" t="n">
        <x:v>1</x:v>
      </x:c>
      <x:c r="O126" s="2" t="str">
        <x:v>Accepted</x:v>
      </x:c>
      <x:c r="P126" s="2" t="str">
        <x:v>S003</x:v>
      </x:c>
      <x:c r="Q126" s="2" t="str">
        <x:v>DEV003</x:v>
      </x:c>
      <x:c r="R126" s="2" t="n">
        <x:v>2</x:v>
      </x:c>
      <x:c r="S126" s="2" t="str">
        <x:v>Online</x:v>
      </x:c>
      <x:c r="T126" s="2" t="str">
        <x:v>Synced</x:v>
      </x:c>
    </x:row>
    <x:row r="127" ht="21" customHeight="1">
      <x:c r="A127" s="2" t="str">
        <x:v>EV000043</x:v>
      </x:c>
      <x:c r="B127" s="2" t="str">
        <x:v>T20261004-2-1</x:v>
      </x:c>
      <x:c r="C127" s="2" t="str">
        <x:v>ST003</x:v>
      </x:c>
      <x:c r="D127" s="2" t="str">
        <x:v>7598e98213cb52db1085c9a94fae1915</x:v>
      </x:c>
      <x:c r="E127" s="2" t="str">
        <x:v>CHECK_IN</x:v>
      </x:c>
      <x:c r="F127" s="8" t="n">
        <x:v>46299.437569444446</x:v>
      </x:c>
      <x:c r="G127" s="8" t="n">
        <x:v>46299.43759259259</x:v>
      </x:c>
      <x:c r="H127" s="2" t="str">
        <x:v>SCH01</x:v>
      </x:c>
      <x:c r="I127" s="9" t="n">
        <x:v>25.285</x:v>
      </x:c>
      <x:c r="J127" s="9" t="n">
        <x:v>51.51</x:v>
      </x:c>
      <x:c r="K127" s="2" t="n">
        <x:v>8</x:v>
      </x:c>
      <x:c r="L127" s="2" t="str">
        <x:v>Valid</x:v>
      </x:c>
      <x:c r="M127" s="2" t="str">
        <x:v>QR</x:v>
      </x:c>
      <x:c r="N127" s="2" t="n">
        <x:v>1</x:v>
      </x:c>
      <x:c r="O127" s="2" t="str">
        <x:v>Accepted</x:v>
      </x:c>
      <x:c r="P127" s="2" t="str">
        <x:v>S001</x:v>
      </x:c>
      <x:c r="Q127" s="2" t="str">
        <x:v>DEV001</x:v>
      </x:c>
      <x:c r="R127" s="2" t="n">
        <x:v>2</x:v>
      </x:c>
      <x:c r="S127" s="2" t="str">
        <x:v>Online</x:v>
      </x:c>
      <x:c r="T127" s="2" t="str">
        <x:v>Synced</x:v>
      </x:c>
    </x:row>
    <x:row r="128" ht="21" customHeight="1">
      <x:c r="A128" s="2" t="str">
        <x:v>EV000203</x:v>
      </x:c>
      <x:c r="B128" s="2" t="str">
        <x:v>T20261004-2-2</x:v>
      </x:c>
      <x:c r="C128" s="2" t="str">
        <x:v>ST043</x:v>
      </x:c>
      <x:c r="D128" s="2" t="str">
        <x:v>db51093fe9dac44d59345ee12f7e9c56</x:v>
      </x:c>
      <x:c r="E128" s="2" t="str">
        <x:v>CHECK_IN</x:v>
      </x:c>
      <x:c r="F128" s="8" t="n">
        <x:v>46299.437569444446</x:v>
      </x:c>
      <x:c r="G128" s="8" t="n">
        <x:v>46299.43759259259</x:v>
      </x:c>
      <x:c r="H128" s="2" t="str">
        <x:v>SCH01</x:v>
      </x:c>
      <x:c r="I128" s="9" t="n">
        <x:v>25.285</x:v>
      </x:c>
      <x:c r="J128" s="9" t="n">
        <x:v>51.51</x:v>
      </x:c>
      <x:c r="K128" s="2" t="n">
        <x:v>8</x:v>
      </x:c>
      <x:c r="L128" s="2" t="str">
        <x:v>Valid</x:v>
      </x:c>
      <x:c r="M128" s="2" t="str">
        <x:v>QR</x:v>
      </x:c>
      <x:c r="N128" s="2" t="n">
        <x:v>1</x:v>
      </x:c>
      <x:c r="O128" s="2" t="str">
        <x:v>Accepted</x:v>
      </x:c>
      <x:c r="P128" s="2" t="str">
        <x:v>S002</x:v>
      </x:c>
      <x:c r="Q128" s="2" t="str">
        <x:v>DEV002</x:v>
      </x:c>
      <x:c r="R128" s="2" t="n">
        <x:v>3</x:v>
      </x:c>
      <x:c r="S128" s="2" t="str">
        <x:v>Online</x:v>
      </x:c>
      <x:c r="T128" s="2" t="str">
        <x:v>Synced</x:v>
      </x:c>
    </x:row>
    <x:row r="129" ht="21" customHeight="1">
      <x:c r="A129" s="2" t="str">
        <x:v>EV000363</x:v>
      </x:c>
      <x:c r="B129" s="2" t="str">
        <x:v>T20261004-2-3</x:v>
      </x:c>
      <x:c r="C129" s="2" t="str">
        <x:v>ST083</x:v>
      </x:c>
      <x:c r="D129" s="2" t="str">
        <x:v>19cc474730ce4d97be031814010d13a9</x:v>
      </x:c>
      <x:c r="E129" s="2" t="str">
        <x:v>CHECK_IN</x:v>
      </x:c>
      <x:c r="F129" s="8" t="n">
        <x:v>46299.437569444446</x:v>
      </x:c>
      <x:c r="G129" s="8" t="n">
        <x:v>46299.43759259259</x:v>
      </x:c>
      <x:c r="H129" s="2" t="str">
        <x:v>SCH01</x:v>
      </x:c>
      <x:c r="I129" s="9" t="n">
        <x:v>25.285</x:v>
      </x:c>
      <x:c r="J129" s="9" t="n">
        <x:v>51.51</x:v>
      </x:c>
      <x:c r="K129" s="2" t="n">
        <x:v>8</x:v>
      </x:c>
      <x:c r="L129" s="2" t="str">
        <x:v>Valid</x:v>
      </x:c>
      <x:c r="M129" s="2" t="str">
        <x:v>QR</x:v>
      </x:c>
      <x:c r="N129" s="2" t="n">
        <x:v>1</x:v>
      </x:c>
      <x:c r="O129" s="2" t="str">
        <x:v>Accepted</x:v>
      </x:c>
      <x:c r="P129" s="2" t="str">
        <x:v>S003</x:v>
      </x:c>
      <x:c r="Q129" s="2" t="str">
        <x:v>DEV003</x:v>
      </x:c>
      <x:c r="R129" s="2" t="n">
        <x:v>3</x:v>
      </x:c>
      <x:c r="S129" s="2" t="str">
        <x:v>Online</x:v>
      </x:c>
      <x:c r="T129" s="2" t="str">
        <x:v>Synced</x:v>
      </x:c>
    </x:row>
    <x:row r="130" ht="21" customHeight="1">
      <x:c r="A130" s="2" t="str">
        <x:v>EV000045</x:v>
      </x:c>
      <x:c r="B130" s="2" t="str">
        <x:v>T20261004-2-1</x:v>
      </x:c>
      <x:c r="C130" s="2" t="str">
        <x:v>ST004</x:v>
      </x:c>
      <x:c r="D130" s="2" t="str">
        <x:v>7dee56e67101a0dd8483e1503eba9a72</x:v>
      </x:c>
      <x:c r="E130" s="2" t="str">
        <x:v>CHECK_IN</x:v>
      </x:c>
      <x:c r="F130" s="8" t="n">
        <x:v>46299.43760416667</x:v>
      </x:c>
      <x:c r="G130" s="8" t="n">
        <x:v>46299.437627314815</x:v>
      </x:c>
      <x:c r="H130" s="2" t="str">
        <x:v>SCH01</x:v>
      </x:c>
      <x:c r="I130" s="9" t="n">
        <x:v>25.285</x:v>
      </x:c>
      <x:c r="J130" s="9" t="n">
        <x:v>51.51</x:v>
      </x:c>
      <x:c r="K130" s="2" t="n">
        <x:v>8</x:v>
      </x:c>
      <x:c r="L130" s="2" t="str">
        <x:v>Valid</x:v>
      </x:c>
      <x:c r="M130" s="2" t="str">
        <x:v>QR</x:v>
      </x:c>
      <x:c r="N130" s="2" t="n">
        <x:v>1</x:v>
      </x:c>
      <x:c r="O130" s="2" t="str">
        <x:v>Accepted</x:v>
      </x:c>
      <x:c r="P130" s="2" t="str">
        <x:v>S001</x:v>
      </x:c>
      <x:c r="Q130" s="2" t="str">
        <x:v>DEV001</x:v>
      </x:c>
      <x:c r="R130" s="2" t="n">
        <x:v>3</x:v>
      </x:c>
      <x:c r="S130" s="2" t="str">
        <x:v>Online</x:v>
      </x:c>
      <x:c r="T130" s="2" t="str">
        <x:v>Synced</x:v>
      </x:c>
    </x:row>
    <x:row r="131" ht="21" customHeight="1">
      <x:c r="A131" s="2" t="str">
        <x:v>EV000205</x:v>
      </x:c>
      <x:c r="B131" s="2" t="str">
        <x:v>T20261004-2-2</x:v>
      </x:c>
      <x:c r="C131" s="2" t="str">
        <x:v>ST044</x:v>
      </x:c>
      <x:c r="D131" s="2" t="str">
        <x:v>638b036dff08260bc8976402fb10157a</x:v>
      </x:c>
      <x:c r="E131" s="2" t="str">
        <x:v>CHECK_IN</x:v>
      </x:c>
      <x:c r="F131" s="8" t="n">
        <x:v>46299.43760416667</x:v>
      </x:c>
      <x:c r="G131" s="8" t="n">
        <x:v>46299.437627314815</x:v>
      </x:c>
      <x:c r="H131" s="2" t="str">
        <x:v>SCH01</x:v>
      </x:c>
      <x:c r="I131" s="9" t="n">
        <x:v>25.285</x:v>
      </x:c>
      <x:c r="J131" s="9" t="n">
        <x:v>51.51</x:v>
      </x:c>
      <x:c r="K131" s="2" t="n">
        <x:v>8</x:v>
      </x:c>
      <x:c r="L131" s="2" t="str">
        <x:v>Valid</x:v>
      </x:c>
      <x:c r="M131" s="2" t="str">
        <x:v>QR</x:v>
      </x:c>
      <x:c r="N131" s="2" t="n">
        <x:v>1</x:v>
      </x:c>
      <x:c r="O131" s="2" t="str">
        <x:v>Accepted</x:v>
      </x:c>
      <x:c r="P131" s="2" t="str">
        <x:v>S002</x:v>
      </x:c>
      <x:c r="Q131" s="2" t="str">
        <x:v>DEV002</x:v>
      </x:c>
      <x:c r="R131" s="2" t="n">
        <x:v>4</x:v>
      </x:c>
      <x:c r="S131" s="2" t="str">
        <x:v>Online</x:v>
      </x:c>
      <x:c r="T131" s="2" t="str">
        <x:v>Synced</x:v>
      </x:c>
    </x:row>
    <x:row r="132" ht="21" customHeight="1">
      <x:c r="A132" s="2" t="str">
        <x:v>EV000365</x:v>
      </x:c>
      <x:c r="B132" s="2" t="str">
        <x:v>T20261004-2-3</x:v>
      </x:c>
      <x:c r="C132" s="2" t="str">
        <x:v>ST084</x:v>
      </x:c>
      <x:c r="D132" s="2" t="str">
        <x:v>2f6163b722feb8421b83fd278ee72e5c</x:v>
      </x:c>
      <x:c r="E132" s="2" t="str">
        <x:v>CHECK_IN</x:v>
      </x:c>
      <x:c r="F132" s="8" t="n">
        <x:v>46299.43760416667</x:v>
      </x:c>
      <x:c r="G132" s="8" t="n">
        <x:v>46299.437627314815</x:v>
      </x:c>
      <x:c r="H132" s="2" t="str">
        <x:v>SCH01</x:v>
      </x:c>
      <x:c r="I132" s="9" t="n">
        <x:v>25.285</x:v>
      </x:c>
      <x:c r="J132" s="9" t="n">
        <x:v>51.51</x:v>
      </x:c>
      <x:c r="K132" s="2" t="n">
        <x:v>8</x:v>
      </x:c>
      <x:c r="L132" s="2" t="str">
        <x:v>Valid</x:v>
      </x:c>
      <x:c r="M132" s="2" t="str">
        <x:v>QR</x:v>
      </x:c>
      <x:c r="N132" s="2" t="n">
        <x:v>1</x:v>
      </x:c>
      <x:c r="O132" s="2" t="str">
        <x:v>Accepted</x:v>
      </x:c>
      <x:c r="P132" s="2" t="str">
        <x:v>S003</x:v>
      </x:c>
      <x:c r="Q132" s="2" t="str">
        <x:v>DEV003</x:v>
      </x:c>
      <x:c r="R132" s="2" t="n">
        <x:v>4</x:v>
      </x:c>
      <x:c r="S132" s="2" t="str">
        <x:v>Online</x:v>
      </x:c>
      <x:c r="T132" s="2" t="str">
        <x:v>Synced</x:v>
      </x:c>
    </x:row>
    <x:row r="133" ht="21" customHeight="1">
      <x:c r="A133" s="2" t="str">
        <x:v>EV000047</x:v>
      </x:c>
      <x:c r="B133" s="2" t="str">
        <x:v>T20261004-2-1</x:v>
      </x:c>
      <x:c r="C133" s="2" t="str">
        <x:v>ST005</x:v>
      </x:c>
      <x:c r="D133" s="2" t="str">
        <x:v>426727a8a0b9d51694a399a005c786cf</x:v>
      </x:c>
      <x:c r="E133" s="2" t="str">
        <x:v>CHECK_IN</x:v>
      </x:c>
      <x:c r="F133" s="8" t="n">
        <x:v>46299.43763888889</x:v>
      </x:c>
      <x:c r="G133" s="8" t="n">
        <x:v>46299.43766203704</x:v>
      </x:c>
      <x:c r="H133" s="2" t="str">
        <x:v>SCH01</x:v>
      </x:c>
      <x:c r="I133" s="9" t="n">
        <x:v>25.285</x:v>
      </x:c>
      <x:c r="J133" s="9" t="n">
        <x:v>51.51</x:v>
      </x:c>
      <x:c r="K133" s="2" t="n">
        <x:v>8</x:v>
      </x:c>
      <x:c r="L133" s="2" t="str">
        <x:v>Valid</x:v>
      </x:c>
      <x:c r="M133" s="2" t="str">
        <x:v>QR</x:v>
      </x:c>
      <x:c r="N133" s="2" t="n">
        <x:v>1</x:v>
      </x:c>
      <x:c r="O133" s="2" t="str">
        <x:v>Accepted</x:v>
      </x:c>
      <x:c r="P133" s="2" t="str">
        <x:v>S001</x:v>
      </x:c>
      <x:c r="Q133" s="2" t="str">
        <x:v>DEV001</x:v>
      </x:c>
      <x:c r="R133" s="2" t="n">
        <x:v>4</x:v>
      </x:c>
      <x:c r="S133" s="2" t="str">
        <x:v>Online</x:v>
      </x:c>
      <x:c r="T133" s="2" t="str">
        <x:v>Synced</x:v>
      </x:c>
    </x:row>
    <x:row r="134" ht="21" customHeight="1">
      <x:c r="A134" s="2" t="str">
        <x:v>EV000207</x:v>
      </x:c>
      <x:c r="B134" s="2" t="str">
        <x:v>T20261004-2-2</x:v>
      </x:c>
      <x:c r="C134" s="2" t="str">
        <x:v>ST045</x:v>
      </x:c>
      <x:c r="D134" s="2" t="str">
        <x:v>10d8df8a06a7c869bcaa1adbc88c05bc</x:v>
      </x:c>
      <x:c r="E134" s="2" t="str">
        <x:v>CHECK_IN</x:v>
      </x:c>
      <x:c r="F134" s="8" t="n">
        <x:v>46299.43763888889</x:v>
      </x:c>
      <x:c r="G134" s="8" t="n">
        <x:v>46299.43766203704</x:v>
      </x:c>
      <x:c r="H134" s="2" t="str">
        <x:v>SCH01</x:v>
      </x:c>
      <x:c r="I134" s="9" t="n">
        <x:v>25.285</x:v>
      </x:c>
      <x:c r="J134" s="9" t="n">
        <x:v>51.51</x:v>
      </x:c>
      <x:c r="K134" s="2" t="n">
        <x:v>8</x:v>
      </x:c>
      <x:c r="L134" s="2" t="str">
        <x:v>Valid</x:v>
      </x:c>
      <x:c r="M134" s="2" t="str">
        <x:v>QR</x:v>
      </x:c>
      <x:c r="N134" s="2" t="n">
        <x:v>1</x:v>
      </x:c>
      <x:c r="O134" s="2" t="str">
        <x:v>Accepted</x:v>
      </x:c>
      <x:c r="P134" s="2" t="str">
        <x:v>S002</x:v>
      </x:c>
      <x:c r="Q134" s="2" t="str">
        <x:v>DEV002</x:v>
      </x:c>
      <x:c r="R134" s="2" t="n">
        <x:v>5</x:v>
      </x:c>
      <x:c r="S134" s="2" t="str">
        <x:v>Online</x:v>
      </x:c>
      <x:c r="T134" s="2" t="str">
        <x:v>Synced</x:v>
      </x:c>
    </x:row>
    <x:row r="135" ht="21" customHeight="1">
      <x:c r="A135" s="2" t="str">
        <x:v>EV000367</x:v>
      </x:c>
      <x:c r="B135" s="2" t="str">
        <x:v>T20261004-2-3</x:v>
      </x:c>
      <x:c r="C135" s="2" t="str">
        <x:v>ST085</x:v>
      </x:c>
      <x:c r="D135" s="2" t="str">
        <x:v>80babdd572dde222a75b7ad8f0fe7ffa</x:v>
      </x:c>
      <x:c r="E135" s="2" t="str">
        <x:v>CHECK_IN</x:v>
      </x:c>
      <x:c r="F135" s="8" t="n">
        <x:v>46299.43763888889</x:v>
      </x:c>
      <x:c r="G135" s="8" t="n">
        <x:v>46299.43766203704</x:v>
      </x:c>
      <x:c r="H135" s="2" t="str">
        <x:v>SCH01</x:v>
      </x:c>
      <x:c r="I135" s="9" t="n">
        <x:v>25.285</x:v>
      </x:c>
      <x:c r="J135" s="9" t="n">
        <x:v>51.51</x:v>
      </x:c>
      <x:c r="K135" s="2" t="n">
        <x:v>8</x:v>
      </x:c>
      <x:c r="L135" s="2" t="str">
        <x:v>Valid</x:v>
      </x:c>
      <x:c r="M135" s="2" t="str">
        <x:v>QR</x:v>
      </x:c>
      <x:c r="N135" s="2" t="n">
        <x:v>1</x:v>
      </x:c>
      <x:c r="O135" s="2" t="str">
        <x:v>Accepted</x:v>
      </x:c>
      <x:c r="P135" s="2" t="str">
        <x:v>S003</x:v>
      </x:c>
      <x:c r="Q135" s="2" t="str">
        <x:v>DEV003</x:v>
      </x:c>
      <x:c r="R135" s="2" t="n">
        <x:v>5</x:v>
      </x:c>
      <x:c r="S135" s="2" t="str">
        <x:v>Online</x:v>
      </x:c>
      <x:c r="T135" s="2" t="str">
        <x:v>Synced</x:v>
      </x:c>
    </x:row>
    <x:row r="136" ht="21" customHeight="1">
      <x:c r="A136" s="2" t="str">
        <x:v>EV000049</x:v>
      </x:c>
      <x:c r="B136" s="2" t="str">
        <x:v>T20261004-2-1</x:v>
      </x:c>
      <x:c r="C136" s="2" t="str">
        <x:v>ST006</x:v>
      </x:c>
      <x:c r="D136" s="2" t="str">
        <x:v>8edd7f2c984bf2eb5adf75591d6f1e9c</x:v>
      </x:c>
      <x:c r="E136" s="2" t="str">
        <x:v>CHECK_IN</x:v>
      </x:c>
      <x:c r="F136" s="8" t="n">
        <x:v>46299.43767361111</x:v>
      </x:c>
      <x:c r="G136" s="8" t="n">
        <x:v>46299.437696759254</x:v>
      </x:c>
      <x:c r="H136" s="2" t="str">
        <x:v>SCH01</x:v>
      </x:c>
      <x:c r="I136" s="9" t="n">
        <x:v>25.285</x:v>
      </x:c>
      <x:c r="J136" s="9" t="n">
        <x:v>51.51</x:v>
      </x:c>
      <x:c r="K136" s="2" t="n">
        <x:v>8</x:v>
      </x:c>
      <x:c r="L136" s="2" t="str">
        <x:v>Valid</x:v>
      </x:c>
      <x:c r="M136" s="2" t="str">
        <x:v>QR</x:v>
      </x:c>
      <x:c r="N136" s="2" t="n">
        <x:v>1</x:v>
      </x:c>
      <x:c r="O136" s="2" t="str">
        <x:v>Accepted</x:v>
      </x:c>
      <x:c r="P136" s="2" t="str">
        <x:v>S001</x:v>
      </x:c>
      <x:c r="Q136" s="2" t="str">
        <x:v>DEV001</x:v>
      </x:c>
      <x:c r="R136" s="2" t="n">
        <x:v>5</x:v>
      </x:c>
      <x:c r="S136" s="2" t="str">
        <x:v>Online</x:v>
      </x:c>
      <x:c r="T136" s="2" t="str">
        <x:v>Synced</x:v>
      </x:c>
    </x:row>
    <x:row r="137" ht="21" customHeight="1">
      <x:c r="A137" s="2" t="str">
        <x:v>EV000209</x:v>
      </x:c>
      <x:c r="B137" s="2" t="str">
        <x:v>T20261004-2-2</x:v>
      </x:c>
      <x:c r="C137" s="2" t="str">
        <x:v>ST046</x:v>
      </x:c>
      <x:c r="D137" s="2" t="str">
        <x:v>82365992d443d056f10fa7522ac29057</x:v>
      </x:c>
      <x:c r="E137" s="2" t="str">
        <x:v>CHECK_IN</x:v>
      </x:c>
      <x:c r="F137" s="8" t="n">
        <x:v>46299.43767361111</x:v>
      </x:c>
      <x:c r="G137" s="8" t="n">
        <x:v>46299.437696759254</x:v>
      </x:c>
      <x:c r="H137" s="2" t="str">
        <x:v>SCH01</x:v>
      </x:c>
      <x:c r="I137" s="9" t="n">
        <x:v>25.285</x:v>
      </x:c>
      <x:c r="J137" s="9" t="n">
        <x:v>51.51</x:v>
      </x:c>
      <x:c r="K137" s="2" t="n">
        <x:v>8</x:v>
      </x:c>
      <x:c r="L137" s="2" t="str">
        <x:v>Valid</x:v>
      </x:c>
      <x:c r="M137" s="2" t="str">
        <x:v>QR</x:v>
      </x:c>
      <x:c r="N137" s="2" t="n">
        <x:v>1</x:v>
      </x:c>
      <x:c r="O137" s="2" t="str">
        <x:v>Accepted</x:v>
      </x:c>
      <x:c r="P137" s="2" t="str">
        <x:v>S002</x:v>
      </x:c>
      <x:c r="Q137" s="2" t="str">
        <x:v>DEV002</x:v>
      </x:c>
      <x:c r="R137" s="2" t="n">
        <x:v>6</x:v>
      </x:c>
      <x:c r="S137" s="2" t="str">
        <x:v>Online</x:v>
      </x:c>
      <x:c r="T137" s="2" t="str">
        <x:v>Synced</x:v>
      </x:c>
    </x:row>
    <x:row r="138" ht="21" customHeight="1">
      <x:c r="A138" s="2" t="str">
        <x:v>EV000369</x:v>
      </x:c>
      <x:c r="B138" s="2" t="str">
        <x:v>T20261004-2-3</x:v>
      </x:c>
      <x:c r="C138" s="2" t="str">
        <x:v>ST086</x:v>
      </x:c>
      <x:c r="D138" s="2" t="str">
        <x:v>33c5dfd0f17fcbe34d50fd9b0a0c0e5b</x:v>
      </x:c>
      <x:c r="E138" s="2" t="str">
        <x:v>CHECK_IN</x:v>
      </x:c>
      <x:c r="F138" s="8" t="n">
        <x:v>46299.43767361111</x:v>
      </x:c>
      <x:c r="G138" s="8" t="n">
        <x:v>46299.437696759254</x:v>
      </x:c>
      <x:c r="H138" s="2" t="str">
        <x:v>SCH01</x:v>
      </x:c>
      <x:c r="I138" s="9" t="n">
        <x:v>25.285</x:v>
      </x:c>
      <x:c r="J138" s="9" t="n">
        <x:v>51.51</x:v>
      </x:c>
      <x:c r="K138" s="2" t="n">
        <x:v>8</x:v>
      </x:c>
      <x:c r="L138" s="2" t="str">
        <x:v>Valid</x:v>
      </x:c>
      <x:c r="M138" s="2" t="str">
        <x:v>QR</x:v>
      </x:c>
      <x:c r="N138" s="2" t="n">
        <x:v>1</x:v>
      </x:c>
      <x:c r="O138" s="2" t="str">
        <x:v>Accepted</x:v>
      </x:c>
      <x:c r="P138" s="2" t="str">
        <x:v>S003</x:v>
      </x:c>
      <x:c r="Q138" s="2" t="str">
        <x:v>DEV003</x:v>
      </x:c>
      <x:c r="R138" s="2" t="n">
        <x:v>6</x:v>
      </x:c>
      <x:c r="S138" s="2" t="str">
        <x:v>Online</x:v>
      </x:c>
      <x:c r="T138" s="2" t="str">
        <x:v>Synced</x:v>
      </x:c>
    </x:row>
    <x:row r="139" ht="21" customHeight="1">
      <x:c r="A139" s="2" t="str">
        <x:v>EV000051</x:v>
      </x:c>
      <x:c r="B139" s="2" t="str">
        <x:v>T20261004-2-1</x:v>
      </x:c>
      <x:c r="C139" s="2" t="str">
        <x:v>ST007</x:v>
      </x:c>
      <x:c r="D139" s="2" t="str">
        <x:v>2376173ab02a96d9b58d44caf4008dfd</x:v>
      </x:c>
      <x:c r="E139" s="2" t="str">
        <x:v>CHECK_IN</x:v>
      </x:c>
      <x:c r="F139" s="8" t="n">
        <x:v>46299.43770833333</x:v>
      </x:c>
      <x:c r="G139" s="8" t="n">
        <x:v>46299.43773148148</x:v>
      </x:c>
      <x:c r="H139" s="2" t="str">
        <x:v>SCH01</x:v>
      </x:c>
      <x:c r="I139" s="9" t="n">
        <x:v>25.285</x:v>
      </x:c>
      <x:c r="J139" s="9" t="n">
        <x:v>51.51</x:v>
      </x:c>
      <x:c r="K139" s="2" t="n">
        <x:v>8</x:v>
      </x:c>
      <x:c r="L139" s="2" t="str">
        <x:v>Valid</x:v>
      </x:c>
      <x:c r="M139" s="2" t="str">
        <x:v>QR</x:v>
      </x:c>
      <x:c r="N139" s="2" t="n">
        <x:v>1</x:v>
      </x:c>
      <x:c r="O139" s="2" t="str">
        <x:v>Accepted</x:v>
      </x:c>
      <x:c r="P139" s="2" t="str">
        <x:v>S001</x:v>
      </x:c>
      <x:c r="Q139" s="2" t="str">
        <x:v>DEV001</x:v>
      </x:c>
      <x:c r="R139" s="2" t="n">
        <x:v>6</x:v>
      </x:c>
      <x:c r="S139" s="2" t="str">
        <x:v>Online</x:v>
      </x:c>
      <x:c r="T139" s="2" t="str">
        <x:v>Synced</x:v>
      </x:c>
    </x:row>
    <x:row r="140" ht="21" customHeight="1">
      <x:c r="A140" s="2" t="str">
        <x:v>EV000211</x:v>
      </x:c>
      <x:c r="B140" s="2" t="str">
        <x:v>T20261004-2-2</x:v>
      </x:c>
      <x:c r="C140" s="2" t="str">
        <x:v>ST047</x:v>
      </x:c>
      <x:c r="D140" s="2" t="str">
        <x:v>b3f6380a42fb190ae04afac7edee87cd</x:v>
      </x:c>
      <x:c r="E140" s="2" t="str">
        <x:v>CHECK_IN</x:v>
      </x:c>
      <x:c r="F140" s="8" t="n">
        <x:v>46299.43770833333</x:v>
      </x:c>
      <x:c r="G140" s="8" t="n">
        <x:v>46299.43773148148</x:v>
      </x:c>
      <x:c r="H140" s="2" t="str">
        <x:v>SCH01</x:v>
      </x:c>
      <x:c r="I140" s="9" t="n">
        <x:v>25.285</x:v>
      </x:c>
      <x:c r="J140" s="9" t="n">
        <x:v>51.51</x:v>
      </x:c>
      <x:c r="K140" s="2" t="n">
        <x:v>8</x:v>
      </x:c>
      <x:c r="L140" s="2" t="str">
        <x:v>Valid</x:v>
      </x:c>
      <x:c r="M140" s="2" t="str">
        <x:v>QR</x:v>
      </x:c>
      <x:c r="N140" s="2" t="n">
        <x:v>1</x:v>
      </x:c>
      <x:c r="O140" s="2" t="str">
        <x:v>Accepted</x:v>
      </x:c>
      <x:c r="P140" s="2" t="str">
        <x:v>S002</x:v>
      </x:c>
      <x:c r="Q140" s="2" t="str">
        <x:v>DEV002</x:v>
      </x:c>
      <x:c r="R140" s="2" t="n">
        <x:v>7</x:v>
      </x:c>
      <x:c r="S140" s="2" t="str">
        <x:v>Online</x:v>
      </x:c>
      <x:c r="T140" s="2" t="str">
        <x:v>Synced</x:v>
      </x:c>
    </x:row>
    <x:row r="141" ht="21" customHeight="1">
      <x:c r="A141" s="2" t="str">
        <x:v>EV000371</x:v>
      </x:c>
      <x:c r="B141" s="2" t="str">
        <x:v>T20261004-2-3</x:v>
      </x:c>
      <x:c r="C141" s="2" t="str">
        <x:v>ST087</x:v>
      </x:c>
      <x:c r="D141" s="2" t="str">
        <x:v>30243cf46003be06b271950aa5cd47a6</x:v>
      </x:c>
      <x:c r="E141" s="2" t="str">
        <x:v>CHECK_IN</x:v>
      </x:c>
      <x:c r="F141" s="8" t="n">
        <x:v>46299.43770833333</x:v>
      </x:c>
      <x:c r="G141" s="8" t="n">
        <x:v>46299.43773148148</x:v>
      </x:c>
      <x:c r="H141" s="2" t="str">
        <x:v>SCH01</x:v>
      </x:c>
      <x:c r="I141" s="9" t="n">
        <x:v>25.285</x:v>
      </x:c>
      <x:c r="J141" s="9" t="n">
        <x:v>51.51</x:v>
      </x:c>
      <x:c r="K141" s="2" t="n">
        <x:v>8</x:v>
      </x:c>
      <x:c r="L141" s="2" t="str">
        <x:v>Valid</x:v>
      </x:c>
      <x:c r="M141" s="2" t="str">
        <x:v>QR</x:v>
      </x:c>
      <x:c r="N141" s="2" t="n">
        <x:v>1</x:v>
      </x:c>
      <x:c r="O141" s="2" t="str">
        <x:v>Accepted</x:v>
      </x:c>
      <x:c r="P141" s="2" t="str">
        <x:v>S003</x:v>
      </x:c>
      <x:c r="Q141" s="2" t="str">
        <x:v>DEV003</x:v>
      </x:c>
      <x:c r="R141" s="2" t="n">
        <x:v>7</x:v>
      </x:c>
      <x:c r="S141" s="2" t="str">
        <x:v>Online</x:v>
      </x:c>
      <x:c r="T141" s="2" t="str">
        <x:v>Synced</x:v>
      </x:c>
    </x:row>
    <x:row r="142" ht="21" customHeight="1">
      <x:c r="A142" s="2" t="str">
        <x:v>EV000053</x:v>
      </x:c>
      <x:c r="B142" s="2" t="str">
        <x:v>T20261004-2-1</x:v>
      </x:c>
      <x:c r="C142" s="2" t="str">
        <x:v>ST008</x:v>
      </x:c>
      <x:c r="D142" s="2" t="str">
        <x:v>ac4baf5d317844907005c691f401c42d</x:v>
      </x:c>
      <x:c r="E142" s="2" t="str">
        <x:v>CHECK_IN</x:v>
      </x:c>
      <x:c r="F142" s="8" t="n">
        <x:v>46299.437743055554</x:v>
      </x:c>
      <x:c r="G142" s="8" t="n">
        <x:v>46299.4377662037</x:v>
      </x:c>
      <x:c r="H142" s="2" t="str">
        <x:v>SCH01</x:v>
      </x:c>
      <x:c r="I142" s="9" t="n">
        <x:v>25.285</x:v>
      </x:c>
      <x:c r="J142" s="9" t="n">
        <x:v>51.51</x:v>
      </x:c>
      <x:c r="K142" s="2" t="n">
        <x:v>8</x:v>
      </x:c>
      <x:c r="L142" s="2" t="str">
        <x:v>Valid</x:v>
      </x:c>
      <x:c r="M142" s="2" t="str">
        <x:v>QR</x:v>
      </x:c>
      <x:c r="N142" s="2" t="n">
        <x:v>1</x:v>
      </x:c>
      <x:c r="O142" s="2" t="str">
        <x:v>Accepted</x:v>
      </x:c>
      <x:c r="P142" s="2" t="str">
        <x:v>S001</x:v>
      </x:c>
      <x:c r="Q142" s="2" t="str">
        <x:v>DEV001</x:v>
      </x:c>
      <x:c r="R142" s="2" t="n">
        <x:v>7</x:v>
      </x:c>
      <x:c r="S142" s="2" t="str">
        <x:v>Online</x:v>
      </x:c>
      <x:c r="T142" s="2" t="str">
        <x:v>Synced</x:v>
      </x:c>
    </x:row>
    <x:row r="143" ht="21" customHeight="1">
      <x:c r="A143" s="2" t="str">
        <x:v>EV000213</x:v>
      </x:c>
      <x:c r="B143" s="2" t="str">
        <x:v>T20261004-2-2</x:v>
      </x:c>
      <x:c r="C143" s="2" t="str">
        <x:v>ST048</x:v>
      </x:c>
      <x:c r="D143" s="2" t="str">
        <x:v>e3a3009a9bd3946e21f417e93203aa79</x:v>
      </x:c>
      <x:c r="E143" s="2" t="str">
        <x:v>CHECK_IN</x:v>
      </x:c>
      <x:c r="F143" s="8" t="n">
        <x:v>46299.437743055554</x:v>
      </x:c>
      <x:c r="G143" s="8" t="n">
        <x:v>46299.4377662037</x:v>
      </x:c>
      <x:c r="H143" s="2" t="str">
        <x:v>SCH01</x:v>
      </x:c>
      <x:c r="I143" s="9" t="n">
        <x:v>25.285</x:v>
      </x:c>
      <x:c r="J143" s="9" t="n">
        <x:v>51.51</x:v>
      </x:c>
      <x:c r="K143" s="2" t="n">
        <x:v>8</x:v>
      </x:c>
      <x:c r="L143" s="2" t="str">
        <x:v>Valid</x:v>
      </x:c>
      <x:c r="M143" s="2" t="str">
        <x:v>QR</x:v>
      </x:c>
      <x:c r="N143" s="2" t="n">
        <x:v>1</x:v>
      </x:c>
      <x:c r="O143" s="2" t="str">
        <x:v>Accepted</x:v>
      </x:c>
      <x:c r="P143" s="2" t="str">
        <x:v>S002</x:v>
      </x:c>
      <x:c r="Q143" s="2" t="str">
        <x:v>DEV002</x:v>
      </x:c>
      <x:c r="R143" s="2" t="n">
        <x:v>8</x:v>
      </x:c>
      <x:c r="S143" s="2" t="str">
        <x:v>Online</x:v>
      </x:c>
      <x:c r="T143" s="2" t="str">
        <x:v>Synced</x:v>
      </x:c>
    </x:row>
    <x:row r="144" ht="21" customHeight="1">
      <x:c r="A144" s="2" t="str">
        <x:v>EV000373</x:v>
      </x:c>
      <x:c r="B144" s="2" t="str">
        <x:v>T20261004-2-3</x:v>
      </x:c>
      <x:c r="C144" s="2" t="str">
        <x:v>ST088</x:v>
      </x:c>
      <x:c r="D144" s="2" t="str">
        <x:v>b227769e0483e6c28eed8e8d448bfbbe</x:v>
      </x:c>
      <x:c r="E144" s="2" t="str">
        <x:v>CHECK_IN</x:v>
      </x:c>
      <x:c r="F144" s="8" t="n">
        <x:v>46299.437743055554</x:v>
      </x:c>
      <x:c r="G144" s="8" t="n">
        <x:v>46299.4377662037</x:v>
      </x:c>
      <x:c r="H144" s="2" t="str">
        <x:v>SCH01</x:v>
      </x:c>
      <x:c r="I144" s="9" t="n">
        <x:v>25.285</x:v>
      </x:c>
      <x:c r="J144" s="9" t="n">
        <x:v>51.51</x:v>
      </x:c>
      <x:c r="K144" s="2" t="n">
        <x:v>8</x:v>
      </x:c>
      <x:c r="L144" s="2" t="str">
        <x:v>Valid</x:v>
      </x:c>
      <x:c r="M144" s="2" t="str">
        <x:v>QR</x:v>
      </x:c>
      <x:c r="N144" s="2" t="n">
        <x:v>1</x:v>
      </x:c>
      <x:c r="O144" s="2" t="str">
        <x:v>Accepted</x:v>
      </x:c>
      <x:c r="P144" s="2" t="str">
        <x:v>S003</x:v>
      </x:c>
      <x:c r="Q144" s="2" t="str">
        <x:v>DEV003</x:v>
      </x:c>
      <x:c r="R144" s="2" t="n">
        <x:v>8</x:v>
      </x:c>
      <x:c r="S144" s="2" t="str">
        <x:v>Online</x:v>
      </x:c>
      <x:c r="T144" s="2" t="str">
        <x:v>Synced</x:v>
      </x:c>
    </x:row>
    <x:row r="145" ht="21" customHeight="1">
      <x:c r="A145" s="2" t="str">
        <x:v>EV000055</x:v>
      </x:c>
      <x:c r="B145" s="2" t="str">
        <x:v>T20261004-2-1</x:v>
      </x:c>
      <x:c r="C145" s="2" t="str">
        <x:v>ST009</x:v>
      </x:c>
      <x:c r="D145" s="2" t="str">
        <x:v>fdc849f07f4ba12ab82f6bed87d7275d</x:v>
      </x:c>
      <x:c r="E145" s="2" t="str">
        <x:v>CHECK_IN</x:v>
      </x:c>
      <x:c r="F145" s="8" t="n">
        <x:v>46299.43777777778</x:v>
      </x:c>
      <x:c r="G145" s="8" t="n">
        <x:v>46299.43780092592</x:v>
      </x:c>
      <x:c r="H145" s="2" t="str">
        <x:v>SCH01</x:v>
      </x:c>
      <x:c r="I145" s="9" t="n">
        <x:v>25.285</x:v>
      </x:c>
      <x:c r="J145" s="9" t="n">
        <x:v>51.51</x:v>
      </x:c>
      <x:c r="K145" s="2" t="n">
        <x:v>8</x:v>
      </x:c>
      <x:c r="L145" s="2" t="str">
        <x:v>Valid</x:v>
      </x:c>
      <x:c r="M145" s="2" t="str">
        <x:v>QR</x:v>
      </x:c>
      <x:c r="N145" s="2" t="n">
        <x:v>1</x:v>
      </x:c>
      <x:c r="O145" s="2" t="str">
        <x:v>Accepted</x:v>
      </x:c>
      <x:c r="P145" s="2" t="str">
        <x:v>S001</x:v>
      </x:c>
      <x:c r="Q145" s="2" t="str">
        <x:v>DEV001</x:v>
      </x:c>
      <x:c r="R145" s="2" t="n">
        <x:v>8</x:v>
      </x:c>
      <x:c r="S145" s="2" t="str">
        <x:v>Online</x:v>
      </x:c>
      <x:c r="T145" s="2" t="str">
        <x:v>Synced</x:v>
      </x:c>
    </x:row>
    <x:row r="146" ht="21" customHeight="1">
      <x:c r="A146" s="2" t="str">
        <x:v>EV000215</x:v>
      </x:c>
      <x:c r="B146" s="2" t="str">
        <x:v>T20261004-2-2</x:v>
      </x:c>
      <x:c r="C146" s="2" t="str">
        <x:v>ST049</x:v>
      </x:c>
      <x:c r="D146" s="2" t="str">
        <x:v>aac0da9ca028b4b4fe1fc2c1eb298502</x:v>
      </x:c>
      <x:c r="E146" s="2" t="str">
        <x:v>CHECK_IN</x:v>
      </x:c>
      <x:c r="F146" s="8" t="n">
        <x:v>46299.43777777778</x:v>
      </x:c>
      <x:c r="G146" s="8" t="n">
        <x:v>46299.43780092592</x:v>
      </x:c>
      <x:c r="H146" s="2" t="str">
        <x:v>SCH01</x:v>
      </x:c>
      <x:c r="I146" s="9" t="n">
        <x:v>25.285</x:v>
      </x:c>
      <x:c r="J146" s="9" t="n">
        <x:v>51.51</x:v>
      </x:c>
      <x:c r="K146" s="2" t="n">
        <x:v>8</x:v>
      </x:c>
      <x:c r="L146" s="2" t="str">
        <x:v>Valid</x:v>
      </x:c>
      <x:c r="M146" s="2" t="str">
        <x:v>QR</x:v>
      </x:c>
      <x:c r="N146" s="2" t="n">
        <x:v>1</x:v>
      </x:c>
      <x:c r="O146" s="2" t="str">
        <x:v>Accepted</x:v>
      </x:c>
      <x:c r="P146" s="2" t="str">
        <x:v>S002</x:v>
      </x:c>
      <x:c r="Q146" s="2" t="str">
        <x:v>DEV002</x:v>
      </x:c>
      <x:c r="R146" s="2" t="n">
        <x:v>9</x:v>
      </x:c>
      <x:c r="S146" s="2" t="str">
        <x:v>Online</x:v>
      </x:c>
      <x:c r="T146" s="2" t="str">
        <x:v>Synced</x:v>
      </x:c>
    </x:row>
    <x:row r="147" ht="21" customHeight="1">
      <x:c r="A147" s="2" t="str">
        <x:v>EV000375</x:v>
      </x:c>
      <x:c r="B147" s="2" t="str">
        <x:v>T20261004-2-3</x:v>
      </x:c>
      <x:c r="C147" s="2" t="str">
        <x:v>ST089</x:v>
      </x:c>
      <x:c r="D147" s="2" t="str">
        <x:v>0bd697ec3f7c09918d8dd004b5340b03</x:v>
      </x:c>
      <x:c r="E147" s="2" t="str">
        <x:v>CHECK_IN</x:v>
      </x:c>
      <x:c r="F147" s="8" t="n">
        <x:v>46299.43777777778</x:v>
      </x:c>
      <x:c r="G147" s="8" t="n">
        <x:v>46299.43780092592</x:v>
      </x:c>
      <x:c r="H147" s="2" t="str">
        <x:v>SCH01</x:v>
      </x:c>
      <x:c r="I147" s="9" t="n">
        <x:v>25.285</x:v>
      </x:c>
      <x:c r="J147" s="9" t="n">
        <x:v>51.51</x:v>
      </x:c>
      <x:c r="K147" s="2" t="n">
        <x:v>8</x:v>
      </x:c>
      <x:c r="L147" s="2" t="str">
        <x:v>Valid</x:v>
      </x:c>
      <x:c r="M147" s="2" t="str">
        <x:v>QR</x:v>
      </x:c>
      <x:c r="N147" s="2" t="n">
        <x:v>1</x:v>
      </x:c>
      <x:c r="O147" s="2" t="str">
        <x:v>Accepted</x:v>
      </x:c>
      <x:c r="P147" s="2" t="str">
        <x:v>S003</x:v>
      </x:c>
      <x:c r="Q147" s="2" t="str">
        <x:v>DEV003</x:v>
      </x:c>
      <x:c r="R147" s="2" t="n">
        <x:v>9</x:v>
      </x:c>
      <x:c r="S147" s="2" t="str">
        <x:v>Online</x:v>
      </x:c>
      <x:c r="T147" s="2" t="str">
        <x:v>Synced</x:v>
      </x:c>
    </x:row>
    <x:row r="148" ht="21" customHeight="1">
      <x:c r="A148" s="2" t="str">
        <x:v>EV000057</x:v>
      </x:c>
      <x:c r="B148" s="2" t="str">
        <x:v>T20261004-2-1</x:v>
      </x:c>
      <x:c r="C148" s="2" t="str">
        <x:v>ST010</x:v>
      </x:c>
      <x:c r="D148" s="2" t="str">
        <x:v>df6521f6838e149b7b1f3fd27dcbf586</x:v>
      </x:c>
      <x:c r="E148" s="2" t="str">
        <x:v>CHECK_IN</x:v>
      </x:c>
      <x:c r="F148" s="8" t="n">
        <x:v>46299.4378125</x:v>
      </x:c>
      <x:c r="G148" s="8" t="n">
        <x:v>46299.43783564815</x:v>
      </x:c>
      <x:c r="H148" s="2" t="str">
        <x:v>SCH01</x:v>
      </x:c>
      <x:c r="I148" s="9" t="n">
        <x:v>25.285</x:v>
      </x:c>
      <x:c r="J148" s="9" t="n">
        <x:v>51.51</x:v>
      </x:c>
      <x:c r="K148" s="2" t="n">
        <x:v>8</x:v>
      </x:c>
      <x:c r="L148" s="2" t="str">
        <x:v>Valid</x:v>
      </x:c>
      <x:c r="M148" s="2" t="str">
        <x:v>QR</x:v>
      </x:c>
      <x:c r="N148" s="2" t="n">
        <x:v>1</x:v>
      </x:c>
      <x:c r="O148" s="2" t="str">
        <x:v>Accepted</x:v>
      </x:c>
      <x:c r="P148" s="2" t="str">
        <x:v>S001</x:v>
      </x:c>
      <x:c r="Q148" s="2" t="str">
        <x:v>DEV001</x:v>
      </x:c>
      <x:c r="R148" s="2" t="n">
        <x:v>9</x:v>
      </x:c>
      <x:c r="S148" s="2" t="str">
        <x:v>Online</x:v>
      </x:c>
      <x:c r="T148" s="2" t="str">
        <x:v>Synced</x:v>
      </x:c>
    </x:row>
    <x:row r="149" ht="21" customHeight="1">
      <x:c r="A149" s="2" t="str">
        <x:v>EV000217</x:v>
      </x:c>
      <x:c r="B149" s="2" t="str">
        <x:v>T20261004-2-2</x:v>
      </x:c>
      <x:c r="C149" s="2" t="str">
        <x:v>ST050</x:v>
      </x:c>
      <x:c r="D149" s="2" t="str">
        <x:v>ca49474881a6395691ac81bd08684ed6</x:v>
      </x:c>
      <x:c r="E149" s="2" t="str">
        <x:v>CHECK_IN</x:v>
      </x:c>
      <x:c r="F149" s="8" t="n">
        <x:v>46299.4378125</x:v>
      </x:c>
      <x:c r="G149" s="8" t="n">
        <x:v>46299.43783564815</x:v>
      </x:c>
      <x:c r="H149" s="2" t="str">
        <x:v>SCH01</x:v>
      </x:c>
      <x:c r="I149" s="9" t="n">
        <x:v>25.285</x:v>
      </x:c>
      <x:c r="J149" s="9" t="n">
        <x:v>51.51</x:v>
      </x:c>
      <x:c r="K149" s="2" t="n">
        <x:v>8</x:v>
      </x:c>
      <x:c r="L149" s="2" t="str">
        <x:v>Valid</x:v>
      </x:c>
      <x:c r="M149" s="2" t="str">
        <x:v>QR</x:v>
      </x:c>
      <x:c r="N149" s="2" t="n">
        <x:v>1</x:v>
      </x:c>
      <x:c r="O149" s="2" t="str">
        <x:v>Accepted</x:v>
      </x:c>
      <x:c r="P149" s="2" t="str">
        <x:v>S002</x:v>
      </x:c>
      <x:c r="Q149" s="2" t="str">
        <x:v>DEV002</x:v>
      </x:c>
      <x:c r="R149" s="2" t="n">
        <x:v>10</x:v>
      </x:c>
      <x:c r="S149" s="2" t="str">
        <x:v>Online</x:v>
      </x:c>
      <x:c r="T149" s="2" t="str">
        <x:v>Synced</x:v>
      </x:c>
    </x:row>
    <x:row r="150" ht="21" customHeight="1">
      <x:c r="A150" s="2" t="str">
        <x:v>EV000377</x:v>
      </x:c>
      <x:c r="B150" s="2" t="str">
        <x:v>T20261004-2-3</x:v>
      </x:c>
      <x:c r="C150" s="2" t="str">
        <x:v>ST090</x:v>
      </x:c>
      <x:c r="D150" s="2" t="str">
        <x:v>3b91252475551a374010825e1f05642c</x:v>
      </x:c>
      <x:c r="E150" s="2" t="str">
        <x:v>CHECK_IN</x:v>
      </x:c>
      <x:c r="F150" s="8" t="n">
        <x:v>46299.4378125</x:v>
      </x:c>
      <x:c r="G150" s="8" t="n">
        <x:v>46299.43783564815</x:v>
      </x:c>
      <x:c r="H150" s="2" t="str">
        <x:v>SCH01</x:v>
      </x:c>
      <x:c r="I150" s="9" t="n">
        <x:v>25.285</x:v>
      </x:c>
      <x:c r="J150" s="9" t="n">
        <x:v>51.51</x:v>
      </x:c>
      <x:c r="K150" s="2" t="n">
        <x:v>8</x:v>
      </x:c>
      <x:c r="L150" s="2" t="str">
        <x:v>Valid</x:v>
      </x:c>
      <x:c r="M150" s="2" t="str">
        <x:v>QR</x:v>
      </x:c>
      <x:c r="N150" s="2" t="n">
        <x:v>1</x:v>
      </x:c>
      <x:c r="O150" s="2" t="str">
        <x:v>Accepted</x:v>
      </x:c>
      <x:c r="P150" s="2" t="str">
        <x:v>S003</x:v>
      </x:c>
      <x:c r="Q150" s="2" t="str">
        <x:v>DEV003</x:v>
      </x:c>
      <x:c r="R150" s="2" t="n">
        <x:v>10</x:v>
      </x:c>
      <x:c r="S150" s="2" t="str">
        <x:v>Online</x:v>
      </x:c>
      <x:c r="T150" s="2" t="str">
        <x:v>Synced</x:v>
      </x:c>
    </x:row>
    <x:row r="151" ht="21" customHeight="1">
      <x:c r="A151" s="2" t="str">
        <x:v>EV000200</x:v>
      </x:c>
      <x:c r="B151" s="2" t="str">
        <x:v>T20261004-2-2</x:v>
      </x:c>
      <x:c r="C151" s="2" t="str">
        <x:v>ST041</x:v>
      </x:c>
      <x:c r="D151" s="2" t="str">
        <x:v>78597cf805a87b7619460b6ed67f501f</x:v>
      </x:c>
      <x:c r="E151" s="2" t="str">
        <x:v>CHECK_OUT</x:v>
      </x:c>
      <x:c r="F151" s="8" t="n">
        <x:v>46299.44930555555</x:v>
      </x:c>
      <x:c r="G151" s="8" t="n">
        <x:v>46299.4493287037</x:v>
      </x:c>
      <x:c r="H151" s="2" t="str">
        <x:v>R2S1</x:v>
      </x:c>
      <x:c r="I151" s="9" t="n">
        <x:v>25.28</x:v>
      </x:c>
      <x:c r="J151" s="9" t="n">
        <x:v>51.498999999999995</x:v>
      </x:c>
      <x:c r="K151" s="2" t="n">
        <x:v>8</x:v>
      </x:c>
      <x:c r="L151" s="2" t="str">
        <x:v>Valid</x:v>
      </x:c>
      <x:c r="M151" s="2" t="str">
        <x:v>QR</x:v>
      </x:c>
      <x:c r="N151" s="2" t="n">
        <x:v>1</x:v>
      </x:c>
      <x:c r="O151" s="2" t="str">
        <x:v>Accepted</x:v>
      </x:c>
      <x:c r="P151" s="2" t="str">
        <x:v>S002</x:v>
      </x:c>
      <x:c r="Q151" s="2" t="str">
        <x:v>DEV002</x:v>
      </x:c>
      <x:c r="R151" s="2" t="n">
        <x:v>11</x:v>
      </x:c>
      <x:c r="S151" s="2" t="str">
        <x:v>Online</x:v>
      </x:c>
      <x:c r="T151" s="2" t="str">
        <x:v>Synced</x:v>
      </x:c>
    </x:row>
    <x:row r="152" ht="21" customHeight="1">
      <x:c r="A152" s="2" t="str">
        <x:v>EV000360</x:v>
      </x:c>
      <x:c r="B152" s="2" t="str">
        <x:v>T20261004-2-3</x:v>
      </x:c>
      <x:c r="C152" s="2" t="str">
        <x:v>ST081</x:v>
      </x:c>
      <x:c r="D152" s="2" t="str">
        <x:v>8631b63b10b36bffa6456d354db9c08f</x:v>
      </x:c>
      <x:c r="E152" s="2" t="str">
        <x:v>CHECK_OUT</x:v>
      </x:c>
      <x:c r="F152" s="8" t="n">
        <x:v>46299.44930555555</x:v>
      </x:c>
      <x:c r="G152" s="8" t="n">
        <x:v>46299.4493287037</x:v>
      </x:c>
      <x:c r="H152" s="2" t="str">
        <x:v>R3S1</x:v>
      </x:c>
      <x:c r="I152" s="9" t="n">
        <x:v>25.289</x:v>
      </x:c>
      <x:c r="J152" s="9" t="n">
        <x:v>51.507</x:v>
      </x:c>
      <x:c r="K152" s="2" t="n">
        <x:v>8</x:v>
      </x:c>
      <x:c r="L152" s="2" t="str">
        <x:v>Valid</x:v>
      </x:c>
      <x:c r="M152" s="2" t="str">
        <x:v>QR</x:v>
      </x:c>
      <x:c r="N152" s="2" t="n">
        <x:v>1</x:v>
      </x:c>
      <x:c r="O152" s="2" t="str">
        <x:v>Accepted</x:v>
      </x:c>
      <x:c r="P152" s="2" t="str">
        <x:v>S003</x:v>
      </x:c>
      <x:c r="Q152" s="2" t="str">
        <x:v>DEV003</x:v>
      </x:c>
      <x:c r="R152" s="2" t="n">
        <x:v>11</x:v>
      </x:c>
      <x:c r="S152" s="2" t="str">
        <x:v>Online</x:v>
      </x:c>
      <x:c r="T152" s="2" t="str">
        <x:v>Synced</x:v>
      </x:c>
    </x:row>
    <x:row r="153" ht="21" customHeight="1">
      <x:c r="A153" s="2" t="str">
        <x:v>EV000046</x:v>
      </x:c>
      <x:c r="B153" s="2" t="str">
        <x:v>T20261004-2-1</x:v>
      </x:c>
      <x:c r="C153" s="2" t="str">
        <x:v>ST004</x:v>
      </x:c>
      <x:c r="D153" s="2" t="str">
        <x:v>7dee56e67101a0dd8483e1503eba9a72</x:v>
      </x:c>
      <x:c r="E153" s="2" t="str">
        <x:v>CHECK_OUT</x:v>
      </x:c>
      <x:c r="F153" s="8" t="n">
        <x:v>46299.44940972222</x:v>
      </x:c>
      <x:c r="G153" s="8" t="n">
        <x:v>46299.449432870366</x:v>
      </x:c>
      <x:c r="H153" s="2" t="str">
        <x:v>R1S1</x:v>
      </x:c>
      <x:c r="I153" s="9" t="n">
        <x:v>25.271</x:v>
      </x:c>
      <x:c r="J153" s="9" t="n">
        <x:v>51.491</x:v>
      </x:c>
      <x:c r="K153" s="2" t="n">
        <x:v>8</x:v>
      </x:c>
      <x:c r="L153" s="2" t="str">
        <x:v>Valid</x:v>
      </x:c>
      <x:c r="M153" s="2" t="str">
        <x:v>QR</x:v>
      </x:c>
      <x:c r="N153" s="2" t="n">
        <x:v>1</x:v>
      </x:c>
      <x:c r="O153" s="2" t="str">
        <x:v>Accepted</x:v>
      </x:c>
      <x:c r="P153" s="2" t="str">
        <x:v>S001</x:v>
      </x:c>
      <x:c r="Q153" s="2" t="str">
        <x:v>DEV001</x:v>
      </x:c>
      <x:c r="R153" s="2" t="n">
        <x:v>10</x:v>
      </x:c>
      <x:c r="S153" s="2" t="str">
        <x:v>Online</x:v>
      </x:c>
      <x:c r="T153" s="2" t="str">
        <x:v>Synced</x:v>
      </x:c>
    </x:row>
    <x:row r="154" ht="21" customHeight="1">
      <x:c r="A154" s="2" t="str">
        <x:v>EV000206</x:v>
      </x:c>
      <x:c r="B154" s="2" t="str">
        <x:v>T20261004-2-2</x:v>
      </x:c>
      <x:c r="C154" s="2" t="str">
        <x:v>ST044</x:v>
      </x:c>
      <x:c r="D154" s="2" t="str">
        <x:v>638b036dff08260bc8976402fb10157a</x:v>
      </x:c>
      <x:c r="E154" s="2" t="str">
        <x:v>CHECK_OUT</x:v>
      </x:c>
      <x:c r="F154" s="8" t="n">
        <x:v>46299.44940972222</x:v>
      </x:c>
      <x:c r="G154" s="8" t="n">
        <x:v>46299.449432870366</x:v>
      </x:c>
      <x:c r="H154" s="2" t="str">
        <x:v>R2S1</x:v>
      </x:c>
      <x:c r="I154" s="9" t="n">
        <x:v>25.28</x:v>
      </x:c>
      <x:c r="J154" s="9" t="n">
        <x:v>51.498999999999995</x:v>
      </x:c>
      <x:c r="K154" s="2" t="n">
        <x:v>8</x:v>
      </x:c>
      <x:c r="L154" s="2" t="str">
        <x:v>Valid</x:v>
      </x:c>
      <x:c r="M154" s="2" t="str">
        <x:v>QR</x:v>
      </x:c>
      <x:c r="N154" s="2" t="n">
        <x:v>1</x:v>
      </x:c>
      <x:c r="O154" s="2" t="str">
        <x:v>Accepted</x:v>
      </x:c>
      <x:c r="P154" s="2" t="str">
        <x:v>S002</x:v>
      </x:c>
      <x:c r="Q154" s="2" t="str">
        <x:v>DEV002</x:v>
      </x:c>
      <x:c r="R154" s="2" t="n">
        <x:v>12</x:v>
      </x:c>
      <x:c r="S154" s="2" t="str">
        <x:v>Online</x:v>
      </x:c>
      <x:c r="T154" s="2" t="str">
        <x:v>Synced</x:v>
      </x:c>
    </x:row>
    <x:row r="155" ht="21" customHeight="1">
      <x:c r="A155" s="2" t="str">
        <x:v>EV000366</x:v>
      </x:c>
      <x:c r="B155" s="2" t="str">
        <x:v>T20261004-2-3</x:v>
      </x:c>
      <x:c r="C155" s="2" t="str">
        <x:v>ST084</x:v>
      </x:c>
      <x:c r="D155" s="2" t="str">
        <x:v>2f6163b722feb8421b83fd278ee72e5c</x:v>
      </x:c>
      <x:c r="E155" s="2" t="str">
        <x:v>CHECK_OUT</x:v>
      </x:c>
      <x:c r="F155" s="8" t="n">
        <x:v>46299.44940972222</x:v>
      </x:c>
      <x:c r="G155" s="8" t="n">
        <x:v>46299.449432870366</x:v>
      </x:c>
      <x:c r="H155" s="2" t="str">
        <x:v>R3S1</x:v>
      </x:c>
      <x:c r="I155" s="9" t="n">
        <x:v>25.289</x:v>
      </x:c>
      <x:c r="J155" s="9" t="n">
        <x:v>51.507</x:v>
      </x:c>
      <x:c r="K155" s="2" t="n">
        <x:v>8</x:v>
      </x:c>
      <x:c r="L155" s="2" t="str">
        <x:v>Valid</x:v>
      </x:c>
      <x:c r="M155" s="2" t="str">
        <x:v>QR</x:v>
      </x:c>
      <x:c r="N155" s="2" t="n">
        <x:v>1</x:v>
      </x:c>
      <x:c r="O155" s="2" t="str">
        <x:v>Accepted</x:v>
      </x:c>
      <x:c r="P155" s="2" t="str">
        <x:v>S003</x:v>
      </x:c>
      <x:c r="Q155" s="2" t="str">
        <x:v>DEV003</x:v>
      </x:c>
      <x:c r="R155" s="2" t="n">
        <x:v>12</x:v>
      </x:c>
      <x:c r="S155" s="2" t="str">
        <x:v>Online</x:v>
      </x:c>
      <x:c r="T155" s="2" t="str">
        <x:v>Synced</x:v>
      </x:c>
    </x:row>
    <x:row r="156" ht="21" customHeight="1">
      <x:c r="A156" s="2" t="str">
        <x:v>EV000052</x:v>
      </x:c>
      <x:c r="B156" s="2" t="str">
        <x:v>T20261004-2-1</x:v>
      </x:c>
      <x:c r="C156" s="2" t="str">
        <x:v>ST007</x:v>
      </x:c>
      <x:c r="D156" s="2" t="str">
        <x:v>2376173ab02a96d9b58d44caf4008dfd</x:v>
      </x:c>
      <x:c r="E156" s="2" t="str">
        <x:v>CHECK_OUT</x:v>
      </x:c>
      <x:c r="F156" s="8" t="n">
        <x:v>46299.44951388888</x:v>
      </x:c>
      <x:c r="G156" s="8" t="n">
        <x:v>46299.44953703703</x:v>
      </x:c>
      <x:c r="H156" s="2" t="str">
        <x:v>R1S1</x:v>
      </x:c>
      <x:c r="I156" s="9" t="n">
        <x:v>25.271</x:v>
      </x:c>
      <x:c r="J156" s="9" t="n">
        <x:v>51.491</x:v>
      </x:c>
      <x:c r="K156" s="2" t="n">
        <x:v>8</x:v>
      </x:c>
      <x:c r="L156" s="2" t="str">
        <x:v>Valid</x:v>
      </x:c>
      <x:c r="M156" s="2" t="str">
        <x:v>QR</x:v>
      </x:c>
      <x:c r="N156" s="2" t="n">
        <x:v>1</x:v>
      </x:c>
      <x:c r="O156" s="2" t="str">
        <x:v>Accepted</x:v>
      </x:c>
      <x:c r="P156" s="2" t="str">
        <x:v>S001</x:v>
      </x:c>
      <x:c r="Q156" s="2" t="str">
        <x:v>DEV001</x:v>
      </x:c>
      <x:c r="R156" s="2" t="n">
        <x:v>11</x:v>
      </x:c>
      <x:c r="S156" s="2" t="str">
        <x:v>Online</x:v>
      </x:c>
      <x:c r="T156" s="2" t="str">
        <x:v>Synced</x:v>
      </x:c>
    </x:row>
    <x:row r="157" ht="21" customHeight="1">
      <x:c r="A157" s="2" t="str">
        <x:v>EV000212</x:v>
      </x:c>
      <x:c r="B157" s="2" t="str">
        <x:v>T20261004-2-2</x:v>
      </x:c>
      <x:c r="C157" s="2" t="str">
        <x:v>ST047</x:v>
      </x:c>
      <x:c r="D157" s="2" t="str">
        <x:v>b3f6380a42fb190ae04afac7edee87cd</x:v>
      </x:c>
      <x:c r="E157" s="2" t="str">
        <x:v>CHECK_OUT</x:v>
      </x:c>
      <x:c r="F157" s="8" t="n">
        <x:v>46299.44951388888</x:v>
      </x:c>
      <x:c r="G157" s="8" t="n">
        <x:v>46299.44953703703</x:v>
      </x:c>
      <x:c r="H157" s="2" t="str">
        <x:v>R2S1</x:v>
      </x:c>
      <x:c r="I157" s="9" t="n">
        <x:v>25.28</x:v>
      </x:c>
      <x:c r="J157" s="9" t="n">
        <x:v>51.498999999999995</x:v>
      </x:c>
      <x:c r="K157" s="2" t="n">
        <x:v>8</x:v>
      </x:c>
      <x:c r="L157" s="2" t="str">
        <x:v>Valid</x:v>
      </x:c>
      <x:c r="M157" s="2" t="str">
        <x:v>QR</x:v>
      </x:c>
      <x:c r="N157" s="2" t="n">
        <x:v>1</x:v>
      </x:c>
      <x:c r="O157" s="2" t="str">
        <x:v>Accepted</x:v>
      </x:c>
      <x:c r="P157" s="2" t="str">
        <x:v>S002</x:v>
      </x:c>
      <x:c r="Q157" s="2" t="str">
        <x:v>DEV002</x:v>
      </x:c>
      <x:c r="R157" s="2" t="n">
        <x:v>13</x:v>
      </x:c>
      <x:c r="S157" s="2" t="str">
        <x:v>Online</x:v>
      </x:c>
      <x:c r="T157" s="2" t="str">
        <x:v>Synced</x:v>
      </x:c>
    </x:row>
    <x:row r="158" ht="21" customHeight="1">
      <x:c r="A158" s="2" t="str">
        <x:v>EV000372</x:v>
      </x:c>
      <x:c r="B158" s="2" t="str">
        <x:v>T20261004-2-3</x:v>
      </x:c>
      <x:c r="C158" s="2" t="str">
        <x:v>ST087</x:v>
      </x:c>
      <x:c r="D158" s="2" t="str">
        <x:v>30243cf46003be06b271950aa5cd47a6</x:v>
      </x:c>
      <x:c r="E158" s="2" t="str">
        <x:v>CHECK_OUT</x:v>
      </x:c>
      <x:c r="F158" s="8" t="n">
        <x:v>46299.44951388888</x:v>
      </x:c>
      <x:c r="G158" s="8" t="n">
        <x:v>46299.44953703703</x:v>
      </x:c>
      <x:c r="H158" s="2" t="str">
        <x:v>R3S1</x:v>
      </x:c>
      <x:c r="I158" s="9" t="n">
        <x:v>25.289</x:v>
      </x:c>
      <x:c r="J158" s="9" t="n">
        <x:v>51.507</x:v>
      </x:c>
      <x:c r="K158" s="2" t="n">
        <x:v>8</x:v>
      </x:c>
      <x:c r="L158" s="2" t="str">
        <x:v>Valid</x:v>
      </x:c>
      <x:c r="M158" s="2" t="str">
        <x:v>QR</x:v>
      </x:c>
      <x:c r="N158" s="2" t="n">
        <x:v>1</x:v>
      </x:c>
      <x:c r="O158" s="2" t="str">
        <x:v>Accepted</x:v>
      </x:c>
      <x:c r="P158" s="2" t="str">
        <x:v>S003</x:v>
      </x:c>
      <x:c r="Q158" s="2" t="str">
        <x:v>DEV003</x:v>
      </x:c>
      <x:c r="R158" s="2" t="n">
        <x:v>13</x:v>
      </x:c>
      <x:c r="S158" s="2" t="str">
        <x:v>Online</x:v>
      </x:c>
      <x:c r="T158" s="2" t="str">
        <x:v>Synced</x:v>
      </x:c>
    </x:row>
    <x:row r="159" ht="21" customHeight="1">
      <x:c r="A159" s="2" t="str">
        <x:v>EV000058</x:v>
      </x:c>
      <x:c r="B159" s="2" t="str">
        <x:v>T20261004-2-1</x:v>
      </x:c>
      <x:c r="C159" s="2" t="str">
        <x:v>ST010</x:v>
      </x:c>
      <x:c r="D159" s="2" t="str">
        <x:v>df6521f6838e149b7b1f3fd27dcbf586</x:v>
      </x:c>
      <x:c r="E159" s="2" t="str">
        <x:v>CHECK_OUT</x:v>
      </x:c>
      <x:c r="F159" s="8" t="n">
        <x:v>46299.44961805555</x:v>
      </x:c>
      <x:c r="G159" s="8" t="n">
        <x:v>46299.4496412037</x:v>
      </x:c>
      <x:c r="H159" s="2" t="str">
        <x:v>R1S1</x:v>
      </x:c>
      <x:c r="I159" s="9" t="n">
        <x:v>25.271</x:v>
      </x:c>
      <x:c r="J159" s="9" t="n">
        <x:v>51.491</x:v>
      </x:c>
      <x:c r="K159" s="2" t="n">
        <x:v>8</x:v>
      </x:c>
      <x:c r="L159" s="2" t="str">
        <x:v>Valid</x:v>
      </x:c>
      <x:c r="M159" s="2" t="str">
        <x:v>QR</x:v>
      </x:c>
      <x:c r="N159" s="2" t="n">
        <x:v>1</x:v>
      </x:c>
      <x:c r="O159" s="2" t="str">
        <x:v>Accepted</x:v>
      </x:c>
      <x:c r="P159" s="2" t="str">
        <x:v>S001</x:v>
      </x:c>
      <x:c r="Q159" s="2" t="str">
        <x:v>DEV001</x:v>
      </x:c>
      <x:c r="R159" s="2" t="n">
        <x:v>12</x:v>
      </x:c>
      <x:c r="S159" s="2" t="str">
        <x:v>Online</x:v>
      </x:c>
      <x:c r="T159" s="2" t="str">
        <x:v>Synced</x:v>
      </x:c>
    </x:row>
    <x:row r="160" ht="21" customHeight="1">
      <x:c r="A160" s="2" t="str">
        <x:v>EV000218</x:v>
      </x:c>
      <x:c r="B160" s="2" t="str">
        <x:v>T20261004-2-2</x:v>
      </x:c>
      <x:c r="C160" s="2" t="str">
        <x:v>ST050</x:v>
      </x:c>
      <x:c r="D160" s="2" t="str">
        <x:v>ca49474881a6395691ac81bd08684ed6</x:v>
      </x:c>
      <x:c r="E160" s="2" t="str">
        <x:v>CHECK_OUT</x:v>
      </x:c>
      <x:c r="F160" s="8" t="n">
        <x:v>46299.44961805555</x:v>
      </x:c>
      <x:c r="G160" s="8" t="n">
        <x:v>46299.4496412037</x:v>
      </x:c>
      <x:c r="H160" s="2" t="str">
        <x:v>R2S1</x:v>
      </x:c>
      <x:c r="I160" s="9" t="n">
        <x:v>25.28</x:v>
      </x:c>
      <x:c r="J160" s="9" t="n">
        <x:v>51.498999999999995</x:v>
      </x:c>
      <x:c r="K160" s="2" t="n">
        <x:v>8</x:v>
      </x:c>
      <x:c r="L160" s="2" t="str">
        <x:v>Valid</x:v>
      </x:c>
      <x:c r="M160" s="2" t="str">
        <x:v>QR</x:v>
      </x:c>
      <x:c r="N160" s="2" t="n">
        <x:v>1</x:v>
      </x:c>
      <x:c r="O160" s="2" t="str">
        <x:v>Accepted</x:v>
      </x:c>
      <x:c r="P160" s="2" t="str">
        <x:v>S002</x:v>
      </x:c>
      <x:c r="Q160" s="2" t="str">
        <x:v>DEV002</x:v>
      </x:c>
      <x:c r="R160" s="2" t="n">
        <x:v>14</x:v>
      </x:c>
      <x:c r="S160" s="2" t="str">
        <x:v>Online</x:v>
      </x:c>
      <x:c r="T160" s="2" t="str">
        <x:v>Synced</x:v>
      </x:c>
    </x:row>
    <x:row r="161" ht="21" customHeight="1">
      <x:c r="A161" s="2" t="str">
        <x:v>EV000378</x:v>
      </x:c>
      <x:c r="B161" s="2" t="str">
        <x:v>T20261004-2-3</x:v>
      </x:c>
      <x:c r="C161" s="2" t="str">
        <x:v>ST090</x:v>
      </x:c>
      <x:c r="D161" s="2" t="str">
        <x:v>3b91252475551a374010825e1f05642c</x:v>
      </x:c>
      <x:c r="E161" s="2" t="str">
        <x:v>CHECK_OUT</x:v>
      </x:c>
      <x:c r="F161" s="8" t="n">
        <x:v>46299.44961805555</x:v>
      </x:c>
      <x:c r="G161" s="8" t="n">
        <x:v>46299.4496412037</x:v>
      </x:c>
      <x:c r="H161" s="2" t="str">
        <x:v>R3S1</x:v>
      </x:c>
      <x:c r="I161" s="9" t="n">
        <x:v>25.289</x:v>
      </x:c>
      <x:c r="J161" s="9" t="n">
        <x:v>51.507</x:v>
      </x:c>
      <x:c r="K161" s="2" t="n">
        <x:v>8</x:v>
      </x:c>
      <x:c r="L161" s="2" t="str">
        <x:v>Valid</x:v>
      </x:c>
      <x:c r="M161" s="2" t="str">
        <x:v>QR</x:v>
      </x:c>
      <x:c r="N161" s="2" t="n">
        <x:v>1</x:v>
      </x:c>
      <x:c r="O161" s="2" t="str">
        <x:v>Accepted</x:v>
      </x:c>
      <x:c r="P161" s="2" t="str">
        <x:v>S003</x:v>
      </x:c>
      <x:c r="Q161" s="2" t="str">
        <x:v>DEV003</x:v>
      </x:c>
      <x:c r="R161" s="2" t="n">
        <x:v>14</x:v>
      </x:c>
      <x:c r="S161" s="2" t="str">
        <x:v>Online</x:v>
      </x:c>
      <x:c r="T161" s="2" t="str">
        <x:v>Synced</x:v>
      </x:c>
    </x:row>
    <x:row r="162" ht="21" customHeight="1">
      <x:c r="A162" s="2" t="str">
        <x:v>EV000042</x:v>
      </x:c>
      <x:c r="B162" s="2" t="str">
        <x:v>T20261004-2-1</x:v>
      </x:c>
      <x:c r="C162" s="2" t="str">
        <x:v>ST002</x:v>
      </x:c>
      <x:c r="D162" s="2" t="str">
        <x:v>c9302a76d79e524442f3775978bb57a1</x:v>
      </x:c>
      <x:c r="E162" s="2" t="str">
        <x:v>CHECK_OUT</x:v>
      </x:c>
      <x:c r="F162" s="8" t="n">
        <x:v>46299.45350694445</x:v>
      </x:c>
      <x:c r="G162" s="8" t="n">
        <x:v>46299.45353009259</x:v>
      </x:c>
      <x:c r="H162" s="2" t="str">
        <x:v>R1S2</x:v>
      </x:c>
      <x:c r="I162" s="9" t="n">
        <x:v>25.273000000000003</x:v>
      </x:c>
      <x:c r="J162" s="9" t="n">
        <x:v>51.494</x:v>
      </x:c>
      <x:c r="K162" s="2" t="n">
        <x:v>8</x:v>
      </x:c>
      <x:c r="L162" s="2" t="str">
        <x:v>Valid</x:v>
      </x:c>
      <x:c r="M162" s="2" t="str">
        <x:v>QR</x:v>
      </x:c>
      <x:c r="N162" s="2" t="n">
        <x:v>1</x:v>
      </x:c>
      <x:c r="O162" s="2" t="str">
        <x:v>Accepted</x:v>
      </x:c>
      <x:c r="P162" s="2" t="str">
        <x:v>S001</x:v>
      </x:c>
      <x:c r="Q162" s="2" t="str">
        <x:v>DEV001</x:v>
      </x:c>
      <x:c r="R162" s="2" t="n">
        <x:v>13</x:v>
      </x:c>
      <x:c r="S162" s="2" t="str">
        <x:v>Online</x:v>
      </x:c>
      <x:c r="T162" s="2" t="str">
        <x:v>Synced</x:v>
      </x:c>
    </x:row>
    <x:row r="163" ht="21" customHeight="1">
      <x:c r="A163" s="2" t="str">
        <x:v>EV000202</x:v>
      </x:c>
      <x:c r="B163" s="2" t="str">
        <x:v>T20261004-2-2</x:v>
      </x:c>
      <x:c r="C163" s="2" t="str">
        <x:v>ST042</x:v>
      </x:c>
      <x:c r="D163" s="2" t="str">
        <x:v>9cf3254a8e8c8233e36089501cd1bc60</x:v>
      </x:c>
      <x:c r="E163" s="2" t="str">
        <x:v>CHECK_OUT</x:v>
      </x:c>
      <x:c r="F163" s="8" t="n">
        <x:v>46299.45350694445</x:v>
      </x:c>
      <x:c r="G163" s="8" t="n">
        <x:v>46299.45353009259</x:v>
      </x:c>
      <x:c r="H163" s="2" t="str">
        <x:v>R2S2</x:v>
      </x:c>
      <x:c r="I163" s="9" t="n">
        <x:v>25.282000000000004</x:v>
      </x:c>
      <x:c r="J163" s="9" t="n">
        <x:v>51.501999999999995</x:v>
      </x:c>
      <x:c r="K163" s="2" t="n">
        <x:v>8</x:v>
      </x:c>
      <x:c r="L163" s="2" t="str">
        <x:v>Valid</x:v>
      </x:c>
      <x:c r="M163" s="2" t="str">
        <x:v>QR</x:v>
      </x:c>
      <x:c r="N163" s="2" t="n">
        <x:v>1</x:v>
      </x:c>
      <x:c r="O163" s="2" t="str">
        <x:v>Accepted</x:v>
      </x:c>
      <x:c r="P163" s="2" t="str">
        <x:v>S002</x:v>
      </x:c>
      <x:c r="Q163" s="2" t="str">
        <x:v>DEV002</x:v>
      </x:c>
      <x:c r="R163" s="2" t="n">
        <x:v>15</x:v>
      </x:c>
      <x:c r="S163" s="2" t="str">
        <x:v>Online</x:v>
      </x:c>
      <x:c r="T163" s="2" t="str">
        <x:v>Synced</x:v>
      </x:c>
    </x:row>
    <x:row r="164" ht="21" customHeight="1">
      <x:c r="A164" s="2" t="str">
        <x:v>EV000362</x:v>
      </x:c>
      <x:c r="B164" s="2" t="str">
        <x:v>T20261004-2-3</x:v>
      </x:c>
      <x:c r="C164" s="2" t="str">
        <x:v>ST082</x:v>
      </x:c>
      <x:c r="D164" s="2" t="str">
        <x:v>fb7e28e2da3ace738571a6966bcaaec0</x:v>
      </x:c>
      <x:c r="E164" s="2" t="str">
        <x:v>CHECK_OUT</x:v>
      </x:c>
      <x:c r="F164" s="8" t="n">
        <x:v>46299.45350694445</x:v>
      </x:c>
      <x:c r="G164" s="8" t="n">
        <x:v>46299.45353009259</x:v>
      </x:c>
      <x:c r="H164" s="2" t="str">
        <x:v>R3S2</x:v>
      </x:c>
      <x:c r="I164" s="9" t="n">
        <x:v>25.291000000000004</x:v>
      </x:c>
      <x:c r="J164" s="9" t="n">
        <x:v>51.51</x:v>
      </x:c>
      <x:c r="K164" s="2" t="n">
        <x:v>8</x:v>
      </x:c>
      <x:c r="L164" s="2" t="str">
        <x:v>Valid</x:v>
      </x:c>
      <x:c r="M164" s="2" t="str">
        <x:v>QR</x:v>
      </x:c>
      <x:c r="N164" s="2" t="n">
        <x:v>1</x:v>
      </x:c>
      <x:c r="O164" s="2" t="str">
        <x:v>Accepted</x:v>
      </x:c>
      <x:c r="P164" s="2" t="str">
        <x:v>S003</x:v>
      </x:c>
      <x:c r="Q164" s="2" t="str">
        <x:v>DEV003</x:v>
      </x:c>
      <x:c r="R164" s="2" t="n">
        <x:v>15</x:v>
      </x:c>
      <x:c r="S164" s="2" t="str">
        <x:v>Online</x:v>
      </x:c>
      <x:c r="T164" s="2" t="str">
        <x:v>Synced</x:v>
      </x:c>
    </x:row>
    <x:row r="165" ht="21" customHeight="1">
      <x:c r="A165" s="2" t="str">
        <x:v>EV000048</x:v>
      </x:c>
      <x:c r="B165" s="2" t="str">
        <x:v>T20261004-2-1</x:v>
      </x:c>
      <x:c r="C165" s="2" t="str">
        <x:v>ST005</x:v>
      </x:c>
      <x:c r="D165" s="2" t="str">
        <x:v>426727a8a0b9d51694a399a005c786cf</x:v>
      </x:c>
      <x:c r="E165" s="2" t="str">
        <x:v>CHECK_OUT</x:v>
      </x:c>
      <x:c r="F165" s="8" t="n">
        <x:v>46299.453611111116</x:v>
      </x:c>
      <x:c r="G165" s="8" t="n">
        <x:v>46299.45363425926</x:v>
      </x:c>
      <x:c r="H165" s="2" t="str">
        <x:v>R1S2</x:v>
      </x:c>
      <x:c r="I165" s="9" t="n">
        <x:v>25.273000000000003</x:v>
      </x:c>
      <x:c r="J165" s="9" t="n">
        <x:v>51.494</x:v>
      </x:c>
      <x:c r="K165" s="2" t="n">
        <x:v>8</x:v>
      </x:c>
      <x:c r="L165" s="2" t="str">
        <x:v>Valid</x:v>
      </x:c>
      <x:c r="M165" s="2" t="str">
        <x:v>QR</x:v>
      </x:c>
      <x:c r="N165" s="2" t="n">
        <x:v>1</x:v>
      </x:c>
      <x:c r="O165" s="2" t="str">
        <x:v>Accepted</x:v>
      </x:c>
      <x:c r="P165" s="2" t="str">
        <x:v>S001</x:v>
      </x:c>
      <x:c r="Q165" s="2" t="str">
        <x:v>DEV001</x:v>
      </x:c>
      <x:c r="R165" s="2" t="n">
        <x:v>14</x:v>
      </x:c>
      <x:c r="S165" s="2" t="str">
        <x:v>Online</x:v>
      </x:c>
      <x:c r="T165" s="2" t="str">
        <x:v>Synced</x:v>
      </x:c>
    </x:row>
    <x:row r="166" ht="21" customHeight="1">
      <x:c r="A166" s="2" t="str">
        <x:v>EV000208</x:v>
      </x:c>
      <x:c r="B166" s="2" t="str">
        <x:v>T20261004-2-2</x:v>
      </x:c>
      <x:c r="C166" s="2" t="str">
        <x:v>ST045</x:v>
      </x:c>
      <x:c r="D166" s="2" t="str">
        <x:v>10d8df8a06a7c869bcaa1adbc88c05bc</x:v>
      </x:c>
      <x:c r="E166" s="2" t="str">
        <x:v>CHECK_OUT</x:v>
      </x:c>
      <x:c r="F166" s="8" t="n">
        <x:v>46299.453611111116</x:v>
      </x:c>
      <x:c r="G166" s="8" t="n">
        <x:v>46299.45363425926</x:v>
      </x:c>
      <x:c r="H166" s="2" t="str">
        <x:v>R2S2</x:v>
      </x:c>
      <x:c r="I166" s="9" t="n">
        <x:v>25.282000000000004</x:v>
      </x:c>
      <x:c r="J166" s="9" t="n">
        <x:v>51.501999999999995</x:v>
      </x:c>
      <x:c r="K166" s="2" t="n">
        <x:v>8</x:v>
      </x:c>
      <x:c r="L166" s="2" t="str">
        <x:v>Valid</x:v>
      </x:c>
      <x:c r="M166" s="2" t="str">
        <x:v>QR</x:v>
      </x:c>
      <x:c r="N166" s="2" t="n">
        <x:v>1</x:v>
      </x:c>
      <x:c r="O166" s="2" t="str">
        <x:v>Accepted</x:v>
      </x:c>
      <x:c r="P166" s="2" t="str">
        <x:v>S002</x:v>
      </x:c>
      <x:c r="Q166" s="2" t="str">
        <x:v>DEV002</x:v>
      </x:c>
      <x:c r="R166" s="2" t="n">
        <x:v>16</x:v>
      </x:c>
      <x:c r="S166" s="2" t="str">
        <x:v>Online</x:v>
      </x:c>
      <x:c r="T166" s="2" t="str">
        <x:v>Synced</x:v>
      </x:c>
    </x:row>
    <x:row r="167" ht="21" customHeight="1">
      <x:c r="A167" s="2" t="str">
        <x:v>EV000368</x:v>
      </x:c>
      <x:c r="B167" s="2" t="str">
        <x:v>T20261004-2-3</x:v>
      </x:c>
      <x:c r="C167" s="2" t="str">
        <x:v>ST085</x:v>
      </x:c>
      <x:c r="D167" s="2" t="str">
        <x:v>80babdd572dde222a75b7ad8f0fe7ffa</x:v>
      </x:c>
      <x:c r="E167" s="2" t="str">
        <x:v>CHECK_OUT</x:v>
      </x:c>
      <x:c r="F167" s="8" t="n">
        <x:v>46299.453611111116</x:v>
      </x:c>
      <x:c r="G167" s="8" t="n">
        <x:v>46299.45363425926</x:v>
      </x:c>
      <x:c r="H167" s="2" t="str">
        <x:v>R3S2</x:v>
      </x:c>
      <x:c r="I167" s="9" t="n">
        <x:v>25.291000000000004</x:v>
      </x:c>
      <x:c r="J167" s="9" t="n">
        <x:v>51.51</x:v>
      </x:c>
      <x:c r="K167" s="2" t="n">
        <x:v>8</x:v>
      </x:c>
      <x:c r="L167" s="2" t="str">
        <x:v>Valid</x:v>
      </x:c>
      <x:c r="M167" s="2" t="str">
        <x:v>QR</x:v>
      </x:c>
      <x:c r="N167" s="2" t="n">
        <x:v>1</x:v>
      </x:c>
      <x:c r="O167" s="2" t="str">
        <x:v>Accepted</x:v>
      </x:c>
      <x:c r="P167" s="2" t="str">
        <x:v>S003</x:v>
      </x:c>
      <x:c r="Q167" s="2" t="str">
        <x:v>DEV003</x:v>
      </x:c>
      <x:c r="R167" s="2" t="n">
        <x:v>16</x:v>
      </x:c>
      <x:c r="S167" s="2" t="str">
        <x:v>Online</x:v>
      </x:c>
      <x:c r="T167" s="2" t="str">
        <x:v>Synced</x:v>
      </x:c>
    </x:row>
    <x:row r="168" ht="21" customHeight="1">
      <x:c r="A168" s="2" t="str">
        <x:v>EV000054</x:v>
      </x:c>
      <x:c r="B168" s="2" t="str">
        <x:v>T20261004-2-1</x:v>
      </x:c>
      <x:c r="C168" s="2" t="str">
        <x:v>ST008</x:v>
      </x:c>
      <x:c r="D168" s="2" t="str">
        <x:v>ac4baf5d317844907005c691f401c42d</x:v>
      </x:c>
      <x:c r="E168" s="2" t="str">
        <x:v>CHECK_OUT</x:v>
      </x:c>
      <x:c r="F168" s="8" t="n">
        <x:v>46299.45371527778</x:v>
      </x:c>
      <x:c r="G168" s="8" t="n">
        <x:v>46299.453738425924</x:v>
      </x:c>
      <x:c r="H168" s="2" t="str">
        <x:v>R1S2</x:v>
      </x:c>
      <x:c r="I168" s="9" t="n">
        <x:v>25.273000000000003</x:v>
      </x:c>
      <x:c r="J168" s="9" t="n">
        <x:v>51.494</x:v>
      </x:c>
      <x:c r="K168" s="2" t="n">
        <x:v>8</x:v>
      </x:c>
      <x:c r="L168" s="2" t="str">
        <x:v>Valid</x:v>
      </x:c>
      <x:c r="M168" s="2" t="str">
        <x:v>QR</x:v>
      </x:c>
      <x:c r="N168" s="2" t="n">
        <x:v>1</x:v>
      </x:c>
      <x:c r="O168" s="2" t="str">
        <x:v>Accepted</x:v>
      </x:c>
      <x:c r="P168" s="2" t="str">
        <x:v>S001</x:v>
      </x:c>
      <x:c r="Q168" s="2" t="str">
        <x:v>DEV001</x:v>
      </x:c>
      <x:c r="R168" s="2" t="n">
        <x:v>15</x:v>
      </x:c>
      <x:c r="S168" s="2" t="str">
        <x:v>Online</x:v>
      </x:c>
      <x:c r="T168" s="2" t="str">
        <x:v>Synced</x:v>
      </x:c>
    </x:row>
    <x:row r="169" ht="21" customHeight="1">
      <x:c r="A169" s="2" t="str">
        <x:v>EV000214</x:v>
      </x:c>
      <x:c r="B169" s="2" t="str">
        <x:v>T20261004-2-2</x:v>
      </x:c>
      <x:c r="C169" s="2" t="str">
        <x:v>ST048</x:v>
      </x:c>
      <x:c r="D169" s="2" t="str">
        <x:v>e3a3009a9bd3946e21f417e93203aa79</x:v>
      </x:c>
      <x:c r="E169" s="2" t="str">
        <x:v>CHECK_OUT</x:v>
      </x:c>
      <x:c r="F169" s="8" t="n">
        <x:v>46299.45371527778</x:v>
      </x:c>
      <x:c r="G169" s="8" t="n">
        <x:v>46299.453738425924</x:v>
      </x:c>
      <x:c r="H169" s="2" t="str">
        <x:v>R2S2</x:v>
      </x:c>
      <x:c r="I169" s="9" t="n">
        <x:v>25.282000000000004</x:v>
      </x:c>
      <x:c r="J169" s="9" t="n">
        <x:v>51.501999999999995</x:v>
      </x:c>
      <x:c r="K169" s="2" t="n">
        <x:v>8</x:v>
      </x:c>
      <x:c r="L169" s="2" t="str">
        <x:v>Valid</x:v>
      </x:c>
      <x:c r="M169" s="2" t="str">
        <x:v>QR</x:v>
      </x:c>
      <x:c r="N169" s="2" t="n">
        <x:v>1</x:v>
      </x:c>
      <x:c r="O169" s="2" t="str">
        <x:v>Accepted</x:v>
      </x:c>
      <x:c r="P169" s="2" t="str">
        <x:v>S002</x:v>
      </x:c>
      <x:c r="Q169" s="2" t="str">
        <x:v>DEV002</x:v>
      </x:c>
      <x:c r="R169" s="2" t="n">
        <x:v>17</x:v>
      </x:c>
      <x:c r="S169" s="2" t="str">
        <x:v>Online</x:v>
      </x:c>
      <x:c r="T169" s="2" t="str">
        <x:v>Synced</x:v>
      </x:c>
    </x:row>
    <x:row r="170" ht="21" customHeight="1">
      <x:c r="A170" s="2" t="str">
        <x:v>EV000374</x:v>
      </x:c>
      <x:c r="B170" s="2" t="str">
        <x:v>T20261004-2-3</x:v>
      </x:c>
      <x:c r="C170" s="2" t="str">
        <x:v>ST088</x:v>
      </x:c>
      <x:c r="D170" s="2" t="str">
        <x:v>b227769e0483e6c28eed8e8d448bfbbe</x:v>
      </x:c>
      <x:c r="E170" s="2" t="str">
        <x:v>CHECK_OUT</x:v>
      </x:c>
      <x:c r="F170" s="8" t="n">
        <x:v>46299.45371527778</x:v>
      </x:c>
      <x:c r="G170" s="8" t="n">
        <x:v>46299.453738425924</x:v>
      </x:c>
      <x:c r="H170" s="2" t="str">
        <x:v>R3S2</x:v>
      </x:c>
      <x:c r="I170" s="9" t="n">
        <x:v>25.291000000000004</x:v>
      </x:c>
      <x:c r="J170" s="9" t="n">
        <x:v>51.51</x:v>
      </x:c>
      <x:c r="K170" s="2" t="n">
        <x:v>8</x:v>
      </x:c>
      <x:c r="L170" s="2" t="str">
        <x:v>Valid</x:v>
      </x:c>
      <x:c r="M170" s="2" t="str">
        <x:v>QR</x:v>
      </x:c>
      <x:c r="N170" s="2" t="n">
        <x:v>1</x:v>
      </x:c>
      <x:c r="O170" s="2" t="str">
        <x:v>Accepted</x:v>
      </x:c>
      <x:c r="P170" s="2" t="str">
        <x:v>S003</x:v>
      </x:c>
      <x:c r="Q170" s="2" t="str">
        <x:v>DEV003</x:v>
      </x:c>
      <x:c r="R170" s="2" t="n">
        <x:v>17</x:v>
      </x:c>
      <x:c r="S170" s="2" t="str">
        <x:v>Online</x:v>
      </x:c>
      <x:c r="T170" s="2" t="str">
        <x:v>Synced</x:v>
      </x:c>
    </x:row>
    <x:row r="171" ht="21" customHeight="1">
      <x:c r="A171" s="2" t="str">
        <x:v>EV000044</x:v>
      </x:c>
      <x:c r="B171" s="2" t="str">
        <x:v>T20261004-2-1</x:v>
      </x:c>
      <x:c r="C171" s="2" t="str">
        <x:v>ST003</x:v>
      </x:c>
      <x:c r="D171" s="2" t="str">
        <x:v>7598e98213cb52db1085c9a94fae1915</x:v>
      </x:c>
      <x:c r="E171" s="2" t="str">
        <x:v>CHECK_OUT</x:v>
      </x:c>
      <x:c r="F171" s="8" t="n">
        <x:v>46299.457708333335</x:v>
      </x:c>
      <x:c r="G171" s="8" t="n">
        <x:v>46299.45773148148</x:v>
      </x:c>
      <x:c r="H171" s="2" t="str">
        <x:v>R1S3</x:v>
      </x:c>
      <x:c r="I171" s="9" t="n">
        <x:v>25.275000000000002</x:v>
      </x:c>
      <x:c r="J171" s="9" t="n">
        <x:v>51.497</x:v>
      </x:c>
      <x:c r="K171" s="2" t="n">
        <x:v>8</x:v>
      </x:c>
      <x:c r="L171" s="2" t="str">
        <x:v>Valid</x:v>
      </x:c>
      <x:c r="M171" s="2" t="str">
        <x:v>QR</x:v>
      </x:c>
      <x:c r="N171" s="2" t="n">
        <x:v>1</x:v>
      </x:c>
      <x:c r="O171" s="2" t="str">
        <x:v>Accepted</x:v>
      </x:c>
      <x:c r="P171" s="2" t="str">
        <x:v>S001</x:v>
      </x:c>
      <x:c r="Q171" s="2" t="str">
        <x:v>DEV001</x:v>
      </x:c>
      <x:c r="R171" s="2" t="n">
        <x:v>16</x:v>
      </x:c>
      <x:c r="S171" s="2" t="str">
        <x:v>Online</x:v>
      </x:c>
      <x:c r="T171" s="2" t="str">
        <x:v>Synced</x:v>
      </x:c>
    </x:row>
    <x:row r="172" ht="21" customHeight="1">
      <x:c r="A172" s="2" t="str">
        <x:v>EV000204</x:v>
      </x:c>
      <x:c r="B172" s="2" t="str">
        <x:v>T20261004-2-2</x:v>
      </x:c>
      <x:c r="C172" s="2" t="str">
        <x:v>ST043</x:v>
      </x:c>
      <x:c r="D172" s="2" t="str">
        <x:v>db51093fe9dac44d59345ee12f7e9c56</x:v>
      </x:c>
      <x:c r="E172" s="2" t="str">
        <x:v>CHECK_OUT</x:v>
      </x:c>
      <x:c r="F172" s="8" t="n">
        <x:v>46299.457708333335</x:v>
      </x:c>
      <x:c r="G172" s="8" t="n">
        <x:v>46299.45773148148</x:v>
      </x:c>
      <x:c r="H172" s="2" t="str">
        <x:v>R2S3</x:v>
      </x:c>
      <x:c r="I172" s="9" t="n">
        <x:v>25.284000000000002</x:v>
      </x:c>
      <x:c r="J172" s="9" t="n">
        <x:v>51.504999999999995</x:v>
      </x:c>
      <x:c r="K172" s="2" t="n">
        <x:v>8</x:v>
      </x:c>
      <x:c r="L172" s="2" t="str">
        <x:v>Valid</x:v>
      </x:c>
      <x:c r="M172" s="2" t="str">
        <x:v>QR</x:v>
      </x:c>
      <x:c r="N172" s="2" t="n">
        <x:v>1</x:v>
      </x:c>
      <x:c r="O172" s="2" t="str">
        <x:v>Accepted</x:v>
      </x:c>
      <x:c r="P172" s="2" t="str">
        <x:v>S002</x:v>
      </x:c>
      <x:c r="Q172" s="2" t="str">
        <x:v>DEV002</x:v>
      </x:c>
      <x:c r="R172" s="2" t="n">
        <x:v>18</x:v>
      </x:c>
      <x:c r="S172" s="2" t="str">
        <x:v>Online</x:v>
      </x:c>
      <x:c r="T172" s="2" t="str">
        <x:v>Synced</x:v>
      </x:c>
    </x:row>
    <x:row r="173" ht="21" customHeight="1">
      <x:c r="A173" s="2" t="str">
        <x:v>EV000364</x:v>
      </x:c>
      <x:c r="B173" s="2" t="str">
        <x:v>T20261004-2-3</x:v>
      </x:c>
      <x:c r="C173" s="2" t="str">
        <x:v>ST083</x:v>
      </x:c>
      <x:c r="D173" s="2" t="str">
        <x:v>19cc474730ce4d97be031814010d13a9</x:v>
      </x:c>
      <x:c r="E173" s="2" t="str">
        <x:v>CHECK_OUT</x:v>
      </x:c>
      <x:c r="F173" s="8" t="n">
        <x:v>46299.457708333335</x:v>
      </x:c>
      <x:c r="G173" s="8" t="n">
        <x:v>46299.45773148148</x:v>
      </x:c>
      <x:c r="H173" s="2" t="str">
        <x:v>R3S3</x:v>
      </x:c>
      <x:c r="I173" s="9" t="n">
        <x:v>25.293000000000003</x:v>
      </x:c>
      <x:c r="J173" s="9" t="n">
        <x:v>51.513</x:v>
      </x:c>
      <x:c r="K173" s="2" t="n">
        <x:v>8</x:v>
      </x:c>
      <x:c r="L173" s="2" t="str">
        <x:v>Valid</x:v>
      </x:c>
      <x:c r="M173" s="2" t="str">
        <x:v>QR</x:v>
      </x:c>
      <x:c r="N173" s="2" t="n">
        <x:v>1</x:v>
      </x:c>
      <x:c r="O173" s="2" t="str">
        <x:v>Accepted</x:v>
      </x:c>
      <x:c r="P173" s="2" t="str">
        <x:v>S003</x:v>
      </x:c>
      <x:c r="Q173" s="2" t="str">
        <x:v>DEV003</x:v>
      </x:c>
      <x:c r="R173" s="2" t="n">
        <x:v>18</x:v>
      </x:c>
      <x:c r="S173" s="2" t="str">
        <x:v>Online</x:v>
      </x:c>
      <x:c r="T173" s="2" t="str">
        <x:v>Synced</x:v>
      </x:c>
    </x:row>
    <x:row r="174" ht="21" customHeight="1">
      <x:c r="A174" s="2" t="str">
        <x:v>EV000050</x:v>
      </x:c>
      <x:c r="B174" s="2" t="str">
        <x:v>T20261004-2-1</x:v>
      </x:c>
      <x:c r="C174" s="2" t="str">
        <x:v>ST006</x:v>
      </x:c>
      <x:c r="D174" s="2" t="str">
        <x:v>8edd7f2c984bf2eb5adf75591d6f1e9c</x:v>
      </x:c>
      <x:c r="E174" s="2" t="str">
        <x:v>CHECK_OUT</x:v>
      </x:c>
      <x:c r="F174" s="8" t="n">
        <x:v>46299.4578125</x:v>
      </x:c>
      <x:c r="G174" s="8" t="n">
        <x:v>46299.45783564814</x:v>
      </x:c>
      <x:c r="H174" s="2" t="str">
        <x:v>R1S3</x:v>
      </x:c>
      <x:c r="I174" s="9" t="n">
        <x:v>25.275000000000002</x:v>
      </x:c>
      <x:c r="J174" s="9" t="n">
        <x:v>51.497</x:v>
      </x:c>
      <x:c r="K174" s="2" t="n">
        <x:v>8</x:v>
      </x:c>
      <x:c r="L174" s="2" t="str">
        <x:v>Valid</x:v>
      </x:c>
      <x:c r="M174" s="2" t="str">
        <x:v>QR</x:v>
      </x:c>
      <x:c r="N174" s="2" t="n">
        <x:v>1</x:v>
      </x:c>
      <x:c r="O174" s="2" t="str">
        <x:v>Accepted</x:v>
      </x:c>
      <x:c r="P174" s="2" t="str">
        <x:v>S001</x:v>
      </x:c>
      <x:c r="Q174" s="2" t="str">
        <x:v>DEV001</x:v>
      </x:c>
      <x:c r="R174" s="2" t="n">
        <x:v>17</x:v>
      </x:c>
      <x:c r="S174" s="2" t="str">
        <x:v>Online</x:v>
      </x:c>
      <x:c r="T174" s="2" t="str">
        <x:v>Synced</x:v>
      </x:c>
    </x:row>
    <x:row r="175" ht="21" customHeight="1">
      <x:c r="A175" s="2" t="str">
        <x:v>EV000210</x:v>
      </x:c>
      <x:c r="B175" s="2" t="str">
        <x:v>T20261004-2-2</x:v>
      </x:c>
      <x:c r="C175" s="2" t="str">
        <x:v>ST046</x:v>
      </x:c>
      <x:c r="D175" s="2" t="str">
        <x:v>82365992d443d056f10fa7522ac29057</x:v>
      </x:c>
      <x:c r="E175" s="2" t="str">
        <x:v>CHECK_OUT</x:v>
      </x:c>
      <x:c r="F175" s="8" t="n">
        <x:v>46299.4578125</x:v>
      </x:c>
      <x:c r="G175" s="8" t="n">
        <x:v>46299.45783564814</x:v>
      </x:c>
      <x:c r="H175" s="2" t="str">
        <x:v>R2S3</x:v>
      </x:c>
      <x:c r="I175" s="9" t="n">
        <x:v>25.284000000000002</x:v>
      </x:c>
      <x:c r="J175" s="9" t="n">
        <x:v>51.504999999999995</x:v>
      </x:c>
      <x:c r="K175" s="2" t="n">
        <x:v>8</x:v>
      </x:c>
      <x:c r="L175" s="2" t="str">
        <x:v>Valid</x:v>
      </x:c>
      <x:c r="M175" s="2" t="str">
        <x:v>QR</x:v>
      </x:c>
      <x:c r="N175" s="2" t="n">
        <x:v>1</x:v>
      </x:c>
      <x:c r="O175" s="2" t="str">
        <x:v>Accepted</x:v>
      </x:c>
      <x:c r="P175" s="2" t="str">
        <x:v>S002</x:v>
      </x:c>
      <x:c r="Q175" s="2" t="str">
        <x:v>DEV002</x:v>
      </x:c>
      <x:c r="R175" s="2" t="n">
        <x:v>19</x:v>
      </x:c>
      <x:c r="S175" s="2" t="str">
        <x:v>Online</x:v>
      </x:c>
      <x:c r="T175" s="2" t="str">
        <x:v>Synced</x:v>
      </x:c>
    </x:row>
    <x:row r="176" ht="21" customHeight="1">
      <x:c r="A176" s="2" t="str">
        <x:v>EV000370</x:v>
      </x:c>
      <x:c r="B176" s="2" t="str">
        <x:v>T20261004-2-3</x:v>
      </x:c>
      <x:c r="C176" s="2" t="str">
        <x:v>ST086</x:v>
      </x:c>
      <x:c r="D176" s="2" t="str">
        <x:v>33c5dfd0f17fcbe34d50fd9b0a0c0e5b</x:v>
      </x:c>
      <x:c r="E176" s="2" t="str">
        <x:v>CHECK_OUT</x:v>
      </x:c>
      <x:c r="F176" s="8" t="n">
        <x:v>46299.4578125</x:v>
      </x:c>
      <x:c r="G176" s="8" t="n">
        <x:v>46299.45783564814</x:v>
      </x:c>
      <x:c r="H176" s="2" t="str">
        <x:v>R3S3</x:v>
      </x:c>
      <x:c r="I176" s="9" t="n">
        <x:v>25.293000000000003</x:v>
      </x:c>
      <x:c r="J176" s="9" t="n">
        <x:v>51.513</x:v>
      </x:c>
      <x:c r="K176" s="2" t="n">
        <x:v>8</x:v>
      </x:c>
      <x:c r="L176" s="2" t="str">
        <x:v>Valid</x:v>
      </x:c>
      <x:c r="M176" s="2" t="str">
        <x:v>QR</x:v>
      </x:c>
      <x:c r="N176" s="2" t="n">
        <x:v>1</x:v>
      </x:c>
      <x:c r="O176" s="2" t="str">
        <x:v>Accepted</x:v>
      </x:c>
      <x:c r="P176" s="2" t="str">
        <x:v>S003</x:v>
      </x:c>
      <x:c r="Q176" s="2" t="str">
        <x:v>DEV003</x:v>
      </x:c>
      <x:c r="R176" s="2" t="n">
        <x:v>19</x:v>
      </x:c>
      <x:c r="S176" s="2" t="str">
        <x:v>Online</x:v>
      </x:c>
      <x:c r="T176" s="2" t="str">
        <x:v>Synced</x:v>
      </x:c>
    </x:row>
    <x:row r="177" ht="21" customHeight="1">
      <x:c r="A177" s="2" t="str">
        <x:v>EV000056</x:v>
      </x:c>
      <x:c r="B177" s="2" t="str">
        <x:v>T20261004-2-1</x:v>
      </x:c>
      <x:c r="C177" s="2" t="str">
        <x:v>ST009</x:v>
      </x:c>
      <x:c r="D177" s="2" t="str">
        <x:v>fdc849f07f4ba12ab82f6bed87d7275d</x:v>
      </x:c>
      <x:c r="E177" s="2" t="str">
        <x:v>CHECK_OUT</x:v>
      </x:c>
      <x:c r="F177" s="8" t="n">
        <x:v>46299.457916666666</x:v>
      </x:c>
      <x:c r="G177" s="8" t="n">
        <x:v>46299.45793981481</x:v>
      </x:c>
      <x:c r="H177" s="2" t="str">
        <x:v>R1S3</x:v>
      </x:c>
      <x:c r="I177" s="9" t="n">
        <x:v>25.275000000000002</x:v>
      </x:c>
      <x:c r="J177" s="9" t="n">
        <x:v>51.497</x:v>
      </x:c>
      <x:c r="K177" s="2" t="n">
        <x:v>8</x:v>
      </x:c>
      <x:c r="L177" s="2" t="str">
        <x:v>Valid</x:v>
      </x:c>
      <x:c r="M177" s="2" t="str">
        <x:v>QR</x:v>
      </x:c>
      <x:c r="N177" s="2" t="n">
        <x:v>1</x:v>
      </x:c>
      <x:c r="O177" s="2" t="str">
        <x:v>Accepted</x:v>
      </x:c>
      <x:c r="P177" s="2" t="str">
        <x:v>S001</x:v>
      </x:c>
      <x:c r="Q177" s="2" t="str">
        <x:v>DEV001</x:v>
      </x:c>
      <x:c r="R177" s="2" t="n">
        <x:v>18</x:v>
      </x:c>
      <x:c r="S177" s="2" t="str">
        <x:v>Online</x:v>
      </x:c>
      <x:c r="T177" s="2" t="str">
        <x:v>Synced</x:v>
      </x:c>
    </x:row>
    <x:row r="178" ht="21" customHeight="1">
      <x:c r="A178" s="2" t="str">
        <x:v>EV000216</x:v>
      </x:c>
      <x:c r="B178" s="2" t="str">
        <x:v>T20261004-2-2</x:v>
      </x:c>
      <x:c r="C178" s="2" t="str">
        <x:v>ST049</x:v>
      </x:c>
      <x:c r="D178" s="2" t="str">
        <x:v>aac0da9ca028b4b4fe1fc2c1eb298502</x:v>
      </x:c>
      <x:c r="E178" s="2" t="str">
        <x:v>CHECK_OUT</x:v>
      </x:c>
      <x:c r="F178" s="8" t="n">
        <x:v>46299.457916666666</x:v>
      </x:c>
      <x:c r="G178" s="8" t="n">
        <x:v>46299.45793981481</x:v>
      </x:c>
      <x:c r="H178" s="2" t="str">
        <x:v>R2S3</x:v>
      </x:c>
      <x:c r="I178" s="9" t="n">
        <x:v>25.284000000000002</x:v>
      </x:c>
      <x:c r="J178" s="9" t="n">
        <x:v>51.504999999999995</x:v>
      </x:c>
      <x:c r="K178" s="2" t="n">
        <x:v>8</x:v>
      </x:c>
      <x:c r="L178" s="2" t="str">
        <x:v>Valid</x:v>
      </x:c>
      <x:c r="M178" s="2" t="str">
        <x:v>QR</x:v>
      </x:c>
      <x:c r="N178" s="2" t="n">
        <x:v>1</x:v>
      </x:c>
      <x:c r="O178" s="2" t="str">
        <x:v>Accepted</x:v>
      </x:c>
      <x:c r="P178" s="2" t="str">
        <x:v>S002</x:v>
      </x:c>
      <x:c r="Q178" s="2" t="str">
        <x:v>DEV002</x:v>
      </x:c>
      <x:c r="R178" s="2" t="n">
        <x:v>20</x:v>
      </x:c>
      <x:c r="S178" s="2" t="str">
        <x:v>Online</x:v>
      </x:c>
      <x:c r="T178" s="2" t="str">
        <x:v>Synced</x:v>
      </x:c>
    </x:row>
    <x:row r="179" ht="21" customHeight="1">
      <x:c r="A179" s="2" t="str">
        <x:v>EV000376</x:v>
      </x:c>
      <x:c r="B179" s="2" t="str">
        <x:v>T20261004-2-3</x:v>
      </x:c>
      <x:c r="C179" s="2" t="str">
        <x:v>ST089</x:v>
      </x:c>
      <x:c r="D179" s="2" t="str">
        <x:v>0bd697ec3f7c09918d8dd004b5340b03</x:v>
      </x:c>
      <x:c r="E179" s="2" t="str">
        <x:v>CHECK_OUT</x:v>
      </x:c>
      <x:c r="F179" s="8" t="n">
        <x:v>46299.457916666666</x:v>
      </x:c>
      <x:c r="G179" s="8" t="n">
        <x:v>46299.45793981481</x:v>
      </x:c>
      <x:c r="H179" s="2" t="str">
        <x:v>R3S3</x:v>
      </x:c>
      <x:c r="I179" s="9" t="n">
        <x:v>25.293000000000003</x:v>
      </x:c>
      <x:c r="J179" s="9" t="n">
        <x:v>51.513</x:v>
      </x:c>
      <x:c r="K179" s="2" t="n">
        <x:v>8</x:v>
      </x:c>
      <x:c r="L179" s="2" t="str">
        <x:v>Valid</x:v>
      </x:c>
      <x:c r="M179" s="2" t="str">
        <x:v>QR</x:v>
      </x:c>
      <x:c r="N179" s="2" t="n">
        <x:v>1</x:v>
      </x:c>
      <x:c r="O179" s="2" t="str">
        <x:v>Accepted</x:v>
      </x:c>
      <x:c r="P179" s="2" t="str">
        <x:v>S003</x:v>
      </x:c>
      <x:c r="Q179" s="2" t="str">
        <x:v>DEV003</x:v>
      </x:c>
      <x:c r="R179" s="2" t="n">
        <x:v>20</x:v>
      </x:c>
      <x:c r="S179" s="2" t="str">
        <x:v>Online</x:v>
      </x:c>
      <x:c r="T179" s="2" t="str">
        <x:v>Synced</x:v>
      </x:c>
    </x:row>
    <x:row r="180" ht="21" customHeight="1">
      <x:c r="A180" s="2" t="str">
        <x:v>EV000079</x:v>
      </x:c>
      <x:c r="B180" s="2" t="str">
        <x:v>T20261004-2-1</x:v>
      </x:c>
      <x:c r="C180" s="2" t="str">
        <x:v>ST031</x:v>
      </x:c>
      <x:c r="D180" s="2" t="str">
        <x:v>8ab188e9684e5df87182305d1c7eadac</x:v>
      </x:c>
      <x:c r="E180" s="2" t="str">
        <x:v>CHECK_IN</x:v>
      </x:c>
      <x:c r="F180" s="8" t="n">
        <x:v>46299.47152777778</x:v>
      </x:c>
      <x:c r="G180" s="8" t="n">
        <x:v>46299.471550925926</x:v>
      </x:c>
      <x:c r="H180" s="2" t="str">
        <x:v>R1S1</x:v>
      </x:c>
      <x:c r="I180" s="9" t="n">
        <x:v>25.271</x:v>
      </x:c>
      <x:c r="J180" s="9" t="n">
        <x:v>51.491</x:v>
      </x:c>
      <x:c r="K180" s="2" t="n">
        <x:v>8</x:v>
      </x:c>
      <x:c r="L180" s="2" t="str">
        <x:v>Valid</x:v>
      </x:c>
      <x:c r="M180" s="2" t="str">
        <x:v>QR</x:v>
      </x:c>
      <x:c r="N180" s="2" t="n">
        <x:v>1</x:v>
      </x:c>
      <x:c r="O180" s="2" t="str">
        <x:v>Accepted</x:v>
      </x:c>
      <x:c r="P180" s="2" t="str">
        <x:v>S001</x:v>
      </x:c>
      <x:c r="Q180" s="2" t="str">
        <x:v>DEV001</x:v>
      </x:c>
      <x:c r="R180" s="2" t="n">
        <x:v>19</x:v>
      </x:c>
      <x:c r="S180" s="2" t="str">
        <x:v>Online</x:v>
      </x:c>
      <x:c r="T180" s="2" t="str">
        <x:v>Synced</x:v>
      </x:c>
    </x:row>
    <x:row r="181" ht="21" customHeight="1">
      <x:c r="A181" s="2" t="str">
        <x:v>EV000239</x:v>
      </x:c>
      <x:c r="B181" s="2" t="str">
        <x:v>T20261004-2-2</x:v>
      </x:c>
      <x:c r="C181" s="2" t="str">
        <x:v>ST071</x:v>
      </x:c>
      <x:c r="D181" s="2" t="str">
        <x:v>51895678643dc659a400e702a471294e</x:v>
      </x:c>
      <x:c r="E181" s="2" t="str">
        <x:v>CHECK_IN</x:v>
      </x:c>
      <x:c r="F181" s="8" t="n">
        <x:v>46299.47152777778</x:v>
      </x:c>
      <x:c r="G181" s="8" t="n">
        <x:v>46299.471550925926</x:v>
      </x:c>
      <x:c r="H181" s="2" t="str">
        <x:v>R2S1</x:v>
      </x:c>
      <x:c r="I181" s="9" t="n">
        <x:v>25.28</x:v>
      </x:c>
      <x:c r="J181" s="9" t="n">
        <x:v>51.498999999999995</x:v>
      </x:c>
      <x:c r="K181" s="2" t="n">
        <x:v>8</x:v>
      </x:c>
      <x:c r="L181" s="2" t="str">
        <x:v>Valid</x:v>
      </x:c>
      <x:c r="M181" s="2" t="str">
        <x:v>QR</x:v>
      </x:c>
      <x:c r="N181" s="2" t="n">
        <x:v>1</x:v>
      </x:c>
      <x:c r="O181" s="2" t="str">
        <x:v>Accepted</x:v>
      </x:c>
      <x:c r="P181" s="2" t="str">
        <x:v>S002</x:v>
      </x:c>
      <x:c r="Q181" s="2" t="str">
        <x:v>DEV002</x:v>
      </x:c>
      <x:c r="R181" s="2" t="n">
        <x:v>21</x:v>
      </x:c>
      <x:c r="S181" s="2" t="str">
        <x:v>Online</x:v>
      </x:c>
      <x:c r="T181" s="2" t="str">
        <x:v>Synced</x:v>
      </x:c>
    </x:row>
    <x:row r="182" ht="21" customHeight="1">
      <x:c r="A182" s="2" t="str">
        <x:v>EV000399</x:v>
      </x:c>
      <x:c r="B182" s="2" t="str">
        <x:v>T20261004-2-3</x:v>
      </x:c>
      <x:c r="C182" s="2" t="str">
        <x:v>ST111</x:v>
      </x:c>
      <x:c r="D182" s="2" t="str">
        <x:v>e6e9707385e7ee8edd3ac87243757eb2</x:v>
      </x:c>
      <x:c r="E182" s="2" t="str">
        <x:v>CHECK_IN</x:v>
      </x:c>
      <x:c r="F182" s="8" t="n">
        <x:v>46299.47152777778</x:v>
      </x:c>
      <x:c r="G182" s="8" t="n">
        <x:v>46299.471550925926</x:v>
      </x:c>
      <x:c r="H182" s="2" t="str">
        <x:v>R3S1</x:v>
      </x:c>
      <x:c r="I182" s="9" t="n">
        <x:v>25.289</x:v>
      </x:c>
      <x:c r="J182" s="9" t="n">
        <x:v>51.507</x:v>
      </x:c>
      <x:c r="K182" s="2" t="n">
        <x:v>8</x:v>
      </x:c>
      <x:c r="L182" s="2" t="str">
        <x:v>Valid</x:v>
      </x:c>
      <x:c r="M182" s="2" t="str">
        <x:v>QR</x:v>
      </x:c>
      <x:c r="N182" s="2" t="n">
        <x:v>1</x:v>
      </x:c>
      <x:c r="O182" s="2" t="str">
        <x:v>Accepted</x:v>
      </x:c>
      <x:c r="P182" s="2" t="str">
        <x:v>S003</x:v>
      </x:c>
      <x:c r="Q182" s="2" t="str">
        <x:v>DEV003</x:v>
      </x:c>
      <x:c r="R182" s="2" t="n">
        <x:v>21</x:v>
      </x:c>
      <x:c r="S182" s="2" t="str">
        <x:v>Online</x:v>
      </x:c>
      <x:c r="T182" s="2" t="str">
        <x:v>Synced</x:v>
      </x:c>
    </x:row>
    <x:row r="183" ht="21" customHeight="1">
      <x:c r="A183" s="2" t="str">
        <x:v>EV000061</x:v>
      </x:c>
      <x:c r="B183" s="2" t="str">
        <x:v>T20261004-2-1</x:v>
      </x:c>
      <x:c r="C183" s="2" t="str">
        <x:v>ST022</x:v>
      </x:c>
      <x:c r="D183" s="2" t="str">
        <x:v>32e634064d0319251398d392c471332a</x:v>
      </x:c>
      <x:c r="E183" s="2" t="str">
        <x:v>CHECK_IN</x:v>
      </x:c>
      <x:c r="F183" s="8" t="n">
        <x:v>46299.4715625</x:v>
      </x:c>
      <x:c r="G183" s="8" t="n">
        <x:v>46299.47158564815</x:v>
      </x:c>
      <x:c r="H183" s="2" t="str">
        <x:v>R1S1</x:v>
      </x:c>
      <x:c r="I183" s="9" t="n">
        <x:v>25.271</x:v>
      </x:c>
      <x:c r="J183" s="9" t="n">
        <x:v>51.491</x:v>
      </x:c>
      <x:c r="K183" s="2" t="n">
        <x:v>8</x:v>
      </x:c>
      <x:c r="L183" s="2" t="str">
        <x:v>Valid</x:v>
      </x:c>
      <x:c r="M183" s="2" t="str">
        <x:v>QR</x:v>
      </x:c>
      <x:c r="N183" s="2" t="n">
        <x:v>1</x:v>
      </x:c>
      <x:c r="O183" s="2" t="str">
        <x:v>Accepted</x:v>
      </x:c>
      <x:c r="P183" s="2" t="str">
        <x:v>S001</x:v>
      </x:c>
      <x:c r="Q183" s="2" t="str">
        <x:v>DEV001</x:v>
      </x:c>
      <x:c r="R183" s="2" t="n">
        <x:v>20</x:v>
      </x:c>
      <x:c r="S183" s="2" t="str">
        <x:v>Online</x:v>
      </x:c>
      <x:c r="T183" s="2" t="str">
        <x:v>Synced</x:v>
      </x:c>
    </x:row>
    <x:row r="184" ht="21" customHeight="1">
      <x:c r="A184" s="2" t="str">
        <x:v>EV000221</x:v>
      </x:c>
      <x:c r="B184" s="2" t="str">
        <x:v>T20261004-2-2</x:v>
      </x:c>
      <x:c r="C184" s="2" t="str">
        <x:v>ST062</x:v>
      </x:c>
      <x:c r="D184" s="2" t="str">
        <x:v>e0ee324a0d8893ba89d7c618ea194e36</x:v>
      </x:c>
      <x:c r="E184" s="2" t="str">
        <x:v>CHECK_IN</x:v>
      </x:c>
      <x:c r="F184" s="8" t="n">
        <x:v>46299.4715625</x:v>
      </x:c>
      <x:c r="G184" s="8" t="n">
        <x:v>46299.47158564815</x:v>
      </x:c>
      <x:c r="H184" s="2" t="str">
        <x:v>R2S1</x:v>
      </x:c>
      <x:c r="I184" s="9" t="n">
        <x:v>25.28</x:v>
      </x:c>
      <x:c r="J184" s="9" t="n">
        <x:v>51.498999999999995</x:v>
      </x:c>
      <x:c r="K184" s="2" t="n">
        <x:v>8</x:v>
      </x:c>
      <x:c r="L184" s="2" t="str">
        <x:v>Valid</x:v>
      </x:c>
      <x:c r="M184" s="2" t="str">
        <x:v>QR</x:v>
      </x:c>
      <x:c r="N184" s="2" t="n">
        <x:v>1</x:v>
      </x:c>
      <x:c r="O184" s="2" t="str">
        <x:v>Accepted</x:v>
      </x:c>
      <x:c r="P184" s="2" t="str">
        <x:v>S002</x:v>
      </x:c>
      <x:c r="Q184" s="2" t="str">
        <x:v>DEV002</x:v>
      </x:c>
      <x:c r="R184" s="2" t="n">
        <x:v>22</x:v>
      </x:c>
      <x:c r="S184" s="2" t="str">
        <x:v>Online</x:v>
      </x:c>
      <x:c r="T184" s="2" t="str">
        <x:v>Synced</x:v>
      </x:c>
    </x:row>
    <x:row r="185" ht="21" customHeight="1">
      <x:c r="A185" s="2" t="str">
        <x:v>EV000381</x:v>
      </x:c>
      <x:c r="B185" s="2" t="str">
        <x:v>T20261004-2-3</x:v>
      </x:c>
      <x:c r="C185" s="2" t="str">
        <x:v>ST102</x:v>
      </x:c>
      <x:c r="D185" s="2" t="str">
        <x:v>6a90d57a6e4b5aedbdcdc5a29cf018e9</x:v>
      </x:c>
      <x:c r="E185" s="2" t="str">
        <x:v>CHECK_IN</x:v>
      </x:c>
      <x:c r="F185" s="8" t="n">
        <x:v>46299.4715625</x:v>
      </x:c>
      <x:c r="G185" s="8" t="n">
        <x:v>46299.47158564815</x:v>
      </x:c>
      <x:c r="H185" s="2" t="str">
        <x:v>R3S1</x:v>
      </x:c>
      <x:c r="I185" s="9" t="n">
        <x:v>25.289</x:v>
      </x:c>
      <x:c r="J185" s="9" t="n">
        <x:v>51.507</x:v>
      </x:c>
      <x:c r="K185" s="2" t="n">
        <x:v>8</x:v>
      </x:c>
      <x:c r="L185" s="2" t="str">
        <x:v>Valid</x:v>
      </x:c>
      <x:c r="M185" s="2" t="str">
        <x:v>QR</x:v>
      </x:c>
      <x:c r="N185" s="2" t="n">
        <x:v>1</x:v>
      </x:c>
      <x:c r="O185" s="2" t="str">
        <x:v>Accepted</x:v>
      </x:c>
      <x:c r="P185" s="2" t="str">
        <x:v>S003</x:v>
      </x:c>
      <x:c r="Q185" s="2" t="str">
        <x:v>DEV003</x:v>
      </x:c>
      <x:c r="R185" s="2" t="n">
        <x:v>22</x:v>
      </x:c>
      <x:c r="S185" s="2" t="str">
        <x:v>Online</x:v>
      </x:c>
      <x:c r="T185" s="2" t="str">
        <x:v>Synced</x:v>
      </x:c>
    </x:row>
    <x:row r="186" ht="21" customHeight="1">
      <x:c r="A186" s="2" t="str">
        <x:v>EV000085</x:v>
      </x:c>
      <x:c r="B186" s="2" t="str">
        <x:v>T20261004-2-1</x:v>
      </x:c>
      <x:c r="C186" s="2" t="str">
        <x:v>ST034</x:v>
      </x:c>
      <x:c r="D186" s="2" t="str">
        <x:v>80fbe33bb2df8cab59b55f98f1c8a3d5</x:v>
      </x:c>
      <x:c r="E186" s="2" t="str">
        <x:v>CHECK_IN</x:v>
      </x:c>
      <x:c r="F186" s="8" t="n">
        <x:v>46299.47163194445</x:v>
      </x:c>
      <x:c r="G186" s="8" t="n">
        <x:v>46299.471655092595</x:v>
      </x:c>
      <x:c r="H186" s="2" t="str">
        <x:v>R1S1</x:v>
      </x:c>
      <x:c r="I186" s="9" t="n">
        <x:v>25.271</x:v>
      </x:c>
      <x:c r="J186" s="9" t="n">
        <x:v>51.491</x:v>
      </x:c>
      <x:c r="K186" s="2" t="n">
        <x:v>8</x:v>
      </x:c>
      <x:c r="L186" s="2" t="str">
        <x:v>Valid</x:v>
      </x:c>
      <x:c r="M186" s="2" t="str">
        <x:v>QR</x:v>
      </x:c>
      <x:c r="N186" s="2" t="n">
        <x:v>1</x:v>
      </x:c>
      <x:c r="O186" s="2" t="str">
        <x:v>Accepted</x:v>
      </x:c>
      <x:c r="P186" s="2" t="str">
        <x:v>S001</x:v>
      </x:c>
      <x:c r="Q186" s="2" t="str">
        <x:v>DEV001</x:v>
      </x:c>
      <x:c r="R186" s="2" t="n">
        <x:v>21</x:v>
      </x:c>
      <x:c r="S186" s="2" t="str">
        <x:v>Online</x:v>
      </x:c>
      <x:c r="T186" s="2" t="str">
        <x:v>Synced</x:v>
      </x:c>
    </x:row>
    <x:row r="187" ht="21" customHeight="1">
      <x:c r="A187" s="2" t="str">
        <x:v>EV000245</x:v>
      </x:c>
      <x:c r="B187" s="2" t="str">
        <x:v>T20261004-2-2</x:v>
      </x:c>
      <x:c r="C187" s="2" t="str">
        <x:v>ST074</x:v>
      </x:c>
      <x:c r="D187" s="2" t="str">
        <x:v>a9bcbd7cecca4f17e235125ddf0adf7b</x:v>
      </x:c>
      <x:c r="E187" s="2" t="str">
        <x:v>CHECK_IN</x:v>
      </x:c>
      <x:c r="F187" s="8" t="n">
        <x:v>46299.47163194445</x:v>
      </x:c>
      <x:c r="G187" s="8" t="n">
        <x:v>46299.471655092595</x:v>
      </x:c>
      <x:c r="H187" s="2" t="str">
        <x:v>R2S1</x:v>
      </x:c>
      <x:c r="I187" s="9" t="n">
        <x:v>25.28</x:v>
      </x:c>
      <x:c r="J187" s="9" t="n">
        <x:v>51.498999999999995</x:v>
      </x:c>
      <x:c r="K187" s="2" t="n">
        <x:v>8</x:v>
      </x:c>
      <x:c r="L187" s="2" t="str">
        <x:v>Valid</x:v>
      </x:c>
      <x:c r="M187" s="2" t="str">
        <x:v>QR</x:v>
      </x:c>
      <x:c r="N187" s="2" t="n">
        <x:v>1</x:v>
      </x:c>
      <x:c r="O187" s="2" t="str">
        <x:v>Accepted</x:v>
      </x:c>
      <x:c r="P187" s="2" t="str">
        <x:v>S002</x:v>
      </x:c>
      <x:c r="Q187" s="2" t="str">
        <x:v>DEV002</x:v>
      </x:c>
      <x:c r="R187" s="2" t="n">
        <x:v>23</x:v>
      </x:c>
      <x:c r="S187" s="2" t="str">
        <x:v>Online</x:v>
      </x:c>
      <x:c r="T187" s="2" t="str">
        <x:v>Synced</x:v>
      </x:c>
    </x:row>
    <x:row r="188" ht="21" customHeight="1">
      <x:c r="A188" s="2" t="str">
        <x:v>EV000405</x:v>
      </x:c>
      <x:c r="B188" s="2" t="str">
        <x:v>T20261004-2-3</x:v>
      </x:c>
      <x:c r="C188" s="2" t="str">
        <x:v>ST114</x:v>
      </x:c>
      <x:c r="D188" s="2" t="str">
        <x:v>a5c77bf3b082c3ab825b65c34f1c9f8c</x:v>
      </x:c>
      <x:c r="E188" s="2" t="str">
        <x:v>CHECK_IN</x:v>
      </x:c>
      <x:c r="F188" s="8" t="n">
        <x:v>46299.47163194445</x:v>
      </x:c>
      <x:c r="G188" s="8" t="n">
        <x:v>46299.471655092595</x:v>
      </x:c>
      <x:c r="H188" s="2" t="str">
        <x:v>R3S1</x:v>
      </x:c>
      <x:c r="I188" s="9" t="n">
        <x:v>25.289</x:v>
      </x:c>
      <x:c r="J188" s="9" t="n">
        <x:v>51.507</x:v>
      </x:c>
      <x:c r="K188" s="2" t="n">
        <x:v>8</x:v>
      </x:c>
      <x:c r="L188" s="2" t="str">
        <x:v>Valid</x:v>
      </x:c>
      <x:c r="M188" s="2" t="str">
        <x:v>QR</x:v>
      </x:c>
      <x:c r="N188" s="2" t="n">
        <x:v>1</x:v>
      </x:c>
      <x:c r="O188" s="2" t="str">
        <x:v>Accepted</x:v>
      </x:c>
      <x:c r="P188" s="2" t="str">
        <x:v>S003</x:v>
      </x:c>
      <x:c r="Q188" s="2" t="str">
        <x:v>DEV003</x:v>
      </x:c>
      <x:c r="R188" s="2" t="n">
        <x:v>23</x:v>
      </x:c>
      <x:c r="S188" s="2" t="str">
        <x:v>Online</x:v>
      </x:c>
      <x:c r="T188" s="2" t="str">
        <x:v>Synced</x:v>
      </x:c>
    </x:row>
    <x:row r="189" ht="21" customHeight="1">
      <x:c r="A189" s="2" t="str">
        <x:v>EV000067</x:v>
      </x:c>
      <x:c r="B189" s="2" t="str">
        <x:v>T20261004-2-1</x:v>
      </x:c>
      <x:c r="C189" s="2" t="str">
        <x:v>ST025</x:v>
      </x:c>
      <x:c r="D189" s="2" t="str">
        <x:v>caea48c43f4ccfa85999e7cb546cd774</x:v>
      </x:c>
      <x:c r="E189" s="2" t="str">
        <x:v>CHECK_IN</x:v>
      </x:c>
      <x:c r="F189" s="8" t="n">
        <x:v>46299.47166666667</x:v>
      </x:c>
      <x:c r="G189" s="8" t="n">
        <x:v>46299.47168981482</x:v>
      </x:c>
      <x:c r="H189" s="2" t="str">
        <x:v>R1S1</x:v>
      </x:c>
      <x:c r="I189" s="9" t="n">
        <x:v>25.271</x:v>
      </x:c>
      <x:c r="J189" s="9" t="n">
        <x:v>51.491</x:v>
      </x:c>
      <x:c r="K189" s="2" t="n">
        <x:v>8</x:v>
      </x:c>
      <x:c r="L189" s="2" t="str">
        <x:v>Valid</x:v>
      </x:c>
      <x:c r="M189" s="2" t="str">
        <x:v>QR</x:v>
      </x:c>
      <x:c r="N189" s="2" t="n">
        <x:v>1</x:v>
      </x:c>
      <x:c r="O189" s="2" t="str">
        <x:v>Accepted</x:v>
      </x:c>
      <x:c r="P189" s="2" t="str">
        <x:v>S001</x:v>
      </x:c>
      <x:c r="Q189" s="2" t="str">
        <x:v>DEV001</x:v>
      </x:c>
      <x:c r="R189" s="2" t="n">
        <x:v>22</x:v>
      </x:c>
      <x:c r="S189" s="2" t="str">
        <x:v>Online</x:v>
      </x:c>
      <x:c r="T189" s="2" t="str">
        <x:v>Synced</x:v>
      </x:c>
    </x:row>
    <x:row r="190" ht="21" customHeight="1">
      <x:c r="A190" s="2" t="str">
        <x:v>EV000227</x:v>
      </x:c>
      <x:c r="B190" s="2" t="str">
        <x:v>T20261004-2-2</x:v>
      </x:c>
      <x:c r="C190" s="2" t="str">
        <x:v>ST065</x:v>
      </x:c>
      <x:c r="D190" s="2" t="str">
        <x:v>6b379c82348acc8be3e0d247197a20bf</x:v>
      </x:c>
      <x:c r="E190" s="2" t="str">
        <x:v>CHECK_IN</x:v>
      </x:c>
      <x:c r="F190" s="8" t="n">
        <x:v>46299.47166666667</x:v>
      </x:c>
      <x:c r="G190" s="8" t="n">
        <x:v>46299.47168981482</x:v>
      </x:c>
      <x:c r="H190" s="2" t="str">
        <x:v>R2S1</x:v>
      </x:c>
      <x:c r="I190" s="9" t="n">
        <x:v>25.28</x:v>
      </x:c>
      <x:c r="J190" s="9" t="n">
        <x:v>51.498999999999995</x:v>
      </x:c>
      <x:c r="K190" s="2" t="n">
        <x:v>8</x:v>
      </x:c>
      <x:c r="L190" s="2" t="str">
        <x:v>Valid</x:v>
      </x:c>
      <x:c r="M190" s="2" t="str">
        <x:v>QR</x:v>
      </x:c>
      <x:c r="N190" s="2" t="n">
        <x:v>1</x:v>
      </x:c>
      <x:c r="O190" s="2" t="str">
        <x:v>Accepted</x:v>
      </x:c>
      <x:c r="P190" s="2" t="str">
        <x:v>S002</x:v>
      </x:c>
      <x:c r="Q190" s="2" t="str">
        <x:v>DEV002</x:v>
      </x:c>
      <x:c r="R190" s="2" t="n">
        <x:v>24</x:v>
      </x:c>
      <x:c r="S190" s="2" t="str">
        <x:v>Online</x:v>
      </x:c>
      <x:c r="T190" s="2" t="str">
        <x:v>Synced</x:v>
      </x:c>
    </x:row>
    <x:row r="191" ht="21" customHeight="1">
      <x:c r="A191" s="2" t="str">
        <x:v>EV000387</x:v>
      </x:c>
      <x:c r="B191" s="2" t="str">
        <x:v>T20261004-2-3</x:v>
      </x:c>
      <x:c r="C191" s="2" t="str">
        <x:v>ST105</x:v>
      </x:c>
      <x:c r="D191" s="2" t="str">
        <x:v>bbd3ba75eaabf5ca3acef3823a75d885</x:v>
      </x:c>
      <x:c r="E191" s="2" t="str">
        <x:v>CHECK_IN</x:v>
      </x:c>
      <x:c r="F191" s="8" t="n">
        <x:v>46299.47166666667</x:v>
      </x:c>
      <x:c r="G191" s="8" t="n">
        <x:v>46299.47168981482</x:v>
      </x:c>
      <x:c r="H191" s="2" t="str">
        <x:v>R3S1</x:v>
      </x:c>
      <x:c r="I191" s="9" t="n">
        <x:v>25.289</x:v>
      </x:c>
      <x:c r="J191" s="9" t="n">
        <x:v>51.507</x:v>
      </x:c>
      <x:c r="K191" s="2" t="n">
        <x:v>8</x:v>
      </x:c>
      <x:c r="L191" s="2" t="str">
        <x:v>Valid</x:v>
      </x:c>
      <x:c r="M191" s="2" t="str">
        <x:v>QR</x:v>
      </x:c>
      <x:c r="N191" s="2" t="n">
        <x:v>1</x:v>
      </x:c>
      <x:c r="O191" s="2" t="str">
        <x:v>Accepted</x:v>
      </x:c>
      <x:c r="P191" s="2" t="str">
        <x:v>S003</x:v>
      </x:c>
      <x:c r="Q191" s="2" t="str">
        <x:v>DEV003</x:v>
      </x:c>
      <x:c r="R191" s="2" t="n">
        <x:v>24</x:v>
      </x:c>
      <x:c r="S191" s="2" t="str">
        <x:v>Online</x:v>
      </x:c>
      <x:c r="T191" s="2" t="str">
        <x:v>Synced</x:v>
      </x:c>
    </x:row>
    <x:row r="192" ht="21" customHeight="1">
      <x:c r="A192" s="2" t="str">
        <x:v>EV000091</x:v>
      </x:c>
      <x:c r="B192" s="2" t="str">
        <x:v>T20261004-2-1</x:v>
      </x:c>
      <x:c r="C192" s="2" t="str">
        <x:v>ST037</x:v>
      </x:c>
      <x:c r="D192" s="2" t="str">
        <x:v>eb6cdfa5572c8f6959c8b9c84b8ec493</x:v>
      </x:c>
      <x:c r="E192" s="2" t="str">
        <x:v>CHECK_IN</x:v>
      </x:c>
      <x:c r="F192" s="8" t="n">
        <x:v>46299.47173611111</x:v>
      </x:c>
      <x:c r="G192" s="8" t="n">
        <x:v>46299.47175925926</x:v>
      </x:c>
      <x:c r="H192" s="2" t="str">
        <x:v>R1S1</x:v>
      </x:c>
      <x:c r="I192" s="9" t="n">
        <x:v>25.271</x:v>
      </x:c>
      <x:c r="J192" s="9" t="n">
        <x:v>51.491</x:v>
      </x:c>
      <x:c r="K192" s="2" t="n">
        <x:v>8</x:v>
      </x:c>
      <x:c r="L192" s="2" t="str">
        <x:v>Valid</x:v>
      </x:c>
      <x:c r="M192" s="2" t="str">
        <x:v>QR</x:v>
      </x:c>
      <x:c r="N192" s="2" t="n">
        <x:v>1</x:v>
      </x:c>
      <x:c r="O192" s="2" t="str">
        <x:v>Accepted</x:v>
      </x:c>
      <x:c r="P192" s="2" t="str">
        <x:v>S001</x:v>
      </x:c>
      <x:c r="Q192" s="2" t="str">
        <x:v>DEV001</x:v>
      </x:c>
      <x:c r="R192" s="2" t="n">
        <x:v>23</x:v>
      </x:c>
      <x:c r="S192" s="2" t="str">
        <x:v>Online</x:v>
      </x:c>
      <x:c r="T192" s="2" t="str">
        <x:v>Synced</x:v>
      </x:c>
    </x:row>
    <x:row r="193" ht="21" customHeight="1">
      <x:c r="A193" s="2" t="str">
        <x:v>EV000251</x:v>
      </x:c>
      <x:c r="B193" s="2" t="str">
        <x:v>T20261004-2-2</x:v>
      </x:c>
      <x:c r="C193" s="2" t="str">
        <x:v>ST077</x:v>
      </x:c>
      <x:c r="D193" s="2" t="str">
        <x:v>af7b8314f6c372daf48e6b95332f6a0f</x:v>
      </x:c>
      <x:c r="E193" s="2" t="str">
        <x:v>CHECK_IN</x:v>
      </x:c>
      <x:c r="F193" s="8" t="n">
        <x:v>46299.47173611111</x:v>
      </x:c>
      <x:c r="G193" s="8" t="n">
        <x:v>46299.47175925926</x:v>
      </x:c>
      <x:c r="H193" s="2" t="str">
        <x:v>R2S1</x:v>
      </x:c>
      <x:c r="I193" s="9" t="n">
        <x:v>25.28</x:v>
      </x:c>
      <x:c r="J193" s="9" t="n">
        <x:v>51.498999999999995</x:v>
      </x:c>
      <x:c r="K193" s="2" t="n">
        <x:v>8</x:v>
      </x:c>
      <x:c r="L193" s="2" t="str">
        <x:v>Valid</x:v>
      </x:c>
      <x:c r="M193" s="2" t="str">
        <x:v>QR</x:v>
      </x:c>
      <x:c r="N193" s="2" t="n">
        <x:v>1</x:v>
      </x:c>
      <x:c r="O193" s="2" t="str">
        <x:v>Accepted</x:v>
      </x:c>
      <x:c r="P193" s="2" t="str">
        <x:v>S002</x:v>
      </x:c>
      <x:c r="Q193" s="2" t="str">
        <x:v>DEV002</x:v>
      </x:c>
      <x:c r="R193" s="2" t="n">
        <x:v>25</x:v>
      </x:c>
      <x:c r="S193" s="2" t="str">
        <x:v>Online</x:v>
      </x:c>
      <x:c r="T193" s="2" t="str">
        <x:v>Synced</x:v>
      </x:c>
    </x:row>
    <x:row r="194" ht="21" customHeight="1">
      <x:c r="A194" s="2" t="str">
        <x:v>EV000411</x:v>
      </x:c>
      <x:c r="B194" s="2" t="str">
        <x:v>T20261004-2-3</x:v>
      </x:c>
      <x:c r="C194" s="2" t="str">
        <x:v>ST117</x:v>
      </x:c>
      <x:c r="D194" s="2" t="str">
        <x:v>195a54aea4adbe89371209e73878e4fe</x:v>
      </x:c>
      <x:c r="E194" s="2" t="str">
        <x:v>CHECK_IN</x:v>
      </x:c>
      <x:c r="F194" s="8" t="n">
        <x:v>46299.47173611111</x:v>
      </x:c>
      <x:c r="G194" s="8" t="n">
        <x:v>46299.47175925926</x:v>
      </x:c>
      <x:c r="H194" s="2" t="str">
        <x:v>R3S1</x:v>
      </x:c>
      <x:c r="I194" s="9" t="n">
        <x:v>25.289</x:v>
      </x:c>
      <x:c r="J194" s="9" t="n">
        <x:v>51.507</x:v>
      </x:c>
      <x:c r="K194" s="2" t="n">
        <x:v>8</x:v>
      </x:c>
      <x:c r="L194" s="2" t="str">
        <x:v>Valid</x:v>
      </x:c>
      <x:c r="M194" s="2" t="str">
        <x:v>QR</x:v>
      </x:c>
      <x:c r="N194" s="2" t="n">
        <x:v>1</x:v>
      </x:c>
      <x:c r="O194" s="2" t="str">
        <x:v>Accepted</x:v>
      </x:c>
      <x:c r="P194" s="2" t="str">
        <x:v>S003</x:v>
      </x:c>
      <x:c r="Q194" s="2" t="str">
        <x:v>DEV003</x:v>
      </x:c>
      <x:c r="R194" s="2" t="n">
        <x:v>25</x:v>
      </x:c>
      <x:c r="S194" s="2" t="str">
        <x:v>Online</x:v>
      </x:c>
      <x:c r="T194" s="2" t="str">
        <x:v>Synced</x:v>
      </x:c>
    </x:row>
    <x:row r="195" ht="21" customHeight="1">
      <x:c r="A195" s="2" t="str">
        <x:v>EV000073</x:v>
      </x:c>
      <x:c r="B195" s="2" t="str">
        <x:v>T20261004-2-1</x:v>
      </x:c>
      <x:c r="C195" s="2" t="str">
        <x:v>ST028</x:v>
      </x:c>
      <x:c r="D195" s="2" t="str">
        <x:v>af9ca502f5a3f54f1f44ea6d11afd24b</x:v>
      </x:c>
      <x:c r="E195" s="2" t="str">
        <x:v>CHECK_IN</x:v>
      </x:c>
      <x:c r="F195" s="8" t="n">
        <x:v>46299.471770833334</x:v>
      </x:c>
      <x:c r="G195" s="8" t="n">
        <x:v>46299.47179398148</x:v>
      </x:c>
      <x:c r="H195" s="2" t="str">
        <x:v>R1S1</x:v>
      </x:c>
      <x:c r="I195" s="9" t="n">
        <x:v>25.271</x:v>
      </x:c>
      <x:c r="J195" s="9" t="n">
        <x:v>51.491</x:v>
      </x:c>
      <x:c r="K195" s="2" t="n">
        <x:v>8</x:v>
      </x:c>
      <x:c r="L195" s="2" t="str">
        <x:v>Valid</x:v>
      </x:c>
      <x:c r="M195" s="2" t="str">
        <x:v>QR</x:v>
      </x:c>
      <x:c r="N195" s="2" t="n">
        <x:v>1</x:v>
      </x:c>
      <x:c r="O195" s="2" t="str">
        <x:v>Accepted</x:v>
      </x:c>
      <x:c r="P195" s="2" t="str">
        <x:v>S001</x:v>
      </x:c>
      <x:c r="Q195" s="2" t="str">
        <x:v>DEV001</x:v>
      </x:c>
      <x:c r="R195" s="2" t="n">
        <x:v>24</x:v>
      </x:c>
      <x:c r="S195" s="2" t="str">
        <x:v>Online</x:v>
      </x:c>
      <x:c r="T195" s="2" t="str">
        <x:v>Synced</x:v>
      </x:c>
    </x:row>
    <x:row r="196" ht="21" customHeight="1">
      <x:c r="A196" s="2" t="str">
        <x:v>EV000233</x:v>
      </x:c>
      <x:c r="B196" s="2" t="str">
        <x:v>T20261004-2-2</x:v>
      </x:c>
      <x:c r="C196" s="2" t="str">
        <x:v>ST068</x:v>
      </x:c>
      <x:c r="D196" s="2" t="str">
        <x:v>6d9af84dd25561b8b07e5e166ae4982a</x:v>
      </x:c>
      <x:c r="E196" s="2" t="str">
        <x:v>CHECK_IN</x:v>
      </x:c>
      <x:c r="F196" s="8" t="n">
        <x:v>46299.471770833334</x:v>
      </x:c>
      <x:c r="G196" s="8" t="n">
        <x:v>46299.47179398148</x:v>
      </x:c>
      <x:c r="H196" s="2" t="str">
        <x:v>R2S1</x:v>
      </x:c>
      <x:c r="I196" s="9" t="n">
        <x:v>25.28</x:v>
      </x:c>
      <x:c r="J196" s="9" t="n">
        <x:v>51.498999999999995</x:v>
      </x:c>
      <x:c r="K196" s="2" t="n">
        <x:v>8</x:v>
      </x:c>
      <x:c r="L196" s="2" t="str">
        <x:v>Valid</x:v>
      </x:c>
      <x:c r="M196" s="2" t="str">
        <x:v>QR</x:v>
      </x:c>
      <x:c r="N196" s="2" t="n">
        <x:v>1</x:v>
      </x:c>
      <x:c r="O196" s="2" t="str">
        <x:v>Accepted</x:v>
      </x:c>
      <x:c r="P196" s="2" t="str">
        <x:v>S002</x:v>
      </x:c>
      <x:c r="Q196" s="2" t="str">
        <x:v>DEV002</x:v>
      </x:c>
      <x:c r="R196" s="2" t="n">
        <x:v>26</x:v>
      </x:c>
      <x:c r="S196" s="2" t="str">
        <x:v>Online</x:v>
      </x:c>
      <x:c r="T196" s="2" t="str">
        <x:v>Synced</x:v>
      </x:c>
    </x:row>
    <x:row r="197" ht="21" customHeight="1">
      <x:c r="A197" s="2" t="str">
        <x:v>EV000393</x:v>
      </x:c>
      <x:c r="B197" s="2" t="str">
        <x:v>T20261004-2-3</x:v>
      </x:c>
      <x:c r="C197" s="2" t="str">
        <x:v>ST108</x:v>
      </x:c>
      <x:c r="D197" s="2" t="str">
        <x:v>85ef3b20338dfa9afdf3ae5a4b1ced5c</x:v>
      </x:c>
      <x:c r="E197" s="2" t="str">
        <x:v>CHECK_IN</x:v>
      </x:c>
      <x:c r="F197" s="8" t="n">
        <x:v>46299.471770833334</x:v>
      </x:c>
      <x:c r="G197" s="8" t="n">
        <x:v>46299.47179398148</x:v>
      </x:c>
      <x:c r="H197" s="2" t="str">
        <x:v>R3S1</x:v>
      </x:c>
      <x:c r="I197" s="9" t="n">
        <x:v>25.289</x:v>
      </x:c>
      <x:c r="J197" s="9" t="n">
        <x:v>51.507</x:v>
      </x:c>
      <x:c r="K197" s="2" t="n">
        <x:v>8</x:v>
      </x:c>
      <x:c r="L197" s="2" t="str">
        <x:v>Valid</x:v>
      </x:c>
      <x:c r="M197" s="2" t="str">
        <x:v>QR</x:v>
      </x:c>
      <x:c r="N197" s="2" t="n">
        <x:v>1</x:v>
      </x:c>
      <x:c r="O197" s="2" t="str">
        <x:v>Accepted</x:v>
      </x:c>
      <x:c r="P197" s="2" t="str">
        <x:v>S003</x:v>
      </x:c>
      <x:c r="Q197" s="2" t="str">
        <x:v>DEV003</x:v>
      </x:c>
      <x:c r="R197" s="2" t="n">
        <x:v>26</x:v>
      </x:c>
      <x:c r="S197" s="2" t="str">
        <x:v>Online</x:v>
      </x:c>
      <x:c r="T197" s="2" t="str">
        <x:v>Synced</x:v>
      </x:c>
    </x:row>
    <x:row r="198" ht="21" customHeight="1">
      <x:c r="A198" s="2" t="str">
        <x:v>EV000097</x:v>
      </x:c>
      <x:c r="B198" s="2" t="str">
        <x:v>T20261004-2-1</x:v>
      </x:c>
      <x:c r="C198" s="2" t="str">
        <x:v>ST040</x:v>
      </x:c>
      <x:c r="D198" s="2" t="str">
        <x:v>4cd5e507bb3c8af27cd11d16138dcec0</x:v>
      </x:c>
      <x:c r="E198" s="2" t="str">
        <x:v>CHECK_IN</x:v>
      </x:c>
      <x:c r="F198" s="8" t="n">
        <x:v>46299.47184027778</x:v>
      </x:c>
      <x:c r="G198" s="8" t="n">
        <x:v>46299.471863425926</x:v>
      </x:c>
      <x:c r="H198" s="2" t="str">
        <x:v>R1S1</x:v>
      </x:c>
      <x:c r="I198" s="9" t="n">
        <x:v>25.271</x:v>
      </x:c>
      <x:c r="J198" s="9" t="n">
        <x:v>51.491</x:v>
      </x:c>
      <x:c r="K198" s="2" t="n">
        <x:v>8</x:v>
      </x:c>
      <x:c r="L198" s="2" t="str">
        <x:v>Valid</x:v>
      </x:c>
      <x:c r="M198" s="2" t="str">
        <x:v>QR</x:v>
      </x:c>
      <x:c r="N198" s="2" t="n">
        <x:v>1</x:v>
      </x:c>
      <x:c r="O198" s="2" t="str">
        <x:v>Accepted</x:v>
      </x:c>
      <x:c r="P198" s="2" t="str">
        <x:v>S001</x:v>
      </x:c>
      <x:c r="Q198" s="2" t="str">
        <x:v>DEV001</x:v>
      </x:c>
      <x:c r="R198" s="2" t="n">
        <x:v>25</x:v>
      </x:c>
      <x:c r="S198" s="2" t="str">
        <x:v>Online</x:v>
      </x:c>
      <x:c r="T198" s="2" t="str">
        <x:v>Synced</x:v>
      </x:c>
    </x:row>
    <x:row r="199" ht="21" customHeight="1">
      <x:c r="A199" s="2" t="str">
        <x:v>EV000257</x:v>
      </x:c>
      <x:c r="B199" s="2" t="str">
        <x:v>T20261004-2-2</x:v>
      </x:c>
      <x:c r="C199" s="2" t="str">
        <x:v>ST080</x:v>
      </x:c>
      <x:c r="D199" s="2" t="str">
        <x:v>0abaf17d1472c0347862177fd9880be2</x:v>
      </x:c>
      <x:c r="E199" s="2" t="str">
        <x:v>CHECK_IN</x:v>
      </x:c>
      <x:c r="F199" s="8" t="n">
        <x:v>46299.47184027778</x:v>
      </x:c>
      <x:c r="G199" s="8" t="n">
        <x:v>46299.471863425926</x:v>
      </x:c>
      <x:c r="H199" s="2" t="str">
        <x:v>R2S1</x:v>
      </x:c>
      <x:c r="I199" s="9" t="n">
        <x:v>25.28</x:v>
      </x:c>
      <x:c r="J199" s="9" t="n">
        <x:v>51.498999999999995</x:v>
      </x:c>
      <x:c r="K199" s="2" t="n">
        <x:v>8</x:v>
      </x:c>
      <x:c r="L199" s="2" t="str">
        <x:v>Valid</x:v>
      </x:c>
      <x:c r="M199" s="2" t="str">
        <x:v>QR</x:v>
      </x:c>
      <x:c r="N199" s="2" t="n">
        <x:v>1</x:v>
      </x:c>
      <x:c r="O199" s="2" t="str">
        <x:v>Accepted</x:v>
      </x:c>
      <x:c r="P199" s="2" t="str">
        <x:v>S002</x:v>
      </x:c>
      <x:c r="Q199" s="2" t="str">
        <x:v>DEV002</x:v>
      </x:c>
      <x:c r="R199" s="2" t="n">
        <x:v>27</x:v>
      </x:c>
      <x:c r="S199" s="2" t="str">
        <x:v>Online</x:v>
      </x:c>
      <x:c r="T199" s="2" t="str">
        <x:v>Synced</x:v>
      </x:c>
    </x:row>
    <x:row r="200" ht="21" customHeight="1">
      <x:c r="A200" s="2" t="str">
        <x:v>EV000417</x:v>
      </x:c>
      <x:c r="B200" s="2" t="str">
        <x:v>T20261004-2-3</x:v>
      </x:c>
      <x:c r="C200" s="2" t="str">
        <x:v>ST120</x:v>
      </x:c>
      <x:c r="D200" s="2" t="str">
        <x:v>c3749f3342e76b516e5c145f91308219</x:v>
      </x:c>
      <x:c r="E200" s="2" t="str">
        <x:v>CHECK_IN</x:v>
      </x:c>
      <x:c r="F200" s="8" t="n">
        <x:v>46299.47184027778</x:v>
      </x:c>
      <x:c r="G200" s="8" t="n">
        <x:v>46299.471863425926</x:v>
      </x:c>
      <x:c r="H200" s="2" t="str">
        <x:v>R3S1</x:v>
      </x:c>
      <x:c r="I200" s="9" t="n">
        <x:v>25.289</x:v>
      </x:c>
      <x:c r="J200" s="9" t="n">
        <x:v>51.507</x:v>
      </x:c>
      <x:c r="K200" s="2" t="n">
        <x:v>8</x:v>
      </x:c>
      <x:c r="L200" s="2" t="str">
        <x:v>Valid</x:v>
      </x:c>
      <x:c r="M200" s="2" t="str">
        <x:v>QR</x:v>
      </x:c>
      <x:c r="N200" s="2" t="n">
        <x:v>1</x:v>
      </x:c>
      <x:c r="O200" s="2" t="str">
        <x:v>Accepted</x:v>
      </x:c>
      <x:c r="P200" s="2" t="str">
        <x:v>S003</x:v>
      </x:c>
      <x:c r="Q200" s="2" t="str">
        <x:v>DEV003</x:v>
      </x:c>
      <x:c r="R200" s="2" t="n">
        <x:v>27</x:v>
      </x:c>
      <x:c r="S200" s="2" t="str">
        <x:v>Online</x:v>
      </x:c>
      <x:c r="T200" s="2" t="str">
        <x:v>Synced</x:v>
      </x:c>
    </x:row>
    <x:row r="201" ht="21" customHeight="1">
      <x:c r="A201" s="2" t="str">
        <x:v>EV000081</x:v>
      </x:c>
      <x:c r="B201" s="2" t="str">
        <x:v>T20261004-2-1</x:v>
      </x:c>
      <x:c r="C201" s="2" t="str">
        <x:v>ST032</x:v>
      </x:c>
      <x:c r="D201" s="2" t="str">
        <x:v>836e2da54ccde9716995f5651a63e8c5</x:v>
      </x:c>
      <x:c r="E201" s="2" t="str">
        <x:v>CHECK_IN</x:v>
      </x:c>
      <x:c r="F201" s="8" t="n">
        <x:v>46299.47642361111</x:v>
      </x:c>
      <x:c r="G201" s="8" t="n">
        <x:v>46299.476446759254</x:v>
      </x:c>
      <x:c r="H201" s="2" t="str">
        <x:v>R1S2</x:v>
      </x:c>
      <x:c r="I201" s="9" t="n">
        <x:v>25.273000000000003</x:v>
      </x:c>
      <x:c r="J201" s="9" t="n">
        <x:v>51.494</x:v>
      </x:c>
      <x:c r="K201" s="2" t="n">
        <x:v>8</x:v>
      </x:c>
      <x:c r="L201" s="2" t="str">
        <x:v>Valid</x:v>
      </x:c>
      <x:c r="M201" s="2" t="str">
        <x:v>QR</x:v>
      </x:c>
      <x:c r="N201" s="2" t="n">
        <x:v>1</x:v>
      </x:c>
      <x:c r="O201" s="2" t="str">
        <x:v>Accepted</x:v>
      </x:c>
      <x:c r="P201" s="2" t="str">
        <x:v>S001</x:v>
      </x:c>
      <x:c r="Q201" s="2" t="str">
        <x:v>DEV001</x:v>
      </x:c>
      <x:c r="R201" s="2" t="n">
        <x:v>26</x:v>
      </x:c>
      <x:c r="S201" s="2" t="str">
        <x:v>Online</x:v>
      </x:c>
      <x:c r="T201" s="2" t="str">
        <x:v>Synced</x:v>
      </x:c>
    </x:row>
    <x:row r="202" ht="21" customHeight="1">
      <x:c r="A202" s="2" t="str">
        <x:v>EV000241</x:v>
      </x:c>
      <x:c r="B202" s="2" t="str">
        <x:v>T20261004-2-2</x:v>
      </x:c>
      <x:c r="C202" s="2" t="str">
        <x:v>ST072</x:v>
      </x:c>
      <x:c r="D202" s="2" t="str">
        <x:v>34067027b5922171fe59ce4d7b756f1c</x:v>
      </x:c>
      <x:c r="E202" s="2" t="str">
        <x:v>CHECK_IN</x:v>
      </x:c>
      <x:c r="F202" s="8" t="n">
        <x:v>46299.47642361111</x:v>
      </x:c>
      <x:c r="G202" s="8" t="n">
        <x:v>46299.476446759254</x:v>
      </x:c>
      <x:c r="H202" s="2" t="str">
        <x:v>R2S2</x:v>
      </x:c>
      <x:c r="I202" s="9" t="n">
        <x:v>25.282000000000004</x:v>
      </x:c>
      <x:c r="J202" s="9" t="n">
        <x:v>51.501999999999995</x:v>
      </x:c>
      <x:c r="K202" s="2" t="n">
        <x:v>8</x:v>
      </x:c>
      <x:c r="L202" s="2" t="str">
        <x:v>Valid</x:v>
      </x:c>
      <x:c r="M202" s="2" t="str">
        <x:v>QR</x:v>
      </x:c>
      <x:c r="N202" s="2" t="n">
        <x:v>1</x:v>
      </x:c>
      <x:c r="O202" s="2" t="str">
        <x:v>Accepted</x:v>
      </x:c>
      <x:c r="P202" s="2" t="str">
        <x:v>S002</x:v>
      </x:c>
      <x:c r="Q202" s="2" t="str">
        <x:v>DEV002</x:v>
      </x:c>
      <x:c r="R202" s="2" t="n">
        <x:v>28</x:v>
      </x:c>
      <x:c r="S202" s="2" t="str">
        <x:v>Online</x:v>
      </x:c>
      <x:c r="T202" s="2" t="str">
        <x:v>Synced</x:v>
      </x:c>
    </x:row>
    <x:row r="203" ht="21" customHeight="1">
      <x:c r="A203" s="2" t="str">
        <x:v>EV000401</x:v>
      </x:c>
      <x:c r="B203" s="2" t="str">
        <x:v>T20261004-2-3</x:v>
      </x:c>
      <x:c r="C203" s="2" t="str">
        <x:v>ST112</x:v>
      </x:c>
      <x:c r="D203" s="2" t="str">
        <x:v>ca020aefc0d912af9ddca5c7ca7a2f51</x:v>
      </x:c>
      <x:c r="E203" s="2" t="str">
        <x:v>CHECK_IN</x:v>
      </x:c>
      <x:c r="F203" s="8" t="n">
        <x:v>46299.47642361111</x:v>
      </x:c>
      <x:c r="G203" s="8" t="n">
        <x:v>46299.476446759254</x:v>
      </x:c>
      <x:c r="H203" s="2" t="str">
        <x:v>R3S2</x:v>
      </x:c>
      <x:c r="I203" s="9" t="n">
        <x:v>25.291000000000004</x:v>
      </x:c>
      <x:c r="J203" s="9" t="n">
        <x:v>51.51</x:v>
      </x:c>
      <x:c r="K203" s="2" t="n">
        <x:v>8</x:v>
      </x:c>
      <x:c r="L203" s="2" t="str">
        <x:v>Valid</x:v>
      </x:c>
      <x:c r="M203" s="2" t="str">
        <x:v>QR</x:v>
      </x:c>
      <x:c r="N203" s="2" t="n">
        <x:v>1</x:v>
      </x:c>
      <x:c r="O203" s="2" t="str">
        <x:v>Accepted</x:v>
      </x:c>
      <x:c r="P203" s="2" t="str">
        <x:v>S003</x:v>
      </x:c>
      <x:c r="Q203" s="2" t="str">
        <x:v>DEV003</x:v>
      </x:c>
      <x:c r="R203" s="2" t="n">
        <x:v>28</x:v>
      </x:c>
      <x:c r="S203" s="2" t="str">
        <x:v>Online</x:v>
      </x:c>
      <x:c r="T203" s="2" t="str">
        <x:v>Synced</x:v>
      </x:c>
    </x:row>
    <x:row r="204" ht="21" customHeight="1">
      <x:c r="A204" s="2" t="str">
        <x:v>EV000063</x:v>
      </x:c>
      <x:c r="B204" s="2" t="str">
        <x:v>T20261004-2-1</x:v>
      </x:c>
      <x:c r="C204" s="2" t="str">
        <x:v>ST023</x:v>
      </x:c>
      <x:c r="D204" s="2" t="str">
        <x:v>1836074fce688580737a08d14a26fa79</x:v>
      </x:c>
      <x:c r="E204" s="2" t="str">
        <x:v>CHECK_IN</x:v>
      </x:c>
      <x:c r="F204" s="8" t="n">
        <x:v>46299.47645833333</x:v>
      </x:c>
      <x:c r="G204" s="8" t="n">
        <x:v>46299.47648148148</x:v>
      </x:c>
      <x:c r="H204" s="2" t="str">
        <x:v>R1S2</x:v>
      </x:c>
      <x:c r="I204" s="9" t="n">
        <x:v>25.273000000000003</x:v>
      </x:c>
      <x:c r="J204" s="9" t="n">
        <x:v>51.494</x:v>
      </x:c>
      <x:c r="K204" s="2" t="n">
        <x:v>8</x:v>
      </x:c>
      <x:c r="L204" s="2" t="str">
        <x:v>Valid</x:v>
      </x:c>
      <x:c r="M204" s="2" t="str">
        <x:v>QR</x:v>
      </x:c>
      <x:c r="N204" s="2" t="n">
        <x:v>1</x:v>
      </x:c>
      <x:c r="O204" s="2" t="str">
        <x:v>Accepted</x:v>
      </x:c>
      <x:c r="P204" s="2" t="str">
        <x:v>S001</x:v>
      </x:c>
      <x:c r="Q204" s="2" t="str">
        <x:v>DEV001</x:v>
      </x:c>
      <x:c r="R204" s="2" t="n">
        <x:v>27</x:v>
      </x:c>
      <x:c r="S204" s="2" t="str">
        <x:v>Online</x:v>
      </x:c>
      <x:c r="T204" s="2" t="str">
        <x:v>Synced</x:v>
      </x:c>
    </x:row>
    <x:row r="205" ht="21" customHeight="1">
      <x:c r="A205" s="2" t="str">
        <x:v>EV000223</x:v>
      </x:c>
      <x:c r="B205" s="2" t="str">
        <x:v>T20261004-2-2</x:v>
      </x:c>
      <x:c r="C205" s="2" t="str">
        <x:v>ST063</x:v>
      </x:c>
      <x:c r="D205" s="2" t="str">
        <x:v>46a3e8e97cbe04af0173a75d9cdbcebf</x:v>
      </x:c>
      <x:c r="E205" s="2" t="str">
        <x:v>CHECK_IN</x:v>
      </x:c>
      <x:c r="F205" s="8" t="n">
        <x:v>46299.47645833333</x:v>
      </x:c>
      <x:c r="G205" s="8" t="n">
        <x:v>46299.47648148148</x:v>
      </x:c>
      <x:c r="H205" s="2" t="str">
        <x:v>R2S2</x:v>
      </x:c>
      <x:c r="I205" s="9" t="n">
        <x:v>25.282000000000004</x:v>
      </x:c>
      <x:c r="J205" s="9" t="n">
        <x:v>51.501999999999995</x:v>
      </x:c>
      <x:c r="K205" s="2" t="n">
        <x:v>8</x:v>
      </x:c>
      <x:c r="L205" s="2" t="str">
        <x:v>Valid</x:v>
      </x:c>
      <x:c r="M205" s="2" t="str">
        <x:v>QR</x:v>
      </x:c>
      <x:c r="N205" s="2" t="n">
        <x:v>1</x:v>
      </x:c>
      <x:c r="O205" s="2" t="str">
        <x:v>Accepted</x:v>
      </x:c>
      <x:c r="P205" s="2" t="str">
        <x:v>S002</x:v>
      </x:c>
      <x:c r="Q205" s="2" t="str">
        <x:v>DEV002</x:v>
      </x:c>
      <x:c r="R205" s="2" t="n">
        <x:v>29</x:v>
      </x:c>
      <x:c r="S205" s="2" t="str">
        <x:v>Online</x:v>
      </x:c>
      <x:c r="T205" s="2" t="str">
        <x:v>Synced</x:v>
      </x:c>
    </x:row>
    <x:row r="206" ht="21" customHeight="1">
      <x:c r="A206" s="2" t="str">
        <x:v>EV000383</x:v>
      </x:c>
      <x:c r="B206" s="2" t="str">
        <x:v>T20261004-2-3</x:v>
      </x:c>
      <x:c r="C206" s="2" t="str">
        <x:v>ST103</x:v>
      </x:c>
      <x:c r="D206" s="2" t="str">
        <x:v>5982cfca835e14d82ed8b6562c1a172d</x:v>
      </x:c>
      <x:c r="E206" s="2" t="str">
        <x:v>CHECK_IN</x:v>
      </x:c>
      <x:c r="F206" s="8" t="n">
        <x:v>46299.47645833333</x:v>
      </x:c>
      <x:c r="G206" s="8" t="n">
        <x:v>46299.47648148148</x:v>
      </x:c>
      <x:c r="H206" s="2" t="str">
        <x:v>R3S2</x:v>
      </x:c>
      <x:c r="I206" s="9" t="n">
        <x:v>25.291000000000004</x:v>
      </x:c>
      <x:c r="J206" s="9" t="n">
        <x:v>51.51</x:v>
      </x:c>
      <x:c r="K206" s="2" t="n">
        <x:v>8</x:v>
      </x:c>
      <x:c r="L206" s="2" t="str">
        <x:v>Valid</x:v>
      </x:c>
      <x:c r="M206" s="2" t="str">
        <x:v>QR</x:v>
      </x:c>
      <x:c r="N206" s="2" t="n">
        <x:v>1</x:v>
      </x:c>
      <x:c r="O206" s="2" t="str">
        <x:v>Accepted</x:v>
      </x:c>
      <x:c r="P206" s="2" t="str">
        <x:v>S003</x:v>
      </x:c>
      <x:c r="Q206" s="2" t="str">
        <x:v>DEV003</x:v>
      </x:c>
      <x:c r="R206" s="2" t="n">
        <x:v>29</x:v>
      </x:c>
      <x:c r="S206" s="2" t="str">
        <x:v>Online</x:v>
      </x:c>
      <x:c r="T206" s="2" t="str">
        <x:v>Synced</x:v>
      </x:c>
    </x:row>
    <x:row r="207" ht="21" customHeight="1">
      <x:c r="A207" s="2" t="str">
        <x:v>EV000087</x:v>
      </x:c>
      <x:c r="B207" s="2" t="str">
        <x:v>T20261004-2-1</x:v>
      </x:c>
      <x:c r="C207" s="2" t="str">
        <x:v>ST035</x:v>
      </x:c>
      <x:c r="D207" s="2" t="str">
        <x:v>45068f3206e9be80993e83e259ea9cdc</x:v>
      </x:c>
      <x:c r="E207" s="2" t="str">
        <x:v>CHECK_IN</x:v>
      </x:c>
      <x:c r="F207" s="8" t="n">
        <x:v>46299.47652777778</x:v>
      </x:c>
      <x:c r="G207" s="8" t="n">
        <x:v>46299.47655092592</x:v>
      </x:c>
      <x:c r="H207" s="2" t="str">
        <x:v>R1S2</x:v>
      </x:c>
      <x:c r="I207" s="9" t="n">
        <x:v>25.273000000000003</x:v>
      </x:c>
      <x:c r="J207" s="9" t="n">
        <x:v>51.494</x:v>
      </x:c>
      <x:c r="K207" s="2" t="n">
        <x:v>8</x:v>
      </x:c>
      <x:c r="L207" s="2" t="str">
        <x:v>Valid</x:v>
      </x:c>
      <x:c r="M207" s="2" t="str">
        <x:v>QR</x:v>
      </x:c>
      <x:c r="N207" s="2" t="n">
        <x:v>1</x:v>
      </x:c>
      <x:c r="O207" s="2" t="str">
        <x:v>Accepted</x:v>
      </x:c>
      <x:c r="P207" s="2" t="str">
        <x:v>S001</x:v>
      </x:c>
      <x:c r="Q207" s="2" t="str">
        <x:v>DEV001</x:v>
      </x:c>
      <x:c r="R207" s="2" t="n">
        <x:v>28</x:v>
      </x:c>
      <x:c r="S207" s="2" t="str">
        <x:v>Online</x:v>
      </x:c>
      <x:c r="T207" s="2" t="str">
        <x:v>Synced</x:v>
      </x:c>
    </x:row>
    <x:row r="208" ht="21" customHeight="1">
      <x:c r="A208" s="2" t="str">
        <x:v>EV000247</x:v>
      </x:c>
      <x:c r="B208" s="2" t="str">
        <x:v>T20261004-2-2</x:v>
      </x:c>
      <x:c r="C208" s="2" t="str">
        <x:v>ST075</x:v>
      </x:c>
      <x:c r="D208" s="2" t="str">
        <x:v>3781d00e457977b726407cb845a294cc</x:v>
      </x:c>
      <x:c r="E208" s="2" t="str">
        <x:v>CHECK_IN</x:v>
      </x:c>
      <x:c r="F208" s="8" t="n">
        <x:v>46299.47652777778</x:v>
      </x:c>
      <x:c r="G208" s="8" t="n">
        <x:v>46299.47655092592</x:v>
      </x:c>
      <x:c r="H208" s="2" t="str">
        <x:v>R2S2</x:v>
      </x:c>
      <x:c r="I208" s="9" t="n">
        <x:v>25.282000000000004</x:v>
      </x:c>
      <x:c r="J208" s="9" t="n">
        <x:v>51.501999999999995</x:v>
      </x:c>
      <x:c r="K208" s="2" t="n">
        <x:v>8</x:v>
      </x:c>
      <x:c r="L208" s="2" t="str">
        <x:v>Valid</x:v>
      </x:c>
      <x:c r="M208" s="2" t="str">
        <x:v>QR</x:v>
      </x:c>
      <x:c r="N208" s="2" t="n">
        <x:v>1</x:v>
      </x:c>
      <x:c r="O208" s="2" t="str">
        <x:v>Accepted</x:v>
      </x:c>
      <x:c r="P208" s="2" t="str">
        <x:v>S002</x:v>
      </x:c>
      <x:c r="Q208" s="2" t="str">
        <x:v>DEV002</x:v>
      </x:c>
      <x:c r="R208" s="2" t="n">
        <x:v>30</x:v>
      </x:c>
      <x:c r="S208" s="2" t="str">
        <x:v>Online</x:v>
      </x:c>
      <x:c r="T208" s="2" t="str">
        <x:v>Synced</x:v>
      </x:c>
    </x:row>
    <x:row r="209" ht="21" customHeight="1">
      <x:c r="A209" s="2" t="str">
        <x:v>EV000407</x:v>
      </x:c>
      <x:c r="B209" s="2" t="str">
        <x:v>T20261004-2-3</x:v>
      </x:c>
      <x:c r="C209" s="2" t="str">
        <x:v>ST115</x:v>
      </x:c>
      <x:c r="D209" s="2" t="str">
        <x:v>dc951b9fd5f4acb1dc2ce3ca2f2e08ab</x:v>
      </x:c>
      <x:c r="E209" s="2" t="str">
        <x:v>CHECK_IN</x:v>
      </x:c>
      <x:c r="F209" s="8" t="n">
        <x:v>46299.47652777778</x:v>
      </x:c>
      <x:c r="G209" s="8" t="n">
        <x:v>46299.47655092592</x:v>
      </x:c>
      <x:c r="H209" s="2" t="str">
        <x:v>R3S2</x:v>
      </x:c>
      <x:c r="I209" s="9" t="n">
        <x:v>25.291000000000004</x:v>
      </x:c>
      <x:c r="J209" s="9" t="n">
        <x:v>51.51</x:v>
      </x:c>
      <x:c r="K209" s="2" t="n">
        <x:v>8</x:v>
      </x:c>
      <x:c r="L209" s="2" t="str">
        <x:v>Valid</x:v>
      </x:c>
      <x:c r="M209" s="2" t="str">
        <x:v>QR</x:v>
      </x:c>
      <x:c r="N209" s="2" t="n">
        <x:v>1</x:v>
      </x:c>
      <x:c r="O209" s="2" t="str">
        <x:v>Accepted</x:v>
      </x:c>
      <x:c r="P209" s="2" t="str">
        <x:v>S003</x:v>
      </x:c>
      <x:c r="Q209" s="2" t="str">
        <x:v>DEV003</x:v>
      </x:c>
      <x:c r="R209" s="2" t="n">
        <x:v>30</x:v>
      </x:c>
      <x:c r="S209" s="2" t="str">
        <x:v>Online</x:v>
      </x:c>
      <x:c r="T209" s="2" t="str">
        <x:v>Synced</x:v>
      </x:c>
    </x:row>
    <x:row r="210" ht="21" customHeight="1">
      <x:c r="A210" s="2" t="str">
        <x:v>EV000069</x:v>
      </x:c>
      <x:c r="B210" s="2" t="str">
        <x:v>T20261004-2-1</x:v>
      </x:c>
      <x:c r="C210" s="2" t="str">
        <x:v>ST026</x:v>
      </x:c>
      <x:c r="D210" s="2" t="str">
        <x:v>56aea196eabcf09e1199afbd5e8907b0</x:v>
      </x:c>
      <x:c r="E210" s="2" t="str">
        <x:v>CHECK_IN</x:v>
      </x:c>
      <x:c r="F210" s="8" t="n">
        <x:v>46299.47656249999</x:v>
      </x:c>
      <x:c r="G210" s="8" t="n">
        <x:v>46299.47658564814</x:v>
      </x:c>
      <x:c r="H210" s="2" t="str">
        <x:v>R1S2</x:v>
      </x:c>
      <x:c r="I210" s="9" t="n">
        <x:v>25.273000000000003</x:v>
      </x:c>
      <x:c r="J210" s="9" t="n">
        <x:v>51.494</x:v>
      </x:c>
      <x:c r="K210" s="2" t="n">
        <x:v>8</x:v>
      </x:c>
      <x:c r="L210" s="2" t="str">
        <x:v>Valid</x:v>
      </x:c>
      <x:c r="M210" s="2" t="str">
        <x:v>QR</x:v>
      </x:c>
      <x:c r="N210" s="2" t="n">
        <x:v>1</x:v>
      </x:c>
      <x:c r="O210" s="2" t="str">
        <x:v>Accepted</x:v>
      </x:c>
      <x:c r="P210" s="2" t="str">
        <x:v>S001</x:v>
      </x:c>
      <x:c r="Q210" s="2" t="str">
        <x:v>DEV001</x:v>
      </x:c>
      <x:c r="R210" s="2" t="n">
        <x:v>29</x:v>
      </x:c>
      <x:c r="S210" s="2" t="str">
        <x:v>Online</x:v>
      </x:c>
      <x:c r="T210" s="2" t="str">
        <x:v>Synced</x:v>
      </x:c>
    </x:row>
    <x:row r="211" ht="21" customHeight="1">
      <x:c r="A211" s="2" t="str">
        <x:v>EV000229</x:v>
      </x:c>
      <x:c r="B211" s="2" t="str">
        <x:v>T20261004-2-2</x:v>
      </x:c>
      <x:c r="C211" s="2" t="str">
        <x:v>ST066</x:v>
      </x:c>
      <x:c r="D211" s="2" t="str">
        <x:v>f1ae8019085f4d0a77552e53fdc22aa7</x:v>
      </x:c>
      <x:c r="E211" s="2" t="str">
        <x:v>CHECK_IN</x:v>
      </x:c>
      <x:c r="F211" s="8" t="n">
        <x:v>46299.47656249999</x:v>
      </x:c>
      <x:c r="G211" s="8" t="n">
        <x:v>46299.47658564814</x:v>
      </x:c>
      <x:c r="H211" s="2" t="str">
        <x:v>R2S2</x:v>
      </x:c>
      <x:c r="I211" s="9" t="n">
        <x:v>25.282000000000004</x:v>
      </x:c>
      <x:c r="J211" s="9" t="n">
        <x:v>51.501999999999995</x:v>
      </x:c>
      <x:c r="K211" s="2" t="n">
        <x:v>8</x:v>
      </x:c>
      <x:c r="L211" s="2" t="str">
        <x:v>Valid</x:v>
      </x:c>
      <x:c r="M211" s="2" t="str">
        <x:v>QR</x:v>
      </x:c>
      <x:c r="N211" s="2" t="n">
        <x:v>1</x:v>
      </x:c>
      <x:c r="O211" s="2" t="str">
        <x:v>Accepted</x:v>
      </x:c>
      <x:c r="P211" s="2" t="str">
        <x:v>S002</x:v>
      </x:c>
      <x:c r="Q211" s="2" t="str">
        <x:v>DEV002</x:v>
      </x:c>
      <x:c r="R211" s="2" t="n">
        <x:v>31</x:v>
      </x:c>
      <x:c r="S211" s="2" t="str">
        <x:v>Online</x:v>
      </x:c>
      <x:c r="T211" s="2" t="str">
        <x:v>Synced</x:v>
      </x:c>
    </x:row>
    <x:row r="212" ht="21" customHeight="1">
      <x:c r="A212" s="2" t="str">
        <x:v>EV000389</x:v>
      </x:c>
      <x:c r="B212" s="2" t="str">
        <x:v>T20261004-2-3</x:v>
      </x:c>
      <x:c r="C212" s="2" t="str">
        <x:v>ST106</x:v>
      </x:c>
      <x:c r="D212" s="2" t="str">
        <x:v>9bd191644f26d4fc266418c96f36f10b</x:v>
      </x:c>
      <x:c r="E212" s="2" t="str">
        <x:v>CHECK_IN</x:v>
      </x:c>
      <x:c r="F212" s="8" t="n">
        <x:v>46299.47656249999</x:v>
      </x:c>
      <x:c r="G212" s="8" t="n">
        <x:v>46299.47658564814</x:v>
      </x:c>
      <x:c r="H212" s="2" t="str">
        <x:v>R3S2</x:v>
      </x:c>
      <x:c r="I212" s="9" t="n">
        <x:v>25.291000000000004</x:v>
      </x:c>
      <x:c r="J212" s="9" t="n">
        <x:v>51.51</x:v>
      </x:c>
      <x:c r="K212" s="2" t="n">
        <x:v>8</x:v>
      </x:c>
      <x:c r="L212" s="2" t="str">
        <x:v>Valid</x:v>
      </x:c>
      <x:c r="M212" s="2" t="str">
        <x:v>QR</x:v>
      </x:c>
      <x:c r="N212" s="2" t="n">
        <x:v>1</x:v>
      </x:c>
      <x:c r="O212" s="2" t="str">
        <x:v>Accepted</x:v>
      </x:c>
      <x:c r="P212" s="2" t="str">
        <x:v>S003</x:v>
      </x:c>
      <x:c r="Q212" s="2" t="str">
        <x:v>DEV003</x:v>
      </x:c>
      <x:c r="R212" s="2" t="n">
        <x:v>31</x:v>
      </x:c>
      <x:c r="S212" s="2" t="str">
        <x:v>Online</x:v>
      </x:c>
      <x:c r="T212" s="2" t="str">
        <x:v>Synced</x:v>
      </x:c>
    </x:row>
    <x:row r="213" ht="21" customHeight="1">
      <x:c r="A213" s="2" t="str">
        <x:v>EV000093</x:v>
      </x:c>
      <x:c r="B213" s="2" t="str">
        <x:v>T20261004-2-1</x:v>
      </x:c>
      <x:c r="C213" s="2" t="str">
        <x:v>ST038</x:v>
      </x:c>
      <x:c r="D213" s="2" t="str">
        <x:v>1ebedd777293ba897970ae7fc06b6301</x:v>
      </x:c>
      <x:c r="E213" s="2" t="str">
        <x:v>CHECK_IN</x:v>
      </x:c>
      <x:c r="F213" s="8" t="n">
        <x:v>46299.47663194444</x:v>
      </x:c>
      <x:c r="G213" s="8" t="n">
        <x:v>46299.476655092585</x:v>
      </x:c>
      <x:c r="H213" s="2" t="str">
        <x:v>R1S2</x:v>
      </x:c>
      <x:c r="I213" s="9" t="n">
        <x:v>25.273000000000003</x:v>
      </x:c>
      <x:c r="J213" s="9" t="n">
        <x:v>51.494</x:v>
      </x:c>
      <x:c r="K213" s="2" t="n">
        <x:v>8</x:v>
      </x:c>
      <x:c r="L213" s="2" t="str">
        <x:v>Valid</x:v>
      </x:c>
      <x:c r="M213" s="2" t="str">
        <x:v>QR</x:v>
      </x:c>
      <x:c r="N213" s="2" t="n">
        <x:v>1</x:v>
      </x:c>
      <x:c r="O213" s="2" t="str">
        <x:v>Accepted</x:v>
      </x:c>
      <x:c r="P213" s="2" t="str">
        <x:v>S001</x:v>
      </x:c>
      <x:c r="Q213" s="2" t="str">
        <x:v>DEV001</x:v>
      </x:c>
      <x:c r="R213" s="2" t="n">
        <x:v>30</x:v>
      </x:c>
      <x:c r="S213" s="2" t="str">
        <x:v>Online</x:v>
      </x:c>
      <x:c r="T213" s="2" t="str">
        <x:v>Synced</x:v>
      </x:c>
    </x:row>
    <x:row r="214" ht="21" customHeight="1">
      <x:c r="A214" s="2" t="str">
        <x:v>EV000253</x:v>
      </x:c>
      <x:c r="B214" s="2" t="str">
        <x:v>T20261004-2-2</x:v>
      </x:c>
      <x:c r="C214" s="2" t="str">
        <x:v>ST078</x:v>
      </x:c>
      <x:c r="D214" s="2" t="str">
        <x:v>737ab4e672bf11e638a47ae295f7e187</x:v>
      </x:c>
      <x:c r="E214" s="2" t="str">
        <x:v>CHECK_IN</x:v>
      </x:c>
      <x:c r="F214" s="8" t="n">
        <x:v>46299.47663194444</x:v>
      </x:c>
      <x:c r="G214" s="8" t="n">
        <x:v>46299.476655092585</x:v>
      </x:c>
      <x:c r="H214" s="2" t="str">
        <x:v>R2S2</x:v>
      </x:c>
      <x:c r="I214" s="9" t="n">
        <x:v>25.282000000000004</x:v>
      </x:c>
      <x:c r="J214" s="9" t="n">
        <x:v>51.501999999999995</x:v>
      </x:c>
      <x:c r="K214" s="2" t="n">
        <x:v>8</x:v>
      </x:c>
      <x:c r="L214" s="2" t="str">
        <x:v>Valid</x:v>
      </x:c>
      <x:c r="M214" s="2" t="str">
        <x:v>QR</x:v>
      </x:c>
      <x:c r="N214" s="2" t="n">
        <x:v>1</x:v>
      </x:c>
      <x:c r="O214" s="2" t="str">
        <x:v>Accepted</x:v>
      </x:c>
      <x:c r="P214" s="2" t="str">
        <x:v>S002</x:v>
      </x:c>
      <x:c r="Q214" s="2" t="str">
        <x:v>DEV002</x:v>
      </x:c>
      <x:c r="R214" s="2" t="n">
        <x:v>32</x:v>
      </x:c>
      <x:c r="S214" s="2" t="str">
        <x:v>Online</x:v>
      </x:c>
      <x:c r="T214" s="2" t="str">
        <x:v>Synced</x:v>
      </x:c>
    </x:row>
    <x:row r="215" ht="21" customHeight="1">
      <x:c r="A215" s="2" t="str">
        <x:v>EV000413</x:v>
      </x:c>
      <x:c r="B215" s="2" t="str">
        <x:v>T20261004-2-3</x:v>
      </x:c>
      <x:c r="C215" s="2" t="str">
        <x:v>ST118</x:v>
      </x:c>
      <x:c r="D215" s="2" t="str">
        <x:v>b15012a6111b47a10bdbbcbbd00c9f60</x:v>
      </x:c>
      <x:c r="E215" s="2" t="str">
        <x:v>CHECK_IN</x:v>
      </x:c>
      <x:c r="F215" s="8" t="n">
        <x:v>46299.47663194444</x:v>
      </x:c>
      <x:c r="G215" s="8" t="n">
        <x:v>46299.476655092585</x:v>
      </x:c>
      <x:c r="H215" s="2" t="str">
        <x:v>R3S2</x:v>
      </x:c>
      <x:c r="I215" s="9" t="n">
        <x:v>25.291000000000004</x:v>
      </x:c>
      <x:c r="J215" s="9" t="n">
        <x:v>51.51</x:v>
      </x:c>
      <x:c r="K215" s="2" t="n">
        <x:v>8</x:v>
      </x:c>
      <x:c r="L215" s="2" t="str">
        <x:v>Valid</x:v>
      </x:c>
      <x:c r="M215" s="2" t="str">
        <x:v>QR</x:v>
      </x:c>
      <x:c r="N215" s="2" t="n">
        <x:v>1</x:v>
      </x:c>
      <x:c r="O215" s="2" t="str">
        <x:v>Accepted</x:v>
      </x:c>
      <x:c r="P215" s="2" t="str">
        <x:v>S003</x:v>
      </x:c>
      <x:c r="Q215" s="2" t="str">
        <x:v>DEV003</x:v>
      </x:c>
      <x:c r="R215" s="2" t="n">
        <x:v>32</x:v>
      </x:c>
      <x:c r="S215" s="2" t="str">
        <x:v>Online</x:v>
      </x:c>
      <x:c r="T215" s="2" t="str">
        <x:v>Synced</x:v>
      </x:c>
    </x:row>
    <x:row r="216" ht="21" customHeight="1">
      <x:c r="A216" s="2" t="str">
        <x:v>EV000075</x:v>
      </x:c>
      <x:c r="B216" s="2" t="str">
        <x:v>T20261004-2-1</x:v>
      </x:c>
      <x:c r="C216" s="2" t="str">
        <x:v>ST029</x:v>
      </x:c>
      <x:c r="D216" s="2" t="str">
        <x:v>160c4caa69875e092299cd9b55dcda0b</x:v>
      </x:c>
      <x:c r="E216" s="2" t="str">
        <x:v>CHECK_IN</x:v>
      </x:c>
      <x:c r="F216" s="8" t="n">
        <x:v>46299.47666666666</x:v>
      </x:c>
      <x:c r="G216" s="8" t="n">
        <x:v>46299.47668981481</x:v>
      </x:c>
      <x:c r="H216" s="2" t="str">
        <x:v>R1S2</x:v>
      </x:c>
      <x:c r="I216" s="9" t="n">
        <x:v>25.273000000000003</x:v>
      </x:c>
      <x:c r="J216" s="9" t="n">
        <x:v>51.494</x:v>
      </x:c>
      <x:c r="K216" s="2" t="n">
        <x:v>8</x:v>
      </x:c>
      <x:c r="L216" s="2" t="str">
        <x:v>Valid</x:v>
      </x:c>
      <x:c r="M216" s="2" t="str">
        <x:v>QR</x:v>
      </x:c>
      <x:c r="N216" s="2" t="n">
        <x:v>1</x:v>
      </x:c>
      <x:c r="O216" s="2" t="str">
        <x:v>Accepted</x:v>
      </x:c>
      <x:c r="P216" s="2" t="str">
        <x:v>S001</x:v>
      </x:c>
      <x:c r="Q216" s="2" t="str">
        <x:v>DEV001</x:v>
      </x:c>
      <x:c r="R216" s="2" t="n">
        <x:v>31</x:v>
      </x:c>
      <x:c r="S216" s="2" t="str">
        <x:v>Online</x:v>
      </x:c>
      <x:c r="T216" s="2" t="str">
        <x:v>Synced</x:v>
      </x:c>
    </x:row>
    <x:row r="217" ht="21" customHeight="1">
      <x:c r="A217" s="2" t="str">
        <x:v>EV000235</x:v>
      </x:c>
      <x:c r="B217" s="2" t="str">
        <x:v>T20261004-2-2</x:v>
      </x:c>
      <x:c r="C217" s="2" t="str">
        <x:v>ST069</x:v>
      </x:c>
      <x:c r="D217" s="2" t="str">
        <x:v>d453525f57933d1df9d056e2e53ed3e4</x:v>
      </x:c>
      <x:c r="E217" s="2" t="str">
        <x:v>CHECK_IN</x:v>
      </x:c>
      <x:c r="F217" s="8" t="n">
        <x:v>46299.47666666666</x:v>
      </x:c>
      <x:c r="G217" s="8" t="n">
        <x:v>46299.47668981481</x:v>
      </x:c>
      <x:c r="H217" s="2" t="str">
        <x:v>R2S2</x:v>
      </x:c>
      <x:c r="I217" s="9" t="n">
        <x:v>25.282000000000004</x:v>
      </x:c>
      <x:c r="J217" s="9" t="n">
        <x:v>51.501999999999995</x:v>
      </x:c>
      <x:c r="K217" s="2" t="n">
        <x:v>8</x:v>
      </x:c>
      <x:c r="L217" s="2" t="str">
        <x:v>Valid</x:v>
      </x:c>
      <x:c r="M217" s="2" t="str">
        <x:v>QR</x:v>
      </x:c>
      <x:c r="N217" s="2" t="n">
        <x:v>1</x:v>
      </x:c>
      <x:c r="O217" s="2" t="str">
        <x:v>Accepted</x:v>
      </x:c>
      <x:c r="P217" s="2" t="str">
        <x:v>S002</x:v>
      </x:c>
      <x:c r="Q217" s="2" t="str">
        <x:v>DEV002</x:v>
      </x:c>
      <x:c r="R217" s="2" t="n">
        <x:v>33</x:v>
      </x:c>
      <x:c r="S217" s="2" t="str">
        <x:v>Online</x:v>
      </x:c>
      <x:c r="T217" s="2" t="str">
        <x:v>Synced</x:v>
      </x:c>
    </x:row>
    <x:row r="218" ht="21" customHeight="1">
      <x:c r="A218" s="2" t="str">
        <x:v>EV000395</x:v>
      </x:c>
      <x:c r="B218" s="2" t="str">
        <x:v>T20261004-2-3</x:v>
      </x:c>
      <x:c r="C218" s="2" t="str">
        <x:v>ST109</x:v>
      </x:c>
      <x:c r="D218" s="2" t="str">
        <x:v>dfd493c800846e3efc35048335bd557b</x:v>
      </x:c>
      <x:c r="E218" s="2" t="str">
        <x:v>CHECK_IN</x:v>
      </x:c>
      <x:c r="F218" s="8" t="n">
        <x:v>46299.47666666666</x:v>
      </x:c>
      <x:c r="G218" s="8" t="n">
        <x:v>46299.47668981481</x:v>
      </x:c>
      <x:c r="H218" s="2" t="str">
        <x:v>R3S2</x:v>
      </x:c>
      <x:c r="I218" s="9" t="n">
        <x:v>25.291000000000004</x:v>
      </x:c>
      <x:c r="J218" s="9" t="n">
        <x:v>51.51</x:v>
      </x:c>
      <x:c r="K218" s="2" t="n">
        <x:v>8</x:v>
      </x:c>
      <x:c r="L218" s="2" t="str">
        <x:v>Valid</x:v>
      </x:c>
      <x:c r="M218" s="2" t="str">
        <x:v>QR</x:v>
      </x:c>
      <x:c r="N218" s="2" t="n">
        <x:v>1</x:v>
      </x:c>
      <x:c r="O218" s="2" t="str">
        <x:v>Accepted</x:v>
      </x:c>
      <x:c r="P218" s="2" t="str">
        <x:v>S003</x:v>
      </x:c>
      <x:c r="Q218" s="2" t="str">
        <x:v>DEV003</x:v>
      </x:c>
      <x:c r="R218" s="2" t="n">
        <x:v>33</x:v>
      </x:c>
      <x:c r="S218" s="2" t="str">
        <x:v>Online</x:v>
      </x:c>
      <x:c r="T218" s="2" t="str">
        <x:v>Synced</x:v>
      </x:c>
    </x:row>
    <x:row r="219" ht="21" customHeight="1">
      <x:c r="A219" s="2" t="str">
        <x:v>EV000059</x:v>
      </x:c>
      <x:c r="B219" s="2" t="str">
        <x:v>T20261004-2-1</x:v>
      </x:c>
      <x:c r="C219" s="2" t="str">
        <x:v>ST021</x:v>
      </x:c>
      <x:c r="D219" s="2" t="str">
        <x:v>9b1608e5663d6da53cd805c8051dedd7</x:v>
      </x:c>
      <x:c r="E219" s="2" t="str">
        <x:v>CHECK_IN</x:v>
      </x:c>
      <x:c r="F219" s="8" t="n">
        <x:v>46299.48125</x:v>
      </x:c>
      <x:c r="G219" s="8" t="n">
        <x:v>46299.48127314814</x:v>
      </x:c>
      <x:c r="H219" s="2" t="str">
        <x:v>R1S3</x:v>
      </x:c>
      <x:c r="I219" s="9" t="n">
        <x:v>25.275000000000002</x:v>
      </x:c>
      <x:c r="J219" s="9" t="n">
        <x:v>51.497</x:v>
      </x:c>
      <x:c r="K219" s="2" t="n">
        <x:v>8</x:v>
      </x:c>
      <x:c r="L219" s="2" t="str">
        <x:v>Valid</x:v>
      </x:c>
      <x:c r="M219" s="2" t="str">
        <x:v>QR</x:v>
      </x:c>
      <x:c r="N219" s="2" t="n">
        <x:v>1</x:v>
      </x:c>
      <x:c r="O219" s="2" t="str">
        <x:v>Accepted</x:v>
      </x:c>
      <x:c r="P219" s="2" t="str">
        <x:v>S001</x:v>
      </x:c>
      <x:c r="Q219" s="2" t="str">
        <x:v>DEV001</x:v>
      </x:c>
      <x:c r="R219" s="2" t="n">
        <x:v>32</x:v>
      </x:c>
      <x:c r="S219" s="2" t="str">
        <x:v>Online</x:v>
      </x:c>
      <x:c r="T219" s="2" t="str">
        <x:v>Synced</x:v>
      </x:c>
    </x:row>
    <x:row r="220" ht="21" customHeight="1">
      <x:c r="A220" s="2" t="str">
        <x:v>EV000219</x:v>
      </x:c>
      <x:c r="B220" s="2" t="str">
        <x:v>T20261004-2-2</x:v>
      </x:c>
      <x:c r="C220" s="2" t="str">
        <x:v>ST061</x:v>
      </x:c>
      <x:c r="D220" s="2" t="str">
        <x:v>c547cb31f14853ae1f9f2436554d3271</x:v>
      </x:c>
      <x:c r="E220" s="2" t="str">
        <x:v>CHECK_IN</x:v>
      </x:c>
      <x:c r="F220" s="8" t="n">
        <x:v>46299.48125</x:v>
      </x:c>
      <x:c r="G220" s="8" t="n">
        <x:v>46299.48127314814</x:v>
      </x:c>
      <x:c r="H220" s="2" t="str">
        <x:v>R2S3</x:v>
      </x:c>
      <x:c r="I220" s="9" t="n">
        <x:v>25.284000000000002</x:v>
      </x:c>
      <x:c r="J220" s="9" t="n">
        <x:v>51.504999999999995</x:v>
      </x:c>
      <x:c r="K220" s="2" t="n">
        <x:v>8</x:v>
      </x:c>
      <x:c r="L220" s="2" t="str">
        <x:v>Valid</x:v>
      </x:c>
      <x:c r="M220" s="2" t="str">
        <x:v>QR</x:v>
      </x:c>
      <x:c r="N220" s="2" t="n">
        <x:v>1</x:v>
      </x:c>
      <x:c r="O220" s="2" t="str">
        <x:v>Accepted</x:v>
      </x:c>
      <x:c r="P220" s="2" t="str">
        <x:v>S002</x:v>
      </x:c>
      <x:c r="Q220" s="2" t="str">
        <x:v>DEV002</x:v>
      </x:c>
      <x:c r="R220" s="2" t="n">
        <x:v>34</x:v>
      </x:c>
      <x:c r="S220" s="2" t="str">
        <x:v>Online</x:v>
      </x:c>
      <x:c r="T220" s="2" t="str">
        <x:v>Synced</x:v>
      </x:c>
    </x:row>
    <x:row r="221" ht="21" customHeight="1">
      <x:c r="A221" s="2" t="str">
        <x:v>EV000379</x:v>
      </x:c>
      <x:c r="B221" s="2" t="str">
        <x:v>T20261004-2-3</x:v>
      </x:c>
      <x:c r="C221" s="2" t="str">
        <x:v>ST101</x:v>
      </x:c>
      <x:c r="D221" s="2" t="str">
        <x:v>9f8e180c63d3ff8d3e393db3573884a8</x:v>
      </x:c>
      <x:c r="E221" s="2" t="str">
        <x:v>CHECK_IN</x:v>
      </x:c>
      <x:c r="F221" s="8" t="n">
        <x:v>46299.48125</x:v>
      </x:c>
      <x:c r="G221" s="8" t="n">
        <x:v>46299.48127314814</x:v>
      </x:c>
      <x:c r="H221" s="2" t="str">
        <x:v>R3S3</x:v>
      </x:c>
      <x:c r="I221" s="9" t="n">
        <x:v>25.293000000000003</x:v>
      </x:c>
      <x:c r="J221" s="9" t="n">
        <x:v>51.513</x:v>
      </x:c>
      <x:c r="K221" s="2" t="n">
        <x:v>8</x:v>
      </x:c>
      <x:c r="L221" s="2" t="str">
        <x:v>Valid</x:v>
      </x:c>
      <x:c r="M221" s="2" t="str">
        <x:v>QR</x:v>
      </x:c>
      <x:c r="N221" s="2" t="n">
        <x:v>1</x:v>
      </x:c>
      <x:c r="O221" s="2" t="str">
        <x:v>Accepted</x:v>
      </x:c>
      <x:c r="P221" s="2" t="str">
        <x:v>S003</x:v>
      </x:c>
      <x:c r="Q221" s="2" t="str">
        <x:v>DEV003</x:v>
      </x:c>
      <x:c r="R221" s="2" t="n">
        <x:v>34</x:v>
      </x:c>
      <x:c r="S221" s="2" t="str">
        <x:v>Online</x:v>
      </x:c>
      <x:c r="T221" s="2" t="str">
        <x:v>Synced</x:v>
      </x:c>
    </x:row>
    <x:row r="222" ht="21" customHeight="1">
      <x:c r="A222" s="2" t="str">
        <x:v>EV000083</x:v>
      </x:c>
      <x:c r="B222" s="2" t="str">
        <x:v>T20261004-2-1</x:v>
      </x:c>
      <x:c r="C222" s="2" t="str">
        <x:v>ST033</x:v>
      </x:c>
      <x:c r="D222" s="2" t="str">
        <x:v>c9cc8ddf1b5bae8b49929340838e300a</x:v>
      </x:c>
      <x:c r="E222" s="2" t="str">
        <x:v>CHECK_IN</x:v>
      </x:c>
      <x:c r="F222" s="8" t="n">
        <x:v>46299.48131944444</x:v>
      </x:c>
      <x:c r="G222" s="8" t="n">
        <x:v>46299.48134259259</x:v>
      </x:c>
      <x:c r="H222" s="2" t="str">
        <x:v>R1S3</x:v>
      </x:c>
      <x:c r="I222" s="9" t="n">
        <x:v>25.275000000000002</x:v>
      </x:c>
      <x:c r="J222" s="9" t="n">
        <x:v>51.497</x:v>
      </x:c>
      <x:c r="K222" s="2" t="n">
        <x:v>8</x:v>
      </x:c>
      <x:c r="L222" s="2" t="str">
        <x:v>Valid</x:v>
      </x:c>
      <x:c r="M222" s="2" t="str">
        <x:v>QR</x:v>
      </x:c>
      <x:c r="N222" s="2" t="n">
        <x:v>1</x:v>
      </x:c>
      <x:c r="O222" s="2" t="str">
        <x:v>Accepted</x:v>
      </x:c>
      <x:c r="P222" s="2" t="str">
        <x:v>S001</x:v>
      </x:c>
      <x:c r="Q222" s="2" t="str">
        <x:v>DEV001</x:v>
      </x:c>
      <x:c r="R222" s="2" t="n">
        <x:v>33</x:v>
      </x:c>
      <x:c r="S222" s="2" t="str">
        <x:v>Online</x:v>
      </x:c>
      <x:c r="T222" s="2" t="str">
        <x:v>Synced</x:v>
      </x:c>
    </x:row>
    <x:row r="223" ht="21" customHeight="1">
      <x:c r="A223" s="2" t="str">
        <x:v>EV000243</x:v>
      </x:c>
      <x:c r="B223" s="2" t="str">
        <x:v>T20261004-2-2</x:v>
      </x:c>
      <x:c r="C223" s="2" t="str">
        <x:v>ST073</x:v>
      </x:c>
      <x:c r="D223" s="2" t="str">
        <x:v>b27180ce7590c0aac206d465f318b712</x:v>
      </x:c>
      <x:c r="E223" s="2" t="str">
        <x:v>CHECK_IN</x:v>
      </x:c>
      <x:c r="F223" s="8" t="n">
        <x:v>46299.48131944444</x:v>
      </x:c>
      <x:c r="G223" s="8" t="n">
        <x:v>46299.48134259259</x:v>
      </x:c>
      <x:c r="H223" s="2" t="str">
        <x:v>R2S3</x:v>
      </x:c>
      <x:c r="I223" s="9" t="n">
        <x:v>25.284000000000002</x:v>
      </x:c>
      <x:c r="J223" s="9" t="n">
        <x:v>51.504999999999995</x:v>
      </x:c>
      <x:c r="K223" s="2" t="n">
        <x:v>8</x:v>
      </x:c>
      <x:c r="L223" s="2" t="str">
        <x:v>Valid</x:v>
      </x:c>
      <x:c r="M223" s="2" t="str">
        <x:v>QR</x:v>
      </x:c>
      <x:c r="N223" s="2" t="n">
        <x:v>1</x:v>
      </x:c>
      <x:c r="O223" s="2" t="str">
        <x:v>Accepted</x:v>
      </x:c>
      <x:c r="P223" s="2" t="str">
        <x:v>S002</x:v>
      </x:c>
      <x:c r="Q223" s="2" t="str">
        <x:v>DEV002</x:v>
      </x:c>
      <x:c r="R223" s="2" t="n">
        <x:v>35</x:v>
      </x:c>
      <x:c r="S223" s="2" t="str">
        <x:v>Online</x:v>
      </x:c>
      <x:c r="T223" s="2" t="str">
        <x:v>Synced</x:v>
      </x:c>
    </x:row>
    <x:row r="224" ht="21" customHeight="1">
      <x:c r="A224" s="2" t="str">
        <x:v>EV000403</x:v>
      </x:c>
      <x:c r="B224" s="2" t="str">
        <x:v>T20261004-2-3</x:v>
      </x:c>
      <x:c r="C224" s="2" t="str">
        <x:v>ST113</x:v>
      </x:c>
      <x:c r="D224" s="2" t="str">
        <x:v>c3781e168737a6cc1190d4415801c440</x:v>
      </x:c>
      <x:c r="E224" s="2" t="str">
        <x:v>CHECK_IN</x:v>
      </x:c>
      <x:c r="F224" s="8" t="n">
        <x:v>46299.48131944444</x:v>
      </x:c>
      <x:c r="G224" s="8" t="n">
        <x:v>46299.48134259259</x:v>
      </x:c>
      <x:c r="H224" s="2" t="str">
        <x:v>R3S3</x:v>
      </x:c>
      <x:c r="I224" s="9" t="n">
        <x:v>25.293000000000003</x:v>
      </x:c>
      <x:c r="J224" s="9" t="n">
        <x:v>51.513</x:v>
      </x:c>
      <x:c r="K224" s="2" t="n">
        <x:v>8</x:v>
      </x:c>
      <x:c r="L224" s="2" t="str">
        <x:v>Valid</x:v>
      </x:c>
      <x:c r="M224" s="2" t="str">
        <x:v>QR</x:v>
      </x:c>
      <x:c r="N224" s="2" t="n">
        <x:v>1</x:v>
      </x:c>
      <x:c r="O224" s="2" t="str">
        <x:v>Accepted</x:v>
      </x:c>
      <x:c r="P224" s="2" t="str">
        <x:v>S003</x:v>
      </x:c>
      <x:c r="Q224" s="2" t="str">
        <x:v>DEV003</x:v>
      </x:c>
      <x:c r="R224" s="2" t="n">
        <x:v>35</x:v>
      </x:c>
      <x:c r="S224" s="2" t="str">
        <x:v>Online</x:v>
      </x:c>
      <x:c r="T224" s="2" t="str">
        <x:v>Synced</x:v>
      </x:c>
    </x:row>
    <x:row r="225" ht="21" customHeight="1">
      <x:c r="A225" s="2" t="str">
        <x:v>EV000065</x:v>
      </x:c>
      <x:c r="B225" s="2" t="str">
        <x:v>T20261004-2-1</x:v>
      </x:c>
      <x:c r="C225" s="2" t="str">
        <x:v>ST024</x:v>
      </x:c>
      <x:c r="D225" s="2" t="str">
        <x:v>df785f1577b8ee7f71835020d03a12a6</x:v>
      </x:c>
      <x:c r="E225" s="2" t="str">
        <x:v>CHECK_IN</x:v>
      </x:c>
      <x:c r="F225" s="8" t="n">
        <x:v>46299.481354166666</x:v>
      </x:c>
      <x:c r="G225" s="8" t="n">
        <x:v>46299.48137731481</x:v>
      </x:c>
      <x:c r="H225" s="2" t="str">
        <x:v>R1S3</x:v>
      </x:c>
      <x:c r="I225" s="9" t="n">
        <x:v>25.275000000000002</x:v>
      </x:c>
      <x:c r="J225" s="9" t="n">
        <x:v>51.497</x:v>
      </x:c>
      <x:c r="K225" s="2" t="n">
        <x:v>8</x:v>
      </x:c>
      <x:c r="L225" s="2" t="str">
        <x:v>Valid</x:v>
      </x:c>
      <x:c r="M225" s="2" t="str">
        <x:v>QR</x:v>
      </x:c>
      <x:c r="N225" s="2" t="n">
        <x:v>1</x:v>
      </x:c>
      <x:c r="O225" s="2" t="str">
        <x:v>Accepted</x:v>
      </x:c>
      <x:c r="P225" s="2" t="str">
        <x:v>S001</x:v>
      </x:c>
      <x:c r="Q225" s="2" t="str">
        <x:v>DEV001</x:v>
      </x:c>
      <x:c r="R225" s="2" t="n">
        <x:v>34</x:v>
      </x:c>
      <x:c r="S225" s="2" t="str">
        <x:v>Online</x:v>
      </x:c>
      <x:c r="T225" s="2" t="str">
        <x:v>Synced</x:v>
      </x:c>
    </x:row>
    <x:row r="226" ht="21" customHeight="1">
      <x:c r="A226" s="2" t="str">
        <x:v>EV000225</x:v>
      </x:c>
      <x:c r="B226" s="2" t="str">
        <x:v>T20261004-2-2</x:v>
      </x:c>
      <x:c r="C226" s="2" t="str">
        <x:v>ST064</x:v>
      </x:c>
      <x:c r="D226" s="2" t="str">
        <x:v>80debd99a6cfe1ca0800304796fd69ff</x:v>
      </x:c>
      <x:c r="E226" s="2" t="str">
        <x:v>CHECK_IN</x:v>
      </x:c>
      <x:c r="F226" s="8" t="n">
        <x:v>46299.481354166666</x:v>
      </x:c>
      <x:c r="G226" s="8" t="n">
        <x:v>46299.48137731481</x:v>
      </x:c>
      <x:c r="H226" s="2" t="str">
        <x:v>R2S3</x:v>
      </x:c>
      <x:c r="I226" s="9" t="n">
        <x:v>25.284000000000002</x:v>
      </x:c>
      <x:c r="J226" s="9" t="n">
        <x:v>51.504999999999995</x:v>
      </x:c>
      <x:c r="K226" s="2" t="n">
        <x:v>8</x:v>
      </x:c>
      <x:c r="L226" s="2" t="str">
        <x:v>Valid</x:v>
      </x:c>
      <x:c r="M226" s="2" t="str">
        <x:v>QR</x:v>
      </x:c>
      <x:c r="N226" s="2" t="n">
        <x:v>1</x:v>
      </x:c>
      <x:c r="O226" s="2" t="str">
        <x:v>Accepted</x:v>
      </x:c>
      <x:c r="P226" s="2" t="str">
        <x:v>S002</x:v>
      </x:c>
      <x:c r="Q226" s="2" t="str">
        <x:v>DEV002</x:v>
      </x:c>
      <x:c r="R226" s="2" t="n">
        <x:v>36</x:v>
      </x:c>
      <x:c r="S226" s="2" t="str">
        <x:v>Online</x:v>
      </x:c>
      <x:c r="T226" s="2" t="str">
        <x:v>Synced</x:v>
      </x:c>
    </x:row>
    <x:row r="227" ht="21" customHeight="1">
      <x:c r="A227" s="2" t="str">
        <x:v>EV000385</x:v>
      </x:c>
      <x:c r="B227" s="2" t="str">
        <x:v>T20261004-2-3</x:v>
      </x:c>
      <x:c r="C227" s="2" t="str">
        <x:v>ST104</x:v>
      </x:c>
      <x:c r="D227" s="2" t="str">
        <x:v>12167381f9b78201d830c40ef6208ce4</x:v>
      </x:c>
      <x:c r="E227" s="2" t="str">
        <x:v>CHECK_IN</x:v>
      </x:c>
      <x:c r="F227" s="8" t="n">
        <x:v>46299.481354166666</x:v>
      </x:c>
      <x:c r="G227" s="8" t="n">
        <x:v>46299.48137731481</x:v>
      </x:c>
      <x:c r="H227" s="2" t="str">
        <x:v>R3S3</x:v>
      </x:c>
      <x:c r="I227" s="9" t="n">
        <x:v>25.293000000000003</x:v>
      </x:c>
      <x:c r="J227" s="9" t="n">
        <x:v>51.513</x:v>
      </x:c>
      <x:c r="K227" s="2" t="n">
        <x:v>8</x:v>
      </x:c>
      <x:c r="L227" s="2" t="str">
        <x:v>Valid</x:v>
      </x:c>
      <x:c r="M227" s="2" t="str">
        <x:v>QR</x:v>
      </x:c>
      <x:c r="N227" s="2" t="n">
        <x:v>1</x:v>
      </x:c>
      <x:c r="O227" s="2" t="str">
        <x:v>Accepted</x:v>
      </x:c>
      <x:c r="P227" s="2" t="str">
        <x:v>S003</x:v>
      </x:c>
      <x:c r="Q227" s="2" t="str">
        <x:v>DEV003</x:v>
      </x:c>
      <x:c r="R227" s="2" t="n">
        <x:v>36</x:v>
      </x:c>
      <x:c r="S227" s="2" t="str">
        <x:v>Online</x:v>
      </x:c>
      <x:c r="T227" s="2" t="str">
        <x:v>Synced</x:v>
      </x:c>
    </x:row>
    <x:row r="228" ht="21" customHeight="1">
      <x:c r="A228" s="2" t="str">
        <x:v>EV000089</x:v>
      </x:c>
      <x:c r="B228" s="2" t="str">
        <x:v>T20261004-2-1</x:v>
      </x:c>
      <x:c r="C228" s="2" t="str">
        <x:v>ST036</x:v>
      </x:c>
      <x:c r="D228" s="2" t="str">
        <x:v>7e42555e63455121ac9f1b3710bc905c</x:v>
      </x:c>
      <x:c r="E228" s="2" t="str">
        <x:v>CHECK_IN</x:v>
      </x:c>
      <x:c r="F228" s="8" t="n">
        <x:v>46299.481423611105</x:v>
      </x:c>
      <x:c r="G228" s="8" t="n">
        <x:v>46299.48144675925</x:v>
      </x:c>
      <x:c r="H228" s="2" t="str">
        <x:v>R1S3</x:v>
      </x:c>
      <x:c r="I228" s="9" t="n">
        <x:v>25.275000000000002</x:v>
      </x:c>
      <x:c r="J228" s="9" t="n">
        <x:v>51.497</x:v>
      </x:c>
      <x:c r="K228" s="2" t="n">
        <x:v>8</x:v>
      </x:c>
      <x:c r="L228" s="2" t="str">
        <x:v>Valid</x:v>
      </x:c>
      <x:c r="M228" s="2" t="str">
        <x:v>QR</x:v>
      </x:c>
      <x:c r="N228" s="2" t="n">
        <x:v>1</x:v>
      </x:c>
      <x:c r="O228" s="2" t="str">
        <x:v>Accepted</x:v>
      </x:c>
      <x:c r="P228" s="2" t="str">
        <x:v>S001</x:v>
      </x:c>
      <x:c r="Q228" s="2" t="str">
        <x:v>DEV001</x:v>
      </x:c>
      <x:c r="R228" s="2" t="n">
        <x:v>35</x:v>
      </x:c>
      <x:c r="S228" s="2" t="str">
        <x:v>Online</x:v>
      </x:c>
      <x:c r="T228" s="2" t="str">
        <x:v>Synced</x:v>
      </x:c>
    </x:row>
    <x:row r="229" ht="21" customHeight="1">
      <x:c r="A229" s="2" t="str">
        <x:v>EV000249</x:v>
      </x:c>
      <x:c r="B229" s="2" t="str">
        <x:v>T20261004-2-2</x:v>
      </x:c>
      <x:c r="C229" s="2" t="str">
        <x:v>ST076</x:v>
      </x:c>
      <x:c r="D229" s="2" t="str">
        <x:v>08979b9eef223b076885fe932d9f2bca</x:v>
      </x:c>
      <x:c r="E229" s="2" t="str">
        <x:v>CHECK_IN</x:v>
      </x:c>
      <x:c r="F229" s="8" t="n">
        <x:v>46299.481423611105</x:v>
      </x:c>
      <x:c r="G229" s="8" t="n">
        <x:v>46299.48144675925</x:v>
      </x:c>
      <x:c r="H229" s="2" t="str">
        <x:v>R2S3</x:v>
      </x:c>
      <x:c r="I229" s="9" t="n">
        <x:v>25.284000000000002</x:v>
      </x:c>
      <x:c r="J229" s="9" t="n">
        <x:v>51.504999999999995</x:v>
      </x:c>
      <x:c r="K229" s="2" t="n">
        <x:v>8</x:v>
      </x:c>
      <x:c r="L229" s="2" t="str">
        <x:v>Valid</x:v>
      </x:c>
      <x:c r="M229" s="2" t="str">
        <x:v>QR</x:v>
      </x:c>
      <x:c r="N229" s="2" t="n">
        <x:v>1</x:v>
      </x:c>
      <x:c r="O229" s="2" t="str">
        <x:v>Accepted</x:v>
      </x:c>
      <x:c r="P229" s="2" t="str">
        <x:v>S002</x:v>
      </x:c>
      <x:c r="Q229" s="2" t="str">
        <x:v>DEV002</x:v>
      </x:c>
      <x:c r="R229" s="2" t="n">
        <x:v>37</x:v>
      </x:c>
      <x:c r="S229" s="2" t="str">
        <x:v>Online</x:v>
      </x:c>
      <x:c r="T229" s="2" t="str">
        <x:v>Synced</x:v>
      </x:c>
    </x:row>
    <x:row r="230" ht="21" customHeight="1">
      <x:c r="A230" s="2" t="str">
        <x:v>EV000409</x:v>
      </x:c>
      <x:c r="B230" s="2" t="str">
        <x:v>T20261004-2-3</x:v>
      </x:c>
      <x:c r="C230" s="2" t="str">
        <x:v>ST116</x:v>
      </x:c>
      <x:c r="D230" s="2" t="str">
        <x:v>1c1fddc89afc564845795907cf1b7b0e</x:v>
      </x:c>
      <x:c r="E230" s="2" t="str">
        <x:v>CHECK_IN</x:v>
      </x:c>
      <x:c r="F230" s="8" t="n">
        <x:v>46299.481423611105</x:v>
      </x:c>
      <x:c r="G230" s="8" t="n">
        <x:v>46299.48144675925</x:v>
      </x:c>
      <x:c r="H230" s="2" t="str">
        <x:v>R3S3</x:v>
      </x:c>
      <x:c r="I230" s="9" t="n">
        <x:v>25.293000000000003</x:v>
      </x:c>
      <x:c r="J230" s="9" t="n">
        <x:v>51.513</x:v>
      </x:c>
      <x:c r="K230" s="2" t="n">
        <x:v>8</x:v>
      </x:c>
      <x:c r="L230" s="2" t="str">
        <x:v>Valid</x:v>
      </x:c>
      <x:c r="M230" s="2" t="str">
        <x:v>QR</x:v>
      </x:c>
      <x:c r="N230" s="2" t="n">
        <x:v>1</x:v>
      </x:c>
      <x:c r="O230" s="2" t="str">
        <x:v>Accepted</x:v>
      </x:c>
      <x:c r="P230" s="2" t="str">
        <x:v>S003</x:v>
      </x:c>
      <x:c r="Q230" s="2" t="str">
        <x:v>DEV003</x:v>
      </x:c>
      <x:c r="R230" s="2" t="n">
        <x:v>37</x:v>
      </x:c>
      <x:c r="S230" s="2" t="str">
        <x:v>Online</x:v>
      </x:c>
      <x:c r="T230" s="2" t="str">
        <x:v>Synced</x:v>
      </x:c>
    </x:row>
    <x:row r="231" ht="21" customHeight="1">
      <x:c r="A231" s="2" t="str">
        <x:v>EV000071</x:v>
      </x:c>
      <x:c r="B231" s="2" t="str">
        <x:v>T20261004-2-1</x:v>
      </x:c>
      <x:c r="C231" s="2" t="str">
        <x:v>ST027</x:v>
      </x:c>
      <x:c r="D231" s="2" t="str">
        <x:v>87868c08c06226359ca5121a9563bb63</x:v>
      </x:c>
      <x:c r="E231" s="2" t="str">
        <x:v>CHECK_IN</x:v>
      </x:c>
      <x:c r="F231" s="8" t="n">
        <x:v>46299.48145833333</x:v>
      </x:c>
      <x:c r="G231" s="8" t="n">
        <x:v>46299.481481481474</x:v>
      </x:c>
      <x:c r="H231" s="2" t="str">
        <x:v>R1S3</x:v>
      </x:c>
      <x:c r="I231" s="9" t="n">
        <x:v>25.275000000000002</x:v>
      </x:c>
      <x:c r="J231" s="9" t="n">
        <x:v>51.497</x:v>
      </x:c>
      <x:c r="K231" s="2" t="n">
        <x:v>8</x:v>
      </x:c>
      <x:c r="L231" s="2" t="str">
        <x:v>Valid</x:v>
      </x:c>
      <x:c r="M231" s="2" t="str">
        <x:v>QR</x:v>
      </x:c>
      <x:c r="N231" s="2" t="n">
        <x:v>1</x:v>
      </x:c>
      <x:c r="O231" s="2" t="str">
        <x:v>Accepted</x:v>
      </x:c>
      <x:c r="P231" s="2" t="str">
        <x:v>S001</x:v>
      </x:c>
      <x:c r="Q231" s="2" t="str">
        <x:v>DEV001</x:v>
      </x:c>
      <x:c r="R231" s="2" t="n">
        <x:v>36</x:v>
      </x:c>
      <x:c r="S231" s="2" t="str">
        <x:v>Online</x:v>
      </x:c>
      <x:c r="T231" s="2" t="str">
        <x:v>Synced</x:v>
      </x:c>
    </x:row>
    <x:row r="232" ht="21" customHeight="1">
      <x:c r="A232" s="2" t="str">
        <x:v>EV000231</x:v>
      </x:c>
      <x:c r="B232" s="2" t="str">
        <x:v>T20261004-2-2</x:v>
      </x:c>
      <x:c r="C232" s="2" t="str">
        <x:v>ST067</x:v>
      </x:c>
      <x:c r="D232" s="2" t="str">
        <x:v>66c3e7b11abae76912fea37c6c7ce00c</x:v>
      </x:c>
      <x:c r="E232" s="2" t="str">
        <x:v>CHECK_IN</x:v>
      </x:c>
      <x:c r="F232" s="8" t="n">
        <x:v>46299.48145833333</x:v>
      </x:c>
      <x:c r="G232" s="8" t="n">
        <x:v>46299.481481481474</x:v>
      </x:c>
      <x:c r="H232" s="2" t="str">
        <x:v>R2S3</x:v>
      </x:c>
      <x:c r="I232" s="9" t="n">
        <x:v>25.284000000000002</x:v>
      </x:c>
      <x:c r="J232" s="9" t="n">
        <x:v>51.504999999999995</x:v>
      </x:c>
      <x:c r="K232" s="2" t="n">
        <x:v>8</x:v>
      </x:c>
      <x:c r="L232" s="2" t="str">
        <x:v>Valid</x:v>
      </x:c>
      <x:c r="M232" s="2" t="str">
        <x:v>QR</x:v>
      </x:c>
      <x:c r="N232" s="2" t="n">
        <x:v>1</x:v>
      </x:c>
      <x:c r="O232" s="2" t="str">
        <x:v>Accepted</x:v>
      </x:c>
      <x:c r="P232" s="2" t="str">
        <x:v>S002</x:v>
      </x:c>
      <x:c r="Q232" s="2" t="str">
        <x:v>DEV002</x:v>
      </x:c>
      <x:c r="R232" s="2" t="n">
        <x:v>38</x:v>
      </x:c>
      <x:c r="S232" s="2" t="str">
        <x:v>Online</x:v>
      </x:c>
      <x:c r="T232" s="2" t="str">
        <x:v>Synced</x:v>
      </x:c>
    </x:row>
    <x:row r="233" ht="21" customHeight="1">
      <x:c r="A233" s="2" t="str">
        <x:v>EV000391</x:v>
      </x:c>
      <x:c r="B233" s="2" t="str">
        <x:v>T20261004-2-3</x:v>
      </x:c>
      <x:c r="C233" s="2" t="str">
        <x:v>ST107</x:v>
      </x:c>
      <x:c r="D233" s="2" t="str">
        <x:v>4a2bb35840a3b4fc7e804e2d710c14f4</x:v>
      </x:c>
      <x:c r="E233" s="2" t="str">
        <x:v>CHECK_IN</x:v>
      </x:c>
      <x:c r="F233" s="8" t="n">
        <x:v>46299.48145833333</x:v>
      </x:c>
      <x:c r="G233" s="8" t="n">
        <x:v>46299.481481481474</x:v>
      </x:c>
      <x:c r="H233" s="2" t="str">
        <x:v>R3S3</x:v>
      </x:c>
      <x:c r="I233" s="9" t="n">
        <x:v>25.293000000000003</x:v>
      </x:c>
      <x:c r="J233" s="9" t="n">
        <x:v>51.513</x:v>
      </x:c>
      <x:c r="K233" s="2" t="n">
        <x:v>8</x:v>
      </x:c>
      <x:c r="L233" s="2" t="str">
        <x:v>Valid</x:v>
      </x:c>
      <x:c r="M233" s="2" t="str">
        <x:v>QR</x:v>
      </x:c>
      <x:c r="N233" s="2" t="n">
        <x:v>1</x:v>
      </x:c>
      <x:c r="O233" s="2" t="str">
        <x:v>Accepted</x:v>
      </x:c>
      <x:c r="P233" s="2" t="str">
        <x:v>S003</x:v>
      </x:c>
      <x:c r="Q233" s="2" t="str">
        <x:v>DEV003</x:v>
      </x:c>
      <x:c r="R233" s="2" t="n">
        <x:v>38</x:v>
      </x:c>
      <x:c r="S233" s="2" t="str">
        <x:v>Online</x:v>
      </x:c>
      <x:c r="T233" s="2" t="str">
        <x:v>Synced</x:v>
      </x:c>
    </x:row>
    <x:row r="234" ht="21" customHeight="1">
      <x:c r="A234" s="2" t="str">
        <x:v>EV000095</x:v>
      </x:c>
      <x:c r="B234" s="2" t="str">
        <x:v>T20261004-2-1</x:v>
      </x:c>
      <x:c r="C234" s="2" t="str">
        <x:v>ST039</x:v>
      </x:c>
      <x:c r="D234" s="2" t="str">
        <x:v>31ed548c9c06f555ac72ac2281bbb58a</x:v>
      </x:c>
      <x:c r="E234" s="2" t="str">
        <x:v>CHECK_IN</x:v>
      </x:c>
      <x:c r="F234" s="8" t="n">
        <x:v>46299.481527777774</x:v>
      </x:c>
      <x:c r="G234" s="8" t="n">
        <x:v>46299.48155092592</x:v>
      </x:c>
      <x:c r="H234" s="2" t="str">
        <x:v>R1S3</x:v>
      </x:c>
      <x:c r="I234" s="9" t="n">
        <x:v>25.275000000000002</x:v>
      </x:c>
      <x:c r="J234" s="9" t="n">
        <x:v>51.497</x:v>
      </x:c>
      <x:c r="K234" s="2" t="n">
        <x:v>8</x:v>
      </x:c>
      <x:c r="L234" s="2" t="str">
        <x:v>Valid</x:v>
      </x:c>
      <x:c r="M234" s="2" t="str">
        <x:v>QR</x:v>
      </x:c>
      <x:c r="N234" s="2" t="n">
        <x:v>1</x:v>
      </x:c>
      <x:c r="O234" s="2" t="str">
        <x:v>Accepted</x:v>
      </x:c>
      <x:c r="P234" s="2" t="str">
        <x:v>S001</x:v>
      </x:c>
      <x:c r="Q234" s="2" t="str">
        <x:v>DEV001</x:v>
      </x:c>
      <x:c r="R234" s="2" t="n">
        <x:v>37</x:v>
      </x:c>
      <x:c r="S234" s="2" t="str">
        <x:v>Online</x:v>
      </x:c>
      <x:c r="T234" s="2" t="str">
        <x:v>Synced</x:v>
      </x:c>
    </x:row>
    <x:row r="235" ht="21" customHeight="1">
      <x:c r="A235" s="2" t="str">
        <x:v>EV000255</x:v>
      </x:c>
      <x:c r="B235" s="2" t="str">
        <x:v>T20261004-2-2</x:v>
      </x:c>
      <x:c r="C235" s="2" t="str">
        <x:v>ST079</x:v>
      </x:c>
      <x:c r="D235" s="2" t="str">
        <x:v>3a794a47ff11773398f2344554eeea57</x:v>
      </x:c>
      <x:c r="E235" s="2" t="str">
        <x:v>CHECK_IN</x:v>
      </x:c>
      <x:c r="F235" s="8" t="n">
        <x:v>46299.481527777774</x:v>
      </x:c>
      <x:c r="G235" s="8" t="n">
        <x:v>46299.48155092592</x:v>
      </x:c>
      <x:c r="H235" s="2" t="str">
        <x:v>R2S3</x:v>
      </x:c>
      <x:c r="I235" s="9" t="n">
        <x:v>25.284000000000002</x:v>
      </x:c>
      <x:c r="J235" s="9" t="n">
        <x:v>51.504999999999995</x:v>
      </x:c>
      <x:c r="K235" s="2" t="n">
        <x:v>8</x:v>
      </x:c>
      <x:c r="L235" s="2" t="str">
        <x:v>Valid</x:v>
      </x:c>
      <x:c r="M235" s="2" t="str">
        <x:v>QR</x:v>
      </x:c>
      <x:c r="N235" s="2" t="n">
        <x:v>1</x:v>
      </x:c>
      <x:c r="O235" s="2" t="str">
        <x:v>Accepted</x:v>
      </x:c>
      <x:c r="P235" s="2" t="str">
        <x:v>S002</x:v>
      </x:c>
      <x:c r="Q235" s="2" t="str">
        <x:v>DEV002</x:v>
      </x:c>
      <x:c r="R235" s="2" t="n">
        <x:v>39</x:v>
      </x:c>
      <x:c r="S235" s="2" t="str">
        <x:v>Online</x:v>
      </x:c>
      <x:c r="T235" s="2" t="str">
        <x:v>Synced</x:v>
      </x:c>
    </x:row>
    <x:row r="236" ht="21" customHeight="1">
      <x:c r="A236" s="2" t="str">
        <x:v>EV000415</x:v>
      </x:c>
      <x:c r="B236" s="2" t="str">
        <x:v>T20261004-2-3</x:v>
      </x:c>
      <x:c r="C236" s="2" t="str">
        <x:v>ST119</x:v>
      </x:c>
      <x:c r="D236" s="2" t="str">
        <x:v>c01a05a48293e3b7c907c4b326c0d0a8</x:v>
      </x:c>
      <x:c r="E236" s="2" t="str">
        <x:v>CHECK_IN</x:v>
      </x:c>
      <x:c r="F236" s="8" t="n">
        <x:v>46299.481527777774</x:v>
      </x:c>
      <x:c r="G236" s="8" t="n">
        <x:v>46299.48155092592</x:v>
      </x:c>
      <x:c r="H236" s="2" t="str">
        <x:v>R3S3</x:v>
      </x:c>
      <x:c r="I236" s="9" t="n">
        <x:v>25.293000000000003</x:v>
      </x:c>
      <x:c r="J236" s="9" t="n">
        <x:v>51.513</x:v>
      </x:c>
      <x:c r="K236" s="2" t="n">
        <x:v>8</x:v>
      </x:c>
      <x:c r="L236" s="2" t="str">
        <x:v>Valid</x:v>
      </x:c>
      <x:c r="M236" s="2" t="str">
        <x:v>QR</x:v>
      </x:c>
      <x:c r="N236" s="2" t="n">
        <x:v>1</x:v>
      </x:c>
      <x:c r="O236" s="2" t="str">
        <x:v>Accepted</x:v>
      </x:c>
      <x:c r="P236" s="2" t="str">
        <x:v>S003</x:v>
      </x:c>
      <x:c r="Q236" s="2" t="str">
        <x:v>DEV003</x:v>
      </x:c>
      <x:c r="R236" s="2" t="n">
        <x:v>39</x:v>
      </x:c>
      <x:c r="S236" s="2" t="str">
        <x:v>Online</x:v>
      </x:c>
      <x:c r="T236" s="2" t="str">
        <x:v>Synced</x:v>
      </x:c>
    </x:row>
    <x:row r="237" ht="21" customHeight="1">
      <x:c r="A237" s="2" t="str">
        <x:v>EV000077</x:v>
      </x:c>
      <x:c r="B237" s="2" t="str">
        <x:v>T20261004-2-1</x:v>
      </x:c>
      <x:c r="C237" s="2" t="str">
        <x:v>ST030</x:v>
      </x:c>
      <x:c r="D237" s="2" t="str">
        <x:v>82585187c31166ddecfc4b31343dde64</x:v>
      </x:c>
      <x:c r="E237" s="2" t="str">
        <x:v>CHECK_IN</x:v>
      </x:c>
      <x:c r="F237" s="8" t="n">
        <x:v>46299.4815625</x:v>
      </x:c>
      <x:c r="G237" s="8" t="n">
        <x:v>46299.481585648144</x:v>
      </x:c>
      <x:c r="H237" s="2" t="str">
        <x:v>R1S3</x:v>
      </x:c>
      <x:c r="I237" s="9" t="n">
        <x:v>25.275000000000002</x:v>
      </x:c>
      <x:c r="J237" s="9" t="n">
        <x:v>51.497</x:v>
      </x:c>
      <x:c r="K237" s="2" t="n">
        <x:v>8</x:v>
      </x:c>
      <x:c r="L237" s="2" t="str">
        <x:v>Valid</x:v>
      </x:c>
      <x:c r="M237" s="2" t="str">
        <x:v>QR</x:v>
      </x:c>
      <x:c r="N237" s="2" t="n">
        <x:v>1</x:v>
      </x:c>
      <x:c r="O237" s="2" t="str">
        <x:v>Accepted</x:v>
      </x:c>
      <x:c r="P237" s="2" t="str">
        <x:v>S001</x:v>
      </x:c>
      <x:c r="Q237" s="2" t="str">
        <x:v>DEV001</x:v>
      </x:c>
      <x:c r="R237" s="2" t="n">
        <x:v>38</x:v>
      </x:c>
      <x:c r="S237" s="2" t="str">
        <x:v>Online</x:v>
      </x:c>
      <x:c r="T237" s="2" t="str">
        <x:v>Synced</x:v>
      </x:c>
    </x:row>
    <x:row r="238" ht="21" customHeight="1">
      <x:c r="A238" s="2" t="str">
        <x:v>EV000237</x:v>
      </x:c>
      <x:c r="B238" s="2" t="str">
        <x:v>T20261004-2-2</x:v>
      </x:c>
      <x:c r="C238" s="2" t="str">
        <x:v>ST070</x:v>
      </x:c>
      <x:c r="D238" s="2" t="str">
        <x:v>12a9f1121533e9d2b6402c68cf852c16</x:v>
      </x:c>
      <x:c r="E238" s="2" t="str">
        <x:v>CHECK_IN</x:v>
      </x:c>
      <x:c r="F238" s="8" t="n">
        <x:v>46299.4815625</x:v>
      </x:c>
      <x:c r="G238" s="8" t="n">
        <x:v>46299.481585648144</x:v>
      </x:c>
      <x:c r="H238" s="2" t="str">
        <x:v>R2S3</x:v>
      </x:c>
      <x:c r="I238" s="9" t="n">
        <x:v>25.284000000000002</x:v>
      </x:c>
      <x:c r="J238" s="9" t="n">
        <x:v>51.504999999999995</x:v>
      </x:c>
      <x:c r="K238" s="2" t="n">
        <x:v>8</x:v>
      </x:c>
      <x:c r="L238" s="2" t="str">
        <x:v>Valid</x:v>
      </x:c>
      <x:c r="M238" s="2" t="str">
        <x:v>QR</x:v>
      </x:c>
      <x:c r="N238" s="2" t="n">
        <x:v>1</x:v>
      </x:c>
      <x:c r="O238" s="2" t="str">
        <x:v>Accepted</x:v>
      </x:c>
      <x:c r="P238" s="2" t="str">
        <x:v>S002</x:v>
      </x:c>
      <x:c r="Q238" s="2" t="str">
        <x:v>DEV002</x:v>
      </x:c>
      <x:c r="R238" s="2" t="n">
        <x:v>40</x:v>
      </x:c>
      <x:c r="S238" s="2" t="str">
        <x:v>Online</x:v>
      </x:c>
      <x:c r="T238" s="2" t="str">
        <x:v>Synced</x:v>
      </x:c>
    </x:row>
    <x:row r="239" ht="21" customHeight="1">
      <x:c r="A239" s="2" t="str">
        <x:v>EV000397</x:v>
      </x:c>
      <x:c r="B239" s="2" t="str">
        <x:v>T20261004-2-3</x:v>
      </x:c>
      <x:c r="C239" s="2" t="str">
        <x:v>ST110</x:v>
      </x:c>
      <x:c r="D239" s="2" t="str">
        <x:v>4382c0cdcda89fb8cc0f5b9fc03b4c51</x:v>
      </x:c>
      <x:c r="E239" s="2" t="str">
        <x:v>CHECK_IN</x:v>
      </x:c>
      <x:c r="F239" s="8" t="n">
        <x:v>46299.4815625</x:v>
      </x:c>
      <x:c r="G239" s="8" t="n">
        <x:v>46299.481585648144</x:v>
      </x:c>
      <x:c r="H239" s="2" t="str">
        <x:v>R3S3</x:v>
      </x:c>
      <x:c r="I239" s="9" t="n">
        <x:v>25.293000000000003</x:v>
      </x:c>
      <x:c r="J239" s="9" t="n">
        <x:v>51.513</x:v>
      </x:c>
      <x:c r="K239" s="2" t="n">
        <x:v>8</x:v>
      </x:c>
      <x:c r="L239" s="2" t="str">
        <x:v>Valid</x:v>
      </x:c>
      <x:c r="M239" s="2" t="str">
        <x:v>QR</x:v>
      </x:c>
      <x:c r="N239" s="2" t="n">
        <x:v>1</x:v>
      </x:c>
      <x:c r="O239" s="2" t="str">
        <x:v>Accepted</x:v>
      </x:c>
      <x:c r="P239" s="2" t="str">
        <x:v>S003</x:v>
      </x:c>
      <x:c r="Q239" s="2" t="str">
        <x:v>DEV003</x:v>
      </x:c>
      <x:c r="R239" s="2" t="n">
        <x:v>40</x:v>
      </x:c>
      <x:c r="S239" s="2" t="str">
        <x:v>Online</x:v>
      </x:c>
      <x:c r="T239" s="2" t="str">
        <x:v>Synced</x:v>
      </x:c>
    </x:row>
    <x:row r="240" ht="21" customHeight="1">
      <x:c r="A240" s="2" t="str">
        <x:v>EV000060</x:v>
      </x:c>
      <x:c r="B240" s="2" t="str">
        <x:v>T20261004-2-1</x:v>
      </x:c>
      <x:c r="C240" s="2" t="str">
        <x:v>ST021</x:v>
      </x:c>
      <x:c r="D240" s="2" t="str">
        <x:v>9b1608e5663d6da53cd805c8051dedd7</x:v>
      </x:c>
      <x:c r="E240" s="2" t="str">
        <x:v>CHECK_OUT</x:v>
      </x:c>
      <x:c r="F240" s="8" t="n">
        <x:v>46299.506250000006</x:v>
      </x:c>
      <x:c r="G240" s="8" t="n">
        <x:v>46299.50627314815</x:v>
      </x:c>
      <x:c r="H240" s="2" t="str">
        <x:v>SCH01</x:v>
      </x:c>
      <x:c r="I240" s="9" t="n">
        <x:v>25.285</x:v>
      </x:c>
      <x:c r="J240" s="9" t="n">
        <x:v>51.51</x:v>
      </x:c>
      <x:c r="K240" s="2" t="n">
        <x:v>8</x:v>
      </x:c>
      <x:c r="L240" s="2" t="str">
        <x:v>Valid</x:v>
      </x:c>
      <x:c r="M240" s="2" t="str">
        <x:v>QR</x:v>
      </x:c>
      <x:c r="N240" s="2" t="n">
        <x:v>1</x:v>
      </x:c>
      <x:c r="O240" s="2" t="str">
        <x:v>Accepted</x:v>
      </x:c>
      <x:c r="P240" s="2" t="str">
        <x:v>S001</x:v>
      </x:c>
      <x:c r="Q240" s="2" t="str">
        <x:v>DEV001</x:v>
      </x:c>
      <x:c r="R240" s="2" t="n">
        <x:v>39</x:v>
      </x:c>
      <x:c r="S240" s="2" t="str">
        <x:v>Online</x:v>
      </x:c>
      <x:c r="T240" s="2" t="str">
        <x:v>Synced</x:v>
      </x:c>
    </x:row>
    <x:row r="241" ht="21" customHeight="1">
      <x:c r="A241" s="2" t="str">
        <x:v>EV000220</x:v>
      </x:c>
      <x:c r="B241" s="2" t="str">
        <x:v>T20261004-2-2</x:v>
      </x:c>
      <x:c r="C241" s="2" t="str">
        <x:v>ST061</x:v>
      </x:c>
      <x:c r="D241" s="2" t="str">
        <x:v>c547cb31f14853ae1f9f2436554d3271</x:v>
      </x:c>
      <x:c r="E241" s="2" t="str">
        <x:v>CHECK_OUT</x:v>
      </x:c>
      <x:c r="F241" s="8" t="n">
        <x:v>46299.506250000006</x:v>
      </x:c>
      <x:c r="G241" s="8" t="n">
        <x:v>46299.50627314815</x:v>
      </x:c>
      <x:c r="H241" s="2" t="str">
        <x:v>SCH01</x:v>
      </x:c>
      <x:c r="I241" s="9" t="n">
        <x:v>25.285</x:v>
      </x:c>
      <x:c r="J241" s="9" t="n">
        <x:v>51.51</x:v>
      </x:c>
      <x:c r="K241" s="2" t="n">
        <x:v>8</x:v>
      </x:c>
      <x:c r="L241" s="2" t="str">
        <x:v>Valid</x:v>
      </x:c>
      <x:c r="M241" s="2" t="str">
        <x:v>QR</x:v>
      </x:c>
      <x:c r="N241" s="2" t="n">
        <x:v>1</x:v>
      </x:c>
      <x:c r="O241" s="2" t="str">
        <x:v>Accepted</x:v>
      </x:c>
      <x:c r="P241" s="2" t="str">
        <x:v>S002</x:v>
      </x:c>
      <x:c r="Q241" s="2" t="str">
        <x:v>DEV002</x:v>
      </x:c>
      <x:c r="R241" s="2" t="n">
        <x:v>41</x:v>
      </x:c>
      <x:c r="S241" s="2" t="str">
        <x:v>Online</x:v>
      </x:c>
      <x:c r="T241" s="2" t="str">
        <x:v>Synced</x:v>
      </x:c>
    </x:row>
    <x:row r="242" ht="21" customHeight="1">
      <x:c r="A242" s="2" t="str">
        <x:v>EV000380</x:v>
      </x:c>
      <x:c r="B242" s="2" t="str">
        <x:v>T20261004-2-3</x:v>
      </x:c>
      <x:c r="C242" s="2" t="str">
        <x:v>ST101</x:v>
      </x:c>
      <x:c r="D242" s="2" t="str">
        <x:v>9f8e180c63d3ff8d3e393db3573884a8</x:v>
      </x:c>
      <x:c r="E242" s="2" t="str">
        <x:v>CHECK_OUT</x:v>
      </x:c>
      <x:c r="F242" s="8" t="n">
        <x:v>46299.506250000006</x:v>
      </x:c>
      <x:c r="G242" s="8" t="n">
        <x:v>46299.50627314815</x:v>
      </x:c>
      <x:c r="H242" s="2" t="str">
        <x:v>SCH01</x:v>
      </x:c>
      <x:c r="I242" s="9" t="n">
        <x:v>25.285</x:v>
      </x:c>
      <x:c r="J242" s="9" t="n">
        <x:v>51.51</x:v>
      </x:c>
      <x:c r="K242" s="2" t="n">
        <x:v>8</x:v>
      </x:c>
      <x:c r="L242" s="2" t="str">
        <x:v>Valid</x:v>
      </x:c>
      <x:c r="M242" s="2" t="str">
        <x:v>QR</x:v>
      </x:c>
      <x:c r="N242" s="2" t="n">
        <x:v>1</x:v>
      </x:c>
      <x:c r="O242" s="2" t="str">
        <x:v>Accepted</x:v>
      </x:c>
      <x:c r="P242" s="2" t="str">
        <x:v>S003</x:v>
      </x:c>
      <x:c r="Q242" s="2" t="str">
        <x:v>DEV003</x:v>
      </x:c>
      <x:c r="R242" s="2" t="n">
        <x:v>41</x:v>
      </x:c>
      <x:c r="S242" s="2" t="str">
        <x:v>Online</x:v>
      </x:c>
      <x:c r="T242" s="2" t="str">
        <x:v>Synced</x:v>
      </x:c>
    </x:row>
    <x:row r="243" ht="21" customHeight="1">
      <x:c r="A243" s="2" t="str">
        <x:v>EV000062</x:v>
      </x:c>
      <x:c r="B243" s="2" t="str">
        <x:v>T20261004-2-1</x:v>
      </x:c>
      <x:c r="C243" s="2" t="str">
        <x:v>ST022</x:v>
      </x:c>
      <x:c r="D243" s="2" t="str">
        <x:v>32e634064d0319251398d392c471332a</x:v>
      </x:c>
      <x:c r="E243" s="2" t="str">
        <x:v>CHECK_OUT</x:v>
      </x:c>
      <x:c r="F243" s="8" t="n">
        <x:v>46299.50628472223</x:v>
      </x:c>
      <x:c r="G243" s="8" t="n">
        <x:v>46299.506307870375</x:v>
      </x:c>
      <x:c r="H243" s="2" t="str">
        <x:v>SCH01</x:v>
      </x:c>
      <x:c r="I243" s="9" t="n">
        <x:v>25.285</x:v>
      </x:c>
      <x:c r="J243" s="9" t="n">
        <x:v>51.51</x:v>
      </x:c>
      <x:c r="K243" s="2" t="n">
        <x:v>8</x:v>
      </x:c>
      <x:c r="L243" s="2" t="str">
        <x:v>Valid</x:v>
      </x:c>
      <x:c r="M243" s="2" t="str">
        <x:v>QR</x:v>
      </x:c>
      <x:c r="N243" s="2" t="n">
        <x:v>1</x:v>
      </x:c>
      <x:c r="O243" s="2" t="str">
        <x:v>Accepted</x:v>
      </x:c>
      <x:c r="P243" s="2" t="str">
        <x:v>S001</x:v>
      </x:c>
      <x:c r="Q243" s="2" t="str">
        <x:v>DEV001</x:v>
      </x:c>
      <x:c r="R243" s="2" t="n">
        <x:v>40</x:v>
      </x:c>
      <x:c r="S243" s="2" t="str">
        <x:v>Online</x:v>
      </x:c>
      <x:c r="T243" s="2" t="str">
        <x:v>Synced</x:v>
      </x:c>
    </x:row>
    <x:row r="244" ht="21" customHeight="1">
      <x:c r="A244" s="2" t="str">
        <x:v>EV000222</x:v>
      </x:c>
      <x:c r="B244" s="2" t="str">
        <x:v>T20261004-2-2</x:v>
      </x:c>
      <x:c r="C244" s="2" t="str">
        <x:v>ST062</x:v>
      </x:c>
      <x:c r="D244" s="2" t="str">
        <x:v>e0ee324a0d8893ba89d7c618ea194e36</x:v>
      </x:c>
      <x:c r="E244" s="2" t="str">
        <x:v>CHECK_OUT</x:v>
      </x:c>
      <x:c r="F244" s="8" t="n">
        <x:v>46299.50628472223</x:v>
      </x:c>
      <x:c r="G244" s="8" t="n">
        <x:v>46299.506307870375</x:v>
      </x:c>
      <x:c r="H244" s="2" t="str">
        <x:v>SCH01</x:v>
      </x:c>
      <x:c r="I244" s="9" t="n">
        <x:v>25.285</x:v>
      </x:c>
      <x:c r="J244" s="9" t="n">
        <x:v>51.51</x:v>
      </x:c>
      <x:c r="K244" s="2" t="n">
        <x:v>8</x:v>
      </x:c>
      <x:c r="L244" s="2" t="str">
        <x:v>Valid</x:v>
      </x:c>
      <x:c r="M244" s="2" t="str">
        <x:v>QR</x:v>
      </x:c>
      <x:c r="N244" s="2" t="n">
        <x:v>1</x:v>
      </x:c>
      <x:c r="O244" s="2" t="str">
        <x:v>Accepted</x:v>
      </x:c>
      <x:c r="P244" s="2" t="str">
        <x:v>S002</x:v>
      </x:c>
      <x:c r="Q244" s="2" t="str">
        <x:v>DEV002</x:v>
      </x:c>
      <x:c r="R244" s="2" t="n">
        <x:v>42</x:v>
      </x:c>
      <x:c r="S244" s="2" t="str">
        <x:v>Online</x:v>
      </x:c>
      <x:c r="T244" s="2" t="str">
        <x:v>Synced</x:v>
      </x:c>
    </x:row>
    <x:row r="245" ht="21" customHeight="1">
      <x:c r="A245" s="2" t="str">
        <x:v>EV000382</x:v>
      </x:c>
      <x:c r="B245" s="2" t="str">
        <x:v>T20261004-2-3</x:v>
      </x:c>
      <x:c r="C245" s="2" t="str">
        <x:v>ST102</x:v>
      </x:c>
      <x:c r="D245" s="2" t="str">
        <x:v>6a90d57a6e4b5aedbdcdc5a29cf018e9</x:v>
      </x:c>
      <x:c r="E245" s="2" t="str">
        <x:v>CHECK_OUT</x:v>
      </x:c>
      <x:c r="F245" s="8" t="n">
        <x:v>46299.50628472223</x:v>
      </x:c>
      <x:c r="G245" s="8" t="n">
        <x:v>46299.506307870375</x:v>
      </x:c>
      <x:c r="H245" s="2" t="str">
        <x:v>SCH01</x:v>
      </x:c>
      <x:c r="I245" s="9" t="n">
        <x:v>25.285</x:v>
      </x:c>
      <x:c r="J245" s="9" t="n">
        <x:v>51.51</x:v>
      </x:c>
      <x:c r="K245" s="2" t="n">
        <x:v>8</x:v>
      </x:c>
      <x:c r="L245" s="2" t="str">
        <x:v>Valid</x:v>
      </x:c>
      <x:c r="M245" s="2" t="str">
        <x:v>QR</x:v>
      </x:c>
      <x:c r="N245" s="2" t="n">
        <x:v>1</x:v>
      </x:c>
      <x:c r="O245" s="2" t="str">
        <x:v>Accepted</x:v>
      </x:c>
      <x:c r="P245" s="2" t="str">
        <x:v>S003</x:v>
      </x:c>
      <x:c r="Q245" s="2" t="str">
        <x:v>DEV003</x:v>
      </x:c>
      <x:c r="R245" s="2" t="n">
        <x:v>42</x:v>
      </x:c>
      <x:c r="S245" s="2" t="str">
        <x:v>Online</x:v>
      </x:c>
      <x:c r="T245" s="2" t="str">
        <x:v>Synced</x:v>
      </x:c>
    </x:row>
    <x:row r="246" ht="21" customHeight="1">
      <x:c r="A246" s="2" t="str">
        <x:v>EV000064</x:v>
      </x:c>
      <x:c r="B246" s="2" t="str">
        <x:v>T20261004-2-1</x:v>
      </x:c>
      <x:c r="C246" s="2" t="str">
        <x:v>ST023</x:v>
      </x:c>
      <x:c r="D246" s="2" t="str">
        <x:v>1836074fce688580737a08d14a26fa79</x:v>
      </x:c>
      <x:c r="E246" s="2" t="str">
        <x:v>CHECK_OUT</x:v>
      </x:c>
      <x:c r="F246" s="8" t="n">
        <x:v>46299.506319444445</x:v>
      </x:c>
      <x:c r="G246" s="8" t="n">
        <x:v>46299.50634259259</x:v>
      </x:c>
      <x:c r="H246" s="2" t="str">
        <x:v>SCH01</x:v>
      </x:c>
      <x:c r="I246" s="9" t="n">
        <x:v>25.285</x:v>
      </x:c>
      <x:c r="J246" s="9" t="n">
        <x:v>51.51</x:v>
      </x:c>
      <x:c r="K246" s="2" t="n">
        <x:v>8</x:v>
      </x:c>
      <x:c r="L246" s="2" t="str">
        <x:v>Valid</x:v>
      </x:c>
      <x:c r="M246" s="2" t="str">
        <x:v>QR</x:v>
      </x:c>
      <x:c r="N246" s="2" t="n">
        <x:v>1</x:v>
      </x:c>
      <x:c r="O246" s="2" t="str">
        <x:v>Accepted</x:v>
      </x:c>
      <x:c r="P246" s="2" t="str">
        <x:v>S001</x:v>
      </x:c>
      <x:c r="Q246" s="2" t="str">
        <x:v>DEV001</x:v>
      </x:c>
      <x:c r="R246" s="2" t="n">
        <x:v>41</x:v>
      </x:c>
      <x:c r="S246" s="2" t="str">
        <x:v>Online</x:v>
      </x:c>
      <x:c r="T246" s="2" t="str">
        <x:v>Synced</x:v>
      </x:c>
    </x:row>
    <x:row r="247" ht="21" customHeight="1">
      <x:c r="A247" s="2" t="str">
        <x:v>EV000224</x:v>
      </x:c>
      <x:c r="B247" s="2" t="str">
        <x:v>T20261004-2-2</x:v>
      </x:c>
      <x:c r="C247" s="2" t="str">
        <x:v>ST063</x:v>
      </x:c>
      <x:c r="D247" s="2" t="str">
        <x:v>46a3e8e97cbe04af0173a75d9cdbcebf</x:v>
      </x:c>
      <x:c r="E247" s="2" t="str">
        <x:v>CHECK_OUT</x:v>
      </x:c>
      <x:c r="F247" s="8" t="n">
        <x:v>46299.506319444445</x:v>
      </x:c>
      <x:c r="G247" s="8" t="n">
        <x:v>46299.50634259259</x:v>
      </x:c>
      <x:c r="H247" s="2" t="str">
        <x:v>SCH01</x:v>
      </x:c>
      <x:c r="I247" s="9" t="n">
        <x:v>25.285</x:v>
      </x:c>
      <x:c r="J247" s="9" t="n">
        <x:v>51.51</x:v>
      </x:c>
      <x:c r="K247" s="2" t="n">
        <x:v>8</x:v>
      </x:c>
      <x:c r="L247" s="2" t="str">
        <x:v>Valid</x:v>
      </x:c>
      <x:c r="M247" s="2" t="str">
        <x:v>QR</x:v>
      </x:c>
      <x:c r="N247" s="2" t="n">
        <x:v>1</x:v>
      </x:c>
      <x:c r="O247" s="2" t="str">
        <x:v>Accepted</x:v>
      </x:c>
      <x:c r="P247" s="2" t="str">
        <x:v>S002</x:v>
      </x:c>
      <x:c r="Q247" s="2" t="str">
        <x:v>DEV002</x:v>
      </x:c>
      <x:c r="R247" s="2" t="n">
        <x:v>43</x:v>
      </x:c>
      <x:c r="S247" s="2" t="str">
        <x:v>Online</x:v>
      </x:c>
      <x:c r="T247" s="2" t="str">
        <x:v>Synced</x:v>
      </x:c>
    </x:row>
    <x:row r="248" ht="21" customHeight="1">
      <x:c r="A248" s="2" t="str">
        <x:v>EV000384</x:v>
      </x:c>
      <x:c r="B248" s="2" t="str">
        <x:v>T20261004-2-3</x:v>
      </x:c>
      <x:c r="C248" s="2" t="str">
        <x:v>ST103</x:v>
      </x:c>
      <x:c r="D248" s="2" t="str">
        <x:v>5982cfca835e14d82ed8b6562c1a172d</x:v>
      </x:c>
      <x:c r="E248" s="2" t="str">
        <x:v>CHECK_OUT</x:v>
      </x:c>
      <x:c r="F248" s="8" t="n">
        <x:v>46299.506319444445</x:v>
      </x:c>
      <x:c r="G248" s="8" t="n">
        <x:v>46299.50634259259</x:v>
      </x:c>
      <x:c r="H248" s="2" t="str">
        <x:v>SCH01</x:v>
      </x:c>
      <x:c r="I248" s="9" t="n">
        <x:v>25.285</x:v>
      </x:c>
      <x:c r="J248" s="9" t="n">
        <x:v>51.51</x:v>
      </x:c>
      <x:c r="K248" s="2" t="n">
        <x:v>8</x:v>
      </x:c>
      <x:c r="L248" s="2" t="str">
        <x:v>Valid</x:v>
      </x:c>
      <x:c r="M248" s="2" t="str">
        <x:v>QR</x:v>
      </x:c>
      <x:c r="N248" s="2" t="n">
        <x:v>1</x:v>
      </x:c>
      <x:c r="O248" s="2" t="str">
        <x:v>Accepted</x:v>
      </x:c>
      <x:c r="P248" s="2" t="str">
        <x:v>S003</x:v>
      </x:c>
      <x:c r="Q248" s="2" t="str">
        <x:v>DEV003</x:v>
      </x:c>
      <x:c r="R248" s="2" t="n">
        <x:v>43</x:v>
      </x:c>
      <x:c r="S248" s="2" t="str">
        <x:v>Online</x:v>
      </x:c>
      <x:c r="T248" s="2" t="str">
        <x:v>Synced</x:v>
      </x:c>
    </x:row>
    <x:row r="249" ht="21" customHeight="1">
      <x:c r="A249" s="2" t="str">
        <x:v>EV000066</x:v>
      </x:c>
      <x:c r="B249" s="2" t="str">
        <x:v>T20261004-2-1</x:v>
      </x:c>
      <x:c r="C249" s="2" t="str">
        <x:v>ST024</x:v>
      </x:c>
      <x:c r="D249" s="2" t="str">
        <x:v>df785f1577b8ee7f71835020d03a12a6</x:v>
      </x:c>
      <x:c r="E249" s="2" t="str">
        <x:v>CHECK_OUT</x:v>
      </x:c>
      <x:c r="F249" s="8" t="n">
        <x:v>46299.50635416667</x:v>
      </x:c>
      <x:c r="G249" s="8" t="n">
        <x:v>46299.506377314814</x:v>
      </x:c>
      <x:c r="H249" s="2" t="str">
        <x:v>SCH01</x:v>
      </x:c>
      <x:c r="I249" s="9" t="n">
        <x:v>25.285</x:v>
      </x:c>
      <x:c r="J249" s="9" t="n">
        <x:v>51.51</x:v>
      </x:c>
      <x:c r="K249" s="2" t="n">
        <x:v>8</x:v>
      </x:c>
      <x:c r="L249" s="2" t="str">
        <x:v>Valid</x:v>
      </x:c>
      <x:c r="M249" s="2" t="str">
        <x:v>QR</x:v>
      </x:c>
      <x:c r="N249" s="2" t="n">
        <x:v>1</x:v>
      </x:c>
      <x:c r="O249" s="2" t="str">
        <x:v>Accepted</x:v>
      </x:c>
      <x:c r="P249" s="2" t="str">
        <x:v>S001</x:v>
      </x:c>
      <x:c r="Q249" s="2" t="str">
        <x:v>DEV001</x:v>
      </x:c>
      <x:c r="R249" s="2" t="n">
        <x:v>42</x:v>
      </x:c>
      <x:c r="S249" s="2" t="str">
        <x:v>Online</x:v>
      </x:c>
      <x:c r="T249" s="2" t="str">
        <x:v>Synced</x:v>
      </x:c>
    </x:row>
    <x:row r="250" ht="21" customHeight="1">
      <x:c r="A250" s="2" t="str">
        <x:v>EV000226</x:v>
      </x:c>
      <x:c r="B250" s="2" t="str">
        <x:v>T20261004-2-2</x:v>
      </x:c>
      <x:c r="C250" s="2" t="str">
        <x:v>ST064</x:v>
      </x:c>
      <x:c r="D250" s="2" t="str">
        <x:v>80debd99a6cfe1ca0800304796fd69ff</x:v>
      </x:c>
      <x:c r="E250" s="2" t="str">
        <x:v>CHECK_OUT</x:v>
      </x:c>
      <x:c r="F250" s="8" t="n">
        <x:v>46299.50635416667</x:v>
      </x:c>
      <x:c r="G250" s="8" t="n">
        <x:v>46299.506377314814</x:v>
      </x:c>
      <x:c r="H250" s="2" t="str">
        <x:v>SCH01</x:v>
      </x:c>
      <x:c r="I250" s="9" t="n">
        <x:v>25.285</x:v>
      </x:c>
      <x:c r="J250" s="9" t="n">
        <x:v>51.51</x:v>
      </x:c>
      <x:c r="K250" s="2" t="n">
        <x:v>8</x:v>
      </x:c>
      <x:c r="L250" s="2" t="str">
        <x:v>Valid</x:v>
      </x:c>
      <x:c r="M250" s="2" t="str">
        <x:v>QR</x:v>
      </x:c>
      <x:c r="N250" s="2" t="n">
        <x:v>1</x:v>
      </x:c>
      <x:c r="O250" s="2" t="str">
        <x:v>Accepted</x:v>
      </x:c>
      <x:c r="P250" s="2" t="str">
        <x:v>S002</x:v>
      </x:c>
      <x:c r="Q250" s="2" t="str">
        <x:v>DEV002</x:v>
      </x:c>
      <x:c r="R250" s="2" t="n">
        <x:v>44</x:v>
      </x:c>
      <x:c r="S250" s="2" t="str">
        <x:v>Online</x:v>
      </x:c>
      <x:c r="T250" s="2" t="str">
        <x:v>Synced</x:v>
      </x:c>
    </x:row>
    <x:row r="251" ht="21" customHeight="1">
      <x:c r="A251" s="2" t="str">
        <x:v>EV000386</x:v>
      </x:c>
      <x:c r="B251" s="2" t="str">
        <x:v>T20261004-2-3</x:v>
      </x:c>
      <x:c r="C251" s="2" t="str">
        <x:v>ST104</x:v>
      </x:c>
      <x:c r="D251" s="2" t="str">
        <x:v>12167381f9b78201d830c40ef6208ce4</x:v>
      </x:c>
      <x:c r="E251" s="2" t="str">
        <x:v>CHECK_OUT</x:v>
      </x:c>
      <x:c r="F251" s="8" t="n">
        <x:v>46299.50635416667</x:v>
      </x:c>
      <x:c r="G251" s="8" t="n">
        <x:v>46299.506377314814</x:v>
      </x:c>
      <x:c r="H251" s="2" t="str">
        <x:v>SCH01</x:v>
      </x:c>
      <x:c r="I251" s="9" t="n">
        <x:v>25.285</x:v>
      </x:c>
      <x:c r="J251" s="9" t="n">
        <x:v>51.51</x:v>
      </x:c>
      <x:c r="K251" s="2" t="n">
        <x:v>8</x:v>
      </x:c>
      <x:c r="L251" s="2" t="str">
        <x:v>Valid</x:v>
      </x:c>
      <x:c r="M251" s="2" t="str">
        <x:v>QR</x:v>
      </x:c>
      <x:c r="N251" s="2" t="n">
        <x:v>1</x:v>
      </x:c>
      <x:c r="O251" s="2" t="str">
        <x:v>Accepted</x:v>
      </x:c>
      <x:c r="P251" s="2" t="str">
        <x:v>S003</x:v>
      </x:c>
      <x:c r="Q251" s="2" t="str">
        <x:v>DEV003</x:v>
      </x:c>
      <x:c r="R251" s="2" t="n">
        <x:v>44</x:v>
      </x:c>
      <x:c r="S251" s="2" t="str">
        <x:v>Online</x:v>
      </x:c>
      <x:c r="T251" s="2" t="str">
        <x:v>Synced</x:v>
      </x:c>
    </x:row>
    <x:row r="252" ht="21" customHeight="1">
      <x:c r="A252" s="2" t="str">
        <x:v>EV000068</x:v>
      </x:c>
      <x:c r="B252" s="2" t="str">
        <x:v>T20261004-2-1</x:v>
      </x:c>
      <x:c r="C252" s="2" t="str">
        <x:v>ST025</x:v>
      </x:c>
      <x:c r="D252" s="2" t="str">
        <x:v>caea48c43f4ccfa85999e7cb546cd774</x:v>
      </x:c>
      <x:c r="E252" s="2" t="str">
        <x:v>CHECK_OUT</x:v>
      </x:c>
      <x:c r="F252" s="8" t="n">
        <x:v>46299.50638888889</x:v>
      </x:c>
      <x:c r="G252" s="8" t="n">
        <x:v>46299.50641203704</x:v>
      </x:c>
      <x:c r="H252" s="2" t="str">
        <x:v>SCH01</x:v>
      </x:c>
      <x:c r="I252" s="9" t="n">
        <x:v>25.285</x:v>
      </x:c>
      <x:c r="J252" s="9" t="n">
        <x:v>51.51</x:v>
      </x:c>
      <x:c r="K252" s="2" t="n">
        <x:v>8</x:v>
      </x:c>
      <x:c r="L252" s="2" t="str">
        <x:v>Valid</x:v>
      </x:c>
      <x:c r="M252" s="2" t="str">
        <x:v>QR</x:v>
      </x:c>
      <x:c r="N252" s="2" t="n">
        <x:v>1</x:v>
      </x:c>
      <x:c r="O252" s="2" t="str">
        <x:v>Accepted</x:v>
      </x:c>
      <x:c r="P252" s="2" t="str">
        <x:v>S001</x:v>
      </x:c>
      <x:c r="Q252" s="2" t="str">
        <x:v>DEV001</x:v>
      </x:c>
      <x:c r="R252" s="2" t="n">
        <x:v>43</x:v>
      </x:c>
      <x:c r="S252" s="2" t="str">
        <x:v>Online</x:v>
      </x:c>
      <x:c r="T252" s="2" t="str">
        <x:v>Synced</x:v>
      </x:c>
    </x:row>
    <x:row r="253" ht="21" customHeight="1">
      <x:c r="A253" s="2" t="str">
        <x:v>EV000228</x:v>
      </x:c>
      <x:c r="B253" s="2" t="str">
        <x:v>T20261004-2-2</x:v>
      </x:c>
      <x:c r="C253" s="2" t="str">
        <x:v>ST065</x:v>
      </x:c>
      <x:c r="D253" s="2" t="str">
        <x:v>6b379c82348acc8be3e0d247197a20bf</x:v>
      </x:c>
      <x:c r="E253" s="2" t="str">
        <x:v>CHECK_OUT</x:v>
      </x:c>
      <x:c r="F253" s="8" t="n">
        <x:v>46299.50638888889</x:v>
      </x:c>
      <x:c r="G253" s="8" t="n">
        <x:v>46299.50641203704</x:v>
      </x:c>
      <x:c r="H253" s="2" t="str">
        <x:v>SCH01</x:v>
      </x:c>
      <x:c r="I253" s="9" t="n">
        <x:v>25.285</x:v>
      </x:c>
      <x:c r="J253" s="9" t="n">
        <x:v>51.51</x:v>
      </x:c>
      <x:c r="K253" s="2" t="n">
        <x:v>8</x:v>
      </x:c>
      <x:c r="L253" s="2" t="str">
        <x:v>Valid</x:v>
      </x:c>
      <x:c r="M253" s="2" t="str">
        <x:v>QR</x:v>
      </x:c>
      <x:c r="N253" s="2" t="n">
        <x:v>1</x:v>
      </x:c>
      <x:c r="O253" s="2" t="str">
        <x:v>Accepted</x:v>
      </x:c>
      <x:c r="P253" s="2" t="str">
        <x:v>S002</x:v>
      </x:c>
      <x:c r="Q253" s="2" t="str">
        <x:v>DEV002</x:v>
      </x:c>
      <x:c r="R253" s="2" t="n">
        <x:v>45</x:v>
      </x:c>
      <x:c r="S253" s="2" t="str">
        <x:v>Online</x:v>
      </x:c>
      <x:c r="T253" s="2" t="str">
        <x:v>Synced</x:v>
      </x:c>
    </x:row>
    <x:row r="254" ht="21" customHeight="1">
      <x:c r="A254" s="2" t="str">
        <x:v>EV000388</x:v>
      </x:c>
      <x:c r="B254" s="2" t="str">
        <x:v>T20261004-2-3</x:v>
      </x:c>
      <x:c r="C254" s="2" t="str">
        <x:v>ST105</x:v>
      </x:c>
      <x:c r="D254" s="2" t="str">
        <x:v>bbd3ba75eaabf5ca3acef3823a75d885</x:v>
      </x:c>
      <x:c r="E254" s="2" t="str">
        <x:v>CHECK_OUT</x:v>
      </x:c>
      <x:c r="F254" s="8" t="n">
        <x:v>46299.50638888889</x:v>
      </x:c>
      <x:c r="G254" s="8" t="n">
        <x:v>46299.50641203704</x:v>
      </x:c>
      <x:c r="H254" s="2" t="str">
        <x:v>SCH01</x:v>
      </x:c>
      <x:c r="I254" s="9" t="n">
        <x:v>25.285</x:v>
      </x:c>
      <x:c r="J254" s="9" t="n">
        <x:v>51.51</x:v>
      </x:c>
      <x:c r="K254" s="2" t="n">
        <x:v>8</x:v>
      </x:c>
      <x:c r="L254" s="2" t="str">
        <x:v>Valid</x:v>
      </x:c>
      <x:c r="M254" s="2" t="str">
        <x:v>QR</x:v>
      </x:c>
      <x:c r="N254" s="2" t="n">
        <x:v>1</x:v>
      </x:c>
      <x:c r="O254" s="2" t="str">
        <x:v>Accepted</x:v>
      </x:c>
      <x:c r="P254" s="2" t="str">
        <x:v>S003</x:v>
      </x:c>
      <x:c r="Q254" s="2" t="str">
        <x:v>DEV003</x:v>
      </x:c>
      <x:c r="R254" s="2" t="n">
        <x:v>45</x:v>
      </x:c>
      <x:c r="S254" s="2" t="str">
        <x:v>Online</x:v>
      </x:c>
      <x:c r="T254" s="2" t="str">
        <x:v>Synced</x:v>
      </x:c>
    </x:row>
    <x:row r="255" ht="21" customHeight="1">
      <x:c r="A255" s="2" t="str">
        <x:v>EV000070</x:v>
      </x:c>
      <x:c r="B255" s="2" t="str">
        <x:v>T20261004-2-1</x:v>
      </x:c>
      <x:c r="C255" s="2" t="str">
        <x:v>ST026</x:v>
      </x:c>
      <x:c r="D255" s="2" t="str">
        <x:v>56aea196eabcf09e1199afbd5e8907b0</x:v>
      </x:c>
      <x:c r="E255" s="2" t="str">
        <x:v>CHECK_OUT</x:v>
      </x:c>
      <x:c r="F255" s="8" t="n">
        <x:v>46299.506423611114</x:v>
      </x:c>
      <x:c r="G255" s="8" t="n">
        <x:v>46299.50644675926</x:v>
      </x:c>
      <x:c r="H255" s="2" t="str">
        <x:v>SCH01</x:v>
      </x:c>
      <x:c r="I255" s="9" t="n">
        <x:v>25.285</x:v>
      </x:c>
      <x:c r="J255" s="9" t="n">
        <x:v>51.51</x:v>
      </x:c>
      <x:c r="K255" s="2" t="n">
        <x:v>8</x:v>
      </x:c>
      <x:c r="L255" s="2" t="str">
        <x:v>Valid</x:v>
      </x:c>
      <x:c r="M255" s="2" t="str">
        <x:v>QR</x:v>
      </x:c>
      <x:c r="N255" s="2" t="n">
        <x:v>1</x:v>
      </x:c>
      <x:c r="O255" s="2" t="str">
        <x:v>Accepted</x:v>
      </x:c>
      <x:c r="P255" s="2" t="str">
        <x:v>S001</x:v>
      </x:c>
      <x:c r="Q255" s="2" t="str">
        <x:v>DEV001</x:v>
      </x:c>
      <x:c r="R255" s="2" t="n">
        <x:v>44</x:v>
      </x:c>
      <x:c r="S255" s="2" t="str">
        <x:v>Online</x:v>
      </x:c>
      <x:c r="T255" s="2" t="str">
        <x:v>Synced</x:v>
      </x:c>
    </x:row>
    <x:row r="256" ht="21" customHeight="1">
      <x:c r="A256" s="2" t="str">
        <x:v>EV000230</x:v>
      </x:c>
      <x:c r="B256" s="2" t="str">
        <x:v>T20261004-2-2</x:v>
      </x:c>
      <x:c r="C256" s="2" t="str">
        <x:v>ST066</x:v>
      </x:c>
      <x:c r="D256" s="2" t="str">
        <x:v>f1ae8019085f4d0a77552e53fdc22aa7</x:v>
      </x:c>
      <x:c r="E256" s="2" t="str">
        <x:v>CHECK_OUT</x:v>
      </x:c>
      <x:c r="F256" s="8" t="n">
        <x:v>46299.506423611114</x:v>
      </x:c>
      <x:c r="G256" s="8" t="n">
        <x:v>46299.50644675926</x:v>
      </x:c>
      <x:c r="H256" s="2" t="str">
        <x:v>SCH01</x:v>
      </x:c>
      <x:c r="I256" s="9" t="n">
        <x:v>25.285</x:v>
      </x:c>
      <x:c r="J256" s="9" t="n">
        <x:v>51.51</x:v>
      </x:c>
      <x:c r="K256" s="2" t="n">
        <x:v>8</x:v>
      </x:c>
      <x:c r="L256" s="2" t="str">
        <x:v>Valid</x:v>
      </x:c>
      <x:c r="M256" s="2" t="str">
        <x:v>QR</x:v>
      </x:c>
      <x:c r="N256" s="2" t="n">
        <x:v>1</x:v>
      </x:c>
      <x:c r="O256" s="2" t="str">
        <x:v>Accepted</x:v>
      </x:c>
      <x:c r="P256" s="2" t="str">
        <x:v>S002</x:v>
      </x:c>
      <x:c r="Q256" s="2" t="str">
        <x:v>DEV002</x:v>
      </x:c>
      <x:c r="R256" s="2" t="n">
        <x:v>46</x:v>
      </x:c>
      <x:c r="S256" s="2" t="str">
        <x:v>Online</x:v>
      </x:c>
      <x:c r="T256" s="2" t="str">
        <x:v>Synced</x:v>
      </x:c>
    </x:row>
    <x:row r="257" ht="21" customHeight="1">
      <x:c r="A257" s="2" t="str">
        <x:v>EV000390</x:v>
      </x:c>
      <x:c r="B257" s="2" t="str">
        <x:v>T20261004-2-3</x:v>
      </x:c>
      <x:c r="C257" s="2" t="str">
        <x:v>ST106</x:v>
      </x:c>
      <x:c r="D257" s="2" t="str">
        <x:v>9bd191644f26d4fc266418c96f36f10b</x:v>
      </x:c>
      <x:c r="E257" s="2" t="str">
        <x:v>CHECK_OUT</x:v>
      </x:c>
      <x:c r="F257" s="8" t="n">
        <x:v>46299.506423611114</x:v>
      </x:c>
      <x:c r="G257" s="8" t="n">
        <x:v>46299.50644675926</x:v>
      </x:c>
      <x:c r="H257" s="2" t="str">
        <x:v>SCH01</x:v>
      </x:c>
      <x:c r="I257" s="9" t="n">
        <x:v>25.285</x:v>
      </x:c>
      <x:c r="J257" s="9" t="n">
        <x:v>51.51</x:v>
      </x:c>
      <x:c r="K257" s="2" t="n">
        <x:v>8</x:v>
      </x:c>
      <x:c r="L257" s="2" t="str">
        <x:v>Valid</x:v>
      </x:c>
      <x:c r="M257" s="2" t="str">
        <x:v>QR</x:v>
      </x:c>
      <x:c r="N257" s="2" t="n">
        <x:v>1</x:v>
      </x:c>
      <x:c r="O257" s="2" t="str">
        <x:v>Accepted</x:v>
      </x:c>
      <x:c r="P257" s="2" t="str">
        <x:v>S003</x:v>
      </x:c>
      <x:c r="Q257" s="2" t="str">
        <x:v>DEV003</x:v>
      </x:c>
      <x:c r="R257" s="2" t="n">
        <x:v>46</x:v>
      </x:c>
      <x:c r="S257" s="2" t="str">
        <x:v>Online</x:v>
      </x:c>
      <x:c r="T257" s="2" t="str">
        <x:v>Synced</x:v>
      </x:c>
    </x:row>
    <x:row r="258" ht="21" customHeight="1">
      <x:c r="A258" s="2" t="str">
        <x:v>EV000072</x:v>
      </x:c>
      <x:c r="B258" s="2" t="str">
        <x:v>T20261004-2-1</x:v>
      </x:c>
      <x:c r="C258" s="2" t="str">
        <x:v>ST027</x:v>
      </x:c>
      <x:c r="D258" s="2" t="str">
        <x:v>87868c08c06226359ca5121a9563bb63</x:v>
      </x:c>
      <x:c r="E258" s="2" t="str">
        <x:v>CHECK_OUT</x:v>
      </x:c>
      <x:c r="F258" s="8" t="n">
        <x:v>46299.50645833334</x:v>
      </x:c>
      <x:c r="G258" s="8" t="n">
        <x:v>46299.50648148148</x:v>
      </x:c>
      <x:c r="H258" s="2" t="str">
        <x:v>SCH01</x:v>
      </x:c>
      <x:c r="I258" s="9" t="n">
        <x:v>25.285</x:v>
      </x:c>
      <x:c r="J258" s="9" t="n">
        <x:v>51.51</x:v>
      </x:c>
      <x:c r="K258" s="2" t="n">
        <x:v>8</x:v>
      </x:c>
      <x:c r="L258" s="2" t="str">
        <x:v>Valid</x:v>
      </x:c>
      <x:c r="M258" s="2" t="str">
        <x:v>QR</x:v>
      </x:c>
      <x:c r="N258" s="2" t="n">
        <x:v>1</x:v>
      </x:c>
      <x:c r="O258" s="2" t="str">
        <x:v>Accepted</x:v>
      </x:c>
      <x:c r="P258" s="2" t="str">
        <x:v>S001</x:v>
      </x:c>
      <x:c r="Q258" s="2" t="str">
        <x:v>DEV001</x:v>
      </x:c>
      <x:c r="R258" s="2" t="n">
        <x:v>45</x:v>
      </x:c>
      <x:c r="S258" s="2" t="str">
        <x:v>Online</x:v>
      </x:c>
      <x:c r="T258" s="2" t="str">
        <x:v>Synced</x:v>
      </x:c>
    </x:row>
    <x:row r="259" ht="21" customHeight="1">
      <x:c r="A259" s="2" t="str">
        <x:v>EV000232</x:v>
      </x:c>
      <x:c r="B259" s="2" t="str">
        <x:v>T20261004-2-2</x:v>
      </x:c>
      <x:c r="C259" s="2" t="str">
        <x:v>ST067</x:v>
      </x:c>
      <x:c r="D259" s="2" t="str">
        <x:v>66c3e7b11abae76912fea37c6c7ce00c</x:v>
      </x:c>
      <x:c r="E259" s="2" t="str">
        <x:v>CHECK_OUT</x:v>
      </x:c>
      <x:c r="F259" s="8" t="n">
        <x:v>46299.50645833334</x:v>
      </x:c>
      <x:c r="G259" s="8" t="n">
        <x:v>46299.50648148148</x:v>
      </x:c>
      <x:c r="H259" s="2" t="str">
        <x:v>SCH01</x:v>
      </x:c>
      <x:c r="I259" s="9" t="n">
        <x:v>25.285</x:v>
      </x:c>
      <x:c r="J259" s="9" t="n">
        <x:v>51.51</x:v>
      </x:c>
      <x:c r="K259" s="2" t="n">
        <x:v>8</x:v>
      </x:c>
      <x:c r="L259" s="2" t="str">
        <x:v>Valid</x:v>
      </x:c>
      <x:c r="M259" s="2" t="str">
        <x:v>QR</x:v>
      </x:c>
      <x:c r="N259" s="2" t="n">
        <x:v>1</x:v>
      </x:c>
      <x:c r="O259" s="2" t="str">
        <x:v>Accepted</x:v>
      </x:c>
      <x:c r="P259" s="2" t="str">
        <x:v>S002</x:v>
      </x:c>
      <x:c r="Q259" s="2" t="str">
        <x:v>DEV002</x:v>
      </x:c>
      <x:c r="R259" s="2" t="n">
        <x:v>47</x:v>
      </x:c>
      <x:c r="S259" s="2" t="str">
        <x:v>Online</x:v>
      </x:c>
      <x:c r="T259" s="2" t="str">
        <x:v>Synced</x:v>
      </x:c>
    </x:row>
    <x:row r="260" ht="21" customHeight="1">
      <x:c r="A260" s="2" t="str">
        <x:v>EV000392</x:v>
      </x:c>
      <x:c r="B260" s="2" t="str">
        <x:v>T20261004-2-3</x:v>
      </x:c>
      <x:c r="C260" s="2" t="str">
        <x:v>ST107</x:v>
      </x:c>
      <x:c r="D260" s="2" t="str">
        <x:v>4a2bb35840a3b4fc7e804e2d710c14f4</x:v>
      </x:c>
      <x:c r="E260" s="2" t="str">
        <x:v>CHECK_OUT</x:v>
      </x:c>
      <x:c r="F260" s="8" t="n">
        <x:v>46299.50645833334</x:v>
      </x:c>
      <x:c r="G260" s="8" t="n">
        <x:v>46299.50648148148</x:v>
      </x:c>
      <x:c r="H260" s="2" t="str">
        <x:v>SCH01</x:v>
      </x:c>
      <x:c r="I260" s="9" t="n">
        <x:v>25.285</x:v>
      </x:c>
      <x:c r="J260" s="9" t="n">
        <x:v>51.51</x:v>
      </x:c>
      <x:c r="K260" s="2" t="n">
        <x:v>8</x:v>
      </x:c>
      <x:c r="L260" s="2" t="str">
        <x:v>Valid</x:v>
      </x:c>
      <x:c r="M260" s="2" t="str">
        <x:v>QR</x:v>
      </x:c>
      <x:c r="N260" s="2" t="n">
        <x:v>1</x:v>
      </x:c>
      <x:c r="O260" s="2" t="str">
        <x:v>Accepted</x:v>
      </x:c>
      <x:c r="P260" s="2" t="str">
        <x:v>S003</x:v>
      </x:c>
      <x:c r="Q260" s="2" t="str">
        <x:v>DEV003</x:v>
      </x:c>
      <x:c r="R260" s="2" t="n">
        <x:v>47</x:v>
      </x:c>
      <x:c r="S260" s="2" t="str">
        <x:v>Online</x:v>
      </x:c>
      <x:c r="T260" s="2" t="str">
        <x:v>Synced</x:v>
      </x:c>
    </x:row>
    <x:row r="261" ht="21" customHeight="1">
      <x:c r="A261" s="2" t="str">
        <x:v>EV000074</x:v>
      </x:c>
      <x:c r="B261" s="2" t="str">
        <x:v>T20261004-2-1</x:v>
      </x:c>
      <x:c r="C261" s="2" t="str">
        <x:v>ST028</x:v>
      </x:c>
      <x:c r="D261" s="2" t="str">
        <x:v>af9ca502f5a3f54f1f44ea6d11afd24b</x:v>
      </x:c>
      <x:c r="E261" s="2" t="str">
        <x:v>CHECK_OUT</x:v>
      </x:c>
      <x:c r="F261" s="8" t="n">
        <x:v>46299.50649305556</x:v>
      </x:c>
      <x:c r="G261" s="8" t="n">
        <x:v>46299.506516203706</x:v>
      </x:c>
      <x:c r="H261" s="2" t="str">
        <x:v>SCH01</x:v>
      </x:c>
      <x:c r="I261" s="9" t="n">
        <x:v>25.285</x:v>
      </x:c>
      <x:c r="J261" s="9" t="n">
        <x:v>51.51</x:v>
      </x:c>
      <x:c r="K261" s="2" t="n">
        <x:v>8</x:v>
      </x:c>
      <x:c r="L261" s="2" t="str">
        <x:v>Valid</x:v>
      </x:c>
      <x:c r="M261" s="2" t="str">
        <x:v>QR</x:v>
      </x:c>
      <x:c r="N261" s="2" t="n">
        <x:v>1</x:v>
      </x:c>
      <x:c r="O261" s="2" t="str">
        <x:v>Accepted</x:v>
      </x:c>
      <x:c r="P261" s="2" t="str">
        <x:v>S001</x:v>
      </x:c>
      <x:c r="Q261" s="2" t="str">
        <x:v>DEV001</x:v>
      </x:c>
      <x:c r="R261" s="2" t="n">
        <x:v>46</x:v>
      </x:c>
      <x:c r="S261" s="2" t="str">
        <x:v>Online</x:v>
      </x:c>
      <x:c r="T261" s="2" t="str">
        <x:v>Synced</x:v>
      </x:c>
    </x:row>
    <x:row r="262" ht="21" customHeight="1">
      <x:c r="A262" s="2" t="str">
        <x:v>EV000234</x:v>
      </x:c>
      <x:c r="B262" s="2" t="str">
        <x:v>T20261004-2-2</x:v>
      </x:c>
      <x:c r="C262" s="2" t="str">
        <x:v>ST068</x:v>
      </x:c>
      <x:c r="D262" s="2" t="str">
        <x:v>6d9af84dd25561b8b07e5e166ae4982a</x:v>
      </x:c>
      <x:c r="E262" s="2" t="str">
        <x:v>CHECK_OUT</x:v>
      </x:c>
      <x:c r="F262" s="8" t="n">
        <x:v>46299.50649305556</x:v>
      </x:c>
      <x:c r="G262" s="8" t="n">
        <x:v>46299.506516203706</x:v>
      </x:c>
      <x:c r="H262" s="2" t="str">
        <x:v>SCH01</x:v>
      </x:c>
      <x:c r="I262" s="9" t="n">
        <x:v>25.285</x:v>
      </x:c>
      <x:c r="J262" s="9" t="n">
        <x:v>51.51</x:v>
      </x:c>
      <x:c r="K262" s="2" t="n">
        <x:v>8</x:v>
      </x:c>
      <x:c r="L262" s="2" t="str">
        <x:v>Valid</x:v>
      </x:c>
      <x:c r="M262" s="2" t="str">
        <x:v>QR</x:v>
      </x:c>
      <x:c r="N262" s="2" t="n">
        <x:v>1</x:v>
      </x:c>
      <x:c r="O262" s="2" t="str">
        <x:v>Accepted</x:v>
      </x:c>
      <x:c r="P262" s="2" t="str">
        <x:v>S002</x:v>
      </x:c>
      <x:c r="Q262" s="2" t="str">
        <x:v>DEV002</x:v>
      </x:c>
      <x:c r="R262" s="2" t="n">
        <x:v>48</x:v>
      </x:c>
      <x:c r="S262" s="2" t="str">
        <x:v>Online</x:v>
      </x:c>
      <x:c r="T262" s="2" t="str">
        <x:v>Synced</x:v>
      </x:c>
    </x:row>
    <x:row r="263" ht="21" customHeight="1">
      <x:c r="A263" s="2" t="str">
        <x:v>EV000394</x:v>
      </x:c>
      <x:c r="B263" s="2" t="str">
        <x:v>T20261004-2-3</x:v>
      </x:c>
      <x:c r="C263" s="2" t="str">
        <x:v>ST108</x:v>
      </x:c>
      <x:c r="D263" s="2" t="str">
        <x:v>85ef3b20338dfa9afdf3ae5a4b1ced5c</x:v>
      </x:c>
      <x:c r="E263" s="2" t="str">
        <x:v>CHECK_OUT</x:v>
      </x:c>
      <x:c r="F263" s="8" t="n">
        <x:v>46299.50649305556</x:v>
      </x:c>
      <x:c r="G263" s="8" t="n">
        <x:v>46299.506516203706</x:v>
      </x:c>
      <x:c r="H263" s="2" t="str">
        <x:v>SCH01</x:v>
      </x:c>
      <x:c r="I263" s="9" t="n">
        <x:v>25.285</x:v>
      </x:c>
      <x:c r="J263" s="9" t="n">
        <x:v>51.51</x:v>
      </x:c>
      <x:c r="K263" s="2" t="n">
        <x:v>8</x:v>
      </x:c>
      <x:c r="L263" s="2" t="str">
        <x:v>Valid</x:v>
      </x:c>
      <x:c r="M263" s="2" t="str">
        <x:v>QR</x:v>
      </x:c>
      <x:c r="N263" s="2" t="n">
        <x:v>1</x:v>
      </x:c>
      <x:c r="O263" s="2" t="str">
        <x:v>Accepted</x:v>
      </x:c>
      <x:c r="P263" s="2" t="str">
        <x:v>S003</x:v>
      </x:c>
      <x:c r="Q263" s="2" t="str">
        <x:v>DEV003</x:v>
      </x:c>
      <x:c r="R263" s="2" t="n">
        <x:v>48</x:v>
      </x:c>
      <x:c r="S263" s="2" t="str">
        <x:v>Online</x:v>
      </x:c>
      <x:c r="T263" s="2" t="str">
        <x:v>Synced</x:v>
      </x:c>
    </x:row>
    <x:row r="264" ht="21" customHeight="1">
      <x:c r="A264" s="2" t="str">
        <x:v>EV000076</x:v>
      </x:c>
      <x:c r="B264" s="2" t="str">
        <x:v>T20261004-2-1</x:v>
      </x:c>
      <x:c r="C264" s="2" t="str">
        <x:v>ST029</x:v>
      </x:c>
      <x:c r="D264" s="2" t="str">
        <x:v>160c4caa69875e092299cd9b55dcda0b</x:v>
      </x:c>
      <x:c r="E264" s="2" t="str">
        <x:v>CHECK_OUT</x:v>
      </x:c>
      <x:c r="F264" s="8" t="n">
        <x:v>46299.50652777778</x:v>
      </x:c>
      <x:c r="G264" s="8" t="n">
        <x:v>46299.50655092593</x:v>
      </x:c>
      <x:c r="H264" s="2" t="str">
        <x:v>SCH01</x:v>
      </x:c>
      <x:c r="I264" s="9" t="n">
        <x:v>25.285</x:v>
      </x:c>
      <x:c r="J264" s="9" t="n">
        <x:v>51.51</x:v>
      </x:c>
      <x:c r="K264" s="2" t="n">
        <x:v>8</x:v>
      </x:c>
      <x:c r="L264" s="2" t="str">
        <x:v>Valid</x:v>
      </x:c>
      <x:c r="M264" s="2" t="str">
        <x:v>QR</x:v>
      </x:c>
      <x:c r="N264" s="2" t="n">
        <x:v>1</x:v>
      </x:c>
      <x:c r="O264" s="2" t="str">
        <x:v>Accepted</x:v>
      </x:c>
      <x:c r="P264" s="2" t="str">
        <x:v>S001</x:v>
      </x:c>
      <x:c r="Q264" s="2" t="str">
        <x:v>DEV001</x:v>
      </x:c>
      <x:c r="R264" s="2" t="n">
        <x:v>47</x:v>
      </x:c>
      <x:c r="S264" s="2" t="str">
        <x:v>Online</x:v>
      </x:c>
      <x:c r="T264" s="2" t="str">
        <x:v>Synced</x:v>
      </x:c>
    </x:row>
    <x:row r="265" ht="21" customHeight="1">
      <x:c r="A265" s="2" t="str">
        <x:v>EV000236</x:v>
      </x:c>
      <x:c r="B265" s="2" t="str">
        <x:v>T20261004-2-2</x:v>
      </x:c>
      <x:c r="C265" s="2" t="str">
        <x:v>ST069</x:v>
      </x:c>
      <x:c r="D265" s="2" t="str">
        <x:v>d453525f57933d1df9d056e2e53ed3e4</x:v>
      </x:c>
      <x:c r="E265" s="2" t="str">
        <x:v>CHECK_OUT</x:v>
      </x:c>
      <x:c r="F265" s="8" t="n">
        <x:v>46299.50652777778</x:v>
      </x:c>
      <x:c r="G265" s="8" t="n">
        <x:v>46299.50655092593</x:v>
      </x:c>
      <x:c r="H265" s="2" t="str">
        <x:v>SCH01</x:v>
      </x:c>
      <x:c r="I265" s="9" t="n">
        <x:v>25.285</x:v>
      </x:c>
      <x:c r="J265" s="9" t="n">
        <x:v>51.51</x:v>
      </x:c>
      <x:c r="K265" s="2" t="n">
        <x:v>8</x:v>
      </x:c>
      <x:c r="L265" s="2" t="str">
        <x:v>Valid</x:v>
      </x:c>
      <x:c r="M265" s="2" t="str">
        <x:v>QR</x:v>
      </x:c>
      <x:c r="N265" s="2" t="n">
        <x:v>1</x:v>
      </x:c>
      <x:c r="O265" s="2" t="str">
        <x:v>Accepted</x:v>
      </x:c>
      <x:c r="P265" s="2" t="str">
        <x:v>S002</x:v>
      </x:c>
      <x:c r="Q265" s="2" t="str">
        <x:v>DEV002</x:v>
      </x:c>
      <x:c r="R265" s="2" t="n">
        <x:v>49</x:v>
      </x:c>
      <x:c r="S265" s="2" t="str">
        <x:v>Online</x:v>
      </x:c>
      <x:c r="T265" s="2" t="str">
        <x:v>Synced</x:v>
      </x:c>
    </x:row>
    <x:row r="266" ht="21" customHeight="1">
      <x:c r="A266" s="2" t="str">
        <x:v>EV000396</x:v>
      </x:c>
      <x:c r="B266" s="2" t="str">
        <x:v>T20261004-2-3</x:v>
      </x:c>
      <x:c r="C266" s="2" t="str">
        <x:v>ST109</x:v>
      </x:c>
      <x:c r="D266" s="2" t="str">
        <x:v>dfd493c800846e3efc35048335bd557b</x:v>
      </x:c>
      <x:c r="E266" s="2" t="str">
        <x:v>CHECK_OUT</x:v>
      </x:c>
      <x:c r="F266" s="8" t="n">
        <x:v>46299.50652777778</x:v>
      </x:c>
      <x:c r="G266" s="8" t="n">
        <x:v>46299.50655092593</x:v>
      </x:c>
      <x:c r="H266" s="2" t="str">
        <x:v>SCH01</x:v>
      </x:c>
      <x:c r="I266" s="9" t="n">
        <x:v>25.285</x:v>
      </x:c>
      <x:c r="J266" s="9" t="n">
        <x:v>51.51</x:v>
      </x:c>
      <x:c r="K266" s="2" t="n">
        <x:v>8</x:v>
      </x:c>
      <x:c r="L266" s="2" t="str">
        <x:v>Valid</x:v>
      </x:c>
      <x:c r="M266" s="2" t="str">
        <x:v>QR</x:v>
      </x:c>
      <x:c r="N266" s="2" t="n">
        <x:v>1</x:v>
      </x:c>
      <x:c r="O266" s="2" t="str">
        <x:v>Accepted</x:v>
      </x:c>
      <x:c r="P266" s="2" t="str">
        <x:v>S003</x:v>
      </x:c>
      <x:c r="Q266" s="2" t="str">
        <x:v>DEV003</x:v>
      </x:c>
      <x:c r="R266" s="2" t="n">
        <x:v>49</x:v>
      </x:c>
      <x:c r="S266" s="2" t="str">
        <x:v>Online</x:v>
      </x:c>
      <x:c r="T266" s="2" t="str">
        <x:v>Synced</x:v>
      </x:c>
    </x:row>
    <x:row r="267" ht="21" customHeight="1">
      <x:c r="A267" s="2" t="str">
        <x:v>EV000078</x:v>
      </x:c>
      <x:c r="B267" s="2" t="str">
        <x:v>T20261004-2-1</x:v>
      </x:c>
      <x:c r="C267" s="2" t="str">
        <x:v>ST030</x:v>
      </x:c>
      <x:c r="D267" s="2" t="str">
        <x:v>82585187c31166ddecfc4b31343dde64</x:v>
      </x:c>
      <x:c r="E267" s="2" t="str">
        <x:v>CHECK_OUT</x:v>
      </x:c>
      <x:c r="F267" s="8" t="n">
        <x:v>46299.506562500006</x:v>
      </x:c>
      <x:c r="G267" s="8" t="n">
        <x:v>46299.50658564815</x:v>
      </x:c>
      <x:c r="H267" s="2" t="str">
        <x:v>SCH01</x:v>
      </x:c>
      <x:c r="I267" s="9" t="n">
        <x:v>25.285</x:v>
      </x:c>
      <x:c r="J267" s="9" t="n">
        <x:v>51.51</x:v>
      </x:c>
      <x:c r="K267" s="2" t="n">
        <x:v>8</x:v>
      </x:c>
      <x:c r="L267" s="2" t="str">
        <x:v>Valid</x:v>
      </x:c>
      <x:c r="M267" s="2" t="str">
        <x:v>QR</x:v>
      </x:c>
      <x:c r="N267" s="2" t="n">
        <x:v>1</x:v>
      </x:c>
      <x:c r="O267" s="2" t="str">
        <x:v>Accepted</x:v>
      </x:c>
      <x:c r="P267" s="2" t="str">
        <x:v>S001</x:v>
      </x:c>
      <x:c r="Q267" s="2" t="str">
        <x:v>DEV001</x:v>
      </x:c>
      <x:c r="R267" s="2" t="n">
        <x:v>48</x:v>
      </x:c>
      <x:c r="S267" s="2" t="str">
        <x:v>Online</x:v>
      </x:c>
      <x:c r="T267" s="2" t="str">
        <x:v>Synced</x:v>
      </x:c>
    </x:row>
    <x:row r="268" ht="21" customHeight="1">
      <x:c r="A268" s="2" t="str">
        <x:v>EV000238</x:v>
      </x:c>
      <x:c r="B268" s="2" t="str">
        <x:v>T20261004-2-2</x:v>
      </x:c>
      <x:c r="C268" s="2" t="str">
        <x:v>ST070</x:v>
      </x:c>
      <x:c r="D268" s="2" t="str">
        <x:v>12a9f1121533e9d2b6402c68cf852c16</x:v>
      </x:c>
      <x:c r="E268" s="2" t="str">
        <x:v>CHECK_OUT</x:v>
      </x:c>
      <x:c r="F268" s="8" t="n">
        <x:v>46299.506562500006</x:v>
      </x:c>
      <x:c r="G268" s="8" t="n">
        <x:v>46299.50658564815</x:v>
      </x:c>
      <x:c r="H268" s="2" t="str">
        <x:v>SCH01</x:v>
      </x:c>
      <x:c r="I268" s="9" t="n">
        <x:v>25.285</x:v>
      </x:c>
      <x:c r="J268" s="9" t="n">
        <x:v>51.51</x:v>
      </x:c>
      <x:c r="K268" s="2" t="n">
        <x:v>8</x:v>
      </x:c>
      <x:c r="L268" s="2" t="str">
        <x:v>Valid</x:v>
      </x:c>
      <x:c r="M268" s="2" t="str">
        <x:v>QR</x:v>
      </x:c>
      <x:c r="N268" s="2" t="n">
        <x:v>1</x:v>
      </x:c>
      <x:c r="O268" s="2" t="str">
        <x:v>Accepted</x:v>
      </x:c>
      <x:c r="P268" s="2" t="str">
        <x:v>S002</x:v>
      </x:c>
      <x:c r="Q268" s="2" t="str">
        <x:v>DEV002</x:v>
      </x:c>
      <x:c r="R268" s="2" t="n">
        <x:v>50</x:v>
      </x:c>
      <x:c r="S268" s="2" t="str">
        <x:v>Online</x:v>
      </x:c>
      <x:c r="T268" s="2" t="str">
        <x:v>Synced</x:v>
      </x:c>
    </x:row>
    <x:row r="269" ht="21" customHeight="1">
      <x:c r="A269" s="2" t="str">
        <x:v>EV000398</x:v>
      </x:c>
      <x:c r="B269" s="2" t="str">
        <x:v>T20261004-2-3</x:v>
      </x:c>
      <x:c r="C269" s="2" t="str">
        <x:v>ST110</x:v>
      </x:c>
      <x:c r="D269" s="2" t="str">
        <x:v>4382c0cdcda89fb8cc0f5b9fc03b4c51</x:v>
      </x:c>
      <x:c r="E269" s="2" t="str">
        <x:v>CHECK_OUT</x:v>
      </x:c>
      <x:c r="F269" s="8" t="n">
        <x:v>46299.506562500006</x:v>
      </x:c>
      <x:c r="G269" s="8" t="n">
        <x:v>46299.50658564815</x:v>
      </x:c>
      <x:c r="H269" s="2" t="str">
        <x:v>SCH01</x:v>
      </x:c>
      <x:c r="I269" s="9" t="n">
        <x:v>25.285</x:v>
      </x:c>
      <x:c r="J269" s="9" t="n">
        <x:v>51.51</x:v>
      </x:c>
      <x:c r="K269" s="2" t="n">
        <x:v>8</x:v>
      </x:c>
      <x:c r="L269" s="2" t="str">
        <x:v>Valid</x:v>
      </x:c>
      <x:c r="M269" s="2" t="str">
        <x:v>QR</x:v>
      </x:c>
      <x:c r="N269" s="2" t="n">
        <x:v>1</x:v>
      </x:c>
      <x:c r="O269" s="2" t="str">
        <x:v>Accepted</x:v>
      </x:c>
      <x:c r="P269" s="2" t="str">
        <x:v>S003</x:v>
      </x:c>
      <x:c r="Q269" s="2" t="str">
        <x:v>DEV003</x:v>
      </x:c>
      <x:c r="R269" s="2" t="n">
        <x:v>50</x:v>
      </x:c>
      <x:c r="S269" s="2" t="str">
        <x:v>Online</x:v>
      </x:c>
      <x:c r="T269" s="2" t="str">
        <x:v>Synced</x:v>
      </x:c>
    </x:row>
    <x:row r="270" ht="21" customHeight="1">
      <x:c r="A270" s="2" t="str">
        <x:v>EV000080</x:v>
      </x:c>
      <x:c r="B270" s="2" t="str">
        <x:v>T20261004-2-1</x:v>
      </x:c>
      <x:c r="C270" s="2" t="str">
        <x:v>ST031</x:v>
      </x:c>
      <x:c r="D270" s="2" t="str">
        <x:v>8ab188e9684e5df87182305d1c7eadac</x:v>
      </x:c>
      <x:c r="E270" s="2" t="str">
        <x:v>CHECK_OUT</x:v>
      </x:c>
      <x:c r="F270" s="8" t="n">
        <x:v>46299.50659722223</x:v>
      </x:c>
      <x:c r="G270" s="8" t="n">
        <x:v>46299.506620370375</x:v>
      </x:c>
      <x:c r="H270" s="2" t="str">
        <x:v>SCH01</x:v>
      </x:c>
      <x:c r="I270" s="9" t="n">
        <x:v>25.285</x:v>
      </x:c>
      <x:c r="J270" s="9" t="n">
        <x:v>51.51</x:v>
      </x:c>
      <x:c r="K270" s="2" t="n">
        <x:v>8</x:v>
      </x:c>
      <x:c r="L270" s="2" t="str">
        <x:v>Valid</x:v>
      </x:c>
      <x:c r="M270" s="2" t="str">
        <x:v>QR</x:v>
      </x:c>
      <x:c r="N270" s="2" t="n">
        <x:v>1</x:v>
      </x:c>
      <x:c r="O270" s="2" t="str">
        <x:v>Accepted</x:v>
      </x:c>
      <x:c r="P270" s="2" t="str">
        <x:v>S001</x:v>
      </x:c>
      <x:c r="Q270" s="2" t="str">
        <x:v>DEV001</x:v>
      </x:c>
      <x:c r="R270" s="2" t="n">
        <x:v>49</x:v>
      </x:c>
      <x:c r="S270" s="2" t="str">
        <x:v>Online</x:v>
      </x:c>
      <x:c r="T270" s="2" t="str">
        <x:v>Synced</x:v>
      </x:c>
    </x:row>
    <x:row r="271" ht="21" customHeight="1">
      <x:c r="A271" s="2" t="str">
        <x:v>EV000240</x:v>
      </x:c>
      <x:c r="B271" s="2" t="str">
        <x:v>T20261004-2-2</x:v>
      </x:c>
      <x:c r="C271" s="2" t="str">
        <x:v>ST071</x:v>
      </x:c>
      <x:c r="D271" s="2" t="str">
        <x:v>51895678643dc659a400e702a471294e</x:v>
      </x:c>
      <x:c r="E271" s="2" t="str">
        <x:v>CHECK_OUT</x:v>
      </x:c>
      <x:c r="F271" s="8" t="n">
        <x:v>46299.50659722223</x:v>
      </x:c>
      <x:c r="G271" s="8" t="n">
        <x:v>46299.506620370375</x:v>
      </x:c>
      <x:c r="H271" s="2" t="str">
        <x:v>SCH01</x:v>
      </x:c>
      <x:c r="I271" s="9" t="n">
        <x:v>25.285</x:v>
      </x:c>
      <x:c r="J271" s="9" t="n">
        <x:v>51.51</x:v>
      </x:c>
      <x:c r="K271" s="2" t="n">
        <x:v>8</x:v>
      </x:c>
      <x:c r="L271" s="2" t="str">
        <x:v>Valid</x:v>
      </x:c>
      <x:c r="M271" s="2" t="str">
        <x:v>QR</x:v>
      </x:c>
      <x:c r="N271" s="2" t="n">
        <x:v>1</x:v>
      </x:c>
      <x:c r="O271" s="2" t="str">
        <x:v>Accepted</x:v>
      </x:c>
      <x:c r="P271" s="2" t="str">
        <x:v>S002</x:v>
      </x:c>
      <x:c r="Q271" s="2" t="str">
        <x:v>DEV002</x:v>
      </x:c>
      <x:c r="R271" s="2" t="n">
        <x:v>51</x:v>
      </x:c>
      <x:c r="S271" s="2" t="str">
        <x:v>Online</x:v>
      </x:c>
      <x:c r="T271" s="2" t="str">
        <x:v>Synced</x:v>
      </x:c>
    </x:row>
    <x:row r="272" ht="21" customHeight="1">
      <x:c r="A272" s="2" t="str">
        <x:v>EV000400</x:v>
      </x:c>
      <x:c r="B272" s="2" t="str">
        <x:v>T20261004-2-3</x:v>
      </x:c>
      <x:c r="C272" s="2" t="str">
        <x:v>ST111</x:v>
      </x:c>
      <x:c r="D272" s="2" t="str">
        <x:v>e6e9707385e7ee8edd3ac87243757eb2</x:v>
      </x:c>
      <x:c r="E272" s="2" t="str">
        <x:v>CHECK_OUT</x:v>
      </x:c>
      <x:c r="F272" s="8" t="n">
        <x:v>46299.50659722223</x:v>
      </x:c>
      <x:c r="G272" s="8" t="n">
        <x:v>46299.506620370375</x:v>
      </x:c>
      <x:c r="H272" s="2" t="str">
        <x:v>SCH01</x:v>
      </x:c>
      <x:c r="I272" s="9" t="n">
        <x:v>25.285</x:v>
      </x:c>
      <x:c r="J272" s="9" t="n">
        <x:v>51.51</x:v>
      </x:c>
      <x:c r="K272" s="2" t="n">
        <x:v>8</x:v>
      </x:c>
      <x:c r="L272" s="2" t="str">
        <x:v>Valid</x:v>
      </x:c>
      <x:c r="M272" s="2" t="str">
        <x:v>QR</x:v>
      </x:c>
      <x:c r="N272" s="2" t="n">
        <x:v>1</x:v>
      </x:c>
      <x:c r="O272" s="2" t="str">
        <x:v>Accepted</x:v>
      </x:c>
      <x:c r="P272" s="2" t="str">
        <x:v>S003</x:v>
      </x:c>
      <x:c r="Q272" s="2" t="str">
        <x:v>DEV003</x:v>
      </x:c>
      <x:c r="R272" s="2" t="n">
        <x:v>51</x:v>
      </x:c>
      <x:c r="S272" s="2" t="str">
        <x:v>Online</x:v>
      </x:c>
      <x:c r="T272" s="2" t="str">
        <x:v>Synced</x:v>
      </x:c>
    </x:row>
    <x:row r="273" ht="21" customHeight="1">
      <x:c r="A273" s="2" t="str">
        <x:v>EV000082</x:v>
      </x:c>
      <x:c r="B273" s="2" t="str">
        <x:v>T20261004-2-1</x:v>
      </x:c>
      <x:c r="C273" s="2" t="str">
        <x:v>ST032</x:v>
      </x:c>
      <x:c r="D273" s="2" t="str">
        <x:v>836e2da54ccde9716995f5651a63e8c5</x:v>
      </x:c>
      <x:c r="E273" s="2" t="str">
        <x:v>CHECK_OUT</x:v>
      </x:c>
      <x:c r="F273" s="8" t="n">
        <x:v>46299.506631944445</x:v>
      </x:c>
      <x:c r="G273" s="8" t="n">
        <x:v>46299.50665509259</x:v>
      </x:c>
      <x:c r="H273" s="2" t="str">
        <x:v>SCH01</x:v>
      </x:c>
      <x:c r="I273" s="9" t="n">
        <x:v>25.285</x:v>
      </x:c>
      <x:c r="J273" s="9" t="n">
        <x:v>51.51</x:v>
      </x:c>
      <x:c r="K273" s="2" t="n">
        <x:v>8</x:v>
      </x:c>
      <x:c r="L273" s="2" t="str">
        <x:v>Valid</x:v>
      </x:c>
      <x:c r="M273" s="2" t="str">
        <x:v>QR</x:v>
      </x:c>
      <x:c r="N273" s="2" t="n">
        <x:v>1</x:v>
      </x:c>
      <x:c r="O273" s="2" t="str">
        <x:v>Accepted</x:v>
      </x:c>
      <x:c r="P273" s="2" t="str">
        <x:v>S001</x:v>
      </x:c>
      <x:c r="Q273" s="2" t="str">
        <x:v>DEV001</x:v>
      </x:c>
      <x:c r="R273" s="2" t="n">
        <x:v>50</x:v>
      </x:c>
      <x:c r="S273" s="2" t="str">
        <x:v>Online</x:v>
      </x:c>
      <x:c r="T273" s="2" t="str">
        <x:v>Synced</x:v>
      </x:c>
    </x:row>
    <x:row r="274" ht="21" customHeight="1">
      <x:c r="A274" s="2" t="str">
        <x:v>EV000242</x:v>
      </x:c>
      <x:c r="B274" s="2" t="str">
        <x:v>T20261004-2-2</x:v>
      </x:c>
      <x:c r="C274" s="2" t="str">
        <x:v>ST072</x:v>
      </x:c>
      <x:c r="D274" s="2" t="str">
        <x:v>34067027b5922171fe59ce4d7b756f1c</x:v>
      </x:c>
      <x:c r="E274" s="2" t="str">
        <x:v>CHECK_OUT</x:v>
      </x:c>
      <x:c r="F274" s="8" t="n">
        <x:v>46299.506631944445</x:v>
      </x:c>
      <x:c r="G274" s="8" t="n">
        <x:v>46299.50665509259</x:v>
      </x:c>
      <x:c r="H274" s="2" t="str">
        <x:v>SCH01</x:v>
      </x:c>
      <x:c r="I274" s="9" t="n">
        <x:v>25.285</x:v>
      </x:c>
      <x:c r="J274" s="9" t="n">
        <x:v>51.51</x:v>
      </x:c>
      <x:c r="K274" s="2" t="n">
        <x:v>8</x:v>
      </x:c>
      <x:c r="L274" s="2" t="str">
        <x:v>Valid</x:v>
      </x:c>
      <x:c r="M274" s="2" t="str">
        <x:v>QR</x:v>
      </x:c>
      <x:c r="N274" s="2" t="n">
        <x:v>1</x:v>
      </x:c>
      <x:c r="O274" s="2" t="str">
        <x:v>Accepted</x:v>
      </x:c>
      <x:c r="P274" s="2" t="str">
        <x:v>S002</x:v>
      </x:c>
      <x:c r="Q274" s="2" t="str">
        <x:v>DEV002</x:v>
      </x:c>
      <x:c r="R274" s="2" t="n">
        <x:v>52</x:v>
      </x:c>
      <x:c r="S274" s="2" t="str">
        <x:v>Online</x:v>
      </x:c>
      <x:c r="T274" s="2" t="str">
        <x:v>Synced</x:v>
      </x:c>
    </x:row>
    <x:row r="275" ht="21" customHeight="1">
      <x:c r="A275" s="2" t="str">
        <x:v>EV000402</x:v>
      </x:c>
      <x:c r="B275" s="2" t="str">
        <x:v>T20261004-2-3</x:v>
      </x:c>
      <x:c r="C275" s="2" t="str">
        <x:v>ST112</x:v>
      </x:c>
      <x:c r="D275" s="2" t="str">
        <x:v>ca020aefc0d912af9ddca5c7ca7a2f51</x:v>
      </x:c>
      <x:c r="E275" s="2" t="str">
        <x:v>CHECK_OUT</x:v>
      </x:c>
      <x:c r="F275" s="8" t="n">
        <x:v>46299.506631944445</x:v>
      </x:c>
      <x:c r="G275" s="8" t="n">
        <x:v>46299.50665509259</x:v>
      </x:c>
      <x:c r="H275" s="2" t="str">
        <x:v>SCH01</x:v>
      </x:c>
      <x:c r="I275" s="9" t="n">
        <x:v>25.285</x:v>
      </x:c>
      <x:c r="J275" s="9" t="n">
        <x:v>51.51</x:v>
      </x:c>
      <x:c r="K275" s="2" t="n">
        <x:v>8</x:v>
      </x:c>
      <x:c r="L275" s="2" t="str">
        <x:v>Valid</x:v>
      </x:c>
      <x:c r="M275" s="2" t="str">
        <x:v>QR</x:v>
      </x:c>
      <x:c r="N275" s="2" t="n">
        <x:v>1</x:v>
      </x:c>
      <x:c r="O275" s="2" t="str">
        <x:v>Accepted</x:v>
      </x:c>
      <x:c r="P275" s="2" t="str">
        <x:v>S003</x:v>
      </x:c>
      <x:c r="Q275" s="2" t="str">
        <x:v>DEV003</x:v>
      </x:c>
      <x:c r="R275" s="2" t="n">
        <x:v>52</x:v>
      </x:c>
      <x:c r="S275" s="2" t="str">
        <x:v>Online</x:v>
      </x:c>
      <x:c r="T275" s="2" t="str">
        <x:v>Synced</x:v>
      </x:c>
    </x:row>
    <x:row r="276" ht="21" customHeight="1">
      <x:c r="A276" s="2" t="str">
        <x:v>EV000084</x:v>
      </x:c>
      <x:c r="B276" s="2" t="str">
        <x:v>T20261004-2-1</x:v>
      </x:c>
      <x:c r="C276" s="2" t="str">
        <x:v>ST033</x:v>
      </x:c>
      <x:c r="D276" s="2" t="str">
        <x:v>c9cc8ddf1b5bae8b49929340838e300a</x:v>
      </x:c>
      <x:c r="E276" s="2" t="str">
        <x:v>CHECK_OUT</x:v>
      </x:c>
      <x:c r="F276" s="8" t="n">
        <x:v>46299.50666666667</x:v>
      </x:c>
      <x:c r="G276" s="8" t="n">
        <x:v>46299.506689814814</x:v>
      </x:c>
      <x:c r="H276" s="2" t="str">
        <x:v>SCH01</x:v>
      </x:c>
      <x:c r="I276" s="9" t="n">
        <x:v>25.285</x:v>
      </x:c>
      <x:c r="J276" s="9" t="n">
        <x:v>51.51</x:v>
      </x:c>
      <x:c r="K276" s="2" t="n">
        <x:v>8</x:v>
      </x:c>
      <x:c r="L276" s="2" t="str">
        <x:v>Valid</x:v>
      </x:c>
      <x:c r="M276" s="2" t="str">
        <x:v>QR</x:v>
      </x:c>
      <x:c r="N276" s="2" t="n">
        <x:v>1</x:v>
      </x:c>
      <x:c r="O276" s="2" t="str">
        <x:v>Accepted</x:v>
      </x:c>
      <x:c r="P276" s="2" t="str">
        <x:v>S001</x:v>
      </x:c>
      <x:c r="Q276" s="2" t="str">
        <x:v>DEV001</x:v>
      </x:c>
      <x:c r="R276" s="2" t="n">
        <x:v>51</x:v>
      </x:c>
      <x:c r="S276" s="2" t="str">
        <x:v>Online</x:v>
      </x:c>
      <x:c r="T276" s="2" t="str">
        <x:v>Synced</x:v>
      </x:c>
    </x:row>
    <x:row r="277" ht="21" customHeight="1">
      <x:c r="A277" s="2" t="str">
        <x:v>EV000244</x:v>
      </x:c>
      <x:c r="B277" s="2" t="str">
        <x:v>T20261004-2-2</x:v>
      </x:c>
      <x:c r="C277" s="2" t="str">
        <x:v>ST073</x:v>
      </x:c>
      <x:c r="D277" s="2" t="str">
        <x:v>b27180ce7590c0aac206d465f318b712</x:v>
      </x:c>
      <x:c r="E277" s="2" t="str">
        <x:v>CHECK_OUT</x:v>
      </x:c>
      <x:c r="F277" s="8" t="n">
        <x:v>46299.50666666667</x:v>
      </x:c>
      <x:c r="G277" s="8" t="n">
        <x:v>46299.506689814814</x:v>
      </x:c>
      <x:c r="H277" s="2" t="str">
        <x:v>SCH01</x:v>
      </x:c>
      <x:c r="I277" s="9" t="n">
        <x:v>25.285</x:v>
      </x:c>
      <x:c r="J277" s="9" t="n">
        <x:v>51.51</x:v>
      </x:c>
      <x:c r="K277" s="2" t="n">
        <x:v>8</x:v>
      </x:c>
      <x:c r="L277" s="2" t="str">
        <x:v>Valid</x:v>
      </x:c>
      <x:c r="M277" s="2" t="str">
        <x:v>QR</x:v>
      </x:c>
      <x:c r="N277" s="2" t="n">
        <x:v>1</x:v>
      </x:c>
      <x:c r="O277" s="2" t="str">
        <x:v>Accepted</x:v>
      </x:c>
      <x:c r="P277" s="2" t="str">
        <x:v>S002</x:v>
      </x:c>
      <x:c r="Q277" s="2" t="str">
        <x:v>DEV002</x:v>
      </x:c>
      <x:c r="R277" s="2" t="n">
        <x:v>53</x:v>
      </x:c>
      <x:c r="S277" s="2" t="str">
        <x:v>Online</x:v>
      </x:c>
      <x:c r="T277" s="2" t="str">
        <x:v>Synced</x:v>
      </x:c>
    </x:row>
    <x:row r="278" ht="21" customHeight="1">
      <x:c r="A278" s="2" t="str">
        <x:v>EV000404</x:v>
      </x:c>
      <x:c r="B278" s="2" t="str">
        <x:v>T20261004-2-3</x:v>
      </x:c>
      <x:c r="C278" s="2" t="str">
        <x:v>ST113</x:v>
      </x:c>
      <x:c r="D278" s="2" t="str">
        <x:v>c3781e168737a6cc1190d4415801c440</x:v>
      </x:c>
      <x:c r="E278" s="2" t="str">
        <x:v>CHECK_OUT</x:v>
      </x:c>
      <x:c r="F278" s="8" t="n">
        <x:v>46299.50666666667</x:v>
      </x:c>
      <x:c r="G278" s="8" t="n">
        <x:v>46299.506689814814</x:v>
      </x:c>
      <x:c r="H278" s="2" t="str">
        <x:v>SCH01</x:v>
      </x:c>
      <x:c r="I278" s="9" t="n">
        <x:v>25.285</x:v>
      </x:c>
      <x:c r="J278" s="9" t="n">
        <x:v>51.51</x:v>
      </x:c>
      <x:c r="K278" s="2" t="n">
        <x:v>8</x:v>
      </x:c>
      <x:c r="L278" s="2" t="str">
        <x:v>Valid</x:v>
      </x:c>
      <x:c r="M278" s="2" t="str">
        <x:v>QR</x:v>
      </x:c>
      <x:c r="N278" s="2" t="n">
        <x:v>1</x:v>
      </x:c>
      <x:c r="O278" s="2" t="str">
        <x:v>Accepted</x:v>
      </x:c>
      <x:c r="P278" s="2" t="str">
        <x:v>S003</x:v>
      </x:c>
      <x:c r="Q278" s="2" t="str">
        <x:v>DEV003</x:v>
      </x:c>
      <x:c r="R278" s="2" t="n">
        <x:v>53</x:v>
      </x:c>
      <x:c r="S278" s="2" t="str">
        <x:v>Online</x:v>
      </x:c>
      <x:c r="T278" s="2" t="str">
        <x:v>Synced</x:v>
      </x:c>
    </x:row>
    <x:row r="279" ht="21" customHeight="1">
      <x:c r="A279" s="2" t="str">
        <x:v>EV000086</x:v>
      </x:c>
      <x:c r="B279" s="2" t="str">
        <x:v>T20261004-2-1</x:v>
      </x:c>
      <x:c r="C279" s="2" t="str">
        <x:v>ST034</x:v>
      </x:c>
      <x:c r="D279" s="2" t="str">
        <x:v>80fbe33bb2df8cab59b55f98f1c8a3d5</x:v>
      </x:c>
      <x:c r="E279" s="2" t="str">
        <x:v>CHECK_OUT</x:v>
      </x:c>
      <x:c r="F279" s="8" t="n">
        <x:v>46299.50670138889</x:v>
      </x:c>
      <x:c r="G279" s="8" t="n">
        <x:v>46299.50672453704</x:v>
      </x:c>
      <x:c r="H279" s="2" t="str">
        <x:v>SCH01</x:v>
      </x:c>
      <x:c r="I279" s="9" t="n">
        <x:v>25.285</x:v>
      </x:c>
      <x:c r="J279" s="9" t="n">
        <x:v>51.51</x:v>
      </x:c>
      <x:c r="K279" s="2" t="n">
        <x:v>8</x:v>
      </x:c>
      <x:c r="L279" s="2" t="str">
        <x:v>Valid</x:v>
      </x:c>
      <x:c r="M279" s="2" t="str">
        <x:v>QR</x:v>
      </x:c>
      <x:c r="N279" s="2" t="n">
        <x:v>1</x:v>
      </x:c>
      <x:c r="O279" s="2" t="str">
        <x:v>Accepted</x:v>
      </x:c>
      <x:c r="P279" s="2" t="str">
        <x:v>S001</x:v>
      </x:c>
      <x:c r="Q279" s="2" t="str">
        <x:v>DEV001</x:v>
      </x:c>
      <x:c r="R279" s="2" t="n">
        <x:v>52</x:v>
      </x:c>
      <x:c r="S279" s="2" t="str">
        <x:v>Online</x:v>
      </x:c>
      <x:c r="T279" s="2" t="str">
        <x:v>Synced</x:v>
      </x:c>
    </x:row>
    <x:row r="280" ht="21" customHeight="1">
      <x:c r="A280" s="2" t="str">
        <x:v>EV000246</x:v>
      </x:c>
      <x:c r="B280" s="2" t="str">
        <x:v>T20261004-2-2</x:v>
      </x:c>
      <x:c r="C280" s="2" t="str">
        <x:v>ST074</x:v>
      </x:c>
      <x:c r="D280" s="2" t="str">
        <x:v>a9bcbd7cecca4f17e235125ddf0adf7b</x:v>
      </x:c>
      <x:c r="E280" s="2" t="str">
        <x:v>CHECK_OUT</x:v>
      </x:c>
      <x:c r="F280" s="8" t="n">
        <x:v>46299.50670138889</x:v>
      </x:c>
      <x:c r="G280" s="8" t="n">
        <x:v>46299.50672453704</x:v>
      </x:c>
      <x:c r="H280" s="2" t="str">
        <x:v>SCH01</x:v>
      </x:c>
      <x:c r="I280" s="9" t="n">
        <x:v>25.285</x:v>
      </x:c>
      <x:c r="J280" s="9" t="n">
        <x:v>51.51</x:v>
      </x:c>
      <x:c r="K280" s="2" t="n">
        <x:v>8</x:v>
      </x:c>
      <x:c r="L280" s="2" t="str">
        <x:v>Valid</x:v>
      </x:c>
      <x:c r="M280" s="2" t="str">
        <x:v>QR</x:v>
      </x:c>
      <x:c r="N280" s="2" t="n">
        <x:v>1</x:v>
      </x:c>
      <x:c r="O280" s="2" t="str">
        <x:v>Accepted</x:v>
      </x:c>
      <x:c r="P280" s="2" t="str">
        <x:v>S002</x:v>
      </x:c>
      <x:c r="Q280" s="2" t="str">
        <x:v>DEV002</x:v>
      </x:c>
      <x:c r="R280" s="2" t="n">
        <x:v>54</x:v>
      </x:c>
      <x:c r="S280" s="2" t="str">
        <x:v>Online</x:v>
      </x:c>
      <x:c r="T280" s="2" t="str">
        <x:v>Synced</x:v>
      </x:c>
    </x:row>
    <x:row r="281" ht="21" customHeight="1">
      <x:c r="A281" s="2" t="str">
        <x:v>EV000406</x:v>
      </x:c>
      <x:c r="B281" s="2" t="str">
        <x:v>T20261004-2-3</x:v>
      </x:c>
      <x:c r="C281" s="2" t="str">
        <x:v>ST114</x:v>
      </x:c>
      <x:c r="D281" s="2" t="str">
        <x:v>a5c77bf3b082c3ab825b65c34f1c9f8c</x:v>
      </x:c>
      <x:c r="E281" s="2" t="str">
        <x:v>CHECK_OUT</x:v>
      </x:c>
      <x:c r="F281" s="8" t="n">
        <x:v>46299.50670138889</x:v>
      </x:c>
      <x:c r="G281" s="8" t="n">
        <x:v>46299.50672453704</x:v>
      </x:c>
      <x:c r="H281" s="2" t="str">
        <x:v>SCH01</x:v>
      </x:c>
      <x:c r="I281" s="9" t="n">
        <x:v>25.285</x:v>
      </x:c>
      <x:c r="J281" s="9" t="n">
        <x:v>51.51</x:v>
      </x:c>
      <x:c r="K281" s="2" t="n">
        <x:v>8</x:v>
      </x:c>
      <x:c r="L281" s="2" t="str">
        <x:v>Valid</x:v>
      </x:c>
      <x:c r="M281" s="2" t="str">
        <x:v>QR</x:v>
      </x:c>
      <x:c r="N281" s="2" t="n">
        <x:v>1</x:v>
      </x:c>
      <x:c r="O281" s="2" t="str">
        <x:v>Accepted</x:v>
      </x:c>
      <x:c r="P281" s="2" t="str">
        <x:v>S003</x:v>
      </x:c>
      <x:c r="Q281" s="2" t="str">
        <x:v>DEV003</x:v>
      </x:c>
      <x:c r="R281" s="2" t="n">
        <x:v>54</x:v>
      </x:c>
      <x:c r="S281" s="2" t="str">
        <x:v>Online</x:v>
      </x:c>
      <x:c r="T281" s="2" t="str">
        <x:v>Synced</x:v>
      </x:c>
    </x:row>
    <x:row r="282" ht="21" customHeight="1">
      <x:c r="A282" s="2" t="str">
        <x:v>EV000088</x:v>
      </x:c>
      <x:c r="B282" s="2" t="str">
        <x:v>T20261004-2-1</x:v>
      </x:c>
      <x:c r="C282" s="2" t="str">
        <x:v>ST035</x:v>
      </x:c>
      <x:c r="D282" s="2" t="str">
        <x:v>45068f3206e9be80993e83e259ea9cdc</x:v>
      </x:c>
      <x:c r="E282" s="2" t="str">
        <x:v>CHECK_OUT</x:v>
      </x:c>
      <x:c r="F282" s="8" t="n">
        <x:v>46299.506736111114</x:v>
      </x:c>
      <x:c r="G282" s="8" t="n">
        <x:v>46299.50675925926</x:v>
      </x:c>
      <x:c r="H282" s="2" t="str">
        <x:v>SCH01</x:v>
      </x:c>
      <x:c r="I282" s="9" t="n">
        <x:v>25.285</x:v>
      </x:c>
      <x:c r="J282" s="9" t="n">
        <x:v>51.51</x:v>
      </x:c>
      <x:c r="K282" s="2" t="n">
        <x:v>8</x:v>
      </x:c>
      <x:c r="L282" s="2" t="str">
        <x:v>Valid</x:v>
      </x:c>
      <x:c r="M282" s="2" t="str">
        <x:v>QR</x:v>
      </x:c>
      <x:c r="N282" s="2" t="n">
        <x:v>1</x:v>
      </x:c>
      <x:c r="O282" s="2" t="str">
        <x:v>Accepted</x:v>
      </x:c>
      <x:c r="P282" s="2" t="str">
        <x:v>S001</x:v>
      </x:c>
      <x:c r="Q282" s="2" t="str">
        <x:v>DEV001</x:v>
      </x:c>
      <x:c r="R282" s="2" t="n">
        <x:v>53</x:v>
      </x:c>
      <x:c r="S282" s="2" t="str">
        <x:v>Online</x:v>
      </x:c>
      <x:c r="T282" s="2" t="str">
        <x:v>Synced</x:v>
      </x:c>
    </x:row>
    <x:row r="283" ht="21" customHeight="1">
      <x:c r="A283" s="2" t="str">
        <x:v>EV000248</x:v>
      </x:c>
      <x:c r="B283" s="2" t="str">
        <x:v>T20261004-2-2</x:v>
      </x:c>
      <x:c r="C283" s="2" t="str">
        <x:v>ST075</x:v>
      </x:c>
      <x:c r="D283" s="2" t="str">
        <x:v>3781d00e457977b726407cb845a294cc</x:v>
      </x:c>
      <x:c r="E283" s="2" t="str">
        <x:v>CHECK_OUT</x:v>
      </x:c>
      <x:c r="F283" s="8" t="n">
        <x:v>46299.506736111114</x:v>
      </x:c>
      <x:c r="G283" s="8" t="n">
        <x:v>46299.50675925926</x:v>
      </x:c>
      <x:c r="H283" s="2" t="str">
        <x:v>SCH01</x:v>
      </x:c>
      <x:c r="I283" s="9" t="n">
        <x:v>25.285</x:v>
      </x:c>
      <x:c r="J283" s="9" t="n">
        <x:v>51.51</x:v>
      </x:c>
      <x:c r="K283" s="2" t="n">
        <x:v>8</x:v>
      </x:c>
      <x:c r="L283" s="2" t="str">
        <x:v>Valid</x:v>
      </x:c>
      <x:c r="M283" s="2" t="str">
        <x:v>QR</x:v>
      </x:c>
      <x:c r="N283" s="2" t="n">
        <x:v>1</x:v>
      </x:c>
      <x:c r="O283" s="2" t="str">
        <x:v>Accepted</x:v>
      </x:c>
      <x:c r="P283" s="2" t="str">
        <x:v>S002</x:v>
      </x:c>
      <x:c r="Q283" s="2" t="str">
        <x:v>DEV002</x:v>
      </x:c>
      <x:c r="R283" s="2" t="n">
        <x:v>55</x:v>
      </x:c>
      <x:c r="S283" s="2" t="str">
        <x:v>Online</x:v>
      </x:c>
      <x:c r="T283" s="2" t="str">
        <x:v>Synced</x:v>
      </x:c>
    </x:row>
    <x:row r="284" ht="21" customHeight="1">
      <x:c r="A284" s="2" t="str">
        <x:v>EV000408</x:v>
      </x:c>
      <x:c r="B284" s="2" t="str">
        <x:v>T20261004-2-3</x:v>
      </x:c>
      <x:c r="C284" s="2" t="str">
        <x:v>ST115</x:v>
      </x:c>
      <x:c r="D284" s="2" t="str">
        <x:v>dc951b9fd5f4acb1dc2ce3ca2f2e08ab</x:v>
      </x:c>
      <x:c r="E284" s="2" t="str">
        <x:v>CHECK_OUT</x:v>
      </x:c>
      <x:c r="F284" s="8" t="n">
        <x:v>46299.506736111114</x:v>
      </x:c>
      <x:c r="G284" s="8" t="n">
        <x:v>46299.50675925926</x:v>
      </x:c>
      <x:c r="H284" s="2" t="str">
        <x:v>SCH01</x:v>
      </x:c>
      <x:c r="I284" s="9" t="n">
        <x:v>25.285</x:v>
      </x:c>
      <x:c r="J284" s="9" t="n">
        <x:v>51.51</x:v>
      </x:c>
      <x:c r="K284" s="2" t="n">
        <x:v>8</x:v>
      </x:c>
      <x:c r="L284" s="2" t="str">
        <x:v>Valid</x:v>
      </x:c>
      <x:c r="M284" s="2" t="str">
        <x:v>QR</x:v>
      </x:c>
      <x:c r="N284" s="2" t="n">
        <x:v>1</x:v>
      </x:c>
      <x:c r="O284" s="2" t="str">
        <x:v>Accepted</x:v>
      </x:c>
      <x:c r="P284" s="2" t="str">
        <x:v>S003</x:v>
      </x:c>
      <x:c r="Q284" s="2" t="str">
        <x:v>DEV003</x:v>
      </x:c>
      <x:c r="R284" s="2" t="n">
        <x:v>55</x:v>
      </x:c>
      <x:c r="S284" s="2" t="str">
        <x:v>Online</x:v>
      </x:c>
      <x:c r="T284" s="2" t="str">
        <x:v>Synced</x:v>
      </x:c>
    </x:row>
    <x:row r="285" ht="21" customHeight="1">
      <x:c r="A285" s="2" t="str">
        <x:v>EV000090</x:v>
      </x:c>
      <x:c r="B285" s="2" t="str">
        <x:v>T20261004-2-1</x:v>
      </x:c>
      <x:c r="C285" s="2" t="str">
        <x:v>ST036</x:v>
      </x:c>
      <x:c r="D285" s="2" t="str">
        <x:v>7e42555e63455121ac9f1b3710bc905c</x:v>
      </x:c>
      <x:c r="E285" s="2" t="str">
        <x:v>CHECK_OUT</x:v>
      </x:c>
      <x:c r="F285" s="8" t="n">
        <x:v>46299.50677083334</x:v>
      </x:c>
      <x:c r="G285" s="8" t="n">
        <x:v>46299.50679398148</x:v>
      </x:c>
      <x:c r="H285" s="2" t="str">
        <x:v>SCH01</x:v>
      </x:c>
      <x:c r="I285" s="9" t="n">
        <x:v>25.285</x:v>
      </x:c>
      <x:c r="J285" s="9" t="n">
        <x:v>51.51</x:v>
      </x:c>
      <x:c r="K285" s="2" t="n">
        <x:v>8</x:v>
      </x:c>
      <x:c r="L285" s="2" t="str">
        <x:v>Valid</x:v>
      </x:c>
      <x:c r="M285" s="2" t="str">
        <x:v>QR</x:v>
      </x:c>
      <x:c r="N285" s="2" t="n">
        <x:v>1</x:v>
      </x:c>
      <x:c r="O285" s="2" t="str">
        <x:v>Accepted</x:v>
      </x:c>
      <x:c r="P285" s="2" t="str">
        <x:v>S001</x:v>
      </x:c>
      <x:c r="Q285" s="2" t="str">
        <x:v>DEV001</x:v>
      </x:c>
      <x:c r="R285" s="2" t="n">
        <x:v>54</x:v>
      </x:c>
      <x:c r="S285" s="2" t="str">
        <x:v>Online</x:v>
      </x:c>
      <x:c r="T285" s="2" t="str">
        <x:v>Synced</x:v>
      </x:c>
    </x:row>
    <x:row r="286" ht="21" customHeight="1">
      <x:c r="A286" s="2" t="str">
        <x:v>EV000250</x:v>
      </x:c>
      <x:c r="B286" s="2" t="str">
        <x:v>T20261004-2-2</x:v>
      </x:c>
      <x:c r="C286" s="2" t="str">
        <x:v>ST076</x:v>
      </x:c>
      <x:c r="D286" s="2" t="str">
        <x:v>08979b9eef223b076885fe932d9f2bca</x:v>
      </x:c>
      <x:c r="E286" s="2" t="str">
        <x:v>CHECK_OUT</x:v>
      </x:c>
      <x:c r="F286" s="8" t="n">
        <x:v>46299.50677083334</x:v>
      </x:c>
      <x:c r="G286" s="8" t="n">
        <x:v>46299.50679398148</x:v>
      </x:c>
      <x:c r="H286" s="2" t="str">
        <x:v>SCH01</x:v>
      </x:c>
      <x:c r="I286" s="9" t="n">
        <x:v>25.285</x:v>
      </x:c>
      <x:c r="J286" s="9" t="n">
        <x:v>51.51</x:v>
      </x:c>
      <x:c r="K286" s="2" t="n">
        <x:v>8</x:v>
      </x:c>
      <x:c r="L286" s="2" t="str">
        <x:v>Valid</x:v>
      </x:c>
      <x:c r="M286" s="2" t="str">
        <x:v>QR</x:v>
      </x:c>
      <x:c r="N286" s="2" t="n">
        <x:v>1</x:v>
      </x:c>
      <x:c r="O286" s="2" t="str">
        <x:v>Accepted</x:v>
      </x:c>
      <x:c r="P286" s="2" t="str">
        <x:v>S002</x:v>
      </x:c>
      <x:c r="Q286" s="2" t="str">
        <x:v>DEV002</x:v>
      </x:c>
      <x:c r="R286" s="2" t="n">
        <x:v>56</x:v>
      </x:c>
      <x:c r="S286" s="2" t="str">
        <x:v>Online</x:v>
      </x:c>
      <x:c r="T286" s="2" t="str">
        <x:v>Synced</x:v>
      </x:c>
    </x:row>
    <x:row r="287" ht="21" customHeight="1">
      <x:c r="A287" s="2" t="str">
        <x:v>EV000410</x:v>
      </x:c>
      <x:c r="B287" s="2" t="str">
        <x:v>T20261004-2-3</x:v>
      </x:c>
      <x:c r="C287" s="2" t="str">
        <x:v>ST116</x:v>
      </x:c>
      <x:c r="D287" s="2" t="str">
        <x:v>1c1fddc89afc564845795907cf1b7b0e</x:v>
      </x:c>
      <x:c r="E287" s="2" t="str">
        <x:v>CHECK_OUT</x:v>
      </x:c>
      <x:c r="F287" s="8" t="n">
        <x:v>46299.50677083334</x:v>
      </x:c>
      <x:c r="G287" s="8" t="n">
        <x:v>46299.50679398148</x:v>
      </x:c>
      <x:c r="H287" s="2" t="str">
        <x:v>SCH01</x:v>
      </x:c>
      <x:c r="I287" s="9" t="n">
        <x:v>25.285</x:v>
      </x:c>
      <x:c r="J287" s="9" t="n">
        <x:v>51.51</x:v>
      </x:c>
      <x:c r="K287" s="2" t="n">
        <x:v>8</x:v>
      </x:c>
      <x:c r="L287" s="2" t="str">
        <x:v>Valid</x:v>
      </x:c>
      <x:c r="M287" s="2" t="str">
        <x:v>QR</x:v>
      </x:c>
      <x:c r="N287" s="2" t="n">
        <x:v>1</x:v>
      </x:c>
      <x:c r="O287" s="2" t="str">
        <x:v>Accepted</x:v>
      </x:c>
      <x:c r="P287" s="2" t="str">
        <x:v>S003</x:v>
      </x:c>
      <x:c r="Q287" s="2" t="str">
        <x:v>DEV003</x:v>
      </x:c>
      <x:c r="R287" s="2" t="n">
        <x:v>56</x:v>
      </x:c>
      <x:c r="S287" s="2" t="str">
        <x:v>Online</x:v>
      </x:c>
      <x:c r="T287" s="2" t="str">
        <x:v>Synced</x:v>
      </x:c>
    </x:row>
    <x:row r="288" ht="21" customHeight="1">
      <x:c r="A288" s="2" t="str">
        <x:v>EV000092</x:v>
      </x:c>
      <x:c r="B288" s="2" t="str">
        <x:v>T20261004-2-1</x:v>
      </x:c>
      <x:c r="C288" s="2" t="str">
        <x:v>ST037</x:v>
      </x:c>
      <x:c r="D288" s="2" t="str">
        <x:v>eb6cdfa5572c8f6959c8b9c84b8ec493</x:v>
      </x:c>
      <x:c r="E288" s="2" t="str">
        <x:v>CHECK_OUT</x:v>
      </x:c>
      <x:c r="F288" s="8" t="n">
        <x:v>46299.50680555556</x:v>
      </x:c>
      <x:c r="G288" s="8" t="n">
        <x:v>46299.50682870371</x:v>
      </x:c>
      <x:c r="H288" s="2" t="str">
        <x:v>SCH01</x:v>
      </x:c>
      <x:c r="I288" s="9" t="n">
        <x:v>25.285</x:v>
      </x:c>
      <x:c r="J288" s="9" t="n">
        <x:v>51.51</x:v>
      </x:c>
      <x:c r="K288" s="2" t="n">
        <x:v>8</x:v>
      </x:c>
      <x:c r="L288" s="2" t="str">
        <x:v>Valid</x:v>
      </x:c>
      <x:c r="M288" s="2" t="str">
        <x:v>QR</x:v>
      </x:c>
      <x:c r="N288" s="2" t="n">
        <x:v>1</x:v>
      </x:c>
      <x:c r="O288" s="2" t="str">
        <x:v>Accepted</x:v>
      </x:c>
      <x:c r="P288" s="2" t="str">
        <x:v>S001</x:v>
      </x:c>
      <x:c r="Q288" s="2" t="str">
        <x:v>DEV001</x:v>
      </x:c>
      <x:c r="R288" s="2" t="n">
        <x:v>55</x:v>
      </x:c>
      <x:c r="S288" s="2" t="str">
        <x:v>Online</x:v>
      </x:c>
      <x:c r="T288" s="2" t="str">
        <x:v>Synced</x:v>
      </x:c>
    </x:row>
    <x:row r="289" ht="21" customHeight="1">
      <x:c r="A289" s="2" t="str">
        <x:v>EV000252</x:v>
      </x:c>
      <x:c r="B289" s="2" t="str">
        <x:v>T20261004-2-2</x:v>
      </x:c>
      <x:c r="C289" s="2" t="str">
        <x:v>ST077</x:v>
      </x:c>
      <x:c r="D289" s="2" t="str">
        <x:v>af7b8314f6c372daf48e6b95332f6a0f</x:v>
      </x:c>
      <x:c r="E289" s="2" t="str">
        <x:v>CHECK_OUT</x:v>
      </x:c>
      <x:c r="F289" s="8" t="n">
        <x:v>46299.50680555556</x:v>
      </x:c>
      <x:c r="G289" s="8" t="n">
        <x:v>46299.50682870371</x:v>
      </x:c>
      <x:c r="H289" s="2" t="str">
        <x:v>SCH01</x:v>
      </x:c>
      <x:c r="I289" s="9" t="n">
        <x:v>25.285</x:v>
      </x:c>
      <x:c r="J289" s="9" t="n">
        <x:v>51.51</x:v>
      </x:c>
      <x:c r="K289" s="2" t="n">
        <x:v>8</x:v>
      </x:c>
      <x:c r="L289" s="2" t="str">
        <x:v>Valid</x:v>
      </x:c>
      <x:c r="M289" s="2" t="str">
        <x:v>QR</x:v>
      </x:c>
      <x:c r="N289" s="2" t="n">
        <x:v>1</x:v>
      </x:c>
      <x:c r="O289" s="2" t="str">
        <x:v>Accepted</x:v>
      </x:c>
      <x:c r="P289" s="2" t="str">
        <x:v>S002</x:v>
      </x:c>
      <x:c r="Q289" s="2" t="str">
        <x:v>DEV002</x:v>
      </x:c>
      <x:c r="R289" s="2" t="n">
        <x:v>57</x:v>
      </x:c>
      <x:c r="S289" s="2" t="str">
        <x:v>Online</x:v>
      </x:c>
      <x:c r="T289" s="2" t="str">
        <x:v>Synced</x:v>
      </x:c>
    </x:row>
    <x:row r="290" ht="21" customHeight="1">
      <x:c r="A290" s="2" t="str">
        <x:v>EV000412</x:v>
      </x:c>
      <x:c r="B290" s="2" t="str">
        <x:v>T20261004-2-3</x:v>
      </x:c>
      <x:c r="C290" s="2" t="str">
        <x:v>ST117</x:v>
      </x:c>
      <x:c r="D290" s="2" t="str">
        <x:v>195a54aea4adbe89371209e73878e4fe</x:v>
      </x:c>
      <x:c r="E290" s="2" t="str">
        <x:v>CHECK_OUT</x:v>
      </x:c>
      <x:c r="F290" s="8" t="n">
        <x:v>46299.50680555556</x:v>
      </x:c>
      <x:c r="G290" s="8" t="n">
        <x:v>46299.50682870371</x:v>
      </x:c>
      <x:c r="H290" s="2" t="str">
        <x:v>SCH01</x:v>
      </x:c>
      <x:c r="I290" s="9" t="n">
        <x:v>25.285</x:v>
      </x:c>
      <x:c r="J290" s="9" t="n">
        <x:v>51.51</x:v>
      </x:c>
      <x:c r="K290" s="2" t="n">
        <x:v>8</x:v>
      </x:c>
      <x:c r="L290" s="2" t="str">
        <x:v>Valid</x:v>
      </x:c>
      <x:c r="M290" s="2" t="str">
        <x:v>QR</x:v>
      </x:c>
      <x:c r="N290" s="2" t="n">
        <x:v>1</x:v>
      </x:c>
      <x:c r="O290" s="2" t="str">
        <x:v>Accepted</x:v>
      </x:c>
      <x:c r="P290" s="2" t="str">
        <x:v>S003</x:v>
      </x:c>
      <x:c r="Q290" s="2" t="str">
        <x:v>DEV003</x:v>
      </x:c>
      <x:c r="R290" s="2" t="n">
        <x:v>57</x:v>
      </x:c>
      <x:c r="S290" s="2" t="str">
        <x:v>Online</x:v>
      </x:c>
      <x:c r="T290" s="2" t="str">
        <x:v>Synced</x:v>
      </x:c>
    </x:row>
    <x:row r="291" ht="21" customHeight="1">
      <x:c r="A291" s="2" t="str">
        <x:v>EV000094</x:v>
      </x:c>
      <x:c r="B291" s="2" t="str">
        <x:v>T20261004-2-1</x:v>
      </x:c>
      <x:c r="C291" s="2" t="str">
        <x:v>ST038</x:v>
      </x:c>
      <x:c r="D291" s="2" t="str">
        <x:v>1ebedd777293ba897970ae7fc06b6301</x:v>
      </x:c>
      <x:c r="E291" s="2" t="str">
        <x:v>CHECK_OUT</x:v>
      </x:c>
      <x:c r="F291" s="8" t="n">
        <x:v>46299.50684027778</x:v>
      </x:c>
      <x:c r="G291" s="8" t="n">
        <x:v>46299.50686342593</x:v>
      </x:c>
      <x:c r="H291" s="2" t="str">
        <x:v>SCH01</x:v>
      </x:c>
      <x:c r="I291" s="9" t="n">
        <x:v>25.285</x:v>
      </x:c>
      <x:c r="J291" s="9" t="n">
        <x:v>51.51</x:v>
      </x:c>
      <x:c r="K291" s="2" t="n">
        <x:v>8</x:v>
      </x:c>
      <x:c r="L291" s="2" t="str">
        <x:v>Valid</x:v>
      </x:c>
      <x:c r="M291" s="2" t="str">
        <x:v>QR</x:v>
      </x:c>
      <x:c r="N291" s="2" t="n">
        <x:v>1</x:v>
      </x:c>
      <x:c r="O291" s="2" t="str">
        <x:v>Accepted</x:v>
      </x:c>
      <x:c r="P291" s="2" t="str">
        <x:v>S001</x:v>
      </x:c>
      <x:c r="Q291" s="2" t="str">
        <x:v>DEV001</x:v>
      </x:c>
      <x:c r="R291" s="2" t="n">
        <x:v>56</x:v>
      </x:c>
      <x:c r="S291" s="2" t="str">
        <x:v>Online</x:v>
      </x:c>
      <x:c r="T291" s="2" t="str">
        <x:v>Synced</x:v>
      </x:c>
    </x:row>
    <x:row r="292" ht="21" customHeight="1">
      <x:c r="A292" s="2" t="str">
        <x:v>EV000254</x:v>
      </x:c>
      <x:c r="B292" s="2" t="str">
        <x:v>T20261004-2-2</x:v>
      </x:c>
      <x:c r="C292" s="2" t="str">
        <x:v>ST078</x:v>
      </x:c>
      <x:c r="D292" s="2" t="str">
        <x:v>737ab4e672bf11e638a47ae295f7e187</x:v>
      </x:c>
      <x:c r="E292" s="2" t="str">
        <x:v>CHECK_OUT</x:v>
      </x:c>
      <x:c r="F292" s="8" t="n">
        <x:v>46299.50684027778</x:v>
      </x:c>
      <x:c r="G292" s="8" t="n">
        <x:v>46299.50686342593</x:v>
      </x:c>
      <x:c r="H292" s="2" t="str">
        <x:v>SCH01</x:v>
      </x:c>
      <x:c r="I292" s="9" t="n">
        <x:v>25.285</x:v>
      </x:c>
      <x:c r="J292" s="9" t="n">
        <x:v>51.51</x:v>
      </x:c>
      <x:c r="K292" s="2" t="n">
        <x:v>8</x:v>
      </x:c>
      <x:c r="L292" s="2" t="str">
        <x:v>Valid</x:v>
      </x:c>
      <x:c r="M292" s="2" t="str">
        <x:v>QR</x:v>
      </x:c>
      <x:c r="N292" s="2" t="n">
        <x:v>1</x:v>
      </x:c>
      <x:c r="O292" s="2" t="str">
        <x:v>Accepted</x:v>
      </x:c>
      <x:c r="P292" s="2" t="str">
        <x:v>S002</x:v>
      </x:c>
      <x:c r="Q292" s="2" t="str">
        <x:v>DEV002</x:v>
      </x:c>
      <x:c r="R292" s="2" t="n">
        <x:v>58</x:v>
      </x:c>
      <x:c r="S292" s="2" t="str">
        <x:v>Online</x:v>
      </x:c>
      <x:c r="T292" s="2" t="str">
        <x:v>Synced</x:v>
      </x:c>
    </x:row>
    <x:row r="293" ht="21" customHeight="1">
      <x:c r="A293" s="2" t="str">
        <x:v>EV000414</x:v>
      </x:c>
      <x:c r="B293" s="2" t="str">
        <x:v>T20261004-2-3</x:v>
      </x:c>
      <x:c r="C293" s="2" t="str">
        <x:v>ST118</x:v>
      </x:c>
      <x:c r="D293" s="2" t="str">
        <x:v>b15012a6111b47a10bdbbcbbd00c9f60</x:v>
      </x:c>
      <x:c r="E293" s="2" t="str">
        <x:v>CHECK_OUT</x:v>
      </x:c>
      <x:c r="F293" s="8" t="n">
        <x:v>46299.50684027778</x:v>
      </x:c>
      <x:c r="G293" s="8" t="n">
        <x:v>46299.50686342593</x:v>
      </x:c>
      <x:c r="H293" s="2" t="str">
        <x:v>SCH01</x:v>
      </x:c>
      <x:c r="I293" s="9" t="n">
        <x:v>25.285</x:v>
      </x:c>
      <x:c r="J293" s="9" t="n">
        <x:v>51.51</x:v>
      </x:c>
      <x:c r="K293" s="2" t="n">
        <x:v>8</x:v>
      </x:c>
      <x:c r="L293" s="2" t="str">
        <x:v>Valid</x:v>
      </x:c>
      <x:c r="M293" s="2" t="str">
        <x:v>QR</x:v>
      </x:c>
      <x:c r="N293" s="2" t="n">
        <x:v>1</x:v>
      </x:c>
      <x:c r="O293" s="2" t="str">
        <x:v>Accepted</x:v>
      </x:c>
      <x:c r="P293" s="2" t="str">
        <x:v>S003</x:v>
      </x:c>
      <x:c r="Q293" s="2" t="str">
        <x:v>DEV003</x:v>
      </x:c>
      <x:c r="R293" s="2" t="n">
        <x:v>58</x:v>
      </x:c>
      <x:c r="S293" s="2" t="str">
        <x:v>Online</x:v>
      </x:c>
      <x:c r="T293" s="2" t="str">
        <x:v>Synced</x:v>
      </x:c>
    </x:row>
    <x:row r="294" ht="21" customHeight="1">
      <x:c r="A294" s="2" t="str">
        <x:v>EV000096</x:v>
      </x:c>
      <x:c r="B294" s="2" t="str">
        <x:v>T20261004-2-1</x:v>
      </x:c>
      <x:c r="C294" s="2" t="str">
        <x:v>ST039</x:v>
      </x:c>
      <x:c r="D294" s="2" t="str">
        <x:v>31ed548c9c06f555ac72ac2281bbb58a</x:v>
      </x:c>
      <x:c r="E294" s="2" t="str">
        <x:v>CHECK_OUT</x:v>
      </x:c>
      <x:c r="F294" s="8" t="n">
        <x:v>46299.50687500001</x:v>
      </x:c>
      <x:c r="G294" s="8" t="n">
        <x:v>46299.50689814815</x:v>
      </x:c>
      <x:c r="H294" s="2" t="str">
        <x:v>SCH01</x:v>
      </x:c>
      <x:c r="I294" s="9" t="n">
        <x:v>25.285</x:v>
      </x:c>
      <x:c r="J294" s="9" t="n">
        <x:v>51.51</x:v>
      </x:c>
      <x:c r="K294" s="2" t="n">
        <x:v>8</x:v>
      </x:c>
      <x:c r="L294" s="2" t="str">
        <x:v>Valid</x:v>
      </x:c>
      <x:c r="M294" s="2" t="str">
        <x:v>QR</x:v>
      </x:c>
      <x:c r="N294" s="2" t="n">
        <x:v>1</x:v>
      </x:c>
      <x:c r="O294" s="2" t="str">
        <x:v>Accepted</x:v>
      </x:c>
      <x:c r="P294" s="2" t="str">
        <x:v>S001</x:v>
      </x:c>
      <x:c r="Q294" s="2" t="str">
        <x:v>DEV001</x:v>
      </x:c>
      <x:c r="R294" s="2" t="n">
        <x:v>57</x:v>
      </x:c>
      <x:c r="S294" s="2" t="str">
        <x:v>Online</x:v>
      </x:c>
      <x:c r="T294" s="2" t="str">
        <x:v>Synced</x:v>
      </x:c>
    </x:row>
    <x:row r="295" ht="21" customHeight="1">
      <x:c r="A295" s="2" t="str">
        <x:v>EV000256</x:v>
      </x:c>
      <x:c r="B295" s="2" t="str">
        <x:v>T20261004-2-2</x:v>
      </x:c>
      <x:c r="C295" s="2" t="str">
        <x:v>ST079</x:v>
      </x:c>
      <x:c r="D295" s="2" t="str">
        <x:v>3a794a47ff11773398f2344554eeea57</x:v>
      </x:c>
      <x:c r="E295" s="2" t="str">
        <x:v>CHECK_OUT</x:v>
      </x:c>
      <x:c r="F295" s="8" t="n">
        <x:v>46299.50687500001</x:v>
      </x:c>
      <x:c r="G295" s="8" t="n">
        <x:v>46299.50689814815</x:v>
      </x:c>
      <x:c r="H295" s="2" t="str">
        <x:v>SCH01</x:v>
      </x:c>
      <x:c r="I295" s="9" t="n">
        <x:v>25.285</x:v>
      </x:c>
      <x:c r="J295" s="9" t="n">
        <x:v>51.51</x:v>
      </x:c>
      <x:c r="K295" s="2" t="n">
        <x:v>8</x:v>
      </x:c>
      <x:c r="L295" s="2" t="str">
        <x:v>Valid</x:v>
      </x:c>
      <x:c r="M295" s="2" t="str">
        <x:v>QR</x:v>
      </x:c>
      <x:c r="N295" s="2" t="n">
        <x:v>1</x:v>
      </x:c>
      <x:c r="O295" s="2" t="str">
        <x:v>Accepted</x:v>
      </x:c>
      <x:c r="P295" s="2" t="str">
        <x:v>S002</x:v>
      </x:c>
      <x:c r="Q295" s="2" t="str">
        <x:v>DEV002</x:v>
      </x:c>
      <x:c r="R295" s="2" t="n">
        <x:v>59</x:v>
      </x:c>
      <x:c r="S295" s="2" t="str">
        <x:v>Online</x:v>
      </x:c>
      <x:c r="T295" s="2" t="str">
        <x:v>Synced</x:v>
      </x:c>
    </x:row>
    <x:row r="296" ht="21" customHeight="1">
      <x:c r="A296" s="2" t="str">
        <x:v>EV000416</x:v>
      </x:c>
      <x:c r="B296" s="2" t="str">
        <x:v>T20261004-2-3</x:v>
      </x:c>
      <x:c r="C296" s="2" t="str">
        <x:v>ST119</x:v>
      </x:c>
      <x:c r="D296" s="2" t="str">
        <x:v>c01a05a48293e3b7c907c4b326c0d0a8</x:v>
      </x:c>
      <x:c r="E296" s="2" t="str">
        <x:v>CHECK_OUT</x:v>
      </x:c>
      <x:c r="F296" s="8" t="n">
        <x:v>46299.50687500001</x:v>
      </x:c>
      <x:c r="G296" s="8" t="n">
        <x:v>46299.50689814815</x:v>
      </x:c>
      <x:c r="H296" s="2" t="str">
        <x:v>SCH01</x:v>
      </x:c>
      <x:c r="I296" s="9" t="n">
        <x:v>25.285</x:v>
      </x:c>
      <x:c r="J296" s="9" t="n">
        <x:v>51.51</x:v>
      </x:c>
      <x:c r="K296" s="2" t="n">
        <x:v>8</x:v>
      </x:c>
      <x:c r="L296" s="2" t="str">
        <x:v>Valid</x:v>
      </x:c>
      <x:c r="M296" s="2" t="str">
        <x:v>QR</x:v>
      </x:c>
      <x:c r="N296" s="2" t="n">
        <x:v>1</x:v>
      </x:c>
      <x:c r="O296" s="2" t="str">
        <x:v>Accepted</x:v>
      </x:c>
      <x:c r="P296" s="2" t="str">
        <x:v>S003</x:v>
      </x:c>
      <x:c r="Q296" s="2" t="str">
        <x:v>DEV003</x:v>
      </x:c>
      <x:c r="R296" s="2" t="n">
        <x:v>59</x:v>
      </x:c>
      <x:c r="S296" s="2" t="str">
        <x:v>Online</x:v>
      </x:c>
      <x:c r="T296" s="2" t="str">
        <x:v>Synced</x:v>
      </x:c>
    </x:row>
    <x:row r="297" ht="21" customHeight="1">
      <x:c r="A297" s="2" t="str">
        <x:v>EV000098</x:v>
      </x:c>
      <x:c r="B297" s="2" t="str">
        <x:v>T20261004-2-1</x:v>
      </x:c>
      <x:c r="C297" s="2" t="str">
        <x:v>ST040</x:v>
      </x:c>
      <x:c r="D297" s="2" t="str">
        <x:v>4cd5e507bb3c8af27cd11d16138dcec0</x:v>
      </x:c>
      <x:c r="E297" s="2" t="str">
        <x:v>CHECK_OUT</x:v>
      </x:c>
      <x:c r="F297" s="8" t="n">
        <x:v>46299.50690972222</x:v>
      </x:c>
      <x:c r="G297" s="8" t="n">
        <x:v>46299.50693287037</x:v>
      </x:c>
      <x:c r="H297" s="2" t="str">
        <x:v>SCH01</x:v>
      </x:c>
      <x:c r="I297" s="9" t="n">
        <x:v>25.285</x:v>
      </x:c>
      <x:c r="J297" s="9" t="n">
        <x:v>51.51</x:v>
      </x:c>
      <x:c r="K297" s="2" t="n">
        <x:v>8</x:v>
      </x:c>
      <x:c r="L297" s="2" t="str">
        <x:v>Valid</x:v>
      </x:c>
      <x:c r="M297" s="2" t="str">
        <x:v>QR</x:v>
      </x:c>
      <x:c r="N297" s="2" t="n">
        <x:v>1</x:v>
      </x:c>
      <x:c r="O297" s="2" t="str">
        <x:v>Accepted</x:v>
      </x:c>
      <x:c r="P297" s="2" t="str">
        <x:v>S001</x:v>
      </x:c>
      <x:c r="Q297" s="2" t="str">
        <x:v>DEV001</x:v>
      </x:c>
      <x:c r="R297" s="2" t="n">
        <x:v>58</x:v>
      </x:c>
      <x:c r="S297" s="2" t="str">
        <x:v>Online</x:v>
      </x:c>
      <x:c r="T297" s="2" t="str">
        <x:v>Synced</x:v>
      </x:c>
    </x:row>
    <x:row r="298" ht="21" customHeight="1">
      <x:c r="A298" s="2" t="str">
        <x:v>EV000258</x:v>
      </x:c>
      <x:c r="B298" s="2" t="str">
        <x:v>T20261004-2-2</x:v>
      </x:c>
      <x:c r="C298" s="2" t="str">
        <x:v>ST080</x:v>
      </x:c>
      <x:c r="D298" s="2" t="str">
        <x:v>0abaf17d1472c0347862177fd9880be2</x:v>
      </x:c>
      <x:c r="E298" s="2" t="str">
        <x:v>CHECK_OUT</x:v>
      </x:c>
      <x:c r="F298" s="8" t="n">
        <x:v>46299.50690972222</x:v>
      </x:c>
      <x:c r="G298" s="8" t="n">
        <x:v>46299.50693287037</x:v>
      </x:c>
      <x:c r="H298" s="2" t="str">
        <x:v>SCH01</x:v>
      </x:c>
      <x:c r="I298" s="9" t="n">
        <x:v>25.285</x:v>
      </x:c>
      <x:c r="J298" s="9" t="n">
        <x:v>51.51</x:v>
      </x:c>
      <x:c r="K298" s="2" t="n">
        <x:v>8</x:v>
      </x:c>
      <x:c r="L298" s="2" t="str">
        <x:v>Valid</x:v>
      </x:c>
      <x:c r="M298" s="2" t="str">
        <x:v>QR</x:v>
      </x:c>
      <x:c r="N298" s="2" t="n">
        <x:v>1</x:v>
      </x:c>
      <x:c r="O298" s="2" t="str">
        <x:v>Accepted</x:v>
      </x:c>
      <x:c r="P298" s="2" t="str">
        <x:v>S002</x:v>
      </x:c>
      <x:c r="Q298" s="2" t="str">
        <x:v>DEV002</x:v>
      </x:c>
      <x:c r="R298" s="2" t="n">
        <x:v>60</x:v>
      </x:c>
      <x:c r="S298" s="2" t="str">
        <x:v>Online</x:v>
      </x:c>
      <x:c r="T298" s="2" t="str">
        <x:v>Synced</x:v>
      </x:c>
    </x:row>
    <x:row r="299" ht="21" customHeight="1">
      <x:c r="A299" s="2" t="str">
        <x:v>EV000418</x:v>
      </x:c>
      <x:c r="B299" s="2" t="str">
        <x:v>T20261004-2-3</x:v>
      </x:c>
      <x:c r="C299" s="2" t="str">
        <x:v>ST120</x:v>
      </x:c>
      <x:c r="D299" s="2" t="str">
        <x:v>c3749f3342e76b516e5c145f91308219</x:v>
      </x:c>
      <x:c r="E299" s="2" t="str">
        <x:v>CHECK_OUT</x:v>
      </x:c>
      <x:c r="F299" s="8" t="n">
        <x:v>46299.50690972222</x:v>
      </x:c>
      <x:c r="G299" s="8" t="n">
        <x:v>46299.50693287037</x:v>
      </x:c>
      <x:c r="H299" s="2" t="str">
        <x:v>SCH01</x:v>
      </x:c>
      <x:c r="I299" s="9" t="n">
        <x:v>25.285</x:v>
      </x:c>
      <x:c r="J299" s="9" t="n">
        <x:v>51.51</x:v>
      </x:c>
      <x:c r="K299" s="2" t="n">
        <x:v>8</x:v>
      </x:c>
      <x:c r="L299" s="2" t="str">
        <x:v>Valid</x:v>
      </x:c>
      <x:c r="M299" s="2" t="str">
        <x:v>QR</x:v>
      </x:c>
      <x:c r="N299" s="2" t="n">
        <x:v>1</x:v>
      </x:c>
      <x:c r="O299" s="2" t="str">
        <x:v>Accepted</x:v>
      </x:c>
      <x:c r="P299" s="2" t="str">
        <x:v>S003</x:v>
      </x:c>
      <x:c r="Q299" s="2" t="str">
        <x:v>DEV003</x:v>
      </x:c>
      <x:c r="R299" s="2" t="n">
        <x:v>60</x:v>
      </x:c>
      <x:c r="S299" s="2" t="str">
        <x:v>Online</x:v>
      </x:c>
      <x:c r="T299" s="2" t="str">
        <x:v>Synced</x:v>
      </x:c>
    </x:row>
    <x:row r="300" ht="21" customHeight="1">
      <x:c r="A300" s="2" t="str">
        <x:v>EV000099</x:v>
      </x:c>
      <x:c r="B300" s="2" t="str">
        <x:v>T20261004-3-1</x:v>
      </x:c>
      <x:c r="C300" s="2" t="str">
        <x:v>ST011</x:v>
      </x:c>
      <x:c r="D300" s="2" t="str">
        <x:v>38c917effc7ec45ac750455eb7892f3e</x:v>
      </x:c>
      <x:c r="E300" s="2" t="str">
        <x:v>CHECK_IN</x:v>
      </x:c>
      <x:c r="F300" s="8" t="n">
        <x:v>46299.57291666667</x:v>
      </x:c>
      <x:c r="G300" s="8" t="n">
        <x:v>46299.57293981482</x:v>
      </x:c>
      <x:c r="H300" s="2" t="str">
        <x:v>SCH01</x:v>
      </x:c>
      <x:c r="I300" s="9" t="n">
        <x:v>25.285</x:v>
      </x:c>
      <x:c r="J300" s="9" t="n">
        <x:v>51.51</x:v>
      </x:c>
      <x:c r="K300" s="2" t="n">
        <x:v>8</x:v>
      </x:c>
      <x:c r="L300" s="2" t="str">
        <x:v>Valid</x:v>
      </x:c>
      <x:c r="M300" s="2" t="str">
        <x:v>QR</x:v>
      </x:c>
      <x:c r="N300" s="2" t="n">
        <x:v>1</x:v>
      </x:c>
      <x:c r="O300" s="2" t="str">
        <x:v>Accepted</x:v>
      </x:c>
      <x:c r="P300" s="2" t="str">
        <x:v>S001</x:v>
      </x:c>
      <x:c r="Q300" s="2" t="str">
        <x:v>DEV001</x:v>
      </x:c>
      <x:c r="R300" s="2" t="n">
        <x:v>1</x:v>
      </x:c>
      <x:c r="S300" s="2" t="str">
        <x:v>Online</x:v>
      </x:c>
      <x:c r="T300" s="2" t="str">
        <x:v>Synced</x:v>
      </x:c>
    </x:row>
    <x:row r="301" ht="21" customHeight="1">
      <x:c r="A301" s="2" t="str">
        <x:v>EV000259</x:v>
      </x:c>
      <x:c r="B301" s="2" t="str">
        <x:v>T20261004-3-2</x:v>
      </x:c>
      <x:c r="C301" s="2" t="str">
        <x:v>ST051</x:v>
      </x:c>
      <x:c r="D301" s="2" t="str">
        <x:v>410a66d29aea7be5806f7d6945266303</x:v>
      </x:c>
      <x:c r="E301" s="2" t="str">
        <x:v>CHECK_IN</x:v>
      </x:c>
      <x:c r="F301" s="8" t="n">
        <x:v>46299.57291666667</x:v>
      </x:c>
      <x:c r="G301" s="8" t="n">
        <x:v>46299.57293981482</x:v>
      </x:c>
      <x:c r="H301" s="2" t="str">
        <x:v>SCH01</x:v>
      </x:c>
      <x:c r="I301" s="9" t="n">
        <x:v>25.285</x:v>
      </x:c>
      <x:c r="J301" s="9" t="n">
        <x:v>51.51</x:v>
      </x:c>
      <x:c r="K301" s="2" t="n">
        <x:v>8</x:v>
      </x:c>
      <x:c r="L301" s="2" t="str">
        <x:v>Valid</x:v>
      </x:c>
      <x:c r="M301" s="2" t="str">
        <x:v>QR</x:v>
      </x:c>
      <x:c r="N301" s="2" t="n">
        <x:v>1</x:v>
      </x:c>
      <x:c r="O301" s="2" t="str">
        <x:v>Accepted</x:v>
      </x:c>
      <x:c r="P301" s="2" t="str">
        <x:v>S002</x:v>
      </x:c>
      <x:c r="Q301" s="2" t="str">
        <x:v>DEV002</x:v>
      </x:c>
      <x:c r="R301" s="2" t="n">
        <x:v>1</x:v>
      </x:c>
      <x:c r="S301" s="2" t="str">
        <x:v>Online</x:v>
      </x:c>
      <x:c r="T301" s="2" t="str">
        <x:v>Synced</x:v>
      </x:c>
    </x:row>
    <x:row r="302" ht="21" customHeight="1">
      <x:c r="A302" s="2" t="str">
        <x:v>EV000419</x:v>
      </x:c>
      <x:c r="B302" s="2" t="str">
        <x:v>T20261004-3-3</x:v>
      </x:c>
      <x:c r="C302" s="2" t="str">
        <x:v>ST091</x:v>
      </x:c>
      <x:c r="D302" s="2" t="str">
        <x:v>2d74afc7329a1eb53bd16a92fc366891</x:v>
      </x:c>
      <x:c r="E302" s="2" t="str">
        <x:v>CHECK_IN</x:v>
      </x:c>
      <x:c r="F302" s="8" t="n">
        <x:v>46299.57291666667</x:v>
      </x:c>
      <x:c r="G302" s="8" t="n">
        <x:v>46299.57293981482</x:v>
      </x:c>
      <x:c r="H302" s="2" t="str">
        <x:v>SCH01</x:v>
      </x:c>
      <x:c r="I302" s="9" t="n">
        <x:v>25.285</x:v>
      </x:c>
      <x:c r="J302" s="9" t="n">
        <x:v>51.51</x:v>
      </x:c>
      <x:c r="K302" s="2" t="n">
        <x:v>8</x:v>
      </x:c>
      <x:c r="L302" s="2" t="str">
        <x:v>Valid</x:v>
      </x:c>
      <x:c r="M302" s="2" t="str">
        <x:v>QR</x:v>
      </x:c>
      <x:c r="N302" s="2" t="n">
        <x:v>1</x:v>
      </x:c>
      <x:c r="O302" s="2" t="str">
        <x:v>Accepted</x:v>
      </x:c>
      <x:c r="P302" s="2" t="str">
        <x:v>S003</x:v>
      </x:c>
      <x:c r="Q302" s="2" t="str">
        <x:v>DEV003</x:v>
      </x:c>
      <x:c r="R302" s="2" t="n">
        <x:v>1</x:v>
      </x:c>
      <x:c r="S302" s="2" t="str">
        <x:v>Online</x:v>
      </x:c>
      <x:c r="T302" s="2" t="str">
        <x:v>Synced</x:v>
      </x:c>
    </x:row>
    <x:row r="303" ht="21" customHeight="1">
      <x:c r="A303" s="2" t="str">
        <x:v>EV000101</x:v>
      </x:c>
      <x:c r="B303" s="2" t="str">
        <x:v>T20261004-3-1</x:v>
      </x:c>
      <x:c r="C303" s="2" t="str">
        <x:v>ST012</x:v>
      </x:c>
      <x:c r="D303" s="2" t="str">
        <x:v>8d45a06a93234042b630e18d7821ea23</x:v>
      </x:c>
      <x:c r="E303" s="2" t="str">
        <x:v>CHECK_IN</x:v>
      </x:c>
      <x:c r="F303" s="8" t="n">
        <x:v>46299.572951388895</x:v>
      </x:c>
      <x:c r="G303" s="8" t="n">
        <x:v>46299.57297453704</x:v>
      </x:c>
      <x:c r="H303" s="2" t="str">
        <x:v>SCH01</x:v>
      </x:c>
      <x:c r="I303" s="9" t="n">
        <x:v>25.285</x:v>
      </x:c>
      <x:c r="J303" s="9" t="n">
        <x:v>51.51</x:v>
      </x:c>
      <x:c r="K303" s="2" t="n">
        <x:v>8</x:v>
      </x:c>
      <x:c r="L303" s="2" t="str">
        <x:v>Valid</x:v>
      </x:c>
      <x:c r="M303" s="2" t="str">
        <x:v>QR</x:v>
      </x:c>
      <x:c r="N303" s="2" t="n">
        <x:v>1</x:v>
      </x:c>
      <x:c r="O303" s="2" t="str">
        <x:v>Accepted</x:v>
      </x:c>
      <x:c r="P303" s="2" t="str">
        <x:v>S001</x:v>
      </x:c>
      <x:c r="Q303" s="2" t="str">
        <x:v>DEV001</x:v>
      </x:c>
      <x:c r="R303" s="2" t="n">
        <x:v>2</x:v>
      </x:c>
      <x:c r="S303" s="2" t="str">
        <x:v>Online</x:v>
      </x:c>
      <x:c r="T303" s="2" t="str">
        <x:v>Synced</x:v>
      </x:c>
    </x:row>
    <x:row r="304" ht="21" customHeight="1">
      <x:c r="A304" s="2" t="str">
        <x:v>EV000261</x:v>
      </x:c>
      <x:c r="B304" s="2" t="str">
        <x:v>T20261004-3-2</x:v>
      </x:c>
      <x:c r="C304" s="2" t="str">
        <x:v>ST052</x:v>
      </x:c>
      <x:c r="D304" s="2" t="str">
        <x:v>0c1c5957fe0604ae228ff5e1e1a785bc</x:v>
      </x:c>
      <x:c r="E304" s="2" t="str">
        <x:v>CHECK_IN</x:v>
      </x:c>
      <x:c r="F304" s="8" t="n">
        <x:v>46299.572951388895</x:v>
      </x:c>
      <x:c r="G304" s="8" t="n">
        <x:v>46299.57297453704</x:v>
      </x:c>
      <x:c r="H304" s="2" t="str">
        <x:v>SCH01</x:v>
      </x:c>
      <x:c r="I304" s="9" t="n">
        <x:v>25.285</x:v>
      </x:c>
      <x:c r="J304" s="9" t="n">
        <x:v>51.51</x:v>
      </x:c>
      <x:c r="K304" s="2" t="n">
        <x:v>8</x:v>
      </x:c>
      <x:c r="L304" s="2" t="str">
        <x:v>Valid</x:v>
      </x:c>
      <x:c r="M304" s="2" t="str">
        <x:v>QR</x:v>
      </x:c>
      <x:c r="N304" s="2" t="n">
        <x:v>1</x:v>
      </x:c>
      <x:c r="O304" s="2" t="str">
        <x:v>Accepted</x:v>
      </x:c>
      <x:c r="P304" s="2" t="str">
        <x:v>S002</x:v>
      </x:c>
      <x:c r="Q304" s="2" t="str">
        <x:v>DEV002</x:v>
      </x:c>
      <x:c r="R304" s="2" t="n">
        <x:v>2</x:v>
      </x:c>
      <x:c r="S304" s="2" t="str">
        <x:v>Online</x:v>
      </x:c>
      <x:c r="T304" s="2" t="str">
        <x:v>Synced</x:v>
      </x:c>
    </x:row>
    <x:row r="305" ht="21" customHeight="1">
      <x:c r="A305" s="2" t="str">
        <x:v>EV000421</x:v>
      </x:c>
      <x:c r="B305" s="2" t="str">
        <x:v>T20261004-3-3</x:v>
      </x:c>
      <x:c r="C305" s="2" t="str">
        <x:v>ST092</x:v>
      </x:c>
      <x:c r="D305" s="2" t="str">
        <x:v>e83e93b137787f284ae9574a02ff0cc7</x:v>
      </x:c>
      <x:c r="E305" s="2" t="str">
        <x:v>CHECK_IN</x:v>
      </x:c>
      <x:c r="F305" s="8" t="n">
        <x:v>46299.572951388895</x:v>
      </x:c>
      <x:c r="G305" s="8" t="n">
        <x:v>46299.57297453704</x:v>
      </x:c>
      <x:c r="H305" s="2" t="str">
        <x:v>SCH01</x:v>
      </x:c>
      <x:c r="I305" s="9" t="n">
        <x:v>25.285</x:v>
      </x:c>
      <x:c r="J305" s="9" t="n">
        <x:v>51.51</x:v>
      </x:c>
      <x:c r="K305" s="2" t="n">
        <x:v>8</x:v>
      </x:c>
      <x:c r="L305" s="2" t="str">
        <x:v>Valid</x:v>
      </x:c>
      <x:c r="M305" s="2" t="str">
        <x:v>QR</x:v>
      </x:c>
      <x:c r="N305" s="2" t="n">
        <x:v>1</x:v>
      </x:c>
      <x:c r="O305" s="2" t="str">
        <x:v>Accepted</x:v>
      </x:c>
      <x:c r="P305" s="2" t="str">
        <x:v>S003</x:v>
      </x:c>
      <x:c r="Q305" s="2" t="str">
        <x:v>DEV003</x:v>
      </x:c>
      <x:c r="R305" s="2" t="n">
        <x:v>2</x:v>
      </x:c>
      <x:c r="S305" s="2" t="str">
        <x:v>Online</x:v>
      </x:c>
      <x:c r="T305" s="2" t="str">
        <x:v>Synced</x:v>
      </x:c>
    </x:row>
    <x:row r="306" ht="21" customHeight="1">
      <x:c r="A306" s="2" t="str">
        <x:v>EV000103</x:v>
      </x:c>
      <x:c r="B306" s="2" t="str">
        <x:v>T20261004-3-1</x:v>
      </x:c>
      <x:c r="C306" s="2" t="str">
        <x:v>ST013</x:v>
      </x:c>
      <x:c r="D306" s="2" t="str">
        <x:v>ddc4bbe364f02f5a2177795c49ea7ba9</x:v>
      </x:c>
      <x:c r="E306" s="2" t="str">
        <x:v>CHECK_IN</x:v>
      </x:c>
      <x:c r="F306" s="8" t="n">
        <x:v>46299.57298611112</x:v>
      </x:c>
      <x:c r="G306" s="8" t="n">
        <x:v>46299.573009259264</x:v>
      </x:c>
      <x:c r="H306" s="2" t="str">
        <x:v>SCH01</x:v>
      </x:c>
      <x:c r="I306" s="9" t="n">
        <x:v>25.285</x:v>
      </x:c>
      <x:c r="J306" s="9" t="n">
        <x:v>51.51</x:v>
      </x:c>
      <x:c r="K306" s="2" t="n">
        <x:v>8</x:v>
      </x:c>
      <x:c r="L306" s="2" t="str">
        <x:v>Valid</x:v>
      </x:c>
      <x:c r="M306" s="2" t="str">
        <x:v>QR</x:v>
      </x:c>
      <x:c r="N306" s="2" t="n">
        <x:v>1</x:v>
      </x:c>
      <x:c r="O306" s="2" t="str">
        <x:v>Accepted</x:v>
      </x:c>
      <x:c r="P306" s="2" t="str">
        <x:v>S001</x:v>
      </x:c>
      <x:c r="Q306" s="2" t="str">
        <x:v>DEV001</x:v>
      </x:c>
      <x:c r="R306" s="2" t="n">
        <x:v>3</x:v>
      </x:c>
      <x:c r="S306" s="2" t="str">
        <x:v>Online</x:v>
      </x:c>
      <x:c r="T306" s="2" t="str">
        <x:v>Synced</x:v>
      </x:c>
    </x:row>
    <x:row r="307" ht="21" customHeight="1">
      <x:c r="A307" s="2" t="str">
        <x:v>EV000263</x:v>
      </x:c>
      <x:c r="B307" s="2" t="str">
        <x:v>T20261004-3-2</x:v>
      </x:c>
      <x:c r="C307" s="2" t="str">
        <x:v>ST053</x:v>
      </x:c>
      <x:c r="D307" s="2" t="str">
        <x:v>e476277c519e294480cfa14a37e177a0</x:v>
      </x:c>
      <x:c r="E307" s="2" t="str">
        <x:v>CHECK_IN</x:v>
      </x:c>
      <x:c r="F307" s="8" t="n">
        <x:v>46299.57298611112</x:v>
      </x:c>
      <x:c r="G307" s="8" t="n">
        <x:v>46299.573009259264</x:v>
      </x:c>
      <x:c r="H307" s="2" t="str">
        <x:v>SCH01</x:v>
      </x:c>
      <x:c r="I307" s="9" t="n">
        <x:v>25.285</x:v>
      </x:c>
      <x:c r="J307" s="9" t="n">
        <x:v>51.51</x:v>
      </x:c>
      <x:c r="K307" s="2" t="n">
        <x:v>8</x:v>
      </x:c>
      <x:c r="L307" s="2" t="str">
        <x:v>Valid</x:v>
      </x:c>
      <x:c r="M307" s="2" t="str">
        <x:v>QR</x:v>
      </x:c>
      <x:c r="N307" s="2" t="n">
        <x:v>1</x:v>
      </x:c>
      <x:c r="O307" s="2" t="str">
        <x:v>Accepted</x:v>
      </x:c>
      <x:c r="P307" s="2" t="str">
        <x:v>S002</x:v>
      </x:c>
      <x:c r="Q307" s="2" t="str">
        <x:v>DEV002</x:v>
      </x:c>
      <x:c r="R307" s="2" t="n">
        <x:v>3</x:v>
      </x:c>
      <x:c r="S307" s="2" t="str">
        <x:v>Online</x:v>
      </x:c>
      <x:c r="T307" s="2" t="str">
        <x:v>Synced</x:v>
      </x:c>
    </x:row>
    <x:row r="308" ht="21" customHeight="1">
      <x:c r="A308" s="2" t="str">
        <x:v>EV000423</x:v>
      </x:c>
      <x:c r="B308" s="2" t="str">
        <x:v>T20261004-3-3</x:v>
      </x:c>
      <x:c r="C308" s="2" t="str">
        <x:v>ST093</x:v>
      </x:c>
      <x:c r="D308" s="2" t="str">
        <x:v>e69cdca4f10e82426e9a3098f4672791</x:v>
      </x:c>
      <x:c r="E308" s="2" t="str">
        <x:v>CHECK_IN</x:v>
      </x:c>
      <x:c r="F308" s="8" t="n">
        <x:v>46299.57298611112</x:v>
      </x:c>
      <x:c r="G308" s="8" t="n">
        <x:v>46299.573009259264</x:v>
      </x:c>
      <x:c r="H308" s="2" t="str">
        <x:v>SCH01</x:v>
      </x:c>
      <x:c r="I308" s="9" t="n">
        <x:v>25.285</x:v>
      </x:c>
      <x:c r="J308" s="9" t="n">
        <x:v>51.51</x:v>
      </x:c>
      <x:c r="K308" s="2" t="n">
        <x:v>8</x:v>
      </x:c>
      <x:c r="L308" s="2" t="str">
        <x:v>Valid</x:v>
      </x:c>
      <x:c r="M308" s="2" t="str">
        <x:v>QR</x:v>
      </x:c>
      <x:c r="N308" s="2" t="n">
        <x:v>1</x:v>
      </x:c>
      <x:c r="O308" s="2" t="str">
        <x:v>Accepted</x:v>
      </x:c>
      <x:c r="P308" s="2" t="str">
        <x:v>S003</x:v>
      </x:c>
      <x:c r="Q308" s="2" t="str">
        <x:v>DEV003</x:v>
      </x:c>
      <x:c r="R308" s="2" t="n">
        <x:v>3</x:v>
      </x:c>
      <x:c r="S308" s="2" t="str">
        <x:v>Online</x:v>
      </x:c>
      <x:c r="T308" s="2" t="str">
        <x:v>Synced</x:v>
      </x:c>
    </x:row>
    <x:row r="309" ht="21" customHeight="1">
      <x:c r="A309" s="2" t="str">
        <x:v>EV000105</x:v>
      </x:c>
      <x:c r="B309" s="2" t="str">
        <x:v>T20261004-3-1</x:v>
      </x:c>
      <x:c r="C309" s="2" t="str">
        <x:v>ST014</x:v>
      </x:c>
      <x:c r="D309" s="2" t="str">
        <x:v>6ea4b25306143e251962ae19fa8ee7af</x:v>
      </x:c>
      <x:c r="E309" s="2" t="str">
        <x:v>CHECK_IN</x:v>
      </x:c>
      <x:c r="F309" s="8" t="n">
        <x:v>46299.57302083334</x:v>
      </x:c>
      <x:c r="G309" s="8" t="n">
        <x:v>46299.57304398149</x:v>
      </x:c>
      <x:c r="H309" s="2" t="str">
        <x:v>SCH01</x:v>
      </x:c>
      <x:c r="I309" s="9" t="n">
        <x:v>25.285</x:v>
      </x:c>
      <x:c r="J309" s="9" t="n">
        <x:v>51.51</x:v>
      </x:c>
      <x:c r="K309" s="2" t="n">
        <x:v>8</x:v>
      </x:c>
      <x:c r="L309" s="2" t="str">
        <x:v>Valid</x:v>
      </x:c>
      <x:c r="M309" s="2" t="str">
        <x:v>QR</x:v>
      </x:c>
      <x:c r="N309" s="2" t="n">
        <x:v>1</x:v>
      </x:c>
      <x:c r="O309" s="2" t="str">
        <x:v>Accepted</x:v>
      </x:c>
      <x:c r="P309" s="2" t="str">
        <x:v>S001</x:v>
      </x:c>
      <x:c r="Q309" s="2" t="str">
        <x:v>DEV001</x:v>
      </x:c>
      <x:c r="R309" s="2" t="n">
        <x:v>4</x:v>
      </x:c>
      <x:c r="S309" s="2" t="str">
        <x:v>Online</x:v>
      </x:c>
      <x:c r="T309" s="2" t="str">
        <x:v>Synced</x:v>
      </x:c>
    </x:row>
    <x:row r="310" ht="21" customHeight="1">
      <x:c r="A310" s="2" t="str">
        <x:v>EV000265</x:v>
      </x:c>
      <x:c r="B310" s="2" t="str">
        <x:v>T20261004-3-2</x:v>
      </x:c>
      <x:c r="C310" s="2" t="str">
        <x:v>ST054</x:v>
      </x:c>
      <x:c r="D310" s="2" t="str">
        <x:v>1c9a916db52e081aeb59bc928cb914dd</x:v>
      </x:c>
      <x:c r="E310" s="2" t="str">
        <x:v>CHECK_IN</x:v>
      </x:c>
      <x:c r="F310" s="8" t="n">
        <x:v>46299.57302083334</x:v>
      </x:c>
      <x:c r="G310" s="8" t="n">
        <x:v>46299.57304398149</x:v>
      </x:c>
      <x:c r="H310" s="2" t="str">
        <x:v>SCH01</x:v>
      </x:c>
      <x:c r="I310" s="9" t="n">
        <x:v>25.285</x:v>
      </x:c>
      <x:c r="J310" s="9" t="n">
        <x:v>51.51</x:v>
      </x:c>
      <x:c r="K310" s="2" t="n">
        <x:v>8</x:v>
      </x:c>
      <x:c r="L310" s="2" t="str">
        <x:v>Valid</x:v>
      </x:c>
      <x:c r="M310" s="2" t="str">
        <x:v>QR</x:v>
      </x:c>
      <x:c r="N310" s="2" t="n">
        <x:v>1</x:v>
      </x:c>
      <x:c r="O310" s="2" t="str">
        <x:v>Accepted</x:v>
      </x:c>
      <x:c r="P310" s="2" t="str">
        <x:v>S002</x:v>
      </x:c>
      <x:c r="Q310" s="2" t="str">
        <x:v>DEV002</x:v>
      </x:c>
      <x:c r="R310" s="2" t="n">
        <x:v>4</x:v>
      </x:c>
      <x:c r="S310" s="2" t="str">
        <x:v>Online</x:v>
      </x:c>
      <x:c r="T310" s="2" t="str">
        <x:v>Synced</x:v>
      </x:c>
    </x:row>
    <x:row r="311" ht="21" customHeight="1">
      <x:c r="A311" s="2" t="str">
        <x:v>EV000425</x:v>
      </x:c>
      <x:c r="B311" s="2" t="str">
        <x:v>T20261004-3-3</x:v>
      </x:c>
      <x:c r="C311" s="2" t="str">
        <x:v>ST094</x:v>
      </x:c>
      <x:c r="D311" s="2" t="str">
        <x:v>b6fd37c188877a378c496dccb3132cf2</x:v>
      </x:c>
      <x:c r="E311" s="2" t="str">
        <x:v>CHECK_IN</x:v>
      </x:c>
      <x:c r="F311" s="8" t="n">
        <x:v>46299.57302083334</x:v>
      </x:c>
      <x:c r="G311" s="8" t="n">
        <x:v>46299.57304398149</x:v>
      </x:c>
      <x:c r="H311" s="2" t="str">
        <x:v>SCH01</x:v>
      </x:c>
      <x:c r="I311" s="9" t="n">
        <x:v>25.285</x:v>
      </x:c>
      <x:c r="J311" s="9" t="n">
        <x:v>51.51</x:v>
      </x:c>
      <x:c r="K311" s="2" t="n">
        <x:v>8</x:v>
      </x:c>
      <x:c r="L311" s="2" t="str">
        <x:v>Valid</x:v>
      </x:c>
      <x:c r="M311" s="2" t="str">
        <x:v>QR</x:v>
      </x:c>
      <x:c r="N311" s="2" t="n">
        <x:v>1</x:v>
      </x:c>
      <x:c r="O311" s="2" t="str">
        <x:v>Accepted</x:v>
      </x:c>
      <x:c r="P311" s="2" t="str">
        <x:v>S003</x:v>
      </x:c>
      <x:c r="Q311" s="2" t="str">
        <x:v>DEV003</x:v>
      </x:c>
      <x:c r="R311" s="2" t="n">
        <x:v>4</x:v>
      </x:c>
      <x:c r="S311" s="2" t="str">
        <x:v>Online</x:v>
      </x:c>
      <x:c r="T311" s="2" t="str">
        <x:v>Synced</x:v>
      </x:c>
    </x:row>
    <x:row r="312" ht="21" customHeight="1">
      <x:c r="A312" s="2" t="str">
        <x:v>EV000107</x:v>
      </x:c>
      <x:c r="B312" s="2" t="str">
        <x:v>T20261004-3-1</x:v>
      </x:c>
      <x:c r="C312" s="2" t="str">
        <x:v>ST015</x:v>
      </x:c>
      <x:c r="D312" s="2" t="str">
        <x:v>997c76227e9b12bdccc68d0d53a8d1df</x:v>
      </x:c>
      <x:c r="E312" s="2" t="str">
        <x:v>CHECK_IN</x:v>
      </x:c>
      <x:c r="F312" s="8" t="n">
        <x:v>46299.573055555564</x:v>
      </x:c>
      <x:c r="G312" s="8" t="n">
        <x:v>46299.57307870371</x:v>
      </x:c>
      <x:c r="H312" s="2" t="str">
        <x:v>SCH01</x:v>
      </x:c>
      <x:c r="I312" s="9" t="n">
        <x:v>25.285</x:v>
      </x:c>
      <x:c r="J312" s="9" t="n">
        <x:v>51.51</x:v>
      </x:c>
      <x:c r="K312" s="2" t="n">
        <x:v>8</x:v>
      </x:c>
      <x:c r="L312" s="2" t="str">
        <x:v>Valid</x:v>
      </x:c>
      <x:c r="M312" s="2" t="str">
        <x:v>QR</x:v>
      </x:c>
      <x:c r="N312" s="2" t="n">
        <x:v>1</x:v>
      </x:c>
      <x:c r="O312" s="2" t="str">
        <x:v>Accepted</x:v>
      </x:c>
      <x:c r="P312" s="2" t="str">
        <x:v>S001</x:v>
      </x:c>
      <x:c r="Q312" s="2" t="str">
        <x:v>DEV001</x:v>
      </x:c>
      <x:c r="R312" s="2" t="n">
        <x:v>5</x:v>
      </x:c>
      <x:c r="S312" s="2" t="str">
        <x:v>Online</x:v>
      </x:c>
      <x:c r="T312" s="2" t="str">
        <x:v>Synced</x:v>
      </x:c>
    </x:row>
    <x:row r="313" ht="21" customHeight="1">
      <x:c r="A313" s="2" t="str">
        <x:v>EV000267</x:v>
      </x:c>
      <x:c r="B313" s="2" t="str">
        <x:v>T20261004-3-2</x:v>
      </x:c>
      <x:c r="C313" s="2" t="str">
        <x:v>ST055</x:v>
      </x:c>
      <x:c r="D313" s="2" t="str">
        <x:v>e796258b9306e2b3efab77a21add36a5</x:v>
      </x:c>
      <x:c r="E313" s="2" t="str">
        <x:v>CHECK_IN</x:v>
      </x:c>
      <x:c r="F313" s="8" t="n">
        <x:v>46299.573055555564</x:v>
      </x:c>
      <x:c r="G313" s="8" t="n">
        <x:v>46299.57307870371</x:v>
      </x:c>
      <x:c r="H313" s="2" t="str">
        <x:v>SCH01</x:v>
      </x:c>
      <x:c r="I313" s="9" t="n">
        <x:v>25.285</x:v>
      </x:c>
      <x:c r="J313" s="9" t="n">
        <x:v>51.51</x:v>
      </x:c>
      <x:c r="K313" s="2" t="n">
        <x:v>8</x:v>
      </x:c>
      <x:c r="L313" s="2" t="str">
        <x:v>Valid</x:v>
      </x:c>
      <x:c r="M313" s="2" t="str">
        <x:v>QR</x:v>
      </x:c>
      <x:c r="N313" s="2" t="n">
        <x:v>1</x:v>
      </x:c>
      <x:c r="O313" s="2" t="str">
        <x:v>Accepted</x:v>
      </x:c>
      <x:c r="P313" s="2" t="str">
        <x:v>S002</x:v>
      </x:c>
      <x:c r="Q313" s="2" t="str">
        <x:v>DEV002</x:v>
      </x:c>
      <x:c r="R313" s="2" t="n">
        <x:v>5</x:v>
      </x:c>
      <x:c r="S313" s="2" t="str">
        <x:v>Online</x:v>
      </x:c>
      <x:c r="T313" s="2" t="str">
        <x:v>Synced</x:v>
      </x:c>
    </x:row>
    <x:row r="314" ht="21" customHeight="1">
      <x:c r="A314" s="2" t="str">
        <x:v>EV000427</x:v>
      </x:c>
      <x:c r="B314" s="2" t="str">
        <x:v>T20261004-3-3</x:v>
      </x:c>
      <x:c r="C314" s="2" t="str">
        <x:v>ST095</x:v>
      </x:c>
      <x:c r="D314" s="2" t="str">
        <x:v>0935ee2c52872353d5a355eed1202dbe</x:v>
      </x:c>
      <x:c r="E314" s="2" t="str">
        <x:v>CHECK_IN</x:v>
      </x:c>
      <x:c r="F314" s="8" t="n">
        <x:v>46299.573055555564</x:v>
      </x:c>
      <x:c r="G314" s="8" t="n">
        <x:v>46299.57307870371</x:v>
      </x:c>
      <x:c r="H314" s="2" t="str">
        <x:v>SCH01</x:v>
      </x:c>
      <x:c r="I314" s="9" t="n">
        <x:v>25.285</x:v>
      </x:c>
      <x:c r="J314" s="9" t="n">
        <x:v>51.51</x:v>
      </x:c>
      <x:c r="K314" s="2" t="n">
        <x:v>8</x:v>
      </x:c>
      <x:c r="L314" s="2" t="str">
        <x:v>Valid</x:v>
      </x:c>
      <x:c r="M314" s="2" t="str">
        <x:v>QR</x:v>
      </x:c>
      <x:c r="N314" s="2" t="n">
        <x:v>1</x:v>
      </x:c>
      <x:c r="O314" s="2" t="str">
        <x:v>Accepted</x:v>
      </x:c>
      <x:c r="P314" s="2" t="str">
        <x:v>S003</x:v>
      </x:c>
      <x:c r="Q314" s="2" t="str">
        <x:v>DEV003</x:v>
      </x:c>
      <x:c r="R314" s="2" t="n">
        <x:v>5</x:v>
      </x:c>
      <x:c r="S314" s="2" t="str">
        <x:v>Online</x:v>
      </x:c>
      <x:c r="T314" s="2" t="str">
        <x:v>Synced</x:v>
      </x:c>
    </x:row>
    <x:row r="315" ht="21" customHeight="1">
      <x:c r="A315" s="2" t="str">
        <x:v>EV000109</x:v>
      </x:c>
      <x:c r="B315" s="2" t="str">
        <x:v>T20261004-3-1</x:v>
      </x:c>
      <x:c r="C315" s="2" t="str">
        <x:v>ST016</x:v>
      </x:c>
      <x:c r="D315" s="2" t="str">
        <x:v>5227a65bcc4ea356d570fe16b2970ea5</x:v>
      </x:c>
      <x:c r="E315" s="2" t="str">
        <x:v>CHECK_IN</x:v>
      </x:c>
      <x:c r="F315" s="8" t="n">
        <x:v>46299.57309027778</x:v>
      </x:c>
      <x:c r="G315" s="8" t="n">
        <x:v>46299.573113425926</x:v>
      </x:c>
      <x:c r="H315" s="2" t="str">
        <x:v>SCH01</x:v>
      </x:c>
      <x:c r="I315" s="9" t="n">
        <x:v>25.285</x:v>
      </x:c>
      <x:c r="J315" s="9" t="n">
        <x:v>51.51</x:v>
      </x:c>
      <x:c r="K315" s="2" t="n">
        <x:v>8</x:v>
      </x:c>
      <x:c r="L315" s="2" t="str">
        <x:v>Valid</x:v>
      </x:c>
      <x:c r="M315" s="2" t="str">
        <x:v>QR</x:v>
      </x:c>
      <x:c r="N315" s="2" t="n">
        <x:v>1</x:v>
      </x:c>
      <x:c r="O315" s="2" t="str">
        <x:v>Accepted</x:v>
      </x:c>
      <x:c r="P315" s="2" t="str">
        <x:v>S001</x:v>
      </x:c>
      <x:c r="Q315" s="2" t="str">
        <x:v>DEV001</x:v>
      </x:c>
      <x:c r="R315" s="2" t="n">
        <x:v>6</x:v>
      </x:c>
      <x:c r="S315" s="2" t="str">
        <x:v>Online</x:v>
      </x:c>
      <x:c r="T315" s="2" t="str">
        <x:v>Synced</x:v>
      </x:c>
    </x:row>
    <x:row r="316" ht="21" customHeight="1">
      <x:c r="A316" s="2" t="str">
        <x:v>EV000269</x:v>
      </x:c>
      <x:c r="B316" s="2" t="str">
        <x:v>T20261004-3-2</x:v>
      </x:c>
      <x:c r="C316" s="2" t="str">
        <x:v>ST056</x:v>
      </x:c>
      <x:c r="D316" s="2" t="str">
        <x:v>245ed370430be1001f6d7d13404dd8b1</x:v>
      </x:c>
      <x:c r="E316" s="2" t="str">
        <x:v>CHECK_IN</x:v>
      </x:c>
      <x:c r="F316" s="8" t="n">
        <x:v>46299.57309027778</x:v>
      </x:c>
      <x:c r="G316" s="8" t="n">
        <x:v>46299.573113425926</x:v>
      </x:c>
      <x:c r="H316" s="2" t="str">
        <x:v>SCH01</x:v>
      </x:c>
      <x:c r="I316" s="9" t="n">
        <x:v>25.285</x:v>
      </x:c>
      <x:c r="J316" s="9" t="n">
        <x:v>51.51</x:v>
      </x:c>
      <x:c r="K316" s="2" t="n">
        <x:v>8</x:v>
      </x:c>
      <x:c r="L316" s="2" t="str">
        <x:v>Valid</x:v>
      </x:c>
      <x:c r="M316" s="2" t="str">
        <x:v>QR</x:v>
      </x:c>
      <x:c r="N316" s="2" t="n">
        <x:v>1</x:v>
      </x:c>
      <x:c r="O316" s="2" t="str">
        <x:v>Accepted</x:v>
      </x:c>
      <x:c r="P316" s="2" t="str">
        <x:v>S002</x:v>
      </x:c>
      <x:c r="Q316" s="2" t="str">
        <x:v>DEV002</x:v>
      </x:c>
      <x:c r="R316" s="2" t="n">
        <x:v>6</x:v>
      </x:c>
      <x:c r="S316" s="2" t="str">
        <x:v>Online</x:v>
      </x:c>
      <x:c r="T316" s="2" t="str">
        <x:v>Synced</x:v>
      </x:c>
    </x:row>
    <x:row r="317" ht="21" customHeight="1">
      <x:c r="A317" s="2" t="str">
        <x:v>EV000429</x:v>
      </x:c>
      <x:c r="B317" s="2" t="str">
        <x:v>T20261004-3-3</x:v>
      </x:c>
      <x:c r="C317" s="2" t="str">
        <x:v>ST096</x:v>
      </x:c>
      <x:c r="D317" s="2" t="str">
        <x:v>46905fa8ca039f79eec63d82a6ea3c69</x:v>
      </x:c>
      <x:c r="E317" s="2" t="str">
        <x:v>CHECK_IN</x:v>
      </x:c>
      <x:c r="F317" s="8" t="n">
        <x:v>46299.57309027778</x:v>
      </x:c>
      <x:c r="G317" s="8" t="n">
        <x:v>46299.573113425926</x:v>
      </x:c>
      <x:c r="H317" s="2" t="str">
        <x:v>SCH01</x:v>
      </x:c>
      <x:c r="I317" s="9" t="n">
        <x:v>25.285</x:v>
      </x:c>
      <x:c r="J317" s="9" t="n">
        <x:v>51.51</x:v>
      </x:c>
      <x:c r="K317" s="2" t="n">
        <x:v>8</x:v>
      </x:c>
      <x:c r="L317" s="2" t="str">
        <x:v>Valid</x:v>
      </x:c>
      <x:c r="M317" s="2" t="str">
        <x:v>QR</x:v>
      </x:c>
      <x:c r="N317" s="2" t="n">
        <x:v>1</x:v>
      </x:c>
      <x:c r="O317" s="2" t="str">
        <x:v>Accepted</x:v>
      </x:c>
      <x:c r="P317" s="2" t="str">
        <x:v>S003</x:v>
      </x:c>
      <x:c r="Q317" s="2" t="str">
        <x:v>DEV003</x:v>
      </x:c>
      <x:c r="R317" s="2" t="n">
        <x:v>6</x:v>
      </x:c>
      <x:c r="S317" s="2" t="str">
        <x:v>Online</x:v>
      </x:c>
      <x:c r="T317" s="2" t="str">
        <x:v>Synced</x:v>
      </x:c>
    </x:row>
    <x:row r="318" ht="21" customHeight="1">
      <x:c r="A318" s="2" t="str">
        <x:v>EV000111</x:v>
      </x:c>
      <x:c r="B318" s="2" t="str">
        <x:v>T20261004-3-1</x:v>
      </x:c>
      <x:c r="C318" s="2" t="str">
        <x:v>ST017</x:v>
      </x:c>
      <x:c r="D318" s="2" t="str">
        <x:v>ea6159d457322f2456f4cadd6b3d659f</x:v>
      </x:c>
      <x:c r="E318" s="2" t="str">
        <x:v>CHECK_IN</x:v>
      </x:c>
      <x:c r="F318" s="8" t="n">
        <x:v>46299.573125</x:v>
      </x:c>
      <x:c r="G318" s="8" t="n">
        <x:v>46299.57314814815</x:v>
      </x:c>
      <x:c r="H318" s="2" t="str">
        <x:v>SCH01</x:v>
      </x:c>
      <x:c r="I318" s="9" t="n">
        <x:v>25.285</x:v>
      </x:c>
      <x:c r="J318" s="9" t="n">
        <x:v>51.51</x:v>
      </x:c>
      <x:c r="K318" s="2" t="n">
        <x:v>8</x:v>
      </x:c>
      <x:c r="L318" s="2" t="str">
        <x:v>Valid</x:v>
      </x:c>
      <x:c r="M318" s="2" t="str">
        <x:v>QR</x:v>
      </x:c>
      <x:c r="N318" s="2" t="n">
        <x:v>1</x:v>
      </x:c>
      <x:c r="O318" s="2" t="str">
        <x:v>Accepted</x:v>
      </x:c>
      <x:c r="P318" s="2" t="str">
        <x:v>S001</x:v>
      </x:c>
      <x:c r="Q318" s="2" t="str">
        <x:v>DEV001</x:v>
      </x:c>
      <x:c r="R318" s="2" t="n">
        <x:v>7</x:v>
      </x:c>
      <x:c r="S318" s="2" t="str">
        <x:v>Online</x:v>
      </x:c>
      <x:c r="T318" s="2" t="str">
        <x:v>Synced</x:v>
      </x:c>
    </x:row>
    <x:row r="319" ht="21" customHeight="1">
      <x:c r="A319" s="2" t="str">
        <x:v>EV000271</x:v>
      </x:c>
      <x:c r="B319" s="2" t="str">
        <x:v>T20261004-3-2</x:v>
      </x:c>
      <x:c r="C319" s="2" t="str">
        <x:v>ST057</x:v>
      </x:c>
      <x:c r="D319" s="2" t="str">
        <x:v>68d992c7418727808ad27d2e5ee9b88d</x:v>
      </x:c>
      <x:c r="E319" s="2" t="str">
        <x:v>CHECK_IN</x:v>
      </x:c>
      <x:c r="F319" s="8" t="n">
        <x:v>46299.573125</x:v>
      </x:c>
      <x:c r="G319" s="8" t="n">
        <x:v>46299.57314814815</x:v>
      </x:c>
      <x:c r="H319" s="2" t="str">
        <x:v>SCH01</x:v>
      </x:c>
      <x:c r="I319" s="9" t="n">
        <x:v>25.285</x:v>
      </x:c>
      <x:c r="J319" s="9" t="n">
        <x:v>51.51</x:v>
      </x:c>
      <x:c r="K319" s="2" t="n">
        <x:v>8</x:v>
      </x:c>
      <x:c r="L319" s="2" t="str">
        <x:v>Valid</x:v>
      </x:c>
      <x:c r="M319" s="2" t="str">
        <x:v>QR</x:v>
      </x:c>
      <x:c r="N319" s="2" t="n">
        <x:v>1</x:v>
      </x:c>
      <x:c r="O319" s="2" t="str">
        <x:v>Accepted</x:v>
      </x:c>
      <x:c r="P319" s="2" t="str">
        <x:v>S002</x:v>
      </x:c>
      <x:c r="Q319" s="2" t="str">
        <x:v>DEV002</x:v>
      </x:c>
      <x:c r="R319" s="2" t="n">
        <x:v>7</x:v>
      </x:c>
      <x:c r="S319" s="2" t="str">
        <x:v>Online</x:v>
      </x:c>
      <x:c r="T319" s="2" t="str">
        <x:v>Synced</x:v>
      </x:c>
    </x:row>
    <x:row r="320" ht="21" customHeight="1">
      <x:c r="A320" s="2" t="str">
        <x:v>EV000431</x:v>
      </x:c>
      <x:c r="B320" s="2" t="str">
        <x:v>T20261004-3-3</x:v>
      </x:c>
      <x:c r="C320" s="2" t="str">
        <x:v>ST097</x:v>
      </x:c>
      <x:c r="D320" s="2" t="str">
        <x:v>0ccbf8d08569df9dde2207b8d5616d1e</x:v>
      </x:c>
      <x:c r="E320" s="2" t="str">
        <x:v>CHECK_IN</x:v>
      </x:c>
      <x:c r="F320" s="8" t="n">
        <x:v>46299.573125</x:v>
      </x:c>
      <x:c r="G320" s="8" t="n">
        <x:v>46299.57314814815</x:v>
      </x:c>
      <x:c r="H320" s="2" t="str">
        <x:v>SCH01</x:v>
      </x:c>
      <x:c r="I320" s="9" t="n">
        <x:v>25.285</x:v>
      </x:c>
      <x:c r="J320" s="9" t="n">
        <x:v>51.51</x:v>
      </x:c>
      <x:c r="K320" s="2" t="n">
        <x:v>8</x:v>
      </x:c>
      <x:c r="L320" s="2" t="str">
        <x:v>Valid</x:v>
      </x:c>
      <x:c r="M320" s="2" t="str">
        <x:v>QR</x:v>
      </x:c>
      <x:c r="N320" s="2" t="n">
        <x:v>1</x:v>
      </x:c>
      <x:c r="O320" s="2" t="str">
        <x:v>Accepted</x:v>
      </x:c>
      <x:c r="P320" s="2" t="str">
        <x:v>S003</x:v>
      </x:c>
      <x:c r="Q320" s="2" t="str">
        <x:v>DEV003</x:v>
      </x:c>
      <x:c r="R320" s="2" t="n">
        <x:v>7</x:v>
      </x:c>
      <x:c r="S320" s="2" t="str">
        <x:v>Online</x:v>
      </x:c>
      <x:c r="T320" s="2" t="str">
        <x:v>Synced</x:v>
      </x:c>
    </x:row>
    <x:row r="321" ht="21" customHeight="1">
      <x:c r="A321" s="2" t="str">
        <x:v>EV000113</x:v>
      </x:c>
      <x:c r="B321" s="2" t="str">
        <x:v>T20261004-3-1</x:v>
      </x:c>
      <x:c r="C321" s="2" t="str">
        <x:v>ST018</x:v>
      </x:c>
      <x:c r="D321" s="2" t="str">
        <x:v>4c1b40081ed5c7c21b8392ee528dbe54</x:v>
      </x:c>
      <x:c r="E321" s="2" t="str">
        <x:v>CHECK_IN</x:v>
      </x:c>
      <x:c r="F321" s="8" t="n">
        <x:v>46299.573159722226</x:v>
      </x:c>
      <x:c r="G321" s="8" t="n">
        <x:v>46299.57318287037</x:v>
      </x:c>
      <x:c r="H321" s="2" t="str">
        <x:v>SCH01</x:v>
      </x:c>
      <x:c r="I321" s="9" t="n">
        <x:v>25.285</x:v>
      </x:c>
      <x:c r="J321" s="9" t="n">
        <x:v>51.51</x:v>
      </x:c>
      <x:c r="K321" s="2" t="n">
        <x:v>8</x:v>
      </x:c>
      <x:c r="L321" s="2" t="str">
        <x:v>Valid</x:v>
      </x:c>
      <x:c r="M321" s="2" t="str">
        <x:v>QR</x:v>
      </x:c>
      <x:c r="N321" s="2" t="n">
        <x:v>1</x:v>
      </x:c>
      <x:c r="O321" s="2" t="str">
        <x:v>Accepted</x:v>
      </x:c>
      <x:c r="P321" s="2" t="str">
        <x:v>S001</x:v>
      </x:c>
      <x:c r="Q321" s="2" t="str">
        <x:v>DEV001</x:v>
      </x:c>
      <x:c r="R321" s="2" t="n">
        <x:v>8</x:v>
      </x:c>
      <x:c r="S321" s="2" t="str">
        <x:v>Online</x:v>
      </x:c>
      <x:c r="T321" s="2" t="str">
        <x:v>Synced</x:v>
      </x:c>
    </x:row>
    <x:row r="322" ht="21" customHeight="1">
      <x:c r="A322" s="2" t="str">
        <x:v>EV000273</x:v>
      </x:c>
      <x:c r="B322" s="2" t="str">
        <x:v>T20261004-3-2</x:v>
      </x:c>
      <x:c r="C322" s="2" t="str">
        <x:v>ST058</x:v>
      </x:c>
      <x:c r="D322" s="2" t="str">
        <x:v>ebf7e65b57e2c8bcd02f90b1d5692596</x:v>
      </x:c>
      <x:c r="E322" s="2" t="str">
        <x:v>CHECK_IN</x:v>
      </x:c>
      <x:c r="F322" s="8" t="n">
        <x:v>46299.573159722226</x:v>
      </x:c>
      <x:c r="G322" s="8" t="n">
        <x:v>46299.57318287037</x:v>
      </x:c>
      <x:c r="H322" s="2" t="str">
        <x:v>SCH01</x:v>
      </x:c>
      <x:c r="I322" s="9" t="n">
        <x:v>25.285</x:v>
      </x:c>
      <x:c r="J322" s="9" t="n">
        <x:v>51.51</x:v>
      </x:c>
      <x:c r="K322" s="2" t="n">
        <x:v>8</x:v>
      </x:c>
      <x:c r="L322" s="2" t="str">
        <x:v>Valid</x:v>
      </x:c>
      <x:c r="M322" s="2" t="str">
        <x:v>QR</x:v>
      </x:c>
      <x:c r="N322" s="2" t="n">
        <x:v>1</x:v>
      </x:c>
      <x:c r="O322" s="2" t="str">
        <x:v>Accepted</x:v>
      </x:c>
      <x:c r="P322" s="2" t="str">
        <x:v>S002</x:v>
      </x:c>
      <x:c r="Q322" s="2" t="str">
        <x:v>DEV002</x:v>
      </x:c>
      <x:c r="R322" s="2" t="n">
        <x:v>8</x:v>
      </x:c>
      <x:c r="S322" s="2" t="str">
        <x:v>Online</x:v>
      </x:c>
      <x:c r="T322" s="2" t="str">
        <x:v>Synced</x:v>
      </x:c>
    </x:row>
    <x:row r="323" ht="21" customHeight="1">
      <x:c r="A323" s="2" t="str">
        <x:v>EV000433</x:v>
      </x:c>
      <x:c r="B323" s="2" t="str">
        <x:v>T20261004-3-3</x:v>
      </x:c>
      <x:c r="C323" s="2" t="str">
        <x:v>ST098</x:v>
      </x:c>
      <x:c r="D323" s="2" t="str">
        <x:v>4b453acdeca94f98f11a429464f7bff7</x:v>
      </x:c>
      <x:c r="E323" s="2" t="str">
        <x:v>CHECK_IN</x:v>
      </x:c>
      <x:c r="F323" s="8" t="n">
        <x:v>46299.573159722226</x:v>
      </x:c>
      <x:c r="G323" s="8" t="n">
        <x:v>46299.57318287037</x:v>
      </x:c>
      <x:c r="H323" s="2" t="str">
        <x:v>SCH01</x:v>
      </x:c>
      <x:c r="I323" s="9" t="n">
        <x:v>25.285</x:v>
      </x:c>
      <x:c r="J323" s="9" t="n">
        <x:v>51.51</x:v>
      </x:c>
      <x:c r="K323" s="2" t="n">
        <x:v>8</x:v>
      </x:c>
      <x:c r="L323" s="2" t="str">
        <x:v>Valid</x:v>
      </x:c>
      <x:c r="M323" s="2" t="str">
        <x:v>QR</x:v>
      </x:c>
      <x:c r="N323" s="2" t="n">
        <x:v>1</x:v>
      </x:c>
      <x:c r="O323" s="2" t="str">
        <x:v>Accepted</x:v>
      </x:c>
      <x:c r="P323" s="2" t="str">
        <x:v>S003</x:v>
      </x:c>
      <x:c r="Q323" s="2" t="str">
        <x:v>DEV003</x:v>
      </x:c>
      <x:c r="R323" s="2" t="n">
        <x:v>8</x:v>
      </x:c>
      <x:c r="S323" s="2" t="str">
        <x:v>Online</x:v>
      </x:c>
      <x:c r="T323" s="2" t="str">
        <x:v>Synced</x:v>
      </x:c>
    </x:row>
    <x:row r="324" ht="21" customHeight="1">
      <x:c r="A324" s="2" t="str">
        <x:v>EV000115</x:v>
      </x:c>
      <x:c r="B324" s="2" t="str">
        <x:v>T20261004-3-1</x:v>
      </x:c>
      <x:c r="C324" s="2" t="str">
        <x:v>ST019</x:v>
      </x:c>
      <x:c r="D324" s="2" t="str">
        <x:v>b83400b1b6dcfb0f7cb413571cb76f8f</x:v>
      </x:c>
      <x:c r="E324" s="2" t="str">
        <x:v>CHECK_IN</x:v>
      </x:c>
      <x:c r="F324" s="8" t="n">
        <x:v>46299.57319444445</x:v>
      </x:c>
      <x:c r="G324" s="8" t="n">
        <x:v>46299.573217592595</x:v>
      </x:c>
      <x:c r="H324" s="2" t="str">
        <x:v>SCH01</x:v>
      </x:c>
      <x:c r="I324" s="9" t="n">
        <x:v>25.285</x:v>
      </x:c>
      <x:c r="J324" s="9" t="n">
        <x:v>51.51</x:v>
      </x:c>
      <x:c r="K324" s="2" t="n">
        <x:v>8</x:v>
      </x:c>
      <x:c r="L324" s="2" t="str">
        <x:v>Valid</x:v>
      </x:c>
      <x:c r="M324" s="2" t="str">
        <x:v>QR</x:v>
      </x:c>
      <x:c r="N324" s="2" t="n">
        <x:v>1</x:v>
      </x:c>
      <x:c r="O324" s="2" t="str">
        <x:v>Accepted</x:v>
      </x:c>
      <x:c r="P324" s="2" t="str">
        <x:v>S001</x:v>
      </x:c>
      <x:c r="Q324" s="2" t="str">
        <x:v>DEV001</x:v>
      </x:c>
      <x:c r="R324" s="2" t="n">
        <x:v>9</x:v>
      </x:c>
      <x:c r="S324" s="2" t="str">
        <x:v>Online</x:v>
      </x:c>
      <x:c r="T324" s="2" t="str">
        <x:v>Synced</x:v>
      </x:c>
    </x:row>
    <x:row r="325" ht="21" customHeight="1">
      <x:c r="A325" s="2" t="str">
        <x:v>EV000275</x:v>
      </x:c>
      <x:c r="B325" s="2" t="str">
        <x:v>T20261004-3-2</x:v>
      </x:c>
      <x:c r="C325" s="2" t="str">
        <x:v>ST059</x:v>
      </x:c>
      <x:c r="D325" s="2" t="str">
        <x:v>08b31edc14b3a345822a41d6515bfcba</x:v>
      </x:c>
      <x:c r="E325" s="2" t="str">
        <x:v>CHECK_IN</x:v>
      </x:c>
      <x:c r="F325" s="8" t="n">
        <x:v>46299.57319444445</x:v>
      </x:c>
      <x:c r="G325" s="8" t="n">
        <x:v>46299.573217592595</x:v>
      </x:c>
      <x:c r="H325" s="2" t="str">
        <x:v>SCH01</x:v>
      </x:c>
      <x:c r="I325" s="9" t="n">
        <x:v>25.285</x:v>
      </x:c>
      <x:c r="J325" s="9" t="n">
        <x:v>51.51</x:v>
      </x:c>
      <x:c r="K325" s="2" t="n">
        <x:v>8</x:v>
      </x:c>
      <x:c r="L325" s="2" t="str">
        <x:v>Valid</x:v>
      </x:c>
      <x:c r="M325" s="2" t="str">
        <x:v>QR</x:v>
      </x:c>
      <x:c r="N325" s="2" t="n">
        <x:v>1</x:v>
      </x:c>
      <x:c r="O325" s="2" t="str">
        <x:v>Accepted</x:v>
      </x:c>
      <x:c r="P325" s="2" t="str">
        <x:v>S002</x:v>
      </x:c>
      <x:c r="Q325" s="2" t="str">
        <x:v>DEV002</x:v>
      </x:c>
      <x:c r="R325" s="2" t="n">
        <x:v>9</x:v>
      </x:c>
      <x:c r="S325" s="2" t="str">
        <x:v>Online</x:v>
      </x:c>
      <x:c r="T325" s="2" t="str">
        <x:v>Synced</x:v>
      </x:c>
    </x:row>
    <x:row r="326" ht="21" customHeight="1">
      <x:c r="A326" s="2" t="str">
        <x:v>EV000435</x:v>
      </x:c>
      <x:c r="B326" s="2" t="str">
        <x:v>T20261004-3-3</x:v>
      </x:c>
      <x:c r="C326" s="2" t="str">
        <x:v>ST099</x:v>
      </x:c>
      <x:c r="D326" s="2" t="str">
        <x:v>46d20c66394c55b68e36e5335452d87c</x:v>
      </x:c>
      <x:c r="E326" s="2" t="str">
        <x:v>CHECK_IN</x:v>
      </x:c>
      <x:c r="F326" s="8" t="n">
        <x:v>46299.57319444445</x:v>
      </x:c>
      <x:c r="G326" s="8" t="n">
        <x:v>46299.573217592595</x:v>
      </x:c>
      <x:c r="H326" s="2" t="str">
        <x:v>SCH01</x:v>
      </x:c>
      <x:c r="I326" s="9" t="n">
        <x:v>25.285</x:v>
      </x:c>
      <x:c r="J326" s="9" t="n">
        <x:v>51.51</x:v>
      </x:c>
      <x:c r="K326" s="2" t="n">
        <x:v>8</x:v>
      </x:c>
      <x:c r="L326" s="2" t="str">
        <x:v>Valid</x:v>
      </x:c>
      <x:c r="M326" s="2" t="str">
        <x:v>QR</x:v>
      </x:c>
      <x:c r="N326" s="2" t="n">
        <x:v>1</x:v>
      </x:c>
      <x:c r="O326" s="2" t="str">
        <x:v>Accepted</x:v>
      </x:c>
      <x:c r="P326" s="2" t="str">
        <x:v>S003</x:v>
      </x:c>
      <x:c r="Q326" s="2" t="str">
        <x:v>DEV003</x:v>
      </x:c>
      <x:c r="R326" s="2" t="n">
        <x:v>9</x:v>
      </x:c>
      <x:c r="S326" s="2" t="str">
        <x:v>Online</x:v>
      </x:c>
      <x:c r="T326" s="2" t="str">
        <x:v>Synced</x:v>
      </x:c>
    </x:row>
    <x:row r="327" ht="21" customHeight="1">
      <x:c r="A327" s="2" t="str">
        <x:v>EV000117</x:v>
      </x:c>
      <x:c r="B327" s="2" t="str">
        <x:v>T20261004-3-1</x:v>
      </x:c>
      <x:c r="C327" s="2" t="str">
        <x:v>ST020</x:v>
      </x:c>
      <x:c r="D327" s="2" t="str">
        <x:v>9f8daa9030f9f7599cd24e056935ab8d</x:v>
      </x:c>
      <x:c r="E327" s="2" t="str">
        <x:v>CHECK_IN</x:v>
      </x:c>
      <x:c r="F327" s="8" t="n">
        <x:v>46299.57322916667</x:v>
      </x:c>
      <x:c r="G327" s="8" t="n">
        <x:v>46299.57325231482</x:v>
      </x:c>
      <x:c r="H327" s="2" t="str">
        <x:v>SCH01</x:v>
      </x:c>
      <x:c r="I327" s="9" t="n">
        <x:v>25.285</x:v>
      </x:c>
      <x:c r="J327" s="9" t="n">
        <x:v>51.51</x:v>
      </x:c>
      <x:c r="K327" s="2" t="n">
        <x:v>8</x:v>
      </x:c>
      <x:c r="L327" s="2" t="str">
        <x:v>Valid</x:v>
      </x:c>
      <x:c r="M327" s="2" t="str">
        <x:v>QR</x:v>
      </x:c>
      <x:c r="N327" s="2" t="n">
        <x:v>1</x:v>
      </x:c>
      <x:c r="O327" s="2" t="str">
        <x:v>Accepted</x:v>
      </x:c>
      <x:c r="P327" s="2" t="str">
        <x:v>S001</x:v>
      </x:c>
      <x:c r="Q327" s="2" t="str">
        <x:v>DEV001</x:v>
      </x:c>
      <x:c r="R327" s="2" t="n">
        <x:v>10</x:v>
      </x:c>
      <x:c r="S327" s="2" t="str">
        <x:v>Online</x:v>
      </x:c>
      <x:c r="T327" s="2" t="str">
        <x:v>Synced</x:v>
      </x:c>
    </x:row>
    <x:row r="328" ht="21" customHeight="1">
      <x:c r="A328" s="2" t="str">
        <x:v>EV000277</x:v>
      </x:c>
      <x:c r="B328" s="2" t="str">
        <x:v>T20261004-3-2</x:v>
      </x:c>
      <x:c r="C328" s="2" t="str">
        <x:v>ST060</x:v>
      </x:c>
      <x:c r="D328" s="2" t="str">
        <x:v>a424ea3d9a5cb1c08037457e61cef61f</x:v>
      </x:c>
      <x:c r="E328" s="2" t="str">
        <x:v>CHECK_IN</x:v>
      </x:c>
      <x:c r="F328" s="8" t="n">
        <x:v>46299.57322916667</x:v>
      </x:c>
      <x:c r="G328" s="8" t="n">
        <x:v>46299.57325231482</x:v>
      </x:c>
      <x:c r="H328" s="2" t="str">
        <x:v>SCH01</x:v>
      </x:c>
      <x:c r="I328" s="9" t="n">
        <x:v>25.285</x:v>
      </x:c>
      <x:c r="J328" s="9" t="n">
        <x:v>51.51</x:v>
      </x:c>
      <x:c r="K328" s="2" t="n">
        <x:v>8</x:v>
      </x:c>
      <x:c r="L328" s="2" t="str">
        <x:v>Valid</x:v>
      </x:c>
      <x:c r="M328" s="2" t="str">
        <x:v>QR</x:v>
      </x:c>
      <x:c r="N328" s="2" t="n">
        <x:v>1</x:v>
      </x:c>
      <x:c r="O328" s="2" t="str">
        <x:v>Accepted</x:v>
      </x:c>
      <x:c r="P328" s="2" t="str">
        <x:v>S002</x:v>
      </x:c>
      <x:c r="Q328" s="2" t="str">
        <x:v>DEV002</x:v>
      </x:c>
      <x:c r="R328" s="2" t="n">
        <x:v>10</x:v>
      </x:c>
      <x:c r="S328" s="2" t="str">
        <x:v>Online</x:v>
      </x:c>
      <x:c r="T328" s="2" t="str">
        <x:v>Synced</x:v>
      </x:c>
    </x:row>
    <x:row r="329" ht="21" customHeight="1">
      <x:c r="A329" s="2" t="str">
        <x:v>EV000437</x:v>
      </x:c>
      <x:c r="B329" s="2" t="str">
        <x:v>T20261004-3-3</x:v>
      </x:c>
      <x:c r="C329" s="2" t="str">
        <x:v>ST100</x:v>
      </x:c>
      <x:c r="D329" s="2" t="str">
        <x:v>6ba3ddf298bc4515d195454c1e81d9d6</x:v>
      </x:c>
      <x:c r="E329" s="2" t="str">
        <x:v>CHECK_IN</x:v>
      </x:c>
      <x:c r="F329" s="8" t="n">
        <x:v>46299.57322916667</x:v>
      </x:c>
      <x:c r="G329" s="8" t="n">
        <x:v>46299.57325231482</x:v>
      </x:c>
      <x:c r="H329" s="2" t="str">
        <x:v>SCH01</x:v>
      </x:c>
      <x:c r="I329" s="9" t="n">
        <x:v>25.285</x:v>
      </x:c>
      <x:c r="J329" s="9" t="n">
        <x:v>51.51</x:v>
      </x:c>
      <x:c r="K329" s="2" t="n">
        <x:v>8</x:v>
      </x:c>
      <x:c r="L329" s="2" t="str">
        <x:v>Valid</x:v>
      </x:c>
      <x:c r="M329" s="2" t="str">
        <x:v>QR</x:v>
      </x:c>
      <x:c r="N329" s="2" t="n">
        <x:v>1</x:v>
      </x:c>
      <x:c r="O329" s="2" t="str">
        <x:v>Accepted</x:v>
      </x:c>
      <x:c r="P329" s="2" t="str">
        <x:v>S003</x:v>
      </x:c>
      <x:c r="Q329" s="2" t="str">
        <x:v>DEV003</x:v>
      </x:c>
      <x:c r="R329" s="2" t="n">
        <x:v>10</x:v>
      </x:c>
      <x:c r="S329" s="2" t="str">
        <x:v>Online</x:v>
      </x:c>
      <x:c r="T329" s="2" t="str">
        <x:v>Synced</x:v>
      </x:c>
    </x:row>
    <x:row r="330" ht="21" customHeight="1">
      <x:c r="A330" s="2" t="str">
        <x:v>EV000104</x:v>
      </x:c>
      <x:c r="B330" s="2" t="str">
        <x:v>T20261004-3-1</x:v>
      </x:c>
      <x:c r="C330" s="2" t="str">
        <x:v>ST013</x:v>
      </x:c>
      <x:c r="D330" s="2" t="str">
        <x:v>ddc4bbe364f02f5a2177795c49ea7ba9</x:v>
      </x:c>
      <x:c r="E330" s="2" t="str">
        <x:v>CHECK_OUT</x:v>
      </x:c>
      <x:c r="F330" s="8" t="n">
        <x:v>46299.58618055556</x:v>
      </x:c>
      <x:c r="G330" s="8" t="n">
        <x:v>46299.58620370371</x:v>
      </x:c>
      <x:c r="H330" s="2" t="str">
        <x:v>R1S1</x:v>
      </x:c>
      <x:c r="I330" s="9" t="n">
        <x:v>25.271</x:v>
      </x:c>
      <x:c r="J330" s="9" t="n">
        <x:v>51.491</x:v>
      </x:c>
      <x:c r="K330" s="2" t="n">
        <x:v>8</x:v>
      </x:c>
      <x:c r="L330" s="2" t="str">
        <x:v>Valid</x:v>
      </x:c>
      <x:c r="M330" s="2" t="str">
        <x:v>QR</x:v>
      </x:c>
      <x:c r="N330" s="2" t="n">
        <x:v>1</x:v>
      </x:c>
      <x:c r="O330" s="2" t="str">
        <x:v>Accepted</x:v>
      </x:c>
      <x:c r="P330" s="2" t="str">
        <x:v>S001</x:v>
      </x:c>
      <x:c r="Q330" s="2" t="str">
        <x:v>DEV001</x:v>
      </x:c>
      <x:c r="R330" s="2" t="n">
        <x:v>11</x:v>
      </x:c>
      <x:c r="S330" s="2" t="str">
        <x:v>Online</x:v>
      </x:c>
      <x:c r="T330" s="2" t="str">
        <x:v>Synced</x:v>
      </x:c>
    </x:row>
    <x:row r="331" ht="21" customHeight="1">
      <x:c r="A331" s="2" t="str">
        <x:v>EV000264</x:v>
      </x:c>
      <x:c r="B331" s="2" t="str">
        <x:v>T20261004-3-2</x:v>
      </x:c>
      <x:c r="C331" s="2" t="str">
        <x:v>ST053</x:v>
      </x:c>
      <x:c r="D331" s="2" t="str">
        <x:v>e476277c519e294480cfa14a37e177a0</x:v>
      </x:c>
      <x:c r="E331" s="2" t="str">
        <x:v>CHECK_OUT</x:v>
      </x:c>
      <x:c r="F331" s="8" t="n">
        <x:v>46299.58618055556</x:v>
      </x:c>
      <x:c r="G331" s="8" t="n">
        <x:v>46299.58620370371</x:v>
      </x:c>
      <x:c r="H331" s="2" t="str">
        <x:v>R2S1</x:v>
      </x:c>
      <x:c r="I331" s="9" t="n">
        <x:v>25.28</x:v>
      </x:c>
      <x:c r="J331" s="9" t="n">
        <x:v>51.498999999999995</x:v>
      </x:c>
      <x:c r="K331" s="2" t="n">
        <x:v>8</x:v>
      </x:c>
      <x:c r="L331" s="2" t="str">
        <x:v>Valid</x:v>
      </x:c>
      <x:c r="M331" s="2" t="str">
        <x:v>QR</x:v>
      </x:c>
      <x:c r="N331" s="2" t="n">
        <x:v>1</x:v>
      </x:c>
      <x:c r="O331" s="2" t="str">
        <x:v>Accepted</x:v>
      </x:c>
      <x:c r="P331" s="2" t="str">
        <x:v>S002</x:v>
      </x:c>
      <x:c r="Q331" s="2" t="str">
        <x:v>DEV002</x:v>
      </x:c>
      <x:c r="R331" s="2" t="n">
        <x:v>11</x:v>
      </x:c>
      <x:c r="S331" s="2" t="str">
        <x:v>Online</x:v>
      </x:c>
      <x:c r="T331" s="2" t="str">
        <x:v>Synced</x:v>
      </x:c>
    </x:row>
    <x:row r="332" ht="21" customHeight="1">
      <x:c r="A332" s="2" t="str">
        <x:v>EV000424</x:v>
      </x:c>
      <x:c r="B332" s="2" t="str">
        <x:v>T20261004-3-3</x:v>
      </x:c>
      <x:c r="C332" s="2" t="str">
        <x:v>ST093</x:v>
      </x:c>
      <x:c r="D332" s="2" t="str">
        <x:v>e69cdca4f10e82426e9a3098f4672791</x:v>
      </x:c>
      <x:c r="E332" s="2" t="str">
        <x:v>CHECK_OUT</x:v>
      </x:c>
      <x:c r="F332" s="8" t="n">
        <x:v>46299.58618055556</x:v>
      </x:c>
      <x:c r="G332" s="8" t="n">
        <x:v>46299.58620370371</x:v>
      </x:c>
      <x:c r="H332" s="2" t="str">
        <x:v>R3S1</x:v>
      </x:c>
      <x:c r="I332" s="9" t="n">
        <x:v>25.289</x:v>
      </x:c>
      <x:c r="J332" s="9" t="n">
        <x:v>51.507</x:v>
      </x:c>
      <x:c r="K332" s="2" t="n">
        <x:v>8</x:v>
      </x:c>
      <x:c r="L332" s="2" t="str">
        <x:v>Valid</x:v>
      </x:c>
      <x:c r="M332" s="2" t="str">
        <x:v>QR</x:v>
      </x:c>
      <x:c r="N332" s="2" t="n">
        <x:v>1</x:v>
      </x:c>
      <x:c r="O332" s="2" t="str">
        <x:v>Accepted</x:v>
      </x:c>
      <x:c r="P332" s="2" t="str">
        <x:v>S003</x:v>
      </x:c>
      <x:c r="Q332" s="2" t="str">
        <x:v>DEV003</x:v>
      </x:c>
      <x:c r="R332" s="2" t="n">
        <x:v>11</x:v>
      </x:c>
      <x:c r="S332" s="2" t="str">
        <x:v>Online</x:v>
      </x:c>
      <x:c r="T332" s="2" t="str">
        <x:v>Synced</x:v>
      </x:c>
    </x:row>
    <x:row r="333" ht="21" customHeight="1">
      <x:c r="A333" s="2" t="str">
        <x:v>EV000110</x:v>
      </x:c>
      <x:c r="B333" s="2" t="str">
        <x:v>T20261004-3-1</x:v>
      </x:c>
      <x:c r="C333" s="2" t="str">
        <x:v>ST016</x:v>
      </x:c>
      <x:c r="D333" s="2" t="str">
        <x:v>5227a65bcc4ea356d570fe16b2970ea5</x:v>
      </x:c>
      <x:c r="E333" s="2" t="str">
        <x:v>CHECK_OUT</x:v>
      </x:c>
      <x:c r="F333" s="8" t="n">
        <x:v>46299.58628472222</x:v>
      </x:c>
      <x:c r="G333" s="8" t="n">
        <x:v>46299.58630787037</x:v>
      </x:c>
      <x:c r="H333" s="2" t="str">
        <x:v>R1S1</x:v>
      </x:c>
      <x:c r="I333" s="9" t="n">
        <x:v>25.271</x:v>
      </x:c>
      <x:c r="J333" s="9" t="n">
        <x:v>51.491</x:v>
      </x:c>
      <x:c r="K333" s="2" t="n">
        <x:v>8</x:v>
      </x:c>
      <x:c r="L333" s="2" t="str">
        <x:v>Valid</x:v>
      </x:c>
      <x:c r="M333" s="2" t="str">
        <x:v>QR</x:v>
      </x:c>
      <x:c r="N333" s="2" t="n">
        <x:v>1</x:v>
      </x:c>
      <x:c r="O333" s="2" t="str">
        <x:v>Accepted</x:v>
      </x:c>
      <x:c r="P333" s="2" t="str">
        <x:v>S001</x:v>
      </x:c>
      <x:c r="Q333" s="2" t="str">
        <x:v>DEV001</x:v>
      </x:c>
      <x:c r="R333" s="2" t="n">
        <x:v>12</x:v>
      </x:c>
      <x:c r="S333" s="2" t="str">
        <x:v>Online</x:v>
      </x:c>
      <x:c r="T333" s="2" t="str">
        <x:v>Synced</x:v>
      </x:c>
    </x:row>
    <x:row r="334" ht="21" customHeight="1">
      <x:c r="A334" s="2" t="str">
        <x:v>EV000270</x:v>
      </x:c>
      <x:c r="B334" s="2" t="str">
        <x:v>T20261004-3-2</x:v>
      </x:c>
      <x:c r="C334" s="2" t="str">
        <x:v>ST056</x:v>
      </x:c>
      <x:c r="D334" s="2" t="str">
        <x:v>245ed370430be1001f6d7d13404dd8b1</x:v>
      </x:c>
      <x:c r="E334" s="2" t="str">
        <x:v>CHECK_OUT</x:v>
      </x:c>
      <x:c r="F334" s="8" t="n">
        <x:v>46299.58628472222</x:v>
      </x:c>
      <x:c r="G334" s="8" t="n">
        <x:v>46299.58630787037</x:v>
      </x:c>
      <x:c r="H334" s="2" t="str">
        <x:v>R2S1</x:v>
      </x:c>
      <x:c r="I334" s="9" t="n">
        <x:v>25.28</x:v>
      </x:c>
      <x:c r="J334" s="9" t="n">
        <x:v>51.498999999999995</x:v>
      </x:c>
      <x:c r="K334" s="2" t="n">
        <x:v>8</x:v>
      </x:c>
      <x:c r="L334" s="2" t="str">
        <x:v>Valid</x:v>
      </x:c>
      <x:c r="M334" s="2" t="str">
        <x:v>QR</x:v>
      </x:c>
      <x:c r="N334" s="2" t="n">
        <x:v>1</x:v>
      </x:c>
      <x:c r="O334" s="2" t="str">
        <x:v>Accepted</x:v>
      </x:c>
      <x:c r="P334" s="2" t="str">
        <x:v>S002</x:v>
      </x:c>
      <x:c r="Q334" s="2" t="str">
        <x:v>DEV002</x:v>
      </x:c>
      <x:c r="R334" s="2" t="n">
        <x:v>12</x:v>
      </x:c>
      <x:c r="S334" s="2" t="str">
        <x:v>Online</x:v>
      </x:c>
      <x:c r="T334" s="2" t="str">
        <x:v>Synced</x:v>
      </x:c>
    </x:row>
    <x:row r="335" ht="21" customHeight="1">
      <x:c r="A335" s="2" t="str">
        <x:v>EV000430</x:v>
      </x:c>
      <x:c r="B335" s="2" t="str">
        <x:v>T20261004-3-3</x:v>
      </x:c>
      <x:c r="C335" s="2" t="str">
        <x:v>ST096</x:v>
      </x:c>
      <x:c r="D335" s="2" t="str">
        <x:v>46905fa8ca039f79eec63d82a6ea3c69</x:v>
      </x:c>
      <x:c r="E335" s="2" t="str">
        <x:v>CHECK_OUT</x:v>
      </x:c>
      <x:c r="F335" s="8" t="n">
        <x:v>46299.58628472222</x:v>
      </x:c>
      <x:c r="G335" s="8" t="n">
        <x:v>46299.58630787037</x:v>
      </x:c>
      <x:c r="H335" s="2" t="str">
        <x:v>R3S1</x:v>
      </x:c>
      <x:c r="I335" s="9" t="n">
        <x:v>25.289</x:v>
      </x:c>
      <x:c r="J335" s="9" t="n">
        <x:v>51.507</x:v>
      </x:c>
      <x:c r="K335" s="2" t="n">
        <x:v>8</x:v>
      </x:c>
      <x:c r="L335" s="2" t="str">
        <x:v>Valid</x:v>
      </x:c>
      <x:c r="M335" s="2" t="str">
        <x:v>QR</x:v>
      </x:c>
      <x:c r="N335" s="2" t="n">
        <x:v>1</x:v>
      </x:c>
      <x:c r="O335" s="2" t="str">
        <x:v>Accepted</x:v>
      </x:c>
      <x:c r="P335" s="2" t="str">
        <x:v>S003</x:v>
      </x:c>
      <x:c r="Q335" s="2" t="str">
        <x:v>DEV003</x:v>
      </x:c>
      <x:c r="R335" s="2" t="n">
        <x:v>12</x:v>
      </x:c>
      <x:c r="S335" s="2" t="str">
        <x:v>Online</x:v>
      </x:c>
      <x:c r="T335" s="2" t="str">
        <x:v>Synced</x:v>
      </x:c>
    </x:row>
    <x:row r="336" ht="21" customHeight="1">
      <x:c r="A336" s="2" t="str">
        <x:v>EV000116</x:v>
      </x:c>
      <x:c r="B336" s="2" t="str">
        <x:v>T20261004-3-1</x:v>
      </x:c>
      <x:c r="C336" s="2" t="str">
        <x:v>ST019</x:v>
      </x:c>
      <x:c r="D336" s="2" t="str">
        <x:v>b83400b1b6dcfb0f7cb413571cb76f8f</x:v>
      </x:c>
      <x:c r="E336" s="2" t="str">
        <x:v>CHECK_OUT</x:v>
      </x:c>
      <x:c r="F336" s="8" t="n">
        <x:v>46299.58638888889</x:v>
      </x:c>
      <x:c r="G336" s="8" t="n">
        <x:v>46299.58641203704</x:v>
      </x:c>
      <x:c r="H336" s="2" t="str">
        <x:v>R1S1</x:v>
      </x:c>
      <x:c r="I336" s="9" t="n">
        <x:v>25.271</x:v>
      </x:c>
      <x:c r="J336" s="9" t="n">
        <x:v>51.491</x:v>
      </x:c>
      <x:c r="K336" s="2" t="n">
        <x:v>8</x:v>
      </x:c>
      <x:c r="L336" s="2" t="str">
        <x:v>Valid</x:v>
      </x:c>
      <x:c r="M336" s="2" t="str">
        <x:v>QR</x:v>
      </x:c>
      <x:c r="N336" s="2" t="n">
        <x:v>1</x:v>
      </x:c>
      <x:c r="O336" s="2" t="str">
        <x:v>Accepted</x:v>
      </x:c>
      <x:c r="P336" s="2" t="str">
        <x:v>S001</x:v>
      </x:c>
      <x:c r="Q336" s="2" t="str">
        <x:v>DEV001</x:v>
      </x:c>
      <x:c r="R336" s="2" t="n">
        <x:v>13</x:v>
      </x:c>
      <x:c r="S336" s="2" t="str">
        <x:v>Online</x:v>
      </x:c>
      <x:c r="T336" s="2" t="str">
        <x:v>Synced</x:v>
      </x:c>
    </x:row>
    <x:row r="337" ht="21" customHeight="1">
      <x:c r="A337" s="2" t="str">
        <x:v>EV000276</x:v>
      </x:c>
      <x:c r="B337" s="2" t="str">
        <x:v>T20261004-3-2</x:v>
      </x:c>
      <x:c r="C337" s="2" t="str">
        <x:v>ST059</x:v>
      </x:c>
      <x:c r="D337" s="2" t="str">
        <x:v>08b31edc14b3a345822a41d6515bfcba</x:v>
      </x:c>
      <x:c r="E337" s="2" t="str">
        <x:v>CHECK_OUT</x:v>
      </x:c>
      <x:c r="F337" s="8" t="n">
        <x:v>46299.58638888889</x:v>
      </x:c>
      <x:c r="G337" s="8" t="n">
        <x:v>46299.58641203704</x:v>
      </x:c>
      <x:c r="H337" s="2" t="str">
        <x:v>R2S1</x:v>
      </x:c>
      <x:c r="I337" s="9" t="n">
        <x:v>25.28</x:v>
      </x:c>
      <x:c r="J337" s="9" t="n">
        <x:v>51.498999999999995</x:v>
      </x:c>
      <x:c r="K337" s="2" t="n">
        <x:v>8</x:v>
      </x:c>
      <x:c r="L337" s="2" t="str">
        <x:v>Valid</x:v>
      </x:c>
      <x:c r="M337" s="2" t="str">
        <x:v>QR</x:v>
      </x:c>
      <x:c r="N337" s="2" t="n">
        <x:v>1</x:v>
      </x:c>
      <x:c r="O337" s="2" t="str">
        <x:v>Accepted</x:v>
      </x:c>
      <x:c r="P337" s="2" t="str">
        <x:v>S002</x:v>
      </x:c>
      <x:c r="Q337" s="2" t="str">
        <x:v>DEV002</x:v>
      </x:c>
      <x:c r="R337" s="2" t="n">
        <x:v>13</x:v>
      </x:c>
      <x:c r="S337" s="2" t="str">
        <x:v>Online</x:v>
      </x:c>
      <x:c r="T337" s="2" t="str">
        <x:v>Synced</x:v>
      </x:c>
    </x:row>
    <x:row r="338" ht="21" customHeight="1">
      <x:c r="A338" s="2" t="str">
        <x:v>EV000436</x:v>
      </x:c>
      <x:c r="B338" s="2" t="str">
        <x:v>T20261004-3-3</x:v>
      </x:c>
      <x:c r="C338" s="2" t="str">
        <x:v>ST099</x:v>
      </x:c>
      <x:c r="D338" s="2" t="str">
        <x:v>46d20c66394c55b68e36e5335452d87c</x:v>
      </x:c>
      <x:c r="E338" s="2" t="str">
        <x:v>CHECK_OUT</x:v>
      </x:c>
      <x:c r="F338" s="8" t="n">
        <x:v>46299.58638888889</x:v>
      </x:c>
      <x:c r="G338" s="8" t="n">
        <x:v>46299.58641203704</x:v>
      </x:c>
      <x:c r="H338" s="2" t="str">
        <x:v>R3S1</x:v>
      </x:c>
      <x:c r="I338" s="9" t="n">
        <x:v>25.289</x:v>
      </x:c>
      <x:c r="J338" s="9" t="n">
        <x:v>51.507</x:v>
      </x:c>
      <x:c r="K338" s="2" t="n">
        <x:v>8</x:v>
      </x:c>
      <x:c r="L338" s="2" t="str">
        <x:v>Valid</x:v>
      </x:c>
      <x:c r="M338" s="2" t="str">
        <x:v>QR</x:v>
      </x:c>
      <x:c r="N338" s="2" t="n">
        <x:v>1</x:v>
      </x:c>
      <x:c r="O338" s="2" t="str">
        <x:v>Accepted</x:v>
      </x:c>
      <x:c r="P338" s="2" t="str">
        <x:v>S003</x:v>
      </x:c>
      <x:c r="Q338" s="2" t="str">
        <x:v>DEV003</x:v>
      </x:c>
      <x:c r="R338" s="2" t="n">
        <x:v>13</x:v>
      </x:c>
      <x:c r="S338" s="2" t="str">
        <x:v>Online</x:v>
      </x:c>
      <x:c r="T338" s="2" t="str">
        <x:v>Synced</x:v>
      </x:c>
    </x:row>
    <x:row r="339" ht="21" customHeight="1">
      <x:c r="A339" s="2" t="str">
        <x:v>EV000100</x:v>
      </x:c>
      <x:c r="B339" s="2" t="str">
        <x:v>T20261004-3-1</x:v>
      </x:c>
      <x:c r="C339" s="2" t="str">
        <x:v>ST011</x:v>
      </x:c>
      <x:c r="D339" s="2" t="str">
        <x:v>38c917effc7ec45ac750455eb7892f3e</x:v>
      </x:c>
      <x:c r="E339" s="2" t="str">
        <x:v>CHECK_OUT</x:v>
      </x:c>
      <x:c r="F339" s="8" t="n">
        <x:v>46299.59027777778</x:v>
      </x:c>
      <x:c r="G339" s="8" t="n">
        <x:v>46299.59030092593</x:v>
      </x:c>
      <x:c r="H339" s="2" t="str">
        <x:v>R1S2</x:v>
      </x:c>
      <x:c r="I339" s="9" t="n">
        <x:v>25.273000000000003</x:v>
      </x:c>
      <x:c r="J339" s="9" t="n">
        <x:v>51.494</x:v>
      </x:c>
      <x:c r="K339" s="2" t="n">
        <x:v>8</x:v>
      </x:c>
      <x:c r="L339" s="2" t="str">
        <x:v>Valid</x:v>
      </x:c>
      <x:c r="M339" s="2" t="str">
        <x:v>QR</x:v>
      </x:c>
      <x:c r="N339" s="2" t="n">
        <x:v>1</x:v>
      </x:c>
      <x:c r="O339" s="2" t="str">
        <x:v>Accepted</x:v>
      </x:c>
      <x:c r="P339" s="2" t="str">
        <x:v>S001</x:v>
      </x:c>
      <x:c r="Q339" s="2" t="str">
        <x:v>DEV001</x:v>
      </x:c>
      <x:c r="R339" s="2" t="n">
        <x:v>14</x:v>
      </x:c>
      <x:c r="S339" s="2" t="str">
        <x:v>Online</x:v>
      </x:c>
      <x:c r="T339" s="2" t="str">
        <x:v>Synced</x:v>
      </x:c>
    </x:row>
    <x:row r="340" ht="21" customHeight="1">
      <x:c r="A340" s="2" t="str">
        <x:v>EV000260</x:v>
      </x:c>
      <x:c r="B340" s="2" t="str">
        <x:v>T20261004-3-2</x:v>
      </x:c>
      <x:c r="C340" s="2" t="str">
        <x:v>ST051</x:v>
      </x:c>
      <x:c r="D340" s="2" t="str">
        <x:v>410a66d29aea7be5806f7d6945266303</x:v>
      </x:c>
      <x:c r="E340" s="2" t="str">
        <x:v>CHECK_OUT</x:v>
      </x:c>
      <x:c r="F340" s="8" t="n">
        <x:v>46299.59027777778</x:v>
      </x:c>
      <x:c r="G340" s="8" t="n">
        <x:v>46299.59030092593</x:v>
      </x:c>
      <x:c r="H340" s="2" t="str">
        <x:v>R2S2</x:v>
      </x:c>
      <x:c r="I340" s="9" t="n">
        <x:v>25.282000000000004</x:v>
      </x:c>
      <x:c r="J340" s="9" t="n">
        <x:v>51.501999999999995</x:v>
      </x:c>
      <x:c r="K340" s="2" t="n">
        <x:v>8</x:v>
      </x:c>
      <x:c r="L340" s="2" t="str">
        <x:v>Valid</x:v>
      </x:c>
      <x:c r="M340" s="2" t="str">
        <x:v>QR</x:v>
      </x:c>
      <x:c r="N340" s="2" t="n">
        <x:v>1</x:v>
      </x:c>
      <x:c r="O340" s="2" t="str">
        <x:v>Accepted</x:v>
      </x:c>
      <x:c r="P340" s="2" t="str">
        <x:v>S002</x:v>
      </x:c>
      <x:c r="Q340" s="2" t="str">
        <x:v>DEV002</x:v>
      </x:c>
      <x:c r="R340" s="2" t="n">
        <x:v>14</x:v>
      </x:c>
      <x:c r="S340" s="2" t="str">
        <x:v>Online</x:v>
      </x:c>
      <x:c r="T340" s="2" t="str">
        <x:v>Synced</x:v>
      </x:c>
    </x:row>
    <x:row r="341" ht="21" customHeight="1">
      <x:c r="A341" s="2" t="str">
        <x:v>EV000420</x:v>
      </x:c>
      <x:c r="B341" s="2" t="str">
        <x:v>T20261004-3-3</x:v>
      </x:c>
      <x:c r="C341" s="2" t="str">
        <x:v>ST091</x:v>
      </x:c>
      <x:c r="D341" s="2" t="str">
        <x:v>2d74afc7329a1eb53bd16a92fc366891</x:v>
      </x:c>
      <x:c r="E341" s="2" t="str">
        <x:v>CHECK_OUT</x:v>
      </x:c>
      <x:c r="F341" s="8" t="n">
        <x:v>46299.59027777778</x:v>
      </x:c>
      <x:c r="G341" s="8" t="n">
        <x:v>46299.59030092593</x:v>
      </x:c>
      <x:c r="H341" s="2" t="str">
        <x:v>R3S2</x:v>
      </x:c>
      <x:c r="I341" s="9" t="n">
        <x:v>25.291000000000004</x:v>
      </x:c>
      <x:c r="J341" s="9" t="n">
        <x:v>51.51</x:v>
      </x:c>
      <x:c r="K341" s="2" t="n">
        <x:v>8</x:v>
      </x:c>
      <x:c r="L341" s="2" t="str">
        <x:v>Valid</x:v>
      </x:c>
      <x:c r="M341" s="2" t="str">
        <x:v>QR</x:v>
      </x:c>
      <x:c r="N341" s="2" t="n">
        <x:v>1</x:v>
      </x:c>
      <x:c r="O341" s="2" t="str">
        <x:v>Accepted</x:v>
      </x:c>
      <x:c r="P341" s="2" t="str">
        <x:v>S003</x:v>
      </x:c>
      <x:c r="Q341" s="2" t="str">
        <x:v>DEV003</x:v>
      </x:c>
      <x:c r="R341" s="2" t="n">
        <x:v>14</x:v>
      </x:c>
      <x:c r="S341" s="2" t="str">
        <x:v>Online</x:v>
      </x:c>
      <x:c r="T341" s="2" t="str">
        <x:v>Synced</x:v>
      </x:c>
    </x:row>
    <x:row r="342" ht="21" customHeight="1">
      <x:c r="A342" s="2" t="str">
        <x:v>EV000106</x:v>
      </x:c>
      <x:c r="B342" s="2" t="str">
        <x:v>T20261004-3-1</x:v>
      </x:c>
      <x:c r="C342" s="2" t="str">
        <x:v>ST014</x:v>
      </x:c>
      <x:c r="D342" s="2" t="str">
        <x:v>6ea4b25306143e251962ae19fa8ee7af</x:v>
      </x:c>
      <x:c r="E342" s="2" t="str">
        <x:v>CHECK_OUT</x:v>
      </x:c>
      <x:c r="F342" s="8" t="n">
        <x:v>46299.59038194445</x:v>
      </x:c>
      <x:c r="G342" s="8" t="n">
        <x:v>46299.5904050926</x:v>
      </x:c>
      <x:c r="H342" s="2" t="str">
        <x:v>R1S2</x:v>
      </x:c>
      <x:c r="I342" s="9" t="n">
        <x:v>25.273000000000003</x:v>
      </x:c>
      <x:c r="J342" s="9" t="n">
        <x:v>51.494</x:v>
      </x:c>
      <x:c r="K342" s="2" t="n">
        <x:v>8</x:v>
      </x:c>
      <x:c r="L342" s="2" t="str">
        <x:v>Valid</x:v>
      </x:c>
      <x:c r="M342" s="2" t="str">
        <x:v>QR</x:v>
      </x:c>
      <x:c r="N342" s="2" t="n">
        <x:v>1</x:v>
      </x:c>
      <x:c r="O342" s="2" t="str">
        <x:v>Accepted</x:v>
      </x:c>
      <x:c r="P342" s="2" t="str">
        <x:v>S001</x:v>
      </x:c>
      <x:c r="Q342" s="2" t="str">
        <x:v>DEV001</x:v>
      </x:c>
      <x:c r="R342" s="2" t="n">
        <x:v>15</x:v>
      </x:c>
      <x:c r="S342" s="2" t="str">
        <x:v>Online</x:v>
      </x:c>
      <x:c r="T342" s="2" t="str">
        <x:v>Synced</x:v>
      </x:c>
    </x:row>
    <x:row r="343" ht="21" customHeight="1">
      <x:c r="A343" s="2" t="str">
        <x:v>EV000266</x:v>
      </x:c>
      <x:c r="B343" s="2" t="str">
        <x:v>T20261004-3-2</x:v>
      </x:c>
      <x:c r="C343" s="2" t="str">
        <x:v>ST054</x:v>
      </x:c>
      <x:c r="D343" s="2" t="str">
        <x:v>1c9a916db52e081aeb59bc928cb914dd</x:v>
      </x:c>
      <x:c r="E343" s="2" t="str">
        <x:v>CHECK_OUT</x:v>
      </x:c>
      <x:c r="F343" s="8" t="n">
        <x:v>46299.59038194445</x:v>
      </x:c>
      <x:c r="G343" s="8" t="n">
        <x:v>46299.5904050926</x:v>
      </x:c>
      <x:c r="H343" s="2" t="str">
        <x:v>R2S2</x:v>
      </x:c>
      <x:c r="I343" s="9" t="n">
        <x:v>25.282000000000004</x:v>
      </x:c>
      <x:c r="J343" s="9" t="n">
        <x:v>51.501999999999995</x:v>
      </x:c>
      <x:c r="K343" s="2" t="n">
        <x:v>8</x:v>
      </x:c>
      <x:c r="L343" s="2" t="str">
        <x:v>Valid</x:v>
      </x:c>
      <x:c r="M343" s="2" t="str">
        <x:v>QR</x:v>
      </x:c>
      <x:c r="N343" s="2" t="n">
        <x:v>1</x:v>
      </x:c>
      <x:c r="O343" s="2" t="str">
        <x:v>Accepted</x:v>
      </x:c>
      <x:c r="P343" s="2" t="str">
        <x:v>S002</x:v>
      </x:c>
      <x:c r="Q343" s="2" t="str">
        <x:v>DEV002</x:v>
      </x:c>
      <x:c r="R343" s="2" t="n">
        <x:v>15</x:v>
      </x:c>
      <x:c r="S343" s="2" t="str">
        <x:v>Online</x:v>
      </x:c>
      <x:c r="T343" s="2" t="str">
        <x:v>Synced</x:v>
      </x:c>
    </x:row>
    <x:row r="344" ht="21" customHeight="1">
      <x:c r="A344" s="2" t="str">
        <x:v>EV000426</x:v>
      </x:c>
      <x:c r="B344" s="2" t="str">
        <x:v>T20261004-3-3</x:v>
      </x:c>
      <x:c r="C344" s="2" t="str">
        <x:v>ST094</x:v>
      </x:c>
      <x:c r="D344" s="2" t="str">
        <x:v>b6fd37c188877a378c496dccb3132cf2</x:v>
      </x:c>
      <x:c r="E344" s="2" t="str">
        <x:v>CHECK_OUT</x:v>
      </x:c>
      <x:c r="F344" s="8" t="n">
        <x:v>46299.59038194445</x:v>
      </x:c>
      <x:c r="G344" s="8" t="n">
        <x:v>46299.5904050926</x:v>
      </x:c>
      <x:c r="H344" s="2" t="str">
        <x:v>R3S2</x:v>
      </x:c>
      <x:c r="I344" s="9" t="n">
        <x:v>25.291000000000004</x:v>
      </x:c>
      <x:c r="J344" s="9" t="n">
        <x:v>51.51</x:v>
      </x:c>
      <x:c r="K344" s="2" t="n">
        <x:v>8</x:v>
      </x:c>
      <x:c r="L344" s="2" t="str">
        <x:v>Valid</x:v>
      </x:c>
      <x:c r="M344" s="2" t="str">
        <x:v>QR</x:v>
      </x:c>
      <x:c r="N344" s="2" t="n">
        <x:v>1</x:v>
      </x:c>
      <x:c r="O344" s="2" t="str">
        <x:v>Accepted</x:v>
      </x:c>
      <x:c r="P344" s="2" t="str">
        <x:v>S003</x:v>
      </x:c>
      <x:c r="Q344" s="2" t="str">
        <x:v>DEV003</x:v>
      </x:c>
      <x:c r="R344" s="2" t="n">
        <x:v>15</x:v>
      </x:c>
      <x:c r="S344" s="2" t="str">
        <x:v>Online</x:v>
      </x:c>
      <x:c r="T344" s="2" t="str">
        <x:v>Synced</x:v>
      </x:c>
    </x:row>
    <x:row r="345" ht="21" customHeight="1">
      <x:c r="A345" s="2" t="str">
        <x:v>EV000112</x:v>
      </x:c>
      <x:c r="B345" s="2" t="str">
        <x:v>T20261004-3-1</x:v>
      </x:c>
      <x:c r="C345" s="2" t="str">
        <x:v>ST017</x:v>
      </x:c>
      <x:c r="D345" s="2" t="str">
        <x:v>ea6159d457322f2456f4cadd6b3d659f</x:v>
      </x:c>
      <x:c r="E345" s="2" t="str">
        <x:v>CHECK_OUT</x:v>
      </x:c>
      <x:c r="F345" s="8" t="n">
        <x:v>46299.59048611111</x:v>
      </x:c>
      <x:c r="G345" s="8" t="n">
        <x:v>46299.59050925926</x:v>
      </x:c>
      <x:c r="H345" s="2" t="str">
        <x:v>R1S2</x:v>
      </x:c>
      <x:c r="I345" s="9" t="n">
        <x:v>25.273000000000003</x:v>
      </x:c>
      <x:c r="J345" s="9" t="n">
        <x:v>51.494</x:v>
      </x:c>
      <x:c r="K345" s="2" t="n">
        <x:v>8</x:v>
      </x:c>
      <x:c r="L345" s="2" t="str">
        <x:v>Valid</x:v>
      </x:c>
      <x:c r="M345" s="2" t="str">
        <x:v>QR</x:v>
      </x:c>
      <x:c r="N345" s="2" t="n">
        <x:v>1</x:v>
      </x:c>
      <x:c r="O345" s="2" t="str">
        <x:v>Accepted</x:v>
      </x:c>
      <x:c r="P345" s="2" t="str">
        <x:v>S001</x:v>
      </x:c>
      <x:c r="Q345" s="2" t="str">
        <x:v>DEV001</x:v>
      </x:c>
      <x:c r="R345" s="2" t="n">
        <x:v>16</x:v>
      </x:c>
      <x:c r="S345" s="2" t="str">
        <x:v>Online</x:v>
      </x:c>
      <x:c r="T345" s="2" t="str">
        <x:v>Synced</x:v>
      </x:c>
    </x:row>
    <x:row r="346" ht="21" customHeight="1">
      <x:c r="A346" s="2" t="str">
        <x:v>EV000272</x:v>
      </x:c>
      <x:c r="B346" s="2" t="str">
        <x:v>T20261004-3-2</x:v>
      </x:c>
      <x:c r="C346" s="2" t="str">
        <x:v>ST057</x:v>
      </x:c>
      <x:c r="D346" s="2" t="str">
        <x:v>68d992c7418727808ad27d2e5ee9b88d</x:v>
      </x:c>
      <x:c r="E346" s="2" t="str">
        <x:v>CHECK_OUT</x:v>
      </x:c>
      <x:c r="F346" s="8" t="n">
        <x:v>46299.59048611111</x:v>
      </x:c>
      <x:c r="G346" s="8" t="n">
        <x:v>46299.59050925926</x:v>
      </x:c>
      <x:c r="H346" s="2" t="str">
        <x:v>R2S2</x:v>
      </x:c>
      <x:c r="I346" s="9" t="n">
        <x:v>25.282000000000004</x:v>
      </x:c>
      <x:c r="J346" s="9" t="n">
        <x:v>51.501999999999995</x:v>
      </x:c>
      <x:c r="K346" s="2" t="n">
        <x:v>8</x:v>
      </x:c>
      <x:c r="L346" s="2" t="str">
        <x:v>Valid</x:v>
      </x:c>
      <x:c r="M346" s="2" t="str">
        <x:v>QR</x:v>
      </x:c>
      <x:c r="N346" s="2" t="n">
        <x:v>1</x:v>
      </x:c>
      <x:c r="O346" s="2" t="str">
        <x:v>Accepted</x:v>
      </x:c>
      <x:c r="P346" s="2" t="str">
        <x:v>S002</x:v>
      </x:c>
      <x:c r="Q346" s="2" t="str">
        <x:v>DEV002</x:v>
      </x:c>
      <x:c r="R346" s="2" t="n">
        <x:v>16</x:v>
      </x:c>
      <x:c r="S346" s="2" t="str">
        <x:v>Online</x:v>
      </x:c>
      <x:c r="T346" s="2" t="str">
        <x:v>Synced</x:v>
      </x:c>
    </x:row>
    <x:row r="347" ht="21" customHeight="1">
      <x:c r="A347" s="2" t="str">
        <x:v>EV000432</x:v>
      </x:c>
      <x:c r="B347" s="2" t="str">
        <x:v>T20261004-3-3</x:v>
      </x:c>
      <x:c r="C347" s="2" t="str">
        <x:v>ST097</x:v>
      </x:c>
      <x:c r="D347" s="2" t="str">
        <x:v>0ccbf8d08569df9dde2207b8d5616d1e</x:v>
      </x:c>
      <x:c r="E347" s="2" t="str">
        <x:v>CHECK_OUT</x:v>
      </x:c>
      <x:c r="F347" s="8" t="n">
        <x:v>46299.59048611111</x:v>
      </x:c>
      <x:c r="G347" s="8" t="n">
        <x:v>46299.59050925926</x:v>
      </x:c>
      <x:c r="H347" s="2" t="str">
        <x:v>R3S2</x:v>
      </x:c>
      <x:c r="I347" s="9" t="n">
        <x:v>25.291000000000004</x:v>
      </x:c>
      <x:c r="J347" s="9" t="n">
        <x:v>51.51</x:v>
      </x:c>
      <x:c r="K347" s="2" t="n">
        <x:v>8</x:v>
      </x:c>
      <x:c r="L347" s="2" t="str">
        <x:v>Valid</x:v>
      </x:c>
      <x:c r="M347" s="2" t="str">
        <x:v>QR</x:v>
      </x:c>
      <x:c r="N347" s="2" t="n">
        <x:v>1</x:v>
      </x:c>
      <x:c r="O347" s="2" t="str">
        <x:v>Accepted</x:v>
      </x:c>
      <x:c r="P347" s="2" t="str">
        <x:v>S003</x:v>
      </x:c>
      <x:c r="Q347" s="2" t="str">
        <x:v>DEV003</x:v>
      </x:c>
      <x:c r="R347" s="2" t="n">
        <x:v>16</x:v>
      </x:c>
      <x:c r="S347" s="2" t="str">
        <x:v>Online</x:v>
      </x:c>
      <x:c r="T347" s="2" t="str">
        <x:v>Synced</x:v>
      </x:c>
    </x:row>
    <x:row r="348" ht="21" customHeight="1">
      <x:c r="A348" s="2" t="str">
        <x:v>EV000118</x:v>
      </x:c>
      <x:c r="B348" s="2" t="str">
        <x:v>T20261004-3-1</x:v>
      </x:c>
      <x:c r="C348" s="2" t="str">
        <x:v>ST020</x:v>
      </x:c>
      <x:c r="D348" s="2" t="str">
        <x:v>9f8daa9030f9f7599cd24e056935ab8d</x:v>
      </x:c>
      <x:c r="E348" s="2" t="str">
        <x:v>CHECK_OUT</x:v>
      </x:c>
      <x:c r="F348" s="8" t="n">
        <x:v>46299.59059027778</x:v>
      </x:c>
      <x:c r="G348" s="8" t="n">
        <x:v>46299.59061342593</x:v>
      </x:c>
      <x:c r="H348" s="2" t="str">
        <x:v>R1S2</x:v>
      </x:c>
      <x:c r="I348" s="9" t="n">
        <x:v>25.273000000000003</x:v>
      </x:c>
      <x:c r="J348" s="9" t="n">
        <x:v>51.494</x:v>
      </x:c>
      <x:c r="K348" s="2" t="n">
        <x:v>8</x:v>
      </x:c>
      <x:c r="L348" s="2" t="str">
        <x:v>Valid</x:v>
      </x:c>
      <x:c r="M348" s="2" t="str">
        <x:v>QR</x:v>
      </x:c>
      <x:c r="N348" s="2" t="n">
        <x:v>1</x:v>
      </x:c>
      <x:c r="O348" s="2" t="str">
        <x:v>Accepted</x:v>
      </x:c>
      <x:c r="P348" s="2" t="str">
        <x:v>S001</x:v>
      </x:c>
      <x:c r="Q348" s="2" t="str">
        <x:v>DEV001</x:v>
      </x:c>
      <x:c r="R348" s="2" t="n">
        <x:v>17</x:v>
      </x:c>
      <x:c r="S348" s="2" t="str">
        <x:v>Online</x:v>
      </x:c>
      <x:c r="T348" s="2" t="str">
        <x:v>Synced</x:v>
      </x:c>
    </x:row>
    <x:row r="349" ht="21" customHeight="1">
      <x:c r="A349" s="2" t="str">
        <x:v>EV000278</x:v>
      </x:c>
      <x:c r="B349" s="2" t="str">
        <x:v>T20261004-3-2</x:v>
      </x:c>
      <x:c r="C349" s="2" t="str">
        <x:v>ST060</x:v>
      </x:c>
      <x:c r="D349" s="2" t="str">
        <x:v>a424ea3d9a5cb1c08037457e61cef61f</x:v>
      </x:c>
      <x:c r="E349" s="2" t="str">
        <x:v>CHECK_OUT</x:v>
      </x:c>
      <x:c r="F349" s="8" t="n">
        <x:v>46299.59059027778</x:v>
      </x:c>
      <x:c r="G349" s="8" t="n">
        <x:v>46299.59061342593</x:v>
      </x:c>
      <x:c r="H349" s="2" t="str">
        <x:v>R2S2</x:v>
      </x:c>
      <x:c r="I349" s="9" t="n">
        <x:v>25.282000000000004</x:v>
      </x:c>
      <x:c r="J349" s="9" t="n">
        <x:v>51.501999999999995</x:v>
      </x:c>
      <x:c r="K349" s="2" t="n">
        <x:v>8</x:v>
      </x:c>
      <x:c r="L349" s="2" t="str">
        <x:v>Valid</x:v>
      </x:c>
      <x:c r="M349" s="2" t="str">
        <x:v>QR</x:v>
      </x:c>
      <x:c r="N349" s="2" t="n">
        <x:v>1</x:v>
      </x:c>
      <x:c r="O349" s="2" t="str">
        <x:v>Accepted</x:v>
      </x:c>
      <x:c r="P349" s="2" t="str">
        <x:v>S002</x:v>
      </x:c>
      <x:c r="Q349" s="2" t="str">
        <x:v>DEV002</x:v>
      </x:c>
      <x:c r="R349" s="2" t="n">
        <x:v>17</x:v>
      </x:c>
      <x:c r="S349" s="2" t="str">
        <x:v>Online</x:v>
      </x:c>
      <x:c r="T349" s="2" t="str">
        <x:v>Synced</x:v>
      </x:c>
    </x:row>
    <x:row r="350" ht="21" customHeight="1">
      <x:c r="A350" s="2" t="str">
        <x:v>EV000438</x:v>
      </x:c>
      <x:c r="B350" s="2" t="str">
        <x:v>T20261004-3-3</x:v>
      </x:c>
      <x:c r="C350" s="2" t="str">
        <x:v>ST100</x:v>
      </x:c>
      <x:c r="D350" s="2" t="str">
        <x:v>6ba3ddf298bc4515d195454c1e81d9d6</x:v>
      </x:c>
      <x:c r="E350" s="2" t="str">
        <x:v>CHECK_OUT</x:v>
      </x:c>
      <x:c r="F350" s="8" t="n">
        <x:v>46299.59059027778</x:v>
      </x:c>
      <x:c r="G350" s="8" t="n">
        <x:v>46299.59061342593</x:v>
      </x:c>
      <x:c r="H350" s="2" t="str">
        <x:v>R3S2</x:v>
      </x:c>
      <x:c r="I350" s="9" t="n">
        <x:v>25.291000000000004</x:v>
      </x:c>
      <x:c r="J350" s="9" t="n">
        <x:v>51.51</x:v>
      </x:c>
      <x:c r="K350" s="2" t="n">
        <x:v>8</x:v>
      </x:c>
      <x:c r="L350" s="2" t="str">
        <x:v>Valid</x:v>
      </x:c>
      <x:c r="M350" s="2" t="str">
        <x:v>QR</x:v>
      </x:c>
      <x:c r="N350" s="2" t="n">
        <x:v>1</x:v>
      </x:c>
      <x:c r="O350" s="2" t="str">
        <x:v>Accepted</x:v>
      </x:c>
      <x:c r="P350" s="2" t="str">
        <x:v>S003</x:v>
      </x:c>
      <x:c r="Q350" s="2" t="str">
        <x:v>DEV003</x:v>
      </x:c>
      <x:c r="R350" s="2" t="n">
        <x:v>17</x:v>
      </x:c>
      <x:c r="S350" s="2" t="str">
        <x:v>Online</x:v>
      </x:c>
      <x:c r="T350" s="2" t="str">
        <x:v>Synced</x:v>
      </x:c>
    </x:row>
    <x:row r="351" ht="21" customHeight="1">
      <x:c r="A351" s="2" t="str">
        <x:v>EV000102</x:v>
      </x:c>
      <x:c r="B351" s="2" t="str">
        <x:v>T20261004-3-1</x:v>
      </x:c>
      <x:c r="C351" s="2" t="str">
        <x:v>ST012</x:v>
      </x:c>
      <x:c r="D351" s="2" t="str">
        <x:v>8d45a06a93234042b630e18d7821ea23</x:v>
      </x:c>
      <x:c r="E351" s="2" t="str">
        <x:v>CHECK_OUT</x:v>
      </x:c>
      <x:c r="F351" s="8" t="n">
        <x:v>46299.59447916667</x:v>
      </x:c>
      <x:c r="G351" s="8" t="n">
        <x:v>46299.594502314816</x:v>
      </x:c>
      <x:c r="H351" s="2" t="str">
        <x:v>R1S3</x:v>
      </x:c>
      <x:c r="I351" s="9" t="n">
        <x:v>25.275000000000002</x:v>
      </x:c>
      <x:c r="J351" s="9" t="n">
        <x:v>51.497</x:v>
      </x:c>
      <x:c r="K351" s="2" t="n">
        <x:v>8</x:v>
      </x:c>
      <x:c r="L351" s="2" t="str">
        <x:v>Valid</x:v>
      </x:c>
      <x:c r="M351" s="2" t="str">
        <x:v>QR</x:v>
      </x:c>
      <x:c r="N351" s="2" t="n">
        <x:v>1</x:v>
      </x:c>
      <x:c r="O351" s="2" t="str">
        <x:v>Accepted</x:v>
      </x:c>
      <x:c r="P351" s="2" t="str">
        <x:v>S001</x:v>
      </x:c>
      <x:c r="Q351" s="2" t="str">
        <x:v>DEV001</x:v>
      </x:c>
      <x:c r="R351" s="2" t="n">
        <x:v>18</x:v>
      </x:c>
      <x:c r="S351" s="2" t="str">
        <x:v>Online</x:v>
      </x:c>
      <x:c r="T351" s="2" t="str">
        <x:v>Synced</x:v>
      </x:c>
    </x:row>
    <x:row r="352" ht="21" customHeight="1">
      <x:c r="A352" s="2" t="str">
        <x:v>EV000262</x:v>
      </x:c>
      <x:c r="B352" s="2" t="str">
        <x:v>T20261004-3-2</x:v>
      </x:c>
      <x:c r="C352" s="2" t="str">
        <x:v>ST052</x:v>
      </x:c>
      <x:c r="D352" s="2" t="str">
        <x:v>0c1c5957fe0604ae228ff5e1e1a785bc</x:v>
      </x:c>
      <x:c r="E352" s="2" t="str">
        <x:v>CHECK_OUT</x:v>
      </x:c>
      <x:c r="F352" s="8" t="n">
        <x:v>46299.59447916667</x:v>
      </x:c>
      <x:c r="G352" s="8" t="n">
        <x:v>46299.594502314816</x:v>
      </x:c>
      <x:c r="H352" s="2" t="str">
        <x:v>R2S3</x:v>
      </x:c>
      <x:c r="I352" s="9" t="n">
        <x:v>25.284000000000002</x:v>
      </x:c>
      <x:c r="J352" s="9" t="n">
        <x:v>51.504999999999995</x:v>
      </x:c>
      <x:c r="K352" s="2" t="n">
        <x:v>8</x:v>
      </x:c>
      <x:c r="L352" s="2" t="str">
        <x:v>Valid</x:v>
      </x:c>
      <x:c r="M352" s="2" t="str">
        <x:v>QR</x:v>
      </x:c>
      <x:c r="N352" s="2" t="n">
        <x:v>1</x:v>
      </x:c>
      <x:c r="O352" s="2" t="str">
        <x:v>Accepted</x:v>
      </x:c>
      <x:c r="P352" s="2" t="str">
        <x:v>S002</x:v>
      </x:c>
      <x:c r="Q352" s="2" t="str">
        <x:v>DEV002</x:v>
      </x:c>
      <x:c r="R352" s="2" t="n">
        <x:v>18</x:v>
      </x:c>
      <x:c r="S352" s="2" t="str">
        <x:v>Online</x:v>
      </x:c>
      <x:c r="T352" s="2" t="str">
        <x:v>Synced</x:v>
      </x:c>
    </x:row>
    <x:row r="353" ht="21" customHeight="1">
      <x:c r="A353" s="2" t="str">
        <x:v>EV000422</x:v>
      </x:c>
      <x:c r="B353" s="2" t="str">
        <x:v>T20261004-3-3</x:v>
      </x:c>
      <x:c r="C353" s="2" t="str">
        <x:v>ST092</x:v>
      </x:c>
      <x:c r="D353" s="2" t="str">
        <x:v>e83e93b137787f284ae9574a02ff0cc7</x:v>
      </x:c>
      <x:c r="E353" s="2" t="str">
        <x:v>CHECK_OUT</x:v>
      </x:c>
      <x:c r="F353" s="8" t="n">
        <x:v>46299.59447916667</x:v>
      </x:c>
      <x:c r="G353" s="8" t="n">
        <x:v>46299.594502314816</x:v>
      </x:c>
      <x:c r="H353" s="2" t="str">
        <x:v>R3S3</x:v>
      </x:c>
      <x:c r="I353" s="9" t="n">
        <x:v>25.293000000000003</x:v>
      </x:c>
      <x:c r="J353" s="9" t="n">
        <x:v>51.513</x:v>
      </x:c>
      <x:c r="K353" s="2" t="n">
        <x:v>8</x:v>
      </x:c>
      <x:c r="L353" s="2" t="str">
        <x:v>Valid</x:v>
      </x:c>
      <x:c r="M353" s="2" t="str">
        <x:v>QR</x:v>
      </x:c>
      <x:c r="N353" s="2" t="n">
        <x:v>1</x:v>
      </x:c>
      <x:c r="O353" s="2" t="str">
        <x:v>Accepted</x:v>
      </x:c>
      <x:c r="P353" s="2" t="str">
        <x:v>S003</x:v>
      </x:c>
      <x:c r="Q353" s="2" t="str">
        <x:v>DEV003</x:v>
      </x:c>
      <x:c r="R353" s="2" t="n">
        <x:v>18</x:v>
      </x:c>
      <x:c r="S353" s="2" t="str">
        <x:v>Online</x:v>
      </x:c>
      <x:c r="T353" s="2" t="str">
        <x:v>Synced</x:v>
      </x:c>
    </x:row>
    <x:row r="354" ht="21" customHeight="1">
      <x:c r="A354" s="2" t="str">
        <x:v>EV000108</x:v>
      </x:c>
      <x:c r="B354" s="2" t="str">
        <x:v>T20261004-3-1</x:v>
      </x:c>
      <x:c r="C354" s="2" t="str">
        <x:v>ST015</x:v>
      </x:c>
      <x:c r="D354" s="2" t="str">
        <x:v>997c76227e9b12bdccc68d0d53a8d1df</x:v>
      </x:c>
      <x:c r="E354" s="2" t="str">
        <x:v>CHECK_OUT</x:v>
      </x:c>
      <x:c r="F354" s="8" t="n">
        <x:v>46299.59458333334</x:v>
      </x:c>
      <x:c r="G354" s="8" t="n">
        <x:v>46299.594606481485</x:v>
      </x:c>
      <x:c r="H354" s="2" t="str">
        <x:v>R1S3</x:v>
      </x:c>
      <x:c r="I354" s="9" t="n">
        <x:v>25.275000000000002</x:v>
      </x:c>
      <x:c r="J354" s="9" t="n">
        <x:v>51.497</x:v>
      </x:c>
      <x:c r="K354" s="2" t="n">
        <x:v>8</x:v>
      </x:c>
      <x:c r="L354" s="2" t="str">
        <x:v>Valid</x:v>
      </x:c>
      <x:c r="M354" s="2" t="str">
        <x:v>QR</x:v>
      </x:c>
      <x:c r="N354" s="2" t="n">
        <x:v>1</x:v>
      </x:c>
      <x:c r="O354" s="2" t="str">
        <x:v>Accepted</x:v>
      </x:c>
      <x:c r="P354" s="2" t="str">
        <x:v>S001</x:v>
      </x:c>
      <x:c r="Q354" s="2" t="str">
        <x:v>DEV001</x:v>
      </x:c>
      <x:c r="R354" s="2" t="n">
        <x:v>19</x:v>
      </x:c>
      <x:c r="S354" s="2" t="str">
        <x:v>Online</x:v>
      </x:c>
      <x:c r="T354" s="2" t="str">
        <x:v>Synced</x:v>
      </x:c>
    </x:row>
    <x:row r="355" ht="21" customHeight="1">
      <x:c r="A355" s="2" t="str">
        <x:v>EV000268</x:v>
      </x:c>
      <x:c r="B355" s="2" t="str">
        <x:v>T20261004-3-2</x:v>
      </x:c>
      <x:c r="C355" s="2" t="str">
        <x:v>ST055</x:v>
      </x:c>
      <x:c r="D355" s="2" t="str">
        <x:v>e796258b9306e2b3efab77a21add36a5</x:v>
      </x:c>
      <x:c r="E355" s="2" t="str">
        <x:v>CHECK_OUT</x:v>
      </x:c>
      <x:c r="F355" s="8" t="n">
        <x:v>46299.59458333334</x:v>
      </x:c>
      <x:c r="G355" s="8" t="n">
        <x:v>46299.594606481485</x:v>
      </x:c>
      <x:c r="H355" s="2" t="str">
        <x:v>R2S3</x:v>
      </x:c>
      <x:c r="I355" s="9" t="n">
        <x:v>25.284000000000002</x:v>
      </x:c>
      <x:c r="J355" s="9" t="n">
        <x:v>51.504999999999995</x:v>
      </x:c>
      <x:c r="K355" s="2" t="n">
        <x:v>8</x:v>
      </x:c>
      <x:c r="L355" s="2" t="str">
        <x:v>Valid</x:v>
      </x:c>
      <x:c r="M355" s="2" t="str">
        <x:v>QR</x:v>
      </x:c>
      <x:c r="N355" s="2" t="n">
        <x:v>1</x:v>
      </x:c>
      <x:c r="O355" s="2" t="str">
        <x:v>Accepted</x:v>
      </x:c>
      <x:c r="P355" s="2" t="str">
        <x:v>S002</x:v>
      </x:c>
      <x:c r="Q355" s="2" t="str">
        <x:v>DEV002</x:v>
      </x:c>
      <x:c r="R355" s="2" t="n">
        <x:v>19</x:v>
      </x:c>
      <x:c r="S355" s="2" t="str">
        <x:v>Online</x:v>
      </x:c>
      <x:c r="T355" s="2" t="str">
        <x:v>Synced</x:v>
      </x:c>
    </x:row>
    <x:row r="356" ht="21" customHeight="1">
      <x:c r="A356" s="2" t="str">
        <x:v>EV000428</x:v>
      </x:c>
      <x:c r="B356" s="2" t="str">
        <x:v>T20261004-3-3</x:v>
      </x:c>
      <x:c r="C356" s="2" t="str">
        <x:v>ST095</x:v>
      </x:c>
      <x:c r="D356" s="2" t="str">
        <x:v>0935ee2c52872353d5a355eed1202dbe</x:v>
      </x:c>
      <x:c r="E356" s="2" t="str">
        <x:v>CHECK_OUT</x:v>
      </x:c>
      <x:c r="F356" s="8" t="n">
        <x:v>46299.59458333334</x:v>
      </x:c>
      <x:c r="G356" s="8" t="n">
        <x:v>46299.594606481485</x:v>
      </x:c>
      <x:c r="H356" s="2" t="str">
        <x:v>R3S3</x:v>
      </x:c>
      <x:c r="I356" s="9" t="n">
        <x:v>25.293000000000003</x:v>
      </x:c>
      <x:c r="J356" s="9" t="n">
        <x:v>51.513</x:v>
      </x:c>
      <x:c r="K356" s="2" t="n">
        <x:v>8</x:v>
      </x:c>
      <x:c r="L356" s="2" t="str">
        <x:v>Valid</x:v>
      </x:c>
      <x:c r="M356" s="2" t="str">
        <x:v>QR</x:v>
      </x:c>
      <x:c r="N356" s="2" t="n">
        <x:v>1</x:v>
      </x:c>
      <x:c r="O356" s="2" t="str">
        <x:v>Accepted</x:v>
      </x:c>
      <x:c r="P356" s="2" t="str">
        <x:v>S003</x:v>
      </x:c>
      <x:c r="Q356" s="2" t="str">
        <x:v>DEV003</x:v>
      </x:c>
      <x:c r="R356" s="2" t="n">
        <x:v>19</x:v>
      </x:c>
      <x:c r="S356" s="2" t="str">
        <x:v>Online</x:v>
      </x:c>
      <x:c r="T356" s="2" t="str">
        <x:v>Synced</x:v>
      </x:c>
    </x:row>
    <x:row r="357" ht="21" customHeight="1">
      <x:c r="A357" s="2" t="str">
        <x:v>EV000114</x:v>
      </x:c>
      <x:c r="B357" s="2" t="str">
        <x:v>T20261004-3-1</x:v>
      </x:c>
      <x:c r="C357" s="2" t="str">
        <x:v>ST018</x:v>
      </x:c>
      <x:c r="D357" s="2" t="str">
        <x:v>4c1b40081ed5c7c21b8392ee528dbe54</x:v>
      </x:c>
      <x:c r="E357" s="2" t="str">
        <x:v>CHECK_OUT</x:v>
      </x:c>
      <x:c r="F357" s="8" t="n">
        <x:v>46299.5946875</x:v>
      </x:c>
      <x:c r="G357" s="8" t="n">
        <x:v>46299.59471064815</x:v>
      </x:c>
      <x:c r="H357" s="2" t="str">
        <x:v>R1S3</x:v>
      </x:c>
      <x:c r="I357" s="9" t="n">
        <x:v>25.275000000000002</x:v>
      </x:c>
      <x:c r="J357" s="9" t="n">
        <x:v>51.497</x:v>
      </x:c>
      <x:c r="K357" s="2" t="n">
        <x:v>8</x:v>
      </x:c>
      <x:c r="L357" s="2" t="str">
        <x:v>Valid</x:v>
      </x:c>
      <x:c r="M357" s="2" t="str">
        <x:v>QR</x:v>
      </x:c>
      <x:c r="N357" s="2" t="n">
        <x:v>1</x:v>
      </x:c>
      <x:c r="O357" s="2" t="str">
        <x:v>Accepted</x:v>
      </x:c>
      <x:c r="P357" s="2" t="str">
        <x:v>S001</x:v>
      </x:c>
      <x:c r="Q357" s="2" t="str">
        <x:v>DEV001</x:v>
      </x:c>
      <x:c r="R357" s="2" t="n">
        <x:v>20</x:v>
      </x:c>
      <x:c r="S357" s="2" t="str">
        <x:v>Online</x:v>
      </x:c>
      <x:c r="T357" s="2" t="str">
        <x:v>Synced</x:v>
      </x:c>
    </x:row>
    <x:row r="358" ht="21" customHeight="1">
      <x:c r="A358" s="2" t="str">
        <x:v>EV000274</x:v>
      </x:c>
      <x:c r="B358" s="2" t="str">
        <x:v>T20261004-3-2</x:v>
      </x:c>
      <x:c r="C358" s="2" t="str">
        <x:v>ST058</x:v>
      </x:c>
      <x:c r="D358" s="2" t="str">
        <x:v>ebf7e65b57e2c8bcd02f90b1d5692596</x:v>
      </x:c>
      <x:c r="E358" s="2" t="str">
        <x:v>CHECK_OUT</x:v>
      </x:c>
      <x:c r="F358" s="8" t="n">
        <x:v>46299.5946875</x:v>
      </x:c>
      <x:c r="G358" s="8" t="n">
        <x:v>46299.59471064815</x:v>
      </x:c>
      <x:c r="H358" s="2" t="str">
        <x:v>R2S3</x:v>
      </x:c>
      <x:c r="I358" s="9" t="n">
        <x:v>25.284000000000002</x:v>
      </x:c>
      <x:c r="J358" s="9" t="n">
        <x:v>51.504999999999995</x:v>
      </x:c>
      <x:c r="K358" s="2" t="n">
        <x:v>8</x:v>
      </x:c>
      <x:c r="L358" s="2" t="str">
        <x:v>Valid</x:v>
      </x:c>
      <x:c r="M358" s="2" t="str">
        <x:v>QR</x:v>
      </x:c>
      <x:c r="N358" s="2" t="n">
        <x:v>1</x:v>
      </x:c>
      <x:c r="O358" s="2" t="str">
        <x:v>Accepted</x:v>
      </x:c>
      <x:c r="P358" s="2" t="str">
        <x:v>S002</x:v>
      </x:c>
      <x:c r="Q358" s="2" t="str">
        <x:v>DEV002</x:v>
      </x:c>
      <x:c r="R358" s="2" t="n">
        <x:v>20</x:v>
      </x:c>
      <x:c r="S358" s="2" t="str">
        <x:v>Online</x:v>
      </x:c>
      <x:c r="T358" s="2" t="str">
        <x:v>Synced</x:v>
      </x:c>
    </x:row>
    <x:row r="359" ht="21" customHeight="1">
      <x:c r="A359" s="2" t="str">
        <x:v>EV000434</x:v>
      </x:c>
      <x:c r="B359" s="2" t="str">
        <x:v>T20261004-3-3</x:v>
      </x:c>
      <x:c r="C359" s="2" t="str">
        <x:v>ST098</x:v>
      </x:c>
      <x:c r="D359" s="2" t="str">
        <x:v>4b453acdeca94f98f11a429464f7bff7</x:v>
      </x:c>
      <x:c r="E359" s="2" t="str">
        <x:v>CHECK_OUT</x:v>
      </x:c>
      <x:c r="F359" s="8" t="n">
        <x:v>46299.5946875</x:v>
      </x:c>
      <x:c r="G359" s="8" t="n">
        <x:v>46299.59471064815</x:v>
      </x:c>
      <x:c r="H359" s="2" t="str">
        <x:v>R3S3</x:v>
      </x:c>
      <x:c r="I359" s="9" t="n">
        <x:v>25.293000000000003</x:v>
      </x:c>
      <x:c r="J359" s="9" t="n">
        <x:v>51.513</x:v>
      </x:c>
      <x:c r="K359" s="2" t="n">
        <x:v>8</x:v>
      </x:c>
      <x:c r="L359" s="2" t="str">
        <x:v>Valid</x:v>
      </x:c>
      <x:c r="M359" s="2" t="str">
        <x:v>QR</x:v>
      </x:c>
      <x:c r="N359" s="2" t="n">
        <x:v>1</x:v>
      </x:c>
      <x:c r="O359" s="2" t="str">
        <x:v>Accepted</x:v>
      </x:c>
      <x:c r="P359" s="2" t="str">
        <x:v>S003</x:v>
      </x:c>
      <x:c r="Q359" s="2" t="str">
        <x:v>DEV003</x:v>
      </x:c>
      <x:c r="R359" s="2" t="n">
        <x:v>20</x:v>
      </x:c>
      <x:c r="S359" s="2" t="str">
        <x:v>Online</x:v>
      </x:c>
      <x:c r="T359" s="2" t="str">
        <x:v>Synced</x:v>
      </x:c>
    </x:row>
    <x:row r="360" ht="21" customHeight="1">
      <x:c r="A360" s="2" t="str">
        <x:v>EV000119</x:v>
      </x:c>
      <x:c r="B360" s="2" t="str">
        <x:v>T20261004-4-1</x:v>
      </x:c>
      <x:c r="C360" s="2" t="str">
        <x:v>ST021</x:v>
      </x:c>
      <x:c r="D360" s="2" t="str">
        <x:v>9b1608e5663d6da53cd805c8051dedd7</x:v>
      </x:c>
      <x:c r="E360" s="2" t="str">
        <x:v>CHECK_IN</x:v>
      </x:c>
      <x:c r="F360" s="8" t="n">
        <x:v>46299.60416666667</x:v>
      </x:c>
      <x:c r="G360" s="8" t="n">
        <x:v>46299.60418981482</x:v>
      </x:c>
      <x:c r="H360" s="2" t="str">
        <x:v>SCH01</x:v>
      </x:c>
      <x:c r="I360" s="9" t="n">
        <x:v>25.285</x:v>
      </x:c>
      <x:c r="J360" s="9" t="n">
        <x:v>51.51</x:v>
      </x:c>
      <x:c r="K360" s="2" t="n">
        <x:v>8</x:v>
      </x:c>
      <x:c r="L360" s="2" t="str">
        <x:v>Valid</x:v>
      </x:c>
      <x:c r="M360" s="2" t="str">
        <x:v>QR</x:v>
      </x:c>
      <x:c r="N360" s="2" t="n">
        <x:v>1</x:v>
      </x:c>
      <x:c r="O360" s="2" t="str">
        <x:v>Accepted</x:v>
      </x:c>
      <x:c r="P360" s="2" t="str">
        <x:v>S001</x:v>
      </x:c>
      <x:c r="Q360" s="2" t="str">
        <x:v>DEV001</x:v>
      </x:c>
      <x:c r="R360" s="2" t="n">
        <x:v>1</x:v>
      </x:c>
      <x:c r="S360" s="2" t="str">
        <x:v>Online</x:v>
      </x:c>
      <x:c r="T360" s="2" t="str">
        <x:v>Synced</x:v>
      </x:c>
    </x:row>
    <x:row r="361" ht="21" customHeight="1">
      <x:c r="A361" s="2" t="str">
        <x:v>EV000279</x:v>
      </x:c>
      <x:c r="B361" s="2" t="str">
        <x:v>T20261004-4-2</x:v>
      </x:c>
      <x:c r="C361" s="2" t="str">
        <x:v>ST061</x:v>
      </x:c>
      <x:c r="D361" s="2" t="str">
        <x:v>c547cb31f14853ae1f9f2436554d3271</x:v>
      </x:c>
      <x:c r="E361" s="2" t="str">
        <x:v>CHECK_IN</x:v>
      </x:c>
      <x:c r="F361" s="8" t="n">
        <x:v>46299.60416666667</x:v>
      </x:c>
      <x:c r="G361" s="8" t="n">
        <x:v>46299.60418981482</x:v>
      </x:c>
      <x:c r="H361" s="2" t="str">
        <x:v>SCH01</x:v>
      </x:c>
      <x:c r="I361" s="9" t="n">
        <x:v>25.285</x:v>
      </x:c>
      <x:c r="J361" s="9" t="n">
        <x:v>51.51</x:v>
      </x:c>
      <x:c r="K361" s="2" t="n">
        <x:v>8</x:v>
      </x:c>
      <x:c r="L361" s="2" t="str">
        <x:v>Valid</x:v>
      </x:c>
      <x:c r="M361" s="2" t="str">
        <x:v>QR</x:v>
      </x:c>
      <x:c r="N361" s="2" t="n">
        <x:v>1</x:v>
      </x:c>
      <x:c r="O361" s="2" t="str">
        <x:v>Accepted</x:v>
      </x:c>
      <x:c r="P361" s="2" t="str">
        <x:v>S002</x:v>
      </x:c>
      <x:c r="Q361" s="2" t="str">
        <x:v>DEV002</x:v>
      </x:c>
      <x:c r="R361" s="2" t="n">
        <x:v>1</x:v>
      </x:c>
      <x:c r="S361" s="2" t="str">
        <x:v>Online</x:v>
      </x:c>
      <x:c r="T361" s="2" t="str">
        <x:v>Synced</x:v>
      </x:c>
    </x:row>
    <x:row r="362" ht="21" customHeight="1">
      <x:c r="A362" s="2" t="str">
        <x:v>EV000439</x:v>
      </x:c>
      <x:c r="B362" s="2" t="str">
        <x:v>T20261004-4-3</x:v>
      </x:c>
      <x:c r="C362" s="2" t="str">
        <x:v>ST101</x:v>
      </x:c>
      <x:c r="D362" s="2" t="str">
        <x:v>9f8e180c63d3ff8d3e393db3573884a8</x:v>
      </x:c>
      <x:c r="E362" s="2" t="str">
        <x:v>CHECK_IN</x:v>
      </x:c>
      <x:c r="F362" s="8" t="n">
        <x:v>46299.60416666667</x:v>
      </x:c>
      <x:c r="G362" s="8" t="n">
        <x:v>46299.60418981482</x:v>
      </x:c>
      <x:c r="H362" s="2" t="str">
        <x:v>SCH01</x:v>
      </x:c>
      <x:c r="I362" s="9" t="n">
        <x:v>25.285</x:v>
      </x:c>
      <x:c r="J362" s="9" t="n">
        <x:v>51.51</x:v>
      </x:c>
      <x:c r="K362" s="2" t="n">
        <x:v>8</x:v>
      </x:c>
      <x:c r="L362" s="2" t="str">
        <x:v>Valid</x:v>
      </x:c>
      <x:c r="M362" s="2" t="str">
        <x:v>QR</x:v>
      </x:c>
      <x:c r="N362" s="2" t="n">
        <x:v>1</x:v>
      </x:c>
      <x:c r="O362" s="2" t="str">
        <x:v>Accepted</x:v>
      </x:c>
      <x:c r="P362" s="2" t="str">
        <x:v>S003</x:v>
      </x:c>
      <x:c r="Q362" s="2" t="str">
        <x:v>DEV003</x:v>
      </x:c>
      <x:c r="R362" s="2" t="n">
        <x:v>1</x:v>
      </x:c>
      <x:c r="S362" s="2" t="str">
        <x:v>Online</x:v>
      </x:c>
      <x:c r="T362" s="2" t="str">
        <x:v>Synced</x:v>
      </x:c>
    </x:row>
    <x:row r="363" ht="21" customHeight="1">
      <x:c r="A363" s="2" t="str">
        <x:v>EV000121</x:v>
      </x:c>
      <x:c r="B363" s="2" t="str">
        <x:v>T20261004-4-1</x:v>
      </x:c>
      <x:c r="C363" s="2" t="str">
        <x:v>ST022</x:v>
      </x:c>
      <x:c r="D363" s="2" t="str">
        <x:v>32e634064d0319251398d392c471332a</x:v>
      </x:c>
      <x:c r="E363" s="2" t="str">
        <x:v>CHECK_IN</x:v>
      </x:c>
      <x:c r="F363" s="8" t="n">
        <x:v>46299.604201388895</x:v>
      </x:c>
      <x:c r="G363" s="8" t="n">
        <x:v>46299.60422453704</x:v>
      </x:c>
      <x:c r="H363" s="2" t="str">
        <x:v>SCH01</x:v>
      </x:c>
      <x:c r="I363" s="9" t="n">
        <x:v>25.285</x:v>
      </x:c>
      <x:c r="J363" s="9" t="n">
        <x:v>51.51</x:v>
      </x:c>
      <x:c r="K363" s="2" t="n">
        <x:v>8</x:v>
      </x:c>
      <x:c r="L363" s="2" t="str">
        <x:v>Valid</x:v>
      </x:c>
      <x:c r="M363" s="2" t="str">
        <x:v>QR</x:v>
      </x:c>
      <x:c r="N363" s="2" t="n">
        <x:v>1</x:v>
      </x:c>
      <x:c r="O363" s="2" t="str">
        <x:v>Accepted</x:v>
      </x:c>
      <x:c r="P363" s="2" t="str">
        <x:v>S001</x:v>
      </x:c>
      <x:c r="Q363" s="2" t="str">
        <x:v>DEV001</x:v>
      </x:c>
      <x:c r="R363" s="2" t="n">
        <x:v>2</x:v>
      </x:c>
      <x:c r="S363" s="2" t="str">
        <x:v>Online</x:v>
      </x:c>
      <x:c r="T363" s="2" t="str">
        <x:v>Synced</x:v>
      </x:c>
    </x:row>
    <x:row r="364" ht="21" customHeight="1">
      <x:c r="A364" s="2" t="str">
        <x:v>EV000281</x:v>
      </x:c>
      <x:c r="B364" s="2" t="str">
        <x:v>T20261004-4-2</x:v>
      </x:c>
      <x:c r="C364" s="2" t="str">
        <x:v>ST062</x:v>
      </x:c>
      <x:c r="D364" s="2" t="str">
        <x:v>e0ee324a0d8893ba89d7c618ea194e36</x:v>
      </x:c>
      <x:c r="E364" s="2" t="str">
        <x:v>CHECK_IN</x:v>
      </x:c>
      <x:c r="F364" s="8" t="n">
        <x:v>46299.604201388895</x:v>
      </x:c>
      <x:c r="G364" s="8" t="n">
        <x:v>46299.60422453704</x:v>
      </x:c>
      <x:c r="H364" s="2" t="str">
        <x:v>SCH01</x:v>
      </x:c>
      <x:c r="I364" s="9" t="n">
        <x:v>25.285</x:v>
      </x:c>
      <x:c r="J364" s="9" t="n">
        <x:v>51.51</x:v>
      </x:c>
      <x:c r="K364" s="2" t="n">
        <x:v>8</x:v>
      </x:c>
      <x:c r="L364" s="2" t="str">
        <x:v>Valid</x:v>
      </x:c>
      <x:c r="M364" s="2" t="str">
        <x:v>QR</x:v>
      </x:c>
      <x:c r="N364" s="2" t="n">
        <x:v>1</x:v>
      </x:c>
      <x:c r="O364" s="2" t="str">
        <x:v>Accepted</x:v>
      </x:c>
      <x:c r="P364" s="2" t="str">
        <x:v>S002</x:v>
      </x:c>
      <x:c r="Q364" s="2" t="str">
        <x:v>DEV002</x:v>
      </x:c>
      <x:c r="R364" s="2" t="n">
        <x:v>2</x:v>
      </x:c>
      <x:c r="S364" s="2" t="str">
        <x:v>Online</x:v>
      </x:c>
      <x:c r="T364" s="2" t="str">
        <x:v>Synced</x:v>
      </x:c>
    </x:row>
    <x:row r="365" ht="21" customHeight="1">
      <x:c r="A365" s="2" t="str">
        <x:v>EV000441</x:v>
      </x:c>
      <x:c r="B365" s="2" t="str">
        <x:v>T20261004-4-3</x:v>
      </x:c>
      <x:c r="C365" s="2" t="str">
        <x:v>ST102</x:v>
      </x:c>
      <x:c r="D365" s="2" t="str">
        <x:v>6a90d57a6e4b5aedbdcdc5a29cf018e9</x:v>
      </x:c>
      <x:c r="E365" s="2" t="str">
        <x:v>CHECK_IN</x:v>
      </x:c>
      <x:c r="F365" s="8" t="n">
        <x:v>46299.604201388895</x:v>
      </x:c>
      <x:c r="G365" s="8" t="n">
        <x:v>46299.60422453704</x:v>
      </x:c>
      <x:c r="H365" s="2" t="str">
        <x:v>SCH01</x:v>
      </x:c>
      <x:c r="I365" s="9" t="n">
        <x:v>25.285</x:v>
      </x:c>
      <x:c r="J365" s="9" t="n">
        <x:v>51.51</x:v>
      </x:c>
      <x:c r="K365" s="2" t="n">
        <x:v>8</x:v>
      </x:c>
      <x:c r="L365" s="2" t="str">
        <x:v>Valid</x:v>
      </x:c>
      <x:c r="M365" s="2" t="str">
        <x:v>QR</x:v>
      </x:c>
      <x:c r="N365" s="2" t="n">
        <x:v>1</x:v>
      </x:c>
      <x:c r="O365" s="2" t="str">
        <x:v>Accepted</x:v>
      </x:c>
      <x:c r="P365" s="2" t="str">
        <x:v>S003</x:v>
      </x:c>
      <x:c r="Q365" s="2" t="str">
        <x:v>DEV003</x:v>
      </x:c>
      <x:c r="R365" s="2" t="n">
        <x:v>2</x:v>
      </x:c>
      <x:c r="S365" s="2" t="str">
        <x:v>Online</x:v>
      </x:c>
      <x:c r="T365" s="2" t="str">
        <x:v>Synced</x:v>
      </x:c>
    </x:row>
    <x:row r="366" ht="21" customHeight="1">
      <x:c r="A366" s="2" t="str">
        <x:v>EV000123</x:v>
      </x:c>
      <x:c r="B366" s="2" t="str">
        <x:v>T20261004-4-1</x:v>
      </x:c>
      <x:c r="C366" s="2" t="str">
        <x:v>ST023</x:v>
      </x:c>
      <x:c r="D366" s="2" t="str">
        <x:v>1836074fce688580737a08d14a26fa79</x:v>
      </x:c>
      <x:c r="E366" s="2" t="str">
        <x:v>CHECK_IN</x:v>
      </x:c>
      <x:c r="F366" s="8" t="n">
        <x:v>46299.60423611112</x:v>
      </x:c>
      <x:c r="G366" s="8" t="n">
        <x:v>46299.604259259264</x:v>
      </x:c>
      <x:c r="H366" s="2" t="str">
        <x:v>SCH01</x:v>
      </x:c>
      <x:c r="I366" s="9" t="n">
        <x:v>25.285</x:v>
      </x:c>
      <x:c r="J366" s="9" t="n">
        <x:v>51.51</x:v>
      </x:c>
      <x:c r="K366" s="2" t="n">
        <x:v>8</x:v>
      </x:c>
      <x:c r="L366" s="2" t="str">
        <x:v>Valid</x:v>
      </x:c>
      <x:c r="M366" s="2" t="str">
        <x:v>QR</x:v>
      </x:c>
      <x:c r="N366" s="2" t="n">
        <x:v>1</x:v>
      </x:c>
      <x:c r="O366" s="2" t="str">
        <x:v>Accepted</x:v>
      </x:c>
      <x:c r="P366" s="2" t="str">
        <x:v>S001</x:v>
      </x:c>
      <x:c r="Q366" s="2" t="str">
        <x:v>DEV001</x:v>
      </x:c>
      <x:c r="R366" s="2" t="n">
        <x:v>3</x:v>
      </x:c>
      <x:c r="S366" s="2" t="str">
        <x:v>Online</x:v>
      </x:c>
      <x:c r="T366" s="2" t="str">
        <x:v>Synced</x:v>
      </x:c>
    </x:row>
    <x:row r="367" ht="21" customHeight="1">
      <x:c r="A367" s="2" t="str">
        <x:v>EV000283</x:v>
      </x:c>
      <x:c r="B367" s="2" t="str">
        <x:v>T20261004-4-2</x:v>
      </x:c>
      <x:c r="C367" s="2" t="str">
        <x:v>ST063</x:v>
      </x:c>
      <x:c r="D367" s="2" t="str">
        <x:v>46a3e8e97cbe04af0173a75d9cdbcebf</x:v>
      </x:c>
      <x:c r="E367" s="2" t="str">
        <x:v>CHECK_IN</x:v>
      </x:c>
      <x:c r="F367" s="8" t="n">
        <x:v>46299.60423611112</x:v>
      </x:c>
      <x:c r="G367" s="8" t="n">
        <x:v>46299.604259259264</x:v>
      </x:c>
      <x:c r="H367" s="2" t="str">
        <x:v>SCH01</x:v>
      </x:c>
      <x:c r="I367" s="9" t="n">
        <x:v>25.285</x:v>
      </x:c>
      <x:c r="J367" s="9" t="n">
        <x:v>51.51</x:v>
      </x:c>
      <x:c r="K367" s="2" t="n">
        <x:v>8</x:v>
      </x:c>
      <x:c r="L367" s="2" t="str">
        <x:v>Valid</x:v>
      </x:c>
      <x:c r="M367" s="2" t="str">
        <x:v>QR</x:v>
      </x:c>
      <x:c r="N367" s="2" t="n">
        <x:v>1</x:v>
      </x:c>
      <x:c r="O367" s="2" t="str">
        <x:v>Accepted</x:v>
      </x:c>
      <x:c r="P367" s="2" t="str">
        <x:v>S002</x:v>
      </x:c>
      <x:c r="Q367" s="2" t="str">
        <x:v>DEV002</x:v>
      </x:c>
      <x:c r="R367" s="2" t="n">
        <x:v>3</x:v>
      </x:c>
      <x:c r="S367" s="2" t="str">
        <x:v>Online</x:v>
      </x:c>
      <x:c r="T367" s="2" t="str">
        <x:v>Synced</x:v>
      </x:c>
    </x:row>
    <x:row r="368" ht="21" customHeight="1">
      <x:c r="A368" s="2" t="str">
        <x:v>EV000443</x:v>
      </x:c>
      <x:c r="B368" s="2" t="str">
        <x:v>T20261004-4-3</x:v>
      </x:c>
      <x:c r="C368" s="2" t="str">
        <x:v>ST103</x:v>
      </x:c>
      <x:c r="D368" s="2" t="str">
        <x:v>5982cfca835e14d82ed8b6562c1a172d</x:v>
      </x:c>
      <x:c r="E368" s="2" t="str">
        <x:v>CHECK_IN</x:v>
      </x:c>
      <x:c r="F368" s="8" t="n">
        <x:v>46299.60423611112</x:v>
      </x:c>
      <x:c r="G368" s="8" t="n">
        <x:v>46299.604259259264</x:v>
      </x:c>
      <x:c r="H368" s="2" t="str">
        <x:v>SCH01</x:v>
      </x:c>
      <x:c r="I368" s="9" t="n">
        <x:v>25.285</x:v>
      </x:c>
      <x:c r="J368" s="9" t="n">
        <x:v>51.51</x:v>
      </x:c>
      <x:c r="K368" s="2" t="n">
        <x:v>8</x:v>
      </x:c>
      <x:c r="L368" s="2" t="str">
        <x:v>Valid</x:v>
      </x:c>
      <x:c r="M368" s="2" t="str">
        <x:v>QR</x:v>
      </x:c>
      <x:c r="N368" s="2" t="n">
        <x:v>1</x:v>
      </x:c>
      <x:c r="O368" s="2" t="str">
        <x:v>Accepted</x:v>
      </x:c>
      <x:c r="P368" s="2" t="str">
        <x:v>S003</x:v>
      </x:c>
      <x:c r="Q368" s="2" t="str">
        <x:v>DEV003</x:v>
      </x:c>
      <x:c r="R368" s="2" t="n">
        <x:v>3</x:v>
      </x:c>
      <x:c r="S368" s="2" t="str">
        <x:v>Online</x:v>
      </x:c>
      <x:c r="T368" s="2" t="str">
        <x:v>Synced</x:v>
      </x:c>
    </x:row>
    <x:row r="369" ht="21" customHeight="1">
      <x:c r="A369" s="2" t="str">
        <x:v>EV000125</x:v>
      </x:c>
      <x:c r="B369" s="2" t="str">
        <x:v>T20261004-4-1</x:v>
      </x:c>
      <x:c r="C369" s="2" t="str">
        <x:v>ST024</x:v>
      </x:c>
      <x:c r="D369" s="2" t="str">
        <x:v>df785f1577b8ee7f71835020d03a12a6</x:v>
      </x:c>
      <x:c r="E369" s="2" t="str">
        <x:v>CHECK_IN</x:v>
      </x:c>
      <x:c r="F369" s="8" t="n">
        <x:v>46299.60427083334</x:v>
      </x:c>
      <x:c r="G369" s="8" t="n">
        <x:v>46299.60429398149</x:v>
      </x:c>
      <x:c r="H369" s="2" t="str">
        <x:v>SCH01</x:v>
      </x:c>
      <x:c r="I369" s="9" t="n">
        <x:v>25.285</x:v>
      </x:c>
      <x:c r="J369" s="9" t="n">
        <x:v>51.51</x:v>
      </x:c>
      <x:c r="K369" s="2" t="n">
        <x:v>8</x:v>
      </x:c>
      <x:c r="L369" s="2" t="str">
        <x:v>Valid</x:v>
      </x:c>
      <x:c r="M369" s="2" t="str">
        <x:v>QR</x:v>
      </x:c>
      <x:c r="N369" s="2" t="n">
        <x:v>1</x:v>
      </x:c>
      <x:c r="O369" s="2" t="str">
        <x:v>Accepted</x:v>
      </x:c>
      <x:c r="P369" s="2" t="str">
        <x:v>S001</x:v>
      </x:c>
      <x:c r="Q369" s="2" t="str">
        <x:v>DEV001</x:v>
      </x:c>
      <x:c r="R369" s="2" t="n">
        <x:v>4</x:v>
      </x:c>
      <x:c r="S369" s="2" t="str">
        <x:v>Online</x:v>
      </x:c>
      <x:c r="T369" s="2" t="str">
        <x:v>Synced</x:v>
      </x:c>
    </x:row>
    <x:row r="370" ht="21" customHeight="1">
      <x:c r="A370" s="2" t="str">
        <x:v>EV000285</x:v>
      </x:c>
      <x:c r="B370" s="2" t="str">
        <x:v>T20261004-4-2</x:v>
      </x:c>
      <x:c r="C370" s="2" t="str">
        <x:v>ST064</x:v>
      </x:c>
      <x:c r="D370" s="2" t="str">
        <x:v>80debd99a6cfe1ca0800304796fd69ff</x:v>
      </x:c>
      <x:c r="E370" s="2" t="str">
        <x:v>CHECK_IN</x:v>
      </x:c>
      <x:c r="F370" s="8" t="n">
        <x:v>46299.60427083334</x:v>
      </x:c>
      <x:c r="G370" s="8" t="n">
        <x:v>46299.60429398149</x:v>
      </x:c>
      <x:c r="H370" s="2" t="str">
        <x:v>SCH01</x:v>
      </x:c>
      <x:c r="I370" s="9" t="n">
        <x:v>25.285</x:v>
      </x:c>
      <x:c r="J370" s="9" t="n">
        <x:v>51.51</x:v>
      </x:c>
      <x:c r="K370" s="2" t="n">
        <x:v>8</x:v>
      </x:c>
      <x:c r="L370" s="2" t="str">
        <x:v>Valid</x:v>
      </x:c>
      <x:c r="M370" s="2" t="str">
        <x:v>QR</x:v>
      </x:c>
      <x:c r="N370" s="2" t="n">
        <x:v>1</x:v>
      </x:c>
      <x:c r="O370" s="2" t="str">
        <x:v>Accepted</x:v>
      </x:c>
      <x:c r="P370" s="2" t="str">
        <x:v>S002</x:v>
      </x:c>
      <x:c r="Q370" s="2" t="str">
        <x:v>DEV002</x:v>
      </x:c>
      <x:c r="R370" s="2" t="n">
        <x:v>4</x:v>
      </x:c>
      <x:c r="S370" s="2" t="str">
        <x:v>Online</x:v>
      </x:c>
      <x:c r="T370" s="2" t="str">
        <x:v>Synced</x:v>
      </x:c>
    </x:row>
    <x:row r="371" ht="21" customHeight="1">
      <x:c r="A371" s="2" t="str">
        <x:v>EV000445</x:v>
      </x:c>
      <x:c r="B371" s="2" t="str">
        <x:v>T20261004-4-3</x:v>
      </x:c>
      <x:c r="C371" s="2" t="str">
        <x:v>ST104</x:v>
      </x:c>
      <x:c r="D371" s="2" t="str">
        <x:v>12167381f9b78201d830c40ef6208ce4</x:v>
      </x:c>
      <x:c r="E371" s="2" t="str">
        <x:v>CHECK_IN</x:v>
      </x:c>
      <x:c r="F371" s="8" t="n">
        <x:v>46299.60427083334</x:v>
      </x:c>
      <x:c r="G371" s="8" t="n">
        <x:v>46299.60429398149</x:v>
      </x:c>
      <x:c r="H371" s="2" t="str">
        <x:v>SCH01</x:v>
      </x:c>
      <x:c r="I371" s="9" t="n">
        <x:v>25.285</x:v>
      </x:c>
      <x:c r="J371" s="9" t="n">
        <x:v>51.51</x:v>
      </x:c>
      <x:c r="K371" s="2" t="n">
        <x:v>8</x:v>
      </x:c>
      <x:c r="L371" s="2" t="str">
        <x:v>Valid</x:v>
      </x:c>
      <x:c r="M371" s="2" t="str">
        <x:v>QR</x:v>
      </x:c>
      <x:c r="N371" s="2" t="n">
        <x:v>1</x:v>
      </x:c>
      <x:c r="O371" s="2" t="str">
        <x:v>Accepted</x:v>
      </x:c>
      <x:c r="P371" s="2" t="str">
        <x:v>S003</x:v>
      </x:c>
      <x:c r="Q371" s="2" t="str">
        <x:v>DEV003</x:v>
      </x:c>
      <x:c r="R371" s="2" t="n">
        <x:v>4</x:v>
      </x:c>
      <x:c r="S371" s="2" t="str">
        <x:v>Online</x:v>
      </x:c>
      <x:c r="T371" s="2" t="str">
        <x:v>Synced</x:v>
      </x:c>
    </x:row>
    <x:row r="372" ht="21" customHeight="1">
      <x:c r="A372" s="2" t="str">
        <x:v>EV000127</x:v>
      </x:c>
      <x:c r="B372" s="2" t="str">
        <x:v>T20261004-4-1</x:v>
      </x:c>
      <x:c r="C372" s="2" t="str">
        <x:v>ST025</x:v>
      </x:c>
      <x:c r="D372" s="2" t="str">
        <x:v>caea48c43f4ccfa85999e7cb546cd774</x:v>
      </x:c>
      <x:c r="E372" s="2" t="str">
        <x:v>CHECK_IN</x:v>
      </x:c>
      <x:c r="F372" s="8" t="n">
        <x:v>46299.604305555564</x:v>
      </x:c>
      <x:c r="G372" s="8" t="n">
        <x:v>46299.60432870371</x:v>
      </x:c>
      <x:c r="H372" s="2" t="str">
        <x:v>SCH01</x:v>
      </x:c>
      <x:c r="I372" s="9" t="n">
        <x:v>25.285</x:v>
      </x:c>
      <x:c r="J372" s="9" t="n">
        <x:v>51.51</x:v>
      </x:c>
      <x:c r="K372" s="2" t="n">
        <x:v>8</x:v>
      </x:c>
      <x:c r="L372" s="2" t="str">
        <x:v>Valid</x:v>
      </x:c>
      <x:c r="M372" s="2" t="str">
        <x:v>QR</x:v>
      </x:c>
      <x:c r="N372" s="2" t="n">
        <x:v>1</x:v>
      </x:c>
      <x:c r="O372" s="2" t="str">
        <x:v>Accepted</x:v>
      </x:c>
      <x:c r="P372" s="2" t="str">
        <x:v>S001</x:v>
      </x:c>
      <x:c r="Q372" s="2" t="str">
        <x:v>DEV001</x:v>
      </x:c>
      <x:c r="R372" s="2" t="n">
        <x:v>5</x:v>
      </x:c>
      <x:c r="S372" s="2" t="str">
        <x:v>Online</x:v>
      </x:c>
      <x:c r="T372" s="2" t="str">
        <x:v>Synced</x:v>
      </x:c>
    </x:row>
    <x:row r="373" ht="21" customHeight="1">
      <x:c r="A373" s="2" t="str">
        <x:v>EV000287</x:v>
      </x:c>
      <x:c r="B373" s="2" t="str">
        <x:v>T20261004-4-2</x:v>
      </x:c>
      <x:c r="C373" s="2" t="str">
        <x:v>ST065</x:v>
      </x:c>
      <x:c r="D373" s="2" t="str">
        <x:v>6b379c82348acc8be3e0d247197a20bf</x:v>
      </x:c>
      <x:c r="E373" s="2" t="str">
        <x:v>CHECK_IN</x:v>
      </x:c>
      <x:c r="F373" s="8" t="n">
        <x:v>46299.604305555564</x:v>
      </x:c>
      <x:c r="G373" s="8" t="n">
        <x:v>46299.60432870371</x:v>
      </x:c>
      <x:c r="H373" s="2" t="str">
        <x:v>SCH01</x:v>
      </x:c>
      <x:c r="I373" s="9" t="n">
        <x:v>25.285</x:v>
      </x:c>
      <x:c r="J373" s="9" t="n">
        <x:v>51.51</x:v>
      </x:c>
      <x:c r="K373" s="2" t="n">
        <x:v>8</x:v>
      </x:c>
      <x:c r="L373" s="2" t="str">
        <x:v>Valid</x:v>
      </x:c>
      <x:c r="M373" s="2" t="str">
        <x:v>QR</x:v>
      </x:c>
      <x:c r="N373" s="2" t="n">
        <x:v>1</x:v>
      </x:c>
      <x:c r="O373" s="2" t="str">
        <x:v>Accepted</x:v>
      </x:c>
      <x:c r="P373" s="2" t="str">
        <x:v>S002</x:v>
      </x:c>
      <x:c r="Q373" s="2" t="str">
        <x:v>DEV002</x:v>
      </x:c>
      <x:c r="R373" s="2" t="n">
        <x:v>5</x:v>
      </x:c>
      <x:c r="S373" s="2" t="str">
        <x:v>Online</x:v>
      </x:c>
      <x:c r="T373" s="2" t="str">
        <x:v>Synced</x:v>
      </x:c>
    </x:row>
    <x:row r="374" ht="21" customHeight="1">
      <x:c r="A374" s="2" t="str">
        <x:v>EV000447</x:v>
      </x:c>
      <x:c r="B374" s="2" t="str">
        <x:v>T20261004-4-3</x:v>
      </x:c>
      <x:c r="C374" s="2" t="str">
        <x:v>ST105</x:v>
      </x:c>
      <x:c r="D374" s="2" t="str">
        <x:v>bbd3ba75eaabf5ca3acef3823a75d885</x:v>
      </x:c>
      <x:c r="E374" s="2" t="str">
        <x:v>CHECK_IN</x:v>
      </x:c>
      <x:c r="F374" s="8" t="n">
        <x:v>46299.604305555564</x:v>
      </x:c>
      <x:c r="G374" s="8" t="n">
        <x:v>46299.60432870371</x:v>
      </x:c>
      <x:c r="H374" s="2" t="str">
        <x:v>SCH01</x:v>
      </x:c>
      <x:c r="I374" s="9" t="n">
        <x:v>25.285</x:v>
      </x:c>
      <x:c r="J374" s="9" t="n">
        <x:v>51.51</x:v>
      </x:c>
      <x:c r="K374" s="2" t="n">
        <x:v>8</x:v>
      </x:c>
      <x:c r="L374" s="2" t="str">
        <x:v>Valid</x:v>
      </x:c>
      <x:c r="M374" s="2" t="str">
        <x:v>QR</x:v>
      </x:c>
      <x:c r="N374" s="2" t="n">
        <x:v>1</x:v>
      </x:c>
      <x:c r="O374" s="2" t="str">
        <x:v>Accepted</x:v>
      </x:c>
      <x:c r="P374" s="2" t="str">
        <x:v>S003</x:v>
      </x:c>
      <x:c r="Q374" s="2" t="str">
        <x:v>DEV003</x:v>
      </x:c>
      <x:c r="R374" s="2" t="n">
        <x:v>5</x:v>
      </x:c>
      <x:c r="S374" s="2" t="str">
        <x:v>Online</x:v>
      </x:c>
      <x:c r="T374" s="2" t="str">
        <x:v>Synced</x:v>
      </x:c>
    </x:row>
    <x:row r="375" ht="21" customHeight="1">
      <x:c r="A375" s="2" t="str">
        <x:v>EV000129</x:v>
      </x:c>
      <x:c r="B375" s="2" t="str">
        <x:v>T20261004-4-1</x:v>
      </x:c>
      <x:c r="C375" s="2" t="str">
        <x:v>ST026</x:v>
      </x:c>
      <x:c r="D375" s="2" t="str">
        <x:v>56aea196eabcf09e1199afbd5e8907b0</x:v>
      </x:c>
      <x:c r="E375" s="2" t="str">
        <x:v>CHECK_IN</x:v>
      </x:c>
      <x:c r="F375" s="8" t="n">
        <x:v>46299.60434027778</x:v>
      </x:c>
      <x:c r="G375" s="8" t="n">
        <x:v>46299.604363425926</x:v>
      </x:c>
      <x:c r="H375" s="2" t="str">
        <x:v>SCH01</x:v>
      </x:c>
      <x:c r="I375" s="9" t="n">
        <x:v>25.285</x:v>
      </x:c>
      <x:c r="J375" s="9" t="n">
        <x:v>51.51</x:v>
      </x:c>
      <x:c r="K375" s="2" t="n">
        <x:v>8</x:v>
      </x:c>
      <x:c r="L375" s="2" t="str">
        <x:v>Valid</x:v>
      </x:c>
      <x:c r="M375" s="2" t="str">
        <x:v>QR</x:v>
      </x:c>
      <x:c r="N375" s="2" t="n">
        <x:v>1</x:v>
      </x:c>
      <x:c r="O375" s="2" t="str">
        <x:v>Accepted</x:v>
      </x:c>
      <x:c r="P375" s="2" t="str">
        <x:v>S001</x:v>
      </x:c>
      <x:c r="Q375" s="2" t="str">
        <x:v>DEV001</x:v>
      </x:c>
      <x:c r="R375" s="2" t="n">
        <x:v>6</x:v>
      </x:c>
      <x:c r="S375" s="2" t="str">
        <x:v>Online</x:v>
      </x:c>
      <x:c r="T375" s="2" t="str">
        <x:v>Synced</x:v>
      </x:c>
    </x:row>
    <x:row r="376" ht="21" customHeight="1">
      <x:c r="A376" s="2" t="str">
        <x:v>EV000289</x:v>
      </x:c>
      <x:c r="B376" s="2" t="str">
        <x:v>T20261004-4-2</x:v>
      </x:c>
      <x:c r="C376" s="2" t="str">
        <x:v>ST066</x:v>
      </x:c>
      <x:c r="D376" s="2" t="str">
        <x:v>f1ae8019085f4d0a77552e53fdc22aa7</x:v>
      </x:c>
      <x:c r="E376" s="2" t="str">
        <x:v>CHECK_IN</x:v>
      </x:c>
      <x:c r="F376" s="8" t="n">
        <x:v>46299.60434027778</x:v>
      </x:c>
      <x:c r="G376" s="8" t="n">
        <x:v>46299.604363425926</x:v>
      </x:c>
      <x:c r="H376" s="2" t="str">
        <x:v>SCH01</x:v>
      </x:c>
      <x:c r="I376" s="9" t="n">
        <x:v>25.285</x:v>
      </x:c>
      <x:c r="J376" s="9" t="n">
        <x:v>51.51</x:v>
      </x:c>
      <x:c r="K376" s="2" t="n">
        <x:v>8</x:v>
      </x:c>
      <x:c r="L376" s="2" t="str">
        <x:v>Valid</x:v>
      </x:c>
      <x:c r="M376" s="2" t="str">
        <x:v>QR</x:v>
      </x:c>
      <x:c r="N376" s="2" t="n">
        <x:v>1</x:v>
      </x:c>
      <x:c r="O376" s="2" t="str">
        <x:v>Accepted</x:v>
      </x:c>
      <x:c r="P376" s="2" t="str">
        <x:v>S002</x:v>
      </x:c>
      <x:c r="Q376" s="2" t="str">
        <x:v>DEV002</x:v>
      </x:c>
      <x:c r="R376" s="2" t="n">
        <x:v>6</x:v>
      </x:c>
      <x:c r="S376" s="2" t="str">
        <x:v>Online</x:v>
      </x:c>
      <x:c r="T376" s="2" t="str">
        <x:v>Synced</x:v>
      </x:c>
    </x:row>
    <x:row r="377" ht="21" customHeight="1">
      <x:c r="A377" s="2" t="str">
        <x:v>EV000449</x:v>
      </x:c>
      <x:c r="B377" s="2" t="str">
        <x:v>T20261004-4-3</x:v>
      </x:c>
      <x:c r="C377" s="2" t="str">
        <x:v>ST106</x:v>
      </x:c>
      <x:c r="D377" s="2" t="str">
        <x:v>9bd191644f26d4fc266418c96f36f10b</x:v>
      </x:c>
      <x:c r="E377" s="2" t="str">
        <x:v>CHECK_IN</x:v>
      </x:c>
      <x:c r="F377" s="8" t="n">
        <x:v>46299.60434027778</x:v>
      </x:c>
      <x:c r="G377" s="8" t="n">
        <x:v>46299.604363425926</x:v>
      </x:c>
      <x:c r="H377" s="2" t="str">
        <x:v>SCH01</x:v>
      </x:c>
      <x:c r="I377" s="9" t="n">
        <x:v>25.285</x:v>
      </x:c>
      <x:c r="J377" s="9" t="n">
        <x:v>51.51</x:v>
      </x:c>
      <x:c r="K377" s="2" t="n">
        <x:v>8</x:v>
      </x:c>
      <x:c r="L377" s="2" t="str">
        <x:v>Valid</x:v>
      </x:c>
      <x:c r="M377" s="2" t="str">
        <x:v>QR</x:v>
      </x:c>
      <x:c r="N377" s="2" t="n">
        <x:v>1</x:v>
      </x:c>
      <x:c r="O377" s="2" t="str">
        <x:v>Accepted</x:v>
      </x:c>
      <x:c r="P377" s="2" t="str">
        <x:v>S003</x:v>
      </x:c>
      <x:c r="Q377" s="2" t="str">
        <x:v>DEV003</x:v>
      </x:c>
      <x:c r="R377" s="2" t="n">
        <x:v>6</x:v>
      </x:c>
      <x:c r="S377" s="2" t="str">
        <x:v>Online</x:v>
      </x:c>
      <x:c r="T377" s="2" t="str">
        <x:v>Synced</x:v>
      </x:c>
    </x:row>
    <x:row r="378" ht="21" customHeight="1">
      <x:c r="A378" s="2" t="str">
        <x:v>EV000131</x:v>
      </x:c>
      <x:c r="B378" s="2" t="str">
        <x:v>T20261004-4-1</x:v>
      </x:c>
      <x:c r="C378" s="2" t="str">
        <x:v>ST027</x:v>
      </x:c>
      <x:c r="D378" s="2" t="str">
        <x:v>87868c08c06226359ca5121a9563bb63</x:v>
      </x:c>
      <x:c r="E378" s="2" t="str">
        <x:v>CHECK_IN</x:v>
      </x:c>
      <x:c r="F378" s="8" t="n">
        <x:v>46299.604375</x:v>
      </x:c>
      <x:c r="G378" s="8" t="n">
        <x:v>46299.60439814815</x:v>
      </x:c>
      <x:c r="H378" s="2" t="str">
        <x:v>SCH01</x:v>
      </x:c>
      <x:c r="I378" s="9" t="n">
        <x:v>25.285</x:v>
      </x:c>
      <x:c r="J378" s="9" t="n">
        <x:v>51.51</x:v>
      </x:c>
      <x:c r="K378" s="2" t="n">
        <x:v>8</x:v>
      </x:c>
      <x:c r="L378" s="2" t="str">
        <x:v>Valid</x:v>
      </x:c>
      <x:c r="M378" s="2" t="str">
        <x:v>QR</x:v>
      </x:c>
      <x:c r="N378" s="2" t="n">
        <x:v>1</x:v>
      </x:c>
      <x:c r="O378" s="2" t="str">
        <x:v>Accepted</x:v>
      </x:c>
      <x:c r="P378" s="2" t="str">
        <x:v>S001</x:v>
      </x:c>
      <x:c r="Q378" s="2" t="str">
        <x:v>DEV001</x:v>
      </x:c>
      <x:c r="R378" s="2" t="n">
        <x:v>7</x:v>
      </x:c>
      <x:c r="S378" s="2" t="str">
        <x:v>Online</x:v>
      </x:c>
      <x:c r="T378" s="2" t="str">
        <x:v>Synced</x:v>
      </x:c>
    </x:row>
    <x:row r="379" ht="21" customHeight="1">
      <x:c r="A379" s="2" t="str">
        <x:v>EV000291</x:v>
      </x:c>
      <x:c r="B379" s="2" t="str">
        <x:v>T20261004-4-2</x:v>
      </x:c>
      <x:c r="C379" s="2" t="str">
        <x:v>ST067</x:v>
      </x:c>
      <x:c r="D379" s="2" t="str">
        <x:v>66c3e7b11abae76912fea37c6c7ce00c</x:v>
      </x:c>
      <x:c r="E379" s="2" t="str">
        <x:v>CHECK_IN</x:v>
      </x:c>
      <x:c r="F379" s="8" t="n">
        <x:v>46299.604375</x:v>
      </x:c>
      <x:c r="G379" s="8" t="n">
        <x:v>46299.60439814815</x:v>
      </x:c>
      <x:c r="H379" s="2" t="str">
        <x:v>SCH01</x:v>
      </x:c>
      <x:c r="I379" s="9" t="n">
        <x:v>25.285</x:v>
      </x:c>
      <x:c r="J379" s="9" t="n">
        <x:v>51.51</x:v>
      </x:c>
      <x:c r="K379" s="2" t="n">
        <x:v>8</x:v>
      </x:c>
      <x:c r="L379" s="2" t="str">
        <x:v>Valid</x:v>
      </x:c>
      <x:c r="M379" s="2" t="str">
        <x:v>QR</x:v>
      </x:c>
      <x:c r="N379" s="2" t="n">
        <x:v>1</x:v>
      </x:c>
      <x:c r="O379" s="2" t="str">
        <x:v>Accepted</x:v>
      </x:c>
      <x:c r="P379" s="2" t="str">
        <x:v>S002</x:v>
      </x:c>
      <x:c r="Q379" s="2" t="str">
        <x:v>DEV002</x:v>
      </x:c>
      <x:c r="R379" s="2" t="n">
        <x:v>7</x:v>
      </x:c>
      <x:c r="S379" s="2" t="str">
        <x:v>Online</x:v>
      </x:c>
      <x:c r="T379" s="2" t="str">
        <x:v>Synced</x:v>
      </x:c>
    </x:row>
    <x:row r="380" ht="21" customHeight="1">
      <x:c r="A380" s="2" t="str">
        <x:v>EV000451</x:v>
      </x:c>
      <x:c r="B380" s="2" t="str">
        <x:v>T20261004-4-3</x:v>
      </x:c>
      <x:c r="C380" s="2" t="str">
        <x:v>ST107</x:v>
      </x:c>
      <x:c r="D380" s="2" t="str">
        <x:v>4a2bb35840a3b4fc7e804e2d710c14f4</x:v>
      </x:c>
      <x:c r="E380" s="2" t="str">
        <x:v>CHECK_IN</x:v>
      </x:c>
      <x:c r="F380" s="8" t="n">
        <x:v>46299.604375</x:v>
      </x:c>
      <x:c r="G380" s="8" t="n">
        <x:v>46299.60439814815</x:v>
      </x:c>
      <x:c r="H380" s="2" t="str">
        <x:v>SCH01</x:v>
      </x:c>
      <x:c r="I380" s="9" t="n">
        <x:v>25.285</x:v>
      </x:c>
      <x:c r="J380" s="9" t="n">
        <x:v>51.51</x:v>
      </x:c>
      <x:c r="K380" s="2" t="n">
        <x:v>8</x:v>
      </x:c>
      <x:c r="L380" s="2" t="str">
        <x:v>Valid</x:v>
      </x:c>
      <x:c r="M380" s="2" t="str">
        <x:v>QR</x:v>
      </x:c>
      <x:c r="N380" s="2" t="n">
        <x:v>1</x:v>
      </x:c>
      <x:c r="O380" s="2" t="str">
        <x:v>Accepted</x:v>
      </x:c>
      <x:c r="P380" s="2" t="str">
        <x:v>S003</x:v>
      </x:c>
      <x:c r="Q380" s="2" t="str">
        <x:v>DEV003</x:v>
      </x:c>
      <x:c r="R380" s="2" t="n">
        <x:v>7</x:v>
      </x:c>
      <x:c r="S380" s="2" t="str">
        <x:v>Online</x:v>
      </x:c>
      <x:c r="T380" s="2" t="str">
        <x:v>Synced</x:v>
      </x:c>
    </x:row>
    <x:row r="381" ht="21" customHeight="1">
      <x:c r="A381" s="2" t="str">
        <x:v>EV000133</x:v>
      </x:c>
      <x:c r="B381" s="2" t="str">
        <x:v>T20261004-4-1</x:v>
      </x:c>
      <x:c r="C381" s="2" t="str">
        <x:v>ST028</x:v>
      </x:c>
      <x:c r="D381" s="2" t="str">
        <x:v>af9ca502f5a3f54f1f44ea6d11afd24b</x:v>
      </x:c>
      <x:c r="E381" s="2" t="str">
        <x:v>CHECK_IN</x:v>
      </x:c>
      <x:c r="F381" s="8" t="n">
        <x:v>46299.604409722226</x:v>
      </x:c>
      <x:c r="G381" s="8" t="n">
        <x:v>46299.60443287037</x:v>
      </x:c>
      <x:c r="H381" s="2" t="str">
        <x:v>SCH01</x:v>
      </x:c>
      <x:c r="I381" s="9" t="n">
        <x:v>25.285</x:v>
      </x:c>
      <x:c r="J381" s="9" t="n">
        <x:v>51.51</x:v>
      </x:c>
      <x:c r="K381" s="2" t="n">
        <x:v>8</x:v>
      </x:c>
      <x:c r="L381" s="2" t="str">
        <x:v>Valid</x:v>
      </x:c>
      <x:c r="M381" s="2" t="str">
        <x:v>QR</x:v>
      </x:c>
      <x:c r="N381" s="2" t="n">
        <x:v>1</x:v>
      </x:c>
      <x:c r="O381" s="2" t="str">
        <x:v>Accepted</x:v>
      </x:c>
      <x:c r="P381" s="2" t="str">
        <x:v>S001</x:v>
      </x:c>
      <x:c r="Q381" s="2" t="str">
        <x:v>DEV001</x:v>
      </x:c>
      <x:c r="R381" s="2" t="n">
        <x:v>8</x:v>
      </x:c>
      <x:c r="S381" s="2" t="str">
        <x:v>Online</x:v>
      </x:c>
      <x:c r="T381" s="2" t="str">
        <x:v>Synced</x:v>
      </x:c>
    </x:row>
    <x:row r="382" ht="21" customHeight="1">
      <x:c r="A382" s="2" t="str">
        <x:v>EV000293</x:v>
      </x:c>
      <x:c r="B382" s="2" t="str">
        <x:v>T20261004-4-2</x:v>
      </x:c>
      <x:c r="C382" s="2" t="str">
        <x:v>ST068</x:v>
      </x:c>
      <x:c r="D382" s="2" t="str">
        <x:v>6d9af84dd25561b8b07e5e166ae4982a</x:v>
      </x:c>
      <x:c r="E382" s="2" t="str">
        <x:v>CHECK_IN</x:v>
      </x:c>
      <x:c r="F382" s="8" t="n">
        <x:v>46299.604409722226</x:v>
      </x:c>
      <x:c r="G382" s="8" t="n">
        <x:v>46299.60443287037</x:v>
      </x:c>
      <x:c r="H382" s="2" t="str">
        <x:v>SCH01</x:v>
      </x:c>
      <x:c r="I382" s="9" t="n">
        <x:v>25.285</x:v>
      </x:c>
      <x:c r="J382" s="9" t="n">
        <x:v>51.51</x:v>
      </x:c>
      <x:c r="K382" s="2" t="n">
        <x:v>8</x:v>
      </x:c>
      <x:c r="L382" s="2" t="str">
        <x:v>Valid</x:v>
      </x:c>
      <x:c r="M382" s="2" t="str">
        <x:v>QR</x:v>
      </x:c>
      <x:c r="N382" s="2" t="n">
        <x:v>1</x:v>
      </x:c>
      <x:c r="O382" s="2" t="str">
        <x:v>Accepted</x:v>
      </x:c>
      <x:c r="P382" s="2" t="str">
        <x:v>S002</x:v>
      </x:c>
      <x:c r="Q382" s="2" t="str">
        <x:v>DEV002</x:v>
      </x:c>
      <x:c r="R382" s="2" t="n">
        <x:v>8</x:v>
      </x:c>
      <x:c r="S382" s="2" t="str">
        <x:v>Online</x:v>
      </x:c>
      <x:c r="T382" s="2" t="str">
        <x:v>Synced</x:v>
      </x:c>
    </x:row>
    <x:row r="383" ht="21" customHeight="1">
      <x:c r="A383" s="2" t="str">
        <x:v>EV000453</x:v>
      </x:c>
      <x:c r="B383" s="2" t="str">
        <x:v>T20261004-4-3</x:v>
      </x:c>
      <x:c r="C383" s="2" t="str">
        <x:v>ST108</x:v>
      </x:c>
      <x:c r="D383" s="2" t="str">
        <x:v>85ef3b20338dfa9afdf3ae5a4b1ced5c</x:v>
      </x:c>
      <x:c r="E383" s="2" t="str">
        <x:v>CHECK_IN</x:v>
      </x:c>
      <x:c r="F383" s="8" t="n">
        <x:v>46299.604409722226</x:v>
      </x:c>
      <x:c r="G383" s="8" t="n">
        <x:v>46299.60443287037</x:v>
      </x:c>
      <x:c r="H383" s="2" t="str">
        <x:v>SCH01</x:v>
      </x:c>
      <x:c r="I383" s="9" t="n">
        <x:v>25.285</x:v>
      </x:c>
      <x:c r="J383" s="9" t="n">
        <x:v>51.51</x:v>
      </x:c>
      <x:c r="K383" s="2" t="n">
        <x:v>8</x:v>
      </x:c>
      <x:c r="L383" s="2" t="str">
        <x:v>Valid</x:v>
      </x:c>
      <x:c r="M383" s="2" t="str">
        <x:v>QR</x:v>
      </x:c>
      <x:c r="N383" s="2" t="n">
        <x:v>1</x:v>
      </x:c>
      <x:c r="O383" s="2" t="str">
        <x:v>Accepted</x:v>
      </x:c>
      <x:c r="P383" s="2" t="str">
        <x:v>S003</x:v>
      </x:c>
      <x:c r="Q383" s="2" t="str">
        <x:v>DEV003</x:v>
      </x:c>
      <x:c r="R383" s="2" t="n">
        <x:v>8</x:v>
      </x:c>
      <x:c r="S383" s="2" t="str">
        <x:v>Online</x:v>
      </x:c>
      <x:c r="T383" s="2" t="str">
        <x:v>Synced</x:v>
      </x:c>
    </x:row>
    <x:row r="384" ht="21" customHeight="1">
      <x:c r="A384" s="2" t="str">
        <x:v>EV000135</x:v>
      </x:c>
      <x:c r="B384" s="2" t="str">
        <x:v>T20261004-4-1</x:v>
      </x:c>
      <x:c r="C384" s="2" t="str">
        <x:v>ST029</x:v>
      </x:c>
      <x:c r="D384" s="2" t="str">
        <x:v>160c4caa69875e092299cd9b55dcda0b</x:v>
      </x:c>
      <x:c r="E384" s="2" t="str">
        <x:v>CHECK_IN</x:v>
      </x:c>
      <x:c r="F384" s="8" t="n">
        <x:v>46299.60444444445</x:v>
      </x:c>
      <x:c r="G384" s="8" t="n">
        <x:v>46299.604467592595</x:v>
      </x:c>
      <x:c r="H384" s="2" t="str">
        <x:v>SCH01</x:v>
      </x:c>
      <x:c r="I384" s="9" t="n">
        <x:v>25.285</x:v>
      </x:c>
      <x:c r="J384" s="9" t="n">
        <x:v>51.51</x:v>
      </x:c>
      <x:c r="K384" s="2" t="n">
        <x:v>8</x:v>
      </x:c>
      <x:c r="L384" s="2" t="str">
        <x:v>Valid</x:v>
      </x:c>
      <x:c r="M384" s="2" t="str">
        <x:v>QR</x:v>
      </x:c>
      <x:c r="N384" s="2" t="n">
        <x:v>1</x:v>
      </x:c>
      <x:c r="O384" s="2" t="str">
        <x:v>Accepted</x:v>
      </x:c>
      <x:c r="P384" s="2" t="str">
        <x:v>S001</x:v>
      </x:c>
      <x:c r="Q384" s="2" t="str">
        <x:v>DEV001</x:v>
      </x:c>
      <x:c r="R384" s="2" t="n">
        <x:v>9</x:v>
      </x:c>
      <x:c r="S384" s="2" t="str">
        <x:v>Online</x:v>
      </x:c>
      <x:c r="T384" s="2" t="str">
        <x:v>Synced</x:v>
      </x:c>
    </x:row>
    <x:row r="385" ht="21" customHeight="1">
      <x:c r="A385" s="2" t="str">
        <x:v>EV000295</x:v>
      </x:c>
      <x:c r="B385" s="2" t="str">
        <x:v>T20261004-4-2</x:v>
      </x:c>
      <x:c r="C385" s="2" t="str">
        <x:v>ST069</x:v>
      </x:c>
      <x:c r="D385" s="2" t="str">
        <x:v>d453525f57933d1df9d056e2e53ed3e4</x:v>
      </x:c>
      <x:c r="E385" s="2" t="str">
        <x:v>CHECK_IN</x:v>
      </x:c>
      <x:c r="F385" s="8" t="n">
        <x:v>46299.60444444445</x:v>
      </x:c>
      <x:c r="G385" s="8" t="n">
        <x:v>46299.604467592595</x:v>
      </x:c>
      <x:c r="H385" s="2" t="str">
        <x:v>SCH01</x:v>
      </x:c>
      <x:c r="I385" s="9" t="n">
        <x:v>25.285</x:v>
      </x:c>
      <x:c r="J385" s="9" t="n">
        <x:v>51.51</x:v>
      </x:c>
      <x:c r="K385" s="2" t="n">
        <x:v>8</x:v>
      </x:c>
      <x:c r="L385" s="2" t="str">
        <x:v>Valid</x:v>
      </x:c>
      <x:c r="M385" s="2" t="str">
        <x:v>QR</x:v>
      </x:c>
      <x:c r="N385" s="2" t="n">
        <x:v>1</x:v>
      </x:c>
      <x:c r="O385" s="2" t="str">
        <x:v>Accepted</x:v>
      </x:c>
      <x:c r="P385" s="2" t="str">
        <x:v>S002</x:v>
      </x:c>
      <x:c r="Q385" s="2" t="str">
        <x:v>DEV002</x:v>
      </x:c>
      <x:c r="R385" s="2" t="n">
        <x:v>9</x:v>
      </x:c>
      <x:c r="S385" s="2" t="str">
        <x:v>Online</x:v>
      </x:c>
      <x:c r="T385" s="2" t="str">
        <x:v>Synced</x:v>
      </x:c>
    </x:row>
    <x:row r="386" ht="21" customHeight="1">
      <x:c r="A386" s="2" t="str">
        <x:v>EV000455</x:v>
      </x:c>
      <x:c r="B386" s="2" t="str">
        <x:v>T20261004-4-3</x:v>
      </x:c>
      <x:c r="C386" s="2" t="str">
        <x:v>ST109</x:v>
      </x:c>
      <x:c r="D386" s="2" t="str">
        <x:v>dfd493c800846e3efc35048335bd557b</x:v>
      </x:c>
      <x:c r="E386" s="2" t="str">
        <x:v>CHECK_IN</x:v>
      </x:c>
      <x:c r="F386" s="8" t="n">
        <x:v>46299.60444444445</x:v>
      </x:c>
      <x:c r="G386" s="8" t="n">
        <x:v>46299.604467592595</x:v>
      </x:c>
      <x:c r="H386" s="2" t="str">
        <x:v>SCH01</x:v>
      </x:c>
      <x:c r="I386" s="9" t="n">
        <x:v>25.285</x:v>
      </x:c>
      <x:c r="J386" s="9" t="n">
        <x:v>51.51</x:v>
      </x:c>
      <x:c r="K386" s="2" t="n">
        <x:v>8</x:v>
      </x:c>
      <x:c r="L386" s="2" t="str">
        <x:v>Valid</x:v>
      </x:c>
      <x:c r="M386" s="2" t="str">
        <x:v>QR</x:v>
      </x:c>
      <x:c r="N386" s="2" t="n">
        <x:v>1</x:v>
      </x:c>
      <x:c r="O386" s="2" t="str">
        <x:v>Accepted</x:v>
      </x:c>
      <x:c r="P386" s="2" t="str">
        <x:v>S003</x:v>
      </x:c>
      <x:c r="Q386" s="2" t="str">
        <x:v>DEV003</x:v>
      </x:c>
      <x:c r="R386" s="2" t="n">
        <x:v>9</x:v>
      </x:c>
      <x:c r="S386" s="2" t="str">
        <x:v>Online</x:v>
      </x:c>
      <x:c r="T386" s="2" t="str">
        <x:v>Synced</x:v>
      </x:c>
    </x:row>
    <x:row r="387" ht="21" customHeight="1">
      <x:c r="A387" s="2" t="str">
        <x:v>EV000137</x:v>
      </x:c>
      <x:c r="B387" s="2" t="str">
        <x:v>T20261004-4-1</x:v>
      </x:c>
      <x:c r="C387" s="2" t="str">
        <x:v>ST030</x:v>
      </x:c>
      <x:c r="D387" s="2" t="str">
        <x:v>82585187c31166ddecfc4b31343dde64</x:v>
      </x:c>
      <x:c r="E387" s="2" t="str">
        <x:v>CHECK_IN</x:v>
      </x:c>
      <x:c r="F387" s="8" t="n">
        <x:v>46299.60447916667</x:v>
      </x:c>
      <x:c r="G387" s="8" t="n">
        <x:v>46299.60450231482</x:v>
      </x:c>
      <x:c r="H387" s="2" t="str">
        <x:v>SCH01</x:v>
      </x:c>
      <x:c r="I387" s="9" t="n">
        <x:v>25.285</x:v>
      </x:c>
      <x:c r="J387" s="9" t="n">
        <x:v>51.51</x:v>
      </x:c>
      <x:c r="K387" s="2" t="n">
        <x:v>8</x:v>
      </x:c>
      <x:c r="L387" s="2" t="str">
        <x:v>Valid</x:v>
      </x:c>
      <x:c r="M387" s="2" t="str">
        <x:v>QR</x:v>
      </x:c>
      <x:c r="N387" s="2" t="n">
        <x:v>1</x:v>
      </x:c>
      <x:c r="O387" s="2" t="str">
        <x:v>Accepted</x:v>
      </x:c>
      <x:c r="P387" s="2" t="str">
        <x:v>S001</x:v>
      </x:c>
      <x:c r="Q387" s="2" t="str">
        <x:v>DEV001</x:v>
      </x:c>
      <x:c r="R387" s="2" t="n">
        <x:v>10</x:v>
      </x:c>
      <x:c r="S387" s="2" t="str">
        <x:v>Online</x:v>
      </x:c>
      <x:c r="T387" s="2" t="str">
        <x:v>Synced</x:v>
      </x:c>
    </x:row>
    <x:row r="388" ht="21" customHeight="1">
      <x:c r="A388" s="2" t="str">
        <x:v>EV000297</x:v>
      </x:c>
      <x:c r="B388" s="2" t="str">
        <x:v>T20261004-4-2</x:v>
      </x:c>
      <x:c r="C388" s="2" t="str">
        <x:v>ST070</x:v>
      </x:c>
      <x:c r="D388" s="2" t="str">
        <x:v>12a9f1121533e9d2b6402c68cf852c16</x:v>
      </x:c>
      <x:c r="E388" s="2" t="str">
        <x:v>CHECK_IN</x:v>
      </x:c>
      <x:c r="F388" s="8" t="n">
        <x:v>46299.60447916667</x:v>
      </x:c>
      <x:c r="G388" s="8" t="n">
        <x:v>46299.60450231482</x:v>
      </x:c>
      <x:c r="H388" s="2" t="str">
        <x:v>SCH01</x:v>
      </x:c>
      <x:c r="I388" s="9" t="n">
        <x:v>25.285</x:v>
      </x:c>
      <x:c r="J388" s="9" t="n">
        <x:v>51.51</x:v>
      </x:c>
      <x:c r="K388" s="2" t="n">
        <x:v>8</x:v>
      </x:c>
      <x:c r="L388" s="2" t="str">
        <x:v>Valid</x:v>
      </x:c>
      <x:c r="M388" s="2" t="str">
        <x:v>QR</x:v>
      </x:c>
      <x:c r="N388" s="2" t="n">
        <x:v>1</x:v>
      </x:c>
      <x:c r="O388" s="2" t="str">
        <x:v>Accepted</x:v>
      </x:c>
      <x:c r="P388" s="2" t="str">
        <x:v>S002</x:v>
      </x:c>
      <x:c r="Q388" s="2" t="str">
        <x:v>DEV002</x:v>
      </x:c>
      <x:c r="R388" s="2" t="n">
        <x:v>10</x:v>
      </x:c>
      <x:c r="S388" s="2" t="str">
        <x:v>Online</x:v>
      </x:c>
      <x:c r="T388" s="2" t="str">
        <x:v>Synced</x:v>
      </x:c>
    </x:row>
    <x:row r="389" ht="21" customHeight="1">
      <x:c r="A389" s="2" t="str">
        <x:v>EV000457</x:v>
      </x:c>
      <x:c r="B389" s="2" t="str">
        <x:v>T20261004-4-3</x:v>
      </x:c>
      <x:c r="C389" s="2" t="str">
        <x:v>ST110</x:v>
      </x:c>
      <x:c r="D389" s="2" t="str">
        <x:v>4382c0cdcda89fb8cc0f5b9fc03b4c51</x:v>
      </x:c>
      <x:c r="E389" s="2" t="str">
        <x:v>CHECK_IN</x:v>
      </x:c>
      <x:c r="F389" s="8" t="n">
        <x:v>46299.60447916667</x:v>
      </x:c>
      <x:c r="G389" s="8" t="n">
        <x:v>46299.60450231482</x:v>
      </x:c>
      <x:c r="H389" s="2" t="str">
        <x:v>SCH01</x:v>
      </x:c>
      <x:c r="I389" s="9" t="n">
        <x:v>25.285</x:v>
      </x:c>
      <x:c r="J389" s="9" t="n">
        <x:v>51.51</x:v>
      </x:c>
      <x:c r="K389" s="2" t="n">
        <x:v>8</x:v>
      </x:c>
      <x:c r="L389" s="2" t="str">
        <x:v>Valid</x:v>
      </x:c>
      <x:c r="M389" s="2" t="str">
        <x:v>QR</x:v>
      </x:c>
      <x:c r="N389" s="2" t="n">
        <x:v>1</x:v>
      </x:c>
      <x:c r="O389" s="2" t="str">
        <x:v>Accepted</x:v>
      </x:c>
      <x:c r="P389" s="2" t="str">
        <x:v>S003</x:v>
      </x:c>
      <x:c r="Q389" s="2" t="str">
        <x:v>DEV003</x:v>
      </x:c>
      <x:c r="R389" s="2" t="n">
        <x:v>10</x:v>
      </x:c>
      <x:c r="S389" s="2" t="str">
        <x:v>Online</x:v>
      </x:c>
      <x:c r="T389" s="2" t="str">
        <x:v>Synced</x:v>
      </x:c>
    </x:row>
    <x:row r="390" ht="21" customHeight="1">
      <x:c r="A390" s="2" t="str">
        <x:v>EV000122</x:v>
      </x:c>
      <x:c r="B390" s="2" t="str">
        <x:v>T20261004-4-1</x:v>
      </x:c>
      <x:c r="C390" s="2" t="str">
        <x:v>ST022</x:v>
      </x:c>
      <x:c r="D390" s="2" t="str">
        <x:v>32e634064d0319251398d392c471332a</x:v>
      </x:c>
      <x:c r="E390" s="2" t="str">
        <x:v>CHECK_OUT</x:v>
      </x:c>
      <x:c r="F390" s="8" t="n">
        <x:v>46299.618784722225</x:v>
      </x:c>
      <x:c r="G390" s="8" t="n">
        <x:v>46299.61880787037</x:v>
      </x:c>
      <x:c r="H390" s="2" t="str">
        <x:v>R1S1</x:v>
      </x:c>
      <x:c r="I390" s="9" t="n">
        <x:v>25.271</x:v>
      </x:c>
      <x:c r="J390" s="9" t="n">
        <x:v>51.491</x:v>
      </x:c>
      <x:c r="K390" s="2" t="n">
        <x:v>8</x:v>
      </x:c>
      <x:c r="L390" s="2" t="str">
        <x:v>Valid</x:v>
      </x:c>
      <x:c r="M390" s="2" t="str">
        <x:v>QR</x:v>
      </x:c>
      <x:c r="N390" s="2" t="n">
        <x:v>1</x:v>
      </x:c>
      <x:c r="O390" s="2" t="str">
        <x:v>Accepted</x:v>
      </x:c>
      <x:c r="P390" s="2" t="str">
        <x:v>S001</x:v>
      </x:c>
      <x:c r="Q390" s="2" t="str">
        <x:v>DEV001</x:v>
      </x:c>
      <x:c r="R390" s="2" t="n">
        <x:v>11</x:v>
      </x:c>
      <x:c r="S390" s="2" t="str">
        <x:v>Online</x:v>
      </x:c>
      <x:c r="T390" s="2" t="str">
        <x:v>Synced</x:v>
      </x:c>
    </x:row>
    <x:row r="391" ht="21" customHeight="1">
      <x:c r="A391" s="2" t="str">
        <x:v>EV000282</x:v>
      </x:c>
      <x:c r="B391" s="2" t="str">
        <x:v>T20261004-4-2</x:v>
      </x:c>
      <x:c r="C391" s="2" t="str">
        <x:v>ST062</x:v>
      </x:c>
      <x:c r="D391" s="2" t="str">
        <x:v>e0ee324a0d8893ba89d7c618ea194e36</x:v>
      </x:c>
      <x:c r="E391" s="2" t="str">
        <x:v>CHECK_OUT</x:v>
      </x:c>
      <x:c r="F391" s="8" t="n">
        <x:v>46299.618784722225</x:v>
      </x:c>
      <x:c r="G391" s="8" t="n">
        <x:v>46299.61880787037</x:v>
      </x:c>
      <x:c r="H391" s="2" t="str">
        <x:v>R2S1</x:v>
      </x:c>
      <x:c r="I391" s="9" t="n">
        <x:v>25.28</x:v>
      </x:c>
      <x:c r="J391" s="9" t="n">
        <x:v>51.498999999999995</x:v>
      </x:c>
      <x:c r="K391" s="2" t="n">
        <x:v>8</x:v>
      </x:c>
      <x:c r="L391" s="2" t="str">
        <x:v>Valid</x:v>
      </x:c>
      <x:c r="M391" s="2" t="str">
        <x:v>QR</x:v>
      </x:c>
      <x:c r="N391" s="2" t="n">
        <x:v>1</x:v>
      </x:c>
      <x:c r="O391" s="2" t="str">
        <x:v>Accepted</x:v>
      </x:c>
      <x:c r="P391" s="2" t="str">
        <x:v>S002</x:v>
      </x:c>
      <x:c r="Q391" s="2" t="str">
        <x:v>DEV002</x:v>
      </x:c>
      <x:c r="R391" s="2" t="n">
        <x:v>11</x:v>
      </x:c>
      <x:c r="S391" s="2" t="str">
        <x:v>Online</x:v>
      </x:c>
      <x:c r="T391" s="2" t="str">
        <x:v>Synced</x:v>
      </x:c>
    </x:row>
    <x:row r="392" ht="21" customHeight="1">
      <x:c r="A392" s="2" t="str">
        <x:v>EV000442</x:v>
      </x:c>
      <x:c r="B392" s="2" t="str">
        <x:v>T20261004-4-3</x:v>
      </x:c>
      <x:c r="C392" s="2" t="str">
        <x:v>ST102</x:v>
      </x:c>
      <x:c r="D392" s="2" t="str">
        <x:v>6a90d57a6e4b5aedbdcdc5a29cf018e9</x:v>
      </x:c>
      <x:c r="E392" s="2" t="str">
        <x:v>CHECK_OUT</x:v>
      </x:c>
      <x:c r="F392" s="8" t="n">
        <x:v>46299.618784722225</x:v>
      </x:c>
      <x:c r="G392" s="8" t="n">
        <x:v>46299.61880787037</x:v>
      </x:c>
      <x:c r="H392" s="2" t="str">
        <x:v>R3S1</x:v>
      </x:c>
      <x:c r="I392" s="9" t="n">
        <x:v>25.289</x:v>
      </x:c>
      <x:c r="J392" s="9" t="n">
        <x:v>51.507</x:v>
      </x:c>
      <x:c r="K392" s="2" t="n">
        <x:v>8</x:v>
      </x:c>
      <x:c r="L392" s="2" t="str">
        <x:v>Valid</x:v>
      </x:c>
      <x:c r="M392" s="2" t="str">
        <x:v>QR</x:v>
      </x:c>
      <x:c r="N392" s="2" t="n">
        <x:v>1</x:v>
      </x:c>
      <x:c r="O392" s="2" t="str">
        <x:v>Accepted</x:v>
      </x:c>
      <x:c r="P392" s="2" t="str">
        <x:v>S003</x:v>
      </x:c>
      <x:c r="Q392" s="2" t="str">
        <x:v>DEV003</x:v>
      </x:c>
      <x:c r="R392" s="2" t="n">
        <x:v>11</x:v>
      </x:c>
      <x:c r="S392" s="2" t="str">
        <x:v>Online</x:v>
      </x:c>
      <x:c r="T392" s="2" t="str">
        <x:v>Synced</x:v>
      </x:c>
    </x:row>
    <x:row r="393" ht="21" customHeight="1">
      <x:c r="A393" s="2" t="str">
        <x:v>EV000128</x:v>
      </x:c>
      <x:c r="B393" s="2" t="str">
        <x:v>T20261004-4-1</x:v>
      </x:c>
      <x:c r="C393" s="2" t="str">
        <x:v>ST025</x:v>
      </x:c>
      <x:c r="D393" s="2" t="str">
        <x:v>caea48c43f4ccfa85999e7cb546cd774</x:v>
      </x:c>
      <x:c r="E393" s="2" t="str">
        <x:v>CHECK_OUT</x:v>
      </x:c>
      <x:c r="F393" s="8" t="n">
        <x:v>46299.618888888894</x:v>
      </x:c>
      <x:c r="G393" s="8" t="n">
        <x:v>46299.61891203704</x:v>
      </x:c>
      <x:c r="H393" s="2" t="str">
        <x:v>R1S1</x:v>
      </x:c>
      <x:c r="I393" s="9" t="n">
        <x:v>25.271</x:v>
      </x:c>
      <x:c r="J393" s="9" t="n">
        <x:v>51.491</x:v>
      </x:c>
      <x:c r="K393" s="2" t="n">
        <x:v>8</x:v>
      </x:c>
      <x:c r="L393" s="2" t="str">
        <x:v>Valid</x:v>
      </x:c>
      <x:c r="M393" s="2" t="str">
        <x:v>QR</x:v>
      </x:c>
      <x:c r="N393" s="2" t="n">
        <x:v>1</x:v>
      </x:c>
      <x:c r="O393" s="2" t="str">
        <x:v>Accepted</x:v>
      </x:c>
      <x:c r="P393" s="2" t="str">
        <x:v>S001</x:v>
      </x:c>
      <x:c r="Q393" s="2" t="str">
        <x:v>DEV001</x:v>
      </x:c>
      <x:c r="R393" s="2" t="n">
        <x:v>12</x:v>
      </x:c>
      <x:c r="S393" s="2" t="str">
        <x:v>Online</x:v>
      </x:c>
      <x:c r="T393" s="2" t="str">
        <x:v>Synced</x:v>
      </x:c>
    </x:row>
    <x:row r="394" ht="21" customHeight="1">
      <x:c r="A394" s="2" t="str">
        <x:v>EV000288</x:v>
      </x:c>
      <x:c r="B394" s="2" t="str">
        <x:v>T20261004-4-2</x:v>
      </x:c>
      <x:c r="C394" s="2" t="str">
        <x:v>ST065</x:v>
      </x:c>
      <x:c r="D394" s="2" t="str">
        <x:v>6b379c82348acc8be3e0d247197a20bf</x:v>
      </x:c>
      <x:c r="E394" s="2" t="str">
        <x:v>CHECK_OUT</x:v>
      </x:c>
      <x:c r="F394" s="8" t="n">
        <x:v>46299.618888888894</x:v>
      </x:c>
      <x:c r="G394" s="8" t="n">
        <x:v>46299.61891203704</x:v>
      </x:c>
      <x:c r="H394" s="2" t="str">
        <x:v>R2S1</x:v>
      </x:c>
      <x:c r="I394" s="9" t="n">
        <x:v>25.28</x:v>
      </x:c>
      <x:c r="J394" s="9" t="n">
        <x:v>51.498999999999995</x:v>
      </x:c>
      <x:c r="K394" s="2" t="n">
        <x:v>8</x:v>
      </x:c>
      <x:c r="L394" s="2" t="str">
        <x:v>Valid</x:v>
      </x:c>
      <x:c r="M394" s="2" t="str">
        <x:v>QR</x:v>
      </x:c>
      <x:c r="N394" s="2" t="n">
        <x:v>1</x:v>
      </x:c>
      <x:c r="O394" s="2" t="str">
        <x:v>Accepted</x:v>
      </x:c>
      <x:c r="P394" s="2" t="str">
        <x:v>S002</x:v>
      </x:c>
      <x:c r="Q394" s="2" t="str">
        <x:v>DEV002</x:v>
      </x:c>
      <x:c r="R394" s="2" t="n">
        <x:v>12</x:v>
      </x:c>
      <x:c r="S394" s="2" t="str">
        <x:v>Online</x:v>
      </x:c>
      <x:c r="T394" s="2" t="str">
        <x:v>Synced</x:v>
      </x:c>
    </x:row>
    <x:row r="395" ht="21" customHeight="1">
      <x:c r="A395" s="2" t="str">
        <x:v>EV000448</x:v>
      </x:c>
      <x:c r="B395" s="2" t="str">
        <x:v>T20261004-4-3</x:v>
      </x:c>
      <x:c r="C395" s="2" t="str">
        <x:v>ST105</x:v>
      </x:c>
      <x:c r="D395" s="2" t="str">
        <x:v>bbd3ba75eaabf5ca3acef3823a75d885</x:v>
      </x:c>
      <x:c r="E395" s="2" t="str">
        <x:v>CHECK_OUT</x:v>
      </x:c>
      <x:c r="F395" s="8" t="n">
        <x:v>46299.618888888894</x:v>
      </x:c>
      <x:c r="G395" s="8" t="n">
        <x:v>46299.61891203704</x:v>
      </x:c>
      <x:c r="H395" s="2" t="str">
        <x:v>R3S1</x:v>
      </x:c>
      <x:c r="I395" s="9" t="n">
        <x:v>25.289</x:v>
      </x:c>
      <x:c r="J395" s="9" t="n">
        <x:v>51.507</x:v>
      </x:c>
      <x:c r="K395" s="2" t="n">
        <x:v>8</x:v>
      </x:c>
      <x:c r="L395" s="2" t="str">
        <x:v>Valid</x:v>
      </x:c>
      <x:c r="M395" s="2" t="str">
        <x:v>QR</x:v>
      </x:c>
      <x:c r="N395" s="2" t="n">
        <x:v>1</x:v>
      </x:c>
      <x:c r="O395" s="2" t="str">
        <x:v>Accepted</x:v>
      </x:c>
      <x:c r="P395" s="2" t="str">
        <x:v>S003</x:v>
      </x:c>
      <x:c r="Q395" s="2" t="str">
        <x:v>DEV003</x:v>
      </x:c>
      <x:c r="R395" s="2" t="n">
        <x:v>12</x:v>
      </x:c>
      <x:c r="S395" s="2" t="str">
        <x:v>Online</x:v>
      </x:c>
      <x:c r="T395" s="2" t="str">
        <x:v>Synced</x:v>
      </x:c>
    </x:row>
    <x:row r="396" ht="21" customHeight="1">
      <x:c r="A396" s="2" t="str">
        <x:v>EV000134</x:v>
      </x:c>
      <x:c r="B396" s="2" t="str">
        <x:v>T20261004-4-1</x:v>
      </x:c>
      <x:c r="C396" s="2" t="str">
        <x:v>ST028</x:v>
      </x:c>
      <x:c r="D396" s="2" t="str">
        <x:v>af9ca502f5a3f54f1f44ea6d11afd24b</x:v>
      </x:c>
      <x:c r="E396" s="2" t="str">
        <x:v>CHECK_OUT</x:v>
      </x:c>
      <x:c r="F396" s="8" t="n">
        <x:v>46299.618993055556</x:v>
      </x:c>
      <x:c r="G396" s="8" t="n">
        <x:v>46299.6190162037</x:v>
      </x:c>
      <x:c r="H396" s="2" t="str">
        <x:v>R1S1</x:v>
      </x:c>
      <x:c r="I396" s="9" t="n">
        <x:v>25.271</x:v>
      </x:c>
      <x:c r="J396" s="9" t="n">
        <x:v>51.491</x:v>
      </x:c>
      <x:c r="K396" s="2" t="n">
        <x:v>8</x:v>
      </x:c>
      <x:c r="L396" s="2" t="str">
        <x:v>Valid</x:v>
      </x:c>
      <x:c r="M396" s="2" t="str">
        <x:v>QR</x:v>
      </x:c>
      <x:c r="N396" s="2" t="n">
        <x:v>1</x:v>
      </x:c>
      <x:c r="O396" s="2" t="str">
        <x:v>Accepted</x:v>
      </x:c>
      <x:c r="P396" s="2" t="str">
        <x:v>S001</x:v>
      </x:c>
      <x:c r="Q396" s="2" t="str">
        <x:v>DEV001</x:v>
      </x:c>
      <x:c r="R396" s="2" t="n">
        <x:v>13</x:v>
      </x:c>
      <x:c r="S396" s="2" t="str">
        <x:v>Online</x:v>
      </x:c>
      <x:c r="T396" s="2" t="str">
        <x:v>Synced</x:v>
      </x:c>
    </x:row>
    <x:row r="397" ht="21" customHeight="1">
      <x:c r="A397" s="2" t="str">
        <x:v>EV000294</x:v>
      </x:c>
      <x:c r="B397" s="2" t="str">
        <x:v>T20261004-4-2</x:v>
      </x:c>
      <x:c r="C397" s="2" t="str">
        <x:v>ST068</x:v>
      </x:c>
      <x:c r="D397" s="2" t="str">
        <x:v>6d9af84dd25561b8b07e5e166ae4982a</x:v>
      </x:c>
      <x:c r="E397" s="2" t="str">
        <x:v>CHECK_OUT</x:v>
      </x:c>
      <x:c r="F397" s="8" t="n">
        <x:v>46299.618993055556</x:v>
      </x:c>
      <x:c r="G397" s="8" t="n">
        <x:v>46299.6190162037</x:v>
      </x:c>
      <x:c r="H397" s="2" t="str">
        <x:v>R2S1</x:v>
      </x:c>
      <x:c r="I397" s="9" t="n">
        <x:v>25.28</x:v>
      </x:c>
      <x:c r="J397" s="9" t="n">
        <x:v>51.498999999999995</x:v>
      </x:c>
      <x:c r="K397" s="2" t="n">
        <x:v>8</x:v>
      </x:c>
      <x:c r="L397" s="2" t="str">
        <x:v>Valid</x:v>
      </x:c>
      <x:c r="M397" s="2" t="str">
        <x:v>QR</x:v>
      </x:c>
      <x:c r="N397" s="2" t="n">
        <x:v>1</x:v>
      </x:c>
      <x:c r="O397" s="2" t="str">
        <x:v>Accepted</x:v>
      </x:c>
      <x:c r="P397" s="2" t="str">
        <x:v>S002</x:v>
      </x:c>
      <x:c r="Q397" s="2" t="str">
        <x:v>DEV002</x:v>
      </x:c>
      <x:c r="R397" s="2" t="n">
        <x:v>13</x:v>
      </x:c>
      <x:c r="S397" s="2" t="str">
        <x:v>Online</x:v>
      </x:c>
      <x:c r="T397" s="2" t="str">
        <x:v>Synced</x:v>
      </x:c>
    </x:row>
    <x:row r="398" ht="21" customHeight="1">
      <x:c r="A398" s="2" t="str">
        <x:v>EV000454</x:v>
      </x:c>
      <x:c r="B398" s="2" t="str">
        <x:v>T20261004-4-3</x:v>
      </x:c>
      <x:c r="C398" s="2" t="str">
        <x:v>ST108</x:v>
      </x:c>
      <x:c r="D398" s="2" t="str">
        <x:v>85ef3b20338dfa9afdf3ae5a4b1ced5c</x:v>
      </x:c>
      <x:c r="E398" s="2" t="str">
        <x:v>CHECK_OUT</x:v>
      </x:c>
      <x:c r="F398" s="8" t="n">
        <x:v>46299.618993055556</x:v>
      </x:c>
      <x:c r="G398" s="8" t="n">
        <x:v>46299.6190162037</x:v>
      </x:c>
      <x:c r="H398" s="2" t="str">
        <x:v>R3S1</x:v>
      </x:c>
      <x:c r="I398" s="9" t="n">
        <x:v>25.289</x:v>
      </x:c>
      <x:c r="J398" s="9" t="n">
        <x:v>51.507</x:v>
      </x:c>
      <x:c r="K398" s="2" t="n">
        <x:v>8</x:v>
      </x:c>
      <x:c r="L398" s="2" t="str">
        <x:v>Valid</x:v>
      </x:c>
      <x:c r="M398" s="2" t="str">
        <x:v>QR</x:v>
      </x:c>
      <x:c r="N398" s="2" t="n">
        <x:v>1</x:v>
      </x:c>
      <x:c r="O398" s="2" t="str">
        <x:v>Accepted</x:v>
      </x:c>
      <x:c r="P398" s="2" t="str">
        <x:v>S003</x:v>
      </x:c>
      <x:c r="Q398" s="2" t="str">
        <x:v>DEV003</x:v>
      </x:c>
      <x:c r="R398" s="2" t="n">
        <x:v>13</x:v>
      </x:c>
      <x:c r="S398" s="2" t="str">
        <x:v>Online</x:v>
      </x:c>
      <x:c r="T398" s="2" t="str">
        <x:v>Synced</x:v>
      </x:c>
    </x:row>
    <x:row r="399" ht="21" customHeight="1">
      <x:c r="A399" s="2" t="str">
        <x:v>EV000124</x:v>
      </x:c>
      <x:c r="B399" s="2" t="str">
        <x:v>T20261004-4-1</x:v>
      </x:c>
      <x:c r="C399" s="2" t="str">
        <x:v>ST023</x:v>
      </x:c>
      <x:c r="D399" s="2" t="str">
        <x:v>1836074fce688580737a08d14a26fa79</x:v>
      </x:c>
      <x:c r="E399" s="2" t="str">
        <x:v>CHECK_OUT</x:v>
      </x:c>
      <x:c r="F399" s="8" t="n">
        <x:v>46299.62298611111</x:v>
      </x:c>
      <x:c r="G399" s="8" t="n">
        <x:v>46299.62300925926</x:v>
      </x:c>
      <x:c r="H399" s="2" t="str">
        <x:v>R1S2</x:v>
      </x:c>
      <x:c r="I399" s="9" t="n">
        <x:v>25.273000000000003</x:v>
      </x:c>
      <x:c r="J399" s="9" t="n">
        <x:v>51.494</x:v>
      </x:c>
      <x:c r="K399" s="2" t="n">
        <x:v>8</x:v>
      </x:c>
      <x:c r="L399" s="2" t="str">
        <x:v>Valid</x:v>
      </x:c>
      <x:c r="M399" s="2" t="str">
        <x:v>QR</x:v>
      </x:c>
      <x:c r="N399" s="2" t="n">
        <x:v>1</x:v>
      </x:c>
      <x:c r="O399" s="2" t="str">
        <x:v>Accepted</x:v>
      </x:c>
      <x:c r="P399" s="2" t="str">
        <x:v>S001</x:v>
      </x:c>
      <x:c r="Q399" s="2" t="str">
        <x:v>DEV001</x:v>
      </x:c>
      <x:c r="R399" s="2" t="n">
        <x:v>14</x:v>
      </x:c>
      <x:c r="S399" s="2" t="str">
        <x:v>Online</x:v>
      </x:c>
      <x:c r="T399" s="2" t="str">
        <x:v>Synced</x:v>
      </x:c>
    </x:row>
    <x:row r="400" ht="21" customHeight="1">
      <x:c r="A400" s="2" t="str">
        <x:v>EV000284</x:v>
      </x:c>
      <x:c r="B400" s="2" t="str">
        <x:v>T20261004-4-2</x:v>
      </x:c>
      <x:c r="C400" s="2" t="str">
        <x:v>ST063</x:v>
      </x:c>
      <x:c r="D400" s="2" t="str">
        <x:v>46a3e8e97cbe04af0173a75d9cdbcebf</x:v>
      </x:c>
      <x:c r="E400" s="2" t="str">
        <x:v>CHECK_OUT</x:v>
      </x:c>
      <x:c r="F400" s="8" t="n">
        <x:v>46299.62298611111</x:v>
      </x:c>
      <x:c r="G400" s="8" t="n">
        <x:v>46299.62300925926</x:v>
      </x:c>
      <x:c r="H400" s="2" t="str">
        <x:v>R2S2</x:v>
      </x:c>
      <x:c r="I400" s="9" t="n">
        <x:v>25.282000000000004</x:v>
      </x:c>
      <x:c r="J400" s="9" t="n">
        <x:v>51.501999999999995</x:v>
      </x:c>
      <x:c r="K400" s="2" t="n">
        <x:v>8</x:v>
      </x:c>
      <x:c r="L400" s="2" t="str">
        <x:v>Valid</x:v>
      </x:c>
      <x:c r="M400" s="2" t="str">
        <x:v>QR</x:v>
      </x:c>
      <x:c r="N400" s="2" t="n">
        <x:v>1</x:v>
      </x:c>
      <x:c r="O400" s="2" t="str">
        <x:v>Accepted</x:v>
      </x:c>
      <x:c r="P400" s="2" t="str">
        <x:v>S002</x:v>
      </x:c>
      <x:c r="Q400" s="2" t="str">
        <x:v>DEV002</x:v>
      </x:c>
      <x:c r="R400" s="2" t="n">
        <x:v>14</x:v>
      </x:c>
      <x:c r="S400" s="2" t="str">
        <x:v>Online</x:v>
      </x:c>
      <x:c r="T400" s="2" t="str">
        <x:v>Synced</x:v>
      </x:c>
    </x:row>
    <x:row r="401" ht="21" customHeight="1">
      <x:c r="A401" s="2" t="str">
        <x:v>EV000444</x:v>
      </x:c>
      <x:c r="B401" s="2" t="str">
        <x:v>T20261004-4-3</x:v>
      </x:c>
      <x:c r="C401" s="2" t="str">
        <x:v>ST103</x:v>
      </x:c>
      <x:c r="D401" s="2" t="str">
        <x:v>5982cfca835e14d82ed8b6562c1a172d</x:v>
      </x:c>
      <x:c r="E401" s="2" t="str">
        <x:v>CHECK_OUT</x:v>
      </x:c>
      <x:c r="F401" s="8" t="n">
        <x:v>46299.62298611111</x:v>
      </x:c>
      <x:c r="G401" s="8" t="n">
        <x:v>46299.62300925926</x:v>
      </x:c>
      <x:c r="H401" s="2" t="str">
        <x:v>R3S2</x:v>
      </x:c>
      <x:c r="I401" s="9" t="n">
        <x:v>25.291000000000004</x:v>
      </x:c>
      <x:c r="J401" s="9" t="n">
        <x:v>51.51</x:v>
      </x:c>
      <x:c r="K401" s="2" t="n">
        <x:v>8</x:v>
      </x:c>
      <x:c r="L401" s="2" t="str">
        <x:v>Valid</x:v>
      </x:c>
      <x:c r="M401" s="2" t="str">
        <x:v>QR</x:v>
      </x:c>
      <x:c r="N401" s="2" t="n">
        <x:v>1</x:v>
      </x:c>
      <x:c r="O401" s="2" t="str">
        <x:v>Accepted</x:v>
      </x:c>
      <x:c r="P401" s="2" t="str">
        <x:v>S003</x:v>
      </x:c>
      <x:c r="Q401" s="2" t="str">
        <x:v>DEV003</x:v>
      </x:c>
      <x:c r="R401" s="2" t="n">
        <x:v>14</x:v>
      </x:c>
      <x:c r="S401" s="2" t="str">
        <x:v>Online</x:v>
      </x:c>
      <x:c r="T401" s="2" t="str">
        <x:v>Synced</x:v>
      </x:c>
    </x:row>
    <x:row r="402" ht="21" customHeight="1">
      <x:c r="A402" s="2" t="str">
        <x:v>EV000130</x:v>
      </x:c>
      <x:c r="B402" s="2" t="str">
        <x:v>T20261004-4-1</x:v>
      </x:c>
      <x:c r="C402" s="2" t="str">
        <x:v>ST026</x:v>
      </x:c>
      <x:c r="D402" s="2" t="str">
        <x:v>56aea196eabcf09e1199afbd5e8907b0</x:v>
      </x:c>
      <x:c r="E402" s="2" t="str">
        <x:v>CHECK_OUT</x:v>
      </x:c>
      <x:c r="F402" s="8" t="n">
        <x:v>46299.623090277775</x:v>
      </x:c>
      <x:c r="G402" s="8" t="n">
        <x:v>46299.62311342592</x:v>
      </x:c>
      <x:c r="H402" s="2" t="str">
        <x:v>R1S2</x:v>
      </x:c>
      <x:c r="I402" s="9" t="n">
        <x:v>25.273000000000003</x:v>
      </x:c>
      <x:c r="J402" s="9" t="n">
        <x:v>51.494</x:v>
      </x:c>
      <x:c r="K402" s="2" t="n">
        <x:v>8</x:v>
      </x:c>
      <x:c r="L402" s="2" t="str">
        <x:v>Valid</x:v>
      </x:c>
      <x:c r="M402" s="2" t="str">
        <x:v>QR</x:v>
      </x:c>
      <x:c r="N402" s="2" t="n">
        <x:v>1</x:v>
      </x:c>
      <x:c r="O402" s="2" t="str">
        <x:v>Accepted</x:v>
      </x:c>
      <x:c r="P402" s="2" t="str">
        <x:v>S001</x:v>
      </x:c>
      <x:c r="Q402" s="2" t="str">
        <x:v>DEV001</x:v>
      </x:c>
      <x:c r="R402" s="2" t="n">
        <x:v>15</x:v>
      </x:c>
      <x:c r="S402" s="2" t="str">
        <x:v>Online</x:v>
      </x:c>
      <x:c r="T402" s="2" t="str">
        <x:v>Synced</x:v>
      </x:c>
    </x:row>
    <x:row r="403" ht="21" customHeight="1">
      <x:c r="A403" s="2" t="str">
        <x:v>EV000290</x:v>
      </x:c>
      <x:c r="B403" s="2" t="str">
        <x:v>T20261004-4-2</x:v>
      </x:c>
      <x:c r="C403" s="2" t="str">
        <x:v>ST066</x:v>
      </x:c>
      <x:c r="D403" s="2" t="str">
        <x:v>f1ae8019085f4d0a77552e53fdc22aa7</x:v>
      </x:c>
      <x:c r="E403" s="2" t="str">
        <x:v>CHECK_OUT</x:v>
      </x:c>
      <x:c r="F403" s="8" t="n">
        <x:v>46299.623090277775</x:v>
      </x:c>
      <x:c r="G403" s="8" t="n">
        <x:v>46299.62311342592</x:v>
      </x:c>
      <x:c r="H403" s="2" t="str">
        <x:v>R2S2</x:v>
      </x:c>
      <x:c r="I403" s="9" t="n">
        <x:v>25.282000000000004</x:v>
      </x:c>
      <x:c r="J403" s="9" t="n">
        <x:v>51.501999999999995</x:v>
      </x:c>
      <x:c r="K403" s="2" t="n">
        <x:v>8</x:v>
      </x:c>
      <x:c r="L403" s="2" t="str">
        <x:v>Valid</x:v>
      </x:c>
      <x:c r="M403" s="2" t="str">
        <x:v>QR</x:v>
      </x:c>
      <x:c r="N403" s="2" t="n">
        <x:v>1</x:v>
      </x:c>
      <x:c r="O403" s="2" t="str">
        <x:v>Accepted</x:v>
      </x:c>
      <x:c r="P403" s="2" t="str">
        <x:v>S002</x:v>
      </x:c>
      <x:c r="Q403" s="2" t="str">
        <x:v>DEV002</x:v>
      </x:c>
      <x:c r="R403" s="2" t="n">
        <x:v>15</x:v>
      </x:c>
      <x:c r="S403" s="2" t="str">
        <x:v>Online</x:v>
      </x:c>
      <x:c r="T403" s="2" t="str">
        <x:v>Synced</x:v>
      </x:c>
    </x:row>
    <x:row r="404" ht="21" customHeight="1">
      <x:c r="A404" s="2" t="str">
        <x:v>EV000450</x:v>
      </x:c>
      <x:c r="B404" s="2" t="str">
        <x:v>T20261004-4-3</x:v>
      </x:c>
      <x:c r="C404" s="2" t="str">
        <x:v>ST106</x:v>
      </x:c>
      <x:c r="D404" s="2" t="str">
        <x:v>9bd191644f26d4fc266418c96f36f10b</x:v>
      </x:c>
      <x:c r="E404" s="2" t="str">
        <x:v>CHECK_OUT</x:v>
      </x:c>
      <x:c r="F404" s="8" t="n">
        <x:v>46299.623090277775</x:v>
      </x:c>
      <x:c r="G404" s="8" t="n">
        <x:v>46299.62311342592</x:v>
      </x:c>
      <x:c r="H404" s="2" t="str">
        <x:v>R3S2</x:v>
      </x:c>
      <x:c r="I404" s="9" t="n">
        <x:v>25.291000000000004</x:v>
      </x:c>
      <x:c r="J404" s="9" t="n">
        <x:v>51.51</x:v>
      </x:c>
      <x:c r="K404" s="2" t="n">
        <x:v>8</x:v>
      </x:c>
      <x:c r="L404" s="2" t="str">
        <x:v>Valid</x:v>
      </x:c>
      <x:c r="M404" s="2" t="str">
        <x:v>QR</x:v>
      </x:c>
      <x:c r="N404" s="2" t="n">
        <x:v>1</x:v>
      </x:c>
      <x:c r="O404" s="2" t="str">
        <x:v>Accepted</x:v>
      </x:c>
      <x:c r="P404" s="2" t="str">
        <x:v>S003</x:v>
      </x:c>
      <x:c r="Q404" s="2" t="str">
        <x:v>DEV003</x:v>
      </x:c>
      <x:c r="R404" s="2" t="n">
        <x:v>15</x:v>
      </x:c>
      <x:c r="S404" s="2" t="str">
        <x:v>Online</x:v>
      </x:c>
      <x:c r="T404" s="2" t="str">
        <x:v>Synced</x:v>
      </x:c>
    </x:row>
    <x:row r="405" ht="21" customHeight="1">
      <x:c r="A405" s="2" t="str">
        <x:v>EV000136</x:v>
      </x:c>
      <x:c r="B405" s="2" t="str">
        <x:v>T20261004-4-1</x:v>
      </x:c>
      <x:c r="C405" s="2" t="str">
        <x:v>ST029</x:v>
      </x:c>
      <x:c r="D405" s="2" t="str">
        <x:v>160c4caa69875e092299cd9b55dcda0b</x:v>
      </x:c>
      <x:c r="E405" s="2" t="str">
        <x:v>CHECK_OUT</x:v>
      </x:c>
      <x:c r="F405" s="8" t="n">
        <x:v>46299.623194444444</x:v>
      </x:c>
      <x:c r="G405" s="8" t="n">
        <x:v>46299.62321759259</x:v>
      </x:c>
      <x:c r="H405" s="2" t="str">
        <x:v>R1S2</x:v>
      </x:c>
      <x:c r="I405" s="9" t="n">
        <x:v>25.273000000000003</x:v>
      </x:c>
      <x:c r="J405" s="9" t="n">
        <x:v>51.494</x:v>
      </x:c>
      <x:c r="K405" s="2" t="n">
        <x:v>8</x:v>
      </x:c>
      <x:c r="L405" s="2" t="str">
        <x:v>Valid</x:v>
      </x:c>
      <x:c r="M405" s="2" t="str">
        <x:v>QR</x:v>
      </x:c>
      <x:c r="N405" s="2" t="n">
        <x:v>1</x:v>
      </x:c>
      <x:c r="O405" s="2" t="str">
        <x:v>Accepted</x:v>
      </x:c>
      <x:c r="P405" s="2" t="str">
        <x:v>S001</x:v>
      </x:c>
      <x:c r="Q405" s="2" t="str">
        <x:v>DEV001</x:v>
      </x:c>
      <x:c r="R405" s="2" t="n">
        <x:v>16</x:v>
      </x:c>
      <x:c r="S405" s="2" t="str">
        <x:v>Online</x:v>
      </x:c>
      <x:c r="T405" s="2" t="str">
        <x:v>Synced</x:v>
      </x:c>
    </x:row>
    <x:row r="406" ht="21" customHeight="1">
      <x:c r="A406" s="2" t="str">
        <x:v>EV000296</x:v>
      </x:c>
      <x:c r="B406" s="2" t="str">
        <x:v>T20261004-4-2</x:v>
      </x:c>
      <x:c r="C406" s="2" t="str">
        <x:v>ST069</x:v>
      </x:c>
      <x:c r="D406" s="2" t="str">
        <x:v>d453525f57933d1df9d056e2e53ed3e4</x:v>
      </x:c>
      <x:c r="E406" s="2" t="str">
        <x:v>CHECK_OUT</x:v>
      </x:c>
      <x:c r="F406" s="8" t="n">
        <x:v>46299.623194444444</x:v>
      </x:c>
      <x:c r="G406" s="8" t="n">
        <x:v>46299.62321759259</x:v>
      </x:c>
      <x:c r="H406" s="2" t="str">
        <x:v>R2S2</x:v>
      </x:c>
      <x:c r="I406" s="9" t="n">
        <x:v>25.282000000000004</x:v>
      </x:c>
      <x:c r="J406" s="9" t="n">
        <x:v>51.501999999999995</x:v>
      </x:c>
      <x:c r="K406" s="2" t="n">
        <x:v>8</x:v>
      </x:c>
      <x:c r="L406" s="2" t="str">
        <x:v>Valid</x:v>
      </x:c>
      <x:c r="M406" s="2" t="str">
        <x:v>QR</x:v>
      </x:c>
      <x:c r="N406" s="2" t="n">
        <x:v>1</x:v>
      </x:c>
      <x:c r="O406" s="2" t="str">
        <x:v>Accepted</x:v>
      </x:c>
      <x:c r="P406" s="2" t="str">
        <x:v>S002</x:v>
      </x:c>
      <x:c r="Q406" s="2" t="str">
        <x:v>DEV002</x:v>
      </x:c>
      <x:c r="R406" s="2" t="n">
        <x:v>16</x:v>
      </x:c>
      <x:c r="S406" s="2" t="str">
        <x:v>Online</x:v>
      </x:c>
      <x:c r="T406" s="2" t="str">
        <x:v>Synced</x:v>
      </x:c>
    </x:row>
    <x:row r="407" ht="21" customHeight="1">
      <x:c r="A407" s="2" t="str">
        <x:v>EV000456</x:v>
      </x:c>
      <x:c r="B407" s="2" t="str">
        <x:v>T20261004-4-3</x:v>
      </x:c>
      <x:c r="C407" s="2" t="str">
        <x:v>ST109</x:v>
      </x:c>
      <x:c r="D407" s="2" t="str">
        <x:v>dfd493c800846e3efc35048335bd557b</x:v>
      </x:c>
      <x:c r="E407" s="2" t="str">
        <x:v>CHECK_OUT</x:v>
      </x:c>
      <x:c r="F407" s="8" t="n">
        <x:v>46299.623194444444</x:v>
      </x:c>
      <x:c r="G407" s="8" t="n">
        <x:v>46299.62321759259</x:v>
      </x:c>
      <x:c r="H407" s="2" t="str">
        <x:v>R3S2</x:v>
      </x:c>
      <x:c r="I407" s="9" t="n">
        <x:v>25.291000000000004</x:v>
      </x:c>
      <x:c r="J407" s="9" t="n">
        <x:v>51.51</x:v>
      </x:c>
      <x:c r="K407" s="2" t="n">
        <x:v>8</x:v>
      </x:c>
      <x:c r="L407" s="2" t="str">
        <x:v>Valid</x:v>
      </x:c>
      <x:c r="M407" s="2" t="str">
        <x:v>QR</x:v>
      </x:c>
      <x:c r="N407" s="2" t="n">
        <x:v>1</x:v>
      </x:c>
      <x:c r="O407" s="2" t="str">
        <x:v>Accepted</x:v>
      </x:c>
      <x:c r="P407" s="2" t="str">
        <x:v>S003</x:v>
      </x:c>
      <x:c r="Q407" s="2" t="str">
        <x:v>DEV003</x:v>
      </x:c>
      <x:c r="R407" s="2" t="n">
        <x:v>16</x:v>
      </x:c>
      <x:c r="S407" s="2" t="str">
        <x:v>Online</x:v>
      </x:c>
      <x:c r="T407" s="2" t="str">
        <x:v>Synced</x:v>
      </x:c>
    </x:row>
    <x:row r="408" ht="21" customHeight="1">
      <x:c r="A408" s="2" t="str">
        <x:v>EV000120</x:v>
      </x:c>
      <x:c r="B408" s="2" t="str">
        <x:v>T20261004-4-1</x:v>
      </x:c>
      <x:c r="C408" s="2" t="str">
        <x:v>ST021</x:v>
      </x:c>
      <x:c r="D408" s="2" t="str">
        <x:v>9b1608e5663d6da53cd805c8051dedd7</x:v>
      </x:c>
      <x:c r="E408" s="2" t="str">
        <x:v>CHECK_OUT</x:v>
      </x:c>
      <x:c r="F408" s="8" t="n">
        <x:v>46299.62708333333</x:v>
      </x:c>
      <x:c r="G408" s="8" t="n">
        <x:v>46299.62710648148</x:v>
      </x:c>
      <x:c r="H408" s="2" t="str">
        <x:v>R1S3</x:v>
      </x:c>
      <x:c r="I408" s="9" t="n">
        <x:v>25.275000000000002</x:v>
      </x:c>
      <x:c r="J408" s="9" t="n">
        <x:v>51.497</x:v>
      </x:c>
      <x:c r="K408" s="2" t="n">
        <x:v>8</x:v>
      </x:c>
      <x:c r="L408" s="2" t="str">
        <x:v>Valid</x:v>
      </x:c>
      <x:c r="M408" s="2" t="str">
        <x:v>QR</x:v>
      </x:c>
      <x:c r="N408" s="2" t="n">
        <x:v>1</x:v>
      </x:c>
      <x:c r="O408" s="2" t="str">
        <x:v>Accepted</x:v>
      </x:c>
      <x:c r="P408" s="2" t="str">
        <x:v>S001</x:v>
      </x:c>
      <x:c r="Q408" s="2" t="str">
        <x:v>DEV001</x:v>
      </x:c>
      <x:c r="R408" s="2" t="n">
        <x:v>17</x:v>
      </x:c>
      <x:c r="S408" s="2" t="str">
        <x:v>Online</x:v>
      </x:c>
      <x:c r="T408" s="2" t="str">
        <x:v>Synced</x:v>
      </x:c>
    </x:row>
    <x:row r="409" ht="21" customHeight="1">
      <x:c r="A409" s="2" t="str">
        <x:v>EV000280</x:v>
      </x:c>
      <x:c r="B409" s="2" t="str">
        <x:v>T20261004-4-2</x:v>
      </x:c>
      <x:c r="C409" s="2" t="str">
        <x:v>ST061</x:v>
      </x:c>
      <x:c r="D409" s="2" t="str">
        <x:v>c547cb31f14853ae1f9f2436554d3271</x:v>
      </x:c>
      <x:c r="E409" s="2" t="str">
        <x:v>CHECK_OUT</x:v>
      </x:c>
      <x:c r="F409" s="8" t="n">
        <x:v>46299.62708333333</x:v>
      </x:c>
      <x:c r="G409" s="8" t="n">
        <x:v>46299.62710648148</x:v>
      </x:c>
      <x:c r="H409" s="2" t="str">
        <x:v>R2S3</x:v>
      </x:c>
      <x:c r="I409" s="9" t="n">
        <x:v>25.284000000000002</x:v>
      </x:c>
      <x:c r="J409" s="9" t="n">
        <x:v>51.504999999999995</x:v>
      </x:c>
      <x:c r="K409" s="2" t="n">
        <x:v>8</x:v>
      </x:c>
      <x:c r="L409" s="2" t="str">
        <x:v>Valid</x:v>
      </x:c>
      <x:c r="M409" s="2" t="str">
        <x:v>QR</x:v>
      </x:c>
      <x:c r="N409" s="2" t="n">
        <x:v>1</x:v>
      </x:c>
      <x:c r="O409" s="2" t="str">
        <x:v>Accepted</x:v>
      </x:c>
      <x:c r="P409" s="2" t="str">
        <x:v>S002</x:v>
      </x:c>
      <x:c r="Q409" s="2" t="str">
        <x:v>DEV002</x:v>
      </x:c>
      <x:c r="R409" s="2" t="n">
        <x:v>17</x:v>
      </x:c>
      <x:c r="S409" s="2" t="str">
        <x:v>Online</x:v>
      </x:c>
      <x:c r="T409" s="2" t="str">
        <x:v>Synced</x:v>
      </x:c>
    </x:row>
    <x:row r="410" ht="21" customHeight="1">
      <x:c r="A410" s="2" t="str">
        <x:v>EV000440</x:v>
      </x:c>
      <x:c r="B410" s="2" t="str">
        <x:v>T20261004-4-3</x:v>
      </x:c>
      <x:c r="C410" s="2" t="str">
        <x:v>ST101</x:v>
      </x:c>
      <x:c r="D410" s="2" t="str">
        <x:v>9f8e180c63d3ff8d3e393db3573884a8</x:v>
      </x:c>
      <x:c r="E410" s="2" t="str">
        <x:v>CHECK_OUT</x:v>
      </x:c>
      <x:c r="F410" s="8" t="n">
        <x:v>46299.62708333333</x:v>
      </x:c>
      <x:c r="G410" s="8" t="n">
        <x:v>46299.62710648148</x:v>
      </x:c>
      <x:c r="H410" s="2" t="str">
        <x:v>R3S3</x:v>
      </x:c>
      <x:c r="I410" s="9" t="n">
        <x:v>25.293000000000003</x:v>
      </x:c>
      <x:c r="J410" s="9" t="n">
        <x:v>51.513</x:v>
      </x:c>
      <x:c r="K410" s="2" t="n">
        <x:v>8</x:v>
      </x:c>
      <x:c r="L410" s="2" t="str">
        <x:v>Valid</x:v>
      </x:c>
      <x:c r="M410" s="2" t="str">
        <x:v>QR</x:v>
      </x:c>
      <x:c r="N410" s="2" t="n">
        <x:v>1</x:v>
      </x:c>
      <x:c r="O410" s="2" t="str">
        <x:v>Accepted</x:v>
      </x:c>
      <x:c r="P410" s="2" t="str">
        <x:v>S003</x:v>
      </x:c>
      <x:c r="Q410" s="2" t="str">
        <x:v>DEV003</x:v>
      </x:c>
      <x:c r="R410" s="2" t="n">
        <x:v>17</x:v>
      </x:c>
      <x:c r="S410" s="2" t="str">
        <x:v>Online</x:v>
      </x:c>
      <x:c r="T410" s="2" t="str">
        <x:v>Synced</x:v>
      </x:c>
    </x:row>
    <x:row r="411" ht="21" customHeight="1">
      <x:c r="A411" s="2" t="str">
        <x:v>EV000126</x:v>
      </x:c>
      <x:c r="B411" s="2" t="str">
        <x:v>T20261004-4-1</x:v>
      </x:c>
      <x:c r="C411" s="2" t="str">
        <x:v>ST024</x:v>
      </x:c>
      <x:c r="D411" s="2" t="str">
        <x:v>df785f1577b8ee7f71835020d03a12a6</x:v>
      </x:c>
      <x:c r="E411" s="2" t="str">
        <x:v>CHECK_OUT</x:v>
      </x:c>
      <x:c r="F411" s="8" t="n">
        <x:v>46299.6271875</x:v>
      </x:c>
      <x:c r="G411" s="8" t="n">
        <x:v>46299.62721064815</x:v>
      </x:c>
      <x:c r="H411" s="2" t="str">
        <x:v>R1S3</x:v>
      </x:c>
      <x:c r="I411" s="9" t="n">
        <x:v>25.275000000000002</x:v>
      </x:c>
      <x:c r="J411" s="9" t="n">
        <x:v>51.497</x:v>
      </x:c>
      <x:c r="K411" s="2" t="n">
        <x:v>8</x:v>
      </x:c>
      <x:c r="L411" s="2" t="str">
        <x:v>Valid</x:v>
      </x:c>
      <x:c r="M411" s="2" t="str">
        <x:v>QR</x:v>
      </x:c>
      <x:c r="N411" s="2" t="n">
        <x:v>1</x:v>
      </x:c>
      <x:c r="O411" s="2" t="str">
        <x:v>Accepted</x:v>
      </x:c>
      <x:c r="P411" s="2" t="str">
        <x:v>S001</x:v>
      </x:c>
      <x:c r="Q411" s="2" t="str">
        <x:v>DEV001</x:v>
      </x:c>
      <x:c r="R411" s="2" t="n">
        <x:v>18</x:v>
      </x:c>
      <x:c r="S411" s="2" t="str">
        <x:v>Online</x:v>
      </x:c>
      <x:c r="T411" s="2" t="str">
        <x:v>Synced</x:v>
      </x:c>
    </x:row>
    <x:row r="412" ht="21" customHeight="1">
      <x:c r="A412" s="2" t="str">
        <x:v>EV000286</x:v>
      </x:c>
      <x:c r="B412" s="2" t="str">
        <x:v>T20261004-4-2</x:v>
      </x:c>
      <x:c r="C412" s="2" t="str">
        <x:v>ST064</x:v>
      </x:c>
      <x:c r="D412" s="2" t="str">
        <x:v>80debd99a6cfe1ca0800304796fd69ff</x:v>
      </x:c>
      <x:c r="E412" s="2" t="str">
        <x:v>CHECK_OUT</x:v>
      </x:c>
      <x:c r="F412" s="8" t="n">
        <x:v>46299.6271875</x:v>
      </x:c>
      <x:c r="G412" s="8" t="n">
        <x:v>46299.62721064815</x:v>
      </x:c>
      <x:c r="H412" s="2" t="str">
        <x:v>R2S3</x:v>
      </x:c>
      <x:c r="I412" s="9" t="n">
        <x:v>25.284000000000002</x:v>
      </x:c>
      <x:c r="J412" s="9" t="n">
        <x:v>51.504999999999995</x:v>
      </x:c>
      <x:c r="K412" s="2" t="n">
        <x:v>8</x:v>
      </x:c>
      <x:c r="L412" s="2" t="str">
        <x:v>Valid</x:v>
      </x:c>
      <x:c r="M412" s="2" t="str">
        <x:v>QR</x:v>
      </x:c>
      <x:c r="N412" s="2" t="n">
        <x:v>1</x:v>
      </x:c>
      <x:c r="O412" s="2" t="str">
        <x:v>Accepted</x:v>
      </x:c>
      <x:c r="P412" s="2" t="str">
        <x:v>S002</x:v>
      </x:c>
      <x:c r="Q412" s="2" t="str">
        <x:v>DEV002</x:v>
      </x:c>
      <x:c r="R412" s="2" t="n">
        <x:v>18</x:v>
      </x:c>
      <x:c r="S412" s="2" t="str">
        <x:v>Online</x:v>
      </x:c>
      <x:c r="T412" s="2" t="str">
        <x:v>Synced</x:v>
      </x:c>
    </x:row>
    <x:row r="413" ht="21" customHeight="1">
      <x:c r="A413" s="2" t="str">
        <x:v>EV000446</x:v>
      </x:c>
      <x:c r="B413" s="2" t="str">
        <x:v>T20261004-4-3</x:v>
      </x:c>
      <x:c r="C413" s="2" t="str">
        <x:v>ST104</x:v>
      </x:c>
      <x:c r="D413" s="2" t="str">
        <x:v>12167381f9b78201d830c40ef6208ce4</x:v>
      </x:c>
      <x:c r="E413" s="2" t="str">
        <x:v>CHECK_OUT</x:v>
      </x:c>
      <x:c r="F413" s="8" t="n">
        <x:v>46299.6271875</x:v>
      </x:c>
      <x:c r="G413" s="8" t="n">
        <x:v>46299.62721064815</x:v>
      </x:c>
      <x:c r="H413" s="2" t="str">
        <x:v>R3S3</x:v>
      </x:c>
      <x:c r="I413" s="9" t="n">
        <x:v>25.293000000000003</x:v>
      </x:c>
      <x:c r="J413" s="9" t="n">
        <x:v>51.513</x:v>
      </x:c>
      <x:c r="K413" s="2" t="n">
        <x:v>8</x:v>
      </x:c>
      <x:c r="L413" s="2" t="str">
        <x:v>Valid</x:v>
      </x:c>
      <x:c r="M413" s="2" t="str">
        <x:v>QR</x:v>
      </x:c>
      <x:c r="N413" s="2" t="n">
        <x:v>1</x:v>
      </x:c>
      <x:c r="O413" s="2" t="str">
        <x:v>Accepted</x:v>
      </x:c>
      <x:c r="P413" s="2" t="str">
        <x:v>S003</x:v>
      </x:c>
      <x:c r="Q413" s="2" t="str">
        <x:v>DEV003</x:v>
      </x:c>
      <x:c r="R413" s="2" t="n">
        <x:v>18</x:v>
      </x:c>
      <x:c r="S413" s="2" t="str">
        <x:v>Online</x:v>
      </x:c>
      <x:c r="T413" s="2" t="str">
        <x:v>Synced</x:v>
      </x:c>
    </x:row>
    <x:row r="414" ht="21" customHeight="1">
      <x:c r="A414" s="2" t="str">
        <x:v>EV000132</x:v>
      </x:c>
      <x:c r="B414" s="2" t="str">
        <x:v>T20261004-4-1</x:v>
      </x:c>
      <x:c r="C414" s="2" t="str">
        <x:v>ST027</x:v>
      </x:c>
      <x:c r="D414" s="2" t="str">
        <x:v>87868c08c06226359ca5121a9563bb63</x:v>
      </x:c>
      <x:c r="E414" s="2" t="str">
        <x:v>CHECK_OUT</x:v>
      </x:c>
      <x:c r="F414" s="8" t="n">
        <x:v>46299.627291666664</x:v>
      </x:c>
      <x:c r="G414" s="8" t="n">
        <x:v>46299.62731481481</x:v>
      </x:c>
      <x:c r="H414" s="2" t="str">
        <x:v>R1S3</x:v>
      </x:c>
      <x:c r="I414" s="9" t="n">
        <x:v>25.275000000000002</x:v>
      </x:c>
      <x:c r="J414" s="9" t="n">
        <x:v>51.497</x:v>
      </x:c>
      <x:c r="K414" s="2" t="n">
        <x:v>8</x:v>
      </x:c>
      <x:c r="L414" s="2" t="str">
        <x:v>Valid</x:v>
      </x:c>
      <x:c r="M414" s="2" t="str">
        <x:v>QR</x:v>
      </x:c>
      <x:c r="N414" s="2" t="n">
        <x:v>1</x:v>
      </x:c>
      <x:c r="O414" s="2" t="str">
        <x:v>Accepted</x:v>
      </x:c>
      <x:c r="P414" s="2" t="str">
        <x:v>S001</x:v>
      </x:c>
      <x:c r="Q414" s="2" t="str">
        <x:v>DEV001</x:v>
      </x:c>
      <x:c r="R414" s="2" t="n">
        <x:v>19</x:v>
      </x:c>
      <x:c r="S414" s="2" t="str">
        <x:v>Online</x:v>
      </x:c>
      <x:c r="T414" s="2" t="str">
        <x:v>Synced</x:v>
      </x:c>
    </x:row>
    <x:row r="415" ht="21" customHeight="1">
      <x:c r="A415" s="2" t="str">
        <x:v>EV000292</x:v>
      </x:c>
      <x:c r="B415" s="2" t="str">
        <x:v>T20261004-4-2</x:v>
      </x:c>
      <x:c r="C415" s="2" t="str">
        <x:v>ST067</x:v>
      </x:c>
      <x:c r="D415" s="2" t="str">
        <x:v>66c3e7b11abae76912fea37c6c7ce00c</x:v>
      </x:c>
      <x:c r="E415" s="2" t="str">
        <x:v>CHECK_OUT</x:v>
      </x:c>
      <x:c r="F415" s="8" t="n">
        <x:v>46299.627291666664</x:v>
      </x:c>
      <x:c r="G415" s="8" t="n">
        <x:v>46299.62731481481</x:v>
      </x:c>
      <x:c r="H415" s="2" t="str">
        <x:v>R2S3</x:v>
      </x:c>
      <x:c r="I415" s="9" t="n">
        <x:v>25.284000000000002</x:v>
      </x:c>
      <x:c r="J415" s="9" t="n">
        <x:v>51.504999999999995</x:v>
      </x:c>
      <x:c r="K415" s="2" t="n">
        <x:v>8</x:v>
      </x:c>
      <x:c r="L415" s="2" t="str">
        <x:v>Valid</x:v>
      </x:c>
      <x:c r="M415" s="2" t="str">
        <x:v>QR</x:v>
      </x:c>
      <x:c r="N415" s="2" t="n">
        <x:v>1</x:v>
      </x:c>
      <x:c r="O415" s="2" t="str">
        <x:v>Accepted</x:v>
      </x:c>
      <x:c r="P415" s="2" t="str">
        <x:v>S002</x:v>
      </x:c>
      <x:c r="Q415" s="2" t="str">
        <x:v>DEV002</x:v>
      </x:c>
      <x:c r="R415" s="2" t="n">
        <x:v>19</x:v>
      </x:c>
      <x:c r="S415" s="2" t="str">
        <x:v>Online</x:v>
      </x:c>
      <x:c r="T415" s="2" t="str">
        <x:v>Synced</x:v>
      </x:c>
    </x:row>
    <x:row r="416" ht="21" customHeight="1">
      <x:c r="A416" s="2" t="str">
        <x:v>EV000452</x:v>
      </x:c>
      <x:c r="B416" s="2" t="str">
        <x:v>T20261004-4-3</x:v>
      </x:c>
      <x:c r="C416" s="2" t="str">
        <x:v>ST107</x:v>
      </x:c>
      <x:c r="D416" s="2" t="str">
        <x:v>4a2bb35840a3b4fc7e804e2d710c14f4</x:v>
      </x:c>
      <x:c r="E416" s="2" t="str">
        <x:v>CHECK_OUT</x:v>
      </x:c>
      <x:c r="F416" s="8" t="n">
        <x:v>46299.627291666664</x:v>
      </x:c>
      <x:c r="G416" s="8" t="n">
        <x:v>46299.62731481481</x:v>
      </x:c>
      <x:c r="H416" s="2" t="str">
        <x:v>R3S3</x:v>
      </x:c>
      <x:c r="I416" s="9" t="n">
        <x:v>25.293000000000003</x:v>
      </x:c>
      <x:c r="J416" s="9" t="n">
        <x:v>51.513</x:v>
      </x:c>
      <x:c r="K416" s="2" t="n">
        <x:v>8</x:v>
      </x:c>
      <x:c r="L416" s="2" t="str">
        <x:v>Valid</x:v>
      </x:c>
      <x:c r="M416" s="2" t="str">
        <x:v>QR</x:v>
      </x:c>
      <x:c r="N416" s="2" t="n">
        <x:v>1</x:v>
      </x:c>
      <x:c r="O416" s="2" t="str">
        <x:v>Accepted</x:v>
      </x:c>
      <x:c r="P416" s="2" t="str">
        <x:v>S003</x:v>
      </x:c>
      <x:c r="Q416" s="2" t="str">
        <x:v>DEV003</x:v>
      </x:c>
      <x:c r="R416" s="2" t="n">
        <x:v>19</x:v>
      </x:c>
      <x:c r="S416" s="2" t="str">
        <x:v>Online</x:v>
      </x:c>
      <x:c r="T416" s="2" t="str">
        <x:v>Synced</x:v>
      </x:c>
    </x:row>
    <x:row r="417" ht="21" customHeight="1">
      <x:c r="A417" s="2" t="str">
        <x:v>EV000138</x:v>
      </x:c>
      <x:c r="B417" s="2" t="str">
        <x:v>T20261004-4-1</x:v>
      </x:c>
      <x:c r="C417" s="2" t="str">
        <x:v>ST030</x:v>
      </x:c>
      <x:c r="D417" s="2" t="str">
        <x:v>82585187c31166ddecfc4b31343dde64</x:v>
      </x:c>
      <x:c r="E417" s="2" t="str">
        <x:v>CHECK_OUT</x:v>
      </x:c>
      <x:c r="F417" s="8" t="n">
        <x:v>46299.62739583333</x:v>
      </x:c>
      <x:c r="G417" s="8" t="n">
        <x:v>46299.62741898148</x:v>
      </x:c>
      <x:c r="H417" s="2" t="str">
        <x:v>R1S3</x:v>
      </x:c>
      <x:c r="I417" s="9" t="n">
        <x:v>25.275000000000002</x:v>
      </x:c>
      <x:c r="J417" s="9" t="n">
        <x:v>51.497</x:v>
      </x:c>
      <x:c r="K417" s="2" t="n">
        <x:v>8</x:v>
      </x:c>
      <x:c r="L417" s="2" t="str">
        <x:v>Valid</x:v>
      </x:c>
      <x:c r="M417" s="2" t="str">
        <x:v>QR</x:v>
      </x:c>
      <x:c r="N417" s="2" t="n">
        <x:v>1</x:v>
      </x:c>
      <x:c r="O417" s="2" t="str">
        <x:v>Accepted</x:v>
      </x:c>
      <x:c r="P417" s="2" t="str">
        <x:v>S001</x:v>
      </x:c>
      <x:c r="Q417" s="2" t="str">
        <x:v>DEV001</x:v>
      </x:c>
      <x:c r="R417" s="2" t="n">
        <x:v>20</x:v>
      </x:c>
      <x:c r="S417" s="2" t="str">
        <x:v>Online</x:v>
      </x:c>
      <x:c r="T417" s="2" t="str">
        <x:v>Synced</x:v>
      </x:c>
    </x:row>
    <x:row r="418" ht="21" customHeight="1">
      <x:c r="A418" s="2" t="str">
        <x:v>EV000298</x:v>
      </x:c>
      <x:c r="B418" s="2" t="str">
        <x:v>T20261004-4-2</x:v>
      </x:c>
      <x:c r="C418" s="2" t="str">
        <x:v>ST070</x:v>
      </x:c>
      <x:c r="D418" s="2" t="str">
        <x:v>12a9f1121533e9d2b6402c68cf852c16</x:v>
      </x:c>
      <x:c r="E418" s="2" t="str">
        <x:v>CHECK_OUT</x:v>
      </x:c>
      <x:c r="F418" s="8" t="n">
        <x:v>46299.62739583333</x:v>
      </x:c>
      <x:c r="G418" s="8" t="n">
        <x:v>46299.62741898148</x:v>
      </x:c>
      <x:c r="H418" s="2" t="str">
        <x:v>R2S3</x:v>
      </x:c>
      <x:c r="I418" s="9" t="n">
        <x:v>25.284000000000002</x:v>
      </x:c>
      <x:c r="J418" s="9" t="n">
        <x:v>51.504999999999995</x:v>
      </x:c>
      <x:c r="K418" s="2" t="n">
        <x:v>8</x:v>
      </x:c>
      <x:c r="L418" s="2" t="str">
        <x:v>Valid</x:v>
      </x:c>
      <x:c r="M418" s="2" t="str">
        <x:v>QR</x:v>
      </x:c>
      <x:c r="N418" s="2" t="n">
        <x:v>1</x:v>
      </x:c>
      <x:c r="O418" s="2" t="str">
        <x:v>Accepted</x:v>
      </x:c>
      <x:c r="P418" s="2" t="str">
        <x:v>S002</x:v>
      </x:c>
      <x:c r="Q418" s="2" t="str">
        <x:v>DEV002</x:v>
      </x:c>
      <x:c r="R418" s="2" t="n">
        <x:v>20</x:v>
      </x:c>
      <x:c r="S418" s="2" t="str">
        <x:v>Online</x:v>
      </x:c>
      <x:c r="T418" s="2" t="str">
        <x:v>Synced</x:v>
      </x:c>
    </x:row>
    <x:row r="419" ht="21" customHeight="1">
      <x:c r="A419" s="2" t="str">
        <x:v>EV000458</x:v>
      </x:c>
      <x:c r="B419" s="2" t="str">
        <x:v>T20261004-4-3</x:v>
      </x:c>
      <x:c r="C419" s="2" t="str">
        <x:v>ST110</x:v>
      </x:c>
      <x:c r="D419" s="2" t="str">
        <x:v>4382c0cdcda89fb8cc0f5b9fc03b4c51</x:v>
      </x:c>
      <x:c r="E419" s="2" t="str">
        <x:v>CHECK_OUT</x:v>
      </x:c>
      <x:c r="F419" s="8" t="n">
        <x:v>46299.62739583333</x:v>
      </x:c>
      <x:c r="G419" s="8" t="n">
        <x:v>46299.62741898148</x:v>
      </x:c>
      <x:c r="H419" s="2" t="str">
        <x:v>R3S3</x:v>
      </x:c>
      <x:c r="I419" s="9" t="n">
        <x:v>25.293000000000003</x:v>
      </x:c>
      <x:c r="J419" s="9" t="n">
        <x:v>51.513</x:v>
      </x:c>
      <x:c r="K419" s="2" t="n">
        <x:v>8</x:v>
      </x:c>
      <x:c r="L419" s="2" t="str">
        <x:v>Valid</x:v>
      </x:c>
      <x:c r="M419" s="2" t="str">
        <x:v>QR</x:v>
      </x:c>
      <x:c r="N419" s="2" t="n">
        <x:v>1</x:v>
      </x:c>
      <x:c r="O419" s="2" t="str">
        <x:v>Accepted</x:v>
      </x:c>
      <x:c r="P419" s="2" t="str">
        <x:v>S003</x:v>
      </x:c>
      <x:c r="Q419" s="2" t="str">
        <x:v>DEV003</x:v>
      </x:c>
      <x:c r="R419" s="2" t="n">
        <x:v>20</x:v>
      </x:c>
      <x:c r="S419" s="2" t="str">
        <x:v>Online</x:v>
      </x:c>
      <x:c r="T419" s="2" t="str">
        <x:v>Synced</x:v>
      </x:c>
    </x:row>
    <x:row r="420" ht="21" customHeight="1">
      <x:c r="A420" s="2" t="str">
        <x:v>EV000139</x:v>
      </x:c>
      <x:c r="B420" s="2" t="str">
        <x:v>T20261004-5-1</x:v>
      </x:c>
      <x:c r="C420" s="2" t="str">
        <x:v>ST031</x:v>
      </x:c>
      <x:c r="D420" s="2" t="str">
        <x:v>8ab188e9684e5df87182305d1c7eadac</x:v>
      </x:c>
      <x:c r="E420" s="2" t="str">
        <x:v>CHECK_IN</x:v>
      </x:c>
      <x:c r="F420" s="8" t="n">
        <x:v>46299.70833333333</x:v>
      </x:c>
      <x:c r="G420" s="8" t="n">
        <x:v>46299.708356481475</x:v>
      </x:c>
      <x:c r="H420" s="2" t="str">
        <x:v>SCH01</x:v>
      </x:c>
      <x:c r="I420" s="9" t="n">
        <x:v>25.285</x:v>
      </x:c>
      <x:c r="J420" s="9" t="n">
        <x:v>51.51</x:v>
      </x:c>
      <x:c r="K420" s="2" t="n">
        <x:v>8</x:v>
      </x:c>
      <x:c r="L420" s="2" t="str">
        <x:v>Valid</x:v>
      </x:c>
      <x:c r="M420" s="2" t="str">
        <x:v>QR</x:v>
      </x:c>
      <x:c r="N420" s="2" t="n">
        <x:v>1</x:v>
      </x:c>
      <x:c r="O420" s="2" t="str">
        <x:v>Accepted</x:v>
      </x:c>
      <x:c r="P420" s="2" t="str">
        <x:v>S001</x:v>
      </x:c>
      <x:c r="Q420" s="2" t="str">
        <x:v>DEV001</x:v>
      </x:c>
      <x:c r="R420" s="2" t="n">
        <x:v>1</x:v>
      </x:c>
      <x:c r="S420" s="2" t="str">
        <x:v>Online</x:v>
      </x:c>
      <x:c r="T420" s="2" t="str">
        <x:v>Synced</x:v>
      </x:c>
    </x:row>
    <x:row r="421" ht="21" customHeight="1">
      <x:c r="A421" s="2" t="str">
        <x:v>EV000299</x:v>
      </x:c>
      <x:c r="B421" s="2" t="str">
        <x:v>T20261004-5-2</x:v>
      </x:c>
      <x:c r="C421" s="2" t="str">
        <x:v>ST071</x:v>
      </x:c>
      <x:c r="D421" s="2" t="str">
        <x:v>51895678643dc659a400e702a471294e</x:v>
      </x:c>
      <x:c r="E421" s="2" t="str">
        <x:v>CHECK_IN</x:v>
      </x:c>
      <x:c r="F421" s="8" t="n">
        <x:v>46299.70833333333</x:v>
      </x:c>
      <x:c r="G421" s="8" t="n">
        <x:v>46299.708356481475</x:v>
      </x:c>
      <x:c r="H421" s="2" t="str">
        <x:v>SCH01</x:v>
      </x:c>
      <x:c r="I421" s="9" t="n">
        <x:v>25.285</x:v>
      </x:c>
      <x:c r="J421" s="9" t="n">
        <x:v>51.51</x:v>
      </x:c>
      <x:c r="K421" s="2" t="n">
        <x:v>8</x:v>
      </x:c>
      <x:c r="L421" s="2" t="str">
        <x:v>Valid</x:v>
      </x:c>
      <x:c r="M421" s="2" t="str">
        <x:v>QR</x:v>
      </x:c>
      <x:c r="N421" s="2" t="n">
        <x:v>1</x:v>
      </x:c>
      <x:c r="O421" s="2" t="str">
        <x:v>Accepted</x:v>
      </x:c>
      <x:c r="P421" s="2" t="str">
        <x:v>S002</x:v>
      </x:c>
      <x:c r="Q421" s="2" t="str">
        <x:v>DEV002</x:v>
      </x:c>
      <x:c r="R421" s="2" t="n">
        <x:v>1</x:v>
      </x:c>
      <x:c r="S421" s="2" t="str">
        <x:v>Online</x:v>
      </x:c>
      <x:c r="T421" s="2" t="str">
        <x:v>Synced</x:v>
      </x:c>
    </x:row>
    <x:row r="422" ht="21" customHeight="1">
      <x:c r="A422" s="2" t="str">
        <x:v>EV000459</x:v>
      </x:c>
      <x:c r="B422" s="2" t="str">
        <x:v>T20261004-5-3</x:v>
      </x:c>
      <x:c r="C422" s="2" t="str">
        <x:v>ST111</x:v>
      </x:c>
      <x:c r="D422" s="2" t="str">
        <x:v>e6e9707385e7ee8edd3ac87243757eb2</x:v>
      </x:c>
      <x:c r="E422" s="2" t="str">
        <x:v>CHECK_IN</x:v>
      </x:c>
      <x:c r="F422" s="8" t="n">
        <x:v>46299.70833333333</x:v>
      </x:c>
      <x:c r="G422" s="8" t="n">
        <x:v>46299.708356481475</x:v>
      </x:c>
      <x:c r="H422" s="2" t="str">
        <x:v>SCH01</x:v>
      </x:c>
      <x:c r="I422" s="9" t="n">
        <x:v>25.285</x:v>
      </x:c>
      <x:c r="J422" s="9" t="n">
        <x:v>51.51</x:v>
      </x:c>
      <x:c r="K422" s="2" t="n">
        <x:v>8</x:v>
      </x:c>
      <x:c r="L422" s="2" t="str">
        <x:v>Valid</x:v>
      </x:c>
      <x:c r="M422" s="2" t="str">
        <x:v>QR</x:v>
      </x:c>
      <x:c r="N422" s="2" t="n">
        <x:v>1</x:v>
      </x:c>
      <x:c r="O422" s="2" t="str">
        <x:v>Accepted</x:v>
      </x:c>
      <x:c r="P422" s="2" t="str">
        <x:v>S003</x:v>
      </x:c>
      <x:c r="Q422" s="2" t="str">
        <x:v>DEV003</x:v>
      </x:c>
      <x:c r="R422" s="2" t="n">
        <x:v>1</x:v>
      </x:c>
      <x:c r="S422" s="2" t="str">
        <x:v>Online</x:v>
      </x:c>
      <x:c r="T422" s="2" t="str">
        <x:v>Synced</x:v>
      </x:c>
    </x:row>
    <x:row r="423" ht="21" customHeight="1">
      <x:c r="A423" s="2" t="str">
        <x:v>EV000141</x:v>
      </x:c>
      <x:c r="B423" s="2" t="str">
        <x:v>T20261004-5-1</x:v>
      </x:c>
      <x:c r="C423" s="2" t="str">
        <x:v>ST032</x:v>
      </x:c>
      <x:c r="D423" s="2" t="str">
        <x:v>836e2da54ccde9716995f5651a63e8c5</x:v>
      </x:c>
      <x:c r="E423" s="2" t="str">
        <x:v>CHECK_IN</x:v>
      </x:c>
      <x:c r="F423" s="8" t="n">
        <x:v>46299.70836805555</x:v>
      </x:c>
      <x:c r="G423" s="8" t="n">
        <x:v>46299.7083912037</x:v>
      </x:c>
      <x:c r="H423" s="2" t="str">
        <x:v>SCH01</x:v>
      </x:c>
      <x:c r="I423" s="9" t="n">
        <x:v>25.285</x:v>
      </x:c>
      <x:c r="J423" s="9" t="n">
        <x:v>51.51</x:v>
      </x:c>
      <x:c r="K423" s="2" t="n">
        <x:v>8</x:v>
      </x:c>
      <x:c r="L423" s="2" t="str">
        <x:v>Valid</x:v>
      </x:c>
      <x:c r="M423" s="2" t="str">
        <x:v>QR</x:v>
      </x:c>
      <x:c r="N423" s="2" t="n">
        <x:v>1</x:v>
      </x:c>
      <x:c r="O423" s="2" t="str">
        <x:v>Accepted</x:v>
      </x:c>
      <x:c r="P423" s="2" t="str">
        <x:v>S001</x:v>
      </x:c>
      <x:c r="Q423" s="2" t="str">
        <x:v>DEV001</x:v>
      </x:c>
      <x:c r="R423" s="2" t="n">
        <x:v>2</x:v>
      </x:c>
      <x:c r="S423" s="2" t="str">
        <x:v>Online</x:v>
      </x:c>
      <x:c r="T423" s="2" t="str">
        <x:v>Synced</x:v>
      </x:c>
    </x:row>
    <x:row r="424" ht="21" customHeight="1">
      <x:c r="A424" s="2" t="str">
        <x:v>EV000301</x:v>
      </x:c>
      <x:c r="B424" s="2" t="str">
        <x:v>T20261004-5-2</x:v>
      </x:c>
      <x:c r="C424" s="2" t="str">
        <x:v>ST072</x:v>
      </x:c>
      <x:c r="D424" s="2" t="str">
        <x:v>34067027b5922171fe59ce4d7b756f1c</x:v>
      </x:c>
      <x:c r="E424" s="2" t="str">
        <x:v>CHECK_IN</x:v>
      </x:c>
      <x:c r="F424" s="8" t="n">
        <x:v>46299.70836805555</x:v>
      </x:c>
      <x:c r="G424" s="8" t="n">
        <x:v>46299.7083912037</x:v>
      </x:c>
      <x:c r="H424" s="2" t="str">
        <x:v>SCH01</x:v>
      </x:c>
      <x:c r="I424" s="9" t="n">
        <x:v>25.285</x:v>
      </x:c>
      <x:c r="J424" s="9" t="n">
        <x:v>51.51</x:v>
      </x:c>
      <x:c r="K424" s="2" t="n">
        <x:v>8</x:v>
      </x:c>
      <x:c r="L424" s="2" t="str">
        <x:v>Valid</x:v>
      </x:c>
      <x:c r="M424" s="2" t="str">
        <x:v>QR</x:v>
      </x:c>
      <x:c r="N424" s="2" t="n">
        <x:v>1</x:v>
      </x:c>
      <x:c r="O424" s="2" t="str">
        <x:v>Accepted</x:v>
      </x:c>
      <x:c r="P424" s="2" t="str">
        <x:v>S002</x:v>
      </x:c>
      <x:c r="Q424" s="2" t="str">
        <x:v>DEV002</x:v>
      </x:c>
      <x:c r="R424" s="2" t="n">
        <x:v>2</x:v>
      </x:c>
      <x:c r="S424" s="2" t="str">
        <x:v>Online</x:v>
      </x:c>
      <x:c r="T424" s="2" t="str">
        <x:v>Synced</x:v>
      </x:c>
    </x:row>
    <x:row r="425" ht="21" customHeight="1">
      <x:c r="A425" s="2" t="str">
        <x:v>EV000461</x:v>
      </x:c>
      <x:c r="B425" s="2" t="str">
        <x:v>T20261004-5-3</x:v>
      </x:c>
      <x:c r="C425" s="2" t="str">
        <x:v>ST112</x:v>
      </x:c>
      <x:c r="D425" s="2" t="str">
        <x:v>ca020aefc0d912af9ddca5c7ca7a2f51</x:v>
      </x:c>
      <x:c r="E425" s="2" t="str">
        <x:v>CHECK_IN</x:v>
      </x:c>
      <x:c r="F425" s="8" t="n">
        <x:v>46299.70836805555</x:v>
      </x:c>
      <x:c r="G425" s="8" t="n">
        <x:v>46299.7083912037</x:v>
      </x:c>
      <x:c r="H425" s="2" t="str">
        <x:v>SCH01</x:v>
      </x:c>
      <x:c r="I425" s="9" t="n">
        <x:v>25.285</x:v>
      </x:c>
      <x:c r="J425" s="9" t="n">
        <x:v>51.51</x:v>
      </x:c>
      <x:c r="K425" s="2" t="n">
        <x:v>8</x:v>
      </x:c>
      <x:c r="L425" s="2" t="str">
        <x:v>Valid</x:v>
      </x:c>
      <x:c r="M425" s="2" t="str">
        <x:v>QR</x:v>
      </x:c>
      <x:c r="N425" s="2" t="n">
        <x:v>1</x:v>
      </x:c>
      <x:c r="O425" s="2" t="str">
        <x:v>Accepted</x:v>
      </x:c>
      <x:c r="P425" s="2" t="str">
        <x:v>S003</x:v>
      </x:c>
      <x:c r="Q425" s="2" t="str">
        <x:v>DEV003</x:v>
      </x:c>
      <x:c r="R425" s="2" t="n">
        <x:v>2</x:v>
      </x:c>
      <x:c r="S425" s="2" t="str">
        <x:v>Online</x:v>
      </x:c>
      <x:c r="T425" s="2" t="str">
        <x:v>Synced</x:v>
      </x:c>
    </x:row>
    <x:row r="426" ht="21" customHeight="1">
      <x:c r="A426" s="2" t="str">
        <x:v>EV000143</x:v>
      </x:c>
      <x:c r="B426" s="2" t="str">
        <x:v>T20261004-5-1</x:v>
      </x:c>
      <x:c r="C426" s="2" t="str">
        <x:v>ST033</x:v>
      </x:c>
      <x:c r="D426" s="2" t="str">
        <x:v>c9cc8ddf1b5bae8b49929340838e300a</x:v>
      </x:c>
      <x:c r="E426" s="2" t="str">
        <x:v>CHECK_IN</x:v>
      </x:c>
      <x:c r="F426" s="8" t="n">
        <x:v>46299.708402777775</x:v>
      </x:c>
      <x:c r="G426" s="8" t="n">
        <x:v>46299.70842592592</x:v>
      </x:c>
      <x:c r="H426" s="2" t="str">
        <x:v>SCH01</x:v>
      </x:c>
      <x:c r="I426" s="9" t="n">
        <x:v>25.285</x:v>
      </x:c>
      <x:c r="J426" s="9" t="n">
        <x:v>51.51</x:v>
      </x:c>
      <x:c r="K426" s="2" t="n">
        <x:v>8</x:v>
      </x:c>
      <x:c r="L426" s="2" t="str">
        <x:v>Valid</x:v>
      </x:c>
      <x:c r="M426" s="2" t="str">
        <x:v>QR</x:v>
      </x:c>
      <x:c r="N426" s="2" t="n">
        <x:v>1</x:v>
      </x:c>
      <x:c r="O426" s="2" t="str">
        <x:v>Accepted</x:v>
      </x:c>
      <x:c r="P426" s="2" t="str">
        <x:v>S001</x:v>
      </x:c>
      <x:c r="Q426" s="2" t="str">
        <x:v>DEV001</x:v>
      </x:c>
      <x:c r="R426" s="2" t="n">
        <x:v>3</x:v>
      </x:c>
      <x:c r="S426" s="2" t="str">
        <x:v>Online</x:v>
      </x:c>
      <x:c r="T426" s="2" t="str">
        <x:v>Synced</x:v>
      </x:c>
    </x:row>
    <x:row r="427" ht="21" customHeight="1">
      <x:c r="A427" s="2" t="str">
        <x:v>EV000303</x:v>
      </x:c>
      <x:c r="B427" s="2" t="str">
        <x:v>T20261004-5-2</x:v>
      </x:c>
      <x:c r="C427" s="2" t="str">
        <x:v>ST073</x:v>
      </x:c>
      <x:c r="D427" s="2" t="str">
        <x:v>b27180ce7590c0aac206d465f318b712</x:v>
      </x:c>
      <x:c r="E427" s="2" t="str">
        <x:v>CHECK_IN</x:v>
      </x:c>
      <x:c r="F427" s="8" t="n">
        <x:v>46299.708402777775</x:v>
      </x:c>
      <x:c r="G427" s="8" t="n">
        <x:v>46299.70842592592</x:v>
      </x:c>
      <x:c r="H427" s="2" t="str">
        <x:v>SCH01</x:v>
      </x:c>
      <x:c r="I427" s="9" t="n">
        <x:v>25.285</x:v>
      </x:c>
      <x:c r="J427" s="9" t="n">
        <x:v>51.51</x:v>
      </x:c>
      <x:c r="K427" s="2" t="n">
        <x:v>8</x:v>
      </x:c>
      <x:c r="L427" s="2" t="str">
        <x:v>Valid</x:v>
      </x:c>
      <x:c r="M427" s="2" t="str">
        <x:v>QR</x:v>
      </x:c>
      <x:c r="N427" s="2" t="n">
        <x:v>1</x:v>
      </x:c>
      <x:c r="O427" s="2" t="str">
        <x:v>Accepted</x:v>
      </x:c>
      <x:c r="P427" s="2" t="str">
        <x:v>S002</x:v>
      </x:c>
      <x:c r="Q427" s="2" t="str">
        <x:v>DEV002</x:v>
      </x:c>
      <x:c r="R427" s="2" t="n">
        <x:v>3</x:v>
      </x:c>
      <x:c r="S427" s="2" t="str">
        <x:v>Online</x:v>
      </x:c>
      <x:c r="T427" s="2" t="str">
        <x:v>Synced</x:v>
      </x:c>
    </x:row>
    <x:row r="428" ht="21" customHeight="1">
      <x:c r="A428" s="2" t="str">
        <x:v>EV000463</x:v>
      </x:c>
      <x:c r="B428" s="2" t="str">
        <x:v>T20261004-5-3</x:v>
      </x:c>
      <x:c r="C428" s="2" t="str">
        <x:v>ST113</x:v>
      </x:c>
      <x:c r="D428" s="2" t="str">
        <x:v>c3781e168737a6cc1190d4415801c440</x:v>
      </x:c>
      <x:c r="E428" s="2" t="str">
        <x:v>CHECK_IN</x:v>
      </x:c>
      <x:c r="F428" s="8" t="n">
        <x:v>46299.708402777775</x:v>
      </x:c>
      <x:c r="G428" s="8" t="n">
        <x:v>46299.70842592592</x:v>
      </x:c>
      <x:c r="H428" s="2" t="str">
        <x:v>SCH01</x:v>
      </x:c>
      <x:c r="I428" s="9" t="n">
        <x:v>25.285</x:v>
      </x:c>
      <x:c r="J428" s="9" t="n">
        <x:v>51.51</x:v>
      </x:c>
      <x:c r="K428" s="2" t="n">
        <x:v>8</x:v>
      </x:c>
      <x:c r="L428" s="2" t="str">
        <x:v>Valid</x:v>
      </x:c>
      <x:c r="M428" s="2" t="str">
        <x:v>QR</x:v>
      </x:c>
      <x:c r="N428" s="2" t="n">
        <x:v>1</x:v>
      </x:c>
      <x:c r="O428" s="2" t="str">
        <x:v>Accepted</x:v>
      </x:c>
      <x:c r="P428" s="2" t="str">
        <x:v>S003</x:v>
      </x:c>
      <x:c r="Q428" s="2" t="str">
        <x:v>DEV003</x:v>
      </x:c>
      <x:c r="R428" s="2" t="n">
        <x:v>3</x:v>
      </x:c>
      <x:c r="S428" s="2" t="str">
        <x:v>Online</x:v>
      </x:c>
      <x:c r="T428" s="2" t="str">
        <x:v>Synced</x:v>
      </x:c>
    </x:row>
    <x:row r="429" ht="21" customHeight="1">
      <x:c r="A429" s="2" t="str">
        <x:v>EV000145</x:v>
      </x:c>
      <x:c r="B429" s="2" t="str">
        <x:v>T20261004-5-1</x:v>
      </x:c>
      <x:c r="C429" s="2" t="str">
        <x:v>ST034</x:v>
      </x:c>
      <x:c r="D429" s="2" t="str">
        <x:v>80fbe33bb2df8cab59b55f98f1c8a3d5</x:v>
      </x:c>
      <x:c r="E429" s="2" t="str">
        <x:v>CHECK_IN</x:v>
      </x:c>
      <x:c r="F429" s="8" t="n">
        <x:v>46299.7084375</x:v>
      </x:c>
      <x:c r="G429" s="8" t="n">
        <x:v>46299.708460648144</x:v>
      </x:c>
      <x:c r="H429" s="2" t="str">
        <x:v>SCH01</x:v>
      </x:c>
      <x:c r="I429" s="9" t="n">
        <x:v>25.285</x:v>
      </x:c>
      <x:c r="J429" s="9" t="n">
        <x:v>51.51</x:v>
      </x:c>
      <x:c r="K429" s="2" t="n">
        <x:v>8</x:v>
      </x:c>
      <x:c r="L429" s="2" t="str">
        <x:v>Valid</x:v>
      </x:c>
      <x:c r="M429" s="2" t="str">
        <x:v>QR</x:v>
      </x:c>
      <x:c r="N429" s="2" t="n">
        <x:v>1</x:v>
      </x:c>
      <x:c r="O429" s="2" t="str">
        <x:v>Accepted</x:v>
      </x:c>
      <x:c r="P429" s="2" t="str">
        <x:v>S001</x:v>
      </x:c>
      <x:c r="Q429" s="2" t="str">
        <x:v>DEV001</x:v>
      </x:c>
      <x:c r="R429" s="2" t="n">
        <x:v>4</x:v>
      </x:c>
      <x:c r="S429" s="2" t="str">
        <x:v>Online</x:v>
      </x:c>
      <x:c r="T429" s="2" t="str">
        <x:v>Synced</x:v>
      </x:c>
    </x:row>
    <x:row r="430" ht="21" customHeight="1">
      <x:c r="A430" s="2" t="str">
        <x:v>EV000305</x:v>
      </x:c>
      <x:c r="B430" s="2" t="str">
        <x:v>T20261004-5-2</x:v>
      </x:c>
      <x:c r="C430" s="2" t="str">
        <x:v>ST074</x:v>
      </x:c>
      <x:c r="D430" s="2" t="str">
        <x:v>a9bcbd7cecca4f17e235125ddf0adf7b</x:v>
      </x:c>
      <x:c r="E430" s="2" t="str">
        <x:v>CHECK_IN</x:v>
      </x:c>
      <x:c r="F430" s="8" t="n">
        <x:v>46299.7084375</x:v>
      </x:c>
      <x:c r="G430" s="8" t="n">
        <x:v>46299.708460648144</x:v>
      </x:c>
      <x:c r="H430" s="2" t="str">
        <x:v>SCH01</x:v>
      </x:c>
      <x:c r="I430" s="9" t="n">
        <x:v>25.285</x:v>
      </x:c>
      <x:c r="J430" s="9" t="n">
        <x:v>51.51</x:v>
      </x:c>
      <x:c r="K430" s="2" t="n">
        <x:v>8</x:v>
      </x:c>
      <x:c r="L430" s="2" t="str">
        <x:v>Valid</x:v>
      </x:c>
      <x:c r="M430" s="2" t="str">
        <x:v>QR</x:v>
      </x:c>
      <x:c r="N430" s="2" t="n">
        <x:v>1</x:v>
      </x:c>
      <x:c r="O430" s="2" t="str">
        <x:v>Accepted</x:v>
      </x:c>
      <x:c r="P430" s="2" t="str">
        <x:v>S002</x:v>
      </x:c>
      <x:c r="Q430" s="2" t="str">
        <x:v>DEV002</x:v>
      </x:c>
      <x:c r="R430" s="2" t="n">
        <x:v>4</x:v>
      </x:c>
      <x:c r="S430" s="2" t="str">
        <x:v>Online</x:v>
      </x:c>
      <x:c r="T430" s="2" t="str">
        <x:v>Synced</x:v>
      </x:c>
    </x:row>
    <x:row r="431" ht="21" customHeight="1">
      <x:c r="A431" s="2" t="str">
        <x:v>EV000465</x:v>
      </x:c>
      <x:c r="B431" s="2" t="str">
        <x:v>T20261004-5-3</x:v>
      </x:c>
      <x:c r="C431" s="2" t="str">
        <x:v>ST114</x:v>
      </x:c>
      <x:c r="D431" s="2" t="str">
        <x:v>a5c77bf3b082c3ab825b65c34f1c9f8c</x:v>
      </x:c>
      <x:c r="E431" s="2" t="str">
        <x:v>CHECK_IN</x:v>
      </x:c>
      <x:c r="F431" s="8" t="n">
        <x:v>46299.7084375</x:v>
      </x:c>
      <x:c r="G431" s="8" t="n">
        <x:v>46299.708460648144</x:v>
      </x:c>
      <x:c r="H431" s="2" t="str">
        <x:v>SCH01</x:v>
      </x:c>
      <x:c r="I431" s="9" t="n">
        <x:v>25.285</x:v>
      </x:c>
      <x:c r="J431" s="9" t="n">
        <x:v>51.51</x:v>
      </x:c>
      <x:c r="K431" s="2" t="n">
        <x:v>8</x:v>
      </x:c>
      <x:c r="L431" s="2" t="str">
        <x:v>Valid</x:v>
      </x:c>
      <x:c r="M431" s="2" t="str">
        <x:v>QR</x:v>
      </x:c>
      <x:c r="N431" s="2" t="n">
        <x:v>1</x:v>
      </x:c>
      <x:c r="O431" s="2" t="str">
        <x:v>Accepted</x:v>
      </x:c>
      <x:c r="P431" s="2" t="str">
        <x:v>S003</x:v>
      </x:c>
      <x:c r="Q431" s="2" t="str">
        <x:v>DEV003</x:v>
      </x:c>
      <x:c r="R431" s="2" t="n">
        <x:v>4</x:v>
      </x:c>
      <x:c r="S431" s="2" t="str">
        <x:v>Online</x:v>
      </x:c>
      <x:c r="T431" s="2" t="str">
        <x:v>Synced</x:v>
      </x:c>
    </x:row>
    <x:row r="432" ht="21" customHeight="1">
      <x:c r="A432" s="2" t="str">
        <x:v>EV000147</x:v>
      </x:c>
      <x:c r="B432" s="2" t="str">
        <x:v>T20261004-5-1</x:v>
      </x:c>
      <x:c r="C432" s="2" t="str">
        <x:v>ST035</x:v>
      </x:c>
      <x:c r="D432" s="2" t="str">
        <x:v>45068f3206e9be80993e83e259ea9cdc</x:v>
      </x:c>
      <x:c r="E432" s="2" t="str">
        <x:v>CHECK_IN</x:v>
      </x:c>
      <x:c r="F432" s="8" t="n">
        <x:v>46299.70847222222</x:v>
      </x:c>
      <x:c r="G432" s="8" t="n">
        <x:v>46299.70849537037</x:v>
      </x:c>
      <x:c r="H432" s="2" t="str">
        <x:v>SCH01</x:v>
      </x:c>
      <x:c r="I432" s="9" t="n">
        <x:v>25.285</x:v>
      </x:c>
      <x:c r="J432" s="9" t="n">
        <x:v>51.51</x:v>
      </x:c>
      <x:c r="K432" s="2" t="n">
        <x:v>8</x:v>
      </x:c>
      <x:c r="L432" s="2" t="str">
        <x:v>Valid</x:v>
      </x:c>
      <x:c r="M432" s="2" t="str">
        <x:v>QR</x:v>
      </x:c>
      <x:c r="N432" s="2" t="n">
        <x:v>1</x:v>
      </x:c>
      <x:c r="O432" s="2" t="str">
        <x:v>Accepted</x:v>
      </x:c>
      <x:c r="P432" s="2" t="str">
        <x:v>S001</x:v>
      </x:c>
      <x:c r="Q432" s="2" t="str">
        <x:v>DEV001</x:v>
      </x:c>
      <x:c r="R432" s="2" t="n">
        <x:v>5</x:v>
      </x:c>
      <x:c r="S432" s="2" t="str">
        <x:v>Online</x:v>
      </x:c>
      <x:c r="T432" s="2" t="str">
        <x:v>Synced</x:v>
      </x:c>
    </x:row>
    <x:row r="433" ht="21" customHeight="1">
      <x:c r="A433" s="2" t="str">
        <x:v>EV000307</x:v>
      </x:c>
      <x:c r="B433" s="2" t="str">
        <x:v>T20261004-5-2</x:v>
      </x:c>
      <x:c r="C433" s="2" t="str">
        <x:v>ST075</x:v>
      </x:c>
      <x:c r="D433" s="2" t="str">
        <x:v>3781d00e457977b726407cb845a294cc</x:v>
      </x:c>
      <x:c r="E433" s="2" t="str">
        <x:v>CHECK_IN</x:v>
      </x:c>
      <x:c r="F433" s="8" t="n">
        <x:v>46299.70847222222</x:v>
      </x:c>
      <x:c r="G433" s="8" t="n">
        <x:v>46299.70849537037</x:v>
      </x:c>
      <x:c r="H433" s="2" t="str">
        <x:v>SCH01</x:v>
      </x:c>
      <x:c r="I433" s="9" t="n">
        <x:v>25.285</x:v>
      </x:c>
      <x:c r="J433" s="9" t="n">
        <x:v>51.51</x:v>
      </x:c>
      <x:c r="K433" s="2" t="n">
        <x:v>8</x:v>
      </x:c>
      <x:c r="L433" s="2" t="str">
        <x:v>Valid</x:v>
      </x:c>
      <x:c r="M433" s="2" t="str">
        <x:v>QR</x:v>
      </x:c>
      <x:c r="N433" s="2" t="n">
        <x:v>1</x:v>
      </x:c>
      <x:c r="O433" s="2" t="str">
        <x:v>Accepted</x:v>
      </x:c>
      <x:c r="P433" s="2" t="str">
        <x:v>S002</x:v>
      </x:c>
      <x:c r="Q433" s="2" t="str">
        <x:v>DEV002</x:v>
      </x:c>
      <x:c r="R433" s="2" t="n">
        <x:v>5</x:v>
      </x:c>
      <x:c r="S433" s="2" t="str">
        <x:v>Online</x:v>
      </x:c>
      <x:c r="T433" s="2" t="str">
        <x:v>Synced</x:v>
      </x:c>
    </x:row>
    <x:row r="434" ht="21" customHeight="1">
      <x:c r="A434" s="2" t="str">
        <x:v>EV000467</x:v>
      </x:c>
      <x:c r="B434" s="2" t="str">
        <x:v>T20261004-5-3</x:v>
      </x:c>
      <x:c r="C434" s="2" t="str">
        <x:v>ST115</x:v>
      </x:c>
      <x:c r="D434" s="2" t="str">
        <x:v>dc951b9fd5f4acb1dc2ce3ca2f2e08ab</x:v>
      </x:c>
      <x:c r="E434" s="2" t="str">
        <x:v>CHECK_IN</x:v>
      </x:c>
      <x:c r="F434" s="8" t="n">
        <x:v>46299.70847222222</x:v>
      </x:c>
      <x:c r="G434" s="8" t="n">
        <x:v>46299.70849537037</x:v>
      </x:c>
      <x:c r="H434" s="2" t="str">
        <x:v>SCH01</x:v>
      </x:c>
      <x:c r="I434" s="9" t="n">
        <x:v>25.285</x:v>
      </x:c>
      <x:c r="J434" s="9" t="n">
        <x:v>51.51</x:v>
      </x:c>
      <x:c r="K434" s="2" t="n">
        <x:v>8</x:v>
      </x:c>
      <x:c r="L434" s="2" t="str">
        <x:v>Valid</x:v>
      </x:c>
      <x:c r="M434" s="2" t="str">
        <x:v>QR</x:v>
      </x:c>
      <x:c r="N434" s="2" t="n">
        <x:v>1</x:v>
      </x:c>
      <x:c r="O434" s="2" t="str">
        <x:v>Accepted</x:v>
      </x:c>
      <x:c r="P434" s="2" t="str">
        <x:v>S003</x:v>
      </x:c>
      <x:c r="Q434" s="2" t="str">
        <x:v>DEV003</x:v>
      </x:c>
      <x:c r="R434" s="2" t="n">
        <x:v>5</x:v>
      </x:c>
      <x:c r="S434" s="2" t="str">
        <x:v>Online</x:v>
      </x:c>
      <x:c r="T434" s="2" t="str">
        <x:v>Synced</x:v>
      </x:c>
    </x:row>
    <x:row r="435" ht="21" customHeight="1">
      <x:c r="A435" s="2" t="str">
        <x:v>EV000149</x:v>
      </x:c>
      <x:c r="B435" s="2" t="str">
        <x:v>T20261004-5-1</x:v>
      </x:c>
      <x:c r="C435" s="2" t="str">
        <x:v>ST036</x:v>
      </x:c>
      <x:c r="D435" s="2" t="str">
        <x:v>7e42555e63455121ac9f1b3710bc905c</x:v>
      </x:c>
      <x:c r="E435" s="2" t="str">
        <x:v>CHECK_IN</x:v>
      </x:c>
      <x:c r="F435" s="8" t="n">
        <x:v>46299.70850694444</x:v>
      </x:c>
      <x:c r="G435" s="8" t="n">
        <x:v>46299.70853009258</x:v>
      </x:c>
      <x:c r="H435" s="2" t="str">
        <x:v>SCH01</x:v>
      </x:c>
      <x:c r="I435" s="9" t="n">
        <x:v>25.285</x:v>
      </x:c>
      <x:c r="J435" s="9" t="n">
        <x:v>51.51</x:v>
      </x:c>
      <x:c r="K435" s="2" t="n">
        <x:v>8</x:v>
      </x:c>
      <x:c r="L435" s="2" t="str">
        <x:v>Valid</x:v>
      </x:c>
      <x:c r="M435" s="2" t="str">
        <x:v>QR</x:v>
      </x:c>
      <x:c r="N435" s="2" t="n">
        <x:v>1</x:v>
      </x:c>
      <x:c r="O435" s="2" t="str">
        <x:v>Accepted</x:v>
      </x:c>
      <x:c r="P435" s="2" t="str">
        <x:v>S001</x:v>
      </x:c>
      <x:c r="Q435" s="2" t="str">
        <x:v>DEV001</x:v>
      </x:c>
      <x:c r="R435" s="2" t="n">
        <x:v>6</x:v>
      </x:c>
      <x:c r="S435" s="2" t="str">
        <x:v>Online</x:v>
      </x:c>
      <x:c r="T435" s="2" t="str">
        <x:v>Synced</x:v>
      </x:c>
    </x:row>
    <x:row r="436" ht="21" customHeight="1">
      <x:c r="A436" s="2" t="str">
        <x:v>EV000309</x:v>
      </x:c>
      <x:c r="B436" s="2" t="str">
        <x:v>T20261004-5-2</x:v>
      </x:c>
      <x:c r="C436" s="2" t="str">
        <x:v>ST076</x:v>
      </x:c>
      <x:c r="D436" s="2" t="str">
        <x:v>08979b9eef223b076885fe932d9f2bca</x:v>
      </x:c>
      <x:c r="E436" s="2" t="str">
        <x:v>CHECK_IN</x:v>
      </x:c>
      <x:c r="F436" s="8" t="n">
        <x:v>46299.70850694444</x:v>
      </x:c>
      <x:c r="G436" s="8" t="n">
        <x:v>46299.70853009258</x:v>
      </x:c>
      <x:c r="H436" s="2" t="str">
        <x:v>SCH01</x:v>
      </x:c>
      <x:c r="I436" s="9" t="n">
        <x:v>25.285</x:v>
      </x:c>
      <x:c r="J436" s="9" t="n">
        <x:v>51.51</x:v>
      </x:c>
      <x:c r="K436" s="2" t="n">
        <x:v>8</x:v>
      </x:c>
      <x:c r="L436" s="2" t="str">
        <x:v>Valid</x:v>
      </x:c>
      <x:c r="M436" s="2" t="str">
        <x:v>QR</x:v>
      </x:c>
      <x:c r="N436" s="2" t="n">
        <x:v>1</x:v>
      </x:c>
      <x:c r="O436" s="2" t="str">
        <x:v>Accepted</x:v>
      </x:c>
      <x:c r="P436" s="2" t="str">
        <x:v>S002</x:v>
      </x:c>
      <x:c r="Q436" s="2" t="str">
        <x:v>DEV002</x:v>
      </x:c>
      <x:c r="R436" s="2" t="n">
        <x:v>6</x:v>
      </x:c>
      <x:c r="S436" s="2" t="str">
        <x:v>Online</x:v>
      </x:c>
      <x:c r="T436" s="2" t="str">
        <x:v>Synced</x:v>
      </x:c>
    </x:row>
    <x:row r="437" ht="21" customHeight="1">
      <x:c r="A437" s="2" t="str">
        <x:v>EV000469</x:v>
      </x:c>
      <x:c r="B437" s="2" t="str">
        <x:v>T20261004-5-3</x:v>
      </x:c>
      <x:c r="C437" s="2" t="str">
        <x:v>ST116</x:v>
      </x:c>
      <x:c r="D437" s="2" t="str">
        <x:v>1c1fddc89afc564845795907cf1b7b0e</x:v>
      </x:c>
      <x:c r="E437" s="2" t="str">
        <x:v>CHECK_IN</x:v>
      </x:c>
      <x:c r="F437" s="8" t="n">
        <x:v>46299.70850694444</x:v>
      </x:c>
      <x:c r="G437" s="8" t="n">
        <x:v>46299.70853009258</x:v>
      </x:c>
      <x:c r="H437" s="2" t="str">
        <x:v>SCH01</x:v>
      </x:c>
      <x:c r="I437" s="9" t="n">
        <x:v>25.285</x:v>
      </x:c>
      <x:c r="J437" s="9" t="n">
        <x:v>51.51</x:v>
      </x:c>
      <x:c r="K437" s="2" t="n">
        <x:v>8</x:v>
      </x:c>
      <x:c r="L437" s="2" t="str">
        <x:v>Valid</x:v>
      </x:c>
      <x:c r="M437" s="2" t="str">
        <x:v>QR</x:v>
      </x:c>
      <x:c r="N437" s="2" t="n">
        <x:v>1</x:v>
      </x:c>
      <x:c r="O437" s="2" t="str">
        <x:v>Accepted</x:v>
      </x:c>
      <x:c r="P437" s="2" t="str">
        <x:v>S003</x:v>
      </x:c>
      <x:c r="Q437" s="2" t="str">
        <x:v>DEV003</x:v>
      </x:c>
      <x:c r="R437" s="2" t="n">
        <x:v>6</x:v>
      </x:c>
      <x:c r="S437" s="2" t="str">
        <x:v>Online</x:v>
      </x:c>
      <x:c r="T437" s="2" t="str">
        <x:v>Synced</x:v>
      </x:c>
    </x:row>
    <x:row r="438" ht="21" customHeight="1">
      <x:c r="A438" s="2" t="str">
        <x:v>EV000151</x:v>
      </x:c>
      <x:c r="B438" s="2" t="str">
        <x:v>T20261004-5-1</x:v>
      </x:c>
      <x:c r="C438" s="2" t="str">
        <x:v>ST037</x:v>
      </x:c>
      <x:c r="D438" s="2" t="str">
        <x:v>eb6cdfa5572c8f6959c8b9c84b8ec493</x:v>
      </x:c>
      <x:c r="E438" s="2" t="str">
        <x:v>CHECK_IN</x:v>
      </x:c>
      <x:c r="F438" s="8" t="n">
        <x:v>46299.70854166666</x:v>
      </x:c>
      <x:c r="G438" s="8" t="n">
        <x:v>46299.708564814806</x:v>
      </x:c>
      <x:c r="H438" s="2" t="str">
        <x:v>SCH01</x:v>
      </x:c>
      <x:c r="I438" s="9" t="n">
        <x:v>25.285</x:v>
      </x:c>
      <x:c r="J438" s="9" t="n">
        <x:v>51.51</x:v>
      </x:c>
      <x:c r="K438" s="2" t="n">
        <x:v>8</x:v>
      </x:c>
      <x:c r="L438" s="2" t="str">
        <x:v>Valid</x:v>
      </x:c>
      <x:c r="M438" s="2" t="str">
        <x:v>QR</x:v>
      </x:c>
      <x:c r="N438" s="2" t="n">
        <x:v>1</x:v>
      </x:c>
      <x:c r="O438" s="2" t="str">
        <x:v>Accepted</x:v>
      </x:c>
      <x:c r="P438" s="2" t="str">
        <x:v>S001</x:v>
      </x:c>
      <x:c r="Q438" s="2" t="str">
        <x:v>DEV001</x:v>
      </x:c>
      <x:c r="R438" s="2" t="n">
        <x:v>7</x:v>
      </x:c>
      <x:c r="S438" s="2" t="str">
        <x:v>Online</x:v>
      </x:c>
      <x:c r="T438" s="2" t="str">
        <x:v>Synced</x:v>
      </x:c>
    </x:row>
    <x:row r="439" ht="21" customHeight="1">
      <x:c r="A439" s="2" t="str">
        <x:v>EV000311</x:v>
      </x:c>
      <x:c r="B439" s="2" t="str">
        <x:v>T20261004-5-2</x:v>
      </x:c>
      <x:c r="C439" s="2" t="str">
        <x:v>ST077</x:v>
      </x:c>
      <x:c r="D439" s="2" t="str">
        <x:v>af7b8314f6c372daf48e6b95332f6a0f</x:v>
      </x:c>
      <x:c r="E439" s="2" t="str">
        <x:v>CHECK_IN</x:v>
      </x:c>
      <x:c r="F439" s="8" t="n">
        <x:v>46299.70854166666</x:v>
      </x:c>
      <x:c r="G439" s="8" t="n">
        <x:v>46299.708564814806</x:v>
      </x:c>
      <x:c r="H439" s="2" t="str">
        <x:v>SCH01</x:v>
      </x:c>
      <x:c r="I439" s="9" t="n">
        <x:v>25.285</x:v>
      </x:c>
      <x:c r="J439" s="9" t="n">
        <x:v>51.51</x:v>
      </x:c>
      <x:c r="K439" s="2" t="n">
        <x:v>8</x:v>
      </x:c>
      <x:c r="L439" s="2" t="str">
        <x:v>Valid</x:v>
      </x:c>
      <x:c r="M439" s="2" t="str">
        <x:v>QR</x:v>
      </x:c>
      <x:c r="N439" s="2" t="n">
        <x:v>1</x:v>
      </x:c>
      <x:c r="O439" s="2" t="str">
        <x:v>Accepted</x:v>
      </x:c>
      <x:c r="P439" s="2" t="str">
        <x:v>S002</x:v>
      </x:c>
      <x:c r="Q439" s="2" t="str">
        <x:v>DEV002</x:v>
      </x:c>
      <x:c r="R439" s="2" t="n">
        <x:v>7</x:v>
      </x:c>
      <x:c r="S439" s="2" t="str">
        <x:v>Online</x:v>
      </x:c>
      <x:c r="T439" s="2" t="str">
        <x:v>Synced</x:v>
      </x:c>
    </x:row>
    <x:row r="440" ht="21" customHeight="1">
      <x:c r="A440" s="2" t="str">
        <x:v>EV000471</x:v>
      </x:c>
      <x:c r="B440" s="2" t="str">
        <x:v>T20261004-5-3</x:v>
      </x:c>
      <x:c r="C440" s="2" t="str">
        <x:v>ST117</x:v>
      </x:c>
      <x:c r="D440" s="2" t="str">
        <x:v>195a54aea4adbe89371209e73878e4fe</x:v>
      </x:c>
      <x:c r="E440" s="2" t="str">
        <x:v>CHECK_IN</x:v>
      </x:c>
      <x:c r="F440" s="8" t="n">
        <x:v>46299.70854166666</x:v>
      </x:c>
      <x:c r="G440" s="8" t="n">
        <x:v>46299.708564814806</x:v>
      </x:c>
      <x:c r="H440" s="2" t="str">
        <x:v>SCH01</x:v>
      </x:c>
      <x:c r="I440" s="9" t="n">
        <x:v>25.285</x:v>
      </x:c>
      <x:c r="J440" s="9" t="n">
        <x:v>51.51</x:v>
      </x:c>
      <x:c r="K440" s="2" t="n">
        <x:v>8</x:v>
      </x:c>
      <x:c r="L440" s="2" t="str">
        <x:v>Valid</x:v>
      </x:c>
      <x:c r="M440" s="2" t="str">
        <x:v>QR</x:v>
      </x:c>
      <x:c r="N440" s="2" t="n">
        <x:v>1</x:v>
      </x:c>
      <x:c r="O440" s="2" t="str">
        <x:v>Accepted</x:v>
      </x:c>
      <x:c r="P440" s="2" t="str">
        <x:v>S003</x:v>
      </x:c>
      <x:c r="Q440" s="2" t="str">
        <x:v>DEV003</x:v>
      </x:c>
      <x:c r="R440" s="2" t="n">
        <x:v>7</x:v>
      </x:c>
      <x:c r="S440" s="2" t="str">
        <x:v>Online</x:v>
      </x:c>
      <x:c r="T440" s="2" t="str">
        <x:v>Synced</x:v>
      </x:c>
    </x:row>
    <x:row r="441" ht="21" customHeight="1">
      <x:c r="A441" s="2" t="str">
        <x:v>EV000153</x:v>
      </x:c>
      <x:c r="B441" s="2" t="str">
        <x:v>T20261004-5-1</x:v>
      </x:c>
      <x:c r="C441" s="2" t="str">
        <x:v>ST038</x:v>
      </x:c>
      <x:c r="D441" s="2" t="str">
        <x:v>1ebedd777293ba897970ae7fc06b6301</x:v>
      </x:c>
      <x:c r="E441" s="2" t="str">
        <x:v>CHECK_IN</x:v>
      </x:c>
      <x:c r="F441" s="8" t="n">
        <x:v>46299.70857638888</x:v>
      </x:c>
      <x:c r="G441" s="8" t="n">
        <x:v>46299.70859953703</x:v>
      </x:c>
      <x:c r="H441" s="2" t="str">
        <x:v>SCH01</x:v>
      </x:c>
      <x:c r="I441" s="9" t="n">
        <x:v>25.285</x:v>
      </x:c>
      <x:c r="J441" s="9" t="n">
        <x:v>51.51</x:v>
      </x:c>
      <x:c r="K441" s="2" t="n">
        <x:v>8</x:v>
      </x:c>
      <x:c r="L441" s="2" t="str">
        <x:v>Valid</x:v>
      </x:c>
      <x:c r="M441" s="2" t="str">
        <x:v>QR</x:v>
      </x:c>
      <x:c r="N441" s="2" t="n">
        <x:v>1</x:v>
      </x:c>
      <x:c r="O441" s="2" t="str">
        <x:v>Accepted</x:v>
      </x:c>
      <x:c r="P441" s="2" t="str">
        <x:v>S001</x:v>
      </x:c>
      <x:c r="Q441" s="2" t="str">
        <x:v>DEV001</x:v>
      </x:c>
      <x:c r="R441" s="2" t="n">
        <x:v>8</x:v>
      </x:c>
      <x:c r="S441" s="2" t="str">
        <x:v>Online</x:v>
      </x:c>
      <x:c r="T441" s="2" t="str">
        <x:v>Synced</x:v>
      </x:c>
    </x:row>
    <x:row r="442" ht="21" customHeight="1">
      <x:c r="A442" s="2" t="str">
        <x:v>EV000313</x:v>
      </x:c>
      <x:c r="B442" s="2" t="str">
        <x:v>T20261004-5-2</x:v>
      </x:c>
      <x:c r="C442" s="2" t="str">
        <x:v>ST078</x:v>
      </x:c>
      <x:c r="D442" s="2" t="str">
        <x:v>737ab4e672bf11e638a47ae295f7e187</x:v>
      </x:c>
      <x:c r="E442" s="2" t="str">
        <x:v>CHECK_IN</x:v>
      </x:c>
      <x:c r="F442" s="8" t="n">
        <x:v>46299.70857638888</x:v>
      </x:c>
      <x:c r="G442" s="8" t="n">
        <x:v>46299.70859953703</x:v>
      </x:c>
      <x:c r="H442" s="2" t="str">
        <x:v>SCH01</x:v>
      </x:c>
      <x:c r="I442" s="9" t="n">
        <x:v>25.285</x:v>
      </x:c>
      <x:c r="J442" s="9" t="n">
        <x:v>51.51</x:v>
      </x:c>
      <x:c r="K442" s="2" t="n">
        <x:v>8</x:v>
      </x:c>
      <x:c r="L442" s="2" t="str">
        <x:v>Valid</x:v>
      </x:c>
      <x:c r="M442" s="2" t="str">
        <x:v>QR</x:v>
      </x:c>
      <x:c r="N442" s="2" t="n">
        <x:v>1</x:v>
      </x:c>
      <x:c r="O442" s="2" t="str">
        <x:v>Accepted</x:v>
      </x:c>
      <x:c r="P442" s="2" t="str">
        <x:v>S002</x:v>
      </x:c>
      <x:c r="Q442" s="2" t="str">
        <x:v>DEV002</x:v>
      </x:c>
      <x:c r="R442" s="2" t="n">
        <x:v>8</x:v>
      </x:c>
      <x:c r="S442" s="2" t="str">
        <x:v>Online</x:v>
      </x:c>
      <x:c r="T442" s="2" t="str">
        <x:v>Synced</x:v>
      </x:c>
    </x:row>
    <x:row r="443" ht="21" customHeight="1">
      <x:c r="A443" s="2" t="str">
        <x:v>EV000473</x:v>
      </x:c>
      <x:c r="B443" s="2" t="str">
        <x:v>T20261004-5-3</x:v>
      </x:c>
      <x:c r="C443" s="2" t="str">
        <x:v>ST118</x:v>
      </x:c>
      <x:c r="D443" s="2" t="str">
        <x:v>b15012a6111b47a10bdbbcbbd00c9f60</x:v>
      </x:c>
      <x:c r="E443" s="2" t="str">
        <x:v>CHECK_IN</x:v>
      </x:c>
      <x:c r="F443" s="8" t="n">
        <x:v>46299.70857638888</x:v>
      </x:c>
      <x:c r="G443" s="8" t="n">
        <x:v>46299.70859953703</x:v>
      </x:c>
      <x:c r="H443" s="2" t="str">
        <x:v>SCH01</x:v>
      </x:c>
      <x:c r="I443" s="9" t="n">
        <x:v>25.285</x:v>
      </x:c>
      <x:c r="J443" s="9" t="n">
        <x:v>51.51</x:v>
      </x:c>
      <x:c r="K443" s="2" t="n">
        <x:v>8</x:v>
      </x:c>
      <x:c r="L443" s="2" t="str">
        <x:v>Valid</x:v>
      </x:c>
      <x:c r="M443" s="2" t="str">
        <x:v>QR</x:v>
      </x:c>
      <x:c r="N443" s="2" t="n">
        <x:v>1</x:v>
      </x:c>
      <x:c r="O443" s="2" t="str">
        <x:v>Accepted</x:v>
      </x:c>
      <x:c r="P443" s="2" t="str">
        <x:v>S003</x:v>
      </x:c>
      <x:c r="Q443" s="2" t="str">
        <x:v>DEV003</x:v>
      </x:c>
      <x:c r="R443" s="2" t="n">
        <x:v>8</x:v>
      </x:c>
      <x:c r="S443" s="2" t="str">
        <x:v>Online</x:v>
      </x:c>
      <x:c r="T443" s="2" t="str">
        <x:v>Synced</x:v>
      </x:c>
    </x:row>
    <x:row r="444" ht="21" customHeight="1">
      <x:c r="A444" s="2" t="str">
        <x:v>EV000155</x:v>
      </x:c>
      <x:c r="B444" s="2" t="str">
        <x:v>T20261004-5-1</x:v>
      </x:c>
      <x:c r="C444" s="2" t="str">
        <x:v>ST039</x:v>
      </x:c>
      <x:c r="D444" s="2" t="str">
        <x:v>31ed548c9c06f555ac72ac2281bbb58a</x:v>
      </x:c>
      <x:c r="E444" s="2" t="str">
        <x:v>CHECK_IN</x:v>
      </x:c>
      <x:c r="F444" s="8" t="n">
        <x:v>46299.708611111106</x:v>
      </x:c>
      <x:c r="G444" s="8" t="n">
        <x:v>46299.70863425925</x:v>
      </x:c>
      <x:c r="H444" s="2" t="str">
        <x:v>SCH01</x:v>
      </x:c>
      <x:c r="I444" s="9" t="n">
        <x:v>25.285</x:v>
      </x:c>
      <x:c r="J444" s="9" t="n">
        <x:v>51.51</x:v>
      </x:c>
      <x:c r="K444" s="2" t="n">
        <x:v>8</x:v>
      </x:c>
      <x:c r="L444" s="2" t="str">
        <x:v>Valid</x:v>
      </x:c>
      <x:c r="M444" s="2" t="str">
        <x:v>QR</x:v>
      </x:c>
      <x:c r="N444" s="2" t="n">
        <x:v>1</x:v>
      </x:c>
      <x:c r="O444" s="2" t="str">
        <x:v>Accepted</x:v>
      </x:c>
      <x:c r="P444" s="2" t="str">
        <x:v>S001</x:v>
      </x:c>
      <x:c r="Q444" s="2" t="str">
        <x:v>DEV001</x:v>
      </x:c>
      <x:c r="R444" s="2" t="n">
        <x:v>9</x:v>
      </x:c>
      <x:c r="S444" s="2" t="str">
        <x:v>Online</x:v>
      </x:c>
      <x:c r="T444" s="2" t="str">
        <x:v>Synced</x:v>
      </x:c>
    </x:row>
    <x:row r="445" ht="21" customHeight="1">
      <x:c r="A445" s="2" t="str">
        <x:v>EV000315</x:v>
      </x:c>
      <x:c r="B445" s="2" t="str">
        <x:v>T20261004-5-2</x:v>
      </x:c>
      <x:c r="C445" s="2" t="str">
        <x:v>ST079</x:v>
      </x:c>
      <x:c r="D445" s="2" t="str">
        <x:v>3a794a47ff11773398f2344554eeea57</x:v>
      </x:c>
      <x:c r="E445" s="2" t="str">
        <x:v>CHECK_IN</x:v>
      </x:c>
      <x:c r="F445" s="8" t="n">
        <x:v>46299.708611111106</x:v>
      </x:c>
      <x:c r="G445" s="8" t="n">
        <x:v>46299.70863425925</x:v>
      </x:c>
      <x:c r="H445" s="2" t="str">
        <x:v>SCH01</x:v>
      </x:c>
      <x:c r="I445" s="9" t="n">
        <x:v>25.285</x:v>
      </x:c>
      <x:c r="J445" s="9" t="n">
        <x:v>51.51</x:v>
      </x:c>
      <x:c r="K445" s="2" t="n">
        <x:v>8</x:v>
      </x:c>
      <x:c r="L445" s="2" t="str">
        <x:v>Valid</x:v>
      </x:c>
      <x:c r="M445" s="2" t="str">
        <x:v>QR</x:v>
      </x:c>
      <x:c r="N445" s="2" t="n">
        <x:v>1</x:v>
      </x:c>
      <x:c r="O445" s="2" t="str">
        <x:v>Accepted</x:v>
      </x:c>
      <x:c r="P445" s="2" t="str">
        <x:v>S002</x:v>
      </x:c>
      <x:c r="Q445" s="2" t="str">
        <x:v>DEV002</x:v>
      </x:c>
      <x:c r="R445" s="2" t="n">
        <x:v>9</x:v>
      </x:c>
      <x:c r="S445" s="2" t="str">
        <x:v>Online</x:v>
      </x:c>
      <x:c r="T445" s="2" t="str">
        <x:v>Synced</x:v>
      </x:c>
    </x:row>
    <x:row r="446" ht="21" customHeight="1">
      <x:c r="A446" s="2" t="str">
        <x:v>EV000475</x:v>
      </x:c>
      <x:c r="B446" s="2" t="str">
        <x:v>T20261004-5-3</x:v>
      </x:c>
      <x:c r="C446" s="2" t="str">
        <x:v>ST119</x:v>
      </x:c>
      <x:c r="D446" s="2" t="str">
        <x:v>c01a05a48293e3b7c907c4b326c0d0a8</x:v>
      </x:c>
      <x:c r="E446" s="2" t="str">
        <x:v>CHECK_IN</x:v>
      </x:c>
      <x:c r="F446" s="8" t="n">
        <x:v>46299.708611111106</x:v>
      </x:c>
      <x:c r="G446" s="8" t="n">
        <x:v>46299.70863425925</x:v>
      </x:c>
      <x:c r="H446" s="2" t="str">
        <x:v>SCH01</x:v>
      </x:c>
      <x:c r="I446" s="9" t="n">
        <x:v>25.285</x:v>
      </x:c>
      <x:c r="J446" s="9" t="n">
        <x:v>51.51</x:v>
      </x:c>
      <x:c r="K446" s="2" t="n">
        <x:v>8</x:v>
      </x:c>
      <x:c r="L446" s="2" t="str">
        <x:v>Valid</x:v>
      </x:c>
      <x:c r="M446" s="2" t="str">
        <x:v>QR</x:v>
      </x:c>
      <x:c r="N446" s="2" t="n">
        <x:v>1</x:v>
      </x:c>
      <x:c r="O446" s="2" t="str">
        <x:v>Accepted</x:v>
      </x:c>
      <x:c r="P446" s="2" t="str">
        <x:v>S003</x:v>
      </x:c>
      <x:c r="Q446" s="2" t="str">
        <x:v>DEV003</x:v>
      </x:c>
      <x:c r="R446" s="2" t="n">
        <x:v>9</x:v>
      </x:c>
      <x:c r="S446" s="2" t="str">
        <x:v>Online</x:v>
      </x:c>
      <x:c r="T446" s="2" t="str">
        <x:v>Synced</x:v>
      </x:c>
    </x:row>
    <x:row r="447" ht="21" customHeight="1">
      <x:c r="A447" s="2" t="str">
        <x:v>EV000157</x:v>
      </x:c>
      <x:c r="B447" s="2" t="str">
        <x:v>T20261004-5-1</x:v>
      </x:c>
      <x:c r="C447" s="2" t="str">
        <x:v>ST040</x:v>
      </x:c>
      <x:c r="D447" s="2" t="str">
        <x:v>4cd5e507bb3c8af27cd11d16138dcec0</x:v>
      </x:c>
      <x:c r="E447" s="2" t="str">
        <x:v>CHECK_IN</x:v>
      </x:c>
      <x:c r="F447" s="8" t="n">
        <x:v>46299.70864583333</x:v>
      </x:c>
      <x:c r="G447" s="8" t="n">
        <x:v>46299.708668981475</x:v>
      </x:c>
      <x:c r="H447" s="2" t="str">
        <x:v>SCH01</x:v>
      </x:c>
      <x:c r="I447" s="9" t="n">
        <x:v>25.285</x:v>
      </x:c>
      <x:c r="J447" s="9" t="n">
        <x:v>51.51</x:v>
      </x:c>
      <x:c r="K447" s="2" t="n">
        <x:v>8</x:v>
      </x:c>
      <x:c r="L447" s="2" t="str">
        <x:v>Valid</x:v>
      </x:c>
      <x:c r="M447" s="2" t="str">
        <x:v>QR</x:v>
      </x:c>
      <x:c r="N447" s="2" t="n">
        <x:v>1</x:v>
      </x:c>
      <x:c r="O447" s="2" t="str">
        <x:v>Accepted</x:v>
      </x:c>
      <x:c r="P447" s="2" t="str">
        <x:v>S001</x:v>
      </x:c>
      <x:c r="Q447" s="2" t="str">
        <x:v>DEV001</x:v>
      </x:c>
      <x:c r="R447" s="2" t="n">
        <x:v>10</x:v>
      </x:c>
      <x:c r="S447" s="2" t="str">
        <x:v>Online</x:v>
      </x:c>
      <x:c r="T447" s="2" t="str">
        <x:v>Synced</x:v>
      </x:c>
    </x:row>
    <x:row r="448" ht="21" customHeight="1">
      <x:c r="A448" s="2" t="str">
        <x:v>EV000317</x:v>
      </x:c>
      <x:c r="B448" s="2" t="str">
        <x:v>T20261004-5-2</x:v>
      </x:c>
      <x:c r="C448" s="2" t="str">
        <x:v>ST080</x:v>
      </x:c>
      <x:c r="D448" s="2" t="str">
        <x:v>0abaf17d1472c0347862177fd9880be2</x:v>
      </x:c>
      <x:c r="E448" s="2" t="str">
        <x:v>CHECK_IN</x:v>
      </x:c>
      <x:c r="F448" s="8" t="n">
        <x:v>46299.70864583333</x:v>
      </x:c>
      <x:c r="G448" s="8" t="n">
        <x:v>46299.708668981475</x:v>
      </x:c>
      <x:c r="H448" s="2" t="str">
        <x:v>SCH01</x:v>
      </x:c>
      <x:c r="I448" s="9" t="n">
        <x:v>25.285</x:v>
      </x:c>
      <x:c r="J448" s="9" t="n">
        <x:v>51.51</x:v>
      </x:c>
      <x:c r="K448" s="2" t="n">
        <x:v>8</x:v>
      </x:c>
      <x:c r="L448" s="2" t="str">
        <x:v>Valid</x:v>
      </x:c>
      <x:c r="M448" s="2" t="str">
        <x:v>QR</x:v>
      </x:c>
      <x:c r="N448" s="2" t="n">
        <x:v>1</x:v>
      </x:c>
      <x:c r="O448" s="2" t="str">
        <x:v>Accepted</x:v>
      </x:c>
      <x:c r="P448" s="2" t="str">
        <x:v>S002</x:v>
      </x:c>
      <x:c r="Q448" s="2" t="str">
        <x:v>DEV002</x:v>
      </x:c>
      <x:c r="R448" s="2" t="n">
        <x:v>10</x:v>
      </x:c>
      <x:c r="S448" s="2" t="str">
        <x:v>Online</x:v>
      </x:c>
      <x:c r="T448" s="2" t="str">
        <x:v>Synced</x:v>
      </x:c>
    </x:row>
    <x:row r="449" ht="21" customHeight="1">
      <x:c r="A449" s="2" t="str">
        <x:v>EV000477</x:v>
      </x:c>
      <x:c r="B449" s="2" t="str">
        <x:v>T20261004-5-3</x:v>
      </x:c>
      <x:c r="C449" s="2" t="str">
        <x:v>ST120</x:v>
      </x:c>
      <x:c r="D449" s="2" t="str">
        <x:v>c3749f3342e76b516e5c145f91308219</x:v>
      </x:c>
      <x:c r="E449" s="2" t="str">
        <x:v>CHECK_IN</x:v>
      </x:c>
      <x:c r="F449" s="8" t="n">
        <x:v>46299.70864583333</x:v>
      </x:c>
      <x:c r="G449" s="8" t="n">
        <x:v>46299.708668981475</x:v>
      </x:c>
      <x:c r="H449" s="2" t="str">
        <x:v>SCH01</x:v>
      </x:c>
      <x:c r="I449" s="9" t="n">
        <x:v>25.285</x:v>
      </x:c>
      <x:c r="J449" s="9" t="n">
        <x:v>51.51</x:v>
      </x:c>
      <x:c r="K449" s="2" t="n">
        <x:v>8</x:v>
      </x:c>
      <x:c r="L449" s="2" t="str">
        <x:v>Valid</x:v>
      </x:c>
      <x:c r="M449" s="2" t="str">
        <x:v>QR</x:v>
      </x:c>
      <x:c r="N449" s="2" t="n">
        <x:v>1</x:v>
      </x:c>
      <x:c r="O449" s="2" t="str">
        <x:v>Accepted</x:v>
      </x:c>
      <x:c r="P449" s="2" t="str">
        <x:v>S003</x:v>
      </x:c>
      <x:c r="Q449" s="2" t="str">
        <x:v>DEV003</x:v>
      </x:c>
      <x:c r="R449" s="2" t="n">
        <x:v>10</x:v>
      </x:c>
      <x:c r="S449" s="2" t="str">
        <x:v>Online</x:v>
      </x:c>
      <x:c r="T449" s="2" t="str">
        <x:v>Synced</x:v>
      </x:c>
    </x:row>
    <x:row r="450" ht="21" customHeight="1">
      <x:c r="A450" s="2" t="str">
        <x:v>EV000140</x:v>
      </x:c>
      <x:c r="B450" s="2" t="str">
        <x:v>T20261004-5-1</x:v>
      </x:c>
      <x:c r="C450" s="2" t="str">
        <x:v>ST031</x:v>
      </x:c>
      <x:c r="D450" s="2" t="str">
        <x:v>8ab188e9684e5df87182305d1c7eadac</x:v>
      </x:c>
      <x:c r="E450" s="2" t="str">
        <x:v>CHECK_OUT</x:v>
      </x:c>
      <x:c r="F450" s="8" t="n">
        <x:v>46299.72361111111</x:v>
      </x:c>
      <x:c r="G450" s="8" t="n">
        <x:v>46299.72363425926</x:v>
      </x:c>
      <x:c r="H450" s="2" t="str">
        <x:v>R1S1</x:v>
      </x:c>
      <x:c r="I450" s="9" t="n">
        <x:v>25.271</x:v>
      </x:c>
      <x:c r="J450" s="9" t="n">
        <x:v>51.491</x:v>
      </x:c>
      <x:c r="K450" s="2" t="n">
        <x:v>8</x:v>
      </x:c>
      <x:c r="L450" s="2" t="str">
        <x:v>Valid</x:v>
      </x:c>
      <x:c r="M450" s="2" t="str">
        <x:v>QR</x:v>
      </x:c>
      <x:c r="N450" s="2" t="n">
        <x:v>1</x:v>
      </x:c>
      <x:c r="O450" s="2" t="str">
        <x:v>Accepted</x:v>
      </x:c>
      <x:c r="P450" s="2" t="str">
        <x:v>S001</x:v>
      </x:c>
      <x:c r="Q450" s="2" t="str">
        <x:v>DEV001</x:v>
      </x:c>
      <x:c r="R450" s="2" t="n">
        <x:v>11</x:v>
      </x:c>
      <x:c r="S450" s="2" t="str">
        <x:v>Online</x:v>
      </x:c>
      <x:c r="T450" s="2" t="str">
        <x:v>Synced</x:v>
      </x:c>
    </x:row>
    <x:row r="451" ht="21" customHeight="1">
      <x:c r="A451" s="2" t="str">
        <x:v>EV000300</x:v>
      </x:c>
      <x:c r="B451" s="2" t="str">
        <x:v>T20261004-5-2</x:v>
      </x:c>
      <x:c r="C451" s="2" t="str">
        <x:v>ST071</x:v>
      </x:c>
      <x:c r="D451" s="2" t="str">
        <x:v>51895678643dc659a400e702a471294e</x:v>
      </x:c>
      <x:c r="E451" s="2" t="str">
        <x:v>CHECK_OUT</x:v>
      </x:c>
      <x:c r="F451" s="8" t="n">
        <x:v>46299.72361111111</x:v>
      </x:c>
      <x:c r="G451" s="8" t="n">
        <x:v>46299.72363425926</x:v>
      </x:c>
      <x:c r="H451" s="2" t="str">
        <x:v>R2S1</x:v>
      </x:c>
      <x:c r="I451" s="9" t="n">
        <x:v>25.28</x:v>
      </x:c>
      <x:c r="J451" s="9" t="n">
        <x:v>51.498999999999995</x:v>
      </x:c>
      <x:c r="K451" s="2" t="n">
        <x:v>8</x:v>
      </x:c>
      <x:c r="L451" s="2" t="str">
        <x:v>Valid</x:v>
      </x:c>
      <x:c r="M451" s="2" t="str">
        <x:v>QR</x:v>
      </x:c>
      <x:c r="N451" s="2" t="n">
        <x:v>1</x:v>
      </x:c>
      <x:c r="O451" s="2" t="str">
        <x:v>Accepted</x:v>
      </x:c>
      <x:c r="P451" s="2" t="str">
        <x:v>S002</x:v>
      </x:c>
      <x:c r="Q451" s="2" t="str">
        <x:v>DEV002</x:v>
      </x:c>
      <x:c r="R451" s="2" t="n">
        <x:v>11</x:v>
      </x:c>
      <x:c r="S451" s="2" t="str">
        <x:v>Online</x:v>
      </x:c>
      <x:c r="T451" s="2" t="str">
        <x:v>Synced</x:v>
      </x:c>
    </x:row>
    <x:row r="452" ht="21" customHeight="1">
      <x:c r="A452" s="2" t="str">
        <x:v>EV000460</x:v>
      </x:c>
      <x:c r="B452" s="2" t="str">
        <x:v>T20261004-5-3</x:v>
      </x:c>
      <x:c r="C452" s="2" t="str">
        <x:v>ST111</x:v>
      </x:c>
      <x:c r="D452" s="2" t="str">
        <x:v>e6e9707385e7ee8edd3ac87243757eb2</x:v>
      </x:c>
      <x:c r="E452" s="2" t="str">
        <x:v>CHECK_OUT</x:v>
      </x:c>
      <x:c r="F452" s="8" t="n">
        <x:v>46299.72361111111</x:v>
      </x:c>
      <x:c r="G452" s="8" t="n">
        <x:v>46299.72363425926</x:v>
      </x:c>
      <x:c r="H452" s="2" t="str">
        <x:v>R3S1</x:v>
      </x:c>
      <x:c r="I452" s="9" t="n">
        <x:v>25.289</x:v>
      </x:c>
      <x:c r="J452" s="9" t="n">
        <x:v>51.507</x:v>
      </x:c>
      <x:c r="K452" s="2" t="n">
        <x:v>8</x:v>
      </x:c>
      <x:c r="L452" s="2" t="str">
        <x:v>Valid</x:v>
      </x:c>
      <x:c r="M452" s="2" t="str">
        <x:v>QR</x:v>
      </x:c>
      <x:c r="N452" s="2" t="n">
        <x:v>1</x:v>
      </x:c>
      <x:c r="O452" s="2" t="str">
        <x:v>Accepted</x:v>
      </x:c>
      <x:c r="P452" s="2" t="str">
        <x:v>S003</x:v>
      </x:c>
      <x:c r="Q452" s="2" t="str">
        <x:v>DEV003</x:v>
      </x:c>
      <x:c r="R452" s="2" t="n">
        <x:v>11</x:v>
      </x:c>
      <x:c r="S452" s="2" t="str">
        <x:v>Online</x:v>
      </x:c>
      <x:c r="T452" s="2" t="str">
        <x:v>Synced</x:v>
      </x:c>
    </x:row>
    <x:row r="453" ht="21" customHeight="1">
      <x:c r="A453" s="2" t="str">
        <x:v>EV000146</x:v>
      </x:c>
      <x:c r="B453" s="2" t="str">
        <x:v>T20261004-5-1</x:v>
      </x:c>
      <x:c r="C453" s="2" t="str">
        <x:v>ST034</x:v>
      </x:c>
      <x:c r="D453" s="2" t="str">
        <x:v>80fbe33bb2df8cab59b55f98f1c8a3d5</x:v>
      </x:c>
      <x:c r="E453" s="2" t="str">
        <x:v>CHECK_OUT</x:v>
      </x:c>
      <x:c r="F453" s="8" t="n">
        <x:v>46299.72371527778</x:v>
      </x:c>
      <x:c r="G453" s="8" t="n">
        <x:v>46299.72373842593</x:v>
      </x:c>
      <x:c r="H453" s="2" t="str">
        <x:v>R1S1</x:v>
      </x:c>
      <x:c r="I453" s="9" t="n">
        <x:v>25.271</x:v>
      </x:c>
      <x:c r="J453" s="9" t="n">
        <x:v>51.491</x:v>
      </x:c>
      <x:c r="K453" s="2" t="n">
        <x:v>8</x:v>
      </x:c>
      <x:c r="L453" s="2" t="str">
        <x:v>Valid</x:v>
      </x:c>
      <x:c r="M453" s="2" t="str">
        <x:v>QR</x:v>
      </x:c>
      <x:c r="N453" s="2" t="n">
        <x:v>1</x:v>
      </x:c>
      <x:c r="O453" s="2" t="str">
        <x:v>Accepted</x:v>
      </x:c>
      <x:c r="P453" s="2" t="str">
        <x:v>S001</x:v>
      </x:c>
      <x:c r="Q453" s="2" t="str">
        <x:v>DEV001</x:v>
      </x:c>
      <x:c r="R453" s="2" t="n">
        <x:v>12</x:v>
      </x:c>
      <x:c r="S453" s="2" t="str">
        <x:v>Online</x:v>
      </x:c>
      <x:c r="T453" s="2" t="str">
        <x:v>Synced</x:v>
      </x:c>
    </x:row>
    <x:row r="454" ht="21" customHeight="1">
      <x:c r="A454" s="2" t="str">
        <x:v>EV000306</x:v>
      </x:c>
      <x:c r="B454" s="2" t="str">
        <x:v>T20261004-5-2</x:v>
      </x:c>
      <x:c r="C454" s="2" t="str">
        <x:v>ST074</x:v>
      </x:c>
      <x:c r="D454" s="2" t="str">
        <x:v>a9bcbd7cecca4f17e235125ddf0adf7b</x:v>
      </x:c>
      <x:c r="E454" s="2" t="str">
        <x:v>CHECK_OUT</x:v>
      </x:c>
      <x:c r="F454" s="8" t="n">
        <x:v>46299.72371527778</x:v>
      </x:c>
      <x:c r="G454" s="8" t="n">
        <x:v>46299.72373842593</x:v>
      </x:c>
      <x:c r="H454" s="2" t="str">
        <x:v>R2S1</x:v>
      </x:c>
      <x:c r="I454" s="9" t="n">
        <x:v>25.28</x:v>
      </x:c>
      <x:c r="J454" s="9" t="n">
        <x:v>51.498999999999995</x:v>
      </x:c>
      <x:c r="K454" s="2" t="n">
        <x:v>8</x:v>
      </x:c>
      <x:c r="L454" s="2" t="str">
        <x:v>Valid</x:v>
      </x:c>
      <x:c r="M454" s="2" t="str">
        <x:v>QR</x:v>
      </x:c>
      <x:c r="N454" s="2" t="n">
        <x:v>1</x:v>
      </x:c>
      <x:c r="O454" s="2" t="str">
        <x:v>Accepted</x:v>
      </x:c>
      <x:c r="P454" s="2" t="str">
        <x:v>S002</x:v>
      </x:c>
      <x:c r="Q454" s="2" t="str">
        <x:v>DEV002</x:v>
      </x:c>
      <x:c r="R454" s="2" t="n">
        <x:v>12</x:v>
      </x:c>
      <x:c r="S454" s="2" t="str">
        <x:v>Online</x:v>
      </x:c>
      <x:c r="T454" s="2" t="str">
        <x:v>Synced</x:v>
      </x:c>
    </x:row>
    <x:row r="455" ht="21" customHeight="1">
      <x:c r="A455" s="2" t="str">
        <x:v>EV000466</x:v>
      </x:c>
      <x:c r="B455" s="2" t="str">
        <x:v>T20261004-5-3</x:v>
      </x:c>
      <x:c r="C455" s="2" t="str">
        <x:v>ST114</x:v>
      </x:c>
      <x:c r="D455" s="2" t="str">
        <x:v>a5c77bf3b082c3ab825b65c34f1c9f8c</x:v>
      </x:c>
      <x:c r="E455" s="2" t="str">
        <x:v>CHECK_OUT</x:v>
      </x:c>
      <x:c r="F455" s="8" t="n">
        <x:v>46299.72371527778</x:v>
      </x:c>
      <x:c r="G455" s="8" t="n">
        <x:v>46299.72373842593</x:v>
      </x:c>
      <x:c r="H455" s="2" t="str">
        <x:v>R3S1</x:v>
      </x:c>
      <x:c r="I455" s="9" t="n">
        <x:v>25.289</x:v>
      </x:c>
      <x:c r="J455" s="9" t="n">
        <x:v>51.507</x:v>
      </x:c>
      <x:c r="K455" s="2" t="n">
        <x:v>8</x:v>
      </x:c>
      <x:c r="L455" s="2" t="str">
        <x:v>Valid</x:v>
      </x:c>
      <x:c r="M455" s="2" t="str">
        <x:v>QR</x:v>
      </x:c>
      <x:c r="N455" s="2" t="n">
        <x:v>1</x:v>
      </x:c>
      <x:c r="O455" s="2" t="str">
        <x:v>Accepted</x:v>
      </x:c>
      <x:c r="P455" s="2" t="str">
        <x:v>S003</x:v>
      </x:c>
      <x:c r="Q455" s="2" t="str">
        <x:v>DEV003</x:v>
      </x:c>
      <x:c r="R455" s="2" t="n">
        <x:v>12</x:v>
      </x:c>
      <x:c r="S455" s="2" t="str">
        <x:v>Online</x:v>
      </x:c>
      <x:c r="T455" s="2" t="str">
        <x:v>Synced</x:v>
      </x:c>
    </x:row>
    <x:row r="456" ht="21" customHeight="1">
      <x:c r="A456" s="2" t="str">
        <x:v>EV000152</x:v>
      </x:c>
      <x:c r="B456" s="2" t="str">
        <x:v>T20261004-5-1</x:v>
      </x:c>
      <x:c r="C456" s="2" t="str">
        <x:v>ST037</x:v>
      </x:c>
      <x:c r="D456" s="2" t="str">
        <x:v>eb6cdfa5572c8f6959c8b9c84b8ec493</x:v>
      </x:c>
      <x:c r="E456" s="2" t="str">
        <x:v>CHECK_OUT</x:v>
      </x:c>
      <x:c r="F456" s="8" t="n">
        <x:v>46299.72381944444</x:v>
      </x:c>
      <x:c r="G456" s="8" t="n">
        <x:v>46299.72384259259</x:v>
      </x:c>
      <x:c r="H456" s="2" t="str">
        <x:v>R1S1</x:v>
      </x:c>
      <x:c r="I456" s="9" t="n">
        <x:v>25.271</x:v>
      </x:c>
      <x:c r="J456" s="9" t="n">
        <x:v>51.491</x:v>
      </x:c>
      <x:c r="K456" s="2" t="n">
        <x:v>8</x:v>
      </x:c>
      <x:c r="L456" s="2" t="str">
        <x:v>Valid</x:v>
      </x:c>
      <x:c r="M456" s="2" t="str">
        <x:v>QR</x:v>
      </x:c>
      <x:c r="N456" s="2" t="n">
        <x:v>1</x:v>
      </x:c>
      <x:c r="O456" s="2" t="str">
        <x:v>Accepted</x:v>
      </x:c>
      <x:c r="P456" s="2" t="str">
        <x:v>S001</x:v>
      </x:c>
      <x:c r="Q456" s="2" t="str">
        <x:v>DEV001</x:v>
      </x:c>
      <x:c r="R456" s="2" t="n">
        <x:v>13</x:v>
      </x:c>
      <x:c r="S456" s="2" t="str">
        <x:v>Online</x:v>
      </x:c>
      <x:c r="T456" s="2" t="str">
        <x:v>Synced</x:v>
      </x:c>
    </x:row>
    <x:row r="457" ht="21" customHeight="1">
      <x:c r="A457" s="2" t="str">
        <x:v>EV000312</x:v>
      </x:c>
      <x:c r="B457" s="2" t="str">
        <x:v>T20261004-5-2</x:v>
      </x:c>
      <x:c r="C457" s="2" t="str">
        <x:v>ST077</x:v>
      </x:c>
      <x:c r="D457" s="2" t="str">
        <x:v>af7b8314f6c372daf48e6b95332f6a0f</x:v>
      </x:c>
      <x:c r="E457" s="2" t="str">
        <x:v>CHECK_OUT</x:v>
      </x:c>
      <x:c r="F457" s="8" t="n">
        <x:v>46299.72381944444</x:v>
      </x:c>
      <x:c r="G457" s="8" t="n">
        <x:v>46299.72384259259</x:v>
      </x:c>
      <x:c r="H457" s="2" t="str">
        <x:v>R2S1</x:v>
      </x:c>
      <x:c r="I457" s="9" t="n">
        <x:v>25.28</x:v>
      </x:c>
      <x:c r="J457" s="9" t="n">
        <x:v>51.498999999999995</x:v>
      </x:c>
      <x:c r="K457" s="2" t="n">
        <x:v>8</x:v>
      </x:c>
      <x:c r="L457" s="2" t="str">
        <x:v>Valid</x:v>
      </x:c>
      <x:c r="M457" s="2" t="str">
        <x:v>QR</x:v>
      </x:c>
      <x:c r="N457" s="2" t="n">
        <x:v>1</x:v>
      </x:c>
      <x:c r="O457" s="2" t="str">
        <x:v>Accepted</x:v>
      </x:c>
      <x:c r="P457" s="2" t="str">
        <x:v>S002</x:v>
      </x:c>
      <x:c r="Q457" s="2" t="str">
        <x:v>DEV002</x:v>
      </x:c>
      <x:c r="R457" s="2" t="n">
        <x:v>13</x:v>
      </x:c>
      <x:c r="S457" s="2" t="str">
        <x:v>Online</x:v>
      </x:c>
      <x:c r="T457" s="2" t="str">
        <x:v>Synced</x:v>
      </x:c>
    </x:row>
    <x:row r="458" ht="21" customHeight="1">
      <x:c r="A458" s="2" t="str">
        <x:v>EV000472</x:v>
      </x:c>
      <x:c r="B458" s="2" t="str">
        <x:v>T20261004-5-3</x:v>
      </x:c>
      <x:c r="C458" s="2" t="str">
        <x:v>ST117</x:v>
      </x:c>
      <x:c r="D458" s="2" t="str">
        <x:v>195a54aea4adbe89371209e73878e4fe</x:v>
      </x:c>
      <x:c r="E458" s="2" t="str">
        <x:v>CHECK_OUT</x:v>
      </x:c>
      <x:c r="F458" s="8" t="n">
        <x:v>46299.72381944444</x:v>
      </x:c>
      <x:c r="G458" s="8" t="n">
        <x:v>46299.72384259259</x:v>
      </x:c>
      <x:c r="H458" s="2" t="str">
        <x:v>R3S1</x:v>
      </x:c>
      <x:c r="I458" s="9" t="n">
        <x:v>25.289</x:v>
      </x:c>
      <x:c r="J458" s="9" t="n">
        <x:v>51.507</x:v>
      </x:c>
      <x:c r="K458" s="2" t="n">
        <x:v>8</x:v>
      </x:c>
      <x:c r="L458" s="2" t="str">
        <x:v>Valid</x:v>
      </x:c>
      <x:c r="M458" s="2" t="str">
        <x:v>QR</x:v>
      </x:c>
      <x:c r="N458" s="2" t="n">
        <x:v>1</x:v>
      </x:c>
      <x:c r="O458" s="2" t="str">
        <x:v>Accepted</x:v>
      </x:c>
      <x:c r="P458" s="2" t="str">
        <x:v>S003</x:v>
      </x:c>
      <x:c r="Q458" s="2" t="str">
        <x:v>DEV003</x:v>
      </x:c>
      <x:c r="R458" s="2" t="n">
        <x:v>13</x:v>
      </x:c>
      <x:c r="S458" s="2" t="str">
        <x:v>Online</x:v>
      </x:c>
      <x:c r="T458" s="2" t="str">
        <x:v>Synced</x:v>
      </x:c>
    </x:row>
    <x:row r="459" ht="21" customHeight="1">
      <x:c r="A459" s="2" t="str">
        <x:v>EV000158</x:v>
      </x:c>
      <x:c r="B459" s="2" t="str">
        <x:v>T20261004-5-1</x:v>
      </x:c>
      <x:c r="C459" s="2" t="str">
        <x:v>ST040</x:v>
      </x:c>
      <x:c r="D459" s="2" t="str">
        <x:v>4cd5e507bb3c8af27cd11d16138dcec0</x:v>
      </x:c>
      <x:c r="E459" s="2" t="str">
        <x:v>CHECK_OUT</x:v>
      </x:c>
      <x:c r="F459" s="8" t="n">
        <x:v>46299.72392361111</x:v>
      </x:c>
      <x:c r="G459" s="8" t="n">
        <x:v>46299.72394675926</x:v>
      </x:c>
      <x:c r="H459" s="2" t="str">
        <x:v>R1S1</x:v>
      </x:c>
      <x:c r="I459" s="9" t="n">
        <x:v>25.271</x:v>
      </x:c>
      <x:c r="J459" s="9" t="n">
        <x:v>51.491</x:v>
      </x:c>
      <x:c r="K459" s="2" t="n">
        <x:v>8</x:v>
      </x:c>
      <x:c r="L459" s="2" t="str">
        <x:v>Valid</x:v>
      </x:c>
      <x:c r="M459" s="2" t="str">
        <x:v>QR</x:v>
      </x:c>
      <x:c r="N459" s="2" t="n">
        <x:v>1</x:v>
      </x:c>
      <x:c r="O459" s="2" t="str">
        <x:v>Accepted</x:v>
      </x:c>
      <x:c r="P459" s="2" t="str">
        <x:v>S001</x:v>
      </x:c>
      <x:c r="Q459" s="2" t="str">
        <x:v>DEV001</x:v>
      </x:c>
      <x:c r="R459" s="2" t="n">
        <x:v>14</x:v>
      </x:c>
      <x:c r="S459" s="2" t="str">
        <x:v>Online</x:v>
      </x:c>
      <x:c r="T459" s="2" t="str">
        <x:v>Synced</x:v>
      </x:c>
    </x:row>
    <x:row r="460" ht="21" customHeight="1">
      <x:c r="A460" s="2" t="str">
        <x:v>EV000318</x:v>
      </x:c>
      <x:c r="B460" s="2" t="str">
        <x:v>T20261004-5-2</x:v>
      </x:c>
      <x:c r="C460" s="2" t="str">
        <x:v>ST080</x:v>
      </x:c>
      <x:c r="D460" s="2" t="str">
        <x:v>0abaf17d1472c0347862177fd9880be2</x:v>
      </x:c>
      <x:c r="E460" s="2" t="str">
        <x:v>CHECK_OUT</x:v>
      </x:c>
      <x:c r="F460" s="8" t="n">
        <x:v>46299.72392361111</x:v>
      </x:c>
      <x:c r="G460" s="8" t="n">
        <x:v>46299.72394675926</x:v>
      </x:c>
      <x:c r="H460" s="2" t="str">
        <x:v>R2S1</x:v>
      </x:c>
      <x:c r="I460" s="9" t="n">
        <x:v>25.28</x:v>
      </x:c>
      <x:c r="J460" s="9" t="n">
        <x:v>51.498999999999995</x:v>
      </x:c>
      <x:c r="K460" s="2" t="n">
        <x:v>8</x:v>
      </x:c>
      <x:c r="L460" s="2" t="str">
        <x:v>Valid</x:v>
      </x:c>
      <x:c r="M460" s="2" t="str">
        <x:v>QR</x:v>
      </x:c>
      <x:c r="N460" s="2" t="n">
        <x:v>1</x:v>
      </x:c>
      <x:c r="O460" s="2" t="str">
        <x:v>Accepted</x:v>
      </x:c>
      <x:c r="P460" s="2" t="str">
        <x:v>S002</x:v>
      </x:c>
      <x:c r="Q460" s="2" t="str">
        <x:v>DEV002</x:v>
      </x:c>
      <x:c r="R460" s="2" t="n">
        <x:v>14</x:v>
      </x:c>
      <x:c r="S460" s="2" t="str">
        <x:v>Online</x:v>
      </x:c>
      <x:c r="T460" s="2" t="str">
        <x:v>Synced</x:v>
      </x:c>
    </x:row>
    <x:row r="461" ht="21" customHeight="1">
      <x:c r="A461" s="2" t="str">
        <x:v>EV000478</x:v>
      </x:c>
      <x:c r="B461" s="2" t="str">
        <x:v>T20261004-5-3</x:v>
      </x:c>
      <x:c r="C461" s="2" t="str">
        <x:v>ST120</x:v>
      </x:c>
      <x:c r="D461" s="2" t="str">
        <x:v>c3749f3342e76b516e5c145f91308219</x:v>
      </x:c>
      <x:c r="E461" s="2" t="str">
        <x:v>CHECK_OUT</x:v>
      </x:c>
      <x:c r="F461" s="8" t="n">
        <x:v>46299.72392361111</x:v>
      </x:c>
      <x:c r="G461" s="8" t="n">
        <x:v>46299.72394675926</x:v>
      </x:c>
      <x:c r="H461" s="2" t="str">
        <x:v>R3S1</x:v>
      </x:c>
      <x:c r="I461" s="9" t="n">
        <x:v>25.289</x:v>
      </x:c>
      <x:c r="J461" s="9" t="n">
        <x:v>51.507</x:v>
      </x:c>
      <x:c r="K461" s="2" t="n">
        <x:v>8</x:v>
      </x:c>
      <x:c r="L461" s="2" t="str">
        <x:v>Valid</x:v>
      </x:c>
      <x:c r="M461" s="2" t="str">
        <x:v>QR</x:v>
      </x:c>
      <x:c r="N461" s="2" t="n">
        <x:v>1</x:v>
      </x:c>
      <x:c r="O461" s="2" t="str">
        <x:v>Accepted</x:v>
      </x:c>
      <x:c r="P461" s="2" t="str">
        <x:v>S003</x:v>
      </x:c>
      <x:c r="Q461" s="2" t="str">
        <x:v>DEV003</x:v>
      </x:c>
      <x:c r="R461" s="2" t="n">
        <x:v>14</x:v>
      </x:c>
      <x:c r="S461" s="2" t="str">
        <x:v>Online</x:v>
      </x:c>
      <x:c r="T461" s="2" t="str">
        <x:v>Synced</x:v>
      </x:c>
    </x:row>
    <x:row r="462" ht="21" customHeight="1">
      <x:c r="A462" s="2" t="str">
        <x:v>EV000142</x:v>
      </x:c>
      <x:c r="B462" s="2" t="str">
        <x:v>T20261004-5-1</x:v>
      </x:c>
      <x:c r="C462" s="2" t="str">
        <x:v>ST032</x:v>
      </x:c>
      <x:c r="D462" s="2" t="str">
        <x:v>836e2da54ccde9716995f5651a63e8c5</x:v>
      </x:c>
      <x:c r="E462" s="2" t="str">
        <x:v>CHECK_OUT</x:v>
      </x:c>
      <x:c r="F462" s="8" t="n">
        <x:v>46299.72850694445</x:v>
      </x:c>
      <x:c r="G462" s="8" t="n">
        <x:v>46299.728530092594</x:v>
      </x:c>
      <x:c r="H462" s="2" t="str">
        <x:v>R1S2</x:v>
      </x:c>
      <x:c r="I462" s="9" t="n">
        <x:v>25.273000000000003</x:v>
      </x:c>
      <x:c r="J462" s="9" t="n">
        <x:v>51.494</x:v>
      </x:c>
      <x:c r="K462" s="2" t="n">
        <x:v>8</x:v>
      </x:c>
      <x:c r="L462" s="2" t="str">
        <x:v>Valid</x:v>
      </x:c>
      <x:c r="M462" s="2" t="str">
        <x:v>QR</x:v>
      </x:c>
      <x:c r="N462" s="2" t="n">
        <x:v>1</x:v>
      </x:c>
      <x:c r="O462" s="2" t="str">
        <x:v>Accepted</x:v>
      </x:c>
      <x:c r="P462" s="2" t="str">
        <x:v>S001</x:v>
      </x:c>
      <x:c r="Q462" s="2" t="str">
        <x:v>DEV001</x:v>
      </x:c>
      <x:c r="R462" s="2" t="n">
        <x:v>15</x:v>
      </x:c>
      <x:c r="S462" s="2" t="str">
        <x:v>Online</x:v>
      </x:c>
      <x:c r="T462" s="2" t="str">
        <x:v>Synced</x:v>
      </x:c>
    </x:row>
    <x:row r="463" ht="21" customHeight="1">
      <x:c r="A463" s="2" t="str">
        <x:v>EV000302</x:v>
      </x:c>
      <x:c r="B463" s="2" t="str">
        <x:v>T20261004-5-2</x:v>
      </x:c>
      <x:c r="C463" s="2" t="str">
        <x:v>ST072</x:v>
      </x:c>
      <x:c r="D463" s="2" t="str">
        <x:v>34067027b5922171fe59ce4d7b756f1c</x:v>
      </x:c>
      <x:c r="E463" s="2" t="str">
        <x:v>CHECK_OUT</x:v>
      </x:c>
      <x:c r="F463" s="8" t="n">
        <x:v>46299.72850694445</x:v>
      </x:c>
      <x:c r="G463" s="8" t="n">
        <x:v>46299.728530092594</x:v>
      </x:c>
      <x:c r="H463" s="2" t="str">
        <x:v>R2S2</x:v>
      </x:c>
      <x:c r="I463" s="9" t="n">
        <x:v>25.282000000000004</x:v>
      </x:c>
      <x:c r="J463" s="9" t="n">
        <x:v>51.501999999999995</x:v>
      </x:c>
      <x:c r="K463" s="2" t="n">
        <x:v>8</x:v>
      </x:c>
      <x:c r="L463" s="2" t="str">
        <x:v>Valid</x:v>
      </x:c>
      <x:c r="M463" s="2" t="str">
        <x:v>QR</x:v>
      </x:c>
      <x:c r="N463" s="2" t="n">
        <x:v>1</x:v>
      </x:c>
      <x:c r="O463" s="2" t="str">
        <x:v>Accepted</x:v>
      </x:c>
      <x:c r="P463" s="2" t="str">
        <x:v>S002</x:v>
      </x:c>
      <x:c r="Q463" s="2" t="str">
        <x:v>DEV002</x:v>
      </x:c>
      <x:c r="R463" s="2" t="n">
        <x:v>15</x:v>
      </x:c>
      <x:c r="S463" s="2" t="str">
        <x:v>Online</x:v>
      </x:c>
      <x:c r="T463" s="2" t="str">
        <x:v>Synced</x:v>
      </x:c>
    </x:row>
    <x:row r="464" ht="21" customHeight="1">
      <x:c r="A464" s="2" t="str">
        <x:v>EV000462</x:v>
      </x:c>
      <x:c r="B464" s="2" t="str">
        <x:v>T20261004-5-3</x:v>
      </x:c>
      <x:c r="C464" s="2" t="str">
        <x:v>ST112</x:v>
      </x:c>
      <x:c r="D464" s="2" t="str">
        <x:v>ca020aefc0d912af9ddca5c7ca7a2f51</x:v>
      </x:c>
      <x:c r="E464" s="2" t="str">
        <x:v>CHECK_OUT</x:v>
      </x:c>
      <x:c r="F464" s="8" t="n">
        <x:v>46299.72850694445</x:v>
      </x:c>
      <x:c r="G464" s="8" t="n">
        <x:v>46299.728530092594</x:v>
      </x:c>
      <x:c r="H464" s="2" t="str">
        <x:v>R3S2</x:v>
      </x:c>
      <x:c r="I464" s="9" t="n">
        <x:v>25.291000000000004</x:v>
      </x:c>
      <x:c r="J464" s="9" t="n">
        <x:v>51.51</x:v>
      </x:c>
      <x:c r="K464" s="2" t="n">
        <x:v>8</x:v>
      </x:c>
      <x:c r="L464" s="2" t="str">
        <x:v>Valid</x:v>
      </x:c>
      <x:c r="M464" s="2" t="str">
        <x:v>QR</x:v>
      </x:c>
      <x:c r="N464" s="2" t="n">
        <x:v>1</x:v>
      </x:c>
      <x:c r="O464" s="2" t="str">
        <x:v>Accepted</x:v>
      </x:c>
      <x:c r="P464" s="2" t="str">
        <x:v>S003</x:v>
      </x:c>
      <x:c r="Q464" s="2" t="str">
        <x:v>DEV003</x:v>
      </x:c>
      <x:c r="R464" s="2" t="n">
        <x:v>15</x:v>
      </x:c>
      <x:c r="S464" s="2" t="str">
        <x:v>Online</x:v>
      </x:c>
      <x:c r="T464" s="2" t="str">
        <x:v>Synced</x:v>
      </x:c>
    </x:row>
    <x:row r="465" ht="21" customHeight="1">
      <x:c r="A465" s="2" t="str">
        <x:v>EV000148</x:v>
      </x:c>
      <x:c r="B465" s="2" t="str">
        <x:v>T20261004-5-1</x:v>
      </x:c>
      <x:c r="C465" s="2" t="str">
        <x:v>ST035</x:v>
      </x:c>
      <x:c r="D465" s="2" t="str">
        <x:v>45068f3206e9be80993e83e259ea9cdc</x:v>
      </x:c>
      <x:c r="E465" s="2" t="str">
        <x:v>CHECK_OUT</x:v>
      </x:c>
      <x:c r="F465" s="8" t="n">
        <x:v>46299.72861111112</x:v>
      </x:c>
      <x:c r="G465" s="8" t="n">
        <x:v>46299.72863425926</x:v>
      </x:c>
      <x:c r="H465" s="2" t="str">
        <x:v>R1S2</x:v>
      </x:c>
      <x:c r="I465" s="9" t="n">
        <x:v>25.273000000000003</x:v>
      </x:c>
      <x:c r="J465" s="9" t="n">
        <x:v>51.494</x:v>
      </x:c>
      <x:c r="K465" s="2" t="n">
        <x:v>8</x:v>
      </x:c>
      <x:c r="L465" s="2" t="str">
        <x:v>Valid</x:v>
      </x:c>
      <x:c r="M465" s="2" t="str">
        <x:v>QR</x:v>
      </x:c>
      <x:c r="N465" s="2" t="n">
        <x:v>1</x:v>
      </x:c>
      <x:c r="O465" s="2" t="str">
        <x:v>Accepted</x:v>
      </x:c>
      <x:c r="P465" s="2" t="str">
        <x:v>S001</x:v>
      </x:c>
      <x:c r="Q465" s="2" t="str">
        <x:v>DEV001</x:v>
      </x:c>
      <x:c r="R465" s="2" t="n">
        <x:v>16</x:v>
      </x:c>
      <x:c r="S465" s="2" t="str">
        <x:v>Online</x:v>
      </x:c>
      <x:c r="T465" s="2" t="str">
        <x:v>Synced</x:v>
      </x:c>
    </x:row>
    <x:row r="466" ht="21" customHeight="1">
      <x:c r="A466" s="2" t="str">
        <x:v>EV000308</x:v>
      </x:c>
      <x:c r="B466" s="2" t="str">
        <x:v>T20261004-5-2</x:v>
      </x:c>
      <x:c r="C466" s="2" t="str">
        <x:v>ST075</x:v>
      </x:c>
      <x:c r="D466" s="2" t="str">
        <x:v>3781d00e457977b726407cb845a294cc</x:v>
      </x:c>
      <x:c r="E466" s="2" t="str">
        <x:v>CHECK_OUT</x:v>
      </x:c>
      <x:c r="F466" s="8" t="n">
        <x:v>46299.72861111112</x:v>
      </x:c>
      <x:c r="G466" s="8" t="n">
        <x:v>46299.72863425926</x:v>
      </x:c>
      <x:c r="H466" s="2" t="str">
        <x:v>R2S2</x:v>
      </x:c>
      <x:c r="I466" s="9" t="n">
        <x:v>25.282000000000004</x:v>
      </x:c>
      <x:c r="J466" s="9" t="n">
        <x:v>51.501999999999995</x:v>
      </x:c>
      <x:c r="K466" s="2" t="n">
        <x:v>8</x:v>
      </x:c>
      <x:c r="L466" s="2" t="str">
        <x:v>Valid</x:v>
      </x:c>
      <x:c r="M466" s="2" t="str">
        <x:v>QR</x:v>
      </x:c>
      <x:c r="N466" s="2" t="n">
        <x:v>1</x:v>
      </x:c>
      <x:c r="O466" s="2" t="str">
        <x:v>Accepted</x:v>
      </x:c>
      <x:c r="P466" s="2" t="str">
        <x:v>S002</x:v>
      </x:c>
      <x:c r="Q466" s="2" t="str">
        <x:v>DEV002</x:v>
      </x:c>
      <x:c r="R466" s="2" t="n">
        <x:v>16</x:v>
      </x:c>
      <x:c r="S466" s="2" t="str">
        <x:v>Online</x:v>
      </x:c>
      <x:c r="T466" s="2" t="str">
        <x:v>Synced</x:v>
      </x:c>
    </x:row>
    <x:row r="467" ht="21" customHeight="1">
      <x:c r="A467" s="2" t="str">
        <x:v>EV000468</x:v>
      </x:c>
      <x:c r="B467" s="2" t="str">
        <x:v>T20261004-5-3</x:v>
      </x:c>
      <x:c r="C467" s="2" t="str">
        <x:v>ST115</x:v>
      </x:c>
      <x:c r="D467" s="2" t="str">
        <x:v>dc951b9fd5f4acb1dc2ce3ca2f2e08ab</x:v>
      </x:c>
      <x:c r="E467" s="2" t="str">
        <x:v>CHECK_OUT</x:v>
      </x:c>
      <x:c r="F467" s="8" t="n">
        <x:v>46299.72861111112</x:v>
      </x:c>
      <x:c r="G467" s="8" t="n">
        <x:v>46299.72863425926</x:v>
      </x:c>
      <x:c r="H467" s="2" t="str">
        <x:v>R3S2</x:v>
      </x:c>
      <x:c r="I467" s="9" t="n">
        <x:v>25.291000000000004</x:v>
      </x:c>
      <x:c r="J467" s="9" t="n">
        <x:v>51.51</x:v>
      </x:c>
      <x:c r="K467" s="2" t="n">
        <x:v>8</x:v>
      </x:c>
      <x:c r="L467" s="2" t="str">
        <x:v>Valid</x:v>
      </x:c>
      <x:c r="M467" s="2" t="str">
        <x:v>QR</x:v>
      </x:c>
      <x:c r="N467" s="2" t="n">
        <x:v>1</x:v>
      </x:c>
      <x:c r="O467" s="2" t="str">
        <x:v>Accepted</x:v>
      </x:c>
      <x:c r="P467" s="2" t="str">
        <x:v>S003</x:v>
      </x:c>
      <x:c r="Q467" s="2" t="str">
        <x:v>DEV003</x:v>
      </x:c>
      <x:c r="R467" s="2" t="n">
        <x:v>16</x:v>
      </x:c>
      <x:c r="S467" s="2" t="str">
        <x:v>Online</x:v>
      </x:c>
      <x:c r="T467" s="2" t="str">
        <x:v>Synced</x:v>
      </x:c>
    </x:row>
    <x:row r="468" ht="21" customHeight="1">
      <x:c r="A468" s="2" t="str">
        <x:v>EV000154</x:v>
      </x:c>
      <x:c r="B468" s="2" t="str">
        <x:v>T20261004-5-1</x:v>
      </x:c>
      <x:c r="C468" s="2" t="str">
        <x:v>ST038</x:v>
      </x:c>
      <x:c r="D468" s="2" t="str">
        <x:v>1ebedd777293ba897970ae7fc06b6301</x:v>
      </x:c>
      <x:c r="E468" s="2" t="str">
        <x:v>CHECK_OUT</x:v>
      </x:c>
      <x:c r="F468" s="8" t="n">
        <x:v>46299.72871527778</x:v>
      </x:c>
      <x:c r="G468" s="8" t="n">
        <x:v>46299.728738425925</x:v>
      </x:c>
      <x:c r="H468" s="2" t="str">
        <x:v>R1S2</x:v>
      </x:c>
      <x:c r="I468" s="9" t="n">
        <x:v>25.273000000000003</x:v>
      </x:c>
      <x:c r="J468" s="9" t="n">
        <x:v>51.494</x:v>
      </x:c>
      <x:c r="K468" s="2" t="n">
        <x:v>8</x:v>
      </x:c>
      <x:c r="L468" s="2" t="str">
        <x:v>Valid</x:v>
      </x:c>
      <x:c r="M468" s="2" t="str">
        <x:v>QR</x:v>
      </x:c>
      <x:c r="N468" s="2" t="n">
        <x:v>1</x:v>
      </x:c>
      <x:c r="O468" s="2" t="str">
        <x:v>Accepted</x:v>
      </x:c>
      <x:c r="P468" s="2" t="str">
        <x:v>S001</x:v>
      </x:c>
      <x:c r="Q468" s="2" t="str">
        <x:v>DEV001</x:v>
      </x:c>
      <x:c r="R468" s="2" t="n">
        <x:v>17</x:v>
      </x:c>
      <x:c r="S468" s="2" t="str">
        <x:v>Online</x:v>
      </x:c>
      <x:c r="T468" s="2" t="str">
        <x:v>Synced</x:v>
      </x:c>
    </x:row>
    <x:row r="469" ht="21" customHeight="1">
      <x:c r="A469" s="2" t="str">
        <x:v>EV000314</x:v>
      </x:c>
      <x:c r="B469" s="2" t="str">
        <x:v>T20261004-5-2</x:v>
      </x:c>
      <x:c r="C469" s="2" t="str">
        <x:v>ST078</x:v>
      </x:c>
      <x:c r="D469" s="2" t="str">
        <x:v>737ab4e672bf11e638a47ae295f7e187</x:v>
      </x:c>
      <x:c r="E469" s="2" t="str">
        <x:v>CHECK_OUT</x:v>
      </x:c>
      <x:c r="F469" s="8" t="n">
        <x:v>46299.72871527778</x:v>
      </x:c>
      <x:c r="G469" s="8" t="n">
        <x:v>46299.728738425925</x:v>
      </x:c>
      <x:c r="H469" s="2" t="str">
        <x:v>R2S2</x:v>
      </x:c>
      <x:c r="I469" s="9" t="n">
        <x:v>25.282000000000004</x:v>
      </x:c>
      <x:c r="J469" s="9" t="n">
        <x:v>51.501999999999995</x:v>
      </x:c>
      <x:c r="K469" s="2" t="n">
        <x:v>8</x:v>
      </x:c>
      <x:c r="L469" s="2" t="str">
        <x:v>Valid</x:v>
      </x:c>
      <x:c r="M469" s="2" t="str">
        <x:v>QR</x:v>
      </x:c>
      <x:c r="N469" s="2" t="n">
        <x:v>1</x:v>
      </x:c>
      <x:c r="O469" s="2" t="str">
        <x:v>Accepted</x:v>
      </x:c>
      <x:c r="P469" s="2" t="str">
        <x:v>S002</x:v>
      </x:c>
      <x:c r="Q469" s="2" t="str">
        <x:v>DEV002</x:v>
      </x:c>
      <x:c r="R469" s="2" t="n">
        <x:v>17</x:v>
      </x:c>
      <x:c r="S469" s="2" t="str">
        <x:v>Online</x:v>
      </x:c>
      <x:c r="T469" s="2" t="str">
        <x:v>Synced</x:v>
      </x:c>
    </x:row>
    <x:row r="470" ht="21" customHeight="1">
      <x:c r="A470" s="2" t="str">
        <x:v>EV000474</x:v>
      </x:c>
      <x:c r="B470" s="2" t="str">
        <x:v>T20261004-5-3</x:v>
      </x:c>
      <x:c r="C470" s="2" t="str">
        <x:v>ST118</x:v>
      </x:c>
      <x:c r="D470" s="2" t="str">
        <x:v>b15012a6111b47a10bdbbcbbd00c9f60</x:v>
      </x:c>
      <x:c r="E470" s="2" t="str">
        <x:v>CHECK_OUT</x:v>
      </x:c>
      <x:c r="F470" s="8" t="n">
        <x:v>46299.72871527778</x:v>
      </x:c>
      <x:c r="G470" s="8" t="n">
        <x:v>46299.728738425925</x:v>
      </x:c>
      <x:c r="H470" s="2" t="str">
        <x:v>R3S2</x:v>
      </x:c>
      <x:c r="I470" s="9" t="n">
        <x:v>25.291000000000004</x:v>
      </x:c>
      <x:c r="J470" s="9" t="n">
        <x:v>51.51</x:v>
      </x:c>
      <x:c r="K470" s="2" t="n">
        <x:v>8</x:v>
      </x:c>
      <x:c r="L470" s="2" t="str">
        <x:v>Valid</x:v>
      </x:c>
      <x:c r="M470" s="2" t="str">
        <x:v>QR</x:v>
      </x:c>
      <x:c r="N470" s="2" t="n">
        <x:v>1</x:v>
      </x:c>
      <x:c r="O470" s="2" t="str">
        <x:v>Accepted</x:v>
      </x:c>
      <x:c r="P470" s="2" t="str">
        <x:v>S003</x:v>
      </x:c>
      <x:c r="Q470" s="2" t="str">
        <x:v>DEV003</x:v>
      </x:c>
      <x:c r="R470" s="2" t="n">
        <x:v>17</x:v>
      </x:c>
      <x:c r="S470" s="2" t="str">
        <x:v>Online</x:v>
      </x:c>
      <x:c r="T470" s="2" t="str">
        <x:v>Synced</x:v>
      </x:c>
    </x:row>
    <x:row r="471" ht="21" customHeight="1">
      <x:c r="A471" s="2" t="str">
        <x:v>EV000144</x:v>
      </x:c>
      <x:c r="B471" s="2" t="str">
        <x:v>T20261004-5-1</x:v>
      </x:c>
      <x:c r="C471" s="2" t="str">
        <x:v>ST033</x:v>
      </x:c>
      <x:c r="D471" s="2" t="str">
        <x:v>c9cc8ddf1b5bae8b49929340838e300a</x:v>
      </x:c>
      <x:c r="E471" s="2" t="str">
        <x:v>CHECK_OUT</x:v>
      </x:c>
      <x:c r="F471" s="8" t="n">
        <x:v>46299.73340277778</x:v>
      </x:c>
      <x:c r="G471" s="8" t="n">
        <x:v>46299.73342592593</x:v>
      </x:c>
      <x:c r="H471" s="2" t="str">
        <x:v>R1S3</x:v>
      </x:c>
      <x:c r="I471" s="9" t="n">
        <x:v>25.275000000000002</x:v>
      </x:c>
      <x:c r="J471" s="9" t="n">
        <x:v>51.497</x:v>
      </x:c>
      <x:c r="K471" s="2" t="n">
        <x:v>8</x:v>
      </x:c>
      <x:c r="L471" s="2" t="str">
        <x:v>Valid</x:v>
      </x:c>
      <x:c r="M471" s="2" t="str">
        <x:v>QR</x:v>
      </x:c>
      <x:c r="N471" s="2" t="n">
        <x:v>1</x:v>
      </x:c>
      <x:c r="O471" s="2" t="str">
        <x:v>Accepted</x:v>
      </x:c>
      <x:c r="P471" s="2" t="str">
        <x:v>S001</x:v>
      </x:c>
      <x:c r="Q471" s="2" t="str">
        <x:v>DEV001</x:v>
      </x:c>
      <x:c r="R471" s="2" t="n">
        <x:v>18</x:v>
      </x:c>
      <x:c r="S471" s="2" t="str">
        <x:v>Online</x:v>
      </x:c>
      <x:c r="T471" s="2" t="str">
        <x:v>Synced</x:v>
      </x:c>
    </x:row>
    <x:row r="472" ht="21" customHeight="1">
      <x:c r="A472" s="2" t="str">
        <x:v>EV000304</x:v>
      </x:c>
      <x:c r="B472" s="2" t="str">
        <x:v>T20261004-5-2</x:v>
      </x:c>
      <x:c r="C472" s="2" t="str">
        <x:v>ST073</x:v>
      </x:c>
      <x:c r="D472" s="2" t="str">
        <x:v>b27180ce7590c0aac206d465f318b712</x:v>
      </x:c>
      <x:c r="E472" s="2" t="str">
        <x:v>CHECK_OUT</x:v>
      </x:c>
      <x:c r="F472" s="8" t="n">
        <x:v>46299.73340277778</x:v>
      </x:c>
      <x:c r="G472" s="8" t="n">
        <x:v>46299.73342592593</x:v>
      </x:c>
      <x:c r="H472" s="2" t="str">
        <x:v>R2S3</x:v>
      </x:c>
      <x:c r="I472" s="9" t="n">
        <x:v>25.284000000000002</x:v>
      </x:c>
      <x:c r="J472" s="9" t="n">
        <x:v>51.504999999999995</x:v>
      </x:c>
      <x:c r="K472" s="2" t="n">
        <x:v>8</x:v>
      </x:c>
      <x:c r="L472" s="2" t="str">
        <x:v>Valid</x:v>
      </x:c>
      <x:c r="M472" s="2" t="str">
        <x:v>QR</x:v>
      </x:c>
      <x:c r="N472" s="2" t="n">
        <x:v>1</x:v>
      </x:c>
      <x:c r="O472" s="2" t="str">
        <x:v>Accepted</x:v>
      </x:c>
      <x:c r="P472" s="2" t="str">
        <x:v>S002</x:v>
      </x:c>
      <x:c r="Q472" s="2" t="str">
        <x:v>DEV002</x:v>
      </x:c>
      <x:c r="R472" s="2" t="n">
        <x:v>18</x:v>
      </x:c>
      <x:c r="S472" s="2" t="str">
        <x:v>Online</x:v>
      </x:c>
      <x:c r="T472" s="2" t="str">
        <x:v>Synced</x:v>
      </x:c>
    </x:row>
    <x:row r="473" ht="21" customHeight="1">
      <x:c r="A473" s="2" t="str">
        <x:v>EV000464</x:v>
      </x:c>
      <x:c r="B473" s="2" t="str">
        <x:v>T20261004-5-3</x:v>
      </x:c>
      <x:c r="C473" s="2" t="str">
        <x:v>ST113</x:v>
      </x:c>
      <x:c r="D473" s="2" t="str">
        <x:v>c3781e168737a6cc1190d4415801c440</x:v>
      </x:c>
      <x:c r="E473" s="2" t="str">
        <x:v>CHECK_OUT</x:v>
      </x:c>
      <x:c r="F473" s="8" t="n">
        <x:v>46299.73340277778</x:v>
      </x:c>
      <x:c r="G473" s="8" t="n">
        <x:v>46299.73342592593</x:v>
      </x:c>
      <x:c r="H473" s="2" t="str">
        <x:v>R3S3</x:v>
      </x:c>
      <x:c r="I473" s="9" t="n">
        <x:v>25.293000000000003</x:v>
      </x:c>
      <x:c r="J473" s="9" t="n">
        <x:v>51.513</x:v>
      </x:c>
      <x:c r="K473" s="2" t="n">
        <x:v>8</x:v>
      </x:c>
      <x:c r="L473" s="2" t="str">
        <x:v>Valid</x:v>
      </x:c>
      <x:c r="M473" s="2" t="str">
        <x:v>QR</x:v>
      </x:c>
      <x:c r="N473" s="2" t="n">
        <x:v>1</x:v>
      </x:c>
      <x:c r="O473" s="2" t="str">
        <x:v>Accepted</x:v>
      </x:c>
      <x:c r="P473" s="2" t="str">
        <x:v>S003</x:v>
      </x:c>
      <x:c r="Q473" s="2" t="str">
        <x:v>DEV003</x:v>
      </x:c>
      <x:c r="R473" s="2" t="n">
        <x:v>18</x:v>
      </x:c>
      <x:c r="S473" s="2" t="str">
        <x:v>Online</x:v>
      </x:c>
      <x:c r="T473" s="2" t="str">
        <x:v>Synced</x:v>
      </x:c>
    </x:row>
    <x:row r="474" ht="21" customHeight="1">
      <x:c r="A474" s="2" t="str">
        <x:v>EV000150</x:v>
      </x:c>
      <x:c r="B474" s="2" t="str">
        <x:v>T20261004-5-1</x:v>
      </x:c>
      <x:c r="C474" s="2" t="str">
        <x:v>ST036</x:v>
      </x:c>
      <x:c r="D474" s="2" t="str">
        <x:v>7e42555e63455121ac9f1b3710bc905c</x:v>
      </x:c>
      <x:c r="E474" s="2" t="str">
        <x:v>CHECK_OUT</x:v>
      </x:c>
      <x:c r="F474" s="8" t="n">
        <x:v>46299.733506944445</x:v>
      </x:c>
      <x:c r="G474" s="8" t="n">
        <x:v>46299.73353009259</x:v>
      </x:c>
      <x:c r="H474" s="2" t="str">
        <x:v>R1S3</x:v>
      </x:c>
      <x:c r="I474" s="9" t="n">
        <x:v>25.275000000000002</x:v>
      </x:c>
      <x:c r="J474" s="9" t="n">
        <x:v>51.497</x:v>
      </x:c>
      <x:c r="K474" s="2" t="n">
        <x:v>8</x:v>
      </x:c>
      <x:c r="L474" s="2" t="str">
        <x:v>Valid</x:v>
      </x:c>
      <x:c r="M474" s="2" t="str">
        <x:v>QR</x:v>
      </x:c>
      <x:c r="N474" s="2" t="n">
        <x:v>1</x:v>
      </x:c>
      <x:c r="O474" s="2" t="str">
        <x:v>Accepted</x:v>
      </x:c>
      <x:c r="P474" s="2" t="str">
        <x:v>S001</x:v>
      </x:c>
      <x:c r="Q474" s="2" t="str">
        <x:v>DEV001</x:v>
      </x:c>
      <x:c r="R474" s="2" t="n">
        <x:v>19</x:v>
      </x:c>
      <x:c r="S474" s="2" t="str">
        <x:v>Online</x:v>
      </x:c>
      <x:c r="T474" s="2" t="str">
        <x:v>Synced</x:v>
      </x:c>
    </x:row>
    <x:row r="475" ht="21" customHeight="1">
      <x:c r="A475" s="2" t="str">
        <x:v>EV000310</x:v>
      </x:c>
      <x:c r="B475" s="2" t="str">
        <x:v>T20261004-5-2</x:v>
      </x:c>
      <x:c r="C475" s="2" t="str">
        <x:v>ST076</x:v>
      </x:c>
      <x:c r="D475" s="2" t="str">
        <x:v>08979b9eef223b076885fe932d9f2bca</x:v>
      </x:c>
      <x:c r="E475" s="2" t="str">
        <x:v>CHECK_OUT</x:v>
      </x:c>
      <x:c r="F475" s="8" t="n">
        <x:v>46299.733506944445</x:v>
      </x:c>
      <x:c r="G475" s="8" t="n">
        <x:v>46299.73353009259</x:v>
      </x:c>
      <x:c r="H475" s="2" t="str">
        <x:v>R2S3</x:v>
      </x:c>
      <x:c r="I475" s="9" t="n">
        <x:v>25.284000000000002</x:v>
      </x:c>
      <x:c r="J475" s="9" t="n">
        <x:v>51.504999999999995</x:v>
      </x:c>
      <x:c r="K475" s="2" t="n">
        <x:v>8</x:v>
      </x:c>
      <x:c r="L475" s="2" t="str">
        <x:v>Valid</x:v>
      </x:c>
      <x:c r="M475" s="2" t="str">
        <x:v>QR</x:v>
      </x:c>
      <x:c r="N475" s="2" t="n">
        <x:v>1</x:v>
      </x:c>
      <x:c r="O475" s="2" t="str">
        <x:v>Accepted</x:v>
      </x:c>
      <x:c r="P475" s="2" t="str">
        <x:v>S002</x:v>
      </x:c>
      <x:c r="Q475" s="2" t="str">
        <x:v>DEV002</x:v>
      </x:c>
      <x:c r="R475" s="2" t="n">
        <x:v>19</x:v>
      </x:c>
      <x:c r="S475" s="2" t="str">
        <x:v>Online</x:v>
      </x:c>
      <x:c r="T475" s="2" t="str">
        <x:v>Synced</x:v>
      </x:c>
    </x:row>
    <x:row r="476" ht="21" customHeight="1">
      <x:c r="A476" s="2" t="str">
        <x:v>EV000470</x:v>
      </x:c>
      <x:c r="B476" s="2" t="str">
        <x:v>T20261004-5-3</x:v>
      </x:c>
      <x:c r="C476" s="2" t="str">
        <x:v>ST116</x:v>
      </x:c>
      <x:c r="D476" s="2" t="str">
        <x:v>1c1fddc89afc564845795907cf1b7b0e</x:v>
      </x:c>
      <x:c r="E476" s="2" t="str">
        <x:v>CHECK_OUT</x:v>
      </x:c>
      <x:c r="F476" s="8" t="n">
        <x:v>46299.733506944445</x:v>
      </x:c>
      <x:c r="G476" s="8" t="n">
        <x:v>46299.73353009259</x:v>
      </x:c>
      <x:c r="H476" s="2" t="str">
        <x:v>R3S3</x:v>
      </x:c>
      <x:c r="I476" s="9" t="n">
        <x:v>25.293000000000003</x:v>
      </x:c>
      <x:c r="J476" s="9" t="n">
        <x:v>51.513</x:v>
      </x:c>
      <x:c r="K476" s="2" t="n">
        <x:v>8</x:v>
      </x:c>
      <x:c r="L476" s="2" t="str">
        <x:v>Valid</x:v>
      </x:c>
      <x:c r="M476" s="2" t="str">
        <x:v>QR</x:v>
      </x:c>
      <x:c r="N476" s="2" t="n">
        <x:v>1</x:v>
      </x:c>
      <x:c r="O476" s="2" t="str">
        <x:v>Accepted</x:v>
      </x:c>
      <x:c r="P476" s="2" t="str">
        <x:v>S003</x:v>
      </x:c>
      <x:c r="Q476" s="2" t="str">
        <x:v>DEV003</x:v>
      </x:c>
      <x:c r="R476" s="2" t="n">
        <x:v>19</x:v>
      </x:c>
      <x:c r="S476" s="2" t="str">
        <x:v>Online</x:v>
      </x:c>
      <x:c r="T476" s="2" t="str">
        <x:v>Synced</x:v>
      </x:c>
    </x:row>
    <x:row r="477" ht="21" customHeight="1">
      <x:c r="A477" s="2" t="str">
        <x:v>EV000156</x:v>
      </x:c>
      <x:c r="B477" s="2" t="str">
        <x:v>T20261004-5-1</x:v>
      </x:c>
      <x:c r="C477" s="2" t="str">
        <x:v>ST039</x:v>
      </x:c>
      <x:c r="D477" s="2" t="str">
        <x:v>31ed548c9c06f555ac72ac2281bbb58a</x:v>
      </x:c>
      <x:c r="E477" s="2" t="str">
        <x:v>CHECK_OUT</x:v>
      </x:c>
      <x:c r="F477" s="8" t="n">
        <x:v>46299.733611111114</x:v>
      </x:c>
      <x:c r="G477" s="8" t="n">
        <x:v>46299.73363425926</x:v>
      </x:c>
      <x:c r="H477" s="2" t="str">
        <x:v>R1S3</x:v>
      </x:c>
      <x:c r="I477" s="9" t="n">
        <x:v>25.275000000000002</x:v>
      </x:c>
      <x:c r="J477" s="9" t="n">
        <x:v>51.497</x:v>
      </x:c>
      <x:c r="K477" s="2" t="n">
        <x:v>8</x:v>
      </x:c>
      <x:c r="L477" s="2" t="str">
        <x:v>Valid</x:v>
      </x:c>
      <x:c r="M477" s="2" t="str">
        <x:v>QR</x:v>
      </x:c>
      <x:c r="N477" s="2" t="n">
        <x:v>1</x:v>
      </x:c>
      <x:c r="O477" s="2" t="str">
        <x:v>Accepted</x:v>
      </x:c>
      <x:c r="P477" s="2" t="str">
        <x:v>S001</x:v>
      </x:c>
      <x:c r="Q477" s="2" t="str">
        <x:v>DEV001</x:v>
      </x:c>
      <x:c r="R477" s="2" t="n">
        <x:v>20</x:v>
      </x:c>
      <x:c r="S477" s="2" t="str">
        <x:v>Online</x:v>
      </x:c>
      <x:c r="T477" s="2" t="str">
        <x:v>Synced</x:v>
      </x:c>
    </x:row>
    <x:row r="478" ht="21" customHeight="1">
      <x:c r="A478" s="2" t="str">
        <x:v>EV000316</x:v>
      </x:c>
      <x:c r="B478" s="2" t="str">
        <x:v>T20261004-5-2</x:v>
      </x:c>
      <x:c r="C478" s="2" t="str">
        <x:v>ST079</x:v>
      </x:c>
      <x:c r="D478" s="2" t="str">
        <x:v>3a794a47ff11773398f2344554eeea57</x:v>
      </x:c>
      <x:c r="E478" s="2" t="str">
        <x:v>CHECK_OUT</x:v>
      </x:c>
      <x:c r="F478" s="8" t="n">
        <x:v>46299.733611111114</x:v>
      </x:c>
      <x:c r="G478" s="8" t="n">
        <x:v>46299.73363425926</x:v>
      </x:c>
      <x:c r="H478" s="2" t="str">
        <x:v>R2S3</x:v>
      </x:c>
      <x:c r="I478" s="9" t="n">
        <x:v>25.284000000000002</x:v>
      </x:c>
      <x:c r="J478" s="9" t="n">
        <x:v>51.504999999999995</x:v>
      </x:c>
      <x:c r="K478" s="2" t="n">
        <x:v>8</x:v>
      </x:c>
      <x:c r="L478" s="2" t="str">
        <x:v>Valid</x:v>
      </x:c>
      <x:c r="M478" s="2" t="str">
        <x:v>QR</x:v>
      </x:c>
      <x:c r="N478" s="2" t="n">
        <x:v>1</x:v>
      </x:c>
      <x:c r="O478" s="2" t="str">
        <x:v>Accepted</x:v>
      </x:c>
      <x:c r="P478" s="2" t="str">
        <x:v>S002</x:v>
      </x:c>
      <x:c r="Q478" s="2" t="str">
        <x:v>DEV002</x:v>
      </x:c>
      <x:c r="R478" s="2" t="n">
        <x:v>20</x:v>
      </x:c>
      <x:c r="S478" s="2" t="str">
        <x:v>Online</x:v>
      </x:c>
      <x:c r="T478" s="2" t="str">
        <x:v>Synced</x:v>
      </x:c>
    </x:row>
    <x:row r="479" ht="21" customHeight="1">
      <x:c r="A479" s="2" t="str">
        <x:v>EV000476</x:v>
      </x:c>
      <x:c r="B479" s="2" t="str">
        <x:v>T20261004-5-3</x:v>
      </x:c>
      <x:c r="C479" s="2" t="str">
        <x:v>ST119</x:v>
      </x:c>
      <x:c r="D479" s="2" t="str">
        <x:v>c01a05a48293e3b7c907c4b326c0d0a8</x:v>
      </x:c>
      <x:c r="E479" s="2" t="str">
        <x:v>CHECK_OUT</x:v>
      </x:c>
      <x:c r="F479" s="8" t="n">
        <x:v>46299.733611111114</x:v>
      </x:c>
      <x:c r="G479" s="8" t="n">
        <x:v>46299.73363425926</x:v>
      </x:c>
      <x:c r="H479" s="2" t="str">
        <x:v>R3S3</x:v>
      </x:c>
      <x:c r="I479" s="9" t="n">
        <x:v>25.293000000000003</x:v>
      </x:c>
      <x:c r="J479" s="9" t="n">
        <x:v>51.513</x:v>
      </x:c>
      <x:c r="K479" s="2" t="n">
        <x:v>8</x:v>
      </x:c>
      <x:c r="L479" s="2" t="str">
        <x:v>Valid</x:v>
      </x:c>
      <x:c r="M479" s="2" t="str">
        <x:v>QR</x:v>
      </x:c>
      <x:c r="N479" s="2" t="n">
        <x:v>1</x:v>
      </x:c>
      <x:c r="O479" s="2" t="str">
        <x:v>Accepted</x:v>
      </x:c>
      <x:c r="P479" s="2" t="str">
        <x:v>S003</x:v>
      </x:c>
      <x:c r="Q479" s="2" t="str">
        <x:v>DEV003</x:v>
      </x:c>
      <x:c r="R479" s="2" t="n">
        <x:v>20</x:v>
      </x:c>
      <x:c r="S479" s="2" t="str">
        <x:v>Online</x:v>
      </x:c>
      <x:c r="T479" s="2" t="str">
        <x:v>Synced</x:v>
      </x:c>
    </x:row>
    <x:row r="480" ht="21" customHeight="1">
      <x:c r="A480" s="2" t="str">
        <x:v>EV000479</x:v>
      </x:c>
      <x:c r="B480" s="2" t="str">
        <x:v>T20261005-1-1</x:v>
      </x:c>
      <x:c r="C480" s="2" t="str">
        <x:v>ST001</x:v>
      </x:c>
      <x:c r="D480" s="2" t="str">
        <x:v>c33d277e346360e93548e66cbf71eda4</x:v>
      </x:c>
      <x:c r="E480" s="2" t="str">
        <x:v>CHECK_IN</x:v>
      </x:c>
      <x:c r="F480" s="8" t="n">
        <x:v>46300.242361111115</x:v>
      </x:c>
      <x:c r="G480" s="8" t="n">
        <x:v>46300.24238425926</x:v>
      </x:c>
      <x:c r="H480" s="2" t="str">
        <x:v>R1S1</x:v>
      </x:c>
      <x:c r="I480" s="9" t="n">
        <x:v>25.271</x:v>
      </x:c>
      <x:c r="J480" s="9" t="n">
        <x:v>51.491</x:v>
      </x:c>
      <x:c r="K480" s="2" t="n">
        <x:v>8</x:v>
      </x:c>
      <x:c r="L480" s="2" t="str">
        <x:v>Valid</x:v>
      </x:c>
      <x:c r="M480" s="2" t="str">
        <x:v>QR</x:v>
      </x:c>
      <x:c r="N480" s="2" t="n">
        <x:v>1</x:v>
      </x:c>
      <x:c r="O480" s="2" t="str">
        <x:v>Accepted</x:v>
      </x:c>
      <x:c r="P480" s="2" t="str">
        <x:v>S001</x:v>
      </x:c>
      <x:c r="Q480" s="2" t="str">
        <x:v>DEV001</x:v>
      </x:c>
      <x:c r="R480" s="2" t="n">
        <x:v>1</x:v>
      </x:c>
      <x:c r="S480" s="2" t="str">
        <x:v>Online</x:v>
      </x:c>
      <x:c r="T480" s="2" t="str">
        <x:v>Synced</x:v>
      </x:c>
    </x:row>
    <x:row r="481" ht="21" customHeight="1">
      <x:c r="A481" s="2" t="str">
        <x:v>EV000639</x:v>
      </x:c>
      <x:c r="B481" s="2" t="str">
        <x:v>T20261005-1-2</x:v>
      </x:c>
      <x:c r="C481" s="2" t="str">
        <x:v>ST041</x:v>
      </x:c>
      <x:c r="D481" s="2" t="str">
        <x:v>78597cf805a87b7619460b6ed67f501f</x:v>
      </x:c>
      <x:c r="E481" s="2" t="str">
        <x:v>CHECK_IN</x:v>
      </x:c>
      <x:c r="F481" s="8" t="n">
        <x:v>46300.242361111115</x:v>
      </x:c>
      <x:c r="G481" s="8" t="n">
        <x:v>46300.24238425926</x:v>
      </x:c>
      <x:c r="H481" s="2" t="str">
        <x:v>R2S1</x:v>
      </x:c>
      <x:c r="I481" s="9" t="n">
        <x:v>25.28</x:v>
      </x:c>
      <x:c r="J481" s="9" t="n">
        <x:v>51.498999999999995</x:v>
      </x:c>
      <x:c r="K481" s="2" t="n">
        <x:v>8</x:v>
      </x:c>
      <x:c r="L481" s="2" t="str">
        <x:v>Valid</x:v>
      </x:c>
      <x:c r="M481" s="2" t="str">
        <x:v>QR</x:v>
      </x:c>
      <x:c r="N481" s="2" t="n">
        <x:v>1</x:v>
      </x:c>
      <x:c r="O481" s="2" t="str">
        <x:v>Accepted</x:v>
      </x:c>
      <x:c r="P481" s="2" t="str">
        <x:v>S002</x:v>
      </x:c>
      <x:c r="Q481" s="2" t="str">
        <x:v>DEV002</x:v>
      </x:c>
      <x:c r="R481" s="2" t="n">
        <x:v>1</x:v>
      </x:c>
      <x:c r="S481" s="2" t="str">
        <x:v>Online</x:v>
      </x:c>
      <x:c r="T481" s="2" t="str">
        <x:v>Synced</x:v>
      </x:c>
    </x:row>
    <x:row r="482" ht="21" customHeight="1">
      <x:c r="A482" s="2" t="str">
        <x:v>EV000795</x:v>
      </x:c>
      <x:c r="B482" s="2" t="str">
        <x:v>T20261005-1-3</x:v>
      </x:c>
      <x:c r="C482" s="2" t="str">
        <x:v>ST081</x:v>
      </x:c>
      <x:c r="D482" s="2" t="str">
        <x:v>8631b63b10b36bffa6456d354db9c08f</x:v>
      </x:c>
      <x:c r="E482" s="2" t="str">
        <x:v>CHECK_IN</x:v>
      </x:c>
      <x:c r="F482" s="8" t="n">
        <x:v>46300.242361111115</x:v>
      </x:c>
      <x:c r="G482" s="8" t="n">
        <x:v>46300.24238425926</x:v>
      </x:c>
      <x:c r="H482" s="2" t="str">
        <x:v>R3S1</x:v>
      </x:c>
      <x:c r="I482" s="9" t="n">
        <x:v>25.289</x:v>
      </x:c>
      <x:c r="J482" s="9" t="n">
        <x:v>51.507</x:v>
      </x:c>
      <x:c r="K482" s="2" t="n">
        <x:v>8</x:v>
      </x:c>
      <x:c r="L482" s="2" t="str">
        <x:v>Valid</x:v>
      </x:c>
      <x:c r="M482" s="2" t="str">
        <x:v>QR</x:v>
      </x:c>
      <x:c r="N482" s="2" t="n">
        <x:v>1</x:v>
      </x:c>
      <x:c r="O482" s="2" t="str">
        <x:v>Accepted</x:v>
      </x:c>
      <x:c r="P482" s="2" t="str">
        <x:v>S003</x:v>
      </x:c>
      <x:c r="Q482" s="2" t="str">
        <x:v>DEV003</x:v>
      </x:c>
      <x:c r="R482" s="2" t="n">
        <x:v>1</x:v>
      </x:c>
      <x:c r="S482" s="2" t="str">
        <x:v>Online</x:v>
      </x:c>
      <x:c r="T482" s="2" t="str">
        <x:v>Synced</x:v>
      </x:c>
    </x:row>
    <x:row r="483" ht="21" customHeight="1">
      <x:c r="A483" s="2" t="str">
        <x:v>EV000503</x:v>
      </x:c>
      <x:c r="B483" s="2" t="str">
        <x:v>T20261005-1-1</x:v>
      </x:c>
      <x:c r="C483" s="2" t="str">
        <x:v>ST013</x:v>
      </x:c>
      <x:c r="D483" s="2" t="str">
        <x:v>ddc4bbe364f02f5a2177795c49ea7ba9</x:v>
      </x:c>
      <x:c r="E483" s="2" t="str">
        <x:v>CHECK_IN</x:v>
      </x:c>
      <x:c r="F483" s="8" t="n">
        <x:v>46300.24243055556</x:v>
      </x:c>
      <x:c r="G483" s="8" t="n">
        <x:v>46300.24245370371</x:v>
      </x:c>
      <x:c r="H483" s="2" t="str">
        <x:v>R1S1</x:v>
      </x:c>
      <x:c r="I483" s="9" t="n">
        <x:v>25.271</x:v>
      </x:c>
      <x:c r="J483" s="9" t="n">
        <x:v>51.491</x:v>
      </x:c>
      <x:c r="K483" s="2" t="n">
        <x:v>8</x:v>
      </x:c>
      <x:c r="L483" s="2" t="str">
        <x:v>Valid</x:v>
      </x:c>
      <x:c r="M483" s="2" t="str">
        <x:v>QR</x:v>
      </x:c>
      <x:c r="N483" s="2" t="n">
        <x:v>1</x:v>
      </x:c>
      <x:c r="O483" s="2" t="str">
        <x:v>Accepted</x:v>
      </x:c>
      <x:c r="P483" s="2" t="str">
        <x:v>S001</x:v>
      </x:c>
      <x:c r="Q483" s="2" t="str">
        <x:v>DEV001</x:v>
      </x:c>
      <x:c r="R483" s="2" t="n">
        <x:v>2</x:v>
      </x:c>
      <x:c r="S483" s="2" t="str">
        <x:v>Online</x:v>
      </x:c>
      <x:c r="T483" s="2" t="str">
        <x:v>Synced</x:v>
      </x:c>
    </x:row>
    <x:row r="484" ht="21" customHeight="1">
      <x:c r="A484" s="2" t="str">
        <x:v>EV000661</x:v>
      </x:c>
      <x:c r="B484" s="2" t="str">
        <x:v>T20261005-1-2</x:v>
      </x:c>
      <x:c r="C484" s="2" t="str">
        <x:v>ST053</x:v>
      </x:c>
      <x:c r="D484" s="2" t="str">
        <x:v>e476277c519e294480cfa14a37e177a0</x:v>
      </x:c>
      <x:c r="E484" s="2" t="str">
        <x:v>CHECK_IN</x:v>
      </x:c>
      <x:c r="F484" s="8" t="n">
        <x:v>46300.24243055556</x:v>
      </x:c>
      <x:c r="G484" s="8" t="n">
        <x:v>46300.24245370371</x:v>
      </x:c>
      <x:c r="H484" s="2" t="str">
        <x:v>R2S1</x:v>
      </x:c>
      <x:c r="I484" s="9" t="n">
        <x:v>25.28</x:v>
      </x:c>
      <x:c r="J484" s="9" t="n">
        <x:v>51.498999999999995</x:v>
      </x:c>
      <x:c r="K484" s="2" t="n">
        <x:v>8</x:v>
      </x:c>
      <x:c r="L484" s="2" t="str">
        <x:v>Valid</x:v>
      </x:c>
      <x:c r="M484" s="2" t="str">
        <x:v>QR</x:v>
      </x:c>
      <x:c r="N484" s="2" t="n">
        <x:v>1</x:v>
      </x:c>
      <x:c r="O484" s="2" t="str">
        <x:v>Accepted</x:v>
      </x:c>
      <x:c r="P484" s="2" t="str">
        <x:v>S002</x:v>
      </x:c>
      <x:c r="Q484" s="2" t="str">
        <x:v>DEV002</x:v>
      </x:c>
      <x:c r="R484" s="2" t="n">
        <x:v>2</x:v>
      </x:c>
      <x:c r="S484" s="2" t="str">
        <x:v>Online</x:v>
      </x:c>
      <x:c r="T484" s="2" t="str">
        <x:v>Synced</x:v>
      </x:c>
    </x:row>
    <x:row r="485" ht="21" customHeight="1">
      <x:c r="A485" s="2" t="str">
        <x:v>EV000819</x:v>
      </x:c>
      <x:c r="B485" s="2" t="str">
        <x:v>T20261005-1-3</x:v>
      </x:c>
      <x:c r="C485" s="2" t="str">
        <x:v>ST093</x:v>
      </x:c>
      <x:c r="D485" s="2" t="str">
        <x:v>e69cdca4f10e82426e9a3098f4672791</x:v>
      </x:c>
      <x:c r="E485" s="2" t="str">
        <x:v>CHECK_IN</x:v>
      </x:c>
      <x:c r="F485" s="8" t="n">
        <x:v>46300.24243055556</x:v>
      </x:c>
      <x:c r="G485" s="8" t="n">
        <x:v>46300.24245370371</x:v>
      </x:c>
      <x:c r="H485" s="2" t="str">
        <x:v>R3S1</x:v>
      </x:c>
      <x:c r="I485" s="9" t="n">
        <x:v>25.289</x:v>
      </x:c>
      <x:c r="J485" s="9" t="n">
        <x:v>51.507</x:v>
      </x:c>
      <x:c r="K485" s="2" t="n">
        <x:v>8</x:v>
      </x:c>
      <x:c r="L485" s="2" t="str">
        <x:v>Valid</x:v>
      </x:c>
      <x:c r="M485" s="2" t="str">
        <x:v>QR</x:v>
      </x:c>
      <x:c r="N485" s="2" t="n">
        <x:v>1</x:v>
      </x:c>
      <x:c r="O485" s="2" t="str">
        <x:v>Accepted</x:v>
      </x:c>
      <x:c r="P485" s="2" t="str">
        <x:v>S003</x:v>
      </x:c>
      <x:c r="Q485" s="2" t="str">
        <x:v>DEV003</x:v>
      </x:c>
      <x:c r="R485" s="2" t="n">
        <x:v>2</x:v>
      </x:c>
      <x:c r="S485" s="2" t="str">
        <x:v>Online</x:v>
      </x:c>
      <x:c r="T485" s="2" t="str">
        <x:v>Synced</x:v>
      </x:c>
    </x:row>
    <x:row r="486" ht="21" customHeight="1">
      <x:c r="A486" s="2" t="str">
        <x:v>EV000485</x:v>
      </x:c>
      <x:c r="B486" s="2" t="str">
        <x:v>T20261005-1-1</x:v>
      </x:c>
      <x:c r="C486" s="2" t="str">
        <x:v>ST004</x:v>
      </x:c>
      <x:c r="D486" s="2" t="str">
        <x:v>7dee56e67101a0dd8483e1503eba9a72</x:v>
      </x:c>
      <x:c r="E486" s="2" t="str">
        <x:v>CHECK_IN</x:v>
      </x:c>
      <x:c r="F486" s="8" t="n">
        <x:v>46300.242465277785</x:v>
      </x:c>
      <x:c r="G486" s="8" t="n">
        <x:v>46300.24248842593</x:v>
      </x:c>
      <x:c r="H486" s="2" t="str">
        <x:v>R1S1</x:v>
      </x:c>
      <x:c r="I486" s="9" t="n">
        <x:v>25.271</x:v>
      </x:c>
      <x:c r="J486" s="9" t="n">
        <x:v>51.491</x:v>
      </x:c>
      <x:c r="K486" s="2" t="n">
        <x:v>8</x:v>
      </x:c>
      <x:c r="L486" s="2" t="str">
        <x:v>Valid</x:v>
      </x:c>
      <x:c r="M486" s="2" t="str">
        <x:v>QR</x:v>
      </x:c>
      <x:c r="N486" s="2" t="n">
        <x:v>1</x:v>
      </x:c>
      <x:c r="O486" s="2" t="str">
        <x:v>Accepted</x:v>
      </x:c>
      <x:c r="P486" s="2" t="str">
        <x:v>S001</x:v>
      </x:c>
      <x:c r="Q486" s="2" t="str">
        <x:v>DEV001</x:v>
      </x:c>
      <x:c r="R486" s="2" t="n">
        <x:v>3</x:v>
      </x:c>
      <x:c r="S486" s="2" t="str">
        <x:v>Online</x:v>
      </x:c>
      <x:c r="T486" s="2" t="str">
        <x:v>Synced</x:v>
      </x:c>
    </x:row>
    <x:row r="487" ht="21" customHeight="1">
      <x:c r="A487" s="2" t="str">
        <x:v>EV000643</x:v>
      </x:c>
      <x:c r="B487" s="2" t="str">
        <x:v>T20261005-1-2</x:v>
      </x:c>
      <x:c r="C487" s="2" t="str">
        <x:v>ST044</x:v>
      </x:c>
      <x:c r="D487" s="2" t="str">
        <x:v>638b036dff08260bc8976402fb10157a</x:v>
      </x:c>
      <x:c r="E487" s="2" t="str">
        <x:v>CHECK_IN</x:v>
      </x:c>
      <x:c r="F487" s="8" t="n">
        <x:v>46300.242465277785</x:v>
      </x:c>
      <x:c r="G487" s="8" t="n">
        <x:v>46300.24248842593</x:v>
      </x:c>
      <x:c r="H487" s="2" t="str">
        <x:v>R2S1</x:v>
      </x:c>
      <x:c r="I487" s="9" t="n">
        <x:v>25.28</x:v>
      </x:c>
      <x:c r="J487" s="9" t="n">
        <x:v>51.498999999999995</x:v>
      </x:c>
      <x:c r="K487" s="2" t="n">
        <x:v>8</x:v>
      </x:c>
      <x:c r="L487" s="2" t="str">
        <x:v>Valid</x:v>
      </x:c>
      <x:c r="M487" s="2" t="str">
        <x:v>QR</x:v>
      </x:c>
      <x:c r="N487" s="2" t="n">
        <x:v>1</x:v>
      </x:c>
      <x:c r="O487" s="2" t="str">
        <x:v>Accepted</x:v>
      </x:c>
      <x:c r="P487" s="2" t="str">
        <x:v>S002</x:v>
      </x:c>
      <x:c r="Q487" s="2" t="str">
        <x:v>DEV002</x:v>
      </x:c>
      <x:c r="R487" s="2" t="n">
        <x:v>3</x:v>
      </x:c>
      <x:c r="S487" s="2" t="str">
        <x:v>Online</x:v>
      </x:c>
      <x:c r="T487" s="2" t="str">
        <x:v>Synced</x:v>
      </x:c>
    </x:row>
    <x:row r="488" ht="21" customHeight="1">
      <x:c r="A488" s="2" t="str">
        <x:v>EV000801</x:v>
      </x:c>
      <x:c r="B488" s="2" t="str">
        <x:v>T20261005-1-3</x:v>
      </x:c>
      <x:c r="C488" s="2" t="str">
        <x:v>ST084</x:v>
      </x:c>
      <x:c r="D488" s="2" t="str">
        <x:v>2f6163b722feb8421b83fd278ee72e5c</x:v>
      </x:c>
      <x:c r="E488" s="2" t="str">
        <x:v>CHECK_IN</x:v>
      </x:c>
      <x:c r="F488" s="8" t="n">
        <x:v>46300.242465277785</x:v>
      </x:c>
      <x:c r="G488" s="8" t="n">
        <x:v>46300.24248842593</x:v>
      </x:c>
      <x:c r="H488" s="2" t="str">
        <x:v>R3S1</x:v>
      </x:c>
      <x:c r="I488" s="9" t="n">
        <x:v>25.289</x:v>
      </x:c>
      <x:c r="J488" s="9" t="n">
        <x:v>51.507</x:v>
      </x:c>
      <x:c r="K488" s="2" t="n">
        <x:v>8</x:v>
      </x:c>
      <x:c r="L488" s="2" t="str">
        <x:v>Valid</x:v>
      </x:c>
      <x:c r="M488" s="2" t="str">
        <x:v>QR</x:v>
      </x:c>
      <x:c r="N488" s="2" t="n">
        <x:v>1</x:v>
      </x:c>
      <x:c r="O488" s="2" t="str">
        <x:v>Accepted</x:v>
      </x:c>
      <x:c r="P488" s="2" t="str">
        <x:v>S003</x:v>
      </x:c>
      <x:c r="Q488" s="2" t="str">
        <x:v>DEV003</x:v>
      </x:c>
      <x:c r="R488" s="2" t="n">
        <x:v>3</x:v>
      </x:c>
      <x:c r="S488" s="2" t="str">
        <x:v>Online</x:v>
      </x:c>
      <x:c r="T488" s="2" t="str">
        <x:v>Synced</x:v>
      </x:c>
    </x:row>
    <x:row r="489" ht="21" customHeight="1">
      <x:c r="A489" s="2" t="str">
        <x:v>EV000509</x:v>
      </x:c>
      <x:c r="B489" s="2" t="str">
        <x:v>T20261005-1-1</x:v>
      </x:c>
      <x:c r="C489" s="2" t="str">
        <x:v>ST016</x:v>
      </x:c>
      <x:c r="D489" s="2" t="str">
        <x:v>5227a65bcc4ea356d570fe16b2970ea5</x:v>
      </x:c>
      <x:c r="E489" s="2" t="str">
        <x:v>CHECK_IN</x:v>
      </x:c>
      <x:c r="F489" s="8" t="n">
        <x:v>46300.24253472222</x:v>
      </x:c>
      <x:c r="G489" s="8" t="n">
        <x:v>46300.24255787037</x:v>
      </x:c>
      <x:c r="H489" s="2" t="str">
        <x:v>R1S1</x:v>
      </x:c>
      <x:c r="I489" s="9" t="n">
        <x:v>25.271</x:v>
      </x:c>
      <x:c r="J489" s="9" t="n">
        <x:v>51.491</x:v>
      </x:c>
      <x:c r="K489" s="2" t="n">
        <x:v>8</x:v>
      </x:c>
      <x:c r="L489" s="2" t="str">
        <x:v>Valid</x:v>
      </x:c>
      <x:c r="M489" s="2" t="str">
        <x:v>QR</x:v>
      </x:c>
      <x:c r="N489" s="2" t="n">
        <x:v>1</x:v>
      </x:c>
      <x:c r="O489" s="2" t="str">
        <x:v>Accepted</x:v>
      </x:c>
      <x:c r="P489" s="2" t="str">
        <x:v>S001</x:v>
      </x:c>
      <x:c r="Q489" s="2" t="str">
        <x:v>DEV001</x:v>
      </x:c>
      <x:c r="R489" s="2" t="n">
        <x:v>4</x:v>
      </x:c>
      <x:c r="S489" s="2" t="str">
        <x:v>Online</x:v>
      </x:c>
      <x:c r="T489" s="2" t="str">
        <x:v>Synced</x:v>
      </x:c>
    </x:row>
    <x:row r="490" ht="21" customHeight="1">
      <x:c r="A490" s="2" t="str">
        <x:v>EV000667</x:v>
      </x:c>
      <x:c r="B490" s="2" t="str">
        <x:v>T20261005-1-2</x:v>
      </x:c>
      <x:c r="C490" s="2" t="str">
        <x:v>ST056</x:v>
      </x:c>
      <x:c r="D490" s="2" t="str">
        <x:v>245ed370430be1001f6d7d13404dd8b1</x:v>
      </x:c>
      <x:c r="E490" s="2" t="str">
        <x:v>CHECK_IN</x:v>
      </x:c>
      <x:c r="F490" s="8" t="n">
        <x:v>46300.24253472222</x:v>
      </x:c>
      <x:c r="G490" s="8" t="n">
        <x:v>46300.24255787037</x:v>
      </x:c>
      <x:c r="H490" s="2" t="str">
        <x:v>R2S1</x:v>
      </x:c>
      <x:c r="I490" s="9" t="n">
        <x:v>25.28</x:v>
      </x:c>
      <x:c r="J490" s="9" t="n">
        <x:v>51.498999999999995</x:v>
      </x:c>
      <x:c r="K490" s="2" t="n">
        <x:v>8</x:v>
      </x:c>
      <x:c r="L490" s="2" t="str">
        <x:v>Valid</x:v>
      </x:c>
      <x:c r="M490" s="2" t="str">
        <x:v>QR</x:v>
      </x:c>
      <x:c r="N490" s="2" t="n">
        <x:v>1</x:v>
      </x:c>
      <x:c r="O490" s="2" t="str">
        <x:v>Accepted</x:v>
      </x:c>
      <x:c r="P490" s="2" t="str">
        <x:v>S002</x:v>
      </x:c>
      <x:c r="Q490" s="2" t="str">
        <x:v>DEV002</x:v>
      </x:c>
      <x:c r="R490" s="2" t="n">
        <x:v>4</x:v>
      </x:c>
      <x:c r="S490" s="2" t="str">
        <x:v>Online</x:v>
      </x:c>
      <x:c r="T490" s="2" t="str">
        <x:v>Synced</x:v>
      </x:c>
    </x:row>
    <x:row r="491" ht="21" customHeight="1">
      <x:c r="A491" s="2" t="str">
        <x:v>EV000825</x:v>
      </x:c>
      <x:c r="B491" s="2" t="str">
        <x:v>T20261005-1-3</x:v>
      </x:c>
      <x:c r="C491" s="2" t="str">
        <x:v>ST096</x:v>
      </x:c>
      <x:c r="D491" s="2" t="str">
        <x:v>46905fa8ca039f79eec63d82a6ea3c69</x:v>
      </x:c>
      <x:c r="E491" s="2" t="str">
        <x:v>CHECK_IN</x:v>
      </x:c>
      <x:c r="F491" s="8" t="n">
        <x:v>46300.24253472222</x:v>
      </x:c>
      <x:c r="G491" s="8" t="n">
        <x:v>46300.24255787037</x:v>
      </x:c>
      <x:c r="H491" s="2" t="str">
        <x:v>R3S1</x:v>
      </x:c>
      <x:c r="I491" s="9" t="n">
        <x:v>25.289</x:v>
      </x:c>
      <x:c r="J491" s="9" t="n">
        <x:v>51.507</x:v>
      </x:c>
      <x:c r="K491" s="2" t="n">
        <x:v>8</x:v>
      </x:c>
      <x:c r="L491" s="2" t="str">
        <x:v>Valid</x:v>
      </x:c>
      <x:c r="M491" s="2" t="str">
        <x:v>QR</x:v>
      </x:c>
      <x:c r="N491" s="2" t="n">
        <x:v>1</x:v>
      </x:c>
      <x:c r="O491" s="2" t="str">
        <x:v>Accepted</x:v>
      </x:c>
      <x:c r="P491" s="2" t="str">
        <x:v>S003</x:v>
      </x:c>
      <x:c r="Q491" s="2" t="str">
        <x:v>DEV003</x:v>
      </x:c>
      <x:c r="R491" s="2" t="n">
        <x:v>4</x:v>
      </x:c>
      <x:c r="S491" s="2" t="str">
        <x:v>Online</x:v>
      </x:c>
      <x:c r="T491" s="2" t="str">
        <x:v>Synced</x:v>
      </x:c>
    </x:row>
    <x:row r="492" ht="21" customHeight="1">
      <x:c r="A492" s="2" t="str">
        <x:v>EV000491</x:v>
      </x:c>
      <x:c r="B492" s="2" t="str">
        <x:v>T20261005-1-1</x:v>
      </x:c>
      <x:c r="C492" s="2" t="str">
        <x:v>ST007</x:v>
      </x:c>
      <x:c r="D492" s="2" t="str">
        <x:v>2376173ab02a96d9b58d44caf4008dfd</x:v>
      </x:c>
      <x:c r="E492" s="2" t="str">
        <x:v>CHECK_IN</x:v>
      </x:c>
      <x:c r="F492" s="8" t="n">
        <x:v>46300.24256944445</x:v>
      </x:c>
      <x:c r="G492" s="8" t="n">
        <x:v>46300.24259259259</x:v>
      </x:c>
      <x:c r="H492" s="2" t="str">
        <x:v>R1S1</x:v>
      </x:c>
      <x:c r="I492" s="9" t="n">
        <x:v>25.271</x:v>
      </x:c>
      <x:c r="J492" s="9" t="n">
        <x:v>51.491</x:v>
      </x:c>
      <x:c r="K492" s="2" t="n">
        <x:v>8</x:v>
      </x:c>
      <x:c r="L492" s="2" t="str">
        <x:v>Valid</x:v>
      </x:c>
      <x:c r="M492" s="2" t="str">
        <x:v>QR</x:v>
      </x:c>
      <x:c r="N492" s="2" t="n">
        <x:v>1</x:v>
      </x:c>
      <x:c r="O492" s="2" t="str">
        <x:v>Accepted</x:v>
      </x:c>
      <x:c r="P492" s="2" t="str">
        <x:v>S001</x:v>
      </x:c>
      <x:c r="Q492" s="2" t="str">
        <x:v>DEV001</x:v>
      </x:c>
      <x:c r="R492" s="2" t="n">
        <x:v>5</x:v>
      </x:c>
      <x:c r="S492" s="2" t="str">
        <x:v>Online</x:v>
      </x:c>
      <x:c r="T492" s="2" t="str">
        <x:v>Synced</x:v>
      </x:c>
    </x:row>
    <x:row r="493" ht="21" customHeight="1">
      <x:c r="A493" s="2" t="str">
        <x:v>EV000649</x:v>
      </x:c>
      <x:c r="B493" s="2" t="str">
        <x:v>T20261005-1-2</x:v>
      </x:c>
      <x:c r="C493" s="2" t="str">
        <x:v>ST047</x:v>
      </x:c>
      <x:c r="D493" s="2" t="str">
        <x:v>b3f6380a42fb190ae04afac7edee87cd</x:v>
      </x:c>
      <x:c r="E493" s="2" t="str">
        <x:v>CHECK_IN</x:v>
      </x:c>
      <x:c r="F493" s="8" t="n">
        <x:v>46300.24256944445</x:v>
      </x:c>
      <x:c r="G493" s="8" t="n">
        <x:v>46300.24259259259</x:v>
      </x:c>
      <x:c r="H493" s="2" t="str">
        <x:v>R2S1</x:v>
      </x:c>
      <x:c r="I493" s="9" t="n">
        <x:v>25.28</x:v>
      </x:c>
      <x:c r="J493" s="9" t="n">
        <x:v>51.498999999999995</x:v>
      </x:c>
      <x:c r="K493" s="2" t="n">
        <x:v>8</x:v>
      </x:c>
      <x:c r="L493" s="2" t="str">
        <x:v>Valid</x:v>
      </x:c>
      <x:c r="M493" s="2" t="str">
        <x:v>QR</x:v>
      </x:c>
      <x:c r="N493" s="2" t="n">
        <x:v>1</x:v>
      </x:c>
      <x:c r="O493" s="2" t="str">
        <x:v>Accepted</x:v>
      </x:c>
      <x:c r="P493" s="2" t="str">
        <x:v>S002</x:v>
      </x:c>
      <x:c r="Q493" s="2" t="str">
        <x:v>DEV002</x:v>
      </x:c>
      <x:c r="R493" s="2" t="n">
        <x:v>5</x:v>
      </x:c>
      <x:c r="S493" s="2" t="str">
        <x:v>Online</x:v>
      </x:c>
      <x:c r="T493" s="2" t="str">
        <x:v>Synced</x:v>
      </x:c>
    </x:row>
    <x:row r="494" ht="21" customHeight="1">
      <x:c r="A494" s="2" t="str">
        <x:v>EV000807</x:v>
      </x:c>
      <x:c r="B494" s="2" t="str">
        <x:v>T20261005-1-3</x:v>
      </x:c>
      <x:c r="C494" s="2" t="str">
        <x:v>ST087</x:v>
      </x:c>
      <x:c r="D494" s="2" t="str">
        <x:v>30243cf46003be06b271950aa5cd47a6</x:v>
      </x:c>
      <x:c r="E494" s="2" t="str">
        <x:v>CHECK_IN</x:v>
      </x:c>
      <x:c r="F494" s="8" t="n">
        <x:v>46300.24256944445</x:v>
      </x:c>
      <x:c r="G494" s="8" t="n">
        <x:v>46300.24259259259</x:v>
      </x:c>
      <x:c r="H494" s="2" t="str">
        <x:v>R3S1</x:v>
      </x:c>
      <x:c r="I494" s="9" t="n">
        <x:v>25.289</x:v>
      </x:c>
      <x:c r="J494" s="9" t="n">
        <x:v>51.507</x:v>
      </x:c>
      <x:c r="K494" s="2" t="n">
        <x:v>8</x:v>
      </x:c>
      <x:c r="L494" s="2" t="str">
        <x:v>Valid</x:v>
      </x:c>
      <x:c r="M494" s="2" t="str">
        <x:v>QR</x:v>
      </x:c>
      <x:c r="N494" s="2" t="n">
        <x:v>1</x:v>
      </x:c>
      <x:c r="O494" s="2" t="str">
        <x:v>Accepted</x:v>
      </x:c>
      <x:c r="P494" s="2" t="str">
        <x:v>S003</x:v>
      </x:c>
      <x:c r="Q494" s="2" t="str">
        <x:v>DEV003</x:v>
      </x:c>
      <x:c r="R494" s="2" t="n">
        <x:v>5</x:v>
      </x:c>
      <x:c r="S494" s="2" t="str">
        <x:v>Online</x:v>
      </x:c>
      <x:c r="T494" s="2" t="str">
        <x:v>Synced</x:v>
      </x:c>
    </x:row>
    <x:row r="495" ht="21" customHeight="1">
      <x:c r="A495" s="2" t="str">
        <x:v>EV000515</x:v>
      </x:c>
      <x:c r="B495" s="2" t="str">
        <x:v>T20261005-1-1</x:v>
      </x:c>
      <x:c r="C495" s="2" t="str">
        <x:v>ST019</x:v>
      </x:c>
      <x:c r="D495" s="2" t="str">
        <x:v>b83400b1b6dcfb0f7cb413571cb76f8f</x:v>
      </x:c>
      <x:c r="E495" s="2" t="str">
        <x:v>CHECK_IN</x:v>
      </x:c>
      <x:c r="F495" s="8" t="n">
        <x:v>46300.24263888889</x:v>
      </x:c>
      <x:c r="G495" s="8" t="n">
        <x:v>46300.24266203704</x:v>
      </x:c>
      <x:c r="H495" s="2" t="str">
        <x:v>R1S1</x:v>
      </x:c>
      <x:c r="I495" s="9" t="n">
        <x:v>25.271</x:v>
      </x:c>
      <x:c r="J495" s="9" t="n">
        <x:v>51.491</x:v>
      </x:c>
      <x:c r="K495" s="2" t="n">
        <x:v>8</x:v>
      </x:c>
      <x:c r="L495" s="2" t="str">
        <x:v>Valid</x:v>
      </x:c>
      <x:c r="M495" s="2" t="str">
        <x:v>QR</x:v>
      </x:c>
      <x:c r="N495" s="2" t="n">
        <x:v>1</x:v>
      </x:c>
      <x:c r="O495" s="2" t="str">
        <x:v>Accepted</x:v>
      </x:c>
      <x:c r="P495" s="2" t="str">
        <x:v>S001</x:v>
      </x:c>
      <x:c r="Q495" s="2" t="str">
        <x:v>DEV001</x:v>
      </x:c>
      <x:c r="R495" s="2" t="n">
        <x:v>6</x:v>
      </x:c>
      <x:c r="S495" s="2" t="str">
        <x:v>Online</x:v>
      </x:c>
      <x:c r="T495" s="2" t="str">
        <x:v>Synced</x:v>
      </x:c>
    </x:row>
    <x:row r="496" ht="21" customHeight="1">
      <x:c r="A496" s="2" t="str">
        <x:v>EV000673</x:v>
      </x:c>
      <x:c r="B496" s="2" t="str">
        <x:v>T20261005-1-2</x:v>
      </x:c>
      <x:c r="C496" s="2" t="str">
        <x:v>ST059</x:v>
      </x:c>
      <x:c r="D496" s="2" t="str">
        <x:v>08b31edc14b3a345822a41d6515bfcba</x:v>
      </x:c>
      <x:c r="E496" s="2" t="str">
        <x:v>CHECK_IN</x:v>
      </x:c>
      <x:c r="F496" s="8" t="n">
        <x:v>46300.24263888889</x:v>
      </x:c>
      <x:c r="G496" s="8" t="n">
        <x:v>46300.24266203704</x:v>
      </x:c>
      <x:c r="H496" s="2" t="str">
        <x:v>R2S1</x:v>
      </x:c>
      <x:c r="I496" s="9" t="n">
        <x:v>25.28</x:v>
      </x:c>
      <x:c r="J496" s="9" t="n">
        <x:v>51.498999999999995</x:v>
      </x:c>
      <x:c r="K496" s="2" t="n">
        <x:v>8</x:v>
      </x:c>
      <x:c r="L496" s="2" t="str">
        <x:v>Valid</x:v>
      </x:c>
      <x:c r="M496" s="2" t="str">
        <x:v>QR</x:v>
      </x:c>
      <x:c r="N496" s="2" t="n">
        <x:v>1</x:v>
      </x:c>
      <x:c r="O496" s="2" t="str">
        <x:v>Accepted</x:v>
      </x:c>
      <x:c r="P496" s="2" t="str">
        <x:v>S002</x:v>
      </x:c>
      <x:c r="Q496" s="2" t="str">
        <x:v>DEV002</x:v>
      </x:c>
      <x:c r="R496" s="2" t="n">
        <x:v>6</x:v>
      </x:c>
      <x:c r="S496" s="2" t="str">
        <x:v>Online</x:v>
      </x:c>
      <x:c r="T496" s="2" t="str">
        <x:v>Synced</x:v>
      </x:c>
    </x:row>
    <x:row r="497" ht="21" customHeight="1">
      <x:c r="A497" s="2" t="str">
        <x:v>EV000831</x:v>
      </x:c>
      <x:c r="B497" s="2" t="str">
        <x:v>T20261005-1-3</x:v>
      </x:c>
      <x:c r="C497" s="2" t="str">
        <x:v>ST099</x:v>
      </x:c>
      <x:c r="D497" s="2" t="str">
        <x:v>46d20c66394c55b68e36e5335452d87c</x:v>
      </x:c>
      <x:c r="E497" s="2" t="str">
        <x:v>CHECK_IN</x:v>
      </x:c>
      <x:c r="F497" s="8" t="n">
        <x:v>46300.24263888889</x:v>
      </x:c>
      <x:c r="G497" s="8" t="n">
        <x:v>46300.24266203704</x:v>
      </x:c>
      <x:c r="H497" s="2" t="str">
        <x:v>R3S1</x:v>
      </x:c>
      <x:c r="I497" s="9" t="n">
        <x:v>25.289</x:v>
      </x:c>
      <x:c r="J497" s="9" t="n">
        <x:v>51.507</x:v>
      </x:c>
      <x:c r="K497" s="2" t="n">
        <x:v>8</x:v>
      </x:c>
      <x:c r="L497" s="2" t="str">
        <x:v>Valid</x:v>
      </x:c>
      <x:c r="M497" s="2" t="str">
        <x:v>QR</x:v>
      </x:c>
      <x:c r="N497" s="2" t="n">
        <x:v>1</x:v>
      </x:c>
      <x:c r="O497" s="2" t="str">
        <x:v>Accepted</x:v>
      </x:c>
      <x:c r="P497" s="2" t="str">
        <x:v>S003</x:v>
      </x:c>
      <x:c r="Q497" s="2" t="str">
        <x:v>DEV003</x:v>
      </x:c>
      <x:c r="R497" s="2" t="n">
        <x:v>6</x:v>
      </x:c>
      <x:c r="S497" s="2" t="str">
        <x:v>Online</x:v>
      </x:c>
      <x:c r="T497" s="2" t="str">
        <x:v>Synced</x:v>
      </x:c>
    </x:row>
    <x:row r="498" ht="21" customHeight="1">
      <x:c r="A498" s="2" t="str">
        <x:v>EV000497</x:v>
      </x:c>
      <x:c r="B498" s="2" t="str">
        <x:v>T20261005-1-1</x:v>
      </x:c>
      <x:c r="C498" s="2" t="str">
        <x:v>ST010</x:v>
      </x:c>
      <x:c r="D498" s="2" t="str">
        <x:v>df6521f6838e149b7b1f3fd27dcbf586</x:v>
      </x:c>
      <x:c r="E498" s="2" t="str">
        <x:v>CHECK_IN</x:v>
      </x:c>
      <x:c r="F498" s="8" t="n">
        <x:v>46300.242673611116</x:v>
      </x:c>
      <x:c r="G498" s="8" t="n">
        <x:v>46300.24269675926</x:v>
      </x:c>
      <x:c r="H498" s="2" t="str">
        <x:v>R1S1</x:v>
      </x:c>
      <x:c r="I498" s="9" t="n">
        <x:v>25.271</x:v>
      </x:c>
      <x:c r="J498" s="9" t="n">
        <x:v>51.491</x:v>
      </x:c>
      <x:c r="K498" s="2" t="n">
        <x:v>8</x:v>
      </x:c>
      <x:c r="L498" s="2" t="str">
        <x:v>Valid</x:v>
      </x:c>
      <x:c r="M498" s="2" t="str">
        <x:v>QR</x:v>
      </x:c>
      <x:c r="N498" s="2" t="n">
        <x:v>1</x:v>
      </x:c>
      <x:c r="O498" s="2" t="str">
        <x:v>Accepted</x:v>
      </x:c>
      <x:c r="P498" s="2" t="str">
        <x:v>S001</x:v>
      </x:c>
      <x:c r="Q498" s="2" t="str">
        <x:v>DEV001</x:v>
      </x:c>
      <x:c r="R498" s="2" t="n">
        <x:v>7</x:v>
      </x:c>
      <x:c r="S498" s="2" t="str">
        <x:v>Online</x:v>
      </x:c>
      <x:c r="T498" s="2" t="str">
        <x:v>Synced</x:v>
      </x:c>
    </x:row>
    <x:row r="499" ht="21" customHeight="1">
      <x:c r="A499" s="2" t="str">
        <x:v>EV000655</x:v>
      </x:c>
      <x:c r="B499" s="2" t="str">
        <x:v>T20261005-1-2</x:v>
      </x:c>
      <x:c r="C499" s="2" t="str">
        <x:v>ST050</x:v>
      </x:c>
      <x:c r="D499" s="2" t="str">
        <x:v>ca49474881a6395691ac81bd08684ed6</x:v>
      </x:c>
      <x:c r="E499" s="2" t="str">
        <x:v>CHECK_IN</x:v>
      </x:c>
      <x:c r="F499" s="8" t="n">
        <x:v>46300.242673611116</x:v>
      </x:c>
      <x:c r="G499" s="8" t="n">
        <x:v>46300.24269675926</x:v>
      </x:c>
      <x:c r="H499" s="2" t="str">
        <x:v>R2S1</x:v>
      </x:c>
      <x:c r="I499" s="9" t="n">
        <x:v>25.28</x:v>
      </x:c>
      <x:c r="J499" s="9" t="n">
        <x:v>51.498999999999995</x:v>
      </x:c>
      <x:c r="K499" s="2" t="n">
        <x:v>8</x:v>
      </x:c>
      <x:c r="L499" s="2" t="str">
        <x:v>Valid</x:v>
      </x:c>
      <x:c r="M499" s="2" t="str">
        <x:v>QR</x:v>
      </x:c>
      <x:c r="N499" s="2" t="n">
        <x:v>1</x:v>
      </x:c>
      <x:c r="O499" s="2" t="str">
        <x:v>Accepted</x:v>
      </x:c>
      <x:c r="P499" s="2" t="str">
        <x:v>S002</x:v>
      </x:c>
      <x:c r="Q499" s="2" t="str">
        <x:v>DEV002</x:v>
      </x:c>
      <x:c r="R499" s="2" t="n">
        <x:v>7</x:v>
      </x:c>
      <x:c r="S499" s="2" t="str">
        <x:v>Online</x:v>
      </x:c>
      <x:c r="T499" s="2" t="str">
        <x:v>Synced</x:v>
      </x:c>
    </x:row>
    <x:row r="500" ht="21" customHeight="1">
      <x:c r="A500" s="2" t="str">
        <x:v>EV000813</x:v>
      </x:c>
      <x:c r="B500" s="2" t="str">
        <x:v>T20261005-1-3</x:v>
      </x:c>
      <x:c r="C500" s="2" t="str">
        <x:v>ST090</x:v>
      </x:c>
      <x:c r="D500" s="2" t="str">
        <x:v>3b91252475551a374010825e1f05642c</x:v>
      </x:c>
      <x:c r="E500" s="2" t="str">
        <x:v>CHECK_IN</x:v>
      </x:c>
      <x:c r="F500" s="8" t="n">
        <x:v>46300.242673611116</x:v>
      </x:c>
      <x:c r="G500" s="8" t="n">
        <x:v>46300.24269675926</x:v>
      </x:c>
      <x:c r="H500" s="2" t="str">
        <x:v>R3S1</x:v>
      </x:c>
      <x:c r="I500" s="9" t="n">
        <x:v>25.289</x:v>
      </x:c>
      <x:c r="J500" s="9" t="n">
        <x:v>51.507</x:v>
      </x:c>
      <x:c r="K500" s="2" t="n">
        <x:v>8</x:v>
      </x:c>
      <x:c r="L500" s="2" t="str">
        <x:v>Valid</x:v>
      </x:c>
      <x:c r="M500" s="2" t="str">
        <x:v>QR</x:v>
      </x:c>
      <x:c r="N500" s="2" t="n">
        <x:v>1</x:v>
      </x:c>
      <x:c r="O500" s="2" t="str">
        <x:v>Accepted</x:v>
      </x:c>
      <x:c r="P500" s="2" t="str">
        <x:v>S003</x:v>
      </x:c>
      <x:c r="Q500" s="2" t="str">
        <x:v>DEV003</x:v>
      </x:c>
      <x:c r="R500" s="2" t="n">
        <x:v>7</x:v>
      </x:c>
      <x:c r="S500" s="2" t="str">
        <x:v>Online</x:v>
      </x:c>
      <x:c r="T500" s="2" t="str">
        <x:v>Synced</x:v>
      </x:c>
    </x:row>
    <x:row r="501" ht="21" customHeight="1">
      <x:c r="A501" s="2" t="str">
        <x:v>EV000499</x:v>
      </x:c>
      <x:c r="B501" s="2" t="str">
        <x:v>T20261005-1-1</x:v>
      </x:c>
      <x:c r="C501" s="2" t="str">
        <x:v>ST011</x:v>
      </x:c>
      <x:c r="D501" s="2" t="str">
        <x:v>38c917effc7ec45ac750455eb7892f3e</x:v>
      </x:c>
      <x:c r="E501" s="2" t="str">
        <x:v>CHECK_IN</x:v>
      </x:c>
      <x:c r="F501" s="8" t="n">
        <x:v>46300.24722222222</x:v>
      </x:c>
      <x:c r="G501" s="8" t="n">
        <x:v>46300.24724537037</x:v>
      </x:c>
      <x:c r="H501" s="2" t="str">
        <x:v>R1S2</x:v>
      </x:c>
      <x:c r="I501" s="9" t="n">
        <x:v>25.273000000000003</x:v>
      </x:c>
      <x:c r="J501" s="9" t="n">
        <x:v>51.494</x:v>
      </x:c>
      <x:c r="K501" s="2" t="n">
        <x:v>8</x:v>
      </x:c>
      <x:c r="L501" s="2" t="str">
        <x:v>Valid</x:v>
      </x:c>
      <x:c r="M501" s="2" t="str">
        <x:v>QR</x:v>
      </x:c>
      <x:c r="N501" s="2" t="n">
        <x:v>1</x:v>
      </x:c>
      <x:c r="O501" s="2" t="str">
        <x:v>Accepted</x:v>
      </x:c>
      <x:c r="P501" s="2" t="str">
        <x:v>S001</x:v>
      </x:c>
      <x:c r="Q501" s="2" t="str">
        <x:v>DEV001</x:v>
      </x:c>
      <x:c r="R501" s="2" t="n">
        <x:v>8</x:v>
      </x:c>
      <x:c r="S501" s="2" t="str">
        <x:v>Online</x:v>
      </x:c>
      <x:c r="T501" s="2" t="str">
        <x:v>Synced</x:v>
      </x:c>
    </x:row>
    <x:row r="502" ht="21" customHeight="1">
      <x:c r="A502" s="2" t="str">
        <x:v>EV000657</x:v>
      </x:c>
      <x:c r="B502" s="2" t="str">
        <x:v>T20261005-1-2</x:v>
      </x:c>
      <x:c r="C502" s="2" t="str">
        <x:v>ST051</x:v>
      </x:c>
      <x:c r="D502" s="2" t="str">
        <x:v>410a66d29aea7be5806f7d6945266303</x:v>
      </x:c>
      <x:c r="E502" s="2" t="str">
        <x:v>CHECK_IN</x:v>
      </x:c>
      <x:c r="F502" s="8" t="n">
        <x:v>46300.24722222222</x:v>
      </x:c>
      <x:c r="G502" s="8" t="n">
        <x:v>46300.24724537037</x:v>
      </x:c>
      <x:c r="H502" s="2" t="str">
        <x:v>R2S2</x:v>
      </x:c>
      <x:c r="I502" s="9" t="n">
        <x:v>25.282000000000004</x:v>
      </x:c>
      <x:c r="J502" s="9" t="n">
        <x:v>51.501999999999995</x:v>
      </x:c>
      <x:c r="K502" s="2" t="n">
        <x:v>8</x:v>
      </x:c>
      <x:c r="L502" s="2" t="str">
        <x:v>Valid</x:v>
      </x:c>
      <x:c r="M502" s="2" t="str">
        <x:v>QR</x:v>
      </x:c>
      <x:c r="N502" s="2" t="n">
        <x:v>1</x:v>
      </x:c>
      <x:c r="O502" s="2" t="str">
        <x:v>Accepted</x:v>
      </x:c>
      <x:c r="P502" s="2" t="str">
        <x:v>S002</x:v>
      </x:c>
      <x:c r="Q502" s="2" t="str">
        <x:v>DEV002</x:v>
      </x:c>
      <x:c r="R502" s="2" t="n">
        <x:v>8</x:v>
      </x:c>
      <x:c r="S502" s="2" t="str">
        <x:v>Online</x:v>
      </x:c>
      <x:c r="T502" s="2" t="str">
        <x:v>Synced</x:v>
      </x:c>
    </x:row>
    <x:row r="503" ht="21" customHeight="1">
      <x:c r="A503" s="2" t="str">
        <x:v>EV000815</x:v>
      </x:c>
      <x:c r="B503" s="2" t="str">
        <x:v>T20261005-1-3</x:v>
      </x:c>
      <x:c r="C503" s="2" t="str">
        <x:v>ST091</x:v>
      </x:c>
      <x:c r="D503" s="2" t="str">
        <x:v>2d74afc7329a1eb53bd16a92fc366891</x:v>
      </x:c>
      <x:c r="E503" s="2" t="str">
        <x:v>CHECK_IN</x:v>
      </x:c>
      <x:c r="F503" s="8" t="n">
        <x:v>46300.24722222222</x:v>
      </x:c>
      <x:c r="G503" s="8" t="n">
        <x:v>46300.24724537037</x:v>
      </x:c>
      <x:c r="H503" s="2" t="str">
        <x:v>R3S2</x:v>
      </x:c>
      <x:c r="I503" s="9" t="n">
        <x:v>25.291000000000004</x:v>
      </x:c>
      <x:c r="J503" s="9" t="n">
        <x:v>51.51</x:v>
      </x:c>
      <x:c r="K503" s="2" t="n">
        <x:v>8</x:v>
      </x:c>
      <x:c r="L503" s="2" t="str">
        <x:v>Valid</x:v>
      </x:c>
      <x:c r="M503" s="2" t="str">
        <x:v>QR</x:v>
      </x:c>
      <x:c r="N503" s="2" t="n">
        <x:v>1</x:v>
      </x:c>
      <x:c r="O503" s="2" t="str">
        <x:v>Accepted</x:v>
      </x:c>
      <x:c r="P503" s="2" t="str">
        <x:v>S003</x:v>
      </x:c>
      <x:c r="Q503" s="2" t="str">
        <x:v>DEV003</x:v>
      </x:c>
      <x:c r="R503" s="2" t="n">
        <x:v>8</x:v>
      </x:c>
      <x:c r="S503" s="2" t="str">
        <x:v>Online</x:v>
      </x:c>
      <x:c r="T503" s="2" t="str">
        <x:v>Synced</x:v>
      </x:c>
    </x:row>
    <x:row r="504" ht="21" customHeight="1">
      <x:c r="A504" s="2" t="str">
        <x:v>EV000481</x:v>
      </x:c>
      <x:c r="B504" s="2" t="str">
        <x:v>T20261005-1-1</x:v>
      </x:c>
      <x:c r="C504" s="2" t="str">
        <x:v>ST002</x:v>
      </x:c>
      <x:c r="D504" s="2" t="str">
        <x:v>c9302a76d79e524442f3775978bb57a1</x:v>
      </x:c>
      <x:c r="E504" s="2" t="str">
        <x:v>CHECK_IN</x:v>
      </x:c>
      <x:c r="F504" s="8" t="n">
        <x:v>46300.24725694444</x:v>
      </x:c>
      <x:c r="G504" s="8" t="n">
        <x:v>46300.24728009259</x:v>
      </x:c>
      <x:c r="H504" s="2" t="str">
        <x:v>R1S2</x:v>
      </x:c>
      <x:c r="I504" s="9" t="n">
        <x:v>25.273000000000003</x:v>
      </x:c>
      <x:c r="J504" s="9" t="n">
        <x:v>51.494</x:v>
      </x:c>
      <x:c r="K504" s="2" t="n">
        <x:v>8</x:v>
      </x:c>
      <x:c r="L504" s="2" t="str">
        <x:v>Valid</x:v>
      </x:c>
      <x:c r="M504" s="2" t="str">
        <x:v>QR</x:v>
      </x:c>
      <x:c r="N504" s="2" t="n">
        <x:v>1</x:v>
      </x:c>
      <x:c r="O504" s="2" t="str">
        <x:v>Accepted</x:v>
      </x:c>
      <x:c r="P504" s="2" t="str">
        <x:v>S001</x:v>
      </x:c>
      <x:c r="Q504" s="2" t="str">
        <x:v>DEV001</x:v>
      </x:c>
      <x:c r="R504" s="2" t="n">
        <x:v>9</x:v>
      </x:c>
      <x:c r="S504" s="2" t="str">
        <x:v>Online</x:v>
      </x:c>
      <x:c r="T504" s="2" t="str">
        <x:v>Synced</x:v>
      </x:c>
    </x:row>
    <x:row r="505" ht="21" customHeight="1">
      <x:c r="A505" s="2" t="str">
        <x:v>EV000797</x:v>
      </x:c>
      <x:c r="B505" s="2" t="str">
        <x:v>T20261005-1-3</x:v>
      </x:c>
      <x:c r="C505" s="2" t="str">
        <x:v>ST082</x:v>
      </x:c>
      <x:c r="D505" s="2" t="str">
        <x:v>fb7e28e2da3ace738571a6966bcaaec0</x:v>
      </x:c>
      <x:c r="E505" s="2" t="str">
        <x:v>CHECK_IN</x:v>
      </x:c>
      <x:c r="F505" s="8" t="n">
        <x:v>46300.24725694444</x:v>
      </x:c>
      <x:c r="G505" s="8" t="n">
        <x:v>46300.24728009259</x:v>
      </x:c>
      <x:c r="H505" s="2" t="str">
        <x:v>R3S2</x:v>
      </x:c>
      <x:c r="I505" s="9" t="n">
        <x:v>25.291000000000004</x:v>
      </x:c>
      <x:c r="J505" s="9" t="n">
        <x:v>51.51</x:v>
      </x:c>
      <x:c r="K505" s="2" t="n">
        <x:v>8</x:v>
      </x:c>
      <x:c r="L505" s="2" t="str">
        <x:v>Valid</x:v>
      </x:c>
      <x:c r="M505" s="2" t="str">
        <x:v>QR</x:v>
      </x:c>
      <x:c r="N505" s="2" t="n">
        <x:v>1</x:v>
      </x:c>
      <x:c r="O505" s="2" t="str">
        <x:v>Accepted</x:v>
      </x:c>
      <x:c r="P505" s="2" t="str">
        <x:v>S003</x:v>
      </x:c>
      <x:c r="Q505" s="2" t="str">
        <x:v>DEV003</x:v>
      </x:c>
      <x:c r="R505" s="2" t="n">
        <x:v>9</x:v>
      </x:c>
      <x:c r="S505" s="2" t="str">
        <x:v>Online</x:v>
      </x:c>
      <x:c r="T505" s="2" t="str">
        <x:v>Synced</x:v>
      </x:c>
    </x:row>
    <x:row r="506" ht="21" customHeight="1">
      <x:c r="A506" s="2" t="str">
        <x:v>EV000505</x:v>
      </x:c>
      <x:c r="B506" s="2" t="str">
        <x:v>T20261005-1-1</x:v>
      </x:c>
      <x:c r="C506" s="2" t="str">
        <x:v>ST014</x:v>
      </x:c>
      <x:c r="D506" s="2" t="str">
        <x:v>6ea4b25306143e251962ae19fa8ee7af</x:v>
      </x:c>
      <x:c r="E506" s="2" t="str">
        <x:v>CHECK_IN</x:v>
      </x:c>
      <x:c r="F506" s="8" t="n">
        <x:v>46300.24732638889</x:v>
      </x:c>
      <x:c r="G506" s="8" t="n">
        <x:v>46300.247349537036</x:v>
      </x:c>
      <x:c r="H506" s="2" t="str">
        <x:v>R1S2</x:v>
      </x:c>
      <x:c r="I506" s="9" t="n">
        <x:v>25.273000000000003</x:v>
      </x:c>
      <x:c r="J506" s="9" t="n">
        <x:v>51.494</x:v>
      </x:c>
      <x:c r="K506" s="2" t="n">
        <x:v>8</x:v>
      </x:c>
      <x:c r="L506" s="2" t="str">
        <x:v>Valid</x:v>
      </x:c>
      <x:c r="M506" s="2" t="str">
        <x:v>QR</x:v>
      </x:c>
      <x:c r="N506" s="2" t="n">
        <x:v>1</x:v>
      </x:c>
      <x:c r="O506" s="2" t="str">
        <x:v>Accepted</x:v>
      </x:c>
      <x:c r="P506" s="2" t="str">
        <x:v>S001</x:v>
      </x:c>
      <x:c r="Q506" s="2" t="str">
        <x:v>DEV001</x:v>
      </x:c>
      <x:c r="R506" s="2" t="n">
        <x:v>10</x:v>
      </x:c>
      <x:c r="S506" s="2" t="str">
        <x:v>Online</x:v>
      </x:c>
      <x:c r="T506" s="2" t="str">
        <x:v>Synced</x:v>
      </x:c>
    </x:row>
    <x:row r="507" ht="21" customHeight="1">
      <x:c r="A507" s="2" t="str">
        <x:v>EV000663</x:v>
      </x:c>
      <x:c r="B507" s="2" t="str">
        <x:v>T20261005-1-2</x:v>
      </x:c>
      <x:c r="C507" s="2" t="str">
        <x:v>ST054</x:v>
      </x:c>
      <x:c r="D507" s="2" t="str">
        <x:v>1c9a916db52e081aeb59bc928cb914dd</x:v>
      </x:c>
      <x:c r="E507" s="2" t="str">
        <x:v>CHECK_IN</x:v>
      </x:c>
      <x:c r="F507" s="8" t="n">
        <x:v>46300.24732638889</x:v>
      </x:c>
      <x:c r="G507" s="8" t="n">
        <x:v>46300.247349537036</x:v>
      </x:c>
      <x:c r="H507" s="2" t="str">
        <x:v>R2S2</x:v>
      </x:c>
      <x:c r="I507" s="9" t="n">
        <x:v>25.282000000000004</x:v>
      </x:c>
      <x:c r="J507" s="9" t="n">
        <x:v>51.501999999999995</x:v>
      </x:c>
      <x:c r="K507" s="2" t="n">
        <x:v>8</x:v>
      </x:c>
      <x:c r="L507" s="2" t="str">
        <x:v>Valid</x:v>
      </x:c>
      <x:c r="M507" s="2" t="str">
        <x:v>QR</x:v>
      </x:c>
      <x:c r="N507" s="2" t="n">
        <x:v>1</x:v>
      </x:c>
      <x:c r="O507" s="2" t="str">
        <x:v>Accepted</x:v>
      </x:c>
      <x:c r="P507" s="2" t="str">
        <x:v>S002</x:v>
      </x:c>
      <x:c r="Q507" s="2" t="str">
        <x:v>DEV002</x:v>
      </x:c>
      <x:c r="R507" s="2" t="n">
        <x:v>9</x:v>
      </x:c>
      <x:c r="S507" s="2" t="str">
        <x:v>Online</x:v>
      </x:c>
      <x:c r="T507" s="2" t="str">
        <x:v>Synced</x:v>
      </x:c>
    </x:row>
    <x:row r="508" ht="21" customHeight="1">
      <x:c r="A508" s="2" t="str">
        <x:v>EV000821</x:v>
      </x:c>
      <x:c r="B508" s="2" t="str">
        <x:v>T20261005-1-3</x:v>
      </x:c>
      <x:c r="C508" s="2" t="str">
        <x:v>ST094</x:v>
      </x:c>
      <x:c r="D508" s="2" t="str">
        <x:v>b6fd37c188877a378c496dccb3132cf2</x:v>
      </x:c>
      <x:c r="E508" s="2" t="str">
        <x:v>CHECK_IN</x:v>
      </x:c>
      <x:c r="F508" s="8" t="n">
        <x:v>46300.24732638889</x:v>
      </x:c>
      <x:c r="G508" s="8" t="n">
        <x:v>46300.247349537036</x:v>
      </x:c>
      <x:c r="H508" s="2" t="str">
        <x:v>R3S2</x:v>
      </x:c>
      <x:c r="I508" s="9" t="n">
        <x:v>25.291000000000004</x:v>
      </x:c>
      <x:c r="J508" s="9" t="n">
        <x:v>51.51</x:v>
      </x:c>
      <x:c r="K508" s="2" t="n">
        <x:v>8</x:v>
      </x:c>
      <x:c r="L508" s="2" t="str">
        <x:v>Valid</x:v>
      </x:c>
      <x:c r="M508" s="2" t="str">
        <x:v>QR</x:v>
      </x:c>
      <x:c r="N508" s="2" t="n">
        <x:v>1</x:v>
      </x:c>
      <x:c r="O508" s="2" t="str">
        <x:v>Accepted</x:v>
      </x:c>
      <x:c r="P508" s="2" t="str">
        <x:v>S003</x:v>
      </x:c>
      <x:c r="Q508" s="2" t="str">
        <x:v>DEV003</x:v>
      </x:c>
      <x:c r="R508" s="2" t="n">
        <x:v>10</x:v>
      </x:c>
      <x:c r="S508" s="2" t="str">
        <x:v>Online</x:v>
      </x:c>
      <x:c r="T508" s="2" t="str">
        <x:v>Synced</x:v>
      </x:c>
    </x:row>
    <x:row r="509" ht="21" customHeight="1">
      <x:c r="A509" s="2" t="str">
        <x:v>EV000487</x:v>
      </x:c>
      <x:c r="B509" s="2" t="str">
        <x:v>T20261005-1-1</x:v>
      </x:c>
      <x:c r="C509" s="2" t="str">
        <x:v>ST005</x:v>
      </x:c>
      <x:c r="D509" s="2" t="str">
        <x:v>426727a8a0b9d51694a399a005c786cf</x:v>
      </x:c>
      <x:c r="E509" s="2" t="str">
        <x:v>CHECK_IN</x:v>
      </x:c>
      <x:c r="F509" s="8" t="n">
        <x:v>46300.24736111111</x:v>
      </x:c>
      <x:c r="G509" s="8" t="n">
        <x:v>46300.24738425926</x:v>
      </x:c>
      <x:c r="H509" s="2" t="str">
        <x:v>R1S2</x:v>
      </x:c>
      <x:c r="I509" s="9" t="n">
        <x:v>25.273000000000003</x:v>
      </x:c>
      <x:c r="J509" s="9" t="n">
        <x:v>51.494</x:v>
      </x:c>
      <x:c r="K509" s="2" t="n">
        <x:v>8</x:v>
      </x:c>
      <x:c r="L509" s="2" t="str">
        <x:v>Valid</x:v>
      </x:c>
      <x:c r="M509" s="2" t="str">
        <x:v>QR</x:v>
      </x:c>
      <x:c r="N509" s="2" t="n">
        <x:v>1</x:v>
      </x:c>
      <x:c r="O509" s="2" t="str">
        <x:v>Accepted</x:v>
      </x:c>
      <x:c r="P509" s="2" t="str">
        <x:v>S001</x:v>
      </x:c>
      <x:c r="Q509" s="2" t="str">
        <x:v>DEV001</x:v>
      </x:c>
      <x:c r="R509" s="2" t="n">
        <x:v>11</x:v>
      </x:c>
      <x:c r="S509" s="2" t="str">
        <x:v>Online</x:v>
      </x:c>
      <x:c r="T509" s="2" t="str">
        <x:v>Synced</x:v>
      </x:c>
    </x:row>
    <x:row r="510" ht="21" customHeight="1">
      <x:c r="A510" s="2" t="str">
        <x:v>EV000645</x:v>
      </x:c>
      <x:c r="B510" s="2" t="str">
        <x:v>T20261005-1-2</x:v>
      </x:c>
      <x:c r="C510" s="2" t="str">
        <x:v>ST045</x:v>
      </x:c>
      <x:c r="D510" s="2" t="str">
        <x:v>10d8df8a06a7c869bcaa1adbc88c05bc</x:v>
      </x:c>
      <x:c r="E510" s="2" t="str">
        <x:v>CHECK_IN</x:v>
      </x:c>
      <x:c r="F510" s="8" t="n">
        <x:v>46300.24736111111</x:v>
      </x:c>
      <x:c r="G510" s="8" t="n">
        <x:v>46300.24738425926</x:v>
      </x:c>
      <x:c r="H510" s="2" t="str">
        <x:v>R2S2</x:v>
      </x:c>
      <x:c r="I510" s="9" t="n">
        <x:v>25.282000000000004</x:v>
      </x:c>
      <x:c r="J510" s="9" t="n">
        <x:v>51.501999999999995</x:v>
      </x:c>
      <x:c r="K510" s="2" t="n">
        <x:v>8</x:v>
      </x:c>
      <x:c r="L510" s="2" t="str">
        <x:v>Valid</x:v>
      </x:c>
      <x:c r="M510" s="2" t="str">
        <x:v>QR</x:v>
      </x:c>
      <x:c r="N510" s="2" t="n">
        <x:v>1</x:v>
      </x:c>
      <x:c r="O510" s="2" t="str">
        <x:v>Accepted</x:v>
      </x:c>
      <x:c r="P510" s="2" t="str">
        <x:v>S002</x:v>
      </x:c>
      <x:c r="Q510" s="2" t="str">
        <x:v>DEV002</x:v>
      </x:c>
      <x:c r="R510" s="2" t="n">
        <x:v>10</x:v>
      </x:c>
      <x:c r="S510" s="2" t="str">
        <x:v>Online</x:v>
      </x:c>
      <x:c r="T510" s="2" t="str">
        <x:v>Synced</x:v>
      </x:c>
    </x:row>
    <x:row r="511" ht="21" customHeight="1">
      <x:c r="A511" s="2" t="str">
        <x:v>EV000803</x:v>
      </x:c>
      <x:c r="B511" s="2" t="str">
        <x:v>T20261005-1-3</x:v>
      </x:c>
      <x:c r="C511" s="2" t="str">
        <x:v>ST085</x:v>
      </x:c>
      <x:c r="D511" s="2" t="str">
        <x:v>80babdd572dde222a75b7ad8f0fe7ffa</x:v>
      </x:c>
      <x:c r="E511" s="2" t="str">
        <x:v>CHECK_IN</x:v>
      </x:c>
      <x:c r="F511" s="8" t="n">
        <x:v>46300.24736111111</x:v>
      </x:c>
      <x:c r="G511" s="8" t="n">
        <x:v>46300.24738425926</x:v>
      </x:c>
      <x:c r="H511" s="2" t="str">
        <x:v>R3S2</x:v>
      </x:c>
      <x:c r="I511" s="9" t="n">
        <x:v>25.291000000000004</x:v>
      </x:c>
      <x:c r="J511" s="9" t="n">
        <x:v>51.51</x:v>
      </x:c>
      <x:c r="K511" s="2" t="n">
        <x:v>8</x:v>
      </x:c>
      <x:c r="L511" s="2" t="str">
        <x:v>Valid</x:v>
      </x:c>
      <x:c r="M511" s="2" t="str">
        <x:v>QR</x:v>
      </x:c>
      <x:c r="N511" s="2" t="n">
        <x:v>1</x:v>
      </x:c>
      <x:c r="O511" s="2" t="str">
        <x:v>Accepted</x:v>
      </x:c>
      <x:c r="P511" s="2" t="str">
        <x:v>S003</x:v>
      </x:c>
      <x:c r="Q511" s="2" t="str">
        <x:v>DEV003</x:v>
      </x:c>
      <x:c r="R511" s="2" t="n">
        <x:v>11</x:v>
      </x:c>
      <x:c r="S511" s="2" t="str">
        <x:v>Online</x:v>
      </x:c>
      <x:c r="T511" s="2" t="str">
        <x:v>Synced</x:v>
      </x:c>
    </x:row>
    <x:row r="512" ht="21" customHeight="1">
      <x:c r="A512" s="2" t="str">
        <x:v>EV000511</x:v>
      </x:c>
      <x:c r="B512" s="2" t="str">
        <x:v>T20261005-1-1</x:v>
      </x:c>
      <x:c r="C512" s="2" t="str">
        <x:v>ST017</x:v>
      </x:c>
      <x:c r="D512" s="2" t="str">
        <x:v>ea6159d457322f2456f4cadd6b3d659f</x:v>
      </x:c>
      <x:c r="E512" s="2" t="str">
        <x:v>CHECK_IN</x:v>
      </x:c>
      <x:c r="F512" s="8" t="n">
        <x:v>46300.24743055555</x:v>
      </x:c>
      <x:c r="G512" s="8" t="n">
        <x:v>46300.2474537037</x:v>
      </x:c>
      <x:c r="H512" s="2" t="str">
        <x:v>R1S2</x:v>
      </x:c>
      <x:c r="I512" s="9" t="n">
        <x:v>25.273000000000003</x:v>
      </x:c>
      <x:c r="J512" s="9" t="n">
        <x:v>51.494</x:v>
      </x:c>
      <x:c r="K512" s="2" t="n">
        <x:v>8</x:v>
      </x:c>
      <x:c r="L512" s="2" t="str">
        <x:v>Valid</x:v>
      </x:c>
      <x:c r="M512" s="2" t="str">
        <x:v>QR</x:v>
      </x:c>
      <x:c r="N512" s="2" t="n">
        <x:v>1</x:v>
      </x:c>
      <x:c r="O512" s="2" t="str">
        <x:v>Accepted</x:v>
      </x:c>
      <x:c r="P512" s="2" t="str">
        <x:v>S001</x:v>
      </x:c>
      <x:c r="Q512" s="2" t="str">
        <x:v>DEV001</x:v>
      </x:c>
      <x:c r="R512" s="2" t="n">
        <x:v>12</x:v>
      </x:c>
      <x:c r="S512" s="2" t="str">
        <x:v>Online</x:v>
      </x:c>
      <x:c r="T512" s="2" t="str">
        <x:v>Synced</x:v>
      </x:c>
    </x:row>
    <x:row r="513" ht="21" customHeight="1">
      <x:c r="A513" s="2" t="str">
        <x:v>EV000669</x:v>
      </x:c>
      <x:c r="B513" s="2" t="str">
        <x:v>T20261005-1-2</x:v>
      </x:c>
      <x:c r="C513" s="2" t="str">
        <x:v>ST057</x:v>
      </x:c>
      <x:c r="D513" s="2" t="str">
        <x:v>68d992c7418727808ad27d2e5ee9b88d</x:v>
      </x:c>
      <x:c r="E513" s="2" t="str">
        <x:v>CHECK_IN</x:v>
      </x:c>
      <x:c r="F513" s="8" t="n">
        <x:v>46300.24743055555</x:v>
      </x:c>
      <x:c r="G513" s="8" t="n">
        <x:v>46300.2474537037</x:v>
      </x:c>
      <x:c r="H513" s="2" t="str">
        <x:v>R2S2</x:v>
      </x:c>
      <x:c r="I513" s="9" t="n">
        <x:v>25.282000000000004</x:v>
      </x:c>
      <x:c r="J513" s="9" t="n">
        <x:v>51.501999999999995</x:v>
      </x:c>
      <x:c r="K513" s="2" t="n">
        <x:v>8</x:v>
      </x:c>
      <x:c r="L513" s="2" t="str">
        <x:v>Valid</x:v>
      </x:c>
      <x:c r="M513" s="2" t="str">
        <x:v>QR</x:v>
      </x:c>
      <x:c r="N513" s="2" t="n">
        <x:v>1</x:v>
      </x:c>
      <x:c r="O513" s="2" t="str">
        <x:v>Accepted</x:v>
      </x:c>
      <x:c r="P513" s="2" t="str">
        <x:v>S002</x:v>
      </x:c>
      <x:c r="Q513" s="2" t="str">
        <x:v>DEV002</x:v>
      </x:c>
      <x:c r="R513" s="2" t="n">
        <x:v>11</x:v>
      </x:c>
      <x:c r="S513" s="2" t="str">
        <x:v>Online</x:v>
      </x:c>
      <x:c r="T513" s="2" t="str">
        <x:v>Synced</x:v>
      </x:c>
    </x:row>
    <x:row r="514" ht="21" customHeight="1">
      <x:c r="A514" s="2" t="str">
        <x:v>EV000827</x:v>
      </x:c>
      <x:c r="B514" s="2" t="str">
        <x:v>T20261005-1-3</x:v>
      </x:c>
      <x:c r="C514" s="2" t="str">
        <x:v>ST097</x:v>
      </x:c>
      <x:c r="D514" s="2" t="str">
        <x:v>0ccbf8d08569df9dde2207b8d5616d1e</x:v>
      </x:c>
      <x:c r="E514" s="2" t="str">
        <x:v>CHECK_IN</x:v>
      </x:c>
      <x:c r="F514" s="8" t="n">
        <x:v>46300.24743055555</x:v>
      </x:c>
      <x:c r="G514" s="8" t="n">
        <x:v>46300.2474537037</x:v>
      </x:c>
      <x:c r="H514" s="2" t="str">
        <x:v>R3S2</x:v>
      </x:c>
      <x:c r="I514" s="9" t="n">
        <x:v>25.291000000000004</x:v>
      </x:c>
      <x:c r="J514" s="9" t="n">
        <x:v>51.51</x:v>
      </x:c>
      <x:c r="K514" s="2" t="n">
        <x:v>8</x:v>
      </x:c>
      <x:c r="L514" s="2" t="str">
        <x:v>Valid</x:v>
      </x:c>
      <x:c r="M514" s="2" t="str">
        <x:v>QR</x:v>
      </x:c>
      <x:c r="N514" s="2" t="n">
        <x:v>1</x:v>
      </x:c>
      <x:c r="O514" s="2" t="str">
        <x:v>Accepted</x:v>
      </x:c>
      <x:c r="P514" s="2" t="str">
        <x:v>S003</x:v>
      </x:c>
      <x:c r="Q514" s="2" t="str">
        <x:v>DEV003</x:v>
      </x:c>
      <x:c r="R514" s="2" t="n">
        <x:v>12</x:v>
      </x:c>
      <x:c r="S514" s="2" t="str">
        <x:v>Online</x:v>
      </x:c>
      <x:c r="T514" s="2" t="str">
        <x:v>Synced</x:v>
      </x:c>
    </x:row>
    <x:row r="515" ht="21" customHeight="1">
      <x:c r="A515" s="2" t="str">
        <x:v>EV000493</x:v>
      </x:c>
      <x:c r="B515" s="2" t="str">
        <x:v>T20261005-1-1</x:v>
      </x:c>
      <x:c r="C515" s="2" t="str">
        <x:v>ST008</x:v>
      </x:c>
      <x:c r="D515" s="2" t="str">
        <x:v>ac4baf5d317844907005c691f401c42d</x:v>
      </x:c>
      <x:c r="E515" s="2" t="str">
        <x:v>CHECK_IN</x:v>
      </x:c>
      <x:c r="F515" s="8" t="n">
        <x:v>46300.247465277775</x:v>
      </x:c>
      <x:c r="G515" s="8" t="n">
        <x:v>46300.24748842592</x:v>
      </x:c>
      <x:c r="H515" s="2" t="str">
        <x:v>R1S2</x:v>
      </x:c>
      <x:c r="I515" s="9" t="n">
        <x:v>25.273000000000003</x:v>
      </x:c>
      <x:c r="J515" s="9" t="n">
        <x:v>51.494</x:v>
      </x:c>
      <x:c r="K515" s="2" t="n">
        <x:v>8</x:v>
      </x:c>
      <x:c r="L515" s="2" t="str">
        <x:v>Valid</x:v>
      </x:c>
      <x:c r="M515" s="2" t="str">
        <x:v>QR</x:v>
      </x:c>
      <x:c r="N515" s="2" t="n">
        <x:v>1</x:v>
      </x:c>
      <x:c r="O515" s="2" t="str">
        <x:v>Accepted</x:v>
      </x:c>
      <x:c r="P515" s="2" t="str">
        <x:v>S001</x:v>
      </x:c>
      <x:c r="Q515" s="2" t="str">
        <x:v>DEV001</x:v>
      </x:c>
      <x:c r="R515" s="2" t="n">
        <x:v>13</x:v>
      </x:c>
      <x:c r="S515" s="2" t="str">
        <x:v>Online</x:v>
      </x:c>
      <x:c r="T515" s="2" t="str">
        <x:v>Synced</x:v>
      </x:c>
    </x:row>
    <x:row r="516" ht="21" customHeight="1">
      <x:c r="A516" s="2" t="str">
        <x:v>EV000651</x:v>
      </x:c>
      <x:c r="B516" s="2" t="str">
        <x:v>T20261005-1-2</x:v>
      </x:c>
      <x:c r="C516" s="2" t="str">
        <x:v>ST048</x:v>
      </x:c>
      <x:c r="D516" s="2" t="str">
        <x:v>e3a3009a9bd3946e21f417e93203aa79</x:v>
      </x:c>
      <x:c r="E516" s="2" t="str">
        <x:v>CHECK_IN</x:v>
      </x:c>
      <x:c r="F516" s="8" t="n">
        <x:v>46300.247465277775</x:v>
      </x:c>
      <x:c r="G516" s="8" t="n">
        <x:v>46300.24748842592</x:v>
      </x:c>
      <x:c r="H516" s="2" t="str">
        <x:v>R2S2</x:v>
      </x:c>
      <x:c r="I516" s="9" t="n">
        <x:v>25.282000000000004</x:v>
      </x:c>
      <x:c r="J516" s="9" t="n">
        <x:v>51.501999999999995</x:v>
      </x:c>
      <x:c r="K516" s="2" t="n">
        <x:v>8</x:v>
      </x:c>
      <x:c r="L516" s="2" t="str">
        <x:v>Valid</x:v>
      </x:c>
      <x:c r="M516" s="2" t="str">
        <x:v>QR</x:v>
      </x:c>
      <x:c r="N516" s="2" t="n">
        <x:v>1</x:v>
      </x:c>
      <x:c r="O516" s="2" t="str">
        <x:v>Accepted</x:v>
      </x:c>
      <x:c r="P516" s="2" t="str">
        <x:v>S002</x:v>
      </x:c>
      <x:c r="Q516" s="2" t="str">
        <x:v>DEV002</x:v>
      </x:c>
      <x:c r="R516" s="2" t="n">
        <x:v>12</x:v>
      </x:c>
      <x:c r="S516" s="2" t="str">
        <x:v>Online</x:v>
      </x:c>
      <x:c r="T516" s="2" t="str">
        <x:v>Synced</x:v>
      </x:c>
    </x:row>
    <x:row r="517" ht="21" customHeight="1">
      <x:c r="A517" s="2" t="str">
        <x:v>EV000809</x:v>
      </x:c>
      <x:c r="B517" s="2" t="str">
        <x:v>T20261005-1-3</x:v>
      </x:c>
      <x:c r="C517" s="2" t="str">
        <x:v>ST088</x:v>
      </x:c>
      <x:c r="D517" s="2" t="str">
        <x:v>b227769e0483e6c28eed8e8d448bfbbe</x:v>
      </x:c>
      <x:c r="E517" s="2" t="str">
        <x:v>CHECK_IN</x:v>
      </x:c>
      <x:c r="F517" s="8" t="n">
        <x:v>46300.247465277775</x:v>
      </x:c>
      <x:c r="G517" s="8" t="n">
        <x:v>46300.24748842592</x:v>
      </x:c>
      <x:c r="H517" s="2" t="str">
        <x:v>R3S2</x:v>
      </x:c>
      <x:c r="I517" s="9" t="n">
        <x:v>25.291000000000004</x:v>
      </x:c>
      <x:c r="J517" s="9" t="n">
        <x:v>51.51</x:v>
      </x:c>
      <x:c r="K517" s="2" t="n">
        <x:v>8</x:v>
      </x:c>
      <x:c r="L517" s="2" t="str">
        <x:v>Valid</x:v>
      </x:c>
      <x:c r="M517" s="2" t="str">
        <x:v>QR</x:v>
      </x:c>
      <x:c r="N517" s="2" t="n">
        <x:v>1</x:v>
      </x:c>
      <x:c r="O517" s="2" t="str">
        <x:v>Accepted</x:v>
      </x:c>
      <x:c r="P517" s="2" t="str">
        <x:v>S003</x:v>
      </x:c>
      <x:c r="Q517" s="2" t="str">
        <x:v>DEV003</x:v>
      </x:c>
      <x:c r="R517" s="2" t="n">
        <x:v>13</x:v>
      </x:c>
      <x:c r="S517" s="2" t="str">
        <x:v>Online</x:v>
      </x:c>
      <x:c r="T517" s="2" t="str">
        <x:v>Synced</x:v>
      </x:c>
    </x:row>
    <x:row r="518" ht="21" customHeight="1">
      <x:c r="A518" s="2" t="str">
        <x:v>EV000517</x:v>
      </x:c>
      <x:c r="B518" s="2" t="str">
        <x:v>T20261005-1-1</x:v>
      </x:c>
      <x:c r="C518" s="2" t="str">
        <x:v>ST020</x:v>
      </x:c>
      <x:c r="D518" s="2" t="str">
        <x:v>9f8daa9030f9f7599cd24e056935ab8d</x:v>
      </x:c>
      <x:c r="E518" s="2" t="str">
        <x:v>CHECK_IN</x:v>
      </x:c>
      <x:c r="F518" s="8" t="n">
        <x:v>46300.24753472222</x:v>
      </x:c>
      <x:c r="G518" s="8" t="n">
        <x:v>46300.24755787037</x:v>
      </x:c>
      <x:c r="H518" s="2" t="str">
        <x:v>R1S2</x:v>
      </x:c>
      <x:c r="I518" s="9" t="n">
        <x:v>25.273000000000003</x:v>
      </x:c>
      <x:c r="J518" s="9" t="n">
        <x:v>51.494</x:v>
      </x:c>
      <x:c r="K518" s="2" t="n">
        <x:v>8</x:v>
      </x:c>
      <x:c r="L518" s="2" t="str">
        <x:v>Valid</x:v>
      </x:c>
      <x:c r="M518" s="2" t="str">
        <x:v>QR</x:v>
      </x:c>
      <x:c r="N518" s="2" t="n">
        <x:v>1</x:v>
      </x:c>
      <x:c r="O518" s="2" t="str">
        <x:v>Accepted</x:v>
      </x:c>
      <x:c r="P518" s="2" t="str">
        <x:v>S001</x:v>
      </x:c>
      <x:c r="Q518" s="2" t="str">
        <x:v>DEV001</x:v>
      </x:c>
      <x:c r="R518" s="2" t="n">
        <x:v>14</x:v>
      </x:c>
      <x:c r="S518" s="2" t="str">
        <x:v>Online</x:v>
      </x:c>
      <x:c r="T518" s="2" t="str">
        <x:v>Synced</x:v>
      </x:c>
    </x:row>
    <x:row r="519" ht="21" customHeight="1">
      <x:c r="A519" s="2" t="str">
        <x:v>EV000675</x:v>
      </x:c>
      <x:c r="B519" s="2" t="str">
        <x:v>T20261005-1-2</x:v>
      </x:c>
      <x:c r="C519" s="2" t="str">
        <x:v>ST060</x:v>
      </x:c>
      <x:c r="D519" s="2" t="str">
        <x:v>a424ea3d9a5cb1c08037457e61cef61f</x:v>
      </x:c>
      <x:c r="E519" s="2" t="str">
        <x:v>CHECK_IN</x:v>
      </x:c>
      <x:c r="F519" s="8" t="n">
        <x:v>46300.24753472222</x:v>
      </x:c>
      <x:c r="G519" s="8" t="n">
        <x:v>46300.24755787037</x:v>
      </x:c>
      <x:c r="H519" s="2" t="str">
        <x:v>R2S2</x:v>
      </x:c>
      <x:c r="I519" s="9" t="n">
        <x:v>25.282000000000004</x:v>
      </x:c>
      <x:c r="J519" s="9" t="n">
        <x:v>51.501999999999995</x:v>
      </x:c>
      <x:c r="K519" s="2" t="n">
        <x:v>8</x:v>
      </x:c>
      <x:c r="L519" s="2" t="str">
        <x:v>Valid</x:v>
      </x:c>
      <x:c r="M519" s="2" t="str">
        <x:v>QR</x:v>
      </x:c>
      <x:c r="N519" s="2" t="n">
        <x:v>1</x:v>
      </x:c>
      <x:c r="O519" s="2" t="str">
        <x:v>Accepted</x:v>
      </x:c>
      <x:c r="P519" s="2" t="str">
        <x:v>S002</x:v>
      </x:c>
      <x:c r="Q519" s="2" t="str">
        <x:v>DEV002</x:v>
      </x:c>
      <x:c r="R519" s="2" t="n">
        <x:v>13</x:v>
      </x:c>
      <x:c r="S519" s="2" t="str">
        <x:v>Online</x:v>
      </x:c>
      <x:c r="T519" s="2" t="str">
        <x:v>Synced</x:v>
      </x:c>
    </x:row>
    <x:row r="520" ht="21" customHeight="1">
      <x:c r="A520" s="2" t="str">
        <x:v>EV000833</x:v>
      </x:c>
      <x:c r="B520" s="2" t="str">
        <x:v>T20261005-1-3</x:v>
      </x:c>
      <x:c r="C520" s="2" t="str">
        <x:v>ST100</x:v>
      </x:c>
      <x:c r="D520" s="2" t="str">
        <x:v>6ba3ddf298bc4515d195454c1e81d9d6</x:v>
      </x:c>
      <x:c r="E520" s="2" t="str">
        <x:v>CHECK_IN</x:v>
      </x:c>
      <x:c r="F520" s="8" t="n">
        <x:v>46300.24753472222</x:v>
      </x:c>
      <x:c r="G520" s="8" t="n">
        <x:v>46300.24755787037</x:v>
      </x:c>
      <x:c r="H520" s="2" t="str">
        <x:v>R3S2</x:v>
      </x:c>
      <x:c r="I520" s="9" t="n">
        <x:v>25.291000000000004</x:v>
      </x:c>
      <x:c r="J520" s="9" t="n">
        <x:v>51.51</x:v>
      </x:c>
      <x:c r="K520" s="2" t="n">
        <x:v>8</x:v>
      </x:c>
      <x:c r="L520" s="2" t="str">
        <x:v>Valid</x:v>
      </x:c>
      <x:c r="M520" s="2" t="str">
        <x:v>QR</x:v>
      </x:c>
      <x:c r="N520" s="2" t="n">
        <x:v>1</x:v>
      </x:c>
      <x:c r="O520" s="2" t="str">
        <x:v>Accepted</x:v>
      </x:c>
      <x:c r="P520" s="2" t="str">
        <x:v>S003</x:v>
      </x:c>
      <x:c r="Q520" s="2" t="str">
        <x:v>DEV003</x:v>
      </x:c>
      <x:c r="R520" s="2" t="n">
        <x:v>14</x:v>
      </x:c>
      <x:c r="S520" s="2" t="str">
        <x:v>Online</x:v>
      </x:c>
      <x:c r="T520" s="2" t="str">
        <x:v>Synced</x:v>
      </x:c>
    </x:row>
    <x:row r="521" ht="21" customHeight="1">
      <x:c r="A521" s="2" t="str">
        <x:v>EV000501</x:v>
      </x:c>
      <x:c r="B521" s="2" t="str">
        <x:v>T20261005-1-1</x:v>
      </x:c>
      <x:c r="C521" s="2" t="str">
        <x:v>ST012</x:v>
      </x:c>
      <x:c r="D521" s="2" t="str">
        <x:v>8d45a06a93234042b630e18d7821ea23</x:v>
      </x:c>
      <x:c r="E521" s="2" t="str">
        <x:v>CHECK_IN</x:v>
      </x:c>
      <x:c r="F521" s="8" t="n">
        <x:v>46300.252118055556</x:v>
      </x:c>
      <x:c r="G521" s="8" t="n">
        <x:v>46300.2521412037</x:v>
      </x:c>
      <x:c r="H521" s="2" t="str">
        <x:v>R1S3</x:v>
      </x:c>
      <x:c r="I521" s="9" t="n">
        <x:v>25.275000000000002</x:v>
      </x:c>
      <x:c r="J521" s="9" t="n">
        <x:v>51.497</x:v>
      </x:c>
      <x:c r="K521" s="2" t="n">
        <x:v>8</x:v>
      </x:c>
      <x:c r="L521" s="2" t="str">
        <x:v>Valid</x:v>
      </x:c>
      <x:c r="M521" s="2" t="str">
        <x:v>QR</x:v>
      </x:c>
      <x:c r="N521" s="2" t="n">
        <x:v>1</x:v>
      </x:c>
      <x:c r="O521" s="2" t="str">
        <x:v>Accepted</x:v>
      </x:c>
      <x:c r="P521" s="2" t="str">
        <x:v>S001</x:v>
      </x:c>
      <x:c r="Q521" s="2" t="str">
        <x:v>DEV001</x:v>
      </x:c>
      <x:c r="R521" s="2" t="n">
        <x:v>15</x:v>
      </x:c>
      <x:c r="S521" s="2" t="str">
        <x:v>Online</x:v>
      </x:c>
      <x:c r="T521" s="2" t="str">
        <x:v>Synced</x:v>
      </x:c>
    </x:row>
    <x:row r="522" ht="21" customHeight="1">
      <x:c r="A522" s="2" t="str">
        <x:v>EV000659</x:v>
      </x:c>
      <x:c r="B522" s="2" t="str">
        <x:v>T20261005-1-2</x:v>
      </x:c>
      <x:c r="C522" s="2" t="str">
        <x:v>ST052</x:v>
      </x:c>
      <x:c r="D522" s="2" t="str">
        <x:v>0c1c5957fe0604ae228ff5e1e1a785bc</x:v>
      </x:c>
      <x:c r="E522" s="2" t="str">
        <x:v>CHECK_IN</x:v>
      </x:c>
      <x:c r="F522" s="8" t="n">
        <x:v>46300.252118055556</x:v>
      </x:c>
      <x:c r="G522" s="8" t="n">
        <x:v>46300.2521412037</x:v>
      </x:c>
      <x:c r="H522" s="2" t="str">
        <x:v>R2S3</x:v>
      </x:c>
      <x:c r="I522" s="9" t="n">
        <x:v>25.284000000000002</x:v>
      </x:c>
      <x:c r="J522" s="9" t="n">
        <x:v>51.504999999999995</x:v>
      </x:c>
      <x:c r="K522" s="2" t="n">
        <x:v>8</x:v>
      </x:c>
      <x:c r="L522" s="2" t="str">
        <x:v>Valid</x:v>
      </x:c>
      <x:c r="M522" s="2" t="str">
        <x:v>QR</x:v>
      </x:c>
      <x:c r="N522" s="2" t="n">
        <x:v>1</x:v>
      </x:c>
      <x:c r="O522" s="2" t="str">
        <x:v>Accepted</x:v>
      </x:c>
      <x:c r="P522" s="2" t="str">
        <x:v>S002</x:v>
      </x:c>
      <x:c r="Q522" s="2" t="str">
        <x:v>DEV002</x:v>
      </x:c>
      <x:c r="R522" s="2" t="n">
        <x:v>14</x:v>
      </x:c>
      <x:c r="S522" s="2" t="str">
        <x:v>Online</x:v>
      </x:c>
      <x:c r="T522" s="2" t="str">
        <x:v>Synced</x:v>
      </x:c>
    </x:row>
    <x:row r="523" ht="21" customHeight="1">
      <x:c r="A523" s="2" t="str">
        <x:v>EV000817</x:v>
      </x:c>
      <x:c r="B523" s="2" t="str">
        <x:v>T20261005-1-3</x:v>
      </x:c>
      <x:c r="C523" s="2" t="str">
        <x:v>ST092</x:v>
      </x:c>
      <x:c r="D523" s="2" t="str">
        <x:v>e83e93b137787f284ae9574a02ff0cc7</x:v>
      </x:c>
      <x:c r="E523" s="2" t="str">
        <x:v>CHECK_IN</x:v>
      </x:c>
      <x:c r="F523" s="8" t="n">
        <x:v>46300.252118055556</x:v>
      </x:c>
      <x:c r="G523" s="8" t="n">
        <x:v>46300.2521412037</x:v>
      </x:c>
      <x:c r="H523" s="2" t="str">
        <x:v>R3S3</x:v>
      </x:c>
      <x:c r="I523" s="9" t="n">
        <x:v>25.293000000000003</x:v>
      </x:c>
      <x:c r="J523" s="9" t="n">
        <x:v>51.513</x:v>
      </x:c>
      <x:c r="K523" s="2" t="n">
        <x:v>8</x:v>
      </x:c>
      <x:c r="L523" s="2" t="str">
        <x:v>Valid</x:v>
      </x:c>
      <x:c r="M523" s="2" t="str">
        <x:v>QR</x:v>
      </x:c>
      <x:c r="N523" s="2" t="n">
        <x:v>1</x:v>
      </x:c>
      <x:c r="O523" s="2" t="str">
        <x:v>Accepted</x:v>
      </x:c>
      <x:c r="P523" s="2" t="str">
        <x:v>S003</x:v>
      </x:c>
      <x:c r="Q523" s="2" t="str">
        <x:v>DEV003</x:v>
      </x:c>
      <x:c r="R523" s="2" t="n">
        <x:v>15</x:v>
      </x:c>
      <x:c r="S523" s="2" t="str">
        <x:v>Online</x:v>
      </x:c>
      <x:c r="T523" s="2" t="str">
        <x:v>Synced</x:v>
      </x:c>
    </x:row>
    <x:row r="524" ht="21" customHeight="1">
      <x:c r="A524" s="2" t="str">
        <x:v>EV000483</x:v>
      </x:c>
      <x:c r="B524" s="2" t="str">
        <x:v>T20261005-1-1</x:v>
      </x:c>
      <x:c r="C524" s="2" t="str">
        <x:v>ST003</x:v>
      </x:c>
      <x:c r="D524" s="2" t="str">
        <x:v>7598e98213cb52db1085c9a94fae1915</x:v>
      </x:c>
      <x:c r="E524" s="2" t="str">
        <x:v>CHECK_IN</x:v>
      </x:c>
      <x:c r="F524" s="8" t="n">
        <x:v>46300.25215277778</x:v>
      </x:c>
      <x:c r="G524" s="8" t="n">
        <x:v>46300.252175925925</x:v>
      </x:c>
      <x:c r="H524" s="2" t="str">
        <x:v>R1S3</x:v>
      </x:c>
      <x:c r="I524" s="9" t="n">
        <x:v>25.275000000000002</x:v>
      </x:c>
      <x:c r="J524" s="9" t="n">
        <x:v>51.497</x:v>
      </x:c>
      <x:c r="K524" s="2" t="n">
        <x:v>8</x:v>
      </x:c>
      <x:c r="L524" s="2" t="str">
        <x:v>Valid</x:v>
      </x:c>
      <x:c r="M524" s="2" t="str">
        <x:v>QR</x:v>
      </x:c>
      <x:c r="N524" s="2" t="n">
        <x:v>1</x:v>
      </x:c>
      <x:c r="O524" s="2" t="str">
        <x:v>Accepted</x:v>
      </x:c>
      <x:c r="P524" s="2" t="str">
        <x:v>S001</x:v>
      </x:c>
      <x:c r="Q524" s="2" t="str">
        <x:v>DEV001</x:v>
      </x:c>
      <x:c r="R524" s="2" t="n">
        <x:v>16</x:v>
      </x:c>
      <x:c r="S524" s="2" t="str">
        <x:v>Online</x:v>
      </x:c>
      <x:c r="T524" s="2" t="str">
        <x:v>Synced</x:v>
      </x:c>
    </x:row>
    <x:row r="525" ht="21" customHeight="1">
      <x:c r="A525" s="2" t="str">
        <x:v>EV000641</x:v>
      </x:c>
      <x:c r="B525" s="2" t="str">
        <x:v>T20261005-1-2</x:v>
      </x:c>
      <x:c r="C525" s="2" t="str">
        <x:v>ST043</x:v>
      </x:c>
      <x:c r="D525" s="2" t="str">
        <x:v>db51093fe9dac44d59345ee12f7e9c56</x:v>
      </x:c>
      <x:c r="E525" s="2" t="str">
        <x:v>CHECK_IN</x:v>
      </x:c>
      <x:c r="F525" s="8" t="n">
        <x:v>46300.25215277778</x:v>
      </x:c>
      <x:c r="G525" s="8" t="n">
        <x:v>46300.252175925925</x:v>
      </x:c>
      <x:c r="H525" s="2" t="str">
        <x:v>R2S3</x:v>
      </x:c>
      <x:c r="I525" s="9" t="n">
        <x:v>25.284000000000002</x:v>
      </x:c>
      <x:c r="J525" s="9" t="n">
        <x:v>51.504999999999995</x:v>
      </x:c>
      <x:c r="K525" s="2" t="n">
        <x:v>8</x:v>
      </x:c>
      <x:c r="L525" s="2" t="str">
        <x:v>Valid</x:v>
      </x:c>
      <x:c r="M525" s="2" t="str">
        <x:v>QR</x:v>
      </x:c>
      <x:c r="N525" s="2" t="n">
        <x:v>1</x:v>
      </x:c>
      <x:c r="O525" s="2" t="str">
        <x:v>Accepted</x:v>
      </x:c>
      <x:c r="P525" s="2" t="str">
        <x:v>S002</x:v>
      </x:c>
      <x:c r="Q525" s="2" t="str">
        <x:v>DEV002</x:v>
      </x:c>
      <x:c r="R525" s="2" t="n">
        <x:v>15</x:v>
      </x:c>
      <x:c r="S525" s="2" t="str">
        <x:v>Online</x:v>
      </x:c>
      <x:c r="T525" s="2" t="str">
        <x:v>Synced</x:v>
      </x:c>
    </x:row>
    <x:row r="526" ht="21" customHeight="1">
      <x:c r="A526" s="2" t="str">
        <x:v>EV000799</x:v>
      </x:c>
      <x:c r="B526" s="2" t="str">
        <x:v>T20261005-1-3</x:v>
      </x:c>
      <x:c r="C526" s="2" t="str">
        <x:v>ST083</x:v>
      </x:c>
      <x:c r="D526" s="2" t="str">
        <x:v>19cc474730ce4d97be031814010d13a9</x:v>
      </x:c>
      <x:c r="E526" s="2" t="str">
        <x:v>CHECK_IN</x:v>
      </x:c>
      <x:c r="F526" s="8" t="n">
        <x:v>46300.25215277778</x:v>
      </x:c>
      <x:c r="G526" s="8" t="n">
        <x:v>46300.252175925925</x:v>
      </x:c>
      <x:c r="H526" s="2" t="str">
        <x:v>R3S3</x:v>
      </x:c>
      <x:c r="I526" s="9" t="n">
        <x:v>25.293000000000003</x:v>
      </x:c>
      <x:c r="J526" s="9" t="n">
        <x:v>51.513</x:v>
      </x:c>
      <x:c r="K526" s="2" t="n">
        <x:v>8</x:v>
      </x:c>
      <x:c r="L526" s="2" t="str">
        <x:v>Valid</x:v>
      </x:c>
      <x:c r="M526" s="2" t="str">
        <x:v>QR</x:v>
      </x:c>
      <x:c r="N526" s="2" t="n">
        <x:v>1</x:v>
      </x:c>
      <x:c r="O526" s="2" t="str">
        <x:v>Accepted</x:v>
      </x:c>
      <x:c r="P526" s="2" t="str">
        <x:v>S003</x:v>
      </x:c>
      <x:c r="Q526" s="2" t="str">
        <x:v>DEV003</x:v>
      </x:c>
      <x:c r="R526" s="2" t="n">
        <x:v>16</x:v>
      </x:c>
      <x:c r="S526" s="2" t="str">
        <x:v>Online</x:v>
      </x:c>
      <x:c r="T526" s="2" t="str">
        <x:v>Synced</x:v>
      </x:c>
    </x:row>
    <x:row r="527" ht="21" customHeight="1">
      <x:c r="A527" s="2" t="str">
        <x:v>EV000507</x:v>
      </x:c>
      <x:c r="B527" s="2" t="str">
        <x:v>T20261005-1-1</x:v>
      </x:c>
      <x:c r="C527" s="2" t="str">
        <x:v>ST015</x:v>
      </x:c>
      <x:c r="D527" s="2" t="str">
        <x:v>997c76227e9b12bdccc68d0d53a8d1df</x:v>
      </x:c>
      <x:c r="E527" s="2" t="str">
        <x:v>CHECK_IN</x:v>
      </x:c>
      <x:c r="F527" s="8" t="n">
        <x:v>46300.252222222225</x:v>
      </x:c>
      <x:c r="G527" s="8" t="n">
        <x:v>46300.25224537037</x:v>
      </x:c>
      <x:c r="H527" s="2" t="str">
        <x:v>R1S3</x:v>
      </x:c>
      <x:c r="I527" s="9" t="n">
        <x:v>25.275000000000002</x:v>
      </x:c>
      <x:c r="J527" s="9" t="n">
        <x:v>51.497</x:v>
      </x:c>
      <x:c r="K527" s="2" t="n">
        <x:v>8</x:v>
      </x:c>
      <x:c r="L527" s="2" t="str">
        <x:v>Valid</x:v>
      </x:c>
      <x:c r="M527" s="2" t="str">
        <x:v>QR</x:v>
      </x:c>
      <x:c r="N527" s="2" t="n">
        <x:v>1</x:v>
      </x:c>
      <x:c r="O527" s="2" t="str">
        <x:v>Accepted</x:v>
      </x:c>
      <x:c r="P527" s="2" t="str">
        <x:v>S001</x:v>
      </x:c>
      <x:c r="Q527" s="2" t="str">
        <x:v>DEV001</x:v>
      </x:c>
      <x:c r="R527" s="2" t="n">
        <x:v>17</x:v>
      </x:c>
      <x:c r="S527" s="2" t="str">
        <x:v>Online</x:v>
      </x:c>
      <x:c r="T527" s="2" t="str">
        <x:v>Synced</x:v>
      </x:c>
    </x:row>
    <x:row r="528" ht="21" customHeight="1">
      <x:c r="A528" s="2" t="str">
        <x:v>EV000665</x:v>
      </x:c>
      <x:c r="B528" s="2" t="str">
        <x:v>T20261005-1-2</x:v>
      </x:c>
      <x:c r="C528" s="2" t="str">
        <x:v>ST055</x:v>
      </x:c>
      <x:c r="D528" s="2" t="str">
        <x:v>e796258b9306e2b3efab77a21add36a5</x:v>
      </x:c>
      <x:c r="E528" s="2" t="str">
        <x:v>CHECK_IN</x:v>
      </x:c>
      <x:c r="F528" s="8" t="n">
        <x:v>46300.252222222225</x:v>
      </x:c>
      <x:c r="G528" s="8" t="n">
        <x:v>46300.25224537037</x:v>
      </x:c>
      <x:c r="H528" s="2" t="str">
        <x:v>R2S3</x:v>
      </x:c>
      <x:c r="I528" s="9" t="n">
        <x:v>25.284000000000002</x:v>
      </x:c>
      <x:c r="J528" s="9" t="n">
        <x:v>51.504999999999995</x:v>
      </x:c>
      <x:c r="K528" s="2" t="n">
        <x:v>8</x:v>
      </x:c>
      <x:c r="L528" s="2" t="str">
        <x:v>Valid</x:v>
      </x:c>
      <x:c r="M528" s="2" t="str">
        <x:v>QR</x:v>
      </x:c>
      <x:c r="N528" s="2" t="n">
        <x:v>1</x:v>
      </x:c>
      <x:c r="O528" s="2" t="str">
        <x:v>Accepted</x:v>
      </x:c>
      <x:c r="P528" s="2" t="str">
        <x:v>S002</x:v>
      </x:c>
      <x:c r="Q528" s="2" t="str">
        <x:v>DEV002</x:v>
      </x:c>
      <x:c r="R528" s="2" t="n">
        <x:v>16</x:v>
      </x:c>
      <x:c r="S528" s="2" t="str">
        <x:v>Online</x:v>
      </x:c>
      <x:c r="T528" s="2" t="str">
        <x:v>Synced</x:v>
      </x:c>
    </x:row>
    <x:row r="529" ht="21" customHeight="1">
      <x:c r="A529" s="2" t="str">
        <x:v>EV000823</x:v>
      </x:c>
      <x:c r="B529" s="2" t="str">
        <x:v>T20261005-1-3</x:v>
      </x:c>
      <x:c r="C529" s="2" t="str">
        <x:v>ST095</x:v>
      </x:c>
      <x:c r="D529" s="2" t="str">
        <x:v>0935ee2c52872353d5a355eed1202dbe</x:v>
      </x:c>
      <x:c r="E529" s="2" t="str">
        <x:v>CHECK_IN</x:v>
      </x:c>
      <x:c r="F529" s="8" t="n">
        <x:v>46300.252222222225</x:v>
      </x:c>
      <x:c r="G529" s="8" t="n">
        <x:v>46300.25224537037</x:v>
      </x:c>
      <x:c r="H529" s="2" t="str">
        <x:v>R3S3</x:v>
      </x:c>
      <x:c r="I529" s="9" t="n">
        <x:v>25.293000000000003</x:v>
      </x:c>
      <x:c r="J529" s="9" t="n">
        <x:v>51.513</x:v>
      </x:c>
      <x:c r="K529" s="2" t="n">
        <x:v>8</x:v>
      </x:c>
      <x:c r="L529" s="2" t="str">
        <x:v>Valid</x:v>
      </x:c>
      <x:c r="M529" s="2" t="str">
        <x:v>QR</x:v>
      </x:c>
      <x:c r="N529" s="2" t="n">
        <x:v>1</x:v>
      </x:c>
      <x:c r="O529" s="2" t="str">
        <x:v>Accepted</x:v>
      </x:c>
      <x:c r="P529" s="2" t="str">
        <x:v>S003</x:v>
      </x:c>
      <x:c r="Q529" s="2" t="str">
        <x:v>DEV003</x:v>
      </x:c>
      <x:c r="R529" s="2" t="n">
        <x:v>17</x:v>
      </x:c>
      <x:c r="S529" s="2" t="str">
        <x:v>Online</x:v>
      </x:c>
      <x:c r="T529" s="2" t="str">
        <x:v>Synced</x:v>
      </x:c>
    </x:row>
    <x:row r="530" ht="21" customHeight="1">
      <x:c r="A530" s="2" t="str">
        <x:v>EV000489</x:v>
      </x:c>
      <x:c r="B530" s="2" t="str">
        <x:v>T20261005-1-1</x:v>
      </x:c>
      <x:c r="C530" s="2" t="str">
        <x:v>ST006</x:v>
      </x:c>
      <x:c r="D530" s="2" t="str">
        <x:v>8edd7f2c984bf2eb5adf75591d6f1e9c</x:v>
      </x:c>
      <x:c r="E530" s="2" t="str">
        <x:v>CHECK_IN</x:v>
      </x:c>
      <x:c r="F530" s="8" t="n">
        <x:v>46300.25225694444</x:v>
      </x:c>
      <x:c r="G530" s="8" t="n">
        <x:v>46300.25228009259</x:v>
      </x:c>
      <x:c r="H530" s="2" t="str">
        <x:v>R1S3</x:v>
      </x:c>
      <x:c r="I530" s="9" t="n">
        <x:v>25.275000000000002</x:v>
      </x:c>
      <x:c r="J530" s="9" t="n">
        <x:v>51.497</x:v>
      </x:c>
      <x:c r="K530" s="2" t="n">
        <x:v>8</x:v>
      </x:c>
      <x:c r="L530" s="2" t="str">
        <x:v>Valid</x:v>
      </x:c>
      <x:c r="M530" s="2" t="str">
        <x:v>QR</x:v>
      </x:c>
      <x:c r="N530" s="2" t="n">
        <x:v>1</x:v>
      </x:c>
      <x:c r="O530" s="2" t="str">
        <x:v>Accepted</x:v>
      </x:c>
      <x:c r="P530" s="2" t="str">
        <x:v>S001</x:v>
      </x:c>
      <x:c r="Q530" s="2" t="str">
        <x:v>DEV001</x:v>
      </x:c>
      <x:c r="R530" s="2" t="n">
        <x:v>18</x:v>
      </x:c>
      <x:c r="S530" s="2" t="str">
        <x:v>Online</x:v>
      </x:c>
      <x:c r="T530" s="2" t="str">
        <x:v>Synced</x:v>
      </x:c>
    </x:row>
    <x:row r="531" ht="21" customHeight="1">
      <x:c r="A531" s="2" t="str">
        <x:v>EV000647</x:v>
      </x:c>
      <x:c r="B531" s="2" t="str">
        <x:v>T20261005-1-2</x:v>
      </x:c>
      <x:c r="C531" s="2" t="str">
        <x:v>ST046</x:v>
      </x:c>
      <x:c r="D531" s="2" t="str">
        <x:v>82365992d443d056f10fa7522ac29057</x:v>
      </x:c>
      <x:c r="E531" s="2" t="str">
        <x:v>CHECK_IN</x:v>
      </x:c>
      <x:c r="F531" s="8" t="n">
        <x:v>46300.25225694444</x:v>
      </x:c>
      <x:c r="G531" s="8" t="n">
        <x:v>46300.25228009259</x:v>
      </x:c>
      <x:c r="H531" s="2" t="str">
        <x:v>R2S3</x:v>
      </x:c>
      <x:c r="I531" s="9" t="n">
        <x:v>25.284000000000002</x:v>
      </x:c>
      <x:c r="J531" s="9" t="n">
        <x:v>51.504999999999995</x:v>
      </x:c>
      <x:c r="K531" s="2" t="n">
        <x:v>8</x:v>
      </x:c>
      <x:c r="L531" s="2" t="str">
        <x:v>Valid</x:v>
      </x:c>
      <x:c r="M531" s="2" t="str">
        <x:v>QR</x:v>
      </x:c>
      <x:c r="N531" s="2" t="n">
        <x:v>1</x:v>
      </x:c>
      <x:c r="O531" s="2" t="str">
        <x:v>Accepted</x:v>
      </x:c>
      <x:c r="P531" s="2" t="str">
        <x:v>S002</x:v>
      </x:c>
      <x:c r="Q531" s="2" t="str">
        <x:v>DEV002</x:v>
      </x:c>
      <x:c r="R531" s="2" t="n">
        <x:v>17</x:v>
      </x:c>
      <x:c r="S531" s="2" t="str">
        <x:v>Online</x:v>
      </x:c>
      <x:c r="T531" s="2" t="str">
        <x:v>Synced</x:v>
      </x:c>
    </x:row>
    <x:row r="532" ht="21" customHeight="1">
      <x:c r="A532" s="2" t="str">
        <x:v>EV000805</x:v>
      </x:c>
      <x:c r="B532" s="2" t="str">
        <x:v>T20261005-1-3</x:v>
      </x:c>
      <x:c r="C532" s="2" t="str">
        <x:v>ST086</x:v>
      </x:c>
      <x:c r="D532" s="2" t="str">
        <x:v>33c5dfd0f17fcbe34d50fd9b0a0c0e5b</x:v>
      </x:c>
      <x:c r="E532" s="2" t="str">
        <x:v>CHECK_IN</x:v>
      </x:c>
      <x:c r="F532" s="8" t="n">
        <x:v>46300.25225694444</x:v>
      </x:c>
      <x:c r="G532" s="8" t="n">
        <x:v>46300.25228009259</x:v>
      </x:c>
      <x:c r="H532" s="2" t="str">
        <x:v>R3S3</x:v>
      </x:c>
      <x:c r="I532" s="9" t="n">
        <x:v>25.293000000000003</x:v>
      </x:c>
      <x:c r="J532" s="9" t="n">
        <x:v>51.513</x:v>
      </x:c>
      <x:c r="K532" s="2" t="n">
        <x:v>8</x:v>
      </x:c>
      <x:c r="L532" s="2" t="str">
        <x:v>Valid</x:v>
      </x:c>
      <x:c r="M532" s="2" t="str">
        <x:v>QR</x:v>
      </x:c>
      <x:c r="N532" s="2" t="n">
        <x:v>1</x:v>
      </x:c>
      <x:c r="O532" s="2" t="str">
        <x:v>Accepted</x:v>
      </x:c>
      <x:c r="P532" s="2" t="str">
        <x:v>S003</x:v>
      </x:c>
      <x:c r="Q532" s="2" t="str">
        <x:v>DEV003</x:v>
      </x:c>
      <x:c r="R532" s="2" t="n">
        <x:v>18</x:v>
      </x:c>
      <x:c r="S532" s="2" t="str">
        <x:v>Online</x:v>
      </x:c>
      <x:c r="T532" s="2" t="str">
        <x:v>Synced</x:v>
      </x:c>
    </x:row>
    <x:row r="533" ht="21" customHeight="1">
      <x:c r="A533" s="2" t="str">
        <x:v>EV000513</x:v>
      </x:c>
      <x:c r="B533" s="2" t="str">
        <x:v>T20261005-1-1</x:v>
      </x:c>
      <x:c r="C533" s="2" t="str">
        <x:v>ST018</x:v>
      </x:c>
      <x:c r="D533" s="2" t="str">
        <x:v>4c1b40081ed5c7c21b8392ee528dbe54</x:v>
      </x:c>
      <x:c r="E533" s="2" t="str">
        <x:v>CHECK_IN</x:v>
      </x:c>
      <x:c r="F533" s="8" t="n">
        <x:v>46300.25232638889</x:v>
      </x:c>
      <x:c r="G533" s="8" t="n">
        <x:v>46300.25234953703</x:v>
      </x:c>
      <x:c r="H533" s="2" t="str">
        <x:v>R1S3</x:v>
      </x:c>
      <x:c r="I533" s="9" t="n">
        <x:v>25.275000000000002</x:v>
      </x:c>
      <x:c r="J533" s="9" t="n">
        <x:v>51.497</x:v>
      </x:c>
      <x:c r="K533" s="2" t="n">
        <x:v>8</x:v>
      </x:c>
      <x:c r="L533" s="2" t="str">
        <x:v>Valid</x:v>
      </x:c>
      <x:c r="M533" s="2" t="str">
        <x:v>QR</x:v>
      </x:c>
      <x:c r="N533" s="2" t="n">
        <x:v>1</x:v>
      </x:c>
      <x:c r="O533" s="2" t="str">
        <x:v>Accepted</x:v>
      </x:c>
      <x:c r="P533" s="2" t="str">
        <x:v>S001</x:v>
      </x:c>
      <x:c r="Q533" s="2" t="str">
        <x:v>DEV001</x:v>
      </x:c>
      <x:c r="R533" s="2" t="n">
        <x:v>19</x:v>
      </x:c>
      <x:c r="S533" s="2" t="str">
        <x:v>Online</x:v>
      </x:c>
      <x:c r="T533" s="2" t="str">
        <x:v>Synced</x:v>
      </x:c>
    </x:row>
    <x:row r="534" ht="21" customHeight="1">
      <x:c r="A534" s="2" t="str">
        <x:v>EV000671</x:v>
      </x:c>
      <x:c r="B534" s="2" t="str">
        <x:v>T20261005-1-2</x:v>
      </x:c>
      <x:c r="C534" s="2" t="str">
        <x:v>ST058</x:v>
      </x:c>
      <x:c r="D534" s="2" t="str">
        <x:v>ebf7e65b57e2c8bcd02f90b1d5692596</x:v>
      </x:c>
      <x:c r="E534" s="2" t="str">
        <x:v>CHECK_IN</x:v>
      </x:c>
      <x:c r="F534" s="8" t="n">
        <x:v>46300.25232638889</x:v>
      </x:c>
      <x:c r="G534" s="8" t="n">
        <x:v>46300.25234953703</x:v>
      </x:c>
      <x:c r="H534" s="2" t="str">
        <x:v>R2S3</x:v>
      </x:c>
      <x:c r="I534" s="9" t="n">
        <x:v>25.284000000000002</x:v>
      </x:c>
      <x:c r="J534" s="9" t="n">
        <x:v>51.504999999999995</x:v>
      </x:c>
      <x:c r="K534" s="2" t="n">
        <x:v>8</x:v>
      </x:c>
      <x:c r="L534" s="2" t="str">
        <x:v>Valid</x:v>
      </x:c>
      <x:c r="M534" s="2" t="str">
        <x:v>QR</x:v>
      </x:c>
      <x:c r="N534" s="2" t="n">
        <x:v>1</x:v>
      </x:c>
      <x:c r="O534" s="2" t="str">
        <x:v>Accepted</x:v>
      </x:c>
      <x:c r="P534" s="2" t="str">
        <x:v>S002</x:v>
      </x:c>
      <x:c r="Q534" s="2" t="str">
        <x:v>DEV002</x:v>
      </x:c>
      <x:c r="R534" s="2" t="n">
        <x:v>18</x:v>
      </x:c>
      <x:c r="S534" s="2" t="str">
        <x:v>Online</x:v>
      </x:c>
      <x:c r="T534" s="2" t="str">
        <x:v>Synced</x:v>
      </x:c>
    </x:row>
    <x:row r="535" ht="21" customHeight="1">
      <x:c r="A535" s="2" t="str">
        <x:v>EV000829</x:v>
      </x:c>
      <x:c r="B535" s="2" t="str">
        <x:v>T20261005-1-3</x:v>
      </x:c>
      <x:c r="C535" s="2" t="str">
        <x:v>ST098</x:v>
      </x:c>
      <x:c r="D535" s="2" t="str">
        <x:v>4b453acdeca94f98f11a429464f7bff7</x:v>
      </x:c>
      <x:c r="E535" s="2" t="str">
        <x:v>CHECK_IN</x:v>
      </x:c>
      <x:c r="F535" s="8" t="n">
        <x:v>46300.25232638889</x:v>
      </x:c>
      <x:c r="G535" s="8" t="n">
        <x:v>46300.25234953703</x:v>
      </x:c>
      <x:c r="H535" s="2" t="str">
        <x:v>R3S3</x:v>
      </x:c>
      <x:c r="I535" s="9" t="n">
        <x:v>25.293000000000003</x:v>
      </x:c>
      <x:c r="J535" s="9" t="n">
        <x:v>51.513</x:v>
      </x:c>
      <x:c r="K535" s="2" t="n">
        <x:v>8</x:v>
      </x:c>
      <x:c r="L535" s="2" t="str">
        <x:v>Valid</x:v>
      </x:c>
      <x:c r="M535" s="2" t="str">
        <x:v>QR</x:v>
      </x:c>
      <x:c r="N535" s="2" t="n">
        <x:v>1</x:v>
      </x:c>
      <x:c r="O535" s="2" t="str">
        <x:v>Accepted</x:v>
      </x:c>
      <x:c r="P535" s="2" t="str">
        <x:v>S003</x:v>
      </x:c>
      <x:c r="Q535" s="2" t="str">
        <x:v>DEV003</x:v>
      </x:c>
      <x:c r="R535" s="2" t="n">
        <x:v>19</x:v>
      </x:c>
      <x:c r="S535" s="2" t="str">
        <x:v>Online</x:v>
      </x:c>
      <x:c r="T535" s="2" t="str">
        <x:v>Synced</x:v>
      </x:c>
    </x:row>
    <x:row r="536" ht="21" customHeight="1">
      <x:c r="A536" s="2" t="str">
        <x:v>EV000495</x:v>
      </x:c>
      <x:c r="B536" s="2" t="str">
        <x:v>T20261005-1-1</x:v>
      </x:c>
      <x:c r="C536" s="2" t="str">
        <x:v>ST009</x:v>
      </x:c>
      <x:c r="D536" s="2" t="str">
        <x:v>fdc849f07f4ba12ab82f6bed87d7275d</x:v>
      </x:c>
      <x:c r="E536" s="2" t="str">
        <x:v>CHECK_IN</x:v>
      </x:c>
      <x:c r="F536" s="8" t="n">
        <x:v>46300.25236111111</x:v>
      </x:c>
      <x:c r="G536" s="8" t="n">
        <x:v>46300.252384259256</x:v>
      </x:c>
      <x:c r="H536" s="2" t="str">
        <x:v>R1S3</x:v>
      </x:c>
      <x:c r="I536" s="9" t="n">
        <x:v>25.275000000000002</x:v>
      </x:c>
      <x:c r="J536" s="9" t="n">
        <x:v>51.497</x:v>
      </x:c>
      <x:c r="K536" s="2" t="n">
        <x:v>8</x:v>
      </x:c>
      <x:c r="L536" s="2" t="str">
        <x:v>Valid</x:v>
      </x:c>
      <x:c r="M536" s="2" t="str">
        <x:v>QR</x:v>
      </x:c>
      <x:c r="N536" s="2" t="n">
        <x:v>1</x:v>
      </x:c>
      <x:c r="O536" s="2" t="str">
        <x:v>Accepted</x:v>
      </x:c>
      <x:c r="P536" s="2" t="str">
        <x:v>S001</x:v>
      </x:c>
      <x:c r="Q536" s="2" t="str">
        <x:v>DEV001</x:v>
      </x:c>
      <x:c r="R536" s="2" t="n">
        <x:v>20</x:v>
      </x:c>
      <x:c r="S536" s="2" t="str">
        <x:v>Online</x:v>
      </x:c>
      <x:c r="T536" s="2" t="str">
        <x:v>Synced</x:v>
      </x:c>
    </x:row>
    <x:row r="537" ht="21" customHeight="1">
      <x:c r="A537" s="2" t="str">
        <x:v>EV000653</x:v>
      </x:c>
      <x:c r="B537" s="2" t="str">
        <x:v>T20261005-1-2</x:v>
      </x:c>
      <x:c r="C537" s="2" t="str">
        <x:v>ST049</x:v>
      </x:c>
      <x:c r="D537" s="2" t="str">
        <x:v>aac0da9ca028b4b4fe1fc2c1eb298502</x:v>
      </x:c>
      <x:c r="E537" s="2" t="str">
        <x:v>CHECK_IN</x:v>
      </x:c>
      <x:c r="F537" s="8" t="n">
        <x:v>46300.25236111111</x:v>
      </x:c>
      <x:c r="G537" s="8" t="n">
        <x:v>46300.252384259256</x:v>
      </x:c>
      <x:c r="H537" s="2" t="str">
        <x:v>R2S3</x:v>
      </x:c>
      <x:c r="I537" s="9" t="n">
        <x:v>25.284000000000002</x:v>
      </x:c>
      <x:c r="J537" s="9" t="n">
        <x:v>51.504999999999995</x:v>
      </x:c>
      <x:c r="K537" s="2" t="n">
        <x:v>8</x:v>
      </x:c>
      <x:c r="L537" s="2" t="str">
        <x:v>Valid</x:v>
      </x:c>
      <x:c r="M537" s="2" t="str">
        <x:v>QR</x:v>
      </x:c>
      <x:c r="N537" s="2" t="n">
        <x:v>1</x:v>
      </x:c>
      <x:c r="O537" s="2" t="str">
        <x:v>Accepted</x:v>
      </x:c>
      <x:c r="P537" s="2" t="str">
        <x:v>S002</x:v>
      </x:c>
      <x:c r="Q537" s="2" t="str">
        <x:v>DEV002</x:v>
      </x:c>
      <x:c r="R537" s="2" t="n">
        <x:v>19</x:v>
      </x:c>
      <x:c r="S537" s="2" t="str">
        <x:v>Online</x:v>
      </x:c>
      <x:c r="T537" s="2" t="str">
        <x:v>Synced</x:v>
      </x:c>
    </x:row>
    <x:row r="538" ht="21" customHeight="1">
      <x:c r="A538" s="2" t="str">
        <x:v>EV000811</x:v>
      </x:c>
      <x:c r="B538" s="2" t="str">
        <x:v>T20261005-1-3</x:v>
      </x:c>
      <x:c r="C538" s="2" t="str">
        <x:v>ST089</x:v>
      </x:c>
      <x:c r="D538" s="2" t="str">
        <x:v>0bd697ec3f7c09918d8dd004b5340b03</x:v>
      </x:c>
      <x:c r="E538" s="2" t="str">
        <x:v>CHECK_IN</x:v>
      </x:c>
      <x:c r="F538" s="8" t="n">
        <x:v>46300.25236111111</x:v>
      </x:c>
      <x:c r="G538" s="8" t="n">
        <x:v>46300.252384259256</x:v>
      </x:c>
      <x:c r="H538" s="2" t="str">
        <x:v>R3S3</x:v>
      </x:c>
      <x:c r="I538" s="9" t="n">
        <x:v>25.293000000000003</x:v>
      </x:c>
      <x:c r="J538" s="9" t="n">
        <x:v>51.513</x:v>
      </x:c>
      <x:c r="K538" s="2" t="n">
        <x:v>8</x:v>
      </x:c>
      <x:c r="L538" s="2" t="str">
        <x:v>Valid</x:v>
      </x:c>
      <x:c r="M538" s="2" t="str">
        <x:v>QR</x:v>
      </x:c>
      <x:c r="N538" s="2" t="n">
        <x:v>1</x:v>
      </x:c>
      <x:c r="O538" s="2" t="str">
        <x:v>Accepted</x:v>
      </x:c>
      <x:c r="P538" s="2" t="str">
        <x:v>S003</x:v>
      </x:c>
      <x:c r="Q538" s="2" t="str">
        <x:v>DEV003</x:v>
      </x:c>
      <x:c r="R538" s="2" t="n">
        <x:v>20</x:v>
      </x:c>
      <x:c r="S538" s="2" t="str">
        <x:v>Online</x:v>
      </x:c>
      <x:c r="T538" s="2" t="str">
        <x:v>Synced</x:v>
      </x:c>
    </x:row>
    <x:row r="539" ht="21" customHeight="1">
      <x:c r="A539" s="2" t="str">
        <x:v>EV000480</x:v>
      </x:c>
      <x:c r="B539" s="2" t="str">
        <x:v>T20261005-1-1</x:v>
      </x:c>
      <x:c r="C539" s="2" t="str">
        <x:v>ST001</x:v>
      </x:c>
      <x:c r="D539" s="2" t="str">
        <x:v>c33d277e346360e93548e66cbf71eda4</x:v>
      </x:c>
      <x:c r="E539" s="2" t="str">
        <x:v>CHECK_OUT</x:v>
      </x:c>
      <x:c r="F539" s="8" t="n">
        <x:v>46300.27638888889</x:v>
      </x:c>
      <x:c r="G539" s="8" t="n">
        <x:v>46300.276412037034</x:v>
      </x:c>
      <x:c r="H539" s="2" t="str">
        <x:v>SCH01</x:v>
      </x:c>
      <x:c r="I539" s="9" t="n">
        <x:v>25.285</x:v>
      </x:c>
      <x:c r="J539" s="9" t="n">
        <x:v>51.51</x:v>
      </x:c>
      <x:c r="K539" s="2" t="n">
        <x:v>8</x:v>
      </x:c>
      <x:c r="L539" s="2" t="str">
        <x:v>Valid</x:v>
      </x:c>
      <x:c r="M539" s="2" t="str">
        <x:v>QR</x:v>
      </x:c>
      <x:c r="N539" s="2" t="n">
        <x:v>1</x:v>
      </x:c>
      <x:c r="O539" s="2" t="str">
        <x:v>Accepted</x:v>
      </x:c>
      <x:c r="P539" s="2" t="str">
        <x:v>S001</x:v>
      </x:c>
      <x:c r="Q539" s="2" t="str">
        <x:v>DEV001</x:v>
      </x:c>
      <x:c r="R539" s="2" t="n">
        <x:v>21</x:v>
      </x:c>
      <x:c r="S539" s="2" t="str">
        <x:v>Online</x:v>
      </x:c>
      <x:c r="T539" s="2" t="str">
        <x:v>Synced</x:v>
      </x:c>
    </x:row>
    <x:row r="540" ht="21" customHeight="1">
      <x:c r="A540" s="2" t="str">
        <x:v>EV000640</x:v>
      </x:c>
      <x:c r="B540" s="2" t="str">
        <x:v>T20261005-1-2</x:v>
      </x:c>
      <x:c r="C540" s="2" t="str">
        <x:v>ST041</x:v>
      </x:c>
      <x:c r="D540" s="2" t="str">
        <x:v>78597cf805a87b7619460b6ed67f501f</x:v>
      </x:c>
      <x:c r="E540" s="2" t="str">
        <x:v>CHECK_OUT</x:v>
      </x:c>
      <x:c r="F540" s="8" t="n">
        <x:v>46300.27638888889</x:v>
      </x:c>
      <x:c r="G540" s="8" t="n">
        <x:v>46300.276412037034</x:v>
      </x:c>
      <x:c r="H540" s="2" t="str">
        <x:v>SCH01</x:v>
      </x:c>
      <x:c r="I540" s="9" t="n">
        <x:v>25.285</x:v>
      </x:c>
      <x:c r="J540" s="9" t="n">
        <x:v>51.51</x:v>
      </x:c>
      <x:c r="K540" s="2" t="n">
        <x:v>8</x:v>
      </x:c>
      <x:c r="L540" s="2" t="str">
        <x:v>Valid</x:v>
      </x:c>
      <x:c r="M540" s="2" t="str">
        <x:v>QR</x:v>
      </x:c>
      <x:c r="N540" s="2" t="n">
        <x:v>1</x:v>
      </x:c>
      <x:c r="O540" s="2" t="str">
        <x:v>Accepted</x:v>
      </x:c>
      <x:c r="P540" s="2" t="str">
        <x:v>S002</x:v>
      </x:c>
      <x:c r="Q540" s="2" t="str">
        <x:v>DEV002</x:v>
      </x:c>
      <x:c r="R540" s="2" t="n">
        <x:v>20</x:v>
      </x:c>
      <x:c r="S540" s="2" t="str">
        <x:v>Online</x:v>
      </x:c>
      <x:c r="T540" s="2" t="str">
        <x:v>Synced</x:v>
      </x:c>
    </x:row>
    <x:row r="541" ht="21" customHeight="1">
      <x:c r="A541" s="2" t="str">
        <x:v>EV000796</x:v>
      </x:c>
      <x:c r="B541" s="2" t="str">
        <x:v>T20261005-1-3</x:v>
      </x:c>
      <x:c r="C541" s="2" t="str">
        <x:v>ST081</x:v>
      </x:c>
      <x:c r="D541" s="2" t="str">
        <x:v>8631b63b10b36bffa6456d354db9c08f</x:v>
      </x:c>
      <x:c r="E541" s="2" t="str">
        <x:v>CHECK_OUT</x:v>
      </x:c>
      <x:c r="F541" s="8" t="n">
        <x:v>46300.27638888889</x:v>
      </x:c>
      <x:c r="G541" s="8" t="n">
        <x:v>46300.276412037034</x:v>
      </x:c>
      <x:c r="H541" s="2" t="str">
        <x:v>SCH01</x:v>
      </x:c>
      <x:c r="I541" s="9" t="n">
        <x:v>25.285</x:v>
      </x:c>
      <x:c r="J541" s="9" t="n">
        <x:v>51.51</x:v>
      </x:c>
      <x:c r="K541" s="2" t="n">
        <x:v>8</x:v>
      </x:c>
      <x:c r="L541" s="2" t="str">
        <x:v>Valid</x:v>
      </x:c>
      <x:c r="M541" s="2" t="str">
        <x:v>QR</x:v>
      </x:c>
      <x:c r="N541" s="2" t="n">
        <x:v>1</x:v>
      </x:c>
      <x:c r="O541" s="2" t="str">
        <x:v>Accepted</x:v>
      </x:c>
      <x:c r="P541" s="2" t="str">
        <x:v>S003</x:v>
      </x:c>
      <x:c r="Q541" s="2" t="str">
        <x:v>DEV003</x:v>
      </x:c>
      <x:c r="R541" s="2" t="n">
        <x:v>21</x:v>
      </x:c>
      <x:c r="S541" s="2" t="str">
        <x:v>Online</x:v>
      </x:c>
      <x:c r="T541" s="2" t="str">
        <x:v>Synced</x:v>
      </x:c>
    </x:row>
    <x:row r="542" ht="21" customHeight="1">
      <x:c r="A542" s="2" t="str">
        <x:v>EV000482</x:v>
      </x:c>
      <x:c r="B542" s="2" t="str">
        <x:v>T20261005-1-1</x:v>
      </x:c>
      <x:c r="C542" s="2" t="str">
        <x:v>ST002</x:v>
      </x:c>
      <x:c r="D542" s="2" t="str">
        <x:v>c9302a76d79e524442f3775978bb57a1</x:v>
      </x:c>
      <x:c r="E542" s="2" t="str">
        <x:v>CHECK_OUT</x:v>
      </x:c>
      <x:c r="F542" s="8" t="n">
        <x:v>46300.27642361111</x:v>
      </x:c>
      <x:c r="G542" s="8" t="n">
        <x:v>46300.27644675926</x:v>
      </x:c>
      <x:c r="H542" s="2" t="str">
        <x:v>SCH01</x:v>
      </x:c>
      <x:c r="I542" s="9" t="n">
        <x:v>25.285</x:v>
      </x:c>
      <x:c r="J542" s="9" t="n">
        <x:v>51.51</x:v>
      </x:c>
      <x:c r="K542" s="2" t="n">
        <x:v>8</x:v>
      </x:c>
      <x:c r="L542" s="2" t="str">
        <x:v>Valid</x:v>
      </x:c>
      <x:c r="M542" s="2" t="str">
        <x:v>QR</x:v>
      </x:c>
      <x:c r="N542" s="2" t="n">
        <x:v>1</x:v>
      </x:c>
      <x:c r="O542" s="2" t="str">
        <x:v>Accepted</x:v>
      </x:c>
      <x:c r="P542" s="2" t="str">
        <x:v>S001</x:v>
      </x:c>
      <x:c r="Q542" s="2" t="str">
        <x:v>DEV001</x:v>
      </x:c>
      <x:c r="R542" s="2" t="n">
        <x:v>22</x:v>
      </x:c>
      <x:c r="S542" s="2" t="str">
        <x:v>Online</x:v>
      </x:c>
      <x:c r="T542" s="2" t="str">
        <x:v>Synced</x:v>
      </x:c>
    </x:row>
    <x:row r="543" ht="21" customHeight="1">
      <x:c r="A543" s="2" t="str">
        <x:v>EV000798</x:v>
      </x:c>
      <x:c r="B543" s="2" t="str">
        <x:v>T20261005-1-3</x:v>
      </x:c>
      <x:c r="C543" s="2" t="str">
        <x:v>ST082</x:v>
      </x:c>
      <x:c r="D543" s="2" t="str">
        <x:v>fb7e28e2da3ace738571a6966bcaaec0</x:v>
      </x:c>
      <x:c r="E543" s="2" t="str">
        <x:v>CHECK_OUT</x:v>
      </x:c>
      <x:c r="F543" s="8" t="n">
        <x:v>46300.27642361111</x:v>
      </x:c>
      <x:c r="G543" s="8" t="n">
        <x:v>46300.27644675926</x:v>
      </x:c>
      <x:c r="H543" s="2" t="str">
        <x:v>SCH01</x:v>
      </x:c>
      <x:c r="I543" s="9" t="n">
        <x:v>25.285</x:v>
      </x:c>
      <x:c r="J543" s="9" t="n">
        <x:v>51.51</x:v>
      </x:c>
      <x:c r="K543" s="2" t="n">
        <x:v>8</x:v>
      </x:c>
      <x:c r="L543" s="2" t="str">
        <x:v>Valid</x:v>
      </x:c>
      <x:c r="M543" s="2" t="str">
        <x:v>QR</x:v>
      </x:c>
      <x:c r="N543" s="2" t="n">
        <x:v>1</x:v>
      </x:c>
      <x:c r="O543" s="2" t="str">
        <x:v>Accepted</x:v>
      </x:c>
      <x:c r="P543" s="2" t="str">
        <x:v>S003</x:v>
      </x:c>
      <x:c r="Q543" s="2" t="str">
        <x:v>DEV003</x:v>
      </x:c>
      <x:c r="R543" s="2" t="n">
        <x:v>22</x:v>
      </x:c>
      <x:c r="S543" s="2" t="str">
        <x:v>Online</x:v>
      </x:c>
      <x:c r="T543" s="2" t="str">
        <x:v>Synced</x:v>
      </x:c>
    </x:row>
    <x:row r="544" ht="21" customHeight="1">
      <x:c r="A544" s="2" t="str">
        <x:v>EV000484</x:v>
      </x:c>
      <x:c r="B544" s="2" t="str">
        <x:v>T20261005-1-1</x:v>
      </x:c>
      <x:c r="C544" s="2" t="str">
        <x:v>ST003</x:v>
      </x:c>
      <x:c r="D544" s="2" t="str">
        <x:v>7598e98213cb52db1085c9a94fae1915</x:v>
      </x:c>
      <x:c r="E544" s="2" t="str">
        <x:v>CHECK_OUT</x:v>
      </x:c>
      <x:c r="F544" s="8" t="n">
        <x:v>46300.276458333334</x:v>
      </x:c>
      <x:c r="G544" s="8" t="n">
        <x:v>46300.27648148148</x:v>
      </x:c>
      <x:c r="H544" s="2" t="str">
        <x:v>SCH01</x:v>
      </x:c>
      <x:c r="I544" s="9" t="n">
        <x:v>25.285</x:v>
      </x:c>
      <x:c r="J544" s="9" t="n">
        <x:v>51.51</x:v>
      </x:c>
      <x:c r="K544" s="2" t="n">
        <x:v>8</x:v>
      </x:c>
      <x:c r="L544" s="2" t="str">
        <x:v>Valid</x:v>
      </x:c>
      <x:c r="M544" s="2" t="str">
        <x:v>QR</x:v>
      </x:c>
      <x:c r="N544" s="2" t="n">
        <x:v>1</x:v>
      </x:c>
      <x:c r="O544" s="2" t="str">
        <x:v>Accepted</x:v>
      </x:c>
      <x:c r="P544" s="2" t="str">
        <x:v>S001</x:v>
      </x:c>
      <x:c r="Q544" s="2" t="str">
        <x:v>DEV001</x:v>
      </x:c>
      <x:c r="R544" s="2" t="n">
        <x:v>23</x:v>
      </x:c>
      <x:c r="S544" s="2" t="str">
        <x:v>Online</x:v>
      </x:c>
      <x:c r="T544" s="2" t="str">
        <x:v>Synced</x:v>
      </x:c>
    </x:row>
    <x:row r="545" ht="21" customHeight="1">
      <x:c r="A545" s="2" t="str">
        <x:v>EV000642</x:v>
      </x:c>
      <x:c r="B545" s="2" t="str">
        <x:v>T20261005-1-2</x:v>
      </x:c>
      <x:c r="C545" s="2" t="str">
        <x:v>ST043</x:v>
      </x:c>
      <x:c r="D545" s="2" t="str">
        <x:v>db51093fe9dac44d59345ee12f7e9c56</x:v>
      </x:c>
      <x:c r="E545" s="2" t="str">
        <x:v>CHECK_OUT</x:v>
      </x:c>
      <x:c r="F545" s="8" t="n">
        <x:v>46300.276458333334</x:v>
      </x:c>
      <x:c r="G545" s="8" t="n">
        <x:v>46300.27648148148</x:v>
      </x:c>
      <x:c r="H545" s="2" t="str">
        <x:v>SCH01</x:v>
      </x:c>
      <x:c r="I545" s="9" t="n">
        <x:v>25.285</x:v>
      </x:c>
      <x:c r="J545" s="9" t="n">
        <x:v>51.51</x:v>
      </x:c>
      <x:c r="K545" s="2" t="n">
        <x:v>8</x:v>
      </x:c>
      <x:c r="L545" s="2" t="str">
        <x:v>Valid</x:v>
      </x:c>
      <x:c r="M545" s="2" t="str">
        <x:v>QR</x:v>
      </x:c>
      <x:c r="N545" s="2" t="n">
        <x:v>1</x:v>
      </x:c>
      <x:c r="O545" s="2" t="str">
        <x:v>Accepted</x:v>
      </x:c>
      <x:c r="P545" s="2" t="str">
        <x:v>S002</x:v>
      </x:c>
      <x:c r="Q545" s="2" t="str">
        <x:v>DEV002</x:v>
      </x:c>
      <x:c r="R545" s="2" t="n">
        <x:v>21</x:v>
      </x:c>
      <x:c r="S545" s="2" t="str">
        <x:v>Online</x:v>
      </x:c>
      <x:c r="T545" s="2" t="str">
        <x:v>Synced</x:v>
      </x:c>
    </x:row>
    <x:row r="546" ht="21" customHeight="1">
      <x:c r="A546" s="2" t="str">
        <x:v>EV000800</x:v>
      </x:c>
      <x:c r="B546" s="2" t="str">
        <x:v>T20261005-1-3</x:v>
      </x:c>
      <x:c r="C546" s="2" t="str">
        <x:v>ST083</x:v>
      </x:c>
      <x:c r="D546" s="2" t="str">
        <x:v>19cc474730ce4d97be031814010d13a9</x:v>
      </x:c>
      <x:c r="E546" s="2" t="str">
        <x:v>CHECK_OUT</x:v>
      </x:c>
      <x:c r="F546" s="8" t="n">
        <x:v>46300.276458333334</x:v>
      </x:c>
      <x:c r="G546" s="8" t="n">
        <x:v>46300.27648148148</x:v>
      </x:c>
      <x:c r="H546" s="2" t="str">
        <x:v>SCH01</x:v>
      </x:c>
      <x:c r="I546" s="9" t="n">
        <x:v>25.285</x:v>
      </x:c>
      <x:c r="J546" s="9" t="n">
        <x:v>51.51</x:v>
      </x:c>
      <x:c r="K546" s="2" t="n">
        <x:v>8</x:v>
      </x:c>
      <x:c r="L546" s="2" t="str">
        <x:v>Valid</x:v>
      </x:c>
      <x:c r="M546" s="2" t="str">
        <x:v>QR</x:v>
      </x:c>
      <x:c r="N546" s="2" t="n">
        <x:v>1</x:v>
      </x:c>
      <x:c r="O546" s="2" t="str">
        <x:v>Accepted</x:v>
      </x:c>
      <x:c r="P546" s="2" t="str">
        <x:v>S003</x:v>
      </x:c>
      <x:c r="Q546" s="2" t="str">
        <x:v>DEV003</x:v>
      </x:c>
      <x:c r="R546" s="2" t="n">
        <x:v>23</x:v>
      </x:c>
      <x:c r="S546" s="2" t="str">
        <x:v>Online</x:v>
      </x:c>
      <x:c r="T546" s="2" t="str">
        <x:v>Synced</x:v>
      </x:c>
    </x:row>
    <x:row r="547" ht="21" customHeight="1">
      <x:c r="A547" s="2" t="str">
        <x:v>EV000486</x:v>
      </x:c>
      <x:c r="B547" s="2" t="str">
        <x:v>T20261005-1-1</x:v>
      </x:c>
      <x:c r="C547" s="2" t="str">
        <x:v>ST004</x:v>
      </x:c>
      <x:c r="D547" s="2" t="str">
        <x:v>7dee56e67101a0dd8483e1503eba9a72</x:v>
      </x:c>
      <x:c r="E547" s="2" t="str">
        <x:v>CHECK_OUT</x:v>
      </x:c>
      <x:c r="F547" s="8" t="n">
        <x:v>46300.27649305556</x:v>
      </x:c>
      <x:c r="G547" s="8" t="n">
        <x:v>46300.2765162037</x:v>
      </x:c>
      <x:c r="H547" s="2" t="str">
        <x:v>SCH01</x:v>
      </x:c>
      <x:c r="I547" s="9" t="n">
        <x:v>25.285</x:v>
      </x:c>
      <x:c r="J547" s="9" t="n">
        <x:v>51.51</x:v>
      </x:c>
      <x:c r="K547" s="2" t="n">
        <x:v>8</x:v>
      </x:c>
      <x:c r="L547" s="2" t="str">
        <x:v>Valid</x:v>
      </x:c>
      <x:c r="M547" s="2" t="str">
        <x:v>QR</x:v>
      </x:c>
      <x:c r="N547" s="2" t="n">
        <x:v>1</x:v>
      </x:c>
      <x:c r="O547" s="2" t="str">
        <x:v>Accepted</x:v>
      </x:c>
      <x:c r="P547" s="2" t="str">
        <x:v>S001</x:v>
      </x:c>
      <x:c r="Q547" s="2" t="str">
        <x:v>DEV001</x:v>
      </x:c>
      <x:c r="R547" s="2" t="n">
        <x:v>24</x:v>
      </x:c>
      <x:c r="S547" s="2" t="str">
        <x:v>Online</x:v>
      </x:c>
      <x:c r="T547" s="2" t="str">
        <x:v>Synced</x:v>
      </x:c>
    </x:row>
    <x:row r="548" ht="21" customHeight="1">
      <x:c r="A548" s="2" t="str">
        <x:v>EV000644</x:v>
      </x:c>
      <x:c r="B548" s="2" t="str">
        <x:v>T20261005-1-2</x:v>
      </x:c>
      <x:c r="C548" s="2" t="str">
        <x:v>ST044</x:v>
      </x:c>
      <x:c r="D548" s="2" t="str">
        <x:v>638b036dff08260bc8976402fb10157a</x:v>
      </x:c>
      <x:c r="E548" s="2" t="str">
        <x:v>CHECK_OUT</x:v>
      </x:c>
      <x:c r="F548" s="8" t="n">
        <x:v>46300.27649305556</x:v>
      </x:c>
      <x:c r="G548" s="8" t="n">
        <x:v>46300.2765162037</x:v>
      </x:c>
      <x:c r="H548" s="2" t="str">
        <x:v>SCH01</x:v>
      </x:c>
      <x:c r="I548" s="9" t="n">
        <x:v>25.285</x:v>
      </x:c>
      <x:c r="J548" s="9" t="n">
        <x:v>51.51</x:v>
      </x:c>
      <x:c r="K548" s="2" t="n">
        <x:v>8</x:v>
      </x:c>
      <x:c r="L548" s="2" t="str">
        <x:v>Valid</x:v>
      </x:c>
      <x:c r="M548" s="2" t="str">
        <x:v>QR</x:v>
      </x:c>
      <x:c r="N548" s="2" t="n">
        <x:v>1</x:v>
      </x:c>
      <x:c r="O548" s="2" t="str">
        <x:v>Accepted</x:v>
      </x:c>
      <x:c r="P548" s="2" t="str">
        <x:v>S002</x:v>
      </x:c>
      <x:c r="Q548" s="2" t="str">
        <x:v>DEV002</x:v>
      </x:c>
      <x:c r="R548" s="2" t="n">
        <x:v>22</x:v>
      </x:c>
      <x:c r="S548" s="2" t="str">
        <x:v>Online</x:v>
      </x:c>
      <x:c r="T548" s="2" t="str">
        <x:v>Synced</x:v>
      </x:c>
    </x:row>
    <x:row r="549" ht="21" customHeight="1">
      <x:c r="A549" s="2" t="str">
        <x:v>EV000802</x:v>
      </x:c>
      <x:c r="B549" s="2" t="str">
        <x:v>T20261005-1-3</x:v>
      </x:c>
      <x:c r="C549" s="2" t="str">
        <x:v>ST084</x:v>
      </x:c>
      <x:c r="D549" s="2" t="str">
        <x:v>2f6163b722feb8421b83fd278ee72e5c</x:v>
      </x:c>
      <x:c r="E549" s="2" t="str">
        <x:v>CHECK_OUT</x:v>
      </x:c>
      <x:c r="F549" s="8" t="n">
        <x:v>46300.27649305556</x:v>
      </x:c>
      <x:c r="G549" s="8" t="n">
        <x:v>46300.2765162037</x:v>
      </x:c>
      <x:c r="H549" s="2" t="str">
        <x:v>SCH01</x:v>
      </x:c>
      <x:c r="I549" s="9" t="n">
        <x:v>25.285</x:v>
      </x:c>
      <x:c r="J549" s="9" t="n">
        <x:v>51.51</x:v>
      </x:c>
      <x:c r="K549" s="2" t="n">
        <x:v>8</x:v>
      </x:c>
      <x:c r="L549" s="2" t="str">
        <x:v>Valid</x:v>
      </x:c>
      <x:c r="M549" s="2" t="str">
        <x:v>QR</x:v>
      </x:c>
      <x:c r="N549" s="2" t="n">
        <x:v>1</x:v>
      </x:c>
      <x:c r="O549" s="2" t="str">
        <x:v>Accepted</x:v>
      </x:c>
      <x:c r="P549" s="2" t="str">
        <x:v>S003</x:v>
      </x:c>
      <x:c r="Q549" s="2" t="str">
        <x:v>DEV003</x:v>
      </x:c>
      <x:c r="R549" s="2" t="n">
        <x:v>24</x:v>
      </x:c>
      <x:c r="S549" s="2" t="str">
        <x:v>Online</x:v>
      </x:c>
      <x:c r="T549" s="2" t="str">
        <x:v>Synced</x:v>
      </x:c>
    </x:row>
    <x:row r="550" ht="21" customHeight="1">
      <x:c r="A550" s="2" t="str">
        <x:v>EV000488</x:v>
      </x:c>
      <x:c r="B550" s="2" t="str">
        <x:v>T20261005-1-1</x:v>
      </x:c>
      <x:c r="C550" s="2" t="str">
        <x:v>ST005</x:v>
      </x:c>
      <x:c r="D550" s="2" t="str">
        <x:v>426727a8a0b9d51694a399a005c786cf</x:v>
      </x:c>
      <x:c r="E550" s="2" t="str">
        <x:v>CHECK_OUT</x:v>
      </x:c>
      <x:c r="F550" s="8" t="n">
        <x:v>46300.27652777778</x:v>
      </x:c>
      <x:c r="G550" s="8" t="n">
        <x:v>46300.276550925926</x:v>
      </x:c>
      <x:c r="H550" s="2" t="str">
        <x:v>SCH01</x:v>
      </x:c>
      <x:c r="I550" s="9" t="n">
        <x:v>25.285</x:v>
      </x:c>
      <x:c r="J550" s="9" t="n">
        <x:v>51.51</x:v>
      </x:c>
      <x:c r="K550" s="2" t="n">
        <x:v>8</x:v>
      </x:c>
      <x:c r="L550" s="2" t="str">
        <x:v>Valid</x:v>
      </x:c>
      <x:c r="M550" s="2" t="str">
        <x:v>QR</x:v>
      </x:c>
      <x:c r="N550" s="2" t="n">
        <x:v>1</x:v>
      </x:c>
      <x:c r="O550" s="2" t="str">
        <x:v>Accepted</x:v>
      </x:c>
      <x:c r="P550" s="2" t="str">
        <x:v>S001</x:v>
      </x:c>
      <x:c r="Q550" s="2" t="str">
        <x:v>DEV001</x:v>
      </x:c>
      <x:c r="R550" s="2" t="n">
        <x:v>25</x:v>
      </x:c>
      <x:c r="S550" s="2" t="str">
        <x:v>Online</x:v>
      </x:c>
      <x:c r="T550" s="2" t="str">
        <x:v>Synced</x:v>
      </x:c>
    </x:row>
    <x:row r="551" ht="21" customHeight="1">
      <x:c r="A551" s="2" t="str">
        <x:v>EV000646</x:v>
      </x:c>
      <x:c r="B551" s="2" t="str">
        <x:v>T20261005-1-2</x:v>
      </x:c>
      <x:c r="C551" s="2" t="str">
        <x:v>ST045</x:v>
      </x:c>
      <x:c r="D551" s="2" t="str">
        <x:v>10d8df8a06a7c869bcaa1adbc88c05bc</x:v>
      </x:c>
      <x:c r="E551" s="2" t="str">
        <x:v>CHECK_OUT</x:v>
      </x:c>
      <x:c r="F551" s="8" t="n">
        <x:v>46300.27652777778</x:v>
      </x:c>
      <x:c r="G551" s="8" t="n">
        <x:v>46300.276550925926</x:v>
      </x:c>
      <x:c r="H551" s="2" t="str">
        <x:v>SCH01</x:v>
      </x:c>
      <x:c r="I551" s="9" t="n">
        <x:v>25.285</x:v>
      </x:c>
      <x:c r="J551" s="9" t="n">
        <x:v>51.51</x:v>
      </x:c>
      <x:c r="K551" s="2" t="n">
        <x:v>8</x:v>
      </x:c>
      <x:c r="L551" s="2" t="str">
        <x:v>Valid</x:v>
      </x:c>
      <x:c r="M551" s="2" t="str">
        <x:v>QR</x:v>
      </x:c>
      <x:c r="N551" s="2" t="n">
        <x:v>1</x:v>
      </x:c>
      <x:c r="O551" s="2" t="str">
        <x:v>Accepted</x:v>
      </x:c>
      <x:c r="P551" s="2" t="str">
        <x:v>S002</x:v>
      </x:c>
      <x:c r="Q551" s="2" t="str">
        <x:v>DEV002</x:v>
      </x:c>
      <x:c r="R551" s="2" t="n">
        <x:v>23</x:v>
      </x:c>
      <x:c r="S551" s="2" t="str">
        <x:v>Online</x:v>
      </x:c>
      <x:c r="T551" s="2" t="str">
        <x:v>Synced</x:v>
      </x:c>
    </x:row>
    <x:row r="552" ht="21" customHeight="1">
      <x:c r="A552" s="2" t="str">
        <x:v>EV000804</x:v>
      </x:c>
      <x:c r="B552" s="2" t="str">
        <x:v>T20261005-1-3</x:v>
      </x:c>
      <x:c r="C552" s="2" t="str">
        <x:v>ST085</x:v>
      </x:c>
      <x:c r="D552" s="2" t="str">
        <x:v>80babdd572dde222a75b7ad8f0fe7ffa</x:v>
      </x:c>
      <x:c r="E552" s="2" t="str">
        <x:v>CHECK_OUT</x:v>
      </x:c>
      <x:c r="F552" s="8" t="n">
        <x:v>46300.27652777778</x:v>
      </x:c>
      <x:c r="G552" s="8" t="n">
        <x:v>46300.276550925926</x:v>
      </x:c>
      <x:c r="H552" s="2" t="str">
        <x:v>SCH01</x:v>
      </x:c>
      <x:c r="I552" s="9" t="n">
        <x:v>25.285</x:v>
      </x:c>
      <x:c r="J552" s="9" t="n">
        <x:v>51.51</x:v>
      </x:c>
      <x:c r="K552" s="2" t="n">
        <x:v>8</x:v>
      </x:c>
      <x:c r="L552" s="2" t="str">
        <x:v>Valid</x:v>
      </x:c>
      <x:c r="M552" s="2" t="str">
        <x:v>QR</x:v>
      </x:c>
      <x:c r="N552" s="2" t="n">
        <x:v>1</x:v>
      </x:c>
      <x:c r="O552" s="2" t="str">
        <x:v>Accepted</x:v>
      </x:c>
      <x:c r="P552" s="2" t="str">
        <x:v>S003</x:v>
      </x:c>
      <x:c r="Q552" s="2" t="str">
        <x:v>DEV003</x:v>
      </x:c>
      <x:c r="R552" s="2" t="n">
        <x:v>25</x:v>
      </x:c>
      <x:c r="S552" s="2" t="str">
        <x:v>Online</x:v>
      </x:c>
      <x:c r="T552" s="2" t="str">
        <x:v>Synced</x:v>
      </x:c>
    </x:row>
    <x:row r="553" ht="21" customHeight="1">
      <x:c r="A553" s="2" t="str">
        <x:v>EV000490</x:v>
      </x:c>
      <x:c r="B553" s="2" t="str">
        <x:v>T20261005-1-1</x:v>
      </x:c>
      <x:c r="C553" s="2" t="str">
        <x:v>ST006</x:v>
      </x:c>
      <x:c r="D553" s="2" t="str">
        <x:v>8edd7f2c984bf2eb5adf75591d6f1e9c</x:v>
      </x:c>
      <x:c r="E553" s="2" t="str">
        <x:v>CHECK_OUT</x:v>
      </x:c>
      <x:c r="F553" s="8" t="n">
        <x:v>46300.276562499996</x:v>
      </x:c>
      <x:c r="G553" s="8" t="n">
        <x:v>46300.27658564814</x:v>
      </x:c>
      <x:c r="H553" s="2" t="str">
        <x:v>SCH01</x:v>
      </x:c>
      <x:c r="I553" s="9" t="n">
        <x:v>25.285</x:v>
      </x:c>
      <x:c r="J553" s="9" t="n">
        <x:v>51.51</x:v>
      </x:c>
      <x:c r="K553" s="2" t="n">
        <x:v>8</x:v>
      </x:c>
      <x:c r="L553" s="2" t="str">
        <x:v>Valid</x:v>
      </x:c>
      <x:c r="M553" s="2" t="str">
        <x:v>QR</x:v>
      </x:c>
      <x:c r="N553" s="2" t="n">
        <x:v>1</x:v>
      </x:c>
      <x:c r="O553" s="2" t="str">
        <x:v>Accepted</x:v>
      </x:c>
      <x:c r="P553" s="2" t="str">
        <x:v>S001</x:v>
      </x:c>
      <x:c r="Q553" s="2" t="str">
        <x:v>DEV001</x:v>
      </x:c>
      <x:c r="R553" s="2" t="n">
        <x:v>26</x:v>
      </x:c>
      <x:c r="S553" s="2" t="str">
        <x:v>Online</x:v>
      </x:c>
      <x:c r="T553" s="2" t="str">
        <x:v>Synced</x:v>
      </x:c>
    </x:row>
    <x:row r="554" ht="21" customHeight="1">
      <x:c r="A554" s="2" t="str">
        <x:v>EV000648</x:v>
      </x:c>
      <x:c r="B554" s="2" t="str">
        <x:v>T20261005-1-2</x:v>
      </x:c>
      <x:c r="C554" s="2" t="str">
        <x:v>ST046</x:v>
      </x:c>
      <x:c r="D554" s="2" t="str">
        <x:v>82365992d443d056f10fa7522ac29057</x:v>
      </x:c>
      <x:c r="E554" s="2" t="str">
        <x:v>CHECK_OUT</x:v>
      </x:c>
      <x:c r="F554" s="8" t="n">
        <x:v>46300.276562499996</x:v>
      </x:c>
      <x:c r="G554" s="8" t="n">
        <x:v>46300.27658564814</x:v>
      </x:c>
      <x:c r="H554" s="2" t="str">
        <x:v>SCH01</x:v>
      </x:c>
      <x:c r="I554" s="9" t="n">
        <x:v>25.285</x:v>
      </x:c>
      <x:c r="J554" s="9" t="n">
        <x:v>51.51</x:v>
      </x:c>
      <x:c r="K554" s="2" t="n">
        <x:v>8</x:v>
      </x:c>
      <x:c r="L554" s="2" t="str">
        <x:v>Valid</x:v>
      </x:c>
      <x:c r="M554" s="2" t="str">
        <x:v>QR</x:v>
      </x:c>
      <x:c r="N554" s="2" t="n">
        <x:v>1</x:v>
      </x:c>
      <x:c r="O554" s="2" t="str">
        <x:v>Accepted</x:v>
      </x:c>
      <x:c r="P554" s="2" t="str">
        <x:v>S002</x:v>
      </x:c>
      <x:c r="Q554" s="2" t="str">
        <x:v>DEV002</x:v>
      </x:c>
      <x:c r="R554" s="2" t="n">
        <x:v>24</x:v>
      </x:c>
      <x:c r="S554" s="2" t="str">
        <x:v>Online</x:v>
      </x:c>
      <x:c r="T554" s="2" t="str">
        <x:v>Synced</x:v>
      </x:c>
    </x:row>
    <x:row r="555" ht="21" customHeight="1">
      <x:c r="A555" s="2" t="str">
        <x:v>EV000806</x:v>
      </x:c>
      <x:c r="B555" s="2" t="str">
        <x:v>T20261005-1-3</x:v>
      </x:c>
      <x:c r="C555" s="2" t="str">
        <x:v>ST086</x:v>
      </x:c>
      <x:c r="D555" s="2" t="str">
        <x:v>33c5dfd0f17fcbe34d50fd9b0a0c0e5b</x:v>
      </x:c>
      <x:c r="E555" s="2" t="str">
        <x:v>CHECK_OUT</x:v>
      </x:c>
      <x:c r="F555" s="8" t="n">
        <x:v>46300.276562499996</x:v>
      </x:c>
      <x:c r="G555" s="8" t="n">
        <x:v>46300.27658564814</x:v>
      </x:c>
      <x:c r="H555" s="2" t="str">
        <x:v>SCH01</x:v>
      </x:c>
      <x:c r="I555" s="9" t="n">
        <x:v>25.285</x:v>
      </x:c>
      <x:c r="J555" s="9" t="n">
        <x:v>51.51</x:v>
      </x:c>
      <x:c r="K555" s="2" t="n">
        <x:v>8</x:v>
      </x:c>
      <x:c r="L555" s="2" t="str">
        <x:v>Valid</x:v>
      </x:c>
      <x:c r="M555" s="2" t="str">
        <x:v>QR</x:v>
      </x:c>
      <x:c r="N555" s="2" t="n">
        <x:v>1</x:v>
      </x:c>
      <x:c r="O555" s="2" t="str">
        <x:v>Accepted</x:v>
      </x:c>
      <x:c r="P555" s="2" t="str">
        <x:v>S003</x:v>
      </x:c>
      <x:c r="Q555" s="2" t="str">
        <x:v>DEV003</x:v>
      </x:c>
      <x:c r="R555" s="2" t="n">
        <x:v>26</x:v>
      </x:c>
      <x:c r="S555" s="2" t="str">
        <x:v>Online</x:v>
      </x:c>
      <x:c r="T555" s="2" t="str">
        <x:v>Synced</x:v>
      </x:c>
    </x:row>
    <x:row r="556" ht="21" customHeight="1">
      <x:c r="A556" s="2" t="str">
        <x:v>EV000492</x:v>
      </x:c>
      <x:c r="B556" s="2" t="str">
        <x:v>T20261005-1-1</x:v>
      </x:c>
      <x:c r="C556" s="2" t="str">
        <x:v>ST007</x:v>
      </x:c>
      <x:c r="D556" s="2" t="str">
        <x:v>2376173ab02a96d9b58d44caf4008dfd</x:v>
      </x:c>
      <x:c r="E556" s="2" t="str">
        <x:v>CHECK_OUT</x:v>
      </x:c>
      <x:c r="F556" s="8" t="n">
        <x:v>46300.27659722222</x:v>
      </x:c>
      <x:c r="G556" s="8" t="n">
        <x:v>46300.276620370365</x:v>
      </x:c>
      <x:c r="H556" s="2" t="str">
        <x:v>SCH01</x:v>
      </x:c>
      <x:c r="I556" s="9" t="n">
        <x:v>25.285</x:v>
      </x:c>
      <x:c r="J556" s="9" t="n">
        <x:v>51.51</x:v>
      </x:c>
      <x:c r="K556" s="2" t="n">
        <x:v>8</x:v>
      </x:c>
      <x:c r="L556" s="2" t="str">
        <x:v>Valid</x:v>
      </x:c>
      <x:c r="M556" s="2" t="str">
        <x:v>QR</x:v>
      </x:c>
      <x:c r="N556" s="2" t="n">
        <x:v>1</x:v>
      </x:c>
      <x:c r="O556" s="2" t="str">
        <x:v>Accepted</x:v>
      </x:c>
      <x:c r="P556" s="2" t="str">
        <x:v>S001</x:v>
      </x:c>
      <x:c r="Q556" s="2" t="str">
        <x:v>DEV001</x:v>
      </x:c>
      <x:c r="R556" s="2" t="n">
        <x:v>27</x:v>
      </x:c>
      <x:c r="S556" s="2" t="str">
        <x:v>Online</x:v>
      </x:c>
      <x:c r="T556" s="2" t="str">
        <x:v>Synced</x:v>
      </x:c>
    </x:row>
    <x:row r="557" ht="21" customHeight="1">
      <x:c r="A557" s="2" t="str">
        <x:v>EV000650</x:v>
      </x:c>
      <x:c r="B557" s="2" t="str">
        <x:v>T20261005-1-2</x:v>
      </x:c>
      <x:c r="C557" s="2" t="str">
        <x:v>ST047</x:v>
      </x:c>
      <x:c r="D557" s="2" t="str">
        <x:v>b3f6380a42fb190ae04afac7edee87cd</x:v>
      </x:c>
      <x:c r="E557" s="2" t="str">
        <x:v>CHECK_OUT</x:v>
      </x:c>
      <x:c r="F557" s="8" t="n">
        <x:v>46300.27659722222</x:v>
      </x:c>
      <x:c r="G557" s="8" t="n">
        <x:v>46300.276620370365</x:v>
      </x:c>
      <x:c r="H557" s="2" t="str">
        <x:v>SCH01</x:v>
      </x:c>
      <x:c r="I557" s="9" t="n">
        <x:v>25.285</x:v>
      </x:c>
      <x:c r="J557" s="9" t="n">
        <x:v>51.51</x:v>
      </x:c>
      <x:c r="K557" s="2" t="n">
        <x:v>8</x:v>
      </x:c>
      <x:c r="L557" s="2" t="str">
        <x:v>Valid</x:v>
      </x:c>
      <x:c r="M557" s="2" t="str">
        <x:v>QR</x:v>
      </x:c>
      <x:c r="N557" s="2" t="n">
        <x:v>1</x:v>
      </x:c>
      <x:c r="O557" s="2" t="str">
        <x:v>Accepted</x:v>
      </x:c>
      <x:c r="P557" s="2" t="str">
        <x:v>S002</x:v>
      </x:c>
      <x:c r="Q557" s="2" t="str">
        <x:v>DEV002</x:v>
      </x:c>
      <x:c r="R557" s="2" t="n">
        <x:v>25</x:v>
      </x:c>
      <x:c r="S557" s="2" t="str">
        <x:v>Online</x:v>
      </x:c>
      <x:c r="T557" s="2" t="str">
        <x:v>Synced</x:v>
      </x:c>
    </x:row>
    <x:row r="558" ht="21" customHeight="1">
      <x:c r="A558" s="2" t="str">
        <x:v>EV000808</x:v>
      </x:c>
      <x:c r="B558" s="2" t="str">
        <x:v>T20261005-1-3</x:v>
      </x:c>
      <x:c r="C558" s="2" t="str">
        <x:v>ST087</x:v>
      </x:c>
      <x:c r="D558" s="2" t="str">
        <x:v>30243cf46003be06b271950aa5cd47a6</x:v>
      </x:c>
      <x:c r="E558" s="2" t="str">
        <x:v>CHECK_OUT</x:v>
      </x:c>
      <x:c r="F558" s="8" t="n">
        <x:v>46300.27659722222</x:v>
      </x:c>
      <x:c r="G558" s="8" t="n">
        <x:v>46300.276620370365</x:v>
      </x:c>
      <x:c r="H558" s="2" t="str">
        <x:v>SCH01</x:v>
      </x:c>
      <x:c r="I558" s="9" t="n">
        <x:v>25.285</x:v>
      </x:c>
      <x:c r="J558" s="9" t="n">
        <x:v>51.51</x:v>
      </x:c>
      <x:c r="K558" s="2" t="n">
        <x:v>8</x:v>
      </x:c>
      <x:c r="L558" s="2" t="str">
        <x:v>Valid</x:v>
      </x:c>
      <x:c r="M558" s="2" t="str">
        <x:v>QR</x:v>
      </x:c>
      <x:c r="N558" s="2" t="n">
        <x:v>1</x:v>
      </x:c>
      <x:c r="O558" s="2" t="str">
        <x:v>Accepted</x:v>
      </x:c>
      <x:c r="P558" s="2" t="str">
        <x:v>S003</x:v>
      </x:c>
      <x:c r="Q558" s="2" t="str">
        <x:v>DEV003</x:v>
      </x:c>
      <x:c r="R558" s="2" t="n">
        <x:v>27</x:v>
      </x:c>
      <x:c r="S558" s="2" t="str">
        <x:v>Online</x:v>
      </x:c>
      <x:c r="T558" s="2" t="str">
        <x:v>Synced</x:v>
      </x:c>
    </x:row>
    <x:row r="559" ht="21" customHeight="1">
      <x:c r="A559" s="2" t="str">
        <x:v>EV000494</x:v>
      </x:c>
      <x:c r="B559" s="2" t="str">
        <x:v>T20261005-1-1</x:v>
      </x:c>
      <x:c r="C559" s="2" t="str">
        <x:v>ST008</x:v>
      </x:c>
      <x:c r="D559" s="2" t="str">
        <x:v>ac4baf5d317844907005c691f401c42d</x:v>
      </x:c>
      <x:c r="E559" s="2" t="str">
        <x:v>CHECK_OUT</x:v>
      </x:c>
      <x:c r="F559" s="8" t="n">
        <x:v>46300.27663194444</x:v>
      </x:c>
      <x:c r="G559" s="8" t="n">
        <x:v>46300.27665509259</x:v>
      </x:c>
      <x:c r="H559" s="2" t="str">
        <x:v>SCH01</x:v>
      </x:c>
      <x:c r="I559" s="9" t="n">
        <x:v>25.285</x:v>
      </x:c>
      <x:c r="J559" s="9" t="n">
        <x:v>51.51</x:v>
      </x:c>
      <x:c r="K559" s="2" t="n">
        <x:v>8</x:v>
      </x:c>
      <x:c r="L559" s="2" t="str">
        <x:v>Valid</x:v>
      </x:c>
      <x:c r="M559" s="2" t="str">
        <x:v>QR</x:v>
      </x:c>
      <x:c r="N559" s="2" t="n">
        <x:v>1</x:v>
      </x:c>
      <x:c r="O559" s="2" t="str">
        <x:v>Accepted</x:v>
      </x:c>
      <x:c r="P559" s="2" t="str">
        <x:v>S001</x:v>
      </x:c>
      <x:c r="Q559" s="2" t="str">
        <x:v>DEV001</x:v>
      </x:c>
      <x:c r="R559" s="2" t="n">
        <x:v>28</x:v>
      </x:c>
      <x:c r="S559" s="2" t="str">
        <x:v>Online</x:v>
      </x:c>
      <x:c r="T559" s="2" t="str">
        <x:v>Synced</x:v>
      </x:c>
    </x:row>
    <x:row r="560" ht="21" customHeight="1">
      <x:c r="A560" s="2" t="str">
        <x:v>EV000652</x:v>
      </x:c>
      <x:c r="B560" s="2" t="str">
        <x:v>T20261005-1-2</x:v>
      </x:c>
      <x:c r="C560" s="2" t="str">
        <x:v>ST048</x:v>
      </x:c>
      <x:c r="D560" s="2" t="str">
        <x:v>e3a3009a9bd3946e21f417e93203aa79</x:v>
      </x:c>
      <x:c r="E560" s="2" t="str">
        <x:v>CHECK_OUT</x:v>
      </x:c>
      <x:c r="F560" s="8" t="n">
        <x:v>46300.27663194444</x:v>
      </x:c>
      <x:c r="G560" s="8" t="n">
        <x:v>46300.27665509259</x:v>
      </x:c>
      <x:c r="H560" s="2" t="str">
        <x:v>SCH01</x:v>
      </x:c>
      <x:c r="I560" s="9" t="n">
        <x:v>25.285</x:v>
      </x:c>
      <x:c r="J560" s="9" t="n">
        <x:v>51.51</x:v>
      </x:c>
      <x:c r="K560" s="2" t="n">
        <x:v>8</x:v>
      </x:c>
      <x:c r="L560" s="2" t="str">
        <x:v>Valid</x:v>
      </x:c>
      <x:c r="M560" s="2" t="str">
        <x:v>QR</x:v>
      </x:c>
      <x:c r="N560" s="2" t="n">
        <x:v>1</x:v>
      </x:c>
      <x:c r="O560" s="2" t="str">
        <x:v>Accepted</x:v>
      </x:c>
      <x:c r="P560" s="2" t="str">
        <x:v>S002</x:v>
      </x:c>
      <x:c r="Q560" s="2" t="str">
        <x:v>DEV002</x:v>
      </x:c>
      <x:c r="R560" s="2" t="n">
        <x:v>26</x:v>
      </x:c>
      <x:c r="S560" s="2" t="str">
        <x:v>Online</x:v>
      </x:c>
      <x:c r="T560" s="2" t="str">
        <x:v>Synced</x:v>
      </x:c>
    </x:row>
    <x:row r="561" ht="21" customHeight="1">
      <x:c r="A561" s="2" t="str">
        <x:v>EV000810</x:v>
      </x:c>
      <x:c r="B561" s="2" t="str">
        <x:v>T20261005-1-3</x:v>
      </x:c>
      <x:c r="C561" s="2" t="str">
        <x:v>ST088</x:v>
      </x:c>
      <x:c r="D561" s="2" t="str">
        <x:v>b227769e0483e6c28eed8e8d448bfbbe</x:v>
      </x:c>
      <x:c r="E561" s="2" t="str">
        <x:v>CHECK_OUT</x:v>
      </x:c>
      <x:c r="F561" s="8" t="n">
        <x:v>46300.27663194444</x:v>
      </x:c>
      <x:c r="G561" s="8" t="n">
        <x:v>46300.27665509259</x:v>
      </x:c>
      <x:c r="H561" s="2" t="str">
        <x:v>SCH01</x:v>
      </x:c>
      <x:c r="I561" s="9" t="n">
        <x:v>25.285</x:v>
      </x:c>
      <x:c r="J561" s="9" t="n">
        <x:v>51.51</x:v>
      </x:c>
      <x:c r="K561" s="2" t="n">
        <x:v>8</x:v>
      </x:c>
      <x:c r="L561" s="2" t="str">
        <x:v>Valid</x:v>
      </x:c>
      <x:c r="M561" s="2" t="str">
        <x:v>QR</x:v>
      </x:c>
      <x:c r="N561" s="2" t="n">
        <x:v>1</x:v>
      </x:c>
      <x:c r="O561" s="2" t="str">
        <x:v>Accepted</x:v>
      </x:c>
      <x:c r="P561" s="2" t="str">
        <x:v>S003</x:v>
      </x:c>
      <x:c r="Q561" s="2" t="str">
        <x:v>DEV003</x:v>
      </x:c>
      <x:c r="R561" s="2" t="n">
        <x:v>28</x:v>
      </x:c>
      <x:c r="S561" s="2" t="str">
        <x:v>Online</x:v>
      </x:c>
      <x:c r="T561" s="2" t="str">
        <x:v>Synced</x:v>
      </x:c>
    </x:row>
    <x:row r="562" ht="21" customHeight="1">
      <x:c r="A562" s="2" t="str">
        <x:v>EV000496</x:v>
      </x:c>
      <x:c r="B562" s="2" t="str">
        <x:v>T20261005-1-1</x:v>
      </x:c>
      <x:c r="C562" s="2" t="str">
        <x:v>ST009</x:v>
      </x:c>
      <x:c r="D562" s="2" t="str">
        <x:v>fdc849f07f4ba12ab82f6bed87d7275d</x:v>
      </x:c>
      <x:c r="E562" s="2" t="str">
        <x:v>CHECK_OUT</x:v>
      </x:c>
      <x:c r="F562" s="8" t="n">
        <x:v>46300.276666666665</x:v>
      </x:c>
      <x:c r="G562" s="8" t="n">
        <x:v>46300.27668981481</x:v>
      </x:c>
      <x:c r="H562" s="2" t="str">
        <x:v>SCH01</x:v>
      </x:c>
      <x:c r="I562" s="9" t="n">
        <x:v>25.285</x:v>
      </x:c>
      <x:c r="J562" s="9" t="n">
        <x:v>51.51</x:v>
      </x:c>
      <x:c r="K562" s="2" t="n">
        <x:v>8</x:v>
      </x:c>
      <x:c r="L562" s="2" t="str">
        <x:v>Valid</x:v>
      </x:c>
      <x:c r="M562" s="2" t="str">
        <x:v>QR</x:v>
      </x:c>
      <x:c r="N562" s="2" t="n">
        <x:v>1</x:v>
      </x:c>
      <x:c r="O562" s="2" t="str">
        <x:v>Accepted</x:v>
      </x:c>
      <x:c r="P562" s="2" t="str">
        <x:v>S001</x:v>
      </x:c>
      <x:c r="Q562" s="2" t="str">
        <x:v>DEV001</x:v>
      </x:c>
      <x:c r="R562" s="2" t="n">
        <x:v>29</x:v>
      </x:c>
      <x:c r="S562" s="2" t="str">
        <x:v>Online</x:v>
      </x:c>
      <x:c r="T562" s="2" t="str">
        <x:v>Synced</x:v>
      </x:c>
    </x:row>
    <x:row r="563" ht="21" customHeight="1">
      <x:c r="A563" s="2" t="str">
        <x:v>EV000654</x:v>
      </x:c>
      <x:c r="B563" s="2" t="str">
        <x:v>T20261005-1-2</x:v>
      </x:c>
      <x:c r="C563" s="2" t="str">
        <x:v>ST049</x:v>
      </x:c>
      <x:c r="D563" s="2" t="str">
        <x:v>aac0da9ca028b4b4fe1fc2c1eb298502</x:v>
      </x:c>
      <x:c r="E563" s="2" t="str">
        <x:v>CHECK_OUT</x:v>
      </x:c>
      <x:c r="F563" s="8" t="n">
        <x:v>46300.276666666665</x:v>
      </x:c>
      <x:c r="G563" s="8" t="n">
        <x:v>46300.27668981481</x:v>
      </x:c>
      <x:c r="H563" s="2" t="str">
        <x:v>SCH01</x:v>
      </x:c>
      <x:c r="I563" s="9" t="n">
        <x:v>25.285</x:v>
      </x:c>
      <x:c r="J563" s="9" t="n">
        <x:v>51.51</x:v>
      </x:c>
      <x:c r="K563" s="2" t="n">
        <x:v>8</x:v>
      </x:c>
      <x:c r="L563" s="2" t="str">
        <x:v>Valid</x:v>
      </x:c>
      <x:c r="M563" s="2" t="str">
        <x:v>QR</x:v>
      </x:c>
      <x:c r="N563" s="2" t="n">
        <x:v>1</x:v>
      </x:c>
      <x:c r="O563" s="2" t="str">
        <x:v>Accepted</x:v>
      </x:c>
      <x:c r="P563" s="2" t="str">
        <x:v>S002</x:v>
      </x:c>
      <x:c r="Q563" s="2" t="str">
        <x:v>DEV002</x:v>
      </x:c>
      <x:c r="R563" s="2" t="n">
        <x:v>27</x:v>
      </x:c>
      <x:c r="S563" s="2" t="str">
        <x:v>Online</x:v>
      </x:c>
      <x:c r="T563" s="2" t="str">
        <x:v>Synced</x:v>
      </x:c>
    </x:row>
    <x:row r="564" ht="21" customHeight="1">
      <x:c r="A564" s="2" t="str">
        <x:v>EV000812</x:v>
      </x:c>
      <x:c r="B564" s="2" t="str">
        <x:v>T20261005-1-3</x:v>
      </x:c>
      <x:c r="C564" s="2" t="str">
        <x:v>ST089</x:v>
      </x:c>
      <x:c r="D564" s="2" t="str">
        <x:v>0bd697ec3f7c09918d8dd004b5340b03</x:v>
      </x:c>
      <x:c r="E564" s="2" t="str">
        <x:v>CHECK_OUT</x:v>
      </x:c>
      <x:c r="F564" s="8" t="n">
        <x:v>46300.276666666665</x:v>
      </x:c>
      <x:c r="G564" s="8" t="n">
        <x:v>46300.27668981481</x:v>
      </x:c>
      <x:c r="H564" s="2" t="str">
        <x:v>SCH01</x:v>
      </x:c>
      <x:c r="I564" s="9" t="n">
        <x:v>25.285</x:v>
      </x:c>
      <x:c r="J564" s="9" t="n">
        <x:v>51.51</x:v>
      </x:c>
      <x:c r="K564" s="2" t="n">
        <x:v>8</x:v>
      </x:c>
      <x:c r="L564" s="2" t="str">
        <x:v>Valid</x:v>
      </x:c>
      <x:c r="M564" s="2" t="str">
        <x:v>QR</x:v>
      </x:c>
      <x:c r="N564" s="2" t="n">
        <x:v>1</x:v>
      </x:c>
      <x:c r="O564" s="2" t="str">
        <x:v>Accepted</x:v>
      </x:c>
      <x:c r="P564" s="2" t="str">
        <x:v>S003</x:v>
      </x:c>
      <x:c r="Q564" s="2" t="str">
        <x:v>DEV003</x:v>
      </x:c>
      <x:c r="R564" s="2" t="n">
        <x:v>29</x:v>
      </x:c>
      <x:c r="S564" s="2" t="str">
        <x:v>Online</x:v>
      </x:c>
      <x:c r="T564" s="2" t="str">
        <x:v>Synced</x:v>
      </x:c>
    </x:row>
    <x:row r="565" ht="21" customHeight="1">
      <x:c r="A565" s="2" t="str">
        <x:v>EV000498</x:v>
      </x:c>
      <x:c r="B565" s="2" t="str">
        <x:v>T20261005-1-1</x:v>
      </x:c>
      <x:c r="C565" s="2" t="str">
        <x:v>ST010</x:v>
      </x:c>
      <x:c r="D565" s="2" t="str">
        <x:v>df6521f6838e149b7b1f3fd27dcbf586</x:v>
      </x:c>
      <x:c r="E565" s="2" t="str">
        <x:v>CHECK_OUT</x:v>
      </x:c>
      <x:c r="F565" s="8" t="n">
        <x:v>46300.27670138889</x:v>
      </x:c>
      <x:c r="G565" s="8" t="n">
        <x:v>46300.276724537034</x:v>
      </x:c>
      <x:c r="H565" s="2" t="str">
        <x:v>SCH01</x:v>
      </x:c>
      <x:c r="I565" s="9" t="n">
        <x:v>25.285</x:v>
      </x:c>
      <x:c r="J565" s="9" t="n">
        <x:v>51.51</x:v>
      </x:c>
      <x:c r="K565" s="2" t="n">
        <x:v>8</x:v>
      </x:c>
      <x:c r="L565" s="2" t="str">
        <x:v>Valid</x:v>
      </x:c>
      <x:c r="M565" s="2" t="str">
        <x:v>QR</x:v>
      </x:c>
      <x:c r="N565" s="2" t="n">
        <x:v>1</x:v>
      </x:c>
      <x:c r="O565" s="2" t="str">
        <x:v>Accepted</x:v>
      </x:c>
      <x:c r="P565" s="2" t="str">
        <x:v>S001</x:v>
      </x:c>
      <x:c r="Q565" s="2" t="str">
        <x:v>DEV001</x:v>
      </x:c>
      <x:c r="R565" s="2" t="n">
        <x:v>30</x:v>
      </x:c>
      <x:c r="S565" s="2" t="str">
        <x:v>Online</x:v>
      </x:c>
      <x:c r="T565" s="2" t="str">
        <x:v>Synced</x:v>
      </x:c>
    </x:row>
    <x:row r="566" ht="21" customHeight="1">
      <x:c r="A566" s="2" t="str">
        <x:v>EV000656</x:v>
      </x:c>
      <x:c r="B566" s="2" t="str">
        <x:v>T20261005-1-2</x:v>
      </x:c>
      <x:c r="C566" s="2" t="str">
        <x:v>ST050</x:v>
      </x:c>
      <x:c r="D566" s="2" t="str">
        <x:v>ca49474881a6395691ac81bd08684ed6</x:v>
      </x:c>
      <x:c r="E566" s="2" t="str">
        <x:v>CHECK_OUT</x:v>
      </x:c>
      <x:c r="F566" s="8" t="n">
        <x:v>46300.27670138889</x:v>
      </x:c>
      <x:c r="G566" s="8" t="n">
        <x:v>46300.276724537034</x:v>
      </x:c>
      <x:c r="H566" s="2" t="str">
        <x:v>SCH01</x:v>
      </x:c>
      <x:c r="I566" s="9" t="n">
        <x:v>25.285</x:v>
      </x:c>
      <x:c r="J566" s="9" t="n">
        <x:v>51.51</x:v>
      </x:c>
      <x:c r="K566" s="2" t="n">
        <x:v>8</x:v>
      </x:c>
      <x:c r="L566" s="2" t="str">
        <x:v>Valid</x:v>
      </x:c>
      <x:c r="M566" s="2" t="str">
        <x:v>QR</x:v>
      </x:c>
      <x:c r="N566" s="2" t="n">
        <x:v>1</x:v>
      </x:c>
      <x:c r="O566" s="2" t="str">
        <x:v>Accepted</x:v>
      </x:c>
      <x:c r="P566" s="2" t="str">
        <x:v>S002</x:v>
      </x:c>
      <x:c r="Q566" s="2" t="str">
        <x:v>DEV002</x:v>
      </x:c>
      <x:c r="R566" s="2" t="n">
        <x:v>28</x:v>
      </x:c>
      <x:c r="S566" s="2" t="str">
        <x:v>Online</x:v>
      </x:c>
      <x:c r="T566" s="2" t="str">
        <x:v>Synced</x:v>
      </x:c>
    </x:row>
    <x:row r="567" ht="21" customHeight="1">
      <x:c r="A567" s="2" t="str">
        <x:v>EV000814</x:v>
      </x:c>
      <x:c r="B567" s="2" t="str">
        <x:v>T20261005-1-3</x:v>
      </x:c>
      <x:c r="C567" s="2" t="str">
        <x:v>ST090</x:v>
      </x:c>
      <x:c r="D567" s="2" t="str">
        <x:v>3b91252475551a374010825e1f05642c</x:v>
      </x:c>
      <x:c r="E567" s="2" t="str">
        <x:v>CHECK_OUT</x:v>
      </x:c>
      <x:c r="F567" s="8" t="n">
        <x:v>46300.27670138889</x:v>
      </x:c>
      <x:c r="G567" s="8" t="n">
        <x:v>46300.276724537034</x:v>
      </x:c>
      <x:c r="H567" s="2" t="str">
        <x:v>SCH01</x:v>
      </x:c>
      <x:c r="I567" s="9" t="n">
        <x:v>25.285</x:v>
      </x:c>
      <x:c r="J567" s="9" t="n">
        <x:v>51.51</x:v>
      </x:c>
      <x:c r="K567" s="2" t="n">
        <x:v>8</x:v>
      </x:c>
      <x:c r="L567" s="2" t="str">
        <x:v>Valid</x:v>
      </x:c>
      <x:c r="M567" s="2" t="str">
        <x:v>QR</x:v>
      </x:c>
      <x:c r="N567" s="2" t="n">
        <x:v>1</x:v>
      </x:c>
      <x:c r="O567" s="2" t="str">
        <x:v>Accepted</x:v>
      </x:c>
      <x:c r="P567" s="2" t="str">
        <x:v>S003</x:v>
      </x:c>
      <x:c r="Q567" s="2" t="str">
        <x:v>DEV003</x:v>
      </x:c>
      <x:c r="R567" s="2" t="n">
        <x:v>30</x:v>
      </x:c>
      <x:c r="S567" s="2" t="str">
        <x:v>Online</x:v>
      </x:c>
      <x:c r="T567" s="2" t="str">
        <x:v>Synced</x:v>
      </x:c>
    </x:row>
    <x:row r="568" ht="21" customHeight="1">
      <x:c r="A568" s="2" t="str">
        <x:v>EV000500</x:v>
      </x:c>
      <x:c r="B568" s="2" t="str">
        <x:v>T20261005-1-1</x:v>
      </x:c>
      <x:c r="C568" s="2" t="str">
        <x:v>ST011</x:v>
      </x:c>
      <x:c r="D568" s="2" t="str">
        <x:v>38c917effc7ec45ac750455eb7892f3e</x:v>
      </x:c>
      <x:c r="E568" s="2" t="str">
        <x:v>CHECK_OUT</x:v>
      </x:c>
      <x:c r="F568" s="8" t="n">
        <x:v>46300.27673611111</x:v>
      </x:c>
      <x:c r="G568" s="8" t="n">
        <x:v>46300.27675925926</x:v>
      </x:c>
      <x:c r="H568" s="2" t="str">
        <x:v>SCH01</x:v>
      </x:c>
      <x:c r="I568" s="9" t="n">
        <x:v>25.285</x:v>
      </x:c>
      <x:c r="J568" s="9" t="n">
        <x:v>51.51</x:v>
      </x:c>
      <x:c r="K568" s="2" t="n">
        <x:v>8</x:v>
      </x:c>
      <x:c r="L568" s="2" t="str">
        <x:v>Valid</x:v>
      </x:c>
      <x:c r="M568" s="2" t="str">
        <x:v>QR</x:v>
      </x:c>
      <x:c r="N568" s="2" t="n">
        <x:v>1</x:v>
      </x:c>
      <x:c r="O568" s="2" t="str">
        <x:v>Accepted</x:v>
      </x:c>
      <x:c r="P568" s="2" t="str">
        <x:v>S001</x:v>
      </x:c>
      <x:c r="Q568" s="2" t="str">
        <x:v>DEV001</x:v>
      </x:c>
      <x:c r="R568" s="2" t="n">
        <x:v>31</x:v>
      </x:c>
      <x:c r="S568" s="2" t="str">
        <x:v>Online</x:v>
      </x:c>
      <x:c r="T568" s="2" t="str">
        <x:v>Synced</x:v>
      </x:c>
    </x:row>
    <x:row r="569" ht="21" customHeight="1">
      <x:c r="A569" s="2" t="str">
        <x:v>EV000658</x:v>
      </x:c>
      <x:c r="B569" s="2" t="str">
        <x:v>T20261005-1-2</x:v>
      </x:c>
      <x:c r="C569" s="2" t="str">
        <x:v>ST051</x:v>
      </x:c>
      <x:c r="D569" s="2" t="str">
        <x:v>410a66d29aea7be5806f7d6945266303</x:v>
      </x:c>
      <x:c r="E569" s="2" t="str">
        <x:v>CHECK_OUT</x:v>
      </x:c>
      <x:c r="F569" s="8" t="n">
        <x:v>46300.27673611111</x:v>
      </x:c>
      <x:c r="G569" s="8" t="n">
        <x:v>46300.27675925926</x:v>
      </x:c>
      <x:c r="H569" s="2" t="str">
        <x:v>SCH01</x:v>
      </x:c>
      <x:c r="I569" s="9" t="n">
        <x:v>25.285</x:v>
      </x:c>
      <x:c r="J569" s="9" t="n">
        <x:v>51.51</x:v>
      </x:c>
      <x:c r="K569" s="2" t="n">
        <x:v>8</x:v>
      </x:c>
      <x:c r="L569" s="2" t="str">
        <x:v>Valid</x:v>
      </x:c>
      <x:c r="M569" s="2" t="str">
        <x:v>QR</x:v>
      </x:c>
      <x:c r="N569" s="2" t="n">
        <x:v>1</x:v>
      </x:c>
      <x:c r="O569" s="2" t="str">
        <x:v>Accepted</x:v>
      </x:c>
      <x:c r="P569" s="2" t="str">
        <x:v>S002</x:v>
      </x:c>
      <x:c r="Q569" s="2" t="str">
        <x:v>DEV002</x:v>
      </x:c>
      <x:c r="R569" s="2" t="n">
        <x:v>29</x:v>
      </x:c>
      <x:c r="S569" s="2" t="str">
        <x:v>Online</x:v>
      </x:c>
      <x:c r="T569" s="2" t="str">
        <x:v>Synced</x:v>
      </x:c>
    </x:row>
    <x:row r="570" ht="21" customHeight="1">
      <x:c r="A570" s="2" t="str">
        <x:v>EV000816</x:v>
      </x:c>
      <x:c r="B570" s="2" t="str">
        <x:v>T20261005-1-3</x:v>
      </x:c>
      <x:c r="C570" s="2" t="str">
        <x:v>ST091</x:v>
      </x:c>
      <x:c r="D570" s="2" t="str">
        <x:v>2d74afc7329a1eb53bd16a92fc366891</x:v>
      </x:c>
      <x:c r="E570" s="2" t="str">
        <x:v>CHECK_OUT</x:v>
      </x:c>
      <x:c r="F570" s="8" t="n">
        <x:v>46300.27673611111</x:v>
      </x:c>
      <x:c r="G570" s="8" t="n">
        <x:v>46300.27675925926</x:v>
      </x:c>
      <x:c r="H570" s="2" t="str">
        <x:v>SCH01</x:v>
      </x:c>
      <x:c r="I570" s="9" t="n">
        <x:v>25.285</x:v>
      </x:c>
      <x:c r="J570" s="9" t="n">
        <x:v>51.51</x:v>
      </x:c>
      <x:c r="K570" s="2" t="n">
        <x:v>8</x:v>
      </x:c>
      <x:c r="L570" s="2" t="str">
        <x:v>Valid</x:v>
      </x:c>
      <x:c r="M570" s="2" t="str">
        <x:v>QR</x:v>
      </x:c>
      <x:c r="N570" s="2" t="n">
        <x:v>1</x:v>
      </x:c>
      <x:c r="O570" s="2" t="str">
        <x:v>Accepted</x:v>
      </x:c>
      <x:c r="P570" s="2" t="str">
        <x:v>S003</x:v>
      </x:c>
      <x:c r="Q570" s="2" t="str">
        <x:v>DEV003</x:v>
      </x:c>
      <x:c r="R570" s="2" t="n">
        <x:v>31</x:v>
      </x:c>
      <x:c r="S570" s="2" t="str">
        <x:v>Online</x:v>
      </x:c>
      <x:c r="T570" s="2" t="str">
        <x:v>Synced</x:v>
      </x:c>
    </x:row>
    <x:row r="571" ht="21" customHeight="1">
      <x:c r="A571" s="2" t="str">
        <x:v>EV000502</x:v>
      </x:c>
      <x:c r="B571" s="2" t="str">
        <x:v>T20261005-1-1</x:v>
      </x:c>
      <x:c r="C571" s="2" t="str">
        <x:v>ST012</x:v>
      </x:c>
      <x:c r="D571" s="2" t="str">
        <x:v>8d45a06a93234042b630e18d7821ea23</x:v>
      </x:c>
      <x:c r="E571" s="2" t="str">
        <x:v>CHECK_OUT</x:v>
      </x:c>
      <x:c r="F571" s="8" t="n">
        <x:v>46300.276770833334</x:v>
      </x:c>
      <x:c r="G571" s="8" t="n">
        <x:v>46300.27679398148</x:v>
      </x:c>
      <x:c r="H571" s="2" t="str">
        <x:v>SCH01</x:v>
      </x:c>
      <x:c r="I571" s="9" t="n">
        <x:v>25.285</x:v>
      </x:c>
      <x:c r="J571" s="9" t="n">
        <x:v>51.51</x:v>
      </x:c>
      <x:c r="K571" s="2" t="n">
        <x:v>8</x:v>
      </x:c>
      <x:c r="L571" s="2" t="str">
        <x:v>Valid</x:v>
      </x:c>
      <x:c r="M571" s="2" t="str">
        <x:v>QR</x:v>
      </x:c>
      <x:c r="N571" s="2" t="n">
        <x:v>1</x:v>
      </x:c>
      <x:c r="O571" s="2" t="str">
        <x:v>Accepted</x:v>
      </x:c>
      <x:c r="P571" s="2" t="str">
        <x:v>S001</x:v>
      </x:c>
      <x:c r="Q571" s="2" t="str">
        <x:v>DEV001</x:v>
      </x:c>
      <x:c r="R571" s="2" t="n">
        <x:v>32</x:v>
      </x:c>
      <x:c r="S571" s="2" t="str">
        <x:v>Online</x:v>
      </x:c>
      <x:c r="T571" s="2" t="str">
        <x:v>Synced</x:v>
      </x:c>
    </x:row>
    <x:row r="572" ht="21" customHeight="1">
      <x:c r="A572" s="2" t="str">
        <x:v>EV000660</x:v>
      </x:c>
      <x:c r="B572" s="2" t="str">
        <x:v>T20261005-1-2</x:v>
      </x:c>
      <x:c r="C572" s="2" t="str">
        <x:v>ST052</x:v>
      </x:c>
      <x:c r="D572" s="2" t="str">
        <x:v>0c1c5957fe0604ae228ff5e1e1a785bc</x:v>
      </x:c>
      <x:c r="E572" s="2" t="str">
        <x:v>CHECK_OUT</x:v>
      </x:c>
      <x:c r="F572" s="8" t="n">
        <x:v>46300.276770833334</x:v>
      </x:c>
      <x:c r="G572" s="8" t="n">
        <x:v>46300.27679398148</x:v>
      </x:c>
      <x:c r="H572" s="2" t="str">
        <x:v>SCH01</x:v>
      </x:c>
      <x:c r="I572" s="9" t="n">
        <x:v>25.285</x:v>
      </x:c>
      <x:c r="J572" s="9" t="n">
        <x:v>51.51</x:v>
      </x:c>
      <x:c r="K572" s="2" t="n">
        <x:v>8</x:v>
      </x:c>
      <x:c r="L572" s="2" t="str">
        <x:v>Valid</x:v>
      </x:c>
      <x:c r="M572" s="2" t="str">
        <x:v>QR</x:v>
      </x:c>
      <x:c r="N572" s="2" t="n">
        <x:v>1</x:v>
      </x:c>
      <x:c r="O572" s="2" t="str">
        <x:v>Accepted</x:v>
      </x:c>
      <x:c r="P572" s="2" t="str">
        <x:v>S002</x:v>
      </x:c>
      <x:c r="Q572" s="2" t="str">
        <x:v>DEV002</x:v>
      </x:c>
      <x:c r="R572" s="2" t="n">
        <x:v>30</x:v>
      </x:c>
      <x:c r="S572" s="2" t="str">
        <x:v>Online</x:v>
      </x:c>
      <x:c r="T572" s="2" t="str">
        <x:v>Synced</x:v>
      </x:c>
    </x:row>
    <x:row r="573" ht="21" customHeight="1">
      <x:c r="A573" s="2" t="str">
        <x:v>EV000818</x:v>
      </x:c>
      <x:c r="B573" s="2" t="str">
        <x:v>T20261005-1-3</x:v>
      </x:c>
      <x:c r="C573" s="2" t="str">
        <x:v>ST092</x:v>
      </x:c>
      <x:c r="D573" s="2" t="str">
        <x:v>e83e93b137787f284ae9574a02ff0cc7</x:v>
      </x:c>
      <x:c r="E573" s="2" t="str">
        <x:v>CHECK_OUT</x:v>
      </x:c>
      <x:c r="F573" s="8" t="n">
        <x:v>46300.276770833334</x:v>
      </x:c>
      <x:c r="G573" s="8" t="n">
        <x:v>46300.27679398148</x:v>
      </x:c>
      <x:c r="H573" s="2" t="str">
        <x:v>SCH01</x:v>
      </x:c>
      <x:c r="I573" s="9" t="n">
        <x:v>25.285</x:v>
      </x:c>
      <x:c r="J573" s="9" t="n">
        <x:v>51.51</x:v>
      </x:c>
      <x:c r="K573" s="2" t="n">
        <x:v>8</x:v>
      </x:c>
      <x:c r="L573" s="2" t="str">
        <x:v>Valid</x:v>
      </x:c>
      <x:c r="M573" s="2" t="str">
        <x:v>QR</x:v>
      </x:c>
      <x:c r="N573" s="2" t="n">
        <x:v>1</x:v>
      </x:c>
      <x:c r="O573" s="2" t="str">
        <x:v>Accepted</x:v>
      </x:c>
      <x:c r="P573" s="2" t="str">
        <x:v>S003</x:v>
      </x:c>
      <x:c r="Q573" s="2" t="str">
        <x:v>DEV003</x:v>
      </x:c>
      <x:c r="R573" s="2" t="n">
        <x:v>32</x:v>
      </x:c>
      <x:c r="S573" s="2" t="str">
        <x:v>Online</x:v>
      </x:c>
      <x:c r="T573" s="2" t="str">
        <x:v>Synced</x:v>
      </x:c>
    </x:row>
    <x:row r="574" ht="21" customHeight="1">
      <x:c r="A574" s="2" t="str">
        <x:v>EV000504</x:v>
      </x:c>
      <x:c r="B574" s="2" t="str">
        <x:v>T20261005-1-1</x:v>
      </x:c>
      <x:c r="C574" s="2" t="str">
        <x:v>ST013</x:v>
      </x:c>
      <x:c r="D574" s="2" t="str">
        <x:v>ddc4bbe364f02f5a2177795c49ea7ba9</x:v>
      </x:c>
      <x:c r="E574" s="2" t="str">
        <x:v>CHECK_OUT</x:v>
      </x:c>
      <x:c r="F574" s="8" t="n">
        <x:v>46300.27680555556</x:v>
      </x:c>
      <x:c r="G574" s="8" t="n">
        <x:v>46300.2768287037</x:v>
      </x:c>
      <x:c r="H574" s="2" t="str">
        <x:v>SCH01</x:v>
      </x:c>
      <x:c r="I574" s="9" t="n">
        <x:v>25.285</x:v>
      </x:c>
      <x:c r="J574" s="9" t="n">
        <x:v>51.51</x:v>
      </x:c>
      <x:c r="K574" s="2" t="n">
        <x:v>8</x:v>
      </x:c>
      <x:c r="L574" s="2" t="str">
        <x:v>Valid</x:v>
      </x:c>
      <x:c r="M574" s="2" t="str">
        <x:v>QR</x:v>
      </x:c>
      <x:c r="N574" s="2" t="n">
        <x:v>1</x:v>
      </x:c>
      <x:c r="O574" s="2" t="str">
        <x:v>Accepted</x:v>
      </x:c>
      <x:c r="P574" s="2" t="str">
        <x:v>S001</x:v>
      </x:c>
      <x:c r="Q574" s="2" t="str">
        <x:v>DEV001</x:v>
      </x:c>
      <x:c r="R574" s="2" t="n">
        <x:v>33</x:v>
      </x:c>
      <x:c r="S574" s="2" t="str">
        <x:v>Online</x:v>
      </x:c>
      <x:c r="T574" s="2" t="str">
        <x:v>Synced</x:v>
      </x:c>
    </x:row>
    <x:row r="575" ht="21" customHeight="1">
      <x:c r="A575" s="2" t="str">
        <x:v>EV000662</x:v>
      </x:c>
      <x:c r="B575" s="2" t="str">
        <x:v>T20261005-1-2</x:v>
      </x:c>
      <x:c r="C575" s="2" t="str">
        <x:v>ST053</x:v>
      </x:c>
      <x:c r="D575" s="2" t="str">
        <x:v>e476277c519e294480cfa14a37e177a0</x:v>
      </x:c>
      <x:c r="E575" s="2" t="str">
        <x:v>CHECK_OUT</x:v>
      </x:c>
      <x:c r="F575" s="8" t="n">
        <x:v>46300.27680555556</x:v>
      </x:c>
      <x:c r="G575" s="8" t="n">
        <x:v>46300.2768287037</x:v>
      </x:c>
      <x:c r="H575" s="2" t="str">
        <x:v>SCH01</x:v>
      </x:c>
      <x:c r="I575" s="9" t="n">
        <x:v>25.285</x:v>
      </x:c>
      <x:c r="J575" s="9" t="n">
        <x:v>51.51</x:v>
      </x:c>
      <x:c r="K575" s="2" t="n">
        <x:v>8</x:v>
      </x:c>
      <x:c r="L575" s="2" t="str">
        <x:v>Valid</x:v>
      </x:c>
      <x:c r="M575" s="2" t="str">
        <x:v>QR</x:v>
      </x:c>
      <x:c r="N575" s="2" t="n">
        <x:v>1</x:v>
      </x:c>
      <x:c r="O575" s="2" t="str">
        <x:v>Accepted</x:v>
      </x:c>
      <x:c r="P575" s="2" t="str">
        <x:v>S002</x:v>
      </x:c>
      <x:c r="Q575" s="2" t="str">
        <x:v>DEV002</x:v>
      </x:c>
      <x:c r="R575" s="2" t="n">
        <x:v>31</x:v>
      </x:c>
      <x:c r="S575" s="2" t="str">
        <x:v>Online</x:v>
      </x:c>
      <x:c r="T575" s="2" t="str">
        <x:v>Synced</x:v>
      </x:c>
    </x:row>
    <x:row r="576" ht="21" customHeight="1">
      <x:c r="A576" s="2" t="str">
        <x:v>EV000820</x:v>
      </x:c>
      <x:c r="B576" s="2" t="str">
        <x:v>T20261005-1-3</x:v>
      </x:c>
      <x:c r="C576" s="2" t="str">
        <x:v>ST093</x:v>
      </x:c>
      <x:c r="D576" s="2" t="str">
        <x:v>e69cdca4f10e82426e9a3098f4672791</x:v>
      </x:c>
      <x:c r="E576" s="2" t="str">
        <x:v>CHECK_OUT</x:v>
      </x:c>
      <x:c r="F576" s="8" t="n">
        <x:v>46300.27680555556</x:v>
      </x:c>
      <x:c r="G576" s="8" t="n">
        <x:v>46300.2768287037</x:v>
      </x:c>
      <x:c r="H576" s="2" t="str">
        <x:v>SCH01</x:v>
      </x:c>
      <x:c r="I576" s="9" t="n">
        <x:v>25.285</x:v>
      </x:c>
      <x:c r="J576" s="9" t="n">
        <x:v>51.51</x:v>
      </x:c>
      <x:c r="K576" s="2" t="n">
        <x:v>8</x:v>
      </x:c>
      <x:c r="L576" s="2" t="str">
        <x:v>Valid</x:v>
      </x:c>
      <x:c r="M576" s="2" t="str">
        <x:v>QR</x:v>
      </x:c>
      <x:c r="N576" s="2" t="n">
        <x:v>1</x:v>
      </x:c>
      <x:c r="O576" s="2" t="str">
        <x:v>Accepted</x:v>
      </x:c>
      <x:c r="P576" s="2" t="str">
        <x:v>S003</x:v>
      </x:c>
      <x:c r="Q576" s="2" t="str">
        <x:v>DEV003</x:v>
      </x:c>
      <x:c r="R576" s="2" t="n">
        <x:v>33</x:v>
      </x:c>
      <x:c r="S576" s="2" t="str">
        <x:v>Online</x:v>
      </x:c>
      <x:c r="T576" s="2" t="str">
        <x:v>Synced</x:v>
      </x:c>
    </x:row>
    <x:row r="577" ht="21" customHeight="1">
      <x:c r="A577" s="2" t="str">
        <x:v>EV000506</x:v>
      </x:c>
      <x:c r="B577" s="2" t="str">
        <x:v>T20261005-1-1</x:v>
      </x:c>
      <x:c r="C577" s="2" t="str">
        <x:v>ST014</x:v>
      </x:c>
      <x:c r="D577" s="2" t="str">
        <x:v>6ea4b25306143e251962ae19fa8ee7af</x:v>
      </x:c>
      <x:c r="E577" s="2" t="str">
        <x:v>CHECK_OUT</x:v>
      </x:c>
      <x:c r="F577" s="8" t="n">
        <x:v>46300.27684027777</x:v>
      </x:c>
      <x:c r="G577" s="8" t="n">
        <x:v>46300.27686342592</x:v>
      </x:c>
      <x:c r="H577" s="2" t="str">
        <x:v>SCH01</x:v>
      </x:c>
      <x:c r="I577" s="9" t="n">
        <x:v>25.285</x:v>
      </x:c>
      <x:c r="J577" s="9" t="n">
        <x:v>51.51</x:v>
      </x:c>
      <x:c r="K577" s="2" t="n">
        <x:v>8</x:v>
      </x:c>
      <x:c r="L577" s="2" t="str">
        <x:v>Valid</x:v>
      </x:c>
      <x:c r="M577" s="2" t="str">
        <x:v>QR</x:v>
      </x:c>
      <x:c r="N577" s="2" t="n">
        <x:v>1</x:v>
      </x:c>
      <x:c r="O577" s="2" t="str">
        <x:v>Accepted</x:v>
      </x:c>
      <x:c r="P577" s="2" t="str">
        <x:v>S001</x:v>
      </x:c>
      <x:c r="Q577" s="2" t="str">
        <x:v>DEV001</x:v>
      </x:c>
      <x:c r="R577" s="2" t="n">
        <x:v>34</x:v>
      </x:c>
      <x:c r="S577" s="2" t="str">
        <x:v>Online</x:v>
      </x:c>
      <x:c r="T577" s="2" t="str">
        <x:v>Synced</x:v>
      </x:c>
    </x:row>
    <x:row r="578" ht="21" customHeight="1">
      <x:c r="A578" s="2" t="str">
        <x:v>EV000664</x:v>
      </x:c>
      <x:c r="B578" s="2" t="str">
        <x:v>T20261005-1-2</x:v>
      </x:c>
      <x:c r="C578" s="2" t="str">
        <x:v>ST054</x:v>
      </x:c>
      <x:c r="D578" s="2" t="str">
        <x:v>1c9a916db52e081aeb59bc928cb914dd</x:v>
      </x:c>
      <x:c r="E578" s="2" t="str">
        <x:v>CHECK_OUT</x:v>
      </x:c>
      <x:c r="F578" s="8" t="n">
        <x:v>46300.27684027777</x:v>
      </x:c>
      <x:c r="G578" s="8" t="n">
        <x:v>46300.27686342592</x:v>
      </x:c>
      <x:c r="H578" s="2" t="str">
        <x:v>SCH01</x:v>
      </x:c>
      <x:c r="I578" s="9" t="n">
        <x:v>25.285</x:v>
      </x:c>
      <x:c r="J578" s="9" t="n">
        <x:v>51.51</x:v>
      </x:c>
      <x:c r="K578" s="2" t="n">
        <x:v>8</x:v>
      </x:c>
      <x:c r="L578" s="2" t="str">
        <x:v>Valid</x:v>
      </x:c>
      <x:c r="M578" s="2" t="str">
        <x:v>QR</x:v>
      </x:c>
      <x:c r="N578" s="2" t="n">
        <x:v>1</x:v>
      </x:c>
      <x:c r="O578" s="2" t="str">
        <x:v>Accepted</x:v>
      </x:c>
      <x:c r="P578" s="2" t="str">
        <x:v>S002</x:v>
      </x:c>
      <x:c r="Q578" s="2" t="str">
        <x:v>DEV002</x:v>
      </x:c>
      <x:c r="R578" s="2" t="n">
        <x:v>32</x:v>
      </x:c>
      <x:c r="S578" s="2" t="str">
        <x:v>Online</x:v>
      </x:c>
      <x:c r="T578" s="2" t="str">
        <x:v>Synced</x:v>
      </x:c>
    </x:row>
    <x:row r="579" ht="21" customHeight="1">
      <x:c r="A579" s="2" t="str">
        <x:v>EV000822</x:v>
      </x:c>
      <x:c r="B579" s="2" t="str">
        <x:v>T20261005-1-3</x:v>
      </x:c>
      <x:c r="C579" s="2" t="str">
        <x:v>ST094</x:v>
      </x:c>
      <x:c r="D579" s="2" t="str">
        <x:v>b6fd37c188877a378c496dccb3132cf2</x:v>
      </x:c>
      <x:c r="E579" s="2" t="str">
        <x:v>CHECK_OUT</x:v>
      </x:c>
      <x:c r="F579" s="8" t="n">
        <x:v>46300.27684027777</x:v>
      </x:c>
      <x:c r="G579" s="8" t="n">
        <x:v>46300.27686342592</x:v>
      </x:c>
      <x:c r="H579" s="2" t="str">
        <x:v>SCH01</x:v>
      </x:c>
      <x:c r="I579" s="9" t="n">
        <x:v>25.285</x:v>
      </x:c>
      <x:c r="J579" s="9" t="n">
        <x:v>51.51</x:v>
      </x:c>
      <x:c r="K579" s="2" t="n">
        <x:v>8</x:v>
      </x:c>
      <x:c r="L579" s="2" t="str">
        <x:v>Valid</x:v>
      </x:c>
      <x:c r="M579" s="2" t="str">
        <x:v>QR</x:v>
      </x:c>
      <x:c r="N579" s="2" t="n">
        <x:v>1</x:v>
      </x:c>
      <x:c r="O579" s="2" t="str">
        <x:v>Accepted</x:v>
      </x:c>
      <x:c r="P579" s="2" t="str">
        <x:v>S003</x:v>
      </x:c>
      <x:c r="Q579" s="2" t="str">
        <x:v>DEV003</x:v>
      </x:c>
      <x:c r="R579" s="2" t="n">
        <x:v>34</x:v>
      </x:c>
      <x:c r="S579" s="2" t="str">
        <x:v>Online</x:v>
      </x:c>
      <x:c r="T579" s="2" t="str">
        <x:v>Synced</x:v>
      </x:c>
    </x:row>
    <x:row r="580" ht="21" customHeight="1">
      <x:c r="A580" s="2" t="str">
        <x:v>EV000508</x:v>
      </x:c>
      <x:c r="B580" s="2" t="str">
        <x:v>T20261005-1-1</x:v>
      </x:c>
      <x:c r="C580" s="2" t="str">
        <x:v>ST015</x:v>
      </x:c>
      <x:c r="D580" s="2" t="str">
        <x:v>997c76227e9b12bdccc68d0d53a8d1df</x:v>
      </x:c>
      <x:c r="E580" s="2" t="str">
        <x:v>CHECK_OUT</x:v>
      </x:c>
      <x:c r="F580" s="8" t="n">
        <x:v>46300.276874999996</x:v>
      </x:c>
      <x:c r="G580" s="8" t="n">
        <x:v>46300.27689814814</x:v>
      </x:c>
      <x:c r="H580" s="2" t="str">
        <x:v>SCH01</x:v>
      </x:c>
      <x:c r="I580" s="9" t="n">
        <x:v>25.285</x:v>
      </x:c>
      <x:c r="J580" s="9" t="n">
        <x:v>51.51</x:v>
      </x:c>
      <x:c r="K580" s="2" t="n">
        <x:v>8</x:v>
      </x:c>
      <x:c r="L580" s="2" t="str">
        <x:v>Valid</x:v>
      </x:c>
      <x:c r="M580" s="2" t="str">
        <x:v>QR</x:v>
      </x:c>
      <x:c r="N580" s="2" t="n">
        <x:v>1</x:v>
      </x:c>
      <x:c r="O580" s="2" t="str">
        <x:v>Accepted</x:v>
      </x:c>
      <x:c r="P580" s="2" t="str">
        <x:v>S001</x:v>
      </x:c>
      <x:c r="Q580" s="2" t="str">
        <x:v>DEV001</x:v>
      </x:c>
      <x:c r="R580" s="2" t="n">
        <x:v>35</x:v>
      </x:c>
      <x:c r="S580" s="2" t="str">
        <x:v>Online</x:v>
      </x:c>
      <x:c r="T580" s="2" t="str">
        <x:v>Synced</x:v>
      </x:c>
    </x:row>
    <x:row r="581" ht="21" customHeight="1">
      <x:c r="A581" s="2" t="str">
        <x:v>EV000666</x:v>
      </x:c>
      <x:c r="B581" s="2" t="str">
        <x:v>T20261005-1-2</x:v>
      </x:c>
      <x:c r="C581" s="2" t="str">
        <x:v>ST055</x:v>
      </x:c>
      <x:c r="D581" s="2" t="str">
        <x:v>e796258b9306e2b3efab77a21add36a5</x:v>
      </x:c>
      <x:c r="E581" s="2" t="str">
        <x:v>CHECK_OUT</x:v>
      </x:c>
      <x:c r="F581" s="8" t="n">
        <x:v>46300.276874999996</x:v>
      </x:c>
      <x:c r="G581" s="8" t="n">
        <x:v>46300.27689814814</x:v>
      </x:c>
      <x:c r="H581" s="2" t="str">
        <x:v>SCH01</x:v>
      </x:c>
      <x:c r="I581" s="9" t="n">
        <x:v>25.285</x:v>
      </x:c>
      <x:c r="J581" s="9" t="n">
        <x:v>51.51</x:v>
      </x:c>
      <x:c r="K581" s="2" t="n">
        <x:v>8</x:v>
      </x:c>
      <x:c r="L581" s="2" t="str">
        <x:v>Valid</x:v>
      </x:c>
      <x:c r="M581" s="2" t="str">
        <x:v>QR</x:v>
      </x:c>
      <x:c r="N581" s="2" t="n">
        <x:v>1</x:v>
      </x:c>
      <x:c r="O581" s="2" t="str">
        <x:v>Accepted</x:v>
      </x:c>
      <x:c r="P581" s="2" t="str">
        <x:v>S002</x:v>
      </x:c>
      <x:c r="Q581" s="2" t="str">
        <x:v>DEV002</x:v>
      </x:c>
      <x:c r="R581" s="2" t="n">
        <x:v>33</x:v>
      </x:c>
      <x:c r="S581" s="2" t="str">
        <x:v>Online</x:v>
      </x:c>
      <x:c r="T581" s="2" t="str">
        <x:v>Synced</x:v>
      </x:c>
    </x:row>
    <x:row r="582" ht="21" customHeight="1">
      <x:c r="A582" s="2" t="str">
        <x:v>EV000824</x:v>
      </x:c>
      <x:c r="B582" s="2" t="str">
        <x:v>T20261005-1-3</x:v>
      </x:c>
      <x:c r="C582" s="2" t="str">
        <x:v>ST095</x:v>
      </x:c>
      <x:c r="D582" s="2" t="str">
        <x:v>0935ee2c52872353d5a355eed1202dbe</x:v>
      </x:c>
      <x:c r="E582" s="2" t="str">
        <x:v>CHECK_OUT</x:v>
      </x:c>
      <x:c r="F582" s="8" t="n">
        <x:v>46300.276874999996</x:v>
      </x:c>
      <x:c r="G582" s="8" t="n">
        <x:v>46300.27689814814</x:v>
      </x:c>
      <x:c r="H582" s="2" t="str">
        <x:v>SCH01</x:v>
      </x:c>
      <x:c r="I582" s="9" t="n">
        <x:v>25.285</x:v>
      </x:c>
      <x:c r="J582" s="9" t="n">
        <x:v>51.51</x:v>
      </x:c>
      <x:c r="K582" s="2" t="n">
        <x:v>8</x:v>
      </x:c>
      <x:c r="L582" s="2" t="str">
        <x:v>Valid</x:v>
      </x:c>
      <x:c r="M582" s="2" t="str">
        <x:v>QR</x:v>
      </x:c>
      <x:c r="N582" s="2" t="n">
        <x:v>1</x:v>
      </x:c>
      <x:c r="O582" s="2" t="str">
        <x:v>Accepted</x:v>
      </x:c>
      <x:c r="P582" s="2" t="str">
        <x:v>S003</x:v>
      </x:c>
      <x:c r="Q582" s="2" t="str">
        <x:v>DEV003</x:v>
      </x:c>
      <x:c r="R582" s="2" t="n">
        <x:v>35</x:v>
      </x:c>
      <x:c r="S582" s="2" t="str">
        <x:v>Online</x:v>
      </x:c>
      <x:c r="T582" s="2" t="str">
        <x:v>Synced</x:v>
      </x:c>
    </x:row>
    <x:row r="583" ht="21" customHeight="1">
      <x:c r="A583" s="2" t="str">
        <x:v>EV000510</x:v>
      </x:c>
      <x:c r="B583" s="2" t="str">
        <x:v>T20261005-1-1</x:v>
      </x:c>
      <x:c r="C583" s="2" t="str">
        <x:v>ST016</x:v>
      </x:c>
      <x:c r="D583" s="2" t="str">
        <x:v>5227a65bcc4ea356d570fe16b2970ea5</x:v>
      </x:c>
      <x:c r="E583" s="2" t="str">
        <x:v>CHECK_OUT</x:v>
      </x:c>
      <x:c r="F583" s="8" t="n">
        <x:v>46300.27690972222</x:v>
      </x:c>
      <x:c r="G583" s="8" t="n">
        <x:v>46300.276932870365</x:v>
      </x:c>
      <x:c r="H583" s="2" t="str">
        <x:v>SCH01</x:v>
      </x:c>
      <x:c r="I583" s="9" t="n">
        <x:v>25.285</x:v>
      </x:c>
      <x:c r="J583" s="9" t="n">
        <x:v>51.51</x:v>
      </x:c>
      <x:c r="K583" s="2" t="n">
        <x:v>8</x:v>
      </x:c>
      <x:c r="L583" s="2" t="str">
        <x:v>Valid</x:v>
      </x:c>
      <x:c r="M583" s="2" t="str">
        <x:v>QR</x:v>
      </x:c>
      <x:c r="N583" s="2" t="n">
        <x:v>1</x:v>
      </x:c>
      <x:c r="O583" s="2" t="str">
        <x:v>Accepted</x:v>
      </x:c>
      <x:c r="P583" s="2" t="str">
        <x:v>S001</x:v>
      </x:c>
      <x:c r="Q583" s="2" t="str">
        <x:v>DEV001</x:v>
      </x:c>
      <x:c r="R583" s="2" t="n">
        <x:v>36</x:v>
      </x:c>
      <x:c r="S583" s="2" t="str">
        <x:v>Online</x:v>
      </x:c>
      <x:c r="T583" s="2" t="str">
        <x:v>Synced</x:v>
      </x:c>
    </x:row>
    <x:row r="584" ht="21" customHeight="1">
      <x:c r="A584" s="2" t="str">
        <x:v>EV000668</x:v>
      </x:c>
      <x:c r="B584" s="2" t="str">
        <x:v>T20261005-1-2</x:v>
      </x:c>
      <x:c r="C584" s="2" t="str">
        <x:v>ST056</x:v>
      </x:c>
      <x:c r="D584" s="2" t="str">
        <x:v>245ed370430be1001f6d7d13404dd8b1</x:v>
      </x:c>
      <x:c r="E584" s="2" t="str">
        <x:v>CHECK_OUT</x:v>
      </x:c>
      <x:c r="F584" s="8" t="n">
        <x:v>46300.27690972222</x:v>
      </x:c>
      <x:c r="G584" s="8" t="n">
        <x:v>46300.276932870365</x:v>
      </x:c>
      <x:c r="H584" s="2" t="str">
        <x:v>SCH01</x:v>
      </x:c>
      <x:c r="I584" s="9" t="n">
        <x:v>25.285</x:v>
      </x:c>
      <x:c r="J584" s="9" t="n">
        <x:v>51.51</x:v>
      </x:c>
      <x:c r="K584" s="2" t="n">
        <x:v>8</x:v>
      </x:c>
      <x:c r="L584" s="2" t="str">
        <x:v>Valid</x:v>
      </x:c>
      <x:c r="M584" s="2" t="str">
        <x:v>QR</x:v>
      </x:c>
      <x:c r="N584" s="2" t="n">
        <x:v>1</x:v>
      </x:c>
      <x:c r="O584" s="2" t="str">
        <x:v>Accepted</x:v>
      </x:c>
      <x:c r="P584" s="2" t="str">
        <x:v>S002</x:v>
      </x:c>
      <x:c r="Q584" s="2" t="str">
        <x:v>DEV002</x:v>
      </x:c>
      <x:c r="R584" s="2" t="n">
        <x:v>34</x:v>
      </x:c>
      <x:c r="S584" s="2" t="str">
        <x:v>Online</x:v>
      </x:c>
      <x:c r="T584" s="2" t="str">
        <x:v>Synced</x:v>
      </x:c>
    </x:row>
    <x:row r="585" ht="21" customHeight="1">
      <x:c r="A585" s="2" t="str">
        <x:v>EV000826</x:v>
      </x:c>
      <x:c r="B585" s="2" t="str">
        <x:v>T20261005-1-3</x:v>
      </x:c>
      <x:c r="C585" s="2" t="str">
        <x:v>ST096</x:v>
      </x:c>
      <x:c r="D585" s="2" t="str">
        <x:v>46905fa8ca039f79eec63d82a6ea3c69</x:v>
      </x:c>
      <x:c r="E585" s="2" t="str">
        <x:v>CHECK_OUT</x:v>
      </x:c>
      <x:c r="F585" s="8" t="n">
        <x:v>46300.27690972222</x:v>
      </x:c>
      <x:c r="G585" s="8" t="n">
        <x:v>46300.276932870365</x:v>
      </x:c>
      <x:c r="H585" s="2" t="str">
        <x:v>SCH01</x:v>
      </x:c>
      <x:c r="I585" s="9" t="n">
        <x:v>25.285</x:v>
      </x:c>
      <x:c r="J585" s="9" t="n">
        <x:v>51.51</x:v>
      </x:c>
      <x:c r="K585" s="2" t="n">
        <x:v>8</x:v>
      </x:c>
      <x:c r="L585" s="2" t="str">
        <x:v>Valid</x:v>
      </x:c>
      <x:c r="M585" s="2" t="str">
        <x:v>QR</x:v>
      </x:c>
      <x:c r="N585" s="2" t="n">
        <x:v>1</x:v>
      </x:c>
      <x:c r="O585" s="2" t="str">
        <x:v>Accepted</x:v>
      </x:c>
      <x:c r="P585" s="2" t="str">
        <x:v>S003</x:v>
      </x:c>
      <x:c r="Q585" s="2" t="str">
        <x:v>DEV003</x:v>
      </x:c>
      <x:c r="R585" s="2" t="n">
        <x:v>36</x:v>
      </x:c>
      <x:c r="S585" s="2" t="str">
        <x:v>Online</x:v>
      </x:c>
      <x:c r="T585" s="2" t="str">
        <x:v>Synced</x:v>
      </x:c>
    </x:row>
    <x:row r="586" ht="21" customHeight="1">
      <x:c r="A586" s="2" t="str">
        <x:v>EV000512</x:v>
      </x:c>
      <x:c r="B586" s="2" t="str">
        <x:v>T20261005-1-1</x:v>
      </x:c>
      <x:c r="C586" s="2" t="str">
        <x:v>ST017</x:v>
      </x:c>
      <x:c r="D586" s="2" t="str">
        <x:v>ea6159d457322f2456f4cadd6b3d659f</x:v>
      </x:c>
      <x:c r="E586" s="2" t="str">
        <x:v>CHECK_OUT</x:v>
      </x:c>
      <x:c r="F586" s="8" t="n">
        <x:v>46300.27694444444</x:v>
      </x:c>
      <x:c r="G586" s="8" t="n">
        <x:v>46300.27696759259</x:v>
      </x:c>
      <x:c r="H586" s="2" t="str">
        <x:v>SCH01</x:v>
      </x:c>
      <x:c r="I586" s="9" t="n">
        <x:v>25.285</x:v>
      </x:c>
      <x:c r="J586" s="9" t="n">
        <x:v>51.51</x:v>
      </x:c>
      <x:c r="K586" s="2" t="n">
        <x:v>8</x:v>
      </x:c>
      <x:c r="L586" s="2" t="str">
        <x:v>Valid</x:v>
      </x:c>
      <x:c r="M586" s="2" t="str">
        <x:v>QR</x:v>
      </x:c>
      <x:c r="N586" s="2" t="n">
        <x:v>1</x:v>
      </x:c>
      <x:c r="O586" s="2" t="str">
        <x:v>Accepted</x:v>
      </x:c>
      <x:c r="P586" s="2" t="str">
        <x:v>S001</x:v>
      </x:c>
      <x:c r="Q586" s="2" t="str">
        <x:v>DEV001</x:v>
      </x:c>
      <x:c r="R586" s="2" t="n">
        <x:v>37</x:v>
      </x:c>
      <x:c r="S586" s="2" t="str">
        <x:v>Online</x:v>
      </x:c>
      <x:c r="T586" s="2" t="str">
        <x:v>Synced</x:v>
      </x:c>
    </x:row>
    <x:row r="587" ht="21" customHeight="1">
      <x:c r="A587" s="2" t="str">
        <x:v>EV000670</x:v>
      </x:c>
      <x:c r="B587" s="2" t="str">
        <x:v>T20261005-1-2</x:v>
      </x:c>
      <x:c r="C587" s="2" t="str">
        <x:v>ST057</x:v>
      </x:c>
      <x:c r="D587" s="2" t="str">
        <x:v>68d992c7418727808ad27d2e5ee9b88d</x:v>
      </x:c>
      <x:c r="E587" s="2" t="str">
        <x:v>CHECK_OUT</x:v>
      </x:c>
      <x:c r="F587" s="8" t="n">
        <x:v>46300.27694444444</x:v>
      </x:c>
      <x:c r="G587" s="8" t="n">
        <x:v>46300.27696759259</x:v>
      </x:c>
      <x:c r="H587" s="2" t="str">
        <x:v>SCH01</x:v>
      </x:c>
      <x:c r="I587" s="9" t="n">
        <x:v>25.285</x:v>
      </x:c>
      <x:c r="J587" s="9" t="n">
        <x:v>51.51</x:v>
      </x:c>
      <x:c r="K587" s="2" t="n">
        <x:v>8</x:v>
      </x:c>
      <x:c r="L587" s="2" t="str">
        <x:v>Valid</x:v>
      </x:c>
      <x:c r="M587" s="2" t="str">
        <x:v>QR</x:v>
      </x:c>
      <x:c r="N587" s="2" t="n">
        <x:v>1</x:v>
      </x:c>
      <x:c r="O587" s="2" t="str">
        <x:v>Accepted</x:v>
      </x:c>
      <x:c r="P587" s="2" t="str">
        <x:v>S002</x:v>
      </x:c>
      <x:c r="Q587" s="2" t="str">
        <x:v>DEV002</x:v>
      </x:c>
      <x:c r="R587" s="2" t="n">
        <x:v>35</x:v>
      </x:c>
      <x:c r="S587" s="2" t="str">
        <x:v>Online</x:v>
      </x:c>
      <x:c r="T587" s="2" t="str">
        <x:v>Synced</x:v>
      </x:c>
    </x:row>
    <x:row r="588" ht="21" customHeight="1">
      <x:c r="A588" s="2" t="str">
        <x:v>EV000828</x:v>
      </x:c>
      <x:c r="B588" s="2" t="str">
        <x:v>T20261005-1-3</x:v>
      </x:c>
      <x:c r="C588" s="2" t="str">
        <x:v>ST097</x:v>
      </x:c>
      <x:c r="D588" s="2" t="str">
        <x:v>0ccbf8d08569df9dde2207b8d5616d1e</x:v>
      </x:c>
      <x:c r="E588" s="2" t="str">
        <x:v>CHECK_OUT</x:v>
      </x:c>
      <x:c r="F588" s="8" t="n">
        <x:v>46300.27694444444</x:v>
      </x:c>
      <x:c r="G588" s="8" t="n">
        <x:v>46300.27696759259</x:v>
      </x:c>
      <x:c r="H588" s="2" t="str">
        <x:v>SCH01</x:v>
      </x:c>
      <x:c r="I588" s="9" t="n">
        <x:v>25.285</x:v>
      </x:c>
      <x:c r="J588" s="9" t="n">
        <x:v>51.51</x:v>
      </x:c>
      <x:c r="K588" s="2" t="n">
        <x:v>8</x:v>
      </x:c>
      <x:c r="L588" s="2" t="str">
        <x:v>Valid</x:v>
      </x:c>
      <x:c r="M588" s="2" t="str">
        <x:v>QR</x:v>
      </x:c>
      <x:c r="N588" s="2" t="n">
        <x:v>1</x:v>
      </x:c>
      <x:c r="O588" s="2" t="str">
        <x:v>Accepted</x:v>
      </x:c>
      <x:c r="P588" s="2" t="str">
        <x:v>S003</x:v>
      </x:c>
      <x:c r="Q588" s="2" t="str">
        <x:v>DEV003</x:v>
      </x:c>
      <x:c r="R588" s="2" t="n">
        <x:v>37</x:v>
      </x:c>
      <x:c r="S588" s="2" t="str">
        <x:v>Online</x:v>
      </x:c>
      <x:c r="T588" s="2" t="str">
        <x:v>Synced</x:v>
      </x:c>
    </x:row>
    <x:row r="589" ht="21" customHeight="1">
      <x:c r="A589" s="2" t="str">
        <x:v>EV000514</x:v>
      </x:c>
      <x:c r="B589" s="2" t="str">
        <x:v>T20261005-1-1</x:v>
      </x:c>
      <x:c r="C589" s="2" t="str">
        <x:v>ST018</x:v>
      </x:c>
      <x:c r="D589" s="2" t="str">
        <x:v>4c1b40081ed5c7c21b8392ee528dbe54</x:v>
      </x:c>
      <x:c r="E589" s="2" t="str">
        <x:v>CHECK_OUT</x:v>
      </x:c>
      <x:c r="F589" s="8" t="n">
        <x:v>46300.276979166665</x:v>
      </x:c>
      <x:c r="G589" s="8" t="n">
        <x:v>46300.27700231481</x:v>
      </x:c>
      <x:c r="H589" s="2" t="str">
        <x:v>SCH01</x:v>
      </x:c>
      <x:c r="I589" s="9" t="n">
        <x:v>25.285</x:v>
      </x:c>
      <x:c r="J589" s="9" t="n">
        <x:v>51.51</x:v>
      </x:c>
      <x:c r="K589" s="2" t="n">
        <x:v>8</x:v>
      </x:c>
      <x:c r="L589" s="2" t="str">
        <x:v>Valid</x:v>
      </x:c>
      <x:c r="M589" s="2" t="str">
        <x:v>QR</x:v>
      </x:c>
      <x:c r="N589" s="2" t="n">
        <x:v>1</x:v>
      </x:c>
      <x:c r="O589" s="2" t="str">
        <x:v>Accepted</x:v>
      </x:c>
      <x:c r="P589" s="2" t="str">
        <x:v>S001</x:v>
      </x:c>
      <x:c r="Q589" s="2" t="str">
        <x:v>DEV001</x:v>
      </x:c>
      <x:c r="R589" s="2" t="n">
        <x:v>38</x:v>
      </x:c>
      <x:c r="S589" s="2" t="str">
        <x:v>Online</x:v>
      </x:c>
      <x:c r="T589" s="2" t="str">
        <x:v>Synced</x:v>
      </x:c>
    </x:row>
    <x:row r="590" ht="21" customHeight="1">
      <x:c r="A590" s="2" t="str">
        <x:v>EV000672</x:v>
      </x:c>
      <x:c r="B590" s="2" t="str">
        <x:v>T20261005-1-2</x:v>
      </x:c>
      <x:c r="C590" s="2" t="str">
        <x:v>ST058</x:v>
      </x:c>
      <x:c r="D590" s="2" t="str">
        <x:v>ebf7e65b57e2c8bcd02f90b1d5692596</x:v>
      </x:c>
      <x:c r="E590" s="2" t="str">
        <x:v>CHECK_OUT</x:v>
      </x:c>
      <x:c r="F590" s="8" t="n">
        <x:v>46300.276979166665</x:v>
      </x:c>
      <x:c r="G590" s="8" t="n">
        <x:v>46300.27700231481</x:v>
      </x:c>
      <x:c r="H590" s="2" t="str">
        <x:v>SCH01</x:v>
      </x:c>
      <x:c r="I590" s="9" t="n">
        <x:v>25.285</x:v>
      </x:c>
      <x:c r="J590" s="9" t="n">
        <x:v>51.51</x:v>
      </x:c>
      <x:c r="K590" s="2" t="n">
        <x:v>8</x:v>
      </x:c>
      <x:c r="L590" s="2" t="str">
        <x:v>Valid</x:v>
      </x:c>
      <x:c r="M590" s="2" t="str">
        <x:v>QR</x:v>
      </x:c>
      <x:c r="N590" s="2" t="n">
        <x:v>1</x:v>
      </x:c>
      <x:c r="O590" s="2" t="str">
        <x:v>Accepted</x:v>
      </x:c>
      <x:c r="P590" s="2" t="str">
        <x:v>S002</x:v>
      </x:c>
      <x:c r="Q590" s="2" t="str">
        <x:v>DEV002</x:v>
      </x:c>
      <x:c r="R590" s="2" t="n">
        <x:v>36</x:v>
      </x:c>
      <x:c r="S590" s="2" t="str">
        <x:v>Online</x:v>
      </x:c>
      <x:c r="T590" s="2" t="str">
        <x:v>Synced</x:v>
      </x:c>
    </x:row>
    <x:row r="591" ht="21" customHeight="1">
      <x:c r="A591" s="2" t="str">
        <x:v>EV000830</x:v>
      </x:c>
      <x:c r="B591" s="2" t="str">
        <x:v>T20261005-1-3</x:v>
      </x:c>
      <x:c r="C591" s="2" t="str">
        <x:v>ST098</x:v>
      </x:c>
      <x:c r="D591" s="2" t="str">
        <x:v>4b453acdeca94f98f11a429464f7bff7</x:v>
      </x:c>
      <x:c r="E591" s="2" t="str">
        <x:v>CHECK_OUT</x:v>
      </x:c>
      <x:c r="F591" s="8" t="n">
        <x:v>46300.276979166665</x:v>
      </x:c>
      <x:c r="G591" s="8" t="n">
        <x:v>46300.27700231481</x:v>
      </x:c>
      <x:c r="H591" s="2" t="str">
        <x:v>SCH01</x:v>
      </x:c>
      <x:c r="I591" s="9" t="n">
        <x:v>25.285</x:v>
      </x:c>
      <x:c r="J591" s="9" t="n">
        <x:v>51.51</x:v>
      </x:c>
      <x:c r="K591" s="2" t="n">
        <x:v>8</x:v>
      </x:c>
      <x:c r="L591" s="2" t="str">
        <x:v>Valid</x:v>
      </x:c>
      <x:c r="M591" s="2" t="str">
        <x:v>QR</x:v>
      </x:c>
      <x:c r="N591" s="2" t="n">
        <x:v>1</x:v>
      </x:c>
      <x:c r="O591" s="2" t="str">
        <x:v>Accepted</x:v>
      </x:c>
      <x:c r="P591" s="2" t="str">
        <x:v>S003</x:v>
      </x:c>
      <x:c r="Q591" s="2" t="str">
        <x:v>DEV003</x:v>
      </x:c>
      <x:c r="R591" s="2" t="n">
        <x:v>38</x:v>
      </x:c>
      <x:c r="S591" s="2" t="str">
        <x:v>Online</x:v>
      </x:c>
      <x:c r="T591" s="2" t="str">
        <x:v>Synced</x:v>
      </x:c>
    </x:row>
    <x:row r="592" ht="21" customHeight="1">
      <x:c r="A592" s="2" t="str">
        <x:v>EV000516</x:v>
      </x:c>
      <x:c r="B592" s="2" t="str">
        <x:v>T20261005-1-1</x:v>
      </x:c>
      <x:c r="C592" s="2" t="str">
        <x:v>ST019</x:v>
      </x:c>
      <x:c r="D592" s="2" t="str">
        <x:v>b83400b1b6dcfb0f7cb413571cb76f8f</x:v>
      </x:c>
      <x:c r="E592" s="2" t="str">
        <x:v>CHECK_OUT</x:v>
      </x:c>
      <x:c r="F592" s="8" t="n">
        <x:v>46300.27701388889</x:v>
      </x:c>
      <x:c r="G592" s="8" t="n">
        <x:v>46300.277037037034</x:v>
      </x:c>
      <x:c r="H592" s="2" t="str">
        <x:v>SCH01</x:v>
      </x:c>
      <x:c r="I592" s="9" t="n">
        <x:v>25.285</x:v>
      </x:c>
      <x:c r="J592" s="9" t="n">
        <x:v>51.51</x:v>
      </x:c>
      <x:c r="K592" s="2" t="n">
        <x:v>8</x:v>
      </x:c>
      <x:c r="L592" s="2" t="str">
        <x:v>Valid</x:v>
      </x:c>
      <x:c r="M592" s="2" t="str">
        <x:v>QR</x:v>
      </x:c>
      <x:c r="N592" s="2" t="n">
        <x:v>1</x:v>
      </x:c>
      <x:c r="O592" s="2" t="str">
        <x:v>Accepted</x:v>
      </x:c>
      <x:c r="P592" s="2" t="str">
        <x:v>S001</x:v>
      </x:c>
      <x:c r="Q592" s="2" t="str">
        <x:v>DEV001</x:v>
      </x:c>
      <x:c r="R592" s="2" t="n">
        <x:v>39</x:v>
      </x:c>
      <x:c r="S592" s="2" t="str">
        <x:v>Online</x:v>
      </x:c>
      <x:c r="T592" s="2" t="str">
        <x:v>Synced</x:v>
      </x:c>
    </x:row>
    <x:row r="593" ht="21" customHeight="1">
      <x:c r="A593" s="2" t="str">
        <x:v>EV000674</x:v>
      </x:c>
      <x:c r="B593" s="2" t="str">
        <x:v>T20261005-1-2</x:v>
      </x:c>
      <x:c r="C593" s="2" t="str">
        <x:v>ST059</x:v>
      </x:c>
      <x:c r="D593" s="2" t="str">
        <x:v>08b31edc14b3a345822a41d6515bfcba</x:v>
      </x:c>
      <x:c r="E593" s="2" t="str">
        <x:v>CHECK_OUT</x:v>
      </x:c>
      <x:c r="F593" s="8" t="n">
        <x:v>46300.27701388889</x:v>
      </x:c>
      <x:c r="G593" s="8" t="n">
        <x:v>46300.277037037034</x:v>
      </x:c>
      <x:c r="H593" s="2" t="str">
        <x:v>SCH01</x:v>
      </x:c>
      <x:c r="I593" s="9" t="n">
        <x:v>25.285</x:v>
      </x:c>
      <x:c r="J593" s="9" t="n">
        <x:v>51.51</x:v>
      </x:c>
      <x:c r="K593" s="2" t="n">
        <x:v>8</x:v>
      </x:c>
      <x:c r="L593" s="2" t="str">
        <x:v>Valid</x:v>
      </x:c>
      <x:c r="M593" s="2" t="str">
        <x:v>QR</x:v>
      </x:c>
      <x:c r="N593" s="2" t="n">
        <x:v>1</x:v>
      </x:c>
      <x:c r="O593" s="2" t="str">
        <x:v>Accepted</x:v>
      </x:c>
      <x:c r="P593" s="2" t="str">
        <x:v>S002</x:v>
      </x:c>
      <x:c r="Q593" s="2" t="str">
        <x:v>DEV002</x:v>
      </x:c>
      <x:c r="R593" s="2" t="n">
        <x:v>37</x:v>
      </x:c>
      <x:c r="S593" s="2" t="str">
        <x:v>Online</x:v>
      </x:c>
      <x:c r="T593" s="2" t="str">
        <x:v>Synced</x:v>
      </x:c>
    </x:row>
    <x:row r="594" ht="21" customHeight="1">
      <x:c r="A594" s="2" t="str">
        <x:v>EV000832</x:v>
      </x:c>
      <x:c r="B594" s="2" t="str">
        <x:v>T20261005-1-3</x:v>
      </x:c>
      <x:c r="C594" s="2" t="str">
        <x:v>ST099</x:v>
      </x:c>
      <x:c r="D594" s="2" t="str">
        <x:v>46d20c66394c55b68e36e5335452d87c</x:v>
      </x:c>
      <x:c r="E594" s="2" t="str">
        <x:v>CHECK_OUT</x:v>
      </x:c>
      <x:c r="F594" s="8" t="n">
        <x:v>46300.27701388889</x:v>
      </x:c>
      <x:c r="G594" s="8" t="n">
        <x:v>46300.277037037034</x:v>
      </x:c>
      <x:c r="H594" s="2" t="str">
        <x:v>SCH01</x:v>
      </x:c>
      <x:c r="I594" s="9" t="n">
        <x:v>25.285</x:v>
      </x:c>
      <x:c r="J594" s="9" t="n">
        <x:v>51.51</x:v>
      </x:c>
      <x:c r="K594" s="2" t="n">
        <x:v>8</x:v>
      </x:c>
      <x:c r="L594" s="2" t="str">
        <x:v>Valid</x:v>
      </x:c>
      <x:c r="M594" s="2" t="str">
        <x:v>QR</x:v>
      </x:c>
      <x:c r="N594" s="2" t="n">
        <x:v>1</x:v>
      </x:c>
      <x:c r="O594" s="2" t="str">
        <x:v>Accepted</x:v>
      </x:c>
      <x:c r="P594" s="2" t="str">
        <x:v>S003</x:v>
      </x:c>
      <x:c r="Q594" s="2" t="str">
        <x:v>DEV003</x:v>
      </x:c>
      <x:c r="R594" s="2" t="n">
        <x:v>39</x:v>
      </x:c>
      <x:c r="S594" s="2" t="str">
        <x:v>Online</x:v>
      </x:c>
      <x:c r="T594" s="2" t="str">
        <x:v>Synced</x:v>
      </x:c>
    </x:row>
    <x:row r="595" ht="21" customHeight="1">
      <x:c r="A595" s="2" t="str">
        <x:v>EV000518</x:v>
      </x:c>
      <x:c r="B595" s="2" t="str">
        <x:v>T20261005-1-1</x:v>
      </x:c>
      <x:c r="C595" s="2" t="str">
        <x:v>ST020</x:v>
      </x:c>
      <x:c r="D595" s="2" t="str">
        <x:v>9f8daa9030f9f7599cd24e056935ab8d</x:v>
      </x:c>
      <x:c r="E595" s="2" t="str">
        <x:v>CHECK_OUT</x:v>
      </x:c>
      <x:c r="F595" s="8" t="n">
        <x:v>46300.27704861111</x:v>
      </x:c>
      <x:c r="G595" s="8" t="n">
        <x:v>46300.27707175926</x:v>
      </x:c>
      <x:c r="H595" s="2" t="str">
        <x:v>SCH01</x:v>
      </x:c>
      <x:c r="I595" s="9" t="n">
        <x:v>25.285</x:v>
      </x:c>
      <x:c r="J595" s="9" t="n">
        <x:v>51.51</x:v>
      </x:c>
      <x:c r="K595" s="2" t="n">
        <x:v>8</x:v>
      </x:c>
      <x:c r="L595" s="2" t="str">
        <x:v>Valid</x:v>
      </x:c>
      <x:c r="M595" s="2" t="str">
        <x:v>QR</x:v>
      </x:c>
      <x:c r="N595" s="2" t="n">
        <x:v>1</x:v>
      </x:c>
      <x:c r="O595" s="2" t="str">
        <x:v>Accepted</x:v>
      </x:c>
      <x:c r="P595" s="2" t="str">
        <x:v>S001</x:v>
      </x:c>
      <x:c r="Q595" s="2" t="str">
        <x:v>DEV001</x:v>
      </x:c>
      <x:c r="R595" s="2" t="n">
        <x:v>40</x:v>
      </x:c>
      <x:c r="S595" s="2" t="str">
        <x:v>Online</x:v>
      </x:c>
      <x:c r="T595" s="2" t="str">
        <x:v>Synced</x:v>
      </x:c>
    </x:row>
    <x:row r="596" ht="21" customHeight="1">
      <x:c r="A596" s="2" t="str">
        <x:v>EV000676</x:v>
      </x:c>
      <x:c r="B596" s="2" t="str">
        <x:v>T20261005-1-2</x:v>
      </x:c>
      <x:c r="C596" s="2" t="str">
        <x:v>ST060</x:v>
      </x:c>
      <x:c r="D596" s="2" t="str">
        <x:v>a424ea3d9a5cb1c08037457e61cef61f</x:v>
      </x:c>
      <x:c r="E596" s="2" t="str">
        <x:v>CHECK_OUT</x:v>
      </x:c>
      <x:c r="F596" s="8" t="n">
        <x:v>46300.27704861111</x:v>
      </x:c>
      <x:c r="G596" s="8" t="n">
        <x:v>46300.27707175926</x:v>
      </x:c>
      <x:c r="H596" s="2" t="str">
        <x:v>SCH01</x:v>
      </x:c>
      <x:c r="I596" s="9" t="n">
        <x:v>25.285</x:v>
      </x:c>
      <x:c r="J596" s="9" t="n">
        <x:v>51.51</x:v>
      </x:c>
      <x:c r="K596" s="2" t="n">
        <x:v>8</x:v>
      </x:c>
      <x:c r="L596" s="2" t="str">
        <x:v>Valid</x:v>
      </x:c>
      <x:c r="M596" s="2" t="str">
        <x:v>QR</x:v>
      </x:c>
      <x:c r="N596" s="2" t="n">
        <x:v>1</x:v>
      </x:c>
      <x:c r="O596" s="2" t="str">
        <x:v>Accepted</x:v>
      </x:c>
      <x:c r="P596" s="2" t="str">
        <x:v>S002</x:v>
      </x:c>
      <x:c r="Q596" s="2" t="str">
        <x:v>DEV002</x:v>
      </x:c>
      <x:c r="R596" s="2" t="n">
        <x:v>38</x:v>
      </x:c>
      <x:c r="S596" s="2" t="str">
        <x:v>Online</x:v>
      </x:c>
      <x:c r="T596" s="2" t="str">
        <x:v>Synced</x:v>
      </x:c>
    </x:row>
    <x:row r="597" ht="21" customHeight="1">
      <x:c r="A597" s="2" t="str">
        <x:v>EV000834</x:v>
      </x:c>
      <x:c r="B597" s="2" t="str">
        <x:v>T20261005-1-3</x:v>
      </x:c>
      <x:c r="C597" s="2" t="str">
        <x:v>ST100</x:v>
      </x:c>
      <x:c r="D597" s="2" t="str">
        <x:v>6ba3ddf298bc4515d195454c1e81d9d6</x:v>
      </x:c>
      <x:c r="E597" s="2" t="str">
        <x:v>CHECK_OUT</x:v>
      </x:c>
      <x:c r="F597" s="8" t="n">
        <x:v>46300.27704861111</x:v>
      </x:c>
      <x:c r="G597" s="8" t="n">
        <x:v>46300.27707175926</x:v>
      </x:c>
      <x:c r="H597" s="2" t="str">
        <x:v>SCH01</x:v>
      </x:c>
      <x:c r="I597" s="9" t="n">
        <x:v>25.285</x:v>
      </x:c>
      <x:c r="J597" s="9" t="n">
        <x:v>51.51</x:v>
      </x:c>
      <x:c r="K597" s="2" t="n">
        <x:v>8</x:v>
      </x:c>
      <x:c r="L597" s="2" t="str">
        <x:v>Valid</x:v>
      </x:c>
      <x:c r="M597" s="2" t="str">
        <x:v>QR</x:v>
      </x:c>
      <x:c r="N597" s="2" t="n">
        <x:v>1</x:v>
      </x:c>
      <x:c r="O597" s="2" t="str">
        <x:v>Accepted</x:v>
      </x:c>
      <x:c r="P597" s="2" t="str">
        <x:v>S003</x:v>
      </x:c>
      <x:c r="Q597" s="2" t="str">
        <x:v>DEV003</x:v>
      </x:c>
      <x:c r="R597" s="2" t="n">
        <x:v>40</x:v>
      </x:c>
      <x:c r="S597" s="2" t="str">
        <x:v>Online</x:v>
      </x:c>
      <x:c r="T597" s="2" t="str">
        <x:v>Synced</x:v>
      </x:c>
    </x:row>
    <x:row r="598" ht="21" customHeight="1">
      <x:c r="A598" s="2" t="str">
        <x:v>EV000519</x:v>
      </x:c>
      <x:c r="B598" s="2" t="str">
        <x:v>T20261005-2-1</x:v>
      </x:c>
      <x:c r="C598" s="2" t="str">
        <x:v>ST001</x:v>
      </x:c>
      <x:c r="D598" s="2" t="str">
        <x:v>c33d277e346360e93548e66cbf71eda4</x:v>
      </x:c>
      <x:c r="E598" s="2" t="str">
        <x:v>CHECK_IN</x:v>
      </x:c>
      <x:c r="F598" s="8" t="n">
        <x:v>46300.4375</x:v>
      </x:c>
      <x:c r="G598" s="8" t="n">
        <x:v>46300.437523148146</x:v>
      </x:c>
      <x:c r="H598" s="2" t="str">
        <x:v>SCH01</x:v>
      </x:c>
      <x:c r="I598" s="9" t="n">
        <x:v>25.285</x:v>
      </x:c>
      <x:c r="J598" s="9" t="n">
        <x:v>51.51</x:v>
      </x:c>
      <x:c r="K598" s="2" t="n">
        <x:v>8</x:v>
      </x:c>
      <x:c r="L598" s="2" t="str">
        <x:v>Valid</x:v>
      </x:c>
      <x:c r="M598" s="2" t="str">
        <x:v>QR</x:v>
      </x:c>
      <x:c r="N598" s="2" t="n">
        <x:v>1</x:v>
      </x:c>
      <x:c r="O598" s="2" t="str">
        <x:v>Accepted</x:v>
      </x:c>
      <x:c r="P598" s="2" t="str">
        <x:v>S001</x:v>
      </x:c>
      <x:c r="Q598" s="2" t="str">
        <x:v>DEV001</x:v>
      </x:c>
      <x:c r="R598" s="2" t="n">
        <x:v>1</x:v>
      </x:c>
      <x:c r="S598" s="2" t="str">
        <x:v>Online</x:v>
      </x:c>
      <x:c r="T598" s="2" t="str">
        <x:v>Synced</x:v>
      </x:c>
    </x:row>
    <x:row r="599" ht="21" customHeight="1">
      <x:c r="A599" s="2" t="str">
        <x:v>EV000677</x:v>
      </x:c>
      <x:c r="B599" s="2" t="str">
        <x:v>T20261005-2-2</x:v>
      </x:c>
      <x:c r="C599" s="2" t="str">
        <x:v>ST041</x:v>
      </x:c>
      <x:c r="D599" s="2" t="str">
        <x:v>78597cf805a87b7619460b6ed67f501f</x:v>
      </x:c>
      <x:c r="E599" s="2" t="str">
        <x:v>CHECK_IN</x:v>
      </x:c>
      <x:c r="F599" s="8" t="n">
        <x:v>46300.4375</x:v>
      </x:c>
      <x:c r="G599" s="8" t="n">
        <x:v>46300.437523148146</x:v>
      </x:c>
      <x:c r="H599" s="2" t="str">
        <x:v>SCH01</x:v>
      </x:c>
      <x:c r="I599" s="9" t="n">
        <x:v>25.285</x:v>
      </x:c>
      <x:c r="J599" s="9" t="n">
        <x:v>51.51</x:v>
      </x:c>
      <x:c r="K599" s="2" t="n">
        <x:v>8</x:v>
      </x:c>
      <x:c r="L599" s="2" t="str">
        <x:v>Valid</x:v>
      </x:c>
      <x:c r="M599" s="2" t="str">
        <x:v>QR</x:v>
      </x:c>
      <x:c r="N599" s="2" t="n">
        <x:v>1</x:v>
      </x:c>
      <x:c r="O599" s="2" t="str">
        <x:v>Accepted</x:v>
      </x:c>
      <x:c r="P599" s="2" t="str">
        <x:v>S002</x:v>
      </x:c>
      <x:c r="Q599" s="2" t="str">
        <x:v>DEV002</x:v>
      </x:c>
      <x:c r="R599" s="2" t="n">
        <x:v>1</x:v>
      </x:c>
      <x:c r="S599" s="2" t="str">
        <x:v>Online</x:v>
      </x:c>
      <x:c r="T599" s="2" t="str">
        <x:v>Synced</x:v>
      </x:c>
    </x:row>
    <x:row r="600" ht="21" customHeight="1">
      <x:c r="A600" s="2" t="str">
        <x:v>EV000835</x:v>
      </x:c>
      <x:c r="B600" s="2" t="str">
        <x:v>T20261005-2-3</x:v>
      </x:c>
      <x:c r="C600" s="2" t="str">
        <x:v>ST081</x:v>
      </x:c>
      <x:c r="D600" s="2" t="str">
        <x:v>8631b63b10b36bffa6456d354db9c08f</x:v>
      </x:c>
      <x:c r="E600" s="2" t="str">
        <x:v>CHECK_IN</x:v>
      </x:c>
      <x:c r="F600" s="8" t="n">
        <x:v>46300.4375</x:v>
      </x:c>
      <x:c r="G600" s="8" t="n">
        <x:v>46300.437523148146</x:v>
      </x:c>
      <x:c r="H600" s="2" t="str">
        <x:v>SCH01</x:v>
      </x:c>
      <x:c r="I600" s="9" t="n">
        <x:v>25.285</x:v>
      </x:c>
      <x:c r="J600" s="9" t="n">
        <x:v>51.51</x:v>
      </x:c>
      <x:c r="K600" s="2" t="n">
        <x:v>8</x:v>
      </x:c>
      <x:c r="L600" s="2" t="str">
        <x:v>Valid</x:v>
      </x:c>
      <x:c r="M600" s="2" t="str">
        <x:v>QR</x:v>
      </x:c>
      <x:c r="N600" s="2" t="n">
        <x:v>1</x:v>
      </x:c>
      <x:c r="O600" s="2" t="str">
        <x:v>Accepted</x:v>
      </x:c>
      <x:c r="P600" s="2" t="str">
        <x:v>S003</x:v>
      </x:c>
      <x:c r="Q600" s="2" t="str">
        <x:v>DEV003</x:v>
      </x:c>
      <x:c r="R600" s="2" t="n">
        <x:v>1</x:v>
      </x:c>
      <x:c r="S600" s="2" t="str">
        <x:v>Online</x:v>
      </x:c>
      <x:c r="T600" s="2" t="str">
        <x:v>Synced</x:v>
      </x:c>
    </x:row>
    <x:row r="601" ht="21" customHeight="1">
      <x:c r="A601" s="2" t="str">
        <x:v>EV000521</x:v>
      </x:c>
      <x:c r="B601" s="2" t="str">
        <x:v>T20261005-2-1</x:v>
      </x:c>
      <x:c r="C601" s="2" t="str">
        <x:v>ST002</x:v>
      </x:c>
      <x:c r="D601" s="2" t="str">
        <x:v>c9302a76d79e524442f3775978bb57a1</x:v>
      </x:c>
      <x:c r="E601" s="2" t="str">
        <x:v>CHECK_IN</x:v>
      </x:c>
      <x:c r="F601" s="8" t="n">
        <x:v>46300.43753472222</x:v>
      </x:c>
      <x:c r="G601" s="8" t="n">
        <x:v>46300.43755787037</x:v>
      </x:c>
      <x:c r="H601" s="2" t="str">
        <x:v>SCH01</x:v>
      </x:c>
      <x:c r="I601" s="9" t="n">
        <x:v>25.285</x:v>
      </x:c>
      <x:c r="J601" s="9" t="n">
        <x:v>51.51</x:v>
      </x:c>
      <x:c r="K601" s="2" t="n">
        <x:v>8</x:v>
      </x:c>
      <x:c r="L601" s="2" t="str">
        <x:v>Valid</x:v>
      </x:c>
      <x:c r="M601" s="2" t="str">
        <x:v>QR</x:v>
      </x:c>
      <x:c r="N601" s="2" t="n">
        <x:v>1</x:v>
      </x:c>
      <x:c r="O601" s="2" t="str">
        <x:v>Accepted</x:v>
      </x:c>
      <x:c r="P601" s="2" t="str">
        <x:v>S001</x:v>
      </x:c>
      <x:c r="Q601" s="2" t="str">
        <x:v>DEV001</x:v>
      </x:c>
      <x:c r="R601" s="2" t="n">
        <x:v>2</x:v>
      </x:c>
      <x:c r="S601" s="2" t="str">
        <x:v>Online</x:v>
      </x:c>
      <x:c r="T601" s="2" t="str">
        <x:v>Synced</x:v>
      </x:c>
    </x:row>
    <x:row r="602" ht="21" customHeight="1">
      <x:c r="A602" s="2" t="str">
        <x:v>EV000837</x:v>
      </x:c>
      <x:c r="B602" s="2" t="str">
        <x:v>T20261005-2-3</x:v>
      </x:c>
      <x:c r="C602" s="2" t="str">
        <x:v>ST082</x:v>
      </x:c>
      <x:c r="D602" s="2" t="str">
        <x:v>fb7e28e2da3ace738571a6966bcaaec0</x:v>
      </x:c>
      <x:c r="E602" s="2" t="str">
        <x:v>CHECK_IN</x:v>
      </x:c>
      <x:c r="F602" s="8" t="n">
        <x:v>46300.43753472222</x:v>
      </x:c>
      <x:c r="G602" s="8" t="n">
        <x:v>46300.43755787037</x:v>
      </x:c>
      <x:c r="H602" s="2" t="str">
        <x:v>SCH01</x:v>
      </x:c>
      <x:c r="I602" s="9" t="n">
        <x:v>25.285</x:v>
      </x:c>
      <x:c r="J602" s="9" t="n">
        <x:v>51.51</x:v>
      </x:c>
      <x:c r="K602" s="2" t="n">
        <x:v>8</x:v>
      </x:c>
      <x:c r="L602" s="2" t="str">
        <x:v>Valid</x:v>
      </x:c>
      <x:c r="M602" s="2" t="str">
        <x:v>QR</x:v>
      </x:c>
      <x:c r="N602" s="2" t="n">
        <x:v>1</x:v>
      </x:c>
      <x:c r="O602" s="2" t="str">
        <x:v>Accepted</x:v>
      </x:c>
      <x:c r="P602" s="2" t="str">
        <x:v>S003</x:v>
      </x:c>
      <x:c r="Q602" s="2" t="str">
        <x:v>DEV003</x:v>
      </x:c>
      <x:c r="R602" s="2" t="n">
        <x:v>2</x:v>
      </x:c>
      <x:c r="S602" s="2" t="str">
        <x:v>Online</x:v>
      </x:c>
      <x:c r="T602" s="2" t="str">
        <x:v>Synced</x:v>
      </x:c>
    </x:row>
    <x:row r="603" ht="21" customHeight="1">
      <x:c r="A603" s="2" t="str">
        <x:v>EV000523</x:v>
      </x:c>
      <x:c r="B603" s="2" t="str">
        <x:v>T20261005-2-1</x:v>
      </x:c>
      <x:c r="C603" s="2" t="str">
        <x:v>ST003</x:v>
      </x:c>
      <x:c r="D603" s="2" t="str">
        <x:v>7598e98213cb52db1085c9a94fae1915</x:v>
      </x:c>
      <x:c r="E603" s="2" t="str">
        <x:v>CHECK_IN</x:v>
      </x:c>
      <x:c r="F603" s="8" t="n">
        <x:v>46300.437569444446</x:v>
      </x:c>
      <x:c r="G603" s="8" t="n">
        <x:v>46300.43759259259</x:v>
      </x:c>
      <x:c r="H603" s="2" t="str">
        <x:v>SCH01</x:v>
      </x:c>
      <x:c r="I603" s="9" t="n">
        <x:v>25.285</x:v>
      </x:c>
      <x:c r="J603" s="9" t="n">
        <x:v>51.51</x:v>
      </x:c>
      <x:c r="K603" s="2" t="n">
        <x:v>8</x:v>
      </x:c>
      <x:c r="L603" s="2" t="str">
        <x:v>Valid</x:v>
      </x:c>
      <x:c r="M603" s="2" t="str">
        <x:v>QR</x:v>
      </x:c>
      <x:c r="N603" s="2" t="n">
        <x:v>1</x:v>
      </x:c>
      <x:c r="O603" s="2" t="str">
        <x:v>Accepted</x:v>
      </x:c>
      <x:c r="P603" s="2" t="str">
        <x:v>S001</x:v>
      </x:c>
      <x:c r="Q603" s="2" t="str">
        <x:v>DEV001</x:v>
      </x:c>
      <x:c r="R603" s="2" t="n">
        <x:v>3</x:v>
      </x:c>
      <x:c r="S603" s="2" t="str">
        <x:v>Online</x:v>
      </x:c>
      <x:c r="T603" s="2" t="str">
        <x:v>Synced</x:v>
      </x:c>
    </x:row>
    <x:row r="604" ht="21" customHeight="1">
      <x:c r="A604" s="2" t="str">
        <x:v>EV000679</x:v>
      </x:c>
      <x:c r="B604" s="2" t="str">
        <x:v>T20261005-2-2</x:v>
      </x:c>
      <x:c r="C604" s="2" t="str">
        <x:v>ST043</x:v>
      </x:c>
      <x:c r="D604" s="2" t="str">
        <x:v>db51093fe9dac44d59345ee12f7e9c56</x:v>
      </x:c>
      <x:c r="E604" s="2" t="str">
        <x:v>CHECK_IN</x:v>
      </x:c>
      <x:c r="F604" s="8" t="n">
        <x:v>46300.437569444446</x:v>
      </x:c>
      <x:c r="G604" s="8" t="n">
        <x:v>46300.43759259259</x:v>
      </x:c>
      <x:c r="H604" s="2" t="str">
        <x:v>SCH01</x:v>
      </x:c>
      <x:c r="I604" s="9" t="n">
        <x:v>25.285</x:v>
      </x:c>
      <x:c r="J604" s="9" t="n">
        <x:v>51.51</x:v>
      </x:c>
      <x:c r="K604" s="2" t="n">
        <x:v>8</x:v>
      </x:c>
      <x:c r="L604" s="2" t="str">
        <x:v>Valid</x:v>
      </x:c>
      <x:c r="M604" s="2" t="str">
        <x:v>QR</x:v>
      </x:c>
      <x:c r="N604" s="2" t="n">
        <x:v>1</x:v>
      </x:c>
      <x:c r="O604" s="2" t="str">
        <x:v>Accepted</x:v>
      </x:c>
      <x:c r="P604" s="2" t="str">
        <x:v>S002</x:v>
      </x:c>
      <x:c r="Q604" s="2" t="str">
        <x:v>DEV002</x:v>
      </x:c>
      <x:c r="R604" s="2" t="n">
        <x:v>2</x:v>
      </x:c>
      <x:c r="S604" s="2" t="str">
        <x:v>Online</x:v>
      </x:c>
      <x:c r="T604" s="2" t="str">
        <x:v>Synced</x:v>
      </x:c>
    </x:row>
    <x:row r="605" ht="21" customHeight="1">
      <x:c r="A605" s="2" t="str">
        <x:v>EV000839</x:v>
      </x:c>
      <x:c r="B605" s="2" t="str">
        <x:v>T20261005-2-3</x:v>
      </x:c>
      <x:c r="C605" s="2" t="str">
        <x:v>ST083</x:v>
      </x:c>
      <x:c r="D605" s="2" t="str">
        <x:v>19cc474730ce4d97be031814010d13a9</x:v>
      </x:c>
      <x:c r="E605" s="2" t="str">
        <x:v>CHECK_IN</x:v>
      </x:c>
      <x:c r="F605" s="8" t="n">
        <x:v>46300.437569444446</x:v>
      </x:c>
      <x:c r="G605" s="8" t="n">
        <x:v>46300.43759259259</x:v>
      </x:c>
      <x:c r="H605" s="2" t="str">
        <x:v>SCH01</x:v>
      </x:c>
      <x:c r="I605" s="9" t="n">
        <x:v>25.285</x:v>
      </x:c>
      <x:c r="J605" s="9" t="n">
        <x:v>51.51</x:v>
      </x:c>
      <x:c r="K605" s="2" t="n">
        <x:v>8</x:v>
      </x:c>
      <x:c r="L605" s="2" t="str">
        <x:v>Valid</x:v>
      </x:c>
      <x:c r="M605" s="2" t="str">
        <x:v>QR</x:v>
      </x:c>
      <x:c r="N605" s="2" t="n">
        <x:v>1</x:v>
      </x:c>
      <x:c r="O605" s="2" t="str">
        <x:v>Accepted</x:v>
      </x:c>
      <x:c r="P605" s="2" t="str">
        <x:v>S003</x:v>
      </x:c>
      <x:c r="Q605" s="2" t="str">
        <x:v>DEV003</x:v>
      </x:c>
      <x:c r="R605" s="2" t="n">
        <x:v>3</x:v>
      </x:c>
      <x:c r="S605" s="2" t="str">
        <x:v>Online</x:v>
      </x:c>
      <x:c r="T605" s="2" t="str">
        <x:v>Synced</x:v>
      </x:c>
    </x:row>
    <x:row r="606" ht="21" customHeight="1">
      <x:c r="A606" s="2" t="str">
        <x:v>EV000525</x:v>
      </x:c>
      <x:c r="B606" s="2" t="str">
        <x:v>T20261005-2-1</x:v>
      </x:c>
      <x:c r="C606" s="2" t="str">
        <x:v>ST004</x:v>
      </x:c>
      <x:c r="D606" s="2" t="str">
        <x:v>7dee56e67101a0dd8483e1503eba9a72</x:v>
      </x:c>
      <x:c r="E606" s="2" t="str">
        <x:v>CHECK_IN</x:v>
      </x:c>
      <x:c r="F606" s="8" t="n">
        <x:v>46300.43760416667</x:v>
      </x:c>
      <x:c r="G606" s="8" t="n">
        <x:v>46300.437627314815</x:v>
      </x:c>
      <x:c r="H606" s="2" t="str">
        <x:v>SCH01</x:v>
      </x:c>
      <x:c r="I606" s="9" t="n">
        <x:v>25.285</x:v>
      </x:c>
      <x:c r="J606" s="9" t="n">
        <x:v>51.51</x:v>
      </x:c>
      <x:c r="K606" s="2" t="n">
        <x:v>8</x:v>
      </x:c>
      <x:c r="L606" s="2" t="str">
        <x:v>Valid</x:v>
      </x:c>
      <x:c r="M606" s="2" t="str">
        <x:v>QR</x:v>
      </x:c>
      <x:c r="N606" s="2" t="n">
        <x:v>1</x:v>
      </x:c>
      <x:c r="O606" s="2" t="str">
        <x:v>Accepted</x:v>
      </x:c>
      <x:c r="P606" s="2" t="str">
        <x:v>S001</x:v>
      </x:c>
      <x:c r="Q606" s="2" t="str">
        <x:v>DEV001</x:v>
      </x:c>
      <x:c r="R606" s="2" t="n">
        <x:v>4</x:v>
      </x:c>
      <x:c r="S606" s="2" t="str">
        <x:v>Online</x:v>
      </x:c>
      <x:c r="T606" s="2" t="str">
        <x:v>Synced</x:v>
      </x:c>
    </x:row>
    <x:row r="607" ht="21" customHeight="1">
      <x:c r="A607" s="2" t="str">
        <x:v>EV000681</x:v>
      </x:c>
      <x:c r="B607" s="2" t="str">
        <x:v>T20261005-2-2</x:v>
      </x:c>
      <x:c r="C607" s="2" t="str">
        <x:v>ST044</x:v>
      </x:c>
      <x:c r="D607" s="2" t="str">
        <x:v>638b036dff08260bc8976402fb10157a</x:v>
      </x:c>
      <x:c r="E607" s="2" t="str">
        <x:v>CHECK_IN</x:v>
      </x:c>
      <x:c r="F607" s="8" t="n">
        <x:v>46300.43760416667</x:v>
      </x:c>
      <x:c r="G607" s="8" t="n">
        <x:v>46300.437627314815</x:v>
      </x:c>
      <x:c r="H607" s="2" t="str">
        <x:v>SCH01</x:v>
      </x:c>
      <x:c r="I607" s="9" t="n">
        <x:v>25.285</x:v>
      </x:c>
      <x:c r="J607" s="9" t="n">
        <x:v>51.51</x:v>
      </x:c>
      <x:c r="K607" s="2" t="n">
        <x:v>8</x:v>
      </x:c>
      <x:c r="L607" s="2" t="str">
        <x:v>Valid</x:v>
      </x:c>
      <x:c r="M607" s="2" t="str">
        <x:v>QR</x:v>
      </x:c>
      <x:c r="N607" s="2" t="n">
        <x:v>1</x:v>
      </x:c>
      <x:c r="O607" s="2" t="str">
        <x:v>Accepted</x:v>
      </x:c>
      <x:c r="P607" s="2" t="str">
        <x:v>S002</x:v>
      </x:c>
      <x:c r="Q607" s="2" t="str">
        <x:v>DEV002</x:v>
      </x:c>
      <x:c r="R607" s="2" t="n">
        <x:v>3</x:v>
      </x:c>
      <x:c r="S607" s="2" t="str">
        <x:v>Online</x:v>
      </x:c>
      <x:c r="T607" s="2" t="str">
        <x:v>Synced</x:v>
      </x:c>
    </x:row>
    <x:row r="608" ht="21" customHeight="1">
      <x:c r="A608" s="2" t="str">
        <x:v>EV000841</x:v>
      </x:c>
      <x:c r="B608" s="2" t="str">
        <x:v>T20261005-2-3</x:v>
      </x:c>
      <x:c r="C608" s="2" t="str">
        <x:v>ST084</x:v>
      </x:c>
      <x:c r="D608" s="2" t="str">
        <x:v>2f6163b722feb8421b83fd278ee72e5c</x:v>
      </x:c>
      <x:c r="E608" s="2" t="str">
        <x:v>CHECK_IN</x:v>
      </x:c>
      <x:c r="F608" s="8" t="n">
        <x:v>46300.43760416667</x:v>
      </x:c>
      <x:c r="G608" s="8" t="n">
        <x:v>46300.437627314815</x:v>
      </x:c>
      <x:c r="H608" s="2" t="str">
        <x:v>SCH01</x:v>
      </x:c>
      <x:c r="I608" s="9" t="n">
        <x:v>25.285</x:v>
      </x:c>
      <x:c r="J608" s="9" t="n">
        <x:v>51.51</x:v>
      </x:c>
      <x:c r="K608" s="2" t="n">
        <x:v>8</x:v>
      </x:c>
      <x:c r="L608" s="2" t="str">
        <x:v>Valid</x:v>
      </x:c>
      <x:c r="M608" s="2" t="str">
        <x:v>QR</x:v>
      </x:c>
      <x:c r="N608" s="2" t="n">
        <x:v>1</x:v>
      </x:c>
      <x:c r="O608" s="2" t="str">
        <x:v>Accepted</x:v>
      </x:c>
      <x:c r="P608" s="2" t="str">
        <x:v>S003</x:v>
      </x:c>
      <x:c r="Q608" s="2" t="str">
        <x:v>DEV003</x:v>
      </x:c>
      <x:c r="R608" s="2" t="n">
        <x:v>4</x:v>
      </x:c>
      <x:c r="S608" s="2" t="str">
        <x:v>Online</x:v>
      </x:c>
      <x:c r="T608" s="2" t="str">
        <x:v>Synced</x:v>
      </x:c>
    </x:row>
    <x:row r="609" ht="21" customHeight="1">
      <x:c r="A609" s="2" t="str">
        <x:v>EV000527</x:v>
      </x:c>
      <x:c r="B609" s="2" t="str">
        <x:v>T20261005-2-1</x:v>
      </x:c>
      <x:c r="C609" s="2" t="str">
        <x:v>ST005</x:v>
      </x:c>
      <x:c r="D609" s="2" t="str">
        <x:v>426727a8a0b9d51694a399a005c786cf</x:v>
      </x:c>
      <x:c r="E609" s="2" t="str">
        <x:v>CHECK_IN</x:v>
      </x:c>
      <x:c r="F609" s="8" t="n">
        <x:v>46300.43763888889</x:v>
      </x:c>
      <x:c r="G609" s="8" t="n">
        <x:v>46300.43766203704</x:v>
      </x:c>
      <x:c r="H609" s="2" t="str">
        <x:v>SCH01</x:v>
      </x:c>
      <x:c r="I609" s="9" t="n">
        <x:v>25.285</x:v>
      </x:c>
      <x:c r="J609" s="9" t="n">
        <x:v>51.51</x:v>
      </x:c>
      <x:c r="K609" s="2" t="n">
        <x:v>8</x:v>
      </x:c>
      <x:c r="L609" s="2" t="str">
        <x:v>Valid</x:v>
      </x:c>
      <x:c r="M609" s="2" t="str">
        <x:v>QR</x:v>
      </x:c>
      <x:c r="N609" s="2" t="n">
        <x:v>1</x:v>
      </x:c>
      <x:c r="O609" s="2" t="str">
        <x:v>Accepted</x:v>
      </x:c>
      <x:c r="P609" s="2" t="str">
        <x:v>S001</x:v>
      </x:c>
      <x:c r="Q609" s="2" t="str">
        <x:v>DEV001</x:v>
      </x:c>
      <x:c r="R609" s="2" t="n">
        <x:v>5</x:v>
      </x:c>
      <x:c r="S609" s="2" t="str">
        <x:v>Online</x:v>
      </x:c>
      <x:c r="T609" s="2" t="str">
        <x:v>Synced</x:v>
      </x:c>
    </x:row>
    <x:row r="610" ht="21" customHeight="1">
      <x:c r="A610" s="2" t="str">
        <x:v>EV000683</x:v>
      </x:c>
      <x:c r="B610" s="2" t="str">
        <x:v>T20261005-2-2</x:v>
      </x:c>
      <x:c r="C610" s="2" t="str">
        <x:v>ST045</x:v>
      </x:c>
      <x:c r="D610" s="2" t="str">
        <x:v>10d8df8a06a7c869bcaa1adbc88c05bc</x:v>
      </x:c>
      <x:c r="E610" s="2" t="str">
        <x:v>CHECK_IN</x:v>
      </x:c>
      <x:c r="F610" s="8" t="n">
        <x:v>46300.43763888889</x:v>
      </x:c>
      <x:c r="G610" s="8" t="n">
        <x:v>46300.43766203704</x:v>
      </x:c>
      <x:c r="H610" s="2" t="str">
        <x:v>SCH01</x:v>
      </x:c>
      <x:c r="I610" s="9" t="n">
        <x:v>25.285</x:v>
      </x:c>
      <x:c r="J610" s="9" t="n">
        <x:v>51.51</x:v>
      </x:c>
      <x:c r="K610" s="2" t="n">
        <x:v>8</x:v>
      </x:c>
      <x:c r="L610" s="2" t="str">
        <x:v>Valid</x:v>
      </x:c>
      <x:c r="M610" s="2" t="str">
        <x:v>QR</x:v>
      </x:c>
      <x:c r="N610" s="2" t="n">
        <x:v>1</x:v>
      </x:c>
      <x:c r="O610" s="2" t="str">
        <x:v>Accepted</x:v>
      </x:c>
      <x:c r="P610" s="2" t="str">
        <x:v>S002</x:v>
      </x:c>
      <x:c r="Q610" s="2" t="str">
        <x:v>DEV002</x:v>
      </x:c>
      <x:c r="R610" s="2" t="n">
        <x:v>4</x:v>
      </x:c>
      <x:c r="S610" s="2" t="str">
        <x:v>Online</x:v>
      </x:c>
      <x:c r="T610" s="2" t="str">
        <x:v>Synced</x:v>
      </x:c>
    </x:row>
    <x:row r="611" ht="21" customHeight="1">
      <x:c r="A611" s="2" t="str">
        <x:v>EV000843</x:v>
      </x:c>
      <x:c r="B611" s="2" t="str">
        <x:v>T20261005-2-3</x:v>
      </x:c>
      <x:c r="C611" s="2" t="str">
        <x:v>ST085</x:v>
      </x:c>
      <x:c r="D611" s="2" t="str">
        <x:v>80babdd572dde222a75b7ad8f0fe7ffa</x:v>
      </x:c>
      <x:c r="E611" s="2" t="str">
        <x:v>CHECK_IN</x:v>
      </x:c>
      <x:c r="F611" s="8" t="n">
        <x:v>46300.43763888889</x:v>
      </x:c>
      <x:c r="G611" s="8" t="n">
        <x:v>46300.43766203704</x:v>
      </x:c>
      <x:c r="H611" s="2" t="str">
        <x:v>SCH01</x:v>
      </x:c>
      <x:c r="I611" s="9" t="n">
        <x:v>25.285</x:v>
      </x:c>
      <x:c r="J611" s="9" t="n">
        <x:v>51.51</x:v>
      </x:c>
      <x:c r="K611" s="2" t="n">
        <x:v>8</x:v>
      </x:c>
      <x:c r="L611" s="2" t="str">
        <x:v>Valid</x:v>
      </x:c>
      <x:c r="M611" s="2" t="str">
        <x:v>QR</x:v>
      </x:c>
      <x:c r="N611" s="2" t="n">
        <x:v>1</x:v>
      </x:c>
      <x:c r="O611" s="2" t="str">
        <x:v>Accepted</x:v>
      </x:c>
      <x:c r="P611" s="2" t="str">
        <x:v>S003</x:v>
      </x:c>
      <x:c r="Q611" s="2" t="str">
        <x:v>DEV003</x:v>
      </x:c>
      <x:c r="R611" s="2" t="n">
        <x:v>5</x:v>
      </x:c>
      <x:c r="S611" s="2" t="str">
        <x:v>Online</x:v>
      </x:c>
      <x:c r="T611" s="2" t="str">
        <x:v>Synced</x:v>
      </x:c>
    </x:row>
    <x:row r="612" ht="21" customHeight="1">
      <x:c r="A612" s="2" t="str">
        <x:v>EV000529</x:v>
      </x:c>
      <x:c r="B612" s="2" t="str">
        <x:v>T20261005-2-1</x:v>
      </x:c>
      <x:c r="C612" s="2" t="str">
        <x:v>ST006</x:v>
      </x:c>
      <x:c r="D612" s="2" t="str">
        <x:v>8edd7f2c984bf2eb5adf75591d6f1e9c</x:v>
      </x:c>
      <x:c r="E612" s="2" t="str">
        <x:v>CHECK_IN</x:v>
      </x:c>
      <x:c r="F612" s="8" t="n">
        <x:v>46300.43767361111</x:v>
      </x:c>
      <x:c r="G612" s="8" t="n">
        <x:v>46300.437696759254</x:v>
      </x:c>
      <x:c r="H612" s="2" t="str">
        <x:v>SCH01</x:v>
      </x:c>
      <x:c r="I612" s="9" t="n">
        <x:v>25.285</x:v>
      </x:c>
      <x:c r="J612" s="9" t="n">
        <x:v>51.51</x:v>
      </x:c>
      <x:c r="K612" s="2" t="n">
        <x:v>8</x:v>
      </x:c>
      <x:c r="L612" s="2" t="str">
        <x:v>Valid</x:v>
      </x:c>
      <x:c r="M612" s="2" t="str">
        <x:v>QR</x:v>
      </x:c>
      <x:c r="N612" s="2" t="n">
        <x:v>1</x:v>
      </x:c>
      <x:c r="O612" s="2" t="str">
        <x:v>Accepted</x:v>
      </x:c>
      <x:c r="P612" s="2" t="str">
        <x:v>S001</x:v>
      </x:c>
      <x:c r="Q612" s="2" t="str">
        <x:v>DEV001</x:v>
      </x:c>
      <x:c r="R612" s="2" t="n">
        <x:v>6</x:v>
      </x:c>
      <x:c r="S612" s="2" t="str">
        <x:v>Online</x:v>
      </x:c>
      <x:c r="T612" s="2" t="str">
        <x:v>Synced</x:v>
      </x:c>
    </x:row>
    <x:row r="613" ht="21" customHeight="1">
      <x:c r="A613" s="2" t="str">
        <x:v>EV000685</x:v>
      </x:c>
      <x:c r="B613" s="2" t="str">
        <x:v>T20261005-2-2</x:v>
      </x:c>
      <x:c r="C613" s="2" t="str">
        <x:v>ST046</x:v>
      </x:c>
      <x:c r="D613" s="2" t="str">
        <x:v>82365992d443d056f10fa7522ac29057</x:v>
      </x:c>
      <x:c r="E613" s="2" t="str">
        <x:v>CHECK_IN</x:v>
      </x:c>
      <x:c r="F613" s="8" t="n">
        <x:v>46300.43767361111</x:v>
      </x:c>
      <x:c r="G613" s="8" t="n">
        <x:v>46300.437696759254</x:v>
      </x:c>
      <x:c r="H613" s="2" t="str">
        <x:v>SCH01</x:v>
      </x:c>
      <x:c r="I613" s="9" t="n">
        <x:v>25.285</x:v>
      </x:c>
      <x:c r="J613" s="9" t="n">
        <x:v>51.51</x:v>
      </x:c>
      <x:c r="K613" s="2" t="n">
        <x:v>8</x:v>
      </x:c>
      <x:c r="L613" s="2" t="str">
        <x:v>Valid</x:v>
      </x:c>
      <x:c r="M613" s="2" t="str">
        <x:v>QR</x:v>
      </x:c>
      <x:c r="N613" s="2" t="n">
        <x:v>1</x:v>
      </x:c>
      <x:c r="O613" s="2" t="str">
        <x:v>Accepted</x:v>
      </x:c>
      <x:c r="P613" s="2" t="str">
        <x:v>S002</x:v>
      </x:c>
      <x:c r="Q613" s="2" t="str">
        <x:v>DEV002</x:v>
      </x:c>
      <x:c r="R613" s="2" t="n">
        <x:v>5</x:v>
      </x:c>
      <x:c r="S613" s="2" t="str">
        <x:v>Online</x:v>
      </x:c>
      <x:c r="T613" s="2" t="str">
        <x:v>Synced</x:v>
      </x:c>
    </x:row>
    <x:row r="614" ht="21" customHeight="1">
      <x:c r="A614" s="2" t="str">
        <x:v>EV000845</x:v>
      </x:c>
      <x:c r="B614" s="2" t="str">
        <x:v>T20261005-2-3</x:v>
      </x:c>
      <x:c r="C614" s="2" t="str">
        <x:v>ST086</x:v>
      </x:c>
      <x:c r="D614" s="2" t="str">
        <x:v>33c5dfd0f17fcbe34d50fd9b0a0c0e5b</x:v>
      </x:c>
      <x:c r="E614" s="2" t="str">
        <x:v>CHECK_IN</x:v>
      </x:c>
      <x:c r="F614" s="8" t="n">
        <x:v>46300.43767361111</x:v>
      </x:c>
      <x:c r="G614" s="8" t="n">
        <x:v>46300.437696759254</x:v>
      </x:c>
      <x:c r="H614" s="2" t="str">
        <x:v>SCH01</x:v>
      </x:c>
      <x:c r="I614" s="9" t="n">
        <x:v>25.285</x:v>
      </x:c>
      <x:c r="J614" s="9" t="n">
        <x:v>51.51</x:v>
      </x:c>
      <x:c r="K614" s="2" t="n">
        <x:v>8</x:v>
      </x:c>
      <x:c r="L614" s="2" t="str">
        <x:v>Valid</x:v>
      </x:c>
      <x:c r="M614" s="2" t="str">
        <x:v>QR</x:v>
      </x:c>
      <x:c r="N614" s="2" t="n">
        <x:v>1</x:v>
      </x:c>
      <x:c r="O614" s="2" t="str">
        <x:v>Accepted</x:v>
      </x:c>
      <x:c r="P614" s="2" t="str">
        <x:v>S003</x:v>
      </x:c>
      <x:c r="Q614" s="2" t="str">
        <x:v>DEV003</x:v>
      </x:c>
      <x:c r="R614" s="2" t="n">
        <x:v>6</x:v>
      </x:c>
      <x:c r="S614" s="2" t="str">
        <x:v>Online</x:v>
      </x:c>
      <x:c r="T614" s="2" t="str">
        <x:v>Synced</x:v>
      </x:c>
    </x:row>
    <x:row r="615" ht="21" customHeight="1">
      <x:c r="A615" s="2" t="str">
        <x:v>EV000531</x:v>
      </x:c>
      <x:c r="B615" s="2" t="str">
        <x:v>T20261005-2-1</x:v>
      </x:c>
      <x:c r="C615" s="2" t="str">
        <x:v>ST007</x:v>
      </x:c>
      <x:c r="D615" s="2" t="str">
        <x:v>2376173ab02a96d9b58d44caf4008dfd</x:v>
      </x:c>
      <x:c r="E615" s="2" t="str">
        <x:v>CHECK_IN</x:v>
      </x:c>
      <x:c r="F615" s="8" t="n">
        <x:v>46300.43770833333</x:v>
      </x:c>
      <x:c r="G615" s="8" t="n">
        <x:v>46300.43773148148</x:v>
      </x:c>
      <x:c r="H615" s="2" t="str">
        <x:v>SCH01</x:v>
      </x:c>
      <x:c r="I615" s="9" t="n">
        <x:v>25.285</x:v>
      </x:c>
      <x:c r="J615" s="9" t="n">
        <x:v>51.51</x:v>
      </x:c>
      <x:c r="K615" s="2" t="n">
        <x:v>8</x:v>
      </x:c>
      <x:c r="L615" s="2" t="str">
        <x:v>Valid</x:v>
      </x:c>
      <x:c r="M615" s="2" t="str">
        <x:v>QR</x:v>
      </x:c>
      <x:c r="N615" s="2" t="n">
        <x:v>1</x:v>
      </x:c>
      <x:c r="O615" s="2" t="str">
        <x:v>Accepted</x:v>
      </x:c>
      <x:c r="P615" s="2" t="str">
        <x:v>S001</x:v>
      </x:c>
      <x:c r="Q615" s="2" t="str">
        <x:v>DEV001</x:v>
      </x:c>
      <x:c r="R615" s="2" t="n">
        <x:v>7</x:v>
      </x:c>
      <x:c r="S615" s="2" t="str">
        <x:v>Online</x:v>
      </x:c>
      <x:c r="T615" s="2" t="str">
        <x:v>Synced</x:v>
      </x:c>
    </x:row>
    <x:row r="616" ht="21" customHeight="1">
      <x:c r="A616" s="2" t="str">
        <x:v>EV000687</x:v>
      </x:c>
      <x:c r="B616" s="2" t="str">
        <x:v>T20261005-2-2</x:v>
      </x:c>
      <x:c r="C616" s="2" t="str">
        <x:v>ST047</x:v>
      </x:c>
      <x:c r="D616" s="2" t="str">
        <x:v>b3f6380a42fb190ae04afac7edee87cd</x:v>
      </x:c>
      <x:c r="E616" s="2" t="str">
        <x:v>CHECK_IN</x:v>
      </x:c>
      <x:c r="F616" s="8" t="n">
        <x:v>46300.43770833333</x:v>
      </x:c>
      <x:c r="G616" s="8" t="n">
        <x:v>46300.43773148148</x:v>
      </x:c>
      <x:c r="H616" s="2" t="str">
        <x:v>SCH01</x:v>
      </x:c>
      <x:c r="I616" s="9" t="n">
        <x:v>25.285</x:v>
      </x:c>
      <x:c r="J616" s="9" t="n">
        <x:v>51.51</x:v>
      </x:c>
      <x:c r="K616" s="2" t="n">
        <x:v>8</x:v>
      </x:c>
      <x:c r="L616" s="2" t="str">
        <x:v>Valid</x:v>
      </x:c>
      <x:c r="M616" s="2" t="str">
        <x:v>QR</x:v>
      </x:c>
      <x:c r="N616" s="2" t="n">
        <x:v>1</x:v>
      </x:c>
      <x:c r="O616" s="2" t="str">
        <x:v>Accepted</x:v>
      </x:c>
      <x:c r="P616" s="2" t="str">
        <x:v>S002</x:v>
      </x:c>
      <x:c r="Q616" s="2" t="str">
        <x:v>DEV002</x:v>
      </x:c>
      <x:c r="R616" s="2" t="n">
        <x:v>6</x:v>
      </x:c>
      <x:c r="S616" s="2" t="str">
        <x:v>Online</x:v>
      </x:c>
      <x:c r="T616" s="2" t="str">
        <x:v>Synced</x:v>
      </x:c>
    </x:row>
    <x:row r="617" ht="21" customHeight="1">
      <x:c r="A617" s="2" t="str">
        <x:v>EV000847</x:v>
      </x:c>
      <x:c r="B617" s="2" t="str">
        <x:v>T20261005-2-3</x:v>
      </x:c>
      <x:c r="C617" s="2" t="str">
        <x:v>ST087</x:v>
      </x:c>
      <x:c r="D617" s="2" t="str">
        <x:v>30243cf46003be06b271950aa5cd47a6</x:v>
      </x:c>
      <x:c r="E617" s="2" t="str">
        <x:v>CHECK_IN</x:v>
      </x:c>
      <x:c r="F617" s="8" t="n">
        <x:v>46300.43770833333</x:v>
      </x:c>
      <x:c r="G617" s="8" t="n">
        <x:v>46300.43773148148</x:v>
      </x:c>
      <x:c r="H617" s="2" t="str">
        <x:v>SCH01</x:v>
      </x:c>
      <x:c r="I617" s="9" t="n">
        <x:v>25.285</x:v>
      </x:c>
      <x:c r="J617" s="9" t="n">
        <x:v>51.51</x:v>
      </x:c>
      <x:c r="K617" s="2" t="n">
        <x:v>8</x:v>
      </x:c>
      <x:c r="L617" s="2" t="str">
        <x:v>Valid</x:v>
      </x:c>
      <x:c r="M617" s="2" t="str">
        <x:v>QR</x:v>
      </x:c>
      <x:c r="N617" s="2" t="n">
        <x:v>1</x:v>
      </x:c>
      <x:c r="O617" s="2" t="str">
        <x:v>Accepted</x:v>
      </x:c>
      <x:c r="P617" s="2" t="str">
        <x:v>S003</x:v>
      </x:c>
      <x:c r="Q617" s="2" t="str">
        <x:v>DEV003</x:v>
      </x:c>
      <x:c r="R617" s="2" t="n">
        <x:v>7</x:v>
      </x:c>
      <x:c r="S617" s="2" t="str">
        <x:v>Online</x:v>
      </x:c>
      <x:c r="T617" s="2" t="str">
        <x:v>Synced</x:v>
      </x:c>
    </x:row>
    <x:row r="618" ht="21" customHeight="1">
      <x:c r="A618" s="2" t="str">
        <x:v>EV000533</x:v>
      </x:c>
      <x:c r="B618" s="2" t="str">
        <x:v>T20261005-2-1</x:v>
      </x:c>
      <x:c r="C618" s="2" t="str">
        <x:v>ST008</x:v>
      </x:c>
      <x:c r="D618" s="2" t="str">
        <x:v>ac4baf5d317844907005c691f401c42d</x:v>
      </x:c>
      <x:c r="E618" s="2" t="str">
        <x:v>CHECK_IN</x:v>
      </x:c>
      <x:c r="F618" s="8" t="n">
        <x:v>46300.437743055554</x:v>
      </x:c>
      <x:c r="G618" s="8" t="n">
        <x:v>46300.4377662037</x:v>
      </x:c>
      <x:c r="H618" s="2" t="str">
        <x:v>SCH01</x:v>
      </x:c>
      <x:c r="I618" s="9" t="n">
        <x:v>25.285</x:v>
      </x:c>
      <x:c r="J618" s="9" t="n">
        <x:v>51.51</x:v>
      </x:c>
      <x:c r="K618" s="2" t="n">
        <x:v>8</x:v>
      </x:c>
      <x:c r="L618" s="2" t="str">
        <x:v>Valid</x:v>
      </x:c>
      <x:c r="M618" s="2" t="str">
        <x:v>QR</x:v>
      </x:c>
      <x:c r="N618" s="2" t="n">
        <x:v>1</x:v>
      </x:c>
      <x:c r="O618" s="2" t="str">
        <x:v>Accepted</x:v>
      </x:c>
      <x:c r="P618" s="2" t="str">
        <x:v>S001</x:v>
      </x:c>
      <x:c r="Q618" s="2" t="str">
        <x:v>DEV001</x:v>
      </x:c>
      <x:c r="R618" s="2" t="n">
        <x:v>8</x:v>
      </x:c>
      <x:c r="S618" s="2" t="str">
        <x:v>Online</x:v>
      </x:c>
      <x:c r="T618" s="2" t="str">
        <x:v>Synced</x:v>
      </x:c>
    </x:row>
    <x:row r="619" ht="21" customHeight="1">
      <x:c r="A619" s="2" t="str">
        <x:v>EV000689</x:v>
      </x:c>
      <x:c r="B619" s="2" t="str">
        <x:v>T20261005-2-2</x:v>
      </x:c>
      <x:c r="C619" s="2" t="str">
        <x:v>ST048</x:v>
      </x:c>
      <x:c r="D619" s="2" t="str">
        <x:v>e3a3009a9bd3946e21f417e93203aa79</x:v>
      </x:c>
      <x:c r="E619" s="2" t="str">
        <x:v>CHECK_IN</x:v>
      </x:c>
      <x:c r="F619" s="8" t="n">
        <x:v>46300.437743055554</x:v>
      </x:c>
      <x:c r="G619" s="8" t="n">
        <x:v>46300.4377662037</x:v>
      </x:c>
      <x:c r="H619" s="2" t="str">
        <x:v>SCH01</x:v>
      </x:c>
      <x:c r="I619" s="9" t="n">
        <x:v>25.285</x:v>
      </x:c>
      <x:c r="J619" s="9" t="n">
        <x:v>51.51</x:v>
      </x:c>
      <x:c r="K619" s="2" t="n">
        <x:v>8</x:v>
      </x:c>
      <x:c r="L619" s="2" t="str">
        <x:v>Valid</x:v>
      </x:c>
      <x:c r="M619" s="2" t="str">
        <x:v>QR</x:v>
      </x:c>
      <x:c r="N619" s="2" t="n">
        <x:v>1</x:v>
      </x:c>
      <x:c r="O619" s="2" t="str">
        <x:v>Accepted</x:v>
      </x:c>
      <x:c r="P619" s="2" t="str">
        <x:v>S002</x:v>
      </x:c>
      <x:c r="Q619" s="2" t="str">
        <x:v>DEV002</x:v>
      </x:c>
      <x:c r="R619" s="2" t="n">
        <x:v>7</x:v>
      </x:c>
      <x:c r="S619" s="2" t="str">
        <x:v>Online</x:v>
      </x:c>
      <x:c r="T619" s="2" t="str">
        <x:v>Synced</x:v>
      </x:c>
    </x:row>
    <x:row r="620" ht="21" customHeight="1">
      <x:c r="A620" s="2" t="str">
        <x:v>EV000849</x:v>
      </x:c>
      <x:c r="B620" s="2" t="str">
        <x:v>T20261005-2-3</x:v>
      </x:c>
      <x:c r="C620" s="2" t="str">
        <x:v>ST088</x:v>
      </x:c>
      <x:c r="D620" s="2" t="str">
        <x:v>b227769e0483e6c28eed8e8d448bfbbe</x:v>
      </x:c>
      <x:c r="E620" s="2" t="str">
        <x:v>CHECK_IN</x:v>
      </x:c>
      <x:c r="F620" s="8" t="n">
        <x:v>46300.437743055554</x:v>
      </x:c>
      <x:c r="G620" s="8" t="n">
        <x:v>46300.4377662037</x:v>
      </x:c>
      <x:c r="H620" s="2" t="str">
        <x:v>SCH01</x:v>
      </x:c>
      <x:c r="I620" s="9" t="n">
        <x:v>25.285</x:v>
      </x:c>
      <x:c r="J620" s="9" t="n">
        <x:v>51.51</x:v>
      </x:c>
      <x:c r="K620" s="2" t="n">
        <x:v>8</x:v>
      </x:c>
      <x:c r="L620" s="2" t="str">
        <x:v>Valid</x:v>
      </x:c>
      <x:c r="M620" s="2" t="str">
        <x:v>QR</x:v>
      </x:c>
      <x:c r="N620" s="2" t="n">
        <x:v>1</x:v>
      </x:c>
      <x:c r="O620" s="2" t="str">
        <x:v>Accepted</x:v>
      </x:c>
      <x:c r="P620" s="2" t="str">
        <x:v>S003</x:v>
      </x:c>
      <x:c r="Q620" s="2" t="str">
        <x:v>DEV003</x:v>
      </x:c>
      <x:c r="R620" s="2" t="n">
        <x:v>8</x:v>
      </x:c>
      <x:c r="S620" s="2" t="str">
        <x:v>Online</x:v>
      </x:c>
      <x:c r="T620" s="2" t="str">
        <x:v>Synced</x:v>
      </x:c>
    </x:row>
    <x:row r="621" ht="21" customHeight="1">
      <x:c r="A621" s="2" t="str">
        <x:v>EV000535</x:v>
      </x:c>
      <x:c r="B621" s="2" t="str">
        <x:v>T20261005-2-1</x:v>
      </x:c>
      <x:c r="C621" s="2" t="str">
        <x:v>ST009</x:v>
      </x:c>
      <x:c r="D621" s="2" t="str">
        <x:v>fdc849f07f4ba12ab82f6bed87d7275d</x:v>
      </x:c>
      <x:c r="E621" s="2" t="str">
        <x:v>CHECK_IN</x:v>
      </x:c>
      <x:c r="F621" s="8" t="n">
        <x:v>46300.43777777778</x:v>
      </x:c>
      <x:c r="G621" s="8" t="n">
        <x:v>46300.43780092592</x:v>
      </x:c>
      <x:c r="H621" s="2" t="str">
        <x:v>SCH01</x:v>
      </x:c>
      <x:c r="I621" s="9" t="n">
        <x:v>25.285</x:v>
      </x:c>
      <x:c r="J621" s="9" t="n">
        <x:v>51.51</x:v>
      </x:c>
      <x:c r="K621" s="2" t="n">
        <x:v>8</x:v>
      </x:c>
      <x:c r="L621" s="2" t="str">
        <x:v>Valid</x:v>
      </x:c>
      <x:c r="M621" s="2" t="str">
        <x:v>QR</x:v>
      </x:c>
      <x:c r="N621" s="2" t="n">
        <x:v>1</x:v>
      </x:c>
      <x:c r="O621" s="2" t="str">
        <x:v>Accepted</x:v>
      </x:c>
      <x:c r="P621" s="2" t="str">
        <x:v>S001</x:v>
      </x:c>
      <x:c r="Q621" s="2" t="str">
        <x:v>DEV001</x:v>
      </x:c>
      <x:c r="R621" s="2" t="n">
        <x:v>9</x:v>
      </x:c>
      <x:c r="S621" s="2" t="str">
        <x:v>Online</x:v>
      </x:c>
      <x:c r="T621" s="2" t="str">
        <x:v>Synced</x:v>
      </x:c>
    </x:row>
    <x:row r="622" ht="21" customHeight="1">
      <x:c r="A622" s="2" t="str">
        <x:v>EV000691</x:v>
      </x:c>
      <x:c r="B622" s="2" t="str">
        <x:v>T20261005-2-2</x:v>
      </x:c>
      <x:c r="C622" s="2" t="str">
        <x:v>ST049</x:v>
      </x:c>
      <x:c r="D622" s="2" t="str">
        <x:v>aac0da9ca028b4b4fe1fc2c1eb298502</x:v>
      </x:c>
      <x:c r="E622" s="2" t="str">
        <x:v>CHECK_IN</x:v>
      </x:c>
      <x:c r="F622" s="8" t="n">
        <x:v>46300.43777777778</x:v>
      </x:c>
      <x:c r="G622" s="8" t="n">
        <x:v>46300.43780092592</x:v>
      </x:c>
      <x:c r="H622" s="2" t="str">
        <x:v>SCH01</x:v>
      </x:c>
      <x:c r="I622" s="9" t="n">
        <x:v>25.285</x:v>
      </x:c>
      <x:c r="J622" s="9" t="n">
        <x:v>51.51</x:v>
      </x:c>
      <x:c r="K622" s="2" t="n">
        <x:v>8</x:v>
      </x:c>
      <x:c r="L622" s="2" t="str">
        <x:v>Valid</x:v>
      </x:c>
      <x:c r="M622" s="2" t="str">
        <x:v>QR</x:v>
      </x:c>
      <x:c r="N622" s="2" t="n">
        <x:v>1</x:v>
      </x:c>
      <x:c r="O622" s="2" t="str">
        <x:v>Accepted</x:v>
      </x:c>
      <x:c r="P622" s="2" t="str">
        <x:v>S002</x:v>
      </x:c>
      <x:c r="Q622" s="2" t="str">
        <x:v>DEV002</x:v>
      </x:c>
      <x:c r="R622" s="2" t="n">
        <x:v>8</x:v>
      </x:c>
      <x:c r="S622" s="2" t="str">
        <x:v>Online</x:v>
      </x:c>
      <x:c r="T622" s="2" t="str">
        <x:v>Synced</x:v>
      </x:c>
    </x:row>
    <x:row r="623" ht="21" customHeight="1">
      <x:c r="A623" s="2" t="str">
        <x:v>EV000851</x:v>
      </x:c>
      <x:c r="B623" s="2" t="str">
        <x:v>T20261005-2-3</x:v>
      </x:c>
      <x:c r="C623" s="2" t="str">
        <x:v>ST089</x:v>
      </x:c>
      <x:c r="D623" s="2" t="str">
        <x:v>0bd697ec3f7c09918d8dd004b5340b03</x:v>
      </x:c>
      <x:c r="E623" s="2" t="str">
        <x:v>CHECK_IN</x:v>
      </x:c>
      <x:c r="F623" s="8" t="n">
        <x:v>46300.43777777778</x:v>
      </x:c>
      <x:c r="G623" s="8" t="n">
        <x:v>46300.43780092592</x:v>
      </x:c>
      <x:c r="H623" s="2" t="str">
        <x:v>SCH01</x:v>
      </x:c>
      <x:c r="I623" s="9" t="n">
        <x:v>25.285</x:v>
      </x:c>
      <x:c r="J623" s="9" t="n">
        <x:v>51.51</x:v>
      </x:c>
      <x:c r="K623" s="2" t="n">
        <x:v>8</x:v>
      </x:c>
      <x:c r="L623" s="2" t="str">
        <x:v>Valid</x:v>
      </x:c>
      <x:c r="M623" s="2" t="str">
        <x:v>QR</x:v>
      </x:c>
      <x:c r="N623" s="2" t="n">
        <x:v>1</x:v>
      </x:c>
      <x:c r="O623" s="2" t="str">
        <x:v>Accepted</x:v>
      </x:c>
      <x:c r="P623" s="2" t="str">
        <x:v>S003</x:v>
      </x:c>
      <x:c r="Q623" s="2" t="str">
        <x:v>DEV003</x:v>
      </x:c>
      <x:c r="R623" s="2" t="n">
        <x:v>9</x:v>
      </x:c>
      <x:c r="S623" s="2" t="str">
        <x:v>Online</x:v>
      </x:c>
      <x:c r="T623" s="2" t="str">
        <x:v>Synced</x:v>
      </x:c>
    </x:row>
    <x:row r="624" ht="21" customHeight="1">
      <x:c r="A624" s="2" t="str">
        <x:v>EV000537</x:v>
      </x:c>
      <x:c r="B624" s="2" t="str">
        <x:v>T20261005-2-1</x:v>
      </x:c>
      <x:c r="C624" s="2" t="str">
        <x:v>ST010</x:v>
      </x:c>
      <x:c r="D624" s="2" t="str">
        <x:v>df6521f6838e149b7b1f3fd27dcbf586</x:v>
      </x:c>
      <x:c r="E624" s="2" t="str">
        <x:v>CHECK_IN</x:v>
      </x:c>
      <x:c r="F624" s="8" t="n">
        <x:v>46300.4378125</x:v>
      </x:c>
      <x:c r="G624" s="8" t="n">
        <x:v>46300.43783564815</x:v>
      </x:c>
      <x:c r="H624" s="2" t="str">
        <x:v>SCH01</x:v>
      </x:c>
      <x:c r="I624" s="9" t="n">
        <x:v>25.285</x:v>
      </x:c>
      <x:c r="J624" s="9" t="n">
        <x:v>51.51</x:v>
      </x:c>
      <x:c r="K624" s="2" t="n">
        <x:v>8</x:v>
      </x:c>
      <x:c r="L624" s="2" t="str">
        <x:v>Valid</x:v>
      </x:c>
      <x:c r="M624" s="2" t="str">
        <x:v>QR</x:v>
      </x:c>
      <x:c r="N624" s="2" t="n">
        <x:v>1</x:v>
      </x:c>
      <x:c r="O624" s="2" t="str">
        <x:v>Accepted</x:v>
      </x:c>
      <x:c r="P624" s="2" t="str">
        <x:v>S001</x:v>
      </x:c>
      <x:c r="Q624" s="2" t="str">
        <x:v>DEV001</x:v>
      </x:c>
      <x:c r="R624" s="2" t="n">
        <x:v>10</x:v>
      </x:c>
      <x:c r="S624" s="2" t="str">
        <x:v>Online</x:v>
      </x:c>
      <x:c r="T624" s="2" t="str">
        <x:v>Synced</x:v>
      </x:c>
    </x:row>
    <x:row r="625" ht="21" customHeight="1">
      <x:c r="A625" s="2" t="str">
        <x:v>EV000693</x:v>
      </x:c>
      <x:c r="B625" s="2" t="str">
        <x:v>T20261005-2-2</x:v>
      </x:c>
      <x:c r="C625" s="2" t="str">
        <x:v>ST050</x:v>
      </x:c>
      <x:c r="D625" s="2" t="str">
        <x:v>ca49474881a6395691ac81bd08684ed6</x:v>
      </x:c>
      <x:c r="E625" s="2" t="str">
        <x:v>CHECK_IN</x:v>
      </x:c>
      <x:c r="F625" s="8" t="n">
        <x:v>46300.4378125</x:v>
      </x:c>
      <x:c r="G625" s="8" t="n">
        <x:v>46300.43783564815</x:v>
      </x:c>
      <x:c r="H625" s="2" t="str">
        <x:v>SCH01</x:v>
      </x:c>
      <x:c r="I625" s="9" t="n">
        <x:v>25.285</x:v>
      </x:c>
      <x:c r="J625" s="9" t="n">
        <x:v>51.51</x:v>
      </x:c>
      <x:c r="K625" s="2" t="n">
        <x:v>8</x:v>
      </x:c>
      <x:c r="L625" s="2" t="str">
        <x:v>Valid</x:v>
      </x:c>
      <x:c r="M625" s="2" t="str">
        <x:v>QR</x:v>
      </x:c>
      <x:c r="N625" s="2" t="n">
        <x:v>1</x:v>
      </x:c>
      <x:c r="O625" s="2" t="str">
        <x:v>Accepted</x:v>
      </x:c>
      <x:c r="P625" s="2" t="str">
        <x:v>S002</x:v>
      </x:c>
      <x:c r="Q625" s="2" t="str">
        <x:v>DEV002</x:v>
      </x:c>
      <x:c r="R625" s="2" t="n">
        <x:v>9</x:v>
      </x:c>
      <x:c r="S625" s="2" t="str">
        <x:v>Online</x:v>
      </x:c>
      <x:c r="T625" s="2" t="str">
        <x:v>Synced</x:v>
      </x:c>
    </x:row>
    <x:row r="626" ht="21" customHeight="1">
      <x:c r="A626" s="2" t="str">
        <x:v>EV000853</x:v>
      </x:c>
      <x:c r="B626" s="2" t="str">
        <x:v>T20261005-2-3</x:v>
      </x:c>
      <x:c r="C626" s="2" t="str">
        <x:v>ST090</x:v>
      </x:c>
      <x:c r="D626" s="2" t="str">
        <x:v>3b91252475551a374010825e1f05642c</x:v>
      </x:c>
      <x:c r="E626" s="2" t="str">
        <x:v>CHECK_IN</x:v>
      </x:c>
      <x:c r="F626" s="8" t="n">
        <x:v>46300.4378125</x:v>
      </x:c>
      <x:c r="G626" s="8" t="n">
        <x:v>46300.43783564815</x:v>
      </x:c>
      <x:c r="H626" s="2" t="str">
        <x:v>SCH01</x:v>
      </x:c>
      <x:c r="I626" s="9" t="n">
        <x:v>25.285</x:v>
      </x:c>
      <x:c r="J626" s="9" t="n">
        <x:v>51.51</x:v>
      </x:c>
      <x:c r="K626" s="2" t="n">
        <x:v>8</x:v>
      </x:c>
      <x:c r="L626" s="2" t="str">
        <x:v>Valid</x:v>
      </x:c>
      <x:c r="M626" s="2" t="str">
        <x:v>QR</x:v>
      </x:c>
      <x:c r="N626" s="2" t="n">
        <x:v>1</x:v>
      </x:c>
      <x:c r="O626" s="2" t="str">
        <x:v>Accepted</x:v>
      </x:c>
      <x:c r="P626" s="2" t="str">
        <x:v>S003</x:v>
      </x:c>
      <x:c r="Q626" s="2" t="str">
        <x:v>DEV003</x:v>
      </x:c>
      <x:c r="R626" s="2" t="n">
        <x:v>10</x:v>
      </x:c>
      <x:c r="S626" s="2" t="str">
        <x:v>Online</x:v>
      </x:c>
      <x:c r="T626" s="2" t="str">
        <x:v>Synced</x:v>
      </x:c>
    </x:row>
    <x:row r="627" ht="21" customHeight="1">
      <x:c r="A627" s="2" t="str">
        <x:v>EV000520</x:v>
      </x:c>
      <x:c r="B627" s="2" t="str">
        <x:v>T20261005-2-1</x:v>
      </x:c>
      <x:c r="C627" s="2" t="str">
        <x:v>ST001</x:v>
      </x:c>
      <x:c r="D627" s="2" t="str">
        <x:v>c33d277e346360e93548e66cbf71eda4</x:v>
      </x:c>
      <x:c r="E627" s="2" t="str">
        <x:v>CHECK_OUT</x:v>
      </x:c>
      <x:c r="F627" s="8" t="n">
        <x:v>46300.44930555555</x:v>
      </x:c>
      <x:c r="G627" s="8" t="n">
        <x:v>46300.4493287037</x:v>
      </x:c>
      <x:c r="H627" s="2" t="str">
        <x:v>R1S1</x:v>
      </x:c>
      <x:c r="I627" s="9" t="n">
        <x:v>25.271</x:v>
      </x:c>
      <x:c r="J627" s="9" t="n">
        <x:v>51.491</x:v>
      </x:c>
      <x:c r="K627" s="2" t="n">
        <x:v>8</x:v>
      </x:c>
      <x:c r="L627" s="2" t="str">
        <x:v>Valid</x:v>
      </x:c>
      <x:c r="M627" s="2" t="str">
        <x:v>QR</x:v>
      </x:c>
      <x:c r="N627" s="2" t="n">
        <x:v>1</x:v>
      </x:c>
      <x:c r="O627" s="2" t="str">
        <x:v>Accepted</x:v>
      </x:c>
      <x:c r="P627" s="2" t="str">
        <x:v>S001</x:v>
      </x:c>
      <x:c r="Q627" s="2" t="str">
        <x:v>DEV001</x:v>
      </x:c>
      <x:c r="R627" s="2" t="n">
        <x:v>11</x:v>
      </x:c>
      <x:c r="S627" s="2" t="str">
        <x:v>Online</x:v>
      </x:c>
      <x:c r="T627" s="2" t="str">
        <x:v>Synced</x:v>
      </x:c>
    </x:row>
    <x:row r="628" ht="21" customHeight="1">
      <x:c r="A628" s="2" t="str">
        <x:v>EV000678</x:v>
      </x:c>
      <x:c r="B628" s="2" t="str">
        <x:v>T20261005-2-2</x:v>
      </x:c>
      <x:c r="C628" s="2" t="str">
        <x:v>ST041</x:v>
      </x:c>
      <x:c r="D628" s="2" t="str">
        <x:v>78597cf805a87b7619460b6ed67f501f</x:v>
      </x:c>
      <x:c r="E628" s="2" t="str">
        <x:v>CHECK_OUT</x:v>
      </x:c>
      <x:c r="F628" s="8" t="n">
        <x:v>46300.44930555555</x:v>
      </x:c>
      <x:c r="G628" s="8" t="n">
        <x:v>46300.4493287037</x:v>
      </x:c>
      <x:c r="H628" s="2" t="str">
        <x:v>R2S1</x:v>
      </x:c>
      <x:c r="I628" s="9" t="n">
        <x:v>25.28</x:v>
      </x:c>
      <x:c r="J628" s="9" t="n">
        <x:v>51.498999999999995</x:v>
      </x:c>
      <x:c r="K628" s="2" t="n">
        <x:v>8</x:v>
      </x:c>
      <x:c r="L628" s="2" t="str">
        <x:v>Valid</x:v>
      </x:c>
      <x:c r="M628" s="2" t="str">
        <x:v>QR</x:v>
      </x:c>
      <x:c r="N628" s="2" t="n">
        <x:v>1</x:v>
      </x:c>
      <x:c r="O628" s="2" t="str">
        <x:v>Accepted</x:v>
      </x:c>
      <x:c r="P628" s="2" t="str">
        <x:v>S002</x:v>
      </x:c>
      <x:c r="Q628" s="2" t="str">
        <x:v>DEV002</x:v>
      </x:c>
      <x:c r="R628" s="2" t="n">
        <x:v>10</x:v>
      </x:c>
      <x:c r="S628" s="2" t="str">
        <x:v>Online</x:v>
      </x:c>
      <x:c r="T628" s="2" t="str">
        <x:v>Synced</x:v>
      </x:c>
    </x:row>
    <x:row r="629" ht="21" customHeight="1">
      <x:c r="A629" s="2" t="str">
        <x:v>EV000836</x:v>
      </x:c>
      <x:c r="B629" s="2" t="str">
        <x:v>T20261005-2-3</x:v>
      </x:c>
      <x:c r="C629" s="2" t="str">
        <x:v>ST081</x:v>
      </x:c>
      <x:c r="D629" s="2" t="str">
        <x:v>8631b63b10b36bffa6456d354db9c08f</x:v>
      </x:c>
      <x:c r="E629" s="2" t="str">
        <x:v>CHECK_OUT</x:v>
      </x:c>
      <x:c r="F629" s="8" t="n">
        <x:v>46300.44930555555</x:v>
      </x:c>
      <x:c r="G629" s="8" t="n">
        <x:v>46300.4493287037</x:v>
      </x:c>
      <x:c r="H629" s="2" t="str">
        <x:v>R3S1</x:v>
      </x:c>
      <x:c r="I629" s="9" t="n">
        <x:v>25.289</x:v>
      </x:c>
      <x:c r="J629" s="9" t="n">
        <x:v>51.507</x:v>
      </x:c>
      <x:c r="K629" s="2" t="n">
        <x:v>8</x:v>
      </x:c>
      <x:c r="L629" s="2" t="str">
        <x:v>Valid</x:v>
      </x:c>
      <x:c r="M629" s="2" t="str">
        <x:v>QR</x:v>
      </x:c>
      <x:c r="N629" s="2" t="n">
        <x:v>1</x:v>
      </x:c>
      <x:c r="O629" s="2" t="str">
        <x:v>Accepted</x:v>
      </x:c>
      <x:c r="P629" s="2" t="str">
        <x:v>S003</x:v>
      </x:c>
      <x:c r="Q629" s="2" t="str">
        <x:v>DEV003</x:v>
      </x:c>
      <x:c r="R629" s="2" t="n">
        <x:v>11</x:v>
      </x:c>
      <x:c r="S629" s="2" t="str">
        <x:v>Online</x:v>
      </x:c>
      <x:c r="T629" s="2" t="str">
        <x:v>Synced</x:v>
      </x:c>
    </x:row>
    <x:row r="630" ht="21" customHeight="1">
      <x:c r="A630" s="2" t="str">
        <x:v>EV000526</x:v>
      </x:c>
      <x:c r="B630" s="2" t="str">
        <x:v>T20261005-2-1</x:v>
      </x:c>
      <x:c r="C630" s="2" t="str">
        <x:v>ST004</x:v>
      </x:c>
      <x:c r="D630" s="2" t="str">
        <x:v>7dee56e67101a0dd8483e1503eba9a72</x:v>
      </x:c>
      <x:c r="E630" s="2" t="str">
        <x:v>CHECK_OUT</x:v>
      </x:c>
      <x:c r="F630" s="8" t="n">
        <x:v>46300.44940972222</x:v>
      </x:c>
      <x:c r="G630" s="8" t="n">
        <x:v>46300.449432870366</x:v>
      </x:c>
      <x:c r="H630" s="2" t="str">
        <x:v>R1S1</x:v>
      </x:c>
      <x:c r="I630" s="9" t="n">
        <x:v>25.271</x:v>
      </x:c>
      <x:c r="J630" s="9" t="n">
        <x:v>51.491</x:v>
      </x:c>
      <x:c r="K630" s="2" t="n">
        <x:v>8</x:v>
      </x:c>
      <x:c r="L630" s="2" t="str">
        <x:v>Valid</x:v>
      </x:c>
      <x:c r="M630" s="2" t="str">
        <x:v>QR</x:v>
      </x:c>
      <x:c r="N630" s="2" t="n">
        <x:v>1</x:v>
      </x:c>
      <x:c r="O630" s="2" t="str">
        <x:v>Accepted</x:v>
      </x:c>
      <x:c r="P630" s="2" t="str">
        <x:v>S001</x:v>
      </x:c>
      <x:c r="Q630" s="2" t="str">
        <x:v>DEV001</x:v>
      </x:c>
      <x:c r="R630" s="2" t="n">
        <x:v>12</x:v>
      </x:c>
      <x:c r="S630" s="2" t="str">
        <x:v>Online</x:v>
      </x:c>
      <x:c r="T630" s="2" t="str">
        <x:v>Synced</x:v>
      </x:c>
    </x:row>
    <x:row r="631" ht="21" customHeight="1">
      <x:c r="A631" s="2" t="str">
        <x:v>EV000682</x:v>
      </x:c>
      <x:c r="B631" s="2" t="str">
        <x:v>T20261005-2-2</x:v>
      </x:c>
      <x:c r="C631" s="2" t="str">
        <x:v>ST044</x:v>
      </x:c>
      <x:c r="D631" s="2" t="str">
        <x:v>638b036dff08260bc8976402fb10157a</x:v>
      </x:c>
      <x:c r="E631" s="2" t="str">
        <x:v>CHECK_OUT</x:v>
      </x:c>
      <x:c r="F631" s="8" t="n">
        <x:v>46300.44940972222</x:v>
      </x:c>
      <x:c r="G631" s="8" t="n">
        <x:v>46300.449432870366</x:v>
      </x:c>
      <x:c r="H631" s="2" t="str">
        <x:v>R2S1</x:v>
      </x:c>
      <x:c r="I631" s="9" t="n">
        <x:v>25.28</x:v>
      </x:c>
      <x:c r="J631" s="9" t="n">
        <x:v>51.498999999999995</x:v>
      </x:c>
      <x:c r="K631" s="2" t="n">
        <x:v>8</x:v>
      </x:c>
      <x:c r="L631" s="2" t="str">
        <x:v>Valid</x:v>
      </x:c>
      <x:c r="M631" s="2" t="str">
        <x:v>QR</x:v>
      </x:c>
      <x:c r="N631" s="2" t="n">
        <x:v>1</x:v>
      </x:c>
      <x:c r="O631" s="2" t="str">
        <x:v>Accepted</x:v>
      </x:c>
      <x:c r="P631" s="2" t="str">
        <x:v>S002</x:v>
      </x:c>
      <x:c r="Q631" s="2" t="str">
        <x:v>DEV002</x:v>
      </x:c>
      <x:c r="R631" s="2" t="n">
        <x:v>11</x:v>
      </x:c>
      <x:c r="S631" s="2" t="str">
        <x:v>Online</x:v>
      </x:c>
      <x:c r="T631" s="2" t="str">
        <x:v>Synced</x:v>
      </x:c>
    </x:row>
    <x:row r="632" ht="21" customHeight="1">
      <x:c r="A632" s="2" t="str">
        <x:v>EV000842</x:v>
      </x:c>
      <x:c r="B632" s="2" t="str">
        <x:v>T20261005-2-3</x:v>
      </x:c>
      <x:c r="C632" s="2" t="str">
        <x:v>ST084</x:v>
      </x:c>
      <x:c r="D632" s="2" t="str">
        <x:v>2f6163b722feb8421b83fd278ee72e5c</x:v>
      </x:c>
      <x:c r="E632" s="2" t="str">
        <x:v>CHECK_OUT</x:v>
      </x:c>
      <x:c r="F632" s="8" t="n">
        <x:v>46300.44940972222</x:v>
      </x:c>
      <x:c r="G632" s="8" t="n">
        <x:v>46300.449432870366</x:v>
      </x:c>
      <x:c r="H632" s="2" t="str">
        <x:v>R3S1</x:v>
      </x:c>
      <x:c r="I632" s="9" t="n">
        <x:v>25.289</x:v>
      </x:c>
      <x:c r="J632" s="9" t="n">
        <x:v>51.507</x:v>
      </x:c>
      <x:c r="K632" s="2" t="n">
        <x:v>8</x:v>
      </x:c>
      <x:c r="L632" s="2" t="str">
        <x:v>Valid</x:v>
      </x:c>
      <x:c r="M632" s="2" t="str">
        <x:v>QR</x:v>
      </x:c>
      <x:c r="N632" s="2" t="n">
        <x:v>1</x:v>
      </x:c>
      <x:c r="O632" s="2" t="str">
        <x:v>Accepted</x:v>
      </x:c>
      <x:c r="P632" s="2" t="str">
        <x:v>S003</x:v>
      </x:c>
      <x:c r="Q632" s="2" t="str">
        <x:v>DEV003</x:v>
      </x:c>
      <x:c r="R632" s="2" t="n">
        <x:v>12</x:v>
      </x:c>
      <x:c r="S632" s="2" t="str">
        <x:v>Online</x:v>
      </x:c>
      <x:c r="T632" s="2" t="str">
        <x:v>Synced</x:v>
      </x:c>
    </x:row>
    <x:row r="633" ht="21" customHeight="1">
      <x:c r="A633" s="2" t="str">
        <x:v>EV000532</x:v>
      </x:c>
      <x:c r="B633" s="2" t="str">
        <x:v>T20261005-2-1</x:v>
      </x:c>
      <x:c r="C633" s="2" t="str">
        <x:v>ST007</x:v>
      </x:c>
      <x:c r="D633" s="2" t="str">
        <x:v>2376173ab02a96d9b58d44caf4008dfd</x:v>
      </x:c>
      <x:c r="E633" s="2" t="str">
        <x:v>CHECK_OUT</x:v>
      </x:c>
      <x:c r="F633" s="8" t="n">
        <x:v>46300.44951388888</x:v>
      </x:c>
      <x:c r="G633" s="8" t="n">
        <x:v>46300.44953703703</x:v>
      </x:c>
      <x:c r="H633" s="2" t="str">
        <x:v>R1S1</x:v>
      </x:c>
      <x:c r="I633" s="9" t="n">
        <x:v>25.271</x:v>
      </x:c>
      <x:c r="J633" s="9" t="n">
        <x:v>51.491</x:v>
      </x:c>
      <x:c r="K633" s="2" t="n">
        <x:v>8</x:v>
      </x:c>
      <x:c r="L633" s="2" t="str">
        <x:v>Valid</x:v>
      </x:c>
      <x:c r="M633" s="2" t="str">
        <x:v>QR</x:v>
      </x:c>
      <x:c r="N633" s="2" t="n">
        <x:v>1</x:v>
      </x:c>
      <x:c r="O633" s="2" t="str">
        <x:v>Accepted</x:v>
      </x:c>
      <x:c r="P633" s="2" t="str">
        <x:v>S001</x:v>
      </x:c>
      <x:c r="Q633" s="2" t="str">
        <x:v>DEV001</x:v>
      </x:c>
      <x:c r="R633" s="2" t="n">
        <x:v>13</x:v>
      </x:c>
      <x:c r="S633" s="2" t="str">
        <x:v>Online</x:v>
      </x:c>
      <x:c r="T633" s="2" t="str">
        <x:v>Synced</x:v>
      </x:c>
    </x:row>
    <x:row r="634" ht="21" customHeight="1">
      <x:c r="A634" s="2" t="str">
        <x:v>EV000688</x:v>
      </x:c>
      <x:c r="B634" s="2" t="str">
        <x:v>T20261005-2-2</x:v>
      </x:c>
      <x:c r="C634" s="2" t="str">
        <x:v>ST047</x:v>
      </x:c>
      <x:c r="D634" s="2" t="str">
        <x:v>b3f6380a42fb190ae04afac7edee87cd</x:v>
      </x:c>
      <x:c r="E634" s="2" t="str">
        <x:v>CHECK_OUT</x:v>
      </x:c>
      <x:c r="F634" s="8" t="n">
        <x:v>46300.44951388888</x:v>
      </x:c>
      <x:c r="G634" s="8" t="n">
        <x:v>46300.44953703703</x:v>
      </x:c>
      <x:c r="H634" s="2" t="str">
        <x:v>R2S1</x:v>
      </x:c>
      <x:c r="I634" s="9" t="n">
        <x:v>25.28</x:v>
      </x:c>
      <x:c r="J634" s="9" t="n">
        <x:v>51.498999999999995</x:v>
      </x:c>
      <x:c r="K634" s="2" t="n">
        <x:v>8</x:v>
      </x:c>
      <x:c r="L634" s="2" t="str">
        <x:v>Valid</x:v>
      </x:c>
      <x:c r="M634" s="2" t="str">
        <x:v>QR</x:v>
      </x:c>
      <x:c r="N634" s="2" t="n">
        <x:v>1</x:v>
      </x:c>
      <x:c r="O634" s="2" t="str">
        <x:v>Accepted</x:v>
      </x:c>
      <x:c r="P634" s="2" t="str">
        <x:v>S002</x:v>
      </x:c>
      <x:c r="Q634" s="2" t="str">
        <x:v>DEV002</x:v>
      </x:c>
      <x:c r="R634" s="2" t="n">
        <x:v>12</x:v>
      </x:c>
      <x:c r="S634" s="2" t="str">
        <x:v>Online</x:v>
      </x:c>
      <x:c r="T634" s="2" t="str">
        <x:v>Synced</x:v>
      </x:c>
    </x:row>
    <x:row r="635" ht="21" customHeight="1">
      <x:c r="A635" s="2" t="str">
        <x:v>EV000848</x:v>
      </x:c>
      <x:c r="B635" s="2" t="str">
        <x:v>T20261005-2-3</x:v>
      </x:c>
      <x:c r="C635" s="2" t="str">
        <x:v>ST087</x:v>
      </x:c>
      <x:c r="D635" s="2" t="str">
        <x:v>30243cf46003be06b271950aa5cd47a6</x:v>
      </x:c>
      <x:c r="E635" s="2" t="str">
        <x:v>CHECK_OUT</x:v>
      </x:c>
      <x:c r="F635" s="8" t="n">
        <x:v>46300.44951388888</x:v>
      </x:c>
      <x:c r="G635" s="8" t="n">
        <x:v>46300.44953703703</x:v>
      </x:c>
      <x:c r="H635" s="2" t="str">
        <x:v>R3S1</x:v>
      </x:c>
      <x:c r="I635" s="9" t="n">
        <x:v>25.289</x:v>
      </x:c>
      <x:c r="J635" s="9" t="n">
        <x:v>51.507</x:v>
      </x:c>
      <x:c r="K635" s="2" t="n">
        <x:v>8</x:v>
      </x:c>
      <x:c r="L635" s="2" t="str">
        <x:v>Valid</x:v>
      </x:c>
      <x:c r="M635" s="2" t="str">
        <x:v>QR</x:v>
      </x:c>
      <x:c r="N635" s="2" t="n">
        <x:v>1</x:v>
      </x:c>
      <x:c r="O635" s="2" t="str">
        <x:v>Accepted</x:v>
      </x:c>
      <x:c r="P635" s="2" t="str">
        <x:v>S003</x:v>
      </x:c>
      <x:c r="Q635" s="2" t="str">
        <x:v>DEV003</x:v>
      </x:c>
      <x:c r="R635" s="2" t="n">
        <x:v>13</x:v>
      </x:c>
      <x:c r="S635" s="2" t="str">
        <x:v>Online</x:v>
      </x:c>
      <x:c r="T635" s="2" t="str">
        <x:v>Synced</x:v>
      </x:c>
    </x:row>
    <x:row r="636" ht="21" customHeight="1">
      <x:c r="A636" s="2" t="str">
        <x:v>EV000538</x:v>
      </x:c>
      <x:c r="B636" s="2" t="str">
        <x:v>T20261005-2-1</x:v>
      </x:c>
      <x:c r="C636" s="2" t="str">
        <x:v>ST010</x:v>
      </x:c>
      <x:c r="D636" s="2" t="str">
        <x:v>df6521f6838e149b7b1f3fd27dcbf586</x:v>
      </x:c>
      <x:c r="E636" s="2" t="str">
        <x:v>CHECK_OUT</x:v>
      </x:c>
      <x:c r="F636" s="8" t="n">
        <x:v>46300.44961805555</x:v>
      </x:c>
      <x:c r="G636" s="8" t="n">
        <x:v>46300.4496412037</x:v>
      </x:c>
      <x:c r="H636" s="2" t="str">
        <x:v>R1S1</x:v>
      </x:c>
      <x:c r="I636" s="9" t="n">
        <x:v>25.271</x:v>
      </x:c>
      <x:c r="J636" s="9" t="n">
        <x:v>51.491</x:v>
      </x:c>
      <x:c r="K636" s="2" t="n">
        <x:v>8</x:v>
      </x:c>
      <x:c r="L636" s="2" t="str">
        <x:v>Valid</x:v>
      </x:c>
      <x:c r="M636" s="2" t="str">
        <x:v>QR</x:v>
      </x:c>
      <x:c r="N636" s="2" t="n">
        <x:v>1</x:v>
      </x:c>
      <x:c r="O636" s="2" t="str">
        <x:v>Accepted</x:v>
      </x:c>
      <x:c r="P636" s="2" t="str">
        <x:v>S001</x:v>
      </x:c>
      <x:c r="Q636" s="2" t="str">
        <x:v>DEV001</x:v>
      </x:c>
      <x:c r="R636" s="2" t="n">
        <x:v>14</x:v>
      </x:c>
      <x:c r="S636" s="2" t="str">
        <x:v>Online</x:v>
      </x:c>
      <x:c r="T636" s="2" t="str">
        <x:v>Synced</x:v>
      </x:c>
    </x:row>
    <x:row r="637" ht="21" customHeight="1">
      <x:c r="A637" s="2" t="str">
        <x:v>EV000694</x:v>
      </x:c>
      <x:c r="B637" s="2" t="str">
        <x:v>T20261005-2-2</x:v>
      </x:c>
      <x:c r="C637" s="2" t="str">
        <x:v>ST050</x:v>
      </x:c>
      <x:c r="D637" s="2" t="str">
        <x:v>ca49474881a6395691ac81bd08684ed6</x:v>
      </x:c>
      <x:c r="E637" s="2" t="str">
        <x:v>CHECK_OUT</x:v>
      </x:c>
      <x:c r="F637" s="8" t="n">
        <x:v>46300.44961805555</x:v>
      </x:c>
      <x:c r="G637" s="8" t="n">
        <x:v>46300.4496412037</x:v>
      </x:c>
      <x:c r="H637" s="2" t="str">
        <x:v>R2S1</x:v>
      </x:c>
      <x:c r="I637" s="9" t="n">
        <x:v>25.28</x:v>
      </x:c>
      <x:c r="J637" s="9" t="n">
        <x:v>51.498999999999995</x:v>
      </x:c>
      <x:c r="K637" s="2" t="n">
        <x:v>8</x:v>
      </x:c>
      <x:c r="L637" s="2" t="str">
        <x:v>Valid</x:v>
      </x:c>
      <x:c r="M637" s="2" t="str">
        <x:v>QR</x:v>
      </x:c>
      <x:c r="N637" s="2" t="n">
        <x:v>1</x:v>
      </x:c>
      <x:c r="O637" s="2" t="str">
        <x:v>Accepted</x:v>
      </x:c>
      <x:c r="P637" s="2" t="str">
        <x:v>S002</x:v>
      </x:c>
      <x:c r="Q637" s="2" t="str">
        <x:v>DEV002</x:v>
      </x:c>
      <x:c r="R637" s="2" t="n">
        <x:v>13</x:v>
      </x:c>
      <x:c r="S637" s="2" t="str">
        <x:v>Online</x:v>
      </x:c>
      <x:c r="T637" s="2" t="str">
        <x:v>Synced</x:v>
      </x:c>
    </x:row>
    <x:row r="638" ht="21" customHeight="1">
      <x:c r="A638" s="2" t="str">
        <x:v>EV000854</x:v>
      </x:c>
      <x:c r="B638" s="2" t="str">
        <x:v>T20261005-2-3</x:v>
      </x:c>
      <x:c r="C638" s="2" t="str">
        <x:v>ST090</x:v>
      </x:c>
      <x:c r="D638" s="2" t="str">
        <x:v>3b91252475551a374010825e1f05642c</x:v>
      </x:c>
      <x:c r="E638" s="2" t="str">
        <x:v>CHECK_OUT</x:v>
      </x:c>
      <x:c r="F638" s="8" t="n">
        <x:v>46300.44961805555</x:v>
      </x:c>
      <x:c r="G638" s="8" t="n">
        <x:v>46300.4496412037</x:v>
      </x:c>
      <x:c r="H638" s="2" t="str">
        <x:v>R3S1</x:v>
      </x:c>
      <x:c r="I638" s="9" t="n">
        <x:v>25.289</x:v>
      </x:c>
      <x:c r="J638" s="9" t="n">
        <x:v>51.507</x:v>
      </x:c>
      <x:c r="K638" s="2" t="n">
        <x:v>8</x:v>
      </x:c>
      <x:c r="L638" s="2" t="str">
        <x:v>Valid</x:v>
      </x:c>
      <x:c r="M638" s="2" t="str">
        <x:v>QR</x:v>
      </x:c>
      <x:c r="N638" s="2" t="n">
        <x:v>1</x:v>
      </x:c>
      <x:c r="O638" s="2" t="str">
        <x:v>Accepted</x:v>
      </x:c>
      <x:c r="P638" s="2" t="str">
        <x:v>S003</x:v>
      </x:c>
      <x:c r="Q638" s="2" t="str">
        <x:v>DEV003</x:v>
      </x:c>
      <x:c r="R638" s="2" t="n">
        <x:v>14</x:v>
      </x:c>
      <x:c r="S638" s="2" t="str">
        <x:v>Online</x:v>
      </x:c>
      <x:c r="T638" s="2" t="str">
        <x:v>Synced</x:v>
      </x:c>
    </x:row>
    <x:row r="639" ht="21" customHeight="1">
      <x:c r="A639" s="2" t="str">
        <x:v>EV000522</x:v>
      </x:c>
      <x:c r="B639" s="2" t="str">
        <x:v>T20261005-2-1</x:v>
      </x:c>
      <x:c r="C639" s="2" t="str">
        <x:v>ST002</x:v>
      </x:c>
      <x:c r="D639" s="2" t="str">
        <x:v>c9302a76d79e524442f3775978bb57a1</x:v>
      </x:c>
      <x:c r="E639" s="2" t="str">
        <x:v>CHECK_OUT</x:v>
      </x:c>
      <x:c r="F639" s="8" t="n">
        <x:v>46300.45350694445</x:v>
      </x:c>
      <x:c r="G639" s="8" t="n">
        <x:v>46300.45353009259</x:v>
      </x:c>
      <x:c r="H639" s="2" t="str">
        <x:v>R1S2</x:v>
      </x:c>
      <x:c r="I639" s="9" t="n">
        <x:v>25.273000000000003</x:v>
      </x:c>
      <x:c r="J639" s="9" t="n">
        <x:v>51.494</x:v>
      </x:c>
      <x:c r="K639" s="2" t="n">
        <x:v>8</x:v>
      </x:c>
      <x:c r="L639" s="2" t="str">
        <x:v>Valid</x:v>
      </x:c>
      <x:c r="M639" s="2" t="str">
        <x:v>QR</x:v>
      </x:c>
      <x:c r="N639" s="2" t="n">
        <x:v>1</x:v>
      </x:c>
      <x:c r="O639" s="2" t="str">
        <x:v>Accepted</x:v>
      </x:c>
      <x:c r="P639" s="2" t="str">
        <x:v>S001</x:v>
      </x:c>
      <x:c r="Q639" s="2" t="str">
        <x:v>DEV001</x:v>
      </x:c>
      <x:c r="R639" s="2" t="n">
        <x:v>15</x:v>
      </x:c>
      <x:c r="S639" s="2" t="str">
        <x:v>Online</x:v>
      </x:c>
      <x:c r="T639" s="2" t="str">
        <x:v>Synced</x:v>
      </x:c>
    </x:row>
    <x:row r="640" ht="21" customHeight="1">
      <x:c r="A640" s="2" t="str">
        <x:v>EV000838</x:v>
      </x:c>
      <x:c r="B640" s="2" t="str">
        <x:v>T20261005-2-3</x:v>
      </x:c>
      <x:c r="C640" s="2" t="str">
        <x:v>ST082</x:v>
      </x:c>
      <x:c r="D640" s="2" t="str">
        <x:v>fb7e28e2da3ace738571a6966bcaaec0</x:v>
      </x:c>
      <x:c r="E640" s="2" t="str">
        <x:v>CHECK_OUT</x:v>
      </x:c>
      <x:c r="F640" s="8" t="n">
        <x:v>46300.45350694445</x:v>
      </x:c>
      <x:c r="G640" s="8" t="n">
        <x:v>46300.45353009259</x:v>
      </x:c>
      <x:c r="H640" s="2" t="str">
        <x:v>R3S2</x:v>
      </x:c>
      <x:c r="I640" s="9" t="n">
        <x:v>25.291000000000004</x:v>
      </x:c>
      <x:c r="J640" s="9" t="n">
        <x:v>51.51</x:v>
      </x:c>
      <x:c r="K640" s="2" t="n">
        <x:v>8</x:v>
      </x:c>
      <x:c r="L640" s="2" t="str">
        <x:v>Valid</x:v>
      </x:c>
      <x:c r="M640" s="2" t="str">
        <x:v>QR</x:v>
      </x:c>
      <x:c r="N640" s="2" t="n">
        <x:v>1</x:v>
      </x:c>
      <x:c r="O640" s="2" t="str">
        <x:v>Accepted</x:v>
      </x:c>
      <x:c r="P640" s="2" t="str">
        <x:v>S003</x:v>
      </x:c>
      <x:c r="Q640" s="2" t="str">
        <x:v>DEV003</x:v>
      </x:c>
      <x:c r="R640" s="2" t="n">
        <x:v>15</x:v>
      </x:c>
      <x:c r="S640" s="2" t="str">
        <x:v>Online</x:v>
      </x:c>
      <x:c r="T640" s="2" t="str">
        <x:v>Synced</x:v>
      </x:c>
    </x:row>
    <x:row r="641" ht="21" customHeight="1">
      <x:c r="A641" s="2" t="str">
        <x:v>EV000528</x:v>
      </x:c>
      <x:c r="B641" s="2" t="str">
        <x:v>T20261005-2-1</x:v>
      </x:c>
      <x:c r="C641" s="2" t="str">
        <x:v>ST005</x:v>
      </x:c>
      <x:c r="D641" s="2" t="str">
        <x:v>426727a8a0b9d51694a399a005c786cf</x:v>
      </x:c>
      <x:c r="E641" s="2" t="str">
        <x:v>CHECK_OUT</x:v>
      </x:c>
      <x:c r="F641" s="8" t="n">
        <x:v>46300.453611111116</x:v>
      </x:c>
      <x:c r="G641" s="8" t="n">
        <x:v>46300.45363425926</x:v>
      </x:c>
      <x:c r="H641" s="2" t="str">
        <x:v>R1S2</x:v>
      </x:c>
      <x:c r="I641" s="9" t="n">
        <x:v>25.273000000000003</x:v>
      </x:c>
      <x:c r="J641" s="9" t="n">
        <x:v>51.494</x:v>
      </x:c>
      <x:c r="K641" s="2" t="n">
        <x:v>8</x:v>
      </x:c>
      <x:c r="L641" s="2" t="str">
        <x:v>Valid</x:v>
      </x:c>
      <x:c r="M641" s="2" t="str">
        <x:v>QR</x:v>
      </x:c>
      <x:c r="N641" s="2" t="n">
        <x:v>1</x:v>
      </x:c>
      <x:c r="O641" s="2" t="str">
        <x:v>Accepted</x:v>
      </x:c>
      <x:c r="P641" s="2" t="str">
        <x:v>S001</x:v>
      </x:c>
      <x:c r="Q641" s="2" t="str">
        <x:v>DEV001</x:v>
      </x:c>
      <x:c r="R641" s="2" t="n">
        <x:v>16</x:v>
      </x:c>
      <x:c r="S641" s="2" t="str">
        <x:v>Online</x:v>
      </x:c>
      <x:c r="T641" s="2" t="str">
        <x:v>Synced</x:v>
      </x:c>
    </x:row>
    <x:row r="642" ht="21" customHeight="1">
      <x:c r="A642" s="2" t="str">
        <x:v>EV000684</x:v>
      </x:c>
      <x:c r="B642" s="2" t="str">
        <x:v>T20261005-2-2</x:v>
      </x:c>
      <x:c r="C642" s="2" t="str">
        <x:v>ST045</x:v>
      </x:c>
      <x:c r="D642" s="2" t="str">
        <x:v>10d8df8a06a7c869bcaa1adbc88c05bc</x:v>
      </x:c>
      <x:c r="E642" s="2" t="str">
        <x:v>CHECK_OUT</x:v>
      </x:c>
      <x:c r="F642" s="8" t="n">
        <x:v>46300.453611111116</x:v>
      </x:c>
      <x:c r="G642" s="8" t="n">
        <x:v>46300.45363425926</x:v>
      </x:c>
      <x:c r="H642" s="2" t="str">
        <x:v>R2S2</x:v>
      </x:c>
      <x:c r="I642" s="9" t="n">
        <x:v>25.282000000000004</x:v>
      </x:c>
      <x:c r="J642" s="9" t="n">
        <x:v>51.501999999999995</x:v>
      </x:c>
      <x:c r="K642" s="2" t="n">
        <x:v>8</x:v>
      </x:c>
      <x:c r="L642" s="2" t="str">
        <x:v>Valid</x:v>
      </x:c>
      <x:c r="M642" s="2" t="str">
        <x:v>QR</x:v>
      </x:c>
      <x:c r="N642" s="2" t="n">
        <x:v>1</x:v>
      </x:c>
      <x:c r="O642" s="2" t="str">
        <x:v>Accepted</x:v>
      </x:c>
      <x:c r="P642" s="2" t="str">
        <x:v>S002</x:v>
      </x:c>
      <x:c r="Q642" s="2" t="str">
        <x:v>DEV002</x:v>
      </x:c>
      <x:c r="R642" s="2" t="n">
        <x:v>14</x:v>
      </x:c>
      <x:c r="S642" s="2" t="str">
        <x:v>Online</x:v>
      </x:c>
      <x:c r="T642" s="2" t="str">
        <x:v>Synced</x:v>
      </x:c>
    </x:row>
    <x:row r="643" ht="21" customHeight="1">
      <x:c r="A643" s="2" t="str">
        <x:v>EV000844</x:v>
      </x:c>
      <x:c r="B643" s="2" t="str">
        <x:v>T20261005-2-3</x:v>
      </x:c>
      <x:c r="C643" s="2" t="str">
        <x:v>ST085</x:v>
      </x:c>
      <x:c r="D643" s="2" t="str">
        <x:v>80babdd572dde222a75b7ad8f0fe7ffa</x:v>
      </x:c>
      <x:c r="E643" s="2" t="str">
        <x:v>CHECK_OUT</x:v>
      </x:c>
      <x:c r="F643" s="8" t="n">
        <x:v>46300.453611111116</x:v>
      </x:c>
      <x:c r="G643" s="8" t="n">
        <x:v>46300.45363425926</x:v>
      </x:c>
      <x:c r="H643" s="2" t="str">
        <x:v>R3S2</x:v>
      </x:c>
      <x:c r="I643" s="9" t="n">
        <x:v>25.291000000000004</x:v>
      </x:c>
      <x:c r="J643" s="9" t="n">
        <x:v>51.51</x:v>
      </x:c>
      <x:c r="K643" s="2" t="n">
        <x:v>8</x:v>
      </x:c>
      <x:c r="L643" s="2" t="str">
        <x:v>Valid</x:v>
      </x:c>
      <x:c r="M643" s="2" t="str">
        <x:v>QR</x:v>
      </x:c>
      <x:c r="N643" s="2" t="n">
        <x:v>1</x:v>
      </x:c>
      <x:c r="O643" s="2" t="str">
        <x:v>Accepted</x:v>
      </x:c>
      <x:c r="P643" s="2" t="str">
        <x:v>S003</x:v>
      </x:c>
      <x:c r="Q643" s="2" t="str">
        <x:v>DEV003</x:v>
      </x:c>
      <x:c r="R643" s="2" t="n">
        <x:v>16</x:v>
      </x:c>
      <x:c r="S643" s="2" t="str">
        <x:v>Online</x:v>
      </x:c>
      <x:c r="T643" s="2" t="str">
        <x:v>Synced</x:v>
      </x:c>
    </x:row>
    <x:row r="644" ht="21" customHeight="1">
      <x:c r="A644" s="2" t="str">
        <x:v>EV000534</x:v>
      </x:c>
      <x:c r="B644" s="2" t="str">
        <x:v>T20261005-2-1</x:v>
      </x:c>
      <x:c r="C644" s="2" t="str">
        <x:v>ST008</x:v>
      </x:c>
      <x:c r="D644" s="2" t="str">
        <x:v>ac4baf5d317844907005c691f401c42d</x:v>
      </x:c>
      <x:c r="E644" s="2" t="str">
        <x:v>CHECK_OUT</x:v>
      </x:c>
      <x:c r="F644" s="8" t="n">
        <x:v>46300.45371527778</x:v>
      </x:c>
      <x:c r="G644" s="8" t="n">
        <x:v>46300.453738425924</x:v>
      </x:c>
      <x:c r="H644" s="2" t="str">
        <x:v>R1S2</x:v>
      </x:c>
      <x:c r="I644" s="9" t="n">
        <x:v>25.273000000000003</x:v>
      </x:c>
      <x:c r="J644" s="9" t="n">
        <x:v>51.494</x:v>
      </x:c>
      <x:c r="K644" s="2" t="n">
        <x:v>8</x:v>
      </x:c>
      <x:c r="L644" s="2" t="str">
        <x:v>Valid</x:v>
      </x:c>
      <x:c r="M644" s="2" t="str">
        <x:v>QR</x:v>
      </x:c>
      <x:c r="N644" s="2" t="n">
        <x:v>1</x:v>
      </x:c>
      <x:c r="O644" s="2" t="str">
        <x:v>Accepted</x:v>
      </x:c>
      <x:c r="P644" s="2" t="str">
        <x:v>S001</x:v>
      </x:c>
      <x:c r="Q644" s="2" t="str">
        <x:v>DEV001</x:v>
      </x:c>
      <x:c r="R644" s="2" t="n">
        <x:v>17</x:v>
      </x:c>
      <x:c r="S644" s="2" t="str">
        <x:v>Online</x:v>
      </x:c>
      <x:c r="T644" s="2" t="str">
        <x:v>Synced</x:v>
      </x:c>
    </x:row>
    <x:row r="645" ht="21" customHeight="1">
      <x:c r="A645" s="2" t="str">
        <x:v>EV000690</x:v>
      </x:c>
      <x:c r="B645" s="2" t="str">
        <x:v>T20261005-2-2</x:v>
      </x:c>
      <x:c r="C645" s="2" t="str">
        <x:v>ST048</x:v>
      </x:c>
      <x:c r="D645" s="2" t="str">
        <x:v>e3a3009a9bd3946e21f417e93203aa79</x:v>
      </x:c>
      <x:c r="E645" s="2" t="str">
        <x:v>CHECK_OUT</x:v>
      </x:c>
      <x:c r="F645" s="8" t="n">
        <x:v>46300.45371527778</x:v>
      </x:c>
      <x:c r="G645" s="8" t="n">
        <x:v>46300.453738425924</x:v>
      </x:c>
      <x:c r="H645" s="2" t="str">
        <x:v>R2S2</x:v>
      </x:c>
      <x:c r="I645" s="9" t="n">
        <x:v>25.282000000000004</x:v>
      </x:c>
      <x:c r="J645" s="9" t="n">
        <x:v>51.501999999999995</x:v>
      </x:c>
      <x:c r="K645" s="2" t="n">
        <x:v>8</x:v>
      </x:c>
      <x:c r="L645" s="2" t="str">
        <x:v>Valid</x:v>
      </x:c>
      <x:c r="M645" s="2" t="str">
        <x:v>QR</x:v>
      </x:c>
      <x:c r="N645" s="2" t="n">
        <x:v>1</x:v>
      </x:c>
      <x:c r="O645" s="2" t="str">
        <x:v>Accepted</x:v>
      </x:c>
      <x:c r="P645" s="2" t="str">
        <x:v>S002</x:v>
      </x:c>
      <x:c r="Q645" s="2" t="str">
        <x:v>DEV002</x:v>
      </x:c>
      <x:c r="R645" s="2" t="n">
        <x:v>15</x:v>
      </x:c>
      <x:c r="S645" s="2" t="str">
        <x:v>Online</x:v>
      </x:c>
      <x:c r="T645" s="2" t="str">
        <x:v>Synced</x:v>
      </x:c>
    </x:row>
    <x:row r="646" ht="21" customHeight="1">
      <x:c r="A646" s="2" t="str">
        <x:v>EV000850</x:v>
      </x:c>
      <x:c r="B646" s="2" t="str">
        <x:v>T20261005-2-3</x:v>
      </x:c>
      <x:c r="C646" s="2" t="str">
        <x:v>ST088</x:v>
      </x:c>
      <x:c r="D646" s="2" t="str">
        <x:v>b227769e0483e6c28eed8e8d448bfbbe</x:v>
      </x:c>
      <x:c r="E646" s="2" t="str">
        <x:v>CHECK_OUT</x:v>
      </x:c>
      <x:c r="F646" s="8" t="n">
        <x:v>46300.45371527778</x:v>
      </x:c>
      <x:c r="G646" s="8" t="n">
        <x:v>46300.453738425924</x:v>
      </x:c>
      <x:c r="H646" s="2" t="str">
        <x:v>R3S2</x:v>
      </x:c>
      <x:c r="I646" s="9" t="n">
        <x:v>25.291000000000004</x:v>
      </x:c>
      <x:c r="J646" s="9" t="n">
        <x:v>51.51</x:v>
      </x:c>
      <x:c r="K646" s="2" t="n">
        <x:v>8</x:v>
      </x:c>
      <x:c r="L646" s="2" t="str">
        <x:v>Valid</x:v>
      </x:c>
      <x:c r="M646" s="2" t="str">
        <x:v>QR</x:v>
      </x:c>
      <x:c r="N646" s="2" t="n">
        <x:v>1</x:v>
      </x:c>
      <x:c r="O646" s="2" t="str">
        <x:v>Accepted</x:v>
      </x:c>
      <x:c r="P646" s="2" t="str">
        <x:v>S003</x:v>
      </x:c>
      <x:c r="Q646" s="2" t="str">
        <x:v>DEV003</x:v>
      </x:c>
      <x:c r="R646" s="2" t="n">
        <x:v>17</x:v>
      </x:c>
      <x:c r="S646" s="2" t="str">
        <x:v>Online</x:v>
      </x:c>
      <x:c r="T646" s="2" t="str">
        <x:v>Synced</x:v>
      </x:c>
    </x:row>
    <x:row r="647" ht="21" customHeight="1">
      <x:c r="A647" s="2" t="str">
        <x:v>EV000524</x:v>
      </x:c>
      <x:c r="B647" s="2" t="str">
        <x:v>T20261005-2-1</x:v>
      </x:c>
      <x:c r="C647" s="2" t="str">
        <x:v>ST003</x:v>
      </x:c>
      <x:c r="D647" s="2" t="str">
        <x:v>7598e98213cb52db1085c9a94fae1915</x:v>
      </x:c>
      <x:c r="E647" s="2" t="str">
        <x:v>CHECK_OUT</x:v>
      </x:c>
      <x:c r="F647" s="8" t="n">
        <x:v>46300.457708333335</x:v>
      </x:c>
      <x:c r="G647" s="8" t="n">
        <x:v>46300.45773148148</x:v>
      </x:c>
      <x:c r="H647" s="2" t="str">
        <x:v>R1S3</x:v>
      </x:c>
      <x:c r="I647" s="9" t="n">
        <x:v>25.275000000000002</x:v>
      </x:c>
      <x:c r="J647" s="9" t="n">
        <x:v>51.497</x:v>
      </x:c>
      <x:c r="K647" s="2" t="n">
        <x:v>8</x:v>
      </x:c>
      <x:c r="L647" s="2" t="str">
        <x:v>Valid</x:v>
      </x:c>
      <x:c r="M647" s="2" t="str">
        <x:v>QR</x:v>
      </x:c>
      <x:c r="N647" s="2" t="n">
        <x:v>1</x:v>
      </x:c>
      <x:c r="O647" s="2" t="str">
        <x:v>Accepted</x:v>
      </x:c>
      <x:c r="P647" s="2" t="str">
        <x:v>S001</x:v>
      </x:c>
      <x:c r="Q647" s="2" t="str">
        <x:v>DEV001</x:v>
      </x:c>
      <x:c r="R647" s="2" t="n">
        <x:v>18</x:v>
      </x:c>
      <x:c r="S647" s="2" t="str">
        <x:v>Online</x:v>
      </x:c>
      <x:c r="T647" s="2" t="str">
        <x:v>Synced</x:v>
      </x:c>
    </x:row>
    <x:row r="648" ht="21" customHeight="1">
      <x:c r="A648" s="2" t="str">
        <x:v>EV000680</x:v>
      </x:c>
      <x:c r="B648" s="2" t="str">
        <x:v>T20261005-2-2</x:v>
      </x:c>
      <x:c r="C648" s="2" t="str">
        <x:v>ST043</x:v>
      </x:c>
      <x:c r="D648" s="2" t="str">
        <x:v>db51093fe9dac44d59345ee12f7e9c56</x:v>
      </x:c>
      <x:c r="E648" s="2" t="str">
        <x:v>CHECK_OUT</x:v>
      </x:c>
      <x:c r="F648" s="8" t="n">
        <x:v>46300.457708333335</x:v>
      </x:c>
      <x:c r="G648" s="8" t="n">
        <x:v>46300.45773148148</x:v>
      </x:c>
      <x:c r="H648" s="2" t="str">
        <x:v>R2S3</x:v>
      </x:c>
      <x:c r="I648" s="9" t="n">
        <x:v>25.284000000000002</x:v>
      </x:c>
      <x:c r="J648" s="9" t="n">
        <x:v>51.504999999999995</x:v>
      </x:c>
      <x:c r="K648" s="2" t="n">
        <x:v>8</x:v>
      </x:c>
      <x:c r="L648" s="2" t="str">
        <x:v>Valid</x:v>
      </x:c>
      <x:c r="M648" s="2" t="str">
        <x:v>QR</x:v>
      </x:c>
      <x:c r="N648" s="2" t="n">
        <x:v>1</x:v>
      </x:c>
      <x:c r="O648" s="2" t="str">
        <x:v>Accepted</x:v>
      </x:c>
      <x:c r="P648" s="2" t="str">
        <x:v>S002</x:v>
      </x:c>
      <x:c r="Q648" s="2" t="str">
        <x:v>DEV002</x:v>
      </x:c>
      <x:c r="R648" s="2" t="n">
        <x:v>16</x:v>
      </x:c>
      <x:c r="S648" s="2" t="str">
        <x:v>Online</x:v>
      </x:c>
      <x:c r="T648" s="2" t="str">
        <x:v>Synced</x:v>
      </x:c>
    </x:row>
    <x:row r="649" ht="21" customHeight="1">
      <x:c r="A649" s="2" t="str">
        <x:v>EV000840</x:v>
      </x:c>
      <x:c r="B649" s="2" t="str">
        <x:v>T20261005-2-3</x:v>
      </x:c>
      <x:c r="C649" s="2" t="str">
        <x:v>ST083</x:v>
      </x:c>
      <x:c r="D649" s="2" t="str">
        <x:v>19cc474730ce4d97be031814010d13a9</x:v>
      </x:c>
      <x:c r="E649" s="2" t="str">
        <x:v>CHECK_OUT</x:v>
      </x:c>
      <x:c r="F649" s="8" t="n">
        <x:v>46300.457708333335</x:v>
      </x:c>
      <x:c r="G649" s="8" t="n">
        <x:v>46300.45773148148</x:v>
      </x:c>
      <x:c r="H649" s="2" t="str">
        <x:v>R3S3</x:v>
      </x:c>
      <x:c r="I649" s="9" t="n">
        <x:v>25.293000000000003</x:v>
      </x:c>
      <x:c r="J649" s="9" t="n">
        <x:v>51.513</x:v>
      </x:c>
      <x:c r="K649" s="2" t="n">
        <x:v>8</x:v>
      </x:c>
      <x:c r="L649" s="2" t="str">
        <x:v>Valid</x:v>
      </x:c>
      <x:c r="M649" s="2" t="str">
        <x:v>QR</x:v>
      </x:c>
      <x:c r="N649" s="2" t="n">
        <x:v>1</x:v>
      </x:c>
      <x:c r="O649" s="2" t="str">
        <x:v>Accepted</x:v>
      </x:c>
      <x:c r="P649" s="2" t="str">
        <x:v>S003</x:v>
      </x:c>
      <x:c r="Q649" s="2" t="str">
        <x:v>DEV003</x:v>
      </x:c>
      <x:c r="R649" s="2" t="n">
        <x:v>18</x:v>
      </x:c>
      <x:c r="S649" s="2" t="str">
        <x:v>Online</x:v>
      </x:c>
      <x:c r="T649" s="2" t="str">
        <x:v>Synced</x:v>
      </x:c>
    </x:row>
    <x:row r="650" ht="21" customHeight="1">
      <x:c r="A650" s="2" t="str">
        <x:v>EV000530</x:v>
      </x:c>
      <x:c r="B650" s="2" t="str">
        <x:v>T20261005-2-1</x:v>
      </x:c>
      <x:c r="C650" s="2" t="str">
        <x:v>ST006</x:v>
      </x:c>
      <x:c r="D650" s="2" t="str">
        <x:v>8edd7f2c984bf2eb5adf75591d6f1e9c</x:v>
      </x:c>
      <x:c r="E650" s="2" t="str">
        <x:v>CHECK_OUT</x:v>
      </x:c>
      <x:c r="F650" s="8" t="n">
        <x:v>46300.4578125</x:v>
      </x:c>
      <x:c r="G650" s="8" t="n">
        <x:v>46300.45783564814</x:v>
      </x:c>
      <x:c r="H650" s="2" t="str">
        <x:v>R1S3</x:v>
      </x:c>
      <x:c r="I650" s="9" t="n">
        <x:v>25.275000000000002</x:v>
      </x:c>
      <x:c r="J650" s="9" t="n">
        <x:v>51.497</x:v>
      </x:c>
      <x:c r="K650" s="2" t="n">
        <x:v>8</x:v>
      </x:c>
      <x:c r="L650" s="2" t="str">
        <x:v>Valid</x:v>
      </x:c>
      <x:c r="M650" s="2" t="str">
        <x:v>QR</x:v>
      </x:c>
      <x:c r="N650" s="2" t="n">
        <x:v>1</x:v>
      </x:c>
      <x:c r="O650" s="2" t="str">
        <x:v>Accepted</x:v>
      </x:c>
      <x:c r="P650" s="2" t="str">
        <x:v>S001</x:v>
      </x:c>
      <x:c r="Q650" s="2" t="str">
        <x:v>DEV001</x:v>
      </x:c>
      <x:c r="R650" s="2" t="n">
        <x:v>19</x:v>
      </x:c>
      <x:c r="S650" s="2" t="str">
        <x:v>Online</x:v>
      </x:c>
      <x:c r="T650" s="2" t="str">
        <x:v>Synced</x:v>
      </x:c>
    </x:row>
    <x:row r="651" ht="21" customHeight="1">
      <x:c r="A651" s="2" t="str">
        <x:v>EV000686</x:v>
      </x:c>
      <x:c r="B651" s="2" t="str">
        <x:v>T20261005-2-2</x:v>
      </x:c>
      <x:c r="C651" s="2" t="str">
        <x:v>ST046</x:v>
      </x:c>
      <x:c r="D651" s="2" t="str">
        <x:v>82365992d443d056f10fa7522ac29057</x:v>
      </x:c>
      <x:c r="E651" s="2" t="str">
        <x:v>CHECK_OUT</x:v>
      </x:c>
      <x:c r="F651" s="8" t="n">
        <x:v>46300.4578125</x:v>
      </x:c>
      <x:c r="G651" s="8" t="n">
        <x:v>46300.45783564814</x:v>
      </x:c>
      <x:c r="H651" s="2" t="str">
        <x:v>R2S3</x:v>
      </x:c>
      <x:c r="I651" s="9" t="n">
        <x:v>25.284000000000002</x:v>
      </x:c>
      <x:c r="J651" s="9" t="n">
        <x:v>51.504999999999995</x:v>
      </x:c>
      <x:c r="K651" s="2" t="n">
        <x:v>8</x:v>
      </x:c>
      <x:c r="L651" s="2" t="str">
        <x:v>Valid</x:v>
      </x:c>
      <x:c r="M651" s="2" t="str">
        <x:v>QR</x:v>
      </x:c>
      <x:c r="N651" s="2" t="n">
        <x:v>1</x:v>
      </x:c>
      <x:c r="O651" s="2" t="str">
        <x:v>Accepted</x:v>
      </x:c>
      <x:c r="P651" s="2" t="str">
        <x:v>S002</x:v>
      </x:c>
      <x:c r="Q651" s="2" t="str">
        <x:v>DEV002</x:v>
      </x:c>
      <x:c r="R651" s="2" t="n">
        <x:v>17</x:v>
      </x:c>
      <x:c r="S651" s="2" t="str">
        <x:v>Online</x:v>
      </x:c>
      <x:c r="T651" s="2" t="str">
        <x:v>Synced</x:v>
      </x:c>
    </x:row>
    <x:row r="652" ht="21" customHeight="1">
      <x:c r="A652" s="2" t="str">
        <x:v>EV000846</x:v>
      </x:c>
      <x:c r="B652" s="2" t="str">
        <x:v>T20261005-2-3</x:v>
      </x:c>
      <x:c r="C652" s="2" t="str">
        <x:v>ST086</x:v>
      </x:c>
      <x:c r="D652" s="2" t="str">
        <x:v>33c5dfd0f17fcbe34d50fd9b0a0c0e5b</x:v>
      </x:c>
      <x:c r="E652" s="2" t="str">
        <x:v>CHECK_OUT</x:v>
      </x:c>
      <x:c r="F652" s="8" t="n">
        <x:v>46300.4578125</x:v>
      </x:c>
      <x:c r="G652" s="8" t="n">
        <x:v>46300.45783564814</x:v>
      </x:c>
      <x:c r="H652" s="2" t="str">
        <x:v>R3S3</x:v>
      </x:c>
      <x:c r="I652" s="9" t="n">
        <x:v>25.293000000000003</x:v>
      </x:c>
      <x:c r="J652" s="9" t="n">
        <x:v>51.513</x:v>
      </x:c>
      <x:c r="K652" s="2" t="n">
        <x:v>8</x:v>
      </x:c>
      <x:c r="L652" s="2" t="str">
        <x:v>Valid</x:v>
      </x:c>
      <x:c r="M652" s="2" t="str">
        <x:v>QR</x:v>
      </x:c>
      <x:c r="N652" s="2" t="n">
        <x:v>1</x:v>
      </x:c>
      <x:c r="O652" s="2" t="str">
        <x:v>Accepted</x:v>
      </x:c>
      <x:c r="P652" s="2" t="str">
        <x:v>S003</x:v>
      </x:c>
      <x:c r="Q652" s="2" t="str">
        <x:v>DEV003</x:v>
      </x:c>
      <x:c r="R652" s="2" t="n">
        <x:v>19</x:v>
      </x:c>
      <x:c r="S652" s="2" t="str">
        <x:v>Online</x:v>
      </x:c>
      <x:c r="T652" s="2" t="str">
        <x:v>Synced</x:v>
      </x:c>
    </x:row>
    <x:row r="653" ht="21" customHeight="1">
      <x:c r="A653" s="2" t="str">
        <x:v>EV000536</x:v>
      </x:c>
      <x:c r="B653" s="2" t="str">
        <x:v>T20261005-2-1</x:v>
      </x:c>
      <x:c r="C653" s="2" t="str">
        <x:v>ST009</x:v>
      </x:c>
      <x:c r="D653" s="2" t="str">
        <x:v>fdc849f07f4ba12ab82f6bed87d7275d</x:v>
      </x:c>
      <x:c r="E653" s="2" t="str">
        <x:v>CHECK_OUT</x:v>
      </x:c>
      <x:c r="F653" s="8" t="n">
        <x:v>46300.457916666666</x:v>
      </x:c>
      <x:c r="G653" s="8" t="n">
        <x:v>46300.45793981481</x:v>
      </x:c>
      <x:c r="H653" s="2" t="str">
        <x:v>R1S3</x:v>
      </x:c>
      <x:c r="I653" s="9" t="n">
        <x:v>25.275000000000002</x:v>
      </x:c>
      <x:c r="J653" s="9" t="n">
        <x:v>51.497</x:v>
      </x:c>
      <x:c r="K653" s="2" t="n">
        <x:v>8</x:v>
      </x:c>
      <x:c r="L653" s="2" t="str">
        <x:v>Valid</x:v>
      </x:c>
      <x:c r="M653" s="2" t="str">
        <x:v>QR</x:v>
      </x:c>
      <x:c r="N653" s="2" t="n">
        <x:v>1</x:v>
      </x:c>
      <x:c r="O653" s="2" t="str">
        <x:v>Accepted</x:v>
      </x:c>
      <x:c r="P653" s="2" t="str">
        <x:v>S001</x:v>
      </x:c>
      <x:c r="Q653" s="2" t="str">
        <x:v>DEV001</x:v>
      </x:c>
      <x:c r="R653" s="2" t="n">
        <x:v>20</x:v>
      </x:c>
      <x:c r="S653" s="2" t="str">
        <x:v>Online</x:v>
      </x:c>
      <x:c r="T653" s="2" t="str">
        <x:v>Synced</x:v>
      </x:c>
    </x:row>
    <x:row r="654" ht="21" customHeight="1">
      <x:c r="A654" s="2" t="str">
        <x:v>EV000692</x:v>
      </x:c>
      <x:c r="B654" s="2" t="str">
        <x:v>T20261005-2-2</x:v>
      </x:c>
      <x:c r="C654" s="2" t="str">
        <x:v>ST049</x:v>
      </x:c>
      <x:c r="D654" s="2" t="str">
        <x:v>aac0da9ca028b4b4fe1fc2c1eb298502</x:v>
      </x:c>
      <x:c r="E654" s="2" t="str">
        <x:v>CHECK_OUT</x:v>
      </x:c>
      <x:c r="F654" s="8" t="n">
        <x:v>46300.457916666666</x:v>
      </x:c>
      <x:c r="G654" s="8" t="n">
        <x:v>46300.45793981481</x:v>
      </x:c>
      <x:c r="H654" s="2" t="str">
        <x:v>R2S3</x:v>
      </x:c>
      <x:c r="I654" s="9" t="n">
        <x:v>25.284000000000002</x:v>
      </x:c>
      <x:c r="J654" s="9" t="n">
        <x:v>51.504999999999995</x:v>
      </x:c>
      <x:c r="K654" s="2" t="n">
        <x:v>8</x:v>
      </x:c>
      <x:c r="L654" s="2" t="str">
        <x:v>Valid</x:v>
      </x:c>
      <x:c r="M654" s="2" t="str">
        <x:v>QR</x:v>
      </x:c>
      <x:c r="N654" s="2" t="n">
        <x:v>1</x:v>
      </x:c>
      <x:c r="O654" s="2" t="str">
        <x:v>Accepted</x:v>
      </x:c>
      <x:c r="P654" s="2" t="str">
        <x:v>S002</x:v>
      </x:c>
      <x:c r="Q654" s="2" t="str">
        <x:v>DEV002</x:v>
      </x:c>
      <x:c r="R654" s="2" t="n">
        <x:v>18</x:v>
      </x:c>
      <x:c r="S654" s="2" t="str">
        <x:v>Online</x:v>
      </x:c>
      <x:c r="T654" s="2" t="str">
        <x:v>Synced</x:v>
      </x:c>
    </x:row>
    <x:row r="655" ht="21" customHeight="1">
      <x:c r="A655" s="2" t="str">
        <x:v>EV000852</x:v>
      </x:c>
      <x:c r="B655" s="2" t="str">
        <x:v>T20261005-2-3</x:v>
      </x:c>
      <x:c r="C655" s="2" t="str">
        <x:v>ST089</x:v>
      </x:c>
      <x:c r="D655" s="2" t="str">
        <x:v>0bd697ec3f7c09918d8dd004b5340b03</x:v>
      </x:c>
      <x:c r="E655" s="2" t="str">
        <x:v>CHECK_OUT</x:v>
      </x:c>
      <x:c r="F655" s="8" t="n">
        <x:v>46300.457916666666</x:v>
      </x:c>
      <x:c r="G655" s="8" t="n">
        <x:v>46300.45793981481</x:v>
      </x:c>
      <x:c r="H655" s="2" t="str">
        <x:v>R3S3</x:v>
      </x:c>
      <x:c r="I655" s="9" t="n">
        <x:v>25.293000000000003</x:v>
      </x:c>
      <x:c r="J655" s="9" t="n">
        <x:v>51.513</x:v>
      </x:c>
      <x:c r="K655" s="2" t="n">
        <x:v>8</x:v>
      </x:c>
      <x:c r="L655" s="2" t="str">
        <x:v>Valid</x:v>
      </x:c>
      <x:c r="M655" s="2" t="str">
        <x:v>QR</x:v>
      </x:c>
      <x:c r="N655" s="2" t="n">
        <x:v>1</x:v>
      </x:c>
      <x:c r="O655" s="2" t="str">
        <x:v>Accepted</x:v>
      </x:c>
      <x:c r="P655" s="2" t="str">
        <x:v>S003</x:v>
      </x:c>
      <x:c r="Q655" s="2" t="str">
        <x:v>DEV003</x:v>
      </x:c>
      <x:c r="R655" s="2" t="n">
        <x:v>20</x:v>
      </x:c>
      <x:c r="S655" s="2" t="str">
        <x:v>Online</x:v>
      </x:c>
      <x:c r="T655" s="2" t="str">
        <x:v>Synced</x:v>
      </x:c>
    </x:row>
    <x:row r="656" ht="21" customHeight="1">
      <x:c r="A656" s="2" t="str">
        <x:v>EV000559</x:v>
      </x:c>
      <x:c r="B656" s="2" t="str">
        <x:v>T20261005-2-1</x:v>
      </x:c>
      <x:c r="C656" s="2" t="str">
        <x:v>ST031</x:v>
      </x:c>
      <x:c r="D656" s="2" t="str">
        <x:v>8ab188e9684e5df87182305d1c7eadac</x:v>
      </x:c>
      <x:c r="E656" s="2" t="str">
        <x:v>CHECK_IN</x:v>
      </x:c>
      <x:c r="F656" s="8" t="n">
        <x:v>46300.47152777778</x:v>
      </x:c>
      <x:c r="G656" s="8" t="n">
        <x:v>46300.471550925926</x:v>
      </x:c>
      <x:c r="H656" s="2" t="str">
        <x:v>R1S1</x:v>
      </x:c>
      <x:c r="I656" s="9" t="n">
        <x:v>25.271</x:v>
      </x:c>
      <x:c r="J656" s="9" t="n">
        <x:v>51.491</x:v>
      </x:c>
      <x:c r="K656" s="2" t="n">
        <x:v>8</x:v>
      </x:c>
      <x:c r="L656" s="2" t="str">
        <x:v>Valid</x:v>
      </x:c>
      <x:c r="M656" s="2" t="str">
        <x:v>QR</x:v>
      </x:c>
      <x:c r="N656" s="2" t="n">
        <x:v>1</x:v>
      </x:c>
      <x:c r="O656" s="2" t="str">
        <x:v>Accepted</x:v>
      </x:c>
      <x:c r="P656" s="2" t="str">
        <x:v>S001</x:v>
      </x:c>
      <x:c r="Q656" s="2" t="str">
        <x:v>DEV001</x:v>
      </x:c>
      <x:c r="R656" s="2" t="n">
        <x:v>21</x:v>
      </x:c>
      <x:c r="S656" s="2" t="str">
        <x:v>Online</x:v>
      </x:c>
      <x:c r="T656" s="2" t="str">
        <x:v>Synced</x:v>
      </x:c>
    </x:row>
    <x:row r="657" ht="21" customHeight="1">
      <x:c r="A657" s="2" t="str">
        <x:v>EV000715</x:v>
      </x:c>
      <x:c r="B657" s="2" t="str">
        <x:v>T20261005-2-2</x:v>
      </x:c>
      <x:c r="C657" s="2" t="str">
        <x:v>ST071</x:v>
      </x:c>
      <x:c r="D657" s="2" t="str">
        <x:v>51895678643dc659a400e702a471294e</x:v>
      </x:c>
      <x:c r="E657" s="2" t="str">
        <x:v>CHECK_IN</x:v>
      </x:c>
      <x:c r="F657" s="8" t="n">
        <x:v>46300.47152777778</x:v>
      </x:c>
      <x:c r="G657" s="8" t="n">
        <x:v>46300.471550925926</x:v>
      </x:c>
      <x:c r="H657" s="2" t="str">
        <x:v>R2S1</x:v>
      </x:c>
      <x:c r="I657" s="9" t="n">
        <x:v>25.28</x:v>
      </x:c>
      <x:c r="J657" s="9" t="n">
        <x:v>51.498999999999995</x:v>
      </x:c>
      <x:c r="K657" s="2" t="n">
        <x:v>8</x:v>
      </x:c>
      <x:c r="L657" s="2" t="str">
        <x:v>Valid</x:v>
      </x:c>
      <x:c r="M657" s="2" t="str">
        <x:v>QR</x:v>
      </x:c>
      <x:c r="N657" s="2" t="n">
        <x:v>1</x:v>
      </x:c>
      <x:c r="O657" s="2" t="str">
        <x:v>Accepted</x:v>
      </x:c>
      <x:c r="P657" s="2" t="str">
        <x:v>S002</x:v>
      </x:c>
      <x:c r="Q657" s="2" t="str">
        <x:v>DEV002</x:v>
      </x:c>
      <x:c r="R657" s="2" t="n">
        <x:v>19</x:v>
      </x:c>
      <x:c r="S657" s="2" t="str">
        <x:v>Online</x:v>
      </x:c>
      <x:c r="T657" s="2" t="str">
        <x:v>Synced</x:v>
      </x:c>
    </x:row>
    <x:row r="658" ht="21" customHeight="1">
      <x:c r="A658" s="2" t="str">
        <x:v>EV000875</x:v>
      </x:c>
      <x:c r="B658" s="2" t="str">
        <x:v>T20261005-2-3</x:v>
      </x:c>
      <x:c r="C658" s="2" t="str">
        <x:v>ST111</x:v>
      </x:c>
      <x:c r="D658" s="2" t="str">
        <x:v>e6e9707385e7ee8edd3ac87243757eb2</x:v>
      </x:c>
      <x:c r="E658" s="2" t="str">
        <x:v>CHECK_IN</x:v>
      </x:c>
      <x:c r="F658" s="8" t="n">
        <x:v>46300.47152777778</x:v>
      </x:c>
      <x:c r="G658" s="8" t="n">
        <x:v>46300.471550925926</x:v>
      </x:c>
      <x:c r="H658" s="2" t="str">
        <x:v>R3S1</x:v>
      </x:c>
      <x:c r="I658" s="9" t="n">
        <x:v>25.289</x:v>
      </x:c>
      <x:c r="J658" s="9" t="n">
        <x:v>51.507</x:v>
      </x:c>
      <x:c r="K658" s="2" t="n">
        <x:v>8</x:v>
      </x:c>
      <x:c r="L658" s="2" t="str">
        <x:v>Valid</x:v>
      </x:c>
      <x:c r="M658" s="2" t="str">
        <x:v>QR</x:v>
      </x:c>
      <x:c r="N658" s="2" t="n">
        <x:v>1</x:v>
      </x:c>
      <x:c r="O658" s="2" t="str">
        <x:v>Accepted</x:v>
      </x:c>
      <x:c r="P658" s="2" t="str">
        <x:v>S003</x:v>
      </x:c>
      <x:c r="Q658" s="2" t="str">
        <x:v>DEV003</x:v>
      </x:c>
      <x:c r="R658" s="2" t="n">
        <x:v>21</x:v>
      </x:c>
      <x:c r="S658" s="2" t="str">
        <x:v>Online</x:v>
      </x:c>
      <x:c r="T658" s="2" t="str">
        <x:v>Synced</x:v>
      </x:c>
    </x:row>
    <x:row r="659" ht="21" customHeight="1">
      <x:c r="A659" s="2" t="str">
        <x:v>EV000541</x:v>
      </x:c>
      <x:c r="B659" s="2" t="str">
        <x:v>T20261005-2-1</x:v>
      </x:c>
      <x:c r="C659" s="2" t="str">
        <x:v>ST022</x:v>
      </x:c>
      <x:c r="D659" s="2" t="str">
        <x:v>32e634064d0319251398d392c471332a</x:v>
      </x:c>
      <x:c r="E659" s="2" t="str">
        <x:v>CHECK_IN</x:v>
      </x:c>
      <x:c r="F659" s="8" t="n">
        <x:v>46300.4715625</x:v>
      </x:c>
      <x:c r="G659" s="8" t="n">
        <x:v>46300.47158564815</x:v>
      </x:c>
      <x:c r="H659" s="2" t="str">
        <x:v>R1S1</x:v>
      </x:c>
      <x:c r="I659" s="9" t="n">
        <x:v>25.271</x:v>
      </x:c>
      <x:c r="J659" s="9" t="n">
        <x:v>51.491</x:v>
      </x:c>
      <x:c r="K659" s="2" t="n">
        <x:v>8</x:v>
      </x:c>
      <x:c r="L659" s="2" t="str">
        <x:v>Valid</x:v>
      </x:c>
      <x:c r="M659" s="2" t="str">
        <x:v>QR</x:v>
      </x:c>
      <x:c r="N659" s="2" t="n">
        <x:v>1</x:v>
      </x:c>
      <x:c r="O659" s="2" t="str">
        <x:v>Accepted</x:v>
      </x:c>
      <x:c r="P659" s="2" t="str">
        <x:v>S001</x:v>
      </x:c>
      <x:c r="Q659" s="2" t="str">
        <x:v>DEV001</x:v>
      </x:c>
      <x:c r="R659" s="2" t="n">
        <x:v>22</x:v>
      </x:c>
      <x:c r="S659" s="2" t="str">
        <x:v>Online</x:v>
      </x:c>
      <x:c r="T659" s="2" t="str">
        <x:v>Synced</x:v>
      </x:c>
    </x:row>
    <x:row r="660" ht="21" customHeight="1">
      <x:c r="A660" s="2" t="str">
        <x:v>EV000697</x:v>
      </x:c>
      <x:c r="B660" s="2" t="str">
        <x:v>T20261005-2-2</x:v>
      </x:c>
      <x:c r="C660" s="2" t="str">
        <x:v>ST062</x:v>
      </x:c>
      <x:c r="D660" s="2" t="str">
        <x:v>e0ee324a0d8893ba89d7c618ea194e36</x:v>
      </x:c>
      <x:c r="E660" s="2" t="str">
        <x:v>CHECK_IN</x:v>
      </x:c>
      <x:c r="F660" s="8" t="n">
        <x:v>46300.4715625</x:v>
      </x:c>
      <x:c r="G660" s="8" t="n">
        <x:v>46300.47158564815</x:v>
      </x:c>
      <x:c r="H660" s="2" t="str">
        <x:v>R2S1</x:v>
      </x:c>
      <x:c r="I660" s="9" t="n">
        <x:v>25.28</x:v>
      </x:c>
      <x:c r="J660" s="9" t="n">
        <x:v>51.498999999999995</x:v>
      </x:c>
      <x:c r="K660" s="2" t="n">
        <x:v>8</x:v>
      </x:c>
      <x:c r="L660" s="2" t="str">
        <x:v>Valid</x:v>
      </x:c>
      <x:c r="M660" s="2" t="str">
        <x:v>QR</x:v>
      </x:c>
      <x:c r="N660" s="2" t="n">
        <x:v>1</x:v>
      </x:c>
      <x:c r="O660" s="2" t="str">
        <x:v>Accepted</x:v>
      </x:c>
      <x:c r="P660" s="2" t="str">
        <x:v>S002</x:v>
      </x:c>
      <x:c r="Q660" s="2" t="str">
        <x:v>DEV002</x:v>
      </x:c>
      <x:c r="R660" s="2" t="n">
        <x:v>20</x:v>
      </x:c>
      <x:c r="S660" s="2" t="str">
        <x:v>Online</x:v>
      </x:c>
      <x:c r="T660" s="2" t="str">
        <x:v>Synced</x:v>
      </x:c>
    </x:row>
    <x:row r="661" ht="21" customHeight="1">
      <x:c r="A661" s="2" t="str">
        <x:v>EV000857</x:v>
      </x:c>
      <x:c r="B661" s="2" t="str">
        <x:v>T20261005-2-3</x:v>
      </x:c>
      <x:c r="C661" s="2" t="str">
        <x:v>ST102</x:v>
      </x:c>
      <x:c r="D661" s="2" t="str">
        <x:v>6a90d57a6e4b5aedbdcdc5a29cf018e9</x:v>
      </x:c>
      <x:c r="E661" s="2" t="str">
        <x:v>CHECK_IN</x:v>
      </x:c>
      <x:c r="F661" s="8" t="n">
        <x:v>46300.4715625</x:v>
      </x:c>
      <x:c r="G661" s="8" t="n">
        <x:v>46300.47158564815</x:v>
      </x:c>
      <x:c r="H661" s="2" t="str">
        <x:v>R3S1</x:v>
      </x:c>
      <x:c r="I661" s="9" t="n">
        <x:v>25.289</x:v>
      </x:c>
      <x:c r="J661" s="9" t="n">
        <x:v>51.507</x:v>
      </x:c>
      <x:c r="K661" s="2" t="n">
        <x:v>8</x:v>
      </x:c>
      <x:c r="L661" s="2" t="str">
        <x:v>Valid</x:v>
      </x:c>
      <x:c r="M661" s="2" t="str">
        <x:v>QR</x:v>
      </x:c>
      <x:c r="N661" s="2" t="n">
        <x:v>1</x:v>
      </x:c>
      <x:c r="O661" s="2" t="str">
        <x:v>Accepted</x:v>
      </x:c>
      <x:c r="P661" s="2" t="str">
        <x:v>S003</x:v>
      </x:c>
      <x:c r="Q661" s="2" t="str">
        <x:v>DEV003</x:v>
      </x:c>
      <x:c r="R661" s="2" t="n">
        <x:v>22</x:v>
      </x:c>
      <x:c r="S661" s="2" t="str">
        <x:v>Online</x:v>
      </x:c>
      <x:c r="T661" s="2" t="str">
        <x:v>Synced</x:v>
      </x:c>
    </x:row>
    <x:row r="662" ht="21" customHeight="1">
      <x:c r="A662" s="2" t="str">
        <x:v>EV000565</x:v>
      </x:c>
      <x:c r="B662" s="2" t="str">
        <x:v>T20261005-2-1</x:v>
      </x:c>
      <x:c r="C662" s="2" t="str">
        <x:v>ST034</x:v>
      </x:c>
      <x:c r="D662" s="2" t="str">
        <x:v>80fbe33bb2df8cab59b55f98f1c8a3d5</x:v>
      </x:c>
      <x:c r="E662" s="2" t="str">
        <x:v>CHECK_IN</x:v>
      </x:c>
      <x:c r="F662" s="8" t="n">
        <x:v>46300.47163194445</x:v>
      </x:c>
      <x:c r="G662" s="8" t="n">
        <x:v>46300.471655092595</x:v>
      </x:c>
      <x:c r="H662" s="2" t="str">
        <x:v>R1S1</x:v>
      </x:c>
      <x:c r="I662" s="9" t="n">
        <x:v>25.271</x:v>
      </x:c>
      <x:c r="J662" s="9" t="n">
        <x:v>51.491</x:v>
      </x:c>
      <x:c r="K662" s="2" t="n">
        <x:v>8</x:v>
      </x:c>
      <x:c r="L662" s="2" t="str">
        <x:v>Valid</x:v>
      </x:c>
      <x:c r="M662" s="2" t="str">
        <x:v>QR</x:v>
      </x:c>
      <x:c r="N662" s="2" t="n">
        <x:v>1</x:v>
      </x:c>
      <x:c r="O662" s="2" t="str">
        <x:v>Accepted</x:v>
      </x:c>
      <x:c r="P662" s="2" t="str">
        <x:v>S001</x:v>
      </x:c>
      <x:c r="Q662" s="2" t="str">
        <x:v>DEV001</x:v>
      </x:c>
      <x:c r="R662" s="2" t="n">
        <x:v>23</x:v>
      </x:c>
      <x:c r="S662" s="2" t="str">
        <x:v>Online</x:v>
      </x:c>
      <x:c r="T662" s="2" t="str">
        <x:v>Synced</x:v>
      </x:c>
    </x:row>
    <x:row r="663" ht="21" customHeight="1">
      <x:c r="A663" s="2" t="str">
        <x:v>EV000721</x:v>
      </x:c>
      <x:c r="B663" s="2" t="str">
        <x:v>T20261005-2-2</x:v>
      </x:c>
      <x:c r="C663" s="2" t="str">
        <x:v>ST074</x:v>
      </x:c>
      <x:c r="D663" s="2" t="str">
        <x:v>a9bcbd7cecca4f17e235125ddf0adf7b</x:v>
      </x:c>
      <x:c r="E663" s="2" t="str">
        <x:v>CHECK_IN</x:v>
      </x:c>
      <x:c r="F663" s="8" t="n">
        <x:v>46300.47163194445</x:v>
      </x:c>
      <x:c r="G663" s="8" t="n">
        <x:v>46300.471655092595</x:v>
      </x:c>
      <x:c r="H663" s="2" t="str">
        <x:v>R2S1</x:v>
      </x:c>
      <x:c r="I663" s="9" t="n">
        <x:v>25.28</x:v>
      </x:c>
      <x:c r="J663" s="9" t="n">
        <x:v>51.498999999999995</x:v>
      </x:c>
      <x:c r="K663" s="2" t="n">
        <x:v>8</x:v>
      </x:c>
      <x:c r="L663" s="2" t="str">
        <x:v>Valid</x:v>
      </x:c>
      <x:c r="M663" s="2" t="str">
        <x:v>QR</x:v>
      </x:c>
      <x:c r="N663" s="2" t="n">
        <x:v>1</x:v>
      </x:c>
      <x:c r="O663" s="2" t="str">
        <x:v>Accepted</x:v>
      </x:c>
      <x:c r="P663" s="2" t="str">
        <x:v>S002</x:v>
      </x:c>
      <x:c r="Q663" s="2" t="str">
        <x:v>DEV002</x:v>
      </x:c>
      <x:c r="R663" s="2" t="n">
        <x:v>21</x:v>
      </x:c>
      <x:c r="S663" s="2" t="str">
        <x:v>Online</x:v>
      </x:c>
      <x:c r="T663" s="2" t="str">
        <x:v>Synced</x:v>
      </x:c>
    </x:row>
    <x:row r="664" ht="21" customHeight="1">
      <x:c r="A664" s="2" t="str">
        <x:v>EV000881</x:v>
      </x:c>
      <x:c r="B664" s="2" t="str">
        <x:v>T20261005-2-3</x:v>
      </x:c>
      <x:c r="C664" s="2" t="str">
        <x:v>ST114</x:v>
      </x:c>
      <x:c r="D664" s="2" t="str">
        <x:v>a5c77bf3b082c3ab825b65c34f1c9f8c</x:v>
      </x:c>
      <x:c r="E664" s="2" t="str">
        <x:v>CHECK_IN</x:v>
      </x:c>
      <x:c r="F664" s="8" t="n">
        <x:v>46300.47163194445</x:v>
      </x:c>
      <x:c r="G664" s="8" t="n">
        <x:v>46300.471655092595</x:v>
      </x:c>
      <x:c r="H664" s="2" t="str">
        <x:v>R3S1</x:v>
      </x:c>
      <x:c r="I664" s="9" t="n">
        <x:v>25.289</x:v>
      </x:c>
      <x:c r="J664" s="9" t="n">
        <x:v>51.507</x:v>
      </x:c>
      <x:c r="K664" s="2" t="n">
        <x:v>8</x:v>
      </x:c>
      <x:c r="L664" s="2" t="str">
        <x:v>Valid</x:v>
      </x:c>
      <x:c r="M664" s="2" t="str">
        <x:v>QR</x:v>
      </x:c>
      <x:c r="N664" s="2" t="n">
        <x:v>1</x:v>
      </x:c>
      <x:c r="O664" s="2" t="str">
        <x:v>Accepted</x:v>
      </x:c>
      <x:c r="P664" s="2" t="str">
        <x:v>S003</x:v>
      </x:c>
      <x:c r="Q664" s="2" t="str">
        <x:v>DEV003</x:v>
      </x:c>
      <x:c r="R664" s="2" t="n">
        <x:v>23</x:v>
      </x:c>
      <x:c r="S664" s="2" t="str">
        <x:v>Online</x:v>
      </x:c>
      <x:c r="T664" s="2" t="str">
        <x:v>Synced</x:v>
      </x:c>
    </x:row>
    <x:row r="665" ht="21" customHeight="1">
      <x:c r="A665" s="2" t="str">
        <x:v>EV000547</x:v>
      </x:c>
      <x:c r="B665" s="2" t="str">
        <x:v>T20261005-2-1</x:v>
      </x:c>
      <x:c r="C665" s="2" t="str">
        <x:v>ST025</x:v>
      </x:c>
      <x:c r="D665" s="2" t="str">
        <x:v>caea48c43f4ccfa85999e7cb546cd774</x:v>
      </x:c>
      <x:c r="E665" s="2" t="str">
        <x:v>CHECK_IN</x:v>
      </x:c>
      <x:c r="F665" s="8" t="n">
        <x:v>46300.47166666667</x:v>
      </x:c>
      <x:c r="G665" s="8" t="n">
        <x:v>46300.47168981482</x:v>
      </x:c>
      <x:c r="H665" s="2" t="str">
        <x:v>R1S1</x:v>
      </x:c>
      <x:c r="I665" s="9" t="n">
        <x:v>25.271</x:v>
      </x:c>
      <x:c r="J665" s="9" t="n">
        <x:v>51.491</x:v>
      </x:c>
      <x:c r="K665" s="2" t="n">
        <x:v>8</x:v>
      </x:c>
      <x:c r="L665" s="2" t="str">
        <x:v>Valid</x:v>
      </x:c>
      <x:c r="M665" s="2" t="str">
        <x:v>QR</x:v>
      </x:c>
      <x:c r="N665" s="2" t="n">
        <x:v>1</x:v>
      </x:c>
      <x:c r="O665" s="2" t="str">
        <x:v>Accepted</x:v>
      </x:c>
      <x:c r="P665" s="2" t="str">
        <x:v>S001</x:v>
      </x:c>
      <x:c r="Q665" s="2" t="str">
        <x:v>DEV001</x:v>
      </x:c>
      <x:c r="R665" s="2" t="n">
        <x:v>24</x:v>
      </x:c>
      <x:c r="S665" s="2" t="str">
        <x:v>Online</x:v>
      </x:c>
      <x:c r="T665" s="2" t="str">
        <x:v>Synced</x:v>
      </x:c>
    </x:row>
    <x:row r="666" ht="21" customHeight="1">
      <x:c r="A666" s="2" t="str">
        <x:v>EV000703</x:v>
      </x:c>
      <x:c r="B666" s="2" t="str">
        <x:v>T20261005-2-2</x:v>
      </x:c>
      <x:c r="C666" s="2" t="str">
        <x:v>ST065</x:v>
      </x:c>
      <x:c r="D666" s="2" t="str">
        <x:v>6b379c82348acc8be3e0d247197a20bf</x:v>
      </x:c>
      <x:c r="E666" s="2" t="str">
        <x:v>CHECK_IN</x:v>
      </x:c>
      <x:c r="F666" s="8" t="n">
        <x:v>46300.47166666667</x:v>
      </x:c>
      <x:c r="G666" s="8" t="n">
        <x:v>46300.47168981482</x:v>
      </x:c>
      <x:c r="H666" s="2" t="str">
        <x:v>R2S1</x:v>
      </x:c>
      <x:c r="I666" s="9" t="n">
        <x:v>25.28</x:v>
      </x:c>
      <x:c r="J666" s="9" t="n">
        <x:v>51.498999999999995</x:v>
      </x:c>
      <x:c r="K666" s="2" t="n">
        <x:v>8</x:v>
      </x:c>
      <x:c r="L666" s="2" t="str">
        <x:v>Valid</x:v>
      </x:c>
      <x:c r="M666" s="2" t="str">
        <x:v>QR</x:v>
      </x:c>
      <x:c r="N666" s="2" t="n">
        <x:v>1</x:v>
      </x:c>
      <x:c r="O666" s="2" t="str">
        <x:v>Accepted</x:v>
      </x:c>
      <x:c r="P666" s="2" t="str">
        <x:v>S002</x:v>
      </x:c>
      <x:c r="Q666" s="2" t="str">
        <x:v>DEV002</x:v>
      </x:c>
      <x:c r="R666" s="2" t="n">
        <x:v>22</x:v>
      </x:c>
      <x:c r="S666" s="2" t="str">
        <x:v>Online</x:v>
      </x:c>
      <x:c r="T666" s="2" t="str">
        <x:v>Synced</x:v>
      </x:c>
    </x:row>
    <x:row r="667" ht="21" customHeight="1">
      <x:c r="A667" s="2" t="str">
        <x:v>EV000863</x:v>
      </x:c>
      <x:c r="B667" s="2" t="str">
        <x:v>T20261005-2-3</x:v>
      </x:c>
      <x:c r="C667" s="2" t="str">
        <x:v>ST105</x:v>
      </x:c>
      <x:c r="D667" s="2" t="str">
        <x:v>bbd3ba75eaabf5ca3acef3823a75d885</x:v>
      </x:c>
      <x:c r="E667" s="2" t="str">
        <x:v>CHECK_IN</x:v>
      </x:c>
      <x:c r="F667" s="8" t="n">
        <x:v>46300.47166666667</x:v>
      </x:c>
      <x:c r="G667" s="8" t="n">
        <x:v>46300.47168981482</x:v>
      </x:c>
      <x:c r="H667" s="2" t="str">
        <x:v>R3S1</x:v>
      </x:c>
      <x:c r="I667" s="9" t="n">
        <x:v>25.289</x:v>
      </x:c>
      <x:c r="J667" s="9" t="n">
        <x:v>51.507</x:v>
      </x:c>
      <x:c r="K667" s="2" t="n">
        <x:v>8</x:v>
      </x:c>
      <x:c r="L667" s="2" t="str">
        <x:v>Valid</x:v>
      </x:c>
      <x:c r="M667" s="2" t="str">
        <x:v>QR</x:v>
      </x:c>
      <x:c r="N667" s="2" t="n">
        <x:v>1</x:v>
      </x:c>
      <x:c r="O667" s="2" t="str">
        <x:v>Accepted</x:v>
      </x:c>
      <x:c r="P667" s="2" t="str">
        <x:v>S003</x:v>
      </x:c>
      <x:c r="Q667" s="2" t="str">
        <x:v>DEV003</x:v>
      </x:c>
      <x:c r="R667" s="2" t="n">
        <x:v>24</x:v>
      </x:c>
      <x:c r="S667" s="2" t="str">
        <x:v>Online</x:v>
      </x:c>
      <x:c r="T667" s="2" t="str">
        <x:v>Synced</x:v>
      </x:c>
    </x:row>
    <x:row r="668" ht="21" customHeight="1">
      <x:c r="A668" s="2" t="str">
        <x:v>EV000571</x:v>
      </x:c>
      <x:c r="B668" s="2" t="str">
        <x:v>T20261005-2-1</x:v>
      </x:c>
      <x:c r="C668" s="2" t="str">
        <x:v>ST037</x:v>
      </x:c>
      <x:c r="D668" s="2" t="str">
        <x:v>eb6cdfa5572c8f6959c8b9c84b8ec493</x:v>
      </x:c>
      <x:c r="E668" s="2" t="str">
        <x:v>CHECK_IN</x:v>
      </x:c>
      <x:c r="F668" s="8" t="n">
        <x:v>46300.47173611111</x:v>
      </x:c>
      <x:c r="G668" s="8" t="n">
        <x:v>46300.47175925926</x:v>
      </x:c>
      <x:c r="H668" s="2" t="str">
        <x:v>R1S1</x:v>
      </x:c>
      <x:c r="I668" s="9" t="n">
        <x:v>25.271</x:v>
      </x:c>
      <x:c r="J668" s="9" t="n">
        <x:v>51.491</x:v>
      </x:c>
      <x:c r="K668" s="2" t="n">
        <x:v>8</x:v>
      </x:c>
      <x:c r="L668" s="2" t="str">
        <x:v>Valid</x:v>
      </x:c>
      <x:c r="M668" s="2" t="str">
        <x:v>QR</x:v>
      </x:c>
      <x:c r="N668" s="2" t="n">
        <x:v>1</x:v>
      </x:c>
      <x:c r="O668" s="2" t="str">
        <x:v>Accepted</x:v>
      </x:c>
      <x:c r="P668" s="2" t="str">
        <x:v>S001</x:v>
      </x:c>
      <x:c r="Q668" s="2" t="str">
        <x:v>DEV001</x:v>
      </x:c>
      <x:c r="R668" s="2" t="n">
        <x:v>25</x:v>
      </x:c>
      <x:c r="S668" s="2" t="str">
        <x:v>Online</x:v>
      </x:c>
      <x:c r="T668" s="2" t="str">
        <x:v>Synced</x:v>
      </x:c>
    </x:row>
    <x:row r="669" ht="21" customHeight="1">
      <x:c r="A669" s="2" t="str">
        <x:v>EV000727</x:v>
      </x:c>
      <x:c r="B669" s="2" t="str">
        <x:v>T20261005-2-2</x:v>
      </x:c>
      <x:c r="C669" s="2" t="str">
        <x:v>ST077</x:v>
      </x:c>
      <x:c r="D669" s="2" t="str">
        <x:v>af7b8314f6c372daf48e6b95332f6a0f</x:v>
      </x:c>
      <x:c r="E669" s="2" t="str">
        <x:v>CHECK_IN</x:v>
      </x:c>
      <x:c r="F669" s="8" t="n">
        <x:v>46300.47173611111</x:v>
      </x:c>
      <x:c r="G669" s="8" t="n">
        <x:v>46300.47175925926</x:v>
      </x:c>
      <x:c r="H669" s="2" t="str">
        <x:v>R2S1</x:v>
      </x:c>
      <x:c r="I669" s="9" t="n">
        <x:v>25.28</x:v>
      </x:c>
      <x:c r="J669" s="9" t="n">
        <x:v>51.498999999999995</x:v>
      </x:c>
      <x:c r="K669" s="2" t="n">
        <x:v>8</x:v>
      </x:c>
      <x:c r="L669" s="2" t="str">
        <x:v>Valid</x:v>
      </x:c>
      <x:c r="M669" s="2" t="str">
        <x:v>QR</x:v>
      </x:c>
      <x:c r="N669" s="2" t="n">
        <x:v>1</x:v>
      </x:c>
      <x:c r="O669" s="2" t="str">
        <x:v>Accepted</x:v>
      </x:c>
      <x:c r="P669" s="2" t="str">
        <x:v>S002</x:v>
      </x:c>
      <x:c r="Q669" s="2" t="str">
        <x:v>DEV002</x:v>
      </x:c>
      <x:c r="R669" s="2" t="n">
        <x:v>23</x:v>
      </x:c>
      <x:c r="S669" s="2" t="str">
        <x:v>Online</x:v>
      </x:c>
      <x:c r="T669" s="2" t="str">
        <x:v>Synced</x:v>
      </x:c>
    </x:row>
    <x:row r="670" ht="21" customHeight="1">
      <x:c r="A670" s="2" t="str">
        <x:v>EV000887</x:v>
      </x:c>
      <x:c r="B670" s="2" t="str">
        <x:v>T20261005-2-3</x:v>
      </x:c>
      <x:c r="C670" s="2" t="str">
        <x:v>ST117</x:v>
      </x:c>
      <x:c r="D670" s="2" t="str">
        <x:v>195a54aea4adbe89371209e73878e4fe</x:v>
      </x:c>
      <x:c r="E670" s="2" t="str">
        <x:v>CHECK_IN</x:v>
      </x:c>
      <x:c r="F670" s="8" t="n">
        <x:v>46300.47173611111</x:v>
      </x:c>
      <x:c r="G670" s="8" t="n">
        <x:v>46300.47175925926</x:v>
      </x:c>
      <x:c r="H670" s="2" t="str">
        <x:v>R3S1</x:v>
      </x:c>
      <x:c r="I670" s="9" t="n">
        <x:v>25.289</x:v>
      </x:c>
      <x:c r="J670" s="9" t="n">
        <x:v>51.507</x:v>
      </x:c>
      <x:c r="K670" s="2" t="n">
        <x:v>8</x:v>
      </x:c>
      <x:c r="L670" s="2" t="str">
        <x:v>Valid</x:v>
      </x:c>
      <x:c r="M670" s="2" t="str">
        <x:v>QR</x:v>
      </x:c>
      <x:c r="N670" s="2" t="n">
        <x:v>1</x:v>
      </x:c>
      <x:c r="O670" s="2" t="str">
        <x:v>Accepted</x:v>
      </x:c>
      <x:c r="P670" s="2" t="str">
        <x:v>S003</x:v>
      </x:c>
      <x:c r="Q670" s="2" t="str">
        <x:v>DEV003</x:v>
      </x:c>
      <x:c r="R670" s="2" t="n">
        <x:v>25</x:v>
      </x:c>
      <x:c r="S670" s="2" t="str">
        <x:v>Online</x:v>
      </x:c>
      <x:c r="T670" s="2" t="str">
        <x:v>Synced</x:v>
      </x:c>
    </x:row>
    <x:row r="671" ht="21" customHeight="1">
      <x:c r="A671" s="2" t="str">
        <x:v>EV000553</x:v>
      </x:c>
      <x:c r="B671" s="2" t="str">
        <x:v>T20261005-2-1</x:v>
      </x:c>
      <x:c r="C671" s="2" t="str">
        <x:v>ST028</x:v>
      </x:c>
      <x:c r="D671" s="2" t="str">
        <x:v>af9ca502f5a3f54f1f44ea6d11afd24b</x:v>
      </x:c>
      <x:c r="E671" s="2" t="str">
        <x:v>CHECK_IN</x:v>
      </x:c>
      <x:c r="F671" s="8" t="n">
        <x:v>46300.471770833334</x:v>
      </x:c>
      <x:c r="G671" s="8" t="n">
        <x:v>46300.47179398148</x:v>
      </x:c>
      <x:c r="H671" s="2" t="str">
        <x:v>R1S1</x:v>
      </x:c>
      <x:c r="I671" s="9" t="n">
        <x:v>25.271</x:v>
      </x:c>
      <x:c r="J671" s="9" t="n">
        <x:v>51.491</x:v>
      </x:c>
      <x:c r="K671" s="2" t="n">
        <x:v>8</x:v>
      </x:c>
      <x:c r="L671" s="2" t="str">
        <x:v>Valid</x:v>
      </x:c>
      <x:c r="M671" s="2" t="str">
        <x:v>QR</x:v>
      </x:c>
      <x:c r="N671" s="2" t="n">
        <x:v>1</x:v>
      </x:c>
      <x:c r="O671" s="2" t="str">
        <x:v>Accepted</x:v>
      </x:c>
      <x:c r="P671" s="2" t="str">
        <x:v>S001</x:v>
      </x:c>
      <x:c r="Q671" s="2" t="str">
        <x:v>DEV001</x:v>
      </x:c>
      <x:c r="R671" s="2" t="n">
        <x:v>26</x:v>
      </x:c>
      <x:c r="S671" s="2" t="str">
        <x:v>Online</x:v>
      </x:c>
      <x:c r="T671" s="2" t="str">
        <x:v>Synced</x:v>
      </x:c>
    </x:row>
    <x:row r="672" ht="21" customHeight="1">
      <x:c r="A672" s="2" t="str">
        <x:v>EV000709</x:v>
      </x:c>
      <x:c r="B672" s="2" t="str">
        <x:v>T20261005-2-2</x:v>
      </x:c>
      <x:c r="C672" s="2" t="str">
        <x:v>ST068</x:v>
      </x:c>
      <x:c r="D672" s="2" t="str">
        <x:v>6d9af84dd25561b8b07e5e166ae4982a</x:v>
      </x:c>
      <x:c r="E672" s="2" t="str">
        <x:v>CHECK_IN</x:v>
      </x:c>
      <x:c r="F672" s="8" t="n">
        <x:v>46300.471770833334</x:v>
      </x:c>
      <x:c r="G672" s="8" t="n">
        <x:v>46300.47179398148</x:v>
      </x:c>
      <x:c r="H672" s="2" t="str">
        <x:v>R2S1</x:v>
      </x:c>
      <x:c r="I672" s="9" t="n">
        <x:v>25.28</x:v>
      </x:c>
      <x:c r="J672" s="9" t="n">
        <x:v>51.498999999999995</x:v>
      </x:c>
      <x:c r="K672" s="2" t="n">
        <x:v>8</x:v>
      </x:c>
      <x:c r="L672" s="2" t="str">
        <x:v>Valid</x:v>
      </x:c>
      <x:c r="M672" s="2" t="str">
        <x:v>QR</x:v>
      </x:c>
      <x:c r="N672" s="2" t="n">
        <x:v>1</x:v>
      </x:c>
      <x:c r="O672" s="2" t="str">
        <x:v>Accepted</x:v>
      </x:c>
      <x:c r="P672" s="2" t="str">
        <x:v>S002</x:v>
      </x:c>
      <x:c r="Q672" s="2" t="str">
        <x:v>DEV002</x:v>
      </x:c>
      <x:c r="R672" s="2" t="n">
        <x:v>24</x:v>
      </x:c>
      <x:c r="S672" s="2" t="str">
        <x:v>Online</x:v>
      </x:c>
      <x:c r="T672" s="2" t="str">
        <x:v>Synced</x:v>
      </x:c>
    </x:row>
    <x:row r="673" ht="21" customHeight="1">
      <x:c r="A673" s="2" t="str">
        <x:v>EV000869</x:v>
      </x:c>
      <x:c r="B673" s="2" t="str">
        <x:v>T20261005-2-3</x:v>
      </x:c>
      <x:c r="C673" s="2" t="str">
        <x:v>ST108</x:v>
      </x:c>
      <x:c r="D673" s="2" t="str">
        <x:v>85ef3b20338dfa9afdf3ae5a4b1ced5c</x:v>
      </x:c>
      <x:c r="E673" s="2" t="str">
        <x:v>CHECK_IN</x:v>
      </x:c>
      <x:c r="F673" s="8" t="n">
        <x:v>46300.471770833334</x:v>
      </x:c>
      <x:c r="G673" s="8" t="n">
        <x:v>46300.47179398148</x:v>
      </x:c>
      <x:c r="H673" s="2" t="str">
        <x:v>R3S1</x:v>
      </x:c>
      <x:c r="I673" s="9" t="n">
        <x:v>25.289</x:v>
      </x:c>
      <x:c r="J673" s="9" t="n">
        <x:v>51.507</x:v>
      </x:c>
      <x:c r="K673" s="2" t="n">
        <x:v>8</x:v>
      </x:c>
      <x:c r="L673" s="2" t="str">
        <x:v>Valid</x:v>
      </x:c>
      <x:c r="M673" s="2" t="str">
        <x:v>QR</x:v>
      </x:c>
      <x:c r="N673" s="2" t="n">
        <x:v>1</x:v>
      </x:c>
      <x:c r="O673" s="2" t="str">
        <x:v>Accepted</x:v>
      </x:c>
      <x:c r="P673" s="2" t="str">
        <x:v>S003</x:v>
      </x:c>
      <x:c r="Q673" s="2" t="str">
        <x:v>DEV003</x:v>
      </x:c>
      <x:c r="R673" s="2" t="n">
        <x:v>26</x:v>
      </x:c>
      <x:c r="S673" s="2" t="str">
        <x:v>Online</x:v>
      </x:c>
      <x:c r="T673" s="2" t="str">
        <x:v>Synced</x:v>
      </x:c>
    </x:row>
    <x:row r="674" ht="21" customHeight="1">
      <x:c r="A674" s="2" t="str">
        <x:v>EV000577</x:v>
      </x:c>
      <x:c r="B674" s="2" t="str">
        <x:v>T20261005-2-1</x:v>
      </x:c>
      <x:c r="C674" s="2" t="str">
        <x:v>ST040</x:v>
      </x:c>
      <x:c r="D674" s="2" t="str">
        <x:v>4cd5e507bb3c8af27cd11d16138dcec0</x:v>
      </x:c>
      <x:c r="E674" s="2" t="str">
        <x:v>CHECK_IN</x:v>
      </x:c>
      <x:c r="F674" s="8" t="n">
        <x:v>46300.47184027778</x:v>
      </x:c>
      <x:c r="G674" s="8" t="n">
        <x:v>46300.471863425926</x:v>
      </x:c>
      <x:c r="H674" s="2" t="str">
        <x:v>R1S1</x:v>
      </x:c>
      <x:c r="I674" s="9" t="n">
        <x:v>25.271</x:v>
      </x:c>
      <x:c r="J674" s="9" t="n">
        <x:v>51.491</x:v>
      </x:c>
      <x:c r="K674" s="2" t="n">
        <x:v>8</x:v>
      </x:c>
      <x:c r="L674" s="2" t="str">
        <x:v>Valid</x:v>
      </x:c>
      <x:c r="M674" s="2" t="str">
        <x:v>QR</x:v>
      </x:c>
      <x:c r="N674" s="2" t="n">
        <x:v>1</x:v>
      </x:c>
      <x:c r="O674" s="2" t="str">
        <x:v>Accepted</x:v>
      </x:c>
      <x:c r="P674" s="2" t="str">
        <x:v>S001</x:v>
      </x:c>
      <x:c r="Q674" s="2" t="str">
        <x:v>DEV001</x:v>
      </x:c>
      <x:c r="R674" s="2" t="n">
        <x:v>27</x:v>
      </x:c>
      <x:c r="S674" s="2" t="str">
        <x:v>Online</x:v>
      </x:c>
      <x:c r="T674" s="2" t="str">
        <x:v>Synced</x:v>
      </x:c>
    </x:row>
    <x:row r="675" ht="21" customHeight="1">
      <x:c r="A675" s="2" t="str">
        <x:v>EV000733</x:v>
      </x:c>
      <x:c r="B675" s="2" t="str">
        <x:v>T20261005-2-2</x:v>
      </x:c>
      <x:c r="C675" s="2" t="str">
        <x:v>ST080</x:v>
      </x:c>
      <x:c r="D675" s="2" t="str">
        <x:v>0abaf17d1472c0347862177fd9880be2</x:v>
      </x:c>
      <x:c r="E675" s="2" t="str">
        <x:v>CHECK_IN</x:v>
      </x:c>
      <x:c r="F675" s="8" t="n">
        <x:v>46300.47184027778</x:v>
      </x:c>
      <x:c r="G675" s="8" t="n">
        <x:v>46300.471863425926</x:v>
      </x:c>
      <x:c r="H675" s="2" t="str">
        <x:v>R2S1</x:v>
      </x:c>
      <x:c r="I675" s="9" t="n">
        <x:v>25.28</x:v>
      </x:c>
      <x:c r="J675" s="9" t="n">
        <x:v>51.498999999999995</x:v>
      </x:c>
      <x:c r="K675" s="2" t="n">
        <x:v>8</x:v>
      </x:c>
      <x:c r="L675" s="2" t="str">
        <x:v>Valid</x:v>
      </x:c>
      <x:c r="M675" s="2" t="str">
        <x:v>QR</x:v>
      </x:c>
      <x:c r="N675" s="2" t="n">
        <x:v>1</x:v>
      </x:c>
      <x:c r="O675" s="2" t="str">
        <x:v>Accepted</x:v>
      </x:c>
      <x:c r="P675" s="2" t="str">
        <x:v>S002</x:v>
      </x:c>
      <x:c r="Q675" s="2" t="str">
        <x:v>DEV002</x:v>
      </x:c>
      <x:c r="R675" s="2" t="n">
        <x:v>25</x:v>
      </x:c>
      <x:c r="S675" s="2" t="str">
        <x:v>Online</x:v>
      </x:c>
      <x:c r="T675" s="2" t="str">
        <x:v>Synced</x:v>
      </x:c>
    </x:row>
    <x:row r="676" ht="21" customHeight="1">
      <x:c r="A676" s="2" t="str">
        <x:v>EV000893</x:v>
      </x:c>
      <x:c r="B676" s="2" t="str">
        <x:v>T20261005-2-3</x:v>
      </x:c>
      <x:c r="C676" s="2" t="str">
        <x:v>ST120</x:v>
      </x:c>
      <x:c r="D676" s="2" t="str">
        <x:v>c3749f3342e76b516e5c145f91308219</x:v>
      </x:c>
      <x:c r="E676" s="2" t="str">
        <x:v>CHECK_IN</x:v>
      </x:c>
      <x:c r="F676" s="8" t="n">
        <x:v>46300.47184027778</x:v>
      </x:c>
      <x:c r="G676" s="8" t="n">
        <x:v>46300.471863425926</x:v>
      </x:c>
      <x:c r="H676" s="2" t="str">
        <x:v>R3S1</x:v>
      </x:c>
      <x:c r="I676" s="9" t="n">
        <x:v>25.289</x:v>
      </x:c>
      <x:c r="J676" s="9" t="n">
        <x:v>51.507</x:v>
      </x:c>
      <x:c r="K676" s="2" t="n">
        <x:v>8</x:v>
      </x:c>
      <x:c r="L676" s="2" t="str">
        <x:v>Valid</x:v>
      </x:c>
      <x:c r="M676" s="2" t="str">
        <x:v>QR</x:v>
      </x:c>
      <x:c r="N676" s="2" t="n">
        <x:v>1</x:v>
      </x:c>
      <x:c r="O676" s="2" t="str">
        <x:v>Accepted</x:v>
      </x:c>
      <x:c r="P676" s="2" t="str">
        <x:v>S003</x:v>
      </x:c>
      <x:c r="Q676" s="2" t="str">
        <x:v>DEV003</x:v>
      </x:c>
      <x:c r="R676" s="2" t="n">
        <x:v>27</x:v>
      </x:c>
      <x:c r="S676" s="2" t="str">
        <x:v>Online</x:v>
      </x:c>
      <x:c r="T676" s="2" t="str">
        <x:v>Synced</x:v>
      </x:c>
    </x:row>
    <x:row r="677" ht="21" customHeight="1">
      <x:c r="A677" s="2" t="str">
        <x:v>EV000561</x:v>
      </x:c>
      <x:c r="B677" s="2" t="str">
        <x:v>T20261005-2-1</x:v>
      </x:c>
      <x:c r="C677" s="2" t="str">
        <x:v>ST032</x:v>
      </x:c>
      <x:c r="D677" s="2" t="str">
        <x:v>836e2da54ccde9716995f5651a63e8c5</x:v>
      </x:c>
      <x:c r="E677" s="2" t="str">
        <x:v>CHECK_IN</x:v>
      </x:c>
      <x:c r="F677" s="8" t="n">
        <x:v>46300.47642361111</x:v>
      </x:c>
      <x:c r="G677" s="8" t="n">
        <x:v>46300.476446759254</x:v>
      </x:c>
      <x:c r="H677" s="2" t="str">
        <x:v>R1S2</x:v>
      </x:c>
      <x:c r="I677" s="9" t="n">
        <x:v>25.273000000000003</x:v>
      </x:c>
      <x:c r="J677" s="9" t="n">
        <x:v>51.494</x:v>
      </x:c>
      <x:c r="K677" s="2" t="n">
        <x:v>8</x:v>
      </x:c>
      <x:c r="L677" s="2" t="str">
        <x:v>Valid</x:v>
      </x:c>
      <x:c r="M677" s="2" t="str">
        <x:v>QR</x:v>
      </x:c>
      <x:c r="N677" s="2" t="n">
        <x:v>1</x:v>
      </x:c>
      <x:c r="O677" s="2" t="str">
        <x:v>Accepted</x:v>
      </x:c>
      <x:c r="P677" s="2" t="str">
        <x:v>S001</x:v>
      </x:c>
      <x:c r="Q677" s="2" t="str">
        <x:v>DEV001</x:v>
      </x:c>
      <x:c r="R677" s="2" t="n">
        <x:v>28</x:v>
      </x:c>
      <x:c r="S677" s="2" t="str">
        <x:v>Online</x:v>
      </x:c>
      <x:c r="T677" s="2" t="str">
        <x:v>Synced</x:v>
      </x:c>
    </x:row>
    <x:row r="678" ht="21" customHeight="1">
      <x:c r="A678" s="2" t="str">
        <x:v>EV000717</x:v>
      </x:c>
      <x:c r="B678" s="2" t="str">
        <x:v>T20261005-2-2</x:v>
      </x:c>
      <x:c r="C678" s="2" t="str">
        <x:v>ST072</x:v>
      </x:c>
      <x:c r="D678" s="2" t="str">
        <x:v>34067027b5922171fe59ce4d7b756f1c</x:v>
      </x:c>
      <x:c r="E678" s="2" t="str">
        <x:v>CHECK_IN</x:v>
      </x:c>
      <x:c r="F678" s="8" t="n">
        <x:v>46300.47642361111</x:v>
      </x:c>
      <x:c r="G678" s="8" t="n">
        <x:v>46300.476446759254</x:v>
      </x:c>
      <x:c r="H678" s="2" t="str">
        <x:v>R2S2</x:v>
      </x:c>
      <x:c r="I678" s="9" t="n">
        <x:v>25.282000000000004</x:v>
      </x:c>
      <x:c r="J678" s="9" t="n">
        <x:v>51.501999999999995</x:v>
      </x:c>
      <x:c r="K678" s="2" t="n">
        <x:v>8</x:v>
      </x:c>
      <x:c r="L678" s="2" t="str">
        <x:v>Valid</x:v>
      </x:c>
      <x:c r="M678" s="2" t="str">
        <x:v>QR</x:v>
      </x:c>
      <x:c r="N678" s="2" t="n">
        <x:v>1</x:v>
      </x:c>
      <x:c r="O678" s="2" t="str">
        <x:v>Accepted</x:v>
      </x:c>
      <x:c r="P678" s="2" t="str">
        <x:v>S002</x:v>
      </x:c>
      <x:c r="Q678" s="2" t="str">
        <x:v>DEV002</x:v>
      </x:c>
      <x:c r="R678" s="2" t="n">
        <x:v>26</x:v>
      </x:c>
      <x:c r="S678" s="2" t="str">
        <x:v>Online</x:v>
      </x:c>
      <x:c r="T678" s="2" t="str">
        <x:v>Synced</x:v>
      </x:c>
    </x:row>
    <x:row r="679" ht="21" customHeight="1">
      <x:c r="A679" s="2" t="str">
        <x:v>EV000877</x:v>
      </x:c>
      <x:c r="B679" s="2" t="str">
        <x:v>T20261005-2-3</x:v>
      </x:c>
      <x:c r="C679" s="2" t="str">
        <x:v>ST112</x:v>
      </x:c>
      <x:c r="D679" s="2" t="str">
        <x:v>ca020aefc0d912af9ddca5c7ca7a2f51</x:v>
      </x:c>
      <x:c r="E679" s="2" t="str">
        <x:v>CHECK_IN</x:v>
      </x:c>
      <x:c r="F679" s="8" t="n">
        <x:v>46300.47642361111</x:v>
      </x:c>
      <x:c r="G679" s="8" t="n">
        <x:v>46300.476446759254</x:v>
      </x:c>
      <x:c r="H679" s="2" t="str">
        <x:v>R3S2</x:v>
      </x:c>
      <x:c r="I679" s="9" t="n">
        <x:v>25.291000000000004</x:v>
      </x:c>
      <x:c r="J679" s="9" t="n">
        <x:v>51.51</x:v>
      </x:c>
      <x:c r="K679" s="2" t="n">
        <x:v>8</x:v>
      </x:c>
      <x:c r="L679" s="2" t="str">
        <x:v>Valid</x:v>
      </x:c>
      <x:c r="M679" s="2" t="str">
        <x:v>QR</x:v>
      </x:c>
      <x:c r="N679" s="2" t="n">
        <x:v>1</x:v>
      </x:c>
      <x:c r="O679" s="2" t="str">
        <x:v>Accepted</x:v>
      </x:c>
      <x:c r="P679" s="2" t="str">
        <x:v>S003</x:v>
      </x:c>
      <x:c r="Q679" s="2" t="str">
        <x:v>DEV003</x:v>
      </x:c>
      <x:c r="R679" s="2" t="n">
        <x:v>28</x:v>
      </x:c>
      <x:c r="S679" s="2" t="str">
        <x:v>Online</x:v>
      </x:c>
      <x:c r="T679" s="2" t="str">
        <x:v>Synced</x:v>
      </x:c>
    </x:row>
    <x:row r="680" ht="21" customHeight="1">
      <x:c r="A680" s="2" t="str">
        <x:v>EV000543</x:v>
      </x:c>
      <x:c r="B680" s="2" t="str">
        <x:v>T20261005-2-1</x:v>
      </x:c>
      <x:c r="C680" s="2" t="str">
        <x:v>ST023</x:v>
      </x:c>
      <x:c r="D680" s="2" t="str">
        <x:v>1836074fce688580737a08d14a26fa79</x:v>
      </x:c>
      <x:c r="E680" s="2" t="str">
        <x:v>CHECK_IN</x:v>
      </x:c>
      <x:c r="F680" s="8" t="n">
        <x:v>46300.47645833333</x:v>
      </x:c>
      <x:c r="G680" s="8" t="n">
        <x:v>46300.47648148148</x:v>
      </x:c>
      <x:c r="H680" s="2" t="str">
        <x:v>R1S2</x:v>
      </x:c>
      <x:c r="I680" s="9" t="n">
        <x:v>25.273000000000003</x:v>
      </x:c>
      <x:c r="J680" s="9" t="n">
        <x:v>51.494</x:v>
      </x:c>
      <x:c r="K680" s="2" t="n">
        <x:v>8</x:v>
      </x:c>
      <x:c r="L680" s="2" t="str">
        <x:v>Valid</x:v>
      </x:c>
      <x:c r="M680" s="2" t="str">
        <x:v>QR</x:v>
      </x:c>
      <x:c r="N680" s="2" t="n">
        <x:v>1</x:v>
      </x:c>
      <x:c r="O680" s="2" t="str">
        <x:v>Accepted</x:v>
      </x:c>
      <x:c r="P680" s="2" t="str">
        <x:v>S001</x:v>
      </x:c>
      <x:c r="Q680" s="2" t="str">
        <x:v>DEV001</x:v>
      </x:c>
      <x:c r="R680" s="2" t="n">
        <x:v>29</x:v>
      </x:c>
      <x:c r="S680" s="2" t="str">
        <x:v>Online</x:v>
      </x:c>
      <x:c r="T680" s="2" t="str">
        <x:v>Synced</x:v>
      </x:c>
    </x:row>
    <x:row r="681" ht="21" customHeight="1">
      <x:c r="A681" s="2" t="str">
        <x:v>EV000699</x:v>
      </x:c>
      <x:c r="B681" s="2" t="str">
        <x:v>T20261005-2-2</x:v>
      </x:c>
      <x:c r="C681" s="2" t="str">
        <x:v>ST063</x:v>
      </x:c>
      <x:c r="D681" s="2" t="str">
        <x:v>46a3e8e97cbe04af0173a75d9cdbcebf</x:v>
      </x:c>
      <x:c r="E681" s="2" t="str">
        <x:v>CHECK_IN</x:v>
      </x:c>
      <x:c r="F681" s="8" t="n">
        <x:v>46300.47645833333</x:v>
      </x:c>
      <x:c r="G681" s="8" t="n">
        <x:v>46300.47648148148</x:v>
      </x:c>
      <x:c r="H681" s="2" t="str">
        <x:v>R2S2</x:v>
      </x:c>
      <x:c r="I681" s="9" t="n">
        <x:v>25.282000000000004</x:v>
      </x:c>
      <x:c r="J681" s="9" t="n">
        <x:v>51.501999999999995</x:v>
      </x:c>
      <x:c r="K681" s="2" t="n">
        <x:v>8</x:v>
      </x:c>
      <x:c r="L681" s="2" t="str">
        <x:v>Valid</x:v>
      </x:c>
      <x:c r="M681" s="2" t="str">
        <x:v>QR</x:v>
      </x:c>
      <x:c r="N681" s="2" t="n">
        <x:v>1</x:v>
      </x:c>
      <x:c r="O681" s="2" t="str">
        <x:v>Accepted</x:v>
      </x:c>
      <x:c r="P681" s="2" t="str">
        <x:v>S002</x:v>
      </x:c>
      <x:c r="Q681" s="2" t="str">
        <x:v>DEV002</x:v>
      </x:c>
      <x:c r="R681" s="2" t="n">
        <x:v>27</x:v>
      </x:c>
      <x:c r="S681" s="2" t="str">
        <x:v>Online</x:v>
      </x:c>
      <x:c r="T681" s="2" t="str">
        <x:v>Synced</x:v>
      </x:c>
    </x:row>
    <x:row r="682" ht="21" customHeight="1">
      <x:c r="A682" s="2" t="str">
        <x:v>EV000859</x:v>
      </x:c>
      <x:c r="B682" s="2" t="str">
        <x:v>T20261005-2-3</x:v>
      </x:c>
      <x:c r="C682" s="2" t="str">
        <x:v>ST103</x:v>
      </x:c>
      <x:c r="D682" s="2" t="str">
        <x:v>5982cfca835e14d82ed8b6562c1a172d</x:v>
      </x:c>
      <x:c r="E682" s="2" t="str">
        <x:v>CHECK_IN</x:v>
      </x:c>
      <x:c r="F682" s="8" t="n">
        <x:v>46300.47645833333</x:v>
      </x:c>
      <x:c r="G682" s="8" t="n">
        <x:v>46300.47648148148</x:v>
      </x:c>
      <x:c r="H682" s="2" t="str">
        <x:v>R3S2</x:v>
      </x:c>
      <x:c r="I682" s="9" t="n">
        <x:v>25.291000000000004</x:v>
      </x:c>
      <x:c r="J682" s="9" t="n">
        <x:v>51.51</x:v>
      </x:c>
      <x:c r="K682" s="2" t="n">
        <x:v>8</x:v>
      </x:c>
      <x:c r="L682" s="2" t="str">
        <x:v>Valid</x:v>
      </x:c>
      <x:c r="M682" s="2" t="str">
        <x:v>QR</x:v>
      </x:c>
      <x:c r="N682" s="2" t="n">
        <x:v>1</x:v>
      </x:c>
      <x:c r="O682" s="2" t="str">
        <x:v>Accepted</x:v>
      </x:c>
      <x:c r="P682" s="2" t="str">
        <x:v>S003</x:v>
      </x:c>
      <x:c r="Q682" s="2" t="str">
        <x:v>DEV003</x:v>
      </x:c>
      <x:c r="R682" s="2" t="n">
        <x:v>29</x:v>
      </x:c>
      <x:c r="S682" s="2" t="str">
        <x:v>Online</x:v>
      </x:c>
      <x:c r="T682" s="2" t="str">
        <x:v>Synced</x:v>
      </x:c>
    </x:row>
    <x:row r="683" ht="21" customHeight="1">
      <x:c r="A683" s="2" t="str">
        <x:v>EV000567</x:v>
      </x:c>
      <x:c r="B683" s="2" t="str">
        <x:v>T20261005-2-1</x:v>
      </x:c>
      <x:c r="C683" s="2" t="str">
        <x:v>ST035</x:v>
      </x:c>
      <x:c r="D683" s="2" t="str">
        <x:v>45068f3206e9be80993e83e259ea9cdc</x:v>
      </x:c>
      <x:c r="E683" s="2" t="str">
        <x:v>CHECK_IN</x:v>
      </x:c>
      <x:c r="F683" s="8" t="n">
        <x:v>46300.47652777778</x:v>
      </x:c>
      <x:c r="G683" s="8" t="n">
        <x:v>46300.47655092592</x:v>
      </x:c>
      <x:c r="H683" s="2" t="str">
        <x:v>R1S2</x:v>
      </x:c>
      <x:c r="I683" s="9" t="n">
        <x:v>25.273000000000003</x:v>
      </x:c>
      <x:c r="J683" s="9" t="n">
        <x:v>51.494</x:v>
      </x:c>
      <x:c r="K683" s="2" t="n">
        <x:v>8</x:v>
      </x:c>
      <x:c r="L683" s="2" t="str">
        <x:v>Valid</x:v>
      </x:c>
      <x:c r="M683" s="2" t="str">
        <x:v>QR</x:v>
      </x:c>
      <x:c r="N683" s="2" t="n">
        <x:v>1</x:v>
      </x:c>
      <x:c r="O683" s="2" t="str">
        <x:v>Accepted</x:v>
      </x:c>
      <x:c r="P683" s="2" t="str">
        <x:v>S001</x:v>
      </x:c>
      <x:c r="Q683" s="2" t="str">
        <x:v>DEV001</x:v>
      </x:c>
      <x:c r="R683" s="2" t="n">
        <x:v>30</x:v>
      </x:c>
      <x:c r="S683" s="2" t="str">
        <x:v>Online</x:v>
      </x:c>
      <x:c r="T683" s="2" t="str">
        <x:v>Synced</x:v>
      </x:c>
    </x:row>
    <x:row r="684" ht="21" customHeight="1">
      <x:c r="A684" s="2" t="str">
        <x:v>EV000723</x:v>
      </x:c>
      <x:c r="B684" s="2" t="str">
        <x:v>T20261005-2-2</x:v>
      </x:c>
      <x:c r="C684" s="2" t="str">
        <x:v>ST075</x:v>
      </x:c>
      <x:c r="D684" s="2" t="str">
        <x:v>3781d00e457977b726407cb845a294cc</x:v>
      </x:c>
      <x:c r="E684" s="2" t="str">
        <x:v>CHECK_IN</x:v>
      </x:c>
      <x:c r="F684" s="8" t="n">
        <x:v>46300.47652777778</x:v>
      </x:c>
      <x:c r="G684" s="8" t="n">
        <x:v>46300.47655092592</x:v>
      </x:c>
      <x:c r="H684" s="2" t="str">
        <x:v>R2S2</x:v>
      </x:c>
      <x:c r="I684" s="9" t="n">
        <x:v>25.282000000000004</x:v>
      </x:c>
      <x:c r="J684" s="9" t="n">
        <x:v>51.501999999999995</x:v>
      </x:c>
      <x:c r="K684" s="2" t="n">
        <x:v>8</x:v>
      </x:c>
      <x:c r="L684" s="2" t="str">
        <x:v>Valid</x:v>
      </x:c>
      <x:c r="M684" s="2" t="str">
        <x:v>QR</x:v>
      </x:c>
      <x:c r="N684" s="2" t="n">
        <x:v>1</x:v>
      </x:c>
      <x:c r="O684" s="2" t="str">
        <x:v>Accepted</x:v>
      </x:c>
      <x:c r="P684" s="2" t="str">
        <x:v>S002</x:v>
      </x:c>
      <x:c r="Q684" s="2" t="str">
        <x:v>DEV002</x:v>
      </x:c>
      <x:c r="R684" s="2" t="n">
        <x:v>28</x:v>
      </x:c>
      <x:c r="S684" s="2" t="str">
        <x:v>Online</x:v>
      </x:c>
      <x:c r="T684" s="2" t="str">
        <x:v>Synced</x:v>
      </x:c>
    </x:row>
    <x:row r="685" ht="21" customHeight="1">
      <x:c r="A685" s="2" t="str">
        <x:v>EV000883</x:v>
      </x:c>
      <x:c r="B685" s="2" t="str">
        <x:v>T20261005-2-3</x:v>
      </x:c>
      <x:c r="C685" s="2" t="str">
        <x:v>ST115</x:v>
      </x:c>
      <x:c r="D685" s="2" t="str">
        <x:v>dc951b9fd5f4acb1dc2ce3ca2f2e08ab</x:v>
      </x:c>
      <x:c r="E685" s="2" t="str">
        <x:v>CHECK_IN</x:v>
      </x:c>
      <x:c r="F685" s="8" t="n">
        <x:v>46300.47652777778</x:v>
      </x:c>
      <x:c r="G685" s="8" t="n">
        <x:v>46300.47655092592</x:v>
      </x:c>
      <x:c r="H685" s="2" t="str">
        <x:v>R3S2</x:v>
      </x:c>
      <x:c r="I685" s="9" t="n">
        <x:v>25.291000000000004</x:v>
      </x:c>
      <x:c r="J685" s="9" t="n">
        <x:v>51.51</x:v>
      </x:c>
      <x:c r="K685" s="2" t="n">
        <x:v>8</x:v>
      </x:c>
      <x:c r="L685" s="2" t="str">
        <x:v>Valid</x:v>
      </x:c>
      <x:c r="M685" s="2" t="str">
        <x:v>QR</x:v>
      </x:c>
      <x:c r="N685" s="2" t="n">
        <x:v>1</x:v>
      </x:c>
      <x:c r="O685" s="2" t="str">
        <x:v>Accepted</x:v>
      </x:c>
      <x:c r="P685" s="2" t="str">
        <x:v>S003</x:v>
      </x:c>
      <x:c r="Q685" s="2" t="str">
        <x:v>DEV003</x:v>
      </x:c>
      <x:c r="R685" s="2" t="n">
        <x:v>30</x:v>
      </x:c>
      <x:c r="S685" s="2" t="str">
        <x:v>Online</x:v>
      </x:c>
      <x:c r="T685" s="2" t="str">
        <x:v>Synced</x:v>
      </x:c>
    </x:row>
    <x:row r="686" ht="21" customHeight="1">
      <x:c r="A686" s="2" t="str">
        <x:v>EV000549</x:v>
      </x:c>
      <x:c r="B686" s="2" t="str">
        <x:v>T20261005-2-1</x:v>
      </x:c>
      <x:c r="C686" s="2" t="str">
        <x:v>ST026</x:v>
      </x:c>
      <x:c r="D686" s="2" t="str">
        <x:v>56aea196eabcf09e1199afbd5e8907b0</x:v>
      </x:c>
      <x:c r="E686" s="2" t="str">
        <x:v>CHECK_IN</x:v>
      </x:c>
      <x:c r="F686" s="8" t="n">
        <x:v>46300.47656249999</x:v>
      </x:c>
      <x:c r="G686" s="8" t="n">
        <x:v>46300.47658564814</x:v>
      </x:c>
      <x:c r="H686" s="2" t="str">
        <x:v>R1S2</x:v>
      </x:c>
      <x:c r="I686" s="9" t="n">
        <x:v>25.273000000000003</x:v>
      </x:c>
      <x:c r="J686" s="9" t="n">
        <x:v>51.494</x:v>
      </x:c>
      <x:c r="K686" s="2" t="n">
        <x:v>8</x:v>
      </x:c>
      <x:c r="L686" s="2" t="str">
        <x:v>Valid</x:v>
      </x:c>
      <x:c r="M686" s="2" t="str">
        <x:v>QR</x:v>
      </x:c>
      <x:c r="N686" s="2" t="n">
        <x:v>1</x:v>
      </x:c>
      <x:c r="O686" s="2" t="str">
        <x:v>Accepted</x:v>
      </x:c>
      <x:c r="P686" s="2" t="str">
        <x:v>S001</x:v>
      </x:c>
      <x:c r="Q686" s="2" t="str">
        <x:v>DEV001</x:v>
      </x:c>
      <x:c r="R686" s="2" t="n">
        <x:v>31</x:v>
      </x:c>
      <x:c r="S686" s="2" t="str">
        <x:v>Online</x:v>
      </x:c>
      <x:c r="T686" s="2" t="str">
        <x:v>Synced</x:v>
      </x:c>
    </x:row>
    <x:row r="687" ht="21" customHeight="1">
      <x:c r="A687" s="2" t="str">
        <x:v>EV000705</x:v>
      </x:c>
      <x:c r="B687" s="2" t="str">
        <x:v>T20261005-2-2</x:v>
      </x:c>
      <x:c r="C687" s="2" t="str">
        <x:v>ST066</x:v>
      </x:c>
      <x:c r="D687" s="2" t="str">
        <x:v>f1ae8019085f4d0a77552e53fdc22aa7</x:v>
      </x:c>
      <x:c r="E687" s="2" t="str">
        <x:v>CHECK_IN</x:v>
      </x:c>
      <x:c r="F687" s="8" t="n">
        <x:v>46300.47656249999</x:v>
      </x:c>
      <x:c r="G687" s="8" t="n">
        <x:v>46300.47658564814</x:v>
      </x:c>
      <x:c r="H687" s="2" t="str">
        <x:v>R2S2</x:v>
      </x:c>
      <x:c r="I687" s="9" t="n">
        <x:v>25.282000000000004</x:v>
      </x:c>
      <x:c r="J687" s="9" t="n">
        <x:v>51.501999999999995</x:v>
      </x:c>
      <x:c r="K687" s="2" t="n">
        <x:v>8</x:v>
      </x:c>
      <x:c r="L687" s="2" t="str">
        <x:v>Valid</x:v>
      </x:c>
      <x:c r="M687" s="2" t="str">
        <x:v>QR</x:v>
      </x:c>
      <x:c r="N687" s="2" t="n">
        <x:v>1</x:v>
      </x:c>
      <x:c r="O687" s="2" t="str">
        <x:v>Accepted</x:v>
      </x:c>
      <x:c r="P687" s="2" t="str">
        <x:v>S002</x:v>
      </x:c>
      <x:c r="Q687" s="2" t="str">
        <x:v>DEV002</x:v>
      </x:c>
      <x:c r="R687" s="2" t="n">
        <x:v>29</x:v>
      </x:c>
      <x:c r="S687" s="2" t="str">
        <x:v>Online</x:v>
      </x:c>
      <x:c r="T687" s="2" t="str">
        <x:v>Synced</x:v>
      </x:c>
    </x:row>
    <x:row r="688" ht="21" customHeight="1">
      <x:c r="A688" s="2" t="str">
        <x:v>EV000865</x:v>
      </x:c>
      <x:c r="B688" s="2" t="str">
        <x:v>T20261005-2-3</x:v>
      </x:c>
      <x:c r="C688" s="2" t="str">
        <x:v>ST106</x:v>
      </x:c>
      <x:c r="D688" s="2" t="str">
        <x:v>9bd191644f26d4fc266418c96f36f10b</x:v>
      </x:c>
      <x:c r="E688" s="2" t="str">
        <x:v>CHECK_IN</x:v>
      </x:c>
      <x:c r="F688" s="8" t="n">
        <x:v>46300.47656249999</x:v>
      </x:c>
      <x:c r="G688" s="8" t="n">
        <x:v>46300.47658564814</x:v>
      </x:c>
      <x:c r="H688" s="2" t="str">
        <x:v>R3S2</x:v>
      </x:c>
      <x:c r="I688" s="9" t="n">
        <x:v>25.291000000000004</x:v>
      </x:c>
      <x:c r="J688" s="9" t="n">
        <x:v>51.51</x:v>
      </x:c>
      <x:c r="K688" s="2" t="n">
        <x:v>8</x:v>
      </x:c>
      <x:c r="L688" s="2" t="str">
        <x:v>Valid</x:v>
      </x:c>
      <x:c r="M688" s="2" t="str">
        <x:v>QR</x:v>
      </x:c>
      <x:c r="N688" s="2" t="n">
        <x:v>1</x:v>
      </x:c>
      <x:c r="O688" s="2" t="str">
        <x:v>Accepted</x:v>
      </x:c>
      <x:c r="P688" s="2" t="str">
        <x:v>S003</x:v>
      </x:c>
      <x:c r="Q688" s="2" t="str">
        <x:v>DEV003</x:v>
      </x:c>
      <x:c r="R688" s="2" t="n">
        <x:v>31</x:v>
      </x:c>
      <x:c r="S688" s="2" t="str">
        <x:v>Online</x:v>
      </x:c>
      <x:c r="T688" s="2" t="str">
        <x:v>Synced</x:v>
      </x:c>
    </x:row>
    <x:row r="689" ht="21" customHeight="1">
      <x:c r="A689" s="2" t="str">
        <x:v>EV000573</x:v>
      </x:c>
      <x:c r="B689" s="2" t="str">
        <x:v>T20261005-2-1</x:v>
      </x:c>
      <x:c r="C689" s="2" t="str">
        <x:v>ST038</x:v>
      </x:c>
      <x:c r="D689" s="2" t="str">
        <x:v>1ebedd777293ba897970ae7fc06b6301</x:v>
      </x:c>
      <x:c r="E689" s="2" t="str">
        <x:v>CHECK_IN</x:v>
      </x:c>
      <x:c r="F689" s="8" t="n">
        <x:v>46300.47663194444</x:v>
      </x:c>
      <x:c r="G689" s="8" t="n">
        <x:v>46300.476655092585</x:v>
      </x:c>
      <x:c r="H689" s="2" t="str">
        <x:v>R1S2</x:v>
      </x:c>
      <x:c r="I689" s="9" t="n">
        <x:v>25.273000000000003</x:v>
      </x:c>
      <x:c r="J689" s="9" t="n">
        <x:v>51.494</x:v>
      </x:c>
      <x:c r="K689" s="2" t="n">
        <x:v>8</x:v>
      </x:c>
      <x:c r="L689" s="2" t="str">
        <x:v>Valid</x:v>
      </x:c>
      <x:c r="M689" s="2" t="str">
        <x:v>QR</x:v>
      </x:c>
      <x:c r="N689" s="2" t="n">
        <x:v>1</x:v>
      </x:c>
      <x:c r="O689" s="2" t="str">
        <x:v>Accepted</x:v>
      </x:c>
      <x:c r="P689" s="2" t="str">
        <x:v>S001</x:v>
      </x:c>
      <x:c r="Q689" s="2" t="str">
        <x:v>DEV001</x:v>
      </x:c>
      <x:c r="R689" s="2" t="n">
        <x:v>32</x:v>
      </x:c>
      <x:c r="S689" s="2" t="str">
        <x:v>Online</x:v>
      </x:c>
      <x:c r="T689" s="2" t="str">
        <x:v>Synced</x:v>
      </x:c>
    </x:row>
    <x:row r="690" ht="21" customHeight="1">
      <x:c r="A690" s="2" t="str">
        <x:v>EV000729</x:v>
      </x:c>
      <x:c r="B690" s="2" t="str">
        <x:v>T20261005-2-2</x:v>
      </x:c>
      <x:c r="C690" s="2" t="str">
        <x:v>ST078</x:v>
      </x:c>
      <x:c r="D690" s="2" t="str">
        <x:v>737ab4e672bf11e638a47ae295f7e187</x:v>
      </x:c>
      <x:c r="E690" s="2" t="str">
        <x:v>CHECK_IN</x:v>
      </x:c>
      <x:c r="F690" s="8" t="n">
        <x:v>46300.47663194444</x:v>
      </x:c>
      <x:c r="G690" s="8" t="n">
        <x:v>46300.476655092585</x:v>
      </x:c>
      <x:c r="H690" s="2" t="str">
        <x:v>R2S2</x:v>
      </x:c>
      <x:c r="I690" s="9" t="n">
        <x:v>25.282000000000004</x:v>
      </x:c>
      <x:c r="J690" s="9" t="n">
        <x:v>51.501999999999995</x:v>
      </x:c>
      <x:c r="K690" s="2" t="n">
        <x:v>8</x:v>
      </x:c>
      <x:c r="L690" s="2" t="str">
        <x:v>Valid</x:v>
      </x:c>
      <x:c r="M690" s="2" t="str">
        <x:v>QR</x:v>
      </x:c>
      <x:c r="N690" s="2" t="n">
        <x:v>1</x:v>
      </x:c>
      <x:c r="O690" s="2" t="str">
        <x:v>Accepted</x:v>
      </x:c>
      <x:c r="P690" s="2" t="str">
        <x:v>S002</x:v>
      </x:c>
      <x:c r="Q690" s="2" t="str">
        <x:v>DEV002</x:v>
      </x:c>
      <x:c r="R690" s="2" t="n">
        <x:v>30</x:v>
      </x:c>
      <x:c r="S690" s="2" t="str">
        <x:v>Online</x:v>
      </x:c>
      <x:c r="T690" s="2" t="str">
        <x:v>Synced</x:v>
      </x:c>
    </x:row>
    <x:row r="691" ht="21" customHeight="1">
      <x:c r="A691" s="2" t="str">
        <x:v>EV000889</x:v>
      </x:c>
      <x:c r="B691" s="2" t="str">
        <x:v>T20261005-2-3</x:v>
      </x:c>
      <x:c r="C691" s="2" t="str">
        <x:v>ST118</x:v>
      </x:c>
      <x:c r="D691" s="2" t="str">
        <x:v>b15012a6111b47a10bdbbcbbd00c9f60</x:v>
      </x:c>
      <x:c r="E691" s="2" t="str">
        <x:v>CHECK_IN</x:v>
      </x:c>
      <x:c r="F691" s="8" t="n">
        <x:v>46300.47663194444</x:v>
      </x:c>
      <x:c r="G691" s="8" t="n">
        <x:v>46300.476655092585</x:v>
      </x:c>
      <x:c r="H691" s="2" t="str">
        <x:v>R3S2</x:v>
      </x:c>
      <x:c r="I691" s="9" t="n">
        <x:v>25.291000000000004</x:v>
      </x:c>
      <x:c r="J691" s="9" t="n">
        <x:v>51.51</x:v>
      </x:c>
      <x:c r="K691" s="2" t="n">
        <x:v>8</x:v>
      </x:c>
      <x:c r="L691" s="2" t="str">
        <x:v>Valid</x:v>
      </x:c>
      <x:c r="M691" s="2" t="str">
        <x:v>QR</x:v>
      </x:c>
      <x:c r="N691" s="2" t="n">
        <x:v>1</x:v>
      </x:c>
      <x:c r="O691" s="2" t="str">
        <x:v>Accepted</x:v>
      </x:c>
      <x:c r="P691" s="2" t="str">
        <x:v>S003</x:v>
      </x:c>
      <x:c r="Q691" s="2" t="str">
        <x:v>DEV003</x:v>
      </x:c>
      <x:c r="R691" s="2" t="n">
        <x:v>32</x:v>
      </x:c>
      <x:c r="S691" s="2" t="str">
        <x:v>Online</x:v>
      </x:c>
      <x:c r="T691" s="2" t="str">
        <x:v>Synced</x:v>
      </x:c>
    </x:row>
    <x:row r="692" ht="21" customHeight="1">
      <x:c r="A692" s="2" t="str">
        <x:v>EV000555</x:v>
      </x:c>
      <x:c r="B692" s="2" t="str">
        <x:v>T20261005-2-1</x:v>
      </x:c>
      <x:c r="C692" s="2" t="str">
        <x:v>ST029</x:v>
      </x:c>
      <x:c r="D692" s="2" t="str">
        <x:v>160c4caa69875e092299cd9b55dcda0b</x:v>
      </x:c>
      <x:c r="E692" s="2" t="str">
        <x:v>CHECK_IN</x:v>
      </x:c>
      <x:c r="F692" s="8" t="n">
        <x:v>46300.47666666666</x:v>
      </x:c>
      <x:c r="G692" s="8" t="n">
        <x:v>46300.47668981481</x:v>
      </x:c>
      <x:c r="H692" s="2" t="str">
        <x:v>R1S2</x:v>
      </x:c>
      <x:c r="I692" s="9" t="n">
        <x:v>25.273000000000003</x:v>
      </x:c>
      <x:c r="J692" s="9" t="n">
        <x:v>51.494</x:v>
      </x:c>
      <x:c r="K692" s="2" t="n">
        <x:v>8</x:v>
      </x:c>
      <x:c r="L692" s="2" t="str">
        <x:v>Valid</x:v>
      </x:c>
      <x:c r="M692" s="2" t="str">
        <x:v>QR</x:v>
      </x:c>
      <x:c r="N692" s="2" t="n">
        <x:v>1</x:v>
      </x:c>
      <x:c r="O692" s="2" t="str">
        <x:v>Accepted</x:v>
      </x:c>
      <x:c r="P692" s="2" t="str">
        <x:v>S001</x:v>
      </x:c>
      <x:c r="Q692" s="2" t="str">
        <x:v>DEV001</x:v>
      </x:c>
      <x:c r="R692" s="2" t="n">
        <x:v>33</x:v>
      </x:c>
      <x:c r="S692" s="2" t="str">
        <x:v>Online</x:v>
      </x:c>
      <x:c r="T692" s="2" t="str">
        <x:v>Synced</x:v>
      </x:c>
    </x:row>
    <x:row r="693" ht="21" customHeight="1">
      <x:c r="A693" s="2" t="str">
        <x:v>EV000711</x:v>
      </x:c>
      <x:c r="B693" s="2" t="str">
        <x:v>T20261005-2-2</x:v>
      </x:c>
      <x:c r="C693" s="2" t="str">
        <x:v>ST069</x:v>
      </x:c>
      <x:c r="D693" s="2" t="str">
        <x:v>d453525f57933d1df9d056e2e53ed3e4</x:v>
      </x:c>
      <x:c r="E693" s="2" t="str">
        <x:v>CHECK_IN</x:v>
      </x:c>
      <x:c r="F693" s="8" t="n">
        <x:v>46300.47666666666</x:v>
      </x:c>
      <x:c r="G693" s="8" t="n">
        <x:v>46300.47668981481</x:v>
      </x:c>
      <x:c r="H693" s="2" t="str">
        <x:v>R2S2</x:v>
      </x:c>
      <x:c r="I693" s="9" t="n">
        <x:v>25.282000000000004</x:v>
      </x:c>
      <x:c r="J693" s="9" t="n">
        <x:v>51.501999999999995</x:v>
      </x:c>
      <x:c r="K693" s="2" t="n">
        <x:v>8</x:v>
      </x:c>
      <x:c r="L693" s="2" t="str">
        <x:v>Valid</x:v>
      </x:c>
      <x:c r="M693" s="2" t="str">
        <x:v>QR</x:v>
      </x:c>
      <x:c r="N693" s="2" t="n">
        <x:v>1</x:v>
      </x:c>
      <x:c r="O693" s="2" t="str">
        <x:v>Accepted</x:v>
      </x:c>
      <x:c r="P693" s="2" t="str">
        <x:v>S002</x:v>
      </x:c>
      <x:c r="Q693" s="2" t="str">
        <x:v>DEV002</x:v>
      </x:c>
      <x:c r="R693" s="2" t="n">
        <x:v>31</x:v>
      </x:c>
      <x:c r="S693" s="2" t="str">
        <x:v>Online</x:v>
      </x:c>
      <x:c r="T693" s="2" t="str">
        <x:v>Synced</x:v>
      </x:c>
    </x:row>
    <x:row r="694" ht="21" customHeight="1">
      <x:c r="A694" s="2" t="str">
        <x:v>EV000871</x:v>
      </x:c>
      <x:c r="B694" s="2" t="str">
        <x:v>T20261005-2-3</x:v>
      </x:c>
      <x:c r="C694" s="2" t="str">
        <x:v>ST109</x:v>
      </x:c>
      <x:c r="D694" s="2" t="str">
        <x:v>dfd493c800846e3efc35048335bd557b</x:v>
      </x:c>
      <x:c r="E694" s="2" t="str">
        <x:v>CHECK_IN</x:v>
      </x:c>
      <x:c r="F694" s="8" t="n">
        <x:v>46300.47666666666</x:v>
      </x:c>
      <x:c r="G694" s="8" t="n">
        <x:v>46300.47668981481</x:v>
      </x:c>
      <x:c r="H694" s="2" t="str">
        <x:v>R3S2</x:v>
      </x:c>
      <x:c r="I694" s="9" t="n">
        <x:v>25.291000000000004</x:v>
      </x:c>
      <x:c r="J694" s="9" t="n">
        <x:v>51.51</x:v>
      </x:c>
      <x:c r="K694" s="2" t="n">
        <x:v>8</x:v>
      </x:c>
      <x:c r="L694" s="2" t="str">
        <x:v>Valid</x:v>
      </x:c>
      <x:c r="M694" s="2" t="str">
        <x:v>QR</x:v>
      </x:c>
      <x:c r="N694" s="2" t="n">
        <x:v>1</x:v>
      </x:c>
      <x:c r="O694" s="2" t="str">
        <x:v>Accepted</x:v>
      </x:c>
      <x:c r="P694" s="2" t="str">
        <x:v>S003</x:v>
      </x:c>
      <x:c r="Q694" s="2" t="str">
        <x:v>DEV003</x:v>
      </x:c>
      <x:c r="R694" s="2" t="n">
        <x:v>33</x:v>
      </x:c>
      <x:c r="S694" s="2" t="str">
        <x:v>Online</x:v>
      </x:c>
      <x:c r="T694" s="2" t="str">
        <x:v>Synced</x:v>
      </x:c>
    </x:row>
    <x:row r="695" ht="21" customHeight="1">
      <x:c r="A695" s="2" t="str">
        <x:v>EV000539</x:v>
      </x:c>
      <x:c r="B695" s="2" t="str">
        <x:v>T20261005-2-1</x:v>
      </x:c>
      <x:c r="C695" s="2" t="str">
        <x:v>ST021</x:v>
      </x:c>
      <x:c r="D695" s="2" t="str">
        <x:v>9b1608e5663d6da53cd805c8051dedd7</x:v>
      </x:c>
      <x:c r="E695" s="2" t="str">
        <x:v>CHECK_IN</x:v>
      </x:c>
      <x:c r="F695" s="8" t="n">
        <x:v>46300.48125</x:v>
      </x:c>
      <x:c r="G695" s="8" t="n">
        <x:v>46300.48127314814</x:v>
      </x:c>
      <x:c r="H695" s="2" t="str">
        <x:v>R1S3</x:v>
      </x:c>
      <x:c r="I695" s="9" t="n">
        <x:v>25.275000000000002</x:v>
      </x:c>
      <x:c r="J695" s="9" t="n">
        <x:v>51.497</x:v>
      </x:c>
      <x:c r="K695" s="2" t="n">
        <x:v>8</x:v>
      </x:c>
      <x:c r="L695" s="2" t="str">
        <x:v>Valid</x:v>
      </x:c>
      <x:c r="M695" s="2" t="str">
        <x:v>QR</x:v>
      </x:c>
      <x:c r="N695" s="2" t="n">
        <x:v>1</x:v>
      </x:c>
      <x:c r="O695" s="2" t="str">
        <x:v>Accepted</x:v>
      </x:c>
      <x:c r="P695" s="2" t="str">
        <x:v>S001</x:v>
      </x:c>
      <x:c r="Q695" s="2" t="str">
        <x:v>DEV001</x:v>
      </x:c>
      <x:c r="R695" s="2" t="n">
        <x:v>34</x:v>
      </x:c>
      <x:c r="S695" s="2" t="str">
        <x:v>Online</x:v>
      </x:c>
      <x:c r="T695" s="2" t="str">
        <x:v>Synced</x:v>
      </x:c>
    </x:row>
    <x:row r="696" ht="21" customHeight="1">
      <x:c r="A696" s="2" t="str">
        <x:v>EV000695</x:v>
      </x:c>
      <x:c r="B696" s="2" t="str">
        <x:v>T20261005-2-2</x:v>
      </x:c>
      <x:c r="C696" s="2" t="str">
        <x:v>ST061</x:v>
      </x:c>
      <x:c r="D696" s="2" t="str">
        <x:v>c547cb31f14853ae1f9f2436554d3271</x:v>
      </x:c>
      <x:c r="E696" s="2" t="str">
        <x:v>CHECK_IN</x:v>
      </x:c>
      <x:c r="F696" s="8" t="n">
        <x:v>46300.48125</x:v>
      </x:c>
      <x:c r="G696" s="8" t="n">
        <x:v>46300.48127314814</x:v>
      </x:c>
      <x:c r="H696" s="2" t="str">
        <x:v>R2S3</x:v>
      </x:c>
      <x:c r="I696" s="9" t="n">
        <x:v>25.284000000000002</x:v>
      </x:c>
      <x:c r="J696" s="9" t="n">
        <x:v>51.504999999999995</x:v>
      </x:c>
      <x:c r="K696" s="2" t="n">
        <x:v>8</x:v>
      </x:c>
      <x:c r="L696" s="2" t="str">
        <x:v>Valid</x:v>
      </x:c>
      <x:c r="M696" s="2" t="str">
        <x:v>QR</x:v>
      </x:c>
      <x:c r="N696" s="2" t="n">
        <x:v>1</x:v>
      </x:c>
      <x:c r="O696" s="2" t="str">
        <x:v>Accepted</x:v>
      </x:c>
      <x:c r="P696" s="2" t="str">
        <x:v>S002</x:v>
      </x:c>
      <x:c r="Q696" s="2" t="str">
        <x:v>DEV002</x:v>
      </x:c>
      <x:c r="R696" s="2" t="n">
        <x:v>32</x:v>
      </x:c>
      <x:c r="S696" s="2" t="str">
        <x:v>Online</x:v>
      </x:c>
      <x:c r="T696" s="2" t="str">
        <x:v>Synced</x:v>
      </x:c>
    </x:row>
    <x:row r="697" ht="21" customHeight="1">
      <x:c r="A697" s="2" t="str">
        <x:v>EV000855</x:v>
      </x:c>
      <x:c r="B697" s="2" t="str">
        <x:v>T20261005-2-3</x:v>
      </x:c>
      <x:c r="C697" s="2" t="str">
        <x:v>ST101</x:v>
      </x:c>
      <x:c r="D697" s="2" t="str">
        <x:v>9f8e180c63d3ff8d3e393db3573884a8</x:v>
      </x:c>
      <x:c r="E697" s="2" t="str">
        <x:v>CHECK_IN</x:v>
      </x:c>
      <x:c r="F697" s="8" t="n">
        <x:v>46300.48125</x:v>
      </x:c>
      <x:c r="G697" s="8" t="n">
        <x:v>46300.48127314814</x:v>
      </x:c>
      <x:c r="H697" s="2" t="str">
        <x:v>R3S3</x:v>
      </x:c>
      <x:c r="I697" s="9" t="n">
        <x:v>25.293000000000003</x:v>
      </x:c>
      <x:c r="J697" s="9" t="n">
        <x:v>51.513</x:v>
      </x:c>
      <x:c r="K697" s="2" t="n">
        <x:v>8</x:v>
      </x:c>
      <x:c r="L697" s="2" t="str">
        <x:v>Valid</x:v>
      </x:c>
      <x:c r="M697" s="2" t="str">
        <x:v>QR</x:v>
      </x:c>
      <x:c r="N697" s="2" t="n">
        <x:v>1</x:v>
      </x:c>
      <x:c r="O697" s="2" t="str">
        <x:v>Accepted</x:v>
      </x:c>
      <x:c r="P697" s="2" t="str">
        <x:v>S003</x:v>
      </x:c>
      <x:c r="Q697" s="2" t="str">
        <x:v>DEV003</x:v>
      </x:c>
      <x:c r="R697" s="2" t="n">
        <x:v>34</x:v>
      </x:c>
      <x:c r="S697" s="2" t="str">
        <x:v>Online</x:v>
      </x:c>
      <x:c r="T697" s="2" t="str">
        <x:v>Synced</x:v>
      </x:c>
    </x:row>
    <x:row r="698" ht="21" customHeight="1">
      <x:c r="A698" s="2" t="str">
        <x:v>EV000563</x:v>
      </x:c>
      <x:c r="B698" s="2" t="str">
        <x:v>T20261005-2-1</x:v>
      </x:c>
      <x:c r="C698" s="2" t="str">
        <x:v>ST033</x:v>
      </x:c>
      <x:c r="D698" s="2" t="str">
        <x:v>c9cc8ddf1b5bae8b49929340838e300a</x:v>
      </x:c>
      <x:c r="E698" s="2" t="str">
        <x:v>CHECK_IN</x:v>
      </x:c>
      <x:c r="F698" s="8" t="n">
        <x:v>46300.48131944444</x:v>
      </x:c>
      <x:c r="G698" s="8" t="n">
        <x:v>46300.48134259259</x:v>
      </x:c>
      <x:c r="H698" s="2" t="str">
        <x:v>R1S3</x:v>
      </x:c>
      <x:c r="I698" s="9" t="n">
        <x:v>25.275000000000002</x:v>
      </x:c>
      <x:c r="J698" s="9" t="n">
        <x:v>51.497</x:v>
      </x:c>
      <x:c r="K698" s="2" t="n">
        <x:v>8</x:v>
      </x:c>
      <x:c r="L698" s="2" t="str">
        <x:v>Valid</x:v>
      </x:c>
      <x:c r="M698" s="2" t="str">
        <x:v>QR</x:v>
      </x:c>
      <x:c r="N698" s="2" t="n">
        <x:v>1</x:v>
      </x:c>
      <x:c r="O698" s="2" t="str">
        <x:v>Accepted</x:v>
      </x:c>
      <x:c r="P698" s="2" t="str">
        <x:v>S001</x:v>
      </x:c>
      <x:c r="Q698" s="2" t="str">
        <x:v>DEV001</x:v>
      </x:c>
      <x:c r="R698" s="2" t="n">
        <x:v>35</x:v>
      </x:c>
      <x:c r="S698" s="2" t="str">
        <x:v>Online</x:v>
      </x:c>
      <x:c r="T698" s="2" t="str">
        <x:v>Synced</x:v>
      </x:c>
    </x:row>
    <x:row r="699" ht="21" customHeight="1">
      <x:c r="A699" s="2" t="str">
        <x:v>EV000719</x:v>
      </x:c>
      <x:c r="B699" s="2" t="str">
        <x:v>T20261005-2-2</x:v>
      </x:c>
      <x:c r="C699" s="2" t="str">
        <x:v>ST073</x:v>
      </x:c>
      <x:c r="D699" s="2" t="str">
        <x:v>b27180ce7590c0aac206d465f318b712</x:v>
      </x:c>
      <x:c r="E699" s="2" t="str">
        <x:v>CHECK_IN</x:v>
      </x:c>
      <x:c r="F699" s="8" t="n">
        <x:v>46300.48131944444</x:v>
      </x:c>
      <x:c r="G699" s="8" t="n">
        <x:v>46300.48134259259</x:v>
      </x:c>
      <x:c r="H699" s="2" t="str">
        <x:v>R2S3</x:v>
      </x:c>
      <x:c r="I699" s="9" t="n">
        <x:v>25.284000000000002</x:v>
      </x:c>
      <x:c r="J699" s="9" t="n">
        <x:v>51.504999999999995</x:v>
      </x:c>
      <x:c r="K699" s="2" t="n">
        <x:v>8</x:v>
      </x:c>
      <x:c r="L699" s="2" t="str">
        <x:v>Valid</x:v>
      </x:c>
      <x:c r="M699" s="2" t="str">
        <x:v>QR</x:v>
      </x:c>
      <x:c r="N699" s="2" t="n">
        <x:v>1</x:v>
      </x:c>
      <x:c r="O699" s="2" t="str">
        <x:v>Accepted</x:v>
      </x:c>
      <x:c r="P699" s="2" t="str">
        <x:v>S002</x:v>
      </x:c>
      <x:c r="Q699" s="2" t="str">
        <x:v>DEV002</x:v>
      </x:c>
      <x:c r="R699" s="2" t="n">
        <x:v>33</x:v>
      </x:c>
      <x:c r="S699" s="2" t="str">
        <x:v>Online</x:v>
      </x:c>
      <x:c r="T699" s="2" t="str">
        <x:v>Synced</x:v>
      </x:c>
    </x:row>
    <x:row r="700" ht="21" customHeight="1">
      <x:c r="A700" s="2" t="str">
        <x:v>EV000879</x:v>
      </x:c>
      <x:c r="B700" s="2" t="str">
        <x:v>T20261005-2-3</x:v>
      </x:c>
      <x:c r="C700" s="2" t="str">
        <x:v>ST113</x:v>
      </x:c>
      <x:c r="D700" s="2" t="str">
        <x:v>c3781e168737a6cc1190d4415801c440</x:v>
      </x:c>
      <x:c r="E700" s="2" t="str">
        <x:v>CHECK_IN</x:v>
      </x:c>
      <x:c r="F700" s="8" t="n">
        <x:v>46300.48131944444</x:v>
      </x:c>
      <x:c r="G700" s="8" t="n">
        <x:v>46300.48134259259</x:v>
      </x:c>
      <x:c r="H700" s="2" t="str">
        <x:v>R3S3</x:v>
      </x:c>
      <x:c r="I700" s="9" t="n">
        <x:v>25.293000000000003</x:v>
      </x:c>
      <x:c r="J700" s="9" t="n">
        <x:v>51.513</x:v>
      </x:c>
      <x:c r="K700" s="2" t="n">
        <x:v>8</x:v>
      </x:c>
      <x:c r="L700" s="2" t="str">
        <x:v>Valid</x:v>
      </x:c>
      <x:c r="M700" s="2" t="str">
        <x:v>QR</x:v>
      </x:c>
      <x:c r="N700" s="2" t="n">
        <x:v>1</x:v>
      </x:c>
      <x:c r="O700" s="2" t="str">
        <x:v>Accepted</x:v>
      </x:c>
      <x:c r="P700" s="2" t="str">
        <x:v>S003</x:v>
      </x:c>
      <x:c r="Q700" s="2" t="str">
        <x:v>DEV003</x:v>
      </x:c>
      <x:c r="R700" s="2" t="n">
        <x:v>35</x:v>
      </x:c>
      <x:c r="S700" s="2" t="str">
        <x:v>Online</x:v>
      </x:c>
      <x:c r="T700" s="2" t="str">
        <x:v>Synced</x:v>
      </x:c>
    </x:row>
    <x:row r="701" ht="21" customHeight="1">
      <x:c r="A701" s="2" t="str">
        <x:v>EV000545</x:v>
      </x:c>
      <x:c r="B701" s="2" t="str">
        <x:v>T20261005-2-1</x:v>
      </x:c>
      <x:c r="C701" s="2" t="str">
        <x:v>ST024</x:v>
      </x:c>
      <x:c r="D701" s="2" t="str">
        <x:v>df785f1577b8ee7f71835020d03a12a6</x:v>
      </x:c>
      <x:c r="E701" s="2" t="str">
        <x:v>CHECK_IN</x:v>
      </x:c>
      <x:c r="F701" s="8" t="n">
        <x:v>46300.481354166666</x:v>
      </x:c>
      <x:c r="G701" s="8" t="n">
        <x:v>46300.48137731481</x:v>
      </x:c>
      <x:c r="H701" s="2" t="str">
        <x:v>R1S3</x:v>
      </x:c>
      <x:c r="I701" s="9" t="n">
        <x:v>25.275000000000002</x:v>
      </x:c>
      <x:c r="J701" s="9" t="n">
        <x:v>51.497</x:v>
      </x:c>
      <x:c r="K701" s="2" t="n">
        <x:v>8</x:v>
      </x:c>
      <x:c r="L701" s="2" t="str">
        <x:v>Valid</x:v>
      </x:c>
      <x:c r="M701" s="2" t="str">
        <x:v>QR</x:v>
      </x:c>
      <x:c r="N701" s="2" t="n">
        <x:v>1</x:v>
      </x:c>
      <x:c r="O701" s="2" t="str">
        <x:v>Accepted</x:v>
      </x:c>
      <x:c r="P701" s="2" t="str">
        <x:v>S001</x:v>
      </x:c>
      <x:c r="Q701" s="2" t="str">
        <x:v>DEV001</x:v>
      </x:c>
      <x:c r="R701" s="2" t="n">
        <x:v>36</x:v>
      </x:c>
      <x:c r="S701" s="2" t="str">
        <x:v>Online</x:v>
      </x:c>
      <x:c r="T701" s="2" t="str">
        <x:v>Synced</x:v>
      </x:c>
    </x:row>
    <x:row r="702" ht="21" customHeight="1">
      <x:c r="A702" s="2" t="str">
        <x:v>EV000701</x:v>
      </x:c>
      <x:c r="B702" s="2" t="str">
        <x:v>T20261005-2-2</x:v>
      </x:c>
      <x:c r="C702" s="2" t="str">
        <x:v>ST064</x:v>
      </x:c>
      <x:c r="D702" s="2" t="str">
        <x:v>80debd99a6cfe1ca0800304796fd69ff</x:v>
      </x:c>
      <x:c r="E702" s="2" t="str">
        <x:v>CHECK_IN</x:v>
      </x:c>
      <x:c r="F702" s="8" t="n">
        <x:v>46300.481354166666</x:v>
      </x:c>
      <x:c r="G702" s="8" t="n">
        <x:v>46300.48137731481</x:v>
      </x:c>
      <x:c r="H702" s="2" t="str">
        <x:v>R2S3</x:v>
      </x:c>
      <x:c r="I702" s="9" t="n">
        <x:v>25.284000000000002</x:v>
      </x:c>
      <x:c r="J702" s="9" t="n">
        <x:v>51.504999999999995</x:v>
      </x:c>
      <x:c r="K702" s="2" t="n">
        <x:v>8</x:v>
      </x:c>
      <x:c r="L702" s="2" t="str">
        <x:v>Valid</x:v>
      </x:c>
      <x:c r="M702" s="2" t="str">
        <x:v>QR</x:v>
      </x:c>
      <x:c r="N702" s="2" t="n">
        <x:v>1</x:v>
      </x:c>
      <x:c r="O702" s="2" t="str">
        <x:v>Accepted</x:v>
      </x:c>
      <x:c r="P702" s="2" t="str">
        <x:v>S002</x:v>
      </x:c>
      <x:c r="Q702" s="2" t="str">
        <x:v>DEV002</x:v>
      </x:c>
      <x:c r="R702" s="2" t="n">
        <x:v>34</x:v>
      </x:c>
      <x:c r="S702" s="2" t="str">
        <x:v>Online</x:v>
      </x:c>
      <x:c r="T702" s="2" t="str">
        <x:v>Synced</x:v>
      </x:c>
    </x:row>
    <x:row r="703" ht="21" customHeight="1">
      <x:c r="A703" s="2" t="str">
        <x:v>EV000861</x:v>
      </x:c>
      <x:c r="B703" s="2" t="str">
        <x:v>T20261005-2-3</x:v>
      </x:c>
      <x:c r="C703" s="2" t="str">
        <x:v>ST104</x:v>
      </x:c>
      <x:c r="D703" s="2" t="str">
        <x:v>12167381f9b78201d830c40ef6208ce4</x:v>
      </x:c>
      <x:c r="E703" s="2" t="str">
        <x:v>CHECK_IN</x:v>
      </x:c>
      <x:c r="F703" s="8" t="n">
        <x:v>46300.481354166666</x:v>
      </x:c>
      <x:c r="G703" s="8" t="n">
        <x:v>46300.48137731481</x:v>
      </x:c>
      <x:c r="H703" s="2" t="str">
        <x:v>R3S3</x:v>
      </x:c>
      <x:c r="I703" s="9" t="n">
        <x:v>25.293000000000003</x:v>
      </x:c>
      <x:c r="J703" s="9" t="n">
        <x:v>51.513</x:v>
      </x:c>
      <x:c r="K703" s="2" t="n">
        <x:v>8</x:v>
      </x:c>
      <x:c r="L703" s="2" t="str">
        <x:v>Valid</x:v>
      </x:c>
      <x:c r="M703" s="2" t="str">
        <x:v>QR</x:v>
      </x:c>
      <x:c r="N703" s="2" t="n">
        <x:v>1</x:v>
      </x:c>
      <x:c r="O703" s="2" t="str">
        <x:v>Accepted</x:v>
      </x:c>
      <x:c r="P703" s="2" t="str">
        <x:v>S003</x:v>
      </x:c>
      <x:c r="Q703" s="2" t="str">
        <x:v>DEV003</x:v>
      </x:c>
      <x:c r="R703" s="2" t="n">
        <x:v>36</x:v>
      </x:c>
      <x:c r="S703" s="2" t="str">
        <x:v>Online</x:v>
      </x:c>
      <x:c r="T703" s="2" t="str">
        <x:v>Synced</x:v>
      </x:c>
    </x:row>
    <x:row r="704" ht="21" customHeight="1">
      <x:c r="A704" s="2" t="str">
        <x:v>EV000569</x:v>
      </x:c>
      <x:c r="B704" s="2" t="str">
        <x:v>T20261005-2-1</x:v>
      </x:c>
      <x:c r="C704" s="2" t="str">
        <x:v>ST036</x:v>
      </x:c>
      <x:c r="D704" s="2" t="str">
        <x:v>7e42555e63455121ac9f1b3710bc905c</x:v>
      </x:c>
      <x:c r="E704" s="2" t="str">
        <x:v>CHECK_IN</x:v>
      </x:c>
      <x:c r="F704" s="8" t="n">
        <x:v>46300.481423611105</x:v>
      </x:c>
      <x:c r="G704" s="8" t="n">
        <x:v>46300.48144675925</x:v>
      </x:c>
      <x:c r="H704" s="2" t="str">
        <x:v>R1S3</x:v>
      </x:c>
      <x:c r="I704" s="9" t="n">
        <x:v>25.275000000000002</x:v>
      </x:c>
      <x:c r="J704" s="9" t="n">
        <x:v>51.497</x:v>
      </x:c>
      <x:c r="K704" s="2" t="n">
        <x:v>8</x:v>
      </x:c>
      <x:c r="L704" s="2" t="str">
        <x:v>Valid</x:v>
      </x:c>
      <x:c r="M704" s="2" t="str">
        <x:v>QR</x:v>
      </x:c>
      <x:c r="N704" s="2" t="n">
        <x:v>1</x:v>
      </x:c>
      <x:c r="O704" s="2" t="str">
        <x:v>Accepted</x:v>
      </x:c>
      <x:c r="P704" s="2" t="str">
        <x:v>S001</x:v>
      </x:c>
      <x:c r="Q704" s="2" t="str">
        <x:v>DEV001</x:v>
      </x:c>
      <x:c r="R704" s="2" t="n">
        <x:v>37</x:v>
      </x:c>
      <x:c r="S704" s="2" t="str">
        <x:v>Online</x:v>
      </x:c>
      <x:c r="T704" s="2" t="str">
        <x:v>Synced</x:v>
      </x:c>
    </x:row>
    <x:row r="705" ht="21" customHeight="1">
      <x:c r="A705" s="2" t="str">
        <x:v>EV000725</x:v>
      </x:c>
      <x:c r="B705" s="2" t="str">
        <x:v>T20261005-2-2</x:v>
      </x:c>
      <x:c r="C705" s="2" t="str">
        <x:v>ST076</x:v>
      </x:c>
      <x:c r="D705" s="2" t="str">
        <x:v>08979b9eef223b076885fe932d9f2bca</x:v>
      </x:c>
      <x:c r="E705" s="2" t="str">
        <x:v>CHECK_IN</x:v>
      </x:c>
      <x:c r="F705" s="8" t="n">
        <x:v>46300.481423611105</x:v>
      </x:c>
      <x:c r="G705" s="8" t="n">
        <x:v>46300.48144675925</x:v>
      </x:c>
      <x:c r="H705" s="2" t="str">
        <x:v>R2S3</x:v>
      </x:c>
      <x:c r="I705" s="9" t="n">
        <x:v>25.284000000000002</x:v>
      </x:c>
      <x:c r="J705" s="9" t="n">
        <x:v>51.504999999999995</x:v>
      </x:c>
      <x:c r="K705" s="2" t="n">
        <x:v>8</x:v>
      </x:c>
      <x:c r="L705" s="2" t="str">
        <x:v>Valid</x:v>
      </x:c>
      <x:c r="M705" s="2" t="str">
        <x:v>QR</x:v>
      </x:c>
      <x:c r="N705" s="2" t="n">
        <x:v>1</x:v>
      </x:c>
      <x:c r="O705" s="2" t="str">
        <x:v>Accepted</x:v>
      </x:c>
      <x:c r="P705" s="2" t="str">
        <x:v>S002</x:v>
      </x:c>
      <x:c r="Q705" s="2" t="str">
        <x:v>DEV002</x:v>
      </x:c>
      <x:c r="R705" s="2" t="n">
        <x:v>35</x:v>
      </x:c>
      <x:c r="S705" s="2" t="str">
        <x:v>Online</x:v>
      </x:c>
      <x:c r="T705" s="2" t="str">
        <x:v>Synced</x:v>
      </x:c>
    </x:row>
    <x:row r="706" ht="21" customHeight="1">
      <x:c r="A706" s="2" t="str">
        <x:v>EV000885</x:v>
      </x:c>
      <x:c r="B706" s="2" t="str">
        <x:v>T20261005-2-3</x:v>
      </x:c>
      <x:c r="C706" s="2" t="str">
        <x:v>ST116</x:v>
      </x:c>
      <x:c r="D706" s="2" t="str">
        <x:v>1c1fddc89afc564845795907cf1b7b0e</x:v>
      </x:c>
      <x:c r="E706" s="2" t="str">
        <x:v>CHECK_IN</x:v>
      </x:c>
      <x:c r="F706" s="8" t="n">
        <x:v>46300.481423611105</x:v>
      </x:c>
      <x:c r="G706" s="8" t="n">
        <x:v>46300.48144675925</x:v>
      </x:c>
      <x:c r="H706" s="2" t="str">
        <x:v>R3S3</x:v>
      </x:c>
      <x:c r="I706" s="9" t="n">
        <x:v>25.293000000000003</x:v>
      </x:c>
      <x:c r="J706" s="9" t="n">
        <x:v>51.513</x:v>
      </x:c>
      <x:c r="K706" s="2" t="n">
        <x:v>8</x:v>
      </x:c>
      <x:c r="L706" s="2" t="str">
        <x:v>Valid</x:v>
      </x:c>
      <x:c r="M706" s="2" t="str">
        <x:v>QR</x:v>
      </x:c>
      <x:c r="N706" s="2" t="n">
        <x:v>1</x:v>
      </x:c>
      <x:c r="O706" s="2" t="str">
        <x:v>Accepted</x:v>
      </x:c>
      <x:c r="P706" s="2" t="str">
        <x:v>S003</x:v>
      </x:c>
      <x:c r="Q706" s="2" t="str">
        <x:v>DEV003</x:v>
      </x:c>
      <x:c r="R706" s="2" t="n">
        <x:v>37</x:v>
      </x:c>
      <x:c r="S706" s="2" t="str">
        <x:v>Online</x:v>
      </x:c>
      <x:c r="T706" s="2" t="str">
        <x:v>Synced</x:v>
      </x:c>
    </x:row>
    <x:row r="707" ht="21" customHeight="1">
      <x:c r="A707" s="2" t="str">
        <x:v>EV000551</x:v>
      </x:c>
      <x:c r="B707" s="2" t="str">
        <x:v>T20261005-2-1</x:v>
      </x:c>
      <x:c r="C707" s="2" t="str">
        <x:v>ST027</x:v>
      </x:c>
      <x:c r="D707" s="2" t="str">
        <x:v>87868c08c06226359ca5121a9563bb63</x:v>
      </x:c>
      <x:c r="E707" s="2" t="str">
        <x:v>CHECK_IN</x:v>
      </x:c>
      <x:c r="F707" s="8" t="n">
        <x:v>46300.48145833333</x:v>
      </x:c>
      <x:c r="G707" s="8" t="n">
        <x:v>46300.481481481474</x:v>
      </x:c>
      <x:c r="H707" s="2" t="str">
        <x:v>R1S3</x:v>
      </x:c>
      <x:c r="I707" s="9" t="n">
        <x:v>25.275000000000002</x:v>
      </x:c>
      <x:c r="J707" s="9" t="n">
        <x:v>51.497</x:v>
      </x:c>
      <x:c r="K707" s="2" t="n">
        <x:v>8</x:v>
      </x:c>
      <x:c r="L707" s="2" t="str">
        <x:v>Valid</x:v>
      </x:c>
      <x:c r="M707" s="2" t="str">
        <x:v>QR</x:v>
      </x:c>
      <x:c r="N707" s="2" t="n">
        <x:v>1</x:v>
      </x:c>
      <x:c r="O707" s="2" t="str">
        <x:v>Accepted</x:v>
      </x:c>
      <x:c r="P707" s="2" t="str">
        <x:v>S001</x:v>
      </x:c>
      <x:c r="Q707" s="2" t="str">
        <x:v>DEV001</x:v>
      </x:c>
      <x:c r="R707" s="2" t="n">
        <x:v>38</x:v>
      </x:c>
      <x:c r="S707" s="2" t="str">
        <x:v>Online</x:v>
      </x:c>
      <x:c r="T707" s="2" t="str">
        <x:v>Synced</x:v>
      </x:c>
    </x:row>
    <x:row r="708" ht="21" customHeight="1">
      <x:c r="A708" s="2" t="str">
        <x:v>EV000707</x:v>
      </x:c>
      <x:c r="B708" s="2" t="str">
        <x:v>T20261005-2-2</x:v>
      </x:c>
      <x:c r="C708" s="2" t="str">
        <x:v>ST067</x:v>
      </x:c>
      <x:c r="D708" s="2" t="str">
        <x:v>66c3e7b11abae76912fea37c6c7ce00c</x:v>
      </x:c>
      <x:c r="E708" s="2" t="str">
        <x:v>CHECK_IN</x:v>
      </x:c>
      <x:c r="F708" s="8" t="n">
        <x:v>46300.48145833333</x:v>
      </x:c>
      <x:c r="G708" s="8" t="n">
        <x:v>46300.481481481474</x:v>
      </x:c>
      <x:c r="H708" s="2" t="str">
        <x:v>R2S3</x:v>
      </x:c>
      <x:c r="I708" s="9" t="n">
        <x:v>25.284000000000002</x:v>
      </x:c>
      <x:c r="J708" s="9" t="n">
        <x:v>51.504999999999995</x:v>
      </x:c>
      <x:c r="K708" s="2" t="n">
        <x:v>8</x:v>
      </x:c>
      <x:c r="L708" s="2" t="str">
        <x:v>Valid</x:v>
      </x:c>
      <x:c r="M708" s="2" t="str">
        <x:v>QR</x:v>
      </x:c>
      <x:c r="N708" s="2" t="n">
        <x:v>1</x:v>
      </x:c>
      <x:c r="O708" s="2" t="str">
        <x:v>Accepted</x:v>
      </x:c>
      <x:c r="P708" s="2" t="str">
        <x:v>S002</x:v>
      </x:c>
      <x:c r="Q708" s="2" t="str">
        <x:v>DEV002</x:v>
      </x:c>
      <x:c r="R708" s="2" t="n">
        <x:v>36</x:v>
      </x:c>
      <x:c r="S708" s="2" t="str">
        <x:v>Online</x:v>
      </x:c>
      <x:c r="T708" s="2" t="str">
        <x:v>Synced</x:v>
      </x:c>
    </x:row>
    <x:row r="709" ht="21" customHeight="1">
      <x:c r="A709" s="2" t="str">
        <x:v>EV000867</x:v>
      </x:c>
      <x:c r="B709" s="2" t="str">
        <x:v>T20261005-2-3</x:v>
      </x:c>
      <x:c r="C709" s="2" t="str">
        <x:v>ST107</x:v>
      </x:c>
      <x:c r="D709" s="2" t="str">
        <x:v>4a2bb35840a3b4fc7e804e2d710c14f4</x:v>
      </x:c>
      <x:c r="E709" s="2" t="str">
        <x:v>CHECK_IN</x:v>
      </x:c>
      <x:c r="F709" s="8" t="n">
        <x:v>46300.48145833333</x:v>
      </x:c>
      <x:c r="G709" s="8" t="n">
        <x:v>46300.481481481474</x:v>
      </x:c>
      <x:c r="H709" s="2" t="str">
        <x:v>R3S3</x:v>
      </x:c>
      <x:c r="I709" s="9" t="n">
        <x:v>25.293000000000003</x:v>
      </x:c>
      <x:c r="J709" s="9" t="n">
        <x:v>51.513</x:v>
      </x:c>
      <x:c r="K709" s="2" t="n">
        <x:v>8</x:v>
      </x:c>
      <x:c r="L709" s="2" t="str">
        <x:v>Valid</x:v>
      </x:c>
      <x:c r="M709" s="2" t="str">
        <x:v>QR</x:v>
      </x:c>
      <x:c r="N709" s="2" t="n">
        <x:v>1</x:v>
      </x:c>
      <x:c r="O709" s="2" t="str">
        <x:v>Accepted</x:v>
      </x:c>
      <x:c r="P709" s="2" t="str">
        <x:v>S003</x:v>
      </x:c>
      <x:c r="Q709" s="2" t="str">
        <x:v>DEV003</x:v>
      </x:c>
      <x:c r="R709" s="2" t="n">
        <x:v>38</x:v>
      </x:c>
      <x:c r="S709" s="2" t="str">
        <x:v>Online</x:v>
      </x:c>
      <x:c r="T709" s="2" t="str">
        <x:v>Synced</x:v>
      </x:c>
    </x:row>
    <x:row r="710" ht="21" customHeight="1">
      <x:c r="A710" s="2" t="str">
        <x:v>EV000575</x:v>
      </x:c>
      <x:c r="B710" s="2" t="str">
        <x:v>T20261005-2-1</x:v>
      </x:c>
      <x:c r="C710" s="2" t="str">
        <x:v>ST039</x:v>
      </x:c>
      <x:c r="D710" s="2" t="str">
        <x:v>31ed548c9c06f555ac72ac2281bbb58a</x:v>
      </x:c>
      <x:c r="E710" s="2" t="str">
        <x:v>CHECK_IN</x:v>
      </x:c>
      <x:c r="F710" s="8" t="n">
        <x:v>46300.481527777774</x:v>
      </x:c>
      <x:c r="G710" s="8" t="n">
        <x:v>46300.48155092592</x:v>
      </x:c>
      <x:c r="H710" s="2" t="str">
        <x:v>R1S3</x:v>
      </x:c>
      <x:c r="I710" s="9" t="n">
        <x:v>25.275000000000002</x:v>
      </x:c>
      <x:c r="J710" s="9" t="n">
        <x:v>51.497</x:v>
      </x:c>
      <x:c r="K710" s="2" t="n">
        <x:v>8</x:v>
      </x:c>
      <x:c r="L710" s="2" t="str">
        <x:v>Valid</x:v>
      </x:c>
      <x:c r="M710" s="2" t="str">
        <x:v>QR</x:v>
      </x:c>
      <x:c r="N710" s="2" t="n">
        <x:v>1</x:v>
      </x:c>
      <x:c r="O710" s="2" t="str">
        <x:v>Accepted</x:v>
      </x:c>
      <x:c r="P710" s="2" t="str">
        <x:v>S001</x:v>
      </x:c>
      <x:c r="Q710" s="2" t="str">
        <x:v>DEV001</x:v>
      </x:c>
      <x:c r="R710" s="2" t="n">
        <x:v>39</x:v>
      </x:c>
      <x:c r="S710" s="2" t="str">
        <x:v>Online</x:v>
      </x:c>
      <x:c r="T710" s="2" t="str">
        <x:v>Synced</x:v>
      </x:c>
    </x:row>
    <x:row r="711" ht="21" customHeight="1">
      <x:c r="A711" s="2" t="str">
        <x:v>EV000731</x:v>
      </x:c>
      <x:c r="B711" s="2" t="str">
        <x:v>T20261005-2-2</x:v>
      </x:c>
      <x:c r="C711" s="2" t="str">
        <x:v>ST079</x:v>
      </x:c>
      <x:c r="D711" s="2" t="str">
        <x:v>3a794a47ff11773398f2344554eeea57</x:v>
      </x:c>
      <x:c r="E711" s="2" t="str">
        <x:v>CHECK_IN</x:v>
      </x:c>
      <x:c r="F711" s="8" t="n">
        <x:v>46300.481527777774</x:v>
      </x:c>
      <x:c r="G711" s="8" t="n">
        <x:v>46300.48155092592</x:v>
      </x:c>
      <x:c r="H711" s="2" t="str">
        <x:v>R2S3</x:v>
      </x:c>
      <x:c r="I711" s="9" t="n">
        <x:v>25.284000000000002</x:v>
      </x:c>
      <x:c r="J711" s="9" t="n">
        <x:v>51.504999999999995</x:v>
      </x:c>
      <x:c r="K711" s="2" t="n">
        <x:v>8</x:v>
      </x:c>
      <x:c r="L711" s="2" t="str">
        <x:v>Valid</x:v>
      </x:c>
      <x:c r="M711" s="2" t="str">
        <x:v>QR</x:v>
      </x:c>
      <x:c r="N711" s="2" t="n">
        <x:v>1</x:v>
      </x:c>
      <x:c r="O711" s="2" t="str">
        <x:v>Accepted</x:v>
      </x:c>
      <x:c r="P711" s="2" t="str">
        <x:v>S002</x:v>
      </x:c>
      <x:c r="Q711" s="2" t="str">
        <x:v>DEV002</x:v>
      </x:c>
      <x:c r="R711" s="2" t="n">
        <x:v>37</x:v>
      </x:c>
      <x:c r="S711" s="2" t="str">
        <x:v>Online</x:v>
      </x:c>
      <x:c r="T711" s="2" t="str">
        <x:v>Synced</x:v>
      </x:c>
    </x:row>
    <x:row r="712" ht="21" customHeight="1">
      <x:c r="A712" s="2" t="str">
        <x:v>EV000891</x:v>
      </x:c>
      <x:c r="B712" s="2" t="str">
        <x:v>T20261005-2-3</x:v>
      </x:c>
      <x:c r="C712" s="2" t="str">
        <x:v>ST119</x:v>
      </x:c>
      <x:c r="D712" s="2" t="str">
        <x:v>c01a05a48293e3b7c907c4b326c0d0a8</x:v>
      </x:c>
      <x:c r="E712" s="2" t="str">
        <x:v>CHECK_IN</x:v>
      </x:c>
      <x:c r="F712" s="8" t="n">
        <x:v>46300.481527777774</x:v>
      </x:c>
      <x:c r="G712" s="8" t="n">
        <x:v>46300.48155092592</x:v>
      </x:c>
      <x:c r="H712" s="2" t="str">
        <x:v>R3S3</x:v>
      </x:c>
      <x:c r="I712" s="9" t="n">
        <x:v>25.293000000000003</x:v>
      </x:c>
      <x:c r="J712" s="9" t="n">
        <x:v>51.513</x:v>
      </x:c>
      <x:c r="K712" s="2" t="n">
        <x:v>8</x:v>
      </x:c>
      <x:c r="L712" s="2" t="str">
        <x:v>Valid</x:v>
      </x:c>
      <x:c r="M712" s="2" t="str">
        <x:v>QR</x:v>
      </x:c>
      <x:c r="N712" s="2" t="n">
        <x:v>1</x:v>
      </x:c>
      <x:c r="O712" s="2" t="str">
        <x:v>Accepted</x:v>
      </x:c>
      <x:c r="P712" s="2" t="str">
        <x:v>S003</x:v>
      </x:c>
      <x:c r="Q712" s="2" t="str">
        <x:v>DEV003</x:v>
      </x:c>
      <x:c r="R712" s="2" t="n">
        <x:v>39</x:v>
      </x:c>
      <x:c r="S712" s="2" t="str">
        <x:v>Online</x:v>
      </x:c>
      <x:c r="T712" s="2" t="str">
        <x:v>Synced</x:v>
      </x:c>
    </x:row>
    <x:row r="713" ht="21" customHeight="1">
      <x:c r="A713" s="2" t="str">
        <x:v>EV000557</x:v>
      </x:c>
      <x:c r="B713" s="2" t="str">
        <x:v>T20261005-2-1</x:v>
      </x:c>
      <x:c r="C713" s="2" t="str">
        <x:v>ST030</x:v>
      </x:c>
      <x:c r="D713" s="2" t="str">
        <x:v>82585187c31166ddecfc4b31343dde64</x:v>
      </x:c>
      <x:c r="E713" s="2" t="str">
        <x:v>CHECK_IN</x:v>
      </x:c>
      <x:c r="F713" s="8" t="n">
        <x:v>46300.4815625</x:v>
      </x:c>
      <x:c r="G713" s="8" t="n">
        <x:v>46300.481585648144</x:v>
      </x:c>
      <x:c r="H713" s="2" t="str">
        <x:v>R1S3</x:v>
      </x:c>
      <x:c r="I713" s="9" t="n">
        <x:v>25.275000000000002</x:v>
      </x:c>
      <x:c r="J713" s="9" t="n">
        <x:v>51.497</x:v>
      </x:c>
      <x:c r="K713" s="2" t="n">
        <x:v>8</x:v>
      </x:c>
      <x:c r="L713" s="2" t="str">
        <x:v>Valid</x:v>
      </x:c>
      <x:c r="M713" s="2" t="str">
        <x:v>QR</x:v>
      </x:c>
      <x:c r="N713" s="2" t="n">
        <x:v>1</x:v>
      </x:c>
      <x:c r="O713" s="2" t="str">
        <x:v>Accepted</x:v>
      </x:c>
      <x:c r="P713" s="2" t="str">
        <x:v>S001</x:v>
      </x:c>
      <x:c r="Q713" s="2" t="str">
        <x:v>DEV001</x:v>
      </x:c>
      <x:c r="R713" s="2" t="n">
        <x:v>40</x:v>
      </x:c>
      <x:c r="S713" s="2" t="str">
        <x:v>Online</x:v>
      </x:c>
      <x:c r="T713" s="2" t="str">
        <x:v>Synced</x:v>
      </x:c>
    </x:row>
    <x:row r="714" ht="21" customHeight="1">
      <x:c r="A714" s="2" t="str">
        <x:v>EV000713</x:v>
      </x:c>
      <x:c r="B714" s="2" t="str">
        <x:v>T20261005-2-2</x:v>
      </x:c>
      <x:c r="C714" s="2" t="str">
        <x:v>ST070</x:v>
      </x:c>
      <x:c r="D714" s="2" t="str">
        <x:v>12a9f1121533e9d2b6402c68cf852c16</x:v>
      </x:c>
      <x:c r="E714" s="2" t="str">
        <x:v>CHECK_IN</x:v>
      </x:c>
      <x:c r="F714" s="8" t="n">
        <x:v>46300.4815625</x:v>
      </x:c>
      <x:c r="G714" s="8" t="n">
        <x:v>46300.481585648144</x:v>
      </x:c>
      <x:c r="H714" s="2" t="str">
        <x:v>R2S3</x:v>
      </x:c>
      <x:c r="I714" s="9" t="n">
        <x:v>25.284000000000002</x:v>
      </x:c>
      <x:c r="J714" s="9" t="n">
        <x:v>51.504999999999995</x:v>
      </x:c>
      <x:c r="K714" s="2" t="n">
        <x:v>8</x:v>
      </x:c>
      <x:c r="L714" s="2" t="str">
        <x:v>Valid</x:v>
      </x:c>
      <x:c r="M714" s="2" t="str">
        <x:v>QR</x:v>
      </x:c>
      <x:c r="N714" s="2" t="n">
        <x:v>1</x:v>
      </x:c>
      <x:c r="O714" s="2" t="str">
        <x:v>Accepted</x:v>
      </x:c>
      <x:c r="P714" s="2" t="str">
        <x:v>S002</x:v>
      </x:c>
      <x:c r="Q714" s="2" t="str">
        <x:v>DEV002</x:v>
      </x:c>
      <x:c r="R714" s="2" t="n">
        <x:v>38</x:v>
      </x:c>
      <x:c r="S714" s="2" t="str">
        <x:v>Online</x:v>
      </x:c>
      <x:c r="T714" s="2" t="str">
        <x:v>Synced</x:v>
      </x:c>
    </x:row>
    <x:row r="715" ht="21" customHeight="1">
      <x:c r="A715" s="2" t="str">
        <x:v>EV000873</x:v>
      </x:c>
      <x:c r="B715" s="2" t="str">
        <x:v>T20261005-2-3</x:v>
      </x:c>
      <x:c r="C715" s="2" t="str">
        <x:v>ST110</x:v>
      </x:c>
      <x:c r="D715" s="2" t="str">
        <x:v>4382c0cdcda89fb8cc0f5b9fc03b4c51</x:v>
      </x:c>
      <x:c r="E715" s="2" t="str">
        <x:v>CHECK_IN</x:v>
      </x:c>
      <x:c r="F715" s="8" t="n">
        <x:v>46300.4815625</x:v>
      </x:c>
      <x:c r="G715" s="8" t="n">
        <x:v>46300.481585648144</x:v>
      </x:c>
      <x:c r="H715" s="2" t="str">
        <x:v>R3S3</x:v>
      </x:c>
      <x:c r="I715" s="9" t="n">
        <x:v>25.293000000000003</x:v>
      </x:c>
      <x:c r="J715" s="9" t="n">
        <x:v>51.513</x:v>
      </x:c>
      <x:c r="K715" s="2" t="n">
        <x:v>8</x:v>
      </x:c>
      <x:c r="L715" s="2" t="str">
        <x:v>Valid</x:v>
      </x:c>
      <x:c r="M715" s="2" t="str">
        <x:v>QR</x:v>
      </x:c>
      <x:c r="N715" s="2" t="n">
        <x:v>1</x:v>
      </x:c>
      <x:c r="O715" s="2" t="str">
        <x:v>Accepted</x:v>
      </x:c>
      <x:c r="P715" s="2" t="str">
        <x:v>S003</x:v>
      </x:c>
      <x:c r="Q715" s="2" t="str">
        <x:v>DEV003</x:v>
      </x:c>
      <x:c r="R715" s="2" t="n">
        <x:v>40</x:v>
      </x:c>
      <x:c r="S715" s="2" t="str">
        <x:v>Online</x:v>
      </x:c>
      <x:c r="T715" s="2" t="str">
        <x:v>Synced</x:v>
      </x:c>
    </x:row>
    <x:row r="716" ht="21" customHeight="1">
      <x:c r="A716" s="2" t="str">
        <x:v>EV000540</x:v>
      </x:c>
      <x:c r="B716" s="2" t="str">
        <x:v>T20261005-2-1</x:v>
      </x:c>
      <x:c r="C716" s="2" t="str">
        <x:v>ST021</x:v>
      </x:c>
      <x:c r="D716" s="2" t="str">
        <x:v>9b1608e5663d6da53cd805c8051dedd7</x:v>
      </x:c>
      <x:c r="E716" s="2" t="str">
        <x:v>CHECK_OUT</x:v>
      </x:c>
      <x:c r="F716" s="8" t="n">
        <x:v>46300.506250000006</x:v>
      </x:c>
      <x:c r="G716" s="8" t="n">
        <x:v>46300.50627314815</x:v>
      </x:c>
      <x:c r="H716" s="2" t="str">
        <x:v>SCH01</x:v>
      </x:c>
      <x:c r="I716" s="9" t="n">
        <x:v>25.285</x:v>
      </x:c>
      <x:c r="J716" s="9" t="n">
        <x:v>51.51</x:v>
      </x:c>
      <x:c r="K716" s="2" t="n">
        <x:v>8</x:v>
      </x:c>
      <x:c r="L716" s="2" t="str">
        <x:v>Valid</x:v>
      </x:c>
      <x:c r="M716" s="2" t="str">
        <x:v>QR</x:v>
      </x:c>
      <x:c r="N716" s="2" t="n">
        <x:v>1</x:v>
      </x:c>
      <x:c r="O716" s="2" t="str">
        <x:v>Accepted</x:v>
      </x:c>
      <x:c r="P716" s="2" t="str">
        <x:v>S001</x:v>
      </x:c>
      <x:c r="Q716" s="2" t="str">
        <x:v>DEV001</x:v>
      </x:c>
      <x:c r="R716" s="2" t="n">
        <x:v>41</x:v>
      </x:c>
      <x:c r="S716" s="2" t="str">
        <x:v>Online</x:v>
      </x:c>
      <x:c r="T716" s="2" t="str">
        <x:v>Synced</x:v>
      </x:c>
    </x:row>
    <x:row r="717" ht="21" customHeight="1">
      <x:c r="A717" s="2" t="str">
        <x:v>EV000696</x:v>
      </x:c>
      <x:c r="B717" s="2" t="str">
        <x:v>T20261005-2-2</x:v>
      </x:c>
      <x:c r="C717" s="2" t="str">
        <x:v>ST061</x:v>
      </x:c>
      <x:c r="D717" s="2" t="str">
        <x:v>c547cb31f14853ae1f9f2436554d3271</x:v>
      </x:c>
      <x:c r="E717" s="2" t="str">
        <x:v>CHECK_OUT</x:v>
      </x:c>
      <x:c r="F717" s="8" t="n">
        <x:v>46300.506250000006</x:v>
      </x:c>
      <x:c r="G717" s="8" t="n">
        <x:v>46300.50627314815</x:v>
      </x:c>
      <x:c r="H717" s="2" t="str">
        <x:v>SCH01</x:v>
      </x:c>
      <x:c r="I717" s="9" t="n">
        <x:v>25.285</x:v>
      </x:c>
      <x:c r="J717" s="9" t="n">
        <x:v>51.51</x:v>
      </x:c>
      <x:c r="K717" s="2" t="n">
        <x:v>8</x:v>
      </x:c>
      <x:c r="L717" s="2" t="str">
        <x:v>Valid</x:v>
      </x:c>
      <x:c r="M717" s="2" t="str">
        <x:v>QR</x:v>
      </x:c>
      <x:c r="N717" s="2" t="n">
        <x:v>1</x:v>
      </x:c>
      <x:c r="O717" s="2" t="str">
        <x:v>Accepted</x:v>
      </x:c>
      <x:c r="P717" s="2" t="str">
        <x:v>S002</x:v>
      </x:c>
      <x:c r="Q717" s="2" t="str">
        <x:v>DEV002</x:v>
      </x:c>
      <x:c r="R717" s="2" t="n">
        <x:v>39</x:v>
      </x:c>
      <x:c r="S717" s="2" t="str">
        <x:v>Online</x:v>
      </x:c>
      <x:c r="T717" s="2" t="str">
        <x:v>Synced</x:v>
      </x:c>
    </x:row>
    <x:row r="718" ht="21" customHeight="1">
      <x:c r="A718" s="2" t="str">
        <x:v>EV000856</x:v>
      </x:c>
      <x:c r="B718" s="2" t="str">
        <x:v>T20261005-2-3</x:v>
      </x:c>
      <x:c r="C718" s="2" t="str">
        <x:v>ST101</x:v>
      </x:c>
      <x:c r="D718" s="2" t="str">
        <x:v>9f8e180c63d3ff8d3e393db3573884a8</x:v>
      </x:c>
      <x:c r="E718" s="2" t="str">
        <x:v>CHECK_OUT</x:v>
      </x:c>
      <x:c r="F718" s="8" t="n">
        <x:v>46300.506250000006</x:v>
      </x:c>
      <x:c r="G718" s="8" t="n">
        <x:v>46300.50627314815</x:v>
      </x:c>
      <x:c r="H718" s="2" t="str">
        <x:v>SCH01</x:v>
      </x:c>
      <x:c r="I718" s="9" t="n">
        <x:v>25.285</x:v>
      </x:c>
      <x:c r="J718" s="9" t="n">
        <x:v>51.51</x:v>
      </x:c>
      <x:c r="K718" s="2" t="n">
        <x:v>8</x:v>
      </x:c>
      <x:c r="L718" s="2" t="str">
        <x:v>Valid</x:v>
      </x:c>
      <x:c r="M718" s="2" t="str">
        <x:v>QR</x:v>
      </x:c>
      <x:c r="N718" s="2" t="n">
        <x:v>1</x:v>
      </x:c>
      <x:c r="O718" s="2" t="str">
        <x:v>Accepted</x:v>
      </x:c>
      <x:c r="P718" s="2" t="str">
        <x:v>S003</x:v>
      </x:c>
      <x:c r="Q718" s="2" t="str">
        <x:v>DEV003</x:v>
      </x:c>
      <x:c r="R718" s="2" t="n">
        <x:v>41</x:v>
      </x:c>
      <x:c r="S718" s="2" t="str">
        <x:v>Online</x:v>
      </x:c>
      <x:c r="T718" s="2" t="str">
        <x:v>Synced</x:v>
      </x:c>
    </x:row>
    <x:row r="719" ht="21" customHeight="1">
      <x:c r="A719" s="2" t="str">
        <x:v>EV000542</x:v>
      </x:c>
      <x:c r="B719" s="2" t="str">
        <x:v>T20261005-2-1</x:v>
      </x:c>
      <x:c r="C719" s="2" t="str">
        <x:v>ST022</x:v>
      </x:c>
      <x:c r="D719" s="2" t="str">
        <x:v>32e634064d0319251398d392c471332a</x:v>
      </x:c>
      <x:c r="E719" s="2" t="str">
        <x:v>CHECK_OUT</x:v>
      </x:c>
      <x:c r="F719" s="8" t="n">
        <x:v>46300.50628472223</x:v>
      </x:c>
      <x:c r="G719" s="8" t="n">
        <x:v>46300.506307870375</x:v>
      </x:c>
      <x:c r="H719" s="2" t="str">
        <x:v>SCH01</x:v>
      </x:c>
      <x:c r="I719" s="9" t="n">
        <x:v>25.285</x:v>
      </x:c>
      <x:c r="J719" s="9" t="n">
        <x:v>51.51</x:v>
      </x:c>
      <x:c r="K719" s="2" t="n">
        <x:v>8</x:v>
      </x:c>
      <x:c r="L719" s="2" t="str">
        <x:v>Valid</x:v>
      </x:c>
      <x:c r="M719" s="2" t="str">
        <x:v>QR</x:v>
      </x:c>
      <x:c r="N719" s="2" t="n">
        <x:v>1</x:v>
      </x:c>
      <x:c r="O719" s="2" t="str">
        <x:v>Accepted</x:v>
      </x:c>
      <x:c r="P719" s="2" t="str">
        <x:v>S001</x:v>
      </x:c>
      <x:c r="Q719" s="2" t="str">
        <x:v>DEV001</x:v>
      </x:c>
      <x:c r="R719" s="2" t="n">
        <x:v>42</x:v>
      </x:c>
      <x:c r="S719" s="2" t="str">
        <x:v>Online</x:v>
      </x:c>
      <x:c r="T719" s="2" t="str">
        <x:v>Synced</x:v>
      </x:c>
    </x:row>
    <x:row r="720" ht="21" customHeight="1">
      <x:c r="A720" s="2" t="str">
        <x:v>EV000698</x:v>
      </x:c>
      <x:c r="B720" s="2" t="str">
        <x:v>T20261005-2-2</x:v>
      </x:c>
      <x:c r="C720" s="2" t="str">
        <x:v>ST062</x:v>
      </x:c>
      <x:c r="D720" s="2" t="str">
        <x:v>e0ee324a0d8893ba89d7c618ea194e36</x:v>
      </x:c>
      <x:c r="E720" s="2" t="str">
        <x:v>CHECK_OUT</x:v>
      </x:c>
      <x:c r="F720" s="8" t="n">
        <x:v>46300.50628472223</x:v>
      </x:c>
      <x:c r="G720" s="8" t="n">
        <x:v>46300.506307870375</x:v>
      </x:c>
      <x:c r="H720" s="2" t="str">
        <x:v>SCH01</x:v>
      </x:c>
      <x:c r="I720" s="9" t="n">
        <x:v>25.285</x:v>
      </x:c>
      <x:c r="J720" s="9" t="n">
        <x:v>51.51</x:v>
      </x:c>
      <x:c r="K720" s="2" t="n">
        <x:v>8</x:v>
      </x:c>
      <x:c r="L720" s="2" t="str">
        <x:v>Valid</x:v>
      </x:c>
      <x:c r="M720" s="2" t="str">
        <x:v>QR</x:v>
      </x:c>
      <x:c r="N720" s="2" t="n">
        <x:v>1</x:v>
      </x:c>
      <x:c r="O720" s="2" t="str">
        <x:v>Accepted</x:v>
      </x:c>
      <x:c r="P720" s="2" t="str">
        <x:v>S002</x:v>
      </x:c>
      <x:c r="Q720" s="2" t="str">
        <x:v>DEV002</x:v>
      </x:c>
      <x:c r="R720" s="2" t="n">
        <x:v>40</x:v>
      </x:c>
      <x:c r="S720" s="2" t="str">
        <x:v>Online</x:v>
      </x:c>
      <x:c r="T720" s="2" t="str">
        <x:v>Synced</x:v>
      </x:c>
    </x:row>
    <x:row r="721" ht="21" customHeight="1">
      <x:c r="A721" s="2" t="str">
        <x:v>EV000858</x:v>
      </x:c>
      <x:c r="B721" s="2" t="str">
        <x:v>T20261005-2-3</x:v>
      </x:c>
      <x:c r="C721" s="2" t="str">
        <x:v>ST102</x:v>
      </x:c>
      <x:c r="D721" s="2" t="str">
        <x:v>6a90d57a6e4b5aedbdcdc5a29cf018e9</x:v>
      </x:c>
      <x:c r="E721" s="2" t="str">
        <x:v>CHECK_OUT</x:v>
      </x:c>
      <x:c r="F721" s="8" t="n">
        <x:v>46300.50628472223</x:v>
      </x:c>
      <x:c r="G721" s="8" t="n">
        <x:v>46300.506307870375</x:v>
      </x:c>
      <x:c r="H721" s="2" t="str">
        <x:v>SCH01</x:v>
      </x:c>
      <x:c r="I721" s="9" t="n">
        <x:v>25.285</x:v>
      </x:c>
      <x:c r="J721" s="9" t="n">
        <x:v>51.51</x:v>
      </x:c>
      <x:c r="K721" s="2" t="n">
        <x:v>8</x:v>
      </x:c>
      <x:c r="L721" s="2" t="str">
        <x:v>Valid</x:v>
      </x:c>
      <x:c r="M721" s="2" t="str">
        <x:v>QR</x:v>
      </x:c>
      <x:c r="N721" s="2" t="n">
        <x:v>1</x:v>
      </x:c>
      <x:c r="O721" s="2" t="str">
        <x:v>Accepted</x:v>
      </x:c>
      <x:c r="P721" s="2" t="str">
        <x:v>S003</x:v>
      </x:c>
      <x:c r="Q721" s="2" t="str">
        <x:v>DEV003</x:v>
      </x:c>
      <x:c r="R721" s="2" t="n">
        <x:v>42</x:v>
      </x:c>
      <x:c r="S721" s="2" t="str">
        <x:v>Online</x:v>
      </x:c>
      <x:c r="T721" s="2" t="str">
        <x:v>Synced</x:v>
      </x:c>
    </x:row>
    <x:row r="722" ht="21" customHeight="1">
      <x:c r="A722" s="2" t="str">
        <x:v>EV000544</x:v>
      </x:c>
      <x:c r="B722" s="2" t="str">
        <x:v>T20261005-2-1</x:v>
      </x:c>
      <x:c r="C722" s="2" t="str">
        <x:v>ST023</x:v>
      </x:c>
      <x:c r="D722" s="2" t="str">
        <x:v>1836074fce688580737a08d14a26fa79</x:v>
      </x:c>
      <x:c r="E722" s="2" t="str">
        <x:v>CHECK_OUT</x:v>
      </x:c>
      <x:c r="F722" s="8" t="n">
        <x:v>46300.506319444445</x:v>
      </x:c>
      <x:c r="G722" s="8" t="n">
        <x:v>46300.50634259259</x:v>
      </x:c>
      <x:c r="H722" s="2" t="str">
        <x:v>SCH01</x:v>
      </x:c>
      <x:c r="I722" s="9" t="n">
        <x:v>25.285</x:v>
      </x:c>
      <x:c r="J722" s="9" t="n">
        <x:v>51.51</x:v>
      </x:c>
      <x:c r="K722" s="2" t="n">
        <x:v>8</x:v>
      </x:c>
      <x:c r="L722" s="2" t="str">
        <x:v>Valid</x:v>
      </x:c>
      <x:c r="M722" s="2" t="str">
        <x:v>QR</x:v>
      </x:c>
      <x:c r="N722" s="2" t="n">
        <x:v>1</x:v>
      </x:c>
      <x:c r="O722" s="2" t="str">
        <x:v>Accepted</x:v>
      </x:c>
      <x:c r="P722" s="2" t="str">
        <x:v>S001</x:v>
      </x:c>
      <x:c r="Q722" s="2" t="str">
        <x:v>DEV001</x:v>
      </x:c>
      <x:c r="R722" s="2" t="n">
        <x:v>43</x:v>
      </x:c>
      <x:c r="S722" s="2" t="str">
        <x:v>Online</x:v>
      </x:c>
      <x:c r="T722" s="2" t="str">
        <x:v>Synced</x:v>
      </x:c>
    </x:row>
    <x:row r="723" ht="21" customHeight="1">
      <x:c r="A723" s="2" t="str">
        <x:v>EV000700</x:v>
      </x:c>
      <x:c r="B723" s="2" t="str">
        <x:v>T20261005-2-2</x:v>
      </x:c>
      <x:c r="C723" s="2" t="str">
        <x:v>ST063</x:v>
      </x:c>
      <x:c r="D723" s="2" t="str">
        <x:v>46a3e8e97cbe04af0173a75d9cdbcebf</x:v>
      </x:c>
      <x:c r="E723" s="2" t="str">
        <x:v>CHECK_OUT</x:v>
      </x:c>
      <x:c r="F723" s="8" t="n">
        <x:v>46300.506319444445</x:v>
      </x:c>
      <x:c r="G723" s="8" t="n">
        <x:v>46300.50634259259</x:v>
      </x:c>
      <x:c r="H723" s="2" t="str">
        <x:v>SCH01</x:v>
      </x:c>
      <x:c r="I723" s="9" t="n">
        <x:v>25.285</x:v>
      </x:c>
      <x:c r="J723" s="9" t="n">
        <x:v>51.51</x:v>
      </x:c>
      <x:c r="K723" s="2" t="n">
        <x:v>8</x:v>
      </x:c>
      <x:c r="L723" s="2" t="str">
        <x:v>Valid</x:v>
      </x:c>
      <x:c r="M723" s="2" t="str">
        <x:v>QR</x:v>
      </x:c>
      <x:c r="N723" s="2" t="n">
        <x:v>1</x:v>
      </x:c>
      <x:c r="O723" s="2" t="str">
        <x:v>Accepted</x:v>
      </x:c>
      <x:c r="P723" s="2" t="str">
        <x:v>S002</x:v>
      </x:c>
      <x:c r="Q723" s="2" t="str">
        <x:v>DEV002</x:v>
      </x:c>
      <x:c r="R723" s="2" t="n">
        <x:v>41</x:v>
      </x:c>
      <x:c r="S723" s="2" t="str">
        <x:v>Online</x:v>
      </x:c>
      <x:c r="T723" s="2" t="str">
        <x:v>Synced</x:v>
      </x:c>
    </x:row>
    <x:row r="724" ht="21" customHeight="1">
      <x:c r="A724" s="2" t="str">
        <x:v>EV000860</x:v>
      </x:c>
      <x:c r="B724" s="2" t="str">
        <x:v>T20261005-2-3</x:v>
      </x:c>
      <x:c r="C724" s="2" t="str">
        <x:v>ST103</x:v>
      </x:c>
      <x:c r="D724" s="2" t="str">
        <x:v>5982cfca835e14d82ed8b6562c1a172d</x:v>
      </x:c>
      <x:c r="E724" s="2" t="str">
        <x:v>CHECK_OUT</x:v>
      </x:c>
      <x:c r="F724" s="8" t="n">
        <x:v>46300.506319444445</x:v>
      </x:c>
      <x:c r="G724" s="8" t="n">
        <x:v>46300.50634259259</x:v>
      </x:c>
      <x:c r="H724" s="2" t="str">
        <x:v>SCH01</x:v>
      </x:c>
      <x:c r="I724" s="9" t="n">
        <x:v>25.285</x:v>
      </x:c>
      <x:c r="J724" s="9" t="n">
        <x:v>51.51</x:v>
      </x:c>
      <x:c r="K724" s="2" t="n">
        <x:v>8</x:v>
      </x:c>
      <x:c r="L724" s="2" t="str">
        <x:v>Valid</x:v>
      </x:c>
      <x:c r="M724" s="2" t="str">
        <x:v>QR</x:v>
      </x:c>
      <x:c r="N724" s="2" t="n">
        <x:v>1</x:v>
      </x:c>
      <x:c r="O724" s="2" t="str">
        <x:v>Accepted</x:v>
      </x:c>
      <x:c r="P724" s="2" t="str">
        <x:v>S003</x:v>
      </x:c>
      <x:c r="Q724" s="2" t="str">
        <x:v>DEV003</x:v>
      </x:c>
      <x:c r="R724" s="2" t="n">
        <x:v>43</x:v>
      </x:c>
      <x:c r="S724" s="2" t="str">
        <x:v>Online</x:v>
      </x:c>
      <x:c r="T724" s="2" t="str">
        <x:v>Synced</x:v>
      </x:c>
    </x:row>
    <x:row r="725" ht="21" customHeight="1">
      <x:c r="A725" s="2" t="str">
        <x:v>EV000546</x:v>
      </x:c>
      <x:c r="B725" s="2" t="str">
        <x:v>T20261005-2-1</x:v>
      </x:c>
      <x:c r="C725" s="2" t="str">
        <x:v>ST024</x:v>
      </x:c>
      <x:c r="D725" s="2" t="str">
        <x:v>df785f1577b8ee7f71835020d03a12a6</x:v>
      </x:c>
      <x:c r="E725" s="2" t="str">
        <x:v>CHECK_OUT</x:v>
      </x:c>
      <x:c r="F725" s="8" t="n">
        <x:v>46300.50635416667</x:v>
      </x:c>
      <x:c r="G725" s="8" t="n">
        <x:v>46300.506377314814</x:v>
      </x:c>
      <x:c r="H725" s="2" t="str">
        <x:v>SCH01</x:v>
      </x:c>
      <x:c r="I725" s="9" t="n">
        <x:v>25.285</x:v>
      </x:c>
      <x:c r="J725" s="9" t="n">
        <x:v>51.51</x:v>
      </x:c>
      <x:c r="K725" s="2" t="n">
        <x:v>8</x:v>
      </x:c>
      <x:c r="L725" s="2" t="str">
        <x:v>Valid</x:v>
      </x:c>
      <x:c r="M725" s="2" t="str">
        <x:v>QR</x:v>
      </x:c>
      <x:c r="N725" s="2" t="n">
        <x:v>1</x:v>
      </x:c>
      <x:c r="O725" s="2" t="str">
        <x:v>Accepted</x:v>
      </x:c>
      <x:c r="P725" s="2" t="str">
        <x:v>S001</x:v>
      </x:c>
      <x:c r="Q725" s="2" t="str">
        <x:v>DEV001</x:v>
      </x:c>
      <x:c r="R725" s="2" t="n">
        <x:v>44</x:v>
      </x:c>
      <x:c r="S725" s="2" t="str">
        <x:v>Online</x:v>
      </x:c>
      <x:c r="T725" s="2" t="str">
        <x:v>Synced</x:v>
      </x:c>
    </x:row>
    <x:row r="726" ht="21" customHeight="1">
      <x:c r="A726" s="2" t="str">
        <x:v>EV000702</x:v>
      </x:c>
      <x:c r="B726" s="2" t="str">
        <x:v>T20261005-2-2</x:v>
      </x:c>
      <x:c r="C726" s="2" t="str">
        <x:v>ST064</x:v>
      </x:c>
      <x:c r="D726" s="2" t="str">
        <x:v>80debd99a6cfe1ca0800304796fd69ff</x:v>
      </x:c>
      <x:c r="E726" s="2" t="str">
        <x:v>CHECK_OUT</x:v>
      </x:c>
      <x:c r="F726" s="8" t="n">
        <x:v>46300.50635416667</x:v>
      </x:c>
      <x:c r="G726" s="8" t="n">
        <x:v>46300.506377314814</x:v>
      </x:c>
      <x:c r="H726" s="2" t="str">
        <x:v>SCH01</x:v>
      </x:c>
      <x:c r="I726" s="9" t="n">
        <x:v>25.285</x:v>
      </x:c>
      <x:c r="J726" s="9" t="n">
        <x:v>51.51</x:v>
      </x:c>
      <x:c r="K726" s="2" t="n">
        <x:v>8</x:v>
      </x:c>
      <x:c r="L726" s="2" t="str">
        <x:v>Valid</x:v>
      </x:c>
      <x:c r="M726" s="2" t="str">
        <x:v>QR</x:v>
      </x:c>
      <x:c r="N726" s="2" t="n">
        <x:v>1</x:v>
      </x:c>
      <x:c r="O726" s="2" t="str">
        <x:v>Accepted</x:v>
      </x:c>
      <x:c r="P726" s="2" t="str">
        <x:v>S002</x:v>
      </x:c>
      <x:c r="Q726" s="2" t="str">
        <x:v>DEV002</x:v>
      </x:c>
      <x:c r="R726" s="2" t="n">
        <x:v>42</x:v>
      </x:c>
      <x:c r="S726" s="2" t="str">
        <x:v>Online</x:v>
      </x:c>
      <x:c r="T726" s="2" t="str">
        <x:v>Synced</x:v>
      </x:c>
    </x:row>
    <x:row r="727" ht="21" customHeight="1">
      <x:c r="A727" s="2" t="str">
        <x:v>EV000862</x:v>
      </x:c>
      <x:c r="B727" s="2" t="str">
        <x:v>T20261005-2-3</x:v>
      </x:c>
      <x:c r="C727" s="2" t="str">
        <x:v>ST104</x:v>
      </x:c>
      <x:c r="D727" s="2" t="str">
        <x:v>12167381f9b78201d830c40ef6208ce4</x:v>
      </x:c>
      <x:c r="E727" s="2" t="str">
        <x:v>CHECK_OUT</x:v>
      </x:c>
      <x:c r="F727" s="8" t="n">
        <x:v>46300.50635416667</x:v>
      </x:c>
      <x:c r="G727" s="8" t="n">
        <x:v>46300.506377314814</x:v>
      </x:c>
      <x:c r="H727" s="2" t="str">
        <x:v>SCH01</x:v>
      </x:c>
      <x:c r="I727" s="9" t="n">
        <x:v>25.285</x:v>
      </x:c>
      <x:c r="J727" s="9" t="n">
        <x:v>51.51</x:v>
      </x:c>
      <x:c r="K727" s="2" t="n">
        <x:v>8</x:v>
      </x:c>
      <x:c r="L727" s="2" t="str">
        <x:v>Valid</x:v>
      </x:c>
      <x:c r="M727" s="2" t="str">
        <x:v>QR</x:v>
      </x:c>
      <x:c r="N727" s="2" t="n">
        <x:v>1</x:v>
      </x:c>
      <x:c r="O727" s="2" t="str">
        <x:v>Accepted</x:v>
      </x:c>
      <x:c r="P727" s="2" t="str">
        <x:v>S003</x:v>
      </x:c>
      <x:c r="Q727" s="2" t="str">
        <x:v>DEV003</x:v>
      </x:c>
      <x:c r="R727" s="2" t="n">
        <x:v>44</x:v>
      </x:c>
      <x:c r="S727" s="2" t="str">
        <x:v>Online</x:v>
      </x:c>
      <x:c r="T727" s="2" t="str">
        <x:v>Synced</x:v>
      </x:c>
    </x:row>
    <x:row r="728" ht="21" customHeight="1">
      <x:c r="A728" s="2" t="str">
        <x:v>EV000548</x:v>
      </x:c>
      <x:c r="B728" s="2" t="str">
        <x:v>T20261005-2-1</x:v>
      </x:c>
      <x:c r="C728" s="2" t="str">
        <x:v>ST025</x:v>
      </x:c>
      <x:c r="D728" s="2" t="str">
        <x:v>caea48c43f4ccfa85999e7cb546cd774</x:v>
      </x:c>
      <x:c r="E728" s="2" t="str">
        <x:v>CHECK_OUT</x:v>
      </x:c>
      <x:c r="F728" s="8" t="n">
        <x:v>46300.50638888889</x:v>
      </x:c>
      <x:c r="G728" s="8" t="n">
        <x:v>46300.50641203704</x:v>
      </x:c>
      <x:c r="H728" s="2" t="str">
        <x:v>SCH01</x:v>
      </x:c>
      <x:c r="I728" s="9" t="n">
        <x:v>25.285</x:v>
      </x:c>
      <x:c r="J728" s="9" t="n">
        <x:v>51.51</x:v>
      </x:c>
      <x:c r="K728" s="2" t="n">
        <x:v>8</x:v>
      </x:c>
      <x:c r="L728" s="2" t="str">
        <x:v>Valid</x:v>
      </x:c>
      <x:c r="M728" s="2" t="str">
        <x:v>QR</x:v>
      </x:c>
      <x:c r="N728" s="2" t="n">
        <x:v>1</x:v>
      </x:c>
      <x:c r="O728" s="2" t="str">
        <x:v>Accepted</x:v>
      </x:c>
      <x:c r="P728" s="2" t="str">
        <x:v>S001</x:v>
      </x:c>
      <x:c r="Q728" s="2" t="str">
        <x:v>DEV001</x:v>
      </x:c>
      <x:c r="R728" s="2" t="n">
        <x:v>45</x:v>
      </x:c>
      <x:c r="S728" s="2" t="str">
        <x:v>Online</x:v>
      </x:c>
      <x:c r="T728" s="2" t="str">
        <x:v>Synced</x:v>
      </x:c>
    </x:row>
    <x:row r="729" ht="21" customHeight="1">
      <x:c r="A729" s="2" t="str">
        <x:v>EV000704</x:v>
      </x:c>
      <x:c r="B729" s="2" t="str">
        <x:v>T20261005-2-2</x:v>
      </x:c>
      <x:c r="C729" s="2" t="str">
        <x:v>ST065</x:v>
      </x:c>
      <x:c r="D729" s="2" t="str">
        <x:v>6b379c82348acc8be3e0d247197a20bf</x:v>
      </x:c>
      <x:c r="E729" s="2" t="str">
        <x:v>CHECK_OUT</x:v>
      </x:c>
      <x:c r="F729" s="8" t="n">
        <x:v>46300.50638888889</x:v>
      </x:c>
      <x:c r="G729" s="8" t="n">
        <x:v>46300.50641203704</x:v>
      </x:c>
      <x:c r="H729" s="2" t="str">
        <x:v>SCH01</x:v>
      </x:c>
      <x:c r="I729" s="9" t="n">
        <x:v>25.285</x:v>
      </x:c>
      <x:c r="J729" s="9" t="n">
        <x:v>51.51</x:v>
      </x:c>
      <x:c r="K729" s="2" t="n">
        <x:v>8</x:v>
      </x:c>
      <x:c r="L729" s="2" t="str">
        <x:v>Valid</x:v>
      </x:c>
      <x:c r="M729" s="2" t="str">
        <x:v>QR</x:v>
      </x:c>
      <x:c r="N729" s="2" t="n">
        <x:v>1</x:v>
      </x:c>
      <x:c r="O729" s="2" t="str">
        <x:v>Accepted</x:v>
      </x:c>
      <x:c r="P729" s="2" t="str">
        <x:v>S002</x:v>
      </x:c>
      <x:c r="Q729" s="2" t="str">
        <x:v>DEV002</x:v>
      </x:c>
      <x:c r="R729" s="2" t="n">
        <x:v>43</x:v>
      </x:c>
      <x:c r="S729" s="2" t="str">
        <x:v>Online</x:v>
      </x:c>
      <x:c r="T729" s="2" t="str">
        <x:v>Synced</x:v>
      </x:c>
    </x:row>
    <x:row r="730" ht="21" customHeight="1">
      <x:c r="A730" s="2" t="str">
        <x:v>EV000864</x:v>
      </x:c>
      <x:c r="B730" s="2" t="str">
        <x:v>T20261005-2-3</x:v>
      </x:c>
      <x:c r="C730" s="2" t="str">
        <x:v>ST105</x:v>
      </x:c>
      <x:c r="D730" s="2" t="str">
        <x:v>bbd3ba75eaabf5ca3acef3823a75d885</x:v>
      </x:c>
      <x:c r="E730" s="2" t="str">
        <x:v>CHECK_OUT</x:v>
      </x:c>
      <x:c r="F730" s="8" t="n">
        <x:v>46300.50638888889</x:v>
      </x:c>
      <x:c r="G730" s="8" t="n">
        <x:v>46300.50641203704</x:v>
      </x:c>
      <x:c r="H730" s="2" t="str">
        <x:v>SCH01</x:v>
      </x:c>
      <x:c r="I730" s="9" t="n">
        <x:v>25.285</x:v>
      </x:c>
      <x:c r="J730" s="9" t="n">
        <x:v>51.51</x:v>
      </x:c>
      <x:c r="K730" s="2" t="n">
        <x:v>8</x:v>
      </x:c>
      <x:c r="L730" s="2" t="str">
        <x:v>Valid</x:v>
      </x:c>
      <x:c r="M730" s="2" t="str">
        <x:v>QR</x:v>
      </x:c>
      <x:c r="N730" s="2" t="n">
        <x:v>1</x:v>
      </x:c>
      <x:c r="O730" s="2" t="str">
        <x:v>Accepted</x:v>
      </x:c>
      <x:c r="P730" s="2" t="str">
        <x:v>S003</x:v>
      </x:c>
      <x:c r="Q730" s="2" t="str">
        <x:v>DEV003</x:v>
      </x:c>
      <x:c r="R730" s="2" t="n">
        <x:v>45</x:v>
      </x:c>
      <x:c r="S730" s="2" t="str">
        <x:v>Online</x:v>
      </x:c>
      <x:c r="T730" s="2" t="str">
        <x:v>Synced</x:v>
      </x:c>
    </x:row>
    <x:row r="731" ht="21" customHeight="1">
      <x:c r="A731" s="2" t="str">
        <x:v>EV000550</x:v>
      </x:c>
      <x:c r="B731" s="2" t="str">
        <x:v>T20261005-2-1</x:v>
      </x:c>
      <x:c r="C731" s="2" t="str">
        <x:v>ST026</x:v>
      </x:c>
      <x:c r="D731" s="2" t="str">
        <x:v>56aea196eabcf09e1199afbd5e8907b0</x:v>
      </x:c>
      <x:c r="E731" s="2" t="str">
        <x:v>CHECK_OUT</x:v>
      </x:c>
      <x:c r="F731" s="8" t="n">
        <x:v>46300.506423611114</x:v>
      </x:c>
      <x:c r="G731" s="8" t="n">
        <x:v>46300.50644675926</x:v>
      </x:c>
      <x:c r="H731" s="2" t="str">
        <x:v>SCH01</x:v>
      </x:c>
      <x:c r="I731" s="9" t="n">
        <x:v>25.285</x:v>
      </x:c>
      <x:c r="J731" s="9" t="n">
        <x:v>51.51</x:v>
      </x:c>
      <x:c r="K731" s="2" t="n">
        <x:v>8</x:v>
      </x:c>
      <x:c r="L731" s="2" t="str">
        <x:v>Valid</x:v>
      </x:c>
      <x:c r="M731" s="2" t="str">
        <x:v>QR</x:v>
      </x:c>
      <x:c r="N731" s="2" t="n">
        <x:v>1</x:v>
      </x:c>
      <x:c r="O731" s="2" t="str">
        <x:v>Accepted</x:v>
      </x:c>
      <x:c r="P731" s="2" t="str">
        <x:v>S001</x:v>
      </x:c>
      <x:c r="Q731" s="2" t="str">
        <x:v>DEV001</x:v>
      </x:c>
      <x:c r="R731" s="2" t="n">
        <x:v>46</x:v>
      </x:c>
      <x:c r="S731" s="2" t="str">
        <x:v>Online</x:v>
      </x:c>
      <x:c r="T731" s="2" t="str">
        <x:v>Synced</x:v>
      </x:c>
    </x:row>
    <x:row r="732" ht="21" customHeight="1">
      <x:c r="A732" s="2" t="str">
        <x:v>EV000706</x:v>
      </x:c>
      <x:c r="B732" s="2" t="str">
        <x:v>T20261005-2-2</x:v>
      </x:c>
      <x:c r="C732" s="2" t="str">
        <x:v>ST066</x:v>
      </x:c>
      <x:c r="D732" s="2" t="str">
        <x:v>f1ae8019085f4d0a77552e53fdc22aa7</x:v>
      </x:c>
      <x:c r="E732" s="2" t="str">
        <x:v>CHECK_OUT</x:v>
      </x:c>
      <x:c r="F732" s="8" t="n">
        <x:v>46300.506423611114</x:v>
      </x:c>
      <x:c r="G732" s="8" t="n">
        <x:v>46300.50644675926</x:v>
      </x:c>
      <x:c r="H732" s="2" t="str">
        <x:v>SCH01</x:v>
      </x:c>
      <x:c r="I732" s="9" t="n">
        <x:v>25.285</x:v>
      </x:c>
      <x:c r="J732" s="9" t="n">
        <x:v>51.51</x:v>
      </x:c>
      <x:c r="K732" s="2" t="n">
        <x:v>8</x:v>
      </x:c>
      <x:c r="L732" s="2" t="str">
        <x:v>Valid</x:v>
      </x:c>
      <x:c r="M732" s="2" t="str">
        <x:v>QR</x:v>
      </x:c>
      <x:c r="N732" s="2" t="n">
        <x:v>1</x:v>
      </x:c>
      <x:c r="O732" s="2" t="str">
        <x:v>Accepted</x:v>
      </x:c>
      <x:c r="P732" s="2" t="str">
        <x:v>S002</x:v>
      </x:c>
      <x:c r="Q732" s="2" t="str">
        <x:v>DEV002</x:v>
      </x:c>
      <x:c r="R732" s="2" t="n">
        <x:v>44</x:v>
      </x:c>
      <x:c r="S732" s="2" t="str">
        <x:v>Online</x:v>
      </x:c>
      <x:c r="T732" s="2" t="str">
        <x:v>Synced</x:v>
      </x:c>
    </x:row>
    <x:row r="733" ht="21" customHeight="1">
      <x:c r="A733" s="2" t="str">
        <x:v>EV000866</x:v>
      </x:c>
      <x:c r="B733" s="2" t="str">
        <x:v>T20261005-2-3</x:v>
      </x:c>
      <x:c r="C733" s="2" t="str">
        <x:v>ST106</x:v>
      </x:c>
      <x:c r="D733" s="2" t="str">
        <x:v>9bd191644f26d4fc266418c96f36f10b</x:v>
      </x:c>
      <x:c r="E733" s="2" t="str">
        <x:v>CHECK_OUT</x:v>
      </x:c>
      <x:c r="F733" s="8" t="n">
        <x:v>46300.506423611114</x:v>
      </x:c>
      <x:c r="G733" s="8" t="n">
        <x:v>46300.50644675926</x:v>
      </x:c>
      <x:c r="H733" s="2" t="str">
        <x:v>SCH01</x:v>
      </x:c>
      <x:c r="I733" s="9" t="n">
        <x:v>25.285</x:v>
      </x:c>
      <x:c r="J733" s="9" t="n">
        <x:v>51.51</x:v>
      </x:c>
      <x:c r="K733" s="2" t="n">
        <x:v>8</x:v>
      </x:c>
      <x:c r="L733" s="2" t="str">
        <x:v>Valid</x:v>
      </x:c>
      <x:c r="M733" s="2" t="str">
        <x:v>QR</x:v>
      </x:c>
      <x:c r="N733" s="2" t="n">
        <x:v>1</x:v>
      </x:c>
      <x:c r="O733" s="2" t="str">
        <x:v>Accepted</x:v>
      </x:c>
      <x:c r="P733" s="2" t="str">
        <x:v>S003</x:v>
      </x:c>
      <x:c r="Q733" s="2" t="str">
        <x:v>DEV003</x:v>
      </x:c>
      <x:c r="R733" s="2" t="n">
        <x:v>46</x:v>
      </x:c>
      <x:c r="S733" s="2" t="str">
        <x:v>Online</x:v>
      </x:c>
      <x:c r="T733" s="2" t="str">
        <x:v>Synced</x:v>
      </x:c>
    </x:row>
    <x:row r="734" ht="21" customHeight="1">
      <x:c r="A734" s="2" t="str">
        <x:v>EV000552</x:v>
      </x:c>
      <x:c r="B734" s="2" t="str">
        <x:v>T20261005-2-1</x:v>
      </x:c>
      <x:c r="C734" s="2" t="str">
        <x:v>ST027</x:v>
      </x:c>
      <x:c r="D734" s="2" t="str">
        <x:v>87868c08c06226359ca5121a9563bb63</x:v>
      </x:c>
      <x:c r="E734" s="2" t="str">
        <x:v>CHECK_OUT</x:v>
      </x:c>
      <x:c r="F734" s="8" t="n">
        <x:v>46300.50645833334</x:v>
      </x:c>
      <x:c r="G734" s="8" t="n">
        <x:v>46300.50648148148</x:v>
      </x:c>
      <x:c r="H734" s="2" t="str">
        <x:v>SCH01</x:v>
      </x:c>
      <x:c r="I734" s="9" t="n">
        <x:v>25.285</x:v>
      </x:c>
      <x:c r="J734" s="9" t="n">
        <x:v>51.51</x:v>
      </x:c>
      <x:c r="K734" s="2" t="n">
        <x:v>8</x:v>
      </x:c>
      <x:c r="L734" s="2" t="str">
        <x:v>Valid</x:v>
      </x:c>
      <x:c r="M734" s="2" t="str">
        <x:v>QR</x:v>
      </x:c>
      <x:c r="N734" s="2" t="n">
        <x:v>1</x:v>
      </x:c>
      <x:c r="O734" s="2" t="str">
        <x:v>Accepted</x:v>
      </x:c>
      <x:c r="P734" s="2" t="str">
        <x:v>S001</x:v>
      </x:c>
      <x:c r="Q734" s="2" t="str">
        <x:v>DEV001</x:v>
      </x:c>
      <x:c r="R734" s="2" t="n">
        <x:v>47</x:v>
      </x:c>
      <x:c r="S734" s="2" t="str">
        <x:v>Online</x:v>
      </x:c>
      <x:c r="T734" s="2" t="str">
        <x:v>Synced</x:v>
      </x:c>
    </x:row>
    <x:row r="735" ht="21" customHeight="1">
      <x:c r="A735" s="2" t="str">
        <x:v>EV000708</x:v>
      </x:c>
      <x:c r="B735" s="2" t="str">
        <x:v>T20261005-2-2</x:v>
      </x:c>
      <x:c r="C735" s="2" t="str">
        <x:v>ST067</x:v>
      </x:c>
      <x:c r="D735" s="2" t="str">
        <x:v>66c3e7b11abae76912fea37c6c7ce00c</x:v>
      </x:c>
      <x:c r="E735" s="2" t="str">
        <x:v>CHECK_OUT</x:v>
      </x:c>
      <x:c r="F735" s="8" t="n">
        <x:v>46300.50645833334</x:v>
      </x:c>
      <x:c r="G735" s="8" t="n">
        <x:v>46300.50648148148</x:v>
      </x:c>
      <x:c r="H735" s="2" t="str">
        <x:v>SCH01</x:v>
      </x:c>
      <x:c r="I735" s="9" t="n">
        <x:v>25.285</x:v>
      </x:c>
      <x:c r="J735" s="9" t="n">
        <x:v>51.51</x:v>
      </x:c>
      <x:c r="K735" s="2" t="n">
        <x:v>8</x:v>
      </x:c>
      <x:c r="L735" s="2" t="str">
        <x:v>Valid</x:v>
      </x:c>
      <x:c r="M735" s="2" t="str">
        <x:v>QR</x:v>
      </x:c>
      <x:c r="N735" s="2" t="n">
        <x:v>1</x:v>
      </x:c>
      <x:c r="O735" s="2" t="str">
        <x:v>Accepted</x:v>
      </x:c>
      <x:c r="P735" s="2" t="str">
        <x:v>S002</x:v>
      </x:c>
      <x:c r="Q735" s="2" t="str">
        <x:v>DEV002</x:v>
      </x:c>
      <x:c r="R735" s="2" t="n">
        <x:v>45</x:v>
      </x:c>
      <x:c r="S735" s="2" t="str">
        <x:v>Online</x:v>
      </x:c>
      <x:c r="T735" s="2" t="str">
        <x:v>Synced</x:v>
      </x:c>
    </x:row>
    <x:row r="736" ht="21" customHeight="1">
      <x:c r="A736" s="2" t="str">
        <x:v>EV000868</x:v>
      </x:c>
      <x:c r="B736" s="2" t="str">
        <x:v>T20261005-2-3</x:v>
      </x:c>
      <x:c r="C736" s="2" t="str">
        <x:v>ST107</x:v>
      </x:c>
      <x:c r="D736" s="2" t="str">
        <x:v>4a2bb35840a3b4fc7e804e2d710c14f4</x:v>
      </x:c>
      <x:c r="E736" s="2" t="str">
        <x:v>CHECK_OUT</x:v>
      </x:c>
      <x:c r="F736" s="8" t="n">
        <x:v>46300.50645833334</x:v>
      </x:c>
      <x:c r="G736" s="8" t="n">
        <x:v>46300.50648148148</x:v>
      </x:c>
      <x:c r="H736" s="2" t="str">
        <x:v>SCH01</x:v>
      </x:c>
      <x:c r="I736" s="9" t="n">
        <x:v>25.285</x:v>
      </x:c>
      <x:c r="J736" s="9" t="n">
        <x:v>51.51</x:v>
      </x:c>
      <x:c r="K736" s="2" t="n">
        <x:v>8</x:v>
      </x:c>
      <x:c r="L736" s="2" t="str">
        <x:v>Valid</x:v>
      </x:c>
      <x:c r="M736" s="2" t="str">
        <x:v>QR</x:v>
      </x:c>
      <x:c r="N736" s="2" t="n">
        <x:v>1</x:v>
      </x:c>
      <x:c r="O736" s="2" t="str">
        <x:v>Accepted</x:v>
      </x:c>
      <x:c r="P736" s="2" t="str">
        <x:v>S003</x:v>
      </x:c>
      <x:c r="Q736" s="2" t="str">
        <x:v>DEV003</x:v>
      </x:c>
      <x:c r="R736" s="2" t="n">
        <x:v>47</x:v>
      </x:c>
      <x:c r="S736" s="2" t="str">
        <x:v>Online</x:v>
      </x:c>
      <x:c r="T736" s="2" t="str">
        <x:v>Synced</x:v>
      </x:c>
    </x:row>
    <x:row r="737" ht="21" customHeight="1">
      <x:c r="A737" s="2" t="str">
        <x:v>EV000554</x:v>
      </x:c>
      <x:c r="B737" s="2" t="str">
        <x:v>T20261005-2-1</x:v>
      </x:c>
      <x:c r="C737" s="2" t="str">
        <x:v>ST028</x:v>
      </x:c>
      <x:c r="D737" s="2" t="str">
        <x:v>af9ca502f5a3f54f1f44ea6d11afd24b</x:v>
      </x:c>
      <x:c r="E737" s="2" t="str">
        <x:v>CHECK_OUT</x:v>
      </x:c>
      <x:c r="F737" s="8" t="n">
        <x:v>46300.50649305556</x:v>
      </x:c>
      <x:c r="G737" s="8" t="n">
        <x:v>46300.506516203706</x:v>
      </x:c>
      <x:c r="H737" s="2" t="str">
        <x:v>SCH01</x:v>
      </x:c>
      <x:c r="I737" s="9" t="n">
        <x:v>25.285</x:v>
      </x:c>
      <x:c r="J737" s="9" t="n">
        <x:v>51.51</x:v>
      </x:c>
      <x:c r="K737" s="2" t="n">
        <x:v>8</x:v>
      </x:c>
      <x:c r="L737" s="2" t="str">
        <x:v>Valid</x:v>
      </x:c>
      <x:c r="M737" s="2" t="str">
        <x:v>QR</x:v>
      </x:c>
      <x:c r="N737" s="2" t="n">
        <x:v>1</x:v>
      </x:c>
      <x:c r="O737" s="2" t="str">
        <x:v>Accepted</x:v>
      </x:c>
      <x:c r="P737" s="2" t="str">
        <x:v>S001</x:v>
      </x:c>
      <x:c r="Q737" s="2" t="str">
        <x:v>DEV001</x:v>
      </x:c>
      <x:c r="R737" s="2" t="n">
        <x:v>48</x:v>
      </x:c>
      <x:c r="S737" s="2" t="str">
        <x:v>Online</x:v>
      </x:c>
      <x:c r="T737" s="2" t="str">
        <x:v>Synced</x:v>
      </x:c>
    </x:row>
    <x:row r="738" ht="21" customHeight="1">
      <x:c r="A738" s="2" t="str">
        <x:v>EV000710</x:v>
      </x:c>
      <x:c r="B738" s="2" t="str">
        <x:v>T20261005-2-2</x:v>
      </x:c>
      <x:c r="C738" s="2" t="str">
        <x:v>ST068</x:v>
      </x:c>
      <x:c r="D738" s="2" t="str">
        <x:v>6d9af84dd25561b8b07e5e166ae4982a</x:v>
      </x:c>
      <x:c r="E738" s="2" t="str">
        <x:v>CHECK_OUT</x:v>
      </x:c>
      <x:c r="F738" s="8" t="n">
        <x:v>46300.50649305556</x:v>
      </x:c>
      <x:c r="G738" s="8" t="n">
        <x:v>46300.506516203706</x:v>
      </x:c>
      <x:c r="H738" s="2" t="str">
        <x:v>SCH01</x:v>
      </x:c>
      <x:c r="I738" s="9" t="n">
        <x:v>25.285</x:v>
      </x:c>
      <x:c r="J738" s="9" t="n">
        <x:v>51.51</x:v>
      </x:c>
      <x:c r="K738" s="2" t="n">
        <x:v>8</x:v>
      </x:c>
      <x:c r="L738" s="2" t="str">
        <x:v>Valid</x:v>
      </x:c>
      <x:c r="M738" s="2" t="str">
        <x:v>QR</x:v>
      </x:c>
      <x:c r="N738" s="2" t="n">
        <x:v>1</x:v>
      </x:c>
      <x:c r="O738" s="2" t="str">
        <x:v>Accepted</x:v>
      </x:c>
      <x:c r="P738" s="2" t="str">
        <x:v>S002</x:v>
      </x:c>
      <x:c r="Q738" s="2" t="str">
        <x:v>DEV002</x:v>
      </x:c>
      <x:c r="R738" s="2" t="n">
        <x:v>46</x:v>
      </x:c>
      <x:c r="S738" s="2" t="str">
        <x:v>Online</x:v>
      </x:c>
      <x:c r="T738" s="2" t="str">
        <x:v>Synced</x:v>
      </x:c>
    </x:row>
    <x:row r="739" ht="21" customHeight="1">
      <x:c r="A739" s="2" t="str">
        <x:v>EV000870</x:v>
      </x:c>
      <x:c r="B739" s="2" t="str">
        <x:v>T20261005-2-3</x:v>
      </x:c>
      <x:c r="C739" s="2" t="str">
        <x:v>ST108</x:v>
      </x:c>
      <x:c r="D739" s="2" t="str">
        <x:v>85ef3b20338dfa9afdf3ae5a4b1ced5c</x:v>
      </x:c>
      <x:c r="E739" s="2" t="str">
        <x:v>CHECK_OUT</x:v>
      </x:c>
      <x:c r="F739" s="8" t="n">
        <x:v>46300.50649305556</x:v>
      </x:c>
      <x:c r="G739" s="8" t="n">
        <x:v>46300.506516203706</x:v>
      </x:c>
      <x:c r="H739" s="2" t="str">
        <x:v>SCH01</x:v>
      </x:c>
      <x:c r="I739" s="9" t="n">
        <x:v>25.285</x:v>
      </x:c>
      <x:c r="J739" s="9" t="n">
        <x:v>51.51</x:v>
      </x:c>
      <x:c r="K739" s="2" t="n">
        <x:v>8</x:v>
      </x:c>
      <x:c r="L739" s="2" t="str">
        <x:v>Valid</x:v>
      </x:c>
      <x:c r="M739" s="2" t="str">
        <x:v>QR</x:v>
      </x:c>
      <x:c r="N739" s="2" t="n">
        <x:v>1</x:v>
      </x:c>
      <x:c r="O739" s="2" t="str">
        <x:v>Accepted</x:v>
      </x:c>
      <x:c r="P739" s="2" t="str">
        <x:v>S003</x:v>
      </x:c>
      <x:c r="Q739" s="2" t="str">
        <x:v>DEV003</x:v>
      </x:c>
      <x:c r="R739" s="2" t="n">
        <x:v>48</x:v>
      </x:c>
      <x:c r="S739" s="2" t="str">
        <x:v>Online</x:v>
      </x:c>
      <x:c r="T739" s="2" t="str">
        <x:v>Synced</x:v>
      </x:c>
    </x:row>
    <x:row r="740" ht="21" customHeight="1">
      <x:c r="A740" s="2" t="str">
        <x:v>EV000556</x:v>
      </x:c>
      <x:c r="B740" s="2" t="str">
        <x:v>T20261005-2-1</x:v>
      </x:c>
      <x:c r="C740" s="2" t="str">
        <x:v>ST029</x:v>
      </x:c>
      <x:c r="D740" s="2" t="str">
        <x:v>160c4caa69875e092299cd9b55dcda0b</x:v>
      </x:c>
      <x:c r="E740" s="2" t="str">
        <x:v>CHECK_OUT</x:v>
      </x:c>
      <x:c r="F740" s="8" t="n">
        <x:v>46300.50652777778</x:v>
      </x:c>
      <x:c r="G740" s="8" t="n">
        <x:v>46300.50655092593</x:v>
      </x:c>
      <x:c r="H740" s="2" t="str">
        <x:v>SCH01</x:v>
      </x:c>
      <x:c r="I740" s="9" t="n">
        <x:v>25.285</x:v>
      </x:c>
      <x:c r="J740" s="9" t="n">
        <x:v>51.51</x:v>
      </x:c>
      <x:c r="K740" s="2" t="n">
        <x:v>8</x:v>
      </x:c>
      <x:c r="L740" s="2" t="str">
        <x:v>Valid</x:v>
      </x:c>
      <x:c r="M740" s="2" t="str">
        <x:v>QR</x:v>
      </x:c>
      <x:c r="N740" s="2" t="n">
        <x:v>1</x:v>
      </x:c>
      <x:c r="O740" s="2" t="str">
        <x:v>Accepted</x:v>
      </x:c>
      <x:c r="P740" s="2" t="str">
        <x:v>S001</x:v>
      </x:c>
      <x:c r="Q740" s="2" t="str">
        <x:v>DEV001</x:v>
      </x:c>
      <x:c r="R740" s="2" t="n">
        <x:v>49</x:v>
      </x:c>
      <x:c r="S740" s="2" t="str">
        <x:v>Online</x:v>
      </x:c>
      <x:c r="T740" s="2" t="str">
        <x:v>Synced</x:v>
      </x:c>
    </x:row>
    <x:row r="741" ht="21" customHeight="1">
      <x:c r="A741" s="2" t="str">
        <x:v>EV000712</x:v>
      </x:c>
      <x:c r="B741" s="2" t="str">
        <x:v>T20261005-2-2</x:v>
      </x:c>
      <x:c r="C741" s="2" t="str">
        <x:v>ST069</x:v>
      </x:c>
      <x:c r="D741" s="2" t="str">
        <x:v>d453525f57933d1df9d056e2e53ed3e4</x:v>
      </x:c>
      <x:c r="E741" s="2" t="str">
        <x:v>CHECK_OUT</x:v>
      </x:c>
      <x:c r="F741" s="8" t="n">
        <x:v>46300.50652777778</x:v>
      </x:c>
      <x:c r="G741" s="8" t="n">
        <x:v>46300.50655092593</x:v>
      </x:c>
      <x:c r="H741" s="2" t="str">
        <x:v>SCH01</x:v>
      </x:c>
      <x:c r="I741" s="9" t="n">
        <x:v>25.285</x:v>
      </x:c>
      <x:c r="J741" s="9" t="n">
        <x:v>51.51</x:v>
      </x:c>
      <x:c r="K741" s="2" t="n">
        <x:v>8</x:v>
      </x:c>
      <x:c r="L741" s="2" t="str">
        <x:v>Valid</x:v>
      </x:c>
      <x:c r="M741" s="2" t="str">
        <x:v>QR</x:v>
      </x:c>
      <x:c r="N741" s="2" t="n">
        <x:v>1</x:v>
      </x:c>
      <x:c r="O741" s="2" t="str">
        <x:v>Accepted</x:v>
      </x:c>
      <x:c r="P741" s="2" t="str">
        <x:v>S002</x:v>
      </x:c>
      <x:c r="Q741" s="2" t="str">
        <x:v>DEV002</x:v>
      </x:c>
      <x:c r="R741" s="2" t="n">
        <x:v>47</x:v>
      </x:c>
      <x:c r="S741" s="2" t="str">
        <x:v>Online</x:v>
      </x:c>
      <x:c r="T741" s="2" t="str">
        <x:v>Synced</x:v>
      </x:c>
    </x:row>
    <x:row r="742" ht="21" customHeight="1">
      <x:c r="A742" s="2" t="str">
        <x:v>EV000872</x:v>
      </x:c>
      <x:c r="B742" s="2" t="str">
        <x:v>T20261005-2-3</x:v>
      </x:c>
      <x:c r="C742" s="2" t="str">
        <x:v>ST109</x:v>
      </x:c>
      <x:c r="D742" s="2" t="str">
        <x:v>dfd493c800846e3efc35048335bd557b</x:v>
      </x:c>
      <x:c r="E742" s="2" t="str">
        <x:v>CHECK_OUT</x:v>
      </x:c>
      <x:c r="F742" s="8" t="n">
        <x:v>46300.50652777778</x:v>
      </x:c>
      <x:c r="G742" s="8" t="n">
        <x:v>46300.50655092593</x:v>
      </x:c>
      <x:c r="H742" s="2" t="str">
        <x:v>SCH01</x:v>
      </x:c>
      <x:c r="I742" s="9" t="n">
        <x:v>25.285</x:v>
      </x:c>
      <x:c r="J742" s="9" t="n">
        <x:v>51.51</x:v>
      </x:c>
      <x:c r="K742" s="2" t="n">
        <x:v>8</x:v>
      </x:c>
      <x:c r="L742" s="2" t="str">
        <x:v>Valid</x:v>
      </x:c>
      <x:c r="M742" s="2" t="str">
        <x:v>QR</x:v>
      </x:c>
      <x:c r="N742" s="2" t="n">
        <x:v>1</x:v>
      </x:c>
      <x:c r="O742" s="2" t="str">
        <x:v>Accepted</x:v>
      </x:c>
      <x:c r="P742" s="2" t="str">
        <x:v>S003</x:v>
      </x:c>
      <x:c r="Q742" s="2" t="str">
        <x:v>DEV003</x:v>
      </x:c>
      <x:c r="R742" s="2" t="n">
        <x:v>49</x:v>
      </x:c>
      <x:c r="S742" s="2" t="str">
        <x:v>Online</x:v>
      </x:c>
      <x:c r="T742" s="2" t="str">
        <x:v>Synced</x:v>
      </x:c>
    </x:row>
    <x:row r="743" ht="21" customHeight="1">
      <x:c r="A743" s="2" t="str">
        <x:v>EV000558</x:v>
      </x:c>
      <x:c r="B743" s="2" t="str">
        <x:v>T20261005-2-1</x:v>
      </x:c>
      <x:c r="C743" s="2" t="str">
        <x:v>ST030</x:v>
      </x:c>
      <x:c r="D743" s="2" t="str">
        <x:v>82585187c31166ddecfc4b31343dde64</x:v>
      </x:c>
      <x:c r="E743" s="2" t="str">
        <x:v>CHECK_OUT</x:v>
      </x:c>
      <x:c r="F743" s="8" t="n">
        <x:v>46300.506562500006</x:v>
      </x:c>
      <x:c r="G743" s="8" t="n">
        <x:v>46300.50658564815</x:v>
      </x:c>
      <x:c r="H743" s="2" t="str">
        <x:v>SCH01</x:v>
      </x:c>
      <x:c r="I743" s="9" t="n">
        <x:v>25.285</x:v>
      </x:c>
      <x:c r="J743" s="9" t="n">
        <x:v>51.51</x:v>
      </x:c>
      <x:c r="K743" s="2" t="n">
        <x:v>8</x:v>
      </x:c>
      <x:c r="L743" s="2" t="str">
        <x:v>Valid</x:v>
      </x:c>
      <x:c r="M743" s="2" t="str">
        <x:v>QR</x:v>
      </x:c>
      <x:c r="N743" s="2" t="n">
        <x:v>1</x:v>
      </x:c>
      <x:c r="O743" s="2" t="str">
        <x:v>Accepted</x:v>
      </x:c>
      <x:c r="P743" s="2" t="str">
        <x:v>S001</x:v>
      </x:c>
      <x:c r="Q743" s="2" t="str">
        <x:v>DEV001</x:v>
      </x:c>
      <x:c r="R743" s="2" t="n">
        <x:v>50</x:v>
      </x:c>
      <x:c r="S743" s="2" t="str">
        <x:v>Online</x:v>
      </x:c>
      <x:c r="T743" s="2" t="str">
        <x:v>Synced</x:v>
      </x:c>
    </x:row>
    <x:row r="744" ht="21" customHeight="1">
      <x:c r="A744" s="2" t="str">
        <x:v>EV000714</x:v>
      </x:c>
      <x:c r="B744" s="2" t="str">
        <x:v>T20261005-2-2</x:v>
      </x:c>
      <x:c r="C744" s="2" t="str">
        <x:v>ST070</x:v>
      </x:c>
      <x:c r="D744" s="2" t="str">
        <x:v>12a9f1121533e9d2b6402c68cf852c16</x:v>
      </x:c>
      <x:c r="E744" s="2" t="str">
        <x:v>CHECK_OUT</x:v>
      </x:c>
      <x:c r="F744" s="8" t="n">
        <x:v>46300.506562500006</x:v>
      </x:c>
      <x:c r="G744" s="8" t="n">
        <x:v>46300.50658564815</x:v>
      </x:c>
      <x:c r="H744" s="2" t="str">
        <x:v>SCH01</x:v>
      </x:c>
      <x:c r="I744" s="9" t="n">
        <x:v>25.285</x:v>
      </x:c>
      <x:c r="J744" s="9" t="n">
        <x:v>51.51</x:v>
      </x:c>
      <x:c r="K744" s="2" t="n">
        <x:v>8</x:v>
      </x:c>
      <x:c r="L744" s="2" t="str">
        <x:v>Valid</x:v>
      </x:c>
      <x:c r="M744" s="2" t="str">
        <x:v>QR</x:v>
      </x:c>
      <x:c r="N744" s="2" t="n">
        <x:v>1</x:v>
      </x:c>
      <x:c r="O744" s="2" t="str">
        <x:v>Accepted</x:v>
      </x:c>
      <x:c r="P744" s="2" t="str">
        <x:v>S002</x:v>
      </x:c>
      <x:c r="Q744" s="2" t="str">
        <x:v>DEV002</x:v>
      </x:c>
      <x:c r="R744" s="2" t="n">
        <x:v>48</x:v>
      </x:c>
      <x:c r="S744" s="2" t="str">
        <x:v>Online</x:v>
      </x:c>
      <x:c r="T744" s="2" t="str">
        <x:v>Synced</x:v>
      </x:c>
    </x:row>
    <x:row r="745" ht="21" customHeight="1">
      <x:c r="A745" s="2" t="str">
        <x:v>EV000874</x:v>
      </x:c>
      <x:c r="B745" s="2" t="str">
        <x:v>T20261005-2-3</x:v>
      </x:c>
      <x:c r="C745" s="2" t="str">
        <x:v>ST110</x:v>
      </x:c>
      <x:c r="D745" s="2" t="str">
        <x:v>4382c0cdcda89fb8cc0f5b9fc03b4c51</x:v>
      </x:c>
      <x:c r="E745" s="2" t="str">
        <x:v>CHECK_OUT</x:v>
      </x:c>
      <x:c r="F745" s="8" t="n">
        <x:v>46300.506562500006</x:v>
      </x:c>
      <x:c r="G745" s="8" t="n">
        <x:v>46300.50658564815</x:v>
      </x:c>
      <x:c r="H745" s="2" t="str">
        <x:v>SCH01</x:v>
      </x:c>
      <x:c r="I745" s="9" t="n">
        <x:v>25.285</x:v>
      </x:c>
      <x:c r="J745" s="9" t="n">
        <x:v>51.51</x:v>
      </x:c>
      <x:c r="K745" s="2" t="n">
        <x:v>8</x:v>
      </x:c>
      <x:c r="L745" s="2" t="str">
        <x:v>Valid</x:v>
      </x:c>
      <x:c r="M745" s="2" t="str">
        <x:v>QR</x:v>
      </x:c>
      <x:c r="N745" s="2" t="n">
        <x:v>1</x:v>
      </x:c>
      <x:c r="O745" s="2" t="str">
        <x:v>Accepted</x:v>
      </x:c>
      <x:c r="P745" s="2" t="str">
        <x:v>S003</x:v>
      </x:c>
      <x:c r="Q745" s="2" t="str">
        <x:v>DEV003</x:v>
      </x:c>
      <x:c r="R745" s="2" t="n">
        <x:v>50</x:v>
      </x:c>
      <x:c r="S745" s="2" t="str">
        <x:v>Online</x:v>
      </x:c>
      <x:c r="T745" s="2" t="str">
        <x:v>Synced</x:v>
      </x:c>
    </x:row>
    <x:row r="746" ht="21" customHeight="1">
      <x:c r="A746" s="2" t="str">
        <x:v>EV000560</x:v>
      </x:c>
      <x:c r="B746" s="2" t="str">
        <x:v>T20261005-2-1</x:v>
      </x:c>
      <x:c r="C746" s="2" t="str">
        <x:v>ST031</x:v>
      </x:c>
      <x:c r="D746" s="2" t="str">
        <x:v>8ab188e9684e5df87182305d1c7eadac</x:v>
      </x:c>
      <x:c r="E746" s="2" t="str">
        <x:v>CHECK_OUT</x:v>
      </x:c>
      <x:c r="F746" s="8" t="n">
        <x:v>46300.50659722223</x:v>
      </x:c>
      <x:c r="G746" s="8" t="n">
        <x:v>46300.506620370375</x:v>
      </x:c>
      <x:c r="H746" s="2" t="str">
        <x:v>SCH01</x:v>
      </x:c>
      <x:c r="I746" s="9" t="n">
        <x:v>25.285</x:v>
      </x:c>
      <x:c r="J746" s="9" t="n">
        <x:v>51.51</x:v>
      </x:c>
      <x:c r="K746" s="2" t="n">
        <x:v>8</x:v>
      </x:c>
      <x:c r="L746" s="2" t="str">
        <x:v>Valid</x:v>
      </x:c>
      <x:c r="M746" s="2" t="str">
        <x:v>QR</x:v>
      </x:c>
      <x:c r="N746" s="2" t="n">
        <x:v>1</x:v>
      </x:c>
      <x:c r="O746" s="2" t="str">
        <x:v>Accepted</x:v>
      </x:c>
      <x:c r="P746" s="2" t="str">
        <x:v>S001</x:v>
      </x:c>
      <x:c r="Q746" s="2" t="str">
        <x:v>DEV001</x:v>
      </x:c>
      <x:c r="R746" s="2" t="n">
        <x:v>51</x:v>
      </x:c>
      <x:c r="S746" s="2" t="str">
        <x:v>Online</x:v>
      </x:c>
      <x:c r="T746" s="2" t="str">
        <x:v>Synced</x:v>
      </x:c>
    </x:row>
    <x:row r="747" ht="21" customHeight="1">
      <x:c r="A747" s="2" t="str">
        <x:v>EV000716</x:v>
      </x:c>
      <x:c r="B747" s="2" t="str">
        <x:v>T20261005-2-2</x:v>
      </x:c>
      <x:c r="C747" s="2" t="str">
        <x:v>ST071</x:v>
      </x:c>
      <x:c r="D747" s="2" t="str">
        <x:v>51895678643dc659a400e702a471294e</x:v>
      </x:c>
      <x:c r="E747" s="2" t="str">
        <x:v>CHECK_OUT</x:v>
      </x:c>
      <x:c r="F747" s="8" t="n">
        <x:v>46300.50659722223</x:v>
      </x:c>
      <x:c r="G747" s="8" t="n">
        <x:v>46300.506620370375</x:v>
      </x:c>
      <x:c r="H747" s="2" t="str">
        <x:v>SCH01</x:v>
      </x:c>
      <x:c r="I747" s="9" t="n">
        <x:v>25.285</x:v>
      </x:c>
      <x:c r="J747" s="9" t="n">
        <x:v>51.51</x:v>
      </x:c>
      <x:c r="K747" s="2" t="n">
        <x:v>8</x:v>
      </x:c>
      <x:c r="L747" s="2" t="str">
        <x:v>Valid</x:v>
      </x:c>
      <x:c r="M747" s="2" t="str">
        <x:v>QR</x:v>
      </x:c>
      <x:c r="N747" s="2" t="n">
        <x:v>1</x:v>
      </x:c>
      <x:c r="O747" s="2" t="str">
        <x:v>Accepted</x:v>
      </x:c>
      <x:c r="P747" s="2" t="str">
        <x:v>S002</x:v>
      </x:c>
      <x:c r="Q747" s="2" t="str">
        <x:v>DEV002</x:v>
      </x:c>
      <x:c r="R747" s="2" t="n">
        <x:v>49</x:v>
      </x:c>
      <x:c r="S747" s="2" t="str">
        <x:v>Online</x:v>
      </x:c>
      <x:c r="T747" s="2" t="str">
        <x:v>Synced</x:v>
      </x:c>
    </x:row>
    <x:row r="748" ht="21" customHeight="1">
      <x:c r="A748" s="2" t="str">
        <x:v>EV000876</x:v>
      </x:c>
      <x:c r="B748" s="2" t="str">
        <x:v>T20261005-2-3</x:v>
      </x:c>
      <x:c r="C748" s="2" t="str">
        <x:v>ST111</x:v>
      </x:c>
      <x:c r="D748" s="2" t="str">
        <x:v>e6e9707385e7ee8edd3ac87243757eb2</x:v>
      </x:c>
      <x:c r="E748" s="2" t="str">
        <x:v>CHECK_OUT</x:v>
      </x:c>
      <x:c r="F748" s="8" t="n">
        <x:v>46300.50659722223</x:v>
      </x:c>
      <x:c r="G748" s="8" t="n">
        <x:v>46300.506620370375</x:v>
      </x:c>
      <x:c r="H748" s="2" t="str">
        <x:v>SCH01</x:v>
      </x:c>
      <x:c r="I748" s="9" t="n">
        <x:v>25.285</x:v>
      </x:c>
      <x:c r="J748" s="9" t="n">
        <x:v>51.51</x:v>
      </x:c>
      <x:c r="K748" s="2" t="n">
        <x:v>8</x:v>
      </x:c>
      <x:c r="L748" s="2" t="str">
        <x:v>Valid</x:v>
      </x:c>
      <x:c r="M748" s="2" t="str">
        <x:v>QR</x:v>
      </x:c>
      <x:c r="N748" s="2" t="n">
        <x:v>1</x:v>
      </x:c>
      <x:c r="O748" s="2" t="str">
        <x:v>Accepted</x:v>
      </x:c>
      <x:c r="P748" s="2" t="str">
        <x:v>S003</x:v>
      </x:c>
      <x:c r="Q748" s="2" t="str">
        <x:v>DEV003</x:v>
      </x:c>
      <x:c r="R748" s="2" t="n">
        <x:v>51</x:v>
      </x:c>
      <x:c r="S748" s="2" t="str">
        <x:v>Online</x:v>
      </x:c>
      <x:c r="T748" s="2" t="str">
        <x:v>Synced</x:v>
      </x:c>
    </x:row>
    <x:row r="749" ht="21" customHeight="1">
      <x:c r="A749" s="2" t="str">
        <x:v>EV000562</x:v>
      </x:c>
      <x:c r="B749" s="2" t="str">
        <x:v>T20261005-2-1</x:v>
      </x:c>
      <x:c r="C749" s="2" t="str">
        <x:v>ST032</x:v>
      </x:c>
      <x:c r="D749" s="2" t="str">
        <x:v>836e2da54ccde9716995f5651a63e8c5</x:v>
      </x:c>
      <x:c r="E749" s="2" t="str">
        <x:v>CHECK_OUT</x:v>
      </x:c>
      <x:c r="F749" s="8" t="n">
        <x:v>46300.506631944445</x:v>
      </x:c>
      <x:c r="G749" s="8" t="n">
        <x:v>46300.50665509259</x:v>
      </x:c>
      <x:c r="H749" s="2" t="str">
        <x:v>SCH01</x:v>
      </x:c>
      <x:c r="I749" s="9" t="n">
        <x:v>25.285</x:v>
      </x:c>
      <x:c r="J749" s="9" t="n">
        <x:v>51.51</x:v>
      </x:c>
      <x:c r="K749" s="2" t="n">
        <x:v>8</x:v>
      </x:c>
      <x:c r="L749" s="2" t="str">
        <x:v>Valid</x:v>
      </x:c>
      <x:c r="M749" s="2" t="str">
        <x:v>QR</x:v>
      </x:c>
      <x:c r="N749" s="2" t="n">
        <x:v>1</x:v>
      </x:c>
      <x:c r="O749" s="2" t="str">
        <x:v>Accepted</x:v>
      </x:c>
      <x:c r="P749" s="2" t="str">
        <x:v>S001</x:v>
      </x:c>
      <x:c r="Q749" s="2" t="str">
        <x:v>DEV001</x:v>
      </x:c>
      <x:c r="R749" s="2" t="n">
        <x:v>52</x:v>
      </x:c>
      <x:c r="S749" s="2" t="str">
        <x:v>Online</x:v>
      </x:c>
      <x:c r="T749" s="2" t="str">
        <x:v>Synced</x:v>
      </x:c>
    </x:row>
    <x:row r="750" ht="21" customHeight="1">
      <x:c r="A750" s="2" t="str">
        <x:v>EV000718</x:v>
      </x:c>
      <x:c r="B750" s="2" t="str">
        <x:v>T20261005-2-2</x:v>
      </x:c>
      <x:c r="C750" s="2" t="str">
        <x:v>ST072</x:v>
      </x:c>
      <x:c r="D750" s="2" t="str">
        <x:v>34067027b5922171fe59ce4d7b756f1c</x:v>
      </x:c>
      <x:c r="E750" s="2" t="str">
        <x:v>CHECK_OUT</x:v>
      </x:c>
      <x:c r="F750" s="8" t="n">
        <x:v>46300.506631944445</x:v>
      </x:c>
      <x:c r="G750" s="8" t="n">
        <x:v>46300.50665509259</x:v>
      </x:c>
      <x:c r="H750" s="2" t="str">
        <x:v>SCH01</x:v>
      </x:c>
      <x:c r="I750" s="9" t="n">
        <x:v>25.285</x:v>
      </x:c>
      <x:c r="J750" s="9" t="n">
        <x:v>51.51</x:v>
      </x:c>
      <x:c r="K750" s="2" t="n">
        <x:v>8</x:v>
      </x:c>
      <x:c r="L750" s="2" t="str">
        <x:v>Valid</x:v>
      </x:c>
      <x:c r="M750" s="2" t="str">
        <x:v>QR</x:v>
      </x:c>
      <x:c r="N750" s="2" t="n">
        <x:v>1</x:v>
      </x:c>
      <x:c r="O750" s="2" t="str">
        <x:v>Accepted</x:v>
      </x:c>
      <x:c r="P750" s="2" t="str">
        <x:v>S002</x:v>
      </x:c>
      <x:c r="Q750" s="2" t="str">
        <x:v>DEV002</x:v>
      </x:c>
      <x:c r="R750" s="2" t="n">
        <x:v>50</x:v>
      </x:c>
      <x:c r="S750" s="2" t="str">
        <x:v>Online</x:v>
      </x:c>
      <x:c r="T750" s="2" t="str">
        <x:v>Synced</x:v>
      </x:c>
    </x:row>
    <x:row r="751" ht="21" customHeight="1">
      <x:c r="A751" s="2" t="str">
        <x:v>EV000878</x:v>
      </x:c>
      <x:c r="B751" s="2" t="str">
        <x:v>T20261005-2-3</x:v>
      </x:c>
      <x:c r="C751" s="2" t="str">
        <x:v>ST112</x:v>
      </x:c>
      <x:c r="D751" s="2" t="str">
        <x:v>ca020aefc0d912af9ddca5c7ca7a2f51</x:v>
      </x:c>
      <x:c r="E751" s="2" t="str">
        <x:v>CHECK_OUT</x:v>
      </x:c>
      <x:c r="F751" s="8" t="n">
        <x:v>46300.506631944445</x:v>
      </x:c>
      <x:c r="G751" s="8" t="n">
        <x:v>46300.50665509259</x:v>
      </x:c>
      <x:c r="H751" s="2" t="str">
        <x:v>SCH01</x:v>
      </x:c>
      <x:c r="I751" s="9" t="n">
        <x:v>25.285</x:v>
      </x:c>
      <x:c r="J751" s="9" t="n">
        <x:v>51.51</x:v>
      </x:c>
      <x:c r="K751" s="2" t="n">
        <x:v>8</x:v>
      </x:c>
      <x:c r="L751" s="2" t="str">
        <x:v>Valid</x:v>
      </x:c>
      <x:c r="M751" s="2" t="str">
        <x:v>QR</x:v>
      </x:c>
      <x:c r="N751" s="2" t="n">
        <x:v>1</x:v>
      </x:c>
      <x:c r="O751" s="2" t="str">
        <x:v>Accepted</x:v>
      </x:c>
      <x:c r="P751" s="2" t="str">
        <x:v>S003</x:v>
      </x:c>
      <x:c r="Q751" s="2" t="str">
        <x:v>DEV003</x:v>
      </x:c>
      <x:c r="R751" s="2" t="n">
        <x:v>52</x:v>
      </x:c>
      <x:c r="S751" s="2" t="str">
        <x:v>Online</x:v>
      </x:c>
      <x:c r="T751" s="2" t="str">
        <x:v>Synced</x:v>
      </x:c>
    </x:row>
    <x:row r="752" ht="21" customHeight="1">
      <x:c r="A752" s="2" t="str">
        <x:v>EV000564</x:v>
      </x:c>
      <x:c r="B752" s="2" t="str">
        <x:v>T20261005-2-1</x:v>
      </x:c>
      <x:c r="C752" s="2" t="str">
        <x:v>ST033</x:v>
      </x:c>
      <x:c r="D752" s="2" t="str">
        <x:v>c9cc8ddf1b5bae8b49929340838e300a</x:v>
      </x:c>
      <x:c r="E752" s="2" t="str">
        <x:v>CHECK_OUT</x:v>
      </x:c>
      <x:c r="F752" s="8" t="n">
        <x:v>46300.50666666667</x:v>
      </x:c>
      <x:c r="G752" s="8" t="n">
        <x:v>46300.506689814814</x:v>
      </x:c>
      <x:c r="H752" s="2" t="str">
        <x:v>SCH01</x:v>
      </x:c>
      <x:c r="I752" s="9" t="n">
        <x:v>25.285</x:v>
      </x:c>
      <x:c r="J752" s="9" t="n">
        <x:v>51.51</x:v>
      </x:c>
      <x:c r="K752" s="2" t="n">
        <x:v>8</x:v>
      </x:c>
      <x:c r="L752" s="2" t="str">
        <x:v>Valid</x:v>
      </x:c>
      <x:c r="M752" s="2" t="str">
        <x:v>QR</x:v>
      </x:c>
      <x:c r="N752" s="2" t="n">
        <x:v>1</x:v>
      </x:c>
      <x:c r="O752" s="2" t="str">
        <x:v>Accepted</x:v>
      </x:c>
      <x:c r="P752" s="2" t="str">
        <x:v>S001</x:v>
      </x:c>
      <x:c r="Q752" s="2" t="str">
        <x:v>DEV001</x:v>
      </x:c>
      <x:c r="R752" s="2" t="n">
        <x:v>53</x:v>
      </x:c>
      <x:c r="S752" s="2" t="str">
        <x:v>Online</x:v>
      </x:c>
      <x:c r="T752" s="2" t="str">
        <x:v>Synced</x:v>
      </x:c>
    </x:row>
    <x:row r="753" ht="21" customHeight="1">
      <x:c r="A753" s="2" t="str">
        <x:v>EV000720</x:v>
      </x:c>
      <x:c r="B753" s="2" t="str">
        <x:v>T20261005-2-2</x:v>
      </x:c>
      <x:c r="C753" s="2" t="str">
        <x:v>ST073</x:v>
      </x:c>
      <x:c r="D753" s="2" t="str">
        <x:v>b27180ce7590c0aac206d465f318b712</x:v>
      </x:c>
      <x:c r="E753" s="2" t="str">
        <x:v>CHECK_OUT</x:v>
      </x:c>
      <x:c r="F753" s="8" t="n">
        <x:v>46300.50666666667</x:v>
      </x:c>
      <x:c r="G753" s="8" t="n">
        <x:v>46300.506689814814</x:v>
      </x:c>
      <x:c r="H753" s="2" t="str">
        <x:v>SCH01</x:v>
      </x:c>
      <x:c r="I753" s="9" t="n">
        <x:v>25.285</x:v>
      </x:c>
      <x:c r="J753" s="9" t="n">
        <x:v>51.51</x:v>
      </x:c>
      <x:c r="K753" s="2" t="n">
        <x:v>8</x:v>
      </x:c>
      <x:c r="L753" s="2" t="str">
        <x:v>Valid</x:v>
      </x:c>
      <x:c r="M753" s="2" t="str">
        <x:v>QR</x:v>
      </x:c>
      <x:c r="N753" s="2" t="n">
        <x:v>1</x:v>
      </x:c>
      <x:c r="O753" s="2" t="str">
        <x:v>Accepted</x:v>
      </x:c>
      <x:c r="P753" s="2" t="str">
        <x:v>S002</x:v>
      </x:c>
      <x:c r="Q753" s="2" t="str">
        <x:v>DEV002</x:v>
      </x:c>
      <x:c r="R753" s="2" t="n">
        <x:v>51</x:v>
      </x:c>
      <x:c r="S753" s="2" t="str">
        <x:v>Online</x:v>
      </x:c>
      <x:c r="T753" s="2" t="str">
        <x:v>Synced</x:v>
      </x:c>
    </x:row>
    <x:row r="754" ht="21" customHeight="1">
      <x:c r="A754" s="2" t="str">
        <x:v>EV000880</x:v>
      </x:c>
      <x:c r="B754" s="2" t="str">
        <x:v>T20261005-2-3</x:v>
      </x:c>
      <x:c r="C754" s="2" t="str">
        <x:v>ST113</x:v>
      </x:c>
      <x:c r="D754" s="2" t="str">
        <x:v>c3781e168737a6cc1190d4415801c440</x:v>
      </x:c>
      <x:c r="E754" s="2" t="str">
        <x:v>CHECK_OUT</x:v>
      </x:c>
      <x:c r="F754" s="8" t="n">
        <x:v>46300.50666666667</x:v>
      </x:c>
      <x:c r="G754" s="8" t="n">
        <x:v>46300.506689814814</x:v>
      </x:c>
      <x:c r="H754" s="2" t="str">
        <x:v>SCH01</x:v>
      </x:c>
      <x:c r="I754" s="9" t="n">
        <x:v>25.285</x:v>
      </x:c>
      <x:c r="J754" s="9" t="n">
        <x:v>51.51</x:v>
      </x:c>
      <x:c r="K754" s="2" t="n">
        <x:v>8</x:v>
      </x:c>
      <x:c r="L754" s="2" t="str">
        <x:v>Valid</x:v>
      </x:c>
      <x:c r="M754" s="2" t="str">
        <x:v>QR</x:v>
      </x:c>
      <x:c r="N754" s="2" t="n">
        <x:v>1</x:v>
      </x:c>
      <x:c r="O754" s="2" t="str">
        <x:v>Accepted</x:v>
      </x:c>
      <x:c r="P754" s="2" t="str">
        <x:v>S003</x:v>
      </x:c>
      <x:c r="Q754" s="2" t="str">
        <x:v>DEV003</x:v>
      </x:c>
      <x:c r="R754" s="2" t="n">
        <x:v>53</x:v>
      </x:c>
      <x:c r="S754" s="2" t="str">
        <x:v>Online</x:v>
      </x:c>
      <x:c r="T754" s="2" t="str">
        <x:v>Synced</x:v>
      </x:c>
    </x:row>
    <x:row r="755" ht="21" customHeight="1">
      <x:c r="A755" s="2" t="str">
        <x:v>EV000566</x:v>
      </x:c>
      <x:c r="B755" s="2" t="str">
        <x:v>T20261005-2-1</x:v>
      </x:c>
      <x:c r="C755" s="2" t="str">
        <x:v>ST034</x:v>
      </x:c>
      <x:c r="D755" s="2" t="str">
        <x:v>80fbe33bb2df8cab59b55f98f1c8a3d5</x:v>
      </x:c>
      <x:c r="E755" s="2" t="str">
        <x:v>CHECK_OUT</x:v>
      </x:c>
      <x:c r="F755" s="8" t="n">
        <x:v>46300.50670138889</x:v>
      </x:c>
      <x:c r="G755" s="8" t="n">
        <x:v>46300.50672453704</x:v>
      </x:c>
      <x:c r="H755" s="2" t="str">
        <x:v>SCH01</x:v>
      </x:c>
      <x:c r="I755" s="9" t="n">
        <x:v>25.285</x:v>
      </x:c>
      <x:c r="J755" s="9" t="n">
        <x:v>51.51</x:v>
      </x:c>
      <x:c r="K755" s="2" t="n">
        <x:v>8</x:v>
      </x:c>
      <x:c r="L755" s="2" t="str">
        <x:v>Valid</x:v>
      </x:c>
      <x:c r="M755" s="2" t="str">
        <x:v>QR</x:v>
      </x:c>
      <x:c r="N755" s="2" t="n">
        <x:v>1</x:v>
      </x:c>
      <x:c r="O755" s="2" t="str">
        <x:v>Accepted</x:v>
      </x:c>
      <x:c r="P755" s="2" t="str">
        <x:v>S001</x:v>
      </x:c>
      <x:c r="Q755" s="2" t="str">
        <x:v>DEV001</x:v>
      </x:c>
      <x:c r="R755" s="2" t="n">
        <x:v>54</x:v>
      </x:c>
      <x:c r="S755" s="2" t="str">
        <x:v>Online</x:v>
      </x:c>
      <x:c r="T755" s="2" t="str">
        <x:v>Synced</x:v>
      </x:c>
    </x:row>
    <x:row r="756" ht="21" customHeight="1">
      <x:c r="A756" s="2" t="str">
        <x:v>EV000722</x:v>
      </x:c>
      <x:c r="B756" s="2" t="str">
        <x:v>T20261005-2-2</x:v>
      </x:c>
      <x:c r="C756" s="2" t="str">
        <x:v>ST074</x:v>
      </x:c>
      <x:c r="D756" s="2" t="str">
        <x:v>a9bcbd7cecca4f17e235125ddf0adf7b</x:v>
      </x:c>
      <x:c r="E756" s="2" t="str">
        <x:v>CHECK_OUT</x:v>
      </x:c>
      <x:c r="F756" s="8" t="n">
        <x:v>46300.50670138889</x:v>
      </x:c>
      <x:c r="G756" s="8" t="n">
        <x:v>46300.50672453704</x:v>
      </x:c>
      <x:c r="H756" s="2" t="str">
        <x:v>SCH01</x:v>
      </x:c>
      <x:c r="I756" s="9" t="n">
        <x:v>25.285</x:v>
      </x:c>
      <x:c r="J756" s="9" t="n">
        <x:v>51.51</x:v>
      </x:c>
      <x:c r="K756" s="2" t="n">
        <x:v>8</x:v>
      </x:c>
      <x:c r="L756" s="2" t="str">
        <x:v>Valid</x:v>
      </x:c>
      <x:c r="M756" s="2" t="str">
        <x:v>QR</x:v>
      </x:c>
      <x:c r="N756" s="2" t="n">
        <x:v>1</x:v>
      </x:c>
      <x:c r="O756" s="2" t="str">
        <x:v>Accepted</x:v>
      </x:c>
      <x:c r="P756" s="2" t="str">
        <x:v>S002</x:v>
      </x:c>
      <x:c r="Q756" s="2" t="str">
        <x:v>DEV002</x:v>
      </x:c>
      <x:c r="R756" s="2" t="n">
        <x:v>52</x:v>
      </x:c>
      <x:c r="S756" s="2" t="str">
        <x:v>Online</x:v>
      </x:c>
      <x:c r="T756" s="2" t="str">
        <x:v>Synced</x:v>
      </x:c>
    </x:row>
    <x:row r="757" ht="21" customHeight="1">
      <x:c r="A757" s="2" t="str">
        <x:v>EV000882</x:v>
      </x:c>
      <x:c r="B757" s="2" t="str">
        <x:v>T20261005-2-3</x:v>
      </x:c>
      <x:c r="C757" s="2" t="str">
        <x:v>ST114</x:v>
      </x:c>
      <x:c r="D757" s="2" t="str">
        <x:v>a5c77bf3b082c3ab825b65c34f1c9f8c</x:v>
      </x:c>
      <x:c r="E757" s="2" t="str">
        <x:v>CHECK_OUT</x:v>
      </x:c>
      <x:c r="F757" s="8" t="n">
        <x:v>46300.50670138889</x:v>
      </x:c>
      <x:c r="G757" s="8" t="n">
        <x:v>46300.50672453704</x:v>
      </x:c>
      <x:c r="H757" s="2" t="str">
        <x:v>SCH01</x:v>
      </x:c>
      <x:c r="I757" s="9" t="n">
        <x:v>25.285</x:v>
      </x:c>
      <x:c r="J757" s="9" t="n">
        <x:v>51.51</x:v>
      </x:c>
      <x:c r="K757" s="2" t="n">
        <x:v>8</x:v>
      </x:c>
      <x:c r="L757" s="2" t="str">
        <x:v>Valid</x:v>
      </x:c>
      <x:c r="M757" s="2" t="str">
        <x:v>QR</x:v>
      </x:c>
      <x:c r="N757" s="2" t="n">
        <x:v>1</x:v>
      </x:c>
      <x:c r="O757" s="2" t="str">
        <x:v>Accepted</x:v>
      </x:c>
      <x:c r="P757" s="2" t="str">
        <x:v>S003</x:v>
      </x:c>
      <x:c r="Q757" s="2" t="str">
        <x:v>DEV003</x:v>
      </x:c>
      <x:c r="R757" s="2" t="n">
        <x:v>54</x:v>
      </x:c>
      <x:c r="S757" s="2" t="str">
        <x:v>Online</x:v>
      </x:c>
      <x:c r="T757" s="2" t="str">
        <x:v>Synced</x:v>
      </x:c>
    </x:row>
    <x:row r="758" ht="21" customHeight="1">
      <x:c r="A758" s="2" t="str">
        <x:v>EV000568</x:v>
      </x:c>
      <x:c r="B758" s="2" t="str">
        <x:v>T20261005-2-1</x:v>
      </x:c>
      <x:c r="C758" s="2" t="str">
        <x:v>ST035</x:v>
      </x:c>
      <x:c r="D758" s="2" t="str">
        <x:v>45068f3206e9be80993e83e259ea9cdc</x:v>
      </x:c>
      <x:c r="E758" s="2" t="str">
        <x:v>CHECK_OUT</x:v>
      </x:c>
      <x:c r="F758" s="8" t="n">
        <x:v>46300.506736111114</x:v>
      </x:c>
      <x:c r="G758" s="8" t="n">
        <x:v>46300.50675925926</x:v>
      </x:c>
      <x:c r="H758" s="2" t="str">
        <x:v>SCH01</x:v>
      </x:c>
      <x:c r="I758" s="9" t="n">
        <x:v>25.285</x:v>
      </x:c>
      <x:c r="J758" s="9" t="n">
        <x:v>51.51</x:v>
      </x:c>
      <x:c r="K758" s="2" t="n">
        <x:v>8</x:v>
      </x:c>
      <x:c r="L758" s="2" t="str">
        <x:v>Valid</x:v>
      </x:c>
      <x:c r="M758" s="2" t="str">
        <x:v>QR</x:v>
      </x:c>
      <x:c r="N758" s="2" t="n">
        <x:v>1</x:v>
      </x:c>
      <x:c r="O758" s="2" t="str">
        <x:v>Accepted</x:v>
      </x:c>
      <x:c r="P758" s="2" t="str">
        <x:v>S001</x:v>
      </x:c>
      <x:c r="Q758" s="2" t="str">
        <x:v>DEV001</x:v>
      </x:c>
      <x:c r="R758" s="2" t="n">
        <x:v>55</x:v>
      </x:c>
      <x:c r="S758" s="2" t="str">
        <x:v>Online</x:v>
      </x:c>
      <x:c r="T758" s="2" t="str">
        <x:v>Synced</x:v>
      </x:c>
    </x:row>
    <x:row r="759" ht="21" customHeight="1">
      <x:c r="A759" s="2" t="str">
        <x:v>EV000724</x:v>
      </x:c>
      <x:c r="B759" s="2" t="str">
        <x:v>T20261005-2-2</x:v>
      </x:c>
      <x:c r="C759" s="2" t="str">
        <x:v>ST075</x:v>
      </x:c>
      <x:c r="D759" s="2" t="str">
        <x:v>3781d00e457977b726407cb845a294cc</x:v>
      </x:c>
      <x:c r="E759" s="2" t="str">
        <x:v>CHECK_OUT</x:v>
      </x:c>
      <x:c r="F759" s="8" t="n">
        <x:v>46300.506736111114</x:v>
      </x:c>
      <x:c r="G759" s="8" t="n">
        <x:v>46300.50675925926</x:v>
      </x:c>
      <x:c r="H759" s="2" t="str">
        <x:v>SCH01</x:v>
      </x:c>
      <x:c r="I759" s="9" t="n">
        <x:v>25.285</x:v>
      </x:c>
      <x:c r="J759" s="9" t="n">
        <x:v>51.51</x:v>
      </x:c>
      <x:c r="K759" s="2" t="n">
        <x:v>8</x:v>
      </x:c>
      <x:c r="L759" s="2" t="str">
        <x:v>Valid</x:v>
      </x:c>
      <x:c r="M759" s="2" t="str">
        <x:v>QR</x:v>
      </x:c>
      <x:c r="N759" s="2" t="n">
        <x:v>1</x:v>
      </x:c>
      <x:c r="O759" s="2" t="str">
        <x:v>Accepted</x:v>
      </x:c>
      <x:c r="P759" s="2" t="str">
        <x:v>S002</x:v>
      </x:c>
      <x:c r="Q759" s="2" t="str">
        <x:v>DEV002</x:v>
      </x:c>
      <x:c r="R759" s="2" t="n">
        <x:v>53</x:v>
      </x:c>
      <x:c r="S759" s="2" t="str">
        <x:v>Online</x:v>
      </x:c>
      <x:c r="T759" s="2" t="str">
        <x:v>Synced</x:v>
      </x:c>
    </x:row>
    <x:row r="760" ht="21" customHeight="1">
      <x:c r="A760" s="2" t="str">
        <x:v>EV000884</x:v>
      </x:c>
      <x:c r="B760" s="2" t="str">
        <x:v>T20261005-2-3</x:v>
      </x:c>
      <x:c r="C760" s="2" t="str">
        <x:v>ST115</x:v>
      </x:c>
      <x:c r="D760" s="2" t="str">
        <x:v>dc951b9fd5f4acb1dc2ce3ca2f2e08ab</x:v>
      </x:c>
      <x:c r="E760" s="2" t="str">
        <x:v>CHECK_OUT</x:v>
      </x:c>
      <x:c r="F760" s="8" t="n">
        <x:v>46300.506736111114</x:v>
      </x:c>
      <x:c r="G760" s="8" t="n">
        <x:v>46300.50675925926</x:v>
      </x:c>
      <x:c r="H760" s="2" t="str">
        <x:v>SCH01</x:v>
      </x:c>
      <x:c r="I760" s="9" t="n">
        <x:v>25.285</x:v>
      </x:c>
      <x:c r="J760" s="9" t="n">
        <x:v>51.51</x:v>
      </x:c>
      <x:c r="K760" s="2" t="n">
        <x:v>8</x:v>
      </x:c>
      <x:c r="L760" s="2" t="str">
        <x:v>Valid</x:v>
      </x:c>
      <x:c r="M760" s="2" t="str">
        <x:v>QR</x:v>
      </x:c>
      <x:c r="N760" s="2" t="n">
        <x:v>1</x:v>
      </x:c>
      <x:c r="O760" s="2" t="str">
        <x:v>Accepted</x:v>
      </x:c>
      <x:c r="P760" s="2" t="str">
        <x:v>S003</x:v>
      </x:c>
      <x:c r="Q760" s="2" t="str">
        <x:v>DEV003</x:v>
      </x:c>
      <x:c r="R760" s="2" t="n">
        <x:v>55</x:v>
      </x:c>
      <x:c r="S760" s="2" t="str">
        <x:v>Online</x:v>
      </x:c>
      <x:c r="T760" s="2" t="str">
        <x:v>Synced</x:v>
      </x:c>
    </x:row>
    <x:row r="761" ht="21" customHeight="1">
      <x:c r="A761" s="2" t="str">
        <x:v>EV000570</x:v>
      </x:c>
      <x:c r="B761" s="2" t="str">
        <x:v>T20261005-2-1</x:v>
      </x:c>
      <x:c r="C761" s="2" t="str">
        <x:v>ST036</x:v>
      </x:c>
      <x:c r="D761" s="2" t="str">
        <x:v>7e42555e63455121ac9f1b3710bc905c</x:v>
      </x:c>
      <x:c r="E761" s="2" t="str">
        <x:v>CHECK_OUT</x:v>
      </x:c>
      <x:c r="F761" s="8" t="n">
        <x:v>46300.50677083334</x:v>
      </x:c>
      <x:c r="G761" s="8" t="n">
        <x:v>46300.50679398148</x:v>
      </x:c>
      <x:c r="H761" s="2" t="str">
        <x:v>SCH01</x:v>
      </x:c>
      <x:c r="I761" s="9" t="n">
        <x:v>25.285</x:v>
      </x:c>
      <x:c r="J761" s="9" t="n">
        <x:v>51.51</x:v>
      </x:c>
      <x:c r="K761" s="2" t="n">
        <x:v>8</x:v>
      </x:c>
      <x:c r="L761" s="2" t="str">
        <x:v>Valid</x:v>
      </x:c>
      <x:c r="M761" s="2" t="str">
        <x:v>QR</x:v>
      </x:c>
      <x:c r="N761" s="2" t="n">
        <x:v>1</x:v>
      </x:c>
      <x:c r="O761" s="2" t="str">
        <x:v>Accepted</x:v>
      </x:c>
      <x:c r="P761" s="2" t="str">
        <x:v>S001</x:v>
      </x:c>
      <x:c r="Q761" s="2" t="str">
        <x:v>DEV001</x:v>
      </x:c>
      <x:c r="R761" s="2" t="n">
        <x:v>56</x:v>
      </x:c>
      <x:c r="S761" s="2" t="str">
        <x:v>Online</x:v>
      </x:c>
      <x:c r="T761" s="2" t="str">
        <x:v>Synced</x:v>
      </x:c>
    </x:row>
    <x:row r="762" ht="21" customHeight="1">
      <x:c r="A762" s="2" t="str">
        <x:v>EV000726</x:v>
      </x:c>
      <x:c r="B762" s="2" t="str">
        <x:v>T20261005-2-2</x:v>
      </x:c>
      <x:c r="C762" s="2" t="str">
        <x:v>ST076</x:v>
      </x:c>
      <x:c r="D762" s="2" t="str">
        <x:v>08979b9eef223b076885fe932d9f2bca</x:v>
      </x:c>
      <x:c r="E762" s="2" t="str">
        <x:v>CHECK_OUT</x:v>
      </x:c>
      <x:c r="F762" s="8" t="n">
        <x:v>46300.50677083334</x:v>
      </x:c>
      <x:c r="G762" s="8" t="n">
        <x:v>46300.50679398148</x:v>
      </x:c>
      <x:c r="H762" s="2" t="str">
        <x:v>SCH01</x:v>
      </x:c>
      <x:c r="I762" s="9" t="n">
        <x:v>25.285</x:v>
      </x:c>
      <x:c r="J762" s="9" t="n">
        <x:v>51.51</x:v>
      </x:c>
      <x:c r="K762" s="2" t="n">
        <x:v>8</x:v>
      </x:c>
      <x:c r="L762" s="2" t="str">
        <x:v>Valid</x:v>
      </x:c>
      <x:c r="M762" s="2" t="str">
        <x:v>QR</x:v>
      </x:c>
      <x:c r="N762" s="2" t="n">
        <x:v>1</x:v>
      </x:c>
      <x:c r="O762" s="2" t="str">
        <x:v>Accepted</x:v>
      </x:c>
      <x:c r="P762" s="2" t="str">
        <x:v>S002</x:v>
      </x:c>
      <x:c r="Q762" s="2" t="str">
        <x:v>DEV002</x:v>
      </x:c>
      <x:c r="R762" s="2" t="n">
        <x:v>54</x:v>
      </x:c>
      <x:c r="S762" s="2" t="str">
        <x:v>Online</x:v>
      </x:c>
      <x:c r="T762" s="2" t="str">
        <x:v>Synced</x:v>
      </x:c>
    </x:row>
    <x:row r="763" ht="21" customHeight="1">
      <x:c r="A763" s="2" t="str">
        <x:v>EV000886</x:v>
      </x:c>
      <x:c r="B763" s="2" t="str">
        <x:v>T20261005-2-3</x:v>
      </x:c>
      <x:c r="C763" s="2" t="str">
        <x:v>ST116</x:v>
      </x:c>
      <x:c r="D763" s="2" t="str">
        <x:v>1c1fddc89afc564845795907cf1b7b0e</x:v>
      </x:c>
      <x:c r="E763" s="2" t="str">
        <x:v>CHECK_OUT</x:v>
      </x:c>
      <x:c r="F763" s="8" t="n">
        <x:v>46300.50677083334</x:v>
      </x:c>
      <x:c r="G763" s="8" t="n">
        <x:v>46300.50679398148</x:v>
      </x:c>
      <x:c r="H763" s="2" t="str">
        <x:v>SCH01</x:v>
      </x:c>
      <x:c r="I763" s="9" t="n">
        <x:v>25.285</x:v>
      </x:c>
      <x:c r="J763" s="9" t="n">
        <x:v>51.51</x:v>
      </x:c>
      <x:c r="K763" s="2" t="n">
        <x:v>8</x:v>
      </x:c>
      <x:c r="L763" s="2" t="str">
        <x:v>Valid</x:v>
      </x:c>
      <x:c r="M763" s="2" t="str">
        <x:v>QR</x:v>
      </x:c>
      <x:c r="N763" s="2" t="n">
        <x:v>1</x:v>
      </x:c>
      <x:c r="O763" s="2" t="str">
        <x:v>Accepted</x:v>
      </x:c>
      <x:c r="P763" s="2" t="str">
        <x:v>S003</x:v>
      </x:c>
      <x:c r="Q763" s="2" t="str">
        <x:v>DEV003</x:v>
      </x:c>
      <x:c r="R763" s="2" t="n">
        <x:v>56</x:v>
      </x:c>
      <x:c r="S763" s="2" t="str">
        <x:v>Online</x:v>
      </x:c>
      <x:c r="T763" s="2" t="str">
        <x:v>Synced</x:v>
      </x:c>
    </x:row>
    <x:row r="764" ht="21" customHeight="1">
      <x:c r="A764" s="2" t="str">
        <x:v>EV000572</x:v>
      </x:c>
      <x:c r="B764" s="2" t="str">
        <x:v>T20261005-2-1</x:v>
      </x:c>
      <x:c r="C764" s="2" t="str">
        <x:v>ST037</x:v>
      </x:c>
      <x:c r="D764" s="2" t="str">
        <x:v>eb6cdfa5572c8f6959c8b9c84b8ec493</x:v>
      </x:c>
      <x:c r="E764" s="2" t="str">
        <x:v>CHECK_OUT</x:v>
      </x:c>
      <x:c r="F764" s="8" t="n">
        <x:v>46300.50680555556</x:v>
      </x:c>
      <x:c r="G764" s="8" t="n">
        <x:v>46300.50682870371</x:v>
      </x:c>
      <x:c r="H764" s="2" t="str">
        <x:v>SCH01</x:v>
      </x:c>
      <x:c r="I764" s="9" t="n">
        <x:v>25.285</x:v>
      </x:c>
      <x:c r="J764" s="9" t="n">
        <x:v>51.51</x:v>
      </x:c>
      <x:c r="K764" s="2" t="n">
        <x:v>8</x:v>
      </x:c>
      <x:c r="L764" s="2" t="str">
        <x:v>Valid</x:v>
      </x:c>
      <x:c r="M764" s="2" t="str">
        <x:v>QR</x:v>
      </x:c>
      <x:c r="N764" s="2" t="n">
        <x:v>1</x:v>
      </x:c>
      <x:c r="O764" s="2" t="str">
        <x:v>Accepted</x:v>
      </x:c>
      <x:c r="P764" s="2" t="str">
        <x:v>S001</x:v>
      </x:c>
      <x:c r="Q764" s="2" t="str">
        <x:v>DEV001</x:v>
      </x:c>
      <x:c r="R764" s="2" t="n">
        <x:v>57</x:v>
      </x:c>
      <x:c r="S764" s="2" t="str">
        <x:v>Online</x:v>
      </x:c>
      <x:c r="T764" s="2" t="str">
        <x:v>Synced</x:v>
      </x:c>
    </x:row>
    <x:row r="765" ht="21" customHeight="1">
      <x:c r="A765" s="2" t="str">
        <x:v>EV000728</x:v>
      </x:c>
      <x:c r="B765" s="2" t="str">
        <x:v>T20261005-2-2</x:v>
      </x:c>
      <x:c r="C765" s="2" t="str">
        <x:v>ST077</x:v>
      </x:c>
      <x:c r="D765" s="2" t="str">
        <x:v>af7b8314f6c372daf48e6b95332f6a0f</x:v>
      </x:c>
      <x:c r="E765" s="2" t="str">
        <x:v>CHECK_OUT</x:v>
      </x:c>
      <x:c r="F765" s="8" t="n">
        <x:v>46300.50680555556</x:v>
      </x:c>
      <x:c r="G765" s="8" t="n">
        <x:v>46300.50682870371</x:v>
      </x:c>
      <x:c r="H765" s="2" t="str">
        <x:v>SCH01</x:v>
      </x:c>
      <x:c r="I765" s="9" t="n">
        <x:v>25.285</x:v>
      </x:c>
      <x:c r="J765" s="9" t="n">
        <x:v>51.51</x:v>
      </x:c>
      <x:c r="K765" s="2" t="n">
        <x:v>8</x:v>
      </x:c>
      <x:c r="L765" s="2" t="str">
        <x:v>Valid</x:v>
      </x:c>
      <x:c r="M765" s="2" t="str">
        <x:v>QR</x:v>
      </x:c>
      <x:c r="N765" s="2" t="n">
        <x:v>1</x:v>
      </x:c>
      <x:c r="O765" s="2" t="str">
        <x:v>Accepted</x:v>
      </x:c>
      <x:c r="P765" s="2" t="str">
        <x:v>S002</x:v>
      </x:c>
      <x:c r="Q765" s="2" t="str">
        <x:v>DEV002</x:v>
      </x:c>
      <x:c r="R765" s="2" t="n">
        <x:v>55</x:v>
      </x:c>
      <x:c r="S765" s="2" t="str">
        <x:v>Online</x:v>
      </x:c>
      <x:c r="T765" s="2" t="str">
        <x:v>Synced</x:v>
      </x:c>
    </x:row>
    <x:row r="766" ht="21" customHeight="1">
      <x:c r="A766" s="2" t="str">
        <x:v>EV000888</x:v>
      </x:c>
      <x:c r="B766" s="2" t="str">
        <x:v>T20261005-2-3</x:v>
      </x:c>
      <x:c r="C766" s="2" t="str">
        <x:v>ST117</x:v>
      </x:c>
      <x:c r="D766" s="2" t="str">
        <x:v>195a54aea4adbe89371209e73878e4fe</x:v>
      </x:c>
      <x:c r="E766" s="2" t="str">
        <x:v>CHECK_OUT</x:v>
      </x:c>
      <x:c r="F766" s="8" t="n">
        <x:v>46300.50680555556</x:v>
      </x:c>
      <x:c r="G766" s="8" t="n">
        <x:v>46300.50682870371</x:v>
      </x:c>
      <x:c r="H766" s="2" t="str">
        <x:v>SCH01</x:v>
      </x:c>
      <x:c r="I766" s="9" t="n">
        <x:v>25.285</x:v>
      </x:c>
      <x:c r="J766" s="9" t="n">
        <x:v>51.51</x:v>
      </x:c>
      <x:c r="K766" s="2" t="n">
        <x:v>8</x:v>
      </x:c>
      <x:c r="L766" s="2" t="str">
        <x:v>Valid</x:v>
      </x:c>
      <x:c r="M766" s="2" t="str">
        <x:v>QR</x:v>
      </x:c>
      <x:c r="N766" s="2" t="n">
        <x:v>1</x:v>
      </x:c>
      <x:c r="O766" s="2" t="str">
        <x:v>Accepted</x:v>
      </x:c>
      <x:c r="P766" s="2" t="str">
        <x:v>S003</x:v>
      </x:c>
      <x:c r="Q766" s="2" t="str">
        <x:v>DEV003</x:v>
      </x:c>
      <x:c r="R766" s="2" t="n">
        <x:v>57</x:v>
      </x:c>
      <x:c r="S766" s="2" t="str">
        <x:v>Online</x:v>
      </x:c>
      <x:c r="T766" s="2" t="str">
        <x:v>Synced</x:v>
      </x:c>
    </x:row>
    <x:row r="767" ht="21" customHeight="1">
      <x:c r="A767" s="2" t="str">
        <x:v>EV000574</x:v>
      </x:c>
      <x:c r="B767" s="2" t="str">
        <x:v>T20261005-2-1</x:v>
      </x:c>
      <x:c r="C767" s="2" t="str">
        <x:v>ST038</x:v>
      </x:c>
      <x:c r="D767" s="2" t="str">
        <x:v>1ebedd777293ba897970ae7fc06b6301</x:v>
      </x:c>
      <x:c r="E767" s="2" t="str">
        <x:v>CHECK_OUT</x:v>
      </x:c>
      <x:c r="F767" s="8" t="n">
        <x:v>46300.50684027778</x:v>
      </x:c>
      <x:c r="G767" s="8" t="n">
        <x:v>46300.50686342593</x:v>
      </x:c>
      <x:c r="H767" s="2" t="str">
        <x:v>SCH01</x:v>
      </x:c>
      <x:c r="I767" s="9" t="n">
        <x:v>25.285</x:v>
      </x:c>
      <x:c r="J767" s="9" t="n">
        <x:v>51.51</x:v>
      </x:c>
      <x:c r="K767" s="2" t="n">
        <x:v>8</x:v>
      </x:c>
      <x:c r="L767" s="2" t="str">
        <x:v>Valid</x:v>
      </x:c>
      <x:c r="M767" s="2" t="str">
        <x:v>QR</x:v>
      </x:c>
      <x:c r="N767" s="2" t="n">
        <x:v>1</x:v>
      </x:c>
      <x:c r="O767" s="2" t="str">
        <x:v>Accepted</x:v>
      </x:c>
      <x:c r="P767" s="2" t="str">
        <x:v>S001</x:v>
      </x:c>
      <x:c r="Q767" s="2" t="str">
        <x:v>DEV001</x:v>
      </x:c>
      <x:c r="R767" s="2" t="n">
        <x:v>58</x:v>
      </x:c>
      <x:c r="S767" s="2" t="str">
        <x:v>Online</x:v>
      </x:c>
      <x:c r="T767" s="2" t="str">
        <x:v>Synced</x:v>
      </x:c>
    </x:row>
    <x:row r="768" ht="21" customHeight="1">
      <x:c r="A768" s="2" t="str">
        <x:v>EV000730</x:v>
      </x:c>
      <x:c r="B768" s="2" t="str">
        <x:v>T20261005-2-2</x:v>
      </x:c>
      <x:c r="C768" s="2" t="str">
        <x:v>ST078</x:v>
      </x:c>
      <x:c r="D768" s="2" t="str">
        <x:v>737ab4e672bf11e638a47ae295f7e187</x:v>
      </x:c>
      <x:c r="E768" s="2" t="str">
        <x:v>CHECK_OUT</x:v>
      </x:c>
      <x:c r="F768" s="8" t="n">
        <x:v>46300.50684027778</x:v>
      </x:c>
      <x:c r="G768" s="8" t="n">
        <x:v>46300.50686342593</x:v>
      </x:c>
      <x:c r="H768" s="2" t="str">
        <x:v>SCH01</x:v>
      </x:c>
      <x:c r="I768" s="9" t="n">
        <x:v>25.285</x:v>
      </x:c>
      <x:c r="J768" s="9" t="n">
        <x:v>51.51</x:v>
      </x:c>
      <x:c r="K768" s="2" t="n">
        <x:v>8</x:v>
      </x:c>
      <x:c r="L768" s="2" t="str">
        <x:v>Valid</x:v>
      </x:c>
      <x:c r="M768" s="2" t="str">
        <x:v>QR</x:v>
      </x:c>
      <x:c r="N768" s="2" t="n">
        <x:v>1</x:v>
      </x:c>
      <x:c r="O768" s="2" t="str">
        <x:v>Accepted</x:v>
      </x:c>
      <x:c r="P768" s="2" t="str">
        <x:v>S002</x:v>
      </x:c>
      <x:c r="Q768" s="2" t="str">
        <x:v>DEV002</x:v>
      </x:c>
      <x:c r="R768" s="2" t="n">
        <x:v>56</x:v>
      </x:c>
      <x:c r="S768" s="2" t="str">
        <x:v>Online</x:v>
      </x:c>
      <x:c r="T768" s="2" t="str">
        <x:v>Synced</x:v>
      </x:c>
    </x:row>
    <x:row r="769" ht="21" customHeight="1">
      <x:c r="A769" s="2" t="str">
        <x:v>EV000890</x:v>
      </x:c>
      <x:c r="B769" s="2" t="str">
        <x:v>T20261005-2-3</x:v>
      </x:c>
      <x:c r="C769" s="2" t="str">
        <x:v>ST118</x:v>
      </x:c>
      <x:c r="D769" s="2" t="str">
        <x:v>b15012a6111b47a10bdbbcbbd00c9f60</x:v>
      </x:c>
      <x:c r="E769" s="2" t="str">
        <x:v>CHECK_OUT</x:v>
      </x:c>
      <x:c r="F769" s="8" t="n">
        <x:v>46300.50684027778</x:v>
      </x:c>
      <x:c r="G769" s="8" t="n">
        <x:v>46300.50686342593</x:v>
      </x:c>
      <x:c r="H769" s="2" t="str">
        <x:v>SCH01</x:v>
      </x:c>
      <x:c r="I769" s="9" t="n">
        <x:v>25.285</x:v>
      </x:c>
      <x:c r="J769" s="9" t="n">
        <x:v>51.51</x:v>
      </x:c>
      <x:c r="K769" s="2" t="n">
        <x:v>8</x:v>
      </x:c>
      <x:c r="L769" s="2" t="str">
        <x:v>Valid</x:v>
      </x:c>
      <x:c r="M769" s="2" t="str">
        <x:v>QR</x:v>
      </x:c>
      <x:c r="N769" s="2" t="n">
        <x:v>1</x:v>
      </x:c>
      <x:c r="O769" s="2" t="str">
        <x:v>Accepted</x:v>
      </x:c>
      <x:c r="P769" s="2" t="str">
        <x:v>S003</x:v>
      </x:c>
      <x:c r="Q769" s="2" t="str">
        <x:v>DEV003</x:v>
      </x:c>
      <x:c r="R769" s="2" t="n">
        <x:v>58</x:v>
      </x:c>
      <x:c r="S769" s="2" t="str">
        <x:v>Online</x:v>
      </x:c>
      <x:c r="T769" s="2" t="str">
        <x:v>Synced</x:v>
      </x:c>
    </x:row>
    <x:row r="770" ht="21" customHeight="1">
      <x:c r="A770" s="2" t="str">
        <x:v>EV000576</x:v>
      </x:c>
      <x:c r="B770" s="2" t="str">
        <x:v>T20261005-2-1</x:v>
      </x:c>
      <x:c r="C770" s="2" t="str">
        <x:v>ST039</x:v>
      </x:c>
      <x:c r="D770" s="2" t="str">
        <x:v>31ed548c9c06f555ac72ac2281bbb58a</x:v>
      </x:c>
      <x:c r="E770" s="2" t="str">
        <x:v>CHECK_OUT</x:v>
      </x:c>
      <x:c r="F770" s="8" t="n">
        <x:v>46300.50687500001</x:v>
      </x:c>
      <x:c r="G770" s="8" t="n">
        <x:v>46300.50689814815</x:v>
      </x:c>
      <x:c r="H770" s="2" t="str">
        <x:v>SCH01</x:v>
      </x:c>
      <x:c r="I770" s="9" t="n">
        <x:v>25.285</x:v>
      </x:c>
      <x:c r="J770" s="9" t="n">
        <x:v>51.51</x:v>
      </x:c>
      <x:c r="K770" s="2" t="n">
        <x:v>8</x:v>
      </x:c>
      <x:c r="L770" s="2" t="str">
        <x:v>Valid</x:v>
      </x:c>
      <x:c r="M770" s="2" t="str">
        <x:v>QR</x:v>
      </x:c>
      <x:c r="N770" s="2" t="n">
        <x:v>1</x:v>
      </x:c>
      <x:c r="O770" s="2" t="str">
        <x:v>Accepted</x:v>
      </x:c>
      <x:c r="P770" s="2" t="str">
        <x:v>S001</x:v>
      </x:c>
      <x:c r="Q770" s="2" t="str">
        <x:v>DEV001</x:v>
      </x:c>
      <x:c r="R770" s="2" t="n">
        <x:v>59</x:v>
      </x:c>
      <x:c r="S770" s="2" t="str">
        <x:v>Online</x:v>
      </x:c>
      <x:c r="T770" s="2" t="str">
        <x:v>Synced</x:v>
      </x:c>
    </x:row>
    <x:row r="771" ht="21" customHeight="1">
      <x:c r="A771" s="2" t="str">
        <x:v>EV000732</x:v>
      </x:c>
      <x:c r="B771" s="2" t="str">
        <x:v>T20261005-2-2</x:v>
      </x:c>
      <x:c r="C771" s="2" t="str">
        <x:v>ST079</x:v>
      </x:c>
      <x:c r="D771" s="2" t="str">
        <x:v>3a794a47ff11773398f2344554eeea57</x:v>
      </x:c>
      <x:c r="E771" s="2" t="str">
        <x:v>CHECK_OUT</x:v>
      </x:c>
      <x:c r="F771" s="8" t="n">
        <x:v>46300.50687500001</x:v>
      </x:c>
      <x:c r="G771" s="8" t="n">
        <x:v>46300.50689814815</x:v>
      </x:c>
      <x:c r="H771" s="2" t="str">
        <x:v>SCH01</x:v>
      </x:c>
      <x:c r="I771" s="9" t="n">
        <x:v>25.285</x:v>
      </x:c>
      <x:c r="J771" s="9" t="n">
        <x:v>51.51</x:v>
      </x:c>
      <x:c r="K771" s="2" t="n">
        <x:v>8</x:v>
      </x:c>
      <x:c r="L771" s="2" t="str">
        <x:v>Valid</x:v>
      </x:c>
      <x:c r="M771" s="2" t="str">
        <x:v>QR</x:v>
      </x:c>
      <x:c r="N771" s="2" t="n">
        <x:v>1</x:v>
      </x:c>
      <x:c r="O771" s="2" t="str">
        <x:v>Accepted</x:v>
      </x:c>
      <x:c r="P771" s="2" t="str">
        <x:v>S002</x:v>
      </x:c>
      <x:c r="Q771" s="2" t="str">
        <x:v>DEV002</x:v>
      </x:c>
      <x:c r="R771" s="2" t="n">
        <x:v>57</x:v>
      </x:c>
      <x:c r="S771" s="2" t="str">
        <x:v>Online</x:v>
      </x:c>
      <x:c r="T771" s="2" t="str">
        <x:v>Synced</x:v>
      </x:c>
    </x:row>
    <x:row r="772" ht="21" customHeight="1">
      <x:c r="A772" s="2" t="str">
        <x:v>EV000892</x:v>
      </x:c>
      <x:c r="B772" s="2" t="str">
        <x:v>T20261005-2-3</x:v>
      </x:c>
      <x:c r="C772" s="2" t="str">
        <x:v>ST119</x:v>
      </x:c>
      <x:c r="D772" s="2" t="str">
        <x:v>c01a05a48293e3b7c907c4b326c0d0a8</x:v>
      </x:c>
      <x:c r="E772" s="2" t="str">
        <x:v>CHECK_OUT</x:v>
      </x:c>
      <x:c r="F772" s="8" t="n">
        <x:v>46300.50687500001</x:v>
      </x:c>
      <x:c r="G772" s="8" t="n">
        <x:v>46300.50689814815</x:v>
      </x:c>
      <x:c r="H772" s="2" t="str">
        <x:v>SCH01</x:v>
      </x:c>
      <x:c r="I772" s="9" t="n">
        <x:v>25.285</x:v>
      </x:c>
      <x:c r="J772" s="9" t="n">
        <x:v>51.51</x:v>
      </x:c>
      <x:c r="K772" s="2" t="n">
        <x:v>8</x:v>
      </x:c>
      <x:c r="L772" s="2" t="str">
        <x:v>Valid</x:v>
      </x:c>
      <x:c r="M772" s="2" t="str">
        <x:v>QR</x:v>
      </x:c>
      <x:c r="N772" s="2" t="n">
        <x:v>1</x:v>
      </x:c>
      <x:c r="O772" s="2" t="str">
        <x:v>Accepted</x:v>
      </x:c>
      <x:c r="P772" s="2" t="str">
        <x:v>S003</x:v>
      </x:c>
      <x:c r="Q772" s="2" t="str">
        <x:v>DEV003</x:v>
      </x:c>
      <x:c r="R772" s="2" t="n">
        <x:v>59</x:v>
      </x:c>
      <x:c r="S772" s="2" t="str">
        <x:v>Online</x:v>
      </x:c>
      <x:c r="T772" s="2" t="str">
        <x:v>Synced</x:v>
      </x:c>
    </x:row>
    <x:row r="773" ht="21" customHeight="1">
      <x:c r="A773" s="2" t="str">
        <x:v>EV000578</x:v>
      </x:c>
      <x:c r="B773" s="2" t="str">
        <x:v>T20261005-2-1</x:v>
      </x:c>
      <x:c r="C773" s="2" t="str">
        <x:v>ST040</x:v>
      </x:c>
      <x:c r="D773" s="2" t="str">
        <x:v>4cd5e507bb3c8af27cd11d16138dcec0</x:v>
      </x:c>
      <x:c r="E773" s="2" t="str">
        <x:v>CHECK_OUT</x:v>
      </x:c>
      <x:c r="F773" s="8" t="n">
        <x:v>46300.50690972222</x:v>
      </x:c>
      <x:c r="G773" s="8" t="n">
        <x:v>46300.50693287037</x:v>
      </x:c>
      <x:c r="H773" s="2" t="str">
        <x:v>SCH01</x:v>
      </x:c>
      <x:c r="I773" s="9" t="n">
        <x:v>25.285</x:v>
      </x:c>
      <x:c r="J773" s="9" t="n">
        <x:v>51.51</x:v>
      </x:c>
      <x:c r="K773" s="2" t="n">
        <x:v>8</x:v>
      </x:c>
      <x:c r="L773" s="2" t="str">
        <x:v>Valid</x:v>
      </x:c>
      <x:c r="M773" s="2" t="str">
        <x:v>QR</x:v>
      </x:c>
      <x:c r="N773" s="2" t="n">
        <x:v>1</x:v>
      </x:c>
      <x:c r="O773" s="2" t="str">
        <x:v>Accepted</x:v>
      </x:c>
      <x:c r="P773" s="2" t="str">
        <x:v>S001</x:v>
      </x:c>
      <x:c r="Q773" s="2" t="str">
        <x:v>DEV001</x:v>
      </x:c>
      <x:c r="R773" s="2" t="n">
        <x:v>60</x:v>
      </x:c>
      <x:c r="S773" s="2" t="str">
        <x:v>Online</x:v>
      </x:c>
      <x:c r="T773" s="2" t="str">
        <x:v>Synced</x:v>
      </x:c>
    </x:row>
    <x:row r="774" ht="21" customHeight="1">
      <x:c r="A774" s="2" t="str">
        <x:v>EV000734</x:v>
      </x:c>
      <x:c r="B774" s="2" t="str">
        <x:v>T20261005-2-2</x:v>
      </x:c>
      <x:c r="C774" s="2" t="str">
        <x:v>ST080</x:v>
      </x:c>
      <x:c r="D774" s="2" t="str">
        <x:v>0abaf17d1472c0347862177fd9880be2</x:v>
      </x:c>
      <x:c r="E774" s="2" t="str">
        <x:v>CHECK_OUT</x:v>
      </x:c>
      <x:c r="F774" s="8" t="n">
        <x:v>46300.50690972222</x:v>
      </x:c>
      <x:c r="G774" s="8" t="n">
        <x:v>46300.50693287037</x:v>
      </x:c>
      <x:c r="H774" s="2" t="str">
        <x:v>SCH01</x:v>
      </x:c>
      <x:c r="I774" s="9" t="n">
        <x:v>25.285</x:v>
      </x:c>
      <x:c r="J774" s="9" t="n">
        <x:v>51.51</x:v>
      </x:c>
      <x:c r="K774" s="2" t="n">
        <x:v>8</x:v>
      </x:c>
      <x:c r="L774" s="2" t="str">
        <x:v>Valid</x:v>
      </x:c>
      <x:c r="M774" s="2" t="str">
        <x:v>QR</x:v>
      </x:c>
      <x:c r="N774" s="2" t="n">
        <x:v>1</x:v>
      </x:c>
      <x:c r="O774" s="2" t="str">
        <x:v>Accepted</x:v>
      </x:c>
      <x:c r="P774" s="2" t="str">
        <x:v>S002</x:v>
      </x:c>
      <x:c r="Q774" s="2" t="str">
        <x:v>DEV002</x:v>
      </x:c>
      <x:c r="R774" s="2" t="n">
        <x:v>58</x:v>
      </x:c>
      <x:c r="S774" s="2" t="str">
        <x:v>Online</x:v>
      </x:c>
      <x:c r="T774" s="2" t="str">
        <x:v>Synced</x:v>
      </x:c>
    </x:row>
    <x:row r="775" ht="21" customHeight="1">
      <x:c r="A775" s="2" t="str">
        <x:v>EV000894</x:v>
      </x:c>
      <x:c r="B775" s="2" t="str">
        <x:v>T20261005-2-3</x:v>
      </x:c>
      <x:c r="C775" s="2" t="str">
        <x:v>ST120</x:v>
      </x:c>
      <x:c r="D775" s="2" t="str">
        <x:v>c3749f3342e76b516e5c145f91308219</x:v>
      </x:c>
      <x:c r="E775" s="2" t="str">
        <x:v>CHECK_OUT</x:v>
      </x:c>
      <x:c r="F775" s="8" t="n">
        <x:v>46300.50690972222</x:v>
      </x:c>
      <x:c r="G775" s="8" t="n">
        <x:v>46300.50693287037</x:v>
      </x:c>
      <x:c r="H775" s="2" t="str">
        <x:v>SCH01</x:v>
      </x:c>
      <x:c r="I775" s="9" t="n">
        <x:v>25.285</x:v>
      </x:c>
      <x:c r="J775" s="9" t="n">
        <x:v>51.51</x:v>
      </x:c>
      <x:c r="K775" s="2" t="n">
        <x:v>8</x:v>
      </x:c>
      <x:c r="L775" s="2" t="str">
        <x:v>Valid</x:v>
      </x:c>
      <x:c r="M775" s="2" t="str">
        <x:v>QR</x:v>
      </x:c>
      <x:c r="N775" s="2" t="n">
        <x:v>1</x:v>
      </x:c>
      <x:c r="O775" s="2" t="str">
        <x:v>Accepted</x:v>
      </x:c>
      <x:c r="P775" s="2" t="str">
        <x:v>S003</x:v>
      </x:c>
      <x:c r="Q775" s="2" t="str">
        <x:v>DEV003</x:v>
      </x:c>
      <x:c r="R775" s="2" t="n">
        <x:v>60</x:v>
      </x:c>
      <x:c r="S775" s="2" t="str">
        <x:v>Online</x:v>
      </x:c>
      <x:c r="T775" s="2" t="str">
        <x:v>Synced</x:v>
      </x:c>
    </x:row>
    <x:row r="776" ht="21" customHeight="1">
      <x:c r="A776" s="2" t="str">
        <x:v>EV000579</x:v>
      </x:c>
      <x:c r="B776" s="2" t="str">
        <x:v>T20261005-3-1</x:v>
      </x:c>
      <x:c r="C776" s="2" t="str">
        <x:v>ST011</x:v>
      </x:c>
      <x:c r="D776" s="2" t="str">
        <x:v>38c917effc7ec45ac750455eb7892f3e</x:v>
      </x:c>
      <x:c r="E776" s="2" t="str">
        <x:v>CHECK_IN</x:v>
      </x:c>
      <x:c r="F776" s="8" t="n">
        <x:v>46300.57291666667</x:v>
      </x:c>
      <x:c r="G776" s="8" t="n">
        <x:v>46300.57293981482</x:v>
      </x:c>
      <x:c r="H776" s="2" t="str">
        <x:v>SCH01</x:v>
      </x:c>
      <x:c r="I776" s="9" t="n">
        <x:v>25.285</x:v>
      </x:c>
      <x:c r="J776" s="9" t="n">
        <x:v>51.51</x:v>
      </x:c>
      <x:c r="K776" s="2" t="n">
        <x:v>8</x:v>
      </x:c>
      <x:c r="L776" s="2" t="str">
        <x:v>Valid</x:v>
      </x:c>
      <x:c r="M776" s="2" t="str">
        <x:v>QR</x:v>
      </x:c>
      <x:c r="N776" s="2" t="n">
        <x:v>1</x:v>
      </x:c>
      <x:c r="O776" s="2" t="str">
        <x:v>Accepted</x:v>
      </x:c>
      <x:c r="P776" s="2" t="str">
        <x:v>S001</x:v>
      </x:c>
      <x:c r="Q776" s="2" t="str">
        <x:v>DEV001</x:v>
      </x:c>
      <x:c r="R776" s="2" t="n">
        <x:v>1</x:v>
      </x:c>
      <x:c r="S776" s="2" t="str">
        <x:v>Online</x:v>
      </x:c>
      <x:c r="T776" s="2" t="str">
        <x:v>Synced</x:v>
      </x:c>
    </x:row>
    <x:row r="777" ht="21" customHeight="1">
      <x:c r="A777" s="2" t="str">
        <x:v>EV000735</x:v>
      </x:c>
      <x:c r="B777" s="2" t="str">
        <x:v>T20261005-3-2</x:v>
      </x:c>
      <x:c r="C777" s="2" t="str">
        <x:v>ST051</x:v>
      </x:c>
      <x:c r="D777" s="2" t="str">
        <x:v>410a66d29aea7be5806f7d6945266303</x:v>
      </x:c>
      <x:c r="E777" s="2" t="str">
        <x:v>CHECK_IN</x:v>
      </x:c>
      <x:c r="F777" s="8" t="n">
        <x:v>46300.57291666667</x:v>
      </x:c>
      <x:c r="G777" s="8" t="n">
        <x:v>46300.57293981482</x:v>
      </x:c>
      <x:c r="H777" s="2" t="str">
        <x:v>SCH01</x:v>
      </x:c>
      <x:c r="I777" s="9" t="n">
        <x:v>25.285</x:v>
      </x:c>
      <x:c r="J777" s="9" t="n">
        <x:v>51.51</x:v>
      </x:c>
      <x:c r="K777" s="2" t="n">
        <x:v>8</x:v>
      </x:c>
      <x:c r="L777" s="2" t="str">
        <x:v>Valid</x:v>
      </x:c>
      <x:c r="M777" s="2" t="str">
        <x:v>QR</x:v>
      </x:c>
      <x:c r="N777" s="2" t="n">
        <x:v>1</x:v>
      </x:c>
      <x:c r="O777" s="2" t="str">
        <x:v>Accepted</x:v>
      </x:c>
      <x:c r="P777" s="2" t="str">
        <x:v>S002</x:v>
      </x:c>
      <x:c r="Q777" s="2" t="str">
        <x:v>DEV002</x:v>
      </x:c>
      <x:c r="R777" s="2" t="n">
        <x:v>1</x:v>
      </x:c>
      <x:c r="S777" s="2" t="str">
        <x:v>Online</x:v>
      </x:c>
      <x:c r="T777" s="2" t="str">
        <x:v>Synced</x:v>
      </x:c>
    </x:row>
    <x:row r="778" ht="21" customHeight="1">
      <x:c r="A778" s="2" t="str">
        <x:v>EV000895</x:v>
      </x:c>
      <x:c r="B778" s="2" t="str">
        <x:v>T20261005-3-3</x:v>
      </x:c>
      <x:c r="C778" s="2" t="str">
        <x:v>ST091</x:v>
      </x:c>
      <x:c r="D778" s="2" t="str">
        <x:v>2d74afc7329a1eb53bd16a92fc366891</x:v>
      </x:c>
      <x:c r="E778" s="2" t="str">
        <x:v>CHECK_IN</x:v>
      </x:c>
      <x:c r="F778" s="8" t="n">
        <x:v>46300.57291666667</x:v>
      </x:c>
      <x:c r="G778" s="8" t="n">
        <x:v>46300.57293981482</x:v>
      </x:c>
      <x:c r="H778" s="2" t="str">
        <x:v>SCH01</x:v>
      </x:c>
      <x:c r="I778" s="9" t="n">
        <x:v>25.285</x:v>
      </x:c>
      <x:c r="J778" s="9" t="n">
        <x:v>51.51</x:v>
      </x:c>
      <x:c r="K778" s="2" t="n">
        <x:v>8</x:v>
      </x:c>
      <x:c r="L778" s="2" t="str">
        <x:v>Valid</x:v>
      </x:c>
      <x:c r="M778" s="2" t="str">
        <x:v>QR</x:v>
      </x:c>
      <x:c r="N778" s="2" t="n">
        <x:v>1</x:v>
      </x:c>
      <x:c r="O778" s="2" t="str">
        <x:v>Accepted</x:v>
      </x:c>
      <x:c r="P778" s="2" t="str">
        <x:v>S003</x:v>
      </x:c>
      <x:c r="Q778" s="2" t="str">
        <x:v>DEV003</x:v>
      </x:c>
      <x:c r="R778" s="2" t="n">
        <x:v>1</x:v>
      </x:c>
      <x:c r="S778" s="2" t="str">
        <x:v>Online</x:v>
      </x:c>
      <x:c r="T778" s="2" t="str">
        <x:v>Synced</x:v>
      </x:c>
    </x:row>
    <x:row r="779" ht="21" customHeight="1">
      <x:c r="A779" s="2" t="str">
        <x:v>EV000581</x:v>
      </x:c>
      <x:c r="B779" s="2" t="str">
        <x:v>T20261005-3-1</x:v>
      </x:c>
      <x:c r="C779" s="2" t="str">
        <x:v>ST012</x:v>
      </x:c>
      <x:c r="D779" s="2" t="str">
        <x:v>8d45a06a93234042b630e18d7821ea23</x:v>
      </x:c>
      <x:c r="E779" s="2" t="str">
        <x:v>CHECK_IN</x:v>
      </x:c>
      <x:c r="F779" s="8" t="n">
        <x:v>46300.572951388895</x:v>
      </x:c>
      <x:c r="G779" s="8" t="n">
        <x:v>46300.57297453704</x:v>
      </x:c>
      <x:c r="H779" s="2" t="str">
        <x:v>SCH01</x:v>
      </x:c>
      <x:c r="I779" s="9" t="n">
        <x:v>25.285</x:v>
      </x:c>
      <x:c r="J779" s="9" t="n">
        <x:v>51.51</x:v>
      </x:c>
      <x:c r="K779" s="2" t="n">
        <x:v>8</x:v>
      </x:c>
      <x:c r="L779" s="2" t="str">
        <x:v>Valid</x:v>
      </x:c>
      <x:c r="M779" s="2" t="str">
        <x:v>QR</x:v>
      </x:c>
      <x:c r="N779" s="2" t="n">
        <x:v>1</x:v>
      </x:c>
      <x:c r="O779" s="2" t="str">
        <x:v>Accepted</x:v>
      </x:c>
      <x:c r="P779" s="2" t="str">
        <x:v>S001</x:v>
      </x:c>
      <x:c r="Q779" s="2" t="str">
        <x:v>DEV001</x:v>
      </x:c>
      <x:c r="R779" s="2" t="n">
        <x:v>2</x:v>
      </x:c>
      <x:c r="S779" s="2" t="str">
        <x:v>Online</x:v>
      </x:c>
      <x:c r="T779" s="2" t="str">
        <x:v>Synced</x:v>
      </x:c>
    </x:row>
    <x:row r="780" ht="21" customHeight="1">
      <x:c r="A780" s="2" t="str">
        <x:v>EV000737</x:v>
      </x:c>
      <x:c r="B780" s="2" t="str">
        <x:v>T20261005-3-2</x:v>
      </x:c>
      <x:c r="C780" s="2" t="str">
        <x:v>ST052</x:v>
      </x:c>
      <x:c r="D780" s="2" t="str">
        <x:v>0c1c5957fe0604ae228ff5e1e1a785bc</x:v>
      </x:c>
      <x:c r="E780" s="2" t="str">
        <x:v>CHECK_IN</x:v>
      </x:c>
      <x:c r="F780" s="8" t="n">
        <x:v>46300.572951388895</x:v>
      </x:c>
      <x:c r="G780" s="8" t="n">
        <x:v>46300.57297453704</x:v>
      </x:c>
      <x:c r="H780" s="2" t="str">
        <x:v>SCH01</x:v>
      </x:c>
      <x:c r="I780" s="9" t="n">
        <x:v>25.285</x:v>
      </x:c>
      <x:c r="J780" s="9" t="n">
        <x:v>51.51</x:v>
      </x:c>
      <x:c r="K780" s="2" t="n">
        <x:v>8</x:v>
      </x:c>
      <x:c r="L780" s="2" t="str">
        <x:v>Valid</x:v>
      </x:c>
      <x:c r="M780" s="2" t="str">
        <x:v>QR</x:v>
      </x:c>
      <x:c r="N780" s="2" t="n">
        <x:v>1</x:v>
      </x:c>
      <x:c r="O780" s="2" t="str">
        <x:v>Accepted</x:v>
      </x:c>
      <x:c r="P780" s="2" t="str">
        <x:v>S002</x:v>
      </x:c>
      <x:c r="Q780" s="2" t="str">
        <x:v>DEV002</x:v>
      </x:c>
      <x:c r="R780" s="2" t="n">
        <x:v>2</x:v>
      </x:c>
      <x:c r="S780" s="2" t="str">
        <x:v>Online</x:v>
      </x:c>
      <x:c r="T780" s="2" t="str">
        <x:v>Synced</x:v>
      </x:c>
    </x:row>
    <x:row r="781" ht="21" customHeight="1">
      <x:c r="A781" s="2" t="str">
        <x:v>EV000897</x:v>
      </x:c>
      <x:c r="B781" s="2" t="str">
        <x:v>T20261005-3-3</x:v>
      </x:c>
      <x:c r="C781" s="2" t="str">
        <x:v>ST092</x:v>
      </x:c>
      <x:c r="D781" s="2" t="str">
        <x:v>e83e93b137787f284ae9574a02ff0cc7</x:v>
      </x:c>
      <x:c r="E781" s="2" t="str">
        <x:v>CHECK_IN</x:v>
      </x:c>
      <x:c r="F781" s="8" t="n">
        <x:v>46300.572951388895</x:v>
      </x:c>
      <x:c r="G781" s="8" t="n">
        <x:v>46300.57297453704</x:v>
      </x:c>
      <x:c r="H781" s="2" t="str">
        <x:v>SCH01</x:v>
      </x:c>
      <x:c r="I781" s="9" t="n">
        <x:v>25.285</x:v>
      </x:c>
      <x:c r="J781" s="9" t="n">
        <x:v>51.51</x:v>
      </x:c>
      <x:c r="K781" s="2" t="n">
        <x:v>8</x:v>
      </x:c>
      <x:c r="L781" s="2" t="str">
        <x:v>Valid</x:v>
      </x:c>
      <x:c r="M781" s="2" t="str">
        <x:v>QR</x:v>
      </x:c>
      <x:c r="N781" s="2" t="n">
        <x:v>1</x:v>
      </x:c>
      <x:c r="O781" s="2" t="str">
        <x:v>Accepted</x:v>
      </x:c>
      <x:c r="P781" s="2" t="str">
        <x:v>S003</x:v>
      </x:c>
      <x:c r="Q781" s="2" t="str">
        <x:v>DEV003</x:v>
      </x:c>
      <x:c r="R781" s="2" t="n">
        <x:v>2</x:v>
      </x:c>
      <x:c r="S781" s="2" t="str">
        <x:v>Online</x:v>
      </x:c>
      <x:c r="T781" s="2" t="str">
        <x:v>Synced</x:v>
      </x:c>
    </x:row>
    <x:row r="782" ht="21" customHeight="1">
      <x:c r="A782" s="2" t="str">
        <x:v>EV000583</x:v>
      </x:c>
      <x:c r="B782" s="2" t="str">
        <x:v>T20261005-3-1</x:v>
      </x:c>
      <x:c r="C782" s="2" t="str">
        <x:v>ST013</x:v>
      </x:c>
      <x:c r="D782" s="2" t="str">
        <x:v>ddc4bbe364f02f5a2177795c49ea7ba9</x:v>
      </x:c>
      <x:c r="E782" s="2" t="str">
        <x:v>CHECK_IN</x:v>
      </x:c>
      <x:c r="F782" s="8" t="n">
        <x:v>46300.57298611112</x:v>
      </x:c>
      <x:c r="G782" s="8" t="n">
        <x:v>46300.573009259264</x:v>
      </x:c>
      <x:c r="H782" s="2" t="str">
        <x:v>SCH01</x:v>
      </x:c>
      <x:c r="I782" s="9" t="n">
        <x:v>25.285</x:v>
      </x:c>
      <x:c r="J782" s="9" t="n">
        <x:v>51.51</x:v>
      </x:c>
      <x:c r="K782" s="2" t="n">
        <x:v>8</x:v>
      </x:c>
      <x:c r="L782" s="2" t="str">
        <x:v>Valid</x:v>
      </x:c>
      <x:c r="M782" s="2" t="str">
        <x:v>QR</x:v>
      </x:c>
      <x:c r="N782" s="2" t="n">
        <x:v>1</x:v>
      </x:c>
      <x:c r="O782" s="2" t="str">
        <x:v>Accepted</x:v>
      </x:c>
      <x:c r="P782" s="2" t="str">
        <x:v>S001</x:v>
      </x:c>
      <x:c r="Q782" s="2" t="str">
        <x:v>DEV001</x:v>
      </x:c>
      <x:c r="R782" s="2" t="n">
        <x:v>3</x:v>
      </x:c>
      <x:c r="S782" s="2" t="str">
        <x:v>Online</x:v>
      </x:c>
      <x:c r="T782" s="2" t="str">
        <x:v>Synced</x:v>
      </x:c>
    </x:row>
    <x:row r="783" ht="21" customHeight="1">
      <x:c r="A783" s="2" t="str">
        <x:v>EV000739</x:v>
      </x:c>
      <x:c r="B783" s="2" t="str">
        <x:v>T20261005-3-2</x:v>
      </x:c>
      <x:c r="C783" s="2" t="str">
        <x:v>ST053</x:v>
      </x:c>
      <x:c r="D783" s="2" t="str">
        <x:v>e476277c519e294480cfa14a37e177a0</x:v>
      </x:c>
      <x:c r="E783" s="2" t="str">
        <x:v>CHECK_IN</x:v>
      </x:c>
      <x:c r="F783" s="8" t="n">
        <x:v>46300.57298611112</x:v>
      </x:c>
      <x:c r="G783" s="8" t="n">
        <x:v>46300.573009259264</x:v>
      </x:c>
      <x:c r="H783" s="2" t="str">
        <x:v>SCH01</x:v>
      </x:c>
      <x:c r="I783" s="9" t="n">
        <x:v>25.285</x:v>
      </x:c>
      <x:c r="J783" s="9" t="n">
        <x:v>51.51</x:v>
      </x:c>
      <x:c r="K783" s="2" t="n">
        <x:v>8</x:v>
      </x:c>
      <x:c r="L783" s="2" t="str">
        <x:v>Valid</x:v>
      </x:c>
      <x:c r="M783" s="2" t="str">
        <x:v>QR</x:v>
      </x:c>
      <x:c r="N783" s="2" t="n">
        <x:v>1</x:v>
      </x:c>
      <x:c r="O783" s="2" t="str">
        <x:v>Accepted</x:v>
      </x:c>
      <x:c r="P783" s="2" t="str">
        <x:v>S002</x:v>
      </x:c>
      <x:c r="Q783" s="2" t="str">
        <x:v>DEV002</x:v>
      </x:c>
      <x:c r="R783" s="2" t="n">
        <x:v>3</x:v>
      </x:c>
      <x:c r="S783" s="2" t="str">
        <x:v>Online</x:v>
      </x:c>
      <x:c r="T783" s="2" t="str">
        <x:v>Synced</x:v>
      </x:c>
    </x:row>
    <x:row r="784" ht="21" customHeight="1">
      <x:c r="A784" s="2" t="str">
        <x:v>EV000899</x:v>
      </x:c>
      <x:c r="B784" s="2" t="str">
        <x:v>T20261005-3-3</x:v>
      </x:c>
      <x:c r="C784" s="2" t="str">
        <x:v>ST093</x:v>
      </x:c>
      <x:c r="D784" s="2" t="str">
        <x:v>e69cdca4f10e82426e9a3098f4672791</x:v>
      </x:c>
      <x:c r="E784" s="2" t="str">
        <x:v>CHECK_IN</x:v>
      </x:c>
      <x:c r="F784" s="8" t="n">
        <x:v>46300.57298611112</x:v>
      </x:c>
      <x:c r="G784" s="8" t="n">
        <x:v>46300.573009259264</x:v>
      </x:c>
      <x:c r="H784" s="2" t="str">
        <x:v>SCH01</x:v>
      </x:c>
      <x:c r="I784" s="9" t="n">
        <x:v>25.285</x:v>
      </x:c>
      <x:c r="J784" s="9" t="n">
        <x:v>51.51</x:v>
      </x:c>
      <x:c r="K784" s="2" t="n">
        <x:v>8</x:v>
      </x:c>
      <x:c r="L784" s="2" t="str">
        <x:v>Valid</x:v>
      </x:c>
      <x:c r="M784" s="2" t="str">
        <x:v>QR</x:v>
      </x:c>
      <x:c r="N784" s="2" t="n">
        <x:v>1</x:v>
      </x:c>
      <x:c r="O784" s="2" t="str">
        <x:v>Accepted</x:v>
      </x:c>
      <x:c r="P784" s="2" t="str">
        <x:v>S003</x:v>
      </x:c>
      <x:c r="Q784" s="2" t="str">
        <x:v>DEV003</x:v>
      </x:c>
      <x:c r="R784" s="2" t="n">
        <x:v>3</x:v>
      </x:c>
      <x:c r="S784" s="2" t="str">
        <x:v>Online</x:v>
      </x:c>
      <x:c r="T784" s="2" t="str">
        <x:v>Synced</x:v>
      </x:c>
    </x:row>
    <x:row r="785" ht="21" customHeight="1">
      <x:c r="A785" s="2" t="str">
        <x:v>EV000585</x:v>
      </x:c>
      <x:c r="B785" s="2" t="str">
        <x:v>T20261005-3-1</x:v>
      </x:c>
      <x:c r="C785" s="2" t="str">
        <x:v>ST014</x:v>
      </x:c>
      <x:c r="D785" s="2" t="str">
        <x:v>6ea4b25306143e251962ae19fa8ee7af</x:v>
      </x:c>
      <x:c r="E785" s="2" t="str">
        <x:v>CHECK_IN</x:v>
      </x:c>
      <x:c r="F785" s="8" t="n">
        <x:v>46300.57302083334</x:v>
      </x:c>
      <x:c r="G785" s="8" t="n">
        <x:v>46300.57304398149</x:v>
      </x:c>
      <x:c r="H785" s="2" t="str">
        <x:v>SCH01</x:v>
      </x:c>
      <x:c r="I785" s="9" t="n">
        <x:v>25.285</x:v>
      </x:c>
      <x:c r="J785" s="9" t="n">
        <x:v>51.51</x:v>
      </x:c>
      <x:c r="K785" s="2" t="n">
        <x:v>8</x:v>
      </x:c>
      <x:c r="L785" s="2" t="str">
        <x:v>Valid</x:v>
      </x:c>
      <x:c r="M785" s="2" t="str">
        <x:v>QR</x:v>
      </x:c>
      <x:c r="N785" s="2" t="n">
        <x:v>1</x:v>
      </x:c>
      <x:c r="O785" s="2" t="str">
        <x:v>Accepted</x:v>
      </x:c>
      <x:c r="P785" s="2" t="str">
        <x:v>S001</x:v>
      </x:c>
      <x:c r="Q785" s="2" t="str">
        <x:v>DEV001</x:v>
      </x:c>
      <x:c r="R785" s="2" t="n">
        <x:v>4</x:v>
      </x:c>
      <x:c r="S785" s="2" t="str">
        <x:v>Online</x:v>
      </x:c>
      <x:c r="T785" s="2" t="str">
        <x:v>Synced</x:v>
      </x:c>
    </x:row>
    <x:row r="786" ht="21" customHeight="1">
      <x:c r="A786" s="2" t="str">
        <x:v>EV000741</x:v>
      </x:c>
      <x:c r="B786" s="2" t="str">
        <x:v>T20261005-3-2</x:v>
      </x:c>
      <x:c r="C786" s="2" t="str">
        <x:v>ST054</x:v>
      </x:c>
      <x:c r="D786" s="2" t="str">
        <x:v>1c9a916db52e081aeb59bc928cb914dd</x:v>
      </x:c>
      <x:c r="E786" s="2" t="str">
        <x:v>CHECK_IN</x:v>
      </x:c>
      <x:c r="F786" s="8" t="n">
        <x:v>46300.57302083334</x:v>
      </x:c>
      <x:c r="G786" s="8" t="n">
        <x:v>46300.57304398149</x:v>
      </x:c>
      <x:c r="H786" s="2" t="str">
        <x:v>SCH01</x:v>
      </x:c>
      <x:c r="I786" s="9" t="n">
        <x:v>25.285</x:v>
      </x:c>
      <x:c r="J786" s="9" t="n">
        <x:v>51.51</x:v>
      </x:c>
      <x:c r="K786" s="2" t="n">
        <x:v>8</x:v>
      </x:c>
      <x:c r="L786" s="2" t="str">
        <x:v>Valid</x:v>
      </x:c>
      <x:c r="M786" s="2" t="str">
        <x:v>QR</x:v>
      </x:c>
      <x:c r="N786" s="2" t="n">
        <x:v>1</x:v>
      </x:c>
      <x:c r="O786" s="2" t="str">
        <x:v>Accepted</x:v>
      </x:c>
      <x:c r="P786" s="2" t="str">
        <x:v>S002</x:v>
      </x:c>
      <x:c r="Q786" s="2" t="str">
        <x:v>DEV002</x:v>
      </x:c>
      <x:c r="R786" s="2" t="n">
        <x:v>4</x:v>
      </x:c>
      <x:c r="S786" s="2" t="str">
        <x:v>Online</x:v>
      </x:c>
      <x:c r="T786" s="2" t="str">
        <x:v>Synced</x:v>
      </x:c>
    </x:row>
    <x:row r="787" ht="21" customHeight="1">
      <x:c r="A787" s="2" t="str">
        <x:v>EV000901</x:v>
      </x:c>
      <x:c r="B787" s="2" t="str">
        <x:v>T20261005-3-3</x:v>
      </x:c>
      <x:c r="C787" s="2" t="str">
        <x:v>ST094</x:v>
      </x:c>
      <x:c r="D787" s="2" t="str">
        <x:v>b6fd37c188877a378c496dccb3132cf2</x:v>
      </x:c>
      <x:c r="E787" s="2" t="str">
        <x:v>CHECK_IN</x:v>
      </x:c>
      <x:c r="F787" s="8" t="n">
        <x:v>46300.57302083334</x:v>
      </x:c>
      <x:c r="G787" s="8" t="n">
        <x:v>46300.57304398149</x:v>
      </x:c>
      <x:c r="H787" s="2" t="str">
        <x:v>SCH01</x:v>
      </x:c>
      <x:c r="I787" s="9" t="n">
        <x:v>25.285</x:v>
      </x:c>
      <x:c r="J787" s="9" t="n">
        <x:v>51.51</x:v>
      </x:c>
      <x:c r="K787" s="2" t="n">
        <x:v>8</x:v>
      </x:c>
      <x:c r="L787" s="2" t="str">
        <x:v>Valid</x:v>
      </x:c>
      <x:c r="M787" s="2" t="str">
        <x:v>QR</x:v>
      </x:c>
      <x:c r="N787" s="2" t="n">
        <x:v>1</x:v>
      </x:c>
      <x:c r="O787" s="2" t="str">
        <x:v>Accepted</x:v>
      </x:c>
      <x:c r="P787" s="2" t="str">
        <x:v>S003</x:v>
      </x:c>
      <x:c r="Q787" s="2" t="str">
        <x:v>DEV003</x:v>
      </x:c>
      <x:c r="R787" s="2" t="n">
        <x:v>4</x:v>
      </x:c>
      <x:c r="S787" s="2" t="str">
        <x:v>Online</x:v>
      </x:c>
      <x:c r="T787" s="2" t="str">
        <x:v>Synced</x:v>
      </x:c>
    </x:row>
    <x:row r="788" ht="21" customHeight="1">
      <x:c r="A788" s="2" t="str">
        <x:v>EV000587</x:v>
      </x:c>
      <x:c r="B788" s="2" t="str">
        <x:v>T20261005-3-1</x:v>
      </x:c>
      <x:c r="C788" s="2" t="str">
        <x:v>ST015</x:v>
      </x:c>
      <x:c r="D788" s="2" t="str">
        <x:v>997c76227e9b12bdccc68d0d53a8d1df</x:v>
      </x:c>
      <x:c r="E788" s="2" t="str">
        <x:v>CHECK_IN</x:v>
      </x:c>
      <x:c r="F788" s="8" t="n">
        <x:v>46300.573055555564</x:v>
      </x:c>
      <x:c r="G788" s="8" t="n">
        <x:v>46300.57307870371</x:v>
      </x:c>
      <x:c r="H788" s="2" t="str">
        <x:v>SCH01</x:v>
      </x:c>
      <x:c r="I788" s="9" t="n">
        <x:v>25.285</x:v>
      </x:c>
      <x:c r="J788" s="9" t="n">
        <x:v>51.51</x:v>
      </x:c>
      <x:c r="K788" s="2" t="n">
        <x:v>8</x:v>
      </x:c>
      <x:c r="L788" s="2" t="str">
        <x:v>Valid</x:v>
      </x:c>
      <x:c r="M788" s="2" t="str">
        <x:v>QR</x:v>
      </x:c>
      <x:c r="N788" s="2" t="n">
        <x:v>1</x:v>
      </x:c>
      <x:c r="O788" s="2" t="str">
        <x:v>Accepted</x:v>
      </x:c>
      <x:c r="P788" s="2" t="str">
        <x:v>S001</x:v>
      </x:c>
      <x:c r="Q788" s="2" t="str">
        <x:v>DEV001</x:v>
      </x:c>
      <x:c r="R788" s="2" t="n">
        <x:v>5</x:v>
      </x:c>
      <x:c r="S788" s="2" t="str">
        <x:v>Online</x:v>
      </x:c>
      <x:c r="T788" s="2" t="str">
        <x:v>Synced</x:v>
      </x:c>
    </x:row>
    <x:row r="789" ht="21" customHeight="1">
      <x:c r="A789" s="2" t="str">
        <x:v>EV000743</x:v>
      </x:c>
      <x:c r="B789" s="2" t="str">
        <x:v>T20261005-3-2</x:v>
      </x:c>
      <x:c r="C789" s="2" t="str">
        <x:v>ST055</x:v>
      </x:c>
      <x:c r="D789" s="2" t="str">
        <x:v>e796258b9306e2b3efab77a21add36a5</x:v>
      </x:c>
      <x:c r="E789" s="2" t="str">
        <x:v>CHECK_IN</x:v>
      </x:c>
      <x:c r="F789" s="8" t="n">
        <x:v>46300.573055555564</x:v>
      </x:c>
      <x:c r="G789" s="8" t="n">
        <x:v>46300.57307870371</x:v>
      </x:c>
      <x:c r="H789" s="2" t="str">
        <x:v>SCH01</x:v>
      </x:c>
      <x:c r="I789" s="9" t="n">
        <x:v>25.285</x:v>
      </x:c>
      <x:c r="J789" s="9" t="n">
        <x:v>51.51</x:v>
      </x:c>
      <x:c r="K789" s="2" t="n">
        <x:v>8</x:v>
      </x:c>
      <x:c r="L789" s="2" t="str">
        <x:v>Valid</x:v>
      </x:c>
      <x:c r="M789" s="2" t="str">
        <x:v>QR</x:v>
      </x:c>
      <x:c r="N789" s="2" t="n">
        <x:v>1</x:v>
      </x:c>
      <x:c r="O789" s="2" t="str">
        <x:v>Accepted</x:v>
      </x:c>
      <x:c r="P789" s="2" t="str">
        <x:v>S002</x:v>
      </x:c>
      <x:c r="Q789" s="2" t="str">
        <x:v>DEV002</x:v>
      </x:c>
      <x:c r="R789" s="2" t="n">
        <x:v>5</x:v>
      </x:c>
      <x:c r="S789" s="2" t="str">
        <x:v>Online</x:v>
      </x:c>
      <x:c r="T789" s="2" t="str">
        <x:v>Synced</x:v>
      </x:c>
    </x:row>
    <x:row r="790" ht="21" customHeight="1">
      <x:c r="A790" s="2" t="str">
        <x:v>EV000903</x:v>
      </x:c>
      <x:c r="B790" s="2" t="str">
        <x:v>T20261005-3-3</x:v>
      </x:c>
      <x:c r="C790" s="2" t="str">
        <x:v>ST095</x:v>
      </x:c>
      <x:c r="D790" s="2" t="str">
        <x:v>0935ee2c52872353d5a355eed1202dbe</x:v>
      </x:c>
      <x:c r="E790" s="2" t="str">
        <x:v>CHECK_IN</x:v>
      </x:c>
      <x:c r="F790" s="8" t="n">
        <x:v>46300.573055555564</x:v>
      </x:c>
      <x:c r="G790" s="8" t="n">
        <x:v>46300.57307870371</x:v>
      </x:c>
      <x:c r="H790" s="2" t="str">
        <x:v>SCH01</x:v>
      </x:c>
      <x:c r="I790" s="9" t="n">
        <x:v>25.285</x:v>
      </x:c>
      <x:c r="J790" s="9" t="n">
        <x:v>51.51</x:v>
      </x:c>
      <x:c r="K790" s="2" t="n">
        <x:v>8</x:v>
      </x:c>
      <x:c r="L790" s="2" t="str">
        <x:v>Valid</x:v>
      </x:c>
      <x:c r="M790" s="2" t="str">
        <x:v>QR</x:v>
      </x:c>
      <x:c r="N790" s="2" t="n">
        <x:v>1</x:v>
      </x:c>
      <x:c r="O790" s="2" t="str">
        <x:v>Accepted</x:v>
      </x:c>
      <x:c r="P790" s="2" t="str">
        <x:v>S003</x:v>
      </x:c>
      <x:c r="Q790" s="2" t="str">
        <x:v>DEV003</x:v>
      </x:c>
      <x:c r="R790" s="2" t="n">
        <x:v>5</x:v>
      </x:c>
      <x:c r="S790" s="2" t="str">
        <x:v>Online</x:v>
      </x:c>
      <x:c r="T790" s="2" t="str">
        <x:v>Synced</x:v>
      </x:c>
    </x:row>
    <x:row r="791" ht="21" customHeight="1">
      <x:c r="A791" s="2" t="str">
        <x:v>EV000589</x:v>
      </x:c>
      <x:c r="B791" s="2" t="str">
        <x:v>T20261005-3-1</x:v>
      </x:c>
      <x:c r="C791" s="2" t="str">
        <x:v>ST016</x:v>
      </x:c>
      <x:c r="D791" s="2" t="str">
        <x:v>5227a65bcc4ea356d570fe16b2970ea5</x:v>
      </x:c>
      <x:c r="E791" s="2" t="str">
        <x:v>CHECK_IN</x:v>
      </x:c>
      <x:c r="F791" s="8" t="n">
        <x:v>46300.57309027778</x:v>
      </x:c>
      <x:c r="G791" s="8" t="n">
        <x:v>46300.573113425926</x:v>
      </x:c>
      <x:c r="H791" s="2" t="str">
        <x:v>SCH01</x:v>
      </x:c>
      <x:c r="I791" s="9" t="n">
        <x:v>25.285</x:v>
      </x:c>
      <x:c r="J791" s="9" t="n">
        <x:v>51.51</x:v>
      </x:c>
      <x:c r="K791" s="2" t="n">
        <x:v>8</x:v>
      </x:c>
      <x:c r="L791" s="2" t="str">
        <x:v>Valid</x:v>
      </x:c>
      <x:c r="M791" s="2" t="str">
        <x:v>QR</x:v>
      </x:c>
      <x:c r="N791" s="2" t="n">
        <x:v>1</x:v>
      </x:c>
      <x:c r="O791" s="2" t="str">
        <x:v>Accepted</x:v>
      </x:c>
      <x:c r="P791" s="2" t="str">
        <x:v>S001</x:v>
      </x:c>
      <x:c r="Q791" s="2" t="str">
        <x:v>DEV001</x:v>
      </x:c>
      <x:c r="R791" s="2" t="n">
        <x:v>6</x:v>
      </x:c>
      <x:c r="S791" s="2" t="str">
        <x:v>Online</x:v>
      </x:c>
      <x:c r="T791" s="2" t="str">
        <x:v>Synced</x:v>
      </x:c>
    </x:row>
    <x:row r="792" ht="21" customHeight="1">
      <x:c r="A792" s="2" t="str">
        <x:v>EV000745</x:v>
      </x:c>
      <x:c r="B792" s="2" t="str">
        <x:v>T20261005-3-2</x:v>
      </x:c>
      <x:c r="C792" s="2" t="str">
        <x:v>ST056</x:v>
      </x:c>
      <x:c r="D792" s="2" t="str">
        <x:v>245ed370430be1001f6d7d13404dd8b1</x:v>
      </x:c>
      <x:c r="E792" s="2" t="str">
        <x:v>CHECK_IN</x:v>
      </x:c>
      <x:c r="F792" s="8" t="n">
        <x:v>46300.57309027778</x:v>
      </x:c>
      <x:c r="G792" s="8" t="n">
        <x:v>46300.573113425926</x:v>
      </x:c>
      <x:c r="H792" s="2" t="str">
        <x:v>SCH01</x:v>
      </x:c>
      <x:c r="I792" s="9" t="n">
        <x:v>25.285</x:v>
      </x:c>
      <x:c r="J792" s="9" t="n">
        <x:v>51.51</x:v>
      </x:c>
      <x:c r="K792" s="2" t="n">
        <x:v>8</x:v>
      </x:c>
      <x:c r="L792" s="2" t="str">
        <x:v>Valid</x:v>
      </x:c>
      <x:c r="M792" s="2" t="str">
        <x:v>QR</x:v>
      </x:c>
      <x:c r="N792" s="2" t="n">
        <x:v>1</x:v>
      </x:c>
      <x:c r="O792" s="2" t="str">
        <x:v>Accepted</x:v>
      </x:c>
      <x:c r="P792" s="2" t="str">
        <x:v>S002</x:v>
      </x:c>
      <x:c r="Q792" s="2" t="str">
        <x:v>DEV002</x:v>
      </x:c>
      <x:c r="R792" s="2" t="n">
        <x:v>6</x:v>
      </x:c>
      <x:c r="S792" s="2" t="str">
        <x:v>Online</x:v>
      </x:c>
      <x:c r="T792" s="2" t="str">
        <x:v>Synced</x:v>
      </x:c>
    </x:row>
    <x:row r="793" ht="21" customHeight="1">
      <x:c r="A793" s="2" t="str">
        <x:v>EV000905</x:v>
      </x:c>
      <x:c r="B793" s="2" t="str">
        <x:v>T20261005-3-3</x:v>
      </x:c>
      <x:c r="C793" s="2" t="str">
        <x:v>ST096</x:v>
      </x:c>
      <x:c r="D793" s="2" t="str">
        <x:v>46905fa8ca039f79eec63d82a6ea3c69</x:v>
      </x:c>
      <x:c r="E793" s="2" t="str">
        <x:v>CHECK_IN</x:v>
      </x:c>
      <x:c r="F793" s="8" t="n">
        <x:v>46300.57309027778</x:v>
      </x:c>
      <x:c r="G793" s="8" t="n">
        <x:v>46300.573113425926</x:v>
      </x:c>
      <x:c r="H793" s="2" t="str">
        <x:v>SCH01</x:v>
      </x:c>
      <x:c r="I793" s="9" t="n">
        <x:v>25.285</x:v>
      </x:c>
      <x:c r="J793" s="9" t="n">
        <x:v>51.51</x:v>
      </x:c>
      <x:c r="K793" s="2" t="n">
        <x:v>8</x:v>
      </x:c>
      <x:c r="L793" s="2" t="str">
        <x:v>Valid</x:v>
      </x:c>
      <x:c r="M793" s="2" t="str">
        <x:v>QR</x:v>
      </x:c>
      <x:c r="N793" s="2" t="n">
        <x:v>1</x:v>
      </x:c>
      <x:c r="O793" s="2" t="str">
        <x:v>Accepted</x:v>
      </x:c>
      <x:c r="P793" s="2" t="str">
        <x:v>S003</x:v>
      </x:c>
      <x:c r="Q793" s="2" t="str">
        <x:v>DEV003</x:v>
      </x:c>
      <x:c r="R793" s="2" t="n">
        <x:v>6</x:v>
      </x:c>
      <x:c r="S793" s="2" t="str">
        <x:v>Online</x:v>
      </x:c>
      <x:c r="T793" s="2" t="str">
        <x:v>Synced</x:v>
      </x:c>
    </x:row>
    <x:row r="794" ht="21" customHeight="1">
      <x:c r="A794" s="2" t="str">
        <x:v>EV000591</x:v>
      </x:c>
      <x:c r="B794" s="2" t="str">
        <x:v>T20261005-3-1</x:v>
      </x:c>
      <x:c r="C794" s="2" t="str">
        <x:v>ST017</x:v>
      </x:c>
      <x:c r="D794" s="2" t="str">
        <x:v>ea6159d457322f2456f4cadd6b3d659f</x:v>
      </x:c>
      <x:c r="E794" s="2" t="str">
        <x:v>CHECK_IN</x:v>
      </x:c>
      <x:c r="F794" s="8" t="n">
        <x:v>46300.573125</x:v>
      </x:c>
      <x:c r="G794" s="8" t="n">
        <x:v>46300.57314814815</x:v>
      </x:c>
      <x:c r="H794" s="2" t="str">
        <x:v>SCH01</x:v>
      </x:c>
      <x:c r="I794" s="9" t="n">
        <x:v>25.285</x:v>
      </x:c>
      <x:c r="J794" s="9" t="n">
        <x:v>51.51</x:v>
      </x:c>
      <x:c r="K794" s="2" t="n">
        <x:v>8</x:v>
      </x:c>
      <x:c r="L794" s="2" t="str">
        <x:v>Valid</x:v>
      </x:c>
      <x:c r="M794" s="2" t="str">
        <x:v>QR</x:v>
      </x:c>
      <x:c r="N794" s="2" t="n">
        <x:v>1</x:v>
      </x:c>
      <x:c r="O794" s="2" t="str">
        <x:v>Accepted</x:v>
      </x:c>
      <x:c r="P794" s="2" t="str">
        <x:v>S001</x:v>
      </x:c>
      <x:c r="Q794" s="2" t="str">
        <x:v>DEV001</x:v>
      </x:c>
      <x:c r="R794" s="2" t="n">
        <x:v>7</x:v>
      </x:c>
      <x:c r="S794" s="2" t="str">
        <x:v>Online</x:v>
      </x:c>
      <x:c r="T794" s="2" t="str">
        <x:v>Synced</x:v>
      </x:c>
    </x:row>
    <x:row r="795" ht="21" customHeight="1">
      <x:c r="A795" s="2" t="str">
        <x:v>EV000747</x:v>
      </x:c>
      <x:c r="B795" s="2" t="str">
        <x:v>T20261005-3-2</x:v>
      </x:c>
      <x:c r="C795" s="2" t="str">
        <x:v>ST057</x:v>
      </x:c>
      <x:c r="D795" s="2" t="str">
        <x:v>68d992c7418727808ad27d2e5ee9b88d</x:v>
      </x:c>
      <x:c r="E795" s="2" t="str">
        <x:v>CHECK_IN</x:v>
      </x:c>
      <x:c r="F795" s="8" t="n">
        <x:v>46300.573125</x:v>
      </x:c>
      <x:c r="G795" s="8" t="n">
        <x:v>46300.57314814815</x:v>
      </x:c>
      <x:c r="H795" s="2" t="str">
        <x:v>SCH01</x:v>
      </x:c>
      <x:c r="I795" s="9" t="n">
        <x:v>25.285</x:v>
      </x:c>
      <x:c r="J795" s="9" t="n">
        <x:v>51.51</x:v>
      </x:c>
      <x:c r="K795" s="2" t="n">
        <x:v>8</x:v>
      </x:c>
      <x:c r="L795" s="2" t="str">
        <x:v>Valid</x:v>
      </x:c>
      <x:c r="M795" s="2" t="str">
        <x:v>QR</x:v>
      </x:c>
      <x:c r="N795" s="2" t="n">
        <x:v>1</x:v>
      </x:c>
      <x:c r="O795" s="2" t="str">
        <x:v>Accepted</x:v>
      </x:c>
      <x:c r="P795" s="2" t="str">
        <x:v>S002</x:v>
      </x:c>
      <x:c r="Q795" s="2" t="str">
        <x:v>DEV002</x:v>
      </x:c>
      <x:c r="R795" s="2" t="n">
        <x:v>7</x:v>
      </x:c>
      <x:c r="S795" s="2" t="str">
        <x:v>Online</x:v>
      </x:c>
      <x:c r="T795" s="2" t="str">
        <x:v>Synced</x:v>
      </x:c>
    </x:row>
    <x:row r="796" ht="21" customHeight="1">
      <x:c r="A796" s="2" t="str">
        <x:v>EV000907</x:v>
      </x:c>
      <x:c r="B796" s="2" t="str">
        <x:v>T20261005-3-3</x:v>
      </x:c>
      <x:c r="C796" s="2" t="str">
        <x:v>ST097</x:v>
      </x:c>
      <x:c r="D796" s="2" t="str">
        <x:v>0ccbf8d08569df9dde2207b8d5616d1e</x:v>
      </x:c>
      <x:c r="E796" s="2" t="str">
        <x:v>CHECK_IN</x:v>
      </x:c>
      <x:c r="F796" s="8" t="n">
        <x:v>46300.573125</x:v>
      </x:c>
      <x:c r="G796" s="8" t="n">
        <x:v>46300.57314814815</x:v>
      </x:c>
      <x:c r="H796" s="2" t="str">
        <x:v>SCH01</x:v>
      </x:c>
      <x:c r="I796" s="9" t="n">
        <x:v>25.285</x:v>
      </x:c>
      <x:c r="J796" s="9" t="n">
        <x:v>51.51</x:v>
      </x:c>
      <x:c r="K796" s="2" t="n">
        <x:v>8</x:v>
      </x:c>
      <x:c r="L796" s="2" t="str">
        <x:v>Valid</x:v>
      </x:c>
      <x:c r="M796" s="2" t="str">
        <x:v>QR</x:v>
      </x:c>
      <x:c r="N796" s="2" t="n">
        <x:v>1</x:v>
      </x:c>
      <x:c r="O796" s="2" t="str">
        <x:v>Accepted</x:v>
      </x:c>
      <x:c r="P796" s="2" t="str">
        <x:v>S003</x:v>
      </x:c>
      <x:c r="Q796" s="2" t="str">
        <x:v>DEV003</x:v>
      </x:c>
      <x:c r="R796" s="2" t="n">
        <x:v>7</x:v>
      </x:c>
      <x:c r="S796" s="2" t="str">
        <x:v>Online</x:v>
      </x:c>
      <x:c r="T796" s="2" t="str">
        <x:v>Synced</x:v>
      </x:c>
    </x:row>
    <x:row r="797" ht="21" customHeight="1">
      <x:c r="A797" s="2" t="str">
        <x:v>EV000593</x:v>
      </x:c>
      <x:c r="B797" s="2" t="str">
        <x:v>T20261005-3-1</x:v>
      </x:c>
      <x:c r="C797" s="2" t="str">
        <x:v>ST018</x:v>
      </x:c>
      <x:c r="D797" s="2" t="str">
        <x:v>4c1b40081ed5c7c21b8392ee528dbe54</x:v>
      </x:c>
      <x:c r="E797" s="2" t="str">
        <x:v>CHECK_IN</x:v>
      </x:c>
      <x:c r="F797" s="8" t="n">
        <x:v>46300.573159722226</x:v>
      </x:c>
      <x:c r="G797" s="8" t="n">
        <x:v>46300.57318287037</x:v>
      </x:c>
      <x:c r="H797" s="2" t="str">
        <x:v>SCH01</x:v>
      </x:c>
      <x:c r="I797" s="9" t="n">
        <x:v>25.285</x:v>
      </x:c>
      <x:c r="J797" s="9" t="n">
        <x:v>51.51</x:v>
      </x:c>
      <x:c r="K797" s="2" t="n">
        <x:v>8</x:v>
      </x:c>
      <x:c r="L797" s="2" t="str">
        <x:v>Valid</x:v>
      </x:c>
      <x:c r="M797" s="2" t="str">
        <x:v>QR</x:v>
      </x:c>
      <x:c r="N797" s="2" t="n">
        <x:v>1</x:v>
      </x:c>
      <x:c r="O797" s="2" t="str">
        <x:v>Accepted</x:v>
      </x:c>
      <x:c r="P797" s="2" t="str">
        <x:v>S001</x:v>
      </x:c>
      <x:c r="Q797" s="2" t="str">
        <x:v>DEV001</x:v>
      </x:c>
      <x:c r="R797" s="2" t="n">
        <x:v>8</x:v>
      </x:c>
      <x:c r="S797" s="2" t="str">
        <x:v>Online</x:v>
      </x:c>
      <x:c r="T797" s="2" t="str">
        <x:v>Synced</x:v>
      </x:c>
    </x:row>
    <x:row r="798" ht="21" customHeight="1">
      <x:c r="A798" s="2" t="str">
        <x:v>EV000749</x:v>
      </x:c>
      <x:c r="B798" s="2" t="str">
        <x:v>T20261005-3-2</x:v>
      </x:c>
      <x:c r="C798" s="2" t="str">
        <x:v>ST058</x:v>
      </x:c>
      <x:c r="D798" s="2" t="str">
        <x:v>ebf7e65b57e2c8bcd02f90b1d5692596</x:v>
      </x:c>
      <x:c r="E798" s="2" t="str">
        <x:v>CHECK_IN</x:v>
      </x:c>
      <x:c r="F798" s="8" t="n">
        <x:v>46300.573159722226</x:v>
      </x:c>
      <x:c r="G798" s="8" t="n">
        <x:v>46300.57318287037</x:v>
      </x:c>
      <x:c r="H798" s="2" t="str">
        <x:v>SCH01</x:v>
      </x:c>
      <x:c r="I798" s="9" t="n">
        <x:v>25.285</x:v>
      </x:c>
      <x:c r="J798" s="9" t="n">
        <x:v>51.51</x:v>
      </x:c>
      <x:c r="K798" s="2" t="n">
        <x:v>8</x:v>
      </x:c>
      <x:c r="L798" s="2" t="str">
        <x:v>Valid</x:v>
      </x:c>
      <x:c r="M798" s="2" t="str">
        <x:v>QR</x:v>
      </x:c>
      <x:c r="N798" s="2" t="n">
        <x:v>1</x:v>
      </x:c>
      <x:c r="O798" s="2" t="str">
        <x:v>Accepted</x:v>
      </x:c>
      <x:c r="P798" s="2" t="str">
        <x:v>S002</x:v>
      </x:c>
      <x:c r="Q798" s="2" t="str">
        <x:v>DEV002</x:v>
      </x:c>
      <x:c r="R798" s="2" t="n">
        <x:v>8</x:v>
      </x:c>
      <x:c r="S798" s="2" t="str">
        <x:v>Online</x:v>
      </x:c>
      <x:c r="T798" s="2" t="str">
        <x:v>Synced</x:v>
      </x:c>
    </x:row>
    <x:row r="799" ht="21" customHeight="1">
      <x:c r="A799" s="2" t="str">
        <x:v>EV000909</x:v>
      </x:c>
      <x:c r="B799" s="2" t="str">
        <x:v>T20261005-3-3</x:v>
      </x:c>
      <x:c r="C799" s="2" t="str">
        <x:v>ST098</x:v>
      </x:c>
      <x:c r="D799" s="2" t="str">
        <x:v>4b453acdeca94f98f11a429464f7bff7</x:v>
      </x:c>
      <x:c r="E799" s="2" t="str">
        <x:v>CHECK_IN</x:v>
      </x:c>
      <x:c r="F799" s="8" t="n">
        <x:v>46300.573159722226</x:v>
      </x:c>
      <x:c r="G799" s="8" t="n">
        <x:v>46300.57318287037</x:v>
      </x:c>
      <x:c r="H799" s="2" t="str">
        <x:v>SCH01</x:v>
      </x:c>
      <x:c r="I799" s="9" t="n">
        <x:v>25.285</x:v>
      </x:c>
      <x:c r="J799" s="9" t="n">
        <x:v>51.51</x:v>
      </x:c>
      <x:c r="K799" s="2" t="n">
        <x:v>8</x:v>
      </x:c>
      <x:c r="L799" s="2" t="str">
        <x:v>Valid</x:v>
      </x:c>
      <x:c r="M799" s="2" t="str">
        <x:v>QR</x:v>
      </x:c>
      <x:c r="N799" s="2" t="n">
        <x:v>1</x:v>
      </x:c>
      <x:c r="O799" s="2" t="str">
        <x:v>Accepted</x:v>
      </x:c>
      <x:c r="P799" s="2" t="str">
        <x:v>S003</x:v>
      </x:c>
      <x:c r="Q799" s="2" t="str">
        <x:v>DEV003</x:v>
      </x:c>
      <x:c r="R799" s="2" t="n">
        <x:v>8</x:v>
      </x:c>
      <x:c r="S799" s="2" t="str">
        <x:v>Online</x:v>
      </x:c>
      <x:c r="T799" s="2" t="str">
        <x:v>Synced</x:v>
      </x:c>
    </x:row>
    <x:row r="800" ht="21" customHeight="1">
      <x:c r="A800" s="2" t="str">
        <x:v>EV000595</x:v>
      </x:c>
      <x:c r="B800" s="2" t="str">
        <x:v>T20261005-3-1</x:v>
      </x:c>
      <x:c r="C800" s="2" t="str">
        <x:v>ST019</x:v>
      </x:c>
      <x:c r="D800" s="2" t="str">
        <x:v>b83400b1b6dcfb0f7cb413571cb76f8f</x:v>
      </x:c>
      <x:c r="E800" s="2" t="str">
        <x:v>CHECK_IN</x:v>
      </x:c>
      <x:c r="F800" s="8" t="n">
        <x:v>46300.57319444445</x:v>
      </x:c>
      <x:c r="G800" s="8" t="n">
        <x:v>46300.573217592595</x:v>
      </x:c>
      <x:c r="H800" s="2" t="str">
        <x:v>SCH01</x:v>
      </x:c>
      <x:c r="I800" s="9" t="n">
        <x:v>25.285</x:v>
      </x:c>
      <x:c r="J800" s="9" t="n">
        <x:v>51.51</x:v>
      </x:c>
      <x:c r="K800" s="2" t="n">
        <x:v>8</x:v>
      </x:c>
      <x:c r="L800" s="2" t="str">
        <x:v>Valid</x:v>
      </x:c>
      <x:c r="M800" s="2" t="str">
        <x:v>QR</x:v>
      </x:c>
      <x:c r="N800" s="2" t="n">
        <x:v>1</x:v>
      </x:c>
      <x:c r="O800" s="2" t="str">
        <x:v>Accepted</x:v>
      </x:c>
      <x:c r="P800" s="2" t="str">
        <x:v>S001</x:v>
      </x:c>
      <x:c r="Q800" s="2" t="str">
        <x:v>DEV001</x:v>
      </x:c>
      <x:c r="R800" s="2" t="n">
        <x:v>9</x:v>
      </x:c>
      <x:c r="S800" s="2" t="str">
        <x:v>Online</x:v>
      </x:c>
      <x:c r="T800" s="2" t="str">
        <x:v>Synced</x:v>
      </x:c>
    </x:row>
    <x:row r="801" ht="21" customHeight="1">
      <x:c r="A801" s="2" t="str">
        <x:v>EV000751</x:v>
      </x:c>
      <x:c r="B801" s="2" t="str">
        <x:v>T20261005-3-2</x:v>
      </x:c>
      <x:c r="C801" s="2" t="str">
        <x:v>ST059</x:v>
      </x:c>
      <x:c r="D801" s="2" t="str">
        <x:v>08b31edc14b3a345822a41d6515bfcba</x:v>
      </x:c>
      <x:c r="E801" s="2" t="str">
        <x:v>CHECK_IN</x:v>
      </x:c>
      <x:c r="F801" s="8" t="n">
        <x:v>46300.57319444445</x:v>
      </x:c>
      <x:c r="G801" s="8" t="n">
        <x:v>46300.573217592595</x:v>
      </x:c>
      <x:c r="H801" s="2" t="str">
        <x:v>SCH01</x:v>
      </x:c>
      <x:c r="I801" s="9" t="n">
        <x:v>25.285</x:v>
      </x:c>
      <x:c r="J801" s="9" t="n">
        <x:v>51.51</x:v>
      </x:c>
      <x:c r="K801" s="2" t="n">
        <x:v>8</x:v>
      </x:c>
      <x:c r="L801" s="2" t="str">
        <x:v>Valid</x:v>
      </x:c>
      <x:c r="M801" s="2" t="str">
        <x:v>QR</x:v>
      </x:c>
      <x:c r="N801" s="2" t="n">
        <x:v>1</x:v>
      </x:c>
      <x:c r="O801" s="2" t="str">
        <x:v>Accepted</x:v>
      </x:c>
      <x:c r="P801" s="2" t="str">
        <x:v>S002</x:v>
      </x:c>
      <x:c r="Q801" s="2" t="str">
        <x:v>DEV002</x:v>
      </x:c>
      <x:c r="R801" s="2" t="n">
        <x:v>9</x:v>
      </x:c>
      <x:c r="S801" s="2" t="str">
        <x:v>Online</x:v>
      </x:c>
      <x:c r="T801" s="2" t="str">
        <x:v>Synced</x:v>
      </x:c>
    </x:row>
    <x:row r="802" ht="21" customHeight="1">
      <x:c r="A802" s="2" t="str">
        <x:v>EV000911</x:v>
      </x:c>
      <x:c r="B802" s="2" t="str">
        <x:v>T20261005-3-3</x:v>
      </x:c>
      <x:c r="C802" s="2" t="str">
        <x:v>ST099</x:v>
      </x:c>
      <x:c r="D802" s="2" t="str">
        <x:v>46d20c66394c55b68e36e5335452d87c</x:v>
      </x:c>
      <x:c r="E802" s="2" t="str">
        <x:v>CHECK_IN</x:v>
      </x:c>
      <x:c r="F802" s="8" t="n">
        <x:v>46300.57319444445</x:v>
      </x:c>
      <x:c r="G802" s="8" t="n">
        <x:v>46300.573217592595</x:v>
      </x:c>
      <x:c r="H802" s="2" t="str">
        <x:v>SCH01</x:v>
      </x:c>
      <x:c r="I802" s="9" t="n">
        <x:v>25.285</x:v>
      </x:c>
      <x:c r="J802" s="9" t="n">
        <x:v>51.51</x:v>
      </x:c>
      <x:c r="K802" s="2" t="n">
        <x:v>8</x:v>
      </x:c>
      <x:c r="L802" s="2" t="str">
        <x:v>Valid</x:v>
      </x:c>
      <x:c r="M802" s="2" t="str">
        <x:v>QR</x:v>
      </x:c>
      <x:c r="N802" s="2" t="n">
        <x:v>1</x:v>
      </x:c>
      <x:c r="O802" s="2" t="str">
        <x:v>Accepted</x:v>
      </x:c>
      <x:c r="P802" s="2" t="str">
        <x:v>S003</x:v>
      </x:c>
      <x:c r="Q802" s="2" t="str">
        <x:v>DEV003</x:v>
      </x:c>
      <x:c r="R802" s="2" t="n">
        <x:v>9</x:v>
      </x:c>
      <x:c r="S802" s="2" t="str">
        <x:v>Online</x:v>
      </x:c>
      <x:c r="T802" s="2" t="str">
        <x:v>Synced</x:v>
      </x:c>
    </x:row>
    <x:row r="803" ht="21" customHeight="1">
      <x:c r="A803" s="2" t="str">
        <x:v>EV000597</x:v>
      </x:c>
      <x:c r="B803" s="2" t="str">
        <x:v>T20261005-3-1</x:v>
      </x:c>
      <x:c r="C803" s="2" t="str">
        <x:v>ST020</x:v>
      </x:c>
      <x:c r="D803" s="2" t="str">
        <x:v>9f8daa9030f9f7599cd24e056935ab8d</x:v>
      </x:c>
      <x:c r="E803" s="2" t="str">
        <x:v>CHECK_IN</x:v>
      </x:c>
      <x:c r="F803" s="8" t="n">
        <x:v>46300.57322916667</x:v>
      </x:c>
      <x:c r="G803" s="8" t="n">
        <x:v>46300.57325231482</x:v>
      </x:c>
      <x:c r="H803" s="2" t="str">
        <x:v>SCH01</x:v>
      </x:c>
      <x:c r="I803" s="9" t="n">
        <x:v>25.285</x:v>
      </x:c>
      <x:c r="J803" s="9" t="n">
        <x:v>51.51</x:v>
      </x:c>
      <x:c r="K803" s="2" t="n">
        <x:v>8</x:v>
      </x:c>
      <x:c r="L803" s="2" t="str">
        <x:v>Valid</x:v>
      </x:c>
      <x:c r="M803" s="2" t="str">
        <x:v>QR</x:v>
      </x:c>
      <x:c r="N803" s="2" t="n">
        <x:v>1</x:v>
      </x:c>
      <x:c r="O803" s="2" t="str">
        <x:v>Accepted</x:v>
      </x:c>
      <x:c r="P803" s="2" t="str">
        <x:v>S001</x:v>
      </x:c>
      <x:c r="Q803" s="2" t="str">
        <x:v>DEV001</x:v>
      </x:c>
      <x:c r="R803" s="2" t="n">
        <x:v>10</x:v>
      </x:c>
      <x:c r="S803" s="2" t="str">
        <x:v>Online</x:v>
      </x:c>
      <x:c r="T803" s="2" t="str">
        <x:v>Synced</x:v>
      </x:c>
    </x:row>
    <x:row r="804" ht="21" customHeight="1">
      <x:c r="A804" s="2" t="str">
        <x:v>EV000753</x:v>
      </x:c>
      <x:c r="B804" s="2" t="str">
        <x:v>T20261005-3-2</x:v>
      </x:c>
      <x:c r="C804" s="2" t="str">
        <x:v>ST060</x:v>
      </x:c>
      <x:c r="D804" s="2" t="str">
        <x:v>a424ea3d9a5cb1c08037457e61cef61f</x:v>
      </x:c>
      <x:c r="E804" s="2" t="str">
        <x:v>CHECK_IN</x:v>
      </x:c>
      <x:c r="F804" s="8" t="n">
        <x:v>46300.57322916667</x:v>
      </x:c>
      <x:c r="G804" s="8" t="n">
        <x:v>46300.57325231482</x:v>
      </x:c>
      <x:c r="H804" s="2" t="str">
        <x:v>SCH01</x:v>
      </x:c>
      <x:c r="I804" s="9" t="n">
        <x:v>25.285</x:v>
      </x:c>
      <x:c r="J804" s="9" t="n">
        <x:v>51.51</x:v>
      </x:c>
      <x:c r="K804" s="2" t="n">
        <x:v>8</x:v>
      </x:c>
      <x:c r="L804" s="2" t="str">
        <x:v>Valid</x:v>
      </x:c>
      <x:c r="M804" s="2" t="str">
        <x:v>QR</x:v>
      </x:c>
      <x:c r="N804" s="2" t="n">
        <x:v>1</x:v>
      </x:c>
      <x:c r="O804" s="2" t="str">
        <x:v>Accepted</x:v>
      </x:c>
      <x:c r="P804" s="2" t="str">
        <x:v>S002</x:v>
      </x:c>
      <x:c r="Q804" s="2" t="str">
        <x:v>DEV002</x:v>
      </x:c>
      <x:c r="R804" s="2" t="n">
        <x:v>10</x:v>
      </x:c>
      <x:c r="S804" s="2" t="str">
        <x:v>Online</x:v>
      </x:c>
      <x:c r="T804" s="2" t="str">
        <x:v>Synced</x:v>
      </x:c>
    </x:row>
    <x:row r="805" ht="21" customHeight="1">
      <x:c r="A805" s="2" t="str">
        <x:v>EV000913</x:v>
      </x:c>
      <x:c r="B805" s="2" t="str">
        <x:v>T20261005-3-3</x:v>
      </x:c>
      <x:c r="C805" s="2" t="str">
        <x:v>ST100</x:v>
      </x:c>
      <x:c r="D805" s="2" t="str">
        <x:v>6ba3ddf298bc4515d195454c1e81d9d6</x:v>
      </x:c>
      <x:c r="E805" s="2" t="str">
        <x:v>CHECK_IN</x:v>
      </x:c>
      <x:c r="F805" s="8" t="n">
        <x:v>46300.57322916667</x:v>
      </x:c>
      <x:c r="G805" s="8" t="n">
        <x:v>46300.57325231482</x:v>
      </x:c>
      <x:c r="H805" s="2" t="str">
        <x:v>SCH01</x:v>
      </x:c>
      <x:c r="I805" s="9" t="n">
        <x:v>25.285</x:v>
      </x:c>
      <x:c r="J805" s="9" t="n">
        <x:v>51.51</x:v>
      </x:c>
      <x:c r="K805" s="2" t="n">
        <x:v>8</x:v>
      </x:c>
      <x:c r="L805" s="2" t="str">
        <x:v>Valid</x:v>
      </x:c>
      <x:c r="M805" s="2" t="str">
        <x:v>QR</x:v>
      </x:c>
      <x:c r="N805" s="2" t="n">
        <x:v>1</x:v>
      </x:c>
      <x:c r="O805" s="2" t="str">
        <x:v>Accepted</x:v>
      </x:c>
      <x:c r="P805" s="2" t="str">
        <x:v>S003</x:v>
      </x:c>
      <x:c r="Q805" s="2" t="str">
        <x:v>DEV003</x:v>
      </x:c>
      <x:c r="R805" s="2" t="n">
        <x:v>10</x:v>
      </x:c>
      <x:c r="S805" s="2" t="str">
        <x:v>Online</x:v>
      </x:c>
      <x:c r="T805" s="2" t="str">
        <x:v>Synced</x:v>
      </x:c>
    </x:row>
    <x:row r="806" ht="21" customHeight="1">
      <x:c r="A806" s="2" t="str">
        <x:v>EV000584</x:v>
      </x:c>
      <x:c r="B806" s="2" t="str">
        <x:v>T20261005-3-1</x:v>
      </x:c>
      <x:c r="C806" s="2" t="str">
        <x:v>ST013</x:v>
      </x:c>
      <x:c r="D806" s="2" t="str">
        <x:v>ddc4bbe364f02f5a2177795c49ea7ba9</x:v>
      </x:c>
      <x:c r="E806" s="2" t="str">
        <x:v>CHECK_OUT</x:v>
      </x:c>
      <x:c r="F806" s="8" t="n">
        <x:v>46300.58618055556</x:v>
      </x:c>
      <x:c r="G806" s="8" t="n">
        <x:v>46300.58620370371</x:v>
      </x:c>
      <x:c r="H806" s="2" t="str">
        <x:v>R1S1</x:v>
      </x:c>
      <x:c r="I806" s="9" t="n">
        <x:v>25.271</x:v>
      </x:c>
      <x:c r="J806" s="9" t="n">
        <x:v>51.491</x:v>
      </x:c>
      <x:c r="K806" s="2" t="n">
        <x:v>8</x:v>
      </x:c>
      <x:c r="L806" s="2" t="str">
        <x:v>Valid</x:v>
      </x:c>
      <x:c r="M806" s="2" t="str">
        <x:v>QR</x:v>
      </x:c>
      <x:c r="N806" s="2" t="n">
        <x:v>1</x:v>
      </x:c>
      <x:c r="O806" s="2" t="str">
        <x:v>Accepted</x:v>
      </x:c>
      <x:c r="P806" s="2" t="str">
        <x:v>S001</x:v>
      </x:c>
      <x:c r="Q806" s="2" t="str">
        <x:v>DEV001</x:v>
      </x:c>
      <x:c r="R806" s="2" t="n">
        <x:v>11</x:v>
      </x:c>
      <x:c r="S806" s="2" t="str">
        <x:v>Online</x:v>
      </x:c>
      <x:c r="T806" s="2" t="str">
        <x:v>Synced</x:v>
      </x:c>
    </x:row>
    <x:row r="807" ht="21" customHeight="1">
      <x:c r="A807" s="2" t="str">
        <x:v>EV000740</x:v>
      </x:c>
      <x:c r="B807" s="2" t="str">
        <x:v>T20261005-3-2</x:v>
      </x:c>
      <x:c r="C807" s="2" t="str">
        <x:v>ST053</x:v>
      </x:c>
      <x:c r="D807" s="2" t="str">
        <x:v>e476277c519e294480cfa14a37e177a0</x:v>
      </x:c>
      <x:c r="E807" s="2" t="str">
        <x:v>CHECK_OUT</x:v>
      </x:c>
      <x:c r="F807" s="8" t="n">
        <x:v>46300.58618055556</x:v>
      </x:c>
      <x:c r="G807" s="8" t="n">
        <x:v>46300.58620370371</x:v>
      </x:c>
      <x:c r="H807" s="2" t="str">
        <x:v>R2S1</x:v>
      </x:c>
      <x:c r="I807" s="9" t="n">
        <x:v>25.28</x:v>
      </x:c>
      <x:c r="J807" s="9" t="n">
        <x:v>51.498999999999995</x:v>
      </x:c>
      <x:c r="K807" s="2" t="n">
        <x:v>8</x:v>
      </x:c>
      <x:c r="L807" s="2" t="str">
        <x:v>Valid</x:v>
      </x:c>
      <x:c r="M807" s="2" t="str">
        <x:v>QR</x:v>
      </x:c>
      <x:c r="N807" s="2" t="n">
        <x:v>1</x:v>
      </x:c>
      <x:c r="O807" s="2" t="str">
        <x:v>Accepted</x:v>
      </x:c>
      <x:c r="P807" s="2" t="str">
        <x:v>S002</x:v>
      </x:c>
      <x:c r="Q807" s="2" t="str">
        <x:v>DEV002</x:v>
      </x:c>
      <x:c r="R807" s="2" t="n">
        <x:v>11</x:v>
      </x:c>
      <x:c r="S807" s="2" t="str">
        <x:v>Online</x:v>
      </x:c>
      <x:c r="T807" s="2" t="str">
        <x:v>Synced</x:v>
      </x:c>
    </x:row>
    <x:row r="808" ht="21" customHeight="1">
      <x:c r="A808" s="2" t="str">
        <x:v>EV000900</x:v>
      </x:c>
      <x:c r="B808" s="2" t="str">
        <x:v>T20261005-3-3</x:v>
      </x:c>
      <x:c r="C808" s="2" t="str">
        <x:v>ST093</x:v>
      </x:c>
      <x:c r="D808" s="2" t="str">
        <x:v>e69cdca4f10e82426e9a3098f4672791</x:v>
      </x:c>
      <x:c r="E808" s="2" t="str">
        <x:v>CHECK_OUT</x:v>
      </x:c>
      <x:c r="F808" s="8" t="n">
        <x:v>46300.58618055556</x:v>
      </x:c>
      <x:c r="G808" s="8" t="n">
        <x:v>46300.58620370371</x:v>
      </x:c>
      <x:c r="H808" s="2" t="str">
        <x:v>R3S1</x:v>
      </x:c>
      <x:c r="I808" s="9" t="n">
        <x:v>25.289</x:v>
      </x:c>
      <x:c r="J808" s="9" t="n">
        <x:v>51.507</x:v>
      </x:c>
      <x:c r="K808" s="2" t="n">
        <x:v>8</x:v>
      </x:c>
      <x:c r="L808" s="2" t="str">
        <x:v>Valid</x:v>
      </x:c>
      <x:c r="M808" s="2" t="str">
        <x:v>QR</x:v>
      </x:c>
      <x:c r="N808" s="2" t="n">
        <x:v>1</x:v>
      </x:c>
      <x:c r="O808" s="2" t="str">
        <x:v>Accepted</x:v>
      </x:c>
      <x:c r="P808" s="2" t="str">
        <x:v>S003</x:v>
      </x:c>
      <x:c r="Q808" s="2" t="str">
        <x:v>DEV003</x:v>
      </x:c>
      <x:c r="R808" s="2" t="n">
        <x:v>11</x:v>
      </x:c>
      <x:c r="S808" s="2" t="str">
        <x:v>Online</x:v>
      </x:c>
      <x:c r="T808" s="2" t="str">
        <x:v>Synced</x:v>
      </x:c>
    </x:row>
    <x:row r="809" ht="21" customHeight="1">
      <x:c r="A809" s="2" t="str">
        <x:v>EV000590</x:v>
      </x:c>
      <x:c r="B809" s="2" t="str">
        <x:v>T20261005-3-1</x:v>
      </x:c>
      <x:c r="C809" s="2" t="str">
        <x:v>ST016</x:v>
      </x:c>
      <x:c r="D809" s="2" t="str">
        <x:v>5227a65bcc4ea356d570fe16b2970ea5</x:v>
      </x:c>
      <x:c r="E809" s="2" t="str">
        <x:v>CHECK_OUT</x:v>
      </x:c>
      <x:c r="F809" s="8" t="n">
        <x:v>46300.58628472222</x:v>
      </x:c>
      <x:c r="G809" s="8" t="n">
        <x:v>46300.58630787037</x:v>
      </x:c>
      <x:c r="H809" s="2" t="str">
        <x:v>R1S1</x:v>
      </x:c>
      <x:c r="I809" s="9" t="n">
        <x:v>25.271</x:v>
      </x:c>
      <x:c r="J809" s="9" t="n">
        <x:v>51.491</x:v>
      </x:c>
      <x:c r="K809" s="2" t="n">
        <x:v>8</x:v>
      </x:c>
      <x:c r="L809" s="2" t="str">
        <x:v>Valid</x:v>
      </x:c>
      <x:c r="M809" s="2" t="str">
        <x:v>QR</x:v>
      </x:c>
      <x:c r="N809" s="2" t="n">
        <x:v>1</x:v>
      </x:c>
      <x:c r="O809" s="2" t="str">
        <x:v>Accepted</x:v>
      </x:c>
      <x:c r="P809" s="2" t="str">
        <x:v>S001</x:v>
      </x:c>
      <x:c r="Q809" s="2" t="str">
        <x:v>DEV001</x:v>
      </x:c>
      <x:c r="R809" s="2" t="n">
        <x:v>12</x:v>
      </x:c>
      <x:c r="S809" s="2" t="str">
        <x:v>Online</x:v>
      </x:c>
      <x:c r="T809" s="2" t="str">
        <x:v>Synced</x:v>
      </x:c>
    </x:row>
    <x:row r="810" ht="21" customHeight="1">
      <x:c r="A810" s="2" t="str">
        <x:v>EV000746</x:v>
      </x:c>
      <x:c r="B810" s="2" t="str">
        <x:v>T20261005-3-2</x:v>
      </x:c>
      <x:c r="C810" s="2" t="str">
        <x:v>ST056</x:v>
      </x:c>
      <x:c r="D810" s="2" t="str">
        <x:v>245ed370430be1001f6d7d13404dd8b1</x:v>
      </x:c>
      <x:c r="E810" s="2" t="str">
        <x:v>CHECK_OUT</x:v>
      </x:c>
      <x:c r="F810" s="8" t="n">
        <x:v>46300.58628472222</x:v>
      </x:c>
      <x:c r="G810" s="8" t="n">
        <x:v>46300.58630787037</x:v>
      </x:c>
      <x:c r="H810" s="2" t="str">
        <x:v>R2S1</x:v>
      </x:c>
      <x:c r="I810" s="9" t="n">
        <x:v>25.28</x:v>
      </x:c>
      <x:c r="J810" s="9" t="n">
        <x:v>51.498999999999995</x:v>
      </x:c>
      <x:c r="K810" s="2" t="n">
        <x:v>8</x:v>
      </x:c>
      <x:c r="L810" s="2" t="str">
        <x:v>Valid</x:v>
      </x:c>
      <x:c r="M810" s="2" t="str">
        <x:v>QR</x:v>
      </x:c>
      <x:c r="N810" s="2" t="n">
        <x:v>1</x:v>
      </x:c>
      <x:c r="O810" s="2" t="str">
        <x:v>Accepted</x:v>
      </x:c>
      <x:c r="P810" s="2" t="str">
        <x:v>S002</x:v>
      </x:c>
      <x:c r="Q810" s="2" t="str">
        <x:v>DEV002</x:v>
      </x:c>
      <x:c r="R810" s="2" t="n">
        <x:v>12</x:v>
      </x:c>
      <x:c r="S810" s="2" t="str">
        <x:v>Online</x:v>
      </x:c>
      <x:c r="T810" s="2" t="str">
        <x:v>Synced</x:v>
      </x:c>
    </x:row>
    <x:row r="811" ht="21" customHeight="1">
      <x:c r="A811" s="2" t="str">
        <x:v>EV000906</x:v>
      </x:c>
      <x:c r="B811" s="2" t="str">
        <x:v>T20261005-3-3</x:v>
      </x:c>
      <x:c r="C811" s="2" t="str">
        <x:v>ST096</x:v>
      </x:c>
      <x:c r="D811" s="2" t="str">
        <x:v>46905fa8ca039f79eec63d82a6ea3c69</x:v>
      </x:c>
      <x:c r="E811" s="2" t="str">
        <x:v>CHECK_OUT</x:v>
      </x:c>
      <x:c r="F811" s="8" t="n">
        <x:v>46300.58628472222</x:v>
      </x:c>
      <x:c r="G811" s="8" t="n">
        <x:v>46300.58630787037</x:v>
      </x:c>
      <x:c r="H811" s="2" t="str">
        <x:v>R3S1</x:v>
      </x:c>
      <x:c r="I811" s="9" t="n">
        <x:v>25.289</x:v>
      </x:c>
      <x:c r="J811" s="9" t="n">
        <x:v>51.507</x:v>
      </x:c>
      <x:c r="K811" s="2" t="n">
        <x:v>8</x:v>
      </x:c>
      <x:c r="L811" s="2" t="str">
        <x:v>Valid</x:v>
      </x:c>
      <x:c r="M811" s="2" t="str">
        <x:v>QR</x:v>
      </x:c>
      <x:c r="N811" s="2" t="n">
        <x:v>1</x:v>
      </x:c>
      <x:c r="O811" s="2" t="str">
        <x:v>Accepted</x:v>
      </x:c>
      <x:c r="P811" s="2" t="str">
        <x:v>S003</x:v>
      </x:c>
      <x:c r="Q811" s="2" t="str">
        <x:v>DEV003</x:v>
      </x:c>
      <x:c r="R811" s="2" t="n">
        <x:v>12</x:v>
      </x:c>
      <x:c r="S811" s="2" t="str">
        <x:v>Online</x:v>
      </x:c>
      <x:c r="T811" s="2" t="str">
        <x:v>Synced</x:v>
      </x:c>
    </x:row>
    <x:row r="812" ht="21" customHeight="1">
      <x:c r="A812" s="2" t="str">
        <x:v>EV000596</x:v>
      </x:c>
      <x:c r="B812" s="2" t="str">
        <x:v>T20261005-3-1</x:v>
      </x:c>
      <x:c r="C812" s="2" t="str">
        <x:v>ST019</x:v>
      </x:c>
      <x:c r="D812" s="2" t="str">
        <x:v>b83400b1b6dcfb0f7cb413571cb76f8f</x:v>
      </x:c>
      <x:c r="E812" s="2" t="str">
        <x:v>CHECK_OUT</x:v>
      </x:c>
      <x:c r="F812" s="8" t="n">
        <x:v>46300.58638888889</x:v>
      </x:c>
      <x:c r="G812" s="8" t="n">
        <x:v>46300.58641203704</x:v>
      </x:c>
      <x:c r="H812" s="2" t="str">
        <x:v>R1S1</x:v>
      </x:c>
      <x:c r="I812" s="9" t="n">
        <x:v>25.271</x:v>
      </x:c>
      <x:c r="J812" s="9" t="n">
        <x:v>51.491</x:v>
      </x:c>
      <x:c r="K812" s="2" t="n">
        <x:v>8</x:v>
      </x:c>
      <x:c r="L812" s="2" t="str">
        <x:v>Valid</x:v>
      </x:c>
      <x:c r="M812" s="2" t="str">
        <x:v>QR</x:v>
      </x:c>
      <x:c r="N812" s="2" t="n">
        <x:v>1</x:v>
      </x:c>
      <x:c r="O812" s="2" t="str">
        <x:v>Accepted</x:v>
      </x:c>
      <x:c r="P812" s="2" t="str">
        <x:v>S001</x:v>
      </x:c>
      <x:c r="Q812" s="2" t="str">
        <x:v>DEV001</x:v>
      </x:c>
      <x:c r="R812" s="2" t="n">
        <x:v>13</x:v>
      </x:c>
      <x:c r="S812" s="2" t="str">
        <x:v>Online</x:v>
      </x:c>
      <x:c r="T812" s="2" t="str">
        <x:v>Synced</x:v>
      </x:c>
    </x:row>
    <x:row r="813" ht="21" customHeight="1">
      <x:c r="A813" s="2" t="str">
        <x:v>EV000752</x:v>
      </x:c>
      <x:c r="B813" s="2" t="str">
        <x:v>T20261005-3-2</x:v>
      </x:c>
      <x:c r="C813" s="2" t="str">
        <x:v>ST059</x:v>
      </x:c>
      <x:c r="D813" s="2" t="str">
        <x:v>08b31edc14b3a345822a41d6515bfcba</x:v>
      </x:c>
      <x:c r="E813" s="2" t="str">
        <x:v>CHECK_OUT</x:v>
      </x:c>
      <x:c r="F813" s="8" t="n">
        <x:v>46300.58638888889</x:v>
      </x:c>
      <x:c r="G813" s="8" t="n">
        <x:v>46300.58641203704</x:v>
      </x:c>
      <x:c r="H813" s="2" t="str">
        <x:v>R2S1</x:v>
      </x:c>
      <x:c r="I813" s="9" t="n">
        <x:v>25.28</x:v>
      </x:c>
      <x:c r="J813" s="9" t="n">
        <x:v>51.498999999999995</x:v>
      </x:c>
      <x:c r="K813" s="2" t="n">
        <x:v>8</x:v>
      </x:c>
      <x:c r="L813" s="2" t="str">
        <x:v>Valid</x:v>
      </x:c>
      <x:c r="M813" s="2" t="str">
        <x:v>QR</x:v>
      </x:c>
      <x:c r="N813" s="2" t="n">
        <x:v>1</x:v>
      </x:c>
      <x:c r="O813" s="2" t="str">
        <x:v>Accepted</x:v>
      </x:c>
      <x:c r="P813" s="2" t="str">
        <x:v>S002</x:v>
      </x:c>
      <x:c r="Q813" s="2" t="str">
        <x:v>DEV002</x:v>
      </x:c>
      <x:c r="R813" s="2" t="n">
        <x:v>13</x:v>
      </x:c>
      <x:c r="S813" s="2" t="str">
        <x:v>Online</x:v>
      </x:c>
      <x:c r="T813" s="2" t="str">
        <x:v>Synced</x:v>
      </x:c>
    </x:row>
    <x:row r="814" ht="21" customHeight="1">
      <x:c r="A814" s="2" t="str">
        <x:v>EV000912</x:v>
      </x:c>
      <x:c r="B814" s="2" t="str">
        <x:v>T20261005-3-3</x:v>
      </x:c>
      <x:c r="C814" s="2" t="str">
        <x:v>ST099</x:v>
      </x:c>
      <x:c r="D814" s="2" t="str">
        <x:v>46d20c66394c55b68e36e5335452d87c</x:v>
      </x:c>
      <x:c r="E814" s="2" t="str">
        <x:v>CHECK_OUT</x:v>
      </x:c>
      <x:c r="F814" s="8" t="n">
        <x:v>46300.58638888889</x:v>
      </x:c>
      <x:c r="G814" s="8" t="n">
        <x:v>46300.58641203704</x:v>
      </x:c>
      <x:c r="H814" s="2" t="str">
        <x:v>R3S1</x:v>
      </x:c>
      <x:c r="I814" s="9" t="n">
        <x:v>25.289</x:v>
      </x:c>
      <x:c r="J814" s="9" t="n">
        <x:v>51.507</x:v>
      </x:c>
      <x:c r="K814" s="2" t="n">
        <x:v>8</x:v>
      </x:c>
      <x:c r="L814" s="2" t="str">
        <x:v>Valid</x:v>
      </x:c>
      <x:c r="M814" s="2" t="str">
        <x:v>QR</x:v>
      </x:c>
      <x:c r="N814" s="2" t="n">
        <x:v>1</x:v>
      </x:c>
      <x:c r="O814" s="2" t="str">
        <x:v>Accepted</x:v>
      </x:c>
      <x:c r="P814" s="2" t="str">
        <x:v>S003</x:v>
      </x:c>
      <x:c r="Q814" s="2" t="str">
        <x:v>DEV003</x:v>
      </x:c>
      <x:c r="R814" s="2" t="n">
        <x:v>13</x:v>
      </x:c>
      <x:c r="S814" s="2" t="str">
        <x:v>Online</x:v>
      </x:c>
      <x:c r="T814" s="2" t="str">
        <x:v>Synced</x:v>
      </x:c>
    </x:row>
    <x:row r="815" ht="21" customHeight="1">
      <x:c r="A815" s="2" t="str">
        <x:v>EV000580</x:v>
      </x:c>
      <x:c r="B815" s="2" t="str">
        <x:v>T20261005-3-1</x:v>
      </x:c>
      <x:c r="C815" s="2" t="str">
        <x:v>ST011</x:v>
      </x:c>
      <x:c r="D815" s="2" t="str">
        <x:v>38c917effc7ec45ac750455eb7892f3e</x:v>
      </x:c>
      <x:c r="E815" s="2" t="str">
        <x:v>CHECK_OUT</x:v>
      </x:c>
      <x:c r="F815" s="8" t="n">
        <x:v>46300.59027777778</x:v>
      </x:c>
      <x:c r="G815" s="8" t="n">
        <x:v>46300.59030092593</x:v>
      </x:c>
      <x:c r="H815" s="2" t="str">
        <x:v>R1S2</x:v>
      </x:c>
      <x:c r="I815" s="9" t="n">
        <x:v>25.273000000000003</x:v>
      </x:c>
      <x:c r="J815" s="9" t="n">
        <x:v>51.494</x:v>
      </x:c>
      <x:c r="K815" s="2" t="n">
        <x:v>8</x:v>
      </x:c>
      <x:c r="L815" s="2" t="str">
        <x:v>Valid</x:v>
      </x:c>
      <x:c r="M815" s="2" t="str">
        <x:v>QR</x:v>
      </x:c>
      <x:c r="N815" s="2" t="n">
        <x:v>1</x:v>
      </x:c>
      <x:c r="O815" s="2" t="str">
        <x:v>Accepted</x:v>
      </x:c>
      <x:c r="P815" s="2" t="str">
        <x:v>S001</x:v>
      </x:c>
      <x:c r="Q815" s="2" t="str">
        <x:v>DEV001</x:v>
      </x:c>
      <x:c r="R815" s="2" t="n">
        <x:v>14</x:v>
      </x:c>
      <x:c r="S815" s="2" t="str">
        <x:v>Online</x:v>
      </x:c>
      <x:c r="T815" s="2" t="str">
        <x:v>Synced</x:v>
      </x:c>
    </x:row>
    <x:row r="816" ht="21" customHeight="1">
      <x:c r="A816" s="2" t="str">
        <x:v>EV000736</x:v>
      </x:c>
      <x:c r="B816" s="2" t="str">
        <x:v>T20261005-3-2</x:v>
      </x:c>
      <x:c r="C816" s="2" t="str">
        <x:v>ST051</x:v>
      </x:c>
      <x:c r="D816" s="2" t="str">
        <x:v>410a66d29aea7be5806f7d6945266303</x:v>
      </x:c>
      <x:c r="E816" s="2" t="str">
        <x:v>CHECK_OUT</x:v>
      </x:c>
      <x:c r="F816" s="8" t="n">
        <x:v>46300.59027777778</x:v>
      </x:c>
      <x:c r="G816" s="8" t="n">
        <x:v>46300.59030092593</x:v>
      </x:c>
      <x:c r="H816" s="2" t="str">
        <x:v>R2S2</x:v>
      </x:c>
      <x:c r="I816" s="9" t="n">
        <x:v>25.282000000000004</x:v>
      </x:c>
      <x:c r="J816" s="9" t="n">
        <x:v>51.501999999999995</x:v>
      </x:c>
      <x:c r="K816" s="2" t="n">
        <x:v>8</x:v>
      </x:c>
      <x:c r="L816" s="2" t="str">
        <x:v>Valid</x:v>
      </x:c>
      <x:c r="M816" s="2" t="str">
        <x:v>QR</x:v>
      </x:c>
      <x:c r="N816" s="2" t="n">
        <x:v>1</x:v>
      </x:c>
      <x:c r="O816" s="2" t="str">
        <x:v>Accepted</x:v>
      </x:c>
      <x:c r="P816" s="2" t="str">
        <x:v>S002</x:v>
      </x:c>
      <x:c r="Q816" s="2" t="str">
        <x:v>DEV002</x:v>
      </x:c>
      <x:c r="R816" s="2" t="n">
        <x:v>14</x:v>
      </x:c>
      <x:c r="S816" s="2" t="str">
        <x:v>Online</x:v>
      </x:c>
      <x:c r="T816" s="2" t="str">
        <x:v>Synced</x:v>
      </x:c>
    </x:row>
    <x:row r="817" ht="21" customHeight="1">
      <x:c r="A817" s="2" t="str">
        <x:v>EV000896</x:v>
      </x:c>
      <x:c r="B817" s="2" t="str">
        <x:v>T20261005-3-3</x:v>
      </x:c>
      <x:c r="C817" s="2" t="str">
        <x:v>ST091</x:v>
      </x:c>
      <x:c r="D817" s="2" t="str">
        <x:v>2d74afc7329a1eb53bd16a92fc366891</x:v>
      </x:c>
      <x:c r="E817" s="2" t="str">
        <x:v>CHECK_OUT</x:v>
      </x:c>
      <x:c r="F817" s="8" t="n">
        <x:v>46300.59027777778</x:v>
      </x:c>
      <x:c r="G817" s="8" t="n">
        <x:v>46300.59030092593</x:v>
      </x:c>
      <x:c r="H817" s="2" t="str">
        <x:v>R3S2</x:v>
      </x:c>
      <x:c r="I817" s="9" t="n">
        <x:v>25.291000000000004</x:v>
      </x:c>
      <x:c r="J817" s="9" t="n">
        <x:v>51.51</x:v>
      </x:c>
      <x:c r="K817" s="2" t="n">
        <x:v>8</x:v>
      </x:c>
      <x:c r="L817" s="2" t="str">
        <x:v>Valid</x:v>
      </x:c>
      <x:c r="M817" s="2" t="str">
        <x:v>QR</x:v>
      </x:c>
      <x:c r="N817" s="2" t="n">
        <x:v>1</x:v>
      </x:c>
      <x:c r="O817" s="2" t="str">
        <x:v>Accepted</x:v>
      </x:c>
      <x:c r="P817" s="2" t="str">
        <x:v>S003</x:v>
      </x:c>
      <x:c r="Q817" s="2" t="str">
        <x:v>DEV003</x:v>
      </x:c>
      <x:c r="R817" s="2" t="n">
        <x:v>14</x:v>
      </x:c>
      <x:c r="S817" s="2" t="str">
        <x:v>Online</x:v>
      </x:c>
      <x:c r="T817" s="2" t="str">
        <x:v>Synced</x:v>
      </x:c>
    </x:row>
    <x:row r="818" ht="21" customHeight="1">
      <x:c r="A818" s="2" t="str">
        <x:v>EV000586</x:v>
      </x:c>
      <x:c r="B818" s="2" t="str">
        <x:v>T20261005-3-1</x:v>
      </x:c>
      <x:c r="C818" s="2" t="str">
        <x:v>ST014</x:v>
      </x:c>
      <x:c r="D818" s="2" t="str">
        <x:v>6ea4b25306143e251962ae19fa8ee7af</x:v>
      </x:c>
      <x:c r="E818" s="2" t="str">
        <x:v>CHECK_OUT</x:v>
      </x:c>
      <x:c r="F818" s="8" t="n">
        <x:v>46300.59038194445</x:v>
      </x:c>
      <x:c r="G818" s="8" t="n">
        <x:v>46300.5904050926</x:v>
      </x:c>
      <x:c r="H818" s="2" t="str">
        <x:v>R1S2</x:v>
      </x:c>
      <x:c r="I818" s="9" t="n">
        <x:v>25.273000000000003</x:v>
      </x:c>
      <x:c r="J818" s="9" t="n">
        <x:v>51.494</x:v>
      </x:c>
      <x:c r="K818" s="2" t="n">
        <x:v>8</x:v>
      </x:c>
      <x:c r="L818" s="2" t="str">
        <x:v>Valid</x:v>
      </x:c>
      <x:c r="M818" s="2" t="str">
        <x:v>QR</x:v>
      </x:c>
      <x:c r="N818" s="2" t="n">
        <x:v>1</x:v>
      </x:c>
      <x:c r="O818" s="2" t="str">
        <x:v>Accepted</x:v>
      </x:c>
      <x:c r="P818" s="2" t="str">
        <x:v>S001</x:v>
      </x:c>
      <x:c r="Q818" s="2" t="str">
        <x:v>DEV001</x:v>
      </x:c>
      <x:c r="R818" s="2" t="n">
        <x:v>15</x:v>
      </x:c>
      <x:c r="S818" s="2" t="str">
        <x:v>Online</x:v>
      </x:c>
      <x:c r="T818" s="2" t="str">
        <x:v>Synced</x:v>
      </x:c>
    </x:row>
    <x:row r="819" ht="21" customHeight="1">
      <x:c r="A819" s="2" t="str">
        <x:v>EV000742</x:v>
      </x:c>
      <x:c r="B819" s="2" t="str">
        <x:v>T20261005-3-2</x:v>
      </x:c>
      <x:c r="C819" s="2" t="str">
        <x:v>ST054</x:v>
      </x:c>
      <x:c r="D819" s="2" t="str">
        <x:v>1c9a916db52e081aeb59bc928cb914dd</x:v>
      </x:c>
      <x:c r="E819" s="2" t="str">
        <x:v>CHECK_OUT</x:v>
      </x:c>
      <x:c r="F819" s="8" t="n">
        <x:v>46300.59038194445</x:v>
      </x:c>
      <x:c r="G819" s="8" t="n">
        <x:v>46300.5904050926</x:v>
      </x:c>
      <x:c r="H819" s="2" t="str">
        <x:v>R2S2</x:v>
      </x:c>
      <x:c r="I819" s="9" t="n">
        <x:v>25.282000000000004</x:v>
      </x:c>
      <x:c r="J819" s="9" t="n">
        <x:v>51.501999999999995</x:v>
      </x:c>
      <x:c r="K819" s="2" t="n">
        <x:v>8</x:v>
      </x:c>
      <x:c r="L819" s="2" t="str">
        <x:v>Valid</x:v>
      </x:c>
      <x:c r="M819" s="2" t="str">
        <x:v>QR</x:v>
      </x:c>
      <x:c r="N819" s="2" t="n">
        <x:v>1</x:v>
      </x:c>
      <x:c r="O819" s="2" t="str">
        <x:v>Accepted</x:v>
      </x:c>
      <x:c r="P819" s="2" t="str">
        <x:v>S002</x:v>
      </x:c>
      <x:c r="Q819" s="2" t="str">
        <x:v>DEV002</x:v>
      </x:c>
      <x:c r="R819" s="2" t="n">
        <x:v>15</x:v>
      </x:c>
      <x:c r="S819" s="2" t="str">
        <x:v>Online</x:v>
      </x:c>
      <x:c r="T819" s="2" t="str">
        <x:v>Synced</x:v>
      </x:c>
    </x:row>
    <x:row r="820" ht="21" customHeight="1">
      <x:c r="A820" s="2" t="str">
        <x:v>EV000902</x:v>
      </x:c>
      <x:c r="B820" s="2" t="str">
        <x:v>T20261005-3-3</x:v>
      </x:c>
      <x:c r="C820" s="2" t="str">
        <x:v>ST094</x:v>
      </x:c>
      <x:c r="D820" s="2" t="str">
        <x:v>b6fd37c188877a378c496dccb3132cf2</x:v>
      </x:c>
      <x:c r="E820" s="2" t="str">
        <x:v>CHECK_OUT</x:v>
      </x:c>
      <x:c r="F820" s="8" t="n">
        <x:v>46300.59038194445</x:v>
      </x:c>
      <x:c r="G820" s="8" t="n">
        <x:v>46300.5904050926</x:v>
      </x:c>
      <x:c r="H820" s="2" t="str">
        <x:v>R3S2</x:v>
      </x:c>
      <x:c r="I820" s="9" t="n">
        <x:v>25.291000000000004</x:v>
      </x:c>
      <x:c r="J820" s="9" t="n">
        <x:v>51.51</x:v>
      </x:c>
      <x:c r="K820" s="2" t="n">
        <x:v>8</x:v>
      </x:c>
      <x:c r="L820" s="2" t="str">
        <x:v>Valid</x:v>
      </x:c>
      <x:c r="M820" s="2" t="str">
        <x:v>QR</x:v>
      </x:c>
      <x:c r="N820" s="2" t="n">
        <x:v>1</x:v>
      </x:c>
      <x:c r="O820" s="2" t="str">
        <x:v>Accepted</x:v>
      </x:c>
      <x:c r="P820" s="2" t="str">
        <x:v>S003</x:v>
      </x:c>
      <x:c r="Q820" s="2" t="str">
        <x:v>DEV003</x:v>
      </x:c>
      <x:c r="R820" s="2" t="n">
        <x:v>15</x:v>
      </x:c>
      <x:c r="S820" s="2" t="str">
        <x:v>Online</x:v>
      </x:c>
      <x:c r="T820" s="2" t="str">
        <x:v>Synced</x:v>
      </x:c>
    </x:row>
    <x:row r="821" ht="21" customHeight="1">
      <x:c r="A821" s="2" t="str">
        <x:v>EV000592</x:v>
      </x:c>
      <x:c r="B821" s="2" t="str">
        <x:v>T20261005-3-1</x:v>
      </x:c>
      <x:c r="C821" s="2" t="str">
        <x:v>ST017</x:v>
      </x:c>
      <x:c r="D821" s="2" t="str">
        <x:v>ea6159d457322f2456f4cadd6b3d659f</x:v>
      </x:c>
      <x:c r="E821" s="2" t="str">
        <x:v>CHECK_OUT</x:v>
      </x:c>
      <x:c r="F821" s="8" t="n">
        <x:v>46300.59048611111</x:v>
      </x:c>
      <x:c r="G821" s="8" t="n">
        <x:v>46300.59050925926</x:v>
      </x:c>
      <x:c r="H821" s="2" t="str">
        <x:v>R1S2</x:v>
      </x:c>
      <x:c r="I821" s="9" t="n">
        <x:v>25.273000000000003</x:v>
      </x:c>
      <x:c r="J821" s="9" t="n">
        <x:v>51.494</x:v>
      </x:c>
      <x:c r="K821" s="2" t="n">
        <x:v>8</x:v>
      </x:c>
      <x:c r="L821" s="2" t="str">
        <x:v>Valid</x:v>
      </x:c>
      <x:c r="M821" s="2" t="str">
        <x:v>QR</x:v>
      </x:c>
      <x:c r="N821" s="2" t="n">
        <x:v>1</x:v>
      </x:c>
      <x:c r="O821" s="2" t="str">
        <x:v>Accepted</x:v>
      </x:c>
      <x:c r="P821" s="2" t="str">
        <x:v>S001</x:v>
      </x:c>
      <x:c r="Q821" s="2" t="str">
        <x:v>DEV001</x:v>
      </x:c>
      <x:c r="R821" s="2" t="n">
        <x:v>16</x:v>
      </x:c>
      <x:c r="S821" s="2" t="str">
        <x:v>Online</x:v>
      </x:c>
      <x:c r="T821" s="2" t="str">
        <x:v>Synced</x:v>
      </x:c>
    </x:row>
    <x:row r="822" ht="21" customHeight="1">
      <x:c r="A822" s="2" t="str">
        <x:v>EV000748</x:v>
      </x:c>
      <x:c r="B822" s="2" t="str">
        <x:v>T20261005-3-2</x:v>
      </x:c>
      <x:c r="C822" s="2" t="str">
        <x:v>ST057</x:v>
      </x:c>
      <x:c r="D822" s="2" t="str">
        <x:v>68d992c7418727808ad27d2e5ee9b88d</x:v>
      </x:c>
      <x:c r="E822" s="2" t="str">
        <x:v>CHECK_OUT</x:v>
      </x:c>
      <x:c r="F822" s="8" t="n">
        <x:v>46300.59048611111</x:v>
      </x:c>
      <x:c r="G822" s="8" t="n">
        <x:v>46300.59050925926</x:v>
      </x:c>
      <x:c r="H822" s="2" t="str">
        <x:v>R2S2</x:v>
      </x:c>
      <x:c r="I822" s="9" t="n">
        <x:v>25.282000000000004</x:v>
      </x:c>
      <x:c r="J822" s="9" t="n">
        <x:v>51.501999999999995</x:v>
      </x:c>
      <x:c r="K822" s="2" t="n">
        <x:v>8</x:v>
      </x:c>
      <x:c r="L822" s="2" t="str">
        <x:v>Valid</x:v>
      </x:c>
      <x:c r="M822" s="2" t="str">
        <x:v>QR</x:v>
      </x:c>
      <x:c r="N822" s="2" t="n">
        <x:v>1</x:v>
      </x:c>
      <x:c r="O822" s="2" t="str">
        <x:v>Accepted</x:v>
      </x:c>
      <x:c r="P822" s="2" t="str">
        <x:v>S002</x:v>
      </x:c>
      <x:c r="Q822" s="2" t="str">
        <x:v>DEV002</x:v>
      </x:c>
      <x:c r="R822" s="2" t="n">
        <x:v>16</x:v>
      </x:c>
      <x:c r="S822" s="2" t="str">
        <x:v>Online</x:v>
      </x:c>
      <x:c r="T822" s="2" t="str">
        <x:v>Synced</x:v>
      </x:c>
    </x:row>
    <x:row r="823" ht="21" customHeight="1">
      <x:c r="A823" s="2" t="str">
        <x:v>EV000908</x:v>
      </x:c>
      <x:c r="B823" s="2" t="str">
        <x:v>T20261005-3-3</x:v>
      </x:c>
      <x:c r="C823" s="2" t="str">
        <x:v>ST097</x:v>
      </x:c>
      <x:c r="D823" s="2" t="str">
        <x:v>0ccbf8d08569df9dde2207b8d5616d1e</x:v>
      </x:c>
      <x:c r="E823" s="2" t="str">
        <x:v>CHECK_OUT</x:v>
      </x:c>
      <x:c r="F823" s="8" t="n">
        <x:v>46300.59048611111</x:v>
      </x:c>
      <x:c r="G823" s="8" t="n">
        <x:v>46300.59050925926</x:v>
      </x:c>
      <x:c r="H823" s="2" t="str">
        <x:v>R3S2</x:v>
      </x:c>
      <x:c r="I823" s="9" t="n">
        <x:v>25.291000000000004</x:v>
      </x:c>
      <x:c r="J823" s="9" t="n">
        <x:v>51.51</x:v>
      </x:c>
      <x:c r="K823" s="2" t="n">
        <x:v>8</x:v>
      </x:c>
      <x:c r="L823" s="2" t="str">
        <x:v>Valid</x:v>
      </x:c>
      <x:c r="M823" s="2" t="str">
        <x:v>QR</x:v>
      </x:c>
      <x:c r="N823" s="2" t="n">
        <x:v>1</x:v>
      </x:c>
      <x:c r="O823" s="2" t="str">
        <x:v>Accepted</x:v>
      </x:c>
      <x:c r="P823" s="2" t="str">
        <x:v>S003</x:v>
      </x:c>
      <x:c r="Q823" s="2" t="str">
        <x:v>DEV003</x:v>
      </x:c>
      <x:c r="R823" s="2" t="n">
        <x:v>16</x:v>
      </x:c>
      <x:c r="S823" s="2" t="str">
        <x:v>Online</x:v>
      </x:c>
      <x:c r="T823" s="2" t="str">
        <x:v>Synced</x:v>
      </x:c>
    </x:row>
    <x:row r="824" ht="21" customHeight="1">
      <x:c r="A824" s="2" t="str">
        <x:v>EV000598</x:v>
      </x:c>
      <x:c r="B824" s="2" t="str">
        <x:v>T20261005-3-1</x:v>
      </x:c>
      <x:c r="C824" s="2" t="str">
        <x:v>ST020</x:v>
      </x:c>
      <x:c r="D824" s="2" t="str">
        <x:v>9f8daa9030f9f7599cd24e056935ab8d</x:v>
      </x:c>
      <x:c r="E824" s="2" t="str">
        <x:v>CHECK_OUT</x:v>
      </x:c>
      <x:c r="F824" s="8" t="n">
        <x:v>46300.59059027778</x:v>
      </x:c>
      <x:c r="G824" s="8" t="n">
        <x:v>46300.59061342593</x:v>
      </x:c>
      <x:c r="H824" s="2" t="str">
        <x:v>R1S2</x:v>
      </x:c>
      <x:c r="I824" s="9" t="n">
        <x:v>25.273000000000003</x:v>
      </x:c>
      <x:c r="J824" s="9" t="n">
        <x:v>51.494</x:v>
      </x:c>
      <x:c r="K824" s="2" t="n">
        <x:v>8</x:v>
      </x:c>
      <x:c r="L824" s="2" t="str">
        <x:v>Valid</x:v>
      </x:c>
      <x:c r="M824" s="2" t="str">
        <x:v>QR</x:v>
      </x:c>
      <x:c r="N824" s="2" t="n">
        <x:v>1</x:v>
      </x:c>
      <x:c r="O824" s="2" t="str">
        <x:v>Accepted</x:v>
      </x:c>
      <x:c r="P824" s="2" t="str">
        <x:v>S001</x:v>
      </x:c>
      <x:c r="Q824" s="2" t="str">
        <x:v>DEV001</x:v>
      </x:c>
      <x:c r="R824" s="2" t="n">
        <x:v>17</x:v>
      </x:c>
      <x:c r="S824" s="2" t="str">
        <x:v>Online</x:v>
      </x:c>
      <x:c r="T824" s="2" t="str">
        <x:v>Synced</x:v>
      </x:c>
    </x:row>
    <x:row r="825" ht="21" customHeight="1">
      <x:c r="A825" s="2" t="str">
        <x:v>EV000754</x:v>
      </x:c>
      <x:c r="B825" s="2" t="str">
        <x:v>T20261005-3-2</x:v>
      </x:c>
      <x:c r="C825" s="2" t="str">
        <x:v>ST060</x:v>
      </x:c>
      <x:c r="D825" s="2" t="str">
        <x:v>a424ea3d9a5cb1c08037457e61cef61f</x:v>
      </x:c>
      <x:c r="E825" s="2" t="str">
        <x:v>CHECK_OUT</x:v>
      </x:c>
      <x:c r="F825" s="8" t="n">
        <x:v>46300.59059027778</x:v>
      </x:c>
      <x:c r="G825" s="8" t="n">
        <x:v>46300.59061342593</x:v>
      </x:c>
      <x:c r="H825" s="2" t="str">
        <x:v>R2S2</x:v>
      </x:c>
      <x:c r="I825" s="9" t="n">
        <x:v>25.282000000000004</x:v>
      </x:c>
      <x:c r="J825" s="9" t="n">
        <x:v>51.501999999999995</x:v>
      </x:c>
      <x:c r="K825" s="2" t="n">
        <x:v>8</x:v>
      </x:c>
      <x:c r="L825" s="2" t="str">
        <x:v>Valid</x:v>
      </x:c>
      <x:c r="M825" s="2" t="str">
        <x:v>QR</x:v>
      </x:c>
      <x:c r="N825" s="2" t="n">
        <x:v>1</x:v>
      </x:c>
      <x:c r="O825" s="2" t="str">
        <x:v>Accepted</x:v>
      </x:c>
      <x:c r="P825" s="2" t="str">
        <x:v>S002</x:v>
      </x:c>
      <x:c r="Q825" s="2" t="str">
        <x:v>DEV002</x:v>
      </x:c>
      <x:c r="R825" s="2" t="n">
        <x:v>17</x:v>
      </x:c>
      <x:c r="S825" s="2" t="str">
        <x:v>Online</x:v>
      </x:c>
      <x:c r="T825" s="2" t="str">
        <x:v>Synced</x:v>
      </x:c>
    </x:row>
    <x:row r="826" ht="21" customHeight="1">
      <x:c r="A826" s="2" t="str">
        <x:v>EV000914</x:v>
      </x:c>
      <x:c r="B826" s="2" t="str">
        <x:v>T20261005-3-3</x:v>
      </x:c>
      <x:c r="C826" s="2" t="str">
        <x:v>ST100</x:v>
      </x:c>
      <x:c r="D826" s="2" t="str">
        <x:v>6ba3ddf298bc4515d195454c1e81d9d6</x:v>
      </x:c>
      <x:c r="E826" s="2" t="str">
        <x:v>CHECK_OUT</x:v>
      </x:c>
      <x:c r="F826" s="8" t="n">
        <x:v>46300.59059027778</x:v>
      </x:c>
      <x:c r="G826" s="8" t="n">
        <x:v>46300.59061342593</x:v>
      </x:c>
      <x:c r="H826" s="2" t="str">
        <x:v>R3S2</x:v>
      </x:c>
      <x:c r="I826" s="9" t="n">
        <x:v>25.291000000000004</x:v>
      </x:c>
      <x:c r="J826" s="9" t="n">
        <x:v>51.51</x:v>
      </x:c>
      <x:c r="K826" s="2" t="n">
        <x:v>8</x:v>
      </x:c>
      <x:c r="L826" s="2" t="str">
        <x:v>Valid</x:v>
      </x:c>
      <x:c r="M826" s="2" t="str">
        <x:v>QR</x:v>
      </x:c>
      <x:c r="N826" s="2" t="n">
        <x:v>1</x:v>
      </x:c>
      <x:c r="O826" s="2" t="str">
        <x:v>Accepted</x:v>
      </x:c>
      <x:c r="P826" s="2" t="str">
        <x:v>S003</x:v>
      </x:c>
      <x:c r="Q826" s="2" t="str">
        <x:v>DEV003</x:v>
      </x:c>
      <x:c r="R826" s="2" t="n">
        <x:v>17</x:v>
      </x:c>
      <x:c r="S826" s="2" t="str">
        <x:v>Online</x:v>
      </x:c>
      <x:c r="T826" s="2" t="str">
        <x:v>Synced</x:v>
      </x:c>
    </x:row>
    <x:row r="827" ht="21" customHeight="1">
      <x:c r="A827" s="2" t="str">
        <x:v>EV000582</x:v>
      </x:c>
      <x:c r="B827" s="2" t="str">
        <x:v>T20261005-3-1</x:v>
      </x:c>
      <x:c r="C827" s="2" t="str">
        <x:v>ST012</x:v>
      </x:c>
      <x:c r="D827" s="2" t="str">
        <x:v>8d45a06a93234042b630e18d7821ea23</x:v>
      </x:c>
      <x:c r="E827" s="2" t="str">
        <x:v>CHECK_OUT</x:v>
      </x:c>
      <x:c r="F827" s="8" t="n">
        <x:v>46300.59447916667</x:v>
      </x:c>
      <x:c r="G827" s="8" t="n">
        <x:v>46300.594502314816</x:v>
      </x:c>
      <x:c r="H827" s="2" t="str">
        <x:v>R1S3</x:v>
      </x:c>
      <x:c r="I827" s="9" t="n">
        <x:v>25.275000000000002</x:v>
      </x:c>
      <x:c r="J827" s="9" t="n">
        <x:v>51.497</x:v>
      </x:c>
      <x:c r="K827" s="2" t="n">
        <x:v>8</x:v>
      </x:c>
      <x:c r="L827" s="2" t="str">
        <x:v>Valid</x:v>
      </x:c>
      <x:c r="M827" s="2" t="str">
        <x:v>QR</x:v>
      </x:c>
      <x:c r="N827" s="2" t="n">
        <x:v>1</x:v>
      </x:c>
      <x:c r="O827" s="2" t="str">
        <x:v>Accepted</x:v>
      </x:c>
      <x:c r="P827" s="2" t="str">
        <x:v>S001</x:v>
      </x:c>
      <x:c r="Q827" s="2" t="str">
        <x:v>DEV001</x:v>
      </x:c>
      <x:c r="R827" s="2" t="n">
        <x:v>18</x:v>
      </x:c>
      <x:c r="S827" s="2" t="str">
        <x:v>Online</x:v>
      </x:c>
      <x:c r="T827" s="2" t="str">
        <x:v>Synced</x:v>
      </x:c>
    </x:row>
    <x:row r="828" ht="21" customHeight="1">
      <x:c r="A828" s="2" t="str">
        <x:v>EV000738</x:v>
      </x:c>
      <x:c r="B828" s="2" t="str">
        <x:v>T20261005-3-2</x:v>
      </x:c>
      <x:c r="C828" s="2" t="str">
        <x:v>ST052</x:v>
      </x:c>
      <x:c r="D828" s="2" t="str">
        <x:v>0c1c5957fe0604ae228ff5e1e1a785bc</x:v>
      </x:c>
      <x:c r="E828" s="2" t="str">
        <x:v>CHECK_OUT</x:v>
      </x:c>
      <x:c r="F828" s="8" t="n">
        <x:v>46300.59447916667</x:v>
      </x:c>
      <x:c r="G828" s="8" t="n">
        <x:v>46300.594502314816</x:v>
      </x:c>
      <x:c r="H828" s="2" t="str">
        <x:v>R2S3</x:v>
      </x:c>
      <x:c r="I828" s="9" t="n">
        <x:v>25.284000000000002</x:v>
      </x:c>
      <x:c r="J828" s="9" t="n">
        <x:v>51.504999999999995</x:v>
      </x:c>
      <x:c r="K828" s="2" t="n">
        <x:v>8</x:v>
      </x:c>
      <x:c r="L828" s="2" t="str">
        <x:v>Valid</x:v>
      </x:c>
      <x:c r="M828" s="2" t="str">
        <x:v>QR</x:v>
      </x:c>
      <x:c r="N828" s="2" t="n">
        <x:v>1</x:v>
      </x:c>
      <x:c r="O828" s="2" t="str">
        <x:v>Accepted</x:v>
      </x:c>
      <x:c r="P828" s="2" t="str">
        <x:v>S002</x:v>
      </x:c>
      <x:c r="Q828" s="2" t="str">
        <x:v>DEV002</x:v>
      </x:c>
      <x:c r="R828" s="2" t="n">
        <x:v>18</x:v>
      </x:c>
      <x:c r="S828" s="2" t="str">
        <x:v>Online</x:v>
      </x:c>
      <x:c r="T828" s="2" t="str">
        <x:v>Synced</x:v>
      </x:c>
    </x:row>
    <x:row r="829" ht="21" customHeight="1">
      <x:c r="A829" s="2" t="str">
        <x:v>EV000898</x:v>
      </x:c>
      <x:c r="B829" s="2" t="str">
        <x:v>T20261005-3-3</x:v>
      </x:c>
      <x:c r="C829" s="2" t="str">
        <x:v>ST092</x:v>
      </x:c>
      <x:c r="D829" s="2" t="str">
        <x:v>e83e93b137787f284ae9574a02ff0cc7</x:v>
      </x:c>
      <x:c r="E829" s="2" t="str">
        <x:v>CHECK_OUT</x:v>
      </x:c>
      <x:c r="F829" s="8" t="n">
        <x:v>46300.59447916667</x:v>
      </x:c>
      <x:c r="G829" s="8" t="n">
        <x:v>46300.594502314816</x:v>
      </x:c>
      <x:c r="H829" s="2" t="str">
        <x:v>R3S3</x:v>
      </x:c>
      <x:c r="I829" s="9" t="n">
        <x:v>25.293000000000003</x:v>
      </x:c>
      <x:c r="J829" s="9" t="n">
        <x:v>51.513</x:v>
      </x:c>
      <x:c r="K829" s="2" t="n">
        <x:v>8</x:v>
      </x:c>
      <x:c r="L829" s="2" t="str">
        <x:v>Valid</x:v>
      </x:c>
      <x:c r="M829" s="2" t="str">
        <x:v>QR</x:v>
      </x:c>
      <x:c r="N829" s="2" t="n">
        <x:v>1</x:v>
      </x:c>
      <x:c r="O829" s="2" t="str">
        <x:v>Accepted</x:v>
      </x:c>
      <x:c r="P829" s="2" t="str">
        <x:v>S003</x:v>
      </x:c>
      <x:c r="Q829" s="2" t="str">
        <x:v>DEV003</x:v>
      </x:c>
      <x:c r="R829" s="2" t="n">
        <x:v>18</x:v>
      </x:c>
      <x:c r="S829" s="2" t="str">
        <x:v>Online</x:v>
      </x:c>
      <x:c r="T829" s="2" t="str">
        <x:v>Synced</x:v>
      </x:c>
    </x:row>
    <x:row r="830" ht="21" customHeight="1">
      <x:c r="A830" s="2" t="str">
        <x:v>EV000588</x:v>
      </x:c>
      <x:c r="B830" s="2" t="str">
        <x:v>T20261005-3-1</x:v>
      </x:c>
      <x:c r="C830" s="2" t="str">
        <x:v>ST015</x:v>
      </x:c>
      <x:c r="D830" s="2" t="str">
        <x:v>997c76227e9b12bdccc68d0d53a8d1df</x:v>
      </x:c>
      <x:c r="E830" s="2" t="str">
        <x:v>CHECK_OUT</x:v>
      </x:c>
      <x:c r="F830" s="8" t="n">
        <x:v>46300.59458333334</x:v>
      </x:c>
      <x:c r="G830" s="8" t="n">
        <x:v>46300.594606481485</x:v>
      </x:c>
      <x:c r="H830" s="2" t="str">
        <x:v>R1S3</x:v>
      </x:c>
      <x:c r="I830" s="9" t="n">
        <x:v>25.275000000000002</x:v>
      </x:c>
      <x:c r="J830" s="9" t="n">
        <x:v>51.497</x:v>
      </x:c>
      <x:c r="K830" s="2" t="n">
        <x:v>8</x:v>
      </x:c>
      <x:c r="L830" s="2" t="str">
        <x:v>Valid</x:v>
      </x:c>
      <x:c r="M830" s="2" t="str">
        <x:v>QR</x:v>
      </x:c>
      <x:c r="N830" s="2" t="n">
        <x:v>1</x:v>
      </x:c>
      <x:c r="O830" s="2" t="str">
        <x:v>Accepted</x:v>
      </x:c>
      <x:c r="P830" s="2" t="str">
        <x:v>S001</x:v>
      </x:c>
      <x:c r="Q830" s="2" t="str">
        <x:v>DEV001</x:v>
      </x:c>
      <x:c r="R830" s="2" t="n">
        <x:v>19</x:v>
      </x:c>
      <x:c r="S830" s="2" t="str">
        <x:v>Online</x:v>
      </x:c>
      <x:c r="T830" s="2" t="str">
        <x:v>Synced</x:v>
      </x:c>
    </x:row>
    <x:row r="831" ht="21" customHeight="1">
      <x:c r="A831" s="2" t="str">
        <x:v>EV000744</x:v>
      </x:c>
      <x:c r="B831" s="2" t="str">
        <x:v>T20261005-3-2</x:v>
      </x:c>
      <x:c r="C831" s="2" t="str">
        <x:v>ST055</x:v>
      </x:c>
      <x:c r="D831" s="2" t="str">
        <x:v>e796258b9306e2b3efab77a21add36a5</x:v>
      </x:c>
      <x:c r="E831" s="2" t="str">
        <x:v>CHECK_OUT</x:v>
      </x:c>
      <x:c r="F831" s="8" t="n">
        <x:v>46300.59458333334</x:v>
      </x:c>
      <x:c r="G831" s="8" t="n">
        <x:v>46300.594606481485</x:v>
      </x:c>
      <x:c r="H831" s="2" t="str">
        <x:v>R2S3</x:v>
      </x:c>
      <x:c r="I831" s="9" t="n">
        <x:v>25.284000000000002</x:v>
      </x:c>
      <x:c r="J831" s="9" t="n">
        <x:v>51.504999999999995</x:v>
      </x:c>
      <x:c r="K831" s="2" t="n">
        <x:v>8</x:v>
      </x:c>
      <x:c r="L831" s="2" t="str">
        <x:v>Valid</x:v>
      </x:c>
      <x:c r="M831" s="2" t="str">
        <x:v>QR</x:v>
      </x:c>
      <x:c r="N831" s="2" t="n">
        <x:v>1</x:v>
      </x:c>
      <x:c r="O831" s="2" t="str">
        <x:v>Accepted</x:v>
      </x:c>
      <x:c r="P831" s="2" t="str">
        <x:v>S002</x:v>
      </x:c>
      <x:c r="Q831" s="2" t="str">
        <x:v>DEV002</x:v>
      </x:c>
      <x:c r="R831" s="2" t="n">
        <x:v>19</x:v>
      </x:c>
      <x:c r="S831" s="2" t="str">
        <x:v>Online</x:v>
      </x:c>
      <x:c r="T831" s="2" t="str">
        <x:v>Synced</x:v>
      </x:c>
    </x:row>
    <x:row r="832" ht="21" customHeight="1">
      <x:c r="A832" s="2" t="str">
        <x:v>EV000904</x:v>
      </x:c>
      <x:c r="B832" s="2" t="str">
        <x:v>T20261005-3-3</x:v>
      </x:c>
      <x:c r="C832" s="2" t="str">
        <x:v>ST095</x:v>
      </x:c>
      <x:c r="D832" s="2" t="str">
        <x:v>0935ee2c52872353d5a355eed1202dbe</x:v>
      </x:c>
      <x:c r="E832" s="2" t="str">
        <x:v>CHECK_OUT</x:v>
      </x:c>
      <x:c r="F832" s="8" t="n">
        <x:v>46300.59458333334</x:v>
      </x:c>
      <x:c r="G832" s="8" t="n">
        <x:v>46300.594606481485</x:v>
      </x:c>
      <x:c r="H832" s="2" t="str">
        <x:v>R3S3</x:v>
      </x:c>
      <x:c r="I832" s="9" t="n">
        <x:v>25.293000000000003</x:v>
      </x:c>
      <x:c r="J832" s="9" t="n">
        <x:v>51.513</x:v>
      </x:c>
      <x:c r="K832" s="2" t="n">
        <x:v>8</x:v>
      </x:c>
      <x:c r="L832" s="2" t="str">
        <x:v>Valid</x:v>
      </x:c>
      <x:c r="M832" s="2" t="str">
        <x:v>QR</x:v>
      </x:c>
      <x:c r="N832" s="2" t="n">
        <x:v>1</x:v>
      </x:c>
      <x:c r="O832" s="2" t="str">
        <x:v>Accepted</x:v>
      </x:c>
      <x:c r="P832" s="2" t="str">
        <x:v>S003</x:v>
      </x:c>
      <x:c r="Q832" s="2" t="str">
        <x:v>DEV003</x:v>
      </x:c>
      <x:c r="R832" s="2" t="n">
        <x:v>19</x:v>
      </x:c>
      <x:c r="S832" s="2" t="str">
        <x:v>Online</x:v>
      </x:c>
      <x:c r="T832" s="2" t="str">
        <x:v>Synced</x:v>
      </x:c>
    </x:row>
    <x:row r="833" ht="21" customHeight="1">
      <x:c r="A833" s="2" t="str">
        <x:v>EV000594</x:v>
      </x:c>
      <x:c r="B833" s="2" t="str">
        <x:v>T20261005-3-1</x:v>
      </x:c>
      <x:c r="C833" s="2" t="str">
        <x:v>ST018</x:v>
      </x:c>
      <x:c r="D833" s="2" t="str">
        <x:v>4c1b40081ed5c7c21b8392ee528dbe54</x:v>
      </x:c>
      <x:c r="E833" s="2" t="str">
        <x:v>CHECK_OUT</x:v>
      </x:c>
      <x:c r="F833" s="8" t="n">
        <x:v>46300.5946875</x:v>
      </x:c>
      <x:c r="G833" s="8" t="n">
        <x:v>46300.59471064815</x:v>
      </x:c>
      <x:c r="H833" s="2" t="str">
        <x:v>R1S3</x:v>
      </x:c>
      <x:c r="I833" s="9" t="n">
        <x:v>25.275000000000002</x:v>
      </x:c>
      <x:c r="J833" s="9" t="n">
        <x:v>51.497</x:v>
      </x:c>
      <x:c r="K833" s="2" t="n">
        <x:v>8</x:v>
      </x:c>
      <x:c r="L833" s="2" t="str">
        <x:v>Valid</x:v>
      </x:c>
      <x:c r="M833" s="2" t="str">
        <x:v>QR</x:v>
      </x:c>
      <x:c r="N833" s="2" t="n">
        <x:v>1</x:v>
      </x:c>
      <x:c r="O833" s="2" t="str">
        <x:v>Accepted</x:v>
      </x:c>
      <x:c r="P833" s="2" t="str">
        <x:v>S001</x:v>
      </x:c>
      <x:c r="Q833" s="2" t="str">
        <x:v>DEV001</x:v>
      </x:c>
      <x:c r="R833" s="2" t="n">
        <x:v>20</x:v>
      </x:c>
      <x:c r="S833" s="2" t="str">
        <x:v>Online</x:v>
      </x:c>
      <x:c r="T833" s="2" t="str">
        <x:v>Synced</x:v>
      </x:c>
    </x:row>
    <x:row r="834" ht="21" customHeight="1">
      <x:c r="A834" s="2" t="str">
        <x:v>EV000750</x:v>
      </x:c>
      <x:c r="B834" s="2" t="str">
        <x:v>T20261005-3-2</x:v>
      </x:c>
      <x:c r="C834" s="2" t="str">
        <x:v>ST058</x:v>
      </x:c>
      <x:c r="D834" s="2" t="str">
        <x:v>ebf7e65b57e2c8bcd02f90b1d5692596</x:v>
      </x:c>
      <x:c r="E834" s="2" t="str">
        <x:v>CHECK_OUT</x:v>
      </x:c>
      <x:c r="F834" s="8" t="n">
        <x:v>46300.5946875</x:v>
      </x:c>
      <x:c r="G834" s="8" t="n">
        <x:v>46300.59471064815</x:v>
      </x:c>
      <x:c r="H834" s="2" t="str">
        <x:v>R2S3</x:v>
      </x:c>
      <x:c r="I834" s="9" t="n">
        <x:v>25.284000000000002</x:v>
      </x:c>
      <x:c r="J834" s="9" t="n">
        <x:v>51.504999999999995</x:v>
      </x:c>
      <x:c r="K834" s="2" t="n">
        <x:v>8</x:v>
      </x:c>
      <x:c r="L834" s="2" t="str">
        <x:v>Valid</x:v>
      </x:c>
      <x:c r="M834" s="2" t="str">
        <x:v>QR</x:v>
      </x:c>
      <x:c r="N834" s="2" t="n">
        <x:v>1</x:v>
      </x:c>
      <x:c r="O834" s="2" t="str">
        <x:v>Accepted</x:v>
      </x:c>
      <x:c r="P834" s="2" t="str">
        <x:v>S002</x:v>
      </x:c>
      <x:c r="Q834" s="2" t="str">
        <x:v>DEV002</x:v>
      </x:c>
      <x:c r="R834" s="2" t="n">
        <x:v>20</x:v>
      </x:c>
      <x:c r="S834" s="2" t="str">
        <x:v>Online</x:v>
      </x:c>
      <x:c r="T834" s="2" t="str">
        <x:v>Synced</x:v>
      </x:c>
    </x:row>
    <x:row r="835" ht="21" customHeight="1">
      <x:c r="A835" s="2" t="str">
        <x:v>EV000910</x:v>
      </x:c>
      <x:c r="B835" s="2" t="str">
        <x:v>T20261005-3-3</x:v>
      </x:c>
      <x:c r="C835" s="2" t="str">
        <x:v>ST098</x:v>
      </x:c>
      <x:c r="D835" s="2" t="str">
        <x:v>4b453acdeca94f98f11a429464f7bff7</x:v>
      </x:c>
      <x:c r="E835" s="2" t="str">
        <x:v>CHECK_OUT</x:v>
      </x:c>
      <x:c r="F835" s="8" t="n">
        <x:v>46300.5946875</x:v>
      </x:c>
      <x:c r="G835" s="8" t="n">
        <x:v>46300.59471064815</x:v>
      </x:c>
      <x:c r="H835" s="2" t="str">
        <x:v>R3S3</x:v>
      </x:c>
      <x:c r="I835" s="9" t="n">
        <x:v>25.293000000000003</x:v>
      </x:c>
      <x:c r="J835" s="9" t="n">
        <x:v>51.513</x:v>
      </x:c>
      <x:c r="K835" s="2" t="n">
        <x:v>8</x:v>
      </x:c>
      <x:c r="L835" s="2" t="str">
        <x:v>Valid</x:v>
      </x:c>
      <x:c r="M835" s="2" t="str">
        <x:v>QR</x:v>
      </x:c>
      <x:c r="N835" s="2" t="n">
        <x:v>1</x:v>
      </x:c>
      <x:c r="O835" s="2" t="str">
        <x:v>Accepted</x:v>
      </x:c>
      <x:c r="P835" s="2" t="str">
        <x:v>S003</x:v>
      </x:c>
      <x:c r="Q835" s="2" t="str">
        <x:v>DEV003</x:v>
      </x:c>
      <x:c r="R835" s="2" t="n">
        <x:v>20</x:v>
      </x:c>
      <x:c r="S835" s="2" t="str">
        <x:v>Online</x:v>
      </x:c>
      <x:c r="T835" s="2" t="str">
        <x:v>Synced</x:v>
      </x:c>
    </x:row>
    <x:row r="836" ht="21" customHeight="1">
      <x:c r="A836" s="2" t="str">
        <x:v>EV000599</x:v>
      </x:c>
      <x:c r="B836" s="2" t="str">
        <x:v>T20261005-4-1</x:v>
      </x:c>
      <x:c r="C836" s="2" t="str">
        <x:v>ST021</x:v>
      </x:c>
      <x:c r="D836" s="2" t="str">
        <x:v>9b1608e5663d6da53cd805c8051dedd7</x:v>
      </x:c>
      <x:c r="E836" s="2" t="str">
        <x:v>CHECK_IN</x:v>
      </x:c>
      <x:c r="F836" s="8" t="n">
        <x:v>46300.60416666667</x:v>
      </x:c>
      <x:c r="G836" s="8" t="n">
        <x:v>46300.60418981482</x:v>
      </x:c>
      <x:c r="H836" s="2" t="str">
        <x:v>SCH01</x:v>
      </x:c>
      <x:c r="I836" s="9" t="n">
        <x:v>25.285</x:v>
      </x:c>
      <x:c r="J836" s="9" t="n">
        <x:v>51.51</x:v>
      </x:c>
      <x:c r="K836" s="2" t="n">
        <x:v>8</x:v>
      </x:c>
      <x:c r="L836" s="2" t="str">
        <x:v>Valid</x:v>
      </x:c>
      <x:c r="M836" s="2" t="str">
        <x:v>QR</x:v>
      </x:c>
      <x:c r="N836" s="2" t="n">
        <x:v>1</x:v>
      </x:c>
      <x:c r="O836" s="2" t="str">
        <x:v>Accepted</x:v>
      </x:c>
      <x:c r="P836" s="2" t="str">
        <x:v>S001</x:v>
      </x:c>
      <x:c r="Q836" s="2" t="str">
        <x:v>DEV001</x:v>
      </x:c>
      <x:c r="R836" s="2" t="n">
        <x:v>1</x:v>
      </x:c>
      <x:c r="S836" s="2" t="str">
        <x:v>Online</x:v>
      </x:c>
      <x:c r="T836" s="2" t="str">
        <x:v>Synced</x:v>
      </x:c>
    </x:row>
    <x:row r="837" ht="21" customHeight="1">
      <x:c r="A837" s="2" t="str">
        <x:v>EV000755</x:v>
      </x:c>
      <x:c r="B837" s="2" t="str">
        <x:v>T20261005-4-2</x:v>
      </x:c>
      <x:c r="C837" s="2" t="str">
        <x:v>ST061</x:v>
      </x:c>
      <x:c r="D837" s="2" t="str">
        <x:v>c547cb31f14853ae1f9f2436554d3271</x:v>
      </x:c>
      <x:c r="E837" s="2" t="str">
        <x:v>CHECK_IN</x:v>
      </x:c>
      <x:c r="F837" s="8" t="n">
        <x:v>46300.60416666667</x:v>
      </x:c>
      <x:c r="G837" s="8" t="n">
        <x:v>46300.60418981482</x:v>
      </x:c>
      <x:c r="H837" s="2" t="str">
        <x:v>SCH01</x:v>
      </x:c>
      <x:c r="I837" s="9" t="n">
        <x:v>25.285</x:v>
      </x:c>
      <x:c r="J837" s="9" t="n">
        <x:v>51.51</x:v>
      </x:c>
      <x:c r="K837" s="2" t="n">
        <x:v>8</x:v>
      </x:c>
      <x:c r="L837" s="2" t="str">
        <x:v>Valid</x:v>
      </x:c>
      <x:c r="M837" s="2" t="str">
        <x:v>QR</x:v>
      </x:c>
      <x:c r="N837" s="2" t="n">
        <x:v>1</x:v>
      </x:c>
      <x:c r="O837" s="2" t="str">
        <x:v>Accepted</x:v>
      </x:c>
      <x:c r="P837" s="2" t="str">
        <x:v>S002</x:v>
      </x:c>
      <x:c r="Q837" s="2" t="str">
        <x:v>DEV002</x:v>
      </x:c>
      <x:c r="R837" s="2" t="n">
        <x:v>1</x:v>
      </x:c>
      <x:c r="S837" s="2" t="str">
        <x:v>Online</x:v>
      </x:c>
      <x:c r="T837" s="2" t="str">
        <x:v>Synced</x:v>
      </x:c>
    </x:row>
    <x:row r="838" ht="21" customHeight="1">
      <x:c r="A838" s="2" t="str">
        <x:v>EV000915</x:v>
      </x:c>
      <x:c r="B838" s="2" t="str">
        <x:v>T20261005-4-3</x:v>
      </x:c>
      <x:c r="C838" s="2" t="str">
        <x:v>ST101</x:v>
      </x:c>
      <x:c r="D838" s="2" t="str">
        <x:v>9f8e180c63d3ff8d3e393db3573884a8</x:v>
      </x:c>
      <x:c r="E838" s="2" t="str">
        <x:v>CHECK_IN</x:v>
      </x:c>
      <x:c r="F838" s="8" t="n">
        <x:v>46300.60416666667</x:v>
      </x:c>
      <x:c r="G838" s="8" t="n">
        <x:v>46300.60418981482</x:v>
      </x:c>
      <x:c r="H838" s="2" t="str">
        <x:v>SCH01</x:v>
      </x:c>
      <x:c r="I838" s="9" t="n">
        <x:v>25.285</x:v>
      </x:c>
      <x:c r="J838" s="9" t="n">
        <x:v>51.51</x:v>
      </x:c>
      <x:c r="K838" s="2" t="n">
        <x:v>8</x:v>
      </x:c>
      <x:c r="L838" s="2" t="str">
        <x:v>Valid</x:v>
      </x:c>
      <x:c r="M838" s="2" t="str">
        <x:v>QR</x:v>
      </x:c>
      <x:c r="N838" s="2" t="n">
        <x:v>1</x:v>
      </x:c>
      <x:c r="O838" s="2" t="str">
        <x:v>Accepted</x:v>
      </x:c>
      <x:c r="P838" s="2" t="str">
        <x:v>S003</x:v>
      </x:c>
      <x:c r="Q838" s="2" t="str">
        <x:v>DEV003</x:v>
      </x:c>
      <x:c r="R838" s="2" t="n">
        <x:v>1</x:v>
      </x:c>
      <x:c r="S838" s="2" t="str">
        <x:v>Online</x:v>
      </x:c>
      <x:c r="T838" s="2" t="str">
        <x:v>Synced</x:v>
      </x:c>
    </x:row>
    <x:row r="839" ht="21" customHeight="1">
      <x:c r="A839" s="2" t="str">
        <x:v>EV000601</x:v>
      </x:c>
      <x:c r="B839" s="2" t="str">
        <x:v>T20261005-4-1</x:v>
      </x:c>
      <x:c r="C839" s="2" t="str">
        <x:v>ST022</x:v>
      </x:c>
      <x:c r="D839" s="2" t="str">
        <x:v>32e634064d0319251398d392c471332a</x:v>
      </x:c>
      <x:c r="E839" s="2" t="str">
        <x:v>CHECK_IN</x:v>
      </x:c>
      <x:c r="F839" s="8" t="n">
        <x:v>46300.604201388895</x:v>
      </x:c>
      <x:c r="G839" s="8" t="n">
        <x:v>46300.60422453704</x:v>
      </x:c>
      <x:c r="H839" s="2" t="str">
        <x:v>SCH01</x:v>
      </x:c>
      <x:c r="I839" s="9" t="n">
        <x:v>25.285</x:v>
      </x:c>
      <x:c r="J839" s="9" t="n">
        <x:v>51.51</x:v>
      </x:c>
      <x:c r="K839" s="2" t="n">
        <x:v>8</x:v>
      </x:c>
      <x:c r="L839" s="2" t="str">
        <x:v>Valid</x:v>
      </x:c>
      <x:c r="M839" s="2" t="str">
        <x:v>QR</x:v>
      </x:c>
      <x:c r="N839" s="2" t="n">
        <x:v>1</x:v>
      </x:c>
      <x:c r="O839" s="2" t="str">
        <x:v>Accepted</x:v>
      </x:c>
      <x:c r="P839" s="2" t="str">
        <x:v>S001</x:v>
      </x:c>
      <x:c r="Q839" s="2" t="str">
        <x:v>DEV001</x:v>
      </x:c>
      <x:c r="R839" s="2" t="n">
        <x:v>2</x:v>
      </x:c>
      <x:c r="S839" s="2" t="str">
        <x:v>Online</x:v>
      </x:c>
      <x:c r="T839" s="2" t="str">
        <x:v>Synced</x:v>
      </x:c>
    </x:row>
    <x:row r="840" ht="21" customHeight="1">
      <x:c r="A840" s="2" t="str">
        <x:v>EV000757</x:v>
      </x:c>
      <x:c r="B840" s="2" t="str">
        <x:v>T20261005-4-2</x:v>
      </x:c>
      <x:c r="C840" s="2" t="str">
        <x:v>ST062</x:v>
      </x:c>
      <x:c r="D840" s="2" t="str">
        <x:v>e0ee324a0d8893ba89d7c618ea194e36</x:v>
      </x:c>
      <x:c r="E840" s="2" t="str">
        <x:v>CHECK_IN</x:v>
      </x:c>
      <x:c r="F840" s="8" t="n">
        <x:v>46300.604201388895</x:v>
      </x:c>
      <x:c r="G840" s="8" t="n">
        <x:v>46300.60422453704</x:v>
      </x:c>
      <x:c r="H840" s="2" t="str">
        <x:v>SCH01</x:v>
      </x:c>
      <x:c r="I840" s="9" t="n">
        <x:v>25.285</x:v>
      </x:c>
      <x:c r="J840" s="9" t="n">
        <x:v>51.51</x:v>
      </x:c>
      <x:c r="K840" s="2" t="n">
        <x:v>8</x:v>
      </x:c>
      <x:c r="L840" s="2" t="str">
        <x:v>Valid</x:v>
      </x:c>
      <x:c r="M840" s="2" t="str">
        <x:v>QR</x:v>
      </x:c>
      <x:c r="N840" s="2" t="n">
        <x:v>1</x:v>
      </x:c>
      <x:c r="O840" s="2" t="str">
        <x:v>Accepted</x:v>
      </x:c>
      <x:c r="P840" s="2" t="str">
        <x:v>S002</x:v>
      </x:c>
      <x:c r="Q840" s="2" t="str">
        <x:v>DEV002</x:v>
      </x:c>
      <x:c r="R840" s="2" t="n">
        <x:v>2</x:v>
      </x:c>
      <x:c r="S840" s="2" t="str">
        <x:v>Online</x:v>
      </x:c>
      <x:c r="T840" s="2" t="str">
        <x:v>Synced</x:v>
      </x:c>
    </x:row>
    <x:row r="841" ht="21" customHeight="1">
      <x:c r="A841" s="2" t="str">
        <x:v>EV000917</x:v>
      </x:c>
      <x:c r="B841" s="2" t="str">
        <x:v>T20261005-4-3</x:v>
      </x:c>
      <x:c r="C841" s="2" t="str">
        <x:v>ST102</x:v>
      </x:c>
      <x:c r="D841" s="2" t="str">
        <x:v>6a90d57a6e4b5aedbdcdc5a29cf018e9</x:v>
      </x:c>
      <x:c r="E841" s="2" t="str">
        <x:v>CHECK_IN</x:v>
      </x:c>
      <x:c r="F841" s="8" t="n">
        <x:v>46300.604201388895</x:v>
      </x:c>
      <x:c r="G841" s="8" t="n">
        <x:v>46300.60422453704</x:v>
      </x:c>
      <x:c r="H841" s="2" t="str">
        <x:v>SCH01</x:v>
      </x:c>
      <x:c r="I841" s="9" t="n">
        <x:v>25.285</x:v>
      </x:c>
      <x:c r="J841" s="9" t="n">
        <x:v>51.51</x:v>
      </x:c>
      <x:c r="K841" s="2" t="n">
        <x:v>8</x:v>
      </x:c>
      <x:c r="L841" s="2" t="str">
        <x:v>Valid</x:v>
      </x:c>
      <x:c r="M841" s="2" t="str">
        <x:v>QR</x:v>
      </x:c>
      <x:c r="N841" s="2" t="n">
        <x:v>1</x:v>
      </x:c>
      <x:c r="O841" s="2" t="str">
        <x:v>Accepted</x:v>
      </x:c>
      <x:c r="P841" s="2" t="str">
        <x:v>S003</x:v>
      </x:c>
      <x:c r="Q841" s="2" t="str">
        <x:v>DEV003</x:v>
      </x:c>
      <x:c r="R841" s="2" t="n">
        <x:v>2</x:v>
      </x:c>
      <x:c r="S841" s="2" t="str">
        <x:v>Online</x:v>
      </x:c>
      <x:c r="T841" s="2" t="str">
        <x:v>Synced</x:v>
      </x:c>
    </x:row>
    <x:row r="842" ht="21" customHeight="1">
      <x:c r="A842" s="2" t="str">
        <x:v>EV000603</x:v>
      </x:c>
      <x:c r="B842" s="2" t="str">
        <x:v>T20261005-4-1</x:v>
      </x:c>
      <x:c r="C842" s="2" t="str">
        <x:v>ST023</x:v>
      </x:c>
      <x:c r="D842" s="2" t="str">
        <x:v>1836074fce688580737a08d14a26fa79</x:v>
      </x:c>
      <x:c r="E842" s="2" t="str">
        <x:v>CHECK_IN</x:v>
      </x:c>
      <x:c r="F842" s="8" t="n">
        <x:v>46300.60423611112</x:v>
      </x:c>
      <x:c r="G842" s="8" t="n">
        <x:v>46300.604259259264</x:v>
      </x:c>
      <x:c r="H842" s="2" t="str">
        <x:v>SCH01</x:v>
      </x:c>
      <x:c r="I842" s="9" t="n">
        <x:v>25.285</x:v>
      </x:c>
      <x:c r="J842" s="9" t="n">
        <x:v>51.51</x:v>
      </x:c>
      <x:c r="K842" s="2" t="n">
        <x:v>8</x:v>
      </x:c>
      <x:c r="L842" s="2" t="str">
        <x:v>Valid</x:v>
      </x:c>
      <x:c r="M842" s="2" t="str">
        <x:v>QR</x:v>
      </x:c>
      <x:c r="N842" s="2" t="n">
        <x:v>1</x:v>
      </x:c>
      <x:c r="O842" s="2" t="str">
        <x:v>Accepted</x:v>
      </x:c>
      <x:c r="P842" s="2" t="str">
        <x:v>S001</x:v>
      </x:c>
      <x:c r="Q842" s="2" t="str">
        <x:v>DEV001</x:v>
      </x:c>
      <x:c r="R842" s="2" t="n">
        <x:v>3</x:v>
      </x:c>
      <x:c r="S842" s="2" t="str">
        <x:v>Online</x:v>
      </x:c>
      <x:c r="T842" s="2" t="str">
        <x:v>Synced</x:v>
      </x:c>
    </x:row>
    <x:row r="843" ht="21" customHeight="1">
      <x:c r="A843" s="2" t="str">
        <x:v>EV000759</x:v>
      </x:c>
      <x:c r="B843" s="2" t="str">
        <x:v>T20261005-4-2</x:v>
      </x:c>
      <x:c r="C843" s="2" t="str">
        <x:v>ST063</x:v>
      </x:c>
      <x:c r="D843" s="2" t="str">
        <x:v>46a3e8e97cbe04af0173a75d9cdbcebf</x:v>
      </x:c>
      <x:c r="E843" s="2" t="str">
        <x:v>CHECK_IN</x:v>
      </x:c>
      <x:c r="F843" s="8" t="n">
        <x:v>46300.60423611112</x:v>
      </x:c>
      <x:c r="G843" s="8" t="n">
        <x:v>46300.604259259264</x:v>
      </x:c>
      <x:c r="H843" s="2" t="str">
        <x:v>SCH01</x:v>
      </x:c>
      <x:c r="I843" s="9" t="n">
        <x:v>25.285</x:v>
      </x:c>
      <x:c r="J843" s="9" t="n">
        <x:v>51.51</x:v>
      </x:c>
      <x:c r="K843" s="2" t="n">
        <x:v>8</x:v>
      </x:c>
      <x:c r="L843" s="2" t="str">
        <x:v>Valid</x:v>
      </x:c>
      <x:c r="M843" s="2" t="str">
        <x:v>QR</x:v>
      </x:c>
      <x:c r="N843" s="2" t="n">
        <x:v>1</x:v>
      </x:c>
      <x:c r="O843" s="2" t="str">
        <x:v>Accepted</x:v>
      </x:c>
      <x:c r="P843" s="2" t="str">
        <x:v>S002</x:v>
      </x:c>
      <x:c r="Q843" s="2" t="str">
        <x:v>DEV002</x:v>
      </x:c>
      <x:c r="R843" s="2" t="n">
        <x:v>3</x:v>
      </x:c>
      <x:c r="S843" s="2" t="str">
        <x:v>Online</x:v>
      </x:c>
      <x:c r="T843" s="2" t="str">
        <x:v>Synced</x:v>
      </x:c>
    </x:row>
    <x:row r="844" ht="21" customHeight="1">
      <x:c r="A844" s="2" t="str">
        <x:v>EV000919</x:v>
      </x:c>
      <x:c r="B844" s="2" t="str">
        <x:v>T20261005-4-3</x:v>
      </x:c>
      <x:c r="C844" s="2" t="str">
        <x:v>ST103</x:v>
      </x:c>
      <x:c r="D844" s="2" t="str">
        <x:v>5982cfca835e14d82ed8b6562c1a172d</x:v>
      </x:c>
      <x:c r="E844" s="2" t="str">
        <x:v>CHECK_IN</x:v>
      </x:c>
      <x:c r="F844" s="8" t="n">
        <x:v>46300.60423611112</x:v>
      </x:c>
      <x:c r="G844" s="8" t="n">
        <x:v>46300.604259259264</x:v>
      </x:c>
      <x:c r="H844" s="2" t="str">
        <x:v>SCH01</x:v>
      </x:c>
      <x:c r="I844" s="9" t="n">
        <x:v>25.285</x:v>
      </x:c>
      <x:c r="J844" s="9" t="n">
        <x:v>51.51</x:v>
      </x:c>
      <x:c r="K844" s="2" t="n">
        <x:v>8</x:v>
      </x:c>
      <x:c r="L844" s="2" t="str">
        <x:v>Valid</x:v>
      </x:c>
      <x:c r="M844" s="2" t="str">
        <x:v>QR</x:v>
      </x:c>
      <x:c r="N844" s="2" t="n">
        <x:v>1</x:v>
      </x:c>
      <x:c r="O844" s="2" t="str">
        <x:v>Accepted</x:v>
      </x:c>
      <x:c r="P844" s="2" t="str">
        <x:v>S003</x:v>
      </x:c>
      <x:c r="Q844" s="2" t="str">
        <x:v>DEV003</x:v>
      </x:c>
      <x:c r="R844" s="2" t="n">
        <x:v>3</x:v>
      </x:c>
      <x:c r="S844" s="2" t="str">
        <x:v>Online</x:v>
      </x:c>
      <x:c r="T844" s="2" t="str">
        <x:v>Synced</x:v>
      </x:c>
    </x:row>
    <x:row r="845" ht="21" customHeight="1">
      <x:c r="A845" s="2" t="str">
        <x:v>EV000605</x:v>
      </x:c>
      <x:c r="B845" s="2" t="str">
        <x:v>T20261005-4-1</x:v>
      </x:c>
      <x:c r="C845" s="2" t="str">
        <x:v>ST024</x:v>
      </x:c>
      <x:c r="D845" s="2" t="str">
        <x:v>df785f1577b8ee7f71835020d03a12a6</x:v>
      </x:c>
      <x:c r="E845" s="2" t="str">
        <x:v>CHECK_IN</x:v>
      </x:c>
      <x:c r="F845" s="8" t="n">
        <x:v>46300.60427083334</x:v>
      </x:c>
      <x:c r="G845" s="8" t="n">
        <x:v>46300.60429398149</x:v>
      </x:c>
      <x:c r="H845" s="2" t="str">
        <x:v>SCH01</x:v>
      </x:c>
      <x:c r="I845" s="9" t="n">
        <x:v>25.285</x:v>
      </x:c>
      <x:c r="J845" s="9" t="n">
        <x:v>51.51</x:v>
      </x:c>
      <x:c r="K845" s="2" t="n">
        <x:v>8</x:v>
      </x:c>
      <x:c r="L845" s="2" t="str">
        <x:v>Valid</x:v>
      </x:c>
      <x:c r="M845" s="2" t="str">
        <x:v>QR</x:v>
      </x:c>
      <x:c r="N845" s="2" t="n">
        <x:v>1</x:v>
      </x:c>
      <x:c r="O845" s="2" t="str">
        <x:v>Accepted</x:v>
      </x:c>
      <x:c r="P845" s="2" t="str">
        <x:v>S001</x:v>
      </x:c>
      <x:c r="Q845" s="2" t="str">
        <x:v>DEV001</x:v>
      </x:c>
      <x:c r="R845" s="2" t="n">
        <x:v>4</x:v>
      </x:c>
      <x:c r="S845" s="2" t="str">
        <x:v>Online</x:v>
      </x:c>
      <x:c r="T845" s="2" t="str">
        <x:v>Synced</x:v>
      </x:c>
    </x:row>
    <x:row r="846" ht="21" customHeight="1">
      <x:c r="A846" s="2" t="str">
        <x:v>EV000761</x:v>
      </x:c>
      <x:c r="B846" s="2" t="str">
        <x:v>T20261005-4-2</x:v>
      </x:c>
      <x:c r="C846" s="2" t="str">
        <x:v>ST064</x:v>
      </x:c>
      <x:c r="D846" s="2" t="str">
        <x:v>80debd99a6cfe1ca0800304796fd69ff</x:v>
      </x:c>
      <x:c r="E846" s="2" t="str">
        <x:v>CHECK_IN</x:v>
      </x:c>
      <x:c r="F846" s="8" t="n">
        <x:v>46300.60427083334</x:v>
      </x:c>
      <x:c r="G846" s="8" t="n">
        <x:v>46300.60429398149</x:v>
      </x:c>
      <x:c r="H846" s="2" t="str">
        <x:v>SCH01</x:v>
      </x:c>
      <x:c r="I846" s="9" t="n">
        <x:v>25.285</x:v>
      </x:c>
      <x:c r="J846" s="9" t="n">
        <x:v>51.51</x:v>
      </x:c>
      <x:c r="K846" s="2" t="n">
        <x:v>8</x:v>
      </x:c>
      <x:c r="L846" s="2" t="str">
        <x:v>Valid</x:v>
      </x:c>
      <x:c r="M846" s="2" t="str">
        <x:v>QR</x:v>
      </x:c>
      <x:c r="N846" s="2" t="n">
        <x:v>1</x:v>
      </x:c>
      <x:c r="O846" s="2" t="str">
        <x:v>Accepted</x:v>
      </x:c>
      <x:c r="P846" s="2" t="str">
        <x:v>S002</x:v>
      </x:c>
      <x:c r="Q846" s="2" t="str">
        <x:v>DEV002</x:v>
      </x:c>
      <x:c r="R846" s="2" t="n">
        <x:v>4</x:v>
      </x:c>
      <x:c r="S846" s="2" t="str">
        <x:v>Online</x:v>
      </x:c>
      <x:c r="T846" s="2" t="str">
        <x:v>Synced</x:v>
      </x:c>
    </x:row>
    <x:row r="847" ht="21" customHeight="1">
      <x:c r="A847" s="2" t="str">
        <x:v>EV000921</x:v>
      </x:c>
      <x:c r="B847" s="2" t="str">
        <x:v>T20261005-4-3</x:v>
      </x:c>
      <x:c r="C847" s="2" t="str">
        <x:v>ST104</x:v>
      </x:c>
      <x:c r="D847" s="2" t="str">
        <x:v>12167381f9b78201d830c40ef6208ce4</x:v>
      </x:c>
      <x:c r="E847" s="2" t="str">
        <x:v>CHECK_IN</x:v>
      </x:c>
      <x:c r="F847" s="8" t="n">
        <x:v>46300.60427083334</x:v>
      </x:c>
      <x:c r="G847" s="8" t="n">
        <x:v>46300.60429398149</x:v>
      </x:c>
      <x:c r="H847" s="2" t="str">
        <x:v>SCH01</x:v>
      </x:c>
      <x:c r="I847" s="9" t="n">
        <x:v>25.285</x:v>
      </x:c>
      <x:c r="J847" s="9" t="n">
        <x:v>51.51</x:v>
      </x:c>
      <x:c r="K847" s="2" t="n">
        <x:v>8</x:v>
      </x:c>
      <x:c r="L847" s="2" t="str">
        <x:v>Valid</x:v>
      </x:c>
      <x:c r="M847" s="2" t="str">
        <x:v>QR</x:v>
      </x:c>
      <x:c r="N847" s="2" t="n">
        <x:v>1</x:v>
      </x:c>
      <x:c r="O847" s="2" t="str">
        <x:v>Accepted</x:v>
      </x:c>
      <x:c r="P847" s="2" t="str">
        <x:v>S003</x:v>
      </x:c>
      <x:c r="Q847" s="2" t="str">
        <x:v>DEV003</x:v>
      </x:c>
      <x:c r="R847" s="2" t="n">
        <x:v>4</x:v>
      </x:c>
      <x:c r="S847" s="2" t="str">
        <x:v>Online</x:v>
      </x:c>
      <x:c r="T847" s="2" t="str">
        <x:v>Synced</x:v>
      </x:c>
    </x:row>
    <x:row r="848" ht="21" customHeight="1">
      <x:c r="A848" s="2" t="str">
        <x:v>EV000607</x:v>
      </x:c>
      <x:c r="B848" s="2" t="str">
        <x:v>T20261005-4-1</x:v>
      </x:c>
      <x:c r="C848" s="2" t="str">
        <x:v>ST025</x:v>
      </x:c>
      <x:c r="D848" s="2" t="str">
        <x:v>caea48c43f4ccfa85999e7cb546cd774</x:v>
      </x:c>
      <x:c r="E848" s="2" t="str">
        <x:v>CHECK_IN</x:v>
      </x:c>
      <x:c r="F848" s="8" t="n">
        <x:v>46300.604305555564</x:v>
      </x:c>
      <x:c r="G848" s="8" t="n">
        <x:v>46300.60432870371</x:v>
      </x:c>
      <x:c r="H848" s="2" t="str">
        <x:v>SCH01</x:v>
      </x:c>
      <x:c r="I848" s="9" t="n">
        <x:v>25.285</x:v>
      </x:c>
      <x:c r="J848" s="9" t="n">
        <x:v>51.51</x:v>
      </x:c>
      <x:c r="K848" s="2" t="n">
        <x:v>8</x:v>
      </x:c>
      <x:c r="L848" s="2" t="str">
        <x:v>Valid</x:v>
      </x:c>
      <x:c r="M848" s="2" t="str">
        <x:v>QR</x:v>
      </x:c>
      <x:c r="N848" s="2" t="n">
        <x:v>1</x:v>
      </x:c>
      <x:c r="O848" s="2" t="str">
        <x:v>Accepted</x:v>
      </x:c>
      <x:c r="P848" s="2" t="str">
        <x:v>S001</x:v>
      </x:c>
      <x:c r="Q848" s="2" t="str">
        <x:v>DEV001</x:v>
      </x:c>
      <x:c r="R848" s="2" t="n">
        <x:v>5</x:v>
      </x:c>
      <x:c r="S848" s="2" t="str">
        <x:v>Online</x:v>
      </x:c>
      <x:c r="T848" s="2" t="str">
        <x:v>Synced</x:v>
      </x:c>
    </x:row>
    <x:row r="849" ht="21" customHeight="1">
      <x:c r="A849" s="2" t="str">
        <x:v>EV000763</x:v>
      </x:c>
      <x:c r="B849" s="2" t="str">
        <x:v>T20261005-4-2</x:v>
      </x:c>
      <x:c r="C849" s="2" t="str">
        <x:v>ST065</x:v>
      </x:c>
      <x:c r="D849" s="2" t="str">
        <x:v>6b379c82348acc8be3e0d247197a20bf</x:v>
      </x:c>
      <x:c r="E849" s="2" t="str">
        <x:v>CHECK_IN</x:v>
      </x:c>
      <x:c r="F849" s="8" t="n">
        <x:v>46300.604305555564</x:v>
      </x:c>
      <x:c r="G849" s="8" t="n">
        <x:v>46300.60432870371</x:v>
      </x:c>
      <x:c r="H849" s="2" t="str">
        <x:v>SCH01</x:v>
      </x:c>
      <x:c r="I849" s="9" t="n">
        <x:v>25.285</x:v>
      </x:c>
      <x:c r="J849" s="9" t="n">
        <x:v>51.51</x:v>
      </x:c>
      <x:c r="K849" s="2" t="n">
        <x:v>8</x:v>
      </x:c>
      <x:c r="L849" s="2" t="str">
        <x:v>Valid</x:v>
      </x:c>
      <x:c r="M849" s="2" t="str">
        <x:v>QR</x:v>
      </x:c>
      <x:c r="N849" s="2" t="n">
        <x:v>1</x:v>
      </x:c>
      <x:c r="O849" s="2" t="str">
        <x:v>Accepted</x:v>
      </x:c>
      <x:c r="P849" s="2" t="str">
        <x:v>S002</x:v>
      </x:c>
      <x:c r="Q849" s="2" t="str">
        <x:v>DEV002</x:v>
      </x:c>
      <x:c r="R849" s="2" t="n">
        <x:v>5</x:v>
      </x:c>
      <x:c r="S849" s="2" t="str">
        <x:v>Online</x:v>
      </x:c>
      <x:c r="T849" s="2" t="str">
        <x:v>Synced</x:v>
      </x:c>
    </x:row>
    <x:row r="850" ht="21" customHeight="1">
      <x:c r="A850" s="2" t="str">
        <x:v>EV000923</x:v>
      </x:c>
      <x:c r="B850" s="2" t="str">
        <x:v>T20261005-4-3</x:v>
      </x:c>
      <x:c r="C850" s="2" t="str">
        <x:v>ST105</x:v>
      </x:c>
      <x:c r="D850" s="2" t="str">
        <x:v>bbd3ba75eaabf5ca3acef3823a75d885</x:v>
      </x:c>
      <x:c r="E850" s="2" t="str">
        <x:v>CHECK_IN</x:v>
      </x:c>
      <x:c r="F850" s="8" t="n">
        <x:v>46300.604305555564</x:v>
      </x:c>
      <x:c r="G850" s="8" t="n">
        <x:v>46300.60432870371</x:v>
      </x:c>
      <x:c r="H850" s="2" t="str">
        <x:v>SCH01</x:v>
      </x:c>
      <x:c r="I850" s="9" t="n">
        <x:v>25.285</x:v>
      </x:c>
      <x:c r="J850" s="9" t="n">
        <x:v>51.51</x:v>
      </x:c>
      <x:c r="K850" s="2" t="n">
        <x:v>8</x:v>
      </x:c>
      <x:c r="L850" s="2" t="str">
        <x:v>Valid</x:v>
      </x:c>
      <x:c r="M850" s="2" t="str">
        <x:v>QR</x:v>
      </x:c>
      <x:c r="N850" s="2" t="n">
        <x:v>1</x:v>
      </x:c>
      <x:c r="O850" s="2" t="str">
        <x:v>Accepted</x:v>
      </x:c>
      <x:c r="P850" s="2" t="str">
        <x:v>S003</x:v>
      </x:c>
      <x:c r="Q850" s="2" t="str">
        <x:v>DEV003</x:v>
      </x:c>
      <x:c r="R850" s="2" t="n">
        <x:v>5</x:v>
      </x:c>
      <x:c r="S850" s="2" t="str">
        <x:v>Online</x:v>
      </x:c>
      <x:c r="T850" s="2" t="str">
        <x:v>Synced</x:v>
      </x:c>
    </x:row>
    <x:row r="851" ht="21" customHeight="1">
      <x:c r="A851" s="2" t="str">
        <x:v>EV000609</x:v>
      </x:c>
      <x:c r="B851" s="2" t="str">
        <x:v>T20261005-4-1</x:v>
      </x:c>
      <x:c r="C851" s="2" t="str">
        <x:v>ST026</x:v>
      </x:c>
      <x:c r="D851" s="2" t="str">
        <x:v>56aea196eabcf09e1199afbd5e8907b0</x:v>
      </x:c>
      <x:c r="E851" s="2" t="str">
        <x:v>CHECK_IN</x:v>
      </x:c>
      <x:c r="F851" s="8" t="n">
        <x:v>46300.60434027778</x:v>
      </x:c>
      <x:c r="G851" s="8" t="n">
        <x:v>46300.604363425926</x:v>
      </x:c>
      <x:c r="H851" s="2" t="str">
        <x:v>SCH01</x:v>
      </x:c>
      <x:c r="I851" s="9" t="n">
        <x:v>25.285</x:v>
      </x:c>
      <x:c r="J851" s="9" t="n">
        <x:v>51.51</x:v>
      </x:c>
      <x:c r="K851" s="2" t="n">
        <x:v>8</x:v>
      </x:c>
      <x:c r="L851" s="2" t="str">
        <x:v>Valid</x:v>
      </x:c>
      <x:c r="M851" s="2" t="str">
        <x:v>QR</x:v>
      </x:c>
      <x:c r="N851" s="2" t="n">
        <x:v>1</x:v>
      </x:c>
      <x:c r="O851" s="2" t="str">
        <x:v>Accepted</x:v>
      </x:c>
      <x:c r="P851" s="2" t="str">
        <x:v>S001</x:v>
      </x:c>
      <x:c r="Q851" s="2" t="str">
        <x:v>DEV001</x:v>
      </x:c>
      <x:c r="R851" s="2" t="n">
        <x:v>6</x:v>
      </x:c>
      <x:c r="S851" s="2" t="str">
        <x:v>Online</x:v>
      </x:c>
      <x:c r="T851" s="2" t="str">
        <x:v>Synced</x:v>
      </x:c>
    </x:row>
    <x:row r="852" ht="21" customHeight="1">
      <x:c r="A852" s="2" t="str">
        <x:v>EV000765</x:v>
      </x:c>
      <x:c r="B852" s="2" t="str">
        <x:v>T20261005-4-2</x:v>
      </x:c>
      <x:c r="C852" s="2" t="str">
        <x:v>ST066</x:v>
      </x:c>
      <x:c r="D852" s="2" t="str">
        <x:v>f1ae8019085f4d0a77552e53fdc22aa7</x:v>
      </x:c>
      <x:c r="E852" s="2" t="str">
        <x:v>CHECK_IN</x:v>
      </x:c>
      <x:c r="F852" s="8" t="n">
        <x:v>46300.60434027778</x:v>
      </x:c>
      <x:c r="G852" s="8" t="n">
        <x:v>46300.604363425926</x:v>
      </x:c>
      <x:c r="H852" s="2" t="str">
        <x:v>SCH01</x:v>
      </x:c>
      <x:c r="I852" s="9" t="n">
        <x:v>25.285</x:v>
      </x:c>
      <x:c r="J852" s="9" t="n">
        <x:v>51.51</x:v>
      </x:c>
      <x:c r="K852" s="2" t="n">
        <x:v>8</x:v>
      </x:c>
      <x:c r="L852" s="2" t="str">
        <x:v>Valid</x:v>
      </x:c>
      <x:c r="M852" s="2" t="str">
        <x:v>QR</x:v>
      </x:c>
      <x:c r="N852" s="2" t="n">
        <x:v>1</x:v>
      </x:c>
      <x:c r="O852" s="2" t="str">
        <x:v>Accepted</x:v>
      </x:c>
      <x:c r="P852" s="2" t="str">
        <x:v>S002</x:v>
      </x:c>
      <x:c r="Q852" s="2" t="str">
        <x:v>DEV002</x:v>
      </x:c>
      <x:c r="R852" s="2" t="n">
        <x:v>6</x:v>
      </x:c>
      <x:c r="S852" s="2" t="str">
        <x:v>Online</x:v>
      </x:c>
      <x:c r="T852" s="2" t="str">
        <x:v>Synced</x:v>
      </x:c>
    </x:row>
    <x:row r="853" ht="21" customHeight="1">
      <x:c r="A853" s="2" t="str">
        <x:v>EV000925</x:v>
      </x:c>
      <x:c r="B853" s="2" t="str">
        <x:v>T20261005-4-3</x:v>
      </x:c>
      <x:c r="C853" s="2" t="str">
        <x:v>ST106</x:v>
      </x:c>
      <x:c r="D853" s="2" t="str">
        <x:v>9bd191644f26d4fc266418c96f36f10b</x:v>
      </x:c>
      <x:c r="E853" s="2" t="str">
        <x:v>CHECK_IN</x:v>
      </x:c>
      <x:c r="F853" s="8" t="n">
        <x:v>46300.60434027778</x:v>
      </x:c>
      <x:c r="G853" s="8" t="n">
        <x:v>46300.604363425926</x:v>
      </x:c>
      <x:c r="H853" s="2" t="str">
        <x:v>SCH01</x:v>
      </x:c>
      <x:c r="I853" s="9" t="n">
        <x:v>25.285</x:v>
      </x:c>
      <x:c r="J853" s="9" t="n">
        <x:v>51.51</x:v>
      </x:c>
      <x:c r="K853" s="2" t="n">
        <x:v>8</x:v>
      </x:c>
      <x:c r="L853" s="2" t="str">
        <x:v>Valid</x:v>
      </x:c>
      <x:c r="M853" s="2" t="str">
        <x:v>QR</x:v>
      </x:c>
      <x:c r="N853" s="2" t="n">
        <x:v>1</x:v>
      </x:c>
      <x:c r="O853" s="2" t="str">
        <x:v>Accepted</x:v>
      </x:c>
      <x:c r="P853" s="2" t="str">
        <x:v>S003</x:v>
      </x:c>
      <x:c r="Q853" s="2" t="str">
        <x:v>DEV003</x:v>
      </x:c>
      <x:c r="R853" s="2" t="n">
        <x:v>6</x:v>
      </x:c>
      <x:c r="S853" s="2" t="str">
        <x:v>Online</x:v>
      </x:c>
      <x:c r="T853" s="2" t="str">
        <x:v>Synced</x:v>
      </x:c>
    </x:row>
    <x:row r="854" ht="21" customHeight="1">
      <x:c r="A854" s="2" t="str">
        <x:v>EV000611</x:v>
      </x:c>
      <x:c r="B854" s="2" t="str">
        <x:v>T20261005-4-1</x:v>
      </x:c>
      <x:c r="C854" s="2" t="str">
        <x:v>ST027</x:v>
      </x:c>
      <x:c r="D854" s="2" t="str">
        <x:v>87868c08c06226359ca5121a9563bb63</x:v>
      </x:c>
      <x:c r="E854" s="2" t="str">
        <x:v>CHECK_IN</x:v>
      </x:c>
      <x:c r="F854" s="8" t="n">
        <x:v>46300.604375</x:v>
      </x:c>
      <x:c r="G854" s="8" t="n">
        <x:v>46300.60439814815</x:v>
      </x:c>
      <x:c r="H854" s="2" t="str">
        <x:v>SCH01</x:v>
      </x:c>
      <x:c r="I854" s="9" t="n">
        <x:v>25.285</x:v>
      </x:c>
      <x:c r="J854" s="9" t="n">
        <x:v>51.51</x:v>
      </x:c>
      <x:c r="K854" s="2" t="n">
        <x:v>8</x:v>
      </x:c>
      <x:c r="L854" s="2" t="str">
        <x:v>Valid</x:v>
      </x:c>
      <x:c r="M854" s="2" t="str">
        <x:v>QR</x:v>
      </x:c>
      <x:c r="N854" s="2" t="n">
        <x:v>1</x:v>
      </x:c>
      <x:c r="O854" s="2" t="str">
        <x:v>Accepted</x:v>
      </x:c>
      <x:c r="P854" s="2" t="str">
        <x:v>S001</x:v>
      </x:c>
      <x:c r="Q854" s="2" t="str">
        <x:v>DEV001</x:v>
      </x:c>
      <x:c r="R854" s="2" t="n">
        <x:v>7</x:v>
      </x:c>
      <x:c r="S854" s="2" t="str">
        <x:v>Online</x:v>
      </x:c>
      <x:c r="T854" s="2" t="str">
        <x:v>Synced</x:v>
      </x:c>
    </x:row>
    <x:row r="855" ht="21" customHeight="1">
      <x:c r="A855" s="2" t="str">
        <x:v>EV000767</x:v>
      </x:c>
      <x:c r="B855" s="2" t="str">
        <x:v>T20261005-4-2</x:v>
      </x:c>
      <x:c r="C855" s="2" t="str">
        <x:v>ST067</x:v>
      </x:c>
      <x:c r="D855" s="2" t="str">
        <x:v>66c3e7b11abae76912fea37c6c7ce00c</x:v>
      </x:c>
      <x:c r="E855" s="2" t="str">
        <x:v>CHECK_IN</x:v>
      </x:c>
      <x:c r="F855" s="8" t="n">
        <x:v>46300.604375</x:v>
      </x:c>
      <x:c r="G855" s="8" t="n">
        <x:v>46300.60439814815</x:v>
      </x:c>
      <x:c r="H855" s="2" t="str">
        <x:v>SCH01</x:v>
      </x:c>
      <x:c r="I855" s="9" t="n">
        <x:v>25.285</x:v>
      </x:c>
      <x:c r="J855" s="9" t="n">
        <x:v>51.51</x:v>
      </x:c>
      <x:c r="K855" s="2" t="n">
        <x:v>8</x:v>
      </x:c>
      <x:c r="L855" s="2" t="str">
        <x:v>Valid</x:v>
      </x:c>
      <x:c r="M855" s="2" t="str">
        <x:v>QR</x:v>
      </x:c>
      <x:c r="N855" s="2" t="n">
        <x:v>1</x:v>
      </x:c>
      <x:c r="O855" s="2" t="str">
        <x:v>Accepted</x:v>
      </x:c>
      <x:c r="P855" s="2" t="str">
        <x:v>S002</x:v>
      </x:c>
      <x:c r="Q855" s="2" t="str">
        <x:v>DEV002</x:v>
      </x:c>
      <x:c r="R855" s="2" t="n">
        <x:v>7</x:v>
      </x:c>
      <x:c r="S855" s="2" t="str">
        <x:v>Online</x:v>
      </x:c>
      <x:c r="T855" s="2" t="str">
        <x:v>Synced</x:v>
      </x:c>
    </x:row>
    <x:row r="856" ht="21" customHeight="1">
      <x:c r="A856" s="2" t="str">
        <x:v>EV000927</x:v>
      </x:c>
      <x:c r="B856" s="2" t="str">
        <x:v>T20261005-4-3</x:v>
      </x:c>
      <x:c r="C856" s="2" t="str">
        <x:v>ST107</x:v>
      </x:c>
      <x:c r="D856" s="2" t="str">
        <x:v>4a2bb35840a3b4fc7e804e2d710c14f4</x:v>
      </x:c>
      <x:c r="E856" s="2" t="str">
        <x:v>CHECK_IN</x:v>
      </x:c>
      <x:c r="F856" s="8" t="n">
        <x:v>46300.604375</x:v>
      </x:c>
      <x:c r="G856" s="8" t="n">
        <x:v>46300.60439814815</x:v>
      </x:c>
      <x:c r="H856" s="2" t="str">
        <x:v>SCH01</x:v>
      </x:c>
      <x:c r="I856" s="9" t="n">
        <x:v>25.285</x:v>
      </x:c>
      <x:c r="J856" s="9" t="n">
        <x:v>51.51</x:v>
      </x:c>
      <x:c r="K856" s="2" t="n">
        <x:v>8</x:v>
      </x:c>
      <x:c r="L856" s="2" t="str">
        <x:v>Valid</x:v>
      </x:c>
      <x:c r="M856" s="2" t="str">
        <x:v>QR</x:v>
      </x:c>
      <x:c r="N856" s="2" t="n">
        <x:v>1</x:v>
      </x:c>
      <x:c r="O856" s="2" t="str">
        <x:v>Accepted</x:v>
      </x:c>
      <x:c r="P856" s="2" t="str">
        <x:v>S003</x:v>
      </x:c>
      <x:c r="Q856" s="2" t="str">
        <x:v>DEV003</x:v>
      </x:c>
      <x:c r="R856" s="2" t="n">
        <x:v>7</x:v>
      </x:c>
      <x:c r="S856" s="2" t="str">
        <x:v>Online</x:v>
      </x:c>
      <x:c r="T856" s="2" t="str">
        <x:v>Synced</x:v>
      </x:c>
    </x:row>
    <x:row r="857" ht="21" customHeight="1">
      <x:c r="A857" s="2" t="str">
        <x:v>EV000613</x:v>
      </x:c>
      <x:c r="B857" s="2" t="str">
        <x:v>T20261005-4-1</x:v>
      </x:c>
      <x:c r="C857" s="2" t="str">
        <x:v>ST028</x:v>
      </x:c>
      <x:c r="D857" s="2" t="str">
        <x:v>af9ca502f5a3f54f1f44ea6d11afd24b</x:v>
      </x:c>
      <x:c r="E857" s="2" t="str">
        <x:v>CHECK_IN</x:v>
      </x:c>
      <x:c r="F857" s="8" t="n">
        <x:v>46300.604409722226</x:v>
      </x:c>
      <x:c r="G857" s="8" t="n">
        <x:v>46300.60443287037</x:v>
      </x:c>
      <x:c r="H857" s="2" t="str">
        <x:v>SCH01</x:v>
      </x:c>
      <x:c r="I857" s="9" t="n">
        <x:v>25.285</x:v>
      </x:c>
      <x:c r="J857" s="9" t="n">
        <x:v>51.51</x:v>
      </x:c>
      <x:c r="K857" s="2" t="n">
        <x:v>8</x:v>
      </x:c>
      <x:c r="L857" s="2" t="str">
        <x:v>Valid</x:v>
      </x:c>
      <x:c r="M857" s="2" t="str">
        <x:v>QR</x:v>
      </x:c>
      <x:c r="N857" s="2" t="n">
        <x:v>1</x:v>
      </x:c>
      <x:c r="O857" s="2" t="str">
        <x:v>Accepted</x:v>
      </x:c>
      <x:c r="P857" s="2" t="str">
        <x:v>S001</x:v>
      </x:c>
      <x:c r="Q857" s="2" t="str">
        <x:v>DEV001</x:v>
      </x:c>
      <x:c r="R857" s="2" t="n">
        <x:v>8</x:v>
      </x:c>
      <x:c r="S857" s="2" t="str">
        <x:v>Online</x:v>
      </x:c>
      <x:c r="T857" s="2" t="str">
        <x:v>Synced</x:v>
      </x:c>
    </x:row>
    <x:row r="858" ht="21" customHeight="1">
      <x:c r="A858" s="2" t="str">
        <x:v>EV000769</x:v>
      </x:c>
      <x:c r="B858" s="2" t="str">
        <x:v>T20261005-4-2</x:v>
      </x:c>
      <x:c r="C858" s="2" t="str">
        <x:v>ST068</x:v>
      </x:c>
      <x:c r="D858" s="2" t="str">
        <x:v>6d9af84dd25561b8b07e5e166ae4982a</x:v>
      </x:c>
      <x:c r="E858" s="2" t="str">
        <x:v>CHECK_IN</x:v>
      </x:c>
      <x:c r="F858" s="8" t="n">
        <x:v>46300.604409722226</x:v>
      </x:c>
      <x:c r="G858" s="8" t="n">
        <x:v>46300.60443287037</x:v>
      </x:c>
      <x:c r="H858" s="2" t="str">
        <x:v>SCH01</x:v>
      </x:c>
      <x:c r="I858" s="9" t="n">
        <x:v>25.285</x:v>
      </x:c>
      <x:c r="J858" s="9" t="n">
        <x:v>51.51</x:v>
      </x:c>
      <x:c r="K858" s="2" t="n">
        <x:v>8</x:v>
      </x:c>
      <x:c r="L858" s="2" t="str">
        <x:v>Valid</x:v>
      </x:c>
      <x:c r="M858" s="2" t="str">
        <x:v>QR</x:v>
      </x:c>
      <x:c r="N858" s="2" t="n">
        <x:v>1</x:v>
      </x:c>
      <x:c r="O858" s="2" t="str">
        <x:v>Accepted</x:v>
      </x:c>
      <x:c r="P858" s="2" t="str">
        <x:v>S002</x:v>
      </x:c>
      <x:c r="Q858" s="2" t="str">
        <x:v>DEV002</x:v>
      </x:c>
      <x:c r="R858" s="2" t="n">
        <x:v>8</x:v>
      </x:c>
      <x:c r="S858" s="2" t="str">
        <x:v>Online</x:v>
      </x:c>
      <x:c r="T858" s="2" t="str">
        <x:v>Synced</x:v>
      </x:c>
    </x:row>
    <x:row r="859" ht="21" customHeight="1">
      <x:c r="A859" s="2" t="str">
        <x:v>EV000929</x:v>
      </x:c>
      <x:c r="B859" s="2" t="str">
        <x:v>T20261005-4-3</x:v>
      </x:c>
      <x:c r="C859" s="2" t="str">
        <x:v>ST108</x:v>
      </x:c>
      <x:c r="D859" s="2" t="str">
        <x:v>85ef3b20338dfa9afdf3ae5a4b1ced5c</x:v>
      </x:c>
      <x:c r="E859" s="2" t="str">
        <x:v>CHECK_IN</x:v>
      </x:c>
      <x:c r="F859" s="8" t="n">
        <x:v>46300.604409722226</x:v>
      </x:c>
      <x:c r="G859" s="8" t="n">
        <x:v>46300.60443287037</x:v>
      </x:c>
      <x:c r="H859" s="2" t="str">
        <x:v>SCH01</x:v>
      </x:c>
      <x:c r="I859" s="9" t="n">
        <x:v>25.285</x:v>
      </x:c>
      <x:c r="J859" s="9" t="n">
        <x:v>51.51</x:v>
      </x:c>
      <x:c r="K859" s="2" t="n">
        <x:v>8</x:v>
      </x:c>
      <x:c r="L859" s="2" t="str">
        <x:v>Valid</x:v>
      </x:c>
      <x:c r="M859" s="2" t="str">
        <x:v>QR</x:v>
      </x:c>
      <x:c r="N859" s="2" t="n">
        <x:v>1</x:v>
      </x:c>
      <x:c r="O859" s="2" t="str">
        <x:v>Accepted</x:v>
      </x:c>
      <x:c r="P859" s="2" t="str">
        <x:v>S003</x:v>
      </x:c>
      <x:c r="Q859" s="2" t="str">
        <x:v>DEV003</x:v>
      </x:c>
      <x:c r="R859" s="2" t="n">
        <x:v>8</x:v>
      </x:c>
      <x:c r="S859" s="2" t="str">
        <x:v>Online</x:v>
      </x:c>
      <x:c r="T859" s="2" t="str">
        <x:v>Synced</x:v>
      </x:c>
    </x:row>
    <x:row r="860" ht="21" customHeight="1">
      <x:c r="A860" s="2" t="str">
        <x:v>EV000615</x:v>
      </x:c>
      <x:c r="B860" s="2" t="str">
        <x:v>T20261005-4-1</x:v>
      </x:c>
      <x:c r="C860" s="2" t="str">
        <x:v>ST029</x:v>
      </x:c>
      <x:c r="D860" s="2" t="str">
        <x:v>160c4caa69875e092299cd9b55dcda0b</x:v>
      </x:c>
      <x:c r="E860" s="2" t="str">
        <x:v>CHECK_IN</x:v>
      </x:c>
      <x:c r="F860" s="8" t="n">
        <x:v>46300.60444444445</x:v>
      </x:c>
      <x:c r="G860" s="8" t="n">
        <x:v>46300.604467592595</x:v>
      </x:c>
      <x:c r="H860" s="2" t="str">
        <x:v>SCH01</x:v>
      </x:c>
      <x:c r="I860" s="9" t="n">
        <x:v>25.285</x:v>
      </x:c>
      <x:c r="J860" s="9" t="n">
        <x:v>51.51</x:v>
      </x:c>
      <x:c r="K860" s="2" t="n">
        <x:v>8</x:v>
      </x:c>
      <x:c r="L860" s="2" t="str">
        <x:v>Valid</x:v>
      </x:c>
      <x:c r="M860" s="2" t="str">
        <x:v>QR</x:v>
      </x:c>
      <x:c r="N860" s="2" t="n">
        <x:v>1</x:v>
      </x:c>
      <x:c r="O860" s="2" t="str">
        <x:v>Accepted</x:v>
      </x:c>
      <x:c r="P860" s="2" t="str">
        <x:v>S001</x:v>
      </x:c>
      <x:c r="Q860" s="2" t="str">
        <x:v>DEV001</x:v>
      </x:c>
      <x:c r="R860" s="2" t="n">
        <x:v>9</x:v>
      </x:c>
      <x:c r="S860" s="2" t="str">
        <x:v>Online</x:v>
      </x:c>
      <x:c r="T860" s="2" t="str">
        <x:v>Synced</x:v>
      </x:c>
    </x:row>
    <x:row r="861" ht="21" customHeight="1">
      <x:c r="A861" s="2" t="str">
        <x:v>EV000771</x:v>
      </x:c>
      <x:c r="B861" s="2" t="str">
        <x:v>T20261005-4-2</x:v>
      </x:c>
      <x:c r="C861" s="2" t="str">
        <x:v>ST069</x:v>
      </x:c>
      <x:c r="D861" s="2" t="str">
        <x:v>d453525f57933d1df9d056e2e53ed3e4</x:v>
      </x:c>
      <x:c r="E861" s="2" t="str">
        <x:v>CHECK_IN</x:v>
      </x:c>
      <x:c r="F861" s="8" t="n">
        <x:v>46300.60444444445</x:v>
      </x:c>
      <x:c r="G861" s="8" t="n">
        <x:v>46300.604467592595</x:v>
      </x:c>
      <x:c r="H861" s="2" t="str">
        <x:v>SCH01</x:v>
      </x:c>
      <x:c r="I861" s="9" t="n">
        <x:v>25.285</x:v>
      </x:c>
      <x:c r="J861" s="9" t="n">
        <x:v>51.51</x:v>
      </x:c>
      <x:c r="K861" s="2" t="n">
        <x:v>8</x:v>
      </x:c>
      <x:c r="L861" s="2" t="str">
        <x:v>Valid</x:v>
      </x:c>
      <x:c r="M861" s="2" t="str">
        <x:v>QR</x:v>
      </x:c>
      <x:c r="N861" s="2" t="n">
        <x:v>1</x:v>
      </x:c>
      <x:c r="O861" s="2" t="str">
        <x:v>Accepted</x:v>
      </x:c>
      <x:c r="P861" s="2" t="str">
        <x:v>S002</x:v>
      </x:c>
      <x:c r="Q861" s="2" t="str">
        <x:v>DEV002</x:v>
      </x:c>
      <x:c r="R861" s="2" t="n">
        <x:v>9</x:v>
      </x:c>
      <x:c r="S861" s="2" t="str">
        <x:v>Online</x:v>
      </x:c>
      <x:c r="T861" s="2" t="str">
        <x:v>Synced</x:v>
      </x:c>
    </x:row>
    <x:row r="862" ht="21" customHeight="1">
      <x:c r="A862" s="2" t="str">
        <x:v>EV000931</x:v>
      </x:c>
      <x:c r="B862" s="2" t="str">
        <x:v>T20261005-4-3</x:v>
      </x:c>
      <x:c r="C862" s="2" t="str">
        <x:v>ST109</x:v>
      </x:c>
      <x:c r="D862" s="2" t="str">
        <x:v>dfd493c800846e3efc35048335bd557b</x:v>
      </x:c>
      <x:c r="E862" s="2" t="str">
        <x:v>CHECK_IN</x:v>
      </x:c>
      <x:c r="F862" s="8" t="n">
        <x:v>46300.60444444445</x:v>
      </x:c>
      <x:c r="G862" s="8" t="n">
        <x:v>46300.604467592595</x:v>
      </x:c>
      <x:c r="H862" s="2" t="str">
        <x:v>SCH01</x:v>
      </x:c>
      <x:c r="I862" s="9" t="n">
        <x:v>25.285</x:v>
      </x:c>
      <x:c r="J862" s="9" t="n">
        <x:v>51.51</x:v>
      </x:c>
      <x:c r="K862" s="2" t="n">
        <x:v>8</x:v>
      </x:c>
      <x:c r="L862" s="2" t="str">
        <x:v>Valid</x:v>
      </x:c>
      <x:c r="M862" s="2" t="str">
        <x:v>QR</x:v>
      </x:c>
      <x:c r="N862" s="2" t="n">
        <x:v>1</x:v>
      </x:c>
      <x:c r="O862" s="2" t="str">
        <x:v>Accepted</x:v>
      </x:c>
      <x:c r="P862" s="2" t="str">
        <x:v>S003</x:v>
      </x:c>
      <x:c r="Q862" s="2" t="str">
        <x:v>DEV003</x:v>
      </x:c>
      <x:c r="R862" s="2" t="n">
        <x:v>9</x:v>
      </x:c>
      <x:c r="S862" s="2" t="str">
        <x:v>Online</x:v>
      </x:c>
      <x:c r="T862" s="2" t="str">
        <x:v>Synced</x:v>
      </x:c>
    </x:row>
    <x:row r="863" ht="21" customHeight="1">
      <x:c r="A863" s="2" t="str">
        <x:v>EV000617</x:v>
      </x:c>
      <x:c r="B863" s="2" t="str">
        <x:v>T20261005-4-1</x:v>
      </x:c>
      <x:c r="C863" s="2" t="str">
        <x:v>ST030</x:v>
      </x:c>
      <x:c r="D863" s="2" t="str">
        <x:v>82585187c31166ddecfc4b31343dde64</x:v>
      </x:c>
      <x:c r="E863" s="2" t="str">
        <x:v>CHECK_IN</x:v>
      </x:c>
      <x:c r="F863" s="8" t="n">
        <x:v>46300.60447916667</x:v>
      </x:c>
      <x:c r="G863" s="8" t="n">
        <x:v>46300.60450231482</x:v>
      </x:c>
      <x:c r="H863" s="2" t="str">
        <x:v>SCH01</x:v>
      </x:c>
      <x:c r="I863" s="9" t="n">
        <x:v>25.285</x:v>
      </x:c>
      <x:c r="J863" s="9" t="n">
        <x:v>51.51</x:v>
      </x:c>
      <x:c r="K863" s="2" t="n">
        <x:v>8</x:v>
      </x:c>
      <x:c r="L863" s="2" t="str">
        <x:v>Valid</x:v>
      </x:c>
      <x:c r="M863" s="2" t="str">
        <x:v>QR</x:v>
      </x:c>
      <x:c r="N863" s="2" t="n">
        <x:v>1</x:v>
      </x:c>
      <x:c r="O863" s="2" t="str">
        <x:v>Accepted</x:v>
      </x:c>
      <x:c r="P863" s="2" t="str">
        <x:v>S001</x:v>
      </x:c>
      <x:c r="Q863" s="2" t="str">
        <x:v>DEV001</x:v>
      </x:c>
      <x:c r="R863" s="2" t="n">
        <x:v>10</x:v>
      </x:c>
      <x:c r="S863" s="2" t="str">
        <x:v>Online</x:v>
      </x:c>
      <x:c r="T863" s="2" t="str">
        <x:v>Synced</x:v>
      </x:c>
    </x:row>
    <x:row r="864" ht="21" customHeight="1">
      <x:c r="A864" s="2" t="str">
        <x:v>EV000773</x:v>
      </x:c>
      <x:c r="B864" s="2" t="str">
        <x:v>T20261005-4-2</x:v>
      </x:c>
      <x:c r="C864" s="2" t="str">
        <x:v>ST070</x:v>
      </x:c>
      <x:c r="D864" s="2" t="str">
        <x:v>12a9f1121533e9d2b6402c68cf852c16</x:v>
      </x:c>
      <x:c r="E864" s="2" t="str">
        <x:v>CHECK_IN</x:v>
      </x:c>
      <x:c r="F864" s="8" t="n">
        <x:v>46300.60447916667</x:v>
      </x:c>
      <x:c r="G864" s="8" t="n">
        <x:v>46300.60450231482</x:v>
      </x:c>
      <x:c r="H864" s="2" t="str">
        <x:v>SCH01</x:v>
      </x:c>
      <x:c r="I864" s="9" t="n">
        <x:v>25.285</x:v>
      </x:c>
      <x:c r="J864" s="9" t="n">
        <x:v>51.51</x:v>
      </x:c>
      <x:c r="K864" s="2" t="n">
        <x:v>8</x:v>
      </x:c>
      <x:c r="L864" s="2" t="str">
        <x:v>Valid</x:v>
      </x:c>
      <x:c r="M864" s="2" t="str">
        <x:v>QR</x:v>
      </x:c>
      <x:c r="N864" s="2" t="n">
        <x:v>1</x:v>
      </x:c>
      <x:c r="O864" s="2" t="str">
        <x:v>Accepted</x:v>
      </x:c>
      <x:c r="P864" s="2" t="str">
        <x:v>S002</x:v>
      </x:c>
      <x:c r="Q864" s="2" t="str">
        <x:v>DEV002</x:v>
      </x:c>
      <x:c r="R864" s="2" t="n">
        <x:v>10</x:v>
      </x:c>
      <x:c r="S864" s="2" t="str">
        <x:v>Online</x:v>
      </x:c>
      <x:c r="T864" s="2" t="str">
        <x:v>Synced</x:v>
      </x:c>
    </x:row>
    <x:row r="865" ht="21" customHeight="1">
      <x:c r="A865" s="2" t="str">
        <x:v>EV000933</x:v>
      </x:c>
      <x:c r="B865" s="2" t="str">
        <x:v>T20261005-4-3</x:v>
      </x:c>
      <x:c r="C865" s="2" t="str">
        <x:v>ST110</x:v>
      </x:c>
      <x:c r="D865" s="2" t="str">
        <x:v>4382c0cdcda89fb8cc0f5b9fc03b4c51</x:v>
      </x:c>
      <x:c r="E865" s="2" t="str">
        <x:v>CHECK_IN</x:v>
      </x:c>
      <x:c r="F865" s="8" t="n">
        <x:v>46300.60447916667</x:v>
      </x:c>
      <x:c r="G865" s="8" t="n">
        <x:v>46300.60450231482</x:v>
      </x:c>
      <x:c r="H865" s="2" t="str">
        <x:v>SCH01</x:v>
      </x:c>
      <x:c r="I865" s="9" t="n">
        <x:v>25.285</x:v>
      </x:c>
      <x:c r="J865" s="9" t="n">
        <x:v>51.51</x:v>
      </x:c>
      <x:c r="K865" s="2" t="n">
        <x:v>8</x:v>
      </x:c>
      <x:c r="L865" s="2" t="str">
        <x:v>Valid</x:v>
      </x:c>
      <x:c r="M865" s="2" t="str">
        <x:v>QR</x:v>
      </x:c>
      <x:c r="N865" s="2" t="n">
        <x:v>1</x:v>
      </x:c>
      <x:c r="O865" s="2" t="str">
        <x:v>Accepted</x:v>
      </x:c>
      <x:c r="P865" s="2" t="str">
        <x:v>S003</x:v>
      </x:c>
      <x:c r="Q865" s="2" t="str">
        <x:v>DEV003</x:v>
      </x:c>
      <x:c r="R865" s="2" t="n">
        <x:v>10</x:v>
      </x:c>
      <x:c r="S865" s="2" t="str">
        <x:v>Online</x:v>
      </x:c>
      <x:c r="T865" s="2" t="str">
        <x:v>Synced</x:v>
      </x:c>
    </x:row>
    <x:row r="866" ht="21" customHeight="1">
      <x:c r="A866" s="2" t="str">
        <x:v>EV000602</x:v>
      </x:c>
      <x:c r="B866" s="2" t="str">
        <x:v>T20261005-4-1</x:v>
      </x:c>
      <x:c r="C866" s="2" t="str">
        <x:v>ST022</x:v>
      </x:c>
      <x:c r="D866" s="2" t="str">
        <x:v>32e634064d0319251398d392c471332a</x:v>
      </x:c>
      <x:c r="E866" s="2" t="str">
        <x:v>CHECK_OUT</x:v>
      </x:c>
      <x:c r="F866" s="8" t="n">
        <x:v>46300.618784722225</x:v>
      </x:c>
      <x:c r="G866" s="8" t="n">
        <x:v>46300.61880787037</x:v>
      </x:c>
      <x:c r="H866" s="2" t="str">
        <x:v>R1S1</x:v>
      </x:c>
      <x:c r="I866" s="9" t="n">
        <x:v>25.271</x:v>
      </x:c>
      <x:c r="J866" s="9" t="n">
        <x:v>51.491</x:v>
      </x:c>
      <x:c r="K866" s="2" t="n">
        <x:v>8</x:v>
      </x:c>
      <x:c r="L866" s="2" t="str">
        <x:v>Valid</x:v>
      </x:c>
      <x:c r="M866" s="2" t="str">
        <x:v>QR</x:v>
      </x:c>
      <x:c r="N866" s="2" t="n">
        <x:v>1</x:v>
      </x:c>
      <x:c r="O866" s="2" t="str">
        <x:v>Accepted</x:v>
      </x:c>
      <x:c r="P866" s="2" t="str">
        <x:v>S001</x:v>
      </x:c>
      <x:c r="Q866" s="2" t="str">
        <x:v>DEV001</x:v>
      </x:c>
      <x:c r="R866" s="2" t="n">
        <x:v>11</x:v>
      </x:c>
      <x:c r="S866" s="2" t="str">
        <x:v>Online</x:v>
      </x:c>
      <x:c r="T866" s="2" t="str">
        <x:v>Synced</x:v>
      </x:c>
    </x:row>
    <x:row r="867" ht="21" customHeight="1">
      <x:c r="A867" s="2" t="str">
        <x:v>EV000758</x:v>
      </x:c>
      <x:c r="B867" s="2" t="str">
        <x:v>T20261005-4-2</x:v>
      </x:c>
      <x:c r="C867" s="2" t="str">
        <x:v>ST062</x:v>
      </x:c>
      <x:c r="D867" s="2" t="str">
        <x:v>e0ee324a0d8893ba89d7c618ea194e36</x:v>
      </x:c>
      <x:c r="E867" s="2" t="str">
        <x:v>CHECK_OUT</x:v>
      </x:c>
      <x:c r="F867" s="8" t="n">
        <x:v>46300.618784722225</x:v>
      </x:c>
      <x:c r="G867" s="8" t="n">
        <x:v>46300.61880787037</x:v>
      </x:c>
      <x:c r="H867" s="2" t="str">
        <x:v>R2S1</x:v>
      </x:c>
      <x:c r="I867" s="9" t="n">
        <x:v>25.28</x:v>
      </x:c>
      <x:c r="J867" s="9" t="n">
        <x:v>51.498999999999995</x:v>
      </x:c>
      <x:c r="K867" s="2" t="n">
        <x:v>8</x:v>
      </x:c>
      <x:c r="L867" s="2" t="str">
        <x:v>Valid</x:v>
      </x:c>
      <x:c r="M867" s="2" t="str">
        <x:v>QR</x:v>
      </x:c>
      <x:c r="N867" s="2" t="n">
        <x:v>1</x:v>
      </x:c>
      <x:c r="O867" s="2" t="str">
        <x:v>Accepted</x:v>
      </x:c>
      <x:c r="P867" s="2" t="str">
        <x:v>S002</x:v>
      </x:c>
      <x:c r="Q867" s="2" t="str">
        <x:v>DEV002</x:v>
      </x:c>
      <x:c r="R867" s="2" t="n">
        <x:v>11</x:v>
      </x:c>
      <x:c r="S867" s="2" t="str">
        <x:v>Online</x:v>
      </x:c>
      <x:c r="T867" s="2" t="str">
        <x:v>Synced</x:v>
      </x:c>
    </x:row>
    <x:row r="868" ht="21" customHeight="1">
      <x:c r="A868" s="2" t="str">
        <x:v>EV000918</x:v>
      </x:c>
      <x:c r="B868" s="2" t="str">
        <x:v>T20261005-4-3</x:v>
      </x:c>
      <x:c r="C868" s="2" t="str">
        <x:v>ST102</x:v>
      </x:c>
      <x:c r="D868" s="2" t="str">
        <x:v>6a90d57a6e4b5aedbdcdc5a29cf018e9</x:v>
      </x:c>
      <x:c r="E868" s="2" t="str">
        <x:v>CHECK_OUT</x:v>
      </x:c>
      <x:c r="F868" s="8" t="n">
        <x:v>46300.618784722225</x:v>
      </x:c>
      <x:c r="G868" s="8" t="n">
        <x:v>46300.61880787037</x:v>
      </x:c>
      <x:c r="H868" s="2" t="str">
        <x:v>R3S1</x:v>
      </x:c>
      <x:c r="I868" s="9" t="n">
        <x:v>25.289</x:v>
      </x:c>
      <x:c r="J868" s="9" t="n">
        <x:v>51.507</x:v>
      </x:c>
      <x:c r="K868" s="2" t="n">
        <x:v>8</x:v>
      </x:c>
      <x:c r="L868" s="2" t="str">
        <x:v>Valid</x:v>
      </x:c>
      <x:c r="M868" s="2" t="str">
        <x:v>QR</x:v>
      </x:c>
      <x:c r="N868" s="2" t="n">
        <x:v>1</x:v>
      </x:c>
      <x:c r="O868" s="2" t="str">
        <x:v>Accepted</x:v>
      </x:c>
      <x:c r="P868" s="2" t="str">
        <x:v>S003</x:v>
      </x:c>
      <x:c r="Q868" s="2" t="str">
        <x:v>DEV003</x:v>
      </x:c>
      <x:c r="R868" s="2" t="n">
        <x:v>11</x:v>
      </x:c>
      <x:c r="S868" s="2" t="str">
        <x:v>Online</x:v>
      </x:c>
      <x:c r="T868" s="2" t="str">
        <x:v>Synced</x:v>
      </x:c>
    </x:row>
    <x:row r="869" ht="21" customHeight="1">
      <x:c r="A869" s="2" t="str">
        <x:v>EV000608</x:v>
      </x:c>
      <x:c r="B869" s="2" t="str">
        <x:v>T20261005-4-1</x:v>
      </x:c>
      <x:c r="C869" s="2" t="str">
        <x:v>ST025</x:v>
      </x:c>
      <x:c r="D869" s="2" t="str">
        <x:v>caea48c43f4ccfa85999e7cb546cd774</x:v>
      </x:c>
      <x:c r="E869" s="2" t="str">
        <x:v>CHECK_OUT</x:v>
      </x:c>
      <x:c r="F869" s="8" t="n">
        <x:v>46300.618888888894</x:v>
      </x:c>
      <x:c r="G869" s="8" t="n">
        <x:v>46300.61891203704</x:v>
      </x:c>
      <x:c r="H869" s="2" t="str">
        <x:v>R1S1</x:v>
      </x:c>
      <x:c r="I869" s="9" t="n">
        <x:v>25.271</x:v>
      </x:c>
      <x:c r="J869" s="9" t="n">
        <x:v>51.491</x:v>
      </x:c>
      <x:c r="K869" s="2" t="n">
        <x:v>8</x:v>
      </x:c>
      <x:c r="L869" s="2" t="str">
        <x:v>Valid</x:v>
      </x:c>
      <x:c r="M869" s="2" t="str">
        <x:v>QR</x:v>
      </x:c>
      <x:c r="N869" s="2" t="n">
        <x:v>1</x:v>
      </x:c>
      <x:c r="O869" s="2" t="str">
        <x:v>Accepted</x:v>
      </x:c>
      <x:c r="P869" s="2" t="str">
        <x:v>S001</x:v>
      </x:c>
      <x:c r="Q869" s="2" t="str">
        <x:v>DEV001</x:v>
      </x:c>
      <x:c r="R869" s="2" t="n">
        <x:v>12</x:v>
      </x:c>
      <x:c r="S869" s="2" t="str">
        <x:v>Online</x:v>
      </x:c>
      <x:c r="T869" s="2" t="str">
        <x:v>Synced</x:v>
      </x:c>
    </x:row>
    <x:row r="870" ht="21" customHeight="1">
      <x:c r="A870" s="2" t="str">
        <x:v>EV000764</x:v>
      </x:c>
      <x:c r="B870" s="2" t="str">
        <x:v>T20261005-4-2</x:v>
      </x:c>
      <x:c r="C870" s="2" t="str">
        <x:v>ST065</x:v>
      </x:c>
      <x:c r="D870" s="2" t="str">
        <x:v>6b379c82348acc8be3e0d247197a20bf</x:v>
      </x:c>
      <x:c r="E870" s="2" t="str">
        <x:v>CHECK_OUT</x:v>
      </x:c>
      <x:c r="F870" s="8" t="n">
        <x:v>46300.618888888894</x:v>
      </x:c>
      <x:c r="G870" s="8" t="n">
        <x:v>46300.61891203704</x:v>
      </x:c>
      <x:c r="H870" s="2" t="str">
        <x:v>R2S1</x:v>
      </x:c>
      <x:c r="I870" s="9" t="n">
        <x:v>25.28</x:v>
      </x:c>
      <x:c r="J870" s="9" t="n">
        <x:v>51.498999999999995</x:v>
      </x:c>
      <x:c r="K870" s="2" t="n">
        <x:v>8</x:v>
      </x:c>
      <x:c r="L870" s="2" t="str">
        <x:v>Valid</x:v>
      </x:c>
      <x:c r="M870" s="2" t="str">
        <x:v>QR</x:v>
      </x:c>
      <x:c r="N870" s="2" t="n">
        <x:v>1</x:v>
      </x:c>
      <x:c r="O870" s="2" t="str">
        <x:v>Accepted</x:v>
      </x:c>
      <x:c r="P870" s="2" t="str">
        <x:v>S002</x:v>
      </x:c>
      <x:c r="Q870" s="2" t="str">
        <x:v>DEV002</x:v>
      </x:c>
      <x:c r="R870" s="2" t="n">
        <x:v>12</x:v>
      </x:c>
      <x:c r="S870" s="2" t="str">
        <x:v>Online</x:v>
      </x:c>
      <x:c r="T870" s="2" t="str">
        <x:v>Synced</x:v>
      </x:c>
    </x:row>
    <x:row r="871" ht="21" customHeight="1">
      <x:c r="A871" s="2" t="str">
        <x:v>EV000924</x:v>
      </x:c>
      <x:c r="B871" s="2" t="str">
        <x:v>T20261005-4-3</x:v>
      </x:c>
      <x:c r="C871" s="2" t="str">
        <x:v>ST105</x:v>
      </x:c>
      <x:c r="D871" s="2" t="str">
        <x:v>bbd3ba75eaabf5ca3acef3823a75d885</x:v>
      </x:c>
      <x:c r="E871" s="2" t="str">
        <x:v>CHECK_OUT</x:v>
      </x:c>
      <x:c r="F871" s="8" t="n">
        <x:v>46300.618888888894</x:v>
      </x:c>
      <x:c r="G871" s="8" t="n">
        <x:v>46300.61891203704</x:v>
      </x:c>
      <x:c r="H871" s="2" t="str">
        <x:v>R3S1</x:v>
      </x:c>
      <x:c r="I871" s="9" t="n">
        <x:v>25.289</x:v>
      </x:c>
      <x:c r="J871" s="9" t="n">
        <x:v>51.507</x:v>
      </x:c>
      <x:c r="K871" s="2" t="n">
        <x:v>8</x:v>
      </x:c>
      <x:c r="L871" s="2" t="str">
        <x:v>Valid</x:v>
      </x:c>
      <x:c r="M871" s="2" t="str">
        <x:v>QR</x:v>
      </x:c>
      <x:c r="N871" s="2" t="n">
        <x:v>1</x:v>
      </x:c>
      <x:c r="O871" s="2" t="str">
        <x:v>Accepted</x:v>
      </x:c>
      <x:c r="P871" s="2" t="str">
        <x:v>S003</x:v>
      </x:c>
      <x:c r="Q871" s="2" t="str">
        <x:v>DEV003</x:v>
      </x:c>
      <x:c r="R871" s="2" t="n">
        <x:v>12</x:v>
      </x:c>
      <x:c r="S871" s="2" t="str">
        <x:v>Online</x:v>
      </x:c>
      <x:c r="T871" s="2" t="str">
        <x:v>Synced</x:v>
      </x:c>
    </x:row>
    <x:row r="872" ht="21" customHeight="1">
      <x:c r="A872" s="2" t="str">
        <x:v>EV000614</x:v>
      </x:c>
      <x:c r="B872" s="2" t="str">
        <x:v>T20261005-4-1</x:v>
      </x:c>
      <x:c r="C872" s="2" t="str">
        <x:v>ST028</x:v>
      </x:c>
      <x:c r="D872" s="2" t="str">
        <x:v>af9ca502f5a3f54f1f44ea6d11afd24b</x:v>
      </x:c>
      <x:c r="E872" s="2" t="str">
        <x:v>CHECK_OUT</x:v>
      </x:c>
      <x:c r="F872" s="8" t="n">
        <x:v>46300.618993055556</x:v>
      </x:c>
      <x:c r="G872" s="8" t="n">
        <x:v>46300.6190162037</x:v>
      </x:c>
      <x:c r="H872" s="2" t="str">
        <x:v>R1S1</x:v>
      </x:c>
      <x:c r="I872" s="9" t="n">
        <x:v>25.271</x:v>
      </x:c>
      <x:c r="J872" s="9" t="n">
        <x:v>51.491</x:v>
      </x:c>
      <x:c r="K872" s="2" t="n">
        <x:v>8</x:v>
      </x:c>
      <x:c r="L872" s="2" t="str">
        <x:v>Valid</x:v>
      </x:c>
      <x:c r="M872" s="2" t="str">
        <x:v>QR</x:v>
      </x:c>
      <x:c r="N872" s="2" t="n">
        <x:v>1</x:v>
      </x:c>
      <x:c r="O872" s="2" t="str">
        <x:v>Accepted</x:v>
      </x:c>
      <x:c r="P872" s="2" t="str">
        <x:v>S001</x:v>
      </x:c>
      <x:c r="Q872" s="2" t="str">
        <x:v>DEV001</x:v>
      </x:c>
      <x:c r="R872" s="2" t="n">
        <x:v>13</x:v>
      </x:c>
      <x:c r="S872" s="2" t="str">
        <x:v>Online</x:v>
      </x:c>
      <x:c r="T872" s="2" t="str">
        <x:v>Synced</x:v>
      </x:c>
    </x:row>
    <x:row r="873" ht="21" customHeight="1">
      <x:c r="A873" s="2" t="str">
        <x:v>EV000770</x:v>
      </x:c>
      <x:c r="B873" s="2" t="str">
        <x:v>T20261005-4-2</x:v>
      </x:c>
      <x:c r="C873" s="2" t="str">
        <x:v>ST068</x:v>
      </x:c>
      <x:c r="D873" s="2" t="str">
        <x:v>6d9af84dd25561b8b07e5e166ae4982a</x:v>
      </x:c>
      <x:c r="E873" s="2" t="str">
        <x:v>CHECK_OUT</x:v>
      </x:c>
      <x:c r="F873" s="8" t="n">
        <x:v>46300.618993055556</x:v>
      </x:c>
      <x:c r="G873" s="8" t="n">
        <x:v>46300.6190162037</x:v>
      </x:c>
      <x:c r="H873" s="2" t="str">
        <x:v>R2S1</x:v>
      </x:c>
      <x:c r="I873" s="9" t="n">
        <x:v>25.28</x:v>
      </x:c>
      <x:c r="J873" s="9" t="n">
        <x:v>51.498999999999995</x:v>
      </x:c>
      <x:c r="K873" s="2" t="n">
        <x:v>8</x:v>
      </x:c>
      <x:c r="L873" s="2" t="str">
        <x:v>Valid</x:v>
      </x:c>
      <x:c r="M873" s="2" t="str">
        <x:v>QR</x:v>
      </x:c>
      <x:c r="N873" s="2" t="n">
        <x:v>1</x:v>
      </x:c>
      <x:c r="O873" s="2" t="str">
        <x:v>Accepted</x:v>
      </x:c>
      <x:c r="P873" s="2" t="str">
        <x:v>S002</x:v>
      </x:c>
      <x:c r="Q873" s="2" t="str">
        <x:v>DEV002</x:v>
      </x:c>
      <x:c r="R873" s="2" t="n">
        <x:v>13</x:v>
      </x:c>
      <x:c r="S873" s="2" t="str">
        <x:v>Online</x:v>
      </x:c>
      <x:c r="T873" s="2" t="str">
        <x:v>Synced</x:v>
      </x:c>
    </x:row>
    <x:row r="874" ht="21" customHeight="1">
      <x:c r="A874" s="2" t="str">
        <x:v>EV000930</x:v>
      </x:c>
      <x:c r="B874" s="2" t="str">
        <x:v>T20261005-4-3</x:v>
      </x:c>
      <x:c r="C874" s="2" t="str">
        <x:v>ST108</x:v>
      </x:c>
      <x:c r="D874" s="2" t="str">
        <x:v>85ef3b20338dfa9afdf3ae5a4b1ced5c</x:v>
      </x:c>
      <x:c r="E874" s="2" t="str">
        <x:v>CHECK_OUT</x:v>
      </x:c>
      <x:c r="F874" s="8" t="n">
        <x:v>46300.618993055556</x:v>
      </x:c>
      <x:c r="G874" s="8" t="n">
        <x:v>46300.6190162037</x:v>
      </x:c>
      <x:c r="H874" s="2" t="str">
        <x:v>R3S1</x:v>
      </x:c>
      <x:c r="I874" s="9" t="n">
        <x:v>25.289</x:v>
      </x:c>
      <x:c r="J874" s="9" t="n">
        <x:v>51.507</x:v>
      </x:c>
      <x:c r="K874" s="2" t="n">
        <x:v>8</x:v>
      </x:c>
      <x:c r="L874" s="2" t="str">
        <x:v>Valid</x:v>
      </x:c>
      <x:c r="M874" s="2" t="str">
        <x:v>QR</x:v>
      </x:c>
      <x:c r="N874" s="2" t="n">
        <x:v>1</x:v>
      </x:c>
      <x:c r="O874" s="2" t="str">
        <x:v>Accepted</x:v>
      </x:c>
      <x:c r="P874" s="2" t="str">
        <x:v>S003</x:v>
      </x:c>
      <x:c r="Q874" s="2" t="str">
        <x:v>DEV003</x:v>
      </x:c>
      <x:c r="R874" s="2" t="n">
        <x:v>13</x:v>
      </x:c>
      <x:c r="S874" s="2" t="str">
        <x:v>Online</x:v>
      </x:c>
      <x:c r="T874" s="2" t="str">
        <x:v>Synced</x:v>
      </x:c>
    </x:row>
    <x:row r="875" ht="21" customHeight="1">
      <x:c r="A875" s="2" t="str">
        <x:v>EV000604</x:v>
      </x:c>
      <x:c r="B875" s="2" t="str">
        <x:v>T20261005-4-1</x:v>
      </x:c>
      <x:c r="C875" s="2" t="str">
        <x:v>ST023</x:v>
      </x:c>
      <x:c r="D875" s="2" t="str">
        <x:v>1836074fce688580737a08d14a26fa79</x:v>
      </x:c>
      <x:c r="E875" s="2" t="str">
        <x:v>CHECK_OUT</x:v>
      </x:c>
      <x:c r="F875" s="8" t="n">
        <x:v>46300.62298611111</x:v>
      </x:c>
      <x:c r="G875" s="8" t="n">
        <x:v>46300.62300925926</x:v>
      </x:c>
      <x:c r="H875" s="2" t="str">
        <x:v>R1S2</x:v>
      </x:c>
      <x:c r="I875" s="9" t="n">
        <x:v>25.273000000000003</x:v>
      </x:c>
      <x:c r="J875" s="9" t="n">
        <x:v>51.494</x:v>
      </x:c>
      <x:c r="K875" s="2" t="n">
        <x:v>8</x:v>
      </x:c>
      <x:c r="L875" s="2" t="str">
        <x:v>Valid</x:v>
      </x:c>
      <x:c r="M875" s="2" t="str">
        <x:v>QR</x:v>
      </x:c>
      <x:c r="N875" s="2" t="n">
        <x:v>1</x:v>
      </x:c>
      <x:c r="O875" s="2" t="str">
        <x:v>Accepted</x:v>
      </x:c>
      <x:c r="P875" s="2" t="str">
        <x:v>S001</x:v>
      </x:c>
      <x:c r="Q875" s="2" t="str">
        <x:v>DEV001</x:v>
      </x:c>
      <x:c r="R875" s="2" t="n">
        <x:v>14</x:v>
      </x:c>
      <x:c r="S875" s="2" t="str">
        <x:v>Online</x:v>
      </x:c>
      <x:c r="T875" s="2" t="str">
        <x:v>Synced</x:v>
      </x:c>
    </x:row>
    <x:row r="876" ht="21" customHeight="1">
      <x:c r="A876" s="2" t="str">
        <x:v>EV000760</x:v>
      </x:c>
      <x:c r="B876" s="2" t="str">
        <x:v>T20261005-4-2</x:v>
      </x:c>
      <x:c r="C876" s="2" t="str">
        <x:v>ST063</x:v>
      </x:c>
      <x:c r="D876" s="2" t="str">
        <x:v>46a3e8e97cbe04af0173a75d9cdbcebf</x:v>
      </x:c>
      <x:c r="E876" s="2" t="str">
        <x:v>CHECK_OUT</x:v>
      </x:c>
      <x:c r="F876" s="8" t="n">
        <x:v>46300.62298611111</x:v>
      </x:c>
      <x:c r="G876" s="8" t="n">
        <x:v>46300.62300925926</x:v>
      </x:c>
      <x:c r="H876" s="2" t="str">
        <x:v>R2S2</x:v>
      </x:c>
      <x:c r="I876" s="9" t="n">
        <x:v>25.282000000000004</x:v>
      </x:c>
      <x:c r="J876" s="9" t="n">
        <x:v>51.501999999999995</x:v>
      </x:c>
      <x:c r="K876" s="2" t="n">
        <x:v>8</x:v>
      </x:c>
      <x:c r="L876" s="2" t="str">
        <x:v>Valid</x:v>
      </x:c>
      <x:c r="M876" s="2" t="str">
        <x:v>QR</x:v>
      </x:c>
      <x:c r="N876" s="2" t="n">
        <x:v>1</x:v>
      </x:c>
      <x:c r="O876" s="2" t="str">
        <x:v>Accepted</x:v>
      </x:c>
      <x:c r="P876" s="2" t="str">
        <x:v>S002</x:v>
      </x:c>
      <x:c r="Q876" s="2" t="str">
        <x:v>DEV002</x:v>
      </x:c>
      <x:c r="R876" s="2" t="n">
        <x:v>14</x:v>
      </x:c>
      <x:c r="S876" s="2" t="str">
        <x:v>Online</x:v>
      </x:c>
      <x:c r="T876" s="2" t="str">
        <x:v>Synced</x:v>
      </x:c>
    </x:row>
    <x:row r="877" ht="21" customHeight="1">
      <x:c r="A877" s="2" t="str">
        <x:v>EV000920</x:v>
      </x:c>
      <x:c r="B877" s="2" t="str">
        <x:v>T20261005-4-3</x:v>
      </x:c>
      <x:c r="C877" s="2" t="str">
        <x:v>ST103</x:v>
      </x:c>
      <x:c r="D877" s="2" t="str">
        <x:v>5982cfca835e14d82ed8b6562c1a172d</x:v>
      </x:c>
      <x:c r="E877" s="2" t="str">
        <x:v>CHECK_OUT</x:v>
      </x:c>
      <x:c r="F877" s="8" t="n">
        <x:v>46300.62298611111</x:v>
      </x:c>
      <x:c r="G877" s="8" t="n">
        <x:v>46300.62300925926</x:v>
      </x:c>
      <x:c r="H877" s="2" t="str">
        <x:v>R3S2</x:v>
      </x:c>
      <x:c r="I877" s="9" t="n">
        <x:v>25.291000000000004</x:v>
      </x:c>
      <x:c r="J877" s="9" t="n">
        <x:v>51.51</x:v>
      </x:c>
      <x:c r="K877" s="2" t="n">
        <x:v>8</x:v>
      </x:c>
      <x:c r="L877" s="2" t="str">
        <x:v>Valid</x:v>
      </x:c>
      <x:c r="M877" s="2" t="str">
        <x:v>QR</x:v>
      </x:c>
      <x:c r="N877" s="2" t="n">
        <x:v>1</x:v>
      </x:c>
      <x:c r="O877" s="2" t="str">
        <x:v>Accepted</x:v>
      </x:c>
      <x:c r="P877" s="2" t="str">
        <x:v>S003</x:v>
      </x:c>
      <x:c r="Q877" s="2" t="str">
        <x:v>DEV003</x:v>
      </x:c>
      <x:c r="R877" s="2" t="n">
        <x:v>14</x:v>
      </x:c>
      <x:c r="S877" s="2" t="str">
        <x:v>Online</x:v>
      </x:c>
      <x:c r="T877" s="2" t="str">
        <x:v>Synced</x:v>
      </x:c>
    </x:row>
    <x:row r="878" ht="21" customHeight="1">
      <x:c r="A878" s="2" t="str">
        <x:v>EV000610</x:v>
      </x:c>
      <x:c r="B878" s="2" t="str">
        <x:v>T20261005-4-1</x:v>
      </x:c>
      <x:c r="C878" s="2" t="str">
        <x:v>ST026</x:v>
      </x:c>
      <x:c r="D878" s="2" t="str">
        <x:v>56aea196eabcf09e1199afbd5e8907b0</x:v>
      </x:c>
      <x:c r="E878" s="2" t="str">
        <x:v>CHECK_OUT</x:v>
      </x:c>
      <x:c r="F878" s="8" t="n">
        <x:v>46300.623090277775</x:v>
      </x:c>
      <x:c r="G878" s="8" t="n">
        <x:v>46300.62311342592</x:v>
      </x:c>
      <x:c r="H878" s="2" t="str">
        <x:v>R1S2</x:v>
      </x:c>
      <x:c r="I878" s="9" t="n">
        <x:v>25.273000000000003</x:v>
      </x:c>
      <x:c r="J878" s="9" t="n">
        <x:v>51.494</x:v>
      </x:c>
      <x:c r="K878" s="2" t="n">
        <x:v>8</x:v>
      </x:c>
      <x:c r="L878" s="2" t="str">
        <x:v>Valid</x:v>
      </x:c>
      <x:c r="M878" s="2" t="str">
        <x:v>QR</x:v>
      </x:c>
      <x:c r="N878" s="2" t="n">
        <x:v>1</x:v>
      </x:c>
      <x:c r="O878" s="2" t="str">
        <x:v>Accepted</x:v>
      </x:c>
      <x:c r="P878" s="2" t="str">
        <x:v>S001</x:v>
      </x:c>
      <x:c r="Q878" s="2" t="str">
        <x:v>DEV001</x:v>
      </x:c>
      <x:c r="R878" s="2" t="n">
        <x:v>15</x:v>
      </x:c>
      <x:c r="S878" s="2" t="str">
        <x:v>Online</x:v>
      </x:c>
      <x:c r="T878" s="2" t="str">
        <x:v>Synced</x:v>
      </x:c>
    </x:row>
    <x:row r="879" ht="21" customHeight="1">
      <x:c r="A879" s="2" t="str">
        <x:v>EV000766</x:v>
      </x:c>
      <x:c r="B879" s="2" t="str">
        <x:v>T20261005-4-2</x:v>
      </x:c>
      <x:c r="C879" s="2" t="str">
        <x:v>ST066</x:v>
      </x:c>
      <x:c r="D879" s="2" t="str">
        <x:v>f1ae8019085f4d0a77552e53fdc22aa7</x:v>
      </x:c>
      <x:c r="E879" s="2" t="str">
        <x:v>CHECK_OUT</x:v>
      </x:c>
      <x:c r="F879" s="8" t="n">
        <x:v>46300.623090277775</x:v>
      </x:c>
      <x:c r="G879" s="8" t="n">
        <x:v>46300.62311342592</x:v>
      </x:c>
      <x:c r="H879" s="2" t="str">
        <x:v>R2S2</x:v>
      </x:c>
      <x:c r="I879" s="9" t="n">
        <x:v>25.282000000000004</x:v>
      </x:c>
      <x:c r="J879" s="9" t="n">
        <x:v>51.501999999999995</x:v>
      </x:c>
      <x:c r="K879" s="2" t="n">
        <x:v>8</x:v>
      </x:c>
      <x:c r="L879" s="2" t="str">
        <x:v>Valid</x:v>
      </x:c>
      <x:c r="M879" s="2" t="str">
        <x:v>QR</x:v>
      </x:c>
      <x:c r="N879" s="2" t="n">
        <x:v>1</x:v>
      </x:c>
      <x:c r="O879" s="2" t="str">
        <x:v>Accepted</x:v>
      </x:c>
      <x:c r="P879" s="2" t="str">
        <x:v>S002</x:v>
      </x:c>
      <x:c r="Q879" s="2" t="str">
        <x:v>DEV002</x:v>
      </x:c>
      <x:c r="R879" s="2" t="n">
        <x:v>15</x:v>
      </x:c>
      <x:c r="S879" s="2" t="str">
        <x:v>Online</x:v>
      </x:c>
      <x:c r="T879" s="2" t="str">
        <x:v>Synced</x:v>
      </x:c>
    </x:row>
    <x:row r="880" ht="21" customHeight="1">
      <x:c r="A880" s="2" t="str">
        <x:v>EV000926</x:v>
      </x:c>
      <x:c r="B880" s="2" t="str">
        <x:v>T20261005-4-3</x:v>
      </x:c>
      <x:c r="C880" s="2" t="str">
        <x:v>ST106</x:v>
      </x:c>
      <x:c r="D880" s="2" t="str">
        <x:v>9bd191644f26d4fc266418c96f36f10b</x:v>
      </x:c>
      <x:c r="E880" s="2" t="str">
        <x:v>CHECK_OUT</x:v>
      </x:c>
      <x:c r="F880" s="8" t="n">
        <x:v>46300.623090277775</x:v>
      </x:c>
      <x:c r="G880" s="8" t="n">
        <x:v>46300.62311342592</x:v>
      </x:c>
      <x:c r="H880" s="2" t="str">
        <x:v>R3S2</x:v>
      </x:c>
      <x:c r="I880" s="9" t="n">
        <x:v>25.291000000000004</x:v>
      </x:c>
      <x:c r="J880" s="9" t="n">
        <x:v>51.51</x:v>
      </x:c>
      <x:c r="K880" s="2" t="n">
        <x:v>8</x:v>
      </x:c>
      <x:c r="L880" s="2" t="str">
        <x:v>Valid</x:v>
      </x:c>
      <x:c r="M880" s="2" t="str">
        <x:v>QR</x:v>
      </x:c>
      <x:c r="N880" s="2" t="n">
        <x:v>1</x:v>
      </x:c>
      <x:c r="O880" s="2" t="str">
        <x:v>Accepted</x:v>
      </x:c>
      <x:c r="P880" s="2" t="str">
        <x:v>S003</x:v>
      </x:c>
      <x:c r="Q880" s="2" t="str">
        <x:v>DEV003</x:v>
      </x:c>
      <x:c r="R880" s="2" t="n">
        <x:v>15</x:v>
      </x:c>
      <x:c r="S880" s="2" t="str">
        <x:v>Online</x:v>
      </x:c>
      <x:c r="T880" s="2" t="str">
        <x:v>Synced</x:v>
      </x:c>
    </x:row>
    <x:row r="881" ht="21" customHeight="1">
      <x:c r="A881" s="2" t="str">
        <x:v>EV000616</x:v>
      </x:c>
      <x:c r="B881" s="2" t="str">
        <x:v>T20261005-4-1</x:v>
      </x:c>
      <x:c r="C881" s="2" t="str">
        <x:v>ST029</x:v>
      </x:c>
      <x:c r="D881" s="2" t="str">
        <x:v>160c4caa69875e092299cd9b55dcda0b</x:v>
      </x:c>
      <x:c r="E881" s="2" t="str">
        <x:v>CHECK_OUT</x:v>
      </x:c>
      <x:c r="F881" s="8" t="n">
        <x:v>46300.623194444444</x:v>
      </x:c>
      <x:c r="G881" s="8" t="n">
        <x:v>46300.62321759259</x:v>
      </x:c>
      <x:c r="H881" s="2" t="str">
        <x:v>R1S2</x:v>
      </x:c>
      <x:c r="I881" s="9" t="n">
        <x:v>25.273000000000003</x:v>
      </x:c>
      <x:c r="J881" s="9" t="n">
        <x:v>51.494</x:v>
      </x:c>
      <x:c r="K881" s="2" t="n">
        <x:v>8</x:v>
      </x:c>
      <x:c r="L881" s="2" t="str">
        <x:v>Valid</x:v>
      </x:c>
      <x:c r="M881" s="2" t="str">
        <x:v>QR</x:v>
      </x:c>
      <x:c r="N881" s="2" t="n">
        <x:v>1</x:v>
      </x:c>
      <x:c r="O881" s="2" t="str">
        <x:v>Accepted</x:v>
      </x:c>
      <x:c r="P881" s="2" t="str">
        <x:v>S001</x:v>
      </x:c>
      <x:c r="Q881" s="2" t="str">
        <x:v>DEV001</x:v>
      </x:c>
      <x:c r="R881" s="2" t="n">
        <x:v>16</x:v>
      </x:c>
      <x:c r="S881" s="2" t="str">
        <x:v>Online</x:v>
      </x:c>
      <x:c r="T881" s="2" t="str">
        <x:v>Synced</x:v>
      </x:c>
    </x:row>
    <x:row r="882" ht="21" customHeight="1">
      <x:c r="A882" s="2" t="str">
        <x:v>EV000772</x:v>
      </x:c>
      <x:c r="B882" s="2" t="str">
        <x:v>T20261005-4-2</x:v>
      </x:c>
      <x:c r="C882" s="2" t="str">
        <x:v>ST069</x:v>
      </x:c>
      <x:c r="D882" s="2" t="str">
        <x:v>d453525f57933d1df9d056e2e53ed3e4</x:v>
      </x:c>
      <x:c r="E882" s="2" t="str">
        <x:v>CHECK_OUT</x:v>
      </x:c>
      <x:c r="F882" s="8" t="n">
        <x:v>46300.623194444444</x:v>
      </x:c>
      <x:c r="G882" s="8" t="n">
        <x:v>46300.62321759259</x:v>
      </x:c>
      <x:c r="H882" s="2" t="str">
        <x:v>R2S2</x:v>
      </x:c>
      <x:c r="I882" s="9" t="n">
        <x:v>25.282000000000004</x:v>
      </x:c>
      <x:c r="J882" s="9" t="n">
        <x:v>51.501999999999995</x:v>
      </x:c>
      <x:c r="K882" s="2" t="n">
        <x:v>8</x:v>
      </x:c>
      <x:c r="L882" s="2" t="str">
        <x:v>Valid</x:v>
      </x:c>
      <x:c r="M882" s="2" t="str">
        <x:v>QR</x:v>
      </x:c>
      <x:c r="N882" s="2" t="n">
        <x:v>1</x:v>
      </x:c>
      <x:c r="O882" s="2" t="str">
        <x:v>Accepted</x:v>
      </x:c>
      <x:c r="P882" s="2" t="str">
        <x:v>S002</x:v>
      </x:c>
      <x:c r="Q882" s="2" t="str">
        <x:v>DEV002</x:v>
      </x:c>
      <x:c r="R882" s="2" t="n">
        <x:v>16</x:v>
      </x:c>
      <x:c r="S882" s="2" t="str">
        <x:v>Online</x:v>
      </x:c>
      <x:c r="T882" s="2" t="str">
        <x:v>Synced</x:v>
      </x:c>
    </x:row>
    <x:row r="883" ht="21" customHeight="1">
      <x:c r="A883" s="2" t="str">
        <x:v>EV000932</x:v>
      </x:c>
      <x:c r="B883" s="2" t="str">
        <x:v>T20261005-4-3</x:v>
      </x:c>
      <x:c r="C883" s="2" t="str">
        <x:v>ST109</x:v>
      </x:c>
      <x:c r="D883" s="2" t="str">
        <x:v>dfd493c800846e3efc35048335bd557b</x:v>
      </x:c>
      <x:c r="E883" s="2" t="str">
        <x:v>CHECK_OUT</x:v>
      </x:c>
      <x:c r="F883" s="8" t="n">
        <x:v>46300.623194444444</x:v>
      </x:c>
      <x:c r="G883" s="8" t="n">
        <x:v>46300.62321759259</x:v>
      </x:c>
      <x:c r="H883" s="2" t="str">
        <x:v>R3S2</x:v>
      </x:c>
      <x:c r="I883" s="9" t="n">
        <x:v>25.291000000000004</x:v>
      </x:c>
      <x:c r="J883" s="9" t="n">
        <x:v>51.51</x:v>
      </x:c>
      <x:c r="K883" s="2" t="n">
        <x:v>8</x:v>
      </x:c>
      <x:c r="L883" s="2" t="str">
        <x:v>Valid</x:v>
      </x:c>
      <x:c r="M883" s="2" t="str">
        <x:v>QR</x:v>
      </x:c>
      <x:c r="N883" s="2" t="n">
        <x:v>1</x:v>
      </x:c>
      <x:c r="O883" s="2" t="str">
        <x:v>Accepted</x:v>
      </x:c>
      <x:c r="P883" s="2" t="str">
        <x:v>S003</x:v>
      </x:c>
      <x:c r="Q883" s="2" t="str">
        <x:v>DEV003</x:v>
      </x:c>
      <x:c r="R883" s="2" t="n">
        <x:v>16</x:v>
      </x:c>
      <x:c r="S883" s="2" t="str">
        <x:v>Online</x:v>
      </x:c>
      <x:c r="T883" s="2" t="str">
        <x:v>Synced</x:v>
      </x:c>
    </x:row>
    <x:row r="884" ht="21" customHeight="1">
      <x:c r="A884" s="2" t="str">
        <x:v>EV000600</x:v>
      </x:c>
      <x:c r="B884" s="2" t="str">
        <x:v>T20261005-4-1</x:v>
      </x:c>
      <x:c r="C884" s="2" t="str">
        <x:v>ST021</x:v>
      </x:c>
      <x:c r="D884" s="2" t="str">
        <x:v>9b1608e5663d6da53cd805c8051dedd7</x:v>
      </x:c>
      <x:c r="E884" s="2" t="str">
        <x:v>CHECK_OUT</x:v>
      </x:c>
      <x:c r="F884" s="8" t="n">
        <x:v>46300.62708333333</x:v>
      </x:c>
      <x:c r="G884" s="8" t="n">
        <x:v>46300.62710648148</x:v>
      </x:c>
      <x:c r="H884" s="2" t="str">
        <x:v>R1S3</x:v>
      </x:c>
      <x:c r="I884" s="9" t="n">
        <x:v>25.275000000000002</x:v>
      </x:c>
      <x:c r="J884" s="9" t="n">
        <x:v>51.497</x:v>
      </x:c>
      <x:c r="K884" s="2" t="n">
        <x:v>8</x:v>
      </x:c>
      <x:c r="L884" s="2" t="str">
        <x:v>Valid</x:v>
      </x:c>
      <x:c r="M884" s="2" t="str">
        <x:v>QR</x:v>
      </x:c>
      <x:c r="N884" s="2" t="n">
        <x:v>1</x:v>
      </x:c>
      <x:c r="O884" s="2" t="str">
        <x:v>Accepted</x:v>
      </x:c>
      <x:c r="P884" s="2" t="str">
        <x:v>S001</x:v>
      </x:c>
      <x:c r="Q884" s="2" t="str">
        <x:v>DEV001</x:v>
      </x:c>
      <x:c r="R884" s="2" t="n">
        <x:v>17</x:v>
      </x:c>
      <x:c r="S884" s="2" t="str">
        <x:v>Online</x:v>
      </x:c>
      <x:c r="T884" s="2" t="str">
        <x:v>Synced</x:v>
      </x:c>
    </x:row>
    <x:row r="885" ht="21" customHeight="1">
      <x:c r="A885" s="2" t="str">
        <x:v>EV000756</x:v>
      </x:c>
      <x:c r="B885" s="2" t="str">
        <x:v>T20261005-4-2</x:v>
      </x:c>
      <x:c r="C885" s="2" t="str">
        <x:v>ST061</x:v>
      </x:c>
      <x:c r="D885" s="2" t="str">
        <x:v>c547cb31f14853ae1f9f2436554d3271</x:v>
      </x:c>
      <x:c r="E885" s="2" t="str">
        <x:v>CHECK_OUT</x:v>
      </x:c>
      <x:c r="F885" s="8" t="n">
        <x:v>46300.62708333333</x:v>
      </x:c>
      <x:c r="G885" s="8" t="n">
        <x:v>46300.62710648148</x:v>
      </x:c>
      <x:c r="H885" s="2" t="str">
        <x:v>R2S3</x:v>
      </x:c>
      <x:c r="I885" s="9" t="n">
        <x:v>25.284000000000002</x:v>
      </x:c>
      <x:c r="J885" s="9" t="n">
        <x:v>51.504999999999995</x:v>
      </x:c>
      <x:c r="K885" s="2" t="n">
        <x:v>8</x:v>
      </x:c>
      <x:c r="L885" s="2" t="str">
        <x:v>Valid</x:v>
      </x:c>
      <x:c r="M885" s="2" t="str">
        <x:v>QR</x:v>
      </x:c>
      <x:c r="N885" s="2" t="n">
        <x:v>1</x:v>
      </x:c>
      <x:c r="O885" s="2" t="str">
        <x:v>Accepted</x:v>
      </x:c>
      <x:c r="P885" s="2" t="str">
        <x:v>S002</x:v>
      </x:c>
      <x:c r="Q885" s="2" t="str">
        <x:v>DEV002</x:v>
      </x:c>
      <x:c r="R885" s="2" t="n">
        <x:v>17</x:v>
      </x:c>
      <x:c r="S885" s="2" t="str">
        <x:v>Online</x:v>
      </x:c>
      <x:c r="T885" s="2" t="str">
        <x:v>Synced</x:v>
      </x:c>
    </x:row>
    <x:row r="886" ht="21" customHeight="1">
      <x:c r="A886" s="2" t="str">
        <x:v>EV000916</x:v>
      </x:c>
      <x:c r="B886" s="2" t="str">
        <x:v>T20261005-4-3</x:v>
      </x:c>
      <x:c r="C886" s="2" t="str">
        <x:v>ST101</x:v>
      </x:c>
      <x:c r="D886" s="2" t="str">
        <x:v>9f8e180c63d3ff8d3e393db3573884a8</x:v>
      </x:c>
      <x:c r="E886" s="2" t="str">
        <x:v>CHECK_OUT</x:v>
      </x:c>
      <x:c r="F886" s="8" t="n">
        <x:v>46300.62708333333</x:v>
      </x:c>
      <x:c r="G886" s="8" t="n">
        <x:v>46300.62710648148</x:v>
      </x:c>
      <x:c r="H886" s="2" t="str">
        <x:v>R3S3</x:v>
      </x:c>
      <x:c r="I886" s="9" t="n">
        <x:v>25.293000000000003</x:v>
      </x:c>
      <x:c r="J886" s="9" t="n">
        <x:v>51.513</x:v>
      </x:c>
      <x:c r="K886" s="2" t="n">
        <x:v>8</x:v>
      </x:c>
      <x:c r="L886" s="2" t="str">
        <x:v>Valid</x:v>
      </x:c>
      <x:c r="M886" s="2" t="str">
        <x:v>QR</x:v>
      </x:c>
      <x:c r="N886" s="2" t="n">
        <x:v>1</x:v>
      </x:c>
      <x:c r="O886" s="2" t="str">
        <x:v>Accepted</x:v>
      </x:c>
      <x:c r="P886" s="2" t="str">
        <x:v>S003</x:v>
      </x:c>
      <x:c r="Q886" s="2" t="str">
        <x:v>DEV003</x:v>
      </x:c>
      <x:c r="R886" s="2" t="n">
        <x:v>17</x:v>
      </x:c>
      <x:c r="S886" s="2" t="str">
        <x:v>Online</x:v>
      </x:c>
      <x:c r="T886" s="2" t="str">
        <x:v>Synced</x:v>
      </x:c>
    </x:row>
    <x:row r="887" ht="21" customHeight="1">
      <x:c r="A887" s="2" t="str">
        <x:v>EV000606</x:v>
      </x:c>
      <x:c r="B887" s="2" t="str">
        <x:v>T20261005-4-1</x:v>
      </x:c>
      <x:c r="C887" s="2" t="str">
        <x:v>ST024</x:v>
      </x:c>
      <x:c r="D887" s="2" t="str">
        <x:v>df785f1577b8ee7f71835020d03a12a6</x:v>
      </x:c>
      <x:c r="E887" s="2" t="str">
        <x:v>CHECK_OUT</x:v>
      </x:c>
      <x:c r="F887" s="8" t="n">
        <x:v>46300.6271875</x:v>
      </x:c>
      <x:c r="G887" s="8" t="n">
        <x:v>46300.62721064815</x:v>
      </x:c>
      <x:c r="H887" s="2" t="str">
        <x:v>R1S3</x:v>
      </x:c>
      <x:c r="I887" s="9" t="n">
        <x:v>25.275000000000002</x:v>
      </x:c>
      <x:c r="J887" s="9" t="n">
        <x:v>51.497</x:v>
      </x:c>
      <x:c r="K887" s="2" t="n">
        <x:v>8</x:v>
      </x:c>
      <x:c r="L887" s="2" t="str">
        <x:v>Valid</x:v>
      </x:c>
      <x:c r="M887" s="2" t="str">
        <x:v>QR</x:v>
      </x:c>
      <x:c r="N887" s="2" t="n">
        <x:v>1</x:v>
      </x:c>
      <x:c r="O887" s="2" t="str">
        <x:v>Accepted</x:v>
      </x:c>
      <x:c r="P887" s="2" t="str">
        <x:v>S001</x:v>
      </x:c>
      <x:c r="Q887" s="2" t="str">
        <x:v>DEV001</x:v>
      </x:c>
      <x:c r="R887" s="2" t="n">
        <x:v>18</x:v>
      </x:c>
      <x:c r="S887" s="2" t="str">
        <x:v>Online</x:v>
      </x:c>
      <x:c r="T887" s="2" t="str">
        <x:v>Synced</x:v>
      </x:c>
    </x:row>
    <x:row r="888" ht="21" customHeight="1">
      <x:c r="A888" s="2" t="str">
        <x:v>EV000762</x:v>
      </x:c>
      <x:c r="B888" s="2" t="str">
        <x:v>T20261005-4-2</x:v>
      </x:c>
      <x:c r="C888" s="2" t="str">
        <x:v>ST064</x:v>
      </x:c>
      <x:c r="D888" s="2" t="str">
        <x:v>80debd99a6cfe1ca0800304796fd69ff</x:v>
      </x:c>
      <x:c r="E888" s="2" t="str">
        <x:v>CHECK_OUT</x:v>
      </x:c>
      <x:c r="F888" s="8" t="n">
        <x:v>46300.6271875</x:v>
      </x:c>
      <x:c r="G888" s="8" t="n">
        <x:v>46300.62721064815</x:v>
      </x:c>
      <x:c r="H888" s="2" t="str">
        <x:v>R2S3</x:v>
      </x:c>
      <x:c r="I888" s="9" t="n">
        <x:v>25.284000000000002</x:v>
      </x:c>
      <x:c r="J888" s="9" t="n">
        <x:v>51.504999999999995</x:v>
      </x:c>
      <x:c r="K888" s="2" t="n">
        <x:v>8</x:v>
      </x:c>
      <x:c r="L888" s="2" t="str">
        <x:v>Valid</x:v>
      </x:c>
      <x:c r="M888" s="2" t="str">
        <x:v>QR</x:v>
      </x:c>
      <x:c r="N888" s="2" t="n">
        <x:v>1</x:v>
      </x:c>
      <x:c r="O888" s="2" t="str">
        <x:v>Accepted</x:v>
      </x:c>
      <x:c r="P888" s="2" t="str">
        <x:v>S002</x:v>
      </x:c>
      <x:c r="Q888" s="2" t="str">
        <x:v>DEV002</x:v>
      </x:c>
      <x:c r="R888" s="2" t="n">
        <x:v>18</x:v>
      </x:c>
      <x:c r="S888" s="2" t="str">
        <x:v>Online</x:v>
      </x:c>
      <x:c r="T888" s="2" t="str">
        <x:v>Synced</x:v>
      </x:c>
    </x:row>
    <x:row r="889" ht="21" customHeight="1">
      <x:c r="A889" s="2" t="str">
        <x:v>EV000922</x:v>
      </x:c>
      <x:c r="B889" s="2" t="str">
        <x:v>T20261005-4-3</x:v>
      </x:c>
      <x:c r="C889" s="2" t="str">
        <x:v>ST104</x:v>
      </x:c>
      <x:c r="D889" s="2" t="str">
        <x:v>12167381f9b78201d830c40ef6208ce4</x:v>
      </x:c>
      <x:c r="E889" s="2" t="str">
        <x:v>CHECK_OUT</x:v>
      </x:c>
      <x:c r="F889" s="8" t="n">
        <x:v>46300.6271875</x:v>
      </x:c>
      <x:c r="G889" s="8" t="n">
        <x:v>46300.62721064815</x:v>
      </x:c>
      <x:c r="H889" s="2" t="str">
        <x:v>R3S3</x:v>
      </x:c>
      <x:c r="I889" s="9" t="n">
        <x:v>25.293000000000003</x:v>
      </x:c>
      <x:c r="J889" s="9" t="n">
        <x:v>51.513</x:v>
      </x:c>
      <x:c r="K889" s="2" t="n">
        <x:v>8</x:v>
      </x:c>
      <x:c r="L889" s="2" t="str">
        <x:v>Valid</x:v>
      </x:c>
      <x:c r="M889" s="2" t="str">
        <x:v>QR</x:v>
      </x:c>
      <x:c r="N889" s="2" t="n">
        <x:v>1</x:v>
      </x:c>
      <x:c r="O889" s="2" t="str">
        <x:v>Accepted</x:v>
      </x:c>
      <x:c r="P889" s="2" t="str">
        <x:v>S003</x:v>
      </x:c>
      <x:c r="Q889" s="2" t="str">
        <x:v>DEV003</x:v>
      </x:c>
      <x:c r="R889" s="2" t="n">
        <x:v>18</x:v>
      </x:c>
      <x:c r="S889" s="2" t="str">
        <x:v>Online</x:v>
      </x:c>
      <x:c r="T889" s="2" t="str">
        <x:v>Synced</x:v>
      </x:c>
    </x:row>
    <x:row r="890" ht="21" customHeight="1">
      <x:c r="A890" s="2" t="str">
        <x:v>EV000612</x:v>
      </x:c>
      <x:c r="B890" s="2" t="str">
        <x:v>T20261005-4-1</x:v>
      </x:c>
      <x:c r="C890" s="2" t="str">
        <x:v>ST027</x:v>
      </x:c>
      <x:c r="D890" s="2" t="str">
        <x:v>87868c08c06226359ca5121a9563bb63</x:v>
      </x:c>
      <x:c r="E890" s="2" t="str">
        <x:v>CHECK_OUT</x:v>
      </x:c>
      <x:c r="F890" s="8" t="n">
        <x:v>46300.627291666664</x:v>
      </x:c>
      <x:c r="G890" s="8" t="n">
        <x:v>46300.62731481481</x:v>
      </x:c>
      <x:c r="H890" s="2" t="str">
        <x:v>R1S3</x:v>
      </x:c>
      <x:c r="I890" s="9" t="n">
        <x:v>25.275000000000002</x:v>
      </x:c>
      <x:c r="J890" s="9" t="n">
        <x:v>51.497</x:v>
      </x:c>
      <x:c r="K890" s="2" t="n">
        <x:v>8</x:v>
      </x:c>
      <x:c r="L890" s="2" t="str">
        <x:v>Valid</x:v>
      </x:c>
      <x:c r="M890" s="2" t="str">
        <x:v>QR</x:v>
      </x:c>
      <x:c r="N890" s="2" t="n">
        <x:v>1</x:v>
      </x:c>
      <x:c r="O890" s="2" t="str">
        <x:v>Accepted</x:v>
      </x:c>
      <x:c r="P890" s="2" t="str">
        <x:v>S001</x:v>
      </x:c>
      <x:c r="Q890" s="2" t="str">
        <x:v>DEV001</x:v>
      </x:c>
      <x:c r="R890" s="2" t="n">
        <x:v>19</x:v>
      </x:c>
      <x:c r="S890" s="2" t="str">
        <x:v>Online</x:v>
      </x:c>
      <x:c r="T890" s="2" t="str">
        <x:v>Synced</x:v>
      </x:c>
    </x:row>
    <x:row r="891" ht="21" customHeight="1">
      <x:c r="A891" s="2" t="str">
        <x:v>EV000768</x:v>
      </x:c>
      <x:c r="B891" s="2" t="str">
        <x:v>T20261005-4-2</x:v>
      </x:c>
      <x:c r="C891" s="2" t="str">
        <x:v>ST067</x:v>
      </x:c>
      <x:c r="D891" s="2" t="str">
        <x:v>66c3e7b11abae76912fea37c6c7ce00c</x:v>
      </x:c>
      <x:c r="E891" s="2" t="str">
        <x:v>CHECK_OUT</x:v>
      </x:c>
      <x:c r="F891" s="8" t="n">
        <x:v>46300.627291666664</x:v>
      </x:c>
      <x:c r="G891" s="8" t="n">
        <x:v>46300.62731481481</x:v>
      </x:c>
      <x:c r="H891" s="2" t="str">
        <x:v>R2S3</x:v>
      </x:c>
      <x:c r="I891" s="9" t="n">
        <x:v>25.284000000000002</x:v>
      </x:c>
      <x:c r="J891" s="9" t="n">
        <x:v>51.504999999999995</x:v>
      </x:c>
      <x:c r="K891" s="2" t="n">
        <x:v>8</x:v>
      </x:c>
      <x:c r="L891" s="2" t="str">
        <x:v>Valid</x:v>
      </x:c>
      <x:c r="M891" s="2" t="str">
        <x:v>QR</x:v>
      </x:c>
      <x:c r="N891" s="2" t="n">
        <x:v>1</x:v>
      </x:c>
      <x:c r="O891" s="2" t="str">
        <x:v>Accepted</x:v>
      </x:c>
      <x:c r="P891" s="2" t="str">
        <x:v>S002</x:v>
      </x:c>
      <x:c r="Q891" s="2" t="str">
        <x:v>DEV002</x:v>
      </x:c>
      <x:c r="R891" s="2" t="n">
        <x:v>19</x:v>
      </x:c>
      <x:c r="S891" s="2" t="str">
        <x:v>Online</x:v>
      </x:c>
      <x:c r="T891" s="2" t="str">
        <x:v>Synced</x:v>
      </x:c>
    </x:row>
    <x:row r="892" ht="21" customHeight="1">
      <x:c r="A892" s="2" t="str">
        <x:v>EV000928</x:v>
      </x:c>
      <x:c r="B892" s="2" t="str">
        <x:v>T20261005-4-3</x:v>
      </x:c>
      <x:c r="C892" s="2" t="str">
        <x:v>ST107</x:v>
      </x:c>
      <x:c r="D892" s="2" t="str">
        <x:v>4a2bb35840a3b4fc7e804e2d710c14f4</x:v>
      </x:c>
      <x:c r="E892" s="2" t="str">
        <x:v>CHECK_OUT</x:v>
      </x:c>
      <x:c r="F892" s="8" t="n">
        <x:v>46300.627291666664</x:v>
      </x:c>
      <x:c r="G892" s="8" t="n">
        <x:v>46300.62731481481</x:v>
      </x:c>
      <x:c r="H892" s="2" t="str">
        <x:v>R3S3</x:v>
      </x:c>
      <x:c r="I892" s="9" t="n">
        <x:v>25.293000000000003</x:v>
      </x:c>
      <x:c r="J892" s="9" t="n">
        <x:v>51.513</x:v>
      </x:c>
      <x:c r="K892" s="2" t="n">
        <x:v>8</x:v>
      </x:c>
      <x:c r="L892" s="2" t="str">
        <x:v>Valid</x:v>
      </x:c>
      <x:c r="M892" s="2" t="str">
        <x:v>QR</x:v>
      </x:c>
      <x:c r="N892" s="2" t="n">
        <x:v>1</x:v>
      </x:c>
      <x:c r="O892" s="2" t="str">
        <x:v>Accepted</x:v>
      </x:c>
      <x:c r="P892" s="2" t="str">
        <x:v>S003</x:v>
      </x:c>
      <x:c r="Q892" s="2" t="str">
        <x:v>DEV003</x:v>
      </x:c>
      <x:c r="R892" s="2" t="n">
        <x:v>19</x:v>
      </x:c>
      <x:c r="S892" s="2" t="str">
        <x:v>Online</x:v>
      </x:c>
      <x:c r="T892" s="2" t="str">
        <x:v>Synced</x:v>
      </x:c>
    </x:row>
    <x:row r="893" ht="21" customHeight="1">
      <x:c r="A893" s="2" t="str">
        <x:v>EV000618</x:v>
      </x:c>
      <x:c r="B893" s="2" t="str">
        <x:v>T20261005-4-1</x:v>
      </x:c>
      <x:c r="C893" s="2" t="str">
        <x:v>ST030</x:v>
      </x:c>
      <x:c r="D893" s="2" t="str">
        <x:v>82585187c31166ddecfc4b31343dde64</x:v>
      </x:c>
      <x:c r="E893" s="2" t="str">
        <x:v>CHECK_OUT</x:v>
      </x:c>
      <x:c r="F893" s="8" t="n">
        <x:v>46300.62739583333</x:v>
      </x:c>
      <x:c r="G893" s="8" t="n">
        <x:v>46300.62741898148</x:v>
      </x:c>
      <x:c r="H893" s="2" t="str">
        <x:v>R1S3</x:v>
      </x:c>
      <x:c r="I893" s="9" t="n">
        <x:v>25.275000000000002</x:v>
      </x:c>
      <x:c r="J893" s="9" t="n">
        <x:v>51.497</x:v>
      </x:c>
      <x:c r="K893" s="2" t="n">
        <x:v>8</x:v>
      </x:c>
      <x:c r="L893" s="2" t="str">
        <x:v>Valid</x:v>
      </x:c>
      <x:c r="M893" s="2" t="str">
        <x:v>QR</x:v>
      </x:c>
      <x:c r="N893" s="2" t="n">
        <x:v>1</x:v>
      </x:c>
      <x:c r="O893" s="2" t="str">
        <x:v>Accepted</x:v>
      </x:c>
      <x:c r="P893" s="2" t="str">
        <x:v>S001</x:v>
      </x:c>
      <x:c r="Q893" s="2" t="str">
        <x:v>DEV001</x:v>
      </x:c>
      <x:c r="R893" s="2" t="n">
        <x:v>20</x:v>
      </x:c>
      <x:c r="S893" s="2" t="str">
        <x:v>Online</x:v>
      </x:c>
      <x:c r="T893" s="2" t="str">
        <x:v>Synced</x:v>
      </x:c>
    </x:row>
    <x:row r="894" ht="21" customHeight="1">
      <x:c r="A894" s="2" t="str">
        <x:v>EV000774</x:v>
      </x:c>
      <x:c r="B894" s="2" t="str">
        <x:v>T20261005-4-2</x:v>
      </x:c>
      <x:c r="C894" s="2" t="str">
        <x:v>ST070</x:v>
      </x:c>
      <x:c r="D894" s="2" t="str">
        <x:v>12a9f1121533e9d2b6402c68cf852c16</x:v>
      </x:c>
      <x:c r="E894" s="2" t="str">
        <x:v>CHECK_OUT</x:v>
      </x:c>
      <x:c r="F894" s="8" t="n">
        <x:v>46300.62739583333</x:v>
      </x:c>
      <x:c r="G894" s="8" t="n">
        <x:v>46300.62741898148</x:v>
      </x:c>
      <x:c r="H894" s="2" t="str">
        <x:v>R2S3</x:v>
      </x:c>
      <x:c r="I894" s="9" t="n">
        <x:v>25.284000000000002</x:v>
      </x:c>
      <x:c r="J894" s="9" t="n">
        <x:v>51.504999999999995</x:v>
      </x:c>
      <x:c r="K894" s="2" t="n">
        <x:v>8</x:v>
      </x:c>
      <x:c r="L894" s="2" t="str">
        <x:v>Valid</x:v>
      </x:c>
      <x:c r="M894" s="2" t="str">
        <x:v>QR</x:v>
      </x:c>
      <x:c r="N894" s="2" t="n">
        <x:v>1</x:v>
      </x:c>
      <x:c r="O894" s="2" t="str">
        <x:v>Accepted</x:v>
      </x:c>
      <x:c r="P894" s="2" t="str">
        <x:v>S002</x:v>
      </x:c>
      <x:c r="Q894" s="2" t="str">
        <x:v>DEV002</x:v>
      </x:c>
      <x:c r="R894" s="2" t="n">
        <x:v>20</x:v>
      </x:c>
      <x:c r="S894" s="2" t="str">
        <x:v>Online</x:v>
      </x:c>
      <x:c r="T894" s="2" t="str">
        <x:v>Synced</x:v>
      </x:c>
    </x:row>
    <x:row r="895" ht="21" customHeight="1">
      <x:c r="A895" s="2" t="str">
        <x:v>EV000934</x:v>
      </x:c>
      <x:c r="B895" s="2" t="str">
        <x:v>T20261005-4-3</x:v>
      </x:c>
      <x:c r="C895" s="2" t="str">
        <x:v>ST110</x:v>
      </x:c>
      <x:c r="D895" s="2" t="str">
        <x:v>4382c0cdcda89fb8cc0f5b9fc03b4c51</x:v>
      </x:c>
      <x:c r="E895" s="2" t="str">
        <x:v>CHECK_OUT</x:v>
      </x:c>
      <x:c r="F895" s="8" t="n">
        <x:v>46300.62739583333</x:v>
      </x:c>
      <x:c r="G895" s="8" t="n">
        <x:v>46300.62741898148</x:v>
      </x:c>
      <x:c r="H895" s="2" t="str">
        <x:v>R3S3</x:v>
      </x:c>
      <x:c r="I895" s="9" t="n">
        <x:v>25.293000000000003</x:v>
      </x:c>
      <x:c r="J895" s="9" t="n">
        <x:v>51.513</x:v>
      </x:c>
      <x:c r="K895" s="2" t="n">
        <x:v>8</x:v>
      </x:c>
      <x:c r="L895" s="2" t="str">
        <x:v>Valid</x:v>
      </x:c>
      <x:c r="M895" s="2" t="str">
        <x:v>QR</x:v>
      </x:c>
      <x:c r="N895" s="2" t="n">
        <x:v>1</x:v>
      </x:c>
      <x:c r="O895" s="2" t="str">
        <x:v>Accepted</x:v>
      </x:c>
      <x:c r="P895" s="2" t="str">
        <x:v>S003</x:v>
      </x:c>
      <x:c r="Q895" s="2" t="str">
        <x:v>DEV003</x:v>
      </x:c>
      <x:c r="R895" s="2" t="n">
        <x:v>20</x:v>
      </x:c>
      <x:c r="S895" s="2" t="str">
        <x:v>Online</x:v>
      </x:c>
      <x:c r="T895" s="2" t="str">
        <x:v>Synced</x:v>
      </x:c>
    </x:row>
    <x:row r="896" ht="21" customHeight="1">
      <x:c r="A896" s="2" t="str">
        <x:v>EV000619</x:v>
      </x:c>
      <x:c r="B896" s="2" t="str">
        <x:v>T20261005-5-1</x:v>
      </x:c>
      <x:c r="C896" s="2" t="str">
        <x:v>ST031</x:v>
      </x:c>
      <x:c r="D896" s="2" t="str">
        <x:v>8ab188e9684e5df87182305d1c7eadac</x:v>
      </x:c>
      <x:c r="E896" s="2" t="str">
        <x:v>CHECK_IN</x:v>
      </x:c>
      <x:c r="F896" s="8" t="n">
        <x:v>46300.70833333333</x:v>
      </x:c>
      <x:c r="G896" s="8" t="n">
        <x:v>46300.708356481475</x:v>
      </x:c>
      <x:c r="H896" s="2" t="str">
        <x:v>SCH01</x:v>
      </x:c>
      <x:c r="I896" s="9" t="n">
        <x:v>25.285</x:v>
      </x:c>
      <x:c r="J896" s="9" t="n">
        <x:v>51.51</x:v>
      </x:c>
      <x:c r="K896" s="2" t="n">
        <x:v>8</x:v>
      </x:c>
      <x:c r="L896" s="2" t="str">
        <x:v>Valid</x:v>
      </x:c>
      <x:c r="M896" s="2" t="str">
        <x:v>QR</x:v>
      </x:c>
      <x:c r="N896" s="2" t="n">
        <x:v>1</x:v>
      </x:c>
      <x:c r="O896" s="2" t="str">
        <x:v>Accepted</x:v>
      </x:c>
      <x:c r="P896" s="2" t="str">
        <x:v>S001</x:v>
      </x:c>
      <x:c r="Q896" s="2" t="str">
        <x:v>DEV001</x:v>
      </x:c>
      <x:c r="R896" s="2" t="n">
        <x:v>1</x:v>
      </x:c>
      <x:c r="S896" s="2" t="str">
        <x:v>Online</x:v>
      </x:c>
      <x:c r="T896" s="2" t="str">
        <x:v>Synced</x:v>
      </x:c>
    </x:row>
    <x:row r="897" ht="21" customHeight="1">
      <x:c r="A897" s="2" t="str">
        <x:v>EV000775</x:v>
      </x:c>
      <x:c r="B897" s="2" t="str">
        <x:v>T20261005-5-2</x:v>
      </x:c>
      <x:c r="C897" s="2" t="str">
        <x:v>ST071</x:v>
      </x:c>
      <x:c r="D897" s="2" t="str">
        <x:v>51895678643dc659a400e702a471294e</x:v>
      </x:c>
      <x:c r="E897" s="2" t="str">
        <x:v>CHECK_IN</x:v>
      </x:c>
      <x:c r="F897" s="8" t="n">
        <x:v>46300.70833333333</x:v>
      </x:c>
      <x:c r="G897" s="8" t="n">
        <x:v>46300.708356481475</x:v>
      </x:c>
      <x:c r="H897" s="2" t="str">
        <x:v>SCH01</x:v>
      </x:c>
      <x:c r="I897" s="9" t="n">
        <x:v>25.285</x:v>
      </x:c>
      <x:c r="J897" s="9" t="n">
        <x:v>51.51</x:v>
      </x:c>
      <x:c r="K897" s="2" t="n">
        <x:v>8</x:v>
      </x:c>
      <x:c r="L897" s="2" t="str">
        <x:v>Valid</x:v>
      </x:c>
      <x:c r="M897" s="2" t="str">
        <x:v>QR</x:v>
      </x:c>
      <x:c r="N897" s="2" t="n">
        <x:v>1</x:v>
      </x:c>
      <x:c r="O897" s="2" t="str">
        <x:v>Accepted</x:v>
      </x:c>
      <x:c r="P897" s="2" t="str">
        <x:v>S002</x:v>
      </x:c>
      <x:c r="Q897" s="2" t="str">
        <x:v>DEV002</x:v>
      </x:c>
      <x:c r="R897" s="2" t="n">
        <x:v>1</x:v>
      </x:c>
      <x:c r="S897" s="2" t="str">
        <x:v>Online</x:v>
      </x:c>
      <x:c r="T897" s="2" t="str">
        <x:v>Synced</x:v>
      </x:c>
    </x:row>
    <x:row r="898" ht="21" customHeight="1">
      <x:c r="A898" s="2" t="str">
        <x:v>EV000935</x:v>
      </x:c>
      <x:c r="B898" s="2" t="str">
        <x:v>T20261005-5-3</x:v>
      </x:c>
      <x:c r="C898" s="2" t="str">
        <x:v>ST111</x:v>
      </x:c>
      <x:c r="D898" s="2" t="str">
        <x:v>e6e9707385e7ee8edd3ac87243757eb2</x:v>
      </x:c>
      <x:c r="E898" s="2" t="str">
        <x:v>CHECK_IN</x:v>
      </x:c>
      <x:c r="F898" s="8" t="n">
        <x:v>46300.70833333333</x:v>
      </x:c>
      <x:c r="G898" s="8" t="n">
        <x:v>46300.708356481475</x:v>
      </x:c>
      <x:c r="H898" s="2" t="str">
        <x:v>SCH01</x:v>
      </x:c>
      <x:c r="I898" s="9" t="n">
        <x:v>25.285</x:v>
      </x:c>
      <x:c r="J898" s="9" t="n">
        <x:v>51.51</x:v>
      </x:c>
      <x:c r="K898" s="2" t="n">
        <x:v>8</x:v>
      </x:c>
      <x:c r="L898" s="2" t="str">
        <x:v>Valid</x:v>
      </x:c>
      <x:c r="M898" s="2" t="str">
        <x:v>QR</x:v>
      </x:c>
      <x:c r="N898" s="2" t="n">
        <x:v>1</x:v>
      </x:c>
      <x:c r="O898" s="2" t="str">
        <x:v>Accepted</x:v>
      </x:c>
      <x:c r="P898" s="2" t="str">
        <x:v>S003</x:v>
      </x:c>
      <x:c r="Q898" s="2" t="str">
        <x:v>DEV003</x:v>
      </x:c>
      <x:c r="R898" s="2" t="n">
        <x:v>1</x:v>
      </x:c>
      <x:c r="S898" s="2" t="str">
        <x:v>Online</x:v>
      </x:c>
      <x:c r="T898" s="2" t="str">
        <x:v>Synced</x:v>
      </x:c>
    </x:row>
    <x:row r="899" ht="21" customHeight="1">
      <x:c r="A899" s="2" t="str">
        <x:v>EV000621</x:v>
      </x:c>
      <x:c r="B899" s="2" t="str">
        <x:v>T20261005-5-1</x:v>
      </x:c>
      <x:c r="C899" s="2" t="str">
        <x:v>ST032</x:v>
      </x:c>
      <x:c r="D899" s="2" t="str">
        <x:v>836e2da54ccde9716995f5651a63e8c5</x:v>
      </x:c>
      <x:c r="E899" s="2" t="str">
        <x:v>CHECK_IN</x:v>
      </x:c>
      <x:c r="F899" s="8" t="n">
        <x:v>46300.70836805555</x:v>
      </x:c>
      <x:c r="G899" s="8" t="n">
        <x:v>46300.7083912037</x:v>
      </x:c>
      <x:c r="H899" s="2" t="str">
        <x:v>SCH01</x:v>
      </x:c>
      <x:c r="I899" s="9" t="n">
        <x:v>25.285</x:v>
      </x:c>
      <x:c r="J899" s="9" t="n">
        <x:v>51.51</x:v>
      </x:c>
      <x:c r="K899" s="2" t="n">
        <x:v>8</x:v>
      </x:c>
      <x:c r="L899" s="2" t="str">
        <x:v>Valid</x:v>
      </x:c>
      <x:c r="M899" s="2" t="str">
        <x:v>QR</x:v>
      </x:c>
      <x:c r="N899" s="2" t="n">
        <x:v>1</x:v>
      </x:c>
      <x:c r="O899" s="2" t="str">
        <x:v>Accepted</x:v>
      </x:c>
      <x:c r="P899" s="2" t="str">
        <x:v>S001</x:v>
      </x:c>
      <x:c r="Q899" s="2" t="str">
        <x:v>DEV001</x:v>
      </x:c>
      <x:c r="R899" s="2" t="n">
        <x:v>2</x:v>
      </x:c>
      <x:c r="S899" s="2" t="str">
        <x:v>Online</x:v>
      </x:c>
      <x:c r="T899" s="2" t="str">
        <x:v>Synced</x:v>
      </x:c>
    </x:row>
    <x:row r="900" ht="21" customHeight="1">
      <x:c r="A900" s="2" t="str">
        <x:v>EV000777</x:v>
      </x:c>
      <x:c r="B900" s="2" t="str">
        <x:v>T20261005-5-2</x:v>
      </x:c>
      <x:c r="C900" s="2" t="str">
        <x:v>ST072</x:v>
      </x:c>
      <x:c r="D900" s="2" t="str">
        <x:v>34067027b5922171fe59ce4d7b756f1c</x:v>
      </x:c>
      <x:c r="E900" s="2" t="str">
        <x:v>CHECK_IN</x:v>
      </x:c>
      <x:c r="F900" s="8" t="n">
        <x:v>46300.70836805555</x:v>
      </x:c>
      <x:c r="G900" s="8" t="n">
        <x:v>46300.7083912037</x:v>
      </x:c>
      <x:c r="H900" s="2" t="str">
        <x:v>SCH01</x:v>
      </x:c>
      <x:c r="I900" s="9" t="n">
        <x:v>25.285</x:v>
      </x:c>
      <x:c r="J900" s="9" t="n">
        <x:v>51.51</x:v>
      </x:c>
      <x:c r="K900" s="2" t="n">
        <x:v>8</x:v>
      </x:c>
      <x:c r="L900" s="2" t="str">
        <x:v>Valid</x:v>
      </x:c>
      <x:c r="M900" s="2" t="str">
        <x:v>QR</x:v>
      </x:c>
      <x:c r="N900" s="2" t="n">
        <x:v>1</x:v>
      </x:c>
      <x:c r="O900" s="2" t="str">
        <x:v>Accepted</x:v>
      </x:c>
      <x:c r="P900" s="2" t="str">
        <x:v>S002</x:v>
      </x:c>
      <x:c r="Q900" s="2" t="str">
        <x:v>DEV002</x:v>
      </x:c>
      <x:c r="R900" s="2" t="n">
        <x:v>2</x:v>
      </x:c>
      <x:c r="S900" s="2" t="str">
        <x:v>Online</x:v>
      </x:c>
      <x:c r="T900" s="2" t="str">
        <x:v>Synced</x:v>
      </x:c>
    </x:row>
    <x:row r="901" ht="21" customHeight="1">
      <x:c r="A901" s="2" t="str">
        <x:v>EV000937</x:v>
      </x:c>
      <x:c r="B901" s="2" t="str">
        <x:v>T20261005-5-3</x:v>
      </x:c>
      <x:c r="C901" s="2" t="str">
        <x:v>ST112</x:v>
      </x:c>
      <x:c r="D901" s="2" t="str">
        <x:v>ca020aefc0d912af9ddca5c7ca7a2f51</x:v>
      </x:c>
      <x:c r="E901" s="2" t="str">
        <x:v>CHECK_IN</x:v>
      </x:c>
      <x:c r="F901" s="8" t="n">
        <x:v>46300.70836805555</x:v>
      </x:c>
      <x:c r="G901" s="8" t="n">
        <x:v>46300.7083912037</x:v>
      </x:c>
      <x:c r="H901" s="2" t="str">
        <x:v>SCH01</x:v>
      </x:c>
      <x:c r="I901" s="9" t="n">
        <x:v>25.285</x:v>
      </x:c>
      <x:c r="J901" s="9" t="n">
        <x:v>51.51</x:v>
      </x:c>
      <x:c r="K901" s="2" t="n">
        <x:v>8</x:v>
      </x:c>
      <x:c r="L901" s="2" t="str">
        <x:v>Valid</x:v>
      </x:c>
      <x:c r="M901" s="2" t="str">
        <x:v>QR</x:v>
      </x:c>
      <x:c r="N901" s="2" t="n">
        <x:v>1</x:v>
      </x:c>
      <x:c r="O901" s="2" t="str">
        <x:v>Accepted</x:v>
      </x:c>
      <x:c r="P901" s="2" t="str">
        <x:v>S003</x:v>
      </x:c>
      <x:c r="Q901" s="2" t="str">
        <x:v>DEV003</x:v>
      </x:c>
      <x:c r="R901" s="2" t="n">
        <x:v>2</x:v>
      </x:c>
      <x:c r="S901" s="2" t="str">
        <x:v>Online</x:v>
      </x:c>
      <x:c r="T901" s="2" t="str">
        <x:v>Synced</x:v>
      </x:c>
    </x:row>
    <x:row r="902" ht="21" customHeight="1">
      <x:c r="A902" s="2" t="str">
        <x:v>EV000623</x:v>
      </x:c>
      <x:c r="B902" s="2" t="str">
        <x:v>T20261005-5-1</x:v>
      </x:c>
      <x:c r="C902" s="2" t="str">
        <x:v>ST033</x:v>
      </x:c>
      <x:c r="D902" s="2" t="str">
        <x:v>c9cc8ddf1b5bae8b49929340838e300a</x:v>
      </x:c>
      <x:c r="E902" s="2" t="str">
        <x:v>CHECK_IN</x:v>
      </x:c>
      <x:c r="F902" s="8" t="n">
        <x:v>46300.708402777775</x:v>
      </x:c>
      <x:c r="G902" s="8" t="n">
        <x:v>46300.70842592592</x:v>
      </x:c>
      <x:c r="H902" s="2" t="str">
        <x:v>SCH01</x:v>
      </x:c>
      <x:c r="I902" s="9" t="n">
        <x:v>25.285</x:v>
      </x:c>
      <x:c r="J902" s="9" t="n">
        <x:v>51.51</x:v>
      </x:c>
      <x:c r="K902" s="2" t="n">
        <x:v>8</x:v>
      </x:c>
      <x:c r="L902" s="2" t="str">
        <x:v>Valid</x:v>
      </x:c>
      <x:c r="M902" s="2" t="str">
        <x:v>QR</x:v>
      </x:c>
      <x:c r="N902" s="2" t="n">
        <x:v>1</x:v>
      </x:c>
      <x:c r="O902" s="2" t="str">
        <x:v>Accepted</x:v>
      </x:c>
      <x:c r="P902" s="2" t="str">
        <x:v>S001</x:v>
      </x:c>
      <x:c r="Q902" s="2" t="str">
        <x:v>DEV001</x:v>
      </x:c>
      <x:c r="R902" s="2" t="n">
        <x:v>3</x:v>
      </x:c>
      <x:c r="S902" s="2" t="str">
        <x:v>Online</x:v>
      </x:c>
      <x:c r="T902" s="2" t="str">
        <x:v>Synced</x:v>
      </x:c>
    </x:row>
    <x:row r="903" ht="21" customHeight="1">
      <x:c r="A903" s="2" t="str">
        <x:v>EV000779</x:v>
      </x:c>
      <x:c r="B903" s="2" t="str">
        <x:v>T20261005-5-2</x:v>
      </x:c>
      <x:c r="C903" s="2" t="str">
        <x:v>ST073</x:v>
      </x:c>
      <x:c r="D903" s="2" t="str">
        <x:v>b27180ce7590c0aac206d465f318b712</x:v>
      </x:c>
      <x:c r="E903" s="2" t="str">
        <x:v>CHECK_IN</x:v>
      </x:c>
      <x:c r="F903" s="8" t="n">
        <x:v>46300.708402777775</x:v>
      </x:c>
      <x:c r="G903" s="8" t="n">
        <x:v>46300.70842592592</x:v>
      </x:c>
      <x:c r="H903" s="2" t="str">
        <x:v>SCH01</x:v>
      </x:c>
      <x:c r="I903" s="9" t="n">
        <x:v>25.285</x:v>
      </x:c>
      <x:c r="J903" s="9" t="n">
        <x:v>51.51</x:v>
      </x:c>
      <x:c r="K903" s="2" t="n">
        <x:v>8</x:v>
      </x:c>
      <x:c r="L903" s="2" t="str">
        <x:v>Valid</x:v>
      </x:c>
      <x:c r="M903" s="2" t="str">
        <x:v>QR</x:v>
      </x:c>
      <x:c r="N903" s="2" t="n">
        <x:v>1</x:v>
      </x:c>
      <x:c r="O903" s="2" t="str">
        <x:v>Accepted</x:v>
      </x:c>
      <x:c r="P903" s="2" t="str">
        <x:v>S002</x:v>
      </x:c>
      <x:c r="Q903" s="2" t="str">
        <x:v>DEV002</x:v>
      </x:c>
      <x:c r="R903" s="2" t="n">
        <x:v>3</x:v>
      </x:c>
      <x:c r="S903" s="2" t="str">
        <x:v>Online</x:v>
      </x:c>
      <x:c r="T903" s="2" t="str">
        <x:v>Synced</x:v>
      </x:c>
    </x:row>
    <x:row r="904" ht="21" customHeight="1">
      <x:c r="A904" s="2" t="str">
        <x:v>EV000939</x:v>
      </x:c>
      <x:c r="B904" s="2" t="str">
        <x:v>T20261005-5-3</x:v>
      </x:c>
      <x:c r="C904" s="2" t="str">
        <x:v>ST113</x:v>
      </x:c>
      <x:c r="D904" s="2" t="str">
        <x:v>c3781e168737a6cc1190d4415801c440</x:v>
      </x:c>
      <x:c r="E904" s="2" t="str">
        <x:v>CHECK_IN</x:v>
      </x:c>
      <x:c r="F904" s="8" t="n">
        <x:v>46300.708402777775</x:v>
      </x:c>
      <x:c r="G904" s="8" t="n">
        <x:v>46300.70842592592</x:v>
      </x:c>
      <x:c r="H904" s="2" t="str">
        <x:v>SCH01</x:v>
      </x:c>
      <x:c r="I904" s="9" t="n">
        <x:v>25.285</x:v>
      </x:c>
      <x:c r="J904" s="9" t="n">
        <x:v>51.51</x:v>
      </x:c>
      <x:c r="K904" s="2" t="n">
        <x:v>8</x:v>
      </x:c>
      <x:c r="L904" s="2" t="str">
        <x:v>Valid</x:v>
      </x:c>
      <x:c r="M904" s="2" t="str">
        <x:v>QR</x:v>
      </x:c>
      <x:c r="N904" s="2" t="n">
        <x:v>1</x:v>
      </x:c>
      <x:c r="O904" s="2" t="str">
        <x:v>Accepted</x:v>
      </x:c>
      <x:c r="P904" s="2" t="str">
        <x:v>S003</x:v>
      </x:c>
      <x:c r="Q904" s="2" t="str">
        <x:v>DEV003</x:v>
      </x:c>
      <x:c r="R904" s="2" t="n">
        <x:v>3</x:v>
      </x:c>
      <x:c r="S904" s="2" t="str">
        <x:v>Online</x:v>
      </x:c>
      <x:c r="T904" s="2" t="str">
        <x:v>Synced</x:v>
      </x:c>
    </x:row>
    <x:row r="905" ht="21" customHeight="1">
      <x:c r="A905" s="2" t="str">
        <x:v>EV000625</x:v>
      </x:c>
      <x:c r="B905" s="2" t="str">
        <x:v>T20261005-5-1</x:v>
      </x:c>
      <x:c r="C905" s="2" t="str">
        <x:v>ST034</x:v>
      </x:c>
      <x:c r="D905" s="2" t="str">
        <x:v>80fbe33bb2df8cab59b55f98f1c8a3d5</x:v>
      </x:c>
      <x:c r="E905" s="2" t="str">
        <x:v>CHECK_IN</x:v>
      </x:c>
      <x:c r="F905" s="8" t="n">
        <x:v>46300.7084375</x:v>
      </x:c>
      <x:c r="G905" s="8" t="n">
        <x:v>46300.708460648144</x:v>
      </x:c>
      <x:c r="H905" s="2" t="str">
        <x:v>SCH01</x:v>
      </x:c>
      <x:c r="I905" s="9" t="n">
        <x:v>25.285</x:v>
      </x:c>
      <x:c r="J905" s="9" t="n">
        <x:v>51.51</x:v>
      </x:c>
      <x:c r="K905" s="2" t="n">
        <x:v>8</x:v>
      </x:c>
      <x:c r="L905" s="2" t="str">
        <x:v>Valid</x:v>
      </x:c>
      <x:c r="M905" s="2" t="str">
        <x:v>QR</x:v>
      </x:c>
      <x:c r="N905" s="2" t="n">
        <x:v>1</x:v>
      </x:c>
      <x:c r="O905" s="2" t="str">
        <x:v>Accepted</x:v>
      </x:c>
      <x:c r="P905" s="2" t="str">
        <x:v>S001</x:v>
      </x:c>
      <x:c r="Q905" s="2" t="str">
        <x:v>DEV001</x:v>
      </x:c>
      <x:c r="R905" s="2" t="n">
        <x:v>4</x:v>
      </x:c>
      <x:c r="S905" s="2" t="str">
        <x:v>Online</x:v>
      </x:c>
      <x:c r="T905" s="2" t="str">
        <x:v>Synced</x:v>
      </x:c>
    </x:row>
    <x:row r="906" ht="21" customHeight="1">
      <x:c r="A906" s="2" t="str">
        <x:v>EV000781</x:v>
      </x:c>
      <x:c r="B906" s="2" t="str">
        <x:v>T20261005-5-2</x:v>
      </x:c>
      <x:c r="C906" s="2" t="str">
        <x:v>ST074</x:v>
      </x:c>
      <x:c r="D906" s="2" t="str">
        <x:v>a9bcbd7cecca4f17e235125ddf0adf7b</x:v>
      </x:c>
      <x:c r="E906" s="2" t="str">
        <x:v>CHECK_IN</x:v>
      </x:c>
      <x:c r="F906" s="8" t="n">
        <x:v>46300.7084375</x:v>
      </x:c>
      <x:c r="G906" s="8" t="n">
        <x:v>46300.708460648144</x:v>
      </x:c>
      <x:c r="H906" s="2" t="str">
        <x:v>SCH01</x:v>
      </x:c>
      <x:c r="I906" s="9" t="n">
        <x:v>25.285</x:v>
      </x:c>
      <x:c r="J906" s="9" t="n">
        <x:v>51.51</x:v>
      </x:c>
      <x:c r="K906" s="2" t="n">
        <x:v>8</x:v>
      </x:c>
      <x:c r="L906" s="2" t="str">
        <x:v>Valid</x:v>
      </x:c>
      <x:c r="M906" s="2" t="str">
        <x:v>QR</x:v>
      </x:c>
      <x:c r="N906" s="2" t="n">
        <x:v>1</x:v>
      </x:c>
      <x:c r="O906" s="2" t="str">
        <x:v>Accepted</x:v>
      </x:c>
      <x:c r="P906" s="2" t="str">
        <x:v>S002</x:v>
      </x:c>
      <x:c r="Q906" s="2" t="str">
        <x:v>DEV002</x:v>
      </x:c>
      <x:c r="R906" s="2" t="n">
        <x:v>4</x:v>
      </x:c>
      <x:c r="S906" s="2" t="str">
        <x:v>Online</x:v>
      </x:c>
      <x:c r="T906" s="2" t="str">
        <x:v>Synced</x:v>
      </x:c>
    </x:row>
    <x:row r="907" ht="21" customHeight="1">
      <x:c r="A907" s="2" t="str">
        <x:v>EV000941</x:v>
      </x:c>
      <x:c r="B907" s="2" t="str">
        <x:v>T20261005-5-3</x:v>
      </x:c>
      <x:c r="C907" s="2" t="str">
        <x:v>ST114</x:v>
      </x:c>
      <x:c r="D907" s="2" t="str">
        <x:v>a5c77bf3b082c3ab825b65c34f1c9f8c</x:v>
      </x:c>
      <x:c r="E907" s="2" t="str">
        <x:v>CHECK_IN</x:v>
      </x:c>
      <x:c r="F907" s="8" t="n">
        <x:v>46300.7084375</x:v>
      </x:c>
      <x:c r="G907" s="8" t="n">
        <x:v>46300.708460648144</x:v>
      </x:c>
      <x:c r="H907" s="2" t="str">
        <x:v>SCH01</x:v>
      </x:c>
      <x:c r="I907" s="9" t="n">
        <x:v>25.285</x:v>
      </x:c>
      <x:c r="J907" s="9" t="n">
        <x:v>51.51</x:v>
      </x:c>
      <x:c r="K907" s="2" t="n">
        <x:v>8</x:v>
      </x:c>
      <x:c r="L907" s="2" t="str">
        <x:v>Valid</x:v>
      </x:c>
      <x:c r="M907" s="2" t="str">
        <x:v>QR</x:v>
      </x:c>
      <x:c r="N907" s="2" t="n">
        <x:v>1</x:v>
      </x:c>
      <x:c r="O907" s="2" t="str">
        <x:v>Accepted</x:v>
      </x:c>
      <x:c r="P907" s="2" t="str">
        <x:v>S003</x:v>
      </x:c>
      <x:c r="Q907" s="2" t="str">
        <x:v>DEV003</x:v>
      </x:c>
      <x:c r="R907" s="2" t="n">
        <x:v>4</x:v>
      </x:c>
      <x:c r="S907" s="2" t="str">
        <x:v>Online</x:v>
      </x:c>
      <x:c r="T907" s="2" t="str">
        <x:v>Synced</x:v>
      </x:c>
    </x:row>
    <x:row r="908" ht="21" customHeight="1">
      <x:c r="A908" s="2" t="str">
        <x:v>EV000627</x:v>
      </x:c>
      <x:c r="B908" s="2" t="str">
        <x:v>T20261005-5-1</x:v>
      </x:c>
      <x:c r="C908" s="2" t="str">
        <x:v>ST035</x:v>
      </x:c>
      <x:c r="D908" s="2" t="str">
        <x:v>45068f3206e9be80993e83e259ea9cdc</x:v>
      </x:c>
      <x:c r="E908" s="2" t="str">
        <x:v>CHECK_IN</x:v>
      </x:c>
      <x:c r="F908" s="8" t="n">
        <x:v>46300.70847222222</x:v>
      </x:c>
      <x:c r="G908" s="8" t="n">
        <x:v>46300.70849537037</x:v>
      </x:c>
      <x:c r="H908" s="2" t="str">
        <x:v>SCH01</x:v>
      </x:c>
      <x:c r="I908" s="9" t="n">
        <x:v>25.285</x:v>
      </x:c>
      <x:c r="J908" s="9" t="n">
        <x:v>51.51</x:v>
      </x:c>
      <x:c r="K908" s="2" t="n">
        <x:v>8</x:v>
      </x:c>
      <x:c r="L908" s="2" t="str">
        <x:v>Valid</x:v>
      </x:c>
      <x:c r="M908" s="2" t="str">
        <x:v>QR</x:v>
      </x:c>
      <x:c r="N908" s="2" t="n">
        <x:v>1</x:v>
      </x:c>
      <x:c r="O908" s="2" t="str">
        <x:v>Accepted</x:v>
      </x:c>
      <x:c r="P908" s="2" t="str">
        <x:v>S001</x:v>
      </x:c>
      <x:c r="Q908" s="2" t="str">
        <x:v>DEV001</x:v>
      </x:c>
      <x:c r="R908" s="2" t="n">
        <x:v>5</x:v>
      </x:c>
      <x:c r="S908" s="2" t="str">
        <x:v>Online</x:v>
      </x:c>
      <x:c r="T908" s="2" t="str">
        <x:v>Synced</x:v>
      </x:c>
    </x:row>
    <x:row r="909" ht="21" customHeight="1">
      <x:c r="A909" s="2" t="str">
        <x:v>EV000783</x:v>
      </x:c>
      <x:c r="B909" s="2" t="str">
        <x:v>T20261005-5-2</x:v>
      </x:c>
      <x:c r="C909" s="2" t="str">
        <x:v>ST075</x:v>
      </x:c>
      <x:c r="D909" s="2" t="str">
        <x:v>3781d00e457977b726407cb845a294cc</x:v>
      </x:c>
      <x:c r="E909" s="2" t="str">
        <x:v>CHECK_IN</x:v>
      </x:c>
      <x:c r="F909" s="8" t="n">
        <x:v>46300.70847222222</x:v>
      </x:c>
      <x:c r="G909" s="8" t="n">
        <x:v>46300.70849537037</x:v>
      </x:c>
      <x:c r="H909" s="2" t="str">
        <x:v>SCH01</x:v>
      </x:c>
      <x:c r="I909" s="9" t="n">
        <x:v>25.285</x:v>
      </x:c>
      <x:c r="J909" s="9" t="n">
        <x:v>51.51</x:v>
      </x:c>
      <x:c r="K909" s="2" t="n">
        <x:v>8</x:v>
      </x:c>
      <x:c r="L909" s="2" t="str">
        <x:v>Valid</x:v>
      </x:c>
      <x:c r="M909" s="2" t="str">
        <x:v>QR</x:v>
      </x:c>
      <x:c r="N909" s="2" t="n">
        <x:v>1</x:v>
      </x:c>
      <x:c r="O909" s="2" t="str">
        <x:v>Accepted</x:v>
      </x:c>
      <x:c r="P909" s="2" t="str">
        <x:v>S002</x:v>
      </x:c>
      <x:c r="Q909" s="2" t="str">
        <x:v>DEV002</x:v>
      </x:c>
      <x:c r="R909" s="2" t="n">
        <x:v>5</x:v>
      </x:c>
      <x:c r="S909" s="2" t="str">
        <x:v>Online</x:v>
      </x:c>
      <x:c r="T909" s="2" t="str">
        <x:v>Synced</x:v>
      </x:c>
    </x:row>
    <x:row r="910" ht="21" customHeight="1">
      <x:c r="A910" s="2" t="str">
        <x:v>EV000943</x:v>
      </x:c>
      <x:c r="B910" s="2" t="str">
        <x:v>T20261005-5-3</x:v>
      </x:c>
      <x:c r="C910" s="2" t="str">
        <x:v>ST115</x:v>
      </x:c>
      <x:c r="D910" s="2" t="str">
        <x:v>dc951b9fd5f4acb1dc2ce3ca2f2e08ab</x:v>
      </x:c>
      <x:c r="E910" s="2" t="str">
        <x:v>CHECK_IN</x:v>
      </x:c>
      <x:c r="F910" s="8" t="n">
        <x:v>46300.70847222222</x:v>
      </x:c>
      <x:c r="G910" s="8" t="n">
        <x:v>46300.70849537037</x:v>
      </x:c>
      <x:c r="H910" s="2" t="str">
        <x:v>SCH01</x:v>
      </x:c>
      <x:c r="I910" s="9" t="n">
        <x:v>25.285</x:v>
      </x:c>
      <x:c r="J910" s="9" t="n">
        <x:v>51.51</x:v>
      </x:c>
      <x:c r="K910" s="2" t="n">
        <x:v>8</x:v>
      </x:c>
      <x:c r="L910" s="2" t="str">
        <x:v>Valid</x:v>
      </x:c>
      <x:c r="M910" s="2" t="str">
        <x:v>QR</x:v>
      </x:c>
      <x:c r="N910" s="2" t="n">
        <x:v>1</x:v>
      </x:c>
      <x:c r="O910" s="2" t="str">
        <x:v>Accepted</x:v>
      </x:c>
      <x:c r="P910" s="2" t="str">
        <x:v>S003</x:v>
      </x:c>
      <x:c r="Q910" s="2" t="str">
        <x:v>DEV003</x:v>
      </x:c>
      <x:c r="R910" s="2" t="n">
        <x:v>5</x:v>
      </x:c>
      <x:c r="S910" s="2" t="str">
        <x:v>Online</x:v>
      </x:c>
      <x:c r="T910" s="2" t="str">
        <x:v>Synced</x:v>
      </x:c>
    </x:row>
    <x:row r="911" ht="21" customHeight="1">
      <x:c r="A911" s="2" t="str">
        <x:v>EV000629</x:v>
      </x:c>
      <x:c r="B911" s="2" t="str">
        <x:v>T20261005-5-1</x:v>
      </x:c>
      <x:c r="C911" s="2" t="str">
        <x:v>ST036</x:v>
      </x:c>
      <x:c r="D911" s="2" t="str">
        <x:v>7e42555e63455121ac9f1b3710bc905c</x:v>
      </x:c>
      <x:c r="E911" s="2" t="str">
        <x:v>CHECK_IN</x:v>
      </x:c>
      <x:c r="F911" s="8" t="n">
        <x:v>46300.70850694444</x:v>
      </x:c>
      <x:c r="G911" s="8" t="n">
        <x:v>46300.70853009258</x:v>
      </x:c>
      <x:c r="H911" s="2" t="str">
        <x:v>SCH01</x:v>
      </x:c>
      <x:c r="I911" s="9" t="n">
        <x:v>25.285</x:v>
      </x:c>
      <x:c r="J911" s="9" t="n">
        <x:v>51.51</x:v>
      </x:c>
      <x:c r="K911" s="2" t="n">
        <x:v>8</x:v>
      </x:c>
      <x:c r="L911" s="2" t="str">
        <x:v>Valid</x:v>
      </x:c>
      <x:c r="M911" s="2" t="str">
        <x:v>QR</x:v>
      </x:c>
      <x:c r="N911" s="2" t="n">
        <x:v>1</x:v>
      </x:c>
      <x:c r="O911" s="2" t="str">
        <x:v>Accepted</x:v>
      </x:c>
      <x:c r="P911" s="2" t="str">
        <x:v>S001</x:v>
      </x:c>
      <x:c r="Q911" s="2" t="str">
        <x:v>DEV001</x:v>
      </x:c>
      <x:c r="R911" s="2" t="n">
        <x:v>6</x:v>
      </x:c>
      <x:c r="S911" s="2" t="str">
        <x:v>Online</x:v>
      </x:c>
      <x:c r="T911" s="2" t="str">
        <x:v>Synced</x:v>
      </x:c>
    </x:row>
    <x:row r="912" ht="21" customHeight="1">
      <x:c r="A912" s="2" t="str">
        <x:v>EV000785</x:v>
      </x:c>
      <x:c r="B912" s="2" t="str">
        <x:v>T20261005-5-2</x:v>
      </x:c>
      <x:c r="C912" s="2" t="str">
        <x:v>ST076</x:v>
      </x:c>
      <x:c r="D912" s="2" t="str">
        <x:v>08979b9eef223b076885fe932d9f2bca</x:v>
      </x:c>
      <x:c r="E912" s="2" t="str">
        <x:v>CHECK_IN</x:v>
      </x:c>
      <x:c r="F912" s="8" t="n">
        <x:v>46300.70850694444</x:v>
      </x:c>
      <x:c r="G912" s="8" t="n">
        <x:v>46300.70853009258</x:v>
      </x:c>
      <x:c r="H912" s="2" t="str">
        <x:v>SCH01</x:v>
      </x:c>
      <x:c r="I912" s="9" t="n">
        <x:v>25.285</x:v>
      </x:c>
      <x:c r="J912" s="9" t="n">
        <x:v>51.51</x:v>
      </x:c>
      <x:c r="K912" s="2" t="n">
        <x:v>8</x:v>
      </x:c>
      <x:c r="L912" s="2" t="str">
        <x:v>Valid</x:v>
      </x:c>
      <x:c r="M912" s="2" t="str">
        <x:v>QR</x:v>
      </x:c>
      <x:c r="N912" s="2" t="n">
        <x:v>1</x:v>
      </x:c>
      <x:c r="O912" s="2" t="str">
        <x:v>Accepted</x:v>
      </x:c>
      <x:c r="P912" s="2" t="str">
        <x:v>S002</x:v>
      </x:c>
      <x:c r="Q912" s="2" t="str">
        <x:v>DEV002</x:v>
      </x:c>
      <x:c r="R912" s="2" t="n">
        <x:v>6</x:v>
      </x:c>
      <x:c r="S912" s="2" t="str">
        <x:v>Online</x:v>
      </x:c>
      <x:c r="T912" s="2" t="str">
        <x:v>Synced</x:v>
      </x:c>
    </x:row>
    <x:row r="913" ht="21" customHeight="1">
      <x:c r="A913" s="2" t="str">
        <x:v>EV000945</x:v>
      </x:c>
      <x:c r="B913" s="2" t="str">
        <x:v>T20261005-5-3</x:v>
      </x:c>
      <x:c r="C913" s="2" t="str">
        <x:v>ST116</x:v>
      </x:c>
      <x:c r="D913" s="2" t="str">
        <x:v>1c1fddc89afc564845795907cf1b7b0e</x:v>
      </x:c>
      <x:c r="E913" s="2" t="str">
        <x:v>CHECK_IN</x:v>
      </x:c>
      <x:c r="F913" s="8" t="n">
        <x:v>46300.70850694444</x:v>
      </x:c>
      <x:c r="G913" s="8" t="n">
        <x:v>46300.70853009258</x:v>
      </x:c>
      <x:c r="H913" s="2" t="str">
        <x:v>SCH01</x:v>
      </x:c>
      <x:c r="I913" s="9" t="n">
        <x:v>25.285</x:v>
      </x:c>
      <x:c r="J913" s="9" t="n">
        <x:v>51.51</x:v>
      </x:c>
      <x:c r="K913" s="2" t="n">
        <x:v>8</x:v>
      </x:c>
      <x:c r="L913" s="2" t="str">
        <x:v>Valid</x:v>
      </x:c>
      <x:c r="M913" s="2" t="str">
        <x:v>QR</x:v>
      </x:c>
      <x:c r="N913" s="2" t="n">
        <x:v>1</x:v>
      </x:c>
      <x:c r="O913" s="2" t="str">
        <x:v>Accepted</x:v>
      </x:c>
      <x:c r="P913" s="2" t="str">
        <x:v>S003</x:v>
      </x:c>
      <x:c r="Q913" s="2" t="str">
        <x:v>DEV003</x:v>
      </x:c>
      <x:c r="R913" s="2" t="n">
        <x:v>6</x:v>
      </x:c>
      <x:c r="S913" s="2" t="str">
        <x:v>Online</x:v>
      </x:c>
      <x:c r="T913" s="2" t="str">
        <x:v>Synced</x:v>
      </x:c>
    </x:row>
    <x:row r="914" ht="21" customHeight="1">
      <x:c r="A914" s="2" t="str">
        <x:v>EV000631</x:v>
      </x:c>
      <x:c r="B914" s="2" t="str">
        <x:v>T20261005-5-1</x:v>
      </x:c>
      <x:c r="C914" s="2" t="str">
        <x:v>ST037</x:v>
      </x:c>
      <x:c r="D914" s="2" t="str">
        <x:v>eb6cdfa5572c8f6959c8b9c84b8ec493</x:v>
      </x:c>
      <x:c r="E914" s="2" t="str">
        <x:v>CHECK_IN</x:v>
      </x:c>
      <x:c r="F914" s="8" t="n">
        <x:v>46300.70854166666</x:v>
      </x:c>
      <x:c r="G914" s="8" t="n">
        <x:v>46300.708564814806</x:v>
      </x:c>
      <x:c r="H914" s="2" t="str">
        <x:v>SCH01</x:v>
      </x:c>
      <x:c r="I914" s="9" t="n">
        <x:v>25.285</x:v>
      </x:c>
      <x:c r="J914" s="9" t="n">
        <x:v>51.51</x:v>
      </x:c>
      <x:c r="K914" s="2" t="n">
        <x:v>8</x:v>
      </x:c>
      <x:c r="L914" s="2" t="str">
        <x:v>Valid</x:v>
      </x:c>
      <x:c r="M914" s="2" t="str">
        <x:v>QR</x:v>
      </x:c>
      <x:c r="N914" s="2" t="n">
        <x:v>1</x:v>
      </x:c>
      <x:c r="O914" s="2" t="str">
        <x:v>Accepted</x:v>
      </x:c>
      <x:c r="P914" s="2" t="str">
        <x:v>S001</x:v>
      </x:c>
      <x:c r="Q914" s="2" t="str">
        <x:v>DEV001</x:v>
      </x:c>
      <x:c r="R914" s="2" t="n">
        <x:v>7</x:v>
      </x:c>
      <x:c r="S914" s="2" t="str">
        <x:v>Online</x:v>
      </x:c>
      <x:c r="T914" s="2" t="str">
        <x:v>Synced</x:v>
      </x:c>
    </x:row>
    <x:row r="915" ht="21" customHeight="1">
      <x:c r="A915" s="2" t="str">
        <x:v>EV000787</x:v>
      </x:c>
      <x:c r="B915" s="2" t="str">
        <x:v>T20261005-5-2</x:v>
      </x:c>
      <x:c r="C915" s="2" t="str">
        <x:v>ST077</x:v>
      </x:c>
      <x:c r="D915" s="2" t="str">
        <x:v>af7b8314f6c372daf48e6b95332f6a0f</x:v>
      </x:c>
      <x:c r="E915" s="2" t="str">
        <x:v>CHECK_IN</x:v>
      </x:c>
      <x:c r="F915" s="8" t="n">
        <x:v>46300.70854166666</x:v>
      </x:c>
      <x:c r="G915" s="8" t="n">
        <x:v>46300.708564814806</x:v>
      </x:c>
      <x:c r="H915" s="2" t="str">
        <x:v>SCH01</x:v>
      </x:c>
      <x:c r="I915" s="9" t="n">
        <x:v>25.285</x:v>
      </x:c>
      <x:c r="J915" s="9" t="n">
        <x:v>51.51</x:v>
      </x:c>
      <x:c r="K915" s="2" t="n">
        <x:v>8</x:v>
      </x:c>
      <x:c r="L915" s="2" t="str">
        <x:v>Valid</x:v>
      </x:c>
      <x:c r="M915" s="2" t="str">
        <x:v>QR</x:v>
      </x:c>
      <x:c r="N915" s="2" t="n">
        <x:v>1</x:v>
      </x:c>
      <x:c r="O915" s="2" t="str">
        <x:v>Accepted</x:v>
      </x:c>
      <x:c r="P915" s="2" t="str">
        <x:v>S002</x:v>
      </x:c>
      <x:c r="Q915" s="2" t="str">
        <x:v>DEV002</x:v>
      </x:c>
      <x:c r="R915" s="2" t="n">
        <x:v>7</x:v>
      </x:c>
      <x:c r="S915" s="2" t="str">
        <x:v>Online</x:v>
      </x:c>
      <x:c r="T915" s="2" t="str">
        <x:v>Synced</x:v>
      </x:c>
    </x:row>
    <x:row r="916" ht="21" customHeight="1">
      <x:c r="A916" s="2" t="str">
        <x:v>EV000947</x:v>
      </x:c>
      <x:c r="B916" s="2" t="str">
        <x:v>T20261005-5-3</x:v>
      </x:c>
      <x:c r="C916" s="2" t="str">
        <x:v>ST117</x:v>
      </x:c>
      <x:c r="D916" s="2" t="str">
        <x:v>195a54aea4adbe89371209e73878e4fe</x:v>
      </x:c>
      <x:c r="E916" s="2" t="str">
        <x:v>CHECK_IN</x:v>
      </x:c>
      <x:c r="F916" s="8" t="n">
        <x:v>46300.70854166666</x:v>
      </x:c>
      <x:c r="G916" s="8" t="n">
        <x:v>46300.708564814806</x:v>
      </x:c>
      <x:c r="H916" s="2" t="str">
        <x:v>SCH01</x:v>
      </x:c>
      <x:c r="I916" s="9" t="n">
        <x:v>25.285</x:v>
      </x:c>
      <x:c r="J916" s="9" t="n">
        <x:v>51.51</x:v>
      </x:c>
      <x:c r="K916" s="2" t="n">
        <x:v>8</x:v>
      </x:c>
      <x:c r="L916" s="2" t="str">
        <x:v>Valid</x:v>
      </x:c>
      <x:c r="M916" s="2" t="str">
        <x:v>QR</x:v>
      </x:c>
      <x:c r="N916" s="2" t="n">
        <x:v>1</x:v>
      </x:c>
      <x:c r="O916" s="2" t="str">
        <x:v>Accepted</x:v>
      </x:c>
      <x:c r="P916" s="2" t="str">
        <x:v>S003</x:v>
      </x:c>
      <x:c r="Q916" s="2" t="str">
        <x:v>DEV003</x:v>
      </x:c>
      <x:c r="R916" s="2" t="n">
        <x:v>7</x:v>
      </x:c>
      <x:c r="S916" s="2" t="str">
        <x:v>Online</x:v>
      </x:c>
      <x:c r="T916" s="2" t="str">
        <x:v>Synced</x:v>
      </x:c>
    </x:row>
    <x:row r="917" ht="21" customHeight="1">
      <x:c r="A917" s="2" t="str">
        <x:v>EV000633</x:v>
      </x:c>
      <x:c r="B917" s="2" t="str">
        <x:v>T20261005-5-1</x:v>
      </x:c>
      <x:c r="C917" s="2" t="str">
        <x:v>ST038</x:v>
      </x:c>
      <x:c r="D917" s="2" t="str">
        <x:v>1ebedd777293ba897970ae7fc06b6301</x:v>
      </x:c>
      <x:c r="E917" s="2" t="str">
        <x:v>CHECK_IN</x:v>
      </x:c>
      <x:c r="F917" s="8" t="n">
        <x:v>46300.70857638888</x:v>
      </x:c>
      <x:c r="G917" s="8" t="n">
        <x:v>46300.70859953703</x:v>
      </x:c>
      <x:c r="H917" s="2" t="str">
        <x:v>SCH01</x:v>
      </x:c>
      <x:c r="I917" s="9" t="n">
        <x:v>25.285</x:v>
      </x:c>
      <x:c r="J917" s="9" t="n">
        <x:v>51.51</x:v>
      </x:c>
      <x:c r="K917" s="2" t="n">
        <x:v>8</x:v>
      </x:c>
      <x:c r="L917" s="2" t="str">
        <x:v>Valid</x:v>
      </x:c>
      <x:c r="M917" s="2" t="str">
        <x:v>QR</x:v>
      </x:c>
      <x:c r="N917" s="2" t="n">
        <x:v>1</x:v>
      </x:c>
      <x:c r="O917" s="2" t="str">
        <x:v>Accepted</x:v>
      </x:c>
      <x:c r="P917" s="2" t="str">
        <x:v>S001</x:v>
      </x:c>
      <x:c r="Q917" s="2" t="str">
        <x:v>DEV001</x:v>
      </x:c>
      <x:c r="R917" s="2" t="n">
        <x:v>8</x:v>
      </x:c>
      <x:c r="S917" s="2" t="str">
        <x:v>Online</x:v>
      </x:c>
      <x:c r="T917" s="2" t="str">
        <x:v>Synced</x:v>
      </x:c>
    </x:row>
    <x:row r="918" ht="21" customHeight="1">
      <x:c r="A918" s="2" t="str">
        <x:v>EV000789</x:v>
      </x:c>
      <x:c r="B918" s="2" t="str">
        <x:v>T20261005-5-2</x:v>
      </x:c>
      <x:c r="C918" s="2" t="str">
        <x:v>ST078</x:v>
      </x:c>
      <x:c r="D918" s="2" t="str">
        <x:v>737ab4e672bf11e638a47ae295f7e187</x:v>
      </x:c>
      <x:c r="E918" s="2" t="str">
        <x:v>CHECK_IN</x:v>
      </x:c>
      <x:c r="F918" s="8" t="n">
        <x:v>46300.70857638888</x:v>
      </x:c>
      <x:c r="G918" s="8" t="n">
        <x:v>46300.70859953703</x:v>
      </x:c>
      <x:c r="H918" s="2" t="str">
        <x:v>SCH01</x:v>
      </x:c>
      <x:c r="I918" s="9" t="n">
        <x:v>25.285</x:v>
      </x:c>
      <x:c r="J918" s="9" t="n">
        <x:v>51.51</x:v>
      </x:c>
      <x:c r="K918" s="2" t="n">
        <x:v>8</x:v>
      </x:c>
      <x:c r="L918" s="2" t="str">
        <x:v>Valid</x:v>
      </x:c>
      <x:c r="M918" s="2" t="str">
        <x:v>QR</x:v>
      </x:c>
      <x:c r="N918" s="2" t="n">
        <x:v>1</x:v>
      </x:c>
      <x:c r="O918" s="2" t="str">
        <x:v>Accepted</x:v>
      </x:c>
      <x:c r="P918" s="2" t="str">
        <x:v>S002</x:v>
      </x:c>
      <x:c r="Q918" s="2" t="str">
        <x:v>DEV002</x:v>
      </x:c>
      <x:c r="R918" s="2" t="n">
        <x:v>8</x:v>
      </x:c>
      <x:c r="S918" s="2" t="str">
        <x:v>Online</x:v>
      </x:c>
      <x:c r="T918" s="2" t="str">
        <x:v>Synced</x:v>
      </x:c>
    </x:row>
    <x:row r="919" ht="21" customHeight="1">
      <x:c r="A919" s="2" t="str">
        <x:v>EV000949</x:v>
      </x:c>
      <x:c r="B919" s="2" t="str">
        <x:v>T20261005-5-3</x:v>
      </x:c>
      <x:c r="C919" s="2" t="str">
        <x:v>ST118</x:v>
      </x:c>
      <x:c r="D919" s="2" t="str">
        <x:v>b15012a6111b47a10bdbbcbbd00c9f60</x:v>
      </x:c>
      <x:c r="E919" s="2" t="str">
        <x:v>CHECK_IN</x:v>
      </x:c>
      <x:c r="F919" s="8" t="n">
        <x:v>46300.70857638888</x:v>
      </x:c>
      <x:c r="G919" s="8" t="n">
        <x:v>46300.70859953703</x:v>
      </x:c>
      <x:c r="H919" s="2" t="str">
        <x:v>SCH01</x:v>
      </x:c>
      <x:c r="I919" s="9" t="n">
        <x:v>25.285</x:v>
      </x:c>
      <x:c r="J919" s="9" t="n">
        <x:v>51.51</x:v>
      </x:c>
      <x:c r="K919" s="2" t="n">
        <x:v>8</x:v>
      </x:c>
      <x:c r="L919" s="2" t="str">
        <x:v>Valid</x:v>
      </x:c>
      <x:c r="M919" s="2" t="str">
        <x:v>QR</x:v>
      </x:c>
      <x:c r="N919" s="2" t="n">
        <x:v>1</x:v>
      </x:c>
      <x:c r="O919" s="2" t="str">
        <x:v>Accepted</x:v>
      </x:c>
      <x:c r="P919" s="2" t="str">
        <x:v>S003</x:v>
      </x:c>
      <x:c r="Q919" s="2" t="str">
        <x:v>DEV003</x:v>
      </x:c>
      <x:c r="R919" s="2" t="n">
        <x:v>8</x:v>
      </x:c>
      <x:c r="S919" s="2" t="str">
        <x:v>Online</x:v>
      </x:c>
      <x:c r="T919" s="2" t="str">
        <x:v>Synced</x:v>
      </x:c>
    </x:row>
    <x:row r="920" ht="21" customHeight="1">
      <x:c r="A920" s="2" t="str">
        <x:v>EV000635</x:v>
      </x:c>
      <x:c r="B920" s="2" t="str">
        <x:v>T20261005-5-1</x:v>
      </x:c>
      <x:c r="C920" s="2" t="str">
        <x:v>ST039</x:v>
      </x:c>
      <x:c r="D920" s="2" t="str">
        <x:v>31ed548c9c06f555ac72ac2281bbb58a</x:v>
      </x:c>
      <x:c r="E920" s="2" t="str">
        <x:v>CHECK_IN</x:v>
      </x:c>
      <x:c r="F920" s="8" t="n">
        <x:v>46300.708611111106</x:v>
      </x:c>
      <x:c r="G920" s="8" t="n">
        <x:v>46300.70863425925</x:v>
      </x:c>
      <x:c r="H920" s="2" t="str">
        <x:v>SCH01</x:v>
      </x:c>
      <x:c r="I920" s="9" t="n">
        <x:v>25.285</x:v>
      </x:c>
      <x:c r="J920" s="9" t="n">
        <x:v>51.51</x:v>
      </x:c>
      <x:c r="K920" s="2" t="n">
        <x:v>8</x:v>
      </x:c>
      <x:c r="L920" s="2" t="str">
        <x:v>Valid</x:v>
      </x:c>
      <x:c r="M920" s="2" t="str">
        <x:v>QR</x:v>
      </x:c>
      <x:c r="N920" s="2" t="n">
        <x:v>1</x:v>
      </x:c>
      <x:c r="O920" s="2" t="str">
        <x:v>Accepted</x:v>
      </x:c>
      <x:c r="P920" s="2" t="str">
        <x:v>S001</x:v>
      </x:c>
      <x:c r="Q920" s="2" t="str">
        <x:v>DEV001</x:v>
      </x:c>
      <x:c r="R920" s="2" t="n">
        <x:v>9</x:v>
      </x:c>
      <x:c r="S920" s="2" t="str">
        <x:v>Online</x:v>
      </x:c>
      <x:c r="T920" s="2" t="str">
        <x:v>Synced</x:v>
      </x:c>
    </x:row>
    <x:row r="921" ht="21" customHeight="1">
      <x:c r="A921" s="2" t="str">
        <x:v>EV000791</x:v>
      </x:c>
      <x:c r="B921" s="2" t="str">
        <x:v>T20261005-5-2</x:v>
      </x:c>
      <x:c r="C921" s="2" t="str">
        <x:v>ST079</x:v>
      </x:c>
      <x:c r="D921" s="2" t="str">
        <x:v>3a794a47ff11773398f2344554eeea57</x:v>
      </x:c>
      <x:c r="E921" s="2" t="str">
        <x:v>CHECK_IN</x:v>
      </x:c>
      <x:c r="F921" s="8" t="n">
        <x:v>46300.708611111106</x:v>
      </x:c>
      <x:c r="G921" s="8" t="n">
        <x:v>46300.70863425925</x:v>
      </x:c>
      <x:c r="H921" s="2" t="str">
        <x:v>SCH01</x:v>
      </x:c>
      <x:c r="I921" s="9" t="n">
        <x:v>25.285</x:v>
      </x:c>
      <x:c r="J921" s="9" t="n">
        <x:v>51.51</x:v>
      </x:c>
      <x:c r="K921" s="2" t="n">
        <x:v>8</x:v>
      </x:c>
      <x:c r="L921" s="2" t="str">
        <x:v>Valid</x:v>
      </x:c>
      <x:c r="M921" s="2" t="str">
        <x:v>QR</x:v>
      </x:c>
      <x:c r="N921" s="2" t="n">
        <x:v>1</x:v>
      </x:c>
      <x:c r="O921" s="2" t="str">
        <x:v>Accepted</x:v>
      </x:c>
      <x:c r="P921" s="2" t="str">
        <x:v>S002</x:v>
      </x:c>
      <x:c r="Q921" s="2" t="str">
        <x:v>DEV002</x:v>
      </x:c>
      <x:c r="R921" s="2" t="n">
        <x:v>9</x:v>
      </x:c>
      <x:c r="S921" s="2" t="str">
        <x:v>Online</x:v>
      </x:c>
      <x:c r="T921" s="2" t="str">
        <x:v>Synced</x:v>
      </x:c>
    </x:row>
    <x:row r="922" ht="21" customHeight="1">
      <x:c r="A922" s="2" t="str">
        <x:v>EV000951</x:v>
      </x:c>
      <x:c r="B922" s="2" t="str">
        <x:v>T20261005-5-3</x:v>
      </x:c>
      <x:c r="C922" s="2" t="str">
        <x:v>ST119</x:v>
      </x:c>
      <x:c r="D922" s="2" t="str">
        <x:v>c01a05a48293e3b7c907c4b326c0d0a8</x:v>
      </x:c>
      <x:c r="E922" s="2" t="str">
        <x:v>CHECK_IN</x:v>
      </x:c>
      <x:c r="F922" s="8" t="n">
        <x:v>46300.708611111106</x:v>
      </x:c>
      <x:c r="G922" s="8" t="n">
        <x:v>46300.70863425925</x:v>
      </x:c>
      <x:c r="H922" s="2" t="str">
        <x:v>SCH01</x:v>
      </x:c>
      <x:c r="I922" s="9" t="n">
        <x:v>25.285</x:v>
      </x:c>
      <x:c r="J922" s="9" t="n">
        <x:v>51.51</x:v>
      </x:c>
      <x:c r="K922" s="2" t="n">
        <x:v>8</x:v>
      </x:c>
      <x:c r="L922" s="2" t="str">
        <x:v>Valid</x:v>
      </x:c>
      <x:c r="M922" s="2" t="str">
        <x:v>QR</x:v>
      </x:c>
      <x:c r="N922" s="2" t="n">
        <x:v>1</x:v>
      </x:c>
      <x:c r="O922" s="2" t="str">
        <x:v>Accepted</x:v>
      </x:c>
      <x:c r="P922" s="2" t="str">
        <x:v>S003</x:v>
      </x:c>
      <x:c r="Q922" s="2" t="str">
        <x:v>DEV003</x:v>
      </x:c>
      <x:c r="R922" s="2" t="n">
        <x:v>9</x:v>
      </x:c>
      <x:c r="S922" s="2" t="str">
        <x:v>Online</x:v>
      </x:c>
      <x:c r="T922" s="2" t="str">
        <x:v>Synced</x:v>
      </x:c>
    </x:row>
    <x:row r="923" ht="21" customHeight="1">
      <x:c r="A923" s="2" t="str">
        <x:v>EV000637</x:v>
      </x:c>
      <x:c r="B923" s="2" t="str">
        <x:v>T20261005-5-1</x:v>
      </x:c>
      <x:c r="C923" s="2" t="str">
        <x:v>ST040</x:v>
      </x:c>
      <x:c r="D923" s="2" t="str">
        <x:v>4cd5e507bb3c8af27cd11d16138dcec0</x:v>
      </x:c>
      <x:c r="E923" s="2" t="str">
        <x:v>CHECK_IN</x:v>
      </x:c>
      <x:c r="F923" s="8" t="n">
        <x:v>46300.70864583333</x:v>
      </x:c>
      <x:c r="G923" s="8" t="n">
        <x:v>46300.708668981475</x:v>
      </x:c>
      <x:c r="H923" s="2" t="str">
        <x:v>SCH01</x:v>
      </x:c>
      <x:c r="I923" s="9" t="n">
        <x:v>25.285</x:v>
      </x:c>
      <x:c r="J923" s="9" t="n">
        <x:v>51.51</x:v>
      </x:c>
      <x:c r="K923" s="2" t="n">
        <x:v>8</x:v>
      </x:c>
      <x:c r="L923" s="2" t="str">
        <x:v>Valid</x:v>
      </x:c>
      <x:c r="M923" s="2" t="str">
        <x:v>QR</x:v>
      </x:c>
      <x:c r="N923" s="2" t="n">
        <x:v>1</x:v>
      </x:c>
      <x:c r="O923" s="2" t="str">
        <x:v>Accepted</x:v>
      </x:c>
      <x:c r="P923" s="2" t="str">
        <x:v>S001</x:v>
      </x:c>
      <x:c r="Q923" s="2" t="str">
        <x:v>DEV001</x:v>
      </x:c>
      <x:c r="R923" s="2" t="n">
        <x:v>10</x:v>
      </x:c>
      <x:c r="S923" s="2" t="str">
        <x:v>Online</x:v>
      </x:c>
      <x:c r="T923" s="2" t="str">
        <x:v>Synced</x:v>
      </x:c>
    </x:row>
    <x:row r="924" ht="21" customHeight="1">
      <x:c r="A924" s="2" t="str">
        <x:v>EV000793</x:v>
      </x:c>
      <x:c r="B924" s="2" t="str">
        <x:v>T20261005-5-2</x:v>
      </x:c>
      <x:c r="C924" s="2" t="str">
        <x:v>ST080</x:v>
      </x:c>
      <x:c r="D924" s="2" t="str">
        <x:v>0abaf17d1472c0347862177fd9880be2</x:v>
      </x:c>
      <x:c r="E924" s="2" t="str">
        <x:v>CHECK_IN</x:v>
      </x:c>
      <x:c r="F924" s="8" t="n">
        <x:v>46300.70864583333</x:v>
      </x:c>
      <x:c r="G924" s="8" t="n">
        <x:v>46300.708668981475</x:v>
      </x:c>
      <x:c r="H924" s="2" t="str">
        <x:v>SCH01</x:v>
      </x:c>
      <x:c r="I924" s="9" t="n">
        <x:v>25.285</x:v>
      </x:c>
      <x:c r="J924" s="9" t="n">
        <x:v>51.51</x:v>
      </x:c>
      <x:c r="K924" s="2" t="n">
        <x:v>8</x:v>
      </x:c>
      <x:c r="L924" s="2" t="str">
        <x:v>Valid</x:v>
      </x:c>
      <x:c r="M924" s="2" t="str">
        <x:v>QR</x:v>
      </x:c>
      <x:c r="N924" s="2" t="n">
        <x:v>1</x:v>
      </x:c>
      <x:c r="O924" s="2" t="str">
        <x:v>Accepted</x:v>
      </x:c>
      <x:c r="P924" s="2" t="str">
        <x:v>S002</x:v>
      </x:c>
      <x:c r="Q924" s="2" t="str">
        <x:v>DEV002</x:v>
      </x:c>
      <x:c r="R924" s="2" t="n">
        <x:v>10</x:v>
      </x:c>
      <x:c r="S924" s="2" t="str">
        <x:v>Online</x:v>
      </x:c>
      <x:c r="T924" s="2" t="str">
        <x:v>Synced</x:v>
      </x:c>
    </x:row>
    <x:row r="925" ht="21" customHeight="1">
      <x:c r="A925" s="2" t="str">
        <x:v>EV000953</x:v>
      </x:c>
      <x:c r="B925" s="2" t="str">
        <x:v>T20261005-5-3</x:v>
      </x:c>
      <x:c r="C925" s="2" t="str">
        <x:v>ST120</x:v>
      </x:c>
      <x:c r="D925" s="2" t="str">
        <x:v>c3749f3342e76b516e5c145f91308219</x:v>
      </x:c>
      <x:c r="E925" s="2" t="str">
        <x:v>CHECK_IN</x:v>
      </x:c>
      <x:c r="F925" s="8" t="n">
        <x:v>46300.70864583333</x:v>
      </x:c>
      <x:c r="G925" s="8" t="n">
        <x:v>46300.708668981475</x:v>
      </x:c>
      <x:c r="H925" s="2" t="str">
        <x:v>SCH01</x:v>
      </x:c>
      <x:c r="I925" s="9" t="n">
        <x:v>25.285</x:v>
      </x:c>
      <x:c r="J925" s="9" t="n">
        <x:v>51.51</x:v>
      </x:c>
      <x:c r="K925" s="2" t="n">
        <x:v>8</x:v>
      </x:c>
      <x:c r="L925" s="2" t="str">
        <x:v>Valid</x:v>
      </x:c>
      <x:c r="M925" s="2" t="str">
        <x:v>QR</x:v>
      </x:c>
      <x:c r="N925" s="2" t="n">
        <x:v>1</x:v>
      </x:c>
      <x:c r="O925" s="2" t="str">
        <x:v>Accepted</x:v>
      </x:c>
      <x:c r="P925" s="2" t="str">
        <x:v>S003</x:v>
      </x:c>
      <x:c r="Q925" s="2" t="str">
        <x:v>DEV003</x:v>
      </x:c>
      <x:c r="R925" s="2" t="n">
        <x:v>10</x:v>
      </x:c>
      <x:c r="S925" s="2" t="str">
        <x:v>Online</x:v>
      </x:c>
      <x:c r="T925" s="2" t="str">
        <x:v>Synced</x:v>
      </x:c>
    </x:row>
    <x:row r="926" ht="21" customHeight="1">
      <x:c r="A926" s="2" t="str">
        <x:v>EV000620</x:v>
      </x:c>
      <x:c r="B926" s="2" t="str">
        <x:v>T20261005-5-1</x:v>
      </x:c>
      <x:c r="C926" s="2" t="str">
        <x:v>ST031</x:v>
      </x:c>
      <x:c r="D926" s="2" t="str">
        <x:v>8ab188e9684e5df87182305d1c7eadac</x:v>
      </x:c>
      <x:c r="E926" s="2" t="str">
        <x:v>CHECK_OUT</x:v>
      </x:c>
      <x:c r="F926" s="8" t="n">
        <x:v>46300.72361111111</x:v>
      </x:c>
      <x:c r="G926" s="8" t="n">
        <x:v>46300.72363425926</x:v>
      </x:c>
      <x:c r="H926" s="2" t="str">
        <x:v>R1S1</x:v>
      </x:c>
      <x:c r="I926" s="9" t="n">
        <x:v>25.271</x:v>
      </x:c>
      <x:c r="J926" s="9" t="n">
        <x:v>51.491</x:v>
      </x:c>
      <x:c r="K926" s="2" t="n">
        <x:v>8</x:v>
      </x:c>
      <x:c r="L926" s="2" t="str">
        <x:v>Valid</x:v>
      </x:c>
      <x:c r="M926" s="2" t="str">
        <x:v>QR</x:v>
      </x:c>
      <x:c r="N926" s="2" t="n">
        <x:v>1</x:v>
      </x:c>
      <x:c r="O926" s="2" t="str">
        <x:v>Accepted</x:v>
      </x:c>
      <x:c r="P926" s="2" t="str">
        <x:v>S001</x:v>
      </x:c>
      <x:c r="Q926" s="2" t="str">
        <x:v>DEV001</x:v>
      </x:c>
      <x:c r="R926" s="2" t="n">
        <x:v>11</x:v>
      </x:c>
      <x:c r="S926" s="2" t="str">
        <x:v>Online</x:v>
      </x:c>
      <x:c r="T926" s="2" t="str">
        <x:v>Synced</x:v>
      </x:c>
    </x:row>
    <x:row r="927" ht="21" customHeight="1">
      <x:c r="A927" s="2" t="str">
        <x:v>EV000776</x:v>
      </x:c>
      <x:c r="B927" s="2" t="str">
        <x:v>T20261005-5-2</x:v>
      </x:c>
      <x:c r="C927" s="2" t="str">
        <x:v>ST071</x:v>
      </x:c>
      <x:c r="D927" s="2" t="str">
        <x:v>51895678643dc659a400e702a471294e</x:v>
      </x:c>
      <x:c r="E927" s="2" t="str">
        <x:v>CHECK_OUT</x:v>
      </x:c>
      <x:c r="F927" s="8" t="n">
        <x:v>46300.72361111111</x:v>
      </x:c>
      <x:c r="G927" s="8" t="n">
        <x:v>46300.72363425926</x:v>
      </x:c>
      <x:c r="H927" s="2" t="str">
        <x:v>R2S1</x:v>
      </x:c>
      <x:c r="I927" s="9" t="n">
        <x:v>25.28</x:v>
      </x:c>
      <x:c r="J927" s="9" t="n">
        <x:v>51.498999999999995</x:v>
      </x:c>
      <x:c r="K927" s="2" t="n">
        <x:v>8</x:v>
      </x:c>
      <x:c r="L927" s="2" t="str">
        <x:v>Valid</x:v>
      </x:c>
      <x:c r="M927" s="2" t="str">
        <x:v>QR</x:v>
      </x:c>
      <x:c r="N927" s="2" t="n">
        <x:v>1</x:v>
      </x:c>
      <x:c r="O927" s="2" t="str">
        <x:v>Accepted</x:v>
      </x:c>
      <x:c r="P927" s="2" t="str">
        <x:v>S002</x:v>
      </x:c>
      <x:c r="Q927" s="2" t="str">
        <x:v>DEV002</x:v>
      </x:c>
      <x:c r="R927" s="2" t="n">
        <x:v>11</x:v>
      </x:c>
      <x:c r="S927" s="2" t="str">
        <x:v>Online</x:v>
      </x:c>
      <x:c r="T927" s="2" t="str">
        <x:v>Synced</x:v>
      </x:c>
    </x:row>
    <x:row r="928" ht="21" customHeight="1">
      <x:c r="A928" s="2" t="str">
        <x:v>EV000936</x:v>
      </x:c>
      <x:c r="B928" s="2" t="str">
        <x:v>T20261005-5-3</x:v>
      </x:c>
      <x:c r="C928" s="2" t="str">
        <x:v>ST111</x:v>
      </x:c>
      <x:c r="D928" s="2" t="str">
        <x:v>e6e9707385e7ee8edd3ac87243757eb2</x:v>
      </x:c>
      <x:c r="E928" s="2" t="str">
        <x:v>CHECK_OUT</x:v>
      </x:c>
      <x:c r="F928" s="8" t="n">
        <x:v>46300.72361111111</x:v>
      </x:c>
      <x:c r="G928" s="8" t="n">
        <x:v>46300.72363425926</x:v>
      </x:c>
      <x:c r="H928" s="2" t="str">
        <x:v>R3S1</x:v>
      </x:c>
      <x:c r="I928" s="9" t="n">
        <x:v>25.289</x:v>
      </x:c>
      <x:c r="J928" s="9" t="n">
        <x:v>51.507</x:v>
      </x:c>
      <x:c r="K928" s="2" t="n">
        <x:v>8</x:v>
      </x:c>
      <x:c r="L928" s="2" t="str">
        <x:v>Valid</x:v>
      </x:c>
      <x:c r="M928" s="2" t="str">
        <x:v>QR</x:v>
      </x:c>
      <x:c r="N928" s="2" t="n">
        <x:v>1</x:v>
      </x:c>
      <x:c r="O928" s="2" t="str">
        <x:v>Accepted</x:v>
      </x:c>
      <x:c r="P928" s="2" t="str">
        <x:v>S003</x:v>
      </x:c>
      <x:c r="Q928" s="2" t="str">
        <x:v>DEV003</x:v>
      </x:c>
      <x:c r="R928" s="2" t="n">
        <x:v>11</x:v>
      </x:c>
      <x:c r="S928" s="2" t="str">
        <x:v>Online</x:v>
      </x:c>
      <x:c r="T928" s="2" t="str">
        <x:v>Synced</x:v>
      </x:c>
    </x:row>
    <x:row r="929" ht="21" customHeight="1">
      <x:c r="A929" s="2" t="str">
        <x:v>EV000626</x:v>
      </x:c>
      <x:c r="B929" s="2" t="str">
        <x:v>T20261005-5-1</x:v>
      </x:c>
      <x:c r="C929" s="2" t="str">
        <x:v>ST034</x:v>
      </x:c>
      <x:c r="D929" s="2" t="str">
        <x:v>80fbe33bb2df8cab59b55f98f1c8a3d5</x:v>
      </x:c>
      <x:c r="E929" s="2" t="str">
        <x:v>CHECK_OUT</x:v>
      </x:c>
      <x:c r="F929" s="8" t="n">
        <x:v>46300.72371527778</x:v>
      </x:c>
      <x:c r="G929" s="8" t="n">
        <x:v>46300.72373842593</x:v>
      </x:c>
      <x:c r="H929" s="2" t="str">
        <x:v>R1S1</x:v>
      </x:c>
      <x:c r="I929" s="9" t="n">
        <x:v>25.271</x:v>
      </x:c>
      <x:c r="J929" s="9" t="n">
        <x:v>51.491</x:v>
      </x:c>
      <x:c r="K929" s="2" t="n">
        <x:v>8</x:v>
      </x:c>
      <x:c r="L929" s="2" t="str">
        <x:v>Valid</x:v>
      </x:c>
      <x:c r="M929" s="2" t="str">
        <x:v>QR</x:v>
      </x:c>
      <x:c r="N929" s="2" t="n">
        <x:v>1</x:v>
      </x:c>
      <x:c r="O929" s="2" t="str">
        <x:v>Accepted</x:v>
      </x:c>
      <x:c r="P929" s="2" t="str">
        <x:v>S001</x:v>
      </x:c>
      <x:c r="Q929" s="2" t="str">
        <x:v>DEV001</x:v>
      </x:c>
      <x:c r="R929" s="2" t="n">
        <x:v>12</x:v>
      </x:c>
      <x:c r="S929" s="2" t="str">
        <x:v>Online</x:v>
      </x:c>
      <x:c r="T929" s="2" t="str">
        <x:v>Synced</x:v>
      </x:c>
    </x:row>
    <x:row r="930" ht="21" customHeight="1">
      <x:c r="A930" s="2" t="str">
        <x:v>EV000782</x:v>
      </x:c>
      <x:c r="B930" s="2" t="str">
        <x:v>T20261005-5-2</x:v>
      </x:c>
      <x:c r="C930" s="2" t="str">
        <x:v>ST074</x:v>
      </x:c>
      <x:c r="D930" s="2" t="str">
        <x:v>a9bcbd7cecca4f17e235125ddf0adf7b</x:v>
      </x:c>
      <x:c r="E930" s="2" t="str">
        <x:v>CHECK_OUT</x:v>
      </x:c>
      <x:c r="F930" s="8" t="n">
        <x:v>46300.72371527778</x:v>
      </x:c>
      <x:c r="G930" s="8" t="n">
        <x:v>46300.72373842593</x:v>
      </x:c>
      <x:c r="H930" s="2" t="str">
        <x:v>R2S1</x:v>
      </x:c>
      <x:c r="I930" s="9" t="n">
        <x:v>25.28</x:v>
      </x:c>
      <x:c r="J930" s="9" t="n">
        <x:v>51.498999999999995</x:v>
      </x:c>
      <x:c r="K930" s="2" t="n">
        <x:v>8</x:v>
      </x:c>
      <x:c r="L930" s="2" t="str">
        <x:v>Valid</x:v>
      </x:c>
      <x:c r="M930" s="2" t="str">
        <x:v>QR</x:v>
      </x:c>
      <x:c r="N930" s="2" t="n">
        <x:v>1</x:v>
      </x:c>
      <x:c r="O930" s="2" t="str">
        <x:v>Accepted</x:v>
      </x:c>
      <x:c r="P930" s="2" t="str">
        <x:v>S002</x:v>
      </x:c>
      <x:c r="Q930" s="2" t="str">
        <x:v>DEV002</x:v>
      </x:c>
      <x:c r="R930" s="2" t="n">
        <x:v>12</x:v>
      </x:c>
      <x:c r="S930" s="2" t="str">
        <x:v>Online</x:v>
      </x:c>
      <x:c r="T930" s="2" t="str">
        <x:v>Synced</x:v>
      </x:c>
    </x:row>
    <x:row r="931" ht="21" customHeight="1">
      <x:c r="A931" s="2" t="str">
        <x:v>EV000942</x:v>
      </x:c>
      <x:c r="B931" s="2" t="str">
        <x:v>T20261005-5-3</x:v>
      </x:c>
      <x:c r="C931" s="2" t="str">
        <x:v>ST114</x:v>
      </x:c>
      <x:c r="D931" s="2" t="str">
        <x:v>a5c77bf3b082c3ab825b65c34f1c9f8c</x:v>
      </x:c>
      <x:c r="E931" s="2" t="str">
        <x:v>CHECK_OUT</x:v>
      </x:c>
      <x:c r="F931" s="8" t="n">
        <x:v>46300.72371527778</x:v>
      </x:c>
      <x:c r="G931" s="8" t="n">
        <x:v>46300.72373842593</x:v>
      </x:c>
      <x:c r="H931" s="2" t="str">
        <x:v>R3S1</x:v>
      </x:c>
      <x:c r="I931" s="9" t="n">
        <x:v>25.289</x:v>
      </x:c>
      <x:c r="J931" s="9" t="n">
        <x:v>51.507</x:v>
      </x:c>
      <x:c r="K931" s="2" t="n">
        <x:v>8</x:v>
      </x:c>
      <x:c r="L931" s="2" t="str">
        <x:v>Valid</x:v>
      </x:c>
      <x:c r="M931" s="2" t="str">
        <x:v>QR</x:v>
      </x:c>
      <x:c r="N931" s="2" t="n">
        <x:v>1</x:v>
      </x:c>
      <x:c r="O931" s="2" t="str">
        <x:v>Accepted</x:v>
      </x:c>
      <x:c r="P931" s="2" t="str">
        <x:v>S003</x:v>
      </x:c>
      <x:c r="Q931" s="2" t="str">
        <x:v>DEV003</x:v>
      </x:c>
      <x:c r="R931" s="2" t="n">
        <x:v>12</x:v>
      </x:c>
      <x:c r="S931" s="2" t="str">
        <x:v>Online</x:v>
      </x:c>
      <x:c r="T931" s="2" t="str">
        <x:v>Synced</x:v>
      </x:c>
    </x:row>
    <x:row r="932" ht="21" customHeight="1">
      <x:c r="A932" s="2" t="str">
        <x:v>EV000632</x:v>
      </x:c>
      <x:c r="B932" s="2" t="str">
        <x:v>T20261005-5-1</x:v>
      </x:c>
      <x:c r="C932" s="2" t="str">
        <x:v>ST037</x:v>
      </x:c>
      <x:c r="D932" s="2" t="str">
        <x:v>eb6cdfa5572c8f6959c8b9c84b8ec493</x:v>
      </x:c>
      <x:c r="E932" s="2" t="str">
        <x:v>CHECK_OUT</x:v>
      </x:c>
      <x:c r="F932" s="8" t="n">
        <x:v>46300.72381944444</x:v>
      </x:c>
      <x:c r="G932" s="8" t="n">
        <x:v>46300.72384259259</x:v>
      </x:c>
      <x:c r="H932" s="2" t="str">
        <x:v>R1S1</x:v>
      </x:c>
      <x:c r="I932" s="9" t="n">
        <x:v>25.271</x:v>
      </x:c>
      <x:c r="J932" s="9" t="n">
        <x:v>51.491</x:v>
      </x:c>
      <x:c r="K932" s="2" t="n">
        <x:v>8</x:v>
      </x:c>
      <x:c r="L932" s="2" t="str">
        <x:v>Valid</x:v>
      </x:c>
      <x:c r="M932" s="2" t="str">
        <x:v>QR</x:v>
      </x:c>
      <x:c r="N932" s="2" t="n">
        <x:v>1</x:v>
      </x:c>
      <x:c r="O932" s="2" t="str">
        <x:v>Accepted</x:v>
      </x:c>
      <x:c r="P932" s="2" t="str">
        <x:v>S001</x:v>
      </x:c>
      <x:c r="Q932" s="2" t="str">
        <x:v>DEV001</x:v>
      </x:c>
      <x:c r="R932" s="2" t="n">
        <x:v>13</x:v>
      </x:c>
      <x:c r="S932" s="2" t="str">
        <x:v>Online</x:v>
      </x:c>
      <x:c r="T932" s="2" t="str">
        <x:v>Synced</x:v>
      </x:c>
    </x:row>
    <x:row r="933" ht="21" customHeight="1">
      <x:c r="A933" s="2" t="str">
        <x:v>EV000788</x:v>
      </x:c>
      <x:c r="B933" s="2" t="str">
        <x:v>T20261005-5-2</x:v>
      </x:c>
      <x:c r="C933" s="2" t="str">
        <x:v>ST077</x:v>
      </x:c>
      <x:c r="D933" s="2" t="str">
        <x:v>af7b8314f6c372daf48e6b95332f6a0f</x:v>
      </x:c>
      <x:c r="E933" s="2" t="str">
        <x:v>CHECK_OUT</x:v>
      </x:c>
      <x:c r="F933" s="8" t="n">
        <x:v>46300.72381944444</x:v>
      </x:c>
      <x:c r="G933" s="8" t="n">
        <x:v>46300.72384259259</x:v>
      </x:c>
      <x:c r="H933" s="2" t="str">
        <x:v>R2S1</x:v>
      </x:c>
      <x:c r="I933" s="9" t="n">
        <x:v>25.28</x:v>
      </x:c>
      <x:c r="J933" s="9" t="n">
        <x:v>51.498999999999995</x:v>
      </x:c>
      <x:c r="K933" s="2" t="n">
        <x:v>8</x:v>
      </x:c>
      <x:c r="L933" s="2" t="str">
        <x:v>Valid</x:v>
      </x:c>
      <x:c r="M933" s="2" t="str">
        <x:v>QR</x:v>
      </x:c>
      <x:c r="N933" s="2" t="n">
        <x:v>1</x:v>
      </x:c>
      <x:c r="O933" s="2" t="str">
        <x:v>Accepted</x:v>
      </x:c>
      <x:c r="P933" s="2" t="str">
        <x:v>S002</x:v>
      </x:c>
      <x:c r="Q933" s="2" t="str">
        <x:v>DEV002</x:v>
      </x:c>
      <x:c r="R933" s="2" t="n">
        <x:v>13</x:v>
      </x:c>
      <x:c r="S933" s="2" t="str">
        <x:v>Online</x:v>
      </x:c>
      <x:c r="T933" s="2" t="str">
        <x:v>Synced</x:v>
      </x:c>
    </x:row>
    <x:row r="934" ht="21" customHeight="1">
      <x:c r="A934" s="2" t="str">
        <x:v>EV000948</x:v>
      </x:c>
      <x:c r="B934" s="2" t="str">
        <x:v>T20261005-5-3</x:v>
      </x:c>
      <x:c r="C934" s="2" t="str">
        <x:v>ST117</x:v>
      </x:c>
      <x:c r="D934" s="2" t="str">
        <x:v>195a54aea4adbe89371209e73878e4fe</x:v>
      </x:c>
      <x:c r="E934" s="2" t="str">
        <x:v>CHECK_OUT</x:v>
      </x:c>
      <x:c r="F934" s="8" t="n">
        <x:v>46300.72381944444</x:v>
      </x:c>
      <x:c r="G934" s="8" t="n">
        <x:v>46300.72384259259</x:v>
      </x:c>
      <x:c r="H934" s="2" t="str">
        <x:v>R3S1</x:v>
      </x:c>
      <x:c r="I934" s="9" t="n">
        <x:v>25.289</x:v>
      </x:c>
      <x:c r="J934" s="9" t="n">
        <x:v>51.507</x:v>
      </x:c>
      <x:c r="K934" s="2" t="n">
        <x:v>8</x:v>
      </x:c>
      <x:c r="L934" s="2" t="str">
        <x:v>Valid</x:v>
      </x:c>
      <x:c r="M934" s="2" t="str">
        <x:v>QR</x:v>
      </x:c>
      <x:c r="N934" s="2" t="n">
        <x:v>1</x:v>
      </x:c>
      <x:c r="O934" s="2" t="str">
        <x:v>Accepted</x:v>
      </x:c>
      <x:c r="P934" s="2" t="str">
        <x:v>S003</x:v>
      </x:c>
      <x:c r="Q934" s="2" t="str">
        <x:v>DEV003</x:v>
      </x:c>
      <x:c r="R934" s="2" t="n">
        <x:v>13</x:v>
      </x:c>
      <x:c r="S934" s="2" t="str">
        <x:v>Online</x:v>
      </x:c>
      <x:c r="T934" s="2" t="str">
        <x:v>Synced</x:v>
      </x:c>
    </x:row>
    <x:row r="935" ht="21" customHeight="1">
      <x:c r="A935" s="2" t="str">
        <x:v>EV000638</x:v>
      </x:c>
      <x:c r="B935" s="2" t="str">
        <x:v>T20261005-5-1</x:v>
      </x:c>
      <x:c r="C935" s="2" t="str">
        <x:v>ST040</x:v>
      </x:c>
      <x:c r="D935" s="2" t="str">
        <x:v>4cd5e507bb3c8af27cd11d16138dcec0</x:v>
      </x:c>
      <x:c r="E935" s="2" t="str">
        <x:v>CHECK_OUT</x:v>
      </x:c>
      <x:c r="F935" s="8" t="n">
        <x:v>46300.72392361111</x:v>
      </x:c>
      <x:c r="G935" s="8" t="n">
        <x:v>46300.72394675926</x:v>
      </x:c>
      <x:c r="H935" s="2" t="str">
        <x:v>R1S1</x:v>
      </x:c>
      <x:c r="I935" s="9" t="n">
        <x:v>25.271</x:v>
      </x:c>
      <x:c r="J935" s="9" t="n">
        <x:v>51.491</x:v>
      </x:c>
      <x:c r="K935" s="2" t="n">
        <x:v>8</x:v>
      </x:c>
      <x:c r="L935" s="2" t="str">
        <x:v>Valid</x:v>
      </x:c>
      <x:c r="M935" s="2" t="str">
        <x:v>QR</x:v>
      </x:c>
      <x:c r="N935" s="2" t="n">
        <x:v>1</x:v>
      </x:c>
      <x:c r="O935" s="2" t="str">
        <x:v>Accepted</x:v>
      </x:c>
      <x:c r="P935" s="2" t="str">
        <x:v>S001</x:v>
      </x:c>
      <x:c r="Q935" s="2" t="str">
        <x:v>DEV001</x:v>
      </x:c>
      <x:c r="R935" s="2" t="n">
        <x:v>14</x:v>
      </x:c>
      <x:c r="S935" s="2" t="str">
        <x:v>Online</x:v>
      </x:c>
      <x:c r="T935" s="2" t="str">
        <x:v>Synced</x:v>
      </x:c>
    </x:row>
    <x:row r="936" ht="21" customHeight="1">
      <x:c r="A936" s="2" t="str">
        <x:v>EV000794</x:v>
      </x:c>
      <x:c r="B936" s="2" t="str">
        <x:v>T20261005-5-2</x:v>
      </x:c>
      <x:c r="C936" s="2" t="str">
        <x:v>ST080</x:v>
      </x:c>
      <x:c r="D936" s="2" t="str">
        <x:v>0abaf17d1472c0347862177fd9880be2</x:v>
      </x:c>
      <x:c r="E936" s="2" t="str">
        <x:v>CHECK_OUT</x:v>
      </x:c>
      <x:c r="F936" s="8" t="n">
        <x:v>46300.72392361111</x:v>
      </x:c>
      <x:c r="G936" s="8" t="n">
        <x:v>46300.72394675926</x:v>
      </x:c>
      <x:c r="H936" s="2" t="str">
        <x:v>R2S1</x:v>
      </x:c>
      <x:c r="I936" s="9" t="n">
        <x:v>25.28</x:v>
      </x:c>
      <x:c r="J936" s="9" t="n">
        <x:v>51.498999999999995</x:v>
      </x:c>
      <x:c r="K936" s="2" t="n">
        <x:v>8</x:v>
      </x:c>
      <x:c r="L936" s="2" t="str">
        <x:v>Valid</x:v>
      </x:c>
      <x:c r="M936" s="2" t="str">
        <x:v>QR</x:v>
      </x:c>
      <x:c r="N936" s="2" t="n">
        <x:v>1</x:v>
      </x:c>
      <x:c r="O936" s="2" t="str">
        <x:v>Accepted</x:v>
      </x:c>
      <x:c r="P936" s="2" t="str">
        <x:v>S002</x:v>
      </x:c>
      <x:c r="Q936" s="2" t="str">
        <x:v>DEV002</x:v>
      </x:c>
      <x:c r="R936" s="2" t="n">
        <x:v>14</x:v>
      </x:c>
      <x:c r="S936" s="2" t="str">
        <x:v>Online</x:v>
      </x:c>
      <x:c r="T936" s="2" t="str">
        <x:v>Synced</x:v>
      </x:c>
    </x:row>
    <x:row r="937" ht="21" customHeight="1">
      <x:c r="A937" s="2" t="str">
        <x:v>EV000954</x:v>
      </x:c>
      <x:c r="B937" s="2" t="str">
        <x:v>T20261005-5-3</x:v>
      </x:c>
      <x:c r="C937" s="2" t="str">
        <x:v>ST120</x:v>
      </x:c>
      <x:c r="D937" s="2" t="str">
        <x:v>c3749f3342e76b516e5c145f91308219</x:v>
      </x:c>
      <x:c r="E937" s="2" t="str">
        <x:v>CHECK_OUT</x:v>
      </x:c>
      <x:c r="F937" s="8" t="n">
        <x:v>46300.72392361111</x:v>
      </x:c>
      <x:c r="G937" s="8" t="n">
        <x:v>46300.72394675926</x:v>
      </x:c>
      <x:c r="H937" s="2" t="str">
        <x:v>R3S1</x:v>
      </x:c>
      <x:c r="I937" s="9" t="n">
        <x:v>25.289</x:v>
      </x:c>
      <x:c r="J937" s="9" t="n">
        <x:v>51.507</x:v>
      </x:c>
      <x:c r="K937" s="2" t="n">
        <x:v>8</x:v>
      </x:c>
      <x:c r="L937" s="2" t="str">
        <x:v>Valid</x:v>
      </x:c>
      <x:c r="M937" s="2" t="str">
        <x:v>QR</x:v>
      </x:c>
      <x:c r="N937" s="2" t="n">
        <x:v>1</x:v>
      </x:c>
      <x:c r="O937" s="2" t="str">
        <x:v>Accepted</x:v>
      </x:c>
      <x:c r="P937" s="2" t="str">
        <x:v>S003</x:v>
      </x:c>
      <x:c r="Q937" s="2" t="str">
        <x:v>DEV003</x:v>
      </x:c>
      <x:c r="R937" s="2" t="n">
        <x:v>14</x:v>
      </x:c>
      <x:c r="S937" s="2" t="str">
        <x:v>Online</x:v>
      </x:c>
      <x:c r="T937" s="2" t="str">
        <x:v>Synced</x:v>
      </x:c>
    </x:row>
    <x:row r="938" ht="21" customHeight="1">
      <x:c r="A938" s="2" t="str">
        <x:v>EV000622</x:v>
      </x:c>
      <x:c r="B938" s="2" t="str">
        <x:v>T20261005-5-1</x:v>
      </x:c>
      <x:c r="C938" s="2" t="str">
        <x:v>ST032</x:v>
      </x:c>
      <x:c r="D938" s="2" t="str">
        <x:v>836e2da54ccde9716995f5651a63e8c5</x:v>
      </x:c>
      <x:c r="E938" s="2" t="str">
        <x:v>CHECK_OUT</x:v>
      </x:c>
      <x:c r="F938" s="8" t="n">
        <x:v>46300.72850694445</x:v>
      </x:c>
      <x:c r="G938" s="8" t="n">
        <x:v>46300.728530092594</x:v>
      </x:c>
      <x:c r="H938" s="2" t="str">
        <x:v>R1S2</x:v>
      </x:c>
      <x:c r="I938" s="9" t="n">
        <x:v>25.273000000000003</x:v>
      </x:c>
      <x:c r="J938" s="9" t="n">
        <x:v>51.494</x:v>
      </x:c>
      <x:c r="K938" s="2" t="n">
        <x:v>8</x:v>
      </x:c>
      <x:c r="L938" s="2" t="str">
        <x:v>Valid</x:v>
      </x:c>
      <x:c r="M938" s="2" t="str">
        <x:v>QR</x:v>
      </x:c>
      <x:c r="N938" s="2" t="n">
        <x:v>1</x:v>
      </x:c>
      <x:c r="O938" s="2" t="str">
        <x:v>Accepted</x:v>
      </x:c>
      <x:c r="P938" s="2" t="str">
        <x:v>S001</x:v>
      </x:c>
      <x:c r="Q938" s="2" t="str">
        <x:v>DEV001</x:v>
      </x:c>
      <x:c r="R938" s="2" t="n">
        <x:v>15</x:v>
      </x:c>
      <x:c r="S938" s="2" t="str">
        <x:v>Online</x:v>
      </x:c>
      <x:c r="T938" s="2" t="str">
        <x:v>Synced</x:v>
      </x:c>
    </x:row>
    <x:row r="939" ht="21" customHeight="1">
      <x:c r="A939" s="2" t="str">
        <x:v>EV000778</x:v>
      </x:c>
      <x:c r="B939" s="2" t="str">
        <x:v>T20261005-5-2</x:v>
      </x:c>
      <x:c r="C939" s="2" t="str">
        <x:v>ST072</x:v>
      </x:c>
      <x:c r="D939" s="2" t="str">
        <x:v>34067027b5922171fe59ce4d7b756f1c</x:v>
      </x:c>
      <x:c r="E939" s="2" t="str">
        <x:v>CHECK_OUT</x:v>
      </x:c>
      <x:c r="F939" s="8" t="n">
        <x:v>46300.72850694445</x:v>
      </x:c>
      <x:c r="G939" s="8" t="n">
        <x:v>46300.728530092594</x:v>
      </x:c>
      <x:c r="H939" s="2" t="str">
        <x:v>R2S2</x:v>
      </x:c>
      <x:c r="I939" s="9" t="n">
        <x:v>25.282000000000004</x:v>
      </x:c>
      <x:c r="J939" s="9" t="n">
        <x:v>51.501999999999995</x:v>
      </x:c>
      <x:c r="K939" s="2" t="n">
        <x:v>8</x:v>
      </x:c>
      <x:c r="L939" s="2" t="str">
        <x:v>Valid</x:v>
      </x:c>
      <x:c r="M939" s="2" t="str">
        <x:v>QR</x:v>
      </x:c>
      <x:c r="N939" s="2" t="n">
        <x:v>1</x:v>
      </x:c>
      <x:c r="O939" s="2" t="str">
        <x:v>Accepted</x:v>
      </x:c>
      <x:c r="P939" s="2" t="str">
        <x:v>S002</x:v>
      </x:c>
      <x:c r="Q939" s="2" t="str">
        <x:v>DEV002</x:v>
      </x:c>
      <x:c r="R939" s="2" t="n">
        <x:v>15</x:v>
      </x:c>
      <x:c r="S939" s="2" t="str">
        <x:v>Online</x:v>
      </x:c>
      <x:c r="T939" s="2" t="str">
        <x:v>Synced</x:v>
      </x:c>
    </x:row>
    <x:row r="940" ht="21" customHeight="1">
      <x:c r="A940" s="2" t="str">
        <x:v>EV000938</x:v>
      </x:c>
      <x:c r="B940" s="2" t="str">
        <x:v>T20261005-5-3</x:v>
      </x:c>
      <x:c r="C940" s="2" t="str">
        <x:v>ST112</x:v>
      </x:c>
      <x:c r="D940" s="2" t="str">
        <x:v>ca020aefc0d912af9ddca5c7ca7a2f51</x:v>
      </x:c>
      <x:c r="E940" s="2" t="str">
        <x:v>CHECK_OUT</x:v>
      </x:c>
      <x:c r="F940" s="8" t="n">
        <x:v>46300.72850694445</x:v>
      </x:c>
      <x:c r="G940" s="8" t="n">
        <x:v>46300.728530092594</x:v>
      </x:c>
      <x:c r="H940" s="2" t="str">
        <x:v>R3S2</x:v>
      </x:c>
      <x:c r="I940" s="9" t="n">
        <x:v>25.291000000000004</x:v>
      </x:c>
      <x:c r="J940" s="9" t="n">
        <x:v>51.51</x:v>
      </x:c>
      <x:c r="K940" s="2" t="n">
        <x:v>8</x:v>
      </x:c>
      <x:c r="L940" s="2" t="str">
        <x:v>Valid</x:v>
      </x:c>
      <x:c r="M940" s="2" t="str">
        <x:v>QR</x:v>
      </x:c>
      <x:c r="N940" s="2" t="n">
        <x:v>1</x:v>
      </x:c>
      <x:c r="O940" s="2" t="str">
        <x:v>Accepted</x:v>
      </x:c>
      <x:c r="P940" s="2" t="str">
        <x:v>S003</x:v>
      </x:c>
      <x:c r="Q940" s="2" t="str">
        <x:v>DEV003</x:v>
      </x:c>
      <x:c r="R940" s="2" t="n">
        <x:v>15</x:v>
      </x:c>
      <x:c r="S940" s="2" t="str">
        <x:v>Online</x:v>
      </x:c>
      <x:c r="T940" s="2" t="str">
        <x:v>Synced</x:v>
      </x:c>
    </x:row>
    <x:row r="941" ht="21" customHeight="1">
      <x:c r="A941" s="2" t="str">
        <x:v>EV000628</x:v>
      </x:c>
      <x:c r="B941" s="2" t="str">
        <x:v>T20261005-5-1</x:v>
      </x:c>
      <x:c r="C941" s="2" t="str">
        <x:v>ST035</x:v>
      </x:c>
      <x:c r="D941" s="2" t="str">
        <x:v>45068f3206e9be80993e83e259ea9cdc</x:v>
      </x:c>
      <x:c r="E941" s="2" t="str">
        <x:v>CHECK_OUT</x:v>
      </x:c>
      <x:c r="F941" s="8" t="n">
        <x:v>46300.72861111112</x:v>
      </x:c>
      <x:c r="G941" s="8" t="n">
        <x:v>46300.72863425926</x:v>
      </x:c>
      <x:c r="H941" s="2" t="str">
        <x:v>R1S2</x:v>
      </x:c>
      <x:c r="I941" s="9" t="n">
        <x:v>25.273000000000003</x:v>
      </x:c>
      <x:c r="J941" s="9" t="n">
        <x:v>51.494</x:v>
      </x:c>
      <x:c r="K941" s="2" t="n">
        <x:v>8</x:v>
      </x:c>
      <x:c r="L941" s="2" t="str">
        <x:v>Valid</x:v>
      </x:c>
      <x:c r="M941" s="2" t="str">
        <x:v>QR</x:v>
      </x:c>
      <x:c r="N941" s="2" t="n">
        <x:v>1</x:v>
      </x:c>
      <x:c r="O941" s="2" t="str">
        <x:v>Accepted</x:v>
      </x:c>
      <x:c r="P941" s="2" t="str">
        <x:v>S001</x:v>
      </x:c>
      <x:c r="Q941" s="2" t="str">
        <x:v>DEV001</x:v>
      </x:c>
      <x:c r="R941" s="2" t="n">
        <x:v>16</x:v>
      </x:c>
      <x:c r="S941" s="2" t="str">
        <x:v>Online</x:v>
      </x:c>
      <x:c r="T941" s="2" t="str">
        <x:v>Synced</x:v>
      </x:c>
    </x:row>
    <x:row r="942" ht="21" customHeight="1">
      <x:c r="A942" s="2" t="str">
        <x:v>EV000784</x:v>
      </x:c>
      <x:c r="B942" s="2" t="str">
        <x:v>T20261005-5-2</x:v>
      </x:c>
      <x:c r="C942" s="2" t="str">
        <x:v>ST075</x:v>
      </x:c>
      <x:c r="D942" s="2" t="str">
        <x:v>3781d00e457977b726407cb845a294cc</x:v>
      </x:c>
      <x:c r="E942" s="2" t="str">
        <x:v>CHECK_OUT</x:v>
      </x:c>
      <x:c r="F942" s="8" t="n">
        <x:v>46300.72861111112</x:v>
      </x:c>
      <x:c r="G942" s="8" t="n">
        <x:v>46300.72863425926</x:v>
      </x:c>
      <x:c r="H942" s="2" t="str">
        <x:v>R2S2</x:v>
      </x:c>
      <x:c r="I942" s="9" t="n">
        <x:v>25.282000000000004</x:v>
      </x:c>
      <x:c r="J942" s="9" t="n">
        <x:v>51.501999999999995</x:v>
      </x:c>
      <x:c r="K942" s="2" t="n">
        <x:v>8</x:v>
      </x:c>
      <x:c r="L942" s="2" t="str">
        <x:v>Valid</x:v>
      </x:c>
      <x:c r="M942" s="2" t="str">
        <x:v>QR</x:v>
      </x:c>
      <x:c r="N942" s="2" t="n">
        <x:v>1</x:v>
      </x:c>
      <x:c r="O942" s="2" t="str">
        <x:v>Accepted</x:v>
      </x:c>
      <x:c r="P942" s="2" t="str">
        <x:v>S002</x:v>
      </x:c>
      <x:c r="Q942" s="2" t="str">
        <x:v>DEV002</x:v>
      </x:c>
      <x:c r="R942" s="2" t="n">
        <x:v>16</x:v>
      </x:c>
      <x:c r="S942" s="2" t="str">
        <x:v>Online</x:v>
      </x:c>
      <x:c r="T942" s="2" t="str">
        <x:v>Synced</x:v>
      </x:c>
    </x:row>
    <x:row r="943" ht="21" customHeight="1">
      <x:c r="A943" s="2" t="str">
        <x:v>EV000944</x:v>
      </x:c>
      <x:c r="B943" s="2" t="str">
        <x:v>T20261005-5-3</x:v>
      </x:c>
      <x:c r="C943" s="2" t="str">
        <x:v>ST115</x:v>
      </x:c>
      <x:c r="D943" s="2" t="str">
        <x:v>dc951b9fd5f4acb1dc2ce3ca2f2e08ab</x:v>
      </x:c>
      <x:c r="E943" s="2" t="str">
        <x:v>CHECK_OUT</x:v>
      </x:c>
      <x:c r="F943" s="8" t="n">
        <x:v>46300.72861111112</x:v>
      </x:c>
      <x:c r="G943" s="8" t="n">
        <x:v>46300.72863425926</x:v>
      </x:c>
      <x:c r="H943" s="2" t="str">
        <x:v>R3S2</x:v>
      </x:c>
      <x:c r="I943" s="9" t="n">
        <x:v>25.291000000000004</x:v>
      </x:c>
      <x:c r="J943" s="9" t="n">
        <x:v>51.51</x:v>
      </x:c>
      <x:c r="K943" s="2" t="n">
        <x:v>8</x:v>
      </x:c>
      <x:c r="L943" s="2" t="str">
        <x:v>Valid</x:v>
      </x:c>
      <x:c r="M943" s="2" t="str">
        <x:v>QR</x:v>
      </x:c>
      <x:c r="N943" s="2" t="n">
        <x:v>1</x:v>
      </x:c>
      <x:c r="O943" s="2" t="str">
        <x:v>Accepted</x:v>
      </x:c>
      <x:c r="P943" s="2" t="str">
        <x:v>S003</x:v>
      </x:c>
      <x:c r="Q943" s="2" t="str">
        <x:v>DEV003</x:v>
      </x:c>
      <x:c r="R943" s="2" t="n">
        <x:v>16</x:v>
      </x:c>
      <x:c r="S943" s="2" t="str">
        <x:v>Online</x:v>
      </x:c>
      <x:c r="T943" s="2" t="str">
        <x:v>Synced</x:v>
      </x:c>
    </x:row>
    <x:row r="944" ht="21" customHeight="1">
      <x:c r="A944" s="2" t="str">
        <x:v>EV000634</x:v>
      </x:c>
      <x:c r="B944" s="2" t="str">
        <x:v>T20261005-5-1</x:v>
      </x:c>
      <x:c r="C944" s="2" t="str">
        <x:v>ST038</x:v>
      </x:c>
      <x:c r="D944" s="2" t="str">
        <x:v>1ebedd777293ba897970ae7fc06b6301</x:v>
      </x:c>
      <x:c r="E944" s="2" t="str">
        <x:v>CHECK_OUT</x:v>
      </x:c>
      <x:c r="F944" s="8" t="n">
        <x:v>46300.72871527778</x:v>
      </x:c>
      <x:c r="G944" s="8" t="n">
        <x:v>46300.728738425925</x:v>
      </x:c>
      <x:c r="H944" s="2" t="str">
        <x:v>R1S2</x:v>
      </x:c>
      <x:c r="I944" s="9" t="n">
        <x:v>25.273000000000003</x:v>
      </x:c>
      <x:c r="J944" s="9" t="n">
        <x:v>51.494</x:v>
      </x:c>
      <x:c r="K944" s="2" t="n">
        <x:v>8</x:v>
      </x:c>
      <x:c r="L944" s="2" t="str">
        <x:v>Valid</x:v>
      </x:c>
      <x:c r="M944" s="2" t="str">
        <x:v>QR</x:v>
      </x:c>
      <x:c r="N944" s="2" t="n">
        <x:v>1</x:v>
      </x:c>
      <x:c r="O944" s="2" t="str">
        <x:v>Accepted</x:v>
      </x:c>
      <x:c r="P944" s="2" t="str">
        <x:v>S001</x:v>
      </x:c>
      <x:c r="Q944" s="2" t="str">
        <x:v>DEV001</x:v>
      </x:c>
      <x:c r="R944" s="2" t="n">
        <x:v>17</x:v>
      </x:c>
      <x:c r="S944" s="2" t="str">
        <x:v>Online</x:v>
      </x:c>
      <x:c r="T944" s="2" t="str">
        <x:v>Synced</x:v>
      </x:c>
    </x:row>
    <x:row r="945" ht="21" customHeight="1">
      <x:c r="A945" s="2" t="str">
        <x:v>EV000790</x:v>
      </x:c>
      <x:c r="B945" s="2" t="str">
        <x:v>T20261005-5-2</x:v>
      </x:c>
      <x:c r="C945" s="2" t="str">
        <x:v>ST078</x:v>
      </x:c>
      <x:c r="D945" s="2" t="str">
        <x:v>737ab4e672bf11e638a47ae295f7e187</x:v>
      </x:c>
      <x:c r="E945" s="2" t="str">
        <x:v>CHECK_OUT</x:v>
      </x:c>
      <x:c r="F945" s="8" t="n">
        <x:v>46300.72871527778</x:v>
      </x:c>
      <x:c r="G945" s="8" t="n">
        <x:v>46300.728738425925</x:v>
      </x:c>
      <x:c r="H945" s="2" t="str">
        <x:v>R2S2</x:v>
      </x:c>
      <x:c r="I945" s="9" t="n">
        <x:v>25.282000000000004</x:v>
      </x:c>
      <x:c r="J945" s="9" t="n">
        <x:v>51.501999999999995</x:v>
      </x:c>
      <x:c r="K945" s="2" t="n">
        <x:v>8</x:v>
      </x:c>
      <x:c r="L945" s="2" t="str">
        <x:v>Valid</x:v>
      </x:c>
      <x:c r="M945" s="2" t="str">
        <x:v>QR</x:v>
      </x:c>
      <x:c r="N945" s="2" t="n">
        <x:v>1</x:v>
      </x:c>
      <x:c r="O945" s="2" t="str">
        <x:v>Accepted</x:v>
      </x:c>
      <x:c r="P945" s="2" t="str">
        <x:v>S002</x:v>
      </x:c>
      <x:c r="Q945" s="2" t="str">
        <x:v>DEV002</x:v>
      </x:c>
      <x:c r="R945" s="2" t="n">
        <x:v>17</x:v>
      </x:c>
      <x:c r="S945" s="2" t="str">
        <x:v>Online</x:v>
      </x:c>
      <x:c r="T945" s="2" t="str">
        <x:v>Synced</x:v>
      </x:c>
    </x:row>
    <x:row r="946" ht="21" customHeight="1">
      <x:c r="A946" s="2" t="str">
        <x:v>EV000950</x:v>
      </x:c>
      <x:c r="B946" s="2" t="str">
        <x:v>T20261005-5-3</x:v>
      </x:c>
      <x:c r="C946" s="2" t="str">
        <x:v>ST118</x:v>
      </x:c>
      <x:c r="D946" s="2" t="str">
        <x:v>b15012a6111b47a10bdbbcbbd00c9f60</x:v>
      </x:c>
      <x:c r="E946" s="2" t="str">
        <x:v>CHECK_OUT</x:v>
      </x:c>
      <x:c r="F946" s="8" t="n">
        <x:v>46300.72871527778</x:v>
      </x:c>
      <x:c r="G946" s="8" t="n">
        <x:v>46300.728738425925</x:v>
      </x:c>
      <x:c r="H946" s="2" t="str">
        <x:v>R3S2</x:v>
      </x:c>
      <x:c r="I946" s="9" t="n">
        <x:v>25.291000000000004</x:v>
      </x:c>
      <x:c r="J946" s="9" t="n">
        <x:v>51.51</x:v>
      </x:c>
      <x:c r="K946" s="2" t="n">
        <x:v>8</x:v>
      </x:c>
      <x:c r="L946" s="2" t="str">
        <x:v>Valid</x:v>
      </x:c>
      <x:c r="M946" s="2" t="str">
        <x:v>QR</x:v>
      </x:c>
      <x:c r="N946" s="2" t="n">
        <x:v>1</x:v>
      </x:c>
      <x:c r="O946" s="2" t="str">
        <x:v>Accepted</x:v>
      </x:c>
      <x:c r="P946" s="2" t="str">
        <x:v>S003</x:v>
      </x:c>
      <x:c r="Q946" s="2" t="str">
        <x:v>DEV003</x:v>
      </x:c>
      <x:c r="R946" s="2" t="n">
        <x:v>17</x:v>
      </x:c>
      <x:c r="S946" s="2" t="str">
        <x:v>Online</x:v>
      </x:c>
      <x:c r="T946" s="2" t="str">
        <x:v>Synced</x:v>
      </x:c>
    </x:row>
    <x:row r="947" ht="21" customHeight="1">
      <x:c r="A947" s="2" t="str">
        <x:v>EV000624</x:v>
      </x:c>
      <x:c r="B947" s="2" t="str">
        <x:v>T20261005-5-1</x:v>
      </x:c>
      <x:c r="C947" s="2" t="str">
        <x:v>ST033</x:v>
      </x:c>
      <x:c r="D947" s="2" t="str">
        <x:v>c9cc8ddf1b5bae8b49929340838e300a</x:v>
      </x:c>
      <x:c r="E947" s="2" t="str">
        <x:v>CHECK_OUT</x:v>
      </x:c>
      <x:c r="F947" s="8" t="n">
        <x:v>46300.73340277778</x:v>
      </x:c>
      <x:c r="G947" s="8" t="n">
        <x:v>46300.73342592593</x:v>
      </x:c>
      <x:c r="H947" s="2" t="str">
        <x:v>R1S3</x:v>
      </x:c>
      <x:c r="I947" s="9" t="n">
        <x:v>25.275000000000002</x:v>
      </x:c>
      <x:c r="J947" s="9" t="n">
        <x:v>51.497</x:v>
      </x:c>
      <x:c r="K947" s="2" t="n">
        <x:v>8</x:v>
      </x:c>
      <x:c r="L947" s="2" t="str">
        <x:v>Valid</x:v>
      </x:c>
      <x:c r="M947" s="2" t="str">
        <x:v>QR</x:v>
      </x:c>
      <x:c r="N947" s="2" t="n">
        <x:v>1</x:v>
      </x:c>
      <x:c r="O947" s="2" t="str">
        <x:v>Accepted</x:v>
      </x:c>
      <x:c r="P947" s="2" t="str">
        <x:v>S001</x:v>
      </x:c>
      <x:c r="Q947" s="2" t="str">
        <x:v>DEV001</x:v>
      </x:c>
      <x:c r="R947" s="2" t="n">
        <x:v>18</x:v>
      </x:c>
      <x:c r="S947" s="2" t="str">
        <x:v>Online</x:v>
      </x:c>
      <x:c r="T947" s="2" t="str">
        <x:v>Synced</x:v>
      </x:c>
    </x:row>
    <x:row r="948" ht="21" customHeight="1">
      <x:c r="A948" s="2" t="str">
        <x:v>EV000780</x:v>
      </x:c>
      <x:c r="B948" s="2" t="str">
        <x:v>T20261005-5-2</x:v>
      </x:c>
      <x:c r="C948" s="2" t="str">
        <x:v>ST073</x:v>
      </x:c>
      <x:c r="D948" s="2" t="str">
        <x:v>b27180ce7590c0aac206d465f318b712</x:v>
      </x:c>
      <x:c r="E948" s="2" t="str">
        <x:v>CHECK_OUT</x:v>
      </x:c>
      <x:c r="F948" s="8" t="n">
        <x:v>46300.73340277778</x:v>
      </x:c>
      <x:c r="G948" s="8" t="n">
        <x:v>46300.73342592593</x:v>
      </x:c>
      <x:c r="H948" s="2" t="str">
        <x:v>R2S3</x:v>
      </x:c>
      <x:c r="I948" s="9" t="n">
        <x:v>25.284000000000002</x:v>
      </x:c>
      <x:c r="J948" s="9" t="n">
        <x:v>51.504999999999995</x:v>
      </x:c>
      <x:c r="K948" s="2" t="n">
        <x:v>8</x:v>
      </x:c>
      <x:c r="L948" s="2" t="str">
        <x:v>Valid</x:v>
      </x:c>
      <x:c r="M948" s="2" t="str">
        <x:v>QR</x:v>
      </x:c>
      <x:c r="N948" s="2" t="n">
        <x:v>1</x:v>
      </x:c>
      <x:c r="O948" s="2" t="str">
        <x:v>Accepted</x:v>
      </x:c>
      <x:c r="P948" s="2" t="str">
        <x:v>S002</x:v>
      </x:c>
      <x:c r="Q948" s="2" t="str">
        <x:v>DEV002</x:v>
      </x:c>
      <x:c r="R948" s="2" t="n">
        <x:v>18</x:v>
      </x:c>
      <x:c r="S948" s="2" t="str">
        <x:v>Online</x:v>
      </x:c>
      <x:c r="T948" s="2" t="str">
        <x:v>Synced</x:v>
      </x:c>
    </x:row>
    <x:row r="949" ht="21" customHeight="1">
      <x:c r="A949" s="2" t="str">
        <x:v>EV000940</x:v>
      </x:c>
      <x:c r="B949" s="2" t="str">
        <x:v>T20261005-5-3</x:v>
      </x:c>
      <x:c r="C949" s="2" t="str">
        <x:v>ST113</x:v>
      </x:c>
      <x:c r="D949" s="2" t="str">
        <x:v>c3781e168737a6cc1190d4415801c440</x:v>
      </x:c>
      <x:c r="E949" s="2" t="str">
        <x:v>CHECK_OUT</x:v>
      </x:c>
      <x:c r="F949" s="8" t="n">
        <x:v>46300.73340277778</x:v>
      </x:c>
      <x:c r="G949" s="8" t="n">
        <x:v>46300.73342592593</x:v>
      </x:c>
      <x:c r="H949" s="2" t="str">
        <x:v>R3S3</x:v>
      </x:c>
      <x:c r="I949" s="9" t="n">
        <x:v>25.293000000000003</x:v>
      </x:c>
      <x:c r="J949" s="9" t="n">
        <x:v>51.513</x:v>
      </x:c>
      <x:c r="K949" s="2" t="n">
        <x:v>8</x:v>
      </x:c>
      <x:c r="L949" s="2" t="str">
        <x:v>Valid</x:v>
      </x:c>
      <x:c r="M949" s="2" t="str">
        <x:v>QR</x:v>
      </x:c>
      <x:c r="N949" s="2" t="n">
        <x:v>1</x:v>
      </x:c>
      <x:c r="O949" s="2" t="str">
        <x:v>Accepted</x:v>
      </x:c>
      <x:c r="P949" s="2" t="str">
        <x:v>S003</x:v>
      </x:c>
      <x:c r="Q949" s="2" t="str">
        <x:v>DEV003</x:v>
      </x:c>
      <x:c r="R949" s="2" t="n">
        <x:v>18</x:v>
      </x:c>
      <x:c r="S949" s="2" t="str">
        <x:v>Online</x:v>
      </x:c>
      <x:c r="T949" s="2" t="str">
        <x:v>Synced</x:v>
      </x:c>
    </x:row>
    <x:row r="950" ht="21" customHeight="1">
      <x:c r="A950" s="2" t="str">
        <x:v>EV000630</x:v>
      </x:c>
      <x:c r="B950" s="2" t="str">
        <x:v>T20261005-5-1</x:v>
      </x:c>
      <x:c r="C950" s="2" t="str">
        <x:v>ST036</x:v>
      </x:c>
      <x:c r="D950" s="2" t="str">
        <x:v>7e42555e63455121ac9f1b3710bc905c</x:v>
      </x:c>
      <x:c r="E950" s="2" t="str">
        <x:v>CHECK_OUT</x:v>
      </x:c>
      <x:c r="F950" s="8" t="n">
        <x:v>46300.733506944445</x:v>
      </x:c>
      <x:c r="G950" s="8" t="n">
        <x:v>46300.73353009259</x:v>
      </x:c>
      <x:c r="H950" s="2" t="str">
        <x:v>R1S3</x:v>
      </x:c>
      <x:c r="I950" s="9" t="n">
        <x:v>25.275000000000002</x:v>
      </x:c>
      <x:c r="J950" s="9" t="n">
        <x:v>51.497</x:v>
      </x:c>
      <x:c r="K950" s="2" t="n">
        <x:v>8</x:v>
      </x:c>
      <x:c r="L950" s="2" t="str">
        <x:v>Valid</x:v>
      </x:c>
      <x:c r="M950" s="2" t="str">
        <x:v>QR</x:v>
      </x:c>
      <x:c r="N950" s="2" t="n">
        <x:v>1</x:v>
      </x:c>
      <x:c r="O950" s="2" t="str">
        <x:v>Accepted</x:v>
      </x:c>
      <x:c r="P950" s="2" t="str">
        <x:v>S001</x:v>
      </x:c>
      <x:c r="Q950" s="2" t="str">
        <x:v>DEV001</x:v>
      </x:c>
      <x:c r="R950" s="2" t="n">
        <x:v>19</x:v>
      </x:c>
      <x:c r="S950" s="2" t="str">
        <x:v>Online</x:v>
      </x:c>
      <x:c r="T950" s="2" t="str">
        <x:v>Synced</x:v>
      </x:c>
    </x:row>
    <x:row r="951" ht="21" customHeight="1">
      <x:c r="A951" s="2" t="str">
        <x:v>EV000786</x:v>
      </x:c>
      <x:c r="B951" s="2" t="str">
        <x:v>T20261005-5-2</x:v>
      </x:c>
      <x:c r="C951" s="2" t="str">
        <x:v>ST076</x:v>
      </x:c>
      <x:c r="D951" s="2" t="str">
        <x:v>08979b9eef223b076885fe932d9f2bca</x:v>
      </x:c>
      <x:c r="E951" s="2" t="str">
        <x:v>CHECK_OUT</x:v>
      </x:c>
      <x:c r="F951" s="8" t="n">
        <x:v>46300.733506944445</x:v>
      </x:c>
      <x:c r="G951" s="8" t="n">
        <x:v>46300.73353009259</x:v>
      </x:c>
      <x:c r="H951" s="2" t="str">
        <x:v>R2S3</x:v>
      </x:c>
      <x:c r="I951" s="9" t="n">
        <x:v>25.284000000000002</x:v>
      </x:c>
      <x:c r="J951" s="9" t="n">
        <x:v>51.504999999999995</x:v>
      </x:c>
      <x:c r="K951" s="2" t="n">
        <x:v>8</x:v>
      </x:c>
      <x:c r="L951" s="2" t="str">
        <x:v>Valid</x:v>
      </x:c>
      <x:c r="M951" s="2" t="str">
        <x:v>QR</x:v>
      </x:c>
      <x:c r="N951" s="2" t="n">
        <x:v>1</x:v>
      </x:c>
      <x:c r="O951" s="2" t="str">
        <x:v>Accepted</x:v>
      </x:c>
      <x:c r="P951" s="2" t="str">
        <x:v>S002</x:v>
      </x:c>
      <x:c r="Q951" s="2" t="str">
        <x:v>DEV002</x:v>
      </x:c>
      <x:c r="R951" s="2" t="n">
        <x:v>19</x:v>
      </x:c>
      <x:c r="S951" s="2" t="str">
        <x:v>Online</x:v>
      </x:c>
      <x:c r="T951" s="2" t="str">
        <x:v>Synced</x:v>
      </x:c>
    </x:row>
    <x:row r="952" ht="21" customHeight="1">
      <x:c r="A952" s="2" t="str">
        <x:v>EV000946</x:v>
      </x:c>
      <x:c r="B952" s="2" t="str">
        <x:v>T20261005-5-3</x:v>
      </x:c>
      <x:c r="C952" s="2" t="str">
        <x:v>ST116</x:v>
      </x:c>
      <x:c r="D952" s="2" t="str">
        <x:v>1c1fddc89afc564845795907cf1b7b0e</x:v>
      </x:c>
      <x:c r="E952" s="2" t="str">
        <x:v>CHECK_OUT</x:v>
      </x:c>
      <x:c r="F952" s="8" t="n">
        <x:v>46300.733506944445</x:v>
      </x:c>
      <x:c r="G952" s="8" t="n">
        <x:v>46300.73353009259</x:v>
      </x:c>
      <x:c r="H952" s="2" t="str">
        <x:v>R3S3</x:v>
      </x:c>
      <x:c r="I952" s="9" t="n">
        <x:v>25.293000000000003</x:v>
      </x:c>
      <x:c r="J952" s="9" t="n">
        <x:v>51.513</x:v>
      </x:c>
      <x:c r="K952" s="2" t="n">
        <x:v>8</x:v>
      </x:c>
      <x:c r="L952" s="2" t="str">
        <x:v>Valid</x:v>
      </x:c>
      <x:c r="M952" s="2" t="str">
        <x:v>QR</x:v>
      </x:c>
      <x:c r="N952" s="2" t="n">
        <x:v>1</x:v>
      </x:c>
      <x:c r="O952" s="2" t="str">
        <x:v>Accepted</x:v>
      </x:c>
      <x:c r="P952" s="2" t="str">
        <x:v>S003</x:v>
      </x:c>
      <x:c r="Q952" s="2" t="str">
        <x:v>DEV003</x:v>
      </x:c>
      <x:c r="R952" s="2" t="n">
        <x:v>19</x:v>
      </x:c>
      <x:c r="S952" s="2" t="str">
        <x:v>Online</x:v>
      </x:c>
      <x:c r="T952" s="2" t="str">
        <x:v>Synced</x:v>
      </x:c>
    </x:row>
    <x:row r="953" ht="21" customHeight="1">
      <x:c r="A953" s="2" t="str">
        <x:v>EV000636</x:v>
      </x:c>
      <x:c r="B953" s="2" t="str">
        <x:v>T20261005-5-1</x:v>
      </x:c>
      <x:c r="C953" s="2" t="str">
        <x:v>ST039</x:v>
      </x:c>
      <x:c r="D953" s="2" t="str">
        <x:v>31ed548c9c06f555ac72ac2281bbb58a</x:v>
      </x:c>
      <x:c r="E953" s="2" t="str">
        <x:v>CHECK_OUT</x:v>
      </x:c>
      <x:c r="F953" s="8" t="n">
        <x:v>46300.733611111114</x:v>
      </x:c>
      <x:c r="G953" s="8" t="n">
        <x:v>46300.73363425926</x:v>
      </x:c>
      <x:c r="H953" s="2" t="str">
        <x:v>R1S3</x:v>
      </x:c>
      <x:c r="I953" s="9" t="n">
        <x:v>25.275000000000002</x:v>
      </x:c>
      <x:c r="J953" s="9" t="n">
        <x:v>51.497</x:v>
      </x:c>
      <x:c r="K953" s="2" t="n">
        <x:v>8</x:v>
      </x:c>
      <x:c r="L953" s="2" t="str">
        <x:v>Valid</x:v>
      </x:c>
      <x:c r="M953" s="2" t="str">
        <x:v>QR</x:v>
      </x:c>
      <x:c r="N953" s="2" t="n">
        <x:v>1</x:v>
      </x:c>
      <x:c r="O953" s="2" t="str">
        <x:v>Accepted</x:v>
      </x:c>
      <x:c r="P953" s="2" t="str">
        <x:v>S001</x:v>
      </x:c>
      <x:c r="Q953" s="2" t="str">
        <x:v>DEV001</x:v>
      </x:c>
      <x:c r="R953" s="2" t="n">
        <x:v>20</x:v>
      </x:c>
      <x:c r="S953" s="2" t="str">
        <x:v>Online</x:v>
      </x:c>
      <x:c r="T953" s="2" t="str">
        <x:v>Synced</x:v>
      </x:c>
    </x:row>
    <x:row r="954" ht="21" customHeight="1">
      <x:c r="A954" s="2" t="str">
        <x:v>EV000792</x:v>
      </x:c>
      <x:c r="B954" s="2" t="str">
        <x:v>T20261005-5-2</x:v>
      </x:c>
      <x:c r="C954" s="2" t="str">
        <x:v>ST079</x:v>
      </x:c>
      <x:c r="D954" s="2" t="str">
        <x:v>3a794a47ff11773398f2344554eeea57</x:v>
      </x:c>
      <x:c r="E954" s="2" t="str">
        <x:v>CHECK_OUT</x:v>
      </x:c>
      <x:c r="F954" s="8" t="n">
        <x:v>46300.733611111114</x:v>
      </x:c>
      <x:c r="G954" s="8" t="n">
        <x:v>46300.73363425926</x:v>
      </x:c>
      <x:c r="H954" s="2" t="str">
        <x:v>R2S3</x:v>
      </x:c>
      <x:c r="I954" s="9" t="n">
        <x:v>25.284000000000002</x:v>
      </x:c>
      <x:c r="J954" s="9" t="n">
        <x:v>51.504999999999995</x:v>
      </x:c>
      <x:c r="K954" s="2" t="n">
        <x:v>8</x:v>
      </x:c>
      <x:c r="L954" s="2" t="str">
        <x:v>Valid</x:v>
      </x:c>
      <x:c r="M954" s="2" t="str">
        <x:v>QR</x:v>
      </x:c>
      <x:c r="N954" s="2" t="n">
        <x:v>1</x:v>
      </x:c>
      <x:c r="O954" s="2" t="str">
        <x:v>Accepted</x:v>
      </x:c>
      <x:c r="P954" s="2" t="str">
        <x:v>S002</x:v>
      </x:c>
      <x:c r="Q954" s="2" t="str">
        <x:v>DEV002</x:v>
      </x:c>
      <x:c r="R954" s="2" t="n">
        <x:v>20</x:v>
      </x:c>
      <x:c r="S954" s="2" t="str">
        <x:v>Online</x:v>
      </x:c>
      <x:c r="T954" s="2" t="str">
        <x:v>Synced</x:v>
      </x:c>
    </x:row>
    <x:row r="955" ht="21" customHeight="1">
      <x:c r="A955" s="2" t="str">
        <x:v>EV000952</x:v>
      </x:c>
      <x:c r="B955" s="2" t="str">
        <x:v>T20261005-5-3</x:v>
      </x:c>
      <x:c r="C955" s="2" t="str">
        <x:v>ST119</x:v>
      </x:c>
      <x:c r="D955" s="2" t="str">
        <x:v>c01a05a48293e3b7c907c4b326c0d0a8</x:v>
      </x:c>
      <x:c r="E955" s="2" t="str">
        <x:v>CHECK_OUT</x:v>
      </x:c>
      <x:c r="F955" s="8" t="n">
        <x:v>46300.733611111114</x:v>
      </x:c>
      <x:c r="G955" s="8" t="n">
        <x:v>46300.73363425926</x:v>
      </x:c>
      <x:c r="H955" s="2" t="str">
        <x:v>R3S3</x:v>
      </x:c>
      <x:c r="I955" s="9" t="n">
        <x:v>25.293000000000003</x:v>
      </x:c>
      <x:c r="J955" s="9" t="n">
        <x:v>51.513</x:v>
      </x:c>
      <x:c r="K955" s="2" t="n">
        <x:v>8</x:v>
      </x:c>
      <x:c r="L955" s="2" t="str">
        <x:v>Valid</x:v>
      </x:c>
      <x:c r="M955" s="2" t="str">
        <x:v>QR</x:v>
      </x:c>
      <x:c r="N955" s="2" t="n">
        <x:v>1</x:v>
      </x:c>
      <x:c r="O955" s="2" t="str">
        <x:v>Accepted</x:v>
      </x:c>
      <x:c r="P955" s="2" t="str">
        <x:v>S003</x:v>
      </x:c>
      <x:c r="Q955" s="2" t="str">
        <x:v>DEV003</x:v>
      </x:c>
      <x:c r="R955" s="2" t="n">
        <x:v>20</x:v>
      </x:c>
      <x:c r="S955" s="2" t="str">
        <x:v>Online</x:v>
      </x:c>
      <x:c r="T955" s="2" t="str">
        <x:v>Synced</x:v>
      </x:c>
    </x:row>
    <x:row r="956" ht="21" customHeight="1">
      <x:c r="A956" s="2" t="str">
        <x:v>EV000955</x:v>
      </x:c>
      <x:c r="B956" s="2" t="str">
        <x:v>T20261006-1-1</x:v>
      </x:c>
      <x:c r="C956" s="2" t="str">
        <x:v>ST001</x:v>
      </x:c>
      <x:c r="D956" s="2" t="str">
        <x:v>c33d277e346360e93548e66cbf71eda4</x:v>
      </x:c>
      <x:c r="E956" s="2" t="str">
        <x:v>CHECK_IN</x:v>
      </x:c>
      <x:c r="F956" s="8" t="n">
        <x:v>46301.242361111115</x:v>
      </x:c>
      <x:c r="G956" s="8" t="n">
        <x:v>46301.24238425926</x:v>
      </x:c>
      <x:c r="H956" s="2" t="str">
        <x:v>R1S1</x:v>
      </x:c>
      <x:c r="I956" s="9" t="n">
        <x:v>25.271</x:v>
      </x:c>
      <x:c r="J956" s="9" t="n">
        <x:v>51.491</x:v>
      </x:c>
      <x:c r="K956" s="2" t="n">
        <x:v>8</x:v>
      </x:c>
      <x:c r="L956" s="2" t="str">
        <x:v>Valid</x:v>
      </x:c>
      <x:c r="M956" s="2" t="str">
        <x:v>QR</x:v>
      </x:c>
      <x:c r="N956" s="2" t="n">
        <x:v>1</x:v>
      </x:c>
      <x:c r="O956" s="2" t="str">
        <x:v>Accepted</x:v>
      </x:c>
      <x:c r="P956" s="2" t="str">
        <x:v>S001</x:v>
      </x:c>
      <x:c r="Q956" s="2" t="str">
        <x:v>DEV001</x:v>
      </x:c>
      <x:c r="R956" s="2" t="n">
        <x:v>1</x:v>
      </x:c>
      <x:c r="S956" s="2" t="str">
        <x:v>Online</x:v>
      </x:c>
      <x:c r="T956" s="2" t="str">
        <x:v>Synced</x:v>
      </x:c>
    </x:row>
    <x:row r="957" ht="21" customHeight="1">
      <x:c r="A957" s="2" t="str">
        <x:v>EV001115</x:v>
      </x:c>
      <x:c r="B957" s="2" t="str">
        <x:v>T20261006-1-2</x:v>
      </x:c>
      <x:c r="C957" s="2" t="str">
        <x:v>ST041</x:v>
      </x:c>
      <x:c r="D957" s="2" t="str">
        <x:v>78597cf805a87b7619460b6ed67f501f</x:v>
      </x:c>
      <x:c r="E957" s="2" t="str">
        <x:v>CHECK_IN</x:v>
      </x:c>
      <x:c r="F957" s="8" t="n">
        <x:v>46301.242361111115</x:v>
      </x:c>
      <x:c r="G957" s="8" t="n">
        <x:v>46301.24238425926</x:v>
      </x:c>
      <x:c r="H957" s="2" t="str">
        <x:v>R2S1</x:v>
      </x:c>
      <x:c r="I957" s="9" t="n">
        <x:v>25.28</x:v>
      </x:c>
      <x:c r="J957" s="9" t="n">
        <x:v>51.498999999999995</x:v>
      </x:c>
      <x:c r="K957" s="2" t="n">
        <x:v>8</x:v>
      </x:c>
      <x:c r="L957" s="2" t="str">
        <x:v>Valid</x:v>
      </x:c>
      <x:c r="M957" s="2" t="str">
        <x:v>QR</x:v>
      </x:c>
      <x:c r="N957" s="2" t="n">
        <x:v>1</x:v>
      </x:c>
      <x:c r="O957" s="2" t="str">
        <x:v>Accepted</x:v>
      </x:c>
      <x:c r="P957" s="2" t="str">
        <x:v>S002</x:v>
      </x:c>
      <x:c r="Q957" s="2" t="str">
        <x:v>DEV002</x:v>
      </x:c>
      <x:c r="R957" s="2" t="n">
        <x:v>1</x:v>
      </x:c>
      <x:c r="S957" s="2" t="str">
        <x:v>Online</x:v>
      </x:c>
      <x:c r="T957" s="2" t="str">
        <x:v>Synced</x:v>
      </x:c>
    </x:row>
    <x:row r="958" ht="21" customHeight="1">
      <x:c r="A958" s="2" t="str">
        <x:v>EV001275</x:v>
      </x:c>
      <x:c r="B958" s="2" t="str">
        <x:v>T20261006-1-3</x:v>
      </x:c>
      <x:c r="C958" s="2" t="str">
        <x:v>ST081</x:v>
      </x:c>
      <x:c r="D958" s="2" t="str">
        <x:v>8631b63b10b36bffa6456d354db9c08f</x:v>
      </x:c>
      <x:c r="E958" s="2" t="str">
        <x:v>CHECK_IN</x:v>
      </x:c>
      <x:c r="F958" s="8" t="n">
        <x:v>46301.242361111115</x:v>
      </x:c>
      <x:c r="G958" s="8" t="n">
        <x:v>46301.24238425926</x:v>
      </x:c>
      <x:c r="H958" s="2" t="str">
        <x:v>R3S1</x:v>
      </x:c>
      <x:c r="I958" s="9" t="n">
        <x:v>25.289</x:v>
      </x:c>
      <x:c r="J958" s="9" t="n">
        <x:v>51.507</x:v>
      </x:c>
      <x:c r="K958" s="2" t="n">
        <x:v>8</x:v>
      </x:c>
      <x:c r="L958" s="2" t="str">
        <x:v>Valid</x:v>
      </x:c>
      <x:c r="M958" s="2" t="str">
        <x:v>QR</x:v>
      </x:c>
      <x:c r="N958" s="2" t="n">
        <x:v>1</x:v>
      </x:c>
      <x:c r="O958" s="2" t="str">
        <x:v>Accepted</x:v>
      </x:c>
      <x:c r="P958" s="2" t="str">
        <x:v>S003</x:v>
      </x:c>
      <x:c r="Q958" s="2" t="str">
        <x:v>DEV003</x:v>
      </x:c>
      <x:c r="R958" s="2" t="n">
        <x:v>1</x:v>
      </x:c>
      <x:c r="S958" s="2" t="str">
        <x:v>Online</x:v>
      </x:c>
      <x:c r="T958" s="2" t="str">
        <x:v>Synced</x:v>
      </x:c>
    </x:row>
    <x:row r="959" ht="21" customHeight="1">
      <x:c r="A959" s="2" t="str">
        <x:v>EV000979</x:v>
      </x:c>
      <x:c r="B959" s="2" t="str">
        <x:v>T20261006-1-1</x:v>
      </x:c>
      <x:c r="C959" s="2" t="str">
        <x:v>ST013</x:v>
      </x:c>
      <x:c r="D959" s="2" t="str">
        <x:v>ddc4bbe364f02f5a2177795c49ea7ba9</x:v>
      </x:c>
      <x:c r="E959" s="2" t="str">
        <x:v>CHECK_IN</x:v>
      </x:c>
      <x:c r="F959" s="8" t="n">
        <x:v>46301.24243055556</x:v>
      </x:c>
      <x:c r="G959" s="8" t="n">
        <x:v>46301.24245370371</x:v>
      </x:c>
      <x:c r="H959" s="2" t="str">
        <x:v>R1S1</x:v>
      </x:c>
      <x:c r="I959" s="9" t="n">
        <x:v>25.271</x:v>
      </x:c>
      <x:c r="J959" s="9" t="n">
        <x:v>51.491</x:v>
      </x:c>
      <x:c r="K959" s="2" t="n">
        <x:v>8</x:v>
      </x:c>
      <x:c r="L959" s="2" t="str">
        <x:v>Valid</x:v>
      </x:c>
      <x:c r="M959" s="2" t="str">
        <x:v>QR</x:v>
      </x:c>
      <x:c r="N959" s="2" t="n">
        <x:v>1</x:v>
      </x:c>
      <x:c r="O959" s="2" t="str">
        <x:v>Accepted</x:v>
      </x:c>
      <x:c r="P959" s="2" t="str">
        <x:v>S001</x:v>
      </x:c>
      <x:c r="Q959" s="2" t="str">
        <x:v>DEV001</x:v>
      </x:c>
      <x:c r="R959" s="2" t="n">
        <x:v>2</x:v>
      </x:c>
      <x:c r="S959" s="2" t="str">
        <x:v>Online</x:v>
      </x:c>
      <x:c r="T959" s="2" t="str">
        <x:v>Synced</x:v>
      </x:c>
    </x:row>
    <x:row r="960" ht="21" customHeight="1">
      <x:c r="A960" s="2" t="str">
        <x:v>EV001139</x:v>
      </x:c>
      <x:c r="B960" s="2" t="str">
        <x:v>T20261006-1-2</x:v>
      </x:c>
      <x:c r="C960" s="2" t="str">
        <x:v>ST053</x:v>
      </x:c>
      <x:c r="D960" s="2" t="str">
        <x:v>e476277c519e294480cfa14a37e177a0</x:v>
      </x:c>
      <x:c r="E960" s="2" t="str">
        <x:v>CHECK_IN</x:v>
      </x:c>
      <x:c r="F960" s="8" t="n">
        <x:v>46301.24243055556</x:v>
      </x:c>
      <x:c r="G960" s="8" t="n">
        <x:v>46301.24245370371</x:v>
      </x:c>
      <x:c r="H960" s="2" t="str">
        <x:v>R2S1</x:v>
      </x:c>
      <x:c r="I960" s="9" t="n">
        <x:v>25.28</x:v>
      </x:c>
      <x:c r="J960" s="9" t="n">
        <x:v>51.498999999999995</x:v>
      </x:c>
      <x:c r="K960" s="2" t="n">
        <x:v>8</x:v>
      </x:c>
      <x:c r="L960" s="2" t="str">
        <x:v>Valid</x:v>
      </x:c>
      <x:c r="M960" s="2" t="str">
        <x:v>QR</x:v>
      </x:c>
      <x:c r="N960" s="2" t="n">
        <x:v>1</x:v>
      </x:c>
      <x:c r="O960" s="2" t="str">
        <x:v>Accepted</x:v>
      </x:c>
      <x:c r="P960" s="2" t="str">
        <x:v>S002</x:v>
      </x:c>
      <x:c r="Q960" s="2" t="str">
        <x:v>DEV002</x:v>
      </x:c>
      <x:c r="R960" s="2" t="n">
        <x:v>2</x:v>
      </x:c>
      <x:c r="S960" s="2" t="str">
        <x:v>Online</x:v>
      </x:c>
      <x:c r="T960" s="2" t="str">
        <x:v>Synced</x:v>
      </x:c>
    </x:row>
    <x:row r="961" ht="21" customHeight="1">
      <x:c r="A961" s="2" t="str">
        <x:v>EV001299</x:v>
      </x:c>
      <x:c r="B961" s="2" t="str">
        <x:v>T20261006-1-3</x:v>
      </x:c>
      <x:c r="C961" s="2" t="str">
        <x:v>ST093</x:v>
      </x:c>
      <x:c r="D961" s="2" t="str">
        <x:v>e69cdca4f10e82426e9a3098f4672791</x:v>
      </x:c>
      <x:c r="E961" s="2" t="str">
        <x:v>CHECK_IN</x:v>
      </x:c>
      <x:c r="F961" s="8" t="n">
        <x:v>46301.24243055556</x:v>
      </x:c>
      <x:c r="G961" s="8" t="n">
        <x:v>46301.24245370371</x:v>
      </x:c>
      <x:c r="H961" s="2" t="str">
        <x:v>R3S1</x:v>
      </x:c>
      <x:c r="I961" s="9" t="n">
        <x:v>25.289</x:v>
      </x:c>
      <x:c r="J961" s="9" t="n">
        <x:v>51.507</x:v>
      </x:c>
      <x:c r="K961" s="2" t="n">
        <x:v>8</x:v>
      </x:c>
      <x:c r="L961" s="2" t="str">
        <x:v>Valid</x:v>
      </x:c>
      <x:c r="M961" s="2" t="str">
        <x:v>QR</x:v>
      </x:c>
      <x:c r="N961" s="2" t="n">
        <x:v>1</x:v>
      </x:c>
      <x:c r="O961" s="2" t="str">
        <x:v>Accepted</x:v>
      </x:c>
      <x:c r="P961" s="2" t="str">
        <x:v>S003</x:v>
      </x:c>
      <x:c r="Q961" s="2" t="str">
        <x:v>DEV003</x:v>
      </x:c>
      <x:c r="R961" s="2" t="n">
        <x:v>2</x:v>
      </x:c>
      <x:c r="S961" s="2" t="str">
        <x:v>Online</x:v>
      </x:c>
      <x:c r="T961" s="2" t="str">
        <x:v>Synced</x:v>
      </x:c>
    </x:row>
    <x:row r="962" ht="21" customHeight="1">
      <x:c r="A962" s="2" t="str">
        <x:v>EV000961</x:v>
      </x:c>
      <x:c r="B962" s="2" t="str">
        <x:v>T20261006-1-1</x:v>
      </x:c>
      <x:c r="C962" s="2" t="str">
        <x:v>ST004</x:v>
      </x:c>
      <x:c r="D962" s="2" t="str">
        <x:v>7dee56e67101a0dd8483e1503eba9a72</x:v>
      </x:c>
      <x:c r="E962" s="2" t="str">
        <x:v>CHECK_IN</x:v>
      </x:c>
      <x:c r="F962" s="8" t="n">
        <x:v>46301.242465277785</x:v>
      </x:c>
      <x:c r="G962" s="8" t="n">
        <x:v>46301.24248842593</x:v>
      </x:c>
      <x:c r="H962" s="2" t="str">
        <x:v>R1S1</x:v>
      </x:c>
      <x:c r="I962" s="9" t="n">
        <x:v>25.271</x:v>
      </x:c>
      <x:c r="J962" s="9" t="n">
        <x:v>51.491</x:v>
      </x:c>
      <x:c r="K962" s="2" t="n">
        <x:v>8</x:v>
      </x:c>
      <x:c r="L962" s="2" t="str">
        <x:v>Valid</x:v>
      </x:c>
      <x:c r="M962" s="2" t="str">
        <x:v>QR</x:v>
      </x:c>
      <x:c r="N962" s="2" t="n">
        <x:v>1</x:v>
      </x:c>
      <x:c r="O962" s="2" t="str">
        <x:v>Accepted</x:v>
      </x:c>
      <x:c r="P962" s="2" t="str">
        <x:v>S001</x:v>
      </x:c>
      <x:c r="Q962" s="2" t="str">
        <x:v>DEV001</x:v>
      </x:c>
      <x:c r="R962" s="2" t="n">
        <x:v>3</x:v>
      </x:c>
      <x:c r="S962" s="2" t="str">
        <x:v>Online</x:v>
      </x:c>
      <x:c r="T962" s="2" t="str">
        <x:v>Synced</x:v>
      </x:c>
    </x:row>
    <x:row r="963" ht="21" customHeight="1">
      <x:c r="A963" s="2" t="str">
        <x:v>EV001121</x:v>
      </x:c>
      <x:c r="B963" s="2" t="str">
        <x:v>T20261006-1-2</x:v>
      </x:c>
      <x:c r="C963" s="2" t="str">
        <x:v>ST044</x:v>
      </x:c>
      <x:c r="D963" s="2" t="str">
        <x:v>638b036dff08260bc8976402fb10157a</x:v>
      </x:c>
      <x:c r="E963" s="2" t="str">
        <x:v>CHECK_IN</x:v>
      </x:c>
      <x:c r="F963" s="8" t="n">
        <x:v>46301.242465277785</x:v>
      </x:c>
      <x:c r="G963" s="8" t="n">
        <x:v>46301.24248842593</x:v>
      </x:c>
      <x:c r="H963" s="2" t="str">
        <x:v>R2S1</x:v>
      </x:c>
      <x:c r="I963" s="9" t="n">
        <x:v>25.28</x:v>
      </x:c>
      <x:c r="J963" s="9" t="n">
        <x:v>51.498999999999995</x:v>
      </x:c>
      <x:c r="K963" s="2" t="n">
        <x:v>8</x:v>
      </x:c>
      <x:c r="L963" s="2" t="str">
        <x:v>Valid</x:v>
      </x:c>
      <x:c r="M963" s="2" t="str">
        <x:v>QR</x:v>
      </x:c>
      <x:c r="N963" s="2" t="n">
        <x:v>1</x:v>
      </x:c>
      <x:c r="O963" s="2" t="str">
        <x:v>Accepted</x:v>
      </x:c>
      <x:c r="P963" s="2" t="str">
        <x:v>S002</x:v>
      </x:c>
      <x:c r="Q963" s="2" t="str">
        <x:v>DEV002</x:v>
      </x:c>
      <x:c r="R963" s="2" t="n">
        <x:v>3</x:v>
      </x:c>
      <x:c r="S963" s="2" t="str">
        <x:v>Online</x:v>
      </x:c>
      <x:c r="T963" s="2" t="str">
        <x:v>Synced</x:v>
      </x:c>
    </x:row>
    <x:row r="964" ht="21" customHeight="1">
      <x:c r="A964" s="2" t="str">
        <x:v>EV001281</x:v>
      </x:c>
      <x:c r="B964" s="2" t="str">
        <x:v>T20261006-1-3</x:v>
      </x:c>
      <x:c r="C964" s="2" t="str">
        <x:v>ST084</x:v>
      </x:c>
      <x:c r="D964" s="2" t="str">
        <x:v>2f6163b722feb8421b83fd278ee72e5c</x:v>
      </x:c>
      <x:c r="E964" s="2" t="str">
        <x:v>CHECK_IN</x:v>
      </x:c>
      <x:c r="F964" s="8" t="n">
        <x:v>46301.242465277785</x:v>
      </x:c>
      <x:c r="G964" s="8" t="n">
        <x:v>46301.24248842593</x:v>
      </x:c>
      <x:c r="H964" s="2" t="str">
        <x:v>R3S1</x:v>
      </x:c>
      <x:c r="I964" s="9" t="n">
        <x:v>25.289</x:v>
      </x:c>
      <x:c r="J964" s="9" t="n">
        <x:v>51.507</x:v>
      </x:c>
      <x:c r="K964" s="2" t="n">
        <x:v>8</x:v>
      </x:c>
      <x:c r="L964" s="2" t="str">
        <x:v>Valid</x:v>
      </x:c>
      <x:c r="M964" s="2" t="str">
        <x:v>QR</x:v>
      </x:c>
      <x:c r="N964" s="2" t="n">
        <x:v>1</x:v>
      </x:c>
      <x:c r="O964" s="2" t="str">
        <x:v>Accepted</x:v>
      </x:c>
      <x:c r="P964" s="2" t="str">
        <x:v>S003</x:v>
      </x:c>
      <x:c r="Q964" s="2" t="str">
        <x:v>DEV003</x:v>
      </x:c>
      <x:c r="R964" s="2" t="n">
        <x:v>3</x:v>
      </x:c>
      <x:c r="S964" s="2" t="str">
        <x:v>Online</x:v>
      </x:c>
      <x:c r="T964" s="2" t="str">
        <x:v>Synced</x:v>
      </x:c>
    </x:row>
    <x:row r="965" ht="21" customHeight="1">
      <x:c r="A965" s="2" t="str">
        <x:v>EV000985</x:v>
      </x:c>
      <x:c r="B965" s="2" t="str">
        <x:v>T20261006-1-1</x:v>
      </x:c>
      <x:c r="C965" s="2" t="str">
        <x:v>ST016</x:v>
      </x:c>
      <x:c r="D965" s="2" t="str">
        <x:v>5227a65bcc4ea356d570fe16b2970ea5</x:v>
      </x:c>
      <x:c r="E965" s="2" t="str">
        <x:v>CHECK_IN</x:v>
      </x:c>
      <x:c r="F965" s="8" t="n">
        <x:v>46301.24253472222</x:v>
      </x:c>
      <x:c r="G965" s="8" t="n">
        <x:v>46301.24255787037</x:v>
      </x:c>
      <x:c r="H965" s="2" t="str">
        <x:v>R1S1</x:v>
      </x:c>
      <x:c r="I965" s="9" t="n">
        <x:v>25.271</x:v>
      </x:c>
      <x:c r="J965" s="9" t="n">
        <x:v>51.491</x:v>
      </x:c>
      <x:c r="K965" s="2" t="n">
        <x:v>8</x:v>
      </x:c>
      <x:c r="L965" s="2" t="str">
        <x:v>Valid</x:v>
      </x:c>
      <x:c r="M965" s="2" t="str">
        <x:v>QR</x:v>
      </x:c>
      <x:c r="N965" s="2" t="n">
        <x:v>1</x:v>
      </x:c>
      <x:c r="O965" s="2" t="str">
        <x:v>Accepted</x:v>
      </x:c>
      <x:c r="P965" s="2" t="str">
        <x:v>S001</x:v>
      </x:c>
      <x:c r="Q965" s="2" t="str">
        <x:v>DEV001</x:v>
      </x:c>
      <x:c r="R965" s="2" t="n">
        <x:v>4</x:v>
      </x:c>
      <x:c r="S965" s="2" t="str">
        <x:v>Online</x:v>
      </x:c>
      <x:c r="T965" s="2" t="str">
        <x:v>Synced</x:v>
      </x:c>
    </x:row>
    <x:row r="966" ht="21" customHeight="1">
      <x:c r="A966" s="2" t="str">
        <x:v>EV001145</x:v>
      </x:c>
      <x:c r="B966" s="2" t="str">
        <x:v>T20261006-1-2</x:v>
      </x:c>
      <x:c r="C966" s="2" t="str">
        <x:v>ST056</x:v>
      </x:c>
      <x:c r="D966" s="2" t="str">
        <x:v>245ed370430be1001f6d7d13404dd8b1</x:v>
      </x:c>
      <x:c r="E966" s="2" t="str">
        <x:v>CHECK_IN</x:v>
      </x:c>
      <x:c r="F966" s="8" t="n">
        <x:v>46301.24253472222</x:v>
      </x:c>
      <x:c r="G966" s="8" t="n">
        <x:v>46301.24255787037</x:v>
      </x:c>
      <x:c r="H966" s="2" t="str">
        <x:v>R2S1</x:v>
      </x:c>
      <x:c r="I966" s="9" t="n">
        <x:v>25.28</x:v>
      </x:c>
      <x:c r="J966" s="9" t="n">
        <x:v>51.498999999999995</x:v>
      </x:c>
      <x:c r="K966" s="2" t="n">
        <x:v>8</x:v>
      </x:c>
      <x:c r="L966" s="2" t="str">
        <x:v>Valid</x:v>
      </x:c>
      <x:c r="M966" s="2" t="str">
        <x:v>QR</x:v>
      </x:c>
      <x:c r="N966" s="2" t="n">
        <x:v>1</x:v>
      </x:c>
      <x:c r="O966" s="2" t="str">
        <x:v>Accepted</x:v>
      </x:c>
      <x:c r="P966" s="2" t="str">
        <x:v>S002</x:v>
      </x:c>
      <x:c r="Q966" s="2" t="str">
        <x:v>DEV002</x:v>
      </x:c>
      <x:c r="R966" s="2" t="n">
        <x:v>4</x:v>
      </x:c>
      <x:c r="S966" s="2" t="str">
        <x:v>Online</x:v>
      </x:c>
      <x:c r="T966" s="2" t="str">
        <x:v>Synced</x:v>
      </x:c>
    </x:row>
    <x:row r="967" ht="21" customHeight="1">
      <x:c r="A967" s="2" t="str">
        <x:v>EV001305</x:v>
      </x:c>
      <x:c r="B967" s="2" t="str">
        <x:v>T20261006-1-3</x:v>
      </x:c>
      <x:c r="C967" s="2" t="str">
        <x:v>ST096</x:v>
      </x:c>
      <x:c r="D967" s="2" t="str">
        <x:v>46905fa8ca039f79eec63d82a6ea3c69</x:v>
      </x:c>
      <x:c r="E967" s="2" t="str">
        <x:v>CHECK_IN</x:v>
      </x:c>
      <x:c r="F967" s="8" t="n">
        <x:v>46301.24253472222</x:v>
      </x:c>
      <x:c r="G967" s="8" t="n">
        <x:v>46301.24255787037</x:v>
      </x:c>
      <x:c r="H967" s="2" t="str">
        <x:v>R3S1</x:v>
      </x:c>
      <x:c r="I967" s="9" t="n">
        <x:v>25.289</x:v>
      </x:c>
      <x:c r="J967" s="9" t="n">
        <x:v>51.507</x:v>
      </x:c>
      <x:c r="K967" s="2" t="n">
        <x:v>8</x:v>
      </x:c>
      <x:c r="L967" s="2" t="str">
        <x:v>Valid</x:v>
      </x:c>
      <x:c r="M967" s="2" t="str">
        <x:v>QR</x:v>
      </x:c>
      <x:c r="N967" s="2" t="n">
        <x:v>1</x:v>
      </x:c>
      <x:c r="O967" s="2" t="str">
        <x:v>Accepted</x:v>
      </x:c>
      <x:c r="P967" s="2" t="str">
        <x:v>S003</x:v>
      </x:c>
      <x:c r="Q967" s="2" t="str">
        <x:v>DEV003</x:v>
      </x:c>
      <x:c r="R967" s="2" t="n">
        <x:v>4</x:v>
      </x:c>
      <x:c r="S967" s="2" t="str">
        <x:v>Online</x:v>
      </x:c>
      <x:c r="T967" s="2" t="str">
        <x:v>Synced</x:v>
      </x:c>
    </x:row>
    <x:row r="968" ht="21" customHeight="1">
      <x:c r="A968" s="2" t="str">
        <x:v>EV000967</x:v>
      </x:c>
      <x:c r="B968" s="2" t="str">
        <x:v>T20261006-1-1</x:v>
      </x:c>
      <x:c r="C968" s="2" t="str">
        <x:v>ST007</x:v>
      </x:c>
      <x:c r="D968" s="2" t="str">
        <x:v>2376173ab02a96d9b58d44caf4008dfd</x:v>
      </x:c>
      <x:c r="E968" s="2" t="str">
        <x:v>CHECK_IN</x:v>
      </x:c>
      <x:c r="F968" s="8" t="n">
        <x:v>46301.24256944445</x:v>
      </x:c>
      <x:c r="G968" s="8" t="n">
        <x:v>46301.24259259259</x:v>
      </x:c>
      <x:c r="H968" s="2" t="str">
        <x:v>R1S1</x:v>
      </x:c>
      <x:c r="I968" s="9" t="n">
        <x:v>25.271</x:v>
      </x:c>
      <x:c r="J968" s="9" t="n">
        <x:v>51.491</x:v>
      </x:c>
      <x:c r="K968" s="2" t="n">
        <x:v>8</x:v>
      </x:c>
      <x:c r="L968" s="2" t="str">
        <x:v>Valid</x:v>
      </x:c>
      <x:c r="M968" s="2" t="str">
        <x:v>QR</x:v>
      </x:c>
      <x:c r="N968" s="2" t="n">
        <x:v>1</x:v>
      </x:c>
      <x:c r="O968" s="2" t="str">
        <x:v>Accepted</x:v>
      </x:c>
      <x:c r="P968" s="2" t="str">
        <x:v>S001</x:v>
      </x:c>
      <x:c r="Q968" s="2" t="str">
        <x:v>DEV001</x:v>
      </x:c>
      <x:c r="R968" s="2" t="n">
        <x:v>5</x:v>
      </x:c>
      <x:c r="S968" s="2" t="str">
        <x:v>Online</x:v>
      </x:c>
      <x:c r="T968" s="2" t="str">
        <x:v>Synced</x:v>
      </x:c>
    </x:row>
    <x:row r="969" ht="21" customHeight="1">
      <x:c r="A969" s="2" t="str">
        <x:v>EV001127</x:v>
      </x:c>
      <x:c r="B969" s="2" t="str">
        <x:v>T20261006-1-2</x:v>
      </x:c>
      <x:c r="C969" s="2" t="str">
        <x:v>ST047</x:v>
      </x:c>
      <x:c r="D969" s="2" t="str">
        <x:v>b3f6380a42fb190ae04afac7edee87cd</x:v>
      </x:c>
      <x:c r="E969" s="2" t="str">
        <x:v>CHECK_IN</x:v>
      </x:c>
      <x:c r="F969" s="8" t="n">
        <x:v>46301.24256944445</x:v>
      </x:c>
      <x:c r="G969" s="8" t="n">
        <x:v>46301.24259259259</x:v>
      </x:c>
      <x:c r="H969" s="2" t="str">
        <x:v>R2S1</x:v>
      </x:c>
      <x:c r="I969" s="9" t="n">
        <x:v>25.28</x:v>
      </x:c>
      <x:c r="J969" s="9" t="n">
        <x:v>51.498999999999995</x:v>
      </x:c>
      <x:c r="K969" s="2" t="n">
        <x:v>8</x:v>
      </x:c>
      <x:c r="L969" s="2" t="str">
        <x:v>Valid</x:v>
      </x:c>
      <x:c r="M969" s="2" t="str">
        <x:v>QR</x:v>
      </x:c>
      <x:c r="N969" s="2" t="n">
        <x:v>1</x:v>
      </x:c>
      <x:c r="O969" s="2" t="str">
        <x:v>Accepted</x:v>
      </x:c>
      <x:c r="P969" s="2" t="str">
        <x:v>S002</x:v>
      </x:c>
      <x:c r="Q969" s="2" t="str">
        <x:v>DEV002</x:v>
      </x:c>
      <x:c r="R969" s="2" t="n">
        <x:v>5</x:v>
      </x:c>
      <x:c r="S969" s="2" t="str">
        <x:v>Online</x:v>
      </x:c>
      <x:c r="T969" s="2" t="str">
        <x:v>Synced</x:v>
      </x:c>
    </x:row>
    <x:row r="970" ht="21" customHeight="1">
      <x:c r="A970" s="2" t="str">
        <x:v>EV001287</x:v>
      </x:c>
      <x:c r="B970" s="2" t="str">
        <x:v>T20261006-1-3</x:v>
      </x:c>
      <x:c r="C970" s="2" t="str">
        <x:v>ST087</x:v>
      </x:c>
      <x:c r="D970" s="2" t="str">
        <x:v>30243cf46003be06b271950aa5cd47a6</x:v>
      </x:c>
      <x:c r="E970" s="2" t="str">
        <x:v>CHECK_IN</x:v>
      </x:c>
      <x:c r="F970" s="8" t="n">
        <x:v>46301.24256944445</x:v>
      </x:c>
      <x:c r="G970" s="8" t="n">
        <x:v>46301.24259259259</x:v>
      </x:c>
      <x:c r="H970" s="2" t="str">
        <x:v>R3S1</x:v>
      </x:c>
      <x:c r="I970" s="9" t="n">
        <x:v>25.289</x:v>
      </x:c>
      <x:c r="J970" s="9" t="n">
        <x:v>51.507</x:v>
      </x:c>
      <x:c r="K970" s="2" t="n">
        <x:v>8</x:v>
      </x:c>
      <x:c r="L970" s="2" t="str">
        <x:v>Valid</x:v>
      </x:c>
      <x:c r="M970" s="2" t="str">
        <x:v>QR</x:v>
      </x:c>
      <x:c r="N970" s="2" t="n">
        <x:v>1</x:v>
      </x:c>
      <x:c r="O970" s="2" t="str">
        <x:v>Accepted</x:v>
      </x:c>
      <x:c r="P970" s="2" t="str">
        <x:v>S003</x:v>
      </x:c>
      <x:c r="Q970" s="2" t="str">
        <x:v>DEV003</x:v>
      </x:c>
      <x:c r="R970" s="2" t="n">
        <x:v>5</x:v>
      </x:c>
      <x:c r="S970" s="2" t="str">
        <x:v>Online</x:v>
      </x:c>
      <x:c r="T970" s="2" t="str">
        <x:v>Synced</x:v>
      </x:c>
    </x:row>
    <x:row r="971" ht="21" customHeight="1">
      <x:c r="A971" s="2" t="str">
        <x:v>EV000991</x:v>
      </x:c>
      <x:c r="B971" s="2" t="str">
        <x:v>T20261006-1-1</x:v>
      </x:c>
      <x:c r="C971" s="2" t="str">
        <x:v>ST019</x:v>
      </x:c>
      <x:c r="D971" s="2" t="str">
        <x:v>b83400b1b6dcfb0f7cb413571cb76f8f</x:v>
      </x:c>
      <x:c r="E971" s="2" t="str">
        <x:v>CHECK_IN</x:v>
      </x:c>
      <x:c r="F971" s="8" t="n">
        <x:v>46301.24263888889</x:v>
      </x:c>
      <x:c r="G971" s="8" t="n">
        <x:v>46301.24266203704</x:v>
      </x:c>
      <x:c r="H971" s="2" t="str">
        <x:v>R1S1</x:v>
      </x:c>
      <x:c r="I971" s="9" t="n">
        <x:v>25.271</x:v>
      </x:c>
      <x:c r="J971" s="9" t="n">
        <x:v>51.491</x:v>
      </x:c>
      <x:c r="K971" s="2" t="n">
        <x:v>8</x:v>
      </x:c>
      <x:c r="L971" s="2" t="str">
        <x:v>Valid</x:v>
      </x:c>
      <x:c r="M971" s="2" t="str">
        <x:v>QR</x:v>
      </x:c>
      <x:c r="N971" s="2" t="n">
        <x:v>1</x:v>
      </x:c>
      <x:c r="O971" s="2" t="str">
        <x:v>Accepted</x:v>
      </x:c>
      <x:c r="P971" s="2" t="str">
        <x:v>S001</x:v>
      </x:c>
      <x:c r="Q971" s="2" t="str">
        <x:v>DEV001</x:v>
      </x:c>
      <x:c r="R971" s="2" t="n">
        <x:v>6</x:v>
      </x:c>
      <x:c r="S971" s="2" t="str">
        <x:v>Online</x:v>
      </x:c>
      <x:c r="T971" s="2" t="str">
        <x:v>Synced</x:v>
      </x:c>
    </x:row>
    <x:row r="972" ht="21" customHeight="1">
      <x:c r="A972" s="2" t="str">
        <x:v>EV001151</x:v>
      </x:c>
      <x:c r="B972" s="2" t="str">
        <x:v>T20261006-1-2</x:v>
      </x:c>
      <x:c r="C972" s="2" t="str">
        <x:v>ST059</x:v>
      </x:c>
      <x:c r="D972" s="2" t="str">
        <x:v>08b31edc14b3a345822a41d6515bfcba</x:v>
      </x:c>
      <x:c r="E972" s="2" t="str">
        <x:v>CHECK_IN</x:v>
      </x:c>
      <x:c r="F972" s="8" t="n">
        <x:v>46301.24263888889</x:v>
      </x:c>
      <x:c r="G972" s="8" t="n">
        <x:v>46301.24266203704</x:v>
      </x:c>
      <x:c r="H972" s="2" t="str">
        <x:v>R2S1</x:v>
      </x:c>
      <x:c r="I972" s="9" t="n">
        <x:v>25.28</x:v>
      </x:c>
      <x:c r="J972" s="9" t="n">
        <x:v>51.498999999999995</x:v>
      </x:c>
      <x:c r="K972" s="2" t="n">
        <x:v>8</x:v>
      </x:c>
      <x:c r="L972" s="2" t="str">
        <x:v>Valid</x:v>
      </x:c>
      <x:c r="M972" s="2" t="str">
        <x:v>QR</x:v>
      </x:c>
      <x:c r="N972" s="2" t="n">
        <x:v>1</x:v>
      </x:c>
      <x:c r="O972" s="2" t="str">
        <x:v>Accepted</x:v>
      </x:c>
      <x:c r="P972" s="2" t="str">
        <x:v>S002</x:v>
      </x:c>
      <x:c r="Q972" s="2" t="str">
        <x:v>DEV002</x:v>
      </x:c>
      <x:c r="R972" s="2" t="n">
        <x:v>6</x:v>
      </x:c>
      <x:c r="S972" s="2" t="str">
        <x:v>Online</x:v>
      </x:c>
      <x:c r="T972" s="2" t="str">
        <x:v>Synced</x:v>
      </x:c>
    </x:row>
    <x:row r="973" ht="21" customHeight="1">
      <x:c r="A973" s="2" t="str">
        <x:v>EV001311</x:v>
      </x:c>
      <x:c r="B973" s="2" t="str">
        <x:v>T20261006-1-3</x:v>
      </x:c>
      <x:c r="C973" s="2" t="str">
        <x:v>ST099</x:v>
      </x:c>
      <x:c r="D973" s="2" t="str">
        <x:v>46d20c66394c55b68e36e5335452d87c</x:v>
      </x:c>
      <x:c r="E973" s="2" t="str">
        <x:v>CHECK_IN</x:v>
      </x:c>
      <x:c r="F973" s="8" t="n">
        <x:v>46301.24263888889</x:v>
      </x:c>
      <x:c r="G973" s="8" t="n">
        <x:v>46301.24266203704</x:v>
      </x:c>
      <x:c r="H973" s="2" t="str">
        <x:v>R3S1</x:v>
      </x:c>
      <x:c r="I973" s="9" t="n">
        <x:v>25.289</x:v>
      </x:c>
      <x:c r="J973" s="9" t="n">
        <x:v>51.507</x:v>
      </x:c>
      <x:c r="K973" s="2" t="n">
        <x:v>8</x:v>
      </x:c>
      <x:c r="L973" s="2" t="str">
        <x:v>Valid</x:v>
      </x:c>
      <x:c r="M973" s="2" t="str">
        <x:v>QR</x:v>
      </x:c>
      <x:c r="N973" s="2" t="n">
        <x:v>1</x:v>
      </x:c>
      <x:c r="O973" s="2" t="str">
        <x:v>Accepted</x:v>
      </x:c>
      <x:c r="P973" s="2" t="str">
        <x:v>S003</x:v>
      </x:c>
      <x:c r="Q973" s="2" t="str">
        <x:v>DEV003</x:v>
      </x:c>
      <x:c r="R973" s="2" t="n">
        <x:v>6</x:v>
      </x:c>
      <x:c r="S973" s="2" t="str">
        <x:v>Online</x:v>
      </x:c>
      <x:c r="T973" s="2" t="str">
        <x:v>Synced</x:v>
      </x:c>
    </x:row>
    <x:row r="974" ht="21" customHeight="1">
      <x:c r="A974" s="2" t="str">
        <x:v>EV000973</x:v>
      </x:c>
      <x:c r="B974" s="2" t="str">
        <x:v>T20261006-1-1</x:v>
      </x:c>
      <x:c r="C974" s="2" t="str">
        <x:v>ST010</x:v>
      </x:c>
      <x:c r="D974" s="2" t="str">
        <x:v>df6521f6838e149b7b1f3fd27dcbf586</x:v>
      </x:c>
      <x:c r="E974" s="2" t="str">
        <x:v>CHECK_IN</x:v>
      </x:c>
      <x:c r="F974" s="8" t="n">
        <x:v>46301.242673611116</x:v>
      </x:c>
      <x:c r="G974" s="8" t="n">
        <x:v>46301.24269675926</x:v>
      </x:c>
      <x:c r="H974" s="2" t="str">
        <x:v>R1S1</x:v>
      </x:c>
      <x:c r="I974" s="9" t="n">
        <x:v>25.271</x:v>
      </x:c>
      <x:c r="J974" s="9" t="n">
        <x:v>51.491</x:v>
      </x:c>
      <x:c r="K974" s="2" t="n">
        <x:v>8</x:v>
      </x:c>
      <x:c r="L974" s="2" t="str">
        <x:v>Valid</x:v>
      </x:c>
      <x:c r="M974" s="2" t="str">
        <x:v>QR</x:v>
      </x:c>
      <x:c r="N974" s="2" t="n">
        <x:v>1</x:v>
      </x:c>
      <x:c r="O974" s="2" t="str">
        <x:v>Accepted</x:v>
      </x:c>
      <x:c r="P974" s="2" t="str">
        <x:v>S001</x:v>
      </x:c>
      <x:c r="Q974" s="2" t="str">
        <x:v>DEV001</x:v>
      </x:c>
      <x:c r="R974" s="2" t="n">
        <x:v>7</x:v>
      </x:c>
      <x:c r="S974" s="2" t="str">
        <x:v>Online</x:v>
      </x:c>
      <x:c r="T974" s="2" t="str">
        <x:v>Synced</x:v>
      </x:c>
    </x:row>
    <x:row r="975" ht="21" customHeight="1">
      <x:c r="A975" s="2" t="str">
        <x:v>EV001133</x:v>
      </x:c>
      <x:c r="B975" s="2" t="str">
        <x:v>T20261006-1-2</x:v>
      </x:c>
      <x:c r="C975" s="2" t="str">
        <x:v>ST050</x:v>
      </x:c>
      <x:c r="D975" s="2" t="str">
        <x:v>ca49474881a6395691ac81bd08684ed6</x:v>
      </x:c>
      <x:c r="E975" s="2" t="str">
        <x:v>CHECK_IN</x:v>
      </x:c>
      <x:c r="F975" s="8" t="n">
        <x:v>46301.242673611116</x:v>
      </x:c>
      <x:c r="G975" s="8" t="n">
        <x:v>46301.24269675926</x:v>
      </x:c>
      <x:c r="H975" s="2" t="str">
        <x:v>R2S1</x:v>
      </x:c>
      <x:c r="I975" s="9" t="n">
        <x:v>25.28</x:v>
      </x:c>
      <x:c r="J975" s="9" t="n">
        <x:v>51.498999999999995</x:v>
      </x:c>
      <x:c r="K975" s="2" t="n">
        <x:v>8</x:v>
      </x:c>
      <x:c r="L975" s="2" t="str">
        <x:v>Valid</x:v>
      </x:c>
      <x:c r="M975" s="2" t="str">
        <x:v>QR</x:v>
      </x:c>
      <x:c r="N975" s="2" t="n">
        <x:v>1</x:v>
      </x:c>
      <x:c r="O975" s="2" t="str">
        <x:v>Accepted</x:v>
      </x:c>
      <x:c r="P975" s="2" t="str">
        <x:v>S002</x:v>
      </x:c>
      <x:c r="Q975" s="2" t="str">
        <x:v>DEV002</x:v>
      </x:c>
      <x:c r="R975" s="2" t="n">
        <x:v>7</x:v>
      </x:c>
      <x:c r="S975" s="2" t="str">
        <x:v>Online</x:v>
      </x:c>
      <x:c r="T975" s="2" t="str">
        <x:v>Synced</x:v>
      </x:c>
    </x:row>
    <x:row r="976" ht="21" customHeight="1">
      <x:c r="A976" s="2" t="str">
        <x:v>EV001293</x:v>
      </x:c>
      <x:c r="B976" s="2" t="str">
        <x:v>T20261006-1-3</x:v>
      </x:c>
      <x:c r="C976" s="2" t="str">
        <x:v>ST090</x:v>
      </x:c>
      <x:c r="D976" s="2" t="str">
        <x:v>3b91252475551a374010825e1f05642c</x:v>
      </x:c>
      <x:c r="E976" s="2" t="str">
        <x:v>CHECK_IN</x:v>
      </x:c>
      <x:c r="F976" s="8" t="n">
        <x:v>46301.242673611116</x:v>
      </x:c>
      <x:c r="G976" s="8" t="n">
        <x:v>46301.24269675926</x:v>
      </x:c>
      <x:c r="H976" s="2" t="str">
        <x:v>R3S1</x:v>
      </x:c>
      <x:c r="I976" s="9" t="n">
        <x:v>25.289</x:v>
      </x:c>
      <x:c r="J976" s="9" t="n">
        <x:v>51.507</x:v>
      </x:c>
      <x:c r="K976" s="2" t="n">
        <x:v>8</x:v>
      </x:c>
      <x:c r="L976" s="2" t="str">
        <x:v>Valid</x:v>
      </x:c>
      <x:c r="M976" s="2" t="str">
        <x:v>QR</x:v>
      </x:c>
      <x:c r="N976" s="2" t="n">
        <x:v>1</x:v>
      </x:c>
      <x:c r="O976" s="2" t="str">
        <x:v>Accepted</x:v>
      </x:c>
      <x:c r="P976" s="2" t="str">
        <x:v>S003</x:v>
      </x:c>
      <x:c r="Q976" s="2" t="str">
        <x:v>DEV003</x:v>
      </x:c>
      <x:c r="R976" s="2" t="n">
        <x:v>7</x:v>
      </x:c>
      <x:c r="S976" s="2" t="str">
        <x:v>Online</x:v>
      </x:c>
      <x:c r="T976" s="2" t="str">
        <x:v>Synced</x:v>
      </x:c>
    </x:row>
    <x:row r="977" ht="21" customHeight="1">
      <x:c r="A977" s="2" t="str">
        <x:v>EV000975</x:v>
      </x:c>
      <x:c r="B977" s="2" t="str">
        <x:v>T20261006-1-1</x:v>
      </x:c>
      <x:c r="C977" s="2" t="str">
        <x:v>ST011</x:v>
      </x:c>
      <x:c r="D977" s="2" t="str">
        <x:v>38c917effc7ec45ac750455eb7892f3e</x:v>
      </x:c>
      <x:c r="E977" s="2" t="str">
        <x:v>CHECK_IN</x:v>
      </x:c>
      <x:c r="F977" s="8" t="n">
        <x:v>46301.24722222222</x:v>
      </x:c>
      <x:c r="G977" s="8" t="n">
        <x:v>46301.24724537037</x:v>
      </x:c>
      <x:c r="H977" s="2" t="str">
        <x:v>R1S2</x:v>
      </x:c>
      <x:c r="I977" s="9" t="n">
        <x:v>25.273000000000003</x:v>
      </x:c>
      <x:c r="J977" s="9" t="n">
        <x:v>51.494</x:v>
      </x:c>
      <x:c r="K977" s="2" t="n">
        <x:v>8</x:v>
      </x:c>
      <x:c r="L977" s="2" t="str">
        <x:v>Valid</x:v>
      </x:c>
      <x:c r="M977" s="2" t="str">
        <x:v>QR</x:v>
      </x:c>
      <x:c r="N977" s="2" t="n">
        <x:v>1</x:v>
      </x:c>
      <x:c r="O977" s="2" t="str">
        <x:v>Accepted</x:v>
      </x:c>
      <x:c r="P977" s="2" t="str">
        <x:v>S001</x:v>
      </x:c>
      <x:c r="Q977" s="2" t="str">
        <x:v>DEV001</x:v>
      </x:c>
      <x:c r="R977" s="2" t="n">
        <x:v>8</x:v>
      </x:c>
      <x:c r="S977" s="2" t="str">
        <x:v>Online</x:v>
      </x:c>
      <x:c r="T977" s="2" t="str">
        <x:v>Synced</x:v>
      </x:c>
    </x:row>
    <x:row r="978" ht="21" customHeight="1">
      <x:c r="A978" s="2" t="str">
        <x:v>EV001135</x:v>
      </x:c>
      <x:c r="B978" s="2" t="str">
        <x:v>T20261006-1-2</x:v>
      </x:c>
      <x:c r="C978" s="2" t="str">
        <x:v>ST051</x:v>
      </x:c>
      <x:c r="D978" s="2" t="str">
        <x:v>410a66d29aea7be5806f7d6945266303</x:v>
      </x:c>
      <x:c r="E978" s="2" t="str">
        <x:v>CHECK_IN</x:v>
      </x:c>
      <x:c r="F978" s="8" t="n">
        <x:v>46301.24722222222</x:v>
      </x:c>
      <x:c r="G978" s="8" t="n">
        <x:v>46301.24724537037</x:v>
      </x:c>
      <x:c r="H978" s="2" t="str">
        <x:v>R2S2</x:v>
      </x:c>
      <x:c r="I978" s="9" t="n">
        <x:v>25.282000000000004</x:v>
      </x:c>
      <x:c r="J978" s="9" t="n">
        <x:v>51.501999999999995</x:v>
      </x:c>
      <x:c r="K978" s="2" t="n">
        <x:v>8</x:v>
      </x:c>
      <x:c r="L978" s="2" t="str">
        <x:v>Valid</x:v>
      </x:c>
      <x:c r="M978" s="2" t="str">
        <x:v>QR</x:v>
      </x:c>
      <x:c r="N978" s="2" t="n">
        <x:v>1</x:v>
      </x:c>
      <x:c r="O978" s="2" t="str">
        <x:v>Accepted</x:v>
      </x:c>
      <x:c r="P978" s="2" t="str">
        <x:v>S002</x:v>
      </x:c>
      <x:c r="Q978" s="2" t="str">
        <x:v>DEV002</x:v>
      </x:c>
      <x:c r="R978" s="2" t="n">
        <x:v>8</x:v>
      </x:c>
      <x:c r="S978" s="2" t="str">
        <x:v>Online</x:v>
      </x:c>
      <x:c r="T978" s="2" t="str">
        <x:v>Synced</x:v>
      </x:c>
    </x:row>
    <x:row r="979" ht="21" customHeight="1">
      <x:c r="A979" s="2" t="str">
        <x:v>EV001295</x:v>
      </x:c>
      <x:c r="B979" s="2" t="str">
        <x:v>T20261006-1-3</x:v>
      </x:c>
      <x:c r="C979" s="2" t="str">
        <x:v>ST091</x:v>
      </x:c>
      <x:c r="D979" s="2" t="str">
        <x:v>2d74afc7329a1eb53bd16a92fc366891</x:v>
      </x:c>
      <x:c r="E979" s="2" t="str">
        <x:v>CHECK_IN</x:v>
      </x:c>
      <x:c r="F979" s="8" t="n">
        <x:v>46301.24722222222</x:v>
      </x:c>
      <x:c r="G979" s="8" t="n">
        <x:v>46301.24724537037</x:v>
      </x:c>
      <x:c r="H979" s="2" t="str">
        <x:v>R3S2</x:v>
      </x:c>
      <x:c r="I979" s="9" t="n">
        <x:v>25.291000000000004</x:v>
      </x:c>
      <x:c r="J979" s="9" t="n">
        <x:v>51.51</x:v>
      </x:c>
      <x:c r="K979" s="2" t="n">
        <x:v>8</x:v>
      </x:c>
      <x:c r="L979" s="2" t="str">
        <x:v>Valid</x:v>
      </x:c>
      <x:c r="M979" s="2" t="str">
        <x:v>QR</x:v>
      </x:c>
      <x:c r="N979" s="2" t="n">
        <x:v>1</x:v>
      </x:c>
      <x:c r="O979" s="2" t="str">
        <x:v>Accepted</x:v>
      </x:c>
      <x:c r="P979" s="2" t="str">
        <x:v>S003</x:v>
      </x:c>
      <x:c r="Q979" s="2" t="str">
        <x:v>DEV003</x:v>
      </x:c>
      <x:c r="R979" s="2" t="n">
        <x:v>8</x:v>
      </x:c>
      <x:c r="S979" s="2" t="str">
        <x:v>Online</x:v>
      </x:c>
      <x:c r="T979" s="2" t="str">
        <x:v>Synced</x:v>
      </x:c>
    </x:row>
    <x:row r="980" ht="21" customHeight="1">
      <x:c r="A980" s="2" t="str">
        <x:v>EV000957</x:v>
      </x:c>
      <x:c r="B980" s="2" t="str">
        <x:v>T20261006-1-1</x:v>
      </x:c>
      <x:c r="C980" s="2" t="str">
        <x:v>ST002</x:v>
      </x:c>
      <x:c r="D980" s="2" t="str">
        <x:v>c9302a76d79e524442f3775978bb57a1</x:v>
      </x:c>
      <x:c r="E980" s="2" t="str">
        <x:v>CHECK_IN</x:v>
      </x:c>
      <x:c r="F980" s="8" t="n">
        <x:v>46301.24725694444</x:v>
      </x:c>
      <x:c r="G980" s="8" t="n">
        <x:v>46301.24728009259</x:v>
      </x:c>
      <x:c r="H980" s="2" t="str">
        <x:v>R1S2</x:v>
      </x:c>
      <x:c r="I980" s="9" t="n">
        <x:v>25.273000000000003</x:v>
      </x:c>
      <x:c r="J980" s="9" t="n">
        <x:v>51.494</x:v>
      </x:c>
      <x:c r="K980" s="2" t="n">
        <x:v>8</x:v>
      </x:c>
      <x:c r="L980" s="2" t="str">
        <x:v>Valid</x:v>
      </x:c>
      <x:c r="M980" s="2" t="str">
        <x:v>QR</x:v>
      </x:c>
      <x:c r="N980" s="2" t="n">
        <x:v>1</x:v>
      </x:c>
      <x:c r="O980" s="2" t="str">
        <x:v>Accepted</x:v>
      </x:c>
      <x:c r="P980" s="2" t="str">
        <x:v>S001</x:v>
      </x:c>
      <x:c r="Q980" s="2" t="str">
        <x:v>DEV001</x:v>
      </x:c>
      <x:c r="R980" s="2" t="n">
        <x:v>9</x:v>
      </x:c>
      <x:c r="S980" s="2" t="str">
        <x:v>Online</x:v>
      </x:c>
      <x:c r="T980" s="2" t="str">
        <x:v>Synced</x:v>
      </x:c>
    </x:row>
    <x:row r="981" ht="21" customHeight="1">
      <x:c r="A981" s="2" t="str">
        <x:v>EV001117</x:v>
      </x:c>
      <x:c r="B981" s="2" t="str">
        <x:v>T20261006-1-2</x:v>
      </x:c>
      <x:c r="C981" s="2" t="str">
        <x:v>ST042</x:v>
      </x:c>
      <x:c r="D981" s="2" t="str">
        <x:v>9cf3254a8e8c8233e36089501cd1bc60</x:v>
      </x:c>
      <x:c r="E981" s="2" t="str">
        <x:v>CHECK_IN</x:v>
      </x:c>
      <x:c r="F981" s="8" t="n">
        <x:v>46301.24725694444</x:v>
      </x:c>
      <x:c r="G981" s="8" t="n">
        <x:v>46301.24728009259</x:v>
      </x:c>
      <x:c r="H981" s="2" t="str">
        <x:v>R2S2</x:v>
      </x:c>
      <x:c r="I981" s="9" t="n">
        <x:v>25.282000000000004</x:v>
      </x:c>
      <x:c r="J981" s="9" t="n">
        <x:v>51.501999999999995</x:v>
      </x:c>
      <x:c r="K981" s="2" t="n">
        <x:v>8</x:v>
      </x:c>
      <x:c r="L981" s="2" t="str">
        <x:v>Valid</x:v>
      </x:c>
      <x:c r="M981" s="2" t="str">
        <x:v>QR</x:v>
      </x:c>
      <x:c r="N981" s="2" t="n">
        <x:v>1</x:v>
      </x:c>
      <x:c r="O981" s="2" t="str">
        <x:v>Accepted</x:v>
      </x:c>
      <x:c r="P981" s="2" t="str">
        <x:v>S002</x:v>
      </x:c>
      <x:c r="Q981" s="2" t="str">
        <x:v>DEV002</x:v>
      </x:c>
      <x:c r="R981" s="2" t="n">
        <x:v>9</x:v>
      </x:c>
      <x:c r="S981" s="2" t="str">
        <x:v>Online</x:v>
      </x:c>
      <x:c r="T981" s="2" t="str">
        <x:v>Synced</x:v>
      </x:c>
    </x:row>
    <x:row r="982" ht="21" customHeight="1">
      <x:c r="A982" s="2" t="str">
        <x:v>EV001277</x:v>
      </x:c>
      <x:c r="B982" s="2" t="str">
        <x:v>T20261006-1-3</x:v>
      </x:c>
      <x:c r="C982" s="2" t="str">
        <x:v>ST082</x:v>
      </x:c>
      <x:c r="D982" s="2" t="str">
        <x:v>fb7e28e2da3ace738571a6966bcaaec0</x:v>
      </x:c>
      <x:c r="E982" s="2" t="str">
        <x:v>CHECK_IN</x:v>
      </x:c>
      <x:c r="F982" s="8" t="n">
        <x:v>46301.24725694444</x:v>
      </x:c>
      <x:c r="G982" s="8" t="n">
        <x:v>46301.24728009259</x:v>
      </x:c>
      <x:c r="H982" s="2" t="str">
        <x:v>R3S2</x:v>
      </x:c>
      <x:c r="I982" s="9" t="n">
        <x:v>25.291000000000004</x:v>
      </x:c>
      <x:c r="J982" s="9" t="n">
        <x:v>51.51</x:v>
      </x:c>
      <x:c r="K982" s="2" t="n">
        <x:v>8</x:v>
      </x:c>
      <x:c r="L982" s="2" t="str">
        <x:v>Valid</x:v>
      </x:c>
      <x:c r="M982" s="2" t="str">
        <x:v>QR</x:v>
      </x:c>
      <x:c r="N982" s="2" t="n">
        <x:v>1</x:v>
      </x:c>
      <x:c r="O982" s="2" t="str">
        <x:v>Accepted</x:v>
      </x:c>
      <x:c r="P982" s="2" t="str">
        <x:v>S003</x:v>
      </x:c>
      <x:c r="Q982" s="2" t="str">
        <x:v>DEV003</x:v>
      </x:c>
      <x:c r="R982" s="2" t="n">
        <x:v>9</x:v>
      </x:c>
      <x:c r="S982" s="2" t="str">
        <x:v>Online</x:v>
      </x:c>
      <x:c r="T982" s="2" t="str">
        <x:v>Synced</x:v>
      </x:c>
    </x:row>
    <x:row r="983" ht="21" customHeight="1">
      <x:c r="A983" s="2" t="str">
        <x:v>EV000981</x:v>
      </x:c>
      <x:c r="B983" s="2" t="str">
        <x:v>T20261006-1-1</x:v>
      </x:c>
      <x:c r="C983" s="2" t="str">
        <x:v>ST014</x:v>
      </x:c>
      <x:c r="D983" s="2" t="str">
        <x:v>6ea4b25306143e251962ae19fa8ee7af</x:v>
      </x:c>
      <x:c r="E983" s="2" t="str">
        <x:v>CHECK_IN</x:v>
      </x:c>
      <x:c r="F983" s="8" t="n">
        <x:v>46301.24732638889</x:v>
      </x:c>
      <x:c r="G983" s="8" t="n">
        <x:v>46301.247349537036</x:v>
      </x:c>
      <x:c r="H983" s="2" t="str">
        <x:v>R1S2</x:v>
      </x:c>
      <x:c r="I983" s="9" t="n">
        <x:v>25.273000000000003</x:v>
      </x:c>
      <x:c r="J983" s="9" t="n">
        <x:v>51.494</x:v>
      </x:c>
      <x:c r="K983" s="2" t="n">
        <x:v>8</x:v>
      </x:c>
      <x:c r="L983" s="2" t="str">
        <x:v>Valid</x:v>
      </x:c>
      <x:c r="M983" s="2" t="str">
        <x:v>QR</x:v>
      </x:c>
      <x:c r="N983" s="2" t="n">
        <x:v>1</x:v>
      </x:c>
      <x:c r="O983" s="2" t="str">
        <x:v>Accepted</x:v>
      </x:c>
      <x:c r="P983" s="2" t="str">
        <x:v>S001</x:v>
      </x:c>
      <x:c r="Q983" s="2" t="str">
        <x:v>DEV001</x:v>
      </x:c>
      <x:c r="R983" s="2" t="n">
        <x:v>10</x:v>
      </x:c>
      <x:c r="S983" s="2" t="str">
        <x:v>Online</x:v>
      </x:c>
      <x:c r="T983" s="2" t="str">
        <x:v>Synced</x:v>
      </x:c>
    </x:row>
    <x:row r="984" ht="21" customHeight="1">
      <x:c r="A984" s="2" t="str">
        <x:v>EV001141</x:v>
      </x:c>
      <x:c r="B984" s="2" t="str">
        <x:v>T20261006-1-2</x:v>
      </x:c>
      <x:c r="C984" s="2" t="str">
        <x:v>ST054</x:v>
      </x:c>
      <x:c r="D984" s="2" t="str">
        <x:v>1c9a916db52e081aeb59bc928cb914dd</x:v>
      </x:c>
      <x:c r="E984" s="2" t="str">
        <x:v>CHECK_IN</x:v>
      </x:c>
      <x:c r="F984" s="8" t="n">
        <x:v>46301.24732638889</x:v>
      </x:c>
      <x:c r="G984" s="8" t="n">
        <x:v>46301.247349537036</x:v>
      </x:c>
      <x:c r="H984" s="2" t="str">
        <x:v>R2S2</x:v>
      </x:c>
      <x:c r="I984" s="9" t="n">
        <x:v>25.282000000000004</x:v>
      </x:c>
      <x:c r="J984" s="9" t="n">
        <x:v>51.501999999999995</x:v>
      </x:c>
      <x:c r="K984" s="2" t="n">
        <x:v>8</x:v>
      </x:c>
      <x:c r="L984" s="2" t="str">
        <x:v>Valid</x:v>
      </x:c>
      <x:c r="M984" s="2" t="str">
        <x:v>QR</x:v>
      </x:c>
      <x:c r="N984" s="2" t="n">
        <x:v>1</x:v>
      </x:c>
      <x:c r="O984" s="2" t="str">
        <x:v>Accepted</x:v>
      </x:c>
      <x:c r="P984" s="2" t="str">
        <x:v>S002</x:v>
      </x:c>
      <x:c r="Q984" s="2" t="str">
        <x:v>DEV002</x:v>
      </x:c>
      <x:c r="R984" s="2" t="n">
        <x:v>10</x:v>
      </x:c>
      <x:c r="S984" s="2" t="str">
        <x:v>Online</x:v>
      </x:c>
      <x:c r="T984" s="2" t="str">
        <x:v>Synced</x:v>
      </x:c>
    </x:row>
    <x:row r="985" ht="21" customHeight="1">
      <x:c r="A985" s="2" t="str">
        <x:v>EV001301</x:v>
      </x:c>
      <x:c r="B985" s="2" t="str">
        <x:v>T20261006-1-3</x:v>
      </x:c>
      <x:c r="C985" s="2" t="str">
        <x:v>ST094</x:v>
      </x:c>
      <x:c r="D985" s="2" t="str">
        <x:v>b6fd37c188877a378c496dccb3132cf2</x:v>
      </x:c>
      <x:c r="E985" s="2" t="str">
        <x:v>CHECK_IN</x:v>
      </x:c>
      <x:c r="F985" s="8" t="n">
        <x:v>46301.24732638889</x:v>
      </x:c>
      <x:c r="G985" s="8" t="n">
        <x:v>46301.247349537036</x:v>
      </x:c>
      <x:c r="H985" s="2" t="str">
        <x:v>R3S2</x:v>
      </x:c>
      <x:c r="I985" s="9" t="n">
        <x:v>25.291000000000004</x:v>
      </x:c>
      <x:c r="J985" s="9" t="n">
        <x:v>51.51</x:v>
      </x:c>
      <x:c r="K985" s="2" t="n">
        <x:v>8</x:v>
      </x:c>
      <x:c r="L985" s="2" t="str">
        <x:v>Valid</x:v>
      </x:c>
      <x:c r="M985" s="2" t="str">
        <x:v>QR</x:v>
      </x:c>
      <x:c r="N985" s="2" t="n">
        <x:v>1</x:v>
      </x:c>
      <x:c r="O985" s="2" t="str">
        <x:v>Accepted</x:v>
      </x:c>
      <x:c r="P985" s="2" t="str">
        <x:v>S003</x:v>
      </x:c>
      <x:c r="Q985" s="2" t="str">
        <x:v>DEV003</x:v>
      </x:c>
      <x:c r="R985" s="2" t="n">
        <x:v>10</x:v>
      </x:c>
      <x:c r="S985" s="2" t="str">
        <x:v>Online</x:v>
      </x:c>
      <x:c r="T985" s="2" t="str">
        <x:v>Synced</x:v>
      </x:c>
    </x:row>
    <x:row r="986" ht="21" customHeight="1">
      <x:c r="A986" s="2" t="str">
        <x:v>EV000963</x:v>
      </x:c>
      <x:c r="B986" s="2" t="str">
        <x:v>T20261006-1-1</x:v>
      </x:c>
      <x:c r="C986" s="2" t="str">
        <x:v>ST005</x:v>
      </x:c>
      <x:c r="D986" s="2" t="str">
        <x:v>426727a8a0b9d51694a399a005c786cf</x:v>
      </x:c>
      <x:c r="E986" s="2" t="str">
        <x:v>CHECK_IN</x:v>
      </x:c>
      <x:c r="F986" s="8" t="n">
        <x:v>46301.24736111111</x:v>
      </x:c>
      <x:c r="G986" s="8" t="n">
        <x:v>46301.24738425926</x:v>
      </x:c>
      <x:c r="H986" s="2" t="str">
        <x:v>R1S2</x:v>
      </x:c>
      <x:c r="I986" s="9" t="n">
        <x:v>25.273000000000003</x:v>
      </x:c>
      <x:c r="J986" s="9" t="n">
        <x:v>51.494</x:v>
      </x:c>
      <x:c r="K986" s="2" t="n">
        <x:v>8</x:v>
      </x:c>
      <x:c r="L986" s="2" t="str">
        <x:v>Valid</x:v>
      </x:c>
      <x:c r="M986" s="2" t="str">
        <x:v>QR</x:v>
      </x:c>
      <x:c r="N986" s="2" t="n">
        <x:v>1</x:v>
      </x:c>
      <x:c r="O986" s="2" t="str">
        <x:v>Accepted</x:v>
      </x:c>
      <x:c r="P986" s="2" t="str">
        <x:v>S001</x:v>
      </x:c>
      <x:c r="Q986" s="2" t="str">
        <x:v>DEV001</x:v>
      </x:c>
      <x:c r="R986" s="2" t="n">
        <x:v>11</x:v>
      </x:c>
      <x:c r="S986" s="2" t="str">
        <x:v>Online</x:v>
      </x:c>
      <x:c r="T986" s="2" t="str">
        <x:v>Synced</x:v>
      </x:c>
    </x:row>
    <x:row r="987" ht="21" customHeight="1">
      <x:c r="A987" s="2" t="str">
        <x:v>EV001123</x:v>
      </x:c>
      <x:c r="B987" s="2" t="str">
        <x:v>T20261006-1-2</x:v>
      </x:c>
      <x:c r="C987" s="2" t="str">
        <x:v>ST045</x:v>
      </x:c>
      <x:c r="D987" s="2" t="str">
        <x:v>10d8df8a06a7c869bcaa1adbc88c05bc</x:v>
      </x:c>
      <x:c r="E987" s="2" t="str">
        <x:v>CHECK_IN</x:v>
      </x:c>
      <x:c r="F987" s="8" t="n">
        <x:v>46301.24736111111</x:v>
      </x:c>
      <x:c r="G987" s="8" t="n">
        <x:v>46301.24738425926</x:v>
      </x:c>
      <x:c r="H987" s="2" t="str">
        <x:v>R2S2</x:v>
      </x:c>
      <x:c r="I987" s="9" t="n">
        <x:v>25.282000000000004</x:v>
      </x:c>
      <x:c r="J987" s="9" t="n">
        <x:v>51.501999999999995</x:v>
      </x:c>
      <x:c r="K987" s="2" t="n">
        <x:v>8</x:v>
      </x:c>
      <x:c r="L987" s="2" t="str">
        <x:v>Valid</x:v>
      </x:c>
      <x:c r="M987" s="2" t="str">
        <x:v>QR</x:v>
      </x:c>
      <x:c r="N987" s="2" t="n">
        <x:v>1</x:v>
      </x:c>
      <x:c r="O987" s="2" t="str">
        <x:v>Accepted</x:v>
      </x:c>
      <x:c r="P987" s="2" t="str">
        <x:v>S002</x:v>
      </x:c>
      <x:c r="Q987" s="2" t="str">
        <x:v>DEV002</x:v>
      </x:c>
      <x:c r="R987" s="2" t="n">
        <x:v>11</x:v>
      </x:c>
      <x:c r="S987" s="2" t="str">
        <x:v>Online</x:v>
      </x:c>
      <x:c r="T987" s="2" t="str">
        <x:v>Synced</x:v>
      </x:c>
    </x:row>
    <x:row r="988" ht="21" customHeight="1">
      <x:c r="A988" s="2" t="str">
        <x:v>EV001283</x:v>
      </x:c>
      <x:c r="B988" s="2" t="str">
        <x:v>T20261006-1-3</x:v>
      </x:c>
      <x:c r="C988" s="2" t="str">
        <x:v>ST085</x:v>
      </x:c>
      <x:c r="D988" s="2"/>
      <x:c r="E988" s="2" t="str">
        <x:v>CHECK_IN</x:v>
      </x:c>
      <x:c r="F988" s="8" t="n">
        <x:v>46301.24736111111</x:v>
      </x:c>
      <x:c r="G988" s="8" t="n">
        <x:v>46301.24738425926</x:v>
      </x:c>
      <x:c r="H988" s="2" t="str">
        <x:v>R3S2</x:v>
      </x:c>
      <x:c r="I988" s="9" t="n">
        <x:v>25.291000000000004</x:v>
      </x:c>
      <x:c r="J988" s="9" t="n">
        <x:v>51.51</x:v>
      </x:c>
      <x:c r="K988" s="2" t="n">
        <x:v>8</x:v>
      </x:c>
      <x:c r="L988" s="2" t="str">
        <x:v>Valid</x:v>
      </x:c>
      <x:c r="M988" s="2" t="str">
        <x:v>Manual</x:v>
      </x:c>
      <x:c r="N988" s="2" t="n">
        <x:v>1</x:v>
      </x:c>
      <x:c r="O988" s="2" t="str">
        <x:v>Accepted</x:v>
      </x:c>
      <x:c r="P988" s="2" t="str">
        <x:v>S003</x:v>
      </x:c>
      <x:c r="Q988" s="2" t="str">
        <x:v>DEV003</x:v>
      </x:c>
      <x:c r="R988" s="2" t="n">
        <x:v>11</x:v>
      </x:c>
      <x:c r="S988" s="2" t="str">
        <x:v>Online</x:v>
      </x:c>
      <x:c r="T988" s="2" t="str">
        <x:v>Synced</x:v>
      </x:c>
    </x:row>
    <x:row r="989" ht="21" customHeight="1">
      <x:c r="A989" s="2" t="str">
        <x:v>EV000987</x:v>
      </x:c>
      <x:c r="B989" s="2" t="str">
        <x:v>T20261006-1-1</x:v>
      </x:c>
      <x:c r="C989" s="2" t="str">
        <x:v>ST017</x:v>
      </x:c>
      <x:c r="D989" s="2" t="str">
        <x:v>ea6159d457322f2456f4cadd6b3d659f</x:v>
      </x:c>
      <x:c r="E989" s="2" t="str">
        <x:v>CHECK_IN</x:v>
      </x:c>
      <x:c r="F989" s="8" t="n">
        <x:v>46301.24743055555</x:v>
      </x:c>
      <x:c r="G989" s="8" t="n">
        <x:v>46301.2474537037</x:v>
      </x:c>
      <x:c r="H989" s="2" t="str">
        <x:v>R1S2</x:v>
      </x:c>
      <x:c r="I989" s="9" t="n">
        <x:v>25.273000000000003</x:v>
      </x:c>
      <x:c r="J989" s="9" t="n">
        <x:v>51.494</x:v>
      </x:c>
      <x:c r="K989" s="2" t="n">
        <x:v>8</x:v>
      </x:c>
      <x:c r="L989" s="2" t="str">
        <x:v>Valid</x:v>
      </x:c>
      <x:c r="M989" s="2" t="str">
        <x:v>QR</x:v>
      </x:c>
      <x:c r="N989" s="2" t="n">
        <x:v>1</x:v>
      </x:c>
      <x:c r="O989" s="2" t="str">
        <x:v>Accepted</x:v>
      </x:c>
      <x:c r="P989" s="2" t="str">
        <x:v>S001</x:v>
      </x:c>
      <x:c r="Q989" s="2" t="str">
        <x:v>DEV001</x:v>
      </x:c>
      <x:c r="R989" s="2" t="n">
        <x:v>12</x:v>
      </x:c>
      <x:c r="S989" s="2" t="str">
        <x:v>Online</x:v>
      </x:c>
      <x:c r="T989" s="2" t="str">
        <x:v>Synced</x:v>
      </x:c>
    </x:row>
    <x:row r="990" ht="21" customHeight="1">
      <x:c r="A990" s="2" t="str">
        <x:v>EV001147</x:v>
      </x:c>
      <x:c r="B990" s="2" t="str">
        <x:v>T20261006-1-2</x:v>
      </x:c>
      <x:c r="C990" s="2" t="str">
        <x:v>ST057</x:v>
      </x:c>
      <x:c r="D990" s="2" t="str">
        <x:v>68d992c7418727808ad27d2e5ee9b88d</x:v>
      </x:c>
      <x:c r="E990" s="2" t="str">
        <x:v>CHECK_IN</x:v>
      </x:c>
      <x:c r="F990" s="8" t="n">
        <x:v>46301.24743055555</x:v>
      </x:c>
      <x:c r="G990" s="8" t="n">
        <x:v>46301.2474537037</x:v>
      </x:c>
      <x:c r="H990" s="2" t="str">
        <x:v>R2S2</x:v>
      </x:c>
      <x:c r="I990" s="9" t="n">
        <x:v>25.282000000000004</x:v>
      </x:c>
      <x:c r="J990" s="9" t="n">
        <x:v>51.501999999999995</x:v>
      </x:c>
      <x:c r="K990" s="2" t="n">
        <x:v>8</x:v>
      </x:c>
      <x:c r="L990" s="2" t="str">
        <x:v>Valid</x:v>
      </x:c>
      <x:c r="M990" s="2" t="str">
        <x:v>QR</x:v>
      </x:c>
      <x:c r="N990" s="2" t="n">
        <x:v>1</x:v>
      </x:c>
      <x:c r="O990" s="2" t="str">
        <x:v>Accepted</x:v>
      </x:c>
      <x:c r="P990" s="2" t="str">
        <x:v>S002</x:v>
      </x:c>
      <x:c r="Q990" s="2" t="str">
        <x:v>DEV002</x:v>
      </x:c>
      <x:c r="R990" s="2" t="n">
        <x:v>12</x:v>
      </x:c>
      <x:c r="S990" s="2" t="str">
        <x:v>Online</x:v>
      </x:c>
      <x:c r="T990" s="2" t="str">
        <x:v>Synced</x:v>
      </x:c>
    </x:row>
    <x:row r="991" ht="21" customHeight="1">
      <x:c r="A991" s="2" t="str">
        <x:v>EV001307</x:v>
      </x:c>
      <x:c r="B991" s="2" t="str">
        <x:v>T20261006-1-3</x:v>
      </x:c>
      <x:c r="C991" s="2" t="str">
        <x:v>ST097</x:v>
      </x:c>
      <x:c r="D991" s="2" t="str">
        <x:v>0ccbf8d08569df9dde2207b8d5616d1e</x:v>
      </x:c>
      <x:c r="E991" s="2" t="str">
        <x:v>CHECK_IN</x:v>
      </x:c>
      <x:c r="F991" s="8" t="n">
        <x:v>46301.24743055555</x:v>
      </x:c>
      <x:c r="G991" s="8" t="n">
        <x:v>46301.2474537037</x:v>
      </x:c>
      <x:c r="H991" s="2" t="str">
        <x:v>R3S2</x:v>
      </x:c>
      <x:c r="I991" s="9" t="n">
        <x:v>25.291000000000004</x:v>
      </x:c>
      <x:c r="J991" s="9" t="n">
        <x:v>51.51</x:v>
      </x:c>
      <x:c r="K991" s="2" t="n">
        <x:v>8</x:v>
      </x:c>
      <x:c r="L991" s="2" t="str">
        <x:v>Valid</x:v>
      </x:c>
      <x:c r="M991" s="2" t="str">
        <x:v>QR</x:v>
      </x:c>
      <x:c r="N991" s="2" t="n">
        <x:v>1</x:v>
      </x:c>
      <x:c r="O991" s="2" t="str">
        <x:v>Accepted</x:v>
      </x:c>
      <x:c r="P991" s="2" t="str">
        <x:v>S003</x:v>
      </x:c>
      <x:c r="Q991" s="2" t="str">
        <x:v>DEV003</x:v>
      </x:c>
      <x:c r="R991" s="2" t="n">
        <x:v>12</x:v>
      </x:c>
      <x:c r="S991" s="2" t="str">
        <x:v>Online</x:v>
      </x:c>
      <x:c r="T991" s="2" t="str">
        <x:v>Synced</x:v>
      </x:c>
    </x:row>
    <x:row r="992" ht="21" customHeight="1">
      <x:c r="A992" s="2" t="str">
        <x:v>EV000969</x:v>
      </x:c>
      <x:c r="B992" s="2" t="str">
        <x:v>T20261006-1-1</x:v>
      </x:c>
      <x:c r="C992" s="2" t="str">
        <x:v>ST008</x:v>
      </x:c>
      <x:c r="D992" s="2" t="str">
        <x:v>ac4baf5d317844907005c691f401c42d</x:v>
      </x:c>
      <x:c r="E992" s="2" t="str">
        <x:v>CHECK_IN</x:v>
      </x:c>
      <x:c r="F992" s="8" t="n">
        <x:v>46301.247465277775</x:v>
      </x:c>
      <x:c r="G992" s="8" t="n">
        <x:v>46301.24748842592</x:v>
      </x:c>
      <x:c r="H992" s="2" t="str">
        <x:v>R1S2</x:v>
      </x:c>
      <x:c r="I992" s="9" t="n">
        <x:v>25.273000000000003</x:v>
      </x:c>
      <x:c r="J992" s="9" t="n">
        <x:v>51.494</x:v>
      </x:c>
      <x:c r="K992" s="2" t="n">
        <x:v>8</x:v>
      </x:c>
      <x:c r="L992" s="2" t="str">
        <x:v>Valid</x:v>
      </x:c>
      <x:c r="M992" s="2" t="str">
        <x:v>QR</x:v>
      </x:c>
      <x:c r="N992" s="2" t="n">
        <x:v>1</x:v>
      </x:c>
      <x:c r="O992" s="2" t="str">
        <x:v>Accepted</x:v>
      </x:c>
      <x:c r="P992" s="2" t="str">
        <x:v>S001</x:v>
      </x:c>
      <x:c r="Q992" s="2" t="str">
        <x:v>DEV001</x:v>
      </x:c>
      <x:c r="R992" s="2" t="n">
        <x:v>13</x:v>
      </x:c>
      <x:c r="S992" s="2" t="str">
        <x:v>Online</x:v>
      </x:c>
      <x:c r="T992" s="2" t="str">
        <x:v>Synced</x:v>
      </x:c>
    </x:row>
    <x:row r="993" ht="21" customHeight="1">
      <x:c r="A993" s="2" t="str">
        <x:v>EV001129</x:v>
      </x:c>
      <x:c r="B993" s="2" t="str">
        <x:v>T20261006-1-2</x:v>
      </x:c>
      <x:c r="C993" s="2" t="str">
        <x:v>ST048</x:v>
      </x:c>
      <x:c r="D993" s="2" t="str">
        <x:v>e3a3009a9bd3946e21f417e93203aa79</x:v>
      </x:c>
      <x:c r="E993" s="2" t="str">
        <x:v>CHECK_IN</x:v>
      </x:c>
      <x:c r="F993" s="8" t="n">
        <x:v>46301.247465277775</x:v>
      </x:c>
      <x:c r="G993" s="8" t="n">
        <x:v>46301.24748842592</x:v>
      </x:c>
      <x:c r="H993" s="2" t="str">
        <x:v>R2S2</x:v>
      </x:c>
      <x:c r="I993" s="9" t="n">
        <x:v>25.282000000000004</x:v>
      </x:c>
      <x:c r="J993" s="9" t="n">
        <x:v>51.501999999999995</x:v>
      </x:c>
      <x:c r="K993" s="2" t="n">
        <x:v>8</x:v>
      </x:c>
      <x:c r="L993" s="2" t="str">
        <x:v>Valid</x:v>
      </x:c>
      <x:c r="M993" s="2" t="str">
        <x:v>QR</x:v>
      </x:c>
      <x:c r="N993" s="2" t="n">
        <x:v>1</x:v>
      </x:c>
      <x:c r="O993" s="2" t="str">
        <x:v>Accepted</x:v>
      </x:c>
      <x:c r="P993" s="2" t="str">
        <x:v>S002</x:v>
      </x:c>
      <x:c r="Q993" s="2" t="str">
        <x:v>DEV002</x:v>
      </x:c>
      <x:c r="R993" s="2" t="n">
        <x:v>13</x:v>
      </x:c>
      <x:c r="S993" s="2" t="str">
        <x:v>Online</x:v>
      </x:c>
      <x:c r="T993" s="2" t="str">
        <x:v>Synced</x:v>
      </x:c>
    </x:row>
    <x:row r="994" ht="21" customHeight="1">
      <x:c r="A994" s="2" t="str">
        <x:v>EV001289</x:v>
      </x:c>
      <x:c r="B994" s="2" t="str">
        <x:v>T20261006-1-3</x:v>
      </x:c>
      <x:c r="C994" s="2" t="str">
        <x:v>ST088</x:v>
      </x:c>
      <x:c r="D994" s="2" t="str">
        <x:v>b227769e0483e6c28eed8e8d448bfbbe</x:v>
      </x:c>
      <x:c r="E994" s="2" t="str">
        <x:v>CHECK_IN</x:v>
      </x:c>
      <x:c r="F994" s="8" t="n">
        <x:v>46301.247465277775</x:v>
      </x:c>
      <x:c r="G994" s="8" t="n">
        <x:v>46301.24748842592</x:v>
      </x:c>
      <x:c r="H994" s="2" t="str">
        <x:v>R3S2</x:v>
      </x:c>
      <x:c r="I994" s="9" t="n">
        <x:v>25.291000000000004</x:v>
      </x:c>
      <x:c r="J994" s="9" t="n">
        <x:v>51.51</x:v>
      </x:c>
      <x:c r="K994" s="2" t="n">
        <x:v>8</x:v>
      </x:c>
      <x:c r="L994" s="2" t="str">
        <x:v>Valid</x:v>
      </x:c>
      <x:c r="M994" s="2" t="str">
        <x:v>QR</x:v>
      </x:c>
      <x:c r="N994" s="2" t="n">
        <x:v>1</x:v>
      </x:c>
      <x:c r="O994" s="2" t="str">
        <x:v>Accepted</x:v>
      </x:c>
      <x:c r="P994" s="2" t="str">
        <x:v>S003</x:v>
      </x:c>
      <x:c r="Q994" s="2" t="str">
        <x:v>DEV003</x:v>
      </x:c>
      <x:c r="R994" s="2" t="n">
        <x:v>13</x:v>
      </x:c>
      <x:c r="S994" s="2" t="str">
        <x:v>Online</x:v>
      </x:c>
      <x:c r="T994" s="2" t="str">
        <x:v>Synced</x:v>
      </x:c>
    </x:row>
    <x:row r="995" ht="21" customHeight="1">
      <x:c r="A995" s="2" t="str">
        <x:v>EV000993</x:v>
      </x:c>
      <x:c r="B995" s="2" t="str">
        <x:v>T20261006-1-1</x:v>
      </x:c>
      <x:c r="C995" s="2" t="str">
        <x:v>ST020</x:v>
      </x:c>
      <x:c r="D995" s="2" t="str">
        <x:v>9f8daa9030f9f7599cd24e056935ab8d</x:v>
      </x:c>
      <x:c r="E995" s="2" t="str">
        <x:v>CHECK_IN</x:v>
      </x:c>
      <x:c r="F995" s="8" t="n">
        <x:v>46301.24753472222</x:v>
      </x:c>
      <x:c r="G995" s="8" t="n">
        <x:v>46301.24755787037</x:v>
      </x:c>
      <x:c r="H995" s="2" t="str">
        <x:v>R1S2</x:v>
      </x:c>
      <x:c r="I995" s="9" t="n">
        <x:v>25.273000000000003</x:v>
      </x:c>
      <x:c r="J995" s="9" t="n">
        <x:v>51.494</x:v>
      </x:c>
      <x:c r="K995" s="2" t="n">
        <x:v>8</x:v>
      </x:c>
      <x:c r="L995" s="2" t="str">
        <x:v>Valid</x:v>
      </x:c>
      <x:c r="M995" s="2" t="str">
        <x:v>QR</x:v>
      </x:c>
      <x:c r="N995" s="2" t="n">
        <x:v>1</x:v>
      </x:c>
      <x:c r="O995" s="2" t="str">
        <x:v>Accepted</x:v>
      </x:c>
      <x:c r="P995" s="2" t="str">
        <x:v>S001</x:v>
      </x:c>
      <x:c r="Q995" s="2" t="str">
        <x:v>DEV001</x:v>
      </x:c>
      <x:c r="R995" s="2" t="n">
        <x:v>14</x:v>
      </x:c>
      <x:c r="S995" s="2" t="str">
        <x:v>Online</x:v>
      </x:c>
      <x:c r="T995" s="2" t="str">
        <x:v>Synced</x:v>
      </x:c>
    </x:row>
    <x:row r="996" ht="21" customHeight="1">
      <x:c r="A996" s="2" t="str">
        <x:v>EV001153</x:v>
      </x:c>
      <x:c r="B996" s="2" t="str">
        <x:v>T20261006-1-2</x:v>
      </x:c>
      <x:c r="C996" s="2" t="str">
        <x:v>ST060</x:v>
      </x:c>
      <x:c r="D996" s="2" t="str">
        <x:v>a424ea3d9a5cb1c08037457e61cef61f</x:v>
      </x:c>
      <x:c r="E996" s="2" t="str">
        <x:v>CHECK_IN</x:v>
      </x:c>
      <x:c r="F996" s="8" t="n">
        <x:v>46301.24753472222</x:v>
      </x:c>
      <x:c r="G996" s="8" t="n">
        <x:v>46301.24755787037</x:v>
      </x:c>
      <x:c r="H996" s="2" t="str">
        <x:v>R2S2</x:v>
      </x:c>
      <x:c r="I996" s="9" t="n">
        <x:v>25.282000000000004</x:v>
      </x:c>
      <x:c r="J996" s="9" t="n">
        <x:v>51.501999999999995</x:v>
      </x:c>
      <x:c r="K996" s="2" t="n">
        <x:v>8</x:v>
      </x:c>
      <x:c r="L996" s="2" t="str">
        <x:v>Valid</x:v>
      </x:c>
      <x:c r="M996" s="2" t="str">
        <x:v>QR</x:v>
      </x:c>
      <x:c r="N996" s="2" t="n">
        <x:v>1</x:v>
      </x:c>
      <x:c r="O996" s="2" t="str">
        <x:v>Accepted</x:v>
      </x:c>
      <x:c r="P996" s="2" t="str">
        <x:v>S002</x:v>
      </x:c>
      <x:c r="Q996" s="2" t="str">
        <x:v>DEV002</x:v>
      </x:c>
      <x:c r="R996" s="2" t="n">
        <x:v>14</x:v>
      </x:c>
      <x:c r="S996" s="2" t="str">
        <x:v>Online</x:v>
      </x:c>
      <x:c r="T996" s="2" t="str">
        <x:v>Synced</x:v>
      </x:c>
    </x:row>
    <x:row r="997" ht="21" customHeight="1">
      <x:c r="A997" s="2" t="str">
        <x:v>EV001313</x:v>
      </x:c>
      <x:c r="B997" s="2" t="str">
        <x:v>T20261006-1-3</x:v>
      </x:c>
      <x:c r="C997" s="2" t="str">
        <x:v>ST100</x:v>
      </x:c>
      <x:c r="D997" s="2" t="str">
        <x:v>6ba3ddf298bc4515d195454c1e81d9d6</x:v>
      </x:c>
      <x:c r="E997" s="2" t="str">
        <x:v>CHECK_IN</x:v>
      </x:c>
      <x:c r="F997" s="8" t="n">
        <x:v>46301.24753472222</x:v>
      </x:c>
      <x:c r="G997" s="8" t="n">
        <x:v>46301.24755787037</x:v>
      </x:c>
      <x:c r="H997" s="2" t="str">
        <x:v>R3S2</x:v>
      </x:c>
      <x:c r="I997" s="9" t="n">
        <x:v>25.291000000000004</x:v>
      </x:c>
      <x:c r="J997" s="9" t="n">
        <x:v>51.51</x:v>
      </x:c>
      <x:c r="K997" s="2" t="n">
        <x:v>8</x:v>
      </x:c>
      <x:c r="L997" s="2" t="str">
        <x:v>Valid</x:v>
      </x:c>
      <x:c r="M997" s="2" t="str">
        <x:v>QR</x:v>
      </x:c>
      <x:c r="N997" s="2" t="n">
        <x:v>1</x:v>
      </x:c>
      <x:c r="O997" s="2" t="str">
        <x:v>Accepted</x:v>
      </x:c>
      <x:c r="P997" s="2" t="str">
        <x:v>S003</x:v>
      </x:c>
      <x:c r="Q997" s="2" t="str">
        <x:v>DEV003</x:v>
      </x:c>
      <x:c r="R997" s="2" t="n">
        <x:v>14</x:v>
      </x:c>
      <x:c r="S997" s="2" t="str">
        <x:v>Online</x:v>
      </x:c>
      <x:c r="T997" s="2" t="str">
        <x:v>Synced</x:v>
      </x:c>
    </x:row>
    <x:row r="998" ht="21" customHeight="1">
      <x:c r="A998" s="2" t="str">
        <x:v>EV000977</x:v>
      </x:c>
      <x:c r="B998" s="2" t="str">
        <x:v>T20261006-1-1</x:v>
      </x:c>
      <x:c r="C998" s="2" t="str">
        <x:v>ST012</x:v>
      </x:c>
      <x:c r="D998" s="2" t="str">
        <x:v>8d45a06a93234042b630e18d7821ea23</x:v>
      </x:c>
      <x:c r="E998" s="2" t="str">
        <x:v>CHECK_IN</x:v>
      </x:c>
      <x:c r="F998" s="8" t="n">
        <x:v>46301.252118055556</x:v>
      </x:c>
      <x:c r="G998" s="8" t="n">
        <x:v>46301.2521412037</x:v>
      </x:c>
      <x:c r="H998" s="2" t="str">
        <x:v>R1S3</x:v>
      </x:c>
      <x:c r="I998" s="9" t="n">
        <x:v>25.275000000000002</x:v>
      </x:c>
      <x:c r="J998" s="9" t="n">
        <x:v>51.497</x:v>
      </x:c>
      <x:c r="K998" s="2" t="n">
        <x:v>8</x:v>
      </x:c>
      <x:c r="L998" s="2" t="str">
        <x:v>Valid</x:v>
      </x:c>
      <x:c r="M998" s="2" t="str">
        <x:v>QR</x:v>
      </x:c>
      <x:c r="N998" s="2" t="n">
        <x:v>1</x:v>
      </x:c>
      <x:c r="O998" s="2" t="str">
        <x:v>Accepted</x:v>
      </x:c>
      <x:c r="P998" s="2" t="str">
        <x:v>S001</x:v>
      </x:c>
      <x:c r="Q998" s="2" t="str">
        <x:v>DEV001</x:v>
      </x:c>
      <x:c r="R998" s="2" t="n">
        <x:v>15</x:v>
      </x:c>
      <x:c r="S998" s="2" t="str">
        <x:v>Online</x:v>
      </x:c>
      <x:c r="T998" s="2" t="str">
        <x:v>Synced</x:v>
      </x:c>
    </x:row>
    <x:row r="999" ht="21" customHeight="1">
      <x:c r="A999" s="2" t="str">
        <x:v>EV001137</x:v>
      </x:c>
      <x:c r="B999" s="2" t="str">
        <x:v>T20261006-1-2</x:v>
      </x:c>
      <x:c r="C999" s="2" t="str">
        <x:v>ST052</x:v>
      </x:c>
      <x:c r="D999" s="2" t="str">
        <x:v>0c1c5957fe0604ae228ff5e1e1a785bc</x:v>
      </x:c>
      <x:c r="E999" s="2" t="str">
        <x:v>CHECK_IN</x:v>
      </x:c>
      <x:c r="F999" s="8" t="n">
        <x:v>46301.252118055556</x:v>
      </x:c>
      <x:c r="G999" s="8" t="n">
        <x:v>46301.2521412037</x:v>
      </x:c>
      <x:c r="H999" s="2" t="str">
        <x:v>R2S3</x:v>
      </x:c>
      <x:c r="I999" s="9" t="n">
        <x:v>25.284000000000002</x:v>
      </x:c>
      <x:c r="J999" s="9" t="n">
        <x:v>51.504999999999995</x:v>
      </x:c>
      <x:c r="K999" s="2" t="n">
        <x:v>8</x:v>
      </x:c>
      <x:c r="L999" s="2" t="str">
        <x:v>Valid</x:v>
      </x:c>
      <x:c r="M999" s="2" t="str">
        <x:v>QR</x:v>
      </x:c>
      <x:c r="N999" s="2" t="n">
        <x:v>1</x:v>
      </x:c>
      <x:c r="O999" s="2" t="str">
        <x:v>Accepted</x:v>
      </x:c>
      <x:c r="P999" s="2" t="str">
        <x:v>S002</x:v>
      </x:c>
      <x:c r="Q999" s="2" t="str">
        <x:v>DEV002</x:v>
      </x:c>
      <x:c r="R999" s="2" t="n">
        <x:v>15</x:v>
      </x:c>
      <x:c r="S999" s="2" t="str">
        <x:v>Online</x:v>
      </x:c>
      <x:c r="T999" s="2" t="str">
        <x:v>Synced</x:v>
      </x:c>
    </x:row>
    <x:row r="1000" ht="21" customHeight="1">
      <x:c r="A1000" s="2" t="str">
        <x:v>EV001297</x:v>
      </x:c>
      <x:c r="B1000" s="2" t="str">
        <x:v>T20261006-1-3</x:v>
      </x:c>
      <x:c r="C1000" s="2" t="str">
        <x:v>ST092</x:v>
      </x:c>
      <x:c r="D1000" s="2" t="str">
        <x:v>e83e93b137787f284ae9574a02ff0cc7</x:v>
      </x:c>
      <x:c r="E1000" s="2" t="str">
        <x:v>CHECK_IN</x:v>
      </x:c>
      <x:c r="F1000" s="8" t="n">
        <x:v>46301.252118055556</x:v>
      </x:c>
      <x:c r="G1000" s="8" t="n">
        <x:v>46301.2521412037</x:v>
      </x:c>
      <x:c r="H1000" s="2" t="str">
        <x:v>R3S3</x:v>
      </x:c>
      <x:c r="I1000" s="9" t="n">
        <x:v>25.293000000000003</x:v>
      </x:c>
      <x:c r="J1000" s="9" t="n">
        <x:v>51.513</x:v>
      </x:c>
      <x:c r="K1000" s="2" t="n">
        <x:v>8</x:v>
      </x:c>
      <x:c r="L1000" s="2" t="str">
        <x:v>Valid</x:v>
      </x:c>
      <x:c r="M1000" s="2" t="str">
        <x:v>QR</x:v>
      </x:c>
      <x:c r="N1000" s="2" t="n">
        <x:v>1</x:v>
      </x:c>
      <x:c r="O1000" s="2" t="str">
        <x:v>Accepted</x:v>
      </x:c>
      <x:c r="P1000" s="2" t="str">
        <x:v>S003</x:v>
      </x:c>
      <x:c r="Q1000" s="2" t="str">
        <x:v>DEV003</x:v>
      </x:c>
      <x:c r="R1000" s="2" t="n">
        <x:v>15</x:v>
      </x:c>
      <x:c r="S1000" s="2" t="str">
        <x:v>Online</x:v>
      </x:c>
      <x:c r="T1000" s="2" t="str">
        <x:v>Synced</x:v>
      </x:c>
    </x:row>
    <x:row r="1001" ht="21" customHeight="1">
      <x:c r="A1001" s="2" t="str">
        <x:v>EV000959</x:v>
      </x:c>
      <x:c r="B1001" s="2" t="str">
        <x:v>T20261006-1-1</x:v>
      </x:c>
      <x:c r="C1001" s="2" t="str">
        <x:v>ST003</x:v>
      </x:c>
      <x:c r="D1001" s="2" t="str">
        <x:v>7598e98213cb52db1085c9a94fae1915</x:v>
      </x:c>
      <x:c r="E1001" s="2" t="str">
        <x:v>CHECK_IN</x:v>
      </x:c>
      <x:c r="F1001" s="8" t="n">
        <x:v>46301.25215277778</x:v>
      </x:c>
      <x:c r="G1001" s="8" t="n">
        <x:v>46301.252175925925</x:v>
      </x:c>
      <x:c r="H1001" s="2" t="str">
        <x:v>R1S3</x:v>
      </x:c>
      <x:c r="I1001" s="9" t="n">
        <x:v>25.275000000000002</x:v>
      </x:c>
      <x:c r="J1001" s="9" t="n">
        <x:v>51.497</x:v>
      </x:c>
      <x:c r="K1001" s="2" t="n">
        <x:v>8</x:v>
      </x:c>
      <x:c r="L1001" s="2" t="str">
        <x:v>Valid</x:v>
      </x:c>
      <x:c r="M1001" s="2" t="str">
        <x:v>QR</x:v>
      </x:c>
      <x:c r="N1001" s="2" t="n">
        <x:v>1</x:v>
      </x:c>
      <x:c r="O1001" s="2" t="str">
        <x:v>Accepted</x:v>
      </x:c>
      <x:c r="P1001" s="2" t="str">
        <x:v>S001</x:v>
      </x:c>
      <x:c r="Q1001" s="2" t="str">
        <x:v>DEV001</x:v>
      </x:c>
      <x:c r="R1001" s="2" t="n">
        <x:v>16</x:v>
      </x:c>
      <x:c r="S1001" s="2" t="str">
        <x:v>Online</x:v>
      </x:c>
      <x:c r="T1001" s="2" t="str">
        <x:v>Synced</x:v>
      </x:c>
    </x:row>
    <x:row r="1002" ht="21" customHeight="1">
      <x:c r="A1002" s="2" t="str">
        <x:v>EV001119</x:v>
      </x:c>
      <x:c r="B1002" s="2" t="str">
        <x:v>T20261006-1-2</x:v>
      </x:c>
      <x:c r="C1002" s="2" t="str">
        <x:v>ST043</x:v>
      </x:c>
      <x:c r="D1002" s="2" t="str">
        <x:v>db51093fe9dac44d59345ee12f7e9c56</x:v>
      </x:c>
      <x:c r="E1002" s="2" t="str">
        <x:v>CHECK_IN</x:v>
      </x:c>
      <x:c r="F1002" s="8" t="n">
        <x:v>46301.25215277778</x:v>
      </x:c>
      <x:c r="G1002" s="8" t="n">
        <x:v>46301.252175925925</x:v>
      </x:c>
      <x:c r="H1002" s="2" t="str">
        <x:v>R2S3</x:v>
      </x:c>
      <x:c r="I1002" s="9" t="n">
        <x:v>25.284000000000002</x:v>
      </x:c>
      <x:c r="J1002" s="9" t="n">
        <x:v>51.504999999999995</x:v>
      </x:c>
      <x:c r="K1002" s="2" t="n">
        <x:v>8</x:v>
      </x:c>
      <x:c r="L1002" s="2" t="str">
        <x:v>Valid</x:v>
      </x:c>
      <x:c r="M1002" s="2" t="str">
        <x:v>QR</x:v>
      </x:c>
      <x:c r="N1002" s="2" t="n">
        <x:v>1</x:v>
      </x:c>
      <x:c r="O1002" s="2" t="str">
        <x:v>Accepted</x:v>
      </x:c>
      <x:c r="P1002" s="2" t="str">
        <x:v>S002</x:v>
      </x:c>
      <x:c r="Q1002" s="2" t="str">
        <x:v>DEV002</x:v>
      </x:c>
      <x:c r="R1002" s="2" t="n">
        <x:v>16</x:v>
      </x:c>
      <x:c r="S1002" s="2" t="str">
        <x:v>Online</x:v>
      </x:c>
      <x:c r="T1002" s="2" t="str">
        <x:v>Synced</x:v>
      </x:c>
    </x:row>
    <x:row r="1003" ht="21" customHeight="1">
      <x:c r="A1003" s="2" t="str">
        <x:v>EV001279</x:v>
      </x:c>
      <x:c r="B1003" s="2" t="str">
        <x:v>T20261006-1-3</x:v>
      </x:c>
      <x:c r="C1003" s="2" t="str">
        <x:v>ST083</x:v>
      </x:c>
      <x:c r="D1003" s="2" t="str">
        <x:v>19cc474730ce4d97be031814010d13a9</x:v>
      </x:c>
      <x:c r="E1003" s="2" t="str">
        <x:v>CHECK_IN</x:v>
      </x:c>
      <x:c r="F1003" s="8" t="n">
        <x:v>46301.25215277778</x:v>
      </x:c>
      <x:c r="G1003" s="8" t="n">
        <x:v>46301.252175925925</x:v>
      </x:c>
      <x:c r="H1003" s="2" t="str">
        <x:v>R3S3</x:v>
      </x:c>
      <x:c r="I1003" s="9" t="n">
        <x:v>25.293000000000003</x:v>
      </x:c>
      <x:c r="J1003" s="9" t="n">
        <x:v>51.513</x:v>
      </x:c>
      <x:c r="K1003" s="2" t="n">
        <x:v>8</x:v>
      </x:c>
      <x:c r="L1003" s="2" t="str">
        <x:v>Valid</x:v>
      </x:c>
      <x:c r="M1003" s="2" t="str">
        <x:v>QR</x:v>
      </x:c>
      <x:c r="N1003" s="2" t="n">
        <x:v>1</x:v>
      </x:c>
      <x:c r="O1003" s="2" t="str">
        <x:v>Accepted</x:v>
      </x:c>
      <x:c r="P1003" s="2" t="str">
        <x:v>S003</x:v>
      </x:c>
      <x:c r="Q1003" s="2" t="str">
        <x:v>DEV003</x:v>
      </x:c>
      <x:c r="R1003" s="2" t="n">
        <x:v>16</x:v>
      </x:c>
      <x:c r="S1003" s="2" t="str">
        <x:v>Online</x:v>
      </x:c>
      <x:c r="T1003" s="2" t="str">
        <x:v>Synced</x:v>
      </x:c>
    </x:row>
    <x:row r="1004" ht="21" customHeight="1">
      <x:c r="A1004" s="2" t="str">
        <x:v>EV000983</x:v>
      </x:c>
      <x:c r="B1004" s="2" t="str">
        <x:v>T20261006-1-1</x:v>
      </x:c>
      <x:c r="C1004" s="2" t="str">
        <x:v>ST015</x:v>
      </x:c>
      <x:c r="D1004" s="2" t="str">
        <x:v>997c76227e9b12bdccc68d0d53a8d1df</x:v>
      </x:c>
      <x:c r="E1004" s="2" t="str">
        <x:v>CHECK_IN</x:v>
      </x:c>
      <x:c r="F1004" s="8" t="n">
        <x:v>46301.252222222225</x:v>
      </x:c>
      <x:c r="G1004" s="8" t="n">
        <x:v>46301.25224537037</x:v>
      </x:c>
      <x:c r="H1004" s="2" t="str">
        <x:v>R1S3</x:v>
      </x:c>
      <x:c r="I1004" s="9" t="n">
        <x:v>25.275000000000002</x:v>
      </x:c>
      <x:c r="J1004" s="9" t="n">
        <x:v>51.497</x:v>
      </x:c>
      <x:c r="K1004" s="2" t="n">
        <x:v>8</x:v>
      </x:c>
      <x:c r="L1004" s="2" t="str">
        <x:v>Valid</x:v>
      </x:c>
      <x:c r="M1004" s="2" t="str">
        <x:v>QR</x:v>
      </x:c>
      <x:c r="N1004" s="2" t="n">
        <x:v>1</x:v>
      </x:c>
      <x:c r="O1004" s="2" t="str">
        <x:v>Accepted</x:v>
      </x:c>
      <x:c r="P1004" s="2" t="str">
        <x:v>S001</x:v>
      </x:c>
      <x:c r="Q1004" s="2" t="str">
        <x:v>DEV001</x:v>
      </x:c>
      <x:c r="R1004" s="2" t="n">
        <x:v>17</x:v>
      </x:c>
      <x:c r="S1004" s="2" t="str">
        <x:v>Online</x:v>
      </x:c>
      <x:c r="T1004" s="2" t="str">
        <x:v>Synced</x:v>
      </x:c>
    </x:row>
    <x:row r="1005" ht="21" customHeight="1">
      <x:c r="A1005" s="2" t="str">
        <x:v>EV001143</x:v>
      </x:c>
      <x:c r="B1005" s="2" t="str">
        <x:v>T20261006-1-2</x:v>
      </x:c>
      <x:c r="C1005" s="2" t="str">
        <x:v>ST055</x:v>
      </x:c>
      <x:c r="D1005" s="2" t="str">
        <x:v>e796258b9306e2b3efab77a21add36a5</x:v>
      </x:c>
      <x:c r="E1005" s="2" t="str">
        <x:v>CHECK_IN</x:v>
      </x:c>
      <x:c r="F1005" s="8" t="n">
        <x:v>46301.252222222225</x:v>
      </x:c>
      <x:c r="G1005" s="8" t="n">
        <x:v>46301.25224537037</x:v>
      </x:c>
      <x:c r="H1005" s="2" t="str">
        <x:v>R2S3</x:v>
      </x:c>
      <x:c r="I1005" s="9" t="n">
        <x:v>25.284000000000002</x:v>
      </x:c>
      <x:c r="J1005" s="9" t="n">
        <x:v>51.504999999999995</x:v>
      </x:c>
      <x:c r="K1005" s="2" t="n">
        <x:v>8</x:v>
      </x:c>
      <x:c r="L1005" s="2" t="str">
        <x:v>Valid</x:v>
      </x:c>
      <x:c r="M1005" s="2" t="str">
        <x:v>QR</x:v>
      </x:c>
      <x:c r="N1005" s="2" t="n">
        <x:v>1</x:v>
      </x:c>
      <x:c r="O1005" s="2" t="str">
        <x:v>Accepted</x:v>
      </x:c>
      <x:c r="P1005" s="2" t="str">
        <x:v>S002</x:v>
      </x:c>
      <x:c r="Q1005" s="2" t="str">
        <x:v>DEV002</x:v>
      </x:c>
      <x:c r="R1005" s="2" t="n">
        <x:v>17</x:v>
      </x:c>
      <x:c r="S1005" s="2" t="str">
        <x:v>Online</x:v>
      </x:c>
      <x:c r="T1005" s="2" t="str">
        <x:v>Synced</x:v>
      </x:c>
    </x:row>
    <x:row r="1006" ht="21" customHeight="1">
      <x:c r="A1006" s="2" t="str">
        <x:v>EV001303</x:v>
      </x:c>
      <x:c r="B1006" s="2" t="str">
        <x:v>T20261006-1-3</x:v>
      </x:c>
      <x:c r="C1006" s="2" t="str">
        <x:v>ST095</x:v>
      </x:c>
      <x:c r="D1006" s="2" t="str">
        <x:v>0935ee2c52872353d5a355eed1202dbe</x:v>
      </x:c>
      <x:c r="E1006" s="2" t="str">
        <x:v>CHECK_IN</x:v>
      </x:c>
      <x:c r="F1006" s="8" t="n">
        <x:v>46301.252222222225</x:v>
      </x:c>
      <x:c r="G1006" s="8" t="n">
        <x:v>46301.25224537037</x:v>
      </x:c>
      <x:c r="H1006" s="2" t="str">
        <x:v>R3S3</x:v>
      </x:c>
      <x:c r="I1006" s="9" t="n">
        <x:v>25.293000000000003</x:v>
      </x:c>
      <x:c r="J1006" s="9" t="n">
        <x:v>51.513</x:v>
      </x:c>
      <x:c r="K1006" s="2" t="n">
        <x:v>8</x:v>
      </x:c>
      <x:c r="L1006" s="2" t="str">
        <x:v>Valid</x:v>
      </x:c>
      <x:c r="M1006" s="2" t="str">
        <x:v>QR</x:v>
      </x:c>
      <x:c r="N1006" s="2" t="n">
        <x:v>1</x:v>
      </x:c>
      <x:c r="O1006" s="2" t="str">
        <x:v>Accepted</x:v>
      </x:c>
      <x:c r="P1006" s="2" t="str">
        <x:v>S003</x:v>
      </x:c>
      <x:c r="Q1006" s="2" t="str">
        <x:v>DEV003</x:v>
      </x:c>
      <x:c r="R1006" s="2" t="n">
        <x:v>17</x:v>
      </x:c>
      <x:c r="S1006" s="2" t="str">
        <x:v>Online</x:v>
      </x:c>
      <x:c r="T1006" s="2" t="str">
        <x:v>Synced</x:v>
      </x:c>
    </x:row>
    <x:row r="1007" ht="21" customHeight="1">
      <x:c r="A1007" s="2" t="str">
        <x:v>EV000965</x:v>
      </x:c>
      <x:c r="B1007" s="2" t="str">
        <x:v>T20261006-1-1</x:v>
      </x:c>
      <x:c r="C1007" s="2" t="str">
        <x:v>ST006</x:v>
      </x:c>
      <x:c r="D1007" s="2" t="str">
        <x:v>8edd7f2c984bf2eb5adf75591d6f1e9c</x:v>
      </x:c>
      <x:c r="E1007" s="2" t="str">
        <x:v>CHECK_IN</x:v>
      </x:c>
      <x:c r="F1007" s="8" t="n">
        <x:v>46301.25225694444</x:v>
      </x:c>
      <x:c r="G1007" s="8" t="n">
        <x:v>46301.25228009259</x:v>
      </x:c>
      <x:c r="H1007" s="2" t="str">
        <x:v>R1S3</x:v>
      </x:c>
      <x:c r="I1007" s="9" t="n">
        <x:v>25.275000000000002</x:v>
      </x:c>
      <x:c r="J1007" s="9" t="n">
        <x:v>51.497</x:v>
      </x:c>
      <x:c r="K1007" s="2" t="n">
        <x:v>8</x:v>
      </x:c>
      <x:c r="L1007" s="2" t="str">
        <x:v>Valid</x:v>
      </x:c>
      <x:c r="M1007" s="2" t="str">
        <x:v>QR</x:v>
      </x:c>
      <x:c r="N1007" s="2" t="n">
        <x:v>1</x:v>
      </x:c>
      <x:c r="O1007" s="2" t="str">
        <x:v>Accepted</x:v>
      </x:c>
      <x:c r="P1007" s="2" t="str">
        <x:v>S001</x:v>
      </x:c>
      <x:c r="Q1007" s="2" t="str">
        <x:v>DEV001</x:v>
      </x:c>
      <x:c r="R1007" s="2" t="n">
        <x:v>18</x:v>
      </x:c>
      <x:c r="S1007" s="2" t="str">
        <x:v>Online</x:v>
      </x:c>
      <x:c r="T1007" s="2" t="str">
        <x:v>Synced</x:v>
      </x:c>
    </x:row>
    <x:row r="1008" ht="21" customHeight="1">
      <x:c r="A1008" s="2" t="str">
        <x:v>EV001125</x:v>
      </x:c>
      <x:c r="B1008" s="2" t="str">
        <x:v>T20261006-1-2</x:v>
      </x:c>
      <x:c r="C1008" s="2" t="str">
        <x:v>ST046</x:v>
      </x:c>
      <x:c r="D1008" s="2" t="str">
        <x:v>82365992d443d056f10fa7522ac29057</x:v>
      </x:c>
      <x:c r="E1008" s="2" t="str">
        <x:v>CHECK_IN</x:v>
      </x:c>
      <x:c r="F1008" s="8" t="n">
        <x:v>46301.25225694444</x:v>
      </x:c>
      <x:c r="G1008" s="8" t="n">
        <x:v>46301.25228009259</x:v>
      </x:c>
      <x:c r="H1008" s="2" t="str">
        <x:v>R2S3</x:v>
      </x:c>
      <x:c r="I1008" s="9" t="n">
        <x:v>25.284000000000002</x:v>
      </x:c>
      <x:c r="J1008" s="9" t="n">
        <x:v>51.504999999999995</x:v>
      </x:c>
      <x:c r="K1008" s="2" t="n">
        <x:v>8</x:v>
      </x:c>
      <x:c r="L1008" s="2" t="str">
        <x:v>Valid</x:v>
      </x:c>
      <x:c r="M1008" s="2" t="str">
        <x:v>QR</x:v>
      </x:c>
      <x:c r="N1008" s="2" t="n">
        <x:v>1</x:v>
      </x:c>
      <x:c r="O1008" s="2" t="str">
        <x:v>Accepted</x:v>
      </x:c>
      <x:c r="P1008" s="2" t="str">
        <x:v>S002</x:v>
      </x:c>
      <x:c r="Q1008" s="2" t="str">
        <x:v>DEV002</x:v>
      </x:c>
      <x:c r="R1008" s="2" t="n">
        <x:v>18</x:v>
      </x:c>
      <x:c r="S1008" s="2" t="str">
        <x:v>Online</x:v>
      </x:c>
      <x:c r="T1008" s="2" t="str">
        <x:v>Synced</x:v>
      </x:c>
    </x:row>
    <x:row r="1009" ht="21" customHeight="1">
      <x:c r="A1009" s="2" t="str">
        <x:v>EV001285</x:v>
      </x:c>
      <x:c r="B1009" s="2" t="str">
        <x:v>T20261006-1-3</x:v>
      </x:c>
      <x:c r="C1009" s="2" t="str">
        <x:v>ST086</x:v>
      </x:c>
      <x:c r="D1009" s="2" t="str">
        <x:v>33c5dfd0f17fcbe34d50fd9b0a0c0e5b</x:v>
      </x:c>
      <x:c r="E1009" s="2" t="str">
        <x:v>CHECK_IN</x:v>
      </x:c>
      <x:c r="F1009" s="8" t="n">
        <x:v>46301.25225694444</x:v>
      </x:c>
      <x:c r="G1009" s="8" t="n">
        <x:v>46301.25228009259</x:v>
      </x:c>
      <x:c r="H1009" s="2" t="str">
        <x:v>R3S3</x:v>
      </x:c>
      <x:c r="I1009" s="9" t="n">
        <x:v>25.293000000000003</x:v>
      </x:c>
      <x:c r="J1009" s="9" t="n">
        <x:v>51.513</x:v>
      </x:c>
      <x:c r="K1009" s="2" t="n">
        <x:v>8</x:v>
      </x:c>
      <x:c r="L1009" s="2" t="str">
        <x:v>Valid</x:v>
      </x:c>
      <x:c r="M1009" s="2" t="str">
        <x:v>QR</x:v>
      </x:c>
      <x:c r="N1009" s="2" t="n">
        <x:v>1</x:v>
      </x:c>
      <x:c r="O1009" s="2" t="str">
        <x:v>Accepted</x:v>
      </x:c>
      <x:c r="P1009" s="2" t="str">
        <x:v>S003</x:v>
      </x:c>
      <x:c r="Q1009" s="2" t="str">
        <x:v>DEV003</x:v>
      </x:c>
      <x:c r="R1009" s="2" t="n">
        <x:v>18</x:v>
      </x:c>
      <x:c r="S1009" s="2" t="str">
        <x:v>Online</x:v>
      </x:c>
      <x:c r="T1009" s="2" t="str">
        <x:v>Synced</x:v>
      </x:c>
    </x:row>
    <x:row r="1010" ht="21" customHeight="1">
      <x:c r="A1010" s="2" t="str">
        <x:v>EV000989</x:v>
      </x:c>
      <x:c r="B1010" s="2" t="str">
        <x:v>T20261006-1-1</x:v>
      </x:c>
      <x:c r="C1010" s="2" t="str">
        <x:v>ST018</x:v>
      </x:c>
      <x:c r="D1010" s="2" t="str">
        <x:v>4c1b40081ed5c7c21b8392ee528dbe54</x:v>
      </x:c>
      <x:c r="E1010" s="2" t="str">
        <x:v>CHECK_IN</x:v>
      </x:c>
      <x:c r="F1010" s="8" t="n">
        <x:v>46301.25232638889</x:v>
      </x:c>
      <x:c r="G1010" s="8" t="n">
        <x:v>46301.25234953703</x:v>
      </x:c>
      <x:c r="H1010" s="2" t="str">
        <x:v>R1S3</x:v>
      </x:c>
      <x:c r="I1010" s="9" t="n">
        <x:v>25.275000000000002</x:v>
      </x:c>
      <x:c r="J1010" s="9" t="n">
        <x:v>51.497</x:v>
      </x:c>
      <x:c r="K1010" s="2" t="n">
        <x:v>8</x:v>
      </x:c>
      <x:c r="L1010" s="2" t="str">
        <x:v>Valid</x:v>
      </x:c>
      <x:c r="M1010" s="2" t="str">
        <x:v>QR</x:v>
      </x:c>
      <x:c r="N1010" s="2" t="n">
        <x:v>1</x:v>
      </x:c>
      <x:c r="O1010" s="2" t="str">
        <x:v>Accepted</x:v>
      </x:c>
      <x:c r="P1010" s="2" t="str">
        <x:v>S001</x:v>
      </x:c>
      <x:c r="Q1010" s="2" t="str">
        <x:v>DEV001</x:v>
      </x:c>
      <x:c r="R1010" s="2" t="n">
        <x:v>19</x:v>
      </x:c>
      <x:c r="S1010" s="2" t="str">
        <x:v>Online</x:v>
      </x:c>
      <x:c r="T1010" s="2" t="str">
        <x:v>Synced</x:v>
      </x:c>
    </x:row>
    <x:row r="1011" ht="21" customHeight="1">
      <x:c r="A1011" s="2" t="str">
        <x:v>EV001149</x:v>
      </x:c>
      <x:c r="B1011" s="2" t="str">
        <x:v>T20261006-1-2</x:v>
      </x:c>
      <x:c r="C1011" s="2" t="str">
        <x:v>ST058</x:v>
      </x:c>
      <x:c r="D1011" s="2" t="str">
        <x:v>ebf7e65b57e2c8bcd02f90b1d5692596</x:v>
      </x:c>
      <x:c r="E1011" s="2" t="str">
        <x:v>CHECK_IN</x:v>
      </x:c>
      <x:c r="F1011" s="8" t="n">
        <x:v>46301.25232638889</x:v>
      </x:c>
      <x:c r="G1011" s="8" t="n">
        <x:v>46301.25234953703</x:v>
      </x:c>
      <x:c r="H1011" s="2" t="str">
        <x:v>R2S3</x:v>
      </x:c>
      <x:c r="I1011" s="9" t="n">
        <x:v>25.284000000000002</x:v>
      </x:c>
      <x:c r="J1011" s="9" t="n">
        <x:v>51.504999999999995</x:v>
      </x:c>
      <x:c r="K1011" s="2" t="n">
        <x:v>8</x:v>
      </x:c>
      <x:c r="L1011" s="2" t="str">
        <x:v>Valid</x:v>
      </x:c>
      <x:c r="M1011" s="2" t="str">
        <x:v>QR</x:v>
      </x:c>
      <x:c r="N1011" s="2" t="n">
        <x:v>1</x:v>
      </x:c>
      <x:c r="O1011" s="2" t="str">
        <x:v>Accepted</x:v>
      </x:c>
      <x:c r="P1011" s="2" t="str">
        <x:v>S002</x:v>
      </x:c>
      <x:c r="Q1011" s="2" t="str">
        <x:v>DEV002</x:v>
      </x:c>
      <x:c r="R1011" s="2" t="n">
        <x:v>19</x:v>
      </x:c>
      <x:c r="S1011" s="2" t="str">
        <x:v>Online</x:v>
      </x:c>
      <x:c r="T1011" s="2" t="str">
        <x:v>Synced</x:v>
      </x:c>
    </x:row>
    <x:row r="1012" ht="21" customHeight="1">
      <x:c r="A1012" s="2" t="str">
        <x:v>EV001309</x:v>
      </x:c>
      <x:c r="B1012" s="2" t="str">
        <x:v>T20261006-1-3</x:v>
      </x:c>
      <x:c r="C1012" s="2" t="str">
        <x:v>ST098</x:v>
      </x:c>
      <x:c r="D1012" s="2" t="str">
        <x:v>4b453acdeca94f98f11a429464f7bff7</x:v>
      </x:c>
      <x:c r="E1012" s="2" t="str">
        <x:v>CHECK_IN</x:v>
      </x:c>
      <x:c r="F1012" s="8" t="n">
        <x:v>46301.25232638889</x:v>
      </x:c>
      <x:c r="G1012" s="8" t="n">
        <x:v>46301.25234953703</x:v>
      </x:c>
      <x:c r="H1012" s="2" t="str">
        <x:v>R3S3</x:v>
      </x:c>
      <x:c r="I1012" s="9" t="n">
        <x:v>25.293000000000003</x:v>
      </x:c>
      <x:c r="J1012" s="9" t="n">
        <x:v>51.513</x:v>
      </x:c>
      <x:c r="K1012" s="2" t="n">
        <x:v>8</x:v>
      </x:c>
      <x:c r="L1012" s="2" t="str">
        <x:v>Valid</x:v>
      </x:c>
      <x:c r="M1012" s="2" t="str">
        <x:v>QR</x:v>
      </x:c>
      <x:c r="N1012" s="2" t="n">
        <x:v>1</x:v>
      </x:c>
      <x:c r="O1012" s="2" t="str">
        <x:v>Accepted</x:v>
      </x:c>
      <x:c r="P1012" s="2" t="str">
        <x:v>S003</x:v>
      </x:c>
      <x:c r="Q1012" s="2" t="str">
        <x:v>DEV003</x:v>
      </x:c>
      <x:c r="R1012" s="2" t="n">
        <x:v>19</x:v>
      </x:c>
      <x:c r="S1012" s="2" t="str">
        <x:v>Online</x:v>
      </x:c>
      <x:c r="T1012" s="2" t="str">
        <x:v>Synced</x:v>
      </x:c>
    </x:row>
    <x:row r="1013" ht="21" customHeight="1">
      <x:c r="A1013" s="2" t="str">
        <x:v>EV000971</x:v>
      </x:c>
      <x:c r="B1013" s="2" t="str">
        <x:v>T20261006-1-1</x:v>
      </x:c>
      <x:c r="C1013" s="2" t="str">
        <x:v>ST009</x:v>
      </x:c>
      <x:c r="D1013" s="2" t="str">
        <x:v>fdc849f07f4ba12ab82f6bed87d7275d</x:v>
      </x:c>
      <x:c r="E1013" s="2" t="str">
        <x:v>CHECK_IN</x:v>
      </x:c>
      <x:c r="F1013" s="8" t="n">
        <x:v>46301.25236111111</x:v>
      </x:c>
      <x:c r="G1013" s="8" t="n">
        <x:v>46301.252384259256</x:v>
      </x:c>
      <x:c r="H1013" s="2" t="str">
        <x:v>R1S3</x:v>
      </x:c>
      <x:c r="I1013" s="9" t="n">
        <x:v>25.275000000000002</x:v>
      </x:c>
      <x:c r="J1013" s="9" t="n">
        <x:v>51.497</x:v>
      </x:c>
      <x:c r="K1013" s="2" t="n">
        <x:v>8</x:v>
      </x:c>
      <x:c r="L1013" s="2" t="str">
        <x:v>Valid</x:v>
      </x:c>
      <x:c r="M1013" s="2" t="str">
        <x:v>QR</x:v>
      </x:c>
      <x:c r="N1013" s="2" t="n">
        <x:v>1</x:v>
      </x:c>
      <x:c r="O1013" s="2" t="str">
        <x:v>Accepted</x:v>
      </x:c>
      <x:c r="P1013" s="2" t="str">
        <x:v>S001</x:v>
      </x:c>
      <x:c r="Q1013" s="2" t="str">
        <x:v>DEV001</x:v>
      </x:c>
      <x:c r="R1013" s="2" t="n">
        <x:v>20</x:v>
      </x:c>
      <x:c r="S1013" s="2" t="str">
        <x:v>Online</x:v>
      </x:c>
      <x:c r="T1013" s="2" t="str">
        <x:v>Synced</x:v>
      </x:c>
    </x:row>
    <x:row r="1014" ht="21" customHeight="1">
      <x:c r="A1014" s="2" t="str">
        <x:v>EV001131</x:v>
      </x:c>
      <x:c r="B1014" s="2" t="str">
        <x:v>T20261006-1-2</x:v>
      </x:c>
      <x:c r="C1014" s="2" t="str">
        <x:v>ST049</x:v>
      </x:c>
      <x:c r="D1014" s="2" t="str">
        <x:v>aac0da9ca028b4b4fe1fc2c1eb298502</x:v>
      </x:c>
      <x:c r="E1014" s="2" t="str">
        <x:v>CHECK_IN</x:v>
      </x:c>
      <x:c r="F1014" s="8" t="n">
        <x:v>46301.25236111111</x:v>
      </x:c>
      <x:c r="G1014" s="8" t="n">
        <x:v>46301.252384259256</x:v>
      </x:c>
      <x:c r="H1014" s="2" t="str">
        <x:v>R2S3</x:v>
      </x:c>
      <x:c r="I1014" s="9" t="n">
        <x:v>25.284000000000002</x:v>
      </x:c>
      <x:c r="J1014" s="9" t="n">
        <x:v>51.504999999999995</x:v>
      </x:c>
      <x:c r="K1014" s="2" t="n">
        <x:v>8</x:v>
      </x:c>
      <x:c r="L1014" s="2" t="str">
        <x:v>Valid</x:v>
      </x:c>
      <x:c r="M1014" s="2" t="str">
        <x:v>QR</x:v>
      </x:c>
      <x:c r="N1014" s="2" t="n">
        <x:v>1</x:v>
      </x:c>
      <x:c r="O1014" s="2" t="str">
        <x:v>Accepted</x:v>
      </x:c>
      <x:c r="P1014" s="2" t="str">
        <x:v>S002</x:v>
      </x:c>
      <x:c r="Q1014" s="2" t="str">
        <x:v>DEV002</x:v>
      </x:c>
      <x:c r="R1014" s="2" t="n">
        <x:v>20</x:v>
      </x:c>
      <x:c r="S1014" s="2" t="str">
        <x:v>Online</x:v>
      </x:c>
      <x:c r="T1014" s="2" t="str">
        <x:v>Synced</x:v>
      </x:c>
    </x:row>
    <x:row r="1015" ht="21" customHeight="1">
      <x:c r="A1015" s="2" t="str">
        <x:v>EV001291</x:v>
      </x:c>
      <x:c r="B1015" s="2" t="str">
        <x:v>T20261006-1-3</x:v>
      </x:c>
      <x:c r="C1015" s="2" t="str">
        <x:v>ST089</x:v>
      </x:c>
      <x:c r="D1015" s="2" t="str">
        <x:v>0bd697ec3f7c09918d8dd004b5340b03</x:v>
      </x:c>
      <x:c r="E1015" s="2" t="str">
        <x:v>CHECK_IN</x:v>
      </x:c>
      <x:c r="F1015" s="8" t="n">
        <x:v>46301.25236111111</x:v>
      </x:c>
      <x:c r="G1015" s="8" t="n">
        <x:v>46301.252384259256</x:v>
      </x:c>
      <x:c r="H1015" s="2" t="str">
        <x:v>R3S3</x:v>
      </x:c>
      <x:c r="I1015" s="9" t="n">
        <x:v>25.293000000000003</x:v>
      </x:c>
      <x:c r="J1015" s="9" t="n">
        <x:v>51.513</x:v>
      </x:c>
      <x:c r="K1015" s="2" t="n">
        <x:v>8</x:v>
      </x:c>
      <x:c r="L1015" s="2" t="str">
        <x:v>Valid</x:v>
      </x:c>
      <x:c r="M1015" s="2" t="str">
        <x:v>QR</x:v>
      </x:c>
      <x:c r="N1015" s="2" t="n">
        <x:v>1</x:v>
      </x:c>
      <x:c r="O1015" s="2" t="str">
        <x:v>Accepted</x:v>
      </x:c>
      <x:c r="P1015" s="2" t="str">
        <x:v>S003</x:v>
      </x:c>
      <x:c r="Q1015" s="2" t="str">
        <x:v>DEV003</x:v>
      </x:c>
      <x:c r="R1015" s="2" t="n">
        <x:v>20</x:v>
      </x:c>
      <x:c r="S1015" s="2" t="str">
        <x:v>Online</x:v>
      </x:c>
      <x:c r="T1015" s="2" t="str">
        <x:v>Synced</x:v>
      </x:c>
    </x:row>
    <x:row r="1016" ht="21" customHeight="1">
      <x:c r="A1016" s="2" t="str">
        <x:v>EV000956</x:v>
      </x:c>
      <x:c r="B1016" s="2" t="str">
        <x:v>T20261006-1-1</x:v>
      </x:c>
      <x:c r="C1016" s="2" t="str">
        <x:v>ST001</x:v>
      </x:c>
      <x:c r="D1016" s="2" t="str">
        <x:v>c33d277e346360e93548e66cbf71eda4</x:v>
      </x:c>
      <x:c r="E1016" s="2" t="str">
        <x:v>CHECK_OUT</x:v>
      </x:c>
      <x:c r="F1016" s="8" t="n">
        <x:v>46301.27638888889</x:v>
      </x:c>
      <x:c r="G1016" s="8" t="n">
        <x:v>46301.276412037034</x:v>
      </x:c>
      <x:c r="H1016" s="2" t="str">
        <x:v>SCH01</x:v>
      </x:c>
      <x:c r="I1016" s="9" t="n">
        <x:v>25.285</x:v>
      </x:c>
      <x:c r="J1016" s="9" t="n">
        <x:v>51.51</x:v>
      </x:c>
      <x:c r="K1016" s="2" t="n">
        <x:v>8</x:v>
      </x:c>
      <x:c r="L1016" s="2" t="str">
        <x:v>Valid</x:v>
      </x:c>
      <x:c r="M1016" s="2" t="str">
        <x:v>QR</x:v>
      </x:c>
      <x:c r="N1016" s="2" t="n">
        <x:v>1</x:v>
      </x:c>
      <x:c r="O1016" s="2" t="str">
        <x:v>Accepted</x:v>
      </x:c>
      <x:c r="P1016" s="2" t="str">
        <x:v>S001</x:v>
      </x:c>
      <x:c r="Q1016" s="2" t="str">
        <x:v>DEV001</x:v>
      </x:c>
      <x:c r="R1016" s="2" t="n">
        <x:v>21</x:v>
      </x:c>
      <x:c r="S1016" s="2" t="str">
        <x:v>Online</x:v>
      </x:c>
      <x:c r="T1016" s="2" t="str">
        <x:v>Synced</x:v>
      </x:c>
    </x:row>
    <x:row r="1017" ht="21" customHeight="1">
      <x:c r="A1017" s="2" t="str">
        <x:v>EV001116</x:v>
      </x:c>
      <x:c r="B1017" s="2" t="str">
        <x:v>T20261006-1-2</x:v>
      </x:c>
      <x:c r="C1017" s="2" t="str">
        <x:v>ST041</x:v>
      </x:c>
      <x:c r="D1017" s="2" t="str">
        <x:v>78597cf805a87b7619460b6ed67f501f</x:v>
      </x:c>
      <x:c r="E1017" s="2" t="str">
        <x:v>CHECK_OUT</x:v>
      </x:c>
      <x:c r="F1017" s="8" t="n">
        <x:v>46301.27638888889</x:v>
      </x:c>
      <x:c r="G1017" s="8" t="n">
        <x:v>46301.276412037034</x:v>
      </x:c>
      <x:c r="H1017" s="2" t="str">
        <x:v>SCH01</x:v>
      </x:c>
      <x:c r="I1017" s="9" t="n">
        <x:v>25.285</x:v>
      </x:c>
      <x:c r="J1017" s="9" t="n">
        <x:v>51.51</x:v>
      </x:c>
      <x:c r="K1017" s="2" t="n">
        <x:v>8</x:v>
      </x:c>
      <x:c r="L1017" s="2" t="str">
        <x:v>Valid</x:v>
      </x:c>
      <x:c r="M1017" s="2" t="str">
        <x:v>QR</x:v>
      </x:c>
      <x:c r="N1017" s="2" t="n">
        <x:v>1</x:v>
      </x:c>
      <x:c r="O1017" s="2" t="str">
        <x:v>Accepted</x:v>
      </x:c>
      <x:c r="P1017" s="2" t="str">
        <x:v>S002</x:v>
      </x:c>
      <x:c r="Q1017" s="2" t="str">
        <x:v>DEV002</x:v>
      </x:c>
      <x:c r="R1017" s="2" t="n">
        <x:v>21</x:v>
      </x:c>
      <x:c r="S1017" s="2" t="str">
        <x:v>Online</x:v>
      </x:c>
      <x:c r="T1017" s="2" t="str">
        <x:v>Synced</x:v>
      </x:c>
    </x:row>
    <x:row r="1018" ht="21" customHeight="1">
      <x:c r="A1018" s="2" t="str">
        <x:v>EV001276</x:v>
      </x:c>
      <x:c r="B1018" s="2" t="str">
        <x:v>T20261006-1-3</x:v>
      </x:c>
      <x:c r="C1018" s="2" t="str">
        <x:v>ST081</x:v>
      </x:c>
      <x:c r="D1018" s="2" t="str">
        <x:v>8631b63b10b36bffa6456d354db9c08f</x:v>
      </x:c>
      <x:c r="E1018" s="2" t="str">
        <x:v>CHECK_OUT</x:v>
      </x:c>
      <x:c r="F1018" s="8" t="n">
        <x:v>46301.27638888889</x:v>
      </x:c>
      <x:c r="G1018" s="8" t="n">
        <x:v>46301.276412037034</x:v>
      </x:c>
      <x:c r="H1018" s="2" t="str">
        <x:v>SCH01</x:v>
      </x:c>
      <x:c r="I1018" s="9" t="n">
        <x:v>25.285</x:v>
      </x:c>
      <x:c r="J1018" s="9" t="n">
        <x:v>51.51</x:v>
      </x:c>
      <x:c r="K1018" s="2" t="n">
        <x:v>8</x:v>
      </x:c>
      <x:c r="L1018" s="2" t="str">
        <x:v>Valid</x:v>
      </x:c>
      <x:c r="M1018" s="2" t="str">
        <x:v>QR</x:v>
      </x:c>
      <x:c r="N1018" s="2" t="n">
        <x:v>1</x:v>
      </x:c>
      <x:c r="O1018" s="2" t="str">
        <x:v>Accepted</x:v>
      </x:c>
      <x:c r="P1018" s="2" t="str">
        <x:v>S003</x:v>
      </x:c>
      <x:c r="Q1018" s="2" t="str">
        <x:v>DEV003</x:v>
      </x:c>
      <x:c r="R1018" s="2" t="n">
        <x:v>21</x:v>
      </x:c>
      <x:c r="S1018" s="2" t="str">
        <x:v>Online</x:v>
      </x:c>
      <x:c r="T1018" s="2" t="str">
        <x:v>Synced</x:v>
      </x:c>
    </x:row>
    <x:row r="1019" ht="21" customHeight="1">
      <x:c r="A1019" s="2" t="str">
        <x:v>EV000958</x:v>
      </x:c>
      <x:c r="B1019" s="2" t="str">
        <x:v>T20261006-1-1</x:v>
      </x:c>
      <x:c r="C1019" s="2" t="str">
        <x:v>ST002</x:v>
      </x:c>
      <x:c r="D1019" s="2" t="str">
        <x:v>c9302a76d79e524442f3775978bb57a1</x:v>
      </x:c>
      <x:c r="E1019" s="2" t="str">
        <x:v>CHECK_OUT</x:v>
      </x:c>
      <x:c r="F1019" s="8" t="n">
        <x:v>46301.27642361111</x:v>
      </x:c>
      <x:c r="G1019" s="8" t="n">
        <x:v>46301.27644675926</x:v>
      </x:c>
      <x:c r="H1019" s="2" t="str">
        <x:v>SCH01</x:v>
      </x:c>
      <x:c r="I1019" s="9" t="n">
        <x:v>25.285</x:v>
      </x:c>
      <x:c r="J1019" s="9" t="n">
        <x:v>51.51</x:v>
      </x:c>
      <x:c r="K1019" s="2" t="n">
        <x:v>8</x:v>
      </x:c>
      <x:c r="L1019" s="2" t="str">
        <x:v>Valid</x:v>
      </x:c>
      <x:c r="M1019" s="2" t="str">
        <x:v>QR</x:v>
      </x:c>
      <x:c r="N1019" s="2" t="n">
        <x:v>1</x:v>
      </x:c>
      <x:c r="O1019" s="2" t="str">
        <x:v>Accepted</x:v>
      </x:c>
      <x:c r="P1019" s="2" t="str">
        <x:v>S001</x:v>
      </x:c>
      <x:c r="Q1019" s="2" t="str">
        <x:v>DEV001</x:v>
      </x:c>
      <x:c r="R1019" s="2" t="n">
        <x:v>22</x:v>
      </x:c>
      <x:c r="S1019" s="2" t="str">
        <x:v>Online</x:v>
      </x:c>
      <x:c r="T1019" s="2" t="str">
        <x:v>Synced</x:v>
      </x:c>
    </x:row>
    <x:row r="1020" ht="21" customHeight="1">
      <x:c r="A1020" s="2" t="str">
        <x:v>EV001118</x:v>
      </x:c>
      <x:c r="B1020" s="2" t="str">
        <x:v>T20261006-1-2</x:v>
      </x:c>
      <x:c r="C1020" s="2" t="str">
        <x:v>ST042</x:v>
      </x:c>
      <x:c r="D1020" s="2" t="str">
        <x:v>9cf3254a8e8c8233e36089501cd1bc60</x:v>
      </x:c>
      <x:c r="E1020" s="2" t="str">
        <x:v>CHECK_OUT</x:v>
      </x:c>
      <x:c r="F1020" s="8" t="n">
        <x:v>46301.27642361111</x:v>
      </x:c>
      <x:c r="G1020" s="8" t="n">
        <x:v>46301.27644675926</x:v>
      </x:c>
      <x:c r="H1020" s="2" t="str">
        <x:v>SCH01</x:v>
      </x:c>
      <x:c r="I1020" s="9" t="n">
        <x:v>25.285</x:v>
      </x:c>
      <x:c r="J1020" s="9" t="n">
        <x:v>51.51</x:v>
      </x:c>
      <x:c r="K1020" s="2" t="n">
        <x:v>8</x:v>
      </x:c>
      <x:c r="L1020" s="2" t="str">
        <x:v>Valid</x:v>
      </x:c>
      <x:c r="M1020" s="2" t="str">
        <x:v>QR</x:v>
      </x:c>
      <x:c r="N1020" s="2" t="n">
        <x:v>1</x:v>
      </x:c>
      <x:c r="O1020" s="2" t="str">
        <x:v>Accepted</x:v>
      </x:c>
      <x:c r="P1020" s="2" t="str">
        <x:v>S002</x:v>
      </x:c>
      <x:c r="Q1020" s="2" t="str">
        <x:v>DEV002</x:v>
      </x:c>
      <x:c r="R1020" s="2" t="n">
        <x:v>22</x:v>
      </x:c>
      <x:c r="S1020" s="2" t="str">
        <x:v>Online</x:v>
      </x:c>
      <x:c r="T1020" s="2" t="str">
        <x:v>Synced</x:v>
      </x:c>
    </x:row>
    <x:row r="1021" ht="21" customHeight="1">
      <x:c r="A1021" s="2" t="str">
        <x:v>EV001278</x:v>
      </x:c>
      <x:c r="B1021" s="2" t="str">
        <x:v>T20261006-1-3</x:v>
      </x:c>
      <x:c r="C1021" s="2" t="str">
        <x:v>ST082</x:v>
      </x:c>
      <x:c r="D1021" s="2" t="str">
        <x:v>fb7e28e2da3ace738571a6966bcaaec0</x:v>
      </x:c>
      <x:c r="E1021" s="2" t="str">
        <x:v>CHECK_OUT</x:v>
      </x:c>
      <x:c r="F1021" s="8" t="n">
        <x:v>46301.27642361111</x:v>
      </x:c>
      <x:c r="G1021" s="8" t="n">
        <x:v>46301.27644675926</x:v>
      </x:c>
      <x:c r="H1021" s="2" t="str">
        <x:v>SCH01</x:v>
      </x:c>
      <x:c r="I1021" s="9" t="n">
        <x:v>25.285</x:v>
      </x:c>
      <x:c r="J1021" s="9" t="n">
        <x:v>51.51</x:v>
      </x:c>
      <x:c r="K1021" s="2" t="n">
        <x:v>8</x:v>
      </x:c>
      <x:c r="L1021" s="2" t="str">
        <x:v>Valid</x:v>
      </x:c>
      <x:c r="M1021" s="2" t="str">
        <x:v>QR</x:v>
      </x:c>
      <x:c r="N1021" s="2" t="n">
        <x:v>1</x:v>
      </x:c>
      <x:c r="O1021" s="2" t="str">
        <x:v>Accepted</x:v>
      </x:c>
      <x:c r="P1021" s="2" t="str">
        <x:v>S003</x:v>
      </x:c>
      <x:c r="Q1021" s="2" t="str">
        <x:v>DEV003</x:v>
      </x:c>
      <x:c r="R1021" s="2" t="n">
        <x:v>22</x:v>
      </x:c>
      <x:c r="S1021" s="2" t="str">
        <x:v>Online</x:v>
      </x:c>
      <x:c r="T1021" s="2" t="str">
        <x:v>Synced</x:v>
      </x:c>
    </x:row>
    <x:row r="1022" ht="21" customHeight="1">
      <x:c r="A1022" s="2" t="str">
        <x:v>EV000960</x:v>
      </x:c>
      <x:c r="B1022" s="2" t="str">
        <x:v>T20261006-1-1</x:v>
      </x:c>
      <x:c r="C1022" s="2" t="str">
        <x:v>ST003</x:v>
      </x:c>
      <x:c r="D1022" s="2" t="str">
        <x:v>7598e98213cb52db1085c9a94fae1915</x:v>
      </x:c>
      <x:c r="E1022" s="2" t="str">
        <x:v>CHECK_OUT</x:v>
      </x:c>
      <x:c r="F1022" s="8" t="n">
        <x:v>46301.276458333334</x:v>
      </x:c>
      <x:c r="G1022" s="8" t="n">
        <x:v>46301.27648148148</x:v>
      </x:c>
      <x:c r="H1022" s="2" t="str">
        <x:v>SCH01</x:v>
      </x:c>
      <x:c r="I1022" s="9" t="n">
        <x:v>25.285</x:v>
      </x:c>
      <x:c r="J1022" s="9" t="n">
        <x:v>51.51</x:v>
      </x:c>
      <x:c r="K1022" s="2" t="n">
        <x:v>8</x:v>
      </x:c>
      <x:c r="L1022" s="2" t="str">
        <x:v>Valid</x:v>
      </x:c>
      <x:c r="M1022" s="2" t="str">
        <x:v>QR</x:v>
      </x:c>
      <x:c r="N1022" s="2" t="n">
        <x:v>1</x:v>
      </x:c>
      <x:c r="O1022" s="2" t="str">
        <x:v>Accepted</x:v>
      </x:c>
      <x:c r="P1022" s="2" t="str">
        <x:v>S001</x:v>
      </x:c>
      <x:c r="Q1022" s="2" t="str">
        <x:v>DEV001</x:v>
      </x:c>
      <x:c r="R1022" s="2" t="n">
        <x:v>23</x:v>
      </x:c>
      <x:c r="S1022" s="2" t="str">
        <x:v>Online</x:v>
      </x:c>
      <x:c r="T1022" s="2" t="str">
        <x:v>Synced</x:v>
      </x:c>
    </x:row>
    <x:row r="1023" ht="21" customHeight="1">
      <x:c r="A1023" s="2" t="str">
        <x:v>EV001120</x:v>
      </x:c>
      <x:c r="B1023" s="2" t="str">
        <x:v>T20261006-1-2</x:v>
      </x:c>
      <x:c r="C1023" s="2" t="str">
        <x:v>ST043</x:v>
      </x:c>
      <x:c r="D1023" s="2" t="str">
        <x:v>db51093fe9dac44d59345ee12f7e9c56</x:v>
      </x:c>
      <x:c r="E1023" s="2" t="str">
        <x:v>CHECK_OUT</x:v>
      </x:c>
      <x:c r="F1023" s="8" t="n">
        <x:v>46301.276458333334</x:v>
      </x:c>
      <x:c r="G1023" s="8" t="n">
        <x:v>46301.27648148148</x:v>
      </x:c>
      <x:c r="H1023" s="2" t="str">
        <x:v>SCH01</x:v>
      </x:c>
      <x:c r="I1023" s="9" t="n">
        <x:v>25.285</x:v>
      </x:c>
      <x:c r="J1023" s="9" t="n">
        <x:v>51.51</x:v>
      </x:c>
      <x:c r="K1023" s="2" t="n">
        <x:v>8</x:v>
      </x:c>
      <x:c r="L1023" s="2" t="str">
        <x:v>Valid</x:v>
      </x:c>
      <x:c r="M1023" s="2" t="str">
        <x:v>QR</x:v>
      </x:c>
      <x:c r="N1023" s="2" t="n">
        <x:v>1</x:v>
      </x:c>
      <x:c r="O1023" s="2" t="str">
        <x:v>Accepted</x:v>
      </x:c>
      <x:c r="P1023" s="2" t="str">
        <x:v>S002</x:v>
      </x:c>
      <x:c r="Q1023" s="2" t="str">
        <x:v>DEV002</x:v>
      </x:c>
      <x:c r="R1023" s="2" t="n">
        <x:v>23</x:v>
      </x:c>
      <x:c r="S1023" s="2" t="str">
        <x:v>Online</x:v>
      </x:c>
      <x:c r="T1023" s="2" t="str">
        <x:v>Synced</x:v>
      </x:c>
    </x:row>
    <x:row r="1024" ht="21" customHeight="1">
      <x:c r="A1024" s="2" t="str">
        <x:v>EV001280</x:v>
      </x:c>
      <x:c r="B1024" s="2" t="str">
        <x:v>T20261006-1-3</x:v>
      </x:c>
      <x:c r="C1024" s="2" t="str">
        <x:v>ST083</x:v>
      </x:c>
      <x:c r="D1024" s="2" t="str">
        <x:v>19cc474730ce4d97be031814010d13a9</x:v>
      </x:c>
      <x:c r="E1024" s="2" t="str">
        <x:v>CHECK_OUT</x:v>
      </x:c>
      <x:c r="F1024" s="8" t="n">
        <x:v>46301.276458333334</x:v>
      </x:c>
      <x:c r="G1024" s="8" t="n">
        <x:v>46301.27648148148</x:v>
      </x:c>
      <x:c r="H1024" s="2" t="str">
        <x:v>SCH01</x:v>
      </x:c>
      <x:c r="I1024" s="9" t="n">
        <x:v>25.285</x:v>
      </x:c>
      <x:c r="J1024" s="9" t="n">
        <x:v>51.51</x:v>
      </x:c>
      <x:c r="K1024" s="2" t="n">
        <x:v>8</x:v>
      </x:c>
      <x:c r="L1024" s="2" t="str">
        <x:v>Valid</x:v>
      </x:c>
      <x:c r="M1024" s="2" t="str">
        <x:v>QR</x:v>
      </x:c>
      <x:c r="N1024" s="2" t="n">
        <x:v>1</x:v>
      </x:c>
      <x:c r="O1024" s="2" t="str">
        <x:v>Accepted</x:v>
      </x:c>
      <x:c r="P1024" s="2" t="str">
        <x:v>S003</x:v>
      </x:c>
      <x:c r="Q1024" s="2" t="str">
        <x:v>DEV003</x:v>
      </x:c>
      <x:c r="R1024" s="2" t="n">
        <x:v>23</x:v>
      </x:c>
      <x:c r="S1024" s="2" t="str">
        <x:v>Online</x:v>
      </x:c>
      <x:c r="T1024" s="2" t="str">
        <x:v>Synced</x:v>
      </x:c>
    </x:row>
    <x:row r="1025" ht="21" customHeight="1">
      <x:c r="A1025" s="2" t="str">
        <x:v>EV000962</x:v>
      </x:c>
      <x:c r="B1025" s="2" t="str">
        <x:v>T20261006-1-1</x:v>
      </x:c>
      <x:c r="C1025" s="2" t="str">
        <x:v>ST004</x:v>
      </x:c>
      <x:c r="D1025" s="2" t="str">
        <x:v>7dee56e67101a0dd8483e1503eba9a72</x:v>
      </x:c>
      <x:c r="E1025" s="2" t="str">
        <x:v>CHECK_OUT</x:v>
      </x:c>
      <x:c r="F1025" s="8" t="n">
        <x:v>46301.27649305556</x:v>
      </x:c>
      <x:c r="G1025" s="8" t="n">
        <x:v>46301.2765162037</x:v>
      </x:c>
      <x:c r="H1025" s="2" t="str">
        <x:v>SCH01</x:v>
      </x:c>
      <x:c r="I1025" s="9" t="n">
        <x:v>25.285</x:v>
      </x:c>
      <x:c r="J1025" s="9" t="n">
        <x:v>51.51</x:v>
      </x:c>
      <x:c r="K1025" s="2" t="n">
        <x:v>8</x:v>
      </x:c>
      <x:c r="L1025" s="2" t="str">
        <x:v>Valid</x:v>
      </x:c>
      <x:c r="M1025" s="2" t="str">
        <x:v>QR</x:v>
      </x:c>
      <x:c r="N1025" s="2" t="n">
        <x:v>1</x:v>
      </x:c>
      <x:c r="O1025" s="2" t="str">
        <x:v>Accepted</x:v>
      </x:c>
      <x:c r="P1025" s="2" t="str">
        <x:v>S001</x:v>
      </x:c>
      <x:c r="Q1025" s="2" t="str">
        <x:v>DEV001</x:v>
      </x:c>
      <x:c r="R1025" s="2" t="n">
        <x:v>24</x:v>
      </x:c>
      <x:c r="S1025" s="2" t="str">
        <x:v>Online</x:v>
      </x:c>
      <x:c r="T1025" s="2" t="str">
        <x:v>Synced</x:v>
      </x:c>
    </x:row>
    <x:row r="1026" ht="21" customHeight="1">
      <x:c r="A1026" s="2" t="str">
        <x:v>EV001122</x:v>
      </x:c>
      <x:c r="B1026" s="2" t="str">
        <x:v>T20261006-1-2</x:v>
      </x:c>
      <x:c r="C1026" s="2" t="str">
        <x:v>ST044</x:v>
      </x:c>
      <x:c r="D1026" s="2" t="str">
        <x:v>638b036dff08260bc8976402fb10157a</x:v>
      </x:c>
      <x:c r="E1026" s="2" t="str">
        <x:v>CHECK_OUT</x:v>
      </x:c>
      <x:c r="F1026" s="8" t="n">
        <x:v>46301.27649305556</x:v>
      </x:c>
      <x:c r="G1026" s="8" t="n">
        <x:v>46301.2765162037</x:v>
      </x:c>
      <x:c r="H1026" s="2" t="str">
        <x:v>SCH01</x:v>
      </x:c>
      <x:c r="I1026" s="9" t="n">
        <x:v>25.285</x:v>
      </x:c>
      <x:c r="J1026" s="9" t="n">
        <x:v>51.51</x:v>
      </x:c>
      <x:c r="K1026" s="2" t="n">
        <x:v>8</x:v>
      </x:c>
      <x:c r="L1026" s="2" t="str">
        <x:v>Valid</x:v>
      </x:c>
      <x:c r="M1026" s="2" t="str">
        <x:v>QR</x:v>
      </x:c>
      <x:c r="N1026" s="2" t="n">
        <x:v>1</x:v>
      </x:c>
      <x:c r="O1026" s="2" t="str">
        <x:v>Accepted</x:v>
      </x:c>
      <x:c r="P1026" s="2" t="str">
        <x:v>S002</x:v>
      </x:c>
      <x:c r="Q1026" s="2" t="str">
        <x:v>DEV002</x:v>
      </x:c>
      <x:c r="R1026" s="2" t="n">
        <x:v>24</x:v>
      </x:c>
      <x:c r="S1026" s="2" t="str">
        <x:v>Online</x:v>
      </x:c>
      <x:c r="T1026" s="2" t="str">
        <x:v>Synced</x:v>
      </x:c>
    </x:row>
    <x:row r="1027" ht="21" customHeight="1">
      <x:c r="A1027" s="2" t="str">
        <x:v>EV001282</x:v>
      </x:c>
      <x:c r="B1027" s="2" t="str">
        <x:v>T20261006-1-3</x:v>
      </x:c>
      <x:c r="C1027" s="2" t="str">
        <x:v>ST084</x:v>
      </x:c>
      <x:c r="D1027" s="2" t="str">
        <x:v>2f6163b722feb8421b83fd278ee72e5c</x:v>
      </x:c>
      <x:c r="E1027" s="2" t="str">
        <x:v>CHECK_OUT</x:v>
      </x:c>
      <x:c r="F1027" s="8" t="n">
        <x:v>46301.27649305556</x:v>
      </x:c>
      <x:c r="G1027" s="8" t="n">
        <x:v>46301.2765162037</x:v>
      </x:c>
      <x:c r="H1027" s="2" t="str">
        <x:v>SCH01</x:v>
      </x:c>
      <x:c r="I1027" s="9" t="n">
        <x:v>25.285</x:v>
      </x:c>
      <x:c r="J1027" s="9" t="n">
        <x:v>51.51</x:v>
      </x:c>
      <x:c r="K1027" s="2" t="n">
        <x:v>8</x:v>
      </x:c>
      <x:c r="L1027" s="2" t="str">
        <x:v>Valid</x:v>
      </x:c>
      <x:c r="M1027" s="2" t="str">
        <x:v>QR</x:v>
      </x:c>
      <x:c r="N1027" s="2" t="n">
        <x:v>1</x:v>
      </x:c>
      <x:c r="O1027" s="2" t="str">
        <x:v>Accepted</x:v>
      </x:c>
      <x:c r="P1027" s="2" t="str">
        <x:v>S003</x:v>
      </x:c>
      <x:c r="Q1027" s="2" t="str">
        <x:v>DEV003</x:v>
      </x:c>
      <x:c r="R1027" s="2" t="n">
        <x:v>24</x:v>
      </x:c>
      <x:c r="S1027" s="2" t="str">
        <x:v>Online</x:v>
      </x:c>
      <x:c r="T1027" s="2" t="str">
        <x:v>Synced</x:v>
      </x:c>
    </x:row>
    <x:row r="1028" ht="21" customHeight="1">
      <x:c r="A1028" s="2" t="str">
        <x:v>EV000964</x:v>
      </x:c>
      <x:c r="B1028" s="2" t="str">
        <x:v>T20261006-1-1</x:v>
      </x:c>
      <x:c r="C1028" s="2" t="str">
        <x:v>ST005</x:v>
      </x:c>
      <x:c r="D1028" s="2" t="str">
        <x:v>426727a8a0b9d51694a399a005c786cf</x:v>
      </x:c>
      <x:c r="E1028" s="2" t="str">
        <x:v>CHECK_OUT</x:v>
      </x:c>
      <x:c r="F1028" s="8" t="n">
        <x:v>46301.27652777778</x:v>
      </x:c>
      <x:c r="G1028" s="8" t="n">
        <x:v>46301.276550925926</x:v>
      </x:c>
      <x:c r="H1028" s="2" t="str">
        <x:v>SCH01</x:v>
      </x:c>
      <x:c r="I1028" s="9" t="n">
        <x:v>25.285</x:v>
      </x:c>
      <x:c r="J1028" s="9" t="n">
        <x:v>51.51</x:v>
      </x:c>
      <x:c r="K1028" s="2" t="n">
        <x:v>8</x:v>
      </x:c>
      <x:c r="L1028" s="2" t="str">
        <x:v>Valid</x:v>
      </x:c>
      <x:c r="M1028" s="2" t="str">
        <x:v>QR</x:v>
      </x:c>
      <x:c r="N1028" s="2" t="n">
        <x:v>1</x:v>
      </x:c>
      <x:c r="O1028" s="2" t="str">
        <x:v>Accepted</x:v>
      </x:c>
      <x:c r="P1028" s="2" t="str">
        <x:v>S001</x:v>
      </x:c>
      <x:c r="Q1028" s="2" t="str">
        <x:v>DEV001</x:v>
      </x:c>
      <x:c r="R1028" s="2" t="n">
        <x:v>25</x:v>
      </x:c>
      <x:c r="S1028" s="2" t="str">
        <x:v>Online</x:v>
      </x:c>
      <x:c r="T1028" s="2" t="str">
        <x:v>Synced</x:v>
      </x:c>
    </x:row>
    <x:row r="1029" ht="21" customHeight="1">
      <x:c r="A1029" s="2" t="str">
        <x:v>EV001124</x:v>
      </x:c>
      <x:c r="B1029" s="2" t="str">
        <x:v>T20261006-1-2</x:v>
      </x:c>
      <x:c r="C1029" s="2" t="str">
        <x:v>ST045</x:v>
      </x:c>
      <x:c r="D1029" s="2" t="str">
        <x:v>10d8df8a06a7c869bcaa1adbc88c05bc</x:v>
      </x:c>
      <x:c r="E1029" s="2" t="str">
        <x:v>CHECK_OUT</x:v>
      </x:c>
      <x:c r="F1029" s="8" t="n">
        <x:v>46301.27652777778</x:v>
      </x:c>
      <x:c r="G1029" s="8" t="n">
        <x:v>46301.276550925926</x:v>
      </x:c>
      <x:c r="H1029" s="2" t="str">
        <x:v>SCH01</x:v>
      </x:c>
      <x:c r="I1029" s="9" t="n">
        <x:v>25.285</x:v>
      </x:c>
      <x:c r="J1029" s="9" t="n">
        <x:v>51.51</x:v>
      </x:c>
      <x:c r="K1029" s="2" t="n">
        <x:v>8</x:v>
      </x:c>
      <x:c r="L1029" s="2" t="str">
        <x:v>Valid</x:v>
      </x:c>
      <x:c r="M1029" s="2" t="str">
        <x:v>QR</x:v>
      </x:c>
      <x:c r="N1029" s="2" t="n">
        <x:v>1</x:v>
      </x:c>
      <x:c r="O1029" s="2" t="str">
        <x:v>Accepted</x:v>
      </x:c>
      <x:c r="P1029" s="2" t="str">
        <x:v>S002</x:v>
      </x:c>
      <x:c r="Q1029" s="2" t="str">
        <x:v>DEV002</x:v>
      </x:c>
      <x:c r="R1029" s="2" t="n">
        <x:v>25</x:v>
      </x:c>
      <x:c r="S1029" s="2" t="str">
        <x:v>Online</x:v>
      </x:c>
      <x:c r="T1029" s="2" t="str">
        <x:v>Synced</x:v>
      </x:c>
    </x:row>
    <x:row r="1030" ht="21" customHeight="1">
      <x:c r="A1030" s="2" t="str">
        <x:v>EV001284</x:v>
      </x:c>
      <x:c r="B1030" s="2" t="str">
        <x:v>T20261006-1-3</x:v>
      </x:c>
      <x:c r="C1030" s="2" t="str">
        <x:v>ST085</x:v>
      </x:c>
      <x:c r="D1030" s="2"/>
      <x:c r="E1030" s="2" t="str">
        <x:v>CHECK_OUT</x:v>
      </x:c>
      <x:c r="F1030" s="8" t="n">
        <x:v>46301.27652777778</x:v>
      </x:c>
      <x:c r="G1030" s="8" t="n">
        <x:v>46301.276550925926</x:v>
      </x:c>
      <x:c r="H1030" s="2" t="str">
        <x:v>SCH01</x:v>
      </x:c>
      <x:c r="I1030" s="9" t="n">
        <x:v>25.285</x:v>
      </x:c>
      <x:c r="J1030" s="9" t="n">
        <x:v>51.51</x:v>
      </x:c>
      <x:c r="K1030" s="2" t="n">
        <x:v>8</x:v>
      </x:c>
      <x:c r="L1030" s="2" t="str">
        <x:v>Valid</x:v>
      </x:c>
      <x:c r="M1030" s="2" t="str">
        <x:v>Manual</x:v>
      </x:c>
      <x:c r="N1030" s="2" t="n">
        <x:v>1</x:v>
      </x:c>
      <x:c r="O1030" s="2" t="str">
        <x:v>Accepted</x:v>
      </x:c>
      <x:c r="P1030" s="2" t="str">
        <x:v>S003</x:v>
      </x:c>
      <x:c r="Q1030" s="2" t="str">
        <x:v>DEV003</x:v>
      </x:c>
      <x:c r="R1030" s="2" t="n">
        <x:v>25</x:v>
      </x:c>
      <x:c r="S1030" s="2" t="str">
        <x:v>Online</x:v>
      </x:c>
      <x:c r="T1030" s="2" t="str">
        <x:v>Synced</x:v>
      </x:c>
    </x:row>
    <x:row r="1031" ht="21" customHeight="1">
      <x:c r="A1031" s="2" t="str">
        <x:v>EV000966</x:v>
      </x:c>
      <x:c r="B1031" s="2" t="str">
        <x:v>T20261006-1-1</x:v>
      </x:c>
      <x:c r="C1031" s="2" t="str">
        <x:v>ST006</x:v>
      </x:c>
      <x:c r="D1031" s="2" t="str">
        <x:v>8edd7f2c984bf2eb5adf75591d6f1e9c</x:v>
      </x:c>
      <x:c r="E1031" s="2" t="str">
        <x:v>CHECK_OUT</x:v>
      </x:c>
      <x:c r="F1031" s="8" t="n">
        <x:v>46301.276562499996</x:v>
      </x:c>
      <x:c r="G1031" s="8" t="n">
        <x:v>46301.27658564814</x:v>
      </x:c>
      <x:c r="H1031" s="2" t="str">
        <x:v>SCH01</x:v>
      </x:c>
      <x:c r="I1031" s="9" t="n">
        <x:v>25.285</x:v>
      </x:c>
      <x:c r="J1031" s="9" t="n">
        <x:v>51.51</x:v>
      </x:c>
      <x:c r="K1031" s="2" t="n">
        <x:v>8</x:v>
      </x:c>
      <x:c r="L1031" s="2" t="str">
        <x:v>Valid</x:v>
      </x:c>
      <x:c r="M1031" s="2" t="str">
        <x:v>QR</x:v>
      </x:c>
      <x:c r="N1031" s="2" t="n">
        <x:v>1</x:v>
      </x:c>
      <x:c r="O1031" s="2" t="str">
        <x:v>Accepted</x:v>
      </x:c>
      <x:c r="P1031" s="2" t="str">
        <x:v>S001</x:v>
      </x:c>
      <x:c r="Q1031" s="2" t="str">
        <x:v>DEV001</x:v>
      </x:c>
      <x:c r="R1031" s="2" t="n">
        <x:v>26</x:v>
      </x:c>
      <x:c r="S1031" s="2" t="str">
        <x:v>Online</x:v>
      </x:c>
      <x:c r="T1031" s="2" t="str">
        <x:v>Synced</x:v>
      </x:c>
    </x:row>
    <x:row r="1032" ht="21" customHeight="1">
      <x:c r="A1032" s="2" t="str">
        <x:v>EV001126</x:v>
      </x:c>
      <x:c r="B1032" s="2" t="str">
        <x:v>T20261006-1-2</x:v>
      </x:c>
      <x:c r="C1032" s="2" t="str">
        <x:v>ST046</x:v>
      </x:c>
      <x:c r="D1032" s="2" t="str">
        <x:v>82365992d443d056f10fa7522ac29057</x:v>
      </x:c>
      <x:c r="E1032" s="2" t="str">
        <x:v>CHECK_OUT</x:v>
      </x:c>
      <x:c r="F1032" s="8" t="n">
        <x:v>46301.276562499996</x:v>
      </x:c>
      <x:c r="G1032" s="8" t="n">
        <x:v>46301.27658564814</x:v>
      </x:c>
      <x:c r="H1032" s="2" t="str">
        <x:v>SCH01</x:v>
      </x:c>
      <x:c r="I1032" s="9" t="n">
        <x:v>25.285</x:v>
      </x:c>
      <x:c r="J1032" s="9" t="n">
        <x:v>51.51</x:v>
      </x:c>
      <x:c r="K1032" s="2" t="n">
        <x:v>8</x:v>
      </x:c>
      <x:c r="L1032" s="2" t="str">
        <x:v>Valid</x:v>
      </x:c>
      <x:c r="M1032" s="2" t="str">
        <x:v>QR</x:v>
      </x:c>
      <x:c r="N1032" s="2" t="n">
        <x:v>1</x:v>
      </x:c>
      <x:c r="O1032" s="2" t="str">
        <x:v>Accepted</x:v>
      </x:c>
      <x:c r="P1032" s="2" t="str">
        <x:v>S002</x:v>
      </x:c>
      <x:c r="Q1032" s="2" t="str">
        <x:v>DEV002</x:v>
      </x:c>
      <x:c r="R1032" s="2" t="n">
        <x:v>26</x:v>
      </x:c>
      <x:c r="S1032" s="2" t="str">
        <x:v>Online</x:v>
      </x:c>
      <x:c r="T1032" s="2" t="str">
        <x:v>Synced</x:v>
      </x:c>
    </x:row>
    <x:row r="1033" ht="21" customHeight="1">
      <x:c r="A1033" s="2" t="str">
        <x:v>EV001286</x:v>
      </x:c>
      <x:c r="B1033" s="2" t="str">
        <x:v>T20261006-1-3</x:v>
      </x:c>
      <x:c r="C1033" s="2" t="str">
        <x:v>ST086</x:v>
      </x:c>
      <x:c r="D1033" s="2" t="str">
        <x:v>33c5dfd0f17fcbe34d50fd9b0a0c0e5b</x:v>
      </x:c>
      <x:c r="E1033" s="2" t="str">
        <x:v>CHECK_OUT</x:v>
      </x:c>
      <x:c r="F1033" s="8" t="n">
        <x:v>46301.276562499996</x:v>
      </x:c>
      <x:c r="G1033" s="8" t="n">
        <x:v>46301.27658564814</x:v>
      </x:c>
      <x:c r="H1033" s="2" t="str">
        <x:v>SCH01</x:v>
      </x:c>
      <x:c r="I1033" s="9" t="n">
        <x:v>25.285</x:v>
      </x:c>
      <x:c r="J1033" s="9" t="n">
        <x:v>51.51</x:v>
      </x:c>
      <x:c r="K1033" s="2" t="n">
        <x:v>8</x:v>
      </x:c>
      <x:c r="L1033" s="2" t="str">
        <x:v>Valid</x:v>
      </x:c>
      <x:c r="M1033" s="2" t="str">
        <x:v>QR</x:v>
      </x:c>
      <x:c r="N1033" s="2" t="n">
        <x:v>1</x:v>
      </x:c>
      <x:c r="O1033" s="2" t="str">
        <x:v>Accepted</x:v>
      </x:c>
      <x:c r="P1033" s="2" t="str">
        <x:v>S003</x:v>
      </x:c>
      <x:c r="Q1033" s="2" t="str">
        <x:v>DEV003</x:v>
      </x:c>
      <x:c r="R1033" s="2" t="n">
        <x:v>26</x:v>
      </x:c>
      <x:c r="S1033" s="2" t="str">
        <x:v>Online</x:v>
      </x:c>
      <x:c r="T1033" s="2" t="str">
        <x:v>Synced</x:v>
      </x:c>
    </x:row>
    <x:row r="1034" ht="21" customHeight="1">
      <x:c r="A1034" s="2" t="str">
        <x:v>EV000968</x:v>
      </x:c>
      <x:c r="B1034" s="2" t="str">
        <x:v>T20261006-1-1</x:v>
      </x:c>
      <x:c r="C1034" s="2" t="str">
        <x:v>ST007</x:v>
      </x:c>
      <x:c r="D1034" s="2" t="str">
        <x:v>2376173ab02a96d9b58d44caf4008dfd</x:v>
      </x:c>
      <x:c r="E1034" s="2" t="str">
        <x:v>CHECK_OUT</x:v>
      </x:c>
      <x:c r="F1034" s="8" t="n">
        <x:v>46301.27659722222</x:v>
      </x:c>
      <x:c r="G1034" s="8" t="n">
        <x:v>46301.276620370365</x:v>
      </x:c>
      <x:c r="H1034" s="2" t="str">
        <x:v>SCH01</x:v>
      </x:c>
      <x:c r="I1034" s="9" t="n">
        <x:v>25.285</x:v>
      </x:c>
      <x:c r="J1034" s="9" t="n">
        <x:v>51.51</x:v>
      </x:c>
      <x:c r="K1034" s="2" t="n">
        <x:v>8</x:v>
      </x:c>
      <x:c r="L1034" s="2" t="str">
        <x:v>Valid</x:v>
      </x:c>
      <x:c r="M1034" s="2" t="str">
        <x:v>QR</x:v>
      </x:c>
      <x:c r="N1034" s="2" t="n">
        <x:v>1</x:v>
      </x:c>
      <x:c r="O1034" s="2" t="str">
        <x:v>Accepted</x:v>
      </x:c>
      <x:c r="P1034" s="2" t="str">
        <x:v>S001</x:v>
      </x:c>
      <x:c r="Q1034" s="2" t="str">
        <x:v>DEV001</x:v>
      </x:c>
      <x:c r="R1034" s="2" t="n">
        <x:v>27</x:v>
      </x:c>
      <x:c r="S1034" s="2" t="str">
        <x:v>Online</x:v>
      </x:c>
      <x:c r="T1034" s="2" t="str">
        <x:v>Synced</x:v>
      </x:c>
    </x:row>
    <x:row r="1035" ht="21" customHeight="1">
      <x:c r="A1035" s="2" t="str">
        <x:v>EV001128</x:v>
      </x:c>
      <x:c r="B1035" s="2" t="str">
        <x:v>T20261006-1-2</x:v>
      </x:c>
      <x:c r="C1035" s="2" t="str">
        <x:v>ST047</x:v>
      </x:c>
      <x:c r="D1035" s="2" t="str">
        <x:v>b3f6380a42fb190ae04afac7edee87cd</x:v>
      </x:c>
      <x:c r="E1035" s="2" t="str">
        <x:v>CHECK_OUT</x:v>
      </x:c>
      <x:c r="F1035" s="8" t="n">
        <x:v>46301.27659722222</x:v>
      </x:c>
      <x:c r="G1035" s="8" t="n">
        <x:v>46301.276620370365</x:v>
      </x:c>
      <x:c r="H1035" s="2" t="str">
        <x:v>SCH01</x:v>
      </x:c>
      <x:c r="I1035" s="9" t="n">
        <x:v>25.285</x:v>
      </x:c>
      <x:c r="J1035" s="9" t="n">
        <x:v>51.51</x:v>
      </x:c>
      <x:c r="K1035" s="2" t="n">
        <x:v>8</x:v>
      </x:c>
      <x:c r="L1035" s="2" t="str">
        <x:v>Valid</x:v>
      </x:c>
      <x:c r="M1035" s="2" t="str">
        <x:v>QR</x:v>
      </x:c>
      <x:c r="N1035" s="2" t="n">
        <x:v>1</x:v>
      </x:c>
      <x:c r="O1035" s="2" t="str">
        <x:v>Accepted</x:v>
      </x:c>
      <x:c r="P1035" s="2" t="str">
        <x:v>S002</x:v>
      </x:c>
      <x:c r="Q1035" s="2" t="str">
        <x:v>DEV002</x:v>
      </x:c>
      <x:c r="R1035" s="2" t="n">
        <x:v>27</x:v>
      </x:c>
      <x:c r="S1035" s="2" t="str">
        <x:v>Online</x:v>
      </x:c>
      <x:c r="T1035" s="2" t="str">
        <x:v>Synced</x:v>
      </x:c>
    </x:row>
    <x:row r="1036" ht="21" customHeight="1">
      <x:c r="A1036" s="2" t="str">
        <x:v>EV001288</x:v>
      </x:c>
      <x:c r="B1036" s="2" t="str">
        <x:v>T20261006-1-3</x:v>
      </x:c>
      <x:c r="C1036" s="2" t="str">
        <x:v>ST087</x:v>
      </x:c>
      <x:c r="D1036" s="2" t="str">
        <x:v>30243cf46003be06b271950aa5cd47a6</x:v>
      </x:c>
      <x:c r="E1036" s="2" t="str">
        <x:v>CHECK_OUT</x:v>
      </x:c>
      <x:c r="F1036" s="8" t="n">
        <x:v>46301.27659722222</x:v>
      </x:c>
      <x:c r="G1036" s="8" t="n">
        <x:v>46301.276620370365</x:v>
      </x:c>
      <x:c r="H1036" s="2" t="str">
        <x:v>SCH01</x:v>
      </x:c>
      <x:c r="I1036" s="9" t="n">
        <x:v>25.285</x:v>
      </x:c>
      <x:c r="J1036" s="9" t="n">
        <x:v>51.51</x:v>
      </x:c>
      <x:c r="K1036" s="2" t="n">
        <x:v>8</x:v>
      </x:c>
      <x:c r="L1036" s="2" t="str">
        <x:v>Valid</x:v>
      </x:c>
      <x:c r="M1036" s="2" t="str">
        <x:v>QR</x:v>
      </x:c>
      <x:c r="N1036" s="2" t="n">
        <x:v>1</x:v>
      </x:c>
      <x:c r="O1036" s="2" t="str">
        <x:v>Accepted</x:v>
      </x:c>
      <x:c r="P1036" s="2" t="str">
        <x:v>S003</x:v>
      </x:c>
      <x:c r="Q1036" s="2" t="str">
        <x:v>DEV003</x:v>
      </x:c>
      <x:c r="R1036" s="2" t="n">
        <x:v>27</x:v>
      </x:c>
      <x:c r="S1036" s="2" t="str">
        <x:v>Online</x:v>
      </x:c>
      <x:c r="T1036" s="2" t="str">
        <x:v>Synced</x:v>
      </x:c>
    </x:row>
    <x:row r="1037" ht="21" customHeight="1">
      <x:c r="A1037" s="2" t="str">
        <x:v>EV000970</x:v>
      </x:c>
      <x:c r="B1037" s="2" t="str">
        <x:v>T20261006-1-1</x:v>
      </x:c>
      <x:c r="C1037" s="2" t="str">
        <x:v>ST008</x:v>
      </x:c>
      <x:c r="D1037" s="2" t="str">
        <x:v>ac4baf5d317844907005c691f401c42d</x:v>
      </x:c>
      <x:c r="E1037" s="2" t="str">
        <x:v>CHECK_OUT</x:v>
      </x:c>
      <x:c r="F1037" s="8" t="n">
        <x:v>46301.27663194444</x:v>
      </x:c>
      <x:c r="G1037" s="8" t="n">
        <x:v>46301.27665509259</x:v>
      </x:c>
      <x:c r="H1037" s="2" t="str">
        <x:v>SCH01</x:v>
      </x:c>
      <x:c r="I1037" s="9" t="n">
        <x:v>25.285</x:v>
      </x:c>
      <x:c r="J1037" s="9" t="n">
        <x:v>51.51</x:v>
      </x:c>
      <x:c r="K1037" s="2" t="n">
        <x:v>8</x:v>
      </x:c>
      <x:c r="L1037" s="2" t="str">
        <x:v>Valid</x:v>
      </x:c>
      <x:c r="M1037" s="2" t="str">
        <x:v>QR</x:v>
      </x:c>
      <x:c r="N1037" s="2" t="n">
        <x:v>1</x:v>
      </x:c>
      <x:c r="O1037" s="2" t="str">
        <x:v>Accepted</x:v>
      </x:c>
      <x:c r="P1037" s="2" t="str">
        <x:v>S001</x:v>
      </x:c>
      <x:c r="Q1037" s="2" t="str">
        <x:v>DEV001</x:v>
      </x:c>
      <x:c r="R1037" s="2" t="n">
        <x:v>28</x:v>
      </x:c>
      <x:c r="S1037" s="2" t="str">
        <x:v>Online</x:v>
      </x:c>
      <x:c r="T1037" s="2" t="str">
        <x:v>Synced</x:v>
      </x:c>
    </x:row>
    <x:row r="1038" ht="21" customHeight="1">
      <x:c r="A1038" s="2" t="str">
        <x:v>EV001130</x:v>
      </x:c>
      <x:c r="B1038" s="2" t="str">
        <x:v>T20261006-1-2</x:v>
      </x:c>
      <x:c r="C1038" s="2" t="str">
        <x:v>ST048</x:v>
      </x:c>
      <x:c r="D1038" s="2" t="str">
        <x:v>e3a3009a9bd3946e21f417e93203aa79</x:v>
      </x:c>
      <x:c r="E1038" s="2" t="str">
        <x:v>CHECK_OUT</x:v>
      </x:c>
      <x:c r="F1038" s="8" t="n">
        <x:v>46301.27663194444</x:v>
      </x:c>
      <x:c r="G1038" s="8" t="n">
        <x:v>46301.27665509259</x:v>
      </x:c>
      <x:c r="H1038" s="2" t="str">
        <x:v>SCH01</x:v>
      </x:c>
      <x:c r="I1038" s="9" t="n">
        <x:v>25.285</x:v>
      </x:c>
      <x:c r="J1038" s="9" t="n">
        <x:v>51.51</x:v>
      </x:c>
      <x:c r="K1038" s="2" t="n">
        <x:v>8</x:v>
      </x:c>
      <x:c r="L1038" s="2" t="str">
        <x:v>Valid</x:v>
      </x:c>
      <x:c r="M1038" s="2" t="str">
        <x:v>QR</x:v>
      </x:c>
      <x:c r="N1038" s="2" t="n">
        <x:v>1</x:v>
      </x:c>
      <x:c r="O1038" s="2" t="str">
        <x:v>Accepted</x:v>
      </x:c>
      <x:c r="P1038" s="2" t="str">
        <x:v>S002</x:v>
      </x:c>
      <x:c r="Q1038" s="2" t="str">
        <x:v>DEV002</x:v>
      </x:c>
      <x:c r="R1038" s="2" t="n">
        <x:v>28</x:v>
      </x:c>
      <x:c r="S1038" s="2" t="str">
        <x:v>Online</x:v>
      </x:c>
      <x:c r="T1038" s="2" t="str">
        <x:v>Synced</x:v>
      </x:c>
    </x:row>
    <x:row r="1039" ht="21" customHeight="1">
      <x:c r="A1039" s="2" t="str">
        <x:v>EV001290</x:v>
      </x:c>
      <x:c r="B1039" s="2" t="str">
        <x:v>T20261006-1-3</x:v>
      </x:c>
      <x:c r="C1039" s="2" t="str">
        <x:v>ST088</x:v>
      </x:c>
      <x:c r="D1039" s="2" t="str">
        <x:v>b227769e0483e6c28eed8e8d448bfbbe</x:v>
      </x:c>
      <x:c r="E1039" s="2" t="str">
        <x:v>CHECK_OUT</x:v>
      </x:c>
      <x:c r="F1039" s="8" t="n">
        <x:v>46301.27663194444</x:v>
      </x:c>
      <x:c r="G1039" s="8" t="n">
        <x:v>46301.27665509259</x:v>
      </x:c>
      <x:c r="H1039" s="2" t="str">
        <x:v>SCH01</x:v>
      </x:c>
      <x:c r="I1039" s="9" t="n">
        <x:v>25.285</x:v>
      </x:c>
      <x:c r="J1039" s="9" t="n">
        <x:v>51.51</x:v>
      </x:c>
      <x:c r="K1039" s="2" t="n">
        <x:v>8</x:v>
      </x:c>
      <x:c r="L1039" s="2" t="str">
        <x:v>Valid</x:v>
      </x:c>
      <x:c r="M1039" s="2" t="str">
        <x:v>QR</x:v>
      </x:c>
      <x:c r="N1039" s="2" t="n">
        <x:v>1</x:v>
      </x:c>
      <x:c r="O1039" s="2" t="str">
        <x:v>Accepted</x:v>
      </x:c>
      <x:c r="P1039" s="2" t="str">
        <x:v>S003</x:v>
      </x:c>
      <x:c r="Q1039" s="2" t="str">
        <x:v>DEV003</x:v>
      </x:c>
      <x:c r="R1039" s="2" t="n">
        <x:v>28</x:v>
      </x:c>
      <x:c r="S1039" s="2" t="str">
        <x:v>Online</x:v>
      </x:c>
      <x:c r="T1039" s="2" t="str">
        <x:v>Synced</x:v>
      </x:c>
    </x:row>
    <x:row r="1040" ht="21" customHeight="1">
      <x:c r="A1040" s="2" t="str">
        <x:v>EV000972</x:v>
      </x:c>
      <x:c r="B1040" s="2" t="str">
        <x:v>T20261006-1-1</x:v>
      </x:c>
      <x:c r="C1040" s="2" t="str">
        <x:v>ST009</x:v>
      </x:c>
      <x:c r="D1040" s="2" t="str">
        <x:v>fdc849f07f4ba12ab82f6bed87d7275d</x:v>
      </x:c>
      <x:c r="E1040" s="2" t="str">
        <x:v>CHECK_OUT</x:v>
      </x:c>
      <x:c r="F1040" s="8" t="n">
        <x:v>46301.276666666665</x:v>
      </x:c>
      <x:c r="G1040" s="8" t="n">
        <x:v>46301.27668981481</x:v>
      </x:c>
      <x:c r="H1040" s="2" t="str">
        <x:v>SCH01</x:v>
      </x:c>
      <x:c r="I1040" s="9" t="n">
        <x:v>25.285</x:v>
      </x:c>
      <x:c r="J1040" s="9" t="n">
        <x:v>51.51</x:v>
      </x:c>
      <x:c r="K1040" s="2" t="n">
        <x:v>8</x:v>
      </x:c>
      <x:c r="L1040" s="2" t="str">
        <x:v>Valid</x:v>
      </x:c>
      <x:c r="M1040" s="2" t="str">
        <x:v>QR</x:v>
      </x:c>
      <x:c r="N1040" s="2" t="n">
        <x:v>1</x:v>
      </x:c>
      <x:c r="O1040" s="2" t="str">
        <x:v>Accepted</x:v>
      </x:c>
      <x:c r="P1040" s="2" t="str">
        <x:v>S001</x:v>
      </x:c>
      <x:c r="Q1040" s="2" t="str">
        <x:v>DEV001</x:v>
      </x:c>
      <x:c r="R1040" s="2" t="n">
        <x:v>29</x:v>
      </x:c>
      <x:c r="S1040" s="2" t="str">
        <x:v>Online</x:v>
      </x:c>
      <x:c r="T1040" s="2" t="str">
        <x:v>Synced</x:v>
      </x:c>
    </x:row>
    <x:row r="1041" ht="21" customHeight="1">
      <x:c r="A1041" s="2" t="str">
        <x:v>EV001132</x:v>
      </x:c>
      <x:c r="B1041" s="2" t="str">
        <x:v>T20261006-1-2</x:v>
      </x:c>
      <x:c r="C1041" s="2" t="str">
        <x:v>ST049</x:v>
      </x:c>
      <x:c r="D1041" s="2" t="str">
        <x:v>aac0da9ca028b4b4fe1fc2c1eb298502</x:v>
      </x:c>
      <x:c r="E1041" s="2" t="str">
        <x:v>CHECK_OUT</x:v>
      </x:c>
      <x:c r="F1041" s="8" t="n">
        <x:v>46301.276666666665</x:v>
      </x:c>
      <x:c r="G1041" s="8" t="n">
        <x:v>46301.27668981481</x:v>
      </x:c>
      <x:c r="H1041" s="2" t="str">
        <x:v>SCH01</x:v>
      </x:c>
      <x:c r="I1041" s="9" t="n">
        <x:v>25.285</x:v>
      </x:c>
      <x:c r="J1041" s="9" t="n">
        <x:v>51.51</x:v>
      </x:c>
      <x:c r="K1041" s="2" t="n">
        <x:v>8</x:v>
      </x:c>
      <x:c r="L1041" s="2" t="str">
        <x:v>Valid</x:v>
      </x:c>
      <x:c r="M1041" s="2" t="str">
        <x:v>QR</x:v>
      </x:c>
      <x:c r="N1041" s="2" t="n">
        <x:v>1</x:v>
      </x:c>
      <x:c r="O1041" s="2" t="str">
        <x:v>Accepted</x:v>
      </x:c>
      <x:c r="P1041" s="2" t="str">
        <x:v>S002</x:v>
      </x:c>
      <x:c r="Q1041" s="2" t="str">
        <x:v>DEV002</x:v>
      </x:c>
      <x:c r="R1041" s="2" t="n">
        <x:v>29</x:v>
      </x:c>
      <x:c r="S1041" s="2" t="str">
        <x:v>Online</x:v>
      </x:c>
      <x:c r="T1041" s="2" t="str">
        <x:v>Synced</x:v>
      </x:c>
    </x:row>
    <x:row r="1042" ht="21" customHeight="1">
      <x:c r="A1042" s="2" t="str">
        <x:v>EV001292</x:v>
      </x:c>
      <x:c r="B1042" s="2" t="str">
        <x:v>T20261006-1-3</x:v>
      </x:c>
      <x:c r="C1042" s="2" t="str">
        <x:v>ST089</x:v>
      </x:c>
      <x:c r="D1042" s="2" t="str">
        <x:v>0bd697ec3f7c09918d8dd004b5340b03</x:v>
      </x:c>
      <x:c r="E1042" s="2" t="str">
        <x:v>CHECK_OUT</x:v>
      </x:c>
      <x:c r="F1042" s="8" t="n">
        <x:v>46301.276666666665</x:v>
      </x:c>
      <x:c r="G1042" s="8" t="n">
        <x:v>46301.27668981481</x:v>
      </x:c>
      <x:c r="H1042" s="2" t="str">
        <x:v>SCH01</x:v>
      </x:c>
      <x:c r="I1042" s="9" t="n">
        <x:v>25.285</x:v>
      </x:c>
      <x:c r="J1042" s="9" t="n">
        <x:v>51.51</x:v>
      </x:c>
      <x:c r="K1042" s="2" t="n">
        <x:v>8</x:v>
      </x:c>
      <x:c r="L1042" s="2" t="str">
        <x:v>Valid</x:v>
      </x:c>
      <x:c r="M1042" s="2" t="str">
        <x:v>QR</x:v>
      </x:c>
      <x:c r="N1042" s="2" t="n">
        <x:v>1</x:v>
      </x:c>
      <x:c r="O1042" s="2" t="str">
        <x:v>Accepted</x:v>
      </x:c>
      <x:c r="P1042" s="2" t="str">
        <x:v>S003</x:v>
      </x:c>
      <x:c r="Q1042" s="2" t="str">
        <x:v>DEV003</x:v>
      </x:c>
      <x:c r="R1042" s="2" t="n">
        <x:v>29</x:v>
      </x:c>
      <x:c r="S1042" s="2" t="str">
        <x:v>Online</x:v>
      </x:c>
      <x:c r="T1042" s="2" t="str">
        <x:v>Synced</x:v>
      </x:c>
    </x:row>
    <x:row r="1043" ht="21" customHeight="1">
      <x:c r="A1043" s="2" t="str">
        <x:v>EV000974</x:v>
      </x:c>
      <x:c r="B1043" s="2" t="str">
        <x:v>T20261006-1-1</x:v>
      </x:c>
      <x:c r="C1043" s="2" t="str">
        <x:v>ST010</x:v>
      </x:c>
      <x:c r="D1043" s="2" t="str">
        <x:v>df6521f6838e149b7b1f3fd27dcbf586</x:v>
      </x:c>
      <x:c r="E1043" s="2" t="str">
        <x:v>CHECK_OUT</x:v>
      </x:c>
      <x:c r="F1043" s="8" t="n">
        <x:v>46301.27670138889</x:v>
      </x:c>
      <x:c r="G1043" s="8" t="n">
        <x:v>46301.276724537034</x:v>
      </x:c>
      <x:c r="H1043" s="2" t="str">
        <x:v>SCH01</x:v>
      </x:c>
      <x:c r="I1043" s="9" t="n">
        <x:v>25.285</x:v>
      </x:c>
      <x:c r="J1043" s="9" t="n">
        <x:v>51.51</x:v>
      </x:c>
      <x:c r="K1043" s="2" t="n">
        <x:v>8</x:v>
      </x:c>
      <x:c r="L1043" s="2" t="str">
        <x:v>Valid</x:v>
      </x:c>
      <x:c r="M1043" s="2" t="str">
        <x:v>QR</x:v>
      </x:c>
      <x:c r="N1043" s="2" t="n">
        <x:v>1</x:v>
      </x:c>
      <x:c r="O1043" s="2" t="str">
        <x:v>Accepted</x:v>
      </x:c>
      <x:c r="P1043" s="2" t="str">
        <x:v>S001</x:v>
      </x:c>
      <x:c r="Q1043" s="2" t="str">
        <x:v>DEV001</x:v>
      </x:c>
      <x:c r="R1043" s="2" t="n">
        <x:v>30</x:v>
      </x:c>
      <x:c r="S1043" s="2" t="str">
        <x:v>Online</x:v>
      </x:c>
      <x:c r="T1043" s="2" t="str">
        <x:v>Synced</x:v>
      </x:c>
    </x:row>
    <x:row r="1044" ht="21" customHeight="1">
      <x:c r="A1044" s="2" t="str">
        <x:v>EV001134</x:v>
      </x:c>
      <x:c r="B1044" s="2" t="str">
        <x:v>T20261006-1-2</x:v>
      </x:c>
      <x:c r="C1044" s="2" t="str">
        <x:v>ST050</x:v>
      </x:c>
      <x:c r="D1044" s="2" t="str">
        <x:v>ca49474881a6395691ac81bd08684ed6</x:v>
      </x:c>
      <x:c r="E1044" s="2" t="str">
        <x:v>CHECK_OUT</x:v>
      </x:c>
      <x:c r="F1044" s="8" t="n">
        <x:v>46301.27670138889</x:v>
      </x:c>
      <x:c r="G1044" s="8" t="n">
        <x:v>46301.276724537034</x:v>
      </x:c>
      <x:c r="H1044" s="2" t="str">
        <x:v>SCH01</x:v>
      </x:c>
      <x:c r="I1044" s="9" t="n">
        <x:v>25.285</x:v>
      </x:c>
      <x:c r="J1044" s="9" t="n">
        <x:v>51.51</x:v>
      </x:c>
      <x:c r="K1044" s="2" t="n">
        <x:v>8</x:v>
      </x:c>
      <x:c r="L1044" s="2" t="str">
        <x:v>Valid</x:v>
      </x:c>
      <x:c r="M1044" s="2" t="str">
        <x:v>QR</x:v>
      </x:c>
      <x:c r="N1044" s="2" t="n">
        <x:v>1</x:v>
      </x:c>
      <x:c r="O1044" s="2" t="str">
        <x:v>Accepted</x:v>
      </x:c>
      <x:c r="P1044" s="2" t="str">
        <x:v>S002</x:v>
      </x:c>
      <x:c r="Q1044" s="2" t="str">
        <x:v>DEV002</x:v>
      </x:c>
      <x:c r="R1044" s="2" t="n">
        <x:v>30</x:v>
      </x:c>
      <x:c r="S1044" s="2" t="str">
        <x:v>Online</x:v>
      </x:c>
      <x:c r="T1044" s="2" t="str">
        <x:v>Synced</x:v>
      </x:c>
    </x:row>
    <x:row r="1045" ht="21" customHeight="1">
      <x:c r="A1045" s="2" t="str">
        <x:v>EV001294</x:v>
      </x:c>
      <x:c r="B1045" s="2" t="str">
        <x:v>T20261006-1-3</x:v>
      </x:c>
      <x:c r="C1045" s="2" t="str">
        <x:v>ST090</x:v>
      </x:c>
      <x:c r="D1045" s="2" t="str">
        <x:v>3b91252475551a374010825e1f05642c</x:v>
      </x:c>
      <x:c r="E1045" s="2" t="str">
        <x:v>CHECK_OUT</x:v>
      </x:c>
      <x:c r="F1045" s="8" t="n">
        <x:v>46301.27670138889</x:v>
      </x:c>
      <x:c r="G1045" s="8" t="n">
        <x:v>46301.276724537034</x:v>
      </x:c>
      <x:c r="H1045" s="2" t="str">
        <x:v>SCH01</x:v>
      </x:c>
      <x:c r="I1045" s="9" t="n">
        <x:v>25.285</x:v>
      </x:c>
      <x:c r="J1045" s="9" t="n">
        <x:v>51.51</x:v>
      </x:c>
      <x:c r="K1045" s="2" t="n">
        <x:v>8</x:v>
      </x:c>
      <x:c r="L1045" s="2" t="str">
        <x:v>Valid</x:v>
      </x:c>
      <x:c r="M1045" s="2" t="str">
        <x:v>QR</x:v>
      </x:c>
      <x:c r="N1045" s="2" t="n">
        <x:v>1</x:v>
      </x:c>
      <x:c r="O1045" s="2" t="str">
        <x:v>Accepted</x:v>
      </x:c>
      <x:c r="P1045" s="2" t="str">
        <x:v>S003</x:v>
      </x:c>
      <x:c r="Q1045" s="2" t="str">
        <x:v>DEV003</x:v>
      </x:c>
      <x:c r="R1045" s="2" t="n">
        <x:v>30</x:v>
      </x:c>
      <x:c r="S1045" s="2" t="str">
        <x:v>Online</x:v>
      </x:c>
      <x:c r="T1045" s="2" t="str">
        <x:v>Synced</x:v>
      </x:c>
    </x:row>
    <x:row r="1046" ht="21" customHeight="1">
      <x:c r="A1046" s="2" t="str">
        <x:v>EV000976</x:v>
      </x:c>
      <x:c r="B1046" s="2" t="str">
        <x:v>T20261006-1-1</x:v>
      </x:c>
      <x:c r="C1046" s="2" t="str">
        <x:v>ST011</x:v>
      </x:c>
      <x:c r="D1046" s="2" t="str">
        <x:v>38c917effc7ec45ac750455eb7892f3e</x:v>
      </x:c>
      <x:c r="E1046" s="2" t="str">
        <x:v>CHECK_OUT</x:v>
      </x:c>
      <x:c r="F1046" s="8" t="n">
        <x:v>46301.27673611111</x:v>
      </x:c>
      <x:c r="G1046" s="8" t="n">
        <x:v>46301.27675925926</x:v>
      </x:c>
      <x:c r="H1046" s="2" t="str">
        <x:v>SCH01</x:v>
      </x:c>
      <x:c r="I1046" s="9" t="n">
        <x:v>25.285</x:v>
      </x:c>
      <x:c r="J1046" s="9" t="n">
        <x:v>51.51</x:v>
      </x:c>
      <x:c r="K1046" s="2" t="n">
        <x:v>8</x:v>
      </x:c>
      <x:c r="L1046" s="2" t="str">
        <x:v>Valid</x:v>
      </x:c>
      <x:c r="M1046" s="2" t="str">
        <x:v>QR</x:v>
      </x:c>
      <x:c r="N1046" s="2" t="n">
        <x:v>1</x:v>
      </x:c>
      <x:c r="O1046" s="2" t="str">
        <x:v>Accepted</x:v>
      </x:c>
      <x:c r="P1046" s="2" t="str">
        <x:v>S001</x:v>
      </x:c>
      <x:c r="Q1046" s="2" t="str">
        <x:v>DEV001</x:v>
      </x:c>
      <x:c r="R1046" s="2" t="n">
        <x:v>31</x:v>
      </x:c>
      <x:c r="S1046" s="2" t="str">
        <x:v>Online</x:v>
      </x:c>
      <x:c r="T1046" s="2" t="str">
        <x:v>Synced</x:v>
      </x:c>
    </x:row>
    <x:row r="1047" ht="21" customHeight="1">
      <x:c r="A1047" s="2" t="str">
        <x:v>EV001136</x:v>
      </x:c>
      <x:c r="B1047" s="2" t="str">
        <x:v>T20261006-1-2</x:v>
      </x:c>
      <x:c r="C1047" s="2" t="str">
        <x:v>ST051</x:v>
      </x:c>
      <x:c r="D1047" s="2" t="str">
        <x:v>410a66d29aea7be5806f7d6945266303</x:v>
      </x:c>
      <x:c r="E1047" s="2" t="str">
        <x:v>CHECK_OUT</x:v>
      </x:c>
      <x:c r="F1047" s="8" t="n">
        <x:v>46301.27673611111</x:v>
      </x:c>
      <x:c r="G1047" s="8" t="n">
        <x:v>46301.27675925926</x:v>
      </x:c>
      <x:c r="H1047" s="2" t="str">
        <x:v>SCH01</x:v>
      </x:c>
      <x:c r="I1047" s="9" t="n">
        <x:v>25.285</x:v>
      </x:c>
      <x:c r="J1047" s="9" t="n">
        <x:v>51.51</x:v>
      </x:c>
      <x:c r="K1047" s="2" t="n">
        <x:v>8</x:v>
      </x:c>
      <x:c r="L1047" s="2" t="str">
        <x:v>Valid</x:v>
      </x:c>
      <x:c r="M1047" s="2" t="str">
        <x:v>QR</x:v>
      </x:c>
      <x:c r="N1047" s="2" t="n">
        <x:v>1</x:v>
      </x:c>
      <x:c r="O1047" s="2" t="str">
        <x:v>Accepted</x:v>
      </x:c>
      <x:c r="P1047" s="2" t="str">
        <x:v>S002</x:v>
      </x:c>
      <x:c r="Q1047" s="2" t="str">
        <x:v>DEV002</x:v>
      </x:c>
      <x:c r="R1047" s="2" t="n">
        <x:v>31</x:v>
      </x:c>
      <x:c r="S1047" s="2" t="str">
        <x:v>Online</x:v>
      </x:c>
      <x:c r="T1047" s="2" t="str">
        <x:v>Synced</x:v>
      </x:c>
    </x:row>
    <x:row r="1048" ht="21" customHeight="1">
      <x:c r="A1048" s="2" t="str">
        <x:v>EV001296</x:v>
      </x:c>
      <x:c r="B1048" s="2" t="str">
        <x:v>T20261006-1-3</x:v>
      </x:c>
      <x:c r="C1048" s="2" t="str">
        <x:v>ST091</x:v>
      </x:c>
      <x:c r="D1048" s="2" t="str">
        <x:v>2d74afc7329a1eb53bd16a92fc366891</x:v>
      </x:c>
      <x:c r="E1048" s="2" t="str">
        <x:v>CHECK_OUT</x:v>
      </x:c>
      <x:c r="F1048" s="8" t="n">
        <x:v>46301.27673611111</x:v>
      </x:c>
      <x:c r="G1048" s="8" t="n">
        <x:v>46301.27675925926</x:v>
      </x:c>
      <x:c r="H1048" s="2" t="str">
        <x:v>SCH01</x:v>
      </x:c>
      <x:c r="I1048" s="9" t="n">
        <x:v>25.285</x:v>
      </x:c>
      <x:c r="J1048" s="9" t="n">
        <x:v>51.51</x:v>
      </x:c>
      <x:c r="K1048" s="2" t="n">
        <x:v>8</x:v>
      </x:c>
      <x:c r="L1048" s="2" t="str">
        <x:v>Valid</x:v>
      </x:c>
      <x:c r="M1048" s="2" t="str">
        <x:v>QR</x:v>
      </x:c>
      <x:c r="N1048" s="2" t="n">
        <x:v>1</x:v>
      </x:c>
      <x:c r="O1048" s="2" t="str">
        <x:v>Accepted</x:v>
      </x:c>
      <x:c r="P1048" s="2" t="str">
        <x:v>S003</x:v>
      </x:c>
      <x:c r="Q1048" s="2" t="str">
        <x:v>DEV003</x:v>
      </x:c>
      <x:c r="R1048" s="2" t="n">
        <x:v>31</x:v>
      </x:c>
      <x:c r="S1048" s="2" t="str">
        <x:v>Online</x:v>
      </x:c>
      <x:c r="T1048" s="2" t="str">
        <x:v>Synced</x:v>
      </x:c>
    </x:row>
    <x:row r="1049" ht="21" customHeight="1">
      <x:c r="A1049" s="2" t="str">
        <x:v>EV000978</x:v>
      </x:c>
      <x:c r="B1049" s="2" t="str">
        <x:v>T20261006-1-1</x:v>
      </x:c>
      <x:c r="C1049" s="2" t="str">
        <x:v>ST012</x:v>
      </x:c>
      <x:c r="D1049" s="2" t="str">
        <x:v>8d45a06a93234042b630e18d7821ea23</x:v>
      </x:c>
      <x:c r="E1049" s="2" t="str">
        <x:v>CHECK_OUT</x:v>
      </x:c>
      <x:c r="F1049" s="8" t="n">
        <x:v>46301.276770833334</x:v>
      </x:c>
      <x:c r="G1049" s="8" t="n">
        <x:v>46301.27679398148</x:v>
      </x:c>
      <x:c r="H1049" s="2" t="str">
        <x:v>SCH01</x:v>
      </x:c>
      <x:c r="I1049" s="9" t="n">
        <x:v>25.285</x:v>
      </x:c>
      <x:c r="J1049" s="9" t="n">
        <x:v>51.51</x:v>
      </x:c>
      <x:c r="K1049" s="2" t="n">
        <x:v>8</x:v>
      </x:c>
      <x:c r="L1049" s="2" t="str">
        <x:v>Valid</x:v>
      </x:c>
      <x:c r="M1049" s="2" t="str">
        <x:v>QR</x:v>
      </x:c>
      <x:c r="N1049" s="2" t="n">
        <x:v>1</x:v>
      </x:c>
      <x:c r="O1049" s="2" t="str">
        <x:v>Accepted</x:v>
      </x:c>
      <x:c r="P1049" s="2" t="str">
        <x:v>S001</x:v>
      </x:c>
      <x:c r="Q1049" s="2" t="str">
        <x:v>DEV001</x:v>
      </x:c>
      <x:c r="R1049" s="2" t="n">
        <x:v>32</x:v>
      </x:c>
      <x:c r="S1049" s="2" t="str">
        <x:v>Online</x:v>
      </x:c>
      <x:c r="T1049" s="2" t="str">
        <x:v>Synced</x:v>
      </x:c>
    </x:row>
    <x:row r="1050" ht="21" customHeight="1">
      <x:c r="A1050" s="2" t="str">
        <x:v>EV001138</x:v>
      </x:c>
      <x:c r="B1050" s="2" t="str">
        <x:v>T20261006-1-2</x:v>
      </x:c>
      <x:c r="C1050" s="2" t="str">
        <x:v>ST052</x:v>
      </x:c>
      <x:c r="D1050" s="2" t="str">
        <x:v>0c1c5957fe0604ae228ff5e1e1a785bc</x:v>
      </x:c>
      <x:c r="E1050" s="2" t="str">
        <x:v>CHECK_OUT</x:v>
      </x:c>
      <x:c r="F1050" s="8" t="n">
        <x:v>46301.276770833334</x:v>
      </x:c>
      <x:c r="G1050" s="8" t="n">
        <x:v>46301.27679398148</x:v>
      </x:c>
      <x:c r="H1050" s="2" t="str">
        <x:v>SCH01</x:v>
      </x:c>
      <x:c r="I1050" s="9" t="n">
        <x:v>25.285</x:v>
      </x:c>
      <x:c r="J1050" s="9" t="n">
        <x:v>51.51</x:v>
      </x:c>
      <x:c r="K1050" s="2" t="n">
        <x:v>8</x:v>
      </x:c>
      <x:c r="L1050" s="2" t="str">
        <x:v>Valid</x:v>
      </x:c>
      <x:c r="M1050" s="2" t="str">
        <x:v>QR</x:v>
      </x:c>
      <x:c r="N1050" s="2" t="n">
        <x:v>1</x:v>
      </x:c>
      <x:c r="O1050" s="2" t="str">
        <x:v>Accepted</x:v>
      </x:c>
      <x:c r="P1050" s="2" t="str">
        <x:v>S002</x:v>
      </x:c>
      <x:c r="Q1050" s="2" t="str">
        <x:v>DEV002</x:v>
      </x:c>
      <x:c r="R1050" s="2" t="n">
        <x:v>32</x:v>
      </x:c>
      <x:c r="S1050" s="2" t="str">
        <x:v>Online</x:v>
      </x:c>
      <x:c r="T1050" s="2" t="str">
        <x:v>Synced</x:v>
      </x:c>
    </x:row>
    <x:row r="1051" ht="21" customHeight="1">
      <x:c r="A1051" s="2" t="str">
        <x:v>EV001298</x:v>
      </x:c>
      <x:c r="B1051" s="2" t="str">
        <x:v>T20261006-1-3</x:v>
      </x:c>
      <x:c r="C1051" s="2" t="str">
        <x:v>ST092</x:v>
      </x:c>
      <x:c r="D1051" s="2" t="str">
        <x:v>e83e93b137787f284ae9574a02ff0cc7</x:v>
      </x:c>
      <x:c r="E1051" s="2" t="str">
        <x:v>CHECK_OUT</x:v>
      </x:c>
      <x:c r="F1051" s="8" t="n">
        <x:v>46301.276770833334</x:v>
      </x:c>
      <x:c r="G1051" s="8" t="n">
        <x:v>46301.27679398148</x:v>
      </x:c>
      <x:c r="H1051" s="2" t="str">
        <x:v>SCH01</x:v>
      </x:c>
      <x:c r="I1051" s="9" t="n">
        <x:v>25.285</x:v>
      </x:c>
      <x:c r="J1051" s="9" t="n">
        <x:v>51.51</x:v>
      </x:c>
      <x:c r="K1051" s="2" t="n">
        <x:v>8</x:v>
      </x:c>
      <x:c r="L1051" s="2" t="str">
        <x:v>Valid</x:v>
      </x:c>
      <x:c r="M1051" s="2" t="str">
        <x:v>QR</x:v>
      </x:c>
      <x:c r="N1051" s="2" t="n">
        <x:v>1</x:v>
      </x:c>
      <x:c r="O1051" s="2" t="str">
        <x:v>Accepted</x:v>
      </x:c>
      <x:c r="P1051" s="2" t="str">
        <x:v>S003</x:v>
      </x:c>
      <x:c r="Q1051" s="2" t="str">
        <x:v>DEV003</x:v>
      </x:c>
      <x:c r="R1051" s="2" t="n">
        <x:v>32</x:v>
      </x:c>
      <x:c r="S1051" s="2" t="str">
        <x:v>Online</x:v>
      </x:c>
      <x:c r="T1051" s="2" t="str">
        <x:v>Synced</x:v>
      </x:c>
    </x:row>
    <x:row r="1052" ht="21" customHeight="1">
      <x:c r="A1052" s="2" t="str">
        <x:v>EV000980</x:v>
      </x:c>
      <x:c r="B1052" s="2" t="str">
        <x:v>T20261006-1-1</x:v>
      </x:c>
      <x:c r="C1052" s="2" t="str">
        <x:v>ST013</x:v>
      </x:c>
      <x:c r="D1052" s="2" t="str">
        <x:v>ddc4bbe364f02f5a2177795c49ea7ba9</x:v>
      </x:c>
      <x:c r="E1052" s="2" t="str">
        <x:v>CHECK_OUT</x:v>
      </x:c>
      <x:c r="F1052" s="8" t="n">
        <x:v>46301.27680555556</x:v>
      </x:c>
      <x:c r="G1052" s="8" t="n">
        <x:v>46301.2768287037</x:v>
      </x:c>
      <x:c r="H1052" s="2" t="str">
        <x:v>SCH01</x:v>
      </x:c>
      <x:c r="I1052" s="9" t="n">
        <x:v>25.285</x:v>
      </x:c>
      <x:c r="J1052" s="9" t="n">
        <x:v>51.51</x:v>
      </x:c>
      <x:c r="K1052" s="2" t="n">
        <x:v>8</x:v>
      </x:c>
      <x:c r="L1052" s="2" t="str">
        <x:v>Valid</x:v>
      </x:c>
      <x:c r="M1052" s="2" t="str">
        <x:v>QR</x:v>
      </x:c>
      <x:c r="N1052" s="2" t="n">
        <x:v>1</x:v>
      </x:c>
      <x:c r="O1052" s="2" t="str">
        <x:v>Accepted</x:v>
      </x:c>
      <x:c r="P1052" s="2" t="str">
        <x:v>S001</x:v>
      </x:c>
      <x:c r="Q1052" s="2" t="str">
        <x:v>DEV001</x:v>
      </x:c>
      <x:c r="R1052" s="2" t="n">
        <x:v>33</x:v>
      </x:c>
      <x:c r="S1052" s="2" t="str">
        <x:v>Online</x:v>
      </x:c>
      <x:c r="T1052" s="2" t="str">
        <x:v>Synced</x:v>
      </x:c>
    </x:row>
    <x:row r="1053" ht="21" customHeight="1">
      <x:c r="A1053" s="2" t="str">
        <x:v>EV001140</x:v>
      </x:c>
      <x:c r="B1053" s="2" t="str">
        <x:v>T20261006-1-2</x:v>
      </x:c>
      <x:c r="C1053" s="2" t="str">
        <x:v>ST053</x:v>
      </x:c>
      <x:c r="D1053" s="2" t="str">
        <x:v>e476277c519e294480cfa14a37e177a0</x:v>
      </x:c>
      <x:c r="E1053" s="2" t="str">
        <x:v>CHECK_OUT</x:v>
      </x:c>
      <x:c r="F1053" s="8" t="n">
        <x:v>46301.27680555556</x:v>
      </x:c>
      <x:c r="G1053" s="8" t="n">
        <x:v>46301.2768287037</x:v>
      </x:c>
      <x:c r="H1053" s="2" t="str">
        <x:v>SCH01</x:v>
      </x:c>
      <x:c r="I1053" s="9" t="n">
        <x:v>25.285</x:v>
      </x:c>
      <x:c r="J1053" s="9" t="n">
        <x:v>51.51</x:v>
      </x:c>
      <x:c r="K1053" s="2" t="n">
        <x:v>8</x:v>
      </x:c>
      <x:c r="L1053" s="2" t="str">
        <x:v>Valid</x:v>
      </x:c>
      <x:c r="M1053" s="2" t="str">
        <x:v>QR</x:v>
      </x:c>
      <x:c r="N1053" s="2" t="n">
        <x:v>1</x:v>
      </x:c>
      <x:c r="O1053" s="2" t="str">
        <x:v>Accepted</x:v>
      </x:c>
      <x:c r="P1053" s="2" t="str">
        <x:v>S002</x:v>
      </x:c>
      <x:c r="Q1053" s="2" t="str">
        <x:v>DEV002</x:v>
      </x:c>
      <x:c r="R1053" s="2" t="n">
        <x:v>33</x:v>
      </x:c>
      <x:c r="S1053" s="2" t="str">
        <x:v>Online</x:v>
      </x:c>
      <x:c r="T1053" s="2" t="str">
        <x:v>Synced</x:v>
      </x:c>
    </x:row>
    <x:row r="1054" ht="21" customHeight="1">
      <x:c r="A1054" s="2" t="str">
        <x:v>EV001300</x:v>
      </x:c>
      <x:c r="B1054" s="2" t="str">
        <x:v>T20261006-1-3</x:v>
      </x:c>
      <x:c r="C1054" s="2" t="str">
        <x:v>ST093</x:v>
      </x:c>
      <x:c r="D1054" s="2" t="str">
        <x:v>e69cdca4f10e82426e9a3098f4672791</x:v>
      </x:c>
      <x:c r="E1054" s="2" t="str">
        <x:v>CHECK_OUT</x:v>
      </x:c>
      <x:c r="F1054" s="8" t="n">
        <x:v>46301.27680555556</x:v>
      </x:c>
      <x:c r="G1054" s="8" t="n">
        <x:v>46301.2768287037</x:v>
      </x:c>
      <x:c r="H1054" s="2" t="str">
        <x:v>SCH01</x:v>
      </x:c>
      <x:c r="I1054" s="9" t="n">
        <x:v>25.285</x:v>
      </x:c>
      <x:c r="J1054" s="9" t="n">
        <x:v>51.51</x:v>
      </x:c>
      <x:c r="K1054" s="2" t="n">
        <x:v>8</x:v>
      </x:c>
      <x:c r="L1054" s="2" t="str">
        <x:v>Valid</x:v>
      </x:c>
      <x:c r="M1054" s="2" t="str">
        <x:v>QR</x:v>
      </x:c>
      <x:c r="N1054" s="2" t="n">
        <x:v>1</x:v>
      </x:c>
      <x:c r="O1054" s="2" t="str">
        <x:v>Accepted</x:v>
      </x:c>
      <x:c r="P1054" s="2" t="str">
        <x:v>S003</x:v>
      </x:c>
      <x:c r="Q1054" s="2" t="str">
        <x:v>DEV003</x:v>
      </x:c>
      <x:c r="R1054" s="2" t="n">
        <x:v>33</x:v>
      </x:c>
      <x:c r="S1054" s="2" t="str">
        <x:v>Online</x:v>
      </x:c>
      <x:c r="T1054" s="2" t="str">
        <x:v>Synced</x:v>
      </x:c>
    </x:row>
    <x:row r="1055" ht="21" customHeight="1">
      <x:c r="A1055" s="2" t="str">
        <x:v>EV000982</x:v>
      </x:c>
      <x:c r="B1055" s="2" t="str">
        <x:v>T20261006-1-1</x:v>
      </x:c>
      <x:c r="C1055" s="2" t="str">
        <x:v>ST014</x:v>
      </x:c>
      <x:c r="D1055" s="2" t="str">
        <x:v>6ea4b25306143e251962ae19fa8ee7af</x:v>
      </x:c>
      <x:c r="E1055" s="2" t="str">
        <x:v>CHECK_OUT</x:v>
      </x:c>
      <x:c r="F1055" s="8" t="n">
        <x:v>46301.27684027777</x:v>
      </x:c>
      <x:c r="G1055" s="8" t="n">
        <x:v>46301.27686342592</x:v>
      </x:c>
      <x:c r="H1055" s="2" t="str">
        <x:v>SCH01</x:v>
      </x:c>
      <x:c r="I1055" s="9" t="n">
        <x:v>25.285</x:v>
      </x:c>
      <x:c r="J1055" s="9" t="n">
        <x:v>51.51</x:v>
      </x:c>
      <x:c r="K1055" s="2" t="n">
        <x:v>8</x:v>
      </x:c>
      <x:c r="L1055" s="2" t="str">
        <x:v>Valid</x:v>
      </x:c>
      <x:c r="M1055" s="2" t="str">
        <x:v>QR</x:v>
      </x:c>
      <x:c r="N1055" s="2" t="n">
        <x:v>1</x:v>
      </x:c>
      <x:c r="O1055" s="2" t="str">
        <x:v>Accepted</x:v>
      </x:c>
      <x:c r="P1055" s="2" t="str">
        <x:v>S001</x:v>
      </x:c>
      <x:c r="Q1055" s="2" t="str">
        <x:v>DEV001</x:v>
      </x:c>
      <x:c r="R1055" s="2" t="n">
        <x:v>34</x:v>
      </x:c>
      <x:c r="S1055" s="2" t="str">
        <x:v>Online</x:v>
      </x:c>
      <x:c r="T1055" s="2" t="str">
        <x:v>Synced</x:v>
      </x:c>
    </x:row>
    <x:row r="1056" ht="21" customHeight="1">
      <x:c r="A1056" s="2" t="str">
        <x:v>EV001142</x:v>
      </x:c>
      <x:c r="B1056" s="2" t="str">
        <x:v>T20261006-1-2</x:v>
      </x:c>
      <x:c r="C1056" s="2" t="str">
        <x:v>ST054</x:v>
      </x:c>
      <x:c r="D1056" s="2" t="str">
        <x:v>1c9a916db52e081aeb59bc928cb914dd</x:v>
      </x:c>
      <x:c r="E1056" s="2" t="str">
        <x:v>CHECK_OUT</x:v>
      </x:c>
      <x:c r="F1056" s="8" t="n">
        <x:v>46301.27684027777</x:v>
      </x:c>
      <x:c r="G1056" s="8" t="n">
        <x:v>46301.27686342592</x:v>
      </x:c>
      <x:c r="H1056" s="2" t="str">
        <x:v>SCH01</x:v>
      </x:c>
      <x:c r="I1056" s="9" t="n">
        <x:v>25.285</x:v>
      </x:c>
      <x:c r="J1056" s="9" t="n">
        <x:v>51.51</x:v>
      </x:c>
      <x:c r="K1056" s="2" t="n">
        <x:v>8</x:v>
      </x:c>
      <x:c r="L1056" s="2" t="str">
        <x:v>Valid</x:v>
      </x:c>
      <x:c r="M1056" s="2" t="str">
        <x:v>QR</x:v>
      </x:c>
      <x:c r="N1056" s="2" t="n">
        <x:v>1</x:v>
      </x:c>
      <x:c r="O1056" s="2" t="str">
        <x:v>Accepted</x:v>
      </x:c>
      <x:c r="P1056" s="2" t="str">
        <x:v>S002</x:v>
      </x:c>
      <x:c r="Q1056" s="2" t="str">
        <x:v>DEV002</x:v>
      </x:c>
      <x:c r="R1056" s="2" t="n">
        <x:v>34</x:v>
      </x:c>
      <x:c r="S1056" s="2" t="str">
        <x:v>Online</x:v>
      </x:c>
      <x:c r="T1056" s="2" t="str">
        <x:v>Synced</x:v>
      </x:c>
    </x:row>
    <x:row r="1057" ht="21" customHeight="1">
      <x:c r="A1057" s="2" t="str">
        <x:v>EV001302</x:v>
      </x:c>
      <x:c r="B1057" s="2" t="str">
        <x:v>T20261006-1-3</x:v>
      </x:c>
      <x:c r="C1057" s="2" t="str">
        <x:v>ST094</x:v>
      </x:c>
      <x:c r="D1057" s="2" t="str">
        <x:v>b6fd37c188877a378c496dccb3132cf2</x:v>
      </x:c>
      <x:c r="E1057" s="2" t="str">
        <x:v>CHECK_OUT</x:v>
      </x:c>
      <x:c r="F1057" s="8" t="n">
        <x:v>46301.27684027777</x:v>
      </x:c>
      <x:c r="G1057" s="8" t="n">
        <x:v>46301.27686342592</x:v>
      </x:c>
      <x:c r="H1057" s="2" t="str">
        <x:v>SCH01</x:v>
      </x:c>
      <x:c r="I1057" s="9" t="n">
        <x:v>25.285</x:v>
      </x:c>
      <x:c r="J1057" s="9" t="n">
        <x:v>51.51</x:v>
      </x:c>
      <x:c r="K1057" s="2" t="n">
        <x:v>8</x:v>
      </x:c>
      <x:c r="L1057" s="2" t="str">
        <x:v>Valid</x:v>
      </x:c>
      <x:c r="M1057" s="2" t="str">
        <x:v>QR</x:v>
      </x:c>
      <x:c r="N1057" s="2" t="n">
        <x:v>1</x:v>
      </x:c>
      <x:c r="O1057" s="2" t="str">
        <x:v>Accepted</x:v>
      </x:c>
      <x:c r="P1057" s="2" t="str">
        <x:v>S003</x:v>
      </x:c>
      <x:c r="Q1057" s="2" t="str">
        <x:v>DEV003</x:v>
      </x:c>
      <x:c r="R1057" s="2" t="n">
        <x:v>34</x:v>
      </x:c>
      <x:c r="S1057" s="2" t="str">
        <x:v>Online</x:v>
      </x:c>
      <x:c r="T1057" s="2" t="str">
        <x:v>Synced</x:v>
      </x:c>
    </x:row>
    <x:row r="1058" ht="21" customHeight="1">
      <x:c r="A1058" s="2" t="str">
        <x:v>EV000984</x:v>
      </x:c>
      <x:c r="B1058" s="2" t="str">
        <x:v>T20261006-1-1</x:v>
      </x:c>
      <x:c r="C1058" s="2" t="str">
        <x:v>ST015</x:v>
      </x:c>
      <x:c r="D1058" s="2" t="str">
        <x:v>997c76227e9b12bdccc68d0d53a8d1df</x:v>
      </x:c>
      <x:c r="E1058" s="2" t="str">
        <x:v>CHECK_OUT</x:v>
      </x:c>
      <x:c r="F1058" s="8" t="n">
        <x:v>46301.276874999996</x:v>
      </x:c>
      <x:c r="G1058" s="8" t="n">
        <x:v>46301.27689814814</x:v>
      </x:c>
      <x:c r="H1058" s="2" t="str">
        <x:v>SCH01</x:v>
      </x:c>
      <x:c r="I1058" s="9" t="n">
        <x:v>25.285</x:v>
      </x:c>
      <x:c r="J1058" s="9" t="n">
        <x:v>51.51</x:v>
      </x:c>
      <x:c r="K1058" s="2" t="n">
        <x:v>8</x:v>
      </x:c>
      <x:c r="L1058" s="2" t="str">
        <x:v>Valid</x:v>
      </x:c>
      <x:c r="M1058" s="2" t="str">
        <x:v>QR</x:v>
      </x:c>
      <x:c r="N1058" s="2" t="n">
        <x:v>1</x:v>
      </x:c>
      <x:c r="O1058" s="2" t="str">
        <x:v>Accepted</x:v>
      </x:c>
      <x:c r="P1058" s="2" t="str">
        <x:v>S001</x:v>
      </x:c>
      <x:c r="Q1058" s="2" t="str">
        <x:v>DEV001</x:v>
      </x:c>
      <x:c r="R1058" s="2" t="n">
        <x:v>35</x:v>
      </x:c>
      <x:c r="S1058" s="2" t="str">
        <x:v>Online</x:v>
      </x:c>
      <x:c r="T1058" s="2" t="str">
        <x:v>Synced</x:v>
      </x:c>
    </x:row>
    <x:row r="1059" ht="21" customHeight="1">
      <x:c r="A1059" s="2" t="str">
        <x:v>EV001144</x:v>
      </x:c>
      <x:c r="B1059" s="2" t="str">
        <x:v>T20261006-1-2</x:v>
      </x:c>
      <x:c r="C1059" s="2" t="str">
        <x:v>ST055</x:v>
      </x:c>
      <x:c r="D1059" s="2" t="str">
        <x:v>e796258b9306e2b3efab77a21add36a5</x:v>
      </x:c>
      <x:c r="E1059" s="2" t="str">
        <x:v>CHECK_OUT</x:v>
      </x:c>
      <x:c r="F1059" s="8" t="n">
        <x:v>46301.276874999996</x:v>
      </x:c>
      <x:c r="G1059" s="8" t="n">
        <x:v>46301.27689814814</x:v>
      </x:c>
      <x:c r="H1059" s="2" t="str">
        <x:v>SCH01</x:v>
      </x:c>
      <x:c r="I1059" s="9" t="n">
        <x:v>25.285</x:v>
      </x:c>
      <x:c r="J1059" s="9" t="n">
        <x:v>51.51</x:v>
      </x:c>
      <x:c r="K1059" s="2" t="n">
        <x:v>8</x:v>
      </x:c>
      <x:c r="L1059" s="2" t="str">
        <x:v>Valid</x:v>
      </x:c>
      <x:c r="M1059" s="2" t="str">
        <x:v>QR</x:v>
      </x:c>
      <x:c r="N1059" s="2" t="n">
        <x:v>1</x:v>
      </x:c>
      <x:c r="O1059" s="2" t="str">
        <x:v>Accepted</x:v>
      </x:c>
      <x:c r="P1059" s="2" t="str">
        <x:v>S002</x:v>
      </x:c>
      <x:c r="Q1059" s="2" t="str">
        <x:v>DEV002</x:v>
      </x:c>
      <x:c r="R1059" s="2" t="n">
        <x:v>35</x:v>
      </x:c>
      <x:c r="S1059" s="2" t="str">
        <x:v>Online</x:v>
      </x:c>
      <x:c r="T1059" s="2" t="str">
        <x:v>Synced</x:v>
      </x:c>
    </x:row>
    <x:row r="1060" ht="21" customHeight="1">
      <x:c r="A1060" s="2" t="str">
        <x:v>EV001304</x:v>
      </x:c>
      <x:c r="B1060" s="2" t="str">
        <x:v>T20261006-1-3</x:v>
      </x:c>
      <x:c r="C1060" s="2" t="str">
        <x:v>ST095</x:v>
      </x:c>
      <x:c r="D1060" s="2" t="str">
        <x:v>0935ee2c52872353d5a355eed1202dbe</x:v>
      </x:c>
      <x:c r="E1060" s="2" t="str">
        <x:v>CHECK_OUT</x:v>
      </x:c>
      <x:c r="F1060" s="8" t="n">
        <x:v>46301.276874999996</x:v>
      </x:c>
      <x:c r="G1060" s="8" t="n">
        <x:v>46301.27689814814</x:v>
      </x:c>
      <x:c r="H1060" s="2" t="str">
        <x:v>SCH01</x:v>
      </x:c>
      <x:c r="I1060" s="9" t="n">
        <x:v>25.285</x:v>
      </x:c>
      <x:c r="J1060" s="9" t="n">
        <x:v>51.51</x:v>
      </x:c>
      <x:c r="K1060" s="2" t="n">
        <x:v>8</x:v>
      </x:c>
      <x:c r="L1060" s="2" t="str">
        <x:v>Valid</x:v>
      </x:c>
      <x:c r="M1060" s="2" t="str">
        <x:v>QR</x:v>
      </x:c>
      <x:c r="N1060" s="2" t="n">
        <x:v>1</x:v>
      </x:c>
      <x:c r="O1060" s="2" t="str">
        <x:v>Accepted</x:v>
      </x:c>
      <x:c r="P1060" s="2" t="str">
        <x:v>S003</x:v>
      </x:c>
      <x:c r="Q1060" s="2" t="str">
        <x:v>DEV003</x:v>
      </x:c>
      <x:c r="R1060" s="2" t="n">
        <x:v>35</x:v>
      </x:c>
      <x:c r="S1060" s="2" t="str">
        <x:v>Online</x:v>
      </x:c>
      <x:c r="T1060" s="2" t="str">
        <x:v>Synced</x:v>
      </x:c>
    </x:row>
    <x:row r="1061" ht="21" customHeight="1">
      <x:c r="A1061" s="2" t="str">
        <x:v>EV000986</x:v>
      </x:c>
      <x:c r="B1061" s="2" t="str">
        <x:v>T20261006-1-1</x:v>
      </x:c>
      <x:c r="C1061" s="2" t="str">
        <x:v>ST016</x:v>
      </x:c>
      <x:c r="D1061" s="2" t="str">
        <x:v>5227a65bcc4ea356d570fe16b2970ea5</x:v>
      </x:c>
      <x:c r="E1061" s="2" t="str">
        <x:v>CHECK_OUT</x:v>
      </x:c>
      <x:c r="F1061" s="8" t="n">
        <x:v>46301.27690972222</x:v>
      </x:c>
      <x:c r="G1061" s="8" t="n">
        <x:v>46301.276932870365</x:v>
      </x:c>
      <x:c r="H1061" s="2" t="str">
        <x:v>SCH01</x:v>
      </x:c>
      <x:c r="I1061" s="9" t="n">
        <x:v>25.285</x:v>
      </x:c>
      <x:c r="J1061" s="9" t="n">
        <x:v>51.51</x:v>
      </x:c>
      <x:c r="K1061" s="2" t="n">
        <x:v>8</x:v>
      </x:c>
      <x:c r="L1061" s="2" t="str">
        <x:v>Valid</x:v>
      </x:c>
      <x:c r="M1061" s="2" t="str">
        <x:v>QR</x:v>
      </x:c>
      <x:c r="N1061" s="2" t="n">
        <x:v>1</x:v>
      </x:c>
      <x:c r="O1061" s="2" t="str">
        <x:v>Accepted</x:v>
      </x:c>
      <x:c r="P1061" s="2" t="str">
        <x:v>S001</x:v>
      </x:c>
      <x:c r="Q1061" s="2" t="str">
        <x:v>DEV001</x:v>
      </x:c>
      <x:c r="R1061" s="2" t="n">
        <x:v>36</x:v>
      </x:c>
      <x:c r="S1061" s="2" t="str">
        <x:v>Online</x:v>
      </x:c>
      <x:c r="T1061" s="2" t="str">
        <x:v>Synced</x:v>
      </x:c>
    </x:row>
    <x:row r="1062" ht="21" customHeight="1">
      <x:c r="A1062" s="2" t="str">
        <x:v>EV001146</x:v>
      </x:c>
      <x:c r="B1062" s="2" t="str">
        <x:v>T20261006-1-2</x:v>
      </x:c>
      <x:c r="C1062" s="2" t="str">
        <x:v>ST056</x:v>
      </x:c>
      <x:c r="D1062" s="2" t="str">
        <x:v>245ed370430be1001f6d7d13404dd8b1</x:v>
      </x:c>
      <x:c r="E1062" s="2" t="str">
        <x:v>CHECK_OUT</x:v>
      </x:c>
      <x:c r="F1062" s="8" t="n">
        <x:v>46301.27690972222</x:v>
      </x:c>
      <x:c r="G1062" s="8" t="n">
        <x:v>46301.276932870365</x:v>
      </x:c>
      <x:c r="H1062" s="2" t="str">
        <x:v>SCH01</x:v>
      </x:c>
      <x:c r="I1062" s="9" t="n">
        <x:v>25.285</x:v>
      </x:c>
      <x:c r="J1062" s="9" t="n">
        <x:v>51.51</x:v>
      </x:c>
      <x:c r="K1062" s="2" t="n">
        <x:v>8</x:v>
      </x:c>
      <x:c r="L1062" s="2" t="str">
        <x:v>Valid</x:v>
      </x:c>
      <x:c r="M1062" s="2" t="str">
        <x:v>QR</x:v>
      </x:c>
      <x:c r="N1062" s="2" t="n">
        <x:v>1</x:v>
      </x:c>
      <x:c r="O1062" s="2" t="str">
        <x:v>Accepted</x:v>
      </x:c>
      <x:c r="P1062" s="2" t="str">
        <x:v>S002</x:v>
      </x:c>
      <x:c r="Q1062" s="2" t="str">
        <x:v>DEV002</x:v>
      </x:c>
      <x:c r="R1062" s="2" t="n">
        <x:v>36</x:v>
      </x:c>
      <x:c r="S1062" s="2" t="str">
        <x:v>Online</x:v>
      </x:c>
      <x:c r="T1062" s="2" t="str">
        <x:v>Synced</x:v>
      </x:c>
    </x:row>
    <x:row r="1063" ht="21" customHeight="1">
      <x:c r="A1063" s="2" t="str">
        <x:v>EV001306</x:v>
      </x:c>
      <x:c r="B1063" s="2" t="str">
        <x:v>T20261006-1-3</x:v>
      </x:c>
      <x:c r="C1063" s="2" t="str">
        <x:v>ST096</x:v>
      </x:c>
      <x:c r="D1063" s="2" t="str">
        <x:v>46905fa8ca039f79eec63d82a6ea3c69</x:v>
      </x:c>
      <x:c r="E1063" s="2" t="str">
        <x:v>CHECK_OUT</x:v>
      </x:c>
      <x:c r="F1063" s="8" t="n">
        <x:v>46301.27690972222</x:v>
      </x:c>
      <x:c r="G1063" s="8" t="n">
        <x:v>46301.276932870365</x:v>
      </x:c>
      <x:c r="H1063" s="2" t="str">
        <x:v>SCH01</x:v>
      </x:c>
      <x:c r="I1063" s="9" t="n">
        <x:v>25.285</x:v>
      </x:c>
      <x:c r="J1063" s="9" t="n">
        <x:v>51.51</x:v>
      </x:c>
      <x:c r="K1063" s="2" t="n">
        <x:v>8</x:v>
      </x:c>
      <x:c r="L1063" s="2" t="str">
        <x:v>Valid</x:v>
      </x:c>
      <x:c r="M1063" s="2" t="str">
        <x:v>QR</x:v>
      </x:c>
      <x:c r="N1063" s="2" t="n">
        <x:v>1</x:v>
      </x:c>
      <x:c r="O1063" s="2" t="str">
        <x:v>Accepted</x:v>
      </x:c>
      <x:c r="P1063" s="2" t="str">
        <x:v>S003</x:v>
      </x:c>
      <x:c r="Q1063" s="2" t="str">
        <x:v>DEV003</x:v>
      </x:c>
      <x:c r="R1063" s="2" t="n">
        <x:v>36</x:v>
      </x:c>
      <x:c r="S1063" s="2" t="str">
        <x:v>Online</x:v>
      </x:c>
      <x:c r="T1063" s="2" t="str">
        <x:v>Synced</x:v>
      </x:c>
    </x:row>
    <x:row r="1064" ht="21" customHeight="1">
      <x:c r="A1064" s="2" t="str">
        <x:v>EV000988</x:v>
      </x:c>
      <x:c r="B1064" s="2" t="str">
        <x:v>T20261006-1-1</x:v>
      </x:c>
      <x:c r="C1064" s="2" t="str">
        <x:v>ST017</x:v>
      </x:c>
      <x:c r="D1064" s="2" t="str">
        <x:v>ea6159d457322f2456f4cadd6b3d659f</x:v>
      </x:c>
      <x:c r="E1064" s="2" t="str">
        <x:v>CHECK_OUT</x:v>
      </x:c>
      <x:c r="F1064" s="8" t="n">
        <x:v>46301.27694444444</x:v>
      </x:c>
      <x:c r="G1064" s="8" t="n">
        <x:v>46301.27696759259</x:v>
      </x:c>
      <x:c r="H1064" s="2" t="str">
        <x:v>SCH01</x:v>
      </x:c>
      <x:c r="I1064" s="9" t="n">
        <x:v>25.285</x:v>
      </x:c>
      <x:c r="J1064" s="9" t="n">
        <x:v>51.51</x:v>
      </x:c>
      <x:c r="K1064" s="2" t="n">
        <x:v>8</x:v>
      </x:c>
      <x:c r="L1064" s="2" t="str">
        <x:v>Valid</x:v>
      </x:c>
      <x:c r="M1064" s="2" t="str">
        <x:v>QR</x:v>
      </x:c>
      <x:c r="N1064" s="2" t="n">
        <x:v>1</x:v>
      </x:c>
      <x:c r="O1064" s="2" t="str">
        <x:v>Accepted</x:v>
      </x:c>
      <x:c r="P1064" s="2" t="str">
        <x:v>S001</x:v>
      </x:c>
      <x:c r="Q1064" s="2" t="str">
        <x:v>DEV001</x:v>
      </x:c>
      <x:c r="R1064" s="2" t="n">
        <x:v>37</x:v>
      </x:c>
      <x:c r="S1064" s="2" t="str">
        <x:v>Online</x:v>
      </x:c>
      <x:c r="T1064" s="2" t="str">
        <x:v>Synced</x:v>
      </x:c>
    </x:row>
    <x:row r="1065" ht="21" customHeight="1">
      <x:c r="A1065" s="2" t="str">
        <x:v>EV001148</x:v>
      </x:c>
      <x:c r="B1065" s="2" t="str">
        <x:v>T20261006-1-2</x:v>
      </x:c>
      <x:c r="C1065" s="2" t="str">
        <x:v>ST057</x:v>
      </x:c>
      <x:c r="D1065" s="2" t="str">
        <x:v>68d992c7418727808ad27d2e5ee9b88d</x:v>
      </x:c>
      <x:c r="E1065" s="2" t="str">
        <x:v>CHECK_OUT</x:v>
      </x:c>
      <x:c r="F1065" s="8" t="n">
        <x:v>46301.27694444444</x:v>
      </x:c>
      <x:c r="G1065" s="8" t="n">
        <x:v>46301.27696759259</x:v>
      </x:c>
      <x:c r="H1065" s="2" t="str">
        <x:v>SCH01</x:v>
      </x:c>
      <x:c r="I1065" s="9" t="n">
        <x:v>25.285</x:v>
      </x:c>
      <x:c r="J1065" s="9" t="n">
        <x:v>51.51</x:v>
      </x:c>
      <x:c r="K1065" s="2" t="n">
        <x:v>8</x:v>
      </x:c>
      <x:c r="L1065" s="2" t="str">
        <x:v>Valid</x:v>
      </x:c>
      <x:c r="M1065" s="2" t="str">
        <x:v>QR</x:v>
      </x:c>
      <x:c r="N1065" s="2" t="n">
        <x:v>1</x:v>
      </x:c>
      <x:c r="O1065" s="2" t="str">
        <x:v>Accepted</x:v>
      </x:c>
      <x:c r="P1065" s="2" t="str">
        <x:v>S002</x:v>
      </x:c>
      <x:c r="Q1065" s="2" t="str">
        <x:v>DEV002</x:v>
      </x:c>
      <x:c r="R1065" s="2" t="n">
        <x:v>37</x:v>
      </x:c>
      <x:c r="S1065" s="2" t="str">
        <x:v>Online</x:v>
      </x:c>
      <x:c r="T1065" s="2" t="str">
        <x:v>Synced</x:v>
      </x:c>
    </x:row>
    <x:row r="1066" ht="21" customHeight="1">
      <x:c r="A1066" s="2" t="str">
        <x:v>EV001308</x:v>
      </x:c>
      <x:c r="B1066" s="2" t="str">
        <x:v>T20261006-1-3</x:v>
      </x:c>
      <x:c r="C1066" s="2" t="str">
        <x:v>ST097</x:v>
      </x:c>
      <x:c r="D1066" s="2" t="str">
        <x:v>0ccbf8d08569df9dde2207b8d5616d1e</x:v>
      </x:c>
      <x:c r="E1066" s="2" t="str">
        <x:v>CHECK_OUT</x:v>
      </x:c>
      <x:c r="F1066" s="8" t="n">
        <x:v>46301.27694444444</x:v>
      </x:c>
      <x:c r="G1066" s="8" t="n">
        <x:v>46301.27696759259</x:v>
      </x:c>
      <x:c r="H1066" s="2" t="str">
        <x:v>SCH01</x:v>
      </x:c>
      <x:c r="I1066" s="9" t="n">
        <x:v>25.285</x:v>
      </x:c>
      <x:c r="J1066" s="9" t="n">
        <x:v>51.51</x:v>
      </x:c>
      <x:c r="K1066" s="2" t="n">
        <x:v>8</x:v>
      </x:c>
      <x:c r="L1066" s="2" t="str">
        <x:v>Valid</x:v>
      </x:c>
      <x:c r="M1066" s="2" t="str">
        <x:v>QR</x:v>
      </x:c>
      <x:c r="N1066" s="2" t="n">
        <x:v>1</x:v>
      </x:c>
      <x:c r="O1066" s="2" t="str">
        <x:v>Accepted</x:v>
      </x:c>
      <x:c r="P1066" s="2" t="str">
        <x:v>S003</x:v>
      </x:c>
      <x:c r="Q1066" s="2" t="str">
        <x:v>DEV003</x:v>
      </x:c>
      <x:c r="R1066" s="2" t="n">
        <x:v>37</x:v>
      </x:c>
      <x:c r="S1066" s="2" t="str">
        <x:v>Online</x:v>
      </x:c>
      <x:c r="T1066" s="2" t="str">
        <x:v>Synced</x:v>
      </x:c>
    </x:row>
    <x:row r="1067" ht="21" customHeight="1">
      <x:c r="A1067" s="2" t="str">
        <x:v>EV000990</x:v>
      </x:c>
      <x:c r="B1067" s="2" t="str">
        <x:v>T20261006-1-1</x:v>
      </x:c>
      <x:c r="C1067" s="2" t="str">
        <x:v>ST018</x:v>
      </x:c>
      <x:c r="D1067" s="2" t="str">
        <x:v>4c1b40081ed5c7c21b8392ee528dbe54</x:v>
      </x:c>
      <x:c r="E1067" s="2" t="str">
        <x:v>CHECK_OUT</x:v>
      </x:c>
      <x:c r="F1067" s="8" t="n">
        <x:v>46301.276979166665</x:v>
      </x:c>
      <x:c r="G1067" s="8" t="n">
        <x:v>46301.27700231481</x:v>
      </x:c>
      <x:c r="H1067" s="2" t="str">
        <x:v>SCH01</x:v>
      </x:c>
      <x:c r="I1067" s="9" t="n">
        <x:v>25.285</x:v>
      </x:c>
      <x:c r="J1067" s="9" t="n">
        <x:v>51.51</x:v>
      </x:c>
      <x:c r="K1067" s="2" t="n">
        <x:v>8</x:v>
      </x:c>
      <x:c r="L1067" s="2" t="str">
        <x:v>Valid</x:v>
      </x:c>
      <x:c r="M1067" s="2" t="str">
        <x:v>QR</x:v>
      </x:c>
      <x:c r="N1067" s="2" t="n">
        <x:v>1</x:v>
      </x:c>
      <x:c r="O1067" s="2" t="str">
        <x:v>Accepted</x:v>
      </x:c>
      <x:c r="P1067" s="2" t="str">
        <x:v>S001</x:v>
      </x:c>
      <x:c r="Q1067" s="2" t="str">
        <x:v>DEV001</x:v>
      </x:c>
      <x:c r="R1067" s="2" t="n">
        <x:v>38</x:v>
      </x:c>
      <x:c r="S1067" s="2" t="str">
        <x:v>Online</x:v>
      </x:c>
      <x:c r="T1067" s="2" t="str">
        <x:v>Synced</x:v>
      </x:c>
    </x:row>
    <x:row r="1068" ht="21" customHeight="1">
      <x:c r="A1068" s="2" t="str">
        <x:v>EV001150</x:v>
      </x:c>
      <x:c r="B1068" s="2" t="str">
        <x:v>T20261006-1-2</x:v>
      </x:c>
      <x:c r="C1068" s="2" t="str">
        <x:v>ST058</x:v>
      </x:c>
      <x:c r="D1068" s="2" t="str">
        <x:v>ebf7e65b57e2c8bcd02f90b1d5692596</x:v>
      </x:c>
      <x:c r="E1068" s="2" t="str">
        <x:v>CHECK_OUT</x:v>
      </x:c>
      <x:c r="F1068" s="8" t="n">
        <x:v>46301.276979166665</x:v>
      </x:c>
      <x:c r="G1068" s="8" t="n">
        <x:v>46301.27700231481</x:v>
      </x:c>
      <x:c r="H1068" s="2" t="str">
        <x:v>SCH01</x:v>
      </x:c>
      <x:c r="I1068" s="9" t="n">
        <x:v>25.285</x:v>
      </x:c>
      <x:c r="J1068" s="9" t="n">
        <x:v>51.51</x:v>
      </x:c>
      <x:c r="K1068" s="2" t="n">
        <x:v>8</x:v>
      </x:c>
      <x:c r="L1068" s="2" t="str">
        <x:v>Valid</x:v>
      </x:c>
      <x:c r="M1068" s="2" t="str">
        <x:v>QR</x:v>
      </x:c>
      <x:c r="N1068" s="2" t="n">
        <x:v>1</x:v>
      </x:c>
      <x:c r="O1068" s="2" t="str">
        <x:v>Accepted</x:v>
      </x:c>
      <x:c r="P1068" s="2" t="str">
        <x:v>S002</x:v>
      </x:c>
      <x:c r="Q1068" s="2" t="str">
        <x:v>DEV002</x:v>
      </x:c>
      <x:c r="R1068" s="2" t="n">
        <x:v>38</x:v>
      </x:c>
      <x:c r="S1068" s="2" t="str">
        <x:v>Online</x:v>
      </x:c>
      <x:c r="T1068" s="2" t="str">
        <x:v>Synced</x:v>
      </x:c>
    </x:row>
    <x:row r="1069" ht="21" customHeight="1">
      <x:c r="A1069" s="2" t="str">
        <x:v>EV001310</x:v>
      </x:c>
      <x:c r="B1069" s="2" t="str">
        <x:v>T20261006-1-3</x:v>
      </x:c>
      <x:c r="C1069" s="2" t="str">
        <x:v>ST098</x:v>
      </x:c>
      <x:c r="D1069" s="2" t="str">
        <x:v>4b453acdeca94f98f11a429464f7bff7</x:v>
      </x:c>
      <x:c r="E1069" s="2" t="str">
        <x:v>CHECK_OUT</x:v>
      </x:c>
      <x:c r="F1069" s="8" t="n">
        <x:v>46301.276979166665</x:v>
      </x:c>
      <x:c r="G1069" s="8" t="n">
        <x:v>46301.27700231481</x:v>
      </x:c>
      <x:c r="H1069" s="2" t="str">
        <x:v>SCH01</x:v>
      </x:c>
      <x:c r="I1069" s="9" t="n">
        <x:v>25.285</x:v>
      </x:c>
      <x:c r="J1069" s="9" t="n">
        <x:v>51.51</x:v>
      </x:c>
      <x:c r="K1069" s="2" t="n">
        <x:v>8</x:v>
      </x:c>
      <x:c r="L1069" s="2" t="str">
        <x:v>Valid</x:v>
      </x:c>
      <x:c r="M1069" s="2" t="str">
        <x:v>QR</x:v>
      </x:c>
      <x:c r="N1069" s="2" t="n">
        <x:v>1</x:v>
      </x:c>
      <x:c r="O1069" s="2" t="str">
        <x:v>Accepted</x:v>
      </x:c>
      <x:c r="P1069" s="2" t="str">
        <x:v>S003</x:v>
      </x:c>
      <x:c r="Q1069" s="2" t="str">
        <x:v>DEV003</x:v>
      </x:c>
      <x:c r="R1069" s="2" t="n">
        <x:v>38</x:v>
      </x:c>
      <x:c r="S1069" s="2" t="str">
        <x:v>Online</x:v>
      </x:c>
      <x:c r="T1069" s="2" t="str">
        <x:v>Synced</x:v>
      </x:c>
    </x:row>
    <x:row r="1070" ht="21" customHeight="1">
      <x:c r="A1070" s="2" t="str">
        <x:v>EV000992</x:v>
      </x:c>
      <x:c r="B1070" s="2" t="str">
        <x:v>T20261006-1-1</x:v>
      </x:c>
      <x:c r="C1070" s="2" t="str">
        <x:v>ST019</x:v>
      </x:c>
      <x:c r="D1070" s="2" t="str">
        <x:v>b83400b1b6dcfb0f7cb413571cb76f8f</x:v>
      </x:c>
      <x:c r="E1070" s="2" t="str">
        <x:v>CHECK_OUT</x:v>
      </x:c>
      <x:c r="F1070" s="8" t="n">
        <x:v>46301.27701388889</x:v>
      </x:c>
      <x:c r="G1070" s="8" t="n">
        <x:v>46301.277037037034</x:v>
      </x:c>
      <x:c r="H1070" s="2" t="str">
        <x:v>SCH01</x:v>
      </x:c>
      <x:c r="I1070" s="9" t="n">
        <x:v>25.285</x:v>
      </x:c>
      <x:c r="J1070" s="9" t="n">
        <x:v>51.51</x:v>
      </x:c>
      <x:c r="K1070" s="2" t="n">
        <x:v>8</x:v>
      </x:c>
      <x:c r="L1070" s="2" t="str">
        <x:v>Valid</x:v>
      </x:c>
      <x:c r="M1070" s="2" t="str">
        <x:v>QR</x:v>
      </x:c>
      <x:c r="N1070" s="2" t="n">
        <x:v>1</x:v>
      </x:c>
      <x:c r="O1070" s="2" t="str">
        <x:v>Accepted</x:v>
      </x:c>
      <x:c r="P1070" s="2" t="str">
        <x:v>S001</x:v>
      </x:c>
      <x:c r="Q1070" s="2" t="str">
        <x:v>DEV001</x:v>
      </x:c>
      <x:c r="R1070" s="2" t="n">
        <x:v>39</x:v>
      </x:c>
      <x:c r="S1070" s="2" t="str">
        <x:v>Online</x:v>
      </x:c>
      <x:c r="T1070" s="2" t="str">
        <x:v>Synced</x:v>
      </x:c>
    </x:row>
    <x:row r="1071" ht="21" customHeight="1">
      <x:c r="A1071" s="2" t="str">
        <x:v>EV001152</x:v>
      </x:c>
      <x:c r="B1071" s="2" t="str">
        <x:v>T20261006-1-2</x:v>
      </x:c>
      <x:c r="C1071" s="2" t="str">
        <x:v>ST059</x:v>
      </x:c>
      <x:c r="D1071" s="2" t="str">
        <x:v>08b31edc14b3a345822a41d6515bfcba</x:v>
      </x:c>
      <x:c r="E1071" s="2" t="str">
        <x:v>CHECK_OUT</x:v>
      </x:c>
      <x:c r="F1071" s="8" t="n">
        <x:v>46301.27701388889</x:v>
      </x:c>
      <x:c r="G1071" s="8" t="n">
        <x:v>46301.277037037034</x:v>
      </x:c>
      <x:c r="H1071" s="2" t="str">
        <x:v>SCH01</x:v>
      </x:c>
      <x:c r="I1071" s="9" t="n">
        <x:v>25.285</x:v>
      </x:c>
      <x:c r="J1071" s="9" t="n">
        <x:v>51.51</x:v>
      </x:c>
      <x:c r="K1071" s="2" t="n">
        <x:v>8</x:v>
      </x:c>
      <x:c r="L1071" s="2" t="str">
        <x:v>Valid</x:v>
      </x:c>
      <x:c r="M1071" s="2" t="str">
        <x:v>QR</x:v>
      </x:c>
      <x:c r="N1071" s="2" t="n">
        <x:v>1</x:v>
      </x:c>
      <x:c r="O1071" s="2" t="str">
        <x:v>Accepted</x:v>
      </x:c>
      <x:c r="P1071" s="2" t="str">
        <x:v>S002</x:v>
      </x:c>
      <x:c r="Q1071" s="2" t="str">
        <x:v>DEV002</x:v>
      </x:c>
      <x:c r="R1071" s="2" t="n">
        <x:v>39</x:v>
      </x:c>
      <x:c r="S1071" s="2" t="str">
        <x:v>Online</x:v>
      </x:c>
      <x:c r="T1071" s="2" t="str">
        <x:v>Synced</x:v>
      </x:c>
    </x:row>
    <x:row r="1072" ht="21" customHeight="1">
      <x:c r="A1072" s="2" t="str">
        <x:v>EV001312</x:v>
      </x:c>
      <x:c r="B1072" s="2" t="str">
        <x:v>T20261006-1-3</x:v>
      </x:c>
      <x:c r="C1072" s="2" t="str">
        <x:v>ST099</x:v>
      </x:c>
      <x:c r="D1072" s="2" t="str">
        <x:v>46d20c66394c55b68e36e5335452d87c</x:v>
      </x:c>
      <x:c r="E1072" s="2" t="str">
        <x:v>CHECK_OUT</x:v>
      </x:c>
      <x:c r="F1072" s="8" t="n">
        <x:v>46301.27701388889</x:v>
      </x:c>
      <x:c r="G1072" s="8" t="n">
        <x:v>46301.277037037034</x:v>
      </x:c>
      <x:c r="H1072" s="2" t="str">
        <x:v>SCH01</x:v>
      </x:c>
      <x:c r="I1072" s="9" t="n">
        <x:v>25.285</x:v>
      </x:c>
      <x:c r="J1072" s="9" t="n">
        <x:v>51.51</x:v>
      </x:c>
      <x:c r="K1072" s="2" t="n">
        <x:v>8</x:v>
      </x:c>
      <x:c r="L1072" s="2" t="str">
        <x:v>Valid</x:v>
      </x:c>
      <x:c r="M1072" s="2" t="str">
        <x:v>QR</x:v>
      </x:c>
      <x:c r="N1072" s="2" t="n">
        <x:v>1</x:v>
      </x:c>
      <x:c r="O1072" s="2" t="str">
        <x:v>Accepted</x:v>
      </x:c>
      <x:c r="P1072" s="2" t="str">
        <x:v>S003</x:v>
      </x:c>
      <x:c r="Q1072" s="2" t="str">
        <x:v>DEV003</x:v>
      </x:c>
      <x:c r="R1072" s="2" t="n">
        <x:v>39</x:v>
      </x:c>
      <x:c r="S1072" s="2" t="str">
        <x:v>Online</x:v>
      </x:c>
      <x:c r="T1072" s="2" t="str">
        <x:v>Synced</x:v>
      </x:c>
    </x:row>
    <x:row r="1073" ht="21" customHeight="1">
      <x:c r="A1073" s="2" t="str">
        <x:v>EV000994</x:v>
      </x:c>
      <x:c r="B1073" s="2" t="str">
        <x:v>T20261006-1-1</x:v>
      </x:c>
      <x:c r="C1073" s="2" t="str">
        <x:v>ST020</x:v>
      </x:c>
      <x:c r="D1073" s="2" t="str">
        <x:v>9f8daa9030f9f7599cd24e056935ab8d</x:v>
      </x:c>
      <x:c r="E1073" s="2" t="str">
        <x:v>CHECK_OUT</x:v>
      </x:c>
      <x:c r="F1073" s="8" t="n">
        <x:v>46301.27704861111</x:v>
      </x:c>
      <x:c r="G1073" s="8" t="n">
        <x:v>46301.27707175926</x:v>
      </x:c>
      <x:c r="H1073" s="2" t="str">
        <x:v>SCH01</x:v>
      </x:c>
      <x:c r="I1073" s="9" t="n">
        <x:v>25.285</x:v>
      </x:c>
      <x:c r="J1073" s="9" t="n">
        <x:v>51.51</x:v>
      </x:c>
      <x:c r="K1073" s="2" t="n">
        <x:v>8</x:v>
      </x:c>
      <x:c r="L1073" s="2" t="str">
        <x:v>Valid</x:v>
      </x:c>
      <x:c r="M1073" s="2" t="str">
        <x:v>QR</x:v>
      </x:c>
      <x:c r="N1073" s="2" t="n">
        <x:v>1</x:v>
      </x:c>
      <x:c r="O1073" s="2" t="str">
        <x:v>Accepted</x:v>
      </x:c>
      <x:c r="P1073" s="2" t="str">
        <x:v>S001</x:v>
      </x:c>
      <x:c r="Q1073" s="2" t="str">
        <x:v>DEV001</x:v>
      </x:c>
      <x:c r="R1073" s="2" t="n">
        <x:v>40</x:v>
      </x:c>
      <x:c r="S1073" s="2" t="str">
        <x:v>Online</x:v>
      </x:c>
      <x:c r="T1073" s="2" t="str">
        <x:v>Synced</x:v>
      </x:c>
    </x:row>
    <x:row r="1074" ht="21" customHeight="1">
      <x:c r="A1074" s="2" t="str">
        <x:v>EV001154</x:v>
      </x:c>
      <x:c r="B1074" s="2" t="str">
        <x:v>T20261006-1-2</x:v>
      </x:c>
      <x:c r="C1074" s="2" t="str">
        <x:v>ST060</x:v>
      </x:c>
      <x:c r="D1074" s="2" t="str">
        <x:v>a424ea3d9a5cb1c08037457e61cef61f</x:v>
      </x:c>
      <x:c r="E1074" s="2" t="str">
        <x:v>CHECK_OUT</x:v>
      </x:c>
      <x:c r="F1074" s="8" t="n">
        <x:v>46301.27704861111</x:v>
      </x:c>
      <x:c r="G1074" s="8" t="n">
        <x:v>46301.27707175926</x:v>
      </x:c>
      <x:c r="H1074" s="2" t="str">
        <x:v>SCH01</x:v>
      </x:c>
      <x:c r="I1074" s="9" t="n">
        <x:v>25.285</x:v>
      </x:c>
      <x:c r="J1074" s="9" t="n">
        <x:v>51.51</x:v>
      </x:c>
      <x:c r="K1074" s="2" t="n">
        <x:v>8</x:v>
      </x:c>
      <x:c r="L1074" s="2" t="str">
        <x:v>Valid</x:v>
      </x:c>
      <x:c r="M1074" s="2" t="str">
        <x:v>QR</x:v>
      </x:c>
      <x:c r="N1074" s="2" t="n">
        <x:v>1</x:v>
      </x:c>
      <x:c r="O1074" s="2" t="str">
        <x:v>Accepted</x:v>
      </x:c>
      <x:c r="P1074" s="2" t="str">
        <x:v>S002</x:v>
      </x:c>
      <x:c r="Q1074" s="2" t="str">
        <x:v>DEV002</x:v>
      </x:c>
      <x:c r="R1074" s="2" t="n">
        <x:v>40</x:v>
      </x:c>
      <x:c r="S1074" s="2" t="str">
        <x:v>Online</x:v>
      </x:c>
      <x:c r="T1074" s="2" t="str">
        <x:v>Synced</x:v>
      </x:c>
    </x:row>
    <x:row r="1075" ht="21" customHeight="1">
      <x:c r="A1075" s="2" t="str">
        <x:v>EV001314</x:v>
      </x:c>
      <x:c r="B1075" s="2" t="str">
        <x:v>T20261006-1-3</x:v>
      </x:c>
      <x:c r="C1075" s="2" t="str">
        <x:v>ST100</x:v>
      </x:c>
      <x:c r="D1075" s="2" t="str">
        <x:v>6ba3ddf298bc4515d195454c1e81d9d6</x:v>
      </x:c>
      <x:c r="E1075" s="2" t="str">
        <x:v>CHECK_OUT</x:v>
      </x:c>
      <x:c r="F1075" s="8" t="n">
        <x:v>46301.27704861111</x:v>
      </x:c>
      <x:c r="G1075" s="8" t="n">
        <x:v>46301.27707175926</x:v>
      </x:c>
      <x:c r="H1075" s="2" t="str">
        <x:v>SCH01</x:v>
      </x:c>
      <x:c r="I1075" s="9" t="n">
        <x:v>25.285</x:v>
      </x:c>
      <x:c r="J1075" s="9" t="n">
        <x:v>51.51</x:v>
      </x:c>
      <x:c r="K1075" s="2" t="n">
        <x:v>8</x:v>
      </x:c>
      <x:c r="L1075" s="2" t="str">
        <x:v>Valid</x:v>
      </x:c>
      <x:c r="M1075" s="2" t="str">
        <x:v>QR</x:v>
      </x:c>
      <x:c r="N1075" s="2" t="n">
        <x:v>1</x:v>
      </x:c>
      <x:c r="O1075" s="2" t="str">
        <x:v>Accepted</x:v>
      </x:c>
      <x:c r="P1075" s="2" t="str">
        <x:v>S003</x:v>
      </x:c>
      <x:c r="Q1075" s="2" t="str">
        <x:v>DEV003</x:v>
      </x:c>
      <x:c r="R1075" s="2" t="n">
        <x:v>40</x:v>
      </x:c>
      <x:c r="S1075" s="2" t="str">
        <x:v>Online</x:v>
      </x:c>
      <x:c r="T1075" s="2" t="str">
        <x:v>Synced</x:v>
      </x:c>
    </x:row>
    <x:row r="1076" ht="21" customHeight="1">
      <x:c r="A1076" s="2" t="str">
        <x:v>EV000995</x:v>
      </x:c>
      <x:c r="B1076" s="2" t="str">
        <x:v>T20261006-2-1</x:v>
      </x:c>
      <x:c r="C1076" s="2" t="str">
        <x:v>ST001</x:v>
      </x:c>
      <x:c r="D1076" s="2" t="str">
        <x:v>c33d277e346360e93548e66cbf71eda4</x:v>
      </x:c>
      <x:c r="E1076" s="2" t="str">
        <x:v>CHECK_IN</x:v>
      </x:c>
      <x:c r="F1076" s="8" t="n">
        <x:v>46301.4375</x:v>
      </x:c>
      <x:c r="G1076" s="8" t="n">
        <x:v>46301.437523148146</x:v>
      </x:c>
      <x:c r="H1076" s="2" t="str">
        <x:v>SCH01</x:v>
      </x:c>
      <x:c r="I1076" s="9" t="n">
        <x:v>25.285</x:v>
      </x:c>
      <x:c r="J1076" s="9" t="n">
        <x:v>51.51</x:v>
      </x:c>
      <x:c r="K1076" s="2" t="n">
        <x:v>8</x:v>
      </x:c>
      <x:c r="L1076" s="2" t="str">
        <x:v>Valid</x:v>
      </x:c>
      <x:c r="M1076" s="2" t="str">
        <x:v>QR</x:v>
      </x:c>
      <x:c r="N1076" s="2" t="n">
        <x:v>1</x:v>
      </x:c>
      <x:c r="O1076" s="2" t="str">
        <x:v>Accepted</x:v>
      </x:c>
      <x:c r="P1076" s="2" t="str">
        <x:v>S001</x:v>
      </x:c>
      <x:c r="Q1076" s="2" t="str">
        <x:v>DEV001</x:v>
      </x:c>
      <x:c r="R1076" s="2" t="n">
        <x:v>1</x:v>
      </x:c>
      <x:c r="S1076" s="2" t="str">
        <x:v>Online</x:v>
      </x:c>
      <x:c r="T1076" s="2" t="str">
        <x:v>Synced</x:v>
      </x:c>
    </x:row>
    <x:row r="1077" ht="21" customHeight="1">
      <x:c r="A1077" s="2" t="str">
        <x:v>EV001155</x:v>
      </x:c>
      <x:c r="B1077" s="2" t="str">
        <x:v>T20261006-2-2</x:v>
      </x:c>
      <x:c r="C1077" s="2" t="str">
        <x:v>ST041</x:v>
      </x:c>
      <x:c r="D1077" s="2" t="str">
        <x:v>78597cf805a87b7619460b6ed67f501f</x:v>
      </x:c>
      <x:c r="E1077" s="2" t="str">
        <x:v>CHECK_IN</x:v>
      </x:c>
      <x:c r="F1077" s="8" t="n">
        <x:v>46301.4375</x:v>
      </x:c>
      <x:c r="G1077" s="8" t="n">
        <x:v>46301.437523148146</x:v>
      </x:c>
      <x:c r="H1077" s="2" t="str">
        <x:v>SCH01</x:v>
      </x:c>
      <x:c r="I1077" s="9" t="n">
        <x:v>25.285</x:v>
      </x:c>
      <x:c r="J1077" s="9" t="n">
        <x:v>51.51</x:v>
      </x:c>
      <x:c r="K1077" s="2" t="n">
        <x:v>8</x:v>
      </x:c>
      <x:c r="L1077" s="2" t="str">
        <x:v>Valid</x:v>
      </x:c>
      <x:c r="M1077" s="2" t="str">
        <x:v>QR</x:v>
      </x:c>
      <x:c r="N1077" s="2" t="n">
        <x:v>1</x:v>
      </x:c>
      <x:c r="O1077" s="2" t="str">
        <x:v>Accepted</x:v>
      </x:c>
      <x:c r="P1077" s="2" t="str">
        <x:v>S002</x:v>
      </x:c>
      <x:c r="Q1077" s="2" t="str">
        <x:v>DEV002</x:v>
      </x:c>
      <x:c r="R1077" s="2" t="n">
        <x:v>1</x:v>
      </x:c>
      <x:c r="S1077" s="2" t="str">
        <x:v>Online</x:v>
      </x:c>
      <x:c r="T1077" s="2" t="str">
        <x:v>Synced</x:v>
      </x:c>
    </x:row>
    <x:row r="1078" ht="21" customHeight="1">
      <x:c r="A1078" s="2" t="str">
        <x:v>EV001315</x:v>
      </x:c>
      <x:c r="B1078" s="2" t="str">
        <x:v>T20261006-2-3</x:v>
      </x:c>
      <x:c r="C1078" s="2" t="str">
        <x:v>ST081</x:v>
      </x:c>
      <x:c r="D1078" s="2" t="str">
        <x:v>8631b63b10b36bffa6456d354db9c08f</x:v>
      </x:c>
      <x:c r="E1078" s="2" t="str">
        <x:v>CHECK_IN</x:v>
      </x:c>
      <x:c r="F1078" s="8" t="n">
        <x:v>46301.4375</x:v>
      </x:c>
      <x:c r="G1078" s="8" t="n">
        <x:v>46301.437523148146</x:v>
      </x:c>
      <x:c r="H1078" s="2" t="str">
        <x:v>SCH01</x:v>
      </x:c>
      <x:c r="I1078" s="9" t="n">
        <x:v>25.285</x:v>
      </x:c>
      <x:c r="J1078" s="9" t="n">
        <x:v>51.51</x:v>
      </x:c>
      <x:c r="K1078" s="2" t="n">
        <x:v>8</x:v>
      </x:c>
      <x:c r="L1078" s="2" t="str">
        <x:v>Valid</x:v>
      </x:c>
      <x:c r="M1078" s="2" t="str">
        <x:v>QR</x:v>
      </x:c>
      <x:c r="N1078" s="2" t="n">
        <x:v>1</x:v>
      </x:c>
      <x:c r="O1078" s="2" t="str">
        <x:v>Accepted</x:v>
      </x:c>
      <x:c r="P1078" s="2" t="str">
        <x:v>S003</x:v>
      </x:c>
      <x:c r="Q1078" s="2" t="str">
        <x:v>DEV003</x:v>
      </x:c>
      <x:c r="R1078" s="2" t="n">
        <x:v>1</x:v>
      </x:c>
      <x:c r="S1078" s="2" t="str">
        <x:v>Online</x:v>
      </x:c>
      <x:c r="T1078" s="2" t="str">
        <x:v>Synced</x:v>
      </x:c>
    </x:row>
    <x:row r="1079" ht="21" customHeight="1">
      <x:c r="A1079" s="2" t="str">
        <x:v>EV000997</x:v>
      </x:c>
      <x:c r="B1079" s="2" t="str">
        <x:v>T20261006-2-1</x:v>
      </x:c>
      <x:c r="C1079" s="2" t="str">
        <x:v>ST002</x:v>
      </x:c>
      <x:c r="D1079" s="2" t="str">
        <x:v>c9302a76d79e524442f3775978bb57a1</x:v>
      </x:c>
      <x:c r="E1079" s="2" t="str">
        <x:v>CHECK_IN</x:v>
      </x:c>
      <x:c r="F1079" s="8" t="n">
        <x:v>46301.43753472222</x:v>
      </x:c>
      <x:c r="G1079" s="8" t="n">
        <x:v>46301.43755787037</x:v>
      </x:c>
      <x:c r="H1079" s="2" t="str">
        <x:v>SCH01</x:v>
      </x:c>
      <x:c r="I1079" s="9" t="n">
        <x:v>25.285</x:v>
      </x:c>
      <x:c r="J1079" s="9" t="n">
        <x:v>51.51</x:v>
      </x:c>
      <x:c r="K1079" s="2" t="n">
        <x:v>8</x:v>
      </x:c>
      <x:c r="L1079" s="2" t="str">
        <x:v>Valid</x:v>
      </x:c>
      <x:c r="M1079" s="2" t="str">
        <x:v>QR</x:v>
      </x:c>
      <x:c r="N1079" s="2" t="n">
        <x:v>1</x:v>
      </x:c>
      <x:c r="O1079" s="2" t="str">
        <x:v>Accepted</x:v>
      </x:c>
      <x:c r="P1079" s="2" t="str">
        <x:v>S001</x:v>
      </x:c>
      <x:c r="Q1079" s="2" t="str">
        <x:v>DEV001</x:v>
      </x:c>
      <x:c r="R1079" s="2" t="n">
        <x:v>2</x:v>
      </x:c>
      <x:c r="S1079" s="2" t="str">
        <x:v>Online</x:v>
      </x:c>
      <x:c r="T1079" s="2" t="str">
        <x:v>Synced</x:v>
      </x:c>
    </x:row>
    <x:row r="1080" ht="21" customHeight="1">
      <x:c r="A1080" s="2" t="str">
        <x:v>EV001157</x:v>
      </x:c>
      <x:c r="B1080" s="2" t="str">
        <x:v>T20261006-2-2</x:v>
      </x:c>
      <x:c r="C1080" s="2" t="str">
        <x:v>ST042</x:v>
      </x:c>
      <x:c r="D1080" s="2" t="str">
        <x:v>9cf3254a8e8c8233e36089501cd1bc60</x:v>
      </x:c>
      <x:c r="E1080" s="2" t="str">
        <x:v>CHECK_IN</x:v>
      </x:c>
      <x:c r="F1080" s="8" t="n">
        <x:v>46301.43753472222</x:v>
      </x:c>
      <x:c r="G1080" s="8" t="n">
        <x:v>46301.43755787037</x:v>
      </x:c>
      <x:c r="H1080" s="2" t="str">
        <x:v>SCH01</x:v>
      </x:c>
      <x:c r="I1080" s="9" t="n">
        <x:v>25.285</x:v>
      </x:c>
      <x:c r="J1080" s="9" t="n">
        <x:v>51.51</x:v>
      </x:c>
      <x:c r="K1080" s="2" t="n">
        <x:v>8</x:v>
      </x:c>
      <x:c r="L1080" s="2" t="str">
        <x:v>Valid</x:v>
      </x:c>
      <x:c r="M1080" s="2" t="str">
        <x:v>QR</x:v>
      </x:c>
      <x:c r="N1080" s="2" t="n">
        <x:v>1</x:v>
      </x:c>
      <x:c r="O1080" s="2" t="str">
        <x:v>Accepted</x:v>
      </x:c>
      <x:c r="P1080" s="2" t="str">
        <x:v>S002</x:v>
      </x:c>
      <x:c r="Q1080" s="2" t="str">
        <x:v>DEV002</x:v>
      </x:c>
      <x:c r="R1080" s="2" t="n">
        <x:v>2</x:v>
      </x:c>
      <x:c r="S1080" s="2" t="str">
        <x:v>Online</x:v>
      </x:c>
      <x:c r="T1080" s="2" t="str">
        <x:v>Synced</x:v>
      </x:c>
    </x:row>
    <x:row r="1081" ht="21" customHeight="1">
      <x:c r="A1081" s="2" t="str">
        <x:v>EV001317</x:v>
      </x:c>
      <x:c r="B1081" s="2" t="str">
        <x:v>T20261006-2-3</x:v>
      </x:c>
      <x:c r="C1081" s="2" t="str">
        <x:v>ST082</x:v>
      </x:c>
      <x:c r="D1081" s="2" t="str">
        <x:v>fb7e28e2da3ace738571a6966bcaaec0</x:v>
      </x:c>
      <x:c r="E1081" s="2" t="str">
        <x:v>CHECK_IN</x:v>
      </x:c>
      <x:c r="F1081" s="8" t="n">
        <x:v>46301.43753472222</x:v>
      </x:c>
      <x:c r="G1081" s="8" t="n">
        <x:v>46301.43755787037</x:v>
      </x:c>
      <x:c r="H1081" s="2" t="str">
        <x:v>SCH01</x:v>
      </x:c>
      <x:c r="I1081" s="9" t="n">
        <x:v>25.285</x:v>
      </x:c>
      <x:c r="J1081" s="9" t="n">
        <x:v>51.51</x:v>
      </x:c>
      <x:c r="K1081" s="2" t="n">
        <x:v>8</x:v>
      </x:c>
      <x:c r="L1081" s="2" t="str">
        <x:v>Valid</x:v>
      </x:c>
      <x:c r="M1081" s="2" t="str">
        <x:v>QR</x:v>
      </x:c>
      <x:c r="N1081" s="2" t="n">
        <x:v>1</x:v>
      </x:c>
      <x:c r="O1081" s="2" t="str">
        <x:v>Accepted</x:v>
      </x:c>
      <x:c r="P1081" s="2" t="str">
        <x:v>S003</x:v>
      </x:c>
      <x:c r="Q1081" s="2" t="str">
        <x:v>DEV003</x:v>
      </x:c>
      <x:c r="R1081" s="2" t="n">
        <x:v>2</x:v>
      </x:c>
      <x:c r="S1081" s="2" t="str">
        <x:v>Online</x:v>
      </x:c>
      <x:c r="T1081" s="2" t="str">
        <x:v>Synced</x:v>
      </x:c>
    </x:row>
    <x:row r="1082" ht="21" customHeight="1">
      <x:c r="A1082" s="2" t="str">
        <x:v>EV000999</x:v>
      </x:c>
      <x:c r="B1082" s="2" t="str">
        <x:v>T20261006-2-1</x:v>
      </x:c>
      <x:c r="C1082" s="2" t="str">
        <x:v>ST003</x:v>
      </x:c>
      <x:c r="D1082" s="2" t="str">
        <x:v>7598e98213cb52db1085c9a94fae1915</x:v>
      </x:c>
      <x:c r="E1082" s="2" t="str">
        <x:v>CHECK_IN</x:v>
      </x:c>
      <x:c r="F1082" s="8" t="n">
        <x:v>46301.437569444446</x:v>
      </x:c>
      <x:c r="G1082" s="8" t="n">
        <x:v>46301.43759259259</x:v>
      </x:c>
      <x:c r="H1082" s="2" t="str">
        <x:v>SCH01</x:v>
      </x:c>
      <x:c r="I1082" s="9" t="n">
        <x:v>25.285</x:v>
      </x:c>
      <x:c r="J1082" s="9" t="n">
        <x:v>51.51</x:v>
      </x:c>
      <x:c r="K1082" s="2" t="n">
        <x:v>8</x:v>
      </x:c>
      <x:c r="L1082" s="2" t="str">
        <x:v>Valid</x:v>
      </x:c>
      <x:c r="M1082" s="2" t="str">
        <x:v>QR</x:v>
      </x:c>
      <x:c r="N1082" s="2" t="n">
        <x:v>1</x:v>
      </x:c>
      <x:c r="O1082" s="2" t="str">
        <x:v>Accepted</x:v>
      </x:c>
      <x:c r="P1082" s="2" t="str">
        <x:v>S001</x:v>
      </x:c>
      <x:c r="Q1082" s="2" t="str">
        <x:v>DEV001</x:v>
      </x:c>
      <x:c r="R1082" s="2" t="n">
        <x:v>3</x:v>
      </x:c>
      <x:c r="S1082" s="2" t="str">
        <x:v>Online</x:v>
      </x:c>
      <x:c r="T1082" s="2" t="str">
        <x:v>Synced</x:v>
      </x:c>
    </x:row>
    <x:row r="1083" ht="21" customHeight="1">
      <x:c r="A1083" s="2" t="str">
        <x:v>EV001159</x:v>
      </x:c>
      <x:c r="B1083" s="2" t="str">
        <x:v>T20261006-2-2</x:v>
      </x:c>
      <x:c r="C1083" s="2" t="str">
        <x:v>ST043</x:v>
      </x:c>
      <x:c r="D1083" s="2" t="str">
        <x:v>db51093fe9dac44d59345ee12f7e9c56</x:v>
      </x:c>
      <x:c r="E1083" s="2" t="str">
        <x:v>CHECK_IN</x:v>
      </x:c>
      <x:c r="F1083" s="8" t="n">
        <x:v>46301.437569444446</x:v>
      </x:c>
      <x:c r="G1083" s="8" t="n">
        <x:v>46301.43759259259</x:v>
      </x:c>
      <x:c r="H1083" s="2" t="str">
        <x:v>SCH01</x:v>
      </x:c>
      <x:c r="I1083" s="9" t="n">
        <x:v>25.285</x:v>
      </x:c>
      <x:c r="J1083" s="9" t="n">
        <x:v>51.51</x:v>
      </x:c>
      <x:c r="K1083" s="2" t="n">
        <x:v>8</x:v>
      </x:c>
      <x:c r="L1083" s="2" t="str">
        <x:v>Valid</x:v>
      </x:c>
      <x:c r="M1083" s="2" t="str">
        <x:v>QR</x:v>
      </x:c>
      <x:c r="N1083" s="2" t="n">
        <x:v>1</x:v>
      </x:c>
      <x:c r="O1083" s="2" t="str">
        <x:v>Accepted</x:v>
      </x:c>
      <x:c r="P1083" s="2" t="str">
        <x:v>S002</x:v>
      </x:c>
      <x:c r="Q1083" s="2" t="str">
        <x:v>DEV002</x:v>
      </x:c>
      <x:c r="R1083" s="2" t="n">
        <x:v>3</x:v>
      </x:c>
      <x:c r="S1083" s="2" t="str">
        <x:v>Online</x:v>
      </x:c>
      <x:c r="T1083" s="2" t="str">
        <x:v>Synced</x:v>
      </x:c>
    </x:row>
    <x:row r="1084" ht="21" customHeight="1">
      <x:c r="A1084" s="2" t="str">
        <x:v>EV001319</x:v>
      </x:c>
      <x:c r="B1084" s="2" t="str">
        <x:v>T20261006-2-3</x:v>
      </x:c>
      <x:c r="C1084" s="2" t="str">
        <x:v>ST083</x:v>
      </x:c>
      <x:c r="D1084" s="2" t="str">
        <x:v>19cc474730ce4d97be031814010d13a9</x:v>
      </x:c>
      <x:c r="E1084" s="2" t="str">
        <x:v>CHECK_IN</x:v>
      </x:c>
      <x:c r="F1084" s="8" t="n">
        <x:v>46301.437569444446</x:v>
      </x:c>
      <x:c r="G1084" s="8" t="n">
        <x:v>46301.43759259259</x:v>
      </x:c>
      <x:c r="H1084" s="2" t="str">
        <x:v>SCH01</x:v>
      </x:c>
      <x:c r="I1084" s="9" t="n">
        <x:v>25.285</x:v>
      </x:c>
      <x:c r="J1084" s="9" t="n">
        <x:v>51.51</x:v>
      </x:c>
      <x:c r="K1084" s="2" t="n">
        <x:v>8</x:v>
      </x:c>
      <x:c r="L1084" s="2" t="str">
        <x:v>Valid</x:v>
      </x:c>
      <x:c r="M1084" s="2" t="str">
        <x:v>QR</x:v>
      </x:c>
      <x:c r="N1084" s="2" t="n">
        <x:v>1</x:v>
      </x:c>
      <x:c r="O1084" s="2" t="str">
        <x:v>Accepted</x:v>
      </x:c>
      <x:c r="P1084" s="2" t="str">
        <x:v>S003</x:v>
      </x:c>
      <x:c r="Q1084" s="2" t="str">
        <x:v>DEV003</x:v>
      </x:c>
      <x:c r="R1084" s="2" t="n">
        <x:v>3</x:v>
      </x:c>
      <x:c r="S1084" s="2" t="str">
        <x:v>Online</x:v>
      </x:c>
      <x:c r="T1084" s="2" t="str">
        <x:v>Synced</x:v>
      </x:c>
    </x:row>
    <x:row r="1085" ht="21" customHeight="1">
      <x:c r="A1085" s="2" t="str">
        <x:v>EV001001</x:v>
      </x:c>
      <x:c r="B1085" s="2" t="str">
        <x:v>T20261006-2-1</x:v>
      </x:c>
      <x:c r="C1085" s="2" t="str">
        <x:v>ST004</x:v>
      </x:c>
      <x:c r="D1085" s="2" t="str">
        <x:v>7dee56e67101a0dd8483e1503eba9a72</x:v>
      </x:c>
      <x:c r="E1085" s="2" t="str">
        <x:v>CHECK_IN</x:v>
      </x:c>
      <x:c r="F1085" s="8" t="n">
        <x:v>46301.43760416667</x:v>
      </x:c>
      <x:c r="G1085" s="8" t="n">
        <x:v>46301.437627314815</x:v>
      </x:c>
      <x:c r="H1085" s="2" t="str">
        <x:v>SCH01</x:v>
      </x:c>
      <x:c r="I1085" s="9" t="n">
        <x:v>25.285</x:v>
      </x:c>
      <x:c r="J1085" s="9" t="n">
        <x:v>51.51</x:v>
      </x:c>
      <x:c r="K1085" s="2" t="n">
        <x:v>8</x:v>
      </x:c>
      <x:c r="L1085" s="2" t="str">
        <x:v>Valid</x:v>
      </x:c>
      <x:c r="M1085" s="2" t="str">
        <x:v>QR</x:v>
      </x:c>
      <x:c r="N1085" s="2" t="n">
        <x:v>1</x:v>
      </x:c>
      <x:c r="O1085" s="2" t="str">
        <x:v>Accepted</x:v>
      </x:c>
      <x:c r="P1085" s="2" t="str">
        <x:v>S001</x:v>
      </x:c>
      <x:c r="Q1085" s="2" t="str">
        <x:v>DEV001</x:v>
      </x:c>
      <x:c r="R1085" s="2" t="n">
        <x:v>4</x:v>
      </x:c>
      <x:c r="S1085" s="2" t="str">
        <x:v>Online</x:v>
      </x:c>
      <x:c r="T1085" s="2" t="str">
        <x:v>Synced</x:v>
      </x:c>
    </x:row>
    <x:row r="1086" ht="21" customHeight="1">
      <x:c r="A1086" s="2" t="str">
        <x:v>EV001161</x:v>
      </x:c>
      <x:c r="B1086" s="2" t="str">
        <x:v>T20261006-2-2</x:v>
      </x:c>
      <x:c r="C1086" s="2" t="str">
        <x:v>ST044</x:v>
      </x:c>
      <x:c r="D1086" s="2" t="str">
        <x:v>638b036dff08260bc8976402fb10157a</x:v>
      </x:c>
      <x:c r="E1086" s="2" t="str">
        <x:v>CHECK_IN</x:v>
      </x:c>
      <x:c r="F1086" s="8" t="n">
        <x:v>46301.43760416667</x:v>
      </x:c>
      <x:c r="G1086" s="8" t="n">
        <x:v>46301.437627314815</x:v>
      </x:c>
      <x:c r="H1086" s="2" t="str">
        <x:v>SCH01</x:v>
      </x:c>
      <x:c r="I1086" s="9" t="n">
        <x:v>25.285</x:v>
      </x:c>
      <x:c r="J1086" s="9" t="n">
        <x:v>51.51</x:v>
      </x:c>
      <x:c r="K1086" s="2" t="n">
        <x:v>8</x:v>
      </x:c>
      <x:c r="L1086" s="2" t="str">
        <x:v>Valid</x:v>
      </x:c>
      <x:c r="M1086" s="2" t="str">
        <x:v>QR</x:v>
      </x:c>
      <x:c r="N1086" s="2" t="n">
        <x:v>1</x:v>
      </x:c>
      <x:c r="O1086" s="2" t="str">
        <x:v>Accepted</x:v>
      </x:c>
      <x:c r="P1086" s="2" t="str">
        <x:v>S002</x:v>
      </x:c>
      <x:c r="Q1086" s="2" t="str">
        <x:v>DEV002</x:v>
      </x:c>
      <x:c r="R1086" s="2" t="n">
        <x:v>4</x:v>
      </x:c>
      <x:c r="S1086" s="2" t="str">
        <x:v>Online</x:v>
      </x:c>
      <x:c r="T1086" s="2" t="str">
        <x:v>Synced</x:v>
      </x:c>
    </x:row>
    <x:row r="1087" ht="21" customHeight="1">
      <x:c r="A1087" s="2" t="str">
        <x:v>EV001321</x:v>
      </x:c>
      <x:c r="B1087" s="2" t="str">
        <x:v>T20261006-2-3</x:v>
      </x:c>
      <x:c r="C1087" s="2" t="str">
        <x:v>ST084</x:v>
      </x:c>
      <x:c r="D1087" s="2" t="str">
        <x:v>2f6163b722feb8421b83fd278ee72e5c</x:v>
      </x:c>
      <x:c r="E1087" s="2" t="str">
        <x:v>CHECK_IN</x:v>
      </x:c>
      <x:c r="F1087" s="8" t="n">
        <x:v>46301.43760416667</x:v>
      </x:c>
      <x:c r="G1087" s="8" t="n">
        <x:v>46301.437627314815</x:v>
      </x:c>
      <x:c r="H1087" s="2" t="str">
        <x:v>SCH01</x:v>
      </x:c>
      <x:c r="I1087" s="9" t="n">
        <x:v>25.285</x:v>
      </x:c>
      <x:c r="J1087" s="9" t="n">
        <x:v>51.51</x:v>
      </x:c>
      <x:c r="K1087" s="2" t="n">
        <x:v>8</x:v>
      </x:c>
      <x:c r="L1087" s="2" t="str">
        <x:v>Valid</x:v>
      </x:c>
      <x:c r="M1087" s="2" t="str">
        <x:v>QR</x:v>
      </x:c>
      <x:c r="N1087" s="2" t="n">
        <x:v>1</x:v>
      </x:c>
      <x:c r="O1087" s="2" t="str">
        <x:v>Accepted</x:v>
      </x:c>
      <x:c r="P1087" s="2" t="str">
        <x:v>S003</x:v>
      </x:c>
      <x:c r="Q1087" s="2" t="str">
        <x:v>DEV003</x:v>
      </x:c>
      <x:c r="R1087" s="2" t="n">
        <x:v>4</x:v>
      </x:c>
      <x:c r="S1087" s="2" t="str">
        <x:v>Online</x:v>
      </x:c>
      <x:c r="T1087" s="2" t="str">
        <x:v>Synced</x:v>
      </x:c>
    </x:row>
    <x:row r="1088" ht="21" customHeight="1">
      <x:c r="A1088" s="2" t="str">
        <x:v>EV001003</x:v>
      </x:c>
      <x:c r="B1088" s="2" t="str">
        <x:v>T20261006-2-1</x:v>
      </x:c>
      <x:c r="C1088" s="2" t="str">
        <x:v>ST005</x:v>
      </x:c>
      <x:c r="D1088" s="2" t="str">
        <x:v>426727a8a0b9d51694a399a005c786cf</x:v>
      </x:c>
      <x:c r="E1088" s="2" t="str">
        <x:v>CHECK_IN</x:v>
      </x:c>
      <x:c r="F1088" s="8" t="n">
        <x:v>46301.43763888889</x:v>
      </x:c>
      <x:c r="G1088" s="8" t="n">
        <x:v>46301.43766203704</x:v>
      </x:c>
      <x:c r="H1088" s="2" t="str">
        <x:v>SCH01</x:v>
      </x:c>
      <x:c r="I1088" s="9" t="n">
        <x:v>25.285</x:v>
      </x:c>
      <x:c r="J1088" s="9" t="n">
        <x:v>51.51</x:v>
      </x:c>
      <x:c r="K1088" s="2" t="n">
        <x:v>8</x:v>
      </x:c>
      <x:c r="L1088" s="2" t="str">
        <x:v>Valid</x:v>
      </x:c>
      <x:c r="M1088" s="2" t="str">
        <x:v>QR</x:v>
      </x:c>
      <x:c r="N1088" s="2" t="n">
        <x:v>1</x:v>
      </x:c>
      <x:c r="O1088" s="2" t="str">
        <x:v>Accepted</x:v>
      </x:c>
      <x:c r="P1088" s="2" t="str">
        <x:v>S001</x:v>
      </x:c>
      <x:c r="Q1088" s="2" t="str">
        <x:v>DEV001</x:v>
      </x:c>
      <x:c r="R1088" s="2" t="n">
        <x:v>5</x:v>
      </x:c>
      <x:c r="S1088" s="2" t="str">
        <x:v>Online</x:v>
      </x:c>
      <x:c r="T1088" s="2" t="str">
        <x:v>Synced</x:v>
      </x:c>
    </x:row>
    <x:row r="1089" ht="21" customHeight="1">
      <x:c r="A1089" s="2" t="str">
        <x:v>EV001163</x:v>
      </x:c>
      <x:c r="B1089" s="2" t="str">
        <x:v>T20261006-2-2</x:v>
      </x:c>
      <x:c r="C1089" s="2" t="str">
        <x:v>ST045</x:v>
      </x:c>
      <x:c r="D1089" s="2" t="str">
        <x:v>10d8df8a06a7c869bcaa1adbc88c05bc</x:v>
      </x:c>
      <x:c r="E1089" s="2" t="str">
        <x:v>CHECK_IN</x:v>
      </x:c>
      <x:c r="F1089" s="8" t="n">
        <x:v>46301.43763888889</x:v>
      </x:c>
      <x:c r="G1089" s="8" t="n">
        <x:v>46301.43766203704</x:v>
      </x:c>
      <x:c r="H1089" s="2" t="str">
        <x:v>SCH01</x:v>
      </x:c>
      <x:c r="I1089" s="9" t="n">
        <x:v>25.285</x:v>
      </x:c>
      <x:c r="J1089" s="9" t="n">
        <x:v>51.51</x:v>
      </x:c>
      <x:c r="K1089" s="2" t="n">
        <x:v>8</x:v>
      </x:c>
      <x:c r="L1089" s="2" t="str">
        <x:v>Valid</x:v>
      </x:c>
      <x:c r="M1089" s="2" t="str">
        <x:v>QR</x:v>
      </x:c>
      <x:c r="N1089" s="2" t="n">
        <x:v>1</x:v>
      </x:c>
      <x:c r="O1089" s="2" t="str">
        <x:v>Accepted</x:v>
      </x:c>
      <x:c r="P1089" s="2" t="str">
        <x:v>S002</x:v>
      </x:c>
      <x:c r="Q1089" s="2" t="str">
        <x:v>DEV002</x:v>
      </x:c>
      <x:c r="R1089" s="2" t="n">
        <x:v>5</x:v>
      </x:c>
      <x:c r="S1089" s="2" t="str">
        <x:v>Online</x:v>
      </x:c>
      <x:c r="T1089" s="2" t="str">
        <x:v>Synced</x:v>
      </x:c>
    </x:row>
    <x:row r="1090" ht="21" customHeight="1">
      <x:c r="A1090" s="2" t="str">
        <x:v>EV001323</x:v>
      </x:c>
      <x:c r="B1090" s="2" t="str">
        <x:v>T20261006-2-3</x:v>
      </x:c>
      <x:c r="C1090" s="2" t="str">
        <x:v>ST085</x:v>
      </x:c>
      <x:c r="D1090" s="2"/>
      <x:c r="E1090" s="2" t="str">
        <x:v>CHECK_IN</x:v>
      </x:c>
      <x:c r="F1090" s="8" t="n">
        <x:v>46301.43763888889</x:v>
      </x:c>
      <x:c r="G1090" s="8" t="n">
        <x:v>46301.43766203704</x:v>
      </x:c>
      <x:c r="H1090" s="2" t="str">
        <x:v>SCH01</x:v>
      </x:c>
      <x:c r="I1090" s="9" t="n">
        <x:v>25.285</x:v>
      </x:c>
      <x:c r="J1090" s="9" t="n">
        <x:v>51.51</x:v>
      </x:c>
      <x:c r="K1090" s="2" t="n">
        <x:v>8</x:v>
      </x:c>
      <x:c r="L1090" s="2" t="str">
        <x:v>Valid</x:v>
      </x:c>
      <x:c r="M1090" s="2" t="str">
        <x:v>Manual</x:v>
      </x:c>
      <x:c r="N1090" s="2" t="n">
        <x:v>1</x:v>
      </x:c>
      <x:c r="O1090" s="2" t="str">
        <x:v>Accepted</x:v>
      </x:c>
      <x:c r="P1090" s="2" t="str">
        <x:v>S003</x:v>
      </x:c>
      <x:c r="Q1090" s="2" t="str">
        <x:v>DEV003</x:v>
      </x:c>
      <x:c r="R1090" s="2" t="n">
        <x:v>5</x:v>
      </x:c>
      <x:c r="S1090" s="2" t="str">
        <x:v>Online</x:v>
      </x:c>
      <x:c r="T1090" s="2" t="str">
        <x:v>Synced</x:v>
      </x:c>
    </x:row>
    <x:row r="1091" ht="21" customHeight="1">
      <x:c r="A1091" s="2" t="str">
        <x:v>EV001005</x:v>
      </x:c>
      <x:c r="B1091" s="2" t="str">
        <x:v>T20261006-2-1</x:v>
      </x:c>
      <x:c r="C1091" s="2" t="str">
        <x:v>ST006</x:v>
      </x:c>
      <x:c r="D1091" s="2" t="str">
        <x:v>8edd7f2c984bf2eb5adf75591d6f1e9c</x:v>
      </x:c>
      <x:c r="E1091" s="2" t="str">
        <x:v>CHECK_IN</x:v>
      </x:c>
      <x:c r="F1091" s="8" t="n">
        <x:v>46301.43767361111</x:v>
      </x:c>
      <x:c r="G1091" s="8" t="n">
        <x:v>46301.437696759254</x:v>
      </x:c>
      <x:c r="H1091" s="2" t="str">
        <x:v>SCH01</x:v>
      </x:c>
      <x:c r="I1091" s="9" t="n">
        <x:v>25.285</x:v>
      </x:c>
      <x:c r="J1091" s="9" t="n">
        <x:v>51.51</x:v>
      </x:c>
      <x:c r="K1091" s="2" t="n">
        <x:v>8</x:v>
      </x:c>
      <x:c r="L1091" s="2" t="str">
        <x:v>Valid</x:v>
      </x:c>
      <x:c r="M1091" s="2" t="str">
        <x:v>QR</x:v>
      </x:c>
      <x:c r="N1091" s="2" t="n">
        <x:v>1</x:v>
      </x:c>
      <x:c r="O1091" s="2" t="str">
        <x:v>Accepted</x:v>
      </x:c>
      <x:c r="P1091" s="2" t="str">
        <x:v>S001</x:v>
      </x:c>
      <x:c r="Q1091" s="2" t="str">
        <x:v>DEV001</x:v>
      </x:c>
      <x:c r="R1091" s="2" t="n">
        <x:v>6</x:v>
      </x:c>
      <x:c r="S1091" s="2" t="str">
        <x:v>Online</x:v>
      </x:c>
      <x:c r="T1091" s="2" t="str">
        <x:v>Synced</x:v>
      </x:c>
    </x:row>
    <x:row r="1092" ht="21" customHeight="1">
      <x:c r="A1092" s="2" t="str">
        <x:v>EV001165</x:v>
      </x:c>
      <x:c r="B1092" s="2" t="str">
        <x:v>T20261006-2-2</x:v>
      </x:c>
      <x:c r="C1092" s="2" t="str">
        <x:v>ST046</x:v>
      </x:c>
      <x:c r="D1092" s="2" t="str">
        <x:v>82365992d443d056f10fa7522ac29057</x:v>
      </x:c>
      <x:c r="E1092" s="2" t="str">
        <x:v>CHECK_IN</x:v>
      </x:c>
      <x:c r="F1092" s="8" t="n">
        <x:v>46301.43767361111</x:v>
      </x:c>
      <x:c r="G1092" s="8" t="n">
        <x:v>46301.437696759254</x:v>
      </x:c>
      <x:c r="H1092" s="2" t="str">
        <x:v>SCH01</x:v>
      </x:c>
      <x:c r="I1092" s="9" t="n">
        <x:v>25.285</x:v>
      </x:c>
      <x:c r="J1092" s="9" t="n">
        <x:v>51.51</x:v>
      </x:c>
      <x:c r="K1092" s="2" t="n">
        <x:v>8</x:v>
      </x:c>
      <x:c r="L1092" s="2" t="str">
        <x:v>Valid</x:v>
      </x:c>
      <x:c r="M1092" s="2" t="str">
        <x:v>QR</x:v>
      </x:c>
      <x:c r="N1092" s="2" t="n">
        <x:v>1</x:v>
      </x:c>
      <x:c r="O1092" s="2" t="str">
        <x:v>Accepted</x:v>
      </x:c>
      <x:c r="P1092" s="2" t="str">
        <x:v>S002</x:v>
      </x:c>
      <x:c r="Q1092" s="2" t="str">
        <x:v>DEV002</x:v>
      </x:c>
      <x:c r="R1092" s="2" t="n">
        <x:v>6</x:v>
      </x:c>
      <x:c r="S1092" s="2" t="str">
        <x:v>Online</x:v>
      </x:c>
      <x:c r="T1092" s="2" t="str">
        <x:v>Synced</x:v>
      </x:c>
    </x:row>
    <x:row r="1093" ht="21" customHeight="1">
      <x:c r="A1093" s="2" t="str">
        <x:v>EV001325</x:v>
      </x:c>
      <x:c r="B1093" s="2" t="str">
        <x:v>T20261006-2-3</x:v>
      </x:c>
      <x:c r="C1093" s="2" t="str">
        <x:v>ST086</x:v>
      </x:c>
      <x:c r="D1093" s="2" t="str">
        <x:v>33c5dfd0f17fcbe34d50fd9b0a0c0e5b</x:v>
      </x:c>
      <x:c r="E1093" s="2" t="str">
        <x:v>CHECK_IN</x:v>
      </x:c>
      <x:c r="F1093" s="8" t="n">
        <x:v>46301.43767361111</x:v>
      </x:c>
      <x:c r="G1093" s="8" t="n">
        <x:v>46301.437696759254</x:v>
      </x:c>
      <x:c r="H1093" s="2" t="str">
        <x:v>SCH01</x:v>
      </x:c>
      <x:c r="I1093" s="9" t="n">
        <x:v>25.285</x:v>
      </x:c>
      <x:c r="J1093" s="9" t="n">
        <x:v>51.51</x:v>
      </x:c>
      <x:c r="K1093" s="2" t="n">
        <x:v>8</x:v>
      </x:c>
      <x:c r="L1093" s="2" t="str">
        <x:v>Valid</x:v>
      </x:c>
      <x:c r="M1093" s="2" t="str">
        <x:v>QR</x:v>
      </x:c>
      <x:c r="N1093" s="2" t="n">
        <x:v>1</x:v>
      </x:c>
      <x:c r="O1093" s="2" t="str">
        <x:v>Accepted</x:v>
      </x:c>
      <x:c r="P1093" s="2" t="str">
        <x:v>S003</x:v>
      </x:c>
      <x:c r="Q1093" s="2" t="str">
        <x:v>DEV003</x:v>
      </x:c>
      <x:c r="R1093" s="2" t="n">
        <x:v>6</x:v>
      </x:c>
      <x:c r="S1093" s="2" t="str">
        <x:v>Online</x:v>
      </x:c>
      <x:c r="T1093" s="2" t="str">
        <x:v>Synced</x:v>
      </x:c>
    </x:row>
    <x:row r="1094" ht="21" customHeight="1">
      <x:c r="A1094" s="2" t="str">
        <x:v>EV001007</x:v>
      </x:c>
      <x:c r="B1094" s="2" t="str">
        <x:v>T20261006-2-1</x:v>
      </x:c>
      <x:c r="C1094" s="2" t="str">
        <x:v>ST007</x:v>
      </x:c>
      <x:c r="D1094" s="2" t="str">
        <x:v>2376173ab02a96d9b58d44caf4008dfd</x:v>
      </x:c>
      <x:c r="E1094" s="2" t="str">
        <x:v>CHECK_IN</x:v>
      </x:c>
      <x:c r="F1094" s="8" t="n">
        <x:v>46301.43770833333</x:v>
      </x:c>
      <x:c r="G1094" s="8" t="n">
        <x:v>46301.43773148148</x:v>
      </x:c>
      <x:c r="H1094" s="2" t="str">
        <x:v>SCH01</x:v>
      </x:c>
      <x:c r="I1094" s="9" t="n">
        <x:v>25.285</x:v>
      </x:c>
      <x:c r="J1094" s="9" t="n">
        <x:v>51.51</x:v>
      </x:c>
      <x:c r="K1094" s="2" t="n">
        <x:v>8</x:v>
      </x:c>
      <x:c r="L1094" s="2" t="str">
        <x:v>Valid</x:v>
      </x:c>
      <x:c r="M1094" s="2" t="str">
        <x:v>QR</x:v>
      </x:c>
      <x:c r="N1094" s="2" t="n">
        <x:v>1</x:v>
      </x:c>
      <x:c r="O1094" s="2" t="str">
        <x:v>Accepted</x:v>
      </x:c>
      <x:c r="P1094" s="2" t="str">
        <x:v>S001</x:v>
      </x:c>
      <x:c r="Q1094" s="2" t="str">
        <x:v>DEV001</x:v>
      </x:c>
      <x:c r="R1094" s="2" t="n">
        <x:v>7</x:v>
      </x:c>
      <x:c r="S1094" s="2" t="str">
        <x:v>Online</x:v>
      </x:c>
      <x:c r="T1094" s="2" t="str">
        <x:v>Synced</x:v>
      </x:c>
    </x:row>
    <x:row r="1095" ht="21" customHeight="1">
      <x:c r="A1095" s="2" t="str">
        <x:v>EV001167</x:v>
      </x:c>
      <x:c r="B1095" s="2" t="str">
        <x:v>T20261006-2-2</x:v>
      </x:c>
      <x:c r="C1095" s="2" t="str">
        <x:v>ST047</x:v>
      </x:c>
      <x:c r="D1095" s="2" t="str">
        <x:v>b3f6380a42fb190ae04afac7edee87cd</x:v>
      </x:c>
      <x:c r="E1095" s="2" t="str">
        <x:v>CHECK_IN</x:v>
      </x:c>
      <x:c r="F1095" s="8" t="n">
        <x:v>46301.43770833333</x:v>
      </x:c>
      <x:c r="G1095" s="8" t="n">
        <x:v>46301.43773148148</x:v>
      </x:c>
      <x:c r="H1095" s="2" t="str">
        <x:v>SCH01</x:v>
      </x:c>
      <x:c r="I1095" s="9" t="n">
        <x:v>25.285</x:v>
      </x:c>
      <x:c r="J1095" s="9" t="n">
        <x:v>51.51</x:v>
      </x:c>
      <x:c r="K1095" s="2" t="n">
        <x:v>8</x:v>
      </x:c>
      <x:c r="L1095" s="2" t="str">
        <x:v>Valid</x:v>
      </x:c>
      <x:c r="M1095" s="2" t="str">
        <x:v>QR</x:v>
      </x:c>
      <x:c r="N1095" s="2" t="n">
        <x:v>1</x:v>
      </x:c>
      <x:c r="O1095" s="2" t="str">
        <x:v>Accepted</x:v>
      </x:c>
      <x:c r="P1095" s="2" t="str">
        <x:v>S002</x:v>
      </x:c>
      <x:c r="Q1095" s="2" t="str">
        <x:v>DEV002</x:v>
      </x:c>
      <x:c r="R1095" s="2" t="n">
        <x:v>7</x:v>
      </x:c>
      <x:c r="S1095" s="2" t="str">
        <x:v>Online</x:v>
      </x:c>
      <x:c r="T1095" s="2" t="str">
        <x:v>Synced</x:v>
      </x:c>
    </x:row>
    <x:row r="1096" ht="21" customHeight="1">
      <x:c r="A1096" s="2" t="str">
        <x:v>EV001327</x:v>
      </x:c>
      <x:c r="B1096" s="2" t="str">
        <x:v>T20261006-2-3</x:v>
      </x:c>
      <x:c r="C1096" s="2" t="str">
        <x:v>ST087</x:v>
      </x:c>
      <x:c r="D1096" s="2" t="str">
        <x:v>30243cf46003be06b271950aa5cd47a6</x:v>
      </x:c>
      <x:c r="E1096" s="2" t="str">
        <x:v>CHECK_IN</x:v>
      </x:c>
      <x:c r="F1096" s="8" t="n">
        <x:v>46301.43770833333</x:v>
      </x:c>
      <x:c r="G1096" s="8" t="n">
        <x:v>46301.43773148148</x:v>
      </x:c>
      <x:c r="H1096" s="2" t="str">
        <x:v>SCH01</x:v>
      </x:c>
      <x:c r="I1096" s="9" t="n">
        <x:v>25.285</x:v>
      </x:c>
      <x:c r="J1096" s="9" t="n">
        <x:v>51.51</x:v>
      </x:c>
      <x:c r="K1096" s="2" t="n">
        <x:v>8</x:v>
      </x:c>
      <x:c r="L1096" s="2" t="str">
        <x:v>Valid</x:v>
      </x:c>
      <x:c r="M1096" s="2" t="str">
        <x:v>QR</x:v>
      </x:c>
      <x:c r="N1096" s="2" t="n">
        <x:v>1</x:v>
      </x:c>
      <x:c r="O1096" s="2" t="str">
        <x:v>Accepted</x:v>
      </x:c>
      <x:c r="P1096" s="2" t="str">
        <x:v>S003</x:v>
      </x:c>
      <x:c r="Q1096" s="2" t="str">
        <x:v>DEV003</x:v>
      </x:c>
      <x:c r="R1096" s="2" t="n">
        <x:v>7</x:v>
      </x:c>
      <x:c r="S1096" s="2" t="str">
        <x:v>Online</x:v>
      </x:c>
      <x:c r="T1096" s="2" t="str">
        <x:v>Synced</x:v>
      </x:c>
    </x:row>
    <x:row r="1097" ht="21" customHeight="1">
      <x:c r="A1097" s="2" t="str">
        <x:v>EV001009</x:v>
      </x:c>
      <x:c r="B1097" s="2" t="str">
        <x:v>T20261006-2-1</x:v>
      </x:c>
      <x:c r="C1097" s="2" t="str">
        <x:v>ST008</x:v>
      </x:c>
      <x:c r="D1097" s="2" t="str">
        <x:v>ac4baf5d317844907005c691f401c42d</x:v>
      </x:c>
      <x:c r="E1097" s="2" t="str">
        <x:v>CHECK_IN</x:v>
      </x:c>
      <x:c r="F1097" s="8" t="n">
        <x:v>46301.437743055554</x:v>
      </x:c>
      <x:c r="G1097" s="8" t="n">
        <x:v>46301.4377662037</x:v>
      </x:c>
      <x:c r="H1097" s="2" t="str">
        <x:v>SCH01</x:v>
      </x:c>
      <x:c r="I1097" s="9" t="n">
        <x:v>25.285</x:v>
      </x:c>
      <x:c r="J1097" s="9" t="n">
        <x:v>51.51</x:v>
      </x:c>
      <x:c r="K1097" s="2" t="n">
        <x:v>8</x:v>
      </x:c>
      <x:c r="L1097" s="2" t="str">
        <x:v>Valid</x:v>
      </x:c>
      <x:c r="M1097" s="2" t="str">
        <x:v>QR</x:v>
      </x:c>
      <x:c r="N1097" s="2" t="n">
        <x:v>1</x:v>
      </x:c>
      <x:c r="O1097" s="2" t="str">
        <x:v>Accepted</x:v>
      </x:c>
      <x:c r="P1097" s="2" t="str">
        <x:v>S001</x:v>
      </x:c>
      <x:c r="Q1097" s="2" t="str">
        <x:v>DEV001</x:v>
      </x:c>
      <x:c r="R1097" s="2" t="n">
        <x:v>8</x:v>
      </x:c>
      <x:c r="S1097" s="2" t="str">
        <x:v>Online</x:v>
      </x:c>
      <x:c r="T1097" s="2" t="str">
        <x:v>Synced</x:v>
      </x:c>
    </x:row>
    <x:row r="1098" ht="21" customHeight="1">
      <x:c r="A1098" s="2" t="str">
        <x:v>EV001169</x:v>
      </x:c>
      <x:c r="B1098" s="2" t="str">
        <x:v>T20261006-2-2</x:v>
      </x:c>
      <x:c r="C1098" s="2" t="str">
        <x:v>ST048</x:v>
      </x:c>
      <x:c r="D1098" s="2" t="str">
        <x:v>e3a3009a9bd3946e21f417e93203aa79</x:v>
      </x:c>
      <x:c r="E1098" s="2" t="str">
        <x:v>CHECK_IN</x:v>
      </x:c>
      <x:c r="F1098" s="8" t="n">
        <x:v>46301.437743055554</x:v>
      </x:c>
      <x:c r="G1098" s="8" t="n">
        <x:v>46301.4377662037</x:v>
      </x:c>
      <x:c r="H1098" s="2" t="str">
        <x:v>SCH01</x:v>
      </x:c>
      <x:c r="I1098" s="9" t="n">
        <x:v>25.285</x:v>
      </x:c>
      <x:c r="J1098" s="9" t="n">
        <x:v>51.51</x:v>
      </x:c>
      <x:c r="K1098" s="2" t="n">
        <x:v>8</x:v>
      </x:c>
      <x:c r="L1098" s="2" t="str">
        <x:v>Valid</x:v>
      </x:c>
      <x:c r="M1098" s="2" t="str">
        <x:v>QR</x:v>
      </x:c>
      <x:c r="N1098" s="2" t="n">
        <x:v>1</x:v>
      </x:c>
      <x:c r="O1098" s="2" t="str">
        <x:v>Accepted</x:v>
      </x:c>
      <x:c r="P1098" s="2" t="str">
        <x:v>S002</x:v>
      </x:c>
      <x:c r="Q1098" s="2" t="str">
        <x:v>DEV002</x:v>
      </x:c>
      <x:c r="R1098" s="2" t="n">
        <x:v>8</x:v>
      </x:c>
      <x:c r="S1098" s="2" t="str">
        <x:v>Online</x:v>
      </x:c>
      <x:c r="T1098" s="2" t="str">
        <x:v>Synced</x:v>
      </x:c>
    </x:row>
    <x:row r="1099" ht="21" customHeight="1">
      <x:c r="A1099" s="2" t="str">
        <x:v>EV001329</x:v>
      </x:c>
      <x:c r="B1099" s="2" t="str">
        <x:v>T20261006-2-3</x:v>
      </x:c>
      <x:c r="C1099" s="2" t="str">
        <x:v>ST088</x:v>
      </x:c>
      <x:c r="D1099" s="2" t="str">
        <x:v>b227769e0483e6c28eed8e8d448bfbbe</x:v>
      </x:c>
      <x:c r="E1099" s="2" t="str">
        <x:v>CHECK_IN</x:v>
      </x:c>
      <x:c r="F1099" s="8" t="n">
        <x:v>46301.437743055554</x:v>
      </x:c>
      <x:c r="G1099" s="8" t="n">
        <x:v>46301.4377662037</x:v>
      </x:c>
      <x:c r="H1099" s="2" t="str">
        <x:v>SCH01</x:v>
      </x:c>
      <x:c r="I1099" s="9" t="n">
        <x:v>25.285</x:v>
      </x:c>
      <x:c r="J1099" s="9" t="n">
        <x:v>51.51</x:v>
      </x:c>
      <x:c r="K1099" s="2" t="n">
        <x:v>8</x:v>
      </x:c>
      <x:c r="L1099" s="2" t="str">
        <x:v>Valid</x:v>
      </x:c>
      <x:c r="M1099" s="2" t="str">
        <x:v>QR</x:v>
      </x:c>
      <x:c r="N1099" s="2" t="n">
        <x:v>1</x:v>
      </x:c>
      <x:c r="O1099" s="2" t="str">
        <x:v>Accepted</x:v>
      </x:c>
      <x:c r="P1099" s="2" t="str">
        <x:v>S003</x:v>
      </x:c>
      <x:c r="Q1099" s="2" t="str">
        <x:v>DEV003</x:v>
      </x:c>
      <x:c r="R1099" s="2" t="n">
        <x:v>8</x:v>
      </x:c>
      <x:c r="S1099" s="2" t="str">
        <x:v>Online</x:v>
      </x:c>
      <x:c r="T1099" s="2" t="str">
        <x:v>Synced</x:v>
      </x:c>
    </x:row>
    <x:row r="1100" ht="21" customHeight="1">
      <x:c r="A1100" s="2" t="str">
        <x:v>EV001011</x:v>
      </x:c>
      <x:c r="B1100" s="2" t="str">
        <x:v>T20261006-2-1</x:v>
      </x:c>
      <x:c r="C1100" s="2" t="str">
        <x:v>ST009</x:v>
      </x:c>
      <x:c r="D1100" s="2" t="str">
        <x:v>fdc849f07f4ba12ab82f6bed87d7275d</x:v>
      </x:c>
      <x:c r="E1100" s="2" t="str">
        <x:v>CHECK_IN</x:v>
      </x:c>
      <x:c r="F1100" s="8" t="n">
        <x:v>46301.43777777778</x:v>
      </x:c>
      <x:c r="G1100" s="8" t="n">
        <x:v>46301.43780092592</x:v>
      </x:c>
      <x:c r="H1100" s="2" t="str">
        <x:v>SCH01</x:v>
      </x:c>
      <x:c r="I1100" s="9" t="n">
        <x:v>25.285</x:v>
      </x:c>
      <x:c r="J1100" s="9" t="n">
        <x:v>51.51</x:v>
      </x:c>
      <x:c r="K1100" s="2" t="n">
        <x:v>8</x:v>
      </x:c>
      <x:c r="L1100" s="2" t="str">
        <x:v>Valid</x:v>
      </x:c>
      <x:c r="M1100" s="2" t="str">
        <x:v>QR</x:v>
      </x:c>
      <x:c r="N1100" s="2" t="n">
        <x:v>1</x:v>
      </x:c>
      <x:c r="O1100" s="2" t="str">
        <x:v>Accepted</x:v>
      </x:c>
      <x:c r="P1100" s="2" t="str">
        <x:v>S001</x:v>
      </x:c>
      <x:c r="Q1100" s="2" t="str">
        <x:v>DEV001</x:v>
      </x:c>
      <x:c r="R1100" s="2" t="n">
        <x:v>9</x:v>
      </x:c>
      <x:c r="S1100" s="2" t="str">
        <x:v>Online</x:v>
      </x:c>
      <x:c r="T1100" s="2" t="str">
        <x:v>Synced</x:v>
      </x:c>
    </x:row>
    <x:row r="1101" ht="21" customHeight="1">
      <x:c r="A1101" s="2" t="str">
        <x:v>EV001171</x:v>
      </x:c>
      <x:c r="B1101" s="2" t="str">
        <x:v>T20261006-2-2</x:v>
      </x:c>
      <x:c r="C1101" s="2" t="str">
        <x:v>ST049</x:v>
      </x:c>
      <x:c r="D1101" s="2" t="str">
        <x:v>aac0da9ca028b4b4fe1fc2c1eb298502</x:v>
      </x:c>
      <x:c r="E1101" s="2" t="str">
        <x:v>CHECK_IN</x:v>
      </x:c>
      <x:c r="F1101" s="8" t="n">
        <x:v>46301.43777777778</x:v>
      </x:c>
      <x:c r="G1101" s="8" t="n">
        <x:v>46301.43780092592</x:v>
      </x:c>
      <x:c r="H1101" s="2" t="str">
        <x:v>SCH01</x:v>
      </x:c>
      <x:c r="I1101" s="9" t="n">
        <x:v>25.285</x:v>
      </x:c>
      <x:c r="J1101" s="9" t="n">
        <x:v>51.51</x:v>
      </x:c>
      <x:c r="K1101" s="2" t="n">
        <x:v>8</x:v>
      </x:c>
      <x:c r="L1101" s="2" t="str">
        <x:v>Valid</x:v>
      </x:c>
      <x:c r="M1101" s="2" t="str">
        <x:v>QR</x:v>
      </x:c>
      <x:c r="N1101" s="2" t="n">
        <x:v>1</x:v>
      </x:c>
      <x:c r="O1101" s="2" t="str">
        <x:v>Accepted</x:v>
      </x:c>
      <x:c r="P1101" s="2" t="str">
        <x:v>S002</x:v>
      </x:c>
      <x:c r="Q1101" s="2" t="str">
        <x:v>DEV002</x:v>
      </x:c>
      <x:c r="R1101" s="2" t="n">
        <x:v>9</x:v>
      </x:c>
      <x:c r="S1101" s="2" t="str">
        <x:v>Online</x:v>
      </x:c>
      <x:c r="T1101" s="2" t="str">
        <x:v>Synced</x:v>
      </x:c>
    </x:row>
    <x:row r="1102" ht="21" customHeight="1">
      <x:c r="A1102" s="2" t="str">
        <x:v>EV001331</x:v>
      </x:c>
      <x:c r="B1102" s="2" t="str">
        <x:v>T20261006-2-3</x:v>
      </x:c>
      <x:c r="C1102" s="2" t="str">
        <x:v>ST089</x:v>
      </x:c>
      <x:c r="D1102" s="2" t="str">
        <x:v>0bd697ec3f7c09918d8dd004b5340b03</x:v>
      </x:c>
      <x:c r="E1102" s="2" t="str">
        <x:v>CHECK_IN</x:v>
      </x:c>
      <x:c r="F1102" s="8" t="n">
        <x:v>46301.43777777778</x:v>
      </x:c>
      <x:c r="G1102" s="8" t="n">
        <x:v>46301.43780092592</x:v>
      </x:c>
      <x:c r="H1102" s="2" t="str">
        <x:v>SCH01</x:v>
      </x:c>
      <x:c r="I1102" s="9" t="n">
        <x:v>25.285</x:v>
      </x:c>
      <x:c r="J1102" s="9" t="n">
        <x:v>51.51</x:v>
      </x:c>
      <x:c r="K1102" s="2" t="n">
        <x:v>8</x:v>
      </x:c>
      <x:c r="L1102" s="2" t="str">
        <x:v>Valid</x:v>
      </x:c>
      <x:c r="M1102" s="2" t="str">
        <x:v>QR</x:v>
      </x:c>
      <x:c r="N1102" s="2" t="n">
        <x:v>1</x:v>
      </x:c>
      <x:c r="O1102" s="2" t="str">
        <x:v>Accepted</x:v>
      </x:c>
      <x:c r="P1102" s="2" t="str">
        <x:v>S003</x:v>
      </x:c>
      <x:c r="Q1102" s="2" t="str">
        <x:v>DEV003</x:v>
      </x:c>
      <x:c r="R1102" s="2" t="n">
        <x:v>9</x:v>
      </x:c>
      <x:c r="S1102" s="2" t="str">
        <x:v>Online</x:v>
      </x:c>
      <x:c r="T1102" s="2" t="str">
        <x:v>Synced</x:v>
      </x:c>
    </x:row>
    <x:row r="1103" ht="21" customHeight="1">
      <x:c r="A1103" s="2" t="str">
        <x:v>EV001013</x:v>
      </x:c>
      <x:c r="B1103" s="2" t="str">
        <x:v>T20261006-2-1</x:v>
      </x:c>
      <x:c r="C1103" s="2" t="str">
        <x:v>ST010</x:v>
      </x:c>
      <x:c r="D1103" s="2" t="str">
        <x:v>df6521f6838e149b7b1f3fd27dcbf586</x:v>
      </x:c>
      <x:c r="E1103" s="2" t="str">
        <x:v>CHECK_IN</x:v>
      </x:c>
      <x:c r="F1103" s="8" t="n">
        <x:v>46301.4378125</x:v>
      </x:c>
      <x:c r="G1103" s="8" t="n">
        <x:v>46301.43783564815</x:v>
      </x:c>
      <x:c r="H1103" s="2" t="str">
        <x:v>SCH01</x:v>
      </x:c>
      <x:c r="I1103" s="9" t="n">
        <x:v>25.285</x:v>
      </x:c>
      <x:c r="J1103" s="9" t="n">
        <x:v>51.51</x:v>
      </x:c>
      <x:c r="K1103" s="2" t="n">
        <x:v>8</x:v>
      </x:c>
      <x:c r="L1103" s="2" t="str">
        <x:v>Valid</x:v>
      </x:c>
      <x:c r="M1103" s="2" t="str">
        <x:v>QR</x:v>
      </x:c>
      <x:c r="N1103" s="2" t="n">
        <x:v>1</x:v>
      </x:c>
      <x:c r="O1103" s="2" t="str">
        <x:v>Accepted</x:v>
      </x:c>
      <x:c r="P1103" s="2" t="str">
        <x:v>S001</x:v>
      </x:c>
      <x:c r="Q1103" s="2" t="str">
        <x:v>DEV001</x:v>
      </x:c>
      <x:c r="R1103" s="2" t="n">
        <x:v>10</x:v>
      </x:c>
      <x:c r="S1103" s="2" t="str">
        <x:v>Online</x:v>
      </x:c>
      <x:c r="T1103" s="2" t="str">
        <x:v>Synced</x:v>
      </x:c>
    </x:row>
    <x:row r="1104" ht="21" customHeight="1">
      <x:c r="A1104" s="2" t="str">
        <x:v>EV001173</x:v>
      </x:c>
      <x:c r="B1104" s="2" t="str">
        <x:v>T20261006-2-2</x:v>
      </x:c>
      <x:c r="C1104" s="2" t="str">
        <x:v>ST050</x:v>
      </x:c>
      <x:c r="D1104" s="2" t="str">
        <x:v>ca49474881a6395691ac81bd08684ed6</x:v>
      </x:c>
      <x:c r="E1104" s="2" t="str">
        <x:v>CHECK_IN</x:v>
      </x:c>
      <x:c r="F1104" s="8" t="n">
        <x:v>46301.4378125</x:v>
      </x:c>
      <x:c r="G1104" s="8" t="n">
        <x:v>46301.43783564815</x:v>
      </x:c>
      <x:c r="H1104" s="2" t="str">
        <x:v>SCH01</x:v>
      </x:c>
      <x:c r="I1104" s="9" t="n">
        <x:v>25.285</x:v>
      </x:c>
      <x:c r="J1104" s="9" t="n">
        <x:v>51.51</x:v>
      </x:c>
      <x:c r="K1104" s="2" t="n">
        <x:v>8</x:v>
      </x:c>
      <x:c r="L1104" s="2" t="str">
        <x:v>Valid</x:v>
      </x:c>
      <x:c r="M1104" s="2" t="str">
        <x:v>QR</x:v>
      </x:c>
      <x:c r="N1104" s="2" t="n">
        <x:v>1</x:v>
      </x:c>
      <x:c r="O1104" s="2" t="str">
        <x:v>Accepted</x:v>
      </x:c>
      <x:c r="P1104" s="2" t="str">
        <x:v>S002</x:v>
      </x:c>
      <x:c r="Q1104" s="2" t="str">
        <x:v>DEV002</x:v>
      </x:c>
      <x:c r="R1104" s="2" t="n">
        <x:v>10</x:v>
      </x:c>
      <x:c r="S1104" s="2" t="str">
        <x:v>Online</x:v>
      </x:c>
      <x:c r="T1104" s="2" t="str">
        <x:v>Synced</x:v>
      </x:c>
    </x:row>
    <x:row r="1105" ht="21" customHeight="1">
      <x:c r="A1105" s="2" t="str">
        <x:v>EV001333</x:v>
      </x:c>
      <x:c r="B1105" s="2" t="str">
        <x:v>T20261006-2-3</x:v>
      </x:c>
      <x:c r="C1105" s="2" t="str">
        <x:v>ST090</x:v>
      </x:c>
      <x:c r="D1105" s="2" t="str">
        <x:v>3b91252475551a374010825e1f05642c</x:v>
      </x:c>
      <x:c r="E1105" s="2" t="str">
        <x:v>CHECK_IN</x:v>
      </x:c>
      <x:c r="F1105" s="8" t="n">
        <x:v>46301.4378125</x:v>
      </x:c>
      <x:c r="G1105" s="8" t="n">
        <x:v>46301.43783564815</x:v>
      </x:c>
      <x:c r="H1105" s="2" t="str">
        <x:v>SCH01</x:v>
      </x:c>
      <x:c r="I1105" s="9" t="n">
        <x:v>25.285</x:v>
      </x:c>
      <x:c r="J1105" s="9" t="n">
        <x:v>51.51</x:v>
      </x:c>
      <x:c r="K1105" s="2" t="n">
        <x:v>8</x:v>
      </x:c>
      <x:c r="L1105" s="2" t="str">
        <x:v>Valid</x:v>
      </x:c>
      <x:c r="M1105" s="2" t="str">
        <x:v>QR</x:v>
      </x:c>
      <x:c r="N1105" s="2" t="n">
        <x:v>1</x:v>
      </x:c>
      <x:c r="O1105" s="2" t="str">
        <x:v>Accepted</x:v>
      </x:c>
      <x:c r="P1105" s="2" t="str">
        <x:v>S003</x:v>
      </x:c>
      <x:c r="Q1105" s="2" t="str">
        <x:v>DEV003</x:v>
      </x:c>
      <x:c r="R1105" s="2" t="n">
        <x:v>10</x:v>
      </x:c>
      <x:c r="S1105" s="2" t="str">
        <x:v>Online</x:v>
      </x:c>
      <x:c r="T1105" s="2" t="str">
        <x:v>Synced</x:v>
      </x:c>
    </x:row>
    <x:row r="1106" ht="21" customHeight="1">
      <x:c r="A1106" s="2" t="str">
        <x:v>EV000996</x:v>
      </x:c>
      <x:c r="B1106" s="2" t="str">
        <x:v>T20261006-2-1</x:v>
      </x:c>
      <x:c r="C1106" s="2" t="str">
        <x:v>ST001</x:v>
      </x:c>
      <x:c r="D1106" s="2" t="str">
        <x:v>c33d277e346360e93548e66cbf71eda4</x:v>
      </x:c>
      <x:c r="E1106" s="2" t="str">
        <x:v>CHECK_OUT</x:v>
      </x:c>
      <x:c r="F1106" s="8" t="n">
        <x:v>46301.44930555555</x:v>
      </x:c>
      <x:c r="G1106" s="8" t="n">
        <x:v>46301.4493287037</x:v>
      </x:c>
      <x:c r="H1106" s="2" t="str">
        <x:v>R1S1</x:v>
      </x:c>
      <x:c r="I1106" s="9" t="n">
        <x:v>25.271</x:v>
      </x:c>
      <x:c r="J1106" s="9" t="n">
        <x:v>51.491</x:v>
      </x:c>
      <x:c r="K1106" s="2" t="n">
        <x:v>8</x:v>
      </x:c>
      <x:c r="L1106" s="2" t="str">
        <x:v>Valid</x:v>
      </x:c>
      <x:c r="M1106" s="2" t="str">
        <x:v>QR</x:v>
      </x:c>
      <x:c r="N1106" s="2" t="n">
        <x:v>1</x:v>
      </x:c>
      <x:c r="O1106" s="2" t="str">
        <x:v>Accepted</x:v>
      </x:c>
      <x:c r="P1106" s="2" t="str">
        <x:v>S001</x:v>
      </x:c>
      <x:c r="Q1106" s="2" t="str">
        <x:v>DEV001</x:v>
      </x:c>
      <x:c r="R1106" s="2" t="n">
        <x:v>11</x:v>
      </x:c>
      <x:c r="S1106" s="2" t="str">
        <x:v>Online</x:v>
      </x:c>
      <x:c r="T1106" s="2" t="str">
        <x:v>Synced</x:v>
      </x:c>
    </x:row>
    <x:row r="1107" ht="21" customHeight="1">
      <x:c r="A1107" s="2" t="str">
        <x:v>EV001156</x:v>
      </x:c>
      <x:c r="B1107" s="2" t="str">
        <x:v>T20261006-2-2</x:v>
      </x:c>
      <x:c r="C1107" s="2" t="str">
        <x:v>ST041</x:v>
      </x:c>
      <x:c r="D1107" s="2" t="str">
        <x:v>78597cf805a87b7619460b6ed67f501f</x:v>
      </x:c>
      <x:c r="E1107" s="2" t="str">
        <x:v>CHECK_OUT</x:v>
      </x:c>
      <x:c r="F1107" s="8" t="n">
        <x:v>46301.44930555555</x:v>
      </x:c>
      <x:c r="G1107" s="8" t="n">
        <x:v>46301.4493287037</x:v>
      </x:c>
      <x:c r="H1107" s="2" t="str">
        <x:v>R2S1</x:v>
      </x:c>
      <x:c r="I1107" s="9" t="n">
        <x:v>25.28</x:v>
      </x:c>
      <x:c r="J1107" s="9" t="n">
        <x:v>51.498999999999995</x:v>
      </x:c>
      <x:c r="K1107" s="2" t="n">
        <x:v>8</x:v>
      </x:c>
      <x:c r="L1107" s="2" t="str">
        <x:v>Valid</x:v>
      </x:c>
      <x:c r="M1107" s="2" t="str">
        <x:v>QR</x:v>
      </x:c>
      <x:c r="N1107" s="2" t="n">
        <x:v>1</x:v>
      </x:c>
      <x:c r="O1107" s="2" t="str">
        <x:v>Accepted</x:v>
      </x:c>
      <x:c r="P1107" s="2" t="str">
        <x:v>S002</x:v>
      </x:c>
      <x:c r="Q1107" s="2" t="str">
        <x:v>DEV002</x:v>
      </x:c>
      <x:c r="R1107" s="2" t="n">
        <x:v>11</x:v>
      </x:c>
      <x:c r="S1107" s="2" t="str">
        <x:v>Online</x:v>
      </x:c>
      <x:c r="T1107" s="2" t="str">
        <x:v>Synced</x:v>
      </x:c>
    </x:row>
    <x:row r="1108" ht="21" customHeight="1">
      <x:c r="A1108" s="2" t="str">
        <x:v>EV001316</x:v>
      </x:c>
      <x:c r="B1108" s="2" t="str">
        <x:v>T20261006-2-3</x:v>
      </x:c>
      <x:c r="C1108" s="2" t="str">
        <x:v>ST081</x:v>
      </x:c>
      <x:c r="D1108" s="2" t="str">
        <x:v>8631b63b10b36bffa6456d354db9c08f</x:v>
      </x:c>
      <x:c r="E1108" s="2" t="str">
        <x:v>CHECK_OUT</x:v>
      </x:c>
      <x:c r="F1108" s="8" t="n">
        <x:v>46301.44930555555</x:v>
      </x:c>
      <x:c r="G1108" s="8" t="n">
        <x:v>46301.4493287037</x:v>
      </x:c>
      <x:c r="H1108" s="2" t="str">
        <x:v>R3S1</x:v>
      </x:c>
      <x:c r="I1108" s="9" t="n">
        <x:v>25.289</x:v>
      </x:c>
      <x:c r="J1108" s="9" t="n">
        <x:v>51.507</x:v>
      </x:c>
      <x:c r="K1108" s="2" t="n">
        <x:v>8</x:v>
      </x:c>
      <x:c r="L1108" s="2" t="str">
        <x:v>Valid</x:v>
      </x:c>
      <x:c r="M1108" s="2" t="str">
        <x:v>QR</x:v>
      </x:c>
      <x:c r="N1108" s="2" t="n">
        <x:v>1</x:v>
      </x:c>
      <x:c r="O1108" s="2" t="str">
        <x:v>Accepted</x:v>
      </x:c>
      <x:c r="P1108" s="2" t="str">
        <x:v>S003</x:v>
      </x:c>
      <x:c r="Q1108" s="2" t="str">
        <x:v>DEV003</x:v>
      </x:c>
      <x:c r="R1108" s="2" t="n">
        <x:v>11</x:v>
      </x:c>
      <x:c r="S1108" s="2" t="str">
        <x:v>Online</x:v>
      </x:c>
      <x:c r="T1108" s="2" t="str">
        <x:v>Synced</x:v>
      </x:c>
    </x:row>
    <x:row r="1109" ht="21" customHeight="1">
      <x:c r="A1109" s="2" t="str">
        <x:v>EV001002</x:v>
      </x:c>
      <x:c r="B1109" s="2" t="str">
        <x:v>T20261006-2-1</x:v>
      </x:c>
      <x:c r="C1109" s="2" t="str">
        <x:v>ST004</x:v>
      </x:c>
      <x:c r="D1109" s="2" t="str">
        <x:v>7dee56e67101a0dd8483e1503eba9a72</x:v>
      </x:c>
      <x:c r="E1109" s="2" t="str">
        <x:v>CHECK_OUT</x:v>
      </x:c>
      <x:c r="F1109" s="8" t="n">
        <x:v>46301.44940972222</x:v>
      </x:c>
      <x:c r="G1109" s="8" t="n">
        <x:v>46301.449432870366</x:v>
      </x:c>
      <x:c r="H1109" s="2" t="str">
        <x:v>R1S1</x:v>
      </x:c>
      <x:c r="I1109" s="9" t="n">
        <x:v>25.271</x:v>
      </x:c>
      <x:c r="J1109" s="9" t="n">
        <x:v>51.491</x:v>
      </x:c>
      <x:c r="K1109" s="2" t="n">
        <x:v>8</x:v>
      </x:c>
      <x:c r="L1109" s="2" t="str">
        <x:v>Valid</x:v>
      </x:c>
      <x:c r="M1109" s="2" t="str">
        <x:v>QR</x:v>
      </x:c>
      <x:c r="N1109" s="2" t="n">
        <x:v>1</x:v>
      </x:c>
      <x:c r="O1109" s="2" t="str">
        <x:v>Accepted</x:v>
      </x:c>
      <x:c r="P1109" s="2" t="str">
        <x:v>S001</x:v>
      </x:c>
      <x:c r="Q1109" s="2" t="str">
        <x:v>DEV001</x:v>
      </x:c>
      <x:c r="R1109" s="2" t="n">
        <x:v>12</x:v>
      </x:c>
      <x:c r="S1109" s="2" t="str">
        <x:v>Online</x:v>
      </x:c>
      <x:c r="T1109" s="2" t="str">
        <x:v>Synced</x:v>
      </x:c>
    </x:row>
    <x:row r="1110" ht="21" customHeight="1">
      <x:c r="A1110" s="2" t="str">
        <x:v>EV001162</x:v>
      </x:c>
      <x:c r="B1110" s="2" t="str">
        <x:v>T20261006-2-2</x:v>
      </x:c>
      <x:c r="C1110" s="2" t="str">
        <x:v>ST044</x:v>
      </x:c>
      <x:c r="D1110" s="2" t="str">
        <x:v>638b036dff08260bc8976402fb10157a</x:v>
      </x:c>
      <x:c r="E1110" s="2" t="str">
        <x:v>CHECK_OUT</x:v>
      </x:c>
      <x:c r="F1110" s="8" t="n">
        <x:v>46301.44940972222</x:v>
      </x:c>
      <x:c r="G1110" s="8" t="n">
        <x:v>46301.449432870366</x:v>
      </x:c>
      <x:c r="H1110" s="2" t="str">
        <x:v>R2S1</x:v>
      </x:c>
      <x:c r="I1110" s="9" t="n">
        <x:v>25.28</x:v>
      </x:c>
      <x:c r="J1110" s="9" t="n">
        <x:v>51.498999999999995</x:v>
      </x:c>
      <x:c r="K1110" s="2" t="n">
        <x:v>8</x:v>
      </x:c>
      <x:c r="L1110" s="2" t="str">
        <x:v>Valid</x:v>
      </x:c>
      <x:c r="M1110" s="2" t="str">
        <x:v>QR</x:v>
      </x:c>
      <x:c r="N1110" s="2" t="n">
        <x:v>1</x:v>
      </x:c>
      <x:c r="O1110" s="2" t="str">
        <x:v>Accepted</x:v>
      </x:c>
      <x:c r="P1110" s="2" t="str">
        <x:v>S002</x:v>
      </x:c>
      <x:c r="Q1110" s="2" t="str">
        <x:v>DEV002</x:v>
      </x:c>
      <x:c r="R1110" s="2" t="n">
        <x:v>12</x:v>
      </x:c>
      <x:c r="S1110" s="2" t="str">
        <x:v>Online</x:v>
      </x:c>
      <x:c r="T1110" s="2" t="str">
        <x:v>Synced</x:v>
      </x:c>
    </x:row>
    <x:row r="1111" ht="21" customHeight="1">
      <x:c r="A1111" s="2" t="str">
        <x:v>EV001322</x:v>
      </x:c>
      <x:c r="B1111" s="2" t="str">
        <x:v>T20261006-2-3</x:v>
      </x:c>
      <x:c r="C1111" s="2" t="str">
        <x:v>ST084</x:v>
      </x:c>
      <x:c r="D1111" s="2" t="str">
        <x:v>2f6163b722feb8421b83fd278ee72e5c</x:v>
      </x:c>
      <x:c r="E1111" s="2" t="str">
        <x:v>CHECK_OUT</x:v>
      </x:c>
      <x:c r="F1111" s="8" t="n">
        <x:v>46301.44940972222</x:v>
      </x:c>
      <x:c r="G1111" s="8" t="n">
        <x:v>46301.449432870366</x:v>
      </x:c>
      <x:c r="H1111" s="2" t="str">
        <x:v>R3S1</x:v>
      </x:c>
      <x:c r="I1111" s="9" t="n">
        <x:v>25.289</x:v>
      </x:c>
      <x:c r="J1111" s="9" t="n">
        <x:v>51.507</x:v>
      </x:c>
      <x:c r="K1111" s="2" t="n">
        <x:v>8</x:v>
      </x:c>
      <x:c r="L1111" s="2" t="str">
        <x:v>Valid</x:v>
      </x:c>
      <x:c r="M1111" s="2" t="str">
        <x:v>QR</x:v>
      </x:c>
      <x:c r="N1111" s="2" t="n">
        <x:v>1</x:v>
      </x:c>
      <x:c r="O1111" s="2" t="str">
        <x:v>Accepted</x:v>
      </x:c>
      <x:c r="P1111" s="2" t="str">
        <x:v>S003</x:v>
      </x:c>
      <x:c r="Q1111" s="2" t="str">
        <x:v>DEV003</x:v>
      </x:c>
      <x:c r="R1111" s="2" t="n">
        <x:v>12</x:v>
      </x:c>
      <x:c r="S1111" s="2" t="str">
        <x:v>Online</x:v>
      </x:c>
      <x:c r="T1111" s="2" t="str">
        <x:v>Synced</x:v>
      </x:c>
    </x:row>
    <x:row r="1112" ht="21" customHeight="1">
      <x:c r="A1112" s="2" t="str">
        <x:v>EV001008</x:v>
      </x:c>
      <x:c r="B1112" s="2" t="str">
        <x:v>T20261006-2-1</x:v>
      </x:c>
      <x:c r="C1112" s="2" t="str">
        <x:v>ST007</x:v>
      </x:c>
      <x:c r="D1112" s="2" t="str">
        <x:v>2376173ab02a96d9b58d44caf4008dfd</x:v>
      </x:c>
      <x:c r="E1112" s="2" t="str">
        <x:v>CHECK_OUT</x:v>
      </x:c>
      <x:c r="F1112" s="8" t="n">
        <x:v>46301.44951388888</x:v>
      </x:c>
      <x:c r="G1112" s="8" t="n">
        <x:v>46301.44953703703</x:v>
      </x:c>
      <x:c r="H1112" s="2" t="str">
        <x:v>R1S1</x:v>
      </x:c>
      <x:c r="I1112" s="9" t="n">
        <x:v>25.271</x:v>
      </x:c>
      <x:c r="J1112" s="9" t="n">
        <x:v>51.491</x:v>
      </x:c>
      <x:c r="K1112" s="2" t="n">
        <x:v>8</x:v>
      </x:c>
      <x:c r="L1112" s="2" t="str">
        <x:v>Valid</x:v>
      </x:c>
      <x:c r="M1112" s="2" t="str">
        <x:v>QR</x:v>
      </x:c>
      <x:c r="N1112" s="2" t="n">
        <x:v>1</x:v>
      </x:c>
      <x:c r="O1112" s="2" t="str">
        <x:v>Accepted</x:v>
      </x:c>
      <x:c r="P1112" s="2" t="str">
        <x:v>S001</x:v>
      </x:c>
      <x:c r="Q1112" s="2" t="str">
        <x:v>DEV001</x:v>
      </x:c>
      <x:c r="R1112" s="2" t="n">
        <x:v>13</x:v>
      </x:c>
      <x:c r="S1112" s="2" t="str">
        <x:v>Online</x:v>
      </x:c>
      <x:c r="T1112" s="2" t="str">
        <x:v>Synced</x:v>
      </x:c>
    </x:row>
    <x:row r="1113" ht="21" customHeight="1">
      <x:c r="A1113" s="2" t="str">
        <x:v>EV001168</x:v>
      </x:c>
      <x:c r="B1113" s="2" t="str">
        <x:v>T20261006-2-2</x:v>
      </x:c>
      <x:c r="C1113" s="2" t="str">
        <x:v>ST047</x:v>
      </x:c>
      <x:c r="D1113" s="2" t="str">
        <x:v>b3f6380a42fb190ae04afac7edee87cd</x:v>
      </x:c>
      <x:c r="E1113" s="2" t="str">
        <x:v>CHECK_OUT</x:v>
      </x:c>
      <x:c r="F1113" s="8" t="n">
        <x:v>46301.44951388888</x:v>
      </x:c>
      <x:c r="G1113" s="8" t="n">
        <x:v>46301.44953703703</x:v>
      </x:c>
      <x:c r="H1113" s="2" t="str">
        <x:v>R2S1</x:v>
      </x:c>
      <x:c r="I1113" s="9" t="n">
        <x:v>25.28</x:v>
      </x:c>
      <x:c r="J1113" s="9" t="n">
        <x:v>51.498999999999995</x:v>
      </x:c>
      <x:c r="K1113" s="2" t="n">
        <x:v>8</x:v>
      </x:c>
      <x:c r="L1113" s="2" t="str">
        <x:v>Valid</x:v>
      </x:c>
      <x:c r="M1113" s="2" t="str">
        <x:v>QR</x:v>
      </x:c>
      <x:c r="N1113" s="2" t="n">
        <x:v>1</x:v>
      </x:c>
      <x:c r="O1113" s="2" t="str">
        <x:v>Accepted</x:v>
      </x:c>
      <x:c r="P1113" s="2" t="str">
        <x:v>S002</x:v>
      </x:c>
      <x:c r="Q1113" s="2" t="str">
        <x:v>DEV002</x:v>
      </x:c>
      <x:c r="R1113" s="2" t="n">
        <x:v>13</x:v>
      </x:c>
      <x:c r="S1113" s="2" t="str">
        <x:v>Online</x:v>
      </x:c>
      <x:c r="T1113" s="2" t="str">
        <x:v>Synced</x:v>
      </x:c>
    </x:row>
    <x:row r="1114" ht="21" customHeight="1">
      <x:c r="A1114" s="2" t="str">
        <x:v>EV001328</x:v>
      </x:c>
      <x:c r="B1114" s="2" t="str">
        <x:v>T20261006-2-3</x:v>
      </x:c>
      <x:c r="C1114" s="2" t="str">
        <x:v>ST087</x:v>
      </x:c>
      <x:c r="D1114" s="2" t="str">
        <x:v>30243cf46003be06b271950aa5cd47a6</x:v>
      </x:c>
      <x:c r="E1114" s="2" t="str">
        <x:v>CHECK_OUT</x:v>
      </x:c>
      <x:c r="F1114" s="8" t="n">
        <x:v>46301.44951388888</x:v>
      </x:c>
      <x:c r="G1114" s="8" t="n">
        <x:v>46301.44953703703</x:v>
      </x:c>
      <x:c r="H1114" s="2" t="str">
        <x:v>R3S1</x:v>
      </x:c>
      <x:c r="I1114" s="9" t="n">
        <x:v>25.289</x:v>
      </x:c>
      <x:c r="J1114" s="9" t="n">
        <x:v>51.507</x:v>
      </x:c>
      <x:c r="K1114" s="2" t="n">
        <x:v>8</x:v>
      </x:c>
      <x:c r="L1114" s="2" t="str">
        <x:v>Valid</x:v>
      </x:c>
      <x:c r="M1114" s="2" t="str">
        <x:v>QR</x:v>
      </x:c>
      <x:c r="N1114" s="2" t="n">
        <x:v>1</x:v>
      </x:c>
      <x:c r="O1114" s="2" t="str">
        <x:v>Accepted</x:v>
      </x:c>
      <x:c r="P1114" s="2" t="str">
        <x:v>S003</x:v>
      </x:c>
      <x:c r="Q1114" s="2" t="str">
        <x:v>DEV003</x:v>
      </x:c>
      <x:c r="R1114" s="2" t="n">
        <x:v>13</x:v>
      </x:c>
      <x:c r="S1114" s="2" t="str">
        <x:v>Online</x:v>
      </x:c>
      <x:c r="T1114" s="2" t="str">
        <x:v>Synced</x:v>
      </x:c>
    </x:row>
    <x:row r="1115" ht="21" customHeight="1">
      <x:c r="A1115" s="2" t="str">
        <x:v>EV001014</x:v>
      </x:c>
      <x:c r="B1115" s="2" t="str">
        <x:v>T20261006-2-1</x:v>
      </x:c>
      <x:c r="C1115" s="2" t="str">
        <x:v>ST010</x:v>
      </x:c>
      <x:c r="D1115" s="2" t="str">
        <x:v>df6521f6838e149b7b1f3fd27dcbf586</x:v>
      </x:c>
      <x:c r="E1115" s="2" t="str">
        <x:v>CHECK_OUT</x:v>
      </x:c>
      <x:c r="F1115" s="8" t="n">
        <x:v>46301.44961805555</x:v>
      </x:c>
      <x:c r="G1115" s="8" t="n">
        <x:v>46301.4496412037</x:v>
      </x:c>
      <x:c r="H1115" s="2" t="str">
        <x:v>R1S1</x:v>
      </x:c>
      <x:c r="I1115" s="9" t="n">
        <x:v>25.271</x:v>
      </x:c>
      <x:c r="J1115" s="9" t="n">
        <x:v>51.491</x:v>
      </x:c>
      <x:c r="K1115" s="2" t="n">
        <x:v>8</x:v>
      </x:c>
      <x:c r="L1115" s="2" t="str">
        <x:v>Valid</x:v>
      </x:c>
      <x:c r="M1115" s="2" t="str">
        <x:v>QR</x:v>
      </x:c>
      <x:c r="N1115" s="2" t="n">
        <x:v>1</x:v>
      </x:c>
      <x:c r="O1115" s="2" t="str">
        <x:v>Accepted</x:v>
      </x:c>
      <x:c r="P1115" s="2" t="str">
        <x:v>S001</x:v>
      </x:c>
      <x:c r="Q1115" s="2" t="str">
        <x:v>DEV001</x:v>
      </x:c>
      <x:c r="R1115" s="2" t="n">
        <x:v>14</x:v>
      </x:c>
      <x:c r="S1115" s="2" t="str">
        <x:v>Online</x:v>
      </x:c>
      <x:c r="T1115" s="2" t="str">
        <x:v>Synced</x:v>
      </x:c>
    </x:row>
    <x:row r="1116" ht="21" customHeight="1">
      <x:c r="A1116" s="2" t="str">
        <x:v>EV001174</x:v>
      </x:c>
      <x:c r="B1116" s="2" t="str">
        <x:v>T20261006-2-2</x:v>
      </x:c>
      <x:c r="C1116" s="2" t="str">
        <x:v>ST050</x:v>
      </x:c>
      <x:c r="D1116" s="2" t="str">
        <x:v>ca49474881a6395691ac81bd08684ed6</x:v>
      </x:c>
      <x:c r="E1116" s="2" t="str">
        <x:v>CHECK_OUT</x:v>
      </x:c>
      <x:c r="F1116" s="8" t="n">
        <x:v>46301.44961805555</x:v>
      </x:c>
      <x:c r="G1116" s="8" t="n">
        <x:v>46301.4496412037</x:v>
      </x:c>
      <x:c r="H1116" s="2" t="str">
        <x:v>R2S1</x:v>
      </x:c>
      <x:c r="I1116" s="9" t="n">
        <x:v>25.28</x:v>
      </x:c>
      <x:c r="J1116" s="9" t="n">
        <x:v>51.498999999999995</x:v>
      </x:c>
      <x:c r="K1116" s="2" t="n">
        <x:v>8</x:v>
      </x:c>
      <x:c r="L1116" s="2" t="str">
        <x:v>Valid</x:v>
      </x:c>
      <x:c r="M1116" s="2" t="str">
        <x:v>QR</x:v>
      </x:c>
      <x:c r="N1116" s="2" t="n">
        <x:v>1</x:v>
      </x:c>
      <x:c r="O1116" s="2" t="str">
        <x:v>Accepted</x:v>
      </x:c>
      <x:c r="P1116" s="2" t="str">
        <x:v>S002</x:v>
      </x:c>
      <x:c r="Q1116" s="2" t="str">
        <x:v>DEV002</x:v>
      </x:c>
      <x:c r="R1116" s="2" t="n">
        <x:v>14</x:v>
      </x:c>
      <x:c r="S1116" s="2" t="str">
        <x:v>Online</x:v>
      </x:c>
      <x:c r="T1116" s="2" t="str">
        <x:v>Synced</x:v>
      </x:c>
    </x:row>
    <x:row r="1117" ht="21" customHeight="1">
      <x:c r="A1117" s="2" t="str">
        <x:v>EV001334</x:v>
      </x:c>
      <x:c r="B1117" s="2" t="str">
        <x:v>T20261006-2-3</x:v>
      </x:c>
      <x:c r="C1117" s="2" t="str">
        <x:v>ST090</x:v>
      </x:c>
      <x:c r="D1117" s="2" t="str">
        <x:v>3b91252475551a374010825e1f05642c</x:v>
      </x:c>
      <x:c r="E1117" s="2" t="str">
        <x:v>CHECK_OUT</x:v>
      </x:c>
      <x:c r="F1117" s="8" t="n">
        <x:v>46301.44961805555</x:v>
      </x:c>
      <x:c r="G1117" s="8" t="n">
        <x:v>46301.4496412037</x:v>
      </x:c>
      <x:c r="H1117" s="2" t="str">
        <x:v>R3S1</x:v>
      </x:c>
      <x:c r="I1117" s="9" t="n">
        <x:v>25.289</x:v>
      </x:c>
      <x:c r="J1117" s="9" t="n">
        <x:v>51.507</x:v>
      </x:c>
      <x:c r="K1117" s="2" t="n">
        <x:v>8</x:v>
      </x:c>
      <x:c r="L1117" s="2" t="str">
        <x:v>Valid</x:v>
      </x:c>
      <x:c r="M1117" s="2" t="str">
        <x:v>QR</x:v>
      </x:c>
      <x:c r="N1117" s="2" t="n">
        <x:v>1</x:v>
      </x:c>
      <x:c r="O1117" s="2" t="str">
        <x:v>Accepted</x:v>
      </x:c>
      <x:c r="P1117" s="2" t="str">
        <x:v>S003</x:v>
      </x:c>
      <x:c r="Q1117" s="2" t="str">
        <x:v>DEV003</x:v>
      </x:c>
      <x:c r="R1117" s="2" t="n">
        <x:v>14</x:v>
      </x:c>
      <x:c r="S1117" s="2" t="str">
        <x:v>Online</x:v>
      </x:c>
      <x:c r="T1117" s="2" t="str">
        <x:v>Synced</x:v>
      </x:c>
    </x:row>
    <x:row r="1118" ht="21" customHeight="1">
      <x:c r="A1118" s="2" t="str">
        <x:v>EV000998</x:v>
      </x:c>
      <x:c r="B1118" s="2" t="str">
        <x:v>T20261006-2-1</x:v>
      </x:c>
      <x:c r="C1118" s="2" t="str">
        <x:v>ST002</x:v>
      </x:c>
      <x:c r="D1118" s="2" t="str">
        <x:v>c9302a76d79e524442f3775978bb57a1</x:v>
      </x:c>
      <x:c r="E1118" s="2" t="str">
        <x:v>CHECK_OUT</x:v>
      </x:c>
      <x:c r="F1118" s="8" t="n">
        <x:v>46301.45350694445</x:v>
      </x:c>
      <x:c r="G1118" s="8" t="n">
        <x:v>46301.45353009259</x:v>
      </x:c>
      <x:c r="H1118" s="2" t="str">
        <x:v>R1S2</x:v>
      </x:c>
      <x:c r="I1118" s="9" t="n">
        <x:v>25.273000000000003</x:v>
      </x:c>
      <x:c r="J1118" s="9" t="n">
        <x:v>51.494</x:v>
      </x:c>
      <x:c r="K1118" s="2" t="n">
        <x:v>8</x:v>
      </x:c>
      <x:c r="L1118" s="2" t="str">
        <x:v>Valid</x:v>
      </x:c>
      <x:c r="M1118" s="2" t="str">
        <x:v>QR</x:v>
      </x:c>
      <x:c r="N1118" s="2" t="n">
        <x:v>1</x:v>
      </x:c>
      <x:c r="O1118" s="2" t="str">
        <x:v>Accepted</x:v>
      </x:c>
      <x:c r="P1118" s="2" t="str">
        <x:v>S001</x:v>
      </x:c>
      <x:c r="Q1118" s="2" t="str">
        <x:v>DEV001</x:v>
      </x:c>
      <x:c r="R1118" s="2" t="n">
        <x:v>15</x:v>
      </x:c>
      <x:c r="S1118" s="2" t="str">
        <x:v>Online</x:v>
      </x:c>
      <x:c r="T1118" s="2" t="str">
        <x:v>Synced</x:v>
      </x:c>
    </x:row>
    <x:row r="1119" ht="21" customHeight="1">
      <x:c r="A1119" s="2" t="str">
        <x:v>EV001158</x:v>
      </x:c>
      <x:c r="B1119" s="2" t="str">
        <x:v>T20261006-2-2</x:v>
      </x:c>
      <x:c r="C1119" s="2" t="str">
        <x:v>ST042</x:v>
      </x:c>
      <x:c r="D1119" s="2" t="str">
        <x:v>9cf3254a8e8c8233e36089501cd1bc60</x:v>
      </x:c>
      <x:c r="E1119" s="2" t="str">
        <x:v>CHECK_OUT</x:v>
      </x:c>
      <x:c r="F1119" s="8" t="n">
        <x:v>46301.45350694445</x:v>
      </x:c>
      <x:c r="G1119" s="8" t="n">
        <x:v>46301.45353009259</x:v>
      </x:c>
      <x:c r="H1119" s="2" t="str">
        <x:v>R2S2</x:v>
      </x:c>
      <x:c r="I1119" s="9" t="n">
        <x:v>25.282000000000004</x:v>
      </x:c>
      <x:c r="J1119" s="9" t="n">
        <x:v>51.501999999999995</x:v>
      </x:c>
      <x:c r="K1119" s="2" t="n">
        <x:v>8</x:v>
      </x:c>
      <x:c r="L1119" s="2" t="str">
        <x:v>Valid</x:v>
      </x:c>
      <x:c r="M1119" s="2" t="str">
        <x:v>QR</x:v>
      </x:c>
      <x:c r="N1119" s="2" t="n">
        <x:v>1</x:v>
      </x:c>
      <x:c r="O1119" s="2" t="str">
        <x:v>Accepted</x:v>
      </x:c>
      <x:c r="P1119" s="2" t="str">
        <x:v>S002</x:v>
      </x:c>
      <x:c r="Q1119" s="2" t="str">
        <x:v>DEV002</x:v>
      </x:c>
      <x:c r="R1119" s="2" t="n">
        <x:v>15</x:v>
      </x:c>
      <x:c r="S1119" s="2" t="str">
        <x:v>Online</x:v>
      </x:c>
      <x:c r="T1119" s="2" t="str">
        <x:v>Synced</x:v>
      </x:c>
    </x:row>
    <x:row r="1120" ht="21" customHeight="1">
      <x:c r="A1120" s="2" t="str">
        <x:v>EV001318</x:v>
      </x:c>
      <x:c r="B1120" s="2" t="str">
        <x:v>T20261006-2-3</x:v>
      </x:c>
      <x:c r="C1120" s="2" t="str">
        <x:v>ST082</x:v>
      </x:c>
      <x:c r="D1120" s="2" t="str">
        <x:v>fb7e28e2da3ace738571a6966bcaaec0</x:v>
      </x:c>
      <x:c r="E1120" s="2" t="str">
        <x:v>CHECK_OUT</x:v>
      </x:c>
      <x:c r="F1120" s="8" t="n">
        <x:v>46301.45350694445</x:v>
      </x:c>
      <x:c r="G1120" s="8" t="n">
        <x:v>46301.45353009259</x:v>
      </x:c>
      <x:c r="H1120" s="2" t="str">
        <x:v>R3S2</x:v>
      </x:c>
      <x:c r="I1120" s="9" t="n">
        <x:v>25.291000000000004</x:v>
      </x:c>
      <x:c r="J1120" s="9" t="n">
        <x:v>51.51</x:v>
      </x:c>
      <x:c r="K1120" s="2" t="n">
        <x:v>8</x:v>
      </x:c>
      <x:c r="L1120" s="2" t="str">
        <x:v>Valid</x:v>
      </x:c>
      <x:c r="M1120" s="2" t="str">
        <x:v>QR</x:v>
      </x:c>
      <x:c r="N1120" s="2" t="n">
        <x:v>1</x:v>
      </x:c>
      <x:c r="O1120" s="2" t="str">
        <x:v>Accepted</x:v>
      </x:c>
      <x:c r="P1120" s="2" t="str">
        <x:v>S003</x:v>
      </x:c>
      <x:c r="Q1120" s="2" t="str">
        <x:v>DEV003</x:v>
      </x:c>
      <x:c r="R1120" s="2" t="n">
        <x:v>15</x:v>
      </x:c>
      <x:c r="S1120" s="2" t="str">
        <x:v>Online</x:v>
      </x:c>
      <x:c r="T1120" s="2" t="str">
        <x:v>Synced</x:v>
      </x:c>
    </x:row>
    <x:row r="1121" ht="21" customHeight="1">
      <x:c r="A1121" s="2" t="str">
        <x:v>EV001004</x:v>
      </x:c>
      <x:c r="B1121" s="2" t="str">
        <x:v>T20261006-2-1</x:v>
      </x:c>
      <x:c r="C1121" s="2" t="str">
        <x:v>ST005</x:v>
      </x:c>
      <x:c r="D1121" s="2" t="str">
        <x:v>426727a8a0b9d51694a399a005c786cf</x:v>
      </x:c>
      <x:c r="E1121" s="2" t="str">
        <x:v>CHECK_OUT</x:v>
      </x:c>
      <x:c r="F1121" s="8" t="n">
        <x:v>46301.453611111116</x:v>
      </x:c>
      <x:c r="G1121" s="8" t="n">
        <x:v>46301.45363425926</x:v>
      </x:c>
      <x:c r="H1121" s="2" t="str">
        <x:v>R1S2</x:v>
      </x:c>
      <x:c r="I1121" s="9" t="n">
        <x:v>25.273000000000003</x:v>
      </x:c>
      <x:c r="J1121" s="9" t="n">
        <x:v>51.494</x:v>
      </x:c>
      <x:c r="K1121" s="2" t="n">
        <x:v>8</x:v>
      </x:c>
      <x:c r="L1121" s="2" t="str">
        <x:v>Valid</x:v>
      </x:c>
      <x:c r="M1121" s="2" t="str">
        <x:v>QR</x:v>
      </x:c>
      <x:c r="N1121" s="2" t="n">
        <x:v>1</x:v>
      </x:c>
      <x:c r="O1121" s="2" t="str">
        <x:v>Accepted</x:v>
      </x:c>
      <x:c r="P1121" s="2" t="str">
        <x:v>S001</x:v>
      </x:c>
      <x:c r="Q1121" s="2" t="str">
        <x:v>DEV001</x:v>
      </x:c>
      <x:c r="R1121" s="2" t="n">
        <x:v>16</x:v>
      </x:c>
      <x:c r="S1121" s="2" t="str">
        <x:v>Online</x:v>
      </x:c>
      <x:c r="T1121" s="2" t="str">
        <x:v>Synced</x:v>
      </x:c>
    </x:row>
    <x:row r="1122" ht="21" customHeight="1">
      <x:c r="A1122" s="2" t="str">
        <x:v>EV001164</x:v>
      </x:c>
      <x:c r="B1122" s="2" t="str">
        <x:v>T20261006-2-2</x:v>
      </x:c>
      <x:c r="C1122" s="2" t="str">
        <x:v>ST045</x:v>
      </x:c>
      <x:c r="D1122" s="2" t="str">
        <x:v>10d8df8a06a7c869bcaa1adbc88c05bc</x:v>
      </x:c>
      <x:c r="E1122" s="2" t="str">
        <x:v>CHECK_OUT</x:v>
      </x:c>
      <x:c r="F1122" s="8" t="n">
        <x:v>46301.453611111116</x:v>
      </x:c>
      <x:c r="G1122" s="8" t="n">
        <x:v>46301.45363425926</x:v>
      </x:c>
      <x:c r="H1122" s="2" t="str">
        <x:v>R2S2</x:v>
      </x:c>
      <x:c r="I1122" s="9" t="n">
        <x:v>25.282000000000004</x:v>
      </x:c>
      <x:c r="J1122" s="9" t="n">
        <x:v>51.501999999999995</x:v>
      </x:c>
      <x:c r="K1122" s="2" t="n">
        <x:v>8</x:v>
      </x:c>
      <x:c r="L1122" s="2" t="str">
        <x:v>Valid</x:v>
      </x:c>
      <x:c r="M1122" s="2" t="str">
        <x:v>QR</x:v>
      </x:c>
      <x:c r="N1122" s="2" t="n">
        <x:v>1</x:v>
      </x:c>
      <x:c r="O1122" s="2" t="str">
        <x:v>Accepted</x:v>
      </x:c>
      <x:c r="P1122" s="2" t="str">
        <x:v>S002</x:v>
      </x:c>
      <x:c r="Q1122" s="2" t="str">
        <x:v>DEV002</x:v>
      </x:c>
      <x:c r="R1122" s="2" t="n">
        <x:v>16</x:v>
      </x:c>
      <x:c r="S1122" s="2" t="str">
        <x:v>Online</x:v>
      </x:c>
      <x:c r="T1122" s="2" t="str">
        <x:v>Synced</x:v>
      </x:c>
    </x:row>
    <x:row r="1123" ht="21" customHeight="1">
      <x:c r="A1123" s="2" t="str">
        <x:v>EV001324</x:v>
      </x:c>
      <x:c r="B1123" s="2" t="str">
        <x:v>T20261006-2-3</x:v>
      </x:c>
      <x:c r="C1123" s="2" t="str">
        <x:v>ST085</x:v>
      </x:c>
      <x:c r="D1123" s="2"/>
      <x:c r="E1123" s="2" t="str">
        <x:v>CHECK_OUT</x:v>
      </x:c>
      <x:c r="F1123" s="8" t="n">
        <x:v>46301.453611111116</x:v>
      </x:c>
      <x:c r="G1123" s="8" t="n">
        <x:v>46301.45363425926</x:v>
      </x:c>
      <x:c r="H1123" s="2" t="str">
        <x:v>R3S2</x:v>
      </x:c>
      <x:c r="I1123" s="9" t="n">
        <x:v>25.291000000000004</x:v>
      </x:c>
      <x:c r="J1123" s="9" t="n">
        <x:v>51.51</x:v>
      </x:c>
      <x:c r="K1123" s="2" t="n">
        <x:v>8</x:v>
      </x:c>
      <x:c r="L1123" s="2" t="str">
        <x:v>Valid</x:v>
      </x:c>
      <x:c r="M1123" s="2" t="str">
        <x:v>Manual</x:v>
      </x:c>
      <x:c r="N1123" s="2" t="n">
        <x:v>1</x:v>
      </x:c>
      <x:c r="O1123" s="2" t="str">
        <x:v>Accepted</x:v>
      </x:c>
      <x:c r="P1123" s="2" t="str">
        <x:v>S003</x:v>
      </x:c>
      <x:c r="Q1123" s="2" t="str">
        <x:v>DEV003</x:v>
      </x:c>
      <x:c r="R1123" s="2" t="n">
        <x:v>16</x:v>
      </x:c>
      <x:c r="S1123" s="2" t="str">
        <x:v>Online</x:v>
      </x:c>
      <x:c r="T1123" s="2" t="str">
        <x:v>Synced</x:v>
      </x:c>
    </x:row>
    <x:row r="1124" ht="21" customHeight="1">
      <x:c r="A1124" s="2" t="str">
        <x:v>EV001010</x:v>
      </x:c>
      <x:c r="B1124" s="2" t="str">
        <x:v>T20261006-2-1</x:v>
      </x:c>
      <x:c r="C1124" s="2" t="str">
        <x:v>ST008</x:v>
      </x:c>
      <x:c r="D1124" s="2" t="str">
        <x:v>ac4baf5d317844907005c691f401c42d</x:v>
      </x:c>
      <x:c r="E1124" s="2" t="str">
        <x:v>CHECK_OUT</x:v>
      </x:c>
      <x:c r="F1124" s="8" t="n">
        <x:v>46301.45371527778</x:v>
      </x:c>
      <x:c r="G1124" s="8" t="n">
        <x:v>46301.453738425924</x:v>
      </x:c>
      <x:c r="H1124" s="2" t="str">
        <x:v>R1S2</x:v>
      </x:c>
      <x:c r="I1124" s="9" t="n">
        <x:v>25.273000000000003</x:v>
      </x:c>
      <x:c r="J1124" s="9" t="n">
        <x:v>51.494</x:v>
      </x:c>
      <x:c r="K1124" s="2" t="n">
        <x:v>8</x:v>
      </x:c>
      <x:c r="L1124" s="2" t="str">
        <x:v>Valid</x:v>
      </x:c>
      <x:c r="M1124" s="2" t="str">
        <x:v>QR</x:v>
      </x:c>
      <x:c r="N1124" s="2" t="n">
        <x:v>1</x:v>
      </x:c>
      <x:c r="O1124" s="2" t="str">
        <x:v>Accepted</x:v>
      </x:c>
      <x:c r="P1124" s="2" t="str">
        <x:v>S001</x:v>
      </x:c>
      <x:c r="Q1124" s="2" t="str">
        <x:v>DEV001</x:v>
      </x:c>
      <x:c r="R1124" s="2" t="n">
        <x:v>17</x:v>
      </x:c>
      <x:c r="S1124" s="2" t="str">
        <x:v>Online</x:v>
      </x:c>
      <x:c r="T1124" s="2" t="str">
        <x:v>Synced</x:v>
      </x:c>
    </x:row>
    <x:row r="1125" ht="21" customHeight="1">
      <x:c r="A1125" s="2" t="str">
        <x:v>EV001170</x:v>
      </x:c>
      <x:c r="B1125" s="2" t="str">
        <x:v>T20261006-2-2</x:v>
      </x:c>
      <x:c r="C1125" s="2" t="str">
        <x:v>ST048</x:v>
      </x:c>
      <x:c r="D1125" s="2" t="str">
        <x:v>e3a3009a9bd3946e21f417e93203aa79</x:v>
      </x:c>
      <x:c r="E1125" s="2" t="str">
        <x:v>CHECK_OUT</x:v>
      </x:c>
      <x:c r="F1125" s="8" t="n">
        <x:v>46301.45371527778</x:v>
      </x:c>
      <x:c r="G1125" s="8" t="n">
        <x:v>46301.453738425924</x:v>
      </x:c>
      <x:c r="H1125" s="2" t="str">
        <x:v>R2S2</x:v>
      </x:c>
      <x:c r="I1125" s="9" t="n">
        <x:v>25.282000000000004</x:v>
      </x:c>
      <x:c r="J1125" s="9" t="n">
        <x:v>51.501999999999995</x:v>
      </x:c>
      <x:c r="K1125" s="2" t="n">
        <x:v>8</x:v>
      </x:c>
      <x:c r="L1125" s="2" t="str">
        <x:v>Valid</x:v>
      </x:c>
      <x:c r="M1125" s="2" t="str">
        <x:v>QR</x:v>
      </x:c>
      <x:c r="N1125" s="2" t="n">
        <x:v>1</x:v>
      </x:c>
      <x:c r="O1125" s="2" t="str">
        <x:v>Accepted</x:v>
      </x:c>
      <x:c r="P1125" s="2" t="str">
        <x:v>S002</x:v>
      </x:c>
      <x:c r="Q1125" s="2" t="str">
        <x:v>DEV002</x:v>
      </x:c>
      <x:c r="R1125" s="2" t="n">
        <x:v>17</x:v>
      </x:c>
      <x:c r="S1125" s="2" t="str">
        <x:v>Online</x:v>
      </x:c>
      <x:c r="T1125" s="2" t="str">
        <x:v>Synced</x:v>
      </x:c>
    </x:row>
    <x:row r="1126" ht="21" customHeight="1">
      <x:c r="A1126" s="2" t="str">
        <x:v>EV001330</x:v>
      </x:c>
      <x:c r="B1126" s="2" t="str">
        <x:v>T20261006-2-3</x:v>
      </x:c>
      <x:c r="C1126" s="2" t="str">
        <x:v>ST088</x:v>
      </x:c>
      <x:c r="D1126" s="2" t="str">
        <x:v>b227769e0483e6c28eed8e8d448bfbbe</x:v>
      </x:c>
      <x:c r="E1126" s="2" t="str">
        <x:v>CHECK_OUT</x:v>
      </x:c>
      <x:c r="F1126" s="8" t="n">
        <x:v>46301.45371527778</x:v>
      </x:c>
      <x:c r="G1126" s="8" t="n">
        <x:v>46301.453738425924</x:v>
      </x:c>
      <x:c r="H1126" s="2" t="str">
        <x:v>R3S2</x:v>
      </x:c>
      <x:c r="I1126" s="9" t="n">
        <x:v>25.291000000000004</x:v>
      </x:c>
      <x:c r="J1126" s="9" t="n">
        <x:v>51.51</x:v>
      </x:c>
      <x:c r="K1126" s="2" t="n">
        <x:v>8</x:v>
      </x:c>
      <x:c r="L1126" s="2" t="str">
        <x:v>Valid</x:v>
      </x:c>
      <x:c r="M1126" s="2" t="str">
        <x:v>QR</x:v>
      </x:c>
      <x:c r="N1126" s="2" t="n">
        <x:v>1</x:v>
      </x:c>
      <x:c r="O1126" s="2" t="str">
        <x:v>Accepted</x:v>
      </x:c>
      <x:c r="P1126" s="2" t="str">
        <x:v>S003</x:v>
      </x:c>
      <x:c r="Q1126" s="2" t="str">
        <x:v>DEV003</x:v>
      </x:c>
      <x:c r="R1126" s="2" t="n">
        <x:v>17</x:v>
      </x:c>
      <x:c r="S1126" s="2" t="str">
        <x:v>Online</x:v>
      </x:c>
      <x:c r="T1126" s="2" t="str">
        <x:v>Synced</x:v>
      </x:c>
    </x:row>
    <x:row r="1127" ht="21" customHeight="1">
      <x:c r="A1127" s="2" t="str">
        <x:v>EV001000</x:v>
      </x:c>
      <x:c r="B1127" s="2" t="str">
        <x:v>T20261006-2-1</x:v>
      </x:c>
      <x:c r="C1127" s="2" t="str">
        <x:v>ST003</x:v>
      </x:c>
      <x:c r="D1127" s="2" t="str">
        <x:v>7598e98213cb52db1085c9a94fae1915</x:v>
      </x:c>
      <x:c r="E1127" s="2" t="str">
        <x:v>CHECK_OUT</x:v>
      </x:c>
      <x:c r="F1127" s="8" t="n">
        <x:v>46301.457708333335</x:v>
      </x:c>
      <x:c r="G1127" s="8" t="n">
        <x:v>46301.45773148148</x:v>
      </x:c>
      <x:c r="H1127" s="2" t="str">
        <x:v>R1S3</x:v>
      </x:c>
      <x:c r="I1127" s="9" t="n">
        <x:v>25.275000000000002</x:v>
      </x:c>
      <x:c r="J1127" s="9" t="n">
        <x:v>51.497</x:v>
      </x:c>
      <x:c r="K1127" s="2" t="n">
        <x:v>8</x:v>
      </x:c>
      <x:c r="L1127" s="2" t="str">
        <x:v>Valid</x:v>
      </x:c>
      <x:c r="M1127" s="2" t="str">
        <x:v>QR</x:v>
      </x:c>
      <x:c r="N1127" s="2" t="n">
        <x:v>1</x:v>
      </x:c>
      <x:c r="O1127" s="2" t="str">
        <x:v>Accepted</x:v>
      </x:c>
      <x:c r="P1127" s="2" t="str">
        <x:v>S001</x:v>
      </x:c>
      <x:c r="Q1127" s="2" t="str">
        <x:v>DEV001</x:v>
      </x:c>
      <x:c r="R1127" s="2" t="n">
        <x:v>18</x:v>
      </x:c>
      <x:c r="S1127" s="2" t="str">
        <x:v>Online</x:v>
      </x:c>
      <x:c r="T1127" s="2" t="str">
        <x:v>Synced</x:v>
      </x:c>
    </x:row>
    <x:row r="1128" ht="21" customHeight="1">
      <x:c r="A1128" s="2" t="str">
        <x:v>EV001160</x:v>
      </x:c>
      <x:c r="B1128" s="2" t="str">
        <x:v>T20261006-2-2</x:v>
      </x:c>
      <x:c r="C1128" s="2" t="str">
        <x:v>ST043</x:v>
      </x:c>
      <x:c r="D1128" s="2" t="str">
        <x:v>db51093fe9dac44d59345ee12f7e9c56</x:v>
      </x:c>
      <x:c r="E1128" s="2" t="str">
        <x:v>CHECK_OUT</x:v>
      </x:c>
      <x:c r="F1128" s="8" t="n">
        <x:v>46301.457708333335</x:v>
      </x:c>
      <x:c r="G1128" s="8" t="n">
        <x:v>46301.45773148148</x:v>
      </x:c>
      <x:c r="H1128" s="2" t="str">
        <x:v>R2S3</x:v>
      </x:c>
      <x:c r="I1128" s="9" t="n">
        <x:v>25.284000000000002</x:v>
      </x:c>
      <x:c r="J1128" s="9" t="n">
        <x:v>51.504999999999995</x:v>
      </x:c>
      <x:c r="K1128" s="2" t="n">
        <x:v>8</x:v>
      </x:c>
      <x:c r="L1128" s="2" t="str">
        <x:v>Valid</x:v>
      </x:c>
      <x:c r="M1128" s="2" t="str">
        <x:v>QR</x:v>
      </x:c>
      <x:c r="N1128" s="2" t="n">
        <x:v>1</x:v>
      </x:c>
      <x:c r="O1128" s="2" t="str">
        <x:v>Accepted</x:v>
      </x:c>
      <x:c r="P1128" s="2" t="str">
        <x:v>S002</x:v>
      </x:c>
      <x:c r="Q1128" s="2" t="str">
        <x:v>DEV002</x:v>
      </x:c>
      <x:c r="R1128" s="2" t="n">
        <x:v>18</x:v>
      </x:c>
      <x:c r="S1128" s="2" t="str">
        <x:v>Online</x:v>
      </x:c>
      <x:c r="T1128" s="2" t="str">
        <x:v>Synced</x:v>
      </x:c>
    </x:row>
    <x:row r="1129" ht="21" customHeight="1">
      <x:c r="A1129" s="2" t="str">
        <x:v>EV001320</x:v>
      </x:c>
      <x:c r="B1129" s="2" t="str">
        <x:v>T20261006-2-3</x:v>
      </x:c>
      <x:c r="C1129" s="2" t="str">
        <x:v>ST083</x:v>
      </x:c>
      <x:c r="D1129" s="2" t="str">
        <x:v>19cc474730ce4d97be031814010d13a9</x:v>
      </x:c>
      <x:c r="E1129" s="2" t="str">
        <x:v>CHECK_OUT</x:v>
      </x:c>
      <x:c r="F1129" s="8" t="n">
        <x:v>46301.457708333335</x:v>
      </x:c>
      <x:c r="G1129" s="8" t="n">
        <x:v>46301.45773148148</x:v>
      </x:c>
      <x:c r="H1129" s="2" t="str">
        <x:v>R3S3</x:v>
      </x:c>
      <x:c r="I1129" s="9" t="n">
        <x:v>25.293000000000003</x:v>
      </x:c>
      <x:c r="J1129" s="9" t="n">
        <x:v>51.513</x:v>
      </x:c>
      <x:c r="K1129" s="2" t="n">
        <x:v>8</x:v>
      </x:c>
      <x:c r="L1129" s="2" t="str">
        <x:v>Valid</x:v>
      </x:c>
      <x:c r="M1129" s="2" t="str">
        <x:v>QR</x:v>
      </x:c>
      <x:c r="N1129" s="2" t="n">
        <x:v>1</x:v>
      </x:c>
      <x:c r="O1129" s="2" t="str">
        <x:v>Accepted</x:v>
      </x:c>
      <x:c r="P1129" s="2" t="str">
        <x:v>S003</x:v>
      </x:c>
      <x:c r="Q1129" s="2" t="str">
        <x:v>DEV003</x:v>
      </x:c>
      <x:c r="R1129" s="2" t="n">
        <x:v>18</x:v>
      </x:c>
      <x:c r="S1129" s="2" t="str">
        <x:v>Online</x:v>
      </x:c>
      <x:c r="T1129" s="2" t="str">
        <x:v>Synced</x:v>
      </x:c>
    </x:row>
    <x:row r="1130" ht="21" customHeight="1">
      <x:c r="A1130" s="2" t="str">
        <x:v>EV001006</x:v>
      </x:c>
      <x:c r="B1130" s="2" t="str">
        <x:v>T20261006-2-1</x:v>
      </x:c>
      <x:c r="C1130" s="2" t="str">
        <x:v>ST006</x:v>
      </x:c>
      <x:c r="D1130" s="2" t="str">
        <x:v>8edd7f2c984bf2eb5adf75591d6f1e9c</x:v>
      </x:c>
      <x:c r="E1130" s="2" t="str">
        <x:v>CHECK_OUT</x:v>
      </x:c>
      <x:c r="F1130" s="8" t="n">
        <x:v>46301.4578125</x:v>
      </x:c>
      <x:c r="G1130" s="8" t="n">
        <x:v>46301.45783564814</x:v>
      </x:c>
      <x:c r="H1130" s="2" t="str">
        <x:v>R1S3</x:v>
      </x:c>
      <x:c r="I1130" s="9" t="n">
        <x:v>25.275000000000002</x:v>
      </x:c>
      <x:c r="J1130" s="9" t="n">
        <x:v>51.497</x:v>
      </x:c>
      <x:c r="K1130" s="2" t="n">
        <x:v>8</x:v>
      </x:c>
      <x:c r="L1130" s="2" t="str">
        <x:v>Valid</x:v>
      </x:c>
      <x:c r="M1130" s="2" t="str">
        <x:v>QR</x:v>
      </x:c>
      <x:c r="N1130" s="2" t="n">
        <x:v>1</x:v>
      </x:c>
      <x:c r="O1130" s="2" t="str">
        <x:v>Accepted</x:v>
      </x:c>
      <x:c r="P1130" s="2" t="str">
        <x:v>S001</x:v>
      </x:c>
      <x:c r="Q1130" s="2" t="str">
        <x:v>DEV001</x:v>
      </x:c>
      <x:c r="R1130" s="2" t="n">
        <x:v>19</x:v>
      </x:c>
      <x:c r="S1130" s="2" t="str">
        <x:v>Online</x:v>
      </x:c>
      <x:c r="T1130" s="2" t="str">
        <x:v>Synced</x:v>
      </x:c>
    </x:row>
    <x:row r="1131" ht="21" customHeight="1">
      <x:c r="A1131" s="2" t="str">
        <x:v>EV001166</x:v>
      </x:c>
      <x:c r="B1131" s="2" t="str">
        <x:v>T20261006-2-2</x:v>
      </x:c>
      <x:c r="C1131" s="2" t="str">
        <x:v>ST046</x:v>
      </x:c>
      <x:c r="D1131" s="2" t="str">
        <x:v>82365992d443d056f10fa7522ac29057</x:v>
      </x:c>
      <x:c r="E1131" s="2" t="str">
        <x:v>CHECK_OUT</x:v>
      </x:c>
      <x:c r="F1131" s="8" t="n">
        <x:v>46301.4578125</x:v>
      </x:c>
      <x:c r="G1131" s="8" t="n">
        <x:v>46301.45783564814</x:v>
      </x:c>
      <x:c r="H1131" s="2" t="str">
        <x:v>R2S3</x:v>
      </x:c>
      <x:c r="I1131" s="9" t="n">
        <x:v>25.284000000000002</x:v>
      </x:c>
      <x:c r="J1131" s="9" t="n">
        <x:v>51.504999999999995</x:v>
      </x:c>
      <x:c r="K1131" s="2" t="n">
        <x:v>8</x:v>
      </x:c>
      <x:c r="L1131" s="2" t="str">
        <x:v>Valid</x:v>
      </x:c>
      <x:c r="M1131" s="2" t="str">
        <x:v>QR</x:v>
      </x:c>
      <x:c r="N1131" s="2" t="n">
        <x:v>1</x:v>
      </x:c>
      <x:c r="O1131" s="2" t="str">
        <x:v>Accepted</x:v>
      </x:c>
      <x:c r="P1131" s="2" t="str">
        <x:v>S002</x:v>
      </x:c>
      <x:c r="Q1131" s="2" t="str">
        <x:v>DEV002</x:v>
      </x:c>
      <x:c r="R1131" s="2" t="n">
        <x:v>19</x:v>
      </x:c>
      <x:c r="S1131" s="2" t="str">
        <x:v>Online</x:v>
      </x:c>
      <x:c r="T1131" s="2" t="str">
        <x:v>Synced</x:v>
      </x:c>
    </x:row>
    <x:row r="1132" ht="21" customHeight="1">
      <x:c r="A1132" s="2" t="str">
        <x:v>EV001326</x:v>
      </x:c>
      <x:c r="B1132" s="2" t="str">
        <x:v>T20261006-2-3</x:v>
      </x:c>
      <x:c r="C1132" s="2" t="str">
        <x:v>ST086</x:v>
      </x:c>
      <x:c r="D1132" s="2" t="str">
        <x:v>33c5dfd0f17fcbe34d50fd9b0a0c0e5b</x:v>
      </x:c>
      <x:c r="E1132" s="2" t="str">
        <x:v>CHECK_OUT</x:v>
      </x:c>
      <x:c r="F1132" s="8" t="n">
        <x:v>46301.4578125</x:v>
      </x:c>
      <x:c r="G1132" s="8" t="n">
        <x:v>46301.45783564814</x:v>
      </x:c>
      <x:c r="H1132" s="2" t="str">
        <x:v>R3S3</x:v>
      </x:c>
      <x:c r="I1132" s="9" t="n">
        <x:v>25.293000000000003</x:v>
      </x:c>
      <x:c r="J1132" s="9" t="n">
        <x:v>51.513</x:v>
      </x:c>
      <x:c r="K1132" s="2" t="n">
        <x:v>8</x:v>
      </x:c>
      <x:c r="L1132" s="2" t="str">
        <x:v>Valid</x:v>
      </x:c>
      <x:c r="M1132" s="2" t="str">
        <x:v>QR</x:v>
      </x:c>
      <x:c r="N1132" s="2" t="n">
        <x:v>1</x:v>
      </x:c>
      <x:c r="O1132" s="2" t="str">
        <x:v>Accepted</x:v>
      </x:c>
      <x:c r="P1132" s="2" t="str">
        <x:v>S003</x:v>
      </x:c>
      <x:c r="Q1132" s="2" t="str">
        <x:v>DEV003</x:v>
      </x:c>
      <x:c r="R1132" s="2" t="n">
        <x:v>19</x:v>
      </x:c>
      <x:c r="S1132" s="2" t="str">
        <x:v>Online</x:v>
      </x:c>
      <x:c r="T1132" s="2" t="str">
        <x:v>Synced</x:v>
      </x:c>
    </x:row>
    <x:row r="1133" ht="21" customHeight="1">
      <x:c r="A1133" s="2" t="str">
        <x:v>EV001012</x:v>
      </x:c>
      <x:c r="B1133" s="2" t="str">
        <x:v>T20261006-2-1</x:v>
      </x:c>
      <x:c r="C1133" s="2" t="str">
        <x:v>ST009</x:v>
      </x:c>
      <x:c r="D1133" s="2" t="str">
        <x:v>fdc849f07f4ba12ab82f6bed87d7275d</x:v>
      </x:c>
      <x:c r="E1133" s="2" t="str">
        <x:v>CHECK_OUT</x:v>
      </x:c>
      <x:c r="F1133" s="8" t="n">
        <x:v>46301.457916666666</x:v>
      </x:c>
      <x:c r="G1133" s="8" t="n">
        <x:v>46301.45793981481</x:v>
      </x:c>
      <x:c r="H1133" s="2" t="str">
        <x:v>R1S3</x:v>
      </x:c>
      <x:c r="I1133" s="9" t="n">
        <x:v>25.275000000000002</x:v>
      </x:c>
      <x:c r="J1133" s="9" t="n">
        <x:v>51.497</x:v>
      </x:c>
      <x:c r="K1133" s="2" t="n">
        <x:v>8</x:v>
      </x:c>
      <x:c r="L1133" s="2" t="str">
        <x:v>Valid</x:v>
      </x:c>
      <x:c r="M1133" s="2" t="str">
        <x:v>QR</x:v>
      </x:c>
      <x:c r="N1133" s="2" t="n">
        <x:v>1</x:v>
      </x:c>
      <x:c r="O1133" s="2" t="str">
        <x:v>Accepted</x:v>
      </x:c>
      <x:c r="P1133" s="2" t="str">
        <x:v>S001</x:v>
      </x:c>
      <x:c r="Q1133" s="2" t="str">
        <x:v>DEV001</x:v>
      </x:c>
      <x:c r="R1133" s="2" t="n">
        <x:v>20</x:v>
      </x:c>
      <x:c r="S1133" s="2" t="str">
        <x:v>Online</x:v>
      </x:c>
      <x:c r="T1133" s="2" t="str">
        <x:v>Synced</x:v>
      </x:c>
    </x:row>
    <x:row r="1134" ht="21" customHeight="1">
      <x:c r="A1134" s="2" t="str">
        <x:v>EV001172</x:v>
      </x:c>
      <x:c r="B1134" s="2" t="str">
        <x:v>T20261006-2-2</x:v>
      </x:c>
      <x:c r="C1134" s="2" t="str">
        <x:v>ST049</x:v>
      </x:c>
      <x:c r="D1134" s="2" t="str">
        <x:v>aac0da9ca028b4b4fe1fc2c1eb298502</x:v>
      </x:c>
      <x:c r="E1134" s="2" t="str">
        <x:v>CHECK_OUT</x:v>
      </x:c>
      <x:c r="F1134" s="8" t="n">
        <x:v>46301.457916666666</x:v>
      </x:c>
      <x:c r="G1134" s="8" t="n">
        <x:v>46301.45793981481</x:v>
      </x:c>
      <x:c r="H1134" s="2" t="str">
        <x:v>R2S3</x:v>
      </x:c>
      <x:c r="I1134" s="9" t="n">
        <x:v>25.284000000000002</x:v>
      </x:c>
      <x:c r="J1134" s="9" t="n">
        <x:v>51.504999999999995</x:v>
      </x:c>
      <x:c r="K1134" s="2" t="n">
        <x:v>8</x:v>
      </x:c>
      <x:c r="L1134" s="2" t="str">
        <x:v>Valid</x:v>
      </x:c>
      <x:c r="M1134" s="2" t="str">
        <x:v>QR</x:v>
      </x:c>
      <x:c r="N1134" s="2" t="n">
        <x:v>1</x:v>
      </x:c>
      <x:c r="O1134" s="2" t="str">
        <x:v>Accepted</x:v>
      </x:c>
      <x:c r="P1134" s="2" t="str">
        <x:v>S002</x:v>
      </x:c>
      <x:c r="Q1134" s="2" t="str">
        <x:v>DEV002</x:v>
      </x:c>
      <x:c r="R1134" s="2" t="n">
        <x:v>20</x:v>
      </x:c>
      <x:c r="S1134" s="2" t="str">
        <x:v>Online</x:v>
      </x:c>
      <x:c r="T1134" s="2" t="str">
        <x:v>Synced</x:v>
      </x:c>
    </x:row>
    <x:row r="1135" ht="21" customHeight="1">
      <x:c r="A1135" s="2" t="str">
        <x:v>EV001332</x:v>
      </x:c>
      <x:c r="B1135" s="2" t="str">
        <x:v>T20261006-2-3</x:v>
      </x:c>
      <x:c r="C1135" s="2" t="str">
        <x:v>ST089</x:v>
      </x:c>
      <x:c r="D1135" s="2" t="str">
        <x:v>0bd697ec3f7c09918d8dd004b5340b03</x:v>
      </x:c>
      <x:c r="E1135" s="2" t="str">
        <x:v>CHECK_OUT</x:v>
      </x:c>
      <x:c r="F1135" s="8" t="n">
        <x:v>46301.457916666666</x:v>
      </x:c>
      <x:c r="G1135" s="8" t="n">
        <x:v>46301.45793981481</x:v>
      </x:c>
      <x:c r="H1135" s="2" t="str">
        <x:v>R3S3</x:v>
      </x:c>
      <x:c r="I1135" s="9" t="n">
        <x:v>25.293000000000003</x:v>
      </x:c>
      <x:c r="J1135" s="9" t="n">
        <x:v>51.513</x:v>
      </x:c>
      <x:c r="K1135" s="2" t="n">
        <x:v>8</x:v>
      </x:c>
      <x:c r="L1135" s="2" t="str">
        <x:v>Valid</x:v>
      </x:c>
      <x:c r="M1135" s="2" t="str">
        <x:v>QR</x:v>
      </x:c>
      <x:c r="N1135" s="2" t="n">
        <x:v>1</x:v>
      </x:c>
      <x:c r="O1135" s="2" t="str">
        <x:v>Accepted</x:v>
      </x:c>
      <x:c r="P1135" s="2" t="str">
        <x:v>S003</x:v>
      </x:c>
      <x:c r="Q1135" s="2" t="str">
        <x:v>DEV003</x:v>
      </x:c>
      <x:c r="R1135" s="2" t="n">
        <x:v>20</x:v>
      </x:c>
      <x:c r="S1135" s="2" t="str">
        <x:v>Online</x:v>
      </x:c>
      <x:c r="T1135" s="2" t="str">
        <x:v>Synced</x:v>
      </x:c>
    </x:row>
    <x:row r="1136" ht="21" customHeight="1">
      <x:c r="A1136" s="2" t="str">
        <x:v>EV001035</x:v>
      </x:c>
      <x:c r="B1136" s="2" t="str">
        <x:v>T20261006-2-1</x:v>
      </x:c>
      <x:c r="C1136" s="2" t="str">
        <x:v>ST031</x:v>
      </x:c>
      <x:c r="D1136" s="2" t="str">
        <x:v>8ab188e9684e5df87182305d1c7eadac</x:v>
      </x:c>
      <x:c r="E1136" s="2" t="str">
        <x:v>CHECK_IN</x:v>
      </x:c>
      <x:c r="F1136" s="8" t="n">
        <x:v>46301.47152777778</x:v>
      </x:c>
      <x:c r="G1136" s="8" t="n">
        <x:v>46301.471550925926</x:v>
      </x:c>
      <x:c r="H1136" s="2" t="str">
        <x:v>R1S1</x:v>
      </x:c>
      <x:c r="I1136" s="9" t="n">
        <x:v>25.271</x:v>
      </x:c>
      <x:c r="J1136" s="9" t="n">
        <x:v>51.491</x:v>
      </x:c>
      <x:c r="K1136" s="2" t="n">
        <x:v>8</x:v>
      </x:c>
      <x:c r="L1136" s="2" t="str">
        <x:v>Valid</x:v>
      </x:c>
      <x:c r="M1136" s="2" t="str">
        <x:v>QR</x:v>
      </x:c>
      <x:c r="N1136" s="2" t="n">
        <x:v>1</x:v>
      </x:c>
      <x:c r="O1136" s="2" t="str">
        <x:v>Accepted</x:v>
      </x:c>
      <x:c r="P1136" s="2" t="str">
        <x:v>S001</x:v>
      </x:c>
      <x:c r="Q1136" s="2" t="str">
        <x:v>DEV001</x:v>
      </x:c>
      <x:c r="R1136" s="2" t="n">
        <x:v>21</x:v>
      </x:c>
      <x:c r="S1136" s="2" t="str">
        <x:v>Online</x:v>
      </x:c>
      <x:c r="T1136" s="2" t="str">
        <x:v>Synced</x:v>
      </x:c>
    </x:row>
    <x:row r="1137" ht="21" customHeight="1">
      <x:c r="A1137" s="2" t="str">
        <x:v>EV001195</x:v>
      </x:c>
      <x:c r="B1137" s="2" t="str">
        <x:v>T20261006-2-2</x:v>
      </x:c>
      <x:c r="C1137" s="2" t="str">
        <x:v>ST071</x:v>
      </x:c>
      <x:c r="D1137" s="2" t="str">
        <x:v>51895678643dc659a400e702a471294e</x:v>
      </x:c>
      <x:c r="E1137" s="2" t="str">
        <x:v>CHECK_IN</x:v>
      </x:c>
      <x:c r="F1137" s="8" t="n">
        <x:v>46301.47152777778</x:v>
      </x:c>
      <x:c r="G1137" s="8" t="n">
        <x:v>46301.481944444444</x:v>
      </x:c>
      <x:c r="H1137" s="2" t="str">
        <x:v>R2S1</x:v>
      </x:c>
      <x:c r="I1137" s="9" t="n">
        <x:v>25.28</x:v>
      </x:c>
      <x:c r="J1137" s="9" t="n">
        <x:v>51.498999999999995</x:v>
      </x:c>
      <x:c r="K1137" s="2" t="n">
        <x:v>8</x:v>
      </x:c>
      <x:c r="L1137" s="2" t="str">
        <x:v>Valid</x:v>
      </x:c>
      <x:c r="M1137" s="2" t="str">
        <x:v>QR</x:v>
      </x:c>
      <x:c r="N1137" s="2" t="n">
        <x:v>1</x:v>
      </x:c>
      <x:c r="O1137" s="2" t="str">
        <x:v>Accepted</x:v>
      </x:c>
      <x:c r="P1137" s="2" t="str">
        <x:v>S002</x:v>
      </x:c>
      <x:c r="Q1137" s="2" t="str">
        <x:v>DEV002</x:v>
      </x:c>
      <x:c r="R1137" s="2" t="n">
        <x:v>21</x:v>
      </x:c>
      <x:c r="S1137" s="2" t="str">
        <x:v>Offline</x:v>
      </x:c>
      <x:c r="T1137" s="2" t="str">
        <x:v>Synced</x:v>
      </x:c>
    </x:row>
    <x:row r="1138" ht="21" customHeight="1">
      <x:c r="A1138" s="2" t="str">
        <x:v>EV001355</x:v>
      </x:c>
      <x:c r="B1138" s="2" t="str">
        <x:v>T20261006-2-3</x:v>
      </x:c>
      <x:c r="C1138" s="2" t="str">
        <x:v>ST111</x:v>
      </x:c>
      <x:c r="D1138" s="2" t="str">
        <x:v>e6e9707385e7ee8edd3ac87243757eb2</x:v>
      </x:c>
      <x:c r="E1138" s="2" t="str">
        <x:v>CHECK_IN</x:v>
      </x:c>
      <x:c r="F1138" s="8" t="n">
        <x:v>46301.47152777778</x:v>
      </x:c>
      <x:c r="G1138" s="8" t="n">
        <x:v>46301.471550925926</x:v>
      </x:c>
      <x:c r="H1138" s="2" t="str">
        <x:v>R3S1</x:v>
      </x:c>
      <x:c r="I1138" s="9" t="n">
        <x:v>25.289</x:v>
      </x:c>
      <x:c r="J1138" s="9" t="n">
        <x:v>51.507</x:v>
      </x:c>
      <x:c r="K1138" s="2" t="n">
        <x:v>8</x:v>
      </x:c>
      <x:c r="L1138" s="2" t="str">
        <x:v>Valid</x:v>
      </x:c>
      <x:c r="M1138" s="2" t="str">
        <x:v>QR</x:v>
      </x:c>
      <x:c r="N1138" s="2" t="n">
        <x:v>1</x:v>
      </x:c>
      <x:c r="O1138" s="2" t="str">
        <x:v>Accepted</x:v>
      </x:c>
      <x:c r="P1138" s="2" t="str">
        <x:v>S003</x:v>
      </x:c>
      <x:c r="Q1138" s="2" t="str">
        <x:v>DEV003</x:v>
      </x:c>
      <x:c r="R1138" s="2" t="n">
        <x:v>21</x:v>
      </x:c>
      <x:c r="S1138" s="2" t="str">
        <x:v>Online</x:v>
      </x:c>
      <x:c r="T1138" s="2" t="str">
        <x:v>Synced</x:v>
      </x:c>
    </x:row>
    <x:row r="1139" ht="21" customHeight="1">
      <x:c r="A1139" s="2" t="str">
        <x:v>EV001017</x:v>
      </x:c>
      <x:c r="B1139" s="2" t="str">
        <x:v>T20261006-2-1</x:v>
      </x:c>
      <x:c r="C1139" s="2" t="str">
        <x:v>ST022</x:v>
      </x:c>
      <x:c r="D1139" s="2" t="str">
        <x:v>32e634064d0319251398d392c471332a</x:v>
      </x:c>
      <x:c r="E1139" s="2" t="str">
        <x:v>CHECK_IN</x:v>
      </x:c>
      <x:c r="F1139" s="8" t="n">
        <x:v>46301.4715625</x:v>
      </x:c>
      <x:c r="G1139" s="8" t="n">
        <x:v>46301.47158564815</x:v>
      </x:c>
      <x:c r="H1139" s="2" t="str">
        <x:v>R1S1</x:v>
      </x:c>
      <x:c r="I1139" s="9" t="n">
        <x:v>25.271</x:v>
      </x:c>
      <x:c r="J1139" s="9" t="n">
        <x:v>51.491</x:v>
      </x:c>
      <x:c r="K1139" s="2" t="n">
        <x:v>8</x:v>
      </x:c>
      <x:c r="L1139" s="2" t="str">
        <x:v>Valid</x:v>
      </x:c>
      <x:c r="M1139" s="2" t="str">
        <x:v>QR</x:v>
      </x:c>
      <x:c r="N1139" s="2" t="n">
        <x:v>1</x:v>
      </x:c>
      <x:c r="O1139" s="2" t="str">
        <x:v>Accepted</x:v>
      </x:c>
      <x:c r="P1139" s="2" t="str">
        <x:v>S001</x:v>
      </x:c>
      <x:c r="Q1139" s="2" t="str">
        <x:v>DEV001</x:v>
      </x:c>
      <x:c r="R1139" s="2" t="n">
        <x:v>22</x:v>
      </x:c>
      <x:c r="S1139" s="2" t="str">
        <x:v>Online</x:v>
      </x:c>
      <x:c r="T1139" s="2" t="str">
        <x:v>Synced</x:v>
      </x:c>
    </x:row>
    <x:row r="1140" ht="21" customHeight="1">
      <x:c r="A1140" s="2" t="str">
        <x:v>EV001177</x:v>
      </x:c>
      <x:c r="B1140" s="2" t="str">
        <x:v>T20261006-2-2</x:v>
      </x:c>
      <x:c r="C1140" s="2" t="str">
        <x:v>ST062</x:v>
      </x:c>
      <x:c r="D1140" s="2" t="str">
        <x:v>e0ee324a0d8893ba89d7c618ea194e36</x:v>
      </x:c>
      <x:c r="E1140" s="2" t="str">
        <x:v>CHECK_IN</x:v>
      </x:c>
      <x:c r="F1140" s="8" t="n">
        <x:v>46301.4715625</x:v>
      </x:c>
      <x:c r="G1140" s="8" t="n">
        <x:v>46301.48197916667</x:v>
      </x:c>
      <x:c r="H1140" s="2" t="str">
        <x:v>R2S1</x:v>
      </x:c>
      <x:c r="I1140" s="9" t="n">
        <x:v>25.28</x:v>
      </x:c>
      <x:c r="J1140" s="9" t="n">
        <x:v>51.498999999999995</x:v>
      </x:c>
      <x:c r="K1140" s="2" t="n">
        <x:v>8</x:v>
      </x:c>
      <x:c r="L1140" s="2" t="str">
        <x:v>Valid</x:v>
      </x:c>
      <x:c r="M1140" s="2" t="str">
        <x:v>QR</x:v>
      </x:c>
      <x:c r="N1140" s="2" t="n">
        <x:v>1</x:v>
      </x:c>
      <x:c r="O1140" s="2" t="str">
        <x:v>Accepted</x:v>
      </x:c>
      <x:c r="P1140" s="2" t="str">
        <x:v>S002</x:v>
      </x:c>
      <x:c r="Q1140" s="2" t="str">
        <x:v>DEV002</x:v>
      </x:c>
      <x:c r="R1140" s="2" t="n">
        <x:v>22</x:v>
      </x:c>
      <x:c r="S1140" s="2" t="str">
        <x:v>Offline</x:v>
      </x:c>
      <x:c r="T1140" s="2" t="str">
        <x:v>Synced</x:v>
      </x:c>
    </x:row>
    <x:row r="1141" ht="21" customHeight="1">
      <x:c r="A1141" s="2" t="str">
        <x:v>EV001337</x:v>
      </x:c>
      <x:c r="B1141" s="2" t="str">
        <x:v>T20261006-2-3</x:v>
      </x:c>
      <x:c r="C1141" s="2" t="str">
        <x:v>ST102</x:v>
      </x:c>
      <x:c r="D1141" s="2" t="str">
        <x:v>6a90d57a6e4b5aedbdcdc5a29cf018e9</x:v>
      </x:c>
      <x:c r="E1141" s="2" t="str">
        <x:v>CHECK_IN</x:v>
      </x:c>
      <x:c r="F1141" s="8" t="n">
        <x:v>46301.4715625</x:v>
      </x:c>
      <x:c r="G1141" s="8" t="n">
        <x:v>46301.47158564815</x:v>
      </x:c>
      <x:c r="H1141" s="2" t="str">
        <x:v>R3S1</x:v>
      </x:c>
      <x:c r="I1141" s="9" t="n">
        <x:v>25.289</x:v>
      </x:c>
      <x:c r="J1141" s="9" t="n">
        <x:v>51.507</x:v>
      </x:c>
      <x:c r="K1141" s="2" t="n">
        <x:v>8</x:v>
      </x:c>
      <x:c r="L1141" s="2" t="str">
        <x:v>Valid</x:v>
      </x:c>
      <x:c r="M1141" s="2" t="str">
        <x:v>QR</x:v>
      </x:c>
      <x:c r="N1141" s="2" t="n">
        <x:v>1</x:v>
      </x:c>
      <x:c r="O1141" s="2" t="str">
        <x:v>Accepted</x:v>
      </x:c>
      <x:c r="P1141" s="2" t="str">
        <x:v>S003</x:v>
      </x:c>
      <x:c r="Q1141" s="2" t="str">
        <x:v>DEV003</x:v>
      </x:c>
      <x:c r="R1141" s="2" t="n">
        <x:v>22</x:v>
      </x:c>
      <x:c r="S1141" s="2" t="str">
        <x:v>Online</x:v>
      </x:c>
      <x:c r="T1141" s="2" t="str">
        <x:v>Synced</x:v>
      </x:c>
    </x:row>
    <x:row r="1142" ht="21" customHeight="1">
      <x:c r="A1142" s="2" t="str">
        <x:v>EV001041</x:v>
      </x:c>
      <x:c r="B1142" s="2" t="str">
        <x:v>T20261006-2-1</x:v>
      </x:c>
      <x:c r="C1142" s="2" t="str">
        <x:v>ST034</x:v>
      </x:c>
      <x:c r="D1142" s="2" t="str">
        <x:v>80fbe33bb2df8cab59b55f98f1c8a3d5</x:v>
      </x:c>
      <x:c r="E1142" s="2" t="str">
        <x:v>CHECK_IN</x:v>
      </x:c>
      <x:c r="F1142" s="8" t="n">
        <x:v>46301.47163194445</x:v>
      </x:c>
      <x:c r="G1142" s="8" t="n">
        <x:v>46301.471655092595</x:v>
      </x:c>
      <x:c r="H1142" s="2" t="str">
        <x:v>R1S1</x:v>
      </x:c>
      <x:c r="I1142" s="9" t="n">
        <x:v>25.271</x:v>
      </x:c>
      <x:c r="J1142" s="9" t="n">
        <x:v>51.491</x:v>
      </x:c>
      <x:c r="K1142" s="2" t="n">
        <x:v>8</x:v>
      </x:c>
      <x:c r="L1142" s="2" t="str">
        <x:v>Valid</x:v>
      </x:c>
      <x:c r="M1142" s="2" t="str">
        <x:v>QR</x:v>
      </x:c>
      <x:c r="N1142" s="2" t="n">
        <x:v>1</x:v>
      </x:c>
      <x:c r="O1142" s="2" t="str">
        <x:v>Accepted</x:v>
      </x:c>
      <x:c r="P1142" s="2" t="str">
        <x:v>S001</x:v>
      </x:c>
      <x:c r="Q1142" s="2" t="str">
        <x:v>DEV001</x:v>
      </x:c>
      <x:c r="R1142" s="2" t="n">
        <x:v>23</x:v>
      </x:c>
      <x:c r="S1142" s="2" t="str">
        <x:v>Online</x:v>
      </x:c>
      <x:c r="T1142" s="2" t="str">
        <x:v>Synced</x:v>
      </x:c>
    </x:row>
    <x:row r="1143" ht="21" customHeight="1">
      <x:c r="A1143" s="2" t="str">
        <x:v>EV001201</x:v>
      </x:c>
      <x:c r="B1143" s="2" t="str">
        <x:v>T20261006-2-2</x:v>
      </x:c>
      <x:c r="C1143" s="2" t="str">
        <x:v>ST074</x:v>
      </x:c>
      <x:c r="D1143" s="2" t="str">
        <x:v>a9bcbd7cecca4f17e235125ddf0adf7b</x:v>
      </x:c>
      <x:c r="E1143" s="2" t="str">
        <x:v>CHECK_IN</x:v>
      </x:c>
      <x:c r="F1143" s="8" t="n">
        <x:v>46301.47163194445</x:v>
      </x:c>
      <x:c r="G1143" s="8" t="n">
        <x:v>46301.48204861111</x:v>
      </x:c>
      <x:c r="H1143" s="2" t="str">
        <x:v>R2S1</x:v>
      </x:c>
      <x:c r="I1143" s="9" t="n">
        <x:v>25.28</x:v>
      </x:c>
      <x:c r="J1143" s="9" t="n">
        <x:v>51.498999999999995</x:v>
      </x:c>
      <x:c r="K1143" s="2" t="n">
        <x:v>8</x:v>
      </x:c>
      <x:c r="L1143" s="2" t="str">
        <x:v>Valid</x:v>
      </x:c>
      <x:c r="M1143" s="2" t="str">
        <x:v>QR</x:v>
      </x:c>
      <x:c r="N1143" s="2" t="n">
        <x:v>1</x:v>
      </x:c>
      <x:c r="O1143" s="2" t="str">
        <x:v>Accepted</x:v>
      </x:c>
      <x:c r="P1143" s="2" t="str">
        <x:v>S002</x:v>
      </x:c>
      <x:c r="Q1143" s="2" t="str">
        <x:v>DEV002</x:v>
      </x:c>
      <x:c r="R1143" s="2" t="n">
        <x:v>23</x:v>
      </x:c>
      <x:c r="S1143" s="2" t="str">
        <x:v>Offline</x:v>
      </x:c>
      <x:c r="T1143" s="2" t="str">
        <x:v>Synced</x:v>
      </x:c>
    </x:row>
    <x:row r="1144" ht="21" customHeight="1">
      <x:c r="A1144" s="2" t="str">
        <x:v>EV001361</x:v>
      </x:c>
      <x:c r="B1144" s="2" t="str">
        <x:v>T20261006-2-3</x:v>
      </x:c>
      <x:c r="C1144" s="2" t="str">
        <x:v>ST114</x:v>
      </x:c>
      <x:c r="D1144" s="2" t="str">
        <x:v>a5c77bf3b082c3ab825b65c34f1c9f8c</x:v>
      </x:c>
      <x:c r="E1144" s="2" t="str">
        <x:v>CHECK_IN</x:v>
      </x:c>
      <x:c r="F1144" s="8" t="n">
        <x:v>46301.47163194445</x:v>
      </x:c>
      <x:c r="G1144" s="8" t="n">
        <x:v>46301.471655092595</x:v>
      </x:c>
      <x:c r="H1144" s="2" t="str">
        <x:v>R3S1</x:v>
      </x:c>
      <x:c r="I1144" s="9" t="n">
        <x:v>25.289</x:v>
      </x:c>
      <x:c r="J1144" s="9" t="n">
        <x:v>51.507</x:v>
      </x:c>
      <x:c r="K1144" s="2" t="n">
        <x:v>8</x:v>
      </x:c>
      <x:c r="L1144" s="2" t="str">
        <x:v>Valid</x:v>
      </x:c>
      <x:c r="M1144" s="2" t="str">
        <x:v>QR</x:v>
      </x:c>
      <x:c r="N1144" s="2" t="n">
        <x:v>1</x:v>
      </x:c>
      <x:c r="O1144" s="2" t="str">
        <x:v>Accepted</x:v>
      </x:c>
      <x:c r="P1144" s="2" t="str">
        <x:v>S003</x:v>
      </x:c>
      <x:c r="Q1144" s="2" t="str">
        <x:v>DEV003</x:v>
      </x:c>
      <x:c r="R1144" s="2" t="n">
        <x:v>23</x:v>
      </x:c>
      <x:c r="S1144" s="2" t="str">
        <x:v>Online</x:v>
      </x:c>
      <x:c r="T1144" s="2" t="str">
        <x:v>Synced</x:v>
      </x:c>
    </x:row>
    <x:row r="1145" ht="21" customHeight="1">
      <x:c r="A1145" s="2" t="str">
        <x:v>EV001023</x:v>
      </x:c>
      <x:c r="B1145" s="2" t="str">
        <x:v>T20261006-2-1</x:v>
      </x:c>
      <x:c r="C1145" s="2" t="str">
        <x:v>ST025</x:v>
      </x:c>
      <x:c r="D1145" s="2" t="str">
        <x:v>caea48c43f4ccfa85999e7cb546cd774</x:v>
      </x:c>
      <x:c r="E1145" s="2" t="str">
        <x:v>CHECK_IN</x:v>
      </x:c>
      <x:c r="F1145" s="8" t="n">
        <x:v>46301.47166666667</x:v>
      </x:c>
      <x:c r="G1145" s="8" t="n">
        <x:v>46301.47168981482</x:v>
      </x:c>
      <x:c r="H1145" s="2" t="str">
        <x:v>R1S1</x:v>
      </x:c>
      <x:c r="I1145" s="9" t="n">
        <x:v>25.271</x:v>
      </x:c>
      <x:c r="J1145" s="9" t="n">
        <x:v>51.491</x:v>
      </x:c>
      <x:c r="K1145" s="2" t="n">
        <x:v>8</x:v>
      </x:c>
      <x:c r="L1145" s="2" t="str">
        <x:v>Valid</x:v>
      </x:c>
      <x:c r="M1145" s="2" t="str">
        <x:v>QR</x:v>
      </x:c>
      <x:c r="N1145" s="2" t="n">
        <x:v>1</x:v>
      </x:c>
      <x:c r="O1145" s="2" t="str">
        <x:v>Accepted</x:v>
      </x:c>
      <x:c r="P1145" s="2" t="str">
        <x:v>S001</x:v>
      </x:c>
      <x:c r="Q1145" s="2" t="str">
        <x:v>DEV001</x:v>
      </x:c>
      <x:c r="R1145" s="2" t="n">
        <x:v>24</x:v>
      </x:c>
      <x:c r="S1145" s="2" t="str">
        <x:v>Online</x:v>
      </x:c>
      <x:c r="T1145" s="2" t="str">
        <x:v>Synced</x:v>
      </x:c>
    </x:row>
    <x:row r="1146" ht="21" customHeight="1">
      <x:c r="A1146" s="2" t="str">
        <x:v>EV001183</x:v>
      </x:c>
      <x:c r="B1146" s="2" t="str">
        <x:v>T20261006-2-2</x:v>
      </x:c>
      <x:c r="C1146" s="2" t="str">
        <x:v>ST065</x:v>
      </x:c>
      <x:c r="D1146" s="2" t="str">
        <x:v>6b379c82348acc8be3e0d247197a20bf</x:v>
      </x:c>
      <x:c r="E1146" s="2" t="str">
        <x:v>CHECK_IN</x:v>
      </x:c>
      <x:c r="F1146" s="8" t="n">
        <x:v>46301.47166666667</x:v>
      </x:c>
      <x:c r="G1146" s="8" t="n">
        <x:v>46301.482083333336</x:v>
      </x:c>
      <x:c r="H1146" s="2" t="str">
        <x:v>R2S1</x:v>
      </x:c>
      <x:c r="I1146" s="9" t="n">
        <x:v>25.28</x:v>
      </x:c>
      <x:c r="J1146" s="9" t="n">
        <x:v>51.498999999999995</x:v>
      </x:c>
      <x:c r="K1146" s="2" t="n">
        <x:v>8</x:v>
      </x:c>
      <x:c r="L1146" s="2" t="str">
        <x:v>Valid</x:v>
      </x:c>
      <x:c r="M1146" s="2" t="str">
        <x:v>QR</x:v>
      </x:c>
      <x:c r="N1146" s="2" t="n">
        <x:v>1</x:v>
      </x:c>
      <x:c r="O1146" s="2" t="str">
        <x:v>Accepted</x:v>
      </x:c>
      <x:c r="P1146" s="2" t="str">
        <x:v>S002</x:v>
      </x:c>
      <x:c r="Q1146" s="2" t="str">
        <x:v>DEV002</x:v>
      </x:c>
      <x:c r="R1146" s="2" t="n">
        <x:v>24</x:v>
      </x:c>
      <x:c r="S1146" s="2" t="str">
        <x:v>Offline</x:v>
      </x:c>
      <x:c r="T1146" s="2" t="str">
        <x:v>Synced</x:v>
      </x:c>
    </x:row>
    <x:row r="1147" ht="21" customHeight="1">
      <x:c r="A1147" s="2" t="str">
        <x:v>EV001343</x:v>
      </x:c>
      <x:c r="B1147" s="2" t="str">
        <x:v>T20261006-2-3</x:v>
      </x:c>
      <x:c r="C1147" s="2" t="str">
        <x:v>ST105</x:v>
      </x:c>
      <x:c r="D1147" s="2" t="str">
        <x:v>bbd3ba75eaabf5ca3acef3823a75d885</x:v>
      </x:c>
      <x:c r="E1147" s="2" t="str">
        <x:v>CHECK_IN</x:v>
      </x:c>
      <x:c r="F1147" s="8" t="n">
        <x:v>46301.47166666667</x:v>
      </x:c>
      <x:c r="G1147" s="8" t="n">
        <x:v>46301.47168981482</x:v>
      </x:c>
      <x:c r="H1147" s="2" t="str">
        <x:v>R3S1</x:v>
      </x:c>
      <x:c r="I1147" s="9" t="n">
        <x:v>25.289</x:v>
      </x:c>
      <x:c r="J1147" s="9" t="n">
        <x:v>51.507</x:v>
      </x:c>
      <x:c r="K1147" s="2" t="n">
        <x:v>8</x:v>
      </x:c>
      <x:c r="L1147" s="2" t="str">
        <x:v>Valid</x:v>
      </x:c>
      <x:c r="M1147" s="2" t="str">
        <x:v>QR</x:v>
      </x:c>
      <x:c r="N1147" s="2" t="n">
        <x:v>1</x:v>
      </x:c>
      <x:c r="O1147" s="2" t="str">
        <x:v>Accepted</x:v>
      </x:c>
      <x:c r="P1147" s="2" t="str">
        <x:v>S003</x:v>
      </x:c>
      <x:c r="Q1147" s="2" t="str">
        <x:v>DEV003</x:v>
      </x:c>
      <x:c r="R1147" s="2" t="n">
        <x:v>24</x:v>
      </x:c>
      <x:c r="S1147" s="2" t="str">
        <x:v>Online</x:v>
      </x:c>
      <x:c r="T1147" s="2" t="str">
        <x:v>Synced</x:v>
      </x:c>
    </x:row>
    <x:row r="1148" ht="21" customHeight="1">
      <x:c r="A1148" s="2" t="str">
        <x:v>EV001047</x:v>
      </x:c>
      <x:c r="B1148" s="2" t="str">
        <x:v>T20261006-2-1</x:v>
      </x:c>
      <x:c r="C1148" s="2" t="str">
        <x:v>ST037</x:v>
      </x:c>
      <x:c r="D1148" s="2" t="str">
        <x:v>eb6cdfa5572c8f6959c8b9c84b8ec493</x:v>
      </x:c>
      <x:c r="E1148" s="2" t="str">
        <x:v>CHECK_IN</x:v>
      </x:c>
      <x:c r="F1148" s="8" t="n">
        <x:v>46301.47173611111</x:v>
      </x:c>
      <x:c r="G1148" s="8" t="n">
        <x:v>46301.47175925926</x:v>
      </x:c>
      <x:c r="H1148" s="2" t="str">
        <x:v>R1S1</x:v>
      </x:c>
      <x:c r="I1148" s="9" t="n">
        <x:v>25.271</x:v>
      </x:c>
      <x:c r="J1148" s="9" t="n">
        <x:v>51.491</x:v>
      </x:c>
      <x:c r="K1148" s="2" t="n">
        <x:v>8</x:v>
      </x:c>
      <x:c r="L1148" s="2" t="str">
        <x:v>Valid</x:v>
      </x:c>
      <x:c r="M1148" s="2" t="str">
        <x:v>QR</x:v>
      </x:c>
      <x:c r="N1148" s="2" t="n">
        <x:v>1</x:v>
      </x:c>
      <x:c r="O1148" s="2" t="str">
        <x:v>Accepted</x:v>
      </x:c>
      <x:c r="P1148" s="2" t="str">
        <x:v>S001</x:v>
      </x:c>
      <x:c r="Q1148" s="2" t="str">
        <x:v>DEV001</x:v>
      </x:c>
      <x:c r="R1148" s="2" t="n">
        <x:v>25</x:v>
      </x:c>
      <x:c r="S1148" s="2" t="str">
        <x:v>Online</x:v>
      </x:c>
      <x:c r="T1148" s="2" t="str">
        <x:v>Synced</x:v>
      </x:c>
    </x:row>
    <x:row r="1149" ht="21" customHeight="1">
      <x:c r="A1149" s="2" t="str">
        <x:v>EV001207</x:v>
      </x:c>
      <x:c r="B1149" s="2" t="str">
        <x:v>T20261006-2-2</x:v>
      </x:c>
      <x:c r="C1149" s="2" t="str">
        <x:v>ST077</x:v>
      </x:c>
      <x:c r="D1149" s="2" t="str">
        <x:v>af7b8314f6c372daf48e6b95332f6a0f</x:v>
      </x:c>
      <x:c r="E1149" s="2" t="str">
        <x:v>CHECK_IN</x:v>
      </x:c>
      <x:c r="F1149" s="8" t="n">
        <x:v>46301.47173611111</x:v>
      </x:c>
      <x:c r="G1149" s="8" t="n">
        <x:v>46301.482152777775</x:v>
      </x:c>
      <x:c r="H1149" s="2" t="str">
        <x:v>R2S1</x:v>
      </x:c>
      <x:c r="I1149" s="9" t="n">
        <x:v>25.28</x:v>
      </x:c>
      <x:c r="J1149" s="9" t="n">
        <x:v>51.498999999999995</x:v>
      </x:c>
      <x:c r="K1149" s="2" t="n">
        <x:v>8</x:v>
      </x:c>
      <x:c r="L1149" s="2" t="str">
        <x:v>Valid</x:v>
      </x:c>
      <x:c r="M1149" s="2" t="str">
        <x:v>QR</x:v>
      </x:c>
      <x:c r="N1149" s="2" t="n">
        <x:v>1</x:v>
      </x:c>
      <x:c r="O1149" s="2" t="str">
        <x:v>Accepted</x:v>
      </x:c>
      <x:c r="P1149" s="2" t="str">
        <x:v>S002</x:v>
      </x:c>
      <x:c r="Q1149" s="2" t="str">
        <x:v>DEV002</x:v>
      </x:c>
      <x:c r="R1149" s="2" t="n">
        <x:v>25</x:v>
      </x:c>
      <x:c r="S1149" s="2" t="str">
        <x:v>Offline</x:v>
      </x:c>
      <x:c r="T1149" s="2" t="str">
        <x:v>Synced</x:v>
      </x:c>
    </x:row>
    <x:row r="1150" ht="21" customHeight="1">
      <x:c r="A1150" s="2" t="str">
        <x:v>EV001367</x:v>
      </x:c>
      <x:c r="B1150" s="2" t="str">
        <x:v>T20261006-2-3</x:v>
      </x:c>
      <x:c r="C1150" s="2" t="str">
        <x:v>ST117</x:v>
      </x:c>
      <x:c r="D1150" s="2" t="str">
        <x:v>195a54aea4adbe89371209e73878e4fe</x:v>
      </x:c>
      <x:c r="E1150" s="2" t="str">
        <x:v>CHECK_IN</x:v>
      </x:c>
      <x:c r="F1150" s="8" t="n">
        <x:v>46301.47173611111</x:v>
      </x:c>
      <x:c r="G1150" s="8" t="n">
        <x:v>46301.47175925926</x:v>
      </x:c>
      <x:c r="H1150" s="2" t="str">
        <x:v>R3S1</x:v>
      </x:c>
      <x:c r="I1150" s="9" t="n">
        <x:v>25.289</x:v>
      </x:c>
      <x:c r="J1150" s="9" t="n">
        <x:v>51.507</x:v>
      </x:c>
      <x:c r="K1150" s="2" t="n">
        <x:v>8</x:v>
      </x:c>
      <x:c r="L1150" s="2" t="str">
        <x:v>Valid</x:v>
      </x:c>
      <x:c r="M1150" s="2" t="str">
        <x:v>QR</x:v>
      </x:c>
      <x:c r="N1150" s="2" t="n">
        <x:v>1</x:v>
      </x:c>
      <x:c r="O1150" s="2" t="str">
        <x:v>Accepted</x:v>
      </x:c>
      <x:c r="P1150" s="2" t="str">
        <x:v>S003</x:v>
      </x:c>
      <x:c r="Q1150" s="2" t="str">
        <x:v>DEV003</x:v>
      </x:c>
      <x:c r="R1150" s="2" t="n">
        <x:v>25</x:v>
      </x:c>
      <x:c r="S1150" s="2" t="str">
        <x:v>Online</x:v>
      </x:c>
      <x:c r="T1150" s="2" t="str">
        <x:v>Synced</x:v>
      </x:c>
    </x:row>
    <x:row r="1151" ht="21" customHeight="1">
      <x:c r="A1151" s="2" t="str">
        <x:v>EV001029</x:v>
      </x:c>
      <x:c r="B1151" s="2" t="str">
        <x:v>T20261006-2-1</x:v>
      </x:c>
      <x:c r="C1151" s="2" t="str">
        <x:v>ST028</x:v>
      </x:c>
      <x:c r="D1151" s="2" t="str">
        <x:v>af9ca502f5a3f54f1f44ea6d11afd24b</x:v>
      </x:c>
      <x:c r="E1151" s="2" t="str">
        <x:v>CHECK_IN</x:v>
      </x:c>
      <x:c r="F1151" s="8" t="n">
        <x:v>46301.471770833334</x:v>
      </x:c>
      <x:c r="G1151" s="8" t="n">
        <x:v>46301.47179398148</x:v>
      </x:c>
      <x:c r="H1151" s="2" t="str">
        <x:v>R1S1</x:v>
      </x:c>
      <x:c r="I1151" s="9" t="n">
        <x:v>25.271</x:v>
      </x:c>
      <x:c r="J1151" s="9" t="n">
        <x:v>51.491</x:v>
      </x:c>
      <x:c r="K1151" s="2" t="n">
        <x:v>8</x:v>
      </x:c>
      <x:c r="L1151" s="2" t="str">
        <x:v>Valid</x:v>
      </x:c>
      <x:c r="M1151" s="2" t="str">
        <x:v>QR</x:v>
      </x:c>
      <x:c r="N1151" s="2" t="n">
        <x:v>1</x:v>
      </x:c>
      <x:c r="O1151" s="2" t="str">
        <x:v>Accepted</x:v>
      </x:c>
      <x:c r="P1151" s="2" t="str">
        <x:v>S001</x:v>
      </x:c>
      <x:c r="Q1151" s="2" t="str">
        <x:v>DEV001</x:v>
      </x:c>
      <x:c r="R1151" s="2" t="n">
        <x:v>26</x:v>
      </x:c>
      <x:c r="S1151" s="2" t="str">
        <x:v>Online</x:v>
      </x:c>
      <x:c r="T1151" s="2" t="str">
        <x:v>Synced</x:v>
      </x:c>
    </x:row>
    <x:row r="1152" ht="21" customHeight="1">
      <x:c r="A1152" s="2" t="str">
        <x:v>EV001189</x:v>
      </x:c>
      <x:c r="B1152" s="2" t="str">
        <x:v>T20261006-2-2</x:v>
      </x:c>
      <x:c r="C1152" s="2" t="str">
        <x:v>ST068</x:v>
      </x:c>
      <x:c r="D1152" s="2" t="str">
        <x:v>6d9af84dd25561b8b07e5e166ae4982a</x:v>
      </x:c>
      <x:c r="E1152" s="2" t="str">
        <x:v>CHECK_IN</x:v>
      </x:c>
      <x:c r="F1152" s="8" t="n">
        <x:v>46301.471770833334</x:v>
      </x:c>
      <x:c r="G1152" s="8" t="n">
        <x:v>46301.4821875</x:v>
      </x:c>
      <x:c r="H1152" s="2" t="str">
        <x:v>R2S1</x:v>
      </x:c>
      <x:c r="I1152" s="9" t="n">
        <x:v>25.28</x:v>
      </x:c>
      <x:c r="J1152" s="9" t="n">
        <x:v>51.498999999999995</x:v>
      </x:c>
      <x:c r="K1152" s="2" t="n">
        <x:v>8</x:v>
      </x:c>
      <x:c r="L1152" s="2" t="str">
        <x:v>Valid</x:v>
      </x:c>
      <x:c r="M1152" s="2" t="str">
        <x:v>QR</x:v>
      </x:c>
      <x:c r="N1152" s="2" t="n">
        <x:v>1</x:v>
      </x:c>
      <x:c r="O1152" s="2" t="str">
        <x:v>Accepted</x:v>
      </x:c>
      <x:c r="P1152" s="2" t="str">
        <x:v>S002</x:v>
      </x:c>
      <x:c r="Q1152" s="2" t="str">
        <x:v>DEV002</x:v>
      </x:c>
      <x:c r="R1152" s="2" t="n">
        <x:v>26</x:v>
      </x:c>
      <x:c r="S1152" s="2" t="str">
        <x:v>Offline</x:v>
      </x:c>
      <x:c r="T1152" s="2" t="str">
        <x:v>Synced</x:v>
      </x:c>
    </x:row>
    <x:row r="1153" ht="21" customHeight="1">
      <x:c r="A1153" s="2" t="str">
        <x:v>EV001349</x:v>
      </x:c>
      <x:c r="B1153" s="2" t="str">
        <x:v>T20261006-2-3</x:v>
      </x:c>
      <x:c r="C1153" s="2" t="str">
        <x:v>ST108</x:v>
      </x:c>
      <x:c r="D1153" s="2" t="str">
        <x:v>85ef3b20338dfa9afdf3ae5a4b1ced5c</x:v>
      </x:c>
      <x:c r="E1153" s="2" t="str">
        <x:v>CHECK_IN</x:v>
      </x:c>
      <x:c r="F1153" s="8" t="n">
        <x:v>46301.471770833334</x:v>
      </x:c>
      <x:c r="G1153" s="8" t="n">
        <x:v>46301.47179398148</x:v>
      </x:c>
      <x:c r="H1153" s="2" t="str">
        <x:v>R3S1</x:v>
      </x:c>
      <x:c r="I1153" s="9" t="n">
        <x:v>25.289</x:v>
      </x:c>
      <x:c r="J1153" s="9" t="n">
        <x:v>51.507</x:v>
      </x:c>
      <x:c r="K1153" s="2" t="n">
        <x:v>8</x:v>
      </x:c>
      <x:c r="L1153" s="2" t="str">
        <x:v>Valid</x:v>
      </x:c>
      <x:c r="M1153" s="2" t="str">
        <x:v>QR</x:v>
      </x:c>
      <x:c r="N1153" s="2" t="n">
        <x:v>1</x:v>
      </x:c>
      <x:c r="O1153" s="2" t="str">
        <x:v>Accepted</x:v>
      </x:c>
      <x:c r="P1153" s="2" t="str">
        <x:v>S003</x:v>
      </x:c>
      <x:c r="Q1153" s="2" t="str">
        <x:v>DEV003</x:v>
      </x:c>
      <x:c r="R1153" s="2" t="n">
        <x:v>26</x:v>
      </x:c>
      <x:c r="S1153" s="2" t="str">
        <x:v>Online</x:v>
      </x:c>
      <x:c r="T1153" s="2" t="str">
        <x:v>Synced</x:v>
      </x:c>
    </x:row>
    <x:row r="1154" ht="21" customHeight="1">
      <x:c r="A1154" s="2" t="str">
        <x:v>EV001053</x:v>
      </x:c>
      <x:c r="B1154" s="2" t="str">
        <x:v>T20261006-2-1</x:v>
      </x:c>
      <x:c r="C1154" s="2" t="str">
        <x:v>ST040</x:v>
      </x:c>
      <x:c r="D1154" s="2" t="str">
        <x:v>4cd5e507bb3c8af27cd11d16138dcec0</x:v>
      </x:c>
      <x:c r="E1154" s="2" t="str">
        <x:v>CHECK_IN</x:v>
      </x:c>
      <x:c r="F1154" s="8" t="n">
        <x:v>46301.47184027778</x:v>
      </x:c>
      <x:c r="G1154" s="8" t="n">
        <x:v>46301.471863425926</x:v>
      </x:c>
      <x:c r="H1154" s="2" t="str">
        <x:v>R1S1</x:v>
      </x:c>
      <x:c r="I1154" s="9" t="n">
        <x:v>25.271</x:v>
      </x:c>
      <x:c r="J1154" s="9" t="n">
        <x:v>51.491</x:v>
      </x:c>
      <x:c r="K1154" s="2" t="n">
        <x:v>8</x:v>
      </x:c>
      <x:c r="L1154" s="2" t="str">
        <x:v>Valid</x:v>
      </x:c>
      <x:c r="M1154" s="2" t="str">
        <x:v>QR</x:v>
      </x:c>
      <x:c r="N1154" s="2" t="n">
        <x:v>1</x:v>
      </x:c>
      <x:c r="O1154" s="2" t="str">
        <x:v>Accepted</x:v>
      </x:c>
      <x:c r="P1154" s="2" t="str">
        <x:v>S001</x:v>
      </x:c>
      <x:c r="Q1154" s="2" t="str">
        <x:v>DEV001</x:v>
      </x:c>
      <x:c r="R1154" s="2" t="n">
        <x:v>27</x:v>
      </x:c>
      <x:c r="S1154" s="2" t="str">
        <x:v>Online</x:v>
      </x:c>
      <x:c r="T1154" s="2" t="str">
        <x:v>Synced</x:v>
      </x:c>
    </x:row>
    <x:row r="1155" ht="21" customHeight="1">
      <x:c r="A1155" s="2" t="str">
        <x:v>EV001213</x:v>
      </x:c>
      <x:c r="B1155" s="2" t="str">
        <x:v>T20261006-2-2</x:v>
      </x:c>
      <x:c r="C1155" s="2" t="str">
        <x:v>ST080</x:v>
      </x:c>
      <x:c r="D1155" s="2" t="str">
        <x:v>0abaf17d1472c0347862177fd9880be2</x:v>
      </x:c>
      <x:c r="E1155" s="2" t="str">
        <x:v>CHECK_IN</x:v>
      </x:c>
      <x:c r="F1155" s="8" t="n">
        <x:v>46301.47184027778</x:v>
      </x:c>
      <x:c r="G1155" s="8" t="n">
        <x:v>46301.482256944444</x:v>
      </x:c>
      <x:c r="H1155" s="2" t="str">
        <x:v>R2S1</x:v>
      </x:c>
      <x:c r="I1155" s="9" t="n">
        <x:v>25.28</x:v>
      </x:c>
      <x:c r="J1155" s="9" t="n">
        <x:v>51.498999999999995</x:v>
      </x:c>
      <x:c r="K1155" s="2" t="n">
        <x:v>8</x:v>
      </x:c>
      <x:c r="L1155" s="2" t="str">
        <x:v>Valid</x:v>
      </x:c>
      <x:c r="M1155" s="2" t="str">
        <x:v>QR</x:v>
      </x:c>
      <x:c r="N1155" s="2" t="n">
        <x:v>1</x:v>
      </x:c>
      <x:c r="O1155" s="2" t="str">
        <x:v>Accepted</x:v>
      </x:c>
      <x:c r="P1155" s="2" t="str">
        <x:v>S002</x:v>
      </x:c>
      <x:c r="Q1155" s="2" t="str">
        <x:v>DEV002</x:v>
      </x:c>
      <x:c r="R1155" s="2" t="n">
        <x:v>27</x:v>
      </x:c>
      <x:c r="S1155" s="2" t="str">
        <x:v>Offline</x:v>
      </x:c>
      <x:c r="T1155" s="2" t="str">
        <x:v>Synced</x:v>
      </x:c>
    </x:row>
    <x:row r="1156" ht="21" customHeight="1">
      <x:c r="A1156" s="2" t="str">
        <x:v>EV001373</x:v>
      </x:c>
      <x:c r="B1156" s="2" t="str">
        <x:v>T20261006-2-3</x:v>
      </x:c>
      <x:c r="C1156" s="2" t="str">
        <x:v>ST120</x:v>
      </x:c>
      <x:c r="D1156" s="2" t="str">
        <x:v>c3749f3342e76b516e5c145f91308219</x:v>
      </x:c>
      <x:c r="E1156" s="2" t="str">
        <x:v>CHECK_IN</x:v>
      </x:c>
      <x:c r="F1156" s="8" t="n">
        <x:v>46301.47184027778</x:v>
      </x:c>
      <x:c r="G1156" s="8" t="n">
        <x:v>46301.471863425926</x:v>
      </x:c>
      <x:c r="H1156" s="2" t="str">
        <x:v>R3S1</x:v>
      </x:c>
      <x:c r="I1156" s="9" t="n">
        <x:v>25.289</x:v>
      </x:c>
      <x:c r="J1156" s="9" t="n">
        <x:v>51.507</x:v>
      </x:c>
      <x:c r="K1156" s="2" t="n">
        <x:v>8</x:v>
      </x:c>
      <x:c r="L1156" s="2" t="str">
        <x:v>Valid</x:v>
      </x:c>
      <x:c r="M1156" s="2" t="str">
        <x:v>QR</x:v>
      </x:c>
      <x:c r="N1156" s="2" t="n">
        <x:v>1</x:v>
      </x:c>
      <x:c r="O1156" s="2" t="str">
        <x:v>Accepted</x:v>
      </x:c>
      <x:c r="P1156" s="2" t="str">
        <x:v>S003</x:v>
      </x:c>
      <x:c r="Q1156" s="2" t="str">
        <x:v>DEV003</x:v>
      </x:c>
      <x:c r="R1156" s="2" t="n">
        <x:v>27</x:v>
      </x:c>
      <x:c r="S1156" s="2" t="str">
        <x:v>Online</x:v>
      </x:c>
      <x:c r="T1156" s="2" t="str">
        <x:v>Synced</x:v>
      </x:c>
    </x:row>
    <x:row r="1157" ht="21" customHeight="1">
      <x:c r="A1157" s="2" t="str">
        <x:v>EV001037</x:v>
      </x:c>
      <x:c r="B1157" s="2" t="str">
        <x:v>T20261006-2-1</x:v>
      </x:c>
      <x:c r="C1157" s="2" t="str">
        <x:v>ST032</x:v>
      </x:c>
      <x:c r="D1157" s="2" t="str">
        <x:v>836e2da54ccde9716995f5651a63e8c5</x:v>
      </x:c>
      <x:c r="E1157" s="2" t="str">
        <x:v>CHECK_IN</x:v>
      </x:c>
      <x:c r="F1157" s="8" t="n">
        <x:v>46301.47642361111</x:v>
      </x:c>
      <x:c r="G1157" s="8" t="n">
        <x:v>46301.476446759254</x:v>
      </x:c>
      <x:c r="H1157" s="2" t="str">
        <x:v>R1S2</x:v>
      </x:c>
      <x:c r="I1157" s="9" t="n">
        <x:v>25.273000000000003</x:v>
      </x:c>
      <x:c r="J1157" s="9" t="n">
        <x:v>51.494</x:v>
      </x:c>
      <x:c r="K1157" s="2" t="n">
        <x:v>8</x:v>
      </x:c>
      <x:c r="L1157" s="2" t="str">
        <x:v>Valid</x:v>
      </x:c>
      <x:c r="M1157" s="2" t="str">
        <x:v>QR</x:v>
      </x:c>
      <x:c r="N1157" s="2" t="n">
        <x:v>1</x:v>
      </x:c>
      <x:c r="O1157" s="2" t="str">
        <x:v>Accepted</x:v>
      </x:c>
      <x:c r="P1157" s="2" t="str">
        <x:v>S001</x:v>
      </x:c>
      <x:c r="Q1157" s="2" t="str">
        <x:v>DEV001</x:v>
      </x:c>
      <x:c r="R1157" s="2" t="n">
        <x:v>28</x:v>
      </x:c>
      <x:c r="S1157" s="2" t="str">
        <x:v>Online</x:v>
      </x:c>
      <x:c r="T1157" s="2" t="str">
        <x:v>Synced</x:v>
      </x:c>
    </x:row>
    <x:row r="1158" ht="21" customHeight="1">
      <x:c r="A1158" s="2" t="str">
        <x:v>EV001197</x:v>
      </x:c>
      <x:c r="B1158" s="2" t="str">
        <x:v>T20261006-2-2</x:v>
      </x:c>
      <x:c r="C1158" s="2" t="str">
        <x:v>ST072</x:v>
      </x:c>
      <x:c r="D1158" s="2" t="str">
        <x:v>34067027b5922171fe59ce4d7b756f1c</x:v>
      </x:c>
      <x:c r="E1158" s="2" t="str">
        <x:v>CHECK_IN</x:v>
      </x:c>
      <x:c r="F1158" s="8" t="n">
        <x:v>46301.47642361111</x:v>
      </x:c>
      <x:c r="G1158" s="8" t="n">
        <x:v>46301.48684027777</x:v>
      </x:c>
      <x:c r="H1158" s="2" t="str">
        <x:v>R2S2</x:v>
      </x:c>
      <x:c r="I1158" s="9" t="n">
        <x:v>25.282000000000004</x:v>
      </x:c>
      <x:c r="J1158" s="9" t="n">
        <x:v>51.501999999999995</x:v>
      </x:c>
      <x:c r="K1158" s="2" t="n">
        <x:v>8</x:v>
      </x:c>
      <x:c r="L1158" s="2" t="str">
        <x:v>Valid</x:v>
      </x:c>
      <x:c r="M1158" s="2" t="str">
        <x:v>QR</x:v>
      </x:c>
      <x:c r="N1158" s="2" t="n">
        <x:v>1</x:v>
      </x:c>
      <x:c r="O1158" s="2" t="str">
        <x:v>Accepted</x:v>
      </x:c>
      <x:c r="P1158" s="2" t="str">
        <x:v>S002</x:v>
      </x:c>
      <x:c r="Q1158" s="2" t="str">
        <x:v>DEV002</x:v>
      </x:c>
      <x:c r="R1158" s="2" t="n">
        <x:v>28</x:v>
      </x:c>
      <x:c r="S1158" s="2" t="str">
        <x:v>Offline</x:v>
      </x:c>
      <x:c r="T1158" s="2" t="str">
        <x:v>Synced</x:v>
      </x:c>
    </x:row>
    <x:row r="1159" ht="21" customHeight="1">
      <x:c r="A1159" s="2" t="str">
        <x:v>EV001357</x:v>
      </x:c>
      <x:c r="B1159" s="2" t="str">
        <x:v>T20261006-2-3</x:v>
      </x:c>
      <x:c r="C1159" s="2" t="str">
        <x:v>ST112</x:v>
      </x:c>
      <x:c r="D1159" s="2" t="str">
        <x:v>ca020aefc0d912af9ddca5c7ca7a2f51</x:v>
      </x:c>
      <x:c r="E1159" s="2" t="str">
        <x:v>CHECK_IN</x:v>
      </x:c>
      <x:c r="F1159" s="8" t="n">
        <x:v>46301.47642361111</x:v>
      </x:c>
      <x:c r="G1159" s="8" t="n">
        <x:v>46301.476446759254</x:v>
      </x:c>
      <x:c r="H1159" s="2" t="str">
        <x:v>R3S2</x:v>
      </x:c>
      <x:c r="I1159" s="9" t="n">
        <x:v>25.291000000000004</x:v>
      </x:c>
      <x:c r="J1159" s="9" t="n">
        <x:v>51.51</x:v>
      </x:c>
      <x:c r="K1159" s="2" t="n">
        <x:v>8</x:v>
      </x:c>
      <x:c r="L1159" s="2" t="str">
        <x:v>Valid</x:v>
      </x:c>
      <x:c r="M1159" s="2" t="str">
        <x:v>QR</x:v>
      </x:c>
      <x:c r="N1159" s="2" t="n">
        <x:v>1</x:v>
      </x:c>
      <x:c r="O1159" s="2" t="str">
        <x:v>Accepted</x:v>
      </x:c>
      <x:c r="P1159" s="2" t="str">
        <x:v>S003</x:v>
      </x:c>
      <x:c r="Q1159" s="2" t="str">
        <x:v>DEV003</x:v>
      </x:c>
      <x:c r="R1159" s="2" t="n">
        <x:v>28</x:v>
      </x:c>
      <x:c r="S1159" s="2" t="str">
        <x:v>Online</x:v>
      </x:c>
      <x:c r="T1159" s="2" t="str">
        <x:v>Synced</x:v>
      </x:c>
    </x:row>
    <x:row r="1160" ht="21" customHeight="1">
      <x:c r="A1160" s="2" t="str">
        <x:v>EV001019</x:v>
      </x:c>
      <x:c r="B1160" s="2" t="str">
        <x:v>T20261006-2-1</x:v>
      </x:c>
      <x:c r="C1160" s="2" t="str">
        <x:v>ST023</x:v>
      </x:c>
      <x:c r="D1160" s="2" t="str">
        <x:v>1836074fce688580737a08d14a26fa79</x:v>
      </x:c>
      <x:c r="E1160" s="2" t="str">
        <x:v>CHECK_IN</x:v>
      </x:c>
      <x:c r="F1160" s="8" t="n">
        <x:v>46301.47645833333</x:v>
      </x:c>
      <x:c r="G1160" s="8" t="n">
        <x:v>46301.47648148148</x:v>
      </x:c>
      <x:c r="H1160" s="2" t="str">
        <x:v>R1S2</x:v>
      </x:c>
      <x:c r="I1160" s="9" t="n">
        <x:v>25.273000000000003</x:v>
      </x:c>
      <x:c r="J1160" s="9" t="n">
        <x:v>51.494</x:v>
      </x:c>
      <x:c r="K1160" s="2" t="n">
        <x:v>8</x:v>
      </x:c>
      <x:c r="L1160" s="2" t="str">
        <x:v>Valid</x:v>
      </x:c>
      <x:c r="M1160" s="2" t="str">
        <x:v>QR</x:v>
      </x:c>
      <x:c r="N1160" s="2" t="n">
        <x:v>1</x:v>
      </x:c>
      <x:c r="O1160" s="2" t="str">
        <x:v>Accepted</x:v>
      </x:c>
      <x:c r="P1160" s="2" t="str">
        <x:v>S001</x:v>
      </x:c>
      <x:c r="Q1160" s="2" t="str">
        <x:v>DEV001</x:v>
      </x:c>
      <x:c r="R1160" s="2" t="n">
        <x:v>29</x:v>
      </x:c>
      <x:c r="S1160" s="2" t="str">
        <x:v>Online</x:v>
      </x:c>
      <x:c r="T1160" s="2" t="str">
        <x:v>Synced</x:v>
      </x:c>
    </x:row>
    <x:row r="1161" ht="21" customHeight="1">
      <x:c r="A1161" s="2" t="str">
        <x:v>EV001179</x:v>
      </x:c>
      <x:c r="B1161" s="2" t="str">
        <x:v>T20261006-2-2</x:v>
      </x:c>
      <x:c r="C1161" s="2" t="str">
        <x:v>ST063</x:v>
      </x:c>
      <x:c r="D1161" s="2" t="str">
        <x:v>46a3e8e97cbe04af0173a75d9cdbcebf</x:v>
      </x:c>
      <x:c r="E1161" s="2" t="str">
        <x:v>CHECK_IN</x:v>
      </x:c>
      <x:c r="F1161" s="8" t="n">
        <x:v>46301.47645833333</x:v>
      </x:c>
      <x:c r="G1161" s="8" t="n">
        <x:v>46301.486874999995</x:v>
      </x:c>
      <x:c r="H1161" s="2" t="str">
        <x:v>R2S2</x:v>
      </x:c>
      <x:c r="I1161" s="9" t="n">
        <x:v>25.282000000000004</x:v>
      </x:c>
      <x:c r="J1161" s="9" t="n">
        <x:v>51.501999999999995</x:v>
      </x:c>
      <x:c r="K1161" s="2" t="n">
        <x:v>8</x:v>
      </x:c>
      <x:c r="L1161" s="2" t="str">
        <x:v>Valid</x:v>
      </x:c>
      <x:c r="M1161" s="2" t="str">
        <x:v>QR</x:v>
      </x:c>
      <x:c r="N1161" s="2" t="n">
        <x:v>1</x:v>
      </x:c>
      <x:c r="O1161" s="2" t="str">
        <x:v>Accepted</x:v>
      </x:c>
      <x:c r="P1161" s="2" t="str">
        <x:v>S002</x:v>
      </x:c>
      <x:c r="Q1161" s="2" t="str">
        <x:v>DEV002</x:v>
      </x:c>
      <x:c r="R1161" s="2" t="n">
        <x:v>29</x:v>
      </x:c>
      <x:c r="S1161" s="2" t="str">
        <x:v>Offline</x:v>
      </x:c>
      <x:c r="T1161" s="2" t="str">
        <x:v>Synced</x:v>
      </x:c>
    </x:row>
    <x:row r="1162" ht="21" customHeight="1">
      <x:c r="A1162" s="2" t="str">
        <x:v>EV001339</x:v>
      </x:c>
      <x:c r="B1162" s="2" t="str">
        <x:v>T20261006-2-3</x:v>
      </x:c>
      <x:c r="C1162" s="2" t="str">
        <x:v>ST103</x:v>
      </x:c>
      <x:c r="D1162" s="2" t="str">
        <x:v>5982cfca835e14d82ed8b6562c1a172d</x:v>
      </x:c>
      <x:c r="E1162" s="2" t="str">
        <x:v>CHECK_IN</x:v>
      </x:c>
      <x:c r="F1162" s="8" t="n">
        <x:v>46301.47645833333</x:v>
      </x:c>
      <x:c r="G1162" s="8" t="n">
        <x:v>46301.47648148148</x:v>
      </x:c>
      <x:c r="H1162" s="2" t="str">
        <x:v>R3S2</x:v>
      </x:c>
      <x:c r="I1162" s="9" t="n">
        <x:v>25.291000000000004</x:v>
      </x:c>
      <x:c r="J1162" s="9" t="n">
        <x:v>51.51</x:v>
      </x:c>
      <x:c r="K1162" s="2" t="n">
        <x:v>8</x:v>
      </x:c>
      <x:c r="L1162" s="2" t="str">
        <x:v>Valid</x:v>
      </x:c>
      <x:c r="M1162" s="2" t="str">
        <x:v>QR</x:v>
      </x:c>
      <x:c r="N1162" s="2" t="n">
        <x:v>1</x:v>
      </x:c>
      <x:c r="O1162" s="2" t="str">
        <x:v>Accepted</x:v>
      </x:c>
      <x:c r="P1162" s="2" t="str">
        <x:v>S003</x:v>
      </x:c>
      <x:c r="Q1162" s="2" t="str">
        <x:v>DEV003</x:v>
      </x:c>
      <x:c r="R1162" s="2" t="n">
        <x:v>29</x:v>
      </x:c>
      <x:c r="S1162" s="2" t="str">
        <x:v>Online</x:v>
      </x:c>
      <x:c r="T1162" s="2" t="str">
        <x:v>Synced</x:v>
      </x:c>
    </x:row>
    <x:row r="1163" ht="21" customHeight="1">
      <x:c r="A1163" s="2" t="str">
        <x:v>EV001043</x:v>
      </x:c>
      <x:c r="B1163" s="2" t="str">
        <x:v>T20261006-2-1</x:v>
      </x:c>
      <x:c r="C1163" s="2" t="str">
        <x:v>ST035</x:v>
      </x:c>
      <x:c r="D1163" s="2" t="str">
        <x:v>45068f3206e9be80993e83e259ea9cdc</x:v>
      </x:c>
      <x:c r="E1163" s="2" t="str">
        <x:v>CHECK_IN</x:v>
      </x:c>
      <x:c r="F1163" s="8" t="n">
        <x:v>46301.47652777778</x:v>
      </x:c>
      <x:c r="G1163" s="8" t="n">
        <x:v>46301.47655092592</x:v>
      </x:c>
      <x:c r="H1163" s="2" t="str">
        <x:v>R1S2</x:v>
      </x:c>
      <x:c r="I1163" s="9" t="n">
        <x:v>25.273000000000003</x:v>
      </x:c>
      <x:c r="J1163" s="9" t="n">
        <x:v>51.494</x:v>
      </x:c>
      <x:c r="K1163" s="2" t="n">
        <x:v>8</x:v>
      </x:c>
      <x:c r="L1163" s="2" t="str">
        <x:v>Valid</x:v>
      </x:c>
      <x:c r="M1163" s="2" t="str">
        <x:v>QR</x:v>
      </x:c>
      <x:c r="N1163" s="2" t="n">
        <x:v>1</x:v>
      </x:c>
      <x:c r="O1163" s="2" t="str">
        <x:v>Accepted</x:v>
      </x:c>
      <x:c r="P1163" s="2" t="str">
        <x:v>S001</x:v>
      </x:c>
      <x:c r="Q1163" s="2" t="str">
        <x:v>DEV001</x:v>
      </x:c>
      <x:c r="R1163" s="2" t="n">
        <x:v>30</x:v>
      </x:c>
      <x:c r="S1163" s="2" t="str">
        <x:v>Online</x:v>
      </x:c>
      <x:c r="T1163" s="2" t="str">
        <x:v>Synced</x:v>
      </x:c>
    </x:row>
    <x:row r="1164" ht="21" customHeight="1">
      <x:c r="A1164" s="2" t="str">
        <x:v>EV001203</x:v>
      </x:c>
      <x:c r="B1164" s="2" t="str">
        <x:v>T20261006-2-2</x:v>
      </x:c>
      <x:c r="C1164" s="2" t="str">
        <x:v>ST075</x:v>
      </x:c>
      <x:c r="D1164" s="2" t="str">
        <x:v>3781d00e457977b726407cb845a294cc</x:v>
      </x:c>
      <x:c r="E1164" s="2" t="str">
        <x:v>CHECK_IN</x:v>
      </x:c>
      <x:c r="F1164" s="8" t="n">
        <x:v>46301.47652777778</x:v>
      </x:c>
      <x:c r="G1164" s="8" t="n">
        <x:v>46301.48694444444</x:v>
      </x:c>
      <x:c r="H1164" s="2" t="str">
        <x:v>R2S2</x:v>
      </x:c>
      <x:c r="I1164" s="9" t="n">
        <x:v>25.282000000000004</x:v>
      </x:c>
      <x:c r="J1164" s="9" t="n">
        <x:v>51.501999999999995</x:v>
      </x:c>
      <x:c r="K1164" s="2" t="n">
        <x:v>8</x:v>
      </x:c>
      <x:c r="L1164" s="2" t="str">
        <x:v>Valid</x:v>
      </x:c>
      <x:c r="M1164" s="2" t="str">
        <x:v>QR</x:v>
      </x:c>
      <x:c r="N1164" s="2" t="n">
        <x:v>1</x:v>
      </x:c>
      <x:c r="O1164" s="2" t="str">
        <x:v>Accepted</x:v>
      </x:c>
      <x:c r="P1164" s="2" t="str">
        <x:v>S002</x:v>
      </x:c>
      <x:c r="Q1164" s="2" t="str">
        <x:v>DEV002</x:v>
      </x:c>
      <x:c r="R1164" s="2" t="n">
        <x:v>30</x:v>
      </x:c>
      <x:c r="S1164" s="2" t="str">
        <x:v>Offline</x:v>
      </x:c>
      <x:c r="T1164" s="2" t="str">
        <x:v>Synced</x:v>
      </x:c>
    </x:row>
    <x:row r="1165" ht="21" customHeight="1">
      <x:c r="A1165" s="2" t="str">
        <x:v>EV001363</x:v>
      </x:c>
      <x:c r="B1165" s="2" t="str">
        <x:v>T20261006-2-3</x:v>
      </x:c>
      <x:c r="C1165" s="2" t="str">
        <x:v>ST115</x:v>
      </x:c>
      <x:c r="D1165" s="2" t="str">
        <x:v>dc951b9fd5f4acb1dc2ce3ca2f2e08ab</x:v>
      </x:c>
      <x:c r="E1165" s="2" t="str">
        <x:v>CHECK_IN</x:v>
      </x:c>
      <x:c r="F1165" s="8" t="n">
        <x:v>46301.47652777778</x:v>
      </x:c>
      <x:c r="G1165" s="8" t="n">
        <x:v>46301.47655092592</x:v>
      </x:c>
      <x:c r="H1165" s="2" t="str">
        <x:v>R3S2</x:v>
      </x:c>
      <x:c r="I1165" s="9" t="n">
        <x:v>25.291000000000004</x:v>
      </x:c>
      <x:c r="J1165" s="9" t="n">
        <x:v>51.51</x:v>
      </x:c>
      <x:c r="K1165" s="2" t="n">
        <x:v>8</x:v>
      </x:c>
      <x:c r="L1165" s="2" t="str">
        <x:v>Valid</x:v>
      </x:c>
      <x:c r="M1165" s="2" t="str">
        <x:v>QR</x:v>
      </x:c>
      <x:c r="N1165" s="2" t="n">
        <x:v>1</x:v>
      </x:c>
      <x:c r="O1165" s="2" t="str">
        <x:v>Accepted</x:v>
      </x:c>
      <x:c r="P1165" s="2" t="str">
        <x:v>S003</x:v>
      </x:c>
      <x:c r="Q1165" s="2" t="str">
        <x:v>DEV003</x:v>
      </x:c>
      <x:c r="R1165" s="2" t="n">
        <x:v>30</x:v>
      </x:c>
      <x:c r="S1165" s="2" t="str">
        <x:v>Online</x:v>
      </x:c>
      <x:c r="T1165" s="2" t="str">
        <x:v>Synced</x:v>
      </x:c>
    </x:row>
    <x:row r="1166" ht="21" customHeight="1">
      <x:c r="A1166" s="2" t="str">
        <x:v>EV001025</x:v>
      </x:c>
      <x:c r="B1166" s="2" t="str">
        <x:v>T20261006-2-1</x:v>
      </x:c>
      <x:c r="C1166" s="2" t="str">
        <x:v>ST026</x:v>
      </x:c>
      <x:c r="D1166" s="2" t="str">
        <x:v>56aea196eabcf09e1199afbd5e8907b0</x:v>
      </x:c>
      <x:c r="E1166" s="2" t="str">
        <x:v>CHECK_IN</x:v>
      </x:c>
      <x:c r="F1166" s="8" t="n">
        <x:v>46301.47656249999</x:v>
      </x:c>
      <x:c r="G1166" s="8" t="n">
        <x:v>46301.47658564814</x:v>
      </x:c>
      <x:c r="H1166" s="2" t="str">
        <x:v>R1S2</x:v>
      </x:c>
      <x:c r="I1166" s="9" t="n">
        <x:v>25.273000000000003</x:v>
      </x:c>
      <x:c r="J1166" s="9" t="n">
        <x:v>51.494</x:v>
      </x:c>
      <x:c r="K1166" s="2" t="n">
        <x:v>8</x:v>
      </x:c>
      <x:c r="L1166" s="2" t="str">
        <x:v>Valid</x:v>
      </x:c>
      <x:c r="M1166" s="2" t="str">
        <x:v>QR</x:v>
      </x:c>
      <x:c r="N1166" s="2" t="n">
        <x:v>1</x:v>
      </x:c>
      <x:c r="O1166" s="2" t="str">
        <x:v>Accepted</x:v>
      </x:c>
      <x:c r="P1166" s="2" t="str">
        <x:v>S001</x:v>
      </x:c>
      <x:c r="Q1166" s="2" t="str">
        <x:v>DEV001</x:v>
      </x:c>
      <x:c r="R1166" s="2" t="n">
        <x:v>31</x:v>
      </x:c>
      <x:c r="S1166" s="2" t="str">
        <x:v>Online</x:v>
      </x:c>
      <x:c r="T1166" s="2" t="str">
        <x:v>Synced</x:v>
      </x:c>
    </x:row>
    <x:row r="1167" ht="21" customHeight="1">
      <x:c r="A1167" s="2" t="str">
        <x:v>EV001185</x:v>
      </x:c>
      <x:c r="B1167" s="2" t="str">
        <x:v>T20261006-2-2</x:v>
      </x:c>
      <x:c r="C1167" s="2" t="str">
        <x:v>ST066</x:v>
      </x:c>
      <x:c r="D1167" s="2" t="str">
        <x:v>f1ae8019085f4d0a77552e53fdc22aa7</x:v>
      </x:c>
      <x:c r="E1167" s="2" t="str">
        <x:v>CHECK_IN</x:v>
      </x:c>
      <x:c r="F1167" s="8" t="n">
        <x:v>46301.47656249999</x:v>
      </x:c>
      <x:c r="G1167" s="8" t="n">
        <x:v>46301.48697916666</x:v>
      </x:c>
      <x:c r="H1167" s="2" t="str">
        <x:v>R2S2</x:v>
      </x:c>
      <x:c r="I1167" s="9" t="n">
        <x:v>25.282000000000004</x:v>
      </x:c>
      <x:c r="J1167" s="9" t="n">
        <x:v>51.501999999999995</x:v>
      </x:c>
      <x:c r="K1167" s="2" t="n">
        <x:v>8</x:v>
      </x:c>
      <x:c r="L1167" s="2" t="str">
        <x:v>Valid</x:v>
      </x:c>
      <x:c r="M1167" s="2" t="str">
        <x:v>QR</x:v>
      </x:c>
      <x:c r="N1167" s="2" t="n">
        <x:v>1</x:v>
      </x:c>
      <x:c r="O1167" s="2" t="str">
        <x:v>Accepted</x:v>
      </x:c>
      <x:c r="P1167" s="2" t="str">
        <x:v>S002</x:v>
      </x:c>
      <x:c r="Q1167" s="2" t="str">
        <x:v>DEV002</x:v>
      </x:c>
      <x:c r="R1167" s="2" t="n">
        <x:v>31</x:v>
      </x:c>
      <x:c r="S1167" s="2" t="str">
        <x:v>Offline</x:v>
      </x:c>
      <x:c r="T1167" s="2" t="str">
        <x:v>Synced</x:v>
      </x:c>
    </x:row>
    <x:row r="1168" ht="21" customHeight="1">
      <x:c r="A1168" s="2" t="str">
        <x:v>EV001345</x:v>
      </x:c>
      <x:c r="B1168" s="2" t="str">
        <x:v>T20261006-2-3</x:v>
      </x:c>
      <x:c r="C1168" s="2" t="str">
        <x:v>ST106</x:v>
      </x:c>
      <x:c r="D1168" s="2" t="str">
        <x:v>9bd191644f26d4fc266418c96f36f10b</x:v>
      </x:c>
      <x:c r="E1168" s="2" t="str">
        <x:v>CHECK_IN</x:v>
      </x:c>
      <x:c r="F1168" s="8" t="n">
        <x:v>46301.47656249999</x:v>
      </x:c>
      <x:c r="G1168" s="8" t="n">
        <x:v>46301.47658564814</x:v>
      </x:c>
      <x:c r="H1168" s="2" t="str">
        <x:v>R3S2</x:v>
      </x:c>
      <x:c r="I1168" s="9" t="n">
        <x:v>25.291000000000004</x:v>
      </x:c>
      <x:c r="J1168" s="9" t="n">
        <x:v>51.51</x:v>
      </x:c>
      <x:c r="K1168" s="2" t="n">
        <x:v>8</x:v>
      </x:c>
      <x:c r="L1168" s="2" t="str">
        <x:v>Valid</x:v>
      </x:c>
      <x:c r="M1168" s="2" t="str">
        <x:v>QR</x:v>
      </x:c>
      <x:c r="N1168" s="2" t="n">
        <x:v>1</x:v>
      </x:c>
      <x:c r="O1168" s="2" t="str">
        <x:v>Accepted</x:v>
      </x:c>
      <x:c r="P1168" s="2" t="str">
        <x:v>S003</x:v>
      </x:c>
      <x:c r="Q1168" s="2" t="str">
        <x:v>DEV003</x:v>
      </x:c>
      <x:c r="R1168" s="2" t="n">
        <x:v>31</x:v>
      </x:c>
      <x:c r="S1168" s="2" t="str">
        <x:v>Online</x:v>
      </x:c>
      <x:c r="T1168" s="2" t="str">
        <x:v>Synced</x:v>
      </x:c>
    </x:row>
    <x:row r="1169" ht="21" customHeight="1">
      <x:c r="A1169" s="2" t="str">
        <x:v>EV001049</x:v>
      </x:c>
      <x:c r="B1169" s="2" t="str">
        <x:v>T20261006-2-1</x:v>
      </x:c>
      <x:c r="C1169" s="2" t="str">
        <x:v>ST038</x:v>
      </x:c>
      <x:c r="D1169" s="2" t="str">
        <x:v>1ebedd777293ba897970ae7fc06b6301</x:v>
      </x:c>
      <x:c r="E1169" s="2" t="str">
        <x:v>CHECK_IN</x:v>
      </x:c>
      <x:c r="F1169" s="8" t="n">
        <x:v>46301.47663194444</x:v>
      </x:c>
      <x:c r="G1169" s="8" t="n">
        <x:v>46301.476655092585</x:v>
      </x:c>
      <x:c r="H1169" s="2" t="str">
        <x:v>R1S2</x:v>
      </x:c>
      <x:c r="I1169" s="9" t="n">
        <x:v>25.273000000000003</x:v>
      </x:c>
      <x:c r="J1169" s="9" t="n">
        <x:v>51.494</x:v>
      </x:c>
      <x:c r="K1169" s="2" t="n">
        <x:v>8</x:v>
      </x:c>
      <x:c r="L1169" s="2" t="str">
        <x:v>Valid</x:v>
      </x:c>
      <x:c r="M1169" s="2" t="str">
        <x:v>QR</x:v>
      </x:c>
      <x:c r="N1169" s="2" t="n">
        <x:v>1</x:v>
      </x:c>
      <x:c r="O1169" s="2" t="str">
        <x:v>Accepted</x:v>
      </x:c>
      <x:c r="P1169" s="2" t="str">
        <x:v>S001</x:v>
      </x:c>
      <x:c r="Q1169" s="2" t="str">
        <x:v>DEV001</x:v>
      </x:c>
      <x:c r="R1169" s="2" t="n">
        <x:v>32</x:v>
      </x:c>
      <x:c r="S1169" s="2" t="str">
        <x:v>Online</x:v>
      </x:c>
      <x:c r="T1169" s="2" t="str">
        <x:v>Synced</x:v>
      </x:c>
    </x:row>
    <x:row r="1170" ht="21" customHeight="1">
      <x:c r="A1170" s="2" t="str">
        <x:v>EV001209</x:v>
      </x:c>
      <x:c r="B1170" s="2" t="str">
        <x:v>T20261006-2-2</x:v>
      </x:c>
      <x:c r="C1170" s="2" t="str">
        <x:v>ST078</x:v>
      </x:c>
      <x:c r="D1170" s="2" t="str">
        <x:v>737ab4e672bf11e638a47ae295f7e187</x:v>
      </x:c>
      <x:c r="E1170" s="2" t="str">
        <x:v>CHECK_IN</x:v>
      </x:c>
      <x:c r="F1170" s="8" t="n">
        <x:v>46301.47663194444</x:v>
      </x:c>
      <x:c r="G1170" s="8" t="n">
        <x:v>46301.4870486111</x:v>
      </x:c>
      <x:c r="H1170" s="2" t="str">
        <x:v>R2S2</x:v>
      </x:c>
      <x:c r="I1170" s="9" t="n">
        <x:v>25.282000000000004</x:v>
      </x:c>
      <x:c r="J1170" s="9" t="n">
        <x:v>51.501999999999995</x:v>
      </x:c>
      <x:c r="K1170" s="2" t="n">
        <x:v>8</x:v>
      </x:c>
      <x:c r="L1170" s="2" t="str">
        <x:v>Valid</x:v>
      </x:c>
      <x:c r="M1170" s="2" t="str">
        <x:v>QR</x:v>
      </x:c>
      <x:c r="N1170" s="2" t="n">
        <x:v>1</x:v>
      </x:c>
      <x:c r="O1170" s="2" t="str">
        <x:v>Accepted</x:v>
      </x:c>
      <x:c r="P1170" s="2" t="str">
        <x:v>S002</x:v>
      </x:c>
      <x:c r="Q1170" s="2" t="str">
        <x:v>DEV002</x:v>
      </x:c>
      <x:c r="R1170" s="2" t="n">
        <x:v>32</x:v>
      </x:c>
      <x:c r="S1170" s="2" t="str">
        <x:v>Offline</x:v>
      </x:c>
      <x:c r="T1170" s="2" t="str">
        <x:v>Synced</x:v>
      </x:c>
    </x:row>
    <x:row r="1171" ht="21" customHeight="1">
      <x:c r="A1171" s="2" t="str">
        <x:v>EV001369</x:v>
      </x:c>
      <x:c r="B1171" s="2" t="str">
        <x:v>T20261006-2-3</x:v>
      </x:c>
      <x:c r="C1171" s="2" t="str">
        <x:v>ST118</x:v>
      </x:c>
      <x:c r="D1171" s="2" t="str">
        <x:v>b15012a6111b47a10bdbbcbbd00c9f60</x:v>
      </x:c>
      <x:c r="E1171" s="2" t="str">
        <x:v>CHECK_IN</x:v>
      </x:c>
      <x:c r="F1171" s="8" t="n">
        <x:v>46301.47663194444</x:v>
      </x:c>
      <x:c r="G1171" s="8" t="n">
        <x:v>46301.476655092585</x:v>
      </x:c>
      <x:c r="H1171" s="2" t="str">
        <x:v>R3S2</x:v>
      </x:c>
      <x:c r="I1171" s="9" t="n">
        <x:v>25.291000000000004</x:v>
      </x:c>
      <x:c r="J1171" s="9" t="n">
        <x:v>51.51</x:v>
      </x:c>
      <x:c r="K1171" s="2" t="n">
        <x:v>8</x:v>
      </x:c>
      <x:c r="L1171" s="2" t="str">
        <x:v>Valid</x:v>
      </x:c>
      <x:c r="M1171" s="2" t="str">
        <x:v>QR</x:v>
      </x:c>
      <x:c r="N1171" s="2" t="n">
        <x:v>1</x:v>
      </x:c>
      <x:c r="O1171" s="2" t="str">
        <x:v>Accepted</x:v>
      </x:c>
      <x:c r="P1171" s="2" t="str">
        <x:v>S003</x:v>
      </x:c>
      <x:c r="Q1171" s="2" t="str">
        <x:v>DEV003</x:v>
      </x:c>
      <x:c r="R1171" s="2" t="n">
        <x:v>32</x:v>
      </x:c>
      <x:c r="S1171" s="2" t="str">
        <x:v>Online</x:v>
      </x:c>
      <x:c r="T1171" s="2" t="str">
        <x:v>Synced</x:v>
      </x:c>
    </x:row>
    <x:row r="1172" ht="21" customHeight="1">
      <x:c r="A1172" s="2" t="str">
        <x:v>EV001031</x:v>
      </x:c>
      <x:c r="B1172" s="2" t="str">
        <x:v>T20261006-2-1</x:v>
      </x:c>
      <x:c r="C1172" s="2" t="str">
        <x:v>ST029</x:v>
      </x:c>
      <x:c r="D1172" s="2" t="str">
        <x:v>160c4caa69875e092299cd9b55dcda0b</x:v>
      </x:c>
      <x:c r="E1172" s="2" t="str">
        <x:v>CHECK_IN</x:v>
      </x:c>
      <x:c r="F1172" s="8" t="n">
        <x:v>46301.47666666666</x:v>
      </x:c>
      <x:c r="G1172" s="8" t="n">
        <x:v>46301.47668981481</x:v>
      </x:c>
      <x:c r="H1172" s="2" t="str">
        <x:v>R1S2</x:v>
      </x:c>
      <x:c r="I1172" s="9" t="n">
        <x:v>25.273000000000003</x:v>
      </x:c>
      <x:c r="J1172" s="9" t="n">
        <x:v>51.494</x:v>
      </x:c>
      <x:c r="K1172" s="2" t="n">
        <x:v>8</x:v>
      </x:c>
      <x:c r="L1172" s="2" t="str">
        <x:v>Valid</x:v>
      </x:c>
      <x:c r="M1172" s="2" t="str">
        <x:v>QR</x:v>
      </x:c>
      <x:c r="N1172" s="2" t="n">
        <x:v>1</x:v>
      </x:c>
      <x:c r="O1172" s="2" t="str">
        <x:v>Accepted</x:v>
      </x:c>
      <x:c r="P1172" s="2" t="str">
        <x:v>S001</x:v>
      </x:c>
      <x:c r="Q1172" s="2" t="str">
        <x:v>DEV001</x:v>
      </x:c>
      <x:c r="R1172" s="2" t="n">
        <x:v>33</x:v>
      </x:c>
      <x:c r="S1172" s="2" t="str">
        <x:v>Online</x:v>
      </x:c>
      <x:c r="T1172" s="2" t="str">
        <x:v>Synced</x:v>
      </x:c>
    </x:row>
    <x:row r="1173" ht="21" customHeight="1">
      <x:c r="A1173" s="2" t="str">
        <x:v>EV001191</x:v>
      </x:c>
      <x:c r="B1173" s="2" t="str">
        <x:v>T20261006-2-2</x:v>
      </x:c>
      <x:c r="C1173" s="2" t="str">
        <x:v>ST069</x:v>
      </x:c>
      <x:c r="D1173" s="2" t="str">
        <x:v>d453525f57933d1df9d056e2e53ed3e4</x:v>
      </x:c>
      <x:c r="E1173" s="2" t="str">
        <x:v>CHECK_IN</x:v>
      </x:c>
      <x:c r="F1173" s="8" t="n">
        <x:v>46301.47666666666</x:v>
      </x:c>
      <x:c r="G1173" s="8" t="n">
        <x:v>46301.487083333326</x:v>
      </x:c>
      <x:c r="H1173" s="2" t="str">
        <x:v>R2S2</x:v>
      </x:c>
      <x:c r="I1173" s="9" t="n">
        <x:v>25.282000000000004</x:v>
      </x:c>
      <x:c r="J1173" s="9" t="n">
        <x:v>51.501999999999995</x:v>
      </x:c>
      <x:c r="K1173" s="2" t="n">
        <x:v>8</x:v>
      </x:c>
      <x:c r="L1173" s="2" t="str">
        <x:v>Valid</x:v>
      </x:c>
      <x:c r="M1173" s="2" t="str">
        <x:v>QR</x:v>
      </x:c>
      <x:c r="N1173" s="2" t="n">
        <x:v>1</x:v>
      </x:c>
      <x:c r="O1173" s="2" t="str">
        <x:v>Accepted</x:v>
      </x:c>
      <x:c r="P1173" s="2" t="str">
        <x:v>S002</x:v>
      </x:c>
      <x:c r="Q1173" s="2" t="str">
        <x:v>DEV002</x:v>
      </x:c>
      <x:c r="R1173" s="2" t="n">
        <x:v>33</x:v>
      </x:c>
      <x:c r="S1173" s="2" t="str">
        <x:v>Offline</x:v>
      </x:c>
      <x:c r="T1173" s="2" t="str">
        <x:v>Synced</x:v>
      </x:c>
    </x:row>
    <x:row r="1174" ht="21" customHeight="1">
      <x:c r="A1174" s="2" t="str">
        <x:v>EV001351</x:v>
      </x:c>
      <x:c r="B1174" s="2" t="str">
        <x:v>T20261006-2-3</x:v>
      </x:c>
      <x:c r="C1174" s="2" t="str">
        <x:v>ST109</x:v>
      </x:c>
      <x:c r="D1174" s="2" t="str">
        <x:v>dfd493c800846e3efc35048335bd557b</x:v>
      </x:c>
      <x:c r="E1174" s="2" t="str">
        <x:v>CHECK_IN</x:v>
      </x:c>
      <x:c r="F1174" s="8" t="n">
        <x:v>46301.47666666666</x:v>
      </x:c>
      <x:c r="G1174" s="8" t="n">
        <x:v>46301.47668981481</x:v>
      </x:c>
      <x:c r="H1174" s="2" t="str">
        <x:v>R3S2</x:v>
      </x:c>
      <x:c r="I1174" s="9" t="n">
        <x:v>25.291000000000004</x:v>
      </x:c>
      <x:c r="J1174" s="9" t="n">
        <x:v>51.51</x:v>
      </x:c>
      <x:c r="K1174" s="2" t="n">
        <x:v>8</x:v>
      </x:c>
      <x:c r="L1174" s="2" t="str">
        <x:v>Valid</x:v>
      </x:c>
      <x:c r="M1174" s="2" t="str">
        <x:v>QR</x:v>
      </x:c>
      <x:c r="N1174" s="2" t="n">
        <x:v>1</x:v>
      </x:c>
      <x:c r="O1174" s="2" t="str">
        <x:v>Accepted</x:v>
      </x:c>
      <x:c r="P1174" s="2" t="str">
        <x:v>S003</x:v>
      </x:c>
      <x:c r="Q1174" s="2" t="str">
        <x:v>DEV003</x:v>
      </x:c>
      <x:c r="R1174" s="2" t="n">
        <x:v>33</x:v>
      </x:c>
      <x:c r="S1174" s="2" t="str">
        <x:v>Online</x:v>
      </x:c>
      <x:c r="T1174" s="2" t="str">
        <x:v>Synced</x:v>
      </x:c>
    </x:row>
    <x:row r="1175" ht="21" customHeight="1">
      <x:c r="A1175" s="2" t="str">
        <x:v>EV001015</x:v>
      </x:c>
      <x:c r="B1175" s="2" t="str">
        <x:v>T20261006-2-1</x:v>
      </x:c>
      <x:c r="C1175" s="2" t="str">
        <x:v>ST021</x:v>
      </x:c>
      <x:c r="D1175" s="2" t="str">
        <x:v>9b1608e5663d6da53cd805c8051dedd7</x:v>
      </x:c>
      <x:c r="E1175" s="2" t="str">
        <x:v>CHECK_IN</x:v>
      </x:c>
      <x:c r="F1175" s="8" t="n">
        <x:v>46301.48125</x:v>
      </x:c>
      <x:c r="G1175" s="8" t="n">
        <x:v>46301.48127314814</x:v>
      </x:c>
      <x:c r="H1175" s="2" t="str">
        <x:v>R1S3</x:v>
      </x:c>
      <x:c r="I1175" s="9" t="n">
        <x:v>25.275000000000002</x:v>
      </x:c>
      <x:c r="J1175" s="9" t="n">
        <x:v>51.497</x:v>
      </x:c>
      <x:c r="K1175" s="2" t="n">
        <x:v>8</x:v>
      </x:c>
      <x:c r="L1175" s="2" t="str">
        <x:v>Valid</x:v>
      </x:c>
      <x:c r="M1175" s="2" t="str">
        <x:v>QR</x:v>
      </x:c>
      <x:c r="N1175" s="2" t="n">
        <x:v>1</x:v>
      </x:c>
      <x:c r="O1175" s="2" t="str">
        <x:v>Accepted</x:v>
      </x:c>
      <x:c r="P1175" s="2" t="str">
        <x:v>S001</x:v>
      </x:c>
      <x:c r="Q1175" s="2" t="str">
        <x:v>DEV001</x:v>
      </x:c>
      <x:c r="R1175" s="2" t="n">
        <x:v>34</x:v>
      </x:c>
      <x:c r="S1175" s="2" t="str">
        <x:v>Online</x:v>
      </x:c>
      <x:c r="T1175" s="2" t="str">
        <x:v>Synced</x:v>
      </x:c>
    </x:row>
    <x:row r="1176" ht="21" customHeight="1">
      <x:c r="A1176" s="2" t="str">
        <x:v>EV001175</x:v>
      </x:c>
      <x:c r="B1176" s="2" t="str">
        <x:v>T20261006-2-2</x:v>
      </x:c>
      <x:c r="C1176" s="2" t="str">
        <x:v>ST061</x:v>
      </x:c>
      <x:c r="D1176" s="2" t="str">
        <x:v>c547cb31f14853ae1f9f2436554d3271</x:v>
      </x:c>
      <x:c r="E1176" s="2" t="str">
        <x:v>CHECK_IN</x:v>
      </x:c>
      <x:c r="F1176" s="8" t="n">
        <x:v>46301.48125</x:v>
      </x:c>
      <x:c r="G1176" s="8" t="n">
        <x:v>46301.49166666666</x:v>
      </x:c>
      <x:c r="H1176" s="2" t="str">
        <x:v>R2S3</x:v>
      </x:c>
      <x:c r="I1176" s="9" t="n">
        <x:v>25.284000000000002</x:v>
      </x:c>
      <x:c r="J1176" s="9" t="n">
        <x:v>51.504999999999995</x:v>
      </x:c>
      <x:c r="K1176" s="2" t="n">
        <x:v>8</x:v>
      </x:c>
      <x:c r="L1176" s="2" t="str">
        <x:v>Valid</x:v>
      </x:c>
      <x:c r="M1176" s="2" t="str">
        <x:v>QR</x:v>
      </x:c>
      <x:c r="N1176" s="2" t="n">
        <x:v>1</x:v>
      </x:c>
      <x:c r="O1176" s="2" t="str">
        <x:v>Accepted</x:v>
      </x:c>
      <x:c r="P1176" s="2" t="str">
        <x:v>S002</x:v>
      </x:c>
      <x:c r="Q1176" s="2" t="str">
        <x:v>DEV002</x:v>
      </x:c>
      <x:c r="R1176" s="2" t="n">
        <x:v>34</x:v>
      </x:c>
      <x:c r="S1176" s="2" t="str">
        <x:v>Offline</x:v>
      </x:c>
      <x:c r="T1176" s="2" t="str">
        <x:v>Synced</x:v>
      </x:c>
    </x:row>
    <x:row r="1177" ht="21" customHeight="1">
      <x:c r="A1177" s="2" t="str">
        <x:v>EV001335</x:v>
      </x:c>
      <x:c r="B1177" s="2" t="str">
        <x:v>T20261006-2-3</x:v>
      </x:c>
      <x:c r="C1177" s="2" t="str">
        <x:v>ST101</x:v>
      </x:c>
      <x:c r="D1177" s="2" t="str">
        <x:v>9f8e180c63d3ff8d3e393db3573884a8</x:v>
      </x:c>
      <x:c r="E1177" s="2" t="str">
        <x:v>CHECK_IN</x:v>
      </x:c>
      <x:c r="F1177" s="8" t="n">
        <x:v>46301.48125</x:v>
      </x:c>
      <x:c r="G1177" s="8" t="n">
        <x:v>46301.48127314814</x:v>
      </x:c>
      <x:c r="H1177" s="2" t="str">
        <x:v>R3S3</x:v>
      </x:c>
      <x:c r="I1177" s="9" t="n">
        <x:v>25.293000000000003</x:v>
      </x:c>
      <x:c r="J1177" s="9" t="n">
        <x:v>51.513</x:v>
      </x:c>
      <x:c r="K1177" s="2" t="n">
        <x:v>8</x:v>
      </x:c>
      <x:c r="L1177" s="2" t="str">
        <x:v>Valid</x:v>
      </x:c>
      <x:c r="M1177" s="2" t="str">
        <x:v>QR</x:v>
      </x:c>
      <x:c r="N1177" s="2" t="n">
        <x:v>1</x:v>
      </x:c>
      <x:c r="O1177" s="2" t="str">
        <x:v>Accepted</x:v>
      </x:c>
      <x:c r="P1177" s="2" t="str">
        <x:v>S003</x:v>
      </x:c>
      <x:c r="Q1177" s="2" t="str">
        <x:v>DEV003</x:v>
      </x:c>
      <x:c r="R1177" s="2" t="n">
        <x:v>34</x:v>
      </x:c>
      <x:c r="S1177" s="2" t="str">
        <x:v>Online</x:v>
      </x:c>
      <x:c r="T1177" s="2" t="str">
        <x:v>Synced</x:v>
      </x:c>
    </x:row>
    <x:row r="1178" ht="21" customHeight="1">
      <x:c r="A1178" s="2" t="str">
        <x:v>EV001039</x:v>
      </x:c>
      <x:c r="B1178" s="2" t="str">
        <x:v>T20261006-2-1</x:v>
      </x:c>
      <x:c r="C1178" s="2" t="str">
        <x:v>ST033</x:v>
      </x:c>
      <x:c r="D1178" s="2" t="str">
        <x:v>c9cc8ddf1b5bae8b49929340838e300a</x:v>
      </x:c>
      <x:c r="E1178" s="2" t="str">
        <x:v>CHECK_IN</x:v>
      </x:c>
      <x:c r="F1178" s="8" t="n">
        <x:v>46301.48131944444</x:v>
      </x:c>
      <x:c r="G1178" s="8" t="n">
        <x:v>46301.48134259259</x:v>
      </x:c>
      <x:c r="H1178" s="2" t="str">
        <x:v>R1S3</x:v>
      </x:c>
      <x:c r="I1178" s="9" t="n">
        <x:v>25.275000000000002</x:v>
      </x:c>
      <x:c r="J1178" s="9" t="n">
        <x:v>51.497</x:v>
      </x:c>
      <x:c r="K1178" s="2" t="n">
        <x:v>8</x:v>
      </x:c>
      <x:c r="L1178" s="2" t="str">
        <x:v>Valid</x:v>
      </x:c>
      <x:c r="M1178" s="2" t="str">
        <x:v>QR</x:v>
      </x:c>
      <x:c r="N1178" s="2" t="n">
        <x:v>1</x:v>
      </x:c>
      <x:c r="O1178" s="2" t="str">
        <x:v>Accepted</x:v>
      </x:c>
      <x:c r="P1178" s="2" t="str">
        <x:v>S001</x:v>
      </x:c>
      <x:c r="Q1178" s="2" t="str">
        <x:v>DEV001</x:v>
      </x:c>
      <x:c r="R1178" s="2" t="n">
        <x:v>35</x:v>
      </x:c>
      <x:c r="S1178" s="2" t="str">
        <x:v>Online</x:v>
      </x:c>
      <x:c r="T1178" s="2" t="str">
        <x:v>Synced</x:v>
      </x:c>
    </x:row>
    <x:row r="1179" ht="21" customHeight="1">
      <x:c r="A1179" s="2" t="str">
        <x:v>EV001199</x:v>
      </x:c>
      <x:c r="B1179" s="2" t="str">
        <x:v>T20261006-2-2</x:v>
      </x:c>
      <x:c r="C1179" s="2" t="str">
        <x:v>ST073</x:v>
      </x:c>
      <x:c r="D1179" s="2" t="str">
        <x:v>b27180ce7590c0aac206d465f318b712</x:v>
      </x:c>
      <x:c r="E1179" s="2" t="str">
        <x:v>CHECK_IN</x:v>
      </x:c>
      <x:c r="F1179" s="8" t="n">
        <x:v>46301.48131944444</x:v>
      </x:c>
      <x:c r="G1179" s="8" t="n">
        <x:v>46301.49173611111</x:v>
      </x:c>
      <x:c r="H1179" s="2" t="str">
        <x:v>R2S3</x:v>
      </x:c>
      <x:c r="I1179" s="9" t="n">
        <x:v>25.284000000000002</x:v>
      </x:c>
      <x:c r="J1179" s="9" t="n">
        <x:v>51.504999999999995</x:v>
      </x:c>
      <x:c r="K1179" s="2" t="n">
        <x:v>8</x:v>
      </x:c>
      <x:c r="L1179" s="2" t="str">
        <x:v>Valid</x:v>
      </x:c>
      <x:c r="M1179" s="2" t="str">
        <x:v>QR</x:v>
      </x:c>
      <x:c r="N1179" s="2" t="n">
        <x:v>1</x:v>
      </x:c>
      <x:c r="O1179" s="2" t="str">
        <x:v>Accepted</x:v>
      </x:c>
      <x:c r="P1179" s="2" t="str">
        <x:v>S002</x:v>
      </x:c>
      <x:c r="Q1179" s="2" t="str">
        <x:v>DEV002</x:v>
      </x:c>
      <x:c r="R1179" s="2" t="n">
        <x:v>35</x:v>
      </x:c>
      <x:c r="S1179" s="2" t="str">
        <x:v>Offline</x:v>
      </x:c>
      <x:c r="T1179" s="2" t="str">
        <x:v>Synced</x:v>
      </x:c>
    </x:row>
    <x:row r="1180" ht="21" customHeight="1">
      <x:c r="A1180" s="2" t="str">
        <x:v>EV001359</x:v>
      </x:c>
      <x:c r="B1180" s="2" t="str">
        <x:v>T20261006-2-3</x:v>
      </x:c>
      <x:c r="C1180" s="2" t="str">
        <x:v>ST113</x:v>
      </x:c>
      <x:c r="D1180" s="2" t="str">
        <x:v>c3781e168737a6cc1190d4415801c440</x:v>
      </x:c>
      <x:c r="E1180" s="2" t="str">
        <x:v>CHECK_IN</x:v>
      </x:c>
      <x:c r="F1180" s="8" t="n">
        <x:v>46301.48131944444</x:v>
      </x:c>
      <x:c r="G1180" s="8" t="n">
        <x:v>46301.48134259259</x:v>
      </x:c>
      <x:c r="H1180" s="2" t="str">
        <x:v>R3S3</x:v>
      </x:c>
      <x:c r="I1180" s="9" t="n">
        <x:v>25.293000000000003</x:v>
      </x:c>
      <x:c r="J1180" s="9" t="n">
        <x:v>51.513</x:v>
      </x:c>
      <x:c r="K1180" s="2" t="n">
        <x:v>8</x:v>
      </x:c>
      <x:c r="L1180" s="2" t="str">
        <x:v>Valid</x:v>
      </x:c>
      <x:c r="M1180" s="2" t="str">
        <x:v>QR</x:v>
      </x:c>
      <x:c r="N1180" s="2" t="n">
        <x:v>1</x:v>
      </x:c>
      <x:c r="O1180" s="2" t="str">
        <x:v>Accepted</x:v>
      </x:c>
      <x:c r="P1180" s="2" t="str">
        <x:v>S003</x:v>
      </x:c>
      <x:c r="Q1180" s="2" t="str">
        <x:v>DEV003</x:v>
      </x:c>
      <x:c r="R1180" s="2" t="n">
        <x:v>35</x:v>
      </x:c>
      <x:c r="S1180" s="2" t="str">
        <x:v>Online</x:v>
      </x:c>
      <x:c r="T1180" s="2" t="str">
        <x:v>Synced</x:v>
      </x:c>
    </x:row>
    <x:row r="1181" ht="21" customHeight="1">
      <x:c r="A1181" s="2" t="str">
        <x:v>EV001021</x:v>
      </x:c>
      <x:c r="B1181" s="2" t="str">
        <x:v>T20261006-2-1</x:v>
      </x:c>
      <x:c r="C1181" s="2" t="str">
        <x:v>ST024</x:v>
      </x:c>
      <x:c r="D1181" s="2" t="str">
        <x:v>df785f1577b8ee7f71835020d03a12a6</x:v>
      </x:c>
      <x:c r="E1181" s="2" t="str">
        <x:v>CHECK_IN</x:v>
      </x:c>
      <x:c r="F1181" s="8" t="n">
        <x:v>46301.481354166666</x:v>
      </x:c>
      <x:c r="G1181" s="8" t="n">
        <x:v>46301.48137731481</x:v>
      </x:c>
      <x:c r="H1181" s="2" t="str">
        <x:v>R1S3</x:v>
      </x:c>
      <x:c r="I1181" s="9" t="n">
        <x:v>25.275000000000002</x:v>
      </x:c>
      <x:c r="J1181" s="9" t="n">
        <x:v>51.497</x:v>
      </x:c>
      <x:c r="K1181" s="2" t="n">
        <x:v>8</x:v>
      </x:c>
      <x:c r="L1181" s="2" t="str">
        <x:v>Valid</x:v>
      </x:c>
      <x:c r="M1181" s="2" t="str">
        <x:v>QR</x:v>
      </x:c>
      <x:c r="N1181" s="2" t="n">
        <x:v>1</x:v>
      </x:c>
      <x:c r="O1181" s="2" t="str">
        <x:v>Accepted</x:v>
      </x:c>
      <x:c r="P1181" s="2" t="str">
        <x:v>S001</x:v>
      </x:c>
      <x:c r="Q1181" s="2" t="str">
        <x:v>DEV001</x:v>
      </x:c>
      <x:c r="R1181" s="2" t="n">
        <x:v>36</x:v>
      </x:c>
      <x:c r="S1181" s="2" t="str">
        <x:v>Online</x:v>
      </x:c>
      <x:c r="T1181" s="2" t="str">
        <x:v>Synced</x:v>
      </x:c>
    </x:row>
    <x:row r="1182" ht="21" customHeight="1">
      <x:c r="A1182" s="2" t="str">
        <x:v>EV001181</x:v>
      </x:c>
      <x:c r="B1182" s="2" t="str">
        <x:v>T20261006-2-2</x:v>
      </x:c>
      <x:c r="C1182" s="2" t="str">
        <x:v>ST064</x:v>
      </x:c>
      <x:c r="D1182" s="2" t="str">
        <x:v>80debd99a6cfe1ca0800304796fd69ff</x:v>
      </x:c>
      <x:c r="E1182" s="2" t="str">
        <x:v>CHECK_IN</x:v>
      </x:c>
      <x:c r="F1182" s="8" t="n">
        <x:v>46301.481354166666</x:v>
      </x:c>
      <x:c r="G1182" s="8" t="n">
        <x:v>46301.49177083333</x:v>
      </x:c>
      <x:c r="H1182" s="2" t="str">
        <x:v>R2S3</x:v>
      </x:c>
      <x:c r="I1182" s="9" t="n">
        <x:v>25.284000000000002</x:v>
      </x:c>
      <x:c r="J1182" s="9" t="n">
        <x:v>51.504999999999995</x:v>
      </x:c>
      <x:c r="K1182" s="2" t="n">
        <x:v>8</x:v>
      </x:c>
      <x:c r="L1182" s="2" t="str">
        <x:v>Valid</x:v>
      </x:c>
      <x:c r="M1182" s="2" t="str">
        <x:v>QR</x:v>
      </x:c>
      <x:c r="N1182" s="2" t="n">
        <x:v>1</x:v>
      </x:c>
      <x:c r="O1182" s="2" t="str">
        <x:v>Accepted</x:v>
      </x:c>
      <x:c r="P1182" s="2" t="str">
        <x:v>S002</x:v>
      </x:c>
      <x:c r="Q1182" s="2" t="str">
        <x:v>DEV002</x:v>
      </x:c>
      <x:c r="R1182" s="2" t="n">
        <x:v>36</x:v>
      </x:c>
      <x:c r="S1182" s="2" t="str">
        <x:v>Offline</x:v>
      </x:c>
      <x:c r="T1182" s="2" t="str">
        <x:v>Synced</x:v>
      </x:c>
    </x:row>
    <x:row r="1183" ht="21" customHeight="1">
      <x:c r="A1183" s="2" t="str">
        <x:v>EV001341</x:v>
      </x:c>
      <x:c r="B1183" s="2" t="str">
        <x:v>T20261006-2-3</x:v>
      </x:c>
      <x:c r="C1183" s="2" t="str">
        <x:v>ST104</x:v>
      </x:c>
      <x:c r="D1183" s="2" t="str">
        <x:v>12167381f9b78201d830c40ef6208ce4</x:v>
      </x:c>
      <x:c r="E1183" s="2" t="str">
        <x:v>CHECK_IN</x:v>
      </x:c>
      <x:c r="F1183" s="8" t="n">
        <x:v>46301.481354166666</x:v>
      </x:c>
      <x:c r="G1183" s="8" t="n">
        <x:v>46301.48137731481</x:v>
      </x:c>
      <x:c r="H1183" s="2" t="str">
        <x:v>R3S3</x:v>
      </x:c>
      <x:c r="I1183" s="9" t="n">
        <x:v>25.293000000000003</x:v>
      </x:c>
      <x:c r="J1183" s="9" t="n">
        <x:v>51.513</x:v>
      </x:c>
      <x:c r="K1183" s="2" t="n">
        <x:v>8</x:v>
      </x:c>
      <x:c r="L1183" s="2" t="str">
        <x:v>Valid</x:v>
      </x:c>
      <x:c r="M1183" s="2" t="str">
        <x:v>QR</x:v>
      </x:c>
      <x:c r="N1183" s="2" t="n">
        <x:v>1</x:v>
      </x:c>
      <x:c r="O1183" s="2" t="str">
        <x:v>Accepted</x:v>
      </x:c>
      <x:c r="P1183" s="2" t="str">
        <x:v>S003</x:v>
      </x:c>
      <x:c r="Q1183" s="2" t="str">
        <x:v>DEV003</x:v>
      </x:c>
      <x:c r="R1183" s="2" t="n">
        <x:v>36</x:v>
      </x:c>
      <x:c r="S1183" s="2" t="str">
        <x:v>Online</x:v>
      </x:c>
      <x:c r="T1183" s="2" t="str">
        <x:v>Synced</x:v>
      </x:c>
    </x:row>
    <x:row r="1184" ht="21" customHeight="1">
      <x:c r="A1184" s="2" t="str">
        <x:v>EV001045</x:v>
      </x:c>
      <x:c r="B1184" s="2" t="str">
        <x:v>T20261006-2-1</x:v>
      </x:c>
      <x:c r="C1184" s="2" t="str">
        <x:v>ST036</x:v>
      </x:c>
      <x:c r="D1184" s="2" t="str">
        <x:v>7e42555e63455121ac9f1b3710bc905c</x:v>
      </x:c>
      <x:c r="E1184" s="2" t="str">
        <x:v>CHECK_IN</x:v>
      </x:c>
      <x:c r="F1184" s="8" t="n">
        <x:v>46301.481423611105</x:v>
      </x:c>
      <x:c r="G1184" s="8" t="n">
        <x:v>46301.48144675925</x:v>
      </x:c>
      <x:c r="H1184" s="2" t="str">
        <x:v>R1S3</x:v>
      </x:c>
      <x:c r="I1184" s="9" t="n">
        <x:v>25.275000000000002</x:v>
      </x:c>
      <x:c r="J1184" s="9" t="n">
        <x:v>51.497</x:v>
      </x:c>
      <x:c r="K1184" s="2" t="n">
        <x:v>8</x:v>
      </x:c>
      <x:c r="L1184" s="2" t="str">
        <x:v>Valid</x:v>
      </x:c>
      <x:c r="M1184" s="2" t="str">
        <x:v>QR</x:v>
      </x:c>
      <x:c r="N1184" s="2" t="n">
        <x:v>1</x:v>
      </x:c>
      <x:c r="O1184" s="2" t="str">
        <x:v>Accepted</x:v>
      </x:c>
      <x:c r="P1184" s="2" t="str">
        <x:v>S001</x:v>
      </x:c>
      <x:c r="Q1184" s="2" t="str">
        <x:v>DEV001</x:v>
      </x:c>
      <x:c r="R1184" s="2" t="n">
        <x:v>37</x:v>
      </x:c>
      <x:c r="S1184" s="2" t="str">
        <x:v>Online</x:v>
      </x:c>
      <x:c r="T1184" s="2" t="str">
        <x:v>Synced</x:v>
      </x:c>
    </x:row>
    <x:row r="1185" ht="21" customHeight="1">
      <x:c r="A1185" s="2" t="str">
        <x:v>EV001205</x:v>
      </x:c>
      <x:c r="B1185" s="2" t="str">
        <x:v>T20261006-2-2</x:v>
      </x:c>
      <x:c r="C1185" s="2" t="str">
        <x:v>ST076</x:v>
      </x:c>
      <x:c r="D1185" s="2" t="str">
        <x:v>08979b9eef223b076885fe932d9f2bca</x:v>
      </x:c>
      <x:c r="E1185" s="2" t="str">
        <x:v>CHECK_IN</x:v>
      </x:c>
      <x:c r="F1185" s="8" t="n">
        <x:v>46301.481423611105</x:v>
      </x:c>
      <x:c r="G1185" s="8" t="n">
        <x:v>46301.49184027777</x:v>
      </x:c>
      <x:c r="H1185" s="2" t="str">
        <x:v>R2S3</x:v>
      </x:c>
      <x:c r="I1185" s="9" t="n">
        <x:v>25.284000000000002</x:v>
      </x:c>
      <x:c r="J1185" s="9" t="n">
        <x:v>51.504999999999995</x:v>
      </x:c>
      <x:c r="K1185" s="2" t="n">
        <x:v>8</x:v>
      </x:c>
      <x:c r="L1185" s="2" t="str">
        <x:v>Valid</x:v>
      </x:c>
      <x:c r="M1185" s="2" t="str">
        <x:v>QR</x:v>
      </x:c>
      <x:c r="N1185" s="2" t="n">
        <x:v>1</x:v>
      </x:c>
      <x:c r="O1185" s="2" t="str">
        <x:v>Accepted</x:v>
      </x:c>
      <x:c r="P1185" s="2" t="str">
        <x:v>S002</x:v>
      </x:c>
      <x:c r="Q1185" s="2" t="str">
        <x:v>DEV002</x:v>
      </x:c>
      <x:c r="R1185" s="2" t="n">
        <x:v>37</x:v>
      </x:c>
      <x:c r="S1185" s="2" t="str">
        <x:v>Offline</x:v>
      </x:c>
      <x:c r="T1185" s="2" t="str">
        <x:v>Synced</x:v>
      </x:c>
    </x:row>
    <x:row r="1186" ht="21" customHeight="1">
      <x:c r="A1186" s="2" t="str">
        <x:v>EV001365</x:v>
      </x:c>
      <x:c r="B1186" s="2" t="str">
        <x:v>T20261006-2-3</x:v>
      </x:c>
      <x:c r="C1186" s="2" t="str">
        <x:v>ST116</x:v>
      </x:c>
      <x:c r="D1186" s="2" t="str">
        <x:v>1c1fddc89afc564845795907cf1b7b0e</x:v>
      </x:c>
      <x:c r="E1186" s="2" t="str">
        <x:v>CHECK_IN</x:v>
      </x:c>
      <x:c r="F1186" s="8" t="n">
        <x:v>46301.481423611105</x:v>
      </x:c>
      <x:c r="G1186" s="8" t="n">
        <x:v>46301.48144675925</x:v>
      </x:c>
      <x:c r="H1186" s="2" t="str">
        <x:v>R3S3</x:v>
      </x:c>
      <x:c r="I1186" s="9" t="n">
        <x:v>25.293000000000003</x:v>
      </x:c>
      <x:c r="J1186" s="9" t="n">
        <x:v>51.513</x:v>
      </x:c>
      <x:c r="K1186" s="2" t="n">
        <x:v>8</x:v>
      </x:c>
      <x:c r="L1186" s="2" t="str">
        <x:v>Valid</x:v>
      </x:c>
      <x:c r="M1186" s="2" t="str">
        <x:v>QR</x:v>
      </x:c>
      <x:c r="N1186" s="2" t="n">
        <x:v>1</x:v>
      </x:c>
      <x:c r="O1186" s="2" t="str">
        <x:v>Accepted</x:v>
      </x:c>
      <x:c r="P1186" s="2" t="str">
        <x:v>S003</x:v>
      </x:c>
      <x:c r="Q1186" s="2" t="str">
        <x:v>DEV003</x:v>
      </x:c>
      <x:c r="R1186" s="2" t="n">
        <x:v>37</x:v>
      </x:c>
      <x:c r="S1186" s="2" t="str">
        <x:v>Online</x:v>
      </x:c>
      <x:c r="T1186" s="2" t="str">
        <x:v>Synced</x:v>
      </x:c>
    </x:row>
    <x:row r="1187" ht="21" customHeight="1">
      <x:c r="A1187" s="2" t="str">
        <x:v>EV001027</x:v>
      </x:c>
      <x:c r="B1187" s="2" t="str">
        <x:v>T20261006-2-1</x:v>
      </x:c>
      <x:c r="C1187" s="2" t="str">
        <x:v>ST027</x:v>
      </x:c>
      <x:c r="D1187" s="2" t="str">
        <x:v>87868c08c06226359ca5121a9563bb63</x:v>
      </x:c>
      <x:c r="E1187" s="2" t="str">
        <x:v>CHECK_IN</x:v>
      </x:c>
      <x:c r="F1187" s="8" t="n">
        <x:v>46301.48145833333</x:v>
      </x:c>
      <x:c r="G1187" s="8" t="n">
        <x:v>46301.481481481474</x:v>
      </x:c>
      <x:c r="H1187" s="2" t="str">
        <x:v>R1S3</x:v>
      </x:c>
      <x:c r="I1187" s="9" t="n">
        <x:v>25.275000000000002</x:v>
      </x:c>
      <x:c r="J1187" s="9" t="n">
        <x:v>51.497</x:v>
      </x:c>
      <x:c r="K1187" s="2" t="n">
        <x:v>8</x:v>
      </x:c>
      <x:c r="L1187" s="2" t="str">
        <x:v>Valid</x:v>
      </x:c>
      <x:c r="M1187" s="2" t="str">
        <x:v>QR</x:v>
      </x:c>
      <x:c r="N1187" s="2" t="n">
        <x:v>1</x:v>
      </x:c>
      <x:c r="O1187" s="2" t="str">
        <x:v>Accepted</x:v>
      </x:c>
      <x:c r="P1187" s="2" t="str">
        <x:v>S001</x:v>
      </x:c>
      <x:c r="Q1187" s="2" t="str">
        <x:v>DEV001</x:v>
      </x:c>
      <x:c r="R1187" s="2" t="n">
        <x:v>38</x:v>
      </x:c>
      <x:c r="S1187" s="2" t="str">
        <x:v>Online</x:v>
      </x:c>
      <x:c r="T1187" s="2" t="str">
        <x:v>Synced</x:v>
      </x:c>
    </x:row>
    <x:row r="1188" ht="21" customHeight="1">
      <x:c r="A1188" s="2" t="str">
        <x:v>EV001187</x:v>
      </x:c>
      <x:c r="B1188" s="2" t="str">
        <x:v>T20261006-2-2</x:v>
      </x:c>
      <x:c r="C1188" s="2" t="str">
        <x:v>ST067</x:v>
      </x:c>
      <x:c r="D1188" s="2" t="str">
        <x:v>66c3e7b11abae76912fea37c6c7ce00c</x:v>
      </x:c>
      <x:c r="E1188" s="2" t="str">
        <x:v>CHECK_IN</x:v>
      </x:c>
      <x:c r="F1188" s="8" t="n">
        <x:v>46301.48145833333</x:v>
      </x:c>
      <x:c r="G1188" s="8" t="n">
        <x:v>46301.49187499999</x:v>
      </x:c>
      <x:c r="H1188" s="2" t="str">
        <x:v>R2S3</x:v>
      </x:c>
      <x:c r="I1188" s="9" t="n">
        <x:v>25.284000000000002</x:v>
      </x:c>
      <x:c r="J1188" s="9" t="n">
        <x:v>51.504999999999995</x:v>
      </x:c>
      <x:c r="K1188" s="2" t="n">
        <x:v>8</x:v>
      </x:c>
      <x:c r="L1188" s="2" t="str">
        <x:v>Valid</x:v>
      </x:c>
      <x:c r="M1188" s="2" t="str">
        <x:v>QR</x:v>
      </x:c>
      <x:c r="N1188" s="2" t="n">
        <x:v>1</x:v>
      </x:c>
      <x:c r="O1188" s="2" t="str">
        <x:v>Accepted</x:v>
      </x:c>
      <x:c r="P1188" s="2" t="str">
        <x:v>S002</x:v>
      </x:c>
      <x:c r="Q1188" s="2" t="str">
        <x:v>DEV002</x:v>
      </x:c>
      <x:c r="R1188" s="2" t="n">
        <x:v>38</x:v>
      </x:c>
      <x:c r="S1188" s="2" t="str">
        <x:v>Offline</x:v>
      </x:c>
      <x:c r="T1188" s="2" t="str">
        <x:v>Synced</x:v>
      </x:c>
    </x:row>
    <x:row r="1189" ht="21" customHeight="1">
      <x:c r="A1189" s="2" t="str">
        <x:v>EV001347</x:v>
      </x:c>
      <x:c r="B1189" s="2" t="str">
        <x:v>T20261006-2-3</x:v>
      </x:c>
      <x:c r="C1189" s="2" t="str">
        <x:v>ST107</x:v>
      </x:c>
      <x:c r="D1189" s="2" t="str">
        <x:v>4a2bb35840a3b4fc7e804e2d710c14f4</x:v>
      </x:c>
      <x:c r="E1189" s="2" t="str">
        <x:v>CHECK_IN</x:v>
      </x:c>
      <x:c r="F1189" s="8" t="n">
        <x:v>46301.48145833333</x:v>
      </x:c>
      <x:c r="G1189" s="8" t="n">
        <x:v>46301.481481481474</x:v>
      </x:c>
      <x:c r="H1189" s="2" t="str">
        <x:v>R3S3</x:v>
      </x:c>
      <x:c r="I1189" s="9" t="n">
        <x:v>25.293000000000003</x:v>
      </x:c>
      <x:c r="J1189" s="9" t="n">
        <x:v>51.513</x:v>
      </x:c>
      <x:c r="K1189" s="2" t="n">
        <x:v>8</x:v>
      </x:c>
      <x:c r="L1189" s="2" t="str">
        <x:v>Valid</x:v>
      </x:c>
      <x:c r="M1189" s="2" t="str">
        <x:v>QR</x:v>
      </x:c>
      <x:c r="N1189" s="2" t="n">
        <x:v>1</x:v>
      </x:c>
      <x:c r="O1189" s="2" t="str">
        <x:v>Accepted</x:v>
      </x:c>
      <x:c r="P1189" s="2" t="str">
        <x:v>S003</x:v>
      </x:c>
      <x:c r="Q1189" s="2" t="str">
        <x:v>DEV003</x:v>
      </x:c>
      <x:c r="R1189" s="2" t="n">
        <x:v>38</x:v>
      </x:c>
      <x:c r="S1189" s="2" t="str">
        <x:v>Online</x:v>
      </x:c>
      <x:c r="T1189" s="2" t="str">
        <x:v>Synced</x:v>
      </x:c>
    </x:row>
    <x:row r="1190" ht="21" customHeight="1">
      <x:c r="A1190" s="2" t="str">
        <x:v>EV001051</x:v>
      </x:c>
      <x:c r="B1190" s="2" t="str">
        <x:v>T20261006-2-1</x:v>
      </x:c>
      <x:c r="C1190" s="2" t="str">
        <x:v>ST039</x:v>
      </x:c>
      <x:c r="D1190" s="2" t="str">
        <x:v>31ed548c9c06f555ac72ac2281bbb58a</x:v>
      </x:c>
      <x:c r="E1190" s="2" t="str">
        <x:v>CHECK_IN</x:v>
      </x:c>
      <x:c r="F1190" s="8" t="n">
        <x:v>46301.481527777774</x:v>
      </x:c>
      <x:c r="G1190" s="8" t="n">
        <x:v>46301.48155092592</x:v>
      </x:c>
      <x:c r="H1190" s="2" t="str">
        <x:v>R1S3</x:v>
      </x:c>
      <x:c r="I1190" s="9" t="n">
        <x:v>25.275000000000002</x:v>
      </x:c>
      <x:c r="J1190" s="9" t="n">
        <x:v>51.497</x:v>
      </x:c>
      <x:c r="K1190" s="2" t="n">
        <x:v>8</x:v>
      </x:c>
      <x:c r="L1190" s="2" t="str">
        <x:v>Valid</x:v>
      </x:c>
      <x:c r="M1190" s="2" t="str">
        <x:v>QR</x:v>
      </x:c>
      <x:c r="N1190" s="2" t="n">
        <x:v>1</x:v>
      </x:c>
      <x:c r="O1190" s="2" t="str">
        <x:v>Accepted</x:v>
      </x:c>
      <x:c r="P1190" s="2" t="str">
        <x:v>S001</x:v>
      </x:c>
      <x:c r="Q1190" s="2" t="str">
        <x:v>DEV001</x:v>
      </x:c>
      <x:c r="R1190" s="2" t="n">
        <x:v>39</x:v>
      </x:c>
      <x:c r="S1190" s="2" t="str">
        <x:v>Online</x:v>
      </x:c>
      <x:c r="T1190" s="2" t="str">
        <x:v>Synced</x:v>
      </x:c>
    </x:row>
    <x:row r="1191" ht="21" customHeight="1">
      <x:c r="A1191" s="2" t="str">
        <x:v>EV001211</x:v>
      </x:c>
      <x:c r="B1191" s="2" t="str">
        <x:v>T20261006-2-2</x:v>
      </x:c>
      <x:c r="C1191" s="2" t="str">
        <x:v>ST079</x:v>
      </x:c>
      <x:c r="D1191" s="2" t="str">
        <x:v>3a794a47ff11773398f2344554eeea57</x:v>
      </x:c>
      <x:c r="E1191" s="2" t="str">
        <x:v>CHECK_IN</x:v>
      </x:c>
      <x:c r="F1191" s="8" t="n">
        <x:v>46301.481527777774</x:v>
      </x:c>
      <x:c r="G1191" s="8" t="n">
        <x:v>46301.49194444444</x:v>
      </x:c>
      <x:c r="H1191" s="2" t="str">
        <x:v>R2S3</x:v>
      </x:c>
      <x:c r="I1191" s="9" t="n">
        <x:v>25.284000000000002</x:v>
      </x:c>
      <x:c r="J1191" s="9" t="n">
        <x:v>51.504999999999995</x:v>
      </x:c>
      <x:c r="K1191" s="2" t="n">
        <x:v>8</x:v>
      </x:c>
      <x:c r="L1191" s="2" t="str">
        <x:v>Valid</x:v>
      </x:c>
      <x:c r="M1191" s="2" t="str">
        <x:v>QR</x:v>
      </x:c>
      <x:c r="N1191" s="2" t="n">
        <x:v>1</x:v>
      </x:c>
      <x:c r="O1191" s="2" t="str">
        <x:v>Accepted</x:v>
      </x:c>
      <x:c r="P1191" s="2" t="str">
        <x:v>S002</x:v>
      </x:c>
      <x:c r="Q1191" s="2" t="str">
        <x:v>DEV002</x:v>
      </x:c>
      <x:c r="R1191" s="2" t="n">
        <x:v>39</x:v>
      </x:c>
      <x:c r="S1191" s="2" t="str">
        <x:v>Offline</x:v>
      </x:c>
      <x:c r="T1191" s="2" t="str">
        <x:v>Synced</x:v>
      </x:c>
    </x:row>
    <x:row r="1192" ht="21" customHeight="1">
      <x:c r="A1192" s="2" t="str">
        <x:v>EV001371</x:v>
      </x:c>
      <x:c r="B1192" s="2" t="str">
        <x:v>T20261006-2-3</x:v>
      </x:c>
      <x:c r="C1192" s="2" t="str">
        <x:v>ST119</x:v>
      </x:c>
      <x:c r="D1192" s="2" t="str">
        <x:v>c01a05a48293e3b7c907c4b326c0d0a8</x:v>
      </x:c>
      <x:c r="E1192" s="2" t="str">
        <x:v>CHECK_IN</x:v>
      </x:c>
      <x:c r="F1192" s="8" t="n">
        <x:v>46301.481527777774</x:v>
      </x:c>
      <x:c r="G1192" s="8" t="n">
        <x:v>46301.48155092592</x:v>
      </x:c>
      <x:c r="H1192" s="2" t="str">
        <x:v>R3S3</x:v>
      </x:c>
      <x:c r="I1192" s="9" t="n">
        <x:v>25.293000000000003</x:v>
      </x:c>
      <x:c r="J1192" s="9" t="n">
        <x:v>51.513</x:v>
      </x:c>
      <x:c r="K1192" s="2" t="n">
        <x:v>8</x:v>
      </x:c>
      <x:c r="L1192" s="2" t="str">
        <x:v>Valid</x:v>
      </x:c>
      <x:c r="M1192" s="2" t="str">
        <x:v>QR</x:v>
      </x:c>
      <x:c r="N1192" s="2" t="n">
        <x:v>1</x:v>
      </x:c>
      <x:c r="O1192" s="2" t="str">
        <x:v>Accepted</x:v>
      </x:c>
      <x:c r="P1192" s="2" t="str">
        <x:v>S003</x:v>
      </x:c>
      <x:c r="Q1192" s="2" t="str">
        <x:v>DEV003</x:v>
      </x:c>
      <x:c r="R1192" s="2" t="n">
        <x:v>39</x:v>
      </x:c>
      <x:c r="S1192" s="2" t="str">
        <x:v>Online</x:v>
      </x:c>
      <x:c r="T1192" s="2" t="str">
        <x:v>Synced</x:v>
      </x:c>
    </x:row>
    <x:row r="1193" ht="21" customHeight="1">
      <x:c r="A1193" s="2" t="str">
        <x:v>EV001033</x:v>
      </x:c>
      <x:c r="B1193" s="2" t="str">
        <x:v>T20261006-2-1</x:v>
      </x:c>
      <x:c r="C1193" s="2" t="str">
        <x:v>ST030</x:v>
      </x:c>
      <x:c r="D1193" s="2" t="str">
        <x:v>82585187c31166ddecfc4b31343dde64</x:v>
      </x:c>
      <x:c r="E1193" s="2" t="str">
        <x:v>CHECK_IN</x:v>
      </x:c>
      <x:c r="F1193" s="8" t="n">
        <x:v>46301.4815625</x:v>
      </x:c>
      <x:c r="G1193" s="8" t="n">
        <x:v>46301.481585648144</x:v>
      </x:c>
      <x:c r="H1193" s="2" t="str">
        <x:v>R1S3</x:v>
      </x:c>
      <x:c r="I1193" s="9" t="n">
        <x:v>25.275000000000002</x:v>
      </x:c>
      <x:c r="J1193" s="9" t="n">
        <x:v>51.497</x:v>
      </x:c>
      <x:c r="K1193" s="2" t="n">
        <x:v>8</x:v>
      </x:c>
      <x:c r="L1193" s="2" t="str">
        <x:v>Valid</x:v>
      </x:c>
      <x:c r="M1193" s="2" t="str">
        <x:v>QR</x:v>
      </x:c>
      <x:c r="N1193" s="2" t="n">
        <x:v>1</x:v>
      </x:c>
      <x:c r="O1193" s="2" t="str">
        <x:v>Accepted</x:v>
      </x:c>
      <x:c r="P1193" s="2" t="str">
        <x:v>S001</x:v>
      </x:c>
      <x:c r="Q1193" s="2" t="str">
        <x:v>DEV001</x:v>
      </x:c>
      <x:c r="R1193" s="2" t="n">
        <x:v>40</x:v>
      </x:c>
      <x:c r="S1193" s="2" t="str">
        <x:v>Online</x:v>
      </x:c>
      <x:c r="T1193" s="2" t="str">
        <x:v>Synced</x:v>
      </x:c>
    </x:row>
    <x:row r="1194" ht="21" customHeight="1">
      <x:c r="A1194" s="2" t="str">
        <x:v>EV001193</x:v>
      </x:c>
      <x:c r="B1194" s="2" t="str">
        <x:v>T20261006-2-2</x:v>
      </x:c>
      <x:c r="C1194" s="2" t="str">
        <x:v>ST070</x:v>
      </x:c>
      <x:c r="D1194" s="2" t="str">
        <x:v>12a9f1121533e9d2b6402c68cf852c16</x:v>
      </x:c>
      <x:c r="E1194" s="2" t="str">
        <x:v>CHECK_IN</x:v>
      </x:c>
      <x:c r="F1194" s="8" t="n">
        <x:v>46301.4815625</x:v>
      </x:c>
      <x:c r="G1194" s="8" t="n">
        <x:v>46301.49197916666</x:v>
      </x:c>
      <x:c r="H1194" s="2" t="str">
        <x:v>R2S3</x:v>
      </x:c>
      <x:c r="I1194" s="9" t="n">
        <x:v>25.284000000000002</x:v>
      </x:c>
      <x:c r="J1194" s="9" t="n">
        <x:v>51.504999999999995</x:v>
      </x:c>
      <x:c r="K1194" s="2" t="n">
        <x:v>8</x:v>
      </x:c>
      <x:c r="L1194" s="2" t="str">
        <x:v>Valid</x:v>
      </x:c>
      <x:c r="M1194" s="2" t="str">
        <x:v>QR</x:v>
      </x:c>
      <x:c r="N1194" s="2" t="n">
        <x:v>1</x:v>
      </x:c>
      <x:c r="O1194" s="2" t="str">
        <x:v>Accepted</x:v>
      </x:c>
      <x:c r="P1194" s="2" t="str">
        <x:v>S002</x:v>
      </x:c>
      <x:c r="Q1194" s="2" t="str">
        <x:v>DEV002</x:v>
      </x:c>
      <x:c r="R1194" s="2" t="n">
        <x:v>40</x:v>
      </x:c>
      <x:c r="S1194" s="2" t="str">
        <x:v>Offline</x:v>
      </x:c>
      <x:c r="T1194" s="2" t="str">
        <x:v>Synced</x:v>
      </x:c>
    </x:row>
    <x:row r="1195" ht="21" customHeight="1">
      <x:c r="A1195" s="2" t="str">
        <x:v>EV001353</x:v>
      </x:c>
      <x:c r="B1195" s="2" t="str">
        <x:v>T20261006-2-3</x:v>
      </x:c>
      <x:c r="C1195" s="2" t="str">
        <x:v>ST110</x:v>
      </x:c>
      <x:c r="D1195" s="2" t="str">
        <x:v>4382c0cdcda89fb8cc0f5b9fc03b4c51</x:v>
      </x:c>
      <x:c r="E1195" s="2" t="str">
        <x:v>CHECK_IN</x:v>
      </x:c>
      <x:c r="F1195" s="8" t="n">
        <x:v>46301.4815625</x:v>
      </x:c>
      <x:c r="G1195" s="8" t="n">
        <x:v>46301.481585648144</x:v>
      </x:c>
      <x:c r="H1195" s="2" t="str">
        <x:v>R3S3</x:v>
      </x:c>
      <x:c r="I1195" s="9" t="n">
        <x:v>25.293000000000003</x:v>
      </x:c>
      <x:c r="J1195" s="9" t="n">
        <x:v>51.513</x:v>
      </x:c>
      <x:c r="K1195" s="2" t="n">
        <x:v>8</x:v>
      </x:c>
      <x:c r="L1195" s="2" t="str">
        <x:v>Valid</x:v>
      </x:c>
      <x:c r="M1195" s="2" t="str">
        <x:v>QR</x:v>
      </x:c>
      <x:c r="N1195" s="2" t="n">
        <x:v>1</x:v>
      </x:c>
      <x:c r="O1195" s="2" t="str">
        <x:v>Accepted</x:v>
      </x:c>
      <x:c r="P1195" s="2" t="str">
        <x:v>S003</x:v>
      </x:c>
      <x:c r="Q1195" s="2" t="str">
        <x:v>DEV003</x:v>
      </x:c>
      <x:c r="R1195" s="2" t="n">
        <x:v>40</x:v>
      </x:c>
      <x:c r="S1195" s="2" t="str">
        <x:v>Online</x:v>
      </x:c>
      <x:c r="T1195" s="2" t="str">
        <x:v>Synced</x:v>
      </x:c>
    </x:row>
    <x:row r="1196" ht="21" customHeight="1">
      <x:c r="A1196" s="2" t="str">
        <x:v>EV001016</x:v>
      </x:c>
      <x:c r="B1196" s="2" t="str">
        <x:v>T20261006-2-1</x:v>
      </x:c>
      <x:c r="C1196" s="2" t="str">
        <x:v>ST021</x:v>
      </x:c>
      <x:c r="D1196" s="2" t="str">
        <x:v>9b1608e5663d6da53cd805c8051dedd7</x:v>
      </x:c>
      <x:c r="E1196" s="2" t="str">
        <x:v>CHECK_OUT</x:v>
      </x:c>
      <x:c r="F1196" s="8" t="n">
        <x:v>46301.506250000006</x:v>
      </x:c>
      <x:c r="G1196" s="8" t="n">
        <x:v>46301.50627314815</x:v>
      </x:c>
      <x:c r="H1196" s="2" t="str">
        <x:v>SCH01</x:v>
      </x:c>
      <x:c r="I1196" s="9" t="n">
        <x:v>25.285</x:v>
      </x:c>
      <x:c r="J1196" s="9" t="n">
        <x:v>51.51</x:v>
      </x:c>
      <x:c r="K1196" s="2" t="n">
        <x:v>8</x:v>
      </x:c>
      <x:c r="L1196" s="2" t="str">
        <x:v>Valid</x:v>
      </x:c>
      <x:c r="M1196" s="2" t="str">
        <x:v>QR</x:v>
      </x:c>
      <x:c r="N1196" s="2" t="n">
        <x:v>1</x:v>
      </x:c>
      <x:c r="O1196" s="2" t="str">
        <x:v>Accepted</x:v>
      </x:c>
      <x:c r="P1196" s="2" t="str">
        <x:v>S001</x:v>
      </x:c>
      <x:c r="Q1196" s="2" t="str">
        <x:v>DEV001</x:v>
      </x:c>
      <x:c r="R1196" s="2" t="n">
        <x:v>41</x:v>
      </x:c>
      <x:c r="S1196" s="2" t="str">
        <x:v>Online</x:v>
      </x:c>
      <x:c r="T1196" s="2" t="str">
        <x:v>Synced</x:v>
      </x:c>
    </x:row>
    <x:row r="1197" ht="21" customHeight="1">
      <x:c r="A1197" s="2" t="str">
        <x:v>EV001176</x:v>
      </x:c>
      <x:c r="B1197" s="2" t="str">
        <x:v>T20261006-2-2</x:v>
      </x:c>
      <x:c r="C1197" s="2" t="str">
        <x:v>ST061</x:v>
      </x:c>
      <x:c r="D1197" s="2" t="str">
        <x:v>c547cb31f14853ae1f9f2436554d3271</x:v>
      </x:c>
      <x:c r="E1197" s="2" t="str">
        <x:v>CHECK_OUT</x:v>
      </x:c>
      <x:c r="F1197" s="8" t="n">
        <x:v>46301.506250000006</x:v>
      </x:c>
      <x:c r="G1197" s="8" t="n">
        <x:v>46301.51666666667</x:v>
      </x:c>
      <x:c r="H1197" s="2" t="str">
        <x:v>SCH01</x:v>
      </x:c>
      <x:c r="I1197" s="9" t="n">
        <x:v>25.285</x:v>
      </x:c>
      <x:c r="J1197" s="9" t="n">
        <x:v>51.51</x:v>
      </x:c>
      <x:c r="K1197" s="2" t="n">
        <x:v>8</x:v>
      </x:c>
      <x:c r="L1197" s="2" t="str">
        <x:v>Valid</x:v>
      </x:c>
      <x:c r="M1197" s="2" t="str">
        <x:v>QR</x:v>
      </x:c>
      <x:c r="N1197" s="2" t="n">
        <x:v>1</x:v>
      </x:c>
      <x:c r="O1197" s="2" t="str">
        <x:v>Accepted</x:v>
      </x:c>
      <x:c r="P1197" s="2" t="str">
        <x:v>S002</x:v>
      </x:c>
      <x:c r="Q1197" s="2" t="str">
        <x:v>DEV002</x:v>
      </x:c>
      <x:c r="R1197" s="2" t="n">
        <x:v>41</x:v>
      </x:c>
      <x:c r="S1197" s="2" t="str">
        <x:v>Offline</x:v>
      </x:c>
      <x:c r="T1197" s="2" t="str">
        <x:v>Synced</x:v>
      </x:c>
    </x:row>
    <x:row r="1198" ht="21" customHeight="1">
      <x:c r="A1198" s="2" t="str">
        <x:v>EV001336</x:v>
      </x:c>
      <x:c r="B1198" s="2" t="str">
        <x:v>T20261006-2-3</x:v>
      </x:c>
      <x:c r="C1198" s="2" t="str">
        <x:v>ST101</x:v>
      </x:c>
      <x:c r="D1198" s="2" t="str">
        <x:v>9f8e180c63d3ff8d3e393db3573884a8</x:v>
      </x:c>
      <x:c r="E1198" s="2" t="str">
        <x:v>CHECK_OUT</x:v>
      </x:c>
      <x:c r="F1198" s="8" t="n">
        <x:v>46301.506250000006</x:v>
      </x:c>
      <x:c r="G1198" s="8" t="n">
        <x:v>46301.50627314815</x:v>
      </x:c>
      <x:c r="H1198" s="2" t="str">
        <x:v>SCH01</x:v>
      </x:c>
      <x:c r="I1198" s="9" t="n">
        <x:v>25.285</x:v>
      </x:c>
      <x:c r="J1198" s="9" t="n">
        <x:v>51.51</x:v>
      </x:c>
      <x:c r="K1198" s="2" t="n">
        <x:v>8</x:v>
      </x:c>
      <x:c r="L1198" s="2" t="str">
        <x:v>Valid</x:v>
      </x:c>
      <x:c r="M1198" s="2" t="str">
        <x:v>QR</x:v>
      </x:c>
      <x:c r="N1198" s="2" t="n">
        <x:v>1</x:v>
      </x:c>
      <x:c r="O1198" s="2" t="str">
        <x:v>Accepted</x:v>
      </x:c>
      <x:c r="P1198" s="2" t="str">
        <x:v>S003</x:v>
      </x:c>
      <x:c r="Q1198" s="2" t="str">
        <x:v>DEV003</x:v>
      </x:c>
      <x:c r="R1198" s="2" t="n">
        <x:v>41</x:v>
      </x:c>
      <x:c r="S1198" s="2" t="str">
        <x:v>Online</x:v>
      </x:c>
      <x:c r="T1198" s="2" t="str">
        <x:v>Synced</x:v>
      </x:c>
    </x:row>
    <x:row r="1199" ht="21" customHeight="1">
      <x:c r="A1199" s="2" t="str">
        <x:v>EV001018</x:v>
      </x:c>
      <x:c r="B1199" s="2" t="str">
        <x:v>T20261006-2-1</x:v>
      </x:c>
      <x:c r="C1199" s="2" t="str">
        <x:v>ST022</x:v>
      </x:c>
      <x:c r="D1199" s="2" t="str">
        <x:v>32e634064d0319251398d392c471332a</x:v>
      </x:c>
      <x:c r="E1199" s="2" t="str">
        <x:v>CHECK_OUT</x:v>
      </x:c>
      <x:c r="F1199" s="8" t="n">
        <x:v>46301.50628472223</x:v>
      </x:c>
      <x:c r="G1199" s="8" t="n">
        <x:v>46301.506307870375</x:v>
      </x:c>
      <x:c r="H1199" s="2" t="str">
        <x:v>SCH01</x:v>
      </x:c>
      <x:c r="I1199" s="9" t="n">
        <x:v>25.285</x:v>
      </x:c>
      <x:c r="J1199" s="9" t="n">
        <x:v>51.51</x:v>
      </x:c>
      <x:c r="K1199" s="2" t="n">
        <x:v>8</x:v>
      </x:c>
      <x:c r="L1199" s="2" t="str">
        <x:v>Valid</x:v>
      </x:c>
      <x:c r="M1199" s="2" t="str">
        <x:v>QR</x:v>
      </x:c>
      <x:c r="N1199" s="2" t="n">
        <x:v>1</x:v>
      </x:c>
      <x:c r="O1199" s="2" t="str">
        <x:v>Accepted</x:v>
      </x:c>
      <x:c r="P1199" s="2" t="str">
        <x:v>S001</x:v>
      </x:c>
      <x:c r="Q1199" s="2" t="str">
        <x:v>DEV001</x:v>
      </x:c>
      <x:c r="R1199" s="2" t="n">
        <x:v>42</x:v>
      </x:c>
      <x:c r="S1199" s="2" t="str">
        <x:v>Online</x:v>
      </x:c>
      <x:c r="T1199" s="2" t="str">
        <x:v>Synced</x:v>
      </x:c>
    </x:row>
    <x:row r="1200" ht="21" customHeight="1">
      <x:c r="A1200" s="2" t="str">
        <x:v>EV001178</x:v>
      </x:c>
      <x:c r="B1200" s="2" t="str">
        <x:v>T20261006-2-2</x:v>
      </x:c>
      <x:c r="C1200" s="2" t="str">
        <x:v>ST062</x:v>
      </x:c>
      <x:c r="D1200" s="2" t="str">
        <x:v>e0ee324a0d8893ba89d7c618ea194e36</x:v>
      </x:c>
      <x:c r="E1200" s="2" t="str">
        <x:v>CHECK_OUT</x:v>
      </x:c>
      <x:c r="F1200" s="8" t="n">
        <x:v>46301.50628472223</x:v>
      </x:c>
      <x:c r="G1200" s="8" t="n">
        <x:v>46301.51670138889</x:v>
      </x:c>
      <x:c r="H1200" s="2" t="str">
        <x:v>SCH01</x:v>
      </x:c>
      <x:c r="I1200" s="9" t="n">
        <x:v>25.285</x:v>
      </x:c>
      <x:c r="J1200" s="9" t="n">
        <x:v>51.51</x:v>
      </x:c>
      <x:c r="K1200" s="2" t="n">
        <x:v>8</x:v>
      </x:c>
      <x:c r="L1200" s="2" t="str">
        <x:v>Valid</x:v>
      </x:c>
      <x:c r="M1200" s="2" t="str">
        <x:v>QR</x:v>
      </x:c>
      <x:c r="N1200" s="2" t="n">
        <x:v>1</x:v>
      </x:c>
      <x:c r="O1200" s="2" t="str">
        <x:v>Accepted</x:v>
      </x:c>
      <x:c r="P1200" s="2" t="str">
        <x:v>S002</x:v>
      </x:c>
      <x:c r="Q1200" s="2" t="str">
        <x:v>DEV002</x:v>
      </x:c>
      <x:c r="R1200" s="2" t="n">
        <x:v>42</x:v>
      </x:c>
      <x:c r="S1200" s="2" t="str">
        <x:v>Offline</x:v>
      </x:c>
      <x:c r="T1200" s="2" t="str">
        <x:v>Synced</x:v>
      </x:c>
    </x:row>
    <x:row r="1201" ht="21" customHeight="1">
      <x:c r="A1201" s="2" t="str">
        <x:v>EV001338</x:v>
      </x:c>
      <x:c r="B1201" s="2" t="str">
        <x:v>T20261006-2-3</x:v>
      </x:c>
      <x:c r="C1201" s="2" t="str">
        <x:v>ST102</x:v>
      </x:c>
      <x:c r="D1201" s="2" t="str">
        <x:v>6a90d57a6e4b5aedbdcdc5a29cf018e9</x:v>
      </x:c>
      <x:c r="E1201" s="2" t="str">
        <x:v>CHECK_OUT</x:v>
      </x:c>
      <x:c r="F1201" s="8" t="n">
        <x:v>46301.50628472223</x:v>
      </x:c>
      <x:c r="G1201" s="8" t="n">
        <x:v>46301.506307870375</x:v>
      </x:c>
      <x:c r="H1201" s="2" t="str">
        <x:v>SCH01</x:v>
      </x:c>
      <x:c r="I1201" s="9" t="n">
        <x:v>25.285</x:v>
      </x:c>
      <x:c r="J1201" s="9" t="n">
        <x:v>51.51</x:v>
      </x:c>
      <x:c r="K1201" s="2" t="n">
        <x:v>8</x:v>
      </x:c>
      <x:c r="L1201" s="2" t="str">
        <x:v>Valid</x:v>
      </x:c>
      <x:c r="M1201" s="2" t="str">
        <x:v>QR</x:v>
      </x:c>
      <x:c r="N1201" s="2" t="n">
        <x:v>1</x:v>
      </x:c>
      <x:c r="O1201" s="2" t="str">
        <x:v>Accepted</x:v>
      </x:c>
      <x:c r="P1201" s="2" t="str">
        <x:v>S003</x:v>
      </x:c>
      <x:c r="Q1201" s="2" t="str">
        <x:v>DEV003</x:v>
      </x:c>
      <x:c r="R1201" s="2" t="n">
        <x:v>42</x:v>
      </x:c>
      <x:c r="S1201" s="2" t="str">
        <x:v>Online</x:v>
      </x:c>
      <x:c r="T1201" s="2" t="str">
        <x:v>Synced</x:v>
      </x:c>
    </x:row>
    <x:row r="1202" ht="21" customHeight="1">
      <x:c r="A1202" s="2" t="str">
        <x:v>EV001020</x:v>
      </x:c>
      <x:c r="B1202" s="2" t="str">
        <x:v>T20261006-2-1</x:v>
      </x:c>
      <x:c r="C1202" s="2" t="str">
        <x:v>ST023</x:v>
      </x:c>
      <x:c r="D1202" s="2" t="str">
        <x:v>1836074fce688580737a08d14a26fa79</x:v>
      </x:c>
      <x:c r="E1202" s="2" t="str">
        <x:v>CHECK_OUT</x:v>
      </x:c>
      <x:c r="F1202" s="8" t="n">
        <x:v>46301.506319444445</x:v>
      </x:c>
      <x:c r="G1202" s="8" t="n">
        <x:v>46301.50634259259</x:v>
      </x:c>
      <x:c r="H1202" s="2" t="str">
        <x:v>SCH01</x:v>
      </x:c>
      <x:c r="I1202" s="9" t="n">
        <x:v>25.285</x:v>
      </x:c>
      <x:c r="J1202" s="9" t="n">
        <x:v>51.51</x:v>
      </x:c>
      <x:c r="K1202" s="2" t="n">
        <x:v>8</x:v>
      </x:c>
      <x:c r="L1202" s="2" t="str">
        <x:v>Valid</x:v>
      </x:c>
      <x:c r="M1202" s="2" t="str">
        <x:v>QR</x:v>
      </x:c>
      <x:c r="N1202" s="2" t="n">
        <x:v>1</x:v>
      </x:c>
      <x:c r="O1202" s="2" t="str">
        <x:v>Accepted</x:v>
      </x:c>
      <x:c r="P1202" s="2" t="str">
        <x:v>S001</x:v>
      </x:c>
      <x:c r="Q1202" s="2" t="str">
        <x:v>DEV001</x:v>
      </x:c>
      <x:c r="R1202" s="2" t="n">
        <x:v>43</x:v>
      </x:c>
      <x:c r="S1202" s="2" t="str">
        <x:v>Online</x:v>
      </x:c>
      <x:c r="T1202" s="2" t="str">
        <x:v>Synced</x:v>
      </x:c>
    </x:row>
    <x:row r="1203" ht="21" customHeight="1">
      <x:c r="A1203" s="2" t="str">
        <x:v>EV001180</x:v>
      </x:c>
      <x:c r="B1203" s="2" t="str">
        <x:v>T20261006-2-2</x:v>
      </x:c>
      <x:c r="C1203" s="2" t="str">
        <x:v>ST063</x:v>
      </x:c>
      <x:c r="D1203" s="2" t="str">
        <x:v>46a3e8e97cbe04af0173a75d9cdbcebf</x:v>
      </x:c>
      <x:c r="E1203" s="2" t="str">
        <x:v>CHECK_OUT</x:v>
      </x:c>
      <x:c r="F1203" s="8" t="n">
        <x:v>46301.506319444445</x:v>
      </x:c>
      <x:c r="G1203" s="8" t="n">
        <x:v>46301.51673611111</x:v>
      </x:c>
      <x:c r="H1203" s="2" t="str">
        <x:v>SCH01</x:v>
      </x:c>
      <x:c r="I1203" s="9" t="n">
        <x:v>25.285</x:v>
      </x:c>
      <x:c r="J1203" s="9" t="n">
        <x:v>51.51</x:v>
      </x:c>
      <x:c r="K1203" s="2" t="n">
        <x:v>8</x:v>
      </x:c>
      <x:c r="L1203" s="2" t="str">
        <x:v>Valid</x:v>
      </x:c>
      <x:c r="M1203" s="2" t="str">
        <x:v>QR</x:v>
      </x:c>
      <x:c r="N1203" s="2" t="n">
        <x:v>1</x:v>
      </x:c>
      <x:c r="O1203" s="2" t="str">
        <x:v>Accepted</x:v>
      </x:c>
      <x:c r="P1203" s="2" t="str">
        <x:v>S002</x:v>
      </x:c>
      <x:c r="Q1203" s="2" t="str">
        <x:v>DEV002</x:v>
      </x:c>
      <x:c r="R1203" s="2" t="n">
        <x:v>43</x:v>
      </x:c>
      <x:c r="S1203" s="2" t="str">
        <x:v>Offline</x:v>
      </x:c>
      <x:c r="T1203" s="2" t="str">
        <x:v>Synced</x:v>
      </x:c>
    </x:row>
    <x:row r="1204" ht="21" customHeight="1">
      <x:c r="A1204" s="2" t="str">
        <x:v>EV001340</x:v>
      </x:c>
      <x:c r="B1204" s="2" t="str">
        <x:v>T20261006-2-3</x:v>
      </x:c>
      <x:c r="C1204" s="2" t="str">
        <x:v>ST103</x:v>
      </x:c>
      <x:c r="D1204" s="2" t="str">
        <x:v>5982cfca835e14d82ed8b6562c1a172d</x:v>
      </x:c>
      <x:c r="E1204" s="2" t="str">
        <x:v>CHECK_OUT</x:v>
      </x:c>
      <x:c r="F1204" s="8" t="n">
        <x:v>46301.506319444445</x:v>
      </x:c>
      <x:c r="G1204" s="8" t="n">
        <x:v>46301.50634259259</x:v>
      </x:c>
      <x:c r="H1204" s="2" t="str">
        <x:v>SCH01</x:v>
      </x:c>
      <x:c r="I1204" s="9" t="n">
        <x:v>25.285</x:v>
      </x:c>
      <x:c r="J1204" s="9" t="n">
        <x:v>51.51</x:v>
      </x:c>
      <x:c r="K1204" s="2" t="n">
        <x:v>8</x:v>
      </x:c>
      <x:c r="L1204" s="2" t="str">
        <x:v>Valid</x:v>
      </x:c>
      <x:c r="M1204" s="2" t="str">
        <x:v>QR</x:v>
      </x:c>
      <x:c r="N1204" s="2" t="n">
        <x:v>1</x:v>
      </x:c>
      <x:c r="O1204" s="2" t="str">
        <x:v>Accepted</x:v>
      </x:c>
      <x:c r="P1204" s="2" t="str">
        <x:v>S003</x:v>
      </x:c>
      <x:c r="Q1204" s="2" t="str">
        <x:v>DEV003</x:v>
      </x:c>
      <x:c r="R1204" s="2" t="n">
        <x:v>43</x:v>
      </x:c>
      <x:c r="S1204" s="2" t="str">
        <x:v>Online</x:v>
      </x:c>
      <x:c r="T1204" s="2" t="str">
        <x:v>Synced</x:v>
      </x:c>
    </x:row>
    <x:row r="1205" ht="21" customHeight="1">
      <x:c r="A1205" s="2" t="str">
        <x:v>EV001022</x:v>
      </x:c>
      <x:c r="B1205" s="2" t="str">
        <x:v>T20261006-2-1</x:v>
      </x:c>
      <x:c r="C1205" s="2" t="str">
        <x:v>ST024</x:v>
      </x:c>
      <x:c r="D1205" s="2" t="str">
        <x:v>df785f1577b8ee7f71835020d03a12a6</x:v>
      </x:c>
      <x:c r="E1205" s="2" t="str">
        <x:v>CHECK_OUT</x:v>
      </x:c>
      <x:c r="F1205" s="8" t="n">
        <x:v>46301.50635416667</x:v>
      </x:c>
      <x:c r="G1205" s="8" t="n">
        <x:v>46301.506377314814</x:v>
      </x:c>
      <x:c r="H1205" s="2" t="str">
        <x:v>SCH01</x:v>
      </x:c>
      <x:c r="I1205" s="9" t="n">
        <x:v>25.285</x:v>
      </x:c>
      <x:c r="J1205" s="9" t="n">
        <x:v>51.51</x:v>
      </x:c>
      <x:c r="K1205" s="2" t="n">
        <x:v>8</x:v>
      </x:c>
      <x:c r="L1205" s="2" t="str">
        <x:v>Valid</x:v>
      </x:c>
      <x:c r="M1205" s="2" t="str">
        <x:v>QR</x:v>
      </x:c>
      <x:c r="N1205" s="2" t="n">
        <x:v>1</x:v>
      </x:c>
      <x:c r="O1205" s="2" t="str">
        <x:v>Accepted</x:v>
      </x:c>
      <x:c r="P1205" s="2" t="str">
        <x:v>S001</x:v>
      </x:c>
      <x:c r="Q1205" s="2" t="str">
        <x:v>DEV001</x:v>
      </x:c>
      <x:c r="R1205" s="2" t="n">
        <x:v>44</x:v>
      </x:c>
      <x:c r="S1205" s="2" t="str">
        <x:v>Online</x:v>
      </x:c>
      <x:c r="T1205" s="2" t="str">
        <x:v>Synced</x:v>
      </x:c>
    </x:row>
    <x:row r="1206" ht="21" customHeight="1">
      <x:c r="A1206" s="2" t="str">
        <x:v>EV001182</x:v>
      </x:c>
      <x:c r="B1206" s="2" t="str">
        <x:v>T20261006-2-2</x:v>
      </x:c>
      <x:c r="C1206" s="2" t="str">
        <x:v>ST064</x:v>
      </x:c>
      <x:c r="D1206" s="2" t="str">
        <x:v>80debd99a6cfe1ca0800304796fd69ff</x:v>
      </x:c>
      <x:c r="E1206" s="2" t="str">
        <x:v>CHECK_OUT</x:v>
      </x:c>
      <x:c r="F1206" s="8" t="n">
        <x:v>46301.50635416667</x:v>
      </x:c>
      <x:c r="G1206" s="8" t="n">
        <x:v>46301.51677083333</x:v>
      </x:c>
      <x:c r="H1206" s="2" t="str">
        <x:v>SCH01</x:v>
      </x:c>
      <x:c r="I1206" s="9" t="n">
        <x:v>25.285</x:v>
      </x:c>
      <x:c r="J1206" s="9" t="n">
        <x:v>51.51</x:v>
      </x:c>
      <x:c r="K1206" s="2" t="n">
        <x:v>8</x:v>
      </x:c>
      <x:c r="L1206" s="2" t="str">
        <x:v>Valid</x:v>
      </x:c>
      <x:c r="M1206" s="2" t="str">
        <x:v>QR</x:v>
      </x:c>
      <x:c r="N1206" s="2" t="n">
        <x:v>1</x:v>
      </x:c>
      <x:c r="O1206" s="2" t="str">
        <x:v>Accepted</x:v>
      </x:c>
      <x:c r="P1206" s="2" t="str">
        <x:v>S002</x:v>
      </x:c>
      <x:c r="Q1206" s="2" t="str">
        <x:v>DEV002</x:v>
      </x:c>
      <x:c r="R1206" s="2" t="n">
        <x:v>44</x:v>
      </x:c>
      <x:c r="S1206" s="2" t="str">
        <x:v>Offline</x:v>
      </x:c>
      <x:c r="T1206" s="2" t="str">
        <x:v>Synced</x:v>
      </x:c>
    </x:row>
    <x:row r="1207" ht="21" customHeight="1">
      <x:c r="A1207" s="2" t="str">
        <x:v>EV001342</x:v>
      </x:c>
      <x:c r="B1207" s="2" t="str">
        <x:v>T20261006-2-3</x:v>
      </x:c>
      <x:c r="C1207" s="2" t="str">
        <x:v>ST104</x:v>
      </x:c>
      <x:c r="D1207" s="2" t="str">
        <x:v>12167381f9b78201d830c40ef6208ce4</x:v>
      </x:c>
      <x:c r="E1207" s="2" t="str">
        <x:v>CHECK_OUT</x:v>
      </x:c>
      <x:c r="F1207" s="8" t="n">
        <x:v>46301.50635416667</x:v>
      </x:c>
      <x:c r="G1207" s="8" t="n">
        <x:v>46301.506377314814</x:v>
      </x:c>
      <x:c r="H1207" s="2" t="str">
        <x:v>SCH01</x:v>
      </x:c>
      <x:c r="I1207" s="9" t="n">
        <x:v>25.285</x:v>
      </x:c>
      <x:c r="J1207" s="9" t="n">
        <x:v>51.51</x:v>
      </x:c>
      <x:c r="K1207" s="2" t="n">
        <x:v>8</x:v>
      </x:c>
      <x:c r="L1207" s="2" t="str">
        <x:v>Valid</x:v>
      </x:c>
      <x:c r="M1207" s="2" t="str">
        <x:v>QR</x:v>
      </x:c>
      <x:c r="N1207" s="2" t="n">
        <x:v>1</x:v>
      </x:c>
      <x:c r="O1207" s="2" t="str">
        <x:v>Accepted</x:v>
      </x:c>
      <x:c r="P1207" s="2" t="str">
        <x:v>S003</x:v>
      </x:c>
      <x:c r="Q1207" s="2" t="str">
        <x:v>DEV003</x:v>
      </x:c>
      <x:c r="R1207" s="2" t="n">
        <x:v>44</x:v>
      </x:c>
      <x:c r="S1207" s="2" t="str">
        <x:v>Online</x:v>
      </x:c>
      <x:c r="T1207" s="2" t="str">
        <x:v>Synced</x:v>
      </x:c>
    </x:row>
    <x:row r="1208" ht="21" customHeight="1">
      <x:c r="A1208" s="2" t="str">
        <x:v>EV001024</x:v>
      </x:c>
      <x:c r="B1208" s="2" t="str">
        <x:v>T20261006-2-1</x:v>
      </x:c>
      <x:c r="C1208" s="2" t="str">
        <x:v>ST025</x:v>
      </x:c>
      <x:c r="D1208" s="2" t="str">
        <x:v>caea48c43f4ccfa85999e7cb546cd774</x:v>
      </x:c>
      <x:c r="E1208" s="2" t="str">
        <x:v>CHECK_OUT</x:v>
      </x:c>
      <x:c r="F1208" s="8" t="n">
        <x:v>46301.50638888889</x:v>
      </x:c>
      <x:c r="G1208" s="8" t="n">
        <x:v>46301.50641203704</x:v>
      </x:c>
      <x:c r="H1208" s="2" t="str">
        <x:v>SCH01</x:v>
      </x:c>
      <x:c r="I1208" s="9" t="n">
        <x:v>25.285</x:v>
      </x:c>
      <x:c r="J1208" s="9" t="n">
        <x:v>51.51</x:v>
      </x:c>
      <x:c r="K1208" s="2" t="n">
        <x:v>8</x:v>
      </x:c>
      <x:c r="L1208" s="2" t="str">
        <x:v>Valid</x:v>
      </x:c>
      <x:c r="M1208" s="2" t="str">
        <x:v>QR</x:v>
      </x:c>
      <x:c r="N1208" s="2" t="n">
        <x:v>1</x:v>
      </x:c>
      <x:c r="O1208" s="2" t="str">
        <x:v>Accepted</x:v>
      </x:c>
      <x:c r="P1208" s="2" t="str">
        <x:v>S001</x:v>
      </x:c>
      <x:c r="Q1208" s="2" t="str">
        <x:v>DEV001</x:v>
      </x:c>
      <x:c r="R1208" s="2" t="n">
        <x:v>45</x:v>
      </x:c>
      <x:c r="S1208" s="2" t="str">
        <x:v>Online</x:v>
      </x:c>
      <x:c r="T1208" s="2" t="str">
        <x:v>Synced</x:v>
      </x:c>
    </x:row>
    <x:row r="1209" ht="21" customHeight="1">
      <x:c r="A1209" s="2" t="str">
        <x:v>EV001184</x:v>
      </x:c>
      <x:c r="B1209" s="2" t="str">
        <x:v>T20261006-2-2</x:v>
      </x:c>
      <x:c r="C1209" s="2" t="str">
        <x:v>ST065</x:v>
      </x:c>
      <x:c r="D1209" s="2" t="str">
        <x:v>6b379c82348acc8be3e0d247197a20bf</x:v>
      </x:c>
      <x:c r="E1209" s="2" t="str">
        <x:v>CHECK_OUT</x:v>
      </x:c>
      <x:c r="F1209" s="8" t="n">
        <x:v>46301.50638888889</x:v>
      </x:c>
      <x:c r="G1209" s="8" t="n">
        <x:v>46301.516805555555</x:v>
      </x:c>
      <x:c r="H1209" s="2" t="str">
        <x:v>SCH01</x:v>
      </x:c>
      <x:c r="I1209" s="9" t="n">
        <x:v>25.285</x:v>
      </x:c>
      <x:c r="J1209" s="9" t="n">
        <x:v>51.51</x:v>
      </x:c>
      <x:c r="K1209" s="2" t="n">
        <x:v>8</x:v>
      </x:c>
      <x:c r="L1209" s="2" t="str">
        <x:v>Valid</x:v>
      </x:c>
      <x:c r="M1209" s="2" t="str">
        <x:v>QR</x:v>
      </x:c>
      <x:c r="N1209" s="2" t="n">
        <x:v>1</x:v>
      </x:c>
      <x:c r="O1209" s="2" t="str">
        <x:v>Accepted</x:v>
      </x:c>
      <x:c r="P1209" s="2" t="str">
        <x:v>S002</x:v>
      </x:c>
      <x:c r="Q1209" s="2" t="str">
        <x:v>DEV002</x:v>
      </x:c>
      <x:c r="R1209" s="2" t="n">
        <x:v>45</x:v>
      </x:c>
      <x:c r="S1209" s="2" t="str">
        <x:v>Offline</x:v>
      </x:c>
      <x:c r="T1209" s="2" t="str">
        <x:v>Synced</x:v>
      </x:c>
    </x:row>
    <x:row r="1210" ht="21" customHeight="1">
      <x:c r="A1210" s="2" t="str">
        <x:v>EV001344</x:v>
      </x:c>
      <x:c r="B1210" s="2" t="str">
        <x:v>T20261006-2-3</x:v>
      </x:c>
      <x:c r="C1210" s="2" t="str">
        <x:v>ST105</x:v>
      </x:c>
      <x:c r="D1210" s="2" t="str">
        <x:v>bbd3ba75eaabf5ca3acef3823a75d885</x:v>
      </x:c>
      <x:c r="E1210" s="2" t="str">
        <x:v>CHECK_OUT</x:v>
      </x:c>
      <x:c r="F1210" s="8" t="n">
        <x:v>46301.50638888889</x:v>
      </x:c>
      <x:c r="G1210" s="8" t="n">
        <x:v>46301.50641203704</x:v>
      </x:c>
      <x:c r="H1210" s="2" t="str">
        <x:v>SCH01</x:v>
      </x:c>
      <x:c r="I1210" s="9" t="n">
        <x:v>25.285</x:v>
      </x:c>
      <x:c r="J1210" s="9" t="n">
        <x:v>51.51</x:v>
      </x:c>
      <x:c r="K1210" s="2" t="n">
        <x:v>8</x:v>
      </x:c>
      <x:c r="L1210" s="2" t="str">
        <x:v>Valid</x:v>
      </x:c>
      <x:c r="M1210" s="2" t="str">
        <x:v>QR</x:v>
      </x:c>
      <x:c r="N1210" s="2" t="n">
        <x:v>1</x:v>
      </x:c>
      <x:c r="O1210" s="2" t="str">
        <x:v>Accepted</x:v>
      </x:c>
      <x:c r="P1210" s="2" t="str">
        <x:v>S003</x:v>
      </x:c>
      <x:c r="Q1210" s="2" t="str">
        <x:v>DEV003</x:v>
      </x:c>
      <x:c r="R1210" s="2" t="n">
        <x:v>45</x:v>
      </x:c>
      <x:c r="S1210" s="2" t="str">
        <x:v>Online</x:v>
      </x:c>
      <x:c r="T1210" s="2" t="str">
        <x:v>Synced</x:v>
      </x:c>
    </x:row>
    <x:row r="1211" ht="21" customHeight="1">
      <x:c r="A1211" s="2" t="str">
        <x:v>EV001026</x:v>
      </x:c>
      <x:c r="B1211" s="2" t="str">
        <x:v>T20261006-2-1</x:v>
      </x:c>
      <x:c r="C1211" s="2" t="str">
        <x:v>ST026</x:v>
      </x:c>
      <x:c r="D1211" s="2" t="str">
        <x:v>56aea196eabcf09e1199afbd5e8907b0</x:v>
      </x:c>
      <x:c r="E1211" s="2" t="str">
        <x:v>CHECK_OUT</x:v>
      </x:c>
      <x:c r="F1211" s="8" t="n">
        <x:v>46301.506423611114</x:v>
      </x:c>
      <x:c r="G1211" s="8" t="n">
        <x:v>46301.50644675926</x:v>
      </x:c>
      <x:c r="H1211" s="2" t="str">
        <x:v>SCH01</x:v>
      </x:c>
      <x:c r="I1211" s="9" t="n">
        <x:v>25.285</x:v>
      </x:c>
      <x:c r="J1211" s="9" t="n">
        <x:v>51.51</x:v>
      </x:c>
      <x:c r="K1211" s="2" t="n">
        <x:v>8</x:v>
      </x:c>
      <x:c r="L1211" s="2" t="str">
        <x:v>Valid</x:v>
      </x:c>
      <x:c r="M1211" s="2" t="str">
        <x:v>QR</x:v>
      </x:c>
      <x:c r="N1211" s="2" t="n">
        <x:v>1</x:v>
      </x:c>
      <x:c r="O1211" s="2" t="str">
        <x:v>Accepted</x:v>
      </x:c>
      <x:c r="P1211" s="2" t="str">
        <x:v>S001</x:v>
      </x:c>
      <x:c r="Q1211" s="2" t="str">
        <x:v>DEV001</x:v>
      </x:c>
      <x:c r="R1211" s="2" t="n">
        <x:v>46</x:v>
      </x:c>
      <x:c r="S1211" s="2" t="str">
        <x:v>Online</x:v>
      </x:c>
      <x:c r="T1211" s="2" t="str">
        <x:v>Synced</x:v>
      </x:c>
    </x:row>
    <x:row r="1212" ht="21" customHeight="1">
      <x:c r="A1212" s="2" t="str">
        <x:v>EV001186</x:v>
      </x:c>
      <x:c r="B1212" s="2" t="str">
        <x:v>T20261006-2-2</x:v>
      </x:c>
      <x:c r="C1212" s="2" t="str">
        <x:v>ST066</x:v>
      </x:c>
      <x:c r="D1212" s="2" t="str">
        <x:v>f1ae8019085f4d0a77552e53fdc22aa7</x:v>
      </x:c>
      <x:c r="E1212" s="2" t="str">
        <x:v>CHECK_OUT</x:v>
      </x:c>
      <x:c r="F1212" s="8" t="n">
        <x:v>46301.506423611114</x:v>
      </x:c>
      <x:c r="G1212" s="8" t="n">
        <x:v>46301.51684027778</x:v>
      </x:c>
      <x:c r="H1212" s="2" t="str">
        <x:v>SCH01</x:v>
      </x:c>
      <x:c r="I1212" s="9" t="n">
        <x:v>25.285</x:v>
      </x:c>
      <x:c r="J1212" s="9" t="n">
        <x:v>51.51</x:v>
      </x:c>
      <x:c r="K1212" s="2" t="n">
        <x:v>8</x:v>
      </x:c>
      <x:c r="L1212" s="2" t="str">
        <x:v>Valid</x:v>
      </x:c>
      <x:c r="M1212" s="2" t="str">
        <x:v>QR</x:v>
      </x:c>
      <x:c r="N1212" s="2" t="n">
        <x:v>1</x:v>
      </x:c>
      <x:c r="O1212" s="2" t="str">
        <x:v>Accepted</x:v>
      </x:c>
      <x:c r="P1212" s="2" t="str">
        <x:v>S002</x:v>
      </x:c>
      <x:c r="Q1212" s="2" t="str">
        <x:v>DEV002</x:v>
      </x:c>
      <x:c r="R1212" s="2" t="n">
        <x:v>46</x:v>
      </x:c>
      <x:c r="S1212" s="2" t="str">
        <x:v>Offline</x:v>
      </x:c>
      <x:c r="T1212" s="2" t="str">
        <x:v>Synced</x:v>
      </x:c>
    </x:row>
    <x:row r="1213" ht="21" customHeight="1">
      <x:c r="A1213" s="2" t="str">
        <x:v>EV001346</x:v>
      </x:c>
      <x:c r="B1213" s="2" t="str">
        <x:v>T20261006-2-3</x:v>
      </x:c>
      <x:c r="C1213" s="2" t="str">
        <x:v>ST106</x:v>
      </x:c>
      <x:c r="D1213" s="2" t="str">
        <x:v>9bd191644f26d4fc266418c96f36f10b</x:v>
      </x:c>
      <x:c r="E1213" s="2" t="str">
        <x:v>CHECK_OUT</x:v>
      </x:c>
      <x:c r="F1213" s="8" t="n">
        <x:v>46301.506423611114</x:v>
      </x:c>
      <x:c r="G1213" s="8" t="n">
        <x:v>46301.50644675926</x:v>
      </x:c>
      <x:c r="H1213" s="2" t="str">
        <x:v>SCH01</x:v>
      </x:c>
      <x:c r="I1213" s="9" t="n">
        <x:v>25.285</x:v>
      </x:c>
      <x:c r="J1213" s="9" t="n">
        <x:v>51.51</x:v>
      </x:c>
      <x:c r="K1213" s="2" t="n">
        <x:v>8</x:v>
      </x:c>
      <x:c r="L1213" s="2" t="str">
        <x:v>Valid</x:v>
      </x:c>
      <x:c r="M1213" s="2" t="str">
        <x:v>QR</x:v>
      </x:c>
      <x:c r="N1213" s="2" t="n">
        <x:v>1</x:v>
      </x:c>
      <x:c r="O1213" s="2" t="str">
        <x:v>Accepted</x:v>
      </x:c>
      <x:c r="P1213" s="2" t="str">
        <x:v>S003</x:v>
      </x:c>
      <x:c r="Q1213" s="2" t="str">
        <x:v>DEV003</x:v>
      </x:c>
      <x:c r="R1213" s="2" t="n">
        <x:v>46</x:v>
      </x:c>
      <x:c r="S1213" s="2" t="str">
        <x:v>Online</x:v>
      </x:c>
      <x:c r="T1213" s="2" t="str">
        <x:v>Synced</x:v>
      </x:c>
    </x:row>
    <x:row r="1214" ht="21" customHeight="1">
      <x:c r="A1214" s="2" t="str">
        <x:v>EV001028</x:v>
      </x:c>
      <x:c r="B1214" s="2" t="str">
        <x:v>T20261006-2-1</x:v>
      </x:c>
      <x:c r="C1214" s="2" t="str">
        <x:v>ST027</x:v>
      </x:c>
      <x:c r="D1214" s="2" t="str">
        <x:v>87868c08c06226359ca5121a9563bb63</x:v>
      </x:c>
      <x:c r="E1214" s="2" t="str">
        <x:v>CHECK_OUT</x:v>
      </x:c>
      <x:c r="F1214" s="8" t="n">
        <x:v>46301.50645833334</x:v>
      </x:c>
      <x:c r="G1214" s="8" t="n">
        <x:v>46301.50648148148</x:v>
      </x:c>
      <x:c r="H1214" s="2" t="str">
        <x:v>SCH01</x:v>
      </x:c>
      <x:c r="I1214" s="9" t="n">
        <x:v>25.285</x:v>
      </x:c>
      <x:c r="J1214" s="9" t="n">
        <x:v>51.51</x:v>
      </x:c>
      <x:c r="K1214" s="2" t="n">
        <x:v>8</x:v>
      </x:c>
      <x:c r="L1214" s="2" t="str">
        <x:v>Valid</x:v>
      </x:c>
      <x:c r="M1214" s="2" t="str">
        <x:v>QR</x:v>
      </x:c>
      <x:c r="N1214" s="2" t="n">
        <x:v>1</x:v>
      </x:c>
      <x:c r="O1214" s="2" t="str">
        <x:v>Accepted</x:v>
      </x:c>
      <x:c r="P1214" s="2" t="str">
        <x:v>S001</x:v>
      </x:c>
      <x:c r="Q1214" s="2" t="str">
        <x:v>DEV001</x:v>
      </x:c>
      <x:c r="R1214" s="2" t="n">
        <x:v>47</x:v>
      </x:c>
      <x:c r="S1214" s="2" t="str">
        <x:v>Online</x:v>
      </x:c>
      <x:c r="T1214" s="2" t="str">
        <x:v>Synced</x:v>
      </x:c>
    </x:row>
    <x:row r="1215" ht="21" customHeight="1">
      <x:c r="A1215" s="2" t="str">
        <x:v>EV001188</x:v>
      </x:c>
      <x:c r="B1215" s="2" t="str">
        <x:v>T20261006-2-2</x:v>
      </x:c>
      <x:c r="C1215" s="2" t="str">
        <x:v>ST067</x:v>
      </x:c>
      <x:c r="D1215" s="2" t="str">
        <x:v>66c3e7b11abae76912fea37c6c7ce00c</x:v>
      </x:c>
      <x:c r="E1215" s="2" t="str">
        <x:v>CHECK_OUT</x:v>
      </x:c>
      <x:c r="F1215" s="8" t="n">
        <x:v>46301.50645833334</x:v>
      </x:c>
      <x:c r="G1215" s="8" t="n">
        <x:v>46301.516875</x:v>
      </x:c>
      <x:c r="H1215" s="2" t="str">
        <x:v>SCH01</x:v>
      </x:c>
      <x:c r="I1215" s="9" t="n">
        <x:v>25.285</x:v>
      </x:c>
      <x:c r="J1215" s="9" t="n">
        <x:v>51.51</x:v>
      </x:c>
      <x:c r="K1215" s="2" t="n">
        <x:v>8</x:v>
      </x:c>
      <x:c r="L1215" s="2" t="str">
        <x:v>Valid</x:v>
      </x:c>
      <x:c r="M1215" s="2" t="str">
        <x:v>QR</x:v>
      </x:c>
      <x:c r="N1215" s="2" t="n">
        <x:v>1</x:v>
      </x:c>
      <x:c r="O1215" s="2" t="str">
        <x:v>Accepted</x:v>
      </x:c>
      <x:c r="P1215" s="2" t="str">
        <x:v>S002</x:v>
      </x:c>
      <x:c r="Q1215" s="2" t="str">
        <x:v>DEV002</x:v>
      </x:c>
      <x:c r="R1215" s="2" t="n">
        <x:v>47</x:v>
      </x:c>
      <x:c r="S1215" s="2" t="str">
        <x:v>Offline</x:v>
      </x:c>
      <x:c r="T1215" s="2" t="str">
        <x:v>Synced</x:v>
      </x:c>
    </x:row>
    <x:row r="1216" ht="21" customHeight="1">
      <x:c r="A1216" s="2" t="str">
        <x:v>EV001348</x:v>
      </x:c>
      <x:c r="B1216" s="2" t="str">
        <x:v>T20261006-2-3</x:v>
      </x:c>
      <x:c r="C1216" s="2" t="str">
        <x:v>ST107</x:v>
      </x:c>
      <x:c r="D1216" s="2" t="str">
        <x:v>4a2bb35840a3b4fc7e804e2d710c14f4</x:v>
      </x:c>
      <x:c r="E1216" s="2" t="str">
        <x:v>CHECK_OUT</x:v>
      </x:c>
      <x:c r="F1216" s="8" t="n">
        <x:v>46301.50645833334</x:v>
      </x:c>
      <x:c r="G1216" s="8" t="n">
        <x:v>46301.50648148148</x:v>
      </x:c>
      <x:c r="H1216" s="2" t="str">
        <x:v>SCH01</x:v>
      </x:c>
      <x:c r="I1216" s="9" t="n">
        <x:v>25.285</x:v>
      </x:c>
      <x:c r="J1216" s="9" t="n">
        <x:v>51.51</x:v>
      </x:c>
      <x:c r="K1216" s="2" t="n">
        <x:v>8</x:v>
      </x:c>
      <x:c r="L1216" s="2" t="str">
        <x:v>Valid</x:v>
      </x:c>
      <x:c r="M1216" s="2" t="str">
        <x:v>QR</x:v>
      </x:c>
      <x:c r="N1216" s="2" t="n">
        <x:v>1</x:v>
      </x:c>
      <x:c r="O1216" s="2" t="str">
        <x:v>Accepted</x:v>
      </x:c>
      <x:c r="P1216" s="2" t="str">
        <x:v>S003</x:v>
      </x:c>
      <x:c r="Q1216" s="2" t="str">
        <x:v>DEV003</x:v>
      </x:c>
      <x:c r="R1216" s="2" t="n">
        <x:v>47</x:v>
      </x:c>
      <x:c r="S1216" s="2" t="str">
        <x:v>Online</x:v>
      </x:c>
      <x:c r="T1216" s="2" t="str">
        <x:v>Synced</x:v>
      </x:c>
    </x:row>
    <x:row r="1217" ht="21" customHeight="1">
      <x:c r="A1217" s="2" t="str">
        <x:v>EV001030</x:v>
      </x:c>
      <x:c r="B1217" s="2" t="str">
        <x:v>T20261006-2-1</x:v>
      </x:c>
      <x:c r="C1217" s="2" t="str">
        <x:v>ST028</x:v>
      </x:c>
      <x:c r="D1217" s="2" t="str">
        <x:v>af9ca502f5a3f54f1f44ea6d11afd24b</x:v>
      </x:c>
      <x:c r="E1217" s="2" t="str">
        <x:v>CHECK_OUT</x:v>
      </x:c>
      <x:c r="F1217" s="8" t="n">
        <x:v>46301.50649305556</x:v>
      </x:c>
      <x:c r="G1217" s="8" t="n">
        <x:v>46301.506516203706</x:v>
      </x:c>
      <x:c r="H1217" s="2" t="str">
        <x:v>SCH01</x:v>
      </x:c>
      <x:c r="I1217" s="9" t="n">
        <x:v>25.285</x:v>
      </x:c>
      <x:c r="J1217" s="9" t="n">
        <x:v>51.51</x:v>
      </x:c>
      <x:c r="K1217" s="2" t="n">
        <x:v>8</x:v>
      </x:c>
      <x:c r="L1217" s="2" t="str">
        <x:v>Valid</x:v>
      </x:c>
      <x:c r="M1217" s="2" t="str">
        <x:v>QR</x:v>
      </x:c>
      <x:c r="N1217" s="2" t="n">
        <x:v>1</x:v>
      </x:c>
      <x:c r="O1217" s="2" t="str">
        <x:v>Accepted</x:v>
      </x:c>
      <x:c r="P1217" s="2" t="str">
        <x:v>S001</x:v>
      </x:c>
      <x:c r="Q1217" s="2" t="str">
        <x:v>DEV001</x:v>
      </x:c>
      <x:c r="R1217" s="2" t="n">
        <x:v>48</x:v>
      </x:c>
      <x:c r="S1217" s="2" t="str">
        <x:v>Online</x:v>
      </x:c>
      <x:c r="T1217" s="2" t="str">
        <x:v>Synced</x:v>
      </x:c>
    </x:row>
    <x:row r="1218" ht="21" customHeight="1">
      <x:c r="A1218" s="2" t="str">
        <x:v>EV001190</x:v>
      </x:c>
      <x:c r="B1218" s="2" t="str">
        <x:v>T20261006-2-2</x:v>
      </x:c>
      <x:c r="C1218" s="2" t="str">
        <x:v>ST068</x:v>
      </x:c>
      <x:c r="D1218" s="2" t="str">
        <x:v>6d9af84dd25561b8b07e5e166ae4982a</x:v>
      </x:c>
      <x:c r="E1218" s="2" t="str">
        <x:v>CHECK_OUT</x:v>
      </x:c>
      <x:c r="F1218" s="8" t="n">
        <x:v>46301.50649305556</x:v>
      </x:c>
      <x:c r="G1218" s="8" t="n">
        <x:v>46301.516909722224</x:v>
      </x:c>
      <x:c r="H1218" s="2" t="str">
        <x:v>SCH01</x:v>
      </x:c>
      <x:c r="I1218" s="9" t="n">
        <x:v>25.285</x:v>
      </x:c>
      <x:c r="J1218" s="9" t="n">
        <x:v>51.51</x:v>
      </x:c>
      <x:c r="K1218" s="2" t="n">
        <x:v>8</x:v>
      </x:c>
      <x:c r="L1218" s="2" t="str">
        <x:v>Valid</x:v>
      </x:c>
      <x:c r="M1218" s="2" t="str">
        <x:v>QR</x:v>
      </x:c>
      <x:c r="N1218" s="2" t="n">
        <x:v>1</x:v>
      </x:c>
      <x:c r="O1218" s="2" t="str">
        <x:v>Accepted</x:v>
      </x:c>
      <x:c r="P1218" s="2" t="str">
        <x:v>S002</x:v>
      </x:c>
      <x:c r="Q1218" s="2" t="str">
        <x:v>DEV002</x:v>
      </x:c>
      <x:c r="R1218" s="2" t="n">
        <x:v>48</x:v>
      </x:c>
      <x:c r="S1218" s="2" t="str">
        <x:v>Offline</x:v>
      </x:c>
      <x:c r="T1218" s="2" t="str">
        <x:v>Synced</x:v>
      </x:c>
    </x:row>
    <x:row r="1219" ht="21" customHeight="1">
      <x:c r="A1219" s="2" t="str">
        <x:v>EV001350</x:v>
      </x:c>
      <x:c r="B1219" s="2" t="str">
        <x:v>T20261006-2-3</x:v>
      </x:c>
      <x:c r="C1219" s="2" t="str">
        <x:v>ST108</x:v>
      </x:c>
      <x:c r="D1219" s="2" t="str">
        <x:v>85ef3b20338dfa9afdf3ae5a4b1ced5c</x:v>
      </x:c>
      <x:c r="E1219" s="2" t="str">
        <x:v>CHECK_OUT</x:v>
      </x:c>
      <x:c r="F1219" s="8" t="n">
        <x:v>46301.50649305556</x:v>
      </x:c>
      <x:c r="G1219" s="8" t="n">
        <x:v>46301.506516203706</x:v>
      </x:c>
      <x:c r="H1219" s="2" t="str">
        <x:v>SCH01</x:v>
      </x:c>
      <x:c r="I1219" s="9" t="n">
        <x:v>25.285</x:v>
      </x:c>
      <x:c r="J1219" s="9" t="n">
        <x:v>51.51</x:v>
      </x:c>
      <x:c r="K1219" s="2" t="n">
        <x:v>8</x:v>
      </x:c>
      <x:c r="L1219" s="2" t="str">
        <x:v>Valid</x:v>
      </x:c>
      <x:c r="M1219" s="2" t="str">
        <x:v>QR</x:v>
      </x:c>
      <x:c r="N1219" s="2" t="n">
        <x:v>1</x:v>
      </x:c>
      <x:c r="O1219" s="2" t="str">
        <x:v>Accepted</x:v>
      </x:c>
      <x:c r="P1219" s="2" t="str">
        <x:v>S003</x:v>
      </x:c>
      <x:c r="Q1219" s="2" t="str">
        <x:v>DEV003</x:v>
      </x:c>
      <x:c r="R1219" s="2" t="n">
        <x:v>48</x:v>
      </x:c>
      <x:c r="S1219" s="2" t="str">
        <x:v>Online</x:v>
      </x:c>
      <x:c r="T1219" s="2" t="str">
        <x:v>Synced</x:v>
      </x:c>
    </x:row>
    <x:row r="1220" ht="21" customHeight="1">
      <x:c r="A1220" s="2" t="str">
        <x:v>EV001032</x:v>
      </x:c>
      <x:c r="B1220" s="2" t="str">
        <x:v>T20261006-2-1</x:v>
      </x:c>
      <x:c r="C1220" s="2" t="str">
        <x:v>ST029</x:v>
      </x:c>
      <x:c r="D1220" s="2" t="str">
        <x:v>160c4caa69875e092299cd9b55dcda0b</x:v>
      </x:c>
      <x:c r="E1220" s="2" t="str">
        <x:v>CHECK_OUT</x:v>
      </x:c>
      <x:c r="F1220" s="8" t="n">
        <x:v>46301.50652777778</x:v>
      </x:c>
      <x:c r="G1220" s="8" t="n">
        <x:v>46301.50655092593</x:v>
      </x:c>
      <x:c r="H1220" s="2" t="str">
        <x:v>SCH01</x:v>
      </x:c>
      <x:c r="I1220" s="9" t="n">
        <x:v>25.285</x:v>
      </x:c>
      <x:c r="J1220" s="9" t="n">
        <x:v>51.51</x:v>
      </x:c>
      <x:c r="K1220" s="2" t="n">
        <x:v>8</x:v>
      </x:c>
      <x:c r="L1220" s="2" t="str">
        <x:v>Valid</x:v>
      </x:c>
      <x:c r="M1220" s="2" t="str">
        <x:v>QR</x:v>
      </x:c>
      <x:c r="N1220" s="2" t="n">
        <x:v>1</x:v>
      </x:c>
      <x:c r="O1220" s="2" t="str">
        <x:v>Accepted</x:v>
      </x:c>
      <x:c r="P1220" s="2" t="str">
        <x:v>S001</x:v>
      </x:c>
      <x:c r="Q1220" s="2" t="str">
        <x:v>DEV001</x:v>
      </x:c>
      <x:c r="R1220" s="2" t="n">
        <x:v>49</x:v>
      </x:c>
      <x:c r="S1220" s="2" t="str">
        <x:v>Online</x:v>
      </x:c>
      <x:c r="T1220" s="2" t="str">
        <x:v>Synced</x:v>
      </x:c>
    </x:row>
    <x:row r="1221" ht="21" customHeight="1">
      <x:c r="A1221" s="2" t="str">
        <x:v>EV001192</x:v>
      </x:c>
      <x:c r="B1221" s="2" t="str">
        <x:v>T20261006-2-2</x:v>
      </x:c>
      <x:c r="C1221" s="2" t="str">
        <x:v>ST069</x:v>
      </x:c>
      <x:c r="D1221" s="2" t="str">
        <x:v>d453525f57933d1df9d056e2e53ed3e4</x:v>
      </x:c>
      <x:c r="E1221" s="2" t="str">
        <x:v>CHECK_OUT</x:v>
      </x:c>
      <x:c r="F1221" s="8" t="n">
        <x:v>46301.50652777778</x:v>
      </x:c>
      <x:c r="G1221" s="8" t="n">
        <x:v>46301.51694444445</x:v>
      </x:c>
      <x:c r="H1221" s="2" t="str">
        <x:v>SCH01</x:v>
      </x:c>
      <x:c r="I1221" s="9" t="n">
        <x:v>25.285</x:v>
      </x:c>
      <x:c r="J1221" s="9" t="n">
        <x:v>51.51</x:v>
      </x:c>
      <x:c r="K1221" s="2" t="n">
        <x:v>8</x:v>
      </x:c>
      <x:c r="L1221" s="2" t="str">
        <x:v>Valid</x:v>
      </x:c>
      <x:c r="M1221" s="2" t="str">
        <x:v>QR</x:v>
      </x:c>
      <x:c r="N1221" s="2" t="n">
        <x:v>1</x:v>
      </x:c>
      <x:c r="O1221" s="2" t="str">
        <x:v>Accepted</x:v>
      </x:c>
      <x:c r="P1221" s="2" t="str">
        <x:v>S002</x:v>
      </x:c>
      <x:c r="Q1221" s="2" t="str">
        <x:v>DEV002</x:v>
      </x:c>
      <x:c r="R1221" s="2" t="n">
        <x:v>49</x:v>
      </x:c>
      <x:c r="S1221" s="2" t="str">
        <x:v>Offline</x:v>
      </x:c>
      <x:c r="T1221" s="2" t="str">
        <x:v>Synced</x:v>
      </x:c>
    </x:row>
    <x:row r="1222" ht="21" customHeight="1">
      <x:c r="A1222" s="2" t="str">
        <x:v>EV001352</x:v>
      </x:c>
      <x:c r="B1222" s="2" t="str">
        <x:v>T20261006-2-3</x:v>
      </x:c>
      <x:c r="C1222" s="2" t="str">
        <x:v>ST109</x:v>
      </x:c>
      <x:c r="D1222" s="2" t="str">
        <x:v>dfd493c800846e3efc35048335bd557b</x:v>
      </x:c>
      <x:c r="E1222" s="2" t="str">
        <x:v>CHECK_OUT</x:v>
      </x:c>
      <x:c r="F1222" s="8" t="n">
        <x:v>46301.50652777778</x:v>
      </x:c>
      <x:c r="G1222" s="8" t="n">
        <x:v>46301.50655092593</x:v>
      </x:c>
      <x:c r="H1222" s="2" t="str">
        <x:v>SCH01</x:v>
      </x:c>
      <x:c r="I1222" s="9" t="n">
        <x:v>25.285</x:v>
      </x:c>
      <x:c r="J1222" s="9" t="n">
        <x:v>51.51</x:v>
      </x:c>
      <x:c r="K1222" s="2" t="n">
        <x:v>8</x:v>
      </x:c>
      <x:c r="L1222" s="2" t="str">
        <x:v>Valid</x:v>
      </x:c>
      <x:c r="M1222" s="2" t="str">
        <x:v>QR</x:v>
      </x:c>
      <x:c r="N1222" s="2" t="n">
        <x:v>1</x:v>
      </x:c>
      <x:c r="O1222" s="2" t="str">
        <x:v>Accepted</x:v>
      </x:c>
      <x:c r="P1222" s="2" t="str">
        <x:v>S003</x:v>
      </x:c>
      <x:c r="Q1222" s="2" t="str">
        <x:v>DEV003</x:v>
      </x:c>
      <x:c r="R1222" s="2" t="n">
        <x:v>49</x:v>
      </x:c>
      <x:c r="S1222" s="2" t="str">
        <x:v>Online</x:v>
      </x:c>
      <x:c r="T1222" s="2" t="str">
        <x:v>Synced</x:v>
      </x:c>
    </x:row>
    <x:row r="1223" ht="21" customHeight="1">
      <x:c r="A1223" s="2" t="str">
        <x:v>EV001034</x:v>
      </x:c>
      <x:c r="B1223" s="2" t="str">
        <x:v>T20261006-2-1</x:v>
      </x:c>
      <x:c r="C1223" s="2" t="str">
        <x:v>ST030</x:v>
      </x:c>
      <x:c r="D1223" s="2" t="str">
        <x:v>82585187c31166ddecfc4b31343dde64</x:v>
      </x:c>
      <x:c r="E1223" s="2" t="str">
        <x:v>CHECK_OUT</x:v>
      </x:c>
      <x:c r="F1223" s="8" t="n">
        <x:v>46301.506562500006</x:v>
      </x:c>
      <x:c r="G1223" s="8" t="n">
        <x:v>46301.50658564815</x:v>
      </x:c>
      <x:c r="H1223" s="2" t="str">
        <x:v>SCH01</x:v>
      </x:c>
      <x:c r="I1223" s="9" t="n">
        <x:v>25.285</x:v>
      </x:c>
      <x:c r="J1223" s="9" t="n">
        <x:v>51.51</x:v>
      </x:c>
      <x:c r="K1223" s="2" t="n">
        <x:v>8</x:v>
      </x:c>
      <x:c r="L1223" s="2" t="str">
        <x:v>Valid</x:v>
      </x:c>
      <x:c r="M1223" s="2" t="str">
        <x:v>QR</x:v>
      </x:c>
      <x:c r="N1223" s="2" t="n">
        <x:v>1</x:v>
      </x:c>
      <x:c r="O1223" s="2" t="str">
        <x:v>Accepted</x:v>
      </x:c>
      <x:c r="P1223" s="2" t="str">
        <x:v>S001</x:v>
      </x:c>
      <x:c r="Q1223" s="2" t="str">
        <x:v>DEV001</x:v>
      </x:c>
      <x:c r="R1223" s="2" t="n">
        <x:v>50</x:v>
      </x:c>
      <x:c r="S1223" s="2" t="str">
        <x:v>Online</x:v>
      </x:c>
      <x:c r="T1223" s="2" t="str">
        <x:v>Synced</x:v>
      </x:c>
    </x:row>
    <x:row r="1224" ht="21" customHeight="1">
      <x:c r="A1224" s="2" t="str">
        <x:v>EV001194</x:v>
      </x:c>
      <x:c r="B1224" s="2" t="str">
        <x:v>T20261006-2-2</x:v>
      </x:c>
      <x:c r="C1224" s="2" t="str">
        <x:v>ST070</x:v>
      </x:c>
      <x:c r="D1224" s="2" t="str">
        <x:v>12a9f1121533e9d2b6402c68cf852c16</x:v>
      </x:c>
      <x:c r="E1224" s="2" t="str">
        <x:v>CHECK_OUT</x:v>
      </x:c>
      <x:c r="F1224" s="8" t="n">
        <x:v>46301.506562500006</x:v>
      </x:c>
      <x:c r="G1224" s="8" t="n">
        <x:v>46301.51697916667</x:v>
      </x:c>
      <x:c r="H1224" s="2" t="str">
        <x:v>SCH01</x:v>
      </x:c>
      <x:c r="I1224" s="9" t="n">
        <x:v>25.285</x:v>
      </x:c>
      <x:c r="J1224" s="9" t="n">
        <x:v>51.51</x:v>
      </x:c>
      <x:c r="K1224" s="2" t="n">
        <x:v>8</x:v>
      </x:c>
      <x:c r="L1224" s="2" t="str">
        <x:v>Valid</x:v>
      </x:c>
      <x:c r="M1224" s="2" t="str">
        <x:v>QR</x:v>
      </x:c>
      <x:c r="N1224" s="2" t="n">
        <x:v>1</x:v>
      </x:c>
      <x:c r="O1224" s="2" t="str">
        <x:v>Accepted</x:v>
      </x:c>
      <x:c r="P1224" s="2" t="str">
        <x:v>S002</x:v>
      </x:c>
      <x:c r="Q1224" s="2" t="str">
        <x:v>DEV002</x:v>
      </x:c>
      <x:c r="R1224" s="2" t="n">
        <x:v>50</x:v>
      </x:c>
      <x:c r="S1224" s="2" t="str">
        <x:v>Offline</x:v>
      </x:c>
      <x:c r="T1224" s="2" t="str">
        <x:v>Synced</x:v>
      </x:c>
    </x:row>
    <x:row r="1225" ht="21" customHeight="1">
      <x:c r="A1225" s="2" t="str">
        <x:v>EV001354</x:v>
      </x:c>
      <x:c r="B1225" s="2" t="str">
        <x:v>T20261006-2-3</x:v>
      </x:c>
      <x:c r="C1225" s="2" t="str">
        <x:v>ST110</x:v>
      </x:c>
      <x:c r="D1225" s="2" t="str">
        <x:v>4382c0cdcda89fb8cc0f5b9fc03b4c51</x:v>
      </x:c>
      <x:c r="E1225" s="2" t="str">
        <x:v>CHECK_OUT</x:v>
      </x:c>
      <x:c r="F1225" s="8" t="n">
        <x:v>46301.506562500006</x:v>
      </x:c>
      <x:c r="G1225" s="8" t="n">
        <x:v>46301.50658564815</x:v>
      </x:c>
      <x:c r="H1225" s="2" t="str">
        <x:v>SCH01</x:v>
      </x:c>
      <x:c r="I1225" s="9" t="n">
        <x:v>25.285</x:v>
      </x:c>
      <x:c r="J1225" s="9" t="n">
        <x:v>51.51</x:v>
      </x:c>
      <x:c r="K1225" s="2" t="n">
        <x:v>8</x:v>
      </x:c>
      <x:c r="L1225" s="2" t="str">
        <x:v>Valid</x:v>
      </x:c>
      <x:c r="M1225" s="2" t="str">
        <x:v>QR</x:v>
      </x:c>
      <x:c r="N1225" s="2" t="n">
        <x:v>1</x:v>
      </x:c>
      <x:c r="O1225" s="2" t="str">
        <x:v>Accepted</x:v>
      </x:c>
      <x:c r="P1225" s="2" t="str">
        <x:v>S003</x:v>
      </x:c>
      <x:c r="Q1225" s="2" t="str">
        <x:v>DEV003</x:v>
      </x:c>
      <x:c r="R1225" s="2" t="n">
        <x:v>50</x:v>
      </x:c>
      <x:c r="S1225" s="2" t="str">
        <x:v>Online</x:v>
      </x:c>
      <x:c r="T1225" s="2" t="str">
        <x:v>Synced</x:v>
      </x:c>
    </x:row>
    <x:row r="1226" ht="21" customHeight="1">
      <x:c r="A1226" s="2" t="str">
        <x:v>EV001036</x:v>
      </x:c>
      <x:c r="B1226" s="2" t="str">
        <x:v>T20261006-2-1</x:v>
      </x:c>
      <x:c r="C1226" s="2" t="str">
        <x:v>ST031</x:v>
      </x:c>
      <x:c r="D1226" s="2" t="str">
        <x:v>8ab188e9684e5df87182305d1c7eadac</x:v>
      </x:c>
      <x:c r="E1226" s="2" t="str">
        <x:v>CHECK_OUT</x:v>
      </x:c>
      <x:c r="F1226" s="8" t="n">
        <x:v>46301.50659722223</x:v>
      </x:c>
      <x:c r="G1226" s="8" t="n">
        <x:v>46301.506620370375</x:v>
      </x:c>
      <x:c r="H1226" s="2" t="str">
        <x:v>SCH01</x:v>
      </x:c>
      <x:c r="I1226" s="9" t="n">
        <x:v>25.285</x:v>
      </x:c>
      <x:c r="J1226" s="9" t="n">
        <x:v>51.51</x:v>
      </x:c>
      <x:c r="K1226" s="2" t="n">
        <x:v>8</x:v>
      </x:c>
      <x:c r="L1226" s="2" t="str">
        <x:v>Valid</x:v>
      </x:c>
      <x:c r="M1226" s="2" t="str">
        <x:v>QR</x:v>
      </x:c>
      <x:c r="N1226" s="2" t="n">
        <x:v>1</x:v>
      </x:c>
      <x:c r="O1226" s="2" t="str">
        <x:v>Accepted</x:v>
      </x:c>
      <x:c r="P1226" s="2" t="str">
        <x:v>S001</x:v>
      </x:c>
      <x:c r="Q1226" s="2" t="str">
        <x:v>DEV001</x:v>
      </x:c>
      <x:c r="R1226" s="2" t="n">
        <x:v>51</x:v>
      </x:c>
      <x:c r="S1226" s="2" t="str">
        <x:v>Online</x:v>
      </x:c>
      <x:c r="T1226" s="2" t="str">
        <x:v>Synced</x:v>
      </x:c>
    </x:row>
    <x:row r="1227" ht="21" customHeight="1">
      <x:c r="A1227" s="2" t="str">
        <x:v>EV001196</x:v>
      </x:c>
      <x:c r="B1227" s="2" t="str">
        <x:v>T20261006-2-2</x:v>
      </x:c>
      <x:c r="C1227" s="2" t="str">
        <x:v>ST071</x:v>
      </x:c>
      <x:c r="D1227" s="2" t="str">
        <x:v>51895678643dc659a400e702a471294e</x:v>
      </x:c>
      <x:c r="E1227" s="2" t="str">
        <x:v>CHECK_OUT</x:v>
      </x:c>
      <x:c r="F1227" s="8" t="n">
        <x:v>46301.50659722223</x:v>
      </x:c>
      <x:c r="G1227" s="8" t="n">
        <x:v>46301.51701388889</x:v>
      </x:c>
      <x:c r="H1227" s="2" t="str">
        <x:v>SCH01</x:v>
      </x:c>
      <x:c r="I1227" s="9" t="n">
        <x:v>25.285</x:v>
      </x:c>
      <x:c r="J1227" s="9" t="n">
        <x:v>51.51</x:v>
      </x:c>
      <x:c r="K1227" s="2" t="n">
        <x:v>8</x:v>
      </x:c>
      <x:c r="L1227" s="2" t="str">
        <x:v>Valid</x:v>
      </x:c>
      <x:c r="M1227" s="2" t="str">
        <x:v>QR</x:v>
      </x:c>
      <x:c r="N1227" s="2" t="n">
        <x:v>1</x:v>
      </x:c>
      <x:c r="O1227" s="2" t="str">
        <x:v>Accepted</x:v>
      </x:c>
      <x:c r="P1227" s="2" t="str">
        <x:v>S002</x:v>
      </x:c>
      <x:c r="Q1227" s="2" t="str">
        <x:v>DEV002</x:v>
      </x:c>
      <x:c r="R1227" s="2" t="n">
        <x:v>51</x:v>
      </x:c>
      <x:c r="S1227" s="2" t="str">
        <x:v>Offline</x:v>
      </x:c>
      <x:c r="T1227" s="2" t="str">
        <x:v>Synced</x:v>
      </x:c>
    </x:row>
    <x:row r="1228" ht="21" customHeight="1">
      <x:c r="A1228" s="2" t="str">
        <x:v>EV001356</x:v>
      </x:c>
      <x:c r="B1228" s="2" t="str">
        <x:v>T20261006-2-3</x:v>
      </x:c>
      <x:c r="C1228" s="2" t="str">
        <x:v>ST111</x:v>
      </x:c>
      <x:c r="D1228" s="2" t="str">
        <x:v>e6e9707385e7ee8edd3ac87243757eb2</x:v>
      </x:c>
      <x:c r="E1228" s="2" t="str">
        <x:v>CHECK_OUT</x:v>
      </x:c>
      <x:c r="F1228" s="8" t="n">
        <x:v>46301.50659722223</x:v>
      </x:c>
      <x:c r="G1228" s="8" t="n">
        <x:v>46301.506620370375</x:v>
      </x:c>
      <x:c r="H1228" s="2" t="str">
        <x:v>SCH01</x:v>
      </x:c>
      <x:c r="I1228" s="9" t="n">
        <x:v>25.285</x:v>
      </x:c>
      <x:c r="J1228" s="9" t="n">
        <x:v>51.51</x:v>
      </x:c>
      <x:c r="K1228" s="2" t="n">
        <x:v>8</x:v>
      </x:c>
      <x:c r="L1228" s="2" t="str">
        <x:v>Valid</x:v>
      </x:c>
      <x:c r="M1228" s="2" t="str">
        <x:v>QR</x:v>
      </x:c>
      <x:c r="N1228" s="2" t="n">
        <x:v>1</x:v>
      </x:c>
      <x:c r="O1228" s="2" t="str">
        <x:v>Accepted</x:v>
      </x:c>
      <x:c r="P1228" s="2" t="str">
        <x:v>S003</x:v>
      </x:c>
      <x:c r="Q1228" s="2" t="str">
        <x:v>DEV003</x:v>
      </x:c>
      <x:c r="R1228" s="2" t="n">
        <x:v>51</x:v>
      </x:c>
      <x:c r="S1228" s="2" t="str">
        <x:v>Online</x:v>
      </x:c>
      <x:c r="T1228" s="2" t="str">
        <x:v>Synced</x:v>
      </x:c>
    </x:row>
    <x:row r="1229" ht="21" customHeight="1">
      <x:c r="A1229" s="2" t="str">
        <x:v>EV001038</x:v>
      </x:c>
      <x:c r="B1229" s="2" t="str">
        <x:v>T20261006-2-1</x:v>
      </x:c>
      <x:c r="C1229" s="2" t="str">
        <x:v>ST032</x:v>
      </x:c>
      <x:c r="D1229" s="2" t="str">
        <x:v>836e2da54ccde9716995f5651a63e8c5</x:v>
      </x:c>
      <x:c r="E1229" s="2" t="str">
        <x:v>CHECK_OUT</x:v>
      </x:c>
      <x:c r="F1229" s="8" t="n">
        <x:v>46301.506631944445</x:v>
      </x:c>
      <x:c r="G1229" s="8" t="n">
        <x:v>46301.50665509259</x:v>
      </x:c>
      <x:c r="H1229" s="2" t="str">
        <x:v>SCH01</x:v>
      </x:c>
      <x:c r="I1229" s="9" t="n">
        <x:v>25.285</x:v>
      </x:c>
      <x:c r="J1229" s="9" t="n">
        <x:v>51.51</x:v>
      </x:c>
      <x:c r="K1229" s="2" t="n">
        <x:v>8</x:v>
      </x:c>
      <x:c r="L1229" s="2" t="str">
        <x:v>Valid</x:v>
      </x:c>
      <x:c r="M1229" s="2" t="str">
        <x:v>QR</x:v>
      </x:c>
      <x:c r="N1229" s="2" t="n">
        <x:v>1</x:v>
      </x:c>
      <x:c r="O1229" s="2" t="str">
        <x:v>Accepted</x:v>
      </x:c>
      <x:c r="P1229" s="2" t="str">
        <x:v>S001</x:v>
      </x:c>
      <x:c r="Q1229" s="2" t="str">
        <x:v>DEV001</x:v>
      </x:c>
      <x:c r="R1229" s="2" t="n">
        <x:v>52</x:v>
      </x:c>
      <x:c r="S1229" s="2" t="str">
        <x:v>Online</x:v>
      </x:c>
      <x:c r="T1229" s="2" t="str">
        <x:v>Synced</x:v>
      </x:c>
    </x:row>
    <x:row r="1230" ht="21" customHeight="1">
      <x:c r="A1230" s="2" t="str">
        <x:v>EV001198</x:v>
      </x:c>
      <x:c r="B1230" s="2" t="str">
        <x:v>T20261006-2-2</x:v>
      </x:c>
      <x:c r="C1230" s="2" t="str">
        <x:v>ST072</x:v>
      </x:c>
      <x:c r="D1230" s="2" t="str">
        <x:v>34067027b5922171fe59ce4d7b756f1c</x:v>
      </x:c>
      <x:c r="E1230" s="2" t="str">
        <x:v>CHECK_OUT</x:v>
      </x:c>
      <x:c r="F1230" s="8" t="n">
        <x:v>46301.506631944445</x:v>
      </x:c>
      <x:c r="G1230" s="8" t="n">
        <x:v>46301.51704861111</x:v>
      </x:c>
      <x:c r="H1230" s="2" t="str">
        <x:v>SCH01</x:v>
      </x:c>
      <x:c r="I1230" s="9" t="n">
        <x:v>25.285</x:v>
      </x:c>
      <x:c r="J1230" s="9" t="n">
        <x:v>51.51</x:v>
      </x:c>
      <x:c r="K1230" s="2" t="n">
        <x:v>8</x:v>
      </x:c>
      <x:c r="L1230" s="2" t="str">
        <x:v>Valid</x:v>
      </x:c>
      <x:c r="M1230" s="2" t="str">
        <x:v>QR</x:v>
      </x:c>
      <x:c r="N1230" s="2" t="n">
        <x:v>1</x:v>
      </x:c>
      <x:c r="O1230" s="2" t="str">
        <x:v>Accepted</x:v>
      </x:c>
      <x:c r="P1230" s="2" t="str">
        <x:v>S002</x:v>
      </x:c>
      <x:c r="Q1230" s="2" t="str">
        <x:v>DEV002</x:v>
      </x:c>
      <x:c r="R1230" s="2" t="n">
        <x:v>52</x:v>
      </x:c>
      <x:c r="S1230" s="2" t="str">
        <x:v>Offline</x:v>
      </x:c>
      <x:c r="T1230" s="2" t="str">
        <x:v>Synced</x:v>
      </x:c>
    </x:row>
    <x:row r="1231" ht="21" customHeight="1">
      <x:c r="A1231" s="2" t="str">
        <x:v>EV001358</x:v>
      </x:c>
      <x:c r="B1231" s="2" t="str">
        <x:v>T20261006-2-3</x:v>
      </x:c>
      <x:c r="C1231" s="2" t="str">
        <x:v>ST112</x:v>
      </x:c>
      <x:c r="D1231" s="2" t="str">
        <x:v>ca020aefc0d912af9ddca5c7ca7a2f51</x:v>
      </x:c>
      <x:c r="E1231" s="2" t="str">
        <x:v>CHECK_OUT</x:v>
      </x:c>
      <x:c r="F1231" s="8" t="n">
        <x:v>46301.506631944445</x:v>
      </x:c>
      <x:c r="G1231" s="8" t="n">
        <x:v>46301.50665509259</x:v>
      </x:c>
      <x:c r="H1231" s="2" t="str">
        <x:v>SCH01</x:v>
      </x:c>
      <x:c r="I1231" s="9" t="n">
        <x:v>25.285</x:v>
      </x:c>
      <x:c r="J1231" s="9" t="n">
        <x:v>51.51</x:v>
      </x:c>
      <x:c r="K1231" s="2" t="n">
        <x:v>8</x:v>
      </x:c>
      <x:c r="L1231" s="2" t="str">
        <x:v>Valid</x:v>
      </x:c>
      <x:c r="M1231" s="2" t="str">
        <x:v>QR</x:v>
      </x:c>
      <x:c r="N1231" s="2" t="n">
        <x:v>1</x:v>
      </x:c>
      <x:c r="O1231" s="2" t="str">
        <x:v>Accepted</x:v>
      </x:c>
      <x:c r="P1231" s="2" t="str">
        <x:v>S003</x:v>
      </x:c>
      <x:c r="Q1231" s="2" t="str">
        <x:v>DEV003</x:v>
      </x:c>
      <x:c r="R1231" s="2" t="n">
        <x:v>52</x:v>
      </x:c>
      <x:c r="S1231" s="2" t="str">
        <x:v>Online</x:v>
      </x:c>
      <x:c r="T1231" s="2" t="str">
        <x:v>Synced</x:v>
      </x:c>
    </x:row>
    <x:row r="1232" ht="21" customHeight="1">
      <x:c r="A1232" s="2" t="str">
        <x:v>EV001040</x:v>
      </x:c>
      <x:c r="B1232" s="2" t="str">
        <x:v>T20261006-2-1</x:v>
      </x:c>
      <x:c r="C1232" s="2" t="str">
        <x:v>ST033</x:v>
      </x:c>
      <x:c r="D1232" s="2" t="str">
        <x:v>c9cc8ddf1b5bae8b49929340838e300a</x:v>
      </x:c>
      <x:c r="E1232" s="2" t="str">
        <x:v>CHECK_OUT</x:v>
      </x:c>
      <x:c r="F1232" s="8" t="n">
        <x:v>46301.50666666667</x:v>
      </x:c>
      <x:c r="G1232" s="8" t="n">
        <x:v>46301.506689814814</x:v>
      </x:c>
      <x:c r="H1232" s="2" t="str">
        <x:v>SCH01</x:v>
      </x:c>
      <x:c r="I1232" s="9" t="n">
        <x:v>25.285</x:v>
      </x:c>
      <x:c r="J1232" s="9" t="n">
        <x:v>51.51</x:v>
      </x:c>
      <x:c r="K1232" s="2" t="n">
        <x:v>8</x:v>
      </x:c>
      <x:c r="L1232" s="2" t="str">
        <x:v>Valid</x:v>
      </x:c>
      <x:c r="M1232" s="2" t="str">
        <x:v>QR</x:v>
      </x:c>
      <x:c r="N1232" s="2" t="n">
        <x:v>1</x:v>
      </x:c>
      <x:c r="O1232" s="2" t="str">
        <x:v>Accepted</x:v>
      </x:c>
      <x:c r="P1232" s="2" t="str">
        <x:v>S001</x:v>
      </x:c>
      <x:c r="Q1232" s="2" t="str">
        <x:v>DEV001</x:v>
      </x:c>
      <x:c r="R1232" s="2" t="n">
        <x:v>53</x:v>
      </x:c>
      <x:c r="S1232" s="2" t="str">
        <x:v>Online</x:v>
      </x:c>
      <x:c r="T1232" s="2" t="str">
        <x:v>Synced</x:v>
      </x:c>
    </x:row>
    <x:row r="1233" ht="21" customHeight="1">
      <x:c r="A1233" s="2" t="str">
        <x:v>EV001200</x:v>
      </x:c>
      <x:c r="B1233" s="2" t="str">
        <x:v>T20261006-2-2</x:v>
      </x:c>
      <x:c r="C1233" s="2" t="str">
        <x:v>ST073</x:v>
      </x:c>
      <x:c r="D1233" s="2" t="str">
        <x:v>b27180ce7590c0aac206d465f318b712</x:v>
      </x:c>
      <x:c r="E1233" s="2" t="str">
        <x:v>CHECK_OUT</x:v>
      </x:c>
      <x:c r="F1233" s="8" t="n">
        <x:v>46301.50666666667</x:v>
      </x:c>
      <x:c r="G1233" s="8" t="n">
        <x:v>46301.51708333333</x:v>
      </x:c>
      <x:c r="H1233" s="2" t="str">
        <x:v>SCH01</x:v>
      </x:c>
      <x:c r="I1233" s="9" t="n">
        <x:v>25.285</x:v>
      </x:c>
      <x:c r="J1233" s="9" t="n">
        <x:v>51.51</x:v>
      </x:c>
      <x:c r="K1233" s="2" t="n">
        <x:v>8</x:v>
      </x:c>
      <x:c r="L1233" s="2" t="str">
        <x:v>Valid</x:v>
      </x:c>
      <x:c r="M1233" s="2" t="str">
        <x:v>QR</x:v>
      </x:c>
      <x:c r="N1233" s="2" t="n">
        <x:v>1</x:v>
      </x:c>
      <x:c r="O1233" s="2" t="str">
        <x:v>Accepted</x:v>
      </x:c>
      <x:c r="P1233" s="2" t="str">
        <x:v>S002</x:v>
      </x:c>
      <x:c r="Q1233" s="2" t="str">
        <x:v>DEV002</x:v>
      </x:c>
      <x:c r="R1233" s="2" t="n">
        <x:v>53</x:v>
      </x:c>
      <x:c r="S1233" s="2" t="str">
        <x:v>Offline</x:v>
      </x:c>
      <x:c r="T1233" s="2" t="str">
        <x:v>Synced</x:v>
      </x:c>
    </x:row>
    <x:row r="1234" ht="21" customHeight="1">
      <x:c r="A1234" s="2" t="str">
        <x:v>EV001360</x:v>
      </x:c>
      <x:c r="B1234" s="2" t="str">
        <x:v>T20261006-2-3</x:v>
      </x:c>
      <x:c r="C1234" s="2" t="str">
        <x:v>ST113</x:v>
      </x:c>
      <x:c r="D1234" s="2" t="str">
        <x:v>c3781e168737a6cc1190d4415801c440</x:v>
      </x:c>
      <x:c r="E1234" s="2" t="str">
        <x:v>CHECK_OUT</x:v>
      </x:c>
      <x:c r="F1234" s="8" t="n">
        <x:v>46301.50666666667</x:v>
      </x:c>
      <x:c r="G1234" s="8" t="n">
        <x:v>46301.506689814814</x:v>
      </x:c>
      <x:c r="H1234" s="2" t="str">
        <x:v>SCH01</x:v>
      </x:c>
      <x:c r="I1234" s="9" t="n">
        <x:v>25.285</x:v>
      </x:c>
      <x:c r="J1234" s="9" t="n">
        <x:v>51.51</x:v>
      </x:c>
      <x:c r="K1234" s="2" t="n">
        <x:v>8</x:v>
      </x:c>
      <x:c r="L1234" s="2" t="str">
        <x:v>Valid</x:v>
      </x:c>
      <x:c r="M1234" s="2" t="str">
        <x:v>QR</x:v>
      </x:c>
      <x:c r="N1234" s="2" t="n">
        <x:v>1</x:v>
      </x:c>
      <x:c r="O1234" s="2" t="str">
        <x:v>Accepted</x:v>
      </x:c>
      <x:c r="P1234" s="2" t="str">
        <x:v>S003</x:v>
      </x:c>
      <x:c r="Q1234" s="2" t="str">
        <x:v>DEV003</x:v>
      </x:c>
      <x:c r="R1234" s="2" t="n">
        <x:v>53</x:v>
      </x:c>
      <x:c r="S1234" s="2" t="str">
        <x:v>Online</x:v>
      </x:c>
      <x:c r="T1234" s="2" t="str">
        <x:v>Synced</x:v>
      </x:c>
    </x:row>
    <x:row r="1235" ht="21" customHeight="1">
      <x:c r="A1235" s="2" t="str">
        <x:v>EV001042</x:v>
      </x:c>
      <x:c r="B1235" s="2" t="str">
        <x:v>T20261006-2-1</x:v>
      </x:c>
      <x:c r="C1235" s="2" t="str">
        <x:v>ST034</x:v>
      </x:c>
      <x:c r="D1235" s="2" t="str">
        <x:v>80fbe33bb2df8cab59b55f98f1c8a3d5</x:v>
      </x:c>
      <x:c r="E1235" s="2" t="str">
        <x:v>CHECK_OUT</x:v>
      </x:c>
      <x:c r="F1235" s="8" t="n">
        <x:v>46301.50670138889</x:v>
      </x:c>
      <x:c r="G1235" s="8" t="n">
        <x:v>46301.50672453704</x:v>
      </x:c>
      <x:c r="H1235" s="2" t="str">
        <x:v>SCH01</x:v>
      </x:c>
      <x:c r="I1235" s="9" t="n">
        <x:v>25.285</x:v>
      </x:c>
      <x:c r="J1235" s="9" t="n">
        <x:v>51.51</x:v>
      </x:c>
      <x:c r="K1235" s="2" t="n">
        <x:v>8</x:v>
      </x:c>
      <x:c r="L1235" s="2" t="str">
        <x:v>Valid</x:v>
      </x:c>
      <x:c r="M1235" s="2" t="str">
        <x:v>QR</x:v>
      </x:c>
      <x:c r="N1235" s="2" t="n">
        <x:v>1</x:v>
      </x:c>
      <x:c r="O1235" s="2" t="str">
        <x:v>Accepted</x:v>
      </x:c>
      <x:c r="P1235" s="2" t="str">
        <x:v>S001</x:v>
      </x:c>
      <x:c r="Q1235" s="2" t="str">
        <x:v>DEV001</x:v>
      </x:c>
      <x:c r="R1235" s="2" t="n">
        <x:v>54</x:v>
      </x:c>
      <x:c r="S1235" s="2" t="str">
        <x:v>Online</x:v>
      </x:c>
      <x:c r="T1235" s="2" t="str">
        <x:v>Synced</x:v>
      </x:c>
    </x:row>
    <x:row r="1236" ht="21" customHeight="1">
      <x:c r="A1236" s="2" t="str">
        <x:v>EV001202</x:v>
      </x:c>
      <x:c r="B1236" s="2" t="str">
        <x:v>T20261006-2-2</x:v>
      </x:c>
      <x:c r="C1236" s="2" t="str">
        <x:v>ST074</x:v>
      </x:c>
      <x:c r="D1236" s="2" t="str">
        <x:v>a9bcbd7cecca4f17e235125ddf0adf7b</x:v>
      </x:c>
      <x:c r="E1236" s="2" t="str">
        <x:v>CHECK_OUT</x:v>
      </x:c>
      <x:c r="F1236" s="8" t="n">
        <x:v>46301.50670138889</x:v>
      </x:c>
      <x:c r="G1236" s="8" t="n">
        <x:v>46301.517118055555</x:v>
      </x:c>
      <x:c r="H1236" s="2" t="str">
        <x:v>SCH01</x:v>
      </x:c>
      <x:c r="I1236" s="9" t="n">
        <x:v>25.285</x:v>
      </x:c>
      <x:c r="J1236" s="9" t="n">
        <x:v>51.51</x:v>
      </x:c>
      <x:c r="K1236" s="2" t="n">
        <x:v>8</x:v>
      </x:c>
      <x:c r="L1236" s="2" t="str">
        <x:v>Valid</x:v>
      </x:c>
      <x:c r="M1236" s="2" t="str">
        <x:v>QR</x:v>
      </x:c>
      <x:c r="N1236" s="2" t="n">
        <x:v>1</x:v>
      </x:c>
      <x:c r="O1236" s="2" t="str">
        <x:v>Accepted</x:v>
      </x:c>
      <x:c r="P1236" s="2" t="str">
        <x:v>S002</x:v>
      </x:c>
      <x:c r="Q1236" s="2" t="str">
        <x:v>DEV002</x:v>
      </x:c>
      <x:c r="R1236" s="2" t="n">
        <x:v>54</x:v>
      </x:c>
      <x:c r="S1236" s="2" t="str">
        <x:v>Offline</x:v>
      </x:c>
      <x:c r="T1236" s="2" t="str">
        <x:v>Synced</x:v>
      </x:c>
    </x:row>
    <x:row r="1237" ht="21" customHeight="1">
      <x:c r="A1237" s="2" t="str">
        <x:v>EV001362</x:v>
      </x:c>
      <x:c r="B1237" s="2" t="str">
        <x:v>T20261006-2-3</x:v>
      </x:c>
      <x:c r="C1237" s="2" t="str">
        <x:v>ST114</x:v>
      </x:c>
      <x:c r="D1237" s="2" t="str">
        <x:v>a5c77bf3b082c3ab825b65c34f1c9f8c</x:v>
      </x:c>
      <x:c r="E1237" s="2" t="str">
        <x:v>CHECK_OUT</x:v>
      </x:c>
      <x:c r="F1237" s="8" t="n">
        <x:v>46301.50670138889</x:v>
      </x:c>
      <x:c r="G1237" s="8" t="n">
        <x:v>46301.50672453704</x:v>
      </x:c>
      <x:c r="H1237" s="2" t="str">
        <x:v>SCH01</x:v>
      </x:c>
      <x:c r="I1237" s="9" t="n">
        <x:v>25.285</x:v>
      </x:c>
      <x:c r="J1237" s="9" t="n">
        <x:v>51.51</x:v>
      </x:c>
      <x:c r="K1237" s="2" t="n">
        <x:v>8</x:v>
      </x:c>
      <x:c r="L1237" s="2" t="str">
        <x:v>Valid</x:v>
      </x:c>
      <x:c r="M1237" s="2" t="str">
        <x:v>QR</x:v>
      </x:c>
      <x:c r="N1237" s="2" t="n">
        <x:v>1</x:v>
      </x:c>
      <x:c r="O1237" s="2" t="str">
        <x:v>Accepted</x:v>
      </x:c>
      <x:c r="P1237" s="2" t="str">
        <x:v>S003</x:v>
      </x:c>
      <x:c r="Q1237" s="2" t="str">
        <x:v>DEV003</x:v>
      </x:c>
      <x:c r="R1237" s="2" t="n">
        <x:v>54</x:v>
      </x:c>
      <x:c r="S1237" s="2" t="str">
        <x:v>Online</x:v>
      </x:c>
      <x:c r="T1237" s="2" t="str">
        <x:v>Synced</x:v>
      </x:c>
    </x:row>
    <x:row r="1238" ht="21" customHeight="1">
      <x:c r="A1238" s="2" t="str">
        <x:v>EV001044</x:v>
      </x:c>
      <x:c r="B1238" s="2" t="str">
        <x:v>T20261006-2-1</x:v>
      </x:c>
      <x:c r="C1238" s="2" t="str">
        <x:v>ST035</x:v>
      </x:c>
      <x:c r="D1238" s="2" t="str">
        <x:v>45068f3206e9be80993e83e259ea9cdc</x:v>
      </x:c>
      <x:c r="E1238" s="2" t="str">
        <x:v>CHECK_OUT</x:v>
      </x:c>
      <x:c r="F1238" s="8" t="n">
        <x:v>46301.506736111114</x:v>
      </x:c>
      <x:c r="G1238" s="8" t="n">
        <x:v>46301.50675925926</x:v>
      </x:c>
      <x:c r="H1238" s="2" t="str">
        <x:v>SCH01</x:v>
      </x:c>
      <x:c r="I1238" s="9" t="n">
        <x:v>25.285</x:v>
      </x:c>
      <x:c r="J1238" s="9" t="n">
        <x:v>51.51</x:v>
      </x:c>
      <x:c r="K1238" s="2" t="n">
        <x:v>8</x:v>
      </x:c>
      <x:c r="L1238" s="2" t="str">
        <x:v>Valid</x:v>
      </x:c>
      <x:c r="M1238" s="2" t="str">
        <x:v>QR</x:v>
      </x:c>
      <x:c r="N1238" s="2" t="n">
        <x:v>1</x:v>
      </x:c>
      <x:c r="O1238" s="2" t="str">
        <x:v>Accepted</x:v>
      </x:c>
      <x:c r="P1238" s="2" t="str">
        <x:v>S001</x:v>
      </x:c>
      <x:c r="Q1238" s="2" t="str">
        <x:v>DEV001</x:v>
      </x:c>
      <x:c r="R1238" s="2" t="n">
        <x:v>55</x:v>
      </x:c>
      <x:c r="S1238" s="2" t="str">
        <x:v>Online</x:v>
      </x:c>
      <x:c r="T1238" s="2" t="str">
        <x:v>Synced</x:v>
      </x:c>
    </x:row>
    <x:row r="1239" ht="21" customHeight="1">
      <x:c r="A1239" s="2" t="str">
        <x:v>EV001204</x:v>
      </x:c>
      <x:c r="B1239" s="2" t="str">
        <x:v>T20261006-2-2</x:v>
      </x:c>
      <x:c r="C1239" s="2" t="str">
        <x:v>ST075</x:v>
      </x:c>
      <x:c r="D1239" s="2" t="str">
        <x:v>3781d00e457977b726407cb845a294cc</x:v>
      </x:c>
      <x:c r="E1239" s="2" t="str">
        <x:v>CHECK_OUT</x:v>
      </x:c>
      <x:c r="F1239" s="8" t="n">
        <x:v>46301.506736111114</x:v>
      </x:c>
      <x:c r="G1239" s="8" t="n">
        <x:v>46301.51715277778</x:v>
      </x:c>
      <x:c r="H1239" s="2" t="str">
        <x:v>SCH01</x:v>
      </x:c>
      <x:c r="I1239" s="9" t="n">
        <x:v>25.285</x:v>
      </x:c>
      <x:c r="J1239" s="9" t="n">
        <x:v>51.51</x:v>
      </x:c>
      <x:c r="K1239" s="2" t="n">
        <x:v>8</x:v>
      </x:c>
      <x:c r="L1239" s="2" t="str">
        <x:v>Valid</x:v>
      </x:c>
      <x:c r="M1239" s="2" t="str">
        <x:v>QR</x:v>
      </x:c>
      <x:c r="N1239" s="2" t="n">
        <x:v>1</x:v>
      </x:c>
      <x:c r="O1239" s="2" t="str">
        <x:v>Accepted</x:v>
      </x:c>
      <x:c r="P1239" s="2" t="str">
        <x:v>S002</x:v>
      </x:c>
      <x:c r="Q1239" s="2" t="str">
        <x:v>DEV002</x:v>
      </x:c>
      <x:c r="R1239" s="2" t="n">
        <x:v>55</x:v>
      </x:c>
      <x:c r="S1239" s="2" t="str">
        <x:v>Offline</x:v>
      </x:c>
      <x:c r="T1239" s="2" t="str">
        <x:v>Synced</x:v>
      </x:c>
    </x:row>
    <x:row r="1240" ht="21" customHeight="1">
      <x:c r="A1240" s="2" t="str">
        <x:v>EV001364</x:v>
      </x:c>
      <x:c r="B1240" s="2" t="str">
        <x:v>T20261006-2-3</x:v>
      </x:c>
      <x:c r="C1240" s="2" t="str">
        <x:v>ST115</x:v>
      </x:c>
      <x:c r="D1240" s="2" t="str">
        <x:v>dc951b9fd5f4acb1dc2ce3ca2f2e08ab</x:v>
      </x:c>
      <x:c r="E1240" s="2" t="str">
        <x:v>CHECK_OUT</x:v>
      </x:c>
      <x:c r="F1240" s="8" t="n">
        <x:v>46301.506736111114</x:v>
      </x:c>
      <x:c r="G1240" s="8" t="n">
        <x:v>46301.50675925926</x:v>
      </x:c>
      <x:c r="H1240" s="2" t="str">
        <x:v>SCH01</x:v>
      </x:c>
      <x:c r="I1240" s="9" t="n">
        <x:v>25.285</x:v>
      </x:c>
      <x:c r="J1240" s="9" t="n">
        <x:v>51.51</x:v>
      </x:c>
      <x:c r="K1240" s="2" t="n">
        <x:v>8</x:v>
      </x:c>
      <x:c r="L1240" s="2" t="str">
        <x:v>Valid</x:v>
      </x:c>
      <x:c r="M1240" s="2" t="str">
        <x:v>QR</x:v>
      </x:c>
      <x:c r="N1240" s="2" t="n">
        <x:v>1</x:v>
      </x:c>
      <x:c r="O1240" s="2" t="str">
        <x:v>Accepted</x:v>
      </x:c>
      <x:c r="P1240" s="2" t="str">
        <x:v>S003</x:v>
      </x:c>
      <x:c r="Q1240" s="2" t="str">
        <x:v>DEV003</x:v>
      </x:c>
      <x:c r="R1240" s="2" t="n">
        <x:v>55</x:v>
      </x:c>
      <x:c r="S1240" s="2" t="str">
        <x:v>Online</x:v>
      </x:c>
      <x:c r="T1240" s="2" t="str">
        <x:v>Synced</x:v>
      </x:c>
    </x:row>
    <x:row r="1241" ht="21" customHeight="1">
      <x:c r="A1241" s="2" t="str">
        <x:v>EV001046</x:v>
      </x:c>
      <x:c r="B1241" s="2" t="str">
        <x:v>T20261006-2-1</x:v>
      </x:c>
      <x:c r="C1241" s="2" t="str">
        <x:v>ST036</x:v>
      </x:c>
      <x:c r="D1241" s="2" t="str">
        <x:v>7e42555e63455121ac9f1b3710bc905c</x:v>
      </x:c>
      <x:c r="E1241" s="2" t="str">
        <x:v>CHECK_OUT</x:v>
      </x:c>
      <x:c r="F1241" s="8" t="n">
        <x:v>46301.50677083334</x:v>
      </x:c>
      <x:c r="G1241" s="8" t="n">
        <x:v>46301.50679398148</x:v>
      </x:c>
      <x:c r="H1241" s="2" t="str">
        <x:v>SCH01</x:v>
      </x:c>
      <x:c r="I1241" s="9" t="n">
        <x:v>25.285</x:v>
      </x:c>
      <x:c r="J1241" s="9" t="n">
        <x:v>51.51</x:v>
      </x:c>
      <x:c r="K1241" s="2" t="n">
        <x:v>8</x:v>
      </x:c>
      <x:c r="L1241" s="2" t="str">
        <x:v>Valid</x:v>
      </x:c>
      <x:c r="M1241" s="2" t="str">
        <x:v>QR</x:v>
      </x:c>
      <x:c r="N1241" s="2" t="n">
        <x:v>1</x:v>
      </x:c>
      <x:c r="O1241" s="2" t="str">
        <x:v>Accepted</x:v>
      </x:c>
      <x:c r="P1241" s="2" t="str">
        <x:v>S001</x:v>
      </x:c>
      <x:c r="Q1241" s="2" t="str">
        <x:v>DEV001</x:v>
      </x:c>
      <x:c r="R1241" s="2" t="n">
        <x:v>56</x:v>
      </x:c>
      <x:c r="S1241" s="2" t="str">
        <x:v>Online</x:v>
      </x:c>
      <x:c r="T1241" s="2" t="str">
        <x:v>Synced</x:v>
      </x:c>
    </x:row>
    <x:row r="1242" ht="21" customHeight="1">
      <x:c r="A1242" s="2" t="str">
        <x:v>EV001206</x:v>
      </x:c>
      <x:c r="B1242" s="2" t="str">
        <x:v>T20261006-2-2</x:v>
      </x:c>
      <x:c r="C1242" s="2" t="str">
        <x:v>ST076</x:v>
      </x:c>
      <x:c r="D1242" s="2" t="str">
        <x:v>08979b9eef223b076885fe932d9f2bca</x:v>
      </x:c>
      <x:c r="E1242" s="2" t="str">
        <x:v>CHECK_OUT</x:v>
      </x:c>
      <x:c r="F1242" s="8" t="n">
        <x:v>46301.50677083334</x:v>
      </x:c>
      <x:c r="G1242" s="8" t="n">
        <x:v>46301.5171875</x:v>
      </x:c>
      <x:c r="H1242" s="2" t="str">
        <x:v>SCH01</x:v>
      </x:c>
      <x:c r="I1242" s="9" t="n">
        <x:v>25.285</x:v>
      </x:c>
      <x:c r="J1242" s="9" t="n">
        <x:v>51.51</x:v>
      </x:c>
      <x:c r="K1242" s="2" t="n">
        <x:v>8</x:v>
      </x:c>
      <x:c r="L1242" s="2" t="str">
        <x:v>Valid</x:v>
      </x:c>
      <x:c r="M1242" s="2" t="str">
        <x:v>QR</x:v>
      </x:c>
      <x:c r="N1242" s="2" t="n">
        <x:v>1</x:v>
      </x:c>
      <x:c r="O1242" s="2" t="str">
        <x:v>Accepted</x:v>
      </x:c>
      <x:c r="P1242" s="2" t="str">
        <x:v>S002</x:v>
      </x:c>
      <x:c r="Q1242" s="2" t="str">
        <x:v>DEV002</x:v>
      </x:c>
      <x:c r="R1242" s="2" t="n">
        <x:v>56</x:v>
      </x:c>
      <x:c r="S1242" s="2" t="str">
        <x:v>Offline</x:v>
      </x:c>
      <x:c r="T1242" s="2" t="str">
        <x:v>Synced</x:v>
      </x:c>
    </x:row>
    <x:row r="1243" ht="21" customHeight="1">
      <x:c r="A1243" s="2" t="str">
        <x:v>EV001366</x:v>
      </x:c>
      <x:c r="B1243" s="2" t="str">
        <x:v>T20261006-2-3</x:v>
      </x:c>
      <x:c r="C1243" s="2" t="str">
        <x:v>ST116</x:v>
      </x:c>
      <x:c r="D1243" s="2" t="str">
        <x:v>1c1fddc89afc564845795907cf1b7b0e</x:v>
      </x:c>
      <x:c r="E1243" s="2" t="str">
        <x:v>CHECK_OUT</x:v>
      </x:c>
      <x:c r="F1243" s="8" t="n">
        <x:v>46301.50677083334</x:v>
      </x:c>
      <x:c r="G1243" s="8" t="n">
        <x:v>46301.50679398148</x:v>
      </x:c>
      <x:c r="H1243" s="2" t="str">
        <x:v>SCH01</x:v>
      </x:c>
      <x:c r="I1243" s="9" t="n">
        <x:v>25.285</x:v>
      </x:c>
      <x:c r="J1243" s="9" t="n">
        <x:v>51.51</x:v>
      </x:c>
      <x:c r="K1243" s="2" t="n">
        <x:v>8</x:v>
      </x:c>
      <x:c r="L1243" s="2" t="str">
        <x:v>Valid</x:v>
      </x:c>
      <x:c r="M1243" s="2" t="str">
        <x:v>QR</x:v>
      </x:c>
      <x:c r="N1243" s="2" t="n">
        <x:v>1</x:v>
      </x:c>
      <x:c r="O1243" s="2" t="str">
        <x:v>Accepted</x:v>
      </x:c>
      <x:c r="P1243" s="2" t="str">
        <x:v>S003</x:v>
      </x:c>
      <x:c r="Q1243" s="2" t="str">
        <x:v>DEV003</x:v>
      </x:c>
      <x:c r="R1243" s="2" t="n">
        <x:v>56</x:v>
      </x:c>
      <x:c r="S1243" s="2" t="str">
        <x:v>Online</x:v>
      </x:c>
      <x:c r="T1243" s="2" t="str">
        <x:v>Synced</x:v>
      </x:c>
    </x:row>
    <x:row r="1244" ht="21" customHeight="1">
      <x:c r="A1244" s="2" t="str">
        <x:v>EV001048</x:v>
      </x:c>
      <x:c r="B1244" s="2" t="str">
        <x:v>T20261006-2-1</x:v>
      </x:c>
      <x:c r="C1244" s="2" t="str">
        <x:v>ST037</x:v>
      </x:c>
      <x:c r="D1244" s="2" t="str">
        <x:v>eb6cdfa5572c8f6959c8b9c84b8ec493</x:v>
      </x:c>
      <x:c r="E1244" s="2" t="str">
        <x:v>CHECK_OUT</x:v>
      </x:c>
      <x:c r="F1244" s="8" t="n">
        <x:v>46301.50680555556</x:v>
      </x:c>
      <x:c r="G1244" s="8" t="n">
        <x:v>46301.50682870371</x:v>
      </x:c>
      <x:c r="H1244" s="2" t="str">
        <x:v>SCH01</x:v>
      </x:c>
      <x:c r="I1244" s="9" t="n">
        <x:v>25.285</x:v>
      </x:c>
      <x:c r="J1244" s="9" t="n">
        <x:v>51.51</x:v>
      </x:c>
      <x:c r="K1244" s="2" t="n">
        <x:v>8</x:v>
      </x:c>
      <x:c r="L1244" s="2" t="str">
        <x:v>Valid</x:v>
      </x:c>
      <x:c r="M1244" s="2" t="str">
        <x:v>QR</x:v>
      </x:c>
      <x:c r="N1244" s="2" t="n">
        <x:v>1</x:v>
      </x:c>
      <x:c r="O1244" s="2" t="str">
        <x:v>Accepted</x:v>
      </x:c>
      <x:c r="P1244" s="2" t="str">
        <x:v>S001</x:v>
      </x:c>
      <x:c r="Q1244" s="2" t="str">
        <x:v>DEV001</x:v>
      </x:c>
      <x:c r="R1244" s="2" t="n">
        <x:v>57</x:v>
      </x:c>
      <x:c r="S1244" s="2" t="str">
        <x:v>Online</x:v>
      </x:c>
      <x:c r="T1244" s="2" t="str">
        <x:v>Synced</x:v>
      </x:c>
    </x:row>
    <x:row r="1245" ht="21" customHeight="1">
      <x:c r="A1245" s="2" t="str">
        <x:v>EV001208</x:v>
      </x:c>
      <x:c r="B1245" s="2" t="str">
        <x:v>T20261006-2-2</x:v>
      </x:c>
      <x:c r="C1245" s="2" t="str">
        <x:v>ST077</x:v>
      </x:c>
      <x:c r="D1245" s="2" t="str">
        <x:v>af7b8314f6c372daf48e6b95332f6a0f</x:v>
      </x:c>
      <x:c r="E1245" s="2" t="str">
        <x:v>CHECK_OUT</x:v>
      </x:c>
      <x:c r="F1245" s="8" t="n">
        <x:v>46301.50680555556</x:v>
      </x:c>
      <x:c r="G1245" s="8" t="n">
        <x:v>46301.517222222225</x:v>
      </x:c>
      <x:c r="H1245" s="2" t="str">
        <x:v>SCH01</x:v>
      </x:c>
      <x:c r="I1245" s="9" t="n">
        <x:v>25.285</x:v>
      </x:c>
      <x:c r="J1245" s="9" t="n">
        <x:v>51.51</x:v>
      </x:c>
      <x:c r="K1245" s="2" t="n">
        <x:v>8</x:v>
      </x:c>
      <x:c r="L1245" s="2" t="str">
        <x:v>Valid</x:v>
      </x:c>
      <x:c r="M1245" s="2" t="str">
        <x:v>QR</x:v>
      </x:c>
      <x:c r="N1245" s="2" t="n">
        <x:v>1</x:v>
      </x:c>
      <x:c r="O1245" s="2" t="str">
        <x:v>Accepted</x:v>
      </x:c>
      <x:c r="P1245" s="2" t="str">
        <x:v>S002</x:v>
      </x:c>
      <x:c r="Q1245" s="2" t="str">
        <x:v>DEV002</x:v>
      </x:c>
      <x:c r="R1245" s="2" t="n">
        <x:v>57</x:v>
      </x:c>
      <x:c r="S1245" s="2" t="str">
        <x:v>Offline</x:v>
      </x:c>
      <x:c r="T1245" s="2" t="str">
        <x:v>Synced</x:v>
      </x:c>
    </x:row>
    <x:row r="1246" ht="21" customHeight="1">
      <x:c r="A1246" s="2" t="str">
        <x:v>EV001368</x:v>
      </x:c>
      <x:c r="B1246" s="2" t="str">
        <x:v>T20261006-2-3</x:v>
      </x:c>
      <x:c r="C1246" s="2" t="str">
        <x:v>ST117</x:v>
      </x:c>
      <x:c r="D1246" s="2" t="str">
        <x:v>195a54aea4adbe89371209e73878e4fe</x:v>
      </x:c>
      <x:c r="E1246" s="2" t="str">
        <x:v>CHECK_OUT</x:v>
      </x:c>
      <x:c r="F1246" s="8" t="n">
        <x:v>46301.50680555556</x:v>
      </x:c>
      <x:c r="G1246" s="8" t="n">
        <x:v>46301.50682870371</x:v>
      </x:c>
      <x:c r="H1246" s="2" t="str">
        <x:v>SCH01</x:v>
      </x:c>
      <x:c r="I1246" s="9" t="n">
        <x:v>25.285</x:v>
      </x:c>
      <x:c r="J1246" s="9" t="n">
        <x:v>51.51</x:v>
      </x:c>
      <x:c r="K1246" s="2" t="n">
        <x:v>8</x:v>
      </x:c>
      <x:c r="L1246" s="2" t="str">
        <x:v>Valid</x:v>
      </x:c>
      <x:c r="M1246" s="2" t="str">
        <x:v>QR</x:v>
      </x:c>
      <x:c r="N1246" s="2" t="n">
        <x:v>1</x:v>
      </x:c>
      <x:c r="O1246" s="2" t="str">
        <x:v>Accepted</x:v>
      </x:c>
      <x:c r="P1246" s="2" t="str">
        <x:v>S003</x:v>
      </x:c>
      <x:c r="Q1246" s="2" t="str">
        <x:v>DEV003</x:v>
      </x:c>
      <x:c r="R1246" s="2" t="n">
        <x:v>57</x:v>
      </x:c>
      <x:c r="S1246" s="2" t="str">
        <x:v>Online</x:v>
      </x:c>
      <x:c r="T1246" s="2" t="str">
        <x:v>Synced</x:v>
      </x:c>
    </x:row>
    <x:row r="1247" ht="21" customHeight="1">
      <x:c r="A1247" s="2" t="str">
        <x:v>EV001050</x:v>
      </x:c>
      <x:c r="B1247" s="2" t="str">
        <x:v>T20261006-2-1</x:v>
      </x:c>
      <x:c r="C1247" s="2" t="str">
        <x:v>ST038</x:v>
      </x:c>
      <x:c r="D1247" s="2" t="str">
        <x:v>1ebedd777293ba897970ae7fc06b6301</x:v>
      </x:c>
      <x:c r="E1247" s="2" t="str">
        <x:v>CHECK_OUT</x:v>
      </x:c>
      <x:c r="F1247" s="8" t="n">
        <x:v>46301.50684027778</x:v>
      </x:c>
      <x:c r="G1247" s="8" t="n">
        <x:v>46301.50686342593</x:v>
      </x:c>
      <x:c r="H1247" s="2" t="str">
        <x:v>SCH01</x:v>
      </x:c>
      <x:c r="I1247" s="9" t="n">
        <x:v>25.285</x:v>
      </x:c>
      <x:c r="J1247" s="9" t="n">
        <x:v>51.51</x:v>
      </x:c>
      <x:c r="K1247" s="2" t="n">
        <x:v>8</x:v>
      </x:c>
      <x:c r="L1247" s="2" t="str">
        <x:v>Valid</x:v>
      </x:c>
      <x:c r="M1247" s="2" t="str">
        <x:v>QR</x:v>
      </x:c>
      <x:c r="N1247" s="2" t="n">
        <x:v>1</x:v>
      </x:c>
      <x:c r="O1247" s="2" t="str">
        <x:v>Accepted</x:v>
      </x:c>
      <x:c r="P1247" s="2" t="str">
        <x:v>S001</x:v>
      </x:c>
      <x:c r="Q1247" s="2" t="str">
        <x:v>DEV001</x:v>
      </x:c>
      <x:c r="R1247" s="2" t="n">
        <x:v>58</x:v>
      </x:c>
      <x:c r="S1247" s="2" t="str">
        <x:v>Online</x:v>
      </x:c>
      <x:c r="T1247" s="2" t="str">
        <x:v>Synced</x:v>
      </x:c>
    </x:row>
    <x:row r="1248" ht="21" customHeight="1">
      <x:c r="A1248" s="2" t="str">
        <x:v>EV001210</x:v>
      </x:c>
      <x:c r="B1248" s="2" t="str">
        <x:v>T20261006-2-2</x:v>
      </x:c>
      <x:c r="C1248" s="2" t="str">
        <x:v>ST078</x:v>
      </x:c>
      <x:c r="D1248" s="2" t="str">
        <x:v>737ab4e672bf11e638a47ae295f7e187</x:v>
      </x:c>
      <x:c r="E1248" s="2" t="str">
        <x:v>CHECK_OUT</x:v>
      </x:c>
      <x:c r="F1248" s="8" t="n">
        <x:v>46301.50684027778</x:v>
      </x:c>
      <x:c r="G1248" s="8" t="n">
        <x:v>46301.51725694445</x:v>
      </x:c>
      <x:c r="H1248" s="2" t="str">
        <x:v>SCH01</x:v>
      </x:c>
      <x:c r="I1248" s="9" t="n">
        <x:v>25.285</x:v>
      </x:c>
      <x:c r="J1248" s="9" t="n">
        <x:v>51.51</x:v>
      </x:c>
      <x:c r="K1248" s="2" t="n">
        <x:v>8</x:v>
      </x:c>
      <x:c r="L1248" s="2" t="str">
        <x:v>Valid</x:v>
      </x:c>
      <x:c r="M1248" s="2" t="str">
        <x:v>QR</x:v>
      </x:c>
      <x:c r="N1248" s="2" t="n">
        <x:v>1</x:v>
      </x:c>
      <x:c r="O1248" s="2" t="str">
        <x:v>Accepted</x:v>
      </x:c>
      <x:c r="P1248" s="2" t="str">
        <x:v>S002</x:v>
      </x:c>
      <x:c r="Q1248" s="2" t="str">
        <x:v>DEV002</x:v>
      </x:c>
      <x:c r="R1248" s="2" t="n">
        <x:v>58</x:v>
      </x:c>
      <x:c r="S1248" s="2" t="str">
        <x:v>Offline</x:v>
      </x:c>
      <x:c r="T1248" s="2" t="str">
        <x:v>Synced</x:v>
      </x:c>
    </x:row>
    <x:row r="1249" ht="21" customHeight="1">
      <x:c r="A1249" s="2" t="str">
        <x:v>EV001370</x:v>
      </x:c>
      <x:c r="B1249" s="2" t="str">
        <x:v>T20261006-2-3</x:v>
      </x:c>
      <x:c r="C1249" s="2" t="str">
        <x:v>ST118</x:v>
      </x:c>
      <x:c r="D1249" s="2" t="str">
        <x:v>b15012a6111b47a10bdbbcbbd00c9f60</x:v>
      </x:c>
      <x:c r="E1249" s="2" t="str">
        <x:v>CHECK_OUT</x:v>
      </x:c>
      <x:c r="F1249" s="8" t="n">
        <x:v>46301.50684027778</x:v>
      </x:c>
      <x:c r="G1249" s="8" t="n">
        <x:v>46301.50686342593</x:v>
      </x:c>
      <x:c r="H1249" s="2" t="str">
        <x:v>SCH01</x:v>
      </x:c>
      <x:c r="I1249" s="9" t="n">
        <x:v>25.285</x:v>
      </x:c>
      <x:c r="J1249" s="9" t="n">
        <x:v>51.51</x:v>
      </x:c>
      <x:c r="K1249" s="2" t="n">
        <x:v>8</x:v>
      </x:c>
      <x:c r="L1249" s="2" t="str">
        <x:v>Valid</x:v>
      </x:c>
      <x:c r="M1249" s="2" t="str">
        <x:v>QR</x:v>
      </x:c>
      <x:c r="N1249" s="2" t="n">
        <x:v>1</x:v>
      </x:c>
      <x:c r="O1249" s="2" t="str">
        <x:v>Accepted</x:v>
      </x:c>
      <x:c r="P1249" s="2" t="str">
        <x:v>S003</x:v>
      </x:c>
      <x:c r="Q1249" s="2" t="str">
        <x:v>DEV003</x:v>
      </x:c>
      <x:c r="R1249" s="2" t="n">
        <x:v>58</x:v>
      </x:c>
      <x:c r="S1249" s="2" t="str">
        <x:v>Online</x:v>
      </x:c>
      <x:c r="T1249" s="2" t="str">
        <x:v>Synced</x:v>
      </x:c>
    </x:row>
    <x:row r="1250" ht="21" customHeight="1">
      <x:c r="A1250" s="2" t="str">
        <x:v>EV001052</x:v>
      </x:c>
      <x:c r="B1250" s="2" t="str">
        <x:v>T20261006-2-1</x:v>
      </x:c>
      <x:c r="C1250" s="2" t="str">
        <x:v>ST039</x:v>
      </x:c>
      <x:c r="D1250" s="2" t="str">
        <x:v>31ed548c9c06f555ac72ac2281bbb58a</x:v>
      </x:c>
      <x:c r="E1250" s="2" t="str">
        <x:v>CHECK_OUT</x:v>
      </x:c>
      <x:c r="F1250" s="8" t="n">
        <x:v>46301.50687500001</x:v>
      </x:c>
      <x:c r="G1250" s="8" t="n">
        <x:v>46301.50689814815</x:v>
      </x:c>
      <x:c r="H1250" s="2" t="str">
        <x:v>SCH01</x:v>
      </x:c>
      <x:c r="I1250" s="9" t="n">
        <x:v>25.285</x:v>
      </x:c>
      <x:c r="J1250" s="9" t="n">
        <x:v>51.51</x:v>
      </x:c>
      <x:c r="K1250" s="2" t="n">
        <x:v>8</x:v>
      </x:c>
      <x:c r="L1250" s="2" t="str">
        <x:v>Valid</x:v>
      </x:c>
      <x:c r="M1250" s="2" t="str">
        <x:v>QR</x:v>
      </x:c>
      <x:c r="N1250" s="2" t="n">
        <x:v>1</x:v>
      </x:c>
      <x:c r="O1250" s="2" t="str">
        <x:v>Accepted</x:v>
      </x:c>
      <x:c r="P1250" s="2" t="str">
        <x:v>S001</x:v>
      </x:c>
      <x:c r="Q1250" s="2" t="str">
        <x:v>DEV001</x:v>
      </x:c>
      <x:c r="R1250" s="2" t="n">
        <x:v>59</x:v>
      </x:c>
      <x:c r="S1250" s="2" t="str">
        <x:v>Online</x:v>
      </x:c>
      <x:c r="T1250" s="2" t="str">
        <x:v>Synced</x:v>
      </x:c>
    </x:row>
    <x:row r="1251" ht="21" customHeight="1">
      <x:c r="A1251" s="2" t="str">
        <x:v>EV001212</x:v>
      </x:c>
      <x:c r="B1251" s="2" t="str">
        <x:v>T20261006-2-2</x:v>
      </x:c>
      <x:c r="C1251" s="2" t="str">
        <x:v>ST079</x:v>
      </x:c>
      <x:c r="D1251" s="2" t="str">
        <x:v>3a794a47ff11773398f2344554eeea57</x:v>
      </x:c>
      <x:c r="E1251" s="2" t="str">
        <x:v>CHECK_OUT</x:v>
      </x:c>
      <x:c r="F1251" s="8" t="n">
        <x:v>46301.50687500001</x:v>
      </x:c>
      <x:c r="G1251" s="8" t="n">
        <x:v>46301.51729166667</x:v>
      </x:c>
      <x:c r="H1251" s="2" t="str">
        <x:v>SCH01</x:v>
      </x:c>
      <x:c r="I1251" s="9" t="n">
        <x:v>25.285</x:v>
      </x:c>
      <x:c r="J1251" s="9" t="n">
        <x:v>51.51</x:v>
      </x:c>
      <x:c r="K1251" s="2" t="n">
        <x:v>8</x:v>
      </x:c>
      <x:c r="L1251" s="2" t="str">
        <x:v>Valid</x:v>
      </x:c>
      <x:c r="M1251" s="2" t="str">
        <x:v>QR</x:v>
      </x:c>
      <x:c r="N1251" s="2" t="n">
        <x:v>1</x:v>
      </x:c>
      <x:c r="O1251" s="2" t="str">
        <x:v>Accepted</x:v>
      </x:c>
      <x:c r="P1251" s="2" t="str">
        <x:v>S002</x:v>
      </x:c>
      <x:c r="Q1251" s="2" t="str">
        <x:v>DEV002</x:v>
      </x:c>
      <x:c r="R1251" s="2" t="n">
        <x:v>59</x:v>
      </x:c>
      <x:c r="S1251" s="2" t="str">
        <x:v>Offline</x:v>
      </x:c>
      <x:c r="T1251" s="2" t="str">
        <x:v>Synced</x:v>
      </x:c>
    </x:row>
    <x:row r="1252" ht="21" customHeight="1">
      <x:c r="A1252" s="2" t="str">
        <x:v>EV001372</x:v>
      </x:c>
      <x:c r="B1252" s="2" t="str">
        <x:v>T20261006-2-3</x:v>
      </x:c>
      <x:c r="C1252" s="2" t="str">
        <x:v>ST119</x:v>
      </x:c>
      <x:c r="D1252" s="2" t="str">
        <x:v>c01a05a48293e3b7c907c4b326c0d0a8</x:v>
      </x:c>
      <x:c r="E1252" s="2" t="str">
        <x:v>CHECK_OUT</x:v>
      </x:c>
      <x:c r="F1252" s="8" t="n">
        <x:v>46301.50687500001</x:v>
      </x:c>
      <x:c r="G1252" s="8" t="n">
        <x:v>46301.50689814815</x:v>
      </x:c>
      <x:c r="H1252" s="2" t="str">
        <x:v>SCH01</x:v>
      </x:c>
      <x:c r="I1252" s="9" t="n">
        <x:v>25.285</x:v>
      </x:c>
      <x:c r="J1252" s="9" t="n">
        <x:v>51.51</x:v>
      </x:c>
      <x:c r="K1252" s="2" t="n">
        <x:v>8</x:v>
      </x:c>
      <x:c r="L1252" s="2" t="str">
        <x:v>Valid</x:v>
      </x:c>
      <x:c r="M1252" s="2" t="str">
        <x:v>QR</x:v>
      </x:c>
      <x:c r="N1252" s="2" t="n">
        <x:v>1</x:v>
      </x:c>
      <x:c r="O1252" s="2" t="str">
        <x:v>Accepted</x:v>
      </x:c>
      <x:c r="P1252" s="2" t="str">
        <x:v>S003</x:v>
      </x:c>
      <x:c r="Q1252" s="2" t="str">
        <x:v>DEV003</x:v>
      </x:c>
      <x:c r="R1252" s="2" t="n">
        <x:v>59</x:v>
      </x:c>
      <x:c r="S1252" s="2" t="str">
        <x:v>Online</x:v>
      </x:c>
      <x:c r="T1252" s="2" t="str">
        <x:v>Synced</x:v>
      </x:c>
    </x:row>
    <x:row r="1253" ht="21" customHeight="1">
      <x:c r="A1253" s="2" t="str">
        <x:v>EV001054</x:v>
      </x:c>
      <x:c r="B1253" s="2" t="str">
        <x:v>T20261006-2-1</x:v>
      </x:c>
      <x:c r="C1253" s="2" t="str">
        <x:v>ST040</x:v>
      </x:c>
      <x:c r="D1253" s="2" t="str">
        <x:v>4cd5e507bb3c8af27cd11d16138dcec0</x:v>
      </x:c>
      <x:c r="E1253" s="2" t="str">
        <x:v>CHECK_OUT</x:v>
      </x:c>
      <x:c r="F1253" s="8" t="n">
        <x:v>46301.50690972222</x:v>
      </x:c>
      <x:c r="G1253" s="8" t="n">
        <x:v>46301.50693287037</x:v>
      </x:c>
      <x:c r="H1253" s="2" t="str">
        <x:v>SCH01</x:v>
      </x:c>
      <x:c r="I1253" s="9" t="n">
        <x:v>25.285</x:v>
      </x:c>
      <x:c r="J1253" s="9" t="n">
        <x:v>51.51</x:v>
      </x:c>
      <x:c r="K1253" s="2" t="n">
        <x:v>8</x:v>
      </x:c>
      <x:c r="L1253" s="2" t="str">
        <x:v>Valid</x:v>
      </x:c>
      <x:c r="M1253" s="2" t="str">
        <x:v>QR</x:v>
      </x:c>
      <x:c r="N1253" s="2" t="n">
        <x:v>1</x:v>
      </x:c>
      <x:c r="O1253" s="2" t="str">
        <x:v>Accepted</x:v>
      </x:c>
      <x:c r="P1253" s="2" t="str">
        <x:v>S001</x:v>
      </x:c>
      <x:c r="Q1253" s="2" t="str">
        <x:v>DEV001</x:v>
      </x:c>
      <x:c r="R1253" s="2" t="n">
        <x:v>60</x:v>
      </x:c>
      <x:c r="S1253" s="2" t="str">
        <x:v>Online</x:v>
      </x:c>
      <x:c r="T1253" s="2" t="str">
        <x:v>Synced</x:v>
      </x:c>
    </x:row>
    <x:row r="1254" ht="21" customHeight="1">
      <x:c r="A1254" s="2" t="str">
        <x:v>EV001214</x:v>
      </x:c>
      <x:c r="B1254" s="2" t="str">
        <x:v>T20261006-2-2</x:v>
      </x:c>
      <x:c r="C1254" s="2" t="str">
        <x:v>ST080</x:v>
      </x:c>
      <x:c r="D1254" s="2" t="str">
        <x:v>0abaf17d1472c0347862177fd9880be2</x:v>
      </x:c>
      <x:c r="E1254" s="2" t="str">
        <x:v>CHECK_OUT</x:v>
      </x:c>
      <x:c r="F1254" s="8" t="n">
        <x:v>46301.50690972222</x:v>
      </x:c>
      <x:c r="G1254" s="8" t="n">
        <x:v>46301.51732638889</x:v>
      </x:c>
      <x:c r="H1254" s="2" t="str">
        <x:v>SCH01</x:v>
      </x:c>
      <x:c r="I1254" s="9" t="n">
        <x:v>25.285</x:v>
      </x:c>
      <x:c r="J1254" s="9" t="n">
        <x:v>51.51</x:v>
      </x:c>
      <x:c r="K1254" s="2" t="n">
        <x:v>8</x:v>
      </x:c>
      <x:c r="L1254" s="2" t="str">
        <x:v>Valid</x:v>
      </x:c>
      <x:c r="M1254" s="2" t="str">
        <x:v>QR</x:v>
      </x:c>
      <x:c r="N1254" s="2" t="n">
        <x:v>1</x:v>
      </x:c>
      <x:c r="O1254" s="2" t="str">
        <x:v>Accepted</x:v>
      </x:c>
      <x:c r="P1254" s="2" t="str">
        <x:v>S002</x:v>
      </x:c>
      <x:c r="Q1254" s="2" t="str">
        <x:v>DEV002</x:v>
      </x:c>
      <x:c r="R1254" s="2" t="n">
        <x:v>60</x:v>
      </x:c>
      <x:c r="S1254" s="2" t="str">
        <x:v>Offline</x:v>
      </x:c>
      <x:c r="T1254" s="2" t="str">
        <x:v>Synced</x:v>
      </x:c>
    </x:row>
    <x:row r="1255" ht="21" customHeight="1">
      <x:c r="A1255" s="2" t="str">
        <x:v>EV001374</x:v>
      </x:c>
      <x:c r="B1255" s="2" t="str">
        <x:v>T20261006-2-3</x:v>
      </x:c>
      <x:c r="C1255" s="2" t="str">
        <x:v>ST120</x:v>
      </x:c>
      <x:c r="D1255" s="2" t="str">
        <x:v>c3749f3342e76b516e5c145f91308219</x:v>
      </x:c>
      <x:c r="E1255" s="2" t="str">
        <x:v>CHECK_OUT</x:v>
      </x:c>
      <x:c r="F1255" s="8" t="n">
        <x:v>46301.50690972222</x:v>
      </x:c>
      <x:c r="G1255" s="8" t="n">
        <x:v>46301.50693287037</x:v>
      </x:c>
      <x:c r="H1255" s="2" t="str">
        <x:v>SCH01</x:v>
      </x:c>
      <x:c r="I1255" s="9" t="n">
        <x:v>25.285</x:v>
      </x:c>
      <x:c r="J1255" s="9" t="n">
        <x:v>51.51</x:v>
      </x:c>
      <x:c r="K1255" s="2" t="n">
        <x:v>8</x:v>
      </x:c>
      <x:c r="L1255" s="2" t="str">
        <x:v>Valid</x:v>
      </x:c>
      <x:c r="M1255" s="2" t="str">
        <x:v>QR</x:v>
      </x:c>
      <x:c r="N1255" s="2" t="n">
        <x:v>1</x:v>
      </x:c>
      <x:c r="O1255" s="2" t="str">
        <x:v>Accepted</x:v>
      </x:c>
      <x:c r="P1255" s="2" t="str">
        <x:v>S003</x:v>
      </x:c>
      <x:c r="Q1255" s="2" t="str">
        <x:v>DEV003</x:v>
      </x:c>
      <x:c r="R1255" s="2" t="n">
        <x:v>60</x:v>
      </x:c>
      <x:c r="S1255" s="2" t="str">
        <x:v>Online</x:v>
      </x:c>
      <x:c r="T1255" s="2" t="str">
        <x:v>Synced</x:v>
      </x:c>
    </x:row>
    <x:row r="1256" ht="21" customHeight="1">
      <x:c r="A1256" s="2" t="str">
        <x:v>EV001055</x:v>
      </x:c>
      <x:c r="B1256" s="2" t="str">
        <x:v>T20261006-3-1</x:v>
      </x:c>
      <x:c r="C1256" s="2" t="str">
        <x:v>ST011</x:v>
      </x:c>
      <x:c r="D1256" s="2" t="str">
        <x:v>38c917effc7ec45ac750455eb7892f3e</x:v>
      </x:c>
      <x:c r="E1256" s="2" t="str">
        <x:v>CHECK_IN</x:v>
      </x:c>
      <x:c r="F1256" s="8" t="n">
        <x:v>46301.57291666667</x:v>
      </x:c>
      <x:c r="G1256" s="8" t="n">
        <x:v>46301.57293981482</x:v>
      </x:c>
      <x:c r="H1256" s="2" t="str">
        <x:v>SCH01</x:v>
      </x:c>
      <x:c r="I1256" s="9" t="n">
        <x:v>25.285</x:v>
      </x:c>
      <x:c r="J1256" s="9" t="n">
        <x:v>51.51</x:v>
      </x:c>
      <x:c r="K1256" s="2" t="n">
        <x:v>8</x:v>
      </x:c>
      <x:c r="L1256" s="2" t="str">
        <x:v>Valid</x:v>
      </x:c>
      <x:c r="M1256" s="2" t="str">
        <x:v>QR</x:v>
      </x:c>
      <x:c r="N1256" s="2" t="n">
        <x:v>1</x:v>
      </x:c>
      <x:c r="O1256" s="2" t="str">
        <x:v>Accepted</x:v>
      </x:c>
      <x:c r="P1256" s="2" t="str">
        <x:v>S001</x:v>
      </x:c>
      <x:c r="Q1256" s="2" t="str">
        <x:v>DEV001</x:v>
      </x:c>
      <x:c r="R1256" s="2" t="n">
        <x:v>1</x:v>
      </x:c>
      <x:c r="S1256" s="2" t="str">
        <x:v>Online</x:v>
      </x:c>
      <x:c r="T1256" s="2" t="str">
        <x:v>Synced</x:v>
      </x:c>
    </x:row>
    <x:row r="1257" ht="21" customHeight="1">
      <x:c r="A1257" s="2" t="str">
        <x:v>EV001215</x:v>
      </x:c>
      <x:c r="B1257" s="2" t="str">
        <x:v>T20261006-3-2</x:v>
      </x:c>
      <x:c r="C1257" s="2" t="str">
        <x:v>ST051</x:v>
      </x:c>
      <x:c r="D1257" s="2" t="str">
        <x:v>410a66d29aea7be5806f7d6945266303</x:v>
      </x:c>
      <x:c r="E1257" s="2" t="str">
        <x:v>CHECK_IN</x:v>
      </x:c>
      <x:c r="F1257" s="8" t="n">
        <x:v>46301.57291666667</x:v>
      </x:c>
      <x:c r="G1257" s="8" t="n">
        <x:v>46301.57293981482</x:v>
      </x:c>
      <x:c r="H1257" s="2" t="str">
        <x:v>SCH01</x:v>
      </x:c>
      <x:c r="I1257" s="9" t="n">
        <x:v>25.285</x:v>
      </x:c>
      <x:c r="J1257" s="9" t="n">
        <x:v>51.51</x:v>
      </x:c>
      <x:c r="K1257" s="2" t="n">
        <x:v>8</x:v>
      </x:c>
      <x:c r="L1257" s="2" t="str">
        <x:v>Valid</x:v>
      </x:c>
      <x:c r="M1257" s="2" t="str">
        <x:v>QR</x:v>
      </x:c>
      <x:c r="N1257" s="2" t="n">
        <x:v>1</x:v>
      </x:c>
      <x:c r="O1257" s="2" t="str">
        <x:v>Accepted</x:v>
      </x:c>
      <x:c r="P1257" s="2" t="str">
        <x:v>S002</x:v>
      </x:c>
      <x:c r="Q1257" s="2" t="str">
        <x:v>DEV002</x:v>
      </x:c>
      <x:c r="R1257" s="2" t="n">
        <x:v>1</x:v>
      </x:c>
      <x:c r="S1257" s="2" t="str">
        <x:v>Online</x:v>
      </x:c>
      <x:c r="T1257" s="2" t="str">
        <x:v>Synced</x:v>
      </x:c>
    </x:row>
    <x:row r="1258" ht="21" customHeight="1">
      <x:c r="A1258" s="2" t="str">
        <x:v>EV001375</x:v>
      </x:c>
      <x:c r="B1258" s="2" t="str">
        <x:v>T20261006-3-3</x:v>
      </x:c>
      <x:c r="C1258" s="2" t="str">
        <x:v>ST091</x:v>
      </x:c>
      <x:c r="D1258" s="2" t="str">
        <x:v>2d74afc7329a1eb53bd16a92fc366891</x:v>
      </x:c>
      <x:c r="E1258" s="2" t="str">
        <x:v>CHECK_IN</x:v>
      </x:c>
      <x:c r="F1258" s="8" t="n">
        <x:v>46301.57291666667</x:v>
      </x:c>
      <x:c r="G1258" s="8" t="n">
        <x:v>46301.57293981482</x:v>
      </x:c>
      <x:c r="H1258" s="2" t="str">
        <x:v>SCH01</x:v>
      </x:c>
      <x:c r="I1258" s="9" t="n">
        <x:v>25.285</x:v>
      </x:c>
      <x:c r="J1258" s="9" t="n">
        <x:v>51.51</x:v>
      </x:c>
      <x:c r="K1258" s="2" t="n">
        <x:v>8</x:v>
      </x:c>
      <x:c r="L1258" s="2" t="str">
        <x:v>Valid</x:v>
      </x:c>
      <x:c r="M1258" s="2" t="str">
        <x:v>QR</x:v>
      </x:c>
      <x:c r="N1258" s="2" t="n">
        <x:v>1</x:v>
      </x:c>
      <x:c r="O1258" s="2" t="str">
        <x:v>Accepted</x:v>
      </x:c>
      <x:c r="P1258" s="2" t="str">
        <x:v>S003</x:v>
      </x:c>
      <x:c r="Q1258" s="2" t="str">
        <x:v>DEV003</x:v>
      </x:c>
      <x:c r="R1258" s="2" t="n">
        <x:v>1</x:v>
      </x:c>
      <x:c r="S1258" s="2" t="str">
        <x:v>Online</x:v>
      </x:c>
      <x:c r="T1258" s="2" t="str">
        <x:v>Synced</x:v>
      </x:c>
    </x:row>
    <x:row r="1259" ht="21" customHeight="1">
      <x:c r="A1259" s="2" t="str">
        <x:v>EV001057</x:v>
      </x:c>
      <x:c r="B1259" s="2" t="str">
        <x:v>T20261006-3-1</x:v>
      </x:c>
      <x:c r="C1259" s="2" t="str">
        <x:v>ST012</x:v>
      </x:c>
      <x:c r="D1259" s="2" t="str">
        <x:v>8d45a06a93234042b630e18d7821ea23</x:v>
      </x:c>
      <x:c r="E1259" s="2" t="str">
        <x:v>CHECK_IN</x:v>
      </x:c>
      <x:c r="F1259" s="8" t="n">
        <x:v>46301.572951388895</x:v>
      </x:c>
      <x:c r="G1259" s="8" t="n">
        <x:v>46301.57297453704</x:v>
      </x:c>
      <x:c r="H1259" s="2" t="str">
        <x:v>SCH01</x:v>
      </x:c>
      <x:c r="I1259" s="9" t="n">
        <x:v>25.285</x:v>
      </x:c>
      <x:c r="J1259" s="9" t="n">
        <x:v>51.51</x:v>
      </x:c>
      <x:c r="K1259" s="2" t="n">
        <x:v>8</x:v>
      </x:c>
      <x:c r="L1259" s="2" t="str">
        <x:v>Valid</x:v>
      </x:c>
      <x:c r="M1259" s="2" t="str">
        <x:v>QR</x:v>
      </x:c>
      <x:c r="N1259" s="2" t="n">
        <x:v>1</x:v>
      </x:c>
      <x:c r="O1259" s="2" t="str">
        <x:v>Accepted</x:v>
      </x:c>
      <x:c r="P1259" s="2" t="str">
        <x:v>S001</x:v>
      </x:c>
      <x:c r="Q1259" s="2" t="str">
        <x:v>DEV001</x:v>
      </x:c>
      <x:c r="R1259" s="2" t="n">
        <x:v>2</x:v>
      </x:c>
      <x:c r="S1259" s="2" t="str">
        <x:v>Online</x:v>
      </x:c>
      <x:c r="T1259" s="2" t="str">
        <x:v>Synced</x:v>
      </x:c>
    </x:row>
    <x:row r="1260" ht="21" customHeight="1">
      <x:c r="A1260" s="2" t="str">
        <x:v>EV001217</x:v>
      </x:c>
      <x:c r="B1260" s="2" t="str">
        <x:v>T20261006-3-2</x:v>
      </x:c>
      <x:c r="C1260" s="2" t="str">
        <x:v>ST052</x:v>
      </x:c>
      <x:c r="D1260" s="2" t="str">
        <x:v>0c1c5957fe0604ae228ff5e1e1a785bc</x:v>
      </x:c>
      <x:c r="E1260" s="2" t="str">
        <x:v>CHECK_IN</x:v>
      </x:c>
      <x:c r="F1260" s="8" t="n">
        <x:v>46301.572951388895</x:v>
      </x:c>
      <x:c r="G1260" s="8" t="n">
        <x:v>46301.57297453704</x:v>
      </x:c>
      <x:c r="H1260" s="2" t="str">
        <x:v>SCH01</x:v>
      </x:c>
      <x:c r="I1260" s="9" t="n">
        <x:v>25.285</x:v>
      </x:c>
      <x:c r="J1260" s="9" t="n">
        <x:v>51.51</x:v>
      </x:c>
      <x:c r="K1260" s="2" t="n">
        <x:v>8</x:v>
      </x:c>
      <x:c r="L1260" s="2" t="str">
        <x:v>Valid</x:v>
      </x:c>
      <x:c r="M1260" s="2" t="str">
        <x:v>QR</x:v>
      </x:c>
      <x:c r="N1260" s="2" t="n">
        <x:v>1</x:v>
      </x:c>
      <x:c r="O1260" s="2" t="str">
        <x:v>Accepted</x:v>
      </x:c>
      <x:c r="P1260" s="2" t="str">
        <x:v>S002</x:v>
      </x:c>
      <x:c r="Q1260" s="2" t="str">
        <x:v>DEV002</x:v>
      </x:c>
      <x:c r="R1260" s="2" t="n">
        <x:v>2</x:v>
      </x:c>
      <x:c r="S1260" s="2" t="str">
        <x:v>Online</x:v>
      </x:c>
      <x:c r="T1260" s="2" t="str">
        <x:v>Synced</x:v>
      </x:c>
    </x:row>
    <x:row r="1261" ht="21" customHeight="1">
      <x:c r="A1261" s="2" t="str">
        <x:v>EV001377</x:v>
      </x:c>
      <x:c r="B1261" s="2" t="str">
        <x:v>T20261006-3-3</x:v>
      </x:c>
      <x:c r="C1261" s="2" t="str">
        <x:v>ST092</x:v>
      </x:c>
      <x:c r="D1261" s="2" t="str">
        <x:v>e83e93b137787f284ae9574a02ff0cc7</x:v>
      </x:c>
      <x:c r="E1261" s="2" t="str">
        <x:v>CHECK_IN</x:v>
      </x:c>
      <x:c r="F1261" s="8" t="n">
        <x:v>46301.572951388895</x:v>
      </x:c>
      <x:c r="G1261" s="8" t="n">
        <x:v>46301.57297453704</x:v>
      </x:c>
      <x:c r="H1261" s="2" t="str">
        <x:v>SCH01</x:v>
      </x:c>
      <x:c r="I1261" s="9" t="n">
        <x:v>25.285</x:v>
      </x:c>
      <x:c r="J1261" s="9" t="n">
        <x:v>51.51</x:v>
      </x:c>
      <x:c r="K1261" s="2" t="n">
        <x:v>8</x:v>
      </x:c>
      <x:c r="L1261" s="2" t="str">
        <x:v>Valid</x:v>
      </x:c>
      <x:c r="M1261" s="2" t="str">
        <x:v>QR</x:v>
      </x:c>
      <x:c r="N1261" s="2" t="n">
        <x:v>1</x:v>
      </x:c>
      <x:c r="O1261" s="2" t="str">
        <x:v>Accepted</x:v>
      </x:c>
      <x:c r="P1261" s="2" t="str">
        <x:v>S003</x:v>
      </x:c>
      <x:c r="Q1261" s="2" t="str">
        <x:v>DEV003</x:v>
      </x:c>
      <x:c r="R1261" s="2" t="n">
        <x:v>2</x:v>
      </x:c>
      <x:c r="S1261" s="2" t="str">
        <x:v>Online</x:v>
      </x:c>
      <x:c r="T1261" s="2" t="str">
        <x:v>Synced</x:v>
      </x:c>
    </x:row>
    <x:row r="1262" ht="21" customHeight="1">
      <x:c r="A1262" s="2" t="str">
        <x:v>EV001059</x:v>
      </x:c>
      <x:c r="B1262" s="2" t="str">
        <x:v>T20261006-3-1</x:v>
      </x:c>
      <x:c r="C1262" s="2" t="str">
        <x:v>ST013</x:v>
      </x:c>
      <x:c r="D1262" s="2" t="str">
        <x:v>ddc4bbe364f02f5a2177795c49ea7ba9</x:v>
      </x:c>
      <x:c r="E1262" s="2" t="str">
        <x:v>CHECK_IN</x:v>
      </x:c>
      <x:c r="F1262" s="8" t="n">
        <x:v>46301.57298611112</x:v>
      </x:c>
      <x:c r="G1262" s="8" t="n">
        <x:v>46301.573009259264</x:v>
      </x:c>
      <x:c r="H1262" s="2" t="str">
        <x:v>SCH01</x:v>
      </x:c>
      <x:c r="I1262" s="9" t="n">
        <x:v>25.285</x:v>
      </x:c>
      <x:c r="J1262" s="9" t="n">
        <x:v>51.51</x:v>
      </x:c>
      <x:c r="K1262" s="2" t="n">
        <x:v>8</x:v>
      </x:c>
      <x:c r="L1262" s="2" t="str">
        <x:v>Valid</x:v>
      </x:c>
      <x:c r="M1262" s="2" t="str">
        <x:v>QR</x:v>
      </x:c>
      <x:c r="N1262" s="2" t="n">
        <x:v>1</x:v>
      </x:c>
      <x:c r="O1262" s="2" t="str">
        <x:v>Accepted</x:v>
      </x:c>
      <x:c r="P1262" s="2" t="str">
        <x:v>S001</x:v>
      </x:c>
      <x:c r="Q1262" s="2" t="str">
        <x:v>DEV001</x:v>
      </x:c>
      <x:c r="R1262" s="2" t="n">
        <x:v>3</x:v>
      </x:c>
      <x:c r="S1262" s="2" t="str">
        <x:v>Online</x:v>
      </x:c>
      <x:c r="T1262" s="2" t="str">
        <x:v>Synced</x:v>
      </x:c>
    </x:row>
    <x:row r="1263" ht="21" customHeight="1">
      <x:c r="A1263" s="2" t="str">
        <x:v>EV001219</x:v>
      </x:c>
      <x:c r="B1263" s="2" t="str">
        <x:v>T20261006-3-2</x:v>
      </x:c>
      <x:c r="C1263" s="2" t="str">
        <x:v>ST053</x:v>
      </x:c>
      <x:c r="D1263" s="2" t="str">
        <x:v>e476277c519e294480cfa14a37e177a0</x:v>
      </x:c>
      <x:c r="E1263" s="2" t="str">
        <x:v>CHECK_IN</x:v>
      </x:c>
      <x:c r="F1263" s="8" t="n">
        <x:v>46301.57298611112</x:v>
      </x:c>
      <x:c r="G1263" s="8" t="n">
        <x:v>46301.573009259264</x:v>
      </x:c>
      <x:c r="H1263" s="2" t="str">
        <x:v>SCH01</x:v>
      </x:c>
      <x:c r="I1263" s="9" t="n">
        <x:v>25.285</x:v>
      </x:c>
      <x:c r="J1263" s="9" t="n">
        <x:v>51.51</x:v>
      </x:c>
      <x:c r="K1263" s="2" t="n">
        <x:v>8</x:v>
      </x:c>
      <x:c r="L1263" s="2" t="str">
        <x:v>Valid</x:v>
      </x:c>
      <x:c r="M1263" s="2" t="str">
        <x:v>QR</x:v>
      </x:c>
      <x:c r="N1263" s="2" t="n">
        <x:v>1</x:v>
      </x:c>
      <x:c r="O1263" s="2" t="str">
        <x:v>Accepted</x:v>
      </x:c>
      <x:c r="P1263" s="2" t="str">
        <x:v>S002</x:v>
      </x:c>
      <x:c r="Q1263" s="2" t="str">
        <x:v>DEV002</x:v>
      </x:c>
      <x:c r="R1263" s="2" t="n">
        <x:v>3</x:v>
      </x:c>
      <x:c r="S1263" s="2" t="str">
        <x:v>Online</x:v>
      </x:c>
      <x:c r="T1263" s="2" t="str">
        <x:v>Synced</x:v>
      </x:c>
    </x:row>
    <x:row r="1264" ht="21" customHeight="1">
      <x:c r="A1264" s="2" t="str">
        <x:v>EV001379</x:v>
      </x:c>
      <x:c r="B1264" s="2" t="str">
        <x:v>T20261006-3-3</x:v>
      </x:c>
      <x:c r="C1264" s="2" t="str">
        <x:v>ST093</x:v>
      </x:c>
      <x:c r="D1264" s="2" t="str">
        <x:v>e69cdca4f10e82426e9a3098f4672791</x:v>
      </x:c>
      <x:c r="E1264" s="2" t="str">
        <x:v>CHECK_IN</x:v>
      </x:c>
      <x:c r="F1264" s="8" t="n">
        <x:v>46301.57298611112</x:v>
      </x:c>
      <x:c r="G1264" s="8" t="n">
        <x:v>46301.573009259264</x:v>
      </x:c>
      <x:c r="H1264" s="2" t="str">
        <x:v>SCH01</x:v>
      </x:c>
      <x:c r="I1264" s="9" t="n">
        <x:v>25.285</x:v>
      </x:c>
      <x:c r="J1264" s="9" t="n">
        <x:v>51.51</x:v>
      </x:c>
      <x:c r="K1264" s="2" t="n">
        <x:v>8</x:v>
      </x:c>
      <x:c r="L1264" s="2" t="str">
        <x:v>Valid</x:v>
      </x:c>
      <x:c r="M1264" s="2" t="str">
        <x:v>QR</x:v>
      </x:c>
      <x:c r="N1264" s="2" t="n">
        <x:v>1</x:v>
      </x:c>
      <x:c r="O1264" s="2" t="str">
        <x:v>Accepted</x:v>
      </x:c>
      <x:c r="P1264" s="2" t="str">
        <x:v>S003</x:v>
      </x:c>
      <x:c r="Q1264" s="2" t="str">
        <x:v>DEV003</x:v>
      </x:c>
      <x:c r="R1264" s="2" t="n">
        <x:v>3</x:v>
      </x:c>
      <x:c r="S1264" s="2" t="str">
        <x:v>Online</x:v>
      </x:c>
      <x:c r="T1264" s="2" t="str">
        <x:v>Synced</x:v>
      </x:c>
    </x:row>
    <x:row r="1265" ht="21" customHeight="1">
      <x:c r="A1265" s="2" t="str">
        <x:v>EV001061</x:v>
      </x:c>
      <x:c r="B1265" s="2" t="str">
        <x:v>T20261006-3-1</x:v>
      </x:c>
      <x:c r="C1265" s="2" t="str">
        <x:v>ST014</x:v>
      </x:c>
      <x:c r="D1265" s="2" t="str">
        <x:v>6ea4b25306143e251962ae19fa8ee7af</x:v>
      </x:c>
      <x:c r="E1265" s="2" t="str">
        <x:v>CHECK_IN</x:v>
      </x:c>
      <x:c r="F1265" s="8" t="n">
        <x:v>46301.57302083334</x:v>
      </x:c>
      <x:c r="G1265" s="8" t="n">
        <x:v>46301.57304398149</x:v>
      </x:c>
      <x:c r="H1265" s="2" t="str">
        <x:v>SCH01</x:v>
      </x:c>
      <x:c r="I1265" s="9" t="n">
        <x:v>25.285</x:v>
      </x:c>
      <x:c r="J1265" s="9" t="n">
        <x:v>51.51</x:v>
      </x:c>
      <x:c r="K1265" s="2" t="n">
        <x:v>8</x:v>
      </x:c>
      <x:c r="L1265" s="2" t="str">
        <x:v>Valid</x:v>
      </x:c>
      <x:c r="M1265" s="2" t="str">
        <x:v>QR</x:v>
      </x:c>
      <x:c r="N1265" s="2" t="n">
        <x:v>1</x:v>
      </x:c>
      <x:c r="O1265" s="2" t="str">
        <x:v>Accepted</x:v>
      </x:c>
      <x:c r="P1265" s="2" t="str">
        <x:v>S001</x:v>
      </x:c>
      <x:c r="Q1265" s="2" t="str">
        <x:v>DEV001</x:v>
      </x:c>
      <x:c r="R1265" s="2" t="n">
        <x:v>4</x:v>
      </x:c>
      <x:c r="S1265" s="2" t="str">
        <x:v>Online</x:v>
      </x:c>
      <x:c r="T1265" s="2" t="str">
        <x:v>Synced</x:v>
      </x:c>
    </x:row>
    <x:row r="1266" ht="21" customHeight="1">
      <x:c r="A1266" s="2" t="str">
        <x:v>EV001221</x:v>
      </x:c>
      <x:c r="B1266" s="2" t="str">
        <x:v>T20261006-3-2</x:v>
      </x:c>
      <x:c r="C1266" s="2" t="str">
        <x:v>ST054</x:v>
      </x:c>
      <x:c r="D1266" s="2" t="str">
        <x:v>1c9a916db52e081aeb59bc928cb914dd</x:v>
      </x:c>
      <x:c r="E1266" s="2" t="str">
        <x:v>CHECK_IN</x:v>
      </x:c>
      <x:c r="F1266" s="8" t="n">
        <x:v>46301.57302083334</x:v>
      </x:c>
      <x:c r="G1266" s="8" t="n">
        <x:v>46301.57304398149</x:v>
      </x:c>
      <x:c r="H1266" s="2" t="str">
        <x:v>SCH01</x:v>
      </x:c>
      <x:c r="I1266" s="9" t="n">
        <x:v>25.285</x:v>
      </x:c>
      <x:c r="J1266" s="9" t="n">
        <x:v>51.51</x:v>
      </x:c>
      <x:c r="K1266" s="2" t="n">
        <x:v>8</x:v>
      </x:c>
      <x:c r="L1266" s="2" t="str">
        <x:v>Valid</x:v>
      </x:c>
      <x:c r="M1266" s="2" t="str">
        <x:v>QR</x:v>
      </x:c>
      <x:c r="N1266" s="2" t="n">
        <x:v>1</x:v>
      </x:c>
      <x:c r="O1266" s="2" t="str">
        <x:v>Accepted</x:v>
      </x:c>
      <x:c r="P1266" s="2" t="str">
        <x:v>S002</x:v>
      </x:c>
      <x:c r="Q1266" s="2" t="str">
        <x:v>DEV002</x:v>
      </x:c>
      <x:c r="R1266" s="2" t="n">
        <x:v>4</x:v>
      </x:c>
      <x:c r="S1266" s="2" t="str">
        <x:v>Online</x:v>
      </x:c>
      <x:c r="T1266" s="2" t="str">
        <x:v>Synced</x:v>
      </x:c>
    </x:row>
    <x:row r="1267" ht="21" customHeight="1">
      <x:c r="A1267" s="2" t="str">
        <x:v>EV001381</x:v>
      </x:c>
      <x:c r="B1267" s="2" t="str">
        <x:v>T20261006-3-3</x:v>
      </x:c>
      <x:c r="C1267" s="2" t="str">
        <x:v>ST094</x:v>
      </x:c>
      <x:c r="D1267" s="2" t="str">
        <x:v>b6fd37c188877a378c496dccb3132cf2</x:v>
      </x:c>
      <x:c r="E1267" s="2" t="str">
        <x:v>CHECK_IN</x:v>
      </x:c>
      <x:c r="F1267" s="8" t="n">
        <x:v>46301.57302083334</x:v>
      </x:c>
      <x:c r="G1267" s="8" t="n">
        <x:v>46301.57304398149</x:v>
      </x:c>
      <x:c r="H1267" s="2" t="str">
        <x:v>SCH01</x:v>
      </x:c>
      <x:c r="I1267" s="9" t="n">
        <x:v>25.285</x:v>
      </x:c>
      <x:c r="J1267" s="9" t="n">
        <x:v>51.51</x:v>
      </x:c>
      <x:c r="K1267" s="2" t="n">
        <x:v>8</x:v>
      </x:c>
      <x:c r="L1267" s="2" t="str">
        <x:v>Valid</x:v>
      </x:c>
      <x:c r="M1267" s="2" t="str">
        <x:v>QR</x:v>
      </x:c>
      <x:c r="N1267" s="2" t="n">
        <x:v>1</x:v>
      </x:c>
      <x:c r="O1267" s="2" t="str">
        <x:v>Accepted</x:v>
      </x:c>
      <x:c r="P1267" s="2" t="str">
        <x:v>S003</x:v>
      </x:c>
      <x:c r="Q1267" s="2" t="str">
        <x:v>DEV003</x:v>
      </x:c>
      <x:c r="R1267" s="2" t="n">
        <x:v>4</x:v>
      </x:c>
      <x:c r="S1267" s="2" t="str">
        <x:v>Online</x:v>
      </x:c>
      <x:c r="T1267" s="2" t="str">
        <x:v>Synced</x:v>
      </x:c>
    </x:row>
    <x:row r="1268" ht="21" customHeight="1">
      <x:c r="A1268" s="2" t="str">
        <x:v>EV001063</x:v>
      </x:c>
      <x:c r="B1268" s="2" t="str">
        <x:v>T20261006-3-1</x:v>
      </x:c>
      <x:c r="C1268" s="2" t="str">
        <x:v>ST015</x:v>
      </x:c>
      <x:c r="D1268" s="2" t="str">
        <x:v>997c76227e9b12bdccc68d0d53a8d1df</x:v>
      </x:c>
      <x:c r="E1268" s="2" t="str">
        <x:v>CHECK_IN</x:v>
      </x:c>
      <x:c r="F1268" s="8" t="n">
        <x:v>46301.573055555564</x:v>
      </x:c>
      <x:c r="G1268" s="8" t="n">
        <x:v>46301.57307870371</x:v>
      </x:c>
      <x:c r="H1268" s="2" t="str">
        <x:v>SCH01</x:v>
      </x:c>
      <x:c r="I1268" s="9" t="n">
        <x:v>25.285</x:v>
      </x:c>
      <x:c r="J1268" s="9" t="n">
        <x:v>51.51</x:v>
      </x:c>
      <x:c r="K1268" s="2" t="n">
        <x:v>8</x:v>
      </x:c>
      <x:c r="L1268" s="2" t="str">
        <x:v>Valid</x:v>
      </x:c>
      <x:c r="M1268" s="2" t="str">
        <x:v>QR</x:v>
      </x:c>
      <x:c r="N1268" s="2" t="n">
        <x:v>1</x:v>
      </x:c>
      <x:c r="O1268" s="2" t="str">
        <x:v>Accepted</x:v>
      </x:c>
      <x:c r="P1268" s="2" t="str">
        <x:v>S001</x:v>
      </x:c>
      <x:c r="Q1268" s="2" t="str">
        <x:v>DEV001</x:v>
      </x:c>
      <x:c r="R1268" s="2" t="n">
        <x:v>5</x:v>
      </x:c>
      <x:c r="S1268" s="2" t="str">
        <x:v>Online</x:v>
      </x:c>
      <x:c r="T1268" s="2" t="str">
        <x:v>Synced</x:v>
      </x:c>
    </x:row>
    <x:row r="1269" ht="21" customHeight="1">
      <x:c r="A1269" s="2" t="str">
        <x:v>EV001223</x:v>
      </x:c>
      <x:c r="B1269" s="2" t="str">
        <x:v>T20261006-3-2</x:v>
      </x:c>
      <x:c r="C1269" s="2" t="str">
        <x:v>ST055</x:v>
      </x:c>
      <x:c r="D1269" s="2" t="str">
        <x:v>e796258b9306e2b3efab77a21add36a5</x:v>
      </x:c>
      <x:c r="E1269" s="2" t="str">
        <x:v>CHECK_IN</x:v>
      </x:c>
      <x:c r="F1269" s="8" t="n">
        <x:v>46301.573055555564</x:v>
      </x:c>
      <x:c r="G1269" s="8" t="n">
        <x:v>46301.57307870371</x:v>
      </x:c>
      <x:c r="H1269" s="2" t="str">
        <x:v>SCH01</x:v>
      </x:c>
      <x:c r="I1269" s="9" t="n">
        <x:v>25.285</x:v>
      </x:c>
      <x:c r="J1269" s="9" t="n">
        <x:v>51.51</x:v>
      </x:c>
      <x:c r="K1269" s="2" t="n">
        <x:v>8</x:v>
      </x:c>
      <x:c r="L1269" s="2" t="str">
        <x:v>Valid</x:v>
      </x:c>
      <x:c r="M1269" s="2" t="str">
        <x:v>QR</x:v>
      </x:c>
      <x:c r="N1269" s="2" t="n">
        <x:v>1</x:v>
      </x:c>
      <x:c r="O1269" s="2" t="str">
        <x:v>Accepted</x:v>
      </x:c>
      <x:c r="P1269" s="2" t="str">
        <x:v>S002</x:v>
      </x:c>
      <x:c r="Q1269" s="2" t="str">
        <x:v>DEV002</x:v>
      </x:c>
      <x:c r="R1269" s="2" t="n">
        <x:v>5</x:v>
      </x:c>
      <x:c r="S1269" s="2" t="str">
        <x:v>Online</x:v>
      </x:c>
      <x:c r="T1269" s="2" t="str">
        <x:v>Synced</x:v>
      </x:c>
    </x:row>
    <x:row r="1270" ht="21" customHeight="1">
      <x:c r="A1270" s="2" t="str">
        <x:v>EV001383</x:v>
      </x:c>
      <x:c r="B1270" s="2" t="str">
        <x:v>T20261006-3-3</x:v>
      </x:c>
      <x:c r="C1270" s="2" t="str">
        <x:v>ST095</x:v>
      </x:c>
      <x:c r="D1270" s="2" t="str">
        <x:v>0935ee2c52872353d5a355eed1202dbe</x:v>
      </x:c>
      <x:c r="E1270" s="2" t="str">
        <x:v>CHECK_IN</x:v>
      </x:c>
      <x:c r="F1270" s="8" t="n">
        <x:v>46301.573055555564</x:v>
      </x:c>
      <x:c r="G1270" s="8" t="n">
        <x:v>46301.57307870371</x:v>
      </x:c>
      <x:c r="H1270" s="2" t="str">
        <x:v>SCH01</x:v>
      </x:c>
      <x:c r="I1270" s="9" t="n">
        <x:v>25.285</x:v>
      </x:c>
      <x:c r="J1270" s="9" t="n">
        <x:v>51.51</x:v>
      </x:c>
      <x:c r="K1270" s="2" t="n">
        <x:v>8</x:v>
      </x:c>
      <x:c r="L1270" s="2" t="str">
        <x:v>Valid</x:v>
      </x:c>
      <x:c r="M1270" s="2" t="str">
        <x:v>QR</x:v>
      </x:c>
      <x:c r="N1270" s="2" t="n">
        <x:v>1</x:v>
      </x:c>
      <x:c r="O1270" s="2" t="str">
        <x:v>Accepted</x:v>
      </x:c>
      <x:c r="P1270" s="2" t="str">
        <x:v>S003</x:v>
      </x:c>
      <x:c r="Q1270" s="2" t="str">
        <x:v>DEV003</x:v>
      </x:c>
      <x:c r="R1270" s="2" t="n">
        <x:v>5</x:v>
      </x:c>
      <x:c r="S1270" s="2" t="str">
        <x:v>Online</x:v>
      </x:c>
      <x:c r="T1270" s="2" t="str">
        <x:v>Synced</x:v>
      </x:c>
    </x:row>
    <x:row r="1271" ht="21" customHeight="1">
      <x:c r="A1271" s="2" t="str">
        <x:v>EV001065</x:v>
      </x:c>
      <x:c r="B1271" s="2" t="str">
        <x:v>T20261006-3-1</x:v>
      </x:c>
      <x:c r="C1271" s="2" t="str">
        <x:v>ST016</x:v>
      </x:c>
      <x:c r="D1271" s="2" t="str">
        <x:v>5227a65bcc4ea356d570fe16b2970ea5</x:v>
      </x:c>
      <x:c r="E1271" s="2" t="str">
        <x:v>CHECK_IN</x:v>
      </x:c>
      <x:c r="F1271" s="8" t="n">
        <x:v>46301.57309027778</x:v>
      </x:c>
      <x:c r="G1271" s="8" t="n">
        <x:v>46301.573113425926</x:v>
      </x:c>
      <x:c r="H1271" s="2" t="str">
        <x:v>SCH01</x:v>
      </x:c>
      <x:c r="I1271" s="9" t="n">
        <x:v>25.285</x:v>
      </x:c>
      <x:c r="J1271" s="9" t="n">
        <x:v>51.51</x:v>
      </x:c>
      <x:c r="K1271" s="2" t="n">
        <x:v>8</x:v>
      </x:c>
      <x:c r="L1271" s="2" t="str">
        <x:v>Valid</x:v>
      </x:c>
      <x:c r="M1271" s="2" t="str">
        <x:v>QR</x:v>
      </x:c>
      <x:c r="N1271" s="2" t="n">
        <x:v>1</x:v>
      </x:c>
      <x:c r="O1271" s="2" t="str">
        <x:v>Accepted</x:v>
      </x:c>
      <x:c r="P1271" s="2" t="str">
        <x:v>S001</x:v>
      </x:c>
      <x:c r="Q1271" s="2" t="str">
        <x:v>DEV001</x:v>
      </x:c>
      <x:c r="R1271" s="2" t="n">
        <x:v>6</x:v>
      </x:c>
      <x:c r="S1271" s="2" t="str">
        <x:v>Online</x:v>
      </x:c>
      <x:c r="T1271" s="2" t="str">
        <x:v>Synced</x:v>
      </x:c>
    </x:row>
    <x:row r="1272" ht="21" customHeight="1">
      <x:c r="A1272" s="2" t="str">
        <x:v>EV001225</x:v>
      </x:c>
      <x:c r="B1272" s="2" t="str">
        <x:v>T20261006-3-2</x:v>
      </x:c>
      <x:c r="C1272" s="2" t="str">
        <x:v>ST056</x:v>
      </x:c>
      <x:c r="D1272" s="2" t="str">
        <x:v>245ed370430be1001f6d7d13404dd8b1</x:v>
      </x:c>
      <x:c r="E1272" s="2" t="str">
        <x:v>CHECK_IN</x:v>
      </x:c>
      <x:c r="F1272" s="8" t="n">
        <x:v>46301.57309027778</x:v>
      </x:c>
      <x:c r="G1272" s="8" t="n">
        <x:v>46301.573113425926</x:v>
      </x:c>
      <x:c r="H1272" s="2" t="str">
        <x:v>SCH01</x:v>
      </x:c>
      <x:c r="I1272" s="9" t="n">
        <x:v>25.285</x:v>
      </x:c>
      <x:c r="J1272" s="9" t="n">
        <x:v>51.51</x:v>
      </x:c>
      <x:c r="K1272" s="2" t="n">
        <x:v>8</x:v>
      </x:c>
      <x:c r="L1272" s="2" t="str">
        <x:v>Valid</x:v>
      </x:c>
      <x:c r="M1272" s="2" t="str">
        <x:v>QR</x:v>
      </x:c>
      <x:c r="N1272" s="2" t="n">
        <x:v>1</x:v>
      </x:c>
      <x:c r="O1272" s="2" t="str">
        <x:v>Accepted</x:v>
      </x:c>
      <x:c r="P1272" s="2" t="str">
        <x:v>S002</x:v>
      </x:c>
      <x:c r="Q1272" s="2" t="str">
        <x:v>DEV002</x:v>
      </x:c>
      <x:c r="R1272" s="2" t="n">
        <x:v>6</x:v>
      </x:c>
      <x:c r="S1272" s="2" t="str">
        <x:v>Online</x:v>
      </x:c>
      <x:c r="T1272" s="2" t="str">
        <x:v>Synced</x:v>
      </x:c>
    </x:row>
    <x:row r="1273" ht="21" customHeight="1">
      <x:c r="A1273" s="2" t="str">
        <x:v>EV001385</x:v>
      </x:c>
      <x:c r="B1273" s="2" t="str">
        <x:v>T20261006-3-3</x:v>
      </x:c>
      <x:c r="C1273" s="2" t="str">
        <x:v>ST096</x:v>
      </x:c>
      <x:c r="D1273" s="2" t="str">
        <x:v>46905fa8ca039f79eec63d82a6ea3c69</x:v>
      </x:c>
      <x:c r="E1273" s="2" t="str">
        <x:v>CHECK_IN</x:v>
      </x:c>
      <x:c r="F1273" s="8" t="n">
        <x:v>46301.57309027778</x:v>
      </x:c>
      <x:c r="G1273" s="8" t="n">
        <x:v>46301.573113425926</x:v>
      </x:c>
      <x:c r="H1273" s="2" t="str">
        <x:v>SCH01</x:v>
      </x:c>
      <x:c r="I1273" s="9" t="n">
        <x:v>25.285</x:v>
      </x:c>
      <x:c r="J1273" s="9" t="n">
        <x:v>51.51</x:v>
      </x:c>
      <x:c r="K1273" s="2" t="n">
        <x:v>8</x:v>
      </x:c>
      <x:c r="L1273" s="2" t="str">
        <x:v>Valid</x:v>
      </x:c>
      <x:c r="M1273" s="2" t="str">
        <x:v>QR</x:v>
      </x:c>
      <x:c r="N1273" s="2" t="n">
        <x:v>1</x:v>
      </x:c>
      <x:c r="O1273" s="2" t="str">
        <x:v>Accepted</x:v>
      </x:c>
      <x:c r="P1273" s="2" t="str">
        <x:v>S003</x:v>
      </x:c>
      <x:c r="Q1273" s="2" t="str">
        <x:v>DEV003</x:v>
      </x:c>
      <x:c r="R1273" s="2" t="n">
        <x:v>6</x:v>
      </x:c>
      <x:c r="S1273" s="2" t="str">
        <x:v>Online</x:v>
      </x:c>
      <x:c r="T1273" s="2" t="str">
        <x:v>Synced</x:v>
      </x:c>
    </x:row>
    <x:row r="1274" ht="21" customHeight="1">
      <x:c r="A1274" s="2" t="str">
        <x:v>EV001067</x:v>
      </x:c>
      <x:c r="B1274" s="2" t="str">
        <x:v>T20261006-3-1</x:v>
      </x:c>
      <x:c r="C1274" s="2" t="str">
        <x:v>ST017</x:v>
      </x:c>
      <x:c r="D1274" s="2" t="str">
        <x:v>ea6159d457322f2456f4cadd6b3d659f</x:v>
      </x:c>
      <x:c r="E1274" s="2" t="str">
        <x:v>CHECK_IN</x:v>
      </x:c>
      <x:c r="F1274" s="8" t="n">
        <x:v>46301.573125</x:v>
      </x:c>
      <x:c r="G1274" s="8" t="n">
        <x:v>46301.57314814815</x:v>
      </x:c>
      <x:c r="H1274" s="2" t="str">
        <x:v>SCH01</x:v>
      </x:c>
      <x:c r="I1274" s="9" t="n">
        <x:v>25.285</x:v>
      </x:c>
      <x:c r="J1274" s="9" t="n">
        <x:v>51.51</x:v>
      </x:c>
      <x:c r="K1274" s="2" t="n">
        <x:v>8</x:v>
      </x:c>
      <x:c r="L1274" s="2" t="str">
        <x:v>Valid</x:v>
      </x:c>
      <x:c r="M1274" s="2" t="str">
        <x:v>QR</x:v>
      </x:c>
      <x:c r="N1274" s="2" t="n">
        <x:v>1</x:v>
      </x:c>
      <x:c r="O1274" s="2" t="str">
        <x:v>Accepted</x:v>
      </x:c>
      <x:c r="P1274" s="2" t="str">
        <x:v>S001</x:v>
      </x:c>
      <x:c r="Q1274" s="2" t="str">
        <x:v>DEV001</x:v>
      </x:c>
      <x:c r="R1274" s="2" t="n">
        <x:v>7</x:v>
      </x:c>
      <x:c r="S1274" s="2" t="str">
        <x:v>Online</x:v>
      </x:c>
      <x:c r="T1274" s="2" t="str">
        <x:v>Synced</x:v>
      </x:c>
    </x:row>
    <x:row r="1275" ht="21" customHeight="1">
      <x:c r="A1275" s="2" t="str">
        <x:v>EV001227</x:v>
      </x:c>
      <x:c r="B1275" s="2" t="str">
        <x:v>T20261006-3-2</x:v>
      </x:c>
      <x:c r="C1275" s="2" t="str">
        <x:v>ST057</x:v>
      </x:c>
      <x:c r="D1275" s="2" t="str">
        <x:v>68d992c7418727808ad27d2e5ee9b88d</x:v>
      </x:c>
      <x:c r="E1275" s="2" t="str">
        <x:v>CHECK_IN</x:v>
      </x:c>
      <x:c r="F1275" s="8" t="n">
        <x:v>46301.573125</x:v>
      </x:c>
      <x:c r="G1275" s="8" t="n">
        <x:v>46301.57314814815</x:v>
      </x:c>
      <x:c r="H1275" s="2" t="str">
        <x:v>SCH01</x:v>
      </x:c>
      <x:c r="I1275" s="9" t="n">
        <x:v>25.285</x:v>
      </x:c>
      <x:c r="J1275" s="9" t="n">
        <x:v>51.51</x:v>
      </x:c>
      <x:c r="K1275" s="2" t="n">
        <x:v>8</x:v>
      </x:c>
      <x:c r="L1275" s="2" t="str">
        <x:v>Valid</x:v>
      </x:c>
      <x:c r="M1275" s="2" t="str">
        <x:v>QR</x:v>
      </x:c>
      <x:c r="N1275" s="2" t="n">
        <x:v>1</x:v>
      </x:c>
      <x:c r="O1275" s="2" t="str">
        <x:v>Accepted</x:v>
      </x:c>
      <x:c r="P1275" s="2" t="str">
        <x:v>S002</x:v>
      </x:c>
      <x:c r="Q1275" s="2" t="str">
        <x:v>DEV002</x:v>
      </x:c>
      <x:c r="R1275" s="2" t="n">
        <x:v>7</x:v>
      </x:c>
      <x:c r="S1275" s="2" t="str">
        <x:v>Online</x:v>
      </x:c>
      <x:c r="T1275" s="2" t="str">
        <x:v>Synced</x:v>
      </x:c>
    </x:row>
    <x:row r="1276" ht="21" customHeight="1">
      <x:c r="A1276" s="2" t="str">
        <x:v>EV001387</x:v>
      </x:c>
      <x:c r="B1276" s="2" t="str">
        <x:v>T20261006-3-3</x:v>
      </x:c>
      <x:c r="C1276" s="2" t="str">
        <x:v>ST097</x:v>
      </x:c>
      <x:c r="D1276" s="2" t="str">
        <x:v>0ccbf8d08569df9dde2207b8d5616d1e</x:v>
      </x:c>
      <x:c r="E1276" s="2" t="str">
        <x:v>CHECK_IN</x:v>
      </x:c>
      <x:c r="F1276" s="8" t="n">
        <x:v>46301.573125</x:v>
      </x:c>
      <x:c r="G1276" s="8" t="n">
        <x:v>46301.57314814815</x:v>
      </x:c>
      <x:c r="H1276" s="2" t="str">
        <x:v>SCH01</x:v>
      </x:c>
      <x:c r="I1276" s="9" t="n">
        <x:v>25.285</x:v>
      </x:c>
      <x:c r="J1276" s="9" t="n">
        <x:v>51.51</x:v>
      </x:c>
      <x:c r="K1276" s="2" t="n">
        <x:v>8</x:v>
      </x:c>
      <x:c r="L1276" s="2" t="str">
        <x:v>Valid</x:v>
      </x:c>
      <x:c r="M1276" s="2" t="str">
        <x:v>QR</x:v>
      </x:c>
      <x:c r="N1276" s="2" t="n">
        <x:v>1</x:v>
      </x:c>
      <x:c r="O1276" s="2" t="str">
        <x:v>Accepted</x:v>
      </x:c>
      <x:c r="P1276" s="2" t="str">
        <x:v>S003</x:v>
      </x:c>
      <x:c r="Q1276" s="2" t="str">
        <x:v>DEV003</x:v>
      </x:c>
      <x:c r="R1276" s="2" t="n">
        <x:v>7</x:v>
      </x:c>
      <x:c r="S1276" s="2" t="str">
        <x:v>Online</x:v>
      </x:c>
      <x:c r="T1276" s="2" t="str">
        <x:v>Synced</x:v>
      </x:c>
    </x:row>
    <x:row r="1277" ht="21" customHeight="1">
      <x:c r="A1277" s="2" t="str">
        <x:v>EV001069</x:v>
      </x:c>
      <x:c r="B1277" s="2" t="str">
        <x:v>T20261006-3-1</x:v>
      </x:c>
      <x:c r="C1277" s="2" t="str">
        <x:v>ST018</x:v>
      </x:c>
      <x:c r="D1277" s="2" t="str">
        <x:v>4c1b40081ed5c7c21b8392ee528dbe54</x:v>
      </x:c>
      <x:c r="E1277" s="2" t="str">
        <x:v>CHECK_IN</x:v>
      </x:c>
      <x:c r="F1277" s="8" t="n">
        <x:v>46301.573159722226</x:v>
      </x:c>
      <x:c r="G1277" s="8" t="n">
        <x:v>46301.57318287037</x:v>
      </x:c>
      <x:c r="H1277" s="2" t="str">
        <x:v>SCH01</x:v>
      </x:c>
      <x:c r="I1277" s="9" t="n">
        <x:v>25.285</x:v>
      </x:c>
      <x:c r="J1277" s="9" t="n">
        <x:v>51.51</x:v>
      </x:c>
      <x:c r="K1277" s="2" t="n">
        <x:v>8</x:v>
      </x:c>
      <x:c r="L1277" s="2" t="str">
        <x:v>Valid</x:v>
      </x:c>
      <x:c r="M1277" s="2" t="str">
        <x:v>QR</x:v>
      </x:c>
      <x:c r="N1277" s="2" t="n">
        <x:v>1</x:v>
      </x:c>
      <x:c r="O1277" s="2" t="str">
        <x:v>Accepted</x:v>
      </x:c>
      <x:c r="P1277" s="2" t="str">
        <x:v>S001</x:v>
      </x:c>
      <x:c r="Q1277" s="2" t="str">
        <x:v>DEV001</x:v>
      </x:c>
      <x:c r="R1277" s="2" t="n">
        <x:v>8</x:v>
      </x:c>
      <x:c r="S1277" s="2" t="str">
        <x:v>Online</x:v>
      </x:c>
      <x:c r="T1277" s="2" t="str">
        <x:v>Synced</x:v>
      </x:c>
    </x:row>
    <x:row r="1278" ht="21" customHeight="1">
      <x:c r="A1278" s="2" t="str">
        <x:v>EV001229</x:v>
      </x:c>
      <x:c r="B1278" s="2" t="str">
        <x:v>T20261006-3-2</x:v>
      </x:c>
      <x:c r="C1278" s="2" t="str">
        <x:v>ST058</x:v>
      </x:c>
      <x:c r="D1278" s="2" t="str">
        <x:v>ebf7e65b57e2c8bcd02f90b1d5692596</x:v>
      </x:c>
      <x:c r="E1278" s="2" t="str">
        <x:v>CHECK_IN</x:v>
      </x:c>
      <x:c r="F1278" s="8" t="n">
        <x:v>46301.573159722226</x:v>
      </x:c>
      <x:c r="G1278" s="8" t="n">
        <x:v>46301.57318287037</x:v>
      </x:c>
      <x:c r="H1278" s="2" t="str">
        <x:v>SCH01</x:v>
      </x:c>
      <x:c r="I1278" s="9" t="n">
        <x:v>25.285</x:v>
      </x:c>
      <x:c r="J1278" s="9" t="n">
        <x:v>51.51</x:v>
      </x:c>
      <x:c r="K1278" s="2" t="n">
        <x:v>8</x:v>
      </x:c>
      <x:c r="L1278" s="2" t="str">
        <x:v>Valid</x:v>
      </x:c>
      <x:c r="M1278" s="2" t="str">
        <x:v>QR</x:v>
      </x:c>
      <x:c r="N1278" s="2" t="n">
        <x:v>1</x:v>
      </x:c>
      <x:c r="O1278" s="2" t="str">
        <x:v>Accepted</x:v>
      </x:c>
      <x:c r="P1278" s="2" t="str">
        <x:v>S002</x:v>
      </x:c>
      <x:c r="Q1278" s="2" t="str">
        <x:v>DEV002</x:v>
      </x:c>
      <x:c r="R1278" s="2" t="n">
        <x:v>8</x:v>
      </x:c>
      <x:c r="S1278" s="2" t="str">
        <x:v>Online</x:v>
      </x:c>
      <x:c r="T1278" s="2" t="str">
        <x:v>Synced</x:v>
      </x:c>
    </x:row>
    <x:row r="1279" ht="21" customHeight="1">
      <x:c r="A1279" s="2" t="str">
        <x:v>EV001389</x:v>
      </x:c>
      <x:c r="B1279" s="2" t="str">
        <x:v>T20261006-3-3</x:v>
      </x:c>
      <x:c r="C1279" s="2" t="str">
        <x:v>ST098</x:v>
      </x:c>
      <x:c r="D1279" s="2" t="str">
        <x:v>4b453acdeca94f98f11a429464f7bff7</x:v>
      </x:c>
      <x:c r="E1279" s="2" t="str">
        <x:v>CHECK_IN</x:v>
      </x:c>
      <x:c r="F1279" s="8" t="n">
        <x:v>46301.573159722226</x:v>
      </x:c>
      <x:c r="G1279" s="8" t="n">
        <x:v>46301.57318287037</x:v>
      </x:c>
      <x:c r="H1279" s="2" t="str">
        <x:v>SCH01</x:v>
      </x:c>
      <x:c r="I1279" s="9" t="n">
        <x:v>25.285</x:v>
      </x:c>
      <x:c r="J1279" s="9" t="n">
        <x:v>51.51</x:v>
      </x:c>
      <x:c r="K1279" s="2" t="n">
        <x:v>8</x:v>
      </x:c>
      <x:c r="L1279" s="2" t="str">
        <x:v>Valid</x:v>
      </x:c>
      <x:c r="M1279" s="2" t="str">
        <x:v>QR</x:v>
      </x:c>
      <x:c r="N1279" s="2" t="n">
        <x:v>1</x:v>
      </x:c>
      <x:c r="O1279" s="2" t="str">
        <x:v>Accepted</x:v>
      </x:c>
      <x:c r="P1279" s="2" t="str">
        <x:v>S003</x:v>
      </x:c>
      <x:c r="Q1279" s="2" t="str">
        <x:v>DEV003</x:v>
      </x:c>
      <x:c r="R1279" s="2" t="n">
        <x:v>8</x:v>
      </x:c>
      <x:c r="S1279" s="2" t="str">
        <x:v>Online</x:v>
      </x:c>
      <x:c r="T1279" s="2" t="str">
        <x:v>Synced</x:v>
      </x:c>
    </x:row>
    <x:row r="1280" ht="21" customHeight="1">
      <x:c r="A1280" s="2" t="str">
        <x:v>EV001071</x:v>
      </x:c>
      <x:c r="B1280" s="2" t="str">
        <x:v>T20261006-3-1</x:v>
      </x:c>
      <x:c r="C1280" s="2" t="str">
        <x:v>ST019</x:v>
      </x:c>
      <x:c r="D1280" s="2" t="str">
        <x:v>b83400b1b6dcfb0f7cb413571cb76f8f</x:v>
      </x:c>
      <x:c r="E1280" s="2" t="str">
        <x:v>CHECK_IN</x:v>
      </x:c>
      <x:c r="F1280" s="8" t="n">
        <x:v>46301.57319444445</x:v>
      </x:c>
      <x:c r="G1280" s="8" t="n">
        <x:v>46301.573217592595</x:v>
      </x:c>
      <x:c r="H1280" s="2" t="str">
        <x:v>SCH01</x:v>
      </x:c>
      <x:c r="I1280" s="9" t="n">
        <x:v>25.285</x:v>
      </x:c>
      <x:c r="J1280" s="9" t="n">
        <x:v>51.51</x:v>
      </x:c>
      <x:c r="K1280" s="2" t="n">
        <x:v>8</x:v>
      </x:c>
      <x:c r="L1280" s="2" t="str">
        <x:v>Valid</x:v>
      </x:c>
      <x:c r="M1280" s="2" t="str">
        <x:v>QR</x:v>
      </x:c>
      <x:c r="N1280" s="2" t="n">
        <x:v>1</x:v>
      </x:c>
      <x:c r="O1280" s="2" t="str">
        <x:v>Accepted</x:v>
      </x:c>
      <x:c r="P1280" s="2" t="str">
        <x:v>S001</x:v>
      </x:c>
      <x:c r="Q1280" s="2" t="str">
        <x:v>DEV001</x:v>
      </x:c>
      <x:c r="R1280" s="2" t="n">
        <x:v>9</x:v>
      </x:c>
      <x:c r="S1280" s="2" t="str">
        <x:v>Online</x:v>
      </x:c>
      <x:c r="T1280" s="2" t="str">
        <x:v>Synced</x:v>
      </x:c>
    </x:row>
    <x:row r="1281" ht="21" customHeight="1">
      <x:c r="A1281" s="2" t="str">
        <x:v>EV001231</x:v>
      </x:c>
      <x:c r="B1281" s="2" t="str">
        <x:v>T20261006-3-2</x:v>
      </x:c>
      <x:c r="C1281" s="2" t="str">
        <x:v>ST059</x:v>
      </x:c>
      <x:c r="D1281" s="2" t="str">
        <x:v>08b31edc14b3a345822a41d6515bfcba</x:v>
      </x:c>
      <x:c r="E1281" s="2" t="str">
        <x:v>CHECK_IN</x:v>
      </x:c>
      <x:c r="F1281" s="8" t="n">
        <x:v>46301.57319444445</x:v>
      </x:c>
      <x:c r="G1281" s="8" t="n">
        <x:v>46301.573217592595</x:v>
      </x:c>
      <x:c r="H1281" s="2" t="str">
        <x:v>SCH01</x:v>
      </x:c>
      <x:c r="I1281" s="9" t="n">
        <x:v>25.285</x:v>
      </x:c>
      <x:c r="J1281" s="9" t="n">
        <x:v>51.51</x:v>
      </x:c>
      <x:c r="K1281" s="2" t="n">
        <x:v>8</x:v>
      </x:c>
      <x:c r="L1281" s="2" t="str">
        <x:v>Valid</x:v>
      </x:c>
      <x:c r="M1281" s="2" t="str">
        <x:v>QR</x:v>
      </x:c>
      <x:c r="N1281" s="2" t="n">
        <x:v>1</x:v>
      </x:c>
      <x:c r="O1281" s="2" t="str">
        <x:v>Accepted</x:v>
      </x:c>
      <x:c r="P1281" s="2" t="str">
        <x:v>S002</x:v>
      </x:c>
      <x:c r="Q1281" s="2" t="str">
        <x:v>DEV002</x:v>
      </x:c>
      <x:c r="R1281" s="2" t="n">
        <x:v>9</x:v>
      </x:c>
      <x:c r="S1281" s="2" t="str">
        <x:v>Online</x:v>
      </x:c>
      <x:c r="T1281" s="2" t="str">
        <x:v>Synced</x:v>
      </x:c>
    </x:row>
    <x:row r="1282" ht="21" customHeight="1">
      <x:c r="A1282" s="2" t="str">
        <x:v>EV001391</x:v>
      </x:c>
      <x:c r="B1282" s="2" t="str">
        <x:v>T20261006-3-3</x:v>
      </x:c>
      <x:c r="C1282" s="2" t="str">
        <x:v>ST099</x:v>
      </x:c>
      <x:c r="D1282" s="2" t="str">
        <x:v>46d20c66394c55b68e36e5335452d87c</x:v>
      </x:c>
      <x:c r="E1282" s="2" t="str">
        <x:v>CHECK_IN</x:v>
      </x:c>
      <x:c r="F1282" s="8" t="n">
        <x:v>46301.57319444445</x:v>
      </x:c>
      <x:c r="G1282" s="8" t="n">
        <x:v>46301.573217592595</x:v>
      </x:c>
      <x:c r="H1282" s="2" t="str">
        <x:v>SCH01</x:v>
      </x:c>
      <x:c r="I1282" s="9" t="n">
        <x:v>25.285</x:v>
      </x:c>
      <x:c r="J1282" s="9" t="n">
        <x:v>51.51</x:v>
      </x:c>
      <x:c r="K1282" s="2" t="n">
        <x:v>8</x:v>
      </x:c>
      <x:c r="L1282" s="2" t="str">
        <x:v>Valid</x:v>
      </x:c>
      <x:c r="M1282" s="2" t="str">
        <x:v>QR</x:v>
      </x:c>
      <x:c r="N1282" s="2" t="n">
        <x:v>1</x:v>
      </x:c>
      <x:c r="O1282" s="2" t="str">
        <x:v>Accepted</x:v>
      </x:c>
      <x:c r="P1282" s="2" t="str">
        <x:v>S003</x:v>
      </x:c>
      <x:c r="Q1282" s="2" t="str">
        <x:v>DEV003</x:v>
      </x:c>
      <x:c r="R1282" s="2" t="n">
        <x:v>9</x:v>
      </x:c>
      <x:c r="S1282" s="2" t="str">
        <x:v>Online</x:v>
      </x:c>
      <x:c r="T1282" s="2" t="str">
        <x:v>Synced</x:v>
      </x:c>
    </x:row>
    <x:row r="1283" ht="21" customHeight="1">
      <x:c r="A1283" s="2" t="str">
        <x:v>EV001073</x:v>
      </x:c>
      <x:c r="B1283" s="2" t="str">
        <x:v>T20261006-3-1</x:v>
      </x:c>
      <x:c r="C1283" s="2" t="str">
        <x:v>ST020</x:v>
      </x:c>
      <x:c r="D1283" s="2" t="str">
        <x:v>9f8daa9030f9f7599cd24e056935ab8d</x:v>
      </x:c>
      <x:c r="E1283" s="2" t="str">
        <x:v>CHECK_IN</x:v>
      </x:c>
      <x:c r="F1283" s="8" t="n">
        <x:v>46301.57322916667</x:v>
      </x:c>
      <x:c r="G1283" s="8" t="n">
        <x:v>46301.57325231482</x:v>
      </x:c>
      <x:c r="H1283" s="2" t="str">
        <x:v>SCH01</x:v>
      </x:c>
      <x:c r="I1283" s="9" t="n">
        <x:v>25.285</x:v>
      </x:c>
      <x:c r="J1283" s="9" t="n">
        <x:v>51.51</x:v>
      </x:c>
      <x:c r="K1283" s="2" t="n">
        <x:v>8</x:v>
      </x:c>
      <x:c r="L1283" s="2" t="str">
        <x:v>Valid</x:v>
      </x:c>
      <x:c r="M1283" s="2" t="str">
        <x:v>QR</x:v>
      </x:c>
      <x:c r="N1283" s="2" t="n">
        <x:v>1</x:v>
      </x:c>
      <x:c r="O1283" s="2" t="str">
        <x:v>Accepted</x:v>
      </x:c>
      <x:c r="P1283" s="2" t="str">
        <x:v>S001</x:v>
      </x:c>
      <x:c r="Q1283" s="2" t="str">
        <x:v>DEV001</x:v>
      </x:c>
      <x:c r="R1283" s="2" t="n">
        <x:v>10</x:v>
      </x:c>
      <x:c r="S1283" s="2" t="str">
        <x:v>Online</x:v>
      </x:c>
      <x:c r="T1283" s="2" t="str">
        <x:v>Synced</x:v>
      </x:c>
    </x:row>
    <x:row r="1284" ht="21" customHeight="1">
      <x:c r="A1284" s="2" t="str">
        <x:v>EV001233</x:v>
      </x:c>
      <x:c r="B1284" s="2" t="str">
        <x:v>T20261006-3-2</x:v>
      </x:c>
      <x:c r="C1284" s="2" t="str">
        <x:v>ST060</x:v>
      </x:c>
      <x:c r="D1284" s="2" t="str">
        <x:v>a424ea3d9a5cb1c08037457e61cef61f</x:v>
      </x:c>
      <x:c r="E1284" s="2" t="str">
        <x:v>CHECK_IN</x:v>
      </x:c>
      <x:c r="F1284" s="8" t="n">
        <x:v>46301.57322916667</x:v>
      </x:c>
      <x:c r="G1284" s="8" t="n">
        <x:v>46301.57325231482</x:v>
      </x:c>
      <x:c r="H1284" s="2" t="str">
        <x:v>SCH01</x:v>
      </x:c>
      <x:c r="I1284" s="9" t="n">
        <x:v>25.285</x:v>
      </x:c>
      <x:c r="J1284" s="9" t="n">
        <x:v>51.51</x:v>
      </x:c>
      <x:c r="K1284" s="2" t="n">
        <x:v>8</x:v>
      </x:c>
      <x:c r="L1284" s="2" t="str">
        <x:v>Valid</x:v>
      </x:c>
      <x:c r="M1284" s="2" t="str">
        <x:v>QR</x:v>
      </x:c>
      <x:c r="N1284" s="2" t="n">
        <x:v>1</x:v>
      </x:c>
      <x:c r="O1284" s="2" t="str">
        <x:v>Accepted</x:v>
      </x:c>
      <x:c r="P1284" s="2" t="str">
        <x:v>S002</x:v>
      </x:c>
      <x:c r="Q1284" s="2" t="str">
        <x:v>DEV002</x:v>
      </x:c>
      <x:c r="R1284" s="2" t="n">
        <x:v>10</x:v>
      </x:c>
      <x:c r="S1284" s="2" t="str">
        <x:v>Online</x:v>
      </x:c>
      <x:c r="T1284" s="2" t="str">
        <x:v>Synced</x:v>
      </x:c>
    </x:row>
    <x:row r="1285" ht="21" customHeight="1">
      <x:c r="A1285" s="2" t="str">
        <x:v>EV001393</x:v>
      </x:c>
      <x:c r="B1285" s="2" t="str">
        <x:v>T20261006-3-3</x:v>
      </x:c>
      <x:c r="C1285" s="2" t="str">
        <x:v>ST100</x:v>
      </x:c>
      <x:c r="D1285" s="2" t="str">
        <x:v>6ba3ddf298bc4515d195454c1e81d9d6</x:v>
      </x:c>
      <x:c r="E1285" s="2" t="str">
        <x:v>CHECK_IN</x:v>
      </x:c>
      <x:c r="F1285" s="8" t="n">
        <x:v>46301.57322916667</x:v>
      </x:c>
      <x:c r="G1285" s="8" t="n">
        <x:v>46301.57325231482</x:v>
      </x:c>
      <x:c r="H1285" s="2" t="str">
        <x:v>SCH01</x:v>
      </x:c>
      <x:c r="I1285" s="9" t="n">
        <x:v>25.285</x:v>
      </x:c>
      <x:c r="J1285" s="9" t="n">
        <x:v>51.51</x:v>
      </x:c>
      <x:c r="K1285" s="2" t="n">
        <x:v>8</x:v>
      </x:c>
      <x:c r="L1285" s="2" t="str">
        <x:v>Valid</x:v>
      </x:c>
      <x:c r="M1285" s="2" t="str">
        <x:v>QR</x:v>
      </x:c>
      <x:c r="N1285" s="2" t="n">
        <x:v>1</x:v>
      </x:c>
      <x:c r="O1285" s="2" t="str">
        <x:v>Accepted</x:v>
      </x:c>
      <x:c r="P1285" s="2" t="str">
        <x:v>S003</x:v>
      </x:c>
      <x:c r="Q1285" s="2" t="str">
        <x:v>DEV003</x:v>
      </x:c>
      <x:c r="R1285" s="2" t="n">
        <x:v>10</x:v>
      </x:c>
      <x:c r="S1285" s="2" t="str">
        <x:v>Online</x:v>
      </x:c>
      <x:c r="T1285" s="2" t="str">
        <x:v>Synced</x:v>
      </x:c>
    </x:row>
    <x:row r="1286" ht="21" customHeight="1">
      <x:c r="A1286" s="2" t="str">
        <x:v>EV001060</x:v>
      </x:c>
      <x:c r="B1286" s="2" t="str">
        <x:v>T20261006-3-1</x:v>
      </x:c>
      <x:c r="C1286" s="2" t="str">
        <x:v>ST013</x:v>
      </x:c>
      <x:c r="D1286" s="2" t="str">
        <x:v>ddc4bbe364f02f5a2177795c49ea7ba9</x:v>
      </x:c>
      <x:c r="E1286" s="2" t="str">
        <x:v>CHECK_OUT</x:v>
      </x:c>
      <x:c r="F1286" s="8" t="n">
        <x:v>46301.58618055556</x:v>
      </x:c>
      <x:c r="G1286" s="8" t="n">
        <x:v>46301.58620370371</x:v>
      </x:c>
      <x:c r="H1286" s="2" t="str">
        <x:v>R1S1</x:v>
      </x:c>
      <x:c r="I1286" s="9" t="n">
        <x:v>25.271</x:v>
      </x:c>
      <x:c r="J1286" s="9" t="n">
        <x:v>51.491</x:v>
      </x:c>
      <x:c r="K1286" s="2" t="n">
        <x:v>8</x:v>
      </x:c>
      <x:c r="L1286" s="2" t="str">
        <x:v>Valid</x:v>
      </x:c>
      <x:c r="M1286" s="2" t="str">
        <x:v>QR</x:v>
      </x:c>
      <x:c r="N1286" s="2" t="n">
        <x:v>1</x:v>
      </x:c>
      <x:c r="O1286" s="2" t="str">
        <x:v>Accepted</x:v>
      </x:c>
      <x:c r="P1286" s="2" t="str">
        <x:v>S001</x:v>
      </x:c>
      <x:c r="Q1286" s="2" t="str">
        <x:v>DEV001</x:v>
      </x:c>
      <x:c r="R1286" s="2" t="n">
        <x:v>11</x:v>
      </x:c>
      <x:c r="S1286" s="2" t="str">
        <x:v>Online</x:v>
      </x:c>
      <x:c r="T1286" s="2" t="str">
        <x:v>Synced</x:v>
      </x:c>
    </x:row>
    <x:row r="1287" ht="21" customHeight="1">
      <x:c r="A1287" s="2" t="str">
        <x:v>EV001220</x:v>
      </x:c>
      <x:c r="B1287" s="2" t="str">
        <x:v>T20261006-3-2</x:v>
      </x:c>
      <x:c r="C1287" s="2" t="str">
        <x:v>ST053</x:v>
      </x:c>
      <x:c r="D1287" s="2" t="str">
        <x:v>e476277c519e294480cfa14a37e177a0</x:v>
      </x:c>
      <x:c r="E1287" s="2" t="str">
        <x:v>CHECK_OUT</x:v>
      </x:c>
      <x:c r="F1287" s="8" t="n">
        <x:v>46301.58618055556</x:v>
      </x:c>
      <x:c r="G1287" s="8" t="n">
        <x:v>46301.58620370371</x:v>
      </x:c>
      <x:c r="H1287" s="2" t="str">
        <x:v>R2S1</x:v>
      </x:c>
      <x:c r="I1287" s="9" t="n">
        <x:v>25.28</x:v>
      </x:c>
      <x:c r="J1287" s="9" t="n">
        <x:v>51.498999999999995</x:v>
      </x:c>
      <x:c r="K1287" s="2" t="n">
        <x:v>8</x:v>
      </x:c>
      <x:c r="L1287" s="2" t="str">
        <x:v>Valid</x:v>
      </x:c>
      <x:c r="M1287" s="2" t="str">
        <x:v>QR</x:v>
      </x:c>
      <x:c r="N1287" s="2" t="n">
        <x:v>1</x:v>
      </x:c>
      <x:c r="O1287" s="2" t="str">
        <x:v>Accepted</x:v>
      </x:c>
      <x:c r="P1287" s="2" t="str">
        <x:v>S002</x:v>
      </x:c>
      <x:c r="Q1287" s="2" t="str">
        <x:v>DEV002</x:v>
      </x:c>
      <x:c r="R1287" s="2" t="n">
        <x:v>11</x:v>
      </x:c>
      <x:c r="S1287" s="2" t="str">
        <x:v>Online</x:v>
      </x:c>
      <x:c r="T1287" s="2" t="str">
        <x:v>Synced</x:v>
      </x:c>
    </x:row>
    <x:row r="1288" ht="21" customHeight="1">
      <x:c r="A1288" s="2" t="str">
        <x:v>EV001380</x:v>
      </x:c>
      <x:c r="B1288" s="2" t="str">
        <x:v>T20261006-3-3</x:v>
      </x:c>
      <x:c r="C1288" s="2" t="str">
        <x:v>ST093</x:v>
      </x:c>
      <x:c r="D1288" s="2" t="str">
        <x:v>e69cdca4f10e82426e9a3098f4672791</x:v>
      </x:c>
      <x:c r="E1288" s="2" t="str">
        <x:v>CHECK_OUT</x:v>
      </x:c>
      <x:c r="F1288" s="8" t="n">
        <x:v>46301.58618055556</x:v>
      </x:c>
      <x:c r="G1288" s="8" t="n">
        <x:v>46301.58620370371</x:v>
      </x:c>
      <x:c r="H1288" s="2" t="str">
        <x:v>R3S1</x:v>
      </x:c>
      <x:c r="I1288" s="9" t="n">
        <x:v>25.289</x:v>
      </x:c>
      <x:c r="J1288" s="9" t="n">
        <x:v>51.507</x:v>
      </x:c>
      <x:c r="K1288" s="2" t="n">
        <x:v>8</x:v>
      </x:c>
      <x:c r="L1288" s="2" t="str">
        <x:v>Valid</x:v>
      </x:c>
      <x:c r="M1288" s="2" t="str">
        <x:v>QR</x:v>
      </x:c>
      <x:c r="N1288" s="2" t="n">
        <x:v>1</x:v>
      </x:c>
      <x:c r="O1288" s="2" t="str">
        <x:v>Accepted</x:v>
      </x:c>
      <x:c r="P1288" s="2" t="str">
        <x:v>S003</x:v>
      </x:c>
      <x:c r="Q1288" s="2" t="str">
        <x:v>DEV003</x:v>
      </x:c>
      <x:c r="R1288" s="2" t="n">
        <x:v>11</x:v>
      </x:c>
      <x:c r="S1288" s="2" t="str">
        <x:v>Online</x:v>
      </x:c>
      <x:c r="T1288" s="2" t="str">
        <x:v>Synced</x:v>
      </x:c>
    </x:row>
    <x:row r="1289" ht="21" customHeight="1">
      <x:c r="A1289" s="2" t="str">
        <x:v>EV001066</x:v>
      </x:c>
      <x:c r="B1289" s="2" t="str">
        <x:v>T20261006-3-1</x:v>
      </x:c>
      <x:c r="C1289" s="2" t="str">
        <x:v>ST016</x:v>
      </x:c>
      <x:c r="D1289" s="2" t="str">
        <x:v>5227a65bcc4ea356d570fe16b2970ea5</x:v>
      </x:c>
      <x:c r="E1289" s="2" t="str">
        <x:v>CHECK_OUT</x:v>
      </x:c>
      <x:c r="F1289" s="8" t="n">
        <x:v>46301.58628472222</x:v>
      </x:c>
      <x:c r="G1289" s="8" t="n">
        <x:v>46301.58630787037</x:v>
      </x:c>
      <x:c r="H1289" s="2" t="str">
        <x:v>R1S1</x:v>
      </x:c>
      <x:c r="I1289" s="9" t="n">
        <x:v>25.271</x:v>
      </x:c>
      <x:c r="J1289" s="9" t="n">
        <x:v>51.491</x:v>
      </x:c>
      <x:c r="K1289" s="2" t="n">
        <x:v>8</x:v>
      </x:c>
      <x:c r="L1289" s="2" t="str">
        <x:v>Valid</x:v>
      </x:c>
      <x:c r="M1289" s="2" t="str">
        <x:v>QR</x:v>
      </x:c>
      <x:c r="N1289" s="2" t="n">
        <x:v>1</x:v>
      </x:c>
      <x:c r="O1289" s="2" t="str">
        <x:v>Accepted</x:v>
      </x:c>
      <x:c r="P1289" s="2" t="str">
        <x:v>S001</x:v>
      </x:c>
      <x:c r="Q1289" s="2" t="str">
        <x:v>DEV001</x:v>
      </x:c>
      <x:c r="R1289" s="2" t="n">
        <x:v>12</x:v>
      </x:c>
      <x:c r="S1289" s="2" t="str">
        <x:v>Online</x:v>
      </x:c>
      <x:c r="T1289" s="2" t="str">
        <x:v>Synced</x:v>
      </x:c>
    </x:row>
    <x:row r="1290" ht="21" customHeight="1">
      <x:c r="A1290" s="2" t="str">
        <x:v>EV001226</x:v>
      </x:c>
      <x:c r="B1290" s="2" t="str">
        <x:v>T20261006-3-2</x:v>
      </x:c>
      <x:c r="C1290" s="2" t="str">
        <x:v>ST056</x:v>
      </x:c>
      <x:c r="D1290" s="2" t="str">
        <x:v>245ed370430be1001f6d7d13404dd8b1</x:v>
      </x:c>
      <x:c r="E1290" s="2" t="str">
        <x:v>CHECK_OUT</x:v>
      </x:c>
      <x:c r="F1290" s="8" t="n">
        <x:v>46301.58628472222</x:v>
      </x:c>
      <x:c r="G1290" s="8" t="n">
        <x:v>46301.58630787037</x:v>
      </x:c>
      <x:c r="H1290" s="2" t="str">
        <x:v>R2S1</x:v>
      </x:c>
      <x:c r="I1290" s="9" t="n">
        <x:v>25.28</x:v>
      </x:c>
      <x:c r="J1290" s="9" t="n">
        <x:v>51.498999999999995</x:v>
      </x:c>
      <x:c r="K1290" s="2" t="n">
        <x:v>8</x:v>
      </x:c>
      <x:c r="L1290" s="2" t="str">
        <x:v>Valid</x:v>
      </x:c>
      <x:c r="M1290" s="2" t="str">
        <x:v>QR</x:v>
      </x:c>
      <x:c r="N1290" s="2" t="n">
        <x:v>1</x:v>
      </x:c>
      <x:c r="O1290" s="2" t="str">
        <x:v>Accepted</x:v>
      </x:c>
      <x:c r="P1290" s="2" t="str">
        <x:v>S002</x:v>
      </x:c>
      <x:c r="Q1290" s="2" t="str">
        <x:v>DEV002</x:v>
      </x:c>
      <x:c r="R1290" s="2" t="n">
        <x:v>12</x:v>
      </x:c>
      <x:c r="S1290" s="2" t="str">
        <x:v>Online</x:v>
      </x:c>
      <x:c r="T1290" s="2" t="str">
        <x:v>Synced</x:v>
      </x:c>
    </x:row>
    <x:row r="1291" ht="21" customHeight="1">
      <x:c r="A1291" s="2" t="str">
        <x:v>EV001386</x:v>
      </x:c>
      <x:c r="B1291" s="2" t="str">
        <x:v>T20261006-3-3</x:v>
      </x:c>
      <x:c r="C1291" s="2" t="str">
        <x:v>ST096</x:v>
      </x:c>
      <x:c r="D1291" s="2" t="str">
        <x:v>46905fa8ca039f79eec63d82a6ea3c69</x:v>
      </x:c>
      <x:c r="E1291" s="2" t="str">
        <x:v>CHECK_OUT</x:v>
      </x:c>
      <x:c r="F1291" s="8" t="n">
        <x:v>46301.58628472222</x:v>
      </x:c>
      <x:c r="G1291" s="8" t="n">
        <x:v>46301.58630787037</x:v>
      </x:c>
      <x:c r="H1291" s="2" t="str">
        <x:v>R3S1</x:v>
      </x:c>
      <x:c r="I1291" s="9" t="n">
        <x:v>25.289</x:v>
      </x:c>
      <x:c r="J1291" s="9" t="n">
        <x:v>51.507</x:v>
      </x:c>
      <x:c r="K1291" s="2" t="n">
        <x:v>8</x:v>
      </x:c>
      <x:c r="L1291" s="2" t="str">
        <x:v>Valid</x:v>
      </x:c>
      <x:c r="M1291" s="2" t="str">
        <x:v>QR</x:v>
      </x:c>
      <x:c r="N1291" s="2" t="n">
        <x:v>1</x:v>
      </x:c>
      <x:c r="O1291" s="2" t="str">
        <x:v>Accepted</x:v>
      </x:c>
      <x:c r="P1291" s="2" t="str">
        <x:v>S003</x:v>
      </x:c>
      <x:c r="Q1291" s="2" t="str">
        <x:v>DEV003</x:v>
      </x:c>
      <x:c r="R1291" s="2" t="n">
        <x:v>12</x:v>
      </x:c>
      <x:c r="S1291" s="2" t="str">
        <x:v>Online</x:v>
      </x:c>
      <x:c r="T1291" s="2" t="str">
        <x:v>Synced</x:v>
      </x:c>
    </x:row>
    <x:row r="1292" ht="21" customHeight="1">
      <x:c r="A1292" s="2" t="str">
        <x:v>EV001072</x:v>
      </x:c>
      <x:c r="B1292" s="2" t="str">
        <x:v>T20261006-3-1</x:v>
      </x:c>
      <x:c r="C1292" s="2" t="str">
        <x:v>ST019</x:v>
      </x:c>
      <x:c r="D1292" s="2" t="str">
        <x:v>b83400b1b6dcfb0f7cb413571cb76f8f</x:v>
      </x:c>
      <x:c r="E1292" s="2" t="str">
        <x:v>CHECK_OUT</x:v>
      </x:c>
      <x:c r="F1292" s="8" t="n">
        <x:v>46301.58638888889</x:v>
      </x:c>
      <x:c r="G1292" s="8" t="n">
        <x:v>46301.58641203704</x:v>
      </x:c>
      <x:c r="H1292" s="2" t="str">
        <x:v>R1S1</x:v>
      </x:c>
      <x:c r="I1292" s="9" t="n">
        <x:v>25.271</x:v>
      </x:c>
      <x:c r="J1292" s="9" t="n">
        <x:v>51.491</x:v>
      </x:c>
      <x:c r="K1292" s="2" t="n">
        <x:v>8</x:v>
      </x:c>
      <x:c r="L1292" s="2" t="str">
        <x:v>Valid</x:v>
      </x:c>
      <x:c r="M1292" s="2" t="str">
        <x:v>QR</x:v>
      </x:c>
      <x:c r="N1292" s="2" t="n">
        <x:v>1</x:v>
      </x:c>
      <x:c r="O1292" s="2" t="str">
        <x:v>Accepted</x:v>
      </x:c>
      <x:c r="P1292" s="2" t="str">
        <x:v>S001</x:v>
      </x:c>
      <x:c r="Q1292" s="2" t="str">
        <x:v>DEV001</x:v>
      </x:c>
      <x:c r="R1292" s="2" t="n">
        <x:v>13</x:v>
      </x:c>
      <x:c r="S1292" s="2" t="str">
        <x:v>Online</x:v>
      </x:c>
      <x:c r="T1292" s="2" t="str">
        <x:v>Synced</x:v>
      </x:c>
    </x:row>
    <x:row r="1293" ht="21" customHeight="1">
      <x:c r="A1293" s="2" t="str">
        <x:v>EV001232</x:v>
      </x:c>
      <x:c r="B1293" s="2" t="str">
        <x:v>T20261006-3-2</x:v>
      </x:c>
      <x:c r="C1293" s="2" t="str">
        <x:v>ST059</x:v>
      </x:c>
      <x:c r="D1293" s="2" t="str">
        <x:v>08b31edc14b3a345822a41d6515bfcba</x:v>
      </x:c>
      <x:c r="E1293" s="2" t="str">
        <x:v>CHECK_OUT</x:v>
      </x:c>
      <x:c r="F1293" s="8" t="n">
        <x:v>46301.58638888889</x:v>
      </x:c>
      <x:c r="G1293" s="8" t="n">
        <x:v>46301.58641203704</x:v>
      </x:c>
      <x:c r="H1293" s="2" t="str">
        <x:v>R2S1</x:v>
      </x:c>
      <x:c r="I1293" s="9" t="n">
        <x:v>25.28</x:v>
      </x:c>
      <x:c r="J1293" s="9" t="n">
        <x:v>51.498999999999995</x:v>
      </x:c>
      <x:c r="K1293" s="2" t="n">
        <x:v>8</x:v>
      </x:c>
      <x:c r="L1293" s="2" t="str">
        <x:v>Valid</x:v>
      </x:c>
      <x:c r="M1293" s="2" t="str">
        <x:v>QR</x:v>
      </x:c>
      <x:c r="N1293" s="2" t="n">
        <x:v>1</x:v>
      </x:c>
      <x:c r="O1293" s="2" t="str">
        <x:v>Accepted</x:v>
      </x:c>
      <x:c r="P1293" s="2" t="str">
        <x:v>S002</x:v>
      </x:c>
      <x:c r="Q1293" s="2" t="str">
        <x:v>DEV002</x:v>
      </x:c>
      <x:c r="R1293" s="2" t="n">
        <x:v>13</x:v>
      </x:c>
      <x:c r="S1293" s="2" t="str">
        <x:v>Online</x:v>
      </x:c>
      <x:c r="T1293" s="2" t="str">
        <x:v>Synced</x:v>
      </x:c>
    </x:row>
    <x:row r="1294" ht="21" customHeight="1">
      <x:c r="A1294" s="2" t="str">
        <x:v>EV001392</x:v>
      </x:c>
      <x:c r="B1294" s="2" t="str">
        <x:v>T20261006-3-3</x:v>
      </x:c>
      <x:c r="C1294" s="2" t="str">
        <x:v>ST099</x:v>
      </x:c>
      <x:c r="D1294" s="2" t="str">
        <x:v>46d20c66394c55b68e36e5335452d87c</x:v>
      </x:c>
      <x:c r="E1294" s="2" t="str">
        <x:v>CHECK_OUT</x:v>
      </x:c>
      <x:c r="F1294" s="8" t="n">
        <x:v>46301.58638888889</x:v>
      </x:c>
      <x:c r="G1294" s="8" t="n">
        <x:v>46301.58641203704</x:v>
      </x:c>
      <x:c r="H1294" s="2" t="str">
        <x:v>R3S1</x:v>
      </x:c>
      <x:c r="I1294" s="9" t="n">
        <x:v>25.289</x:v>
      </x:c>
      <x:c r="J1294" s="9" t="n">
        <x:v>51.507</x:v>
      </x:c>
      <x:c r="K1294" s="2" t="n">
        <x:v>8</x:v>
      </x:c>
      <x:c r="L1294" s="2" t="str">
        <x:v>Valid</x:v>
      </x:c>
      <x:c r="M1294" s="2" t="str">
        <x:v>QR</x:v>
      </x:c>
      <x:c r="N1294" s="2" t="n">
        <x:v>1</x:v>
      </x:c>
      <x:c r="O1294" s="2" t="str">
        <x:v>Accepted</x:v>
      </x:c>
      <x:c r="P1294" s="2" t="str">
        <x:v>S003</x:v>
      </x:c>
      <x:c r="Q1294" s="2" t="str">
        <x:v>DEV003</x:v>
      </x:c>
      <x:c r="R1294" s="2" t="n">
        <x:v>13</x:v>
      </x:c>
      <x:c r="S1294" s="2" t="str">
        <x:v>Online</x:v>
      </x:c>
      <x:c r="T1294" s="2" t="str">
        <x:v>Synced</x:v>
      </x:c>
    </x:row>
    <x:row r="1295" ht="21" customHeight="1">
      <x:c r="A1295" s="2" t="str">
        <x:v>EV001056</x:v>
      </x:c>
      <x:c r="B1295" s="2" t="str">
        <x:v>T20261006-3-1</x:v>
      </x:c>
      <x:c r="C1295" s="2" t="str">
        <x:v>ST011</x:v>
      </x:c>
      <x:c r="D1295" s="2" t="str">
        <x:v>38c917effc7ec45ac750455eb7892f3e</x:v>
      </x:c>
      <x:c r="E1295" s="2" t="str">
        <x:v>CHECK_OUT</x:v>
      </x:c>
      <x:c r="F1295" s="8" t="n">
        <x:v>46301.59027777778</x:v>
      </x:c>
      <x:c r="G1295" s="8" t="n">
        <x:v>46301.59030092593</x:v>
      </x:c>
      <x:c r="H1295" s="2" t="str">
        <x:v>R1S2</x:v>
      </x:c>
      <x:c r="I1295" s="9" t="n">
        <x:v>25.273000000000003</x:v>
      </x:c>
      <x:c r="J1295" s="9" t="n">
        <x:v>51.494</x:v>
      </x:c>
      <x:c r="K1295" s="2" t="n">
        <x:v>8</x:v>
      </x:c>
      <x:c r="L1295" s="2" t="str">
        <x:v>Valid</x:v>
      </x:c>
      <x:c r="M1295" s="2" t="str">
        <x:v>QR</x:v>
      </x:c>
      <x:c r="N1295" s="2" t="n">
        <x:v>1</x:v>
      </x:c>
      <x:c r="O1295" s="2" t="str">
        <x:v>Accepted</x:v>
      </x:c>
      <x:c r="P1295" s="2" t="str">
        <x:v>S001</x:v>
      </x:c>
      <x:c r="Q1295" s="2" t="str">
        <x:v>DEV001</x:v>
      </x:c>
      <x:c r="R1295" s="2" t="n">
        <x:v>14</x:v>
      </x:c>
      <x:c r="S1295" s="2" t="str">
        <x:v>Online</x:v>
      </x:c>
      <x:c r="T1295" s="2" t="str">
        <x:v>Synced</x:v>
      </x:c>
    </x:row>
    <x:row r="1296" ht="21" customHeight="1">
      <x:c r="A1296" s="2" t="str">
        <x:v>EV001216</x:v>
      </x:c>
      <x:c r="B1296" s="2" t="str">
        <x:v>T20261006-3-2</x:v>
      </x:c>
      <x:c r="C1296" s="2" t="str">
        <x:v>ST051</x:v>
      </x:c>
      <x:c r="D1296" s="2" t="str">
        <x:v>410a66d29aea7be5806f7d6945266303</x:v>
      </x:c>
      <x:c r="E1296" s="2" t="str">
        <x:v>CHECK_OUT</x:v>
      </x:c>
      <x:c r="F1296" s="8" t="n">
        <x:v>46301.59027777778</x:v>
      </x:c>
      <x:c r="G1296" s="8" t="n">
        <x:v>46301.59030092593</x:v>
      </x:c>
      <x:c r="H1296" s="2" t="str">
        <x:v>R2S2</x:v>
      </x:c>
      <x:c r="I1296" s="9" t="n">
        <x:v>25.282000000000004</x:v>
      </x:c>
      <x:c r="J1296" s="9" t="n">
        <x:v>51.501999999999995</x:v>
      </x:c>
      <x:c r="K1296" s="2" t="n">
        <x:v>8</x:v>
      </x:c>
      <x:c r="L1296" s="2" t="str">
        <x:v>Valid</x:v>
      </x:c>
      <x:c r="M1296" s="2" t="str">
        <x:v>QR</x:v>
      </x:c>
      <x:c r="N1296" s="2" t="n">
        <x:v>1</x:v>
      </x:c>
      <x:c r="O1296" s="2" t="str">
        <x:v>Accepted</x:v>
      </x:c>
      <x:c r="P1296" s="2" t="str">
        <x:v>S002</x:v>
      </x:c>
      <x:c r="Q1296" s="2" t="str">
        <x:v>DEV002</x:v>
      </x:c>
      <x:c r="R1296" s="2" t="n">
        <x:v>14</x:v>
      </x:c>
      <x:c r="S1296" s="2" t="str">
        <x:v>Online</x:v>
      </x:c>
      <x:c r="T1296" s="2" t="str">
        <x:v>Synced</x:v>
      </x:c>
    </x:row>
    <x:row r="1297" ht="21" customHeight="1">
      <x:c r="A1297" s="2" t="str">
        <x:v>EV001376</x:v>
      </x:c>
      <x:c r="B1297" s="2" t="str">
        <x:v>T20261006-3-3</x:v>
      </x:c>
      <x:c r="C1297" s="2" t="str">
        <x:v>ST091</x:v>
      </x:c>
      <x:c r="D1297" s="2" t="str">
        <x:v>2d74afc7329a1eb53bd16a92fc366891</x:v>
      </x:c>
      <x:c r="E1297" s="2" t="str">
        <x:v>CHECK_OUT</x:v>
      </x:c>
      <x:c r="F1297" s="8" t="n">
        <x:v>46301.59027777778</x:v>
      </x:c>
      <x:c r="G1297" s="8" t="n">
        <x:v>46301.59030092593</x:v>
      </x:c>
      <x:c r="H1297" s="2" t="str">
        <x:v>R3S2</x:v>
      </x:c>
      <x:c r="I1297" s="9" t="n">
        <x:v>25.291000000000004</x:v>
      </x:c>
      <x:c r="J1297" s="9" t="n">
        <x:v>51.51</x:v>
      </x:c>
      <x:c r="K1297" s="2" t="n">
        <x:v>8</x:v>
      </x:c>
      <x:c r="L1297" s="2" t="str">
        <x:v>Valid</x:v>
      </x:c>
      <x:c r="M1297" s="2" t="str">
        <x:v>QR</x:v>
      </x:c>
      <x:c r="N1297" s="2" t="n">
        <x:v>1</x:v>
      </x:c>
      <x:c r="O1297" s="2" t="str">
        <x:v>Accepted</x:v>
      </x:c>
      <x:c r="P1297" s="2" t="str">
        <x:v>S003</x:v>
      </x:c>
      <x:c r="Q1297" s="2" t="str">
        <x:v>DEV003</x:v>
      </x:c>
      <x:c r="R1297" s="2" t="n">
        <x:v>14</x:v>
      </x:c>
      <x:c r="S1297" s="2" t="str">
        <x:v>Online</x:v>
      </x:c>
      <x:c r="T1297" s="2" t="str">
        <x:v>Synced</x:v>
      </x:c>
    </x:row>
    <x:row r="1298" ht="21" customHeight="1">
      <x:c r="A1298" s="2" t="str">
        <x:v>EV001062</x:v>
      </x:c>
      <x:c r="B1298" s="2" t="str">
        <x:v>T20261006-3-1</x:v>
      </x:c>
      <x:c r="C1298" s="2" t="str">
        <x:v>ST014</x:v>
      </x:c>
      <x:c r="D1298" s="2" t="str">
        <x:v>6ea4b25306143e251962ae19fa8ee7af</x:v>
      </x:c>
      <x:c r="E1298" s="2" t="str">
        <x:v>CHECK_OUT</x:v>
      </x:c>
      <x:c r="F1298" s="8" t="n">
        <x:v>46301.59038194445</x:v>
      </x:c>
      <x:c r="G1298" s="8" t="n">
        <x:v>46301.5904050926</x:v>
      </x:c>
      <x:c r="H1298" s="2" t="str">
        <x:v>R1S2</x:v>
      </x:c>
      <x:c r="I1298" s="9" t="n">
        <x:v>25.273000000000003</x:v>
      </x:c>
      <x:c r="J1298" s="9" t="n">
        <x:v>51.494</x:v>
      </x:c>
      <x:c r="K1298" s="2" t="n">
        <x:v>8</x:v>
      </x:c>
      <x:c r="L1298" s="2" t="str">
        <x:v>Valid</x:v>
      </x:c>
      <x:c r="M1298" s="2" t="str">
        <x:v>QR</x:v>
      </x:c>
      <x:c r="N1298" s="2" t="n">
        <x:v>1</x:v>
      </x:c>
      <x:c r="O1298" s="2" t="str">
        <x:v>Accepted</x:v>
      </x:c>
      <x:c r="P1298" s="2" t="str">
        <x:v>S001</x:v>
      </x:c>
      <x:c r="Q1298" s="2" t="str">
        <x:v>DEV001</x:v>
      </x:c>
      <x:c r="R1298" s="2" t="n">
        <x:v>15</x:v>
      </x:c>
      <x:c r="S1298" s="2" t="str">
        <x:v>Online</x:v>
      </x:c>
      <x:c r="T1298" s="2" t="str">
        <x:v>Synced</x:v>
      </x:c>
    </x:row>
    <x:row r="1299" ht="21" customHeight="1">
      <x:c r="A1299" s="2" t="str">
        <x:v>EV001222</x:v>
      </x:c>
      <x:c r="B1299" s="2" t="str">
        <x:v>T20261006-3-2</x:v>
      </x:c>
      <x:c r="C1299" s="2" t="str">
        <x:v>ST054</x:v>
      </x:c>
      <x:c r="D1299" s="2" t="str">
        <x:v>1c9a916db52e081aeb59bc928cb914dd</x:v>
      </x:c>
      <x:c r="E1299" s="2" t="str">
        <x:v>CHECK_OUT</x:v>
      </x:c>
      <x:c r="F1299" s="8" t="n">
        <x:v>46301.59038194445</x:v>
      </x:c>
      <x:c r="G1299" s="8" t="n">
        <x:v>46301.5904050926</x:v>
      </x:c>
      <x:c r="H1299" s="2" t="str">
        <x:v>R2S2</x:v>
      </x:c>
      <x:c r="I1299" s="9" t="n">
        <x:v>25.282000000000004</x:v>
      </x:c>
      <x:c r="J1299" s="9" t="n">
        <x:v>51.501999999999995</x:v>
      </x:c>
      <x:c r="K1299" s="2" t="n">
        <x:v>8</x:v>
      </x:c>
      <x:c r="L1299" s="2" t="str">
        <x:v>Valid</x:v>
      </x:c>
      <x:c r="M1299" s="2" t="str">
        <x:v>QR</x:v>
      </x:c>
      <x:c r="N1299" s="2" t="n">
        <x:v>1</x:v>
      </x:c>
      <x:c r="O1299" s="2" t="str">
        <x:v>Accepted</x:v>
      </x:c>
      <x:c r="P1299" s="2" t="str">
        <x:v>S002</x:v>
      </x:c>
      <x:c r="Q1299" s="2" t="str">
        <x:v>DEV002</x:v>
      </x:c>
      <x:c r="R1299" s="2" t="n">
        <x:v>15</x:v>
      </x:c>
      <x:c r="S1299" s="2" t="str">
        <x:v>Online</x:v>
      </x:c>
      <x:c r="T1299" s="2" t="str">
        <x:v>Synced</x:v>
      </x:c>
    </x:row>
    <x:row r="1300" ht="21" customHeight="1">
      <x:c r="A1300" s="2" t="str">
        <x:v>EV001382</x:v>
      </x:c>
      <x:c r="B1300" s="2" t="str">
        <x:v>T20261006-3-3</x:v>
      </x:c>
      <x:c r="C1300" s="2" t="str">
        <x:v>ST094</x:v>
      </x:c>
      <x:c r="D1300" s="2" t="str">
        <x:v>b6fd37c188877a378c496dccb3132cf2</x:v>
      </x:c>
      <x:c r="E1300" s="2" t="str">
        <x:v>CHECK_OUT</x:v>
      </x:c>
      <x:c r="F1300" s="8" t="n">
        <x:v>46301.59038194445</x:v>
      </x:c>
      <x:c r="G1300" s="8" t="n">
        <x:v>46301.5904050926</x:v>
      </x:c>
      <x:c r="H1300" s="2" t="str">
        <x:v>R3S2</x:v>
      </x:c>
      <x:c r="I1300" s="9" t="n">
        <x:v>25.291000000000004</x:v>
      </x:c>
      <x:c r="J1300" s="9" t="n">
        <x:v>51.51</x:v>
      </x:c>
      <x:c r="K1300" s="2" t="n">
        <x:v>8</x:v>
      </x:c>
      <x:c r="L1300" s="2" t="str">
        <x:v>Valid</x:v>
      </x:c>
      <x:c r="M1300" s="2" t="str">
        <x:v>QR</x:v>
      </x:c>
      <x:c r="N1300" s="2" t="n">
        <x:v>1</x:v>
      </x:c>
      <x:c r="O1300" s="2" t="str">
        <x:v>Accepted</x:v>
      </x:c>
      <x:c r="P1300" s="2" t="str">
        <x:v>S003</x:v>
      </x:c>
      <x:c r="Q1300" s="2" t="str">
        <x:v>DEV003</x:v>
      </x:c>
      <x:c r="R1300" s="2" t="n">
        <x:v>15</x:v>
      </x:c>
      <x:c r="S1300" s="2" t="str">
        <x:v>Online</x:v>
      </x:c>
      <x:c r="T1300" s="2" t="str">
        <x:v>Synced</x:v>
      </x:c>
    </x:row>
    <x:row r="1301" ht="21" customHeight="1">
      <x:c r="A1301" s="2" t="str">
        <x:v>EV001068</x:v>
      </x:c>
      <x:c r="B1301" s="2" t="str">
        <x:v>T20261006-3-1</x:v>
      </x:c>
      <x:c r="C1301" s="2" t="str">
        <x:v>ST017</x:v>
      </x:c>
      <x:c r="D1301" s="2" t="str">
        <x:v>ea6159d457322f2456f4cadd6b3d659f</x:v>
      </x:c>
      <x:c r="E1301" s="2" t="str">
        <x:v>CHECK_OUT</x:v>
      </x:c>
      <x:c r="F1301" s="8" t="n">
        <x:v>46301.59048611111</x:v>
      </x:c>
      <x:c r="G1301" s="8" t="n">
        <x:v>46301.59050925926</x:v>
      </x:c>
      <x:c r="H1301" s="2" t="str">
        <x:v>R1S2</x:v>
      </x:c>
      <x:c r="I1301" s="9" t="n">
        <x:v>25.273000000000003</x:v>
      </x:c>
      <x:c r="J1301" s="9" t="n">
        <x:v>51.494</x:v>
      </x:c>
      <x:c r="K1301" s="2" t="n">
        <x:v>8</x:v>
      </x:c>
      <x:c r="L1301" s="2" t="str">
        <x:v>Valid</x:v>
      </x:c>
      <x:c r="M1301" s="2" t="str">
        <x:v>QR</x:v>
      </x:c>
      <x:c r="N1301" s="2" t="n">
        <x:v>1</x:v>
      </x:c>
      <x:c r="O1301" s="2" t="str">
        <x:v>Accepted</x:v>
      </x:c>
      <x:c r="P1301" s="2" t="str">
        <x:v>S001</x:v>
      </x:c>
      <x:c r="Q1301" s="2" t="str">
        <x:v>DEV001</x:v>
      </x:c>
      <x:c r="R1301" s="2" t="n">
        <x:v>16</x:v>
      </x:c>
      <x:c r="S1301" s="2" t="str">
        <x:v>Online</x:v>
      </x:c>
      <x:c r="T1301" s="2" t="str">
        <x:v>Synced</x:v>
      </x:c>
    </x:row>
    <x:row r="1302" ht="21" customHeight="1">
      <x:c r="A1302" s="2" t="str">
        <x:v>EV001228</x:v>
      </x:c>
      <x:c r="B1302" s="2" t="str">
        <x:v>T20261006-3-2</x:v>
      </x:c>
      <x:c r="C1302" s="2" t="str">
        <x:v>ST057</x:v>
      </x:c>
      <x:c r="D1302" s="2" t="str">
        <x:v>68d992c7418727808ad27d2e5ee9b88d</x:v>
      </x:c>
      <x:c r="E1302" s="2" t="str">
        <x:v>CHECK_OUT</x:v>
      </x:c>
      <x:c r="F1302" s="8" t="n">
        <x:v>46301.59048611111</x:v>
      </x:c>
      <x:c r="G1302" s="8" t="n">
        <x:v>46301.59050925926</x:v>
      </x:c>
      <x:c r="H1302" s="2" t="str">
        <x:v>R2S2</x:v>
      </x:c>
      <x:c r="I1302" s="9" t="n">
        <x:v>25.282000000000004</x:v>
      </x:c>
      <x:c r="J1302" s="9" t="n">
        <x:v>51.501999999999995</x:v>
      </x:c>
      <x:c r="K1302" s="2" t="n">
        <x:v>8</x:v>
      </x:c>
      <x:c r="L1302" s="2" t="str">
        <x:v>Valid</x:v>
      </x:c>
      <x:c r="M1302" s="2" t="str">
        <x:v>QR</x:v>
      </x:c>
      <x:c r="N1302" s="2" t="n">
        <x:v>1</x:v>
      </x:c>
      <x:c r="O1302" s="2" t="str">
        <x:v>Accepted</x:v>
      </x:c>
      <x:c r="P1302" s="2" t="str">
        <x:v>S002</x:v>
      </x:c>
      <x:c r="Q1302" s="2" t="str">
        <x:v>DEV002</x:v>
      </x:c>
      <x:c r="R1302" s="2" t="n">
        <x:v>16</x:v>
      </x:c>
      <x:c r="S1302" s="2" t="str">
        <x:v>Online</x:v>
      </x:c>
      <x:c r="T1302" s="2" t="str">
        <x:v>Synced</x:v>
      </x:c>
    </x:row>
    <x:row r="1303" ht="21" customHeight="1">
      <x:c r="A1303" s="2" t="str">
        <x:v>EV001388</x:v>
      </x:c>
      <x:c r="B1303" s="2" t="str">
        <x:v>T20261006-3-3</x:v>
      </x:c>
      <x:c r="C1303" s="2" t="str">
        <x:v>ST097</x:v>
      </x:c>
      <x:c r="D1303" s="2" t="str">
        <x:v>0ccbf8d08569df9dde2207b8d5616d1e</x:v>
      </x:c>
      <x:c r="E1303" s="2" t="str">
        <x:v>CHECK_OUT</x:v>
      </x:c>
      <x:c r="F1303" s="8" t="n">
        <x:v>46301.59048611111</x:v>
      </x:c>
      <x:c r="G1303" s="8" t="n">
        <x:v>46301.59050925926</x:v>
      </x:c>
      <x:c r="H1303" s="2" t="str">
        <x:v>R3S2</x:v>
      </x:c>
      <x:c r="I1303" s="9" t="n">
        <x:v>25.291000000000004</x:v>
      </x:c>
      <x:c r="J1303" s="9" t="n">
        <x:v>51.51</x:v>
      </x:c>
      <x:c r="K1303" s="2" t="n">
        <x:v>8</x:v>
      </x:c>
      <x:c r="L1303" s="2" t="str">
        <x:v>Valid</x:v>
      </x:c>
      <x:c r="M1303" s="2" t="str">
        <x:v>QR</x:v>
      </x:c>
      <x:c r="N1303" s="2" t="n">
        <x:v>1</x:v>
      </x:c>
      <x:c r="O1303" s="2" t="str">
        <x:v>Accepted</x:v>
      </x:c>
      <x:c r="P1303" s="2" t="str">
        <x:v>S003</x:v>
      </x:c>
      <x:c r="Q1303" s="2" t="str">
        <x:v>DEV003</x:v>
      </x:c>
      <x:c r="R1303" s="2" t="n">
        <x:v>16</x:v>
      </x:c>
      <x:c r="S1303" s="2" t="str">
        <x:v>Online</x:v>
      </x:c>
      <x:c r="T1303" s="2" t="str">
        <x:v>Synced</x:v>
      </x:c>
    </x:row>
    <x:row r="1304" ht="21" customHeight="1">
      <x:c r="A1304" s="2" t="str">
        <x:v>EV001074</x:v>
      </x:c>
      <x:c r="B1304" s="2" t="str">
        <x:v>T20261006-3-1</x:v>
      </x:c>
      <x:c r="C1304" s="2" t="str">
        <x:v>ST020</x:v>
      </x:c>
      <x:c r="D1304" s="2" t="str">
        <x:v>9f8daa9030f9f7599cd24e056935ab8d</x:v>
      </x:c>
      <x:c r="E1304" s="2" t="str">
        <x:v>CHECK_OUT</x:v>
      </x:c>
      <x:c r="F1304" s="8" t="n">
        <x:v>46301.59059027778</x:v>
      </x:c>
      <x:c r="G1304" s="8" t="n">
        <x:v>46301.59061342593</x:v>
      </x:c>
      <x:c r="H1304" s="2" t="str">
        <x:v>R1S2</x:v>
      </x:c>
      <x:c r="I1304" s="9" t="n">
        <x:v>25.273000000000003</x:v>
      </x:c>
      <x:c r="J1304" s="9" t="n">
        <x:v>51.494</x:v>
      </x:c>
      <x:c r="K1304" s="2" t="n">
        <x:v>8</x:v>
      </x:c>
      <x:c r="L1304" s="2" t="str">
        <x:v>Valid</x:v>
      </x:c>
      <x:c r="M1304" s="2" t="str">
        <x:v>QR</x:v>
      </x:c>
      <x:c r="N1304" s="2" t="n">
        <x:v>1</x:v>
      </x:c>
      <x:c r="O1304" s="2" t="str">
        <x:v>Accepted</x:v>
      </x:c>
      <x:c r="P1304" s="2" t="str">
        <x:v>S001</x:v>
      </x:c>
      <x:c r="Q1304" s="2" t="str">
        <x:v>DEV001</x:v>
      </x:c>
      <x:c r="R1304" s="2" t="n">
        <x:v>17</x:v>
      </x:c>
      <x:c r="S1304" s="2" t="str">
        <x:v>Online</x:v>
      </x:c>
      <x:c r="T1304" s="2" t="str">
        <x:v>Synced</x:v>
      </x:c>
    </x:row>
    <x:row r="1305" ht="21" customHeight="1">
      <x:c r="A1305" s="2" t="str">
        <x:v>EV001234</x:v>
      </x:c>
      <x:c r="B1305" s="2" t="str">
        <x:v>T20261006-3-2</x:v>
      </x:c>
      <x:c r="C1305" s="2" t="str">
        <x:v>ST060</x:v>
      </x:c>
      <x:c r="D1305" s="2" t="str">
        <x:v>a424ea3d9a5cb1c08037457e61cef61f</x:v>
      </x:c>
      <x:c r="E1305" s="2" t="str">
        <x:v>CHECK_OUT</x:v>
      </x:c>
      <x:c r="F1305" s="8" t="n">
        <x:v>46301.59059027778</x:v>
      </x:c>
      <x:c r="G1305" s="8" t="n">
        <x:v>46301.59061342593</x:v>
      </x:c>
      <x:c r="H1305" s="2" t="str">
        <x:v>R2S2</x:v>
      </x:c>
      <x:c r="I1305" s="9" t="n">
        <x:v>25.282000000000004</x:v>
      </x:c>
      <x:c r="J1305" s="9" t="n">
        <x:v>51.501999999999995</x:v>
      </x:c>
      <x:c r="K1305" s="2" t="n">
        <x:v>8</x:v>
      </x:c>
      <x:c r="L1305" s="2" t="str">
        <x:v>Valid</x:v>
      </x:c>
      <x:c r="M1305" s="2" t="str">
        <x:v>QR</x:v>
      </x:c>
      <x:c r="N1305" s="2" t="n">
        <x:v>1</x:v>
      </x:c>
      <x:c r="O1305" s="2" t="str">
        <x:v>Accepted</x:v>
      </x:c>
      <x:c r="P1305" s="2" t="str">
        <x:v>S002</x:v>
      </x:c>
      <x:c r="Q1305" s="2" t="str">
        <x:v>DEV002</x:v>
      </x:c>
      <x:c r="R1305" s="2" t="n">
        <x:v>17</x:v>
      </x:c>
      <x:c r="S1305" s="2" t="str">
        <x:v>Online</x:v>
      </x:c>
      <x:c r="T1305" s="2" t="str">
        <x:v>Synced</x:v>
      </x:c>
    </x:row>
    <x:row r="1306" ht="21" customHeight="1">
      <x:c r="A1306" s="2" t="str">
        <x:v>EV001394</x:v>
      </x:c>
      <x:c r="B1306" s="2" t="str">
        <x:v>T20261006-3-3</x:v>
      </x:c>
      <x:c r="C1306" s="2" t="str">
        <x:v>ST100</x:v>
      </x:c>
      <x:c r="D1306" s="2" t="str">
        <x:v>6ba3ddf298bc4515d195454c1e81d9d6</x:v>
      </x:c>
      <x:c r="E1306" s="2" t="str">
        <x:v>CHECK_OUT</x:v>
      </x:c>
      <x:c r="F1306" s="8" t="n">
        <x:v>46301.59059027778</x:v>
      </x:c>
      <x:c r="G1306" s="8" t="n">
        <x:v>46301.59061342593</x:v>
      </x:c>
      <x:c r="H1306" s="2" t="str">
        <x:v>R3S2</x:v>
      </x:c>
      <x:c r="I1306" s="9" t="n">
        <x:v>25.291000000000004</x:v>
      </x:c>
      <x:c r="J1306" s="9" t="n">
        <x:v>51.51</x:v>
      </x:c>
      <x:c r="K1306" s="2" t="n">
        <x:v>8</x:v>
      </x:c>
      <x:c r="L1306" s="2" t="str">
        <x:v>Valid</x:v>
      </x:c>
      <x:c r="M1306" s="2" t="str">
        <x:v>QR</x:v>
      </x:c>
      <x:c r="N1306" s="2" t="n">
        <x:v>1</x:v>
      </x:c>
      <x:c r="O1306" s="2" t="str">
        <x:v>Accepted</x:v>
      </x:c>
      <x:c r="P1306" s="2" t="str">
        <x:v>S003</x:v>
      </x:c>
      <x:c r="Q1306" s="2" t="str">
        <x:v>DEV003</x:v>
      </x:c>
      <x:c r="R1306" s="2" t="n">
        <x:v>17</x:v>
      </x:c>
      <x:c r="S1306" s="2" t="str">
        <x:v>Online</x:v>
      </x:c>
      <x:c r="T1306" s="2" t="str">
        <x:v>Synced</x:v>
      </x:c>
    </x:row>
    <x:row r="1307" ht="21" customHeight="1">
      <x:c r="A1307" s="2" t="str">
        <x:v>EV001058</x:v>
      </x:c>
      <x:c r="B1307" s="2" t="str">
        <x:v>T20261006-3-1</x:v>
      </x:c>
      <x:c r="C1307" s="2" t="str">
        <x:v>ST012</x:v>
      </x:c>
      <x:c r="D1307" s="2" t="str">
        <x:v>8d45a06a93234042b630e18d7821ea23</x:v>
      </x:c>
      <x:c r="E1307" s="2" t="str">
        <x:v>CHECK_OUT</x:v>
      </x:c>
      <x:c r="F1307" s="8" t="n">
        <x:v>46301.59447916667</x:v>
      </x:c>
      <x:c r="G1307" s="8" t="n">
        <x:v>46301.594502314816</x:v>
      </x:c>
      <x:c r="H1307" s="2" t="str">
        <x:v>R1S3</x:v>
      </x:c>
      <x:c r="I1307" s="9" t="n">
        <x:v>25.275000000000002</x:v>
      </x:c>
      <x:c r="J1307" s="9" t="n">
        <x:v>51.497</x:v>
      </x:c>
      <x:c r="K1307" s="2" t="n">
        <x:v>8</x:v>
      </x:c>
      <x:c r="L1307" s="2" t="str">
        <x:v>Valid</x:v>
      </x:c>
      <x:c r="M1307" s="2" t="str">
        <x:v>QR</x:v>
      </x:c>
      <x:c r="N1307" s="2" t="n">
        <x:v>1</x:v>
      </x:c>
      <x:c r="O1307" s="2" t="str">
        <x:v>Accepted</x:v>
      </x:c>
      <x:c r="P1307" s="2" t="str">
        <x:v>S001</x:v>
      </x:c>
      <x:c r="Q1307" s="2" t="str">
        <x:v>DEV001</x:v>
      </x:c>
      <x:c r="R1307" s="2" t="n">
        <x:v>18</x:v>
      </x:c>
      <x:c r="S1307" s="2" t="str">
        <x:v>Online</x:v>
      </x:c>
      <x:c r="T1307" s="2" t="str">
        <x:v>Synced</x:v>
      </x:c>
    </x:row>
    <x:row r="1308" ht="21" customHeight="1">
      <x:c r="A1308" s="2" t="str">
        <x:v>EV001218</x:v>
      </x:c>
      <x:c r="B1308" s="2" t="str">
        <x:v>T20261006-3-2</x:v>
      </x:c>
      <x:c r="C1308" s="2" t="str">
        <x:v>ST052</x:v>
      </x:c>
      <x:c r="D1308" s="2" t="str">
        <x:v>0c1c5957fe0604ae228ff5e1e1a785bc</x:v>
      </x:c>
      <x:c r="E1308" s="2" t="str">
        <x:v>CHECK_OUT</x:v>
      </x:c>
      <x:c r="F1308" s="8" t="n">
        <x:v>46301.59447916667</x:v>
      </x:c>
      <x:c r="G1308" s="8" t="n">
        <x:v>46301.594502314816</x:v>
      </x:c>
      <x:c r="H1308" s="2" t="str">
        <x:v>R2S3</x:v>
      </x:c>
      <x:c r="I1308" s="9" t="n">
        <x:v>25.284000000000002</x:v>
      </x:c>
      <x:c r="J1308" s="9" t="n">
        <x:v>51.504999999999995</x:v>
      </x:c>
      <x:c r="K1308" s="2" t="n">
        <x:v>8</x:v>
      </x:c>
      <x:c r="L1308" s="2" t="str">
        <x:v>Valid</x:v>
      </x:c>
      <x:c r="M1308" s="2" t="str">
        <x:v>QR</x:v>
      </x:c>
      <x:c r="N1308" s="2" t="n">
        <x:v>1</x:v>
      </x:c>
      <x:c r="O1308" s="2" t="str">
        <x:v>Accepted</x:v>
      </x:c>
      <x:c r="P1308" s="2" t="str">
        <x:v>S002</x:v>
      </x:c>
      <x:c r="Q1308" s="2" t="str">
        <x:v>DEV002</x:v>
      </x:c>
      <x:c r="R1308" s="2" t="n">
        <x:v>18</x:v>
      </x:c>
      <x:c r="S1308" s="2" t="str">
        <x:v>Online</x:v>
      </x:c>
      <x:c r="T1308" s="2" t="str">
        <x:v>Synced</x:v>
      </x:c>
    </x:row>
    <x:row r="1309" ht="21" customHeight="1">
      <x:c r="A1309" s="2" t="str">
        <x:v>EV001378</x:v>
      </x:c>
      <x:c r="B1309" s="2" t="str">
        <x:v>T20261006-3-3</x:v>
      </x:c>
      <x:c r="C1309" s="2" t="str">
        <x:v>ST092</x:v>
      </x:c>
      <x:c r="D1309" s="2" t="str">
        <x:v>e83e93b137787f284ae9574a02ff0cc7</x:v>
      </x:c>
      <x:c r="E1309" s="2" t="str">
        <x:v>CHECK_OUT</x:v>
      </x:c>
      <x:c r="F1309" s="8" t="n">
        <x:v>46301.59447916667</x:v>
      </x:c>
      <x:c r="G1309" s="8" t="n">
        <x:v>46301.594502314816</x:v>
      </x:c>
      <x:c r="H1309" s="2" t="str">
        <x:v>R3S3</x:v>
      </x:c>
      <x:c r="I1309" s="9" t="n">
        <x:v>25.293000000000003</x:v>
      </x:c>
      <x:c r="J1309" s="9" t="n">
        <x:v>51.513</x:v>
      </x:c>
      <x:c r="K1309" s="2" t="n">
        <x:v>8</x:v>
      </x:c>
      <x:c r="L1309" s="2" t="str">
        <x:v>Valid</x:v>
      </x:c>
      <x:c r="M1309" s="2" t="str">
        <x:v>QR</x:v>
      </x:c>
      <x:c r="N1309" s="2" t="n">
        <x:v>1</x:v>
      </x:c>
      <x:c r="O1309" s="2" t="str">
        <x:v>Accepted</x:v>
      </x:c>
      <x:c r="P1309" s="2" t="str">
        <x:v>S003</x:v>
      </x:c>
      <x:c r="Q1309" s="2" t="str">
        <x:v>DEV003</x:v>
      </x:c>
      <x:c r="R1309" s="2" t="n">
        <x:v>18</x:v>
      </x:c>
      <x:c r="S1309" s="2" t="str">
        <x:v>Online</x:v>
      </x:c>
      <x:c r="T1309" s="2" t="str">
        <x:v>Synced</x:v>
      </x:c>
    </x:row>
    <x:row r="1310" ht="21" customHeight="1">
      <x:c r="A1310" s="2" t="str">
        <x:v>EV001064</x:v>
      </x:c>
      <x:c r="B1310" s="2" t="str">
        <x:v>T20261006-3-1</x:v>
      </x:c>
      <x:c r="C1310" s="2" t="str">
        <x:v>ST015</x:v>
      </x:c>
      <x:c r="D1310" s="2" t="str">
        <x:v>997c76227e9b12bdccc68d0d53a8d1df</x:v>
      </x:c>
      <x:c r="E1310" s="2" t="str">
        <x:v>CHECK_OUT</x:v>
      </x:c>
      <x:c r="F1310" s="8" t="n">
        <x:v>46301.59458333334</x:v>
      </x:c>
      <x:c r="G1310" s="8" t="n">
        <x:v>46301.594606481485</x:v>
      </x:c>
      <x:c r="H1310" s="2" t="str">
        <x:v>R1S3</x:v>
      </x:c>
      <x:c r="I1310" s="9" t="n">
        <x:v>25.275000000000002</x:v>
      </x:c>
      <x:c r="J1310" s="9" t="n">
        <x:v>51.497</x:v>
      </x:c>
      <x:c r="K1310" s="2" t="n">
        <x:v>8</x:v>
      </x:c>
      <x:c r="L1310" s="2" t="str">
        <x:v>Valid</x:v>
      </x:c>
      <x:c r="M1310" s="2" t="str">
        <x:v>QR</x:v>
      </x:c>
      <x:c r="N1310" s="2" t="n">
        <x:v>1</x:v>
      </x:c>
      <x:c r="O1310" s="2" t="str">
        <x:v>Accepted</x:v>
      </x:c>
      <x:c r="P1310" s="2" t="str">
        <x:v>S001</x:v>
      </x:c>
      <x:c r="Q1310" s="2" t="str">
        <x:v>DEV001</x:v>
      </x:c>
      <x:c r="R1310" s="2" t="n">
        <x:v>19</x:v>
      </x:c>
      <x:c r="S1310" s="2" t="str">
        <x:v>Online</x:v>
      </x:c>
      <x:c r="T1310" s="2" t="str">
        <x:v>Synced</x:v>
      </x:c>
    </x:row>
    <x:row r="1311" ht="21" customHeight="1">
      <x:c r="A1311" s="2" t="str">
        <x:v>EV001224</x:v>
      </x:c>
      <x:c r="B1311" s="2" t="str">
        <x:v>T20261006-3-2</x:v>
      </x:c>
      <x:c r="C1311" s="2" t="str">
        <x:v>ST055</x:v>
      </x:c>
      <x:c r="D1311" s="2" t="str">
        <x:v>e796258b9306e2b3efab77a21add36a5</x:v>
      </x:c>
      <x:c r="E1311" s="2" t="str">
        <x:v>CHECK_OUT</x:v>
      </x:c>
      <x:c r="F1311" s="8" t="n">
        <x:v>46301.59458333334</x:v>
      </x:c>
      <x:c r="G1311" s="8" t="n">
        <x:v>46301.594606481485</x:v>
      </x:c>
      <x:c r="H1311" s="2" t="str">
        <x:v>R2S3</x:v>
      </x:c>
      <x:c r="I1311" s="9" t="n">
        <x:v>25.284000000000002</x:v>
      </x:c>
      <x:c r="J1311" s="9" t="n">
        <x:v>51.504999999999995</x:v>
      </x:c>
      <x:c r="K1311" s="2" t="n">
        <x:v>8</x:v>
      </x:c>
      <x:c r="L1311" s="2" t="str">
        <x:v>Valid</x:v>
      </x:c>
      <x:c r="M1311" s="2" t="str">
        <x:v>QR</x:v>
      </x:c>
      <x:c r="N1311" s="2" t="n">
        <x:v>1</x:v>
      </x:c>
      <x:c r="O1311" s="2" t="str">
        <x:v>Accepted</x:v>
      </x:c>
      <x:c r="P1311" s="2" t="str">
        <x:v>S002</x:v>
      </x:c>
      <x:c r="Q1311" s="2" t="str">
        <x:v>DEV002</x:v>
      </x:c>
      <x:c r="R1311" s="2" t="n">
        <x:v>19</x:v>
      </x:c>
      <x:c r="S1311" s="2" t="str">
        <x:v>Online</x:v>
      </x:c>
      <x:c r="T1311" s="2" t="str">
        <x:v>Synced</x:v>
      </x:c>
    </x:row>
    <x:row r="1312" ht="21" customHeight="1">
      <x:c r="A1312" s="2" t="str">
        <x:v>EV001384</x:v>
      </x:c>
      <x:c r="B1312" s="2" t="str">
        <x:v>T20261006-3-3</x:v>
      </x:c>
      <x:c r="C1312" s="2" t="str">
        <x:v>ST095</x:v>
      </x:c>
      <x:c r="D1312" s="2" t="str">
        <x:v>0935ee2c52872353d5a355eed1202dbe</x:v>
      </x:c>
      <x:c r="E1312" s="2" t="str">
        <x:v>CHECK_OUT</x:v>
      </x:c>
      <x:c r="F1312" s="8" t="n">
        <x:v>46301.59458333334</x:v>
      </x:c>
      <x:c r="G1312" s="8" t="n">
        <x:v>46301.594606481485</x:v>
      </x:c>
      <x:c r="H1312" s="2" t="str">
        <x:v>R3S3</x:v>
      </x:c>
      <x:c r="I1312" s="9" t="n">
        <x:v>25.293000000000003</x:v>
      </x:c>
      <x:c r="J1312" s="9" t="n">
        <x:v>51.513</x:v>
      </x:c>
      <x:c r="K1312" s="2" t="n">
        <x:v>8</x:v>
      </x:c>
      <x:c r="L1312" s="2" t="str">
        <x:v>Valid</x:v>
      </x:c>
      <x:c r="M1312" s="2" t="str">
        <x:v>QR</x:v>
      </x:c>
      <x:c r="N1312" s="2" t="n">
        <x:v>1</x:v>
      </x:c>
      <x:c r="O1312" s="2" t="str">
        <x:v>Accepted</x:v>
      </x:c>
      <x:c r="P1312" s="2" t="str">
        <x:v>S003</x:v>
      </x:c>
      <x:c r="Q1312" s="2" t="str">
        <x:v>DEV003</x:v>
      </x:c>
      <x:c r="R1312" s="2" t="n">
        <x:v>19</x:v>
      </x:c>
      <x:c r="S1312" s="2" t="str">
        <x:v>Online</x:v>
      </x:c>
      <x:c r="T1312" s="2" t="str">
        <x:v>Synced</x:v>
      </x:c>
    </x:row>
    <x:row r="1313" ht="21" customHeight="1">
      <x:c r="A1313" s="2" t="str">
        <x:v>EV001070</x:v>
      </x:c>
      <x:c r="B1313" s="2" t="str">
        <x:v>T20261006-3-1</x:v>
      </x:c>
      <x:c r="C1313" s="2" t="str">
        <x:v>ST018</x:v>
      </x:c>
      <x:c r="D1313" s="2" t="str">
        <x:v>4c1b40081ed5c7c21b8392ee528dbe54</x:v>
      </x:c>
      <x:c r="E1313" s="2" t="str">
        <x:v>CHECK_OUT</x:v>
      </x:c>
      <x:c r="F1313" s="8" t="n">
        <x:v>46301.5946875</x:v>
      </x:c>
      <x:c r="G1313" s="8" t="n">
        <x:v>46301.59471064815</x:v>
      </x:c>
      <x:c r="H1313" s="2" t="str">
        <x:v>R1S3</x:v>
      </x:c>
      <x:c r="I1313" s="9" t="n">
        <x:v>25.275000000000002</x:v>
      </x:c>
      <x:c r="J1313" s="9" t="n">
        <x:v>51.497</x:v>
      </x:c>
      <x:c r="K1313" s="2" t="n">
        <x:v>8</x:v>
      </x:c>
      <x:c r="L1313" s="2" t="str">
        <x:v>Valid</x:v>
      </x:c>
      <x:c r="M1313" s="2" t="str">
        <x:v>QR</x:v>
      </x:c>
      <x:c r="N1313" s="2" t="n">
        <x:v>1</x:v>
      </x:c>
      <x:c r="O1313" s="2" t="str">
        <x:v>Accepted</x:v>
      </x:c>
      <x:c r="P1313" s="2" t="str">
        <x:v>S001</x:v>
      </x:c>
      <x:c r="Q1313" s="2" t="str">
        <x:v>DEV001</x:v>
      </x:c>
      <x:c r="R1313" s="2" t="n">
        <x:v>20</x:v>
      </x:c>
      <x:c r="S1313" s="2" t="str">
        <x:v>Online</x:v>
      </x:c>
      <x:c r="T1313" s="2" t="str">
        <x:v>Synced</x:v>
      </x:c>
    </x:row>
    <x:row r="1314" ht="21" customHeight="1">
      <x:c r="A1314" s="2" t="str">
        <x:v>EV001230</x:v>
      </x:c>
      <x:c r="B1314" s="2" t="str">
        <x:v>T20261006-3-2</x:v>
      </x:c>
      <x:c r="C1314" s="2" t="str">
        <x:v>ST058</x:v>
      </x:c>
      <x:c r="D1314" s="2" t="str">
        <x:v>ebf7e65b57e2c8bcd02f90b1d5692596</x:v>
      </x:c>
      <x:c r="E1314" s="2" t="str">
        <x:v>CHECK_OUT</x:v>
      </x:c>
      <x:c r="F1314" s="8" t="n">
        <x:v>46301.5946875</x:v>
      </x:c>
      <x:c r="G1314" s="8" t="n">
        <x:v>46301.59471064815</x:v>
      </x:c>
      <x:c r="H1314" s="2" t="str">
        <x:v>R2S3</x:v>
      </x:c>
      <x:c r="I1314" s="9" t="n">
        <x:v>25.284000000000002</x:v>
      </x:c>
      <x:c r="J1314" s="9" t="n">
        <x:v>51.504999999999995</x:v>
      </x:c>
      <x:c r="K1314" s="2" t="n">
        <x:v>8</x:v>
      </x:c>
      <x:c r="L1314" s="2" t="str">
        <x:v>Valid</x:v>
      </x:c>
      <x:c r="M1314" s="2" t="str">
        <x:v>QR</x:v>
      </x:c>
      <x:c r="N1314" s="2" t="n">
        <x:v>1</x:v>
      </x:c>
      <x:c r="O1314" s="2" t="str">
        <x:v>Accepted</x:v>
      </x:c>
      <x:c r="P1314" s="2" t="str">
        <x:v>S002</x:v>
      </x:c>
      <x:c r="Q1314" s="2" t="str">
        <x:v>DEV002</x:v>
      </x:c>
      <x:c r="R1314" s="2" t="n">
        <x:v>20</x:v>
      </x:c>
      <x:c r="S1314" s="2" t="str">
        <x:v>Online</x:v>
      </x:c>
      <x:c r="T1314" s="2" t="str">
        <x:v>Synced</x:v>
      </x:c>
    </x:row>
    <x:row r="1315" ht="21" customHeight="1">
      <x:c r="A1315" s="2" t="str">
        <x:v>EV001390</x:v>
      </x:c>
      <x:c r="B1315" s="2" t="str">
        <x:v>T20261006-3-3</x:v>
      </x:c>
      <x:c r="C1315" s="2" t="str">
        <x:v>ST098</x:v>
      </x:c>
      <x:c r="D1315" s="2" t="str">
        <x:v>4b453acdeca94f98f11a429464f7bff7</x:v>
      </x:c>
      <x:c r="E1315" s="2" t="str">
        <x:v>CHECK_OUT</x:v>
      </x:c>
      <x:c r="F1315" s="8" t="n">
        <x:v>46301.5946875</x:v>
      </x:c>
      <x:c r="G1315" s="8" t="n">
        <x:v>46301.59471064815</x:v>
      </x:c>
      <x:c r="H1315" s="2" t="str">
        <x:v>R3S3</x:v>
      </x:c>
      <x:c r="I1315" s="9" t="n">
        <x:v>25.293000000000003</x:v>
      </x:c>
      <x:c r="J1315" s="9" t="n">
        <x:v>51.513</x:v>
      </x:c>
      <x:c r="K1315" s="2" t="n">
        <x:v>8</x:v>
      </x:c>
      <x:c r="L1315" s="2" t="str">
        <x:v>Valid</x:v>
      </x:c>
      <x:c r="M1315" s="2" t="str">
        <x:v>QR</x:v>
      </x:c>
      <x:c r="N1315" s="2" t="n">
        <x:v>1</x:v>
      </x:c>
      <x:c r="O1315" s="2" t="str">
        <x:v>Accepted</x:v>
      </x:c>
      <x:c r="P1315" s="2" t="str">
        <x:v>S003</x:v>
      </x:c>
      <x:c r="Q1315" s="2" t="str">
        <x:v>DEV003</x:v>
      </x:c>
      <x:c r="R1315" s="2" t="n">
        <x:v>20</x:v>
      </x:c>
      <x:c r="S1315" s="2" t="str">
        <x:v>Online</x:v>
      </x:c>
      <x:c r="T1315" s="2" t="str">
        <x:v>Synced</x:v>
      </x:c>
    </x:row>
    <x:row r="1316" ht="21" customHeight="1">
      <x:c r="A1316" s="2" t="str">
        <x:v>EV001075</x:v>
      </x:c>
      <x:c r="B1316" s="2" t="str">
        <x:v>T20261006-4-1</x:v>
      </x:c>
      <x:c r="C1316" s="2" t="str">
        <x:v>ST021</x:v>
      </x:c>
      <x:c r="D1316" s="2" t="str">
        <x:v>9b1608e5663d6da53cd805c8051dedd7</x:v>
      </x:c>
      <x:c r="E1316" s="2" t="str">
        <x:v>CHECK_IN</x:v>
      </x:c>
      <x:c r="F1316" s="8" t="n">
        <x:v>46301.60416666667</x:v>
      </x:c>
      <x:c r="G1316" s="8" t="n">
        <x:v>46301.60418981482</x:v>
      </x:c>
      <x:c r="H1316" s="2" t="str">
        <x:v>SCH01</x:v>
      </x:c>
      <x:c r="I1316" s="9" t="n">
        <x:v>25.285</x:v>
      </x:c>
      <x:c r="J1316" s="9" t="n">
        <x:v>51.51</x:v>
      </x:c>
      <x:c r="K1316" s="2" t="n">
        <x:v>8</x:v>
      </x:c>
      <x:c r="L1316" s="2" t="str">
        <x:v>Valid</x:v>
      </x:c>
      <x:c r="M1316" s="2" t="str">
        <x:v>QR</x:v>
      </x:c>
      <x:c r="N1316" s="2" t="n">
        <x:v>1</x:v>
      </x:c>
      <x:c r="O1316" s="2" t="str">
        <x:v>Accepted</x:v>
      </x:c>
      <x:c r="P1316" s="2" t="str">
        <x:v>S001</x:v>
      </x:c>
      <x:c r="Q1316" s="2" t="str">
        <x:v>DEV001</x:v>
      </x:c>
      <x:c r="R1316" s="2" t="n">
        <x:v>1</x:v>
      </x:c>
      <x:c r="S1316" s="2" t="str">
        <x:v>Online</x:v>
      </x:c>
      <x:c r="T1316" s="2" t="str">
        <x:v>Synced</x:v>
      </x:c>
    </x:row>
    <x:row r="1317" ht="21" customHeight="1">
      <x:c r="A1317" s="2" t="str">
        <x:v>EV001235</x:v>
      </x:c>
      <x:c r="B1317" s="2" t="str">
        <x:v>T20261006-4-2</x:v>
      </x:c>
      <x:c r="C1317" s="2" t="str">
        <x:v>ST061</x:v>
      </x:c>
      <x:c r="D1317" s="2" t="str">
        <x:v>c547cb31f14853ae1f9f2436554d3271</x:v>
      </x:c>
      <x:c r="E1317" s="2" t="str">
        <x:v>CHECK_IN</x:v>
      </x:c>
      <x:c r="F1317" s="8" t="n">
        <x:v>46301.60416666667</x:v>
      </x:c>
      <x:c r="G1317" s="8" t="n">
        <x:v>46301.60418981482</x:v>
      </x:c>
      <x:c r="H1317" s="2" t="str">
        <x:v>SCH01</x:v>
      </x:c>
      <x:c r="I1317" s="9" t="n">
        <x:v>25.285</x:v>
      </x:c>
      <x:c r="J1317" s="9" t="n">
        <x:v>51.51</x:v>
      </x:c>
      <x:c r="K1317" s="2" t="n">
        <x:v>8</x:v>
      </x:c>
      <x:c r="L1317" s="2" t="str">
        <x:v>Valid</x:v>
      </x:c>
      <x:c r="M1317" s="2" t="str">
        <x:v>QR</x:v>
      </x:c>
      <x:c r="N1317" s="2" t="n">
        <x:v>1</x:v>
      </x:c>
      <x:c r="O1317" s="2" t="str">
        <x:v>Accepted</x:v>
      </x:c>
      <x:c r="P1317" s="2" t="str">
        <x:v>S002</x:v>
      </x:c>
      <x:c r="Q1317" s="2" t="str">
        <x:v>DEV002</x:v>
      </x:c>
      <x:c r="R1317" s="2" t="n">
        <x:v>1</x:v>
      </x:c>
      <x:c r="S1317" s="2" t="str">
        <x:v>Online</x:v>
      </x:c>
      <x:c r="T1317" s="2" t="str">
        <x:v>Synced</x:v>
      </x:c>
    </x:row>
    <x:row r="1318" ht="21" customHeight="1">
      <x:c r="A1318" s="2" t="str">
        <x:v>EV001395</x:v>
      </x:c>
      <x:c r="B1318" s="2" t="str">
        <x:v>T20261006-4-3</x:v>
      </x:c>
      <x:c r="C1318" s="2" t="str">
        <x:v>ST101</x:v>
      </x:c>
      <x:c r="D1318" s="2" t="str">
        <x:v>9f8e180c63d3ff8d3e393db3573884a8</x:v>
      </x:c>
      <x:c r="E1318" s="2" t="str">
        <x:v>CHECK_IN</x:v>
      </x:c>
      <x:c r="F1318" s="8" t="n">
        <x:v>46301.60416666667</x:v>
      </x:c>
      <x:c r="G1318" s="8" t="n">
        <x:v>46301.60418981482</x:v>
      </x:c>
      <x:c r="H1318" s="2" t="str">
        <x:v>SCH01</x:v>
      </x:c>
      <x:c r="I1318" s="9" t="n">
        <x:v>25.285</x:v>
      </x:c>
      <x:c r="J1318" s="9" t="n">
        <x:v>51.51</x:v>
      </x:c>
      <x:c r="K1318" s="2" t="n">
        <x:v>8</x:v>
      </x:c>
      <x:c r="L1318" s="2" t="str">
        <x:v>Valid</x:v>
      </x:c>
      <x:c r="M1318" s="2" t="str">
        <x:v>QR</x:v>
      </x:c>
      <x:c r="N1318" s="2" t="n">
        <x:v>1</x:v>
      </x:c>
      <x:c r="O1318" s="2" t="str">
        <x:v>Accepted</x:v>
      </x:c>
      <x:c r="P1318" s="2" t="str">
        <x:v>S003</x:v>
      </x:c>
      <x:c r="Q1318" s="2" t="str">
        <x:v>DEV003</x:v>
      </x:c>
      <x:c r="R1318" s="2" t="n">
        <x:v>1</x:v>
      </x:c>
      <x:c r="S1318" s="2" t="str">
        <x:v>Online</x:v>
      </x:c>
      <x:c r="T1318" s="2" t="str">
        <x:v>Synced</x:v>
      </x:c>
    </x:row>
    <x:row r="1319" ht="21" customHeight="1">
      <x:c r="A1319" s="2" t="str">
        <x:v>EV001077</x:v>
      </x:c>
      <x:c r="B1319" s="2" t="str">
        <x:v>T20261006-4-1</x:v>
      </x:c>
      <x:c r="C1319" s="2" t="str">
        <x:v>ST022</x:v>
      </x:c>
      <x:c r="D1319" s="2" t="str">
        <x:v>32e634064d0319251398d392c471332a</x:v>
      </x:c>
      <x:c r="E1319" s="2" t="str">
        <x:v>CHECK_IN</x:v>
      </x:c>
      <x:c r="F1319" s="8" t="n">
        <x:v>46301.604201388895</x:v>
      </x:c>
      <x:c r="G1319" s="8" t="n">
        <x:v>46301.60422453704</x:v>
      </x:c>
      <x:c r="H1319" s="2" t="str">
        <x:v>SCH01</x:v>
      </x:c>
      <x:c r="I1319" s="9" t="n">
        <x:v>25.285</x:v>
      </x:c>
      <x:c r="J1319" s="9" t="n">
        <x:v>51.51</x:v>
      </x:c>
      <x:c r="K1319" s="2" t="n">
        <x:v>8</x:v>
      </x:c>
      <x:c r="L1319" s="2" t="str">
        <x:v>Valid</x:v>
      </x:c>
      <x:c r="M1319" s="2" t="str">
        <x:v>QR</x:v>
      </x:c>
      <x:c r="N1319" s="2" t="n">
        <x:v>1</x:v>
      </x:c>
      <x:c r="O1319" s="2" t="str">
        <x:v>Accepted</x:v>
      </x:c>
      <x:c r="P1319" s="2" t="str">
        <x:v>S001</x:v>
      </x:c>
      <x:c r="Q1319" s="2" t="str">
        <x:v>DEV001</x:v>
      </x:c>
      <x:c r="R1319" s="2" t="n">
        <x:v>2</x:v>
      </x:c>
      <x:c r="S1319" s="2" t="str">
        <x:v>Online</x:v>
      </x:c>
      <x:c r="T1319" s="2" t="str">
        <x:v>Synced</x:v>
      </x:c>
    </x:row>
    <x:row r="1320" ht="21" customHeight="1">
      <x:c r="A1320" s="2" t="str">
        <x:v>EV001237</x:v>
      </x:c>
      <x:c r="B1320" s="2" t="str">
        <x:v>T20261006-4-2</x:v>
      </x:c>
      <x:c r="C1320" s="2" t="str">
        <x:v>ST062</x:v>
      </x:c>
      <x:c r="D1320" s="2" t="str">
        <x:v>e0ee324a0d8893ba89d7c618ea194e36</x:v>
      </x:c>
      <x:c r="E1320" s="2" t="str">
        <x:v>CHECK_IN</x:v>
      </x:c>
      <x:c r="F1320" s="8" t="n">
        <x:v>46301.604201388895</x:v>
      </x:c>
      <x:c r="G1320" s="8" t="n">
        <x:v>46301.60422453704</x:v>
      </x:c>
      <x:c r="H1320" s="2" t="str">
        <x:v>SCH01</x:v>
      </x:c>
      <x:c r="I1320" s="9" t="n">
        <x:v>25.285</x:v>
      </x:c>
      <x:c r="J1320" s="9" t="n">
        <x:v>51.51</x:v>
      </x:c>
      <x:c r="K1320" s="2" t="n">
        <x:v>8</x:v>
      </x:c>
      <x:c r="L1320" s="2" t="str">
        <x:v>Valid</x:v>
      </x:c>
      <x:c r="M1320" s="2" t="str">
        <x:v>QR</x:v>
      </x:c>
      <x:c r="N1320" s="2" t="n">
        <x:v>1</x:v>
      </x:c>
      <x:c r="O1320" s="2" t="str">
        <x:v>Accepted</x:v>
      </x:c>
      <x:c r="P1320" s="2" t="str">
        <x:v>S002</x:v>
      </x:c>
      <x:c r="Q1320" s="2" t="str">
        <x:v>DEV002</x:v>
      </x:c>
      <x:c r="R1320" s="2" t="n">
        <x:v>2</x:v>
      </x:c>
      <x:c r="S1320" s="2" t="str">
        <x:v>Online</x:v>
      </x:c>
      <x:c r="T1320" s="2" t="str">
        <x:v>Synced</x:v>
      </x:c>
    </x:row>
    <x:row r="1321" ht="21" customHeight="1">
      <x:c r="A1321" s="2" t="str">
        <x:v>EV001397</x:v>
      </x:c>
      <x:c r="B1321" s="2" t="str">
        <x:v>T20261006-4-3</x:v>
      </x:c>
      <x:c r="C1321" s="2" t="str">
        <x:v>ST102</x:v>
      </x:c>
      <x:c r="D1321" s="2" t="str">
        <x:v>6a90d57a6e4b5aedbdcdc5a29cf018e9</x:v>
      </x:c>
      <x:c r="E1321" s="2" t="str">
        <x:v>CHECK_IN</x:v>
      </x:c>
      <x:c r="F1321" s="8" t="n">
        <x:v>46301.604201388895</x:v>
      </x:c>
      <x:c r="G1321" s="8" t="n">
        <x:v>46301.60422453704</x:v>
      </x:c>
      <x:c r="H1321" s="2" t="str">
        <x:v>SCH01</x:v>
      </x:c>
      <x:c r="I1321" s="9" t="n">
        <x:v>25.285</x:v>
      </x:c>
      <x:c r="J1321" s="9" t="n">
        <x:v>51.51</x:v>
      </x:c>
      <x:c r="K1321" s="2" t="n">
        <x:v>8</x:v>
      </x:c>
      <x:c r="L1321" s="2" t="str">
        <x:v>Valid</x:v>
      </x:c>
      <x:c r="M1321" s="2" t="str">
        <x:v>QR</x:v>
      </x:c>
      <x:c r="N1321" s="2" t="n">
        <x:v>1</x:v>
      </x:c>
      <x:c r="O1321" s="2" t="str">
        <x:v>Accepted</x:v>
      </x:c>
      <x:c r="P1321" s="2" t="str">
        <x:v>S003</x:v>
      </x:c>
      <x:c r="Q1321" s="2" t="str">
        <x:v>DEV003</x:v>
      </x:c>
      <x:c r="R1321" s="2" t="n">
        <x:v>2</x:v>
      </x:c>
      <x:c r="S1321" s="2" t="str">
        <x:v>Online</x:v>
      </x:c>
      <x:c r="T1321" s="2" t="str">
        <x:v>Synced</x:v>
      </x:c>
    </x:row>
    <x:row r="1322" ht="21" customHeight="1">
      <x:c r="A1322" s="2" t="str">
        <x:v>EV001079</x:v>
      </x:c>
      <x:c r="B1322" s="2" t="str">
        <x:v>T20261006-4-1</x:v>
      </x:c>
      <x:c r="C1322" s="2" t="str">
        <x:v>ST023</x:v>
      </x:c>
      <x:c r="D1322" s="2" t="str">
        <x:v>1836074fce688580737a08d14a26fa79</x:v>
      </x:c>
      <x:c r="E1322" s="2" t="str">
        <x:v>CHECK_IN</x:v>
      </x:c>
      <x:c r="F1322" s="8" t="n">
        <x:v>46301.60423611112</x:v>
      </x:c>
      <x:c r="G1322" s="8" t="n">
        <x:v>46301.604259259264</x:v>
      </x:c>
      <x:c r="H1322" s="2" t="str">
        <x:v>SCH01</x:v>
      </x:c>
      <x:c r="I1322" s="9" t="n">
        <x:v>25.285</x:v>
      </x:c>
      <x:c r="J1322" s="9" t="n">
        <x:v>51.51</x:v>
      </x:c>
      <x:c r="K1322" s="2" t="n">
        <x:v>8</x:v>
      </x:c>
      <x:c r="L1322" s="2" t="str">
        <x:v>Valid</x:v>
      </x:c>
      <x:c r="M1322" s="2" t="str">
        <x:v>QR</x:v>
      </x:c>
      <x:c r="N1322" s="2" t="n">
        <x:v>1</x:v>
      </x:c>
      <x:c r="O1322" s="2" t="str">
        <x:v>Accepted</x:v>
      </x:c>
      <x:c r="P1322" s="2" t="str">
        <x:v>S001</x:v>
      </x:c>
      <x:c r="Q1322" s="2" t="str">
        <x:v>DEV001</x:v>
      </x:c>
      <x:c r="R1322" s="2" t="n">
        <x:v>3</x:v>
      </x:c>
      <x:c r="S1322" s="2" t="str">
        <x:v>Online</x:v>
      </x:c>
      <x:c r="T1322" s="2" t="str">
        <x:v>Synced</x:v>
      </x:c>
    </x:row>
    <x:row r="1323" ht="21" customHeight="1">
      <x:c r="A1323" s="2" t="str">
        <x:v>EV001239</x:v>
      </x:c>
      <x:c r="B1323" s="2" t="str">
        <x:v>T20261006-4-2</x:v>
      </x:c>
      <x:c r="C1323" s="2" t="str">
        <x:v>ST063</x:v>
      </x:c>
      <x:c r="D1323" s="2" t="str">
        <x:v>46a3e8e97cbe04af0173a75d9cdbcebf</x:v>
      </x:c>
      <x:c r="E1323" s="2" t="str">
        <x:v>CHECK_IN</x:v>
      </x:c>
      <x:c r="F1323" s="8" t="n">
        <x:v>46301.60423611112</x:v>
      </x:c>
      <x:c r="G1323" s="8" t="n">
        <x:v>46301.604259259264</x:v>
      </x:c>
      <x:c r="H1323" s="2" t="str">
        <x:v>SCH01</x:v>
      </x:c>
      <x:c r="I1323" s="9" t="n">
        <x:v>25.285</x:v>
      </x:c>
      <x:c r="J1323" s="9" t="n">
        <x:v>51.51</x:v>
      </x:c>
      <x:c r="K1323" s="2" t="n">
        <x:v>8</x:v>
      </x:c>
      <x:c r="L1323" s="2" t="str">
        <x:v>Valid</x:v>
      </x:c>
      <x:c r="M1323" s="2" t="str">
        <x:v>QR</x:v>
      </x:c>
      <x:c r="N1323" s="2" t="n">
        <x:v>1</x:v>
      </x:c>
      <x:c r="O1323" s="2" t="str">
        <x:v>Accepted</x:v>
      </x:c>
      <x:c r="P1323" s="2" t="str">
        <x:v>S002</x:v>
      </x:c>
      <x:c r="Q1323" s="2" t="str">
        <x:v>DEV002</x:v>
      </x:c>
      <x:c r="R1323" s="2" t="n">
        <x:v>3</x:v>
      </x:c>
      <x:c r="S1323" s="2" t="str">
        <x:v>Online</x:v>
      </x:c>
      <x:c r="T1323" s="2" t="str">
        <x:v>Synced</x:v>
      </x:c>
    </x:row>
    <x:row r="1324" ht="21" customHeight="1">
      <x:c r="A1324" s="2" t="str">
        <x:v>EV001399</x:v>
      </x:c>
      <x:c r="B1324" s="2" t="str">
        <x:v>T20261006-4-3</x:v>
      </x:c>
      <x:c r="C1324" s="2" t="str">
        <x:v>ST103</x:v>
      </x:c>
      <x:c r="D1324" s="2" t="str">
        <x:v>5982cfca835e14d82ed8b6562c1a172d</x:v>
      </x:c>
      <x:c r="E1324" s="2" t="str">
        <x:v>CHECK_IN</x:v>
      </x:c>
      <x:c r="F1324" s="8" t="n">
        <x:v>46301.60423611112</x:v>
      </x:c>
      <x:c r="G1324" s="8" t="n">
        <x:v>46301.604259259264</x:v>
      </x:c>
      <x:c r="H1324" s="2" t="str">
        <x:v>SCH01</x:v>
      </x:c>
      <x:c r="I1324" s="9" t="n">
        <x:v>25.285</x:v>
      </x:c>
      <x:c r="J1324" s="9" t="n">
        <x:v>51.51</x:v>
      </x:c>
      <x:c r="K1324" s="2" t="n">
        <x:v>8</x:v>
      </x:c>
      <x:c r="L1324" s="2" t="str">
        <x:v>Valid</x:v>
      </x:c>
      <x:c r="M1324" s="2" t="str">
        <x:v>QR</x:v>
      </x:c>
      <x:c r="N1324" s="2" t="n">
        <x:v>1</x:v>
      </x:c>
      <x:c r="O1324" s="2" t="str">
        <x:v>Accepted</x:v>
      </x:c>
      <x:c r="P1324" s="2" t="str">
        <x:v>S003</x:v>
      </x:c>
      <x:c r="Q1324" s="2" t="str">
        <x:v>DEV003</x:v>
      </x:c>
      <x:c r="R1324" s="2" t="n">
        <x:v>3</x:v>
      </x:c>
      <x:c r="S1324" s="2" t="str">
        <x:v>Online</x:v>
      </x:c>
      <x:c r="T1324" s="2" t="str">
        <x:v>Synced</x:v>
      </x:c>
    </x:row>
    <x:row r="1325" ht="21" customHeight="1">
      <x:c r="A1325" s="2" t="str">
        <x:v>EV001081</x:v>
      </x:c>
      <x:c r="B1325" s="2" t="str">
        <x:v>T20261006-4-1</x:v>
      </x:c>
      <x:c r="C1325" s="2" t="str">
        <x:v>ST024</x:v>
      </x:c>
      <x:c r="D1325" s="2" t="str">
        <x:v>df785f1577b8ee7f71835020d03a12a6</x:v>
      </x:c>
      <x:c r="E1325" s="2" t="str">
        <x:v>CHECK_IN</x:v>
      </x:c>
      <x:c r="F1325" s="8" t="n">
        <x:v>46301.60427083334</x:v>
      </x:c>
      <x:c r="G1325" s="8" t="n">
        <x:v>46301.60429398149</x:v>
      </x:c>
      <x:c r="H1325" s="2" t="str">
        <x:v>SCH01</x:v>
      </x:c>
      <x:c r="I1325" s="9" t="n">
        <x:v>25.285</x:v>
      </x:c>
      <x:c r="J1325" s="9" t="n">
        <x:v>51.51</x:v>
      </x:c>
      <x:c r="K1325" s="2" t="n">
        <x:v>8</x:v>
      </x:c>
      <x:c r="L1325" s="2" t="str">
        <x:v>Valid</x:v>
      </x:c>
      <x:c r="M1325" s="2" t="str">
        <x:v>QR</x:v>
      </x:c>
      <x:c r="N1325" s="2" t="n">
        <x:v>1</x:v>
      </x:c>
      <x:c r="O1325" s="2" t="str">
        <x:v>Accepted</x:v>
      </x:c>
      <x:c r="P1325" s="2" t="str">
        <x:v>S001</x:v>
      </x:c>
      <x:c r="Q1325" s="2" t="str">
        <x:v>DEV001</x:v>
      </x:c>
      <x:c r="R1325" s="2" t="n">
        <x:v>4</x:v>
      </x:c>
      <x:c r="S1325" s="2" t="str">
        <x:v>Online</x:v>
      </x:c>
      <x:c r="T1325" s="2" t="str">
        <x:v>Synced</x:v>
      </x:c>
    </x:row>
    <x:row r="1326" ht="21" customHeight="1">
      <x:c r="A1326" s="2" t="str">
        <x:v>EV001241</x:v>
      </x:c>
      <x:c r="B1326" s="2" t="str">
        <x:v>T20261006-4-2</x:v>
      </x:c>
      <x:c r="C1326" s="2" t="str">
        <x:v>ST064</x:v>
      </x:c>
      <x:c r="D1326" s="2" t="str">
        <x:v>80debd99a6cfe1ca0800304796fd69ff</x:v>
      </x:c>
      <x:c r="E1326" s="2" t="str">
        <x:v>CHECK_IN</x:v>
      </x:c>
      <x:c r="F1326" s="8" t="n">
        <x:v>46301.60427083334</x:v>
      </x:c>
      <x:c r="G1326" s="8" t="n">
        <x:v>46301.60429398149</x:v>
      </x:c>
      <x:c r="H1326" s="2" t="str">
        <x:v>SCH01</x:v>
      </x:c>
      <x:c r="I1326" s="9" t="n">
        <x:v>25.285</x:v>
      </x:c>
      <x:c r="J1326" s="9" t="n">
        <x:v>51.51</x:v>
      </x:c>
      <x:c r="K1326" s="2" t="n">
        <x:v>8</x:v>
      </x:c>
      <x:c r="L1326" s="2" t="str">
        <x:v>Valid</x:v>
      </x:c>
      <x:c r="M1326" s="2" t="str">
        <x:v>QR</x:v>
      </x:c>
      <x:c r="N1326" s="2" t="n">
        <x:v>1</x:v>
      </x:c>
      <x:c r="O1326" s="2" t="str">
        <x:v>Accepted</x:v>
      </x:c>
      <x:c r="P1326" s="2" t="str">
        <x:v>S002</x:v>
      </x:c>
      <x:c r="Q1326" s="2" t="str">
        <x:v>DEV002</x:v>
      </x:c>
      <x:c r="R1326" s="2" t="n">
        <x:v>4</x:v>
      </x:c>
      <x:c r="S1326" s="2" t="str">
        <x:v>Online</x:v>
      </x:c>
      <x:c r="T1326" s="2" t="str">
        <x:v>Synced</x:v>
      </x:c>
    </x:row>
    <x:row r="1327" ht="21" customHeight="1">
      <x:c r="A1327" s="2" t="str">
        <x:v>EV001401</x:v>
      </x:c>
      <x:c r="B1327" s="2" t="str">
        <x:v>T20261006-4-3</x:v>
      </x:c>
      <x:c r="C1327" s="2" t="str">
        <x:v>ST104</x:v>
      </x:c>
      <x:c r="D1327" s="2" t="str">
        <x:v>12167381f9b78201d830c40ef6208ce4</x:v>
      </x:c>
      <x:c r="E1327" s="2" t="str">
        <x:v>CHECK_IN</x:v>
      </x:c>
      <x:c r="F1327" s="8" t="n">
        <x:v>46301.60427083334</x:v>
      </x:c>
      <x:c r="G1327" s="8" t="n">
        <x:v>46301.60429398149</x:v>
      </x:c>
      <x:c r="H1327" s="2" t="str">
        <x:v>SCH01</x:v>
      </x:c>
      <x:c r="I1327" s="9" t="n">
        <x:v>25.285</x:v>
      </x:c>
      <x:c r="J1327" s="9" t="n">
        <x:v>51.51</x:v>
      </x:c>
      <x:c r="K1327" s="2" t="n">
        <x:v>8</x:v>
      </x:c>
      <x:c r="L1327" s="2" t="str">
        <x:v>Valid</x:v>
      </x:c>
      <x:c r="M1327" s="2" t="str">
        <x:v>QR</x:v>
      </x:c>
      <x:c r="N1327" s="2" t="n">
        <x:v>1</x:v>
      </x:c>
      <x:c r="O1327" s="2" t="str">
        <x:v>Accepted</x:v>
      </x:c>
      <x:c r="P1327" s="2" t="str">
        <x:v>S003</x:v>
      </x:c>
      <x:c r="Q1327" s="2" t="str">
        <x:v>DEV003</x:v>
      </x:c>
      <x:c r="R1327" s="2" t="n">
        <x:v>4</x:v>
      </x:c>
      <x:c r="S1327" s="2" t="str">
        <x:v>Online</x:v>
      </x:c>
      <x:c r="T1327" s="2" t="str">
        <x:v>Synced</x:v>
      </x:c>
    </x:row>
    <x:row r="1328" ht="21" customHeight="1">
      <x:c r="A1328" s="2" t="str">
        <x:v>EV001083</x:v>
      </x:c>
      <x:c r="B1328" s="2" t="str">
        <x:v>T20261006-4-1</x:v>
      </x:c>
      <x:c r="C1328" s="2" t="str">
        <x:v>ST025</x:v>
      </x:c>
      <x:c r="D1328" s="2" t="str">
        <x:v>caea48c43f4ccfa85999e7cb546cd774</x:v>
      </x:c>
      <x:c r="E1328" s="2" t="str">
        <x:v>CHECK_IN</x:v>
      </x:c>
      <x:c r="F1328" s="8" t="n">
        <x:v>46301.604305555564</x:v>
      </x:c>
      <x:c r="G1328" s="8" t="n">
        <x:v>46301.60432870371</x:v>
      </x:c>
      <x:c r="H1328" s="2" t="str">
        <x:v>SCH01</x:v>
      </x:c>
      <x:c r="I1328" s="9" t="n">
        <x:v>25.285</x:v>
      </x:c>
      <x:c r="J1328" s="9" t="n">
        <x:v>51.51</x:v>
      </x:c>
      <x:c r="K1328" s="2" t="n">
        <x:v>8</x:v>
      </x:c>
      <x:c r="L1328" s="2" t="str">
        <x:v>Valid</x:v>
      </x:c>
      <x:c r="M1328" s="2" t="str">
        <x:v>QR</x:v>
      </x:c>
      <x:c r="N1328" s="2" t="n">
        <x:v>1</x:v>
      </x:c>
      <x:c r="O1328" s="2" t="str">
        <x:v>Accepted</x:v>
      </x:c>
      <x:c r="P1328" s="2" t="str">
        <x:v>S001</x:v>
      </x:c>
      <x:c r="Q1328" s="2" t="str">
        <x:v>DEV001</x:v>
      </x:c>
      <x:c r="R1328" s="2" t="n">
        <x:v>5</x:v>
      </x:c>
      <x:c r="S1328" s="2" t="str">
        <x:v>Online</x:v>
      </x:c>
      <x:c r="T1328" s="2" t="str">
        <x:v>Synced</x:v>
      </x:c>
    </x:row>
    <x:row r="1329" ht="21" customHeight="1">
      <x:c r="A1329" s="2" t="str">
        <x:v>EV001243</x:v>
      </x:c>
      <x:c r="B1329" s="2" t="str">
        <x:v>T20261006-4-2</x:v>
      </x:c>
      <x:c r="C1329" s="2" t="str">
        <x:v>ST065</x:v>
      </x:c>
      <x:c r="D1329" s="2" t="str">
        <x:v>6b379c82348acc8be3e0d247197a20bf</x:v>
      </x:c>
      <x:c r="E1329" s="2" t="str">
        <x:v>CHECK_IN</x:v>
      </x:c>
      <x:c r="F1329" s="8" t="n">
        <x:v>46301.604305555564</x:v>
      </x:c>
      <x:c r="G1329" s="8" t="n">
        <x:v>46301.60432870371</x:v>
      </x:c>
      <x:c r="H1329" s="2" t="str">
        <x:v>SCH01</x:v>
      </x:c>
      <x:c r="I1329" s="9" t="n">
        <x:v>25.285</x:v>
      </x:c>
      <x:c r="J1329" s="9" t="n">
        <x:v>51.51</x:v>
      </x:c>
      <x:c r="K1329" s="2" t="n">
        <x:v>8</x:v>
      </x:c>
      <x:c r="L1329" s="2" t="str">
        <x:v>Valid</x:v>
      </x:c>
      <x:c r="M1329" s="2" t="str">
        <x:v>QR</x:v>
      </x:c>
      <x:c r="N1329" s="2" t="n">
        <x:v>1</x:v>
      </x:c>
      <x:c r="O1329" s="2" t="str">
        <x:v>Accepted</x:v>
      </x:c>
      <x:c r="P1329" s="2" t="str">
        <x:v>S002</x:v>
      </x:c>
      <x:c r="Q1329" s="2" t="str">
        <x:v>DEV002</x:v>
      </x:c>
      <x:c r="R1329" s="2" t="n">
        <x:v>5</x:v>
      </x:c>
      <x:c r="S1329" s="2" t="str">
        <x:v>Online</x:v>
      </x:c>
      <x:c r="T1329" s="2" t="str">
        <x:v>Synced</x:v>
      </x:c>
    </x:row>
    <x:row r="1330" ht="21" customHeight="1">
      <x:c r="A1330" s="2" t="str">
        <x:v>EV001403</x:v>
      </x:c>
      <x:c r="B1330" s="2" t="str">
        <x:v>T20261006-4-3</x:v>
      </x:c>
      <x:c r="C1330" s="2" t="str">
        <x:v>ST105</x:v>
      </x:c>
      <x:c r="D1330" s="2" t="str">
        <x:v>bbd3ba75eaabf5ca3acef3823a75d885</x:v>
      </x:c>
      <x:c r="E1330" s="2" t="str">
        <x:v>CHECK_IN</x:v>
      </x:c>
      <x:c r="F1330" s="8" t="n">
        <x:v>46301.604305555564</x:v>
      </x:c>
      <x:c r="G1330" s="8" t="n">
        <x:v>46301.60432870371</x:v>
      </x:c>
      <x:c r="H1330" s="2" t="str">
        <x:v>SCH01</x:v>
      </x:c>
      <x:c r="I1330" s="9" t="n">
        <x:v>25.285</x:v>
      </x:c>
      <x:c r="J1330" s="9" t="n">
        <x:v>51.51</x:v>
      </x:c>
      <x:c r="K1330" s="2" t="n">
        <x:v>8</x:v>
      </x:c>
      <x:c r="L1330" s="2" t="str">
        <x:v>Valid</x:v>
      </x:c>
      <x:c r="M1330" s="2" t="str">
        <x:v>QR</x:v>
      </x:c>
      <x:c r="N1330" s="2" t="n">
        <x:v>1</x:v>
      </x:c>
      <x:c r="O1330" s="2" t="str">
        <x:v>Accepted</x:v>
      </x:c>
      <x:c r="P1330" s="2" t="str">
        <x:v>S003</x:v>
      </x:c>
      <x:c r="Q1330" s="2" t="str">
        <x:v>DEV003</x:v>
      </x:c>
      <x:c r="R1330" s="2" t="n">
        <x:v>5</x:v>
      </x:c>
      <x:c r="S1330" s="2" t="str">
        <x:v>Online</x:v>
      </x:c>
      <x:c r="T1330" s="2" t="str">
        <x:v>Synced</x:v>
      </x:c>
    </x:row>
    <x:row r="1331" ht="21" customHeight="1">
      <x:c r="A1331" s="2" t="str">
        <x:v>EV001085</x:v>
      </x:c>
      <x:c r="B1331" s="2" t="str">
        <x:v>T20261006-4-1</x:v>
      </x:c>
      <x:c r="C1331" s="2" t="str">
        <x:v>ST026</x:v>
      </x:c>
      <x:c r="D1331" s="2" t="str">
        <x:v>56aea196eabcf09e1199afbd5e8907b0</x:v>
      </x:c>
      <x:c r="E1331" s="2" t="str">
        <x:v>CHECK_IN</x:v>
      </x:c>
      <x:c r="F1331" s="8" t="n">
        <x:v>46301.60434027778</x:v>
      </x:c>
      <x:c r="G1331" s="8" t="n">
        <x:v>46301.604363425926</x:v>
      </x:c>
      <x:c r="H1331" s="2" t="str">
        <x:v>SCH01</x:v>
      </x:c>
      <x:c r="I1331" s="9" t="n">
        <x:v>25.285</x:v>
      </x:c>
      <x:c r="J1331" s="9" t="n">
        <x:v>51.51</x:v>
      </x:c>
      <x:c r="K1331" s="2" t="n">
        <x:v>8</x:v>
      </x:c>
      <x:c r="L1331" s="2" t="str">
        <x:v>Valid</x:v>
      </x:c>
      <x:c r="M1331" s="2" t="str">
        <x:v>QR</x:v>
      </x:c>
      <x:c r="N1331" s="2" t="n">
        <x:v>1</x:v>
      </x:c>
      <x:c r="O1331" s="2" t="str">
        <x:v>Accepted</x:v>
      </x:c>
      <x:c r="P1331" s="2" t="str">
        <x:v>S001</x:v>
      </x:c>
      <x:c r="Q1331" s="2" t="str">
        <x:v>DEV001</x:v>
      </x:c>
      <x:c r="R1331" s="2" t="n">
        <x:v>6</x:v>
      </x:c>
      <x:c r="S1331" s="2" t="str">
        <x:v>Online</x:v>
      </x:c>
      <x:c r="T1331" s="2" t="str">
        <x:v>Synced</x:v>
      </x:c>
    </x:row>
    <x:row r="1332" ht="21" customHeight="1">
      <x:c r="A1332" s="2" t="str">
        <x:v>EV001245</x:v>
      </x:c>
      <x:c r="B1332" s="2" t="str">
        <x:v>T20261006-4-2</x:v>
      </x:c>
      <x:c r="C1332" s="2" t="str">
        <x:v>ST066</x:v>
      </x:c>
      <x:c r="D1332" s="2" t="str">
        <x:v>f1ae8019085f4d0a77552e53fdc22aa7</x:v>
      </x:c>
      <x:c r="E1332" s="2" t="str">
        <x:v>CHECK_IN</x:v>
      </x:c>
      <x:c r="F1332" s="8" t="n">
        <x:v>46301.60434027778</x:v>
      </x:c>
      <x:c r="G1332" s="8" t="n">
        <x:v>46301.604363425926</x:v>
      </x:c>
      <x:c r="H1332" s="2" t="str">
        <x:v>SCH01</x:v>
      </x:c>
      <x:c r="I1332" s="9" t="n">
        <x:v>25.285</x:v>
      </x:c>
      <x:c r="J1332" s="9" t="n">
        <x:v>51.51</x:v>
      </x:c>
      <x:c r="K1332" s="2" t="n">
        <x:v>8</x:v>
      </x:c>
      <x:c r="L1332" s="2" t="str">
        <x:v>Valid</x:v>
      </x:c>
      <x:c r="M1332" s="2" t="str">
        <x:v>QR</x:v>
      </x:c>
      <x:c r="N1332" s="2" t="n">
        <x:v>1</x:v>
      </x:c>
      <x:c r="O1332" s="2" t="str">
        <x:v>Accepted</x:v>
      </x:c>
      <x:c r="P1332" s="2" t="str">
        <x:v>S002</x:v>
      </x:c>
      <x:c r="Q1332" s="2" t="str">
        <x:v>DEV002</x:v>
      </x:c>
      <x:c r="R1332" s="2" t="n">
        <x:v>6</x:v>
      </x:c>
      <x:c r="S1332" s="2" t="str">
        <x:v>Online</x:v>
      </x:c>
      <x:c r="T1332" s="2" t="str">
        <x:v>Synced</x:v>
      </x:c>
    </x:row>
    <x:row r="1333" ht="21" customHeight="1">
      <x:c r="A1333" s="2" t="str">
        <x:v>EV001405</x:v>
      </x:c>
      <x:c r="B1333" s="2" t="str">
        <x:v>T20261006-4-3</x:v>
      </x:c>
      <x:c r="C1333" s="2" t="str">
        <x:v>ST106</x:v>
      </x:c>
      <x:c r="D1333" s="2" t="str">
        <x:v>9bd191644f26d4fc266418c96f36f10b</x:v>
      </x:c>
      <x:c r="E1333" s="2" t="str">
        <x:v>CHECK_IN</x:v>
      </x:c>
      <x:c r="F1333" s="8" t="n">
        <x:v>46301.60434027778</x:v>
      </x:c>
      <x:c r="G1333" s="8" t="n">
        <x:v>46301.604363425926</x:v>
      </x:c>
      <x:c r="H1333" s="2" t="str">
        <x:v>SCH01</x:v>
      </x:c>
      <x:c r="I1333" s="9" t="n">
        <x:v>25.285</x:v>
      </x:c>
      <x:c r="J1333" s="9" t="n">
        <x:v>51.51</x:v>
      </x:c>
      <x:c r="K1333" s="2" t="n">
        <x:v>8</x:v>
      </x:c>
      <x:c r="L1333" s="2" t="str">
        <x:v>Valid</x:v>
      </x:c>
      <x:c r="M1333" s="2" t="str">
        <x:v>QR</x:v>
      </x:c>
      <x:c r="N1333" s="2" t="n">
        <x:v>1</x:v>
      </x:c>
      <x:c r="O1333" s="2" t="str">
        <x:v>Accepted</x:v>
      </x:c>
      <x:c r="P1333" s="2" t="str">
        <x:v>S003</x:v>
      </x:c>
      <x:c r="Q1333" s="2" t="str">
        <x:v>DEV003</x:v>
      </x:c>
      <x:c r="R1333" s="2" t="n">
        <x:v>6</x:v>
      </x:c>
      <x:c r="S1333" s="2" t="str">
        <x:v>Online</x:v>
      </x:c>
      <x:c r="T1333" s="2" t="str">
        <x:v>Synced</x:v>
      </x:c>
    </x:row>
    <x:row r="1334" ht="21" customHeight="1">
      <x:c r="A1334" s="2" t="str">
        <x:v>EV001087</x:v>
      </x:c>
      <x:c r="B1334" s="2" t="str">
        <x:v>T20261006-4-1</x:v>
      </x:c>
      <x:c r="C1334" s="2" t="str">
        <x:v>ST027</x:v>
      </x:c>
      <x:c r="D1334" s="2" t="str">
        <x:v>87868c08c06226359ca5121a9563bb63</x:v>
      </x:c>
      <x:c r="E1334" s="2" t="str">
        <x:v>CHECK_IN</x:v>
      </x:c>
      <x:c r="F1334" s="8" t="n">
        <x:v>46301.604375</x:v>
      </x:c>
      <x:c r="G1334" s="8" t="n">
        <x:v>46301.60439814815</x:v>
      </x:c>
      <x:c r="H1334" s="2" t="str">
        <x:v>SCH01</x:v>
      </x:c>
      <x:c r="I1334" s="9" t="n">
        <x:v>25.285</x:v>
      </x:c>
      <x:c r="J1334" s="9" t="n">
        <x:v>51.51</x:v>
      </x:c>
      <x:c r="K1334" s="2" t="n">
        <x:v>8</x:v>
      </x:c>
      <x:c r="L1334" s="2" t="str">
        <x:v>Valid</x:v>
      </x:c>
      <x:c r="M1334" s="2" t="str">
        <x:v>QR</x:v>
      </x:c>
      <x:c r="N1334" s="2" t="n">
        <x:v>1</x:v>
      </x:c>
      <x:c r="O1334" s="2" t="str">
        <x:v>Accepted</x:v>
      </x:c>
      <x:c r="P1334" s="2" t="str">
        <x:v>S001</x:v>
      </x:c>
      <x:c r="Q1334" s="2" t="str">
        <x:v>DEV001</x:v>
      </x:c>
      <x:c r="R1334" s="2" t="n">
        <x:v>7</x:v>
      </x:c>
      <x:c r="S1334" s="2" t="str">
        <x:v>Online</x:v>
      </x:c>
      <x:c r="T1334" s="2" t="str">
        <x:v>Synced</x:v>
      </x:c>
    </x:row>
    <x:row r="1335" ht="21" customHeight="1">
      <x:c r="A1335" s="2" t="str">
        <x:v>EV001247</x:v>
      </x:c>
      <x:c r="B1335" s="2" t="str">
        <x:v>T20261006-4-2</x:v>
      </x:c>
      <x:c r="C1335" s="2" t="str">
        <x:v>ST067</x:v>
      </x:c>
      <x:c r="D1335" s="2" t="str">
        <x:v>66c3e7b11abae76912fea37c6c7ce00c</x:v>
      </x:c>
      <x:c r="E1335" s="2" t="str">
        <x:v>CHECK_IN</x:v>
      </x:c>
      <x:c r="F1335" s="8" t="n">
        <x:v>46301.604375</x:v>
      </x:c>
      <x:c r="G1335" s="8" t="n">
        <x:v>46301.60439814815</x:v>
      </x:c>
      <x:c r="H1335" s="2" t="str">
        <x:v>SCH01</x:v>
      </x:c>
      <x:c r="I1335" s="9" t="n">
        <x:v>25.285</x:v>
      </x:c>
      <x:c r="J1335" s="9" t="n">
        <x:v>51.51</x:v>
      </x:c>
      <x:c r="K1335" s="2" t="n">
        <x:v>8</x:v>
      </x:c>
      <x:c r="L1335" s="2" t="str">
        <x:v>Valid</x:v>
      </x:c>
      <x:c r="M1335" s="2" t="str">
        <x:v>QR</x:v>
      </x:c>
      <x:c r="N1335" s="2" t="n">
        <x:v>1</x:v>
      </x:c>
      <x:c r="O1335" s="2" t="str">
        <x:v>Accepted</x:v>
      </x:c>
      <x:c r="P1335" s="2" t="str">
        <x:v>S002</x:v>
      </x:c>
      <x:c r="Q1335" s="2" t="str">
        <x:v>DEV002</x:v>
      </x:c>
      <x:c r="R1335" s="2" t="n">
        <x:v>7</x:v>
      </x:c>
      <x:c r="S1335" s="2" t="str">
        <x:v>Online</x:v>
      </x:c>
      <x:c r="T1335" s="2" t="str">
        <x:v>Synced</x:v>
      </x:c>
    </x:row>
    <x:row r="1336" ht="21" customHeight="1">
      <x:c r="A1336" s="2" t="str">
        <x:v>EV001407</x:v>
      </x:c>
      <x:c r="B1336" s="2" t="str">
        <x:v>T20261006-4-3</x:v>
      </x:c>
      <x:c r="C1336" s="2" t="str">
        <x:v>ST107</x:v>
      </x:c>
      <x:c r="D1336" s="2" t="str">
        <x:v>4a2bb35840a3b4fc7e804e2d710c14f4</x:v>
      </x:c>
      <x:c r="E1336" s="2" t="str">
        <x:v>CHECK_IN</x:v>
      </x:c>
      <x:c r="F1336" s="8" t="n">
        <x:v>46301.604375</x:v>
      </x:c>
      <x:c r="G1336" s="8" t="n">
        <x:v>46301.60439814815</x:v>
      </x:c>
      <x:c r="H1336" s="2" t="str">
        <x:v>SCH01</x:v>
      </x:c>
      <x:c r="I1336" s="9" t="n">
        <x:v>25.285</x:v>
      </x:c>
      <x:c r="J1336" s="9" t="n">
        <x:v>51.51</x:v>
      </x:c>
      <x:c r="K1336" s="2" t="n">
        <x:v>8</x:v>
      </x:c>
      <x:c r="L1336" s="2" t="str">
        <x:v>Valid</x:v>
      </x:c>
      <x:c r="M1336" s="2" t="str">
        <x:v>QR</x:v>
      </x:c>
      <x:c r="N1336" s="2" t="n">
        <x:v>1</x:v>
      </x:c>
      <x:c r="O1336" s="2" t="str">
        <x:v>Accepted</x:v>
      </x:c>
      <x:c r="P1336" s="2" t="str">
        <x:v>S003</x:v>
      </x:c>
      <x:c r="Q1336" s="2" t="str">
        <x:v>DEV003</x:v>
      </x:c>
      <x:c r="R1336" s="2" t="n">
        <x:v>7</x:v>
      </x:c>
      <x:c r="S1336" s="2" t="str">
        <x:v>Online</x:v>
      </x:c>
      <x:c r="T1336" s="2" t="str">
        <x:v>Synced</x:v>
      </x:c>
    </x:row>
    <x:row r="1337" ht="21" customHeight="1">
      <x:c r="A1337" s="2" t="str">
        <x:v>EV001089</x:v>
      </x:c>
      <x:c r="B1337" s="2" t="str">
        <x:v>T20261006-4-1</x:v>
      </x:c>
      <x:c r="C1337" s="2" t="str">
        <x:v>ST028</x:v>
      </x:c>
      <x:c r="D1337" s="2" t="str">
        <x:v>af9ca502f5a3f54f1f44ea6d11afd24b</x:v>
      </x:c>
      <x:c r="E1337" s="2" t="str">
        <x:v>CHECK_IN</x:v>
      </x:c>
      <x:c r="F1337" s="8" t="n">
        <x:v>46301.604409722226</x:v>
      </x:c>
      <x:c r="G1337" s="8" t="n">
        <x:v>46301.60443287037</x:v>
      </x:c>
      <x:c r="H1337" s="2" t="str">
        <x:v>SCH01</x:v>
      </x:c>
      <x:c r="I1337" s="9" t="n">
        <x:v>25.285</x:v>
      </x:c>
      <x:c r="J1337" s="9" t="n">
        <x:v>51.51</x:v>
      </x:c>
      <x:c r="K1337" s="2" t="n">
        <x:v>8</x:v>
      </x:c>
      <x:c r="L1337" s="2" t="str">
        <x:v>Valid</x:v>
      </x:c>
      <x:c r="M1337" s="2" t="str">
        <x:v>QR</x:v>
      </x:c>
      <x:c r="N1337" s="2" t="n">
        <x:v>1</x:v>
      </x:c>
      <x:c r="O1337" s="2" t="str">
        <x:v>Accepted</x:v>
      </x:c>
      <x:c r="P1337" s="2" t="str">
        <x:v>S001</x:v>
      </x:c>
      <x:c r="Q1337" s="2" t="str">
        <x:v>DEV001</x:v>
      </x:c>
      <x:c r="R1337" s="2" t="n">
        <x:v>8</x:v>
      </x:c>
      <x:c r="S1337" s="2" t="str">
        <x:v>Online</x:v>
      </x:c>
      <x:c r="T1337" s="2" t="str">
        <x:v>Synced</x:v>
      </x:c>
    </x:row>
    <x:row r="1338" ht="21" customHeight="1">
      <x:c r="A1338" s="2" t="str">
        <x:v>EV001249</x:v>
      </x:c>
      <x:c r="B1338" s="2" t="str">
        <x:v>T20261006-4-2</x:v>
      </x:c>
      <x:c r="C1338" s="2" t="str">
        <x:v>ST068</x:v>
      </x:c>
      <x:c r="D1338" s="2" t="str">
        <x:v>6d9af84dd25561b8b07e5e166ae4982a</x:v>
      </x:c>
      <x:c r="E1338" s="2" t="str">
        <x:v>CHECK_IN</x:v>
      </x:c>
      <x:c r="F1338" s="8" t="n">
        <x:v>46301.604409722226</x:v>
      </x:c>
      <x:c r="G1338" s="8" t="n">
        <x:v>46301.60443287037</x:v>
      </x:c>
      <x:c r="H1338" s="2" t="str">
        <x:v>SCH01</x:v>
      </x:c>
      <x:c r="I1338" s="9" t="n">
        <x:v>25.285</x:v>
      </x:c>
      <x:c r="J1338" s="9" t="n">
        <x:v>51.51</x:v>
      </x:c>
      <x:c r="K1338" s="2" t="n">
        <x:v>8</x:v>
      </x:c>
      <x:c r="L1338" s="2" t="str">
        <x:v>Valid</x:v>
      </x:c>
      <x:c r="M1338" s="2" t="str">
        <x:v>QR</x:v>
      </x:c>
      <x:c r="N1338" s="2" t="n">
        <x:v>1</x:v>
      </x:c>
      <x:c r="O1338" s="2" t="str">
        <x:v>Accepted</x:v>
      </x:c>
      <x:c r="P1338" s="2" t="str">
        <x:v>S002</x:v>
      </x:c>
      <x:c r="Q1338" s="2" t="str">
        <x:v>DEV002</x:v>
      </x:c>
      <x:c r="R1338" s="2" t="n">
        <x:v>8</x:v>
      </x:c>
      <x:c r="S1338" s="2" t="str">
        <x:v>Online</x:v>
      </x:c>
      <x:c r="T1338" s="2" t="str">
        <x:v>Synced</x:v>
      </x:c>
    </x:row>
    <x:row r="1339" ht="21" customHeight="1">
      <x:c r="A1339" s="2" t="str">
        <x:v>EV001409</x:v>
      </x:c>
      <x:c r="B1339" s="2" t="str">
        <x:v>T20261006-4-3</x:v>
      </x:c>
      <x:c r="C1339" s="2" t="str">
        <x:v>ST108</x:v>
      </x:c>
      <x:c r="D1339" s="2" t="str">
        <x:v>85ef3b20338dfa9afdf3ae5a4b1ced5c</x:v>
      </x:c>
      <x:c r="E1339" s="2" t="str">
        <x:v>CHECK_IN</x:v>
      </x:c>
      <x:c r="F1339" s="8" t="n">
        <x:v>46301.604409722226</x:v>
      </x:c>
      <x:c r="G1339" s="8" t="n">
        <x:v>46301.60443287037</x:v>
      </x:c>
      <x:c r="H1339" s="2" t="str">
        <x:v>SCH01</x:v>
      </x:c>
      <x:c r="I1339" s="9" t="n">
        <x:v>25.285</x:v>
      </x:c>
      <x:c r="J1339" s="9" t="n">
        <x:v>51.51</x:v>
      </x:c>
      <x:c r="K1339" s="2" t="n">
        <x:v>8</x:v>
      </x:c>
      <x:c r="L1339" s="2" t="str">
        <x:v>Valid</x:v>
      </x:c>
      <x:c r="M1339" s="2" t="str">
        <x:v>QR</x:v>
      </x:c>
      <x:c r="N1339" s="2" t="n">
        <x:v>1</x:v>
      </x:c>
      <x:c r="O1339" s="2" t="str">
        <x:v>Accepted</x:v>
      </x:c>
      <x:c r="P1339" s="2" t="str">
        <x:v>S003</x:v>
      </x:c>
      <x:c r="Q1339" s="2" t="str">
        <x:v>DEV003</x:v>
      </x:c>
      <x:c r="R1339" s="2" t="n">
        <x:v>8</x:v>
      </x:c>
      <x:c r="S1339" s="2" t="str">
        <x:v>Online</x:v>
      </x:c>
      <x:c r="T1339" s="2" t="str">
        <x:v>Synced</x:v>
      </x:c>
    </x:row>
    <x:row r="1340" ht="21" customHeight="1">
      <x:c r="A1340" s="2" t="str">
        <x:v>EV001091</x:v>
      </x:c>
      <x:c r="B1340" s="2" t="str">
        <x:v>T20261006-4-1</x:v>
      </x:c>
      <x:c r="C1340" s="2" t="str">
        <x:v>ST029</x:v>
      </x:c>
      <x:c r="D1340" s="2" t="str">
        <x:v>160c4caa69875e092299cd9b55dcda0b</x:v>
      </x:c>
      <x:c r="E1340" s="2" t="str">
        <x:v>CHECK_IN</x:v>
      </x:c>
      <x:c r="F1340" s="8" t="n">
        <x:v>46301.60444444445</x:v>
      </x:c>
      <x:c r="G1340" s="8" t="n">
        <x:v>46301.604467592595</x:v>
      </x:c>
      <x:c r="H1340" s="2" t="str">
        <x:v>SCH01</x:v>
      </x:c>
      <x:c r="I1340" s="9" t="n">
        <x:v>25.285</x:v>
      </x:c>
      <x:c r="J1340" s="9" t="n">
        <x:v>51.51</x:v>
      </x:c>
      <x:c r="K1340" s="2" t="n">
        <x:v>8</x:v>
      </x:c>
      <x:c r="L1340" s="2" t="str">
        <x:v>Valid</x:v>
      </x:c>
      <x:c r="M1340" s="2" t="str">
        <x:v>QR</x:v>
      </x:c>
      <x:c r="N1340" s="2" t="n">
        <x:v>1</x:v>
      </x:c>
      <x:c r="O1340" s="2" t="str">
        <x:v>Accepted</x:v>
      </x:c>
      <x:c r="P1340" s="2" t="str">
        <x:v>S001</x:v>
      </x:c>
      <x:c r="Q1340" s="2" t="str">
        <x:v>DEV001</x:v>
      </x:c>
      <x:c r="R1340" s="2" t="n">
        <x:v>9</x:v>
      </x:c>
      <x:c r="S1340" s="2" t="str">
        <x:v>Online</x:v>
      </x:c>
      <x:c r="T1340" s="2" t="str">
        <x:v>Synced</x:v>
      </x:c>
    </x:row>
    <x:row r="1341" ht="21" customHeight="1">
      <x:c r="A1341" s="2" t="str">
        <x:v>EV001251</x:v>
      </x:c>
      <x:c r="B1341" s="2" t="str">
        <x:v>T20261006-4-2</x:v>
      </x:c>
      <x:c r="C1341" s="2" t="str">
        <x:v>ST069</x:v>
      </x:c>
      <x:c r="D1341" s="2" t="str">
        <x:v>d453525f57933d1df9d056e2e53ed3e4</x:v>
      </x:c>
      <x:c r="E1341" s="2" t="str">
        <x:v>CHECK_IN</x:v>
      </x:c>
      <x:c r="F1341" s="8" t="n">
        <x:v>46301.60444444445</x:v>
      </x:c>
      <x:c r="G1341" s="8" t="n">
        <x:v>46301.604467592595</x:v>
      </x:c>
      <x:c r="H1341" s="2" t="str">
        <x:v>SCH01</x:v>
      </x:c>
      <x:c r="I1341" s="9" t="n">
        <x:v>25.285</x:v>
      </x:c>
      <x:c r="J1341" s="9" t="n">
        <x:v>51.51</x:v>
      </x:c>
      <x:c r="K1341" s="2" t="n">
        <x:v>8</x:v>
      </x:c>
      <x:c r="L1341" s="2" t="str">
        <x:v>Valid</x:v>
      </x:c>
      <x:c r="M1341" s="2" t="str">
        <x:v>QR</x:v>
      </x:c>
      <x:c r="N1341" s="2" t="n">
        <x:v>1</x:v>
      </x:c>
      <x:c r="O1341" s="2" t="str">
        <x:v>Accepted</x:v>
      </x:c>
      <x:c r="P1341" s="2" t="str">
        <x:v>S002</x:v>
      </x:c>
      <x:c r="Q1341" s="2" t="str">
        <x:v>DEV002</x:v>
      </x:c>
      <x:c r="R1341" s="2" t="n">
        <x:v>9</x:v>
      </x:c>
      <x:c r="S1341" s="2" t="str">
        <x:v>Online</x:v>
      </x:c>
      <x:c r="T1341" s="2" t="str">
        <x:v>Synced</x:v>
      </x:c>
    </x:row>
    <x:row r="1342" ht="21" customHeight="1">
      <x:c r="A1342" s="2" t="str">
        <x:v>EV001411</x:v>
      </x:c>
      <x:c r="B1342" s="2" t="str">
        <x:v>T20261006-4-3</x:v>
      </x:c>
      <x:c r="C1342" s="2" t="str">
        <x:v>ST109</x:v>
      </x:c>
      <x:c r="D1342" s="2" t="str">
        <x:v>dfd493c800846e3efc35048335bd557b</x:v>
      </x:c>
      <x:c r="E1342" s="2" t="str">
        <x:v>CHECK_IN</x:v>
      </x:c>
      <x:c r="F1342" s="8" t="n">
        <x:v>46301.60444444445</x:v>
      </x:c>
      <x:c r="G1342" s="8" t="n">
        <x:v>46301.604467592595</x:v>
      </x:c>
      <x:c r="H1342" s="2" t="str">
        <x:v>SCH01</x:v>
      </x:c>
      <x:c r="I1342" s="9" t="n">
        <x:v>25.285</x:v>
      </x:c>
      <x:c r="J1342" s="9" t="n">
        <x:v>51.51</x:v>
      </x:c>
      <x:c r="K1342" s="2" t="n">
        <x:v>8</x:v>
      </x:c>
      <x:c r="L1342" s="2" t="str">
        <x:v>Valid</x:v>
      </x:c>
      <x:c r="M1342" s="2" t="str">
        <x:v>QR</x:v>
      </x:c>
      <x:c r="N1342" s="2" t="n">
        <x:v>1</x:v>
      </x:c>
      <x:c r="O1342" s="2" t="str">
        <x:v>Accepted</x:v>
      </x:c>
      <x:c r="P1342" s="2" t="str">
        <x:v>S003</x:v>
      </x:c>
      <x:c r="Q1342" s="2" t="str">
        <x:v>DEV003</x:v>
      </x:c>
      <x:c r="R1342" s="2" t="n">
        <x:v>9</x:v>
      </x:c>
      <x:c r="S1342" s="2" t="str">
        <x:v>Online</x:v>
      </x:c>
      <x:c r="T1342" s="2" t="str">
        <x:v>Synced</x:v>
      </x:c>
    </x:row>
    <x:row r="1343" ht="21" customHeight="1">
      <x:c r="A1343" s="2" t="str">
        <x:v>EV001093</x:v>
      </x:c>
      <x:c r="B1343" s="2" t="str">
        <x:v>T20261006-4-1</x:v>
      </x:c>
      <x:c r="C1343" s="2" t="str">
        <x:v>ST030</x:v>
      </x:c>
      <x:c r="D1343" s="2" t="str">
        <x:v>82585187c31166ddecfc4b31343dde64</x:v>
      </x:c>
      <x:c r="E1343" s="2" t="str">
        <x:v>CHECK_IN</x:v>
      </x:c>
      <x:c r="F1343" s="8" t="n">
        <x:v>46301.60447916667</x:v>
      </x:c>
      <x:c r="G1343" s="8" t="n">
        <x:v>46301.60450231482</x:v>
      </x:c>
      <x:c r="H1343" s="2" t="str">
        <x:v>SCH01</x:v>
      </x:c>
      <x:c r="I1343" s="9" t="n">
        <x:v>25.285</x:v>
      </x:c>
      <x:c r="J1343" s="9" t="n">
        <x:v>51.51</x:v>
      </x:c>
      <x:c r="K1343" s="2" t="n">
        <x:v>8</x:v>
      </x:c>
      <x:c r="L1343" s="2" t="str">
        <x:v>Valid</x:v>
      </x:c>
      <x:c r="M1343" s="2" t="str">
        <x:v>QR</x:v>
      </x:c>
      <x:c r="N1343" s="2" t="n">
        <x:v>1</x:v>
      </x:c>
      <x:c r="O1343" s="2" t="str">
        <x:v>Accepted</x:v>
      </x:c>
      <x:c r="P1343" s="2" t="str">
        <x:v>S001</x:v>
      </x:c>
      <x:c r="Q1343" s="2" t="str">
        <x:v>DEV001</x:v>
      </x:c>
      <x:c r="R1343" s="2" t="n">
        <x:v>10</x:v>
      </x:c>
      <x:c r="S1343" s="2" t="str">
        <x:v>Online</x:v>
      </x:c>
      <x:c r="T1343" s="2" t="str">
        <x:v>Synced</x:v>
      </x:c>
    </x:row>
    <x:row r="1344" ht="21" customHeight="1">
      <x:c r="A1344" s="2" t="str">
        <x:v>EV001253</x:v>
      </x:c>
      <x:c r="B1344" s="2" t="str">
        <x:v>T20261006-4-2</x:v>
      </x:c>
      <x:c r="C1344" s="2" t="str">
        <x:v>ST070</x:v>
      </x:c>
      <x:c r="D1344" s="2" t="str">
        <x:v>12a9f1121533e9d2b6402c68cf852c16</x:v>
      </x:c>
      <x:c r="E1344" s="2" t="str">
        <x:v>CHECK_IN</x:v>
      </x:c>
      <x:c r="F1344" s="8" t="n">
        <x:v>46301.60447916667</x:v>
      </x:c>
      <x:c r="G1344" s="8" t="n">
        <x:v>46301.60450231482</x:v>
      </x:c>
      <x:c r="H1344" s="2" t="str">
        <x:v>SCH01</x:v>
      </x:c>
      <x:c r="I1344" s="9" t="n">
        <x:v>25.285</x:v>
      </x:c>
      <x:c r="J1344" s="9" t="n">
        <x:v>51.51</x:v>
      </x:c>
      <x:c r="K1344" s="2" t="n">
        <x:v>8</x:v>
      </x:c>
      <x:c r="L1344" s="2" t="str">
        <x:v>Valid</x:v>
      </x:c>
      <x:c r="M1344" s="2" t="str">
        <x:v>QR</x:v>
      </x:c>
      <x:c r="N1344" s="2" t="n">
        <x:v>1</x:v>
      </x:c>
      <x:c r="O1344" s="2" t="str">
        <x:v>Accepted</x:v>
      </x:c>
      <x:c r="P1344" s="2" t="str">
        <x:v>S002</x:v>
      </x:c>
      <x:c r="Q1344" s="2" t="str">
        <x:v>DEV002</x:v>
      </x:c>
      <x:c r="R1344" s="2" t="n">
        <x:v>10</x:v>
      </x:c>
      <x:c r="S1344" s="2" t="str">
        <x:v>Online</x:v>
      </x:c>
      <x:c r="T1344" s="2" t="str">
        <x:v>Synced</x:v>
      </x:c>
    </x:row>
    <x:row r="1345" ht="21" customHeight="1">
      <x:c r="A1345" s="2" t="str">
        <x:v>EV001413</x:v>
      </x:c>
      <x:c r="B1345" s="2" t="str">
        <x:v>T20261006-4-3</x:v>
      </x:c>
      <x:c r="C1345" s="2" t="str">
        <x:v>ST110</x:v>
      </x:c>
      <x:c r="D1345" s="2" t="str">
        <x:v>4382c0cdcda89fb8cc0f5b9fc03b4c51</x:v>
      </x:c>
      <x:c r="E1345" s="2" t="str">
        <x:v>CHECK_IN</x:v>
      </x:c>
      <x:c r="F1345" s="8" t="n">
        <x:v>46301.60447916667</x:v>
      </x:c>
      <x:c r="G1345" s="8" t="n">
        <x:v>46301.60450231482</x:v>
      </x:c>
      <x:c r="H1345" s="2" t="str">
        <x:v>SCH01</x:v>
      </x:c>
      <x:c r="I1345" s="9" t="n">
        <x:v>25.285</x:v>
      </x:c>
      <x:c r="J1345" s="9" t="n">
        <x:v>51.51</x:v>
      </x:c>
      <x:c r="K1345" s="2" t="n">
        <x:v>8</x:v>
      </x:c>
      <x:c r="L1345" s="2" t="str">
        <x:v>Valid</x:v>
      </x:c>
      <x:c r="M1345" s="2" t="str">
        <x:v>QR</x:v>
      </x:c>
      <x:c r="N1345" s="2" t="n">
        <x:v>1</x:v>
      </x:c>
      <x:c r="O1345" s="2" t="str">
        <x:v>Accepted</x:v>
      </x:c>
      <x:c r="P1345" s="2" t="str">
        <x:v>S003</x:v>
      </x:c>
      <x:c r="Q1345" s="2" t="str">
        <x:v>DEV003</x:v>
      </x:c>
      <x:c r="R1345" s="2" t="n">
        <x:v>10</x:v>
      </x:c>
      <x:c r="S1345" s="2" t="str">
        <x:v>Online</x:v>
      </x:c>
      <x:c r="T1345" s="2" t="str">
        <x:v>Synced</x:v>
      </x:c>
    </x:row>
    <x:row r="1346" ht="21" customHeight="1">
      <x:c r="A1346" s="2" t="str">
        <x:v>EV001078</x:v>
      </x:c>
      <x:c r="B1346" s="2" t="str">
        <x:v>T20261006-4-1</x:v>
      </x:c>
      <x:c r="C1346" s="2" t="str">
        <x:v>ST022</x:v>
      </x:c>
      <x:c r="D1346" s="2" t="str">
        <x:v>32e634064d0319251398d392c471332a</x:v>
      </x:c>
      <x:c r="E1346" s="2" t="str">
        <x:v>CHECK_OUT</x:v>
      </x:c>
      <x:c r="F1346" s="8" t="n">
        <x:v>46301.618784722225</x:v>
      </x:c>
      <x:c r="G1346" s="8" t="n">
        <x:v>46301.61880787037</x:v>
      </x:c>
      <x:c r="H1346" s="2" t="str">
        <x:v>R1S1</x:v>
      </x:c>
      <x:c r="I1346" s="9" t="n">
        <x:v>25.271</x:v>
      </x:c>
      <x:c r="J1346" s="9" t="n">
        <x:v>51.491</x:v>
      </x:c>
      <x:c r="K1346" s="2" t="n">
        <x:v>8</x:v>
      </x:c>
      <x:c r="L1346" s="2" t="str">
        <x:v>Valid</x:v>
      </x:c>
      <x:c r="M1346" s="2" t="str">
        <x:v>QR</x:v>
      </x:c>
      <x:c r="N1346" s="2" t="n">
        <x:v>1</x:v>
      </x:c>
      <x:c r="O1346" s="2" t="str">
        <x:v>Accepted</x:v>
      </x:c>
      <x:c r="P1346" s="2" t="str">
        <x:v>S001</x:v>
      </x:c>
      <x:c r="Q1346" s="2" t="str">
        <x:v>DEV001</x:v>
      </x:c>
      <x:c r="R1346" s="2" t="n">
        <x:v>11</x:v>
      </x:c>
      <x:c r="S1346" s="2" t="str">
        <x:v>Online</x:v>
      </x:c>
      <x:c r="T1346" s="2" t="str">
        <x:v>Synced</x:v>
      </x:c>
    </x:row>
    <x:row r="1347" ht="21" customHeight="1">
      <x:c r="A1347" s="2" t="str">
        <x:v>EV001238</x:v>
      </x:c>
      <x:c r="B1347" s="2" t="str">
        <x:v>T20261006-4-2</x:v>
      </x:c>
      <x:c r="C1347" s="2" t="str">
        <x:v>ST062</x:v>
      </x:c>
      <x:c r="D1347" s="2" t="str">
        <x:v>e0ee324a0d8893ba89d7c618ea194e36</x:v>
      </x:c>
      <x:c r="E1347" s="2" t="str">
        <x:v>CHECK_OUT</x:v>
      </x:c>
      <x:c r="F1347" s="8" t="n">
        <x:v>46301.618784722225</x:v>
      </x:c>
      <x:c r="G1347" s="8" t="n">
        <x:v>46301.61880787037</x:v>
      </x:c>
      <x:c r="H1347" s="2" t="str">
        <x:v>R2S1</x:v>
      </x:c>
      <x:c r="I1347" s="9" t="n">
        <x:v>25.28</x:v>
      </x:c>
      <x:c r="J1347" s="9" t="n">
        <x:v>51.498999999999995</x:v>
      </x:c>
      <x:c r="K1347" s="2" t="n">
        <x:v>8</x:v>
      </x:c>
      <x:c r="L1347" s="2" t="str">
        <x:v>Valid</x:v>
      </x:c>
      <x:c r="M1347" s="2" t="str">
        <x:v>QR</x:v>
      </x:c>
      <x:c r="N1347" s="2" t="n">
        <x:v>1</x:v>
      </x:c>
      <x:c r="O1347" s="2" t="str">
        <x:v>Accepted</x:v>
      </x:c>
      <x:c r="P1347" s="2" t="str">
        <x:v>S002</x:v>
      </x:c>
      <x:c r="Q1347" s="2" t="str">
        <x:v>DEV002</x:v>
      </x:c>
      <x:c r="R1347" s="2" t="n">
        <x:v>11</x:v>
      </x:c>
      <x:c r="S1347" s="2" t="str">
        <x:v>Online</x:v>
      </x:c>
      <x:c r="T1347" s="2" t="str">
        <x:v>Synced</x:v>
      </x:c>
    </x:row>
    <x:row r="1348" ht="21" customHeight="1">
      <x:c r="A1348" s="2" t="str">
        <x:v>EV001398</x:v>
      </x:c>
      <x:c r="B1348" s="2" t="str">
        <x:v>T20261006-4-3</x:v>
      </x:c>
      <x:c r="C1348" s="2" t="str">
        <x:v>ST102</x:v>
      </x:c>
      <x:c r="D1348" s="2" t="str">
        <x:v>6a90d57a6e4b5aedbdcdc5a29cf018e9</x:v>
      </x:c>
      <x:c r="E1348" s="2" t="str">
        <x:v>CHECK_OUT</x:v>
      </x:c>
      <x:c r="F1348" s="8" t="n">
        <x:v>46301.618784722225</x:v>
      </x:c>
      <x:c r="G1348" s="8" t="n">
        <x:v>46301.61880787037</x:v>
      </x:c>
      <x:c r="H1348" s="2" t="str">
        <x:v>R3S1</x:v>
      </x:c>
      <x:c r="I1348" s="9" t="n">
        <x:v>25.289</x:v>
      </x:c>
      <x:c r="J1348" s="9" t="n">
        <x:v>51.507</x:v>
      </x:c>
      <x:c r="K1348" s="2" t="n">
        <x:v>8</x:v>
      </x:c>
      <x:c r="L1348" s="2" t="str">
        <x:v>Valid</x:v>
      </x:c>
      <x:c r="M1348" s="2" t="str">
        <x:v>QR</x:v>
      </x:c>
      <x:c r="N1348" s="2" t="n">
        <x:v>1</x:v>
      </x:c>
      <x:c r="O1348" s="2" t="str">
        <x:v>Accepted</x:v>
      </x:c>
      <x:c r="P1348" s="2" t="str">
        <x:v>S003</x:v>
      </x:c>
      <x:c r="Q1348" s="2" t="str">
        <x:v>DEV003</x:v>
      </x:c>
      <x:c r="R1348" s="2" t="n">
        <x:v>11</x:v>
      </x:c>
      <x:c r="S1348" s="2" t="str">
        <x:v>Online</x:v>
      </x:c>
      <x:c r="T1348" s="2" t="str">
        <x:v>Synced</x:v>
      </x:c>
    </x:row>
    <x:row r="1349" ht="21" customHeight="1">
      <x:c r="A1349" s="2" t="str">
        <x:v>EV001084</x:v>
      </x:c>
      <x:c r="B1349" s="2" t="str">
        <x:v>T20261006-4-1</x:v>
      </x:c>
      <x:c r="C1349" s="2" t="str">
        <x:v>ST025</x:v>
      </x:c>
      <x:c r="D1349" s="2" t="str">
        <x:v>caea48c43f4ccfa85999e7cb546cd774</x:v>
      </x:c>
      <x:c r="E1349" s="2" t="str">
        <x:v>CHECK_OUT</x:v>
      </x:c>
      <x:c r="F1349" s="8" t="n">
        <x:v>46301.618888888894</x:v>
      </x:c>
      <x:c r="G1349" s="8" t="n">
        <x:v>46301.61891203704</x:v>
      </x:c>
      <x:c r="H1349" s="2" t="str">
        <x:v>R1S1</x:v>
      </x:c>
      <x:c r="I1349" s="9" t="n">
        <x:v>25.271</x:v>
      </x:c>
      <x:c r="J1349" s="9" t="n">
        <x:v>51.491</x:v>
      </x:c>
      <x:c r="K1349" s="2" t="n">
        <x:v>8</x:v>
      </x:c>
      <x:c r="L1349" s="2" t="str">
        <x:v>Valid</x:v>
      </x:c>
      <x:c r="M1349" s="2" t="str">
        <x:v>QR</x:v>
      </x:c>
      <x:c r="N1349" s="2" t="n">
        <x:v>1</x:v>
      </x:c>
      <x:c r="O1349" s="2" t="str">
        <x:v>Accepted</x:v>
      </x:c>
      <x:c r="P1349" s="2" t="str">
        <x:v>S001</x:v>
      </x:c>
      <x:c r="Q1349" s="2" t="str">
        <x:v>DEV001</x:v>
      </x:c>
      <x:c r="R1349" s="2" t="n">
        <x:v>12</x:v>
      </x:c>
      <x:c r="S1349" s="2" t="str">
        <x:v>Online</x:v>
      </x:c>
      <x:c r="T1349" s="2" t="str">
        <x:v>Synced</x:v>
      </x:c>
    </x:row>
    <x:row r="1350" ht="21" customHeight="1">
      <x:c r="A1350" s="2" t="str">
        <x:v>EV001244</x:v>
      </x:c>
      <x:c r="B1350" s="2" t="str">
        <x:v>T20261006-4-2</x:v>
      </x:c>
      <x:c r="C1350" s="2" t="str">
        <x:v>ST065</x:v>
      </x:c>
      <x:c r="D1350" s="2" t="str">
        <x:v>6b379c82348acc8be3e0d247197a20bf</x:v>
      </x:c>
      <x:c r="E1350" s="2" t="str">
        <x:v>CHECK_OUT</x:v>
      </x:c>
      <x:c r="F1350" s="8" t="n">
        <x:v>46301.618888888894</x:v>
      </x:c>
      <x:c r="G1350" s="8" t="n">
        <x:v>46301.61891203704</x:v>
      </x:c>
      <x:c r="H1350" s="2" t="str">
        <x:v>R2S1</x:v>
      </x:c>
      <x:c r="I1350" s="9" t="n">
        <x:v>25.28</x:v>
      </x:c>
      <x:c r="J1350" s="9" t="n">
        <x:v>51.498999999999995</x:v>
      </x:c>
      <x:c r="K1350" s="2" t="n">
        <x:v>8</x:v>
      </x:c>
      <x:c r="L1350" s="2" t="str">
        <x:v>Valid</x:v>
      </x:c>
      <x:c r="M1350" s="2" t="str">
        <x:v>QR</x:v>
      </x:c>
      <x:c r="N1350" s="2" t="n">
        <x:v>1</x:v>
      </x:c>
      <x:c r="O1350" s="2" t="str">
        <x:v>Accepted</x:v>
      </x:c>
      <x:c r="P1350" s="2" t="str">
        <x:v>S002</x:v>
      </x:c>
      <x:c r="Q1350" s="2" t="str">
        <x:v>DEV002</x:v>
      </x:c>
      <x:c r="R1350" s="2" t="n">
        <x:v>12</x:v>
      </x:c>
      <x:c r="S1350" s="2" t="str">
        <x:v>Online</x:v>
      </x:c>
      <x:c r="T1350" s="2" t="str">
        <x:v>Synced</x:v>
      </x:c>
    </x:row>
    <x:row r="1351" ht="21" customHeight="1">
      <x:c r="A1351" s="2" t="str">
        <x:v>EV001404</x:v>
      </x:c>
      <x:c r="B1351" s="2" t="str">
        <x:v>T20261006-4-3</x:v>
      </x:c>
      <x:c r="C1351" s="2" t="str">
        <x:v>ST105</x:v>
      </x:c>
      <x:c r="D1351" s="2" t="str">
        <x:v>bbd3ba75eaabf5ca3acef3823a75d885</x:v>
      </x:c>
      <x:c r="E1351" s="2" t="str">
        <x:v>CHECK_OUT</x:v>
      </x:c>
      <x:c r="F1351" s="8" t="n">
        <x:v>46301.618888888894</x:v>
      </x:c>
      <x:c r="G1351" s="8" t="n">
        <x:v>46301.61891203704</x:v>
      </x:c>
      <x:c r="H1351" s="2" t="str">
        <x:v>R3S1</x:v>
      </x:c>
      <x:c r="I1351" s="9" t="n">
        <x:v>25.289</x:v>
      </x:c>
      <x:c r="J1351" s="9" t="n">
        <x:v>51.507</x:v>
      </x:c>
      <x:c r="K1351" s="2" t="n">
        <x:v>8</x:v>
      </x:c>
      <x:c r="L1351" s="2" t="str">
        <x:v>Valid</x:v>
      </x:c>
      <x:c r="M1351" s="2" t="str">
        <x:v>QR</x:v>
      </x:c>
      <x:c r="N1351" s="2" t="n">
        <x:v>1</x:v>
      </x:c>
      <x:c r="O1351" s="2" t="str">
        <x:v>Accepted</x:v>
      </x:c>
      <x:c r="P1351" s="2" t="str">
        <x:v>S003</x:v>
      </x:c>
      <x:c r="Q1351" s="2" t="str">
        <x:v>DEV003</x:v>
      </x:c>
      <x:c r="R1351" s="2" t="n">
        <x:v>12</x:v>
      </x:c>
      <x:c r="S1351" s="2" t="str">
        <x:v>Online</x:v>
      </x:c>
      <x:c r="T1351" s="2" t="str">
        <x:v>Synced</x:v>
      </x:c>
    </x:row>
    <x:row r="1352" ht="21" customHeight="1">
      <x:c r="A1352" s="2" t="str">
        <x:v>EV001090</x:v>
      </x:c>
      <x:c r="B1352" s="2" t="str">
        <x:v>T20261006-4-1</x:v>
      </x:c>
      <x:c r="C1352" s="2" t="str">
        <x:v>ST028</x:v>
      </x:c>
      <x:c r="D1352" s="2" t="str">
        <x:v>af9ca502f5a3f54f1f44ea6d11afd24b</x:v>
      </x:c>
      <x:c r="E1352" s="2" t="str">
        <x:v>CHECK_OUT</x:v>
      </x:c>
      <x:c r="F1352" s="8" t="n">
        <x:v>46301.618993055556</x:v>
      </x:c>
      <x:c r="G1352" s="8" t="n">
        <x:v>46301.6190162037</x:v>
      </x:c>
      <x:c r="H1352" s="2" t="str">
        <x:v>R1S1</x:v>
      </x:c>
      <x:c r="I1352" s="9" t="n">
        <x:v>25.271</x:v>
      </x:c>
      <x:c r="J1352" s="9" t="n">
        <x:v>51.491</x:v>
      </x:c>
      <x:c r="K1352" s="2" t="n">
        <x:v>8</x:v>
      </x:c>
      <x:c r="L1352" s="2" t="str">
        <x:v>Valid</x:v>
      </x:c>
      <x:c r="M1352" s="2" t="str">
        <x:v>QR</x:v>
      </x:c>
      <x:c r="N1352" s="2" t="n">
        <x:v>1</x:v>
      </x:c>
      <x:c r="O1352" s="2" t="str">
        <x:v>Accepted</x:v>
      </x:c>
      <x:c r="P1352" s="2" t="str">
        <x:v>S001</x:v>
      </x:c>
      <x:c r="Q1352" s="2" t="str">
        <x:v>DEV001</x:v>
      </x:c>
      <x:c r="R1352" s="2" t="n">
        <x:v>13</x:v>
      </x:c>
      <x:c r="S1352" s="2" t="str">
        <x:v>Online</x:v>
      </x:c>
      <x:c r="T1352" s="2" t="str">
        <x:v>Synced</x:v>
      </x:c>
    </x:row>
    <x:row r="1353" ht="21" customHeight="1">
      <x:c r="A1353" s="2" t="str">
        <x:v>EV001250</x:v>
      </x:c>
      <x:c r="B1353" s="2" t="str">
        <x:v>T20261006-4-2</x:v>
      </x:c>
      <x:c r="C1353" s="2" t="str">
        <x:v>ST068</x:v>
      </x:c>
      <x:c r="D1353" s="2" t="str">
        <x:v>6d9af84dd25561b8b07e5e166ae4982a</x:v>
      </x:c>
      <x:c r="E1353" s="2" t="str">
        <x:v>CHECK_OUT</x:v>
      </x:c>
      <x:c r="F1353" s="8" t="n">
        <x:v>46301.618993055556</x:v>
      </x:c>
      <x:c r="G1353" s="8" t="n">
        <x:v>46301.6190162037</x:v>
      </x:c>
      <x:c r="H1353" s="2" t="str">
        <x:v>R2S1</x:v>
      </x:c>
      <x:c r="I1353" s="9" t="n">
        <x:v>25.28</x:v>
      </x:c>
      <x:c r="J1353" s="9" t="n">
        <x:v>51.498999999999995</x:v>
      </x:c>
      <x:c r="K1353" s="2" t="n">
        <x:v>8</x:v>
      </x:c>
      <x:c r="L1353" s="2" t="str">
        <x:v>Valid</x:v>
      </x:c>
      <x:c r="M1353" s="2" t="str">
        <x:v>QR</x:v>
      </x:c>
      <x:c r="N1353" s="2" t="n">
        <x:v>1</x:v>
      </x:c>
      <x:c r="O1353" s="2" t="str">
        <x:v>Accepted</x:v>
      </x:c>
      <x:c r="P1353" s="2" t="str">
        <x:v>S002</x:v>
      </x:c>
      <x:c r="Q1353" s="2" t="str">
        <x:v>DEV002</x:v>
      </x:c>
      <x:c r="R1353" s="2" t="n">
        <x:v>13</x:v>
      </x:c>
      <x:c r="S1353" s="2" t="str">
        <x:v>Online</x:v>
      </x:c>
      <x:c r="T1353" s="2" t="str">
        <x:v>Synced</x:v>
      </x:c>
    </x:row>
    <x:row r="1354" ht="21" customHeight="1">
      <x:c r="A1354" s="2" t="str">
        <x:v>EV001410</x:v>
      </x:c>
      <x:c r="B1354" s="2" t="str">
        <x:v>T20261006-4-3</x:v>
      </x:c>
      <x:c r="C1354" s="2" t="str">
        <x:v>ST108</x:v>
      </x:c>
      <x:c r="D1354" s="2" t="str">
        <x:v>85ef3b20338dfa9afdf3ae5a4b1ced5c</x:v>
      </x:c>
      <x:c r="E1354" s="2" t="str">
        <x:v>CHECK_OUT</x:v>
      </x:c>
      <x:c r="F1354" s="8" t="n">
        <x:v>46301.618993055556</x:v>
      </x:c>
      <x:c r="G1354" s="8" t="n">
        <x:v>46301.6190162037</x:v>
      </x:c>
      <x:c r="H1354" s="2" t="str">
        <x:v>R3S1</x:v>
      </x:c>
      <x:c r="I1354" s="9" t="n">
        <x:v>25.289</x:v>
      </x:c>
      <x:c r="J1354" s="9" t="n">
        <x:v>51.507</x:v>
      </x:c>
      <x:c r="K1354" s="2" t="n">
        <x:v>8</x:v>
      </x:c>
      <x:c r="L1354" s="2" t="str">
        <x:v>Valid</x:v>
      </x:c>
      <x:c r="M1354" s="2" t="str">
        <x:v>QR</x:v>
      </x:c>
      <x:c r="N1354" s="2" t="n">
        <x:v>1</x:v>
      </x:c>
      <x:c r="O1354" s="2" t="str">
        <x:v>Accepted</x:v>
      </x:c>
      <x:c r="P1354" s="2" t="str">
        <x:v>S003</x:v>
      </x:c>
      <x:c r="Q1354" s="2" t="str">
        <x:v>DEV003</x:v>
      </x:c>
      <x:c r="R1354" s="2" t="n">
        <x:v>13</x:v>
      </x:c>
      <x:c r="S1354" s="2" t="str">
        <x:v>Online</x:v>
      </x:c>
      <x:c r="T1354" s="2" t="str">
        <x:v>Synced</x:v>
      </x:c>
    </x:row>
    <x:row r="1355" ht="21" customHeight="1">
      <x:c r="A1355" s="2" t="str">
        <x:v>EV001080</x:v>
      </x:c>
      <x:c r="B1355" s="2" t="str">
        <x:v>T20261006-4-1</x:v>
      </x:c>
      <x:c r="C1355" s="2" t="str">
        <x:v>ST023</x:v>
      </x:c>
      <x:c r="D1355" s="2" t="str">
        <x:v>1836074fce688580737a08d14a26fa79</x:v>
      </x:c>
      <x:c r="E1355" s="2" t="str">
        <x:v>CHECK_OUT</x:v>
      </x:c>
      <x:c r="F1355" s="8" t="n">
        <x:v>46301.62298611111</x:v>
      </x:c>
      <x:c r="G1355" s="8" t="n">
        <x:v>46301.62300925926</x:v>
      </x:c>
      <x:c r="H1355" s="2" t="str">
        <x:v>R1S2</x:v>
      </x:c>
      <x:c r="I1355" s="9" t="n">
        <x:v>25.273000000000003</x:v>
      </x:c>
      <x:c r="J1355" s="9" t="n">
        <x:v>51.494</x:v>
      </x:c>
      <x:c r="K1355" s="2" t="n">
        <x:v>8</x:v>
      </x:c>
      <x:c r="L1355" s="2" t="str">
        <x:v>Valid</x:v>
      </x:c>
      <x:c r="M1355" s="2" t="str">
        <x:v>QR</x:v>
      </x:c>
      <x:c r="N1355" s="2" t="n">
        <x:v>1</x:v>
      </x:c>
      <x:c r="O1355" s="2" t="str">
        <x:v>Accepted</x:v>
      </x:c>
      <x:c r="P1355" s="2" t="str">
        <x:v>S001</x:v>
      </x:c>
      <x:c r="Q1355" s="2" t="str">
        <x:v>DEV001</x:v>
      </x:c>
      <x:c r="R1355" s="2" t="n">
        <x:v>14</x:v>
      </x:c>
      <x:c r="S1355" s="2" t="str">
        <x:v>Online</x:v>
      </x:c>
      <x:c r="T1355" s="2" t="str">
        <x:v>Synced</x:v>
      </x:c>
    </x:row>
    <x:row r="1356" ht="21" customHeight="1">
      <x:c r="A1356" s="2" t="str">
        <x:v>EV001240</x:v>
      </x:c>
      <x:c r="B1356" s="2" t="str">
        <x:v>T20261006-4-2</x:v>
      </x:c>
      <x:c r="C1356" s="2" t="str">
        <x:v>ST063</x:v>
      </x:c>
      <x:c r="D1356" s="2" t="str">
        <x:v>46a3e8e97cbe04af0173a75d9cdbcebf</x:v>
      </x:c>
      <x:c r="E1356" s="2" t="str">
        <x:v>CHECK_OUT</x:v>
      </x:c>
      <x:c r="F1356" s="8" t="n">
        <x:v>46301.62298611111</x:v>
      </x:c>
      <x:c r="G1356" s="8" t="n">
        <x:v>46301.62300925926</x:v>
      </x:c>
      <x:c r="H1356" s="2" t="str">
        <x:v>R2S2</x:v>
      </x:c>
      <x:c r="I1356" s="9" t="n">
        <x:v>25.282000000000004</x:v>
      </x:c>
      <x:c r="J1356" s="9" t="n">
        <x:v>51.501999999999995</x:v>
      </x:c>
      <x:c r="K1356" s="2" t="n">
        <x:v>8</x:v>
      </x:c>
      <x:c r="L1356" s="2" t="str">
        <x:v>Valid</x:v>
      </x:c>
      <x:c r="M1356" s="2" t="str">
        <x:v>QR</x:v>
      </x:c>
      <x:c r="N1356" s="2" t="n">
        <x:v>1</x:v>
      </x:c>
      <x:c r="O1356" s="2" t="str">
        <x:v>Accepted</x:v>
      </x:c>
      <x:c r="P1356" s="2" t="str">
        <x:v>S002</x:v>
      </x:c>
      <x:c r="Q1356" s="2" t="str">
        <x:v>DEV002</x:v>
      </x:c>
      <x:c r="R1356" s="2" t="n">
        <x:v>14</x:v>
      </x:c>
      <x:c r="S1356" s="2" t="str">
        <x:v>Online</x:v>
      </x:c>
      <x:c r="T1356" s="2" t="str">
        <x:v>Synced</x:v>
      </x:c>
    </x:row>
    <x:row r="1357" ht="21" customHeight="1">
      <x:c r="A1357" s="2" t="str">
        <x:v>EV001400</x:v>
      </x:c>
      <x:c r="B1357" s="2" t="str">
        <x:v>T20261006-4-3</x:v>
      </x:c>
      <x:c r="C1357" s="2" t="str">
        <x:v>ST103</x:v>
      </x:c>
      <x:c r="D1357" s="2" t="str">
        <x:v>5982cfca835e14d82ed8b6562c1a172d</x:v>
      </x:c>
      <x:c r="E1357" s="2" t="str">
        <x:v>CHECK_OUT</x:v>
      </x:c>
      <x:c r="F1357" s="8" t="n">
        <x:v>46301.62298611111</x:v>
      </x:c>
      <x:c r="G1357" s="8" t="n">
        <x:v>46301.62300925926</x:v>
      </x:c>
      <x:c r="H1357" s="2" t="str">
        <x:v>R3S2</x:v>
      </x:c>
      <x:c r="I1357" s="9" t="n">
        <x:v>25.291000000000004</x:v>
      </x:c>
      <x:c r="J1357" s="9" t="n">
        <x:v>51.51</x:v>
      </x:c>
      <x:c r="K1357" s="2" t="n">
        <x:v>8</x:v>
      </x:c>
      <x:c r="L1357" s="2" t="str">
        <x:v>Valid</x:v>
      </x:c>
      <x:c r="M1357" s="2" t="str">
        <x:v>QR</x:v>
      </x:c>
      <x:c r="N1357" s="2" t="n">
        <x:v>1</x:v>
      </x:c>
      <x:c r="O1357" s="2" t="str">
        <x:v>Accepted</x:v>
      </x:c>
      <x:c r="P1357" s="2" t="str">
        <x:v>S003</x:v>
      </x:c>
      <x:c r="Q1357" s="2" t="str">
        <x:v>DEV003</x:v>
      </x:c>
      <x:c r="R1357" s="2" t="n">
        <x:v>14</x:v>
      </x:c>
      <x:c r="S1357" s="2" t="str">
        <x:v>Online</x:v>
      </x:c>
      <x:c r="T1357" s="2" t="str">
        <x:v>Synced</x:v>
      </x:c>
    </x:row>
    <x:row r="1358" ht="21" customHeight="1">
      <x:c r="A1358" s="2" t="str">
        <x:v>EV001086</x:v>
      </x:c>
      <x:c r="B1358" s="2" t="str">
        <x:v>T20261006-4-1</x:v>
      </x:c>
      <x:c r="C1358" s="2" t="str">
        <x:v>ST026</x:v>
      </x:c>
      <x:c r="D1358" s="2" t="str">
        <x:v>56aea196eabcf09e1199afbd5e8907b0</x:v>
      </x:c>
      <x:c r="E1358" s="2" t="str">
        <x:v>CHECK_OUT</x:v>
      </x:c>
      <x:c r="F1358" s="8" t="n">
        <x:v>46301.623090277775</x:v>
      </x:c>
      <x:c r="G1358" s="8" t="n">
        <x:v>46301.62311342592</x:v>
      </x:c>
      <x:c r="H1358" s="2" t="str">
        <x:v>R1S2</x:v>
      </x:c>
      <x:c r="I1358" s="9" t="n">
        <x:v>25.273000000000003</x:v>
      </x:c>
      <x:c r="J1358" s="9" t="n">
        <x:v>51.494</x:v>
      </x:c>
      <x:c r="K1358" s="2" t="n">
        <x:v>8</x:v>
      </x:c>
      <x:c r="L1358" s="2" t="str">
        <x:v>Valid</x:v>
      </x:c>
      <x:c r="M1358" s="2" t="str">
        <x:v>QR</x:v>
      </x:c>
      <x:c r="N1358" s="2" t="n">
        <x:v>1</x:v>
      </x:c>
      <x:c r="O1358" s="2" t="str">
        <x:v>Accepted</x:v>
      </x:c>
      <x:c r="P1358" s="2" t="str">
        <x:v>S001</x:v>
      </x:c>
      <x:c r="Q1358" s="2" t="str">
        <x:v>DEV001</x:v>
      </x:c>
      <x:c r="R1358" s="2" t="n">
        <x:v>15</x:v>
      </x:c>
      <x:c r="S1358" s="2" t="str">
        <x:v>Online</x:v>
      </x:c>
      <x:c r="T1358" s="2" t="str">
        <x:v>Synced</x:v>
      </x:c>
    </x:row>
    <x:row r="1359" ht="21" customHeight="1">
      <x:c r="A1359" s="2" t="str">
        <x:v>EV001246</x:v>
      </x:c>
      <x:c r="B1359" s="2" t="str">
        <x:v>T20261006-4-2</x:v>
      </x:c>
      <x:c r="C1359" s="2" t="str">
        <x:v>ST066</x:v>
      </x:c>
      <x:c r="D1359" s="2" t="str">
        <x:v>f1ae8019085f4d0a77552e53fdc22aa7</x:v>
      </x:c>
      <x:c r="E1359" s="2" t="str">
        <x:v>CHECK_OUT</x:v>
      </x:c>
      <x:c r="F1359" s="8" t="n">
        <x:v>46301.623090277775</x:v>
      </x:c>
      <x:c r="G1359" s="8" t="n">
        <x:v>46301.62311342592</x:v>
      </x:c>
      <x:c r="H1359" s="2" t="str">
        <x:v>R2S2</x:v>
      </x:c>
      <x:c r="I1359" s="9" t="n">
        <x:v>25.282000000000004</x:v>
      </x:c>
      <x:c r="J1359" s="9" t="n">
        <x:v>51.501999999999995</x:v>
      </x:c>
      <x:c r="K1359" s="2" t="n">
        <x:v>8</x:v>
      </x:c>
      <x:c r="L1359" s="2" t="str">
        <x:v>Valid</x:v>
      </x:c>
      <x:c r="M1359" s="2" t="str">
        <x:v>QR</x:v>
      </x:c>
      <x:c r="N1359" s="2" t="n">
        <x:v>1</x:v>
      </x:c>
      <x:c r="O1359" s="2" t="str">
        <x:v>Accepted</x:v>
      </x:c>
      <x:c r="P1359" s="2" t="str">
        <x:v>S002</x:v>
      </x:c>
      <x:c r="Q1359" s="2" t="str">
        <x:v>DEV002</x:v>
      </x:c>
      <x:c r="R1359" s="2" t="n">
        <x:v>15</x:v>
      </x:c>
      <x:c r="S1359" s="2" t="str">
        <x:v>Online</x:v>
      </x:c>
      <x:c r="T1359" s="2" t="str">
        <x:v>Synced</x:v>
      </x:c>
    </x:row>
    <x:row r="1360" ht="21" customHeight="1">
      <x:c r="A1360" s="2" t="str">
        <x:v>EV001406</x:v>
      </x:c>
      <x:c r="B1360" s="2" t="str">
        <x:v>T20261006-4-3</x:v>
      </x:c>
      <x:c r="C1360" s="2" t="str">
        <x:v>ST106</x:v>
      </x:c>
      <x:c r="D1360" s="2" t="str">
        <x:v>9bd191644f26d4fc266418c96f36f10b</x:v>
      </x:c>
      <x:c r="E1360" s="2" t="str">
        <x:v>CHECK_OUT</x:v>
      </x:c>
      <x:c r="F1360" s="8" t="n">
        <x:v>46301.623090277775</x:v>
      </x:c>
      <x:c r="G1360" s="8" t="n">
        <x:v>46301.62311342592</x:v>
      </x:c>
      <x:c r="H1360" s="2" t="str">
        <x:v>R3S2</x:v>
      </x:c>
      <x:c r="I1360" s="9" t="n">
        <x:v>25.291000000000004</x:v>
      </x:c>
      <x:c r="J1360" s="9" t="n">
        <x:v>51.51</x:v>
      </x:c>
      <x:c r="K1360" s="2" t="n">
        <x:v>8</x:v>
      </x:c>
      <x:c r="L1360" s="2" t="str">
        <x:v>Valid</x:v>
      </x:c>
      <x:c r="M1360" s="2" t="str">
        <x:v>QR</x:v>
      </x:c>
      <x:c r="N1360" s="2" t="n">
        <x:v>1</x:v>
      </x:c>
      <x:c r="O1360" s="2" t="str">
        <x:v>Accepted</x:v>
      </x:c>
      <x:c r="P1360" s="2" t="str">
        <x:v>S003</x:v>
      </x:c>
      <x:c r="Q1360" s="2" t="str">
        <x:v>DEV003</x:v>
      </x:c>
      <x:c r="R1360" s="2" t="n">
        <x:v>15</x:v>
      </x:c>
      <x:c r="S1360" s="2" t="str">
        <x:v>Online</x:v>
      </x:c>
      <x:c r="T1360" s="2" t="str">
        <x:v>Synced</x:v>
      </x:c>
    </x:row>
    <x:row r="1361" ht="21" customHeight="1">
      <x:c r="A1361" s="2" t="str">
        <x:v>EV001092</x:v>
      </x:c>
      <x:c r="B1361" s="2" t="str">
        <x:v>T20261006-4-1</x:v>
      </x:c>
      <x:c r="C1361" s="2" t="str">
        <x:v>ST029</x:v>
      </x:c>
      <x:c r="D1361" s="2" t="str">
        <x:v>160c4caa69875e092299cd9b55dcda0b</x:v>
      </x:c>
      <x:c r="E1361" s="2" t="str">
        <x:v>CHECK_OUT</x:v>
      </x:c>
      <x:c r="F1361" s="8" t="n">
        <x:v>46301.623194444444</x:v>
      </x:c>
      <x:c r="G1361" s="8" t="n">
        <x:v>46301.62321759259</x:v>
      </x:c>
      <x:c r="H1361" s="2" t="str">
        <x:v>R1S2</x:v>
      </x:c>
      <x:c r="I1361" s="9" t="n">
        <x:v>25.273000000000003</x:v>
      </x:c>
      <x:c r="J1361" s="9" t="n">
        <x:v>51.494</x:v>
      </x:c>
      <x:c r="K1361" s="2" t="n">
        <x:v>8</x:v>
      </x:c>
      <x:c r="L1361" s="2" t="str">
        <x:v>Valid</x:v>
      </x:c>
      <x:c r="M1361" s="2" t="str">
        <x:v>QR</x:v>
      </x:c>
      <x:c r="N1361" s="2" t="n">
        <x:v>1</x:v>
      </x:c>
      <x:c r="O1361" s="2" t="str">
        <x:v>Accepted</x:v>
      </x:c>
      <x:c r="P1361" s="2" t="str">
        <x:v>S001</x:v>
      </x:c>
      <x:c r="Q1361" s="2" t="str">
        <x:v>DEV001</x:v>
      </x:c>
      <x:c r="R1361" s="2" t="n">
        <x:v>16</x:v>
      </x:c>
      <x:c r="S1361" s="2" t="str">
        <x:v>Online</x:v>
      </x:c>
      <x:c r="T1361" s="2" t="str">
        <x:v>Synced</x:v>
      </x:c>
    </x:row>
    <x:row r="1362" ht="21" customHeight="1">
      <x:c r="A1362" s="2" t="str">
        <x:v>EV001252</x:v>
      </x:c>
      <x:c r="B1362" s="2" t="str">
        <x:v>T20261006-4-2</x:v>
      </x:c>
      <x:c r="C1362" s="2" t="str">
        <x:v>ST069</x:v>
      </x:c>
      <x:c r="D1362" s="2" t="str">
        <x:v>d453525f57933d1df9d056e2e53ed3e4</x:v>
      </x:c>
      <x:c r="E1362" s="2" t="str">
        <x:v>CHECK_OUT</x:v>
      </x:c>
      <x:c r="F1362" s="8" t="n">
        <x:v>46301.623194444444</x:v>
      </x:c>
      <x:c r="G1362" s="8" t="n">
        <x:v>46301.62321759259</x:v>
      </x:c>
      <x:c r="H1362" s="2" t="str">
        <x:v>R2S2</x:v>
      </x:c>
      <x:c r="I1362" s="9" t="n">
        <x:v>25.282000000000004</x:v>
      </x:c>
      <x:c r="J1362" s="9" t="n">
        <x:v>51.501999999999995</x:v>
      </x:c>
      <x:c r="K1362" s="2" t="n">
        <x:v>8</x:v>
      </x:c>
      <x:c r="L1362" s="2" t="str">
        <x:v>Valid</x:v>
      </x:c>
      <x:c r="M1362" s="2" t="str">
        <x:v>QR</x:v>
      </x:c>
      <x:c r="N1362" s="2" t="n">
        <x:v>1</x:v>
      </x:c>
      <x:c r="O1362" s="2" t="str">
        <x:v>Accepted</x:v>
      </x:c>
      <x:c r="P1362" s="2" t="str">
        <x:v>S002</x:v>
      </x:c>
      <x:c r="Q1362" s="2" t="str">
        <x:v>DEV002</x:v>
      </x:c>
      <x:c r="R1362" s="2" t="n">
        <x:v>16</x:v>
      </x:c>
      <x:c r="S1362" s="2" t="str">
        <x:v>Online</x:v>
      </x:c>
      <x:c r="T1362" s="2" t="str">
        <x:v>Synced</x:v>
      </x:c>
    </x:row>
    <x:row r="1363" ht="21" customHeight="1">
      <x:c r="A1363" s="2" t="str">
        <x:v>EV001412</x:v>
      </x:c>
      <x:c r="B1363" s="2" t="str">
        <x:v>T20261006-4-3</x:v>
      </x:c>
      <x:c r="C1363" s="2" t="str">
        <x:v>ST109</x:v>
      </x:c>
      <x:c r="D1363" s="2" t="str">
        <x:v>dfd493c800846e3efc35048335bd557b</x:v>
      </x:c>
      <x:c r="E1363" s="2" t="str">
        <x:v>CHECK_OUT</x:v>
      </x:c>
      <x:c r="F1363" s="8" t="n">
        <x:v>46301.623194444444</x:v>
      </x:c>
      <x:c r="G1363" s="8" t="n">
        <x:v>46301.62321759259</x:v>
      </x:c>
      <x:c r="H1363" s="2" t="str">
        <x:v>R3S2</x:v>
      </x:c>
      <x:c r="I1363" s="9" t="n">
        <x:v>25.291000000000004</x:v>
      </x:c>
      <x:c r="J1363" s="9" t="n">
        <x:v>51.51</x:v>
      </x:c>
      <x:c r="K1363" s="2" t="n">
        <x:v>8</x:v>
      </x:c>
      <x:c r="L1363" s="2" t="str">
        <x:v>Valid</x:v>
      </x:c>
      <x:c r="M1363" s="2" t="str">
        <x:v>QR</x:v>
      </x:c>
      <x:c r="N1363" s="2" t="n">
        <x:v>1</x:v>
      </x:c>
      <x:c r="O1363" s="2" t="str">
        <x:v>Accepted</x:v>
      </x:c>
      <x:c r="P1363" s="2" t="str">
        <x:v>S003</x:v>
      </x:c>
      <x:c r="Q1363" s="2" t="str">
        <x:v>DEV003</x:v>
      </x:c>
      <x:c r="R1363" s="2" t="n">
        <x:v>16</x:v>
      </x:c>
      <x:c r="S1363" s="2" t="str">
        <x:v>Online</x:v>
      </x:c>
      <x:c r="T1363" s="2" t="str">
        <x:v>Synced</x:v>
      </x:c>
    </x:row>
    <x:row r="1364" ht="21" customHeight="1">
      <x:c r="A1364" s="2" t="str">
        <x:v>EV001076</x:v>
      </x:c>
      <x:c r="B1364" s="2" t="str">
        <x:v>T20261006-4-1</x:v>
      </x:c>
      <x:c r="C1364" s="2" t="str">
        <x:v>ST021</x:v>
      </x:c>
      <x:c r="D1364" s="2" t="str">
        <x:v>9b1608e5663d6da53cd805c8051dedd7</x:v>
      </x:c>
      <x:c r="E1364" s="2" t="str">
        <x:v>CHECK_OUT</x:v>
      </x:c>
      <x:c r="F1364" s="8" t="n">
        <x:v>46301.62708333333</x:v>
      </x:c>
      <x:c r="G1364" s="8" t="n">
        <x:v>46301.62710648148</x:v>
      </x:c>
      <x:c r="H1364" s="2" t="str">
        <x:v>R1S3</x:v>
      </x:c>
      <x:c r="I1364" s="9" t="n">
        <x:v>25.275000000000002</x:v>
      </x:c>
      <x:c r="J1364" s="9" t="n">
        <x:v>51.497</x:v>
      </x:c>
      <x:c r="K1364" s="2" t="n">
        <x:v>8</x:v>
      </x:c>
      <x:c r="L1364" s="2" t="str">
        <x:v>Valid</x:v>
      </x:c>
      <x:c r="M1364" s="2" t="str">
        <x:v>QR</x:v>
      </x:c>
      <x:c r="N1364" s="2" t="n">
        <x:v>1</x:v>
      </x:c>
      <x:c r="O1364" s="2" t="str">
        <x:v>Accepted</x:v>
      </x:c>
      <x:c r="P1364" s="2" t="str">
        <x:v>S001</x:v>
      </x:c>
      <x:c r="Q1364" s="2" t="str">
        <x:v>DEV001</x:v>
      </x:c>
      <x:c r="R1364" s="2" t="n">
        <x:v>17</x:v>
      </x:c>
      <x:c r="S1364" s="2" t="str">
        <x:v>Online</x:v>
      </x:c>
      <x:c r="T1364" s="2" t="str">
        <x:v>Synced</x:v>
      </x:c>
    </x:row>
    <x:row r="1365" ht="21" customHeight="1">
      <x:c r="A1365" s="2" t="str">
        <x:v>EV001236</x:v>
      </x:c>
      <x:c r="B1365" s="2" t="str">
        <x:v>T20261006-4-2</x:v>
      </x:c>
      <x:c r="C1365" s="2" t="str">
        <x:v>ST061</x:v>
      </x:c>
      <x:c r="D1365" s="2" t="str">
        <x:v>c547cb31f14853ae1f9f2436554d3271</x:v>
      </x:c>
      <x:c r="E1365" s="2" t="str">
        <x:v>CHECK_OUT</x:v>
      </x:c>
      <x:c r="F1365" s="8" t="n">
        <x:v>46301.62708333333</x:v>
      </x:c>
      <x:c r="G1365" s="8" t="n">
        <x:v>46301.62710648148</x:v>
      </x:c>
      <x:c r="H1365" s="2" t="str">
        <x:v>R2S3</x:v>
      </x:c>
      <x:c r="I1365" s="9" t="n">
        <x:v>25.284000000000002</x:v>
      </x:c>
      <x:c r="J1365" s="9" t="n">
        <x:v>51.504999999999995</x:v>
      </x:c>
      <x:c r="K1365" s="2" t="n">
        <x:v>8</x:v>
      </x:c>
      <x:c r="L1365" s="2" t="str">
        <x:v>Valid</x:v>
      </x:c>
      <x:c r="M1365" s="2" t="str">
        <x:v>QR</x:v>
      </x:c>
      <x:c r="N1365" s="2" t="n">
        <x:v>1</x:v>
      </x:c>
      <x:c r="O1365" s="2" t="str">
        <x:v>Accepted</x:v>
      </x:c>
      <x:c r="P1365" s="2" t="str">
        <x:v>S002</x:v>
      </x:c>
      <x:c r="Q1365" s="2" t="str">
        <x:v>DEV002</x:v>
      </x:c>
      <x:c r="R1365" s="2" t="n">
        <x:v>17</x:v>
      </x:c>
      <x:c r="S1365" s="2" t="str">
        <x:v>Online</x:v>
      </x:c>
      <x:c r="T1365" s="2" t="str">
        <x:v>Synced</x:v>
      </x:c>
    </x:row>
    <x:row r="1366" ht="21" customHeight="1">
      <x:c r="A1366" s="2" t="str">
        <x:v>EV001396</x:v>
      </x:c>
      <x:c r="B1366" s="2" t="str">
        <x:v>T20261006-4-3</x:v>
      </x:c>
      <x:c r="C1366" s="2" t="str">
        <x:v>ST101</x:v>
      </x:c>
      <x:c r="D1366" s="2" t="str">
        <x:v>9f8e180c63d3ff8d3e393db3573884a8</x:v>
      </x:c>
      <x:c r="E1366" s="2" t="str">
        <x:v>CHECK_OUT</x:v>
      </x:c>
      <x:c r="F1366" s="8" t="n">
        <x:v>46301.62708333333</x:v>
      </x:c>
      <x:c r="G1366" s="8" t="n">
        <x:v>46301.62710648148</x:v>
      </x:c>
      <x:c r="H1366" s="2" t="str">
        <x:v>R3S3</x:v>
      </x:c>
      <x:c r="I1366" s="9" t="n">
        <x:v>25.293000000000003</x:v>
      </x:c>
      <x:c r="J1366" s="9" t="n">
        <x:v>51.513</x:v>
      </x:c>
      <x:c r="K1366" s="2" t="n">
        <x:v>8</x:v>
      </x:c>
      <x:c r="L1366" s="2" t="str">
        <x:v>Valid</x:v>
      </x:c>
      <x:c r="M1366" s="2" t="str">
        <x:v>QR</x:v>
      </x:c>
      <x:c r="N1366" s="2" t="n">
        <x:v>1</x:v>
      </x:c>
      <x:c r="O1366" s="2" t="str">
        <x:v>Accepted</x:v>
      </x:c>
      <x:c r="P1366" s="2" t="str">
        <x:v>S003</x:v>
      </x:c>
      <x:c r="Q1366" s="2" t="str">
        <x:v>DEV003</x:v>
      </x:c>
      <x:c r="R1366" s="2" t="n">
        <x:v>17</x:v>
      </x:c>
      <x:c r="S1366" s="2" t="str">
        <x:v>Online</x:v>
      </x:c>
      <x:c r="T1366" s="2" t="str">
        <x:v>Synced</x:v>
      </x:c>
    </x:row>
    <x:row r="1367" ht="21" customHeight="1">
      <x:c r="A1367" s="2" t="str">
        <x:v>EV001082</x:v>
      </x:c>
      <x:c r="B1367" s="2" t="str">
        <x:v>T20261006-4-1</x:v>
      </x:c>
      <x:c r="C1367" s="2" t="str">
        <x:v>ST024</x:v>
      </x:c>
      <x:c r="D1367" s="2" t="str">
        <x:v>df785f1577b8ee7f71835020d03a12a6</x:v>
      </x:c>
      <x:c r="E1367" s="2" t="str">
        <x:v>CHECK_OUT</x:v>
      </x:c>
      <x:c r="F1367" s="8" t="n">
        <x:v>46301.6271875</x:v>
      </x:c>
      <x:c r="G1367" s="8" t="n">
        <x:v>46301.62721064815</x:v>
      </x:c>
      <x:c r="H1367" s="2" t="str">
        <x:v>R1S3</x:v>
      </x:c>
      <x:c r="I1367" s="9" t="n">
        <x:v>25.275000000000002</x:v>
      </x:c>
      <x:c r="J1367" s="9" t="n">
        <x:v>51.497</x:v>
      </x:c>
      <x:c r="K1367" s="2" t="n">
        <x:v>8</x:v>
      </x:c>
      <x:c r="L1367" s="2" t="str">
        <x:v>Valid</x:v>
      </x:c>
      <x:c r="M1367" s="2" t="str">
        <x:v>QR</x:v>
      </x:c>
      <x:c r="N1367" s="2" t="n">
        <x:v>1</x:v>
      </x:c>
      <x:c r="O1367" s="2" t="str">
        <x:v>Accepted</x:v>
      </x:c>
      <x:c r="P1367" s="2" t="str">
        <x:v>S001</x:v>
      </x:c>
      <x:c r="Q1367" s="2" t="str">
        <x:v>DEV001</x:v>
      </x:c>
      <x:c r="R1367" s="2" t="n">
        <x:v>18</x:v>
      </x:c>
      <x:c r="S1367" s="2" t="str">
        <x:v>Online</x:v>
      </x:c>
      <x:c r="T1367" s="2" t="str">
        <x:v>Synced</x:v>
      </x:c>
    </x:row>
    <x:row r="1368" ht="21" customHeight="1">
      <x:c r="A1368" s="2" t="str">
        <x:v>EV001242</x:v>
      </x:c>
      <x:c r="B1368" s="2" t="str">
        <x:v>T20261006-4-2</x:v>
      </x:c>
      <x:c r="C1368" s="2" t="str">
        <x:v>ST064</x:v>
      </x:c>
      <x:c r="D1368" s="2" t="str">
        <x:v>80debd99a6cfe1ca0800304796fd69ff</x:v>
      </x:c>
      <x:c r="E1368" s="2" t="str">
        <x:v>CHECK_OUT</x:v>
      </x:c>
      <x:c r="F1368" s="8" t="n">
        <x:v>46301.6271875</x:v>
      </x:c>
      <x:c r="G1368" s="8" t="n">
        <x:v>46301.62721064815</x:v>
      </x:c>
      <x:c r="H1368" s="2" t="str">
        <x:v>R2S3</x:v>
      </x:c>
      <x:c r="I1368" s="9" t="n">
        <x:v>25.284000000000002</x:v>
      </x:c>
      <x:c r="J1368" s="9" t="n">
        <x:v>51.504999999999995</x:v>
      </x:c>
      <x:c r="K1368" s="2" t="n">
        <x:v>8</x:v>
      </x:c>
      <x:c r="L1368" s="2" t="str">
        <x:v>Valid</x:v>
      </x:c>
      <x:c r="M1368" s="2" t="str">
        <x:v>QR</x:v>
      </x:c>
      <x:c r="N1368" s="2" t="n">
        <x:v>1</x:v>
      </x:c>
      <x:c r="O1368" s="2" t="str">
        <x:v>Accepted</x:v>
      </x:c>
      <x:c r="P1368" s="2" t="str">
        <x:v>S002</x:v>
      </x:c>
      <x:c r="Q1368" s="2" t="str">
        <x:v>DEV002</x:v>
      </x:c>
      <x:c r="R1368" s="2" t="n">
        <x:v>18</x:v>
      </x:c>
      <x:c r="S1368" s="2" t="str">
        <x:v>Online</x:v>
      </x:c>
      <x:c r="T1368" s="2" t="str">
        <x:v>Synced</x:v>
      </x:c>
    </x:row>
    <x:row r="1369" ht="21" customHeight="1">
      <x:c r="A1369" s="2" t="str">
        <x:v>EV001402</x:v>
      </x:c>
      <x:c r="B1369" s="2" t="str">
        <x:v>T20261006-4-3</x:v>
      </x:c>
      <x:c r="C1369" s="2" t="str">
        <x:v>ST104</x:v>
      </x:c>
      <x:c r="D1369" s="2" t="str">
        <x:v>12167381f9b78201d830c40ef6208ce4</x:v>
      </x:c>
      <x:c r="E1369" s="2" t="str">
        <x:v>CHECK_OUT</x:v>
      </x:c>
      <x:c r="F1369" s="8" t="n">
        <x:v>46301.6271875</x:v>
      </x:c>
      <x:c r="G1369" s="8" t="n">
        <x:v>46301.62721064815</x:v>
      </x:c>
      <x:c r="H1369" s="2" t="str">
        <x:v>R3S3</x:v>
      </x:c>
      <x:c r="I1369" s="9" t="n">
        <x:v>25.293000000000003</x:v>
      </x:c>
      <x:c r="J1369" s="9" t="n">
        <x:v>51.513</x:v>
      </x:c>
      <x:c r="K1369" s="2" t="n">
        <x:v>8</x:v>
      </x:c>
      <x:c r="L1369" s="2" t="str">
        <x:v>Valid</x:v>
      </x:c>
      <x:c r="M1369" s="2" t="str">
        <x:v>QR</x:v>
      </x:c>
      <x:c r="N1369" s="2" t="n">
        <x:v>1</x:v>
      </x:c>
      <x:c r="O1369" s="2" t="str">
        <x:v>Accepted</x:v>
      </x:c>
      <x:c r="P1369" s="2" t="str">
        <x:v>S003</x:v>
      </x:c>
      <x:c r="Q1369" s="2" t="str">
        <x:v>DEV003</x:v>
      </x:c>
      <x:c r="R1369" s="2" t="n">
        <x:v>18</x:v>
      </x:c>
      <x:c r="S1369" s="2" t="str">
        <x:v>Online</x:v>
      </x:c>
      <x:c r="T1369" s="2" t="str">
        <x:v>Synced</x:v>
      </x:c>
    </x:row>
    <x:row r="1370" ht="21" customHeight="1">
      <x:c r="A1370" s="2" t="str">
        <x:v>EV001088</x:v>
      </x:c>
      <x:c r="B1370" s="2" t="str">
        <x:v>T20261006-4-1</x:v>
      </x:c>
      <x:c r="C1370" s="2" t="str">
        <x:v>ST027</x:v>
      </x:c>
      <x:c r="D1370" s="2" t="str">
        <x:v>87868c08c06226359ca5121a9563bb63</x:v>
      </x:c>
      <x:c r="E1370" s="2" t="str">
        <x:v>CHECK_OUT</x:v>
      </x:c>
      <x:c r="F1370" s="8" t="n">
        <x:v>46301.627291666664</x:v>
      </x:c>
      <x:c r="G1370" s="8" t="n">
        <x:v>46301.62731481481</x:v>
      </x:c>
      <x:c r="H1370" s="2" t="str">
        <x:v>R1S3</x:v>
      </x:c>
      <x:c r="I1370" s="9" t="n">
        <x:v>25.275000000000002</x:v>
      </x:c>
      <x:c r="J1370" s="9" t="n">
        <x:v>51.497</x:v>
      </x:c>
      <x:c r="K1370" s="2" t="n">
        <x:v>8</x:v>
      </x:c>
      <x:c r="L1370" s="2" t="str">
        <x:v>Valid</x:v>
      </x:c>
      <x:c r="M1370" s="2" t="str">
        <x:v>QR</x:v>
      </x:c>
      <x:c r="N1370" s="2" t="n">
        <x:v>1</x:v>
      </x:c>
      <x:c r="O1370" s="2" t="str">
        <x:v>Accepted</x:v>
      </x:c>
      <x:c r="P1370" s="2" t="str">
        <x:v>S001</x:v>
      </x:c>
      <x:c r="Q1370" s="2" t="str">
        <x:v>DEV001</x:v>
      </x:c>
      <x:c r="R1370" s="2" t="n">
        <x:v>19</x:v>
      </x:c>
      <x:c r="S1370" s="2" t="str">
        <x:v>Online</x:v>
      </x:c>
      <x:c r="T1370" s="2" t="str">
        <x:v>Synced</x:v>
      </x:c>
    </x:row>
    <x:row r="1371" ht="21" customHeight="1">
      <x:c r="A1371" s="2" t="str">
        <x:v>EV001248</x:v>
      </x:c>
      <x:c r="B1371" s="2" t="str">
        <x:v>T20261006-4-2</x:v>
      </x:c>
      <x:c r="C1371" s="2" t="str">
        <x:v>ST067</x:v>
      </x:c>
      <x:c r="D1371" s="2" t="str">
        <x:v>66c3e7b11abae76912fea37c6c7ce00c</x:v>
      </x:c>
      <x:c r="E1371" s="2" t="str">
        <x:v>CHECK_OUT</x:v>
      </x:c>
      <x:c r="F1371" s="8" t="n">
        <x:v>46301.627291666664</x:v>
      </x:c>
      <x:c r="G1371" s="8" t="n">
        <x:v>46301.62731481481</x:v>
      </x:c>
      <x:c r="H1371" s="2" t="str">
        <x:v>R2S3</x:v>
      </x:c>
      <x:c r="I1371" s="9" t="n">
        <x:v>25.284000000000002</x:v>
      </x:c>
      <x:c r="J1371" s="9" t="n">
        <x:v>51.504999999999995</x:v>
      </x:c>
      <x:c r="K1371" s="2" t="n">
        <x:v>8</x:v>
      </x:c>
      <x:c r="L1371" s="2" t="str">
        <x:v>Valid</x:v>
      </x:c>
      <x:c r="M1371" s="2" t="str">
        <x:v>QR</x:v>
      </x:c>
      <x:c r="N1371" s="2" t="n">
        <x:v>1</x:v>
      </x:c>
      <x:c r="O1371" s="2" t="str">
        <x:v>Accepted</x:v>
      </x:c>
      <x:c r="P1371" s="2" t="str">
        <x:v>S002</x:v>
      </x:c>
      <x:c r="Q1371" s="2" t="str">
        <x:v>DEV002</x:v>
      </x:c>
      <x:c r="R1371" s="2" t="n">
        <x:v>19</x:v>
      </x:c>
      <x:c r="S1371" s="2" t="str">
        <x:v>Online</x:v>
      </x:c>
      <x:c r="T1371" s="2" t="str">
        <x:v>Synced</x:v>
      </x:c>
    </x:row>
    <x:row r="1372" ht="21" customHeight="1">
      <x:c r="A1372" s="2" t="str">
        <x:v>EV001408</x:v>
      </x:c>
      <x:c r="B1372" s="2" t="str">
        <x:v>T20261006-4-3</x:v>
      </x:c>
      <x:c r="C1372" s="2" t="str">
        <x:v>ST107</x:v>
      </x:c>
      <x:c r="D1372" s="2" t="str">
        <x:v>4a2bb35840a3b4fc7e804e2d710c14f4</x:v>
      </x:c>
      <x:c r="E1372" s="2" t="str">
        <x:v>CHECK_OUT</x:v>
      </x:c>
      <x:c r="F1372" s="8" t="n">
        <x:v>46301.627291666664</x:v>
      </x:c>
      <x:c r="G1372" s="8" t="n">
        <x:v>46301.62731481481</x:v>
      </x:c>
      <x:c r="H1372" s="2" t="str">
        <x:v>R3S3</x:v>
      </x:c>
      <x:c r="I1372" s="9" t="n">
        <x:v>25.293000000000003</x:v>
      </x:c>
      <x:c r="J1372" s="9" t="n">
        <x:v>51.513</x:v>
      </x:c>
      <x:c r="K1372" s="2" t="n">
        <x:v>8</x:v>
      </x:c>
      <x:c r="L1372" s="2" t="str">
        <x:v>Valid</x:v>
      </x:c>
      <x:c r="M1372" s="2" t="str">
        <x:v>QR</x:v>
      </x:c>
      <x:c r="N1372" s="2" t="n">
        <x:v>1</x:v>
      </x:c>
      <x:c r="O1372" s="2" t="str">
        <x:v>Accepted</x:v>
      </x:c>
      <x:c r="P1372" s="2" t="str">
        <x:v>S003</x:v>
      </x:c>
      <x:c r="Q1372" s="2" t="str">
        <x:v>DEV003</x:v>
      </x:c>
      <x:c r="R1372" s="2" t="n">
        <x:v>19</x:v>
      </x:c>
      <x:c r="S1372" s="2" t="str">
        <x:v>Online</x:v>
      </x:c>
      <x:c r="T1372" s="2" t="str">
        <x:v>Synced</x:v>
      </x:c>
    </x:row>
    <x:row r="1373" ht="21" customHeight="1">
      <x:c r="A1373" s="2" t="str">
        <x:v>EV001094</x:v>
      </x:c>
      <x:c r="B1373" s="2" t="str">
        <x:v>T20261006-4-1</x:v>
      </x:c>
      <x:c r="C1373" s="2" t="str">
        <x:v>ST030</x:v>
      </x:c>
      <x:c r="D1373" s="2" t="str">
        <x:v>82585187c31166ddecfc4b31343dde64</x:v>
      </x:c>
      <x:c r="E1373" s="2" t="str">
        <x:v>CHECK_OUT</x:v>
      </x:c>
      <x:c r="F1373" s="8" t="n">
        <x:v>46301.62739583333</x:v>
      </x:c>
      <x:c r="G1373" s="8" t="n">
        <x:v>46301.62741898148</x:v>
      </x:c>
      <x:c r="H1373" s="2" t="str">
        <x:v>R1S3</x:v>
      </x:c>
      <x:c r="I1373" s="9" t="n">
        <x:v>25.275000000000002</x:v>
      </x:c>
      <x:c r="J1373" s="9" t="n">
        <x:v>51.497</x:v>
      </x:c>
      <x:c r="K1373" s="2" t="n">
        <x:v>8</x:v>
      </x:c>
      <x:c r="L1373" s="2" t="str">
        <x:v>Valid</x:v>
      </x:c>
      <x:c r="M1373" s="2" t="str">
        <x:v>QR</x:v>
      </x:c>
      <x:c r="N1373" s="2" t="n">
        <x:v>1</x:v>
      </x:c>
      <x:c r="O1373" s="2" t="str">
        <x:v>Accepted</x:v>
      </x:c>
      <x:c r="P1373" s="2" t="str">
        <x:v>S001</x:v>
      </x:c>
      <x:c r="Q1373" s="2" t="str">
        <x:v>DEV001</x:v>
      </x:c>
      <x:c r="R1373" s="2" t="n">
        <x:v>20</x:v>
      </x:c>
      <x:c r="S1373" s="2" t="str">
        <x:v>Online</x:v>
      </x:c>
      <x:c r="T1373" s="2" t="str">
        <x:v>Synced</x:v>
      </x:c>
    </x:row>
    <x:row r="1374" ht="21" customHeight="1">
      <x:c r="A1374" s="2" t="str">
        <x:v>EV001254</x:v>
      </x:c>
      <x:c r="B1374" s="2" t="str">
        <x:v>T20261006-4-2</x:v>
      </x:c>
      <x:c r="C1374" s="2" t="str">
        <x:v>ST070</x:v>
      </x:c>
      <x:c r="D1374" s="2" t="str">
        <x:v>12a9f1121533e9d2b6402c68cf852c16</x:v>
      </x:c>
      <x:c r="E1374" s="2" t="str">
        <x:v>CHECK_OUT</x:v>
      </x:c>
      <x:c r="F1374" s="8" t="n">
        <x:v>46301.62739583333</x:v>
      </x:c>
      <x:c r="G1374" s="8" t="n">
        <x:v>46301.62741898148</x:v>
      </x:c>
      <x:c r="H1374" s="2" t="str">
        <x:v>R2S3</x:v>
      </x:c>
      <x:c r="I1374" s="9" t="n">
        <x:v>25.284000000000002</x:v>
      </x:c>
      <x:c r="J1374" s="9" t="n">
        <x:v>51.504999999999995</x:v>
      </x:c>
      <x:c r="K1374" s="2" t="n">
        <x:v>8</x:v>
      </x:c>
      <x:c r="L1374" s="2" t="str">
        <x:v>Valid</x:v>
      </x:c>
      <x:c r="M1374" s="2" t="str">
        <x:v>QR</x:v>
      </x:c>
      <x:c r="N1374" s="2" t="n">
        <x:v>1</x:v>
      </x:c>
      <x:c r="O1374" s="2" t="str">
        <x:v>Accepted</x:v>
      </x:c>
      <x:c r="P1374" s="2" t="str">
        <x:v>S002</x:v>
      </x:c>
      <x:c r="Q1374" s="2" t="str">
        <x:v>DEV002</x:v>
      </x:c>
      <x:c r="R1374" s="2" t="n">
        <x:v>20</x:v>
      </x:c>
      <x:c r="S1374" s="2" t="str">
        <x:v>Online</x:v>
      </x:c>
      <x:c r="T1374" s="2" t="str">
        <x:v>Synced</x:v>
      </x:c>
    </x:row>
    <x:row r="1375" ht="21" customHeight="1">
      <x:c r="A1375" s="2" t="str">
        <x:v>EV001414</x:v>
      </x:c>
      <x:c r="B1375" s="2" t="str">
        <x:v>T20261006-4-3</x:v>
      </x:c>
      <x:c r="C1375" s="2" t="str">
        <x:v>ST110</x:v>
      </x:c>
      <x:c r="D1375" s="2" t="str">
        <x:v>4382c0cdcda89fb8cc0f5b9fc03b4c51</x:v>
      </x:c>
      <x:c r="E1375" s="2" t="str">
        <x:v>CHECK_OUT</x:v>
      </x:c>
      <x:c r="F1375" s="8" t="n">
        <x:v>46301.62739583333</x:v>
      </x:c>
      <x:c r="G1375" s="8" t="n">
        <x:v>46301.62741898148</x:v>
      </x:c>
      <x:c r="H1375" s="2" t="str">
        <x:v>R3S3</x:v>
      </x:c>
      <x:c r="I1375" s="9" t="n">
        <x:v>25.293000000000003</x:v>
      </x:c>
      <x:c r="J1375" s="9" t="n">
        <x:v>51.513</x:v>
      </x:c>
      <x:c r="K1375" s="2" t="n">
        <x:v>8</x:v>
      </x:c>
      <x:c r="L1375" s="2" t="str">
        <x:v>Valid</x:v>
      </x:c>
      <x:c r="M1375" s="2" t="str">
        <x:v>QR</x:v>
      </x:c>
      <x:c r="N1375" s="2" t="n">
        <x:v>1</x:v>
      </x:c>
      <x:c r="O1375" s="2" t="str">
        <x:v>Accepted</x:v>
      </x:c>
      <x:c r="P1375" s="2" t="str">
        <x:v>S003</x:v>
      </x:c>
      <x:c r="Q1375" s="2" t="str">
        <x:v>DEV003</x:v>
      </x:c>
      <x:c r="R1375" s="2" t="n">
        <x:v>20</x:v>
      </x:c>
      <x:c r="S1375" s="2" t="str">
        <x:v>Online</x:v>
      </x:c>
      <x:c r="T1375" s="2" t="str">
        <x:v>Synced</x:v>
      </x:c>
    </x:row>
    <x:row r="1376" ht="21" customHeight="1">
      <x:c r="A1376" s="2" t="str">
        <x:v>EV001095</x:v>
      </x:c>
      <x:c r="B1376" s="2" t="str">
        <x:v>T20261006-5-1</x:v>
      </x:c>
      <x:c r="C1376" s="2" t="str">
        <x:v>ST031</x:v>
      </x:c>
      <x:c r="D1376" s="2" t="str">
        <x:v>8ab188e9684e5df87182305d1c7eadac</x:v>
      </x:c>
      <x:c r="E1376" s="2" t="str">
        <x:v>CHECK_IN</x:v>
      </x:c>
      <x:c r="F1376" s="8" t="n">
        <x:v>46301.70833333333</x:v>
      </x:c>
      <x:c r="G1376" s="8" t="n">
        <x:v>46301.708356481475</x:v>
      </x:c>
      <x:c r="H1376" s="2" t="str">
        <x:v>SCH01</x:v>
      </x:c>
      <x:c r="I1376" s="9" t="n">
        <x:v>25.285</x:v>
      </x:c>
      <x:c r="J1376" s="9" t="n">
        <x:v>51.51</x:v>
      </x:c>
      <x:c r="K1376" s="2" t="n">
        <x:v>8</x:v>
      </x:c>
      <x:c r="L1376" s="2" t="str">
        <x:v>Valid</x:v>
      </x:c>
      <x:c r="M1376" s="2" t="str">
        <x:v>QR</x:v>
      </x:c>
      <x:c r="N1376" s="2" t="n">
        <x:v>1</x:v>
      </x:c>
      <x:c r="O1376" s="2" t="str">
        <x:v>Accepted</x:v>
      </x:c>
      <x:c r="P1376" s="2" t="str">
        <x:v>S001</x:v>
      </x:c>
      <x:c r="Q1376" s="2" t="str">
        <x:v>DEV001</x:v>
      </x:c>
      <x:c r="R1376" s="2" t="n">
        <x:v>1</x:v>
      </x:c>
      <x:c r="S1376" s="2" t="str">
        <x:v>Online</x:v>
      </x:c>
      <x:c r="T1376" s="2" t="str">
        <x:v>Synced</x:v>
      </x:c>
    </x:row>
    <x:row r="1377" ht="21" customHeight="1">
      <x:c r="A1377" s="2" t="str">
        <x:v>EV001255</x:v>
      </x:c>
      <x:c r="B1377" s="2" t="str">
        <x:v>T20261006-5-2</x:v>
      </x:c>
      <x:c r="C1377" s="2" t="str">
        <x:v>ST071</x:v>
      </x:c>
      <x:c r="D1377" s="2" t="str">
        <x:v>51895678643dc659a400e702a471294e</x:v>
      </x:c>
      <x:c r="E1377" s="2" t="str">
        <x:v>CHECK_IN</x:v>
      </x:c>
      <x:c r="F1377" s="8" t="n">
        <x:v>46301.70833333333</x:v>
      </x:c>
      <x:c r="G1377" s="8" t="n">
        <x:v>46301.708356481475</x:v>
      </x:c>
      <x:c r="H1377" s="2" t="str">
        <x:v>SCH01</x:v>
      </x:c>
      <x:c r="I1377" s="9" t="n">
        <x:v>25.285</x:v>
      </x:c>
      <x:c r="J1377" s="9" t="n">
        <x:v>51.51</x:v>
      </x:c>
      <x:c r="K1377" s="2" t="n">
        <x:v>8</x:v>
      </x:c>
      <x:c r="L1377" s="2" t="str">
        <x:v>Valid</x:v>
      </x:c>
      <x:c r="M1377" s="2" t="str">
        <x:v>QR</x:v>
      </x:c>
      <x:c r="N1377" s="2" t="n">
        <x:v>1</x:v>
      </x:c>
      <x:c r="O1377" s="2" t="str">
        <x:v>Accepted</x:v>
      </x:c>
      <x:c r="P1377" s="2" t="str">
        <x:v>S002</x:v>
      </x:c>
      <x:c r="Q1377" s="2" t="str">
        <x:v>DEV002</x:v>
      </x:c>
      <x:c r="R1377" s="2" t="n">
        <x:v>1</x:v>
      </x:c>
      <x:c r="S1377" s="2" t="str">
        <x:v>Online</x:v>
      </x:c>
      <x:c r="T1377" s="2" t="str">
        <x:v>Synced</x:v>
      </x:c>
    </x:row>
    <x:row r="1378" ht="21" customHeight="1">
      <x:c r="A1378" s="2" t="str">
        <x:v>EV001415</x:v>
      </x:c>
      <x:c r="B1378" s="2" t="str">
        <x:v>T20261006-5-3</x:v>
      </x:c>
      <x:c r="C1378" s="2" t="str">
        <x:v>ST111</x:v>
      </x:c>
      <x:c r="D1378" s="2" t="str">
        <x:v>e6e9707385e7ee8edd3ac87243757eb2</x:v>
      </x:c>
      <x:c r="E1378" s="2" t="str">
        <x:v>CHECK_IN</x:v>
      </x:c>
      <x:c r="F1378" s="8" t="n">
        <x:v>46301.70833333333</x:v>
      </x:c>
      <x:c r="G1378" s="8" t="n">
        <x:v>46301.708356481475</x:v>
      </x:c>
      <x:c r="H1378" s="2" t="str">
        <x:v>SCH01</x:v>
      </x:c>
      <x:c r="I1378" s="9" t="n">
        <x:v>25.285</x:v>
      </x:c>
      <x:c r="J1378" s="9" t="n">
        <x:v>51.51</x:v>
      </x:c>
      <x:c r="K1378" s="2" t="n">
        <x:v>8</x:v>
      </x:c>
      <x:c r="L1378" s="2" t="str">
        <x:v>Valid</x:v>
      </x:c>
      <x:c r="M1378" s="2" t="str">
        <x:v>QR</x:v>
      </x:c>
      <x:c r="N1378" s="2" t="n">
        <x:v>1</x:v>
      </x:c>
      <x:c r="O1378" s="2" t="str">
        <x:v>Accepted</x:v>
      </x:c>
      <x:c r="P1378" s="2" t="str">
        <x:v>S003</x:v>
      </x:c>
      <x:c r="Q1378" s="2" t="str">
        <x:v>DEV003</x:v>
      </x:c>
      <x:c r="R1378" s="2" t="n">
        <x:v>1</x:v>
      </x:c>
      <x:c r="S1378" s="2" t="str">
        <x:v>Online</x:v>
      </x:c>
      <x:c r="T1378" s="2" t="str">
        <x:v>Synced</x:v>
      </x:c>
    </x:row>
    <x:row r="1379" ht="21" customHeight="1">
      <x:c r="A1379" s="2" t="str">
        <x:v>EV001097</x:v>
      </x:c>
      <x:c r="B1379" s="2" t="str">
        <x:v>T20261006-5-1</x:v>
      </x:c>
      <x:c r="C1379" s="2" t="str">
        <x:v>ST032</x:v>
      </x:c>
      <x:c r="D1379" s="2" t="str">
        <x:v>836e2da54ccde9716995f5651a63e8c5</x:v>
      </x:c>
      <x:c r="E1379" s="2" t="str">
        <x:v>CHECK_IN</x:v>
      </x:c>
      <x:c r="F1379" s="8" t="n">
        <x:v>46301.70836805555</x:v>
      </x:c>
      <x:c r="G1379" s="8" t="n">
        <x:v>46301.7083912037</x:v>
      </x:c>
      <x:c r="H1379" s="2" t="str">
        <x:v>SCH01</x:v>
      </x:c>
      <x:c r="I1379" s="9" t="n">
        <x:v>25.285</x:v>
      </x:c>
      <x:c r="J1379" s="9" t="n">
        <x:v>51.51</x:v>
      </x:c>
      <x:c r="K1379" s="2" t="n">
        <x:v>8</x:v>
      </x:c>
      <x:c r="L1379" s="2" t="str">
        <x:v>Valid</x:v>
      </x:c>
      <x:c r="M1379" s="2" t="str">
        <x:v>QR</x:v>
      </x:c>
      <x:c r="N1379" s="2" t="n">
        <x:v>1</x:v>
      </x:c>
      <x:c r="O1379" s="2" t="str">
        <x:v>Accepted</x:v>
      </x:c>
      <x:c r="P1379" s="2" t="str">
        <x:v>S001</x:v>
      </x:c>
      <x:c r="Q1379" s="2" t="str">
        <x:v>DEV001</x:v>
      </x:c>
      <x:c r="R1379" s="2" t="n">
        <x:v>2</x:v>
      </x:c>
      <x:c r="S1379" s="2" t="str">
        <x:v>Online</x:v>
      </x:c>
      <x:c r="T1379" s="2" t="str">
        <x:v>Synced</x:v>
      </x:c>
    </x:row>
    <x:row r="1380" ht="21" customHeight="1">
      <x:c r="A1380" s="2" t="str">
        <x:v>EV001257</x:v>
      </x:c>
      <x:c r="B1380" s="2" t="str">
        <x:v>T20261006-5-2</x:v>
      </x:c>
      <x:c r="C1380" s="2" t="str">
        <x:v>ST072</x:v>
      </x:c>
      <x:c r="D1380" s="2" t="str">
        <x:v>34067027b5922171fe59ce4d7b756f1c</x:v>
      </x:c>
      <x:c r="E1380" s="2" t="str">
        <x:v>CHECK_IN</x:v>
      </x:c>
      <x:c r="F1380" s="8" t="n">
        <x:v>46301.70836805555</x:v>
      </x:c>
      <x:c r="G1380" s="8" t="n">
        <x:v>46301.7083912037</x:v>
      </x:c>
      <x:c r="H1380" s="2" t="str">
        <x:v>SCH01</x:v>
      </x:c>
      <x:c r="I1380" s="9" t="n">
        <x:v>25.285</x:v>
      </x:c>
      <x:c r="J1380" s="9" t="n">
        <x:v>51.51</x:v>
      </x:c>
      <x:c r="K1380" s="2" t="n">
        <x:v>8</x:v>
      </x:c>
      <x:c r="L1380" s="2" t="str">
        <x:v>Valid</x:v>
      </x:c>
      <x:c r="M1380" s="2" t="str">
        <x:v>QR</x:v>
      </x:c>
      <x:c r="N1380" s="2" t="n">
        <x:v>1</x:v>
      </x:c>
      <x:c r="O1380" s="2" t="str">
        <x:v>Accepted</x:v>
      </x:c>
      <x:c r="P1380" s="2" t="str">
        <x:v>S002</x:v>
      </x:c>
      <x:c r="Q1380" s="2" t="str">
        <x:v>DEV002</x:v>
      </x:c>
      <x:c r="R1380" s="2" t="n">
        <x:v>2</x:v>
      </x:c>
      <x:c r="S1380" s="2" t="str">
        <x:v>Online</x:v>
      </x:c>
      <x:c r="T1380" s="2" t="str">
        <x:v>Synced</x:v>
      </x:c>
    </x:row>
    <x:row r="1381" ht="21" customHeight="1">
      <x:c r="A1381" s="2" t="str">
        <x:v>EV001417</x:v>
      </x:c>
      <x:c r="B1381" s="2" t="str">
        <x:v>T20261006-5-3</x:v>
      </x:c>
      <x:c r="C1381" s="2" t="str">
        <x:v>ST112</x:v>
      </x:c>
      <x:c r="D1381" s="2" t="str">
        <x:v>ca020aefc0d912af9ddca5c7ca7a2f51</x:v>
      </x:c>
      <x:c r="E1381" s="2" t="str">
        <x:v>CHECK_IN</x:v>
      </x:c>
      <x:c r="F1381" s="8" t="n">
        <x:v>46301.70836805555</x:v>
      </x:c>
      <x:c r="G1381" s="8" t="n">
        <x:v>46301.7083912037</x:v>
      </x:c>
      <x:c r="H1381" s="2" t="str">
        <x:v>SCH01</x:v>
      </x:c>
      <x:c r="I1381" s="9" t="n">
        <x:v>25.285</x:v>
      </x:c>
      <x:c r="J1381" s="9" t="n">
        <x:v>51.51</x:v>
      </x:c>
      <x:c r="K1381" s="2" t="n">
        <x:v>8</x:v>
      </x:c>
      <x:c r="L1381" s="2" t="str">
        <x:v>Valid</x:v>
      </x:c>
      <x:c r="M1381" s="2" t="str">
        <x:v>QR</x:v>
      </x:c>
      <x:c r="N1381" s="2" t="n">
        <x:v>1</x:v>
      </x:c>
      <x:c r="O1381" s="2" t="str">
        <x:v>Accepted</x:v>
      </x:c>
      <x:c r="P1381" s="2" t="str">
        <x:v>S003</x:v>
      </x:c>
      <x:c r="Q1381" s="2" t="str">
        <x:v>DEV003</x:v>
      </x:c>
      <x:c r="R1381" s="2" t="n">
        <x:v>2</x:v>
      </x:c>
      <x:c r="S1381" s="2" t="str">
        <x:v>Online</x:v>
      </x:c>
      <x:c r="T1381" s="2" t="str">
        <x:v>Synced</x:v>
      </x:c>
    </x:row>
    <x:row r="1382" ht="21" customHeight="1">
      <x:c r="A1382" s="2" t="str">
        <x:v>EV001099</x:v>
      </x:c>
      <x:c r="B1382" s="2" t="str">
        <x:v>T20261006-5-1</x:v>
      </x:c>
      <x:c r="C1382" s="2" t="str">
        <x:v>ST033</x:v>
      </x:c>
      <x:c r="D1382" s="2" t="str">
        <x:v>c9cc8ddf1b5bae8b49929340838e300a</x:v>
      </x:c>
      <x:c r="E1382" s="2" t="str">
        <x:v>CHECK_IN</x:v>
      </x:c>
      <x:c r="F1382" s="8" t="n">
        <x:v>46301.708402777775</x:v>
      </x:c>
      <x:c r="G1382" s="8" t="n">
        <x:v>46301.70842592592</x:v>
      </x:c>
      <x:c r="H1382" s="2" t="str">
        <x:v>SCH01</x:v>
      </x:c>
      <x:c r="I1382" s="9" t="n">
        <x:v>25.285</x:v>
      </x:c>
      <x:c r="J1382" s="9" t="n">
        <x:v>51.51</x:v>
      </x:c>
      <x:c r="K1382" s="2" t="n">
        <x:v>8</x:v>
      </x:c>
      <x:c r="L1382" s="2" t="str">
        <x:v>Valid</x:v>
      </x:c>
      <x:c r="M1382" s="2" t="str">
        <x:v>QR</x:v>
      </x:c>
      <x:c r="N1382" s="2" t="n">
        <x:v>1</x:v>
      </x:c>
      <x:c r="O1382" s="2" t="str">
        <x:v>Accepted</x:v>
      </x:c>
      <x:c r="P1382" s="2" t="str">
        <x:v>S001</x:v>
      </x:c>
      <x:c r="Q1382" s="2" t="str">
        <x:v>DEV001</x:v>
      </x:c>
      <x:c r="R1382" s="2" t="n">
        <x:v>3</x:v>
      </x:c>
      <x:c r="S1382" s="2" t="str">
        <x:v>Online</x:v>
      </x:c>
      <x:c r="T1382" s="2" t="str">
        <x:v>Synced</x:v>
      </x:c>
    </x:row>
    <x:row r="1383" ht="21" customHeight="1">
      <x:c r="A1383" s="2" t="str">
        <x:v>EV001259</x:v>
      </x:c>
      <x:c r="B1383" s="2" t="str">
        <x:v>T20261006-5-2</x:v>
      </x:c>
      <x:c r="C1383" s="2" t="str">
        <x:v>ST073</x:v>
      </x:c>
      <x:c r="D1383" s="2" t="str">
        <x:v>b27180ce7590c0aac206d465f318b712</x:v>
      </x:c>
      <x:c r="E1383" s="2" t="str">
        <x:v>CHECK_IN</x:v>
      </x:c>
      <x:c r="F1383" s="8" t="n">
        <x:v>46301.708402777775</x:v>
      </x:c>
      <x:c r="G1383" s="8" t="n">
        <x:v>46301.70842592592</x:v>
      </x:c>
      <x:c r="H1383" s="2" t="str">
        <x:v>SCH01</x:v>
      </x:c>
      <x:c r="I1383" s="9" t="n">
        <x:v>25.285</x:v>
      </x:c>
      <x:c r="J1383" s="9" t="n">
        <x:v>51.51</x:v>
      </x:c>
      <x:c r="K1383" s="2" t="n">
        <x:v>8</x:v>
      </x:c>
      <x:c r="L1383" s="2" t="str">
        <x:v>Valid</x:v>
      </x:c>
      <x:c r="M1383" s="2" t="str">
        <x:v>QR</x:v>
      </x:c>
      <x:c r="N1383" s="2" t="n">
        <x:v>1</x:v>
      </x:c>
      <x:c r="O1383" s="2" t="str">
        <x:v>Accepted</x:v>
      </x:c>
      <x:c r="P1383" s="2" t="str">
        <x:v>S002</x:v>
      </x:c>
      <x:c r="Q1383" s="2" t="str">
        <x:v>DEV002</x:v>
      </x:c>
      <x:c r="R1383" s="2" t="n">
        <x:v>3</x:v>
      </x:c>
      <x:c r="S1383" s="2" t="str">
        <x:v>Online</x:v>
      </x:c>
      <x:c r="T1383" s="2" t="str">
        <x:v>Synced</x:v>
      </x:c>
    </x:row>
    <x:row r="1384" ht="21" customHeight="1">
      <x:c r="A1384" s="2" t="str">
        <x:v>EV001419</x:v>
      </x:c>
      <x:c r="B1384" s="2" t="str">
        <x:v>T20261006-5-3</x:v>
      </x:c>
      <x:c r="C1384" s="2" t="str">
        <x:v>ST113</x:v>
      </x:c>
      <x:c r="D1384" s="2" t="str">
        <x:v>c3781e168737a6cc1190d4415801c440</x:v>
      </x:c>
      <x:c r="E1384" s="2" t="str">
        <x:v>CHECK_IN</x:v>
      </x:c>
      <x:c r="F1384" s="8" t="n">
        <x:v>46301.708402777775</x:v>
      </x:c>
      <x:c r="G1384" s="8" t="n">
        <x:v>46301.70842592592</x:v>
      </x:c>
      <x:c r="H1384" s="2" t="str">
        <x:v>SCH01</x:v>
      </x:c>
      <x:c r="I1384" s="9" t="n">
        <x:v>25.285</x:v>
      </x:c>
      <x:c r="J1384" s="9" t="n">
        <x:v>51.51</x:v>
      </x:c>
      <x:c r="K1384" s="2" t="n">
        <x:v>8</x:v>
      </x:c>
      <x:c r="L1384" s="2" t="str">
        <x:v>Valid</x:v>
      </x:c>
      <x:c r="M1384" s="2" t="str">
        <x:v>QR</x:v>
      </x:c>
      <x:c r="N1384" s="2" t="n">
        <x:v>1</x:v>
      </x:c>
      <x:c r="O1384" s="2" t="str">
        <x:v>Accepted</x:v>
      </x:c>
      <x:c r="P1384" s="2" t="str">
        <x:v>S003</x:v>
      </x:c>
      <x:c r="Q1384" s="2" t="str">
        <x:v>DEV003</x:v>
      </x:c>
      <x:c r="R1384" s="2" t="n">
        <x:v>3</x:v>
      </x:c>
      <x:c r="S1384" s="2" t="str">
        <x:v>Online</x:v>
      </x:c>
      <x:c r="T1384" s="2" t="str">
        <x:v>Synced</x:v>
      </x:c>
    </x:row>
    <x:row r="1385" ht="21" customHeight="1">
      <x:c r="A1385" s="2" t="str">
        <x:v>EV001101</x:v>
      </x:c>
      <x:c r="B1385" s="2" t="str">
        <x:v>T20261006-5-1</x:v>
      </x:c>
      <x:c r="C1385" s="2" t="str">
        <x:v>ST034</x:v>
      </x:c>
      <x:c r="D1385" s="2" t="str">
        <x:v>80fbe33bb2df8cab59b55f98f1c8a3d5</x:v>
      </x:c>
      <x:c r="E1385" s="2" t="str">
        <x:v>CHECK_IN</x:v>
      </x:c>
      <x:c r="F1385" s="8" t="n">
        <x:v>46301.7084375</x:v>
      </x:c>
      <x:c r="G1385" s="8" t="n">
        <x:v>46301.708460648144</x:v>
      </x:c>
      <x:c r="H1385" s="2" t="str">
        <x:v>SCH01</x:v>
      </x:c>
      <x:c r="I1385" s="9" t="n">
        <x:v>25.285</x:v>
      </x:c>
      <x:c r="J1385" s="9" t="n">
        <x:v>51.51</x:v>
      </x:c>
      <x:c r="K1385" s="2" t="n">
        <x:v>8</x:v>
      </x:c>
      <x:c r="L1385" s="2" t="str">
        <x:v>Valid</x:v>
      </x:c>
      <x:c r="M1385" s="2" t="str">
        <x:v>QR</x:v>
      </x:c>
      <x:c r="N1385" s="2" t="n">
        <x:v>1</x:v>
      </x:c>
      <x:c r="O1385" s="2" t="str">
        <x:v>Accepted</x:v>
      </x:c>
      <x:c r="P1385" s="2" t="str">
        <x:v>S001</x:v>
      </x:c>
      <x:c r="Q1385" s="2" t="str">
        <x:v>DEV001</x:v>
      </x:c>
      <x:c r="R1385" s="2" t="n">
        <x:v>4</x:v>
      </x:c>
      <x:c r="S1385" s="2" t="str">
        <x:v>Online</x:v>
      </x:c>
      <x:c r="T1385" s="2" t="str">
        <x:v>Synced</x:v>
      </x:c>
    </x:row>
    <x:row r="1386" ht="21" customHeight="1">
      <x:c r="A1386" s="2" t="str">
        <x:v>EV001261</x:v>
      </x:c>
      <x:c r="B1386" s="2" t="str">
        <x:v>T20261006-5-2</x:v>
      </x:c>
      <x:c r="C1386" s="2" t="str">
        <x:v>ST074</x:v>
      </x:c>
      <x:c r="D1386" s="2" t="str">
        <x:v>a9bcbd7cecca4f17e235125ddf0adf7b</x:v>
      </x:c>
      <x:c r="E1386" s="2" t="str">
        <x:v>CHECK_IN</x:v>
      </x:c>
      <x:c r="F1386" s="8" t="n">
        <x:v>46301.7084375</x:v>
      </x:c>
      <x:c r="G1386" s="8" t="n">
        <x:v>46301.708460648144</x:v>
      </x:c>
      <x:c r="H1386" s="2" t="str">
        <x:v>SCH01</x:v>
      </x:c>
      <x:c r="I1386" s="9" t="n">
        <x:v>25.285</x:v>
      </x:c>
      <x:c r="J1386" s="9" t="n">
        <x:v>51.51</x:v>
      </x:c>
      <x:c r="K1386" s="2" t="n">
        <x:v>8</x:v>
      </x:c>
      <x:c r="L1386" s="2" t="str">
        <x:v>Valid</x:v>
      </x:c>
      <x:c r="M1386" s="2" t="str">
        <x:v>QR</x:v>
      </x:c>
      <x:c r="N1386" s="2" t="n">
        <x:v>1</x:v>
      </x:c>
      <x:c r="O1386" s="2" t="str">
        <x:v>Accepted</x:v>
      </x:c>
      <x:c r="P1386" s="2" t="str">
        <x:v>S002</x:v>
      </x:c>
      <x:c r="Q1386" s="2" t="str">
        <x:v>DEV002</x:v>
      </x:c>
      <x:c r="R1386" s="2" t="n">
        <x:v>4</x:v>
      </x:c>
      <x:c r="S1386" s="2" t="str">
        <x:v>Online</x:v>
      </x:c>
      <x:c r="T1386" s="2" t="str">
        <x:v>Synced</x:v>
      </x:c>
    </x:row>
    <x:row r="1387" ht="21" customHeight="1">
      <x:c r="A1387" s="2" t="str">
        <x:v>EV001421</x:v>
      </x:c>
      <x:c r="B1387" s="2" t="str">
        <x:v>T20261006-5-3</x:v>
      </x:c>
      <x:c r="C1387" s="2" t="str">
        <x:v>ST114</x:v>
      </x:c>
      <x:c r="D1387" s="2" t="str">
        <x:v>a5c77bf3b082c3ab825b65c34f1c9f8c</x:v>
      </x:c>
      <x:c r="E1387" s="2" t="str">
        <x:v>CHECK_IN</x:v>
      </x:c>
      <x:c r="F1387" s="8" t="n">
        <x:v>46301.7084375</x:v>
      </x:c>
      <x:c r="G1387" s="8" t="n">
        <x:v>46301.708460648144</x:v>
      </x:c>
      <x:c r="H1387" s="2" t="str">
        <x:v>SCH01</x:v>
      </x:c>
      <x:c r="I1387" s="9" t="n">
        <x:v>25.285</x:v>
      </x:c>
      <x:c r="J1387" s="9" t="n">
        <x:v>51.51</x:v>
      </x:c>
      <x:c r="K1387" s="2" t="n">
        <x:v>8</x:v>
      </x:c>
      <x:c r="L1387" s="2" t="str">
        <x:v>Valid</x:v>
      </x:c>
      <x:c r="M1387" s="2" t="str">
        <x:v>QR</x:v>
      </x:c>
      <x:c r="N1387" s="2" t="n">
        <x:v>1</x:v>
      </x:c>
      <x:c r="O1387" s="2" t="str">
        <x:v>Accepted</x:v>
      </x:c>
      <x:c r="P1387" s="2" t="str">
        <x:v>S003</x:v>
      </x:c>
      <x:c r="Q1387" s="2" t="str">
        <x:v>DEV003</x:v>
      </x:c>
      <x:c r="R1387" s="2" t="n">
        <x:v>4</x:v>
      </x:c>
      <x:c r="S1387" s="2" t="str">
        <x:v>Online</x:v>
      </x:c>
      <x:c r="T1387" s="2" t="str">
        <x:v>Synced</x:v>
      </x:c>
    </x:row>
    <x:row r="1388" ht="21" customHeight="1">
      <x:c r="A1388" s="2" t="str">
        <x:v>EV001103</x:v>
      </x:c>
      <x:c r="B1388" s="2" t="str">
        <x:v>T20261006-5-1</x:v>
      </x:c>
      <x:c r="C1388" s="2" t="str">
        <x:v>ST035</x:v>
      </x:c>
      <x:c r="D1388" s="2" t="str">
        <x:v>45068f3206e9be80993e83e259ea9cdc</x:v>
      </x:c>
      <x:c r="E1388" s="2" t="str">
        <x:v>CHECK_IN</x:v>
      </x:c>
      <x:c r="F1388" s="8" t="n">
        <x:v>46301.70847222222</x:v>
      </x:c>
      <x:c r="G1388" s="8" t="n">
        <x:v>46301.70849537037</x:v>
      </x:c>
      <x:c r="H1388" s="2" t="str">
        <x:v>SCH01</x:v>
      </x:c>
      <x:c r="I1388" s="9" t="n">
        <x:v>25.285</x:v>
      </x:c>
      <x:c r="J1388" s="9" t="n">
        <x:v>51.51</x:v>
      </x:c>
      <x:c r="K1388" s="2" t="n">
        <x:v>8</x:v>
      </x:c>
      <x:c r="L1388" s="2" t="str">
        <x:v>Valid</x:v>
      </x:c>
      <x:c r="M1388" s="2" t="str">
        <x:v>QR</x:v>
      </x:c>
      <x:c r="N1388" s="2" t="n">
        <x:v>1</x:v>
      </x:c>
      <x:c r="O1388" s="2" t="str">
        <x:v>Accepted</x:v>
      </x:c>
      <x:c r="P1388" s="2" t="str">
        <x:v>S001</x:v>
      </x:c>
      <x:c r="Q1388" s="2" t="str">
        <x:v>DEV001</x:v>
      </x:c>
      <x:c r="R1388" s="2" t="n">
        <x:v>5</x:v>
      </x:c>
      <x:c r="S1388" s="2" t="str">
        <x:v>Online</x:v>
      </x:c>
      <x:c r="T1388" s="2" t="str">
        <x:v>Synced</x:v>
      </x:c>
    </x:row>
    <x:row r="1389" ht="21" customHeight="1">
      <x:c r="A1389" s="2" t="str">
        <x:v>EV001263</x:v>
      </x:c>
      <x:c r="B1389" s="2" t="str">
        <x:v>T20261006-5-2</x:v>
      </x:c>
      <x:c r="C1389" s="2" t="str">
        <x:v>ST075</x:v>
      </x:c>
      <x:c r="D1389" s="2" t="str">
        <x:v>3781d00e457977b726407cb845a294cc</x:v>
      </x:c>
      <x:c r="E1389" s="2" t="str">
        <x:v>CHECK_IN</x:v>
      </x:c>
      <x:c r="F1389" s="8" t="n">
        <x:v>46301.70847222222</x:v>
      </x:c>
      <x:c r="G1389" s="8" t="n">
        <x:v>46301.70849537037</x:v>
      </x:c>
      <x:c r="H1389" s="2" t="str">
        <x:v>SCH01</x:v>
      </x:c>
      <x:c r="I1389" s="9" t="n">
        <x:v>25.285</x:v>
      </x:c>
      <x:c r="J1389" s="9" t="n">
        <x:v>51.51</x:v>
      </x:c>
      <x:c r="K1389" s="2" t="n">
        <x:v>8</x:v>
      </x:c>
      <x:c r="L1389" s="2" t="str">
        <x:v>Valid</x:v>
      </x:c>
      <x:c r="M1389" s="2" t="str">
        <x:v>QR</x:v>
      </x:c>
      <x:c r="N1389" s="2" t="n">
        <x:v>1</x:v>
      </x:c>
      <x:c r="O1389" s="2" t="str">
        <x:v>Accepted</x:v>
      </x:c>
      <x:c r="P1389" s="2" t="str">
        <x:v>S002</x:v>
      </x:c>
      <x:c r="Q1389" s="2" t="str">
        <x:v>DEV002</x:v>
      </x:c>
      <x:c r="R1389" s="2" t="n">
        <x:v>5</x:v>
      </x:c>
      <x:c r="S1389" s="2" t="str">
        <x:v>Online</x:v>
      </x:c>
      <x:c r="T1389" s="2" t="str">
        <x:v>Synced</x:v>
      </x:c>
    </x:row>
    <x:row r="1390" ht="21" customHeight="1">
      <x:c r="A1390" s="2" t="str">
        <x:v>EV001423</x:v>
      </x:c>
      <x:c r="B1390" s="2" t="str">
        <x:v>T20261006-5-3</x:v>
      </x:c>
      <x:c r="C1390" s="2" t="str">
        <x:v>ST115</x:v>
      </x:c>
      <x:c r="D1390" s="2" t="str">
        <x:v>dc951b9fd5f4acb1dc2ce3ca2f2e08ab</x:v>
      </x:c>
      <x:c r="E1390" s="2" t="str">
        <x:v>CHECK_IN</x:v>
      </x:c>
      <x:c r="F1390" s="8" t="n">
        <x:v>46301.70847222222</x:v>
      </x:c>
      <x:c r="G1390" s="8" t="n">
        <x:v>46301.70849537037</x:v>
      </x:c>
      <x:c r="H1390" s="2" t="str">
        <x:v>SCH01</x:v>
      </x:c>
      <x:c r="I1390" s="9" t="n">
        <x:v>25.285</x:v>
      </x:c>
      <x:c r="J1390" s="9" t="n">
        <x:v>51.51</x:v>
      </x:c>
      <x:c r="K1390" s="2" t="n">
        <x:v>8</x:v>
      </x:c>
      <x:c r="L1390" s="2" t="str">
        <x:v>Valid</x:v>
      </x:c>
      <x:c r="M1390" s="2" t="str">
        <x:v>QR</x:v>
      </x:c>
      <x:c r="N1390" s="2" t="n">
        <x:v>1</x:v>
      </x:c>
      <x:c r="O1390" s="2" t="str">
        <x:v>Accepted</x:v>
      </x:c>
      <x:c r="P1390" s="2" t="str">
        <x:v>S003</x:v>
      </x:c>
      <x:c r="Q1390" s="2" t="str">
        <x:v>DEV003</x:v>
      </x:c>
      <x:c r="R1390" s="2" t="n">
        <x:v>5</x:v>
      </x:c>
      <x:c r="S1390" s="2" t="str">
        <x:v>Online</x:v>
      </x:c>
      <x:c r="T1390" s="2" t="str">
        <x:v>Synced</x:v>
      </x:c>
    </x:row>
    <x:row r="1391" ht="21" customHeight="1">
      <x:c r="A1391" s="2" t="str">
        <x:v>EV001105</x:v>
      </x:c>
      <x:c r="B1391" s="2" t="str">
        <x:v>T20261006-5-1</x:v>
      </x:c>
      <x:c r="C1391" s="2" t="str">
        <x:v>ST036</x:v>
      </x:c>
      <x:c r="D1391" s="2" t="str">
        <x:v>7e42555e63455121ac9f1b3710bc905c</x:v>
      </x:c>
      <x:c r="E1391" s="2" t="str">
        <x:v>CHECK_IN</x:v>
      </x:c>
      <x:c r="F1391" s="8" t="n">
        <x:v>46301.70850694444</x:v>
      </x:c>
      <x:c r="G1391" s="8" t="n">
        <x:v>46301.70853009258</x:v>
      </x:c>
      <x:c r="H1391" s="2" t="str">
        <x:v>SCH01</x:v>
      </x:c>
      <x:c r="I1391" s="9" t="n">
        <x:v>25.285</x:v>
      </x:c>
      <x:c r="J1391" s="9" t="n">
        <x:v>51.51</x:v>
      </x:c>
      <x:c r="K1391" s="2" t="n">
        <x:v>8</x:v>
      </x:c>
      <x:c r="L1391" s="2" t="str">
        <x:v>Valid</x:v>
      </x:c>
      <x:c r="M1391" s="2" t="str">
        <x:v>QR</x:v>
      </x:c>
      <x:c r="N1391" s="2" t="n">
        <x:v>1</x:v>
      </x:c>
      <x:c r="O1391" s="2" t="str">
        <x:v>Accepted</x:v>
      </x:c>
      <x:c r="P1391" s="2" t="str">
        <x:v>S001</x:v>
      </x:c>
      <x:c r="Q1391" s="2" t="str">
        <x:v>DEV001</x:v>
      </x:c>
      <x:c r="R1391" s="2" t="n">
        <x:v>6</x:v>
      </x:c>
      <x:c r="S1391" s="2" t="str">
        <x:v>Online</x:v>
      </x:c>
      <x:c r="T1391" s="2" t="str">
        <x:v>Synced</x:v>
      </x:c>
    </x:row>
    <x:row r="1392" ht="21" customHeight="1">
      <x:c r="A1392" s="2" t="str">
        <x:v>EV001265</x:v>
      </x:c>
      <x:c r="B1392" s="2" t="str">
        <x:v>T20261006-5-2</x:v>
      </x:c>
      <x:c r="C1392" s="2" t="str">
        <x:v>ST076</x:v>
      </x:c>
      <x:c r="D1392" s="2" t="str">
        <x:v>08979b9eef223b076885fe932d9f2bca</x:v>
      </x:c>
      <x:c r="E1392" s="2" t="str">
        <x:v>CHECK_IN</x:v>
      </x:c>
      <x:c r="F1392" s="8" t="n">
        <x:v>46301.70850694444</x:v>
      </x:c>
      <x:c r="G1392" s="8" t="n">
        <x:v>46301.70853009258</x:v>
      </x:c>
      <x:c r="H1392" s="2" t="str">
        <x:v>SCH01</x:v>
      </x:c>
      <x:c r="I1392" s="9" t="n">
        <x:v>25.285</x:v>
      </x:c>
      <x:c r="J1392" s="9" t="n">
        <x:v>51.51</x:v>
      </x:c>
      <x:c r="K1392" s="2" t="n">
        <x:v>8</x:v>
      </x:c>
      <x:c r="L1392" s="2" t="str">
        <x:v>Valid</x:v>
      </x:c>
      <x:c r="M1392" s="2" t="str">
        <x:v>QR</x:v>
      </x:c>
      <x:c r="N1392" s="2" t="n">
        <x:v>1</x:v>
      </x:c>
      <x:c r="O1392" s="2" t="str">
        <x:v>Accepted</x:v>
      </x:c>
      <x:c r="P1392" s="2" t="str">
        <x:v>S002</x:v>
      </x:c>
      <x:c r="Q1392" s="2" t="str">
        <x:v>DEV002</x:v>
      </x:c>
      <x:c r="R1392" s="2" t="n">
        <x:v>6</x:v>
      </x:c>
      <x:c r="S1392" s="2" t="str">
        <x:v>Online</x:v>
      </x:c>
      <x:c r="T1392" s="2" t="str">
        <x:v>Synced</x:v>
      </x:c>
    </x:row>
    <x:row r="1393" ht="21" customHeight="1">
      <x:c r="A1393" s="2" t="str">
        <x:v>EV001425</x:v>
      </x:c>
      <x:c r="B1393" s="2" t="str">
        <x:v>T20261006-5-3</x:v>
      </x:c>
      <x:c r="C1393" s="2" t="str">
        <x:v>ST116</x:v>
      </x:c>
      <x:c r="D1393" s="2" t="str">
        <x:v>1c1fddc89afc564845795907cf1b7b0e</x:v>
      </x:c>
      <x:c r="E1393" s="2" t="str">
        <x:v>CHECK_IN</x:v>
      </x:c>
      <x:c r="F1393" s="8" t="n">
        <x:v>46301.70850694444</x:v>
      </x:c>
      <x:c r="G1393" s="8" t="n">
        <x:v>46301.70853009258</x:v>
      </x:c>
      <x:c r="H1393" s="2" t="str">
        <x:v>SCH01</x:v>
      </x:c>
      <x:c r="I1393" s="9" t="n">
        <x:v>25.285</x:v>
      </x:c>
      <x:c r="J1393" s="9" t="n">
        <x:v>51.51</x:v>
      </x:c>
      <x:c r="K1393" s="2" t="n">
        <x:v>8</x:v>
      </x:c>
      <x:c r="L1393" s="2" t="str">
        <x:v>Valid</x:v>
      </x:c>
      <x:c r="M1393" s="2" t="str">
        <x:v>QR</x:v>
      </x:c>
      <x:c r="N1393" s="2" t="n">
        <x:v>1</x:v>
      </x:c>
      <x:c r="O1393" s="2" t="str">
        <x:v>Accepted</x:v>
      </x:c>
      <x:c r="P1393" s="2" t="str">
        <x:v>S003</x:v>
      </x:c>
      <x:c r="Q1393" s="2" t="str">
        <x:v>DEV003</x:v>
      </x:c>
      <x:c r="R1393" s="2" t="n">
        <x:v>6</x:v>
      </x:c>
      <x:c r="S1393" s="2" t="str">
        <x:v>Online</x:v>
      </x:c>
      <x:c r="T1393" s="2" t="str">
        <x:v>Synced</x:v>
      </x:c>
    </x:row>
    <x:row r="1394" ht="21" customHeight="1">
      <x:c r="A1394" s="2" t="str">
        <x:v>EV001107</x:v>
      </x:c>
      <x:c r="B1394" s="2" t="str">
        <x:v>T20261006-5-1</x:v>
      </x:c>
      <x:c r="C1394" s="2" t="str">
        <x:v>ST037</x:v>
      </x:c>
      <x:c r="D1394" s="2" t="str">
        <x:v>eb6cdfa5572c8f6959c8b9c84b8ec493</x:v>
      </x:c>
      <x:c r="E1394" s="2" t="str">
        <x:v>CHECK_IN</x:v>
      </x:c>
      <x:c r="F1394" s="8" t="n">
        <x:v>46301.70854166666</x:v>
      </x:c>
      <x:c r="G1394" s="8" t="n">
        <x:v>46301.708564814806</x:v>
      </x:c>
      <x:c r="H1394" s="2" t="str">
        <x:v>SCH01</x:v>
      </x:c>
      <x:c r="I1394" s="9" t="n">
        <x:v>25.285</x:v>
      </x:c>
      <x:c r="J1394" s="9" t="n">
        <x:v>51.51</x:v>
      </x:c>
      <x:c r="K1394" s="2" t="n">
        <x:v>8</x:v>
      </x:c>
      <x:c r="L1394" s="2" t="str">
        <x:v>Valid</x:v>
      </x:c>
      <x:c r="M1394" s="2" t="str">
        <x:v>QR</x:v>
      </x:c>
      <x:c r="N1394" s="2" t="n">
        <x:v>1</x:v>
      </x:c>
      <x:c r="O1394" s="2" t="str">
        <x:v>Accepted</x:v>
      </x:c>
      <x:c r="P1394" s="2" t="str">
        <x:v>S001</x:v>
      </x:c>
      <x:c r="Q1394" s="2" t="str">
        <x:v>DEV001</x:v>
      </x:c>
      <x:c r="R1394" s="2" t="n">
        <x:v>7</x:v>
      </x:c>
      <x:c r="S1394" s="2" t="str">
        <x:v>Online</x:v>
      </x:c>
      <x:c r="T1394" s="2" t="str">
        <x:v>Synced</x:v>
      </x:c>
    </x:row>
    <x:row r="1395" ht="21" customHeight="1">
      <x:c r="A1395" s="2" t="str">
        <x:v>EV001267</x:v>
      </x:c>
      <x:c r="B1395" s="2" t="str">
        <x:v>T20261006-5-2</x:v>
      </x:c>
      <x:c r="C1395" s="2" t="str">
        <x:v>ST077</x:v>
      </x:c>
      <x:c r="D1395" s="2" t="str">
        <x:v>af7b8314f6c372daf48e6b95332f6a0f</x:v>
      </x:c>
      <x:c r="E1395" s="2" t="str">
        <x:v>CHECK_IN</x:v>
      </x:c>
      <x:c r="F1395" s="8" t="n">
        <x:v>46301.70854166666</x:v>
      </x:c>
      <x:c r="G1395" s="8" t="n">
        <x:v>46301.708564814806</x:v>
      </x:c>
      <x:c r="H1395" s="2" t="str">
        <x:v>SCH01</x:v>
      </x:c>
      <x:c r="I1395" s="9" t="n">
        <x:v>25.285</x:v>
      </x:c>
      <x:c r="J1395" s="9" t="n">
        <x:v>51.51</x:v>
      </x:c>
      <x:c r="K1395" s="2" t="n">
        <x:v>8</x:v>
      </x:c>
      <x:c r="L1395" s="2" t="str">
        <x:v>Valid</x:v>
      </x:c>
      <x:c r="M1395" s="2" t="str">
        <x:v>QR</x:v>
      </x:c>
      <x:c r="N1395" s="2" t="n">
        <x:v>1</x:v>
      </x:c>
      <x:c r="O1395" s="2" t="str">
        <x:v>Accepted</x:v>
      </x:c>
      <x:c r="P1395" s="2" t="str">
        <x:v>S002</x:v>
      </x:c>
      <x:c r="Q1395" s="2" t="str">
        <x:v>DEV002</x:v>
      </x:c>
      <x:c r="R1395" s="2" t="n">
        <x:v>7</x:v>
      </x:c>
      <x:c r="S1395" s="2" t="str">
        <x:v>Online</x:v>
      </x:c>
      <x:c r="T1395" s="2" t="str">
        <x:v>Synced</x:v>
      </x:c>
    </x:row>
    <x:row r="1396" ht="21" customHeight="1">
      <x:c r="A1396" s="2" t="str">
        <x:v>EV001427</x:v>
      </x:c>
      <x:c r="B1396" s="2" t="str">
        <x:v>T20261006-5-3</x:v>
      </x:c>
      <x:c r="C1396" s="2" t="str">
        <x:v>ST117</x:v>
      </x:c>
      <x:c r="D1396" s="2" t="str">
        <x:v>195a54aea4adbe89371209e73878e4fe</x:v>
      </x:c>
      <x:c r="E1396" s="2" t="str">
        <x:v>CHECK_IN</x:v>
      </x:c>
      <x:c r="F1396" s="8" t="n">
        <x:v>46301.70854166666</x:v>
      </x:c>
      <x:c r="G1396" s="8" t="n">
        <x:v>46301.708564814806</x:v>
      </x:c>
      <x:c r="H1396" s="2" t="str">
        <x:v>SCH01</x:v>
      </x:c>
      <x:c r="I1396" s="9" t="n">
        <x:v>25.285</x:v>
      </x:c>
      <x:c r="J1396" s="9" t="n">
        <x:v>51.51</x:v>
      </x:c>
      <x:c r="K1396" s="2" t="n">
        <x:v>8</x:v>
      </x:c>
      <x:c r="L1396" s="2" t="str">
        <x:v>Valid</x:v>
      </x:c>
      <x:c r="M1396" s="2" t="str">
        <x:v>QR</x:v>
      </x:c>
      <x:c r="N1396" s="2" t="n">
        <x:v>1</x:v>
      </x:c>
      <x:c r="O1396" s="2" t="str">
        <x:v>Accepted</x:v>
      </x:c>
      <x:c r="P1396" s="2" t="str">
        <x:v>S003</x:v>
      </x:c>
      <x:c r="Q1396" s="2" t="str">
        <x:v>DEV003</x:v>
      </x:c>
      <x:c r="R1396" s="2" t="n">
        <x:v>7</x:v>
      </x:c>
      <x:c r="S1396" s="2" t="str">
        <x:v>Online</x:v>
      </x:c>
      <x:c r="T1396" s="2" t="str">
        <x:v>Synced</x:v>
      </x:c>
    </x:row>
    <x:row r="1397" ht="21" customHeight="1">
      <x:c r="A1397" s="2" t="str">
        <x:v>EV001109</x:v>
      </x:c>
      <x:c r="B1397" s="2" t="str">
        <x:v>T20261006-5-1</x:v>
      </x:c>
      <x:c r="C1397" s="2" t="str">
        <x:v>ST038</x:v>
      </x:c>
      <x:c r="D1397" s="2" t="str">
        <x:v>1ebedd777293ba897970ae7fc06b6301</x:v>
      </x:c>
      <x:c r="E1397" s="2" t="str">
        <x:v>CHECK_IN</x:v>
      </x:c>
      <x:c r="F1397" s="8" t="n">
        <x:v>46301.70857638888</x:v>
      </x:c>
      <x:c r="G1397" s="8" t="n">
        <x:v>46301.70859953703</x:v>
      </x:c>
      <x:c r="H1397" s="2" t="str">
        <x:v>SCH01</x:v>
      </x:c>
      <x:c r="I1397" s="9" t="n">
        <x:v>25.285</x:v>
      </x:c>
      <x:c r="J1397" s="9" t="n">
        <x:v>51.51</x:v>
      </x:c>
      <x:c r="K1397" s="2" t="n">
        <x:v>8</x:v>
      </x:c>
      <x:c r="L1397" s="2" t="str">
        <x:v>Valid</x:v>
      </x:c>
      <x:c r="M1397" s="2" t="str">
        <x:v>QR</x:v>
      </x:c>
      <x:c r="N1397" s="2" t="n">
        <x:v>1</x:v>
      </x:c>
      <x:c r="O1397" s="2" t="str">
        <x:v>Accepted</x:v>
      </x:c>
      <x:c r="P1397" s="2" t="str">
        <x:v>S001</x:v>
      </x:c>
      <x:c r="Q1397" s="2" t="str">
        <x:v>DEV001</x:v>
      </x:c>
      <x:c r="R1397" s="2" t="n">
        <x:v>8</x:v>
      </x:c>
      <x:c r="S1397" s="2" t="str">
        <x:v>Online</x:v>
      </x:c>
      <x:c r="T1397" s="2" t="str">
        <x:v>Synced</x:v>
      </x:c>
    </x:row>
    <x:row r="1398" ht="21" customHeight="1">
      <x:c r="A1398" s="2" t="str">
        <x:v>EV001269</x:v>
      </x:c>
      <x:c r="B1398" s="2" t="str">
        <x:v>T20261006-5-2</x:v>
      </x:c>
      <x:c r="C1398" s="2" t="str">
        <x:v>ST078</x:v>
      </x:c>
      <x:c r="D1398" s="2" t="str">
        <x:v>737ab4e672bf11e638a47ae295f7e187</x:v>
      </x:c>
      <x:c r="E1398" s="2" t="str">
        <x:v>CHECK_IN</x:v>
      </x:c>
      <x:c r="F1398" s="8" t="n">
        <x:v>46301.70857638888</x:v>
      </x:c>
      <x:c r="G1398" s="8" t="n">
        <x:v>46301.70859953703</x:v>
      </x:c>
      <x:c r="H1398" s="2" t="str">
        <x:v>SCH01</x:v>
      </x:c>
      <x:c r="I1398" s="9" t="n">
        <x:v>25.285</x:v>
      </x:c>
      <x:c r="J1398" s="9" t="n">
        <x:v>51.51</x:v>
      </x:c>
      <x:c r="K1398" s="2" t="n">
        <x:v>8</x:v>
      </x:c>
      <x:c r="L1398" s="2" t="str">
        <x:v>Valid</x:v>
      </x:c>
      <x:c r="M1398" s="2" t="str">
        <x:v>QR</x:v>
      </x:c>
      <x:c r="N1398" s="2" t="n">
        <x:v>1</x:v>
      </x:c>
      <x:c r="O1398" s="2" t="str">
        <x:v>Accepted</x:v>
      </x:c>
      <x:c r="P1398" s="2" t="str">
        <x:v>S002</x:v>
      </x:c>
      <x:c r="Q1398" s="2" t="str">
        <x:v>DEV002</x:v>
      </x:c>
      <x:c r="R1398" s="2" t="n">
        <x:v>8</x:v>
      </x:c>
      <x:c r="S1398" s="2" t="str">
        <x:v>Online</x:v>
      </x:c>
      <x:c r="T1398" s="2" t="str">
        <x:v>Synced</x:v>
      </x:c>
    </x:row>
    <x:row r="1399" ht="21" customHeight="1">
      <x:c r="A1399" s="2" t="str">
        <x:v>EV001429</x:v>
      </x:c>
      <x:c r="B1399" s="2" t="str">
        <x:v>T20261006-5-3</x:v>
      </x:c>
      <x:c r="C1399" s="2" t="str">
        <x:v>ST118</x:v>
      </x:c>
      <x:c r="D1399" s="2" t="str">
        <x:v>b15012a6111b47a10bdbbcbbd00c9f60</x:v>
      </x:c>
      <x:c r="E1399" s="2" t="str">
        <x:v>CHECK_IN</x:v>
      </x:c>
      <x:c r="F1399" s="8" t="n">
        <x:v>46301.70857638888</x:v>
      </x:c>
      <x:c r="G1399" s="8" t="n">
        <x:v>46301.70859953703</x:v>
      </x:c>
      <x:c r="H1399" s="2" t="str">
        <x:v>SCH01</x:v>
      </x:c>
      <x:c r="I1399" s="9" t="n">
        <x:v>25.285</x:v>
      </x:c>
      <x:c r="J1399" s="9" t="n">
        <x:v>51.51</x:v>
      </x:c>
      <x:c r="K1399" s="2" t="n">
        <x:v>8</x:v>
      </x:c>
      <x:c r="L1399" s="2" t="str">
        <x:v>Valid</x:v>
      </x:c>
      <x:c r="M1399" s="2" t="str">
        <x:v>QR</x:v>
      </x:c>
      <x:c r="N1399" s="2" t="n">
        <x:v>1</x:v>
      </x:c>
      <x:c r="O1399" s="2" t="str">
        <x:v>Accepted</x:v>
      </x:c>
      <x:c r="P1399" s="2" t="str">
        <x:v>S003</x:v>
      </x:c>
      <x:c r="Q1399" s="2" t="str">
        <x:v>DEV003</x:v>
      </x:c>
      <x:c r="R1399" s="2" t="n">
        <x:v>8</x:v>
      </x:c>
      <x:c r="S1399" s="2" t="str">
        <x:v>Online</x:v>
      </x:c>
      <x:c r="T1399" s="2" t="str">
        <x:v>Synced</x:v>
      </x:c>
    </x:row>
    <x:row r="1400" ht="21" customHeight="1">
      <x:c r="A1400" s="2" t="str">
        <x:v>EV001111</x:v>
      </x:c>
      <x:c r="B1400" s="2" t="str">
        <x:v>T20261006-5-1</x:v>
      </x:c>
      <x:c r="C1400" s="2" t="str">
        <x:v>ST039</x:v>
      </x:c>
      <x:c r="D1400" s="2" t="str">
        <x:v>31ed548c9c06f555ac72ac2281bbb58a</x:v>
      </x:c>
      <x:c r="E1400" s="2" t="str">
        <x:v>CHECK_IN</x:v>
      </x:c>
      <x:c r="F1400" s="8" t="n">
        <x:v>46301.708611111106</x:v>
      </x:c>
      <x:c r="G1400" s="8" t="n">
        <x:v>46301.70863425925</x:v>
      </x:c>
      <x:c r="H1400" s="2" t="str">
        <x:v>SCH01</x:v>
      </x:c>
      <x:c r="I1400" s="9" t="n">
        <x:v>25.285</x:v>
      </x:c>
      <x:c r="J1400" s="9" t="n">
        <x:v>51.51</x:v>
      </x:c>
      <x:c r="K1400" s="2" t="n">
        <x:v>8</x:v>
      </x:c>
      <x:c r="L1400" s="2" t="str">
        <x:v>Valid</x:v>
      </x:c>
      <x:c r="M1400" s="2" t="str">
        <x:v>QR</x:v>
      </x:c>
      <x:c r="N1400" s="2" t="n">
        <x:v>1</x:v>
      </x:c>
      <x:c r="O1400" s="2" t="str">
        <x:v>Accepted</x:v>
      </x:c>
      <x:c r="P1400" s="2" t="str">
        <x:v>S001</x:v>
      </x:c>
      <x:c r="Q1400" s="2" t="str">
        <x:v>DEV001</x:v>
      </x:c>
      <x:c r="R1400" s="2" t="n">
        <x:v>9</x:v>
      </x:c>
      <x:c r="S1400" s="2" t="str">
        <x:v>Online</x:v>
      </x:c>
      <x:c r="T1400" s="2" t="str">
        <x:v>Synced</x:v>
      </x:c>
    </x:row>
    <x:row r="1401" ht="21" customHeight="1">
      <x:c r="A1401" s="2" t="str">
        <x:v>EV001271</x:v>
      </x:c>
      <x:c r="B1401" s="2" t="str">
        <x:v>T20261006-5-2</x:v>
      </x:c>
      <x:c r="C1401" s="2" t="str">
        <x:v>ST079</x:v>
      </x:c>
      <x:c r="D1401" s="2" t="str">
        <x:v>3a794a47ff11773398f2344554eeea57</x:v>
      </x:c>
      <x:c r="E1401" s="2" t="str">
        <x:v>CHECK_IN</x:v>
      </x:c>
      <x:c r="F1401" s="8" t="n">
        <x:v>46301.708611111106</x:v>
      </x:c>
      <x:c r="G1401" s="8" t="n">
        <x:v>46301.70863425925</x:v>
      </x:c>
      <x:c r="H1401" s="2" t="str">
        <x:v>SCH01</x:v>
      </x:c>
      <x:c r="I1401" s="9" t="n">
        <x:v>25.285</x:v>
      </x:c>
      <x:c r="J1401" s="9" t="n">
        <x:v>51.51</x:v>
      </x:c>
      <x:c r="K1401" s="2" t="n">
        <x:v>8</x:v>
      </x:c>
      <x:c r="L1401" s="2" t="str">
        <x:v>Valid</x:v>
      </x:c>
      <x:c r="M1401" s="2" t="str">
        <x:v>QR</x:v>
      </x:c>
      <x:c r="N1401" s="2" t="n">
        <x:v>1</x:v>
      </x:c>
      <x:c r="O1401" s="2" t="str">
        <x:v>Accepted</x:v>
      </x:c>
      <x:c r="P1401" s="2" t="str">
        <x:v>S002</x:v>
      </x:c>
      <x:c r="Q1401" s="2" t="str">
        <x:v>DEV002</x:v>
      </x:c>
      <x:c r="R1401" s="2" t="n">
        <x:v>9</x:v>
      </x:c>
      <x:c r="S1401" s="2" t="str">
        <x:v>Online</x:v>
      </x:c>
      <x:c r="T1401" s="2" t="str">
        <x:v>Synced</x:v>
      </x:c>
    </x:row>
    <x:row r="1402" ht="21" customHeight="1">
      <x:c r="A1402" s="2" t="str">
        <x:v>EV001431</x:v>
      </x:c>
      <x:c r="B1402" s="2" t="str">
        <x:v>T20261006-5-3</x:v>
      </x:c>
      <x:c r="C1402" s="2" t="str">
        <x:v>ST119</x:v>
      </x:c>
      <x:c r="D1402" s="2" t="str">
        <x:v>c01a05a48293e3b7c907c4b326c0d0a8</x:v>
      </x:c>
      <x:c r="E1402" s="2" t="str">
        <x:v>CHECK_IN</x:v>
      </x:c>
      <x:c r="F1402" s="8" t="n">
        <x:v>46301.708611111106</x:v>
      </x:c>
      <x:c r="G1402" s="8" t="n">
        <x:v>46301.70863425925</x:v>
      </x:c>
      <x:c r="H1402" s="2" t="str">
        <x:v>SCH01</x:v>
      </x:c>
      <x:c r="I1402" s="9" t="n">
        <x:v>25.285</x:v>
      </x:c>
      <x:c r="J1402" s="9" t="n">
        <x:v>51.51</x:v>
      </x:c>
      <x:c r="K1402" s="2" t="n">
        <x:v>8</x:v>
      </x:c>
      <x:c r="L1402" s="2" t="str">
        <x:v>Valid</x:v>
      </x:c>
      <x:c r="M1402" s="2" t="str">
        <x:v>QR</x:v>
      </x:c>
      <x:c r="N1402" s="2" t="n">
        <x:v>1</x:v>
      </x:c>
      <x:c r="O1402" s="2" t="str">
        <x:v>Accepted</x:v>
      </x:c>
      <x:c r="P1402" s="2" t="str">
        <x:v>S003</x:v>
      </x:c>
      <x:c r="Q1402" s="2" t="str">
        <x:v>DEV003</x:v>
      </x:c>
      <x:c r="R1402" s="2" t="n">
        <x:v>9</x:v>
      </x:c>
      <x:c r="S1402" s="2" t="str">
        <x:v>Online</x:v>
      </x:c>
      <x:c r="T1402" s="2" t="str">
        <x:v>Synced</x:v>
      </x:c>
    </x:row>
    <x:row r="1403" ht="21" customHeight="1">
      <x:c r="A1403" s="2" t="str">
        <x:v>EV001113</x:v>
      </x:c>
      <x:c r="B1403" s="2" t="str">
        <x:v>T20261006-5-1</x:v>
      </x:c>
      <x:c r="C1403" s="2" t="str">
        <x:v>ST040</x:v>
      </x:c>
      <x:c r="D1403" s="2" t="str">
        <x:v>4cd5e507bb3c8af27cd11d16138dcec0</x:v>
      </x:c>
      <x:c r="E1403" s="2" t="str">
        <x:v>CHECK_IN</x:v>
      </x:c>
      <x:c r="F1403" s="8" t="n">
        <x:v>46301.70864583333</x:v>
      </x:c>
      <x:c r="G1403" s="8" t="n">
        <x:v>46301.708668981475</x:v>
      </x:c>
      <x:c r="H1403" s="2" t="str">
        <x:v>SCH01</x:v>
      </x:c>
      <x:c r="I1403" s="9" t="n">
        <x:v>25.285</x:v>
      </x:c>
      <x:c r="J1403" s="9" t="n">
        <x:v>51.51</x:v>
      </x:c>
      <x:c r="K1403" s="2" t="n">
        <x:v>8</x:v>
      </x:c>
      <x:c r="L1403" s="2" t="str">
        <x:v>Valid</x:v>
      </x:c>
      <x:c r="M1403" s="2" t="str">
        <x:v>QR</x:v>
      </x:c>
      <x:c r="N1403" s="2" t="n">
        <x:v>1</x:v>
      </x:c>
      <x:c r="O1403" s="2" t="str">
        <x:v>Accepted</x:v>
      </x:c>
      <x:c r="P1403" s="2" t="str">
        <x:v>S001</x:v>
      </x:c>
      <x:c r="Q1403" s="2" t="str">
        <x:v>DEV001</x:v>
      </x:c>
      <x:c r="R1403" s="2" t="n">
        <x:v>10</x:v>
      </x:c>
      <x:c r="S1403" s="2" t="str">
        <x:v>Online</x:v>
      </x:c>
      <x:c r="T1403" s="2" t="str">
        <x:v>Synced</x:v>
      </x:c>
    </x:row>
    <x:row r="1404" ht="21" customHeight="1">
      <x:c r="A1404" s="2" t="str">
        <x:v>EV001273</x:v>
      </x:c>
      <x:c r="B1404" s="2" t="str">
        <x:v>T20261006-5-2</x:v>
      </x:c>
      <x:c r="C1404" s="2" t="str">
        <x:v>ST080</x:v>
      </x:c>
      <x:c r="D1404" s="2" t="str">
        <x:v>0abaf17d1472c0347862177fd9880be2</x:v>
      </x:c>
      <x:c r="E1404" s="2" t="str">
        <x:v>CHECK_IN</x:v>
      </x:c>
      <x:c r="F1404" s="8" t="n">
        <x:v>46301.70864583333</x:v>
      </x:c>
      <x:c r="G1404" s="8" t="n">
        <x:v>46301.708668981475</x:v>
      </x:c>
      <x:c r="H1404" s="2" t="str">
        <x:v>SCH01</x:v>
      </x:c>
      <x:c r="I1404" s="9" t="n">
        <x:v>25.285</x:v>
      </x:c>
      <x:c r="J1404" s="9" t="n">
        <x:v>51.51</x:v>
      </x:c>
      <x:c r="K1404" s="2" t="n">
        <x:v>8</x:v>
      </x:c>
      <x:c r="L1404" s="2" t="str">
        <x:v>Valid</x:v>
      </x:c>
      <x:c r="M1404" s="2" t="str">
        <x:v>QR</x:v>
      </x:c>
      <x:c r="N1404" s="2" t="n">
        <x:v>1</x:v>
      </x:c>
      <x:c r="O1404" s="2" t="str">
        <x:v>Accepted</x:v>
      </x:c>
      <x:c r="P1404" s="2" t="str">
        <x:v>S002</x:v>
      </x:c>
      <x:c r="Q1404" s="2" t="str">
        <x:v>DEV002</x:v>
      </x:c>
      <x:c r="R1404" s="2" t="n">
        <x:v>10</x:v>
      </x:c>
      <x:c r="S1404" s="2" t="str">
        <x:v>Online</x:v>
      </x:c>
      <x:c r="T1404" s="2" t="str">
        <x:v>Synced</x:v>
      </x:c>
    </x:row>
    <x:row r="1405" ht="21" customHeight="1">
      <x:c r="A1405" s="2" t="str">
        <x:v>EV001433</x:v>
      </x:c>
      <x:c r="B1405" s="2" t="str">
        <x:v>T20261006-5-3</x:v>
      </x:c>
      <x:c r="C1405" s="2" t="str">
        <x:v>ST120</x:v>
      </x:c>
      <x:c r="D1405" s="2" t="str">
        <x:v>c3749f3342e76b516e5c145f91308219</x:v>
      </x:c>
      <x:c r="E1405" s="2" t="str">
        <x:v>CHECK_IN</x:v>
      </x:c>
      <x:c r="F1405" s="8" t="n">
        <x:v>46301.70864583333</x:v>
      </x:c>
      <x:c r="G1405" s="8" t="n">
        <x:v>46301.708668981475</x:v>
      </x:c>
      <x:c r="H1405" s="2" t="str">
        <x:v>SCH01</x:v>
      </x:c>
      <x:c r="I1405" s="9" t="n">
        <x:v>25.285</x:v>
      </x:c>
      <x:c r="J1405" s="9" t="n">
        <x:v>51.51</x:v>
      </x:c>
      <x:c r="K1405" s="2" t="n">
        <x:v>8</x:v>
      </x:c>
      <x:c r="L1405" s="2" t="str">
        <x:v>Valid</x:v>
      </x:c>
      <x:c r="M1405" s="2" t="str">
        <x:v>QR</x:v>
      </x:c>
      <x:c r="N1405" s="2" t="n">
        <x:v>1</x:v>
      </x:c>
      <x:c r="O1405" s="2" t="str">
        <x:v>Accepted</x:v>
      </x:c>
      <x:c r="P1405" s="2" t="str">
        <x:v>S003</x:v>
      </x:c>
      <x:c r="Q1405" s="2" t="str">
        <x:v>DEV003</x:v>
      </x:c>
      <x:c r="R1405" s="2" t="n">
        <x:v>10</x:v>
      </x:c>
      <x:c r="S1405" s="2" t="str">
        <x:v>Online</x:v>
      </x:c>
      <x:c r="T1405" s="2" t="str">
        <x:v>Synced</x:v>
      </x:c>
    </x:row>
    <x:row r="1406" ht="21" customHeight="1">
      <x:c r="A1406" s="2" t="str">
        <x:v>EV001096</x:v>
      </x:c>
      <x:c r="B1406" s="2" t="str">
        <x:v>T20261006-5-1</x:v>
      </x:c>
      <x:c r="C1406" s="2" t="str">
        <x:v>ST031</x:v>
      </x:c>
      <x:c r="D1406" s="2" t="str">
        <x:v>8ab188e9684e5df87182305d1c7eadac</x:v>
      </x:c>
      <x:c r="E1406" s="2" t="str">
        <x:v>CHECK_OUT</x:v>
      </x:c>
      <x:c r="F1406" s="8" t="n">
        <x:v>46301.72361111111</x:v>
      </x:c>
      <x:c r="G1406" s="8" t="n">
        <x:v>46301.72363425926</x:v>
      </x:c>
      <x:c r="H1406" s="2" t="str">
        <x:v>R1S1</x:v>
      </x:c>
      <x:c r="I1406" s="9" t="n">
        <x:v>25.271</x:v>
      </x:c>
      <x:c r="J1406" s="9" t="n">
        <x:v>51.491</x:v>
      </x:c>
      <x:c r="K1406" s="2" t="n">
        <x:v>8</x:v>
      </x:c>
      <x:c r="L1406" s="2" t="str">
        <x:v>Valid</x:v>
      </x:c>
      <x:c r="M1406" s="2" t="str">
        <x:v>QR</x:v>
      </x:c>
      <x:c r="N1406" s="2" t="n">
        <x:v>1</x:v>
      </x:c>
      <x:c r="O1406" s="2" t="str">
        <x:v>Accepted</x:v>
      </x:c>
      <x:c r="P1406" s="2" t="str">
        <x:v>S001</x:v>
      </x:c>
      <x:c r="Q1406" s="2" t="str">
        <x:v>DEV001</x:v>
      </x:c>
      <x:c r="R1406" s="2" t="n">
        <x:v>11</x:v>
      </x:c>
      <x:c r="S1406" s="2" t="str">
        <x:v>Online</x:v>
      </x:c>
      <x:c r="T1406" s="2" t="str">
        <x:v>Synced</x:v>
      </x:c>
    </x:row>
    <x:row r="1407" ht="21" customHeight="1">
      <x:c r="A1407" s="2" t="str">
        <x:v>EV001256</x:v>
      </x:c>
      <x:c r="B1407" s="2" t="str">
        <x:v>T20261006-5-2</x:v>
      </x:c>
      <x:c r="C1407" s="2" t="str">
        <x:v>ST071</x:v>
      </x:c>
      <x:c r="D1407" s="2" t="str">
        <x:v>51895678643dc659a400e702a471294e</x:v>
      </x:c>
      <x:c r="E1407" s="2" t="str">
        <x:v>CHECK_OUT</x:v>
      </x:c>
      <x:c r="F1407" s="8" t="n">
        <x:v>46301.72361111111</x:v>
      </x:c>
      <x:c r="G1407" s="8" t="n">
        <x:v>46301.72363425926</x:v>
      </x:c>
      <x:c r="H1407" s="2" t="str">
        <x:v>R2S1</x:v>
      </x:c>
      <x:c r="I1407" s="9" t="n">
        <x:v>25.28</x:v>
      </x:c>
      <x:c r="J1407" s="9" t="n">
        <x:v>51.498999999999995</x:v>
      </x:c>
      <x:c r="K1407" s="2" t="n">
        <x:v>8</x:v>
      </x:c>
      <x:c r="L1407" s="2" t="str">
        <x:v>Valid</x:v>
      </x:c>
      <x:c r="M1407" s="2" t="str">
        <x:v>QR</x:v>
      </x:c>
      <x:c r="N1407" s="2" t="n">
        <x:v>1</x:v>
      </x:c>
      <x:c r="O1407" s="2" t="str">
        <x:v>Accepted</x:v>
      </x:c>
      <x:c r="P1407" s="2" t="str">
        <x:v>S002</x:v>
      </x:c>
      <x:c r="Q1407" s="2" t="str">
        <x:v>DEV002</x:v>
      </x:c>
      <x:c r="R1407" s="2" t="n">
        <x:v>11</x:v>
      </x:c>
      <x:c r="S1407" s="2" t="str">
        <x:v>Online</x:v>
      </x:c>
      <x:c r="T1407" s="2" t="str">
        <x:v>Synced</x:v>
      </x:c>
    </x:row>
    <x:row r="1408" ht="21" customHeight="1">
      <x:c r="A1408" s="2" t="str">
        <x:v>EV001416</x:v>
      </x:c>
      <x:c r="B1408" s="2" t="str">
        <x:v>T20261006-5-3</x:v>
      </x:c>
      <x:c r="C1408" s="2" t="str">
        <x:v>ST111</x:v>
      </x:c>
      <x:c r="D1408" s="2" t="str">
        <x:v>e6e9707385e7ee8edd3ac87243757eb2</x:v>
      </x:c>
      <x:c r="E1408" s="2" t="str">
        <x:v>CHECK_OUT</x:v>
      </x:c>
      <x:c r="F1408" s="8" t="n">
        <x:v>46301.72361111111</x:v>
      </x:c>
      <x:c r="G1408" s="8" t="n">
        <x:v>46301.72363425926</x:v>
      </x:c>
      <x:c r="H1408" s="2" t="str">
        <x:v>R3S1</x:v>
      </x:c>
      <x:c r="I1408" s="9" t="n">
        <x:v>25.289</x:v>
      </x:c>
      <x:c r="J1408" s="9" t="n">
        <x:v>51.507</x:v>
      </x:c>
      <x:c r="K1408" s="2" t="n">
        <x:v>8</x:v>
      </x:c>
      <x:c r="L1408" s="2" t="str">
        <x:v>Valid</x:v>
      </x:c>
      <x:c r="M1408" s="2" t="str">
        <x:v>QR</x:v>
      </x:c>
      <x:c r="N1408" s="2" t="n">
        <x:v>1</x:v>
      </x:c>
      <x:c r="O1408" s="2" t="str">
        <x:v>Accepted</x:v>
      </x:c>
      <x:c r="P1408" s="2" t="str">
        <x:v>S003</x:v>
      </x:c>
      <x:c r="Q1408" s="2" t="str">
        <x:v>DEV003</x:v>
      </x:c>
      <x:c r="R1408" s="2" t="n">
        <x:v>11</x:v>
      </x:c>
      <x:c r="S1408" s="2" t="str">
        <x:v>Online</x:v>
      </x:c>
      <x:c r="T1408" s="2" t="str">
        <x:v>Synced</x:v>
      </x:c>
    </x:row>
    <x:row r="1409" ht="21" customHeight="1">
      <x:c r="A1409" s="2" t="str">
        <x:v>EV001102</x:v>
      </x:c>
      <x:c r="B1409" s="2" t="str">
        <x:v>T20261006-5-1</x:v>
      </x:c>
      <x:c r="C1409" s="2" t="str">
        <x:v>ST034</x:v>
      </x:c>
      <x:c r="D1409" s="2" t="str">
        <x:v>80fbe33bb2df8cab59b55f98f1c8a3d5</x:v>
      </x:c>
      <x:c r="E1409" s="2" t="str">
        <x:v>CHECK_OUT</x:v>
      </x:c>
      <x:c r="F1409" s="8" t="n">
        <x:v>46301.72371527778</x:v>
      </x:c>
      <x:c r="G1409" s="8" t="n">
        <x:v>46301.72373842593</x:v>
      </x:c>
      <x:c r="H1409" s="2" t="str">
        <x:v>R1S1</x:v>
      </x:c>
      <x:c r="I1409" s="9" t="n">
        <x:v>25.271</x:v>
      </x:c>
      <x:c r="J1409" s="9" t="n">
        <x:v>51.491</x:v>
      </x:c>
      <x:c r="K1409" s="2" t="n">
        <x:v>8</x:v>
      </x:c>
      <x:c r="L1409" s="2" t="str">
        <x:v>Valid</x:v>
      </x:c>
      <x:c r="M1409" s="2" t="str">
        <x:v>QR</x:v>
      </x:c>
      <x:c r="N1409" s="2" t="n">
        <x:v>1</x:v>
      </x:c>
      <x:c r="O1409" s="2" t="str">
        <x:v>Accepted</x:v>
      </x:c>
      <x:c r="P1409" s="2" t="str">
        <x:v>S001</x:v>
      </x:c>
      <x:c r="Q1409" s="2" t="str">
        <x:v>DEV001</x:v>
      </x:c>
      <x:c r="R1409" s="2" t="n">
        <x:v>12</x:v>
      </x:c>
      <x:c r="S1409" s="2" t="str">
        <x:v>Online</x:v>
      </x:c>
      <x:c r="T1409" s="2" t="str">
        <x:v>Synced</x:v>
      </x:c>
    </x:row>
    <x:row r="1410" ht="21" customHeight="1">
      <x:c r="A1410" s="2" t="str">
        <x:v>EV001262</x:v>
      </x:c>
      <x:c r="B1410" s="2" t="str">
        <x:v>T20261006-5-2</x:v>
      </x:c>
      <x:c r="C1410" s="2" t="str">
        <x:v>ST074</x:v>
      </x:c>
      <x:c r="D1410" s="2" t="str">
        <x:v>a9bcbd7cecca4f17e235125ddf0adf7b</x:v>
      </x:c>
      <x:c r="E1410" s="2" t="str">
        <x:v>CHECK_OUT</x:v>
      </x:c>
      <x:c r="F1410" s="8" t="n">
        <x:v>46301.72371527778</x:v>
      </x:c>
      <x:c r="G1410" s="8" t="n">
        <x:v>46301.72373842593</x:v>
      </x:c>
      <x:c r="H1410" s="2" t="str">
        <x:v>R2S1</x:v>
      </x:c>
      <x:c r="I1410" s="9" t="n">
        <x:v>25.28</x:v>
      </x:c>
      <x:c r="J1410" s="9" t="n">
        <x:v>51.498999999999995</x:v>
      </x:c>
      <x:c r="K1410" s="2" t="n">
        <x:v>8</x:v>
      </x:c>
      <x:c r="L1410" s="2" t="str">
        <x:v>Valid</x:v>
      </x:c>
      <x:c r="M1410" s="2" t="str">
        <x:v>QR</x:v>
      </x:c>
      <x:c r="N1410" s="2" t="n">
        <x:v>1</x:v>
      </x:c>
      <x:c r="O1410" s="2" t="str">
        <x:v>Accepted</x:v>
      </x:c>
      <x:c r="P1410" s="2" t="str">
        <x:v>S002</x:v>
      </x:c>
      <x:c r="Q1410" s="2" t="str">
        <x:v>DEV002</x:v>
      </x:c>
      <x:c r="R1410" s="2" t="n">
        <x:v>12</x:v>
      </x:c>
      <x:c r="S1410" s="2" t="str">
        <x:v>Online</x:v>
      </x:c>
      <x:c r="T1410" s="2" t="str">
        <x:v>Synced</x:v>
      </x:c>
    </x:row>
    <x:row r="1411" ht="21" customHeight="1">
      <x:c r="A1411" s="2" t="str">
        <x:v>EV001422</x:v>
      </x:c>
      <x:c r="B1411" s="2" t="str">
        <x:v>T20261006-5-3</x:v>
      </x:c>
      <x:c r="C1411" s="2" t="str">
        <x:v>ST114</x:v>
      </x:c>
      <x:c r="D1411" s="2" t="str">
        <x:v>a5c77bf3b082c3ab825b65c34f1c9f8c</x:v>
      </x:c>
      <x:c r="E1411" s="2" t="str">
        <x:v>CHECK_OUT</x:v>
      </x:c>
      <x:c r="F1411" s="8" t="n">
        <x:v>46301.72371527778</x:v>
      </x:c>
      <x:c r="G1411" s="8" t="n">
        <x:v>46301.72373842593</x:v>
      </x:c>
      <x:c r="H1411" s="2" t="str">
        <x:v>R3S1</x:v>
      </x:c>
      <x:c r="I1411" s="9" t="n">
        <x:v>25.289</x:v>
      </x:c>
      <x:c r="J1411" s="9" t="n">
        <x:v>51.507</x:v>
      </x:c>
      <x:c r="K1411" s="2" t="n">
        <x:v>8</x:v>
      </x:c>
      <x:c r="L1411" s="2" t="str">
        <x:v>Valid</x:v>
      </x:c>
      <x:c r="M1411" s="2" t="str">
        <x:v>QR</x:v>
      </x:c>
      <x:c r="N1411" s="2" t="n">
        <x:v>1</x:v>
      </x:c>
      <x:c r="O1411" s="2" t="str">
        <x:v>Accepted</x:v>
      </x:c>
      <x:c r="P1411" s="2" t="str">
        <x:v>S003</x:v>
      </x:c>
      <x:c r="Q1411" s="2" t="str">
        <x:v>DEV003</x:v>
      </x:c>
      <x:c r="R1411" s="2" t="n">
        <x:v>12</x:v>
      </x:c>
      <x:c r="S1411" s="2" t="str">
        <x:v>Online</x:v>
      </x:c>
      <x:c r="T1411" s="2" t="str">
        <x:v>Synced</x:v>
      </x:c>
    </x:row>
    <x:row r="1412" ht="21" customHeight="1">
      <x:c r="A1412" s="2" t="str">
        <x:v>EV001108</x:v>
      </x:c>
      <x:c r="B1412" s="2" t="str">
        <x:v>T20261006-5-1</x:v>
      </x:c>
      <x:c r="C1412" s="2" t="str">
        <x:v>ST037</x:v>
      </x:c>
      <x:c r="D1412" s="2" t="str">
        <x:v>eb6cdfa5572c8f6959c8b9c84b8ec493</x:v>
      </x:c>
      <x:c r="E1412" s="2" t="str">
        <x:v>CHECK_OUT</x:v>
      </x:c>
      <x:c r="F1412" s="8" t="n">
        <x:v>46301.72381944444</x:v>
      </x:c>
      <x:c r="G1412" s="8" t="n">
        <x:v>46301.72384259259</x:v>
      </x:c>
      <x:c r="H1412" s="2" t="str">
        <x:v>R1S1</x:v>
      </x:c>
      <x:c r="I1412" s="9" t="n">
        <x:v>25.271</x:v>
      </x:c>
      <x:c r="J1412" s="9" t="n">
        <x:v>51.491</x:v>
      </x:c>
      <x:c r="K1412" s="2" t="n">
        <x:v>8</x:v>
      </x:c>
      <x:c r="L1412" s="2" t="str">
        <x:v>Valid</x:v>
      </x:c>
      <x:c r="M1412" s="2" t="str">
        <x:v>QR</x:v>
      </x:c>
      <x:c r="N1412" s="2" t="n">
        <x:v>1</x:v>
      </x:c>
      <x:c r="O1412" s="2" t="str">
        <x:v>Accepted</x:v>
      </x:c>
      <x:c r="P1412" s="2" t="str">
        <x:v>S001</x:v>
      </x:c>
      <x:c r="Q1412" s="2" t="str">
        <x:v>DEV001</x:v>
      </x:c>
      <x:c r="R1412" s="2" t="n">
        <x:v>13</x:v>
      </x:c>
      <x:c r="S1412" s="2" t="str">
        <x:v>Online</x:v>
      </x:c>
      <x:c r="T1412" s="2" t="str">
        <x:v>Synced</x:v>
      </x:c>
    </x:row>
    <x:row r="1413" ht="21" customHeight="1">
      <x:c r="A1413" s="2" t="str">
        <x:v>EV001268</x:v>
      </x:c>
      <x:c r="B1413" s="2" t="str">
        <x:v>T20261006-5-2</x:v>
      </x:c>
      <x:c r="C1413" s="2" t="str">
        <x:v>ST077</x:v>
      </x:c>
      <x:c r="D1413" s="2" t="str">
        <x:v>af7b8314f6c372daf48e6b95332f6a0f</x:v>
      </x:c>
      <x:c r="E1413" s="2" t="str">
        <x:v>CHECK_OUT</x:v>
      </x:c>
      <x:c r="F1413" s="8" t="n">
        <x:v>46301.72381944444</x:v>
      </x:c>
      <x:c r="G1413" s="8" t="n">
        <x:v>46301.72384259259</x:v>
      </x:c>
      <x:c r="H1413" s="2" t="str">
        <x:v>R2S1</x:v>
      </x:c>
      <x:c r="I1413" s="9" t="n">
        <x:v>25.28</x:v>
      </x:c>
      <x:c r="J1413" s="9" t="n">
        <x:v>51.498999999999995</x:v>
      </x:c>
      <x:c r="K1413" s="2" t="n">
        <x:v>8</x:v>
      </x:c>
      <x:c r="L1413" s="2" t="str">
        <x:v>Valid</x:v>
      </x:c>
      <x:c r="M1413" s="2" t="str">
        <x:v>QR</x:v>
      </x:c>
      <x:c r="N1413" s="2" t="n">
        <x:v>1</x:v>
      </x:c>
      <x:c r="O1413" s="2" t="str">
        <x:v>Accepted</x:v>
      </x:c>
      <x:c r="P1413" s="2" t="str">
        <x:v>S002</x:v>
      </x:c>
      <x:c r="Q1413" s="2" t="str">
        <x:v>DEV002</x:v>
      </x:c>
      <x:c r="R1413" s="2" t="n">
        <x:v>13</x:v>
      </x:c>
      <x:c r="S1413" s="2" t="str">
        <x:v>Online</x:v>
      </x:c>
      <x:c r="T1413" s="2" t="str">
        <x:v>Synced</x:v>
      </x:c>
    </x:row>
    <x:row r="1414" ht="21" customHeight="1">
      <x:c r="A1414" s="2" t="str">
        <x:v>EV001428</x:v>
      </x:c>
      <x:c r="B1414" s="2" t="str">
        <x:v>T20261006-5-3</x:v>
      </x:c>
      <x:c r="C1414" s="2" t="str">
        <x:v>ST117</x:v>
      </x:c>
      <x:c r="D1414" s="2" t="str">
        <x:v>195a54aea4adbe89371209e73878e4fe</x:v>
      </x:c>
      <x:c r="E1414" s="2" t="str">
        <x:v>CHECK_OUT</x:v>
      </x:c>
      <x:c r="F1414" s="8" t="n">
        <x:v>46301.72381944444</x:v>
      </x:c>
      <x:c r="G1414" s="8" t="n">
        <x:v>46301.72384259259</x:v>
      </x:c>
      <x:c r="H1414" s="2" t="str">
        <x:v>R3S1</x:v>
      </x:c>
      <x:c r="I1414" s="9" t="n">
        <x:v>25.289</x:v>
      </x:c>
      <x:c r="J1414" s="9" t="n">
        <x:v>51.507</x:v>
      </x:c>
      <x:c r="K1414" s="2" t="n">
        <x:v>8</x:v>
      </x:c>
      <x:c r="L1414" s="2" t="str">
        <x:v>Valid</x:v>
      </x:c>
      <x:c r="M1414" s="2" t="str">
        <x:v>QR</x:v>
      </x:c>
      <x:c r="N1414" s="2" t="n">
        <x:v>1</x:v>
      </x:c>
      <x:c r="O1414" s="2" t="str">
        <x:v>Accepted</x:v>
      </x:c>
      <x:c r="P1414" s="2" t="str">
        <x:v>S003</x:v>
      </x:c>
      <x:c r="Q1414" s="2" t="str">
        <x:v>DEV003</x:v>
      </x:c>
      <x:c r="R1414" s="2" t="n">
        <x:v>13</x:v>
      </x:c>
      <x:c r="S1414" s="2" t="str">
        <x:v>Online</x:v>
      </x:c>
      <x:c r="T1414" s="2" t="str">
        <x:v>Synced</x:v>
      </x:c>
    </x:row>
    <x:row r="1415" ht="21" customHeight="1">
      <x:c r="A1415" s="2" t="str">
        <x:v>EV001114</x:v>
      </x:c>
      <x:c r="B1415" s="2" t="str">
        <x:v>T20261006-5-1</x:v>
      </x:c>
      <x:c r="C1415" s="2" t="str">
        <x:v>ST040</x:v>
      </x:c>
      <x:c r="D1415" s="2" t="str">
        <x:v>4cd5e507bb3c8af27cd11d16138dcec0</x:v>
      </x:c>
      <x:c r="E1415" s="2" t="str">
        <x:v>CHECK_OUT</x:v>
      </x:c>
      <x:c r="F1415" s="8" t="n">
        <x:v>46301.72392361111</x:v>
      </x:c>
      <x:c r="G1415" s="8" t="n">
        <x:v>46301.72394675926</x:v>
      </x:c>
      <x:c r="H1415" s="2" t="str">
        <x:v>R1S1</x:v>
      </x:c>
      <x:c r="I1415" s="9" t="n">
        <x:v>25.271</x:v>
      </x:c>
      <x:c r="J1415" s="9" t="n">
        <x:v>51.491</x:v>
      </x:c>
      <x:c r="K1415" s="2" t="n">
        <x:v>8</x:v>
      </x:c>
      <x:c r="L1415" s="2" t="str">
        <x:v>Valid</x:v>
      </x:c>
      <x:c r="M1415" s="2" t="str">
        <x:v>QR</x:v>
      </x:c>
      <x:c r="N1415" s="2" t="n">
        <x:v>1</x:v>
      </x:c>
      <x:c r="O1415" s="2" t="str">
        <x:v>Accepted</x:v>
      </x:c>
      <x:c r="P1415" s="2" t="str">
        <x:v>S001</x:v>
      </x:c>
      <x:c r="Q1415" s="2" t="str">
        <x:v>DEV001</x:v>
      </x:c>
      <x:c r="R1415" s="2" t="n">
        <x:v>14</x:v>
      </x:c>
      <x:c r="S1415" s="2" t="str">
        <x:v>Online</x:v>
      </x:c>
      <x:c r="T1415" s="2" t="str">
        <x:v>Synced</x:v>
      </x:c>
    </x:row>
    <x:row r="1416" ht="21" customHeight="1">
      <x:c r="A1416" s="2" t="str">
        <x:v>EV001274</x:v>
      </x:c>
      <x:c r="B1416" s="2" t="str">
        <x:v>T20261006-5-2</x:v>
      </x:c>
      <x:c r="C1416" s="2" t="str">
        <x:v>ST080</x:v>
      </x:c>
      <x:c r="D1416" s="2" t="str">
        <x:v>0abaf17d1472c0347862177fd9880be2</x:v>
      </x:c>
      <x:c r="E1416" s="2" t="str">
        <x:v>CHECK_OUT</x:v>
      </x:c>
      <x:c r="F1416" s="8" t="n">
        <x:v>46301.72392361111</x:v>
      </x:c>
      <x:c r="G1416" s="8" t="n">
        <x:v>46301.72394675926</x:v>
      </x:c>
      <x:c r="H1416" s="2" t="str">
        <x:v>R2S1</x:v>
      </x:c>
      <x:c r="I1416" s="9" t="n">
        <x:v>25.28</x:v>
      </x:c>
      <x:c r="J1416" s="9" t="n">
        <x:v>51.498999999999995</x:v>
      </x:c>
      <x:c r="K1416" s="2" t="n">
        <x:v>8</x:v>
      </x:c>
      <x:c r="L1416" s="2" t="str">
        <x:v>Valid</x:v>
      </x:c>
      <x:c r="M1416" s="2" t="str">
        <x:v>QR</x:v>
      </x:c>
      <x:c r="N1416" s="2" t="n">
        <x:v>1</x:v>
      </x:c>
      <x:c r="O1416" s="2" t="str">
        <x:v>Accepted</x:v>
      </x:c>
      <x:c r="P1416" s="2" t="str">
        <x:v>S002</x:v>
      </x:c>
      <x:c r="Q1416" s="2" t="str">
        <x:v>DEV002</x:v>
      </x:c>
      <x:c r="R1416" s="2" t="n">
        <x:v>14</x:v>
      </x:c>
      <x:c r="S1416" s="2" t="str">
        <x:v>Online</x:v>
      </x:c>
      <x:c r="T1416" s="2" t="str">
        <x:v>Synced</x:v>
      </x:c>
    </x:row>
    <x:row r="1417" ht="21" customHeight="1">
      <x:c r="A1417" s="2" t="str">
        <x:v>EV001434</x:v>
      </x:c>
      <x:c r="B1417" s="2" t="str">
        <x:v>T20261006-5-3</x:v>
      </x:c>
      <x:c r="C1417" s="2" t="str">
        <x:v>ST120</x:v>
      </x:c>
      <x:c r="D1417" s="2" t="str">
        <x:v>c3749f3342e76b516e5c145f91308219</x:v>
      </x:c>
      <x:c r="E1417" s="2" t="str">
        <x:v>CHECK_OUT</x:v>
      </x:c>
      <x:c r="F1417" s="8" t="n">
        <x:v>46301.72392361111</x:v>
      </x:c>
      <x:c r="G1417" s="8" t="n">
        <x:v>46301.72394675926</x:v>
      </x:c>
      <x:c r="H1417" s="2" t="str">
        <x:v>R3S1</x:v>
      </x:c>
      <x:c r="I1417" s="9" t="n">
        <x:v>25.289</x:v>
      </x:c>
      <x:c r="J1417" s="9" t="n">
        <x:v>51.507</x:v>
      </x:c>
      <x:c r="K1417" s="2" t="n">
        <x:v>8</x:v>
      </x:c>
      <x:c r="L1417" s="2" t="str">
        <x:v>Valid</x:v>
      </x:c>
      <x:c r="M1417" s="2" t="str">
        <x:v>QR</x:v>
      </x:c>
      <x:c r="N1417" s="2" t="n">
        <x:v>1</x:v>
      </x:c>
      <x:c r="O1417" s="2" t="str">
        <x:v>Accepted</x:v>
      </x:c>
      <x:c r="P1417" s="2" t="str">
        <x:v>S003</x:v>
      </x:c>
      <x:c r="Q1417" s="2" t="str">
        <x:v>DEV003</x:v>
      </x:c>
      <x:c r="R1417" s="2" t="n">
        <x:v>14</x:v>
      </x:c>
      <x:c r="S1417" s="2" t="str">
        <x:v>Online</x:v>
      </x:c>
      <x:c r="T1417" s="2" t="str">
        <x:v>Synced</x:v>
      </x:c>
    </x:row>
    <x:row r="1418" ht="21" customHeight="1">
      <x:c r="A1418" s="2" t="str">
        <x:v>EV001098</x:v>
      </x:c>
      <x:c r="B1418" s="2" t="str">
        <x:v>T20261006-5-1</x:v>
      </x:c>
      <x:c r="C1418" s="2" t="str">
        <x:v>ST032</x:v>
      </x:c>
      <x:c r="D1418" s="2" t="str">
        <x:v>836e2da54ccde9716995f5651a63e8c5</x:v>
      </x:c>
      <x:c r="E1418" s="2" t="str">
        <x:v>CHECK_OUT</x:v>
      </x:c>
      <x:c r="F1418" s="8" t="n">
        <x:v>46301.72850694445</x:v>
      </x:c>
      <x:c r="G1418" s="8" t="n">
        <x:v>46301.728530092594</x:v>
      </x:c>
      <x:c r="H1418" s="2" t="str">
        <x:v>R1S2</x:v>
      </x:c>
      <x:c r="I1418" s="9" t="n">
        <x:v>25.273000000000003</x:v>
      </x:c>
      <x:c r="J1418" s="9" t="n">
        <x:v>51.494</x:v>
      </x:c>
      <x:c r="K1418" s="2" t="n">
        <x:v>8</x:v>
      </x:c>
      <x:c r="L1418" s="2" t="str">
        <x:v>Valid</x:v>
      </x:c>
      <x:c r="M1418" s="2" t="str">
        <x:v>QR</x:v>
      </x:c>
      <x:c r="N1418" s="2" t="n">
        <x:v>1</x:v>
      </x:c>
      <x:c r="O1418" s="2" t="str">
        <x:v>Accepted</x:v>
      </x:c>
      <x:c r="P1418" s="2" t="str">
        <x:v>S001</x:v>
      </x:c>
      <x:c r="Q1418" s="2" t="str">
        <x:v>DEV001</x:v>
      </x:c>
      <x:c r="R1418" s="2" t="n">
        <x:v>15</x:v>
      </x:c>
      <x:c r="S1418" s="2" t="str">
        <x:v>Online</x:v>
      </x:c>
      <x:c r="T1418" s="2" t="str">
        <x:v>Synced</x:v>
      </x:c>
    </x:row>
    <x:row r="1419" ht="21" customHeight="1">
      <x:c r="A1419" s="2" t="str">
        <x:v>EV001258</x:v>
      </x:c>
      <x:c r="B1419" s="2" t="str">
        <x:v>T20261006-5-2</x:v>
      </x:c>
      <x:c r="C1419" s="2" t="str">
        <x:v>ST072</x:v>
      </x:c>
      <x:c r="D1419" s="2" t="str">
        <x:v>34067027b5922171fe59ce4d7b756f1c</x:v>
      </x:c>
      <x:c r="E1419" s="2" t="str">
        <x:v>CHECK_OUT</x:v>
      </x:c>
      <x:c r="F1419" s="8" t="n">
        <x:v>46301.72850694445</x:v>
      </x:c>
      <x:c r="G1419" s="8" t="n">
        <x:v>46301.728530092594</x:v>
      </x:c>
      <x:c r="H1419" s="2" t="str">
        <x:v>R2S2</x:v>
      </x:c>
      <x:c r="I1419" s="9" t="n">
        <x:v>25.282000000000004</x:v>
      </x:c>
      <x:c r="J1419" s="9" t="n">
        <x:v>51.501999999999995</x:v>
      </x:c>
      <x:c r="K1419" s="2" t="n">
        <x:v>8</x:v>
      </x:c>
      <x:c r="L1419" s="2" t="str">
        <x:v>Valid</x:v>
      </x:c>
      <x:c r="M1419" s="2" t="str">
        <x:v>QR</x:v>
      </x:c>
      <x:c r="N1419" s="2" t="n">
        <x:v>1</x:v>
      </x:c>
      <x:c r="O1419" s="2" t="str">
        <x:v>Accepted</x:v>
      </x:c>
      <x:c r="P1419" s="2" t="str">
        <x:v>S002</x:v>
      </x:c>
      <x:c r="Q1419" s="2" t="str">
        <x:v>DEV002</x:v>
      </x:c>
      <x:c r="R1419" s="2" t="n">
        <x:v>15</x:v>
      </x:c>
      <x:c r="S1419" s="2" t="str">
        <x:v>Online</x:v>
      </x:c>
      <x:c r="T1419" s="2" t="str">
        <x:v>Synced</x:v>
      </x:c>
    </x:row>
    <x:row r="1420" ht="21" customHeight="1">
      <x:c r="A1420" s="2" t="str">
        <x:v>EV001418</x:v>
      </x:c>
      <x:c r="B1420" s="2" t="str">
        <x:v>T20261006-5-3</x:v>
      </x:c>
      <x:c r="C1420" s="2" t="str">
        <x:v>ST112</x:v>
      </x:c>
      <x:c r="D1420" s="2" t="str">
        <x:v>ca020aefc0d912af9ddca5c7ca7a2f51</x:v>
      </x:c>
      <x:c r="E1420" s="2" t="str">
        <x:v>CHECK_OUT</x:v>
      </x:c>
      <x:c r="F1420" s="8" t="n">
        <x:v>46301.72850694445</x:v>
      </x:c>
      <x:c r="G1420" s="8" t="n">
        <x:v>46301.728530092594</x:v>
      </x:c>
      <x:c r="H1420" s="2" t="str">
        <x:v>R3S2</x:v>
      </x:c>
      <x:c r="I1420" s="9" t="n">
        <x:v>25.291000000000004</x:v>
      </x:c>
      <x:c r="J1420" s="9" t="n">
        <x:v>51.51</x:v>
      </x:c>
      <x:c r="K1420" s="2" t="n">
        <x:v>8</x:v>
      </x:c>
      <x:c r="L1420" s="2" t="str">
        <x:v>Valid</x:v>
      </x:c>
      <x:c r="M1420" s="2" t="str">
        <x:v>QR</x:v>
      </x:c>
      <x:c r="N1420" s="2" t="n">
        <x:v>1</x:v>
      </x:c>
      <x:c r="O1420" s="2" t="str">
        <x:v>Accepted</x:v>
      </x:c>
      <x:c r="P1420" s="2" t="str">
        <x:v>S003</x:v>
      </x:c>
      <x:c r="Q1420" s="2" t="str">
        <x:v>DEV003</x:v>
      </x:c>
      <x:c r="R1420" s="2" t="n">
        <x:v>15</x:v>
      </x:c>
      <x:c r="S1420" s="2" t="str">
        <x:v>Online</x:v>
      </x:c>
      <x:c r="T1420" s="2" t="str">
        <x:v>Synced</x:v>
      </x:c>
    </x:row>
    <x:row r="1421" ht="21" customHeight="1">
      <x:c r="A1421" s="2" t="str">
        <x:v>EV001104</x:v>
      </x:c>
      <x:c r="B1421" s="2" t="str">
        <x:v>T20261006-5-1</x:v>
      </x:c>
      <x:c r="C1421" s="2" t="str">
        <x:v>ST035</x:v>
      </x:c>
      <x:c r="D1421" s="2" t="str">
        <x:v>45068f3206e9be80993e83e259ea9cdc</x:v>
      </x:c>
      <x:c r="E1421" s="2" t="str">
        <x:v>CHECK_OUT</x:v>
      </x:c>
      <x:c r="F1421" s="8" t="n">
        <x:v>46301.72861111112</x:v>
      </x:c>
      <x:c r="G1421" s="8" t="n">
        <x:v>46301.72863425926</x:v>
      </x:c>
      <x:c r="H1421" s="2" t="str">
        <x:v>R1S2</x:v>
      </x:c>
      <x:c r="I1421" s="9" t="n">
        <x:v>25.273000000000003</x:v>
      </x:c>
      <x:c r="J1421" s="9" t="n">
        <x:v>51.494</x:v>
      </x:c>
      <x:c r="K1421" s="2" t="n">
        <x:v>8</x:v>
      </x:c>
      <x:c r="L1421" s="2" t="str">
        <x:v>Valid</x:v>
      </x:c>
      <x:c r="M1421" s="2" t="str">
        <x:v>QR</x:v>
      </x:c>
      <x:c r="N1421" s="2" t="n">
        <x:v>1</x:v>
      </x:c>
      <x:c r="O1421" s="2" t="str">
        <x:v>Accepted</x:v>
      </x:c>
      <x:c r="P1421" s="2" t="str">
        <x:v>S001</x:v>
      </x:c>
      <x:c r="Q1421" s="2" t="str">
        <x:v>DEV001</x:v>
      </x:c>
      <x:c r="R1421" s="2" t="n">
        <x:v>16</x:v>
      </x:c>
      <x:c r="S1421" s="2" t="str">
        <x:v>Online</x:v>
      </x:c>
      <x:c r="T1421" s="2" t="str">
        <x:v>Synced</x:v>
      </x:c>
    </x:row>
    <x:row r="1422" ht="21" customHeight="1">
      <x:c r="A1422" s="2" t="str">
        <x:v>EV001264</x:v>
      </x:c>
      <x:c r="B1422" s="2" t="str">
        <x:v>T20261006-5-2</x:v>
      </x:c>
      <x:c r="C1422" s="2" t="str">
        <x:v>ST075</x:v>
      </x:c>
      <x:c r="D1422" s="2" t="str">
        <x:v>3781d00e457977b726407cb845a294cc</x:v>
      </x:c>
      <x:c r="E1422" s="2" t="str">
        <x:v>CHECK_OUT</x:v>
      </x:c>
      <x:c r="F1422" s="8" t="n">
        <x:v>46301.72861111112</x:v>
      </x:c>
      <x:c r="G1422" s="8" t="n">
        <x:v>46301.72863425926</x:v>
      </x:c>
      <x:c r="H1422" s="2" t="str">
        <x:v>R2S2</x:v>
      </x:c>
      <x:c r="I1422" s="9" t="n">
        <x:v>25.282000000000004</x:v>
      </x:c>
      <x:c r="J1422" s="9" t="n">
        <x:v>51.501999999999995</x:v>
      </x:c>
      <x:c r="K1422" s="2" t="n">
        <x:v>8</x:v>
      </x:c>
      <x:c r="L1422" s="2" t="str">
        <x:v>Valid</x:v>
      </x:c>
      <x:c r="M1422" s="2" t="str">
        <x:v>QR</x:v>
      </x:c>
      <x:c r="N1422" s="2" t="n">
        <x:v>1</x:v>
      </x:c>
      <x:c r="O1422" s="2" t="str">
        <x:v>Accepted</x:v>
      </x:c>
      <x:c r="P1422" s="2" t="str">
        <x:v>S002</x:v>
      </x:c>
      <x:c r="Q1422" s="2" t="str">
        <x:v>DEV002</x:v>
      </x:c>
      <x:c r="R1422" s="2" t="n">
        <x:v>16</x:v>
      </x:c>
      <x:c r="S1422" s="2" t="str">
        <x:v>Online</x:v>
      </x:c>
      <x:c r="T1422" s="2" t="str">
        <x:v>Synced</x:v>
      </x:c>
    </x:row>
    <x:row r="1423" ht="21" customHeight="1">
      <x:c r="A1423" s="2" t="str">
        <x:v>EV001424</x:v>
      </x:c>
      <x:c r="B1423" s="2" t="str">
        <x:v>T20261006-5-3</x:v>
      </x:c>
      <x:c r="C1423" s="2" t="str">
        <x:v>ST115</x:v>
      </x:c>
      <x:c r="D1423" s="2" t="str">
        <x:v>dc951b9fd5f4acb1dc2ce3ca2f2e08ab</x:v>
      </x:c>
      <x:c r="E1423" s="2" t="str">
        <x:v>CHECK_OUT</x:v>
      </x:c>
      <x:c r="F1423" s="8" t="n">
        <x:v>46301.72861111112</x:v>
      </x:c>
      <x:c r="G1423" s="8" t="n">
        <x:v>46301.72863425926</x:v>
      </x:c>
      <x:c r="H1423" s="2" t="str">
        <x:v>R3S2</x:v>
      </x:c>
      <x:c r="I1423" s="9" t="n">
        <x:v>25.291000000000004</x:v>
      </x:c>
      <x:c r="J1423" s="9" t="n">
        <x:v>51.51</x:v>
      </x:c>
      <x:c r="K1423" s="2" t="n">
        <x:v>8</x:v>
      </x:c>
      <x:c r="L1423" s="2" t="str">
        <x:v>Valid</x:v>
      </x:c>
      <x:c r="M1423" s="2" t="str">
        <x:v>QR</x:v>
      </x:c>
      <x:c r="N1423" s="2" t="n">
        <x:v>1</x:v>
      </x:c>
      <x:c r="O1423" s="2" t="str">
        <x:v>Accepted</x:v>
      </x:c>
      <x:c r="P1423" s="2" t="str">
        <x:v>S003</x:v>
      </x:c>
      <x:c r="Q1423" s="2" t="str">
        <x:v>DEV003</x:v>
      </x:c>
      <x:c r="R1423" s="2" t="n">
        <x:v>16</x:v>
      </x:c>
      <x:c r="S1423" s="2" t="str">
        <x:v>Online</x:v>
      </x:c>
      <x:c r="T1423" s="2" t="str">
        <x:v>Synced</x:v>
      </x:c>
    </x:row>
    <x:row r="1424" ht="21" customHeight="1">
      <x:c r="A1424" s="2" t="str">
        <x:v>EV001110</x:v>
      </x:c>
      <x:c r="B1424" s="2" t="str">
        <x:v>T20261006-5-1</x:v>
      </x:c>
      <x:c r="C1424" s="2" t="str">
        <x:v>ST038</x:v>
      </x:c>
      <x:c r="D1424" s="2" t="str">
        <x:v>1ebedd777293ba897970ae7fc06b6301</x:v>
      </x:c>
      <x:c r="E1424" s="2" t="str">
        <x:v>CHECK_OUT</x:v>
      </x:c>
      <x:c r="F1424" s="8" t="n">
        <x:v>46301.72871527778</x:v>
      </x:c>
      <x:c r="G1424" s="8" t="n">
        <x:v>46301.728738425925</x:v>
      </x:c>
      <x:c r="H1424" s="2" t="str">
        <x:v>R1S2</x:v>
      </x:c>
      <x:c r="I1424" s="9" t="n">
        <x:v>25.273000000000003</x:v>
      </x:c>
      <x:c r="J1424" s="9" t="n">
        <x:v>51.494</x:v>
      </x:c>
      <x:c r="K1424" s="2" t="n">
        <x:v>8</x:v>
      </x:c>
      <x:c r="L1424" s="2" t="str">
        <x:v>Valid</x:v>
      </x:c>
      <x:c r="M1424" s="2" t="str">
        <x:v>QR</x:v>
      </x:c>
      <x:c r="N1424" s="2" t="n">
        <x:v>1</x:v>
      </x:c>
      <x:c r="O1424" s="2" t="str">
        <x:v>Accepted</x:v>
      </x:c>
      <x:c r="P1424" s="2" t="str">
        <x:v>S001</x:v>
      </x:c>
      <x:c r="Q1424" s="2" t="str">
        <x:v>DEV001</x:v>
      </x:c>
      <x:c r="R1424" s="2" t="n">
        <x:v>17</x:v>
      </x:c>
      <x:c r="S1424" s="2" t="str">
        <x:v>Online</x:v>
      </x:c>
      <x:c r="T1424" s="2" t="str">
        <x:v>Synced</x:v>
      </x:c>
    </x:row>
    <x:row r="1425" ht="21" customHeight="1">
      <x:c r="A1425" s="2" t="str">
        <x:v>EV001270</x:v>
      </x:c>
      <x:c r="B1425" s="2" t="str">
        <x:v>T20261006-5-2</x:v>
      </x:c>
      <x:c r="C1425" s="2" t="str">
        <x:v>ST078</x:v>
      </x:c>
      <x:c r="D1425" s="2" t="str">
        <x:v>737ab4e672bf11e638a47ae295f7e187</x:v>
      </x:c>
      <x:c r="E1425" s="2" t="str">
        <x:v>CHECK_OUT</x:v>
      </x:c>
      <x:c r="F1425" s="8" t="n">
        <x:v>46301.72871527778</x:v>
      </x:c>
      <x:c r="G1425" s="8" t="n">
        <x:v>46301.728738425925</x:v>
      </x:c>
      <x:c r="H1425" s="2" t="str">
        <x:v>R2S2</x:v>
      </x:c>
      <x:c r="I1425" s="9" t="n">
        <x:v>25.282000000000004</x:v>
      </x:c>
      <x:c r="J1425" s="9" t="n">
        <x:v>51.501999999999995</x:v>
      </x:c>
      <x:c r="K1425" s="2" t="n">
        <x:v>8</x:v>
      </x:c>
      <x:c r="L1425" s="2" t="str">
        <x:v>Valid</x:v>
      </x:c>
      <x:c r="M1425" s="2" t="str">
        <x:v>QR</x:v>
      </x:c>
      <x:c r="N1425" s="2" t="n">
        <x:v>1</x:v>
      </x:c>
      <x:c r="O1425" s="2" t="str">
        <x:v>Accepted</x:v>
      </x:c>
      <x:c r="P1425" s="2" t="str">
        <x:v>S002</x:v>
      </x:c>
      <x:c r="Q1425" s="2" t="str">
        <x:v>DEV002</x:v>
      </x:c>
      <x:c r="R1425" s="2" t="n">
        <x:v>17</x:v>
      </x:c>
      <x:c r="S1425" s="2" t="str">
        <x:v>Online</x:v>
      </x:c>
      <x:c r="T1425" s="2" t="str">
        <x:v>Synced</x:v>
      </x:c>
    </x:row>
    <x:row r="1426" ht="21" customHeight="1">
      <x:c r="A1426" s="2" t="str">
        <x:v>EV001430</x:v>
      </x:c>
      <x:c r="B1426" s="2" t="str">
        <x:v>T20261006-5-3</x:v>
      </x:c>
      <x:c r="C1426" s="2" t="str">
        <x:v>ST118</x:v>
      </x:c>
      <x:c r="D1426" s="2" t="str">
        <x:v>b15012a6111b47a10bdbbcbbd00c9f60</x:v>
      </x:c>
      <x:c r="E1426" s="2" t="str">
        <x:v>CHECK_OUT</x:v>
      </x:c>
      <x:c r="F1426" s="8" t="n">
        <x:v>46301.72871527778</x:v>
      </x:c>
      <x:c r="G1426" s="8" t="n">
        <x:v>46301.728738425925</x:v>
      </x:c>
      <x:c r="H1426" s="2" t="str">
        <x:v>R3S2</x:v>
      </x:c>
      <x:c r="I1426" s="9" t="n">
        <x:v>25.291000000000004</x:v>
      </x:c>
      <x:c r="J1426" s="9" t="n">
        <x:v>51.51</x:v>
      </x:c>
      <x:c r="K1426" s="2" t="n">
        <x:v>8</x:v>
      </x:c>
      <x:c r="L1426" s="2" t="str">
        <x:v>Valid</x:v>
      </x:c>
      <x:c r="M1426" s="2" t="str">
        <x:v>QR</x:v>
      </x:c>
      <x:c r="N1426" s="2" t="n">
        <x:v>1</x:v>
      </x:c>
      <x:c r="O1426" s="2" t="str">
        <x:v>Accepted</x:v>
      </x:c>
      <x:c r="P1426" s="2" t="str">
        <x:v>S003</x:v>
      </x:c>
      <x:c r="Q1426" s="2" t="str">
        <x:v>DEV003</x:v>
      </x:c>
      <x:c r="R1426" s="2" t="n">
        <x:v>17</x:v>
      </x:c>
      <x:c r="S1426" s="2" t="str">
        <x:v>Online</x:v>
      </x:c>
      <x:c r="T1426" s="2" t="str">
        <x:v>Synced</x:v>
      </x:c>
    </x:row>
    <x:row r="1427" ht="21" customHeight="1">
      <x:c r="A1427" s="2" t="str">
        <x:v>EV001100</x:v>
      </x:c>
      <x:c r="B1427" s="2" t="str">
        <x:v>T20261006-5-1</x:v>
      </x:c>
      <x:c r="C1427" s="2" t="str">
        <x:v>ST033</x:v>
      </x:c>
      <x:c r="D1427" s="2" t="str">
        <x:v>c9cc8ddf1b5bae8b49929340838e300a</x:v>
      </x:c>
      <x:c r="E1427" s="2" t="str">
        <x:v>CHECK_OUT</x:v>
      </x:c>
      <x:c r="F1427" s="8" t="n">
        <x:v>46301.73340277778</x:v>
      </x:c>
      <x:c r="G1427" s="8" t="n">
        <x:v>46301.73342592593</x:v>
      </x:c>
      <x:c r="H1427" s="2" t="str">
        <x:v>R1S3</x:v>
      </x:c>
      <x:c r="I1427" s="9" t="n">
        <x:v>25.275000000000002</x:v>
      </x:c>
      <x:c r="J1427" s="9" t="n">
        <x:v>51.497</x:v>
      </x:c>
      <x:c r="K1427" s="2" t="n">
        <x:v>8</x:v>
      </x:c>
      <x:c r="L1427" s="2" t="str">
        <x:v>Valid</x:v>
      </x:c>
      <x:c r="M1427" s="2" t="str">
        <x:v>QR</x:v>
      </x:c>
      <x:c r="N1427" s="2" t="n">
        <x:v>1</x:v>
      </x:c>
      <x:c r="O1427" s="2" t="str">
        <x:v>Accepted</x:v>
      </x:c>
      <x:c r="P1427" s="2" t="str">
        <x:v>S001</x:v>
      </x:c>
      <x:c r="Q1427" s="2" t="str">
        <x:v>DEV001</x:v>
      </x:c>
      <x:c r="R1427" s="2" t="n">
        <x:v>18</x:v>
      </x:c>
      <x:c r="S1427" s="2" t="str">
        <x:v>Online</x:v>
      </x:c>
      <x:c r="T1427" s="2" t="str">
        <x:v>Synced</x:v>
      </x:c>
    </x:row>
    <x:row r="1428" ht="21" customHeight="1">
      <x:c r="A1428" s="2" t="str">
        <x:v>EV001260</x:v>
      </x:c>
      <x:c r="B1428" s="2" t="str">
        <x:v>T20261006-5-2</x:v>
      </x:c>
      <x:c r="C1428" s="2" t="str">
        <x:v>ST073</x:v>
      </x:c>
      <x:c r="D1428" s="2" t="str">
        <x:v>b27180ce7590c0aac206d465f318b712</x:v>
      </x:c>
      <x:c r="E1428" s="2" t="str">
        <x:v>CHECK_OUT</x:v>
      </x:c>
      <x:c r="F1428" s="8" t="n">
        <x:v>46301.73340277778</x:v>
      </x:c>
      <x:c r="G1428" s="8" t="n">
        <x:v>46301.73342592593</x:v>
      </x:c>
      <x:c r="H1428" s="2" t="str">
        <x:v>R2S3</x:v>
      </x:c>
      <x:c r="I1428" s="9" t="n">
        <x:v>25.284000000000002</x:v>
      </x:c>
      <x:c r="J1428" s="9" t="n">
        <x:v>51.504999999999995</x:v>
      </x:c>
      <x:c r="K1428" s="2" t="n">
        <x:v>8</x:v>
      </x:c>
      <x:c r="L1428" s="2" t="str">
        <x:v>Valid</x:v>
      </x:c>
      <x:c r="M1428" s="2" t="str">
        <x:v>QR</x:v>
      </x:c>
      <x:c r="N1428" s="2" t="n">
        <x:v>1</x:v>
      </x:c>
      <x:c r="O1428" s="2" t="str">
        <x:v>Accepted</x:v>
      </x:c>
      <x:c r="P1428" s="2" t="str">
        <x:v>S002</x:v>
      </x:c>
      <x:c r="Q1428" s="2" t="str">
        <x:v>DEV002</x:v>
      </x:c>
      <x:c r="R1428" s="2" t="n">
        <x:v>18</x:v>
      </x:c>
      <x:c r="S1428" s="2" t="str">
        <x:v>Online</x:v>
      </x:c>
      <x:c r="T1428" s="2" t="str">
        <x:v>Synced</x:v>
      </x:c>
    </x:row>
    <x:row r="1429" ht="21" customHeight="1">
      <x:c r="A1429" s="2" t="str">
        <x:v>EV001420</x:v>
      </x:c>
      <x:c r="B1429" s="2" t="str">
        <x:v>T20261006-5-3</x:v>
      </x:c>
      <x:c r="C1429" s="2" t="str">
        <x:v>ST113</x:v>
      </x:c>
      <x:c r="D1429" s="2" t="str">
        <x:v>c3781e168737a6cc1190d4415801c440</x:v>
      </x:c>
      <x:c r="E1429" s="2" t="str">
        <x:v>CHECK_OUT</x:v>
      </x:c>
      <x:c r="F1429" s="8" t="n">
        <x:v>46301.73340277778</x:v>
      </x:c>
      <x:c r="G1429" s="8" t="n">
        <x:v>46301.73342592593</x:v>
      </x:c>
      <x:c r="H1429" s="2" t="str">
        <x:v>R3S3</x:v>
      </x:c>
      <x:c r="I1429" s="9" t="n">
        <x:v>25.293000000000003</x:v>
      </x:c>
      <x:c r="J1429" s="9" t="n">
        <x:v>51.513</x:v>
      </x:c>
      <x:c r="K1429" s="2" t="n">
        <x:v>8</x:v>
      </x:c>
      <x:c r="L1429" s="2" t="str">
        <x:v>Valid</x:v>
      </x:c>
      <x:c r="M1429" s="2" t="str">
        <x:v>QR</x:v>
      </x:c>
      <x:c r="N1429" s="2" t="n">
        <x:v>1</x:v>
      </x:c>
      <x:c r="O1429" s="2" t="str">
        <x:v>Accepted</x:v>
      </x:c>
      <x:c r="P1429" s="2" t="str">
        <x:v>S003</x:v>
      </x:c>
      <x:c r="Q1429" s="2" t="str">
        <x:v>DEV003</x:v>
      </x:c>
      <x:c r="R1429" s="2" t="n">
        <x:v>18</x:v>
      </x:c>
      <x:c r="S1429" s="2" t="str">
        <x:v>Online</x:v>
      </x:c>
      <x:c r="T1429" s="2" t="str">
        <x:v>Synced</x:v>
      </x:c>
    </x:row>
    <x:row r="1430" ht="21" customHeight="1">
      <x:c r="A1430" s="2" t="str">
        <x:v>EV001106</x:v>
      </x:c>
      <x:c r="B1430" s="2" t="str">
        <x:v>T20261006-5-1</x:v>
      </x:c>
      <x:c r="C1430" s="2" t="str">
        <x:v>ST036</x:v>
      </x:c>
      <x:c r="D1430" s="2" t="str">
        <x:v>7e42555e63455121ac9f1b3710bc905c</x:v>
      </x:c>
      <x:c r="E1430" s="2" t="str">
        <x:v>CHECK_OUT</x:v>
      </x:c>
      <x:c r="F1430" s="8" t="n">
        <x:v>46301.733506944445</x:v>
      </x:c>
      <x:c r="G1430" s="8" t="n">
        <x:v>46301.73353009259</x:v>
      </x:c>
      <x:c r="H1430" s="2" t="str">
        <x:v>R1S3</x:v>
      </x:c>
      <x:c r="I1430" s="9" t="n">
        <x:v>25.275000000000002</x:v>
      </x:c>
      <x:c r="J1430" s="9" t="n">
        <x:v>51.497</x:v>
      </x:c>
      <x:c r="K1430" s="2" t="n">
        <x:v>8</x:v>
      </x:c>
      <x:c r="L1430" s="2" t="str">
        <x:v>Valid</x:v>
      </x:c>
      <x:c r="M1430" s="2" t="str">
        <x:v>QR</x:v>
      </x:c>
      <x:c r="N1430" s="2" t="n">
        <x:v>1</x:v>
      </x:c>
      <x:c r="O1430" s="2" t="str">
        <x:v>Accepted</x:v>
      </x:c>
      <x:c r="P1430" s="2" t="str">
        <x:v>S001</x:v>
      </x:c>
      <x:c r="Q1430" s="2" t="str">
        <x:v>DEV001</x:v>
      </x:c>
      <x:c r="R1430" s="2" t="n">
        <x:v>19</x:v>
      </x:c>
      <x:c r="S1430" s="2" t="str">
        <x:v>Online</x:v>
      </x:c>
      <x:c r="T1430" s="2" t="str">
        <x:v>Synced</x:v>
      </x:c>
    </x:row>
    <x:row r="1431" ht="21" customHeight="1">
      <x:c r="A1431" s="2" t="str">
        <x:v>EV001266</x:v>
      </x:c>
      <x:c r="B1431" s="2" t="str">
        <x:v>T20261006-5-2</x:v>
      </x:c>
      <x:c r="C1431" s="2" t="str">
        <x:v>ST076</x:v>
      </x:c>
      <x:c r="D1431" s="2" t="str">
        <x:v>08979b9eef223b076885fe932d9f2bca</x:v>
      </x:c>
      <x:c r="E1431" s="2" t="str">
        <x:v>CHECK_OUT</x:v>
      </x:c>
      <x:c r="F1431" s="8" t="n">
        <x:v>46301.733506944445</x:v>
      </x:c>
      <x:c r="G1431" s="8" t="n">
        <x:v>46301.73353009259</x:v>
      </x:c>
      <x:c r="H1431" s="2" t="str">
        <x:v>R2S3</x:v>
      </x:c>
      <x:c r="I1431" s="9" t="n">
        <x:v>25.284000000000002</x:v>
      </x:c>
      <x:c r="J1431" s="9" t="n">
        <x:v>51.504999999999995</x:v>
      </x:c>
      <x:c r="K1431" s="2" t="n">
        <x:v>8</x:v>
      </x:c>
      <x:c r="L1431" s="2" t="str">
        <x:v>Valid</x:v>
      </x:c>
      <x:c r="M1431" s="2" t="str">
        <x:v>QR</x:v>
      </x:c>
      <x:c r="N1431" s="2" t="n">
        <x:v>1</x:v>
      </x:c>
      <x:c r="O1431" s="2" t="str">
        <x:v>Accepted</x:v>
      </x:c>
      <x:c r="P1431" s="2" t="str">
        <x:v>S002</x:v>
      </x:c>
      <x:c r="Q1431" s="2" t="str">
        <x:v>DEV002</x:v>
      </x:c>
      <x:c r="R1431" s="2" t="n">
        <x:v>19</x:v>
      </x:c>
      <x:c r="S1431" s="2" t="str">
        <x:v>Online</x:v>
      </x:c>
      <x:c r="T1431" s="2" t="str">
        <x:v>Synced</x:v>
      </x:c>
    </x:row>
    <x:row r="1432" ht="21" customHeight="1">
      <x:c r="A1432" s="2" t="str">
        <x:v>EV001426</x:v>
      </x:c>
      <x:c r="B1432" s="2" t="str">
        <x:v>T20261006-5-3</x:v>
      </x:c>
      <x:c r="C1432" s="2" t="str">
        <x:v>ST116</x:v>
      </x:c>
      <x:c r="D1432" s="2" t="str">
        <x:v>1c1fddc89afc564845795907cf1b7b0e</x:v>
      </x:c>
      <x:c r="E1432" s="2" t="str">
        <x:v>CHECK_OUT</x:v>
      </x:c>
      <x:c r="F1432" s="8" t="n">
        <x:v>46301.733506944445</x:v>
      </x:c>
      <x:c r="G1432" s="8" t="n">
        <x:v>46301.73353009259</x:v>
      </x:c>
      <x:c r="H1432" s="2" t="str">
        <x:v>R3S3</x:v>
      </x:c>
      <x:c r="I1432" s="9" t="n">
        <x:v>25.293000000000003</x:v>
      </x:c>
      <x:c r="J1432" s="9" t="n">
        <x:v>51.513</x:v>
      </x:c>
      <x:c r="K1432" s="2" t="n">
        <x:v>8</x:v>
      </x:c>
      <x:c r="L1432" s="2" t="str">
        <x:v>Valid</x:v>
      </x:c>
      <x:c r="M1432" s="2" t="str">
        <x:v>QR</x:v>
      </x:c>
      <x:c r="N1432" s="2" t="n">
        <x:v>1</x:v>
      </x:c>
      <x:c r="O1432" s="2" t="str">
        <x:v>Accepted</x:v>
      </x:c>
      <x:c r="P1432" s="2" t="str">
        <x:v>S003</x:v>
      </x:c>
      <x:c r="Q1432" s="2" t="str">
        <x:v>DEV003</x:v>
      </x:c>
      <x:c r="R1432" s="2" t="n">
        <x:v>19</x:v>
      </x:c>
      <x:c r="S1432" s="2" t="str">
        <x:v>Online</x:v>
      </x:c>
      <x:c r="T1432" s="2" t="str">
        <x:v>Synced</x:v>
      </x:c>
    </x:row>
    <x:row r="1433" ht="21" customHeight="1">
      <x:c r="A1433" s="2" t="str">
        <x:v>EV001112</x:v>
      </x:c>
      <x:c r="B1433" s="2" t="str">
        <x:v>T20261006-5-1</x:v>
      </x:c>
      <x:c r="C1433" s="2" t="str">
        <x:v>ST039</x:v>
      </x:c>
      <x:c r="D1433" s="2" t="str">
        <x:v>31ed548c9c06f555ac72ac2281bbb58a</x:v>
      </x:c>
      <x:c r="E1433" s="2" t="str">
        <x:v>CHECK_OUT</x:v>
      </x:c>
      <x:c r="F1433" s="8" t="n">
        <x:v>46301.733611111114</x:v>
      </x:c>
      <x:c r="G1433" s="8" t="n">
        <x:v>46301.73363425926</x:v>
      </x:c>
      <x:c r="H1433" s="2" t="str">
        <x:v>R1S3</x:v>
      </x:c>
      <x:c r="I1433" s="9" t="n">
        <x:v>25.275000000000002</x:v>
      </x:c>
      <x:c r="J1433" s="9" t="n">
        <x:v>51.497</x:v>
      </x:c>
      <x:c r="K1433" s="2" t="n">
        <x:v>8</x:v>
      </x:c>
      <x:c r="L1433" s="2" t="str">
        <x:v>Valid</x:v>
      </x:c>
      <x:c r="M1433" s="2" t="str">
        <x:v>QR</x:v>
      </x:c>
      <x:c r="N1433" s="2" t="n">
        <x:v>1</x:v>
      </x:c>
      <x:c r="O1433" s="2" t="str">
        <x:v>Accepted</x:v>
      </x:c>
      <x:c r="P1433" s="2" t="str">
        <x:v>S001</x:v>
      </x:c>
      <x:c r="Q1433" s="2" t="str">
        <x:v>DEV001</x:v>
      </x:c>
      <x:c r="R1433" s="2" t="n">
        <x:v>20</x:v>
      </x:c>
      <x:c r="S1433" s="2" t="str">
        <x:v>Online</x:v>
      </x:c>
      <x:c r="T1433" s="2" t="str">
        <x:v>Synced</x:v>
      </x:c>
    </x:row>
    <x:row r="1434" ht="21" customHeight="1">
      <x:c r="A1434" s="2" t="str">
        <x:v>EV001272</x:v>
      </x:c>
      <x:c r="B1434" s="2" t="str">
        <x:v>T20261006-5-2</x:v>
      </x:c>
      <x:c r="C1434" s="2" t="str">
        <x:v>ST079</x:v>
      </x:c>
      <x:c r="D1434" s="2" t="str">
        <x:v>3a794a47ff11773398f2344554eeea57</x:v>
      </x:c>
      <x:c r="E1434" s="2" t="str">
        <x:v>CHECK_OUT</x:v>
      </x:c>
      <x:c r="F1434" s="8" t="n">
        <x:v>46301.733611111114</x:v>
      </x:c>
      <x:c r="G1434" s="8" t="n">
        <x:v>46301.73363425926</x:v>
      </x:c>
      <x:c r="H1434" s="2" t="str">
        <x:v>R2S3</x:v>
      </x:c>
      <x:c r="I1434" s="9" t="n">
        <x:v>25.284000000000002</x:v>
      </x:c>
      <x:c r="J1434" s="9" t="n">
        <x:v>51.504999999999995</x:v>
      </x:c>
      <x:c r="K1434" s="2" t="n">
        <x:v>8</x:v>
      </x:c>
      <x:c r="L1434" s="2" t="str">
        <x:v>Valid</x:v>
      </x:c>
      <x:c r="M1434" s="2" t="str">
        <x:v>QR</x:v>
      </x:c>
      <x:c r="N1434" s="2" t="n">
        <x:v>1</x:v>
      </x:c>
      <x:c r="O1434" s="2" t="str">
        <x:v>Accepted</x:v>
      </x:c>
      <x:c r="P1434" s="2" t="str">
        <x:v>S002</x:v>
      </x:c>
      <x:c r="Q1434" s="2" t="str">
        <x:v>DEV002</x:v>
      </x:c>
      <x:c r="R1434" s="2" t="n">
        <x:v>20</x:v>
      </x:c>
      <x:c r="S1434" s="2" t="str">
        <x:v>Online</x:v>
      </x:c>
      <x:c r="T1434" s="2" t="str">
        <x:v>Synced</x:v>
      </x:c>
    </x:row>
    <x:row r="1435" ht="21" customHeight="1">
      <x:c r="A1435" s="2" t="str">
        <x:v>EV001432</x:v>
      </x:c>
      <x:c r="B1435" s="2" t="str">
        <x:v>T20261006-5-3</x:v>
      </x:c>
      <x:c r="C1435" s="2" t="str">
        <x:v>ST119</x:v>
      </x:c>
      <x:c r="D1435" s="2" t="str">
        <x:v>c01a05a48293e3b7c907c4b326c0d0a8</x:v>
      </x:c>
      <x:c r="E1435" s="2" t="str">
        <x:v>CHECK_OUT</x:v>
      </x:c>
      <x:c r="F1435" s="8" t="n">
        <x:v>46301.733611111114</x:v>
      </x:c>
      <x:c r="G1435" s="8" t="n">
        <x:v>46301.73363425926</x:v>
      </x:c>
      <x:c r="H1435" s="2" t="str">
        <x:v>R3S3</x:v>
      </x:c>
      <x:c r="I1435" s="9" t="n">
        <x:v>25.293000000000003</x:v>
      </x:c>
      <x:c r="J1435" s="9" t="n">
        <x:v>51.513</x:v>
      </x:c>
      <x:c r="K1435" s="2" t="n">
        <x:v>8</x:v>
      </x:c>
      <x:c r="L1435" s="2" t="str">
        <x:v>Valid</x:v>
      </x:c>
      <x:c r="M1435" s="2" t="str">
        <x:v>QR</x:v>
      </x:c>
      <x:c r="N1435" s="2" t="n">
        <x:v>1</x:v>
      </x:c>
      <x:c r="O1435" s="2" t="str">
        <x:v>Accepted</x:v>
      </x:c>
      <x:c r="P1435" s="2" t="str">
        <x:v>S003</x:v>
      </x:c>
      <x:c r="Q1435" s="2" t="str">
        <x:v>DEV003</x:v>
      </x:c>
      <x:c r="R1435" s="2" t="n">
        <x:v>20</x:v>
      </x:c>
      <x:c r="S1435" s="2" t="str">
        <x:v>Online</x:v>
      </x:c>
      <x:c r="T1435" s="2" t="str">
        <x:v>Synced</x:v>
      </x:c>
    </x:row>
    <x:row r="1436" ht="21" customHeight="1">
      <x:c r="A1436" s="2" t="str">
        <x:v>EV001435</x:v>
      </x:c>
      <x:c r="B1436" s="2" t="str">
        <x:v>T20261007-1-1</x:v>
      </x:c>
      <x:c r="C1436" s="2" t="str">
        <x:v>ST001</x:v>
      </x:c>
      <x:c r="D1436" s="2" t="str">
        <x:v>c33d277e346360e93548e66cbf71eda4</x:v>
      </x:c>
      <x:c r="E1436" s="2" t="str">
        <x:v>CHECK_IN</x:v>
      </x:c>
      <x:c r="F1436" s="8" t="n">
        <x:v>46302.242361111115</x:v>
      </x:c>
      <x:c r="G1436" s="8" t="n">
        <x:v>46302.24238425926</x:v>
      </x:c>
      <x:c r="H1436" s="2" t="str">
        <x:v>R1S1</x:v>
      </x:c>
      <x:c r="I1436" s="9" t="n">
        <x:v>25.271</x:v>
      </x:c>
      <x:c r="J1436" s="9" t="n">
        <x:v>51.491</x:v>
      </x:c>
      <x:c r="K1436" s="2" t="n">
        <x:v>8</x:v>
      </x:c>
      <x:c r="L1436" s="2" t="str">
        <x:v>Valid</x:v>
      </x:c>
      <x:c r="M1436" s="2" t="str">
        <x:v>QR</x:v>
      </x:c>
      <x:c r="N1436" s="2" t="n">
        <x:v>1</x:v>
      </x:c>
      <x:c r="O1436" s="2" t="str">
        <x:v>Accepted</x:v>
      </x:c>
      <x:c r="P1436" s="2" t="str">
        <x:v>S001</x:v>
      </x:c>
      <x:c r="Q1436" s="2" t="str">
        <x:v>DEV001</x:v>
      </x:c>
      <x:c r="R1436" s="2" t="n">
        <x:v>1</x:v>
      </x:c>
      <x:c r="S1436" s="2" t="str">
        <x:v>Online</x:v>
      </x:c>
      <x:c r="T1436" s="2" t="str">
        <x:v>Synced</x:v>
      </x:c>
    </x:row>
    <x:row r="1437" ht="21" customHeight="1">
      <x:c r="A1437" s="2" t="str">
        <x:v>EV001595</x:v>
      </x:c>
      <x:c r="B1437" s="2" t="str">
        <x:v>T20261007-1-2</x:v>
      </x:c>
      <x:c r="C1437" s="2" t="str">
        <x:v>ST041</x:v>
      </x:c>
      <x:c r="D1437" s="2" t="str">
        <x:v>78597cf805a87b7619460b6ed67f501f</x:v>
      </x:c>
      <x:c r="E1437" s="2" t="str">
        <x:v>CHECK_IN</x:v>
      </x:c>
      <x:c r="F1437" s="8" t="n">
        <x:v>46302.242361111115</x:v>
      </x:c>
      <x:c r="G1437" s="8" t="n">
        <x:v>46302.24238425926</x:v>
      </x:c>
      <x:c r="H1437" s="2" t="str">
        <x:v>R2S1</x:v>
      </x:c>
      <x:c r="I1437" s="9" t="n">
        <x:v>25.28</x:v>
      </x:c>
      <x:c r="J1437" s="9" t="n">
        <x:v>51.498999999999995</x:v>
      </x:c>
      <x:c r="K1437" s="2" t="n">
        <x:v>8</x:v>
      </x:c>
      <x:c r="L1437" s="2" t="str">
        <x:v>Valid</x:v>
      </x:c>
      <x:c r="M1437" s="2" t="str">
        <x:v>QR</x:v>
      </x:c>
      <x:c r="N1437" s="2" t="n">
        <x:v>1</x:v>
      </x:c>
      <x:c r="O1437" s="2" t="str">
        <x:v>Accepted</x:v>
      </x:c>
      <x:c r="P1437" s="2" t="str">
        <x:v>S002</x:v>
      </x:c>
      <x:c r="Q1437" s="2" t="str">
        <x:v>DEV002</x:v>
      </x:c>
      <x:c r="R1437" s="2" t="n">
        <x:v>1</x:v>
      </x:c>
      <x:c r="S1437" s="2" t="str">
        <x:v>Online</x:v>
      </x:c>
      <x:c r="T1437" s="2" t="str">
        <x:v>Synced</x:v>
      </x:c>
    </x:row>
    <x:row r="1438" ht="21" customHeight="1">
      <x:c r="A1438" s="2" t="str">
        <x:v>EV001755</x:v>
      </x:c>
      <x:c r="B1438" s="2" t="str">
        <x:v>T20261007-1-3</x:v>
      </x:c>
      <x:c r="C1438" s="2" t="str">
        <x:v>ST081</x:v>
      </x:c>
      <x:c r="D1438" s="2" t="str">
        <x:v>8631b63b10b36bffa6456d354db9c08f</x:v>
      </x:c>
      <x:c r="E1438" s="2" t="str">
        <x:v>CHECK_IN</x:v>
      </x:c>
      <x:c r="F1438" s="8" t="n">
        <x:v>46302.242361111115</x:v>
      </x:c>
      <x:c r="G1438" s="8" t="n">
        <x:v>46302.24238425926</x:v>
      </x:c>
      <x:c r="H1438" s="2" t="str">
        <x:v>R3S1</x:v>
      </x:c>
      <x:c r="I1438" s="9" t="n">
        <x:v>25.289</x:v>
      </x:c>
      <x:c r="J1438" s="9" t="n">
        <x:v>51.507</x:v>
      </x:c>
      <x:c r="K1438" s="2" t="n">
        <x:v>8</x:v>
      </x:c>
      <x:c r="L1438" s="2" t="str">
        <x:v>Valid</x:v>
      </x:c>
      <x:c r="M1438" s="2" t="str">
        <x:v>QR</x:v>
      </x:c>
      <x:c r="N1438" s="2" t="n">
        <x:v>1</x:v>
      </x:c>
      <x:c r="O1438" s="2" t="str">
        <x:v>Accepted</x:v>
      </x:c>
      <x:c r="P1438" s="2" t="str">
        <x:v>S003</x:v>
      </x:c>
      <x:c r="Q1438" s="2" t="str">
        <x:v>DEV003</x:v>
      </x:c>
      <x:c r="R1438" s="2" t="n">
        <x:v>1</x:v>
      </x:c>
      <x:c r="S1438" s="2" t="str">
        <x:v>Online</x:v>
      </x:c>
      <x:c r="T1438" s="2" t="str">
        <x:v>Synced</x:v>
      </x:c>
    </x:row>
    <x:row r="1439" ht="21" customHeight="1">
      <x:c r="A1439" s="2" t="str">
        <x:v>EV001459</x:v>
      </x:c>
      <x:c r="B1439" s="2" t="str">
        <x:v>T20261007-1-1</x:v>
      </x:c>
      <x:c r="C1439" s="2" t="str">
        <x:v>ST013</x:v>
      </x:c>
      <x:c r="D1439" s="2" t="str">
        <x:v>ddc4bbe364f02f5a2177795c49ea7ba9</x:v>
      </x:c>
      <x:c r="E1439" s="2" t="str">
        <x:v>CHECK_IN</x:v>
      </x:c>
      <x:c r="F1439" s="8" t="n">
        <x:v>46302.24243055556</x:v>
      </x:c>
      <x:c r="G1439" s="8" t="n">
        <x:v>46302.24245370371</x:v>
      </x:c>
      <x:c r="H1439" s="2" t="str">
        <x:v>R1S1</x:v>
      </x:c>
      <x:c r="I1439" s="9" t="n">
        <x:v>25.271</x:v>
      </x:c>
      <x:c r="J1439" s="9" t="n">
        <x:v>51.491</x:v>
      </x:c>
      <x:c r="K1439" s="2" t="n">
        <x:v>8</x:v>
      </x:c>
      <x:c r="L1439" s="2" t="str">
        <x:v>Valid</x:v>
      </x:c>
      <x:c r="M1439" s="2" t="str">
        <x:v>QR</x:v>
      </x:c>
      <x:c r="N1439" s="2" t="n">
        <x:v>1</x:v>
      </x:c>
      <x:c r="O1439" s="2" t="str">
        <x:v>Accepted</x:v>
      </x:c>
      <x:c r="P1439" s="2" t="str">
        <x:v>S001</x:v>
      </x:c>
      <x:c r="Q1439" s="2" t="str">
        <x:v>DEV001</x:v>
      </x:c>
      <x:c r="R1439" s="2" t="n">
        <x:v>2</x:v>
      </x:c>
      <x:c r="S1439" s="2" t="str">
        <x:v>Online</x:v>
      </x:c>
      <x:c r="T1439" s="2" t="str">
        <x:v>Synced</x:v>
      </x:c>
    </x:row>
    <x:row r="1440" ht="21" customHeight="1">
      <x:c r="A1440" s="2" t="str">
        <x:v>EV001619</x:v>
      </x:c>
      <x:c r="B1440" s="2" t="str">
        <x:v>T20261007-1-2</x:v>
      </x:c>
      <x:c r="C1440" s="2" t="str">
        <x:v>ST053</x:v>
      </x:c>
      <x:c r="D1440" s="2" t="str">
        <x:v>e476277c519e294480cfa14a37e177a0</x:v>
      </x:c>
      <x:c r="E1440" s="2" t="str">
        <x:v>CHECK_IN</x:v>
      </x:c>
      <x:c r="F1440" s="8" t="n">
        <x:v>46302.24243055556</x:v>
      </x:c>
      <x:c r="G1440" s="8" t="n">
        <x:v>46302.24245370371</x:v>
      </x:c>
      <x:c r="H1440" s="2" t="str">
        <x:v>R2S1</x:v>
      </x:c>
      <x:c r="I1440" s="9" t="n">
        <x:v>25.28</x:v>
      </x:c>
      <x:c r="J1440" s="9" t="n">
        <x:v>51.498999999999995</x:v>
      </x:c>
      <x:c r="K1440" s="2" t="n">
        <x:v>8</x:v>
      </x:c>
      <x:c r="L1440" s="2" t="str">
        <x:v>Valid</x:v>
      </x:c>
      <x:c r="M1440" s="2" t="str">
        <x:v>QR</x:v>
      </x:c>
      <x:c r="N1440" s="2" t="n">
        <x:v>1</x:v>
      </x:c>
      <x:c r="O1440" s="2" t="str">
        <x:v>Accepted</x:v>
      </x:c>
      <x:c r="P1440" s="2" t="str">
        <x:v>S002</x:v>
      </x:c>
      <x:c r="Q1440" s="2" t="str">
        <x:v>DEV002</x:v>
      </x:c>
      <x:c r="R1440" s="2" t="n">
        <x:v>2</x:v>
      </x:c>
      <x:c r="S1440" s="2" t="str">
        <x:v>Online</x:v>
      </x:c>
      <x:c r="T1440" s="2" t="str">
        <x:v>Synced</x:v>
      </x:c>
    </x:row>
    <x:row r="1441" ht="21" customHeight="1">
      <x:c r="A1441" s="2" t="str">
        <x:v>EV001779</x:v>
      </x:c>
      <x:c r="B1441" s="2" t="str">
        <x:v>T20261007-1-3</x:v>
      </x:c>
      <x:c r="C1441" s="2" t="str">
        <x:v>ST093</x:v>
      </x:c>
      <x:c r="D1441" s="2" t="str">
        <x:v>e69cdca4f10e82426e9a3098f4672791</x:v>
      </x:c>
      <x:c r="E1441" s="2" t="str">
        <x:v>CHECK_IN</x:v>
      </x:c>
      <x:c r="F1441" s="8" t="n">
        <x:v>46302.24243055556</x:v>
      </x:c>
      <x:c r="G1441" s="8" t="n">
        <x:v>46302.24245370371</x:v>
      </x:c>
      <x:c r="H1441" s="2" t="str">
        <x:v>R3S1</x:v>
      </x:c>
      <x:c r="I1441" s="9" t="n">
        <x:v>25.289</x:v>
      </x:c>
      <x:c r="J1441" s="9" t="n">
        <x:v>51.507</x:v>
      </x:c>
      <x:c r="K1441" s="2" t="n">
        <x:v>8</x:v>
      </x:c>
      <x:c r="L1441" s="2" t="str">
        <x:v>Valid</x:v>
      </x:c>
      <x:c r="M1441" s="2" t="str">
        <x:v>QR</x:v>
      </x:c>
      <x:c r="N1441" s="2" t="n">
        <x:v>1</x:v>
      </x:c>
      <x:c r="O1441" s="2" t="str">
        <x:v>Accepted</x:v>
      </x:c>
      <x:c r="P1441" s="2" t="str">
        <x:v>S003</x:v>
      </x:c>
      <x:c r="Q1441" s="2" t="str">
        <x:v>DEV003</x:v>
      </x:c>
      <x:c r="R1441" s="2" t="n">
        <x:v>2</x:v>
      </x:c>
      <x:c r="S1441" s="2" t="str">
        <x:v>Online</x:v>
      </x:c>
      <x:c r="T1441" s="2" t="str">
        <x:v>Synced</x:v>
      </x:c>
    </x:row>
    <x:row r="1442" ht="21" customHeight="1">
      <x:c r="A1442" s="2" t="str">
        <x:v>EV001441</x:v>
      </x:c>
      <x:c r="B1442" s="2" t="str">
        <x:v>T20261007-1-1</x:v>
      </x:c>
      <x:c r="C1442" s="2" t="str">
        <x:v>ST004</x:v>
      </x:c>
      <x:c r="D1442" s="2" t="str">
        <x:v>7dee56e67101a0dd8483e1503eba9a72</x:v>
      </x:c>
      <x:c r="E1442" s="2" t="str">
        <x:v>CHECK_IN</x:v>
      </x:c>
      <x:c r="F1442" s="8" t="n">
        <x:v>46302.242465277785</x:v>
      </x:c>
      <x:c r="G1442" s="8" t="n">
        <x:v>46302.24248842593</x:v>
      </x:c>
      <x:c r="H1442" s="2" t="str">
        <x:v>R1S1</x:v>
      </x:c>
      <x:c r="I1442" s="9" t="n">
        <x:v>25.271</x:v>
      </x:c>
      <x:c r="J1442" s="9" t="n">
        <x:v>51.491</x:v>
      </x:c>
      <x:c r="K1442" s="2" t="n">
        <x:v>8</x:v>
      </x:c>
      <x:c r="L1442" s="2" t="str">
        <x:v>Valid</x:v>
      </x:c>
      <x:c r="M1442" s="2" t="str">
        <x:v>QR</x:v>
      </x:c>
      <x:c r="N1442" s="2" t="n">
        <x:v>1</x:v>
      </x:c>
      <x:c r="O1442" s="2" t="str">
        <x:v>Accepted</x:v>
      </x:c>
      <x:c r="P1442" s="2" t="str">
        <x:v>S001</x:v>
      </x:c>
      <x:c r="Q1442" s="2" t="str">
        <x:v>DEV001</x:v>
      </x:c>
      <x:c r="R1442" s="2" t="n">
        <x:v>3</x:v>
      </x:c>
      <x:c r="S1442" s="2" t="str">
        <x:v>Online</x:v>
      </x:c>
      <x:c r="T1442" s="2" t="str">
        <x:v>Synced</x:v>
      </x:c>
    </x:row>
    <x:row r="1443" ht="21" customHeight="1">
      <x:c r="A1443" s="2" t="str">
        <x:v>EV001601</x:v>
      </x:c>
      <x:c r="B1443" s="2" t="str">
        <x:v>T20261007-1-2</x:v>
      </x:c>
      <x:c r="C1443" s="2" t="str">
        <x:v>ST044</x:v>
      </x:c>
      <x:c r="D1443" s="2" t="str">
        <x:v>638b036dff08260bc8976402fb10157a</x:v>
      </x:c>
      <x:c r="E1443" s="2" t="str">
        <x:v>CHECK_IN</x:v>
      </x:c>
      <x:c r="F1443" s="8" t="n">
        <x:v>46302.242465277785</x:v>
      </x:c>
      <x:c r="G1443" s="8" t="n">
        <x:v>46302.24248842593</x:v>
      </x:c>
      <x:c r="H1443" s="2" t="str">
        <x:v>R2S1</x:v>
      </x:c>
      <x:c r="I1443" s="9" t="n">
        <x:v>25.28</x:v>
      </x:c>
      <x:c r="J1443" s="9" t="n">
        <x:v>51.498999999999995</x:v>
      </x:c>
      <x:c r="K1443" s="2" t="n">
        <x:v>8</x:v>
      </x:c>
      <x:c r="L1443" s="2" t="str">
        <x:v>Valid</x:v>
      </x:c>
      <x:c r="M1443" s="2" t="str">
        <x:v>QR</x:v>
      </x:c>
      <x:c r="N1443" s="2" t="n">
        <x:v>1</x:v>
      </x:c>
      <x:c r="O1443" s="2" t="str">
        <x:v>Accepted</x:v>
      </x:c>
      <x:c r="P1443" s="2" t="str">
        <x:v>S002</x:v>
      </x:c>
      <x:c r="Q1443" s="2" t="str">
        <x:v>DEV002</x:v>
      </x:c>
      <x:c r="R1443" s="2" t="n">
        <x:v>3</x:v>
      </x:c>
      <x:c r="S1443" s="2" t="str">
        <x:v>Online</x:v>
      </x:c>
      <x:c r="T1443" s="2" t="str">
        <x:v>Synced</x:v>
      </x:c>
    </x:row>
    <x:row r="1444" ht="21" customHeight="1">
      <x:c r="A1444" s="2" t="str">
        <x:v>EV001761</x:v>
      </x:c>
      <x:c r="B1444" s="2" t="str">
        <x:v>T20261007-1-3</x:v>
      </x:c>
      <x:c r="C1444" s="2" t="str">
        <x:v>ST084</x:v>
      </x:c>
      <x:c r="D1444" s="2" t="str">
        <x:v>2f6163b722feb8421b83fd278ee72e5c</x:v>
      </x:c>
      <x:c r="E1444" s="2" t="str">
        <x:v>CHECK_IN</x:v>
      </x:c>
      <x:c r="F1444" s="8" t="n">
        <x:v>46302.242465277785</x:v>
      </x:c>
      <x:c r="G1444" s="8" t="n">
        <x:v>46302.24248842593</x:v>
      </x:c>
      <x:c r="H1444" s="2" t="str">
        <x:v>R3S1</x:v>
      </x:c>
      <x:c r="I1444" s="9" t="n">
        <x:v>25.289</x:v>
      </x:c>
      <x:c r="J1444" s="9" t="n">
        <x:v>51.507</x:v>
      </x:c>
      <x:c r="K1444" s="2" t="n">
        <x:v>8</x:v>
      </x:c>
      <x:c r="L1444" s="2" t="str">
        <x:v>Valid</x:v>
      </x:c>
      <x:c r="M1444" s="2" t="str">
        <x:v>QR</x:v>
      </x:c>
      <x:c r="N1444" s="2" t="n">
        <x:v>1</x:v>
      </x:c>
      <x:c r="O1444" s="2" t="str">
        <x:v>Accepted</x:v>
      </x:c>
      <x:c r="P1444" s="2" t="str">
        <x:v>S003</x:v>
      </x:c>
      <x:c r="Q1444" s="2" t="str">
        <x:v>DEV003</x:v>
      </x:c>
      <x:c r="R1444" s="2" t="n">
        <x:v>3</x:v>
      </x:c>
      <x:c r="S1444" s="2" t="str">
        <x:v>Online</x:v>
      </x:c>
      <x:c r="T1444" s="2" t="str">
        <x:v>Synced</x:v>
      </x:c>
    </x:row>
    <x:row r="1445" ht="21" customHeight="1">
      <x:c r="A1445" s="2" t="str">
        <x:v>EV001465</x:v>
      </x:c>
      <x:c r="B1445" s="2" t="str">
        <x:v>T20261007-1-1</x:v>
      </x:c>
      <x:c r="C1445" s="2" t="str">
        <x:v>ST016</x:v>
      </x:c>
      <x:c r="D1445" s="2" t="str">
        <x:v>5227a65bcc4ea356d570fe16b2970ea5</x:v>
      </x:c>
      <x:c r="E1445" s="2" t="str">
        <x:v>CHECK_IN</x:v>
      </x:c>
      <x:c r="F1445" s="8" t="n">
        <x:v>46302.24253472222</x:v>
      </x:c>
      <x:c r="G1445" s="8" t="n">
        <x:v>46302.24255787037</x:v>
      </x:c>
      <x:c r="H1445" s="2" t="str">
        <x:v>R1S1</x:v>
      </x:c>
      <x:c r="I1445" s="9" t="n">
        <x:v>25.271</x:v>
      </x:c>
      <x:c r="J1445" s="9" t="n">
        <x:v>51.491</x:v>
      </x:c>
      <x:c r="K1445" s="2" t="n">
        <x:v>8</x:v>
      </x:c>
      <x:c r="L1445" s="2" t="str">
        <x:v>Valid</x:v>
      </x:c>
      <x:c r="M1445" s="2" t="str">
        <x:v>QR</x:v>
      </x:c>
      <x:c r="N1445" s="2" t="n">
        <x:v>1</x:v>
      </x:c>
      <x:c r="O1445" s="2" t="str">
        <x:v>Accepted</x:v>
      </x:c>
      <x:c r="P1445" s="2" t="str">
        <x:v>S001</x:v>
      </x:c>
      <x:c r="Q1445" s="2" t="str">
        <x:v>DEV001</x:v>
      </x:c>
      <x:c r="R1445" s="2" t="n">
        <x:v>4</x:v>
      </x:c>
      <x:c r="S1445" s="2" t="str">
        <x:v>Online</x:v>
      </x:c>
      <x:c r="T1445" s="2" t="str">
        <x:v>Synced</x:v>
      </x:c>
    </x:row>
    <x:row r="1446" ht="21" customHeight="1">
      <x:c r="A1446" s="2" t="str">
        <x:v>EV001625</x:v>
      </x:c>
      <x:c r="B1446" s="2" t="str">
        <x:v>T20261007-1-2</x:v>
      </x:c>
      <x:c r="C1446" s="2" t="str">
        <x:v>ST056</x:v>
      </x:c>
      <x:c r="D1446" s="2" t="str">
        <x:v>245ed370430be1001f6d7d13404dd8b1</x:v>
      </x:c>
      <x:c r="E1446" s="2" t="str">
        <x:v>CHECK_IN</x:v>
      </x:c>
      <x:c r="F1446" s="8" t="n">
        <x:v>46302.24253472222</x:v>
      </x:c>
      <x:c r="G1446" s="8" t="n">
        <x:v>46302.24255787037</x:v>
      </x:c>
      <x:c r="H1446" s="2" t="str">
        <x:v>R2S1</x:v>
      </x:c>
      <x:c r="I1446" s="9" t="n">
        <x:v>25.28</x:v>
      </x:c>
      <x:c r="J1446" s="9" t="n">
        <x:v>51.498999999999995</x:v>
      </x:c>
      <x:c r="K1446" s="2" t="n">
        <x:v>8</x:v>
      </x:c>
      <x:c r="L1446" s="2" t="str">
        <x:v>Valid</x:v>
      </x:c>
      <x:c r="M1446" s="2" t="str">
        <x:v>QR</x:v>
      </x:c>
      <x:c r="N1446" s="2" t="n">
        <x:v>1</x:v>
      </x:c>
      <x:c r="O1446" s="2" t="str">
        <x:v>Accepted</x:v>
      </x:c>
      <x:c r="P1446" s="2" t="str">
        <x:v>S002</x:v>
      </x:c>
      <x:c r="Q1446" s="2" t="str">
        <x:v>DEV002</x:v>
      </x:c>
      <x:c r="R1446" s="2" t="n">
        <x:v>4</x:v>
      </x:c>
      <x:c r="S1446" s="2" t="str">
        <x:v>Online</x:v>
      </x:c>
      <x:c r="T1446" s="2" t="str">
        <x:v>Synced</x:v>
      </x:c>
    </x:row>
    <x:row r="1447" ht="21" customHeight="1">
      <x:c r="A1447" s="2" t="str">
        <x:v>EV001785</x:v>
      </x:c>
      <x:c r="B1447" s="2" t="str">
        <x:v>T20261007-1-3</x:v>
      </x:c>
      <x:c r="C1447" s="2" t="str">
        <x:v>ST096</x:v>
      </x:c>
      <x:c r="D1447" s="2" t="str">
        <x:v>46905fa8ca039f79eec63d82a6ea3c69</x:v>
      </x:c>
      <x:c r="E1447" s="2" t="str">
        <x:v>CHECK_IN</x:v>
      </x:c>
      <x:c r="F1447" s="8" t="n">
        <x:v>46302.24253472222</x:v>
      </x:c>
      <x:c r="G1447" s="8" t="n">
        <x:v>46302.24255787037</x:v>
      </x:c>
      <x:c r="H1447" s="2" t="str">
        <x:v>R3S1</x:v>
      </x:c>
      <x:c r="I1447" s="9" t="n">
        <x:v>25.289</x:v>
      </x:c>
      <x:c r="J1447" s="9" t="n">
        <x:v>51.507</x:v>
      </x:c>
      <x:c r="K1447" s="2" t="n">
        <x:v>8</x:v>
      </x:c>
      <x:c r="L1447" s="2" t="str">
        <x:v>Valid</x:v>
      </x:c>
      <x:c r="M1447" s="2" t="str">
        <x:v>QR</x:v>
      </x:c>
      <x:c r="N1447" s="2" t="n">
        <x:v>1</x:v>
      </x:c>
      <x:c r="O1447" s="2" t="str">
        <x:v>Accepted</x:v>
      </x:c>
      <x:c r="P1447" s="2" t="str">
        <x:v>S003</x:v>
      </x:c>
      <x:c r="Q1447" s="2" t="str">
        <x:v>DEV003</x:v>
      </x:c>
      <x:c r="R1447" s="2" t="n">
        <x:v>4</x:v>
      </x:c>
      <x:c r="S1447" s="2" t="str">
        <x:v>Online</x:v>
      </x:c>
      <x:c r="T1447" s="2" t="str">
        <x:v>Synced</x:v>
      </x:c>
    </x:row>
    <x:row r="1448" ht="21" customHeight="1">
      <x:c r="A1448" s="2" t="str">
        <x:v>EV001447</x:v>
      </x:c>
      <x:c r="B1448" s="2" t="str">
        <x:v>T20261007-1-1</x:v>
      </x:c>
      <x:c r="C1448" s="2" t="str">
        <x:v>ST007</x:v>
      </x:c>
      <x:c r="D1448" s="2" t="str">
        <x:v>2376173ab02a96d9b58d44caf4008dfd</x:v>
      </x:c>
      <x:c r="E1448" s="2" t="str">
        <x:v>CHECK_IN</x:v>
      </x:c>
      <x:c r="F1448" s="8" t="n">
        <x:v>46302.24256944445</x:v>
      </x:c>
      <x:c r="G1448" s="8" t="n">
        <x:v>46302.24259259259</x:v>
      </x:c>
      <x:c r="H1448" s="2" t="str">
        <x:v>R1S1</x:v>
      </x:c>
      <x:c r="I1448" s="9" t="n">
        <x:v>25.271</x:v>
      </x:c>
      <x:c r="J1448" s="9" t="n">
        <x:v>51.491</x:v>
      </x:c>
      <x:c r="K1448" s="2" t="n">
        <x:v>8</x:v>
      </x:c>
      <x:c r="L1448" s="2" t="str">
        <x:v>Valid</x:v>
      </x:c>
      <x:c r="M1448" s="2" t="str">
        <x:v>QR</x:v>
      </x:c>
      <x:c r="N1448" s="2" t="n">
        <x:v>1</x:v>
      </x:c>
      <x:c r="O1448" s="2" t="str">
        <x:v>Accepted</x:v>
      </x:c>
      <x:c r="P1448" s="2" t="str">
        <x:v>S001</x:v>
      </x:c>
      <x:c r="Q1448" s="2" t="str">
        <x:v>DEV001</x:v>
      </x:c>
      <x:c r="R1448" s="2" t="n">
        <x:v>5</x:v>
      </x:c>
      <x:c r="S1448" s="2" t="str">
        <x:v>Online</x:v>
      </x:c>
      <x:c r="T1448" s="2" t="str">
        <x:v>Synced</x:v>
      </x:c>
    </x:row>
    <x:row r="1449" ht="21" customHeight="1">
      <x:c r="A1449" s="2" t="str">
        <x:v>EV001607</x:v>
      </x:c>
      <x:c r="B1449" s="2" t="str">
        <x:v>T20261007-1-2</x:v>
      </x:c>
      <x:c r="C1449" s="2" t="str">
        <x:v>ST047</x:v>
      </x:c>
      <x:c r="D1449" s="2" t="str">
        <x:v>b3f6380a42fb190ae04afac7edee87cd</x:v>
      </x:c>
      <x:c r="E1449" s="2" t="str">
        <x:v>CHECK_IN</x:v>
      </x:c>
      <x:c r="F1449" s="8" t="n">
        <x:v>46302.24256944445</x:v>
      </x:c>
      <x:c r="G1449" s="8" t="n">
        <x:v>46302.24259259259</x:v>
      </x:c>
      <x:c r="H1449" s="2" t="str">
        <x:v>R2S1</x:v>
      </x:c>
      <x:c r="I1449" s="9" t="n">
        <x:v>25.28</x:v>
      </x:c>
      <x:c r="J1449" s="9" t="n">
        <x:v>51.498999999999995</x:v>
      </x:c>
      <x:c r="K1449" s="2" t="n">
        <x:v>8</x:v>
      </x:c>
      <x:c r="L1449" s="2" t="str">
        <x:v>Valid</x:v>
      </x:c>
      <x:c r="M1449" s="2" t="str">
        <x:v>QR</x:v>
      </x:c>
      <x:c r="N1449" s="2" t="n">
        <x:v>1</x:v>
      </x:c>
      <x:c r="O1449" s="2" t="str">
        <x:v>Accepted</x:v>
      </x:c>
      <x:c r="P1449" s="2" t="str">
        <x:v>S002</x:v>
      </x:c>
      <x:c r="Q1449" s="2" t="str">
        <x:v>DEV002</x:v>
      </x:c>
      <x:c r="R1449" s="2" t="n">
        <x:v>5</x:v>
      </x:c>
      <x:c r="S1449" s="2" t="str">
        <x:v>Online</x:v>
      </x:c>
      <x:c r="T1449" s="2" t="str">
        <x:v>Synced</x:v>
      </x:c>
    </x:row>
    <x:row r="1450" ht="21" customHeight="1">
      <x:c r="A1450" s="2" t="str">
        <x:v>EV001767</x:v>
      </x:c>
      <x:c r="B1450" s="2" t="str">
        <x:v>T20261007-1-3</x:v>
      </x:c>
      <x:c r="C1450" s="2" t="str">
        <x:v>ST087</x:v>
      </x:c>
      <x:c r="D1450" s="2" t="str">
        <x:v>30243cf46003be06b271950aa5cd47a6</x:v>
      </x:c>
      <x:c r="E1450" s="2" t="str">
        <x:v>CHECK_IN</x:v>
      </x:c>
      <x:c r="F1450" s="8" t="n">
        <x:v>46302.24256944445</x:v>
      </x:c>
      <x:c r="G1450" s="8" t="n">
        <x:v>46302.24259259259</x:v>
      </x:c>
      <x:c r="H1450" s="2" t="str">
        <x:v>R3S1</x:v>
      </x:c>
      <x:c r="I1450" s="9" t="n">
        <x:v>25.289</x:v>
      </x:c>
      <x:c r="J1450" s="9" t="n">
        <x:v>51.507</x:v>
      </x:c>
      <x:c r="K1450" s="2" t="n">
        <x:v>8</x:v>
      </x:c>
      <x:c r="L1450" s="2" t="str">
        <x:v>Valid</x:v>
      </x:c>
      <x:c r="M1450" s="2" t="str">
        <x:v>QR</x:v>
      </x:c>
      <x:c r="N1450" s="2" t="n">
        <x:v>1</x:v>
      </x:c>
      <x:c r="O1450" s="2" t="str">
        <x:v>Accepted</x:v>
      </x:c>
      <x:c r="P1450" s="2" t="str">
        <x:v>S003</x:v>
      </x:c>
      <x:c r="Q1450" s="2" t="str">
        <x:v>DEV003</x:v>
      </x:c>
      <x:c r="R1450" s="2" t="n">
        <x:v>5</x:v>
      </x:c>
      <x:c r="S1450" s="2" t="str">
        <x:v>Online</x:v>
      </x:c>
      <x:c r="T1450" s="2" t="str">
        <x:v>Synced</x:v>
      </x:c>
    </x:row>
    <x:row r="1451" ht="21" customHeight="1">
      <x:c r="A1451" s="2" t="str">
        <x:v>EV001471</x:v>
      </x:c>
      <x:c r="B1451" s="2" t="str">
        <x:v>T20261007-1-1</x:v>
      </x:c>
      <x:c r="C1451" s="2" t="str">
        <x:v>ST019</x:v>
      </x:c>
      <x:c r="D1451" s="2" t="str">
        <x:v>b83400b1b6dcfb0f7cb413571cb76f8f</x:v>
      </x:c>
      <x:c r="E1451" s="2" t="str">
        <x:v>CHECK_IN</x:v>
      </x:c>
      <x:c r="F1451" s="8" t="n">
        <x:v>46302.24263888889</x:v>
      </x:c>
      <x:c r="G1451" s="8" t="n">
        <x:v>46302.24266203704</x:v>
      </x:c>
      <x:c r="H1451" s="2" t="str">
        <x:v>R1S1</x:v>
      </x:c>
      <x:c r="I1451" s="9" t="n">
        <x:v>25.271</x:v>
      </x:c>
      <x:c r="J1451" s="9" t="n">
        <x:v>51.491</x:v>
      </x:c>
      <x:c r="K1451" s="2" t="n">
        <x:v>8</x:v>
      </x:c>
      <x:c r="L1451" s="2" t="str">
        <x:v>Valid</x:v>
      </x:c>
      <x:c r="M1451" s="2" t="str">
        <x:v>QR</x:v>
      </x:c>
      <x:c r="N1451" s="2" t="n">
        <x:v>1</x:v>
      </x:c>
      <x:c r="O1451" s="2" t="str">
        <x:v>Accepted</x:v>
      </x:c>
      <x:c r="P1451" s="2" t="str">
        <x:v>S001</x:v>
      </x:c>
      <x:c r="Q1451" s="2" t="str">
        <x:v>DEV001</x:v>
      </x:c>
      <x:c r="R1451" s="2" t="n">
        <x:v>6</x:v>
      </x:c>
      <x:c r="S1451" s="2" t="str">
        <x:v>Online</x:v>
      </x:c>
      <x:c r="T1451" s="2" t="str">
        <x:v>Synced</x:v>
      </x:c>
    </x:row>
    <x:row r="1452" ht="21" customHeight="1">
      <x:c r="A1452" s="2" t="str">
        <x:v>EV001631</x:v>
      </x:c>
      <x:c r="B1452" s="2" t="str">
        <x:v>T20261007-1-2</x:v>
      </x:c>
      <x:c r="C1452" s="2" t="str">
        <x:v>ST059</x:v>
      </x:c>
      <x:c r="D1452" s="2" t="str">
        <x:v>08b31edc14b3a345822a41d6515bfcba</x:v>
      </x:c>
      <x:c r="E1452" s="2" t="str">
        <x:v>CHECK_IN</x:v>
      </x:c>
      <x:c r="F1452" s="8" t="n">
        <x:v>46302.24263888889</x:v>
      </x:c>
      <x:c r="G1452" s="8" t="n">
        <x:v>46302.24266203704</x:v>
      </x:c>
      <x:c r="H1452" s="2" t="str">
        <x:v>R2S1</x:v>
      </x:c>
      <x:c r="I1452" s="9" t="n">
        <x:v>25.28</x:v>
      </x:c>
      <x:c r="J1452" s="9" t="n">
        <x:v>51.498999999999995</x:v>
      </x:c>
      <x:c r="K1452" s="2" t="n">
        <x:v>8</x:v>
      </x:c>
      <x:c r="L1452" s="2" t="str">
        <x:v>Valid</x:v>
      </x:c>
      <x:c r="M1452" s="2" t="str">
        <x:v>QR</x:v>
      </x:c>
      <x:c r="N1452" s="2" t="n">
        <x:v>1</x:v>
      </x:c>
      <x:c r="O1452" s="2" t="str">
        <x:v>Accepted</x:v>
      </x:c>
      <x:c r="P1452" s="2" t="str">
        <x:v>S002</x:v>
      </x:c>
      <x:c r="Q1452" s="2" t="str">
        <x:v>DEV002</x:v>
      </x:c>
      <x:c r="R1452" s="2" t="n">
        <x:v>6</x:v>
      </x:c>
      <x:c r="S1452" s="2" t="str">
        <x:v>Online</x:v>
      </x:c>
      <x:c r="T1452" s="2" t="str">
        <x:v>Synced</x:v>
      </x:c>
    </x:row>
    <x:row r="1453" ht="21" customHeight="1">
      <x:c r="A1453" s="2" t="str">
        <x:v>EV001791</x:v>
      </x:c>
      <x:c r="B1453" s="2" t="str">
        <x:v>T20261007-1-3</x:v>
      </x:c>
      <x:c r="C1453" s="2" t="str">
        <x:v>ST099</x:v>
      </x:c>
      <x:c r="D1453" s="2" t="str">
        <x:v>46d20c66394c55b68e36e5335452d87c</x:v>
      </x:c>
      <x:c r="E1453" s="2" t="str">
        <x:v>CHECK_IN</x:v>
      </x:c>
      <x:c r="F1453" s="8" t="n">
        <x:v>46302.24263888889</x:v>
      </x:c>
      <x:c r="G1453" s="8" t="n">
        <x:v>46302.24266203704</x:v>
      </x:c>
      <x:c r="H1453" s="2" t="str">
        <x:v>R3S1</x:v>
      </x:c>
      <x:c r="I1453" s="9" t="n">
        <x:v>25.289</x:v>
      </x:c>
      <x:c r="J1453" s="9" t="n">
        <x:v>51.507</x:v>
      </x:c>
      <x:c r="K1453" s="2" t="n">
        <x:v>8</x:v>
      </x:c>
      <x:c r="L1453" s="2" t="str">
        <x:v>Valid</x:v>
      </x:c>
      <x:c r="M1453" s="2" t="str">
        <x:v>QR</x:v>
      </x:c>
      <x:c r="N1453" s="2" t="n">
        <x:v>1</x:v>
      </x:c>
      <x:c r="O1453" s="2" t="str">
        <x:v>Accepted</x:v>
      </x:c>
      <x:c r="P1453" s="2" t="str">
        <x:v>S003</x:v>
      </x:c>
      <x:c r="Q1453" s="2" t="str">
        <x:v>DEV003</x:v>
      </x:c>
      <x:c r="R1453" s="2" t="n">
        <x:v>6</x:v>
      </x:c>
      <x:c r="S1453" s="2" t="str">
        <x:v>Online</x:v>
      </x:c>
      <x:c r="T1453" s="2" t="str">
        <x:v>Synced</x:v>
      </x:c>
    </x:row>
    <x:row r="1454" ht="21" customHeight="1">
      <x:c r="A1454" s="2" t="str">
        <x:v>EV001453</x:v>
      </x:c>
      <x:c r="B1454" s="2" t="str">
        <x:v>T20261007-1-1</x:v>
      </x:c>
      <x:c r="C1454" s="2" t="str">
        <x:v>ST010</x:v>
      </x:c>
      <x:c r="D1454" s="2" t="str">
        <x:v>df6521f6838e149b7b1f3fd27dcbf586</x:v>
      </x:c>
      <x:c r="E1454" s="2" t="str">
        <x:v>CHECK_IN</x:v>
      </x:c>
      <x:c r="F1454" s="8" t="n">
        <x:v>46302.242673611116</x:v>
      </x:c>
      <x:c r="G1454" s="8" t="n">
        <x:v>46302.24269675926</x:v>
      </x:c>
      <x:c r="H1454" s="2" t="str">
        <x:v>R1S1</x:v>
      </x:c>
      <x:c r="I1454" s="9" t="n">
        <x:v>25.271</x:v>
      </x:c>
      <x:c r="J1454" s="9" t="n">
        <x:v>51.491</x:v>
      </x:c>
      <x:c r="K1454" s="2" t="n">
        <x:v>8</x:v>
      </x:c>
      <x:c r="L1454" s="2" t="str">
        <x:v>Valid</x:v>
      </x:c>
      <x:c r="M1454" s="2" t="str">
        <x:v>QR</x:v>
      </x:c>
      <x:c r="N1454" s="2" t="n">
        <x:v>1</x:v>
      </x:c>
      <x:c r="O1454" s="2" t="str">
        <x:v>Accepted</x:v>
      </x:c>
      <x:c r="P1454" s="2" t="str">
        <x:v>S001</x:v>
      </x:c>
      <x:c r="Q1454" s="2" t="str">
        <x:v>DEV001</x:v>
      </x:c>
      <x:c r="R1454" s="2" t="n">
        <x:v>7</x:v>
      </x:c>
      <x:c r="S1454" s="2" t="str">
        <x:v>Online</x:v>
      </x:c>
      <x:c r="T1454" s="2" t="str">
        <x:v>Synced</x:v>
      </x:c>
    </x:row>
    <x:row r="1455" ht="21" customHeight="1">
      <x:c r="A1455" s="2" t="str">
        <x:v>EV001613</x:v>
      </x:c>
      <x:c r="B1455" s="2" t="str">
        <x:v>T20261007-1-2</x:v>
      </x:c>
      <x:c r="C1455" s="2" t="str">
        <x:v>ST050</x:v>
      </x:c>
      <x:c r="D1455" s="2" t="str">
        <x:v>ca49474881a6395691ac81bd08684ed6</x:v>
      </x:c>
      <x:c r="E1455" s="2" t="str">
        <x:v>CHECK_IN</x:v>
      </x:c>
      <x:c r="F1455" s="8" t="n">
        <x:v>46302.242673611116</x:v>
      </x:c>
      <x:c r="G1455" s="8" t="n">
        <x:v>46302.24269675926</x:v>
      </x:c>
      <x:c r="H1455" s="2" t="str">
        <x:v>R2S1</x:v>
      </x:c>
      <x:c r="I1455" s="9" t="n">
        <x:v>25.28</x:v>
      </x:c>
      <x:c r="J1455" s="9" t="n">
        <x:v>51.498999999999995</x:v>
      </x:c>
      <x:c r="K1455" s="2" t="n">
        <x:v>8</x:v>
      </x:c>
      <x:c r="L1455" s="2" t="str">
        <x:v>Valid</x:v>
      </x:c>
      <x:c r="M1455" s="2" t="str">
        <x:v>QR</x:v>
      </x:c>
      <x:c r="N1455" s="2" t="n">
        <x:v>1</x:v>
      </x:c>
      <x:c r="O1455" s="2" t="str">
        <x:v>Accepted</x:v>
      </x:c>
      <x:c r="P1455" s="2" t="str">
        <x:v>S002</x:v>
      </x:c>
      <x:c r="Q1455" s="2" t="str">
        <x:v>DEV002</x:v>
      </x:c>
      <x:c r="R1455" s="2" t="n">
        <x:v>7</x:v>
      </x:c>
      <x:c r="S1455" s="2" t="str">
        <x:v>Online</x:v>
      </x:c>
      <x:c r="T1455" s="2" t="str">
        <x:v>Synced</x:v>
      </x:c>
    </x:row>
    <x:row r="1456" ht="21" customHeight="1">
      <x:c r="A1456" s="2" t="str">
        <x:v>EV001773</x:v>
      </x:c>
      <x:c r="B1456" s="2" t="str">
        <x:v>T20261007-1-3</x:v>
      </x:c>
      <x:c r="C1456" s="2" t="str">
        <x:v>ST090</x:v>
      </x:c>
      <x:c r="D1456" s="2" t="str">
        <x:v>3b91252475551a374010825e1f05642c</x:v>
      </x:c>
      <x:c r="E1456" s="2" t="str">
        <x:v>CHECK_IN</x:v>
      </x:c>
      <x:c r="F1456" s="8" t="n">
        <x:v>46302.242673611116</x:v>
      </x:c>
      <x:c r="G1456" s="8" t="n">
        <x:v>46302.24269675926</x:v>
      </x:c>
      <x:c r="H1456" s="2" t="str">
        <x:v>R3S1</x:v>
      </x:c>
      <x:c r="I1456" s="9" t="n">
        <x:v>25.289</x:v>
      </x:c>
      <x:c r="J1456" s="9" t="n">
        <x:v>51.507</x:v>
      </x:c>
      <x:c r="K1456" s="2" t="n">
        <x:v>8</x:v>
      </x:c>
      <x:c r="L1456" s="2" t="str">
        <x:v>Valid</x:v>
      </x:c>
      <x:c r="M1456" s="2" t="str">
        <x:v>QR</x:v>
      </x:c>
      <x:c r="N1456" s="2" t="n">
        <x:v>1</x:v>
      </x:c>
      <x:c r="O1456" s="2" t="str">
        <x:v>Accepted</x:v>
      </x:c>
      <x:c r="P1456" s="2" t="str">
        <x:v>S003</x:v>
      </x:c>
      <x:c r="Q1456" s="2" t="str">
        <x:v>DEV003</x:v>
      </x:c>
      <x:c r="R1456" s="2" t="n">
        <x:v>7</x:v>
      </x:c>
      <x:c r="S1456" s="2" t="str">
        <x:v>Online</x:v>
      </x:c>
      <x:c r="T1456" s="2" t="str">
        <x:v>Synced</x:v>
      </x:c>
    </x:row>
    <x:row r="1457" ht="21" customHeight="1">
      <x:c r="A1457" s="2" t="str">
        <x:v>EV001455</x:v>
      </x:c>
      <x:c r="B1457" s="2" t="str">
        <x:v>T20261007-1-1</x:v>
      </x:c>
      <x:c r="C1457" s="2" t="str">
        <x:v>ST011</x:v>
      </x:c>
      <x:c r="D1457" s="2" t="str">
        <x:v>38c917effc7ec45ac750455eb7892f3e</x:v>
      </x:c>
      <x:c r="E1457" s="2" t="str">
        <x:v>CHECK_IN</x:v>
      </x:c>
      <x:c r="F1457" s="8" t="n">
        <x:v>46302.24722222222</x:v>
      </x:c>
      <x:c r="G1457" s="8" t="n">
        <x:v>46302.24724537037</x:v>
      </x:c>
      <x:c r="H1457" s="2" t="str">
        <x:v>R1S2</x:v>
      </x:c>
      <x:c r="I1457" s="9" t="n">
        <x:v>25.273000000000003</x:v>
      </x:c>
      <x:c r="J1457" s="9" t="n">
        <x:v>51.494</x:v>
      </x:c>
      <x:c r="K1457" s="2" t="n">
        <x:v>8</x:v>
      </x:c>
      <x:c r="L1457" s="2" t="str">
        <x:v>Valid</x:v>
      </x:c>
      <x:c r="M1457" s="2" t="str">
        <x:v>QR</x:v>
      </x:c>
      <x:c r="N1457" s="2" t="n">
        <x:v>1</x:v>
      </x:c>
      <x:c r="O1457" s="2" t="str">
        <x:v>Accepted</x:v>
      </x:c>
      <x:c r="P1457" s="2" t="str">
        <x:v>S001</x:v>
      </x:c>
      <x:c r="Q1457" s="2" t="str">
        <x:v>DEV001</x:v>
      </x:c>
      <x:c r="R1457" s="2" t="n">
        <x:v>8</x:v>
      </x:c>
      <x:c r="S1457" s="2" t="str">
        <x:v>Online</x:v>
      </x:c>
      <x:c r="T1457" s="2" t="str">
        <x:v>Synced</x:v>
      </x:c>
    </x:row>
    <x:row r="1458" ht="21" customHeight="1">
      <x:c r="A1458" s="2" t="str">
        <x:v>EV001615</x:v>
      </x:c>
      <x:c r="B1458" s="2" t="str">
        <x:v>T20261007-1-2</x:v>
      </x:c>
      <x:c r="C1458" s="2" t="str">
        <x:v>ST051</x:v>
      </x:c>
      <x:c r="D1458" s="2" t="str">
        <x:v>410a66d29aea7be5806f7d6945266303</x:v>
      </x:c>
      <x:c r="E1458" s="2" t="str">
        <x:v>CHECK_IN</x:v>
      </x:c>
      <x:c r="F1458" s="8" t="n">
        <x:v>46302.24722222222</x:v>
      </x:c>
      <x:c r="G1458" s="8" t="n">
        <x:v>46302.24724537037</x:v>
      </x:c>
      <x:c r="H1458" s="2" t="str">
        <x:v>R2S2</x:v>
      </x:c>
      <x:c r="I1458" s="9" t="n">
        <x:v>25.282000000000004</x:v>
      </x:c>
      <x:c r="J1458" s="9" t="n">
        <x:v>51.501999999999995</x:v>
      </x:c>
      <x:c r="K1458" s="2" t="n">
        <x:v>8</x:v>
      </x:c>
      <x:c r="L1458" s="2" t="str">
        <x:v>Valid</x:v>
      </x:c>
      <x:c r="M1458" s="2" t="str">
        <x:v>QR</x:v>
      </x:c>
      <x:c r="N1458" s="2" t="n">
        <x:v>1</x:v>
      </x:c>
      <x:c r="O1458" s="2" t="str">
        <x:v>Accepted</x:v>
      </x:c>
      <x:c r="P1458" s="2" t="str">
        <x:v>S002</x:v>
      </x:c>
      <x:c r="Q1458" s="2" t="str">
        <x:v>DEV002</x:v>
      </x:c>
      <x:c r="R1458" s="2" t="n">
        <x:v>8</x:v>
      </x:c>
      <x:c r="S1458" s="2" t="str">
        <x:v>Online</x:v>
      </x:c>
      <x:c r="T1458" s="2" t="str">
        <x:v>Synced</x:v>
      </x:c>
    </x:row>
    <x:row r="1459" ht="21" customHeight="1">
      <x:c r="A1459" s="2" t="str">
        <x:v>EV001775</x:v>
      </x:c>
      <x:c r="B1459" s="2" t="str">
        <x:v>T20261007-1-3</x:v>
      </x:c>
      <x:c r="C1459" s="2" t="str">
        <x:v>ST091</x:v>
      </x:c>
      <x:c r="D1459" s="2" t="str">
        <x:v>2d74afc7329a1eb53bd16a92fc366891</x:v>
      </x:c>
      <x:c r="E1459" s="2" t="str">
        <x:v>CHECK_IN</x:v>
      </x:c>
      <x:c r="F1459" s="8" t="n">
        <x:v>46302.24722222222</x:v>
      </x:c>
      <x:c r="G1459" s="8" t="n">
        <x:v>46302.24724537037</x:v>
      </x:c>
      <x:c r="H1459" s="2" t="str">
        <x:v>R3S2</x:v>
      </x:c>
      <x:c r="I1459" s="9" t="n">
        <x:v>25.291000000000004</x:v>
      </x:c>
      <x:c r="J1459" s="9" t="n">
        <x:v>51.51</x:v>
      </x:c>
      <x:c r="K1459" s="2" t="n">
        <x:v>8</x:v>
      </x:c>
      <x:c r="L1459" s="2" t="str">
        <x:v>Valid</x:v>
      </x:c>
      <x:c r="M1459" s="2" t="str">
        <x:v>QR</x:v>
      </x:c>
      <x:c r="N1459" s="2" t="n">
        <x:v>1</x:v>
      </x:c>
      <x:c r="O1459" s="2" t="str">
        <x:v>Accepted</x:v>
      </x:c>
      <x:c r="P1459" s="2" t="str">
        <x:v>S003</x:v>
      </x:c>
      <x:c r="Q1459" s="2" t="str">
        <x:v>DEV003</x:v>
      </x:c>
      <x:c r="R1459" s="2" t="n">
        <x:v>8</x:v>
      </x:c>
      <x:c r="S1459" s="2" t="str">
        <x:v>Online</x:v>
      </x:c>
      <x:c r="T1459" s="2" t="str">
        <x:v>Synced</x:v>
      </x:c>
    </x:row>
    <x:row r="1460" ht="21" customHeight="1">
      <x:c r="A1460" s="2" t="str">
        <x:v>EV001437</x:v>
      </x:c>
      <x:c r="B1460" s="2" t="str">
        <x:v>T20261007-1-1</x:v>
      </x:c>
      <x:c r="C1460" s="2" t="str">
        <x:v>ST002</x:v>
      </x:c>
      <x:c r="D1460" s="2" t="str">
        <x:v>c9302a76d79e524442f3775978bb57a1</x:v>
      </x:c>
      <x:c r="E1460" s="2" t="str">
        <x:v>CHECK_IN</x:v>
      </x:c>
      <x:c r="F1460" s="8" t="n">
        <x:v>46302.24725694444</x:v>
      </x:c>
      <x:c r="G1460" s="8" t="n">
        <x:v>46302.24728009259</x:v>
      </x:c>
      <x:c r="H1460" s="2" t="str">
        <x:v>R1S2</x:v>
      </x:c>
      <x:c r="I1460" s="9" t="n">
        <x:v>25.273000000000003</x:v>
      </x:c>
      <x:c r="J1460" s="9" t="n">
        <x:v>51.494</x:v>
      </x:c>
      <x:c r="K1460" s="2" t="n">
        <x:v>8</x:v>
      </x:c>
      <x:c r="L1460" s="2" t="str">
        <x:v>Valid</x:v>
      </x:c>
      <x:c r="M1460" s="2" t="str">
        <x:v>QR</x:v>
      </x:c>
      <x:c r="N1460" s="2" t="n">
        <x:v>1</x:v>
      </x:c>
      <x:c r="O1460" s="2" t="str">
        <x:v>Accepted</x:v>
      </x:c>
      <x:c r="P1460" s="2" t="str">
        <x:v>S001</x:v>
      </x:c>
      <x:c r="Q1460" s="2" t="str">
        <x:v>DEV001</x:v>
      </x:c>
      <x:c r="R1460" s="2" t="n">
        <x:v>9</x:v>
      </x:c>
      <x:c r="S1460" s="2" t="str">
        <x:v>Online</x:v>
      </x:c>
      <x:c r="T1460" s="2" t="str">
        <x:v>Synced</x:v>
      </x:c>
    </x:row>
    <x:row r="1461" ht="21" customHeight="1">
      <x:c r="A1461" s="2" t="str">
        <x:v>EV001597</x:v>
      </x:c>
      <x:c r="B1461" s="2" t="str">
        <x:v>T20261007-1-2</x:v>
      </x:c>
      <x:c r="C1461" s="2" t="str">
        <x:v>ST042</x:v>
      </x:c>
      <x:c r="D1461" s="2" t="str">
        <x:v>9cf3254a8e8c8233e36089501cd1bc60</x:v>
      </x:c>
      <x:c r="E1461" s="2" t="str">
        <x:v>CHECK_IN</x:v>
      </x:c>
      <x:c r="F1461" s="8" t="n">
        <x:v>46302.24725694444</x:v>
      </x:c>
      <x:c r="G1461" s="8" t="n">
        <x:v>46302.24728009259</x:v>
      </x:c>
      <x:c r="H1461" s="2" t="str">
        <x:v>R2S2</x:v>
      </x:c>
      <x:c r="I1461" s="9" t="n">
        <x:v>25.282000000000004</x:v>
      </x:c>
      <x:c r="J1461" s="9" t="n">
        <x:v>51.501999999999995</x:v>
      </x:c>
      <x:c r="K1461" s="2" t="n">
        <x:v>8</x:v>
      </x:c>
      <x:c r="L1461" s="2" t="str">
        <x:v>Valid</x:v>
      </x:c>
      <x:c r="M1461" s="2" t="str">
        <x:v>QR</x:v>
      </x:c>
      <x:c r="N1461" s="2" t="n">
        <x:v>1</x:v>
      </x:c>
      <x:c r="O1461" s="2" t="str">
        <x:v>Accepted</x:v>
      </x:c>
      <x:c r="P1461" s="2" t="str">
        <x:v>S002</x:v>
      </x:c>
      <x:c r="Q1461" s="2" t="str">
        <x:v>DEV002</x:v>
      </x:c>
      <x:c r="R1461" s="2" t="n">
        <x:v>9</x:v>
      </x:c>
      <x:c r="S1461" s="2" t="str">
        <x:v>Online</x:v>
      </x:c>
      <x:c r="T1461" s="2" t="str">
        <x:v>Synced</x:v>
      </x:c>
    </x:row>
    <x:row r="1462" ht="21" customHeight="1">
      <x:c r="A1462" s="2" t="str">
        <x:v>EV001757</x:v>
      </x:c>
      <x:c r="B1462" s="2" t="str">
        <x:v>T20261007-1-3</x:v>
      </x:c>
      <x:c r="C1462" s="2" t="str">
        <x:v>ST082</x:v>
      </x:c>
      <x:c r="D1462" s="2" t="str">
        <x:v>fb7e28e2da3ace738571a6966bcaaec0</x:v>
      </x:c>
      <x:c r="E1462" s="2" t="str">
        <x:v>CHECK_IN</x:v>
      </x:c>
      <x:c r="F1462" s="8" t="n">
        <x:v>46302.24725694444</x:v>
      </x:c>
      <x:c r="G1462" s="8" t="n">
        <x:v>46302.24728009259</x:v>
      </x:c>
      <x:c r="H1462" s="2" t="str">
        <x:v>R3S2</x:v>
      </x:c>
      <x:c r="I1462" s="9" t="n">
        <x:v>25.291000000000004</x:v>
      </x:c>
      <x:c r="J1462" s="9" t="n">
        <x:v>51.51</x:v>
      </x:c>
      <x:c r="K1462" s="2" t="n">
        <x:v>8</x:v>
      </x:c>
      <x:c r="L1462" s="2" t="str">
        <x:v>Valid</x:v>
      </x:c>
      <x:c r="M1462" s="2" t="str">
        <x:v>QR</x:v>
      </x:c>
      <x:c r="N1462" s="2" t="n">
        <x:v>1</x:v>
      </x:c>
      <x:c r="O1462" s="2" t="str">
        <x:v>Accepted</x:v>
      </x:c>
      <x:c r="P1462" s="2" t="str">
        <x:v>S003</x:v>
      </x:c>
      <x:c r="Q1462" s="2" t="str">
        <x:v>DEV003</x:v>
      </x:c>
      <x:c r="R1462" s="2" t="n">
        <x:v>9</x:v>
      </x:c>
      <x:c r="S1462" s="2" t="str">
        <x:v>Online</x:v>
      </x:c>
      <x:c r="T1462" s="2" t="str">
        <x:v>Synced</x:v>
      </x:c>
    </x:row>
    <x:row r="1463" ht="21" customHeight="1">
      <x:c r="A1463" s="2" t="str">
        <x:v>EV001461</x:v>
      </x:c>
      <x:c r="B1463" s="2" t="str">
        <x:v>T20261007-1-1</x:v>
      </x:c>
      <x:c r="C1463" s="2" t="str">
        <x:v>ST014</x:v>
      </x:c>
      <x:c r="D1463" s="2" t="str">
        <x:v>6ea4b25306143e251962ae19fa8ee7af</x:v>
      </x:c>
      <x:c r="E1463" s="2" t="str">
        <x:v>CHECK_IN</x:v>
      </x:c>
      <x:c r="F1463" s="8" t="n">
        <x:v>46302.24732638889</x:v>
      </x:c>
      <x:c r="G1463" s="8" t="n">
        <x:v>46302.247349537036</x:v>
      </x:c>
      <x:c r="H1463" s="2" t="str">
        <x:v>R1S2</x:v>
      </x:c>
      <x:c r="I1463" s="9" t="n">
        <x:v>25.273000000000003</x:v>
      </x:c>
      <x:c r="J1463" s="9" t="n">
        <x:v>51.494</x:v>
      </x:c>
      <x:c r="K1463" s="2" t="n">
        <x:v>8</x:v>
      </x:c>
      <x:c r="L1463" s="2" t="str">
        <x:v>Valid</x:v>
      </x:c>
      <x:c r="M1463" s="2" t="str">
        <x:v>QR</x:v>
      </x:c>
      <x:c r="N1463" s="2" t="n">
        <x:v>1</x:v>
      </x:c>
      <x:c r="O1463" s="2" t="str">
        <x:v>Accepted</x:v>
      </x:c>
      <x:c r="P1463" s="2" t="str">
        <x:v>S001</x:v>
      </x:c>
      <x:c r="Q1463" s="2" t="str">
        <x:v>DEV001</x:v>
      </x:c>
      <x:c r="R1463" s="2" t="n">
        <x:v>10</x:v>
      </x:c>
      <x:c r="S1463" s="2" t="str">
        <x:v>Online</x:v>
      </x:c>
      <x:c r="T1463" s="2" t="str">
        <x:v>Synced</x:v>
      </x:c>
    </x:row>
    <x:row r="1464" ht="21" customHeight="1">
      <x:c r="A1464" s="2" t="str">
        <x:v>EV001621</x:v>
      </x:c>
      <x:c r="B1464" s="2" t="str">
        <x:v>T20261007-1-2</x:v>
      </x:c>
      <x:c r="C1464" s="2" t="str">
        <x:v>ST054</x:v>
      </x:c>
      <x:c r="D1464" s="2" t="str">
        <x:v>1c9a916db52e081aeb59bc928cb914dd</x:v>
      </x:c>
      <x:c r="E1464" s="2" t="str">
        <x:v>CHECK_IN</x:v>
      </x:c>
      <x:c r="F1464" s="8" t="n">
        <x:v>46302.24732638889</x:v>
      </x:c>
      <x:c r="G1464" s="8" t="n">
        <x:v>46302.247349537036</x:v>
      </x:c>
      <x:c r="H1464" s="2" t="str">
        <x:v>R2S2</x:v>
      </x:c>
      <x:c r="I1464" s="9" t="n">
        <x:v>25.282000000000004</x:v>
      </x:c>
      <x:c r="J1464" s="9" t="n">
        <x:v>51.501999999999995</x:v>
      </x:c>
      <x:c r="K1464" s="2" t="n">
        <x:v>8</x:v>
      </x:c>
      <x:c r="L1464" s="2" t="str">
        <x:v>Valid</x:v>
      </x:c>
      <x:c r="M1464" s="2" t="str">
        <x:v>QR</x:v>
      </x:c>
      <x:c r="N1464" s="2" t="n">
        <x:v>1</x:v>
      </x:c>
      <x:c r="O1464" s="2" t="str">
        <x:v>Accepted</x:v>
      </x:c>
      <x:c r="P1464" s="2" t="str">
        <x:v>S002</x:v>
      </x:c>
      <x:c r="Q1464" s="2" t="str">
        <x:v>DEV002</x:v>
      </x:c>
      <x:c r="R1464" s="2" t="n">
        <x:v>10</x:v>
      </x:c>
      <x:c r="S1464" s="2" t="str">
        <x:v>Online</x:v>
      </x:c>
      <x:c r="T1464" s="2" t="str">
        <x:v>Synced</x:v>
      </x:c>
    </x:row>
    <x:row r="1465" ht="21" customHeight="1">
      <x:c r="A1465" s="2" t="str">
        <x:v>EV001781</x:v>
      </x:c>
      <x:c r="B1465" s="2" t="str">
        <x:v>T20261007-1-3</x:v>
      </x:c>
      <x:c r="C1465" s="2" t="str">
        <x:v>ST094</x:v>
      </x:c>
      <x:c r="D1465" s="2" t="str">
        <x:v>b6fd37c188877a378c496dccb3132cf2</x:v>
      </x:c>
      <x:c r="E1465" s="2" t="str">
        <x:v>CHECK_IN</x:v>
      </x:c>
      <x:c r="F1465" s="8" t="n">
        <x:v>46302.24732638889</x:v>
      </x:c>
      <x:c r="G1465" s="8" t="n">
        <x:v>46302.247349537036</x:v>
      </x:c>
      <x:c r="H1465" s="2" t="str">
        <x:v>R3S2</x:v>
      </x:c>
      <x:c r="I1465" s="9" t="n">
        <x:v>25.291000000000004</x:v>
      </x:c>
      <x:c r="J1465" s="9" t="n">
        <x:v>51.51</x:v>
      </x:c>
      <x:c r="K1465" s="2" t="n">
        <x:v>8</x:v>
      </x:c>
      <x:c r="L1465" s="2" t="str">
        <x:v>Valid</x:v>
      </x:c>
      <x:c r="M1465" s="2" t="str">
        <x:v>QR</x:v>
      </x:c>
      <x:c r="N1465" s="2" t="n">
        <x:v>1</x:v>
      </x:c>
      <x:c r="O1465" s="2" t="str">
        <x:v>Accepted</x:v>
      </x:c>
      <x:c r="P1465" s="2" t="str">
        <x:v>S003</x:v>
      </x:c>
      <x:c r="Q1465" s="2" t="str">
        <x:v>DEV003</x:v>
      </x:c>
      <x:c r="R1465" s="2" t="n">
        <x:v>10</x:v>
      </x:c>
      <x:c r="S1465" s="2" t="str">
        <x:v>Online</x:v>
      </x:c>
      <x:c r="T1465" s="2" t="str">
        <x:v>Synced</x:v>
      </x:c>
    </x:row>
    <x:row r="1466" ht="21" customHeight="1">
      <x:c r="A1466" s="2" t="str">
        <x:v>EV001443</x:v>
      </x:c>
      <x:c r="B1466" s="2" t="str">
        <x:v>T20261007-1-1</x:v>
      </x:c>
      <x:c r="C1466" s="2" t="str">
        <x:v>ST005</x:v>
      </x:c>
      <x:c r="D1466" s="2" t="str">
        <x:v>426727a8a0b9d51694a399a005c786cf</x:v>
      </x:c>
      <x:c r="E1466" s="2" t="str">
        <x:v>CHECK_IN</x:v>
      </x:c>
      <x:c r="F1466" s="8" t="n">
        <x:v>46302.24736111111</x:v>
      </x:c>
      <x:c r="G1466" s="8" t="n">
        <x:v>46302.24738425926</x:v>
      </x:c>
      <x:c r="H1466" s="2" t="str">
        <x:v>R1S2</x:v>
      </x:c>
      <x:c r="I1466" s="9" t="n">
        <x:v>25.273000000000003</x:v>
      </x:c>
      <x:c r="J1466" s="9" t="n">
        <x:v>51.494</x:v>
      </x:c>
      <x:c r="K1466" s="2" t="n">
        <x:v>8</x:v>
      </x:c>
      <x:c r="L1466" s="2" t="str">
        <x:v>Valid</x:v>
      </x:c>
      <x:c r="M1466" s="2" t="str">
        <x:v>QR</x:v>
      </x:c>
      <x:c r="N1466" s="2" t="n">
        <x:v>1</x:v>
      </x:c>
      <x:c r="O1466" s="2" t="str">
        <x:v>Accepted</x:v>
      </x:c>
      <x:c r="P1466" s="2" t="str">
        <x:v>S001</x:v>
      </x:c>
      <x:c r="Q1466" s="2" t="str">
        <x:v>DEV001</x:v>
      </x:c>
      <x:c r="R1466" s="2" t="n">
        <x:v>11</x:v>
      </x:c>
      <x:c r="S1466" s="2" t="str">
        <x:v>Online</x:v>
      </x:c>
      <x:c r="T1466" s="2" t="str">
        <x:v>Synced</x:v>
      </x:c>
    </x:row>
    <x:row r="1467" ht="21" customHeight="1">
      <x:c r="A1467" s="2" t="str">
        <x:v>EV001603</x:v>
      </x:c>
      <x:c r="B1467" s="2" t="str">
        <x:v>T20261007-1-2</x:v>
      </x:c>
      <x:c r="C1467" s="2" t="str">
        <x:v>ST045</x:v>
      </x:c>
      <x:c r="D1467" s="2" t="str">
        <x:v>10d8df8a06a7c869bcaa1adbc88c05bc</x:v>
      </x:c>
      <x:c r="E1467" s="2" t="str">
        <x:v>CHECK_IN</x:v>
      </x:c>
      <x:c r="F1467" s="8" t="n">
        <x:v>46302.24736111111</x:v>
      </x:c>
      <x:c r="G1467" s="8" t="n">
        <x:v>46302.24738425926</x:v>
      </x:c>
      <x:c r="H1467" s="2" t="str">
        <x:v>R2S2</x:v>
      </x:c>
      <x:c r="I1467" s="9" t="n">
        <x:v>25.282000000000004</x:v>
      </x:c>
      <x:c r="J1467" s="9" t="n">
        <x:v>51.501999999999995</x:v>
      </x:c>
      <x:c r="K1467" s="2" t="n">
        <x:v>8</x:v>
      </x:c>
      <x:c r="L1467" s="2" t="str">
        <x:v>Valid</x:v>
      </x:c>
      <x:c r="M1467" s="2" t="str">
        <x:v>QR</x:v>
      </x:c>
      <x:c r="N1467" s="2" t="n">
        <x:v>1</x:v>
      </x:c>
      <x:c r="O1467" s="2" t="str">
        <x:v>Accepted</x:v>
      </x:c>
      <x:c r="P1467" s="2" t="str">
        <x:v>S002</x:v>
      </x:c>
      <x:c r="Q1467" s="2" t="str">
        <x:v>DEV002</x:v>
      </x:c>
      <x:c r="R1467" s="2" t="n">
        <x:v>11</x:v>
      </x:c>
      <x:c r="S1467" s="2" t="str">
        <x:v>Online</x:v>
      </x:c>
      <x:c r="T1467" s="2" t="str">
        <x:v>Synced</x:v>
      </x:c>
    </x:row>
    <x:row r="1468" ht="21" customHeight="1">
      <x:c r="A1468" s="2" t="str">
        <x:v>EV001763</x:v>
      </x:c>
      <x:c r="B1468" s="2" t="str">
        <x:v>T20261007-1-3</x:v>
      </x:c>
      <x:c r="C1468" s="2" t="str">
        <x:v>ST085</x:v>
      </x:c>
      <x:c r="D1468" s="2" t="str">
        <x:v>80babdd572dde222a75b7ad8f0fe7ffa</x:v>
      </x:c>
      <x:c r="E1468" s="2" t="str">
        <x:v>CHECK_IN</x:v>
      </x:c>
      <x:c r="F1468" s="8" t="n">
        <x:v>46302.24736111111</x:v>
      </x:c>
      <x:c r="G1468" s="8" t="n">
        <x:v>46302.24738425926</x:v>
      </x:c>
      <x:c r="H1468" s="2" t="str">
        <x:v>R3S2</x:v>
      </x:c>
      <x:c r="I1468" s="9" t="n">
        <x:v>25.291000000000004</x:v>
      </x:c>
      <x:c r="J1468" s="9" t="n">
        <x:v>51.51</x:v>
      </x:c>
      <x:c r="K1468" s="2" t="n">
        <x:v>8</x:v>
      </x:c>
      <x:c r="L1468" s="2" t="str">
        <x:v>Valid</x:v>
      </x:c>
      <x:c r="M1468" s="2" t="str">
        <x:v>QR</x:v>
      </x:c>
      <x:c r="N1468" s="2" t="n">
        <x:v>1</x:v>
      </x:c>
      <x:c r="O1468" s="2" t="str">
        <x:v>Accepted</x:v>
      </x:c>
      <x:c r="P1468" s="2" t="str">
        <x:v>S003</x:v>
      </x:c>
      <x:c r="Q1468" s="2" t="str">
        <x:v>DEV003</x:v>
      </x:c>
      <x:c r="R1468" s="2" t="n">
        <x:v>11</x:v>
      </x:c>
      <x:c r="S1468" s="2" t="str">
        <x:v>Online</x:v>
      </x:c>
      <x:c r="T1468" s="2" t="str">
        <x:v>Synced</x:v>
      </x:c>
    </x:row>
    <x:row r="1469" ht="21" customHeight="1">
      <x:c r="A1469" s="2" t="str">
        <x:v>EV001467</x:v>
      </x:c>
      <x:c r="B1469" s="2" t="str">
        <x:v>T20261007-1-1</x:v>
      </x:c>
      <x:c r="C1469" s="2" t="str">
        <x:v>ST017</x:v>
      </x:c>
      <x:c r="D1469" s="2" t="str">
        <x:v>ea6159d457322f2456f4cadd6b3d659f</x:v>
      </x:c>
      <x:c r="E1469" s="2" t="str">
        <x:v>CHECK_IN</x:v>
      </x:c>
      <x:c r="F1469" s="8" t="n">
        <x:v>46302.24743055555</x:v>
      </x:c>
      <x:c r="G1469" s="8" t="n">
        <x:v>46302.2474537037</x:v>
      </x:c>
      <x:c r="H1469" s="2" t="str">
        <x:v>R1S2</x:v>
      </x:c>
      <x:c r="I1469" s="9" t="n">
        <x:v>25.273000000000003</x:v>
      </x:c>
      <x:c r="J1469" s="9" t="n">
        <x:v>51.494</x:v>
      </x:c>
      <x:c r="K1469" s="2" t="n">
        <x:v>8</x:v>
      </x:c>
      <x:c r="L1469" s="2" t="str">
        <x:v>Valid</x:v>
      </x:c>
      <x:c r="M1469" s="2" t="str">
        <x:v>QR</x:v>
      </x:c>
      <x:c r="N1469" s="2" t="n">
        <x:v>1</x:v>
      </x:c>
      <x:c r="O1469" s="2" t="str">
        <x:v>Accepted</x:v>
      </x:c>
      <x:c r="P1469" s="2" t="str">
        <x:v>S001</x:v>
      </x:c>
      <x:c r="Q1469" s="2" t="str">
        <x:v>DEV001</x:v>
      </x:c>
      <x:c r="R1469" s="2" t="n">
        <x:v>12</x:v>
      </x:c>
      <x:c r="S1469" s="2" t="str">
        <x:v>Online</x:v>
      </x:c>
      <x:c r="T1469" s="2" t="str">
        <x:v>Synced</x:v>
      </x:c>
    </x:row>
    <x:row r="1470" ht="21" customHeight="1">
      <x:c r="A1470" s="2" t="str">
        <x:v>EV001627</x:v>
      </x:c>
      <x:c r="B1470" s="2" t="str">
        <x:v>T20261007-1-2</x:v>
      </x:c>
      <x:c r="C1470" s="2" t="str">
        <x:v>ST057</x:v>
      </x:c>
      <x:c r="D1470" s="2" t="str">
        <x:v>68d992c7418727808ad27d2e5ee9b88d</x:v>
      </x:c>
      <x:c r="E1470" s="2" t="str">
        <x:v>CHECK_IN</x:v>
      </x:c>
      <x:c r="F1470" s="8" t="n">
        <x:v>46302.24743055555</x:v>
      </x:c>
      <x:c r="G1470" s="8" t="n">
        <x:v>46302.2474537037</x:v>
      </x:c>
      <x:c r="H1470" s="2" t="str">
        <x:v>R2S2</x:v>
      </x:c>
      <x:c r="I1470" s="9" t="n">
        <x:v>25.282000000000004</x:v>
      </x:c>
      <x:c r="J1470" s="9" t="n">
        <x:v>51.501999999999995</x:v>
      </x:c>
      <x:c r="K1470" s="2" t="n">
        <x:v>8</x:v>
      </x:c>
      <x:c r="L1470" s="2" t="str">
        <x:v>Valid</x:v>
      </x:c>
      <x:c r="M1470" s="2" t="str">
        <x:v>QR</x:v>
      </x:c>
      <x:c r="N1470" s="2" t="n">
        <x:v>1</x:v>
      </x:c>
      <x:c r="O1470" s="2" t="str">
        <x:v>Accepted</x:v>
      </x:c>
      <x:c r="P1470" s="2" t="str">
        <x:v>S002</x:v>
      </x:c>
      <x:c r="Q1470" s="2" t="str">
        <x:v>DEV002</x:v>
      </x:c>
      <x:c r="R1470" s="2" t="n">
        <x:v>12</x:v>
      </x:c>
      <x:c r="S1470" s="2" t="str">
        <x:v>Online</x:v>
      </x:c>
      <x:c r="T1470" s="2" t="str">
        <x:v>Synced</x:v>
      </x:c>
    </x:row>
    <x:row r="1471" ht="21" customHeight="1">
      <x:c r="A1471" s="2" t="str">
        <x:v>EV001787</x:v>
      </x:c>
      <x:c r="B1471" s="2" t="str">
        <x:v>T20261007-1-3</x:v>
      </x:c>
      <x:c r="C1471" s="2" t="str">
        <x:v>ST097</x:v>
      </x:c>
      <x:c r="D1471" s="2" t="str">
        <x:v>0ccbf8d08569df9dde2207b8d5616d1e</x:v>
      </x:c>
      <x:c r="E1471" s="2" t="str">
        <x:v>CHECK_IN</x:v>
      </x:c>
      <x:c r="F1471" s="8" t="n">
        <x:v>46302.24743055555</x:v>
      </x:c>
      <x:c r="G1471" s="8" t="n">
        <x:v>46302.2474537037</x:v>
      </x:c>
      <x:c r="H1471" s="2" t="str">
        <x:v>R3S2</x:v>
      </x:c>
      <x:c r="I1471" s="9" t="n">
        <x:v>25.291000000000004</x:v>
      </x:c>
      <x:c r="J1471" s="9" t="n">
        <x:v>51.51</x:v>
      </x:c>
      <x:c r="K1471" s="2" t="n">
        <x:v>8</x:v>
      </x:c>
      <x:c r="L1471" s="2" t="str">
        <x:v>Valid</x:v>
      </x:c>
      <x:c r="M1471" s="2" t="str">
        <x:v>QR</x:v>
      </x:c>
      <x:c r="N1471" s="2" t="n">
        <x:v>1</x:v>
      </x:c>
      <x:c r="O1471" s="2" t="str">
        <x:v>Accepted</x:v>
      </x:c>
      <x:c r="P1471" s="2" t="str">
        <x:v>S003</x:v>
      </x:c>
      <x:c r="Q1471" s="2" t="str">
        <x:v>DEV003</x:v>
      </x:c>
      <x:c r="R1471" s="2" t="n">
        <x:v>12</x:v>
      </x:c>
      <x:c r="S1471" s="2" t="str">
        <x:v>Online</x:v>
      </x:c>
      <x:c r="T1471" s="2" t="str">
        <x:v>Synced</x:v>
      </x:c>
    </x:row>
    <x:row r="1472" ht="21" customHeight="1">
      <x:c r="A1472" s="2" t="str">
        <x:v>EV001449</x:v>
      </x:c>
      <x:c r="B1472" s="2" t="str">
        <x:v>T20261007-1-1</x:v>
      </x:c>
      <x:c r="C1472" s="2" t="str">
        <x:v>ST008</x:v>
      </x:c>
      <x:c r="D1472" s="2" t="str">
        <x:v>ac4baf5d317844907005c691f401c42d</x:v>
      </x:c>
      <x:c r="E1472" s="2" t="str">
        <x:v>CHECK_IN</x:v>
      </x:c>
      <x:c r="F1472" s="8" t="n">
        <x:v>46302.247465277775</x:v>
      </x:c>
      <x:c r="G1472" s="8" t="n">
        <x:v>46302.24748842592</x:v>
      </x:c>
      <x:c r="H1472" s="2" t="str">
        <x:v>R1S2</x:v>
      </x:c>
      <x:c r="I1472" s="9" t="n">
        <x:v>25.273000000000003</x:v>
      </x:c>
      <x:c r="J1472" s="9" t="n">
        <x:v>51.494</x:v>
      </x:c>
      <x:c r="K1472" s="2" t="n">
        <x:v>8</x:v>
      </x:c>
      <x:c r="L1472" s="2" t="str">
        <x:v>Valid</x:v>
      </x:c>
      <x:c r="M1472" s="2" t="str">
        <x:v>QR</x:v>
      </x:c>
      <x:c r="N1472" s="2" t="n">
        <x:v>1</x:v>
      </x:c>
      <x:c r="O1472" s="2" t="str">
        <x:v>Accepted</x:v>
      </x:c>
      <x:c r="P1472" s="2" t="str">
        <x:v>S001</x:v>
      </x:c>
      <x:c r="Q1472" s="2" t="str">
        <x:v>DEV001</x:v>
      </x:c>
      <x:c r="R1472" s="2" t="n">
        <x:v>13</x:v>
      </x:c>
      <x:c r="S1472" s="2" t="str">
        <x:v>Online</x:v>
      </x:c>
      <x:c r="T1472" s="2" t="str">
        <x:v>Synced</x:v>
      </x:c>
    </x:row>
    <x:row r="1473" ht="21" customHeight="1">
      <x:c r="A1473" s="2" t="str">
        <x:v>EV001609</x:v>
      </x:c>
      <x:c r="B1473" s="2" t="str">
        <x:v>T20261007-1-2</x:v>
      </x:c>
      <x:c r="C1473" s="2" t="str">
        <x:v>ST048</x:v>
      </x:c>
      <x:c r="D1473" s="2" t="str">
        <x:v>e3a3009a9bd3946e21f417e93203aa79</x:v>
      </x:c>
      <x:c r="E1473" s="2" t="str">
        <x:v>CHECK_IN</x:v>
      </x:c>
      <x:c r="F1473" s="8" t="n">
        <x:v>46302.247465277775</x:v>
      </x:c>
      <x:c r="G1473" s="8" t="n">
        <x:v>46302.24748842592</x:v>
      </x:c>
      <x:c r="H1473" s="2" t="str">
        <x:v>R2S2</x:v>
      </x:c>
      <x:c r="I1473" s="9" t="n">
        <x:v>25.282000000000004</x:v>
      </x:c>
      <x:c r="J1473" s="9" t="n">
        <x:v>51.501999999999995</x:v>
      </x:c>
      <x:c r="K1473" s="2" t="n">
        <x:v>8</x:v>
      </x:c>
      <x:c r="L1473" s="2" t="str">
        <x:v>Valid</x:v>
      </x:c>
      <x:c r="M1473" s="2" t="str">
        <x:v>QR</x:v>
      </x:c>
      <x:c r="N1473" s="2" t="n">
        <x:v>1</x:v>
      </x:c>
      <x:c r="O1473" s="2" t="str">
        <x:v>Accepted</x:v>
      </x:c>
      <x:c r="P1473" s="2" t="str">
        <x:v>S002</x:v>
      </x:c>
      <x:c r="Q1473" s="2" t="str">
        <x:v>DEV002</x:v>
      </x:c>
      <x:c r="R1473" s="2" t="n">
        <x:v>13</x:v>
      </x:c>
      <x:c r="S1473" s="2" t="str">
        <x:v>Online</x:v>
      </x:c>
      <x:c r="T1473" s="2" t="str">
        <x:v>Synced</x:v>
      </x:c>
    </x:row>
    <x:row r="1474" ht="21" customHeight="1">
      <x:c r="A1474" s="2" t="str">
        <x:v>EV001769</x:v>
      </x:c>
      <x:c r="B1474" s="2" t="str">
        <x:v>T20261007-1-3</x:v>
      </x:c>
      <x:c r="C1474" s="2" t="str">
        <x:v>ST088</x:v>
      </x:c>
      <x:c r="D1474" s="2" t="str">
        <x:v>b227769e0483e6c28eed8e8d448bfbbe</x:v>
      </x:c>
      <x:c r="E1474" s="2" t="str">
        <x:v>CHECK_IN</x:v>
      </x:c>
      <x:c r="F1474" s="8" t="n">
        <x:v>46302.247465277775</x:v>
      </x:c>
      <x:c r="G1474" s="8" t="n">
        <x:v>46302.24748842592</x:v>
      </x:c>
      <x:c r="H1474" s="2" t="str">
        <x:v>R3S2</x:v>
      </x:c>
      <x:c r="I1474" s="9" t="n">
        <x:v>25.291000000000004</x:v>
      </x:c>
      <x:c r="J1474" s="9" t="n">
        <x:v>51.51</x:v>
      </x:c>
      <x:c r="K1474" s="2" t="n">
        <x:v>8</x:v>
      </x:c>
      <x:c r="L1474" s="2" t="str">
        <x:v>Valid</x:v>
      </x:c>
      <x:c r="M1474" s="2" t="str">
        <x:v>QR</x:v>
      </x:c>
      <x:c r="N1474" s="2" t="n">
        <x:v>1</x:v>
      </x:c>
      <x:c r="O1474" s="2" t="str">
        <x:v>Accepted</x:v>
      </x:c>
      <x:c r="P1474" s="2" t="str">
        <x:v>S003</x:v>
      </x:c>
      <x:c r="Q1474" s="2" t="str">
        <x:v>DEV003</x:v>
      </x:c>
      <x:c r="R1474" s="2" t="n">
        <x:v>13</x:v>
      </x:c>
      <x:c r="S1474" s="2" t="str">
        <x:v>Online</x:v>
      </x:c>
      <x:c r="T1474" s="2" t="str">
        <x:v>Synced</x:v>
      </x:c>
    </x:row>
    <x:row r="1475" ht="21" customHeight="1">
      <x:c r="A1475" s="2" t="str">
        <x:v>EV001473</x:v>
      </x:c>
      <x:c r="B1475" s="2" t="str">
        <x:v>T20261007-1-1</x:v>
      </x:c>
      <x:c r="C1475" s="2" t="str">
        <x:v>ST020</x:v>
      </x:c>
      <x:c r="D1475" s="2" t="str">
        <x:v>9f8daa9030f9f7599cd24e056935ab8d</x:v>
      </x:c>
      <x:c r="E1475" s="2" t="str">
        <x:v>CHECK_IN</x:v>
      </x:c>
      <x:c r="F1475" s="8" t="n">
        <x:v>46302.24753472222</x:v>
      </x:c>
      <x:c r="G1475" s="8" t="n">
        <x:v>46302.24755787037</x:v>
      </x:c>
      <x:c r="H1475" s="2" t="str">
        <x:v>R1S2</x:v>
      </x:c>
      <x:c r="I1475" s="9" t="n">
        <x:v>25.273000000000003</x:v>
      </x:c>
      <x:c r="J1475" s="9" t="n">
        <x:v>51.494</x:v>
      </x:c>
      <x:c r="K1475" s="2" t="n">
        <x:v>8</x:v>
      </x:c>
      <x:c r="L1475" s="2" t="str">
        <x:v>Valid</x:v>
      </x:c>
      <x:c r="M1475" s="2" t="str">
        <x:v>QR</x:v>
      </x:c>
      <x:c r="N1475" s="2" t="n">
        <x:v>1</x:v>
      </x:c>
      <x:c r="O1475" s="2" t="str">
        <x:v>Accepted</x:v>
      </x:c>
      <x:c r="P1475" s="2" t="str">
        <x:v>S001</x:v>
      </x:c>
      <x:c r="Q1475" s="2" t="str">
        <x:v>DEV001</x:v>
      </x:c>
      <x:c r="R1475" s="2" t="n">
        <x:v>14</x:v>
      </x:c>
      <x:c r="S1475" s="2" t="str">
        <x:v>Online</x:v>
      </x:c>
      <x:c r="T1475" s="2" t="str">
        <x:v>Synced</x:v>
      </x:c>
    </x:row>
    <x:row r="1476" ht="21" customHeight="1">
      <x:c r="A1476" s="2" t="str">
        <x:v>EV001633</x:v>
      </x:c>
      <x:c r="B1476" s="2" t="str">
        <x:v>T20261007-1-2</x:v>
      </x:c>
      <x:c r="C1476" s="2" t="str">
        <x:v>ST060</x:v>
      </x:c>
      <x:c r="D1476" s="2" t="str">
        <x:v>a424ea3d9a5cb1c08037457e61cef61f</x:v>
      </x:c>
      <x:c r="E1476" s="2" t="str">
        <x:v>CHECK_IN</x:v>
      </x:c>
      <x:c r="F1476" s="8" t="n">
        <x:v>46302.24753472222</x:v>
      </x:c>
      <x:c r="G1476" s="8" t="n">
        <x:v>46302.24755787037</x:v>
      </x:c>
      <x:c r="H1476" s="2" t="str">
        <x:v>R2S2</x:v>
      </x:c>
      <x:c r="I1476" s="9" t="n">
        <x:v>25.282000000000004</x:v>
      </x:c>
      <x:c r="J1476" s="9" t="n">
        <x:v>51.501999999999995</x:v>
      </x:c>
      <x:c r="K1476" s="2" t="n">
        <x:v>8</x:v>
      </x:c>
      <x:c r="L1476" s="2" t="str">
        <x:v>Valid</x:v>
      </x:c>
      <x:c r="M1476" s="2" t="str">
        <x:v>QR</x:v>
      </x:c>
      <x:c r="N1476" s="2" t="n">
        <x:v>1</x:v>
      </x:c>
      <x:c r="O1476" s="2" t="str">
        <x:v>Accepted</x:v>
      </x:c>
      <x:c r="P1476" s="2" t="str">
        <x:v>S002</x:v>
      </x:c>
      <x:c r="Q1476" s="2" t="str">
        <x:v>DEV002</x:v>
      </x:c>
      <x:c r="R1476" s="2" t="n">
        <x:v>14</x:v>
      </x:c>
      <x:c r="S1476" s="2" t="str">
        <x:v>Online</x:v>
      </x:c>
      <x:c r="T1476" s="2" t="str">
        <x:v>Synced</x:v>
      </x:c>
    </x:row>
    <x:row r="1477" ht="21" customHeight="1">
      <x:c r="A1477" s="2" t="str">
        <x:v>EV001793</x:v>
      </x:c>
      <x:c r="B1477" s="2" t="str">
        <x:v>T20261007-1-3</x:v>
      </x:c>
      <x:c r="C1477" s="2" t="str">
        <x:v>ST100</x:v>
      </x:c>
      <x:c r="D1477" s="2" t="str">
        <x:v>6ba3ddf298bc4515d195454c1e81d9d6</x:v>
      </x:c>
      <x:c r="E1477" s="2" t="str">
        <x:v>CHECK_IN</x:v>
      </x:c>
      <x:c r="F1477" s="8" t="n">
        <x:v>46302.24753472222</x:v>
      </x:c>
      <x:c r="G1477" s="8" t="n">
        <x:v>46302.24755787037</x:v>
      </x:c>
      <x:c r="H1477" s="2" t="str">
        <x:v>R3S2</x:v>
      </x:c>
      <x:c r="I1477" s="9" t="n">
        <x:v>25.291000000000004</x:v>
      </x:c>
      <x:c r="J1477" s="9" t="n">
        <x:v>51.51</x:v>
      </x:c>
      <x:c r="K1477" s="2" t="n">
        <x:v>8</x:v>
      </x:c>
      <x:c r="L1477" s="2" t="str">
        <x:v>Valid</x:v>
      </x:c>
      <x:c r="M1477" s="2" t="str">
        <x:v>QR</x:v>
      </x:c>
      <x:c r="N1477" s="2" t="n">
        <x:v>1</x:v>
      </x:c>
      <x:c r="O1477" s="2" t="str">
        <x:v>Accepted</x:v>
      </x:c>
      <x:c r="P1477" s="2" t="str">
        <x:v>S003</x:v>
      </x:c>
      <x:c r="Q1477" s="2" t="str">
        <x:v>DEV003</x:v>
      </x:c>
      <x:c r="R1477" s="2" t="n">
        <x:v>14</x:v>
      </x:c>
      <x:c r="S1477" s="2" t="str">
        <x:v>Online</x:v>
      </x:c>
      <x:c r="T1477" s="2" t="str">
        <x:v>Synced</x:v>
      </x:c>
    </x:row>
    <x:row r="1478" ht="21" customHeight="1">
      <x:c r="A1478" s="2" t="str">
        <x:v>EV001457</x:v>
      </x:c>
      <x:c r="B1478" s="2" t="str">
        <x:v>T20261007-1-1</x:v>
      </x:c>
      <x:c r="C1478" s="2" t="str">
        <x:v>ST012</x:v>
      </x:c>
      <x:c r="D1478" s="2" t="str">
        <x:v>8d45a06a93234042b630e18d7821ea23</x:v>
      </x:c>
      <x:c r="E1478" s="2" t="str">
        <x:v>CHECK_IN</x:v>
      </x:c>
      <x:c r="F1478" s="8" t="n">
        <x:v>46302.252118055556</x:v>
      </x:c>
      <x:c r="G1478" s="8" t="n">
        <x:v>46302.2521412037</x:v>
      </x:c>
      <x:c r="H1478" s="2" t="str">
        <x:v>R1S3</x:v>
      </x:c>
      <x:c r="I1478" s="9" t="n">
        <x:v>25.275000000000002</x:v>
      </x:c>
      <x:c r="J1478" s="9" t="n">
        <x:v>51.497</x:v>
      </x:c>
      <x:c r="K1478" s="2" t="n">
        <x:v>8</x:v>
      </x:c>
      <x:c r="L1478" s="2" t="str">
        <x:v>Valid</x:v>
      </x:c>
      <x:c r="M1478" s="2" t="str">
        <x:v>QR</x:v>
      </x:c>
      <x:c r="N1478" s="2" t="n">
        <x:v>1</x:v>
      </x:c>
      <x:c r="O1478" s="2" t="str">
        <x:v>Accepted</x:v>
      </x:c>
      <x:c r="P1478" s="2" t="str">
        <x:v>S001</x:v>
      </x:c>
      <x:c r="Q1478" s="2" t="str">
        <x:v>DEV001</x:v>
      </x:c>
      <x:c r="R1478" s="2" t="n">
        <x:v>15</x:v>
      </x:c>
      <x:c r="S1478" s="2" t="str">
        <x:v>Online</x:v>
      </x:c>
      <x:c r="T1478" s="2" t="str">
        <x:v>Synced</x:v>
      </x:c>
    </x:row>
    <x:row r="1479" ht="21" customHeight="1">
      <x:c r="A1479" s="2" t="str">
        <x:v>EV001617</x:v>
      </x:c>
      <x:c r="B1479" s="2" t="str">
        <x:v>T20261007-1-2</x:v>
      </x:c>
      <x:c r="C1479" s="2" t="str">
        <x:v>ST052</x:v>
      </x:c>
      <x:c r="D1479" s="2" t="str">
        <x:v>0c1c5957fe0604ae228ff5e1e1a785bc</x:v>
      </x:c>
      <x:c r="E1479" s="2" t="str">
        <x:v>CHECK_IN</x:v>
      </x:c>
      <x:c r="F1479" s="8" t="n">
        <x:v>46302.252118055556</x:v>
      </x:c>
      <x:c r="G1479" s="8" t="n">
        <x:v>46302.2521412037</x:v>
      </x:c>
      <x:c r="H1479" s="2" t="str">
        <x:v>R2S3</x:v>
      </x:c>
      <x:c r="I1479" s="9" t="n">
        <x:v>25.284000000000002</x:v>
      </x:c>
      <x:c r="J1479" s="9" t="n">
        <x:v>51.504999999999995</x:v>
      </x:c>
      <x:c r="K1479" s="2" t="n">
        <x:v>8</x:v>
      </x:c>
      <x:c r="L1479" s="2" t="str">
        <x:v>Valid</x:v>
      </x:c>
      <x:c r="M1479" s="2" t="str">
        <x:v>QR</x:v>
      </x:c>
      <x:c r="N1479" s="2" t="n">
        <x:v>1</x:v>
      </x:c>
      <x:c r="O1479" s="2" t="str">
        <x:v>Accepted</x:v>
      </x:c>
      <x:c r="P1479" s="2" t="str">
        <x:v>S002</x:v>
      </x:c>
      <x:c r="Q1479" s="2" t="str">
        <x:v>DEV002</x:v>
      </x:c>
      <x:c r="R1479" s="2" t="n">
        <x:v>15</x:v>
      </x:c>
      <x:c r="S1479" s="2" t="str">
        <x:v>Online</x:v>
      </x:c>
      <x:c r="T1479" s="2" t="str">
        <x:v>Synced</x:v>
      </x:c>
    </x:row>
    <x:row r="1480" ht="21" customHeight="1">
      <x:c r="A1480" s="2" t="str">
        <x:v>EV001777</x:v>
      </x:c>
      <x:c r="B1480" s="2" t="str">
        <x:v>T20261007-1-3</x:v>
      </x:c>
      <x:c r="C1480" s="2" t="str">
        <x:v>ST092</x:v>
      </x:c>
      <x:c r="D1480" s="2" t="str">
        <x:v>e83e93b137787f284ae9574a02ff0cc7</x:v>
      </x:c>
      <x:c r="E1480" s="2" t="str">
        <x:v>CHECK_IN</x:v>
      </x:c>
      <x:c r="F1480" s="8" t="n">
        <x:v>46302.252118055556</x:v>
      </x:c>
      <x:c r="G1480" s="8" t="n">
        <x:v>46302.2521412037</x:v>
      </x:c>
      <x:c r="H1480" s="2" t="str">
        <x:v>R3S3</x:v>
      </x:c>
      <x:c r="I1480" s="9" t="n">
        <x:v>25.293000000000003</x:v>
      </x:c>
      <x:c r="J1480" s="9" t="n">
        <x:v>51.513</x:v>
      </x:c>
      <x:c r="K1480" s="2" t="n">
        <x:v>8</x:v>
      </x:c>
      <x:c r="L1480" s="2" t="str">
        <x:v>Valid</x:v>
      </x:c>
      <x:c r="M1480" s="2" t="str">
        <x:v>QR</x:v>
      </x:c>
      <x:c r="N1480" s="2" t="n">
        <x:v>1</x:v>
      </x:c>
      <x:c r="O1480" s="2" t="str">
        <x:v>Accepted</x:v>
      </x:c>
      <x:c r="P1480" s="2" t="str">
        <x:v>S003</x:v>
      </x:c>
      <x:c r="Q1480" s="2" t="str">
        <x:v>DEV003</x:v>
      </x:c>
      <x:c r="R1480" s="2" t="n">
        <x:v>15</x:v>
      </x:c>
      <x:c r="S1480" s="2" t="str">
        <x:v>Online</x:v>
      </x:c>
      <x:c r="T1480" s="2" t="str">
        <x:v>Synced</x:v>
      </x:c>
    </x:row>
    <x:row r="1481" ht="21" customHeight="1">
      <x:c r="A1481" s="2" t="str">
        <x:v>EV001439</x:v>
      </x:c>
      <x:c r="B1481" s="2" t="str">
        <x:v>T20261007-1-1</x:v>
      </x:c>
      <x:c r="C1481" s="2" t="str">
        <x:v>ST003</x:v>
      </x:c>
      <x:c r="D1481" s="2" t="str">
        <x:v>7598e98213cb52db1085c9a94fae1915</x:v>
      </x:c>
      <x:c r="E1481" s="2" t="str">
        <x:v>CHECK_IN</x:v>
      </x:c>
      <x:c r="F1481" s="8" t="n">
        <x:v>46302.25215277778</x:v>
      </x:c>
      <x:c r="G1481" s="8" t="n">
        <x:v>46302.252175925925</x:v>
      </x:c>
      <x:c r="H1481" s="2" t="str">
        <x:v>R1S3</x:v>
      </x:c>
      <x:c r="I1481" s="9" t="n">
        <x:v>25.275000000000002</x:v>
      </x:c>
      <x:c r="J1481" s="9" t="n">
        <x:v>51.497</x:v>
      </x:c>
      <x:c r="K1481" s="2" t="n">
        <x:v>8</x:v>
      </x:c>
      <x:c r="L1481" s="2" t="str">
        <x:v>Valid</x:v>
      </x:c>
      <x:c r="M1481" s="2" t="str">
        <x:v>QR</x:v>
      </x:c>
      <x:c r="N1481" s="2" t="n">
        <x:v>1</x:v>
      </x:c>
      <x:c r="O1481" s="2" t="str">
        <x:v>Accepted</x:v>
      </x:c>
      <x:c r="P1481" s="2" t="str">
        <x:v>S001</x:v>
      </x:c>
      <x:c r="Q1481" s="2" t="str">
        <x:v>DEV001</x:v>
      </x:c>
      <x:c r="R1481" s="2" t="n">
        <x:v>16</x:v>
      </x:c>
      <x:c r="S1481" s="2" t="str">
        <x:v>Online</x:v>
      </x:c>
      <x:c r="T1481" s="2" t="str">
        <x:v>Synced</x:v>
      </x:c>
    </x:row>
    <x:row r="1482" ht="21" customHeight="1">
      <x:c r="A1482" s="2" t="str">
        <x:v>EV001599</x:v>
      </x:c>
      <x:c r="B1482" s="2" t="str">
        <x:v>T20261007-1-2</x:v>
      </x:c>
      <x:c r="C1482" s="2" t="str">
        <x:v>ST043</x:v>
      </x:c>
      <x:c r="D1482" s="2" t="str">
        <x:v>db51093fe9dac44d59345ee12f7e9c56</x:v>
      </x:c>
      <x:c r="E1482" s="2" t="str">
        <x:v>CHECK_IN</x:v>
      </x:c>
      <x:c r="F1482" s="8" t="n">
        <x:v>46302.25215277778</x:v>
      </x:c>
      <x:c r="G1482" s="8" t="n">
        <x:v>46302.252175925925</x:v>
      </x:c>
      <x:c r="H1482" s="2" t="str">
        <x:v>R2S3</x:v>
      </x:c>
      <x:c r="I1482" s="9" t="n">
        <x:v>25.284000000000002</x:v>
      </x:c>
      <x:c r="J1482" s="9" t="n">
        <x:v>51.504999999999995</x:v>
      </x:c>
      <x:c r="K1482" s="2" t="n">
        <x:v>8</x:v>
      </x:c>
      <x:c r="L1482" s="2" t="str">
        <x:v>Valid</x:v>
      </x:c>
      <x:c r="M1482" s="2" t="str">
        <x:v>QR</x:v>
      </x:c>
      <x:c r="N1482" s="2" t="n">
        <x:v>1</x:v>
      </x:c>
      <x:c r="O1482" s="2" t="str">
        <x:v>Accepted</x:v>
      </x:c>
      <x:c r="P1482" s="2" t="str">
        <x:v>S002</x:v>
      </x:c>
      <x:c r="Q1482" s="2" t="str">
        <x:v>DEV002</x:v>
      </x:c>
      <x:c r="R1482" s="2" t="n">
        <x:v>16</x:v>
      </x:c>
      <x:c r="S1482" s="2" t="str">
        <x:v>Online</x:v>
      </x:c>
      <x:c r="T1482" s="2" t="str">
        <x:v>Synced</x:v>
      </x:c>
    </x:row>
    <x:row r="1483" ht="21" customHeight="1">
      <x:c r="A1483" s="2" t="str">
        <x:v>EV001759</x:v>
      </x:c>
      <x:c r="B1483" s="2" t="str">
        <x:v>T20261007-1-3</x:v>
      </x:c>
      <x:c r="C1483" s="2" t="str">
        <x:v>ST083</x:v>
      </x:c>
      <x:c r="D1483" s="2" t="str">
        <x:v>19cc474730ce4d97be031814010d13a9</x:v>
      </x:c>
      <x:c r="E1483" s="2" t="str">
        <x:v>CHECK_IN</x:v>
      </x:c>
      <x:c r="F1483" s="8" t="n">
        <x:v>46302.25215277778</x:v>
      </x:c>
      <x:c r="G1483" s="8" t="n">
        <x:v>46302.252175925925</x:v>
      </x:c>
      <x:c r="H1483" s="2" t="str">
        <x:v>R3S3</x:v>
      </x:c>
      <x:c r="I1483" s="9" t="n">
        <x:v>25.293000000000003</x:v>
      </x:c>
      <x:c r="J1483" s="9" t="n">
        <x:v>51.513</x:v>
      </x:c>
      <x:c r="K1483" s="2" t="n">
        <x:v>8</x:v>
      </x:c>
      <x:c r="L1483" s="2" t="str">
        <x:v>Valid</x:v>
      </x:c>
      <x:c r="M1483" s="2" t="str">
        <x:v>QR</x:v>
      </x:c>
      <x:c r="N1483" s="2" t="n">
        <x:v>1</x:v>
      </x:c>
      <x:c r="O1483" s="2" t="str">
        <x:v>Accepted</x:v>
      </x:c>
      <x:c r="P1483" s="2" t="str">
        <x:v>S003</x:v>
      </x:c>
      <x:c r="Q1483" s="2" t="str">
        <x:v>DEV003</x:v>
      </x:c>
      <x:c r="R1483" s="2" t="n">
        <x:v>16</x:v>
      </x:c>
      <x:c r="S1483" s="2" t="str">
        <x:v>Online</x:v>
      </x:c>
      <x:c r="T1483" s="2" t="str">
        <x:v>Synced</x:v>
      </x:c>
    </x:row>
    <x:row r="1484" ht="21" customHeight="1">
      <x:c r="A1484" s="2" t="str">
        <x:v>EV001463</x:v>
      </x:c>
      <x:c r="B1484" s="2" t="str">
        <x:v>T20261007-1-1</x:v>
      </x:c>
      <x:c r="C1484" s="2" t="str">
        <x:v>ST015</x:v>
      </x:c>
      <x:c r="D1484" s="2" t="str">
        <x:v>997c76227e9b12bdccc68d0d53a8d1df</x:v>
      </x:c>
      <x:c r="E1484" s="2" t="str">
        <x:v>CHECK_IN</x:v>
      </x:c>
      <x:c r="F1484" s="8" t="n">
        <x:v>46302.252222222225</x:v>
      </x:c>
      <x:c r="G1484" s="8" t="n">
        <x:v>46302.25224537037</x:v>
      </x:c>
      <x:c r="H1484" s="2" t="str">
        <x:v>R1S3</x:v>
      </x:c>
      <x:c r="I1484" s="9" t="n">
        <x:v>25.275000000000002</x:v>
      </x:c>
      <x:c r="J1484" s="9" t="n">
        <x:v>51.497</x:v>
      </x:c>
      <x:c r="K1484" s="2" t="n">
        <x:v>8</x:v>
      </x:c>
      <x:c r="L1484" s="2" t="str">
        <x:v>Valid</x:v>
      </x:c>
      <x:c r="M1484" s="2" t="str">
        <x:v>QR</x:v>
      </x:c>
      <x:c r="N1484" s="2" t="n">
        <x:v>1</x:v>
      </x:c>
      <x:c r="O1484" s="2" t="str">
        <x:v>Accepted</x:v>
      </x:c>
      <x:c r="P1484" s="2" t="str">
        <x:v>S001</x:v>
      </x:c>
      <x:c r="Q1484" s="2" t="str">
        <x:v>DEV001</x:v>
      </x:c>
      <x:c r="R1484" s="2" t="n">
        <x:v>17</x:v>
      </x:c>
      <x:c r="S1484" s="2" t="str">
        <x:v>Online</x:v>
      </x:c>
      <x:c r="T1484" s="2" t="str">
        <x:v>Synced</x:v>
      </x:c>
    </x:row>
    <x:row r="1485" ht="21" customHeight="1">
      <x:c r="A1485" s="2" t="str">
        <x:v>EV001623</x:v>
      </x:c>
      <x:c r="B1485" s="2" t="str">
        <x:v>T20261007-1-2</x:v>
      </x:c>
      <x:c r="C1485" s="2" t="str">
        <x:v>ST055</x:v>
      </x:c>
      <x:c r="D1485" s="2" t="str">
        <x:v>e796258b9306e2b3efab77a21add36a5</x:v>
      </x:c>
      <x:c r="E1485" s="2" t="str">
        <x:v>CHECK_IN</x:v>
      </x:c>
      <x:c r="F1485" s="8" t="n">
        <x:v>46302.252222222225</x:v>
      </x:c>
      <x:c r="G1485" s="8" t="n">
        <x:v>46302.25224537037</x:v>
      </x:c>
      <x:c r="H1485" s="2" t="str">
        <x:v>R2S3</x:v>
      </x:c>
      <x:c r="I1485" s="9" t="n">
        <x:v>25.284000000000002</x:v>
      </x:c>
      <x:c r="J1485" s="9" t="n">
        <x:v>51.504999999999995</x:v>
      </x:c>
      <x:c r="K1485" s="2" t="n">
        <x:v>8</x:v>
      </x:c>
      <x:c r="L1485" s="2" t="str">
        <x:v>Valid</x:v>
      </x:c>
      <x:c r="M1485" s="2" t="str">
        <x:v>QR</x:v>
      </x:c>
      <x:c r="N1485" s="2" t="n">
        <x:v>1</x:v>
      </x:c>
      <x:c r="O1485" s="2" t="str">
        <x:v>Accepted</x:v>
      </x:c>
      <x:c r="P1485" s="2" t="str">
        <x:v>S002</x:v>
      </x:c>
      <x:c r="Q1485" s="2" t="str">
        <x:v>DEV002</x:v>
      </x:c>
      <x:c r="R1485" s="2" t="n">
        <x:v>17</x:v>
      </x:c>
      <x:c r="S1485" s="2" t="str">
        <x:v>Online</x:v>
      </x:c>
      <x:c r="T1485" s="2" t="str">
        <x:v>Synced</x:v>
      </x:c>
    </x:row>
    <x:row r="1486" ht="21" customHeight="1">
      <x:c r="A1486" s="2" t="str">
        <x:v>EV001783</x:v>
      </x:c>
      <x:c r="B1486" s="2" t="str">
        <x:v>T20261007-1-3</x:v>
      </x:c>
      <x:c r="C1486" s="2" t="str">
        <x:v>ST095</x:v>
      </x:c>
      <x:c r="D1486" s="2" t="str">
        <x:v>0935ee2c52872353d5a355eed1202dbe</x:v>
      </x:c>
      <x:c r="E1486" s="2" t="str">
        <x:v>CHECK_IN</x:v>
      </x:c>
      <x:c r="F1486" s="8" t="n">
        <x:v>46302.252222222225</x:v>
      </x:c>
      <x:c r="G1486" s="8" t="n">
        <x:v>46302.25224537037</x:v>
      </x:c>
      <x:c r="H1486" s="2" t="str">
        <x:v>R3S3</x:v>
      </x:c>
      <x:c r="I1486" s="9" t="n">
        <x:v>25.293000000000003</x:v>
      </x:c>
      <x:c r="J1486" s="9" t="n">
        <x:v>51.513</x:v>
      </x:c>
      <x:c r="K1486" s="2" t="n">
        <x:v>8</x:v>
      </x:c>
      <x:c r="L1486" s="2" t="str">
        <x:v>Valid</x:v>
      </x:c>
      <x:c r="M1486" s="2" t="str">
        <x:v>QR</x:v>
      </x:c>
      <x:c r="N1486" s="2" t="n">
        <x:v>1</x:v>
      </x:c>
      <x:c r="O1486" s="2" t="str">
        <x:v>Accepted</x:v>
      </x:c>
      <x:c r="P1486" s="2" t="str">
        <x:v>S003</x:v>
      </x:c>
      <x:c r="Q1486" s="2" t="str">
        <x:v>DEV003</x:v>
      </x:c>
      <x:c r="R1486" s="2" t="n">
        <x:v>17</x:v>
      </x:c>
      <x:c r="S1486" s="2" t="str">
        <x:v>Online</x:v>
      </x:c>
      <x:c r="T1486" s="2" t="str">
        <x:v>Synced</x:v>
      </x:c>
    </x:row>
    <x:row r="1487" ht="21" customHeight="1">
      <x:c r="A1487" s="2" t="str">
        <x:v>EV001445</x:v>
      </x:c>
      <x:c r="B1487" s="2" t="str">
        <x:v>T20261007-1-1</x:v>
      </x:c>
      <x:c r="C1487" s="2" t="str">
        <x:v>ST006</x:v>
      </x:c>
      <x:c r="D1487" s="2" t="str">
        <x:v>8edd7f2c984bf2eb5adf75591d6f1e9c</x:v>
      </x:c>
      <x:c r="E1487" s="2" t="str">
        <x:v>CHECK_IN</x:v>
      </x:c>
      <x:c r="F1487" s="8" t="n">
        <x:v>46302.25225694444</x:v>
      </x:c>
      <x:c r="G1487" s="8" t="n">
        <x:v>46302.25228009259</x:v>
      </x:c>
      <x:c r="H1487" s="2" t="str">
        <x:v>R1S3</x:v>
      </x:c>
      <x:c r="I1487" s="9" t="n">
        <x:v>25.275000000000002</x:v>
      </x:c>
      <x:c r="J1487" s="9" t="n">
        <x:v>51.497</x:v>
      </x:c>
      <x:c r="K1487" s="2" t="n">
        <x:v>8</x:v>
      </x:c>
      <x:c r="L1487" s="2" t="str">
        <x:v>Valid</x:v>
      </x:c>
      <x:c r="M1487" s="2" t="str">
        <x:v>QR</x:v>
      </x:c>
      <x:c r="N1487" s="2" t="n">
        <x:v>1</x:v>
      </x:c>
      <x:c r="O1487" s="2" t="str">
        <x:v>Accepted</x:v>
      </x:c>
      <x:c r="P1487" s="2" t="str">
        <x:v>S001</x:v>
      </x:c>
      <x:c r="Q1487" s="2" t="str">
        <x:v>DEV001</x:v>
      </x:c>
      <x:c r="R1487" s="2" t="n">
        <x:v>18</x:v>
      </x:c>
      <x:c r="S1487" s="2" t="str">
        <x:v>Online</x:v>
      </x:c>
      <x:c r="T1487" s="2" t="str">
        <x:v>Synced</x:v>
      </x:c>
    </x:row>
    <x:row r="1488" ht="21" customHeight="1">
      <x:c r="A1488" s="2" t="str">
        <x:v>EV001605</x:v>
      </x:c>
      <x:c r="B1488" s="2" t="str">
        <x:v>T20261007-1-2</x:v>
      </x:c>
      <x:c r="C1488" s="2" t="str">
        <x:v>ST046</x:v>
      </x:c>
      <x:c r="D1488" s="2" t="str">
        <x:v>82365992d443d056f10fa7522ac29057</x:v>
      </x:c>
      <x:c r="E1488" s="2" t="str">
        <x:v>CHECK_IN</x:v>
      </x:c>
      <x:c r="F1488" s="8" t="n">
        <x:v>46302.25225694444</x:v>
      </x:c>
      <x:c r="G1488" s="8" t="n">
        <x:v>46302.25228009259</x:v>
      </x:c>
      <x:c r="H1488" s="2" t="str">
        <x:v>R2S3</x:v>
      </x:c>
      <x:c r="I1488" s="9" t="n">
        <x:v>25.284000000000002</x:v>
      </x:c>
      <x:c r="J1488" s="9" t="n">
        <x:v>51.504999999999995</x:v>
      </x:c>
      <x:c r="K1488" s="2" t="n">
        <x:v>8</x:v>
      </x:c>
      <x:c r="L1488" s="2" t="str">
        <x:v>Valid</x:v>
      </x:c>
      <x:c r="M1488" s="2" t="str">
        <x:v>QR</x:v>
      </x:c>
      <x:c r="N1488" s="2" t="n">
        <x:v>1</x:v>
      </x:c>
      <x:c r="O1488" s="2" t="str">
        <x:v>Accepted</x:v>
      </x:c>
      <x:c r="P1488" s="2" t="str">
        <x:v>S002</x:v>
      </x:c>
      <x:c r="Q1488" s="2" t="str">
        <x:v>DEV002</x:v>
      </x:c>
      <x:c r="R1488" s="2" t="n">
        <x:v>18</x:v>
      </x:c>
      <x:c r="S1488" s="2" t="str">
        <x:v>Online</x:v>
      </x:c>
      <x:c r="T1488" s="2" t="str">
        <x:v>Synced</x:v>
      </x:c>
    </x:row>
    <x:row r="1489" ht="21" customHeight="1">
      <x:c r="A1489" s="2" t="str">
        <x:v>EV001765</x:v>
      </x:c>
      <x:c r="B1489" s="2" t="str">
        <x:v>T20261007-1-3</x:v>
      </x:c>
      <x:c r="C1489" s="2" t="str">
        <x:v>ST086</x:v>
      </x:c>
      <x:c r="D1489" s="2" t="str">
        <x:v>33c5dfd0f17fcbe34d50fd9b0a0c0e5b</x:v>
      </x:c>
      <x:c r="E1489" s="2" t="str">
        <x:v>CHECK_IN</x:v>
      </x:c>
      <x:c r="F1489" s="8" t="n">
        <x:v>46302.25225694444</x:v>
      </x:c>
      <x:c r="G1489" s="8" t="n">
        <x:v>46302.25228009259</x:v>
      </x:c>
      <x:c r="H1489" s="2" t="str">
        <x:v>R3S3</x:v>
      </x:c>
      <x:c r="I1489" s="9" t="n">
        <x:v>25.293000000000003</x:v>
      </x:c>
      <x:c r="J1489" s="9" t="n">
        <x:v>51.513</x:v>
      </x:c>
      <x:c r="K1489" s="2" t="n">
        <x:v>8</x:v>
      </x:c>
      <x:c r="L1489" s="2" t="str">
        <x:v>Valid</x:v>
      </x:c>
      <x:c r="M1489" s="2" t="str">
        <x:v>QR</x:v>
      </x:c>
      <x:c r="N1489" s="2" t="n">
        <x:v>1</x:v>
      </x:c>
      <x:c r="O1489" s="2" t="str">
        <x:v>Accepted</x:v>
      </x:c>
      <x:c r="P1489" s="2" t="str">
        <x:v>S003</x:v>
      </x:c>
      <x:c r="Q1489" s="2" t="str">
        <x:v>DEV003</x:v>
      </x:c>
      <x:c r="R1489" s="2" t="n">
        <x:v>18</x:v>
      </x:c>
      <x:c r="S1489" s="2" t="str">
        <x:v>Online</x:v>
      </x:c>
      <x:c r="T1489" s="2" t="str">
        <x:v>Synced</x:v>
      </x:c>
    </x:row>
    <x:row r="1490" ht="21" customHeight="1">
      <x:c r="A1490" s="2" t="str">
        <x:v>EV001469</x:v>
      </x:c>
      <x:c r="B1490" s="2" t="str">
        <x:v>T20261007-1-1</x:v>
      </x:c>
      <x:c r="C1490" s="2" t="str">
        <x:v>ST018</x:v>
      </x:c>
      <x:c r="D1490" s="2" t="str">
        <x:v>4c1b40081ed5c7c21b8392ee528dbe54</x:v>
      </x:c>
      <x:c r="E1490" s="2" t="str">
        <x:v>CHECK_IN</x:v>
      </x:c>
      <x:c r="F1490" s="8" t="n">
        <x:v>46302.25232638889</x:v>
      </x:c>
      <x:c r="G1490" s="8" t="n">
        <x:v>46302.25234953703</x:v>
      </x:c>
      <x:c r="H1490" s="2" t="str">
        <x:v>R1S3</x:v>
      </x:c>
      <x:c r="I1490" s="9" t="n">
        <x:v>25.275000000000002</x:v>
      </x:c>
      <x:c r="J1490" s="9" t="n">
        <x:v>51.497</x:v>
      </x:c>
      <x:c r="K1490" s="2" t="n">
        <x:v>8</x:v>
      </x:c>
      <x:c r="L1490" s="2" t="str">
        <x:v>Valid</x:v>
      </x:c>
      <x:c r="M1490" s="2" t="str">
        <x:v>QR</x:v>
      </x:c>
      <x:c r="N1490" s="2" t="n">
        <x:v>1</x:v>
      </x:c>
      <x:c r="O1490" s="2" t="str">
        <x:v>Accepted</x:v>
      </x:c>
      <x:c r="P1490" s="2" t="str">
        <x:v>S001</x:v>
      </x:c>
      <x:c r="Q1490" s="2" t="str">
        <x:v>DEV001</x:v>
      </x:c>
      <x:c r="R1490" s="2" t="n">
        <x:v>19</x:v>
      </x:c>
      <x:c r="S1490" s="2" t="str">
        <x:v>Online</x:v>
      </x:c>
      <x:c r="T1490" s="2" t="str">
        <x:v>Synced</x:v>
      </x:c>
    </x:row>
    <x:row r="1491" ht="21" customHeight="1">
      <x:c r="A1491" s="2" t="str">
        <x:v>EV001629</x:v>
      </x:c>
      <x:c r="B1491" s="2" t="str">
        <x:v>T20261007-1-2</x:v>
      </x:c>
      <x:c r="C1491" s="2" t="str">
        <x:v>ST058</x:v>
      </x:c>
      <x:c r="D1491" s="2" t="str">
        <x:v>ebf7e65b57e2c8bcd02f90b1d5692596</x:v>
      </x:c>
      <x:c r="E1491" s="2" t="str">
        <x:v>CHECK_IN</x:v>
      </x:c>
      <x:c r="F1491" s="8" t="n">
        <x:v>46302.25232638889</x:v>
      </x:c>
      <x:c r="G1491" s="8" t="n">
        <x:v>46302.25234953703</x:v>
      </x:c>
      <x:c r="H1491" s="2" t="str">
        <x:v>R2S3</x:v>
      </x:c>
      <x:c r="I1491" s="9" t="n">
        <x:v>25.284000000000002</x:v>
      </x:c>
      <x:c r="J1491" s="9" t="n">
        <x:v>51.504999999999995</x:v>
      </x:c>
      <x:c r="K1491" s="2" t="n">
        <x:v>8</x:v>
      </x:c>
      <x:c r="L1491" s="2" t="str">
        <x:v>Valid</x:v>
      </x:c>
      <x:c r="M1491" s="2" t="str">
        <x:v>QR</x:v>
      </x:c>
      <x:c r="N1491" s="2" t="n">
        <x:v>1</x:v>
      </x:c>
      <x:c r="O1491" s="2" t="str">
        <x:v>Accepted</x:v>
      </x:c>
      <x:c r="P1491" s="2" t="str">
        <x:v>S002</x:v>
      </x:c>
      <x:c r="Q1491" s="2" t="str">
        <x:v>DEV002</x:v>
      </x:c>
      <x:c r="R1491" s="2" t="n">
        <x:v>19</x:v>
      </x:c>
      <x:c r="S1491" s="2" t="str">
        <x:v>Online</x:v>
      </x:c>
      <x:c r="T1491" s="2" t="str">
        <x:v>Synced</x:v>
      </x:c>
    </x:row>
    <x:row r="1492" ht="21" customHeight="1">
      <x:c r="A1492" s="2" t="str">
        <x:v>EV001789</x:v>
      </x:c>
      <x:c r="B1492" s="2" t="str">
        <x:v>T20261007-1-3</x:v>
      </x:c>
      <x:c r="C1492" s="2" t="str">
        <x:v>ST098</x:v>
      </x:c>
      <x:c r="D1492" s="2" t="str">
        <x:v>4b453acdeca94f98f11a429464f7bff7</x:v>
      </x:c>
      <x:c r="E1492" s="2" t="str">
        <x:v>CHECK_IN</x:v>
      </x:c>
      <x:c r="F1492" s="8" t="n">
        <x:v>46302.25232638889</x:v>
      </x:c>
      <x:c r="G1492" s="8" t="n">
        <x:v>46302.25234953703</x:v>
      </x:c>
      <x:c r="H1492" s="2" t="str">
        <x:v>R3S3</x:v>
      </x:c>
      <x:c r="I1492" s="9" t="n">
        <x:v>25.293000000000003</x:v>
      </x:c>
      <x:c r="J1492" s="9" t="n">
        <x:v>51.513</x:v>
      </x:c>
      <x:c r="K1492" s="2" t="n">
        <x:v>8</x:v>
      </x:c>
      <x:c r="L1492" s="2" t="str">
        <x:v>Valid</x:v>
      </x:c>
      <x:c r="M1492" s="2" t="str">
        <x:v>QR</x:v>
      </x:c>
      <x:c r="N1492" s="2" t="n">
        <x:v>1</x:v>
      </x:c>
      <x:c r="O1492" s="2" t="str">
        <x:v>Accepted</x:v>
      </x:c>
      <x:c r="P1492" s="2" t="str">
        <x:v>S003</x:v>
      </x:c>
      <x:c r="Q1492" s="2" t="str">
        <x:v>DEV003</x:v>
      </x:c>
      <x:c r="R1492" s="2" t="n">
        <x:v>19</x:v>
      </x:c>
      <x:c r="S1492" s="2" t="str">
        <x:v>Online</x:v>
      </x:c>
      <x:c r="T1492" s="2" t="str">
        <x:v>Synced</x:v>
      </x:c>
    </x:row>
    <x:row r="1493" ht="21" customHeight="1">
      <x:c r="A1493" s="2" t="str">
        <x:v>EV001451</x:v>
      </x:c>
      <x:c r="B1493" s="2" t="str">
        <x:v>T20261007-1-1</x:v>
      </x:c>
      <x:c r="C1493" s="2" t="str">
        <x:v>ST009</x:v>
      </x:c>
      <x:c r="D1493" s="2" t="str">
        <x:v>fdc849f07f4ba12ab82f6bed87d7275d</x:v>
      </x:c>
      <x:c r="E1493" s="2" t="str">
        <x:v>CHECK_IN</x:v>
      </x:c>
      <x:c r="F1493" s="8" t="n">
        <x:v>46302.25236111111</x:v>
      </x:c>
      <x:c r="G1493" s="8" t="n">
        <x:v>46302.252384259256</x:v>
      </x:c>
      <x:c r="H1493" s="2" t="str">
        <x:v>R1S3</x:v>
      </x:c>
      <x:c r="I1493" s="9" t="n">
        <x:v>25.275000000000002</x:v>
      </x:c>
      <x:c r="J1493" s="9" t="n">
        <x:v>51.497</x:v>
      </x:c>
      <x:c r="K1493" s="2" t="n">
        <x:v>8</x:v>
      </x:c>
      <x:c r="L1493" s="2" t="str">
        <x:v>Valid</x:v>
      </x:c>
      <x:c r="M1493" s="2" t="str">
        <x:v>QR</x:v>
      </x:c>
      <x:c r="N1493" s="2" t="n">
        <x:v>1</x:v>
      </x:c>
      <x:c r="O1493" s="2" t="str">
        <x:v>Accepted</x:v>
      </x:c>
      <x:c r="P1493" s="2" t="str">
        <x:v>S001</x:v>
      </x:c>
      <x:c r="Q1493" s="2" t="str">
        <x:v>DEV001</x:v>
      </x:c>
      <x:c r="R1493" s="2" t="n">
        <x:v>20</x:v>
      </x:c>
      <x:c r="S1493" s="2" t="str">
        <x:v>Online</x:v>
      </x:c>
      <x:c r="T1493" s="2" t="str">
        <x:v>Synced</x:v>
      </x:c>
    </x:row>
    <x:row r="1494" ht="21" customHeight="1">
      <x:c r="A1494" s="2" t="str">
        <x:v>EV001611</x:v>
      </x:c>
      <x:c r="B1494" s="2" t="str">
        <x:v>T20261007-1-2</x:v>
      </x:c>
      <x:c r="C1494" s="2" t="str">
        <x:v>ST049</x:v>
      </x:c>
      <x:c r="D1494" s="2" t="str">
        <x:v>aac0da9ca028b4b4fe1fc2c1eb298502</x:v>
      </x:c>
      <x:c r="E1494" s="2" t="str">
        <x:v>CHECK_IN</x:v>
      </x:c>
      <x:c r="F1494" s="8" t="n">
        <x:v>46302.25236111111</x:v>
      </x:c>
      <x:c r="G1494" s="8" t="n">
        <x:v>46302.252384259256</x:v>
      </x:c>
      <x:c r="H1494" s="2" t="str">
        <x:v>R2S3</x:v>
      </x:c>
      <x:c r="I1494" s="9" t="n">
        <x:v>25.284000000000002</x:v>
      </x:c>
      <x:c r="J1494" s="9" t="n">
        <x:v>51.504999999999995</x:v>
      </x:c>
      <x:c r="K1494" s="2" t="n">
        <x:v>8</x:v>
      </x:c>
      <x:c r="L1494" s="2" t="str">
        <x:v>Valid</x:v>
      </x:c>
      <x:c r="M1494" s="2" t="str">
        <x:v>QR</x:v>
      </x:c>
      <x:c r="N1494" s="2" t="n">
        <x:v>1</x:v>
      </x:c>
      <x:c r="O1494" s="2" t="str">
        <x:v>Accepted</x:v>
      </x:c>
      <x:c r="P1494" s="2" t="str">
        <x:v>S002</x:v>
      </x:c>
      <x:c r="Q1494" s="2" t="str">
        <x:v>DEV002</x:v>
      </x:c>
      <x:c r="R1494" s="2" t="n">
        <x:v>20</x:v>
      </x:c>
      <x:c r="S1494" s="2" t="str">
        <x:v>Online</x:v>
      </x:c>
      <x:c r="T1494" s="2" t="str">
        <x:v>Synced</x:v>
      </x:c>
    </x:row>
    <x:row r="1495" ht="21" customHeight="1">
      <x:c r="A1495" s="2" t="str">
        <x:v>EV001771</x:v>
      </x:c>
      <x:c r="B1495" s="2" t="str">
        <x:v>T20261007-1-3</x:v>
      </x:c>
      <x:c r="C1495" s="2" t="str">
        <x:v>ST089</x:v>
      </x:c>
      <x:c r="D1495" s="2" t="str">
        <x:v>0bd697ec3f7c09918d8dd004b5340b03</x:v>
      </x:c>
      <x:c r="E1495" s="2" t="str">
        <x:v>CHECK_IN</x:v>
      </x:c>
      <x:c r="F1495" s="8" t="n">
        <x:v>46302.25236111111</x:v>
      </x:c>
      <x:c r="G1495" s="8" t="n">
        <x:v>46302.252384259256</x:v>
      </x:c>
      <x:c r="H1495" s="2" t="str">
        <x:v>R3S3</x:v>
      </x:c>
      <x:c r="I1495" s="9" t="n">
        <x:v>25.293000000000003</x:v>
      </x:c>
      <x:c r="J1495" s="9" t="n">
        <x:v>51.513</x:v>
      </x:c>
      <x:c r="K1495" s="2" t="n">
        <x:v>8</x:v>
      </x:c>
      <x:c r="L1495" s="2" t="str">
        <x:v>Valid</x:v>
      </x:c>
      <x:c r="M1495" s="2" t="str">
        <x:v>QR</x:v>
      </x:c>
      <x:c r="N1495" s="2" t="n">
        <x:v>1</x:v>
      </x:c>
      <x:c r="O1495" s="2" t="str">
        <x:v>Accepted</x:v>
      </x:c>
      <x:c r="P1495" s="2" t="str">
        <x:v>S003</x:v>
      </x:c>
      <x:c r="Q1495" s="2" t="str">
        <x:v>DEV003</x:v>
      </x:c>
      <x:c r="R1495" s="2" t="n">
        <x:v>20</x:v>
      </x:c>
      <x:c r="S1495" s="2" t="str">
        <x:v>Online</x:v>
      </x:c>
      <x:c r="T1495" s="2" t="str">
        <x:v>Synced</x:v>
      </x:c>
    </x:row>
    <x:row r="1496" ht="21" customHeight="1">
      <x:c r="A1496" s="2" t="str">
        <x:v>EV001436</x:v>
      </x:c>
      <x:c r="B1496" s="2" t="str">
        <x:v>T20261007-1-1</x:v>
      </x:c>
      <x:c r="C1496" s="2" t="str">
        <x:v>ST001</x:v>
      </x:c>
      <x:c r="D1496" s="2" t="str">
        <x:v>c33d277e346360e93548e66cbf71eda4</x:v>
      </x:c>
      <x:c r="E1496" s="2" t="str">
        <x:v>CHECK_OUT</x:v>
      </x:c>
      <x:c r="F1496" s="8" t="n">
        <x:v>46302.27638888889</x:v>
      </x:c>
      <x:c r="G1496" s="8" t="n">
        <x:v>46302.276412037034</x:v>
      </x:c>
      <x:c r="H1496" s="2" t="str">
        <x:v>SCH01</x:v>
      </x:c>
      <x:c r="I1496" s="9" t="n">
        <x:v>25.285</x:v>
      </x:c>
      <x:c r="J1496" s="9" t="n">
        <x:v>51.51</x:v>
      </x:c>
      <x:c r="K1496" s="2" t="n">
        <x:v>8</x:v>
      </x:c>
      <x:c r="L1496" s="2" t="str">
        <x:v>Valid</x:v>
      </x:c>
      <x:c r="M1496" s="2" t="str">
        <x:v>QR</x:v>
      </x:c>
      <x:c r="N1496" s="2" t="n">
        <x:v>1</x:v>
      </x:c>
      <x:c r="O1496" s="2" t="str">
        <x:v>Accepted</x:v>
      </x:c>
      <x:c r="P1496" s="2" t="str">
        <x:v>S001</x:v>
      </x:c>
      <x:c r="Q1496" s="2" t="str">
        <x:v>DEV001</x:v>
      </x:c>
      <x:c r="R1496" s="2" t="n">
        <x:v>21</x:v>
      </x:c>
      <x:c r="S1496" s="2" t="str">
        <x:v>Online</x:v>
      </x:c>
      <x:c r="T1496" s="2" t="str">
        <x:v>Synced</x:v>
      </x:c>
    </x:row>
    <x:row r="1497" ht="21" customHeight="1">
      <x:c r="A1497" s="2" t="str">
        <x:v>EV001596</x:v>
      </x:c>
      <x:c r="B1497" s="2" t="str">
        <x:v>T20261007-1-2</x:v>
      </x:c>
      <x:c r="C1497" s="2" t="str">
        <x:v>ST041</x:v>
      </x:c>
      <x:c r="D1497" s="2" t="str">
        <x:v>78597cf805a87b7619460b6ed67f501f</x:v>
      </x:c>
      <x:c r="E1497" s="2" t="str">
        <x:v>CHECK_OUT</x:v>
      </x:c>
      <x:c r="F1497" s="8" t="n">
        <x:v>46302.27638888889</x:v>
      </x:c>
      <x:c r="G1497" s="8" t="n">
        <x:v>46302.276412037034</x:v>
      </x:c>
      <x:c r="H1497" s="2" t="str">
        <x:v>SCH01</x:v>
      </x:c>
      <x:c r="I1497" s="9" t="n">
        <x:v>25.285</x:v>
      </x:c>
      <x:c r="J1497" s="9" t="n">
        <x:v>51.51</x:v>
      </x:c>
      <x:c r="K1497" s="2" t="n">
        <x:v>8</x:v>
      </x:c>
      <x:c r="L1497" s="2" t="str">
        <x:v>Valid</x:v>
      </x:c>
      <x:c r="M1497" s="2" t="str">
        <x:v>QR</x:v>
      </x:c>
      <x:c r="N1497" s="2" t="n">
        <x:v>1</x:v>
      </x:c>
      <x:c r="O1497" s="2" t="str">
        <x:v>Accepted</x:v>
      </x:c>
      <x:c r="P1497" s="2" t="str">
        <x:v>S002</x:v>
      </x:c>
      <x:c r="Q1497" s="2" t="str">
        <x:v>DEV002</x:v>
      </x:c>
      <x:c r="R1497" s="2" t="n">
        <x:v>21</x:v>
      </x:c>
      <x:c r="S1497" s="2" t="str">
        <x:v>Online</x:v>
      </x:c>
      <x:c r="T1497" s="2" t="str">
        <x:v>Synced</x:v>
      </x:c>
    </x:row>
    <x:row r="1498" ht="21" customHeight="1">
      <x:c r="A1498" s="2" t="str">
        <x:v>EV001756</x:v>
      </x:c>
      <x:c r="B1498" s="2" t="str">
        <x:v>T20261007-1-3</x:v>
      </x:c>
      <x:c r="C1498" s="2" t="str">
        <x:v>ST081</x:v>
      </x:c>
      <x:c r="D1498" s="2" t="str">
        <x:v>8631b63b10b36bffa6456d354db9c08f</x:v>
      </x:c>
      <x:c r="E1498" s="2" t="str">
        <x:v>CHECK_OUT</x:v>
      </x:c>
      <x:c r="F1498" s="8" t="n">
        <x:v>46302.27638888889</x:v>
      </x:c>
      <x:c r="G1498" s="8" t="n">
        <x:v>46302.276412037034</x:v>
      </x:c>
      <x:c r="H1498" s="2" t="str">
        <x:v>SCH01</x:v>
      </x:c>
      <x:c r="I1498" s="9" t="n">
        <x:v>25.285</x:v>
      </x:c>
      <x:c r="J1498" s="9" t="n">
        <x:v>51.51</x:v>
      </x:c>
      <x:c r="K1498" s="2" t="n">
        <x:v>8</x:v>
      </x:c>
      <x:c r="L1498" s="2" t="str">
        <x:v>Valid</x:v>
      </x:c>
      <x:c r="M1498" s="2" t="str">
        <x:v>QR</x:v>
      </x:c>
      <x:c r="N1498" s="2" t="n">
        <x:v>1</x:v>
      </x:c>
      <x:c r="O1498" s="2" t="str">
        <x:v>Accepted</x:v>
      </x:c>
      <x:c r="P1498" s="2" t="str">
        <x:v>S003</x:v>
      </x:c>
      <x:c r="Q1498" s="2" t="str">
        <x:v>DEV003</x:v>
      </x:c>
      <x:c r="R1498" s="2" t="n">
        <x:v>21</x:v>
      </x:c>
      <x:c r="S1498" s="2" t="str">
        <x:v>Online</x:v>
      </x:c>
      <x:c r="T1498" s="2" t="str">
        <x:v>Synced</x:v>
      </x:c>
    </x:row>
    <x:row r="1499" ht="21" customHeight="1">
      <x:c r="A1499" s="2" t="str">
        <x:v>EV001438</x:v>
      </x:c>
      <x:c r="B1499" s="2" t="str">
        <x:v>T20261007-1-1</x:v>
      </x:c>
      <x:c r="C1499" s="2" t="str">
        <x:v>ST002</x:v>
      </x:c>
      <x:c r="D1499" s="2" t="str">
        <x:v>c9302a76d79e524442f3775978bb57a1</x:v>
      </x:c>
      <x:c r="E1499" s="2" t="str">
        <x:v>CHECK_OUT</x:v>
      </x:c>
      <x:c r="F1499" s="8" t="n">
        <x:v>46302.27642361111</x:v>
      </x:c>
      <x:c r="G1499" s="8" t="n">
        <x:v>46302.27644675926</x:v>
      </x:c>
      <x:c r="H1499" s="2" t="str">
        <x:v>SCH01</x:v>
      </x:c>
      <x:c r="I1499" s="9" t="n">
        <x:v>25.285</x:v>
      </x:c>
      <x:c r="J1499" s="9" t="n">
        <x:v>51.51</x:v>
      </x:c>
      <x:c r="K1499" s="2" t="n">
        <x:v>8</x:v>
      </x:c>
      <x:c r="L1499" s="2" t="str">
        <x:v>Valid</x:v>
      </x:c>
      <x:c r="M1499" s="2" t="str">
        <x:v>QR</x:v>
      </x:c>
      <x:c r="N1499" s="2" t="n">
        <x:v>1</x:v>
      </x:c>
      <x:c r="O1499" s="2" t="str">
        <x:v>Accepted</x:v>
      </x:c>
      <x:c r="P1499" s="2" t="str">
        <x:v>S001</x:v>
      </x:c>
      <x:c r="Q1499" s="2" t="str">
        <x:v>DEV001</x:v>
      </x:c>
      <x:c r="R1499" s="2" t="n">
        <x:v>22</x:v>
      </x:c>
      <x:c r="S1499" s="2" t="str">
        <x:v>Online</x:v>
      </x:c>
      <x:c r="T1499" s="2" t="str">
        <x:v>Synced</x:v>
      </x:c>
    </x:row>
    <x:row r="1500" ht="21" customHeight="1">
      <x:c r="A1500" s="2" t="str">
        <x:v>EV001598</x:v>
      </x:c>
      <x:c r="B1500" s="2" t="str">
        <x:v>T20261007-1-2</x:v>
      </x:c>
      <x:c r="C1500" s="2" t="str">
        <x:v>ST042</x:v>
      </x:c>
      <x:c r="D1500" s="2" t="str">
        <x:v>9cf3254a8e8c8233e36089501cd1bc60</x:v>
      </x:c>
      <x:c r="E1500" s="2" t="str">
        <x:v>CHECK_OUT</x:v>
      </x:c>
      <x:c r="F1500" s="8" t="n">
        <x:v>46302.27642361111</x:v>
      </x:c>
      <x:c r="G1500" s="8" t="n">
        <x:v>46302.27644675926</x:v>
      </x:c>
      <x:c r="H1500" s="2" t="str">
        <x:v>SCH01</x:v>
      </x:c>
      <x:c r="I1500" s="9" t="n">
        <x:v>25.285</x:v>
      </x:c>
      <x:c r="J1500" s="9" t="n">
        <x:v>51.51</x:v>
      </x:c>
      <x:c r="K1500" s="2" t="n">
        <x:v>8</x:v>
      </x:c>
      <x:c r="L1500" s="2" t="str">
        <x:v>Valid</x:v>
      </x:c>
      <x:c r="M1500" s="2" t="str">
        <x:v>QR</x:v>
      </x:c>
      <x:c r="N1500" s="2" t="n">
        <x:v>1</x:v>
      </x:c>
      <x:c r="O1500" s="2" t="str">
        <x:v>Accepted</x:v>
      </x:c>
      <x:c r="P1500" s="2" t="str">
        <x:v>S002</x:v>
      </x:c>
      <x:c r="Q1500" s="2" t="str">
        <x:v>DEV002</x:v>
      </x:c>
      <x:c r="R1500" s="2" t="n">
        <x:v>22</x:v>
      </x:c>
      <x:c r="S1500" s="2" t="str">
        <x:v>Online</x:v>
      </x:c>
      <x:c r="T1500" s="2" t="str">
        <x:v>Synced</x:v>
      </x:c>
    </x:row>
    <x:row r="1501" ht="21" customHeight="1">
      <x:c r="A1501" s="2" t="str">
        <x:v>EV001758</x:v>
      </x:c>
      <x:c r="B1501" s="2" t="str">
        <x:v>T20261007-1-3</x:v>
      </x:c>
      <x:c r="C1501" s="2" t="str">
        <x:v>ST082</x:v>
      </x:c>
      <x:c r="D1501" s="2" t="str">
        <x:v>fb7e28e2da3ace738571a6966bcaaec0</x:v>
      </x:c>
      <x:c r="E1501" s="2" t="str">
        <x:v>CHECK_OUT</x:v>
      </x:c>
      <x:c r="F1501" s="8" t="n">
        <x:v>46302.27642361111</x:v>
      </x:c>
      <x:c r="G1501" s="8" t="n">
        <x:v>46302.27644675926</x:v>
      </x:c>
      <x:c r="H1501" s="2" t="str">
        <x:v>SCH01</x:v>
      </x:c>
      <x:c r="I1501" s="9" t="n">
        <x:v>25.285</x:v>
      </x:c>
      <x:c r="J1501" s="9" t="n">
        <x:v>51.51</x:v>
      </x:c>
      <x:c r="K1501" s="2" t="n">
        <x:v>8</x:v>
      </x:c>
      <x:c r="L1501" s="2" t="str">
        <x:v>Valid</x:v>
      </x:c>
      <x:c r="M1501" s="2" t="str">
        <x:v>QR</x:v>
      </x:c>
      <x:c r="N1501" s="2" t="n">
        <x:v>1</x:v>
      </x:c>
      <x:c r="O1501" s="2" t="str">
        <x:v>Accepted</x:v>
      </x:c>
      <x:c r="P1501" s="2" t="str">
        <x:v>S003</x:v>
      </x:c>
      <x:c r="Q1501" s="2" t="str">
        <x:v>DEV003</x:v>
      </x:c>
      <x:c r="R1501" s="2" t="n">
        <x:v>22</x:v>
      </x:c>
      <x:c r="S1501" s="2" t="str">
        <x:v>Online</x:v>
      </x:c>
      <x:c r="T1501" s="2" t="str">
        <x:v>Synced</x:v>
      </x:c>
    </x:row>
    <x:row r="1502" ht="21" customHeight="1">
      <x:c r="A1502" s="2" t="str">
        <x:v>EV001440</x:v>
      </x:c>
      <x:c r="B1502" s="2" t="str">
        <x:v>T20261007-1-1</x:v>
      </x:c>
      <x:c r="C1502" s="2" t="str">
        <x:v>ST003</x:v>
      </x:c>
      <x:c r="D1502" s="2" t="str">
        <x:v>7598e98213cb52db1085c9a94fae1915</x:v>
      </x:c>
      <x:c r="E1502" s="2" t="str">
        <x:v>CHECK_OUT</x:v>
      </x:c>
      <x:c r="F1502" s="8" t="n">
        <x:v>46302.276458333334</x:v>
      </x:c>
      <x:c r="G1502" s="8" t="n">
        <x:v>46302.27648148148</x:v>
      </x:c>
      <x:c r="H1502" s="2" t="str">
        <x:v>SCH01</x:v>
      </x:c>
      <x:c r="I1502" s="9" t="n">
        <x:v>25.285</x:v>
      </x:c>
      <x:c r="J1502" s="9" t="n">
        <x:v>51.51</x:v>
      </x:c>
      <x:c r="K1502" s="2" t="n">
        <x:v>8</x:v>
      </x:c>
      <x:c r="L1502" s="2" t="str">
        <x:v>Valid</x:v>
      </x:c>
      <x:c r="M1502" s="2" t="str">
        <x:v>QR</x:v>
      </x:c>
      <x:c r="N1502" s="2" t="n">
        <x:v>1</x:v>
      </x:c>
      <x:c r="O1502" s="2" t="str">
        <x:v>Accepted</x:v>
      </x:c>
      <x:c r="P1502" s="2" t="str">
        <x:v>S001</x:v>
      </x:c>
      <x:c r="Q1502" s="2" t="str">
        <x:v>DEV001</x:v>
      </x:c>
      <x:c r="R1502" s="2" t="n">
        <x:v>23</x:v>
      </x:c>
      <x:c r="S1502" s="2" t="str">
        <x:v>Online</x:v>
      </x:c>
      <x:c r="T1502" s="2" t="str">
        <x:v>Synced</x:v>
      </x:c>
    </x:row>
    <x:row r="1503" ht="21" customHeight="1">
      <x:c r="A1503" s="2" t="str">
        <x:v>EV001600</x:v>
      </x:c>
      <x:c r="B1503" s="2" t="str">
        <x:v>T20261007-1-2</x:v>
      </x:c>
      <x:c r="C1503" s="2" t="str">
        <x:v>ST043</x:v>
      </x:c>
      <x:c r="D1503" s="2" t="str">
        <x:v>db51093fe9dac44d59345ee12f7e9c56</x:v>
      </x:c>
      <x:c r="E1503" s="2" t="str">
        <x:v>CHECK_OUT</x:v>
      </x:c>
      <x:c r="F1503" s="8" t="n">
        <x:v>46302.276458333334</x:v>
      </x:c>
      <x:c r="G1503" s="8" t="n">
        <x:v>46302.27648148148</x:v>
      </x:c>
      <x:c r="H1503" s="2" t="str">
        <x:v>SCH01</x:v>
      </x:c>
      <x:c r="I1503" s="9" t="n">
        <x:v>25.285</x:v>
      </x:c>
      <x:c r="J1503" s="9" t="n">
        <x:v>51.51</x:v>
      </x:c>
      <x:c r="K1503" s="2" t="n">
        <x:v>8</x:v>
      </x:c>
      <x:c r="L1503" s="2" t="str">
        <x:v>Valid</x:v>
      </x:c>
      <x:c r="M1503" s="2" t="str">
        <x:v>QR</x:v>
      </x:c>
      <x:c r="N1503" s="2" t="n">
        <x:v>1</x:v>
      </x:c>
      <x:c r="O1503" s="2" t="str">
        <x:v>Accepted</x:v>
      </x:c>
      <x:c r="P1503" s="2" t="str">
        <x:v>S002</x:v>
      </x:c>
      <x:c r="Q1503" s="2" t="str">
        <x:v>DEV002</x:v>
      </x:c>
      <x:c r="R1503" s="2" t="n">
        <x:v>23</x:v>
      </x:c>
      <x:c r="S1503" s="2" t="str">
        <x:v>Online</x:v>
      </x:c>
      <x:c r="T1503" s="2" t="str">
        <x:v>Synced</x:v>
      </x:c>
    </x:row>
    <x:row r="1504" ht="21" customHeight="1">
      <x:c r="A1504" s="2" t="str">
        <x:v>EV001760</x:v>
      </x:c>
      <x:c r="B1504" s="2" t="str">
        <x:v>T20261007-1-3</x:v>
      </x:c>
      <x:c r="C1504" s="2" t="str">
        <x:v>ST083</x:v>
      </x:c>
      <x:c r="D1504" s="2" t="str">
        <x:v>19cc474730ce4d97be031814010d13a9</x:v>
      </x:c>
      <x:c r="E1504" s="2" t="str">
        <x:v>CHECK_OUT</x:v>
      </x:c>
      <x:c r="F1504" s="8" t="n">
        <x:v>46302.276458333334</x:v>
      </x:c>
      <x:c r="G1504" s="8" t="n">
        <x:v>46302.27648148148</x:v>
      </x:c>
      <x:c r="H1504" s="2" t="str">
        <x:v>SCH01</x:v>
      </x:c>
      <x:c r="I1504" s="9" t="n">
        <x:v>25.285</x:v>
      </x:c>
      <x:c r="J1504" s="9" t="n">
        <x:v>51.51</x:v>
      </x:c>
      <x:c r="K1504" s="2" t="n">
        <x:v>8</x:v>
      </x:c>
      <x:c r="L1504" s="2" t="str">
        <x:v>Valid</x:v>
      </x:c>
      <x:c r="M1504" s="2" t="str">
        <x:v>QR</x:v>
      </x:c>
      <x:c r="N1504" s="2" t="n">
        <x:v>1</x:v>
      </x:c>
      <x:c r="O1504" s="2" t="str">
        <x:v>Accepted</x:v>
      </x:c>
      <x:c r="P1504" s="2" t="str">
        <x:v>S003</x:v>
      </x:c>
      <x:c r="Q1504" s="2" t="str">
        <x:v>DEV003</x:v>
      </x:c>
      <x:c r="R1504" s="2" t="n">
        <x:v>23</x:v>
      </x:c>
      <x:c r="S1504" s="2" t="str">
        <x:v>Online</x:v>
      </x:c>
      <x:c r="T1504" s="2" t="str">
        <x:v>Synced</x:v>
      </x:c>
    </x:row>
    <x:row r="1505" ht="21" customHeight="1">
      <x:c r="A1505" s="2" t="str">
        <x:v>EV001442</x:v>
      </x:c>
      <x:c r="B1505" s="2" t="str">
        <x:v>T20261007-1-1</x:v>
      </x:c>
      <x:c r="C1505" s="2" t="str">
        <x:v>ST004</x:v>
      </x:c>
      <x:c r="D1505" s="2" t="str">
        <x:v>7dee56e67101a0dd8483e1503eba9a72</x:v>
      </x:c>
      <x:c r="E1505" s="2" t="str">
        <x:v>CHECK_OUT</x:v>
      </x:c>
      <x:c r="F1505" s="8" t="n">
        <x:v>46302.27649305556</x:v>
      </x:c>
      <x:c r="G1505" s="8" t="n">
        <x:v>46302.2765162037</x:v>
      </x:c>
      <x:c r="H1505" s="2" t="str">
        <x:v>SCH01</x:v>
      </x:c>
      <x:c r="I1505" s="9" t="n">
        <x:v>25.285</x:v>
      </x:c>
      <x:c r="J1505" s="9" t="n">
        <x:v>51.51</x:v>
      </x:c>
      <x:c r="K1505" s="2" t="n">
        <x:v>8</x:v>
      </x:c>
      <x:c r="L1505" s="2" t="str">
        <x:v>Valid</x:v>
      </x:c>
      <x:c r="M1505" s="2" t="str">
        <x:v>QR</x:v>
      </x:c>
      <x:c r="N1505" s="2" t="n">
        <x:v>1</x:v>
      </x:c>
      <x:c r="O1505" s="2" t="str">
        <x:v>Accepted</x:v>
      </x:c>
      <x:c r="P1505" s="2" t="str">
        <x:v>S001</x:v>
      </x:c>
      <x:c r="Q1505" s="2" t="str">
        <x:v>DEV001</x:v>
      </x:c>
      <x:c r="R1505" s="2" t="n">
        <x:v>24</x:v>
      </x:c>
      <x:c r="S1505" s="2" t="str">
        <x:v>Online</x:v>
      </x:c>
      <x:c r="T1505" s="2" t="str">
        <x:v>Synced</x:v>
      </x:c>
    </x:row>
    <x:row r="1506" ht="21" customHeight="1">
      <x:c r="A1506" s="2" t="str">
        <x:v>EV001602</x:v>
      </x:c>
      <x:c r="B1506" s="2" t="str">
        <x:v>T20261007-1-2</x:v>
      </x:c>
      <x:c r="C1506" s="2" t="str">
        <x:v>ST044</x:v>
      </x:c>
      <x:c r="D1506" s="2" t="str">
        <x:v>638b036dff08260bc8976402fb10157a</x:v>
      </x:c>
      <x:c r="E1506" s="2" t="str">
        <x:v>CHECK_OUT</x:v>
      </x:c>
      <x:c r="F1506" s="8" t="n">
        <x:v>46302.27649305556</x:v>
      </x:c>
      <x:c r="G1506" s="8" t="n">
        <x:v>46302.2765162037</x:v>
      </x:c>
      <x:c r="H1506" s="2" t="str">
        <x:v>SCH01</x:v>
      </x:c>
      <x:c r="I1506" s="9" t="n">
        <x:v>25.285</x:v>
      </x:c>
      <x:c r="J1506" s="9" t="n">
        <x:v>51.51</x:v>
      </x:c>
      <x:c r="K1506" s="2" t="n">
        <x:v>8</x:v>
      </x:c>
      <x:c r="L1506" s="2" t="str">
        <x:v>Valid</x:v>
      </x:c>
      <x:c r="M1506" s="2" t="str">
        <x:v>QR</x:v>
      </x:c>
      <x:c r="N1506" s="2" t="n">
        <x:v>1</x:v>
      </x:c>
      <x:c r="O1506" s="2" t="str">
        <x:v>Accepted</x:v>
      </x:c>
      <x:c r="P1506" s="2" t="str">
        <x:v>S002</x:v>
      </x:c>
      <x:c r="Q1506" s="2" t="str">
        <x:v>DEV002</x:v>
      </x:c>
      <x:c r="R1506" s="2" t="n">
        <x:v>24</x:v>
      </x:c>
      <x:c r="S1506" s="2" t="str">
        <x:v>Online</x:v>
      </x:c>
      <x:c r="T1506" s="2" t="str">
        <x:v>Synced</x:v>
      </x:c>
    </x:row>
    <x:row r="1507" ht="21" customHeight="1">
      <x:c r="A1507" s="2" t="str">
        <x:v>EV001762</x:v>
      </x:c>
      <x:c r="B1507" s="2" t="str">
        <x:v>T20261007-1-3</x:v>
      </x:c>
      <x:c r="C1507" s="2" t="str">
        <x:v>ST084</x:v>
      </x:c>
      <x:c r="D1507" s="2" t="str">
        <x:v>2f6163b722feb8421b83fd278ee72e5c</x:v>
      </x:c>
      <x:c r="E1507" s="2" t="str">
        <x:v>CHECK_OUT</x:v>
      </x:c>
      <x:c r="F1507" s="8" t="n">
        <x:v>46302.27649305556</x:v>
      </x:c>
      <x:c r="G1507" s="8" t="n">
        <x:v>46302.2765162037</x:v>
      </x:c>
      <x:c r="H1507" s="2" t="str">
        <x:v>SCH01</x:v>
      </x:c>
      <x:c r="I1507" s="9" t="n">
        <x:v>25.285</x:v>
      </x:c>
      <x:c r="J1507" s="9" t="n">
        <x:v>51.51</x:v>
      </x:c>
      <x:c r="K1507" s="2" t="n">
        <x:v>8</x:v>
      </x:c>
      <x:c r="L1507" s="2" t="str">
        <x:v>Valid</x:v>
      </x:c>
      <x:c r="M1507" s="2" t="str">
        <x:v>QR</x:v>
      </x:c>
      <x:c r="N1507" s="2" t="n">
        <x:v>1</x:v>
      </x:c>
      <x:c r="O1507" s="2" t="str">
        <x:v>Accepted</x:v>
      </x:c>
      <x:c r="P1507" s="2" t="str">
        <x:v>S003</x:v>
      </x:c>
      <x:c r="Q1507" s="2" t="str">
        <x:v>DEV003</x:v>
      </x:c>
      <x:c r="R1507" s="2" t="n">
        <x:v>24</x:v>
      </x:c>
      <x:c r="S1507" s="2" t="str">
        <x:v>Online</x:v>
      </x:c>
      <x:c r="T1507" s="2" t="str">
        <x:v>Synced</x:v>
      </x:c>
    </x:row>
    <x:row r="1508" ht="21" customHeight="1">
      <x:c r="A1508" s="2" t="str">
        <x:v>EV001444</x:v>
      </x:c>
      <x:c r="B1508" s="2" t="str">
        <x:v>T20261007-1-1</x:v>
      </x:c>
      <x:c r="C1508" s="2" t="str">
        <x:v>ST005</x:v>
      </x:c>
      <x:c r="D1508" s="2" t="str">
        <x:v>426727a8a0b9d51694a399a005c786cf</x:v>
      </x:c>
      <x:c r="E1508" s="2" t="str">
        <x:v>CHECK_OUT</x:v>
      </x:c>
      <x:c r="F1508" s="8" t="n">
        <x:v>46302.27652777778</x:v>
      </x:c>
      <x:c r="G1508" s="8" t="n">
        <x:v>46302.276550925926</x:v>
      </x:c>
      <x:c r="H1508" s="2" t="str">
        <x:v>SCH01</x:v>
      </x:c>
      <x:c r="I1508" s="9" t="n">
        <x:v>25.285</x:v>
      </x:c>
      <x:c r="J1508" s="9" t="n">
        <x:v>51.51</x:v>
      </x:c>
      <x:c r="K1508" s="2" t="n">
        <x:v>8</x:v>
      </x:c>
      <x:c r="L1508" s="2" t="str">
        <x:v>Valid</x:v>
      </x:c>
      <x:c r="M1508" s="2" t="str">
        <x:v>QR</x:v>
      </x:c>
      <x:c r="N1508" s="2" t="n">
        <x:v>1</x:v>
      </x:c>
      <x:c r="O1508" s="2" t="str">
        <x:v>Accepted</x:v>
      </x:c>
      <x:c r="P1508" s="2" t="str">
        <x:v>S001</x:v>
      </x:c>
      <x:c r="Q1508" s="2" t="str">
        <x:v>DEV001</x:v>
      </x:c>
      <x:c r="R1508" s="2" t="n">
        <x:v>25</x:v>
      </x:c>
      <x:c r="S1508" s="2" t="str">
        <x:v>Online</x:v>
      </x:c>
      <x:c r="T1508" s="2" t="str">
        <x:v>Synced</x:v>
      </x:c>
    </x:row>
    <x:row r="1509" ht="21" customHeight="1">
      <x:c r="A1509" s="2" t="str">
        <x:v>EV001604</x:v>
      </x:c>
      <x:c r="B1509" s="2" t="str">
        <x:v>T20261007-1-2</x:v>
      </x:c>
      <x:c r="C1509" s="2" t="str">
        <x:v>ST045</x:v>
      </x:c>
      <x:c r="D1509" s="2" t="str">
        <x:v>10d8df8a06a7c869bcaa1adbc88c05bc</x:v>
      </x:c>
      <x:c r="E1509" s="2" t="str">
        <x:v>CHECK_OUT</x:v>
      </x:c>
      <x:c r="F1509" s="8" t="n">
        <x:v>46302.27652777778</x:v>
      </x:c>
      <x:c r="G1509" s="8" t="n">
        <x:v>46302.276550925926</x:v>
      </x:c>
      <x:c r="H1509" s="2" t="str">
        <x:v>SCH01</x:v>
      </x:c>
      <x:c r="I1509" s="9" t="n">
        <x:v>25.285</x:v>
      </x:c>
      <x:c r="J1509" s="9" t="n">
        <x:v>51.51</x:v>
      </x:c>
      <x:c r="K1509" s="2" t="n">
        <x:v>8</x:v>
      </x:c>
      <x:c r="L1509" s="2" t="str">
        <x:v>Valid</x:v>
      </x:c>
      <x:c r="M1509" s="2" t="str">
        <x:v>QR</x:v>
      </x:c>
      <x:c r="N1509" s="2" t="n">
        <x:v>1</x:v>
      </x:c>
      <x:c r="O1509" s="2" t="str">
        <x:v>Accepted</x:v>
      </x:c>
      <x:c r="P1509" s="2" t="str">
        <x:v>S002</x:v>
      </x:c>
      <x:c r="Q1509" s="2" t="str">
        <x:v>DEV002</x:v>
      </x:c>
      <x:c r="R1509" s="2" t="n">
        <x:v>25</x:v>
      </x:c>
      <x:c r="S1509" s="2" t="str">
        <x:v>Online</x:v>
      </x:c>
      <x:c r="T1509" s="2" t="str">
        <x:v>Synced</x:v>
      </x:c>
    </x:row>
    <x:row r="1510" ht="21" customHeight="1">
      <x:c r="A1510" s="2" t="str">
        <x:v>EV001764</x:v>
      </x:c>
      <x:c r="B1510" s="2" t="str">
        <x:v>T20261007-1-3</x:v>
      </x:c>
      <x:c r="C1510" s="2" t="str">
        <x:v>ST085</x:v>
      </x:c>
      <x:c r="D1510" s="2" t="str">
        <x:v>80babdd572dde222a75b7ad8f0fe7ffa</x:v>
      </x:c>
      <x:c r="E1510" s="2" t="str">
        <x:v>CHECK_OUT</x:v>
      </x:c>
      <x:c r="F1510" s="8" t="n">
        <x:v>46302.27652777778</x:v>
      </x:c>
      <x:c r="G1510" s="8" t="n">
        <x:v>46302.276550925926</x:v>
      </x:c>
      <x:c r="H1510" s="2" t="str">
        <x:v>SCH01</x:v>
      </x:c>
      <x:c r="I1510" s="9" t="n">
        <x:v>25.285</x:v>
      </x:c>
      <x:c r="J1510" s="9" t="n">
        <x:v>51.51</x:v>
      </x:c>
      <x:c r="K1510" s="2" t="n">
        <x:v>8</x:v>
      </x:c>
      <x:c r="L1510" s="2" t="str">
        <x:v>Valid</x:v>
      </x:c>
      <x:c r="M1510" s="2" t="str">
        <x:v>QR</x:v>
      </x:c>
      <x:c r="N1510" s="2" t="n">
        <x:v>1</x:v>
      </x:c>
      <x:c r="O1510" s="2" t="str">
        <x:v>Accepted</x:v>
      </x:c>
      <x:c r="P1510" s="2" t="str">
        <x:v>S003</x:v>
      </x:c>
      <x:c r="Q1510" s="2" t="str">
        <x:v>DEV003</x:v>
      </x:c>
      <x:c r="R1510" s="2" t="n">
        <x:v>25</x:v>
      </x:c>
      <x:c r="S1510" s="2" t="str">
        <x:v>Online</x:v>
      </x:c>
      <x:c r="T1510" s="2" t="str">
        <x:v>Synced</x:v>
      </x:c>
    </x:row>
    <x:row r="1511" ht="21" customHeight="1">
      <x:c r="A1511" s="2" t="str">
        <x:v>EV001446</x:v>
      </x:c>
      <x:c r="B1511" s="2" t="str">
        <x:v>T20261007-1-1</x:v>
      </x:c>
      <x:c r="C1511" s="2" t="str">
        <x:v>ST006</x:v>
      </x:c>
      <x:c r="D1511" s="2" t="str">
        <x:v>8edd7f2c984bf2eb5adf75591d6f1e9c</x:v>
      </x:c>
      <x:c r="E1511" s="2" t="str">
        <x:v>CHECK_OUT</x:v>
      </x:c>
      <x:c r="F1511" s="8" t="n">
        <x:v>46302.276562499996</x:v>
      </x:c>
      <x:c r="G1511" s="8" t="n">
        <x:v>46302.27658564814</x:v>
      </x:c>
      <x:c r="H1511" s="2" t="str">
        <x:v>SCH01</x:v>
      </x:c>
      <x:c r="I1511" s="9" t="n">
        <x:v>25.285</x:v>
      </x:c>
      <x:c r="J1511" s="9" t="n">
        <x:v>51.51</x:v>
      </x:c>
      <x:c r="K1511" s="2" t="n">
        <x:v>8</x:v>
      </x:c>
      <x:c r="L1511" s="2" t="str">
        <x:v>Valid</x:v>
      </x:c>
      <x:c r="M1511" s="2" t="str">
        <x:v>QR</x:v>
      </x:c>
      <x:c r="N1511" s="2" t="n">
        <x:v>1</x:v>
      </x:c>
      <x:c r="O1511" s="2" t="str">
        <x:v>Accepted</x:v>
      </x:c>
      <x:c r="P1511" s="2" t="str">
        <x:v>S001</x:v>
      </x:c>
      <x:c r="Q1511" s="2" t="str">
        <x:v>DEV001</x:v>
      </x:c>
      <x:c r="R1511" s="2" t="n">
        <x:v>26</x:v>
      </x:c>
      <x:c r="S1511" s="2" t="str">
        <x:v>Online</x:v>
      </x:c>
      <x:c r="T1511" s="2" t="str">
        <x:v>Synced</x:v>
      </x:c>
    </x:row>
    <x:row r="1512" ht="21" customHeight="1">
      <x:c r="A1512" s="2" t="str">
        <x:v>EV001606</x:v>
      </x:c>
      <x:c r="B1512" s="2" t="str">
        <x:v>T20261007-1-2</x:v>
      </x:c>
      <x:c r="C1512" s="2" t="str">
        <x:v>ST046</x:v>
      </x:c>
      <x:c r="D1512" s="2" t="str">
        <x:v>82365992d443d056f10fa7522ac29057</x:v>
      </x:c>
      <x:c r="E1512" s="2" t="str">
        <x:v>CHECK_OUT</x:v>
      </x:c>
      <x:c r="F1512" s="8" t="n">
        <x:v>46302.276562499996</x:v>
      </x:c>
      <x:c r="G1512" s="8" t="n">
        <x:v>46302.27658564814</x:v>
      </x:c>
      <x:c r="H1512" s="2" t="str">
        <x:v>SCH01</x:v>
      </x:c>
      <x:c r="I1512" s="9" t="n">
        <x:v>25.285</x:v>
      </x:c>
      <x:c r="J1512" s="9" t="n">
        <x:v>51.51</x:v>
      </x:c>
      <x:c r="K1512" s="2" t="n">
        <x:v>8</x:v>
      </x:c>
      <x:c r="L1512" s="2" t="str">
        <x:v>Valid</x:v>
      </x:c>
      <x:c r="M1512" s="2" t="str">
        <x:v>QR</x:v>
      </x:c>
      <x:c r="N1512" s="2" t="n">
        <x:v>1</x:v>
      </x:c>
      <x:c r="O1512" s="2" t="str">
        <x:v>Accepted</x:v>
      </x:c>
      <x:c r="P1512" s="2" t="str">
        <x:v>S002</x:v>
      </x:c>
      <x:c r="Q1512" s="2" t="str">
        <x:v>DEV002</x:v>
      </x:c>
      <x:c r="R1512" s="2" t="n">
        <x:v>26</x:v>
      </x:c>
      <x:c r="S1512" s="2" t="str">
        <x:v>Online</x:v>
      </x:c>
      <x:c r="T1512" s="2" t="str">
        <x:v>Synced</x:v>
      </x:c>
    </x:row>
    <x:row r="1513" ht="21" customHeight="1">
      <x:c r="A1513" s="2" t="str">
        <x:v>EV001766</x:v>
      </x:c>
      <x:c r="B1513" s="2" t="str">
        <x:v>T20261007-1-3</x:v>
      </x:c>
      <x:c r="C1513" s="2" t="str">
        <x:v>ST086</x:v>
      </x:c>
      <x:c r="D1513" s="2" t="str">
        <x:v>33c5dfd0f17fcbe34d50fd9b0a0c0e5b</x:v>
      </x:c>
      <x:c r="E1513" s="2" t="str">
        <x:v>CHECK_OUT</x:v>
      </x:c>
      <x:c r="F1513" s="8" t="n">
        <x:v>46302.276562499996</x:v>
      </x:c>
      <x:c r="G1513" s="8" t="n">
        <x:v>46302.27658564814</x:v>
      </x:c>
      <x:c r="H1513" s="2" t="str">
        <x:v>SCH01</x:v>
      </x:c>
      <x:c r="I1513" s="9" t="n">
        <x:v>25.285</x:v>
      </x:c>
      <x:c r="J1513" s="9" t="n">
        <x:v>51.51</x:v>
      </x:c>
      <x:c r="K1513" s="2" t="n">
        <x:v>8</x:v>
      </x:c>
      <x:c r="L1513" s="2" t="str">
        <x:v>Valid</x:v>
      </x:c>
      <x:c r="M1513" s="2" t="str">
        <x:v>QR</x:v>
      </x:c>
      <x:c r="N1513" s="2" t="n">
        <x:v>1</x:v>
      </x:c>
      <x:c r="O1513" s="2" t="str">
        <x:v>Accepted</x:v>
      </x:c>
      <x:c r="P1513" s="2" t="str">
        <x:v>S003</x:v>
      </x:c>
      <x:c r="Q1513" s="2" t="str">
        <x:v>DEV003</x:v>
      </x:c>
      <x:c r="R1513" s="2" t="n">
        <x:v>26</x:v>
      </x:c>
      <x:c r="S1513" s="2" t="str">
        <x:v>Online</x:v>
      </x:c>
      <x:c r="T1513" s="2" t="str">
        <x:v>Synced</x:v>
      </x:c>
    </x:row>
    <x:row r="1514" ht="21" customHeight="1">
      <x:c r="A1514" s="2" t="str">
        <x:v>EV001448</x:v>
      </x:c>
      <x:c r="B1514" s="2" t="str">
        <x:v>T20261007-1-1</x:v>
      </x:c>
      <x:c r="C1514" s="2" t="str">
        <x:v>ST007</x:v>
      </x:c>
      <x:c r="D1514" s="2" t="str">
        <x:v>2376173ab02a96d9b58d44caf4008dfd</x:v>
      </x:c>
      <x:c r="E1514" s="2" t="str">
        <x:v>CHECK_OUT</x:v>
      </x:c>
      <x:c r="F1514" s="8" t="n">
        <x:v>46302.27659722222</x:v>
      </x:c>
      <x:c r="G1514" s="8" t="n">
        <x:v>46302.276620370365</x:v>
      </x:c>
      <x:c r="H1514" s="2" t="str">
        <x:v>SCH01</x:v>
      </x:c>
      <x:c r="I1514" s="9" t="n">
        <x:v>25.285</x:v>
      </x:c>
      <x:c r="J1514" s="9" t="n">
        <x:v>51.51</x:v>
      </x:c>
      <x:c r="K1514" s="2" t="n">
        <x:v>8</x:v>
      </x:c>
      <x:c r="L1514" s="2" t="str">
        <x:v>Valid</x:v>
      </x:c>
      <x:c r="M1514" s="2" t="str">
        <x:v>QR</x:v>
      </x:c>
      <x:c r="N1514" s="2" t="n">
        <x:v>1</x:v>
      </x:c>
      <x:c r="O1514" s="2" t="str">
        <x:v>Accepted</x:v>
      </x:c>
      <x:c r="P1514" s="2" t="str">
        <x:v>S001</x:v>
      </x:c>
      <x:c r="Q1514" s="2" t="str">
        <x:v>DEV001</x:v>
      </x:c>
      <x:c r="R1514" s="2" t="n">
        <x:v>27</x:v>
      </x:c>
      <x:c r="S1514" s="2" t="str">
        <x:v>Online</x:v>
      </x:c>
      <x:c r="T1514" s="2" t="str">
        <x:v>Synced</x:v>
      </x:c>
    </x:row>
    <x:row r="1515" ht="21" customHeight="1">
      <x:c r="A1515" s="2" t="str">
        <x:v>EV001608</x:v>
      </x:c>
      <x:c r="B1515" s="2" t="str">
        <x:v>T20261007-1-2</x:v>
      </x:c>
      <x:c r="C1515" s="2" t="str">
        <x:v>ST047</x:v>
      </x:c>
      <x:c r="D1515" s="2" t="str">
        <x:v>b3f6380a42fb190ae04afac7edee87cd</x:v>
      </x:c>
      <x:c r="E1515" s="2" t="str">
        <x:v>CHECK_OUT</x:v>
      </x:c>
      <x:c r="F1515" s="8" t="n">
        <x:v>46302.27659722222</x:v>
      </x:c>
      <x:c r="G1515" s="8" t="n">
        <x:v>46302.276620370365</x:v>
      </x:c>
      <x:c r="H1515" s="2" t="str">
        <x:v>SCH01</x:v>
      </x:c>
      <x:c r="I1515" s="9" t="n">
        <x:v>25.285</x:v>
      </x:c>
      <x:c r="J1515" s="9" t="n">
        <x:v>51.51</x:v>
      </x:c>
      <x:c r="K1515" s="2" t="n">
        <x:v>8</x:v>
      </x:c>
      <x:c r="L1515" s="2" t="str">
        <x:v>Valid</x:v>
      </x:c>
      <x:c r="M1515" s="2" t="str">
        <x:v>QR</x:v>
      </x:c>
      <x:c r="N1515" s="2" t="n">
        <x:v>1</x:v>
      </x:c>
      <x:c r="O1515" s="2" t="str">
        <x:v>Accepted</x:v>
      </x:c>
      <x:c r="P1515" s="2" t="str">
        <x:v>S002</x:v>
      </x:c>
      <x:c r="Q1515" s="2" t="str">
        <x:v>DEV002</x:v>
      </x:c>
      <x:c r="R1515" s="2" t="n">
        <x:v>27</x:v>
      </x:c>
      <x:c r="S1515" s="2" t="str">
        <x:v>Online</x:v>
      </x:c>
      <x:c r="T1515" s="2" t="str">
        <x:v>Synced</x:v>
      </x:c>
    </x:row>
    <x:row r="1516" ht="21" customHeight="1">
      <x:c r="A1516" s="2" t="str">
        <x:v>EV001768</x:v>
      </x:c>
      <x:c r="B1516" s="2" t="str">
        <x:v>T20261007-1-3</x:v>
      </x:c>
      <x:c r="C1516" s="2" t="str">
        <x:v>ST087</x:v>
      </x:c>
      <x:c r="D1516" s="2" t="str">
        <x:v>30243cf46003be06b271950aa5cd47a6</x:v>
      </x:c>
      <x:c r="E1516" s="2" t="str">
        <x:v>CHECK_OUT</x:v>
      </x:c>
      <x:c r="F1516" s="8" t="n">
        <x:v>46302.27659722222</x:v>
      </x:c>
      <x:c r="G1516" s="8" t="n">
        <x:v>46302.276620370365</x:v>
      </x:c>
      <x:c r="H1516" s="2" t="str">
        <x:v>SCH01</x:v>
      </x:c>
      <x:c r="I1516" s="9" t="n">
        <x:v>25.285</x:v>
      </x:c>
      <x:c r="J1516" s="9" t="n">
        <x:v>51.51</x:v>
      </x:c>
      <x:c r="K1516" s="2" t="n">
        <x:v>8</x:v>
      </x:c>
      <x:c r="L1516" s="2" t="str">
        <x:v>Valid</x:v>
      </x:c>
      <x:c r="M1516" s="2" t="str">
        <x:v>QR</x:v>
      </x:c>
      <x:c r="N1516" s="2" t="n">
        <x:v>1</x:v>
      </x:c>
      <x:c r="O1516" s="2" t="str">
        <x:v>Accepted</x:v>
      </x:c>
      <x:c r="P1516" s="2" t="str">
        <x:v>S003</x:v>
      </x:c>
      <x:c r="Q1516" s="2" t="str">
        <x:v>DEV003</x:v>
      </x:c>
      <x:c r="R1516" s="2" t="n">
        <x:v>27</x:v>
      </x:c>
      <x:c r="S1516" s="2" t="str">
        <x:v>Online</x:v>
      </x:c>
      <x:c r="T1516" s="2" t="str">
        <x:v>Synced</x:v>
      </x:c>
    </x:row>
    <x:row r="1517" ht="21" customHeight="1">
      <x:c r="A1517" s="2" t="str">
        <x:v>EV001450</x:v>
      </x:c>
      <x:c r="B1517" s="2" t="str">
        <x:v>T20261007-1-1</x:v>
      </x:c>
      <x:c r="C1517" s="2" t="str">
        <x:v>ST008</x:v>
      </x:c>
      <x:c r="D1517" s="2" t="str">
        <x:v>ac4baf5d317844907005c691f401c42d</x:v>
      </x:c>
      <x:c r="E1517" s="2" t="str">
        <x:v>CHECK_OUT</x:v>
      </x:c>
      <x:c r="F1517" s="8" t="n">
        <x:v>46302.27663194444</x:v>
      </x:c>
      <x:c r="G1517" s="8" t="n">
        <x:v>46302.27665509259</x:v>
      </x:c>
      <x:c r="H1517" s="2" t="str">
        <x:v>SCH01</x:v>
      </x:c>
      <x:c r="I1517" s="9" t="n">
        <x:v>25.285</x:v>
      </x:c>
      <x:c r="J1517" s="9" t="n">
        <x:v>51.51</x:v>
      </x:c>
      <x:c r="K1517" s="2" t="n">
        <x:v>8</x:v>
      </x:c>
      <x:c r="L1517" s="2" t="str">
        <x:v>Valid</x:v>
      </x:c>
      <x:c r="M1517" s="2" t="str">
        <x:v>QR</x:v>
      </x:c>
      <x:c r="N1517" s="2" t="n">
        <x:v>1</x:v>
      </x:c>
      <x:c r="O1517" s="2" t="str">
        <x:v>Accepted</x:v>
      </x:c>
      <x:c r="P1517" s="2" t="str">
        <x:v>S001</x:v>
      </x:c>
      <x:c r="Q1517" s="2" t="str">
        <x:v>DEV001</x:v>
      </x:c>
      <x:c r="R1517" s="2" t="n">
        <x:v>28</x:v>
      </x:c>
      <x:c r="S1517" s="2" t="str">
        <x:v>Online</x:v>
      </x:c>
      <x:c r="T1517" s="2" t="str">
        <x:v>Synced</x:v>
      </x:c>
    </x:row>
    <x:row r="1518" ht="21" customHeight="1">
      <x:c r="A1518" s="2" t="str">
        <x:v>EV001610</x:v>
      </x:c>
      <x:c r="B1518" s="2" t="str">
        <x:v>T20261007-1-2</x:v>
      </x:c>
      <x:c r="C1518" s="2" t="str">
        <x:v>ST048</x:v>
      </x:c>
      <x:c r="D1518" s="2" t="str">
        <x:v>e3a3009a9bd3946e21f417e93203aa79</x:v>
      </x:c>
      <x:c r="E1518" s="2" t="str">
        <x:v>CHECK_OUT</x:v>
      </x:c>
      <x:c r="F1518" s="8" t="n">
        <x:v>46302.27663194444</x:v>
      </x:c>
      <x:c r="G1518" s="8" t="n">
        <x:v>46302.27665509259</x:v>
      </x:c>
      <x:c r="H1518" s="2" t="str">
        <x:v>SCH01</x:v>
      </x:c>
      <x:c r="I1518" s="9" t="n">
        <x:v>25.285</x:v>
      </x:c>
      <x:c r="J1518" s="9" t="n">
        <x:v>51.51</x:v>
      </x:c>
      <x:c r="K1518" s="2" t="n">
        <x:v>8</x:v>
      </x:c>
      <x:c r="L1518" s="2" t="str">
        <x:v>Valid</x:v>
      </x:c>
      <x:c r="M1518" s="2" t="str">
        <x:v>QR</x:v>
      </x:c>
      <x:c r="N1518" s="2" t="n">
        <x:v>1</x:v>
      </x:c>
      <x:c r="O1518" s="2" t="str">
        <x:v>Accepted</x:v>
      </x:c>
      <x:c r="P1518" s="2" t="str">
        <x:v>S002</x:v>
      </x:c>
      <x:c r="Q1518" s="2" t="str">
        <x:v>DEV002</x:v>
      </x:c>
      <x:c r="R1518" s="2" t="n">
        <x:v>28</x:v>
      </x:c>
      <x:c r="S1518" s="2" t="str">
        <x:v>Online</x:v>
      </x:c>
      <x:c r="T1518" s="2" t="str">
        <x:v>Synced</x:v>
      </x:c>
    </x:row>
    <x:row r="1519" ht="21" customHeight="1">
      <x:c r="A1519" s="2" t="str">
        <x:v>EV001770</x:v>
      </x:c>
      <x:c r="B1519" s="2" t="str">
        <x:v>T20261007-1-3</x:v>
      </x:c>
      <x:c r="C1519" s="2" t="str">
        <x:v>ST088</x:v>
      </x:c>
      <x:c r="D1519" s="2" t="str">
        <x:v>b227769e0483e6c28eed8e8d448bfbbe</x:v>
      </x:c>
      <x:c r="E1519" s="2" t="str">
        <x:v>CHECK_OUT</x:v>
      </x:c>
      <x:c r="F1519" s="8" t="n">
        <x:v>46302.27663194444</x:v>
      </x:c>
      <x:c r="G1519" s="8" t="n">
        <x:v>46302.27665509259</x:v>
      </x:c>
      <x:c r="H1519" s="2" t="str">
        <x:v>SCH01</x:v>
      </x:c>
      <x:c r="I1519" s="9" t="n">
        <x:v>25.285</x:v>
      </x:c>
      <x:c r="J1519" s="9" t="n">
        <x:v>51.51</x:v>
      </x:c>
      <x:c r="K1519" s="2" t="n">
        <x:v>8</x:v>
      </x:c>
      <x:c r="L1519" s="2" t="str">
        <x:v>Valid</x:v>
      </x:c>
      <x:c r="M1519" s="2" t="str">
        <x:v>QR</x:v>
      </x:c>
      <x:c r="N1519" s="2" t="n">
        <x:v>1</x:v>
      </x:c>
      <x:c r="O1519" s="2" t="str">
        <x:v>Accepted</x:v>
      </x:c>
      <x:c r="P1519" s="2" t="str">
        <x:v>S003</x:v>
      </x:c>
      <x:c r="Q1519" s="2" t="str">
        <x:v>DEV003</x:v>
      </x:c>
      <x:c r="R1519" s="2" t="n">
        <x:v>28</x:v>
      </x:c>
      <x:c r="S1519" s="2" t="str">
        <x:v>Online</x:v>
      </x:c>
      <x:c r="T1519" s="2" t="str">
        <x:v>Synced</x:v>
      </x:c>
    </x:row>
    <x:row r="1520" ht="21" customHeight="1">
      <x:c r="A1520" s="2" t="str">
        <x:v>EV001452</x:v>
      </x:c>
      <x:c r="B1520" s="2" t="str">
        <x:v>T20261007-1-1</x:v>
      </x:c>
      <x:c r="C1520" s="2" t="str">
        <x:v>ST009</x:v>
      </x:c>
      <x:c r="D1520" s="2" t="str">
        <x:v>fdc849f07f4ba12ab82f6bed87d7275d</x:v>
      </x:c>
      <x:c r="E1520" s="2" t="str">
        <x:v>CHECK_OUT</x:v>
      </x:c>
      <x:c r="F1520" s="8" t="n">
        <x:v>46302.276666666665</x:v>
      </x:c>
      <x:c r="G1520" s="8" t="n">
        <x:v>46302.27668981481</x:v>
      </x:c>
      <x:c r="H1520" s="2" t="str">
        <x:v>SCH01</x:v>
      </x:c>
      <x:c r="I1520" s="9" t="n">
        <x:v>25.285</x:v>
      </x:c>
      <x:c r="J1520" s="9" t="n">
        <x:v>51.51</x:v>
      </x:c>
      <x:c r="K1520" s="2" t="n">
        <x:v>8</x:v>
      </x:c>
      <x:c r="L1520" s="2" t="str">
        <x:v>Valid</x:v>
      </x:c>
      <x:c r="M1520" s="2" t="str">
        <x:v>QR</x:v>
      </x:c>
      <x:c r="N1520" s="2" t="n">
        <x:v>1</x:v>
      </x:c>
      <x:c r="O1520" s="2" t="str">
        <x:v>Accepted</x:v>
      </x:c>
      <x:c r="P1520" s="2" t="str">
        <x:v>S001</x:v>
      </x:c>
      <x:c r="Q1520" s="2" t="str">
        <x:v>DEV001</x:v>
      </x:c>
      <x:c r="R1520" s="2" t="n">
        <x:v>29</x:v>
      </x:c>
      <x:c r="S1520" s="2" t="str">
        <x:v>Online</x:v>
      </x:c>
      <x:c r="T1520" s="2" t="str">
        <x:v>Synced</x:v>
      </x:c>
    </x:row>
    <x:row r="1521" ht="21" customHeight="1">
      <x:c r="A1521" s="2" t="str">
        <x:v>EV001612</x:v>
      </x:c>
      <x:c r="B1521" s="2" t="str">
        <x:v>T20261007-1-2</x:v>
      </x:c>
      <x:c r="C1521" s="2" t="str">
        <x:v>ST049</x:v>
      </x:c>
      <x:c r="D1521" s="2" t="str">
        <x:v>aac0da9ca028b4b4fe1fc2c1eb298502</x:v>
      </x:c>
      <x:c r="E1521" s="2" t="str">
        <x:v>CHECK_OUT</x:v>
      </x:c>
      <x:c r="F1521" s="8" t="n">
        <x:v>46302.276666666665</x:v>
      </x:c>
      <x:c r="G1521" s="8" t="n">
        <x:v>46302.27668981481</x:v>
      </x:c>
      <x:c r="H1521" s="2" t="str">
        <x:v>SCH01</x:v>
      </x:c>
      <x:c r="I1521" s="9" t="n">
        <x:v>25.285</x:v>
      </x:c>
      <x:c r="J1521" s="9" t="n">
        <x:v>51.51</x:v>
      </x:c>
      <x:c r="K1521" s="2" t="n">
        <x:v>8</x:v>
      </x:c>
      <x:c r="L1521" s="2" t="str">
        <x:v>Valid</x:v>
      </x:c>
      <x:c r="M1521" s="2" t="str">
        <x:v>QR</x:v>
      </x:c>
      <x:c r="N1521" s="2" t="n">
        <x:v>1</x:v>
      </x:c>
      <x:c r="O1521" s="2" t="str">
        <x:v>Accepted</x:v>
      </x:c>
      <x:c r="P1521" s="2" t="str">
        <x:v>S002</x:v>
      </x:c>
      <x:c r="Q1521" s="2" t="str">
        <x:v>DEV002</x:v>
      </x:c>
      <x:c r="R1521" s="2" t="n">
        <x:v>29</x:v>
      </x:c>
      <x:c r="S1521" s="2" t="str">
        <x:v>Online</x:v>
      </x:c>
      <x:c r="T1521" s="2" t="str">
        <x:v>Synced</x:v>
      </x:c>
    </x:row>
    <x:row r="1522" ht="21" customHeight="1">
      <x:c r="A1522" s="2" t="str">
        <x:v>EV001772</x:v>
      </x:c>
      <x:c r="B1522" s="2" t="str">
        <x:v>T20261007-1-3</x:v>
      </x:c>
      <x:c r="C1522" s="2" t="str">
        <x:v>ST089</x:v>
      </x:c>
      <x:c r="D1522" s="2" t="str">
        <x:v>0bd697ec3f7c09918d8dd004b5340b03</x:v>
      </x:c>
      <x:c r="E1522" s="2" t="str">
        <x:v>CHECK_OUT</x:v>
      </x:c>
      <x:c r="F1522" s="8" t="n">
        <x:v>46302.276666666665</x:v>
      </x:c>
      <x:c r="G1522" s="8" t="n">
        <x:v>46302.27668981481</x:v>
      </x:c>
      <x:c r="H1522" s="2" t="str">
        <x:v>SCH01</x:v>
      </x:c>
      <x:c r="I1522" s="9" t="n">
        <x:v>25.285</x:v>
      </x:c>
      <x:c r="J1522" s="9" t="n">
        <x:v>51.51</x:v>
      </x:c>
      <x:c r="K1522" s="2" t="n">
        <x:v>8</x:v>
      </x:c>
      <x:c r="L1522" s="2" t="str">
        <x:v>Valid</x:v>
      </x:c>
      <x:c r="M1522" s="2" t="str">
        <x:v>QR</x:v>
      </x:c>
      <x:c r="N1522" s="2" t="n">
        <x:v>1</x:v>
      </x:c>
      <x:c r="O1522" s="2" t="str">
        <x:v>Accepted</x:v>
      </x:c>
      <x:c r="P1522" s="2" t="str">
        <x:v>S003</x:v>
      </x:c>
      <x:c r="Q1522" s="2" t="str">
        <x:v>DEV003</x:v>
      </x:c>
      <x:c r="R1522" s="2" t="n">
        <x:v>29</x:v>
      </x:c>
      <x:c r="S1522" s="2" t="str">
        <x:v>Online</x:v>
      </x:c>
      <x:c r="T1522" s="2" t="str">
        <x:v>Synced</x:v>
      </x:c>
    </x:row>
    <x:row r="1523" ht="21" customHeight="1">
      <x:c r="A1523" s="2" t="str">
        <x:v>EV001454</x:v>
      </x:c>
      <x:c r="B1523" s="2" t="str">
        <x:v>T20261007-1-1</x:v>
      </x:c>
      <x:c r="C1523" s="2" t="str">
        <x:v>ST010</x:v>
      </x:c>
      <x:c r="D1523" s="2" t="str">
        <x:v>df6521f6838e149b7b1f3fd27dcbf586</x:v>
      </x:c>
      <x:c r="E1523" s="2" t="str">
        <x:v>CHECK_OUT</x:v>
      </x:c>
      <x:c r="F1523" s="8" t="n">
        <x:v>46302.27670138889</x:v>
      </x:c>
      <x:c r="G1523" s="8" t="n">
        <x:v>46302.276724537034</x:v>
      </x:c>
      <x:c r="H1523" s="2" t="str">
        <x:v>SCH01</x:v>
      </x:c>
      <x:c r="I1523" s="9" t="n">
        <x:v>25.285</x:v>
      </x:c>
      <x:c r="J1523" s="9" t="n">
        <x:v>51.51</x:v>
      </x:c>
      <x:c r="K1523" s="2" t="n">
        <x:v>8</x:v>
      </x:c>
      <x:c r="L1523" s="2" t="str">
        <x:v>Valid</x:v>
      </x:c>
      <x:c r="M1523" s="2" t="str">
        <x:v>QR</x:v>
      </x:c>
      <x:c r="N1523" s="2" t="n">
        <x:v>1</x:v>
      </x:c>
      <x:c r="O1523" s="2" t="str">
        <x:v>Accepted</x:v>
      </x:c>
      <x:c r="P1523" s="2" t="str">
        <x:v>S001</x:v>
      </x:c>
      <x:c r="Q1523" s="2" t="str">
        <x:v>DEV001</x:v>
      </x:c>
      <x:c r="R1523" s="2" t="n">
        <x:v>30</x:v>
      </x:c>
      <x:c r="S1523" s="2" t="str">
        <x:v>Online</x:v>
      </x:c>
      <x:c r="T1523" s="2" t="str">
        <x:v>Synced</x:v>
      </x:c>
    </x:row>
    <x:row r="1524" ht="21" customHeight="1">
      <x:c r="A1524" s="2" t="str">
        <x:v>EV001614</x:v>
      </x:c>
      <x:c r="B1524" s="2" t="str">
        <x:v>T20261007-1-2</x:v>
      </x:c>
      <x:c r="C1524" s="2" t="str">
        <x:v>ST050</x:v>
      </x:c>
      <x:c r="D1524" s="2" t="str">
        <x:v>ca49474881a6395691ac81bd08684ed6</x:v>
      </x:c>
      <x:c r="E1524" s="2" t="str">
        <x:v>CHECK_OUT</x:v>
      </x:c>
      <x:c r="F1524" s="8" t="n">
        <x:v>46302.27670138889</x:v>
      </x:c>
      <x:c r="G1524" s="8" t="n">
        <x:v>46302.276724537034</x:v>
      </x:c>
      <x:c r="H1524" s="2" t="str">
        <x:v>SCH01</x:v>
      </x:c>
      <x:c r="I1524" s="9" t="n">
        <x:v>25.285</x:v>
      </x:c>
      <x:c r="J1524" s="9" t="n">
        <x:v>51.51</x:v>
      </x:c>
      <x:c r="K1524" s="2" t="n">
        <x:v>8</x:v>
      </x:c>
      <x:c r="L1524" s="2" t="str">
        <x:v>Valid</x:v>
      </x:c>
      <x:c r="M1524" s="2" t="str">
        <x:v>QR</x:v>
      </x:c>
      <x:c r="N1524" s="2" t="n">
        <x:v>1</x:v>
      </x:c>
      <x:c r="O1524" s="2" t="str">
        <x:v>Accepted</x:v>
      </x:c>
      <x:c r="P1524" s="2" t="str">
        <x:v>S002</x:v>
      </x:c>
      <x:c r="Q1524" s="2" t="str">
        <x:v>DEV002</x:v>
      </x:c>
      <x:c r="R1524" s="2" t="n">
        <x:v>30</x:v>
      </x:c>
      <x:c r="S1524" s="2" t="str">
        <x:v>Online</x:v>
      </x:c>
      <x:c r="T1524" s="2" t="str">
        <x:v>Synced</x:v>
      </x:c>
    </x:row>
    <x:row r="1525" ht="21" customHeight="1">
      <x:c r="A1525" s="2" t="str">
        <x:v>EV001774</x:v>
      </x:c>
      <x:c r="B1525" s="2" t="str">
        <x:v>T20261007-1-3</x:v>
      </x:c>
      <x:c r="C1525" s="2" t="str">
        <x:v>ST090</x:v>
      </x:c>
      <x:c r="D1525" s="2" t="str">
        <x:v>3b91252475551a374010825e1f05642c</x:v>
      </x:c>
      <x:c r="E1525" s="2" t="str">
        <x:v>CHECK_OUT</x:v>
      </x:c>
      <x:c r="F1525" s="8" t="n">
        <x:v>46302.27670138889</x:v>
      </x:c>
      <x:c r="G1525" s="8" t="n">
        <x:v>46302.276724537034</x:v>
      </x:c>
      <x:c r="H1525" s="2" t="str">
        <x:v>SCH01</x:v>
      </x:c>
      <x:c r="I1525" s="9" t="n">
        <x:v>25.285</x:v>
      </x:c>
      <x:c r="J1525" s="9" t="n">
        <x:v>51.51</x:v>
      </x:c>
      <x:c r="K1525" s="2" t="n">
        <x:v>8</x:v>
      </x:c>
      <x:c r="L1525" s="2" t="str">
        <x:v>Valid</x:v>
      </x:c>
      <x:c r="M1525" s="2" t="str">
        <x:v>QR</x:v>
      </x:c>
      <x:c r="N1525" s="2" t="n">
        <x:v>1</x:v>
      </x:c>
      <x:c r="O1525" s="2" t="str">
        <x:v>Accepted</x:v>
      </x:c>
      <x:c r="P1525" s="2" t="str">
        <x:v>S003</x:v>
      </x:c>
      <x:c r="Q1525" s="2" t="str">
        <x:v>DEV003</x:v>
      </x:c>
      <x:c r="R1525" s="2" t="n">
        <x:v>30</x:v>
      </x:c>
      <x:c r="S1525" s="2" t="str">
        <x:v>Online</x:v>
      </x:c>
      <x:c r="T1525" s="2" t="str">
        <x:v>Synced</x:v>
      </x:c>
    </x:row>
    <x:row r="1526" ht="21" customHeight="1">
      <x:c r="A1526" s="2" t="str">
        <x:v>EV001456</x:v>
      </x:c>
      <x:c r="B1526" s="2" t="str">
        <x:v>T20261007-1-1</x:v>
      </x:c>
      <x:c r="C1526" s="2" t="str">
        <x:v>ST011</x:v>
      </x:c>
      <x:c r="D1526" s="2" t="str">
        <x:v>38c917effc7ec45ac750455eb7892f3e</x:v>
      </x:c>
      <x:c r="E1526" s="2" t="str">
        <x:v>CHECK_OUT</x:v>
      </x:c>
      <x:c r="F1526" s="8" t="n">
        <x:v>46302.27673611111</x:v>
      </x:c>
      <x:c r="G1526" s="8" t="n">
        <x:v>46302.27675925926</x:v>
      </x:c>
      <x:c r="H1526" s="2" t="str">
        <x:v>SCH01</x:v>
      </x:c>
      <x:c r="I1526" s="9" t="n">
        <x:v>25.285</x:v>
      </x:c>
      <x:c r="J1526" s="9" t="n">
        <x:v>51.51</x:v>
      </x:c>
      <x:c r="K1526" s="2" t="n">
        <x:v>8</x:v>
      </x:c>
      <x:c r="L1526" s="2" t="str">
        <x:v>Valid</x:v>
      </x:c>
      <x:c r="M1526" s="2" t="str">
        <x:v>QR</x:v>
      </x:c>
      <x:c r="N1526" s="2" t="n">
        <x:v>1</x:v>
      </x:c>
      <x:c r="O1526" s="2" t="str">
        <x:v>Accepted</x:v>
      </x:c>
      <x:c r="P1526" s="2" t="str">
        <x:v>S001</x:v>
      </x:c>
      <x:c r="Q1526" s="2" t="str">
        <x:v>DEV001</x:v>
      </x:c>
      <x:c r="R1526" s="2" t="n">
        <x:v>31</x:v>
      </x:c>
      <x:c r="S1526" s="2" t="str">
        <x:v>Online</x:v>
      </x:c>
      <x:c r="T1526" s="2" t="str">
        <x:v>Synced</x:v>
      </x:c>
    </x:row>
    <x:row r="1527" ht="21" customHeight="1">
      <x:c r="A1527" s="2" t="str">
        <x:v>EV001616</x:v>
      </x:c>
      <x:c r="B1527" s="2" t="str">
        <x:v>T20261007-1-2</x:v>
      </x:c>
      <x:c r="C1527" s="2" t="str">
        <x:v>ST051</x:v>
      </x:c>
      <x:c r="D1527" s="2" t="str">
        <x:v>410a66d29aea7be5806f7d6945266303</x:v>
      </x:c>
      <x:c r="E1527" s="2" t="str">
        <x:v>CHECK_OUT</x:v>
      </x:c>
      <x:c r="F1527" s="8" t="n">
        <x:v>46302.27673611111</x:v>
      </x:c>
      <x:c r="G1527" s="8" t="n">
        <x:v>46302.27675925926</x:v>
      </x:c>
      <x:c r="H1527" s="2" t="str">
        <x:v>SCH01</x:v>
      </x:c>
      <x:c r="I1527" s="9" t="n">
        <x:v>25.285</x:v>
      </x:c>
      <x:c r="J1527" s="9" t="n">
        <x:v>51.51</x:v>
      </x:c>
      <x:c r="K1527" s="2" t="n">
        <x:v>8</x:v>
      </x:c>
      <x:c r="L1527" s="2" t="str">
        <x:v>Valid</x:v>
      </x:c>
      <x:c r="M1527" s="2" t="str">
        <x:v>QR</x:v>
      </x:c>
      <x:c r="N1527" s="2" t="n">
        <x:v>1</x:v>
      </x:c>
      <x:c r="O1527" s="2" t="str">
        <x:v>Accepted</x:v>
      </x:c>
      <x:c r="P1527" s="2" t="str">
        <x:v>S002</x:v>
      </x:c>
      <x:c r="Q1527" s="2" t="str">
        <x:v>DEV002</x:v>
      </x:c>
      <x:c r="R1527" s="2" t="n">
        <x:v>31</x:v>
      </x:c>
      <x:c r="S1527" s="2" t="str">
        <x:v>Online</x:v>
      </x:c>
      <x:c r="T1527" s="2" t="str">
        <x:v>Synced</x:v>
      </x:c>
    </x:row>
    <x:row r="1528" ht="21" customHeight="1">
      <x:c r="A1528" s="2" t="str">
        <x:v>EV001776</x:v>
      </x:c>
      <x:c r="B1528" s="2" t="str">
        <x:v>T20261007-1-3</x:v>
      </x:c>
      <x:c r="C1528" s="2" t="str">
        <x:v>ST091</x:v>
      </x:c>
      <x:c r="D1528" s="2" t="str">
        <x:v>2d74afc7329a1eb53bd16a92fc366891</x:v>
      </x:c>
      <x:c r="E1528" s="2" t="str">
        <x:v>CHECK_OUT</x:v>
      </x:c>
      <x:c r="F1528" s="8" t="n">
        <x:v>46302.27673611111</x:v>
      </x:c>
      <x:c r="G1528" s="8" t="n">
        <x:v>46302.27675925926</x:v>
      </x:c>
      <x:c r="H1528" s="2" t="str">
        <x:v>SCH01</x:v>
      </x:c>
      <x:c r="I1528" s="9" t="n">
        <x:v>25.285</x:v>
      </x:c>
      <x:c r="J1528" s="9" t="n">
        <x:v>51.51</x:v>
      </x:c>
      <x:c r="K1528" s="2" t="n">
        <x:v>8</x:v>
      </x:c>
      <x:c r="L1528" s="2" t="str">
        <x:v>Valid</x:v>
      </x:c>
      <x:c r="M1528" s="2" t="str">
        <x:v>QR</x:v>
      </x:c>
      <x:c r="N1528" s="2" t="n">
        <x:v>1</x:v>
      </x:c>
      <x:c r="O1528" s="2" t="str">
        <x:v>Accepted</x:v>
      </x:c>
      <x:c r="P1528" s="2" t="str">
        <x:v>S003</x:v>
      </x:c>
      <x:c r="Q1528" s="2" t="str">
        <x:v>DEV003</x:v>
      </x:c>
      <x:c r="R1528" s="2" t="n">
        <x:v>31</x:v>
      </x:c>
      <x:c r="S1528" s="2" t="str">
        <x:v>Online</x:v>
      </x:c>
      <x:c r="T1528" s="2" t="str">
        <x:v>Synced</x:v>
      </x:c>
    </x:row>
    <x:row r="1529" ht="21" customHeight="1">
      <x:c r="A1529" s="2" t="str">
        <x:v>EV001458</x:v>
      </x:c>
      <x:c r="B1529" s="2" t="str">
        <x:v>T20261007-1-1</x:v>
      </x:c>
      <x:c r="C1529" s="2" t="str">
        <x:v>ST012</x:v>
      </x:c>
      <x:c r="D1529" s="2" t="str">
        <x:v>8d45a06a93234042b630e18d7821ea23</x:v>
      </x:c>
      <x:c r="E1529" s="2" t="str">
        <x:v>CHECK_OUT</x:v>
      </x:c>
      <x:c r="F1529" s="8" t="n">
        <x:v>46302.276770833334</x:v>
      </x:c>
      <x:c r="G1529" s="8" t="n">
        <x:v>46302.27679398148</x:v>
      </x:c>
      <x:c r="H1529" s="2" t="str">
        <x:v>SCH01</x:v>
      </x:c>
      <x:c r="I1529" s="9" t="n">
        <x:v>25.285</x:v>
      </x:c>
      <x:c r="J1529" s="9" t="n">
        <x:v>51.51</x:v>
      </x:c>
      <x:c r="K1529" s="2" t="n">
        <x:v>8</x:v>
      </x:c>
      <x:c r="L1529" s="2" t="str">
        <x:v>Valid</x:v>
      </x:c>
      <x:c r="M1529" s="2" t="str">
        <x:v>QR</x:v>
      </x:c>
      <x:c r="N1529" s="2" t="n">
        <x:v>1</x:v>
      </x:c>
      <x:c r="O1529" s="2" t="str">
        <x:v>Accepted</x:v>
      </x:c>
      <x:c r="P1529" s="2" t="str">
        <x:v>S001</x:v>
      </x:c>
      <x:c r="Q1529" s="2" t="str">
        <x:v>DEV001</x:v>
      </x:c>
      <x:c r="R1529" s="2" t="n">
        <x:v>32</x:v>
      </x:c>
      <x:c r="S1529" s="2" t="str">
        <x:v>Online</x:v>
      </x:c>
      <x:c r="T1529" s="2" t="str">
        <x:v>Synced</x:v>
      </x:c>
    </x:row>
    <x:row r="1530" ht="21" customHeight="1">
      <x:c r="A1530" s="2" t="str">
        <x:v>EV001618</x:v>
      </x:c>
      <x:c r="B1530" s="2" t="str">
        <x:v>T20261007-1-2</x:v>
      </x:c>
      <x:c r="C1530" s="2" t="str">
        <x:v>ST052</x:v>
      </x:c>
      <x:c r="D1530" s="2" t="str">
        <x:v>0c1c5957fe0604ae228ff5e1e1a785bc</x:v>
      </x:c>
      <x:c r="E1530" s="2" t="str">
        <x:v>CHECK_OUT</x:v>
      </x:c>
      <x:c r="F1530" s="8" t="n">
        <x:v>46302.276770833334</x:v>
      </x:c>
      <x:c r="G1530" s="8" t="n">
        <x:v>46302.27679398148</x:v>
      </x:c>
      <x:c r="H1530" s="2" t="str">
        <x:v>SCH01</x:v>
      </x:c>
      <x:c r="I1530" s="9" t="n">
        <x:v>25.285</x:v>
      </x:c>
      <x:c r="J1530" s="9" t="n">
        <x:v>51.51</x:v>
      </x:c>
      <x:c r="K1530" s="2" t="n">
        <x:v>8</x:v>
      </x:c>
      <x:c r="L1530" s="2" t="str">
        <x:v>Valid</x:v>
      </x:c>
      <x:c r="M1530" s="2" t="str">
        <x:v>QR</x:v>
      </x:c>
      <x:c r="N1530" s="2" t="n">
        <x:v>1</x:v>
      </x:c>
      <x:c r="O1530" s="2" t="str">
        <x:v>Accepted</x:v>
      </x:c>
      <x:c r="P1530" s="2" t="str">
        <x:v>S002</x:v>
      </x:c>
      <x:c r="Q1530" s="2" t="str">
        <x:v>DEV002</x:v>
      </x:c>
      <x:c r="R1530" s="2" t="n">
        <x:v>32</x:v>
      </x:c>
      <x:c r="S1530" s="2" t="str">
        <x:v>Online</x:v>
      </x:c>
      <x:c r="T1530" s="2" t="str">
        <x:v>Synced</x:v>
      </x:c>
    </x:row>
    <x:row r="1531" ht="21" customHeight="1">
      <x:c r="A1531" s="2" t="str">
        <x:v>EV001778</x:v>
      </x:c>
      <x:c r="B1531" s="2" t="str">
        <x:v>T20261007-1-3</x:v>
      </x:c>
      <x:c r="C1531" s="2" t="str">
        <x:v>ST092</x:v>
      </x:c>
      <x:c r="D1531" s="2" t="str">
        <x:v>e83e93b137787f284ae9574a02ff0cc7</x:v>
      </x:c>
      <x:c r="E1531" s="2" t="str">
        <x:v>CHECK_OUT</x:v>
      </x:c>
      <x:c r="F1531" s="8" t="n">
        <x:v>46302.276770833334</x:v>
      </x:c>
      <x:c r="G1531" s="8" t="n">
        <x:v>46302.27679398148</x:v>
      </x:c>
      <x:c r="H1531" s="2" t="str">
        <x:v>SCH01</x:v>
      </x:c>
      <x:c r="I1531" s="9" t="n">
        <x:v>25.285</x:v>
      </x:c>
      <x:c r="J1531" s="9" t="n">
        <x:v>51.51</x:v>
      </x:c>
      <x:c r="K1531" s="2" t="n">
        <x:v>8</x:v>
      </x:c>
      <x:c r="L1531" s="2" t="str">
        <x:v>Valid</x:v>
      </x:c>
      <x:c r="M1531" s="2" t="str">
        <x:v>QR</x:v>
      </x:c>
      <x:c r="N1531" s="2" t="n">
        <x:v>1</x:v>
      </x:c>
      <x:c r="O1531" s="2" t="str">
        <x:v>Accepted</x:v>
      </x:c>
      <x:c r="P1531" s="2" t="str">
        <x:v>S003</x:v>
      </x:c>
      <x:c r="Q1531" s="2" t="str">
        <x:v>DEV003</x:v>
      </x:c>
      <x:c r="R1531" s="2" t="n">
        <x:v>32</x:v>
      </x:c>
      <x:c r="S1531" s="2" t="str">
        <x:v>Online</x:v>
      </x:c>
      <x:c r="T1531" s="2" t="str">
        <x:v>Synced</x:v>
      </x:c>
    </x:row>
    <x:row r="1532" ht="21" customHeight="1">
      <x:c r="A1532" s="2" t="str">
        <x:v>EV001460</x:v>
      </x:c>
      <x:c r="B1532" s="2" t="str">
        <x:v>T20261007-1-1</x:v>
      </x:c>
      <x:c r="C1532" s="2" t="str">
        <x:v>ST013</x:v>
      </x:c>
      <x:c r="D1532" s="2" t="str">
        <x:v>ddc4bbe364f02f5a2177795c49ea7ba9</x:v>
      </x:c>
      <x:c r="E1532" s="2" t="str">
        <x:v>CHECK_OUT</x:v>
      </x:c>
      <x:c r="F1532" s="8" t="n">
        <x:v>46302.27680555556</x:v>
      </x:c>
      <x:c r="G1532" s="8" t="n">
        <x:v>46302.2768287037</x:v>
      </x:c>
      <x:c r="H1532" s="2" t="str">
        <x:v>SCH01</x:v>
      </x:c>
      <x:c r="I1532" s="9" t="n">
        <x:v>25.285</x:v>
      </x:c>
      <x:c r="J1532" s="9" t="n">
        <x:v>51.51</x:v>
      </x:c>
      <x:c r="K1532" s="2" t="n">
        <x:v>8</x:v>
      </x:c>
      <x:c r="L1532" s="2" t="str">
        <x:v>Valid</x:v>
      </x:c>
      <x:c r="M1532" s="2" t="str">
        <x:v>QR</x:v>
      </x:c>
      <x:c r="N1532" s="2" t="n">
        <x:v>1</x:v>
      </x:c>
      <x:c r="O1532" s="2" t="str">
        <x:v>Accepted</x:v>
      </x:c>
      <x:c r="P1532" s="2" t="str">
        <x:v>S001</x:v>
      </x:c>
      <x:c r="Q1532" s="2" t="str">
        <x:v>DEV001</x:v>
      </x:c>
      <x:c r="R1532" s="2" t="n">
        <x:v>33</x:v>
      </x:c>
      <x:c r="S1532" s="2" t="str">
        <x:v>Online</x:v>
      </x:c>
      <x:c r="T1532" s="2" t="str">
        <x:v>Synced</x:v>
      </x:c>
    </x:row>
    <x:row r="1533" ht="21" customHeight="1">
      <x:c r="A1533" s="2" t="str">
        <x:v>EV001620</x:v>
      </x:c>
      <x:c r="B1533" s="2" t="str">
        <x:v>T20261007-1-2</x:v>
      </x:c>
      <x:c r="C1533" s="2" t="str">
        <x:v>ST053</x:v>
      </x:c>
      <x:c r="D1533" s="2" t="str">
        <x:v>e476277c519e294480cfa14a37e177a0</x:v>
      </x:c>
      <x:c r="E1533" s="2" t="str">
        <x:v>CHECK_OUT</x:v>
      </x:c>
      <x:c r="F1533" s="8" t="n">
        <x:v>46302.27680555556</x:v>
      </x:c>
      <x:c r="G1533" s="8" t="n">
        <x:v>46302.2768287037</x:v>
      </x:c>
      <x:c r="H1533" s="2" t="str">
        <x:v>SCH01</x:v>
      </x:c>
      <x:c r="I1533" s="9" t="n">
        <x:v>25.285</x:v>
      </x:c>
      <x:c r="J1533" s="9" t="n">
        <x:v>51.51</x:v>
      </x:c>
      <x:c r="K1533" s="2" t="n">
        <x:v>8</x:v>
      </x:c>
      <x:c r="L1533" s="2" t="str">
        <x:v>Valid</x:v>
      </x:c>
      <x:c r="M1533" s="2" t="str">
        <x:v>QR</x:v>
      </x:c>
      <x:c r="N1533" s="2" t="n">
        <x:v>1</x:v>
      </x:c>
      <x:c r="O1533" s="2" t="str">
        <x:v>Accepted</x:v>
      </x:c>
      <x:c r="P1533" s="2" t="str">
        <x:v>S002</x:v>
      </x:c>
      <x:c r="Q1533" s="2" t="str">
        <x:v>DEV002</x:v>
      </x:c>
      <x:c r="R1533" s="2" t="n">
        <x:v>33</x:v>
      </x:c>
      <x:c r="S1533" s="2" t="str">
        <x:v>Online</x:v>
      </x:c>
      <x:c r="T1533" s="2" t="str">
        <x:v>Synced</x:v>
      </x:c>
    </x:row>
    <x:row r="1534" ht="21" customHeight="1">
      <x:c r="A1534" s="2" t="str">
        <x:v>EV001780</x:v>
      </x:c>
      <x:c r="B1534" s="2" t="str">
        <x:v>T20261007-1-3</x:v>
      </x:c>
      <x:c r="C1534" s="2" t="str">
        <x:v>ST093</x:v>
      </x:c>
      <x:c r="D1534" s="2" t="str">
        <x:v>e69cdca4f10e82426e9a3098f4672791</x:v>
      </x:c>
      <x:c r="E1534" s="2" t="str">
        <x:v>CHECK_OUT</x:v>
      </x:c>
      <x:c r="F1534" s="8" t="n">
        <x:v>46302.27680555556</x:v>
      </x:c>
      <x:c r="G1534" s="8" t="n">
        <x:v>46302.2768287037</x:v>
      </x:c>
      <x:c r="H1534" s="2" t="str">
        <x:v>SCH01</x:v>
      </x:c>
      <x:c r="I1534" s="9" t="n">
        <x:v>25.285</x:v>
      </x:c>
      <x:c r="J1534" s="9" t="n">
        <x:v>51.51</x:v>
      </x:c>
      <x:c r="K1534" s="2" t="n">
        <x:v>8</x:v>
      </x:c>
      <x:c r="L1534" s="2" t="str">
        <x:v>Valid</x:v>
      </x:c>
      <x:c r="M1534" s="2" t="str">
        <x:v>QR</x:v>
      </x:c>
      <x:c r="N1534" s="2" t="n">
        <x:v>1</x:v>
      </x:c>
      <x:c r="O1534" s="2" t="str">
        <x:v>Accepted</x:v>
      </x:c>
      <x:c r="P1534" s="2" t="str">
        <x:v>S003</x:v>
      </x:c>
      <x:c r="Q1534" s="2" t="str">
        <x:v>DEV003</x:v>
      </x:c>
      <x:c r="R1534" s="2" t="n">
        <x:v>33</x:v>
      </x:c>
      <x:c r="S1534" s="2" t="str">
        <x:v>Online</x:v>
      </x:c>
      <x:c r="T1534" s="2" t="str">
        <x:v>Synced</x:v>
      </x:c>
    </x:row>
    <x:row r="1535" ht="21" customHeight="1">
      <x:c r="A1535" s="2" t="str">
        <x:v>EV001462</x:v>
      </x:c>
      <x:c r="B1535" s="2" t="str">
        <x:v>T20261007-1-1</x:v>
      </x:c>
      <x:c r="C1535" s="2" t="str">
        <x:v>ST014</x:v>
      </x:c>
      <x:c r="D1535" s="2" t="str">
        <x:v>6ea4b25306143e251962ae19fa8ee7af</x:v>
      </x:c>
      <x:c r="E1535" s="2" t="str">
        <x:v>CHECK_OUT</x:v>
      </x:c>
      <x:c r="F1535" s="8" t="n">
        <x:v>46302.27684027777</x:v>
      </x:c>
      <x:c r="G1535" s="8" t="n">
        <x:v>46302.27686342592</x:v>
      </x:c>
      <x:c r="H1535" s="2" t="str">
        <x:v>SCH01</x:v>
      </x:c>
      <x:c r="I1535" s="9" t="n">
        <x:v>25.285</x:v>
      </x:c>
      <x:c r="J1535" s="9" t="n">
        <x:v>51.51</x:v>
      </x:c>
      <x:c r="K1535" s="2" t="n">
        <x:v>8</x:v>
      </x:c>
      <x:c r="L1535" s="2" t="str">
        <x:v>Valid</x:v>
      </x:c>
      <x:c r="M1535" s="2" t="str">
        <x:v>QR</x:v>
      </x:c>
      <x:c r="N1535" s="2" t="n">
        <x:v>1</x:v>
      </x:c>
      <x:c r="O1535" s="2" t="str">
        <x:v>Accepted</x:v>
      </x:c>
      <x:c r="P1535" s="2" t="str">
        <x:v>S001</x:v>
      </x:c>
      <x:c r="Q1535" s="2" t="str">
        <x:v>DEV001</x:v>
      </x:c>
      <x:c r="R1535" s="2" t="n">
        <x:v>34</x:v>
      </x:c>
      <x:c r="S1535" s="2" t="str">
        <x:v>Online</x:v>
      </x:c>
      <x:c r="T1535" s="2" t="str">
        <x:v>Synced</x:v>
      </x:c>
    </x:row>
    <x:row r="1536" ht="21" customHeight="1">
      <x:c r="A1536" s="2" t="str">
        <x:v>EV001622</x:v>
      </x:c>
      <x:c r="B1536" s="2" t="str">
        <x:v>T20261007-1-2</x:v>
      </x:c>
      <x:c r="C1536" s="2" t="str">
        <x:v>ST054</x:v>
      </x:c>
      <x:c r="D1536" s="2" t="str">
        <x:v>1c9a916db52e081aeb59bc928cb914dd</x:v>
      </x:c>
      <x:c r="E1536" s="2" t="str">
        <x:v>CHECK_OUT</x:v>
      </x:c>
      <x:c r="F1536" s="8" t="n">
        <x:v>46302.27684027777</x:v>
      </x:c>
      <x:c r="G1536" s="8" t="n">
        <x:v>46302.27686342592</x:v>
      </x:c>
      <x:c r="H1536" s="2" t="str">
        <x:v>SCH01</x:v>
      </x:c>
      <x:c r="I1536" s="9" t="n">
        <x:v>25.285</x:v>
      </x:c>
      <x:c r="J1536" s="9" t="n">
        <x:v>51.51</x:v>
      </x:c>
      <x:c r="K1536" s="2" t="n">
        <x:v>8</x:v>
      </x:c>
      <x:c r="L1536" s="2" t="str">
        <x:v>Valid</x:v>
      </x:c>
      <x:c r="M1536" s="2" t="str">
        <x:v>QR</x:v>
      </x:c>
      <x:c r="N1536" s="2" t="n">
        <x:v>1</x:v>
      </x:c>
      <x:c r="O1536" s="2" t="str">
        <x:v>Accepted</x:v>
      </x:c>
      <x:c r="P1536" s="2" t="str">
        <x:v>S002</x:v>
      </x:c>
      <x:c r="Q1536" s="2" t="str">
        <x:v>DEV002</x:v>
      </x:c>
      <x:c r="R1536" s="2" t="n">
        <x:v>34</x:v>
      </x:c>
      <x:c r="S1536" s="2" t="str">
        <x:v>Online</x:v>
      </x:c>
      <x:c r="T1536" s="2" t="str">
        <x:v>Synced</x:v>
      </x:c>
    </x:row>
    <x:row r="1537" ht="21" customHeight="1">
      <x:c r="A1537" s="2" t="str">
        <x:v>EV001782</x:v>
      </x:c>
      <x:c r="B1537" s="2" t="str">
        <x:v>T20261007-1-3</x:v>
      </x:c>
      <x:c r="C1537" s="2" t="str">
        <x:v>ST094</x:v>
      </x:c>
      <x:c r="D1537" s="2" t="str">
        <x:v>b6fd37c188877a378c496dccb3132cf2</x:v>
      </x:c>
      <x:c r="E1537" s="2" t="str">
        <x:v>CHECK_OUT</x:v>
      </x:c>
      <x:c r="F1537" s="8" t="n">
        <x:v>46302.27684027777</x:v>
      </x:c>
      <x:c r="G1537" s="8" t="n">
        <x:v>46302.27686342592</x:v>
      </x:c>
      <x:c r="H1537" s="2" t="str">
        <x:v>SCH01</x:v>
      </x:c>
      <x:c r="I1537" s="9" t="n">
        <x:v>25.285</x:v>
      </x:c>
      <x:c r="J1537" s="9" t="n">
        <x:v>51.51</x:v>
      </x:c>
      <x:c r="K1537" s="2" t="n">
        <x:v>8</x:v>
      </x:c>
      <x:c r="L1537" s="2" t="str">
        <x:v>Valid</x:v>
      </x:c>
      <x:c r="M1537" s="2" t="str">
        <x:v>QR</x:v>
      </x:c>
      <x:c r="N1537" s="2" t="n">
        <x:v>1</x:v>
      </x:c>
      <x:c r="O1537" s="2" t="str">
        <x:v>Accepted</x:v>
      </x:c>
      <x:c r="P1537" s="2" t="str">
        <x:v>S003</x:v>
      </x:c>
      <x:c r="Q1537" s="2" t="str">
        <x:v>DEV003</x:v>
      </x:c>
      <x:c r="R1537" s="2" t="n">
        <x:v>34</x:v>
      </x:c>
      <x:c r="S1537" s="2" t="str">
        <x:v>Online</x:v>
      </x:c>
      <x:c r="T1537" s="2" t="str">
        <x:v>Synced</x:v>
      </x:c>
    </x:row>
    <x:row r="1538" ht="21" customHeight="1">
      <x:c r="A1538" s="2" t="str">
        <x:v>EV001464</x:v>
      </x:c>
      <x:c r="B1538" s="2" t="str">
        <x:v>T20261007-1-1</x:v>
      </x:c>
      <x:c r="C1538" s="2" t="str">
        <x:v>ST015</x:v>
      </x:c>
      <x:c r="D1538" s="2" t="str">
        <x:v>997c76227e9b12bdccc68d0d53a8d1df</x:v>
      </x:c>
      <x:c r="E1538" s="2" t="str">
        <x:v>CHECK_OUT</x:v>
      </x:c>
      <x:c r="F1538" s="8" t="n">
        <x:v>46302.276874999996</x:v>
      </x:c>
      <x:c r="G1538" s="8" t="n">
        <x:v>46302.27689814814</x:v>
      </x:c>
      <x:c r="H1538" s="2" t="str">
        <x:v>SCH01</x:v>
      </x:c>
      <x:c r="I1538" s="9" t="n">
        <x:v>25.285</x:v>
      </x:c>
      <x:c r="J1538" s="9" t="n">
        <x:v>51.51</x:v>
      </x:c>
      <x:c r="K1538" s="2" t="n">
        <x:v>8</x:v>
      </x:c>
      <x:c r="L1538" s="2" t="str">
        <x:v>Valid</x:v>
      </x:c>
      <x:c r="M1538" s="2" t="str">
        <x:v>QR</x:v>
      </x:c>
      <x:c r="N1538" s="2" t="n">
        <x:v>1</x:v>
      </x:c>
      <x:c r="O1538" s="2" t="str">
        <x:v>Accepted</x:v>
      </x:c>
      <x:c r="P1538" s="2" t="str">
        <x:v>S001</x:v>
      </x:c>
      <x:c r="Q1538" s="2" t="str">
        <x:v>DEV001</x:v>
      </x:c>
      <x:c r="R1538" s="2" t="n">
        <x:v>35</x:v>
      </x:c>
      <x:c r="S1538" s="2" t="str">
        <x:v>Online</x:v>
      </x:c>
      <x:c r="T1538" s="2" t="str">
        <x:v>Synced</x:v>
      </x:c>
    </x:row>
    <x:row r="1539" ht="21" customHeight="1">
      <x:c r="A1539" s="2" t="str">
        <x:v>EV001624</x:v>
      </x:c>
      <x:c r="B1539" s="2" t="str">
        <x:v>T20261007-1-2</x:v>
      </x:c>
      <x:c r="C1539" s="2" t="str">
        <x:v>ST055</x:v>
      </x:c>
      <x:c r="D1539" s="2" t="str">
        <x:v>e796258b9306e2b3efab77a21add36a5</x:v>
      </x:c>
      <x:c r="E1539" s="2" t="str">
        <x:v>CHECK_OUT</x:v>
      </x:c>
      <x:c r="F1539" s="8" t="n">
        <x:v>46302.276874999996</x:v>
      </x:c>
      <x:c r="G1539" s="8" t="n">
        <x:v>46302.27689814814</x:v>
      </x:c>
      <x:c r="H1539" s="2" t="str">
        <x:v>SCH01</x:v>
      </x:c>
      <x:c r="I1539" s="9" t="n">
        <x:v>25.285</x:v>
      </x:c>
      <x:c r="J1539" s="9" t="n">
        <x:v>51.51</x:v>
      </x:c>
      <x:c r="K1539" s="2" t="n">
        <x:v>8</x:v>
      </x:c>
      <x:c r="L1539" s="2" t="str">
        <x:v>Valid</x:v>
      </x:c>
      <x:c r="M1539" s="2" t="str">
        <x:v>QR</x:v>
      </x:c>
      <x:c r="N1539" s="2" t="n">
        <x:v>1</x:v>
      </x:c>
      <x:c r="O1539" s="2" t="str">
        <x:v>Accepted</x:v>
      </x:c>
      <x:c r="P1539" s="2" t="str">
        <x:v>S002</x:v>
      </x:c>
      <x:c r="Q1539" s="2" t="str">
        <x:v>DEV002</x:v>
      </x:c>
      <x:c r="R1539" s="2" t="n">
        <x:v>35</x:v>
      </x:c>
      <x:c r="S1539" s="2" t="str">
        <x:v>Online</x:v>
      </x:c>
      <x:c r="T1539" s="2" t="str">
        <x:v>Synced</x:v>
      </x:c>
    </x:row>
    <x:row r="1540" ht="21" customHeight="1">
      <x:c r="A1540" s="2" t="str">
        <x:v>EV001784</x:v>
      </x:c>
      <x:c r="B1540" s="2" t="str">
        <x:v>T20261007-1-3</x:v>
      </x:c>
      <x:c r="C1540" s="2" t="str">
        <x:v>ST095</x:v>
      </x:c>
      <x:c r="D1540" s="2" t="str">
        <x:v>0935ee2c52872353d5a355eed1202dbe</x:v>
      </x:c>
      <x:c r="E1540" s="2" t="str">
        <x:v>CHECK_OUT</x:v>
      </x:c>
      <x:c r="F1540" s="8" t="n">
        <x:v>46302.276874999996</x:v>
      </x:c>
      <x:c r="G1540" s="8" t="n">
        <x:v>46302.27689814814</x:v>
      </x:c>
      <x:c r="H1540" s="2" t="str">
        <x:v>SCH01</x:v>
      </x:c>
      <x:c r="I1540" s="9" t="n">
        <x:v>25.285</x:v>
      </x:c>
      <x:c r="J1540" s="9" t="n">
        <x:v>51.51</x:v>
      </x:c>
      <x:c r="K1540" s="2" t="n">
        <x:v>8</x:v>
      </x:c>
      <x:c r="L1540" s="2" t="str">
        <x:v>Valid</x:v>
      </x:c>
      <x:c r="M1540" s="2" t="str">
        <x:v>QR</x:v>
      </x:c>
      <x:c r="N1540" s="2" t="n">
        <x:v>1</x:v>
      </x:c>
      <x:c r="O1540" s="2" t="str">
        <x:v>Accepted</x:v>
      </x:c>
      <x:c r="P1540" s="2" t="str">
        <x:v>S003</x:v>
      </x:c>
      <x:c r="Q1540" s="2" t="str">
        <x:v>DEV003</x:v>
      </x:c>
      <x:c r="R1540" s="2" t="n">
        <x:v>35</x:v>
      </x:c>
      <x:c r="S1540" s="2" t="str">
        <x:v>Online</x:v>
      </x:c>
      <x:c r="T1540" s="2" t="str">
        <x:v>Synced</x:v>
      </x:c>
    </x:row>
    <x:row r="1541" ht="21" customHeight="1">
      <x:c r="A1541" s="2" t="str">
        <x:v>EV001466</x:v>
      </x:c>
      <x:c r="B1541" s="2" t="str">
        <x:v>T20261007-1-1</x:v>
      </x:c>
      <x:c r="C1541" s="2" t="str">
        <x:v>ST016</x:v>
      </x:c>
      <x:c r="D1541" s="2" t="str">
        <x:v>5227a65bcc4ea356d570fe16b2970ea5</x:v>
      </x:c>
      <x:c r="E1541" s="2" t="str">
        <x:v>CHECK_OUT</x:v>
      </x:c>
      <x:c r="F1541" s="8" t="n">
        <x:v>46302.27690972222</x:v>
      </x:c>
      <x:c r="G1541" s="8" t="n">
        <x:v>46302.276932870365</x:v>
      </x:c>
      <x:c r="H1541" s="2" t="str">
        <x:v>SCH01</x:v>
      </x:c>
      <x:c r="I1541" s="9" t="n">
        <x:v>25.285</x:v>
      </x:c>
      <x:c r="J1541" s="9" t="n">
        <x:v>51.51</x:v>
      </x:c>
      <x:c r="K1541" s="2" t="n">
        <x:v>8</x:v>
      </x:c>
      <x:c r="L1541" s="2" t="str">
        <x:v>Valid</x:v>
      </x:c>
      <x:c r="M1541" s="2" t="str">
        <x:v>QR</x:v>
      </x:c>
      <x:c r="N1541" s="2" t="n">
        <x:v>1</x:v>
      </x:c>
      <x:c r="O1541" s="2" t="str">
        <x:v>Accepted</x:v>
      </x:c>
      <x:c r="P1541" s="2" t="str">
        <x:v>S001</x:v>
      </x:c>
      <x:c r="Q1541" s="2" t="str">
        <x:v>DEV001</x:v>
      </x:c>
      <x:c r="R1541" s="2" t="n">
        <x:v>36</x:v>
      </x:c>
      <x:c r="S1541" s="2" t="str">
        <x:v>Online</x:v>
      </x:c>
      <x:c r="T1541" s="2" t="str">
        <x:v>Synced</x:v>
      </x:c>
    </x:row>
    <x:row r="1542" ht="21" customHeight="1">
      <x:c r="A1542" s="2" t="str">
        <x:v>EV001626</x:v>
      </x:c>
      <x:c r="B1542" s="2" t="str">
        <x:v>T20261007-1-2</x:v>
      </x:c>
      <x:c r="C1542" s="2" t="str">
        <x:v>ST056</x:v>
      </x:c>
      <x:c r="D1542" s="2" t="str">
        <x:v>245ed370430be1001f6d7d13404dd8b1</x:v>
      </x:c>
      <x:c r="E1542" s="2" t="str">
        <x:v>CHECK_OUT</x:v>
      </x:c>
      <x:c r="F1542" s="8" t="n">
        <x:v>46302.27690972222</x:v>
      </x:c>
      <x:c r="G1542" s="8" t="n">
        <x:v>46302.276932870365</x:v>
      </x:c>
      <x:c r="H1542" s="2" t="str">
        <x:v>SCH01</x:v>
      </x:c>
      <x:c r="I1542" s="9" t="n">
        <x:v>25.285</x:v>
      </x:c>
      <x:c r="J1542" s="9" t="n">
        <x:v>51.51</x:v>
      </x:c>
      <x:c r="K1542" s="2" t="n">
        <x:v>8</x:v>
      </x:c>
      <x:c r="L1542" s="2" t="str">
        <x:v>Valid</x:v>
      </x:c>
      <x:c r="M1542" s="2" t="str">
        <x:v>QR</x:v>
      </x:c>
      <x:c r="N1542" s="2" t="n">
        <x:v>1</x:v>
      </x:c>
      <x:c r="O1542" s="2" t="str">
        <x:v>Accepted</x:v>
      </x:c>
      <x:c r="P1542" s="2" t="str">
        <x:v>S002</x:v>
      </x:c>
      <x:c r="Q1542" s="2" t="str">
        <x:v>DEV002</x:v>
      </x:c>
      <x:c r="R1542" s="2" t="n">
        <x:v>36</x:v>
      </x:c>
      <x:c r="S1542" s="2" t="str">
        <x:v>Online</x:v>
      </x:c>
      <x:c r="T1542" s="2" t="str">
        <x:v>Synced</x:v>
      </x:c>
    </x:row>
    <x:row r="1543" ht="21" customHeight="1">
      <x:c r="A1543" s="2" t="str">
        <x:v>EV001786</x:v>
      </x:c>
      <x:c r="B1543" s="2" t="str">
        <x:v>T20261007-1-3</x:v>
      </x:c>
      <x:c r="C1543" s="2" t="str">
        <x:v>ST096</x:v>
      </x:c>
      <x:c r="D1543" s="2" t="str">
        <x:v>46905fa8ca039f79eec63d82a6ea3c69</x:v>
      </x:c>
      <x:c r="E1543" s="2" t="str">
        <x:v>CHECK_OUT</x:v>
      </x:c>
      <x:c r="F1543" s="8" t="n">
        <x:v>46302.27690972222</x:v>
      </x:c>
      <x:c r="G1543" s="8" t="n">
        <x:v>46302.276932870365</x:v>
      </x:c>
      <x:c r="H1543" s="2" t="str">
        <x:v>SCH01</x:v>
      </x:c>
      <x:c r="I1543" s="9" t="n">
        <x:v>25.285</x:v>
      </x:c>
      <x:c r="J1543" s="9" t="n">
        <x:v>51.51</x:v>
      </x:c>
      <x:c r="K1543" s="2" t="n">
        <x:v>8</x:v>
      </x:c>
      <x:c r="L1543" s="2" t="str">
        <x:v>Valid</x:v>
      </x:c>
      <x:c r="M1543" s="2" t="str">
        <x:v>QR</x:v>
      </x:c>
      <x:c r="N1543" s="2" t="n">
        <x:v>1</x:v>
      </x:c>
      <x:c r="O1543" s="2" t="str">
        <x:v>Accepted</x:v>
      </x:c>
      <x:c r="P1543" s="2" t="str">
        <x:v>S003</x:v>
      </x:c>
      <x:c r="Q1543" s="2" t="str">
        <x:v>DEV003</x:v>
      </x:c>
      <x:c r="R1543" s="2" t="n">
        <x:v>36</x:v>
      </x:c>
      <x:c r="S1543" s="2" t="str">
        <x:v>Online</x:v>
      </x:c>
      <x:c r="T1543" s="2" t="str">
        <x:v>Synced</x:v>
      </x:c>
    </x:row>
    <x:row r="1544" ht="21" customHeight="1">
      <x:c r="A1544" s="2" t="str">
        <x:v>EV001468</x:v>
      </x:c>
      <x:c r="B1544" s="2" t="str">
        <x:v>T20261007-1-1</x:v>
      </x:c>
      <x:c r="C1544" s="2" t="str">
        <x:v>ST017</x:v>
      </x:c>
      <x:c r="D1544" s="2" t="str">
        <x:v>ea6159d457322f2456f4cadd6b3d659f</x:v>
      </x:c>
      <x:c r="E1544" s="2" t="str">
        <x:v>CHECK_OUT</x:v>
      </x:c>
      <x:c r="F1544" s="8" t="n">
        <x:v>46302.27694444444</x:v>
      </x:c>
      <x:c r="G1544" s="8" t="n">
        <x:v>46302.27696759259</x:v>
      </x:c>
      <x:c r="H1544" s="2" t="str">
        <x:v>SCH01</x:v>
      </x:c>
      <x:c r="I1544" s="9" t="n">
        <x:v>25.285</x:v>
      </x:c>
      <x:c r="J1544" s="9" t="n">
        <x:v>51.51</x:v>
      </x:c>
      <x:c r="K1544" s="2" t="n">
        <x:v>8</x:v>
      </x:c>
      <x:c r="L1544" s="2" t="str">
        <x:v>Valid</x:v>
      </x:c>
      <x:c r="M1544" s="2" t="str">
        <x:v>QR</x:v>
      </x:c>
      <x:c r="N1544" s="2" t="n">
        <x:v>1</x:v>
      </x:c>
      <x:c r="O1544" s="2" t="str">
        <x:v>Accepted</x:v>
      </x:c>
      <x:c r="P1544" s="2" t="str">
        <x:v>S001</x:v>
      </x:c>
      <x:c r="Q1544" s="2" t="str">
        <x:v>DEV001</x:v>
      </x:c>
      <x:c r="R1544" s="2" t="n">
        <x:v>37</x:v>
      </x:c>
      <x:c r="S1544" s="2" t="str">
        <x:v>Online</x:v>
      </x:c>
      <x:c r="T1544" s="2" t="str">
        <x:v>Synced</x:v>
      </x:c>
    </x:row>
    <x:row r="1545" ht="21" customHeight="1">
      <x:c r="A1545" s="2" t="str">
        <x:v>EV001628</x:v>
      </x:c>
      <x:c r="B1545" s="2" t="str">
        <x:v>T20261007-1-2</x:v>
      </x:c>
      <x:c r="C1545" s="2" t="str">
        <x:v>ST057</x:v>
      </x:c>
      <x:c r="D1545" s="2" t="str">
        <x:v>68d992c7418727808ad27d2e5ee9b88d</x:v>
      </x:c>
      <x:c r="E1545" s="2" t="str">
        <x:v>CHECK_OUT</x:v>
      </x:c>
      <x:c r="F1545" s="8" t="n">
        <x:v>46302.27694444444</x:v>
      </x:c>
      <x:c r="G1545" s="8" t="n">
        <x:v>46302.27696759259</x:v>
      </x:c>
      <x:c r="H1545" s="2" t="str">
        <x:v>SCH01</x:v>
      </x:c>
      <x:c r="I1545" s="9" t="n">
        <x:v>25.285</x:v>
      </x:c>
      <x:c r="J1545" s="9" t="n">
        <x:v>51.51</x:v>
      </x:c>
      <x:c r="K1545" s="2" t="n">
        <x:v>8</x:v>
      </x:c>
      <x:c r="L1545" s="2" t="str">
        <x:v>Valid</x:v>
      </x:c>
      <x:c r="M1545" s="2" t="str">
        <x:v>QR</x:v>
      </x:c>
      <x:c r="N1545" s="2" t="n">
        <x:v>1</x:v>
      </x:c>
      <x:c r="O1545" s="2" t="str">
        <x:v>Accepted</x:v>
      </x:c>
      <x:c r="P1545" s="2" t="str">
        <x:v>S002</x:v>
      </x:c>
      <x:c r="Q1545" s="2" t="str">
        <x:v>DEV002</x:v>
      </x:c>
      <x:c r="R1545" s="2" t="n">
        <x:v>37</x:v>
      </x:c>
      <x:c r="S1545" s="2" t="str">
        <x:v>Online</x:v>
      </x:c>
      <x:c r="T1545" s="2" t="str">
        <x:v>Synced</x:v>
      </x:c>
    </x:row>
    <x:row r="1546" ht="21" customHeight="1">
      <x:c r="A1546" s="2" t="str">
        <x:v>EV001788</x:v>
      </x:c>
      <x:c r="B1546" s="2" t="str">
        <x:v>T20261007-1-3</x:v>
      </x:c>
      <x:c r="C1546" s="2" t="str">
        <x:v>ST097</x:v>
      </x:c>
      <x:c r="D1546" s="2" t="str">
        <x:v>0ccbf8d08569df9dde2207b8d5616d1e</x:v>
      </x:c>
      <x:c r="E1546" s="2" t="str">
        <x:v>CHECK_OUT</x:v>
      </x:c>
      <x:c r="F1546" s="8" t="n">
        <x:v>46302.27694444444</x:v>
      </x:c>
      <x:c r="G1546" s="8" t="n">
        <x:v>46302.27696759259</x:v>
      </x:c>
      <x:c r="H1546" s="2" t="str">
        <x:v>SCH01</x:v>
      </x:c>
      <x:c r="I1546" s="9" t="n">
        <x:v>25.285</x:v>
      </x:c>
      <x:c r="J1546" s="9" t="n">
        <x:v>51.51</x:v>
      </x:c>
      <x:c r="K1546" s="2" t="n">
        <x:v>8</x:v>
      </x:c>
      <x:c r="L1546" s="2" t="str">
        <x:v>Valid</x:v>
      </x:c>
      <x:c r="M1546" s="2" t="str">
        <x:v>QR</x:v>
      </x:c>
      <x:c r="N1546" s="2" t="n">
        <x:v>1</x:v>
      </x:c>
      <x:c r="O1546" s="2" t="str">
        <x:v>Accepted</x:v>
      </x:c>
      <x:c r="P1546" s="2" t="str">
        <x:v>S003</x:v>
      </x:c>
      <x:c r="Q1546" s="2" t="str">
        <x:v>DEV003</x:v>
      </x:c>
      <x:c r="R1546" s="2" t="n">
        <x:v>37</x:v>
      </x:c>
      <x:c r="S1546" s="2" t="str">
        <x:v>Online</x:v>
      </x:c>
      <x:c r="T1546" s="2" t="str">
        <x:v>Synced</x:v>
      </x:c>
    </x:row>
    <x:row r="1547" ht="21" customHeight="1">
      <x:c r="A1547" s="2" t="str">
        <x:v>EV001470</x:v>
      </x:c>
      <x:c r="B1547" s="2" t="str">
        <x:v>T20261007-1-1</x:v>
      </x:c>
      <x:c r="C1547" s="2" t="str">
        <x:v>ST018</x:v>
      </x:c>
      <x:c r="D1547" s="2" t="str">
        <x:v>4c1b40081ed5c7c21b8392ee528dbe54</x:v>
      </x:c>
      <x:c r="E1547" s="2" t="str">
        <x:v>CHECK_OUT</x:v>
      </x:c>
      <x:c r="F1547" s="8" t="n">
        <x:v>46302.276979166665</x:v>
      </x:c>
      <x:c r="G1547" s="8" t="n">
        <x:v>46302.27700231481</x:v>
      </x:c>
      <x:c r="H1547" s="2" t="str">
        <x:v>SCH01</x:v>
      </x:c>
      <x:c r="I1547" s="9" t="n">
        <x:v>25.285</x:v>
      </x:c>
      <x:c r="J1547" s="9" t="n">
        <x:v>51.51</x:v>
      </x:c>
      <x:c r="K1547" s="2" t="n">
        <x:v>8</x:v>
      </x:c>
      <x:c r="L1547" s="2" t="str">
        <x:v>Valid</x:v>
      </x:c>
      <x:c r="M1547" s="2" t="str">
        <x:v>QR</x:v>
      </x:c>
      <x:c r="N1547" s="2" t="n">
        <x:v>1</x:v>
      </x:c>
      <x:c r="O1547" s="2" t="str">
        <x:v>Accepted</x:v>
      </x:c>
      <x:c r="P1547" s="2" t="str">
        <x:v>S001</x:v>
      </x:c>
      <x:c r="Q1547" s="2" t="str">
        <x:v>DEV001</x:v>
      </x:c>
      <x:c r="R1547" s="2" t="n">
        <x:v>38</x:v>
      </x:c>
      <x:c r="S1547" s="2" t="str">
        <x:v>Online</x:v>
      </x:c>
      <x:c r="T1547" s="2" t="str">
        <x:v>Synced</x:v>
      </x:c>
    </x:row>
    <x:row r="1548" ht="21" customHeight="1">
      <x:c r="A1548" s="2" t="str">
        <x:v>EV001630</x:v>
      </x:c>
      <x:c r="B1548" s="2" t="str">
        <x:v>T20261007-1-2</x:v>
      </x:c>
      <x:c r="C1548" s="2" t="str">
        <x:v>ST058</x:v>
      </x:c>
      <x:c r="D1548" s="2" t="str">
        <x:v>ebf7e65b57e2c8bcd02f90b1d5692596</x:v>
      </x:c>
      <x:c r="E1548" s="2" t="str">
        <x:v>CHECK_OUT</x:v>
      </x:c>
      <x:c r="F1548" s="8" t="n">
        <x:v>46302.276979166665</x:v>
      </x:c>
      <x:c r="G1548" s="8" t="n">
        <x:v>46302.27700231481</x:v>
      </x:c>
      <x:c r="H1548" s="2" t="str">
        <x:v>SCH01</x:v>
      </x:c>
      <x:c r="I1548" s="9" t="n">
        <x:v>25.285</x:v>
      </x:c>
      <x:c r="J1548" s="9" t="n">
        <x:v>51.51</x:v>
      </x:c>
      <x:c r="K1548" s="2" t="n">
        <x:v>8</x:v>
      </x:c>
      <x:c r="L1548" s="2" t="str">
        <x:v>Valid</x:v>
      </x:c>
      <x:c r="M1548" s="2" t="str">
        <x:v>QR</x:v>
      </x:c>
      <x:c r="N1548" s="2" t="n">
        <x:v>1</x:v>
      </x:c>
      <x:c r="O1548" s="2" t="str">
        <x:v>Accepted</x:v>
      </x:c>
      <x:c r="P1548" s="2" t="str">
        <x:v>S002</x:v>
      </x:c>
      <x:c r="Q1548" s="2" t="str">
        <x:v>DEV002</x:v>
      </x:c>
      <x:c r="R1548" s="2" t="n">
        <x:v>38</x:v>
      </x:c>
      <x:c r="S1548" s="2" t="str">
        <x:v>Online</x:v>
      </x:c>
      <x:c r="T1548" s="2" t="str">
        <x:v>Synced</x:v>
      </x:c>
    </x:row>
    <x:row r="1549" ht="21" customHeight="1">
      <x:c r="A1549" s="2" t="str">
        <x:v>EV001790</x:v>
      </x:c>
      <x:c r="B1549" s="2" t="str">
        <x:v>T20261007-1-3</x:v>
      </x:c>
      <x:c r="C1549" s="2" t="str">
        <x:v>ST098</x:v>
      </x:c>
      <x:c r="D1549" s="2" t="str">
        <x:v>4b453acdeca94f98f11a429464f7bff7</x:v>
      </x:c>
      <x:c r="E1549" s="2" t="str">
        <x:v>CHECK_OUT</x:v>
      </x:c>
      <x:c r="F1549" s="8" t="n">
        <x:v>46302.276979166665</x:v>
      </x:c>
      <x:c r="G1549" s="8" t="n">
        <x:v>46302.27700231481</x:v>
      </x:c>
      <x:c r="H1549" s="2" t="str">
        <x:v>SCH01</x:v>
      </x:c>
      <x:c r="I1549" s="9" t="n">
        <x:v>25.285</x:v>
      </x:c>
      <x:c r="J1549" s="9" t="n">
        <x:v>51.51</x:v>
      </x:c>
      <x:c r="K1549" s="2" t="n">
        <x:v>8</x:v>
      </x:c>
      <x:c r="L1549" s="2" t="str">
        <x:v>Valid</x:v>
      </x:c>
      <x:c r="M1549" s="2" t="str">
        <x:v>QR</x:v>
      </x:c>
      <x:c r="N1549" s="2" t="n">
        <x:v>1</x:v>
      </x:c>
      <x:c r="O1549" s="2" t="str">
        <x:v>Accepted</x:v>
      </x:c>
      <x:c r="P1549" s="2" t="str">
        <x:v>S003</x:v>
      </x:c>
      <x:c r="Q1549" s="2" t="str">
        <x:v>DEV003</x:v>
      </x:c>
      <x:c r="R1549" s="2" t="n">
        <x:v>38</x:v>
      </x:c>
      <x:c r="S1549" s="2" t="str">
        <x:v>Online</x:v>
      </x:c>
      <x:c r="T1549" s="2" t="str">
        <x:v>Synced</x:v>
      </x:c>
    </x:row>
    <x:row r="1550" ht="21" customHeight="1">
      <x:c r="A1550" s="2" t="str">
        <x:v>EV001472</x:v>
      </x:c>
      <x:c r="B1550" s="2" t="str">
        <x:v>T20261007-1-1</x:v>
      </x:c>
      <x:c r="C1550" s="2" t="str">
        <x:v>ST019</x:v>
      </x:c>
      <x:c r="D1550" s="2" t="str">
        <x:v>b83400b1b6dcfb0f7cb413571cb76f8f</x:v>
      </x:c>
      <x:c r="E1550" s="2" t="str">
        <x:v>CHECK_OUT</x:v>
      </x:c>
      <x:c r="F1550" s="8" t="n">
        <x:v>46302.27701388889</x:v>
      </x:c>
      <x:c r="G1550" s="8" t="n">
        <x:v>46302.277037037034</x:v>
      </x:c>
      <x:c r="H1550" s="2" t="str">
        <x:v>SCH01</x:v>
      </x:c>
      <x:c r="I1550" s="9" t="n">
        <x:v>25.285</x:v>
      </x:c>
      <x:c r="J1550" s="9" t="n">
        <x:v>51.51</x:v>
      </x:c>
      <x:c r="K1550" s="2" t="n">
        <x:v>8</x:v>
      </x:c>
      <x:c r="L1550" s="2" t="str">
        <x:v>Valid</x:v>
      </x:c>
      <x:c r="M1550" s="2" t="str">
        <x:v>QR</x:v>
      </x:c>
      <x:c r="N1550" s="2" t="n">
        <x:v>1</x:v>
      </x:c>
      <x:c r="O1550" s="2" t="str">
        <x:v>Accepted</x:v>
      </x:c>
      <x:c r="P1550" s="2" t="str">
        <x:v>S001</x:v>
      </x:c>
      <x:c r="Q1550" s="2" t="str">
        <x:v>DEV001</x:v>
      </x:c>
      <x:c r="R1550" s="2" t="n">
        <x:v>39</x:v>
      </x:c>
      <x:c r="S1550" s="2" t="str">
        <x:v>Online</x:v>
      </x:c>
      <x:c r="T1550" s="2" t="str">
        <x:v>Synced</x:v>
      </x:c>
    </x:row>
    <x:row r="1551" ht="21" customHeight="1">
      <x:c r="A1551" s="2" t="str">
        <x:v>EV001632</x:v>
      </x:c>
      <x:c r="B1551" s="2" t="str">
        <x:v>T20261007-1-2</x:v>
      </x:c>
      <x:c r="C1551" s="2" t="str">
        <x:v>ST059</x:v>
      </x:c>
      <x:c r="D1551" s="2" t="str">
        <x:v>08b31edc14b3a345822a41d6515bfcba</x:v>
      </x:c>
      <x:c r="E1551" s="2" t="str">
        <x:v>CHECK_OUT</x:v>
      </x:c>
      <x:c r="F1551" s="8" t="n">
        <x:v>46302.27701388889</x:v>
      </x:c>
      <x:c r="G1551" s="8" t="n">
        <x:v>46302.277037037034</x:v>
      </x:c>
      <x:c r="H1551" s="2" t="str">
        <x:v>SCH01</x:v>
      </x:c>
      <x:c r="I1551" s="9" t="n">
        <x:v>25.285</x:v>
      </x:c>
      <x:c r="J1551" s="9" t="n">
        <x:v>51.51</x:v>
      </x:c>
      <x:c r="K1551" s="2" t="n">
        <x:v>8</x:v>
      </x:c>
      <x:c r="L1551" s="2" t="str">
        <x:v>Valid</x:v>
      </x:c>
      <x:c r="M1551" s="2" t="str">
        <x:v>QR</x:v>
      </x:c>
      <x:c r="N1551" s="2" t="n">
        <x:v>1</x:v>
      </x:c>
      <x:c r="O1551" s="2" t="str">
        <x:v>Accepted</x:v>
      </x:c>
      <x:c r="P1551" s="2" t="str">
        <x:v>S002</x:v>
      </x:c>
      <x:c r="Q1551" s="2" t="str">
        <x:v>DEV002</x:v>
      </x:c>
      <x:c r="R1551" s="2" t="n">
        <x:v>39</x:v>
      </x:c>
      <x:c r="S1551" s="2" t="str">
        <x:v>Online</x:v>
      </x:c>
      <x:c r="T1551" s="2" t="str">
        <x:v>Synced</x:v>
      </x:c>
    </x:row>
    <x:row r="1552" ht="21" customHeight="1">
      <x:c r="A1552" s="2" t="str">
        <x:v>EV001792</x:v>
      </x:c>
      <x:c r="B1552" s="2" t="str">
        <x:v>T20261007-1-3</x:v>
      </x:c>
      <x:c r="C1552" s="2" t="str">
        <x:v>ST099</x:v>
      </x:c>
      <x:c r="D1552" s="2" t="str">
        <x:v>46d20c66394c55b68e36e5335452d87c</x:v>
      </x:c>
      <x:c r="E1552" s="2" t="str">
        <x:v>CHECK_OUT</x:v>
      </x:c>
      <x:c r="F1552" s="8" t="n">
        <x:v>46302.27701388889</x:v>
      </x:c>
      <x:c r="G1552" s="8" t="n">
        <x:v>46302.277037037034</x:v>
      </x:c>
      <x:c r="H1552" s="2" t="str">
        <x:v>SCH01</x:v>
      </x:c>
      <x:c r="I1552" s="9" t="n">
        <x:v>25.285</x:v>
      </x:c>
      <x:c r="J1552" s="9" t="n">
        <x:v>51.51</x:v>
      </x:c>
      <x:c r="K1552" s="2" t="n">
        <x:v>8</x:v>
      </x:c>
      <x:c r="L1552" s="2" t="str">
        <x:v>Valid</x:v>
      </x:c>
      <x:c r="M1552" s="2" t="str">
        <x:v>QR</x:v>
      </x:c>
      <x:c r="N1552" s="2" t="n">
        <x:v>1</x:v>
      </x:c>
      <x:c r="O1552" s="2" t="str">
        <x:v>Accepted</x:v>
      </x:c>
      <x:c r="P1552" s="2" t="str">
        <x:v>S003</x:v>
      </x:c>
      <x:c r="Q1552" s="2" t="str">
        <x:v>DEV003</x:v>
      </x:c>
      <x:c r="R1552" s="2" t="n">
        <x:v>39</x:v>
      </x:c>
      <x:c r="S1552" s="2" t="str">
        <x:v>Online</x:v>
      </x:c>
      <x:c r="T1552" s="2" t="str">
        <x:v>Synced</x:v>
      </x:c>
    </x:row>
    <x:row r="1553" ht="21" customHeight="1">
      <x:c r="A1553" s="2" t="str">
        <x:v>EV001474</x:v>
      </x:c>
      <x:c r="B1553" s="2" t="str">
        <x:v>T20261007-1-1</x:v>
      </x:c>
      <x:c r="C1553" s="2" t="str">
        <x:v>ST020</x:v>
      </x:c>
      <x:c r="D1553" s="2" t="str">
        <x:v>9f8daa9030f9f7599cd24e056935ab8d</x:v>
      </x:c>
      <x:c r="E1553" s="2" t="str">
        <x:v>CHECK_OUT</x:v>
      </x:c>
      <x:c r="F1553" s="8" t="n">
        <x:v>46302.27704861111</x:v>
      </x:c>
      <x:c r="G1553" s="8" t="n">
        <x:v>46302.27707175926</x:v>
      </x:c>
      <x:c r="H1553" s="2" t="str">
        <x:v>SCH01</x:v>
      </x:c>
      <x:c r="I1553" s="9" t="n">
        <x:v>25.285</x:v>
      </x:c>
      <x:c r="J1553" s="9" t="n">
        <x:v>51.51</x:v>
      </x:c>
      <x:c r="K1553" s="2" t="n">
        <x:v>8</x:v>
      </x:c>
      <x:c r="L1553" s="2" t="str">
        <x:v>Valid</x:v>
      </x:c>
      <x:c r="M1553" s="2" t="str">
        <x:v>QR</x:v>
      </x:c>
      <x:c r="N1553" s="2" t="n">
        <x:v>1</x:v>
      </x:c>
      <x:c r="O1553" s="2" t="str">
        <x:v>Accepted</x:v>
      </x:c>
      <x:c r="P1553" s="2" t="str">
        <x:v>S001</x:v>
      </x:c>
      <x:c r="Q1553" s="2" t="str">
        <x:v>DEV001</x:v>
      </x:c>
      <x:c r="R1553" s="2" t="n">
        <x:v>40</x:v>
      </x:c>
      <x:c r="S1553" s="2" t="str">
        <x:v>Online</x:v>
      </x:c>
      <x:c r="T1553" s="2" t="str">
        <x:v>Synced</x:v>
      </x:c>
    </x:row>
    <x:row r="1554" ht="21" customHeight="1">
      <x:c r="A1554" s="2" t="str">
        <x:v>EV001634</x:v>
      </x:c>
      <x:c r="B1554" s="2" t="str">
        <x:v>T20261007-1-2</x:v>
      </x:c>
      <x:c r="C1554" s="2" t="str">
        <x:v>ST060</x:v>
      </x:c>
      <x:c r="D1554" s="2" t="str">
        <x:v>a424ea3d9a5cb1c08037457e61cef61f</x:v>
      </x:c>
      <x:c r="E1554" s="2" t="str">
        <x:v>CHECK_OUT</x:v>
      </x:c>
      <x:c r="F1554" s="8" t="n">
        <x:v>46302.27704861111</x:v>
      </x:c>
      <x:c r="G1554" s="8" t="n">
        <x:v>46302.27707175926</x:v>
      </x:c>
      <x:c r="H1554" s="2" t="str">
        <x:v>SCH01</x:v>
      </x:c>
      <x:c r="I1554" s="9" t="n">
        <x:v>25.285</x:v>
      </x:c>
      <x:c r="J1554" s="9" t="n">
        <x:v>51.51</x:v>
      </x:c>
      <x:c r="K1554" s="2" t="n">
        <x:v>8</x:v>
      </x:c>
      <x:c r="L1554" s="2" t="str">
        <x:v>Valid</x:v>
      </x:c>
      <x:c r="M1554" s="2" t="str">
        <x:v>QR</x:v>
      </x:c>
      <x:c r="N1554" s="2" t="n">
        <x:v>1</x:v>
      </x:c>
      <x:c r="O1554" s="2" t="str">
        <x:v>Accepted</x:v>
      </x:c>
      <x:c r="P1554" s="2" t="str">
        <x:v>S002</x:v>
      </x:c>
      <x:c r="Q1554" s="2" t="str">
        <x:v>DEV002</x:v>
      </x:c>
      <x:c r="R1554" s="2" t="n">
        <x:v>40</x:v>
      </x:c>
      <x:c r="S1554" s="2" t="str">
        <x:v>Online</x:v>
      </x:c>
      <x:c r="T1554" s="2" t="str">
        <x:v>Synced</x:v>
      </x:c>
    </x:row>
    <x:row r="1555" ht="21" customHeight="1">
      <x:c r="A1555" s="2" t="str">
        <x:v>EV001794</x:v>
      </x:c>
      <x:c r="B1555" s="2" t="str">
        <x:v>T20261007-1-3</x:v>
      </x:c>
      <x:c r="C1555" s="2" t="str">
        <x:v>ST100</x:v>
      </x:c>
      <x:c r="D1555" s="2" t="str">
        <x:v>6ba3ddf298bc4515d195454c1e81d9d6</x:v>
      </x:c>
      <x:c r="E1555" s="2" t="str">
        <x:v>CHECK_OUT</x:v>
      </x:c>
      <x:c r="F1555" s="8" t="n">
        <x:v>46302.27704861111</x:v>
      </x:c>
      <x:c r="G1555" s="8" t="n">
        <x:v>46302.27707175926</x:v>
      </x:c>
      <x:c r="H1555" s="2" t="str">
        <x:v>SCH01</x:v>
      </x:c>
      <x:c r="I1555" s="9" t="n">
        <x:v>25.285</x:v>
      </x:c>
      <x:c r="J1555" s="9" t="n">
        <x:v>51.51</x:v>
      </x:c>
      <x:c r="K1555" s="2" t="n">
        <x:v>8</x:v>
      </x:c>
      <x:c r="L1555" s="2" t="str">
        <x:v>Valid</x:v>
      </x:c>
      <x:c r="M1555" s="2" t="str">
        <x:v>QR</x:v>
      </x:c>
      <x:c r="N1555" s="2" t="n">
        <x:v>1</x:v>
      </x:c>
      <x:c r="O1555" s="2" t="str">
        <x:v>Accepted</x:v>
      </x:c>
      <x:c r="P1555" s="2" t="str">
        <x:v>S003</x:v>
      </x:c>
      <x:c r="Q1555" s="2" t="str">
        <x:v>DEV003</x:v>
      </x:c>
      <x:c r="R1555" s="2" t="n">
        <x:v>40</x:v>
      </x:c>
      <x:c r="S1555" s="2" t="str">
        <x:v>Online</x:v>
      </x:c>
      <x:c r="T1555" s="2" t="str">
        <x:v>Synced</x:v>
      </x:c>
    </x:row>
    <x:row r="1556" ht="21" customHeight="1">
      <x:c r="A1556" s="2" t="str">
        <x:v>EV001475</x:v>
      </x:c>
      <x:c r="B1556" s="2" t="str">
        <x:v>T20261007-2-1</x:v>
      </x:c>
      <x:c r="C1556" s="2" t="str">
        <x:v>ST001</x:v>
      </x:c>
      <x:c r="D1556" s="2" t="str">
        <x:v>c33d277e346360e93548e66cbf71eda4</x:v>
      </x:c>
      <x:c r="E1556" s="2" t="str">
        <x:v>CHECK_IN</x:v>
      </x:c>
      <x:c r="F1556" s="8" t="n">
        <x:v>46302.4375</x:v>
      </x:c>
      <x:c r="G1556" s="8" t="n">
        <x:v>46302.437523148146</x:v>
      </x:c>
      <x:c r="H1556" s="2" t="str">
        <x:v>SCH01</x:v>
      </x:c>
      <x:c r="I1556" s="9" t="n">
        <x:v>25.285</x:v>
      </x:c>
      <x:c r="J1556" s="9" t="n">
        <x:v>51.51</x:v>
      </x:c>
      <x:c r="K1556" s="2" t="n">
        <x:v>8</x:v>
      </x:c>
      <x:c r="L1556" s="2" t="str">
        <x:v>Valid</x:v>
      </x:c>
      <x:c r="M1556" s="2" t="str">
        <x:v>QR</x:v>
      </x:c>
      <x:c r="N1556" s="2" t="n">
        <x:v>1</x:v>
      </x:c>
      <x:c r="O1556" s="2" t="str">
        <x:v>Accepted</x:v>
      </x:c>
      <x:c r="P1556" s="2" t="str">
        <x:v>S001</x:v>
      </x:c>
      <x:c r="Q1556" s="2" t="str">
        <x:v>DEV001</x:v>
      </x:c>
      <x:c r="R1556" s="2" t="n">
        <x:v>1</x:v>
      </x:c>
      <x:c r="S1556" s="2" t="str">
        <x:v>Online</x:v>
      </x:c>
      <x:c r="T1556" s="2" t="str">
        <x:v>Synced</x:v>
      </x:c>
    </x:row>
    <x:row r="1557" ht="21" customHeight="1">
      <x:c r="A1557" s="2" t="str">
        <x:v>EV001635</x:v>
      </x:c>
      <x:c r="B1557" s="2" t="str">
        <x:v>T20261007-2-2</x:v>
      </x:c>
      <x:c r="C1557" s="2" t="str">
        <x:v>ST041</x:v>
      </x:c>
      <x:c r="D1557" s="2" t="str">
        <x:v>78597cf805a87b7619460b6ed67f501f</x:v>
      </x:c>
      <x:c r="E1557" s="2" t="str">
        <x:v>CHECK_IN</x:v>
      </x:c>
      <x:c r="F1557" s="8" t="n">
        <x:v>46302.4375</x:v>
      </x:c>
      <x:c r="G1557" s="8" t="n">
        <x:v>46302.437523148146</x:v>
      </x:c>
      <x:c r="H1557" s="2" t="str">
        <x:v>SCH01</x:v>
      </x:c>
      <x:c r="I1557" s="9" t="n">
        <x:v>25.285</x:v>
      </x:c>
      <x:c r="J1557" s="9" t="n">
        <x:v>51.51</x:v>
      </x:c>
      <x:c r="K1557" s="2" t="n">
        <x:v>8</x:v>
      </x:c>
      <x:c r="L1557" s="2" t="str">
        <x:v>Valid</x:v>
      </x:c>
      <x:c r="M1557" s="2" t="str">
        <x:v>QR</x:v>
      </x:c>
      <x:c r="N1557" s="2" t="n">
        <x:v>1</x:v>
      </x:c>
      <x:c r="O1557" s="2" t="str">
        <x:v>Accepted</x:v>
      </x:c>
      <x:c r="P1557" s="2" t="str">
        <x:v>S002</x:v>
      </x:c>
      <x:c r="Q1557" s="2" t="str">
        <x:v>DEV002</x:v>
      </x:c>
      <x:c r="R1557" s="2" t="n">
        <x:v>1</x:v>
      </x:c>
      <x:c r="S1557" s="2" t="str">
        <x:v>Online</x:v>
      </x:c>
      <x:c r="T1557" s="2" t="str">
        <x:v>Synced</x:v>
      </x:c>
    </x:row>
    <x:row r="1558" ht="21" customHeight="1">
      <x:c r="A1558" s="2" t="str">
        <x:v>EV001795</x:v>
      </x:c>
      <x:c r="B1558" s="2" t="str">
        <x:v>T20261007-2-3</x:v>
      </x:c>
      <x:c r="C1558" s="2" t="str">
        <x:v>ST081</x:v>
      </x:c>
      <x:c r="D1558" s="2" t="str">
        <x:v>8631b63b10b36bffa6456d354db9c08f</x:v>
      </x:c>
      <x:c r="E1558" s="2" t="str">
        <x:v>CHECK_IN</x:v>
      </x:c>
      <x:c r="F1558" s="8" t="n">
        <x:v>46302.4375</x:v>
      </x:c>
      <x:c r="G1558" s="8" t="n">
        <x:v>46302.437523148146</x:v>
      </x:c>
      <x:c r="H1558" s="2" t="str">
        <x:v>SCH01</x:v>
      </x:c>
      <x:c r="I1558" s="9" t="n">
        <x:v>25.285</x:v>
      </x:c>
      <x:c r="J1558" s="9" t="n">
        <x:v>51.51</x:v>
      </x:c>
      <x:c r="K1558" s="2" t="n">
        <x:v>8</x:v>
      </x:c>
      <x:c r="L1558" s="2" t="str">
        <x:v>Valid</x:v>
      </x:c>
      <x:c r="M1558" s="2" t="str">
        <x:v>QR</x:v>
      </x:c>
      <x:c r="N1558" s="2" t="n">
        <x:v>1</x:v>
      </x:c>
      <x:c r="O1558" s="2" t="str">
        <x:v>Accepted</x:v>
      </x:c>
      <x:c r="P1558" s="2" t="str">
        <x:v>S003</x:v>
      </x:c>
      <x:c r="Q1558" s="2" t="str">
        <x:v>DEV003</x:v>
      </x:c>
      <x:c r="R1558" s="2" t="n">
        <x:v>1</x:v>
      </x:c>
      <x:c r="S1558" s="2" t="str">
        <x:v>Online</x:v>
      </x:c>
      <x:c r="T1558" s="2" t="str">
        <x:v>Synced</x:v>
      </x:c>
    </x:row>
    <x:row r="1559" ht="21" customHeight="1">
      <x:c r="A1559" s="2" t="str">
        <x:v>EV001477</x:v>
      </x:c>
      <x:c r="B1559" s="2" t="str">
        <x:v>T20261007-2-1</x:v>
      </x:c>
      <x:c r="C1559" s="2" t="str">
        <x:v>ST002</x:v>
      </x:c>
      <x:c r="D1559" s="2" t="str">
        <x:v>c9302a76d79e524442f3775978bb57a1</x:v>
      </x:c>
      <x:c r="E1559" s="2" t="str">
        <x:v>CHECK_IN</x:v>
      </x:c>
      <x:c r="F1559" s="8" t="n">
        <x:v>46302.43753472222</x:v>
      </x:c>
      <x:c r="G1559" s="8" t="n">
        <x:v>46302.43755787037</x:v>
      </x:c>
      <x:c r="H1559" s="2" t="str">
        <x:v>SCH01</x:v>
      </x:c>
      <x:c r="I1559" s="9" t="n">
        <x:v>25.285</x:v>
      </x:c>
      <x:c r="J1559" s="9" t="n">
        <x:v>51.51</x:v>
      </x:c>
      <x:c r="K1559" s="2" t="n">
        <x:v>8</x:v>
      </x:c>
      <x:c r="L1559" s="2" t="str">
        <x:v>Valid</x:v>
      </x:c>
      <x:c r="M1559" s="2" t="str">
        <x:v>QR</x:v>
      </x:c>
      <x:c r="N1559" s="2" t="n">
        <x:v>1</x:v>
      </x:c>
      <x:c r="O1559" s="2" t="str">
        <x:v>Accepted</x:v>
      </x:c>
      <x:c r="P1559" s="2" t="str">
        <x:v>S001</x:v>
      </x:c>
      <x:c r="Q1559" s="2" t="str">
        <x:v>DEV001</x:v>
      </x:c>
      <x:c r="R1559" s="2" t="n">
        <x:v>2</x:v>
      </x:c>
      <x:c r="S1559" s="2" t="str">
        <x:v>Online</x:v>
      </x:c>
      <x:c r="T1559" s="2" t="str">
        <x:v>Synced</x:v>
      </x:c>
    </x:row>
    <x:row r="1560" ht="21" customHeight="1">
      <x:c r="A1560" s="2" t="str">
        <x:v>EV001637</x:v>
      </x:c>
      <x:c r="B1560" s="2" t="str">
        <x:v>T20261007-2-2</x:v>
      </x:c>
      <x:c r="C1560" s="2" t="str">
        <x:v>ST042</x:v>
      </x:c>
      <x:c r="D1560" s="2" t="str">
        <x:v>9cf3254a8e8c8233e36089501cd1bc60</x:v>
      </x:c>
      <x:c r="E1560" s="2" t="str">
        <x:v>CHECK_IN</x:v>
      </x:c>
      <x:c r="F1560" s="8" t="n">
        <x:v>46302.43753472222</x:v>
      </x:c>
      <x:c r="G1560" s="8" t="n">
        <x:v>46302.43755787037</x:v>
      </x:c>
      <x:c r="H1560" s="2" t="str">
        <x:v>SCH01</x:v>
      </x:c>
      <x:c r="I1560" s="9" t="n">
        <x:v>25.285</x:v>
      </x:c>
      <x:c r="J1560" s="9" t="n">
        <x:v>51.51</x:v>
      </x:c>
      <x:c r="K1560" s="2" t="n">
        <x:v>8</x:v>
      </x:c>
      <x:c r="L1560" s="2" t="str">
        <x:v>Valid</x:v>
      </x:c>
      <x:c r="M1560" s="2" t="str">
        <x:v>QR</x:v>
      </x:c>
      <x:c r="N1560" s="2" t="n">
        <x:v>1</x:v>
      </x:c>
      <x:c r="O1560" s="2" t="str">
        <x:v>Accepted</x:v>
      </x:c>
      <x:c r="P1560" s="2" t="str">
        <x:v>S002</x:v>
      </x:c>
      <x:c r="Q1560" s="2" t="str">
        <x:v>DEV002</x:v>
      </x:c>
      <x:c r="R1560" s="2" t="n">
        <x:v>2</x:v>
      </x:c>
      <x:c r="S1560" s="2" t="str">
        <x:v>Online</x:v>
      </x:c>
      <x:c r="T1560" s="2" t="str">
        <x:v>Synced</x:v>
      </x:c>
    </x:row>
    <x:row r="1561" ht="21" customHeight="1">
      <x:c r="A1561" s="2" t="str">
        <x:v>EV001797</x:v>
      </x:c>
      <x:c r="B1561" s="2" t="str">
        <x:v>T20261007-2-3</x:v>
      </x:c>
      <x:c r="C1561" s="2" t="str">
        <x:v>ST082</x:v>
      </x:c>
      <x:c r="D1561" s="2" t="str">
        <x:v>fb7e28e2da3ace738571a6966bcaaec0</x:v>
      </x:c>
      <x:c r="E1561" s="2" t="str">
        <x:v>CHECK_IN</x:v>
      </x:c>
      <x:c r="F1561" s="8" t="n">
        <x:v>46302.43753472222</x:v>
      </x:c>
      <x:c r="G1561" s="8" t="n">
        <x:v>46302.43755787037</x:v>
      </x:c>
      <x:c r="H1561" s="2" t="str">
        <x:v>SCH01</x:v>
      </x:c>
      <x:c r="I1561" s="9" t="n">
        <x:v>25.285</x:v>
      </x:c>
      <x:c r="J1561" s="9" t="n">
        <x:v>51.51</x:v>
      </x:c>
      <x:c r="K1561" s="2" t="n">
        <x:v>8</x:v>
      </x:c>
      <x:c r="L1561" s="2" t="str">
        <x:v>Valid</x:v>
      </x:c>
      <x:c r="M1561" s="2" t="str">
        <x:v>QR</x:v>
      </x:c>
      <x:c r="N1561" s="2" t="n">
        <x:v>1</x:v>
      </x:c>
      <x:c r="O1561" s="2" t="str">
        <x:v>Accepted</x:v>
      </x:c>
      <x:c r="P1561" s="2" t="str">
        <x:v>S003</x:v>
      </x:c>
      <x:c r="Q1561" s="2" t="str">
        <x:v>DEV003</x:v>
      </x:c>
      <x:c r="R1561" s="2" t="n">
        <x:v>2</x:v>
      </x:c>
      <x:c r="S1561" s="2" t="str">
        <x:v>Online</x:v>
      </x:c>
      <x:c r="T1561" s="2" t="str">
        <x:v>Synced</x:v>
      </x:c>
    </x:row>
    <x:row r="1562" ht="21" customHeight="1">
      <x:c r="A1562" s="2" t="str">
        <x:v>EV001479</x:v>
      </x:c>
      <x:c r="B1562" s="2" t="str">
        <x:v>T20261007-2-1</x:v>
      </x:c>
      <x:c r="C1562" s="2" t="str">
        <x:v>ST003</x:v>
      </x:c>
      <x:c r="D1562" s="2" t="str">
        <x:v>7598e98213cb52db1085c9a94fae1915</x:v>
      </x:c>
      <x:c r="E1562" s="2" t="str">
        <x:v>CHECK_IN</x:v>
      </x:c>
      <x:c r="F1562" s="8" t="n">
        <x:v>46302.437569444446</x:v>
      </x:c>
      <x:c r="G1562" s="8" t="n">
        <x:v>46302.43759259259</x:v>
      </x:c>
      <x:c r="H1562" s="2" t="str">
        <x:v>SCH01</x:v>
      </x:c>
      <x:c r="I1562" s="9" t="n">
        <x:v>25.285</x:v>
      </x:c>
      <x:c r="J1562" s="9" t="n">
        <x:v>51.51</x:v>
      </x:c>
      <x:c r="K1562" s="2" t="n">
        <x:v>8</x:v>
      </x:c>
      <x:c r="L1562" s="2" t="str">
        <x:v>Valid</x:v>
      </x:c>
      <x:c r="M1562" s="2" t="str">
        <x:v>QR</x:v>
      </x:c>
      <x:c r="N1562" s="2" t="n">
        <x:v>1</x:v>
      </x:c>
      <x:c r="O1562" s="2" t="str">
        <x:v>Accepted</x:v>
      </x:c>
      <x:c r="P1562" s="2" t="str">
        <x:v>S001</x:v>
      </x:c>
      <x:c r="Q1562" s="2" t="str">
        <x:v>DEV001</x:v>
      </x:c>
      <x:c r="R1562" s="2" t="n">
        <x:v>3</x:v>
      </x:c>
      <x:c r="S1562" s="2" t="str">
        <x:v>Online</x:v>
      </x:c>
      <x:c r="T1562" s="2" t="str">
        <x:v>Synced</x:v>
      </x:c>
    </x:row>
    <x:row r="1563" ht="21" customHeight="1">
      <x:c r="A1563" s="2" t="str">
        <x:v>EV001639</x:v>
      </x:c>
      <x:c r="B1563" s="2" t="str">
        <x:v>T20261007-2-2</x:v>
      </x:c>
      <x:c r="C1563" s="2" t="str">
        <x:v>ST043</x:v>
      </x:c>
      <x:c r="D1563" s="2" t="str">
        <x:v>db51093fe9dac44d59345ee12f7e9c56</x:v>
      </x:c>
      <x:c r="E1563" s="2" t="str">
        <x:v>CHECK_IN</x:v>
      </x:c>
      <x:c r="F1563" s="8" t="n">
        <x:v>46302.437569444446</x:v>
      </x:c>
      <x:c r="G1563" s="8" t="n">
        <x:v>46302.43759259259</x:v>
      </x:c>
      <x:c r="H1563" s="2" t="str">
        <x:v>SCH01</x:v>
      </x:c>
      <x:c r="I1563" s="9" t="n">
        <x:v>25.285</x:v>
      </x:c>
      <x:c r="J1563" s="9" t="n">
        <x:v>51.51</x:v>
      </x:c>
      <x:c r="K1563" s="2" t="n">
        <x:v>8</x:v>
      </x:c>
      <x:c r="L1563" s="2" t="str">
        <x:v>Valid</x:v>
      </x:c>
      <x:c r="M1563" s="2" t="str">
        <x:v>QR</x:v>
      </x:c>
      <x:c r="N1563" s="2" t="n">
        <x:v>1</x:v>
      </x:c>
      <x:c r="O1563" s="2" t="str">
        <x:v>Accepted</x:v>
      </x:c>
      <x:c r="P1563" s="2" t="str">
        <x:v>S002</x:v>
      </x:c>
      <x:c r="Q1563" s="2" t="str">
        <x:v>DEV002</x:v>
      </x:c>
      <x:c r="R1563" s="2" t="n">
        <x:v>3</x:v>
      </x:c>
      <x:c r="S1563" s="2" t="str">
        <x:v>Online</x:v>
      </x:c>
      <x:c r="T1563" s="2" t="str">
        <x:v>Synced</x:v>
      </x:c>
    </x:row>
    <x:row r="1564" ht="21" customHeight="1">
      <x:c r="A1564" s="2" t="str">
        <x:v>EV001799</x:v>
      </x:c>
      <x:c r="B1564" s="2" t="str">
        <x:v>T20261007-2-3</x:v>
      </x:c>
      <x:c r="C1564" s="2" t="str">
        <x:v>ST083</x:v>
      </x:c>
      <x:c r="D1564" s="2" t="str">
        <x:v>19cc474730ce4d97be031814010d13a9</x:v>
      </x:c>
      <x:c r="E1564" s="2" t="str">
        <x:v>CHECK_IN</x:v>
      </x:c>
      <x:c r="F1564" s="8" t="n">
        <x:v>46302.437569444446</x:v>
      </x:c>
      <x:c r="G1564" s="8" t="n">
        <x:v>46302.43759259259</x:v>
      </x:c>
      <x:c r="H1564" s="2" t="str">
        <x:v>SCH01</x:v>
      </x:c>
      <x:c r="I1564" s="9" t="n">
        <x:v>25.285</x:v>
      </x:c>
      <x:c r="J1564" s="9" t="n">
        <x:v>51.51</x:v>
      </x:c>
      <x:c r="K1564" s="2" t="n">
        <x:v>8</x:v>
      </x:c>
      <x:c r="L1564" s="2" t="str">
        <x:v>Valid</x:v>
      </x:c>
      <x:c r="M1564" s="2" t="str">
        <x:v>QR</x:v>
      </x:c>
      <x:c r="N1564" s="2" t="n">
        <x:v>1</x:v>
      </x:c>
      <x:c r="O1564" s="2" t="str">
        <x:v>Accepted</x:v>
      </x:c>
      <x:c r="P1564" s="2" t="str">
        <x:v>S003</x:v>
      </x:c>
      <x:c r="Q1564" s="2" t="str">
        <x:v>DEV003</x:v>
      </x:c>
      <x:c r="R1564" s="2" t="n">
        <x:v>3</x:v>
      </x:c>
      <x:c r="S1564" s="2" t="str">
        <x:v>Online</x:v>
      </x:c>
      <x:c r="T1564" s="2" t="str">
        <x:v>Synced</x:v>
      </x:c>
    </x:row>
    <x:row r="1565" ht="21" customHeight="1">
      <x:c r="A1565" s="2" t="str">
        <x:v>EV001481</x:v>
      </x:c>
      <x:c r="B1565" s="2" t="str">
        <x:v>T20261007-2-1</x:v>
      </x:c>
      <x:c r="C1565" s="2" t="str">
        <x:v>ST004</x:v>
      </x:c>
      <x:c r="D1565" s="2" t="str">
        <x:v>7dee56e67101a0dd8483e1503eba9a72</x:v>
      </x:c>
      <x:c r="E1565" s="2" t="str">
        <x:v>CHECK_IN</x:v>
      </x:c>
      <x:c r="F1565" s="8" t="n">
        <x:v>46302.43760416667</x:v>
      </x:c>
      <x:c r="G1565" s="8" t="n">
        <x:v>46302.437627314815</x:v>
      </x:c>
      <x:c r="H1565" s="2" t="str">
        <x:v>SCH01</x:v>
      </x:c>
      <x:c r="I1565" s="9" t="n">
        <x:v>25.285</x:v>
      </x:c>
      <x:c r="J1565" s="9" t="n">
        <x:v>51.51</x:v>
      </x:c>
      <x:c r="K1565" s="2" t="n">
        <x:v>8</x:v>
      </x:c>
      <x:c r="L1565" s="2" t="str">
        <x:v>Valid</x:v>
      </x:c>
      <x:c r="M1565" s="2" t="str">
        <x:v>QR</x:v>
      </x:c>
      <x:c r="N1565" s="2" t="n">
        <x:v>1</x:v>
      </x:c>
      <x:c r="O1565" s="2" t="str">
        <x:v>Accepted</x:v>
      </x:c>
      <x:c r="P1565" s="2" t="str">
        <x:v>S001</x:v>
      </x:c>
      <x:c r="Q1565" s="2" t="str">
        <x:v>DEV001</x:v>
      </x:c>
      <x:c r="R1565" s="2" t="n">
        <x:v>4</x:v>
      </x:c>
      <x:c r="S1565" s="2" t="str">
        <x:v>Online</x:v>
      </x:c>
      <x:c r="T1565" s="2" t="str">
        <x:v>Synced</x:v>
      </x:c>
    </x:row>
    <x:row r="1566" ht="21" customHeight="1">
      <x:c r="A1566" s="2" t="str">
        <x:v>EV001641</x:v>
      </x:c>
      <x:c r="B1566" s="2" t="str">
        <x:v>T20261007-2-2</x:v>
      </x:c>
      <x:c r="C1566" s="2" t="str">
        <x:v>ST044</x:v>
      </x:c>
      <x:c r="D1566" s="2" t="str">
        <x:v>638b036dff08260bc8976402fb10157a</x:v>
      </x:c>
      <x:c r="E1566" s="2" t="str">
        <x:v>CHECK_IN</x:v>
      </x:c>
      <x:c r="F1566" s="8" t="n">
        <x:v>46302.43760416667</x:v>
      </x:c>
      <x:c r="G1566" s="8" t="n">
        <x:v>46302.437627314815</x:v>
      </x:c>
      <x:c r="H1566" s="2" t="str">
        <x:v>SCH01</x:v>
      </x:c>
      <x:c r="I1566" s="9" t="n">
        <x:v>25.285</x:v>
      </x:c>
      <x:c r="J1566" s="9" t="n">
        <x:v>51.51</x:v>
      </x:c>
      <x:c r="K1566" s="2" t="n">
        <x:v>8</x:v>
      </x:c>
      <x:c r="L1566" s="2" t="str">
        <x:v>Valid</x:v>
      </x:c>
      <x:c r="M1566" s="2" t="str">
        <x:v>QR</x:v>
      </x:c>
      <x:c r="N1566" s="2" t="n">
        <x:v>1</x:v>
      </x:c>
      <x:c r="O1566" s="2" t="str">
        <x:v>Accepted</x:v>
      </x:c>
      <x:c r="P1566" s="2" t="str">
        <x:v>S002</x:v>
      </x:c>
      <x:c r="Q1566" s="2" t="str">
        <x:v>DEV002</x:v>
      </x:c>
      <x:c r="R1566" s="2" t="n">
        <x:v>4</x:v>
      </x:c>
      <x:c r="S1566" s="2" t="str">
        <x:v>Online</x:v>
      </x:c>
      <x:c r="T1566" s="2" t="str">
        <x:v>Synced</x:v>
      </x:c>
    </x:row>
    <x:row r="1567" ht="21" customHeight="1">
      <x:c r="A1567" s="2" t="str">
        <x:v>EV001801</x:v>
      </x:c>
      <x:c r="B1567" s="2" t="str">
        <x:v>T20261007-2-3</x:v>
      </x:c>
      <x:c r="C1567" s="2" t="str">
        <x:v>ST084</x:v>
      </x:c>
      <x:c r="D1567" s="2" t="str">
        <x:v>2f6163b722feb8421b83fd278ee72e5c</x:v>
      </x:c>
      <x:c r="E1567" s="2" t="str">
        <x:v>CHECK_IN</x:v>
      </x:c>
      <x:c r="F1567" s="8" t="n">
        <x:v>46302.43760416667</x:v>
      </x:c>
      <x:c r="G1567" s="8" t="n">
        <x:v>46302.437627314815</x:v>
      </x:c>
      <x:c r="H1567" s="2" t="str">
        <x:v>SCH01</x:v>
      </x:c>
      <x:c r="I1567" s="9" t="n">
        <x:v>25.285</x:v>
      </x:c>
      <x:c r="J1567" s="9" t="n">
        <x:v>51.51</x:v>
      </x:c>
      <x:c r="K1567" s="2" t="n">
        <x:v>8</x:v>
      </x:c>
      <x:c r="L1567" s="2" t="str">
        <x:v>Valid</x:v>
      </x:c>
      <x:c r="M1567" s="2" t="str">
        <x:v>QR</x:v>
      </x:c>
      <x:c r="N1567" s="2" t="n">
        <x:v>1</x:v>
      </x:c>
      <x:c r="O1567" s="2" t="str">
        <x:v>Accepted</x:v>
      </x:c>
      <x:c r="P1567" s="2" t="str">
        <x:v>S003</x:v>
      </x:c>
      <x:c r="Q1567" s="2" t="str">
        <x:v>DEV003</x:v>
      </x:c>
      <x:c r="R1567" s="2" t="n">
        <x:v>4</x:v>
      </x:c>
      <x:c r="S1567" s="2" t="str">
        <x:v>Online</x:v>
      </x:c>
      <x:c r="T1567" s="2" t="str">
        <x:v>Synced</x:v>
      </x:c>
    </x:row>
    <x:row r="1568" ht="21" customHeight="1">
      <x:c r="A1568" s="2" t="str">
        <x:v>EV001483</x:v>
      </x:c>
      <x:c r="B1568" s="2" t="str">
        <x:v>T20261007-2-1</x:v>
      </x:c>
      <x:c r="C1568" s="2" t="str">
        <x:v>ST005</x:v>
      </x:c>
      <x:c r="D1568" s="2" t="str">
        <x:v>426727a8a0b9d51694a399a005c786cf</x:v>
      </x:c>
      <x:c r="E1568" s="2" t="str">
        <x:v>CHECK_IN</x:v>
      </x:c>
      <x:c r="F1568" s="8" t="n">
        <x:v>46302.43763888889</x:v>
      </x:c>
      <x:c r="G1568" s="8" t="n">
        <x:v>46302.43766203704</x:v>
      </x:c>
      <x:c r="H1568" s="2" t="str">
        <x:v>SCH01</x:v>
      </x:c>
      <x:c r="I1568" s="9" t="n">
        <x:v>25.285</x:v>
      </x:c>
      <x:c r="J1568" s="9" t="n">
        <x:v>51.51</x:v>
      </x:c>
      <x:c r="K1568" s="2" t="n">
        <x:v>8</x:v>
      </x:c>
      <x:c r="L1568" s="2" t="str">
        <x:v>Valid</x:v>
      </x:c>
      <x:c r="M1568" s="2" t="str">
        <x:v>QR</x:v>
      </x:c>
      <x:c r="N1568" s="2" t="n">
        <x:v>1</x:v>
      </x:c>
      <x:c r="O1568" s="2" t="str">
        <x:v>Accepted</x:v>
      </x:c>
      <x:c r="P1568" s="2" t="str">
        <x:v>S001</x:v>
      </x:c>
      <x:c r="Q1568" s="2" t="str">
        <x:v>DEV001</x:v>
      </x:c>
      <x:c r="R1568" s="2" t="n">
        <x:v>5</x:v>
      </x:c>
      <x:c r="S1568" s="2" t="str">
        <x:v>Online</x:v>
      </x:c>
      <x:c r="T1568" s="2" t="str">
        <x:v>Synced</x:v>
      </x:c>
    </x:row>
    <x:row r="1569" ht="21" customHeight="1">
      <x:c r="A1569" s="2" t="str">
        <x:v>EV001643</x:v>
      </x:c>
      <x:c r="B1569" s="2" t="str">
        <x:v>T20261007-2-2</x:v>
      </x:c>
      <x:c r="C1569" s="2" t="str">
        <x:v>ST045</x:v>
      </x:c>
      <x:c r="D1569" s="2" t="str">
        <x:v>10d8df8a06a7c869bcaa1adbc88c05bc</x:v>
      </x:c>
      <x:c r="E1569" s="2" t="str">
        <x:v>CHECK_IN</x:v>
      </x:c>
      <x:c r="F1569" s="8" t="n">
        <x:v>46302.43763888889</x:v>
      </x:c>
      <x:c r="G1569" s="8" t="n">
        <x:v>46302.43766203704</x:v>
      </x:c>
      <x:c r="H1569" s="2" t="str">
        <x:v>SCH01</x:v>
      </x:c>
      <x:c r="I1569" s="9" t="n">
        <x:v>25.285</x:v>
      </x:c>
      <x:c r="J1569" s="9" t="n">
        <x:v>51.51</x:v>
      </x:c>
      <x:c r="K1569" s="2" t="n">
        <x:v>8</x:v>
      </x:c>
      <x:c r="L1569" s="2" t="str">
        <x:v>Valid</x:v>
      </x:c>
      <x:c r="M1569" s="2" t="str">
        <x:v>QR</x:v>
      </x:c>
      <x:c r="N1569" s="2" t="n">
        <x:v>1</x:v>
      </x:c>
      <x:c r="O1569" s="2" t="str">
        <x:v>Accepted</x:v>
      </x:c>
      <x:c r="P1569" s="2" t="str">
        <x:v>S002</x:v>
      </x:c>
      <x:c r="Q1569" s="2" t="str">
        <x:v>DEV002</x:v>
      </x:c>
      <x:c r="R1569" s="2" t="n">
        <x:v>5</x:v>
      </x:c>
      <x:c r="S1569" s="2" t="str">
        <x:v>Online</x:v>
      </x:c>
      <x:c r="T1569" s="2" t="str">
        <x:v>Synced</x:v>
      </x:c>
    </x:row>
    <x:row r="1570" ht="21" customHeight="1">
      <x:c r="A1570" s="2" t="str">
        <x:v>EV001803</x:v>
      </x:c>
      <x:c r="B1570" s="2" t="str">
        <x:v>T20261007-2-3</x:v>
      </x:c>
      <x:c r="C1570" s="2" t="str">
        <x:v>ST085</x:v>
      </x:c>
      <x:c r="D1570" s="2" t="str">
        <x:v>80babdd572dde222a75b7ad8f0fe7ffa</x:v>
      </x:c>
      <x:c r="E1570" s="2" t="str">
        <x:v>CHECK_IN</x:v>
      </x:c>
      <x:c r="F1570" s="8" t="n">
        <x:v>46302.43763888889</x:v>
      </x:c>
      <x:c r="G1570" s="8" t="n">
        <x:v>46302.43766203704</x:v>
      </x:c>
      <x:c r="H1570" s="2" t="str">
        <x:v>SCH01</x:v>
      </x:c>
      <x:c r="I1570" s="9" t="n">
        <x:v>25.285</x:v>
      </x:c>
      <x:c r="J1570" s="9" t="n">
        <x:v>51.51</x:v>
      </x:c>
      <x:c r="K1570" s="2" t="n">
        <x:v>8</x:v>
      </x:c>
      <x:c r="L1570" s="2" t="str">
        <x:v>Valid</x:v>
      </x:c>
      <x:c r="M1570" s="2" t="str">
        <x:v>QR</x:v>
      </x:c>
      <x:c r="N1570" s="2" t="n">
        <x:v>1</x:v>
      </x:c>
      <x:c r="O1570" s="2" t="str">
        <x:v>Accepted</x:v>
      </x:c>
      <x:c r="P1570" s="2" t="str">
        <x:v>S003</x:v>
      </x:c>
      <x:c r="Q1570" s="2" t="str">
        <x:v>DEV003</x:v>
      </x:c>
      <x:c r="R1570" s="2" t="n">
        <x:v>5</x:v>
      </x:c>
      <x:c r="S1570" s="2" t="str">
        <x:v>Online</x:v>
      </x:c>
      <x:c r="T1570" s="2" t="str">
        <x:v>Synced</x:v>
      </x:c>
    </x:row>
    <x:row r="1571" ht="21" customHeight="1">
      <x:c r="A1571" s="2" t="str">
        <x:v>EV001485</x:v>
      </x:c>
      <x:c r="B1571" s="2" t="str">
        <x:v>T20261007-2-1</x:v>
      </x:c>
      <x:c r="C1571" s="2" t="str">
        <x:v>ST006</x:v>
      </x:c>
      <x:c r="D1571" s="2" t="str">
        <x:v>8edd7f2c984bf2eb5adf75591d6f1e9c</x:v>
      </x:c>
      <x:c r="E1571" s="2" t="str">
        <x:v>CHECK_IN</x:v>
      </x:c>
      <x:c r="F1571" s="8" t="n">
        <x:v>46302.43767361111</x:v>
      </x:c>
      <x:c r="G1571" s="8" t="n">
        <x:v>46302.437696759254</x:v>
      </x:c>
      <x:c r="H1571" s="2" t="str">
        <x:v>SCH01</x:v>
      </x:c>
      <x:c r="I1571" s="9" t="n">
        <x:v>25.285</x:v>
      </x:c>
      <x:c r="J1571" s="9" t="n">
        <x:v>51.51</x:v>
      </x:c>
      <x:c r="K1571" s="2" t="n">
        <x:v>8</x:v>
      </x:c>
      <x:c r="L1571" s="2" t="str">
        <x:v>Valid</x:v>
      </x:c>
      <x:c r="M1571" s="2" t="str">
        <x:v>QR</x:v>
      </x:c>
      <x:c r="N1571" s="2" t="n">
        <x:v>1</x:v>
      </x:c>
      <x:c r="O1571" s="2" t="str">
        <x:v>Accepted</x:v>
      </x:c>
      <x:c r="P1571" s="2" t="str">
        <x:v>S001</x:v>
      </x:c>
      <x:c r="Q1571" s="2" t="str">
        <x:v>DEV001</x:v>
      </x:c>
      <x:c r="R1571" s="2" t="n">
        <x:v>6</x:v>
      </x:c>
      <x:c r="S1571" s="2" t="str">
        <x:v>Online</x:v>
      </x:c>
      <x:c r="T1571" s="2" t="str">
        <x:v>Synced</x:v>
      </x:c>
    </x:row>
    <x:row r="1572" ht="21" customHeight="1">
      <x:c r="A1572" s="2" t="str">
        <x:v>EV001645</x:v>
      </x:c>
      <x:c r="B1572" s="2" t="str">
        <x:v>T20261007-2-2</x:v>
      </x:c>
      <x:c r="C1572" s="2" t="str">
        <x:v>ST046</x:v>
      </x:c>
      <x:c r="D1572" s="2" t="str">
        <x:v>82365992d443d056f10fa7522ac29057</x:v>
      </x:c>
      <x:c r="E1572" s="2" t="str">
        <x:v>CHECK_IN</x:v>
      </x:c>
      <x:c r="F1572" s="8" t="n">
        <x:v>46302.43767361111</x:v>
      </x:c>
      <x:c r="G1572" s="8" t="n">
        <x:v>46302.437696759254</x:v>
      </x:c>
      <x:c r="H1572" s="2" t="str">
        <x:v>SCH01</x:v>
      </x:c>
      <x:c r="I1572" s="9" t="n">
        <x:v>25.285</x:v>
      </x:c>
      <x:c r="J1572" s="9" t="n">
        <x:v>51.51</x:v>
      </x:c>
      <x:c r="K1572" s="2" t="n">
        <x:v>8</x:v>
      </x:c>
      <x:c r="L1572" s="2" t="str">
        <x:v>Valid</x:v>
      </x:c>
      <x:c r="M1572" s="2" t="str">
        <x:v>QR</x:v>
      </x:c>
      <x:c r="N1572" s="2" t="n">
        <x:v>1</x:v>
      </x:c>
      <x:c r="O1572" s="2" t="str">
        <x:v>Accepted</x:v>
      </x:c>
      <x:c r="P1572" s="2" t="str">
        <x:v>S002</x:v>
      </x:c>
      <x:c r="Q1572" s="2" t="str">
        <x:v>DEV002</x:v>
      </x:c>
      <x:c r="R1572" s="2" t="n">
        <x:v>6</x:v>
      </x:c>
      <x:c r="S1572" s="2" t="str">
        <x:v>Online</x:v>
      </x:c>
      <x:c r="T1572" s="2" t="str">
        <x:v>Synced</x:v>
      </x:c>
    </x:row>
    <x:row r="1573" ht="21" customHeight="1">
      <x:c r="A1573" s="2" t="str">
        <x:v>EV001805</x:v>
      </x:c>
      <x:c r="B1573" s="2" t="str">
        <x:v>T20261007-2-3</x:v>
      </x:c>
      <x:c r="C1573" s="2" t="str">
        <x:v>ST086</x:v>
      </x:c>
      <x:c r="D1573" s="2" t="str">
        <x:v>33c5dfd0f17fcbe34d50fd9b0a0c0e5b</x:v>
      </x:c>
      <x:c r="E1573" s="2" t="str">
        <x:v>CHECK_IN</x:v>
      </x:c>
      <x:c r="F1573" s="8" t="n">
        <x:v>46302.43767361111</x:v>
      </x:c>
      <x:c r="G1573" s="8" t="n">
        <x:v>46302.437696759254</x:v>
      </x:c>
      <x:c r="H1573" s="2" t="str">
        <x:v>SCH01</x:v>
      </x:c>
      <x:c r="I1573" s="9" t="n">
        <x:v>25.285</x:v>
      </x:c>
      <x:c r="J1573" s="9" t="n">
        <x:v>51.51</x:v>
      </x:c>
      <x:c r="K1573" s="2" t="n">
        <x:v>8</x:v>
      </x:c>
      <x:c r="L1573" s="2" t="str">
        <x:v>Valid</x:v>
      </x:c>
      <x:c r="M1573" s="2" t="str">
        <x:v>QR</x:v>
      </x:c>
      <x:c r="N1573" s="2" t="n">
        <x:v>1</x:v>
      </x:c>
      <x:c r="O1573" s="2" t="str">
        <x:v>Accepted</x:v>
      </x:c>
      <x:c r="P1573" s="2" t="str">
        <x:v>S003</x:v>
      </x:c>
      <x:c r="Q1573" s="2" t="str">
        <x:v>DEV003</x:v>
      </x:c>
      <x:c r="R1573" s="2" t="n">
        <x:v>6</x:v>
      </x:c>
      <x:c r="S1573" s="2" t="str">
        <x:v>Online</x:v>
      </x:c>
      <x:c r="T1573" s="2" t="str">
        <x:v>Synced</x:v>
      </x:c>
    </x:row>
    <x:row r="1574" ht="21" customHeight="1">
      <x:c r="A1574" s="2" t="str">
        <x:v>EV001487</x:v>
      </x:c>
      <x:c r="B1574" s="2" t="str">
        <x:v>T20261007-2-1</x:v>
      </x:c>
      <x:c r="C1574" s="2" t="str">
        <x:v>ST007</x:v>
      </x:c>
      <x:c r="D1574" s="2" t="str">
        <x:v>2376173ab02a96d9b58d44caf4008dfd</x:v>
      </x:c>
      <x:c r="E1574" s="2" t="str">
        <x:v>CHECK_IN</x:v>
      </x:c>
      <x:c r="F1574" s="8" t="n">
        <x:v>46302.43770833333</x:v>
      </x:c>
      <x:c r="G1574" s="8" t="n">
        <x:v>46302.43773148148</x:v>
      </x:c>
      <x:c r="H1574" s="2" t="str">
        <x:v>SCH01</x:v>
      </x:c>
      <x:c r="I1574" s="9" t="n">
        <x:v>25.285</x:v>
      </x:c>
      <x:c r="J1574" s="9" t="n">
        <x:v>51.51</x:v>
      </x:c>
      <x:c r="K1574" s="2" t="n">
        <x:v>8</x:v>
      </x:c>
      <x:c r="L1574" s="2" t="str">
        <x:v>Valid</x:v>
      </x:c>
      <x:c r="M1574" s="2" t="str">
        <x:v>QR</x:v>
      </x:c>
      <x:c r="N1574" s="2" t="n">
        <x:v>1</x:v>
      </x:c>
      <x:c r="O1574" s="2" t="str">
        <x:v>Accepted</x:v>
      </x:c>
      <x:c r="P1574" s="2" t="str">
        <x:v>S001</x:v>
      </x:c>
      <x:c r="Q1574" s="2" t="str">
        <x:v>DEV001</x:v>
      </x:c>
      <x:c r="R1574" s="2" t="n">
        <x:v>7</x:v>
      </x:c>
      <x:c r="S1574" s="2" t="str">
        <x:v>Online</x:v>
      </x:c>
      <x:c r="T1574" s="2" t="str">
        <x:v>Synced</x:v>
      </x:c>
    </x:row>
    <x:row r="1575" ht="21" customHeight="1">
      <x:c r="A1575" s="2" t="str">
        <x:v>EV001647</x:v>
      </x:c>
      <x:c r="B1575" s="2" t="str">
        <x:v>T20261007-2-2</x:v>
      </x:c>
      <x:c r="C1575" s="2" t="str">
        <x:v>ST047</x:v>
      </x:c>
      <x:c r="D1575" s="2" t="str">
        <x:v>b3f6380a42fb190ae04afac7edee87cd</x:v>
      </x:c>
      <x:c r="E1575" s="2" t="str">
        <x:v>CHECK_IN</x:v>
      </x:c>
      <x:c r="F1575" s="8" t="n">
        <x:v>46302.43770833333</x:v>
      </x:c>
      <x:c r="G1575" s="8" t="n">
        <x:v>46302.43773148148</x:v>
      </x:c>
      <x:c r="H1575" s="2" t="str">
        <x:v>SCH01</x:v>
      </x:c>
      <x:c r="I1575" s="9" t="n">
        <x:v>25.285</x:v>
      </x:c>
      <x:c r="J1575" s="9" t="n">
        <x:v>51.51</x:v>
      </x:c>
      <x:c r="K1575" s="2" t="n">
        <x:v>8</x:v>
      </x:c>
      <x:c r="L1575" s="2" t="str">
        <x:v>Valid</x:v>
      </x:c>
      <x:c r="M1575" s="2" t="str">
        <x:v>QR</x:v>
      </x:c>
      <x:c r="N1575" s="2" t="n">
        <x:v>1</x:v>
      </x:c>
      <x:c r="O1575" s="2" t="str">
        <x:v>Accepted</x:v>
      </x:c>
      <x:c r="P1575" s="2" t="str">
        <x:v>S002</x:v>
      </x:c>
      <x:c r="Q1575" s="2" t="str">
        <x:v>DEV002</x:v>
      </x:c>
      <x:c r="R1575" s="2" t="n">
        <x:v>7</x:v>
      </x:c>
      <x:c r="S1575" s="2" t="str">
        <x:v>Online</x:v>
      </x:c>
      <x:c r="T1575" s="2" t="str">
        <x:v>Synced</x:v>
      </x:c>
    </x:row>
    <x:row r="1576" ht="21" customHeight="1">
      <x:c r="A1576" s="2" t="str">
        <x:v>EV001807</x:v>
      </x:c>
      <x:c r="B1576" s="2" t="str">
        <x:v>T20261007-2-3</x:v>
      </x:c>
      <x:c r="C1576" s="2" t="str">
        <x:v>ST087</x:v>
      </x:c>
      <x:c r="D1576" s="2" t="str">
        <x:v>30243cf46003be06b271950aa5cd47a6</x:v>
      </x:c>
      <x:c r="E1576" s="2" t="str">
        <x:v>CHECK_IN</x:v>
      </x:c>
      <x:c r="F1576" s="8" t="n">
        <x:v>46302.43770833333</x:v>
      </x:c>
      <x:c r="G1576" s="8" t="n">
        <x:v>46302.43773148148</x:v>
      </x:c>
      <x:c r="H1576" s="2" t="str">
        <x:v>SCH01</x:v>
      </x:c>
      <x:c r="I1576" s="9" t="n">
        <x:v>25.285</x:v>
      </x:c>
      <x:c r="J1576" s="9" t="n">
        <x:v>51.51</x:v>
      </x:c>
      <x:c r="K1576" s="2" t="n">
        <x:v>8</x:v>
      </x:c>
      <x:c r="L1576" s="2" t="str">
        <x:v>Valid</x:v>
      </x:c>
      <x:c r="M1576" s="2" t="str">
        <x:v>QR</x:v>
      </x:c>
      <x:c r="N1576" s="2" t="n">
        <x:v>1</x:v>
      </x:c>
      <x:c r="O1576" s="2" t="str">
        <x:v>Accepted</x:v>
      </x:c>
      <x:c r="P1576" s="2" t="str">
        <x:v>S003</x:v>
      </x:c>
      <x:c r="Q1576" s="2" t="str">
        <x:v>DEV003</x:v>
      </x:c>
      <x:c r="R1576" s="2" t="n">
        <x:v>7</x:v>
      </x:c>
      <x:c r="S1576" s="2" t="str">
        <x:v>Online</x:v>
      </x:c>
      <x:c r="T1576" s="2" t="str">
        <x:v>Synced</x:v>
      </x:c>
    </x:row>
    <x:row r="1577" ht="21" customHeight="1">
      <x:c r="A1577" s="2" t="str">
        <x:v>EV001489</x:v>
      </x:c>
      <x:c r="B1577" s="2" t="str">
        <x:v>T20261007-2-1</x:v>
      </x:c>
      <x:c r="C1577" s="2" t="str">
        <x:v>ST008</x:v>
      </x:c>
      <x:c r="D1577" s="2" t="str">
        <x:v>ac4baf5d317844907005c691f401c42d</x:v>
      </x:c>
      <x:c r="E1577" s="2" t="str">
        <x:v>CHECK_IN</x:v>
      </x:c>
      <x:c r="F1577" s="8" t="n">
        <x:v>46302.437743055554</x:v>
      </x:c>
      <x:c r="G1577" s="8" t="n">
        <x:v>46302.4377662037</x:v>
      </x:c>
      <x:c r="H1577" s="2" t="str">
        <x:v>SCH01</x:v>
      </x:c>
      <x:c r="I1577" s="9" t="n">
        <x:v>25.285</x:v>
      </x:c>
      <x:c r="J1577" s="9" t="n">
        <x:v>51.51</x:v>
      </x:c>
      <x:c r="K1577" s="2" t="n">
        <x:v>8</x:v>
      </x:c>
      <x:c r="L1577" s="2" t="str">
        <x:v>Valid</x:v>
      </x:c>
      <x:c r="M1577" s="2" t="str">
        <x:v>QR</x:v>
      </x:c>
      <x:c r="N1577" s="2" t="n">
        <x:v>1</x:v>
      </x:c>
      <x:c r="O1577" s="2" t="str">
        <x:v>Accepted</x:v>
      </x:c>
      <x:c r="P1577" s="2" t="str">
        <x:v>S001</x:v>
      </x:c>
      <x:c r="Q1577" s="2" t="str">
        <x:v>DEV001</x:v>
      </x:c>
      <x:c r="R1577" s="2" t="n">
        <x:v>8</x:v>
      </x:c>
      <x:c r="S1577" s="2" t="str">
        <x:v>Online</x:v>
      </x:c>
      <x:c r="T1577" s="2" t="str">
        <x:v>Synced</x:v>
      </x:c>
    </x:row>
    <x:row r="1578" ht="21" customHeight="1">
      <x:c r="A1578" s="2" t="str">
        <x:v>EV001649</x:v>
      </x:c>
      <x:c r="B1578" s="2" t="str">
        <x:v>T20261007-2-2</x:v>
      </x:c>
      <x:c r="C1578" s="2" t="str">
        <x:v>ST048</x:v>
      </x:c>
      <x:c r="D1578" s="2" t="str">
        <x:v>e3a3009a9bd3946e21f417e93203aa79</x:v>
      </x:c>
      <x:c r="E1578" s="2" t="str">
        <x:v>CHECK_IN</x:v>
      </x:c>
      <x:c r="F1578" s="8" t="n">
        <x:v>46302.437743055554</x:v>
      </x:c>
      <x:c r="G1578" s="8" t="n">
        <x:v>46302.4377662037</x:v>
      </x:c>
      <x:c r="H1578" s="2" t="str">
        <x:v>SCH01</x:v>
      </x:c>
      <x:c r="I1578" s="9" t="n">
        <x:v>25.285</x:v>
      </x:c>
      <x:c r="J1578" s="9" t="n">
        <x:v>51.51</x:v>
      </x:c>
      <x:c r="K1578" s="2" t="n">
        <x:v>8</x:v>
      </x:c>
      <x:c r="L1578" s="2" t="str">
        <x:v>Valid</x:v>
      </x:c>
      <x:c r="M1578" s="2" t="str">
        <x:v>QR</x:v>
      </x:c>
      <x:c r="N1578" s="2" t="n">
        <x:v>1</x:v>
      </x:c>
      <x:c r="O1578" s="2" t="str">
        <x:v>Accepted</x:v>
      </x:c>
      <x:c r="P1578" s="2" t="str">
        <x:v>S002</x:v>
      </x:c>
      <x:c r="Q1578" s="2" t="str">
        <x:v>DEV002</x:v>
      </x:c>
      <x:c r="R1578" s="2" t="n">
        <x:v>8</x:v>
      </x:c>
      <x:c r="S1578" s="2" t="str">
        <x:v>Online</x:v>
      </x:c>
      <x:c r="T1578" s="2" t="str">
        <x:v>Synced</x:v>
      </x:c>
    </x:row>
    <x:row r="1579" ht="21" customHeight="1">
      <x:c r="A1579" s="2" t="str">
        <x:v>EV001809</x:v>
      </x:c>
      <x:c r="B1579" s="2" t="str">
        <x:v>T20261007-2-3</x:v>
      </x:c>
      <x:c r="C1579" s="2" t="str">
        <x:v>ST088</x:v>
      </x:c>
      <x:c r="D1579" s="2" t="str">
        <x:v>b227769e0483e6c28eed8e8d448bfbbe</x:v>
      </x:c>
      <x:c r="E1579" s="2" t="str">
        <x:v>CHECK_IN</x:v>
      </x:c>
      <x:c r="F1579" s="8" t="n">
        <x:v>46302.437743055554</x:v>
      </x:c>
      <x:c r="G1579" s="8" t="n">
        <x:v>46302.4377662037</x:v>
      </x:c>
      <x:c r="H1579" s="2" t="str">
        <x:v>SCH01</x:v>
      </x:c>
      <x:c r="I1579" s="9" t="n">
        <x:v>25.285</x:v>
      </x:c>
      <x:c r="J1579" s="9" t="n">
        <x:v>51.51</x:v>
      </x:c>
      <x:c r="K1579" s="2" t="n">
        <x:v>8</x:v>
      </x:c>
      <x:c r="L1579" s="2" t="str">
        <x:v>Valid</x:v>
      </x:c>
      <x:c r="M1579" s="2" t="str">
        <x:v>QR</x:v>
      </x:c>
      <x:c r="N1579" s="2" t="n">
        <x:v>1</x:v>
      </x:c>
      <x:c r="O1579" s="2" t="str">
        <x:v>Accepted</x:v>
      </x:c>
      <x:c r="P1579" s="2" t="str">
        <x:v>S003</x:v>
      </x:c>
      <x:c r="Q1579" s="2" t="str">
        <x:v>DEV003</x:v>
      </x:c>
      <x:c r="R1579" s="2" t="n">
        <x:v>8</x:v>
      </x:c>
      <x:c r="S1579" s="2" t="str">
        <x:v>Online</x:v>
      </x:c>
      <x:c r="T1579" s="2" t="str">
        <x:v>Synced</x:v>
      </x:c>
    </x:row>
    <x:row r="1580" ht="21" customHeight="1">
      <x:c r="A1580" s="2" t="str">
        <x:v>EV001491</x:v>
      </x:c>
      <x:c r="B1580" s="2" t="str">
        <x:v>T20261007-2-1</x:v>
      </x:c>
      <x:c r="C1580" s="2" t="str">
        <x:v>ST009</x:v>
      </x:c>
      <x:c r="D1580" s="2" t="str">
        <x:v>fdc849f07f4ba12ab82f6bed87d7275d</x:v>
      </x:c>
      <x:c r="E1580" s="2" t="str">
        <x:v>CHECK_IN</x:v>
      </x:c>
      <x:c r="F1580" s="8" t="n">
        <x:v>46302.43777777778</x:v>
      </x:c>
      <x:c r="G1580" s="8" t="n">
        <x:v>46302.43780092592</x:v>
      </x:c>
      <x:c r="H1580" s="2" t="str">
        <x:v>SCH01</x:v>
      </x:c>
      <x:c r="I1580" s="9" t="n">
        <x:v>25.285</x:v>
      </x:c>
      <x:c r="J1580" s="9" t="n">
        <x:v>51.51</x:v>
      </x:c>
      <x:c r="K1580" s="2" t="n">
        <x:v>8</x:v>
      </x:c>
      <x:c r="L1580" s="2" t="str">
        <x:v>Valid</x:v>
      </x:c>
      <x:c r="M1580" s="2" t="str">
        <x:v>QR</x:v>
      </x:c>
      <x:c r="N1580" s="2" t="n">
        <x:v>1</x:v>
      </x:c>
      <x:c r="O1580" s="2" t="str">
        <x:v>Accepted</x:v>
      </x:c>
      <x:c r="P1580" s="2" t="str">
        <x:v>S001</x:v>
      </x:c>
      <x:c r="Q1580" s="2" t="str">
        <x:v>DEV001</x:v>
      </x:c>
      <x:c r="R1580" s="2" t="n">
        <x:v>9</x:v>
      </x:c>
      <x:c r="S1580" s="2" t="str">
        <x:v>Online</x:v>
      </x:c>
      <x:c r="T1580" s="2" t="str">
        <x:v>Synced</x:v>
      </x:c>
    </x:row>
    <x:row r="1581" ht="21" customHeight="1">
      <x:c r="A1581" s="2" t="str">
        <x:v>EV001651</x:v>
      </x:c>
      <x:c r="B1581" s="2" t="str">
        <x:v>T20261007-2-2</x:v>
      </x:c>
      <x:c r="C1581" s="2" t="str">
        <x:v>ST049</x:v>
      </x:c>
      <x:c r="D1581" s="2" t="str">
        <x:v>aac0da9ca028b4b4fe1fc2c1eb298502</x:v>
      </x:c>
      <x:c r="E1581" s="2" t="str">
        <x:v>CHECK_IN</x:v>
      </x:c>
      <x:c r="F1581" s="8" t="n">
        <x:v>46302.43777777778</x:v>
      </x:c>
      <x:c r="G1581" s="8" t="n">
        <x:v>46302.43780092592</x:v>
      </x:c>
      <x:c r="H1581" s="2" t="str">
        <x:v>SCH01</x:v>
      </x:c>
      <x:c r="I1581" s="9" t="n">
        <x:v>25.285</x:v>
      </x:c>
      <x:c r="J1581" s="9" t="n">
        <x:v>51.51</x:v>
      </x:c>
      <x:c r="K1581" s="2" t="n">
        <x:v>8</x:v>
      </x:c>
      <x:c r="L1581" s="2" t="str">
        <x:v>Valid</x:v>
      </x:c>
      <x:c r="M1581" s="2" t="str">
        <x:v>QR</x:v>
      </x:c>
      <x:c r="N1581" s="2" t="n">
        <x:v>1</x:v>
      </x:c>
      <x:c r="O1581" s="2" t="str">
        <x:v>Accepted</x:v>
      </x:c>
      <x:c r="P1581" s="2" t="str">
        <x:v>S002</x:v>
      </x:c>
      <x:c r="Q1581" s="2" t="str">
        <x:v>DEV002</x:v>
      </x:c>
      <x:c r="R1581" s="2" t="n">
        <x:v>9</x:v>
      </x:c>
      <x:c r="S1581" s="2" t="str">
        <x:v>Online</x:v>
      </x:c>
      <x:c r="T1581" s="2" t="str">
        <x:v>Synced</x:v>
      </x:c>
    </x:row>
    <x:row r="1582" ht="21" customHeight="1">
      <x:c r="A1582" s="2" t="str">
        <x:v>EV001811</x:v>
      </x:c>
      <x:c r="B1582" s="2" t="str">
        <x:v>T20261007-2-3</x:v>
      </x:c>
      <x:c r="C1582" s="2" t="str">
        <x:v>ST089</x:v>
      </x:c>
      <x:c r="D1582" s="2" t="str">
        <x:v>0bd697ec3f7c09918d8dd004b5340b03</x:v>
      </x:c>
      <x:c r="E1582" s="2" t="str">
        <x:v>CHECK_IN</x:v>
      </x:c>
      <x:c r="F1582" s="8" t="n">
        <x:v>46302.43777777778</x:v>
      </x:c>
      <x:c r="G1582" s="8" t="n">
        <x:v>46302.43780092592</x:v>
      </x:c>
      <x:c r="H1582" s="2" t="str">
        <x:v>SCH01</x:v>
      </x:c>
      <x:c r="I1582" s="9" t="n">
        <x:v>25.285</x:v>
      </x:c>
      <x:c r="J1582" s="9" t="n">
        <x:v>51.51</x:v>
      </x:c>
      <x:c r="K1582" s="2" t="n">
        <x:v>8</x:v>
      </x:c>
      <x:c r="L1582" s="2" t="str">
        <x:v>Valid</x:v>
      </x:c>
      <x:c r="M1582" s="2" t="str">
        <x:v>QR</x:v>
      </x:c>
      <x:c r="N1582" s="2" t="n">
        <x:v>1</x:v>
      </x:c>
      <x:c r="O1582" s="2" t="str">
        <x:v>Accepted</x:v>
      </x:c>
      <x:c r="P1582" s="2" t="str">
        <x:v>S003</x:v>
      </x:c>
      <x:c r="Q1582" s="2" t="str">
        <x:v>DEV003</x:v>
      </x:c>
      <x:c r="R1582" s="2" t="n">
        <x:v>9</x:v>
      </x:c>
      <x:c r="S1582" s="2" t="str">
        <x:v>Online</x:v>
      </x:c>
      <x:c r="T1582" s="2" t="str">
        <x:v>Synced</x:v>
      </x:c>
    </x:row>
    <x:row r="1583" ht="21" customHeight="1">
      <x:c r="A1583" s="2" t="str">
        <x:v>EV001493</x:v>
      </x:c>
      <x:c r="B1583" s="2" t="str">
        <x:v>T20261007-2-1</x:v>
      </x:c>
      <x:c r="C1583" s="2" t="str">
        <x:v>ST010</x:v>
      </x:c>
      <x:c r="D1583" s="2" t="str">
        <x:v>df6521f6838e149b7b1f3fd27dcbf586</x:v>
      </x:c>
      <x:c r="E1583" s="2" t="str">
        <x:v>CHECK_IN</x:v>
      </x:c>
      <x:c r="F1583" s="8" t="n">
        <x:v>46302.4378125</x:v>
      </x:c>
      <x:c r="G1583" s="8" t="n">
        <x:v>46302.43783564815</x:v>
      </x:c>
      <x:c r="H1583" s="2" t="str">
        <x:v>SCH01</x:v>
      </x:c>
      <x:c r="I1583" s="9" t="n">
        <x:v>25.285</x:v>
      </x:c>
      <x:c r="J1583" s="9" t="n">
        <x:v>51.51</x:v>
      </x:c>
      <x:c r="K1583" s="2" t="n">
        <x:v>8</x:v>
      </x:c>
      <x:c r="L1583" s="2" t="str">
        <x:v>Valid</x:v>
      </x:c>
      <x:c r="M1583" s="2" t="str">
        <x:v>QR</x:v>
      </x:c>
      <x:c r="N1583" s="2" t="n">
        <x:v>1</x:v>
      </x:c>
      <x:c r="O1583" s="2" t="str">
        <x:v>Accepted</x:v>
      </x:c>
      <x:c r="P1583" s="2" t="str">
        <x:v>S001</x:v>
      </x:c>
      <x:c r="Q1583" s="2" t="str">
        <x:v>DEV001</x:v>
      </x:c>
      <x:c r="R1583" s="2" t="n">
        <x:v>10</x:v>
      </x:c>
      <x:c r="S1583" s="2" t="str">
        <x:v>Online</x:v>
      </x:c>
      <x:c r="T1583" s="2" t="str">
        <x:v>Synced</x:v>
      </x:c>
    </x:row>
    <x:row r="1584" ht="21" customHeight="1">
      <x:c r="A1584" s="2" t="str">
        <x:v>EV001653</x:v>
      </x:c>
      <x:c r="B1584" s="2" t="str">
        <x:v>T20261007-2-2</x:v>
      </x:c>
      <x:c r="C1584" s="2" t="str">
        <x:v>ST050</x:v>
      </x:c>
      <x:c r="D1584" s="2" t="str">
        <x:v>ca49474881a6395691ac81bd08684ed6</x:v>
      </x:c>
      <x:c r="E1584" s="2" t="str">
        <x:v>CHECK_IN</x:v>
      </x:c>
      <x:c r="F1584" s="8" t="n">
        <x:v>46302.4378125</x:v>
      </x:c>
      <x:c r="G1584" s="8" t="n">
        <x:v>46302.43783564815</x:v>
      </x:c>
      <x:c r="H1584" s="2" t="str">
        <x:v>SCH01</x:v>
      </x:c>
      <x:c r="I1584" s="9" t="n">
        <x:v>25.285</x:v>
      </x:c>
      <x:c r="J1584" s="9" t="n">
        <x:v>51.51</x:v>
      </x:c>
      <x:c r="K1584" s="2" t="n">
        <x:v>8</x:v>
      </x:c>
      <x:c r="L1584" s="2" t="str">
        <x:v>Valid</x:v>
      </x:c>
      <x:c r="M1584" s="2" t="str">
        <x:v>QR</x:v>
      </x:c>
      <x:c r="N1584" s="2" t="n">
        <x:v>1</x:v>
      </x:c>
      <x:c r="O1584" s="2" t="str">
        <x:v>Accepted</x:v>
      </x:c>
      <x:c r="P1584" s="2" t="str">
        <x:v>S002</x:v>
      </x:c>
      <x:c r="Q1584" s="2" t="str">
        <x:v>DEV002</x:v>
      </x:c>
      <x:c r="R1584" s="2" t="n">
        <x:v>10</x:v>
      </x:c>
      <x:c r="S1584" s="2" t="str">
        <x:v>Online</x:v>
      </x:c>
      <x:c r="T1584" s="2" t="str">
        <x:v>Synced</x:v>
      </x:c>
    </x:row>
    <x:row r="1585" ht="21" customHeight="1">
      <x:c r="A1585" s="2" t="str">
        <x:v>EV001813</x:v>
      </x:c>
      <x:c r="B1585" s="2" t="str">
        <x:v>T20261007-2-3</x:v>
      </x:c>
      <x:c r="C1585" s="2" t="str">
        <x:v>ST090</x:v>
      </x:c>
      <x:c r="D1585" s="2" t="str">
        <x:v>3b91252475551a374010825e1f05642c</x:v>
      </x:c>
      <x:c r="E1585" s="2" t="str">
        <x:v>CHECK_IN</x:v>
      </x:c>
      <x:c r="F1585" s="8" t="n">
        <x:v>46302.4378125</x:v>
      </x:c>
      <x:c r="G1585" s="8" t="n">
        <x:v>46302.43783564815</x:v>
      </x:c>
      <x:c r="H1585" s="2" t="str">
        <x:v>SCH01</x:v>
      </x:c>
      <x:c r="I1585" s="9" t="n">
        <x:v>25.285</x:v>
      </x:c>
      <x:c r="J1585" s="9" t="n">
        <x:v>51.51</x:v>
      </x:c>
      <x:c r="K1585" s="2" t="n">
        <x:v>8</x:v>
      </x:c>
      <x:c r="L1585" s="2" t="str">
        <x:v>Valid</x:v>
      </x:c>
      <x:c r="M1585" s="2" t="str">
        <x:v>QR</x:v>
      </x:c>
      <x:c r="N1585" s="2" t="n">
        <x:v>1</x:v>
      </x:c>
      <x:c r="O1585" s="2" t="str">
        <x:v>Accepted</x:v>
      </x:c>
      <x:c r="P1585" s="2" t="str">
        <x:v>S003</x:v>
      </x:c>
      <x:c r="Q1585" s="2" t="str">
        <x:v>DEV003</x:v>
      </x:c>
      <x:c r="R1585" s="2" t="n">
        <x:v>10</x:v>
      </x:c>
      <x:c r="S1585" s="2" t="str">
        <x:v>Online</x:v>
      </x:c>
      <x:c r="T1585" s="2" t="str">
        <x:v>Synced</x:v>
      </x:c>
    </x:row>
    <x:row r="1586" ht="21" customHeight="1">
      <x:c r="A1586" s="2" t="str">
        <x:v>EV001476</x:v>
      </x:c>
      <x:c r="B1586" s="2" t="str">
        <x:v>T20261007-2-1</x:v>
      </x:c>
      <x:c r="C1586" s="2" t="str">
        <x:v>ST001</x:v>
      </x:c>
      <x:c r="D1586" s="2" t="str">
        <x:v>c33d277e346360e93548e66cbf71eda4</x:v>
      </x:c>
      <x:c r="E1586" s="2" t="str">
        <x:v>CHECK_OUT</x:v>
      </x:c>
      <x:c r="F1586" s="8" t="n">
        <x:v>46302.44930555555</x:v>
      </x:c>
      <x:c r="G1586" s="8" t="n">
        <x:v>46302.4493287037</x:v>
      </x:c>
      <x:c r="H1586" s="2" t="str">
        <x:v>R1S1</x:v>
      </x:c>
      <x:c r="I1586" s="9" t="n">
        <x:v>25.271</x:v>
      </x:c>
      <x:c r="J1586" s="9" t="n">
        <x:v>51.491</x:v>
      </x:c>
      <x:c r="K1586" s="2" t="n">
        <x:v>8</x:v>
      </x:c>
      <x:c r="L1586" s="2" t="str">
        <x:v>Valid</x:v>
      </x:c>
      <x:c r="M1586" s="2" t="str">
        <x:v>QR</x:v>
      </x:c>
      <x:c r="N1586" s="2" t="n">
        <x:v>1</x:v>
      </x:c>
      <x:c r="O1586" s="2" t="str">
        <x:v>Accepted</x:v>
      </x:c>
      <x:c r="P1586" s="2" t="str">
        <x:v>S001</x:v>
      </x:c>
      <x:c r="Q1586" s="2" t="str">
        <x:v>DEV001</x:v>
      </x:c>
      <x:c r="R1586" s="2" t="n">
        <x:v>11</x:v>
      </x:c>
      <x:c r="S1586" s="2" t="str">
        <x:v>Online</x:v>
      </x:c>
      <x:c r="T1586" s="2" t="str">
        <x:v>Synced</x:v>
      </x:c>
    </x:row>
    <x:row r="1587" ht="21" customHeight="1">
      <x:c r="A1587" s="2" t="str">
        <x:v>EV001636</x:v>
      </x:c>
      <x:c r="B1587" s="2" t="str">
        <x:v>T20261007-2-2</x:v>
      </x:c>
      <x:c r="C1587" s="2" t="str">
        <x:v>ST041</x:v>
      </x:c>
      <x:c r="D1587" s="2" t="str">
        <x:v>78597cf805a87b7619460b6ed67f501f</x:v>
      </x:c>
      <x:c r="E1587" s="2" t="str">
        <x:v>CHECK_OUT</x:v>
      </x:c>
      <x:c r="F1587" s="8" t="n">
        <x:v>46302.44930555555</x:v>
      </x:c>
      <x:c r="G1587" s="8" t="n">
        <x:v>46302.4493287037</x:v>
      </x:c>
      <x:c r="H1587" s="2" t="str">
        <x:v>R2S1</x:v>
      </x:c>
      <x:c r="I1587" s="9" t="n">
        <x:v>25.28</x:v>
      </x:c>
      <x:c r="J1587" s="9" t="n">
        <x:v>51.498999999999995</x:v>
      </x:c>
      <x:c r="K1587" s="2" t="n">
        <x:v>8</x:v>
      </x:c>
      <x:c r="L1587" s="2" t="str">
        <x:v>Valid</x:v>
      </x:c>
      <x:c r="M1587" s="2" t="str">
        <x:v>QR</x:v>
      </x:c>
      <x:c r="N1587" s="2" t="n">
        <x:v>1</x:v>
      </x:c>
      <x:c r="O1587" s="2" t="str">
        <x:v>Accepted</x:v>
      </x:c>
      <x:c r="P1587" s="2" t="str">
        <x:v>S002</x:v>
      </x:c>
      <x:c r="Q1587" s="2" t="str">
        <x:v>DEV002</x:v>
      </x:c>
      <x:c r="R1587" s="2" t="n">
        <x:v>11</x:v>
      </x:c>
      <x:c r="S1587" s="2" t="str">
        <x:v>Online</x:v>
      </x:c>
      <x:c r="T1587" s="2" t="str">
        <x:v>Synced</x:v>
      </x:c>
    </x:row>
    <x:row r="1588" ht="21" customHeight="1">
      <x:c r="A1588" s="2" t="str">
        <x:v>EV001796</x:v>
      </x:c>
      <x:c r="B1588" s="2" t="str">
        <x:v>T20261007-2-3</x:v>
      </x:c>
      <x:c r="C1588" s="2" t="str">
        <x:v>ST081</x:v>
      </x:c>
      <x:c r="D1588" s="2" t="str">
        <x:v>8631b63b10b36bffa6456d354db9c08f</x:v>
      </x:c>
      <x:c r="E1588" s="2" t="str">
        <x:v>CHECK_OUT</x:v>
      </x:c>
      <x:c r="F1588" s="8" t="n">
        <x:v>46302.44930555555</x:v>
      </x:c>
      <x:c r="G1588" s="8" t="n">
        <x:v>46302.4493287037</x:v>
      </x:c>
      <x:c r="H1588" s="2" t="str">
        <x:v>R3S1</x:v>
      </x:c>
      <x:c r="I1588" s="9" t="n">
        <x:v>25.289</x:v>
      </x:c>
      <x:c r="J1588" s="9" t="n">
        <x:v>51.507</x:v>
      </x:c>
      <x:c r="K1588" s="2" t="n">
        <x:v>8</x:v>
      </x:c>
      <x:c r="L1588" s="2" t="str">
        <x:v>Valid</x:v>
      </x:c>
      <x:c r="M1588" s="2" t="str">
        <x:v>QR</x:v>
      </x:c>
      <x:c r="N1588" s="2" t="n">
        <x:v>1</x:v>
      </x:c>
      <x:c r="O1588" s="2" t="str">
        <x:v>Accepted</x:v>
      </x:c>
      <x:c r="P1588" s="2" t="str">
        <x:v>S003</x:v>
      </x:c>
      <x:c r="Q1588" s="2" t="str">
        <x:v>DEV003</x:v>
      </x:c>
      <x:c r="R1588" s="2" t="n">
        <x:v>11</x:v>
      </x:c>
      <x:c r="S1588" s="2" t="str">
        <x:v>Online</x:v>
      </x:c>
      <x:c r="T1588" s="2" t="str">
        <x:v>Synced</x:v>
      </x:c>
    </x:row>
    <x:row r="1589" ht="21" customHeight="1">
      <x:c r="A1589" s="2" t="str">
        <x:v>EV001482</x:v>
      </x:c>
      <x:c r="B1589" s="2" t="str">
        <x:v>T20261007-2-1</x:v>
      </x:c>
      <x:c r="C1589" s="2" t="str">
        <x:v>ST004</x:v>
      </x:c>
      <x:c r="D1589" s="2" t="str">
        <x:v>7dee56e67101a0dd8483e1503eba9a72</x:v>
      </x:c>
      <x:c r="E1589" s="2" t="str">
        <x:v>CHECK_OUT</x:v>
      </x:c>
      <x:c r="F1589" s="8" t="n">
        <x:v>46302.44940972222</x:v>
      </x:c>
      <x:c r="G1589" s="8" t="n">
        <x:v>46302.449432870366</x:v>
      </x:c>
      <x:c r="H1589" s="2" t="str">
        <x:v>R1S1</x:v>
      </x:c>
      <x:c r="I1589" s="9" t="n">
        <x:v>25.271</x:v>
      </x:c>
      <x:c r="J1589" s="9" t="n">
        <x:v>51.491</x:v>
      </x:c>
      <x:c r="K1589" s="2" t="n">
        <x:v>8</x:v>
      </x:c>
      <x:c r="L1589" s="2" t="str">
        <x:v>Valid</x:v>
      </x:c>
      <x:c r="M1589" s="2" t="str">
        <x:v>QR</x:v>
      </x:c>
      <x:c r="N1589" s="2" t="n">
        <x:v>1</x:v>
      </x:c>
      <x:c r="O1589" s="2" t="str">
        <x:v>Accepted</x:v>
      </x:c>
      <x:c r="P1589" s="2" t="str">
        <x:v>S001</x:v>
      </x:c>
      <x:c r="Q1589" s="2" t="str">
        <x:v>DEV001</x:v>
      </x:c>
      <x:c r="R1589" s="2" t="n">
        <x:v>12</x:v>
      </x:c>
      <x:c r="S1589" s="2" t="str">
        <x:v>Online</x:v>
      </x:c>
      <x:c r="T1589" s="2" t="str">
        <x:v>Synced</x:v>
      </x:c>
    </x:row>
    <x:row r="1590" ht="21" customHeight="1">
      <x:c r="A1590" s="2" t="str">
        <x:v>EV001642</x:v>
      </x:c>
      <x:c r="B1590" s="2" t="str">
        <x:v>T20261007-2-2</x:v>
      </x:c>
      <x:c r="C1590" s="2" t="str">
        <x:v>ST044</x:v>
      </x:c>
      <x:c r="D1590" s="2" t="str">
        <x:v>638b036dff08260bc8976402fb10157a</x:v>
      </x:c>
      <x:c r="E1590" s="2" t="str">
        <x:v>CHECK_OUT</x:v>
      </x:c>
      <x:c r="F1590" s="8" t="n">
        <x:v>46302.44940972222</x:v>
      </x:c>
      <x:c r="G1590" s="8" t="n">
        <x:v>46302.449432870366</x:v>
      </x:c>
      <x:c r="H1590" s="2" t="str">
        <x:v>R2S1</x:v>
      </x:c>
      <x:c r="I1590" s="9" t="n">
        <x:v>25.28</x:v>
      </x:c>
      <x:c r="J1590" s="9" t="n">
        <x:v>51.498999999999995</x:v>
      </x:c>
      <x:c r="K1590" s="2" t="n">
        <x:v>8</x:v>
      </x:c>
      <x:c r="L1590" s="2" t="str">
        <x:v>Valid</x:v>
      </x:c>
      <x:c r="M1590" s="2" t="str">
        <x:v>QR</x:v>
      </x:c>
      <x:c r="N1590" s="2" t="n">
        <x:v>1</x:v>
      </x:c>
      <x:c r="O1590" s="2" t="str">
        <x:v>Accepted</x:v>
      </x:c>
      <x:c r="P1590" s="2" t="str">
        <x:v>S002</x:v>
      </x:c>
      <x:c r="Q1590" s="2" t="str">
        <x:v>DEV002</x:v>
      </x:c>
      <x:c r="R1590" s="2" t="n">
        <x:v>12</x:v>
      </x:c>
      <x:c r="S1590" s="2" t="str">
        <x:v>Online</x:v>
      </x:c>
      <x:c r="T1590" s="2" t="str">
        <x:v>Synced</x:v>
      </x:c>
    </x:row>
    <x:row r="1591" ht="21" customHeight="1">
      <x:c r="A1591" s="2" t="str">
        <x:v>EV001802</x:v>
      </x:c>
      <x:c r="B1591" s="2" t="str">
        <x:v>T20261007-2-3</x:v>
      </x:c>
      <x:c r="C1591" s="2" t="str">
        <x:v>ST084</x:v>
      </x:c>
      <x:c r="D1591" s="2" t="str">
        <x:v>2f6163b722feb8421b83fd278ee72e5c</x:v>
      </x:c>
      <x:c r="E1591" s="2" t="str">
        <x:v>CHECK_OUT</x:v>
      </x:c>
      <x:c r="F1591" s="8" t="n">
        <x:v>46302.44940972222</x:v>
      </x:c>
      <x:c r="G1591" s="8" t="n">
        <x:v>46302.449432870366</x:v>
      </x:c>
      <x:c r="H1591" s="2" t="str">
        <x:v>R3S1</x:v>
      </x:c>
      <x:c r="I1591" s="9" t="n">
        <x:v>25.289</x:v>
      </x:c>
      <x:c r="J1591" s="9" t="n">
        <x:v>51.507</x:v>
      </x:c>
      <x:c r="K1591" s="2" t="n">
        <x:v>8</x:v>
      </x:c>
      <x:c r="L1591" s="2" t="str">
        <x:v>Valid</x:v>
      </x:c>
      <x:c r="M1591" s="2" t="str">
        <x:v>QR</x:v>
      </x:c>
      <x:c r="N1591" s="2" t="n">
        <x:v>1</x:v>
      </x:c>
      <x:c r="O1591" s="2" t="str">
        <x:v>Accepted</x:v>
      </x:c>
      <x:c r="P1591" s="2" t="str">
        <x:v>S003</x:v>
      </x:c>
      <x:c r="Q1591" s="2" t="str">
        <x:v>DEV003</x:v>
      </x:c>
      <x:c r="R1591" s="2" t="n">
        <x:v>12</x:v>
      </x:c>
      <x:c r="S1591" s="2" t="str">
        <x:v>Online</x:v>
      </x:c>
      <x:c r="T1591" s="2" t="str">
        <x:v>Synced</x:v>
      </x:c>
    </x:row>
    <x:row r="1592" ht="21" customHeight="1">
      <x:c r="A1592" s="2" t="str">
        <x:v>EV001488</x:v>
      </x:c>
      <x:c r="B1592" s="2" t="str">
        <x:v>T20261007-2-1</x:v>
      </x:c>
      <x:c r="C1592" s="2" t="str">
        <x:v>ST007</x:v>
      </x:c>
      <x:c r="D1592" s="2" t="str">
        <x:v>2376173ab02a96d9b58d44caf4008dfd</x:v>
      </x:c>
      <x:c r="E1592" s="2" t="str">
        <x:v>CHECK_OUT</x:v>
      </x:c>
      <x:c r="F1592" s="8" t="n">
        <x:v>46302.44951388888</x:v>
      </x:c>
      <x:c r="G1592" s="8" t="n">
        <x:v>46302.44953703703</x:v>
      </x:c>
      <x:c r="H1592" s="2" t="str">
        <x:v>R1S1</x:v>
      </x:c>
      <x:c r="I1592" s="9" t="n">
        <x:v>25.271</x:v>
      </x:c>
      <x:c r="J1592" s="9" t="n">
        <x:v>51.491</x:v>
      </x:c>
      <x:c r="K1592" s="2" t="n">
        <x:v>8</x:v>
      </x:c>
      <x:c r="L1592" s="2" t="str">
        <x:v>Valid</x:v>
      </x:c>
      <x:c r="M1592" s="2" t="str">
        <x:v>QR</x:v>
      </x:c>
      <x:c r="N1592" s="2" t="n">
        <x:v>1</x:v>
      </x:c>
      <x:c r="O1592" s="2" t="str">
        <x:v>Accepted</x:v>
      </x:c>
      <x:c r="P1592" s="2" t="str">
        <x:v>S001</x:v>
      </x:c>
      <x:c r="Q1592" s="2" t="str">
        <x:v>DEV001</x:v>
      </x:c>
      <x:c r="R1592" s="2" t="n">
        <x:v>13</x:v>
      </x:c>
      <x:c r="S1592" s="2" t="str">
        <x:v>Online</x:v>
      </x:c>
      <x:c r="T1592" s="2" t="str">
        <x:v>Synced</x:v>
      </x:c>
    </x:row>
    <x:row r="1593" ht="21" customHeight="1">
      <x:c r="A1593" s="2" t="str">
        <x:v>EV001648</x:v>
      </x:c>
      <x:c r="B1593" s="2" t="str">
        <x:v>T20261007-2-2</x:v>
      </x:c>
      <x:c r="C1593" s="2" t="str">
        <x:v>ST047</x:v>
      </x:c>
      <x:c r="D1593" s="2" t="str">
        <x:v>b3f6380a42fb190ae04afac7edee87cd</x:v>
      </x:c>
      <x:c r="E1593" s="2" t="str">
        <x:v>CHECK_OUT</x:v>
      </x:c>
      <x:c r="F1593" s="8" t="n">
        <x:v>46302.44951388888</x:v>
      </x:c>
      <x:c r="G1593" s="8" t="n">
        <x:v>46302.44953703703</x:v>
      </x:c>
      <x:c r="H1593" s="2" t="str">
        <x:v>R2S1</x:v>
      </x:c>
      <x:c r="I1593" s="9" t="n">
        <x:v>25.28</x:v>
      </x:c>
      <x:c r="J1593" s="9" t="n">
        <x:v>51.498999999999995</x:v>
      </x:c>
      <x:c r="K1593" s="2" t="n">
        <x:v>8</x:v>
      </x:c>
      <x:c r="L1593" s="2" t="str">
        <x:v>Valid</x:v>
      </x:c>
      <x:c r="M1593" s="2" t="str">
        <x:v>QR</x:v>
      </x:c>
      <x:c r="N1593" s="2" t="n">
        <x:v>1</x:v>
      </x:c>
      <x:c r="O1593" s="2" t="str">
        <x:v>Accepted</x:v>
      </x:c>
      <x:c r="P1593" s="2" t="str">
        <x:v>S002</x:v>
      </x:c>
      <x:c r="Q1593" s="2" t="str">
        <x:v>DEV002</x:v>
      </x:c>
      <x:c r="R1593" s="2" t="n">
        <x:v>13</x:v>
      </x:c>
      <x:c r="S1593" s="2" t="str">
        <x:v>Online</x:v>
      </x:c>
      <x:c r="T1593" s="2" t="str">
        <x:v>Synced</x:v>
      </x:c>
    </x:row>
    <x:row r="1594" ht="21" customHeight="1">
      <x:c r="A1594" s="2" t="str">
        <x:v>EV001808</x:v>
      </x:c>
      <x:c r="B1594" s="2" t="str">
        <x:v>T20261007-2-3</x:v>
      </x:c>
      <x:c r="C1594" s="2" t="str">
        <x:v>ST087</x:v>
      </x:c>
      <x:c r="D1594" s="2" t="str">
        <x:v>30243cf46003be06b271950aa5cd47a6</x:v>
      </x:c>
      <x:c r="E1594" s="2" t="str">
        <x:v>CHECK_OUT</x:v>
      </x:c>
      <x:c r="F1594" s="8" t="n">
        <x:v>46302.44951388888</x:v>
      </x:c>
      <x:c r="G1594" s="8" t="n">
        <x:v>46302.44953703703</x:v>
      </x:c>
      <x:c r="H1594" s="2" t="str">
        <x:v>R3S1</x:v>
      </x:c>
      <x:c r="I1594" s="9" t="n">
        <x:v>25.289</x:v>
      </x:c>
      <x:c r="J1594" s="9" t="n">
        <x:v>51.507</x:v>
      </x:c>
      <x:c r="K1594" s="2" t="n">
        <x:v>8</x:v>
      </x:c>
      <x:c r="L1594" s="2" t="str">
        <x:v>Valid</x:v>
      </x:c>
      <x:c r="M1594" s="2" t="str">
        <x:v>QR</x:v>
      </x:c>
      <x:c r="N1594" s="2" t="n">
        <x:v>1</x:v>
      </x:c>
      <x:c r="O1594" s="2" t="str">
        <x:v>Accepted</x:v>
      </x:c>
      <x:c r="P1594" s="2" t="str">
        <x:v>S003</x:v>
      </x:c>
      <x:c r="Q1594" s="2" t="str">
        <x:v>DEV003</x:v>
      </x:c>
      <x:c r="R1594" s="2" t="n">
        <x:v>13</x:v>
      </x:c>
      <x:c r="S1594" s="2" t="str">
        <x:v>Online</x:v>
      </x:c>
      <x:c r="T1594" s="2" t="str">
        <x:v>Synced</x:v>
      </x:c>
    </x:row>
    <x:row r="1595" ht="21" customHeight="1">
      <x:c r="A1595" s="2" t="str">
        <x:v>EV001494</x:v>
      </x:c>
      <x:c r="B1595" s="2" t="str">
        <x:v>T20261007-2-1</x:v>
      </x:c>
      <x:c r="C1595" s="2" t="str">
        <x:v>ST010</x:v>
      </x:c>
      <x:c r="D1595" s="2" t="str">
        <x:v>df6521f6838e149b7b1f3fd27dcbf586</x:v>
      </x:c>
      <x:c r="E1595" s="2" t="str">
        <x:v>CHECK_OUT</x:v>
      </x:c>
      <x:c r="F1595" s="8" t="n">
        <x:v>46302.44961805555</x:v>
      </x:c>
      <x:c r="G1595" s="8" t="n">
        <x:v>46302.4496412037</x:v>
      </x:c>
      <x:c r="H1595" s="2" t="str">
        <x:v>R1S1</x:v>
      </x:c>
      <x:c r="I1595" s="9" t="n">
        <x:v>25.271</x:v>
      </x:c>
      <x:c r="J1595" s="9" t="n">
        <x:v>51.491</x:v>
      </x:c>
      <x:c r="K1595" s="2" t="n">
        <x:v>8</x:v>
      </x:c>
      <x:c r="L1595" s="2" t="str">
        <x:v>Valid</x:v>
      </x:c>
      <x:c r="M1595" s="2" t="str">
        <x:v>QR</x:v>
      </x:c>
      <x:c r="N1595" s="2" t="n">
        <x:v>1</x:v>
      </x:c>
      <x:c r="O1595" s="2" t="str">
        <x:v>Accepted</x:v>
      </x:c>
      <x:c r="P1595" s="2" t="str">
        <x:v>S001</x:v>
      </x:c>
      <x:c r="Q1595" s="2" t="str">
        <x:v>DEV001</x:v>
      </x:c>
      <x:c r="R1595" s="2" t="n">
        <x:v>14</x:v>
      </x:c>
      <x:c r="S1595" s="2" t="str">
        <x:v>Online</x:v>
      </x:c>
      <x:c r="T1595" s="2" t="str">
        <x:v>Synced</x:v>
      </x:c>
    </x:row>
    <x:row r="1596" ht="21" customHeight="1">
      <x:c r="A1596" s="2" t="str">
        <x:v>EV001654</x:v>
      </x:c>
      <x:c r="B1596" s="2" t="str">
        <x:v>T20261007-2-2</x:v>
      </x:c>
      <x:c r="C1596" s="2" t="str">
        <x:v>ST050</x:v>
      </x:c>
      <x:c r="D1596" s="2" t="str">
        <x:v>ca49474881a6395691ac81bd08684ed6</x:v>
      </x:c>
      <x:c r="E1596" s="2" t="str">
        <x:v>CHECK_OUT</x:v>
      </x:c>
      <x:c r="F1596" s="8" t="n">
        <x:v>46302.44961805555</x:v>
      </x:c>
      <x:c r="G1596" s="8" t="n">
        <x:v>46302.4496412037</x:v>
      </x:c>
      <x:c r="H1596" s="2" t="str">
        <x:v>R2S1</x:v>
      </x:c>
      <x:c r="I1596" s="9" t="n">
        <x:v>25.28</x:v>
      </x:c>
      <x:c r="J1596" s="9" t="n">
        <x:v>51.498999999999995</x:v>
      </x:c>
      <x:c r="K1596" s="2" t="n">
        <x:v>8</x:v>
      </x:c>
      <x:c r="L1596" s="2" t="str">
        <x:v>Valid</x:v>
      </x:c>
      <x:c r="M1596" s="2" t="str">
        <x:v>QR</x:v>
      </x:c>
      <x:c r="N1596" s="2" t="n">
        <x:v>1</x:v>
      </x:c>
      <x:c r="O1596" s="2" t="str">
        <x:v>Accepted</x:v>
      </x:c>
      <x:c r="P1596" s="2" t="str">
        <x:v>S002</x:v>
      </x:c>
      <x:c r="Q1596" s="2" t="str">
        <x:v>DEV002</x:v>
      </x:c>
      <x:c r="R1596" s="2" t="n">
        <x:v>14</x:v>
      </x:c>
      <x:c r="S1596" s="2" t="str">
        <x:v>Online</x:v>
      </x:c>
      <x:c r="T1596" s="2" t="str">
        <x:v>Synced</x:v>
      </x:c>
    </x:row>
    <x:row r="1597" ht="21" customHeight="1">
      <x:c r="A1597" s="2" t="str">
        <x:v>EV001814</x:v>
      </x:c>
      <x:c r="B1597" s="2" t="str">
        <x:v>T20261007-2-3</x:v>
      </x:c>
      <x:c r="C1597" s="2" t="str">
        <x:v>ST090</x:v>
      </x:c>
      <x:c r="D1597" s="2" t="str">
        <x:v>3b91252475551a374010825e1f05642c</x:v>
      </x:c>
      <x:c r="E1597" s="2" t="str">
        <x:v>CHECK_OUT</x:v>
      </x:c>
      <x:c r="F1597" s="8" t="n">
        <x:v>46302.44961805555</x:v>
      </x:c>
      <x:c r="G1597" s="8" t="n">
        <x:v>46302.4496412037</x:v>
      </x:c>
      <x:c r="H1597" s="2" t="str">
        <x:v>R3S1</x:v>
      </x:c>
      <x:c r="I1597" s="9" t="n">
        <x:v>25.289</x:v>
      </x:c>
      <x:c r="J1597" s="9" t="n">
        <x:v>51.507</x:v>
      </x:c>
      <x:c r="K1597" s="2" t="n">
        <x:v>8</x:v>
      </x:c>
      <x:c r="L1597" s="2" t="str">
        <x:v>Valid</x:v>
      </x:c>
      <x:c r="M1597" s="2" t="str">
        <x:v>QR</x:v>
      </x:c>
      <x:c r="N1597" s="2" t="n">
        <x:v>1</x:v>
      </x:c>
      <x:c r="O1597" s="2" t="str">
        <x:v>Accepted</x:v>
      </x:c>
      <x:c r="P1597" s="2" t="str">
        <x:v>S003</x:v>
      </x:c>
      <x:c r="Q1597" s="2" t="str">
        <x:v>DEV003</x:v>
      </x:c>
      <x:c r="R1597" s="2" t="n">
        <x:v>14</x:v>
      </x:c>
      <x:c r="S1597" s="2" t="str">
        <x:v>Online</x:v>
      </x:c>
      <x:c r="T1597" s="2" t="str">
        <x:v>Synced</x:v>
      </x:c>
    </x:row>
    <x:row r="1598" ht="21" customHeight="1">
      <x:c r="A1598" s="2" t="str">
        <x:v>EV001478</x:v>
      </x:c>
      <x:c r="B1598" s="2" t="str">
        <x:v>T20261007-2-1</x:v>
      </x:c>
      <x:c r="C1598" s="2" t="str">
        <x:v>ST002</x:v>
      </x:c>
      <x:c r="D1598" s="2" t="str">
        <x:v>c9302a76d79e524442f3775978bb57a1</x:v>
      </x:c>
      <x:c r="E1598" s="2" t="str">
        <x:v>CHECK_OUT</x:v>
      </x:c>
      <x:c r="F1598" s="8" t="n">
        <x:v>46302.45350694445</x:v>
      </x:c>
      <x:c r="G1598" s="8" t="n">
        <x:v>46302.45353009259</x:v>
      </x:c>
      <x:c r="H1598" s="2" t="str">
        <x:v>R1S2</x:v>
      </x:c>
      <x:c r="I1598" s="9" t="n">
        <x:v>25.273000000000003</x:v>
      </x:c>
      <x:c r="J1598" s="9" t="n">
        <x:v>51.494</x:v>
      </x:c>
      <x:c r="K1598" s="2" t="n">
        <x:v>8</x:v>
      </x:c>
      <x:c r="L1598" s="2" t="str">
        <x:v>Valid</x:v>
      </x:c>
      <x:c r="M1598" s="2" t="str">
        <x:v>QR</x:v>
      </x:c>
      <x:c r="N1598" s="2" t="n">
        <x:v>1</x:v>
      </x:c>
      <x:c r="O1598" s="2" t="str">
        <x:v>Accepted</x:v>
      </x:c>
      <x:c r="P1598" s="2" t="str">
        <x:v>S001</x:v>
      </x:c>
      <x:c r="Q1598" s="2" t="str">
        <x:v>DEV001</x:v>
      </x:c>
      <x:c r="R1598" s="2" t="n">
        <x:v>15</x:v>
      </x:c>
      <x:c r="S1598" s="2" t="str">
        <x:v>Online</x:v>
      </x:c>
      <x:c r="T1598" s="2" t="str">
        <x:v>Synced</x:v>
      </x:c>
    </x:row>
    <x:row r="1599" ht="21" customHeight="1">
      <x:c r="A1599" s="2" t="str">
        <x:v>EV001638</x:v>
      </x:c>
      <x:c r="B1599" s="2" t="str">
        <x:v>T20261007-2-2</x:v>
      </x:c>
      <x:c r="C1599" s="2" t="str">
        <x:v>ST042</x:v>
      </x:c>
      <x:c r="D1599" s="2" t="str">
        <x:v>9cf3254a8e8c8233e36089501cd1bc60</x:v>
      </x:c>
      <x:c r="E1599" s="2" t="str">
        <x:v>CHECK_OUT</x:v>
      </x:c>
      <x:c r="F1599" s="8" t="n">
        <x:v>46302.45350694445</x:v>
      </x:c>
      <x:c r="G1599" s="8" t="n">
        <x:v>46302.45353009259</x:v>
      </x:c>
      <x:c r="H1599" s="2" t="str">
        <x:v>R2S2</x:v>
      </x:c>
      <x:c r="I1599" s="9" t="n">
        <x:v>25.282000000000004</x:v>
      </x:c>
      <x:c r="J1599" s="9" t="n">
        <x:v>51.501999999999995</x:v>
      </x:c>
      <x:c r="K1599" s="2" t="n">
        <x:v>8</x:v>
      </x:c>
      <x:c r="L1599" s="2" t="str">
        <x:v>Valid</x:v>
      </x:c>
      <x:c r="M1599" s="2" t="str">
        <x:v>QR</x:v>
      </x:c>
      <x:c r="N1599" s="2" t="n">
        <x:v>1</x:v>
      </x:c>
      <x:c r="O1599" s="2" t="str">
        <x:v>Accepted</x:v>
      </x:c>
      <x:c r="P1599" s="2" t="str">
        <x:v>S002</x:v>
      </x:c>
      <x:c r="Q1599" s="2" t="str">
        <x:v>DEV002</x:v>
      </x:c>
      <x:c r="R1599" s="2" t="n">
        <x:v>15</x:v>
      </x:c>
      <x:c r="S1599" s="2" t="str">
        <x:v>Online</x:v>
      </x:c>
      <x:c r="T1599" s="2" t="str">
        <x:v>Synced</x:v>
      </x:c>
    </x:row>
    <x:row r="1600" ht="21" customHeight="1">
      <x:c r="A1600" s="2" t="str">
        <x:v>EV001798</x:v>
      </x:c>
      <x:c r="B1600" s="2" t="str">
        <x:v>T20261007-2-3</x:v>
      </x:c>
      <x:c r="C1600" s="2" t="str">
        <x:v>ST082</x:v>
      </x:c>
      <x:c r="D1600" s="2" t="str">
        <x:v>fb7e28e2da3ace738571a6966bcaaec0</x:v>
      </x:c>
      <x:c r="E1600" s="2" t="str">
        <x:v>CHECK_OUT</x:v>
      </x:c>
      <x:c r="F1600" s="8" t="n">
        <x:v>46302.45350694445</x:v>
      </x:c>
      <x:c r="G1600" s="8" t="n">
        <x:v>46302.45353009259</x:v>
      </x:c>
      <x:c r="H1600" s="2" t="str">
        <x:v>R3S2</x:v>
      </x:c>
      <x:c r="I1600" s="9" t="n">
        <x:v>25.291000000000004</x:v>
      </x:c>
      <x:c r="J1600" s="9" t="n">
        <x:v>51.51</x:v>
      </x:c>
      <x:c r="K1600" s="2" t="n">
        <x:v>8</x:v>
      </x:c>
      <x:c r="L1600" s="2" t="str">
        <x:v>Valid</x:v>
      </x:c>
      <x:c r="M1600" s="2" t="str">
        <x:v>QR</x:v>
      </x:c>
      <x:c r="N1600" s="2" t="n">
        <x:v>1</x:v>
      </x:c>
      <x:c r="O1600" s="2" t="str">
        <x:v>Accepted</x:v>
      </x:c>
      <x:c r="P1600" s="2" t="str">
        <x:v>S003</x:v>
      </x:c>
      <x:c r="Q1600" s="2" t="str">
        <x:v>DEV003</x:v>
      </x:c>
      <x:c r="R1600" s="2" t="n">
        <x:v>15</x:v>
      </x:c>
      <x:c r="S1600" s="2" t="str">
        <x:v>Online</x:v>
      </x:c>
      <x:c r="T1600" s="2" t="str">
        <x:v>Synced</x:v>
      </x:c>
    </x:row>
    <x:row r="1601" ht="21" customHeight="1">
      <x:c r="A1601" s="2" t="str">
        <x:v>EV001484</x:v>
      </x:c>
      <x:c r="B1601" s="2" t="str">
        <x:v>T20261007-2-1</x:v>
      </x:c>
      <x:c r="C1601" s="2" t="str">
        <x:v>ST005</x:v>
      </x:c>
      <x:c r="D1601" s="2" t="str">
        <x:v>426727a8a0b9d51694a399a005c786cf</x:v>
      </x:c>
      <x:c r="E1601" s="2" t="str">
        <x:v>CHECK_OUT</x:v>
      </x:c>
      <x:c r="F1601" s="8" t="n">
        <x:v>46302.453611111116</x:v>
      </x:c>
      <x:c r="G1601" s="8" t="n">
        <x:v>46302.45363425926</x:v>
      </x:c>
      <x:c r="H1601" s="2" t="str">
        <x:v>R1S2</x:v>
      </x:c>
      <x:c r="I1601" s="9" t="n">
        <x:v>25.273000000000003</x:v>
      </x:c>
      <x:c r="J1601" s="9" t="n">
        <x:v>51.494</x:v>
      </x:c>
      <x:c r="K1601" s="2" t="n">
        <x:v>8</x:v>
      </x:c>
      <x:c r="L1601" s="2" t="str">
        <x:v>Valid</x:v>
      </x:c>
      <x:c r="M1601" s="2" t="str">
        <x:v>QR</x:v>
      </x:c>
      <x:c r="N1601" s="2" t="n">
        <x:v>1</x:v>
      </x:c>
      <x:c r="O1601" s="2" t="str">
        <x:v>Accepted</x:v>
      </x:c>
      <x:c r="P1601" s="2" t="str">
        <x:v>S001</x:v>
      </x:c>
      <x:c r="Q1601" s="2" t="str">
        <x:v>DEV001</x:v>
      </x:c>
      <x:c r="R1601" s="2" t="n">
        <x:v>16</x:v>
      </x:c>
      <x:c r="S1601" s="2" t="str">
        <x:v>Online</x:v>
      </x:c>
      <x:c r="T1601" s="2" t="str">
        <x:v>Synced</x:v>
      </x:c>
    </x:row>
    <x:row r="1602" ht="21" customHeight="1">
      <x:c r="A1602" s="2" t="str">
        <x:v>EV001644</x:v>
      </x:c>
      <x:c r="B1602" s="2" t="str">
        <x:v>T20261007-2-2</x:v>
      </x:c>
      <x:c r="C1602" s="2" t="str">
        <x:v>ST045</x:v>
      </x:c>
      <x:c r="D1602" s="2" t="str">
        <x:v>10d8df8a06a7c869bcaa1adbc88c05bc</x:v>
      </x:c>
      <x:c r="E1602" s="2" t="str">
        <x:v>CHECK_OUT</x:v>
      </x:c>
      <x:c r="F1602" s="8" t="n">
        <x:v>46302.453611111116</x:v>
      </x:c>
      <x:c r="G1602" s="8" t="n">
        <x:v>46302.45363425926</x:v>
      </x:c>
      <x:c r="H1602" s="2" t="str">
        <x:v>R2S2</x:v>
      </x:c>
      <x:c r="I1602" s="9" t="n">
        <x:v>25.282000000000004</x:v>
      </x:c>
      <x:c r="J1602" s="9" t="n">
        <x:v>51.501999999999995</x:v>
      </x:c>
      <x:c r="K1602" s="2" t="n">
        <x:v>8</x:v>
      </x:c>
      <x:c r="L1602" s="2" t="str">
        <x:v>Valid</x:v>
      </x:c>
      <x:c r="M1602" s="2" t="str">
        <x:v>QR</x:v>
      </x:c>
      <x:c r="N1602" s="2" t="n">
        <x:v>1</x:v>
      </x:c>
      <x:c r="O1602" s="2" t="str">
        <x:v>Accepted</x:v>
      </x:c>
      <x:c r="P1602" s="2" t="str">
        <x:v>S002</x:v>
      </x:c>
      <x:c r="Q1602" s="2" t="str">
        <x:v>DEV002</x:v>
      </x:c>
      <x:c r="R1602" s="2" t="n">
        <x:v>16</x:v>
      </x:c>
      <x:c r="S1602" s="2" t="str">
        <x:v>Online</x:v>
      </x:c>
      <x:c r="T1602" s="2" t="str">
        <x:v>Synced</x:v>
      </x:c>
    </x:row>
    <x:row r="1603" ht="21" customHeight="1">
      <x:c r="A1603" s="2" t="str">
        <x:v>EV001804</x:v>
      </x:c>
      <x:c r="B1603" s="2" t="str">
        <x:v>T20261007-2-3</x:v>
      </x:c>
      <x:c r="C1603" s="2" t="str">
        <x:v>ST085</x:v>
      </x:c>
      <x:c r="D1603" s="2" t="str">
        <x:v>80babdd572dde222a75b7ad8f0fe7ffa</x:v>
      </x:c>
      <x:c r="E1603" s="2" t="str">
        <x:v>CHECK_OUT</x:v>
      </x:c>
      <x:c r="F1603" s="8" t="n">
        <x:v>46302.453611111116</x:v>
      </x:c>
      <x:c r="G1603" s="8" t="n">
        <x:v>46302.45363425926</x:v>
      </x:c>
      <x:c r="H1603" s="2" t="str">
        <x:v>R3S2</x:v>
      </x:c>
      <x:c r="I1603" s="9" t="n">
        <x:v>25.291000000000004</x:v>
      </x:c>
      <x:c r="J1603" s="9" t="n">
        <x:v>51.51</x:v>
      </x:c>
      <x:c r="K1603" s="2" t="n">
        <x:v>8</x:v>
      </x:c>
      <x:c r="L1603" s="2" t="str">
        <x:v>Valid</x:v>
      </x:c>
      <x:c r="M1603" s="2" t="str">
        <x:v>QR</x:v>
      </x:c>
      <x:c r="N1603" s="2" t="n">
        <x:v>1</x:v>
      </x:c>
      <x:c r="O1603" s="2" t="str">
        <x:v>Accepted</x:v>
      </x:c>
      <x:c r="P1603" s="2" t="str">
        <x:v>S003</x:v>
      </x:c>
      <x:c r="Q1603" s="2" t="str">
        <x:v>DEV003</x:v>
      </x:c>
      <x:c r="R1603" s="2" t="n">
        <x:v>16</x:v>
      </x:c>
      <x:c r="S1603" s="2" t="str">
        <x:v>Online</x:v>
      </x:c>
      <x:c r="T1603" s="2" t="str">
        <x:v>Synced</x:v>
      </x:c>
    </x:row>
    <x:row r="1604" ht="21" customHeight="1">
      <x:c r="A1604" s="2" t="str">
        <x:v>EV001490</x:v>
      </x:c>
      <x:c r="B1604" s="2" t="str">
        <x:v>T20261007-2-1</x:v>
      </x:c>
      <x:c r="C1604" s="2" t="str">
        <x:v>ST008</x:v>
      </x:c>
      <x:c r="D1604" s="2" t="str">
        <x:v>ac4baf5d317844907005c691f401c42d</x:v>
      </x:c>
      <x:c r="E1604" s="2" t="str">
        <x:v>CHECK_OUT</x:v>
      </x:c>
      <x:c r="F1604" s="8" t="n">
        <x:v>46302.45371527778</x:v>
      </x:c>
      <x:c r="G1604" s="8" t="n">
        <x:v>46302.453738425924</x:v>
      </x:c>
      <x:c r="H1604" s="2" t="str">
        <x:v>R1S2</x:v>
      </x:c>
      <x:c r="I1604" s="9" t="n">
        <x:v>25.273000000000003</x:v>
      </x:c>
      <x:c r="J1604" s="9" t="n">
        <x:v>51.494</x:v>
      </x:c>
      <x:c r="K1604" s="2" t="n">
        <x:v>8</x:v>
      </x:c>
      <x:c r="L1604" s="2" t="str">
        <x:v>Valid</x:v>
      </x:c>
      <x:c r="M1604" s="2" t="str">
        <x:v>QR</x:v>
      </x:c>
      <x:c r="N1604" s="2" t="n">
        <x:v>1</x:v>
      </x:c>
      <x:c r="O1604" s="2" t="str">
        <x:v>Accepted</x:v>
      </x:c>
      <x:c r="P1604" s="2" t="str">
        <x:v>S001</x:v>
      </x:c>
      <x:c r="Q1604" s="2" t="str">
        <x:v>DEV001</x:v>
      </x:c>
      <x:c r="R1604" s="2" t="n">
        <x:v>17</x:v>
      </x:c>
      <x:c r="S1604" s="2" t="str">
        <x:v>Online</x:v>
      </x:c>
      <x:c r="T1604" s="2" t="str">
        <x:v>Synced</x:v>
      </x:c>
    </x:row>
    <x:row r="1605" ht="21" customHeight="1">
      <x:c r="A1605" s="2" t="str">
        <x:v>EV001650</x:v>
      </x:c>
      <x:c r="B1605" s="2" t="str">
        <x:v>T20261007-2-2</x:v>
      </x:c>
      <x:c r="C1605" s="2" t="str">
        <x:v>ST048</x:v>
      </x:c>
      <x:c r="D1605" s="2" t="str">
        <x:v>e3a3009a9bd3946e21f417e93203aa79</x:v>
      </x:c>
      <x:c r="E1605" s="2" t="str">
        <x:v>CHECK_OUT</x:v>
      </x:c>
      <x:c r="F1605" s="8" t="n">
        <x:v>46302.45371527778</x:v>
      </x:c>
      <x:c r="G1605" s="8" t="n">
        <x:v>46302.453738425924</x:v>
      </x:c>
      <x:c r="H1605" s="2" t="str">
        <x:v>R2S2</x:v>
      </x:c>
      <x:c r="I1605" s="9" t="n">
        <x:v>25.282000000000004</x:v>
      </x:c>
      <x:c r="J1605" s="9" t="n">
        <x:v>51.501999999999995</x:v>
      </x:c>
      <x:c r="K1605" s="2" t="n">
        <x:v>8</x:v>
      </x:c>
      <x:c r="L1605" s="2" t="str">
        <x:v>Valid</x:v>
      </x:c>
      <x:c r="M1605" s="2" t="str">
        <x:v>QR</x:v>
      </x:c>
      <x:c r="N1605" s="2" t="n">
        <x:v>1</x:v>
      </x:c>
      <x:c r="O1605" s="2" t="str">
        <x:v>Accepted</x:v>
      </x:c>
      <x:c r="P1605" s="2" t="str">
        <x:v>S002</x:v>
      </x:c>
      <x:c r="Q1605" s="2" t="str">
        <x:v>DEV002</x:v>
      </x:c>
      <x:c r="R1605" s="2" t="n">
        <x:v>17</x:v>
      </x:c>
      <x:c r="S1605" s="2" t="str">
        <x:v>Online</x:v>
      </x:c>
      <x:c r="T1605" s="2" t="str">
        <x:v>Synced</x:v>
      </x:c>
    </x:row>
    <x:row r="1606" ht="21" customHeight="1">
      <x:c r="A1606" s="2" t="str">
        <x:v>EV001810</x:v>
      </x:c>
      <x:c r="B1606" s="2" t="str">
        <x:v>T20261007-2-3</x:v>
      </x:c>
      <x:c r="C1606" s="2" t="str">
        <x:v>ST088</x:v>
      </x:c>
      <x:c r="D1606" s="2" t="str">
        <x:v>b227769e0483e6c28eed8e8d448bfbbe</x:v>
      </x:c>
      <x:c r="E1606" s="2" t="str">
        <x:v>CHECK_OUT</x:v>
      </x:c>
      <x:c r="F1606" s="8" t="n">
        <x:v>46302.45371527778</x:v>
      </x:c>
      <x:c r="G1606" s="8" t="n">
        <x:v>46302.453738425924</x:v>
      </x:c>
      <x:c r="H1606" s="2" t="str">
        <x:v>R3S2</x:v>
      </x:c>
      <x:c r="I1606" s="9" t="n">
        <x:v>25.291000000000004</x:v>
      </x:c>
      <x:c r="J1606" s="9" t="n">
        <x:v>51.51</x:v>
      </x:c>
      <x:c r="K1606" s="2" t="n">
        <x:v>8</x:v>
      </x:c>
      <x:c r="L1606" s="2" t="str">
        <x:v>Valid</x:v>
      </x:c>
      <x:c r="M1606" s="2" t="str">
        <x:v>QR</x:v>
      </x:c>
      <x:c r="N1606" s="2" t="n">
        <x:v>1</x:v>
      </x:c>
      <x:c r="O1606" s="2" t="str">
        <x:v>Accepted</x:v>
      </x:c>
      <x:c r="P1606" s="2" t="str">
        <x:v>S003</x:v>
      </x:c>
      <x:c r="Q1606" s="2" t="str">
        <x:v>DEV003</x:v>
      </x:c>
      <x:c r="R1606" s="2" t="n">
        <x:v>17</x:v>
      </x:c>
      <x:c r="S1606" s="2" t="str">
        <x:v>Online</x:v>
      </x:c>
      <x:c r="T1606" s="2" t="str">
        <x:v>Synced</x:v>
      </x:c>
    </x:row>
    <x:row r="1607" ht="21" customHeight="1">
      <x:c r="A1607" s="2" t="str">
        <x:v>EV001480</x:v>
      </x:c>
      <x:c r="B1607" s="2" t="str">
        <x:v>T20261007-2-1</x:v>
      </x:c>
      <x:c r="C1607" s="2" t="str">
        <x:v>ST003</x:v>
      </x:c>
      <x:c r="D1607" s="2" t="str">
        <x:v>7598e98213cb52db1085c9a94fae1915</x:v>
      </x:c>
      <x:c r="E1607" s="2" t="str">
        <x:v>CHECK_OUT</x:v>
      </x:c>
      <x:c r="F1607" s="8" t="n">
        <x:v>46302.457708333335</x:v>
      </x:c>
      <x:c r="G1607" s="8" t="n">
        <x:v>46302.45773148148</x:v>
      </x:c>
      <x:c r="H1607" s="2" t="str">
        <x:v>R1S3</x:v>
      </x:c>
      <x:c r="I1607" s="9" t="n">
        <x:v>25.275000000000002</x:v>
      </x:c>
      <x:c r="J1607" s="9" t="n">
        <x:v>51.497</x:v>
      </x:c>
      <x:c r="K1607" s="2" t="n">
        <x:v>8</x:v>
      </x:c>
      <x:c r="L1607" s="2" t="str">
        <x:v>Valid</x:v>
      </x:c>
      <x:c r="M1607" s="2" t="str">
        <x:v>QR</x:v>
      </x:c>
      <x:c r="N1607" s="2" t="n">
        <x:v>1</x:v>
      </x:c>
      <x:c r="O1607" s="2" t="str">
        <x:v>Accepted</x:v>
      </x:c>
      <x:c r="P1607" s="2" t="str">
        <x:v>S001</x:v>
      </x:c>
      <x:c r="Q1607" s="2" t="str">
        <x:v>DEV001</x:v>
      </x:c>
      <x:c r="R1607" s="2" t="n">
        <x:v>18</x:v>
      </x:c>
      <x:c r="S1607" s="2" t="str">
        <x:v>Online</x:v>
      </x:c>
      <x:c r="T1607" s="2" t="str">
        <x:v>Synced</x:v>
      </x:c>
    </x:row>
    <x:row r="1608" ht="21" customHeight="1">
      <x:c r="A1608" s="2" t="str">
        <x:v>EV001640</x:v>
      </x:c>
      <x:c r="B1608" s="2" t="str">
        <x:v>T20261007-2-2</x:v>
      </x:c>
      <x:c r="C1608" s="2" t="str">
        <x:v>ST043</x:v>
      </x:c>
      <x:c r="D1608" s="2" t="str">
        <x:v>db51093fe9dac44d59345ee12f7e9c56</x:v>
      </x:c>
      <x:c r="E1608" s="2" t="str">
        <x:v>CHECK_OUT</x:v>
      </x:c>
      <x:c r="F1608" s="8" t="n">
        <x:v>46302.457708333335</x:v>
      </x:c>
      <x:c r="G1608" s="8" t="n">
        <x:v>46302.45773148148</x:v>
      </x:c>
      <x:c r="H1608" s="2" t="str">
        <x:v>R2S3</x:v>
      </x:c>
      <x:c r="I1608" s="9" t="n">
        <x:v>25.284000000000002</x:v>
      </x:c>
      <x:c r="J1608" s="9" t="n">
        <x:v>51.504999999999995</x:v>
      </x:c>
      <x:c r="K1608" s="2" t="n">
        <x:v>8</x:v>
      </x:c>
      <x:c r="L1608" s="2" t="str">
        <x:v>Valid</x:v>
      </x:c>
      <x:c r="M1608" s="2" t="str">
        <x:v>QR</x:v>
      </x:c>
      <x:c r="N1608" s="2" t="n">
        <x:v>1</x:v>
      </x:c>
      <x:c r="O1608" s="2" t="str">
        <x:v>Accepted</x:v>
      </x:c>
      <x:c r="P1608" s="2" t="str">
        <x:v>S002</x:v>
      </x:c>
      <x:c r="Q1608" s="2" t="str">
        <x:v>DEV002</x:v>
      </x:c>
      <x:c r="R1608" s="2" t="n">
        <x:v>18</x:v>
      </x:c>
      <x:c r="S1608" s="2" t="str">
        <x:v>Online</x:v>
      </x:c>
      <x:c r="T1608" s="2" t="str">
        <x:v>Synced</x:v>
      </x:c>
    </x:row>
    <x:row r="1609" ht="21" customHeight="1">
      <x:c r="A1609" s="2" t="str">
        <x:v>EV001800</x:v>
      </x:c>
      <x:c r="B1609" s="2" t="str">
        <x:v>T20261007-2-3</x:v>
      </x:c>
      <x:c r="C1609" s="2" t="str">
        <x:v>ST083</x:v>
      </x:c>
      <x:c r="D1609" s="2" t="str">
        <x:v>19cc474730ce4d97be031814010d13a9</x:v>
      </x:c>
      <x:c r="E1609" s="2" t="str">
        <x:v>CHECK_OUT</x:v>
      </x:c>
      <x:c r="F1609" s="8" t="n">
        <x:v>46302.457708333335</x:v>
      </x:c>
      <x:c r="G1609" s="8" t="n">
        <x:v>46302.45773148148</x:v>
      </x:c>
      <x:c r="H1609" s="2" t="str">
        <x:v>R3S3</x:v>
      </x:c>
      <x:c r="I1609" s="9" t="n">
        <x:v>25.293000000000003</x:v>
      </x:c>
      <x:c r="J1609" s="9" t="n">
        <x:v>51.513</x:v>
      </x:c>
      <x:c r="K1609" s="2" t="n">
        <x:v>8</x:v>
      </x:c>
      <x:c r="L1609" s="2" t="str">
        <x:v>Valid</x:v>
      </x:c>
      <x:c r="M1609" s="2" t="str">
        <x:v>QR</x:v>
      </x:c>
      <x:c r="N1609" s="2" t="n">
        <x:v>1</x:v>
      </x:c>
      <x:c r="O1609" s="2" t="str">
        <x:v>Accepted</x:v>
      </x:c>
      <x:c r="P1609" s="2" t="str">
        <x:v>S003</x:v>
      </x:c>
      <x:c r="Q1609" s="2" t="str">
        <x:v>DEV003</x:v>
      </x:c>
      <x:c r="R1609" s="2" t="n">
        <x:v>18</x:v>
      </x:c>
      <x:c r="S1609" s="2" t="str">
        <x:v>Online</x:v>
      </x:c>
      <x:c r="T1609" s="2" t="str">
        <x:v>Synced</x:v>
      </x:c>
    </x:row>
    <x:row r="1610" ht="21" customHeight="1">
      <x:c r="A1610" s="2" t="str">
        <x:v>EV001486</x:v>
      </x:c>
      <x:c r="B1610" s="2" t="str">
        <x:v>T20261007-2-1</x:v>
      </x:c>
      <x:c r="C1610" s="2" t="str">
        <x:v>ST006</x:v>
      </x:c>
      <x:c r="D1610" s="2" t="str">
        <x:v>8edd7f2c984bf2eb5adf75591d6f1e9c</x:v>
      </x:c>
      <x:c r="E1610" s="2" t="str">
        <x:v>CHECK_OUT</x:v>
      </x:c>
      <x:c r="F1610" s="8" t="n">
        <x:v>46302.4578125</x:v>
      </x:c>
      <x:c r="G1610" s="8" t="n">
        <x:v>46302.45783564814</x:v>
      </x:c>
      <x:c r="H1610" s="2" t="str">
        <x:v>R1S3</x:v>
      </x:c>
      <x:c r="I1610" s="9" t="n">
        <x:v>25.275000000000002</x:v>
      </x:c>
      <x:c r="J1610" s="9" t="n">
        <x:v>51.497</x:v>
      </x:c>
      <x:c r="K1610" s="2" t="n">
        <x:v>8</x:v>
      </x:c>
      <x:c r="L1610" s="2" t="str">
        <x:v>Valid</x:v>
      </x:c>
      <x:c r="M1610" s="2" t="str">
        <x:v>QR</x:v>
      </x:c>
      <x:c r="N1610" s="2" t="n">
        <x:v>1</x:v>
      </x:c>
      <x:c r="O1610" s="2" t="str">
        <x:v>Accepted</x:v>
      </x:c>
      <x:c r="P1610" s="2" t="str">
        <x:v>S001</x:v>
      </x:c>
      <x:c r="Q1610" s="2" t="str">
        <x:v>DEV001</x:v>
      </x:c>
      <x:c r="R1610" s="2" t="n">
        <x:v>19</x:v>
      </x:c>
      <x:c r="S1610" s="2" t="str">
        <x:v>Online</x:v>
      </x:c>
      <x:c r="T1610" s="2" t="str">
        <x:v>Synced</x:v>
      </x:c>
    </x:row>
    <x:row r="1611" ht="21" customHeight="1">
      <x:c r="A1611" s="2" t="str">
        <x:v>EV001646</x:v>
      </x:c>
      <x:c r="B1611" s="2" t="str">
        <x:v>T20261007-2-2</x:v>
      </x:c>
      <x:c r="C1611" s="2" t="str">
        <x:v>ST046</x:v>
      </x:c>
      <x:c r="D1611" s="2" t="str">
        <x:v>82365992d443d056f10fa7522ac29057</x:v>
      </x:c>
      <x:c r="E1611" s="2" t="str">
        <x:v>CHECK_OUT</x:v>
      </x:c>
      <x:c r="F1611" s="8" t="n">
        <x:v>46302.4578125</x:v>
      </x:c>
      <x:c r="G1611" s="8" t="n">
        <x:v>46302.45783564814</x:v>
      </x:c>
      <x:c r="H1611" s="2" t="str">
        <x:v>R2S3</x:v>
      </x:c>
      <x:c r="I1611" s="9" t="n">
        <x:v>25.284000000000002</x:v>
      </x:c>
      <x:c r="J1611" s="9" t="n">
        <x:v>51.504999999999995</x:v>
      </x:c>
      <x:c r="K1611" s="2" t="n">
        <x:v>8</x:v>
      </x:c>
      <x:c r="L1611" s="2" t="str">
        <x:v>Valid</x:v>
      </x:c>
      <x:c r="M1611" s="2" t="str">
        <x:v>QR</x:v>
      </x:c>
      <x:c r="N1611" s="2" t="n">
        <x:v>1</x:v>
      </x:c>
      <x:c r="O1611" s="2" t="str">
        <x:v>Accepted</x:v>
      </x:c>
      <x:c r="P1611" s="2" t="str">
        <x:v>S002</x:v>
      </x:c>
      <x:c r="Q1611" s="2" t="str">
        <x:v>DEV002</x:v>
      </x:c>
      <x:c r="R1611" s="2" t="n">
        <x:v>19</x:v>
      </x:c>
      <x:c r="S1611" s="2" t="str">
        <x:v>Online</x:v>
      </x:c>
      <x:c r="T1611" s="2" t="str">
        <x:v>Synced</x:v>
      </x:c>
    </x:row>
    <x:row r="1612" ht="21" customHeight="1">
      <x:c r="A1612" s="2" t="str">
        <x:v>EV001806</x:v>
      </x:c>
      <x:c r="B1612" s="2" t="str">
        <x:v>T20261007-2-3</x:v>
      </x:c>
      <x:c r="C1612" s="2" t="str">
        <x:v>ST086</x:v>
      </x:c>
      <x:c r="D1612" s="2" t="str">
        <x:v>33c5dfd0f17fcbe34d50fd9b0a0c0e5b</x:v>
      </x:c>
      <x:c r="E1612" s="2" t="str">
        <x:v>CHECK_OUT</x:v>
      </x:c>
      <x:c r="F1612" s="8" t="n">
        <x:v>46302.4578125</x:v>
      </x:c>
      <x:c r="G1612" s="8" t="n">
        <x:v>46302.45783564814</x:v>
      </x:c>
      <x:c r="H1612" s="2" t="str">
        <x:v>R3S3</x:v>
      </x:c>
      <x:c r="I1612" s="9" t="n">
        <x:v>25.293000000000003</x:v>
      </x:c>
      <x:c r="J1612" s="9" t="n">
        <x:v>51.513</x:v>
      </x:c>
      <x:c r="K1612" s="2" t="n">
        <x:v>8</x:v>
      </x:c>
      <x:c r="L1612" s="2" t="str">
        <x:v>Valid</x:v>
      </x:c>
      <x:c r="M1612" s="2" t="str">
        <x:v>QR</x:v>
      </x:c>
      <x:c r="N1612" s="2" t="n">
        <x:v>1</x:v>
      </x:c>
      <x:c r="O1612" s="2" t="str">
        <x:v>Accepted</x:v>
      </x:c>
      <x:c r="P1612" s="2" t="str">
        <x:v>S003</x:v>
      </x:c>
      <x:c r="Q1612" s="2" t="str">
        <x:v>DEV003</x:v>
      </x:c>
      <x:c r="R1612" s="2" t="n">
        <x:v>19</x:v>
      </x:c>
      <x:c r="S1612" s="2" t="str">
        <x:v>Online</x:v>
      </x:c>
      <x:c r="T1612" s="2" t="str">
        <x:v>Synced</x:v>
      </x:c>
    </x:row>
    <x:row r="1613" ht="21" customHeight="1">
      <x:c r="A1613" s="2" t="str">
        <x:v>EV001492</x:v>
      </x:c>
      <x:c r="B1613" s="2" t="str">
        <x:v>T20261007-2-1</x:v>
      </x:c>
      <x:c r="C1613" s="2" t="str">
        <x:v>ST009</x:v>
      </x:c>
      <x:c r="D1613" s="2" t="str">
        <x:v>fdc849f07f4ba12ab82f6bed87d7275d</x:v>
      </x:c>
      <x:c r="E1613" s="2" t="str">
        <x:v>CHECK_OUT</x:v>
      </x:c>
      <x:c r="F1613" s="8" t="n">
        <x:v>46302.457916666666</x:v>
      </x:c>
      <x:c r="G1613" s="8" t="n">
        <x:v>46302.45793981481</x:v>
      </x:c>
      <x:c r="H1613" s="2" t="str">
        <x:v>R1S3</x:v>
      </x:c>
      <x:c r="I1613" s="9" t="n">
        <x:v>25.275000000000002</x:v>
      </x:c>
      <x:c r="J1613" s="9" t="n">
        <x:v>51.497</x:v>
      </x:c>
      <x:c r="K1613" s="2" t="n">
        <x:v>8</x:v>
      </x:c>
      <x:c r="L1613" s="2" t="str">
        <x:v>Valid</x:v>
      </x:c>
      <x:c r="M1613" s="2" t="str">
        <x:v>QR</x:v>
      </x:c>
      <x:c r="N1613" s="2" t="n">
        <x:v>1</x:v>
      </x:c>
      <x:c r="O1613" s="2" t="str">
        <x:v>Accepted</x:v>
      </x:c>
      <x:c r="P1613" s="2" t="str">
        <x:v>S001</x:v>
      </x:c>
      <x:c r="Q1613" s="2" t="str">
        <x:v>DEV001</x:v>
      </x:c>
      <x:c r="R1613" s="2" t="n">
        <x:v>20</x:v>
      </x:c>
      <x:c r="S1613" s="2" t="str">
        <x:v>Online</x:v>
      </x:c>
      <x:c r="T1613" s="2" t="str">
        <x:v>Synced</x:v>
      </x:c>
    </x:row>
    <x:row r="1614" ht="21" customHeight="1">
      <x:c r="A1614" s="2" t="str">
        <x:v>EV001652</x:v>
      </x:c>
      <x:c r="B1614" s="2" t="str">
        <x:v>T20261007-2-2</x:v>
      </x:c>
      <x:c r="C1614" s="2" t="str">
        <x:v>ST049</x:v>
      </x:c>
      <x:c r="D1614" s="2" t="str">
        <x:v>aac0da9ca028b4b4fe1fc2c1eb298502</x:v>
      </x:c>
      <x:c r="E1614" s="2" t="str">
        <x:v>CHECK_OUT</x:v>
      </x:c>
      <x:c r="F1614" s="8" t="n">
        <x:v>46302.457916666666</x:v>
      </x:c>
      <x:c r="G1614" s="8" t="n">
        <x:v>46302.45793981481</x:v>
      </x:c>
      <x:c r="H1614" s="2" t="str">
        <x:v>R2S3</x:v>
      </x:c>
      <x:c r="I1614" s="9" t="n">
        <x:v>25.284000000000002</x:v>
      </x:c>
      <x:c r="J1614" s="9" t="n">
        <x:v>51.504999999999995</x:v>
      </x:c>
      <x:c r="K1614" s="2" t="n">
        <x:v>8</x:v>
      </x:c>
      <x:c r="L1614" s="2" t="str">
        <x:v>Valid</x:v>
      </x:c>
      <x:c r="M1614" s="2" t="str">
        <x:v>QR</x:v>
      </x:c>
      <x:c r="N1614" s="2" t="n">
        <x:v>1</x:v>
      </x:c>
      <x:c r="O1614" s="2" t="str">
        <x:v>Accepted</x:v>
      </x:c>
      <x:c r="P1614" s="2" t="str">
        <x:v>S002</x:v>
      </x:c>
      <x:c r="Q1614" s="2" t="str">
        <x:v>DEV002</x:v>
      </x:c>
      <x:c r="R1614" s="2" t="n">
        <x:v>20</x:v>
      </x:c>
      <x:c r="S1614" s="2" t="str">
        <x:v>Online</x:v>
      </x:c>
      <x:c r="T1614" s="2" t="str">
        <x:v>Synced</x:v>
      </x:c>
    </x:row>
    <x:row r="1615" ht="21" customHeight="1">
      <x:c r="A1615" s="2" t="str">
        <x:v>EV001812</x:v>
      </x:c>
      <x:c r="B1615" s="2" t="str">
        <x:v>T20261007-2-3</x:v>
      </x:c>
      <x:c r="C1615" s="2" t="str">
        <x:v>ST089</x:v>
      </x:c>
      <x:c r="D1615" s="2" t="str">
        <x:v>0bd697ec3f7c09918d8dd004b5340b03</x:v>
      </x:c>
      <x:c r="E1615" s="2" t="str">
        <x:v>CHECK_OUT</x:v>
      </x:c>
      <x:c r="F1615" s="8" t="n">
        <x:v>46302.457916666666</x:v>
      </x:c>
      <x:c r="G1615" s="8" t="n">
        <x:v>46302.45793981481</x:v>
      </x:c>
      <x:c r="H1615" s="2" t="str">
        <x:v>R3S3</x:v>
      </x:c>
      <x:c r="I1615" s="9" t="n">
        <x:v>25.293000000000003</x:v>
      </x:c>
      <x:c r="J1615" s="9" t="n">
        <x:v>51.513</x:v>
      </x:c>
      <x:c r="K1615" s="2" t="n">
        <x:v>8</x:v>
      </x:c>
      <x:c r="L1615" s="2" t="str">
        <x:v>Valid</x:v>
      </x:c>
      <x:c r="M1615" s="2" t="str">
        <x:v>QR</x:v>
      </x:c>
      <x:c r="N1615" s="2" t="n">
        <x:v>1</x:v>
      </x:c>
      <x:c r="O1615" s="2" t="str">
        <x:v>Accepted</x:v>
      </x:c>
      <x:c r="P1615" s="2" t="str">
        <x:v>S003</x:v>
      </x:c>
      <x:c r="Q1615" s="2" t="str">
        <x:v>DEV003</x:v>
      </x:c>
      <x:c r="R1615" s="2" t="n">
        <x:v>20</x:v>
      </x:c>
      <x:c r="S1615" s="2" t="str">
        <x:v>Online</x:v>
      </x:c>
      <x:c r="T1615" s="2" t="str">
        <x:v>Synced</x:v>
      </x:c>
    </x:row>
    <x:row r="1616" ht="21" customHeight="1">
      <x:c r="A1616" s="2" t="str">
        <x:v>EV001515</x:v>
      </x:c>
      <x:c r="B1616" s="2" t="str">
        <x:v>T20261007-2-1</x:v>
      </x:c>
      <x:c r="C1616" s="2" t="str">
        <x:v>ST031</x:v>
      </x:c>
      <x:c r="D1616" s="2" t="str">
        <x:v>8ab188e9684e5df87182305d1c7eadac</x:v>
      </x:c>
      <x:c r="E1616" s="2" t="str">
        <x:v>CHECK_IN</x:v>
      </x:c>
      <x:c r="F1616" s="8" t="n">
        <x:v>46302.47152777778</x:v>
      </x:c>
      <x:c r="G1616" s="8" t="n">
        <x:v>46302.471550925926</x:v>
      </x:c>
      <x:c r="H1616" s="2" t="str">
        <x:v>R1S1</x:v>
      </x:c>
      <x:c r="I1616" s="9" t="n">
        <x:v>25.271</x:v>
      </x:c>
      <x:c r="J1616" s="9" t="n">
        <x:v>51.491</x:v>
      </x:c>
      <x:c r="K1616" s="2" t="n">
        <x:v>8</x:v>
      </x:c>
      <x:c r="L1616" s="2" t="str">
        <x:v>Valid</x:v>
      </x:c>
      <x:c r="M1616" s="2" t="str">
        <x:v>QR</x:v>
      </x:c>
      <x:c r="N1616" s="2" t="n">
        <x:v>1</x:v>
      </x:c>
      <x:c r="O1616" s="2" t="str">
        <x:v>Accepted</x:v>
      </x:c>
      <x:c r="P1616" s="2" t="str">
        <x:v>S001</x:v>
      </x:c>
      <x:c r="Q1616" s="2" t="str">
        <x:v>DEV001</x:v>
      </x:c>
      <x:c r="R1616" s="2" t="n">
        <x:v>21</x:v>
      </x:c>
      <x:c r="S1616" s="2" t="str">
        <x:v>Online</x:v>
      </x:c>
      <x:c r="T1616" s="2" t="str">
        <x:v>Synced</x:v>
      </x:c>
    </x:row>
    <x:row r="1617" ht="21" customHeight="1">
      <x:c r="A1617" s="2" t="str">
        <x:v>EV001675</x:v>
      </x:c>
      <x:c r="B1617" s="2" t="str">
        <x:v>T20261007-2-2</x:v>
      </x:c>
      <x:c r="C1617" s="2" t="str">
        <x:v>ST071</x:v>
      </x:c>
      <x:c r="D1617" s="2" t="str">
        <x:v>51895678643dc659a400e702a471294e</x:v>
      </x:c>
      <x:c r="E1617" s="2" t="str">
        <x:v>CHECK_IN</x:v>
      </x:c>
      <x:c r="F1617" s="8" t="n">
        <x:v>46302.47152777778</x:v>
      </x:c>
      <x:c r="G1617" s="8" t="n">
        <x:v>46302.471550925926</x:v>
      </x:c>
      <x:c r="H1617" s="2" t="str">
        <x:v>R2S1</x:v>
      </x:c>
      <x:c r="I1617" s="9" t="n">
        <x:v>25.28</x:v>
      </x:c>
      <x:c r="J1617" s="9" t="n">
        <x:v>51.498999999999995</x:v>
      </x:c>
      <x:c r="K1617" s="2" t="n">
        <x:v>8</x:v>
      </x:c>
      <x:c r="L1617" s="2" t="str">
        <x:v>Valid</x:v>
      </x:c>
      <x:c r="M1617" s="2" t="str">
        <x:v>QR</x:v>
      </x:c>
      <x:c r="N1617" s="2" t="n">
        <x:v>1</x:v>
      </x:c>
      <x:c r="O1617" s="2" t="str">
        <x:v>Accepted</x:v>
      </x:c>
      <x:c r="P1617" s="2" t="str">
        <x:v>S002</x:v>
      </x:c>
      <x:c r="Q1617" s="2" t="str">
        <x:v>DEV002</x:v>
      </x:c>
      <x:c r="R1617" s="2" t="n">
        <x:v>21</x:v>
      </x:c>
      <x:c r="S1617" s="2" t="str">
        <x:v>Online</x:v>
      </x:c>
      <x:c r="T1617" s="2" t="str">
        <x:v>Synced</x:v>
      </x:c>
    </x:row>
    <x:row r="1618" ht="21" customHeight="1">
      <x:c r="A1618" s="2" t="str">
        <x:v>EV001835</x:v>
      </x:c>
      <x:c r="B1618" s="2" t="str">
        <x:v>T20261007-2-3</x:v>
      </x:c>
      <x:c r="C1618" s="2" t="str">
        <x:v>ST111</x:v>
      </x:c>
      <x:c r="D1618" s="2" t="str">
        <x:v>e6e9707385e7ee8edd3ac87243757eb2</x:v>
      </x:c>
      <x:c r="E1618" s="2" t="str">
        <x:v>CHECK_IN</x:v>
      </x:c>
      <x:c r="F1618" s="8" t="n">
        <x:v>46302.47152777778</x:v>
      </x:c>
      <x:c r="G1618" s="8" t="n">
        <x:v>46302.471550925926</x:v>
      </x:c>
      <x:c r="H1618" s="2" t="str">
        <x:v>R3S1</x:v>
      </x:c>
      <x:c r="I1618" s="9" t="n">
        <x:v>25.289</x:v>
      </x:c>
      <x:c r="J1618" s="9" t="n">
        <x:v>51.507</x:v>
      </x:c>
      <x:c r="K1618" s="2" t="n">
        <x:v>8</x:v>
      </x:c>
      <x:c r="L1618" s="2" t="str">
        <x:v>Valid</x:v>
      </x:c>
      <x:c r="M1618" s="2" t="str">
        <x:v>QR</x:v>
      </x:c>
      <x:c r="N1618" s="2" t="n">
        <x:v>1</x:v>
      </x:c>
      <x:c r="O1618" s="2" t="str">
        <x:v>Accepted</x:v>
      </x:c>
      <x:c r="P1618" s="2" t="str">
        <x:v>S003</x:v>
      </x:c>
      <x:c r="Q1618" s="2" t="str">
        <x:v>DEV003</x:v>
      </x:c>
      <x:c r="R1618" s="2" t="n">
        <x:v>21</x:v>
      </x:c>
      <x:c r="S1618" s="2" t="str">
        <x:v>Online</x:v>
      </x:c>
      <x:c r="T1618" s="2" t="str">
        <x:v>Synced</x:v>
      </x:c>
    </x:row>
    <x:row r="1619" ht="21" customHeight="1">
      <x:c r="A1619" s="2" t="str">
        <x:v>EV001497</x:v>
      </x:c>
      <x:c r="B1619" s="2" t="str">
        <x:v>T20261007-2-1</x:v>
      </x:c>
      <x:c r="C1619" s="2" t="str">
        <x:v>ST022</x:v>
      </x:c>
      <x:c r="D1619" s="2" t="str">
        <x:v>32e634064d0319251398d392c471332a</x:v>
      </x:c>
      <x:c r="E1619" s="2" t="str">
        <x:v>CHECK_IN</x:v>
      </x:c>
      <x:c r="F1619" s="8" t="n">
        <x:v>46302.4715625</x:v>
      </x:c>
      <x:c r="G1619" s="8" t="n">
        <x:v>46302.47158564815</x:v>
      </x:c>
      <x:c r="H1619" s="2" t="str">
        <x:v>R1S1</x:v>
      </x:c>
      <x:c r="I1619" s="9" t="n">
        <x:v>25.271</x:v>
      </x:c>
      <x:c r="J1619" s="9" t="n">
        <x:v>51.491</x:v>
      </x:c>
      <x:c r="K1619" s="2" t="n">
        <x:v>8</x:v>
      </x:c>
      <x:c r="L1619" s="2" t="str">
        <x:v>Valid</x:v>
      </x:c>
      <x:c r="M1619" s="2" t="str">
        <x:v>QR</x:v>
      </x:c>
      <x:c r="N1619" s="2" t="n">
        <x:v>1</x:v>
      </x:c>
      <x:c r="O1619" s="2" t="str">
        <x:v>Accepted</x:v>
      </x:c>
      <x:c r="P1619" s="2" t="str">
        <x:v>S001</x:v>
      </x:c>
      <x:c r="Q1619" s="2" t="str">
        <x:v>DEV001</x:v>
      </x:c>
      <x:c r="R1619" s="2" t="n">
        <x:v>22</x:v>
      </x:c>
      <x:c r="S1619" s="2" t="str">
        <x:v>Online</x:v>
      </x:c>
      <x:c r="T1619" s="2" t="str">
        <x:v>Synced</x:v>
      </x:c>
    </x:row>
    <x:row r="1620" ht="21" customHeight="1">
      <x:c r="A1620" s="2" t="str">
        <x:v>EV001657</x:v>
      </x:c>
      <x:c r="B1620" s="2" t="str">
        <x:v>T20261007-2-2</x:v>
      </x:c>
      <x:c r="C1620" s="2" t="str">
        <x:v>ST062</x:v>
      </x:c>
      <x:c r="D1620" s="2" t="str">
        <x:v>e0ee324a0d8893ba89d7c618ea194e36</x:v>
      </x:c>
      <x:c r="E1620" s="2" t="str">
        <x:v>CHECK_IN</x:v>
      </x:c>
      <x:c r="F1620" s="8" t="n">
        <x:v>46302.4715625</x:v>
      </x:c>
      <x:c r="G1620" s="8" t="n">
        <x:v>46302.47158564815</x:v>
      </x:c>
      <x:c r="H1620" s="2" t="str">
        <x:v>R2S1</x:v>
      </x:c>
      <x:c r="I1620" s="9" t="n">
        <x:v>25.28</x:v>
      </x:c>
      <x:c r="J1620" s="9" t="n">
        <x:v>51.498999999999995</x:v>
      </x:c>
      <x:c r="K1620" s="2" t="n">
        <x:v>8</x:v>
      </x:c>
      <x:c r="L1620" s="2" t="str">
        <x:v>Valid</x:v>
      </x:c>
      <x:c r="M1620" s="2" t="str">
        <x:v>QR</x:v>
      </x:c>
      <x:c r="N1620" s="2" t="n">
        <x:v>1</x:v>
      </x:c>
      <x:c r="O1620" s="2" t="str">
        <x:v>Accepted</x:v>
      </x:c>
      <x:c r="P1620" s="2" t="str">
        <x:v>S002</x:v>
      </x:c>
      <x:c r="Q1620" s="2" t="str">
        <x:v>DEV002</x:v>
      </x:c>
      <x:c r="R1620" s="2" t="n">
        <x:v>22</x:v>
      </x:c>
      <x:c r="S1620" s="2" t="str">
        <x:v>Online</x:v>
      </x:c>
      <x:c r="T1620" s="2" t="str">
        <x:v>Synced</x:v>
      </x:c>
    </x:row>
    <x:row r="1621" ht="21" customHeight="1">
      <x:c r="A1621" s="2" t="str">
        <x:v>EV001817</x:v>
      </x:c>
      <x:c r="B1621" s="2" t="str">
        <x:v>T20261007-2-3</x:v>
      </x:c>
      <x:c r="C1621" s="2" t="str">
        <x:v>ST102</x:v>
      </x:c>
      <x:c r="D1621" s="2" t="str">
        <x:v>6a90d57a6e4b5aedbdcdc5a29cf018e9</x:v>
      </x:c>
      <x:c r="E1621" s="2" t="str">
        <x:v>CHECK_IN</x:v>
      </x:c>
      <x:c r="F1621" s="8" t="n">
        <x:v>46302.4715625</x:v>
      </x:c>
      <x:c r="G1621" s="8" t="n">
        <x:v>46302.47158564815</x:v>
      </x:c>
      <x:c r="H1621" s="2" t="str">
        <x:v>R3S1</x:v>
      </x:c>
      <x:c r="I1621" s="9" t="n">
        <x:v>25.289</x:v>
      </x:c>
      <x:c r="J1621" s="9" t="n">
        <x:v>51.507</x:v>
      </x:c>
      <x:c r="K1621" s="2" t="n">
        <x:v>8</x:v>
      </x:c>
      <x:c r="L1621" s="2" t="str">
        <x:v>Valid</x:v>
      </x:c>
      <x:c r="M1621" s="2" t="str">
        <x:v>QR</x:v>
      </x:c>
      <x:c r="N1621" s="2" t="n">
        <x:v>1</x:v>
      </x:c>
      <x:c r="O1621" s="2" t="str">
        <x:v>Accepted</x:v>
      </x:c>
      <x:c r="P1621" s="2" t="str">
        <x:v>S003</x:v>
      </x:c>
      <x:c r="Q1621" s="2" t="str">
        <x:v>DEV003</x:v>
      </x:c>
      <x:c r="R1621" s="2" t="n">
        <x:v>22</x:v>
      </x:c>
      <x:c r="S1621" s="2" t="str">
        <x:v>Online</x:v>
      </x:c>
      <x:c r="T1621" s="2" t="str">
        <x:v>Synced</x:v>
      </x:c>
    </x:row>
    <x:row r="1622" ht="21" customHeight="1">
      <x:c r="A1622" s="2" t="str">
        <x:v>EV001521</x:v>
      </x:c>
      <x:c r="B1622" s="2" t="str">
        <x:v>T20261007-2-1</x:v>
      </x:c>
      <x:c r="C1622" s="2" t="str">
        <x:v>ST034</x:v>
      </x:c>
      <x:c r="D1622" s="2" t="str">
        <x:v>80fbe33bb2df8cab59b55f98f1c8a3d5</x:v>
      </x:c>
      <x:c r="E1622" s="2" t="str">
        <x:v>CHECK_IN</x:v>
      </x:c>
      <x:c r="F1622" s="8" t="n">
        <x:v>46302.47163194445</x:v>
      </x:c>
      <x:c r="G1622" s="8" t="n">
        <x:v>46302.471655092595</x:v>
      </x:c>
      <x:c r="H1622" s="2" t="str">
        <x:v>R1S1</x:v>
      </x:c>
      <x:c r="I1622" s="9" t="n">
        <x:v>25.271</x:v>
      </x:c>
      <x:c r="J1622" s="9" t="n">
        <x:v>51.491</x:v>
      </x:c>
      <x:c r="K1622" s="2" t="n">
        <x:v>8</x:v>
      </x:c>
      <x:c r="L1622" s="2" t="str">
        <x:v>Valid</x:v>
      </x:c>
      <x:c r="M1622" s="2" t="str">
        <x:v>QR</x:v>
      </x:c>
      <x:c r="N1622" s="2" t="n">
        <x:v>1</x:v>
      </x:c>
      <x:c r="O1622" s="2" t="str">
        <x:v>Accepted</x:v>
      </x:c>
      <x:c r="P1622" s="2" t="str">
        <x:v>S001</x:v>
      </x:c>
      <x:c r="Q1622" s="2" t="str">
        <x:v>DEV001</x:v>
      </x:c>
      <x:c r="R1622" s="2" t="n">
        <x:v>23</x:v>
      </x:c>
      <x:c r="S1622" s="2" t="str">
        <x:v>Online</x:v>
      </x:c>
      <x:c r="T1622" s="2" t="str">
        <x:v>Synced</x:v>
      </x:c>
    </x:row>
    <x:row r="1623" ht="21" customHeight="1">
      <x:c r="A1623" s="2" t="str">
        <x:v>EV001681</x:v>
      </x:c>
      <x:c r="B1623" s="2" t="str">
        <x:v>T20261007-2-2</x:v>
      </x:c>
      <x:c r="C1623" s="2" t="str">
        <x:v>ST074</x:v>
      </x:c>
      <x:c r="D1623" s="2" t="str">
        <x:v>a9bcbd7cecca4f17e235125ddf0adf7b</x:v>
      </x:c>
      <x:c r="E1623" s="2" t="str">
        <x:v>CHECK_IN</x:v>
      </x:c>
      <x:c r="F1623" s="8" t="n">
        <x:v>46302.47163194445</x:v>
      </x:c>
      <x:c r="G1623" s="8" t="n">
        <x:v>46302.471655092595</x:v>
      </x:c>
      <x:c r="H1623" s="2" t="str">
        <x:v>R2S1</x:v>
      </x:c>
      <x:c r="I1623" s="9" t="n">
        <x:v>25.28</x:v>
      </x:c>
      <x:c r="J1623" s="9" t="n">
        <x:v>51.498999999999995</x:v>
      </x:c>
      <x:c r="K1623" s="2" t="n">
        <x:v>8</x:v>
      </x:c>
      <x:c r="L1623" s="2" t="str">
        <x:v>Valid</x:v>
      </x:c>
      <x:c r="M1623" s="2" t="str">
        <x:v>QR</x:v>
      </x:c>
      <x:c r="N1623" s="2" t="n">
        <x:v>1</x:v>
      </x:c>
      <x:c r="O1623" s="2" t="str">
        <x:v>Accepted</x:v>
      </x:c>
      <x:c r="P1623" s="2" t="str">
        <x:v>S002</x:v>
      </x:c>
      <x:c r="Q1623" s="2" t="str">
        <x:v>DEV002</x:v>
      </x:c>
      <x:c r="R1623" s="2" t="n">
        <x:v>23</x:v>
      </x:c>
      <x:c r="S1623" s="2" t="str">
        <x:v>Online</x:v>
      </x:c>
      <x:c r="T1623" s="2" t="str">
        <x:v>Synced</x:v>
      </x:c>
    </x:row>
    <x:row r="1624" ht="21" customHeight="1">
      <x:c r="A1624" s="2" t="str">
        <x:v>EV001841</x:v>
      </x:c>
      <x:c r="B1624" s="2" t="str">
        <x:v>T20261007-2-3</x:v>
      </x:c>
      <x:c r="C1624" s="2" t="str">
        <x:v>ST114</x:v>
      </x:c>
      <x:c r="D1624" s="2" t="str">
        <x:v>a5c77bf3b082c3ab825b65c34f1c9f8c</x:v>
      </x:c>
      <x:c r="E1624" s="2" t="str">
        <x:v>CHECK_IN</x:v>
      </x:c>
      <x:c r="F1624" s="8" t="n">
        <x:v>46302.47163194445</x:v>
      </x:c>
      <x:c r="G1624" s="8" t="n">
        <x:v>46302.471655092595</x:v>
      </x:c>
      <x:c r="H1624" s="2" t="str">
        <x:v>R3S1</x:v>
      </x:c>
      <x:c r="I1624" s="9" t="n">
        <x:v>25.289</x:v>
      </x:c>
      <x:c r="J1624" s="9" t="n">
        <x:v>51.507</x:v>
      </x:c>
      <x:c r="K1624" s="2" t="n">
        <x:v>8</x:v>
      </x:c>
      <x:c r="L1624" s="2" t="str">
        <x:v>Valid</x:v>
      </x:c>
      <x:c r="M1624" s="2" t="str">
        <x:v>QR</x:v>
      </x:c>
      <x:c r="N1624" s="2" t="n">
        <x:v>1</x:v>
      </x:c>
      <x:c r="O1624" s="2" t="str">
        <x:v>Accepted</x:v>
      </x:c>
      <x:c r="P1624" s="2" t="str">
        <x:v>S003</x:v>
      </x:c>
      <x:c r="Q1624" s="2" t="str">
        <x:v>DEV003</x:v>
      </x:c>
      <x:c r="R1624" s="2" t="n">
        <x:v>23</x:v>
      </x:c>
      <x:c r="S1624" s="2" t="str">
        <x:v>Online</x:v>
      </x:c>
      <x:c r="T1624" s="2" t="str">
        <x:v>Synced</x:v>
      </x:c>
    </x:row>
    <x:row r="1625" ht="21" customHeight="1">
      <x:c r="A1625" s="2" t="str">
        <x:v>EV001503</x:v>
      </x:c>
      <x:c r="B1625" s="2" t="str">
        <x:v>T20261007-2-1</x:v>
      </x:c>
      <x:c r="C1625" s="2" t="str">
        <x:v>ST025</x:v>
      </x:c>
      <x:c r="D1625" s="2" t="str">
        <x:v>caea48c43f4ccfa85999e7cb546cd774</x:v>
      </x:c>
      <x:c r="E1625" s="2" t="str">
        <x:v>CHECK_IN</x:v>
      </x:c>
      <x:c r="F1625" s="8" t="n">
        <x:v>46302.47166666667</x:v>
      </x:c>
      <x:c r="G1625" s="8" t="n">
        <x:v>46302.47168981482</x:v>
      </x:c>
      <x:c r="H1625" s="2" t="str">
        <x:v>R1S1</x:v>
      </x:c>
      <x:c r="I1625" s="9" t="n">
        <x:v>25.271</x:v>
      </x:c>
      <x:c r="J1625" s="9" t="n">
        <x:v>51.491</x:v>
      </x:c>
      <x:c r="K1625" s="2" t="n">
        <x:v>8</x:v>
      </x:c>
      <x:c r="L1625" s="2" t="str">
        <x:v>Valid</x:v>
      </x:c>
      <x:c r="M1625" s="2" t="str">
        <x:v>QR</x:v>
      </x:c>
      <x:c r="N1625" s="2" t="n">
        <x:v>1</x:v>
      </x:c>
      <x:c r="O1625" s="2" t="str">
        <x:v>Accepted</x:v>
      </x:c>
      <x:c r="P1625" s="2" t="str">
        <x:v>S001</x:v>
      </x:c>
      <x:c r="Q1625" s="2" t="str">
        <x:v>DEV001</x:v>
      </x:c>
      <x:c r="R1625" s="2" t="n">
        <x:v>24</x:v>
      </x:c>
      <x:c r="S1625" s="2" t="str">
        <x:v>Online</x:v>
      </x:c>
      <x:c r="T1625" s="2" t="str">
        <x:v>Synced</x:v>
      </x:c>
    </x:row>
    <x:row r="1626" ht="21" customHeight="1">
      <x:c r="A1626" s="2" t="str">
        <x:v>EV001663</x:v>
      </x:c>
      <x:c r="B1626" s="2" t="str">
        <x:v>T20261007-2-2</x:v>
      </x:c>
      <x:c r="C1626" s="2" t="str">
        <x:v>ST065</x:v>
      </x:c>
      <x:c r="D1626" s="2" t="str">
        <x:v>6b379c82348acc8be3e0d247197a20bf</x:v>
      </x:c>
      <x:c r="E1626" s="2" t="str">
        <x:v>CHECK_IN</x:v>
      </x:c>
      <x:c r="F1626" s="8" t="n">
        <x:v>46302.47166666667</x:v>
      </x:c>
      <x:c r="G1626" s="8" t="n">
        <x:v>46302.47168981482</x:v>
      </x:c>
      <x:c r="H1626" s="2" t="str">
        <x:v>R2S1</x:v>
      </x:c>
      <x:c r="I1626" s="9" t="n">
        <x:v>25.28</x:v>
      </x:c>
      <x:c r="J1626" s="9" t="n">
        <x:v>51.498999999999995</x:v>
      </x:c>
      <x:c r="K1626" s="2" t="n">
        <x:v>8</x:v>
      </x:c>
      <x:c r="L1626" s="2" t="str">
        <x:v>Valid</x:v>
      </x:c>
      <x:c r="M1626" s="2" t="str">
        <x:v>QR</x:v>
      </x:c>
      <x:c r="N1626" s="2" t="n">
        <x:v>1</x:v>
      </x:c>
      <x:c r="O1626" s="2" t="str">
        <x:v>Accepted</x:v>
      </x:c>
      <x:c r="P1626" s="2" t="str">
        <x:v>S002</x:v>
      </x:c>
      <x:c r="Q1626" s="2" t="str">
        <x:v>DEV002</x:v>
      </x:c>
      <x:c r="R1626" s="2" t="n">
        <x:v>24</x:v>
      </x:c>
      <x:c r="S1626" s="2" t="str">
        <x:v>Online</x:v>
      </x:c>
      <x:c r="T1626" s="2" t="str">
        <x:v>Synced</x:v>
      </x:c>
    </x:row>
    <x:row r="1627" ht="21" customHeight="1">
      <x:c r="A1627" s="2" t="str">
        <x:v>EV001823</x:v>
      </x:c>
      <x:c r="B1627" s="2" t="str">
        <x:v>T20261007-2-3</x:v>
      </x:c>
      <x:c r="C1627" s="2" t="str">
        <x:v>ST105</x:v>
      </x:c>
      <x:c r="D1627" s="2" t="str">
        <x:v>bbd3ba75eaabf5ca3acef3823a75d885</x:v>
      </x:c>
      <x:c r="E1627" s="2" t="str">
        <x:v>CHECK_IN</x:v>
      </x:c>
      <x:c r="F1627" s="8" t="n">
        <x:v>46302.47166666667</x:v>
      </x:c>
      <x:c r="G1627" s="8" t="n">
        <x:v>46302.47168981482</x:v>
      </x:c>
      <x:c r="H1627" s="2" t="str">
        <x:v>R3S1</x:v>
      </x:c>
      <x:c r="I1627" s="9" t="n">
        <x:v>25.289</x:v>
      </x:c>
      <x:c r="J1627" s="9" t="n">
        <x:v>51.507</x:v>
      </x:c>
      <x:c r="K1627" s="2" t="n">
        <x:v>8</x:v>
      </x:c>
      <x:c r="L1627" s="2" t="str">
        <x:v>Valid</x:v>
      </x:c>
      <x:c r="M1627" s="2" t="str">
        <x:v>QR</x:v>
      </x:c>
      <x:c r="N1627" s="2" t="n">
        <x:v>1</x:v>
      </x:c>
      <x:c r="O1627" s="2" t="str">
        <x:v>Accepted</x:v>
      </x:c>
      <x:c r="P1627" s="2" t="str">
        <x:v>S003</x:v>
      </x:c>
      <x:c r="Q1627" s="2" t="str">
        <x:v>DEV003</x:v>
      </x:c>
      <x:c r="R1627" s="2" t="n">
        <x:v>24</x:v>
      </x:c>
      <x:c r="S1627" s="2" t="str">
        <x:v>Online</x:v>
      </x:c>
      <x:c r="T1627" s="2" t="str">
        <x:v>Synced</x:v>
      </x:c>
    </x:row>
    <x:row r="1628" ht="21" customHeight="1">
      <x:c r="A1628" s="2" t="str">
        <x:v>EV001527</x:v>
      </x:c>
      <x:c r="B1628" s="2" t="str">
        <x:v>T20261007-2-1</x:v>
      </x:c>
      <x:c r="C1628" s="2" t="str">
        <x:v>ST037</x:v>
      </x:c>
      <x:c r="D1628" s="2" t="str">
        <x:v>eb6cdfa5572c8f6959c8b9c84b8ec493</x:v>
      </x:c>
      <x:c r="E1628" s="2" t="str">
        <x:v>CHECK_IN</x:v>
      </x:c>
      <x:c r="F1628" s="8" t="n">
        <x:v>46302.47173611111</x:v>
      </x:c>
      <x:c r="G1628" s="8" t="n">
        <x:v>46302.47175925926</x:v>
      </x:c>
      <x:c r="H1628" s="2" t="str">
        <x:v>R1S1</x:v>
      </x:c>
      <x:c r="I1628" s="9" t="n">
        <x:v>25.271</x:v>
      </x:c>
      <x:c r="J1628" s="9" t="n">
        <x:v>51.491</x:v>
      </x:c>
      <x:c r="K1628" s="2" t="n">
        <x:v>8</x:v>
      </x:c>
      <x:c r="L1628" s="2" t="str">
        <x:v>Valid</x:v>
      </x:c>
      <x:c r="M1628" s="2" t="str">
        <x:v>QR</x:v>
      </x:c>
      <x:c r="N1628" s="2" t="n">
        <x:v>1</x:v>
      </x:c>
      <x:c r="O1628" s="2" t="str">
        <x:v>Accepted</x:v>
      </x:c>
      <x:c r="P1628" s="2" t="str">
        <x:v>S001</x:v>
      </x:c>
      <x:c r="Q1628" s="2" t="str">
        <x:v>DEV001</x:v>
      </x:c>
      <x:c r="R1628" s="2" t="n">
        <x:v>25</x:v>
      </x:c>
      <x:c r="S1628" s="2" t="str">
        <x:v>Online</x:v>
      </x:c>
      <x:c r="T1628" s="2" t="str">
        <x:v>Synced</x:v>
      </x:c>
    </x:row>
    <x:row r="1629" ht="21" customHeight="1">
      <x:c r="A1629" s="2" t="str">
        <x:v>EV001687</x:v>
      </x:c>
      <x:c r="B1629" s="2" t="str">
        <x:v>T20261007-2-2</x:v>
      </x:c>
      <x:c r="C1629" s="2" t="str">
        <x:v>ST077</x:v>
      </x:c>
      <x:c r="D1629" s="2" t="str">
        <x:v>af7b8314f6c372daf48e6b95332f6a0f</x:v>
      </x:c>
      <x:c r="E1629" s="2" t="str">
        <x:v>CHECK_IN</x:v>
      </x:c>
      <x:c r="F1629" s="8" t="n">
        <x:v>46302.47173611111</x:v>
      </x:c>
      <x:c r="G1629" s="8" t="n">
        <x:v>46302.47175925926</x:v>
      </x:c>
      <x:c r="H1629" s="2" t="str">
        <x:v>R2S1</x:v>
      </x:c>
      <x:c r="I1629" s="9" t="n">
        <x:v>25.28</x:v>
      </x:c>
      <x:c r="J1629" s="9" t="n">
        <x:v>51.498999999999995</x:v>
      </x:c>
      <x:c r="K1629" s="2" t="n">
        <x:v>8</x:v>
      </x:c>
      <x:c r="L1629" s="2" t="str">
        <x:v>Valid</x:v>
      </x:c>
      <x:c r="M1629" s="2" t="str">
        <x:v>QR</x:v>
      </x:c>
      <x:c r="N1629" s="2" t="n">
        <x:v>1</x:v>
      </x:c>
      <x:c r="O1629" s="2" t="str">
        <x:v>Accepted</x:v>
      </x:c>
      <x:c r="P1629" s="2" t="str">
        <x:v>S002</x:v>
      </x:c>
      <x:c r="Q1629" s="2" t="str">
        <x:v>DEV002</x:v>
      </x:c>
      <x:c r="R1629" s="2" t="n">
        <x:v>25</x:v>
      </x:c>
      <x:c r="S1629" s="2" t="str">
        <x:v>Online</x:v>
      </x:c>
      <x:c r="T1629" s="2" t="str">
        <x:v>Synced</x:v>
      </x:c>
    </x:row>
    <x:row r="1630" ht="21" customHeight="1">
      <x:c r="A1630" s="2" t="str">
        <x:v>EV001847</x:v>
      </x:c>
      <x:c r="B1630" s="2" t="str">
        <x:v>T20261007-2-3</x:v>
      </x:c>
      <x:c r="C1630" s="2" t="str">
        <x:v>ST117</x:v>
      </x:c>
      <x:c r="D1630" s="2" t="str">
        <x:v>195a54aea4adbe89371209e73878e4fe</x:v>
      </x:c>
      <x:c r="E1630" s="2" t="str">
        <x:v>CHECK_IN</x:v>
      </x:c>
      <x:c r="F1630" s="8" t="n">
        <x:v>46302.47173611111</x:v>
      </x:c>
      <x:c r="G1630" s="8" t="n">
        <x:v>46302.47175925926</x:v>
      </x:c>
      <x:c r="H1630" s="2" t="str">
        <x:v>R3S1</x:v>
      </x:c>
      <x:c r="I1630" s="9" t="n">
        <x:v>25.289</x:v>
      </x:c>
      <x:c r="J1630" s="9" t="n">
        <x:v>51.507</x:v>
      </x:c>
      <x:c r="K1630" s="2" t="n">
        <x:v>8</x:v>
      </x:c>
      <x:c r="L1630" s="2" t="str">
        <x:v>Valid</x:v>
      </x:c>
      <x:c r="M1630" s="2" t="str">
        <x:v>QR</x:v>
      </x:c>
      <x:c r="N1630" s="2" t="n">
        <x:v>1</x:v>
      </x:c>
      <x:c r="O1630" s="2" t="str">
        <x:v>Accepted</x:v>
      </x:c>
      <x:c r="P1630" s="2" t="str">
        <x:v>S003</x:v>
      </x:c>
      <x:c r="Q1630" s="2" t="str">
        <x:v>DEV003</x:v>
      </x:c>
      <x:c r="R1630" s="2" t="n">
        <x:v>25</x:v>
      </x:c>
      <x:c r="S1630" s="2" t="str">
        <x:v>Online</x:v>
      </x:c>
      <x:c r="T1630" s="2" t="str">
        <x:v>Synced</x:v>
      </x:c>
    </x:row>
    <x:row r="1631" ht="21" customHeight="1">
      <x:c r="A1631" s="2" t="str">
        <x:v>EV001509</x:v>
      </x:c>
      <x:c r="B1631" s="2" t="str">
        <x:v>T20261007-2-1</x:v>
      </x:c>
      <x:c r="C1631" s="2" t="str">
        <x:v>ST028</x:v>
      </x:c>
      <x:c r="D1631" s="2" t="str">
        <x:v>af9ca502f5a3f54f1f44ea6d11afd24b</x:v>
      </x:c>
      <x:c r="E1631" s="2" t="str">
        <x:v>CHECK_IN</x:v>
      </x:c>
      <x:c r="F1631" s="8" t="n">
        <x:v>46302.471770833334</x:v>
      </x:c>
      <x:c r="G1631" s="8" t="n">
        <x:v>46302.47179398148</x:v>
      </x:c>
      <x:c r="H1631" s="2" t="str">
        <x:v>R1S1</x:v>
      </x:c>
      <x:c r="I1631" s="9" t="n">
        <x:v>25.271</x:v>
      </x:c>
      <x:c r="J1631" s="9" t="n">
        <x:v>51.491</x:v>
      </x:c>
      <x:c r="K1631" s="2" t="n">
        <x:v>8</x:v>
      </x:c>
      <x:c r="L1631" s="2" t="str">
        <x:v>Valid</x:v>
      </x:c>
      <x:c r="M1631" s="2" t="str">
        <x:v>QR</x:v>
      </x:c>
      <x:c r="N1631" s="2" t="n">
        <x:v>1</x:v>
      </x:c>
      <x:c r="O1631" s="2" t="str">
        <x:v>Accepted</x:v>
      </x:c>
      <x:c r="P1631" s="2" t="str">
        <x:v>S001</x:v>
      </x:c>
      <x:c r="Q1631" s="2" t="str">
        <x:v>DEV001</x:v>
      </x:c>
      <x:c r="R1631" s="2" t="n">
        <x:v>26</x:v>
      </x:c>
      <x:c r="S1631" s="2" t="str">
        <x:v>Online</x:v>
      </x:c>
      <x:c r="T1631" s="2" t="str">
        <x:v>Synced</x:v>
      </x:c>
    </x:row>
    <x:row r="1632" ht="21" customHeight="1">
      <x:c r="A1632" s="2" t="str">
        <x:v>EV001669</x:v>
      </x:c>
      <x:c r="B1632" s="2" t="str">
        <x:v>T20261007-2-2</x:v>
      </x:c>
      <x:c r="C1632" s="2" t="str">
        <x:v>ST068</x:v>
      </x:c>
      <x:c r="D1632" s="2" t="str">
        <x:v>6d9af84dd25561b8b07e5e166ae4982a</x:v>
      </x:c>
      <x:c r="E1632" s="2" t="str">
        <x:v>CHECK_IN</x:v>
      </x:c>
      <x:c r="F1632" s="8" t="n">
        <x:v>46302.471770833334</x:v>
      </x:c>
      <x:c r="G1632" s="8" t="n">
        <x:v>46302.47179398148</x:v>
      </x:c>
      <x:c r="H1632" s="2" t="str">
        <x:v>R2S1</x:v>
      </x:c>
      <x:c r="I1632" s="9" t="n">
        <x:v>25.28</x:v>
      </x:c>
      <x:c r="J1632" s="9" t="n">
        <x:v>51.498999999999995</x:v>
      </x:c>
      <x:c r="K1632" s="2" t="n">
        <x:v>8</x:v>
      </x:c>
      <x:c r="L1632" s="2" t="str">
        <x:v>Valid</x:v>
      </x:c>
      <x:c r="M1632" s="2" t="str">
        <x:v>QR</x:v>
      </x:c>
      <x:c r="N1632" s="2" t="n">
        <x:v>1</x:v>
      </x:c>
      <x:c r="O1632" s="2" t="str">
        <x:v>Accepted</x:v>
      </x:c>
      <x:c r="P1632" s="2" t="str">
        <x:v>S002</x:v>
      </x:c>
      <x:c r="Q1632" s="2" t="str">
        <x:v>DEV002</x:v>
      </x:c>
      <x:c r="R1632" s="2" t="n">
        <x:v>26</x:v>
      </x:c>
      <x:c r="S1632" s="2" t="str">
        <x:v>Online</x:v>
      </x:c>
      <x:c r="T1632" s="2" t="str">
        <x:v>Synced</x:v>
      </x:c>
    </x:row>
    <x:row r="1633" ht="21" customHeight="1">
      <x:c r="A1633" s="2" t="str">
        <x:v>EV001829</x:v>
      </x:c>
      <x:c r="B1633" s="2" t="str">
        <x:v>T20261007-2-3</x:v>
      </x:c>
      <x:c r="C1633" s="2" t="str">
        <x:v>ST108</x:v>
      </x:c>
      <x:c r="D1633" s="2" t="str">
        <x:v>85ef3b20338dfa9afdf3ae5a4b1ced5c</x:v>
      </x:c>
      <x:c r="E1633" s="2" t="str">
        <x:v>CHECK_IN</x:v>
      </x:c>
      <x:c r="F1633" s="8" t="n">
        <x:v>46302.471770833334</x:v>
      </x:c>
      <x:c r="G1633" s="8" t="n">
        <x:v>46302.47179398148</x:v>
      </x:c>
      <x:c r="H1633" s="2" t="str">
        <x:v>R3S1</x:v>
      </x:c>
      <x:c r="I1633" s="9" t="n">
        <x:v>25.289</x:v>
      </x:c>
      <x:c r="J1633" s="9" t="n">
        <x:v>51.507</x:v>
      </x:c>
      <x:c r="K1633" s="2" t="n">
        <x:v>8</x:v>
      </x:c>
      <x:c r="L1633" s="2" t="str">
        <x:v>Valid</x:v>
      </x:c>
      <x:c r="M1633" s="2" t="str">
        <x:v>QR</x:v>
      </x:c>
      <x:c r="N1633" s="2" t="n">
        <x:v>1</x:v>
      </x:c>
      <x:c r="O1633" s="2" t="str">
        <x:v>Accepted</x:v>
      </x:c>
      <x:c r="P1633" s="2" t="str">
        <x:v>S003</x:v>
      </x:c>
      <x:c r="Q1633" s="2" t="str">
        <x:v>DEV003</x:v>
      </x:c>
      <x:c r="R1633" s="2" t="n">
        <x:v>26</x:v>
      </x:c>
      <x:c r="S1633" s="2" t="str">
        <x:v>Online</x:v>
      </x:c>
      <x:c r="T1633" s="2" t="str">
        <x:v>Synced</x:v>
      </x:c>
    </x:row>
    <x:row r="1634" ht="21" customHeight="1">
      <x:c r="A1634" s="2" t="str">
        <x:v>EV001533</x:v>
      </x:c>
      <x:c r="B1634" s="2" t="str">
        <x:v>T20261007-2-1</x:v>
      </x:c>
      <x:c r="C1634" s="2" t="str">
        <x:v>ST040</x:v>
      </x:c>
      <x:c r="D1634" s="2" t="str">
        <x:v>4cd5e507bb3c8af27cd11d16138dcec0</x:v>
      </x:c>
      <x:c r="E1634" s="2" t="str">
        <x:v>CHECK_IN</x:v>
      </x:c>
      <x:c r="F1634" s="8" t="n">
        <x:v>46302.47184027778</x:v>
      </x:c>
      <x:c r="G1634" s="8" t="n">
        <x:v>46302.471863425926</x:v>
      </x:c>
      <x:c r="H1634" s="2" t="str">
        <x:v>R1S1</x:v>
      </x:c>
      <x:c r="I1634" s="9" t="n">
        <x:v>25.271</x:v>
      </x:c>
      <x:c r="J1634" s="9" t="n">
        <x:v>51.491</x:v>
      </x:c>
      <x:c r="K1634" s="2" t="n">
        <x:v>8</x:v>
      </x:c>
      <x:c r="L1634" s="2" t="str">
        <x:v>Valid</x:v>
      </x:c>
      <x:c r="M1634" s="2" t="str">
        <x:v>QR</x:v>
      </x:c>
      <x:c r="N1634" s="2" t="n">
        <x:v>1</x:v>
      </x:c>
      <x:c r="O1634" s="2" t="str">
        <x:v>Accepted</x:v>
      </x:c>
      <x:c r="P1634" s="2" t="str">
        <x:v>S001</x:v>
      </x:c>
      <x:c r="Q1634" s="2" t="str">
        <x:v>DEV001</x:v>
      </x:c>
      <x:c r="R1634" s="2" t="n">
        <x:v>27</x:v>
      </x:c>
      <x:c r="S1634" s="2" t="str">
        <x:v>Online</x:v>
      </x:c>
      <x:c r="T1634" s="2" t="str">
        <x:v>Synced</x:v>
      </x:c>
    </x:row>
    <x:row r="1635" ht="21" customHeight="1">
      <x:c r="A1635" s="2" t="str">
        <x:v>EV001693</x:v>
      </x:c>
      <x:c r="B1635" s="2" t="str">
        <x:v>T20261007-2-2</x:v>
      </x:c>
      <x:c r="C1635" s="2" t="str">
        <x:v>ST080</x:v>
      </x:c>
      <x:c r="D1635" s="2" t="str">
        <x:v>0abaf17d1472c0347862177fd9880be2</x:v>
      </x:c>
      <x:c r="E1635" s="2" t="str">
        <x:v>CHECK_IN</x:v>
      </x:c>
      <x:c r="F1635" s="8" t="n">
        <x:v>46302.47184027778</x:v>
      </x:c>
      <x:c r="G1635" s="8" t="n">
        <x:v>46302.471863425926</x:v>
      </x:c>
      <x:c r="H1635" s="2" t="str">
        <x:v>R2S1</x:v>
      </x:c>
      <x:c r="I1635" s="9" t="n">
        <x:v>25.28</x:v>
      </x:c>
      <x:c r="J1635" s="9" t="n">
        <x:v>51.498999999999995</x:v>
      </x:c>
      <x:c r="K1635" s="2" t="n">
        <x:v>8</x:v>
      </x:c>
      <x:c r="L1635" s="2" t="str">
        <x:v>Valid</x:v>
      </x:c>
      <x:c r="M1635" s="2" t="str">
        <x:v>QR</x:v>
      </x:c>
      <x:c r="N1635" s="2" t="n">
        <x:v>1</x:v>
      </x:c>
      <x:c r="O1635" s="2" t="str">
        <x:v>Accepted</x:v>
      </x:c>
      <x:c r="P1635" s="2" t="str">
        <x:v>S002</x:v>
      </x:c>
      <x:c r="Q1635" s="2" t="str">
        <x:v>DEV002</x:v>
      </x:c>
      <x:c r="R1635" s="2" t="n">
        <x:v>27</x:v>
      </x:c>
      <x:c r="S1635" s="2" t="str">
        <x:v>Online</x:v>
      </x:c>
      <x:c r="T1635" s="2" t="str">
        <x:v>Synced</x:v>
      </x:c>
    </x:row>
    <x:row r="1636" ht="21" customHeight="1">
      <x:c r="A1636" s="2" t="str">
        <x:v>EV001853</x:v>
      </x:c>
      <x:c r="B1636" s="2" t="str">
        <x:v>T20261007-2-3</x:v>
      </x:c>
      <x:c r="C1636" s="2" t="str">
        <x:v>ST120</x:v>
      </x:c>
      <x:c r="D1636" s="2" t="str">
        <x:v>c3749f3342e76b516e5c145f91308219</x:v>
      </x:c>
      <x:c r="E1636" s="2" t="str">
        <x:v>CHECK_IN</x:v>
      </x:c>
      <x:c r="F1636" s="8" t="n">
        <x:v>46302.47184027778</x:v>
      </x:c>
      <x:c r="G1636" s="8" t="n">
        <x:v>46302.471863425926</x:v>
      </x:c>
      <x:c r="H1636" s="2" t="str">
        <x:v>R3S1</x:v>
      </x:c>
      <x:c r="I1636" s="9" t="n">
        <x:v>25.289</x:v>
      </x:c>
      <x:c r="J1636" s="9" t="n">
        <x:v>51.507</x:v>
      </x:c>
      <x:c r="K1636" s="2" t="n">
        <x:v>8</x:v>
      </x:c>
      <x:c r="L1636" s="2" t="str">
        <x:v>Valid</x:v>
      </x:c>
      <x:c r="M1636" s="2" t="str">
        <x:v>QR</x:v>
      </x:c>
      <x:c r="N1636" s="2" t="n">
        <x:v>1</x:v>
      </x:c>
      <x:c r="O1636" s="2" t="str">
        <x:v>Accepted</x:v>
      </x:c>
      <x:c r="P1636" s="2" t="str">
        <x:v>S003</x:v>
      </x:c>
      <x:c r="Q1636" s="2" t="str">
        <x:v>DEV003</x:v>
      </x:c>
      <x:c r="R1636" s="2" t="n">
        <x:v>27</x:v>
      </x:c>
      <x:c r="S1636" s="2" t="str">
        <x:v>Online</x:v>
      </x:c>
      <x:c r="T1636" s="2" t="str">
        <x:v>Synced</x:v>
      </x:c>
    </x:row>
    <x:row r="1637" ht="21" customHeight="1">
      <x:c r="A1637" s="2" t="str">
        <x:v>EV001517</x:v>
      </x:c>
      <x:c r="B1637" s="2" t="str">
        <x:v>T20261007-2-1</x:v>
      </x:c>
      <x:c r="C1637" s="2" t="str">
        <x:v>ST032</x:v>
      </x:c>
      <x:c r="D1637" s="2" t="str">
        <x:v>836e2da54ccde9716995f5651a63e8c5</x:v>
      </x:c>
      <x:c r="E1637" s="2" t="str">
        <x:v>CHECK_IN</x:v>
      </x:c>
      <x:c r="F1637" s="8" t="n">
        <x:v>46302.47642361111</x:v>
      </x:c>
      <x:c r="G1637" s="8" t="n">
        <x:v>46302.476446759254</x:v>
      </x:c>
      <x:c r="H1637" s="2" t="str">
        <x:v>R1S2</x:v>
      </x:c>
      <x:c r="I1637" s="9" t="n">
        <x:v>25.273000000000003</x:v>
      </x:c>
      <x:c r="J1637" s="9" t="n">
        <x:v>51.494</x:v>
      </x:c>
      <x:c r="K1637" s="2" t="n">
        <x:v>8</x:v>
      </x:c>
      <x:c r="L1637" s="2" t="str">
        <x:v>Valid</x:v>
      </x:c>
      <x:c r="M1637" s="2" t="str">
        <x:v>QR</x:v>
      </x:c>
      <x:c r="N1637" s="2" t="n">
        <x:v>1</x:v>
      </x:c>
      <x:c r="O1637" s="2" t="str">
        <x:v>Accepted</x:v>
      </x:c>
      <x:c r="P1637" s="2" t="str">
        <x:v>S001</x:v>
      </x:c>
      <x:c r="Q1637" s="2" t="str">
        <x:v>DEV001</x:v>
      </x:c>
      <x:c r="R1637" s="2" t="n">
        <x:v>28</x:v>
      </x:c>
      <x:c r="S1637" s="2" t="str">
        <x:v>Online</x:v>
      </x:c>
      <x:c r="T1637" s="2" t="str">
        <x:v>Synced</x:v>
      </x:c>
    </x:row>
    <x:row r="1638" ht="21" customHeight="1">
      <x:c r="A1638" s="2" t="str">
        <x:v>EV001677</x:v>
      </x:c>
      <x:c r="B1638" s="2" t="str">
        <x:v>T20261007-2-2</x:v>
      </x:c>
      <x:c r="C1638" s="2" t="str">
        <x:v>ST072</x:v>
      </x:c>
      <x:c r="D1638" s="2" t="str">
        <x:v>34067027b5922171fe59ce4d7b756f1c</x:v>
      </x:c>
      <x:c r="E1638" s="2" t="str">
        <x:v>CHECK_IN</x:v>
      </x:c>
      <x:c r="F1638" s="8" t="n">
        <x:v>46302.47642361111</x:v>
      </x:c>
      <x:c r="G1638" s="8" t="n">
        <x:v>46302.476446759254</x:v>
      </x:c>
      <x:c r="H1638" s="2" t="str">
        <x:v>R2S2</x:v>
      </x:c>
      <x:c r="I1638" s="9" t="n">
        <x:v>25.282000000000004</x:v>
      </x:c>
      <x:c r="J1638" s="9" t="n">
        <x:v>51.501999999999995</x:v>
      </x:c>
      <x:c r="K1638" s="2" t="n">
        <x:v>8</x:v>
      </x:c>
      <x:c r="L1638" s="2" t="str">
        <x:v>Valid</x:v>
      </x:c>
      <x:c r="M1638" s="2" t="str">
        <x:v>QR</x:v>
      </x:c>
      <x:c r="N1638" s="2" t="n">
        <x:v>1</x:v>
      </x:c>
      <x:c r="O1638" s="2" t="str">
        <x:v>Accepted</x:v>
      </x:c>
      <x:c r="P1638" s="2" t="str">
        <x:v>S002</x:v>
      </x:c>
      <x:c r="Q1638" s="2" t="str">
        <x:v>DEV002</x:v>
      </x:c>
      <x:c r="R1638" s="2" t="n">
        <x:v>28</x:v>
      </x:c>
      <x:c r="S1638" s="2" t="str">
        <x:v>Online</x:v>
      </x:c>
      <x:c r="T1638" s="2" t="str">
        <x:v>Synced</x:v>
      </x:c>
    </x:row>
    <x:row r="1639" ht="21" customHeight="1">
      <x:c r="A1639" s="2" t="str">
        <x:v>EV001837</x:v>
      </x:c>
      <x:c r="B1639" s="2" t="str">
        <x:v>T20261007-2-3</x:v>
      </x:c>
      <x:c r="C1639" s="2" t="str">
        <x:v>ST112</x:v>
      </x:c>
      <x:c r="D1639" s="2" t="str">
        <x:v>ca020aefc0d912af9ddca5c7ca7a2f51</x:v>
      </x:c>
      <x:c r="E1639" s="2" t="str">
        <x:v>CHECK_IN</x:v>
      </x:c>
      <x:c r="F1639" s="8" t="n">
        <x:v>46302.47642361111</x:v>
      </x:c>
      <x:c r="G1639" s="8" t="n">
        <x:v>46302.476446759254</x:v>
      </x:c>
      <x:c r="H1639" s="2" t="str">
        <x:v>R3S2</x:v>
      </x:c>
      <x:c r="I1639" s="9" t="n">
        <x:v>25.291000000000004</x:v>
      </x:c>
      <x:c r="J1639" s="9" t="n">
        <x:v>51.51</x:v>
      </x:c>
      <x:c r="K1639" s="2" t="n">
        <x:v>8</x:v>
      </x:c>
      <x:c r="L1639" s="2" t="str">
        <x:v>Valid</x:v>
      </x:c>
      <x:c r="M1639" s="2" t="str">
        <x:v>QR</x:v>
      </x:c>
      <x:c r="N1639" s="2" t="n">
        <x:v>1</x:v>
      </x:c>
      <x:c r="O1639" s="2" t="str">
        <x:v>Accepted</x:v>
      </x:c>
      <x:c r="P1639" s="2" t="str">
        <x:v>S003</x:v>
      </x:c>
      <x:c r="Q1639" s="2" t="str">
        <x:v>DEV003</x:v>
      </x:c>
      <x:c r="R1639" s="2" t="n">
        <x:v>28</x:v>
      </x:c>
      <x:c r="S1639" s="2" t="str">
        <x:v>Online</x:v>
      </x:c>
      <x:c r="T1639" s="2" t="str">
        <x:v>Synced</x:v>
      </x:c>
    </x:row>
    <x:row r="1640" ht="21" customHeight="1">
      <x:c r="A1640" s="2" t="str">
        <x:v>EV001499</x:v>
      </x:c>
      <x:c r="B1640" s="2" t="str">
        <x:v>T20261007-2-1</x:v>
      </x:c>
      <x:c r="C1640" s="2" t="str">
        <x:v>ST023</x:v>
      </x:c>
      <x:c r="D1640" s="2" t="str">
        <x:v>1836074fce688580737a08d14a26fa79</x:v>
      </x:c>
      <x:c r="E1640" s="2" t="str">
        <x:v>CHECK_IN</x:v>
      </x:c>
      <x:c r="F1640" s="8" t="n">
        <x:v>46302.47645833333</x:v>
      </x:c>
      <x:c r="G1640" s="8" t="n">
        <x:v>46302.47648148148</x:v>
      </x:c>
      <x:c r="H1640" s="2" t="str">
        <x:v>R1S2</x:v>
      </x:c>
      <x:c r="I1640" s="9" t="n">
        <x:v>25.273000000000003</x:v>
      </x:c>
      <x:c r="J1640" s="9" t="n">
        <x:v>51.494</x:v>
      </x:c>
      <x:c r="K1640" s="2" t="n">
        <x:v>8</x:v>
      </x:c>
      <x:c r="L1640" s="2" t="str">
        <x:v>Valid</x:v>
      </x:c>
      <x:c r="M1640" s="2" t="str">
        <x:v>QR</x:v>
      </x:c>
      <x:c r="N1640" s="2" t="n">
        <x:v>1</x:v>
      </x:c>
      <x:c r="O1640" s="2" t="str">
        <x:v>Accepted</x:v>
      </x:c>
      <x:c r="P1640" s="2" t="str">
        <x:v>S001</x:v>
      </x:c>
      <x:c r="Q1640" s="2" t="str">
        <x:v>DEV001</x:v>
      </x:c>
      <x:c r="R1640" s="2" t="n">
        <x:v>29</x:v>
      </x:c>
      <x:c r="S1640" s="2" t="str">
        <x:v>Online</x:v>
      </x:c>
      <x:c r="T1640" s="2" t="str">
        <x:v>Synced</x:v>
      </x:c>
    </x:row>
    <x:row r="1641" ht="21" customHeight="1">
      <x:c r="A1641" s="2" t="str">
        <x:v>EV001659</x:v>
      </x:c>
      <x:c r="B1641" s="2" t="str">
        <x:v>T20261007-2-2</x:v>
      </x:c>
      <x:c r="C1641" s="2" t="str">
        <x:v>ST063</x:v>
      </x:c>
      <x:c r="D1641" s="2" t="str">
        <x:v>46a3e8e97cbe04af0173a75d9cdbcebf</x:v>
      </x:c>
      <x:c r="E1641" s="2" t="str">
        <x:v>CHECK_IN</x:v>
      </x:c>
      <x:c r="F1641" s="8" t="n">
        <x:v>46302.47645833333</x:v>
      </x:c>
      <x:c r="G1641" s="8" t="n">
        <x:v>46302.47648148148</x:v>
      </x:c>
      <x:c r="H1641" s="2" t="str">
        <x:v>R2S2</x:v>
      </x:c>
      <x:c r="I1641" s="9" t="n">
        <x:v>25.282000000000004</x:v>
      </x:c>
      <x:c r="J1641" s="9" t="n">
        <x:v>51.501999999999995</x:v>
      </x:c>
      <x:c r="K1641" s="2" t="n">
        <x:v>8</x:v>
      </x:c>
      <x:c r="L1641" s="2" t="str">
        <x:v>Valid</x:v>
      </x:c>
      <x:c r="M1641" s="2" t="str">
        <x:v>QR</x:v>
      </x:c>
      <x:c r="N1641" s="2" t="n">
        <x:v>1</x:v>
      </x:c>
      <x:c r="O1641" s="2" t="str">
        <x:v>Accepted</x:v>
      </x:c>
      <x:c r="P1641" s="2" t="str">
        <x:v>S002</x:v>
      </x:c>
      <x:c r="Q1641" s="2" t="str">
        <x:v>DEV002</x:v>
      </x:c>
      <x:c r="R1641" s="2" t="n">
        <x:v>29</x:v>
      </x:c>
      <x:c r="S1641" s="2" t="str">
        <x:v>Online</x:v>
      </x:c>
      <x:c r="T1641" s="2" t="str">
        <x:v>Synced</x:v>
      </x:c>
    </x:row>
    <x:row r="1642" ht="21" customHeight="1">
      <x:c r="A1642" s="2" t="str">
        <x:v>EV001819</x:v>
      </x:c>
      <x:c r="B1642" s="2" t="str">
        <x:v>T20261007-2-3</x:v>
      </x:c>
      <x:c r="C1642" s="2" t="str">
        <x:v>ST103</x:v>
      </x:c>
      <x:c r="D1642" s="2" t="str">
        <x:v>5982cfca835e14d82ed8b6562c1a172d</x:v>
      </x:c>
      <x:c r="E1642" s="2" t="str">
        <x:v>CHECK_IN</x:v>
      </x:c>
      <x:c r="F1642" s="8" t="n">
        <x:v>46302.47645833333</x:v>
      </x:c>
      <x:c r="G1642" s="8" t="n">
        <x:v>46302.47648148148</x:v>
      </x:c>
      <x:c r="H1642" s="2" t="str">
        <x:v>R3S2</x:v>
      </x:c>
      <x:c r="I1642" s="9" t="n">
        <x:v>25.291000000000004</x:v>
      </x:c>
      <x:c r="J1642" s="9" t="n">
        <x:v>51.51</x:v>
      </x:c>
      <x:c r="K1642" s="2" t="n">
        <x:v>8</x:v>
      </x:c>
      <x:c r="L1642" s="2" t="str">
        <x:v>Valid</x:v>
      </x:c>
      <x:c r="M1642" s="2" t="str">
        <x:v>QR</x:v>
      </x:c>
      <x:c r="N1642" s="2" t="n">
        <x:v>1</x:v>
      </x:c>
      <x:c r="O1642" s="2" t="str">
        <x:v>Accepted</x:v>
      </x:c>
      <x:c r="P1642" s="2" t="str">
        <x:v>S003</x:v>
      </x:c>
      <x:c r="Q1642" s="2" t="str">
        <x:v>DEV003</x:v>
      </x:c>
      <x:c r="R1642" s="2" t="n">
        <x:v>29</x:v>
      </x:c>
      <x:c r="S1642" s="2" t="str">
        <x:v>Online</x:v>
      </x:c>
      <x:c r="T1642" s="2" t="str">
        <x:v>Synced</x:v>
      </x:c>
    </x:row>
    <x:row r="1643" ht="21" customHeight="1">
      <x:c r="A1643" s="2" t="str">
        <x:v>EV001523</x:v>
      </x:c>
      <x:c r="B1643" s="2" t="str">
        <x:v>T20261007-2-1</x:v>
      </x:c>
      <x:c r="C1643" s="2" t="str">
        <x:v>ST035</x:v>
      </x:c>
      <x:c r="D1643" s="2" t="str">
        <x:v>45068f3206e9be80993e83e259ea9cdc</x:v>
      </x:c>
      <x:c r="E1643" s="2" t="str">
        <x:v>CHECK_IN</x:v>
      </x:c>
      <x:c r="F1643" s="8" t="n">
        <x:v>46302.47652777778</x:v>
      </x:c>
      <x:c r="G1643" s="8" t="n">
        <x:v>46302.47655092592</x:v>
      </x:c>
      <x:c r="H1643" s="2" t="str">
        <x:v>R1S2</x:v>
      </x:c>
      <x:c r="I1643" s="9" t="n">
        <x:v>25.273000000000003</x:v>
      </x:c>
      <x:c r="J1643" s="9" t="n">
        <x:v>51.494</x:v>
      </x:c>
      <x:c r="K1643" s="2" t="n">
        <x:v>8</x:v>
      </x:c>
      <x:c r="L1643" s="2" t="str">
        <x:v>Valid</x:v>
      </x:c>
      <x:c r="M1643" s="2" t="str">
        <x:v>QR</x:v>
      </x:c>
      <x:c r="N1643" s="2" t="n">
        <x:v>1</x:v>
      </x:c>
      <x:c r="O1643" s="2" t="str">
        <x:v>Accepted</x:v>
      </x:c>
      <x:c r="P1643" s="2" t="str">
        <x:v>S001</x:v>
      </x:c>
      <x:c r="Q1643" s="2" t="str">
        <x:v>DEV001</x:v>
      </x:c>
      <x:c r="R1643" s="2" t="n">
        <x:v>30</x:v>
      </x:c>
      <x:c r="S1643" s="2" t="str">
        <x:v>Online</x:v>
      </x:c>
      <x:c r="T1643" s="2" t="str">
        <x:v>Synced</x:v>
      </x:c>
    </x:row>
    <x:row r="1644" ht="21" customHeight="1">
      <x:c r="A1644" s="2" t="str">
        <x:v>EV001683</x:v>
      </x:c>
      <x:c r="B1644" s="2" t="str">
        <x:v>T20261007-2-2</x:v>
      </x:c>
      <x:c r="C1644" s="2" t="str">
        <x:v>ST075</x:v>
      </x:c>
      <x:c r="D1644" s="2" t="str">
        <x:v>3781d00e457977b726407cb845a294cc</x:v>
      </x:c>
      <x:c r="E1644" s="2" t="str">
        <x:v>CHECK_IN</x:v>
      </x:c>
      <x:c r="F1644" s="8" t="n">
        <x:v>46302.47652777778</x:v>
      </x:c>
      <x:c r="G1644" s="8" t="n">
        <x:v>46302.47655092592</x:v>
      </x:c>
      <x:c r="H1644" s="2" t="str">
        <x:v>R2S2</x:v>
      </x:c>
      <x:c r="I1644" s="9" t="n">
        <x:v>25.282000000000004</x:v>
      </x:c>
      <x:c r="J1644" s="9" t="n">
        <x:v>51.501999999999995</x:v>
      </x:c>
      <x:c r="K1644" s="2" t="n">
        <x:v>8</x:v>
      </x:c>
      <x:c r="L1644" s="2" t="str">
        <x:v>Valid</x:v>
      </x:c>
      <x:c r="M1644" s="2" t="str">
        <x:v>QR</x:v>
      </x:c>
      <x:c r="N1644" s="2" t="n">
        <x:v>1</x:v>
      </x:c>
      <x:c r="O1644" s="2" t="str">
        <x:v>Accepted</x:v>
      </x:c>
      <x:c r="P1644" s="2" t="str">
        <x:v>S002</x:v>
      </x:c>
      <x:c r="Q1644" s="2" t="str">
        <x:v>DEV002</x:v>
      </x:c>
      <x:c r="R1644" s="2" t="n">
        <x:v>30</x:v>
      </x:c>
      <x:c r="S1644" s="2" t="str">
        <x:v>Online</x:v>
      </x:c>
      <x:c r="T1644" s="2" t="str">
        <x:v>Synced</x:v>
      </x:c>
    </x:row>
    <x:row r="1645" ht="21" customHeight="1">
      <x:c r="A1645" s="2" t="str">
        <x:v>EV001843</x:v>
      </x:c>
      <x:c r="B1645" s="2" t="str">
        <x:v>T20261007-2-3</x:v>
      </x:c>
      <x:c r="C1645" s="2" t="str">
        <x:v>ST115</x:v>
      </x:c>
      <x:c r="D1645" s="2" t="str">
        <x:v>dc951b9fd5f4acb1dc2ce3ca2f2e08ab</x:v>
      </x:c>
      <x:c r="E1645" s="2" t="str">
        <x:v>CHECK_IN</x:v>
      </x:c>
      <x:c r="F1645" s="8" t="n">
        <x:v>46302.47652777778</x:v>
      </x:c>
      <x:c r="G1645" s="8" t="n">
        <x:v>46302.47655092592</x:v>
      </x:c>
      <x:c r="H1645" s="2" t="str">
        <x:v>R3S2</x:v>
      </x:c>
      <x:c r="I1645" s="9" t="n">
        <x:v>25.291000000000004</x:v>
      </x:c>
      <x:c r="J1645" s="9" t="n">
        <x:v>51.51</x:v>
      </x:c>
      <x:c r="K1645" s="2" t="n">
        <x:v>8</x:v>
      </x:c>
      <x:c r="L1645" s="2" t="str">
        <x:v>Valid</x:v>
      </x:c>
      <x:c r="M1645" s="2" t="str">
        <x:v>QR</x:v>
      </x:c>
      <x:c r="N1645" s="2" t="n">
        <x:v>1</x:v>
      </x:c>
      <x:c r="O1645" s="2" t="str">
        <x:v>Accepted</x:v>
      </x:c>
      <x:c r="P1645" s="2" t="str">
        <x:v>S003</x:v>
      </x:c>
      <x:c r="Q1645" s="2" t="str">
        <x:v>DEV003</x:v>
      </x:c>
      <x:c r="R1645" s="2" t="n">
        <x:v>30</x:v>
      </x:c>
      <x:c r="S1645" s="2" t="str">
        <x:v>Online</x:v>
      </x:c>
      <x:c r="T1645" s="2" t="str">
        <x:v>Synced</x:v>
      </x:c>
    </x:row>
    <x:row r="1646" ht="21" customHeight="1">
      <x:c r="A1646" s="2" t="str">
        <x:v>EV001505</x:v>
      </x:c>
      <x:c r="B1646" s="2" t="str">
        <x:v>T20261007-2-1</x:v>
      </x:c>
      <x:c r="C1646" s="2" t="str">
        <x:v>ST026</x:v>
      </x:c>
      <x:c r="D1646" s="2" t="str">
        <x:v>56aea196eabcf09e1199afbd5e8907b0</x:v>
      </x:c>
      <x:c r="E1646" s="2" t="str">
        <x:v>CHECK_IN</x:v>
      </x:c>
      <x:c r="F1646" s="8" t="n">
        <x:v>46302.47656249999</x:v>
      </x:c>
      <x:c r="G1646" s="8" t="n">
        <x:v>46302.47658564814</x:v>
      </x:c>
      <x:c r="H1646" s="2" t="str">
        <x:v>R1S2</x:v>
      </x:c>
      <x:c r="I1646" s="9" t="n">
        <x:v>25.273000000000003</x:v>
      </x:c>
      <x:c r="J1646" s="9" t="n">
        <x:v>51.494</x:v>
      </x:c>
      <x:c r="K1646" s="2" t="n">
        <x:v>8</x:v>
      </x:c>
      <x:c r="L1646" s="2" t="str">
        <x:v>Valid</x:v>
      </x:c>
      <x:c r="M1646" s="2" t="str">
        <x:v>QR</x:v>
      </x:c>
      <x:c r="N1646" s="2" t="n">
        <x:v>1</x:v>
      </x:c>
      <x:c r="O1646" s="2" t="str">
        <x:v>Accepted</x:v>
      </x:c>
      <x:c r="P1646" s="2" t="str">
        <x:v>S001</x:v>
      </x:c>
      <x:c r="Q1646" s="2" t="str">
        <x:v>DEV001</x:v>
      </x:c>
      <x:c r="R1646" s="2" t="n">
        <x:v>31</x:v>
      </x:c>
      <x:c r="S1646" s="2" t="str">
        <x:v>Online</x:v>
      </x:c>
      <x:c r="T1646" s="2" t="str">
        <x:v>Synced</x:v>
      </x:c>
    </x:row>
    <x:row r="1647" ht="21" customHeight="1">
      <x:c r="A1647" s="2" t="str">
        <x:v>EV001665</x:v>
      </x:c>
      <x:c r="B1647" s="2" t="str">
        <x:v>T20261007-2-2</x:v>
      </x:c>
      <x:c r="C1647" s="2" t="str">
        <x:v>ST066</x:v>
      </x:c>
      <x:c r="D1647" s="2" t="str">
        <x:v>f1ae8019085f4d0a77552e53fdc22aa7</x:v>
      </x:c>
      <x:c r="E1647" s="2" t="str">
        <x:v>CHECK_IN</x:v>
      </x:c>
      <x:c r="F1647" s="8" t="n">
        <x:v>46302.47656249999</x:v>
      </x:c>
      <x:c r="G1647" s="8" t="n">
        <x:v>46302.47658564814</x:v>
      </x:c>
      <x:c r="H1647" s="2" t="str">
        <x:v>R2S2</x:v>
      </x:c>
      <x:c r="I1647" s="9" t="n">
        <x:v>25.282000000000004</x:v>
      </x:c>
      <x:c r="J1647" s="9" t="n">
        <x:v>51.501999999999995</x:v>
      </x:c>
      <x:c r="K1647" s="2" t="n">
        <x:v>8</x:v>
      </x:c>
      <x:c r="L1647" s="2" t="str">
        <x:v>Valid</x:v>
      </x:c>
      <x:c r="M1647" s="2" t="str">
        <x:v>QR</x:v>
      </x:c>
      <x:c r="N1647" s="2" t="n">
        <x:v>1</x:v>
      </x:c>
      <x:c r="O1647" s="2" t="str">
        <x:v>Accepted</x:v>
      </x:c>
      <x:c r="P1647" s="2" t="str">
        <x:v>S002</x:v>
      </x:c>
      <x:c r="Q1647" s="2" t="str">
        <x:v>DEV002</x:v>
      </x:c>
      <x:c r="R1647" s="2" t="n">
        <x:v>31</x:v>
      </x:c>
      <x:c r="S1647" s="2" t="str">
        <x:v>Online</x:v>
      </x:c>
      <x:c r="T1647" s="2" t="str">
        <x:v>Synced</x:v>
      </x:c>
    </x:row>
    <x:row r="1648" ht="21" customHeight="1">
      <x:c r="A1648" s="2" t="str">
        <x:v>EV001825</x:v>
      </x:c>
      <x:c r="B1648" s="2" t="str">
        <x:v>T20261007-2-3</x:v>
      </x:c>
      <x:c r="C1648" s="2" t="str">
        <x:v>ST106</x:v>
      </x:c>
      <x:c r="D1648" s="2" t="str">
        <x:v>9bd191644f26d4fc266418c96f36f10b</x:v>
      </x:c>
      <x:c r="E1648" s="2" t="str">
        <x:v>CHECK_IN</x:v>
      </x:c>
      <x:c r="F1648" s="8" t="n">
        <x:v>46302.47656249999</x:v>
      </x:c>
      <x:c r="G1648" s="8" t="n">
        <x:v>46302.47658564814</x:v>
      </x:c>
      <x:c r="H1648" s="2" t="str">
        <x:v>R3S2</x:v>
      </x:c>
      <x:c r="I1648" s="9" t="n">
        <x:v>25.291000000000004</x:v>
      </x:c>
      <x:c r="J1648" s="9" t="n">
        <x:v>51.51</x:v>
      </x:c>
      <x:c r="K1648" s="2" t="n">
        <x:v>8</x:v>
      </x:c>
      <x:c r="L1648" s="2" t="str">
        <x:v>Valid</x:v>
      </x:c>
      <x:c r="M1648" s="2" t="str">
        <x:v>QR</x:v>
      </x:c>
      <x:c r="N1648" s="2" t="n">
        <x:v>1</x:v>
      </x:c>
      <x:c r="O1648" s="2" t="str">
        <x:v>Accepted</x:v>
      </x:c>
      <x:c r="P1648" s="2" t="str">
        <x:v>S003</x:v>
      </x:c>
      <x:c r="Q1648" s="2" t="str">
        <x:v>DEV003</x:v>
      </x:c>
      <x:c r="R1648" s="2" t="n">
        <x:v>31</x:v>
      </x:c>
      <x:c r="S1648" s="2" t="str">
        <x:v>Online</x:v>
      </x:c>
      <x:c r="T1648" s="2" t="str">
        <x:v>Synced</x:v>
      </x:c>
    </x:row>
    <x:row r="1649" ht="21" customHeight="1">
      <x:c r="A1649" s="2" t="str">
        <x:v>EV001529</x:v>
      </x:c>
      <x:c r="B1649" s="2" t="str">
        <x:v>T20261007-2-1</x:v>
      </x:c>
      <x:c r="C1649" s="2" t="str">
        <x:v>ST038</x:v>
      </x:c>
      <x:c r="D1649" s="2" t="str">
        <x:v>1ebedd777293ba897970ae7fc06b6301</x:v>
      </x:c>
      <x:c r="E1649" s="2" t="str">
        <x:v>CHECK_IN</x:v>
      </x:c>
      <x:c r="F1649" s="8" t="n">
        <x:v>46302.47663194444</x:v>
      </x:c>
      <x:c r="G1649" s="8" t="n">
        <x:v>46302.476655092585</x:v>
      </x:c>
      <x:c r="H1649" s="2" t="str">
        <x:v>R1S2</x:v>
      </x:c>
      <x:c r="I1649" s="9" t="n">
        <x:v>25.273000000000003</x:v>
      </x:c>
      <x:c r="J1649" s="9" t="n">
        <x:v>51.494</x:v>
      </x:c>
      <x:c r="K1649" s="2" t="n">
        <x:v>8</x:v>
      </x:c>
      <x:c r="L1649" s="2" t="str">
        <x:v>Valid</x:v>
      </x:c>
      <x:c r="M1649" s="2" t="str">
        <x:v>QR</x:v>
      </x:c>
      <x:c r="N1649" s="2" t="n">
        <x:v>1</x:v>
      </x:c>
      <x:c r="O1649" s="2" t="str">
        <x:v>Accepted</x:v>
      </x:c>
      <x:c r="P1649" s="2" t="str">
        <x:v>S001</x:v>
      </x:c>
      <x:c r="Q1649" s="2" t="str">
        <x:v>DEV001</x:v>
      </x:c>
      <x:c r="R1649" s="2" t="n">
        <x:v>32</x:v>
      </x:c>
      <x:c r="S1649" s="2" t="str">
        <x:v>Online</x:v>
      </x:c>
      <x:c r="T1649" s="2" t="str">
        <x:v>Synced</x:v>
      </x:c>
    </x:row>
    <x:row r="1650" ht="21" customHeight="1">
      <x:c r="A1650" s="2" t="str">
        <x:v>EV001689</x:v>
      </x:c>
      <x:c r="B1650" s="2" t="str">
        <x:v>T20261007-2-2</x:v>
      </x:c>
      <x:c r="C1650" s="2" t="str">
        <x:v>ST078</x:v>
      </x:c>
      <x:c r="D1650" s="2" t="str">
        <x:v>737ab4e672bf11e638a47ae295f7e187</x:v>
      </x:c>
      <x:c r="E1650" s="2" t="str">
        <x:v>CHECK_IN</x:v>
      </x:c>
      <x:c r="F1650" s="8" t="n">
        <x:v>46302.47663194444</x:v>
      </x:c>
      <x:c r="G1650" s="8" t="n">
        <x:v>46302.476655092585</x:v>
      </x:c>
      <x:c r="H1650" s="2" t="str">
        <x:v>R2S2</x:v>
      </x:c>
      <x:c r="I1650" s="9" t="n">
        <x:v>25.282000000000004</x:v>
      </x:c>
      <x:c r="J1650" s="9" t="n">
        <x:v>51.501999999999995</x:v>
      </x:c>
      <x:c r="K1650" s="2" t="n">
        <x:v>8</x:v>
      </x:c>
      <x:c r="L1650" s="2" t="str">
        <x:v>Valid</x:v>
      </x:c>
      <x:c r="M1650" s="2" t="str">
        <x:v>QR</x:v>
      </x:c>
      <x:c r="N1650" s="2" t="n">
        <x:v>1</x:v>
      </x:c>
      <x:c r="O1650" s="2" t="str">
        <x:v>Accepted</x:v>
      </x:c>
      <x:c r="P1650" s="2" t="str">
        <x:v>S002</x:v>
      </x:c>
      <x:c r="Q1650" s="2" t="str">
        <x:v>DEV002</x:v>
      </x:c>
      <x:c r="R1650" s="2" t="n">
        <x:v>32</x:v>
      </x:c>
      <x:c r="S1650" s="2" t="str">
        <x:v>Online</x:v>
      </x:c>
      <x:c r="T1650" s="2" t="str">
        <x:v>Synced</x:v>
      </x:c>
    </x:row>
    <x:row r="1651" ht="21" customHeight="1">
      <x:c r="A1651" s="2" t="str">
        <x:v>EV001849</x:v>
      </x:c>
      <x:c r="B1651" s="2" t="str">
        <x:v>T20261007-2-3</x:v>
      </x:c>
      <x:c r="C1651" s="2" t="str">
        <x:v>ST118</x:v>
      </x:c>
      <x:c r="D1651" s="2" t="str">
        <x:v>b15012a6111b47a10bdbbcbbd00c9f60</x:v>
      </x:c>
      <x:c r="E1651" s="2" t="str">
        <x:v>CHECK_IN</x:v>
      </x:c>
      <x:c r="F1651" s="8" t="n">
        <x:v>46302.47663194444</x:v>
      </x:c>
      <x:c r="G1651" s="8" t="n">
        <x:v>46302.476655092585</x:v>
      </x:c>
      <x:c r="H1651" s="2" t="str">
        <x:v>R3S2</x:v>
      </x:c>
      <x:c r="I1651" s="9" t="n">
        <x:v>25.291000000000004</x:v>
      </x:c>
      <x:c r="J1651" s="9" t="n">
        <x:v>51.51</x:v>
      </x:c>
      <x:c r="K1651" s="2" t="n">
        <x:v>8</x:v>
      </x:c>
      <x:c r="L1651" s="2" t="str">
        <x:v>Valid</x:v>
      </x:c>
      <x:c r="M1651" s="2" t="str">
        <x:v>QR</x:v>
      </x:c>
      <x:c r="N1651" s="2" t="n">
        <x:v>1</x:v>
      </x:c>
      <x:c r="O1651" s="2" t="str">
        <x:v>Accepted</x:v>
      </x:c>
      <x:c r="P1651" s="2" t="str">
        <x:v>S003</x:v>
      </x:c>
      <x:c r="Q1651" s="2" t="str">
        <x:v>DEV003</x:v>
      </x:c>
      <x:c r="R1651" s="2" t="n">
        <x:v>32</x:v>
      </x:c>
      <x:c r="S1651" s="2" t="str">
        <x:v>Online</x:v>
      </x:c>
      <x:c r="T1651" s="2" t="str">
        <x:v>Synced</x:v>
      </x:c>
    </x:row>
    <x:row r="1652" ht="21" customHeight="1">
      <x:c r="A1652" s="2" t="str">
        <x:v>EV001511</x:v>
      </x:c>
      <x:c r="B1652" s="2" t="str">
        <x:v>T20261007-2-1</x:v>
      </x:c>
      <x:c r="C1652" s="2" t="str">
        <x:v>ST029</x:v>
      </x:c>
      <x:c r="D1652" s="2" t="str">
        <x:v>160c4caa69875e092299cd9b55dcda0b</x:v>
      </x:c>
      <x:c r="E1652" s="2" t="str">
        <x:v>CHECK_IN</x:v>
      </x:c>
      <x:c r="F1652" s="8" t="n">
        <x:v>46302.47666666666</x:v>
      </x:c>
      <x:c r="G1652" s="8" t="n">
        <x:v>46302.47668981481</x:v>
      </x:c>
      <x:c r="H1652" s="2" t="str">
        <x:v>R1S2</x:v>
      </x:c>
      <x:c r="I1652" s="9" t="n">
        <x:v>25.273000000000003</x:v>
      </x:c>
      <x:c r="J1652" s="9" t="n">
        <x:v>51.494</x:v>
      </x:c>
      <x:c r="K1652" s="2" t="n">
        <x:v>8</x:v>
      </x:c>
      <x:c r="L1652" s="2" t="str">
        <x:v>Valid</x:v>
      </x:c>
      <x:c r="M1652" s="2" t="str">
        <x:v>QR</x:v>
      </x:c>
      <x:c r="N1652" s="2" t="n">
        <x:v>1</x:v>
      </x:c>
      <x:c r="O1652" s="2" t="str">
        <x:v>Accepted</x:v>
      </x:c>
      <x:c r="P1652" s="2" t="str">
        <x:v>S001</x:v>
      </x:c>
      <x:c r="Q1652" s="2" t="str">
        <x:v>DEV001</x:v>
      </x:c>
      <x:c r="R1652" s="2" t="n">
        <x:v>33</x:v>
      </x:c>
      <x:c r="S1652" s="2" t="str">
        <x:v>Online</x:v>
      </x:c>
      <x:c r="T1652" s="2" t="str">
        <x:v>Synced</x:v>
      </x:c>
    </x:row>
    <x:row r="1653" ht="21" customHeight="1">
      <x:c r="A1653" s="2" t="str">
        <x:v>EV001671</x:v>
      </x:c>
      <x:c r="B1653" s="2" t="str">
        <x:v>T20261007-2-2</x:v>
      </x:c>
      <x:c r="C1653" s="2" t="str">
        <x:v>ST069</x:v>
      </x:c>
      <x:c r="D1653" s="2" t="str">
        <x:v>d453525f57933d1df9d056e2e53ed3e4</x:v>
      </x:c>
      <x:c r="E1653" s="2" t="str">
        <x:v>CHECK_IN</x:v>
      </x:c>
      <x:c r="F1653" s="8" t="n">
        <x:v>46302.47666666666</x:v>
      </x:c>
      <x:c r="G1653" s="8" t="n">
        <x:v>46302.47668981481</x:v>
      </x:c>
      <x:c r="H1653" s="2" t="str">
        <x:v>R2S2</x:v>
      </x:c>
      <x:c r="I1653" s="9" t="n">
        <x:v>25.282000000000004</x:v>
      </x:c>
      <x:c r="J1653" s="9" t="n">
        <x:v>51.501999999999995</x:v>
      </x:c>
      <x:c r="K1653" s="2" t="n">
        <x:v>8</x:v>
      </x:c>
      <x:c r="L1653" s="2" t="str">
        <x:v>Valid</x:v>
      </x:c>
      <x:c r="M1653" s="2" t="str">
        <x:v>QR</x:v>
      </x:c>
      <x:c r="N1653" s="2" t="n">
        <x:v>1</x:v>
      </x:c>
      <x:c r="O1653" s="2" t="str">
        <x:v>Accepted</x:v>
      </x:c>
      <x:c r="P1653" s="2" t="str">
        <x:v>S002</x:v>
      </x:c>
      <x:c r="Q1653" s="2" t="str">
        <x:v>DEV002</x:v>
      </x:c>
      <x:c r="R1653" s="2" t="n">
        <x:v>33</x:v>
      </x:c>
      <x:c r="S1653" s="2" t="str">
        <x:v>Online</x:v>
      </x:c>
      <x:c r="T1653" s="2" t="str">
        <x:v>Synced</x:v>
      </x:c>
    </x:row>
    <x:row r="1654" ht="21" customHeight="1">
      <x:c r="A1654" s="2" t="str">
        <x:v>EV001831</x:v>
      </x:c>
      <x:c r="B1654" s="2" t="str">
        <x:v>T20261007-2-3</x:v>
      </x:c>
      <x:c r="C1654" s="2" t="str">
        <x:v>ST109</x:v>
      </x:c>
      <x:c r="D1654" s="2" t="str">
        <x:v>dfd493c800846e3efc35048335bd557b</x:v>
      </x:c>
      <x:c r="E1654" s="2" t="str">
        <x:v>CHECK_IN</x:v>
      </x:c>
      <x:c r="F1654" s="8" t="n">
        <x:v>46302.47666666666</x:v>
      </x:c>
      <x:c r="G1654" s="8" t="n">
        <x:v>46302.47668981481</x:v>
      </x:c>
      <x:c r="H1654" s="2" t="str">
        <x:v>R3S2</x:v>
      </x:c>
      <x:c r="I1654" s="9" t="n">
        <x:v>25.291000000000004</x:v>
      </x:c>
      <x:c r="J1654" s="9" t="n">
        <x:v>51.51</x:v>
      </x:c>
      <x:c r="K1654" s="2" t="n">
        <x:v>8</x:v>
      </x:c>
      <x:c r="L1654" s="2" t="str">
        <x:v>Valid</x:v>
      </x:c>
      <x:c r="M1654" s="2" t="str">
        <x:v>QR</x:v>
      </x:c>
      <x:c r="N1654" s="2" t="n">
        <x:v>1</x:v>
      </x:c>
      <x:c r="O1654" s="2" t="str">
        <x:v>Accepted</x:v>
      </x:c>
      <x:c r="P1654" s="2" t="str">
        <x:v>S003</x:v>
      </x:c>
      <x:c r="Q1654" s="2" t="str">
        <x:v>DEV003</x:v>
      </x:c>
      <x:c r="R1654" s="2" t="n">
        <x:v>33</x:v>
      </x:c>
      <x:c r="S1654" s="2" t="str">
        <x:v>Online</x:v>
      </x:c>
      <x:c r="T1654" s="2" t="str">
        <x:v>Synced</x:v>
      </x:c>
    </x:row>
    <x:row r="1655" ht="21" customHeight="1">
      <x:c r="A1655" s="2" t="str">
        <x:v>EV001495</x:v>
      </x:c>
      <x:c r="B1655" s="2" t="str">
        <x:v>T20261007-2-1</x:v>
      </x:c>
      <x:c r="C1655" s="2" t="str">
        <x:v>ST021</x:v>
      </x:c>
      <x:c r="D1655" s="2" t="str">
        <x:v>9b1608e5663d6da53cd805c8051dedd7</x:v>
      </x:c>
      <x:c r="E1655" s="2" t="str">
        <x:v>CHECK_IN</x:v>
      </x:c>
      <x:c r="F1655" s="8" t="n">
        <x:v>46302.48125</x:v>
      </x:c>
      <x:c r="G1655" s="8" t="n">
        <x:v>46302.48127314814</x:v>
      </x:c>
      <x:c r="H1655" s="2" t="str">
        <x:v>R1S3</x:v>
      </x:c>
      <x:c r="I1655" s="9" t="n">
        <x:v>25.275000000000002</x:v>
      </x:c>
      <x:c r="J1655" s="9" t="n">
        <x:v>51.497</x:v>
      </x:c>
      <x:c r="K1655" s="2" t="n">
        <x:v>8</x:v>
      </x:c>
      <x:c r="L1655" s="2" t="str">
        <x:v>Valid</x:v>
      </x:c>
      <x:c r="M1655" s="2" t="str">
        <x:v>QR</x:v>
      </x:c>
      <x:c r="N1655" s="2" t="n">
        <x:v>1</x:v>
      </x:c>
      <x:c r="O1655" s="2" t="str">
        <x:v>Accepted</x:v>
      </x:c>
      <x:c r="P1655" s="2" t="str">
        <x:v>S001</x:v>
      </x:c>
      <x:c r="Q1655" s="2" t="str">
        <x:v>DEV001</x:v>
      </x:c>
      <x:c r="R1655" s="2" t="n">
        <x:v>34</x:v>
      </x:c>
      <x:c r="S1655" s="2" t="str">
        <x:v>Online</x:v>
      </x:c>
      <x:c r="T1655" s="2" t="str">
        <x:v>Synced</x:v>
      </x:c>
    </x:row>
    <x:row r="1656" ht="21" customHeight="1">
      <x:c r="A1656" s="2" t="str">
        <x:v>EV001655</x:v>
      </x:c>
      <x:c r="B1656" s="2" t="str">
        <x:v>T20261007-2-2</x:v>
      </x:c>
      <x:c r="C1656" s="2" t="str">
        <x:v>ST061</x:v>
      </x:c>
      <x:c r="D1656" s="2" t="str">
        <x:v>c547cb31f14853ae1f9f2436554d3271</x:v>
      </x:c>
      <x:c r="E1656" s="2" t="str">
        <x:v>CHECK_IN</x:v>
      </x:c>
      <x:c r="F1656" s="8" t="n">
        <x:v>46302.48125</x:v>
      </x:c>
      <x:c r="G1656" s="8" t="n">
        <x:v>46302.48127314814</x:v>
      </x:c>
      <x:c r="H1656" s="2" t="str">
        <x:v>R2S3</x:v>
      </x:c>
      <x:c r="I1656" s="9" t="n">
        <x:v>25.284000000000002</x:v>
      </x:c>
      <x:c r="J1656" s="9" t="n">
        <x:v>51.504999999999995</x:v>
      </x:c>
      <x:c r="K1656" s="2" t="n">
        <x:v>8</x:v>
      </x:c>
      <x:c r="L1656" s="2" t="str">
        <x:v>Valid</x:v>
      </x:c>
      <x:c r="M1656" s="2" t="str">
        <x:v>QR</x:v>
      </x:c>
      <x:c r="N1656" s="2" t="n">
        <x:v>1</x:v>
      </x:c>
      <x:c r="O1656" s="2" t="str">
        <x:v>Accepted</x:v>
      </x:c>
      <x:c r="P1656" s="2" t="str">
        <x:v>S002</x:v>
      </x:c>
      <x:c r="Q1656" s="2" t="str">
        <x:v>DEV002</x:v>
      </x:c>
      <x:c r="R1656" s="2" t="n">
        <x:v>34</x:v>
      </x:c>
      <x:c r="S1656" s="2" t="str">
        <x:v>Online</x:v>
      </x:c>
      <x:c r="T1656" s="2" t="str">
        <x:v>Synced</x:v>
      </x:c>
    </x:row>
    <x:row r="1657" ht="21" customHeight="1">
      <x:c r="A1657" s="2" t="str">
        <x:v>EV001815</x:v>
      </x:c>
      <x:c r="B1657" s="2" t="str">
        <x:v>T20261007-2-3</x:v>
      </x:c>
      <x:c r="C1657" s="2" t="str">
        <x:v>ST101</x:v>
      </x:c>
      <x:c r="D1657" s="2" t="str">
        <x:v>9f8e180c63d3ff8d3e393db3573884a8</x:v>
      </x:c>
      <x:c r="E1657" s="2" t="str">
        <x:v>CHECK_IN</x:v>
      </x:c>
      <x:c r="F1657" s="8" t="n">
        <x:v>46302.48125</x:v>
      </x:c>
      <x:c r="G1657" s="8" t="n">
        <x:v>46302.48127314814</x:v>
      </x:c>
      <x:c r="H1657" s="2" t="str">
        <x:v>R3S3</x:v>
      </x:c>
      <x:c r="I1657" s="9" t="n">
        <x:v>25.293000000000003</x:v>
      </x:c>
      <x:c r="J1657" s="9" t="n">
        <x:v>51.513</x:v>
      </x:c>
      <x:c r="K1657" s="2" t="n">
        <x:v>8</x:v>
      </x:c>
      <x:c r="L1657" s="2" t="str">
        <x:v>Valid</x:v>
      </x:c>
      <x:c r="M1657" s="2" t="str">
        <x:v>QR</x:v>
      </x:c>
      <x:c r="N1657" s="2" t="n">
        <x:v>1</x:v>
      </x:c>
      <x:c r="O1657" s="2" t="str">
        <x:v>Accepted</x:v>
      </x:c>
      <x:c r="P1657" s="2" t="str">
        <x:v>S003</x:v>
      </x:c>
      <x:c r="Q1657" s="2" t="str">
        <x:v>DEV003</x:v>
      </x:c>
      <x:c r="R1657" s="2" t="n">
        <x:v>34</x:v>
      </x:c>
      <x:c r="S1657" s="2" t="str">
        <x:v>Online</x:v>
      </x:c>
      <x:c r="T1657" s="2" t="str">
        <x:v>Synced</x:v>
      </x:c>
    </x:row>
    <x:row r="1658" ht="21" customHeight="1">
      <x:c r="A1658" s="2" t="str">
        <x:v>EV001519</x:v>
      </x:c>
      <x:c r="B1658" s="2" t="str">
        <x:v>T20261007-2-1</x:v>
      </x:c>
      <x:c r="C1658" s="2" t="str">
        <x:v>ST033</x:v>
      </x:c>
      <x:c r="D1658" s="2" t="str">
        <x:v>c9cc8ddf1b5bae8b49929340838e300a</x:v>
      </x:c>
      <x:c r="E1658" s="2" t="str">
        <x:v>CHECK_IN</x:v>
      </x:c>
      <x:c r="F1658" s="8" t="n">
        <x:v>46302.48131944444</x:v>
      </x:c>
      <x:c r="G1658" s="8" t="n">
        <x:v>46302.48134259259</x:v>
      </x:c>
      <x:c r="H1658" s="2" t="str">
        <x:v>R1S3</x:v>
      </x:c>
      <x:c r="I1658" s="9" t="n">
        <x:v>25.275000000000002</x:v>
      </x:c>
      <x:c r="J1658" s="9" t="n">
        <x:v>51.497</x:v>
      </x:c>
      <x:c r="K1658" s="2" t="n">
        <x:v>8</x:v>
      </x:c>
      <x:c r="L1658" s="2" t="str">
        <x:v>Valid</x:v>
      </x:c>
      <x:c r="M1658" s="2" t="str">
        <x:v>QR</x:v>
      </x:c>
      <x:c r="N1658" s="2" t="n">
        <x:v>1</x:v>
      </x:c>
      <x:c r="O1658" s="2" t="str">
        <x:v>Accepted</x:v>
      </x:c>
      <x:c r="P1658" s="2" t="str">
        <x:v>S001</x:v>
      </x:c>
      <x:c r="Q1658" s="2" t="str">
        <x:v>DEV001</x:v>
      </x:c>
      <x:c r="R1658" s="2" t="n">
        <x:v>35</x:v>
      </x:c>
      <x:c r="S1658" s="2" t="str">
        <x:v>Online</x:v>
      </x:c>
      <x:c r="T1658" s="2" t="str">
        <x:v>Synced</x:v>
      </x:c>
    </x:row>
    <x:row r="1659" ht="21" customHeight="1">
      <x:c r="A1659" s="2" t="str">
        <x:v>EV001679</x:v>
      </x:c>
      <x:c r="B1659" s="2" t="str">
        <x:v>T20261007-2-2</x:v>
      </x:c>
      <x:c r="C1659" s="2" t="str">
        <x:v>ST073</x:v>
      </x:c>
      <x:c r="D1659" s="2" t="str">
        <x:v>b27180ce7590c0aac206d465f318b712</x:v>
      </x:c>
      <x:c r="E1659" s="2" t="str">
        <x:v>CHECK_IN</x:v>
      </x:c>
      <x:c r="F1659" s="8" t="n">
        <x:v>46302.48131944444</x:v>
      </x:c>
      <x:c r="G1659" s="8" t="n">
        <x:v>46302.48134259259</x:v>
      </x:c>
      <x:c r="H1659" s="2" t="str">
        <x:v>R2S3</x:v>
      </x:c>
      <x:c r="I1659" s="9" t="n">
        <x:v>25.284000000000002</x:v>
      </x:c>
      <x:c r="J1659" s="9" t="n">
        <x:v>51.504999999999995</x:v>
      </x:c>
      <x:c r="K1659" s="2" t="n">
        <x:v>8</x:v>
      </x:c>
      <x:c r="L1659" s="2" t="str">
        <x:v>Valid</x:v>
      </x:c>
      <x:c r="M1659" s="2" t="str">
        <x:v>QR</x:v>
      </x:c>
      <x:c r="N1659" s="2" t="n">
        <x:v>1</x:v>
      </x:c>
      <x:c r="O1659" s="2" t="str">
        <x:v>Accepted</x:v>
      </x:c>
      <x:c r="P1659" s="2" t="str">
        <x:v>S002</x:v>
      </x:c>
      <x:c r="Q1659" s="2" t="str">
        <x:v>DEV002</x:v>
      </x:c>
      <x:c r="R1659" s="2" t="n">
        <x:v>35</x:v>
      </x:c>
      <x:c r="S1659" s="2" t="str">
        <x:v>Online</x:v>
      </x:c>
      <x:c r="T1659" s="2" t="str">
        <x:v>Synced</x:v>
      </x:c>
    </x:row>
    <x:row r="1660" ht="21" customHeight="1">
      <x:c r="A1660" s="2" t="str">
        <x:v>EV001839</x:v>
      </x:c>
      <x:c r="B1660" s="2" t="str">
        <x:v>T20261007-2-3</x:v>
      </x:c>
      <x:c r="C1660" s="2" t="str">
        <x:v>ST113</x:v>
      </x:c>
      <x:c r="D1660" s="2" t="str">
        <x:v>c3781e168737a6cc1190d4415801c440</x:v>
      </x:c>
      <x:c r="E1660" s="2" t="str">
        <x:v>CHECK_IN</x:v>
      </x:c>
      <x:c r="F1660" s="8" t="n">
        <x:v>46302.48131944444</x:v>
      </x:c>
      <x:c r="G1660" s="8" t="n">
        <x:v>46302.48134259259</x:v>
      </x:c>
      <x:c r="H1660" s="2" t="str">
        <x:v>R3S3</x:v>
      </x:c>
      <x:c r="I1660" s="9" t="n">
        <x:v>25.293000000000003</x:v>
      </x:c>
      <x:c r="J1660" s="9" t="n">
        <x:v>51.513</x:v>
      </x:c>
      <x:c r="K1660" s="2" t="n">
        <x:v>8</x:v>
      </x:c>
      <x:c r="L1660" s="2" t="str">
        <x:v>Valid</x:v>
      </x:c>
      <x:c r="M1660" s="2" t="str">
        <x:v>QR</x:v>
      </x:c>
      <x:c r="N1660" s="2" t="n">
        <x:v>1</x:v>
      </x:c>
      <x:c r="O1660" s="2" t="str">
        <x:v>Accepted</x:v>
      </x:c>
      <x:c r="P1660" s="2" t="str">
        <x:v>S003</x:v>
      </x:c>
      <x:c r="Q1660" s="2" t="str">
        <x:v>DEV003</x:v>
      </x:c>
      <x:c r="R1660" s="2" t="n">
        <x:v>35</x:v>
      </x:c>
      <x:c r="S1660" s="2" t="str">
        <x:v>Online</x:v>
      </x:c>
      <x:c r="T1660" s="2" t="str">
        <x:v>Synced</x:v>
      </x:c>
    </x:row>
    <x:row r="1661" ht="21" customHeight="1">
      <x:c r="A1661" s="2" t="str">
        <x:v>EV001501</x:v>
      </x:c>
      <x:c r="B1661" s="2" t="str">
        <x:v>T20261007-2-1</x:v>
      </x:c>
      <x:c r="C1661" s="2" t="str">
        <x:v>ST024</x:v>
      </x:c>
      <x:c r="D1661" s="2" t="str">
        <x:v>df785f1577b8ee7f71835020d03a12a6</x:v>
      </x:c>
      <x:c r="E1661" s="2" t="str">
        <x:v>CHECK_IN</x:v>
      </x:c>
      <x:c r="F1661" s="8" t="n">
        <x:v>46302.481354166666</x:v>
      </x:c>
      <x:c r="G1661" s="8" t="n">
        <x:v>46302.48137731481</x:v>
      </x:c>
      <x:c r="H1661" s="2" t="str">
        <x:v>R1S3</x:v>
      </x:c>
      <x:c r="I1661" s="9" t="n">
        <x:v>25.275000000000002</x:v>
      </x:c>
      <x:c r="J1661" s="9" t="n">
        <x:v>51.497</x:v>
      </x:c>
      <x:c r="K1661" s="2" t="n">
        <x:v>8</x:v>
      </x:c>
      <x:c r="L1661" s="2" t="str">
        <x:v>Valid</x:v>
      </x:c>
      <x:c r="M1661" s="2" t="str">
        <x:v>QR</x:v>
      </x:c>
      <x:c r="N1661" s="2" t="n">
        <x:v>1</x:v>
      </x:c>
      <x:c r="O1661" s="2" t="str">
        <x:v>Accepted</x:v>
      </x:c>
      <x:c r="P1661" s="2" t="str">
        <x:v>S001</x:v>
      </x:c>
      <x:c r="Q1661" s="2" t="str">
        <x:v>DEV001</x:v>
      </x:c>
      <x:c r="R1661" s="2" t="n">
        <x:v>36</x:v>
      </x:c>
      <x:c r="S1661" s="2" t="str">
        <x:v>Online</x:v>
      </x:c>
      <x:c r="T1661" s="2" t="str">
        <x:v>Synced</x:v>
      </x:c>
    </x:row>
    <x:row r="1662" ht="21" customHeight="1">
      <x:c r="A1662" s="2" t="str">
        <x:v>EV001661</x:v>
      </x:c>
      <x:c r="B1662" s="2" t="str">
        <x:v>T20261007-2-2</x:v>
      </x:c>
      <x:c r="C1662" s="2" t="str">
        <x:v>ST064</x:v>
      </x:c>
      <x:c r="D1662" s="2" t="str">
        <x:v>80debd99a6cfe1ca0800304796fd69ff</x:v>
      </x:c>
      <x:c r="E1662" s="2" t="str">
        <x:v>CHECK_IN</x:v>
      </x:c>
      <x:c r="F1662" s="8" t="n">
        <x:v>46302.481354166666</x:v>
      </x:c>
      <x:c r="G1662" s="8" t="n">
        <x:v>46302.48137731481</x:v>
      </x:c>
      <x:c r="H1662" s="2" t="str">
        <x:v>R2S3</x:v>
      </x:c>
      <x:c r="I1662" s="9" t="n">
        <x:v>25.284000000000002</x:v>
      </x:c>
      <x:c r="J1662" s="9" t="n">
        <x:v>51.504999999999995</x:v>
      </x:c>
      <x:c r="K1662" s="2" t="n">
        <x:v>8</x:v>
      </x:c>
      <x:c r="L1662" s="2" t="str">
        <x:v>Valid</x:v>
      </x:c>
      <x:c r="M1662" s="2" t="str">
        <x:v>QR</x:v>
      </x:c>
      <x:c r="N1662" s="2" t="n">
        <x:v>1</x:v>
      </x:c>
      <x:c r="O1662" s="2" t="str">
        <x:v>Accepted</x:v>
      </x:c>
      <x:c r="P1662" s="2" t="str">
        <x:v>S002</x:v>
      </x:c>
      <x:c r="Q1662" s="2" t="str">
        <x:v>DEV002</x:v>
      </x:c>
      <x:c r="R1662" s="2" t="n">
        <x:v>36</x:v>
      </x:c>
      <x:c r="S1662" s="2" t="str">
        <x:v>Online</x:v>
      </x:c>
      <x:c r="T1662" s="2" t="str">
        <x:v>Synced</x:v>
      </x:c>
    </x:row>
    <x:row r="1663" ht="21" customHeight="1">
      <x:c r="A1663" s="2" t="str">
        <x:v>EV001821</x:v>
      </x:c>
      <x:c r="B1663" s="2" t="str">
        <x:v>T20261007-2-3</x:v>
      </x:c>
      <x:c r="C1663" s="2" t="str">
        <x:v>ST104</x:v>
      </x:c>
      <x:c r="D1663" s="2" t="str">
        <x:v>12167381f9b78201d830c40ef6208ce4</x:v>
      </x:c>
      <x:c r="E1663" s="2" t="str">
        <x:v>CHECK_IN</x:v>
      </x:c>
      <x:c r="F1663" s="8" t="n">
        <x:v>46302.481354166666</x:v>
      </x:c>
      <x:c r="G1663" s="8" t="n">
        <x:v>46302.48137731481</x:v>
      </x:c>
      <x:c r="H1663" s="2" t="str">
        <x:v>R3S3</x:v>
      </x:c>
      <x:c r="I1663" s="9" t="n">
        <x:v>25.293000000000003</x:v>
      </x:c>
      <x:c r="J1663" s="9" t="n">
        <x:v>51.513</x:v>
      </x:c>
      <x:c r="K1663" s="2" t="n">
        <x:v>8</x:v>
      </x:c>
      <x:c r="L1663" s="2" t="str">
        <x:v>Valid</x:v>
      </x:c>
      <x:c r="M1663" s="2" t="str">
        <x:v>QR</x:v>
      </x:c>
      <x:c r="N1663" s="2" t="n">
        <x:v>1</x:v>
      </x:c>
      <x:c r="O1663" s="2" t="str">
        <x:v>Accepted</x:v>
      </x:c>
      <x:c r="P1663" s="2" t="str">
        <x:v>S003</x:v>
      </x:c>
      <x:c r="Q1663" s="2" t="str">
        <x:v>DEV003</x:v>
      </x:c>
      <x:c r="R1663" s="2" t="n">
        <x:v>36</x:v>
      </x:c>
      <x:c r="S1663" s="2" t="str">
        <x:v>Online</x:v>
      </x:c>
      <x:c r="T1663" s="2" t="str">
        <x:v>Synced</x:v>
      </x:c>
    </x:row>
    <x:row r="1664" ht="21" customHeight="1">
      <x:c r="A1664" s="2" t="str">
        <x:v>EV001525</x:v>
      </x:c>
      <x:c r="B1664" s="2" t="str">
        <x:v>T20261007-2-1</x:v>
      </x:c>
      <x:c r="C1664" s="2" t="str">
        <x:v>ST036</x:v>
      </x:c>
      <x:c r="D1664" s="2" t="str">
        <x:v>7e42555e63455121ac9f1b3710bc905c</x:v>
      </x:c>
      <x:c r="E1664" s="2" t="str">
        <x:v>CHECK_IN</x:v>
      </x:c>
      <x:c r="F1664" s="8" t="n">
        <x:v>46302.481423611105</x:v>
      </x:c>
      <x:c r="G1664" s="8" t="n">
        <x:v>46302.48144675925</x:v>
      </x:c>
      <x:c r="H1664" s="2" t="str">
        <x:v>R1S3</x:v>
      </x:c>
      <x:c r="I1664" s="9" t="n">
        <x:v>25.275000000000002</x:v>
      </x:c>
      <x:c r="J1664" s="9" t="n">
        <x:v>51.497</x:v>
      </x:c>
      <x:c r="K1664" s="2" t="n">
        <x:v>8</x:v>
      </x:c>
      <x:c r="L1664" s="2" t="str">
        <x:v>Valid</x:v>
      </x:c>
      <x:c r="M1664" s="2" t="str">
        <x:v>QR</x:v>
      </x:c>
      <x:c r="N1664" s="2" t="n">
        <x:v>1</x:v>
      </x:c>
      <x:c r="O1664" s="2" t="str">
        <x:v>Accepted</x:v>
      </x:c>
      <x:c r="P1664" s="2" t="str">
        <x:v>S001</x:v>
      </x:c>
      <x:c r="Q1664" s="2" t="str">
        <x:v>DEV001</x:v>
      </x:c>
      <x:c r="R1664" s="2" t="n">
        <x:v>37</x:v>
      </x:c>
      <x:c r="S1664" s="2" t="str">
        <x:v>Online</x:v>
      </x:c>
      <x:c r="T1664" s="2" t="str">
        <x:v>Synced</x:v>
      </x:c>
    </x:row>
    <x:row r="1665" ht="21" customHeight="1">
      <x:c r="A1665" s="2" t="str">
        <x:v>EV001685</x:v>
      </x:c>
      <x:c r="B1665" s="2" t="str">
        <x:v>T20261007-2-2</x:v>
      </x:c>
      <x:c r="C1665" s="2" t="str">
        <x:v>ST076</x:v>
      </x:c>
      <x:c r="D1665" s="2" t="str">
        <x:v>08979b9eef223b076885fe932d9f2bca</x:v>
      </x:c>
      <x:c r="E1665" s="2" t="str">
        <x:v>CHECK_IN</x:v>
      </x:c>
      <x:c r="F1665" s="8" t="n">
        <x:v>46302.481423611105</x:v>
      </x:c>
      <x:c r="G1665" s="8" t="n">
        <x:v>46302.48144675925</x:v>
      </x:c>
      <x:c r="H1665" s="2" t="str">
        <x:v>R2S3</x:v>
      </x:c>
      <x:c r="I1665" s="9" t="n">
        <x:v>25.284000000000002</x:v>
      </x:c>
      <x:c r="J1665" s="9" t="n">
        <x:v>51.504999999999995</x:v>
      </x:c>
      <x:c r="K1665" s="2" t="n">
        <x:v>8</x:v>
      </x:c>
      <x:c r="L1665" s="2" t="str">
        <x:v>Valid</x:v>
      </x:c>
      <x:c r="M1665" s="2" t="str">
        <x:v>QR</x:v>
      </x:c>
      <x:c r="N1665" s="2" t="n">
        <x:v>1</x:v>
      </x:c>
      <x:c r="O1665" s="2" t="str">
        <x:v>Accepted</x:v>
      </x:c>
      <x:c r="P1665" s="2" t="str">
        <x:v>S002</x:v>
      </x:c>
      <x:c r="Q1665" s="2" t="str">
        <x:v>DEV002</x:v>
      </x:c>
      <x:c r="R1665" s="2" t="n">
        <x:v>37</x:v>
      </x:c>
      <x:c r="S1665" s="2" t="str">
        <x:v>Online</x:v>
      </x:c>
      <x:c r="T1665" s="2" t="str">
        <x:v>Synced</x:v>
      </x:c>
    </x:row>
    <x:row r="1666" ht="21" customHeight="1">
      <x:c r="A1666" s="2" t="str">
        <x:v>EV001845</x:v>
      </x:c>
      <x:c r="B1666" s="2" t="str">
        <x:v>T20261007-2-3</x:v>
      </x:c>
      <x:c r="C1666" s="2" t="str">
        <x:v>ST116</x:v>
      </x:c>
      <x:c r="D1666" s="2" t="str">
        <x:v>1c1fddc89afc564845795907cf1b7b0e</x:v>
      </x:c>
      <x:c r="E1666" s="2" t="str">
        <x:v>CHECK_IN</x:v>
      </x:c>
      <x:c r="F1666" s="8" t="n">
        <x:v>46302.481423611105</x:v>
      </x:c>
      <x:c r="G1666" s="8" t="n">
        <x:v>46302.48144675925</x:v>
      </x:c>
      <x:c r="H1666" s="2" t="str">
        <x:v>R3S3</x:v>
      </x:c>
      <x:c r="I1666" s="9" t="n">
        <x:v>25.293000000000003</x:v>
      </x:c>
      <x:c r="J1666" s="9" t="n">
        <x:v>51.513</x:v>
      </x:c>
      <x:c r="K1666" s="2" t="n">
        <x:v>8</x:v>
      </x:c>
      <x:c r="L1666" s="2" t="str">
        <x:v>Valid</x:v>
      </x:c>
      <x:c r="M1666" s="2" t="str">
        <x:v>QR</x:v>
      </x:c>
      <x:c r="N1666" s="2" t="n">
        <x:v>1</x:v>
      </x:c>
      <x:c r="O1666" s="2" t="str">
        <x:v>Accepted</x:v>
      </x:c>
      <x:c r="P1666" s="2" t="str">
        <x:v>S003</x:v>
      </x:c>
      <x:c r="Q1666" s="2" t="str">
        <x:v>DEV003</x:v>
      </x:c>
      <x:c r="R1666" s="2" t="n">
        <x:v>37</x:v>
      </x:c>
      <x:c r="S1666" s="2" t="str">
        <x:v>Online</x:v>
      </x:c>
      <x:c r="T1666" s="2" t="str">
        <x:v>Synced</x:v>
      </x:c>
    </x:row>
    <x:row r="1667" ht="21" customHeight="1">
      <x:c r="A1667" s="2" t="str">
        <x:v>EV001507</x:v>
      </x:c>
      <x:c r="B1667" s="2" t="str">
        <x:v>T20261007-2-1</x:v>
      </x:c>
      <x:c r="C1667" s="2" t="str">
        <x:v>ST027</x:v>
      </x:c>
      <x:c r="D1667" s="2" t="str">
        <x:v>87868c08c06226359ca5121a9563bb63</x:v>
      </x:c>
      <x:c r="E1667" s="2" t="str">
        <x:v>CHECK_IN</x:v>
      </x:c>
      <x:c r="F1667" s="8" t="n">
        <x:v>46302.48145833333</x:v>
      </x:c>
      <x:c r="G1667" s="8" t="n">
        <x:v>46302.481481481474</x:v>
      </x:c>
      <x:c r="H1667" s="2" t="str">
        <x:v>R1S3</x:v>
      </x:c>
      <x:c r="I1667" s="9" t="n">
        <x:v>25.275000000000002</x:v>
      </x:c>
      <x:c r="J1667" s="9" t="n">
        <x:v>51.497</x:v>
      </x:c>
      <x:c r="K1667" s="2" t="n">
        <x:v>8</x:v>
      </x:c>
      <x:c r="L1667" s="2" t="str">
        <x:v>Valid</x:v>
      </x:c>
      <x:c r="M1667" s="2" t="str">
        <x:v>QR</x:v>
      </x:c>
      <x:c r="N1667" s="2" t="n">
        <x:v>1</x:v>
      </x:c>
      <x:c r="O1667" s="2" t="str">
        <x:v>Accepted</x:v>
      </x:c>
      <x:c r="P1667" s="2" t="str">
        <x:v>S001</x:v>
      </x:c>
      <x:c r="Q1667" s="2" t="str">
        <x:v>DEV001</x:v>
      </x:c>
      <x:c r="R1667" s="2" t="n">
        <x:v>38</x:v>
      </x:c>
      <x:c r="S1667" s="2" t="str">
        <x:v>Online</x:v>
      </x:c>
      <x:c r="T1667" s="2" t="str">
        <x:v>Synced</x:v>
      </x:c>
    </x:row>
    <x:row r="1668" ht="21" customHeight="1">
      <x:c r="A1668" s="2" t="str">
        <x:v>EV001667</x:v>
      </x:c>
      <x:c r="B1668" s="2" t="str">
        <x:v>T20261007-2-2</x:v>
      </x:c>
      <x:c r="C1668" s="2" t="str">
        <x:v>ST067</x:v>
      </x:c>
      <x:c r="D1668" s="2" t="str">
        <x:v>66c3e7b11abae76912fea37c6c7ce00c</x:v>
      </x:c>
      <x:c r="E1668" s="2" t="str">
        <x:v>CHECK_IN</x:v>
      </x:c>
      <x:c r="F1668" s="8" t="n">
        <x:v>46302.48145833333</x:v>
      </x:c>
      <x:c r="G1668" s="8" t="n">
        <x:v>46302.481481481474</x:v>
      </x:c>
      <x:c r="H1668" s="2" t="str">
        <x:v>R2S3</x:v>
      </x:c>
      <x:c r="I1668" s="9" t="n">
        <x:v>25.284000000000002</x:v>
      </x:c>
      <x:c r="J1668" s="9" t="n">
        <x:v>51.504999999999995</x:v>
      </x:c>
      <x:c r="K1668" s="2" t="n">
        <x:v>8</x:v>
      </x:c>
      <x:c r="L1668" s="2" t="str">
        <x:v>Valid</x:v>
      </x:c>
      <x:c r="M1668" s="2" t="str">
        <x:v>QR</x:v>
      </x:c>
      <x:c r="N1668" s="2" t="n">
        <x:v>1</x:v>
      </x:c>
      <x:c r="O1668" s="2" t="str">
        <x:v>Accepted</x:v>
      </x:c>
      <x:c r="P1668" s="2" t="str">
        <x:v>S002</x:v>
      </x:c>
      <x:c r="Q1668" s="2" t="str">
        <x:v>DEV002</x:v>
      </x:c>
      <x:c r="R1668" s="2" t="n">
        <x:v>38</x:v>
      </x:c>
      <x:c r="S1668" s="2" t="str">
        <x:v>Online</x:v>
      </x:c>
      <x:c r="T1668" s="2" t="str">
        <x:v>Synced</x:v>
      </x:c>
    </x:row>
    <x:row r="1669" ht="21" customHeight="1">
      <x:c r="A1669" s="2" t="str">
        <x:v>EV001827</x:v>
      </x:c>
      <x:c r="B1669" s="2" t="str">
        <x:v>T20261007-2-3</x:v>
      </x:c>
      <x:c r="C1669" s="2" t="str">
        <x:v>ST107</x:v>
      </x:c>
      <x:c r="D1669" s="2" t="str">
        <x:v>4a2bb35840a3b4fc7e804e2d710c14f4</x:v>
      </x:c>
      <x:c r="E1669" s="2" t="str">
        <x:v>CHECK_IN</x:v>
      </x:c>
      <x:c r="F1669" s="8" t="n">
        <x:v>46302.48145833333</x:v>
      </x:c>
      <x:c r="G1669" s="8" t="n">
        <x:v>46302.481481481474</x:v>
      </x:c>
      <x:c r="H1669" s="2" t="str">
        <x:v>R3S3</x:v>
      </x:c>
      <x:c r="I1669" s="9" t="n">
        <x:v>25.293000000000003</x:v>
      </x:c>
      <x:c r="J1669" s="9" t="n">
        <x:v>51.513</x:v>
      </x:c>
      <x:c r="K1669" s="2" t="n">
        <x:v>8</x:v>
      </x:c>
      <x:c r="L1669" s="2" t="str">
        <x:v>Valid</x:v>
      </x:c>
      <x:c r="M1669" s="2" t="str">
        <x:v>QR</x:v>
      </x:c>
      <x:c r="N1669" s="2" t="n">
        <x:v>1</x:v>
      </x:c>
      <x:c r="O1669" s="2" t="str">
        <x:v>Accepted</x:v>
      </x:c>
      <x:c r="P1669" s="2" t="str">
        <x:v>S003</x:v>
      </x:c>
      <x:c r="Q1669" s="2" t="str">
        <x:v>DEV003</x:v>
      </x:c>
      <x:c r="R1669" s="2" t="n">
        <x:v>38</x:v>
      </x:c>
      <x:c r="S1669" s="2" t="str">
        <x:v>Online</x:v>
      </x:c>
      <x:c r="T1669" s="2" t="str">
        <x:v>Synced</x:v>
      </x:c>
    </x:row>
    <x:row r="1670" ht="21" customHeight="1">
      <x:c r="A1670" s="2" t="str">
        <x:v>EV001531</x:v>
      </x:c>
      <x:c r="B1670" s="2" t="str">
        <x:v>T20261007-2-1</x:v>
      </x:c>
      <x:c r="C1670" s="2" t="str">
        <x:v>ST039</x:v>
      </x:c>
      <x:c r="D1670" s="2" t="str">
        <x:v>31ed548c9c06f555ac72ac2281bbb58a</x:v>
      </x:c>
      <x:c r="E1670" s="2" t="str">
        <x:v>CHECK_IN</x:v>
      </x:c>
      <x:c r="F1670" s="8" t="n">
        <x:v>46302.481527777774</x:v>
      </x:c>
      <x:c r="G1670" s="8" t="n">
        <x:v>46302.48155092592</x:v>
      </x:c>
      <x:c r="H1670" s="2" t="str">
        <x:v>R1S3</x:v>
      </x:c>
      <x:c r="I1670" s="9" t="n">
        <x:v>25.275000000000002</x:v>
      </x:c>
      <x:c r="J1670" s="9" t="n">
        <x:v>51.497</x:v>
      </x:c>
      <x:c r="K1670" s="2" t="n">
        <x:v>8</x:v>
      </x:c>
      <x:c r="L1670" s="2" t="str">
        <x:v>Valid</x:v>
      </x:c>
      <x:c r="M1670" s="2" t="str">
        <x:v>QR</x:v>
      </x:c>
      <x:c r="N1670" s="2" t="n">
        <x:v>1</x:v>
      </x:c>
      <x:c r="O1670" s="2" t="str">
        <x:v>Accepted</x:v>
      </x:c>
      <x:c r="P1670" s="2" t="str">
        <x:v>S001</x:v>
      </x:c>
      <x:c r="Q1670" s="2" t="str">
        <x:v>DEV001</x:v>
      </x:c>
      <x:c r="R1670" s="2" t="n">
        <x:v>39</x:v>
      </x:c>
      <x:c r="S1670" s="2" t="str">
        <x:v>Online</x:v>
      </x:c>
      <x:c r="T1670" s="2" t="str">
        <x:v>Synced</x:v>
      </x:c>
    </x:row>
    <x:row r="1671" ht="21" customHeight="1">
      <x:c r="A1671" s="2" t="str">
        <x:v>EV001691</x:v>
      </x:c>
      <x:c r="B1671" s="2" t="str">
        <x:v>T20261007-2-2</x:v>
      </x:c>
      <x:c r="C1671" s="2" t="str">
        <x:v>ST079</x:v>
      </x:c>
      <x:c r="D1671" s="2" t="str">
        <x:v>3a794a47ff11773398f2344554eeea57</x:v>
      </x:c>
      <x:c r="E1671" s="2" t="str">
        <x:v>CHECK_IN</x:v>
      </x:c>
      <x:c r="F1671" s="8" t="n">
        <x:v>46302.481527777774</x:v>
      </x:c>
      <x:c r="G1671" s="8" t="n">
        <x:v>46302.48155092592</x:v>
      </x:c>
      <x:c r="H1671" s="2" t="str">
        <x:v>R2S3</x:v>
      </x:c>
      <x:c r="I1671" s="9" t="n">
        <x:v>25.284000000000002</x:v>
      </x:c>
      <x:c r="J1671" s="9" t="n">
        <x:v>51.504999999999995</x:v>
      </x:c>
      <x:c r="K1671" s="2" t="n">
        <x:v>8</x:v>
      </x:c>
      <x:c r="L1671" s="2" t="str">
        <x:v>Valid</x:v>
      </x:c>
      <x:c r="M1671" s="2" t="str">
        <x:v>QR</x:v>
      </x:c>
      <x:c r="N1671" s="2" t="n">
        <x:v>1</x:v>
      </x:c>
      <x:c r="O1671" s="2" t="str">
        <x:v>Accepted</x:v>
      </x:c>
      <x:c r="P1671" s="2" t="str">
        <x:v>S002</x:v>
      </x:c>
      <x:c r="Q1671" s="2" t="str">
        <x:v>DEV002</x:v>
      </x:c>
      <x:c r="R1671" s="2" t="n">
        <x:v>39</x:v>
      </x:c>
      <x:c r="S1671" s="2" t="str">
        <x:v>Online</x:v>
      </x:c>
      <x:c r="T1671" s="2" t="str">
        <x:v>Synced</x:v>
      </x:c>
    </x:row>
    <x:row r="1672" ht="21" customHeight="1">
      <x:c r="A1672" s="2" t="str">
        <x:v>EV001851</x:v>
      </x:c>
      <x:c r="B1672" s="2" t="str">
        <x:v>T20261007-2-3</x:v>
      </x:c>
      <x:c r="C1672" s="2" t="str">
        <x:v>ST119</x:v>
      </x:c>
      <x:c r="D1672" s="2" t="str">
        <x:v>c01a05a48293e3b7c907c4b326c0d0a8</x:v>
      </x:c>
      <x:c r="E1672" s="2" t="str">
        <x:v>CHECK_IN</x:v>
      </x:c>
      <x:c r="F1672" s="8" t="n">
        <x:v>46302.481527777774</x:v>
      </x:c>
      <x:c r="G1672" s="8" t="n">
        <x:v>46302.48155092592</x:v>
      </x:c>
      <x:c r="H1672" s="2" t="str">
        <x:v>R3S3</x:v>
      </x:c>
      <x:c r="I1672" s="9" t="n">
        <x:v>25.293000000000003</x:v>
      </x:c>
      <x:c r="J1672" s="9" t="n">
        <x:v>51.513</x:v>
      </x:c>
      <x:c r="K1672" s="2" t="n">
        <x:v>8</x:v>
      </x:c>
      <x:c r="L1672" s="2" t="str">
        <x:v>Valid</x:v>
      </x:c>
      <x:c r="M1672" s="2" t="str">
        <x:v>QR</x:v>
      </x:c>
      <x:c r="N1672" s="2" t="n">
        <x:v>1</x:v>
      </x:c>
      <x:c r="O1672" s="2" t="str">
        <x:v>Accepted</x:v>
      </x:c>
      <x:c r="P1672" s="2" t="str">
        <x:v>S003</x:v>
      </x:c>
      <x:c r="Q1672" s="2" t="str">
        <x:v>DEV003</x:v>
      </x:c>
      <x:c r="R1672" s="2" t="n">
        <x:v>39</x:v>
      </x:c>
      <x:c r="S1672" s="2" t="str">
        <x:v>Online</x:v>
      </x:c>
      <x:c r="T1672" s="2" t="str">
        <x:v>Synced</x:v>
      </x:c>
    </x:row>
    <x:row r="1673" ht="21" customHeight="1">
      <x:c r="A1673" s="2" t="str">
        <x:v>EV001513</x:v>
      </x:c>
      <x:c r="B1673" s="2" t="str">
        <x:v>T20261007-2-1</x:v>
      </x:c>
      <x:c r="C1673" s="2" t="str">
        <x:v>ST030</x:v>
      </x:c>
      <x:c r="D1673" s="2" t="str">
        <x:v>82585187c31166ddecfc4b31343dde64</x:v>
      </x:c>
      <x:c r="E1673" s="2" t="str">
        <x:v>CHECK_IN</x:v>
      </x:c>
      <x:c r="F1673" s="8" t="n">
        <x:v>46302.4815625</x:v>
      </x:c>
      <x:c r="G1673" s="8" t="n">
        <x:v>46302.481585648144</x:v>
      </x:c>
      <x:c r="H1673" s="2" t="str">
        <x:v>R1S3</x:v>
      </x:c>
      <x:c r="I1673" s="9" t="n">
        <x:v>25.275000000000002</x:v>
      </x:c>
      <x:c r="J1673" s="9" t="n">
        <x:v>51.497</x:v>
      </x:c>
      <x:c r="K1673" s="2" t="n">
        <x:v>8</x:v>
      </x:c>
      <x:c r="L1673" s="2" t="str">
        <x:v>Valid</x:v>
      </x:c>
      <x:c r="M1673" s="2" t="str">
        <x:v>QR</x:v>
      </x:c>
      <x:c r="N1673" s="2" t="n">
        <x:v>1</x:v>
      </x:c>
      <x:c r="O1673" s="2" t="str">
        <x:v>Accepted</x:v>
      </x:c>
      <x:c r="P1673" s="2" t="str">
        <x:v>S001</x:v>
      </x:c>
      <x:c r="Q1673" s="2" t="str">
        <x:v>DEV001</x:v>
      </x:c>
      <x:c r="R1673" s="2" t="n">
        <x:v>40</x:v>
      </x:c>
      <x:c r="S1673" s="2" t="str">
        <x:v>Online</x:v>
      </x:c>
      <x:c r="T1673" s="2" t="str">
        <x:v>Synced</x:v>
      </x:c>
    </x:row>
    <x:row r="1674" ht="21" customHeight="1">
      <x:c r="A1674" s="2" t="str">
        <x:v>EV001673</x:v>
      </x:c>
      <x:c r="B1674" s="2" t="str">
        <x:v>T20261007-2-2</x:v>
      </x:c>
      <x:c r="C1674" s="2" t="str">
        <x:v>ST070</x:v>
      </x:c>
      <x:c r="D1674" s="2" t="str">
        <x:v>12a9f1121533e9d2b6402c68cf852c16</x:v>
      </x:c>
      <x:c r="E1674" s="2" t="str">
        <x:v>CHECK_IN</x:v>
      </x:c>
      <x:c r="F1674" s="8" t="n">
        <x:v>46302.4815625</x:v>
      </x:c>
      <x:c r="G1674" s="8" t="n">
        <x:v>46302.481585648144</x:v>
      </x:c>
      <x:c r="H1674" s="2" t="str">
        <x:v>R2S3</x:v>
      </x:c>
      <x:c r="I1674" s="9"/>
      <x:c r="J1674" s="9"/>
      <x:c r="K1674" s="2"/>
      <x:c r="L1674" s="2" t="str">
        <x:v>Unavailable</x:v>
      </x:c>
      <x:c r="M1674" s="2" t="str">
        <x:v>QR</x:v>
      </x:c>
      <x:c r="N1674" s="2" t="n">
        <x:v>1</x:v>
      </x:c>
      <x:c r="O1674" s="2" t="str">
        <x:v>Accepted</x:v>
      </x:c>
      <x:c r="P1674" s="2" t="str">
        <x:v>S002</x:v>
      </x:c>
      <x:c r="Q1674" s="2" t="str">
        <x:v>DEV002</x:v>
      </x:c>
      <x:c r="R1674" s="2" t="n">
        <x:v>40</x:v>
      </x:c>
      <x:c r="S1674" s="2" t="str">
        <x:v>Online</x:v>
      </x:c>
      <x:c r="T1674" s="2" t="str">
        <x:v>Synced</x:v>
      </x:c>
    </x:row>
    <x:row r="1675" ht="21" customHeight="1">
      <x:c r="A1675" s="2" t="str">
        <x:v>EV001833</x:v>
      </x:c>
      <x:c r="B1675" s="2" t="str">
        <x:v>T20261007-2-3</x:v>
      </x:c>
      <x:c r="C1675" s="2" t="str">
        <x:v>ST110</x:v>
      </x:c>
      <x:c r="D1675" s="2" t="str">
        <x:v>4382c0cdcda89fb8cc0f5b9fc03b4c51</x:v>
      </x:c>
      <x:c r="E1675" s="2" t="str">
        <x:v>CHECK_IN</x:v>
      </x:c>
      <x:c r="F1675" s="8" t="n">
        <x:v>46302.4815625</x:v>
      </x:c>
      <x:c r="G1675" s="8" t="n">
        <x:v>46302.481585648144</x:v>
      </x:c>
      <x:c r="H1675" s="2" t="str">
        <x:v>R3S3</x:v>
      </x:c>
      <x:c r="I1675" s="9" t="n">
        <x:v>25.293000000000003</x:v>
      </x:c>
      <x:c r="J1675" s="9" t="n">
        <x:v>51.513</x:v>
      </x:c>
      <x:c r="K1675" s="2" t="n">
        <x:v>8</x:v>
      </x:c>
      <x:c r="L1675" s="2" t="str">
        <x:v>Valid</x:v>
      </x:c>
      <x:c r="M1675" s="2" t="str">
        <x:v>QR</x:v>
      </x:c>
      <x:c r="N1675" s="2" t="n">
        <x:v>1</x:v>
      </x:c>
      <x:c r="O1675" s="2" t="str">
        <x:v>Accepted</x:v>
      </x:c>
      <x:c r="P1675" s="2" t="str">
        <x:v>S003</x:v>
      </x:c>
      <x:c r="Q1675" s="2" t="str">
        <x:v>DEV003</x:v>
      </x:c>
      <x:c r="R1675" s="2" t="n">
        <x:v>40</x:v>
      </x:c>
      <x:c r="S1675" s="2" t="str">
        <x:v>Online</x:v>
      </x:c>
      <x:c r="T1675" s="2" t="str">
        <x:v>Synced</x:v>
      </x:c>
    </x:row>
    <x:row r="1676" ht="21" customHeight="1">
      <x:c r="A1676" s="2" t="str">
        <x:v>EV001496</x:v>
      </x:c>
      <x:c r="B1676" s="2" t="str">
        <x:v>T20261007-2-1</x:v>
      </x:c>
      <x:c r="C1676" s="2" t="str">
        <x:v>ST021</x:v>
      </x:c>
      <x:c r="D1676" s="2" t="str">
        <x:v>9b1608e5663d6da53cd805c8051dedd7</x:v>
      </x:c>
      <x:c r="E1676" s="2" t="str">
        <x:v>CHECK_OUT</x:v>
      </x:c>
      <x:c r="F1676" s="8" t="n">
        <x:v>46302.506250000006</x:v>
      </x:c>
      <x:c r="G1676" s="8" t="n">
        <x:v>46302.50627314815</x:v>
      </x:c>
      <x:c r="H1676" s="2" t="str">
        <x:v>SCH01</x:v>
      </x:c>
      <x:c r="I1676" s="9" t="n">
        <x:v>25.285</x:v>
      </x:c>
      <x:c r="J1676" s="9" t="n">
        <x:v>51.51</x:v>
      </x:c>
      <x:c r="K1676" s="2" t="n">
        <x:v>8</x:v>
      </x:c>
      <x:c r="L1676" s="2" t="str">
        <x:v>Valid</x:v>
      </x:c>
      <x:c r="M1676" s="2" t="str">
        <x:v>QR</x:v>
      </x:c>
      <x:c r="N1676" s="2" t="n">
        <x:v>1</x:v>
      </x:c>
      <x:c r="O1676" s="2" t="str">
        <x:v>Accepted</x:v>
      </x:c>
      <x:c r="P1676" s="2" t="str">
        <x:v>S001</x:v>
      </x:c>
      <x:c r="Q1676" s="2" t="str">
        <x:v>DEV001</x:v>
      </x:c>
      <x:c r="R1676" s="2" t="n">
        <x:v>41</x:v>
      </x:c>
      <x:c r="S1676" s="2" t="str">
        <x:v>Online</x:v>
      </x:c>
      <x:c r="T1676" s="2" t="str">
        <x:v>Synced</x:v>
      </x:c>
    </x:row>
    <x:row r="1677" ht="21" customHeight="1">
      <x:c r="A1677" s="2" t="str">
        <x:v>EV001656</x:v>
      </x:c>
      <x:c r="B1677" s="2" t="str">
        <x:v>T20261007-2-2</x:v>
      </x:c>
      <x:c r="C1677" s="2" t="str">
        <x:v>ST061</x:v>
      </x:c>
      <x:c r="D1677" s="2" t="str">
        <x:v>c547cb31f14853ae1f9f2436554d3271</x:v>
      </x:c>
      <x:c r="E1677" s="2" t="str">
        <x:v>CHECK_OUT</x:v>
      </x:c>
      <x:c r="F1677" s="8" t="n">
        <x:v>46302.506250000006</x:v>
      </x:c>
      <x:c r="G1677" s="8" t="n">
        <x:v>46302.50627314815</x:v>
      </x:c>
      <x:c r="H1677" s="2" t="str">
        <x:v>SCH01</x:v>
      </x:c>
      <x:c r="I1677" s="9" t="n">
        <x:v>25.285</x:v>
      </x:c>
      <x:c r="J1677" s="9" t="n">
        <x:v>51.51</x:v>
      </x:c>
      <x:c r="K1677" s="2" t="n">
        <x:v>8</x:v>
      </x:c>
      <x:c r="L1677" s="2" t="str">
        <x:v>Valid</x:v>
      </x:c>
      <x:c r="M1677" s="2" t="str">
        <x:v>QR</x:v>
      </x:c>
      <x:c r="N1677" s="2" t="n">
        <x:v>1</x:v>
      </x:c>
      <x:c r="O1677" s="2" t="str">
        <x:v>Accepted</x:v>
      </x:c>
      <x:c r="P1677" s="2" t="str">
        <x:v>S002</x:v>
      </x:c>
      <x:c r="Q1677" s="2" t="str">
        <x:v>DEV002</x:v>
      </x:c>
      <x:c r="R1677" s="2" t="n">
        <x:v>41</x:v>
      </x:c>
      <x:c r="S1677" s="2" t="str">
        <x:v>Online</x:v>
      </x:c>
      <x:c r="T1677" s="2" t="str">
        <x:v>Synced</x:v>
      </x:c>
    </x:row>
    <x:row r="1678" ht="21" customHeight="1">
      <x:c r="A1678" s="2" t="str">
        <x:v>EV001816</x:v>
      </x:c>
      <x:c r="B1678" s="2" t="str">
        <x:v>T20261007-2-3</x:v>
      </x:c>
      <x:c r="C1678" s="2" t="str">
        <x:v>ST101</x:v>
      </x:c>
      <x:c r="D1678" s="2" t="str">
        <x:v>9f8e180c63d3ff8d3e393db3573884a8</x:v>
      </x:c>
      <x:c r="E1678" s="2" t="str">
        <x:v>CHECK_OUT</x:v>
      </x:c>
      <x:c r="F1678" s="8" t="n">
        <x:v>46302.506250000006</x:v>
      </x:c>
      <x:c r="G1678" s="8" t="n">
        <x:v>46302.50627314815</x:v>
      </x:c>
      <x:c r="H1678" s="2" t="str">
        <x:v>SCH01</x:v>
      </x:c>
      <x:c r="I1678" s="9" t="n">
        <x:v>25.285</x:v>
      </x:c>
      <x:c r="J1678" s="9" t="n">
        <x:v>51.51</x:v>
      </x:c>
      <x:c r="K1678" s="2" t="n">
        <x:v>8</x:v>
      </x:c>
      <x:c r="L1678" s="2" t="str">
        <x:v>Valid</x:v>
      </x:c>
      <x:c r="M1678" s="2" t="str">
        <x:v>QR</x:v>
      </x:c>
      <x:c r="N1678" s="2" t="n">
        <x:v>1</x:v>
      </x:c>
      <x:c r="O1678" s="2" t="str">
        <x:v>Accepted</x:v>
      </x:c>
      <x:c r="P1678" s="2" t="str">
        <x:v>S003</x:v>
      </x:c>
      <x:c r="Q1678" s="2" t="str">
        <x:v>DEV003</x:v>
      </x:c>
      <x:c r="R1678" s="2" t="n">
        <x:v>41</x:v>
      </x:c>
      <x:c r="S1678" s="2" t="str">
        <x:v>Online</x:v>
      </x:c>
      <x:c r="T1678" s="2" t="str">
        <x:v>Synced</x:v>
      </x:c>
    </x:row>
    <x:row r="1679" ht="21" customHeight="1">
      <x:c r="A1679" s="2" t="str">
        <x:v>EV001498</x:v>
      </x:c>
      <x:c r="B1679" s="2" t="str">
        <x:v>T20261007-2-1</x:v>
      </x:c>
      <x:c r="C1679" s="2" t="str">
        <x:v>ST022</x:v>
      </x:c>
      <x:c r="D1679" s="2" t="str">
        <x:v>32e634064d0319251398d392c471332a</x:v>
      </x:c>
      <x:c r="E1679" s="2" t="str">
        <x:v>CHECK_OUT</x:v>
      </x:c>
      <x:c r="F1679" s="8" t="n">
        <x:v>46302.50628472223</x:v>
      </x:c>
      <x:c r="G1679" s="8" t="n">
        <x:v>46302.506307870375</x:v>
      </x:c>
      <x:c r="H1679" s="2" t="str">
        <x:v>SCH01</x:v>
      </x:c>
      <x:c r="I1679" s="9" t="n">
        <x:v>25.285</x:v>
      </x:c>
      <x:c r="J1679" s="9" t="n">
        <x:v>51.51</x:v>
      </x:c>
      <x:c r="K1679" s="2" t="n">
        <x:v>8</x:v>
      </x:c>
      <x:c r="L1679" s="2" t="str">
        <x:v>Valid</x:v>
      </x:c>
      <x:c r="M1679" s="2" t="str">
        <x:v>QR</x:v>
      </x:c>
      <x:c r="N1679" s="2" t="n">
        <x:v>1</x:v>
      </x:c>
      <x:c r="O1679" s="2" t="str">
        <x:v>Accepted</x:v>
      </x:c>
      <x:c r="P1679" s="2" t="str">
        <x:v>S001</x:v>
      </x:c>
      <x:c r="Q1679" s="2" t="str">
        <x:v>DEV001</x:v>
      </x:c>
      <x:c r="R1679" s="2" t="n">
        <x:v>42</x:v>
      </x:c>
      <x:c r="S1679" s="2" t="str">
        <x:v>Online</x:v>
      </x:c>
      <x:c r="T1679" s="2" t="str">
        <x:v>Synced</x:v>
      </x:c>
    </x:row>
    <x:row r="1680" ht="21" customHeight="1">
      <x:c r="A1680" s="2" t="str">
        <x:v>EV001658</x:v>
      </x:c>
      <x:c r="B1680" s="2" t="str">
        <x:v>T20261007-2-2</x:v>
      </x:c>
      <x:c r="C1680" s="2" t="str">
        <x:v>ST062</x:v>
      </x:c>
      <x:c r="D1680" s="2" t="str">
        <x:v>e0ee324a0d8893ba89d7c618ea194e36</x:v>
      </x:c>
      <x:c r="E1680" s="2" t="str">
        <x:v>CHECK_OUT</x:v>
      </x:c>
      <x:c r="F1680" s="8" t="n">
        <x:v>46302.50628472223</x:v>
      </x:c>
      <x:c r="G1680" s="8" t="n">
        <x:v>46302.506307870375</x:v>
      </x:c>
      <x:c r="H1680" s="2" t="str">
        <x:v>SCH01</x:v>
      </x:c>
      <x:c r="I1680" s="9" t="n">
        <x:v>25.285</x:v>
      </x:c>
      <x:c r="J1680" s="9" t="n">
        <x:v>51.51</x:v>
      </x:c>
      <x:c r="K1680" s="2" t="n">
        <x:v>8</x:v>
      </x:c>
      <x:c r="L1680" s="2" t="str">
        <x:v>Valid</x:v>
      </x:c>
      <x:c r="M1680" s="2" t="str">
        <x:v>QR</x:v>
      </x:c>
      <x:c r="N1680" s="2" t="n">
        <x:v>1</x:v>
      </x:c>
      <x:c r="O1680" s="2" t="str">
        <x:v>Accepted</x:v>
      </x:c>
      <x:c r="P1680" s="2" t="str">
        <x:v>S002</x:v>
      </x:c>
      <x:c r="Q1680" s="2" t="str">
        <x:v>DEV002</x:v>
      </x:c>
      <x:c r="R1680" s="2" t="n">
        <x:v>42</x:v>
      </x:c>
      <x:c r="S1680" s="2" t="str">
        <x:v>Online</x:v>
      </x:c>
      <x:c r="T1680" s="2" t="str">
        <x:v>Synced</x:v>
      </x:c>
    </x:row>
    <x:row r="1681" ht="21" customHeight="1">
      <x:c r="A1681" s="2" t="str">
        <x:v>EV001818</x:v>
      </x:c>
      <x:c r="B1681" s="2" t="str">
        <x:v>T20261007-2-3</x:v>
      </x:c>
      <x:c r="C1681" s="2" t="str">
        <x:v>ST102</x:v>
      </x:c>
      <x:c r="D1681" s="2" t="str">
        <x:v>6a90d57a6e4b5aedbdcdc5a29cf018e9</x:v>
      </x:c>
      <x:c r="E1681" s="2" t="str">
        <x:v>CHECK_OUT</x:v>
      </x:c>
      <x:c r="F1681" s="8" t="n">
        <x:v>46302.50628472223</x:v>
      </x:c>
      <x:c r="G1681" s="8" t="n">
        <x:v>46302.506307870375</x:v>
      </x:c>
      <x:c r="H1681" s="2" t="str">
        <x:v>SCH01</x:v>
      </x:c>
      <x:c r="I1681" s="9" t="n">
        <x:v>25.285</x:v>
      </x:c>
      <x:c r="J1681" s="9" t="n">
        <x:v>51.51</x:v>
      </x:c>
      <x:c r="K1681" s="2" t="n">
        <x:v>8</x:v>
      </x:c>
      <x:c r="L1681" s="2" t="str">
        <x:v>Valid</x:v>
      </x:c>
      <x:c r="M1681" s="2" t="str">
        <x:v>QR</x:v>
      </x:c>
      <x:c r="N1681" s="2" t="n">
        <x:v>1</x:v>
      </x:c>
      <x:c r="O1681" s="2" t="str">
        <x:v>Accepted</x:v>
      </x:c>
      <x:c r="P1681" s="2" t="str">
        <x:v>S003</x:v>
      </x:c>
      <x:c r="Q1681" s="2" t="str">
        <x:v>DEV003</x:v>
      </x:c>
      <x:c r="R1681" s="2" t="n">
        <x:v>42</x:v>
      </x:c>
      <x:c r="S1681" s="2" t="str">
        <x:v>Online</x:v>
      </x:c>
      <x:c r="T1681" s="2" t="str">
        <x:v>Synced</x:v>
      </x:c>
    </x:row>
    <x:row r="1682" ht="21" customHeight="1">
      <x:c r="A1682" s="2" t="str">
        <x:v>EV001500</x:v>
      </x:c>
      <x:c r="B1682" s="2" t="str">
        <x:v>T20261007-2-1</x:v>
      </x:c>
      <x:c r="C1682" s="2" t="str">
        <x:v>ST023</x:v>
      </x:c>
      <x:c r="D1682" s="2" t="str">
        <x:v>1836074fce688580737a08d14a26fa79</x:v>
      </x:c>
      <x:c r="E1682" s="2" t="str">
        <x:v>CHECK_OUT</x:v>
      </x:c>
      <x:c r="F1682" s="8" t="n">
        <x:v>46302.506319444445</x:v>
      </x:c>
      <x:c r="G1682" s="8" t="n">
        <x:v>46302.50634259259</x:v>
      </x:c>
      <x:c r="H1682" s="2" t="str">
        <x:v>SCH01</x:v>
      </x:c>
      <x:c r="I1682" s="9" t="n">
        <x:v>25.285</x:v>
      </x:c>
      <x:c r="J1682" s="9" t="n">
        <x:v>51.51</x:v>
      </x:c>
      <x:c r="K1682" s="2" t="n">
        <x:v>8</x:v>
      </x:c>
      <x:c r="L1682" s="2" t="str">
        <x:v>Valid</x:v>
      </x:c>
      <x:c r="M1682" s="2" t="str">
        <x:v>QR</x:v>
      </x:c>
      <x:c r="N1682" s="2" t="n">
        <x:v>1</x:v>
      </x:c>
      <x:c r="O1682" s="2" t="str">
        <x:v>Accepted</x:v>
      </x:c>
      <x:c r="P1682" s="2" t="str">
        <x:v>S001</x:v>
      </x:c>
      <x:c r="Q1682" s="2" t="str">
        <x:v>DEV001</x:v>
      </x:c>
      <x:c r="R1682" s="2" t="n">
        <x:v>43</x:v>
      </x:c>
      <x:c r="S1682" s="2" t="str">
        <x:v>Online</x:v>
      </x:c>
      <x:c r="T1682" s="2" t="str">
        <x:v>Synced</x:v>
      </x:c>
    </x:row>
    <x:row r="1683" ht="21" customHeight="1">
      <x:c r="A1683" s="2" t="str">
        <x:v>EV001660</x:v>
      </x:c>
      <x:c r="B1683" s="2" t="str">
        <x:v>T20261007-2-2</x:v>
      </x:c>
      <x:c r="C1683" s="2" t="str">
        <x:v>ST063</x:v>
      </x:c>
      <x:c r="D1683" s="2" t="str">
        <x:v>46a3e8e97cbe04af0173a75d9cdbcebf</x:v>
      </x:c>
      <x:c r="E1683" s="2" t="str">
        <x:v>CHECK_OUT</x:v>
      </x:c>
      <x:c r="F1683" s="8" t="n">
        <x:v>46302.506319444445</x:v>
      </x:c>
      <x:c r="G1683" s="8" t="n">
        <x:v>46302.50634259259</x:v>
      </x:c>
      <x:c r="H1683" s="2" t="str">
        <x:v>SCH01</x:v>
      </x:c>
      <x:c r="I1683" s="9" t="n">
        <x:v>25.285</x:v>
      </x:c>
      <x:c r="J1683" s="9" t="n">
        <x:v>51.51</x:v>
      </x:c>
      <x:c r="K1683" s="2" t="n">
        <x:v>8</x:v>
      </x:c>
      <x:c r="L1683" s="2" t="str">
        <x:v>Valid</x:v>
      </x:c>
      <x:c r="M1683" s="2" t="str">
        <x:v>QR</x:v>
      </x:c>
      <x:c r="N1683" s="2" t="n">
        <x:v>1</x:v>
      </x:c>
      <x:c r="O1683" s="2" t="str">
        <x:v>Accepted</x:v>
      </x:c>
      <x:c r="P1683" s="2" t="str">
        <x:v>S002</x:v>
      </x:c>
      <x:c r="Q1683" s="2" t="str">
        <x:v>DEV002</x:v>
      </x:c>
      <x:c r="R1683" s="2" t="n">
        <x:v>43</x:v>
      </x:c>
      <x:c r="S1683" s="2" t="str">
        <x:v>Online</x:v>
      </x:c>
      <x:c r="T1683" s="2" t="str">
        <x:v>Synced</x:v>
      </x:c>
    </x:row>
    <x:row r="1684" ht="21" customHeight="1">
      <x:c r="A1684" s="2" t="str">
        <x:v>EV001820</x:v>
      </x:c>
      <x:c r="B1684" s="2" t="str">
        <x:v>T20261007-2-3</x:v>
      </x:c>
      <x:c r="C1684" s="2" t="str">
        <x:v>ST103</x:v>
      </x:c>
      <x:c r="D1684" s="2" t="str">
        <x:v>5982cfca835e14d82ed8b6562c1a172d</x:v>
      </x:c>
      <x:c r="E1684" s="2" t="str">
        <x:v>CHECK_OUT</x:v>
      </x:c>
      <x:c r="F1684" s="8" t="n">
        <x:v>46302.506319444445</x:v>
      </x:c>
      <x:c r="G1684" s="8" t="n">
        <x:v>46302.50634259259</x:v>
      </x:c>
      <x:c r="H1684" s="2" t="str">
        <x:v>SCH01</x:v>
      </x:c>
      <x:c r="I1684" s="9" t="n">
        <x:v>25.285</x:v>
      </x:c>
      <x:c r="J1684" s="9" t="n">
        <x:v>51.51</x:v>
      </x:c>
      <x:c r="K1684" s="2" t="n">
        <x:v>8</x:v>
      </x:c>
      <x:c r="L1684" s="2" t="str">
        <x:v>Valid</x:v>
      </x:c>
      <x:c r="M1684" s="2" t="str">
        <x:v>QR</x:v>
      </x:c>
      <x:c r="N1684" s="2" t="n">
        <x:v>1</x:v>
      </x:c>
      <x:c r="O1684" s="2" t="str">
        <x:v>Accepted</x:v>
      </x:c>
      <x:c r="P1684" s="2" t="str">
        <x:v>S003</x:v>
      </x:c>
      <x:c r="Q1684" s="2" t="str">
        <x:v>DEV003</x:v>
      </x:c>
      <x:c r="R1684" s="2" t="n">
        <x:v>43</x:v>
      </x:c>
      <x:c r="S1684" s="2" t="str">
        <x:v>Online</x:v>
      </x:c>
      <x:c r="T1684" s="2" t="str">
        <x:v>Synced</x:v>
      </x:c>
    </x:row>
    <x:row r="1685" ht="21" customHeight="1">
      <x:c r="A1685" s="2" t="str">
        <x:v>EV001502</x:v>
      </x:c>
      <x:c r="B1685" s="2" t="str">
        <x:v>T20261007-2-1</x:v>
      </x:c>
      <x:c r="C1685" s="2" t="str">
        <x:v>ST024</x:v>
      </x:c>
      <x:c r="D1685" s="2" t="str">
        <x:v>df785f1577b8ee7f71835020d03a12a6</x:v>
      </x:c>
      <x:c r="E1685" s="2" t="str">
        <x:v>CHECK_OUT</x:v>
      </x:c>
      <x:c r="F1685" s="8" t="n">
        <x:v>46302.50635416667</x:v>
      </x:c>
      <x:c r="G1685" s="8" t="n">
        <x:v>46302.506377314814</x:v>
      </x:c>
      <x:c r="H1685" s="2" t="str">
        <x:v>SCH01</x:v>
      </x:c>
      <x:c r="I1685" s="9" t="n">
        <x:v>25.285</x:v>
      </x:c>
      <x:c r="J1685" s="9" t="n">
        <x:v>51.51</x:v>
      </x:c>
      <x:c r="K1685" s="2" t="n">
        <x:v>8</x:v>
      </x:c>
      <x:c r="L1685" s="2" t="str">
        <x:v>Valid</x:v>
      </x:c>
      <x:c r="M1685" s="2" t="str">
        <x:v>QR</x:v>
      </x:c>
      <x:c r="N1685" s="2" t="n">
        <x:v>1</x:v>
      </x:c>
      <x:c r="O1685" s="2" t="str">
        <x:v>Accepted</x:v>
      </x:c>
      <x:c r="P1685" s="2" t="str">
        <x:v>S001</x:v>
      </x:c>
      <x:c r="Q1685" s="2" t="str">
        <x:v>DEV001</x:v>
      </x:c>
      <x:c r="R1685" s="2" t="n">
        <x:v>44</x:v>
      </x:c>
      <x:c r="S1685" s="2" t="str">
        <x:v>Online</x:v>
      </x:c>
      <x:c r="T1685" s="2" t="str">
        <x:v>Synced</x:v>
      </x:c>
    </x:row>
    <x:row r="1686" ht="21" customHeight="1">
      <x:c r="A1686" s="2" t="str">
        <x:v>EV001662</x:v>
      </x:c>
      <x:c r="B1686" s="2" t="str">
        <x:v>T20261007-2-2</x:v>
      </x:c>
      <x:c r="C1686" s="2" t="str">
        <x:v>ST064</x:v>
      </x:c>
      <x:c r="D1686" s="2" t="str">
        <x:v>80debd99a6cfe1ca0800304796fd69ff</x:v>
      </x:c>
      <x:c r="E1686" s="2" t="str">
        <x:v>CHECK_OUT</x:v>
      </x:c>
      <x:c r="F1686" s="8" t="n">
        <x:v>46302.50635416667</x:v>
      </x:c>
      <x:c r="G1686" s="8" t="n">
        <x:v>46302.506377314814</x:v>
      </x:c>
      <x:c r="H1686" s="2" t="str">
        <x:v>SCH01</x:v>
      </x:c>
      <x:c r="I1686" s="9" t="n">
        <x:v>25.285</x:v>
      </x:c>
      <x:c r="J1686" s="9" t="n">
        <x:v>51.51</x:v>
      </x:c>
      <x:c r="K1686" s="2" t="n">
        <x:v>8</x:v>
      </x:c>
      <x:c r="L1686" s="2" t="str">
        <x:v>Valid</x:v>
      </x:c>
      <x:c r="M1686" s="2" t="str">
        <x:v>QR</x:v>
      </x:c>
      <x:c r="N1686" s="2" t="n">
        <x:v>1</x:v>
      </x:c>
      <x:c r="O1686" s="2" t="str">
        <x:v>Accepted</x:v>
      </x:c>
      <x:c r="P1686" s="2" t="str">
        <x:v>S002</x:v>
      </x:c>
      <x:c r="Q1686" s="2" t="str">
        <x:v>DEV002</x:v>
      </x:c>
      <x:c r="R1686" s="2" t="n">
        <x:v>44</x:v>
      </x:c>
      <x:c r="S1686" s="2" t="str">
        <x:v>Online</x:v>
      </x:c>
      <x:c r="T1686" s="2" t="str">
        <x:v>Synced</x:v>
      </x:c>
    </x:row>
    <x:row r="1687" ht="21" customHeight="1">
      <x:c r="A1687" s="2" t="str">
        <x:v>EV001822</x:v>
      </x:c>
      <x:c r="B1687" s="2" t="str">
        <x:v>T20261007-2-3</x:v>
      </x:c>
      <x:c r="C1687" s="2" t="str">
        <x:v>ST104</x:v>
      </x:c>
      <x:c r="D1687" s="2" t="str">
        <x:v>12167381f9b78201d830c40ef6208ce4</x:v>
      </x:c>
      <x:c r="E1687" s="2" t="str">
        <x:v>CHECK_OUT</x:v>
      </x:c>
      <x:c r="F1687" s="8" t="n">
        <x:v>46302.50635416667</x:v>
      </x:c>
      <x:c r="G1687" s="8" t="n">
        <x:v>46302.506377314814</x:v>
      </x:c>
      <x:c r="H1687" s="2" t="str">
        <x:v>SCH01</x:v>
      </x:c>
      <x:c r="I1687" s="9" t="n">
        <x:v>25.285</x:v>
      </x:c>
      <x:c r="J1687" s="9" t="n">
        <x:v>51.51</x:v>
      </x:c>
      <x:c r="K1687" s="2" t="n">
        <x:v>8</x:v>
      </x:c>
      <x:c r="L1687" s="2" t="str">
        <x:v>Valid</x:v>
      </x:c>
      <x:c r="M1687" s="2" t="str">
        <x:v>QR</x:v>
      </x:c>
      <x:c r="N1687" s="2" t="n">
        <x:v>1</x:v>
      </x:c>
      <x:c r="O1687" s="2" t="str">
        <x:v>Accepted</x:v>
      </x:c>
      <x:c r="P1687" s="2" t="str">
        <x:v>S003</x:v>
      </x:c>
      <x:c r="Q1687" s="2" t="str">
        <x:v>DEV003</x:v>
      </x:c>
      <x:c r="R1687" s="2" t="n">
        <x:v>44</x:v>
      </x:c>
      <x:c r="S1687" s="2" t="str">
        <x:v>Online</x:v>
      </x:c>
      <x:c r="T1687" s="2" t="str">
        <x:v>Synced</x:v>
      </x:c>
    </x:row>
    <x:row r="1688" ht="21" customHeight="1">
      <x:c r="A1688" s="2" t="str">
        <x:v>EV001504</x:v>
      </x:c>
      <x:c r="B1688" s="2" t="str">
        <x:v>T20261007-2-1</x:v>
      </x:c>
      <x:c r="C1688" s="2" t="str">
        <x:v>ST025</x:v>
      </x:c>
      <x:c r="D1688" s="2" t="str">
        <x:v>caea48c43f4ccfa85999e7cb546cd774</x:v>
      </x:c>
      <x:c r="E1688" s="2" t="str">
        <x:v>CHECK_OUT</x:v>
      </x:c>
      <x:c r="F1688" s="8" t="n">
        <x:v>46302.50638888889</x:v>
      </x:c>
      <x:c r="G1688" s="8" t="n">
        <x:v>46302.50641203704</x:v>
      </x:c>
      <x:c r="H1688" s="2" t="str">
        <x:v>SCH01</x:v>
      </x:c>
      <x:c r="I1688" s="9" t="n">
        <x:v>25.285</x:v>
      </x:c>
      <x:c r="J1688" s="9" t="n">
        <x:v>51.51</x:v>
      </x:c>
      <x:c r="K1688" s="2" t="n">
        <x:v>8</x:v>
      </x:c>
      <x:c r="L1688" s="2" t="str">
        <x:v>Valid</x:v>
      </x:c>
      <x:c r="M1688" s="2" t="str">
        <x:v>QR</x:v>
      </x:c>
      <x:c r="N1688" s="2" t="n">
        <x:v>1</x:v>
      </x:c>
      <x:c r="O1688" s="2" t="str">
        <x:v>Accepted</x:v>
      </x:c>
      <x:c r="P1688" s="2" t="str">
        <x:v>S001</x:v>
      </x:c>
      <x:c r="Q1688" s="2" t="str">
        <x:v>DEV001</x:v>
      </x:c>
      <x:c r="R1688" s="2" t="n">
        <x:v>45</x:v>
      </x:c>
      <x:c r="S1688" s="2" t="str">
        <x:v>Online</x:v>
      </x:c>
      <x:c r="T1688" s="2" t="str">
        <x:v>Synced</x:v>
      </x:c>
    </x:row>
    <x:row r="1689" ht="21" customHeight="1">
      <x:c r="A1689" s="2" t="str">
        <x:v>EV001664</x:v>
      </x:c>
      <x:c r="B1689" s="2" t="str">
        <x:v>T20261007-2-2</x:v>
      </x:c>
      <x:c r="C1689" s="2" t="str">
        <x:v>ST065</x:v>
      </x:c>
      <x:c r="D1689" s="2" t="str">
        <x:v>6b379c82348acc8be3e0d247197a20bf</x:v>
      </x:c>
      <x:c r="E1689" s="2" t="str">
        <x:v>CHECK_OUT</x:v>
      </x:c>
      <x:c r="F1689" s="8" t="n">
        <x:v>46302.50638888889</x:v>
      </x:c>
      <x:c r="G1689" s="8" t="n">
        <x:v>46302.50641203704</x:v>
      </x:c>
      <x:c r="H1689" s="2" t="str">
        <x:v>SCH01</x:v>
      </x:c>
      <x:c r="I1689" s="9" t="n">
        <x:v>25.285</x:v>
      </x:c>
      <x:c r="J1689" s="9" t="n">
        <x:v>51.51</x:v>
      </x:c>
      <x:c r="K1689" s="2" t="n">
        <x:v>8</x:v>
      </x:c>
      <x:c r="L1689" s="2" t="str">
        <x:v>Valid</x:v>
      </x:c>
      <x:c r="M1689" s="2" t="str">
        <x:v>QR</x:v>
      </x:c>
      <x:c r="N1689" s="2" t="n">
        <x:v>1</x:v>
      </x:c>
      <x:c r="O1689" s="2" t="str">
        <x:v>Accepted</x:v>
      </x:c>
      <x:c r="P1689" s="2" t="str">
        <x:v>S002</x:v>
      </x:c>
      <x:c r="Q1689" s="2" t="str">
        <x:v>DEV002</x:v>
      </x:c>
      <x:c r="R1689" s="2" t="n">
        <x:v>45</x:v>
      </x:c>
      <x:c r="S1689" s="2" t="str">
        <x:v>Online</x:v>
      </x:c>
      <x:c r="T1689" s="2" t="str">
        <x:v>Synced</x:v>
      </x:c>
    </x:row>
    <x:row r="1690" ht="21" customHeight="1">
      <x:c r="A1690" s="2" t="str">
        <x:v>EV001824</x:v>
      </x:c>
      <x:c r="B1690" s="2" t="str">
        <x:v>T20261007-2-3</x:v>
      </x:c>
      <x:c r="C1690" s="2" t="str">
        <x:v>ST105</x:v>
      </x:c>
      <x:c r="D1690" s="2" t="str">
        <x:v>bbd3ba75eaabf5ca3acef3823a75d885</x:v>
      </x:c>
      <x:c r="E1690" s="2" t="str">
        <x:v>CHECK_OUT</x:v>
      </x:c>
      <x:c r="F1690" s="8" t="n">
        <x:v>46302.50638888889</x:v>
      </x:c>
      <x:c r="G1690" s="8" t="n">
        <x:v>46302.50641203704</x:v>
      </x:c>
      <x:c r="H1690" s="2" t="str">
        <x:v>SCH01</x:v>
      </x:c>
      <x:c r="I1690" s="9" t="n">
        <x:v>25.285</x:v>
      </x:c>
      <x:c r="J1690" s="9" t="n">
        <x:v>51.51</x:v>
      </x:c>
      <x:c r="K1690" s="2" t="n">
        <x:v>8</x:v>
      </x:c>
      <x:c r="L1690" s="2" t="str">
        <x:v>Valid</x:v>
      </x:c>
      <x:c r="M1690" s="2" t="str">
        <x:v>QR</x:v>
      </x:c>
      <x:c r="N1690" s="2" t="n">
        <x:v>1</x:v>
      </x:c>
      <x:c r="O1690" s="2" t="str">
        <x:v>Accepted</x:v>
      </x:c>
      <x:c r="P1690" s="2" t="str">
        <x:v>S003</x:v>
      </x:c>
      <x:c r="Q1690" s="2" t="str">
        <x:v>DEV003</x:v>
      </x:c>
      <x:c r="R1690" s="2" t="n">
        <x:v>45</x:v>
      </x:c>
      <x:c r="S1690" s="2" t="str">
        <x:v>Online</x:v>
      </x:c>
      <x:c r="T1690" s="2" t="str">
        <x:v>Synced</x:v>
      </x:c>
    </x:row>
    <x:row r="1691" ht="21" customHeight="1">
      <x:c r="A1691" s="2" t="str">
        <x:v>EV001506</x:v>
      </x:c>
      <x:c r="B1691" s="2" t="str">
        <x:v>T20261007-2-1</x:v>
      </x:c>
      <x:c r="C1691" s="2" t="str">
        <x:v>ST026</x:v>
      </x:c>
      <x:c r="D1691" s="2" t="str">
        <x:v>56aea196eabcf09e1199afbd5e8907b0</x:v>
      </x:c>
      <x:c r="E1691" s="2" t="str">
        <x:v>CHECK_OUT</x:v>
      </x:c>
      <x:c r="F1691" s="8" t="n">
        <x:v>46302.506423611114</x:v>
      </x:c>
      <x:c r="G1691" s="8" t="n">
        <x:v>46302.50644675926</x:v>
      </x:c>
      <x:c r="H1691" s="2" t="str">
        <x:v>SCH01</x:v>
      </x:c>
      <x:c r="I1691" s="9" t="n">
        <x:v>25.285</x:v>
      </x:c>
      <x:c r="J1691" s="9" t="n">
        <x:v>51.51</x:v>
      </x:c>
      <x:c r="K1691" s="2" t="n">
        <x:v>8</x:v>
      </x:c>
      <x:c r="L1691" s="2" t="str">
        <x:v>Valid</x:v>
      </x:c>
      <x:c r="M1691" s="2" t="str">
        <x:v>QR</x:v>
      </x:c>
      <x:c r="N1691" s="2" t="n">
        <x:v>1</x:v>
      </x:c>
      <x:c r="O1691" s="2" t="str">
        <x:v>Accepted</x:v>
      </x:c>
      <x:c r="P1691" s="2" t="str">
        <x:v>S001</x:v>
      </x:c>
      <x:c r="Q1691" s="2" t="str">
        <x:v>DEV001</x:v>
      </x:c>
      <x:c r="R1691" s="2" t="n">
        <x:v>46</x:v>
      </x:c>
      <x:c r="S1691" s="2" t="str">
        <x:v>Online</x:v>
      </x:c>
      <x:c r="T1691" s="2" t="str">
        <x:v>Synced</x:v>
      </x:c>
    </x:row>
    <x:row r="1692" ht="21" customHeight="1">
      <x:c r="A1692" s="2" t="str">
        <x:v>EV001666</x:v>
      </x:c>
      <x:c r="B1692" s="2" t="str">
        <x:v>T20261007-2-2</x:v>
      </x:c>
      <x:c r="C1692" s="2" t="str">
        <x:v>ST066</x:v>
      </x:c>
      <x:c r="D1692" s="2" t="str">
        <x:v>f1ae8019085f4d0a77552e53fdc22aa7</x:v>
      </x:c>
      <x:c r="E1692" s="2" t="str">
        <x:v>CHECK_OUT</x:v>
      </x:c>
      <x:c r="F1692" s="8" t="n">
        <x:v>46302.506423611114</x:v>
      </x:c>
      <x:c r="G1692" s="8" t="n">
        <x:v>46302.50644675926</x:v>
      </x:c>
      <x:c r="H1692" s="2" t="str">
        <x:v>SCH01</x:v>
      </x:c>
      <x:c r="I1692" s="9" t="n">
        <x:v>25.285</x:v>
      </x:c>
      <x:c r="J1692" s="9" t="n">
        <x:v>51.51</x:v>
      </x:c>
      <x:c r="K1692" s="2" t="n">
        <x:v>8</x:v>
      </x:c>
      <x:c r="L1692" s="2" t="str">
        <x:v>Valid</x:v>
      </x:c>
      <x:c r="M1692" s="2" t="str">
        <x:v>QR</x:v>
      </x:c>
      <x:c r="N1692" s="2" t="n">
        <x:v>1</x:v>
      </x:c>
      <x:c r="O1692" s="2" t="str">
        <x:v>Accepted</x:v>
      </x:c>
      <x:c r="P1692" s="2" t="str">
        <x:v>S002</x:v>
      </x:c>
      <x:c r="Q1692" s="2" t="str">
        <x:v>DEV002</x:v>
      </x:c>
      <x:c r="R1692" s="2" t="n">
        <x:v>46</x:v>
      </x:c>
      <x:c r="S1692" s="2" t="str">
        <x:v>Online</x:v>
      </x:c>
      <x:c r="T1692" s="2" t="str">
        <x:v>Synced</x:v>
      </x:c>
    </x:row>
    <x:row r="1693" ht="21" customHeight="1">
      <x:c r="A1693" s="2" t="str">
        <x:v>EV001826</x:v>
      </x:c>
      <x:c r="B1693" s="2" t="str">
        <x:v>T20261007-2-3</x:v>
      </x:c>
      <x:c r="C1693" s="2" t="str">
        <x:v>ST106</x:v>
      </x:c>
      <x:c r="D1693" s="2" t="str">
        <x:v>9bd191644f26d4fc266418c96f36f10b</x:v>
      </x:c>
      <x:c r="E1693" s="2" t="str">
        <x:v>CHECK_OUT</x:v>
      </x:c>
      <x:c r="F1693" s="8" t="n">
        <x:v>46302.506423611114</x:v>
      </x:c>
      <x:c r="G1693" s="8" t="n">
        <x:v>46302.50644675926</x:v>
      </x:c>
      <x:c r="H1693" s="2" t="str">
        <x:v>SCH01</x:v>
      </x:c>
      <x:c r="I1693" s="9" t="n">
        <x:v>25.285</x:v>
      </x:c>
      <x:c r="J1693" s="9" t="n">
        <x:v>51.51</x:v>
      </x:c>
      <x:c r="K1693" s="2" t="n">
        <x:v>8</x:v>
      </x:c>
      <x:c r="L1693" s="2" t="str">
        <x:v>Valid</x:v>
      </x:c>
      <x:c r="M1693" s="2" t="str">
        <x:v>QR</x:v>
      </x:c>
      <x:c r="N1693" s="2" t="n">
        <x:v>1</x:v>
      </x:c>
      <x:c r="O1693" s="2" t="str">
        <x:v>Accepted</x:v>
      </x:c>
      <x:c r="P1693" s="2" t="str">
        <x:v>S003</x:v>
      </x:c>
      <x:c r="Q1693" s="2" t="str">
        <x:v>DEV003</x:v>
      </x:c>
      <x:c r="R1693" s="2" t="n">
        <x:v>46</x:v>
      </x:c>
      <x:c r="S1693" s="2" t="str">
        <x:v>Online</x:v>
      </x:c>
      <x:c r="T1693" s="2" t="str">
        <x:v>Synced</x:v>
      </x:c>
    </x:row>
    <x:row r="1694" ht="21" customHeight="1">
      <x:c r="A1694" s="2" t="str">
        <x:v>EV001508</x:v>
      </x:c>
      <x:c r="B1694" s="2" t="str">
        <x:v>T20261007-2-1</x:v>
      </x:c>
      <x:c r="C1694" s="2" t="str">
        <x:v>ST027</x:v>
      </x:c>
      <x:c r="D1694" s="2" t="str">
        <x:v>87868c08c06226359ca5121a9563bb63</x:v>
      </x:c>
      <x:c r="E1694" s="2" t="str">
        <x:v>CHECK_OUT</x:v>
      </x:c>
      <x:c r="F1694" s="8" t="n">
        <x:v>46302.50645833334</x:v>
      </x:c>
      <x:c r="G1694" s="8" t="n">
        <x:v>46302.50648148148</x:v>
      </x:c>
      <x:c r="H1694" s="2" t="str">
        <x:v>SCH01</x:v>
      </x:c>
      <x:c r="I1694" s="9" t="n">
        <x:v>25.285</x:v>
      </x:c>
      <x:c r="J1694" s="9" t="n">
        <x:v>51.51</x:v>
      </x:c>
      <x:c r="K1694" s="2" t="n">
        <x:v>8</x:v>
      </x:c>
      <x:c r="L1694" s="2" t="str">
        <x:v>Valid</x:v>
      </x:c>
      <x:c r="M1694" s="2" t="str">
        <x:v>QR</x:v>
      </x:c>
      <x:c r="N1694" s="2" t="n">
        <x:v>1</x:v>
      </x:c>
      <x:c r="O1694" s="2" t="str">
        <x:v>Accepted</x:v>
      </x:c>
      <x:c r="P1694" s="2" t="str">
        <x:v>S001</x:v>
      </x:c>
      <x:c r="Q1694" s="2" t="str">
        <x:v>DEV001</x:v>
      </x:c>
      <x:c r="R1694" s="2" t="n">
        <x:v>47</x:v>
      </x:c>
      <x:c r="S1694" s="2" t="str">
        <x:v>Online</x:v>
      </x:c>
      <x:c r="T1694" s="2" t="str">
        <x:v>Synced</x:v>
      </x:c>
    </x:row>
    <x:row r="1695" ht="21" customHeight="1">
      <x:c r="A1695" s="2" t="str">
        <x:v>EV001668</x:v>
      </x:c>
      <x:c r="B1695" s="2" t="str">
        <x:v>T20261007-2-2</x:v>
      </x:c>
      <x:c r="C1695" s="2" t="str">
        <x:v>ST067</x:v>
      </x:c>
      <x:c r="D1695" s="2" t="str">
        <x:v>66c3e7b11abae76912fea37c6c7ce00c</x:v>
      </x:c>
      <x:c r="E1695" s="2" t="str">
        <x:v>CHECK_OUT</x:v>
      </x:c>
      <x:c r="F1695" s="8" t="n">
        <x:v>46302.50645833334</x:v>
      </x:c>
      <x:c r="G1695" s="8" t="n">
        <x:v>46302.50648148148</x:v>
      </x:c>
      <x:c r="H1695" s="2" t="str">
        <x:v>SCH01</x:v>
      </x:c>
      <x:c r="I1695" s="9" t="n">
        <x:v>25.285</x:v>
      </x:c>
      <x:c r="J1695" s="9" t="n">
        <x:v>51.51</x:v>
      </x:c>
      <x:c r="K1695" s="2" t="n">
        <x:v>8</x:v>
      </x:c>
      <x:c r="L1695" s="2" t="str">
        <x:v>Valid</x:v>
      </x:c>
      <x:c r="M1695" s="2" t="str">
        <x:v>QR</x:v>
      </x:c>
      <x:c r="N1695" s="2" t="n">
        <x:v>1</x:v>
      </x:c>
      <x:c r="O1695" s="2" t="str">
        <x:v>Accepted</x:v>
      </x:c>
      <x:c r="P1695" s="2" t="str">
        <x:v>S002</x:v>
      </x:c>
      <x:c r="Q1695" s="2" t="str">
        <x:v>DEV002</x:v>
      </x:c>
      <x:c r="R1695" s="2" t="n">
        <x:v>47</x:v>
      </x:c>
      <x:c r="S1695" s="2" t="str">
        <x:v>Online</x:v>
      </x:c>
      <x:c r="T1695" s="2" t="str">
        <x:v>Synced</x:v>
      </x:c>
    </x:row>
    <x:row r="1696" ht="21" customHeight="1">
      <x:c r="A1696" s="2" t="str">
        <x:v>EV001828</x:v>
      </x:c>
      <x:c r="B1696" s="2" t="str">
        <x:v>T20261007-2-3</x:v>
      </x:c>
      <x:c r="C1696" s="2" t="str">
        <x:v>ST107</x:v>
      </x:c>
      <x:c r="D1696" s="2" t="str">
        <x:v>4a2bb35840a3b4fc7e804e2d710c14f4</x:v>
      </x:c>
      <x:c r="E1696" s="2" t="str">
        <x:v>CHECK_OUT</x:v>
      </x:c>
      <x:c r="F1696" s="8" t="n">
        <x:v>46302.50645833334</x:v>
      </x:c>
      <x:c r="G1696" s="8" t="n">
        <x:v>46302.50648148148</x:v>
      </x:c>
      <x:c r="H1696" s="2" t="str">
        <x:v>SCH01</x:v>
      </x:c>
      <x:c r="I1696" s="9" t="n">
        <x:v>25.285</x:v>
      </x:c>
      <x:c r="J1696" s="9" t="n">
        <x:v>51.51</x:v>
      </x:c>
      <x:c r="K1696" s="2" t="n">
        <x:v>8</x:v>
      </x:c>
      <x:c r="L1696" s="2" t="str">
        <x:v>Valid</x:v>
      </x:c>
      <x:c r="M1696" s="2" t="str">
        <x:v>QR</x:v>
      </x:c>
      <x:c r="N1696" s="2" t="n">
        <x:v>1</x:v>
      </x:c>
      <x:c r="O1696" s="2" t="str">
        <x:v>Accepted</x:v>
      </x:c>
      <x:c r="P1696" s="2" t="str">
        <x:v>S003</x:v>
      </x:c>
      <x:c r="Q1696" s="2" t="str">
        <x:v>DEV003</x:v>
      </x:c>
      <x:c r="R1696" s="2" t="n">
        <x:v>47</x:v>
      </x:c>
      <x:c r="S1696" s="2" t="str">
        <x:v>Online</x:v>
      </x:c>
      <x:c r="T1696" s="2" t="str">
        <x:v>Synced</x:v>
      </x:c>
    </x:row>
    <x:row r="1697" ht="21" customHeight="1">
      <x:c r="A1697" s="2" t="str">
        <x:v>EV001510</x:v>
      </x:c>
      <x:c r="B1697" s="2" t="str">
        <x:v>T20261007-2-1</x:v>
      </x:c>
      <x:c r="C1697" s="2" t="str">
        <x:v>ST028</x:v>
      </x:c>
      <x:c r="D1697" s="2" t="str">
        <x:v>af9ca502f5a3f54f1f44ea6d11afd24b</x:v>
      </x:c>
      <x:c r="E1697" s="2" t="str">
        <x:v>CHECK_OUT</x:v>
      </x:c>
      <x:c r="F1697" s="8" t="n">
        <x:v>46302.50649305556</x:v>
      </x:c>
      <x:c r="G1697" s="8" t="n">
        <x:v>46302.506516203706</x:v>
      </x:c>
      <x:c r="H1697" s="2" t="str">
        <x:v>SCH01</x:v>
      </x:c>
      <x:c r="I1697" s="9" t="n">
        <x:v>25.285</x:v>
      </x:c>
      <x:c r="J1697" s="9" t="n">
        <x:v>51.51</x:v>
      </x:c>
      <x:c r="K1697" s="2" t="n">
        <x:v>8</x:v>
      </x:c>
      <x:c r="L1697" s="2" t="str">
        <x:v>Valid</x:v>
      </x:c>
      <x:c r="M1697" s="2" t="str">
        <x:v>QR</x:v>
      </x:c>
      <x:c r="N1697" s="2" t="n">
        <x:v>1</x:v>
      </x:c>
      <x:c r="O1697" s="2" t="str">
        <x:v>Accepted</x:v>
      </x:c>
      <x:c r="P1697" s="2" t="str">
        <x:v>S001</x:v>
      </x:c>
      <x:c r="Q1697" s="2" t="str">
        <x:v>DEV001</x:v>
      </x:c>
      <x:c r="R1697" s="2" t="n">
        <x:v>48</x:v>
      </x:c>
      <x:c r="S1697" s="2" t="str">
        <x:v>Online</x:v>
      </x:c>
      <x:c r="T1697" s="2" t="str">
        <x:v>Synced</x:v>
      </x:c>
    </x:row>
    <x:row r="1698" ht="21" customHeight="1">
      <x:c r="A1698" s="2" t="str">
        <x:v>EV001670</x:v>
      </x:c>
      <x:c r="B1698" s="2" t="str">
        <x:v>T20261007-2-2</x:v>
      </x:c>
      <x:c r="C1698" s="2" t="str">
        <x:v>ST068</x:v>
      </x:c>
      <x:c r="D1698" s="2" t="str">
        <x:v>6d9af84dd25561b8b07e5e166ae4982a</x:v>
      </x:c>
      <x:c r="E1698" s="2" t="str">
        <x:v>CHECK_OUT</x:v>
      </x:c>
      <x:c r="F1698" s="8" t="n">
        <x:v>46302.50649305556</x:v>
      </x:c>
      <x:c r="G1698" s="8" t="n">
        <x:v>46302.506516203706</x:v>
      </x:c>
      <x:c r="H1698" s="2" t="str">
        <x:v>SCH01</x:v>
      </x:c>
      <x:c r="I1698" s="9" t="n">
        <x:v>25.285</x:v>
      </x:c>
      <x:c r="J1698" s="9" t="n">
        <x:v>51.51</x:v>
      </x:c>
      <x:c r="K1698" s="2" t="n">
        <x:v>8</x:v>
      </x:c>
      <x:c r="L1698" s="2" t="str">
        <x:v>Valid</x:v>
      </x:c>
      <x:c r="M1698" s="2" t="str">
        <x:v>QR</x:v>
      </x:c>
      <x:c r="N1698" s="2" t="n">
        <x:v>1</x:v>
      </x:c>
      <x:c r="O1698" s="2" t="str">
        <x:v>Accepted</x:v>
      </x:c>
      <x:c r="P1698" s="2" t="str">
        <x:v>S002</x:v>
      </x:c>
      <x:c r="Q1698" s="2" t="str">
        <x:v>DEV002</x:v>
      </x:c>
      <x:c r="R1698" s="2" t="n">
        <x:v>48</x:v>
      </x:c>
      <x:c r="S1698" s="2" t="str">
        <x:v>Online</x:v>
      </x:c>
      <x:c r="T1698" s="2" t="str">
        <x:v>Synced</x:v>
      </x:c>
    </x:row>
    <x:row r="1699" ht="21" customHeight="1">
      <x:c r="A1699" s="2" t="str">
        <x:v>EV001830</x:v>
      </x:c>
      <x:c r="B1699" s="2" t="str">
        <x:v>T20261007-2-3</x:v>
      </x:c>
      <x:c r="C1699" s="2" t="str">
        <x:v>ST108</x:v>
      </x:c>
      <x:c r="D1699" s="2" t="str">
        <x:v>85ef3b20338dfa9afdf3ae5a4b1ced5c</x:v>
      </x:c>
      <x:c r="E1699" s="2" t="str">
        <x:v>CHECK_OUT</x:v>
      </x:c>
      <x:c r="F1699" s="8" t="n">
        <x:v>46302.50649305556</x:v>
      </x:c>
      <x:c r="G1699" s="8" t="n">
        <x:v>46302.506516203706</x:v>
      </x:c>
      <x:c r="H1699" s="2" t="str">
        <x:v>SCH01</x:v>
      </x:c>
      <x:c r="I1699" s="9" t="n">
        <x:v>25.285</x:v>
      </x:c>
      <x:c r="J1699" s="9" t="n">
        <x:v>51.51</x:v>
      </x:c>
      <x:c r="K1699" s="2" t="n">
        <x:v>8</x:v>
      </x:c>
      <x:c r="L1699" s="2" t="str">
        <x:v>Valid</x:v>
      </x:c>
      <x:c r="M1699" s="2" t="str">
        <x:v>QR</x:v>
      </x:c>
      <x:c r="N1699" s="2" t="n">
        <x:v>1</x:v>
      </x:c>
      <x:c r="O1699" s="2" t="str">
        <x:v>Accepted</x:v>
      </x:c>
      <x:c r="P1699" s="2" t="str">
        <x:v>S003</x:v>
      </x:c>
      <x:c r="Q1699" s="2" t="str">
        <x:v>DEV003</x:v>
      </x:c>
      <x:c r="R1699" s="2" t="n">
        <x:v>48</x:v>
      </x:c>
      <x:c r="S1699" s="2" t="str">
        <x:v>Online</x:v>
      </x:c>
      <x:c r="T1699" s="2" t="str">
        <x:v>Synced</x:v>
      </x:c>
    </x:row>
    <x:row r="1700" ht="21" customHeight="1">
      <x:c r="A1700" s="2" t="str">
        <x:v>EV001512</x:v>
      </x:c>
      <x:c r="B1700" s="2" t="str">
        <x:v>T20261007-2-1</x:v>
      </x:c>
      <x:c r="C1700" s="2" t="str">
        <x:v>ST029</x:v>
      </x:c>
      <x:c r="D1700" s="2" t="str">
        <x:v>160c4caa69875e092299cd9b55dcda0b</x:v>
      </x:c>
      <x:c r="E1700" s="2" t="str">
        <x:v>CHECK_OUT</x:v>
      </x:c>
      <x:c r="F1700" s="8" t="n">
        <x:v>46302.50652777778</x:v>
      </x:c>
      <x:c r="G1700" s="8" t="n">
        <x:v>46302.50655092593</x:v>
      </x:c>
      <x:c r="H1700" s="2" t="str">
        <x:v>SCH01</x:v>
      </x:c>
      <x:c r="I1700" s="9" t="n">
        <x:v>25.285</x:v>
      </x:c>
      <x:c r="J1700" s="9" t="n">
        <x:v>51.51</x:v>
      </x:c>
      <x:c r="K1700" s="2" t="n">
        <x:v>8</x:v>
      </x:c>
      <x:c r="L1700" s="2" t="str">
        <x:v>Valid</x:v>
      </x:c>
      <x:c r="M1700" s="2" t="str">
        <x:v>QR</x:v>
      </x:c>
      <x:c r="N1700" s="2" t="n">
        <x:v>1</x:v>
      </x:c>
      <x:c r="O1700" s="2" t="str">
        <x:v>Accepted</x:v>
      </x:c>
      <x:c r="P1700" s="2" t="str">
        <x:v>S001</x:v>
      </x:c>
      <x:c r="Q1700" s="2" t="str">
        <x:v>DEV001</x:v>
      </x:c>
      <x:c r="R1700" s="2" t="n">
        <x:v>49</x:v>
      </x:c>
      <x:c r="S1700" s="2" t="str">
        <x:v>Online</x:v>
      </x:c>
      <x:c r="T1700" s="2" t="str">
        <x:v>Synced</x:v>
      </x:c>
    </x:row>
    <x:row r="1701" ht="21" customHeight="1">
      <x:c r="A1701" s="2" t="str">
        <x:v>EV001672</x:v>
      </x:c>
      <x:c r="B1701" s="2" t="str">
        <x:v>T20261007-2-2</x:v>
      </x:c>
      <x:c r="C1701" s="2" t="str">
        <x:v>ST069</x:v>
      </x:c>
      <x:c r="D1701" s="2" t="str">
        <x:v>d453525f57933d1df9d056e2e53ed3e4</x:v>
      </x:c>
      <x:c r="E1701" s="2" t="str">
        <x:v>CHECK_OUT</x:v>
      </x:c>
      <x:c r="F1701" s="8" t="n">
        <x:v>46302.50652777778</x:v>
      </x:c>
      <x:c r="G1701" s="8" t="n">
        <x:v>46302.50655092593</x:v>
      </x:c>
      <x:c r="H1701" s="2" t="str">
        <x:v>SCH01</x:v>
      </x:c>
      <x:c r="I1701" s="9" t="n">
        <x:v>25.285</x:v>
      </x:c>
      <x:c r="J1701" s="9" t="n">
        <x:v>51.51</x:v>
      </x:c>
      <x:c r="K1701" s="2" t="n">
        <x:v>8</x:v>
      </x:c>
      <x:c r="L1701" s="2" t="str">
        <x:v>Valid</x:v>
      </x:c>
      <x:c r="M1701" s="2" t="str">
        <x:v>QR</x:v>
      </x:c>
      <x:c r="N1701" s="2" t="n">
        <x:v>1</x:v>
      </x:c>
      <x:c r="O1701" s="2" t="str">
        <x:v>Accepted</x:v>
      </x:c>
      <x:c r="P1701" s="2" t="str">
        <x:v>S002</x:v>
      </x:c>
      <x:c r="Q1701" s="2" t="str">
        <x:v>DEV002</x:v>
      </x:c>
      <x:c r="R1701" s="2" t="n">
        <x:v>49</x:v>
      </x:c>
      <x:c r="S1701" s="2" t="str">
        <x:v>Online</x:v>
      </x:c>
      <x:c r="T1701" s="2" t="str">
        <x:v>Synced</x:v>
      </x:c>
    </x:row>
    <x:row r="1702" ht="21" customHeight="1">
      <x:c r="A1702" s="2" t="str">
        <x:v>EV001832</x:v>
      </x:c>
      <x:c r="B1702" s="2" t="str">
        <x:v>T20261007-2-3</x:v>
      </x:c>
      <x:c r="C1702" s="2" t="str">
        <x:v>ST109</x:v>
      </x:c>
      <x:c r="D1702" s="2" t="str">
        <x:v>dfd493c800846e3efc35048335bd557b</x:v>
      </x:c>
      <x:c r="E1702" s="2" t="str">
        <x:v>CHECK_OUT</x:v>
      </x:c>
      <x:c r="F1702" s="8" t="n">
        <x:v>46302.50652777778</x:v>
      </x:c>
      <x:c r="G1702" s="8" t="n">
        <x:v>46302.50655092593</x:v>
      </x:c>
      <x:c r="H1702" s="2" t="str">
        <x:v>SCH01</x:v>
      </x:c>
      <x:c r="I1702" s="9" t="n">
        <x:v>25.285</x:v>
      </x:c>
      <x:c r="J1702" s="9" t="n">
        <x:v>51.51</x:v>
      </x:c>
      <x:c r="K1702" s="2" t="n">
        <x:v>8</x:v>
      </x:c>
      <x:c r="L1702" s="2" t="str">
        <x:v>Valid</x:v>
      </x:c>
      <x:c r="M1702" s="2" t="str">
        <x:v>QR</x:v>
      </x:c>
      <x:c r="N1702" s="2" t="n">
        <x:v>1</x:v>
      </x:c>
      <x:c r="O1702" s="2" t="str">
        <x:v>Accepted</x:v>
      </x:c>
      <x:c r="P1702" s="2" t="str">
        <x:v>S003</x:v>
      </x:c>
      <x:c r="Q1702" s="2" t="str">
        <x:v>DEV003</x:v>
      </x:c>
      <x:c r="R1702" s="2" t="n">
        <x:v>49</x:v>
      </x:c>
      <x:c r="S1702" s="2" t="str">
        <x:v>Online</x:v>
      </x:c>
      <x:c r="T1702" s="2" t="str">
        <x:v>Synced</x:v>
      </x:c>
    </x:row>
    <x:row r="1703" ht="21" customHeight="1">
      <x:c r="A1703" s="2" t="str">
        <x:v>EV001514</x:v>
      </x:c>
      <x:c r="B1703" s="2" t="str">
        <x:v>T20261007-2-1</x:v>
      </x:c>
      <x:c r="C1703" s="2" t="str">
        <x:v>ST030</x:v>
      </x:c>
      <x:c r="D1703" s="2" t="str">
        <x:v>82585187c31166ddecfc4b31343dde64</x:v>
      </x:c>
      <x:c r="E1703" s="2" t="str">
        <x:v>CHECK_OUT</x:v>
      </x:c>
      <x:c r="F1703" s="8" t="n">
        <x:v>46302.506562500006</x:v>
      </x:c>
      <x:c r="G1703" s="8" t="n">
        <x:v>46302.50658564815</x:v>
      </x:c>
      <x:c r="H1703" s="2" t="str">
        <x:v>SCH01</x:v>
      </x:c>
      <x:c r="I1703" s="9" t="n">
        <x:v>25.285</x:v>
      </x:c>
      <x:c r="J1703" s="9" t="n">
        <x:v>51.51</x:v>
      </x:c>
      <x:c r="K1703" s="2" t="n">
        <x:v>8</x:v>
      </x:c>
      <x:c r="L1703" s="2" t="str">
        <x:v>Valid</x:v>
      </x:c>
      <x:c r="M1703" s="2" t="str">
        <x:v>QR</x:v>
      </x:c>
      <x:c r="N1703" s="2" t="n">
        <x:v>1</x:v>
      </x:c>
      <x:c r="O1703" s="2" t="str">
        <x:v>Accepted</x:v>
      </x:c>
      <x:c r="P1703" s="2" t="str">
        <x:v>S001</x:v>
      </x:c>
      <x:c r="Q1703" s="2" t="str">
        <x:v>DEV001</x:v>
      </x:c>
      <x:c r="R1703" s="2" t="n">
        <x:v>50</x:v>
      </x:c>
      <x:c r="S1703" s="2" t="str">
        <x:v>Online</x:v>
      </x:c>
      <x:c r="T1703" s="2" t="str">
        <x:v>Synced</x:v>
      </x:c>
    </x:row>
    <x:row r="1704" ht="21" customHeight="1">
      <x:c r="A1704" s="2" t="str">
        <x:v>EV001674</x:v>
      </x:c>
      <x:c r="B1704" s="2" t="str">
        <x:v>T20261007-2-2</x:v>
      </x:c>
      <x:c r="C1704" s="2" t="str">
        <x:v>ST070</x:v>
      </x:c>
      <x:c r="D1704" s="2" t="str">
        <x:v>12a9f1121533e9d2b6402c68cf852c16</x:v>
      </x:c>
      <x:c r="E1704" s="2" t="str">
        <x:v>CHECK_OUT</x:v>
      </x:c>
      <x:c r="F1704" s="8" t="n">
        <x:v>46302.506562500006</x:v>
      </x:c>
      <x:c r="G1704" s="8" t="n">
        <x:v>46302.50658564815</x:v>
      </x:c>
      <x:c r="H1704" s="2" t="str">
        <x:v>SCH01</x:v>
      </x:c>
      <x:c r="I1704" s="9" t="n">
        <x:v>25.285</x:v>
      </x:c>
      <x:c r="J1704" s="9" t="n">
        <x:v>51.51</x:v>
      </x:c>
      <x:c r="K1704" s="2" t="n">
        <x:v>8</x:v>
      </x:c>
      <x:c r="L1704" s="2" t="str">
        <x:v>Valid</x:v>
      </x:c>
      <x:c r="M1704" s="2" t="str">
        <x:v>QR</x:v>
      </x:c>
      <x:c r="N1704" s="2" t="n">
        <x:v>1</x:v>
      </x:c>
      <x:c r="O1704" s="2" t="str">
        <x:v>Accepted</x:v>
      </x:c>
      <x:c r="P1704" s="2" t="str">
        <x:v>S002</x:v>
      </x:c>
      <x:c r="Q1704" s="2" t="str">
        <x:v>DEV002</x:v>
      </x:c>
      <x:c r="R1704" s="2" t="n">
        <x:v>50</x:v>
      </x:c>
      <x:c r="S1704" s="2" t="str">
        <x:v>Online</x:v>
      </x:c>
      <x:c r="T1704" s="2" t="str">
        <x:v>Synced</x:v>
      </x:c>
    </x:row>
    <x:row r="1705" ht="21" customHeight="1">
      <x:c r="A1705" s="2" t="str">
        <x:v>EV001834</x:v>
      </x:c>
      <x:c r="B1705" s="2" t="str">
        <x:v>T20261007-2-3</x:v>
      </x:c>
      <x:c r="C1705" s="2" t="str">
        <x:v>ST110</x:v>
      </x:c>
      <x:c r="D1705" s="2" t="str">
        <x:v>4382c0cdcda89fb8cc0f5b9fc03b4c51</x:v>
      </x:c>
      <x:c r="E1705" s="2" t="str">
        <x:v>CHECK_OUT</x:v>
      </x:c>
      <x:c r="F1705" s="8" t="n">
        <x:v>46302.506562500006</x:v>
      </x:c>
      <x:c r="G1705" s="8" t="n">
        <x:v>46302.50658564815</x:v>
      </x:c>
      <x:c r="H1705" s="2" t="str">
        <x:v>SCH01</x:v>
      </x:c>
      <x:c r="I1705" s="9" t="n">
        <x:v>25.285</x:v>
      </x:c>
      <x:c r="J1705" s="9" t="n">
        <x:v>51.51</x:v>
      </x:c>
      <x:c r="K1705" s="2" t="n">
        <x:v>8</x:v>
      </x:c>
      <x:c r="L1705" s="2" t="str">
        <x:v>Valid</x:v>
      </x:c>
      <x:c r="M1705" s="2" t="str">
        <x:v>QR</x:v>
      </x:c>
      <x:c r="N1705" s="2" t="n">
        <x:v>1</x:v>
      </x:c>
      <x:c r="O1705" s="2" t="str">
        <x:v>Accepted</x:v>
      </x:c>
      <x:c r="P1705" s="2" t="str">
        <x:v>S003</x:v>
      </x:c>
      <x:c r="Q1705" s="2" t="str">
        <x:v>DEV003</x:v>
      </x:c>
      <x:c r="R1705" s="2" t="n">
        <x:v>50</x:v>
      </x:c>
      <x:c r="S1705" s="2" t="str">
        <x:v>Online</x:v>
      </x:c>
      <x:c r="T1705" s="2" t="str">
        <x:v>Synced</x:v>
      </x:c>
    </x:row>
    <x:row r="1706" ht="21" customHeight="1">
      <x:c r="A1706" s="2" t="str">
        <x:v>EV001516</x:v>
      </x:c>
      <x:c r="B1706" s="2" t="str">
        <x:v>T20261007-2-1</x:v>
      </x:c>
      <x:c r="C1706" s="2" t="str">
        <x:v>ST031</x:v>
      </x:c>
      <x:c r="D1706" s="2" t="str">
        <x:v>8ab188e9684e5df87182305d1c7eadac</x:v>
      </x:c>
      <x:c r="E1706" s="2" t="str">
        <x:v>CHECK_OUT</x:v>
      </x:c>
      <x:c r="F1706" s="8" t="n">
        <x:v>46302.50659722223</x:v>
      </x:c>
      <x:c r="G1706" s="8" t="n">
        <x:v>46302.506620370375</x:v>
      </x:c>
      <x:c r="H1706" s="2" t="str">
        <x:v>SCH01</x:v>
      </x:c>
      <x:c r="I1706" s="9" t="n">
        <x:v>25.285</x:v>
      </x:c>
      <x:c r="J1706" s="9" t="n">
        <x:v>51.51</x:v>
      </x:c>
      <x:c r="K1706" s="2" t="n">
        <x:v>8</x:v>
      </x:c>
      <x:c r="L1706" s="2" t="str">
        <x:v>Valid</x:v>
      </x:c>
      <x:c r="M1706" s="2" t="str">
        <x:v>QR</x:v>
      </x:c>
      <x:c r="N1706" s="2" t="n">
        <x:v>1</x:v>
      </x:c>
      <x:c r="O1706" s="2" t="str">
        <x:v>Accepted</x:v>
      </x:c>
      <x:c r="P1706" s="2" t="str">
        <x:v>S001</x:v>
      </x:c>
      <x:c r="Q1706" s="2" t="str">
        <x:v>DEV001</x:v>
      </x:c>
      <x:c r="R1706" s="2" t="n">
        <x:v>51</x:v>
      </x:c>
      <x:c r="S1706" s="2" t="str">
        <x:v>Online</x:v>
      </x:c>
      <x:c r="T1706" s="2" t="str">
        <x:v>Synced</x:v>
      </x:c>
    </x:row>
    <x:row r="1707" ht="21" customHeight="1">
      <x:c r="A1707" s="2" t="str">
        <x:v>EV001676</x:v>
      </x:c>
      <x:c r="B1707" s="2" t="str">
        <x:v>T20261007-2-2</x:v>
      </x:c>
      <x:c r="C1707" s="2" t="str">
        <x:v>ST071</x:v>
      </x:c>
      <x:c r="D1707" s="2" t="str">
        <x:v>51895678643dc659a400e702a471294e</x:v>
      </x:c>
      <x:c r="E1707" s="2" t="str">
        <x:v>CHECK_OUT</x:v>
      </x:c>
      <x:c r="F1707" s="8" t="n">
        <x:v>46302.50659722223</x:v>
      </x:c>
      <x:c r="G1707" s="8" t="n">
        <x:v>46302.506620370375</x:v>
      </x:c>
      <x:c r="H1707" s="2" t="str">
        <x:v>SCH01</x:v>
      </x:c>
      <x:c r="I1707" s="9" t="n">
        <x:v>25.285</x:v>
      </x:c>
      <x:c r="J1707" s="9" t="n">
        <x:v>51.51</x:v>
      </x:c>
      <x:c r="K1707" s="2" t="n">
        <x:v>8</x:v>
      </x:c>
      <x:c r="L1707" s="2" t="str">
        <x:v>Valid</x:v>
      </x:c>
      <x:c r="M1707" s="2" t="str">
        <x:v>QR</x:v>
      </x:c>
      <x:c r="N1707" s="2" t="n">
        <x:v>1</x:v>
      </x:c>
      <x:c r="O1707" s="2" t="str">
        <x:v>Accepted</x:v>
      </x:c>
      <x:c r="P1707" s="2" t="str">
        <x:v>S002</x:v>
      </x:c>
      <x:c r="Q1707" s="2" t="str">
        <x:v>DEV002</x:v>
      </x:c>
      <x:c r="R1707" s="2" t="n">
        <x:v>51</x:v>
      </x:c>
      <x:c r="S1707" s="2" t="str">
        <x:v>Online</x:v>
      </x:c>
      <x:c r="T1707" s="2" t="str">
        <x:v>Synced</x:v>
      </x:c>
    </x:row>
    <x:row r="1708" ht="21" customHeight="1">
      <x:c r="A1708" s="2" t="str">
        <x:v>EV001836</x:v>
      </x:c>
      <x:c r="B1708" s="2" t="str">
        <x:v>T20261007-2-3</x:v>
      </x:c>
      <x:c r="C1708" s="2" t="str">
        <x:v>ST111</x:v>
      </x:c>
      <x:c r="D1708" s="2" t="str">
        <x:v>e6e9707385e7ee8edd3ac87243757eb2</x:v>
      </x:c>
      <x:c r="E1708" s="2" t="str">
        <x:v>CHECK_OUT</x:v>
      </x:c>
      <x:c r="F1708" s="8" t="n">
        <x:v>46302.50659722223</x:v>
      </x:c>
      <x:c r="G1708" s="8" t="n">
        <x:v>46302.506620370375</x:v>
      </x:c>
      <x:c r="H1708" s="2" t="str">
        <x:v>SCH01</x:v>
      </x:c>
      <x:c r="I1708" s="9" t="n">
        <x:v>25.285</x:v>
      </x:c>
      <x:c r="J1708" s="9" t="n">
        <x:v>51.51</x:v>
      </x:c>
      <x:c r="K1708" s="2" t="n">
        <x:v>8</x:v>
      </x:c>
      <x:c r="L1708" s="2" t="str">
        <x:v>Valid</x:v>
      </x:c>
      <x:c r="M1708" s="2" t="str">
        <x:v>QR</x:v>
      </x:c>
      <x:c r="N1708" s="2" t="n">
        <x:v>1</x:v>
      </x:c>
      <x:c r="O1708" s="2" t="str">
        <x:v>Accepted</x:v>
      </x:c>
      <x:c r="P1708" s="2" t="str">
        <x:v>S003</x:v>
      </x:c>
      <x:c r="Q1708" s="2" t="str">
        <x:v>DEV003</x:v>
      </x:c>
      <x:c r="R1708" s="2" t="n">
        <x:v>51</x:v>
      </x:c>
      <x:c r="S1708" s="2" t="str">
        <x:v>Online</x:v>
      </x:c>
      <x:c r="T1708" s="2" t="str">
        <x:v>Synced</x:v>
      </x:c>
    </x:row>
    <x:row r="1709" ht="21" customHeight="1">
      <x:c r="A1709" s="2" t="str">
        <x:v>EV001518</x:v>
      </x:c>
      <x:c r="B1709" s="2" t="str">
        <x:v>T20261007-2-1</x:v>
      </x:c>
      <x:c r="C1709" s="2" t="str">
        <x:v>ST032</x:v>
      </x:c>
      <x:c r="D1709" s="2" t="str">
        <x:v>836e2da54ccde9716995f5651a63e8c5</x:v>
      </x:c>
      <x:c r="E1709" s="2" t="str">
        <x:v>CHECK_OUT</x:v>
      </x:c>
      <x:c r="F1709" s="8" t="n">
        <x:v>46302.506631944445</x:v>
      </x:c>
      <x:c r="G1709" s="8" t="n">
        <x:v>46302.50665509259</x:v>
      </x:c>
      <x:c r="H1709" s="2" t="str">
        <x:v>SCH01</x:v>
      </x:c>
      <x:c r="I1709" s="9" t="n">
        <x:v>25.285</x:v>
      </x:c>
      <x:c r="J1709" s="9" t="n">
        <x:v>51.51</x:v>
      </x:c>
      <x:c r="K1709" s="2" t="n">
        <x:v>8</x:v>
      </x:c>
      <x:c r="L1709" s="2" t="str">
        <x:v>Valid</x:v>
      </x:c>
      <x:c r="M1709" s="2" t="str">
        <x:v>QR</x:v>
      </x:c>
      <x:c r="N1709" s="2" t="n">
        <x:v>1</x:v>
      </x:c>
      <x:c r="O1709" s="2" t="str">
        <x:v>Accepted</x:v>
      </x:c>
      <x:c r="P1709" s="2" t="str">
        <x:v>S001</x:v>
      </x:c>
      <x:c r="Q1709" s="2" t="str">
        <x:v>DEV001</x:v>
      </x:c>
      <x:c r="R1709" s="2" t="n">
        <x:v>52</x:v>
      </x:c>
      <x:c r="S1709" s="2" t="str">
        <x:v>Online</x:v>
      </x:c>
      <x:c r="T1709" s="2" t="str">
        <x:v>Synced</x:v>
      </x:c>
    </x:row>
    <x:row r="1710" ht="21" customHeight="1">
      <x:c r="A1710" s="2" t="str">
        <x:v>EV001678</x:v>
      </x:c>
      <x:c r="B1710" s="2" t="str">
        <x:v>T20261007-2-2</x:v>
      </x:c>
      <x:c r="C1710" s="2" t="str">
        <x:v>ST072</x:v>
      </x:c>
      <x:c r="D1710" s="2" t="str">
        <x:v>34067027b5922171fe59ce4d7b756f1c</x:v>
      </x:c>
      <x:c r="E1710" s="2" t="str">
        <x:v>CHECK_OUT</x:v>
      </x:c>
      <x:c r="F1710" s="8" t="n">
        <x:v>46302.506631944445</x:v>
      </x:c>
      <x:c r="G1710" s="8" t="n">
        <x:v>46302.50665509259</x:v>
      </x:c>
      <x:c r="H1710" s="2" t="str">
        <x:v>SCH01</x:v>
      </x:c>
      <x:c r="I1710" s="9" t="n">
        <x:v>25.285</x:v>
      </x:c>
      <x:c r="J1710" s="9" t="n">
        <x:v>51.51</x:v>
      </x:c>
      <x:c r="K1710" s="2" t="n">
        <x:v>8</x:v>
      </x:c>
      <x:c r="L1710" s="2" t="str">
        <x:v>Valid</x:v>
      </x:c>
      <x:c r="M1710" s="2" t="str">
        <x:v>QR</x:v>
      </x:c>
      <x:c r="N1710" s="2" t="n">
        <x:v>1</x:v>
      </x:c>
      <x:c r="O1710" s="2" t="str">
        <x:v>Accepted</x:v>
      </x:c>
      <x:c r="P1710" s="2" t="str">
        <x:v>S002</x:v>
      </x:c>
      <x:c r="Q1710" s="2" t="str">
        <x:v>DEV002</x:v>
      </x:c>
      <x:c r="R1710" s="2" t="n">
        <x:v>52</x:v>
      </x:c>
      <x:c r="S1710" s="2" t="str">
        <x:v>Online</x:v>
      </x:c>
      <x:c r="T1710" s="2" t="str">
        <x:v>Synced</x:v>
      </x:c>
    </x:row>
    <x:row r="1711" ht="21" customHeight="1">
      <x:c r="A1711" s="2" t="str">
        <x:v>EV001838</x:v>
      </x:c>
      <x:c r="B1711" s="2" t="str">
        <x:v>T20261007-2-3</x:v>
      </x:c>
      <x:c r="C1711" s="2" t="str">
        <x:v>ST112</x:v>
      </x:c>
      <x:c r="D1711" s="2" t="str">
        <x:v>ca020aefc0d912af9ddca5c7ca7a2f51</x:v>
      </x:c>
      <x:c r="E1711" s="2" t="str">
        <x:v>CHECK_OUT</x:v>
      </x:c>
      <x:c r="F1711" s="8" t="n">
        <x:v>46302.506631944445</x:v>
      </x:c>
      <x:c r="G1711" s="8" t="n">
        <x:v>46302.50665509259</x:v>
      </x:c>
      <x:c r="H1711" s="2" t="str">
        <x:v>SCH01</x:v>
      </x:c>
      <x:c r="I1711" s="9" t="n">
        <x:v>25.285</x:v>
      </x:c>
      <x:c r="J1711" s="9" t="n">
        <x:v>51.51</x:v>
      </x:c>
      <x:c r="K1711" s="2" t="n">
        <x:v>8</x:v>
      </x:c>
      <x:c r="L1711" s="2" t="str">
        <x:v>Valid</x:v>
      </x:c>
      <x:c r="M1711" s="2" t="str">
        <x:v>QR</x:v>
      </x:c>
      <x:c r="N1711" s="2" t="n">
        <x:v>1</x:v>
      </x:c>
      <x:c r="O1711" s="2" t="str">
        <x:v>Accepted</x:v>
      </x:c>
      <x:c r="P1711" s="2" t="str">
        <x:v>S003</x:v>
      </x:c>
      <x:c r="Q1711" s="2" t="str">
        <x:v>DEV003</x:v>
      </x:c>
      <x:c r="R1711" s="2" t="n">
        <x:v>52</x:v>
      </x:c>
      <x:c r="S1711" s="2" t="str">
        <x:v>Online</x:v>
      </x:c>
      <x:c r="T1711" s="2" t="str">
        <x:v>Synced</x:v>
      </x:c>
    </x:row>
    <x:row r="1712" ht="21" customHeight="1">
      <x:c r="A1712" s="2" t="str">
        <x:v>EV001520</x:v>
      </x:c>
      <x:c r="B1712" s="2" t="str">
        <x:v>T20261007-2-1</x:v>
      </x:c>
      <x:c r="C1712" s="2" t="str">
        <x:v>ST033</x:v>
      </x:c>
      <x:c r="D1712" s="2" t="str">
        <x:v>c9cc8ddf1b5bae8b49929340838e300a</x:v>
      </x:c>
      <x:c r="E1712" s="2" t="str">
        <x:v>CHECK_OUT</x:v>
      </x:c>
      <x:c r="F1712" s="8" t="n">
        <x:v>46302.50666666667</x:v>
      </x:c>
      <x:c r="G1712" s="8" t="n">
        <x:v>46302.506689814814</x:v>
      </x:c>
      <x:c r="H1712" s="2" t="str">
        <x:v>SCH01</x:v>
      </x:c>
      <x:c r="I1712" s="9" t="n">
        <x:v>25.285</x:v>
      </x:c>
      <x:c r="J1712" s="9" t="n">
        <x:v>51.51</x:v>
      </x:c>
      <x:c r="K1712" s="2" t="n">
        <x:v>8</x:v>
      </x:c>
      <x:c r="L1712" s="2" t="str">
        <x:v>Valid</x:v>
      </x:c>
      <x:c r="M1712" s="2" t="str">
        <x:v>QR</x:v>
      </x:c>
      <x:c r="N1712" s="2" t="n">
        <x:v>1</x:v>
      </x:c>
      <x:c r="O1712" s="2" t="str">
        <x:v>Accepted</x:v>
      </x:c>
      <x:c r="P1712" s="2" t="str">
        <x:v>S001</x:v>
      </x:c>
      <x:c r="Q1712" s="2" t="str">
        <x:v>DEV001</x:v>
      </x:c>
      <x:c r="R1712" s="2" t="n">
        <x:v>53</x:v>
      </x:c>
      <x:c r="S1712" s="2" t="str">
        <x:v>Online</x:v>
      </x:c>
      <x:c r="T1712" s="2" t="str">
        <x:v>Synced</x:v>
      </x:c>
    </x:row>
    <x:row r="1713" ht="21" customHeight="1">
      <x:c r="A1713" s="2" t="str">
        <x:v>EV001680</x:v>
      </x:c>
      <x:c r="B1713" s="2" t="str">
        <x:v>T20261007-2-2</x:v>
      </x:c>
      <x:c r="C1713" s="2" t="str">
        <x:v>ST073</x:v>
      </x:c>
      <x:c r="D1713" s="2" t="str">
        <x:v>b27180ce7590c0aac206d465f318b712</x:v>
      </x:c>
      <x:c r="E1713" s="2" t="str">
        <x:v>CHECK_OUT</x:v>
      </x:c>
      <x:c r="F1713" s="8" t="n">
        <x:v>46302.50666666667</x:v>
      </x:c>
      <x:c r="G1713" s="8" t="n">
        <x:v>46302.506689814814</x:v>
      </x:c>
      <x:c r="H1713" s="2" t="str">
        <x:v>SCH01</x:v>
      </x:c>
      <x:c r="I1713" s="9" t="n">
        <x:v>25.285</x:v>
      </x:c>
      <x:c r="J1713" s="9" t="n">
        <x:v>51.51</x:v>
      </x:c>
      <x:c r="K1713" s="2" t="n">
        <x:v>8</x:v>
      </x:c>
      <x:c r="L1713" s="2" t="str">
        <x:v>Valid</x:v>
      </x:c>
      <x:c r="M1713" s="2" t="str">
        <x:v>QR</x:v>
      </x:c>
      <x:c r="N1713" s="2" t="n">
        <x:v>1</x:v>
      </x:c>
      <x:c r="O1713" s="2" t="str">
        <x:v>Accepted</x:v>
      </x:c>
      <x:c r="P1713" s="2" t="str">
        <x:v>S002</x:v>
      </x:c>
      <x:c r="Q1713" s="2" t="str">
        <x:v>DEV002</x:v>
      </x:c>
      <x:c r="R1713" s="2" t="n">
        <x:v>53</x:v>
      </x:c>
      <x:c r="S1713" s="2" t="str">
        <x:v>Online</x:v>
      </x:c>
      <x:c r="T1713" s="2" t="str">
        <x:v>Synced</x:v>
      </x:c>
    </x:row>
    <x:row r="1714" ht="21" customHeight="1">
      <x:c r="A1714" s="2" t="str">
        <x:v>EV001840</x:v>
      </x:c>
      <x:c r="B1714" s="2" t="str">
        <x:v>T20261007-2-3</x:v>
      </x:c>
      <x:c r="C1714" s="2" t="str">
        <x:v>ST113</x:v>
      </x:c>
      <x:c r="D1714" s="2" t="str">
        <x:v>c3781e168737a6cc1190d4415801c440</x:v>
      </x:c>
      <x:c r="E1714" s="2" t="str">
        <x:v>CHECK_OUT</x:v>
      </x:c>
      <x:c r="F1714" s="8" t="n">
        <x:v>46302.50666666667</x:v>
      </x:c>
      <x:c r="G1714" s="8" t="n">
        <x:v>46302.506689814814</x:v>
      </x:c>
      <x:c r="H1714" s="2" t="str">
        <x:v>SCH01</x:v>
      </x:c>
      <x:c r="I1714" s="9" t="n">
        <x:v>25.285</x:v>
      </x:c>
      <x:c r="J1714" s="9" t="n">
        <x:v>51.51</x:v>
      </x:c>
      <x:c r="K1714" s="2" t="n">
        <x:v>8</x:v>
      </x:c>
      <x:c r="L1714" s="2" t="str">
        <x:v>Valid</x:v>
      </x:c>
      <x:c r="M1714" s="2" t="str">
        <x:v>QR</x:v>
      </x:c>
      <x:c r="N1714" s="2" t="n">
        <x:v>1</x:v>
      </x:c>
      <x:c r="O1714" s="2" t="str">
        <x:v>Accepted</x:v>
      </x:c>
      <x:c r="P1714" s="2" t="str">
        <x:v>S003</x:v>
      </x:c>
      <x:c r="Q1714" s="2" t="str">
        <x:v>DEV003</x:v>
      </x:c>
      <x:c r="R1714" s="2" t="n">
        <x:v>53</x:v>
      </x:c>
      <x:c r="S1714" s="2" t="str">
        <x:v>Online</x:v>
      </x:c>
      <x:c r="T1714" s="2" t="str">
        <x:v>Synced</x:v>
      </x:c>
    </x:row>
    <x:row r="1715" ht="21" customHeight="1">
      <x:c r="A1715" s="2" t="str">
        <x:v>EV001522</x:v>
      </x:c>
      <x:c r="B1715" s="2" t="str">
        <x:v>T20261007-2-1</x:v>
      </x:c>
      <x:c r="C1715" s="2" t="str">
        <x:v>ST034</x:v>
      </x:c>
      <x:c r="D1715" s="2" t="str">
        <x:v>80fbe33bb2df8cab59b55f98f1c8a3d5</x:v>
      </x:c>
      <x:c r="E1715" s="2" t="str">
        <x:v>CHECK_OUT</x:v>
      </x:c>
      <x:c r="F1715" s="8" t="n">
        <x:v>46302.50670138889</x:v>
      </x:c>
      <x:c r="G1715" s="8" t="n">
        <x:v>46302.50672453704</x:v>
      </x:c>
      <x:c r="H1715" s="2" t="str">
        <x:v>SCH01</x:v>
      </x:c>
      <x:c r="I1715" s="9" t="n">
        <x:v>25.285</x:v>
      </x:c>
      <x:c r="J1715" s="9" t="n">
        <x:v>51.51</x:v>
      </x:c>
      <x:c r="K1715" s="2" t="n">
        <x:v>8</x:v>
      </x:c>
      <x:c r="L1715" s="2" t="str">
        <x:v>Valid</x:v>
      </x:c>
      <x:c r="M1715" s="2" t="str">
        <x:v>QR</x:v>
      </x:c>
      <x:c r="N1715" s="2" t="n">
        <x:v>1</x:v>
      </x:c>
      <x:c r="O1715" s="2" t="str">
        <x:v>Accepted</x:v>
      </x:c>
      <x:c r="P1715" s="2" t="str">
        <x:v>S001</x:v>
      </x:c>
      <x:c r="Q1715" s="2" t="str">
        <x:v>DEV001</x:v>
      </x:c>
      <x:c r="R1715" s="2" t="n">
        <x:v>54</x:v>
      </x:c>
      <x:c r="S1715" s="2" t="str">
        <x:v>Online</x:v>
      </x:c>
      <x:c r="T1715" s="2" t="str">
        <x:v>Synced</x:v>
      </x:c>
    </x:row>
    <x:row r="1716" ht="21" customHeight="1">
      <x:c r="A1716" s="2" t="str">
        <x:v>EV001682</x:v>
      </x:c>
      <x:c r="B1716" s="2" t="str">
        <x:v>T20261007-2-2</x:v>
      </x:c>
      <x:c r="C1716" s="2" t="str">
        <x:v>ST074</x:v>
      </x:c>
      <x:c r="D1716" s="2" t="str">
        <x:v>a9bcbd7cecca4f17e235125ddf0adf7b</x:v>
      </x:c>
      <x:c r="E1716" s="2" t="str">
        <x:v>CHECK_OUT</x:v>
      </x:c>
      <x:c r="F1716" s="8" t="n">
        <x:v>46302.50670138889</x:v>
      </x:c>
      <x:c r="G1716" s="8" t="n">
        <x:v>46302.50672453704</x:v>
      </x:c>
      <x:c r="H1716" s="2" t="str">
        <x:v>SCH01</x:v>
      </x:c>
      <x:c r="I1716" s="9" t="n">
        <x:v>25.285</x:v>
      </x:c>
      <x:c r="J1716" s="9" t="n">
        <x:v>51.51</x:v>
      </x:c>
      <x:c r="K1716" s="2" t="n">
        <x:v>8</x:v>
      </x:c>
      <x:c r="L1716" s="2" t="str">
        <x:v>Valid</x:v>
      </x:c>
      <x:c r="M1716" s="2" t="str">
        <x:v>QR</x:v>
      </x:c>
      <x:c r="N1716" s="2" t="n">
        <x:v>1</x:v>
      </x:c>
      <x:c r="O1716" s="2" t="str">
        <x:v>Accepted</x:v>
      </x:c>
      <x:c r="P1716" s="2" t="str">
        <x:v>S002</x:v>
      </x:c>
      <x:c r="Q1716" s="2" t="str">
        <x:v>DEV002</x:v>
      </x:c>
      <x:c r="R1716" s="2" t="n">
        <x:v>54</x:v>
      </x:c>
      <x:c r="S1716" s="2" t="str">
        <x:v>Online</x:v>
      </x:c>
      <x:c r="T1716" s="2" t="str">
        <x:v>Synced</x:v>
      </x:c>
    </x:row>
    <x:row r="1717" ht="21" customHeight="1">
      <x:c r="A1717" s="2" t="str">
        <x:v>EV001842</x:v>
      </x:c>
      <x:c r="B1717" s="2" t="str">
        <x:v>T20261007-2-3</x:v>
      </x:c>
      <x:c r="C1717" s="2" t="str">
        <x:v>ST114</x:v>
      </x:c>
      <x:c r="D1717" s="2" t="str">
        <x:v>a5c77bf3b082c3ab825b65c34f1c9f8c</x:v>
      </x:c>
      <x:c r="E1717" s="2" t="str">
        <x:v>CHECK_OUT</x:v>
      </x:c>
      <x:c r="F1717" s="8" t="n">
        <x:v>46302.50670138889</x:v>
      </x:c>
      <x:c r="G1717" s="8" t="n">
        <x:v>46302.50672453704</x:v>
      </x:c>
      <x:c r="H1717" s="2" t="str">
        <x:v>SCH01</x:v>
      </x:c>
      <x:c r="I1717" s="9" t="n">
        <x:v>25.285</x:v>
      </x:c>
      <x:c r="J1717" s="9" t="n">
        <x:v>51.51</x:v>
      </x:c>
      <x:c r="K1717" s="2" t="n">
        <x:v>8</x:v>
      </x:c>
      <x:c r="L1717" s="2" t="str">
        <x:v>Valid</x:v>
      </x:c>
      <x:c r="M1717" s="2" t="str">
        <x:v>QR</x:v>
      </x:c>
      <x:c r="N1717" s="2" t="n">
        <x:v>1</x:v>
      </x:c>
      <x:c r="O1717" s="2" t="str">
        <x:v>Accepted</x:v>
      </x:c>
      <x:c r="P1717" s="2" t="str">
        <x:v>S003</x:v>
      </x:c>
      <x:c r="Q1717" s="2" t="str">
        <x:v>DEV003</x:v>
      </x:c>
      <x:c r="R1717" s="2" t="n">
        <x:v>54</x:v>
      </x:c>
      <x:c r="S1717" s="2" t="str">
        <x:v>Online</x:v>
      </x:c>
      <x:c r="T1717" s="2" t="str">
        <x:v>Synced</x:v>
      </x:c>
    </x:row>
    <x:row r="1718" ht="21" customHeight="1">
      <x:c r="A1718" s="2" t="str">
        <x:v>EV001524</x:v>
      </x:c>
      <x:c r="B1718" s="2" t="str">
        <x:v>T20261007-2-1</x:v>
      </x:c>
      <x:c r="C1718" s="2" t="str">
        <x:v>ST035</x:v>
      </x:c>
      <x:c r="D1718" s="2" t="str">
        <x:v>45068f3206e9be80993e83e259ea9cdc</x:v>
      </x:c>
      <x:c r="E1718" s="2" t="str">
        <x:v>CHECK_OUT</x:v>
      </x:c>
      <x:c r="F1718" s="8" t="n">
        <x:v>46302.506736111114</x:v>
      </x:c>
      <x:c r="G1718" s="8" t="n">
        <x:v>46302.50675925926</x:v>
      </x:c>
      <x:c r="H1718" s="2" t="str">
        <x:v>SCH01</x:v>
      </x:c>
      <x:c r="I1718" s="9" t="n">
        <x:v>25.285</x:v>
      </x:c>
      <x:c r="J1718" s="9" t="n">
        <x:v>51.51</x:v>
      </x:c>
      <x:c r="K1718" s="2" t="n">
        <x:v>8</x:v>
      </x:c>
      <x:c r="L1718" s="2" t="str">
        <x:v>Valid</x:v>
      </x:c>
      <x:c r="M1718" s="2" t="str">
        <x:v>QR</x:v>
      </x:c>
      <x:c r="N1718" s="2" t="n">
        <x:v>1</x:v>
      </x:c>
      <x:c r="O1718" s="2" t="str">
        <x:v>Accepted</x:v>
      </x:c>
      <x:c r="P1718" s="2" t="str">
        <x:v>S001</x:v>
      </x:c>
      <x:c r="Q1718" s="2" t="str">
        <x:v>DEV001</x:v>
      </x:c>
      <x:c r="R1718" s="2" t="n">
        <x:v>55</x:v>
      </x:c>
      <x:c r="S1718" s="2" t="str">
        <x:v>Online</x:v>
      </x:c>
      <x:c r="T1718" s="2" t="str">
        <x:v>Synced</x:v>
      </x:c>
    </x:row>
    <x:row r="1719" ht="21" customHeight="1">
      <x:c r="A1719" s="2" t="str">
        <x:v>EV001684</x:v>
      </x:c>
      <x:c r="B1719" s="2" t="str">
        <x:v>T20261007-2-2</x:v>
      </x:c>
      <x:c r="C1719" s="2" t="str">
        <x:v>ST075</x:v>
      </x:c>
      <x:c r="D1719" s="2" t="str">
        <x:v>3781d00e457977b726407cb845a294cc</x:v>
      </x:c>
      <x:c r="E1719" s="2" t="str">
        <x:v>CHECK_OUT</x:v>
      </x:c>
      <x:c r="F1719" s="8" t="n">
        <x:v>46302.506736111114</x:v>
      </x:c>
      <x:c r="G1719" s="8" t="n">
        <x:v>46302.50675925926</x:v>
      </x:c>
      <x:c r="H1719" s="2" t="str">
        <x:v>SCH01</x:v>
      </x:c>
      <x:c r="I1719" s="9" t="n">
        <x:v>25.285</x:v>
      </x:c>
      <x:c r="J1719" s="9" t="n">
        <x:v>51.51</x:v>
      </x:c>
      <x:c r="K1719" s="2" t="n">
        <x:v>8</x:v>
      </x:c>
      <x:c r="L1719" s="2" t="str">
        <x:v>Valid</x:v>
      </x:c>
      <x:c r="M1719" s="2" t="str">
        <x:v>QR</x:v>
      </x:c>
      <x:c r="N1719" s="2" t="n">
        <x:v>1</x:v>
      </x:c>
      <x:c r="O1719" s="2" t="str">
        <x:v>Accepted</x:v>
      </x:c>
      <x:c r="P1719" s="2" t="str">
        <x:v>S002</x:v>
      </x:c>
      <x:c r="Q1719" s="2" t="str">
        <x:v>DEV002</x:v>
      </x:c>
      <x:c r="R1719" s="2" t="n">
        <x:v>55</x:v>
      </x:c>
      <x:c r="S1719" s="2" t="str">
        <x:v>Online</x:v>
      </x:c>
      <x:c r="T1719" s="2" t="str">
        <x:v>Synced</x:v>
      </x:c>
    </x:row>
    <x:row r="1720" ht="21" customHeight="1">
      <x:c r="A1720" s="2" t="str">
        <x:v>EV001844</x:v>
      </x:c>
      <x:c r="B1720" s="2" t="str">
        <x:v>T20261007-2-3</x:v>
      </x:c>
      <x:c r="C1720" s="2" t="str">
        <x:v>ST115</x:v>
      </x:c>
      <x:c r="D1720" s="2" t="str">
        <x:v>dc951b9fd5f4acb1dc2ce3ca2f2e08ab</x:v>
      </x:c>
      <x:c r="E1720" s="2" t="str">
        <x:v>CHECK_OUT</x:v>
      </x:c>
      <x:c r="F1720" s="8" t="n">
        <x:v>46302.506736111114</x:v>
      </x:c>
      <x:c r="G1720" s="8" t="n">
        <x:v>46302.50675925926</x:v>
      </x:c>
      <x:c r="H1720" s="2" t="str">
        <x:v>SCH01</x:v>
      </x:c>
      <x:c r="I1720" s="9" t="n">
        <x:v>25.285</x:v>
      </x:c>
      <x:c r="J1720" s="9" t="n">
        <x:v>51.51</x:v>
      </x:c>
      <x:c r="K1720" s="2" t="n">
        <x:v>8</x:v>
      </x:c>
      <x:c r="L1720" s="2" t="str">
        <x:v>Valid</x:v>
      </x:c>
      <x:c r="M1720" s="2" t="str">
        <x:v>QR</x:v>
      </x:c>
      <x:c r="N1720" s="2" t="n">
        <x:v>1</x:v>
      </x:c>
      <x:c r="O1720" s="2" t="str">
        <x:v>Accepted</x:v>
      </x:c>
      <x:c r="P1720" s="2" t="str">
        <x:v>S003</x:v>
      </x:c>
      <x:c r="Q1720" s="2" t="str">
        <x:v>DEV003</x:v>
      </x:c>
      <x:c r="R1720" s="2" t="n">
        <x:v>55</x:v>
      </x:c>
      <x:c r="S1720" s="2" t="str">
        <x:v>Online</x:v>
      </x:c>
      <x:c r="T1720" s="2" t="str">
        <x:v>Synced</x:v>
      </x:c>
    </x:row>
    <x:row r="1721" ht="21" customHeight="1">
      <x:c r="A1721" s="2" t="str">
        <x:v>EV001526</x:v>
      </x:c>
      <x:c r="B1721" s="2" t="str">
        <x:v>T20261007-2-1</x:v>
      </x:c>
      <x:c r="C1721" s="2" t="str">
        <x:v>ST036</x:v>
      </x:c>
      <x:c r="D1721" s="2" t="str">
        <x:v>7e42555e63455121ac9f1b3710bc905c</x:v>
      </x:c>
      <x:c r="E1721" s="2" t="str">
        <x:v>CHECK_OUT</x:v>
      </x:c>
      <x:c r="F1721" s="8" t="n">
        <x:v>46302.50677083334</x:v>
      </x:c>
      <x:c r="G1721" s="8" t="n">
        <x:v>46302.50679398148</x:v>
      </x:c>
      <x:c r="H1721" s="2" t="str">
        <x:v>SCH01</x:v>
      </x:c>
      <x:c r="I1721" s="9" t="n">
        <x:v>25.285</x:v>
      </x:c>
      <x:c r="J1721" s="9" t="n">
        <x:v>51.51</x:v>
      </x:c>
      <x:c r="K1721" s="2" t="n">
        <x:v>8</x:v>
      </x:c>
      <x:c r="L1721" s="2" t="str">
        <x:v>Valid</x:v>
      </x:c>
      <x:c r="M1721" s="2" t="str">
        <x:v>QR</x:v>
      </x:c>
      <x:c r="N1721" s="2" t="n">
        <x:v>1</x:v>
      </x:c>
      <x:c r="O1721" s="2" t="str">
        <x:v>Accepted</x:v>
      </x:c>
      <x:c r="P1721" s="2" t="str">
        <x:v>S001</x:v>
      </x:c>
      <x:c r="Q1721" s="2" t="str">
        <x:v>DEV001</x:v>
      </x:c>
      <x:c r="R1721" s="2" t="n">
        <x:v>56</x:v>
      </x:c>
      <x:c r="S1721" s="2" t="str">
        <x:v>Online</x:v>
      </x:c>
      <x:c r="T1721" s="2" t="str">
        <x:v>Synced</x:v>
      </x:c>
    </x:row>
    <x:row r="1722" ht="21" customHeight="1">
      <x:c r="A1722" s="2" t="str">
        <x:v>EV001686</x:v>
      </x:c>
      <x:c r="B1722" s="2" t="str">
        <x:v>T20261007-2-2</x:v>
      </x:c>
      <x:c r="C1722" s="2" t="str">
        <x:v>ST076</x:v>
      </x:c>
      <x:c r="D1722" s="2" t="str">
        <x:v>08979b9eef223b076885fe932d9f2bca</x:v>
      </x:c>
      <x:c r="E1722" s="2" t="str">
        <x:v>CHECK_OUT</x:v>
      </x:c>
      <x:c r="F1722" s="8" t="n">
        <x:v>46302.50677083334</x:v>
      </x:c>
      <x:c r="G1722" s="8" t="n">
        <x:v>46302.50679398148</x:v>
      </x:c>
      <x:c r="H1722" s="2" t="str">
        <x:v>SCH01</x:v>
      </x:c>
      <x:c r="I1722" s="9" t="n">
        <x:v>25.285</x:v>
      </x:c>
      <x:c r="J1722" s="9" t="n">
        <x:v>51.51</x:v>
      </x:c>
      <x:c r="K1722" s="2" t="n">
        <x:v>8</x:v>
      </x:c>
      <x:c r="L1722" s="2" t="str">
        <x:v>Valid</x:v>
      </x:c>
      <x:c r="M1722" s="2" t="str">
        <x:v>QR</x:v>
      </x:c>
      <x:c r="N1722" s="2" t="n">
        <x:v>1</x:v>
      </x:c>
      <x:c r="O1722" s="2" t="str">
        <x:v>Accepted</x:v>
      </x:c>
      <x:c r="P1722" s="2" t="str">
        <x:v>S002</x:v>
      </x:c>
      <x:c r="Q1722" s="2" t="str">
        <x:v>DEV002</x:v>
      </x:c>
      <x:c r="R1722" s="2" t="n">
        <x:v>56</x:v>
      </x:c>
      <x:c r="S1722" s="2" t="str">
        <x:v>Online</x:v>
      </x:c>
      <x:c r="T1722" s="2" t="str">
        <x:v>Synced</x:v>
      </x:c>
    </x:row>
    <x:row r="1723" ht="21" customHeight="1">
      <x:c r="A1723" s="2" t="str">
        <x:v>EV001846</x:v>
      </x:c>
      <x:c r="B1723" s="2" t="str">
        <x:v>T20261007-2-3</x:v>
      </x:c>
      <x:c r="C1723" s="2" t="str">
        <x:v>ST116</x:v>
      </x:c>
      <x:c r="D1723" s="2" t="str">
        <x:v>1c1fddc89afc564845795907cf1b7b0e</x:v>
      </x:c>
      <x:c r="E1723" s="2" t="str">
        <x:v>CHECK_OUT</x:v>
      </x:c>
      <x:c r="F1723" s="8" t="n">
        <x:v>46302.50677083334</x:v>
      </x:c>
      <x:c r="G1723" s="8" t="n">
        <x:v>46302.50679398148</x:v>
      </x:c>
      <x:c r="H1723" s="2" t="str">
        <x:v>SCH01</x:v>
      </x:c>
      <x:c r="I1723" s="9" t="n">
        <x:v>25.285</x:v>
      </x:c>
      <x:c r="J1723" s="9" t="n">
        <x:v>51.51</x:v>
      </x:c>
      <x:c r="K1723" s="2" t="n">
        <x:v>8</x:v>
      </x:c>
      <x:c r="L1723" s="2" t="str">
        <x:v>Valid</x:v>
      </x:c>
      <x:c r="M1723" s="2" t="str">
        <x:v>QR</x:v>
      </x:c>
      <x:c r="N1723" s="2" t="n">
        <x:v>1</x:v>
      </x:c>
      <x:c r="O1723" s="2" t="str">
        <x:v>Accepted</x:v>
      </x:c>
      <x:c r="P1723" s="2" t="str">
        <x:v>S003</x:v>
      </x:c>
      <x:c r="Q1723" s="2" t="str">
        <x:v>DEV003</x:v>
      </x:c>
      <x:c r="R1723" s="2" t="n">
        <x:v>56</x:v>
      </x:c>
      <x:c r="S1723" s="2" t="str">
        <x:v>Online</x:v>
      </x:c>
      <x:c r="T1723" s="2" t="str">
        <x:v>Synced</x:v>
      </x:c>
    </x:row>
    <x:row r="1724" ht="21" customHeight="1">
      <x:c r="A1724" s="2" t="str">
        <x:v>EV001528</x:v>
      </x:c>
      <x:c r="B1724" s="2" t="str">
        <x:v>T20261007-2-1</x:v>
      </x:c>
      <x:c r="C1724" s="2" t="str">
        <x:v>ST037</x:v>
      </x:c>
      <x:c r="D1724" s="2" t="str">
        <x:v>eb6cdfa5572c8f6959c8b9c84b8ec493</x:v>
      </x:c>
      <x:c r="E1724" s="2" t="str">
        <x:v>CHECK_OUT</x:v>
      </x:c>
      <x:c r="F1724" s="8" t="n">
        <x:v>46302.50680555556</x:v>
      </x:c>
      <x:c r="G1724" s="8" t="n">
        <x:v>46302.50682870371</x:v>
      </x:c>
      <x:c r="H1724" s="2" t="str">
        <x:v>SCH01</x:v>
      </x:c>
      <x:c r="I1724" s="9" t="n">
        <x:v>25.285</x:v>
      </x:c>
      <x:c r="J1724" s="9" t="n">
        <x:v>51.51</x:v>
      </x:c>
      <x:c r="K1724" s="2" t="n">
        <x:v>8</x:v>
      </x:c>
      <x:c r="L1724" s="2" t="str">
        <x:v>Valid</x:v>
      </x:c>
      <x:c r="M1724" s="2" t="str">
        <x:v>QR</x:v>
      </x:c>
      <x:c r="N1724" s="2" t="n">
        <x:v>1</x:v>
      </x:c>
      <x:c r="O1724" s="2" t="str">
        <x:v>Accepted</x:v>
      </x:c>
      <x:c r="P1724" s="2" t="str">
        <x:v>S001</x:v>
      </x:c>
      <x:c r="Q1724" s="2" t="str">
        <x:v>DEV001</x:v>
      </x:c>
      <x:c r="R1724" s="2" t="n">
        <x:v>57</x:v>
      </x:c>
      <x:c r="S1724" s="2" t="str">
        <x:v>Online</x:v>
      </x:c>
      <x:c r="T1724" s="2" t="str">
        <x:v>Synced</x:v>
      </x:c>
    </x:row>
    <x:row r="1725" ht="21" customHeight="1">
      <x:c r="A1725" s="2" t="str">
        <x:v>EV001688</x:v>
      </x:c>
      <x:c r="B1725" s="2" t="str">
        <x:v>T20261007-2-2</x:v>
      </x:c>
      <x:c r="C1725" s="2" t="str">
        <x:v>ST077</x:v>
      </x:c>
      <x:c r="D1725" s="2" t="str">
        <x:v>af7b8314f6c372daf48e6b95332f6a0f</x:v>
      </x:c>
      <x:c r="E1725" s="2" t="str">
        <x:v>CHECK_OUT</x:v>
      </x:c>
      <x:c r="F1725" s="8" t="n">
        <x:v>46302.50680555556</x:v>
      </x:c>
      <x:c r="G1725" s="8" t="n">
        <x:v>46302.50682870371</x:v>
      </x:c>
      <x:c r="H1725" s="2" t="str">
        <x:v>SCH01</x:v>
      </x:c>
      <x:c r="I1725" s="9" t="n">
        <x:v>25.285</x:v>
      </x:c>
      <x:c r="J1725" s="9" t="n">
        <x:v>51.51</x:v>
      </x:c>
      <x:c r="K1725" s="2" t="n">
        <x:v>8</x:v>
      </x:c>
      <x:c r="L1725" s="2" t="str">
        <x:v>Valid</x:v>
      </x:c>
      <x:c r="M1725" s="2" t="str">
        <x:v>QR</x:v>
      </x:c>
      <x:c r="N1725" s="2" t="n">
        <x:v>1</x:v>
      </x:c>
      <x:c r="O1725" s="2" t="str">
        <x:v>Accepted</x:v>
      </x:c>
      <x:c r="P1725" s="2" t="str">
        <x:v>S002</x:v>
      </x:c>
      <x:c r="Q1725" s="2" t="str">
        <x:v>DEV002</x:v>
      </x:c>
      <x:c r="R1725" s="2" t="n">
        <x:v>57</x:v>
      </x:c>
      <x:c r="S1725" s="2" t="str">
        <x:v>Online</x:v>
      </x:c>
      <x:c r="T1725" s="2" t="str">
        <x:v>Synced</x:v>
      </x:c>
    </x:row>
    <x:row r="1726" ht="21" customHeight="1">
      <x:c r="A1726" s="2" t="str">
        <x:v>EV001848</x:v>
      </x:c>
      <x:c r="B1726" s="2" t="str">
        <x:v>T20261007-2-3</x:v>
      </x:c>
      <x:c r="C1726" s="2" t="str">
        <x:v>ST117</x:v>
      </x:c>
      <x:c r="D1726" s="2" t="str">
        <x:v>195a54aea4adbe89371209e73878e4fe</x:v>
      </x:c>
      <x:c r="E1726" s="2" t="str">
        <x:v>CHECK_OUT</x:v>
      </x:c>
      <x:c r="F1726" s="8" t="n">
        <x:v>46302.50680555556</x:v>
      </x:c>
      <x:c r="G1726" s="8" t="n">
        <x:v>46302.50682870371</x:v>
      </x:c>
      <x:c r="H1726" s="2" t="str">
        <x:v>SCH01</x:v>
      </x:c>
      <x:c r="I1726" s="9" t="n">
        <x:v>25.285</x:v>
      </x:c>
      <x:c r="J1726" s="9" t="n">
        <x:v>51.51</x:v>
      </x:c>
      <x:c r="K1726" s="2" t="n">
        <x:v>8</x:v>
      </x:c>
      <x:c r="L1726" s="2" t="str">
        <x:v>Valid</x:v>
      </x:c>
      <x:c r="M1726" s="2" t="str">
        <x:v>QR</x:v>
      </x:c>
      <x:c r="N1726" s="2" t="n">
        <x:v>1</x:v>
      </x:c>
      <x:c r="O1726" s="2" t="str">
        <x:v>Accepted</x:v>
      </x:c>
      <x:c r="P1726" s="2" t="str">
        <x:v>S003</x:v>
      </x:c>
      <x:c r="Q1726" s="2" t="str">
        <x:v>DEV003</x:v>
      </x:c>
      <x:c r="R1726" s="2" t="n">
        <x:v>57</x:v>
      </x:c>
      <x:c r="S1726" s="2" t="str">
        <x:v>Online</x:v>
      </x:c>
      <x:c r="T1726" s="2" t="str">
        <x:v>Synced</x:v>
      </x:c>
    </x:row>
    <x:row r="1727" ht="21" customHeight="1">
      <x:c r="A1727" s="2" t="str">
        <x:v>EV001530</x:v>
      </x:c>
      <x:c r="B1727" s="2" t="str">
        <x:v>T20261007-2-1</x:v>
      </x:c>
      <x:c r="C1727" s="2" t="str">
        <x:v>ST038</x:v>
      </x:c>
      <x:c r="D1727" s="2" t="str">
        <x:v>1ebedd777293ba897970ae7fc06b6301</x:v>
      </x:c>
      <x:c r="E1727" s="2" t="str">
        <x:v>CHECK_OUT</x:v>
      </x:c>
      <x:c r="F1727" s="8" t="n">
        <x:v>46302.50684027778</x:v>
      </x:c>
      <x:c r="G1727" s="8" t="n">
        <x:v>46302.50686342593</x:v>
      </x:c>
      <x:c r="H1727" s="2" t="str">
        <x:v>SCH01</x:v>
      </x:c>
      <x:c r="I1727" s="9" t="n">
        <x:v>25.285</x:v>
      </x:c>
      <x:c r="J1727" s="9" t="n">
        <x:v>51.51</x:v>
      </x:c>
      <x:c r="K1727" s="2" t="n">
        <x:v>8</x:v>
      </x:c>
      <x:c r="L1727" s="2" t="str">
        <x:v>Valid</x:v>
      </x:c>
      <x:c r="M1727" s="2" t="str">
        <x:v>QR</x:v>
      </x:c>
      <x:c r="N1727" s="2" t="n">
        <x:v>1</x:v>
      </x:c>
      <x:c r="O1727" s="2" t="str">
        <x:v>Accepted</x:v>
      </x:c>
      <x:c r="P1727" s="2" t="str">
        <x:v>S001</x:v>
      </x:c>
      <x:c r="Q1727" s="2" t="str">
        <x:v>DEV001</x:v>
      </x:c>
      <x:c r="R1727" s="2" t="n">
        <x:v>58</x:v>
      </x:c>
      <x:c r="S1727" s="2" t="str">
        <x:v>Online</x:v>
      </x:c>
      <x:c r="T1727" s="2" t="str">
        <x:v>Synced</x:v>
      </x:c>
    </x:row>
    <x:row r="1728" ht="21" customHeight="1">
      <x:c r="A1728" s="2" t="str">
        <x:v>EV001690</x:v>
      </x:c>
      <x:c r="B1728" s="2" t="str">
        <x:v>T20261007-2-2</x:v>
      </x:c>
      <x:c r="C1728" s="2" t="str">
        <x:v>ST078</x:v>
      </x:c>
      <x:c r="D1728" s="2" t="str">
        <x:v>737ab4e672bf11e638a47ae295f7e187</x:v>
      </x:c>
      <x:c r="E1728" s="2" t="str">
        <x:v>CHECK_OUT</x:v>
      </x:c>
      <x:c r="F1728" s="8" t="n">
        <x:v>46302.50684027778</x:v>
      </x:c>
      <x:c r="G1728" s="8" t="n">
        <x:v>46302.50686342593</x:v>
      </x:c>
      <x:c r="H1728" s="2" t="str">
        <x:v>SCH01</x:v>
      </x:c>
      <x:c r="I1728" s="9" t="n">
        <x:v>25.285</x:v>
      </x:c>
      <x:c r="J1728" s="9" t="n">
        <x:v>51.51</x:v>
      </x:c>
      <x:c r="K1728" s="2" t="n">
        <x:v>8</x:v>
      </x:c>
      <x:c r="L1728" s="2" t="str">
        <x:v>Valid</x:v>
      </x:c>
      <x:c r="M1728" s="2" t="str">
        <x:v>QR</x:v>
      </x:c>
      <x:c r="N1728" s="2" t="n">
        <x:v>1</x:v>
      </x:c>
      <x:c r="O1728" s="2" t="str">
        <x:v>Accepted</x:v>
      </x:c>
      <x:c r="P1728" s="2" t="str">
        <x:v>S002</x:v>
      </x:c>
      <x:c r="Q1728" s="2" t="str">
        <x:v>DEV002</x:v>
      </x:c>
      <x:c r="R1728" s="2" t="n">
        <x:v>58</x:v>
      </x:c>
      <x:c r="S1728" s="2" t="str">
        <x:v>Online</x:v>
      </x:c>
      <x:c r="T1728" s="2" t="str">
        <x:v>Synced</x:v>
      </x:c>
    </x:row>
    <x:row r="1729" ht="21" customHeight="1">
      <x:c r="A1729" s="2" t="str">
        <x:v>EV001850</x:v>
      </x:c>
      <x:c r="B1729" s="2" t="str">
        <x:v>T20261007-2-3</x:v>
      </x:c>
      <x:c r="C1729" s="2" t="str">
        <x:v>ST118</x:v>
      </x:c>
      <x:c r="D1729" s="2" t="str">
        <x:v>b15012a6111b47a10bdbbcbbd00c9f60</x:v>
      </x:c>
      <x:c r="E1729" s="2" t="str">
        <x:v>CHECK_OUT</x:v>
      </x:c>
      <x:c r="F1729" s="8" t="n">
        <x:v>46302.50684027778</x:v>
      </x:c>
      <x:c r="G1729" s="8" t="n">
        <x:v>46302.50686342593</x:v>
      </x:c>
      <x:c r="H1729" s="2" t="str">
        <x:v>SCH01</x:v>
      </x:c>
      <x:c r="I1729" s="9" t="n">
        <x:v>25.285</x:v>
      </x:c>
      <x:c r="J1729" s="9" t="n">
        <x:v>51.51</x:v>
      </x:c>
      <x:c r="K1729" s="2" t="n">
        <x:v>8</x:v>
      </x:c>
      <x:c r="L1729" s="2" t="str">
        <x:v>Valid</x:v>
      </x:c>
      <x:c r="M1729" s="2" t="str">
        <x:v>QR</x:v>
      </x:c>
      <x:c r="N1729" s="2" t="n">
        <x:v>1</x:v>
      </x:c>
      <x:c r="O1729" s="2" t="str">
        <x:v>Accepted</x:v>
      </x:c>
      <x:c r="P1729" s="2" t="str">
        <x:v>S003</x:v>
      </x:c>
      <x:c r="Q1729" s="2" t="str">
        <x:v>DEV003</x:v>
      </x:c>
      <x:c r="R1729" s="2" t="n">
        <x:v>58</x:v>
      </x:c>
      <x:c r="S1729" s="2" t="str">
        <x:v>Online</x:v>
      </x:c>
      <x:c r="T1729" s="2" t="str">
        <x:v>Synced</x:v>
      </x:c>
    </x:row>
    <x:row r="1730" ht="21" customHeight="1">
      <x:c r="A1730" s="2" t="str">
        <x:v>EV001532</x:v>
      </x:c>
      <x:c r="B1730" s="2" t="str">
        <x:v>T20261007-2-1</x:v>
      </x:c>
      <x:c r="C1730" s="2" t="str">
        <x:v>ST039</x:v>
      </x:c>
      <x:c r="D1730" s="2" t="str">
        <x:v>31ed548c9c06f555ac72ac2281bbb58a</x:v>
      </x:c>
      <x:c r="E1730" s="2" t="str">
        <x:v>CHECK_OUT</x:v>
      </x:c>
      <x:c r="F1730" s="8" t="n">
        <x:v>46302.50687500001</x:v>
      </x:c>
      <x:c r="G1730" s="8" t="n">
        <x:v>46302.50689814815</x:v>
      </x:c>
      <x:c r="H1730" s="2" t="str">
        <x:v>SCH01</x:v>
      </x:c>
      <x:c r="I1730" s="9" t="n">
        <x:v>25.285</x:v>
      </x:c>
      <x:c r="J1730" s="9" t="n">
        <x:v>51.51</x:v>
      </x:c>
      <x:c r="K1730" s="2" t="n">
        <x:v>8</x:v>
      </x:c>
      <x:c r="L1730" s="2" t="str">
        <x:v>Valid</x:v>
      </x:c>
      <x:c r="M1730" s="2" t="str">
        <x:v>QR</x:v>
      </x:c>
      <x:c r="N1730" s="2" t="n">
        <x:v>1</x:v>
      </x:c>
      <x:c r="O1730" s="2" t="str">
        <x:v>Accepted</x:v>
      </x:c>
      <x:c r="P1730" s="2" t="str">
        <x:v>S001</x:v>
      </x:c>
      <x:c r="Q1730" s="2" t="str">
        <x:v>DEV001</x:v>
      </x:c>
      <x:c r="R1730" s="2" t="n">
        <x:v>59</x:v>
      </x:c>
      <x:c r="S1730" s="2" t="str">
        <x:v>Online</x:v>
      </x:c>
      <x:c r="T1730" s="2" t="str">
        <x:v>Synced</x:v>
      </x:c>
    </x:row>
    <x:row r="1731" ht="21" customHeight="1">
      <x:c r="A1731" s="2" t="str">
        <x:v>EV001692</x:v>
      </x:c>
      <x:c r="B1731" s="2" t="str">
        <x:v>T20261007-2-2</x:v>
      </x:c>
      <x:c r="C1731" s="2" t="str">
        <x:v>ST079</x:v>
      </x:c>
      <x:c r="D1731" s="2" t="str">
        <x:v>3a794a47ff11773398f2344554eeea57</x:v>
      </x:c>
      <x:c r="E1731" s="2" t="str">
        <x:v>CHECK_OUT</x:v>
      </x:c>
      <x:c r="F1731" s="8" t="n">
        <x:v>46302.50687500001</x:v>
      </x:c>
      <x:c r="G1731" s="8" t="n">
        <x:v>46302.50689814815</x:v>
      </x:c>
      <x:c r="H1731" s="2" t="str">
        <x:v>SCH01</x:v>
      </x:c>
      <x:c r="I1731" s="9" t="n">
        <x:v>25.285</x:v>
      </x:c>
      <x:c r="J1731" s="9" t="n">
        <x:v>51.51</x:v>
      </x:c>
      <x:c r="K1731" s="2" t="n">
        <x:v>8</x:v>
      </x:c>
      <x:c r="L1731" s="2" t="str">
        <x:v>Valid</x:v>
      </x:c>
      <x:c r="M1731" s="2" t="str">
        <x:v>QR</x:v>
      </x:c>
      <x:c r="N1731" s="2" t="n">
        <x:v>1</x:v>
      </x:c>
      <x:c r="O1731" s="2" t="str">
        <x:v>Accepted</x:v>
      </x:c>
      <x:c r="P1731" s="2" t="str">
        <x:v>S002</x:v>
      </x:c>
      <x:c r="Q1731" s="2" t="str">
        <x:v>DEV002</x:v>
      </x:c>
      <x:c r="R1731" s="2" t="n">
        <x:v>59</x:v>
      </x:c>
      <x:c r="S1731" s="2" t="str">
        <x:v>Online</x:v>
      </x:c>
      <x:c r="T1731" s="2" t="str">
        <x:v>Synced</x:v>
      </x:c>
    </x:row>
    <x:row r="1732" ht="21" customHeight="1">
      <x:c r="A1732" s="2" t="str">
        <x:v>EV001852</x:v>
      </x:c>
      <x:c r="B1732" s="2" t="str">
        <x:v>T20261007-2-3</x:v>
      </x:c>
      <x:c r="C1732" s="2" t="str">
        <x:v>ST119</x:v>
      </x:c>
      <x:c r="D1732" s="2" t="str">
        <x:v>c01a05a48293e3b7c907c4b326c0d0a8</x:v>
      </x:c>
      <x:c r="E1732" s="2" t="str">
        <x:v>CHECK_OUT</x:v>
      </x:c>
      <x:c r="F1732" s="8" t="n">
        <x:v>46302.50687500001</x:v>
      </x:c>
      <x:c r="G1732" s="8" t="n">
        <x:v>46302.50689814815</x:v>
      </x:c>
      <x:c r="H1732" s="2" t="str">
        <x:v>SCH01</x:v>
      </x:c>
      <x:c r="I1732" s="9" t="n">
        <x:v>25.285</x:v>
      </x:c>
      <x:c r="J1732" s="9" t="n">
        <x:v>51.51</x:v>
      </x:c>
      <x:c r="K1732" s="2" t="n">
        <x:v>8</x:v>
      </x:c>
      <x:c r="L1732" s="2" t="str">
        <x:v>Valid</x:v>
      </x:c>
      <x:c r="M1732" s="2" t="str">
        <x:v>QR</x:v>
      </x:c>
      <x:c r="N1732" s="2" t="n">
        <x:v>1</x:v>
      </x:c>
      <x:c r="O1732" s="2" t="str">
        <x:v>Accepted</x:v>
      </x:c>
      <x:c r="P1732" s="2" t="str">
        <x:v>S003</x:v>
      </x:c>
      <x:c r="Q1732" s="2" t="str">
        <x:v>DEV003</x:v>
      </x:c>
      <x:c r="R1732" s="2" t="n">
        <x:v>59</x:v>
      </x:c>
      <x:c r="S1732" s="2" t="str">
        <x:v>Online</x:v>
      </x:c>
      <x:c r="T1732" s="2" t="str">
        <x:v>Synced</x:v>
      </x:c>
    </x:row>
    <x:row r="1733" ht="21" customHeight="1">
      <x:c r="A1733" s="2" t="str">
        <x:v>EV001534</x:v>
      </x:c>
      <x:c r="B1733" s="2" t="str">
        <x:v>T20261007-2-1</x:v>
      </x:c>
      <x:c r="C1733" s="2" t="str">
        <x:v>ST040</x:v>
      </x:c>
      <x:c r="D1733" s="2" t="str">
        <x:v>4cd5e507bb3c8af27cd11d16138dcec0</x:v>
      </x:c>
      <x:c r="E1733" s="2" t="str">
        <x:v>CHECK_OUT</x:v>
      </x:c>
      <x:c r="F1733" s="8" t="n">
        <x:v>46302.50690972222</x:v>
      </x:c>
      <x:c r="G1733" s="8" t="n">
        <x:v>46302.50693287037</x:v>
      </x:c>
      <x:c r="H1733" s="2" t="str">
        <x:v>SCH01</x:v>
      </x:c>
      <x:c r="I1733" s="9" t="n">
        <x:v>25.285</x:v>
      </x:c>
      <x:c r="J1733" s="9" t="n">
        <x:v>51.51</x:v>
      </x:c>
      <x:c r="K1733" s="2" t="n">
        <x:v>8</x:v>
      </x:c>
      <x:c r="L1733" s="2" t="str">
        <x:v>Valid</x:v>
      </x:c>
      <x:c r="M1733" s="2" t="str">
        <x:v>QR</x:v>
      </x:c>
      <x:c r="N1733" s="2" t="n">
        <x:v>1</x:v>
      </x:c>
      <x:c r="O1733" s="2" t="str">
        <x:v>Accepted</x:v>
      </x:c>
      <x:c r="P1733" s="2" t="str">
        <x:v>S001</x:v>
      </x:c>
      <x:c r="Q1733" s="2" t="str">
        <x:v>DEV001</x:v>
      </x:c>
      <x:c r="R1733" s="2" t="n">
        <x:v>60</x:v>
      </x:c>
      <x:c r="S1733" s="2" t="str">
        <x:v>Online</x:v>
      </x:c>
      <x:c r="T1733" s="2" t="str">
        <x:v>Synced</x:v>
      </x:c>
    </x:row>
    <x:row r="1734" ht="21" customHeight="1">
      <x:c r="A1734" s="2" t="str">
        <x:v>EV001694</x:v>
      </x:c>
      <x:c r="B1734" s="2" t="str">
        <x:v>T20261007-2-2</x:v>
      </x:c>
      <x:c r="C1734" s="2" t="str">
        <x:v>ST080</x:v>
      </x:c>
      <x:c r="D1734" s="2" t="str">
        <x:v>0abaf17d1472c0347862177fd9880be2</x:v>
      </x:c>
      <x:c r="E1734" s="2" t="str">
        <x:v>CHECK_OUT</x:v>
      </x:c>
      <x:c r="F1734" s="8" t="n">
        <x:v>46302.50690972222</x:v>
      </x:c>
      <x:c r="G1734" s="8" t="n">
        <x:v>46302.50693287037</x:v>
      </x:c>
      <x:c r="H1734" s="2" t="str">
        <x:v>SCH01</x:v>
      </x:c>
      <x:c r="I1734" s="9" t="n">
        <x:v>25.285</x:v>
      </x:c>
      <x:c r="J1734" s="9" t="n">
        <x:v>51.51</x:v>
      </x:c>
      <x:c r="K1734" s="2" t="n">
        <x:v>8</x:v>
      </x:c>
      <x:c r="L1734" s="2" t="str">
        <x:v>Valid</x:v>
      </x:c>
      <x:c r="M1734" s="2" t="str">
        <x:v>QR</x:v>
      </x:c>
      <x:c r="N1734" s="2" t="n">
        <x:v>1</x:v>
      </x:c>
      <x:c r="O1734" s="2" t="str">
        <x:v>Accepted</x:v>
      </x:c>
      <x:c r="P1734" s="2" t="str">
        <x:v>S002</x:v>
      </x:c>
      <x:c r="Q1734" s="2" t="str">
        <x:v>DEV002</x:v>
      </x:c>
      <x:c r="R1734" s="2" t="n">
        <x:v>60</x:v>
      </x:c>
      <x:c r="S1734" s="2" t="str">
        <x:v>Online</x:v>
      </x:c>
      <x:c r="T1734" s="2" t="str">
        <x:v>Synced</x:v>
      </x:c>
    </x:row>
    <x:row r="1735" ht="21" customHeight="1">
      <x:c r="A1735" s="2" t="str">
        <x:v>EV001854</x:v>
      </x:c>
      <x:c r="B1735" s="2" t="str">
        <x:v>T20261007-2-3</x:v>
      </x:c>
      <x:c r="C1735" s="2" t="str">
        <x:v>ST120</x:v>
      </x:c>
      <x:c r="D1735" s="2" t="str">
        <x:v>c3749f3342e76b516e5c145f91308219</x:v>
      </x:c>
      <x:c r="E1735" s="2" t="str">
        <x:v>CHECK_OUT</x:v>
      </x:c>
      <x:c r="F1735" s="8" t="n">
        <x:v>46302.50690972222</x:v>
      </x:c>
      <x:c r="G1735" s="8" t="n">
        <x:v>46302.50693287037</x:v>
      </x:c>
      <x:c r="H1735" s="2" t="str">
        <x:v>SCH01</x:v>
      </x:c>
      <x:c r="I1735" s="9" t="n">
        <x:v>25.285</x:v>
      </x:c>
      <x:c r="J1735" s="9" t="n">
        <x:v>51.51</x:v>
      </x:c>
      <x:c r="K1735" s="2" t="n">
        <x:v>8</x:v>
      </x:c>
      <x:c r="L1735" s="2" t="str">
        <x:v>Valid</x:v>
      </x:c>
      <x:c r="M1735" s="2" t="str">
        <x:v>QR</x:v>
      </x:c>
      <x:c r="N1735" s="2" t="n">
        <x:v>1</x:v>
      </x:c>
      <x:c r="O1735" s="2" t="str">
        <x:v>Accepted</x:v>
      </x:c>
      <x:c r="P1735" s="2" t="str">
        <x:v>S003</x:v>
      </x:c>
      <x:c r="Q1735" s="2" t="str">
        <x:v>DEV003</x:v>
      </x:c>
      <x:c r="R1735" s="2" t="n">
        <x:v>60</x:v>
      </x:c>
      <x:c r="S1735" s="2" t="str">
        <x:v>Online</x:v>
      </x:c>
      <x:c r="T1735" s="2" t="str">
        <x:v>Synced</x:v>
      </x:c>
    </x:row>
    <x:row r="1736" ht="21" customHeight="1">
      <x:c r="A1736" s="2" t="str">
        <x:v>EV001535</x:v>
      </x:c>
      <x:c r="B1736" s="2" t="str">
        <x:v>T20261007-3-1</x:v>
      </x:c>
      <x:c r="C1736" s="2" t="str">
        <x:v>ST011</x:v>
      </x:c>
      <x:c r="D1736" s="2" t="str">
        <x:v>38c917effc7ec45ac750455eb7892f3e</x:v>
      </x:c>
      <x:c r="E1736" s="2" t="str">
        <x:v>CHECK_IN</x:v>
      </x:c>
      <x:c r="F1736" s="8" t="n">
        <x:v>46302.57291666667</x:v>
      </x:c>
      <x:c r="G1736" s="8" t="n">
        <x:v>46302.57293981482</x:v>
      </x:c>
      <x:c r="H1736" s="2" t="str">
        <x:v>SCH01</x:v>
      </x:c>
      <x:c r="I1736" s="9" t="n">
        <x:v>25.285</x:v>
      </x:c>
      <x:c r="J1736" s="9" t="n">
        <x:v>51.51</x:v>
      </x:c>
      <x:c r="K1736" s="2" t="n">
        <x:v>8</x:v>
      </x:c>
      <x:c r="L1736" s="2" t="str">
        <x:v>Valid</x:v>
      </x:c>
      <x:c r="M1736" s="2" t="str">
        <x:v>QR</x:v>
      </x:c>
      <x:c r="N1736" s="2" t="n">
        <x:v>1</x:v>
      </x:c>
      <x:c r="O1736" s="2" t="str">
        <x:v>Accepted</x:v>
      </x:c>
      <x:c r="P1736" s="2" t="str">
        <x:v>S001</x:v>
      </x:c>
      <x:c r="Q1736" s="2" t="str">
        <x:v>DEV001</x:v>
      </x:c>
      <x:c r="R1736" s="2" t="n">
        <x:v>1</x:v>
      </x:c>
      <x:c r="S1736" s="2" t="str">
        <x:v>Online</x:v>
      </x:c>
      <x:c r="T1736" s="2" t="str">
        <x:v>Synced</x:v>
      </x:c>
    </x:row>
    <x:row r="1737" ht="21" customHeight="1">
      <x:c r="A1737" s="2" t="str">
        <x:v>EV001695</x:v>
      </x:c>
      <x:c r="B1737" s="2" t="str">
        <x:v>T20261007-3-2</x:v>
      </x:c>
      <x:c r="C1737" s="2" t="str">
        <x:v>ST051</x:v>
      </x:c>
      <x:c r="D1737" s="2" t="str">
        <x:v>410a66d29aea7be5806f7d6945266303</x:v>
      </x:c>
      <x:c r="E1737" s="2" t="str">
        <x:v>CHECK_IN</x:v>
      </x:c>
      <x:c r="F1737" s="8" t="n">
        <x:v>46302.57291666667</x:v>
      </x:c>
      <x:c r="G1737" s="8" t="n">
        <x:v>46302.57293981482</x:v>
      </x:c>
      <x:c r="H1737" s="2" t="str">
        <x:v>SCH01</x:v>
      </x:c>
      <x:c r="I1737" s="9" t="n">
        <x:v>25.285</x:v>
      </x:c>
      <x:c r="J1737" s="9" t="n">
        <x:v>51.51</x:v>
      </x:c>
      <x:c r="K1737" s="2" t="n">
        <x:v>8</x:v>
      </x:c>
      <x:c r="L1737" s="2" t="str">
        <x:v>Valid</x:v>
      </x:c>
      <x:c r="M1737" s="2" t="str">
        <x:v>QR</x:v>
      </x:c>
      <x:c r="N1737" s="2" t="n">
        <x:v>1</x:v>
      </x:c>
      <x:c r="O1737" s="2" t="str">
        <x:v>Accepted</x:v>
      </x:c>
      <x:c r="P1737" s="2" t="str">
        <x:v>S002</x:v>
      </x:c>
      <x:c r="Q1737" s="2" t="str">
        <x:v>DEV002</x:v>
      </x:c>
      <x:c r="R1737" s="2" t="n">
        <x:v>1</x:v>
      </x:c>
      <x:c r="S1737" s="2" t="str">
        <x:v>Online</x:v>
      </x:c>
      <x:c r="T1737" s="2" t="str">
        <x:v>Synced</x:v>
      </x:c>
    </x:row>
    <x:row r="1738" ht="21" customHeight="1">
      <x:c r="A1738" s="2" t="str">
        <x:v>EV001855</x:v>
      </x:c>
      <x:c r="B1738" s="2" t="str">
        <x:v>T20261007-3-3</x:v>
      </x:c>
      <x:c r="C1738" s="2" t="str">
        <x:v>ST091</x:v>
      </x:c>
      <x:c r="D1738" s="2" t="str">
        <x:v>2d74afc7329a1eb53bd16a92fc366891</x:v>
      </x:c>
      <x:c r="E1738" s="2" t="str">
        <x:v>CHECK_IN</x:v>
      </x:c>
      <x:c r="F1738" s="8" t="n">
        <x:v>46302.57291666667</x:v>
      </x:c>
      <x:c r="G1738" s="8" t="n">
        <x:v>46302.57293981482</x:v>
      </x:c>
      <x:c r="H1738" s="2" t="str">
        <x:v>SCH01</x:v>
      </x:c>
      <x:c r="I1738" s="9" t="n">
        <x:v>25.285</x:v>
      </x:c>
      <x:c r="J1738" s="9" t="n">
        <x:v>51.51</x:v>
      </x:c>
      <x:c r="K1738" s="2" t="n">
        <x:v>8</x:v>
      </x:c>
      <x:c r="L1738" s="2" t="str">
        <x:v>Valid</x:v>
      </x:c>
      <x:c r="M1738" s="2" t="str">
        <x:v>QR</x:v>
      </x:c>
      <x:c r="N1738" s="2" t="n">
        <x:v>1</x:v>
      </x:c>
      <x:c r="O1738" s="2" t="str">
        <x:v>Accepted</x:v>
      </x:c>
      <x:c r="P1738" s="2" t="str">
        <x:v>S003</x:v>
      </x:c>
      <x:c r="Q1738" s="2" t="str">
        <x:v>DEV003</x:v>
      </x:c>
      <x:c r="R1738" s="2" t="n">
        <x:v>1</x:v>
      </x:c>
      <x:c r="S1738" s="2" t="str">
        <x:v>Online</x:v>
      </x:c>
      <x:c r="T1738" s="2" t="str">
        <x:v>Synced</x:v>
      </x:c>
    </x:row>
    <x:row r="1739" ht="21" customHeight="1">
      <x:c r="A1739" s="2" t="str">
        <x:v>EV001537</x:v>
      </x:c>
      <x:c r="B1739" s="2" t="str">
        <x:v>T20261007-3-1</x:v>
      </x:c>
      <x:c r="C1739" s="2" t="str">
        <x:v>ST012</x:v>
      </x:c>
      <x:c r="D1739" s="2" t="str">
        <x:v>8d45a06a93234042b630e18d7821ea23</x:v>
      </x:c>
      <x:c r="E1739" s="2" t="str">
        <x:v>CHECK_IN</x:v>
      </x:c>
      <x:c r="F1739" s="8" t="n">
        <x:v>46302.572951388895</x:v>
      </x:c>
      <x:c r="G1739" s="8" t="n">
        <x:v>46302.57297453704</x:v>
      </x:c>
      <x:c r="H1739" s="2" t="str">
        <x:v>SCH01</x:v>
      </x:c>
      <x:c r="I1739" s="9" t="n">
        <x:v>25.285</x:v>
      </x:c>
      <x:c r="J1739" s="9" t="n">
        <x:v>51.51</x:v>
      </x:c>
      <x:c r="K1739" s="2" t="n">
        <x:v>8</x:v>
      </x:c>
      <x:c r="L1739" s="2" t="str">
        <x:v>Valid</x:v>
      </x:c>
      <x:c r="M1739" s="2" t="str">
        <x:v>QR</x:v>
      </x:c>
      <x:c r="N1739" s="2" t="n">
        <x:v>1</x:v>
      </x:c>
      <x:c r="O1739" s="2" t="str">
        <x:v>Accepted</x:v>
      </x:c>
      <x:c r="P1739" s="2" t="str">
        <x:v>S001</x:v>
      </x:c>
      <x:c r="Q1739" s="2" t="str">
        <x:v>DEV001</x:v>
      </x:c>
      <x:c r="R1739" s="2" t="n">
        <x:v>2</x:v>
      </x:c>
      <x:c r="S1739" s="2" t="str">
        <x:v>Online</x:v>
      </x:c>
      <x:c r="T1739" s="2" t="str">
        <x:v>Synced</x:v>
      </x:c>
    </x:row>
    <x:row r="1740" ht="21" customHeight="1">
      <x:c r="A1740" s="2" t="str">
        <x:v>EV001697</x:v>
      </x:c>
      <x:c r="B1740" s="2" t="str">
        <x:v>T20261007-3-2</x:v>
      </x:c>
      <x:c r="C1740" s="2" t="str">
        <x:v>ST052</x:v>
      </x:c>
      <x:c r="D1740" s="2" t="str">
        <x:v>0c1c5957fe0604ae228ff5e1e1a785bc</x:v>
      </x:c>
      <x:c r="E1740" s="2" t="str">
        <x:v>CHECK_IN</x:v>
      </x:c>
      <x:c r="F1740" s="8" t="n">
        <x:v>46302.572951388895</x:v>
      </x:c>
      <x:c r="G1740" s="8" t="n">
        <x:v>46302.57297453704</x:v>
      </x:c>
      <x:c r="H1740" s="2" t="str">
        <x:v>SCH01</x:v>
      </x:c>
      <x:c r="I1740" s="9" t="n">
        <x:v>25.285</x:v>
      </x:c>
      <x:c r="J1740" s="9" t="n">
        <x:v>51.51</x:v>
      </x:c>
      <x:c r="K1740" s="2" t="n">
        <x:v>8</x:v>
      </x:c>
      <x:c r="L1740" s="2" t="str">
        <x:v>Valid</x:v>
      </x:c>
      <x:c r="M1740" s="2" t="str">
        <x:v>QR</x:v>
      </x:c>
      <x:c r="N1740" s="2" t="n">
        <x:v>1</x:v>
      </x:c>
      <x:c r="O1740" s="2" t="str">
        <x:v>Accepted</x:v>
      </x:c>
      <x:c r="P1740" s="2" t="str">
        <x:v>S002</x:v>
      </x:c>
      <x:c r="Q1740" s="2" t="str">
        <x:v>DEV002</x:v>
      </x:c>
      <x:c r="R1740" s="2" t="n">
        <x:v>2</x:v>
      </x:c>
      <x:c r="S1740" s="2" t="str">
        <x:v>Online</x:v>
      </x:c>
      <x:c r="T1740" s="2" t="str">
        <x:v>Synced</x:v>
      </x:c>
    </x:row>
    <x:row r="1741" ht="21" customHeight="1">
      <x:c r="A1741" s="2" t="str">
        <x:v>EV001857</x:v>
      </x:c>
      <x:c r="B1741" s="2" t="str">
        <x:v>T20261007-3-3</x:v>
      </x:c>
      <x:c r="C1741" s="2" t="str">
        <x:v>ST092</x:v>
      </x:c>
      <x:c r="D1741" s="2" t="str">
        <x:v>e83e93b137787f284ae9574a02ff0cc7</x:v>
      </x:c>
      <x:c r="E1741" s="2" t="str">
        <x:v>CHECK_IN</x:v>
      </x:c>
      <x:c r="F1741" s="8" t="n">
        <x:v>46302.572951388895</x:v>
      </x:c>
      <x:c r="G1741" s="8" t="n">
        <x:v>46302.57297453704</x:v>
      </x:c>
      <x:c r="H1741" s="2" t="str">
        <x:v>SCH01</x:v>
      </x:c>
      <x:c r="I1741" s="9" t="n">
        <x:v>25.285</x:v>
      </x:c>
      <x:c r="J1741" s="9" t="n">
        <x:v>51.51</x:v>
      </x:c>
      <x:c r="K1741" s="2" t="n">
        <x:v>8</x:v>
      </x:c>
      <x:c r="L1741" s="2" t="str">
        <x:v>Valid</x:v>
      </x:c>
      <x:c r="M1741" s="2" t="str">
        <x:v>QR</x:v>
      </x:c>
      <x:c r="N1741" s="2" t="n">
        <x:v>1</x:v>
      </x:c>
      <x:c r="O1741" s="2" t="str">
        <x:v>Accepted</x:v>
      </x:c>
      <x:c r="P1741" s="2" t="str">
        <x:v>S003</x:v>
      </x:c>
      <x:c r="Q1741" s="2" t="str">
        <x:v>DEV003</x:v>
      </x:c>
      <x:c r="R1741" s="2" t="n">
        <x:v>2</x:v>
      </x:c>
      <x:c r="S1741" s="2" t="str">
        <x:v>Online</x:v>
      </x:c>
      <x:c r="T1741" s="2" t="str">
        <x:v>Synced</x:v>
      </x:c>
    </x:row>
    <x:row r="1742" ht="21" customHeight="1">
      <x:c r="A1742" s="2" t="str">
        <x:v>EV001539</x:v>
      </x:c>
      <x:c r="B1742" s="2" t="str">
        <x:v>T20261007-3-1</x:v>
      </x:c>
      <x:c r="C1742" s="2" t="str">
        <x:v>ST013</x:v>
      </x:c>
      <x:c r="D1742" s="2" t="str">
        <x:v>ddc4bbe364f02f5a2177795c49ea7ba9</x:v>
      </x:c>
      <x:c r="E1742" s="2" t="str">
        <x:v>CHECK_IN</x:v>
      </x:c>
      <x:c r="F1742" s="8" t="n">
        <x:v>46302.57298611112</x:v>
      </x:c>
      <x:c r="G1742" s="8" t="n">
        <x:v>46302.573009259264</x:v>
      </x:c>
      <x:c r="H1742" s="2" t="str">
        <x:v>SCH01</x:v>
      </x:c>
      <x:c r="I1742" s="9" t="n">
        <x:v>25.285</x:v>
      </x:c>
      <x:c r="J1742" s="9" t="n">
        <x:v>51.51</x:v>
      </x:c>
      <x:c r="K1742" s="2" t="n">
        <x:v>8</x:v>
      </x:c>
      <x:c r="L1742" s="2" t="str">
        <x:v>Valid</x:v>
      </x:c>
      <x:c r="M1742" s="2" t="str">
        <x:v>QR</x:v>
      </x:c>
      <x:c r="N1742" s="2" t="n">
        <x:v>1</x:v>
      </x:c>
      <x:c r="O1742" s="2" t="str">
        <x:v>Accepted</x:v>
      </x:c>
      <x:c r="P1742" s="2" t="str">
        <x:v>S001</x:v>
      </x:c>
      <x:c r="Q1742" s="2" t="str">
        <x:v>DEV001</x:v>
      </x:c>
      <x:c r="R1742" s="2" t="n">
        <x:v>3</x:v>
      </x:c>
      <x:c r="S1742" s="2" t="str">
        <x:v>Online</x:v>
      </x:c>
      <x:c r="T1742" s="2" t="str">
        <x:v>Synced</x:v>
      </x:c>
    </x:row>
    <x:row r="1743" ht="21" customHeight="1">
      <x:c r="A1743" s="2" t="str">
        <x:v>EV001699</x:v>
      </x:c>
      <x:c r="B1743" s="2" t="str">
        <x:v>T20261007-3-2</x:v>
      </x:c>
      <x:c r="C1743" s="2" t="str">
        <x:v>ST053</x:v>
      </x:c>
      <x:c r="D1743" s="2" t="str">
        <x:v>e476277c519e294480cfa14a37e177a0</x:v>
      </x:c>
      <x:c r="E1743" s="2" t="str">
        <x:v>CHECK_IN</x:v>
      </x:c>
      <x:c r="F1743" s="8" t="n">
        <x:v>46302.57298611112</x:v>
      </x:c>
      <x:c r="G1743" s="8" t="n">
        <x:v>46302.573009259264</x:v>
      </x:c>
      <x:c r="H1743" s="2" t="str">
        <x:v>SCH01</x:v>
      </x:c>
      <x:c r="I1743" s="9" t="n">
        <x:v>25.285</x:v>
      </x:c>
      <x:c r="J1743" s="9" t="n">
        <x:v>51.51</x:v>
      </x:c>
      <x:c r="K1743" s="2" t="n">
        <x:v>8</x:v>
      </x:c>
      <x:c r="L1743" s="2" t="str">
        <x:v>Valid</x:v>
      </x:c>
      <x:c r="M1743" s="2" t="str">
        <x:v>QR</x:v>
      </x:c>
      <x:c r="N1743" s="2" t="n">
        <x:v>1</x:v>
      </x:c>
      <x:c r="O1743" s="2" t="str">
        <x:v>Accepted</x:v>
      </x:c>
      <x:c r="P1743" s="2" t="str">
        <x:v>S002</x:v>
      </x:c>
      <x:c r="Q1743" s="2" t="str">
        <x:v>DEV002</x:v>
      </x:c>
      <x:c r="R1743" s="2" t="n">
        <x:v>3</x:v>
      </x:c>
      <x:c r="S1743" s="2" t="str">
        <x:v>Online</x:v>
      </x:c>
      <x:c r="T1743" s="2" t="str">
        <x:v>Synced</x:v>
      </x:c>
    </x:row>
    <x:row r="1744" ht="21" customHeight="1">
      <x:c r="A1744" s="2" t="str">
        <x:v>EV001859</x:v>
      </x:c>
      <x:c r="B1744" s="2" t="str">
        <x:v>T20261007-3-3</x:v>
      </x:c>
      <x:c r="C1744" s="2" t="str">
        <x:v>ST093</x:v>
      </x:c>
      <x:c r="D1744" s="2" t="str">
        <x:v>e69cdca4f10e82426e9a3098f4672791</x:v>
      </x:c>
      <x:c r="E1744" s="2" t="str">
        <x:v>CHECK_IN</x:v>
      </x:c>
      <x:c r="F1744" s="8" t="n">
        <x:v>46302.57298611112</x:v>
      </x:c>
      <x:c r="G1744" s="8" t="n">
        <x:v>46302.573009259264</x:v>
      </x:c>
      <x:c r="H1744" s="2" t="str">
        <x:v>SCH01</x:v>
      </x:c>
      <x:c r="I1744" s="9" t="n">
        <x:v>25.285</x:v>
      </x:c>
      <x:c r="J1744" s="9" t="n">
        <x:v>51.51</x:v>
      </x:c>
      <x:c r="K1744" s="2" t="n">
        <x:v>8</x:v>
      </x:c>
      <x:c r="L1744" s="2" t="str">
        <x:v>Valid</x:v>
      </x:c>
      <x:c r="M1744" s="2" t="str">
        <x:v>QR</x:v>
      </x:c>
      <x:c r="N1744" s="2" t="n">
        <x:v>1</x:v>
      </x:c>
      <x:c r="O1744" s="2" t="str">
        <x:v>Accepted</x:v>
      </x:c>
      <x:c r="P1744" s="2" t="str">
        <x:v>S003</x:v>
      </x:c>
      <x:c r="Q1744" s="2" t="str">
        <x:v>DEV003</x:v>
      </x:c>
      <x:c r="R1744" s="2" t="n">
        <x:v>3</x:v>
      </x:c>
      <x:c r="S1744" s="2" t="str">
        <x:v>Online</x:v>
      </x:c>
      <x:c r="T1744" s="2" t="str">
        <x:v>Synced</x:v>
      </x:c>
    </x:row>
    <x:row r="1745" ht="21" customHeight="1">
      <x:c r="A1745" s="2" t="str">
        <x:v>EV001541</x:v>
      </x:c>
      <x:c r="B1745" s="2" t="str">
        <x:v>T20261007-3-1</x:v>
      </x:c>
      <x:c r="C1745" s="2" t="str">
        <x:v>ST014</x:v>
      </x:c>
      <x:c r="D1745" s="2" t="str">
        <x:v>6ea4b25306143e251962ae19fa8ee7af</x:v>
      </x:c>
      <x:c r="E1745" s="2" t="str">
        <x:v>CHECK_IN</x:v>
      </x:c>
      <x:c r="F1745" s="8" t="n">
        <x:v>46302.57302083334</x:v>
      </x:c>
      <x:c r="G1745" s="8" t="n">
        <x:v>46302.57304398149</x:v>
      </x:c>
      <x:c r="H1745" s="2" t="str">
        <x:v>SCH01</x:v>
      </x:c>
      <x:c r="I1745" s="9" t="n">
        <x:v>25.285</x:v>
      </x:c>
      <x:c r="J1745" s="9" t="n">
        <x:v>51.51</x:v>
      </x:c>
      <x:c r="K1745" s="2" t="n">
        <x:v>8</x:v>
      </x:c>
      <x:c r="L1745" s="2" t="str">
        <x:v>Valid</x:v>
      </x:c>
      <x:c r="M1745" s="2" t="str">
        <x:v>QR</x:v>
      </x:c>
      <x:c r="N1745" s="2" t="n">
        <x:v>1</x:v>
      </x:c>
      <x:c r="O1745" s="2" t="str">
        <x:v>Accepted</x:v>
      </x:c>
      <x:c r="P1745" s="2" t="str">
        <x:v>S001</x:v>
      </x:c>
      <x:c r="Q1745" s="2" t="str">
        <x:v>DEV001</x:v>
      </x:c>
      <x:c r="R1745" s="2" t="n">
        <x:v>4</x:v>
      </x:c>
      <x:c r="S1745" s="2" t="str">
        <x:v>Online</x:v>
      </x:c>
      <x:c r="T1745" s="2" t="str">
        <x:v>Synced</x:v>
      </x:c>
    </x:row>
    <x:row r="1746" ht="21" customHeight="1">
      <x:c r="A1746" s="2" t="str">
        <x:v>EV001701</x:v>
      </x:c>
      <x:c r="B1746" s="2" t="str">
        <x:v>T20261007-3-2</x:v>
      </x:c>
      <x:c r="C1746" s="2" t="str">
        <x:v>ST054</x:v>
      </x:c>
      <x:c r="D1746" s="2" t="str">
        <x:v>1c9a916db52e081aeb59bc928cb914dd</x:v>
      </x:c>
      <x:c r="E1746" s="2" t="str">
        <x:v>CHECK_IN</x:v>
      </x:c>
      <x:c r="F1746" s="8" t="n">
        <x:v>46302.57302083334</x:v>
      </x:c>
      <x:c r="G1746" s="8" t="n">
        <x:v>46302.57304398149</x:v>
      </x:c>
      <x:c r="H1746" s="2" t="str">
        <x:v>SCH01</x:v>
      </x:c>
      <x:c r="I1746" s="9" t="n">
        <x:v>25.285</x:v>
      </x:c>
      <x:c r="J1746" s="9" t="n">
        <x:v>51.51</x:v>
      </x:c>
      <x:c r="K1746" s="2" t="n">
        <x:v>8</x:v>
      </x:c>
      <x:c r="L1746" s="2" t="str">
        <x:v>Valid</x:v>
      </x:c>
      <x:c r="M1746" s="2" t="str">
        <x:v>QR</x:v>
      </x:c>
      <x:c r="N1746" s="2" t="n">
        <x:v>1</x:v>
      </x:c>
      <x:c r="O1746" s="2" t="str">
        <x:v>Accepted</x:v>
      </x:c>
      <x:c r="P1746" s="2" t="str">
        <x:v>S002</x:v>
      </x:c>
      <x:c r="Q1746" s="2" t="str">
        <x:v>DEV002</x:v>
      </x:c>
      <x:c r="R1746" s="2" t="n">
        <x:v>4</x:v>
      </x:c>
      <x:c r="S1746" s="2" t="str">
        <x:v>Online</x:v>
      </x:c>
      <x:c r="T1746" s="2" t="str">
        <x:v>Synced</x:v>
      </x:c>
    </x:row>
    <x:row r="1747" ht="21" customHeight="1">
      <x:c r="A1747" s="2" t="str">
        <x:v>EV001861</x:v>
      </x:c>
      <x:c r="B1747" s="2" t="str">
        <x:v>T20261007-3-3</x:v>
      </x:c>
      <x:c r="C1747" s="2" t="str">
        <x:v>ST094</x:v>
      </x:c>
      <x:c r="D1747" s="2" t="str">
        <x:v>b6fd37c188877a378c496dccb3132cf2</x:v>
      </x:c>
      <x:c r="E1747" s="2" t="str">
        <x:v>CHECK_IN</x:v>
      </x:c>
      <x:c r="F1747" s="8" t="n">
        <x:v>46302.57302083334</x:v>
      </x:c>
      <x:c r="G1747" s="8" t="n">
        <x:v>46302.57304398149</x:v>
      </x:c>
      <x:c r="H1747" s="2" t="str">
        <x:v>SCH01</x:v>
      </x:c>
      <x:c r="I1747" s="9" t="n">
        <x:v>25.285</x:v>
      </x:c>
      <x:c r="J1747" s="9" t="n">
        <x:v>51.51</x:v>
      </x:c>
      <x:c r="K1747" s="2" t="n">
        <x:v>8</x:v>
      </x:c>
      <x:c r="L1747" s="2" t="str">
        <x:v>Valid</x:v>
      </x:c>
      <x:c r="M1747" s="2" t="str">
        <x:v>QR</x:v>
      </x:c>
      <x:c r="N1747" s="2" t="n">
        <x:v>1</x:v>
      </x:c>
      <x:c r="O1747" s="2" t="str">
        <x:v>Accepted</x:v>
      </x:c>
      <x:c r="P1747" s="2" t="str">
        <x:v>S003</x:v>
      </x:c>
      <x:c r="Q1747" s="2" t="str">
        <x:v>DEV003</x:v>
      </x:c>
      <x:c r="R1747" s="2" t="n">
        <x:v>4</x:v>
      </x:c>
      <x:c r="S1747" s="2" t="str">
        <x:v>Online</x:v>
      </x:c>
      <x:c r="T1747" s="2" t="str">
        <x:v>Synced</x:v>
      </x:c>
    </x:row>
    <x:row r="1748" ht="21" customHeight="1">
      <x:c r="A1748" s="2" t="str">
        <x:v>EV001543</x:v>
      </x:c>
      <x:c r="B1748" s="2" t="str">
        <x:v>T20261007-3-1</x:v>
      </x:c>
      <x:c r="C1748" s="2" t="str">
        <x:v>ST015</x:v>
      </x:c>
      <x:c r="D1748" s="2" t="str">
        <x:v>997c76227e9b12bdccc68d0d53a8d1df</x:v>
      </x:c>
      <x:c r="E1748" s="2" t="str">
        <x:v>CHECK_IN</x:v>
      </x:c>
      <x:c r="F1748" s="8" t="n">
        <x:v>46302.573055555564</x:v>
      </x:c>
      <x:c r="G1748" s="8" t="n">
        <x:v>46302.57307870371</x:v>
      </x:c>
      <x:c r="H1748" s="2" t="str">
        <x:v>SCH01</x:v>
      </x:c>
      <x:c r="I1748" s="9" t="n">
        <x:v>25.285</x:v>
      </x:c>
      <x:c r="J1748" s="9" t="n">
        <x:v>51.51</x:v>
      </x:c>
      <x:c r="K1748" s="2" t="n">
        <x:v>8</x:v>
      </x:c>
      <x:c r="L1748" s="2" t="str">
        <x:v>Valid</x:v>
      </x:c>
      <x:c r="M1748" s="2" t="str">
        <x:v>QR</x:v>
      </x:c>
      <x:c r="N1748" s="2" t="n">
        <x:v>1</x:v>
      </x:c>
      <x:c r="O1748" s="2" t="str">
        <x:v>Accepted</x:v>
      </x:c>
      <x:c r="P1748" s="2" t="str">
        <x:v>S001</x:v>
      </x:c>
      <x:c r="Q1748" s="2" t="str">
        <x:v>DEV001</x:v>
      </x:c>
      <x:c r="R1748" s="2" t="n">
        <x:v>5</x:v>
      </x:c>
      <x:c r="S1748" s="2" t="str">
        <x:v>Online</x:v>
      </x:c>
      <x:c r="T1748" s="2" t="str">
        <x:v>Synced</x:v>
      </x:c>
    </x:row>
    <x:row r="1749" ht="21" customHeight="1">
      <x:c r="A1749" s="2" t="str">
        <x:v>EV001703</x:v>
      </x:c>
      <x:c r="B1749" s="2" t="str">
        <x:v>T20261007-3-2</x:v>
      </x:c>
      <x:c r="C1749" s="2" t="str">
        <x:v>ST055</x:v>
      </x:c>
      <x:c r="D1749" s="2" t="str">
        <x:v>e796258b9306e2b3efab77a21add36a5</x:v>
      </x:c>
      <x:c r="E1749" s="2" t="str">
        <x:v>CHECK_IN</x:v>
      </x:c>
      <x:c r="F1749" s="8" t="n">
        <x:v>46302.573055555564</x:v>
      </x:c>
      <x:c r="G1749" s="8" t="n">
        <x:v>46302.57307870371</x:v>
      </x:c>
      <x:c r="H1749" s="2" t="str">
        <x:v>SCH01</x:v>
      </x:c>
      <x:c r="I1749" s="9" t="n">
        <x:v>25.285</x:v>
      </x:c>
      <x:c r="J1749" s="9" t="n">
        <x:v>51.51</x:v>
      </x:c>
      <x:c r="K1749" s="2" t="n">
        <x:v>8</x:v>
      </x:c>
      <x:c r="L1749" s="2" t="str">
        <x:v>Valid</x:v>
      </x:c>
      <x:c r="M1749" s="2" t="str">
        <x:v>QR</x:v>
      </x:c>
      <x:c r="N1749" s="2" t="n">
        <x:v>1</x:v>
      </x:c>
      <x:c r="O1749" s="2" t="str">
        <x:v>Accepted</x:v>
      </x:c>
      <x:c r="P1749" s="2" t="str">
        <x:v>S002</x:v>
      </x:c>
      <x:c r="Q1749" s="2" t="str">
        <x:v>DEV002</x:v>
      </x:c>
      <x:c r="R1749" s="2" t="n">
        <x:v>5</x:v>
      </x:c>
      <x:c r="S1749" s="2" t="str">
        <x:v>Online</x:v>
      </x:c>
      <x:c r="T1749" s="2" t="str">
        <x:v>Synced</x:v>
      </x:c>
    </x:row>
    <x:row r="1750" ht="21" customHeight="1">
      <x:c r="A1750" s="2" t="str">
        <x:v>EV001863</x:v>
      </x:c>
      <x:c r="B1750" s="2" t="str">
        <x:v>T20261007-3-3</x:v>
      </x:c>
      <x:c r="C1750" s="2" t="str">
        <x:v>ST095</x:v>
      </x:c>
      <x:c r="D1750" s="2" t="str">
        <x:v>0935ee2c52872353d5a355eed1202dbe</x:v>
      </x:c>
      <x:c r="E1750" s="2" t="str">
        <x:v>CHECK_IN</x:v>
      </x:c>
      <x:c r="F1750" s="8" t="n">
        <x:v>46302.573055555564</x:v>
      </x:c>
      <x:c r="G1750" s="8" t="n">
        <x:v>46302.57307870371</x:v>
      </x:c>
      <x:c r="H1750" s="2" t="str">
        <x:v>SCH01</x:v>
      </x:c>
      <x:c r="I1750" s="9" t="n">
        <x:v>25.285</x:v>
      </x:c>
      <x:c r="J1750" s="9" t="n">
        <x:v>51.51</x:v>
      </x:c>
      <x:c r="K1750" s="2" t="n">
        <x:v>8</x:v>
      </x:c>
      <x:c r="L1750" s="2" t="str">
        <x:v>Valid</x:v>
      </x:c>
      <x:c r="M1750" s="2" t="str">
        <x:v>QR</x:v>
      </x:c>
      <x:c r="N1750" s="2" t="n">
        <x:v>1</x:v>
      </x:c>
      <x:c r="O1750" s="2" t="str">
        <x:v>Accepted</x:v>
      </x:c>
      <x:c r="P1750" s="2" t="str">
        <x:v>S003</x:v>
      </x:c>
      <x:c r="Q1750" s="2" t="str">
        <x:v>DEV003</x:v>
      </x:c>
      <x:c r="R1750" s="2" t="n">
        <x:v>5</x:v>
      </x:c>
      <x:c r="S1750" s="2" t="str">
        <x:v>Online</x:v>
      </x:c>
      <x:c r="T1750" s="2" t="str">
        <x:v>Synced</x:v>
      </x:c>
    </x:row>
    <x:row r="1751" ht="21" customHeight="1">
      <x:c r="A1751" s="2" t="str">
        <x:v>EV001545</x:v>
      </x:c>
      <x:c r="B1751" s="2" t="str">
        <x:v>T20261007-3-1</x:v>
      </x:c>
      <x:c r="C1751" s="2" t="str">
        <x:v>ST016</x:v>
      </x:c>
      <x:c r="D1751" s="2" t="str">
        <x:v>5227a65bcc4ea356d570fe16b2970ea5</x:v>
      </x:c>
      <x:c r="E1751" s="2" t="str">
        <x:v>CHECK_IN</x:v>
      </x:c>
      <x:c r="F1751" s="8" t="n">
        <x:v>46302.57309027778</x:v>
      </x:c>
      <x:c r="G1751" s="8" t="n">
        <x:v>46302.573113425926</x:v>
      </x:c>
      <x:c r="H1751" s="2" t="str">
        <x:v>SCH01</x:v>
      </x:c>
      <x:c r="I1751" s="9" t="n">
        <x:v>25.285</x:v>
      </x:c>
      <x:c r="J1751" s="9" t="n">
        <x:v>51.51</x:v>
      </x:c>
      <x:c r="K1751" s="2" t="n">
        <x:v>8</x:v>
      </x:c>
      <x:c r="L1751" s="2" t="str">
        <x:v>Valid</x:v>
      </x:c>
      <x:c r="M1751" s="2" t="str">
        <x:v>QR</x:v>
      </x:c>
      <x:c r="N1751" s="2" t="n">
        <x:v>1</x:v>
      </x:c>
      <x:c r="O1751" s="2" t="str">
        <x:v>Accepted</x:v>
      </x:c>
      <x:c r="P1751" s="2" t="str">
        <x:v>S001</x:v>
      </x:c>
      <x:c r="Q1751" s="2" t="str">
        <x:v>DEV001</x:v>
      </x:c>
      <x:c r="R1751" s="2" t="n">
        <x:v>6</x:v>
      </x:c>
      <x:c r="S1751" s="2" t="str">
        <x:v>Online</x:v>
      </x:c>
      <x:c r="T1751" s="2" t="str">
        <x:v>Synced</x:v>
      </x:c>
    </x:row>
    <x:row r="1752" ht="21" customHeight="1">
      <x:c r="A1752" s="2" t="str">
        <x:v>EV001705</x:v>
      </x:c>
      <x:c r="B1752" s="2" t="str">
        <x:v>T20261007-3-2</x:v>
      </x:c>
      <x:c r="C1752" s="2" t="str">
        <x:v>ST056</x:v>
      </x:c>
      <x:c r="D1752" s="2" t="str">
        <x:v>245ed370430be1001f6d7d13404dd8b1</x:v>
      </x:c>
      <x:c r="E1752" s="2" t="str">
        <x:v>CHECK_IN</x:v>
      </x:c>
      <x:c r="F1752" s="8" t="n">
        <x:v>46302.57309027778</x:v>
      </x:c>
      <x:c r="G1752" s="8" t="n">
        <x:v>46302.573113425926</x:v>
      </x:c>
      <x:c r="H1752" s="2" t="str">
        <x:v>SCH01</x:v>
      </x:c>
      <x:c r="I1752" s="9" t="n">
        <x:v>25.285</x:v>
      </x:c>
      <x:c r="J1752" s="9" t="n">
        <x:v>51.51</x:v>
      </x:c>
      <x:c r="K1752" s="2" t="n">
        <x:v>8</x:v>
      </x:c>
      <x:c r="L1752" s="2" t="str">
        <x:v>Valid</x:v>
      </x:c>
      <x:c r="M1752" s="2" t="str">
        <x:v>QR</x:v>
      </x:c>
      <x:c r="N1752" s="2" t="n">
        <x:v>1</x:v>
      </x:c>
      <x:c r="O1752" s="2" t="str">
        <x:v>Accepted</x:v>
      </x:c>
      <x:c r="P1752" s="2" t="str">
        <x:v>S002</x:v>
      </x:c>
      <x:c r="Q1752" s="2" t="str">
        <x:v>DEV002</x:v>
      </x:c>
      <x:c r="R1752" s="2" t="n">
        <x:v>6</x:v>
      </x:c>
      <x:c r="S1752" s="2" t="str">
        <x:v>Online</x:v>
      </x:c>
      <x:c r="T1752" s="2" t="str">
        <x:v>Synced</x:v>
      </x:c>
    </x:row>
    <x:row r="1753" ht="21" customHeight="1">
      <x:c r="A1753" s="2" t="str">
        <x:v>EV001865</x:v>
      </x:c>
      <x:c r="B1753" s="2" t="str">
        <x:v>T20261007-3-3</x:v>
      </x:c>
      <x:c r="C1753" s="2" t="str">
        <x:v>ST096</x:v>
      </x:c>
      <x:c r="D1753" s="2" t="str">
        <x:v>46905fa8ca039f79eec63d82a6ea3c69</x:v>
      </x:c>
      <x:c r="E1753" s="2" t="str">
        <x:v>CHECK_IN</x:v>
      </x:c>
      <x:c r="F1753" s="8" t="n">
        <x:v>46302.57309027778</x:v>
      </x:c>
      <x:c r="G1753" s="8" t="n">
        <x:v>46302.573113425926</x:v>
      </x:c>
      <x:c r="H1753" s="2" t="str">
        <x:v>SCH01</x:v>
      </x:c>
      <x:c r="I1753" s="9" t="n">
        <x:v>25.285</x:v>
      </x:c>
      <x:c r="J1753" s="9" t="n">
        <x:v>51.51</x:v>
      </x:c>
      <x:c r="K1753" s="2" t="n">
        <x:v>8</x:v>
      </x:c>
      <x:c r="L1753" s="2" t="str">
        <x:v>Valid</x:v>
      </x:c>
      <x:c r="M1753" s="2" t="str">
        <x:v>QR</x:v>
      </x:c>
      <x:c r="N1753" s="2" t="n">
        <x:v>1</x:v>
      </x:c>
      <x:c r="O1753" s="2" t="str">
        <x:v>Accepted</x:v>
      </x:c>
      <x:c r="P1753" s="2" t="str">
        <x:v>S003</x:v>
      </x:c>
      <x:c r="Q1753" s="2" t="str">
        <x:v>DEV003</x:v>
      </x:c>
      <x:c r="R1753" s="2" t="n">
        <x:v>6</x:v>
      </x:c>
      <x:c r="S1753" s="2" t="str">
        <x:v>Online</x:v>
      </x:c>
      <x:c r="T1753" s="2" t="str">
        <x:v>Synced</x:v>
      </x:c>
    </x:row>
    <x:row r="1754" ht="21" customHeight="1">
      <x:c r="A1754" s="2" t="str">
        <x:v>EV001547</x:v>
      </x:c>
      <x:c r="B1754" s="2" t="str">
        <x:v>T20261007-3-1</x:v>
      </x:c>
      <x:c r="C1754" s="2" t="str">
        <x:v>ST017</x:v>
      </x:c>
      <x:c r="D1754" s="2" t="str">
        <x:v>ea6159d457322f2456f4cadd6b3d659f</x:v>
      </x:c>
      <x:c r="E1754" s="2" t="str">
        <x:v>CHECK_IN</x:v>
      </x:c>
      <x:c r="F1754" s="8" t="n">
        <x:v>46302.573125</x:v>
      </x:c>
      <x:c r="G1754" s="8" t="n">
        <x:v>46302.57314814815</x:v>
      </x:c>
      <x:c r="H1754" s="2" t="str">
        <x:v>SCH01</x:v>
      </x:c>
      <x:c r="I1754" s="9" t="n">
        <x:v>25.285</x:v>
      </x:c>
      <x:c r="J1754" s="9" t="n">
        <x:v>51.51</x:v>
      </x:c>
      <x:c r="K1754" s="2" t="n">
        <x:v>8</x:v>
      </x:c>
      <x:c r="L1754" s="2" t="str">
        <x:v>Valid</x:v>
      </x:c>
      <x:c r="M1754" s="2" t="str">
        <x:v>QR</x:v>
      </x:c>
      <x:c r="N1754" s="2" t="n">
        <x:v>1</x:v>
      </x:c>
      <x:c r="O1754" s="2" t="str">
        <x:v>Accepted</x:v>
      </x:c>
      <x:c r="P1754" s="2" t="str">
        <x:v>S001</x:v>
      </x:c>
      <x:c r="Q1754" s="2" t="str">
        <x:v>DEV001</x:v>
      </x:c>
      <x:c r="R1754" s="2" t="n">
        <x:v>7</x:v>
      </x:c>
      <x:c r="S1754" s="2" t="str">
        <x:v>Online</x:v>
      </x:c>
      <x:c r="T1754" s="2" t="str">
        <x:v>Synced</x:v>
      </x:c>
    </x:row>
    <x:row r="1755" ht="21" customHeight="1">
      <x:c r="A1755" s="2" t="str">
        <x:v>EV001707</x:v>
      </x:c>
      <x:c r="B1755" s="2" t="str">
        <x:v>T20261007-3-2</x:v>
      </x:c>
      <x:c r="C1755" s="2" t="str">
        <x:v>ST057</x:v>
      </x:c>
      <x:c r="D1755" s="2" t="str">
        <x:v>68d992c7418727808ad27d2e5ee9b88d</x:v>
      </x:c>
      <x:c r="E1755" s="2" t="str">
        <x:v>CHECK_IN</x:v>
      </x:c>
      <x:c r="F1755" s="8" t="n">
        <x:v>46302.573125</x:v>
      </x:c>
      <x:c r="G1755" s="8" t="n">
        <x:v>46302.57314814815</x:v>
      </x:c>
      <x:c r="H1755" s="2" t="str">
        <x:v>SCH01</x:v>
      </x:c>
      <x:c r="I1755" s="9" t="n">
        <x:v>25.285</x:v>
      </x:c>
      <x:c r="J1755" s="9" t="n">
        <x:v>51.51</x:v>
      </x:c>
      <x:c r="K1755" s="2" t="n">
        <x:v>8</x:v>
      </x:c>
      <x:c r="L1755" s="2" t="str">
        <x:v>Valid</x:v>
      </x:c>
      <x:c r="M1755" s="2" t="str">
        <x:v>QR</x:v>
      </x:c>
      <x:c r="N1755" s="2" t="n">
        <x:v>1</x:v>
      </x:c>
      <x:c r="O1755" s="2" t="str">
        <x:v>Accepted</x:v>
      </x:c>
      <x:c r="P1755" s="2" t="str">
        <x:v>S002</x:v>
      </x:c>
      <x:c r="Q1755" s="2" t="str">
        <x:v>DEV002</x:v>
      </x:c>
      <x:c r="R1755" s="2" t="n">
        <x:v>7</x:v>
      </x:c>
      <x:c r="S1755" s="2" t="str">
        <x:v>Online</x:v>
      </x:c>
      <x:c r="T1755" s="2" t="str">
        <x:v>Synced</x:v>
      </x:c>
    </x:row>
    <x:row r="1756" ht="21" customHeight="1">
      <x:c r="A1756" s="2" t="str">
        <x:v>EV001867</x:v>
      </x:c>
      <x:c r="B1756" s="2" t="str">
        <x:v>T20261007-3-3</x:v>
      </x:c>
      <x:c r="C1756" s="2" t="str">
        <x:v>ST097</x:v>
      </x:c>
      <x:c r="D1756" s="2" t="str">
        <x:v>0ccbf8d08569df9dde2207b8d5616d1e</x:v>
      </x:c>
      <x:c r="E1756" s="2" t="str">
        <x:v>CHECK_IN</x:v>
      </x:c>
      <x:c r="F1756" s="8" t="n">
        <x:v>46302.573125</x:v>
      </x:c>
      <x:c r="G1756" s="8" t="n">
        <x:v>46302.57314814815</x:v>
      </x:c>
      <x:c r="H1756" s="2" t="str">
        <x:v>SCH01</x:v>
      </x:c>
      <x:c r="I1756" s="9" t="n">
        <x:v>25.285</x:v>
      </x:c>
      <x:c r="J1756" s="9" t="n">
        <x:v>51.51</x:v>
      </x:c>
      <x:c r="K1756" s="2" t="n">
        <x:v>8</x:v>
      </x:c>
      <x:c r="L1756" s="2" t="str">
        <x:v>Valid</x:v>
      </x:c>
      <x:c r="M1756" s="2" t="str">
        <x:v>QR</x:v>
      </x:c>
      <x:c r="N1756" s="2" t="n">
        <x:v>1</x:v>
      </x:c>
      <x:c r="O1756" s="2" t="str">
        <x:v>Accepted</x:v>
      </x:c>
      <x:c r="P1756" s="2" t="str">
        <x:v>S003</x:v>
      </x:c>
      <x:c r="Q1756" s="2" t="str">
        <x:v>DEV003</x:v>
      </x:c>
      <x:c r="R1756" s="2" t="n">
        <x:v>7</x:v>
      </x:c>
      <x:c r="S1756" s="2" t="str">
        <x:v>Online</x:v>
      </x:c>
      <x:c r="T1756" s="2" t="str">
        <x:v>Synced</x:v>
      </x:c>
    </x:row>
    <x:row r="1757" ht="21" customHeight="1">
      <x:c r="A1757" s="2" t="str">
        <x:v>EV001549</x:v>
      </x:c>
      <x:c r="B1757" s="2" t="str">
        <x:v>T20261007-3-1</x:v>
      </x:c>
      <x:c r="C1757" s="2" t="str">
        <x:v>ST018</x:v>
      </x:c>
      <x:c r="D1757" s="2" t="str">
        <x:v>4c1b40081ed5c7c21b8392ee528dbe54</x:v>
      </x:c>
      <x:c r="E1757" s="2" t="str">
        <x:v>CHECK_IN</x:v>
      </x:c>
      <x:c r="F1757" s="8" t="n">
        <x:v>46302.573159722226</x:v>
      </x:c>
      <x:c r="G1757" s="8" t="n">
        <x:v>46302.57318287037</x:v>
      </x:c>
      <x:c r="H1757" s="2" t="str">
        <x:v>SCH01</x:v>
      </x:c>
      <x:c r="I1757" s="9" t="n">
        <x:v>25.285</x:v>
      </x:c>
      <x:c r="J1757" s="9" t="n">
        <x:v>51.51</x:v>
      </x:c>
      <x:c r="K1757" s="2" t="n">
        <x:v>8</x:v>
      </x:c>
      <x:c r="L1757" s="2" t="str">
        <x:v>Valid</x:v>
      </x:c>
      <x:c r="M1757" s="2" t="str">
        <x:v>QR</x:v>
      </x:c>
      <x:c r="N1757" s="2" t="n">
        <x:v>1</x:v>
      </x:c>
      <x:c r="O1757" s="2" t="str">
        <x:v>Accepted</x:v>
      </x:c>
      <x:c r="P1757" s="2" t="str">
        <x:v>S001</x:v>
      </x:c>
      <x:c r="Q1757" s="2" t="str">
        <x:v>DEV001</x:v>
      </x:c>
      <x:c r="R1757" s="2" t="n">
        <x:v>8</x:v>
      </x:c>
      <x:c r="S1757" s="2" t="str">
        <x:v>Online</x:v>
      </x:c>
      <x:c r="T1757" s="2" t="str">
        <x:v>Synced</x:v>
      </x:c>
    </x:row>
    <x:row r="1758" ht="21" customHeight="1">
      <x:c r="A1758" s="2" t="str">
        <x:v>EV001709</x:v>
      </x:c>
      <x:c r="B1758" s="2" t="str">
        <x:v>T20261007-3-2</x:v>
      </x:c>
      <x:c r="C1758" s="2" t="str">
        <x:v>ST058</x:v>
      </x:c>
      <x:c r="D1758" s="2" t="str">
        <x:v>ebf7e65b57e2c8bcd02f90b1d5692596</x:v>
      </x:c>
      <x:c r="E1758" s="2" t="str">
        <x:v>CHECK_IN</x:v>
      </x:c>
      <x:c r="F1758" s="8" t="n">
        <x:v>46302.573159722226</x:v>
      </x:c>
      <x:c r="G1758" s="8" t="n">
        <x:v>46302.57318287037</x:v>
      </x:c>
      <x:c r="H1758" s="2" t="str">
        <x:v>SCH01</x:v>
      </x:c>
      <x:c r="I1758" s="9" t="n">
        <x:v>25.285</x:v>
      </x:c>
      <x:c r="J1758" s="9" t="n">
        <x:v>51.51</x:v>
      </x:c>
      <x:c r="K1758" s="2" t="n">
        <x:v>8</x:v>
      </x:c>
      <x:c r="L1758" s="2" t="str">
        <x:v>Valid</x:v>
      </x:c>
      <x:c r="M1758" s="2" t="str">
        <x:v>QR</x:v>
      </x:c>
      <x:c r="N1758" s="2" t="n">
        <x:v>1</x:v>
      </x:c>
      <x:c r="O1758" s="2" t="str">
        <x:v>Accepted</x:v>
      </x:c>
      <x:c r="P1758" s="2" t="str">
        <x:v>S002</x:v>
      </x:c>
      <x:c r="Q1758" s="2" t="str">
        <x:v>DEV002</x:v>
      </x:c>
      <x:c r="R1758" s="2" t="n">
        <x:v>8</x:v>
      </x:c>
      <x:c r="S1758" s="2" t="str">
        <x:v>Online</x:v>
      </x:c>
      <x:c r="T1758" s="2" t="str">
        <x:v>Synced</x:v>
      </x:c>
    </x:row>
    <x:row r="1759" ht="21" customHeight="1">
      <x:c r="A1759" s="2" t="str">
        <x:v>EV001869</x:v>
      </x:c>
      <x:c r="B1759" s="2" t="str">
        <x:v>T20261007-3-3</x:v>
      </x:c>
      <x:c r="C1759" s="2" t="str">
        <x:v>ST098</x:v>
      </x:c>
      <x:c r="D1759" s="2" t="str">
        <x:v>4b453acdeca94f98f11a429464f7bff7</x:v>
      </x:c>
      <x:c r="E1759" s="2" t="str">
        <x:v>CHECK_IN</x:v>
      </x:c>
      <x:c r="F1759" s="8" t="n">
        <x:v>46302.573159722226</x:v>
      </x:c>
      <x:c r="G1759" s="8" t="n">
        <x:v>46302.57318287037</x:v>
      </x:c>
      <x:c r="H1759" s="2" t="str">
        <x:v>SCH01</x:v>
      </x:c>
      <x:c r="I1759" s="9" t="n">
        <x:v>25.285</x:v>
      </x:c>
      <x:c r="J1759" s="9" t="n">
        <x:v>51.51</x:v>
      </x:c>
      <x:c r="K1759" s="2" t="n">
        <x:v>8</x:v>
      </x:c>
      <x:c r="L1759" s="2" t="str">
        <x:v>Valid</x:v>
      </x:c>
      <x:c r="M1759" s="2" t="str">
        <x:v>QR</x:v>
      </x:c>
      <x:c r="N1759" s="2" t="n">
        <x:v>1</x:v>
      </x:c>
      <x:c r="O1759" s="2" t="str">
        <x:v>Accepted</x:v>
      </x:c>
      <x:c r="P1759" s="2" t="str">
        <x:v>S003</x:v>
      </x:c>
      <x:c r="Q1759" s="2" t="str">
        <x:v>DEV003</x:v>
      </x:c>
      <x:c r="R1759" s="2" t="n">
        <x:v>8</x:v>
      </x:c>
      <x:c r="S1759" s="2" t="str">
        <x:v>Online</x:v>
      </x:c>
      <x:c r="T1759" s="2" t="str">
        <x:v>Synced</x:v>
      </x:c>
    </x:row>
    <x:row r="1760" ht="21" customHeight="1">
      <x:c r="A1760" s="2" t="str">
        <x:v>EV001551</x:v>
      </x:c>
      <x:c r="B1760" s="2" t="str">
        <x:v>T20261007-3-1</x:v>
      </x:c>
      <x:c r="C1760" s="2" t="str">
        <x:v>ST019</x:v>
      </x:c>
      <x:c r="D1760" s="2" t="str">
        <x:v>b83400b1b6dcfb0f7cb413571cb76f8f</x:v>
      </x:c>
      <x:c r="E1760" s="2" t="str">
        <x:v>CHECK_IN</x:v>
      </x:c>
      <x:c r="F1760" s="8" t="n">
        <x:v>46302.57319444445</x:v>
      </x:c>
      <x:c r="G1760" s="8" t="n">
        <x:v>46302.573217592595</x:v>
      </x:c>
      <x:c r="H1760" s="2" t="str">
        <x:v>SCH01</x:v>
      </x:c>
      <x:c r="I1760" s="9" t="n">
        <x:v>25.285</x:v>
      </x:c>
      <x:c r="J1760" s="9" t="n">
        <x:v>51.51</x:v>
      </x:c>
      <x:c r="K1760" s="2" t="n">
        <x:v>8</x:v>
      </x:c>
      <x:c r="L1760" s="2" t="str">
        <x:v>Valid</x:v>
      </x:c>
      <x:c r="M1760" s="2" t="str">
        <x:v>QR</x:v>
      </x:c>
      <x:c r="N1760" s="2" t="n">
        <x:v>1</x:v>
      </x:c>
      <x:c r="O1760" s="2" t="str">
        <x:v>Accepted</x:v>
      </x:c>
      <x:c r="P1760" s="2" t="str">
        <x:v>S001</x:v>
      </x:c>
      <x:c r="Q1760" s="2" t="str">
        <x:v>DEV001</x:v>
      </x:c>
      <x:c r="R1760" s="2" t="n">
        <x:v>9</x:v>
      </x:c>
      <x:c r="S1760" s="2" t="str">
        <x:v>Online</x:v>
      </x:c>
      <x:c r="T1760" s="2" t="str">
        <x:v>Synced</x:v>
      </x:c>
    </x:row>
    <x:row r="1761" ht="21" customHeight="1">
      <x:c r="A1761" s="2" t="str">
        <x:v>EV001711</x:v>
      </x:c>
      <x:c r="B1761" s="2" t="str">
        <x:v>T20261007-3-2</x:v>
      </x:c>
      <x:c r="C1761" s="2" t="str">
        <x:v>ST059</x:v>
      </x:c>
      <x:c r="D1761" s="2" t="str">
        <x:v>08b31edc14b3a345822a41d6515bfcba</x:v>
      </x:c>
      <x:c r="E1761" s="2" t="str">
        <x:v>CHECK_IN</x:v>
      </x:c>
      <x:c r="F1761" s="8" t="n">
        <x:v>46302.57319444445</x:v>
      </x:c>
      <x:c r="G1761" s="8" t="n">
        <x:v>46302.573217592595</x:v>
      </x:c>
      <x:c r="H1761" s="2" t="str">
        <x:v>SCH01</x:v>
      </x:c>
      <x:c r="I1761" s="9" t="n">
        <x:v>25.285</x:v>
      </x:c>
      <x:c r="J1761" s="9" t="n">
        <x:v>51.51</x:v>
      </x:c>
      <x:c r="K1761" s="2" t="n">
        <x:v>8</x:v>
      </x:c>
      <x:c r="L1761" s="2" t="str">
        <x:v>Valid</x:v>
      </x:c>
      <x:c r="M1761" s="2" t="str">
        <x:v>QR</x:v>
      </x:c>
      <x:c r="N1761" s="2" t="n">
        <x:v>1</x:v>
      </x:c>
      <x:c r="O1761" s="2" t="str">
        <x:v>Accepted</x:v>
      </x:c>
      <x:c r="P1761" s="2" t="str">
        <x:v>S002</x:v>
      </x:c>
      <x:c r="Q1761" s="2" t="str">
        <x:v>DEV002</x:v>
      </x:c>
      <x:c r="R1761" s="2" t="n">
        <x:v>9</x:v>
      </x:c>
      <x:c r="S1761" s="2" t="str">
        <x:v>Online</x:v>
      </x:c>
      <x:c r="T1761" s="2" t="str">
        <x:v>Synced</x:v>
      </x:c>
    </x:row>
    <x:row r="1762" ht="21" customHeight="1">
      <x:c r="A1762" s="2" t="str">
        <x:v>EV001871</x:v>
      </x:c>
      <x:c r="B1762" s="2" t="str">
        <x:v>T20261007-3-3</x:v>
      </x:c>
      <x:c r="C1762" s="2" t="str">
        <x:v>ST099</x:v>
      </x:c>
      <x:c r="D1762" s="2" t="str">
        <x:v>46d20c66394c55b68e36e5335452d87c</x:v>
      </x:c>
      <x:c r="E1762" s="2" t="str">
        <x:v>CHECK_IN</x:v>
      </x:c>
      <x:c r="F1762" s="8" t="n">
        <x:v>46302.57319444445</x:v>
      </x:c>
      <x:c r="G1762" s="8" t="n">
        <x:v>46302.573217592595</x:v>
      </x:c>
      <x:c r="H1762" s="2" t="str">
        <x:v>SCH01</x:v>
      </x:c>
      <x:c r="I1762" s="9" t="n">
        <x:v>25.285</x:v>
      </x:c>
      <x:c r="J1762" s="9" t="n">
        <x:v>51.51</x:v>
      </x:c>
      <x:c r="K1762" s="2" t="n">
        <x:v>8</x:v>
      </x:c>
      <x:c r="L1762" s="2" t="str">
        <x:v>Valid</x:v>
      </x:c>
      <x:c r="M1762" s="2" t="str">
        <x:v>QR</x:v>
      </x:c>
      <x:c r="N1762" s="2" t="n">
        <x:v>1</x:v>
      </x:c>
      <x:c r="O1762" s="2" t="str">
        <x:v>Accepted</x:v>
      </x:c>
      <x:c r="P1762" s="2" t="str">
        <x:v>S003</x:v>
      </x:c>
      <x:c r="Q1762" s="2" t="str">
        <x:v>DEV003</x:v>
      </x:c>
      <x:c r="R1762" s="2" t="n">
        <x:v>9</x:v>
      </x:c>
      <x:c r="S1762" s="2" t="str">
        <x:v>Online</x:v>
      </x:c>
      <x:c r="T1762" s="2" t="str">
        <x:v>Synced</x:v>
      </x:c>
    </x:row>
    <x:row r="1763" ht="21" customHeight="1">
      <x:c r="A1763" s="2" t="str">
        <x:v>EV001553</x:v>
      </x:c>
      <x:c r="B1763" s="2" t="str">
        <x:v>T20261007-3-1</x:v>
      </x:c>
      <x:c r="C1763" s="2" t="str">
        <x:v>ST020</x:v>
      </x:c>
      <x:c r="D1763" s="2" t="str">
        <x:v>9f8daa9030f9f7599cd24e056935ab8d</x:v>
      </x:c>
      <x:c r="E1763" s="2" t="str">
        <x:v>CHECK_IN</x:v>
      </x:c>
      <x:c r="F1763" s="8" t="n">
        <x:v>46302.57322916667</x:v>
      </x:c>
      <x:c r="G1763" s="8" t="n">
        <x:v>46302.57325231482</x:v>
      </x:c>
      <x:c r="H1763" s="2" t="str">
        <x:v>SCH01</x:v>
      </x:c>
      <x:c r="I1763" s="9" t="n">
        <x:v>25.285</x:v>
      </x:c>
      <x:c r="J1763" s="9" t="n">
        <x:v>51.51</x:v>
      </x:c>
      <x:c r="K1763" s="2" t="n">
        <x:v>8</x:v>
      </x:c>
      <x:c r="L1763" s="2" t="str">
        <x:v>Valid</x:v>
      </x:c>
      <x:c r="M1763" s="2" t="str">
        <x:v>QR</x:v>
      </x:c>
      <x:c r="N1763" s="2" t="n">
        <x:v>1</x:v>
      </x:c>
      <x:c r="O1763" s="2" t="str">
        <x:v>Accepted</x:v>
      </x:c>
      <x:c r="P1763" s="2" t="str">
        <x:v>S001</x:v>
      </x:c>
      <x:c r="Q1763" s="2" t="str">
        <x:v>DEV001</x:v>
      </x:c>
      <x:c r="R1763" s="2" t="n">
        <x:v>10</x:v>
      </x:c>
      <x:c r="S1763" s="2" t="str">
        <x:v>Online</x:v>
      </x:c>
      <x:c r="T1763" s="2" t="str">
        <x:v>Synced</x:v>
      </x:c>
    </x:row>
    <x:row r="1764" ht="21" customHeight="1">
      <x:c r="A1764" s="2" t="str">
        <x:v>EV001713</x:v>
      </x:c>
      <x:c r="B1764" s="2" t="str">
        <x:v>T20261007-3-2</x:v>
      </x:c>
      <x:c r="C1764" s="2" t="str">
        <x:v>ST060</x:v>
      </x:c>
      <x:c r="D1764" s="2" t="str">
        <x:v>a424ea3d9a5cb1c08037457e61cef61f</x:v>
      </x:c>
      <x:c r="E1764" s="2" t="str">
        <x:v>CHECK_IN</x:v>
      </x:c>
      <x:c r="F1764" s="8" t="n">
        <x:v>46302.57322916667</x:v>
      </x:c>
      <x:c r="G1764" s="8" t="n">
        <x:v>46302.57325231482</x:v>
      </x:c>
      <x:c r="H1764" s="2" t="str">
        <x:v>SCH01</x:v>
      </x:c>
      <x:c r="I1764" s="9" t="n">
        <x:v>25.285</x:v>
      </x:c>
      <x:c r="J1764" s="9" t="n">
        <x:v>51.51</x:v>
      </x:c>
      <x:c r="K1764" s="2" t="n">
        <x:v>8</x:v>
      </x:c>
      <x:c r="L1764" s="2" t="str">
        <x:v>Valid</x:v>
      </x:c>
      <x:c r="M1764" s="2" t="str">
        <x:v>QR</x:v>
      </x:c>
      <x:c r="N1764" s="2" t="n">
        <x:v>1</x:v>
      </x:c>
      <x:c r="O1764" s="2" t="str">
        <x:v>Accepted</x:v>
      </x:c>
      <x:c r="P1764" s="2" t="str">
        <x:v>S002</x:v>
      </x:c>
      <x:c r="Q1764" s="2" t="str">
        <x:v>DEV002</x:v>
      </x:c>
      <x:c r="R1764" s="2" t="n">
        <x:v>10</x:v>
      </x:c>
      <x:c r="S1764" s="2" t="str">
        <x:v>Online</x:v>
      </x:c>
      <x:c r="T1764" s="2" t="str">
        <x:v>Synced</x:v>
      </x:c>
    </x:row>
    <x:row r="1765" ht="21" customHeight="1">
      <x:c r="A1765" s="2" t="str">
        <x:v>EV001873</x:v>
      </x:c>
      <x:c r="B1765" s="2" t="str">
        <x:v>T20261007-3-3</x:v>
      </x:c>
      <x:c r="C1765" s="2" t="str">
        <x:v>ST100</x:v>
      </x:c>
      <x:c r="D1765" s="2" t="str">
        <x:v>6ba3ddf298bc4515d195454c1e81d9d6</x:v>
      </x:c>
      <x:c r="E1765" s="2" t="str">
        <x:v>CHECK_IN</x:v>
      </x:c>
      <x:c r="F1765" s="8" t="n">
        <x:v>46302.57322916667</x:v>
      </x:c>
      <x:c r="G1765" s="8" t="n">
        <x:v>46302.57325231482</x:v>
      </x:c>
      <x:c r="H1765" s="2" t="str">
        <x:v>SCH01</x:v>
      </x:c>
      <x:c r="I1765" s="9" t="n">
        <x:v>25.285</x:v>
      </x:c>
      <x:c r="J1765" s="9" t="n">
        <x:v>51.51</x:v>
      </x:c>
      <x:c r="K1765" s="2" t="n">
        <x:v>8</x:v>
      </x:c>
      <x:c r="L1765" s="2" t="str">
        <x:v>Valid</x:v>
      </x:c>
      <x:c r="M1765" s="2" t="str">
        <x:v>QR</x:v>
      </x:c>
      <x:c r="N1765" s="2" t="n">
        <x:v>1</x:v>
      </x:c>
      <x:c r="O1765" s="2" t="str">
        <x:v>Accepted</x:v>
      </x:c>
      <x:c r="P1765" s="2" t="str">
        <x:v>S003</x:v>
      </x:c>
      <x:c r="Q1765" s="2" t="str">
        <x:v>DEV003</x:v>
      </x:c>
      <x:c r="R1765" s="2" t="n">
        <x:v>10</x:v>
      </x:c>
      <x:c r="S1765" s="2" t="str">
        <x:v>Online</x:v>
      </x:c>
      <x:c r="T1765" s="2" t="str">
        <x:v>Synced</x:v>
      </x:c>
    </x:row>
    <x:row r="1766" ht="21" customHeight="1">
      <x:c r="A1766" s="2" t="str">
        <x:v>EV001540</x:v>
      </x:c>
      <x:c r="B1766" s="2" t="str">
        <x:v>T20261007-3-1</x:v>
      </x:c>
      <x:c r="C1766" s="2" t="str">
        <x:v>ST013</x:v>
      </x:c>
      <x:c r="D1766" s="2" t="str">
        <x:v>ddc4bbe364f02f5a2177795c49ea7ba9</x:v>
      </x:c>
      <x:c r="E1766" s="2" t="str">
        <x:v>CHECK_OUT</x:v>
      </x:c>
      <x:c r="F1766" s="8" t="n">
        <x:v>46302.58618055556</x:v>
      </x:c>
      <x:c r="G1766" s="8" t="n">
        <x:v>46302.58620370371</x:v>
      </x:c>
      <x:c r="H1766" s="2" t="str">
        <x:v>R1S1</x:v>
      </x:c>
      <x:c r="I1766" s="9" t="n">
        <x:v>25.271</x:v>
      </x:c>
      <x:c r="J1766" s="9" t="n">
        <x:v>51.491</x:v>
      </x:c>
      <x:c r="K1766" s="2" t="n">
        <x:v>8</x:v>
      </x:c>
      <x:c r="L1766" s="2" t="str">
        <x:v>Valid</x:v>
      </x:c>
      <x:c r="M1766" s="2" t="str">
        <x:v>QR</x:v>
      </x:c>
      <x:c r="N1766" s="2" t="n">
        <x:v>1</x:v>
      </x:c>
      <x:c r="O1766" s="2" t="str">
        <x:v>Accepted</x:v>
      </x:c>
      <x:c r="P1766" s="2" t="str">
        <x:v>S001</x:v>
      </x:c>
      <x:c r="Q1766" s="2" t="str">
        <x:v>DEV001</x:v>
      </x:c>
      <x:c r="R1766" s="2" t="n">
        <x:v>11</x:v>
      </x:c>
      <x:c r="S1766" s="2" t="str">
        <x:v>Online</x:v>
      </x:c>
      <x:c r="T1766" s="2" t="str">
        <x:v>Synced</x:v>
      </x:c>
    </x:row>
    <x:row r="1767" ht="21" customHeight="1">
      <x:c r="A1767" s="2" t="str">
        <x:v>EV001700</x:v>
      </x:c>
      <x:c r="B1767" s="2" t="str">
        <x:v>T20261007-3-2</x:v>
      </x:c>
      <x:c r="C1767" s="2" t="str">
        <x:v>ST053</x:v>
      </x:c>
      <x:c r="D1767" s="2" t="str">
        <x:v>e476277c519e294480cfa14a37e177a0</x:v>
      </x:c>
      <x:c r="E1767" s="2" t="str">
        <x:v>CHECK_OUT</x:v>
      </x:c>
      <x:c r="F1767" s="8" t="n">
        <x:v>46302.58618055556</x:v>
      </x:c>
      <x:c r="G1767" s="8" t="n">
        <x:v>46302.58620370371</x:v>
      </x:c>
      <x:c r="H1767" s="2" t="str">
        <x:v>R2S1</x:v>
      </x:c>
      <x:c r="I1767" s="9" t="n">
        <x:v>25.28</x:v>
      </x:c>
      <x:c r="J1767" s="9" t="n">
        <x:v>51.498999999999995</x:v>
      </x:c>
      <x:c r="K1767" s="2" t="n">
        <x:v>8</x:v>
      </x:c>
      <x:c r="L1767" s="2" t="str">
        <x:v>Valid</x:v>
      </x:c>
      <x:c r="M1767" s="2" t="str">
        <x:v>QR</x:v>
      </x:c>
      <x:c r="N1767" s="2" t="n">
        <x:v>1</x:v>
      </x:c>
      <x:c r="O1767" s="2" t="str">
        <x:v>Accepted</x:v>
      </x:c>
      <x:c r="P1767" s="2" t="str">
        <x:v>S002</x:v>
      </x:c>
      <x:c r="Q1767" s="2" t="str">
        <x:v>DEV002</x:v>
      </x:c>
      <x:c r="R1767" s="2" t="n">
        <x:v>11</x:v>
      </x:c>
      <x:c r="S1767" s="2" t="str">
        <x:v>Online</x:v>
      </x:c>
      <x:c r="T1767" s="2" t="str">
        <x:v>Synced</x:v>
      </x:c>
    </x:row>
    <x:row r="1768" ht="21" customHeight="1">
      <x:c r="A1768" s="2" t="str">
        <x:v>EV001860</x:v>
      </x:c>
      <x:c r="B1768" s="2" t="str">
        <x:v>T20261007-3-3</x:v>
      </x:c>
      <x:c r="C1768" s="2" t="str">
        <x:v>ST093</x:v>
      </x:c>
      <x:c r="D1768" s="2" t="str">
        <x:v>e69cdca4f10e82426e9a3098f4672791</x:v>
      </x:c>
      <x:c r="E1768" s="2" t="str">
        <x:v>CHECK_OUT</x:v>
      </x:c>
      <x:c r="F1768" s="8" t="n">
        <x:v>46302.58618055556</x:v>
      </x:c>
      <x:c r="G1768" s="8" t="n">
        <x:v>46302.58620370371</x:v>
      </x:c>
      <x:c r="H1768" s="2" t="str">
        <x:v>R3S1</x:v>
      </x:c>
      <x:c r="I1768" s="9" t="n">
        <x:v>25.289</x:v>
      </x:c>
      <x:c r="J1768" s="9" t="n">
        <x:v>51.507</x:v>
      </x:c>
      <x:c r="K1768" s="2" t="n">
        <x:v>8</x:v>
      </x:c>
      <x:c r="L1768" s="2" t="str">
        <x:v>Valid</x:v>
      </x:c>
      <x:c r="M1768" s="2" t="str">
        <x:v>QR</x:v>
      </x:c>
      <x:c r="N1768" s="2" t="n">
        <x:v>1</x:v>
      </x:c>
      <x:c r="O1768" s="2" t="str">
        <x:v>Accepted</x:v>
      </x:c>
      <x:c r="P1768" s="2" t="str">
        <x:v>S003</x:v>
      </x:c>
      <x:c r="Q1768" s="2" t="str">
        <x:v>DEV003</x:v>
      </x:c>
      <x:c r="R1768" s="2" t="n">
        <x:v>11</x:v>
      </x:c>
      <x:c r="S1768" s="2" t="str">
        <x:v>Online</x:v>
      </x:c>
      <x:c r="T1768" s="2" t="str">
        <x:v>Synced</x:v>
      </x:c>
    </x:row>
    <x:row r="1769" ht="21" customHeight="1">
      <x:c r="A1769" s="2" t="str">
        <x:v>EV001546</x:v>
      </x:c>
      <x:c r="B1769" s="2" t="str">
        <x:v>T20261007-3-1</x:v>
      </x:c>
      <x:c r="C1769" s="2" t="str">
        <x:v>ST016</x:v>
      </x:c>
      <x:c r="D1769" s="2" t="str">
        <x:v>5227a65bcc4ea356d570fe16b2970ea5</x:v>
      </x:c>
      <x:c r="E1769" s="2" t="str">
        <x:v>CHECK_OUT</x:v>
      </x:c>
      <x:c r="F1769" s="8" t="n">
        <x:v>46302.58628472222</x:v>
      </x:c>
      <x:c r="G1769" s="8" t="n">
        <x:v>46302.58630787037</x:v>
      </x:c>
      <x:c r="H1769" s="2" t="str">
        <x:v>R1S1</x:v>
      </x:c>
      <x:c r="I1769" s="9" t="n">
        <x:v>25.271</x:v>
      </x:c>
      <x:c r="J1769" s="9" t="n">
        <x:v>51.491</x:v>
      </x:c>
      <x:c r="K1769" s="2" t="n">
        <x:v>8</x:v>
      </x:c>
      <x:c r="L1769" s="2" t="str">
        <x:v>Valid</x:v>
      </x:c>
      <x:c r="M1769" s="2" t="str">
        <x:v>QR</x:v>
      </x:c>
      <x:c r="N1769" s="2" t="n">
        <x:v>1</x:v>
      </x:c>
      <x:c r="O1769" s="2" t="str">
        <x:v>Accepted</x:v>
      </x:c>
      <x:c r="P1769" s="2" t="str">
        <x:v>S001</x:v>
      </x:c>
      <x:c r="Q1769" s="2" t="str">
        <x:v>DEV001</x:v>
      </x:c>
      <x:c r="R1769" s="2" t="n">
        <x:v>12</x:v>
      </x:c>
      <x:c r="S1769" s="2" t="str">
        <x:v>Online</x:v>
      </x:c>
      <x:c r="T1769" s="2" t="str">
        <x:v>Synced</x:v>
      </x:c>
    </x:row>
    <x:row r="1770" ht="21" customHeight="1">
      <x:c r="A1770" s="2" t="str">
        <x:v>EV001706</x:v>
      </x:c>
      <x:c r="B1770" s="2" t="str">
        <x:v>T20261007-3-2</x:v>
      </x:c>
      <x:c r="C1770" s="2" t="str">
        <x:v>ST056</x:v>
      </x:c>
      <x:c r="D1770" s="2" t="str">
        <x:v>245ed370430be1001f6d7d13404dd8b1</x:v>
      </x:c>
      <x:c r="E1770" s="2" t="str">
        <x:v>CHECK_OUT</x:v>
      </x:c>
      <x:c r="F1770" s="8" t="n">
        <x:v>46302.58628472222</x:v>
      </x:c>
      <x:c r="G1770" s="8" t="n">
        <x:v>46302.58630787037</x:v>
      </x:c>
      <x:c r="H1770" s="2" t="str">
        <x:v>R2S1</x:v>
      </x:c>
      <x:c r="I1770" s="9" t="n">
        <x:v>25.28</x:v>
      </x:c>
      <x:c r="J1770" s="9" t="n">
        <x:v>51.498999999999995</x:v>
      </x:c>
      <x:c r="K1770" s="2" t="n">
        <x:v>8</x:v>
      </x:c>
      <x:c r="L1770" s="2" t="str">
        <x:v>Valid</x:v>
      </x:c>
      <x:c r="M1770" s="2" t="str">
        <x:v>QR</x:v>
      </x:c>
      <x:c r="N1770" s="2" t="n">
        <x:v>1</x:v>
      </x:c>
      <x:c r="O1770" s="2" t="str">
        <x:v>Accepted</x:v>
      </x:c>
      <x:c r="P1770" s="2" t="str">
        <x:v>S002</x:v>
      </x:c>
      <x:c r="Q1770" s="2" t="str">
        <x:v>DEV002</x:v>
      </x:c>
      <x:c r="R1770" s="2" t="n">
        <x:v>12</x:v>
      </x:c>
      <x:c r="S1770" s="2" t="str">
        <x:v>Online</x:v>
      </x:c>
      <x:c r="T1770" s="2" t="str">
        <x:v>Synced</x:v>
      </x:c>
    </x:row>
    <x:row r="1771" ht="21" customHeight="1">
      <x:c r="A1771" s="2" t="str">
        <x:v>EV001866</x:v>
      </x:c>
      <x:c r="B1771" s="2" t="str">
        <x:v>T20261007-3-3</x:v>
      </x:c>
      <x:c r="C1771" s="2" t="str">
        <x:v>ST096</x:v>
      </x:c>
      <x:c r="D1771" s="2" t="str">
        <x:v>46905fa8ca039f79eec63d82a6ea3c69</x:v>
      </x:c>
      <x:c r="E1771" s="2" t="str">
        <x:v>CHECK_OUT</x:v>
      </x:c>
      <x:c r="F1771" s="8" t="n">
        <x:v>46302.58628472222</x:v>
      </x:c>
      <x:c r="G1771" s="8" t="n">
        <x:v>46302.58630787037</x:v>
      </x:c>
      <x:c r="H1771" s="2" t="str">
        <x:v>R3S1</x:v>
      </x:c>
      <x:c r="I1771" s="9" t="n">
        <x:v>25.289</x:v>
      </x:c>
      <x:c r="J1771" s="9" t="n">
        <x:v>51.507</x:v>
      </x:c>
      <x:c r="K1771" s="2" t="n">
        <x:v>8</x:v>
      </x:c>
      <x:c r="L1771" s="2" t="str">
        <x:v>Valid</x:v>
      </x:c>
      <x:c r="M1771" s="2" t="str">
        <x:v>QR</x:v>
      </x:c>
      <x:c r="N1771" s="2" t="n">
        <x:v>1</x:v>
      </x:c>
      <x:c r="O1771" s="2" t="str">
        <x:v>Accepted</x:v>
      </x:c>
      <x:c r="P1771" s="2" t="str">
        <x:v>S003</x:v>
      </x:c>
      <x:c r="Q1771" s="2" t="str">
        <x:v>DEV003</x:v>
      </x:c>
      <x:c r="R1771" s="2" t="n">
        <x:v>12</x:v>
      </x:c>
      <x:c r="S1771" s="2" t="str">
        <x:v>Online</x:v>
      </x:c>
      <x:c r="T1771" s="2" t="str">
        <x:v>Synced</x:v>
      </x:c>
    </x:row>
    <x:row r="1772" ht="21" customHeight="1">
      <x:c r="A1772" s="2" t="str">
        <x:v>EV001552</x:v>
      </x:c>
      <x:c r="B1772" s="2" t="str">
        <x:v>T20261007-3-1</x:v>
      </x:c>
      <x:c r="C1772" s="2" t="str">
        <x:v>ST019</x:v>
      </x:c>
      <x:c r="D1772" s="2" t="str">
        <x:v>b83400b1b6dcfb0f7cb413571cb76f8f</x:v>
      </x:c>
      <x:c r="E1772" s="2" t="str">
        <x:v>CHECK_OUT</x:v>
      </x:c>
      <x:c r="F1772" s="8" t="n">
        <x:v>46302.58638888889</x:v>
      </x:c>
      <x:c r="G1772" s="8" t="n">
        <x:v>46302.58641203704</x:v>
      </x:c>
      <x:c r="H1772" s="2" t="str">
        <x:v>R1S1</x:v>
      </x:c>
      <x:c r="I1772" s="9" t="n">
        <x:v>25.271</x:v>
      </x:c>
      <x:c r="J1772" s="9" t="n">
        <x:v>51.491</x:v>
      </x:c>
      <x:c r="K1772" s="2" t="n">
        <x:v>8</x:v>
      </x:c>
      <x:c r="L1772" s="2" t="str">
        <x:v>Valid</x:v>
      </x:c>
      <x:c r="M1772" s="2" t="str">
        <x:v>QR</x:v>
      </x:c>
      <x:c r="N1772" s="2" t="n">
        <x:v>1</x:v>
      </x:c>
      <x:c r="O1772" s="2" t="str">
        <x:v>Accepted</x:v>
      </x:c>
      <x:c r="P1772" s="2" t="str">
        <x:v>S001</x:v>
      </x:c>
      <x:c r="Q1772" s="2" t="str">
        <x:v>DEV001</x:v>
      </x:c>
      <x:c r="R1772" s="2" t="n">
        <x:v>13</x:v>
      </x:c>
      <x:c r="S1772" s="2" t="str">
        <x:v>Online</x:v>
      </x:c>
      <x:c r="T1772" s="2" t="str">
        <x:v>Synced</x:v>
      </x:c>
    </x:row>
    <x:row r="1773" ht="21" customHeight="1">
      <x:c r="A1773" s="2" t="str">
        <x:v>EV001712</x:v>
      </x:c>
      <x:c r="B1773" s="2" t="str">
        <x:v>T20261007-3-2</x:v>
      </x:c>
      <x:c r="C1773" s="2" t="str">
        <x:v>ST059</x:v>
      </x:c>
      <x:c r="D1773" s="2" t="str">
        <x:v>08b31edc14b3a345822a41d6515bfcba</x:v>
      </x:c>
      <x:c r="E1773" s="2" t="str">
        <x:v>CHECK_OUT</x:v>
      </x:c>
      <x:c r="F1773" s="8" t="n">
        <x:v>46302.58638888889</x:v>
      </x:c>
      <x:c r="G1773" s="8" t="n">
        <x:v>46302.58641203704</x:v>
      </x:c>
      <x:c r="H1773" s="2" t="str">
        <x:v>R2S1</x:v>
      </x:c>
      <x:c r="I1773" s="9" t="n">
        <x:v>25.28</x:v>
      </x:c>
      <x:c r="J1773" s="9" t="n">
        <x:v>51.498999999999995</x:v>
      </x:c>
      <x:c r="K1773" s="2" t="n">
        <x:v>8</x:v>
      </x:c>
      <x:c r="L1773" s="2" t="str">
        <x:v>Valid</x:v>
      </x:c>
      <x:c r="M1773" s="2" t="str">
        <x:v>QR</x:v>
      </x:c>
      <x:c r="N1773" s="2" t="n">
        <x:v>1</x:v>
      </x:c>
      <x:c r="O1773" s="2" t="str">
        <x:v>Accepted</x:v>
      </x:c>
      <x:c r="P1773" s="2" t="str">
        <x:v>S002</x:v>
      </x:c>
      <x:c r="Q1773" s="2" t="str">
        <x:v>DEV002</x:v>
      </x:c>
      <x:c r="R1773" s="2" t="n">
        <x:v>13</x:v>
      </x:c>
      <x:c r="S1773" s="2" t="str">
        <x:v>Online</x:v>
      </x:c>
      <x:c r="T1773" s="2" t="str">
        <x:v>Synced</x:v>
      </x:c>
    </x:row>
    <x:row r="1774" ht="21" customHeight="1">
      <x:c r="A1774" s="2" t="str">
        <x:v>EV001872</x:v>
      </x:c>
      <x:c r="B1774" s="2" t="str">
        <x:v>T20261007-3-3</x:v>
      </x:c>
      <x:c r="C1774" s="2" t="str">
        <x:v>ST099</x:v>
      </x:c>
      <x:c r="D1774" s="2" t="str">
        <x:v>46d20c66394c55b68e36e5335452d87c</x:v>
      </x:c>
      <x:c r="E1774" s="2" t="str">
        <x:v>CHECK_OUT</x:v>
      </x:c>
      <x:c r="F1774" s="8" t="n">
        <x:v>46302.58638888889</x:v>
      </x:c>
      <x:c r="G1774" s="8" t="n">
        <x:v>46302.58641203704</x:v>
      </x:c>
      <x:c r="H1774" s="2" t="str">
        <x:v>R3S1</x:v>
      </x:c>
      <x:c r="I1774" s="9" t="n">
        <x:v>25.289</x:v>
      </x:c>
      <x:c r="J1774" s="9" t="n">
        <x:v>51.507</x:v>
      </x:c>
      <x:c r="K1774" s="2" t="n">
        <x:v>8</x:v>
      </x:c>
      <x:c r="L1774" s="2" t="str">
        <x:v>Valid</x:v>
      </x:c>
      <x:c r="M1774" s="2" t="str">
        <x:v>QR</x:v>
      </x:c>
      <x:c r="N1774" s="2" t="n">
        <x:v>1</x:v>
      </x:c>
      <x:c r="O1774" s="2" t="str">
        <x:v>Accepted</x:v>
      </x:c>
      <x:c r="P1774" s="2" t="str">
        <x:v>S003</x:v>
      </x:c>
      <x:c r="Q1774" s="2" t="str">
        <x:v>DEV003</x:v>
      </x:c>
      <x:c r="R1774" s="2" t="n">
        <x:v>13</x:v>
      </x:c>
      <x:c r="S1774" s="2" t="str">
        <x:v>Online</x:v>
      </x:c>
      <x:c r="T1774" s="2" t="str">
        <x:v>Synced</x:v>
      </x:c>
    </x:row>
    <x:row r="1775" ht="21" customHeight="1">
      <x:c r="A1775" s="2" t="str">
        <x:v>EV001536</x:v>
      </x:c>
      <x:c r="B1775" s="2" t="str">
        <x:v>T20261007-3-1</x:v>
      </x:c>
      <x:c r="C1775" s="2" t="str">
        <x:v>ST011</x:v>
      </x:c>
      <x:c r="D1775" s="2" t="str">
        <x:v>38c917effc7ec45ac750455eb7892f3e</x:v>
      </x:c>
      <x:c r="E1775" s="2" t="str">
        <x:v>CHECK_OUT</x:v>
      </x:c>
      <x:c r="F1775" s="8" t="n">
        <x:v>46302.59027777778</x:v>
      </x:c>
      <x:c r="G1775" s="8" t="n">
        <x:v>46302.59030092593</x:v>
      </x:c>
      <x:c r="H1775" s="2" t="str">
        <x:v>R1S2</x:v>
      </x:c>
      <x:c r="I1775" s="9" t="n">
        <x:v>25.273000000000003</x:v>
      </x:c>
      <x:c r="J1775" s="9" t="n">
        <x:v>51.494</x:v>
      </x:c>
      <x:c r="K1775" s="2" t="n">
        <x:v>8</x:v>
      </x:c>
      <x:c r="L1775" s="2" t="str">
        <x:v>Valid</x:v>
      </x:c>
      <x:c r="M1775" s="2" t="str">
        <x:v>QR</x:v>
      </x:c>
      <x:c r="N1775" s="2" t="n">
        <x:v>1</x:v>
      </x:c>
      <x:c r="O1775" s="2" t="str">
        <x:v>Accepted</x:v>
      </x:c>
      <x:c r="P1775" s="2" t="str">
        <x:v>S001</x:v>
      </x:c>
      <x:c r="Q1775" s="2" t="str">
        <x:v>DEV001</x:v>
      </x:c>
      <x:c r="R1775" s="2" t="n">
        <x:v>14</x:v>
      </x:c>
      <x:c r="S1775" s="2" t="str">
        <x:v>Online</x:v>
      </x:c>
      <x:c r="T1775" s="2" t="str">
        <x:v>Synced</x:v>
      </x:c>
    </x:row>
    <x:row r="1776" ht="21" customHeight="1">
      <x:c r="A1776" s="2" t="str">
        <x:v>EV001696</x:v>
      </x:c>
      <x:c r="B1776" s="2" t="str">
        <x:v>T20261007-3-2</x:v>
      </x:c>
      <x:c r="C1776" s="2" t="str">
        <x:v>ST051</x:v>
      </x:c>
      <x:c r="D1776" s="2" t="str">
        <x:v>410a66d29aea7be5806f7d6945266303</x:v>
      </x:c>
      <x:c r="E1776" s="2" t="str">
        <x:v>CHECK_OUT</x:v>
      </x:c>
      <x:c r="F1776" s="8" t="n">
        <x:v>46302.59027777778</x:v>
      </x:c>
      <x:c r="G1776" s="8" t="n">
        <x:v>46302.59030092593</x:v>
      </x:c>
      <x:c r="H1776" s="2" t="str">
        <x:v>R2S2</x:v>
      </x:c>
      <x:c r="I1776" s="9" t="n">
        <x:v>25.282000000000004</x:v>
      </x:c>
      <x:c r="J1776" s="9" t="n">
        <x:v>51.501999999999995</x:v>
      </x:c>
      <x:c r="K1776" s="2" t="n">
        <x:v>8</x:v>
      </x:c>
      <x:c r="L1776" s="2" t="str">
        <x:v>Valid</x:v>
      </x:c>
      <x:c r="M1776" s="2" t="str">
        <x:v>QR</x:v>
      </x:c>
      <x:c r="N1776" s="2" t="n">
        <x:v>1</x:v>
      </x:c>
      <x:c r="O1776" s="2" t="str">
        <x:v>Accepted</x:v>
      </x:c>
      <x:c r="P1776" s="2" t="str">
        <x:v>S002</x:v>
      </x:c>
      <x:c r="Q1776" s="2" t="str">
        <x:v>DEV002</x:v>
      </x:c>
      <x:c r="R1776" s="2" t="n">
        <x:v>14</x:v>
      </x:c>
      <x:c r="S1776" s="2" t="str">
        <x:v>Online</x:v>
      </x:c>
      <x:c r="T1776" s="2" t="str">
        <x:v>Synced</x:v>
      </x:c>
    </x:row>
    <x:row r="1777" ht="21" customHeight="1">
      <x:c r="A1777" s="2" t="str">
        <x:v>EV001856</x:v>
      </x:c>
      <x:c r="B1777" s="2" t="str">
        <x:v>T20261007-3-3</x:v>
      </x:c>
      <x:c r="C1777" s="2" t="str">
        <x:v>ST091</x:v>
      </x:c>
      <x:c r="D1777" s="2" t="str">
        <x:v>2d74afc7329a1eb53bd16a92fc366891</x:v>
      </x:c>
      <x:c r="E1777" s="2" t="str">
        <x:v>CHECK_OUT</x:v>
      </x:c>
      <x:c r="F1777" s="8" t="n">
        <x:v>46302.59027777778</x:v>
      </x:c>
      <x:c r="G1777" s="8" t="n">
        <x:v>46302.59030092593</x:v>
      </x:c>
      <x:c r="H1777" s="2" t="str">
        <x:v>R3S2</x:v>
      </x:c>
      <x:c r="I1777" s="9" t="n">
        <x:v>25.291000000000004</x:v>
      </x:c>
      <x:c r="J1777" s="9" t="n">
        <x:v>51.51</x:v>
      </x:c>
      <x:c r="K1777" s="2" t="n">
        <x:v>8</x:v>
      </x:c>
      <x:c r="L1777" s="2" t="str">
        <x:v>Valid</x:v>
      </x:c>
      <x:c r="M1777" s="2" t="str">
        <x:v>QR</x:v>
      </x:c>
      <x:c r="N1777" s="2" t="n">
        <x:v>1</x:v>
      </x:c>
      <x:c r="O1777" s="2" t="str">
        <x:v>Accepted</x:v>
      </x:c>
      <x:c r="P1777" s="2" t="str">
        <x:v>S003</x:v>
      </x:c>
      <x:c r="Q1777" s="2" t="str">
        <x:v>DEV003</x:v>
      </x:c>
      <x:c r="R1777" s="2" t="n">
        <x:v>14</x:v>
      </x:c>
      <x:c r="S1777" s="2" t="str">
        <x:v>Online</x:v>
      </x:c>
      <x:c r="T1777" s="2" t="str">
        <x:v>Synced</x:v>
      </x:c>
    </x:row>
    <x:row r="1778" ht="21" customHeight="1">
      <x:c r="A1778" s="2" t="str">
        <x:v>EV001542</x:v>
      </x:c>
      <x:c r="B1778" s="2" t="str">
        <x:v>T20261007-3-1</x:v>
      </x:c>
      <x:c r="C1778" s="2" t="str">
        <x:v>ST014</x:v>
      </x:c>
      <x:c r="D1778" s="2" t="str">
        <x:v>6ea4b25306143e251962ae19fa8ee7af</x:v>
      </x:c>
      <x:c r="E1778" s="2" t="str">
        <x:v>CHECK_OUT</x:v>
      </x:c>
      <x:c r="F1778" s="8" t="n">
        <x:v>46302.59038194445</x:v>
      </x:c>
      <x:c r="G1778" s="8" t="n">
        <x:v>46302.5904050926</x:v>
      </x:c>
      <x:c r="H1778" s="2" t="str">
        <x:v>R1S2</x:v>
      </x:c>
      <x:c r="I1778" s="9" t="n">
        <x:v>25.273000000000003</x:v>
      </x:c>
      <x:c r="J1778" s="9" t="n">
        <x:v>51.494</x:v>
      </x:c>
      <x:c r="K1778" s="2" t="n">
        <x:v>8</x:v>
      </x:c>
      <x:c r="L1778" s="2" t="str">
        <x:v>Valid</x:v>
      </x:c>
      <x:c r="M1778" s="2" t="str">
        <x:v>QR</x:v>
      </x:c>
      <x:c r="N1778" s="2" t="n">
        <x:v>1</x:v>
      </x:c>
      <x:c r="O1778" s="2" t="str">
        <x:v>Accepted</x:v>
      </x:c>
      <x:c r="P1778" s="2" t="str">
        <x:v>S001</x:v>
      </x:c>
      <x:c r="Q1778" s="2" t="str">
        <x:v>DEV001</x:v>
      </x:c>
      <x:c r="R1778" s="2" t="n">
        <x:v>15</x:v>
      </x:c>
      <x:c r="S1778" s="2" t="str">
        <x:v>Online</x:v>
      </x:c>
      <x:c r="T1778" s="2" t="str">
        <x:v>Synced</x:v>
      </x:c>
    </x:row>
    <x:row r="1779" ht="21" customHeight="1">
      <x:c r="A1779" s="2" t="str">
        <x:v>EV001702</x:v>
      </x:c>
      <x:c r="B1779" s="2" t="str">
        <x:v>T20261007-3-2</x:v>
      </x:c>
      <x:c r="C1779" s="2" t="str">
        <x:v>ST054</x:v>
      </x:c>
      <x:c r="D1779" s="2" t="str">
        <x:v>1c9a916db52e081aeb59bc928cb914dd</x:v>
      </x:c>
      <x:c r="E1779" s="2" t="str">
        <x:v>CHECK_OUT</x:v>
      </x:c>
      <x:c r="F1779" s="8" t="n">
        <x:v>46302.59038194445</x:v>
      </x:c>
      <x:c r="G1779" s="8" t="n">
        <x:v>46302.5904050926</x:v>
      </x:c>
      <x:c r="H1779" s="2" t="str">
        <x:v>R2S2</x:v>
      </x:c>
      <x:c r="I1779" s="9" t="n">
        <x:v>25.282000000000004</x:v>
      </x:c>
      <x:c r="J1779" s="9" t="n">
        <x:v>51.501999999999995</x:v>
      </x:c>
      <x:c r="K1779" s="2" t="n">
        <x:v>8</x:v>
      </x:c>
      <x:c r="L1779" s="2" t="str">
        <x:v>Valid</x:v>
      </x:c>
      <x:c r="M1779" s="2" t="str">
        <x:v>QR</x:v>
      </x:c>
      <x:c r="N1779" s="2" t="n">
        <x:v>1</x:v>
      </x:c>
      <x:c r="O1779" s="2" t="str">
        <x:v>Accepted</x:v>
      </x:c>
      <x:c r="P1779" s="2" t="str">
        <x:v>S002</x:v>
      </x:c>
      <x:c r="Q1779" s="2" t="str">
        <x:v>DEV002</x:v>
      </x:c>
      <x:c r="R1779" s="2" t="n">
        <x:v>15</x:v>
      </x:c>
      <x:c r="S1779" s="2" t="str">
        <x:v>Online</x:v>
      </x:c>
      <x:c r="T1779" s="2" t="str">
        <x:v>Synced</x:v>
      </x:c>
    </x:row>
    <x:row r="1780" ht="21" customHeight="1">
      <x:c r="A1780" s="2" t="str">
        <x:v>EV001862</x:v>
      </x:c>
      <x:c r="B1780" s="2" t="str">
        <x:v>T20261007-3-3</x:v>
      </x:c>
      <x:c r="C1780" s="2" t="str">
        <x:v>ST094</x:v>
      </x:c>
      <x:c r="D1780" s="2" t="str">
        <x:v>b6fd37c188877a378c496dccb3132cf2</x:v>
      </x:c>
      <x:c r="E1780" s="2" t="str">
        <x:v>CHECK_OUT</x:v>
      </x:c>
      <x:c r="F1780" s="8" t="n">
        <x:v>46302.59038194445</x:v>
      </x:c>
      <x:c r="G1780" s="8" t="n">
        <x:v>46302.5904050926</x:v>
      </x:c>
      <x:c r="H1780" s="2" t="str">
        <x:v>R3S2</x:v>
      </x:c>
      <x:c r="I1780" s="9" t="n">
        <x:v>25.291000000000004</x:v>
      </x:c>
      <x:c r="J1780" s="9" t="n">
        <x:v>51.51</x:v>
      </x:c>
      <x:c r="K1780" s="2" t="n">
        <x:v>8</x:v>
      </x:c>
      <x:c r="L1780" s="2" t="str">
        <x:v>Valid</x:v>
      </x:c>
      <x:c r="M1780" s="2" t="str">
        <x:v>QR</x:v>
      </x:c>
      <x:c r="N1780" s="2" t="n">
        <x:v>1</x:v>
      </x:c>
      <x:c r="O1780" s="2" t="str">
        <x:v>Accepted</x:v>
      </x:c>
      <x:c r="P1780" s="2" t="str">
        <x:v>S003</x:v>
      </x:c>
      <x:c r="Q1780" s="2" t="str">
        <x:v>DEV003</x:v>
      </x:c>
      <x:c r="R1780" s="2" t="n">
        <x:v>15</x:v>
      </x:c>
      <x:c r="S1780" s="2" t="str">
        <x:v>Online</x:v>
      </x:c>
      <x:c r="T1780" s="2" t="str">
        <x:v>Synced</x:v>
      </x:c>
    </x:row>
    <x:row r="1781" ht="21" customHeight="1">
      <x:c r="A1781" s="2" t="str">
        <x:v>EV001548</x:v>
      </x:c>
      <x:c r="B1781" s="2" t="str">
        <x:v>T20261007-3-1</x:v>
      </x:c>
      <x:c r="C1781" s="2" t="str">
        <x:v>ST017</x:v>
      </x:c>
      <x:c r="D1781" s="2" t="str">
        <x:v>ea6159d457322f2456f4cadd6b3d659f</x:v>
      </x:c>
      <x:c r="E1781" s="2" t="str">
        <x:v>CHECK_OUT</x:v>
      </x:c>
      <x:c r="F1781" s="8" t="n">
        <x:v>46302.59048611111</x:v>
      </x:c>
      <x:c r="G1781" s="8" t="n">
        <x:v>46302.59050925926</x:v>
      </x:c>
      <x:c r="H1781" s="2" t="str">
        <x:v>R1S2</x:v>
      </x:c>
      <x:c r="I1781" s="9" t="n">
        <x:v>25.273000000000003</x:v>
      </x:c>
      <x:c r="J1781" s="9" t="n">
        <x:v>51.494</x:v>
      </x:c>
      <x:c r="K1781" s="2" t="n">
        <x:v>8</x:v>
      </x:c>
      <x:c r="L1781" s="2" t="str">
        <x:v>Valid</x:v>
      </x:c>
      <x:c r="M1781" s="2" t="str">
        <x:v>QR</x:v>
      </x:c>
      <x:c r="N1781" s="2" t="n">
        <x:v>1</x:v>
      </x:c>
      <x:c r="O1781" s="2" t="str">
        <x:v>Accepted</x:v>
      </x:c>
      <x:c r="P1781" s="2" t="str">
        <x:v>S001</x:v>
      </x:c>
      <x:c r="Q1781" s="2" t="str">
        <x:v>DEV001</x:v>
      </x:c>
      <x:c r="R1781" s="2" t="n">
        <x:v>16</x:v>
      </x:c>
      <x:c r="S1781" s="2" t="str">
        <x:v>Online</x:v>
      </x:c>
      <x:c r="T1781" s="2" t="str">
        <x:v>Synced</x:v>
      </x:c>
    </x:row>
    <x:row r="1782" ht="21" customHeight="1">
      <x:c r="A1782" s="2" t="str">
        <x:v>EV001708</x:v>
      </x:c>
      <x:c r="B1782" s="2" t="str">
        <x:v>T20261007-3-2</x:v>
      </x:c>
      <x:c r="C1782" s="2" t="str">
        <x:v>ST057</x:v>
      </x:c>
      <x:c r="D1782" s="2" t="str">
        <x:v>68d992c7418727808ad27d2e5ee9b88d</x:v>
      </x:c>
      <x:c r="E1782" s="2" t="str">
        <x:v>CHECK_OUT</x:v>
      </x:c>
      <x:c r="F1782" s="8" t="n">
        <x:v>46302.59048611111</x:v>
      </x:c>
      <x:c r="G1782" s="8" t="n">
        <x:v>46302.59050925926</x:v>
      </x:c>
      <x:c r="H1782" s="2" t="str">
        <x:v>R2S2</x:v>
      </x:c>
      <x:c r="I1782" s="9" t="n">
        <x:v>25.282000000000004</x:v>
      </x:c>
      <x:c r="J1782" s="9" t="n">
        <x:v>51.501999999999995</x:v>
      </x:c>
      <x:c r="K1782" s="2" t="n">
        <x:v>8</x:v>
      </x:c>
      <x:c r="L1782" s="2" t="str">
        <x:v>Valid</x:v>
      </x:c>
      <x:c r="M1782" s="2" t="str">
        <x:v>QR</x:v>
      </x:c>
      <x:c r="N1782" s="2" t="n">
        <x:v>1</x:v>
      </x:c>
      <x:c r="O1782" s="2" t="str">
        <x:v>Accepted</x:v>
      </x:c>
      <x:c r="P1782" s="2" t="str">
        <x:v>S002</x:v>
      </x:c>
      <x:c r="Q1782" s="2" t="str">
        <x:v>DEV002</x:v>
      </x:c>
      <x:c r="R1782" s="2" t="n">
        <x:v>16</x:v>
      </x:c>
      <x:c r="S1782" s="2" t="str">
        <x:v>Online</x:v>
      </x:c>
      <x:c r="T1782" s="2" t="str">
        <x:v>Synced</x:v>
      </x:c>
    </x:row>
    <x:row r="1783" ht="21" customHeight="1">
      <x:c r="A1783" s="2" t="str">
        <x:v>EV001868</x:v>
      </x:c>
      <x:c r="B1783" s="2" t="str">
        <x:v>T20261007-3-3</x:v>
      </x:c>
      <x:c r="C1783" s="2" t="str">
        <x:v>ST097</x:v>
      </x:c>
      <x:c r="D1783" s="2" t="str">
        <x:v>0ccbf8d08569df9dde2207b8d5616d1e</x:v>
      </x:c>
      <x:c r="E1783" s="2" t="str">
        <x:v>CHECK_OUT</x:v>
      </x:c>
      <x:c r="F1783" s="8" t="n">
        <x:v>46302.59048611111</x:v>
      </x:c>
      <x:c r="G1783" s="8" t="n">
        <x:v>46302.59050925926</x:v>
      </x:c>
      <x:c r="H1783" s="2" t="str">
        <x:v>R3S2</x:v>
      </x:c>
      <x:c r="I1783" s="9" t="n">
        <x:v>25.291000000000004</x:v>
      </x:c>
      <x:c r="J1783" s="9" t="n">
        <x:v>51.51</x:v>
      </x:c>
      <x:c r="K1783" s="2" t="n">
        <x:v>8</x:v>
      </x:c>
      <x:c r="L1783" s="2" t="str">
        <x:v>Valid</x:v>
      </x:c>
      <x:c r="M1783" s="2" t="str">
        <x:v>QR</x:v>
      </x:c>
      <x:c r="N1783" s="2" t="n">
        <x:v>1</x:v>
      </x:c>
      <x:c r="O1783" s="2" t="str">
        <x:v>Accepted</x:v>
      </x:c>
      <x:c r="P1783" s="2" t="str">
        <x:v>S003</x:v>
      </x:c>
      <x:c r="Q1783" s="2" t="str">
        <x:v>DEV003</x:v>
      </x:c>
      <x:c r="R1783" s="2" t="n">
        <x:v>16</x:v>
      </x:c>
      <x:c r="S1783" s="2" t="str">
        <x:v>Online</x:v>
      </x:c>
      <x:c r="T1783" s="2" t="str">
        <x:v>Synced</x:v>
      </x:c>
    </x:row>
    <x:row r="1784" ht="21" customHeight="1">
      <x:c r="A1784" s="2" t="str">
        <x:v>EV001554</x:v>
      </x:c>
      <x:c r="B1784" s="2" t="str">
        <x:v>T20261007-3-1</x:v>
      </x:c>
      <x:c r="C1784" s="2" t="str">
        <x:v>ST020</x:v>
      </x:c>
      <x:c r="D1784" s="2" t="str">
        <x:v>9f8daa9030f9f7599cd24e056935ab8d</x:v>
      </x:c>
      <x:c r="E1784" s="2" t="str">
        <x:v>CHECK_OUT</x:v>
      </x:c>
      <x:c r="F1784" s="8" t="n">
        <x:v>46302.59059027778</x:v>
      </x:c>
      <x:c r="G1784" s="8" t="n">
        <x:v>46302.59061342593</x:v>
      </x:c>
      <x:c r="H1784" s="2" t="str">
        <x:v>R1S2</x:v>
      </x:c>
      <x:c r="I1784" s="9" t="n">
        <x:v>25.273000000000003</x:v>
      </x:c>
      <x:c r="J1784" s="9" t="n">
        <x:v>51.494</x:v>
      </x:c>
      <x:c r="K1784" s="2" t="n">
        <x:v>8</x:v>
      </x:c>
      <x:c r="L1784" s="2" t="str">
        <x:v>Valid</x:v>
      </x:c>
      <x:c r="M1784" s="2" t="str">
        <x:v>QR</x:v>
      </x:c>
      <x:c r="N1784" s="2" t="n">
        <x:v>1</x:v>
      </x:c>
      <x:c r="O1784" s="2" t="str">
        <x:v>Accepted</x:v>
      </x:c>
      <x:c r="P1784" s="2" t="str">
        <x:v>S001</x:v>
      </x:c>
      <x:c r="Q1784" s="2" t="str">
        <x:v>DEV001</x:v>
      </x:c>
      <x:c r="R1784" s="2" t="n">
        <x:v>17</x:v>
      </x:c>
      <x:c r="S1784" s="2" t="str">
        <x:v>Online</x:v>
      </x:c>
      <x:c r="T1784" s="2" t="str">
        <x:v>Synced</x:v>
      </x:c>
    </x:row>
    <x:row r="1785" ht="21" customHeight="1">
      <x:c r="A1785" s="2" t="str">
        <x:v>EV001714</x:v>
      </x:c>
      <x:c r="B1785" s="2" t="str">
        <x:v>T20261007-3-2</x:v>
      </x:c>
      <x:c r="C1785" s="2" t="str">
        <x:v>ST060</x:v>
      </x:c>
      <x:c r="D1785" s="2" t="str">
        <x:v>a424ea3d9a5cb1c08037457e61cef61f</x:v>
      </x:c>
      <x:c r="E1785" s="2" t="str">
        <x:v>CHECK_OUT</x:v>
      </x:c>
      <x:c r="F1785" s="8" t="n">
        <x:v>46302.59059027778</x:v>
      </x:c>
      <x:c r="G1785" s="8" t="n">
        <x:v>46302.59061342593</x:v>
      </x:c>
      <x:c r="H1785" s="2" t="str">
        <x:v>R2S2</x:v>
      </x:c>
      <x:c r="I1785" s="9" t="n">
        <x:v>25.282000000000004</x:v>
      </x:c>
      <x:c r="J1785" s="9" t="n">
        <x:v>51.501999999999995</x:v>
      </x:c>
      <x:c r="K1785" s="2" t="n">
        <x:v>8</x:v>
      </x:c>
      <x:c r="L1785" s="2" t="str">
        <x:v>Valid</x:v>
      </x:c>
      <x:c r="M1785" s="2" t="str">
        <x:v>QR</x:v>
      </x:c>
      <x:c r="N1785" s="2" t="n">
        <x:v>1</x:v>
      </x:c>
      <x:c r="O1785" s="2" t="str">
        <x:v>Accepted</x:v>
      </x:c>
      <x:c r="P1785" s="2" t="str">
        <x:v>S002</x:v>
      </x:c>
      <x:c r="Q1785" s="2" t="str">
        <x:v>DEV002</x:v>
      </x:c>
      <x:c r="R1785" s="2" t="n">
        <x:v>17</x:v>
      </x:c>
      <x:c r="S1785" s="2" t="str">
        <x:v>Online</x:v>
      </x:c>
      <x:c r="T1785" s="2" t="str">
        <x:v>Synced</x:v>
      </x:c>
    </x:row>
    <x:row r="1786" ht="21" customHeight="1">
      <x:c r="A1786" s="2" t="str">
        <x:v>EV001874</x:v>
      </x:c>
      <x:c r="B1786" s="2" t="str">
        <x:v>T20261007-3-3</x:v>
      </x:c>
      <x:c r="C1786" s="2" t="str">
        <x:v>ST100</x:v>
      </x:c>
      <x:c r="D1786" s="2" t="str">
        <x:v>6ba3ddf298bc4515d195454c1e81d9d6</x:v>
      </x:c>
      <x:c r="E1786" s="2" t="str">
        <x:v>CHECK_OUT</x:v>
      </x:c>
      <x:c r="F1786" s="8" t="n">
        <x:v>46302.59059027778</x:v>
      </x:c>
      <x:c r="G1786" s="8" t="n">
        <x:v>46302.59061342593</x:v>
      </x:c>
      <x:c r="H1786" s="2" t="str">
        <x:v>R3S2</x:v>
      </x:c>
      <x:c r="I1786" s="9" t="n">
        <x:v>25.291000000000004</x:v>
      </x:c>
      <x:c r="J1786" s="9" t="n">
        <x:v>51.51</x:v>
      </x:c>
      <x:c r="K1786" s="2" t="n">
        <x:v>8</x:v>
      </x:c>
      <x:c r="L1786" s="2" t="str">
        <x:v>Valid</x:v>
      </x:c>
      <x:c r="M1786" s="2" t="str">
        <x:v>QR</x:v>
      </x:c>
      <x:c r="N1786" s="2" t="n">
        <x:v>1</x:v>
      </x:c>
      <x:c r="O1786" s="2" t="str">
        <x:v>Accepted</x:v>
      </x:c>
      <x:c r="P1786" s="2" t="str">
        <x:v>S003</x:v>
      </x:c>
      <x:c r="Q1786" s="2" t="str">
        <x:v>DEV003</x:v>
      </x:c>
      <x:c r="R1786" s="2" t="n">
        <x:v>17</x:v>
      </x:c>
      <x:c r="S1786" s="2" t="str">
        <x:v>Online</x:v>
      </x:c>
      <x:c r="T1786" s="2" t="str">
        <x:v>Synced</x:v>
      </x:c>
    </x:row>
    <x:row r="1787" ht="21" customHeight="1">
      <x:c r="A1787" s="2" t="str">
        <x:v>EV001538</x:v>
      </x:c>
      <x:c r="B1787" s="2" t="str">
        <x:v>T20261007-3-1</x:v>
      </x:c>
      <x:c r="C1787" s="2" t="str">
        <x:v>ST012</x:v>
      </x:c>
      <x:c r="D1787" s="2" t="str">
        <x:v>8d45a06a93234042b630e18d7821ea23</x:v>
      </x:c>
      <x:c r="E1787" s="2" t="str">
        <x:v>CHECK_OUT</x:v>
      </x:c>
      <x:c r="F1787" s="8" t="n">
        <x:v>46302.59447916667</x:v>
      </x:c>
      <x:c r="G1787" s="8" t="n">
        <x:v>46302.594502314816</x:v>
      </x:c>
      <x:c r="H1787" s="2" t="str">
        <x:v>R1S3</x:v>
      </x:c>
      <x:c r="I1787" s="9" t="n">
        <x:v>25.275000000000002</x:v>
      </x:c>
      <x:c r="J1787" s="9" t="n">
        <x:v>51.497</x:v>
      </x:c>
      <x:c r="K1787" s="2" t="n">
        <x:v>8</x:v>
      </x:c>
      <x:c r="L1787" s="2" t="str">
        <x:v>Valid</x:v>
      </x:c>
      <x:c r="M1787" s="2" t="str">
        <x:v>QR</x:v>
      </x:c>
      <x:c r="N1787" s="2" t="n">
        <x:v>1</x:v>
      </x:c>
      <x:c r="O1787" s="2" t="str">
        <x:v>Accepted</x:v>
      </x:c>
      <x:c r="P1787" s="2" t="str">
        <x:v>S001</x:v>
      </x:c>
      <x:c r="Q1787" s="2" t="str">
        <x:v>DEV001</x:v>
      </x:c>
      <x:c r="R1787" s="2" t="n">
        <x:v>18</x:v>
      </x:c>
      <x:c r="S1787" s="2" t="str">
        <x:v>Online</x:v>
      </x:c>
      <x:c r="T1787" s="2" t="str">
        <x:v>Synced</x:v>
      </x:c>
    </x:row>
    <x:row r="1788" ht="21" customHeight="1">
      <x:c r="A1788" s="2" t="str">
        <x:v>EV001698</x:v>
      </x:c>
      <x:c r="B1788" s="2" t="str">
        <x:v>T20261007-3-2</x:v>
      </x:c>
      <x:c r="C1788" s="2" t="str">
        <x:v>ST052</x:v>
      </x:c>
      <x:c r="D1788" s="2" t="str">
        <x:v>0c1c5957fe0604ae228ff5e1e1a785bc</x:v>
      </x:c>
      <x:c r="E1788" s="2" t="str">
        <x:v>CHECK_OUT</x:v>
      </x:c>
      <x:c r="F1788" s="8" t="n">
        <x:v>46302.59447916667</x:v>
      </x:c>
      <x:c r="G1788" s="8" t="n">
        <x:v>46302.594502314816</x:v>
      </x:c>
      <x:c r="H1788" s="2" t="str">
        <x:v>R2S3</x:v>
      </x:c>
      <x:c r="I1788" s="9" t="n">
        <x:v>25.284000000000002</x:v>
      </x:c>
      <x:c r="J1788" s="9" t="n">
        <x:v>51.504999999999995</x:v>
      </x:c>
      <x:c r="K1788" s="2" t="n">
        <x:v>8</x:v>
      </x:c>
      <x:c r="L1788" s="2" t="str">
        <x:v>Valid</x:v>
      </x:c>
      <x:c r="M1788" s="2" t="str">
        <x:v>QR</x:v>
      </x:c>
      <x:c r="N1788" s="2" t="n">
        <x:v>1</x:v>
      </x:c>
      <x:c r="O1788" s="2" t="str">
        <x:v>Accepted</x:v>
      </x:c>
      <x:c r="P1788" s="2" t="str">
        <x:v>S002</x:v>
      </x:c>
      <x:c r="Q1788" s="2" t="str">
        <x:v>DEV002</x:v>
      </x:c>
      <x:c r="R1788" s="2" t="n">
        <x:v>18</x:v>
      </x:c>
      <x:c r="S1788" s="2" t="str">
        <x:v>Online</x:v>
      </x:c>
      <x:c r="T1788" s="2" t="str">
        <x:v>Synced</x:v>
      </x:c>
    </x:row>
    <x:row r="1789" ht="21" customHeight="1">
      <x:c r="A1789" s="2" t="str">
        <x:v>EV001858</x:v>
      </x:c>
      <x:c r="B1789" s="2" t="str">
        <x:v>T20261007-3-3</x:v>
      </x:c>
      <x:c r="C1789" s="2" t="str">
        <x:v>ST092</x:v>
      </x:c>
      <x:c r="D1789" s="2" t="str">
        <x:v>e83e93b137787f284ae9574a02ff0cc7</x:v>
      </x:c>
      <x:c r="E1789" s="2" t="str">
        <x:v>CHECK_OUT</x:v>
      </x:c>
      <x:c r="F1789" s="8" t="n">
        <x:v>46302.59447916667</x:v>
      </x:c>
      <x:c r="G1789" s="8" t="n">
        <x:v>46302.594502314816</x:v>
      </x:c>
      <x:c r="H1789" s="2" t="str">
        <x:v>R3S3</x:v>
      </x:c>
      <x:c r="I1789" s="9" t="n">
        <x:v>25.293000000000003</x:v>
      </x:c>
      <x:c r="J1789" s="9" t="n">
        <x:v>51.513</x:v>
      </x:c>
      <x:c r="K1789" s="2" t="n">
        <x:v>8</x:v>
      </x:c>
      <x:c r="L1789" s="2" t="str">
        <x:v>Valid</x:v>
      </x:c>
      <x:c r="M1789" s="2" t="str">
        <x:v>QR</x:v>
      </x:c>
      <x:c r="N1789" s="2" t="n">
        <x:v>1</x:v>
      </x:c>
      <x:c r="O1789" s="2" t="str">
        <x:v>Accepted</x:v>
      </x:c>
      <x:c r="P1789" s="2" t="str">
        <x:v>S003</x:v>
      </x:c>
      <x:c r="Q1789" s="2" t="str">
        <x:v>DEV003</x:v>
      </x:c>
      <x:c r="R1789" s="2" t="n">
        <x:v>18</x:v>
      </x:c>
      <x:c r="S1789" s="2" t="str">
        <x:v>Online</x:v>
      </x:c>
      <x:c r="T1789" s="2" t="str">
        <x:v>Synced</x:v>
      </x:c>
    </x:row>
    <x:row r="1790" ht="21" customHeight="1">
      <x:c r="A1790" s="2" t="str">
        <x:v>EV001704</x:v>
      </x:c>
      <x:c r="B1790" s="2" t="str">
        <x:v>T20261007-3-2</x:v>
      </x:c>
      <x:c r="C1790" s="2" t="str">
        <x:v>ST055</x:v>
      </x:c>
      <x:c r="D1790" s="2" t="str">
        <x:v>e796258b9306e2b3efab77a21add36a5</x:v>
      </x:c>
      <x:c r="E1790" s="2" t="str">
        <x:v>CHECK_OUT</x:v>
      </x:c>
      <x:c r="F1790" s="8" t="n">
        <x:v>46302.59458333334</x:v>
      </x:c>
      <x:c r="G1790" s="8" t="n">
        <x:v>46302.594606481485</x:v>
      </x:c>
      <x:c r="H1790" s="2" t="str">
        <x:v>R2S3</x:v>
      </x:c>
      <x:c r="I1790" s="9" t="n">
        <x:v>25.284000000000002</x:v>
      </x:c>
      <x:c r="J1790" s="9" t="n">
        <x:v>51.504999999999995</x:v>
      </x:c>
      <x:c r="K1790" s="2" t="n">
        <x:v>8</x:v>
      </x:c>
      <x:c r="L1790" s="2" t="str">
        <x:v>Valid</x:v>
      </x:c>
      <x:c r="M1790" s="2" t="str">
        <x:v>QR</x:v>
      </x:c>
      <x:c r="N1790" s="2" t="n">
        <x:v>1</x:v>
      </x:c>
      <x:c r="O1790" s="2" t="str">
        <x:v>Accepted</x:v>
      </x:c>
      <x:c r="P1790" s="2" t="str">
        <x:v>S002</x:v>
      </x:c>
      <x:c r="Q1790" s="2" t="str">
        <x:v>DEV002</x:v>
      </x:c>
      <x:c r="R1790" s="2" t="n">
        <x:v>19</x:v>
      </x:c>
      <x:c r="S1790" s="2" t="str">
        <x:v>Online</x:v>
      </x:c>
      <x:c r="T1790" s="2" t="str">
        <x:v>Synced</x:v>
      </x:c>
    </x:row>
    <x:row r="1791" ht="21" customHeight="1">
      <x:c r="A1791" s="2" t="str">
        <x:v>EV001864</x:v>
      </x:c>
      <x:c r="B1791" s="2" t="str">
        <x:v>T20261007-3-3</x:v>
      </x:c>
      <x:c r="C1791" s="2" t="str">
        <x:v>ST095</x:v>
      </x:c>
      <x:c r="D1791" s="2" t="str">
        <x:v>0935ee2c52872353d5a355eed1202dbe</x:v>
      </x:c>
      <x:c r="E1791" s="2" t="str">
        <x:v>CHECK_OUT</x:v>
      </x:c>
      <x:c r="F1791" s="8" t="n">
        <x:v>46302.59458333334</x:v>
      </x:c>
      <x:c r="G1791" s="8" t="n">
        <x:v>46302.594606481485</x:v>
      </x:c>
      <x:c r="H1791" s="2" t="str">
        <x:v>R3S3</x:v>
      </x:c>
      <x:c r="I1791" s="9" t="n">
        <x:v>25.293000000000003</x:v>
      </x:c>
      <x:c r="J1791" s="9" t="n">
        <x:v>51.513</x:v>
      </x:c>
      <x:c r="K1791" s="2" t="n">
        <x:v>8</x:v>
      </x:c>
      <x:c r="L1791" s="2" t="str">
        <x:v>Valid</x:v>
      </x:c>
      <x:c r="M1791" s="2" t="str">
        <x:v>QR</x:v>
      </x:c>
      <x:c r="N1791" s="2" t="n">
        <x:v>1</x:v>
      </x:c>
      <x:c r="O1791" s="2" t="str">
        <x:v>Accepted</x:v>
      </x:c>
      <x:c r="P1791" s="2" t="str">
        <x:v>S003</x:v>
      </x:c>
      <x:c r="Q1791" s="2" t="str">
        <x:v>DEV003</x:v>
      </x:c>
      <x:c r="R1791" s="2" t="n">
        <x:v>19</x:v>
      </x:c>
      <x:c r="S1791" s="2" t="str">
        <x:v>Online</x:v>
      </x:c>
      <x:c r="T1791" s="2" t="str">
        <x:v>Synced</x:v>
      </x:c>
    </x:row>
    <x:row r="1792" ht="21" customHeight="1">
      <x:c r="A1792" s="2" t="str">
        <x:v>EV001550</x:v>
      </x:c>
      <x:c r="B1792" s="2" t="str">
        <x:v>T20261007-3-1</x:v>
      </x:c>
      <x:c r="C1792" s="2" t="str">
        <x:v>ST018</x:v>
      </x:c>
      <x:c r="D1792" s="2" t="str">
        <x:v>4c1b40081ed5c7c21b8392ee528dbe54</x:v>
      </x:c>
      <x:c r="E1792" s="2" t="str">
        <x:v>CHECK_OUT</x:v>
      </x:c>
      <x:c r="F1792" s="8" t="n">
        <x:v>46302.5946875</x:v>
      </x:c>
      <x:c r="G1792" s="8" t="n">
        <x:v>46302.59471064815</x:v>
      </x:c>
      <x:c r="H1792" s="2" t="str">
        <x:v>R1S3</x:v>
      </x:c>
      <x:c r="I1792" s="9" t="n">
        <x:v>25.275000000000002</x:v>
      </x:c>
      <x:c r="J1792" s="9" t="n">
        <x:v>51.497</x:v>
      </x:c>
      <x:c r="K1792" s="2" t="n">
        <x:v>8</x:v>
      </x:c>
      <x:c r="L1792" s="2" t="str">
        <x:v>Valid</x:v>
      </x:c>
      <x:c r="M1792" s="2" t="str">
        <x:v>QR</x:v>
      </x:c>
      <x:c r="N1792" s="2" t="n">
        <x:v>1</x:v>
      </x:c>
      <x:c r="O1792" s="2" t="str">
        <x:v>Accepted</x:v>
      </x:c>
      <x:c r="P1792" s="2" t="str">
        <x:v>S001</x:v>
      </x:c>
      <x:c r="Q1792" s="2" t="str">
        <x:v>DEV001</x:v>
      </x:c>
      <x:c r="R1792" s="2" t="n">
        <x:v>19</x:v>
      </x:c>
      <x:c r="S1792" s="2" t="str">
        <x:v>Online</x:v>
      </x:c>
      <x:c r="T1792" s="2" t="str">
        <x:v>Synced</x:v>
      </x:c>
    </x:row>
    <x:row r="1793" ht="21" customHeight="1">
      <x:c r="A1793" s="2" t="str">
        <x:v>EV001710</x:v>
      </x:c>
      <x:c r="B1793" s="2" t="str">
        <x:v>T20261007-3-2</x:v>
      </x:c>
      <x:c r="C1793" s="2" t="str">
        <x:v>ST058</x:v>
      </x:c>
      <x:c r="D1793" s="2" t="str">
        <x:v>ebf7e65b57e2c8bcd02f90b1d5692596</x:v>
      </x:c>
      <x:c r="E1793" s="2" t="str">
        <x:v>CHECK_OUT</x:v>
      </x:c>
      <x:c r="F1793" s="8" t="n">
        <x:v>46302.5946875</x:v>
      </x:c>
      <x:c r="G1793" s="8" t="n">
        <x:v>46302.59471064815</x:v>
      </x:c>
      <x:c r="H1793" s="2" t="str">
        <x:v>R2S3</x:v>
      </x:c>
      <x:c r="I1793" s="9" t="n">
        <x:v>25.284000000000002</x:v>
      </x:c>
      <x:c r="J1793" s="9" t="n">
        <x:v>51.504999999999995</x:v>
      </x:c>
      <x:c r="K1793" s="2" t="n">
        <x:v>8</x:v>
      </x:c>
      <x:c r="L1793" s="2" t="str">
        <x:v>Valid</x:v>
      </x:c>
      <x:c r="M1793" s="2" t="str">
        <x:v>QR</x:v>
      </x:c>
      <x:c r="N1793" s="2" t="n">
        <x:v>1</x:v>
      </x:c>
      <x:c r="O1793" s="2" t="str">
        <x:v>Accepted</x:v>
      </x:c>
      <x:c r="P1793" s="2" t="str">
        <x:v>S002</x:v>
      </x:c>
      <x:c r="Q1793" s="2" t="str">
        <x:v>DEV002</x:v>
      </x:c>
      <x:c r="R1793" s="2" t="n">
        <x:v>20</x:v>
      </x:c>
      <x:c r="S1793" s="2" t="str">
        <x:v>Online</x:v>
      </x:c>
      <x:c r="T1793" s="2" t="str">
        <x:v>Synced</x:v>
      </x:c>
    </x:row>
    <x:row r="1794" ht="21" customHeight="1">
      <x:c r="A1794" s="2" t="str">
        <x:v>EV001870</x:v>
      </x:c>
      <x:c r="B1794" s="2" t="str">
        <x:v>T20261007-3-3</x:v>
      </x:c>
      <x:c r="C1794" s="2" t="str">
        <x:v>ST098</x:v>
      </x:c>
      <x:c r="D1794" s="2" t="str">
        <x:v>4b453acdeca94f98f11a429464f7bff7</x:v>
      </x:c>
      <x:c r="E1794" s="2" t="str">
        <x:v>CHECK_OUT</x:v>
      </x:c>
      <x:c r="F1794" s="8" t="n">
        <x:v>46302.5946875</x:v>
      </x:c>
      <x:c r="G1794" s="8" t="n">
        <x:v>46302.59471064815</x:v>
      </x:c>
      <x:c r="H1794" s="2" t="str">
        <x:v>R3S3</x:v>
      </x:c>
      <x:c r="I1794" s="9" t="n">
        <x:v>25.293000000000003</x:v>
      </x:c>
      <x:c r="J1794" s="9" t="n">
        <x:v>51.513</x:v>
      </x:c>
      <x:c r="K1794" s="2" t="n">
        <x:v>8</x:v>
      </x:c>
      <x:c r="L1794" s="2" t="str">
        <x:v>Valid</x:v>
      </x:c>
      <x:c r="M1794" s="2" t="str">
        <x:v>QR</x:v>
      </x:c>
      <x:c r="N1794" s="2" t="n">
        <x:v>1</x:v>
      </x:c>
      <x:c r="O1794" s="2" t="str">
        <x:v>Accepted</x:v>
      </x:c>
      <x:c r="P1794" s="2" t="str">
        <x:v>S003</x:v>
      </x:c>
      <x:c r="Q1794" s="2" t="str">
        <x:v>DEV003</x:v>
      </x:c>
      <x:c r="R1794" s="2" t="n">
        <x:v>20</x:v>
      </x:c>
      <x:c r="S1794" s="2" t="str">
        <x:v>Online</x:v>
      </x:c>
      <x:c r="T1794" s="2" t="str">
        <x:v>Synced</x:v>
      </x:c>
    </x:row>
    <x:row r="1795" ht="21" customHeight="1">
      <x:c r="A1795" s="2" t="str">
        <x:v>EV001544</x:v>
      </x:c>
      <x:c r="B1795" s="2" t="str">
        <x:v>T20261007-3-1</x:v>
      </x:c>
      <x:c r="C1795" s="2" t="str">
        <x:v>ST015</x:v>
      </x:c>
      <x:c r="D1795" s="2" t="str">
        <x:v>997c76227e9b12bdccc68d0d53a8d1df</x:v>
      </x:c>
      <x:c r="E1795" s="2" t="str">
        <x:v>CHECK_OUT</x:v>
      </x:c>
      <x:c r="F1795" s="8" t="n">
        <x:v>46302.59805555556</x:v>
      </x:c>
      <x:c r="G1795" s="8" t="n">
        <x:v>46302.598078703704</x:v>
      </x:c>
      <x:c r="H1795" s="2" t="str">
        <x:v>R1S3</x:v>
      </x:c>
      <x:c r="I1795" s="9" t="n">
        <x:v>25.275000000000002</x:v>
      </x:c>
      <x:c r="J1795" s="9" t="n">
        <x:v>51.497</x:v>
      </x:c>
      <x:c r="K1795" s="2" t="n">
        <x:v>8</x:v>
      </x:c>
      <x:c r="L1795" s="2" t="str">
        <x:v>Valid</x:v>
      </x:c>
      <x:c r="M1795" s="2" t="str">
        <x:v>QR</x:v>
      </x:c>
      <x:c r="N1795" s="2" t="n">
        <x:v>1</x:v>
      </x:c>
      <x:c r="O1795" s="2" t="str">
        <x:v>Accepted</x:v>
      </x:c>
      <x:c r="P1795" s="2" t="str">
        <x:v>S001</x:v>
      </x:c>
      <x:c r="Q1795" s="2" t="str">
        <x:v>DEV001</x:v>
      </x:c>
      <x:c r="R1795" s="2" t="n">
        <x:v>20</x:v>
      </x:c>
      <x:c r="S1795" s="2" t="str">
        <x:v>Online</x:v>
      </x:c>
      <x:c r="T1795" s="2" t="str">
        <x:v>Synced</x:v>
      </x:c>
    </x:row>
    <x:row r="1796" ht="21" customHeight="1">
      <x:c r="A1796" s="2" t="str">
        <x:v>EV001555</x:v>
      </x:c>
      <x:c r="B1796" s="2" t="str">
        <x:v>T20261007-4-1</x:v>
      </x:c>
      <x:c r="C1796" s="2" t="str">
        <x:v>ST021</x:v>
      </x:c>
      <x:c r="D1796" s="2" t="str">
        <x:v>9b1608e5663d6da53cd805c8051dedd7</x:v>
      </x:c>
      <x:c r="E1796" s="2" t="str">
        <x:v>CHECK_IN</x:v>
      </x:c>
      <x:c r="F1796" s="8" t="n">
        <x:v>46302.60416666667</x:v>
      </x:c>
      <x:c r="G1796" s="8" t="n">
        <x:v>46302.60418981482</x:v>
      </x:c>
      <x:c r="H1796" s="2" t="str">
        <x:v>SCH01</x:v>
      </x:c>
      <x:c r="I1796" s="9" t="n">
        <x:v>25.285</x:v>
      </x:c>
      <x:c r="J1796" s="9" t="n">
        <x:v>51.51</x:v>
      </x:c>
      <x:c r="K1796" s="2" t="n">
        <x:v>8</x:v>
      </x:c>
      <x:c r="L1796" s="2" t="str">
        <x:v>Valid</x:v>
      </x:c>
      <x:c r="M1796" s="2" t="str">
        <x:v>QR</x:v>
      </x:c>
      <x:c r="N1796" s="2" t="n">
        <x:v>1</x:v>
      </x:c>
      <x:c r="O1796" s="2" t="str">
        <x:v>Accepted</x:v>
      </x:c>
      <x:c r="P1796" s="2" t="str">
        <x:v>S001</x:v>
      </x:c>
      <x:c r="Q1796" s="2" t="str">
        <x:v>DEV001</x:v>
      </x:c>
      <x:c r="R1796" s="2" t="n">
        <x:v>1</x:v>
      </x:c>
      <x:c r="S1796" s="2" t="str">
        <x:v>Online</x:v>
      </x:c>
      <x:c r="T1796" s="2" t="str">
        <x:v>Synced</x:v>
      </x:c>
    </x:row>
    <x:row r="1797" ht="21" customHeight="1">
      <x:c r="A1797" s="2" t="str">
        <x:v>EV001715</x:v>
      </x:c>
      <x:c r="B1797" s="2" t="str">
        <x:v>T20261007-4-2</x:v>
      </x:c>
      <x:c r="C1797" s="2" t="str">
        <x:v>ST061</x:v>
      </x:c>
      <x:c r="D1797" s="2" t="str">
        <x:v>c547cb31f14853ae1f9f2436554d3271</x:v>
      </x:c>
      <x:c r="E1797" s="2" t="str">
        <x:v>CHECK_IN</x:v>
      </x:c>
      <x:c r="F1797" s="8" t="n">
        <x:v>46302.60416666667</x:v>
      </x:c>
      <x:c r="G1797" s="8" t="n">
        <x:v>46302.60418981482</x:v>
      </x:c>
      <x:c r="H1797" s="2" t="str">
        <x:v>SCH01</x:v>
      </x:c>
      <x:c r="I1797" s="9" t="n">
        <x:v>25.285</x:v>
      </x:c>
      <x:c r="J1797" s="9" t="n">
        <x:v>51.51</x:v>
      </x:c>
      <x:c r="K1797" s="2" t="n">
        <x:v>8</x:v>
      </x:c>
      <x:c r="L1797" s="2" t="str">
        <x:v>Valid</x:v>
      </x:c>
      <x:c r="M1797" s="2" t="str">
        <x:v>QR</x:v>
      </x:c>
      <x:c r="N1797" s="2" t="n">
        <x:v>1</x:v>
      </x:c>
      <x:c r="O1797" s="2" t="str">
        <x:v>Accepted</x:v>
      </x:c>
      <x:c r="P1797" s="2" t="str">
        <x:v>S002</x:v>
      </x:c>
      <x:c r="Q1797" s="2" t="str">
        <x:v>DEV002</x:v>
      </x:c>
      <x:c r="R1797" s="2" t="n">
        <x:v>1</x:v>
      </x:c>
      <x:c r="S1797" s="2" t="str">
        <x:v>Online</x:v>
      </x:c>
      <x:c r="T1797" s="2" t="str">
        <x:v>Synced</x:v>
      </x:c>
    </x:row>
    <x:row r="1798" ht="21" customHeight="1">
      <x:c r="A1798" s="2" t="str">
        <x:v>EV001875</x:v>
      </x:c>
      <x:c r="B1798" s="2" t="str">
        <x:v>T20261007-4-3</x:v>
      </x:c>
      <x:c r="C1798" s="2" t="str">
        <x:v>ST101</x:v>
      </x:c>
      <x:c r="D1798" s="2" t="str">
        <x:v>9f8e180c63d3ff8d3e393db3573884a8</x:v>
      </x:c>
      <x:c r="E1798" s="2" t="str">
        <x:v>CHECK_IN</x:v>
      </x:c>
      <x:c r="F1798" s="8" t="n">
        <x:v>46302.60416666667</x:v>
      </x:c>
      <x:c r="G1798" s="8" t="n">
        <x:v>46302.60418981482</x:v>
      </x:c>
      <x:c r="H1798" s="2" t="str">
        <x:v>SCH01</x:v>
      </x:c>
      <x:c r="I1798" s="9" t="n">
        <x:v>25.285</x:v>
      </x:c>
      <x:c r="J1798" s="9" t="n">
        <x:v>51.51</x:v>
      </x:c>
      <x:c r="K1798" s="2" t="n">
        <x:v>8</x:v>
      </x:c>
      <x:c r="L1798" s="2" t="str">
        <x:v>Valid</x:v>
      </x:c>
      <x:c r="M1798" s="2" t="str">
        <x:v>QR</x:v>
      </x:c>
      <x:c r="N1798" s="2" t="n">
        <x:v>1</x:v>
      </x:c>
      <x:c r="O1798" s="2" t="str">
        <x:v>Accepted</x:v>
      </x:c>
      <x:c r="P1798" s="2" t="str">
        <x:v>S003</x:v>
      </x:c>
      <x:c r="Q1798" s="2" t="str">
        <x:v>DEV003</x:v>
      </x:c>
      <x:c r="R1798" s="2" t="n">
        <x:v>1</x:v>
      </x:c>
      <x:c r="S1798" s="2" t="str">
        <x:v>Online</x:v>
      </x:c>
      <x:c r="T1798" s="2" t="str">
        <x:v>Synced</x:v>
      </x:c>
    </x:row>
    <x:row r="1799" ht="21" customHeight="1">
      <x:c r="A1799" s="2" t="str">
        <x:v>EV001557</x:v>
      </x:c>
      <x:c r="B1799" s="2" t="str">
        <x:v>T20261007-4-1</x:v>
      </x:c>
      <x:c r="C1799" s="2" t="str">
        <x:v>ST022</x:v>
      </x:c>
      <x:c r="D1799" s="2" t="str">
        <x:v>32e634064d0319251398d392c471332a</x:v>
      </x:c>
      <x:c r="E1799" s="2" t="str">
        <x:v>CHECK_IN</x:v>
      </x:c>
      <x:c r="F1799" s="8" t="n">
        <x:v>46302.604201388895</x:v>
      </x:c>
      <x:c r="G1799" s="8" t="n">
        <x:v>46302.60422453704</x:v>
      </x:c>
      <x:c r="H1799" s="2" t="str">
        <x:v>SCH01</x:v>
      </x:c>
      <x:c r="I1799" s="9" t="n">
        <x:v>25.285</x:v>
      </x:c>
      <x:c r="J1799" s="9" t="n">
        <x:v>51.51</x:v>
      </x:c>
      <x:c r="K1799" s="2" t="n">
        <x:v>8</x:v>
      </x:c>
      <x:c r="L1799" s="2" t="str">
        <x:v>Valid</x:v>
      </x:c>
      <x:c r="M1799" s="2" t="str">
        <x:v>QR</x:v>
      </x:c>
      <x:c r="N1799" s="2" t="n">
        <x:v>1</x:v>
      </x:c>
      <x:c r="O1799" s="2" t="str">
        <x:v>Accepted</x:v>
      </x:c>
      <x:c r="P1799" s="2" t="str">
        <x:v>S001</x:v>
      </x:c>
      <x:c r="Q1799" s="2" t="str">
        <x:v>DEV001</x:v>
      </x:c>
      <x:c r="R1799" s="2" t="n">
        <x:v>2</x:v>
      </x:c>
      <x:c r="S1799" s="2" t="str">
        <x:v>Online</x:v>
      </x:c>
      <x:c r="T1799" s="2" t="str">
        <x:v>Synced</x:v>
      </x:c>
    </x:row>
    <x:row r="1800" ht="21" customHeight="1">
      <x:c r="A1800" s="2" t="str">
        <x:v>EV001717</x:v>
      </x:c>
      <x:c r="B1800" s="2" t="str">
        <x:v>T20261007-4-2</x:v>
      </x:c>
      <x:c r="C1800" s="2" t="str">
        <x:v>ST062</x:v>
      </x:c>
      <x:c r="D1800" s="2" t="str">
        <x:v>e0ee324a0d8893ba89d7c618ea194e36</x:v>
      </x:c>
      <x:c r="E1800" s="2" t="str">
        <x:v>CHECK_IN</x:v>
      </x:c>
      <x:c r="F1800" s="8" t="n">
        <x:v>46302.604201388895</x:v>
      </x:c>
      <x:c r="G1800" s="8" t="n">
        <x:v>46302.60422453704</x:v>
      </x:c>
      <x:c r="H1800" s="2" t="str">
        <x:v>SCH01</x:v>
      </x:c>
      <x:c r="I1800" s="9" t="n">
        <x:v>25.285</x:v>
      </x:c>
      <x:c r="J1800" s="9" t="n">
        <x:v>51.51</x:v>
      </x:c>
      <x:c r="K1800" s="2" t="n">
        <x:v>8</x:v>
      </x:c>
      <x:c r="L1800" s="2" t="str">
        <x:v>Valid</x:v>
      </x:c>
      <x:c r="M1800" s="2" t="str">
        <x:v>QR</x:v>
      </x:c>
      <x:c r="N1800" s="2" t="n">
        <x:v>1</x:v>
      </x:c>
      <x:c r="O1800" s="2" t="str">
        <x:v>Accepted</x:v>
      </x:c>
      <x:c r="P1800" s="2" t="str">
        <x:v>S002</x:v>
      </x:c>
      <x:c r="Q1800" s="2" t="str">
        <x:v>DEV002</x:v>
      </x:c>
      <x:c r="R1800" s="2" t="n">
        <x:v>2</x:v>
      </x:c>
      <x:c r="S1800" s="2" t="str">
        <x:v>Online</x:v>
      </x:c>
      <x:c r="T1800" s="2" t="str">
        <x:v>Synced</x:v>
      </x:c>
    </x:row>
    <x:row r="1801" ht="21" customHeight="1">
      <x:c r="A1801" s="2" t="str">
        <x:v>EV001877</x:v>
      </x:c>
      <x:c r="B1801" s="2" t="str">
        <x:v>T20261007-4-3</x:v>
      </x:c>
      <x:c r="C1801" s="2" t="str">
        <x:v>ST102</x:v>
      </x:c>
      <x:c r="D1801" s="2" t="str">
        <x:v>6a90d57a6e4b5aedbdcdc5a29cf018e9</x:v>
      </x:c>
      <x:c r="E1801" s="2" t="str">
        <x:v>CHECK_IN</x:v>
      </x:c>
      <x:c r="F1801" s="8" t="n">
        <x:v>46302.604201388895</x:v>
      </x:c>
      <x:c r="G1801" s="8" t="n">
        <x:v>46302.60422453704</x:v>
      </x:c>
      <x:c r="H1801" s="2" t="str">
        <x:v>SCH01</x:v>
      </x:c>
      <x:c r="I1801" s="9" t="n">
        <x:v>25.285</x:v>
      </x:c>
      <x:c r="J1801" s="9" t="n">
        <x:v>51.51</x:v>
      </x:c>
      <x:c r="K1801" s="2" t="n">
        <x:v>8</x:v>
      </x:c>
      <x:c r="L1801" s="2" t="str">
        <x:v>Valid</x:v>
      </x:c>
      <x:c r="M1801" s="2" t="str">
        <x:v>QR</x:v>
      </x:c>
      <x:c r="N1801" s="2" t="n">
        <x:v>1</x:v>
      </x:c>
      <x:c r="O1801" s="2" t="str">
        <x:v>Accepted</x:v>
      </x:c>
      <x:c r="P1801" s="2" t="str">
        <x:v>S003</x:v>
      </x:c>
      <x:c r="Q1801" s="2" t="str">
        <x:v>DEV003</x:v>
      </x:c>
      <x:c r="R1801" s="2" t="n">
        <x:v>2</x:v>
      </x:c>
      <x:c r="S1801" s="2" t="str">
        <x:v>Online</x:v>
      </x:c>
      <x:c r="T1801" s="2" t="str">
        <x:v>Synced</x:v>
      </x:c>
    </x:row>
    <x:row r="1802" ht="21" customHeight="1">
      <x:c r="A1802" s="2" t="str">
        <x:v>EV001559</x:v>
      </x:c>
      <x:c r="B1802" s="2" t="str">
        <x:v>T20261007-4-1</x:v>
      </x:c>
      <x:c r="C1802" s="2" t="str">
        <x:v>ST023</x:v>
      </x:c>
      <x:c r="D1802" s="2" t="str">
        <x:v>1836074fce688580737a08d14a26fa79</x:v>
      </x:c>
      <x:c r="E1802" s="2" t="str">
        <x:v>CHECK_IN</x:v>
      </x:c>
      <x:c r="F1802" s="8" t="n">
        <x:v>46302.60423611112</x:v>
      </x:c>
      <x:c r="G1802" s="8" t="n">
        <x:v>46302.604259259264</x:v>
      </x:c>
      <x:c r="H1802" s="2" t="str">
        <x:v>SCH01</x:v>
      </x:c>
      <x:c r="I1802" s="9" t="n">
        <x:v>25.285</x:v>
      </x:c>
      <x:c r="J1802" s="9" t="n">
        <x:v>51.51</x:v>
      </x:c>
      <x:c r="K1802" s="2" t="n">
        <x:v>8</x:v>
      </x:c>
      <x:c r="L1802" s="2" t="str">
        <x:v>Valid</x:v>
      </x:c>
      <x:c r="M1802" s="2" t="str">
        <x:v>QR</x:v>
      </x:c>
      <x:c r="N1802" s="2" t="n">
        <x:v>1</x:v>
      </x:c>
      <x:c r="O1802" s="2" t="str">
        <x:v>Accepted</x:v>
      </x:c>
      <x:c r="P1802" s="2" t="str">
        <x:v>S001</x:v>
      </x:c>
      <x:c r="Q1802" s="2" t="str">
        <x:v>DEV001</x:v>
      </x:c>
      <x:c r="R1802" s="2" t="n">
        <x:v>3</x:v>
      </x:c>
      <x:c r="S1802" s="2" t="str">
        <x:v>Online</x:v>
      </x:c>
      <x:c r="T1802" s="2" t="str">
        <x:v>Synced</x:v>
      </x:c>
    </x:row>
    <x:row r="1803" ht="21" customHeight="1">
      <x:c r="A1803" s="2" t="str">
        <x:v>EV001719</x:v>
      </x:c>
      <x:c r="B1803" s="2" t="str">
        <x:v>T20261007-4-2</x:v>
      </x:c>
      <x:c r="C1803" s="2" t="str">
        <x:v>ST063</x:v>
      </x:c>
      <x:c r="D1803" s="2" t="str">
        <x:v>46a3e8e97cbe04af0173a75d9cdbcebf</x:v>
      </x:c>
      <x:c r="E1803" s="2" t="str">
        <x:v>CHECK_IN</x:v>
      </x:c>
      <x:c r="F1803" s="8" t="n">
        <x:v>46302.60423611112</x:v>
      </x:c>
      <x:c r="G1803" s="8" t="n">
        <x:v>46302.604259259264</x:v>
      </x:c>
      <x:c r="H1803" s="2" t="str">
        <x:v>SCH01</x:v>
      </x:c>
      <x:c r="I1803" s="9" t="n">
        <x:v>25.285</x:v>
      </x:c>
      <x:c r="J1803" s="9" t="n">
        <x:v>51.51</x:v>
      </x:c>
      <x:c r="K1803" s="2" t="n">
        <x:v>8</x:v>
      </x:c>
      <x:c r="L1803" s="2" t="str">
        <x:v>Valid</x:v>
      </x:c>
      <x:c r="M1803" s="2" t="str">
        <x:v>QR</x:v>
      </x:c>
      <x:c r="N1803" s="2" t="n">
        <x:v>1</x:v>
      </x:c>
      <x:c r="O1803" s="2" t="str">
        <x:v>Accepted</x:v>
      </x:c>
      <x:c r="P1803" s="2" t="str">
        <x:v>S002</x:v>
      </x:c>
      <x:c r="Q1803" s="2" t="str">
        <x:v>DEV002</x:v>
      </x:c>
      <x:c r="R1803" s="2" t="n">
        <x:v>3</x:v>
      </x:c>
      <x:c r="S1803" s="2" t="str">
        <x:v>Online</x:v>
      </x:c>
      <x:c r="T1803" s="2" t="str">
        <x:v>Synced</x:v>
      </x:c>
    </x:row>
    <x:row r="1804" ht="21" customHeight="1">
      <x:c r="A1804" s="2" t="str">
        <x:v>EV001879</x:v>
      </x:c>
      <x:c r="B1804" s="2" t="str">
        <x:v>T20261007-4-3</x:v>
      </x:c>
      <x:c r="C1804" s="2" t="str">
        <x:v>ST103</x:v>
      </x:c>
      <x:c r="D1804" s="2" t="str">
        <x:v>5982cfca835e14d82ed8b6562c1a172d</x:v>
      </x:c>
      <x:c r="E1804" s="2" t="str">
        <x:v>CHECK_IN</x:v>
      </x:c>
      <x:c r="F1804" s="8" t="n">
        <x:v>46302.60423611112</x:v>
      </x:c>
      <x:c r="G1804" s="8" t="n">
        <x:v>46302.604259259264</x:v>
      </x:c>
      <x:c r="H1804" s="2" t="str">
        <x:v>SCH01</x:v>
      </x:c>
      <x:c r="I1804" s="9" t="n">
        <x:v>25.285</x:v>
      </x:c>
      <x:c r="J1804" s="9" t="n">
        <x:v>51.51</x:v>
      </x:c>
      <x:c r="K1804" s="2" t="n">
        <x:v>8</x:v>
      </x:c>
      <x:c r="L1804" s="2" t="str">
        <x:v>Valid</x:v>
      </x:c>
      <x:c r="M1804" s="2" t="str">
        <x:v>QR</x:v>
      </x:c>
      <x:c r="N1804" s="2" t="n">
        <x:v>1</x:v>
      </x:c>
      <x:c r="O1804" s="2" t="str">
        <x:v>Accepted</x:v>
      </x:c>
      <x:c r="P1804" s="2" t="str">
        <x:v>S003</x:v>
      </x:c>
      <x:c r="Q1804" s="2" t="str">
        <x:v>DEV003</x:v>
      </x:c>
      <x:c r="R1804" s="2" t="n">
        <x:v>3</x:v>
      </x:c>
      <x:c r="S1804" s="2" t="str">
        <x:v>Online</x:v>
      </x:c>
      <x:c r="T1804" s="2" t="str">
        <x:v>Synced</x:v>
      </x:c>
    </x:row>
    <x:row r="1805" ht="21" customHeight="1">
      <x:c r="A1805" s="2" t="str">
        <x:v>EV001561</x:v>
      </x:c>
      <x:c r="B1805" s="2" t="str">
        <x:v>T20261007-4-1</x:v>
      </x:c>
      <x:c r="C1805" s="2" t="str">
        <x:v>ST024</x:v>
      </x:c>
      <x:c r="D1805" s="2" t="str">
        <x:v>df785f1577b8ee7f71835020d03a12a6</x:v>
      </x:c>
      <x:c r="E1805" s="2" t="str">
        <x:v>CHECK_IN</x:v>
      </x:c>
      <x:c r="F1805" s="8" t="n">
        <x:v>46302.60427083334</x:v>
      </x:c>
      <x:c r="G1805" s="8" t="n">
        <x:v>46302.60429398149</x:v>
      </x:c>
      <x:c r="H1805" s="2" t="str">
        <x:v>SCH01</x:v>
      </x:c>
      <x:c r="I1805" s="9" t="n">
        <x:v>25.285</x:v>
      </x:c>
      <x:c r="J1805" s="9" t="n">
        <x:v>51.51</x:v>
      </x:c>
      <x:c r="K1805" s="2" t="n">
        <x:v>8</x:v>
      </x:c>
      <x:c r="L1805" s="2" t="str">
        <x:v>Valid</x:v>
      </x:c>
      <x:c r="M1805" s="2" t="str">
        <x:v>QR</x:v>
      </x:c>
      <x:c r="N1805" s="2" t="n">
        <x:v>1</x:v>
      </x:c>
      <x:c r="O1805" s="2" t="str">
        <x:v>Accepted</x:v>
      </x:c>
      <x:c r="P1805" s="2" t="str">
        <x:v>S001</x:v>
      </x:c>
      <x:c r="Q1805" s="2" t="str">
        <x:v>DEV001</x:v>
      </x:c>
      <x:c r="R1805" s="2" t="n">
        <x:v>4</x:v>
      </x:c>
      <x:c r="S1805" s="2" t="str">
        <x:v>Online</x:v>
      </x:c>
      <x:c r="T1805" s="2" t="str">
        <x:v>Synced</x:v>
      </x:c>
    </x:row>
    <x:row r="1806" ht="21" customHeight="1">
      <x:c r="A1806" s="2" t="str">
        <x:v>EV001721</x:v>
      </x:c>
      <x:c r="B1806" s="2" t="str">
        <x:v>T20261007-4-2</x:v>
      </x:c>
      <x:c r="C1806" s="2" t="str">
        <x:v>ST064</x:v>
      </x:c>
      <x:c r="D1806" s="2" t="str">
        <x:v>80debd99a6cfe1ca0800304796fd69ff</x:v>
      </x:c>
      <x:c r="E1806" s="2" t="str">
        <x:v>CHECK_IN</x:v>
      </x:c>
      <x:c r="F1806" s="8" t="n">
        <x:v>46302.60427083334</x:v>
      </x:c>
      <x:c r="G1806" s="8" t="n">
        <x:v>46302.60429398149</x:v>
      </x:c>
      <x:c r="H1806" s="2" t="str">
        <x:v>SCH01</x:v>
      </x:c>
      <x:c r="I1806" s="9" t="n">
        <x:v>25.285</x:v>
      </x:c>
      <x:c r="J1806" s="9" t="n">
        <x:v>51.51</x:v>
      </x:c>
      <x:c r="K1806" s="2" t="n">
        <x:v>8</x:v>
      </x:c>
      <x:c r="L1806" s="2" t="str">
        <x:v>Valid</x:v>
      </x:c>
      <x:c r="M1806" s="2" t="str">
        <x:v>QR</x:v>
      </x:c>
      <x:c r="N1806" s="2" t="n">
        <x:v>1</x:v>
      </x:c>
      <x:c r="O1806" s="2" t="str">
        <x:v>Accepted</x:v>
      </x:c>
      <x:c r="P1806" s="2" t="str">
        <x:v>S002</x:v>
      </x:c>
      <x:c r="Q1806" s="2" t="str">
        <x:v>DEV002</x:v>
      </x:c>
      <x:c r="R1806" s="2" t="n">
        <x:v>4</x:v>
      </x:c>
      <x:c r="S1806" s="2" t="str">
        <x:v>Online</x:v>
      </x:c>
      <x:c r="T1806" s="2" t="str">
        <x:v>Synced</x:v>
      </x:c>
    </x:row>
    <x:row r="1807" ht="21" customHeight="1">
      <x:c r="A1807" s="2" t="str">
        <x:v>EV001881</x:v>
      </x:c>
      <x:c r="B1807" s="2" t="str">
        <x:v>T20261007-4-3</x:v>
      </x:c>
      <x:c r="C1807" s="2" t="str">
        <x:v>ST104</x:v>
      </x:c>
      <x:c r="D1807" s="2" t="str">
        <x:v>12167381f9b78201d830c40ef6208ce4</x:v>
      </x:c>
      <x:c r="E1807" s="2" t="str">
        <x:v>CHECK_IN</x:v>
      </x:c>
      <x:c r="F1807" s="8" t="n">
        <x:v>46302.60427083334</x:v>
      </x:c>
      <x:c r="G1807" s="8" t="n">
        <x:v>46302.60429398149</x:v>
      </x:c>
      <x:c r="H1807" s="2" t="str">
        <x:v>SCH01</x:v>
      </x:c>
      <x:c r="I1807" s="9" t="n">
        <x:v>25.285</x:v>
      </x:c>
      <x:c r="J1807" s="9" t="n">
        <x:v>51.51</x:v>
      </x:c>
      <x:c r="K1807" s="2" t="n">
        <x:v>8</x:v>
      </x:c>
      <x:c r="L1807" s="2" t="str">
        <x:v>Valid</x:v>
      </x:c>
      <x:c r="M1807" s="2" t="str">
        <x:v>QR</x:v>
      </x:c>
      <x:c r="N1807" s="2" t="n">
        <x:v>1</x:v>
      </x:c>
      <x:c r="O1807" s="2" t="str">
        <x:v>Accepted</x:v>
      </x:c>
      <x:c r="P1807" s="2" t="str">
        <x:v>S003</x:v>
      </x:c>
      <x:c r="Q1807" s="2" t="str">
        <x:v>DEV003</x:v>
      </x:c>
      <x:c r="R1807" s="2" t="n">
        <x:v>4</x:v>
      </x:c>
      <x:c r="S1807" s="2" t="str">
        <x:v>Online</x:v>
      </x:c>
      <x:c r="T1807" s="2" t="str">
        <x:v>Synced</x:v>
      </x:c>
    </x:row>
    <x:row r="1808" ht="21" customHeight="1">
      <x:c r="A1808" s="2" t="str">
        <x:v>EV001563</x:v>
      </x:c>
      <x:c r="B1808" s="2" t="str">
        <x:v>T20261007-4-1</x:v>
      </x:c>
      <x:c r="C1808" s="2" t="str">
        <x:v>ST025</x:v>
      </x:c>
      <x:c r="D1808" s="2" t="str">
        <x:v>caea48c43f4ccfa85999e7cb546cd774</x:v>
      </x:c>
      <x:c r="E1808" s="2" t="str">
        <x:v>CHECK_IN</x:v>
      </x:c>
      <x:c r="F1808" s="8" t="n">
        <x:v>46302.604305555564</x:v>
      </x:c>
      <x:c r="G1808" s="8" t="n">
        <x:v>46302.60432870371</x:v>
      </x:c>
      <x:c r="H1808" s="2" t="str">
        <x:v>SCH01</x:v>
      </x:c>
      <x:c r="I1808" s="9" t="n">
        <x:v>25.285</x:v>
      </x:c>
      <x:c r="J1808" s="9" t="n">
        <x:v>51.51</x:v>
      </x:c>
      <x:c r="K1808" s="2" t="n">
        <x:v>8</x:v>
      </x:c>
      <x:c r="L1808" s="2" t="str">
        <x:v>Valid</x:v>
      </x:c>
      <x:c r="M1808" s="2" t="str">
        <x:v>QR</x:v>
      </x:c>
      <x:c r="N1808" s="2" t="n">
        <x:v>1</x:v>
      </x:c>
      <x:c r="O1808" s="2" t="str">
        <x:v>Accepted</x:v>
      </x:c>
      <x:c r="P1808" s="2" t="str">
        <x:v>S001</x:v>
      </x:c>
      <x:c r="Q1808" s="2" t="str">
        <x:v>DEV001</x:v>
      </x:c>
      <x:c r="R1808" s="2" t="n">
        <x:v>5</x:v>
      </x:c>
      <x:c r="S1808" s="2" t="str">
        <x:v>Online</x:v>
      </x:c>
      <x:c r="T1808" s="2" t="str">
        <x:v>Synced</x:v>
      </x:c>
    </x:row>
    <x:row r="1809" ht="21" customHeight="1">
      <x:c r="A1809" s="2" t="str">
        <x:v>EV001723</x:v>
      </x:c>
      <x:c r="B1809" s="2" t="str">
        <x:v>T20261007-4-2</x:v>
      </x:c>
      <x:c r="C1809" s="2" t="str">
        <x:v>ST065</x:v>
      </x:c>
      <x:c r="D1809" s="2" t="str">
        <x:v>6b379c82348acc8be3e0d247197a20bf</x:v>
      </x:c>
      <x:c r="E1809" s="2" t="str">
        <x:v>CHECK_IN</x:v>
      </x:c>
      <x:c r="F1809" s="8" t="n">
        <x:v>46302.604305555564</x:v>
      </x:c>
      <x:c r="G1809" s="8" t="n">
        <x:v>46302.60432870371</x:v>
      </x:c>
      <x:c r="H1809" s="2" t="str">
        <x:v>SCH01</x:v>
      </x:c>
      <x:c r="I1809" s="9" t="n">
        <x:v>25.285</x:v>
      </x:c>
      <x:c r="J1809" s="9" t="n">
        <x:v>51.51</x:v>
      </x:c>
      <x:c r="K1809" s="2" t="n">
        <x:v>8</x:v>
      </x:c>
      <x:c r="L1809" s="2" t="str">
        <x:v>Valid</x:v>
      </x:c>
      <x:c r="M1809" s="2" t="str">
        <x:v>QR</x:v>
      </x:c>
      <x:c r="N1809" s="2" t="n">
        <x:v>1</x:v>
      </x:c>
      <x:c r="O1809" s="2" t="str">
        <x:v>Accepted</x:v>
      </x:c>
      <x:c r="P1809" s="2" t="str">
        <x:v>S002</x:v>
      </x:c>
      <x:c r="Q1809" s="2" t="str">
        <x:v>DEV002</x:v>
      </x:c>
      <x:c r="R1809" s="2" t="n">
        <x:v>5</x:v>
      </x:c>
      <x:c r="S1809" s="2" t="str">
        <x:v>Online</x:v>
      </x:c>
      <x:c r="T1809" s="2" t="str">
        <x:v>Synced</x:v>
      </x:c>
    </x:row>
    <x:row r="1810" ht="21" customHeight="1">
      <x:c r="A1810" s="2" t="str">
        <x:v>EV001883</x:v>
      </x:c>
      <x:c r="B1810" s="2" t="str">
        <x:v>T20261007-4-3</x:v>
      </x:c>
      <x:c r="C1810" s="2" t="str">
        <x:v>ST105</x:v>
      </x:c>
      <x:c r="D1810" s="2" t="str">
        <x:v>bbd3ba75eaabf5ca3acef3823a75d885</x:v>
      </x:c>
      <x:c r="E1810" s="2" t="str">
        <x:v>CHECK_IN</x:v>
      </x:c>
      <x:c r="F1810" s="8" t="n">
        <x:v>46302.604305555564</x:v>
      </x:c>
      <x:c r="G1810" s="8" t="n">
        <x:v>46302.60432870371</x:v>
      </x:c>
      <x:c r="H1810" s="2" t="str">
        <x:v>SCH01</x:v>
      </x:c>
      <x:c r="I1810" s="9" t="n">
        <x:v>25.285</x:v>
      </x:c>
      <x:c r="J1810" s="9" t="n">
        <x:v>51.51</x:v>
      </x:c>
      <x:c r="K1810" s="2" t="n">
        <x:v>8</x:v>
      </x:c>
      <x:c r="L1810" s="2" t="str">
        <x:v>Valid</x:v>
      </x:c>
      <x:c r="M1810" s="2" t="str">
        <x:v>QR</x:v>
      </x:c>
      <x:c r="N1810" s="2" t="n">
        <x:v>1</x:v>
      </x:c>
      <x:c r="O1810" s="2" t="str">
        <x:v>Accepted</x:v>
      </x:c>
      <x:c r="P1810" s="2" t="str">
        <x:v>S003</x:v>
      </x:c>
      <x:c r="Q1810" s="2" t="str">
        <x:v>DEV003</x:v>
      </x:c>
      <x:c r="R1810" s="2" t="n">
        <x:v>5</x:v>
      </x:c>
      <x:c r="S1810" s="2" t="str">
        <x:v>Online</x:v>
      </x:c>
      <x:c r="T1810" s="2" t="str">
        <x:v>Synced</x:v>
      </x:c>
    </x:row>
    <x:row r="1811" ht="21" customHeight="1">
      <x:c r="A1811" s="2" t="str">
        <x:v>EV001565</x:v>
      </x:c>
      <x:c r="B1811" s="2" t="str">
        <x:v>T20261007-4-1</x:v>
      </x:c>
      <x:c r="C1811" s="2" t="str">
        <x:v>ST026</x:v>
      </x:c>
      <x:c r="D1811" s="2" t="str">
        <x:v>56aea196eabcf09e1199afbd5e8907b0</x:v>
      </x:c>
      <x:c r="E1811" s="2" t="str">
        <x:v>CHECK_IN</x:v>
      </x:c>
      <x:c r="F1811" s="8" t="n">
        <x:v>46302.60434027778</x:v>
      </x:c>
      <x:c r="G1811" s="8" t="n">
        <x:v>46302.604363425926</x:v>
      </x:c>
      <x:c r="H1811" s="2" t="str">
        <x:v>SCH01</x:v>
      </x:c>
      <x:c r="I1811" s="9" t="n">
        <x:v>25.285</x:v>
      </x:c>
      <x:c r="J1811" s="9" t="n">
        <x:v>51.51</x:v>
      </x:c>
      <x:c r="K1811" s="2" t="n">
        <x:v>8</x:v>
      </x:c>
      <x:c r="L1811" s="2" t="str">
        <x:v>Valid</x:v>
      </x:c>
      <x:c r="M1811" s="2" t="str">
        <x:v>QR</x:v>
      </x:c>
      <x:c r="N1811" s="2" t="n">
        <x:v>1</x:v>
      </x:c>
      <x:c r="O1811" s="2" t="str">
        <x:v>Accepted</x:v>
      </x:c>
      <x:c r="P1811" s="2" t="str">
        <x:v>S001</x:v>
      </x:c>
      <x:c r="Q1811" s="2" t="str">
        <x:v>DEV001</x:v>
      </x:c>
      <x:c r="R1811" s="2" t="n">
        <x:v>6</x:v>
      </x:c>
      <x:c r="S1811" s="2" t="str">
        <x:v>Online</x:v>
      </x:c>
      <x:c r="T1811" s="2" t="str">
        <x:v>Synced</x:v>
      </x:c>
    </x:row>
    <x:row r="1812" ht="21" customHeight="1">
      <x:c r="A1812" s="2" t="str">
        <x:v>EV001725</x:v>
      </x:c>
      <x:c r="B1812" s="2" t="str">
        <x:v>T20261007-4-2</x:v>
      </x:c>
      <x:c r="C1812" s="2" t="str">
        <x:v>ST066</x:v>
      </x:c>
      <x:c r="D1812" s="2" t="str">
        <x:v>f1ae8019085f4d0a77552e53fdc22aa7</x:v>
      </x:c>
      <x:c r="E1812" s="2" t="str">
        <x:v>CHECK_IN</x:v>
      </x:c>
      <x:c r="F1812" s="8" t="n">
        <x:v>46302.60434027778</x:v>
      </x:c>
      <x:c r="G1812" s="8" t="n">
        <x:v>46302.604363425926</x:v>
      </x:c>
      <x:c r="H1812" s="2" t="str">
        <x:v>SCH01</x:v>
      </x:c>
      <x:c r="I1812" s="9" t="n">
        <x:v>25.285</x:v>
      </x:c>
      <x:c r="J1812" s="9" t="n">
        <x:v>51.51</x:v>
      </x:c>
      <x:c r="K1812" s="2" t="n">
        <x:v>8</x:v>
      </x:c>
      <x:c r="L1812" s="2" t="str">
        <x:v>Valid</x:v>
      </x:c>
      <x:c r="M1812" s="2" t="str">
        <x:v>QR</x:v>
      </x:c>
      <x:c r="N1812" s="2" t="n">
        <x:v>1</x:v>
      </x:c>
      <x:c r="O1812" s="2" t="str">
        <x:v>Accepted</x:v>
      </x:c>
      <x:c r="P1812" s="2" t="str">
        <x:v>S002</x:v>
      </x:c>
      <x:c r="Q1812" s="2" t="str">
        <x:v>DEV002</x:v>
      </x:c>
      <x:c r="R1812" s="2" t="n">
        <x:v>6</x:v>
      </x:c>
      <x:c r="S1812" s="2" t="str">
        <x:v>Online</x:v>
      </x:c>
      <x:c r="T1812" s="2" t="str">
        <x:v>Synced</x:v>
      </x:c>
    </x:row>
    <x:row r="1813" ht="21" customHeight="1">
      <x:c r="A1813" s="2" t="str">
        <x:v>EV001885</x:v>
      </x:c>
      <x:c r="B1813" s="2" t="str">
        <x:v>T20261007-4-3</x:v>
      </x:c>
      <x:c r="C1813" s="2" t="str">
        <x:v>ST106</x:v>
      </x:c>
      <x:c r="D1813" s="2" t="str">
        <x:v>9bd191644f26d4fc266418c96f36f10b</x:v>
      </x:c>
      <x:c r="E1813" s="2" t="str">
        <x:v>CHECK_IN</x:v>
      </x:c>
      <x:c r="F1813" s="8" t="n">
        <x:v>46302.60434027778</x:v>
      </x:c>
      <x:c r="G1813" s="8" t="n">
        <x:v>46302.604363425926</x:v>
      </x:c>
      <x:c r="H1813" s="2" t="str">
        <x:v>SCH01</x:v>
      </x:c>
      <x:c r="I1813" s="9" t="n">
        <x:v>25.285</x:v>
      </x:c>
      <x:c r="J1813" s="9" t="n">
        <x:v>51.51</x:v>
      </x:c>
      <x:c r="K1813" s="2" t="n">
        <x:v>8</x:v>
      </x:c>
      <x:c r="L1813" s="2" t="str">
        <x:v>Valid</x:v>
      </x:c>
      <x:c r="M1813" s="2" t="str">
        <x:v>QR</x:v>
      </x:c>
      <x:c r="N1813" s="2" t="n">
        <x:v>1</x:v>
      </x:c>
      <x:c r="O1813" s="2" t="str">
        <x:v>Accepted</x:v>
      </x:c>
      <x:c r="P1813" s="2" t="str">
        <x:v>S003</x:v>
      </x:c>
      <x:c r="Q1813" s="2" t="str">
        <x:v>DEV003</x:v>
      </x:c>
      <x:c r="R1813" s="2" t="n">
        <x:v>6</x:v>
      </x:c>
      <x:c r="S1813" s="2" t="str">
        <x:v>Online</x:v>
      </x:c>
      <x:c r="T1813" s="2" t="str">
        <x:v>Synced</x:v>
      </x:c>
    </x:row>
    <x:row r="1814" ht="21" customHeight="1">
      <x:c r="A1814" s="2" t="str">
        <x:v>EV001567</x:v>
      </x:c>
      <x:c r="B1814" s="2" t="str">
        <x:v>T20261007-4-1</x:v>
      </x:c>
      <x:c r="C1814" s="2" t="str">
        <x:v>ST027</x:v>
      </x:c>
      <x:c r="D1814" s="2" t="str">
        <x:v>87868c08c06226359ca5121a9563bb63</x:v>
      </x:c>
      <x:c r="E1814" s="2" t="str">
        <x:v>CHECK_IN</x:v>
      </x:c>
      <x:c r="F1814" s="8" t="n">
        <x:v>46302.604375</x:v>
      </x:c>
      <x:c r="G1814" s="8" t="n">
        <x:v>46302.60439814815</x:v>
      </x:c>
      <x:c r="H1814" s="2" t="str">
        <x:v>SCH01</x:v>
      </x:c>
      <x:c r="I1814" s="9" t="n">
        <x:v>25.285</x:v>
      </x:c>
      <x:c r="J1814" s="9" t="n">
        <x:v>51.51</x:v>
      </x:c>
      <x:c r="K1814" s="2" t="n">
        <x:v>8</x:v>
      </x:c>
      <x:c r="L1814" s="2" t="str">
        <x:v>Valid</x:v>
      </x:c>
      <x:c r="M1814" s="2" t="str">
        <x:v>QR</x:v>
      </x:c>
      <x:c r="N1814" s="2" t="n">
        <x:v>1</x:v>
      </x:c>
      <x:c r="O1814" s="2" t="str">
        <x:v>Accepted</x:v>
      </x:c>
      <x:c r="P1814" s="2" t="str">
        <x:v>S001</x:v>
      </x:c>
      <x:c r="Q1814" s="2" t="str">
        <x:v>DEV001</x:v>
      </x:c>
      <x:c r="R1814" s="2" t="n">
        <x:v>7</x:v>
      </x:c>
      <x:c r="S1814" s="2" t="str">
        <x:v>Online</x:v>
      </x:c>
      <x:c r="T1814" s="2" t="str">
        <x:v>Synced</x:v>
      </x:c>
    </x:row>
    <x:row r="1815" ht="21" customHeight="1">
      <x:c r="A1815" s="2" t="str">
        <x:v>EV001727</x:v>
      </x:c>
      <x:c r="B1815" s="2" t="str">
        <x:v>T20261007-4-2</x:v>
      </x:c>
      <x:c r="C1815" s="2" t="str">
        <x:v>ST067</x:v>
      </x:c>
      <x:c r="D1815" s="2" t="str">
        <x:v>66c3e7b11abae76912fea37c6c7ce00c</x:v>
      </x:c>
      <x:c r="E1815" s="2" t="str">
        <x:v>CHECK_IN</x:v>
      </x:c>
      <x:c r="F1815" s="8" t="n">
        <x:v>46302.604375</x:v>
      </x:c>
      <x:c r="G1815" s="8" t="n">
        <x:v>46302.60439814815</x:v>
      </x:c>
      <x:c r="H1815" s="2" t="str">
        <x:v>SCH01</x:v>
      </x:c>
      <x:c r="I1815" s="9" t="n">
        <x:v>25.285</x:v>
      </x:c>
      <x:c r="J1815" s="9" t="n">
        <x:v>51.51</x:v>
      </x:c>
      <x:c r="K1815" s="2" t="n">
        <x:v>8</x:v>
      </x:c>
      <x:c r="L1815" s="2" t="str">
        <x:v>Valid</x:v>
      </x:c>
      <x:c r="M1815" s="2" t="str">
        <x:v>QR</x:v>
      </x:c>
      <x:c r="N1815" s="2" t="n">
        <x:v>1</x:v>
      </x:c>
      <x:c r="O1815" s="2" t="str">
        <x:v>Accepted</x:v>
      </x:c>
      <x:c r="P1815" s="2" t="str">
        <x:v>S002</x:v>
      </x:c>
      <x:c r="Q1815" s="2" t="str">
        <x:v>DEV002</x:v>
      </x:c>
      <x:c r="R1815" s="2" t="n">
        <x:v>7</x:v>
      </x:c>
      <x:c r="S1815" s="2" t="str">
        <x:v>Online</x:v>
      </x:c>
      <x:c r="T1815" s="2" t="str">
        <x:v>Synced</x:v>
      </x:c>
    </x:row>
    <x:row r="1816" ht="21" customHeight="1">
      <x:c r="A1816" s="2" t="str">
        <x:v>EV001887</x:v>
      </x:c>
      <x:c r="B1816" s="2" t="str">
        <x:v>T20261007-4-3</x:v>
      </x:c>
      <x:c r="C1816" s="2" t="str">
        <x:v>ST107</x:v>
      </x:c>
      <x:c r="D1816" s="2" t="str">
        <x:v>4a2bb35840a3b4fc7e804e2d710c14f4</x:v>
      </x:c>
      <x:c r="E1816" s="2" t="str">
        <x:v>CHECK_IN</x:v>
      </x:c>
      <x:c r="F1816" s="8" t="n">
        <x:v>46302.604375</x:v>
      </x:c>
      <x:c r="G1816" s="8" t="n">
        <x:v>46302.60439814815</x:v>
      </x:c>
      <x:c r="H1816" s="2" t="str">
        <x:v>SCH01</x:v>
      </x:c>
      <x:c r="I1816" s="9" t="n">
        <x:v>25.285</x:v>
      </x:c>
      <x:c r="J1816" s="9" t="n">
        <x:v>51.51</x:v>
      </x:c>
      <x:c r="K1816" s="2" t="n">
        <x:v>8</x:v>
      </x:c>
      <x:c r="L1816" s="2" t="str">
        <x:v>Valid</x:v>
      </x:c>
      <x:c r="M1816" s="2" t="str">
        <x:v>QR</x:v>
      </x:c>
      <x:c r="N1816" s="2" t="n">
        <x:v>1</x:v>
      </x:c>
      <x:c r="O1816" s="2" t="str">
        <x:v>Accepted</x:v>
      </x:c>
      <x:c r="P1816" s="2" t="str">
        <x:v>S003</x:v>
      </x:c>
      <x:c r="Q1816" s="2" t="str">
        <x:v>DEV003</x:v>
      </x:c>
      <x:c r="R1816" s="2" t="n">
        <x:v>7</x:v>
      </x:c>
      <x:c r="S1816" s="2" t="str">
        <x:v>Online</x:v>
      </x:c>
      <x:c r="T1816" s="2" t="str">
        <x:v>Synced</x:v>
      </x:c>
    </x:row>
    <x:row r="1817" ht="21" customHeight="1">
      <x:c r="A1817" s="2" t="str">
        <x:v>EV001569</x:v>
      </x:c>
      <x:c r="B1817" s="2" t="str">
        <x:v>T20261007-4-1</x:v>
      </x:c>
      <x:c r="C1817" s="2" t="str">
        <x:v>ST028</x:v>
      </x:c>
      <x:c r="D1817" s="2" t="str">
        <x:v>af9ca502f5a3f54f1f44ea6d11afd24b</x:v>
      </x:c>
      <x:c r="E1817" s="2" t="str">
        <x:v>CHECK_IN</x:v>
      </x:c>
      <x:c r="F1817" s="8" t="n">
        <x:v>46302.604409722226</x:v>
      </x:c>
      <x:c r="G1817" s="8" t="n">
        <x:v>46302.60443287037</x:v>
      </x:c>
      <x:c r="H1817" s="2" t="str">
        <x:v>SCH01</x:v>
      </x:c>
      <x:c r="I1817" s="9" t="n">
        <x:v>25.285</x:v>
      </x:c>
      <x:c r="J1817" s="9" t="n">
        <x:v>51.51</x:v>
      </x:c>
      <x:c r="K1817" s="2" t="n">
        <x:v>8</x:v>
      </x:c>
      <x:c r="L1817" s="2" t="str">
        <x:v>Valid</x:v>
      </x:c>
      <x:c r="M1817" s="2" t="str">
        <x:v>QR</x:v>
      </x:c>
      <x:c r="N1817" s="2" t="n">
        <x:v>1</x:v>
      </x:c>
      <x:c r="O1817" s="2" t="str">
        <x:v>Accepted</x:v>
      </x:c>
      <x:c r="P1817" s="2" t="str">
        <x:v>S001</x:v>
      </x:c>
      <x:c r="Q1817" s="2" t="str">
        <x:v>DEV001</x:v>
      </x:c>
      <x:c r="R1817" s="2" t="n">
        <x:v>8</x:v>
      </x:c>
      <x:c r="S1817" s="2" t="str">
        <x:v>Online</x:v>
      </x:c>
      <x:c r="T1817" s="2" t="str">
        <x:v>Synced</x:v>
      </x:c>
    </x:row>
    <x:row r="1818" ht="21" customHeight="1">
      <x:c r="A1818" s="2" t="str">
        <x:v>EV001729</x:v>
      </x:c>
      <x:c r="B1818" s="2" t="str">
        <x:v>T20261007-4-2</x:v>
      </x:c>
      <x:c r="C1818" s="2" t="str">
        <x:v>ST068</x:v>
      </x:c>
      <x:c r="D1818" s="2" t="str">
        <x:v>6d9af84dd25561b8b07e5e166ae4982a</x:v>
      </x:c>
      <x:c r="E1818" s="2" t="str">
        <x:v>CHECK_IN</x:v>
      </x:c>
      <x:c r="F1818" s="8" t="n">
        <x:v>46302.604409722226</x:v>
      </x:c>
      <x:c r="G1818" s="8" t="n">
        <x:v>46302.60443287037</x:v>
      </x:c>
      <x:c r="H1818" s="2" t="str">
        <x:v>SCH01</x:v>
      </x:c>
      <x:c r="I1818" s="9" t="n">
        <x:v>25.285</x:v>
      </x:c>
      <x:c r="J1818" s="9" t="n">
        <x:v>51.51</x:v>
      </x:c>
      <x:c r="K1818" s="2" t="n">
        <x:v>8</x:v>
      </x:c>
      <x:c r="L1818" s="2" t="str">
        <x:v>Valid</x:v>
      </x:c>
      <x:c r="M1818" s="2" t="str">
        <x:v>QR</x:v>
      </x:c>
      <x:c r="N1818" s="2" t="n">
        <x:v>1</x:v>
      </x:c>
      <x:c r="O1818" s="2" t="str">
        <x:v>Accepted</x:v>
      </x:c>
      <x:c r="P1818" s="2" t="str">
        <x:v>S002</x:v>
      </x:c>
      <x:c r="Q1818" s="2" t="str">
        <x:v>DEV002</x:v>
      </x:c>
      <x:c r="R1818" s="2" t="n">
        <x:v>8</x:v>
      </x:c>
      <x:c r="S1818" s="2" t="str">
        <x:v>Online</x:v>
      </x:c>
      <x:c r="T1818" s="2" t="str">
        <x:v>Synced</x:v>
      </x:c>
    </x:row>
    <x:row r="1819" ht="21" customHeight="1">
      <x:c r="A1819" s="2" t="str">
        <x:v>EV001889</x:v>
      </x:c>
      <x:c r="B1819" s="2" t="str">
        <x:v>T20261007-4-3</x:v>
      </x:c>
      <x:c r="C1819" s="2" t="str">
        <x:v>ST108</x:v>
      </x:c>
      <x:c r="D1819" s="2" t="str">
        <x:v>85ef3b20338dfa9afdf3ae5a4b1ced5c</x:v>
      </x:c>
      <x:c r="E1819" s="2" t="str">
        <x:v>CHECK_IN</x:v>
      </x:c>
      <x:c r="F1819" s="8" t="n">
        <x:v>46302.604409722226</x:v>
      </x:c>
      <x:c r="G1819" s="8" t="n">
        <x:v>46302.60443287037</x:v>
      </x:c>
      <x:c r="H1819" s="2" t="str">
        <x:v>SCH01</x:v>
      </x:c>
      <x:c r="I1819" s="9" t="n">
        <x:v>25.285</x:v>
      </x:c>
      <x:c r="J1819" s="9" t="n">
        <x:v>51.51</x:v>
      </x:c>
      <x:c r="K1819" s="2" t="n">
        <x:v>8</x:v>
      </x:c>
      <x:c r="L1819" s="2" t="str">
        <x:v>Valid</x:v>
      </x:c>
      <x:c r="M1819" s="2" t="str">
        <x:v>QR</x:v>
      </x:c>
      <x:c r="N1819" s="2" t="n">
        <x:v>1</x:v>
      </x:c>
      <x:c r="O1819" s="2" t="str">
        <x:v>Accepted</x:v>
      </x:c>
      <x:c r="P1819" s="2" t="str">
        <x:v>S003</x:v>
      </x:c>
      <x:c r="Q1819" s="2" t="str">
        <x:v>DEV003</x:v>
      </x:c>
      <x:c r="R1819" s="2" t="n">
        <x:v>8</x:v>
      </x:c>
      <x:c r="S1819" s="2" t="str">
        <x:v>Online</x:v>
      </x:c>
      <x:c r="T1819" s="2" t="str">
        <x:v>Synced</x:v>
      </x:c>
    </x:row>
    <x:row r="1820" ht="21" customHeight="1">
      <x:c r="A1820" s="2" t="str">
        <x:v>EV001571</x:v>
      </x:c>
      <x:c r="B1820" s="2" t="str">
        <x:v>T20261007-4-1</x:v>
      </x:c>
      <x:c r="C1820" s="2" t="str">
        <x:v>ST029</x:v>
      </x:c>
      <x:c r="D1820" s="2" t="str">
        <x:v>160c4caa69875e092299cd9b55dcda0b</x:v>
      </x:c>
      <x:c r="E1820" s="2" t="str">
        <x:v>CHECK_IN</x:v>
      </x:c>
      <x:c r="F1820" s="8" t="n">
        <x:v>46302.60444444445</x:v>
      </x:c>
      <x:c r="G1820" s="8" t="n">
        <x:v>46302.604467592595</x:v>
      </x:c>
      <x:c r="H1820" s="2" t="str">
        <x:v>SCH01</x:v>
      </x:c>
      <x:c r="I1820" s="9" t="n">
        <x:v>25.285</x:v>
      </x:c>
      <x:c r="J1820" s="9" t="n">
        <x:v>51.51</x:v>
      </x:c>
      <x:c r="K1820" s="2" t="n">
        <x:v>8</x:v>
      </x:c>
      <x:c r="L1820" s="2" t="str">
        <x:v>Valid</x:v>
      </x:c>
      <x:c r="M1820" s="2" t="str">
        <x:v>QR</x:v>
      </x:c>
      <x:c r="N1820" s="2" t="n">
        <x:v>1</x:v>
      </x:c>
      <x:c r="O1820" s="2" t="str">
        <x:v>Accepted</x:v>
      </x:c>
      <x:c r="P1820" s="2" t="str">
        <x:v>S001</x:v>
      </x:c>
      <x:c r="Q1820" s="2" t="str">
        <x:v>DEV001</x:v>
      </x:c>
      <x:c r="R1820" s="2" t="n">
        <x:v>9</x:v>
      </x:c>
      <x:c r="S1820" s="2" t="str">
        <x:v>Online</x:v>
      </x:c>
      <x:c r="T1820" s="2" t="str">
        <x:v>Synced</x:v>
      </x:c>
    </x:row>
    <x:row r="1821" ht="21" customHeight="1">
      <x:c r="A1821" s="2" t="str">
        <x:v>EV001731</x:v>
      </x:c>
      <x:c r="B1821" s="2" t="str">
        <x:v>T20261007-4-2</x:v>
      </x:c>
      <x:c r="C1821" s="2" t="str">
        <x:v>ST069</x:v>
      </x:c>
      <x:c r="D1821" s="2" t="str">
        <x:v>d453525f57933d1df9d056e2e53ed3e4</x:v>
      </x:c>
      <x:c r="E1821" s="2" t="str">
        <x:v>CHECK_IN</x:v>
      </x:c>
      <x:c r="F1821" s="8" t="n">
        <x:v>46302.60444444445</x:v>
      </x:c>
      <x:c r="G1821" s="8" t="n">
        <x:v>46302.604467592595</x:v>
      </x:c>
      <x:c r="H1821" s="2" t="str">
        <x:v>SCH01</x:v>
      </x:c>
      <x:c r="I1821" s="9" t="n">
        <x:v>25.285</x:v>
      </x:c>
      <x:c r="J1821" s="9" t="n">
        <x:v>51.51</x:v>
      </x:c>
      <x:c r="K1821" s="2" t="n">
        <x:v>8</x:v>
      </x:c>
      <x:c r="L1821" s="2" t="str">
        <x:v>Valid</x:v>
      </x:c>
      <x:c r="M1821" s="2" t="str">
        <x:v>QR</x:v>
      </x:c>
      <x:c r="N1821" s="2" t="n">
        <x:v>1</x:v>
      </x:c>
      <x:c r="O1821" s="2" t="str">
        <x:v>Accepted</x:v>
      </x:c>
      <x:c r="P1821" s="2" t="str">
        <x:v>S002</x:v>
      </x:c>
      <x:c r="Q1821" s="2" t="str">
        <x:v>DEV002</x:v>
      </x:c>
      <x:c r="R1821" s="2" t="n">
        <x:v>9</x:v>
      </x:c>
      <x:c r="S1821" s="2" t="str">
        <x:v>Online</x:v>
      </x:c>
      <x:c r="T1821" s="2" t="str">
        <x:v>Synced</x:v>
      </x:c>
    </x:row>
    <x:row r="1822" ht="21" customHeight="1">
      <x:c r="A1822" s="2" t="str">
        <x:v>EV001891</x:v>
      </x:c>
      <x:c r="B1822" s="2" t="str">
        <x:v>T20261007-4-3</x:v>
      </x:c>
      <x:c r="C1822" s="2" t="str">
        <x:v>ST109</x:v>
      </x:c>
      <x:c r="D1822" s="2" t="str">
        <x:v>dfd493c800846e3efc35048335bd557b</x:v>
      </x:c>
      <x:c r="E1822" s="2" t="str">
        <x:v>CHECK_IN</x:v>
      </x:c>
      <x:c r="F1822" s="8" t="n">
        <x:v>46302.60444444445</x:v>
      </x:c>
      <x:c r="G1822" s="8" t="n">
        <x:v>46302.604467592595</x:v>
      </x:c>
      <x:c r="H1822" s="2" t="str">
        <x:v>SCH01</x:v>
      </x:c>
      <x:c r="I1822" s="9" t="n">
        <x:v>25.285</x:v>
      </x:c>
      <x:c r="J1822" s="9" t="n">
        <x:v>51.51</x:v>
      </x:c>
      <x:c r="K1822" s="2" t="n">
        <x:v>8</x:v>
      </x:c>
      <x:c r="L1822" s="2" t="str">
        <x:v>Valid</x:v>
      </x:c>
      <x:c r="M1822" s="2" t="str">
        <x:v>QR</x:v>
      </x:c>
      <x:c r="N1822" s="2" t="n">
        <x:v>1</x:v>
      </x:c>
      <x:c r="O1822" s="2" t="str">
        <x:v>Accepted</x:v>
      </x:c>
      <x:c r="P1822" s="2" t="str">
        <x:v>S003</x:v>
      </x:c>
      <x:c r="Q1822" s="2" t="str">
        <x:v>DEV003</x:v>
      </x:c>
      <x:c r="R1822" s="2" t="n">
        <x:v>9</x:v>
      </x:c>
      <x:c r="S1822" s="2" t="str">
        <x:v>Online</x:v>
      </x:c>
      <x:c r="T1822" s="2" t="str">
        <x:v>Synced</x:v>
      </x:c>
    </x:row>
    <x:row r="1823" ht="21" customHeight="1">
      <x:c r="A1823" s="2" t="str">
        <x:v>EV001573</x:v>
      </x:c>
      <x:c r="B1823" s="2" t="str">
        <x:v>T20261007-4-1</x:v>
      </x:c>
      <x:c r="C1823" s="2" t="str">
        <x:v>ST030</x:v>
      </x:c>
      <x:c r="D1823" s="2" t="str">
        <x:v>82585187c31166ddecfc4b31343dde64</x:v>
      </x:c>
      <x:c r="E1823" s="2" t="str">
        <x:v>CHECK_IN</x:v>
      </x:c>
      <x:c r="F1823" s="8" t="n">
        <x:v>46302.60447916667</x:v>
      </x:c>
      <x:c r="G1823" s="8" t="n">
        <x:v>46302.60450231482</x:v>
      </x:c>
      <x:c r="H1823" s="2" t="str">
        <x:v>SCH01</x:v>
      </x:c>
      <x:c r="I1823" s="9" t="n">
        <x:v>25.285</x:v>
      </x:c>
      <x:c r="J1823" s="9" t="n">
        <x:v>51.51</x:v>
      </x:c>
      <x:c r="K1823" s="2" t="n">
        <x:v>8</x:v>
      </x:c>
      <x:c r="L1823" s="2" t="str">
        <x:v>Valid</x:v>
      </x:c>
      <x:c r="M1823" s="2" t="str">
        <x:v>QR</x:v>
      </x:c>
      <x:c r="N1823" s="2" t="n">
        <x:v>1</x:v>
      </x:c>
      <x:c r="O1823" s="2" t="str">
        <x:v>Accepted</x:v>
      </x:c>
      <x:c r="P1823" s="2" t="str">
        <x:v>S001</x:v>
      </x:c>
      <x:c r="Q1823" s="2" t="str">
        <x:v>DEV001</x:v>
      </x:c>
      <x:c r="R1823" s="2" t="n">
        <x:v>10</x:v>
      </x:c>
      <x:c r="S1823" s="2" t="str">
        <x:v>Online</x:v>
      </x:c>
      <x:c r="T1823" s="2" t="str">
        <x:v>Synced</x:v>
      </x:c>
    </x:row>
    <x:row r="1824" ht="21" customHeight="1">
      <x:c r="A1824" s="2" t="str">
        <x:v>EV001733</x:v>
      </x:c>
      <x:c r="B1824" s="2" t="str">
        <x:v>T20261007-4-2</x:v>
      </x:c>
      <x:c r="C1824" s="2" t="str">
        <x:v>ST070</x:v>
      </x:c>
      <x:c r="D1824" s="2" t="str">
        <x:v>12a9f1121533e9d2b6402c68cf852c16</x:v>
      </x:c>
      <x:c r="E1824" s="2" t="str">
        <x:v>CHECK_IN</x:v>
      </x:c>
      <x:c r="F1824" s="8" t="n">
        <x:v>46302.60447916667</x:v>
      </x:c>
      <x:c r="G1824" s="8" t="n">
        <x:v>46302.60450231482</x:v>
      </x:c>
      <x:c r="H1824" s="2" t="str">
        <x:v>SCH01</x:v>
      </x:c>
      <x:c r="I1824" s="9" t="n">
        <x:v>25.285</x:v>
      </x:c>
      <x:c r="J1824" s="9" t="n">
        <x:v>51.51</x:v>
      </x:c>
      <x:c r="K1824" s="2" t="n">
        <x:v>8</x:v>
      </x:c>
      <x:c r="L1824" s="2" t="str">
        <x:v>Valid</x:v>
      </x:c>
      <x:c r="M1824" s="2" t="str">
        <x:v>QR</x:v>
      </x:c>
      <x:c r="N1824" s="2" t="n">
        <x:v>1</x:v>
      </x:c>
      <x:c r="O1824" s="2" t="str">
        <x:v>Accepted</x:v>
      </x:c>
      <x:c r="P1824" s="2" t="str">
        <x:v>S002</x:v>
      </x:c>
      <x:c r="Q1824" s="2" t="str">
        <x:v>DEV002</x:v>
      </x:c>
      <x:c r="R1824" s="2" t="n">
        <x:v>10</x:v>
      </x:c>
      <x:c r="S1824" s="2" t="str">
        <x:v>Online</x:v>
      </x:c>
      <x:c r="T1824" s="2" t="str">
        <x:v>Synced</x:v>
      </x:c>
    </x:row>
    <x:row r="1825" ht="21" customHeight="1">
      <x:c r="A1825" s="2" t="str">
        <x:v>EV001893</x:v>
      </x:c>
      <x:c r="B1825" s="2" t="str">
        <x:v>T20261007-4-3</x:v>
      </x:c>
      <x:c r="C1825" s="2" t="str">
        <x:v>ST110</x:v>
      </x:c>
      <x:c r="D1825" s="2" t="str">
        <x:v>4382c0cdcda89fb8cc0f5b9fc03b4c51</x:v>
      </x:c>
      <x:c r="E1825" s="2" t="str">
        <x:v>CHECK_IN</x:v>
      </x:c>
      <x:c r="F1825" s="8" t="n">
        <x:v>46302.60447916667</x:v>
      </x:c>
      <x:c r="G1825" s="8" t="n">
        <x:v>46302.60450231482</x:v>
      </x:c>
      <x:c r="H1825" s="2" t="str">
        <x:v>SCH01</x:v>
      </x:c>
      <x:c r="I1825" s="9" t="n">
        <x:v>25.285</x:v>
      </x:c>
      <x:c r="J1825" s="9" t="n">
        <x:v>51.51</x:v>
      </x:c>
      <x:c r="K1825" s="2" t="n">
        <x:v>8</x:v>
      </x:c>
      <x:c r="L1825" s="2" t="str">
        <x:v>Valid</x:v>
      </x:c>
      <x:c r="M1825" s="2" t="str">
        <x:v>QR</x:v>
      </x:c>
      <x:c r="N1825" s="2" t="n">
        <x:v>1</x:v>
      </x:c>
      <x:c r="O1825" s="2" t="str">
        <x:v>Accepted</x:v>
      </x:c>
      <x:c r="P1825" s="2" t="str">
        <x:v>S003</x:v>
      </x:c>
      <x:c r="Q1825" s="2" t="str">
        <x:v>DEV003</x:v>
      </x:c>
      <x:c r="R1825" s="2" t="n">
        <x:v>10</x:v>
      </x:c>
      <x:c r="S1825" s="2" t="str">
        <x:v>Online</x:v>
      </x:c>
      <x:c r="T1825" s="2" t="str">
        <x:v>Synced</x:v>
      </x:c>
    </x:row>
    <x:row r="1826" ht="21" customHeight="1">
      <x:c r="A1826" s="2" t="str">
        <x:v>EV001558</x:v>
      </x:c>
      <x:c r="B1826" s="2" t="str">
        <x:v>T20261007-4-1</x:v>
      </x:c>
      <x:c r="C1826" s="2" t="str">
        <x:v>ST022</x:v>
      </x:c>
      <x:c r="D1826" s="2" t="str">
        <x:v>32e634064d0319251398d392c471332a</x:v>
      </x:c>
      <x:c r="E1826" s="2" t="str">
        <x:v>CHECK_OUT</x:v>
      </x:c>
      <x:c r="F1826" s="8" t="n">
        <x:v>46302.618784722225</x:v>
      </x:c>
      <x:c r="G1826" s="8" t="n">
        <x:v>46302.61880787037</x:v>
      </x:c>
      <x:c r="H1826" s="2" t="str">
        <x:v>R1S1</x:v>
      </x:c>
      <x:c r="I1826" s="9" t="n">
        <x:v>25.271</x:v>
      </x:c>
      <x:c r="J1826" s="9" t="n">
        <x:v>51.491</x:v>
      </x:c>
      <x:c r="K1826" s="2" t="n">
        <x:v>8</x:v>
      </x:c>
      <x:c r="L1826" s="2" t="str">
        <x:v>Valid</x:v>
      </x:c>
      <x:c r="M1826" s="2" t="str">
        <x:v>QR</x:v>
      </x:c>
      <x:c r="N1826" s="2" t="n">
        <x:v>1</x:v>
      </x:c>
      <x:c r="O1826" s="2" t="str">
        <x:v>Accepted</x:v>
      </x:c>
      <x:c r="P1826" s="2" t="str">
        <x:v>S001</x:v>
      </x:c>
      <x:c r="Q1826" s="2" t="str">
        <x:v>DEV001</x:v>
      </x:c>
      <x:c r="R1826" s="2" t="n">
        <x:v>11</x:v>
      </x:c>
      <x:c r="S1826" s="2" t="str">
        <x:v>Online</x:v>
      </x:c>
      <x:c r="T1826" s="2" t="str">
        <x:v>Synced</x:v>
      </x:c>
    </x:row>
    <x:row r="1827" ht="21" customHeight="1">
      <x:c r="A1827" s="2" t="str">
        <x:v>EV001718</x:v>
      </x:c>
      <x:c r="B1827" s="2" t="str">
        <x:v>T20261007-4-2</x:v>
      </x:c>
      <x:c r="C1827" s="2" t="str">
        <x:v>ST062</x:v>
      </x:c>
      <x:c r="D1827" s="2" t="str">
        <x:v>e0ee324a0d8893ba89d7c618ea194e36</x:v>
      </x:c>
      <x:c r="E1827" s="2" t="str">
        <x:v>CHECK_OUT</x:v>
      </x:c>
      <x:c r="F1827" s="8" t="n">
        <x:v>46302.618784722225</x:v>
      </x:c>
      <x:c r="G1827" s="8" t="n">
        <x:v>46302.61880787037</x:v>
      </x:c>
      <x:c r="H1827" s="2" t="str">
        <x:v>R2S1</x:v>
      </x:c>
      <x:c r="I1827" s="9" t="n">
        <x:v>25.28</x:v>
      </x:c>
      <x:c r="J1827" s="9" t="n">
        <x:v>51.498999999999995</x:v>
      </x:c>
      <x:c r="K1827" s="2" t="n">
        <x:v>8</x:v>
      </x:c>
      <x:c r="L1827" s="2" t="str">
        <x:v>Valid</x:v>
      </x:c>
      <x:c r="M1827" s="2" t="str">
        <x:v>QR</x:v>
      </x:c>
      <x:c r="N1827" s="2" t="n">
        <x:v>1</x:v>
      </x:c>
      <x:c r="O1827" s="2" t="str">
        <x:v>Accepted</x:v>
      </x:c>
      <x:c r="P1827" s="2" t="str">
        <x:v>S002</x:v>
      </x:c>
      <x:c r="Q1827" s="2" t="str">
        <x:v>DEV002</x:v>
      </x:c>
      <x:c r="R1827" s="2" t="n">
        <x:v>11</x:v>
      </x:c>
      <x:c r="S1827" s="2" t="str">
        <x:v>Online</x:v>
      </x:c>
      <x:c r="T1827" s="2" t="str">
        <x:v>Synced</x:v>
      </x:c>
    </x:row>
    <x:row r="1828" ht="21" customHeight="1">
      <x:c r="A1828" s="2" t="str">
        <x:v>EV001878</x:v>
      </x:c>
      <x:c r="B1828" s="2" t="str">
        <x:v>T20261007-4-3</x:v>
      </x:c>
      <x:c r="C1828" s="2" t="str">
        <x:v>ST102</x:v>
      </x:c>
      <x:c r="D1828" s="2" t="str">
        <x:v>6a90d57a6e4b5aedbdcdc5a29cf018e9</x:v>
      </x:c>
      <x:c r="E1828" s="2" t="str">
        <x:v>CHECK_OUT</x:v>
      </x:c>
      <x:c r="F1828" s="8" t="n">
        <x:v>46302.618784722225</x:v>
      </x:c>
      <x:c r="G1828" s="8" t="n">
        <x:v>46302.61880787037</x:v>
      </x:c>
      <x:c r="H1828" s="2" t="str">
        <x:v>R3S1</x:v>
      </x:c>
      <x:c r="I1828" s="9" t="n">
        <x:v>25.289</x:v>
      </x:c>
      <x:c r="J1828" s="9" t="n">
        <x:v>51.507</x:v>
      </x:c>
      <x:c r="K1828" s="2" t="n">
        <x:v>8</x:v>
      </x:c>
      <x:c r="L1828" s="2" t="str">
        <x:v>Valid</x:v>
      </x:c>
      <x:c r="M1828" s="2" t="str">
        <x:v>QR</x:v>
      </x:c>
      <x:c r="N1828" s="2" t="n">
        <x:v>1</x:v>
      </x:c>
      <x:c r="O1828" s="2" t="str">
        <x:v>Accepted</x:v>
      </x:c>
      <x:c r="P1828" s="2" t="str">
        <x:v>S003</x:v>
      </x:c>
      <x:c r="Q1828" s="2" t="str">
        <x:v>DEV003</x:v>
      </x:c>
      <x:c r="R1828" s="2" t="n">
        <x:v>11</x:v>
      </x:c>
      <x:c r="S1828" s="2" t="str">
        <x:v>Online</x:v>
      </x:c>
      <x:c r="T1828" s="2" t="str">
        <x:v>Synced</x:v>
      </x:c>
    </x:row>
    <x:row r="1829" ht="21" customHeight="1">
      <x:c r="A1829" s="2" t="str">
        <x:v>EV001564</x:v>
      </x:c>
      <x:c r="B1829" s="2" t="str">
        <x:v>T20261007-4-1</x:v>
      </x:c>
      <x:c r="C1829" s="2" t="str">
        <x:v>ST025</x:v>
      </x:c>
      <x:c r="D1829" s="2" t="str">
        <x:v>caea48c43f4ccfa85999e7cb546cd774</x:v>
      </x:c>
      <x:c r="E1829" s="2" t="str">
        <x:v>CHECK_OUT</x:v>
      </x:c>
      <x:c r="F1829" s="8" t="n">
        <x:v>46302.618888888894</x:v>
      </x:c>
      <x:c r="G1829" s="8" t="n">
        <x:v>46302.61891203704</x:v>
      </x:c>
      <x:c r="H1829" s="2" t="str">
        <x:v>R1S1</x:v>
      </x:c>
      <x:c r="I1829" s="9" t="n">
        <x:v>25.271</x:v>
      </x:c>
      <x:c r="J1829" s="9" t="n">
        <x:v>51.491</x:v>
      </x:c>
      <x:c r="K1829" s="2" t="n">
        <x:v>8</x:v>
      </x:c>
      <x:c r="L1829" s="2" t="str">
        <x:v>Valid</x:v>
      </x:c>
      <x:c r="M1829" s="2" t="str">
        <x:v>QR</x:v>
      </x:c>
      <x:c r="N1829" s="2" t="n">
        <x:v>1</x:v>
      </x:c>
      <x:c r="O1829" s="2" t="str">
        <x:v>Accepted</x:v>
      </x:c>
      <x:c r="P1829" s="2" t="str">
        <x:v>S001</x:v>
      </x:c>
      <x:c r="Q1829" s="2" t="str">
        <x:v>DEV001</x:v>
      </x:c>
      <x:c r="R1829" s="2" t="n">
        <x:v>12</x:v>
      </x:c>
      <x:c r="S1829" s="2" t="str">
        <x:v>Online</x:v>
      </x:c>
      <x:c r="T1829" s="2" t="str">
        <x:v>Synced</x:v>
      </x:c>
    </x:row>
    <x:row r="1830" ht="21" customHeight="1">
      <x:c r="A1830" s="2" t="str">
        <x:v>EV001724</x:v>
      </x:c>
      <x:c r="B1830" s="2" t="str">
        <x:v>T20261007-4-2</x:v>
      </x:c>
      <x:c r="C1830" s="2" t="str">
        <x:v>ST065</x:v>
      </x:c>
      <x:c r="D1830" s="2" t="str">
        <x:v>6b379c82348acc8be3e0d247197a20bf</x:v>
      </x:c>
      <x:c r="E1830" s="2" t="str">
        <x:v>CHECK_OUT</x:v>
      </x:c>
      <x:c r="F1830" s="8" t="n">
        <x:v>46302.618888888894</x:v>
      </x:c>
      <x:c r="G1830" s="8" t="n">
        <x:v>46302.61891203704</x:v>
      </x:c>
      <x:c r="H1830" s="2" t="str">
        <x:v>R2S1</x:v>
      </x:c>
      <x:c r="I1830" s="9" t="n">
        <x:v>25.28</x:v>
      </x:c>
      <x:c r="J1830" s="9" t="n">
        <x:v>51.498999999999995</x:v>
      </x:c>
      <x:c r="K1830" s="2" t="n">
        <x:v>8</x:v>
      </x:c>
      <x:c r="L1830" s="2" t="str">
        <x:v>Valid</x:v>
      </x:c>
      <x:c r="M1830" s="2" t="str">
        <x:v>QR</x:v>
      </x:c>
      <x:c r="N1830" s="2" t="n">
        <x:v>1</x:v>
      </x:c>
      <x:c r="O1830" s="2" t="str">
        <x:v>Accepted</x:v>
      </x:c>
      <x:c r="P1830" s="2" t="str">
        <x:v>S002</x:v>
      </x:c>
      <x:c r="Q1830" s="2" t="str">
        <x:v>DEV002</x:v>
      </x:c>
      <x:c r="R1830" s="2" t="n">
        <x:v>12</x:v>
      </x:c>
      <x:c r="S1830" s="2" t="str">
        <x:v>Online</x:v>
      </x:c>
      <x:c r="T1830" s="2" t="str">
        <x:v>Synced</x:v>
      </x:c>
    </x:row>
    <x:row r="1831" ht="21" customHeight="1">
      <x:c r="A1831" s="2" t="str">
        <x:v>EV001884</x:v>
      </x:c>
      <x:c r="B1831" s="2" t="str">
        <x:v>T20261007-4-3</x:v>
      </x:c>
      <x:c r="C1831" s="2" t="str">
        <x:v>ST105</x:v>
      </x:c>
      <x:c r="D1831" s="2" t="str">
        <x:v>bbd3ba75eaabf5ca3acef3823a75d885</x:v>
      </x:c>
      <x:c r="E1831" s="2" t="str">
        <x:v>CHECK_OUT</x:v>
      </x:c>
      <x:c r="F1831" s="8" t="n">
        <x:v>46302.618888888894</x:v>
      </x:c>
      <x:c r="G1831" s="8" t="n">
        <x:v>46302.61891203704</x:v>
      </x:c>
      <x:c r="H1831" s="2" t="str">
        <x:v>R3S1</x:v>
      </x:c>
      <x:c r="I1831" s="9" t="n">
        <x:v>25.289</x:v>
      </x:c>
      <x:c r="J1831" s="9" t="n">
        <x:v>51.507</x:v>
      </x:c>
      <x:c r="K1831" s="2" t="n">
        <x:v>8</x:v>
      </x:c>
      <x:c r="L1831" s="2" t="str">
        <x:v>Valid</x:v>
      </x:c>
      <x:c r="M1831" s="2" t="str">
        <x:v>QR</x:v>
      </x:c>
      <x:c r="N1831" s="2" t="n">
        <x:v>1</x:v>
      </x:c>
      <x:c r="O1831" s="2" t="str">
        <x:v>Accepted</x:v>
      </x:c>
      <x:c r="P1831" s="2" t="str">
        <x:v>S003</x:v>
      </x:c>
      <x:c r="Q1831" s="2" t="str">
        <x:v>DEV003</x:v>
      </x:c>
      <x:c r="R1831" s="2" t="n">
        <x:v>12</x:v>
      </x:c>
      <x:c r="S1831" s="2" t="str">
        <x:v>Online</x:v>
      </x:c>
      <x:c r="T1831" s="2" t="str">
        <x:v>Synced</x:v>
      </x:c>
    </x:row>
    <x:row r="1832" ht="21" customHeight="1">
      <x:c r="A1832" s="2" t="str">
        <x:v>EV001570</x:v>
      </x:c>
      <x:c r="B1832" s="2" t="str">
        <x:v>T20261007-4-1</x:v>
      </x:c>
      <x:c r="C1832" s="2" t="str">
        <x:v>ST028</x:v>
      </x:c>
      <x:c r="D1832" s="2" t="str">
        <x:v>af9ca502f5a3f54f1f44ea6d11afd24b</x:v>
      </x:c>
      <x:c r="E1832" s="2" t="str">
        <x:v>CHECK_OUT</x:v>
      </x:c>
      <x:c r="F1832" s="8" t="n">
        <x:v>46302.618993055556</x:v>
      </x:c>
      <x:c r="G1832" s="8" t="n">
        <x:v>46302.6190162037</x:v>
      </x:c>
      <x:c r="H1832" s="2" t="str">
        <x:v>R1S1</x:v>
      </x:c>
      <x:c r="I1832" s="9" t="n">
        <x:v>25.271</x:v>
      </x:c>
      <x:c r="J1832" s="9" t="n">
        <x:v>51.491</x:v>
      </x:c>
      <x:c r="K1832" s="2" t="n">
        <x:v>8</x:v>
      </x:c>
      <x:c r="L1832" s="2" t="str">
        <x:v>Valid</x:v>
      </x:c>
      <x:c r="M1832" s="2" t="str">
        <x:v>QR</x:v>
      </x:c>
      <x:c r="N1832" s="2" t="n">
        <x:v>1</x:v>
      </x:c>
      <x:c r="O1832" s="2" t="str">
        <x:v>Accepted</x:v>
      </x:c>
      <x:c r="P1832" s="2" t="str">
        <x:v>S001</x:v>
      </x:c>
      <x:c r="Q1832" s="2" t="str">
        <x:v>DEV001</x:v>
      </x:c>
      <x:c r="R1832" s="2" t="n">
        <x:v>13</x:v>
      </x:c>
      <x:c r="S1832" s="2" t="str">
        <x:v>Online</x:v>
      </x:c>
      <x:c r="T1832" s="2" t="str">
        <x:v>Synced</x:v>
      </x:c>
    </x:row>
    <x:row r="1833" ht="21" customHeight="1">
      <x:c r="A1833" s="2" t="str">
        <x:v>EV001730</x:v>
      </x:c>
      <x:c r="B1833" s="2" t="str">
        <x:v>T20261007-4-2</x:v>
      </x:c>
      <x:c r="C1833" s="2" t="str">
        <x:v>ST068</x:v>
      </x:c>
      <x:c r="D1833" s="2" t="str">
        <x:v>6d9af84dd25561b8b07e5e166ae4982a</x:v>
      </x:c>
      <x:c r="E1833" s="2" t="str">
        <x:v>CHECK_OUT</x:v>
      </x:c>
      <x:c r="F1833" s="8" t="n">
        <x:v>46302.618993055556</x:v>
      </x:c>
      <x:c r="G1833" s="8" t="n">
        <x:v>46302.6190162037</x:v>
      </x:c>
      <x:c r="H1833" s="2" t="str">
        <x:v>R2S1</x:v>
      </x:c>
      <x:c r="I1833" s="9" t="n">
        <x:v>25.28</x:v>
      </x:c>
      <x:c r="J1833" s="9" t="n">
        <x:v>51.498999999999995</x:v>
      </x:c>
      <x:c r="K1833" s="2" t="n">
        <x:v>8</x:v>
      </x:c>
      <x:c r="L1833" s="2" t="str">
        <x:v>Valid</x:v>
      </x:c>
      <x:c r="M1833" s="2" t="str">
        <x:v>QR</x:v>
      </x:c>
      <x:c r="N1833" s="2" t="n">
        <x:v>1</x:v>
      </x:c>
      <x:c r="O1833" s="2" t="str">
        <x:v>Accepted</x:v>
      </x:c>
      <x:c r="P1833" s="2" t="str">
        <x:v>S002</x:v>
      </x:c>
      <x:c r="Q1833" s="2" t="str">
        <x:v>DEV002</x:v>
      </x:c>
      <x:c r="R1833" s="2" t="n">
        <x:v>13</x:v>
      </x:c>
      <x:c r="S1833" s="2" t="str">
        <x:v>Online</x:v>
      </x:c>
      <x:c r="T1833" s="2" t="str">
        <x:v>Synced</x:v>
      </x:c>
    </x:row>
    <x:row r="1834" ht="21" customHeight="1">
      <x:c r="A1834" s="2" t="str">
        <x:v>EV001890</x:v>
      </x:c>
      <x:c r="B1834" s="2" t="str">
        <x:v>T20261007-4-3</x:v>
      </x:c>
      <x:c r="C1834" s="2" t="str">
        <x:v>ST108</x:v>
      </x:c>
      <x:c r="D1834" s="2" t="str">
        <x:v>85ef3b20338dfa9afdf3ae5a4b1ced5c</x:v>
      </x:c>
      <x:c r="E1834" s="2" t="str">
        <x:v>CHECK_OUT</x:v>
      </x:c>
      <x:c r="F1834" s="8" t="n">
        <x:v>46302.618993055556</x:v>
      </x:c>
      <x:c r="G1834" s="8" t="n">
        <x:v>46302.6190162037</x:v>
      </x:c>
      <x:c r="H1834" s="2" t="str">
        <x:v>R3S1</x:v>
      </x:c>
      <x:c r="I1834" s="9" t="n">
        <x:v>25.289</x:v>
      </x:c>
      <x:c r="J1834" s="9" t="n">
        <x:v>51.507</x:v>
      </x:c>
      <x:c r="K1834" s="2" t="n">
        <x:v>8</x:v>
      </x:c>
      <x:c r="L1834" s="2" t="str">
        <x:v>Valid</x:v>
      </x:c>
      <x:c r="M1834" s="2" t="str">
        <x:v>QR</x:v>
      </x:c>
      <x:c r="N1834" s="2" t="n">
        <x:v>1</x:v>
      </x:c>
      <x:c r="O1834" s="2" t="str">
        <x:v>Accepted</x:v>
      </x:c>
      <x:c r="P1834" s="2" t="str">
        <x:v>S003</x:v>
      </x:c>
      <x:c r="Q1834" s="2" t="str">
        <x:v>DEV003</x:v>
      </x:c>
      <x:c r="R1834" s="2" t="n">
        <x:v>13</x:v>
      </x:c>
      <x:c r="S1834" s="2" t="str">
        <x:v>Online</x:v>
      </x:c>
      <x:c r="T1834" s="2" t="str">
        <x:v>Synced</x:v>
      </x:c>
    </x:row>
    <x:row r="1835" ht="21" customHeight="1">
      <x:c r="A1835" s="2" t="str">
        <x:v>EV001560</x:v>
      </x:c>
      <x:c r="B1835" s="2" t="str">
        <x:v>T20261007-4-1</x:v>
      </x:c>
      <x:c r="C1835" s="2" t="str">
        <x:v>ST023</x:v>
      </x:c>
      <x:c r="D1835" s="2" t="str">
        <x:v>1836074fce688580737a08d14a26fa79</x:v>
      </x:c>
      <x:c r="E1835" s="2" t="str">
        <x:v>CHECK_OUT</x:v>
      </x:c>
      <x:c r="F1835" s="8" t="n">
        <x:v>46302.62298611111</x:v>
      </x:c>
      <x:c r="G1835" s="8" t="n">
        <x:v>46302.62300925926</x:v>
      </x:c>
      <x:c r="H1835" s="2" t="str">
        <x:v>R1S2</x:v>
      </x:c>
      <x:c r="I1835" s="9" t="n">
        <x:v>25.273000000000003</x:v>
      </x:c>
      <x:c r="J1835" s="9" t="n">
        <x:v>51.494</x:v>
      </x:c>
      <x:c r="K1835" s="2" t="n">
        <x:v>8</x:v>
      </x:c>
      <x:c r="L1835" s="2" t="str">
        <x:v>Valid</x:v>
      </x:c>
      <x:c r="M1835" s="2" t="str">
        <x:v>QR</x:v>
      </x:c>
      <x:c r="N1835" s="2" t="n">
        <x:v>1</x:v>
      </x:c>
      <x:c r="O1835" s="2" t="str">
        <x:v>Accepted</x:v>
      </x:c>
      <x:c r="P1835" s="2" t="str">
        <x:v>S001</x:v>
      </x:c>
      <x:c r="Q1835" s="2" t="str">
        <x:v>DEV001</x:v>
      </x:c>
      <x:c r="R1835" s="2" t="n">
        <x:v>14</x:v>
      </x:c>
      <x:c r="S1835" s="2" t="str">
        <x:v>Online</x:v>
      </x:c>
      <x:c r="T1835" s="2" t="str">
        <x:v>Synced</x:v>
      </x:c>
    </x:row>
    <x:row r="1836" ht="21" customHeight="1">
      <x:c r="A1836" s="2" t="str">
        <x:v>EV001720</x:v>
      </x:c>
      <x:c r="B1836" s="2" t="str">
        <x:v>T20261007-4-2</x:v>
      </x:c>
      <x:c r="C1836" s="2" t="str">
        <x:v>ST063</x:v>
      </x:c>
      <x:c r="D1836" s="2" t="str">
        <x:v>46a3e8e97cbe04af0173a75d9cdbcebf</x:v>
      </x:c>
      <x:c r="E1836" s="2" t="str">
        <x:v>CHECK_OUT</x:v>
      </x:c>
      <x:c r="F1836" s="8" t="n">
        <x:v>46302.62298611111</x:v>
      </x:c>
      <x:c r="G1836" s="8" t="n">
        <x:v>46302.62300925926</x:v>
      </x:c>
      <x:c r="H1836" s="2" t="str">
        <x:v>R2S2</x:v>
      </x:c>
      <x:c r="I1836" s="9" t="n">
        <x:v>25.282000000000004</x:v>
      </x:c>
      <x:c r="J1836" s="9" t="n">
        <x:v>51.501999999999995</x:v>
      </x:c>
      <x:c r="K1836" s="2" t="n">
        <x:v>8</x:v>
      </x:c>
      <x:c r="L1836" s="2" t="str">
        <x:v>Valid</x:v>
      </x:c>
      <x:c r="M1836" s="2" t="str">
        <x:v>QR</x:v>
      </x:c>
      <x:c r="N1836" s="2" t="n">
        <x:v>1</x:v>
      </x:c>
      <x:c r="O1836" s="2" t="str">
        <x:v>Accepted</x:v>
      </x:c>
      <x:c r="P1836" s="2" t="str">
        <x:v>S002</x:v>
      </x:c>
      <x:c r="Q1836" s="2" t="str">
        <x:v>DEV002</x:v>
      </x:c>
      <x:c r="R1836" s="2" t="n">
        <x:v>14</x:v>
      </x:c>
      <x:c r="S1836" s="2" t="str">
        <x:v>Online</x:v>
      </x:c>
      <x:c r="T1836" s="2" t="str">
        <x:v>Synced</x:v>
      </x:c>
    </x:row>
    <x:row r="1837" ht="21" customHeight="1">
      <x:c r="A1837" s="2" t="str">
        <x:v>EV001880</x:v>
      </x:c>
      <x:c r="B1837" s="2" t="str">
        <x:v>T20261007-4-3</x:v>
      </x:c>
      <x:c r="C1837" s="2" t="str">
        <x:v>ST103</x:v>
      </x:c>
      <x:c r="D1837" s="2" t="str">
        <x:v>5982cfca835e14d82ed8b6562c1a172d</x:v>
      </x:c>
      <x:c r="E1837" s="2" t="str">
        <x:v>CHECK_OUT</x:v>
      </x:c>
      <x:c r="F1837" s="8" t="n">
        <x:v>46302.62298611111</x:v>
      </x:c>
      <x:c r="G1837" s="8" t="n">
        <x:v>46302.62300925926</x:v>
      </x:c>
      <x:c r="H1837" s="2" t="str">
        <x:v>R3S2</x:v>
      </x:c>
      <x:c r="I1837" s="9" t="n">
        <x:v>25.291000000000004</x:v>
      </x:c>
      <x:c r="J1837" s="9" t="n">
        <x:v>51.51</x:v>
      </x:c>
      <x:c r="K1837" s="2" t="n">
        <x:v>8</x:v>
      </x:c>
      <x:c r="L1837" s="2" t="str">
        <x:v>Valid</x:v>
      </x:c>
      <x:c r="M1837" s="2" t="str">
        <x:v>QR</x:v>
      </x:c>
      <x:c r="N1837" s="2" t="n">
        <x:v>1</x:v>
      </x:c>
      <x:c r="O1837" s="2" t="str">
        <x:v>Accepted</x:v>
      </x:c>
      <x:c r="P1837" s="2" t="str">
        <x:v>S003</x:v>
      </x:c>
      <x:c r="Q1837" s="2" t="str">
        <x:v>DEV003</x:v>
      </x:c>
      <x:c r="R1837" s="2" t="n">
        <x:v>14</x:v>
      </x:c>
      <x:c r="S1837" s="2" t="str">
        <x:v>Online</x:v>
      </x:c>
      <x:c r="T1837" s="2" t="str">
        <x:v>Synced</x:v>
      </x:c>
    </x:row>
    <x:row r="1838" ht="21" customHeight="1">
      <x:c r="A1838" s="2" t="str">
        <x:v>EV001566</x:v>
      </x:c>
      <x:c r="B1838" s="2" t="str">
        <x:v>T20261007-4-1</x:v>
      </x:c>
      <x:c r="C1838" s="2" t="str">
        <x:v>ST026</x:v>
      </x:c>
      <x:c r="D1838" s="2" t="str">
        <x:v>56aea196eabcf09e1199afbd5e8907b0</x:v>
      </x:c>
      <x:c r="E1838" s="2" t="str">
        <x:v>CHECK_OUT</x:v>
      </x:c>
      <x:c r="F1838" s="8" t="n">
        <x:v>46302.623090277775</x:v>
      </x:c>
      <x:c r="G1838" s="8" t="n">
        <x:v>46302.62311342592</x:v>
      </x:c>
      <x:c r="H1838" s="2" t="str">
        <x:v>R1S2</x:v>
      </x:c>
      <x:c r="I1838" s="9" t="n">
        <x:v>25.273000000000003</x:v>
      </x:c>
      <x:c r="J1838" s="9" t="n">
        <x:v>51.494</x:v>
      </x:c>
      <x:c r="K1838" s="2" t="n">
        <x:v>8</x:v>
      </x:c>
      <x:c r="L1838" s="2" t="str">
        <x:v>Valid</x:v>
      </x:c>
      <x:c r="M1838" s="2" t="str">
        <x:v>QR</x:v>
      </x:c>
      <x:c r="N1838" s="2" t="n">
        <x:v>1</x:v>
      </x:c>
      <x:c r="O1838" s="2" t="str">
        <x:v>Accepted</x:v>
      </x:c>
      <x:c r="P1838" s="2" t="str">
        <x:v>S001</x:v>
      </x:c>
      <x:c r="Q1838" s="2" t="str">
        <x:v>DEV001</x:v>
      </x:c>
      <x:c r="R1838" s="2" t="n">
        <x:v>15</x:v>
      </x:c>
      <x:c r="S1838" s="2" t="str">
        <x:v>Online</x:v>
      </x:c>
      <x:c r="T1838" s="2" t="str">
        <x:v>Synced</x:v>
      </x:c>
    </x:row>
    <x:row r="1839" ht="21" customHeight="1">
      <x:c r="A1839" s="2" t="str">
        <x:v>EV001726</x:v>
      </x:c>
      <x:c r="B1839" s="2" t="str">
        <x:v>T20261007-4-2</x:v>
      </x:c>
      <x:c r="C1839" s="2" t="str">
        <x:v>ST066</x:v>
      </x:c>
      <x:c r="D1839" s="2" t="str">
        <x:v>f1ae8019085f4d0a77552e53fdc22aa7</x:v>
      </x:c>
      <x:c r="E1839" s="2" t="str">
        <x:v>CHECK_OUT</x:v>
      </x:c>
      <x:c r="F1839" s="8" t="n">
        <x:v>46302.623090277775</x:v>
      </x:c>
      <x:c r="G1839" s="8" t="n">
        <x:v>46302.62311342592</x:v>
      </x:c>
      <x:c r="H1839" s="2" t="str">
        <x:v>R2S2</x:v>
      </x:c>
      <x:c r="I1839" s="9" t="n">
        <x:v>25.282000000000004</x:v>
      </x:c>
      <x:c r="J1839" s="9" t="n">
        <x:v>51.501999999999995</x:v>
      </x:c>
      <x:c r="K1839" s="2" t="n">
        <x:v>8</x:v>
      </x:c>
      <x:c r="L1839" s="2" t="str">
        <x:v>Valid</x:v>
      </x:c>
      <x:c r="M1839" s="2" t="str">
        <x:v>QR</x:v>
      </x:c>
      <x:c r="N1839" s="2" t="n">
        <x:v>1</x:v>
      </x:c>
      <x:c r="O1839" s="2" t="str">
        <x:v>Accepted</x:v>
      </x:c>
      <x:c r="P1839" s="2" t="str">
        <x:v>S002</x:v>
      </x:c>
      <x:c r="Q1839" s="2" t="str">
        <x:v>DEV002</x:v>
      </x:c>
      <x:c r="R1839" s="2" t="n">
        <x:v>15</x:v>
      </x:c>
      <x:c r="S1839" s="2" t="str">
        <x:v>Online</x:v>
      </x:c>
      <x:c r="T1839" s="2" t="str">
        <x:v>Synced</x:v>
      </x:c>
    </x:row>
    <x:row r="1840" ht="21" customHeight="1">
      <x:c r="A1840" s="2" t="str">
        <x:v>EV001886</x:v>
      </x:c>
      <x:c r="B1840" s="2" t="str">
        <x:v>T20261007-4-3</x:v>
      </x:c>
      <x:c r="C1840" s="2" t="str">
        <x:v>ST106</x:v>
      </x:c>
      <x:c r="D1840" s="2" t="str">
        <x:v>9bd191644f26d4fc266418c96f36f10b</x:v>
      </x:c>
      <x:c r="E1840" s="2" t="str">
        <x:v>CHECK_OUT</x:v>
      </x:c>
      <x:c r="F1840" s="8" t="n">
        <x:v>46302.623090277775</x:v>
      </x:c>
      <x:c r="G1840" s="8" t="n">
        <x:v>46302.62311342592</x:v>
      </x:c>
      <x:c r="H1840" s="2" t="str">
        <x:v>R3S2</x:v>
      </x:c>
      <x:c r="I1840" s="9" t="n">
        <x:v>25.291000000000004</x:v>
      </x:c>
      <x:c r="J1840" s="9" t="n">
        <x:v>51.51</x:v>
      </x:c>
      <x:c r="K1840" s="2" t="n">
        <x:v>8</x:v>
      </x:c>
      <x:c r="L1840" s="2" t="str">
        <x:v>Valid</x:v>
      </x:c>
      <x:c r="M1840" s="2" t="str">
        <x:v>QR</x:v>
      </x:c>
      <x:c r="N1840" s="2" t="n">
        <x:v>1</x:v>
      </x:c>
      <x:c r="O1840" s="2" t="str">
        <x:v>Accepted</x:v>
      </x:c>
      <x:c r="P1840" s="2" t="str">
        <x:v>S003</x:v>
      </x:c>
      <x:c r="Q1840" s="2" t="str">
        <x:v>DEV003</x:v>
      </x:c>
      <x:c r="R1840" s="2" t="n">
        <x:v>15</x:v>
      </x:c>
      <x:c r="S1840" s="2" t="str">
        <x:v>Online</x:v>
      </x:c>
      <x:c r="T1840" s="2" t="str">
        <x:v>Synced</x:v>
      </x:c>
    </x:row>
    <x:row r="1841" ht="21" customHeight="1">
      <x:c r="A1841" s="2" t="str">
        <x:v>EV001572</x:v>
      </x:c>
      <x:c r="B1841" s="2" t="str">
        <x:v>T20261007-4-1</x:v>
      </x:c>
      <x:c r="C1841" s="2" t="str">
        <x:v>ST029</x:v>
      </x:c>
      <x:c r="D1841" s="2" t="str">
        <x:v>160c4caa69875e092299cd9b55dcda0b</x:v>
      </x:c>
      <x:c r="E1841" s="2" t="str">
        <x:v>CHECK_OUT</x:v>
      </x:c>
      <x:c r="F1841" s="8" t="n">
        <x:v>46302.623194444444</x:v>
      </x:c>
      <x:c r="G1841" s="8" t="n">
        <x:v>46302.62321759259</x:v>
      </x:c>
      <x:c r="H1841" s="2" t="str">
        <x:v>R1S2</x:v>
      </x:c>
      <x:c r="I1841" s="9" t="n">
        <x:v>25.273000000000003</x:v>
      </x:c>
      <x:c r="J1841" s="9" t="n">
        <x:v>51.494</x:v>
      </x:c>
      <x:c r="K1841" s="2" t="n">
        <x:v>8</x:v>
      </x:c>
      <x:c r="L1841" s="2" t="str">
        <x:v>Valid</x:v>
      </x:c>
      <x:c r="M1841" s="2" t="str">
        <x:v>QR</x:v>
      </x:c>
      <x:c r="N1841" s="2" t="n">
        <x:v>1</x:v>
      </x:c>
      <x:c r="O1841" s="2" t="str">
        <x:v>Accepted</x:v>
      </x:c>
      <x:c r="P1841" s="2" t="str">
        <x:v>S001</x:v>
      </x:c>
      <x:c r="Q1841" s="2" t="str">
        <x:v>DEV001</x:v>
      </x:c>
      <x:c r="R1841" s="2" t="n">
        <x:v>16</x:v>
      </x:c>
      <x:c r="S1841" s="2" t="str">
        <x:v>Online</x:v>
      </x:c>
      <x:c r="T1841" s="2" t="str">
        <x:v>Synced</x:v>
      </x:c>
    </x:row>
    <x:row r="1842" ht="21" customHeight="1">
      <x:c r="A1842" s="2" t="str">
        <x:v>EV001732</x:v>
      </x:c>
      <x:c r="B1842" s="2" t="str">
        <x:v>T20261007-4-2</x:v>
      </x:c>
      <x:c r="C1842" s="2" t="str">
        <x:v>ST069</x:v>
      </x:c>
      <x:c r="D1842" s="2" t="str">
        <x:v>d453525f57933d1df9d056e2e53ed3e4</x:v>
      </x:c>
      <x:c r="E1842" s="2" t="str">
        <x:v>CHECK_OUT</x:v>
      </x:c>
      <x:c r="F1842" s="8" t="n">
        <x:v>46302.623194444444</x:v>
      </x:c>
      <x:c r="G1842" s="8" t="n">
        <x:v>46302.62321759259</x:v>
      </x:c>
      <x:c r="H1842" s="2" t="str">
        <x:v>R2S2</x:v>
      </x:c>
      <x:c r="I1842" s="9" t="n">
        <x:v>25.282000000000004</x:v>
      </x:c>
      <x:c r="J1842" s="9" t="n">
        <x:v>51.501999999999995</x:v>
      </x:c>
      <x:c r="K1842" s="2" t="n">
        <x:v>8</x:v>
      </x:c>
      <x:c r="L1842" s="2" t="str">
        <x:v>Valid</x:v>
      </x:c>
      <x:c r="M1842" s="2" t="str">
        <x:v>QR</x:v>
      </x:c>
      <x:c r="N1842" s="2" t="n">
        <x:v>1</x:v>
      </x:c>
      <x:c r="O1842" s="2" t="str">
        <x:v>Accepted</x:v>
      </x:c>
      <x:c r="P1842" s="2" t="str">
        <x:v>S002</x:v>
      </x:c>
      <x:c r="Q1842" s="2" t="str">
        <x:v>DEV002</x:v>
      </x:c>
      <x:c r="R1842" s="2" t="n">
        <x:v>16</x:v>
      </x:c>
      <x:c r="S1842" s="2" t="str">
        <x:v>Online</x:v>
      </x:c>
      <x:c r="T1842" s="2" t="str">
        <x:v>Synced</x:v>
      </x:c>
    </x:row>
    <x:row r="1843" ht="21" customHeight="1">
      <x:c r="A1843" s="2" t="str">
        <x:v>EV001892</x:v>
      </x:c>
      <x:c r="B1843" s="2" t="str">
        <x:v>T20261007-4-3</x:v>
      </x:c>
      <x:c r="C1843" s="2" t="str">
        <x:v>ST109</x:v>
      </x:c>
      <x:c r="D1843" s="2" t="str">
        <x:v>dfd493c800846e3efc35048335bd557b</x:v>
      </x:c>
      <x:c r="E1843" s="2" t="str">
        <x:v>CHECK_OUT</x:v>
      </x:c>
      <x:c r="F1843" s="8" t="n">
        <x:v>46302.623194444444</x:v>
      </x:c>
      <x:c r="G1843" s="8" t="n">
        <x:v>46302.62321759259</x:v>
      </x:c>
      <x:c r="H1843" s="2" t="str">
        <x:v>R3S2</x:v>
      </x:c>
      <x:c r="I1843" s="9" t="n">
        <x:v>25.291000000000004</x:v>
      </x:c>
      <x:c r="J1843" s="9" t="n">
        <x:v>51.51</x:v>
      </x:c>
      <x:c r="K1843" s="2" t="n">
        <x:v>8</x:v>
      </x:c>
      <x:c r="L1843" s="2" t="str">
        <x:v>Valid</x:v>
      </x:c>
      <x:c r="M1843" s="2" t="str">
        <x:v>QR</x:v>
      </x:c>
      <x:c r="N1843" s="2" t="n">
        <x:v>1</x:v>
      </x:c>
      <x:c r="O1843" s="2" t="str">
        <x:v>Accepted</x:v>
      </x:c>
      <x:c r="P1843" s="2" t="str">
        <x:v>S003</x:v>
      </x:c>
      <x:c r="Q1843" s="2" t="str">
        <x:v>DEV003</x:v>
      </x:c>
      <x:c r="R1843" s="2" t="n">
        <x:v>16</x:v>
      </x:c>
      <x:c r="S1843" s="2" t="str">
        <x:v>Online</x:v>
      </x:c>
      <x:c r="T1843" s="2" t="str">
        <x:v>Synced</x:v>
      </x:c>
    </x:row>
    <x:row r="1844" ht="21" customHeight="1">
      <x:c r="A1844" s="2" t="str">
        <x:v>EV001556</x:v>
      </x:c>
      <x:c r="B1844" s="2" t="str">
        <x:v>T20261007-4-1</x:v>
      </x:c>
      <x:c r="C1844" s="2" t="str">
        <x:v>ST021</x:v>
      </x:c>
      <x:c r="D1844" s="2" t="str">
        <x:v>9b1608e5663d6da53cd805c8051dedd7</x:v>
      </x:c>
      <x:c r="E1844" s="2" t="str">
        <x:v>CHECK_OUT</x:v>
      </x:c>
      <x:c r="F1844" s="8" t="n">
        <x:v>46302.62708333333</x:v>
      </x:c>
      <x:c r="G1844" s="8" t="n">
        <x:v>46302.62710648148</x:v>
      </x:c>
      <x:c r="H1844" s="2" t="str">
        <x:v>R1S3</x:v>
      </x:c>
      <x:c r="I1844" s="9" t="n">
        <x:v>25.275000000000002</x:v>
      </x:c>
      <x:c r="J1844" s="9" t="n">
        <x:v>51.497</x:v>
      </x:c>
      <x:c r="K1844" s="2" t="n">
        <x:v>8</x:v>
      </x:c>
      <x:c r="L1844" s="2" t="str">
        <x:v>Valid</x:v>
      </x:c>
      <x:c r="M1844" s="2" t="str">
        <x:v>QR</x:v>
      </x:c>
      <x:c r="N1844" s="2" t="n">
        <x:v>1</x:v>
      </x:c>
      <x:c r="O1844" s="2" t="str">
        <x:v>Accepted</x:v>
      </x:c>
      <x:c r="P1844" s="2" t="str">
        <x:v>S001</x:v>
      </x:c>
      <x:c r="Q1844" s="2" t="str">
        <x:v>DEV001</x:v>
      </x:c>
      <x:c r="R1844" s="2" t="n">
        <x:v>17</x:v>
      </x:c>
      <x:c r="S1844" s="2" t="str">
        <x:v>Online</x:v>
      </x:c>
      <x:c r="T1844" s="2" t="str">
        <x:v>Synced</x:v>
      </x:c>
    </x:row>
    <x:row r="1845" ht="21" customHeight="1">
      <x:c r="A1845" s="2" t="str">
        <x:v>EV001716</x:v>
      </x:c>
      <x:c r="B1845" s="2" t="str">
        <x:v>T20261007-4-2</x:v>
      </x:c>
      <x:c r="C1845" s="2" t="str">
        <x:v>ST061</x:v>
      </x:c>
      <x:c r="D1845" s="2" t="str">
        <x:v>c547cb31f14853ae1f9f2436554d3271</x:v>
      </x:c>
      <x:c r="E1845" s="2" t="str">
        <x:v>CHECK_OUT</x:v>
      </x:c>
      <x:c r="F1845" s="8" t="n">
        <x:v>46302.62708333333</x:v>
      </x:c>
      <x:c r="G1845" s="8" t="n">
        <x:v>46302.62710648148</x:v>
      </x:c>
      <x:c r="H1845" s="2" t="str">
        <x:v>R2S3</x:v>
      </x:c>
      <x:c r="I1845" s="9" t="n">
        <x:v>25.284000000000002</x:v>
      </x:c>
      <x:c r="J1845" s="9" t="n">
        <x:v>51.504999999999995</x:v>
      </x:c>
      <x:c r="K1845" s="2" t="n">
        <x:v>8</x:v>
      </x:c>
      <x:c r="L1845" s="2" t="str">
        <x:v>Valid</x:v>
      </x:c>
      <x:c r="M1845" s="2" t="str">
        <x:v>QR</x:v>
      </x:c>
      <x:c r="N1845" s="2" t="n">
        <x:v>1</x:v>
      </x:c>
      <x:c r="O1845" s="2" t="str">
        <x:v>Accepted</x:v>
      </x:c>
      <x:c r="P1845" s="2" t="str">
        <x:v>S002</x:v>
      </x:c>
      <x:c r="Q1845" s="2" t="str">
        <x:v>DEV002</x:v>
      </x:c>
      <x:c r="R1845" s="2" t="n">
        <x:v>17</x:v>
      </x:c>
      <x:c r="S1845" s="2" t="str">
        <x:v>Online</x:v>
      </x:c>
      <x:c r="T1845" s="2" t="str">
        <x:v>Synced</x:v>
      </x:c>
    </x:row>
    <x:row r="1846" ht="21" customHeight="1">
      <x:c r="A1846" s="2" t="str">
        <x:v>EV001876</x:v>
      </x:c>
      <x:c r="B1846" s="2" t="str">
        <x:v>T20261007-4-3</x:v>
      </x:c>
      <x:c r="C1846" s="2" t="str">
        <x:v>ST101</x:v>
      </x:c>
      <x:c r="D1846" s="2" t="str">
        <x:v>9f8e180c63d3ff8d3e393db3573884a8</x:v>
      </x:c>
      <x:c r="E1846" s="2" t="str">
        <x:v>CHECK_OUT</x:v>
      </x:c>
      <x:c r="F1846" s="8" t="n">
        <x:v>46302.62708333333</x:v>
      </x:c>
      <x:c r="G1846" s="8" t="n">
        <x:v>46302.62710648148</x:v>
      </x:c>
      <x:c r="H1846" s="2" t="str">
        <x:v>R3S3</x:v>
      </x:c>
      <x:c r="I1846" s="9" t="n">
        <x:v>25.293000000000003</x:v>
      </x:c>
      <x:c r="J1846" s="9" t="n">
        <x:v>51.513</x:v>
      </x:c>
      <x:c r="K1846" s="2" t="n">
        <x:v>8</x:v>
      </x:c>
      <x:c r="L1846" s="2" t="str">
        <x:v>Valid</x:v>
      </x:c>
      <x:c r="M1846" s="2" t="str">
        <x:v>QR</x:v>
      </x:c>
      <x:c r="N1846" s="2" t="n">
        <x:v>1</x:v>
      </x:c>
      <x:c r="O1846" s="2" t="str">
        <x:v>Accepted</x:v>
      </x:c>
      <x:c r="P1846" s="2" t="str">
        <x:v>S003</x:v>
      </x:c>
      <x:c r="Q1846" s="2" t="str">
        <x:v>DEV003</x:v>
      </x:c>
      <x:c r="R1846" s="2" t="n">
        <x:v>17</x:v>
      </x:c>
      <x:c r="S1846" s="2" t="str">
        <x:v>Online</x:v>
      </x:c>
      <x:c r="T1846" s="2" t="str">
        <x:v>Synced</x:v>
      </x:c>
    </x:row>
    <x:row r="1847" ht="21" customHeight="1">
      <x:c r="A1847" s="2" t="str">
        <x:v>EV001562</x:v>
      </x:c>
      <x:c r="B1847" s="2" t="str">
        <x:v>T20261007-4-1</x:v>
      </x:c>
      <x:c r="C1847" s="2" t="str">
        <x:v>ST024</x:v>
      </x:c>
      <x:c r="D1847" s="2" t="str">
        <x:v>df785f1577b8ee7f71835020d03a12a6</x:v>
      </x:c>
      <x:c r="E1847" s="2" t="str">
        <x:v>CHECK_OUT</x:v>
      </x:c>
      <x:c r="F1847" s="8" t="n">
        <x:v>46302.6271875</x:v>
      </x:c>
      <x:c r="G1847" s="8" t="n">
        <x:v>46302.62721064815</x:v>
      </x:c>
      <x:c r="H1847" s="2" t="str">
        <x:v>R1S3</x:v>
      </x:c>
      <x:c r="I1847" s="9" t="n">
        <x:v>25.275000000000002</x:v>
      </x:c>
      <x:c r="J1847" s="9" t="n">
        <x:v>51.497</x:v>
      </x:c>
      <x:c r="K1847" s="2" t="n">
        <x:v>8</x:v>
      </x:c>
      <x:c r="L1847" s="2" t="str">
        <x:v>Valid</x:v>
      </x:c>
      <x:c r="M1847" s="2" t="str">
        <x:v>QR</x:v>
      </x:c>
      <x:c r="N1847" s="2" t="n">
        <x:v>1</x:v>
      </x:c>
      <x:c r="O1847" s="2" t="str">
        <x:v>Accepted</x:v>
      </x:c>
      <x:c r="P1847" s="2" t="str">
        <x:v>S001</x:v>
      </x:c>
      <x:c r="Q1847" s="2" t="str">
        <x:v>DEV001</x:v>
      </x:c>
      <x:c r="R1847" s="2" t="n">
        <x:v>18</x:v>
      </x:c>
      <x:c r="S1847" s="2" t="str">
        <x:v>Online</x:v>
      </x:c>
      <x:c r="T1847" s="2" t="str">
        <x:v>Synced</x:v>
      </x:c>
    </x:row>
    <x:row r="1848" ht="21" customHeight="1">
      <x:c r="A1848" s="2" t="str">
        <x:v>EV001722</x:v>
      </x:c>
      <x:c r="B1848" s="2" t="str">
        <x:v>T20261007-4-2</x:v>
      </x:c>
      <x:c r="C1848" s="2" t="str">
        <x:v>ST064</x:v>
      </x:c>
      <x:c r="D1848" s="2" t="str">
        <x:v>80debd99a6cfe1ca0800304796fd69ff</x:v>
      </x:c>
      <x:c r="E1848" s="2" t="str">
        <x:v>CHECK_OUT</x:v>
      </x:c>
      <x:c r="F1848" s="8" t="n">
        <x:v>46302.6271875</x:v>
      </x:c>
      <x:c r="G1848" s="8" t="n">
        <x:v>46302.62721064815</x:v>
      </x:c>
      <x:c r="H1848" s="2" t="str">
        <x:v>R2S3</x:v>
      </x:c>
      <x:c r="I1848" s="9" t="n">
        <x:v>25.284000000000002</x:v>
      </x:c>
      <x:c r="J1848" s="9" t="n">
        <x:v>51.504999999999995</x:v>
      </x:c>
      <x:c r="K1848" s="2" t="n">
        <x:v>8</x:v>
      </x:c>
      <x:c r="L1848" s="2" t="str">
        <x:v>Valid</x:v>
      </x:c>
      <x:c r="M1848" s="2" t="str">
        <x:v>QR</x:v>
      </x:c>
      <x:c r="N1848" s="2" t="n">
        <x:v>1</x:v>
      </x:c>
      <x:c r="O1848" s="2" t="str">
        <x:v>Accepted</x:v>
      </x:c>
      <x:c r="P1848" s="2" t="str">
        <x:v>S002</x:v>
      </x:c>
      <x:c r="Q1848" s="2" t="str">
        <x:v>DEV002</x:v>
      </x:c>
      <x:c r="R1848" s="2" t="n">
        <x:v>18</x:v>
      </x:c>
      <x:c r="S1848" s="2" t="str">
        <x:v>Online</x:v>
      </x:c>
      <x:c r="T1848" s="2" t="str">
        <x:v>Synced</x:v>
      </x:c>
    </x:row>
    <x:row r="1849" ht="21" customHeight="1">
      <x:c r="A1849" s="2" t="str">
        <x:v>EV001882</x:v>
      </x:c>
      <x:c r="B1849" s="2" t="str">
        <x:v>T20261007-4-3</x:v>
      </x:c>
      <x:c r="C1849" s="2" t="str">
        <x:v>ST104</x:v>
      </x:c>
      <x:c r="D1849" s="2" t="str">
        <x:v>12167381f9b78201d830c40ef6208ce4</x:v>
      </x:c>
      <x:c r="E1849" s="2" t="str">
        <x:v>CHECK_OUT</x:v>
      </x:c>
      <x:c r="F1849" s="8" t="n">
        <x:v>46302.6271875</x:v>
      </x:c>
      <x:c r="G1849" s="8" t="n">
        <x:v>46302.62721064815</x:v>
      </x:c>
      <x:c r="H1849" s="2" t="str">
        <x:v>R3S3</x:v>
      </x:c>
      <x:c r="I1849" s="9" t="n">
        <x:v>25.293000000000003</x:v>
      </x:c>
      <x:c r="J1849" s="9" t="n">
        <x:v>51.513</x:v>
      </x:c>
      <x:c r="K1849" s="2" t="n">
        <x:v>8</x:v>
      </x:c>
      <x:c r="L1849" s="2" t="str">
        <x:v>Valid</x:v>
      </x:c>
      <x:c r="M1849" s="2" t="str">
        <x:v>QR</x:v>
      </x:c>
      <x:c r="N1849" s="2" t="n">
        <x:v>1</x:v>
      </x:c>
      <x:c r="O1849" s="2" t="str">
        <x:v>Accepted</x:v>
      </x:c>
      <x:c r="P1849" s="2" t="str">
        <x:v>S003</x:v>
      </x:c>
      <x:c r="Q1849" s="2" t="str">
        <x:v>DEV003</x:v>
      </x:c>
      <x:c r="R1849" s="2" t="n">
        <x:v>18</x:v>
      </x:c>
      <x:c r="S1849" s="2" t="str">
        <x:v>Online</x:v>
      </x:c>
      <x:c r="T1849" s="2" t="str">
        <x:v>Synced</x:v>
      </x:c>
    </x:row>
    <x:row r="1850" ht="21" customHeight="1">
      <x:c r="A1850" s="2" t="str">
        <x:v>EV001568</x:v>
      </x:c>
      <x:c r="B1850" s="2" t="str">
        <x:v>T20261007-4-1</x:v>
      </x:c>
      <x:c r="C1850" s="2" t="str">
        <x:v>ST027</x:v>
      </x:c>
      <x:c r="D1850" s="2" t="str">
        <x:v>87868c08c06226359ca5121a9563bb63</x:v>
      </x:c>
      <x:c r="E1850" s="2" t="str">
        <x:v>CHECK_OUT</x:v>
      </x:c>
      <x:c r="F1850" s="8" t="n">
        <x:v>46302.627291666664</x:v>
      </x:c>
      <x:c r="G1850" s="8" t="n">
        <x:v>46302.62731481481</x:v>
      </x:c>
      <x:c r="H1850" s="2" t="str">
        <x:v>R1S3</x:v>
      </x:c>
      <x:c r="I1850" s="9" t="n">
        <x:v>25.275000000000002</x:v>
      </x:c>
      <x:c r="J1850" s="9" t="n">
        <x:v>51.497</x:v>
      </x:c>
      <x:c r="K1850" s="2" t="n">
        <x:v>8</x:v>
      </x:c>
      <x:c r="L1850" s="2" t="str">
        <x:v>Valid</x:v>
      </x:c>
      <x:c r="M1850" s="2" t="str">
        <x:v>QR</x:v>
      </x:c>
      <x:c r="N1850" s="2" t="n">
        <x:v>1</x:v>
      </x:c>
      <x:c r="O1850" s="2" t="str">
        <x:v>Accepted</x:v>
      </x:c>
      <x:c r="P1850" s="2" t="str">
        <x:v>S001</x:v>
      </x:c>
      <x:c r="Q1850" s="2" t="str">
        <x:v>DEV001</x:v>
      </x:c>
      <x:c r="R1850" s="2" t="n">
        <x:v>19</x:v>
      </x:c>
      <x:c r="S1850" s="2" t="str">
        <x:v>Online</x:v>
      </x:c>
      <x:c r="T1850" s="2" t="str">
        <x:v>Synced</x:v>
      </x:c>
    </x:row>
    <x:row r="1851" ht="21" customHeight="1">
      <x:c r="A1851" s="2" t="str">
        <x:v>EV001728</x:v>
      </x:c>
      <x:c r="B1851" s="2" t="str">
        <x:v>T20261007-4-2</x:v>
      </x:c>
      <x:c r="C1851" s="2" t="str">
        <x:v>ST067</x:v>
      </x:c>
      <x:c r="D1851" s="2" t="str">
        <x:v>66c3e7b11abae76912fea37c6c7ce00c</x:v>
      </x:c>
      <x:c r="E1851" s="2" t="str">
        <x:v>CHECK_OUT</x:v>
      </x:c>
      <x:c r="F1851" s="8" t="n">
        <x:v>46302.627291666664</x:v>
      </x:c>
      <x:c r="G1851" s="8" t="n">
        <x:v>46302.62731481481</x:v>
      </x:c>
      <x:c r="H1851" s="2" t="str">
        <x:v>R2S3</x:v>
      </x:c>
      <x:c r="I1851" s="9" t="n">
        <x:v>25.284000000000002</x:v>
      </x:c>
      <x:c r="J1851" s="9" t="n">
        <x:v>51.504999999999995</x:v>
      </x:c>
      <x:c r="K1851" s="2" t="n">
        <x:v>8</x:v>
      </x:c>
      <x:c r="L1851" s="2" t="str">
        <x:v>Valid</x:v>
      </x:c>
      <x:c r="M1851" s="2" t="str">
        <x:v>QR</x:v>
      </x:c>
      <x:c r="N1851" s="2" t="n">
        <x:v>1</x:v>
      </x:c>
      <x:c r="O1851" s="2" t="str">
        <x:v>Accepted</x:v>
      </x:c>
      <x:c r="P1851" s="2" t="str">
        <x:v>S002</x:v>
      </x:c>
      <x:c r="Q1851" s="2" t="str">
        <x:v>DEV002</x:v>
      </x:c>
      <x:c r="R1851" s="2" t="n">
        <x:v>19</x:v>
      </x:c>
      <x:c r="S1851" s="2" t="str">
        <x:v>Online</x:v>
      </x:c>
      <x:c r="T1851" s="2" t="str">
        <x:v>Synced</x:v>
      </x:c>
    </x:row>
    <x:row r="1852" ht="21" customHeight="1">
      <x:c r="A1852" s="2" t="str">
        <x:v>EV001888</x:v>
      </x:c>
      <x:c r="B1852" s="2" t="str">
        <x:v>T20261007-4-3</x:v>
      </x:c>
      <x:c r="C1852" s="2" t="str">
        <x:v>ST107</x:v>
      </x:c>
      <x:c r="D1852" s="2" t="str">
        <x:v>4a2bb35840a3b4fc7e804e2d710c14f4</x:v>
      </x:c>
      <x:c r="E1852" s="2" t="str">
        <x:v>CHECK_OUT</x:v>
      </x:c>
      <x:c r="F1852" s="8" t="n">
        <x:v>46302.627291666664</x:v>
      </x:c>
      <x:c r="G1852" s="8" t="n">
        <x:v>46302.62731481481</x:v>
      </x:c>
      <x:c r="H1852" s="2" t="str">
        <x:v>R3S3</x:v>
      </x:c>
      <x:c r="I1852" s="9" t="n">
        <x:v>25.293000000000003</x:v>
      </x:c>
      <x:c r="J1852" s="9" t="n">
        <x:v>51.513</x:v>
      </x:c>
      <x:c r="K1852" s="2" t="n">
        <x:v>8</x:v>
      </x:c>
      <x:c r="L1852" s="2" t="str">
        <x:v>Valid</x:v>
      </x:c>
      <x:c r="M1852" s="2" t="str">
        <x:v>QR</x:v>
      </x:c>
      <x:c r="N1852" s="2" t="n">
        <x:v>1</x:v>
      </x:c>
      <x:c r="O1852" s="2" t="str">
        <x:v>Accepted</x:v>
      </x:c>
      <x:c r="P1852" s="2" t="str">
        <x:v>S003</x:v>
      </x:c>
      <x:c r="Q1852" s="2" t="str">
        <x:v>DEV003</x:v>
      </x:c>
      <x:c r="R1852" s="2" t="n">
        <x:v>19</x:v>
      </x:c>
      <x:c r="S1852" s="2" t="str">
        <x:v>Online</x:v>
      </x:c>
      <x:c r="T1852" s="2" t="str">
        <x:v>Synced</x:v>
      </x:c>
    </x:row>
    <x:row r="1853" ht="21" customHeight="1">
      <x:c r="A1853" s="2" t="str">
        <x:v>EV001574</x:v>
      </x:c>
      <x:c r="B1853" s="2" t="str">
        <x:v>T20261007-4-1</x:v>
      </x:c>
      <x:c r="C1853" s="2" t="str">
        <x:v>ST030</x:v>
      </x:c>
      <x:c r="D1853" s="2" t="str">
        <x:v>82585187c31166ddecfc4b31343dde64</x:v>
      </x:c>
      <x:c r="E1853" s="2" t="str">
        <x:v>CHECK_OUT</x:v>
      </x:c>
      <x:c r="F1853" s="8" t="n">
        <x:v>46302.62739583333</x:v>
      </x:c>
      <x:c r="G1853" s="8" t="n">
        <x:v>46302.62741898148</x:v>
      </x:c>
      <x:c r="H1853" s="2" t="str">
        <x:v>R1S3</x:v>
      </x:c>
      <x:c r="I1853" s="9" t="n">
        <x:v>25.275000000000002</x:v>
      </x:c>
      <x:c r="J1853" s="9" t="n">
        <x:v>51.497</x:v>
      </x:c>
      <x:c r="K1853" s="2" t="n">
        <x:v>8</x:v>
      </x:c>
      <x:c r="L1853" s="2" t="str">
        <x:v>Valid</x:v>
      </x:c>
      <x:c r="M1853" s="2" t="str">
        <x:v>QR</x:v>
      </x:c>
      <x:c r="N1853" s="2" t="n">
        <x:v>1</x:v>
      </x:c>
      <x:c r="O1853" s="2" t="str">
        <x:v>Accepted</x:v>
      </x:c>
      <x:c r="P1853" s="2" t="str">
        <x:v>S001</x:v>
      </x:c>
      <x:c r="Q1853" s="2" t="str">
        <x:v>DEV001</x:v>
      </x:c>
      <x:c r="R1853" s="2" t="n">
        <x:v>20</x:v>
      </x:c>
      <x:c r="S1853" s="2" t="str">
        <x:v>Online</x:v>
      </x:c>
      <x:c r="T1853" s="2" t="str">
        <x:v>Synced</x:v>
      </x:c>
    </x:row>
    <x:row r="1854" ht="21" customHeight="1">
      <x:c r="A1854" s="2" t="str">
        <x:v>EV001734</x:v>
      </x:c>
      <x:c r="B1854" s="2" t="str">
        <x:v>T20261007-4-2</x:v>
      </x:c>
      <x:c r="C1854" s="2" t="str">
        <x:v>ST070</x:v>
      </x:c>
      <x:c r="D1854" s="2" t="str">
        <x:v>12a9f1121533e9d2b6402c68cf852c16</x:v>
      </x:c>
      <x:c r="E1854" s="2" t="str">
        <x:v>CHECK_OUT</x:v>
      </x:c>
      <x:c r="F1854" s="8" t="n">
        <x:v>46302.62739583333</x:v>
      </x:c>
      <x:c r="G1854" s="8" t="n">
        <x:v>46302.62741898148</x:v>
      </x:c>
      <x:c r="H1854" s="2" t="str">
        <x:v>R2S3</x:v>
      </x:c>
      <x:c r="I1854" s="9" t="n">
        <x:v>25.284000000000002</x:v>
      </x:c>
      <x:c r="J1854" s="9" t="n">
        <x:v>51.504999999999995</x:v>
      </x:c>
      <x:c r="K1854" s="2" t="n">
        <x:v>8</x:v>
      </x:c>
      <x:c r="L1854" s="2" t="str">
        <x:v>Valid</x:v>
      </x:c>
      <x:c r="M1854" s="2" t="str">
        <x:v>QR</x:v>
      </x:c>
      <x:c r="N1854" s="2" t="n">
        <x:v>1</x:v>
      </x:c>
      <x:c r="O1854" s="2" t="str">
        <x:v>Accepted</x:v>
      </x:c>
      <x:c r="P1854" s="2" t="str">
        <x:v>S002</x:v>
      </x:c>
      <x:c r="Q1854" s="2" t="str">
        <x:v>DEV002</x:v>
      </x:c>
      <x:c r="R1854" s="2" t="n">
        <x:v>20</x:v>
      </x:c>
      <x:c r="S1854" s="2" t="str">
        <x:v>Online</x:v>
      </x:c>
      <x:c r="T1854" s="2" t="str">
        <x:v>Synced</x:v>
      </x:c>
    </x:row>
    <x:row r="1855" ht="21" customHeight="1">
      <x:c r="A1855" s="2" t="str">
        <x:v>EV001894</x:v>
      </x:c>
      <x:c r="B1855" s="2" t="str">
        <x:v>T20261007-4-3</x:v>
      </x:c>
      <x:c r="C1855" s="2" t="str">
        <x:v>ST110</x:v>
      </x:c>
      <x:c r="D1855" s="2" t="str">
        <x:v>4382c0cdcda89fb8cc0f5b9fc03b4c51</x:v>
      </x:c>
      <x:c r="E1855" s="2" t="str">
        <x:v>CHECK_OUT</x:v>
      </x:c>
      <x:c r="F1855" s="8" t="n">
        <x:v>46302.62739583333</x:v>
      </x:c>
      <x:c r="G1855" s="8" t="n">
        <x:v>46302.62741898148</x:v>
      </x:c>
      <x:c r="H1855" s="2" t="str">
        <x:v>R3S3</x:v>
      </x:c>
      <x:c r="I1855" s="9" t="n">
        <x:v>25.293000000000003</x:v>
      </x:c>
      <x:c r="J1855" s="9" t="n">
        <x:v>51.513</x:v>
      </x:c>
      <x:c r="K1855" s="2" t="n">
        <x:v>8</x:v>
      </x:c>
      <x:c r="L1855" s="2" t="str">
        <x:v>Valid</x:v>
      </x:c>
      <x:c r="M1855" s="2" t="str">
        <x:v>QR</x:v>
      </x:c>
      <x:c r="N1855" s="2" t="n">
        <x:v>1</x:v>
      </x:c>
      <x:c r="O1855" s="2" t="str">
        <x:v>Accepted</x:v>
      </x:c>
      <x:c r="P1855" s="2" t="str">
        <x:v>S003</x:v>
      </x:c>
      <x:c r="Q1855" s="2" t="str">
        <x:v>DEV003</x:v>
      </x:c>
      <x:c r="R1855" s="2" t="n">
        <x:v>20</x:v>
      </x:c>
      <x:c r="S1855" s="2" t="str">
        <x:v>Online</x:v>
      </x:c>
      <x:c r="T1855" s="2" t="str">
        <x:v>Synced</x:v>
      </x:c>
    </x:row>
    <x:row r="1856" ht="21" customHeight="1">
      <x:c r="A1856" s="2" t="str">
        <x:v>EV001575</x:v>
      </x:c>
      <x:c r="B1856" s="2" t="str">
        <x:v>T20261007-5-1</x:v>
      </x:c>
      <x:c r="C1856" s="2" t="str">
        <x:v>ST031</x:v>
      </x:c>
      <x:c r="D1856" s="2" t="str">
        <x:v>8ab188e9684e5df87182305d1c7eadac</x:v>
      </x:c>
      <x:c r="E1856" s="2" t="str">
        <x:v>CHECK_IN</x:v>
      </x:c>
      <x:c r="F1856" s="8" t="n">
        <x:v>46302.70833333333</x:v>
      </x:c>
      <x:c r="G1856" s="8" t="n">
        <x:v>46302.708356481475</x:v>
      </x:c>
      <x:c r="H1856" s="2" t="str">
        <x:v>SCH01</x:v>
      </x:c>
      <x:c r="I1856" s="9" t="n">
        <x:v>25.285</x:v>
      </x:c>
      <x:c r="J1856" s="9" t="n">
        <x:v>51.51</x:v>
      </x:c>
      <x:c r="K1856" s="2" t="n">
        <x:v>8</x:v>
      </x:c>
      <x:c r="L1856" s="2" t="str">
        <x:v>Valid</x:v>
      </x:c>
      <x:c r="M1856" s="2" t="str">
        <x:v>QR</x:v>
      </x:c>
      <x:c r="N1856" s="2" t="n">
        <x:v>1</x:v>
      </x:c>
      <x:c r="O1856" s="2" t="str">
        <x:v>Accepted</x:v>
      </x:c>
      <x:c r="P1856" s="2" t="str">
        <x:v>S001</x:v>
      </x:c>
      <x:c r="Q1856" s="2" t="str">
        <x:v>DEV001</x:v>
      </x:c>
      <x:c r="R1856" s="2" t="n">
        <x:v>1</x:v>
      </x:c>
      <x:c r="S1856" s="2" t="str">
        <x:v>Online</x:v>
      </x:c>
      <x:c r="T1856" s="2" t="str">
        <x:v>Synced</x:v>
      </x:c>
    </x:row>
    <x:row r="1857" ht="21" customHeight="1">
      <x:c r="A1857" s="2" t="str">
        <x:v>EV001735</x:v>
      </x:c>
      <x:c r="B1857" s="2" t="str">
        <x:v>T20261007-5-2</x:v>
      </x:c>
      <x:c r="C1857" s="2" t="str">
        <x:v>ST071</x:v>
      </x:c>
      <x:c r="D1857" s="2" t="str">
        <x:v>51895678643dc659a400e702a471294e</x:v>
      </x:c>
      <x:c r="E1857" s="2" t="str">
        <x:v>CHECK_IN</x:v>
      </x:c>
      <x:c r="F1857" s="8" t="n">
        <x:v>46302.70833333333</x:v>
      </x:c>
      <x:c r="G1857" s="8" t="n">
        <x:v>46302.708356481475</x:v>
      </x:c>
      <x:c r="H1857" s="2" t="str">
        <x:v>SCH01</x:v>
      </x:c>
      <x:c r="I1857" s="9" t="n">
        <x:v>25.285</x:v>
      </x:c>
      <x:c r="J1857" s="9" t="n">
        <x:v>51.51</x:v>
      </x:c>
      <x:c r="K1857" s="2" t="n">
        <x:v>8</x:v>
      </x:c>
      <x:c r="L1857" s="2" t="str">
        <x:v>Valid</x:v>
      </x:c>
      <x:c r="M1857" s="2" t="str">
        <x:v>QR</x:v>
      </x:c>
      <x:c r="N1857" s="2" t="n">
        <x:v>1</x:v>
      </x:c>
      <x:c r="O1857" s="2" t="str">
        <x:v>Accepted</x:v>
      </x:c>
      <x:c r="P1857" s="2" t="str">
        <x:v>S002</x:v>
      </x:c>
      <x:c r="Q1857" s="2" t="str">
        <x:v>DEV002</x:v>
      </x:c>
      <x:c r="R1857" s="2" t="n">
        <x:v>1</x:v>
      </x:c>
      <x:c r="S1857" s="2" t="str">
        <x:v>Online</x:v>
      </x:c>
      <x:c r="T1857" s="2" t="str">
        <x:v>Synced</x:v>
      </x:c>
    </x:row>
    <x:row r="1858" ht="21" customHeight="1">
      <x:c r="A1858" s="2" t="str">
        <x:v>EV001895</x:v>
      </x:c>
      <x:c r="B1858" s="2" t="str">
        <x:v>T20261007-5-3</x:v>
      </x:c>
      <x:c r="C1858" s="2" t="str">
        <x:v>ST111</x:v>
      </x:c>
      <x:c r="D1858" s="2" t="str">
        <x:v>e6e9707385e7ee8edd3ac87243757eb2</x:v>
      </x:c>
      <x:c r="E1858" s="2" t="str">
        <x:v>CHECK_IN</x:v>
      </x:c>
      <x:c r="F1858" s="8" t="n">
        <x:v>46302.70833333333</x:v>
      </x:c>
      <x:c r="G1858" s="8" t="n">
        <x:v>46302.708356481475</x:v>
      </x:c>
      <x:c r="H1858" s="2" t="str">
        <x:v>SCH01</x:v>
      </x:c>
      <x:c r="I1858" s="9" t="n">
        <x:v>25.285</x:v>
      </x:c>
      <x:c r="J1858" s="9" t="n">
        <x:v>51.51</x:v>
      </x:c>
      <x:c r="K1858" s="2" t="n">
        <x:v>8</x:v>
      </x:c>
      <x:c r="L1858" s="2" t="str">
        <x:v>Valid</x:v>
      </x:c>
      <x:c r="M1858" s="2" t="str">
        <x:v>QR</x:v>
      </x:c>
      <x:c r="N1858" s="2" t="n">
        <x:v>1</x:v>
      </x:c>
      <x:c r="O1858" s="2" t="str">
        <x:v>Accepted</x:v>
      </x:c>
      <x:c r="P1858" s="2" t="str">
        <x:v>S003</x:v>
      </x:c>
      <x:c r="Q1858" s="2" t="str">
        <x:v>DEV003</x:v>
      </x:c>
      <x:c r="R1858" s="2" t="n">
        <x:v>1</x:v>
      </x:c>
      <x:c r="S1858" s="2" t="str">
        <x:v>Online</x:v>
      </x:c>
      <x:c r="T1858" s="2" t="str">
        <x:v>Synced</x:v>
      </x:c>
    </x:row>
    <x:row r="1859" ht="21" customHeight="1">
      <x:c r="A1859" s="2" t="str">
        <x:v>EV001577</x:v>
      </x:c>
      <x:c r="B1859" s="2" t="str">
        <x:v>T20261007-5-1</x:v>
      </x:c>
      <x:c r="C1859" s="2" t="str">
        <x:v>ST032</x:v>
      </x:c>
      <x:c r="D1859" s="2" t="str">
        <x:v>836e2da54ccde9716995f5651a63e8c5</x:v>
      </x:c>
      <x:c r="E1859" s="2" t="str">
        <x:v>CHECK_IN</x:v>
      </x:c>
      <x:c r="F1859" s="8" t="n">
        <x:v>46302.70836805555</x:v>
      </x:c>
      <x:c r="G1859" s="8" t="n">
        <x:v>46302.7083912037</x:v>
      </x:c>
      <x:c r="H1859" s="2" t="str">
        <x:v>SCH01</x:v>
      </x:c>
      <x:c r="I1859" s="9" t="n">
        <x:v>25.285</x:v>
      </x:c>
      <x:c r="J1859" s="9" t="n">
        <x:v>51.51</x:v>
      </x:c>
      <x:c r="K1859" s="2" t="n">
        <x:v>8</x:v>
      </x:c>
      <x:c r="L1859" s="2" t="str">
        <x:v>Valid</x:v>
      </x:c>
      <x:c r="M1859" s="2" t="str">
        <x:v>QR</x:v>
      </x:c>
      <x:c r="N1859" s="2" t="n">
        <x:v>1</x:v>
      </x:c>
      <x:c r="O1859" s="2" t="str">
        <x:v>Accepted</x:v>
      </x:c>
      <x:c r="P1859" s="2" t="str">
        <x:v>S001</x:v>
      </x:c>
      <x:c r="Q1859" s="2" t="str">
        <x:v>DEV001</x:v>
      </x:c>
      <x:c r="R1859" s="2" t="n">
        <x:v>2</x:v>
      </x:c>
      <x:c r="S1859" s="2" t="str">
        <x:v>Online</x:v>
      </x:c>
      <x:c r="T1859" s="2" t="str">
        <x:v>Synced</x:v>
      </x:c>
    </x:row>
    <x:row r="1860" ht="21" customHeight="1">
      <x:c r="A1860" s="2" t="str">
        <x:v>EV001737</x:v>
      </x:c>
      <x:c r="B1860" s="2" t="str">
        <x:v>T20261007-5-2</x:v>
      </x:c>
      <x:c r="C1860" s="2" t="str">
        <x:v>ST072</x:v>
      </x:c>
      <x:c r="D1860" s="2" t="str">
        <x:v>34067027b5922171fe59ce4d7b756f1c</x:v>
      </x:c>
      <x:c r="E1860" s="2" t="str">
        <x:v>CHECK_IN</x:v>
      </x:c>
      <x:c r="F1860" s="8" t="n">
        <x:v>46302.70836805555</x:v>
      </x:c>
      <x:c r="G1860" s="8" t="n">
        <x:v>46302.7083912037</x:v>
      </x:c>
      <x:c r="H1860" s="2" t="str">
        <x:v>SCH01</x:v>
      </x:c>
      <x:c r="I1860" s="9" t="n">
        <x:v>25.285</x:v>
      </x:c>
      <x:c r="J1860" s="9" t="n">
        <x:v>51.51</x:v>
      </x:c>
      <x:c r="K1860" s="2" t="n">
        <x:v>8</x:v>
      </x:c>
      <x:c r="L1860" s="2" t="str">
        <x:v>Valid</x:v>
      </x:c>
      <x:c r="M1860" s="2" t="str">
        <x:v>QR</x:v>
      </x:c>
      <x:c r="N1860" s="2" t="n">
        <x:v>1</x:v>
      </x:c>
      <x:c r="O1860" s="2" t="str">
        <x:v>Accepted</x:v>
      </x:c>
      <x:c r="P1860" s="2" t="str">
        <x:v>S002</x:v>
      </x:c>
      <x:c r="Q1860" s="2" t="str">
        <x:v>DEV002</x:v>
      </x:c>
      <x:c r="R1860" s="2" t="n">
        <x:v>2</x:v>
      </x:c>
      <x:c r="S1860" s="2" t="str">
        <x:v>Online</x:v>
      </x:c>
      <x:c r="T1860" s="2" t="str">
        <x:v>Synced</x:v>
      </x:c>
    </x:row>
    <x:row r="1861" ht="21" customHeight="1">
      <x:c r="A1861" s="2" t="str">
        <x:v>EV001897</x:v>
      </x:c>
      <x:c r="B1861" s="2" t="str">
        <x:v>T20261007-5-3</x:v>
      </x:c>
      <x:c r="C1861" s="2" t="str">
        <x:v>ST112</x:v>
      </x:c>
      <x:c r="D1861" s="2" t="str">
        <x:v>ca020aefc0d912af9ddca5c7ca7a2f51</x:v>
      </x:c>
      <x:c r="E1861" s="2" t="str">
        <x:v>CHECK_IN</x:v>
      </x:c>
      <x:c r="F1861" s="8" t="n">
        <x:v>46302.70836805555</x:v>
      </x:c>
      <x:c r="G1861" s="8" t="n">
        <x:v>46302.7083912037</x:v>
      </x:c>
      <x:c r="H1861" s="2" t="str">
        <x:v>SCH01</x:v>
      </x:c>
      <x:c r="I1861" s="9" t="n">
        <x:v>25.285</x:v>
      </x:c>
      <x:c r="J1861" s="9" t="n">
        <x:v>51.51</x:v>
      </x:c>
      <x:c r="K1861" s="2" t="n">
        <x:v>8</x:v>
      </x:c>
      <x:c r="L1861" s="2" t="str">
        <x:v>Valid</x:v>
      </x:c>
      <x:c r="M1861" s="2" t="str">
        <x:v>QR</x:v>
      </x:c>
      <x:c r="N1861" s="2" t="n">
        <x:v>1</x:v>
      </x:c>
      <x:c r="O1861" s="2" t="str">
        <x:v>Accepted</x:v>
      </x:c>
      <x:c r="P1861" s="2" t="str">
        <x:v>S003</x:v>
      </x:c>
      <x:c r="Q1861" s="2" t="str">
        <x:v>DEV003</x:v>
      </x:c>
      <x:c r="R1861" s="2" t="n">
        <x:v>2</x:v>
      </x:c>
      <x:c r="S1861" s="2" t="str">
        <x:v>Online</x:v>
      </x:c>
      <x:c r="T1861" s="2" t="str">
        <x:v>Synced</x:v>
      </x:c>
    </x:row>
    <x:row r="1862" ht="21" customHeight="1">
      <x:c r="A1862" s="2" t="str">
        <x:v>EV001579</x:v>
      </x:c>
      <x:c r="B1862" s="2" t="str">
        <x:v>T20261007-5-1</x:v>
      </x:c>
      <x:c r="C1862" s="2" t="str">
        <x:v>ST033</x:v>
      </x:c>
      <x:c r="D1862" s="2" t="str">
        <x:v>c9cc8ddf1b5bae8b49929340838e300a</x:v>
      </x:c>
      <x:c r="E1862" s="2" t="str">
        <x:v>CHECK_IN</x:v>
      </x:c>
      <x:c r="F1862" s="8" t="n">
        <x:v>46302.708402777775</x:v>
      </x:c>
      <x:c r="G1862" s="8" t="n">
        <x:v>46302.70842592592</x:v>
      </x:c>
      <x:c r="H1862" s="2" t="str">
        <x:v>SCH01</x:v>
      </x:c>
      <x:c r="I1862" s="9" t="n">
        <x:v>25.285</x:v>
      </x:c>
      <x:c r="J1862" s="9" t="n">
        <x:v>51.51</x:v>
      </x:c>
      <x:c r="K1862" s="2" t="n">
        <x:v>8</x:v>
      </x:c>
      <x:c r="L1862" s="2" t="str">
        <x:v>Valid</x:v>
      </x:c>
      <x:c r="M1862" s="2" t="str">
        <x:v>QR</x:v>
      </x:c>
      <x:c r="N1862" s="2" t="n">
        <x:v>1</x:v>
      </x:c>
      <x:c r="O1862" s="2" t="str">
        <x:v>Accepted</x:v>
      </x:c>
      <x:c r="P1862" s="2" t="str">
        <x:v>S001</x:v>
      </x:c>
      <x:c r="Q1862" s="2" t="str">
        <x:v>DEV001</x:v>
      </x:c>
      <x:c r="R1862" s="2" t="n">
        <x:v>3</x:v>
      </x:c>
      <x:c r="S1862" s="2" t="str">
        <x:v>Online</x:v>
      </x:c>
      <x:c r="T1862" s="2" t="str">
        <x:v>Synced</x:v>
      </x:c>
    </x:row>
    <x:row r="1863" ht="21" customHeight="1">
      <x:c r="A1863" s="2" t="str">
        <x:v>EV001739</x:v>
      </x:c>
      <x:c r="B1863" s="2" t="str">
        <x:v>T20261007-5-2</x:v>
      </x:c>
      <x:c r="C1863" s="2" t="str">
        <x:v>ST073</x:v>
      </x:c>
      <x:c r="D1863" s="2" t="str">
        <x:v>b27180ce7590c0aac206d465f318b712</x:v>
      </x:c>
      <x:c r="E1863" s="2" t="str">
        <x:v>CHECK_IN</x:v>
      </x:c>
      <x:c r="F1863" s="8" t="n">
        <x:v>46302.708402777775</x:v>
      </x:c>
      <x:c r="G1863" s="8" t="n">
        <x:v>46302.70842592592</x:v>
      </x:c>
      <x:c r="H1863" s="2" t="str">
        <x:v>SCH01</x:v>
      </x:c>
      <x:c r="I1863" s="9" t="n">
        <x:v>25.285</x:v>
      </x:c>
      <x:c r="J1863" s="9" t="n">
        <x:v>51.51</x:v>
      </x:c>
      <x:c r="K1863" s="2" t="n">
        <x:v>8</x:v>
      </x:c>
      <x:c r="L1863" s="2" t="str">
        <x:v>Valid</x:v>
      </x:c>
      <x:c r="M1863" s="2" t="str">
        <x:v>QR</x:v>
      </x:c>
      <x:c r="N1863" s="2" t="n">
        <x:v>1</x:v>
      </x:c>
      <x:c r="O1863" s="2" t="str">
        <x:v>Accepted</x:v>
      </x:c>
      <x:c r="P1863" s="2" t="str">
        <x:v>S002</x:v>
      </x:c>
      <x:c r="Q1863" s="2" t="str">
        <x:v>DEV002</x:v>
      </x:c>
      <x:c r="R1863" s="2" t="n">
        <x:v>3</x:v>
      </x:c>
      <x:c r="S1863" s="2" t="str">
        <x:v>Online</x:v>
      </x:c>
      <x:c r="T1863" s="2" t="str">
        <x:v>Synced</x:v>
      </x:c>
    </x:row>
    <x:row r="1864" ht="21" customHeight="1">
      <x:c r="A1864" s="2" t="str">
        <x:v>EV001899</x:v>
      </x:c>
      <x:c r="B1864" s="2" t="str">
        <x:v>T20261007-5-3</x:v>
      </x:c>
      <x:c r="C1864" s="2" t="str">
        <x:v>ST113</x:v>
      </x:c>
      <x:c r="D1864" s="2" t="str">
        <x:v>c3781e168737a6cc1190d4415801c440</x:v>
      </x:c>
      <x:c r="E1864" s="2" t="str">
        <x:v>CHECK_IN</x:v>
      </x:c>
      <x:c r="F1864" s="8" t="n">
        <x:v>46302.708402777775</x:v>
      </x:c>
      <x:c r="G1864" s="8" t="n">
        <x:v>46302.70842592592</x:v>
      </x:c>
      <x:c r="H1864" s="2" t="str">
        <x:v>SCH01</x:v>
      </x:c>
      <x:c r="I1864" s="9" t="n">
        <x:v>25.285</x:v>
      </x:c>
      <x:c r="J1864" s="9" t="n">
        <x:v>51.51</x:v>
      </x:c>
      <x:c r="K1864" s="2" t="n">
        <x:v>8</x:v>
      </x:c>
      <x:c r="L1864" s="2" t="str">
        <x:v>Valid</x:v>
      </x:c>
      <x:c r="M1864" s="2" t="str">
        <x:v>QR</x:v>
      </x:c>
      <x:c r="N1864" s="2" t="n">
        <x:v>1</x:v>
      </x:c>
      <x:c r="O1864" s="2" t="str">
        <x:v>Accepted</x:v>
      </x:c>
      <x:c r="P1864" s="2" t="str">
        <x:v>S003</x:v>
      </x:c>
      <x:c r="Q1864" s="2" t="str">
        <x:v>DEV003</x:v>
      </x:c>
      <x:c r="R1864" s="2" t="n">
        <x:v>3</x:v>
      </x:c>
      <x:c r="S1864" s="2" t="str">
        <x:v>Online</x:v>
      </x:c>
      <x:c r="T1864" s="2" t="str">
        <x:v>Synced</x:v>
      </x:c>
    </x:row>
    <x:row r="1865" ht="21" customHeight="1">
      <x:c r="A1865" s="2" t="str">
        <x:v>EV001581</x:v>
      </x:c>
      <x:c r="B1865" s="2" t="str">
        <x:v>T20261007-5-1</x:v>
      </x:c>
      <x:c r="C1865" s="2" t="str">
        <x:v>ST034</x:v>
      </x:c>
      <x:c r="D1865" s="2" t="str">
        <x:v>80fbe33bb2df8cab59b55f98f1c8a3d5</x:v>
      </x:c>
      <x:c r="E1865" s="2" t="str">
        <x:v>CHECK_IN</x:v>
      </x:c>
      <x:c r="F1865" s="8" t="n">
        <x:v>46302.7084375</x:v>
      </x:c>
      <x:c r="G1865" s="8" t="n">
        <x:v>46302.708460648144</x:v>
      </x:c>
      <x:c r="H1865" s="2" t="str">
        <x:v>SCH01</x:v>
      </x:c>
      <x:c r="I1865" s="9" t="n">
        <x:v>25.285</x:v>
      </x:c>
      <x:c r="J1865" s="9" t="n">
        <x:v>51.51</x:v>
      </x:c>
      <x:c r="K1865" s="2" t="n">
        <x:v>8</x:v>
      </x:c>
      <x:c r="L1865" s="2" t="str">
        <x:v>Valid</x:v>
      </x:c>
      <x:c r="M1865" s="2" t="str">
        <x:v>QR</x:v>
      </x:c>
      <x:c r="N1865" s="2" t="n">
        <x:v>1</x:v>
      </x:c>
      <x:c r="O1865" s="2" t="str">
        <x:v>Accepted</x:v>
      </x:c>
      <x:c r="P1865" s="2" t="str">
        <x:v>S001</x:v>
      </x:c>
      <x:c r="Q1865" s="2" t="str">
        <x:v>DEV001</x:v>
      </x:c>
      <x:c r="R1865" s="2" t="n">
        <x:v>4</x:v>
      </x:c>
      <x:c r="S1865" s="2" t="str">
        <x:v>Online</x:v>
      </x:c>
      <x:c r="T1865" s="2" t="str">
        <x:v>Synced</x:v>
      </x:c>
    </x:row>
    <x:row r="1866" ht="21" customHeight="1">
      <x:c r="A1866" s="2" t="str">
        <x:v>EV001741</x:v>
      </x:c>
      <x:c r="B1866" s="2" t="str">
        <x:v>T20261007-5-2</x:v>
      </x:c>
      <x:c r="C1866" s="2" t="str">
        <x:v>ST074</x:v>
      </x:c>
      <x:c r="D1866" s="2" t="str">
        <x:v>a9bcbd7cecca4f17e235125ddf0adf7b</x:v>
      </x:c>
      <x:c r="E1866" s="2" t="str">
        <x:v>CHECK_IN</x:v>
      </x:c>
      <x:c r="F1866" s="8" t="n">
        <x:v>46302.7084375</x:v>
      </x:c>
      <x:c r="G1866" s="8" t="n">
        <x:v>46302.708460648144</x:v>
      </x:c>
      <x:c r="H1866" s="2" t="str">
        <x:v>SCH01</x:v>
      </x:c>
      <x:c r="I1866" s="9" t="n">
        <x:v>25.285</x:v>
      </x:c>
      <x:c r="J1866" s="9" t="n">
        <x:v>51.51</x:v>
      </x:c>
      <x:c r="K1866" s="2" t="n">
        <x:v>8</x:v>
      </x:c>
      <x:c r="L1866" s="2" t="str">
        <x:v>Valid</x:v>
      </x:c>
      <x:c r="M1866" s="2" t="str">
        <x:v>QR</x:v>
      </x:c>
      <x:c r="N1866" s="2" t="n">
        <x:v>1</x:v>
      </x:c>
      <x:c r="O1866" s="2" t="str">
        <x:v>Accepted</x:v>
      </x:c>
      <x:c r="P1866" s="2" t="str">
        <x:v>S002</x:v>
      </x:c>
      <x:c r="Q1866" s="2" t="str">
        <x:v>DEV002</x:v>
      </x:c>
      <x:c r="R1866" s="2" t="n">
        <x:v>4</x:v>
      </x:c>
      <x:c r="S1866" s="2" t="str">
        <x:v>Online</x:v>
      </x:c>
      <x:c r="T1866" s="2" t="str">
        <x:v>Synced</x:v>
      </x:c>
    </x:row>
    <x:row r="1867" ht="21" customHeight="1">
      <x:c r="A1867" s="2" t="str">
        <x:v>EV001901</x:v>
      </x:c>
      <x:c r="B1867" s="2" t="str">
        <x:v>T20261007-5-3</x:v>
      </x:c>
      <x:c r="C1867" s="2" t="str">
        <x:v>ST114</x:v>
      </x:c>
      <x:c r="D1867" s="2" t="str">
        <x:v>a5c77bf3b082c3ab825b65c34f1c9f8c</x:v>
      </x:c>
      <x:c r="E1867" s="2" t="str">
        <x:v>CHECK_IN</x:v>
      </x:c>
      <x:c r="F1867" s="8" t="n">
        <x:v>46302.7084375</x:v>
      </x:c>
      <x:c r="G1867" s="8" t="n">
        <x:v>46302.708460648144</x:v>
      </x:c>
      <x:c r="H1867" s="2" t="str">
        <x:v>SCH01</x:v>
      </x:c>
      <x:c r="I1867" s="9" t="n">
        <x:v>25.285</x:v>
      </x:c>
      <x:c r="J1867" s="9" t="n">
        <x:v>51.51</x:v>
      </x:c>
      <x:c r="K1867" s="2" t="n">
        <x:v>8</x:v>
      </x:c>
      <x:c r="L1867" s="2" t="str">
        <x:v>Valid</x:v>
      </x:c>
      <x:c r="M1867" s="2" t="str">
        <x:v>QR</x:v>
      </x:c>
      <x:c r="N1867" s="2" t="n">
        <x:v>1</x:v>
      </x:c>
      <x:c r="O1867" s="2" t="str">
        <x:v>Accepted</x:v>
      </x:c>
      <x:c r="P1867" s="2" t="str">
        <x:v>S003</x:v>
      </x:c>
      <x:c r="Q1867" s="2" t="str">
        <x:v>DEV003</x:v>
      </x:c>
      <x:c r="R1867" s="2" t="n">
        <x:v>4</x:v>
      </x:c>
      <x:c r="S1867" s="2" t="str">
        <x:v>Online</x:v>
      </x:c>
      <x:c r="T1867" s="2" t="str">
        <x:v>Synced</x:v>
      </x:c>
    </x:row>
    <x:row r="1868" ht="21" customHeight="1">
      <x:c r="A1868" s="2" t="str">
        <x:v>EV001583</x:v>
      </x:c>
      <x:c r="B1868" s="2" t="str">
        <x:v>T20261007-5-1</x:v>
      </x:c>
      <x:c r="C1868" s="2" t="str">
        <x:v>ST035</x:v>
      </x:c>
      <x:c r="D1868" s="2" t="str">
        <x:v>45068f3206e9be80993e83e259ea9cdc</x:v>
      </x:c>
      <x:c r="E1868" s="2" t="str">
        <x:v>CHECK_IN</x:v>
      </x:c>
      <x:c r="F1868" s="8" t="n">
        <x:v>46302.70847222222</x:v>
      </x:c>
      <x:c r="G1868" s="8" t="n">
        <x:v>46302.70849537037</x:v>
      </x:c>
      <x:c r="H1868" s="2" t="str">
        <x:v>SCH01</x:v>
      </x:c>
      <x:c r="I1868" s="9" t="n">
        <x:v>25.285</x:v>
      </x:c>
      <x:c r="J1868" s="9" t="n">
        <x:v>51.51</x:v>
      </x:c>
      <x:c r="K1868" s="2" t="n">
        <x:v>8</x:v>
      </x:c>
      <x:c r="L1868" s="2" t="str">
        <x:v>Valid</x:v>
      </x:c>
      <x:c r="M1868" s="2" t="str">
        <x:v>QR</x:v>
      </x:c>
      <x:c r="N1868" s="2" t="n">
        <x:v>1</x:v>
      </x:c>
      <x:c r="O1868" s="2" t="str">
        <x:v>Accepted</x:v>
      </x:c>
      <x:c r="P1868" s="2" t="str">
        <x:v>S001</x:v>
      </x:c>
      <x:c r="Q1868" s="2" t="str">
        <x:v>DEV001</x:v>
      </x:c>
      <x:c r="R1868" s="2" t="n">
        <x:v>5</x:v>
      </x:c>
      <x:c r="S1868" s="2" t="str">
        <x:v>Online</x:v>
      </x:c>
      <x:c r="T1868" s="2" t="str">
        <x:v>Synced</x:v>
      </x:c>
    </x:row>
    <x:row r="1869" ht="21" customHeight="1">
      <x:c r="A1869" s="2" t="str">
        <x:v>EV001743</x:v>
      </x:c>
      <x:c r="B1869" s="2" t="str">
        <x:v>T20261007-5-2</x:v>
      </x:c>
      <x:c r="C1869" s="2" t="str">
        <x:v>ST075</x:v>
      </x:c>
      <x:c r="D1869" s="2" t="str">
        <x:v>3781d00e457977b726407cb845a294cc</x:v>
      </x:c>
      <x:c r="E1869" s="2" t="str">
        <x:v>CHECK_IN</x:v>
      </x:c>
      <x:c r="F1869" s="8" t="n">
        <x:v>46302.70847222222</x:v>
      </x:c>
      <x:c r="G1869" s="8" t="n">
        <x:v>46302.70849537037</x:v>
      </x:c>
      <x:c r="H1869" s="2" t="str">
        <x:v>SCH01</x:v>
      </x:c>
      <x:c r="I1869" s="9" t="n">
        <x:v>25.285</x:v>
      </x:c>
      <x:c r="J1869" s="9" t="n">
        <x:v>51.51</x:v>
      </x:c>
      <x:c r="K1869" s="2" t="n">
        <x:v>8</x:v>
      </x:c>
      <x:c r="L1869" s="2" t="str">
        <x:v>Valid</x:v>
      </x:c>
      <x:c r="M1869" s="2" t="str">
        <x:v>QR</x:v>
      </x:c>
      <x:c r="N1869" s="2" t="n">
        <x:v>1</x:v>
      </x:c>
      <x:c r="O1869" s="2" t="str">
        <x:v>Accepted</x:v>
      </x:c>
      <x:c r="P1869" s="2" t="str">
        <x:v>S002</x:v>
      </x:c>
      <x:c r="Q1869" s="2" t="str">
        <x:v>DEV002</x:v>
      </x:c>
      <x:c r="R1869" s="2" t="n">
        <x:v>5</x:v>
      </x:c>
      <x:c r="S1869" s="2" t="str">
        <x:v>Online</x:v>
      </x:c>
      <x:c r="T1869" s="2" t="str">
        <x:v>Synced</x:v>
      </x:c>
    </x:row>
    <x:row r="1870" ht="21" customHeight="1">
      <x:c r="A1870" s="2" t="str">
        <x:v>EV001903</x:v>
      </x:c>
      <x:c r="B1870" s="2" t="str">
        <x:v>T20261007-5-3</x:v>
      </x:c>
      <x:c r="C1870" s="2" t="str">
        <x:v>ST115</x:v>
      </x:c>
      <x:c r="D1870" s="2" t="str">
        <x:v>dc951b9fd5f4acb1dc2ce3ca2f2e08ab</x:v>
      </x:c>
      <x:c r="E1870" s="2" t="str">
        <x:v>CHECK_IN</x:v>
      </x:c>
      <x:c r="F1870" s="8" t="n">
        <x:v>46302.70847222222</x:v>
      </x:c>
      <x:c r="G1870" s="8" t="n">
        <x:v>46302.70849537037</x:v>
      </x:c>
      <x:c r="H1870" s="2" t="str">
        <x:v>SCH01</x:v>
      </x:c>
      <x:c r="I1870" s="9" t="n">
        <x:v>25.285</x:v>
      </x:c>
      <x:c r="J1870" s="9" t="n">
        <x:v>51.51</x:v>
      </x:c>
      <x:c r="K1870" s="2" t="n">
        <x:v>8</x:v>
      </x:c>
      <x:c r="L1870" s="2" t="str">
        <x:v>Valid</x:v>
      </x:c>
      <x:c r="M1870" s="2" t="str">
        <x:v>QR</x:v>
      </x:c>
      <x:c r="N1870" s="2" t="n">
        <x:v>1</x:v>
      </x:c>
      <x:c r="O1870" s="2" t="str">
        <x:v>Accepted</x:v>
      </x:c>
      <x:c r="P1870" s="2" t="str">
        <x:v>S003</x:v>
      </x:c>
      <x:c r="Q1870" s="2" t="str">
        <x:v>DEV003</x:v>
      </x:c>
      <x:c r="R1870" s="2" t="n">
        <x:v>5</x:v>
      </x:c>
      <x:c r="S1870" s="2" t="str">
        <x:v>Online</x:v>
      </x:c>
      <x:c r="T1870" s="2" t="str">
        <x:v>Synced</x:v>
      </x:c>
    </x:row>
    <x:row r="1871" ht="21" customHeight="1">
      <x:c r="A1871" s="2" t="str">
        <x:v>EV001585</x:v>
      </x:c>
      <x:c r="B1871" s="2" t="str">
        <x:v>T20261007-5-1</x:v>
      </x:c>
      <x:c r="C1871" s="2" t="str">
        <x:v>ST036</x:v>
      </x:c>
      <x:c r="D1871" s="2" t="str">
        <x:v>7e42555e63455121ac9f1b3710bc905c</x:v>
      </x:c>
      <x:c r="E1871" s="2" t="str">
        <x:v>CHECK_IN</x:v>
      </x:c>
      <x:c r="F1871" s="8" t="n">
        <x:v>46302.70850694444</x:v>
      </x:c>
      <x:c r="G1871" s="8" t="n">
        <x:v>46302.70853009258</x:v>
      </x:c>
      <x:c r="H1871" s="2" t="str">
        <x:v>SCH01</x:v>
      </x:c>
      <x:c r="I1871" s="9" t="n">
        <x:v>25.285</x:v>
      </x:c>
      <x:c r="J1871" s="9" t="n">
        <x:v>51.51</x:v>
      </x:c>
      <x:c r="K1871" s="2" t="n">
        <x:v>8</x:v>
      </x:c>
      <x:c r="L1871" s="2" t="str">
        <x:v>Valid</x:v>
      </x:c>
      <x:c r="M1871" s="2" t="str">
        <x:v>QR</x:v>
      </x:c>
      <x:c r="N1871" s="2" t="n">
        <x:v>1</x:v>
      </x:c>
      <x:c r="O1871" s="2" t="str">
        <x:v>Accepted</x:v>
      </x:c>
      <x:c r="P1871" s="2" t="str">
        <x:v>S001</x:v>
      </x:c>
      <x:c r="Q1871" s="2" t="str">
        <x:v>DEV001</x:v>
      </x:c>
      <x:c r="R1871" s="2" t="n">
        <x:v>6</x:v>
      </x:c>
      <x:c r="S1871" s="2" t="str">
        <x:v>Online</x:v>
      </x:c>
      <x:c r="T1871" s="2" t="str">
        <x:v>Synced</x:v>
      </x:c>
    </x:row>
    <x:row r="1872" ht="21" customHeight="1">
      <x:c r="A1872" s="2" t="str">
        <x:v>EV001745</x:v>
      </x:c>
      <x:c r="B1872" s="2" t="str">
        <x:v>T20261007-5-2</x:v>
      </x:c>
      <x:c r="C1872" s="2" t="str">
        <x:v>ST076</x:v>
      </x:c>
      <x:c r="D1872" s="2" t="str">
        <x:v>08979b9eef223b076885fe932d9f2bca</x:v>
      </x:c>
      <x:c r="E1872" s="2" t="str">
        <x:v>CHECK_IN</x:v>
      </x:c>
      <x:c r="F1872" s="8" t="n">
        <x:v>46302.70850694444</x:v>
      </x:c>
      <x:c r="G1872" s="8" t="n">
        <x:v>46302.70853009258</x:v>
      </x:c>
      <x:c r="H1872" s="2" t="str">
        <x:v>SCH01</x:v>
      </x:c>
      <x:c r="I1872" s="9" t="n">
        <x:v>25.285</x:v>
      </x:c>
      <x:c r="J1872" s="9" t="n">
        <x:v>51.51</x:v>
      </x:c>
      <x:c r="K1872" s="2" t="n">
        <x:v>8</x:v>
      </x:c>
      <x:c r="L1872" s="2" t="str">
        <x:v>Valid</x:v>
      </x:c>
      <x:c r="M1872" s="2" t="str">
        <x:v>QR</x:v>
      </x:c>
      <x:c r="N1872" s="2" t="n">
        <x:v>1</x:v>
      </x:c>
      <x:c r="O1872" s="2" t="str">
        <x:v>Accepted</x:v>
      </x:c>
      <x:c r="P1872" s="2" t="str">
        <x:v>S002</x:v>
      </x:c>
      <x:c r="Q1872" s="2" t="str">
        <x:v>DEV002</x:v>
      </x:c>
      <x:c r="R1872" s="2" t="n">
        <x:v>6</x:v>
      </x:c>
      <x:c r="S1872" s="2" t="str">
        <x:v>Online</x:v>
      </x:c>
      <x:c r="T1872" s="2" t="str">
        <x:v>Synced</x:v>
      </x:c>
    </x:row>
    <x:row r="1873" ht="21" customHeight="1">
      <x:c r="A1873" s="2" t="str">
        <x:v>EV001905</x:v>
      </x:c>
      <x:c r="B1873" s="2" t="str">
        <x:v>T20261007-5-3</x:v>
      </x:c>
      <x:c r="C1873" s="2" t="str">
        <x:v>ST116</x:v>
      </x:c>
      <x:c r="D1873" s="2" t="str">
        <x:v>1c1fddc89afc564845795907cf1b7b0e</x:v>
      </x:c>
      <x:c r="E1873" s="2" t="str">
        <x:v>CHECK_IN</x:v>
      </x:c>
      <x:c r="F1873" s="8" t="n">
        <x:v>46302.70850694444</x:v>
      </x:c>
      <x:c r="G1873" s="8" t="n">
        <x:v>46302.70853009258</x:v>
      </x:c>
      <x:c r="H1873" s="2" t="str">
        <x:v>SCH01</x:v>
      </x:c>
      <x:c r="I1873" s="9" t="n">
        <x:v>25.285</x:v>
      </x:c>
      <x:c r="J1873" s="9" t="n">
        <x:v>51.51</x:v>
      </x:c>
      <x:c r="K1873" s="2" t="n">
        <x:v>8</x:v>
      </x:c>
      <x:c r="L1873" s="2" t="str">
        <x:v>Valid</x:v>
      </x:c>
      <x:c r="M1873" s="2" t="str">
        <x:v>QR</x:v>
      </x:c>
      <x:c r="N1873" s="2" t="n">
        <x:v>1</x:v>
      </x:c>
      <x:c r="O1873" s="2" t="str">
        <x:v>Accepted</x:v>
      </x:c>
      <x:c r="P1873" s="2" t="str">
        <x:v>S003</x:v>
      </x:c>
      <x:c r="Q1873" s="2" t="str">
        <x:v>DEV003</x:v>
      </x:c>
      <x:c r="R1873" s="2" t="n">
        <x:v>6</x:v>
      </x:c>
      <x:c r="S1873" s="2" t="str">
        <x:v>Online</x:v>
      </x:c>
      <x:c r="T1873" s="2" t="str">
        <x:v>Synced</x:v>
      </x:c>
    </x:row>
    <x:row r="1874" ht="21" customHeight="1">
      <x:c r="A1874" s="2" t="str">
        <x:v>EV001587</x:v>
      </x:c>
      <x:c r="B1874" s="2" t="str">
        <x:v>T20261007-5-1</x:v>
      </x:c>
      <x:c r="C1874" s="2" t="str">
        <x:v>ST037</x:v>
      </x:c>
      <x:c r="D1874" s="2" t="str">
        <x:v>eb6cdfa5572c8f6959c8b9c84b8ec493</x:v>
      </x:c>
      <x:c r="E1874" s="2" t="str">
        <x:v>CHECK_IN</x:v>
      </x:c>
      <x:c r="F1874" s="8" t="n">
        <x:v>46302.70854166666</x:v>
      </x:c>
      <x:c r="G1874" s="8" t="n">
        <x:v>46302.708564814806</x:v>
      </x:c>
      <x:c r="H1874" s="2" t="str">
        <x:v>SCH01</x:v>
      </x:c>
      <x:c r="I1874" s="9" t="n">
        <x:v>25.285</x:v>
      </x:c>
      <x:c r="J1874" s="9" t="n">
        <x:v>51.51</x:v>
      </x:c>
      <x:c r="K1874" s="2" t="n">
        <x:v>8</x:v>
      </x:c>
      <x:c r="L1874" s="2" t="str">
        <x:v>Valid</x:v>
      </x:c>
      <x:c r="M1874" s="2" t="str">
        <x:v>QR</x:v>
      </x:c>
      <x:c r="N1874" s="2" t="n">
        <x:v>1</x:v>
      </x:c>
      <x:c r="O1874" s="2" t="str">
        <x:v>Accepted</x:v>
      </x:c>
      <x:c r="P1874" s="2" t="str">
        <x:v>S001</x:v>
      </x:c>
      <x:c r="Q1874" s="2" t="str">
        <x:v>DEV001</x:v>
      </x:c>
      <x:c r="R1874" s="2" t="n">
        <x:v>7</x:v>
      </x:c>
      <x:c r="S1874" s="2" t="str">
        <x:v>Online</x:v>
      </x:c>
      <x:c r="T1874" s="2" t="str">
        <x:v>Synced</x:v>
      </x:c>
    </x:row>
    <x:row r="1875" ht="21" customHeight="1">
      <x:c r="A1875" s="2" t="str">
        <x:v>EV001747</x:v>
      </x:c>
      <x:c r="B1875" s="2" t="str">
        <x:v>T20261007-5-2</x:v>
      </x:c>
      <x:c r="C1875" s="2" t="str">
        <x:v>ST077</x:v>
      </x:c>
      <x:c r="D1875" s="2" t="str">
        <x:v>af7b8314f6c372daf48e6b95332f6a0f</x:v>
      </x:c>
      <x:c r="E1875" s="2" t="str">
        <x:v>CHECK_IN</x:v>
      </x:c>
      <x:c r="F1875" s="8" t="n">
        <x:v>46302.70854166666</x:v>
      </x:c>
      <x:c r="G1875" s="8" t="n">
        <x:v>46302.708564814806</x:v>
      </x:c>
      <x:c r="H1875" s="2" t="str">
        <x:v>SCH01</x:v>
      </x:c>
      <x:c r="I1875" s="9" t="n">
        <x:v>25.285</x:v>
      </x:c>
      <x:c r="J1875" s="9" t="n">
        <x:v>51.51</x:v>
      </x:c>
      <x:c r="K1875" s="2" t="n">
        <x:v>8</x:v>
      </x:c>
      <x:c r="L1875" s="2" t="str">
        <x:v>Valid</x:v>
      </x:c>
      <x:c r="M1875" s="2" t="str">
        <x:v>QR</x:v>
      </x:c>
      <x:c r="N1875" s="2" t="n">
        <x:v>1</x:v>
      </x:c>
      <x:c r="O1875" s="2" t="str">
        <x:v>Accepted</x:v>
      </x:c>
      <x:c r="P1875" s="2" t="str">
        <x:v>S002</x:v>
      </x:c>
      <x:c r="Q1875" s="2" t="str">
        <x:v>DEV002</x:v>
      </x:c>
      <x:c r="R1875" s="2" t="n">
        <x:v>7</x:v>
      </x:c>
      <x:c r="S1875" s="2" t="str">
        <x:v>Online</x:v>
      </x:c>
      <x:c r="T1875" s="2" t="str">
        <x:v>Synced</x:v>
      </x:c>
    </x:row>
    <x:row r="1876" ht="21" customHeight="1">
      <x:c r="A1876" s="2" t="str">
        <x:v>EV001907</x:v>
      </x:c>
      <x:c r="B1876" s="2" t="str">
        <x:v>T20261007-5-3</x:v>
      </x:c>
      <x:c r="C1876" s="2" t="str">
        <x:v>ST117</x:v>
      </x:c>
      <x:c r="D1876" s="2" t="str">
        <x:v>195a54aea4adbe89371209e73878e4fe</x:v>
      </x:c>
      <x:c r="E1876" s="2" t="str">
        <x:v>CHECK_IN</x:v>
      </x:c>
      <x:c r="F1876" s="8" t="n">
        <x:v>46302.70854166666</x:v>
      </x:c>
      <x:c r="G1876" s="8" t="n">
        <x:v>46302.708564814806</x:v>
      </x:c>
      <x:c r="H1876" s="2" t="str">
        <x:v>SCH01</x:v>
      </x:c>
      <x:c r="I1876" s="9" t="n">
        <x:v>25.285</x:v>
      </x:c>
      <x:c r="J1876" s="9" t="n">
        <x:v>51.51</x:v>
      </x:c>
      <x:c r="K1876" s="2" t="n">
        <x:v>8</x:v>
      </x:c>
      <x:c r="L1876" s="2" t="str">
        <x:v>Valid</x:v>
      </x:c>
      <x:c r="M1876" s="2" t="str">
        <x:v>QR</x:v>
      </x:c>
      <x:c r="N1876" s="2" t="n">
        <x:v>1</x:v>
      </x:c>
      <x:c r="O1876" s="2" t="str">
        <x:v>Accepted</x:v>
      </x:c>
      <x:c r="P1876" s="2" t="str">
        <x:v>S003</x:v>
      </x:c>
      <x:c r="Q1876" s="2" t="str">
        <x:v>DEV003</x:v>
      </x:c>
      <x:c r="R1876" s="2" t="n">
        <x:v>7</x:v>
      </x:c>
      <x:c r="S1876" s="2" t="str">
        <x:v>Online</x:v>
      </x:c>
      <x:c r="T1876" s="2" t="str">
        <x:v>Synced</x:v>
      </x:c>
    </x:row>
    <x:row r="1877" ht="21" customHeight="1">
      <x:c r="A1877" s="2" t="str">
        <x:v>EV001589</x:v>
      </x:c>
      <x:c r="B1877" s="2" t="str">
        <x:v>T20261007-5-1</x:v>
      </x:c>
      <x:c r="C1877" s="2" t="str">
        <x:v>ST038</x:v>
      </x:c>
      <x:c r="D1877" s="2" t="str">
        <x:v>1ebedd777293ba897970ae7fc06b6301</x:v>
      </x:c>
      <x:c r="E1877" s="2" t="str">
        <x:v>CHECK_IN</x:v>
      </x:c>
      <x:c r="F1877" s="8" t="n">
        <x:v>46302.70857638888</x:v>
      </x:c>
      <x:c r="G1877" s="8" t="n">
        <x:v>46302.70859953703</x:v>
      </x:c>
      <x:c r="H1877" s="2" t="str">
        <x:v>SCH01</x:v>
      </x:c>
      <x:c r="I1877" s="9" t="n">
        <x:v>25.285</x:v>
      </x:c>
      <x:c r="J1877" s="9" t="n">
        <x:v>51.51</x:v>
      </x:c>
      <x:c r="K1877" s="2" t="n">
        <x:v>8</x:v>
      </x:c>
      <x:c r="L1877" s="2" t="str">
        <x:v>Valid</x:v>
      </x:c>
      <x:c r="M1877" s="2" t="str">
        <x:v>QR</x:v>
      </x:c>
      <x:c r="N1877" s="2" t="n">
        <x:v>1</x:v>
      </x:c>
      <x:c r="O1877" s="2" t="str">
        <x:v>Accepted</x:v>
      </x:c>
      <x:c r="P1877" s="2" t="str">
        <x:v>S001</x:v>
      </x:c>
      <x:c r="Q1877" s="2" t="str">
        <x:v>DEV001</x:v>
      </x:c>
      <x:c r="R1877" s="2" t="n">
        <x:v>8</x:v>
      </x:c>
      <x:c r="S1877" s="2" t="str">
        <x:v>Online</x:v>
      </x:c>
      <x:c r="T1877" s="2" t="str">
        <x:v>Synced</x:v>
      </x:c>
    </x:row>
    <x:row r="1878" ht="21" customHeight="1">
      <x:c r="A1878" s="2" t="str">
        <x:v>EV001749</x:v>
      </x:c>
      <x:c r="B1878" s="2" t="str">
        <x:v>T20261007-5-2</x:v>
      </x:c>
      <x:c r="C1878" s="2" t="str">
        <x:v>ST078</x:v>
      </x:c>
      <x:c r="D1878" s="2" t="str">
        <x:v>737ab4e672bf11e638a47ae295f7e187</x:v>
      </x:c>
      <x:c r="E1878" s="2" t="str">
        <x:v>CHECK_IN</x:v>
      </x:c>
      <x:c r="F1878" s="8" t="n">
        <x:v>46302.70857638888</x:v>
      </x:c>
      <x:c r="G1878" s="8" t="n">
        <x:v>46302.70859953703</x:v>
      </x:c>
      <x:c r="H1878" s="2" t="str">
        <x:v>SCH01</x:v>
      </x:c>
      <x:c r="I1878" s="9" t="n">
        <x:v>25.285</x:v>
      </x:c>
      <x:c r="J1878" s="9" t="n">
        <x:v>51.51</x:v>
      </x:c>
      <x:c r="K1878" s="2" t="n">
        <x:v>8</x:v>
      </x:c>
      <x:c r="L1878" s="2" t="str">
        <x:v>Valid</x:v>
      </x:c>
      <x:c r="M1878" s="2" t="str">
        <x:v>QR</x:v>
      </x:c>
      <x:c r="N1878" s="2" t="n">
        <x:v>1</x:v>
      </x:c>
      <x:c r="O1878" s="2" t="str">
        <x:v>Accepted</x:v>
      </x:c>
      <x:c r="P1878" s="2" t="str">
        <x:v>S002</x:v>
      </x:c>
      <x:c r="Q1878" s="2" t="str">
        <x:v>DEV002</x:v>
      </x:c>
      <x:c r="R1878" s="2" t="n">
        <x:v>8</x:v>
      </x:c>
      <x:c r="S1878" s="2" t="str">
        <x:v>Online</x:v>
      </x:c>
      <x:c r="T1878" s="2" t="str">
        <x:v>Synced</x:v>
      </x:c>
    </x:row>
    <x:row r="1879" ht="21" customHeight="1">
      <x:c r="A1879" s="2" t="str">
        <x:v>EV001909</x:v>
      </x:c>
      <x:c r="B1879" s="2" t="str">
        <x:v>T20261007-5-3</x:v>
      </x:c>
      <x:c r="C1879" s="2" t="str">
        <x:v>ST118</x:v>
      </x:c>
      <x:c r="D1879" s="2" t="str">
        <x:v>b15012a6111b47a10bdbbcbbd00c9f60</x:v>
      </x:c>
      <x:c r="E1879" s="2" t="str">
        <x:v>CHECK_IN</x:v>
      </x:c>
      <x:c r="F1879" s="8" t="n">
        <x:v>46302.70857638888</x:v>
      </x:c>
      <x:c r="G1879" s="8" t="n">
        <x:v>46302.70859953703</x:v>
      </x:c>
      <x:c r="H1879" s="2" t="str">
        <x:v>SCH01</x:v>
      </x:c>
      <x:c r="I1879" s="9" t="n">
        <x:v>25.285</x:v>
      </x:c>
      <x:c r="J1879" s="9" t="n">
        <x:v>51.51</x:v>
      </x:c>
      <x:c r="K1879" s="2" t="n">
        <x:v>8</x:v>
      </x:c>
      <x:c r="L1879" s="2" t="str">
        <x:v>Valid</x:v>
      </x:c>
      <x:c r="M1879" s="2" t="str">
        <x:v>QR</x:v>
      </x:c>
      <x:c r="N1879" s="2" t="n">
        <x:v>1</x:v>
      </x:c>
      <x:c r="O1879" s="2" t="str">
        <x:v>Accepted</x:v>
      </x:c>
      <x:c r="P1879" s="2" t="str">
        <x:v>S003</x:v>
      </x:c>
      <x:c r="Q1879" s="2" t="str">
        <x:v>DEV003</x:v>
      </x:c>
      <x:c r="R1879" s="2" t="n">
        <x:v>8</x:v>
      </x:c>
      <x:c r="S1879" s="2" t="str">
        <x:v>Online</x:v>
      </x:c>
      <x:c r="T1879" s="2" t="str">
        <x:v>Synced</x:v>
      </x:c>
    </x:row>
    <x:row r="1880" ht="21" customHeight="1">
      <x:c r="A1880" s="2" t="str">
        <x:v>EV001591</x:v>
      </x:c>
      <x:c r="B1880" s="2" t="str">
        <x:v>T20261007-5-1</x:v>
      </x:c>
      <x:c r="C1880" s="2" t="str">
        <x:v>ST039</x:v>
      </x:c>
      <x:c r="D1880" s="2" t="str">
        <x:v>31ed548c9c06f555ac72ac2281bbb58a</x:v>
      </x:c>
      <x:c r="E1880" s="2" t="str">
        <x:v>CHECK_IN</x:v>
      </x:c>
      <x:c r="F1880" s="8" t="n">
        <x:v>46302.708611111106</x:v>
      </x:c>
      <x:c r="G1880" s="8" t="n">
        <x:v>46302.70863425925</x:v>
      </x:c>
      <x:c r="H1880" s="2" t="str">
        <x:v>SCH01</x:v>
      </x:c>
      <x:c r="I1880" s="9" t="n">
        <x:v>25.285</x:v>
      </x:c>
      <x:c r="J1880" s="9" t="n">
        <x:v>51.51</x:v>
      </x:c>
      <x:c r="K1880" s="2" t="n">
        <x:v>8</x:v>
      </x:c>
      <x:c r="L1880" s="2" t="str">
        <x:v>Valid</x:v>
      </x:c>
      <x:c r="M1880" s="2" t="str">
        <x:v>QR</x:v>
      </x:c>
      <x:c r="N1880" s="2" t="n">
        <x:v>1</x:v>
      </x:c>
      <x:c r="O1880" s="2" t="str">
        <x:v>Accepted</x:v>
      </x:c>
      <x:c r="P1880" s="2" t="str">
        <x:v>S001</x:v>
      </x:c>
      <x:c r="Q1880" s="2" t="str">
        <x:v>DEV001</x:v>
      </x:c>
      <x:c r="R1880" s="2" t="n">
        <x:v>9</x:v>
      </x:c>
      <x:c r="S1880" s="2" t="str">
        <x:v>Online</x:v>
      </x:c>
      <x:c r="T1880" s="2" t="str">
        <x:v>Synced</x:v>
      </x:c>
    </x:row>
    <x:row r="1881" ht="21" customHeight="1">
      <x:c r="A1881" s="2" t="str">
        <x:v>EV001751</x:v>
      </x:c>
      <x:c r="B1881" s="2" t="str">
        <x:v>T20261007-5-2</x:v>
      </x:c>
      <x:c r="C1881" s="2" t="str">
        <x:v>ST079</x:v>
      </x:c>
      <x:c r="D1881" s="2" t="str">
        <x:v>3a794a47ff11773398f2344554eeea57</x:v>
      </x:c>
      <x:c r="E1881" s="2" t="str">
        <x:v>CHECK_IN</x:v>
      </x:c>
      <x:c r="F1881" s="8" t="n">
        <x:v>46302.708611111106</x:v>
      </x:c>
      <x:c r="G1881" s="8" t="n">
        <x:v>46302.70863425925</x:v>
      </x:c>
      <x:c r="H1881" s="2" t="str">
        <x:v>SCH01</x:v>
      </x:c>
      <x:c r="I1881" s="9" t="n">
        <x:v>25.285</x:v>
      </x:c>
      <x:c r="J1881" s="9" t="n">
        <x:v>51.51</x:v>
      </x:c>
      <x:c r="K1881" s="2" t="n">
        <x:v>8</x:v>
      </x:c>
      <x:c r="L1881" s="2" t="str">
        <x:v>Valid</x:v>
      </x:c>
      <x:c r="M1881" s="2" t="str">
        <x:v>QR</x:v>
      </x:c>
      <x:c r="N1881" s="2" t="n">
        <x:v>1</x:v>
      </x:c>
      <x:c r="O1881" s="2" t="str">
        <x:v>Accepted</x:v>
      </x:c>
      <x:c r="P1881" s="2" t="str">
        <x:v>S002</x:v>
      </x:c>
      <x:c r="Q1881" s="2" t="str">
        <x:v>DEV002</x:v>
      </x:c>
      <x:c r="R1881" s="2" t="n">
        <x:v>9</x:v>
      </x:c>
      <x:c r="S1881" s="2" t="str">
        <x:v>Online</x:v>
      </x:c>
      <x:c r="T1881" s="2" t="str">
        <x:v>Synced</x:v>
      </x:c>
    </x:row>
    <x:row r="1882" ht="21" customHeight="1">
      <x:c r="A1882" s="2" t="str">
        <x:v>EV001911</x:v>
      </x:c>
      <x:c r="B1882" s="2" t="str">
        <x:v>T20261007-5-3</x:v>
      </x:c>
      <x:c r="C1882" s="2" t="str">
        <x:v>ST119</x:v>
      </x:c>
      <x:c r="D1882" s="2" t="str">
        <x:v>c01a05a48293e3b7c907c4b326c0d0a8</x:v>
      </x:c>
      <x:c r="E1882" s="2" t="str">
        <x:v>CHECK_IN</x:v>
      </x:c>
      <x:c r="F1882" s="8" t="n">
        <x:v>46302.708611111106</x:v>
      </x:c>
      <x:c r="G1882" s="8" t="n">
        <x:v>46302.70863425925</x:v>
      </x:c>
      <x:c r="H1882" s="2" t="str">
        <x:v>SCH01</x:v>
      </x:c>
      <x:c r="I1882" s="9" t="n">
        <x:v>25.285</x:v>
      </x:c>
      <x:c r="J1882" s="9" t="n">
        <x:v>51.51</x:v>
      </x:c>
      <x:c r="K1882" s="2" t="n">
        <x:v>8</x:v>
      </x:c>
      <x:c r="L1882" s="2" t="str">
        <x:v>Valid</x:v>
      </x:c>
      <x:c r="M1882" s="2" t="str">
        <x:v>QR</x:v>
      </x:c>
      <x:c r="N1882" s="2" t="n">
        <x:v>1</x:v>
      </x:c>
      <x:c r="O1882" s="2" t="str">
        <x:v>Accepted</x:v>
      </x:c>
      <x:c r="P1882" s="2" t="str">
        <x:v>S003</x:v>
      </x:c>
      <x:c r="Q1882" s="2" t="str">
        <x:v>DEV003</x:v>
      </x:c>
      <x:c r="R1882" s="2" t="n">
        <x:v>9</x:v>
      </x:c>
      <x:c r="S1882" s="2" t="str">
        <x:v>Online</x:v>
      </x:c>
      <x:c r="T1882" s="2" t="str">
        <x:v>Synced</x:v>
      </x:c>
    </x:row>
    <x:row r="1883" ht="21" customHeight="1">
      <x:c r="A1883" s="2" t="str">
        <x:v>EV001593</x:v>
      </x:c>
      <x:c r="B1883" s="2" t="str">
        <x:v>T20261007-5-1</x:v>
      </x:c>
      <x:c r="C1883" s="2" t="str">
        <x:v>ST040</x:v>
      </x:c>
      <x:c r="D1883" s="2" t="str">
        <x:v>4cd5e507bb3c8af27cd11d16138dcec0</x:v>
      </x:c>
      <x:c r="E1883" s="2" t="str">
        <x:v>CHECK_IN</x:v>
      </x:c>
      <x:c r="F1883" s="8" t="n">
        <x:v>46302.70864583333</x:v>
      </x:c>
      <x:c r="G1883" s="8" t="n">
        <x:v>46302.708668981475</x:v>
      </x:c>
      <x:c r="H1883" s="2" t="str">
        <x:v>SCH01</x:v>
      </x:c>
      <x:c r="I1883" s="9" t="n">
        <x:v>25.285</x:v>
      </x:c>
      <x:c r="J1883" s="9" t="n">
        <x:v>51.51</x:v>
      </x:c>
      <x:c r="K1883" s="2" t="n">
        <x:v>8</x:v>
      </x:c>
      <x:c r="L1883" s="2" t="str">
        <x:v>Valid</x:v>
      </x:c>
      <x:c r="M1883" s="2" t="str">
        <x:v>QR</x:v>
      </x:c>
      <x:c r="N1883" s="2" t="n">
        <x:v>1</x:v>
      </x:c>
      <x:c r="O1883" s="2" t="str">
        <x:v>Accepted</x:v>
      </x:c>
      <x:c r="P1883" s="2" t="str">
        <x:v>S001</x:v>
      </x:c>
      <x:c r="Q1883" s="2" t="str">
        <x:v>DEV001</x:v>
      </x:c>
      <x:c r="R1883" s="2" t="n">
        <x:v>10</x:v>
      </x:c>
      <x:c r="S1883" s="2" t="str">
        <x:v>Online</x:v>
      </x:c>
      <x:c r="T1883" s="2" t="str">
        <x:v>Synced</x:v>
      </x:c>
    </x:row>
    <x:row r="1884" ht="21" customHeight="1">
      <x:c r="A1884" s="2" t="str">
        <x:v>EV001753</x:v>
      </x:c>
      <x:c r="B1884" s="2" t="str">
        <x:v>T20261007-5-2</x:v>
      </x:c>
      <x:c r="C1884" s="2" t="str">
        <x:v>ST080</x:v>
      </x:c>
      <x:c r="D1884" s="2" t="str">
        <x:v>0abaf17d1472c0347862177fd9880be2</x:v>
      </x:c>
      <x:c r="E1884" s="2" t="str">
        <x:v>CHECK_IN</x:v>
      </x:c>
      <x:c r="F1884" s="8" t="n">
        <x:v>46302.70864583333</x:v>
      </x:c>
      <x:c r="G1884" s="8" t="n">
        <x:v>46302.708668981475</x:v>
      </x:c>
      <x:c r="H1884" s="2" t="str">
        <x:v>SCH01</x:v>
      </x:c>
      <x:c r="I1884" s="9" t="n">
        <x:v>25.285</x:v>
      </x:c>
      <x:c r="J1884" s="9" t="n">
        <x:v>51.51</x:v>
      </x:c>
      <x:c r="K1884" s="2" t="n">
        <x:v>8</x:v>
      </x:c>
      <x:c r="L1884" s="2" t="str">
        <x:v>Valid</x:v>
      </x:c>
      <x:c r="M1884" s="2" t="str">
        <x:v>QR</x:v>
      </x:c>
      <x:c r="N1884" s="2" t="n">
        <x:v>1</x:v>
      </x:c>
      <x:c r="O1884" s="2" t="str">
        <x:v>Accepted</x:v>
      </x:c>
      <x:c r="P1884" s="2" t="str">
        <x:v>S002</x:v>
      </x:c>
      <x:c r="Q1884" s="2" t="str">
        <x:v>DEV002</x:v>
      </x:c>
      <x:c r="R1884" s="2" t="n">
        <x:v>10</x:v>
      </x:c>
      <x:c r="S1884" s="2" t="str">
        <x:v>Online</x:v>
      </x:c>
      <x:c r="T1884" s="2" t="str">
        <x:v>Synced</x:v>
      </x:c>
    </x:row>
    <x:row r="1885" ht="21" customHeight="1">
      <x:c r="A1885" s="2" t="str">
        <x:v>EV001913</x:v>
      </x:c>
      <x:c r="B1885" s="2" t="str">
        <x:v>T20261007-5-3</x:v>
      </x:c>
      <x:c r="C1885" s="2" t="str">
        <x:v>ST120</x:v>
      </x:c>
      <x:c r="D1885" s="2" t="str">
        <x:v>c3749f3342e76b516e5c145f91308219</x:v>
      </x:c>
      <x:c r="E1885" s="2" t="str">
        <x:v>CHECK_IN</x:v>
      </x:c>
      <x:c r="F1885" s="8" t="n">
        <x:v>46302.70864583333</x:v>
      </x:c>
      <x:c r="G1885" s="8" t="n">
        <x:v>46302.708668981475</x:v>
      </x:c>
      <x:c r="H1885" s="2" t="str">
        <x:v>SCH01</x:v>
      </x:c>
      <x:c r="I1885" s="9" t="n">
        <x:v>25.285</x:v>
      </x:c>
      <x:c r="J1885" s="9" t="n">
        <x:v>51.51</x:v>
      </x:c>
      <x:c r="K1885" s="2" t="n">
        <x:v>8</x:v>
      </x:c>
      <x:c r="L1885" s="2" t="str">
        <x:v>Valid</x:v>
      </x:c>
      <x:c r="M1885" s="2" t="str">
        <x:v>QR</x:v>
      </x:c>
      <x:c r="N1885" s="2" t="n">
        <x:v>1</x:v>
      </x:c>
      <x:c r="O1885" s="2" t="str">
        <x:v>Accepted</x:v>
      </x:c>
      <x:c r="P1885" s="2" t="str">
        <x:v>S003</x:v>
      </x:c>
      <x:c r="Q1885" s="2" t="str">
        <x:v>DEV003</x:v>
      </x:c>
      <x:c r="R1885" s="2" t="n">
        <x:v>10</x:v>
      </x:c>
      <x:c r="S1885" s="2" t="str">
        <x:v>Online</x:v>
      </x:c>
      <x:c r="T1885" s="2" t="str">
        <x:v>Synced</x:v>
      </x:c>
    </x:row>
    <x:row r="1886" ht="21" customHeight="1">
      <x:c r="A1886" s="2" t="str">
        <x:v>EV001576</x:v>
      </x:c>
      <x:c r="B1886" s="2" t="str">
        <x:v>T20261007-5-1</x:v>
      </x:c>
      <x:c r="C1886" s="2" t="str">
        <x:v>ST031</x:v>
      </x:c>
      <x:c r="D1886" s="2" t="str">
        <x:v>8ab188e9684e5df87182305d1c7eadac</x:v>
      </x:c>
      <x:c r="E1886" s="2" t="str">
        <x:v>CHECK_OUT</x:v>
      </x:c>
      <x:c r="F1886" s="8" t="n">
        <x:v>46302.72361111111</x:v>
      </x:c>
      <x:c r="G1886" s="8" t="n">
        <x:v>46302.72363425926</x:v>
      </x:c>
      <x:c r="H1886" s="2" t="str">
        <x:v>R1S1</x:v>
      </x:c>
      <x:c r="I1886" s="9" t="n">
        <x:v>25.271</x:v>
      </x:c>
      <x:c r="J1886" s="9" t="n">
        <x:v>51.491</x:v>
      </x:c>
      <x:c r="K1886" s="2" t="n">
        <x:v>8</x:v>
      </x:c>
      <x:c r="L1886" s="2" t="str">
        <x:v>Valid</x:v>
      </x:c>
      <x:c r="M1886" s="2" t="str">
        <x:v>QR</x:v>
      </x:c>
      <x:c r="N1886" s="2" t="n">
        <x:v>1</x:v>
      </x:c>
      <x:c r="O1886" s="2" t="str">
        <x:v>Accepted</x:v>
      </x:c>
      <x:c r="P1886" s="2" t="str">
        <x:v>S001</x:v>
      </x:c>
      <x:c r="Q1886" s="2" t="str">
        <x:v>DEV001</x:v>
      </x:c>
      <x:c r="R1886" s="2" t="n">
        <x:v>11</x:v>
      </x:c>
      <x:c r="S1886" s="2" t="str">
        <x:v>Online</x:v>
      </x:c>
      <x:c r="T1886" s="2" t="str">
        <x:v>Synced</x:v>
      </x:c>
    </x:row>
    <x:row r="1887" ht="21" customHeight="1">
      <x:c r="A1887" s="2" t="str">
        <x:v>EV001736</x:v>
      </x:c>
      <x:c r="B1887" s="2" t="str">
        <x:v>T20261007-5-2</x:v>
      </x:c>
      <x:c r="C1887" s="2" t="str">
        <x:v>ST071</x:v>
      </x:c>
      <x:c r="D1887" s="2" t="str">
        <x:v>51895678643dc659a400e702a471294e</x:v>
      </x:c>
      <x:c r="E1887" s="2" t="str">
        <x:v>CHECK_OUT</x:v>
      </x:c>
      <x:c r="F1887" s="8" t="n">
        <x:v>46302.72361111111</x:v>
      </x:c>
      <x:c r="G1887" s="8" t="n">
        <x:v>46302.72363425926</x:v>
      </x:c>
      <x:c r="H1887" s="2" t="str">
        <x:v>R2S1</x:v>
      </x:c>
      <x:c r="I1887" s="9" t="n">
        <x:v>25.28</x:v>
      </x:c>
      <x:c r="J1887" s="9" t="n">
        <x:v>51.498999999999995</x:v>
      </x:c>
      <x:c r="K1887" s="2" t="n">
        <x:v>8</x:v>
      </x:c>
      <x:c r="L1887" s="2" t="str">
        <x:v>Valid</x:v>
      </x:c>
      <x:c r="M1887" s="2" t="str">
        <x:v>QR</x:v>
      </x:c>
      <x:c r="N1887" s="2" t="n">
        <x:v>1</x:v>
      </x:c>
      <x:c r="O1887" s="2" t="str">
        <x:v>Accepted</x:v>
      </x:c>
      <x:c r="P1887" s="2" t="str">
        <x:v>S002</x:v>
      </x:c>
      <x:c r="Q1887" s="2" t="str">
        <x:v>DEV002</x:v>
      </x:c>
      <x:c r="R1887" s="2" t="n">
        <x:v>11</x:v>
      </x:c>
      <x:c r="S1887" s="2" t="str">
        <x:v>Online</x:v>
      </x:c>
      <x:c r="T1887" s="2" t="str">
        <x:v>Synced</x:v>
      </x:c>
    </x:row>
    <x:row r="1888" ht="21" customHeight="1">
      <x:c r="A1888" s="2" t="str">
        <x:v>EV001896</x:v>
      </x:c>
      <x:c r="B1888" s="2" t="str">
        <x:v>T20261007-5-3</x:v>
      </x:c>
      <x:c r="C1888" s="2" t="str">
        <x:v>ST111</x:v>
      </x:c>
      <x:c r="D1888" s="2" t="str">
        <x:v>e6e9707385e7ee8edd3ac87243757eb2</x:v>
      </x:c>
      <x:c r="E1888" s="2" t="str">
        <x:v>CHECK_OUT</x:v>
      </x:c>
      <x:c r="F1888" s="8" t="n">
        <x:v>46302.72361111111</x:v>
      </x:c>
      <x:c r="G1888" s="8" t="n">
        <x:v>46302.72363425926</x:v>
      </x:c>
      <x:c r="H1888" s="2" t="str">
        <x:v>R3S1</x:v>
      </x:c>
      <x:c r="I1888" s="9" t="n">
        <x:v>25.289</x:v>
      </x:c>
      <x:c r="J1888" s="9" t="n">
        <x:v>51.507</x:v>
      </x:c>
      <x:c r="K1888" s="2" t="n">
        <x:v>8</x:v>
      </x:c>
      <x:c r="L1888" s="2" t="str">
        <x:v>Valid</x:v>
      </x:c>
      <x:c r="M1888" s="2" t="str">
        <x:v>QR</x:v>
      </x:c>
      <x:c r="N1888" s="2" t="n">
        <x:v>1</x:v>
      </x:c>
      <x:c r="O1888" s="2" t="str">
        <x:v>Accepted</x:v>
      </x:c>
      <x:c r="P1888" s="2" t="str">
        <x:v>S003</x:v>
      </x:c>
      <x:c r="Q1888" s="2" t="str">
        <x:v>DEV003</x:v>
      </x:c>
      <x:c r="R1888" s="2" t="n">
        <x:v>11</x:v>
      </x:c>
      <x:c r="S1888" s="2" t="str">
        <x:v>Online</x:v>
      </x:c>
      <x:c r="T1888" s="2" t="str">
        <x:v>Synced</x:v>
      </x:c>
    </x:row>
    <x:row r="1889" ht="21" customHeight="1">
      <x:c r="A1889" s="2" t="str">
        <x:v>EV001582</x:v>
      </x:c>
      <x:c r="B1889" s="2" t="str">
        <x:v>T20261007-5-1</x:v>
      </x:c>
      <x:c r="C1889" s="2" t="str">
        <x:v>ST034</x:v>
      </x:c>
      <x:c r="D1889" s="2" t="str">
        <x:v>80fbe33bb2df8cab59b55f98f1c8a3d5</x:v>
      </x:c>
      <x:c r="E1889" s="2" t="str">
        <x:v>CHECK_OUT</x:v>
      </x:c>
      <x:c r="F1889" s="8" t="n">
        <x:v>46302.72371527778</x:v>
      </x:c>
      <x:c r="G1889" s="8" t="n">
        <x:v>46302.72373842593</x:v>
      </x:c>
      <x:c r="H1889" s="2" t="str">
        <x:v>R1S1</x:v>
      </x:c>
      <x:c r="I1889" s="9" t="n">
        <x:v>25.271</x:v>
      </x:c>
      <x:c r="J1889" s="9" t="n">
        <x:v>51.491</x:v>
      </x:c>
      <x:c r="K1889" s="2" t="n">
        <x:v>8</x:v>
      </x:c>
      <x:c r="L1889" s="2" t="str">
        <x:v>Valid</x:v>
      </x:c>
      <x:c r="M1889" s="2" t="str">
        <x:v>QR</x:v>
      </x:c>
      <x:c r="N1889" s="2" t="n">
        <x:v>1</x:v>
      </x:c>
      <x:c r="O1889" s="2" t="str">
        <x:v>Accepted</x:v>
      </x:c>
      <x:c r="P1889" s="2" t="str">
        <x:v>S001</x:v>
      </x:c>
      <x:c r="Q1889" s="2" t="str">
        <x:v>DEV001</x:v>
      </x:c>
      <x:c r="R1889" s="2" t="n">
        <x:v>12</x:v>
      </x:c>
      <x:c r="S1889" s="2" t="str">
        <x:v>Online</x:v>
      </x:c>
      <x:c r="T1889" s="2" t="str">
        <x:v>Synced</x:v>
      </x:c>
    </x:row>
    <x:row r="1890" ht="21" customHeight="1">
      <x:c r="A1890" s="2" t="str">
        <x:v>EV001742</x:v>
      </x:c>
      <x:c r="B1890" s="2" t="str">
        <x:v>T20261007-5-2</x:v>
      </x:c>
      <x:c r="C1890" s="2" t="str">
        <x:v>ST074</x:v>
      </x:c>
      <x:c r="D1890" s="2" t="str">
        <x:v>a9bcbd7cecca4f17e235125ddf0adf7b</x:v>
      </x:c>
      <x:c r="E1890" s="2" t="str">
        <x:v>CHECK_OUT</x:v>
      </x:c>
      <x:c r="F1890" s="8" t="n">
        <x:v>46302.72371527778</x:v>
      </x:c>
      <x:c r="G1890" s="8" t="n">
        <x:v>46302.72373842593</x:v>
      </x:c>
      <x:c r="H1890" s="2" t="str">
        <x:v>R2S1</x:v>
      </x:c>
      <x:c r="I1890" s="9" t="n">
        <x:v>25.28</x:v>
      </x:c>
      <x:c r="J1890" s="9" t="n">
        <x:v>51.498999999999995</x:v>
      </x:c>
      <x:c r="K1890" s="2" t="n">
        <x:v>8</x:v>
      </x:c>
      <x:c r="L1890" s="2" t="str">
        <x:v>Valid</x:v>
      </x:c>
      <x:c r="M1890" s="2" t="str">
        <x:v>QR</x:v>
      </x:c>
      <x:c r="N1890" s="2" t="n">
        <x:v>1</x:v>
      </x:c>
      <x:c r="O1890" s="2" t="str">
        <x:v>Accepted</x:v>
      </x:c>
      <x:c r="P1890" s="2" t="str">
        <x:v>S002</x:v>
      </x:c>
      <x:c r="Q1890" s="2" t="str">
        <x:v>DEV002</x:v>
      </x:c>
      <x:c r="R1890" s="2" t="n">
        <x:v>12</x:v>
      </x:c>
      <x:c r="S1890" s="2" t="str">
        <x:v>Online</x:v>
      </x:c>
      <x:c r="T1890" s="2" t="str">
        <x:v>Synced</x:v>
      </x:c>
    </x:row>
    <x:row r="1891" ht="21" customHeight="1">
      <x:c r="A1891" s="2" t="str">
        <x:v>EV001902</x:v>
      </x:c>
      <x:c r="B1891" s="2" t="str">
        <x:v>T20261007-5-3</x:v>
      </x:c>
      <x:c r="C1891" s="2" t="str">
        <x:v>ST114</x:v>
      </x:c>
      <x:c r="D1891" s="2" t="str">
        <x:v>a5c77bf3b082c3ab825b65c34f1c9f8c</x:v>
      </x:c>
      <x:c r="E1891" s="2" t="str">
        <x:v>CHECK_OUT</x:v>
      </x:c>
      <x:c r="F1891" s="8" t="n">
        <x:v>46302.72371527778</x:v>
      </x:c>
      <x:c r="G1891" s="8" t="n">
        <x:v>46302.72373842593</x:v>
      </x:c>
      <x:c r="H1891" s="2" t="str">
        <x:v>R3S1</x:v>
      </x:c>
      <x:c r="I1891" s="9" t="n">
        <x:v>25.289</x:v>
      </x:c>
      <x:c r="J1891" s="9" t="n">
        <x:v>51.507</x:v>
      </x:c>
      <x:c r="K1891" s="2" t="n">
        <x:v>8</x:v>
      </x:c>
      <x:c r="L1891" s="2" t="str">
        <x:v>Valid</x:v>
      </x:c>
      <x:c r="M1891" s="2" t="str">
        <x:v>QR</x:v>
      </x:c>
      <x:c r="N1891" s="2" t="n">
        <x:v>1</x:v>
      </x:c>
      <x:c r="O1891" s="2" t="str">
        <x:v>Accepted</x:v>
      </x:c>
      <x:c r="P1891" s="2" t="str">
        <x:v>S003</x:v>
      </x:c>
      <x:c r="Q1891" s="2" t="str">
        <x:v>DEV003</x:v>
      </x:c>
      <x:c r="R1891" s="2" t="n">
        <x:v>12</x:v>
      </x:c>
      <x:c r="S1891" s="2" t="str">
        <x:v>Online</x:v>
      </x:c>
      <x:c r="T1891" s="2" t="str">
        <x:v>Synced</x:v>
      </x:c>
    </x:row>
    <x:row r="1892" ht="21" customHeight="1">
      <x:c r="A1892" s="2" t="str">
        <x:v>EV001588</x:v>
      </x:c>
      <x:c r="B1892" s="2" t="str">
        <x:v>T20261007-5-1</x:v>
      </x:c>
      <x:c r="C1892" s="2" t="str">
        <x:v>ST037</x:v>
      </x:c>
      <x:c r="D1892" s="2" t="str">
        <x:v>eb6cdfa5572c8f6959c8b9c84b8ec493</x:v>
      </x:c>
      <x:c r="E1892" s="2" t="str">
        <x:v>CHECK_OUT</x:v>
      </x:c>
      <x:c r="F1892" s="8" t="n">
        <x:v>46302.72381944444</x:v>
      </x:c>
      <x:c r="G1892" s="8" t="n">
        <x:v>46302.72384259259</x:v>
      </x:c>
      <x:c r="H1892" s="2" t="str">
        <x:v>R1S1</x:v>
      </x:c>
      <x:c r="I1892" s="9" t="n">
        <x:v>25.271</x:v>
      </x:c>
      <x:c r="J1892" s="9" t="n">
        <x:v>51.491</x:v>
      </x:c>
      <x:c r="K1892" s="2" t="n">
        <x:v>8</x:v>
      </x:c>
      <x:c r="L1892" s="2" t="str">
        <x:v>Valid</x:v>
      </x:c>
      <x:c r="M1892" s="2" t="str">
        <x:v>QR</x:v>
      </x:c>
      <x:c r="N1892" s="2" t="n">
        <x:v>1</x:v>
      </x:c>
      <x:c r="O1892" s="2" t="str">
        <x:v>Accepted</x:v>
      </x:c>
      <x:c r="P1892" s="2" t="str">
        <x:v>S001</x:v>
      </x:c>
      <x:c r="Q1892" s="2" t="str">
        <x:v>DEV001</x:v>
      </x:c>
      <x:c r="R1892" s="2" t="n">
        <x:v>13</x:v>
      </x:c>
      <x:c r="S1892" s="2" t="str">
        <x:v>Online</x:v>
      </x:c>
      <x:c r="T1892" s="2" t="str">
        <x:v>Synced</x:v>
      </x:c>
    </x:row>
    <x:row r="1893" ht="21" customHeight="1">
      <x:c r="A1893" s="2" t="str">
        <x:v>EV001748</x:v>
      </x:c>
      <x:c r="B1893" s="2" t="str">
        <x:v>T20261007-5-2</x:v>
      </x:c>
      <x:c r="C1893" s="2" t="str">
        <x:v>ST077</x:v>
      </x:c>
      <x:c r="D1893" s="2" t="str">
        <x:v>af7b8314f6c372daf48e6b95332f6a0f</x:v>
      </x:c>
      <x:c r="E1893" s="2" t="str">
        <x:v>CHECK_OUT</x:v>
      </x:c>
      <x:c r="F1893" s="8" t="n">
        <x:v>46302.72381944444</x:v>
      </x:c>
      <x:c r="G1893" s="8" t="n">
        <x:v>46302.72384259259</x:v>
      </x:c>
      <x:c r="H1893" s="2" t="str">
        <x:v>R2S1</x:v>
      </x:c>
      <x:c r="I1893" s="9" t="n">
        <x:v>25.28</x:v>
      </x:c>
      <x:c r="J1893" s="9" t="n">
        <x:v>51.498999999999995</x:v>
      </x:c>
      <x:c r="K1893" s="2" t="n">
        <x:v>8</x:v>
      </x:c>
      <x:c r="L1893" s="2" t="str">
        <x:v>Valid</x:v>
      </x:c>
      <x:c r="M1893" s="2" t="str">
        <x:v>QR</x:v>
      </x:c>
      <x:c r="N1893" s="2" t="n">
        <x:v>1</x:v>
      </x:c>
      <x:c r="O1893" s="2" t="str">
        <x:v>Accepted</x:v>
      </x:c>
      <x:c r="P1893" s="2" t="str">
        <x:v>S002</x:v>
      </x:c>
      <x:c r="Q1893" s="2" t="str">
        <x:v>DEV002</x:v>
      </x:c>
      <x:c r="R1893" s="2" t="n">
        <x:v>13</x:v>
      </x:c>
      <x:c r="S1893" s="2" t="str">
        <x:v>Online</x:v>
      </x:c>
      <x:c r="T1893" s="2" t="str">
        <x:v>Synced</x:v>
      </x:c>
    </x:row>
    <x:row r="1894" ht="21" customHeight="1">
      <x:c r="A1894" s="2" t="str">
        <x:v>EV001908</x:v>
      </x:c>
      <x:c r="B1894" s="2" t="str">
        <x:v>T20261007-5-3</x:v>
      </x:c>
      <x:c r="C1894" s="2" t="str">
        <x:v>ST117</x:v>
      </x:c>
      <x:c r="D1894" s="2" t="str">
        <x:v>195a54aea4adbe89371209e73878e4fe</x:v>
      </x:c>
      <x:c r="E1894" s="2" t="str">
        <x:v>CHECK_OUT</x:v>
      </x:c>
      <x:c r="F1894" s="8" t="n">
        <x:v>46302.72381944444</x:v>
      </x:c>
      <x:c r="G1894" s="8" t="n">
        <x:v>46302.72384259259</x:v>
      </x:c>
      <x:c r="H1894" s="2" t="str">
        <x:v>R3S1</x:v>
      </x:c>
      <x:c r="I1894" s="9" t="n">
        <x:v>25.289</x:v>
      </x:c>
      <x:c r="J1894" s="9" t="n">
        <x:v>51.507</x:v>
      </x:c>
      <x:c r="K1894" s="2" t="n">
        <x:v>8</x:v>
      </x:c>
      <x:c r="L1894" s="2" t="str">
        <x:v>Valid</x:v>
      </x:c>
      <x:c r="M1894" s="2" t="str">
        <x:v>QR</x:v>
      </x:c>
      <x:c r="N1894" s="2" t="n">
        <x:v>1</x:v>
      </x:c>
      <x:c r="O1894" s="2" t="str">
        <x:v>Accepted</x:v>
      </x:c>
      <x:c r="P1894" s="2" t="str">
        <x:v>S003</x:v>
      </x:c>
      <x:c r="Q1894" s="2" t="str">
        <x:v>DEV003</x:v>
      </x:c>
      <x:c r="R1894" s="2" t="n">
        <x:v>13</x:v>
      </x:c>
      <x:c r="S1894" s="2" t="str">
        <x:v>Online</x:v>
      </x:c>
      <x:c r="T1894" s="2" t="str">
        <x:v>Synced</x:v>
      </x:c>
    </x:row>
    <x:row r="1895" ht="21" customHeight="1">
      <x:c r="A1895" s="2" t="str">
        <x:v>EV001594</x:v>
      </x:c>
      <x:c r="B1895" s="2" t="str">
        <x:v>T20261007-5-1</x:v>
      </x:c>
      <x:c r="C1895" s="2" t="str">
        <x:v>ST040</x:v>
      </x:c>
      <x:c r="D1895" s="2" t="str">
        <x:v>4cd5e507bb3c8af27cd11d16138dcec0</x:v>
      </x:c>
      <x:c r="E1895" s="2" t="str">
        <x:v>CHECK_OUT</x:v>
      </x:c>
      <x:c r="F1895" s="8" t="n">
        <x:v>46302.72392361111</x:v>
      </x:c>
      <x:c r="G1895" s="8" t="n">
        <x:v>46302.72394675926</x:v>
      </x:c>
      <x:c r="H1895" s="2" t="str">
        <x:v>R1S1</x:v>
      </x:c>
      <x:c r="I1895" s="9" t="n">
        <x:v>25.271</x:v>
      </x:c>
      <x:c r="J1895" s="9" t="n">
        <x:v>51.491</x:v>
      </x:c>
      <x:c r="K1895" s="2" t="n">
        <x:v>8</x:v>
      </x:c>
      <x:c r="L1895" s="2" t="str">
        <x:v>Valid</x:v>
      </x:c>
      <x:c r="M1895" s="2" t="str">
        <x:v>QR</x:v>
      </x:c>
      <x:c r="N1895" s="2" t="n">
        <x:v>1</x:v>
      </x:c>
      <x:c r="O1895" s="2" t="str">
        <x:v>Accepted</x:v>
      </x:c>
      <x:c r="P1895" s="2" t="str">
        <x:v>S001</x:v>
      </x:c>
      <x:c r="Q1895" s="2" t="str">
        <x:v>DEV001</x:v>
      </x:c>
      <x:c r="R1895" s="2" t="n">
        <x:v>14</x:v>
      </x:c>
      <x:c r="S1895" s="2" t="str">
        <x:v>Online</x:v>
      </x:c>
      <x:c r="T1895" s="2" t="str">
        <x:v>Synced</x:v>
      </x:c>
    </x:row>
    <x:row r="1896" ht="21" customHeight="1">
      <x:c r="A1896" s="2" t="str">
        <x:v>EV001754</x:v>
      </x:c>
      <x:c r="B1896" s="2" t="str">
        <x:v>T20261007-5-2</x:v>
      </x:c>
      <x:c r="C1896" s="2" t="str">
        <x:v>ST080</x:v>
      </x:c>
      <x:c r="D1896" s="2" t="str">
        <x:v>0abaf17d1472c0347862177fd9880be2</x:v>
      </x:c>
      <x:c r="E1896" s="2" t="str">
        <x:v>CHECK_OUT</x:v>
      </x:c>
      <x:c r="F1896" s="8" t="n">
        <x:v>46302.72392361111</x:v>
      </x:c>
      <x:c r="G1896" s="8" t="n">
        <x:v>46302.72394675926</x:v>
      </x:c>
      <x:c r="H1896" s="2" t="str">
        <x:v>R2S1</x:v>
      </x:c>
      <x:c r="I1896" s="9" t="n">
        <x:v>25.28</x:v>
      </x:c>
      <x:c r="J1896" s="9" t="n">
        <x:v>51.498999999999995</x:v>
      </x:c>
      <x:c r="K1896" s="2" t="n">
        <x:v>8</x:v>
      </x:c>
      <x:c r="L1896" s="2" t="str">
        <x:v>Valid</x:v>
      </x:c>
      <x:c r="M1896" s="2" t="str">
        <x:v>QR</x:v>
      </x:c>
      <x:c r="N1896" s="2" t="n">
        <x:v>1</x:v>
      </x:c>
      <x:c r="O1896" s="2" t="str">
        <x:v>Accepted</x:v>
      </x:c>
      <x:c r="P1896" s="2" t="str">
        <x:v>S002</x:v>
      </x:c>
      <x:c r="Q1896" s="2" t="str">
        <x:v>DEV002</x:v>
      </x:c>
      <x:c r="R1896" s="2" t="n">
        <x:v>14</x:v>
      </x:c>
      <x:c r="S1896" s="2" t="str">
        <x:v>Online</x:v>
      </x:c>
      <x:c r="T1896" s="2" t="str">
        <x:v>Synced</x:v>
      </x:c>
    </x:row>
    <x:row r="1897" ht="21" customHeight="1">
      <x:c r="A1897" s="2" t="str">
        <x:v>EV001914</x:v>
      </x:c>
      <x:c r="B1897" s="2" t="str">
        <x:v>T20261007-5-3</x:v>
      </x:c>
      <x:c r="C1897" s="2" t="str">
        <x:v>ST120</x:v>
      </x:c>
      <x:c r="D1897" s="2" t="str">
        <x:v>c3749f3342e76b516e5c145f91308219</x:v>
      </x:c>
      <x:c r="E1897" s="2" t="str">
        <x:v>CHECK_OUT</x:v>
      </x:c>
      <x:c r="F1897" s="8" t="n">
        <x:v>46302.72392361111</x:v>
      </x:c>
      <x:c r="G1897" s="8" t="n">
        <x:v>46302.72394675926</x:v>
      </x:c>
      <x:c r="H1897" s="2" t="str">
        <x:v>R3S1</x:v>
      </x:c>
      <x:c r="I1897" s="9" t="n">
        <x:v>25.289</x:v>
      </x:c>
      <x:c r="J1897" s="9" t="n">
        <x:v>51.507</x:v>
      </x:c>
      <x:c r="K1897" s="2" t="n">
        <x:v>8</x:v>
      </x:c>
      <x:c r="L1897" s="2" t="str">
        <x:v>Valid</x:v>
      </x:c>
      <x:c r="M1897" s="2" t="str">
        <x:v>QR</x:v>
      </x:c>
      <x:c r="N1897" s="2" t="n">
        <x:v>1</x:v>
      </x:c>
      <x:c r="O1897" s="2" t="str">
        <x:v>Accepted</x:v>
      </x:c>
      <x:c r="P1897" s="2" t="str">
        <x:v>S003</x:v>
      </x:c>
      <x:c r="Q1897" s="2" t="str">
        <x:v>DEV003</x:v>
      </x:c>
      <x:c r="R1897" s="2" t="n">
        <x:v>14</x:v>
      </x:c>
      <x:c r="S1897" s="2" t="str">
        <x:v>Online</x:v>
      </x:c>
      <x:c r="T1897" s="2" t="str">
        <x:v>Synced</x:v>
      </x:c>
    </x:row>
    <x:row r="1898" ht="21" customHeight="1">
      <x:c r="A1898" s="2" t="str">
        <x:v>EV001578</x:v>
      </x:c>
      <x:c r="B1898" s="2" t="str">
        <x:v>T20261007-5-1</x:v>
      </x:c>
      <x:c r="C1898" s="2" t="str">
        <x:v>ST032</x:v>
      </x:c>
      <x:c r="D1898" s="2" t="str">
        <x:v>836e2da54ccde9716995f5651a63e8c5</x:v>
      </x:c>
      <x:c r="E1898" s="2" t="str">
        <x:v>CHECK_OUT</x:v>
      </x:c>
      <x:c r="F1898" s="8" t="n">
        <x:v>46302.72850694445</x:v>
      </x:c>
      <x:c r="G1898" s="8" t="n">
        <x:v>46302.728530092594</x:v>
      </x:c>
      <x:c r="H1898" s="2" t="str">
        <x:v>R1S2</x:v>
      </x:c>
      <x:c r="I1898" s="9" t="n">
        <x:v>25.273000000000003</x:v>
      </x:c>
      <x:c r="J1898" s="9" t="n">
        <x:v>51.494</x:v>
      </x:c>
      <x:c r="K1898" s="2" t="n">
        <x:v>8</x:v>
      </x:c>
      <x:c r="L1898" s="2" t="str">
        <x:v>Valid</x:v>
      </x:c>
      <x:c r="M1898" s="2" t="str">
        <x:v>QR</x:v>
      </x:c>
      <x:c r="N1898" s="2" t="n">
        <x:v>1</x:v>
      </x:c>
      <x:c r="O1898" s="2" t="str">
        <x:v>Accepted</x:v>
      </x:c>
      <x:c r="P1898" s="2" t="str">
        <x:v>S001</x:v>
      </x:c>
      <x:c r="Q1898" s="2" t="str">
        <x:v>DEV001</x:v>
      </x:c>
      <x:c r="R1898" s="2" t="n">
        <x:v>15</x:v>
      </x:c>
      <x:c r="S1898" s="2" t="str">
        <x:v>Online</x:v>
      </x:c>
      <x:c r="T1898" s="2" t="str">
        <x:v>Synced</x:v>
      </x:c>
    </x:row>
    <x:row r="1899" ht="21" customHeight="1">
      <x:c r="A1899" s="2" t="str">
        <x:v>EV001738</x:v>
      </x:c>
      <x:c r="B1899" s="2" t="str">
        <x:v>T20261007-5-2</x:v>
      </x:c>
      <x:c r="C1899" s="2" t="str">
        <x:v>ST072</x:v>
      </x:c>
      <x:c r="D1899" s="2" t="str">
        <x:v>34067027b5922171fe59ce4d7b756f1c</x:v>
      </x:c>
      <x:c r="E1899" s="2" t="str">
        <x:v>CHECK_OUT</x:v>
      </x:c>
      <x:c r="F1899" s="8" t="n">
        <x:v>46302.72850694445</x:v>
      </x:c>
      <x:c r="G1899" s="8" t="n">
        <x:v>46302.728530092594</x:v>
      </x:c>
      <x:c r="H1899" s="2" t="str">
        <x:v>R2S2</x:v>
      </x:c>
      <x:c r="I1899" s="9" t="n">
        <x:v>25.282000000000004</x:v>
      </x:c>
      <x:c r="J1899" s="9" t="n">
        <x:v>51.501999999999995</x:v>
      </x:c>
      <x:c r="K1899" s="2" t="n">
        <x:v>8</x:v>
      </x:c>
      <x:c r="L1899" s="2" t="str">
        <x:v>Valid</x:v>
      </x:c>
      <x:c r="M1899" s="2" t="str">
        <x:v>QR</x:v>
      </x:c>
      <x:c r="N1899" s="2" t="n">
        <x:v>1</x:v>
      </x:c>
      <x:c r="O1899" s="2" t="str">
        <x:v>Accepted</x:v>
      </x:c>
      <x:c r="P1899" s="2" t="str">
        <x:v>S002</x:v>
      </x:c>
      <x:c r="Q1899" s="2" t="str">
        <x:v>DEV002</x:v>
      </x:c>
      <x:c r="R1899" s="2" t="n">
        <x:v>15</x:v>
      </x:c>
      <x:c r="S1899" s="2" t="str">
        <x:v>Online</x:v>
      </x:c>
      <x:c r="T1899" s="2" t="str">
        <x:v>Synced</x:v>
      </x:c>
    </x:row>
    <x:row r="1900" ht="21" customHeight="1">
      <x:c r="A1900" s="2" t="str">
        <x:v>EV001898</x:v>
      </x:c>
      <x:c r="B1900" s="2" t="str">
        <x:v>T20261007-5-3</x:v>
      </x:c>
      <x:c r="C1900" s="2" t="str">
        <x:v>ST112</x:v>
      </x:c>
      <x:c r="D1900" s="2" t="str">
        <x:v>ca020aefc0d912af9ddca5c7ca7a2f51</x:v>
      </x:c>
      <x:c r="E1900" s="2" t="str">
        <x:v>CHECK_OUT</x:v>
      </x:c>
      <x:c r="F1900" s="8" t="n">
        <x:v>46302.72850694445</x:v>
      </x:c>
      <x:c r="G1900" s="8" t="n">
        <x:v>46302.728530092594</x:v>
      </x:c>
      <x:c r="H1900" s="2" t="str">
        <x:v>R3S2</x:v>
      </x:c>
      <x:c r="I1900" s="9" t="n">
        <x:v>25.291000000000004</x:v>
      </x:c>
      <x:c r="J1900" s="9" t="n">
        <x:v>51.51</x:v>
      </x:c>
      <x:c r="K1900" s="2" t="n">
        <x:v>8</x:v>
      </x:c>
      <x:c r="L1900" s="2" t="str">
        <x:v>Valid</x:v>
      </x:c>
      <x:c r="M1900" s="2" t="str">
        <x:v>QR</x:v>
      </x:c>
      <x:c r="N1900" s="2" t="n">
        <x:v>1</x:v>
      </x:c>
      <x:c r="O1900" s="2" t="str">
        <x:v>Accepted</x:v>
      </x:c>
      <x:c r="P1900" s="2" t="str">
        <x:v>S003</x:v>
      </x:c>
      <x:c r="Q1900" s="2" t="str">
        <x:v>DEV003</x:v>
      </x:c>
      <x:c r="R1900" s="2" t="n">
        <x:v>15</x:v>
      </x:c>
      <x:c r="S1900" s="2" t="str">
        <x:v>Online</x:v>
      </x:c>
      <x:c r="T1900" s="2" t="str">
        <x:v>Synced</x:v>
      </x:c>
    </x:row>
    <x:row r="1901" ht="21" customHeight="1">
      <x:c r="A1901" s="2" t="str">
        <x:v>EV001584</x:v>
      </x:c>
      <x:c r="B1901" s="2" t="str">
        <x:v>T20261007-5-1</x:v>
      </x:c>
      <x:c r="C1901" s="2" t="str">
        <x:v>ST035</x:v>
      </x:c>
      <x:c r="D1901" s="2" t="str">
        <x:v>45068f3206e9be80993e83e259ea9cdc</x:v>
      </x:c>
      <x:c r="E1901" s="2" t="str">
        <x:v>CHECK_OUT</x:v>
      </x:c>
      <x:c r="F1901" s="8" t="n">
        <x:v>46302.72861111112</x:v>
      </x:c>
      <x:c r="G1901" s="8" t="n">
        <x:v>46302.72863425926</x:v>
      </x:c>
      <x:c r="H1901" s="2" t="str">
        <x:v>R1S2</x:v>
      </x:c>
      <x:c r="I1901" s="9" t="n">
        <x:v>25.273000000000003</x:v>
      </x:c>
      <x:c r="J1901" s="9" t="n">
        <x:v>51.494</x:v>
      </x:c>
      <x:c r="K1901" s="2" t="n">
        <x:v>8</x:v>
      </x:c>
      <x:c r="L1901" s="2" t="str">
        <x:v>Valid</x:v>
      </x:c>
      <x:c r="M1901" s="2" t="str">
        <x:v>QR</x:v>
      </x:c>
      <x:c r="N1901" s="2" t="n">
        <x:v>1</x:v>
      </x:c>
      <x:c r="O1901" s="2" t="str">
        <x:v>Accepted</x:v>
      </x:c>
      <x:c r="P1901" s="2" t="str">
        <x:v>S001</x:v>
      </x:c>
      <x:c r="Q1901" s="2" t="str">
        <x:v>DEV001</x:v>
      </x:c>
      <x:c r="R1901" s="2" t="n">
        <x:v>16</x:v>
      </x:c>
      <x:c r="S1901" s="2" t="str">
        <x:v>Online</x:v>
      </x:c>
      <x:c r="T1901" s="2" t="str">
        <x:v>Synced</x:v>
      </x:c>
    </x:row>
    <x:row r="1902" ht="21" customHeight="1">
      <x:c r="A1902" s="2" t="str">
        <x:v>EV001744</x:v>
      </x:c>
      <x:c r="B1902" s="2" t="str">
        <x:v>T20261007-5-2</x:v>
      </x:c>
      <x:c r="C1902" s="2" t="str">
        <x:v>ST075</x:v>
      </x:c>
      <x:c r="D1902" s="2" t="str">
        <x:v>3781d00e457977b726407cb845a294cc</x:v>
      </x:c>
      <x:c r="E1902" s="2" t="str">
        <x:v>CHECK_OUT</x:v>
      </x:c>
      <x:c r="F1902" s="8" t="n">
        <x:v>46302.72861111112</x:v>
      </x:c>
      <x:c r="G1902" s="8" t="n">
        <x:v>46302.72863425926</x:v>
      </x:c>
      <x:c r="H1902" s="2" t="str">
        <x:v>R2S2</x:v>
      </x:c>
      <x:c r="I1902" s="9" t="n">
        <x:v>25.282000000000004</x:v>
      </x:c>
      <x:c r="J1902" s="9" t="n">
        <x:v>51.501999999999995</x:v>
      </x:c>
      <x:c r="K1902" s="2" t="n">
        <x:v>8</x:v>
      </x:c>
      <x:c r="L1902" s="2" t="str">
        <x:v>Valid</x:v>
      </x:c>
      <x:c r="M1902" s="2" t="str">
        <x:v>QR</x:v>
      </x:c>
      <x:c r="N1902" s="2" t="n">
        <x:v>1</x:v>
      </x:c>
      <x:c r="O1902" s="2" t="str">
        <x:v>Accepted</x:v>
      </x:c>
      <x:c r="P1902" s="2" t="str">
        <x:v>S002</x:v>
      </x:c>
      <x:c r="Q1902" s="2" t="str">
        <x:v>DEV002</x:v>
      </x:c>
      <x:c r="R1902" s="2" t="n">
        <x:v>16</x:v>
      </x:c>
      <x:c r="S1902" s="2" t="str">
        <x:v>Online</x:v>
      </x:c>
      <x:c r="T1902" s="2" t="str">
        <x:v>Synced</x:v>
      </x:c>
    </x:row>
    <x:row r="1903" ht="21" customHeight="1">
      <x:c r="A1903" s="2" t="str">
        <x:v>EV001904</x:v>
      </x:c>
      <x:c r="B1903" s="2" t="str">
        <x:v>T20261007-5-3</x:v>
      </x:c>
      <x:c r="C1903" s="2" t="str">
        <x:v>ST115</x:v>
      </x:c>
      <x:c r="D1903" s="2" t="str">
        <x:v>dc951b9fd5f4acb1dc2ce3ca2f2e08ab</x:v>
      </x:c>
      <x:c r="E1903" s="2" t="str">
        <x:v>CHECK_OUT</x:v>
      </x:c>
      <x:c r="F1903" s="8" t="n">
        <x:v>46302.72861111112</x:v>
      </x:c>
      <x:c r="G1903" s="8" t="n">
        <x:v>46302.72863425926</x:v>
      </x:c>
      <x:c r="H1903" s="2" t="str">
        <x:v>R3S2</x:v>
      </x:c>
      <x:c r="I1903" s="9" t="n">
        <x:v>25.291000000000004</x:v>
      </x:c>
      <x:c r="J1903" s="9" t="n">
        <x:v>51.51</x:v>
      </x:c>
      <x:c r="K1903" s="2" t="n">
        <x:v>8</x:v>
      </x:c>
      <x:c r="L1903" s="2" t="str">
        <x:v>Valid</x:v>
      </x:c>
      <x:c r="M1903" s="2" t="str">
        <x:v>QR</x:v>
      </x:c>
      <x:c r="N1903" s="2" t="n">
        <x:v>1</x:v>
      </x:c>
      <x:c r="O1903" s="2" t="str">
        <x:v>Accepted</x:v>
      </x:c>
      <x:c r="P1903" s="2" t="str">
        <x:v>S003</x:v>
      </x:c>
      <x:c r="Q1903" s="2" t="str">
        <x:v>DEV003</x:v>
      </x:c>
      <x:c r="R1903" s="2" t="n">
        <x:v>16</x:v>
      </x:c>
      <x:c r="S1903" s="2" t="str">
        <x:v>Online</x:v>
      </x:c>
      <x:c r="T1903" s="2" t="str">
        <x:v>Synced</x:v>
      </x:c>
    </x:row>
    <x:row r="1904" ht="21" customHeight="1">
      <x:c r="A1904" s="2" t="str">
        <x:v>EV001590</x:v>
      </x:c>
      <x:c r="B1904" s="2" t="str">
        <x:v>T20261007-5-1</x:v>
      </x:c>
      <x:c r="C1904" s="2" t="str">
        <x:v>ST038</x:v>
      </x:c>
      <x:c r="D1904" s="2" t="str">
        <x:v>1ebedd777293ba897970ae7fc06b6301</x:v>
      </x:c>
      <x:c r="E1904" s="2" t="str">
        <x:v>CHECK_OUT</x:v>
      </x:c>
      <x:c r="F1904" s="8" t="n">
        <x:v>46302.72871527778</x:v>
      </x:c>
      <x:c r="G1904" s="8" t="n">
        <x:v>46302.728738425925</x:v>
      </x:c>
      <x:c r="H1904" s="2" t="str">
        <x:v>R1S2</x:v>
      </x:c>
      <x:c r="I1904" s="9" t="n">
        <x:v>25.273000000000003</x:v>
      </x:c>
      <x:c r="J1904" s="9" t="n">
        <x:v>51.494</x:v>
      </x:c>
      <x:c r="K1904" s="2" t="n">
        <x:v>8</x:v>
      </x:c>
      <x:c r="L1904" s="2" t="str">
        <x:v>Valid</x:v>
      </x:c>
      <x:c r="M1904" s="2" t="str">
        <x:v>QR</x:v>
      </x:c>
      <x:c r="N1904" s="2" t="n">
        <x:v>1</x:v>
      </x:c>
      <x:c r="O1904" s="2" t="str">
        <x:v>Accepted</x:v>
      </x:c>
      <x:c r="P1904" s="2" t="str">
        <x:v>S001</x:v>
      </x:c>
      <x:c r="Q1904" s="2" t="str">
        <x:v>DEV001</x:v>
      </x:c>
      <x:c r="R1904" s="2" t="n">
        <x:v>17</x:v>
      </x:c>
      <x:c r="S1904" s="2" t="str">
        <x:v>Online</x:v>
      </x:c>
      <x:c r="T1904" s="2" t="str">
        <x:v>Synced</x:v>
      </x:c>
    </x:row>
    <x:row r="1905" ht="21" customHeight="1">
      <x:c r="A1905" s="2" t="str">
        <x:v>EV001750</x:v>
      </x:c>
      <x:c r="B1905" s="2" t="str">
        <x:v>T20261007-5-2</x:v>
      </x:c>
      <x:c r="C1905" s="2" t="str">
        <x:v>ST078</x:v>
      </x:c>
      <x:c r="D1905" s="2" t="str">
        <x:v>737ab4e672bf11e638a47ae295f7e187</x:v>
      </x:c>
      <x:c r="E1905" s="2" t="str">
        <x:v>CHECK_OUT</x:v>
      </x:c>
      <x:c r="F1905" s="8" t="n">
        <x:v>46302.72871527778</x:v>
      </x:c>
      <x:c r="G1905" s="8" t="n">
        <x:v>46302.728738425925</x:v>
      </x:c>
      <x:c r="H1905" s="2" t="str">
        <x:v>R2S2</x:v>
      </x:c>
      <x:c r="I1905" s="9" t="n">
        <x:v>25.282000000000004</x:v>
      </x:c>
      <x:c r="J1905" s="9" t="n">
        <x:v>51.501999999999995</x:v>
      </x:c>
      <x:c r="K1905" s="2" t="n">
        <x:v>8</x:v>
      </x:c>
      <x:c r="L1905" s="2" t="str">
        <x:v>Valid</x:v>
      </x:c>
      <x:c r="M1905" s="2" t="str">
        <x:v>QR</x:v>
      </x:c>
      <x:c r="N1905" s="2" t="n">
        <x:v>1</x:v>
      </x:c>
      <x:c r="O1905" s="2" t="str">
        <x:v>Accepted</x:v>
      </x:c>
      <x:c r="P1905" s="2" t="str">
        <x:v>S002</x:v>
      </x:c>
      <x:c r="Q1905" s="2" t="str">
        <x:v>DEV002</x:v>
      </x:c>
      <x:c r="R1905" s="2" t="n">
        <x:v>17</x:v>
      </x:c>
      <x:c r="S1905" s="2" t="str">
        <x:v>Online</x:v>
      </x:c>
      <x:c r="T1905" s="2" t="str">
        <x:v>Synced</x:v>
      </x:c>
    </x:row>
    <x:row r="1906" ht="21" customHeight="1">
      <x:c r="A1906" s="2" t="str">
        <x:v>EV001910</x:v>
      </x:c>
      <x:c r="B1906" s="2" t="str">
        <x:v>T20261007-5-3</x:v>
      </x:c>
      <x:c r="C1906" s="2" t="str">
        <x:v>ST118</x:v>
      </x:c>
      <x:c r="D1906" s="2" t="str">
        <x:v>b15012a6111b47a10bdbbcbbd00c9f60</x:v>
      </x:c>
      <x:c r="E1906" s="2" t="str">
        <x:v>CHECK_OUT</x:v>
      </x:c>
      <x:c r="F1906" s="8" t="n">
        <x:v>46302.72871527778</x:v>
      </x:c>
      <x:c r="G1906" s="8" t="n">
        <x:v>46302.728738425925</x:v>
      </x:c>
      <x:c r="H1906" s="2" t="str">
        <x:v>R3S2</x:v>
      </x:c>
      <x:c r="I1906" s="9" t="n">
        <x:v>25.291000000000004</x:v>
      </x:c>
      <x:c r="J1906" s="9" t="n">
        <x:v>51.51</x:v>
      </x:c>
      <x:c r="K1906" s="2" t="n">
        <x:v>8</x:v>
      </x:c>
      <x:c r="L1906" s="2" t="str">
        <x:v>Valid</x:v>
      </x:c>
      <x:c r="M1906" s="2" t="str">
        <x:v>QR</x:v>
      </x:c>
      <x:c r="N1906" s="2" t="n">
        <x:v>1</x:v>
      </x:c>
      <x:c r="O1906" s="2" t="str">
        <x:v>Accepted</x:v>
      </x:c>
      <x:c r="P1906" s="2" t="str">
        <x:v>S003</x:v>
      </x:c>
      <x:c r="Q1906" s="2" t="str">
        <x:v>DEV003</x:v>
      </x:c>
      <x:c r="R1906" s="2" t="n">
        <x:v>17</x:v>
      </x:c>
      <x:c r="S1906" s="2" t="str">
        <x:v>Online</x:v>
      </x:c>
      <x:c r="T1906" s="2" t="str">
        <x:v>Synced</x:v>
      </x:c>
    </x:row>
    <x:row r="1907" ht="21" customHeight="1">
      <x:c r="A1907" s="2" t="str">
        <x:v>EV001580</x:v>
      </x:c>
      <x:c r="B1907" s="2" t="str">
        <x:v>T20261007-5-1</x:v>
      </x:c>
      <x:c r="C1907" s="2" t="str">
        <x:v>ST033</x:v>
      </x:c>
      <x:c r="D1907" s="2" t="str">
        <x:v>c9cc8ddf1b5bae8b49929340838e300a</x:v>
      </x:c>
      <x:c r="E1907" s="2" t="str">
        <x:v>CHECK_OUT</x:v>
      </x:c>
      <x:c r="F1907" s="8" t="n">
        <x:v>46302.73340277778</x:v>
      </x:c>
      <x:c r="G1907" s="8" t="n">
        <x:v>46302.73342592593</x:v>
      </x:c>
      <x:c r="H1907" s="2" t="str">
        <x:v>R1S3</x:v>
      </x:c>
      <x:c r="I1907" s="9" t="n">
        <x:v>25.275000000000002</x:v>
      </x:c>
      <x:c r="J1907" s="9" t="n">
        <x:v>51.497</x:v>
      </x:c>
      <x:c r="K1907" s="2" t="n">
        <x:v>8</x:v>
      </x:c>
      <x:c r="L1907" s="2" t="str">
        <x:v>Valid</x:v>
      </x:c>
      <x:c r="M1907" s="2" t="str">
        <x:v>QR</x:v>
      </x:c>
      <x:c r="N1907" s="2" t="n">
        <x:v>1</x:v>
      </x:c>
      <x:c r="O1907" s="2" t="str">
        <x:v>Accepted</x:v>
      </x:c>
      <x:c r="P1907" s="2" t="str">
        <x:v>S001</x:v>
      </x:c>
      <x:c r="Q1907" s="2" t="str">
        <x:v>DEV001</x:v>
      </x:c>
      <x:c r="R1907" s="2" t="n">
        <x:v>18</x:v>
      </x:c>
      <x:c r="S1907" s="2" t="str">
        <x:v>Online</x:v>
      </x:c>
      <x:c r="T1907" s="2" t="str">
        <x:v>Synced</x:v>
      </x:c>
    </x:row>
    <x:row r="1908" ht="21" customHeight="1">
      <x:c r="A1908" s="2" t="str">
        <x:v>EV001740</x:v>
      </x:c>
      <x:c r="B1908" s="2" t="str">
        <x:v>T20261007-5-2</x:v>
      </x:c>
      <x:c r="C1908" s="2" t="str">
        <x:v>ST073</x:v>
      </x:c>
      <x:c r="D1908" s="2" t="str">
        <x:v>b27180ce7590c0aac206d465f318b712</x:v>
      </x:c>
      <x:c r="E1908" s="2" t="str">
        <x:v>CHECK_OUT</x:v>
      </x:c>
      <x:c r="F1908" s="8" t="n">
        <x:v>46302.73340277778</x:v>
      </x:c>
      <x:c r="G1908" s="8" t="n">
        <x:v>46302.73342592593</x:v>
      </x:c>
      <x:c r="H1908" s="2" t="str">
        <x:v>R2S3</x:v>
      </x:c>
      <x:c r="I1908" s="9" t="n">
        <x:v>25.284000000000002</x:v>
      </x:c>
      <x:c r="J1908" s="9" t="n">
        <x:v>51.504999999999995</x:v>
      </x:c>
      <x:c r="K1908" s="2" t="n">
        <x:v>8</x:v>
      </x:c>
      <x:c r="L1908" s="2" t="str">
        <x:v>Valid</x:v>
      </x:c>
      <x:c r="M1908" s="2" t="str">
        <x:v>QR</x:v>
      </x:c>
      <x:c r="N1908" s="2" t="n">
        <x:v>1</x:v>
      </x:c>
      <x:c r="O1908" s="2" t="str">
        <x:v>Accepted</x:v>
      </x:c>
      <x:c r="P1908" s="2" t="str">
        <x:v>S002</x:v>
      </x:c>
      <x:c r="Q1908" s="2" t="str">
        <x:v>DEV002</x:v>
      </x:c>
      <x:c r="R1908" s="2" t="n">
        <x:v>18</x:v>
      </x:c>
      <x:c r="S1908" s="2" t="str">
        <x:v>Online</x:v>
      </x:c>
      <x:c r="T1908" s="2" t="str">
        <x:v>Synced</x:v>
      </x:c>
    </x:row>
    <x:row r="1909" ht="21" customHeight="1">
      <x:c r="A1909" s="2" t="str">
        <x:v>EV001900</x:v>
      </x:c>
      <x:c r="B1909" s="2" t="str">
        <x:v>T20261007-5-3</x:v>
      </x:c>
      <x:c r="C1909" s="2" t="str">
        <x:v>ST113</x:v>
      </x:c>
      <x:c r="D1909" s="2" t="str">
        <x:v>c3781e168737a6cc1190d4415801c440</x:v>
      </x:c>
      <x:c r="E1909" s="2" t="str">
        <x:v>CHECK_OUT</x:v>
      </x:c>
      <x:c r="F1909" s="8" t="n">
        <x:v>46302.73340277778</x:v>
      </x:c>
      <x:c r="G1909" s="8" t="n">
        <x:v>46302.73342592593</x:v>
      </x:c>
      <x:c r="H1909" s="2" t="str">
        <x:v>R3S3</x:v>
      </x:c>
      <x:c r="I1909" s="9" t="n">
        <x:v>25.293000000000003</x:v>
      </x:c>
      <x:c r="J1909" s="9" t="n">
        <x:v>51.513</x:v>
      </x:c>
      <x:c r="K1909" s="2" t="n">
        <x:v>8</x:v>
      </x:c>
      <x:c r="L1909" s="2" t="str">
        <x:v>Valid</x:v>
      </x:c>
      <x:c r="M1909" s="2" t="str">
        <x:v>QR</x:v>
      </x:c>
      <x:c r="N1909" s="2" t="n">
        <x:v>1</x:v>
      </x:c>
      <x:c r="O1909" s="2" t="str">
        <x:v>Accepted</x:v>
      </x:c>
      <x:c r="P1909" s="2" t="str">
        <x:v>S003</x:v>
      </x:c>
      <x:c r="Q1909" s="2" t="str">
        <x:v>DEV003</x:v>
      </x:c>
      <x:c r="R1909" s="2" t="n">
        <x:v>18</x:v>
      </x:c>
      <x:c r="S1909" s="2" t="str">
        <x:v>Online</x:v>
      </x:c>
      <x:c r="T1909" s="2" t="str">
        <x:v>Synced</x:v>
      </x:c>
    </x:row>
    <x:row r="1910" ht="21" customHeight="1">
      <x:c r="A1910" s="2" t="str">
        <x:v>EV001586</x:v>
      </x:c>
      <x:c r="B1910" s="2" t="str">
        <x:v>T20261007-5-1</x:v>
      </x:c>
      <x:c r="C1910" s="2" t="str">
        <x:v>ST036</x:v>
      </x:c>
      <x:c r="D1910" s="2" t="str">
        <x:v>7e42555e63455121ac9f1b3710bc905c</x:v>
      </x:c>
      <x:c r="E1910" s="2" t="str">
        <x:v>CHECK_OUT</x:v>
      </x:c>
      <x:c r="F1910" s="8" t="n">
        <x:v>46302.733506944445</x:v>
      </x:c>
      <x:c r="G1910" s="8" t="n">
        <x:v>46302.73353009259</x:v>
      </x:c>
      <x:c r="H1910" s="2" t="str">
        <x:v>R1S3</x:v>
      </x:c>
      <x:c r="I1910" s="9" t="n">
        <x:v>25.275000000000002</x:v>
      </x:c>
      <x:c r="J1910" s="9" t="n">
        <x:v>51.497</x:v>
      </x:c>
      <x:c r="K1910" s="2" t="n">
        <x:v>8</x:v>
      </x:c>
      <x:c r="L1910" s="2" t="str">
        <x:v>Valid</x:v>
      </x:c>
      <x:c r="M1910" s="2" t="str">
        <x:v>QR</x:v>
      </x:c>
      <x:c r="N1910" s="2" t="n">
        <x:v>1</x:v>
      </x:c>
      <x:c r="O1910" s="2" t="str">
        <x:v>Accepted</x:v>
      </x:c>
      <x:c r="P1910" s="2" t="str">
        <x:v>S001</x:v>
      </x:c>
      <x:c r="Q1910" s="2" t="str">
        <x:v>DEV001</x:v>
      </x:c>
      <x:c r="R1910" s="2" t="n">
        <x:v>19</x:v>
      </x:c>
      <x:c r="S1910" s="2" t="str">
        <x:v>Online</x:v>
      </x:c>
      <x:c r="T1910" s="2" t="str">
        <x:v>Synced</x:v>
      </x:c>
    </x:row>
    <x:row r="1911" ht="21" customHeight="1">
      <x:c r="A1911" s="2" t="str">
        <x:v>EV001746</x:v>
      </x:c>
      <x:c r="B1911" s="2" t="str">
        <x:v>T20261007-5-2</x:v>
      </x:c>
      <x:c r="C1911" s="2" t="str">
        <x:v>ST076</x:v>
      </x:c>
      <x:c r="D1911" s="2" t="str">
        <x:v>08979b9eef223b076885fe932d9f2bca</x:v>
      </x:c>
      <x:c r="E1911" s="2" t="str">
        <x:v>CHECK_OUT</x:v>
      </x:c>
      <x:c r="F1911" s="8" t="n">
        <x:v>46302.733506944445</x:v>
      </x:c>
      <x:c r="G1911" s="8" t="n">
        <x:v>46302.73353009259</x:v>
      </x:c>
      <x:c r="H1911" s="2" t="str">
        <x:v>R2S3</x:v>
      </x:c>
      <x:c r="I1911" s="9" t="n">
        <x:v>25.284000000000002</x:v>
      </x:c>
      <x:c r="J1911" s="9" t="n">
        <x:v>51.504999999999995</x:v>
      </x:c>
      <x:c r="K1911" s="2" t="n">
        <x:v>8</x:v>
      </x:c>
      <x:c r="L1911" s="2" t="str">
        <x:v>Valid</x:v>
      </x:c>
      <x:c r="M1911" s="2" t="str">
        <x:v>QR</x:v>
      </x:c>
      <x:c r="N1911" s="2" t="n">
        <x:v>1</x:v>
      </x:c>
      <x:c r="O1911" s="2" t="str">
        <x:v>Accepted</x:v>
      </x:c>
      <x:c r="P1911" s="2" t="str">
        <x:v>S002</x:v>
      </x:c>
      <x:c r="Q1911" s="2" t="str">
        <x:v>DEV002</x:v>
      </x:c>
      <x:c r="R1911" s="2" t="n">
        <x:v>19</x:v>
      </x:c>
      <x:c r="S1911" s="2" t="str">
        <x:v>Online</x:v>
      </x:c>
      <x:c r="T1911" s="2" t="str">
        <x:v>Synced</x:v>
      </x:c>
    </x:row>
    <x:row r="1912" ht="21" customHeight="1">
      <x:c r="A1912" s="2" t="str">
        <x:v>EV001906</x:v>
      </x:c>
      <x:c r="B1912" s="2" t="str">
        <x:v>T20261007-5-3</x:v>
      </x:c>
      <x:c r="C1912" s="2" t="str">
        <x:v>ST116</x:v>
      </x:c>
      <x:c r="D1912" s="2" t="str">
        <x:v>1c1fddc89afc564845795907cf1b7b0e</x:v>
      </x:c>
      <x:c r="E1912" s="2" t="str">
        <x:v>CHECK_OUT</x:v>
      </x:c>
      <x:c r="F1912" s="8" t="n">
        <x:v>46302.733506944445</x:v>
      </x:c>
      <x:c r="G1912" s="8" t="n">
        <x:v>46302.73353009259</x:v>
      </x:c>
      <x:c r="H1912" s="2" t="str">
        <x:v>R3S3</x:v>
      </x:c>
      <x:c r="I1912" s="9" t="n">
        <x:v>25.293000000000003</x:v>
      </x:c>
      <x:c r="J1912" s="9" t="n">
        <x:v>51.513</x:v>
      </x:c>
      <x:c r="K1912" s="2" t="n">
        <x:v>8</x:v>
      </x:c>
      <x:c r="L1912" s="2" t="str">
        <x:v>Valid</x:v>
      </x:c>
      <x:c r="M1912" s="2" t="str">
        <x:v>QR</x:v>
      </x:c>
      <x:c r="N1912" s="2" t="n">
        <x:v>1</x:v>
      </x:c>
      <x:c r="O1912" s="2" t="str">
        <x:v>Accepted</x:v>
      </x:c>
      <x:c r="P1912" s="2" t="str">
        <x:v>S003</x:v>
      </x:c>
      <x:c r="Q1912" s="2" t="str">
        <x:v>DEV003</x:v>
      </x:c>
      <x:c r="R1912" s="2" t="n">
        <x:v>19</x:v>
      </x:c>
      <x:c r="S1912" s="2" t="str">
        <x:v>Online</x:v>
      </x:c>
      <x:c r="T1912" s="2" t="str">
        <x:v>Synced</x:v>
      </x:c>
    </x:row>
    <x:row r="1913" ht="21" customHeight="1">
      <x:c r="A1913" s="2" t="str">
        <x:v>EV001592</x:v>
      </x:c>
      <x:c r="B1913" s="2" t="str">
        <x:v>T20261007-5-1</x:v>
      </x:c>
      <x:c r="C1913" s="2" t="str">
        <x:v>ST039</x:v>
      </x:c>
      <x:c r="D1913" s="2" t="str">
        <x:v>31ed548c9c06f555ac72ac2281bbb58a</x:v>
      </x:c>
      <x:c r="E1913" s="2" t="str">
        <x:v>CHECK_OUT</x:v>
      </x:c>
      <x:c r="F1913" s="8" t="n">
        <x:v>46302.733611111114</x:v>
      </x:c>
      <x:c r="G1913" s="8" t="n">
        <x:v>46302.73363425926</x:v>
      </x:c>
      <x:c r="H1913" s="2" t="str">
        <x:v>R1S3</x:v>
      </x:c>
      <x:c r="I1913" s="9" t="n">
        <x:v>25.275000000000002</x:v>
      </x:c>
      <x:c r="J1913" s="9" t="n">
        <x:v>51.497</x:v>
      </x:c>
      <x:c r="K1913" s="2" t="n">
        <x:v>8</x:v>
      </x:c>
      <x:c r="L1913" s="2" t="str">
        <x:v>Valid</x:v>
      </x:c>
      <x:c r="M1913" s="2" t="str">
        <x:v>QR</x:v>
      </x:c>
      <x:c r="N1913" s="2" t="n">
        <x:v>1</x:v>
      </x:c>
      <x:c r="O1913" s="2" t="str">
        <x:v>Accepted</x:v>
      </x:c>
      <x:c r="P1913" s="2" t="str">
        <x:v>S001</x:v>
      </x:c>
      <x:c r="Q1913" s="2" t="str">
        <x:v>DEV001</x:v>
      </x:c>
      <x:c r="R1913" s="2" t="n">
        <x:v>20</x:v>
      </x:c>
      <x:c r="S1913" s="2" t="str">
        <x:v>Online</x:v>
      </x:c>
      <x:c r="T1913" s="2" t="str">
        <x:v>Synced</x:v>
      </x:c>
    </x:row>
    <x:row r="1914" ht="21" customHeight="1">
      <x:c r="A1914" s="2" t="str">
        <x:v>EV001752</x:v>
      </x:c>
      <x:c r="B1914" s="2" t="str">
        <x:v>T20261007-5-2</x:v>
      </x:c>
      <x:c r="C1914" s="2" t="str">
        <x:v>ST079</x:v>
      </x:c>
      <x:c r="D1914" s="2" t="str">
        <x:v>3a794a47ff11773398f2344554eeea57</x:v>
      </x:c>
      <x:c r="E1914" s="2" t="str">
        <x:v>CHECK_OUT</x:v>
      </x:c>
      <x:c r="F1914" s="8" t="n">
        <x:v>46302.733611111114</x:v>
      </x:c>
      <x:c r="G1914" s="8" t="n">
        <x:v>46302.73363425926</x:v>
      </x:c>
      <x:c r="H1914" s="2" t="str">
        <x:v>R2S3</x:v>
      </x:c>
      <x:c r="I1914" s="9" t="n">
        <x:v>25.284000000000002</x:v>
      </x:c>
      <x:c r="J1914" s="9" t="n">
        <x:v>51.504999999999995</x:v>
      </x:c>
      <x:c r="K1914" s="2" t="n">
        <x:v>8</x:v>
      </x:c>
      <x:c r="L1914" s="2" t="str">
        <x:v>Valid</x:v>
      </x:c>
      <x:c r="M1914" s="2" t="str">
        <x:v>QR</x:v>
      </x:c>
      <x:c r="N1914" s="2" t="n">
        <x:v>1</x:v>
      </x:c>
      <x:c r="O1914" s="2" t="str">
        <x:v>Accepted</x:v>
      </x:c>
      <x:c r="P1914" s="2" t="str">
        <x:v>S002</x:v>
      </x:c>
      <x:c r="Q1914" s="2" t="str">
        <x:v>DEV002</x:v>
      </x:c>
      <x:c r="R1914" s="2" t="n">
        <x:v>20</x:v>
      </x:c>
      <x:c r="S1914" s="2" t="str">
        <x:v>Online</x:v>
      </x:c>
      <x:c r="T1914" s="2" t="str">
        <x:v>Synced</x:v>
      </x:c>
    </x:row>
    <x:row r="1915" ht="21" customHeight="1">
      <x:c r="A1915" s="2" t="str">
        <x:v>EV001912</x:v>
      </x:c>
      <x:c r="B1915" s="2" t="str">
        <x:v>T20261007-5-3</x:v>
      </x:c>
      <x:c r="C1915" s="2" t="str">
        <x:v>ST119</x:v>
      </x:c>
      <x:c r="D1915" s="2" t="str">
        <x:v>c01a05a48293e3b7c907c4b326c0d0a8</x:v>
      </x:c>
      <x:c r="E1915" s="2" t="str">
        <x:v>CHECK_OUT</x:v>
      </x:c>
      <x:c r="F1915" s="8" t="n">
        <x:v>46302.733611111114</x:v>
      </x:c>
      <x:c r="G1915" s="8" t="n">
        <x:v>46302.73363425926</x:v>
      </x:c>
      <x:c r="H1915" s="2" t="str">
        <x:v>R3S3</x:v>
      </x:c>
      <x:c r="I1915" s="9" t="n">
        <x:v>25.293000000000003</x:v>
      </x:c>
      <x:c r="J1915" s="9" t="n">
        <x:v>51.513</x:v>
      </x:c>
      <x:c r="K1915" s="2" t="n">
        <x:v>8</x:v>
      </x:c>
      <x:c r="L1915" s="2" t="str">
        <x:v>Valid</x:v>
      </x:c>
      <x:c r="M1915" s="2" t="str">
        <x:v>QR</x:v>
      </x:c>
      <x:c r="N1915" s="2" t="n">
        <x:v>1</x:v>
      </x:c>
      <x:c r="O1915" s="2" t="str">
        <x:v>Accepted</x:v>
      </x:c>
      <x:c r="P1915" s="2" t="str">
        <x:v>S003</x:v>
      </x:c>
      <x:c r="Q1915" s="2" t="str">
        <x:v>DEV003</x:v>
      </x:c>
      <x:c r="R1915" s="2" t="n">
        <x:v>20</x:v>
      </x:c>
      <x:c r="S1915" s="2" t="str">
        <x:v>Online</x:v>
      </x:c>
      <x:c r="T1915" s="2" t="str">
        <x:v>Synced</x:v>
      </x:c>
    </x:row>
    <x:row r="1916" ht="21" customHeight="1">
      <x:c r="A1916" s="2" t="str">
        <x:v>EV001915</x:v>
      </x:c>
      <x:c r="B1916" s="2" t="str">
        <x:v>T20261008-1-1</x:v>
      </x:c>
      <x:c r="C1916" s="2" t="str">
        <x:v>ST001</x:v>
      </x:c>
      <x:c r="D1916" s="2" t="str">
        <x:v>c33d277e346360e93548e66cbf71eda4</x:v>
      </x:c>
      <x:c r="E1916" s="2" t="str">
        <x:v>CHECK_IN</x:v>
      </x:c>
      <x:c r="F1916" s="8" t="n">
        <x:v>46303.242361111115</x:v>
      </x:c>
      <x:c r="G1916" s="8" t="n">
        <x:v>46303.24238425926</x:v>
      </x:c>
      <x:c r="H1916" s="2" t="str">
        <x:v>R1S1</x:v>
      </x:c>
      <x:c r="I1916" s="9" t="n">
        <x:v>25.271</x:v>
      </x:c>
      <x:c r="J1916" s="9" t="n">
        <x:v>51.491</x:v>
      </x:c>
      <x:c r="K1916" s="2" t="n">
        <x:v>8</x:v>
      </x:c>
      <x:c r="L1916" s="2" t="str">
        <x:v>Valid</x:v>
      </x:c>
      <x:c r="M1916" s="2" t="str">
        <x:v>QR</x:v>
      </x:c>
      <x:c r="N1916" s="2" t="n">
        <x:v>1</x:v>
      </x:c>
      <x:c r="O1916" s="2" t="str">
        <x:v>Accepted</x:v>
      </x:c>
      <x:c r="P1916" s="2" t="str">
        <x:v>S001</x:v>
      </x:c>
      <x:c r="Q1916" s="2" t="str">
        <x:v>DEV001</x:v>
      </x:c>
      <x:c r="R1916" s="2" t="n">
        <x:v>1</x:v>
      </x:c>
      <x:c r="S1916" s="2" t="str">
        <x:v>Online</x:v>
      </x:c>
      <x:c r="T1916" s="2" t="str">
        <x:v>Synced</x:v>
      </x:c>
    </x:row>
    <x:row r="1917" ht="21" customHeight="1">
      <x:c r="A1917" s="2" t="str">
        <x:v>EV002075</x:v>
      </x:c>
      <x:c r="B1917" s="2" t="str">
        <x:v>T20261008-1-2</x:v>
      </x:c>
      <x:c r="C1917" s="2" t="str">
        <x:v>ST041</x:v>
      </x:c>
      <x:c r="D1917" s="2" t="str">
        <x:v>78597cf805a87b7619460b6ed67f501f</x:v>
      </x:c>
      <x:c r="E1917" s="2" t="str">
        <x:v>CHECK_IN</x:v>
      </x:c>
      <x:c r="F1917" s="8" t="n">
        <x:v>46303.242361111115</x:v>
      </x:c>
      <x:c r="G1917" s="8" t="n">
        <x:v>46303.24238425926</x:v>
      </x:c>
      <x:c r="H1917" s="2" t="str">
        <x:v>R2S1</x:v>
      </x:c>
      <x:c r="I1917" s="9" t="n">
        <x:v>25.28</x:v>
      </x:c>
      <x:c r="J1917" s="9" t="n">
        <x:v>51.498999999999995</x:v>
      </x:c>
      <x:c r="K1917" s="2" t="n">
        <x:v>8</x:v>
      </x:c>
      <x:c r="L1917" s="2" t="str">
        <x:v>Valid</x:v>
      </x:c>
      <x:c r="M1917" s="2" t="str">
        <x:v>QR</x:v>
      </x:c>
      <x:c r="N1917" s="2" t="n">
        <x:v>1</x:v>
      </x:c>
      <x:c r="O1917" s="2" t="str">
        <x:v>Accepted</x:v>
      </x:c>
      <x:c r="P1917" s="2" t="str">
        <x:v>S002</x:v>
      </x:c>
      <x:c r="Q1917" s="2" t="str">
        <x:v>DEV002</x:v>
      </x:c>
      <x:c r="R1917" s="2" t="n">
        <x:v>1</x:v>
      </x:c>
      <x:c r="S1917" s="2" t="str">
        <x:v>Online</x:v>
      </x:c>
      <x:c r="T1917" s="2" t="str">
        <x:v>Synced</x:v>
      </x:c>
    </x:row>
    <x:row r="1918" ht="21" customHeight="1">
      <x:c r="A1918" s="2" t="str">
        <x:v>EV002235</x:v>
      </x:c>
      <x:c r="B1918" s="2" t="str">
        <x:v>T20261008-1-3</x:v>
      </x:c>
      <x:c r="C1918" s="2" t="str">
        <x:v>ST081</x:v>
      </x:c>
      <x:c r="D1918" s="2" t="str">
        <x:v>8631b63b10b36bffa6456d354db9c08f</x:v>
      </x:c>
      <x:c r="E1918" s="2" t="str">
        <x:v>CHECK_IN</x:v>
      </x:c>
      <x:c r="F1918" s="8" t="n">
        <x:v>46303.242361111115</x:v>
      </x:c>
      <x:c r="G1918" s="8" t="n">
        <x:v>46303.24238425926</x:v>
      </x:c>
      <x:c r="H1918" s="2" t="str">
        <x:v>R3S1</x:v>
      </x:c>
      <x:c r="I1918" s="9" t="n">
        <x:v>25.289</x:v>
      </x:c>
      <x:c r="J1918" s="9" t="n">
        <x:v>51.507</x:v>
      </x:c>
      <x:c r="K1918" s="2" t="n">
        <x:v>8</x:v>
      </x:c>
      <x:c r="L1918" s="2" t="str">
        <x:v>Valid</x:v>
      </x:c>
      <x:c r="M1918" s="2" t="str">
        <x:v>QR</x:v>
      </x:c>
      <x:c r="N1918" s="2" t="n">
        <x:v>1</x:v>
      </x:c>
      <x:c r="O1918" s="2" t="str">
        <x:v>Accepted</x:v>
      </x:c>
      <x:c r="P1918" s="2" t="str">
        <x:v>S003</x:v>
      </x:c>
      <x:c r="Q1918" s="2" t="str">
        <x:v>DEV003</x:v>
      </x:c>
      <x:c r="R1918" s="2" t="n">
        <x:v>1</x:v>
      </x:c>
      <x:c r="S1918" s="2" t="str">
        <x:v>Online</x:v>
      </x:c>
      <x:c r="T1918" s="2" t="str">
        <x:v>Synced</x:v>
      </x:c>
    </x:row>
    <x:row r="1919" ht="21" customHeight="1">
      <x:c r="A1919" s="2" t="str">
        <x:v>EV001939</x:v>
      </x:c>
      <x:c r="B1919" s="2" t="str">
        <x:v>T20261008-1-1</x:v>
      </x:c>
      <x:c r="C1919" s="2" t="str">
        <x:v>ST013</x:v>
      </x:c>
      <x:c r="D1919" s="2" t="str">
        <x:v>ddc4bbe364f02f5a2177795c49ea7ba9</x:v>
      </x:c>
      <x:c r="E1919" s="2" t="str">
        <x:v>CHECK_IN</x:v>
      </x:c>
      <x:c r="F1919" s="8" t="n">
        <x:v>46303.24243055556</x:v>
      </x:c>
      <x:c r="G1919" s="8" t="n">
        <x:v>46303.24245370371</x:v>
      </x:c>
      <x:c r="H1919" s="2" t="str">
        <x:v>R1S1</x:v>
      </x:c>
      <x:c r="I1919" s="9" t="n">
        <x:v>25.271</x:v>
      </x:c>
      <x:c r="J1919" s="9" t="n">
        <x:v>51.491</x:v>
      </x:c>
      <x:c r="K1919" s="2" t="n">
        <x:v>8</x:v>
      </x:c>
      <x:c r="L1919" s="2" t="str">
        <x:v>Valid</x:v>
      </x:c>
      <x:c r="M1919" s="2" t="str">
        <x:v>QR</x:v>
      </x:c>
      <x:c r="N1919" s="2" t="n">
        <x:v>1</x:v>
      </x:c>
      <x:c r="O1919" s="2" t="str">
        <x:v>Accepted</x:v>
      </x:c>
      <x:c r="P1919" s="2" t="str">
        <x:v>S001</x:v>
      </x:c>
      <x:c r="Q1919" s="2" t="str">
        <x:v>DEV001</x:v>
      </x:c>
      <x:c r="R1919" s="2" t="n">
        <x:v>2</x:v>
      </x:c>
      <x:c r="S1919" s="2" t="str">
        <x:v>Online</x:v>
      </x:c>
      <x:c r="T1919" s="2" t="str">
        <x:v>Synced</x:v>
      </x:c>
    </x:row>
    <x:row r="1920" ht="21" customHeight="1">
      <x:c r="A1920" s="2" t="str">
        <x:v>EV002099</x:v>
      </x:c>
      <x:c r="B1920" s="2" t="str">
        <x:v>T20261008-1-2</x:v>
      </x:c>
      <x:c r="C1920" s="2" t="str">
        <x:v>ST053</x:v>
      </x:c>
      <x:c r="D1920" s="2" t="str">
        <x:v>e476277c519e294480cfa14a37e177a0</x:v>
      </x:c>
      <x:c r="E1920" s="2" t="str">
        <x:v>CHECK_IN</x:v>
      </x:c>
      <x:c r="F1920" s="8" t="n">
        <x:v>46303.24243055556</x:v>
      </x:c>
      <x:c r="G1920" s="8" t="n">
        <x:v>46303.24245370371</x:v>
      </x:c>
      <x:c r="H1920" s="2" t="str">
        <x:v>R2S1</x:v>
      </x:c>
      <x:c r="I1920" s="9" t="n">
        <x:v>25.28</x:v>
      </x:c>
      <x:c r="J1920" s="9" t="n">
        <x:v>51.498999999999995</x:v>
      </x:c>
      <x:c r="K1920" s="2" t="n">
        <x:v>8</x:v>
      </x:c>
      <x:c r="L1920" s="2" t="str">
        <x:v>Valid</x:v>
      </x:c>
      <x:c r="M1920" s="2" t="str">
        <x:v>QR</x:v>
      </x:c>
      <x:c r="N1920" s="2" t="n">
        <x:v>1</x:v>
      </x:c>
      <x:c r="O1920" s="2" t="str">
        <x:v>Accepted</x:v>
      </x:c>
      <x:c r="P1920" s="2" t="str">
        <x:v>S002</x:v>
      </x:c>
      <x:c r="Q1920" s="2" t="str">
        <x:v>DEV002</x:v>
      </x:c>
      <x:c r="R1920" s="2" t="n">
        <x:v>2</x:v>
      </x:c>
      <x:c r="S1920" s="2" t="str">
        <x:v>Online</x:v>
      </x:c>
      <x:c r="T1920" s="2" t="str">
        <x:v>Synced</x:v>
      </x:c>
    </x:row>
    <x:row r="1921" ht="21" customHeight="1">
      <x:c r="A1921" s="2" t="str">
        <x:v>EV002259</x:v>
      </x:c>
      <x:c r="B1921" s="2" t="str">
        <x:v>T20261008-1-3</x:v>
      </x:c>
      <x:c r="C1921" s="2" t="str">
        <x:v>ST093</x:v>
      </x:c>
      <x:c r="D1921" s="2" t="str">
        <x:v>e69cdca4f10e82426e9a3098f4672791</x:v>
      </x:c>
      <x:c r="E1921" s="2" t="str">
        <x:v>CHECK_IN</x:v>
      </x:c>
      <x:c r="F1921" s="8" t="n">
        <x:v>46303.24243055556</x:v>
      </x:c>
      <x:c r="G1921" s="8" t="n">
        <x:v>46303.24245370371</x:v>
      </x:c>
      <x:c r="H1921" s="2" t="str">
        <x:v>R3S1</x:v>
      </x:c>
      <x:c r="I1921" s="9" t="n">
        <x:v>25.289</x:v>
      </x:c>
      <x:c r="J1921" s="9" t="n">
        <x:v>51.507</x:v>
      </x:c>
      <x:c r="K1921" s="2" t="n">
        <x:v>8</x:v>
      </x:c>
      <x:c r="L1921" s="2" t="str">
        <x:v>Valid</x:v>
      </x:c>
      <x:c r="M1921" s="2" t="str">
        <x:v>QR</x:v>
      </x:c>
      <x:c r="N1921" s="2" t="n">
        <x:v>1</x:v>
      </x:c>
      <x:c r="O1921" s="2" t="str">
        <x:v>Accepted</x:v>
      </x:c>
      <x:c r="P1921" s="2" t="str">
        <x:v>S003</x:v>
      </x:c>
      <x:c r="Q1921" s="2" t="str">
        <x:v>DEV003</x:v>
      </x:c>
      <x:c r="R1921" s="2" t="n">
        <x:v>2</x:v>
      </x:c>
      <x:c r="S1921" s="2" t="str">
        <x:v>Online</x:v>
      </x:c>
      <x:c r="T1921" s="2" t="str">
        <x:v>Synced</x:v>
      </x:c>
    </x:row>
    <x:row r="1922" ht="21" customHeight="1">
      <x:c r="A1922" s="2" t="str">
        <x:v>EV001921</x:v>
      </x:c>
      <x:c r="B1922" s="2" t="str">
        <x:v>T20261008-1-1</x:v>
      </x:c>
      <x:c r="C1922" s="2" t="str">
        <x:v>ST004</x:v>
      </x:c>
      <x:c r="D1922" s="2" t="str">
        <x:v>7dee56e67101a0dd8483e1503eba9a72</x:v>
      </x:c>
      <x:c r="E1922" s="2" t="str">
        <x:v>CHECK_IN</x:v>
      </x:c>
      <x:c r="F1922" s="8" t="n">
        <x:v>46303.242465277785</x:v>
      </x:c>
      <x:c r="G1922" s="8" t="n">
        <x:v>46303.24248842593</x:v>
      </x:c>
      <x:c r="H1922" s="2" t="str">
        <x:v>R1S1</x:v>
      </x:c>
      <x:c r="I1922" s="9" t="n">
        <x:v>25.271</x:v>
      </x:c>
      <x:c r="J1922" s="9" t="n">
        <x:v>51.491</x:v>
      </x:c>
      <x:c r="K1922" s="2" t="n">
        <x:v>8</x:v>
      </x:c>
      <x:c r="L1922" s="2" t="str">
        <x:v>Valid</x:v>
      </x:c>
      <x:c r="M1922" s="2" t="str">
        <x:v>QR</x:v>
      </x:c>
      <x:c r="N1922" s="2" t="n">
        <x:v>1</x:v>
      </x:c>
      <x:c r="O1922" s="2" t="str">
        <x:v>Accepted</x:v>
      </x:c>
      <x:c r="P1922" s="2" t="str">
        <x:v>S001</x:v>
      </x:c>
      <x:c r="Q1922" s="2" t="str">
        <x:v>DEV001</x:v>
      </x:c>
      <x:c r="R1922" s="2" t="n">
        <x:v>3</x:v>
      </x:c>
      <x:c r="S1922" s="2" t="str">
        <x:v>Online</x:v>
      </x:c>
      <x:c r="T1922" s="2" t="str">
        <x:v>Synced</x:v>
      </x:c>
    </x:row>
    <x:row r="1923" ht="21" customHeight="1">
      <x:c r="A1923" s="2" t="str">
        <x:v>EV002081</x:v>
      </x:c>
      <x:c r="B1923" s="2" t="str">
        <x:v>T20261008-1-2</x:v>
      </x:c>
      <x:c r="C1923" s="2" t="str">
        <x:v>ST044</x:v>
      </x:c>
      <x:c r="D1923" s="2" t="str">
        <x:v>638b036dff08260bc8976402fb10157a</x:v>
      </x:c>
      <x:c r="E1923" s="2" t="str">
        <x:v>CHECK_IN</x:v>
      </x:c>
      <x:c r="F1923" s="8" t="n">
        <x:v>46303.242465277785</x:v>
      </x:c>
      <x:c r="G1923" s="8" t="n">
        <x:v>46303.24248842593</x:v>
      </x:c>
      <x:c r="H1923" s="2" t="str">
        <x:v>R2S1</x:v>
      </x:c>
      <x:c r="I1923" s="9" t="n">
        <x:v>25.28</x:v>
      </x:c>
      <x:c r="J1923" s="9" t="n">
        <x:v>51.498999999999995</x:v>
      </x:c>
      <x:c r="K1923" s="2" t="n">
        <x:v>8</x:v>
      </x:c>
      <x:c r="L1923" s="2" t="str">
        <x:v>Valid</x:v>
      </x:c>
      <x:c r="M1923" s="2" t="str">
        <x:v>QR</x:v>
      </x:c>
      <x:c r="N1923" s="2" t="n">
        <x:v>1</x:v>
      </x:c>
      <x:c r="O1923" s="2" t="str">
        <x:v>Accepted</x:v>
      </x:c>
      <x:c r="P1923" s="2" t="str">
        <x:v>S002</x:v>
      </x:c>
      <x:c r="Q1923" s="2" t="str">
        <x:v>DEV002</x:v>
      </x:c>
      <x:c r="R1923" s="2" t="n">
        <x:v>3</x:v>
      </x:c>
      <x:c r="S1923" s="2" t="str">
        <x:v>Online</x:v>
      </x:c>
      <x:c r="T1923" s="2" t="str">
        <x:v>Synced</x:v>
      </x:c>
    </x:row>
    <x:row r="1924" ht="21" customHeight="1">
      <x:c r="A1924" s="2" t="str">
        <x:v>EV002241</x:v>
      </x:c>
      <x:c r="B1924" s="2" t="str">
        <x:v>T20261008-1-3</x:v>
      </x:c>
      <x:c r="C1924" s="2" t="str">
        <x:v>ST084</x:v>
      </x:c>
      <x:c r="D1924" s="2" t="str">
        <x:v>2f6163b722feb8421b83fd278ee72e5c</x:v>
      </x:c>
      <x:c r="E1924" s="2" t="str">
        <x:v>CHECK_IN</x:v>
      </x:c>
      <x:c r="F1924" s="8" t="n">
        <x:v>46303.242465277785</x:v>
      </x:c>
      <x:c r="G1924" s="8" t="n">
        <x:v>46303.24248842593</x:v>
      </x:c>
      <x:c r="H1924" s="2" t="str">
        <x:v>R3S1</x:v>
      </x:c>
      <x:c r="I1924" s="9" t="n">
        <x:v>25.289</x:v>
      </x:c>
      <x:c r="J1924" s="9" t="n">
        <x:v>51.507</x:v>
      </x:c>
      <x:c r="K1924" s="2" t="n">
        <x:v>8</x:v>
      </x:c>
      <x:c r="L1924" s="2" t="str">
        <x:v>Valid</x:v>
      </x:c>
      <x:c r="M1924" s="2" t="str">
        <x:v>QR</x:v>
      </x:c>
      <x:c r="N1924" s="2" t="n">
        <x:v>1</x:v>
      </x:c>
      <x:c r="O1924" s="2" t="str">
        <x:v>Accepted</x:v>
      </x:c>
      <x:c r="P1924" s="2" t="str">
        <x:v>S003</x:v>
      </x:c>
      <x:c r="Q1924" s="2" t="str">
        <x:v>DEV003</x:v>
      </x:c>
      <x:c r="R1924" s="2" t="n">
        <x:v>3</x:v>
      </x:c>
      <x:c r="S1924" s="2" t="str">
        <x:v>Online</x:v>
      </x:c>
      <x:c r="T1924" s="2" t="str">
        <x:v>Synced</x:v>
      </x:c>
    </x:row>
    <x:row r="1925" ht="21" customHeight="1">
      <x:c r="A1925" s="2" t="str">
        <x:v>EV001945</x:v>
      </x:c>
      <x:c r="B1925" s="2" t="str">
        <x:v>T20261008-1-1</x:v>
      </x:c>
      <x:c r="C1925" s="2" t="str">
        <x:v>ST016</x:v>
      </x:c>
      <x:c r="D1925" s="2" t="str">
        <x:v>5227a65bcc4ea356d570fe16b2970ea5</x:v>
      </x:c>
      <x:c r="E1925" s="2" t="str">
        <x:v>CHECK_IN</x:v>
      </x:c>
      <x:c r="F1925" s="8" t="n">
        <x:v>46303.24253472222</x:v>
      </x:c>
      <x:c r="G1925" s="8" t="n">
        <x:v>46303.24255787037</x:v>
      </x:c>
      <x:c r="H1925" s="2" t="str">
        <x:v>R1S1</x:v>
      </x:c>
      <x:c r="I1925" s="9" t="n">
        <x:v>25.271</x:v>
      </x:c>
      <x:c r="J1925" s="9" t="n">
        <x:v>51.491</x:v>
      </x:c>
      <x:c r="K1925" s="2" t="n">
        <x:v>8</x:v>
      </x:c>
      <x:c r="L1925" s="2" t="str">
        <x:v>Valid</x:v>
      </x:c>
      <x:c r="M1925" s="2" t="str">
        <x:v>QR</x:v>
      </x:c>
      <x:c r="N1925" s="2" t="n">
        <x:v>1</x:v>
      </x:c>
      <x:c r="O1925" s="2" t="str">
        <x:v>Accepted</x:v>
      </x:c>
      <x:c r="P1925" s="2" t="str">
        <x:v>S001</x:v>
      </x:c>
      <x:c r="Q1925" s="2" t="str">
        <x:v>DEV001</x:v>
      </x:c>
      <x:c r="R1925" s="2" t="n">
        <x:v>4</x:v>
      </x:c>
      <x:c r="S1925" s="2" t="str">
        <x:v>Online</x:v>
      </x:c>
      <x:c r="T1925" s="2" t="str">
        <x:v>Synced</x:v>
      </x:c>
    </x:row>
    <x:row r="1926" ht="21" customHeight="1">
      <x:c r="A1926" s="2" t="str">
        <x:v>EV002105</x:v>
      </x:c>
      <x:c r="B1926" s="2" t="str">
        <x:v>T20261008-1-2</x:v>
      </x:c>
      <x:c r="C1926" s="2" t="str">
        <x:v>ST056</x:v>
      </x:c>
      <x:c r="D1926" s="2" t="str">
        <x:v>245ed370430be1001f6d7d13404dd8b1</x:v>
      </x:c>
      <x:c r="E1926" s="2" t="str">
        <x:v>CHECK_IN</x:v>
      </x:c>
      <x:c r="F1926" s="8" t="n">
        <x:v>46303.24253472222</x:v>
      </x:c>
      <x:c r="G1926" s="8" t="n">
        <x:v>46303.24255787037</x:v>
      </x:c>
      <x:c r="H1926" s="2" t="str">
        <x:v>R2S1</x:v>
      </x:c>
      <x:c r="I1926" s="9" t="n">
        <x:v>25.28</x:v>
      </x:c>
      <x:c r="J1926" s="9" t="n">
        <x:v>51.498999999999995</x:v>
      </x:c>
      <x:c r="K1926" s="2" t="n">
        <x:v>8</x:v>
      </x:c>
      <x:c r="L1926" s="2" t="str">
        <x:v>Valid</x:v>
      </x:c>
      <x:c r="M1926" s="2" t="str">
        <x:v>QR</x:v>
      </x:c>
      <x:c r="N1926" s="2" t="n">
        <x:v>1</x:v>
      </x:c>
      <x:c r="O1926" s="2" t="str">
        <x:v>Accepted</x:v>
      </x:c>
      <x:c r="P1926" s="2" t="str">
        <x:v>S002</x:v>
      </x:c>
      <x:c r="Q1926" s="2" t="str">
        <x:v>DEV002</x:v>
      </x:c>
      <x:c r="R1926" s="2" t="n">
        <x:v>4</x:v>
      </x:c>
      <x:c r="S1926" s="2" t="str">
        <x:v>Online</x:v>
      </x:c>
      <x:c r="T1926" s="2" t="str">
        <x:v>Synced</x:v>
      </x:c>
    </x:row>
    <x:row r="1927" ht="21" customHeight="1">
      <x:c r="A1927" s="2" t="str">
        <x:v>EV002265</x:v>
      </x:c>
      <x:c r="B1927" s="2" t="str">
        <x:v>T20261008-1-3</x:v>
      </x:c>
      <x:c r="C1927" s="2" t="str">
        <x:v>ST096</x:v>
      </x:c>
      <x:c r="D1927" s="2" t="str">
        <x:v>46905fa8ca039f79eec63d82a6ea3c69</x:v>
      </x:c>
      <x:c r="E1927" s="2" t="str">
        <x:v>CHECK_IN</x:v>
      </x:c>
      <x:c r="F1927" s="8" t="n">
        <x:v>46303.24253472222</x:v>
      </x:c>
      <x:c r="G1927" s="8" t="n">
        <x:v>46303.24255787037</x:v>
      </x:c>
      <x:c r="H1927" s="2" t="str">
        <x:v>R3S1</x:v>
      </x:c>
      <x:c r="I1927" s="9" t="n">
        <x:v>25.289</x:v>
      </x:c>
      <x:c r="J1927" s="9" t="n">
        <x:v>51.507</x:v>
      </x:c>
      <x:c r="K1927" s="2" t="n">
        <x:v>8</x:v>
      </x:c>
      <x:c r="L1927" s="2" t="str">
        <x:v>Valid</x:v>
      </x:c>
      <x:c r="M1927" s="2" t="str">
        <x:v>QR</x:v>
      </x:c>
      <x:c r="N1927" s="2" t="n">
        <x:v>1</x:v>
      </x:c>
      <x:c r="O1927" s="2" t="str">
        <x:v>Accepted</x:v>
      </x:c>
      <x:c r="P1927" s="2" t="str">
        <x:v>S003</x:v>
      </x:c>
      <x:c r="Q1927" s="2" t="str">
        <x:v>DEV003</x:v>
      </x:c>
      <x:c r="R1927" s="2" t="n">
        <x:v>4</x:v>
      </x:c>
      <x:c r="S1927" s="2" t="str">
        <x:v>Online</x:v>
      </x:c>
      <x:c r="T1927" s="2" t="str">
        <x:v>Synced</x:v>
      </x:c>
    </x:row>
    <x:row r="1928" ht="21" customHeight="1">
      <x:c r="A1928" s="2" t="str">
        <x:v>EV001927</x:v>
      </x:c>
      <x:c r="B1928" s="2" t="str">
        <x:v>T20261008-1-1</x:v>
      </x:c>
      <x:c r="C1928" s="2" t="str">
        <x:v>ST007</x:v>
      </x:c>
      <x:c r="D1928" s="2" t="str">
        <x:v>2376173ab02a96d9b58d44caf4008dfd</x:v>
      </x:c>
      <x:c r="E1928" s="2" t="str">
        <x:v>CHECK_IN</x:v>
      </x:c>
      <x:c r="F1928" s="8" t="n">
        <x:v>46303.24256944445</x:v>
      </x:c>
      <x:c r="G1928" s="8" t="n">
        <x:v>46303.24259259259</x:v>
      </x:c>
      <x:c r="H1928" s="2" t="str">
        <x:v>R1S1</x:v>
      </x:c>
      <x:c r="I1928" s="9" t="n">
        <x:v>25.271</x:v>
      </x:c>
      <x:c r="J1928" s="9" t="n">
        <x:v>51.491</x:v>
      </x:c>
      <x:c r="K1928" s="2" t="n">
        <x:v>8</x:v>
      </x:c>
      <x:c r="L1928" s="2" t="str">
        <x:v>Valid</x:v>
      </x:c>
      <x:c r="M1928" s="2" t="str">
        <x:v>QR</x:v>
      </x:c>
      <x:c r="N1928" s="2" t="n">
        <x:v>1</x:v>
      </x:c>
      <x:c r="O1928" s="2" t="str">
        <x:v>Accepted</x:v>
      </x:c>
      <x:c r="P1928" s="2" t="str">
        <x:v>S001</x:v>
      </x:c>
      <x:c r="Q1928" s="2" t="str">
        <x:v>DEV001</x:v>
      </x:c>
      <x:c r="R1928" s="2" t="n">
        <x:v>5</x:v>
      </x:c>
      <x:c r="S1928" s="2" t="str">
        <x:v>Online</x:v>
      </x:c>
      <x:c r="T1928" s="2" t="str">
        <x:v>Synced</x:v>
      </x:c>
    </x:row>
    <x:row r="1929" ht="21" customHeight="1">
      <x:c r="A1929" s="2" t="str">
        <x:v>EV002087</x:v>
      </x:c>
      <x:c r="B1929" s="2" t="str">
        <x:v>T20261008-1-2</x:v>
      </x:c>
      <x:c r="C1929" s="2" t="str">
        <x:v>ST047</x:v>
      </x:c>
      <x:c r="D1929" s="2" t="str">
        <x:v>b3f6380a42fb190ae04afac7edee87cd</x:v>
      </x:c>
      <x:c r="E1929" s="2" t="str">
        <x:v>CHECK_IN</x:v>
      </x:c>
      <x:c r="F1929" s="8" t="n">
        <x:v>46303.24256944445</x:v>
      </x:c>
      <x:c r="G1929" s="8" t="n">
        <x:v>46303.24259259259</x:v>
      </x:c>
      <x:c r="H1929" s="2" t="str">
        <x:v>R2S1</x:v>
      </x:c>
      <x:c r="I1929" s="9" t="n">
        <x:v>25.28</x:v>
      </x:c>
      <x:c r="J1929" s="9" t="n">
        <x:v>51.498999999999995</x:v>
      </x:c>
      <x:c r="K1929" s="2" t="n">
        <x:v>8</x:v>
      </x:c>
      <x:c r="L1929" s="2" t="str">
        <x:v>Valid</x:v>
      </x:c>
      <x:c r="M1929" s="2" t="str">
        <x:v>QR</x:v>
      </x:c>
      <x:c r="N1929" s="2" t="n">
        <x:v>1</x:v>
      </x:c>
      <x:c r="O1929" s="2" t="str">
        <x:v>Accepted</x:v>
      </x:c>
      <x:c r="P1929" s="2" t="str">
        <x:v>S002</x:v>
      </x:c>
      <x:c r="Q1929" s="2" t="str">
        <x:v>DEV002</x:v>
      </x:c>
      <x:c r="R1929" s="2" t="n">
        <x:v>5</x:v>
      </x:c>
      <x:c r="S1929" s="2" t="str">
        <x:v>Online</x:v>
      </x:c>
      <x:c r="T1929" s="2" t="str">
        <x:v>Synced</x:v>
      </x:c>
    </x:row>
    <x:row r="1930" ht="21" customHeight="1">
      <x:c r="A1930" s="2" t="str">
        <x:v>EV002247</x:v>
      </x:c>
      <x:c r="B1930" s="2" t="str">
        <x:v>T20261008-1-3</x:v>
      </x:c>
      <x:c r="C1930" s="2" t="str">
        <x:v>ST087</x:v>
      </x:c>
      <x:c r="D1930" s="2" t="str">
        <x:v>30243cf46003be06b271950aa5cd47a6</x:v>
      </x:c>
      <x:c r="E1930" s="2" t="str">
        <x:v>CHECK_IN</x:v>
      </x:c>
      <x:c r="F1930" s="8" t="n">
        <x:v>46303.24256944445</x:v>
      </x:c>
      <x:c r="G1930" s="8" t="n">
        <x:v>46303.24259259259</x:v>
      </x:c>
      <x:c r="H1930" s="2" t="str">
        <x:v>R3S1</x:v>
      </x:c>
      <x:c r="I1930" s="9" t="n">
        <x:v>25.289</x:v>
      </x:c>
      <x:c r="J1930" s="9" t="n">
        <x:v>51.507</x:v>
      </x:c>
      <x:c r="K1930" s="2" t="n">
        <x:v>8</x:v>
      </x:c>
      <x:c r="L1930" s="2" t="str">
        <x:v>Valid</x:v>
      </x:c>
      <x:c r="M1930" s="2" t="str">
        <x:v>QR</x:v>
      </x:c>
      <x:c r="N1930" s="2" t="n">
        <x:v>1</x:v>
      </x:c>
      <x:c r="O1930" s="2" t="str">
        <x:v>Accepted</x:v>
      </x:c>
      <x:c r="P1930" s="2" t="str">
        <x:v>S003</x:v>
      </x:c>
      <x:c r="Q1930" s="2" t="str">
        <x:v>DEV003</x:v>
      </x:c>
      <x:c r="R1930" s="2" t="n">
        <x:v>5</x:v>
      </x:c>
      <x:c r="S1930" s="2" t="str">
        <x:v>Online</x:v>
      </x:c>
      <x:c r="T1930" s="2" t="str">
        <x:v>Synced</x:v>
      </x:c>
    </x:row>
    <x:row r="1931" ht="21" customHeight="1">
      <x:c r="A1931" s="2" t="str">
        <x:v>EV001951</x:v>
      </x:c>
      <x:c r="B1931" s="2" t="str">
        <x:v>T20261008-1-1</x:v>
      </x:c>
      <x:c r="C1931" s="2" t="str">
        <x:v>ST019</x:v>
      </x:c>
      <x:c r="D1931" s="2" t="str">
        <x:v>b83400b1b6dcfb0f7cb413571cb76f8f</x:v>
      </x:c>
      <x:c r="E1931" s="2" t="str">
        <x:v>CHECK_IN</x:v>
      </x:c>
      <x:c r="F1931" s="8" t="n">
        <x:v>46303.24263888889</x:v>
      </x:c>
      <x:c r="G1931" s="8" t="n">
        <x:v>46303.24266203704</x:v>
      </x:c>
      <x:c r="H1931" s="2" t="str">
        <x:v>R1S1</x:v>
      </x:c>
      <x:c r="I1931" s="9" t="n">
        <x:v>25.271</x:v>
      </x:c>
      <x:c r="J1931" s="9" t="n">
        <x:v>51.491</x:v>
      </x:c>
      <x:c r="K1931" s="2" t="n">
        <x:v>8</x:v>
      </x:c>
      <x:c r="L1931" s="2" t="str">
        <x:v>Valid</x:v>
      </x:c>
      <x:c r="M1931" s="2" t="str">
        <x:v>QR</x:v>
      </x:c>
      <x:c r="N1931" s="2" t="n">
        <x:v>1</x:v>
      </x:c>
      <x:c r="O1931" s="2" t="str">
        <x:v>Accepted</x:v>
      </x:c>
      <x:c r="P1931" s="2" t="str">
        <x:v>S001</x:v>
      </x:c>
      <x:c r="Q1931" s="2" t="str">
        <x:v>DEV001</x:v>
      </x:c>
      <x:c r="R1931" s="2" t="n">
        <x:v>6</x:v>
      </x:c>
      <x:c r="S1931" s="2" t="str">
        <x:v>Online</x:v>
      </x:c>
      <x:c r="T1931" s="2" t="str">
        <x:v>Synced</x:v>
      </x:c>
    </x:row>
    <x:row r="1932" ht="21" customHeight="1">
      <x:c r="A1932" s="2" t="str">
        <x:v>EV002111</x:v>
      </x:c>
      <x:c r="B1932" s="2" t="str">
        <x:v>T20261008-1-2</x:v>
      </x:c>
      <x:c r="C1932" s="2" t="str">
        <x:v>ST059</x:v>
      </x:c>
      <x:c r="D1932" s="2" t="str">
        <x:v>08b31edc14b3a345822a41d6515bfcba</x:v>
      </x:c>
      <x:c r="E1932" s="2" t="str">
        <x:v>CHECK_IN</x:v>
      </x:c>
      <x:c r="F1932" s="8" t="n">
        <x:v>46303.24263888889</x:v>
      </x:c>
      <x:c r="G1932" s="8" t="n">
        <x:v>46303.24266203704</x:v>
      </x:c>
      <x:c r="H1932" s="2" t="str">
        <x:v>R2S1</x:v>
      </x:c>
      <x:c r="I1932" s="9" t="n">
        <x:v>25.28</x:v>
      </x:c>
      <x:c r="J1932" s="9" t="n">
        <x:v>51.498999999999995</x:v>
      </x:c>
      <x:c r="K1932" s="2" t="n">
        <x:v>8</x:v>
      </x:c>
      <x:c r="L1932" s="2" t="str">
        <x:v>Valid</x:v>
      </x:c>
      <x:c r="M1932" s="2" t="str">
        <x:v>QR</x:v>
      </x:c>
      <x:c r="N1932" s="2" t="n">
        <x:v>1</x:v>
      </x:c>
      <x:c r="O1932" s="2" t="str">
        <x:v>Accepted</x:v>
      </x:c>
      <x:c r="P1932" s="2" t="str">
        <x:v>S002</x:v>
      </x:c>
      <x:c r="Q1932" s="2" t="str">
        <x:v>DEV002</x:v>
      </x:c>
      <x:c r="R1932" s="2" t="n">
        <x:v>6</x:v>
      </x:c>
      <x:c r="S1932" s="2" t="str">
        <x:v>Online</x:v>
      </x:c>
      <x:c r="T1932" s="2" t="str">
        <x:v>Synced</x:v>
      </x:c>
    </x:row>
    <x:row r="1933" ht="21" customHeight="1">
      <x:c r="A1933" s="2" t="str">
        <x:v>EV002271</x:v>
      </x:c>
      <x:c r="B1933" s="2" t="str">
        <x:v>T20261008-1-3</x:v>
      </x:c>
      <x:c r="C1933" s="2" t="str">
        <x:v>ST099</x:v>
      </x:c>
      <x:c r="D1933" s="2" t="str">
        <x:v>46d20c66394c55b68e36e5335452d87c</x:v>
      </x:c>
      <x:c r="E1933" s="2" t="str">
        <x:v>CHECK_IN</x:v>
      </x:c>
      <x:c r="F1933" s="8" t="n">
        <x:v>46303.24263888889</x:v>
      </x:c>
      <x:c r="G1933" s="8" t="n">
        <x:v>46303.24266203704</x:v>
      </x:c>
      <x:c r="H1933" s="2" t="str">
        <x:v>R3S1</x:v>
      </x:c>
      <x:c r="I1933" s="9" t="n">
        <x:v>25.289</x:v>
      </x:c>
      <x:c r="J1933" s="9" t="n">
        <x:v>51.507</x:v>
      </x:c>
      <x:c r="K1933" s="2" t="n">
        <x:v>8</x:v>
      </x:c>
      <x:c r="L1933" s="2" t="str">
        <x:v>Valid</x:v>
      </x:c>
      <x:c r="M1933" s="2" t="str">
        <x:v>QR</x:v>
      </x:c>
      <x:c r="N1933" s="2" t="n">
        <x:v>1</x:v>
      </x:c>
      <x:c r="O1933" s="2" t="str">
        <x:v>Accepted</x:v>
      </x:c>
      <x:c r="P1933" s="2" t="str">
        <x:v>S003</x:v>
      </x:c>
      <x:c r="Q1933" s="2" t="str">
        <x:v>DEV003</x:v>
      </x:c>
      <x:c r="R1933" s="2" t="n">
        <x:v>6</x:v>
      </x:c>
      <x:c r="S1933" s="2" t="str">
        <x:v>Online</x:v>
      </x:c>
      <x:c r="T1933" s="2" t="str">
        <x:v>Synced</x:v>
      </x:c>
    </x:row>
    <x:row r="1934" ht="21" customHeight="1">
      <x:c r="A1934" s="2" t="str">
        <x:v>EV001933</x:v>
      </x:c>
      <x:c r="B1934" s="2" t="str">
        <x:v>T20261008-1-1</x:v>
      </x:c>
      <x:c r="C1934" s="2" t="str">
        <x:v>ST010</x:v>
      </x:c>
      <x:c r="D1934" s="2" t="str">
        <x:v>df6521f6838e149b7b1f3fd27dcbf586</x:v>
      </x:c>
      <x:c r="E1934" s="2" t="str">
        <x:v>CHECK_IN</x:v>
      </x:c>
      <x:c r="F1934" s="8" t="n">
        <x:v>46303.242673611116</x:v>
      </x:c>
      <x:c r="G1934" s="8" t="n">
        <x:v>46303.24269675926</x:v>
      </x:c>
      <x:c r="H1934" s="2" t="str">
        <x:v>R1S1</x:v>
      </x:c>
      <x:c r="I1934" s="9" t="n">
        <x:v>25.271</x:v>
      </x:c>
      <x:c r="J1934" s="9" t="n">
        <x:v>51.491</x:v>
      </x:c>
      <x:c r="K1934" s="2" t="n">
        <x:v>8</x:v>
      </x:c>
      <x:c r="L1934" s="2" t="str">
        <x:v>Valid</x:v>
      </x:c>
      <x:c r="M1934" s="2" t="str">
        <x:v>QR</x:v>
      </x:c>
      <x:c r="N1934" s="2" t="n">
        <x:v>1</x:v>
      </x:c>
      <x:c r="O1934" s="2" t="str">
        <x:v>Accepted</x:v>
      </x:c>
      <x:c r="P1934" s="2" t="str">
        <x:v>S001</x:v>
      </x:c>
      <x:c r="Q1934" s="2" t="str">
        <x:v>DEV001</x:v>
      </x:c>
      <x:c r="R1934" s="2" t="n">
        <x:v>7</x:v>
      </x:c>
      <x:c r="S1934" s="2" t="str">
        <x:v>Online</x:v>
      </x:c>
      <x:c r="T1934" s="2" t="str">
        <x:v>Synced</x:v>
      </x:c>
    </x:row>
    <x:row r="1935" ht="21" customHeight="1">
      <x:c r="A1935" s="2" t="str">
        <x:v>EV002093</x:v>
      </x:c>
      <x:c r="B1935" s="2" t="str">
        <x:v>T20261008-1-2</x:v>
      </x:c>
      <x:c r="C1935" s="2" t="str">
        <x:v>ST050</x:v>
      </x:c>
      <x:c r="D1935" s="2" t="str">
        <x:v>ca49474881a6395691ac81bd08684ed6</x:v>
      </x:c>
      <x:c r="E1935" s="2" t="str">
        <x:v>CHECK_IN</x:v>
      </x:c>
      <x:c r="F1935" s="8" t="n">
        <x:v>46303.242673611116</x:v>
      </x:c>
      <x:c r="G1935" s="8" t="n">
        <x:v>46303.24269675926</x:v>
      </x:c>
      <x:c r="H1935" s="2" t="str">
        <x:v>R2S1</x:v>
      </x:c>
      <x:c r="I1935" s="9" t="n">
        <x:v>25.28</x:v>
      </x:c>
      <x:c r="J1935" s="9" t="n">
        <x:v>51.498999999999995</x:v>
      </x:c>
      <x:c r="K1935" s="2" t="n">
        <x:v>8</x:v>
      </x:c>
      <x:c r="L1935" s="2" t="str">
        <x:v>Valid</x:v>
      </x:c>
      <x:c r="M1935" s="2" t="str">
        <x:v>QR</x:v>
      </x:c>
      <x:c r="N1935" s="2" t="n">
        <x:v>1</x:v>
      </x:c>
      <x:c r="O1935" s="2" t="str">
        <x:v>Accepted</x:v>
      </x:c>
      <x:c r="P1935" s="2" t="str">
        <x:v>S002</x:v>
      </x:c>
      <x:c r="Q1935" s="2" t="str">
        <x:v>DEV002</x:v>
      </x:c>
      <x:c r="R1935" s="2" t="n">
        <x:v>7</x:v>
      </x:c>
      <x:c r="S1935" s="2" t="str">
        <x:v>Online</x:v>
      </x:c>
      <x:c r="T1935" s="2" t="str">
        <x:v>Synced</x:v>
      </x:c>
    </x:row>
    <x:row r="1936" ht="21" customHeight="1">
      <x:c r="A1936" s="2" t="str">
        <x:v>EV002253</x:v>
      </x:c>
      <x:c r="B1936" s="2" t="str">
        <x:v>T20261008-1-3</x:v>
      </x:c>
      <x:c r="C1936" s="2" t="str">
        <x:v>ST090</x:v>
      </x:c>
      <x:c r="D1936" s="2" t="str">
        <x:v>3b91252475551a374010825e1f05642c</x:v>
      </x:c>
      <x:c r="E1936" s="2" t="str">
        <x:v>CHECK_IN</x:v>
      </x:c>
      <x:c r="F1936" s="8" t="n">
        <x:v>46303.242673611116</x:v>
      </x:c>
      <x:c r="G1936" s="8" t="n">
        <x:v>46303.24269675926</x:v>
      </x:c>
      <x:c r="H1936" s="2" t="str">
        <x:v>R3S1</x:v>
      </x:c>
      <x:c r="I1936" s="9" t="n">
        <x:v>25.289</x:v>
      </x:c>
      <x:c r="J1936" s="9" t="n">
        <x:v>51.507</x:v>
      </x:c>
      <x:c r="K1936" s="2" t="n">
        <x:v>8</x:v>
      </x:c>
      <x:c r="L1936" s="2" t="str">
        <x:v>Valid</x:v>
      </x:c>
      <x:c r="M1936" s="2" t="str">
        <x:v>QR</x:v>
      </x:c>
      <x:c r="N1936" s="2" t="n">
        <x:v>1</x:v>
      </x:c>
      <x:c r="O1936" s="2" t="str">
        <x:v>Accepted</x:v>
      </x:c>
      <x:c r="P1936" s="2" t="str">
        <x:v>S003</x:v>
      </x:c>
      <x:c r="Q1936" s="2" t="str">
        <x:v>DEV003</x:v>
      </x:c>
      <x:c r="R1936" s="2" t="n">
        <x:v>7</x:v>
      </x:c>
      <x:c r="S1936" s="2" t="str">
        <x:v>Online</x:v>
      </x:c>
      <x:c r="T1936" s="2" t="str">
        <x:v>Synced</x:v>
      </x:c>
    </x:row>
    <x:row r="1937" ht="21" customHeight="1">
      <x:c r="A1937" s="2" t="str">
        <x:v>EV001935</x:v>
      </x:c>
      <x:c r="B1937" s="2" t="str">
        <x:v>T20261008-1-1</x:v>
      </x:c>
      <x:c r="C1937" s="2" t="str">
        <x:v>ST011</x:v>
      </x:c>
      <x:c r="D1937" s="2" t="str">
        <x:v>38c917effc7ec45ac750455eb7892f3e</x:v>
      </x:c>
      <x:c r="E1937" s="2" t="str">
        <x:v>CHECK_IN</x:v>
      </x:c>
      <x:c r="F1937" s="8" t="n">
        <x:v>46303.24722222222</x:v>
      </x:c>
      <x:c r="G1937" s="8" t="n">
        <x:v>46303.24724537037</x:v>
      </x:c>
      <x:c r="H1937" s="2" t="str">
        <x:v>R1S2</x:v>
      </x:c>
      <x:c r="I1937" s="9" t="n">
        <x:v>25.273000000000003</x:v>
      </x:c>
      <x:c r="J1937" s="9" t="n">
        <x:v>51.494</x:v>
      </x:c>
      <x:c r="K1937" s="2" t="n">
        <x:v>8</x:v>
      </x:c>
      <x:c r="L1937" s="2" t="str">
        <x:v>Valid</x:v>
      </x:c>
      <x:c r="M1937" s="2" t="str">
        <x:v>QR</x:v>
      </x:c>
      <x:c r="N1937" s="2" t="n">
        <x:v>1</x:v>
      </x:c>
      <x:c r="O1937" s="2" t="str">
        <x:v>Accepted</x:v>
      </x:c>
      <x:c r="P1937" s="2" t="str">
        <x:v>S001</x:v>
      </x:c>
      <x:c r="Q1937" s="2" t="str">
        <x:v>DEV001</x:v>
      </x:c>
      <x:c r="R1937" s="2" t="n">
        <x:v>8</x:v>
      </x:c>
      <x:c r="S1937" s="2" t="str">
        <x:v>Online</x:v>
      </x:c>
      <x:c r="T1937" s="2" t="str">
        <x:v>Synced</x:v>
      </x:c>
    </x:row>
    <x:row r="1938" ht="21" customHeight="1">
      <x:c r="A1938" s="2" t="str">
        <x:v>EV002095</x:v>
      </x:c>
      <x:c r="B1938" s="2" t="str">
        <x:v>T20261008-1-2</x:v>
      </x:c>
      <x:c r="C1938" s="2" t="str">
        <x:v>ST051</x:v>
      </x:c>
      <x:c r="D1938" s="2" t="str">
        <x:v>410a66d29aea7be5806f7d6945266303</x:v>
      </x:c>
      <x:c r="E1938" s="2" t="str">
        <x:v>CHECK_IN</x:v>
      </x:c>
      <x:c r="F1938" s="8" t="n">
        <x:v>46303.24722222222</x:v>
      </x:c>
      <x:c r="G1938" s="8" t="n">
        <x:v>46303.24724537037</x:v>
      </x:c>
      <x:c r="H1938" s="2" t="str">
        <x:v>R2S2</x:v>
      </x:c>
      <x:c r="I1938" s="9" t="n">
        <x:v>25.282000000000004</x:v>
      </x:c>
      <x:c r="J1938" s="9" t="n">
        <x:v>51.501999999999995</x:v>
      </x:c>
      <x:c r="K1938" s="2" t="n">
        <x:v>8</x:v>
      </x:c>
      <x:c r="L1938" s="2" t="str">
        <x:v>Valid</x:v>
      </x:c>
      <x:c r="M1938" s="2" t="str">
        <x:v>QR</x:v>
      </x:c>
      <x:c r="N1938" s="2" t="n">
        <x:v>1</x:v>
      </x:c>
      <x:c r="O1938" s="2" t="str">
        <x:v>Accepted</x:v>
      </x:c>
      <x:c r="P1938" s="2" t="str">
        <x:v>S002</x:v>
      </x:c>
      <x:c r="Q1938" s="2" t="str">
        <x:v>DEV002</x:v>
      </x:c>
      <x:c r="R1938" s="2" t="n">
        <x:v>8</x:v>
      </x:c>
      <x:c r="S1938" s="2" t="str">
        <x:v>Online</x:v>
      </x:c>
      <x:c r="T1938" s="2" t="str">
        <x:v>Synced</x:v>
      </x:c>
    </x:row>
    <x:row r="1939" ht="21" customHeight="1">
      <x:c r="A1939" s="2" t="str">
        <x:v>EV002255</x:v>
      </x:c>
      <x:c r="B1939" s="2" t="str">
        <x:v>T20261008-1-3</x:v>
      </x:c>
      <x:c r="C1939" s="2" t="str">
        <x:v>ST091</x:v>
      </x:c>
      <x:c r="D1939" s="2" t="str">
        <x:v>2d74afc7329a1eb53bd16a92fc366891</x:v>
      </x:c>
      <x:c r="E1939" s="2" t="str">
        <x:v>CHECK_IN</x:v>
      </x:c>
      <x:c r="F1939" s="8" t="n">
        <x:v>46303.24722222222</x:v>
      </x:c>
      <x:c r="G1939" s="8" t="n">
        <x:v>46303.24724537037</x:v>
      </x:c>
      <x:c r="H1939" s="2" t="str">
        <x:v>R3S2</x:v>
      </x:c>
      <x:c r="I1939" s="9" t="n">
        <x:v>25.291000000000004</x:v>
      </x:c>
      <x:c r="J1939" s="9" t="n">
        <x:v>51.51</x:v>
      </x:c>
      <x:c r="K1939" s="2" t="n">
        <x:v>8</x:v>
      </x:c>
      <x:c r="L1939" s="2" t="str">
        <x:v>Valid</x:v>
      </x:c>
      <x:c r="M1939" s="2" t="str">
        <x:v>QR</x:v>
      </x:c>
      <x:c r="N1939" s="2" t="n">
        <x:v>1</x:v>
      </x:c>
      <x:c r="O1939" s="2" t="str">
        <x:v>Accepted</x:v>
      </x:c>
      <x:c r="P1939" s="2" t="str">
        <x:v>S003</x:v>
      </x:c>
      <x:c r="Q1939" s="2" t="str">
        <x:v>DEV003</x:v>
      </x:c>
      <x:c r="R1939" s="2" t="n">
        <x:v>8</x:v>
      </x:c>
      <x:c r="S1939" s="2" t="str">
        <x:v>Online</x:v>
      </x:c>
      <x:c r="T1939" s="2" t="str">
        <x:v>Synced</x:v>
      </x:c>
    </x:row>
    <x:row r="1940" ht="21" customHeight="1">
      <x:c r="A1940" s="2" t="str">
        <x:v>EV001917</x:v>
      </x:c>
      <x:c r="B1940" s="2" t="str">
        <x:v>T20261008-1-1</x:v>
      </x:c>
      <x:c r="C1940" s="2" t="str">
        <x:v>ST002</x:v>
      </x:c>
      <x:c r="D1940" s="2" t="str">
        <x:v>c9302a76d79e524442f3775978bb57a1</x:v>
      </x:c>
      <x:c r="E1940" s="2" t="str">
        <x:v>CHECK_IN</x:v>
      </x:c>
      <x:c r="F1940" s="8" t="n">
        <x:v>46303.24725694444</x:v>
      </x:c>
      <x:c r="G1940" s="8" t="n">
        <x:v>46303.24728009259</x:v>
      </x:c>
      <x:c r="H1940" s="2" t="str">
        <x:v>R1S2</x:v>
      </x:c>
      <x:c r="I1940" s="9" t="n">
        <x:v>25.273000000000003</x:v>
      </x:c>
      <x:c r="J1940" s="9" t="n">
        <x:v>51.494</x:v>
      </x:c>
      <x:c r="K1940" s="2" t="n">
        <x:v>8</x:v>
      </x:c>
      <x:c r="L1940" s="2" t="str">
        <x:v>Valid</x:v>
      </x:c>
      <x:c r="M1940" s="2" t="str">
        <x:v>QR</x:v>
      </x:c>
      <x:c r="N1940" s="2" t="n">
        <x:v>1</x:v>
      </x:c>
      <x:c r="O1940" s="2" t="str">
        <x:v>Accepted</x:v>
      </x:c>
      <x:c r="P1940" s="2" t="str">
        <x:v>S001</x:v>
      </x:c>
      <x:c r="Q1940" s="2" t="str">
        <x:v>DEV001</x:v>
      </x:c>
      <x:c r="R1940" s="2" t="n">
        <x:v>9</x:v>
      </x:c>
      <x:c r="S1940" s="2" t="str">
        <x:v>Online</x:v>
      </x:c>
      <x:c r="T1940" s="2" t="str">
        <x:v>Synced</x:v>
      </x:c>
    </x:row>
    <x:row r="1941" ht="21" customHeight="1">
      <x:c r="A1941" s="2" t="str">
        <x:v>EV002077</x:v>
      </x:c>
      <x:c r="B1941" s="2" t="str">
        <x:v>T20261008-1-2</x:v>
      </x:c>
      <x:c r="C1941" s="2" t="str">
        <x:v>ST042</x:v>
      </x:c>
      <x:c r="D1941" s="2" t="str">
        <x:v>9cf3254a8e8c8233e36089501cd1bc60</x:v>
      </x:c>
      <x:c r="E1941" s="2" t="str">
        <x:v>CHECK_IN</x:v>
      </x:c>
      <x:c r="F1941" s="8" t="n">
        <x:v>46303.24725694444</x:v>
      </x:c>
      <x:c r="G1941" s="8" t="n">
        <x:v>46303.24728009259</x:v>
      </x:c>
      <x:c r="H1941" s="2" t="str">
        <x:v>R2S2</x:v>
      </x:c>
      <x:c r="I1941" s="9" t="n">
        <x:v>25.282000000000004</x:v>
      </x:c>
      <x:c r="J1941" s="9" t="n">
        <x:v>51.501999999999995</x:v>
      </x:c>
      <x:c r="K1941" s="2" t="n">
        <x:v>8</x:v>
      </x:c>
      <x:c r="L1941" s="2" t="str">
        <x:v>Valid</x:v>
      </x:c>
      <x:c r="M1941" s="2" t="str">
        <x:v>QR</x:v>
      </x:c>
      <x:c r="N1941" s="2" t="n">
        <x:v>1</x:v>
      </x:c>
      <x:c r="O1941" s="2" t="str">
        <x:v>Accepted</x:v>
      </x:c>
      <x:c r="P1941" s="2" t="str">
        <x:v>S002</x:v>
      </x:c>
      <x:c r="Q1941" s="2" t="str">
        <x:v>DEV002</x:v>
      </x:c>
      <x:c r="R1941" s="2" t="n">
        <x:v>9</x:v>
      </x:c>
      <x:c r="S1941" s="2" t="str">
        <x:v>Online</x:v>
      </x:c>
      <x:c r="T1941" s="2" t="str">
        <x:v>Synced</x:v>
      </x:c>
    </x:row>
    <x:row r="1942" ht="21" customHeight="1">
      <x:c r="A1942" s="2" t="str">
        <x:v>EV002237</x:v>
      </x:c>
      <x:c r="B1942" s="2" t="str">
        <x:v>T20261008-1-3</x:v>
      </x:c>
      <x:c r="C1942" s="2" t="str">
        <x:v>ST082</x:v>
      </x:c>
      <x:c r="D1942" s="2" t="str">
        <x:v>fb7e28e2da3ace738571a6966bcaaec0</x:v>
      </x:c>
      <x:c r="E1942" s="2" t="str">
        <x:v>CHECK_IN</x:v>
      </x:c>
      <x:c r="F1942" s="8" t="n">
        <x:v>46303.24725694444</x:v>
      </x:c>
      <x:c r="G1942" s="8" t="n">
        <x:v>46303.24728009259</x:v>
      </x:c>
      <x:c r="H1942" s="2" t="str">
        <x:v>R3S2</x:v>
      </x:c>
      <x:c r="I1942" s="9" t="n">
        <x:v>25.291000000000004</x:v>
      </x:c>
      <x:c r="J1942" s="9" t="n">
        <x:v>51.51</x:v>
      </x:c>
      <x:c r="K1942" s="2" t="n">
        <x:v>8</x:v>
      </x:c>
      <x:c r="L1942" s="2" t="str">
        <x:v>Valid</x:v>
      </x:c>
      <x:c r="M1942" s="2" t="str">
        <x:v>QR</x:v>
      </x:c>
      <x:c r="N1942" s="2" t="n">
        <x:v>1</x:v>
      </x:c>
      <x:c r="O1942" s="2" t="str">
        <x:v>Accepted</x:v>
      </x:c>
      <x:c r="P1942" s="2" t="str">
        <x:v>S003</x:v>
      </x:c>
      <x:c r="Q1942" s="2" t="str">
        <x:v>DEV003</x:v>
      </x:c>
      <x:c r="R1942" s="2" t="n">
        <x:v>9</x:v>
      </x:c>
      <x:c r="S1942" s="2" t="str">
        <x:v>Online</x:v>
      </x:c>
      <x:c r="T1942" s="2" t="str">
        <x:v>Synced</x:v>
      </x:c>
    </x:row>
    <x:row r="1943" ht="21" customHeight="1">
      <x:c r="A1943" s="2" t="str">
        <x:v>EV001941</x:v>
      </x:c>
      <x:c r="B1943" s="2" t="str">
        <x:v>T20261008-1-1</x:v>
      </x:c>
      <x:c r="C1943" s="2" t="str">
        <x:v>ST014</x:v>
      </x:c>
      <x:c r="D1943" s="2" t="str">
        <x:v>6ea4b25306143e251962ae19fa8ee7af</x:v>
      </x:c>
      <x:c r="E1943" s="2" t="str">
        <x:v>CHECK_IN</x:v>
      </x:c>
      <x:c r="F1943" s="8" t="n">
        <x:v>46303.24732638889</x:v>
      </x:c>
      <x:c r="G1943" s="8" t="n">
        <x:v>46303.247349537036</x:v>
      </x:c>
      <x:c r="H1943" s="2" t="str">
        <x:v>R1S2</x:v>
      </x:c>
      <x:c r="I1943" s="9" t="n">
        <x:v>25.273000000000003</x:v>
      </x:c>
      <x:c r="J1943" s="9" t="n">
        <x:v>51.494</x:v>
      </x:c>
      <x:c r="K1943" s="2" t="n">
        <x:v>8</x:v>
      </x:c>
      <x:c r="L1943" s="2" t="str">
        <x:v>Valid</x:v>
      </x:c>
      <x:c r="M1943" s="2" t="str">
        <x:v>QR</x:v>
      </x:c>
      <x:c r="N1943" s="2" t="n">
        <x:v>1</x:v>
      </x:c>
      <x:c r="O1943" s="2" t="str">
        <x:v>Accepted</x:v>
      </x:c>
      <x:c r="P1943" s="2" t="str">
        <x:v>S001</x:v>
      </x:c>
      <x:c r="Q1943" s="2" t="str">
        <x:v>DEV001</x:v>
      </x:c>
      <x:c r="R1943" s="2" t="n">
        <x:v>10</x:v>
      </x:c>
      <x:c r="S1943" s="2" t="str">
        <x:v>Online</x:v>
      </x:c>
      <x:c r="T1943" s="2" t="str">
        <x:v>Synced</x:v>
      </x:c>
    </x:row>
    <x:row r="1944" ht="21" customHeight="1">
      <x:c r="A1944" s="2" t="str">
        <x:v>EV002101</x:v>
      </x:c>
      <x:c r="B1944" s="2" t="str">
        <x:v>T20261008-1-2</x:v>
      </x:c>
      <x:c r="C1944" s="2" t="str">
        <x:v>ST054</x:v>
      </x:c>
      <x:c r="D1944" s="2" t="str">
        <x:v>1c9a916db52e081aeb59bc928cb914dd</x:v>
      </x:c>
      <x:c r="E1944" s="2" t="str">
        <x:v>CHECK_IN</x:v>
      </x:c>
      <x:c r="F1944" s="8" t="n">
        <x:v>46303.24732638889</x:v>
      </x:c>
      <x:c r="G1944" s="8" t="n">
        <x:v>46303.247349537036</x:v>
      </x:c>
      <x:c r="H1944" s="2" t="str">
        <x:v>R2S2</x:v>
      </x:c>
      <x:c r="I1944" s="9" t="n">
        <x:v>25.282000000000004</x:v>
      </x:c>
      <x:c r="J1944" s="9" t="n">
        <x:v>51.501999999999995</x:v>
      </x:c>
      <x:c r="K1944" s="2" t="n">
        <x:v>8</x:v>
      </x:c>
      <x:c r="L1944" s="2" t="str">
        <x:v>Valid</x:v>
      </x:c>
      <x:c r="M1944" s="2" t="str">
        <x:v>QR</x:v>
      </x:c>
      <x:c r="N1944" s="2" t="n">
        <x:v>1</x:v>
      </x:c>
      <x:c r="O1944" s="2" t="str">
        <x:v>Accepted</x:v>
      </x:c>
      <x:c r="P1944" s="2" t="str">
        <x:v>S002</x:v>
      </x:c>
      <x:c r="Q1944" s="2" t="str">
        <x:v>DEV002</x:v>
      </x:c>
      <x:c r="R1944" s="2" t="n">
        <x:v>10</x:v>
      </x:c>
      <x:c r="S1944" s="2" t="str">
        <x:v>Online</x:v>
      </x:c>
      <x:c r="T1944" s="2" t="str">
        <x:v>Synced</x:v>
      </x:c>
    </x:row>
    <x:row r="1945" ht="21" customHeight="1">
      <x:c r="A1945" s="2" t="str">
        <x:v>EV002261</x:v>
      </x:c>
      <x:c r="B1945" s="2" t="str">
        <x:v>T20261008-1-3</x:v>
      </x:c>
      <x:c r="C1945" s="2" t="str">
        <x:v>ST094</x:v>
      </x:c>
      <x:c r="D1945" s="2" t="str">
        <x:v>b6fd37c188877a378c496dccb3132cf2</x:v>
      </x:c>
      <x:c r="E1945" s="2" t="str">
        <x:v>CHECK_IN</x:v>
      </x:c>
      <x:c r="F1945" s="8" t="n">
        <x:v>46303.24732638889</x:v>
      </x:c>
      <x:c r="G1945" s="8" t="n">
        <x:v>46303.247349537036</x:v>
      </x:c>
      <x:c r="H1945" s="2" t="str">
        <x:v>R3S2</x:v>
      </x:c>
      <x:c r="I1945" s="9" t="n">
        <x:v>25.291000000000004</x:v>
      </x:c>
      <x:c r="J1945" s="9" t="n">
        <x:v>51.51</x:v>
      </x:c>
      <x:c r="K1945" s="2" t="n">
        <x:v>8</x:v>
      </x:c>
      <x:c r="L1945" s="2" t="str">
        <x:v>Valid</x:v>
      </x:c>
      <x:c r="M1945" s="2" t="str">
        <x:v>QR</x:v>
      </x:c>
      <x:c r="N1945" s="2" t="n">
        <x:v>1</x:v>
      </x:c>
      <x:c r="O1945" s="2" t="str">
        <x:v>Accepted</x:v>
      </x:c>
      <x:c r="P1945" s="2" t="str">
        <x:v>S003</x:v>
      </x:c>
      <x:c r="Q1945" s="2" t="str">
        <x:v>DEV003</x:v>
      </x:c>
      <x:c r="R1945" s="2" t="n">
        <x:v>10</x:v>
      </x:c>
      <x:c r="S1945" s="2" t="str">
        <x:v>Online</x:v>
      </x:c>
      <x:c r="T1945" s="2" t="str">
        <x:v>Synced</x:v>
      </x:c>
    </x:row>
    <x:row r="1946" ht="21" customHeight="1">
      <x:c r="A1946" s="2" t="str">
        <x:v>EV001923</x:v>
      </x:c>
      <x:c r="B1946" s="2" t="str">
        <x:v>T20261008-1-1</x:v>
      </x:c>
      <x:c r="C1946" s="2" t="str">
        <x:v>ST005</x:v>
      </x:c>
      <x:c r="D1946" s="2" t="str">
        <x:v>426727a8a0b9d51694a399a005c786cf</x:v>
      </x:c>
      <x:c r="E1946" s="2" t="str">
        <x:v>CHECK_IN</x:v>
      </x:c>
      <x:c r="F1946" s="8" t="n">
        <x:v>46303.24736111111</x:v>
      </x:c>
      <x:c r="G1946" s="8" t="n">
        <x:v>46303.24738425926</x:v>
      </x:c>
      <x:c r="H1946" s="2" t="str">
        <x:v>R1S2</x:v>
      </x:c>
      <x:c r="I1946" s="9" t="n">
        <x:v>25.273000000000003</x:v>
      </x:c>
      <x:c r="J1946" s="9" t="n">
        <x:v>51.494</x:v>
      </x:c>
      <x:c r="K1946" s="2" t="n">
        <x:v>8</x:v>
      </x:c>
      <x:c r="L1946" s="2" t="str">
        <x:v>Valid</x:v>
      </x:c>
      <x:c r="M1946" s="2" t="str">
        <x:v>QR</x:v>
      </x:c>
      <x:c r="N1946" s="2" t="n">
        <x:v>1</x:v>
      </x:c>
      <x:c r="O1946" s="2" t="str">
        <x:v>Accepted</x:v>
      </x:c>
      <x:c r="P1946" s="2" t="str">
        <x:v>S001</x:v>
      </x:c>
      <x:c r="Q1946" s="2" t="str">
        <x:v>DEV001</x:v>
      </x:c>
      <x:c r="R1946" s="2" t="n">
        <x:v>11</x:v>
      </x:c>
      <x:c r="S1946" s="2" t="str">
        <x:v>Online</x:v>
      </x:c>
      <x:c r="T1946" s="2" t="str">
        <x:v>Synced</x:v>
      </x:c>
    </x:row>
    <x:row r="1947" ht="21" customHeight="1">
      <x:c r="A1947" s="2" t="str">
        <x:v>EV002083</x:v>
      </x:c>
      <x:c r="B1947" s="2" t="str">
        <x:v>T20261008-1-2</x:v>
      </x:c>
      <x:c r="C1947" s="2" t="str">
        <x:v>ST045</x:v>
      </x:c>
      <x:c r="D1947" s="2" t="str">
        <x:v>10d8df8a06a7c869bcaa1adbc88c05bc</x:v>
      </x:c>
      <x:c r="E1947" s="2" t="str">
        <x:v>CHECK_IN</x:v>
      </x:c>
      <x:c r="F1947" s="8" t="n">
        <x:v>46303.24736111111</x:v>
      </x:c>
      <x:c r="G1947" s="8" t="n">
        <x:v>46303.24738425926</x:v>
      </x:c>
      <x:c r="H1947" s="2" t="str">
        <x:v>R2S2</x:v>
      </x:c>
      <x:c r="I1947" s="9" t="n">
        <x:v>25.282000000000004</x:v>
      </x:c>
      <x:c r="J1947" s="9" t="n">
        <x:v>51.501999999999995</x:v>
      </x:c>
      <x:c r="K1947" s="2" t="n">
        <x:v>8</x:v>
      </x:c>
      <x:c r="L1947" s="2" t="str">
        <x:v>Valid</x:v>
      </x:c>
      <x:c r="M1947" s="2" t="str">
        <x:v>QR</x:v>
      </x:c>
      <x:c r="N1947" s="2" t="n">
        <x:v>1</x:v>
      </x:c>
      <x:c r="O1947" s="2" t="str">
        <x:v>Accepted</x:v>
      </x:c>
      <x:c r="P1947" s="2" t="str">
        <x:v>S002</x:v>
      </x:c>
      <x:c r="Q1947" s="2" t="str">
        <x:v>DEV002</x:v>
      </x:c>
      <x:c r="R1947" s="2" t="n">
        <x:v>11</x:v>
      </x:c>
      <x:c r="S1947" s="2" t="str">
        <x:v>Online</x:v>
      </x:c>
      <x:c r="T1947" s="2" t="str">
        <x:v>Synced</x:v>
      </x:c>
    </x:row>
    <x:row r="1948" ht="21" customHeight="1">
      <x:c r="A1948" s="2" t="str">
        <x:v>EV002243</x:v>
      </x:c>
      <x:c r="B1948" s="2" t="str">
        <x:v>T20261008-1-3</x:v>
      </x:c>
      <x:c r="C1948" s="2" t="str">
        <x:v>ST085</x:v>
      </x:c>
      <x:c r="D1948" s="2" t="str">
        <x:v>80babdd572dde222a75b7ad8f0fe7ffa</x:v>
      </x:c>
      <x:c r="E1948" s="2" t="str">
        <x:v>CHECK_IN</x:v>
      </x:c>
      <x:c r="F1948" s="8" t="n">
        <x:v>46303.24736111111</x:v>
      </x:c>
      <x:c r="G1948" s="8" t="n">
        <x:v>46303.24738425926</x:v>
      </x:c>
      <x:c r="H1948" s="2" t="str">
        <x:v>R3S2</x:v>
      </x:c>
      <x:c r="I1948" s="9" t="n">
        <x:v>25.291000000000004</x:v>
      </x:c>
      <x:c r="J1948" s="9" t="n">
        <x:v>51.51</x:v>
      </x:c>
      <x:c r="K1948" s="2" t="n">
        <x:v>8</x:v>
      </x:c>
      <x:c r="L1948" s="2" t="str">
        <x:v>Valid</x:v>
      </x:c>
      <x:c r="M1948" s="2" t="str">
        <x:v>QR</x:v>
      </x:c>
      <x:c r="N1948" s="2" t="n">
        <x:v>1</x:v>
      </x:c>
      <x:c r="O1948" s="2" t="str">
        <x:v>Accepted</x:v>
      </x:c>
      <x:c r="P1948" s="2" t="str">
        <x:v>S003</x:v>
      </x:c>
      <x:c r="Q1948" s="2" t="str">
        <x:v>DEV003</x:v>
      </x:c>
      <x:c r="R1948" s="2" t="n">
        <x:v>11</x:v>
      </x:c>
      <x:c r="S1948" s="2" t="str">
        <x:v>Online</x:v>
      </x:c>
      <x:c r="T1948" s="2" t="str">
        <x:v>Synced</x:v>
      </x:c>
    </x:row>
    <x:row r="1949" ht="21" customHeight="1">
      <x:c r="A1949" s="2" t="str">
        <x:v>EV001947</x:v>
      </x:c>
      <x:c r="B1949" s="2" t="str">
        <x:v>T20261008-1-1</x:v>
      </x:c>
      <x:c r="C1949" s="2" t="str">
        <x:v>ST017</x:v>
      </x:c>
      <x:c r="D1949" s="2" t="str">
        <x:v>ea6159d457322f2456f4cadd6b3d659f</x:v>
      </x:c>
      <x:c r="E1949" s="2" t="str">
        <x:v>CHECK_IN</x:v>
      </x:c>
      <x:c r="F1949" s="8" t="n">
        <x:v>46303.24743055555</x:v>
      </x:c>
      <x:c r="G1949" s="8" t="n">
        <x:v>46303.2474537037</x:v>
      </x:c>
      <x:c r="H1949" s="2" t="str">
        <x:v>R1S2</x:v>
      </x:c>
      <x:c r="I1949" s="9" t="n">
        <x:v>25.273000000000003</x:v>
      </x:c>
      <x:c r="J1949" s="9" t="n">
        <x:v>51.494</x:v>
      </x:c>
      <x:c r="K1949" s="2" t="n">
        <x:v>8</x:v>
      </x:c>
      <x:c r="L1949" s="2" t="str">
        <x:v>Valid</x:v>
      </x:c>
      <x:c r="M1949" s="2" t="str">
        <x:v>QR</x:v>
      </x:c>
      <x:c r="N1949" s="2" t="n">
        <x:v>1</x:v>
      </x:c>
      <x:c r="O1949" s="2" t="str">
        <x:v>Accepted</x:v>
      </x:c>
      <x:c r="P1949" s="2" t="str">
        <x:v>S001</x:v>
      </x:c>
      <x:c r="Q1949" s="2" t="str">
        <x:v>DEV001</x:v>
      </x:c>
      <x:c r="R1949" s="2" t="n">
        <x:v>12</x:v>
      </x:c>
      <x:c r="S1949" s="2" t="str">
        <x:v>Online</x:v>
      </x:c>
      <x:c r="T1949" s="2" t="str">
        <x:v>Synced</x:v>
      </x:c>
    </x:row>
    <x:row r="1950" ht="21" customHeight="1">
      <x:c r="A1950" s="2" t="str">
        <x:v>EV002107</x:v>
      </x:c>
      <x:c r="B1950" s="2" t="str">
        <x:v>T20261008-1-2</x:v>
      </x:c>
      <x:c r="C1950" s="2" t="str">
        <x:v>ST057</x:v>
      </x:c>
      <x:c r="D1950" s="2" t="str">
        <x:v>68d992c7418727808ad27d2e5ee9b88d</x:v>
      </x:c>
      <x:c r="E1950" s="2" t="str">
        <x:v>CHECK_IN</x:v>
      </x:c>
      <x:c r="F1950" s="8" t="n">
        <x:v>46303.24743055555</x:v>
      </x:c>
      <x:c r="G1950" s="8" t="n">
        <x:v>46303.2474537037</x:v>
      </x:c>
      <x:c r="H1950" s="2" t="str">
        <x:v>R2S2</x:v>
      </x:c>
      <x:c r="I1950" s="9" t="n">
        <x:v>25.282000000000004</x:v>
      </x:c>
      <x:c r="J1950" s="9" t="n">
        <x:v>51.501999999999995</x:v>
      </x:c>
      <x:c r="K1950" s="2" t="n">
        <x:v>8</x:v>
      </x:c>
      <x:c r="L1950" s="2" t="str">
        <x:v>Valid</x:v>
      </x:c>
      <x:c r="M1950" s="2" t="str">
        <x:v>QR</x:v>
      </x:c>
      <x:c r="N1950" s="2" t="n">
        <x:v>1</x:v>
      </x:c>
      <x:c r="O1950" s="2" t="str">
        <x:v>Accepted</x:v>
      </x:c>
      <x:c r="P1950" s="2" t="str">
        <x:v>S002</x:v>
      </x:c>
      <x:c r="Q1950" s="2" t="str">
        <x:v>DEV002</x:v>
      </x:c>
      <x:c r="R1950" s="2" t="n">
        <x:v>12</x:v>
      </x:c>
      <x:c r="S1950" s="2" t="str">
        <x:v>Online</x:v>
      </x:c>
      <x:c r="T1950" s="2" t="str">
        <x:v>Synced</x:v>
      </x:c>
    </x:row>
    <x:row r="1951" ht="21" customHeight="1">
      <x:c r="A1951" s="2" t="str">
        <x:v>EV002267</x:v>
      </x:c>
      <x:c r="B1951" s="2" t="str">
        <x:v>T20261008-1-3</x:v>
      </x:c>
      <x:c r="C1951" s="2" t="str">
        <x:v>ST097</x:v>
      </x:c>
      <x:c r="D1951" s="2" t="str">
        <x:v>0ccbf8d08569df9dde2207b8d5616d1e</x:v>
      </x:c>
      <x:c r="E1951" s="2" t="str">
        <x:v>CHECK_IN</x:v>
      </x:c>
      <x:c r="F1951" s="8" t="n">
        <x:v>46303.24743055555</x:v>
      </x:c>
      <x:c r="G1951" s="8" t="n">
        <x:v>46303.2474537037</x:v>
      </x:c>
      <x:c r="H1951" s="2" t="str">
        <x:v>R3S2</x:v>
      </x:c>
      <x:c r="I1951" s="9" t="n">
        <x:v>25.291000000000004</x:v>
      </x:c>
      <x:c r="J1951" s="9" t="n">
        <x:v>51.51</x:v>
      </x:c>
      <x:c r="K1951" s="2" t="n">
        <x:v>8</x:v>
      </x:c>
      <x:c r="L1951" s="2" t="str">
        <x:v>Valid</x:v>
      </x:c>
      <x:c r="M1951" s="2" t="str">
        <x:v>QR</x:v>
      </x:c>
      <x:c r="N1951" s="2" t="n">
        <x:v>1</x:v>
      </x:c>
      <x:c r="O1951" s="2" t="str">
        <x:v>Accepted</x:v>
      </x:c>
      <x:c r="P1951" s="2" t="str">
        <x:v>S003</x:v>
      </x:c>
      <x:c r="Q1951" s="2" t="str">
        <x:v>DEV003</x:v>
      </x:c>
      <x:c r="R1951" s="2" t="n">
        <x:v>12</x:v>
      </x:c>
      <x:c r="S1951" s="2" t="str">
        <x:v>Online</x:v>
      </x:c>
      <x:c r="T1951" s="2" t="str">
        <x:v>Synced</x:v>
      </x:c>
    </x:row>
    <x:row r="1952" ht="21" customHeight="1">
      <x:c r="A1952" s="2" t="str">
        <x:v>EV001929</x:v>
      </x:c>
      <x:c r="B1952" s="2" t="str">
        <x:v>T20261008-1-1</x:v>
      </x:c>
      <x:c r="C1952" s="2" t="str">
        <x:v>ST008</x:v>
      </x:c>
      <x:c r="D1952" s="2" t="str">
        <x:v>ac4baf5d317844907005c691f401c42d</x:v>
      </x:c>
      <x:c r="E1952" s="2" t="str">
        <x:v>CHECK_IN</x:v>
      </x:c>
      <x:c r="F1952" s="8" t="n">
        <x:v>46303.247465277775</x:v>
      </x:c>
      <x:c r="G1952" s="8" t="n">
        <x:v>46303.24748842592</x:v>
      </x:c>
      <x:c r="H1952" s="2" t="str">
        <x:v>R1S2</x:v>
      </x:c>
      <x:c r="I1952" s="9" t="n">
        <x:v>25.273000000000003</x:v>
      </x:c>
      <x:c r="J1952" s="9" t="n">
        <x:v>51.494</x:v>
      </x:c>
      <x:c r="K1952" s="2" t="n">
        <x:v>8</x:v>
      </x:c>
      <x:c r="L1952" s="2" t="str">
        <x:v>Valid</x:v>
      </x:c>
      <x:c r="M1952" s="2" t="str">
        <x:v>QR</x:v>
      </x:c>
      <x:c r="N1952" s="2" t="n">
        <x:v>1</x:v>
      </x:c>
      <x:c r="O1952" s="2" t="str">
        <x:v>Accepted</x:v>
      </x:c>
      <x:c r="P1952" s="2" t="str">
        <x:v>S001</x:v>
      </x:c>
      <x:c r="Q1952" s="2" t="str">
        <x:v>DEV001</x:v>
      </x:c>
      <x:c r="R1952" s="2" t="n">
        <x:v>13</x:v>
      </x:c>
      <x:c r="S1952" s="2" t="str">
        <x:v>Online</x:v>
      </x:c>
      <x:c r="T1952" s="2" t="str">
        <x:v>Synced</x:v>
      </x:c>
    </x:row>
    <x:row r="1953" ht="21" customHeight="1">
      <x:c r="A1953" s="2" t="str">
        <x:v>EV002089</x:v>
      </x:c>
      <x:c r="B1953" s="2" t="str">
        <x:v>T20261008-1-2</x:v>
      </x:c>
      <x:c r="C1953" s="2" t="str">
        <x:v>ST048</x:v>
      </x:c>
      <x:c r="D1953" s="2" t="str">
        <x:v>e3a3009a9bd3946e21f417e93203aa79</x:v>
      </x:c>
      <x:c r="E1953" s="2" t="str">
        <x:v>CHECK_IN</x:v>
      </x:c>
      <x:c r="F1953" s="8" t="n">
        <x:v>46303.247465277775</x:v>
      </x:c>
      <x:c r="G1953" s="8" t="n">
        <x:v>46303.24748842592</x:v>
      </x:c>
      <x:c r="H1953" s="2" t="str">
        <x:v>R2S2</x:v>
      </x:c>
      <x:c r="I1953" s="9" t="n">
        <x:v>25.282000000000004</x:v>
      </x:c>
      <x:c r="J1953" s="9" t="n">
        <x:v>51.501999999999995</x:v>
      </x:c>
      <x:c r="K1953" s="2" t="n">
        <x:v>8</x:v>
      </x:c>
      <x:c r="L1953" s="2" t="str">
        <x:v>Valid</x:v>
      </x:c>
      <x:c r="M1953" s="2" t="str">
        <x:v>QR</x:v>
      </x:c>
      <x:c r="N1953" s="2" t="n">
        <x:v>1</x:v>
      </x:c>
      <x:c r="O1953" s="2" t="str">
        <x:v>Accepted</x:v>
      </x:c>
      <x:c r="P1953" s="2" t="str">
        <x:v>S002</x:v>
      </x:c>
      <x:c r="Q1953" s="2" t="str">
        <x:v>DEV002</x:v>
      </x:c>
      <x:c r="R1953" s="2" t="n">
        <x:v>13</x:v>
      </x:c>
      <x:c r="S1953" s="2" t="str">
        <x:v>Online</x:v>
      </x:c>
      <x:c r="T1953" s="2" t="str">
        <x:v>Synced</x:v>
      </x:c>
    </x:row>
    <x:row r="1954" ht="21" customHeight="1">
      <x:c r="A1954" s="2" t="str">
        <x:v>EV002249</x:v>
      </x:c>
      <x:c r="B1954" s="2" t="str">
        <x:v>T20261008-1-3</x:v>
      </x:c>
      <x:c r="C1954" s="2" t="str">
        <x:v>ST088</x:v>
      </x:c>
      <x:c r="D1954" s="2" t="str">
        <x:v>b227769e0483e6c28eed8e8d448bfbbe</x:v>
      </x:c>
      <x:c r="E1954" s="2" t="str">
        <x:v>CHECK_IN</x:v>
      </x:c>
      <x:c r="F1954" s="8" t="n">
        <x:v>46303.247465277775</x:v>
      </x:c>
      <x:c r="G1954" s="8" t="n">
        <x:v>46303.24748842592</x:v>
      </x:c>
      <x:c r="H1954" s="2" t="str">
        <x:v>R3S2</x:v>
      </x:c>
      <x:c r="I1954" s="9" t="n">
        <x:v>25.291000000000004</x:v>
      </x:c>
      <x:c r="J1954" s="9" t="n">
        <x:v>51.51</x:v>
      </x:c>
      <x:c r="K1954" s="2" t="n">
        <x:v>8</x:v>
      </x:c>
      <x:c r="L1954" s="2" t="str">
        <x:v>Valid</x:v>
      </x:c>
      <x:c r="M1954" s="2" t="str">
        <x:v>QR</x:v>
      </x:c>
      <x:c r="N1954" s="2" t="n">
        <x:v>1</x:v>
      </x:c>
      <x:c r="O1954" s="2" t="str">
        <x:v>Accepted</x:v>
      </x:c>
      <x:c r="P1954" s="2" t="str">
        <x:v>S003</x:v>
      </x:c>
      <x:c r="Q1954" s="2" t="str">
        <x:v>DEV003</x:v>
      </x:c>
      <x:c r="R1954" s="2" t="n">
        <x:v>13</x:v>
      </x:c>
      <x:c r="S1954" s="2" t="str">
        <x:v>Online</x:v>
      </x:c>
      <x:c r="T1954" s="2" t="str">
        <x:v>Synced</x:v>
      </x:c>
    </x:row>
    <x:row r="1955" ht="21" customHeight="1">
      <x:c r="A1955" s="2" t="str">
        <x:v>EV001953</x:v>
      </x:c>
      <x:c r="B1955" s="2" t="str">
        <x:v>T20261008-1-1</x:v>
      </x:c>
      <x:c r="C1955" s="2" t="str">
        <x:v>ST020</x:v>
      </x:c>
      <x:c r="D1955" s="2" t="str">
        <x:v>9f8daa9030f9f7599cd24e056935ab8d</x:v>
      </x:c>
      <x:c r="E1955" s="2" t="str">
        <x:v>CHECK_IN</x:v>
      </x:c>
      <x:c r="F1955" s="8" t="n">
        <x:v>46303.24753472222</x:v>
      </x:c>
      <x:c r="G1955" s="8" t="n">
        <x:v>46303.24755787037</x:v>
      </x:c>
      <x:c r="H1955" s="2" t="str">
        <x:v>R1S2</x:v>
      </x:c>
      <x:c r="I1955" s="9" t="n">
        <x:v>25.273000000000003</x:v>
      </x:c>
      <x:c r="J1955" s="9" t="n">
        <x:v>51.494</x:v>
      </x:c>
      <x:c r="K1955" s="2" t="n">
        <x:v>8</x:v>
      </x:c>
      <x:c r="L1955" s="2" t="str">
        <x:v>Valid</x:v>
      </x:c>
      <x:c r="M1955" s="2" t="str">
        <x:v>QR</x:v>
      </x:c>
      <x:c r="N1955" s="2" t="n">
        <x:v>1</x:v>
      </x:c>
      <x:c r="O1955" s="2" t="str">
        <x:v>Accepted</x:v>
      </x:c>
      <x:c r="P1955" s="2" t="str">
        <x:v>S001</x:v>
      </x:c>
      <x:c r="Q1955" s="2" t="str">
        <x:v>DEV001</x:v>
      </x:c>
      <x:c r="R1955" s="2" t="n">
        <x:v>14</x:v>
      </x:c>
      <x:c r="S1955" s="2" t="str">
        <x:v>Online</x:v>
      </x:c>
      <x:c r="T1955" s="2" t="str">
        <x:v>Synced</x:v>
      </x:c>
    </x:row>
    <x:row r="1956" ht="21" customHeight="1">
      <x:c r="A1956" s="2" t="str">
        <x:v>EV002113</x:v>
      </x:c>
      <x:c r="B1956" s="2" t="str">
        <x:v>T20261008-1-2</x:v>
      </x:c>
      <x:c r="C1956" s="2" t="str">
        <x:v>ST060</x:v>
      </x:c>
      <x:c r="D1956" s="2" t="str">
        <x:v>a424ea3d9a5cb1c08037457e61cef61f</x:v>
      </x:c>
      <x:c r="E1956" s="2" t="str">
        <x:v>CHECK_IN</x:v>
      </x:c>
      <x:c r="F1956" s="8" t="n">
        <x:v>46303.24753472222</x:v>
      </x:c>
      <x:c r="G1956" s="8" t="n">
        <x:v>46303.24755787037</x:v>
      </x:c>
      <x:c r="H1956" s="2" t="str">
        <x:v>R2S2</x:v>
      </x:c>
      <x:c r="I1956" s="9" t="n">
        <x:v>25.282000000000004</x:v>
      </x:c>
      <x:c r="J1956" s="9" t="n">
        <x:v>51.501999999999995</x:v>
      </x:c>
      <x:c r="K1956" s="2" t="n">
        <x:v>8</x:v>
      </x:c>
      <x:c r="L1956" s="2" t="str">
        <x:v>Valid</x:v>
      </x:c>
      <x:c r="M1956" s="2" t="str">
        <x:v>QR</x:v>
      </x:c>
      <x:c r="N1956" s="2" t="n">
        <x:v>1</x:v>
      </x:c>
      <x:c r="O1956" s="2" t="str">
        <x:v>Accepted</x:v>
      </x:c>
      <x:c r="P1956" s="2" t="str">
        <x:v>S002</x:v>
      </x:c>
      <x:c r="Q1956" s="2" t="str">
        <x:v>DEV002</x:v>
      </x:c>
      <x:c r="R1956" s="2" t="n">
        <x:v>14</x:v>
      </x:c>
      <x:c r="S1956" s="2" t="str">
        <x:v>Online</x:v>
      </x:c>
      <x:c r="T1956" s="2" t="str">
        <x:v>Synced</x:v>
      </x:c>
    </x:row>
    <x:row r="1957" ht="21" customHeight="1">
      <x:c r="A1957" s="2" t="str">
        <x:v>EV002273</x:v>
      </x:c>
      <x:c r="B1957" s="2" t="str">
        <x:v>T20261008-1-3</x:v>
      </x:c>
      <x:c r="C1957" s="2" t="str">
        <x:v>ST100</x:v>
      </x:c>
      <x:c r="D1957" s="2" t="str">
        <x:v>6ba3ddf298bc4515d195454c1e81d9d6</x:v>
      </x:c>
      <x:c r="E1957" s="2" t="str">
        <x:v>CHECK_IN</x:v>
      </x:c>
      <x:c r="F1957" s="8" t="n">
        <x:v>46303.24753472222</x:v>
      </x:c>
      <x:c r="G1957" s="8" t="n">
        <x:v>46303.24755787037</x:v>
      </x:c>
      <x:c r="H1957" s="2" t="str">
        <x:v>R3S2</x:v>
      </x:c>
      <x:c r="I1957" s="9" t="n">
        <x:v>25.291000000000004</x:v>
      </x:c>
      <x:c r="J1957" s="9" t="n">
        <x:v>51.51</x:v>
      </x:c>
      <x:c r="K1957" s="2" t="n">
        <x:v>8</x:v>
      </x:c>
      <x:c r="L1957" s="2" t="str">
        <x:v>Valid</x:v>
      </x:c>
      <x:c r="M1957" s="2" t="str">
        <x:v>QR</x:v>
      </x:c>
      <x:c r="N1957" s="2" t="n">
        <x:v>1</x:v>
      </x:c>
      <x:c r="O1957" s="2" t="str">
        <x:v>Accepted</x:v>
      </x:c>
      <x:c r="P1957" s="2" t="str">
        <x:v>S003</x:v>
      </x:c>
      <x:c r="Q1957" s="2" t="str">
        <x:v>DEV003</x:v>
      </x:c>
      <x:c r="R1957" s="2" t="n">
        <x:v>14</x:v>
      </x:c>
      <x:c r="S1957" s="2" t="str">
        <x:v>Online</x:v>
      </x:c>
      <x:c r="T1957" s="2" t="str">
        <x:v>Synced</x:v>
      </x:c>
    </x:row>
    <x:row r="1958" ht="21" customHeight="1">
      <x:c r="A1958" s="2" t="str">
        <x:v>EV001937</x:v>
      </x:c>
      <x:c r="B1958" s="2" t="str">
        <x:v>T20261008-1-1</x:v>
      </x:c>
      <x:c r="C1958" s="2" t="str">
        <x:v>ST012</x:v>
      </x:c>
      <x:c r="D1958" s="2" t="str">
        <x:v>8d45a06a93234042b630e18d7821ea23</x:v>
      </x:c>
      <x:c r="E1958" s="2" t="str">
        <x:v>CHECK_IN</x:v>
      </x:c>
      <x:c r="F1958" s="8" t="n">
        <x:v>46303.252118055556</x:v>
      </x:c>
      <x:c r="G1958" s="8" t="n">
        <x:v>46303.2521412037</x:v>
      </x:c>
      <x:c r="H1958" s="2" t="str">
        <x:v>R1S3</x:v>
      </x:c>
      <x:c r="I1958" s="9" t="n">
        <x:v>25.275000000000002</x:v>
      </x:c>
      <x:c r="J1958" s="9" t="n">
        <x:v>51.497</x:v>
      </x:c>
      <x:c r="K1958" s="2" t="n">
        <x:v>8</x:v>
      </x:c>
      <x:c r="L1958" s="2" t="str">
        <x:v>Valid</x:v>
      </x:c>
      <x:c r="M1958" s="2" t="str">
        <x:v>QR</x:v>
      </x:c>
      <x:c r="N1958" s="2" t="n">
        <x:v>1</x:v>
      </x:c>
      <x:c r="O1958" s="2" t="str">
        <x:v>Accepted</x:v>
      </x:c>
      <x:c r="P1958" s="2" t="str">
        <x:v>S001</x:v>
      </x:c>
      <x:c r="Q1958" s="2" t="str">
        <x:v>DEV001</x:v>
      </x:c>
      <x:c r="R1958" s="2" t="n">
        <x:v>15</x:v>
      </x:c>
      <x:c r="S1958" s="2" t="str">
        <x:v>Online</x:v>
      </x:c>
      <x:c r="T1958" s="2" t="str">
        <x:v>Synced</x:v>
      </x:c>
    </x:row>
    <x:row r="1959" ht="21" customHeight="1">
      <x:c r="A1959" s="2" t="str">
        <x:v>EV002097</x:v>
      </x:c>
      <x:c r="B1959" s="2" t="str">
        <x:v>T20261008-1-2</x:v>
      </x:c>
      <x:c r="C1959" s="2" t="str">
        <x:v>ST052</x:v>
      </x:c>
      <x:c r="D1959" s="2" t="str">
        <x:v>0c1c5957fe0604ae228ff5e1e1a785bc</x:v>
      </x:c>
      <x:c r="E1959" s="2" t="str">
        <x:v>CHECK_IN</x:v>
      </x:c>
      <x:c r="F1959" s="8" t="n">
        <x:v>46303.252118055556</x:v>
      </x:c>
      <x:c r="G1959" s="8" t="n">
        <x:v>46303.2521412037</x:v>
      </x:c>
      <x:c r="H1959" s="2" t="str">
        <x:v>R2S3</x:v>
      </x:c>
      <x:c r="I1959" s="9" t="n">
        <x:v>25.284000000000002</x:v>
      </x:c>
      <x:c r="J1959" s="9" t="n">
        <x:v>51.504999999999995</x:v>
      </x:c>
      <x:c r="K1959" s="2" t="n">
        <x:v>8</x:v>
      </x:c>
      <x:c r="L1959" s="2" t="str">
        <x:v>Valid</x:v>
      </x:c>
      <x:c r="M1959" s="2" t="str">
        <x:v>QR</x:v>
      </x:c>
      <x:c r="N1959" s="2" t="n">
        <x:v>1</x:v>
      </x:c>
      <x:c r="O1959" s="2" t="str">
        <x:v>Accepted</x:v>
      </x:c>
      <x:c r="P1959" s="2" t="str">
        <x:v>S002</x:v>
      </x:c>
      <x:c r="Q1959" s="2" t="str">
        <x:v>DEV002</x:v>
      </x:c>
      <x:c r="R1959" s="2" t="n">
        <x:v>15</x:v>
      </x:c>
      <x:c r="S1959" s="2" t="str">
        <x:v>Online</x:v>
      </x:c>
      <x:c r="T1959" s="2" t="str">
        <x:v>Synced</x:v>
      </x:c>
    </x:row>
    <x:row r="1960" ht="21" customHeight="1">
      <x:c r="A1960" s="2" t="str">
        <x:v>EV002257</x:v>
      </x:c>
      <x:c r="B1960" s="2" t="str">
        <x:v>T20261008-1-3</x:v>
      </x:c>
      <x:c r="C1960" s="2" t="str">
        <x:v>ST092</x:v>
      </x:c>
      <x:c r="D1960" s="2" t="str">
        <x:v>e83e93b137787f284ae9574a02ff0cc7</x:v>
      </x:c>
      <x:c r="E1960" s="2" t="str">
        <x:v>CHECK_IN</x:v>
      </x:c>
      <x:c r="F1960" s="8" t="n">
        <x:v>46303.252118055556</x:v>
      </x:c>
      <x:c r="G1960" s="8" t="n">
        <x:v>46303.2521412037</x:v>
      </x:c>
      <x:c r="H1960" s="2" t="str">
        <x:v>R3S3</x:v>
      </x:c>
      <x:c r="I1960" s="9" t="n">
        <x:v>25.293000000000003</x:v>
      </x:c>
      <x:c r="J1960" s="9" t="n">
        <x:v>51.513</x:v>
      </x:c>
      <x:c r="K1960" s="2" t="n">
        <x:v>8</x:v>
      </x:c>
      <x:c r="L1960" s="2" t="str">
        <x:v>Valid</x:v>
      </x:c>
      <x:c r="M1960" s="2" t="str">
        <x:v>QR</x:v>
      </x:c>
      <x:c r="N1960" s="2" t="n">
        <x:v>1</x:v>
      </x:c>
      <x:c r="O1960" s="2" t="str">
        <x:v>Accepted</x:v>
      </x:c>
      <x:c r="P1960" s="2" t="str">
        <x:v>S003</x:v>
      </x:c>
      <x:c r="Q1960" s="2" t="str">
        <x:v>DEV003</x:v>
      </x:c>
      <x:c r="R1960" s="2" t="n">
        <x:v>15</x:v>
      </x:c>
      <x:c r="S1960" s="2" t="str">
        <x:v>Online</x:v>
      </x:c>
      <x:c r="T1960" s="2" t="str">
        <x:v>Synced</x:v>
      </x:c>
    </x:row>
    <x:row r="1961" ht="21" customHeight="1">
      <x:c r="A1961" s="2" t="str">
        <x:v>EV001919</x:v>
      </x:c>
      <x:c r="B1961" s="2" t="str">
        <x:v>T20261008-1-1</x:v>
      </x:c>
      <x:c r="C1961" s="2" t="str">
        <x:v>ST003</x:v>
      </x:c>
      <x:c r="D1961" s="2" t="str">
        <x:v>7598e98213cb52db1085c9a94fae1915</x:v>
      </x:c>
      <x:c r="E1961" s="2" t="str">
        <x:v>CHECK_IN</x:v>
      </x:c>
      <x:c r="F1961" s="8" t="n">
        <x:v>46303.25215277778</x:v>
      </x:c>
      <x:c r="G1961" s="8" t="n">
        <x:v>46303.252175925925</x:v>
      </x:c>
      <x:c r="H1961" s="2" t="str">
        <x:v>R1S3</x:v>
      </x:c>
      <x:c r="I1961" s="9" t="n">
        <x:v>25.275000000000002</x:v>
      </x:c>
      <x:c r="J1961" s="9" t="n">
        <x:v>51.497</x:v>
      </x:c>
      <x:c r="K1961" s="2" t="n">
        <x:v>8</x:v>
      </x:c>
      <x:c r="L1961" s="2" t="str">
        <x:v>Valid</x:v>
      </x:c>
      <x:c r="M1961" s="2" t="str">
        <x:v>QR</x:v>
      </x:c>
      <x:c r="N1961" s="2" t="n">
        <x:v>1</x:v>
      </x:c>
      <x:c r="O1961" s="2" t="str">
        <x:v>Accepted</x:v>
      </x:c>
      <x:c r="P1961" s="2" t="str">
        <x:v>S001</x:v>
      </x:c>
      <x:c r="Q1961" s="2" t="str">
        <x:v>DEV001</x:v>
      </x:c>
      <x:c r="R1961" s="2" t="n">
        <x:v>16</x:v>
      </x:c>
      <x:c r="S1961" s="2" t="str">
        <x:v>Online</x:v>
      </x:c>
      <x:c r="T1961" s="2" t="str">
        <x:v>Synced</x:v>
      </x:c>
    </x:row>
    <x:row r="1962" ht="21" customHeight="1">
      <x:c r="A1962" s="2" t="str">
        <x:v>EV002079</x:v>
      </x:c>
      <x:c r="B1962" s="2" t="str">
        <x:v>T20261008-1-2</x:v>
      </x:c>
      <x:c r="C1962" s="2" t="str">
        <x:v>ST043</x:v>
      </x:c>
      <x:c r="D1962" s="2" t="str">
        <x:v>db51093fe9dac44d59345ee12f7e9c56</x:v>
      </x:c>
      <x:c r="E1962" s="2" t="str">
        <x:v>CHECK_IN</x:v>
      </x:c>
      <x:c r="F1962" s="8" t="n">
        <x:v>46303.25215277778</x:v>
      </x:c>
      <x:c r="G1962" s="8" t="n">
        <x:v>46303.252175925925</x:v>
      </x:c>
      <x:c r="H1962" s="2" t="str">
        <x:v>R2S3</x:v>
      </x:c>
      <x:c r="I1962" s="9" t="n">
        <x:v>25.284000000000002</x:v>
      </x:c>
      <x:c r="J1962" s="9" t="n">
        <x:v>51.504999999999995</x:v>
      </x:c>
      <x:c r="K1962" s="2" t="n">
        <x:v>8</x:v>
      </x:c>
      <x:c r="L1962" s="2" t="str">
        <x:v>Valid</x:v>
      </x:c>
      <x:c r="M1962" s="2" t="str">
        <x:v>QR</x:v>
      </x:c>
      <x:c r="N1962" s="2" t="n">
        <x:v>1</x:v>
      </x:c>
      <x:c r="O1962" s="2" t="str">
        <x:v>Accepted</x:v>
      </x:c>
      <x:c r="P1962" s="2" t="str">
        <x:v>S002</x:v>
      </x:c>
      <x:c r="Q1962" s="2" t="str">
        <x:v>DEV002</x:v>
      </x:c>
      <x:c r="R1962" s="2" t="n">
        <x:v>16</x:v>
      </x:c>
      <x:c r="S1962" s="2" t="str">
        <x:v>Online</x:v>
      </x:c>
      <x:c r="T1962" s="2" t="str">
        <x:v>Synced</x:v>
      </x:c>
    </x:row>
    <x:row r="1963" ht="21" customHeight="1">
      <x:c r="A1963" s="2" t="str">
        <x:v>EV002239</x:v>
      </x:c>
      <x:c r="B1963" s="2" t="str">
        <x:v>T20261008-1-3</x:v>
      </x:c>
      <x:c r="C1963" s="2" t="str">
        <x:v>ST083</x:v>
      </x:c>
      <x:c r="D1963" s="2" t="str">
        <x:v>19cc474730ce4d97be031814010d13a9</x:v>
      </x:c>
      <x:c r="E1963" s="2" t="str">
        <x:v>CHECK_IN</x:v>
      </x:c>
      <x:c r="F1963" s="8" t="n">
        <x:v>46303.25215277778</x:v>
      </x:c>
      <x:c r="G1963" s="8" t="n">
        <x:v>46303.252175925925</x:v>
      </x:c>
      <x:c r="H1963" s="2" t="str">
        <x:v>R3S3</x:v>
      </x:c>
      <x:c r="I1963" s="9" t="n">
        <x:v>25.293000000000003</x:v>
      </x:c>
      <x:c r="J1963" s="9" t="n">
        <x:v>51.513</x:v>
      </x:c>
      <x:c r="K1963" s="2" t="n">
        <x:v>8</x:v>
      </x:c>
      <x:c r="L1963" s="2" t="str">
        <x:v>Valid</x:v>
      </x:c>
      <x:c r="M1963" s="2" t="str">
        <x:v>QR</x:v>
      </x:c>
      <x:c r="N1963" s="2" t="n">
        <x:v>1</x:v>
      </x:c>
      <x:c r="O1963" s="2" t="str">
        <x:v>Accepted</x:v>
      </x:c>
      <x:c r="P1963" s="2" t="str">
        <x:v>S003</x:v>
      </x:c>
      <x:c r="Q1963" s="2" t="str">
        <x:v>DEV003</x:v>
      </x:c>
      <x:c r="R1963" s="2" t="n">
        <x:v>16</x:v>
      </x:c>
      <x:c r="S1963" s="2" t="str">
        <x:v>Online</x:v>
      </x:c>
      <x:c r="T1963" s="2" t="str">
        <x:v>Synced</x:v>
      </x:c>
    </x:row>
    <x:row r="1964" ht="21" customHeight="1">
      <x:c r="A1964" s="2" t="str">
        <x:v>EV001943</x:v>
      </x:c>
      <x:c r="B1964" s="2" t="str">
        <x:v>T20261008-1-1</x:v>
      </x:c>
      <x:c r="C1964" s="2" t="str">
        <x:v>ST015</x:v>
      </x:c>
      <x:c r="D1964" s="2" t="str">
        <x:v>997c76227e9b12bdccc68d0d53a8d1df</x:v>
      </x:c>
      <x:c r="E1964" s="2" t="str">
        <x:v>CHECK_IN</x:v>
      </x:c>
      <x:c r="F1964" s="8" t="n">
        <x:v>46303.252222222225</x:v>
      </x:c>
      <x:c r="G1964" s="8" t="n">
        <x:v>46303.25224537037</x:v>
      </x:c>
      <x:c r="H1964" s="2" t="str">
        <x:v>R1S3</x:v>
      </x:c>
      <x:c r="I1964" s="9" t="n">
        <x:v>25.275000000000002</x:v>
      </x:c>
      <x:c r="J1964" s="9" t="n">
        <x:v>51.497</x:v>
      </x:c>
      <x:c r="K1964" s="2" t="n">
        <x:v>8</x:v>
      </x:c>
      <x:c r="L1964" s="2" t="str">
        <x:v>Valid</x:v>
      </x:c>
      <x:c r="M1964" s="2" t="str">
        <x:v>QR</x:v>
      </x:c>
      <x:c r="N1964" s="2" t="n">
        <x:v>1</x:v>
      </x:c>
      <x:c r="O1964" s="2" t="str">
        <x:v>Accepted</x:v>
      </x:c>
      <x:c r="P1964" s="2" t="str">
        <x:v>S001</x:v>
      </x:c>
      <x:c r="Q1964" s="2" t="str">
        <x:v>DEV001</x:v>
      </x:c>
      <x:c r="R1964" s="2" t="n">
        <x:v>17</x:v>
      </x:c>
      <x:c r="S1964" s="2" t="str">
        <x:v>Online</x:v>
      </x:c>
      <x:c r="T1964" s="2" t="str">
        <x:v>Synced</x:v>
      </x:c>
    </x:row>
    <x:row r="1965" ht="21" customHeight="1">
      <x:c r="A1965" s="2" t="str">
        <x:v>EV002103</x:v>
      </x:c>
      <x:c r="B1965" s="2" t="str">
        <x:v>T20261008-1-2</x:v>
      </x:c>
      <x:c r="C1965" s="2" t="str">
        <x:v>ST055</x:v>
      </x:c>
      <x:c r="D1965" s="2" t="str">
        <x:v>e796258b9306e2b3efab77a21add36a5</x:v>
      </x:c>
      <x:c r="E1965" s="2" t="str">
        <x:v>CHECK_IN</x:v>
      </x:c>
      <x:c r="F1965" s="8" t="n">
        <x:v>46303.252222222225</x:v>
      </x:c>
      <x:c r="G1965" s="8" t="n">
        <x:v>46303.25224537037</x:v>
      </x:c>
      <x:c r="H1965" s="2" t="str">
        <x:v>R2S3</x:v>
      </x:c>
      <x:c r="I1965" s="9" t="n">
        <x:v>25.284000000000002</x:v>
      </x:c>
      <x:c r="J1965" s="9" t="n">
        <x:v>51.504999999999995</x:v>
      </x:c>
      <x:c r="K1965" s="2" t="n">
        <x:v>8</x:v>
      </x:c>
      <x:c r="L1965" s="2" t="str">
        <x:v>Valid</x:v>
      </x:c>
      <x:c r="M1965" s="2" t="str">
        <x:v>QR</x:v>
      </x:c>
      <x:c r="N1965" s="2" t="n">
        <x:v>1</x:v>
      </x:c>
      <x:c r="O1965" s="2" t="str">
        <x:v>Accepted</x:v>
      </x:c>
      <x:c r="P1965" s="2" t="str">
        <x:v>S002</x:v>
      </x:c>
      <x:c r="Q1965" s="2" t="str">
        <x:v>DEV002</x:v>
      </x:c>
      <x:c r="R1965" s="2" t="n">
        <x:v>17</x:v>
      </x:c>
      <x:c r="S1965" s="2" t="str">
        <x:v>Online</x:v>
      </x:c>
      <x:c r="T1965" s="2" t="str">
        <x:v>Synced</x:v>
      </x:c>
    </x:row>
    <x:row r="1966" ht="21" customHeight="1">
      <x:c r="A1966" s="2" t="str">
        <x:v>EV002263</x:v>
      </x:c>
      <x:c r="B1966" s="2" t="str">
        <x:v>T20261008-1-3</x:v>
      </x:c>
      <x:c r="C1966" s="2" t="str">
        <x:v>ST095</x:v>
      </x:c>
      <x:c r="D1966" s="2" t="str">
        <x:v>0935ee2c52872353d5a355eed1202dbe</x:v>
      </x:c>
      <x:c r="E1966" s="2" t="str">
        <x:v>CHECK_IN</x:v>
      </x:c>
      <x:c r="F1966" s="8" t="n">
        <x:v>46303.252222222225</x:v>
      </x:c>
      <x:c r="G1966" s="8" t="n">
        <x:v>46303.25224537037</x:v>
      </x:c>
      <x:c r="H1966" s="2" t="str">
        <x:v>R3S3</x:v>
      </x:c>
      <x:c r="I1966" s="9" t="n">
        <x:v>25.293000000000003</x:v>
      </x:c>
      <x:c r="J1966" s="9" t="n">
        <x:v>51.513</x:v>
      </x:c>
      <x:c r="K1966" s="2" t="n">
        <x:v>8</x:v>
      </x:c>
      <x:c r="L1966" s="2" t="str">
        <x:v>Valid</x:v>
      </x:c>
      <x:c r="M1966" s="2" t="str">
        <x:v>QR</x:v>
      </x:c>
      <x:c r="N1966" s="2" t="n">
        <x:v>1</x:v>
      </x:c>
      <x:c r="O1966" s="2" t="str">
        <x:v>Accepted</x:v>
      </x:c>
      <x:c r="P1966" s="2" t="str">
        <x:v>S003</x:v>
      </x:c>
      <x:c r="Q1966" s="2" t="str">
        <x:v>DEV003</x:v>
      </x:c>
      <x:c r="R1966" s="2" t="n">
        <x:v>17</x:v>
      </x:c>
      <x:c r="S1966" s="2" t="str">
        <x:v>Online</x:v>
      </x:c>
      <x:c r="T1966" s="2" t="str">
        <x:v>Synced</x:v>
      </x:c>
    </x:row>
    <x:row r="1967" ht="21" customHeight="1">
      <x:c r="A1967" s="2" t="str">
        <x:v>EV001925</x:v>
      </x:c>
      <x:c r="B1967" s="2" t="str">
        <x:v>T20261008-1-1</x:v>
      </x:c>
      <x:c r="C1967" s="2" t="str">
        <x:v>ST006</x:v>
      </x:c>
      <x:c r="D1967" s="2" t="str">
        <x:v>8edd7f2c984bf2eb5adf75591d6f1e9c</x:v>
      </x:c>
      <x:c r="E1967" s="2" t="str">
        <x:v>CHECK_IN</x:v>
      </x:c>
      <x:c r="F1967" s="8" t="n">
        <x:v>46303.25225694444</x:v>
      </x:c>
      <x:c r="G1967" s="8" t="n">
        <x:v>46303.25228009259</x:v>
      </x:c>
      <x:c r="H1967" s="2" t="str">
        <x:v>R1S3</x:v>
      </x:c>
      <x:c r="I1967" s="9" t="n">
        <x:v>25.275000000000002</x:v>
      </x:c>
      <x:c r="J1967" s="9" t="n">
        <x:v>51.497</x:v>
      </x:c>
      <x:c r="K1967" s="2" t="n">
        <x:v>8</x:v>
      </x:c>
      <x:c r="L1967" s="2" t="str">
        <x:v>Valid</x:v>
      </x:c>
      <x:c r="M1967" s="2" t="str">
        <x:v>QR</x:v>
      </x:c>
      <x:c r="N1967" s="2" t="n">
        <x:v>1</x:v>
      </x:c>
      <x:c r="O1967" s="2" t="str">
        <x:v>Accepted</x:v>
      </x:c>
      <x:c r="P1967" s="2" t="str">
        <x:v>S001</x:v>
      </x:c>
      <x:c r="Q1967" s="2" t="str">
        <x:v>DEV001</x:v>
      </x:c>
      <x:c r="R1967" s="2" t="n">
        <x:v>18</x:v>
      </x:c>
      <x:c r="S1967" s="2" t="str">
        <x:v>Online</x:v>
      </x:c>
      <x:c r="T1967" s="2" t="str">
        <x:v>Synced</x:v>
      </x:c>
    </x:row>
    <x:row r="1968" ht="21" customHeight="1">
      <x:c r="A1968" s="2" t="str">
        <x:v>EV002085</x:v>
      </x:c>
      <x:c r="B1968" s="2" t="str">
        <x:v>T20261008-1-2</x:v>
      </x:c>
      <x:c r="C1968" s="2" t="str">
        <x:v>ST046</x:v>
      </x:c>
      <x:c r="D1968" s="2" t="str">
        <x:v>82365992d443d056f10fa7522ac29057</x:v>
      </x:c>
      <x:c r="E1968" s="2" t="str">
        <x:v>CHECK_IN</x:v>
      </x:c>
      <x:c r="F1968" s="8" t="n">
        <x:v>46303.25225694444</x:v>
      </x:c>
      <x:c r="G1968" s="8" t="n">
        <x:v>46303.25228009259</x:v>
      </x:c>
      <x:c r="H1968" s="2" t="str">
        <x:v>R2S3</x:v>
      </x:c>
      <x:c r="I1968" s="9" t="n">
        <x:v>25.284000000000002</x:v>
      </x:c>
      <x:c r="J1968" s="9" t="n">
        <x:v>51.504999999999995</x:v>
      </x:c>
      <x:c r="K1968" s="2" t="n">
        <x:v>8</x:v>
      </x:c>
      <x:c r="L1968" s="2" t="str">
        <x:v>Valid</x:v>
      </x:c>
      <x:c r="M1968" s="2" t="str">
        <x:v>QR</x:v>
      </x:c>
      <x:c r="N1968" s="2" t="n">
        <x:v>1</x:v>
      </x:c>
      <x:c r="O1968" s="2" t="str">
        <x:v>Accepted</x:v>
      </x:c>
      <x:c r="P1968" s="2" t="str">
        <x:v>S002</x:v>
      </x:c>
      <x:c r="Q1968" s="2" t="str">
        <x:v>DEV002</x:v>
      </x:c>
      <x:c r="R1968" s="2" t="n">
        <x:v>18</x:v>
      </x:c>
      <x:c r="S1968" s="2" t="str">
        <x:v>Online</x:v>
      </x:c>
      <x:c r="T1968" s="2" t="str">
        <x:v>Synced</x:v>
      </x:c>
    </x:row>
    <x:row r="1969" ht="21" customHeight="1">
      <x:c r="A1969" s="2" t="str">
        <x:v>EV002245</x:v>
      </x:c>
      <x:c r="B1969" s="2" t="str">
        <x:v>T20261008-1-3</x:v>
      </x:c>
      <x:c r="C1969" s="2" t="str">
        <x:v>ST086</x:v>
      </x:c>
      <x:c r="D1969" s="2" t="str">
        <x:v>33c5dfd0f17fcbe34d50fd9b0a0c0e5b</x:v>
      </x:c>
      <x:c r="E1969" s="2" t="str">
        <x:v>CHECK_IN</x:v>
      </x:c>
      <x:c r="F1969" s="8" t="n">
        <x:v>46303.25225694444</x:v>
      </x:c>
      <x:c r="G1969" s="8" t="n">
        <x:v>46303.25228009259</x:v>
      </x:c>
      <x:c r="H1969" s="2" t="str">
        <x:v>R3S3</x:v>
      </x:c>
      <x:c r="I1969" s="9" t="n">
        <x:v>25.293000000000003</x:v>
      </x:c>
      <x:c r="J1969" s="9" t="n">
        <x:v>51.513</x:v>
      </x:c>
      <x:c r="K1969" s="2" t="n">
        <x:v>8</x:v>
      </x:c>
      <x:c r="L1969" s="2" t="str">
        <x:v>Valid</x:v>
      </x:c>
      <x:c r="M1969" s="2" t="str">
        <x:v>QR</x:v>
      </x:c>
      <x:c r="N1969" s="2" t="n">
        <x:v>1</x:v>
      </x:c>
      <x:c r="O1969" s="2" t="str">
        <x:v>Accepted</x:v>
      </x:c>
      <x:c r="P1969" s="2" t="str">
        <x:v>S003</x:v>
      </x:c>
      <x:c r="Q1969" s="2" t="str">
        <x:v>DEV003</x:v>
      </x:c>
      <x:c r="R1969" s="2" t="n">
        <x:v>18</x:v>
      </x:c>
      <x:c r="S1969" s="2" t="str">
        <x:v>Online</x:v>
      </x:c>
      <x:c r="T1969" s="2" t="str">
        <x:v>Synced</x:v>
      </x:c>
    </x:row>
    <x:row r="1970" ht="21" customHeight="1">
      <x:c r="A1970" s="2" t="str">
        <x:v>EV001949</x:v>
      </x:c>
      <x:c r="B1970" s="2" t="str">
        <x:v>T20261008-1-1</x:v>
      </x:c>
      <x:c r="C1970" s="2" t="str">
        <x:v>ST018</x:v>
      </x:c>
      <x:c r="D1970" s="2" t="str">
        <x:v>4c1b40081ed5c7c21b8392ee528dbe54</x:v>
      </x:c>
      <x:c r="E1970" s="2" t="str">
        <x:v>CHECK_IN</x:v>
      </x:c>
      <x:c r="F1970" s="8" t="n">
        <x:v>46303.25232638889</x:v>
      </x:c>
      <x:c r="G1970" s="8" t="n">
        <x:v>46303.25234953703</x:v>
      </x:c>
      <x:c r="H1970" s="2" t="str">
        <x:v>R1S3</x:v>
      </x:c>
      <x:c r="I1970" s="9" t="n">
        <x:v>25.275000000000002</x:v>
      </x:c>
      <x:c r="J1970" s="9" t="n">
        <x:v>51.497</x:v>
      </x:c>
      <x:c r="K1970" s="2" t="n">
        <x:v>8</x:v>
      </x:c>
      <x:c r="L1970" s="2" t="str">
        <x:v>Valid</x:v>
      </x:c>
      <x:c r="M1970" s="2" t="str">
        <x:v>QR</x:v>
      </x:c>
      <x:c r="N1970" s="2" t="n">
        <x:v>1</x:v>
      </x:c>
      <x:c r="O1970" s="2" t="str">
        <x:v>Accepted</x:v>
      </x:c>
      <x:c r="P1970" s="2" t="str">
        <x:v>S001</x:v>
      </x:c>
      <x:c r="Q1970" s="2" t="str">
        <x:v>DEV001</x:v>
      </x:c>
      <x:c r="R1970" s="2" t="n">
        <x:v>19</x:v>
      </x:c>
      <x:c r="S1970" s="2" t="str">
        <x:v>Online</x:v>
      </x:c>
      <x:c r="T1970" s="2" t="str">
        <x:v>Synced</x:v>
      </x:c>
    </x:row>
    <x:row r="1971" ht="21" customHeight="1">
      <x:c r="A1971" s="2" t="str">
        <x:v>EV002109</x:v>
      </x:c>
      <x:c r="B1971" s="2" t="str">
        <x:v>T20261008-1-2</x:v>
      </x:c>
      <x:c r="C1971" s="2" t="str">
        <x:v>ST058</x:v>
      </x:c>
      <x:c r="D1971" s="2" t="str">
        <x:v>ebf7e65b57e2c8bcd02f90b1d5692596</x:v>
      </x:c>
      <x:c r="E1971" s="2" t="str">
        <x:v>CHECK_IN</x:v>
      </x:c>
      <x:c r="F1971" s="8" t="n">
        <x:v>46303.25232638889</x:v>
      </x:c>
      <x:c r="G1971" s="8" t="n">
        <x:v>46303.25234953703</x:v>
      </x:c>
      <x:c r="H1971" s="2" t="str">
        <x:v>R2S3</x:v>
      </x:c>
      <x:c r="I1971" s="9" t="n">
        <x:v>25.284000000000002</x:v>
      </x:c>
      <x:c r="J1971" s="9" t="n">
        <x:v>51.504999999999995</x:v>
      </x:c>
      <x:c r="K1971" s="2" t="n">
        <x:v>8</x:v>
      </x:c>
      <x:c r="L1971" s="2" t="str">
        <x:v>Valid</x:v>
      </x:c>
      <x:c r="M1971" s="2" t="str">
        <x:v>QR</x:v>
      </x:c>
      <x:c r="N1971" s="2" t="n">
        <x:v>1</x:v>
      </x:c>
      <x:c r="O1971" s="2" t="str">
        <x:v>Accepted</x:v>
      </x:c>
      <x:c r="P1971" s="2" t="str">
        <x:v>S002</x:v>
      </x:c>
      <x:c r="Q1971" s="2" t="str">
        <x:v>DEV002</x:v>
      </x:c>
      <x:c r="R1971" s="2" t="n">
        <x:v>19</x:v>
      </x:c>
      <x:c r="S1971" s="2" t="str">
        <x:v>Online</x:v>
      </x:c>
      <x:c r="T1971" s="2" t="str">
        <x:v>Synced</x:v>
      </x:c>
    </x:row>
    <x:row r="1972" ht="21" customHeight="1">
      <x:c r="A1972" s="2" t="str">
        <x:v>EV002269</x:v>
      </x:c>
      <x:c r="B1972" s="2" t="str">
        <x:v>T20261008-1-3</x:v>
      </x:c>
      <x:c r="C1972" s="2" t="str">
        <x:v>ST098</x:v>
      </x:c>
      <x:c r="D1972" s="2" t="str">
        <x:v>4b453acdeca94f98f11a429464f7bff7</x:v>
      </x:c>
      <x:c r="E1972" s="2" t="str">
        <x:v>CHECK_IN</x:v>
      </x:c>
      <x:c r="F1972" s="8" t="n">
        <x:v>46303.25232638889</x:v>
      </x:c>
      <x:c r="G1972" s="8" t="n">
        <x:v>46303.25234953703</x:v>
      </x:c>
      <x:c r="H1972" s="2" t="str">
        <x:v>R3S3</x:v>
      </x:c>
      <x:c r="I1972" s="9" t="n">
        <x:v>25.293000000000003</x:v>
      </x:c>
      <x:c r="J1972" s="9" t="n">
        <x:v>51.513</x:v>
      </x:c>
      <x:c r="K1972" s="2" t="n">
        <x:v>8</x:v>
      </x:c>
      <x:c r="L1972" s="2" t="str">
        <x:v>Valid</x:v>
      </x:c>
      <x:c r="M1972" s="2" t="str">
        <x:v>QR</x:v>
      </x:c>
      <x:c r="N1972" s="2" t="n">
        <x:v>1</x:v>
      </x:c>
      <x:c r="O1972" s="2" t="str">
        <x:v>Accepted</x:v>
      </x:c>
      <x:c r="P1972" s="2" t="str">
        <x:v>S003</x:v>
      </x:c>
      <x:c r="Q1972" s="2" t="str">
        <x:v>DEV003</x:v>
      </x:c>
      <x:c r="R1972" s="2" t="n">
        <x:v>19</x:v>
      </x:c>
      <x:c r="S1972" s="2" t="str">
        <x:v>Online</x:v>
      </x:c>
      <x:c r="T1972" s="2" t="str">
        <x:v>Synced</x:v>
      </x:c>
    </x:row>
    <x:row r="1973" ht="21" customHeight="1">
      <x:c r="A1973" s="2" t="str">
        <x:v>EV001931</x:v>
      </x:c>
      <x:c r="B1973" s="2" t="str">
        <x:v>T20261008-1-1</x:v>
      </x:c>
      <x:c r="C1973" s="2" t="str">
        <x:v>ST009</x:v>
      </x:c>
      <x:c r="D1973" s="2" t="str">
        <x:v>fdc849f07f4ba12ab82f6bed87d7275d</x:v>
      </x:c>
      <x:c r="E1973" s="2" t="str">
        <x:v>CHECK_IN</x:v>
      </x:c>
      <x:c r="F1973" s="8" t="n">
        <x:v>46303.25236111111</x:v>
      </x:c>
      <x:c r="G1973" s="8" t="n">
        <x:v>46303.252384259256</x:v>
      </x:c>
      <x:c r="H1973" s="2" t="str">
        <x:v>R1S3</x:v>
      </x:c>
      <x:c r="I1973" s="9" t="n">
        <x:v>25.275000000000002</x:v>
      </x:c>
      <x:c r="J1973" s="9" t="n">
        <x:v>51.497</x:v>
      </x:c>
      <x:c r="K1973" s="2" t="n">
        <x:v>8</x:v>
      </x:c>
      <x:c r="L1973" s="2" t="str">
        <x:v>Valid</x:v>
      </x:c>
      <x:c r="M1973" s="2" t="str">
        <x:v>QR</x:v>
      </x:c>
      <x:c r="N1973" s="2" t="n">
        <x:v>1</x:v>
      </x:c>
      <x:c r="O1973" s="2" t="str">
        <x:v>Accepted</x:v>
      </x:c>
      <x:c r="P1973" s="2" t="str">
        <x:v>S001</x:v>
      </x:c>
      <x:c r="Q1973" s="2" t="str">
        <x:v>DEV001</x:v>
      </x:c>
      <x:c r="R1973" s="2" t="n">
        <x:v>20</x:v>
      </x:c>
      <x:c r="S1973" s="2" t="str">
        <x:v>Online</x:v>
      </x:c>
      <x:c r="T1973" s="2" t="str">
        <x:v>Synced</x:v>
      </x:c>
    </x:row>
    <x:row r="1974" ht="21" customHeight="1">
      <x:c r="A1974" s="2" t="str">
        <x:v>EV002091</x:v>
      </x:c>
      <x:c r="B1974" s="2" t="str">
        <x:v>T20261008-1-2</x:v>
      </x:c>
      <x:c r="C1974" s="2" t="str">
        <x:v>ST049</x:v>
      </x:c>
      <x:c r="D1974" s="2" t="str">
        <x:v>aac0da9ca028b4b4fe1fc2c1eb298502</x:v>
      </x:c>
      <x:c r="E1974" s="2" t="str">
        <x:v>CHECK_IN</x:v>
      </x:c>
      <x:c r="F1974" s="8" t="n">
        <x:v>46303.25236111111</x:v>
      </x:c>
      <x:c r="G1974" s="8" t="n">
        <x:v>46303.252384259256</x:v>
      </x:c>
      <x:c r="H1974" s="2" t="str">
        <x:v>R2S3</x:v>
      </x:c>
      <x:c r="I1974" s="9" t="n">
        <x:v>25.284000000000002</x:v>
      </x:c>
      <x:c r="J1974" s="9" t="n">
        <x:v>51.504999999999995</x:v>
      </x:c>
      <x:c r="K1974" s="2" t="n">
        <x:v>8</x:v>
      </x:c>
      <x:c r="L1974" s="2" t="str">
        <x:v>Valid</x:v>
      </x:c>
      <x:c r="M1974" s="2" t="str">
        <x:v>QR</x:v>
      </x:c>
      <x:c r="N1974" s="2" t="n">
        <x:v>1</x:v>
      </x:c>
      <x:c r="O1974" s="2" t="str">
        <x:v>Accepted</x:v>
      </x:c>
      <x:c r="P1974" s="2" t="str">
        <x:v>S002</x:v>
      </x:c>
      <x:c r="Q1974" s="2" t="str">
        <x:v>DEV002</x:v>
      </x:c>
      <x:c r="R1974" s="2" t="n">
        <x:v>20</x:v>
      </x:c>
      <x:c r="S1974" s="2" t="str">
        <x:v>Online</x:v>
      </x:c>
      <x:c r="T1974" s="2" t="str">
        <x:v>Synced</x:v>
      </x:c>
    </x:row>
    <x:row r="1975" ht="21" customHeight="1">
      <x:c r="A1975" s="2" t="str">
        <x:v>EV002251</x:v>
      </x:c>
      <x:c r="B1975" s="2" t="str">
        <x:v>T20261008-1-3</x:v>
      </x:c>
      <x:c r="C1975" s="2" t="str">
        <x:v>ST089</x:v>
      </x:c>
      <x:c r="D1975" s="2" t="str">
        <x:v>0bd697ec3f7c09918d8dd004b5340b03</x:v>
      </x:c>
      <x:c r="E1975" s="2" t="str">
        <x:v>CHECK_IN</x:v>
      </x:c>
      <x:c r="F1975" s="8" t="n">
        <x:v>46303.25236111111</x:v>
      </x:c>
      <x:c r="G1975" s="8" t="n">
        <x:v>46303.252384259256</x:v>
      </x:c>
      <x:c r="H1975" s="2" t="str">
        <x:v>R3S3</x:v>
      </x:c>
      <x:c r="I1975" s="9" t="n">
        <x:v>25.293000000000003</x:v>
      </x:c>
      <x:c r="J1975" s="9" t="n">
        <x:v>51.513</x:v>
      </x:c>
      <x:c r="K1975" s="2" t="n">
        <x:v>8</x:v>
      </x:c>
      <x:c r="L1975" s="2" t="str">
        <x:v>Valid</x:v>
      </x:c>
      <x:c r="M1975" s="2" t="str">
        <x:v>QR</x:v>
      </x:c>
      <x:c r="N1975" s="2" t="n">
        <x:v>1</x:v>
      </x:c>
      <x:c r="O1975" s="2" t="str">
        <x:v>Accepted</x:v>
      </x:c>
      <x:c r="P1975" s="2" t="str">
        <x:v>S003</x:v>
      </x:c>
      <x:c r="Q1975" s="2" t="str">
        <x:v>DEV003</x:v>
      </x:c>
      <x:c r="R1975" s="2" t="n">
        <x:v>20</x:v>
      </x:c>
      <x:c r="S1975" s="2" t="str">
        <x:v>Online</x:v>
      </x:c>
      <x:c r="T1975" s="2" t="str">
        <x:v>Synced</x:v>
      </x:c>
    </x:row>
    <x:row r="1976" ht="21" customHeight="1">
      <x:c r="A1976" s="2" t="str">
        <x:v>EV001916</x:v>
      </x:c>
      <x:c r="B1976" s="2" t="str">
        <x:v>T20261008-1-1</x:v>
      </x:c>
      <x:c r="C1976" s="2" t="str">
        <x:v>ST001</x:v>
      </x:c>
      <x:c r="D1976" s="2" t="str">
        <x:v>c33d277e346360e93548e66cbf71eda4</x:v>
      </x:c>
      <x:c r="E1976" s="2" t="str">
        <x:v>CHECK_OUT</x:v>
      </x:c>
      <x:c r="F1976" s="8" t="n">
        <x:v>46303.27638888889</x:v>
      </x:c>
      <x:c r="G1976" s="8" t="n">
        <x:v>46303.276412037034</x:v>
      </x:c>
      <x:c r="H1976" s="2" t="str">
        <x:v>SCH01</x:v>
      </x:c>
      <x:c r="I1976" s="9" t="n">
        <x:v>25.285</x:v>
      </x:c>
      <x:c r="J1976" s="9" t="n">
        <x:v>51.51</x:v>
      </x:c>
      <x:c r="K1976" s="2" t="n">
        <x:v>8</x:v>
      </x:c>
      <x:c r="L1976" s="2" t="str">
        <x:v>Valid</x:v>
      </x:c>
      <x:c r="M1976" s="2" t="str">
        <x:v>QR</x:v>
      </x:c>
      <x:c r="N1976" s="2" t="n">
        <x:v>1</x:v>
      </x:c>
      <x:c r="O1976" s="2" t="str">
        <x:v>Accepted</x:v>
      </x:c>
      <x:c r="P1976" s="2" t="str">
        <x:v>S001</x:v>
      </x:c>
      <x:c r="Q1976" s="2" t="str">
        <x:v>DEV001</x:v>
      </x:c>
      <x:c r="R1976" s="2" t="n">
        <x:v>21</x:v>
      </x:c>
      <x:c r="S1976" s="2" t="str">
        <x:v>Online</x:v>
      </x:c>
      <x:c r="T1976" s="2" t="str">
        <x:v>Synced</x:v>
      </x:c>
    </x:row>
    <x:row r="1977" ht="21" customHeight="1">
      <x:c r="A1977" s="2" t="str">
        <x:v>EV002076</x:v>
      </x:c>
      <x:c r="B1977" s="2" t="str">
        <x:v>T20261008-1-2</x:v>
      </x:c>
      <x:c r="C1977" s="2" t="str">
        <x:v>ST041</x:v>
      </x:c>
      <x:c r="D1977" s="2" t="str">
        <x:v>78597cf805a87b7619460b6ed67f501f</x:v>
      </x:c>
      <x:c r="E1977" s="2" t="str">
        <x:v>CHECK_OUT</x:v>
      </x:c>
      <x:c r="F1977" s="8" t="n">
        <x:v>46303.27638888889</x:v>
      </x:c>
      <x:c r="G1977" s="8" t="n">
        <x:v>46303.276412037034</x:v>
      </x:c>
      <x:c r="H1977" s="2" t="str">
        <x:v>SCH01</x:v>
      </x:c>
      <x:c r="I1977" s="9" t="n">
        <x:v>25.285</x:v>
      </x:c>
      <x:c r="J1977" s="9" t="n">
        <x:v>51.51</x:v>
      </x:c>
      <x:c r="K1977" s="2" t="n">
        <x:v>8</x:v>
      </x:c>
      <x:c r="L1977" s="2" t="str">
        <x:v>Valid</x:v>
      </x:c>
      <x:c r="M1977" s="2" t="str">
        <x:v>QR</x:v>
      </x:c>
      <x:c r="N1977" s="2" t="n">
        <x:v>1</x:v>
      </x:c>
      <x:c r="O1977" s="2" t="str">
        <x:v>Accepted</x:v>
      </x:c>
      <x:c r="P1977" s="2" t="str">
        <x:v>S002</x:v>
      </x:c>
      <x:c r="Q1977" s="2" t="str">
        <x:v>DEV002</x:v>
      </x:c>
      <x:c r="R1977" s="2" t="n">
        <x:v>21</x:v>
      </x:c>
      <x:c r="S1977" s="2" t="str">
        <x:v>Online</x:v>
      </x:c>
      <x:c r="T1977" s="2" t="str">
        <x:v>Synced</x:v>
      </x:c>
    </x:row>
    <x:row r="1978" ht="21" customHeight="1">
      <x:c r="A1978" s="2" t="str">
        <x:v>EV002236</x:v>
      </x:c>
      <x:c r="B1978" s="2" t="str">
        <x:v>T20261008-1-3</x:v>
      </x:c>
      <x:c r="C1978" s="2" t="str">
        <x:v>ST081</x:v>
      </x:c>
      <x:c r="D1978" s="2" t="str">
        <x:v>8631b63b10b36bffa6456d354db9c08f</x:v>
      </x:c>
      <x:c r="E1978" s="2" t="str">
        <x:v>CHECK_OUT</x:v>
      </x:c>
      <x:c r="F1978" s="8" t="n">
        <x:v>46303.27638888889</x:v>
      </x:c>
      <x:c r="G1978" s="8" t="n">
        <x:v>46303.276412037034</x:v>
      </x:c>
      <x:c r="H1978" s="2" t="str">
        <x:v>SCH01</x:v>
      </x:c>
      <x:c r="I1978" s="9" t="n">
        <x:v>25.285</x:v>
      </x:c>
      <x:c r="J1978" s="9" t="n">
        <x:v>51.51</x:v>
      </x:c>
      <x:c r="K1978" s="2" t="n">
        <x:v>8</x:v>
      </x:c>
      <x:c r="L1978" s="2" t="str">
        <x:v>Valid</x:v>
      </x:c>
      <x:c r="M1978" s="2" t="str">
        <x:v>QR</x:v>
      </x:c>
      <x:c r="N1978" s="2" t="n">
        <x:v>1</x:v>
      </x:c>
      <x:c r="O1978" s="2" t="str">
        <x:v>Accepted</x:v>
      </x:c>
      <x:c r="P1978" s="2" t="str">
        <x:v>S003</x:v>
      </x:c>
      <x:c r="Q1978" s="2" t="str">
        <x:v>DEV003</x:v>
      </x:c>
      <x:c r="R1978" s="2" t="n">
        <x:v>21</x:v>
      </x:c>
      <x:c r="S1978" s="2" t="str">
        <x:v>Online</x:v>
      </x:c>
      <x:c r="T1978" s="2" t="str">
        <x:v>Synced</x:v>
      </x:c>
    </x:row>
    <x:row r="1979" ht="21" customHeight="1">
      <x:c r="A1979" s="2" t="str">
        <x:v>EV001918</x:v>
      </x:c>
      <x:c r="B1979" s="2" t="str">
        <x:v>T20261008-1-1</x:v>
      </x:c>
      <x:c r="C1979" s="2" t="str">
        <x:v>ST002</x:v>
      </x:c>
      <x:c r="D1979" s="2" t="str">
        <x:v>c9302a76d79e524442f3775978bb57a1</x:v>
      </x:c>
      <x:c r="E1979" s="2" t="str">
        <x:v>CHECK_OUT</x:v>
      </x:c>
      <x:c r="F1979" s="8" t="n">
        <x:v>46303.27642361111</x:v>
      </x:c>
      <x:c r="G1979" s="8" t="n">
        <x:v>46303.27644675926</x:v>
      </x:c>
      <x:c r="H1979" s="2" t="str">
        <x:v>SCH01</x:v>
      </x:c>
      <x:c r="I1979" s="9" t="n">
        <x:v>25.285</x:v>
      </x:c>
      <x:c r="J1979" s="9" t="n">
        <x:v>51.51</x:v>
      </x:c>
      <x:c r="K1979" s="2" t="n">
        <x:v>8</x:v>
      </x:c>
      <x:c r="L1979" s="2" t="str">
        <x:v>Valid</x:v>
      </x:c>
      <x:c r="M1979" s="2" t="str">
        <x:v>QR</x:v>
      </x:c>
      <x:c r="N1979" s="2" t="n">
        <x:v>1</x:v>
      </x:c>
      <x:c r="O1979" s="2" t="str">
        <x:v>Accepted</x:v>
      </x:c>
      <x:c r="P1979" s="2" t="str">
        <x:v>S001</x:v>
      </x:c>
      <x:c r="Q1979" s="2" t="str">
        <x:v>DEV001</x:v>
      </x:c>
      <x:c r="R1979" s="2" t="n">
        <x:v>22</x:v>
      </x:c>
      <x:c r="S1979" s="2" t="str">
        <x:v>Online</x:v>
      </x:c>
      <x:c r="T1979" s="2" t="str">
        <x:v>Synced</x:v>
      </x:c>
    </x:row>
    <x:row r="1980" ht="21" customHeight="1">
      <x:c r="A1980" s="2" t="str">
        <x:v>EV002078</x:v>
      </x:c>
      <x:c r="B1980" s="2" t="str">
        <x:v>T20261008-1-2</x:v>
      </x:c>
      <x:c r="C1980" s="2" t="str">
        <x:v>ST042</x:v>
      </x:c>
      <x:c r="D1980" s="2" t="str">
        <x:v>9cf3254a8e8c8233e36089501cd1bc60</x:v>
      </x:c>
      <x:c r="E1980" s="2" t="str">
        <x:v>CHECK_OUT</x:v>
      </x:c>
      <x:c r="F1980" s="8" t="n">
        <x:v>46303.27642361111</x:v>
      </x:c>
      <x:c r="G1980" s="8" t="n">
        <x:v>46303.27644675926</x:v>
      </x:c>
      <x:c r="H1980" s="2" t="str">
        <x:v>SCH01</x:v>
      </x:c>
      <x:c r="I1980" s="9" t="n">
        <x:v>25.285</x:v>
      </x:c>
      <x:c r="J1980" s="9" t="n">
        <x:v>51.51</x:v>
      </x:c>
      <x:c r="K1980" s="2" t="n">
        <x:v>8</x:v>
      </x:c>
      <x:c r="L1980" s="2" t="str">
        <x:v>Valid</x:v>
      </x:c>
      <x:c r="M1980" s="2" t="str">
        <x:v>QR</x:v>
      </x:c>
      <x:c r="N1980" s="2" t="n">
        <x:v>1</x:v>
      </x:c>
      <x:c r="O1980" s="2" t="str">
        <x:v>Accepted</x:v>
      </x:c>
      <x:c r="P1980" s="2" t="str">
        <x:v>S002</x:v>
      </x:c>
      <x:c r="Q1980" s="2" t="str">
        <x:v>DEV002</x:v>
      </x:c>
      <x:c r="R1980" s="2" t="n">
        <x:v>22</x:v>
      </x:c>
      <x:c r="S1980" s="2" t="str">
        <x:v>Online</x:v>
      </x:c>
      <x:c r="T1980" s="2" t="str">
        <x:v>Synced</x:v>
      </x:c>
    </x:row>
    <x:row r="1981" ht="21" customHeight="1">
      <x:c r="A1981" s="2" t="str">
        <x:v>EV002238</x:v>
      </x:c>
      <x:c r="B1981" s="2" t="str">
        <x:v>T20261008-1-3</x:v>
      </x:c>
      <x:c r="C1981" s="2" t="str">
        <x:v>ST082</x:v>
      </x:c>
      <x:c r="D1981" s="2" t="str">
        <x:v>fb7e28e2da3ace738571a6966bcaaec0</x:v>
      </x:c>
      <x:c r="E1981" s="2" t="str">
        <x:v>CHECK_OUT</x:v>
      </x:c>
      <x:c r="F1981" s="8" t="n">
        <x:v>46303.27642361111</x:v>
      </x:c>
      <x:c r="G1981" s="8" t="n">
        <x:v>46303.27644675926</x:v>
      </x:c>
      <x:c r="H1981" s="2" t="str">
        <x:v>SCH01</x:v>
      </x:c>
      <x:c r="I1981" s="9" t="n">
        <x:v>25.285</x:v>
      </x:c>
      <x:c r="J1981" s="9" t="n">
        <x:v>51.51</x:v>
      </x:c>
      <x:c r="K1981" s="2" t="n">
        <x:v>8</x:v>
      </x:c>
      <x:c r="L1981" s="2" t="str">
        <x:v>Valid</x:v>
      </x:c>
      <x:c r="M1981" s="2" t="str">
        <x:v>QR</x:v>
      </x:c>
      <x:c r="N1981" s="2" t="n">
        <x:v>1</x:v>
      </x:c>
      <x:c r="O1981" s="2" t="str">
        <x:v>Accepted</x:v>
      </x:c>
      <x:c r="P1981" s="2" t="str">
        <x:v>S003</x:v>
      </x:c>
      <x:c r="Q1981" s="2" t="str">
        <x:v>DEV003</x:v>
      </x:c>
      <x:c r="R1981" s="2" t="n">
        <x:v>22</x:v>
      </x:c>
      <x:c r="S1981" s="2" t="str">
        <x:v>Online</x:v>
      </x:c>
      <x:c r="T1981" s="2" t="str">
        <x:v>Synced</x:v>
      </x:c>
    </x:row>
    <x:row r="1982" ht="21" customHeight="1">
      <x:c r="A1982" s="2" t="str">
        <x:v>EV001920</x:v>
      </x:c>
      <x:c r="B1982" s="2" t="str">
        <x:v>T20261008-1-1</x:v>
      </x:c>
      <x:c r="C1982" s="2" t="str">
        <x:v>ST003</x:v>
      </x:c>
      <x:c r="D1982" s="2" t="str">
        <x:v>7598e98213cb52db1085c9a94fae1915</x:v>
      </x:c>
      <x:c r="E1982" s="2" t="str">
        <x:v>CHECK_OUT</x:v>
      </x:c>
      <x:c r="F1982" s="8" t="n">
        <x:v>46303.276458333334</x:v>
      </x:c>
      <x:c r="G1982" s="8" t="n">
        <x:v>46303.27648148148</x:v>
      </x:c>
      <x:c r="H1982" s="2" t="str">
        <x:v>SCH01</x:v>
      </x:c>
      <x:c r="I1982" s="9" t="n">
        <x:v>25.285</x:v>
      </x:c>
      <x:c r="J1982" s="9" t="n">
        <x:v>51.51</x:v>
      </x:c>
      <x:c r="K1982" s="2" t="n">
        <x:v>8</x:v>
      </x:c>
      <x:c r="L1982" s="2" t="str">
        <x:v>Valid</x:v>
      </x:c>
      <x:c r="M1982" s="2" t="str">
        <x:v>QR</x:v>
      </x:c>
      <x:c r="N1982" s="2" t="n">
        <x:v>1</x:v>
      </x:c>
      <x:c r="O1982" s="2" t="str">
        <x:v>Accepted</x:v>
      </x:c>
      <x:c r="P1982" s="2" t="str">
        <x:v>S001</x:v>
      </x:c>
      <x:c r="Q1982" s="2" t="str">
        <x:v>DEV001</x:v>
      </x:c>
      <x:c r="R1982" s="2" t="n">
        <x:v>23</x:v>
      </x:c>
      <x:c r="S1982" s="2" t="str">
        <x:v>Online</x:v>
      </x:c>
      <x:c r="T1982" s="2" t="str">
        <x:v>Synced</x:v>
      </x:c>
    </x:row>
    <x:row r="1983" ht="21" customHeight="1">
      <x:c r="A1983" s="2" t="str">
        <x:v>EV002080</x:v>
      </x:c>
      <x:c r="B1983" s="2" t="str">
        <x:v>T20261008-1-2</x:v>
      </x:c>
      <x:c r="C1983" s="2" t="str">
        <x:v>ST043</x:v>
      </x:c>
      <x:c r="D1983" s="2" t="str">
        <x:v>db51093fe9dac44d59345ee12f7e9c56</x:v>
      </x:c>
      <x:c r="E1983" s="2" t="str">
        <x:v>CHECK_OUT</x:v>
      </x:c>
      <x:c r="F1983" s="8" t="n">
        <x:v>46303.276458333334</x:v>
      </x:c>
      <x:c r="G1983" s="8" t="n">
        <x:v>46303.27648148148</x:v>
      </x:c>
      <x:c r="H1983" s="2" t="str">
        <x:v>SCH01</x:v>
      </x:c>
      <x:c r="I1983" s="9" t="n">
        <x:v>25.285</x:v>
      </x:c>
      <x:c r="J1983" s="9" t="n">
        <x:v>51.51</x:v>
      </x:c>
      <x:c r="K1983" s="2" t="n">
        <x:v>8</x:v>
      </x:c>
      <x:c r="L1983" s="2" t="str">
        <x:v>Valid</x:v>
      </x:c>
      <x:c r="M1983" s="2" t="str">
        <x:v>QR</x:v>
      </x:c>
      <x:c r="N1983" s="2" t="n">
        <x:v>1</x:v>
      </x:c>
      <x:c r="O1983" s="2" t="str">
        <x:v>Accepted</x:v>
      </x:c>
      <x:c r="P1983" s="2" t="str">
        <x:v>S002</x:v>
      </x:c>
      <x:c r="Q1983" s="2" t="str">
        <x:v>DEV002</x:v>
      </x:c>
      <x:c r="R1983" s="2" t="n">
        <x:v>23</x:v>
      </x:c>
      <x:c r="S1983" s="2" t="str">
        <x:v>Online</x:v>
      </x:c>
      <x:c r="T1983" s="2" t="str">
        <x:v>Synced</x:v>
      </x:c>
    </x:row>
    <x:row r="1984" ht="21" customHeight="1">
      <x:c r="A1984" s="2" t="str">
        <x:v>EV002240</x:v>
      </x:c>
      <x:c r="B1984" s="2" t="str">
        <x:v>T20261008-1-3</x:v>
      </x:c>
      <x:c r="C1984" s="2" t="str">
        <x:v>ST083</x:v>
      </x:c>
      <x:c r="D1984" s="2" t="str">
        <x:v>19cc474730ce4d97be031814010d13a9</x:v>
      </x:c>
      <x:c r="E1984" s="2" t="str">
        <x:v>CHECK_OUT</x:v>
      </x:c>
      <x:c r="F1984" s="8" t="n">
        <x:v>46303.276458333334</x:v>
      </x:c>
      <x:c r="G1984" s="8" t="n">
        <x:v>46303.27648148148</x:v>
      </x:c>
      <x:c r="H1984" s="2" t="str">
        <x:v>SCH01</x:v>
      </x:c>
      <x:c r="I1984" s="9" t="n">
        <x:v>25.285</x:v>
      </x:c>
      <x:c r="J1984" s="9" t="n">
        <x:v>51.51</x:v>
      </x:c>
      <x:c r="K1984" s="2" t="n">
        <x:v>8</x:v>
      </x:c>
      <x:c r="L1984" s="2" t="str">
        <x:v>Valid</x:v>
      </x:c>
      <x:c r="M1984" s="2" t="str">
        <x:v>QR</x:v>
      </x:c>
      <x:c r="N1984" s="2" t="n">
        <x:v>1</x:v>
      </x:c>
      <x:c r="O1984" s="2" t="str">
        <x:v>Accepted</x:v>
      </x:c>
      <x:c r="P1984" s="2" t="str">
        <x:v>S003</x:v>
      </x:c>
      <x:c r="Q1984" s="2" t="str">
        <x:v>DEV003</x:v>
      </x:c>
      <x:c r="R1984" s="2" t="n">
        <x:v>23</x:v>
      </x:c>
      <x:c r="S1984" s="2" t="str">
        <x:v>Online</x:v>
      </x:c>
      <x:c r="T1984" s="2" t="str">
        <x:v>Synced</x:v>
      </x:c>
    </x:row>
    <x:row r="1985" ht="21" customHeight="1">
      <x:c r="A1985" s="2" t="str">
        <x:v>EV001922</x:v>
      </x:c>
      <x:c r="B1985" s="2" t="str">
        <x:v>T20261008-1-1</x:v>
      </x:c>
      <x:c r="C1985" s="2" t="str">
        <x:v>ST004</x:v>
      </x:c>
      <x:c r="D1985" s="2" t="str">
        <x:v>7dee56e67101a0dd8483e1503eba9a72</x:v>
      </x:c>
      <x:c r="E1985" s="2" t="str">
        <x:v>CHECK_OUT</x:v>
      </x:c>
      <x:c r="F1985" s="8" t="n">
        <x:v>46303.27649305556</x:v>
      </x:c>
      <x:c r="G1985" s="8" t="n">
        <x:v>46303.2765162037</x:v>
      </x:c>
      <x:c r="H1985" s="2" t="str">
        <x:v>SCH01</x:v>
      </x:c>
      <x:c r="I1985" s="9" t="n">
        <x:v>25.285</x:v>
      </x:c>
      <x:c r="J1985" s="9" t="n">
        <x:v>51.51</x:v>
      </x:c>
      <x:c r="K1985" s="2" t="n">
        <x:v>8</x:v>
      </x:c>
      <x:c r="L1985" s="2" t="str">
        <x:v>Valid</x:v>
      </x:c>
      <x:c r="M1985" s="2" t="str">
        <x:v>QR</x:v>
      </x:c>
      <x:c r="N1985" s="2" t="n">
        <x:v>1</x:v>
      </x:c>
      <x:c r="O1985" s="2" t="str">
        <x:v>Accepted</x:v>
      </x:c>
      <x:c r="P1985" s="2" t="str">
        <x:v>S001</x:v>
      </x:c>
      <x:c r="Q1985" s="2" t="str">
        <x:v>DEV001</x:v>
      </x:c>
      <x:c r="R1985" s="2" t="n">
        <x:v>24</x:v>
      </x:c>
      <x:c r="S1985" s="2" t="str">
        <x:v>Online</x:v>
      </x:c>
      <x:c r="T1985" s="2" t="str">
        <x:v>Synced</x:v>
      </x:c>
    </x:row>
    <x:row r="1986" ht="21" customHeight="1">
      <x:c r="A1986" s="2" t="str">
        <x:v>EV002082</x:v>
      </x:c>
      <x:c r="B1986" s="2" t="str">
        <x:v>T20261008-1-2</x:v>
      </x:c>
      <x:c r="C1986" s="2" t="str">
        <x:v>ST044</x:v>
      </x:c>
      <x:c r="D1986" s="2" t="str">
        <x:v>638b036dff08260bc8976402fb10157a</x:v>
      </x:c>
      <x:c r="E1986" s="2" t="str">
        <x:v>CHECK_OUT</x:v>
      </x:c>
      <x:c r="F1986" s="8" t="n">
        <x:v>46303.27649305556</x:v>
      </x:c>
      <x:c r="G1986" s="8" t="n">
        <x:v>46303.2765162037</x:v>
      </x:c>
      <x:c r="H1986" s="2" t="str">
        <x:v>SCH01</x:v>
      </x:c>
      <x:c r="I1986" s="9" t="n">
        <x:v>25.285</x:v>
      </x:c>
      <x:c r="J1986" s="9" t="n">
        <x:v>51.51</x:v>
      </x:c>
      <x:c r="K1986" s="2" t="n">
        <x:v>8</x:v>
      </x:c>
      <x:c r="L1986" s="2" t="str">
        <x:v>Valid</x:v>
      </x:c>
      <x:c r="M1986" s="2" t="str">
        <x:v>QR</x:v>
      </x:c>
      <x:c r="N1986" s="2" t="n">
        <x:v>1</x:v>
      </x:c>
      <x:c r="O1986" s="2" t="str">
        <x:v>Accepted</x:v>
      </x:c>
      <x:c r="P1986" s="2" t="str">
        <x:v>S002</x:v>
      </x:c>
      <x:c r="Q1986" s="2" t="str">
        <x:v>DEV002</x:v>
      </x:c>
      <x:c r="R1986" s="2" t="n">
        <x:v>24</x:v>
      </x:c>
      <x:c r="S1986" s="2" t="str">
        <x:v>Online</x:v>
      </x:c>
      <x:c r="T1986" s="2" t="str">
        <x:v>Synced</x:v>
      </x:c>
    </x:row>
    <x:row r="1987" ht="21" customHeight="1">
      <x:c r="A1987" s="2" t="str">
        <x:v>EV002242</x:v>
      </x:c>
      <x:c r="B1987" s="2" t="str">
        <x:v>T20261008-1-3</x:v>
      </x:c>
      <x:c r="C1987" s="2" t="str">
        <x:v>ST084</x:v>
      </x:c>
      <x:c r="D1987" s="2" t="str">
        <x:v>2f6163b722feb8421b83fd278ee72e5c</x:v>
      </x:c>
      <x:c r="E1987" s="2" t="str">
        <x:v>CHECK_OUT</x:v>
      </x:c>
      <x:c r="F1987" s="8" t="n">
        <x:v>46303.27649305556</x:v>
      </x:c>
      <x:c r="G1987" s="8" t="n">
        <x:v>46303.2765162037</x:v>
      </x:c>
      <x:c r="H1987" s="2" t="str">
        <x:v>SCH01</x:v>
      </x:c>
      <x:c r="I1987" s="9" t="n">
        <x:v>25.285</x:v>
      </x:c>
      <x:c r="J1987" s="9" t="n">
        <x:v>51.51</x:v>
      </x:c>
      <x:c r="K1987" s="2" t="n">
        <x:v>8</x:v>
      </x:c>
      <x:c r="L1987" s="2" t="str">
        <x:v>Valid</x:v>
      </x:c>
      <x:c r="M1987" s="2" t="str">
        <x:v>QR</x:v>
      </x:c>
      <x:c r="N1987" s="2" t="n">
        <x:v>1</x:v>
      </x:c>
      <x:c r="O1987" s="2" t="str">
        <x:v>Accepted</x:v>
      </x:c>
      <x:c r="P1987" s="2" t="str">
        <x:v>S003</x:v>
      </x:c>
      <x:c r="Q1987" s="2" t="str">
        <x:v>DEV003</x:v>
      </x:c>
      <x:c r="R1987" s="2" t="n">
        <x:v>24</x:v>
      </x:c>
      <x:c r="S1987" s="2" t="str">
        <x:v>Online</x:v>
      </x:c>
      <x:c r="T1987" s="2" t="str">
        <x:v>Synced</x:v>
      </x:c>
    </x:row>
    <x:row r="1988" ht="21" customHeight="1">
      <x:c r="A1988" s="2" t="str">
        <x:v>EV001924</x:v>
      </x:c>
      <x:c r="B1988" s="2" t="str">
        <x:v>T20261008-1-1</x:v>
      </x:c>
      <x:c r="C1988" s="2" t="str">
        <x:v>ST005</x:v>
      </x:c>
      <x:c r="D1988" s="2" t="str">
        <x:v>426727a8a0b9d51694a399a005c786cf</x:v>
      </x:c>
      <x:c r="E1988" s="2" t="str">
        <x:v>CHECK_OUT</x:v>
      </x:c>
      <x:c r="F1988" s="8" t="n">
        <x:v>46303.27652777778</x:v>
      </x:c>
      <x:c r="G1988" s="8" t="n">
        <x:v>46303.276550925926</x:v>
      </x:c>
      <x:c r="H1988" s="2" t="str">
        <x:v>SCH01</x:v>
      </x:c>
      <x:c r="I1988" s="9" t="n">
        <x:v>25.285</x:v>
      </x:c>
      <x:c r="J1988" s="9" t="n">
        <x:v>51.51</x:v>
      </x:c>
      <x:c r="K1988" s="2" t="n">
        <x:v>8</x:v>
      </x:c>
      <x:c r="L1988" s="2" t="str">
        <x:v>Valid</x:v>
      </x:c>
      <x:c r="M1988" s="2" t="str">
        <x:v>QR</x:v>
      </x:c>
      <x:c r="N1988" s="2" t="n">
        <x:v>1</x:v>
      </x:c>
      <x:c r="O1988" s="2" t="str">
        <x:v>Accepted</x:v>
      </x:c>
      <x:c r="P1988" s="2" t="str">
        <x:v>S001</x:v>
      </x:c>
      <x:c r="Q1988" s="2" t="str">
        <x:v>DEV001</x:v>
      </x:c>
      <x:c r="R1988" s="2" t="n">
        <x:v>25</x:v>
      </x:c>
      <x:c r="S1988" s="2" t="str">
        <x:v>Online</x:v>
      </x:c>
      <x:c r="T1988" s="2" t="str">
        <x:v>Synced</x:v>
      </x:c>
    </x:row>
    <x:row r="1989" ht="21" customHeight="1">
      <x:c r="A1989" s="2" t="str">
        <x:v>EV002084</x:v>
      </x:c>
      <x:c r="B1989" s="2" t="str">
        <x:v>T20261008-1-2</x:v>
      </x:c>
      <x:c r="C1989" s="2" t="str">
        <x:v>ST045</x:v>
      </x:c>
      <x:c r="D1989" s="2" t="str">
        <x:v>10d8df8a06a7c869bcaa1adbc88c05bc</x:v>
      </x:c>
      <x:c r="E1989" s="2" t="str">
        <x:v>CHECK_OUT</x:v>
      </x:c>
      <x:c r="F1989" s="8" t="n">
        <x:v>46303.27652777778</x:v>
      </x:c>
      <x:c r="G1989" s="8" t="n">
        <x:v>46303.276550925926</x:v>
      </x:c>
      <x:c r="H1989" s="2" t="str">
        <x:v>SCH01</x:v>
      </x:c>
      <x:c r="I1989" s="9" t="n">
        <x:v>25.285</x:v>
      </x:c>
      <x:c r="J1989" s="9" t="n">
        <x:v>51.51</x:v>
      </x:c>
      <x:c r="K1989" s="2" t="n">
        <x:v>8</x:v>
      </x:c>
      <x:c r="L1989" s="2" t="str">
        <x:v>Valid</x:v>
      </x:c>
      <x:c r="M1989" s="2" t="str">
        <x:v>QR</x:v>
      </x:c>
      <x:c r="N1989" s="2" t="n">
        <x:v>1</x:v>
      </x:c>
      <x:c r="O1989" s="2" t="str">
        <x:v>Accepted</x:v>
      </x:c>
      <x:c r="P1989" s="2" t="str">
        <x:v>S002</x:v>
      </x:c>
      <x:c r="Q1989" s="2" t="str">
        <x:v>DEV002</x:v>
      </x:c>
      <x:c r="R1989" s="2" t="n">
        <x:v>25</x:v>
      </x:c>
      <x:c r="S1989" s="2" t="str">
        <x:v>Online</x:v>
      </x:c>
      <x:c r="T1989" s="2" t="str">
        <x:v>Synced</x:v>
      </x:c>
    </x:row>
    <x:row r="1990" ht="21" customHeight="1">
      <x:c r="A1990" s="2" t="str">
        <x:v>EV002244</x:v>
      </x:c>
      <x:c r="B1990" s="2" t="str">
        <x:v>T20261008-1-3</x:v>
      </x:c>
      <x:c r="C1990" s="2" t="str">
        <x:v>ST085</x:v>
      </x:c>
      <x:c r="D1990" s="2" t="str">
        <x:v>80babdd572dde222a75b7ad8f0fe7ffa</x:v>
      </x:c>
      <x:c r="E1990" s="2" t="str">
        <x:v>CHECK_OUT</x:v>
      </x:c>
      <x:c r="F1990" s="8" t="n">
        <x:v>46303.27652777778</x:v>
      </x:c>
      <x:c r="G1990" s="8" t="n">
        <x:v>46303.276550925926</x:v>
      </x:c>
      <x:c r="H1990" s="2" t="str">
        <x:v>SCH01</x:v>
      </x:c>
      <x:c r="I1990" s="9" t="n">
        <x:v>25.285</x:v>
      </x:c>
      <x:c r="J1990" s="9" t="n">
        <x:v>51.51</x:v>
      </x:c>
      <x:c r="K1990" s="2" t="n">
        <x:v>8</x:v>
      </x:c>
      <x:c r="L1990" s="2" t="str">
        <x:v>Valid</x:v>
      </x:c>
      <x:c r="M1990" s="2" t="str">
        <x:v>QR</x:v>
      </x:c>
      <x:c r="N1990" s="2" t="n">
        <x:v>1</x:v>
      </x:c>
      <x:c r="O1990" s="2" t="str">
        <x:v>Accepted</x:v>
      </x:c>
      <x:c r="P1990" s="2" t="str">
        <x:v>S003</x:v>
      </x:c>
      <x:c r="Q1990" s="2" t="str">
        <x:v>DEV003</x:v>
      </x:c>
      <x:c r="R1990" s="2" t="n">
        <x:v>25</x:v>
      </x:c>
      <x:c r="S1990" s="2" t="str">
        <x:v>Online</x:v>
      </x:c>
      <x:c r="T1990" s="2" t="str">
        <x:v>Synced</x:v>
      </x:c>
    </x:row>
    <x:row r="1991" ht="21" customHeight="1">
      <x:c r="A1991" s="2" t="str">
        <x:v>EV001926</x:v>
      </x:c>
      <x:c r="B1991" s="2" t="str">
        <x:v>T20261008-1-1</x:v>
      </x:c>
      <x:c r="C1991" s="2" t="str">
        <x:v>ST006</x:v>
      </x:c>
      <x:c r="D1991" s="2" t="str">
        <x:v>8edd7f2c984bf2eb5adf75591d6f1e9c</x:v>
      </x:c>
      <x:c r="E1991" s="2" t="str">
        <x:v>CHECK_OUT</x:v>
      </x:c>
      <x:c r="F1991" s="8" t="n">
        <x:v>46303.276562499996</x:v>
      </x:c>
      <x:c r="G1991" s="8" t="n">
        <x:v>46303.27658564814</x:v>
      </x:c>
      <x:c r="H1991" s="2" t="str">
        <x:v>SCH01</x:v>
      </x:c>
      <x:c r="I1991" s="9" t="n">
        <x:v>25.285</x:v>
      </x:c>
      <x:c r="J1991" s="9" t="n">
        <x:v>51.51</x:v>
      </x:c>
      <x:c r="K1991" s="2" t="n">
        <x:v>8</x:v>
      </x:c>
      <x:c r="L1991" s="2" t="str">
        <x:v>Valid</x:v>
      </x:c>
      <x:c r="M1991" s="2" t="str">
        <x:v>QR</x:v>
      </x:c>
      <x:c r="N1991" s="2" t="n">
        <x:v>1</x:v>
      </x:c>
      <x:c r="O1991" s="2" t="str">
        <x:v>Accepted</x:v>
      </x:c>
      <x:c r="P1991" s="2" t="str">
        <x:v>S001</x:v>
      </x:c>
      <x:c r="Q1991" s="2" t="str">
        <x:v>DEV001</x:v>
      </x:c>
      <x:c r="R1991" s="2" t="n">
        <x:v>26</x:v>
      </x:c>
      <x:c r="S1991" s="2" t="str">
        <x:v>Online</x:v>
      </x:c>
      <x:c r="T1991" s="2" t="str">
        <x:v>Synced</x:v>
      </x:c>
    </x:row>
    <x:row r="1992" ht="21" customHeight="1">
      <x:c r="A1992" s="2" t="str">
        <x:v>EV002086</x:v>
      </x:c>
      <x:c r="B1992" s="2" t="str">
        <x:v>T20261008-1-2</x:v>
      </x:c>
      <x:c r="C1992" s="2" t="str">
        <x:v>ST046</x:v>
      </x:c>
      <x:c r="D1992" s="2" t="str">
        <x:v>82365992d443d056f10fa7522ac29057</x:v>
      </x:c>
      <x:c r="E1992" s="2" t="str">
        <x:v>CHECK_OUT</x:v>
      </x:c>
      <x:c r="F1992" s="8" t="n">
        <x:v>46303.276562499996</x:v>
      </x:c>
      <x:c r="G1992" s="8" t="n">
        <x:v>46303.27658564814</x:v>
      </x:c>
      <x:c r="H1992" s="2" t="str">
        <x:v>SCH01</x:v>
      </x:c>
      <x:c r="I1992" s="9" t="n">
        <x:v>25.285</x:v>
      </x:c>
      <x:c r="J1992" s="9" t="n">
        <x:v>51.51</x:v>
      </x:c>
      <x:c r="K1992" s="2" t="n">
        <x:v>8</x:v>
      </x:c>
      <x:c r="L1992" s="2" t="str">
        <x:v>Valid</x:v>
      </x:c>
      <x:c r="M1992" s="2" t="str">
        <x:v>QR</x:v>
      </x:c>
      <x:c r="N1992" s="2" t="n">
        <x:v>1</x:v>
      </x:c>
      <x:c r="O1992" s="2" t="str">
        <x:v>Accepted</x:v>
      </x:c>
      <x:c r="P1992" s="2" t="str">
        <x:v>S002</x:v>
      </x:c>
      <x:c r="Q1992" s="2" t="str">
        <x:v>DEV002</x:v>
      </x:c>
      <x:c r="R1992" s="2" t="n">
        <x:v>26</x:v>
      </x:c>
      <x:c r="S1992" s="2" t="str">
        <x:v>Online</x:v>
      </x:c>
      <x:c r="T1992" s="2" t="str">
        <x:v>Synced</x:v>
      </x:c>
    </x:row>
    <x:row r="1993" ht="21" customHeight="1">
      <x:c r="A1993" s="2" t="str">
        <x:v>EV002246</x:v>
      </x:c>
      <x:c r="B1993" s="2" t="str">
        <x:v>T20261008-1-3</x:v>
      </x:c>
      <x:c r="C1993" s="2" t="str">
        <x:v>ST086</x:v>
      </x:c>
      <x:c r="D1993" s="2" t="str">
        <x:v>33c5dfd0f17fcbe34d50fd9b0a0c0e5b</x:v>
      </x:c>
      <x:c r="E1993" s="2" t="str">
        <x:v>CHECK_OUT</x:v>
      </x:c>
      <x:c r="F1993" s="8" t="n">
        <x:v>46303.276562499996</x:v>
      </x:c>
      <x:c r="G1993" s="8" t="n">
        <x:v>46303.27658564814</x:v>
      </x:c>
      <x:c r="H1993" s="2" t="str">
        <x:v>SCH01</x:v>
      </x:c>
      <x:c r="I1993" s="9" t="n">
        <x:v>25.285</x:v>
      </x:c>
      <x:c r="J1993" s="9" t="n">
        <x:v>51.51</x:v>
      </x:c>
      <x:c r="K1993" s="2" t="n">
        <x:v>8</x:v>
      </x:c>
      <x:c r="L1993" s="2" t="str">
        <x:v>Valid</x:v>
      </x:c>
      <x:c r="M1993" s="2" t="str">
        <x:v>QR</x:v>
      </x:c>
      <x:c r="N1993" s="2" t="n">
        <x:v>1</x:v>
      </x:c>
      <x:c r="O1993" s="2" t="str">
        <x:v>Accepted</x:v>
      </x:c>
      <x:c r="P1993" s="2" t="str">
        <x:v>S003</x:v>
      </x:c>
      <x:c r="Q1993" s="2" t="str">
        <x:v>DEV003</x:v>
      </x:c>
      <x:c r="R1993" s="2" t="n">
        <x:v>26</x:v>
      </x:c>
      <x:c r="S1993" s="2" t="str">
        <x:v>Online</x:v>
      </x:c>
      <x:c r="T1993" s="2" t="str">
        <x:v>Synced</x:v>
      </x:c>
    </x:row>
    <x:row r="1994" ht="21" customHeight="1">
      <x:c r="A1994" s="2" t="str">
        <x:v>EV001928</x:v>
      </x:c>
      <x:c r="B1994" s="2" t="str">
        <x:v>T20261008-1-1</x:v>
      </x:c>
      <x:c r="C1994" s="2" t="str">
        <x:v>ST007</x:v>
      </x:c>
      <x:c r="D1994" s="2" t="str">
        <x:v>2376173ab02a96d9b58d44caf4008dfd</x:v>
      </x:c>
      <x:c r="E1994" s="2" t="str">
        <x:v>CHECK_OUT</x:v>
      </x:c>
      <x:c r="F1994" s="8" t="n">
        <x:v>46303.27659722222</x:v>
      </x:c>
      <x:c r="G1994" s="8" t="n">
        <x:v>46303.276620370365</x:v>
      </x:c>
      <x:c r="H1994" s="2" t="str">
        <x:v>SCH01</x:v>
      </x:c>
      <x:c r="I1994" s="9" t="n">
        <x:v>25.285</x:v>
      </x:c>
      <x:c r="J1994" s="9" t="n">
        <x:v>51.51</x:v>
      </x:c>
      <x:c r="K1994" s="2" t="n">
        <x:v>8</x:v>
      </x:c>
      <x:c r="L1994" s="2" t="str">
        <x:v>Valid</x:v>
      </x:c>
      <x:c r="M1994" s="2" t="str">
        <x:v>QR</x:v>
      </x:c>
      <x:c r="N1994" s="2" t="n">
        <x:v>1</x:v>
      </x:c>
      <x:c r="O1994" s="2" t="str">
        <x:v>Accepted</x:v>
      </x:c>
      <x:c r="P1994" s="2" t="str">
        <x:v>S001</x:v>
      </x:c>
      <x:c r="Q1994" s="2" t="str">
        <x:v>DEV001</x:v>
      </x:c>
      <x:c r="R1994" s="2" t="n">
        <x:v>27</x:v>
      </x:c>
      <x:c r="S1994" s="2" t="str">
        <x:v>Online</x:v>
      </x:c>
      <x:c r="T1994" s="2" t="str">
        <x:v>Synced</x:v>
      </x:c>
    </x:row>
    <x:row r="1995" ht="21" customHeight="1">
      <x:c r="A1995" s="2" t="str">
        <x:v>EV002088</x:v>
      </x:c>
      <x:c r="B1995" s="2" t="str">
        <x:v>T20261008-1-2</x:v>
      </x:c>
      <x:c r="C1995" s="2" t="str">
        <x:v>ST047</x:v>
      </x:c>
      <x:c r="D1995" s="2" t="str">
        <x:v>b3f6380a42fb190ae04afac7edee87cd</x:v>
      </x:c>
      <x:c r="E1995" s="2" t="str">
        <x:v>CHECK_OUT</x:v>
      </x:c>
      <x:c r="F1995" s="8" t="n">
        <x:v>46303.27659722222</x:v>
      </x:c>
      <x:c r="G1995" s="8" t="n">
        <x:v>46303.276620370365</x:v>
      </x:c>
      <x:c r="H1995" s="2" t="str">
        <x:v>SCH01</x:v>
      </x:c>
      <x:c r="I1995" s="9" t="n">
        <x:v>25.285</x:v>
      </x:c>
      <x:c r="J1995" s="9" t="n">
        <x:v>51.51</x:v>
      </x:c>
      <x:c r="K1995" s="2" t="n">
        <x:v>8</x:v>
      </x:c>
      <x:c r="L1995" s="2" t="str">
        <x:v>Valid</x:v>
      </x:c>
      <x:c r="M1995" s="2" t="str">
        <x:v>QR</x:v>
      </x:c>
      <x:c r="N1995" s="2" t="n">
        <x:v>1</x:v>
      </x:c>
      <x:c r="O1995" s="2" t="str">
        <x:v>Accepted</x:v>
      </x:c>
      <x:c r="P1995" s="2" t="str">
        <x:v>S002</x:v>
      </x:c>
      <x:c r="Q1995" s="2" t="str">
        <x:v>DEV002</x:v>
      </x:c>
      <x:c r="R1995" s="2" t="n">
        <x:v>27</x:v>
      </x:c>
      <x:c r="S1995" s="2" t="str">
        <x:v>Online</x:v>
      </x:c>
      <x:c r="T1995" s="2" t="str">
        <x:v>Synced</x:v>
      </x:c>
    </x:row>
    <x:row r="1996" ht="21" customHeight="1">
      <x:c r="A1996" s="2" t="str">
        <x:v>EV002248</x:v>
      </x:c>
      <x:c r="B1996" s="2" t="str">
        <x:v>T20261008-1-3</x:v>
      </x:c>
      <x:c r="C1996" s="2" t="str">
        <x:v>ST087</x:v>
      </x:c>
      <x:c r="D1996" s="2" t="str">
        <x:v>30243cf46003be06b271950aa5cd47a6</x:v>
      </x:c>
      <x:c r="E1996" s="2" t="str">
        <x:v>CHECK_OUT</x:v>
      </x:c>
      <x:c r="F1996" s="8" t="n">
        <x:v>46303.27659722222</x:v>
      </x:c>
      <x:c r="G1996" s="8" t="n">
        <x:v>46303.276620370365</x:v>
      </x:c>
      <x:c r="H1996" s="2" t="str">
        <x:v>SCH01</x:v>
      </x:c>
      <x:c r="I1996" s="9" t="n">
        <x:v>25.285</x:v>
      </x:c>
      <x:c r="J1996" s="9" t="n">
        <x:v>51.51</x:v>
      </x:c>
      <x:c r="K1996" s="2" t="n">
        <x:v>8</x:v>
      </x:c>
      <x:c r="L1996" s="2" t="str">
        <x:v>Valid</x:v>
      </x:c>
      <x:c r="M1996" s="2" t="str">
        <x:v>QR</x:v>
      </x:c>
      <x:c r="N1996" s="2" t="n">
        <x:v>1</x:v>
      </x:c>
      <x:c r="O1996" s="2" t="str">
        <x:v>Accepted</x:v>
      </x:c>
      <x:c r="P1996" s="2" t="str">
        <x:v>S003</x:v>
      </x:c>
      <x:c r="Q1996" s="2" t="str">
        <x:v>DEV003</x:v>
      </x:c>
      <x:c r="R1996" s="2" t="n">
        <x:v>27</x:v>
      </x:c>
      <x:c r="S1996" s="2" t="str">
        <x:v>Online</x:v>
      </x:c>
      <x:c r="T1996" s="2" t="str">
        <x:v>Synced</x:v>
      </x:c>
    </x:row>
    <x:row r="1997" ht="21" customHeight="1">
      <x:c r="A1997" s="2" t="str">
        <x:v>EV001930</x:v>
      </x:c>
      <x:c r="B1997" s="2" t="str">
        <x:v>T20261008-1-1</x:v>
      </x:c>
      <x:c r="C1997" s="2" t="str">
        <x:v>ST008</x:v>
      </x:c>
      <x:c r="D1997" s="2" t="str">
        <x:v>ac4baf5d317844907005c691f401c42d</x:v>
      </x:c>
      <x:c r="E1997" s="2" t="str">
        <x:v>CHECK_OUT</x:v>
      </x:c>
      <x:c r="F1997" s="8" t="n">
        <x:v>46303.27663194444</x:v>
      </x:c>
      <x:c r="G1997" s="8" t="n">
        <x:v>46303.27665509259</x:v>
      </x:c>
      <x:c r="H1997" s="2" t="str">
        <x:v>SCH01</x:v>
      </x:c>
      <x:c r="I1997" s="9" t="n">
        <x:v>25.285</x:v>
      </x:c>
      <x:c r="J1997" s="9" t="n">
        <x:v>51.51</x:v>
      </x:c>
      <x:c r="K1997" s="2" t="n">
        <x:v>8</x:v>
      </x:c>
      <x:c r="L1997" s="2" t="str">
        <x:v>Valid</x:v>
      </x:c>
      <x:c r="M1997" s="2" t="str">
        <x:v>QR</x:v>
      </x:c>
      <x:c r="N1997" s="2" t="n">
        <x:v>1</x:v>
      </x:c>
      <x:c r="O1997" s="2" t="str">
        <x:v>Accepted</x:v>
      </x:c>
      <x:c r="P1997" s="2" t="str">
        <x:v>S001</x:v>
      </x:c>
      <x:c r="Q1997" s="2" t="str">
        <x:v>DEV001</x:v>
      </x:c>
      <x:c r="R1997" s="2" t="n">
        <x:v>28</x:v>
      </x:c>
      <x:c r="S1997" s="2" t="str">
        <x:v>Online</x:v>
      </x:c>
      <x:c r="T1997" s="2" t="str">
        <x:v>Synced</x:v>
      </x:c>
    </x:row>
    <x:row r="1998" ht="21" customHeight="1">
      <x:c r="A1998" s="2" t="str">
        <x:v>EV002090</x:v>
      </x:c>
      <x:c r="B1998" s="2" t="str">
        <x:v>T20261008-1-2</x:v>
      </x:c>
      <x:c r="C1998" s="2" t="str">
        <x:v>ST048</x:v>
      </x:c>
      <x:c r="D1998" s="2" t="str">
        <x:v>e3a3009a9bd3946e21f417e93203aa79</x:v>
      </x:c>
      <x:c r="E1998" s="2" t="str">
        <x:v>CHECK_OUT</x:v>
      </x:c>
      <x:c r="F1998" s="8" t="n">
        <x:v>46303.27663194444</x:v>
      </x:c>
      <x:c r="G1998" s="8" t="n">
        <x:v>46303.27665509259</x:v>
      </x:c>
      <x:c r="H1998" s="2" t="str">
        <x:v>SCH01</x:v>
      </x:c>
      <x:c r="I1998" s="9" t="n">
        <x:v>25.285</x:v>
      </x:c>
      <x:c r="J1998" s="9" t="n">
        <x:v>51.51</x:v>
      </x:c>
      <x:c r="K1998" s="2" t="n">
        <x:v>8</x:v>
      </x:c>
      <x:c r="L1998" s="2" t="str">
        <x:v>Valid</x:v>
      </x:c>
      <x:c r="M1998" s="2" t="str">
        <x:v>QR</x:v>
      </x:c>
      <x:c r="N1998" s="2" t="n">
        <x:v>1</x:v>
      </x:c>
      <x:c r="O1998" s="2" t="str">
        <x:v>Accepted</x:v>
      </x:c>
      <x:c r="P1998" s="2" t="str">
        <x:v>S002</x:v>
      </x:c>
      <x:c r="Q1998" s="2" t="str">
        <x:v>DEV002</x:v>
      </x:c>
      <x:c r="R1998" s="2" t="n">
        <x:v>28</x:v>
      </x:c>
      <x:c r="S1998" s="2" t="str">
        <x:v>Online</x:v>
      </x:c>
      <x:c r="T1998" s="2" t="str">
        <x:v>Synced</x:v>
      </x:c>
    </x:row>
    <x:row r="1999" ht="21" customHeight="1">
      <x:c r="A1999" s="2" t="str">
        <x:v>EV002250</x:v>
      </x:c>
      <x:c r="B1999" s="2" t="str">
        <x:v>T20261008-1-3</x:v>
      </x:c>
      <x:c r="C1999" s="2" t="str">
        <x:v>ST088</x:v>
      </x:c>
      <x:c r="D1999" s="2" t="str">
        <x:v>b227769e0483e6c28eed8e8d448bfbbe</x:v>
      </x:c>
      <x:c r="E1999" s="2" t="str">
        <x:v>CHECK_OUT</x:v>
      </x:c>
      <x:c r="F1999" s="8" t="n">
        <x:v>46303.27663194444</x:v>
      </x:c>
      <x:c r="G1999" s="8" t="n">
        <x:v>46303.27665509259</x:v>
      </x:c>
      <x:c r="H1999" s="2" t="str">
        <x:v>SCH01</x:v>
      </x:c>
      <x:c r="I1999" s="9" t="n">
        <x:v>25.285</x:v>
      </x:c>
      <x:c r="J1999" s="9" t="n">
        <x:v>51.51</x:v>
      </x:c>
      <x:c r="K1999" s="2" t="n">
        <x:v>8</x:v>
      </x:c>
      <x:c r="L1999" s="2" t="str">
        <x:v>Valid</x:v>
      </x:c>
      <x:c r="M1999" s="2" t="str">
        <x:v>QR</x:v>
      </x:c>
      <x:c r="N1999" s="2" t="n">
        <x:v>1</x:v>
      </x:c>
      <x:c r="O1999" s="2" t="str">
        <x:v>Accepted</x:v>
      </x:c>
      <x:c r="P1999" s="2" t="str">
        <x:v>S003</x:v>
      </x:c>
      <x:c r="Q1999" s="2" t="str">
        <x:v>DEV003</x:v>
      </x:c>
      <x:c r="R1999" s="2" t="n">
        <x:v>28</x:v>
      </x:c>
      <x:c r="S1999" s="2" t="str">
        <x:v>Online</x:v>
      </x:c>
      <x:c r="T1999" s="2" t="str">
        <x:v>Synced</x:v>
      </x:c>
    </x:row>
    <x:row r="2000" ht="21" customHeight="1">
      <x:c r="A2000" s="2" t="str">
        <x:v>EV001932</x:v>
      </x:c>
      <x:c r="B2000" s="2" t="str">
        <x:v>T20261008-1-1</x:v>
      </x:c>
      <x:c r="C2000" s="2" t="str">
        <x:v>ST009</x:v>
      </x:c>
      <x:c r="D2000" s="2" t="str">
        <x:v>fdc849f07f4ba12ab82f6bed87d7275d</x:v>
      </x:c>
      <x:c r="E2000" s="2" t="str">
        <x:v>CHECK_OUT</x:v>
      </x:c>
      <x:c r="F2000" s="8" t="n">
        <x:v>46303.276666666665</x:v>
      </x:c>
      <x:c r="G2000" s="8" t="n">
        <x:v>46303.27668981481</x:v>
      </x:c>
      <x:c r="H2000" s="2" t="str">
        <x:v>SCH01</x:v>
      </x:c>
      <x:c r="I2000" s="9" t="n">
        <x:v>25.285</x:v>
      </x:c>
      <x:c r="J2000" s="9" t="n">
        <x:v>51.51</x:v>
      </x:c>
      <x:c r="K2000" s="2" t="n">
        <x:v>8</x:v>
      </x:c>
      <x:c r="L2000" s="2" t="str">
        <x:v>Valid</x:v>
      </x:c>
      <x:c r="M2000" s="2" t="str">
        <x:v>QR</x:v>
      </x:c>
      <x:c r="N2000" s="2" t="n">
        <x:v>1</x:v>
      </x:c>
      <x:c r="O2000" s="2" t="str">
        <x:v>Accepted</x:v>
      </x:c>
      <x:c r="P2000" s="2" t="str">
        <x:v>S001</x:v>
      </x:c>
      <x:c r="Q2000" s="2" t="str">
        <x:v>DEV001</x:v>
      </x:c>
      <x:c r="R2000" s="2" t="n">
        <x:v>29</x:v>
      </x:c>
      <x:c r="S2000" s="2" t="str">
        <x:v>Online</x:v>
      </x:c>
      <x:c r="T2000" s="2" t="str">
        <x:v>Synced</x:v>
      </x:c>
    </x:row>
    <x:row r="2001" ht="21" customHeight="1">
      <x:c r="A2001" s="2" t="str">
        <x:v>EV002092</x:v>
      </x:c>
      <x:c r="B2001" s="2" t="str">
        <x:v>T20261008-1-2</x:v>
      </x:c>
      <x:c r="C2001" s="2" t="str">
        <x:v>ST049</x:v>
      </x:c>
      <x:c r="D2001" s="2" t="str">
        <x:v>aac0da9ca028b4b4fe1fc2c1eb298502</x:v>
      </x:c>
      <x:c r="E2001" s="2" t="str">
        <x:v>CHECK_OUT</x:v>
      </x:c>
      <x:c r="F2001" s="8" t="n">
        <x:v>46303.276666666665</x:v>
      </x:c>
      <x:c r="G2001" s="8" t="n">
        <x:v>46303.27668981481</x:v>
      </x:c>
      <x:c r="H2001" s="2" t="str">
        <x:v>SCH01</x:v>
      </x:c>
      <x:c r="I2001" s="9" t="n">
        <x:v>25.285</x:v>
      </x:c>
      <x:c r="J2001" s="9" t="n">
        <x:v>51.51</x:v>
      </x:c>
      <x:c r="K2001" s="2" t="n">
        <x:v>8</x:v>
      </x:c>
      <x:c r="L2001" s="2" t="str">
        <x:v>Valid</x:v>
      </x:c>
      <x:c r="M2001" s="2" t="str">
        <x:v>QR</x:v>
      </x:c>
      <x:c r="N2001" s="2" t="n">
        <x:v>1</x:v>
      </x:c>
      <x:c r="O2001" s="2" t="str">
        <x:v>Accepted</x:v>
      </x:c>
      <x:c r="P2001" s="2" t="str">
        <x:v>S002</x:v>
      </x:c>
      <x:c r="Q2001" s="2" t="str">
        <x:v>DEV002</x:v>
      </x:c>
      <x:c r="R2001" s="2" t="n">
        <x:v>29</x:v>
      </x:c>
      <x:c r="S2001" s="2" t="str">
        <x:v>Online</x:v>
      </x:c>
      <x:c r="T2001" s="2" t="str">
        <x:v>Synced</x:v>
      </x:c>
    </x:row>
    <x:row r="2002" ht="21" customHeight="1">
      <x:c r="A2002" s="2" t="str">
        <x:v>EV002252</x:v>
      </x:c>
      <x:c r="B2002" s="2" t="str">
        <x:v>T20261008-1-3</x:v>
      </x:c>
      <x:c r="C2002" s="2" t="str">
        <x:v>ST089</x:v>
      </x:c>
      <x:c r="D2002" s="2" t="str">
        <x:v>0bd697ec3f7c09918d8dd004b5340b03</x:v>
      </x:c>
      <x:c r="E2002" s="2" t="str">
        <x:v>CHECK_OUT</x:v>
      </x:c>
      <x:c r="F2002" s="8" t="n">
        <x:v>46303.276666666665</x:v>
      </x:c>
      <x:c r="G2002" s="8" t="n">
        <x:v>46303.27668981481</x:v>
      </x:c>
      <x:c r="H2002" s="2" t="str">
        <x:v>SCH01</x:v>
      </x:c>
      <x:c r="I2002" s="9" t="n">
        <x:v>25.285</x:v>
      </x:c>
      <x:c r="J2002" s="9" t="n">
        <x:v>51.51</x:v>
      </x:c>
      <x:c r="K2002" s="2" t="n">
        <x:v>8</x:v>
      </x:c>
      <x:c r="L2002" s="2" t="str">
        <x:v>Valid</x:v>
      </x:c>
      <x:c r="M2002" s="2" t="str">
        <x:v>QR</x:v>
      </x:c>
      <x:c r="N2002" s="2" t="n">
        <x:v>1</x:v>
      </x:c>
      <x:c r="O2002" s="2" t="str">
        <x:v>Accepted</x:v>
      </x:c>
      <x:c r="P2002" s="2" t="str">
        <x:v>S003</x:v>
      </x:c>
      <x:c r="Q2002" s="2" t="str">
        <x:v>DEV003</x:v>
      </x:c>
      <x:c r="R2002" s="2" t="n">
        <x:v>29</x:v>
      </x:c>
      <x:c r="S2002" s="2" t="str">
        <x:v>Online</x:v>
      </x:c>
      <x:c r="T2002" s="2" t="str">
        <x:v>Synced</x:v>
      </x:c>
    </x:row>
    <x:row r="2003" ht="21" customHeight="1">
      <x:c r="A2003" s="2" t="str">
        <x:v>EV001934</x:v>
      </x:c>
      <x:c r="B2003" s="2" t="str">
        <x:v>T20261008-1-1</x:v>
      </x:c>
      <x:c r="C2003" s="2" t="str">
        <x:v>ST010</x:v>
      </x:c>
      <x:c r="D2003" s="2" t="str">
        <x:v>df6521f6838e149b7b1f3fd27dcbf586</x:v>
      </x:c>
      <x:c r="E2003" s="2" t="str">
        <x:v>CHECK_OUT</x:v>
      </x:c>
      <x:c r="F2003" s="8" t="n">
        <x:v>46303.27670138889</x:v>
      </x:c>
      <x:c r="G2003" s="8" t="n">
        <x:v>46303.276724537034</x:v>
      </x:c>
      <x:c r="H2003" s="2" t="str">
        <x:v>SCH01</x:v>
      </x:c>
      <x:c r="I2003" s="9" t="n">
        <x:v>25.285</x:v>
      </x:c>
      <x:c r="J2003" s="9" t="n">
        <x:v>51.51</x:v>
      </x:c>
      <x:c r="K2003" s="2" t="n">
        <x:v>8</x:v>
      </x:c>
      <x:c r="L2003" s="2" t="str">
        <x:v>Valid</x:v>
      </x:c>
      <x:c r="M2003" s="2" t="str">
        <x:v>QR</x:v>
      </x:c>
      <x:c r="N2003" s="2" t="n">
        <x:v>1</x:v>
      </x:c>
      <x:c r="O2003" s="2" t="str">
        <x:v>Accepted</x:v>
      </x:c>
      <x:c r="P2003" s="2" t="str">
        <x:v>S001</x:v>
      </x:c>
      <x:c r="Q2003" s="2" t="str">
        <x:v>DEV001</x:v>
      </x:c>
      <x:c r="R2003" s="2" t="n">
        <x:v>30</x:v>
      </x:c>
      <x:c r="S2003" s="2" t="str">
        <x:v>Online</x:v>
      </x:c>
      <x:c r="T2003" s="2" t="str">
        <x:v>Synced</x:v>
      </x:c>
    </x:row>
    <x:row r="2004" ht="21" customHeight="1">
      <x:c r="A2004" s="2" t="str">
        <x:v>EV002094</x:v>
      </x:c>
      <x:c r="B2004" s="2" t="str">
        <x:v>T20261008-1-2</x:v>
      </x:c>
      <x:c r="C2004" s="2" t="str">
        <x:v>ST050</x:v>
      </x:c>
      <x:c r="D2004" s="2" t="str">
        <x:v>ca49474881a6395691ac81bd08684ed6</x:v>
      </x:c>
      <x:c r="E2004" s="2" t="str">
        <x:v>CHECK_OUT</x:v>
      </x:c>
      <x:c r="F2004" s="8" t="n">
        <x:v>46303.27670138889</x:v>
      </x:c>
      <x:c r="G2004" s="8" t="n">
        <x:v>46303.276724537034</x:v>
      </x:c>
      <x:c r="H2004" s="2" t="str">
        <x:v>SCH01</x:v>
      </x:c>
      <x:c r="I2004" s="9" t="n">
        <x:v>25.285</x:v>
      </x:c>
      <x:c r="J2004" s="9" t="n">
        <x:v>51.51</x:v>
      </x:c>
      <x:c r="K2004" s="2" t="n">
        <x:v>8</x:v>
      </x:c>
      <x:c r="L2004" s="2" t="str">
        <x:v>Valid</x:v>
      </x:c>
      <x:c r="M2004" s="2" t="str">
        <x:v>QR</x:v>
      </x:c>
      <x:c r="N2004" s="2" t="n">
        <x:v>1</x:v>
      </x:c>
      <x:c r="O2004" s="2" t="str">
        <x:v>Accepted</x:v>
      </x:c>
      <x:c r="P2004" s="2" t="str">
        <x:v>S002</x:v>
      </x:c>
      <x:c r="Q2004" s="2" t="str">
        <x:v>DEV002</x:v>
      </x:c>
      <x:c r="R2004" s="2" t="n">
        <x:v>30</x:v>
      </x:c>
      <x:c r="S2004" s="2" t="str">
        <x:v>Online</x:v>
      </x:c>
      <x:c r="T2004" s="2" t="str">
        <x:v>Synced</x:v>
      </x:c>
    </x:row>
    <x:row r="2005" ht="21" customHeight="1">
      <x:c r="A2005" s="2" t="str">
        <x:v>EV002254</x:v>
      </x:c>
      <x:c r="B2005" s="2" t="str">
        <x:v>T20261008-1-3</x:v>
      </x:c>
      <x:c r="C2005" s="2" t="str">
        <x:v>ST090</x:v>
      </x:c>
      <x:c r="D2005" s="2" t="str">
        <x:v>3b91252475551a374010825e1f05642c</x:v>
      </x:c>
      <x:c r="E2005" s="2" t="str">
        <x:v>CHECK_OUT</x:v>
      </x:c>
      <x:c r="F2005" s="8" t="n">
        <x:v>46303.27670138889</x:v>
      </x:c>
      <x:c r="G2005" s="8" t="n">
        <x:v>46303.276724537034</x:v>
      </x:c>
      <x:c r="H2005" s="2" t="str">
        <x:v>SCH01</x:v>
      </x:c>
      <x:c r="I2005" s="9" t="n">
        <x:v>25.285</x:v>
      </x:c>
      <x:c r="J2005" s="9" t="n">
        <x:v>51.51</x:v>
      </x:c>
      <x:c r="K2005" s="2" t="n">
        <x:v>8</x:v>
      </x:c>
      <x:c r="L2005" s="2" t="str">
        <x:v>Valid</x:v>
      </x:c>
      <x:c r="M2005" s="2" t="str">
        <x:v>QR</x:v>
      </x:c>
      <x:c r="N2005" s="2" t="n">
        <x:v>1</x:v>
      </x:c>
      <x:c r="O2005" s="2" t="str">
        <x:v>Accepted</x:v>
      </x:c>
      <x:c r="P2005" s="2" t="str">
        <x:v>S003</x:v>
      </x:c>
      <x:c r="Q2005" s="2" t="str">
        <x:v>DEV003</x:v>
      </x:c>
      <x:c r="R2005" s="2" t="n">
        <x:v>30</x:v>
      </x:c>
      <x:c r="S2005" s="2" t="str">
        <x:v>Online</x:v>
      </x:c>
      <x:c r="T2005" s="2" t="str">
        <x:v>Synced</x:v>
      </x:c>
    </x:row>
    <x:row r="2006" ht="21" customHeight="1">
      <x:c r="A2006" s="2" t="str">
        <x:v>EV001936</x:v>
      </x:c>
      <x:c r="B2006" s="2" t="str">
        <x:v>T20261008-1-1</x:v>
      </x:c>
      <x:c r="C2006" s="2" t="str">
        <x:v>ST011</x:v>
      </x:c>
      <x:c r="D2006" s="2" t="str">
        <x:v>38c917effc7ec45ac750455eb7892f3e</x:v>
      </x:c>
      <x:c r="E2006" s="2" t="str">
        <x:v>CHECK_OUT</x:v>
      </x:c>
      <x:c r="F2006" s="8" t="n">
        <x:v>46303.27673611111</x:v>
      </x:c>
      <x:c r="G2006" s="8" t="n">
        <x:v>46303.27675925926</x:v>
      </x:c>
      <x:c r="H2006" s="2" t="str">
        <x:v>SCH01</x:v>
      </x:c>
      <x:c r="I2006" s="9" t="n">
        <x:v>25.285</x:v>
      </x:c>
      <x:c r="J2006" s="9" t="n">
        <x:v>51.51</x:v>
      </x:c>
      <x:c r="K2006" s="2" t="n">
        <x:v>8</x:v>
      </x:c>
      <x:c r="L2006" s="2" t="str">
        <x:v>Valid</x:v>
      </x:c>
      <x:c r="M2006" s="2" t="str">
        <x:v>QR</x:v>
      </x:c>
      <x:c r="N2006" s="2" t="n">
        <x:v>1</x:v>
      </x:c>
      <x:c r="O2006" s="2" t="str">
        <x:v>Accepted</x:v>
      </x:c>
      <x:c r="P2006" s="2" t="str">
        <x:v>S001</x:v>
      </x:c>
      <x:c r="Q2006" s="2" t="str">
        <x:v>DEV001</x:v>
      </x:c>
      <x:c r="R2006" s="2" t="n">
        <x:v>31</x:v>
      </x:c>
      <x:c r="S2006" s="2" t="str">
        <x:v>Online</x:v>
      </x:c>
      <x:c r="T2006" s="2" t="str">
        <x:v>Synced</x:v>
      </x:c>
    </x:row>
    <x:row r="2007" ht="21" customHeight="1">
      <x:c r="A2007" s="2" t="str">
        <x:v>EV002096</x:v>
      </x:c>
      <x:c r="B2007" s="2" t="str">
        <x:v>T20261008-1-2</x:v>
      </x:c>
      <x:c r="C2007" s="2" t="str">
        <x:v>ST051</x:v>
      </x:c>
      <x:c r="D2007" s="2" t="str">
        <x:v>410a66d29aea7be5806f7d6945266303</x:v>
      </x:c>
      <x:c r="E2007" s="2" t="str">
        <x:v>CHECK_OUT</x:v>
      </x:c>
      <x:c r="F2007" s="8" t="n">
        <x:v>46303.27673611111</x:v>
      </x:c>
      <x:c r="G2007" s="8" t="n">
        <x:v>46303.27675925926</x:v>
      </x:c>
      <x:c r="H2007" s="2" t="str">
        <x:v>SCH01</x:v>
      </x:c>
      <x:c r="I2007" s="9" t="n">
        <x:v>25.285</x:v>
      </x:c>
      <x:c r="J2007" s="9" t="n">
        <x:v>51.51</x:v>
      </x:c>
      <x:c r="K2007" s="2" t="n">
        <x:v>8</x:v>
      </x:c>
      <x:c r="L2007" s="2" t="str">
        <x:v>Valid</x:v>
      </x:c>
      <x:c r="M2007" s="2" t="str">
        <x:v>QR</x:v>
      </x:c>
      <x:c r="N2007" s="2" t="n">
        <x:v>1</x:v>
      </x:c>
      <x:c r="O2007" s="2" t="str">
        <x:v>Accepted</x:v>
      </x:c>
      <x:c r="P2007" s="2" t="str">
        <x:v>S002</x:v>
      </x:c>
      <x:c r="Q2007" s="2" t="str">
        <x:v>DEV002</x:v>
      </x:c>
      <x:c r="R2007" s="2" t="n">
        <x:v>31</x:v>
      </x:c>
      <x:c r="S2007" s="2" t="str">
        <x:v>Online</x:v>
      </x:c>
      <x:c r="T2007" s="2" t="str">
        <x:v>Synced</x:v>
      </x:c>
    </x:row>
    <x:row r="2008" ht="21" customHeight="1">
      <x:c r="A2008" s="2" t="str">
        <x:v>EV002256</x:v>
      </x:c>
      <x:c r="B2008" s="2" t="str">
        <x:v>T20261008-1-3</x:v>
      </x:c>
      <x:c r="C2008" s="2" t="str">
        <x:v>ST091</x:v>
      </x:c>
      <x:c r="D2008" s="2" t="str">
        <x:v>2d74afc7329a1eb53bd16a92fc366891</x:v>
      </x:c>
      <x:c r="E2008" s="2" t="str">
        <x:v>CHECK_OUT</x:v>
      </x:c>
      <x:c r="F2008" s="8" t="n">
        <x:v>46303.27673611111</x:v>
      </x:c>
      <x:c r="G2008" s="8" t="n">
        <x:v>46303.27675925926</x:v>
      </x:c>
      <x:c r="H2008" s="2" t="str">
        <x:v>SCH01</x:v>
      </x:c>
      <x:c r="I2008" s="9" t="n">
        <x:v>25.285</x:v>
      </x:c>
      <x:c r="J2008" s="9" t="n">
        <x:v>51.51</x:v>
      </x:c>
      <x:c r="K2008" s="2" t="n">
        <x:v>8</x:v>
      </x:c>
      <x:c r="L2008" s="2" t="str">
        <x:v>Valid</x:v>
      </x:c>
      <x:c r="M2008" s="2" t="str">
        <x:v>QR</x:v>
      </x:c>
      <x:c r="N2008" s="2" t="n">
        <x:v>1</x:v>
      </x:c>
      <x:c r="O2008" s="2" t="str">
        <x:v>Accepted</x:v>
      </x:c>
      <x:c r="P2008" s="2" t="str">
        <x:v>S003</x:v>
      </x:c>
      <x:c r="Q2008" s="2" t="str">
        <x:v>DEV003</x:v>
      </x:c>
      <x:c r="R2008" s="2" t="n">
        <x:v>31</x:v>
      </x:c>
      <x:c r="S2008" s="2" t="str">
        <x:v>Online</x:v>
      </x:c>
      <x:c r="T2008" s="2" t="str">
        <x:v>Synced</x:v>
      </x:c>
    </x:row>
    <x:row r="2009" ht="21" customHeight="1">
      <x:c r="A2009" s="2" t="str">
        <x:v>EV001938</x:v>
      </x:c>
      <x:c r="B2009" s="2" t="str">
        <x:v>T20261008-1-1</x:v>
      </x:c>
      <x:c r="C2009" s="2" t="str">
        <x:v>ST012</x:v>
      </x:c>
      <x:c r="D2009" s="2" t="str">
        <x:v>8d45a06a93234042b630e18d7821ea23</x:v>
      </x:c>
      <x:c r="E2009" s="2" t="str">
        <x:v>CHECK_OUT</x:v>
      </x:c>
      <x:c r="F2009" s="8" t="n">
        <x:v>46303.276770833334</x:v>
      </x:c>
      <x:c r="G2009" s="8" t="n">
        <x:v>46303.27679398148</x:v>
      </x:c>
      <x:c r="H2009" s="2" t="str">
        <x:v>SCH01</x:v>
      </x:c>
      <x:c r="I2009" s="9" t="n">
        <x:v>25.285</x:v>
      </x:c>
      <x:c r="J2009" s="9" t="n">
        <x:v>51.51</x:v>
      </x:c>
      <x:c r="K2009" s="2" t="n">
        <x:v>8</x:v>
      </x:c>
      <x:c r="L2009" s="2" t="str">
        <x:v>Valid</x:v>
      </x:c>
      <x:c r="M2009" s="2" t="str">
        <x:v>QR</x:v>
      </x:c>
      <x:c r="N2009" s="2" t="n">
        <x:v>1</x:v>
      </x:c>
      <x:c r="O2009" s="2" t="str">
        <x:v>Accepted</x:v>
      </x:c>
      <x:c r="P2009" s="2" t="str">
        <x:v>S001</x:v>
      </x:c>
      <x:c r="Q2009" s="2" t="str">
        <x:v>DEV001</x:v>
      </x:c>
      <x:c r="R2009" s="2" t="n">
        <x:v>32</x:v>
      </x:c>
      <x:c r="S2009" s="2" t="str">
        <x:v>Online</x:v>
      </x:c>
      <x:c r="T2009" s="2" t="str">
        <x:v>Synced</x:v>
      </x:c>
    </x:row>
    <x:row r="2010" ht="21" customHeight="1">
      <x:c r="A2010" s="2" t="str">
        <x:v>EV002098</x:v>
      </x:c>
      <x:c r="B2010" s="2" t="str">
        <x:v>T20261008-1-2</x:v>
      </x:c>
      <x:c r="C2010" s="2" t="str">
        <x:v>ST052</x:v>
      </x:c>
      <x:c r="D2010" s="2" t="str">
        <x:v>0c1c5957fe0604ae228ff5e1e1a785bc</x:v>
      </x:c>
      <x:c r="E2010" s="2" t="str">
        <x:v>CHECK_OUT</x:v>
      </x:c>
      <x:c r="F2010" s="8" t="n">
        <x:v>46303.276770833334</x:v>
      </x:c>
      <x:c r="G2010" s="8" t="n">
        <x:v>46303.27679398148</x:v>
      </x:c>
      <x:c r="H2010" s="2" t="str">
        <x:v>SCH01</x:v>
      </x:c>
      <x:c r="I2010" s="9" t="n">
        <x:v>25.285</x:v>
      </x:c>
      <x:c r="J2010" s="9" t="n">
        <x:v>51.51</x:v>
      </x:c>
      <x:c r="K2010" s="2" t="n">
        <x:v>8</x:v>
      </x:c>
      <x:c r="L2010" s="2" t="str">
        <x:v>Valid</x:v>
      </x:c>
      <x:c r="M2010" s="2" t="str">
        <x:v>QR</x:v>
      </x:c>
      <x:c r="N2010" s="2" t="n">
        <x:v>1</x:v>
      </x:c>
      <x:c r="O2010" s="2" t="str">
        <x:v>Accepted</x:v>
      </x:c>
      <x:c r="P2010" s="2" t="str">
        <x:v>S002</x:v>
      </x:c>
      <x:c r="Q2010" s="2" t="str">
        <x:v>DEV002</x:v>
      </x:c>
      <x:c r="R2010" s="2" t="n">
        <x:v>32</x:v>
      </x:c>
      <x:c r="S2010" s="2" t="str">
        <x:v>Online</x:v>
      </x:c>
      <x:c r="T2010" s="2" t="str">
        <x:v>Synced</x:v>
      </x:c>
    </x:row>
    <x:row r="2011" ht="21" customHeight="1">
      <x:c r="A2011" s="2" t="str">
        <x:v>EV002258</x:v>
      </x:c>
      <x:c r="B2011" s="2" t="str">
        <x:v>T20261008-1-3</x:v>
      </x:c>
      <x:c r="C2011" s="2" t="str">
        <x:v>ST092</x:v>
      </x:c>
      <x:c r="D2011" s="2" t="str">
        <x:v>e83e93b137787f284ae9574a02ff0cc7</x:v>
      </x:c>
      <x:c r="E2011" s="2" t="str">
        <x:v>CHECK_OUT</x:v>
      </x:c>
      <x:c r="F2011" s="8" t="n">
        <x:v>46303.276770833334</x:v>
      </x:c>
      <x:c r="G2011" s="8" t="n">
        <x:v>46303.27679398148</x:v>
      </x:c>
      <x:c r="H2011" s="2" t="str">
        <x:v>SCH01</x:v>
      </x:c>
      <x:c r="I2011" s="9" t="n">
        <x:v>25.285</x:v>
      </x:c>
      <x:c r="J2011" s="9" t="n">
        <x:v>51.51</x:v>
      </x:c>
      <x:c r="K2011" s="2" t="n">
        <x:v>8</x:v>
      </x:c>
      <x:c r="L2011" s="2" t="str">
        <x:v>Valid</x:v>
      </x:c>
      <x:c r="M2011" s="2" t="str">
        <x:v>QR</x:v>
      </x:c>
      <x:c r="N2011" s="2" t="n">
        <x:v>1</x:v>
      </x:c>
      <x:c r="O2011" s="2" t="str">
        <x:v>Accepted</x:v>
      </x:c>
      <x:c r="P2011" s="2" t="str">
        <x:v>S003</x:v>
      </x:c>
      <x:c r="Q2011" s="2" t="str">
        <x:v>DEV003</x:v>
      </x:c>
      <x:c r="R2011" s="2" t="n">
        <x:v>32</x:v>
      </x:c>
      <x:c r="S2011" s="2" t="str">
        <x:v>Online</x:v>
      </x:c>
      <x:c r="T2011" s="2" t="str">
        <x:v>Synced</x:v>
      </x:c>
    </x:row>
    <x:row r="2012" ht="21" customHeight="1">
      <x:c r="A2012" s="2" t="str">
        <x:v>EV001940</x:v>
      </x:c>
      <x:c r="B2012" s="2" t="str">
        <x:v>T20261008-1-1</x:v>
      </x:c>
      <x:c r="C2012" s="2" t="str">
        <x:v>ST013</x:v>
      </x:c>
      <x:c r="D2012" s="2" t="str">
        <x:v>ddc4bbe364f02f5a2177795c49ea7ba9</x:v>
      </x:c>
      <x:c r="E2012" s="2" t="str">
        <x:v>CHECK_OUT</x:v>
      </x:c>
      <x:c r="F2012" s="8" t="n">
        <x:v>46303.27680555556</x:v>
      </x:c>
      <x:c r="G2012" s="8" t="n">
        <x:v>46303.2768287037</x:v>
      </x:c>
      <x:c r="H2012" s="2" t="str">
        <x:v>SCH01</x:v>
      </x:c>
      <x:c r="I2012" s="9" t="n">
        <x:v>25.285</x:v>
      </x:c>
      <x:c r="J2012" s="9" t="n">
        <x:v>51.51</x:v>
      </x:c>
      <x:c r="K2012" s="2" t="n">
        <x:v>8</x:v>
      </x:c>
      <x:c r="L2012" s="2" t="str">
        <x:v>Valid</x:v>
      </x:c>
      <x:c r="M2012" s="2" t="str">
        <x:v>QR</x:v>
      </x:c>
      <x:c r="N2012" s="2" t="n">
        <x:v>1</x:v>
      </x:c>
      <x:c r="O2012" s="2" t="str">
        <x:v>Accepted</x:v>
      </x:c>
      <x:c r="P2012" s="2" t="str">
        <x:v>S001</x:v>
      </x:c>
      <x:c r="Q2012" s="2" t="str">
        <x:v>DEV001</x:v>
      </x:c>
      <x:c r="R2012" s="2" t="n">
        <x:v>33</x:v>
      </x:c>
      <x:c r="S2012" s="2" t="str">
        <x:v>Online</x:v>
      </x:c>
      <x:c r="T2012" s="2" t="str">
        <x:v>Synced</x:v>
      </x:c>
    </x:row>
    <x:row r="2013" ht="21" customHeight="1">
      <x:c r="A2013" s="2" t="str">
        <x:v>EV002100</x:v>
      </x:c>
      <x:c r="B2013" s="2" t="str">
        <x:v>T20261008-1-2</x:v>
      </x:c>
      <x:c r="C2013" s="2" t="str">
        <x:v>ST053</x:v>
      </x:c>
      <x:c r="D2013" s="2" t="str">
        <x:v>e476277c519e294480cfa14a37e177a0</x:v>
      </x:c>
      <x:c r="E2013" s="2" t="str">
        <x:v>CHECK_OUT</x:v>
      </x:c>
      <x:c r="F2013" s="8" t="n">
        <x:v>46303.27680555556</x:v>
      </x:c>
      <x:c r="G2013" s="8" t="n">
        <x:v>46303.2768287037</x:v>
      </x:c>
      <x:c r="H2013" s="2" t="str">
        <x:v>SCH01</x:v>
      </x:c>
      <x:c r="I2013" s="9" t="n">
        <x:v>25.285</x:v>
      </x:c>
      <x:c r="J2013" s="9" t="n">
        <x:v>51.51</x:v>
      </x:c>
      <x:c r="K2013" s="2" t="n">
        <x:v>8</x:v>
      </x:c>
      <x:c r="L2013" s="2" t="str">
        <x:v>Valid</x:v>
      </x:c>
      <x:c r="M2013" s="2" t="str">
        <x:v>QR</x:v>
      </x:c>
      <x:c r="N2013" s="2" t="n">
        <x:v>1</x:v>
      </x:c>
      <x:c r="O2013" s="2" t="str">
        <x:v>Accepted</x:v>
      </x:c>
      <x:c r="P2013" s="2" t="str">
        <x:v>S002</x:v>
      </x:c>
      <x:c r="Q2013" s="2" t="str">
        <x:v>DEV002</x:v>
      </x:c>
      <x:c r="R2013" s="2" t="n">
        <x:v>33</x:v>
      </x:c>
      <x:c r="S2013" s="2" t="str">
        <x:v>Online</x:v>
      </x:c>
      <x:c r="T2013" s="2" t="str">
        <x:v>Synced</x:v>
      </x:c>
    </x:row>
    <x:row r="2014" ht="21" customHeight="1">
      <x:c r="A2014" s="2" t="str">
        <x:v>EV002260</x:v>
      </x:c>
      <x:c r="B2014" s="2" t="str">
        <x:v>T20261008-1-3</x:v>
      </x:c>
      <x:c r="C2014" s="2" t="str">
        <x:v>ST093</x:v>
      </x:c>
      <x:c r="D2014" s="2" t="str">
        <x:v>e69cdca4f10e82426e9a3098f4672791</x:v>
      </x:c>
      <x:c r="E2014" s="2" t="str">
        <x:v>CHECK_OUT</x:v>
      </x:c>
      <x:c r="F2014" s="8" t="n">
        <x:v>46303.27680555556</x:v>
      </x:c>
      <x:c r="G2014" s="8" t="n">
        <x:v>46303.2768287037</x:v>
      </x:c>
      <x:c r="H2014" s="2" t="str">
        <x:v>SCH01</x:v>
      </x:c>
      <x:c r="I2014" s="9" t="n">
        <x:v>25.285</x:v>
      </x:c>
      <x:c r="J2014" s="9" t="n">
        <x:v>51.51</x:v>
      </x:c>
      <x:c r="K2014" s="2" t="n">
        <x:v>8</x:v>
      </x:c>
      <x:c r="L2014" s="2" t="str">
        <x:v>Valid</x:v>
      </x:c>
      <x:c r="M2014" s="2" t="str">
        <x:v>QR</x:v>
      </x:c>
      <x:c r="N2014" s="2" t="n">
        <x:v>1</x:v>
      </x:c>
      <x:c r="O2014" s="2" t="str">
        <x:v>Accepted</x:v>
      </x:c>
      <x:c r="P2014" s="2" t="str">
        <x:v>S003</x:v>
      </x:c>
      <x:c r="Q2014" s="2" t="str">
        <x:v>DEV003</x:v>
      </x:c>
      <x:c r="R2014" s="2" t="n">
        <x:v>33</x:v>
      </x:c>
      <x:c r="S2014" s="2" t="str">
        <x:v>Online</x:v>
      </x:c>
      <x:c r="T2014" s="2" t="str">
        <x:v>Synced</x:v>
      </x:c>
    </x:row>
    <x:row r="2015" ht="21" customHeight="1">
      <x:c r="A2015" s="2" t="str">
        <x:v>EV001942</x:v>
      </x:c>
      <x:c r="B2015" s="2" t="str">
        <x:v>T20261008-1-1</x:v>
      </x:c>
      <x:c r="C2015" s="2" t="str">
        <x:v>ST014</x:v>
      </x:c>
      <x:c r="D2015" s="2" t="str">
        <x:v>6ea4b25306143e251962ae19fa8ee7af</x:v>
      </x:c>
      <x:c r="E2015" s="2" t="str">
        <x:v>CHECK_OUT</x:v>
      </x:c>
      <x:c r="F2015" s="8" t="n">
        <x:v>46303.27684027777</x:v>
      </x:c>
      <x:c r="G2015" s="8" t="n">
        <x:v>46303.27686342592</x:v>
      </x:c>
      <x:c r="H2015" s="2" t="str">
        <x:v>SCH01</x:v>
      </x:c>
      <x:c r="I2015" s="9" t="n">
        <x:v>25.285</x:v>
      </x:c>
      <x:c r="J2015" s="9" t="n">
        <x:v>51.51</x:v>
      </x:c>
      <x:c r="K2015" s="2" t="n">
        <x:v>8</x:v>
      </x:c>
      <x:c r="L2015" s="2" t="str">
        <x:v>Valid</x:v>
      </x:c>
      <x:c r="M2015" s="2" t="str">
        <x:v>QR</x:v>
      </x:c>
      <x:c r="N2015" s="2" t="n">
        <x:v>1</x:v>
      </x:c>
      <x:c r="O2015" s="2" t="str">
        <x:v>Accepted</x:v>
      </x:c>
      <x:c r="P2015" s="2" t="str">
        <x:v>S001</x:v>
      </x:c>
      <x:c r="Q2015" s="2" t="str">
        <x:v>DEV001</x:v>
      </x:c>
      <x:c r="R2015" s="2" t="n">
        <x:v>34</x:v>
      </x:c>
      <x:c r="S2015" s="2" t="str">
        <x:v>Online</x:v>
      </x:c>
      <x:c r="T2015" s="2" t="str">
        <x:v>Synced</x:v>
      </x:c>
    </x:row>
    <x:row r="2016" ht="21" customHeight="1">
      <x:c r="A2016" s="2" t="str">
        <x:v>EV002102</x:v>
      </x:c>
      <x:c r="B2016" s="2" t="str">
        <x:v>T20261008-1-2</x:v>
      </x:c>
      <x:c r="C2016" s="2" t="str">
        <x:v>ST054</x:v>
      </x:c>
      <x:c r="D2016" s="2" t="str">
        <x:v>1c9a916db52e081aeb59bc928cb914dd</x:v>
      </x:c>
      <x:c r="E2016" s="2" t="str">
        <x:v>CHECK_OUT</x:v>
      </x:c>
      <x:c r="F2016" s="8" t="n">
        <x:v>46303.27684027777</x:v>
      </x:c>
      <x:c r="G2016" s="8" t="n">
        <x:v>46303.27686342592</x:v>
      </x:c>
      <x:c r="H2016" s="2" t="str">
        <x:v>SCH01</x:v>
      </x:c>
      <x:c r="I2016" s="9" t="n">
        <x:v>25.285</x:v>
      </x:c>
      <x:c r="J2016" s="9" t="n">
        <x:v>51.51</x:v>
      </x:c>
      <x:c r="K2016" s="2" t="n">
        <x:v>8</x:v>
      </x:c>
      <x:c r="L2016" s="2" t="str">
        <x:v>Valid</x:v>
      </x:c>
      <x:c r="M2016" s="2" t="str">
        <x:v>QR</x:v>
      </x:c>
      <x:c r="N2016" s="2" t="n">
        <x:v>1</x:v>
      </x:c>
      <x:c r="O2016" s="2" t="str">
        <x:v>Accepted</x:v>
      </x:c>
      <x:c r="P2016" s="2" t="str">
        <x:v>S002</x:v>
      </x:c>
      <x:c r="Q2016" s="2" t="str">
        <x:v>DEV002</x:v>
      </x:c>
      <x:c r="R2016" s="2" t="n">
        <x:v>34</x:v>
      </x:c>
      <x:c r="S2016" s="2" t="str">
        <x:v>Online</x:v>
      </x:c>
      <x:c r="T2016" s="2" t="str">
        <x:v>Synced</x:v>
      </x:c>
    </x:row>
    <x:row r="2017" ht="21" customHeight="1">
      <x:c r="A2017" s="2" t="str">
        <x:v>EV002262</x:v>
      </x:c>
      <x:c r="B2017" s="2" t="str">
        <x:v>T20261008-1-3</x:v>
      </x:c>
      <x:c r="C2017" s="2" t="str">
        <x:v>ST094</x:v>
      </x:c>
      <x:c r="D2017" s="2" t="str">
        <x:v>b6fd37c188877a378c496dccb3132cf2</x:v>
      </x:c>
      <x:c r="E2017" s="2" t="str">
        <x:v>CHECK_OUT</x:v>
      </x:c>
      <x:c r="F2017" s="8" t="n">
        <x:v>46303.27684027777</x:v>
      </x:c>
      <x:c r="G2017" s="8" t="n">
        <x:v>46303.27686342592</x:v>
      </x:c>
      <x:c r="H2017" s="2" t="str">
        <x:v>SCH01</x:v>
      </x:c>
      <x:c r="I2017" s="9" t="n">
        <x:v>25.285</x:v>
      </x:c>
      <x:c r="J2017" s="9" t="n">
        <x:v>51.51</x:v>
      </x:c>
      <x:c r="K2017" s="2" t="n">
        <x:v>8</x:v>
      </x:c>
      <x:c r="L2017" s="2" t="str">
        <x:v>Valid</x:v>
      </x:c>
      <x:c r="M2017" s="2" t="str">
        <x:v>QR</x:v>
      </x:c>
      <x:c r="N2017" s="2" t="n">
        <x:v>1</x:v>
      </x:c>
      <x:c r="O2017" s="2" t="str">
        <x:v>Accepted</x:v>
      </x:c>
      <x:c r="P2017" s="2" t="str">
        <x:v>S003</x:v>
      </x:c>
      <x:c r="Q2017" s="2" t="str">
        <x:v>DEV003</x:v>
      </x:c>
      <x:c r="R2017" s="2" t="n">
        <x:v>34</x:v>
      </x:c>
      <x:c r="S2017" s="2" t="str">
        <x:v>Online</x:v>
      </x:c>
      <x:c r="T2017" s="2" t="str">
        <x:v>Synced</x:v>
      </x:c>
    </x:row>
    <x:row r="2018" ht="21" customHeight="1">
      <x:c r="A2018" s="2" t="str">
        <x:v>EV001944</x:v>
      </x:c>
      <x:c r="B2018" s="2" t="str">
        <x:v>T20261008-1-1</x:v>
      </x:c>
      <x:c r="C2018" s="2" t="str">
        <x:v>ST015</x:v>
      </x:c>
      <x:c r="D2018" s="2" t="str">
        <x:v>997c76227e9b12bdccc68d0d53a8d1df</x:v>
      </x:c>
      <x:c r="E2018" s="2" t="str">
        <x:v>CHECK_OUT</x:v>
      </x:c>
      <x:c r="F2018" s="8" t="n">
        <x:v>46303.276874999996</x:v>
      </x:c>
      <x:c r="G2018" s="8" t="n">
        <x:v>46303.27689814814</x:v>
      </x:c>
      <x:c r="H2018" s="2" t="str">
        <x:v>SCH01</x:v>
      </x:c>
      <x:c r="I2018" s="9" t="n">
        <x:v>25.285</x:v>
      </x:c>
      <x:c r="J2018" s="9" t="n">
        <x:v>51.51</x:v>
      </x:c>
      <x:c r="K2018" s="2" t="n">
        <x:v>8</x:v>
      </x:c>
      <x:c r="L2018" s="2" t="str">
        <x:v>Valid</x:v>
      </x:c>
      <x:c r="M2018" s="2" t="str">
        <x:v>QR</x:v>
      </x:c>
      <x:c r="N2018" s="2" t="n">
        <x:v>1</x:v>
      </x:c>
      <x:c r="O2018" s="2" t="str">
        <x:v>Accepted</x:v>
      </x:c>
      <x:c r="P2018" s="2" t="str">
        <x:v>S001</x:v>
      </x:c>
      <x:c r="Q2018" s="2" t="str">
        <x:v>DEV001</x:v>
      </x:c>
      <x:c r="R2018" s="2" t="n">
        <x:v>35</x:v>
      </x:c>
      <x:c r="S2018" s="2" t="str">
        <x:v>Online</x:v>
      </x:c>
      <x:c r="T2018" s="2" t="str">
        <x:v>Synced</x:v>
      </x:c>
    </x:row>
    <x:row r="2019" ht="21" customHeight="1">
      <x:c r="A2019" s="2" t="str">
        <x:v>EV002104</x:v>
      </x:c>
      <x:c r="B2019" s="2" t="str">
        <x:v>T20261008-1-2</x:v>
      </x:c>
      <x:c r="C2019" s="2" t="str">
        <x:v>ST055</x:v>
      </x:c>
      <x:c r="D2019" s="2" t="str">
        <x:v>e796258b9306e2b3efab77a21add36a5</x:v>
      </x:c>
      <x:c r="E2019" s="2" t="str">
        <x:v>CHECK_OUT</x:v>
      </x:c>
      <x:c r="F2019" s="8" t="n">
        <x:v>46303.276874999996</x:v>
      </x:c>
      <x:c r="G2019" s="8" t="n">
        <x:v>46303.27689814814</x:v>
      </x:c>
      <x:c r="H2019" s="2" t="str">
        <x:v>SCH01</x:v>
      </x:c>
      <x:c r="I2019" s="9" t="n">
        <x:v>25.285</x:v>
      </x:c>
      <x:c r="J2019" s="9" t="n">
        <x:v>51.51</x:v>
      </x:c>
      <x:c r="K2019" s="2" t="n">
        <x:v>8</x:v>
      </x:c>
      <x:c r="L2019" s="2" t="str">
        <x:v>Valid</x:v>
      </x:c>
      <x:c r="M2019" s="2" t="str">
        <x:v>QR</x:v>
      </x:c>
      <x:c r="N2019" s="2" t="n">
        <x:v>1</x:v>
      </x:c>
      <x:c r="O2019" s="2" t="str">
        <x:v>Accepted</x:v>
      </x:c>
      <x:c r="P2019" s="2" t="str">
        <x:v>S002</x:v>
      </x:c>
      <x:c r="Q2019" s="2" t="str">
        <x:v>DEV002</x:v>
      </x:c>
      <x:c r="R2019" s="2" t="n">
        <x:v>35</x:v>
      </x:c>
      <x:c r="S2019" s="2" t="str">
        <x:v>Online</x:v>
      </x:c>
      <x:c r="T2019" s="2" t="str">
        <x:v>Synced</x:v>
      </x:c>
    </x:row>
    <x:row r="2020" ht="21" customHeight="1">
      <x:c r="A2020" s="2" t="str">
        <x:v>EV002264</x:v>
      </x:c>
      <x:c r="B2020" s="2" t="str">
        <x:v>T20261008-1-3</x:v>
      </x:c>
      <x:c r="C2020" s="2" t="str">
        <x:v>ST095</x:v>
      </x:c>
      <x:c r="D2020" s="2" t="str">
        <x:v>0935ee2c52872353d5a355eed1202dbe</x:v>
      </x:c>
      <x:c r="E2020" s="2" t="str">
        <x:v>CHECK_OUT</x:v>
      </x:c>
      <x:c r="F2020" s="8" t="n">
        <x:v>46303.276874999996</x:v>
      </x:c>
      <x:c r="G2020" s="8" t="n">
        <x:v>46303.27689814814</x:v>
      </x:c>
      <x:c r="H2020" s="2" t="str">
        <x:v>SCH01</x:v>
      </x:c>
      <x:c r="I2020" s="9" t="n">
        <x:v>25.285</x:v>
      </x:c>
      <x:c r="J2020" s="9" t="n">
        <x:v>51.51</x:v>
      </x:c>
      <x:c r="K2020" s="2" t="n">
        <x:v>8</x:v>
      </x:c>
      <x:c r="L2020" s="2" t="str">
        <x:v>Valid</x:v>
      </x:c>
      <x:c r="M2020" s="2" t="str">
        <x:v>QR</x:v>
      </x:c>
      <x:c r="N2020" s="2" t="n">
        <x:v>1</x:v>
      </x:c>
      <x:c r="O2020" s="2" t="str">
        <x:v>Accepted</x:v>
      </x:c>
      <x:c r="P2020" s="2" t="str">
        <x:v>S003</x:v>
      </x:c>
      <x:c r="Q2020" s="2" t="str">
        <x:v>DEV003</x:v>
      </x:c>
      <x:c r="R2020" s="2" t="n">
        <x:v>35</x:v>
      </x:c>
      <x:c r="S2020" s="2" t="str">
        <x:v>Online</x:v>
      </x:c>
      <x:c r="T2020" s="2" t="str">
        <x:v>Synced</x:v>
      </x:c>
    </x:row>
    <x:row r="2021" ht="21" customHeight="1">
      <x:c r="A2021" s="2" t="str">
        <x:v>EV001946</x:v>
      </x:c>
      <x:c r="B2021" s="2" t="str">
        <x:v>T20261008-1-1</x:v>
      </x:c>
      <x:c r="C2021" s="2" t="str">
        <x:v>ST016</x:v>
      </x:c>
      <x:c r="D2021" s="2" t="str">
        <x:v>5227a65bcc4ea356d570fe16b2970ea5</x:v>
      </x:c>
      <x:c r="E2021" s="2" t="str">
        <x:v>CHECK_OUT</x:v>
      </x:c>
      <x:c r="F2021" s="8" t="n">
        <x:v>46303.27690972222</x:v>
      </x:c>
      <x:c r="G2021" s="8" t="n">
        <x:v>46303.276932870365</x:v>
      </x:c>
      <x:c r="H2021" s="2" t="str">
        <x:v>SCH01</x:v>
      </x:c>
      <x:c r="I2021" s="9" t="n">
        <x:v>25.285</x:v>
      </x:c>
      <x:c r="J2021" s="9" t="n">
        <x:v>51.51</x:v>
      </x:c>
      <x:c r="K2021" s="2" t="n">
        <x:v>8</x:v>
      </x:c>
      <x:c r="L2021" s="2" t="str">
        <x:v>Valid</x:v>
      </x:c>
      <x:c r="M2021" s="2" t="str">
        <x:v>QR</x:v>
      </x:c>
      <x:c r="N2021" s="2" t="n">
        <x:v>1</x:v>
      </x:c>
      <x:c r="O2021" s="2" t="str">
        <x:v>Accepted</x:v>
      </x:c>
      <x:c r="P2021" s="2" t="str">
        <x:v>S001</x:v>
      </x:c>
      <x:c r="Q2021" s="2" t="str">
        <x:v>DEV001</x:v>
      </x:c>
      <x:c r="R2021" s="2" t="n">
        <x:v>36</x:v>
      </x:c>
      <x:c r="S2021" s="2" t="str">
        <x:v>Online</x:v>
      </x:c>
      <x:c r="T2021" s="2" t="str">
        <x:v>Synced</x:v>
      </x:c>
    </x:row>
    <x:row r="2022" ht="21" customHeight="1">
      <x:c r="A2022" s="2" t="str">
        <x:v>EV002106</x:v>
      </x:c>
      <x:c r="B2022" s="2" t="str">
        <x:v>T20261008-1-2</x:v>
      </x:c>
      <x:c r="C2022" s="2" t="str">
        <x:v>ST056</x:v>
      </x:c>
      <x:c r="D2022" s="2" t="str">
        <x:v>245ed370430be1001f6d7d13404dd8b1</x:v>
      </x:c>
      <x:c r="E2022" s="2" t="str">
        <x:v>CHECK_OUT</x:v>
      </x:c>
      <x:c r="F2022" s="8" t="n">
        <x:v>46303.27690972222</x:v>
      </x:c>
      <x:c r="G2022" s="8" t="n">
        <x:v>46303.276932870365</x:v>
      </x:c>
      <x:c r="H2022" s="2" t="str">
        <x:v>SCH01</x:v>
      </x:c>
      <x:c r="I2022" s="9" t="n">
        <x:v>25.285</x:v>
      </x:c>
      <x:c r="J2022" s="9" t="n">
        <x:v>51.51</x:v>
      </x:c>
      <x:c r="K2022" s="2" t="n">
        <x:v>8</x:v>
      </x:c>
      <x:c r="L2022" s="2" t="str">
        <x:v>Valid</x:v>
      </x:c>
      <x:c r="M2022" s="2" t="str">
        <x:v>QR</x:v>
      </x:c>
      <x:c r="N2022" s="2" t="n">
        <x:v>1</x:v>
      </x:c>
      <x:c r="O2022" s="2" t="str">
        <x:v>Accepted</x:v>
      </x:c>
      <x:c r="P2022" s="2" t="str">
        <x:v>S002</x:v>
      </x:c>
      <x:c r="Q2022" s="2" t="str">
        <x:v>DEV002</x:v>
      </x:c>
      <x:c r="R2022" s="2" t="n">
        <x:v>36</x:v>
      </x:c>
      <x:c r="S2022" s="2" t="str">
        <x:v>Online</x:v>
      </x:c>
      <x:c r="T2022" s="2" t="str">
        <x:v>Synced</x:v>
      </x:c>
    </x:row>
    <x:row r="2023" ht="21" customHeight="1">
      <x:c r="A2023" s="2" t="str">
        <x:v>EV002266</x:v>
      </x:c>
      <x:c r="B2023" s="2" t="str">
        <x:v>T20261008-1-3</x:v>
      </x:c>
      <x:c r="C2023" s="2" t="str">
        <x:v>ST096</x:v>
      </x:c>
      <x:c r="D2023" s="2" t="str">
        <x:v>46905fa8ca039f79eec63d82a6ea3c69</x:v>
      </x:c>
      <x:c r="E2023" s="2" t="str">
        <x:v>CHECK_OUT</x:v>
      </x:c>
      <x:c r="F2023" s="8" t="n">
        <x:v>46303.27690972222</x:v>
      </x:c>
      <x:c r="G2023" s="8" t="n">
        <x:v>46303.276932870365</x:v>
      </x:c>
      <x:c r="H2023" s="2" t="str">
        <x:v>SCH01</x:v>
      </x:c>
      <x:c r="I2023" s="9" t="n">
        <x:v>25.285</x:v>
      </x:c>
      <x:c r="J2023" s="9" t="n">
        <x:v>51.51</x:v>
      </x:c>
      <x:c r="K2023" s="2" t="n">
        <x:v>8</x:v>
      </x:c>
      <x:c r="L2023" s="2" t="str">
        <x:v>Valid</x:v>
      </x:c>
      <x:c r="M2023" s="2" t="str">
        <x:v>QR</x:v>
      </x:c>
      <x:c r="N2023" s="2" t="n">
        <x:v>1</x:v>
      </x:c>
      <x:c r="O2023" s="2" t="str">
        <x:v>Accepted</x:v>
      </x:c>
      <x:c r="P2023" s="2" t="str">
        <x:v>S003</x:v>
      </x:c>
      <x:c r="Q2023" s="2" t="str">
        <x:v>DEV003</x:v>
      </x:c>
      <x:c r="R2023" s="2" t="n">
        <x:v>36</x:v>
      </x:c>
      <x:c r="S2023" s="2" t="str">
        <x:v>Online</x:v>
      </x:c>
      <x:c r="T2023" s="2" t="str">
        <x:v>Synced</x:v>
      </x:c>
    </x:row>
    <x:row r="2024" ht="21" customHeight="1">
      <x:c r="A2024" s="2" t="str">
        <x:v>EV001948</x:v>
      </x:c>
      <x:c r="B2024" s="2" t="str">
        <x:v>T20261008-1-1</x:v>
      </x:c>
      <x:c r="C2024" s="2" t="str">
        <x:v>ST017</x:v>
      </x:c>
      <x:c r="D2024" s="2" t="str">
        <x:v>ea6159d457322f2456f4cadd6b3d659f</x:v>
      </x:c>
      <x:c r="E2024" s="2" t="str">
        <x:v>CHECK_OUT</x:v>
      </x:c>
      <x:c r="F2024" s="8" t="n">
        <x:v>46303.27694444444</x:v>
      </x:c>
      <x:c r="G2024" s="8" t="n">
        <x:v>46303.27696759259</x:v>
      </x:c>
      <x:c r="H2024" s="2" t="str">
        <x:v>SCH01</x:v>
      </x:c>
      <x:c r="I2024" s="9" t="n">
        <x:v>25.285</x:v>
      </x:c>
      <x:c r="J2024" s="9" t="n">
        <x:v>51.51</x:v>
      </x:c>
      <x:c r="K2024" s="2" t="n">
        <x:v>8</x:v>
      </x:c>
      <x:c r="L2024" s="2" t="str">
        <x:v>Valid</x:v>
      </x:c>
      <x:c r="M2024" s="2" t="str">
        <x:v>QR</x:v>
      </x:c>
      <x:c r="N2024" s="2" t="n">
        <x:v>1</x:v>
      </x:c>
      <x:c r="O2024" s="2" t="str">
        <x:v>Accepted</x:v>
      </x:c>
      <x:c r="P2024" s="2" t="str">
        <x:v>S001</x:v>
      </x:c>
      <x:c r="Q2024" s="2" t="str">
        <x:v>DEV001</x:v>
      </x:c>
      <x:c r="R2024" s="2" t="n">
        <x:v>37</x:v>
      </x:c>
      <x:c r="S2024" s="2" t="str">
        <x:v>Online</x:v>
      </x:c>
      <x:c r="T2024" s="2" t="str">
        <x:v>Synced</x:v>
      </x:c>
    </x:row>
    <x:row r="2025" ht="21" customHeight="1">
      <x:c r="A2025" s="2" t="str">
        <x:v>EV002108</x:v>
      </x:c>
      <x:c r="B2025" s="2" t="str">
        <x:v>T20261008-1-2</x:v>
      </x:c>
      <x:c r="C2025" s="2" t="str">
        <x:v>ST057</x:v>
      </x:c>
      <x:c r="D2025" s="2" t="str">
        <x:v>68d992c7418727808ad27d2e5ee9b88d</x:v>
      </x:c>
      <x:c r="E2025" s="2" t="str">
        <x:v>CHECK_OUT</x:v>
      </x:c>
      <x:c r="F2025" s="8" t="n">
        <x:v>46303.27694444444</x:v>
      </x:c>
      <x:c r="G2025" s="8" t="n">
        <x:v>46303.27696759259</x:v>
      </x:c>
      <x:c r="H2025" s="2" t="str">
        <x:v>SCH01</x:v>
      </x:c>
      <x:c r="I2025" s="9" t="n">
        <x:v>25.285</x:v>
      </x:c>
      <x:c r="J2025" s="9" t="n">
        <x:v>51.51</x:v>
      </x:c>
      <x:c r="K2025" s="2" t="n">
        <x:v>8</x:v>
      </x:c>
      <x:c r="L2025" s="2" t="str">
        <x:v>Valid</x:v>
      </x:c>
      <x:c r="M2025" s="2" t="str">
        <x:v>QR</x:v>
      </x:c>
      <x:c r="N2025" s="2" t="n">
        <x:v>1</x:v>
      </x:c>
      <x:c r="O2025" s="2" t="str">
        <x:v>Accepted</x:v>
      </x:c>
      <x:c r="P2025" s="2" t="str">
        <x:v>S002</x:v>
      </x:c>
      <x:c r="Q2025" s="2" t="str">
        <x:v>DEV002</x:v>
      </x:c>
      <x:c r="R2025" s="2" t="n">
        <x:v>37</x:v>
      </x:c>
      <x:c r="S2025" s="2" t="str">
        <x:v>Online</x:v>
      </x:c>
      <x:c r="T2025" s="2" t="str">
        <x:v>Synced</x:v>
      </x:c>
    </x:row>
    <x:row r="2026" ht="21" customHeight="1">
      <x:c r="A2026" s="2" t="str">
        <x:v>EV002268</x:v>
      </x:c>
      <x:c r="B2026" s="2" t="str">
        <x:v>T20261008-1-3</x:v>
      </x:c>
      <x:c r="C2026" s="2" t="str">
        <x:v>ST097</x:v>
      </x:c>
      <x:c r="D2026" s="2" t="str">
        <x:v>0ccbf8d08569df9dde2207b8d5616d1e</x:v>
      </x:c>
      <x:c r="E2026" s="2" t="str">
        <x:v>CHECK_OUT</x:v>
      </x:c>
      <x:c r="F2026" s="8" t="n">
        <x:v>46303.27694444444</x:v>
      </x:c>
      <x:c r="G2026" s="8" t="n">
        <x:v>46303.27696759259</x:v>
      </x:c>
      <x:c r="H2026" s="2" t="str">
        <x:v>SCH01</x:v>
      </x:c>
      <x:c r="I2026" s="9" t="n">
        <x:v>25.285</x:v>
      </x:c>
      <x:c r="J2026" s="9" t="n">
        <x:v>51.51</x:v>
      </x:c>
      <x:c r="K2026" s="2" t="n">
        <x:v>8</x:v>
      </x:c>
      <x:c r="L2026" s="2" t="str">
        <x:v>Valid</x:v>
      </x:c>
      <x:c r="M2026" s="2" t="str">
        <x:v>QR</x:v>
      </x:c>
      <x:c r="N2026" s="2" t="n">
        <x:v>1</x:v>
      </x:c>
      <x:c r="O2026" s="2" t="str">
        <x:v>Accepted</x:v>
      </x:c>
      <x:c r="P2026" s="2" t="str">
        <x:v>S003</x:v>
      </x:c>
      <x:c r="Q2026" s="2" t="str">
        <x:v>DEV003</x:v>
      </x:c>
      <x:c r="R2026" s="2" t="n">
        <x:v>37</x:v>
      </x:c>
      <x:c r="S2026" s="2" t="str">
        <x:v>Online</x:v>
      </x:c>
      <x:c r="T2026" s="2" t="str">
        <x:v>Synced</x:v>
      </x:c>
    </x:row>
    <x:row r="2027" ht="21" customHeight="1">
      <x:c r="A2027" s="2" t="str">
        <x:v>EV001950</x:v>
      </x:c>
      <x:c r="B2027" s="2" t="str">
        <x:v>T20261008-1-1</x:v>
      </x:c>
      <x:c r="C2027" s="2" t="str">
        <x:v>ST018</x:v>
      </x:c>
      <x:c r="D2027" s="2" t="str">
        <x:v>4c1b40081ed5c7c21b8392ee528dbe54</x:v>
      </x:c>
      <x:c r="E2027" s="2" t="str">
        <x:v>CHECK_OUT</x:v>
      </x:c>
      <x:c r="F2027" s="8" t="n">
        <x:v>46303.276979166665</x:v>
      </x:c>
      <x:c r="G2027" s="8" t="n">
        <x:v>46303.27700231481</x:v>
      </x:c>
      <x:c r="H2027" s="2" t="str">
        <x:v>SCH01</x:v>
      </x:c>
      <x:c r="I2027" s="9" t="n">
        <x:v>25.285</x:v>
      </x:c>
      <x:c r="J2027" s="9" t="n">
        <x:v>51.51</x:v>
      </x:c>
      <x:c r="K2027" s="2" t="n">
        <x:v>8</x:v>
      </x:c>
      <x:c r="L2027" s="2" t="str">
        <x:v>Valid</x:v>
      </x:c>
      <x:c r="M2027" s="2" t="str">
        <x:v>QR</x:v>
      </x:c>
      <x:c r="N2027" s="2" t="n">
        <x:v>1</x:v>
      </x:c>
      <x:c r="O2027" s="2" t="str">
        <x:v>Accepted</x:v>
      </x:c>
      <x:c r="P2027" s="2" t="str">
        <x:v>S001</x:v>
      </x:c>
      <x:c r="Q2027" s="2" t="str">
        <x:v>DEV001</x:v>
      </x:c>
      <x:c r="R2027" s="2" t="n">
        <x:v>38</x:v>
      </x:c>
      <x:c r="S2027" s="2" t="str">
        <x:v>Online</x:v>
      </x:c>
      <x:c r="T2027" s="2" t="str">
        <x:v>Synced</x:v>
      </x:c>
    </x:row>
    <x:row r="2028" ht="21" customHeight="1">
      <x:c r="A2028" s="2" t="str">
        <x:v>EV002110</x:v>
      </x:c>
      <x:c r="B2028" s="2" t="str">
        <x:v>T20261008-1-2</x:v>
      </x:c>
      <x:c r="C2028" s="2" t="str">
        <x:v>ST058</x:v>
      </x:c>
      <x:c r="D2028" s="2" t="str">
        <x:v>ebf7e65b57e2c8bcd02f90b1d5692596</x:v>
      </x:c>
      <x:c r="E2028" s="2" t="str">
        <x:v>CHECK_OUT</x:v>
      </x:c>
      <x:c r="F2028" s="8" t="n">
        <x:v>46303.276979166665</x:v>
      </x:c>
      <x:c r="G2028" s="8" t="n">
        <x:v>46303.27700231481</x:v>
      </x:c>
      <x:c r="H2028" s="2" t="str">
        <x:v>SCH01</x:v>
      </x:c>
      <x:c r="I2028" s="9" t="n">
        <x:v>25.285</x:v>
      </x:c>
      <x:c r="J2028" s="9" t="n">
        <x:v>51.51</x:v>
      </x:c>
      <x:c r="K2028" s="2" t="n">
        <x:v>8</x:v>
      </x:c>
      <x:c r="L2028" s="2" t="str">
        <x:v>Valid</x:v>
      </x:c>
      <x:c r="M2028" s="2" t="str">
        <x:v>QR</x:v>
      </x:c>
      <x:c r="N2028" s="2" t="n">
        <x:v>1</x:v>
      </x:c>
      <x:c r="O2028" s="2" t="str">
        <x:v>Accepted</x:v>
      </x:c>
      <x:c r="P2028" s="2" t="str">
        <x:v>S002</x:v>
      </x:c>
      <x:c r="Q2028" s="2" t="str">
        <x:v>DEV002</x:v>
      </x:c>
      <x:c r="R2028" s="2" t="n">
        <x:v>38</x:v>
      </x:c>
      <x:c r="S2028" s="2" t="str">
        <x:v>Online</x:v>
      </x:c>
      <x:c r="T2028" s="2" t="str">
        <x:v>Synced</x:v>
      </x:c>
    </x:row>
    <x:row r="2029" ht="21" customHeight="1">
      <x:c r="A2029" s="2" t="str">
        <x:v>EV002270</x:v>
      </x:c>
      <x:c r="B2029" s="2" t="str">
        <x:v>T20261008-1-3</x:v>
      </x:c>
      <x:c r="C2029" s="2" t="str">
        <x:v>ST098</x:v>
      </x:c>
      <x:c r="D2029" s="2" t="str">
        <x:v>4b453acdeca94f98f11a429464f7bff7</x:v>
      </x:c>
      <x:c r="E2029" s="2" t="str">
        <x:v>CHECK_OUT</x:v>
      </x:c>
      <x:c r="F2029" s="8" t="n">
        <x:v>46303.276979166665</x:v>
      </x:c>
      <x:c r="G2029" s="8" t="n">
        <x:v>46303.27700231481</x:v>
      </x:c>
      <x:c r="H2029" s="2" t="str">
        <x:v>SCH01</x:v>
      </x:c>
      <x:c r="I2029" s="9" t="n">
        <x:v>25.285</x:v>
      </x:c>
      <x:c r="J2029" s="9" t="n">
        <x:v>51.51</x:v>
      </x:c>
      <x:c r="K2029" s="2" t="n">
        <x:v>8</x:v>
      </x:c>
      <x:c r="L2029" s="2" t="str">
        <x:v>Valid</x:v>
      </x:c>
      <x:c r="M2029" s="2" t="str">
        <x:v>QR</x:v>
      </x:c>
      <x:c r="N2029" s="2" t="n">
        <x:v>1</x:v>
      </x:c>
      <x:c r="O2029" s="2" t="str">
        <x:v>Accepted</x:v>
      </x:c>
      <x:c r="P2029" s="2" t="str">
        <x:v>S003</x:v>
      </x:c>
      <x:c r="Q2029" s="2" t="str">
        <x:v>DEV003</x:v>
      </x:c>
      <x:c r="R2029" s="2" t="n">
        <x:v>38</x:v>
      </x:c>
      <x:c r="S2029" s="2" t="str">
        <x:v>Online</x:v>
      </x:c>
      <x:c r="T2029" s="2" t="str">
        <x:v>Synced</x:v>
      </x:c>
    </x:row>
    <x:row r="2030" ht="21" customHeight="1">
      <x:c r="A2030" s="2" t="str">
        <x:v>EV001952</x:v>
      </x:c>
      <x:c r="B2030" s="2" t="str">
        <x:v>T20261008-1-1</x:v>
      </x:c>
      <x:c r="C2030" s="2" t="str">
        <x:v>ST019</x:v>
      </x:c>
      <x:c r="D2030" s="2" t="str">
        <x:v>b83400b1b6dcfb0f7cb413571cb76f8f</x:v>
      </x:c>
      <x:c r="E2030" s="2" t="str">
        <x:v>CHECK_OUT</x:v>
      </x:c>
      <x:c r="F2030" s="8" t="n">
        <x:v>46303.27701388889</x:v>
      </x:c>
      <x:c r="G2030" s="8" t="n">
        <x:v>46303.277037037034</x:v>
      </x:c>
      <x:c r="H2030" s="2" t="str">
        <x:v>SCH01</x:v>
      </x:c>
      <x:c r="I2030" s="9" t="n">
        <x:v>25.285</x:v>
      </x:c>
      <x:c r="J2030" s="9" t="n">
        <x:v>51.51</x:v>
      </x:c>
      <x:c r="K2030" s="2" t="n">
        <x:v>8</x:v>
      </x:c>
      <x:c r="L2030" s="2" t="str">
        <x:v>Valid</x:v>
      </x:c>
      <x:c r="M2030" s="2" t="str">
        <x:v>QR</x:v>
      </x:c>
      <x:c r="N2030" s="2" t="n">
        <x:v>1</x:v>
      </x:c>
      <x:c r="O2030" s="2" t="str">
        <x:v>Accepted</x:v>
      </x:c>
      <x:c r="P2030" s="2" t="str">
        <x:v>S001</x:v>
      </x:c>
      <x:c r="Q2030" s="2" t="str">
        <x:v>DEV001</x:v>
      </x:c>
      <x:c r="R2030" s="2" t="n">
        <x:v>39</x:v>
      </x:c>
      <x:c r="S2030" s="2" t="str">
        <x:v>Online</x:v>
      </x:c>
      <x:c r="T2030" s="2" t="str">
        <x:v>Synced</x:v>
      </x:c>
    </x:row>
    <x:row r="2031" ht="21" customHeight="1">
      <x:c r="A2031" s="2" t="str">
        <x:v>EV002112</x:v>
      </x:c>
      <x:c r="B2031" s="2" t="str">
        <x:v>T20261008-1-2</x:v>
      </x:c>
      <x:c r="C2031" s="2" t="str">
        <x:v>ST059</x:v>
      </x:c>
      <x:c r="D2031" s="2" t="str">
        <x:v>08b31edc14b3a345822a41d6515bfcba</x:v>
      </x:c>
      <x:c r="E2031" s="2" t="str">
        <x:v>CHECK_OUT</x:v>
      </x:c>
      <x:c r="F2031" s="8" t="n">
        <x:v>46303.27701388889</x:v>
      </x:c>
      <x:c r="G2031" s="8" t="n">
        <x:v>46303.277037037034</x:v>
      </x:c>
      <x:c r="H2031" s="2" t="str">
        <x:v>SCH01</x:v>
      </x:c>
      <x:c r="I2031" s="9" t="n">
        <x:v>25.285</x:v>
      </x:c>
      <x:c r="J2031" s="9" t="n">
        <x:v>51.51</x:v>
      </x:c>
      <x:c r="K2031" s="2" t="n">
        <x:v>8</x:v>
      </x:c>
      <x:c r="L2031" s="2" t="str">
        <x:v>Valid</x:v>
      </x:c>
      <x:c r="M2031" s="2" t="str">
        <x:v>QR</x:v>
      </x:c>
      <x:c r="N2031" s="2" t="n">
        <x:v>1</x:v>
      </x:c>
      <x:c r="O2031" s="2" t="str">
        <x:v>Accepted</x:v>
      </x:c>
      <x:c r="P2031" s="2" t="str">
        <x:v>S002</x:v>
      </x:c>
      <x:c r="Q2031" s="2" t="str">
        <x:v>DEV002</x:v>
      </x:c>
      <x:c r="R2031" s="2" t="n">
        <x:v>39</x:v>
      </x:c>
      <x:c r="S2031" s="2" t="str">
        <x:v>Online</x:v>
      </x:c>
      <x:c r="T2031" s="2" t="str">
        <x:v>Synced</x:v>
      </x:c>
    </x:row>
    <x:row r="2032" ht="21" customHeight="1">
      <x:c r="A2032" s="2" t="str">
        <x:v>EV002272</x:v>
      </x:c>
      <x:c r="B2032" s="2" t="str">
        <x:v>T20261008-1-3</x:v>
      </x:c>
      <x:c r="C2032" s="2" t="str">
        <x:v>ST099</x:v>
      </x:c>
      <x:c r="D2032" s="2" t="str">
        <x:v>46d20c66394c55b68e36e5335452d87c</x:v>
      </x:c>
      <x:c r="E2032" s="2" t="str">
        <x:v>CHECK_OUT</x:v>
      </x:c>
      <x:c r="F2032" s="8" t="n">
        <x:v>46303.27701388889</x:v>
      </x:c>
      <x:c r="G2032" s="8" t="n">
        <x:v>46303.277037037034</x:v>
      </x:c>
      <x:c r="H2032" s="2" t="str">
        <x:v>SCH01</x:v>
      </x:c>
      <x:c r="I2032" s="9" t="n">
        <x:v>25.285</x:v>
      </x:c>
      <x:c r="J2032" s="9" t="n">
        <x:v>51.51</x:v>
      </x:c>
      <x:c r="K2032" s="2" t="n">
        <x:v>8</x:v>
      </x:c>
      <x:c r="L2032" s="2" t="str">
        <x:v>Valid</x:v>
      </x:c>
      <x:c r="M2032" s="2" t="str">
        <x:v>QR</x:v>
      </x:c>
      <x:c r="N2032" s="2" t="n">
        <x:v>1</x:v>
      </x:c>
      <x:c r="O2032" s="2" t="str">
        <x:v>Accepted</x:v>
      </x:c>
      <x:c r="P2032" s="2" t="str">
        <x:v>S003</x:v>
      </x:c>
      <x:c r="Q2032" s="2" t="str">
        <x:v>DEV003</x:v>
      </x:c>
      <x:c r="R2032" s="2" t="n">
        <x:v>39</x:v>
      </x:c>
      <x:c r="S2032" s="2" t="str">
        <x:v>Online</x:v>
      </x:c>
      <x:c r="T2032" s="2" t="str">
        <x:v>Synced</x:v>
      </x:c>
    </x:row>
    <x:row r="2033" ht="21" customHeight="1">
      <x:c r="A2033" s="2" t="str">
        <x:v>EV001954</x:v>
      </x:c>
      <x:c r="B2033" s="2" t="str">
        <x:v>T20261008-1-1</x:v>
      </x:c>
      <x:c r="C2033" s="2" t="str">
        <x:v>ST020</x:v>
      </x:c>
      <x:c r="D2033" s="2" t="str">
        <x:v>9f8daa9030f9f7599cd24e056935ab8d</x:v>
      </x:c>
      <x:c r="E2033" s="2" t="str">
        <x:v>CHECK_OUT</x:v>
      </x:c>
      <x:c r="F2033" s="8" t="n">
        <x:v>46303.27704861111</x:v>
      </x:c>
      <x:c r="G2033" s="8" t="n">
        <x:v>46303.27707175926</x:v>
      </x:c>
      <x:c r="H2033" s="2" t="str">
        <x:v>SCH01</x:v>
      </x:c>
      <x:c r="I2033" s="9" t="n">
        <x:v>25.285</x:v>
      </x:c>
      <x:c r="J2033" s="9" t="n">
        <x:v>51.51</x:v>
      </x:c>
      <x:c r="K2033" s="2" t="n">
        <x:v>8</x:v>
      </x:c>
      <x:c r="L2033" s="2" t="str">
        <x:v>Valid</x:v>
      </x:c>
      <x:c r="M2033" s="2" t="str">
        <x:v>QR</x:v>
      </x:c>
      <x:c r="N2033" s="2" t="n">
        <x:v>1</x:v>
      </x:c>
      <x:c r="O2033" s="2" t="str">
        <x:v>Accepted</x:v>
      </x:c>
      <x:c r="P2033" s="2" t="str">
        <x:v>S001</x:v>
      </x:c>
      <x:c r="Q2033" s="2" t="str">
        <x:v>DEV001</x:v>
      </x:c>
      <x:c r="R2033" s="2" t="n">
        <x:v>40</x:v>
      </x:c>
      <x:c r="S2033" s="2" t="str">
        <x:v>Online</x:v>
      </x:c>
      <x:c r="T2033" s="2" t="str">
        <x:v>Synced</x:v>
      </x:c>
    </x:row>
    <x:row r="2034" ht="21" customHeight="1">
      <x:c r="A2034" s="2" t="str">
        <x:v>EV002114</x:v>
      </x:c>
      <x:c r="B2034" s="2" t="str">
        <x:v>T20261008-1-2</x:v>
      </x:c>
      <x:c r="C2034" s="2" t="str">
        <x:v>ST060</x:v>
      </x:c>
      <x:c r="D2034" s="2" t="str">
        <x:v>a424ea3d9a5cb1c08037457e61cef61f</x:v>
      </x:c>
      <x:c r="E2034" s="2" t="str">
        <x:v>CHECK_OUT</x:v>
      </x:c>
      <x:c r="F2034" s="8" t="n">
        <x:v>46303.27704861111</x:v>
      </x:c>
      <x:c r="G2034" s="8" t="n">
        <x:v>46303.27707175926</x:v>
      </x:c>
      <x:c r="H2034" s="2" t="str">
        <x:v>SCH01</x:v>
      </x:c>
      <x:c r="I2034" s="9" t="n">
        <x:v>25.285</x:v>
      </x:c>
      <x:c r="J2034" s="9" t="n">
        <x:v>51.51</x:v>
      </x:c>
      <x:c r="K2034" s="2" t="n">
        <x:v>8</x:v>
      </x:c>
      <x:c r="L2034" s="2" t="str">
        <x:v>Valid</x:v>
      </x:c>
      <x:c r="M2034" s="2" t="str">
        <x:v>QR</x:v>
      </x:c>
      <x:c r="N2034" s="2" t="n">
        <x:v>1</x:v>
      </x:c>
      <x:c r="O2034" s="2" t="str">
        <x:v>Accepted</x:v>
      </x:c>
      <x:c r="P2034" s="2" t="str">
        <x:v>S002</x:v>
      </x:c>
      <x:c r="Q2034" s="2" t="str">
        <x:v>DEV002</x:v>
      </x:c>
      <x:c r="R2034" s="2" t="n">
        <x:v>40</x:v>
      </x:c>
      <x:c r="S2034" s="2" t="str">
        <x:v>Online</x:v>
      </x:c>
      <x:c r="T2034" s="2" t="str">
        <x:v>Synced</x:v>
      </x:c>
    </x:row>
    <x:row r="2035" ht="21" customHeight="1">
      <x:c r="A2035" s="2" t="str">
        <x:v>EV002274</x:v>
      </x:c>
      <x:c r="B2035" s="2" t="str">
        <x:v>T20261008-1-3</x:v>
      </x:c>
      <x:c r="C2035" s="2" t="str">
        <x:v>ST100</x:v>
      </x:c>
      <x:c r="D2035" s="2" t="str">
        <x:v>6ba3ddf298bc4515d195454c1e81d9d6</x:v>
      </x:c>
      <x:c r="E2035" s="2" t="str">
        <x:v>CHECK_OUT</x:v>
      </x:c>
      <x:c r="F2035" s="8" t="n">
        <x:v>46303.27704861111</x:v>
      </x:c>
      <x:c r="G2035" s="8" t="n">
        <x:v>46303.27707175926</x:v>
      </x:c>
      <x:c r="H2035" s="2" t="str">
        <x:v>SCH01</x:v>
      </x:c>
      <x:c r="I2035" s="9" t="n">
        <x:v>25.285</x:v>
      </x:c>
      <x:c r="J2035" s="9" t="n">
        <x:v>51.51</x:v>
      </x:c>
      <x:c r="K2035" s="2" t="n">
        <x:v>8</x:v>
      </x:c>
      <x:c r="L2035" s="2" t="str">
        <x:v>Valid</x:v>
      </x:c>
      <x:c r="M2035" s="2" t="str">
        <x:v>QR</x:v>
      </x:c>
      <x:c r="N2035" s="2" t="n">
        <x:v>1</x:v>
      </x:c>
      <x:c r="O2035" s="2" t="str">
        <x:v>Accepted</x:v>
      </x:c>
      <x:c r="P2035" s="2" t="str">
        <x:v>S003</x:v>
      </x:c>
      <x:c r="Q2035" s="2" t="str">
        <x:v>DEV003</x:v>
      </x:c>
      <x:c r="R2035" s="2" t="n">
        <x:v>40</x:v>
      </x:c>
      <x:c r="S2035" s="2" t="str">
        <x:v>Online</x:v>
      </x:c>
      <x:c r="T2035" s="2" t="str">
        <x:v>Synced</x:v>
      </x:c>
    </x:row>
    <x:row r="2036" ht="21" customHeight="1">
      <x:c r="A2036" s="2" t="str">
        <x:v>EV001955</x:v>
      </x:c>
      <x:c r="B2036" s="2" t="str">
        <x:v>T20261008-2-1</x:v>
      </x:c>
      <x:c r="C2036" s="2" t="str">
        <x:v>ST001</x:v>
      </x:c>
      <x:c r="D2036" s="2" t="str">
        <x:v>c33d277e346360e93548e66cbf71eda4</x:v>
      </x:c>
      <x:c r="E2036" s="2" t="str">
        <x:v>CHECK_IN</x:v>
      </x:c>
      <x:c r="F2036" s="8" t="n">
        <x:v>46303.4375</x:v>
      </x:c>
      <x:c r="G2036" s="8" t="n">
        <x:v>46303.437523148146</x:v>
      </x:c>
      <x:c r="H2036" s="2" t="str">
        <x:v>SCH01</x:v>
      </x:c>
      <x:c r="I2036" s="9" t="n">
        <x:v>25.285</x:v>
      </x:c>
      <x:c r="J2036" s="9" t="n">
        <x:v>51.51</x:v>
      </x:c>
      <x:c r="K2036" s="2" t="n">
        <x:v>8</x:v>
      </x:c>
      <x:c r="L2036" s="2" t="str">
        <x:v>Valid</x:v>
      </x:c>
      <x:c r="M2036" s="2" t="str">
        <x:v>QR</x:v>
      </x:c>
      <x:c r="N2036" s="2" t="n">
        <x:v>1</x:v>
      </x:c>
      <x:c r="O2036" s="2" t="str">
        <x:v>Accepted</x:v>
      </x:c>
      <x:c r="P2036" s="2" t="str">
        <x:v>S001</x:v>
      </x:c>
      <x:c r="Q2036" s="2" t="str">
        <x:v>DEV001</x:v>
      </x:c>
      <x:c r="R2036" s="2" t="n">
        <x:v>1</x:v>
      </x:c>
      <x:c r="S2036" s="2" t="str">
        <x:v>Online</x:v>
      </x:c>
      <x:c r="T2036" s="2" t="str">
        <x:v>Synced</x:v>
      </x:c>
    </x:row>
    <x:row r="2037" ht="21" customHeight="1">
      <x:c r="A2037" s="2" t="str">
        <x:v>EV002115</x:v>
      </x:c>
      <x:c r="B2037" s="2" t="str">
        <x:v>T20261008-2-2</x:v>
      </x:c>
      <x:c r="C2037" s="2" t="str">
        <x:v>ST041</x:v>
      </x:c>
      <x:c r="D2037" s="2" t="str">
        <x:v>78597cf805a87b7619460b6ed67f501f</x:v>
      </x:c>
      <x:c r="E2037" s="2" t="str">
        <x:v>CHECK_IN</x:v>
      </x:c>
      <x:c r="F2037" s="8" t="n">
        <x:v>46303.4375</x:v>
      </x:c>
      <x:c r="G2037" s="8" t="n">
        <x:v>46303.437523148146</x:v>
      </x:c>
      <x:c r="H2037" s="2" t="str">
        <x:v>SCH01</x:v>
      </x:c>
      <x:c r="I2037" s="9" t="n">
        <x:v>25.285</x:v>
      </x:c>
      <x:c r="J2037" s="9" t="n">
        <x:v>51.51</x:v>
      </x:c>
      <x:c r="K2037" s="2" t="n">
        <x:v>8</x:v>
      </x:c>
      <x:c r="L2037" s="2" t="str">
        <x:v>Valid</x:v>
      </x:c>
      <x:c r="M2037" s="2" t="str">
        <x:v>QR</x:v>
      </x:c>
      <x:c r="N2037" s="2" t="n">
        <x:v>1</x:v>
      </x:c>
      <x:c r="O2037" s="2" t="str">
        <x:v>Accepted</x:v>
      </x:c>
      <x:c r="P2037" s="2" t="str">
        <x:v>S002</x:v>
      </x:c>
      <x:c r="Q2037" s="2" t="str">
        <x:v>DEV002</x:v>
      </x:c>
      <x:c r="R2037" s="2" t="n">
        <x:v>1</x:v>
      </x:c>
      <x:c r="S2037" s="2" t="str">
        <x:v>Online</x:v>
      </x:c>
      <x:c r="T2037" s="2" t="str">
        <x:v>Synced</x:v>
      </x:c>
    </x:row>
    <x:row r="2038" ht="21" customHeight="1">
      <x:c r="A2038" s="2" t="str">
        <x:v>EV002275</x:v>
      </x:c>
      <x:c r="B2038" s="2" t="str">
        <x:v>T20261008-2-3</x:v>
      </x:c>
      <x:c r="C2038" s="2" t="str">
        <x:v>ST081</x:v>
      </x:c>
      <x:c r="D2038" s="2" t="str">
        <x:v>8631b63b10b36bffa6456d354db9c08f</x:v>
      </x:c>
      <x:c r="E2038" s="2" t="str">
        <x:v>CHECK_IN</x:v>
      </x:c>
      <x:c r="F2038" s="8" t="n">
        <x:v>46303.4375</x:v>
      </x:c>
      <x:c r="G2038" s="8" t="n">
        <x:v>46303.437523148146</x:v>
      </x:c>
      <x:c r="H2038" s="2" t="str">
        <x:v>SCH01</x:v>
      </x:c>
      <x:c r="I2038" s="9" t="n">
        <x:v>25.285</x:v>
      </x:c>
      <x:c r="J2038" s="9" t="n">
        <x:v>51.51</x:v>
      </x:c>
      <x:c r="K2038" s="2" t="n">
        <x:v>8</x:v>
      </x:c>
      <x:c r="L2038" s="2" t="str">
        <x:v>Valid</x:v>
      </x:c>
      <x:c r="M2038" s="2" t="str">
        <x:v>QR</x:v>
      </x:c>
      <x:c r="N2038" s="2" t="n">
        <x:v>1</x:v>
      </x:c>
      <x:c r="O2038" s="2" t="str">
        <x:v>Accepted</x:v>
      </x:c>
      <x:c r="P2038" s="2" t="str">
        <x:v>S003</x:v>
      </x:c>
      <x:c r="Q2038" s="2" t="str">
        <x:v>DEV003</x:v>
      </x:c>
      <x:c r="R2038" s="2" t="n">
        <x:v>1</x:v>
      </x:c>
      <x:c r="S2038" s="2" t="str">
        <x:v>Online</x:v>
      </x:c>
      <x:c r="T2038" s="2" t="str">
        <x:v>Synced</x:v>
      </x:c>
    </x:row>
    <x:row r="2039" ht="21" customHeight="1">
      <x:c r="A2039" s="2" t="str">
        <x:v>EV001957</x:v>
      </x:c>
      <x:c r="B2039" s="2" t="str">
        <x:v>T20261008-2-1</x:v>
      </x:c>
      <x:c r="C2039" s="2" t="str">
        <x:v>ST002</x:v>
      </x:c>
      <x:c r="D2039" s="2" t="str">
        <x:v>c9302a76d79e524442f3775978bb57a1</x:v>
      </x:c>
      <x:c r="E2039" s="2" t="str">
        <x:v>CHECK_IN</x:v>
      </x:c>
      <x:c r="F2039" s="8" t="n">
        <x:v>46303.43753472222</x:v>
      </x:c>
      <x:c r="G2039" s="8" t="n">
        <x:v>46303.43755787037</x:v>
      </x:c>
      <x:c r="H2039" s="2" t="str">
        <x:v>SCH01</x:v>
      </x:c>
      <x:c r="I2039" s="9" t="n">
        <x:v>25.285</x:v>
      </x:c>
      <x:c r="J2039" s="9" t="n">
        <x:v>51.51</x:v>
      </x:c>
      <x:c r="K2039" s="2" t="n">
        <x:v>8</x:v>
      </x:c>
      <x:c r="L2039" s="2" t="str">
        <x:v>Valid</x:v>
      </x:c>
      <x:c r="M2039" s="2" t="str">
        <x:v>QR</x:v>
      </x:c>
      <x:c r="N2039" s="2" t="n">
        <x:v>1</x:v>
      </x:c>
      <x:c r="O2039" s="2" t="str">
        <x:v>Accepted</x:v>
      </x:c>
      <x:c r="P2039" s="2" t="str">
        <x:v>S001</x:v>
      </x:c>
      <x:c r="Q2039" s="2" t="str">
        <x:v>DEV001</x:v>
      </x:c>
      <x:c r="R2039" s="2" t="n">
        <x:v>2</x:v>
      </x:c>
      <x:c r="S2039" s="2" t="str">
        <x:v>Online</x:v>
      </x:c>
      <x:c r="T2039" s="2" t="str">
        <x:v>Synced</x:v>
      </x:c>
    </x:row>
    <x:row r="2040" ht="21" customHeight="1">
      <x:c r="A2040" s="2" t="str">
        <x:v>EV002117</x:v>
      </x:c>
      <x:c r="B2040" s="2" t="str">
        <x:v>T20261008-2-2</x:v>
      </x:c>
      <x:c r="C2040" s="2" t="str">
        <x:v>ST042</x:v>
      </x:c>
      <x:c r="D2040" s="2" t="str">
        <x:v>9cf3254a8e8c8233e36089501cd1bc60</x:v>
      </x:c>
      <x:c r="E2040" s="2" t="str">
        <x:v>CHECK_IN</x:v>
      </x:c>
      <x:c r="F2040" s="8" t="n">
        <x:v>46303.43753472222</x:v>
      </x:c>
      <x:c r="G2040" s="8" t="n">
        <x:v>46303.43755787037</x:v>
      </x:c>
      <x:c r="H2040" s="2" t="str">
        <x:v>SCH01</x:v>
      </x:c>
      <x:c r="I2040" s="9" t="n">
        <x:v>25.285</x:v>
      </x:c>
      <x:c r="J2040" s="9" t="n">
        <x:v>51.51</x:v>
      </x:c>
      <x:c r="K2040" s="2" t="n">
        <x:v>8</x:v>
      </x:c>
      <x:c r="L2040" s="2" t="str">
        <x:v>Valid</x:v>
      </x:c>
      <x:c r="M2040" s="2" t="str">
        <x:v>QR</x:v>
      </x:c>
      <x:c r="N2040" s="2" t="n">
        <x:v>1</x:v>
      </x:c>
      <x:c r="O2040" s="2" t="str">
        <x:v>Accepted</x:v>
      </x:c>
      <x:c r="P2040" s="2" t="str">
        <x:v>S002</x:v>
      </x:c>
      <x:c r="Q2040" s="2" t="str">
        <x:v>DEV002</x:v>
      </x:c>
      <x:c r="R2040" s="2" t="n">
        <x:v>2</x:v>
      </x:c>
      <x:c r="S2040" s="2" t="str">
        <x:v>Online</x:v>
      </x:c>
      <x:c r="T2040" s="2" t="str">
        <x:v>Synced</x:v>
      </x:c>
    </x:row>
    <x:row r="2041" ht="21" customHeight="1">
      <x:c r="A2041" s="2" t="str">
        <x:v>EV002277</x:v>
      </x:c>
      <x:c r="B2041" s="2" t="str">
        <x:v>T20261008-2-3</x:v>
      </x:c>
      <x:c r="C2041" s="2" t="str">
        <x:v>ST082</x:v>
      </x:c>
      <x:c r="D2041" s="2" t="str">
        <x:v>fb7e28e2da3ace738571a6966bcaaec0</x:v>
      </x:c>
      <x:c r="E2041" s="2" t="str">
        <x:v>CHECK_IN</x:v>
      </x:c>
      <x:c r="F2041" s="8" t="n">
        <x:v>46303.43753472222</x:v>
      </x:c>
      <x:c r="G2041" s="8" t="n">
        <x:v>46303.43755787037</x:v>
      </x:c>
      <x:c r="H2041" s="2" t="str">
        <x:v>SCH01</x:v>
      </x:c>
      <x:c r="I2041" s="9" t="n">
        <x:v>25.285</x:v>
      </x:c>
      <x:c r="J2041" s="9" t="n">
        <x:v>51.51</x:v>
      </x:c>
      <x:c r="K2041" s="2" t="n">
        <x:v>8</x:v>
      </x:c>
      <x:c r="L2041" s="2" t="str">
        <x:v>Valid</x:v>
      </x:c>
      <x:c r="M2041" s="2" t="str">
        <x:v>QR</x:v>
      </x:c>
      <x:c r="N2041" s="2" t="n">
        <x:v>1</x:v>
      </x:c>
      <x:c r="O2041" s="2" t="str">
        <x:v>Accepted</x:v>
      </x:c>
      <x:c r="P2041" s="2" t="str">
        <x:v>S003</x:v>
      </x:c>
      <x:c r="Q2041" s="2" t="str">
        <x:v>DEV003</x:v>
      </x:c>
      <x:c r="R2041" s="2" t="n">
        <x:v>2</x:v>
      </x:c>
      <x:c r="S2041" s="2" t="str">
        <x:v>Online</x:v>
      </x:c>
      <x:c r="T2041" s="2" t="str">
        <x:v>Synced</x:v>
      </x:c>
    </x:row>
    <x:row r="2042" ht="21" customHeight="1">
      <x:c r="A2042" s="2" t="str">
        <x:v>EV001959</x:v>
      </x:c>
      <x:c r="B2042" s="2" t="str">
        <x:v>T20261008-2-1</x:v>
      </x:c>
      <x:c r="C2042" s="2" t="str">
        <x:v>ST003</x:v>
      </x:c>
      <x:c r="D2042" s="2" t="str">
        <x:v>7598e98213cb52db1085c9a94fae1915</x:v>
      </x:c>
      <x:c r="E2042" s="2" t="str">
        <x:v>CHECK_IN</x:v>
      </x:c>
      <x:c r="F2042" s="8" t="n">
        <x:v>46303.437569444446</x:v>
      </x:c>
      <x:c r="G2042" s="8" t="n">
        <x:v>46303.43759259259</x:v>
      </x:c>
      <x:c r="H2042" s="2" t="str">
        <x:v>SCH01</x:v>
      </x:c>
      <x:c r="I2042" s="9" t="n">
        <x:v>25.285</x:v>
      </x:c>
      <x:c r="J2042" s="9" t="n">
        <x:v>51.51</x:v>
      </x:c>
      <x:c r="K2042" s="2" t="n">
        <x:v>8</x:v>
      </x:c>
      <x:c r="L2042" s="2" t="str">
        <x:v>Valid</x:v>
      </x:c>
      <x:c r="M2042" s="2" t="str">
        <x:v>QR</x:v>
      </x:c>
      <x:c r="N2042" s="2" t="n">
        <x:v>1</x:v>
      </x:c>
      <x:c r="O2042" s="2" t="str">
        <x:v>Accepted</x:v>
      </x:c>
      <x:c r="P2042" s="2" t="str">
        <x:v>S001</x:v>
      </x:c>
      <x:c r="Q2042" s="2" t="str">
        <x:v>DEV001</x:v>
      </x:c>
      <x:c r="R2042" s="2" t="n">
        <x:v>3</x:v>
      </x:c>
      <x:c r="S2042" s="2" t="str">
        <x:v>Online</x:v>
      </x:c>
      <x:c r="T2042" s="2" t="str">
        <x:v>Synced</x:v>
      </x:c>
    </x:row>
    <x:row r="2043" ht="21" customHeight="1">
      <x:c r="A2043" s="2" t="str">
        <x:v>EV002119</x:v>
      </x:c>
      <x:c r="B2043" s="2" t="str">
        <x:v>T20261008-2-2</x:v>
      </x:c>
      <x:c r="C2043" s="2" t="str">
        <x:v>ST043</x:v>
      </x:c>
      <x:c r="D2043" s="2" t="str">
        <x:v>db51093fe9dac44d59345ee12f7e9c56</x:v>
      </x:c>
      <x:c r="E2043" s="2" t="str">
        <x:v>CHECK_IN</x:v>
      </x:c>
      <x:c r="F2043" s="8" t="n">
        <x:v>46303.437569444446</x:v>
      </x:c>
      <x:c r="G2043" s="8" t="n">
        <x:v>46303.43759259259</x:v>
      </x:c>
      <x:c r="H2043" s="2" t="str">
        <x:v>SCH01</x:v>
      </x:c>
      <x:c r="I2043" s="9" t="n">
        <x:v>25.285</x:v>
      </x:c>
      <x:c r="J2043" s="9" t="n">
        <x:v>51.51</x:v>
      </x:c>
      <x:c r="K2043" s="2" t="n">
        <x:v>8</x:v>
      </x:c>
      <x:c r="L2043" s="2" t="str">
        <x:v>Valid</x:v>
      </x:c>
      <x:c r="M2043" s="2" t="str">
        <x:v>QR</x:v>
      </x:c>
      <x:c r="N2043" s="2" t="n">
        <x:v>1</x:v>
      </x:c>
      <x:c r="O2043" s="2" t="str">
        <x:v>Accepted</x:v>
      </x:c>
      <x:c r="P2043" s="2" t="str">
        <x:v>S002</x:v>
      </x:c>
      <x:c r="Q2043" s="2" t="str">
        <x:v>DEV002</x:v>
      </x:c>
      <x:c r="R2043" s="2" t="n">
        <x:v>3</x:v>
      </x:c>
      <x:c r="S2043" s="2" t="str">
        <x:v>Online</x:v>
      </x:c>
      <x:c r="T2043" s="2" t="str">
        <x:v>Synced</x:v>
      </x:c>
    </x:row>
    <x:row r="2044" ht="21" customHeight="1">
      <x:c r="A2044" s="2" t="str">
        <x:v>EV002279</x:v>
      </x:c>
      <x:c r="B2044" s="2" t="str">
        <x:v>T20261008-2-3</x:v>
      </x:c>
      <x:c r="C2044" s="2" t="str">
        <x:v>ST083</x:v>
      </x:c>
      <x:c r="D2044" s="2" t="str">
        <x:v>19cc474730ce4d97be031814010d13a9</x:v>
      </x:c>
      <x:c r="E2044" s="2" t="str">
        <x:v>CHECK_IN</x:v>
      </x:c>
      <x:c r="F2044" s="8" t="n">
        <x:v>46303.437569444446</x:v>
      </x:c>
      <x:c r="G2044" s="8" t="n">
        <x:v>46303.43759259259</x:v>
      </x:c>
      <x:c r="H2044" s="2" t="str">
        <x:v>SCH01</x:v>
      </x:c>
      <x:c r="I2044" s="9" t="n">
        <x:v>25.285</x:v>
      </x:c>
      <x:c r="J2044" s="9" t="n">
        <x:v>51.51</x:v>
      </x:c>
      <x:c r="K2044" s="2" t="n">
        <x:v>8</x:v>
      </x:c>
      <x:c r="L2044" s="2" t="str">
        <x:v>Valid</x:v>
      </x:c>
      <x:c r="M2044" s="2" t="str">
        <x:v>QR</x:v>
      </x:c>
      <x:c r="N2044" s="2" t="n">
        <x:v>1</x:v>
      </x:c>
      <x:c r="O2044" s="2" t="str">
        <x:v>Accepted</x:v>
      </x:c>
      <x:c r="P2044" s="2" t="str">
        <x:v>S003</x:v>
      </x:c>
      <x:c r="Q2044" s="2" t="str">
        <x:v>DEV003</x:v>
      </x:c>
      <x:c r="R2044" s="2" t="n">
        <x:v>3</x:v>
      </x:c>
      <x:c r="S2044" s="2" t="str">
        <x:v>Online</x:v>
      </x:c>
      <x:c r="T2044" s="2" t="str">
        <x:v>Synced</x:v>
      </x:c>
    </x:row>
    <x:row r="2045" ht="21" customHeight="1">
      <x:c r="A2045" s="2" t="str">
        <x:v>EV001961</x:v>
      </x:c>
      <x:c r="B2045" s="2" t="str">
        <x:v>T20261008-2-1</x:v>
      </x:c>
      <x:c r="C2045" s="2" t="str">
        <x:v>ST004</x:v>
      </x:c>
      <x:c r="D2045" s="2" t="str">
        <x:v>7dee56e67101a0dd8483e1503eba9a72</x:v>
      </x:c>
      <x:c r="E2045" s="2" t="str">
        <x:v>CHECK_IN</x:v>
      </x:c>
      <x:c r="F2045" s="8" t="n">
        <x:v>46303.43760416667</x:v>
      </x:c>
      <x:c r="G2045" s="8" t="n">
        <x:v>46303.437627314815</x:v>
      </x:c>
      <x:c r="H2045" s="2" t="str">
        <x:v>SCH01</x:v>
      </x:c>
      <x:c r="I2045" s="9" t="n">
        <x:v>25.285</x:v>
      </x:c>
      <x:c r="J2045" s="9" t="n">
        <x:v>51.51</x:v>
      </x:c>
      <x:c r="K2045" s="2" t="n">
        <x:v>8</x:v>
      </x:c>
      <x:c r="L2045" s="2" t="str">
        <x:v>Valid</x:v>
      </x:c>
      <x:c r="M2045" s="2" t="str">
        <x:v>QR</x:v>
      </x:c>
      <x:c r="N2045" s="2" t="n">
        <x:v>1</x:v>
      </x:c>
      <x:c r="O2045" s="2" t="str">
        <x:v>Accepted</x:v>
      </x:c>
      <x:c r="P2045" s="2" t="str">
        <x:v>S001</x:v>
      </x:c>
      <x:c r="Q2045" s="2" t="str">
        <x:v>DEV001</x:v>
      </x:c>
      <x:c r="R2045" s="2" t="n">
        <x:v>4</x:v>
      </x:c>
      <x:c r="S2045" s="2" t="str">
        <x:v>Online</x:v>
      </x:c>
      <x:c r="T2045" s="2" t="str">
        <x:v>Synced</x:v>
      </x:c>
    </x:row>
    <x:row r="2046" ht="21" customHeight="1">
      <x:c r="A2046" s="2" t="str">
        <x:v>EV002121</x:v>
      </x:c>
      <x:c r="B2046" s="2" t="str">
        <x:v>T20261008-2-2</x:v>
      </x:c>
      <x:c r="C2046" s="2" t="str">
        <x:v>ST044</x:v>
      </x:c>
      <x:c r="D2046" s="2" t="str">
        <x:v>638b036dff08260bc8976402fb10157a</x:v>
      </x:c>
      <x:c r="E2046" s="2" t="str">
        <x:v>CHECK_IN</x:v>
      </x:c>
      <x:c r="F2046" s="8" t="n">
        <x:v>46303.43760416667</x:v>
      </x:c>
      <x:c r="G2046" s="8" t="n">
        <x:v>46303.437627314815</x:v>
      </x:c>
      <x:c r="H2046" s="2" t="str">
        <x:v>SCH01</x:v>
      </x:c>
      <x:c r="I2046" s="9" t="n">
        <x:v>25.285</x:v>
      </x:c>
      <x:c r="J2046" s="9" t="n">
        <x:v>51.51</x:v>
      </x:c>
      <x:c r="K2046" s="2" t="n">
        <x:v>8</x:v>
      </x:c>
      <x:c r="L2046" s="2" t="str">
        <x:v>Valid</x:v>
      </x:c>
      <x:c r="M2046" s="2" t="str">
        <x:v>QR</x:v>
      </x:c>
      <x:c r="N2046" s="2" t="n">
        <x:v>1</x:v>
      </x:c>
      <x:c r="O2046" s="2" t="str">
        <x:v>Accepted</x:v>
      </x:c>
      <x:c r="P2046" s="2" t="str">
        <x:v>S002</x:v>
      </x:c>
      <x:c r="Q2046" s="2" t="str">
        <x:v>DEV002</x:v>
      </x:c>
      <x:c r="R2046" s="2" t="n">
        <x:v>4</x:v>
      </x:c>
      <x:c r="S2046" s="2" t="str">
        <x:v>Online</x:v>
      </x:c>
      <x:c r="T2046" s="2" t="str">
        <x:v>Synced</x:v>
      </x:c>
    </x:row>
    <x:row r="2047" ht="21" customHeight="1">
      <x:c r="A2047" s="2" t="str">
        <x:v>EV002281</x:v>
      </x:c>
      <x:c r="B2047" s="2" t="str">
        <x:v>T20261008-2-3</x:v>
      </x:c>
      <x:c r="C2047" s="2" t="str">
        <x:v>ST084</x:v>
      </x:c>
      <x:c r="D2047" s="2" t="str">
        <x:v>2f6163b722feb8421b83fd278ee72e5c</x:v>
      </x:c>
      <x:c r="E2047" s="2" t="str">
        <x:v>CHECK_IN</x:v>
      </x:c>
      <x:c r="F2047" s="8" t="n">
        <x:v>46303.43760416667</x:v>
      </x:c>
      <x:c r="G2047" s="8" t="n">
        <x:v>46303.437627314815</x:v>
      </x:c>
      <x:c r="H2047" s="2" t="str">
        <x:v>SCH01</x:v>
      </x:c>
      <x:c r="I2047" s="9" t="n">
        <x:v>25.285</x:v>
      </x:c>
      <x:c r="J2047" s="9" t="n">
        <x:v>51.51</x:v>
      </x:c>
      <x:c r="K2047" s="2" t="n">
        <x:v>8</x:v>
      </x:c>
      <x:c r="L2047" s="2" t="str">
        <x:v>Valid</x:v>
      </x:c>
      <x:c r="M2047" s="2" t="str">
        <x:v>QR</x:v>
      </x:c>
      <x:c r="N2047" s="2" t="n">
        <x:v>1</x:v>
      </x:c>
      <x:c r="O2047" s="2" t="str">
        <x:v>Accepted</x:v>
      </x:c>
      <x:c r="P2047" s="2" t="str">
        <x:v>S003</x:v>
      </x:c>
      <x:c r="Q2047" s="2" t="str">
        <x:v>DEV003</x:v>
      </x:c>
      <x:c r="R2047" s="2" t="n">
        <x:v>4</x:v>
      </x:c>
      <x:c r="S2047" s="2" t="str">
        <x:v>Online</x:v>
      </x:c>
      <x:c r="T2047" s="2" t="str">
        <x:v>Synced</x:v>
      </x:c>
    </x:row>
    <x:row r="2048" ht="21" customHeight="1">
      <x:c r="A2048" s="2" t="str">
        <x:v>EV001963</x:v>
      </x:c>
      <x:c r="B2048" s="2" t="str">
        <x:v>T20261008-2-1</x:v>
      </x:c>
      <x:c r="C2048" s="2" t="str">
        <x:v>ST005</x:v>
      </x:c>
      <x:c r="D2048" s="2" t="str">
        <x:v>426727a8a0b9d51694a399a005c786cf</x:v>
      </x:c>
      <x:c r="E2048" s="2" t="str">
        <x:v>CHECK_IN</x:v>
      </x:c>
      <x:c r="F2048" s="8" t="n">
        <x:v>46303.43763888889</x:v>
      </x:c>
      <x:c r="G2048" s="8" t="n">
        <x:v>46303.43766203704</x:v>
      </x:c>
      <x:c r="H2048" s="2" t="str">
        <x:v>SCH01</x:v>
      </x:c>
      <x:c r="I2048" s="9" t="n">
        <x:v>25.285</x:v>
      </x:c>
      <x:c r="J2048" s="9" t="n">
        <x:v>51.51</x:v>
      </x:c>
      <x:c r="K2048" s="2" t="n">
        <x:v>8</x:v>
      </x:c>
      <x:c r="L2048" s="2" t="str">
        <x:v>Valid</x:v>
      </x:c>
      <x:c r="M2048" s="2" t="str">
        <x:v>QR</x:v>
      </x:c>
      <x:c r="N2048" s="2" t="n">
        <x:v>1</x:v>
      </x:c>
      <x:c r="O2048" s="2" t="str">
        <x:v>Accepted</x:v>
      </x:c>
      <x:c r="P2048" s="2" t="str">
        <x:v>S001</x:v>
      </x:c>
      <x:c r="Q2048" s="2" t="str">
        <x:v>DEV001</x:v>
      </x:c>
      <x:c r="R2048" s="2" t="n">
        <x:v>5</x:v>
      </x:c>
      <x:c r="S2048" s="2" t="str">
        <x:v>Online</x:v>
      </x:c>
      <x:c r="T2048" s="2" t="str">
        <x:v>Synced</x:v>
      </x:c>
    </x:row>
    <x:row r="2049" ht="21" customHeight="1">
      <x:c r="A2049" s="2" t="str">
        <x:v>EV002123</x:v>
      </x:c>
      <x:c r="B2049" s="2" t="str">
        <x:v>T20261008-2-2</x:v>
      </x:c>
      <x:c r="C2049" s="2" t="str">
        <x:v>ST045</x:v>
      </x:c>
      <x:c r="D2049" s="2" t="str">
        <x:v>10d8df8a06a7c869bcaa1adbc88c05bc</x:v>
      </x:c>
      <x:c r="E2049" s="2" t="str">
        <x:v>CHECK_IN</x:v>
      </x:c>
      <x:c r="F2049" s="8" t="n">
        <x:v>46303.43763888889</x:v>
      </x:c>
      <x:c r="G2049" s="8" t="n">
        <x:v>46303.43766203704</x:v>
      </x:c>
      <x:c r="H2049" s="2" t="str">
        <x:v>SCH01</x:v>
      </x:c>
      <x:c r="I2049" s="9" t="n">
        <x:v>25.285</x:v>
      </x:c>
      <x:c r="J2049" s="9" t="n">
        <x:v>51.51</x:v>
      </x:c>
      <x:c r="K2049" s="2" t="n">
        <x:v>8</x:v>
      </x:c>
      <x:c r="L2049" s="2" t="str">
        <x:v>Valid</x:v>
      </x:c>
      <x:c r="M2049" s="2" t="str">
        <x:v>QR</x:v>
      </x:c>
      <x:c r="N2049" s="2" t="n">
        <x:v>1</x:v>
      </x:c>
      <x:c r="O2049" s="2" t="str">
        <x:v>Accepted</x:v>
      </x:c>
      <x:c r="P2049" s="2" t="str">
        <x:v>S002</x:v>
      </x:c>
      <x:c r="Q2049" s="2" t="str">
        <x:v>DEV002</x:v>
      </x:c>
      <x:c r="R2049" s="2" t="n">
        <x:v>5</x:v>
      </x:c>
      <x:c r="S2049" s="2" t="str">
        <x:v>Online</x:v>
      </x:c>
      <x:c r="T2049" s="2" t="str">
        <x:v>Synced</x:v>
      </x:c>
    </x:row>
    <x:row r="2050" ht="21" customHeight="1">
      <x:c r="A2050" s="2" t="str">
        <x:v>EV002283</x:v>
      </x:c>
      <x:c r="B2050" s="2" t="str">
        <x:v>T20261008-2-3</x:v>
      </x:c>
      <x:c r="C2050" s="2" t="str">
        <x:v>ST085</x:v>
      </x:c>
      <x:c r="D2050" s="2" t="str">
        <x:v>80babdd572dde222a75b7ad8f0fe7ffa</x:v>
      </x:c>
      <x:c r="E2050" s="2" t="str">
        <x:v>CHECK_IN</x:v>
      </x:c>
      <x:c r="F2050" s="8" t="n">
        <x:v>46303.43763888889</x:v>
      </x:c>
      <x:c r="G2050" s="8" t="n">
        <x:v>46303.43766203704</x:v>
      </x:c>
      <x:c r="H2050" s="2" t="str">
        <x:v>SCH01</x:v>
      </x:c>
      <x:c r="I2050" s="9" t="n">
        <x:v>25.285</x:v>
      </x:c>
      <x:c r="J2050" s="9" t="n">
        <x:v>51.51</x:v>
      </x:c>
      <x:c r="K2050" s="2" t="n">
        <x:v>8</x:v>
      </x:c>
      <x:c r="L2050" s="2" t="str">
        <x:v>Valid</x:v>
      </x:c>
      <x:c r="M2050" s="2" t="str">
        <x:v>QR</x:v>
      </x:c>
      <x:c r="N2050" s="2" t="n">
        <x:v>1</x:v>
      </x:c>
      <x:c r="O2050" s="2" t="str">
        <x:v>Accepted</x:v>
      </x:c>
      <x:c r="P2050" s="2" t="str">
        <x:v>S003</x:v>
      </x:c>
      <x:c r="Q2050" s="2" t="str">
        <x:v>DEV003</x:v>
      </x:c>
      <x:c r="R2050" s="2" t="n">
        <x:v>5</x:v>
      </x:c>
      <x:c r="S2050" s="2" t="str">
        <x:v>Online</x:v>
      </x:c>
      <x:c r="T2050" s="2" t="str">
        <x:v>Synced</x:v>
      </x:c>
    </x:row>
    <x:row r="2051" ht="21" customHeight="1">
      <x:c r="A2051" s="2" t="str">
        <x:v>EV001965</x:v>
      </x:c>
      <x:c r="B2051" s="2" t="str">
        <x:v>T20261008-2-1</x:v>
      </x:c>
      <x:c r="C2051" s="2" t="str">
        <x:v>ST006</x:v>
      </x:c>
      <x:c r="D2051" s="2" t="str">
        <x:v>8edd7f2c984bf2eb5adf75591d6f1e9c</x:v>
      </x:c>
      <x:c r="E2051" s="2" t="str">
        <x:v>CHECK_IN</x:v>
      </x:c>
      <x:c r="F2051" s="8" t="n">
        <x:v>46303.43767361111</x:v>
      </x:c>
      <x:c r="G2051" s="8" t="n">
        <x:v>46303.437696759254</x:v>
      </x:c>
      <x:c r="H2051" s="2" t="str">
        <x:v>SCH01</x:v>
      </x:c>
      <x:c r="I2051" s="9" t="n">
        <x:v>25.285</x:v>
      </x:c>
      <x:c r="J2051" s="9" t="n">
        <x:v>51.51</x:v>
      </x:c>
      <x:c r="K2051" s="2" t="n">
        <x:v>8</x:v>
      </x:c>
      <x:c r="L2051" s="2" t="str">
        <x:v>Valid</x:v>
      </x:c>
      <x:c r="M2051" s="2" t="str">
        <x:v>QR</x:v>
      </x:c>
      <x:c r="N2051" s="2" t="n">
        <x:v>1</x:v>
      </x:c>
      <x:c r="O2051" s="2" t="str">
        <x:v>Accepted</x:v>
      </x:c>
      <x:c r="P2051" s="2" t="str">
        <x:v>S001</x:v>
      </x:c>
      <x:c r="Q2051" s="2" t="str">
        <x:v>DEV001</x:v>
      </x:c>
      <x:c r="R2051" s="2" t="n">
        <x:v>6</x:v>
      </x:c>
      <x:c r="S2051" s="2" t="str">
        <x:v>Online</x:v>
      </x:c>
      <x:c r="T2051" s="2" t="str">
        <x:v>Synced</x:v>
      </x:c>
    </x:row>
    <x:row r="2052" ht="21" customHeight="1">
      <x:c r="A2052" s="2" t="str">
        <x:v>EV002125</x:v>
      </x:c>
      <x:c r="B2052" s="2" t="str">
        <x:v>T20261008-2-2</x:v>
      </x:c>
      <x:c r="C2052" s="2" t="str">
        <x:v>ST046</x:v>
      </x:c>
      <x:c r="D2052" s="2" t="str">
        <x:v>82365992d443d056f10fa7522ac29057</x:v>
      </x:c>
      <x:c r="E2052" s="2" t="str">
        <x:v>CHECK_IN</x:v>
      </x:c>
      <x:c r="F2052" s="8" t="n">
        <x:v>46303.43767361111</x:v>
      </x:c>
      <x:c r="G2052" s="8" t="n">
        <x:v>46303.437696759254</x:v>
      </x:c>
      <x:c r="H2052" s="2" t="str">
        <x:v>SCH01</x:v>
      </x:c>
      <x:c r="I2052" s="9" t="n">
        <x:v>25.285</x:v>
      </x:c>
      <x:c r="J2052" s="9" t="n">
        <x:v>51.51</x:v>
      </x:c>
      <x:c r="K2052" s="2" t="n">
        <x:v>8</x:v>
      </x:c>
      <x:c r="L2052" s="2" t="str">
        <x:v>Valid</x:v>
      </x:c>
      <x:c r="M2052" s="2" t="str">
        <x:v>QR</x:v>
      </x:c>
      <x:c r="N2052" s="2" t="n">
        <x:v>1</x:v>
      </x:c>
      <x:c r="O2052" s="2" t="str">
        <x:v>Accepted</x:v>
      </x:c>
      <x:c r="P2052" s="2" t="str">
        <x:v>S002</x:v>
      </x:c>
      <x:c r="Q2052" s="2" t="str">
        <x:v>DEV002</x:v>
      </x:c>
      <x:c r="R2052" s="2" t="n">
        <x:v>6</x:v>
      </x:c>
      <x:c r="S2052" s="2" t="str">
        <x:v>Online</x:v>
      </x:c>
      <x:c r="T2052" s="2" t="str">
        <x:v>Synced</x:v>
      </x:c>
    </x:row>
    <x:row r="2053" ht="21" customHeight="1">
      <x:c r="A2053" s="2" t="str">
        <x:v>EV002285</x:v>
      </x:c>
      <x:c r="B2053" s="2" t="str">
        <x:v>T20261008-2-3</x:v>
      </x:c>
      <x:c r="C2053" s="2" t="str">
        <x:v>ST086</x:v>
      </x:c>
      <x:c r="D2053" s="2" t="str">
        <x:v>33c5dfd0f17fcbe34d50fd9b0a0c0e5b</x:v>
      </x:c>
      <x:c r="E2053" s="2" t="str">
        <x:v>CHECK_IN</x:v>
      </x:c>
      <x:c r="F2053" s="8" t="n">
        <x:v>46303.43767361111</x:v>
      </x:c>
      <x:c r="G2053" s="8" t="n">
        <x:v>46303.437696759254</x:v>
      </x:c>
      <x:c r="H2053" s="2" t="str">
        <x:v>SCH01</x:v>
      </x:c>
      <x:c r="I2053" s="9" t="n">
        <x:v>25.285</x:v>
      </x:c>
      <x:c r="J2053" s="9" t="n">
        <x:v>51.51</x:v>
      </x:c>
      <x:c r="K2053" s="2" t="n">
        <x:v>8</x:v>
      </x:c>
      <x:c r="L2053" s="2" t="str">
        <x:v>Valid</x:v>
      </x:c>
      <x:c r="M2053" s="2" t="str">
        <x:v>QR</x:v>
      </x:c>
      <x:c r="N2053" s="2" t="n">
        <x:v>1</x:v>
      </x:c>
      <x:c r="O2053" s="2" t="str">
        <x:v>Accepted</x:v>
      </x:c>
      <x:c r="P2053" s="2" t="str">
        <x:v>S003</x:v>
      </x:c>
      <x:c r="Q2053" s="2" t="str">
        <x:v>DEV003</x:v>
      </x:c>
      <x:c r="R2053" s="2" t="n">
        <x:v>6</x:v>
      </x:c>
      <x:c r="S2053" s="2" t="str">
        <x:v>Online</x:v>
      </x:c>
      <x:c r="T2053" s="2" t="str">
        <x:v>Synced</x:v>
      </x:c>
    </x:row>
    <x:row r="2054" ht="21" customHeight="1">
      <x:c r="A2054" s="2" t="str">
        <x:v>EV001967</x:v>
      </x:c>
      <x:c r="B2054" s="2" t="str">
        <x:v>T20261008-2-1</x:v>
      </x:c>
      <x:c r="C2054" s="2" t="str">
        <x:v>ST007</x:v>
      </x:c>
      <x:c r="D2054" s="2" t="str">
        <x:v>2376173ab02a96d9b58d44caf4008dfd</x:v>
      </x:c>
      <x:c r="E2054" s="2" t="str">
        <x:v>CHECK_IN</x:v>
      </x:c>
      <x:c r="F2054" s="8" t="n">
        <x:v>46303.43770833333</x:v>
      </x:c>
      <x:c r="G2054" s="8" t="n">
        <x:v>46303.43773148148</x:v>
      </x:c>
      <x:c r="H2054" s="2" t="str">
        <x:v>SCH01</x:v>
      </x:c>
      <x:c r="I2054" s="9" t="n">
        <x:v>25.285</x:v>
      </x:c>
      <x:c r="J2054" s="9" t="n">
        <x:v>51.51</x:v>
      </x:c>
      <x:c r="K2054" s="2" t="n">
        <x:v>8</x:v>
      </x:c>
      <x:c r="L2054" s="2" t="str">
        <x:v>Valid</x:v>
      </x:c>
      <x:c r="M2054" s="2" t="str">
        <x:v>QR</x:v>
      </x:c>
      <x:c r="N2054" s="2" t="n">
        <x:v>1</x:v>
      </x:c>
      <x:c r="O2054" s="2" t="str">
        <x:v>Accepted</x:v>
      </x:c>
      <x:c r="P2054" s="2" t="str">
        <x:v>S001</x:v>
      </x:c>
      <x:c r="Q2054" s="2" t="str">
        <x:v>DEV001</x:v>
      </x:c>
      <x:c r="R2054" s="2" t="n">
        <x:v>7</x:v>
      </x:c>
      <x:c r="S2054" s="2" t="str">
        <x:v>Online</x:v>
      </x:c>
      <x:c r="T2054" s="2" t="str">
        <x:v>Synced</x:v>
      </x:c>
    </x:row>
    <x:row r="2055" ht="21" customHeight="1">
      <x:c r="A2055" s="2" t="str">
        <x:v>EV002127</x:v>
      </x:c>
      <x:c r="B2055" s="2" t="str">
        <x:v>T20261008-2-2</x:v>
      </x:c>
      <x:c r="C2055" s="2" t="str">
        <x:v>ST047</x:v>
      </x:c>
      <x:c r="D2055" s="2" t="str">
        <x:v>b3f6380a42fb190ae04afac7edee87cd</x:v>
      </x:c>
      <x:c r="E2055" s="2" t="str">
        <x:v>CHECK_IN</x:v>
      </x:c>
      <x:c r="F2055" s="8" t="n">
        <x:v>46303.43770833333</x:v>
      </x:c>
      <x:c r="G2055" s="8" t="n">
        <x:v>46303.43773148148</x:v>
      </x:c>
      <x:c r="H2055" s="2" t="str">
        <x:v>SCH01</x:v>
      </x:c>
      <x:c r="I2055" s="9" t="n">
        <x:v>25.285</x:v>
      </x:c>
      <x:c r="J2055" s="9" t="n">
        <x:v>51.51</x:v>
      </x:c>
      <x:c r="K2055" s="2" t="n">
        <x:v>8</x:v>
      </x:c>
      <x:c r="L2055" s="2" t="str">
        <x:v>Valid</x:v>
      </x:c>
      <x:c r="M2055" s="2" t="str">
        <x:v>QR</x:v>
      </x:c>
      <x:c r="N2055" s="2" t="n">
        <x:v>1</x:v>
      </x:c>
      <x:c r="O2055" s="2" t="str">
        <x:v>Accepted</x:v>
      </x:c>
      <x:c r="P2055" s="2" t="str">
        <x:v>S002</x:v>
      </x:c>
      <x:c r="Q2055" s="2" t="str">
        <x:v>DEV002</x:v>
      </x:c>
      <x:c r="R2055" s="2" t="n">
        <x:v>7</x:v>
      </x:c>
      <x:c r="S2055" s="2" t="str">
        <x:v>Online</x:v>
      </x:c>
      <x:c r="T2055" s="2" t="str">
        <x:v>Synced</x:v>
      </x:c>
    </x:row>
    <x:row r="2056" ht="21" customHeight="1">
      <x:c r="A2056" s="2" t="str">
        <x:v>EV002287</x:v>
      </x:c>
      <x:c r="B2056" s="2" t="str">
        <x:v>T20261008-2-3</x:v>
      </x:c>
      <x:c r="C2056" s="2" t="str">
        <x:v>ST087</x:v>
      </x:c>
      <x:c r="D2056" s="2" t="str">
        <x:v>30243cf46003be06b271950aa5cd47a6</x:v>
      </x:c>
      <x:c r="E2056" s="2" t="str">
        <x:v>CHECK_IN</x:v>
      </x:c>
      <x:c r="F2056" s="8" t="n">
        <x:v>46303.43770833333</x:v>
      </x:c>
      <x:c r="G2056" s="8" t="n">
        <x:v>46303.43773148148</x:v>
      </x:c>
      <x:c r="H2056" s="2" t="str">
        <x:v>SCH01</x:v>
      </x:c>
      <x:c r="I2056" s="9" t="n">
        <x:v>25.285</x:v>
      </x:c>
      <x:c r="J2056" s="9" t="n">
        <x:v>51.51</x:v>
      </x:c>
      <x:c r="K2056" s="2" t="n">
        <x:v>8</x:v>
      </x:c>
      <x:c r="L2056" s="2" t="str">
        <x:v>Valid</x:v>
      </x:c>
      <x:c r="M2056" s="2" t="str">
        <x:v>QR</x:v>
      </x:c>
      <x:c r="N2056" s="2" t="n">
        <x:v>1</x:v>
      </x:c>
      <x:c r="O2056" s="2" t="str">
        <x:v>Accepted</x:v>
      </x:c>
      <x:c r="P2056" s="2" t="str">
        <x:v>S003</x:v>
      </x:c>
      <x:c r="Q2056" s="2" t="str">
        <x:v>DEV003</x:v>
      </x:c>
      <x:c r="R2056" s="2" t="n">
        <x:v>7</x:v>
      </x:c>
      <x:c r="S2056" s="2" t="str">
        <x:v>Online</x:v>
      </x:c>
      <x:c r="T2056" s="2" t="str">
        <x:v>Synced</x:v>
      </x:c>
    </x:row>
    <x:row r="2057" ht="21" customHeight="1">
      <x:c r="A2057" s="2" t="str">
        <x:v>EV001969</x:v>
      </x:c>
      <x:c r="B2057" s="2" t="str">
        <x:v>T20261008-2-1</x:v>
      </x:c>
      <x:c r="C2057" s="2" t="str">
        <x:v>ST008</x:v>
      </x:c>
      <x:c r="D2057" s="2" t="str">
        <x:v>ac4baf5d317844907005c691f401c42d</x:v>
      </x:c>
      <x:c r="E2057" s="2" t="str">
        <x:v>CHECK_IN</x:v>
      </x:c>
      <x:c r="F2057" s="8" t="n">
        <x:v>46303.437743055554</x:v>
      </x:c>
      <x:c r="G2057" s="8" t="n">
        <x:v>46303.4377662037</x:v>
      </x:c>
      <x:c r="H2057" s="2" t="str">
        <x:v>SCH01</x:v>
      </x:c>
      <x:c r="I2057" s="9" t="n">
        <x:v>25.285</x:v>
      </x:c>
      <x:c r="J2057" s="9" t="n">
        <x:v>51.51</x:v>
      </x:c>
      <x:c r="K2057" s="2" t="n">
        <x:v>8</x:v>
      </x:c>
      <x:c r="L2057" s="2" t="str">
        <x:v>Valid</x:v>
      </x:c>
      <x:c r="M2057" s="2" t="str">
        <x:v>QR</x:v>
      </x:c>
      <x:c r="N2057" s="2" t="n">
        <x:v>1</x:v>
      </x:c>
      <x:c r="O2057" s="2" t="str">
        <x:v>Accepted</x:v>
      </x:c>
      <x:c r="P2057" s="2" t="str">
        <x:v>S001</x:v>
      </x:c>
      <x:c r="Q2057" s="2" t="str">
        <x:v>DEV001</x:v>
      </x:c>
      <x:c r="R2057" s="2" t="n">
        <x:v>8</x:v>
      </x:c>
      <x:c r="S2057" s="2" t="str">
        <x:v>Online</x:v>
      </x:c>
      <x:c r="T2057" s="2" t="str">
        <x:v>Synced</x:v>
      </x:c>
    </x:row>
    <x:row r="2058" ht="21" customHeight="1">
      <x:c r="A2058" s="2" t="str">
        <x:v>EV002129</x:v>
      </x:c>
      <x:c r="B2058" s="2" t="str">
        <x:v>T20261008-2-2</x:v>
      </x:c>
      <x:c r="C2058" s="2" t="str">
        <x:v>ST048</x:v>
      </x:c>
      <x:c r="D2058" s="2" t="str">
        <x:v>e3a3009a9bd3946e21f417e93203aa79</x:v>
      </x:c>
      <x:c r="E2058" s="2" t="str">
        <x:v>CHECK_IN</x:v>
      </x:c>
      <x:c r="F2058" s="8" t="n">
        <x:v>46303.437743055554</x:v>
      </x:c>
      <x:c r="G2058" s="8" t="n">
        <x:v>46303.4377662037</x:v>
      </x:c>
      <x:c r="H2058" s="2" t="str">
        <x:v>SCH01</x:v>
      </x:c>
      <x:c r="I2058" s="9" t="n">
        <x:v>25.285</x:v>
      </x:c>
      <x:c r="J2058" s="9" t="n">
        <x:v>51.51</x:v>
      </x:c>
      <x:c r="K2058" s="2" t="n">
        <x:v>8</x:v>
      </x:c>
      <x:c r="L2058" s="2" t="str">
        <x:v>Valid</x:v>
      </x:c>
      <x:c r="M2058" s="2" t="str">
        <x:v>QR</x:v>
      </x:c>
      <x:c r="N2058" s="2" t="n">
        <x:v>1</x:v>
      </x:c>
      <x:c r="O2058" s="2" t="str">
        <x:v>Accepted</x:v>
      </x:c>
      <x:c r="P2058" s="2" t="str">
        <x:v>S002</x:v>
      </x:c>
      <x:c r="Q2058" s="2" t="str">
        <x:v>DEV002</x:v>
      </x:c>
      <x:c r="R2058" s="2" t="n">
        <x:v>8</x:v>
      </x:c>
      <x:c r="S2058" s="2" t="str">
        <x:v>Online</x:v>
      </x:c>
      <x:c r="T2058" s="2" t="str">
        <x:v>Synced</x:v>
      </x:c>
    </x:row>
    <x:row r="2059" ht="21" customHeight="1">
      <x:c r="A2059" s="2" t="str">
        <x:v>EV002289</x:v>
      </x:c>
      <x:c r="B2059" s="2" t="str">
        <x:v>T20261008-2-3</x:v>
      </x:c>
      <x:c r="C2059" s="2" t="str">
        <x:v>ST088</x:v>
      </x:c>
      <x:c r="D2059" s="2" t="str">
        <x:v>b227769e0483e6c28eed8e8d448bfbbe</x:v>
      </x:c>
      <x:c r="E2059" s="2" t="str">
        <x:v>CHECK_IN</x:v>
      </x:c>
      <x:c r="F2059" s="8" t="n">
        <x:v>46303.437743055554</x:v>
      </x:c>
      <x:c r="G2059" s="8" t="n">
        <x:v>46303.4377662037</x:v>
      </x:c>
      <x:c r="H2059" s="2" t="str">
        <x:v>SCH01</x:v>
      </x:c>
      <x:c r="I2059" s="9" t="n">
        <x:v>25.285</x:v>
      </x:c>
      <x:c r="J2059" s="9" t="n">
        <x:v>51.51</x:v>
      </x:c>
      <x:c r="K2059" s="2" t="n">
        <x:v>8</x:v>
      </x:c>
      <x:c r="L2059" s="2" t="str">
        <x:v>Valid</x:v>
      </x:c>
      <x:c r="M2059" s="2" t="str">
        <x:v>QR</x:v>
      </x:c>
      <x:c r="N2059" s="2" t="n">
        <x:v>1</x:v>
      </x:c>
      <x:c r="O2059" s="2" t="str">
        <x:v>Accepted</x:v>
      </x:c>
      <x:c r="P2059" s="2" t="str">
        <x:v>S003</x:v>
      </x:c>
      <x:c r="Q2059" s="2" t="str">
        <x:v>DEV003</x:v>
      </x:c>
      <x:c r="R2059" s="2" t="n">
        <x:v>8</x:v>
      </x:c>
      <x:c r="S2059" s="2" t="str">
        <x:v>Online</x:v>
      </x:c>
      <x:c r="T2059" s="2" t="str">
        <x:v>Synced</x:v>
      </x:c>
    </x:row>
    <x:row r="2060" ht="21" customHeight="1">
      <x:c r="A2060" s="2" t="str">
        <x:v>EV001971</x:v>
      </x:c>
      <x:c r="B2060" s="2" t="str">
        <x:v>T20261008-2-1</x:v>
      </x:c>
      <x:c r="C2060" s="2" t="str">
        <x:v>ST009</x:v>
      </x:c>
      <x:c r="D2060" s="2" t="str">
        <x:v>fdc849f07f4ba12ab82f6bed87d7275d</x:v>
      </x:c>
      <x:c r="E2060" s="2" t="str">
        <x:v>CHECK_IN</x:v>
      </x:c>
      <x:c r="F2060" s="8" t="n">
        <x:v>46303.43777777778</x:v>
      </x:c>
      <x:c r="G2060" s="8" t="n">
        <x:v>46303.43780092592</x:v>
      </x:c>
      <x:c r="H2060" s="2" t="str">
        <x:v>SCH01</x:v>
      </x:c>
      <x:c r="I2060" s="9" t="n">
        <x:v>25.285</x:v>
      </x:c>
      <x:c r="J2060" s="9" t="n">
        <x:v>51.51</x:v>
      </x:c>
      <x:c r="K2060" s="2" t="n">
        <x:v>8</x:v>
      </x:c>
      <x:c r="L2060" s="2" t="str">
        <x:v>Valid</x:v>
      </x:c>
      <x:c r="M2060" s="2" t="str">
        <x:v>QR</x:v>
      </x:c>
      <x:c r="N2060" s="2" t="n">
        <x:v>1</x:v>
      </x:c>
      <x:c r="O2060" s="2" t="str">
        <x:v>Accepted</x:v>
      </x:c>
      <x:c r="P2060" s="2" t="str">
        <x:v>S001</x:v>
      </x:c>
      <x:c r="Q2060" s="2" t="str">
        <x:v>DEV001</x:v>
      </x:c>
      <x:c r="R2060" s="2" t="n">
        <x:v>9</x:v>
      </x:c>
      <x:c r="S2060" s="2" t="str">
        <x:v>Online</x:v>
      </x:c>
      <x:c r="T2060" s="2" t="str">
        <x:v>Synced</x:v>
      </x:c>
    </x:row>
    <x:row r="2061" ht="21" customHeight="1">
      <x:c r="A2061" s="2" t="str">
        <x:v>EV002131</x:v>
      </x:c>
      <x:c r="B2061" s="2" t="str">
        <x:v>T20261008-2-2</x:v>
      </x:c>
      <x:c r="C2061" s="2" t="str">
        <x:v>ST049</x:v>
      </x:c>
      <x:c r="D2061" s="2" t="str">
        <x:v>aac0da9ca028b4b4fe1fc2c1eb298502</x:v>
      </x:c>
      <x:c r="E2061" s="2" t="str">
        <x:v>CHECK_IN</x:v>
      </x:c>
      <x:c r="F2061" s="8" t="n">
        <x:v>46303.43777777778</x:v>
      </x:c>
      <x:c r="G2061" s="8" t="n">
        <x:v>46303.43780092592</x:v>
      </x:c>
      <x:c r="H2061" s="2" t="str">
        <x:v>SCH01</x:v>
      </x:c>
      <x:c r="I2061" s="9" t="n">
        <x:v>25.285</x:v>
      </x:c>
      <x:c r="J2061" s="9" t="n">
        <x:v>51.51</x:v>
      </x:c>
      <x:c r="K2061" s="2" t="n">
        <x:v>8</x:v>
      </x:c>
      <x:c r="L2061" s="2" t="str">
        <x:v>Valid</x:v>
      </x:c>
      <x:c r="M2061" s="2" t="str">
        <x:v>QR</x:v>
      </x:c>
      <x:c r="N2061" s="2" t="n">
        <x:v>1</x:v>
      </x:c>
      <x:c r="O2061" s="2" t="str">
        <x:v>Accepted</x:v>
      </x:c>
      <x:c r="P2061" s="2" t="str">
        <x:v>S002</x:v>
      </x:c>
      <x:c r="Q2061" s="2" t="str">
        <x:v>DEV002</x:v>
      </x:c>
      <x:c r="R2061" s="2" t="n">
        <x:v>9</x:v>
      </x:c>
      <x:c r="S2061" s="2" t="str">
        <x:v>Online</x:v>
      </x:c>
      <x:c r="T2061" s="2" t="str">
        <x:v>Synced</x:v>
      </x:c>
    </x:row>
    <x:row r="2062" ht="21" customHeight="1">
      <x:c r="A2062" s="2" t="str">
        <x:v>EV002291</x:v>
      </x:c>
      <x:c r="B2062" s="2" t="str">
        <x:v>T20261008-2-3</x:v>
      </x:c>
      <x:c r="C2062" s="2" t="str">
        <x:v>ST089</x:v>
      </x:c>
      <x:c r="D2062" s="2" t="str">
        <x:v>0bd697ec3f7c09918d8dd004b5340b03</x:v>
      </x:c>
      <x:c r="E2062" s="2" t="str">
        <x:v>CHECK_IN</x:v>
      </x:c>
      <x:c r="F2062" s="8" t="n">
        <x:v>46303.43777777778</x:v>
      </x:c>
      <x:c r="G2062" s="8" t="n">
        <x:v>46303.43780092592</x:v>
      </x:c>
      <x:c r="H2062" s="2" t="str">
        <x:v>SCH01</x:v>
      </x:c>
      <x:c r="I2062" s="9" t="n">
        <x:v>25.285</x:v>
      </x:c>
      <x:c r="J2062" s="9" t="n">
        <x:v>51.51</x:v>
      </x:c>
      <x:c r="K2062" s="2" t="n">
        <x:v>8</x:v>
      </x:c>
      <x:c r="L2062" s="2" t="str">
        <x:v>Valid</x:v>
      </x:c>
      <x:c r="M2062" s="2" t="str">
        <x:v>QR</x:v>
      </x:c>
      <x:c r="N2062" s="2" t="n">
        <x:v>1</x:v>
      </x:c>
      <x:c r="O2062" s="2" t="str">
        <x:v>Accepted</x:v>
      </x:c>
      <x:c r="P2062" s="2" t="str">
        <x:v>S003</x:v>
      </x:c>
      <x:c r="Q2062" s="2" t="str">
        <x:v>DEV003</x:v>
      </x:c>
      <x:c r="R2062" s="2" t="n">
        <x:v>9</x:v>
      </x:c>
      <x:c r="S2062" s="2" t="str">
        <x:v>Online</x:v>
      </x:c>
      <x:c r="T2062" s="2" t="str">
        <x:v>Synced</x:v>
      </x:c>
    </x:row>
    <x:row r="2063" ht="21" customHeight="1">
      <x:c r="A2063" s="2" t="str">
        <x:v>EV001973</x:v>
      </x:c>
      <x:c r="B2063" s="2" t="str">
        <x:v>T20261008-2-1</x:v>
      </x:c>
      <x:c r="C2063" s="2" t="str">
        <x:v>ST010</x:v>
      </x:c>
      <x:c r="D2063" s="2" t="str">
        <x:v>df6521f6838e149b7b1f3fd27dcbf586</x:v>
      </x:c>
      <x:c r="E2063" s="2" t="str">
        <x:v>CHECK_IN</x:v>
      </x:c>
      <x:c r="F2063" s="8" t="n">
        <x:v>46303.4378125</x:v>
      </x:c>
      <x:c r="G2063" s="8" t="n">
        <x:v>46303.43783564815</x:v>
      </x:c>
      <x:c r="H2063" s="2" t="str">
        <x:v>SCH01</x:v>
      </x:c>
      <x:c r="I2063" s="9" t="n">
        <x:v>25.285</x:v>
      </x:c>
      <x:c r="J2063" s="9" t="n">
        <x:v>51.51</x:v>
      </x:c>
      <x:c r="K2063" s="2" t="n">
        <x:v>8</x:v>
      </x:c>
      <x:c r="L2063" s="2" t="str">
        <x:v>Valid</x:v>
      </x:c>
      <x:c r="M2063" s="2" t="str">
        <x:v>QR</x:v>
      </x:c>
      <x:c r="N2063" s="2" t="n">
        <x:v>1</x:v>
      </x:c>
      <x:c r="O2063" s="2" t="str">
        <x:v>Accepted</x:v>
      </x:c>
      <x:c r="P2063" s="2" t="str">
        <x:v>S001</x:v>
      </x:c>
      <x:c r="Q2063" s="2" t="str">
        <x:v>DEV001</x:v>
      </x:c>
      <x:c r="R2063" s="2" t="n">
        <x:v>10</x:v>
      </x:c>
      <x:c r="S2063" s="2" t="str">
        <x:v>Online</x:v>
      </x:c>
      <x:c r="T2063" s="2" t="str">
        <x:v>Synced</x:v>
      </x:c>
    </x:row>
    <x:row r="2064" ht="21" customHeight="1">
      <x:c r="A2064" s="2" t="str">
        <x:v>EV002133</x:v>
      </x:c>
      <x:c r="B2064" s="2" t="str">
        <x:v>T20261008-2-2</x:v>
      </x:c>
      <x:c r="C2064" s="2" t="str">
        <x:v>ST050</x:v>
      </x:c>
      <x:c r="D2064" s="2" t="str">
        <x:v>ca49474881a6395691ac81bd08684ed6</x:v>
      </x:c>
      <x:c r="E2064" s="2" t="str">
        <x:v>CHECK_IN</x:v>
      </x:c>
      <x:c r="F2064" s="8" t="n">
        <x:v>46303.4378125</x:v>
      </x:c>
      <x:c r="G2064" s="8" t="n">
        <x:v>46303.43783564815</x:v>
      </x:c>
      <x:c r="H2064" s="2" t="str">
        <x:v>SCH01</x:v>
      </x:c>
      <x:c r="I2064" s="9" t="n">
        <x:v>25.285</x:v>
      </x:c>
      <x:c r="J2064" s="9" t="n">
        <x:v>51.51</x:v>
      </x:c>
      <x:c r="K2064" s="2" t="n">
        <x:v>8</x:v>
      </x:c>
      <x:c r="L2064" s="2" t="str">
        <x:v>Valid</x:v>
      </x:c>
      <x:c r="M2064" s="2" t="str">
        <x:v>QR</x:v>
      </x:c>
      <x:c r="N2064" s="2" t="n">
        <x:v>1</x:v>
      </x:c>
      <x:c r="O2064" s="2" t="str">
        <x:v>Accepted</x:v>
      </x:c>
      <x:c r="P2064" s="2" t="str">
        <x:v>S002</x:v>
      </x:c>
      <x:c r="Q2064" s="2" t="str">
        <x:v>DEV002</x:v>
      </x:c>
      <x:c r="R2064" s="2" t="n">
        <x:v>10</x:v>
      </x:c>
      <x:c r="S2064" s="2" t="str">
        <x:v>Online</x:v>
      </x:c>
      <x:c r="T2064" s="2" t="str">
        <x:v>Synced</x:v>
      </x:c>
    </x:row>
    <x:row r="2065" ht="21" customHeight="1">
      <x:c r="A2065" s="2" t="str">
        <x:v>EV002293</x:v>
      </x:c>
      <x:c r="B2065" s="2" t="str">
        <x:v>T20261008-2-3</x:v>
      </x:c>
      <x:c r="C2065" s="2" t="str">
        <x:v>ST090</x:v>
      </x:c>
      <x:c r="D2065" s="2" t="str">
        <x:v>3b91252475551a374010825e1f05642c</x:v>
      </x:c>
      <x:c r="E2065" s="2" t="str">
        <x:v>CHECK_IN</x:v>
      </x:c>
      <x:c r="F2065" s="8" t="n">
        <x:v>46303.4378125</x:v>
      </x:c>
      <x:c r="G2065" s="8" t="n">
        <x:v>46303.43783564815</x:v>
      </x:c>
      <x:c r="H2065" s="2" t="str">
        <x:v>SCH01</x:v>
      </x:c>
      <x:c r="I2065" s="9" t="n">
        <x:v>25.285</x:v>
      </x:c>
      <x:c r="J2065" s="9" t="n">
        <x:v>51.51</x:v>
      </x:c>
      <x:c r="K2065" s="2" t="n">
        <x:v>8</x:v>
      </x:c>
      <x:c r="L2065" s="2" t="str">
        <x:v>Valid</x:v>
      </x:c>
      <x:c r="M2065" s="2" t="str">
        <x:v>QR</x:v>
      </x:c>
      <x:c r="N2065" s="2" t="n">
        <x:v>1</x:v>
      </x:c>
      <x:c r="O2065" s="2" t="str">
        <x:v>Accepted</x:v>
      </x:c>
      <x:c r="P2065" s="2" t="str">
        <x:v>S003</x:v>
      </x:c>
      <x:c r="Q2065" s="2" t="str">
        <x:v>DEV003</x:v>
      </x:c>
      <x:c r="R2065" s="2" t="n">
        <x:v>10</x:v>
      </x:c>
      <x:c r="S2065" s="2" t="str">
        <x:v>Online</x:v>
      </x:c>
      <x:c r="T2065" s="2" t="str">
        <x:v>Synced</x:v>
      </x:c>
    </x:row>
    <x:row r="2066" ht="21" customHeight="1">
      <x:c r="A2066" s="2" t="str">
        <x:v>EV001956</x:v>
      </x:c>
      <x:c r="B2066" s="2" t="str">
        <x:v>T20261008-2-1</x:v>
      </x:c>
      <x:c r="C2066" s="2" t="str">
        <x:v>ST001</x:v>
      </x:c>
      <x:c r="D2066" s="2" t="str">
        <x:v>c33d277e346360e93548e66cbf71eda4</x:v>
      </x:c>
      <x:c r="E2066" s="2" t="str">
        <x:v>CHECK_OUT</x:v>
      </x:c>
      <x:c r="F2066" s="8" t="n">
        <x:v>46303.44930555555</x:v>
      </x:c>
      <x:c r="G2066" s="8" t="n">
        <x:v>46303.4493287037</x:v>
      </x:c>
      <x:c r="H2066" s="2" t="str">
        <x:v>R1S1</x:v>
      </x:c>
      <x:c r="I2066" s="9" t="n">
        <x:v>25.271</x:v>
      </x:c>
      <x:c r="J2066" s="9" t="n">
        <x:v>51.491</x:v>
      </x:c>
      <x:c r="K2066" s="2" t="n">
        <x:v>8</x:v>
      </x:c>
      <x:c r="L2066" s="2" t="str">
        <x:v>Valid</x:v>
      </x:c>
      <x:c r="M2066" s="2" t="str">
        <x:v>QR</x:v>
      </x:c>
      <x:c r="N2066" s="2" t="n">
        <x:v>1</x:v>
      </x:c>
      <x:c r="O2066" s="2" t="str">
        <x:v>Accepted</x:v>
      </x:c>
      <x:c r="P2066" s="2" t="str">
        <x:v>S001</x:v>
      </x:c>
      <x:c r="Q2066" s="2" t="str">
        <x:v>DEV001</x:v>
      </x:c>
      <x:c r="R2066" s="2" t="n">
        <x:v>11</x:v>
      </x:c>
      <x:c r="S2066" s="2" t="str">
        <x:v>Online</x:v>
      </x:c>
      <x:c r="T2066" s="2" t="str">
        <x:v>Synced</x:v>
      </x:c>
    </x:row>
    <x:row r="2067" ht="21" customHeight="1">
      <x:c r="A2067" s="2" t="str">
        <x:v>EV002116</x:v>
      </x:c>
      <x:c r="B2067" s="2" t="str">
        <x:v>T20261008-2-2</x:v>
      </x:c>
      <x:c r="C2067" s="2" t="str">
        <x:v>ST041</x:v>
      </x:c>
      <x:c r="D2067" s="2" t="str">
        <x:v>78597cf805a87b7619460b6ed67f501f</x:v>
      </x:c>
      <x:c r="E2067" s="2" t="str">
        <x:v>CHECK_OUT</x:v>
      </x:c>
      <x:c r="F2067" s="8" t="n">
        <x:v>46303.44930555555</x:v>
      </x:c>
      <x:c r="G2067" s="8" t="n">
        <x:v>46303.4493287037</x:v>
      </x:c>
      <x:c r="H2067" s="2" t="str">
        <x:v>R2S1</x:v>
      </x:c>
      <x:c r="I2067" s="9" t="n">
        <x:v>25.28</x:v>
      </x:c>
      <x:c r="J2067" s="9" t="n">
        <x:v>51.498999999999995</x:v>
      </x:c>
      <x:c r="K2067" s="2" t="n">
        <x:v>8</x:v>
      </x:c>
      <x:c r="L2067" s="2" t="str">
        <x:v>Valid</x:v>
      </x:c>
      <x:c r="M2067" s="2" t="str">
        <x:v>QR</x:v>
      </x:c>
      <x:c r="N2067" s="2" t="n">
        <x:v>1</x:v>
      </x:c>
      <x:c r="O2067" s="2" t="str">
        <x:v>Accepted</x:v>
      </x:c>
      <x:c r="P2067" s="2" t="str">
        <x:v>S002</x:v>
      </x:c>
      <x:c r="Q2067" s="2" t="str">
        <x:v>DEV002</x:v>
      </x:c>
      <x:c r="R2067" s="2" t="n">
        <x:v>11</x:v>
      </x:c>
      <x:c r="S2067" s="2" t="str">
        <x:v>Online</x:v>
      </x:c>
      <x:c r="T2067" s="2" t="str">
        <x:v>Synced</x:v>
      </x:c>
    </x:row>
    <x:row r="2068" ht="21" customHeight="1">
      <x:c r="A2068" s="2" t="str">
        <x:v>EV002276</x:v>
      </x:c>
      <x:c r="B2068" s="2" t="str">
        <x:v>T20261008-2-3</x:v>
      </x:c>
      <x:c r="C2068" s="2" t="str">
        <x:v>ST081</x:v>
      </x:c>
      <x:c r="D2068" s="2" t="str">
        <x:v>8631b63b10b36bffa6456d354db9c08f</x:v>
      </x:c>
      <x:c r="E2068" s="2" t="str">
        <x:v>CHECK_OUT</x:v>
      </x:c>
      <x:c r="F2068" s="8" t="n">
        <x:v>46303.44930555555</x:v>
      </x:c>
      <x:c r="G2068" s="8" t="n">
        <x:v>46303.4493287037</x:v>
      </x:c>
      <x:c r="H2068" s="2" t="str">
        <x:v>R3S1</x:v>
      </x:c>
      <x:c r="I2068" s="9" t="n">
        <x:v>25.289</x:v>
      </x:c>
      <x:c r="J2068" s="9" t="n">
        <x:v>51.507</x:v>
      </x:c>
      <x:c r="K2068" s="2" t="n">
        <x:v>8</x:v>
      </x:c>
      <x:c r="L2068" s="2" t="str">
        <x:v>Valid</x:v>
      </x:c>
      <x:c r="M2068" s="2" t="str">
        <x:v>QR</x:v>
      </x:c>
      <x:c r="N2068" s="2" t="n">
        <x:v>1</x:v>
      </x:c>
      <x:c r="O2068" s="2" t="str">
        <x:v>Accepted</x:v>
      </x:c>
      <x:c r="P2068" s="2" t="str">
        <x:v>S003</x:v>
      </x:c>
      <x:c r="Q2068" s="2" t="str">
        <x:v>DEV003</x:v>
      </x:c>
      <x:c r="R2068" s="2" t="n">
        <x:v>11</x:v>
      </x:c>
      <x:c r="S2068" s="2" t="str">
        <x:v>Online</x:v>
      </x:c>
      <x:c r="T2068" s="2" t="str">
        <x:v>Synced</x:v>
      </x:c>
    </x:row>
    <x:row r="2069" ht="21" customHeight="1">
      <x:c r="A2069" s="2" t="str">
        <x:v>EV001962</x:v>
      </x:c>
      <x:c r="B2069" s="2" t="str">
        <x:v>T20261008-2-1</x:v>
      </x:c>
      <x:c r="C2069" s="2" t="str">
        <x:v>ST004</x:v>
      </x:c>
      <x:c r="D2069" s="2" t="str">
        <x:v>7dee56e67101a0dd8483e1503eba9a72</x:v>
      </x:c>
      <x:c r="E2069" s="2" t="str">
        <x:v>CHECK_OUT</x:v>
      </x:c>
      <x:c r="F2069" s="8" t="n">
        <x:v>46303.44940972222</x:v>
      </x:c>
      <x:c r="G2069" s="8" t="n">
        <x:v>46303.449432870366</x:v>
      </x:c>
      <x:c r="H2069" s="2" t="str">
        <x:v>R1S1</x:v>
      </x:c>
      <x:c r="I2069" s="9" t="n">
        <x:v>25.271</x:v>
      </x:c>
      <x:c r="J2069" s="9" t="n">
        <x:v>51.491</x:v>
      </x:c>
      <x:c r="K2069" s="2" t="n">
        <x:v>8</x:v>
      </x:c>
      <x:c r="L2069" s="2" t="str">
        <x:v>Valid</x:v>
      </x:c>
      <x:c r="M2069" s="2" t="str">
        <x:v>QR</x:v>
      </x:c>
      <x:c r="N2069" s="2" t="n">
        <x:v>1</x:v>
      </x:c>
      <x:c r="O2069" s="2" t="str">
        <x:v>Accepted</x:v>
      </x:c>
      <x:c r="P2069" s="2" t="str">
        <x:v>S001</x:v>
      </x:c>
      <x:c r="Q2069" s="2" t="str">
        <x:v>DEV001</x:v>
      </x:c>
      <x:c r="R2069" s="2" t="n">
        <x:v>12</x:v>
      </x:c>
      <x:c r="S2069" s="2" t="str">
        <x:v>Online</x:v>
      </x:c>
      <x:c r="T2069" s="2" t="str">
        <x:v>Synced</x:v>
      </x:c>
    </x:row>
    <x:row r="2070" ht="21" customHeight="1">
      <x:c r="A2070" s="2" t="str">
        <x:v>EV002122</x:v>
      </x:c>
      <x:c r="B2070" s="2" t="str">
        <x:v>T20261008-2-2</x:v>
      </x:c>
      <x:c r="C2070" s="2" t="str">
        <x:v>ST044</x:v>
      </x:c>
      <x:c r="D2070" s="2" t="str">
        <x:v>638b036dff08260bc8976402fb10157a</x:v>
      </x:c>
      <x:c r="E2070" s="2" t="str">
        <x:v>CHECK_OUT</x:v>
      </x:c>
      <x:c r="F2070" s="8" t="n">
        <x:v>46303.44940972222</x:v>
      </x:c>
      <x:c r="G2070" s="8" t="n">
        <x:v>46303.449432870366</x:v>
      </x:c>
      <x:c r="H2070" s="2" t="str">
        <x:v>R2S1</x:v>
      </x:c>
      <x:c r="I2070" s="9" t="n">
        <x:v>25.28</x:v>
      </x:c>
      <x:c r="J2070" s="9" t="n">
        <x:v>51.498999999999995</x:v>
      </x:c>
      <x:c r="K2070" s="2" t="n">
        <x:v>8</x:v>
      </x:c>
      <x:c r="L2070" s="2" t="str">
        <x:v>Valid</x:v>
      </x:c>
      <x:c r="M2070" s="2" t="str">
        <x:v>QR</x:v>
      </x:c>
      <x:c r="N2070" s="2" t="n">
        <x:v>1</x:v>
      </x:c>
      <x:c r="O2070" s="2" t="str">
        <x:v>Accepted</x:v>
      </x:c>
      <x:c r="P2070" s="2" t="str">
        <x:v>S002</x:v>
      </x:c>
      <x:c r="Q2070" s="2" t="str">
        <x:v>DEV002</x:v>
      </x:c>
      <x:c r="R2070" s="2" t="n">
        <x:v>12</x:v>
      </x:c>
      <x:c r="S2070" s="2" t="str">
        <x:v>Online</x:v>
      </x:c>
      <x:c r="T2070" s="2" t="str">
        <x:v>Synced</x:v>
      </x:c>
    </x:row>
    <x:row r="2071" ht="21" customHeight="1">
      <x:c r="A2071" s="2" t="str">
        <x:v>EV002282</x:v>
      </x:c>
      <x:c r="B2071" s="2" t="str">
        <x:v>T20261008-2-3</x:v>
      </x:c>
      <x:c r="C2071" s="2" t="str">
        <x:v>ST084</x:v>
      </x:c>
      <x:c r="D2071" s="2" t="str">
        <x:v>2f6163b722feb8421b83fd278ee72e5c</x:v>
      </x:c>
      <x:c r="E2071" s="2" t="str">
        <x:v>CHECK_OUT</x:v>
      </x:c>
      <x:c r="F2071" s="8" t="n">
        <x:v>46303.44940972222</x:v>
      </x:c>
      <x:c r="G2071" s="8" t="n">
        <x:v>46303.449432870366</x:v>
      </x:c>
      <x:c r="H2071" s="2" t="str">
        <x:v>R3S1</x:v>
      </x:c>
      <x:c r="I2071" s="9" t="n">
        <x:v>25.289</x:v>
      </x:c>
      <x:c r="J2071" s="9" t="n">
        <x:v>51.507</x:v>
      </x:c>
      <x:c r="K2071" s="2" t="n">
        <x:v>8</x:v>
      </x:c>
      <x:c r="L2071" s="2" t="str">
        <x:v>Valid</x:v>
      </x:c>
      <x:c r="M2071" s="2" t="str">
        <x:v>QR</x:v>
      </x:c>
      <x:c r="N2071" s="2" t="n">
        <x:v>1</x:v>
      </x:c>
      <x:c r="O2071" s="2" t="str">
        <x:v>Accepted</x:v>
      </x:c>
      <x:c r="P2071" s="2" t="str">
        <x:v>S003</x:v>
      </x:c>
      <x:c r="Q2071" s="2" t="str">
        <x:v>DEV003</x:v>
      </x:c>
      <x:c r="R2071" s="2" t="n">
        <x:v>12</x:v>
      </x:c>
      <x:c r="S2071" s="2" t="str">
        <x:v>Online</x:v>
      </x:c>
      <x:c r="T2071" s="2" t="str">
        <x:v>Synced</x:v>
      </x:c>
    </x:row>
    <x:row r="2072" ht="21" customHeight="1">
      <x:c r="A2072" s="2" t="str">
        <x:v>EV001968</x:v>
      </x:c>
      <x:c r="B2072" s="2" t="str">
        <x:v>T20261008-2-1</x:v>
      </x:c>
      <x:c r="C2072" s="2" t="str">
        <x:v>ST007</x:v>
      </x:c>
      <x:c r="D2072" s="2" t="str">
        <x:v>2376173ab02a96d9b58d44caf4008dfd</x:v>
      </x:c>
      <x:c r="E2072" s="2" t="str">
        <x:v>CHECK_OUT</x:v>
      </x:c>
      <x:c r="F2072" s="8" t="n">
        <x:v>46303.44951388888</x:v>
      </x:c>
      <x:c r="G2072" s="8" t="n">
        <x:v>46303.44953703703</x:v>
      </x:c>
      <x:c r="H2072" s="2" t="str">
        <x:v>R1S1</x:v>
      </x:c>
      <x:c r="I2072" s="9" t="n">
        <x:v>25.271</x:v>
      </x:c>
      <x:c r="J2072" s="9" t="n">
        <x:v>51.491</x:v>
      </x:c>
      <x:c r="K2072" s="2" t="n">
        <x:v>8</x:v>
      </x:c>
      <x:c r="L2072" s="2" t="str">
        <x:v>Valid</x:v>
      </x:c>
      <x:c r="M2072" s="2" t="str">
        <x:v>QR</x:v>
      </x:c>
      <x:c r="N2072" s="2" t="n">
        <x:v>1</x:v>
      </x:c>
      <x:c r="O2072" s="2" t="str">
        <x:v>Accepted</x:v>
      </x:c>
      <x:c r="P2072" s="2" t="str">
        <x:v>S001</x:v>
      </x:c>
      <x:c r="Q2072" s="2" t="str">
        <x:v>DEV001</x:v>
      </x:c>
      <x:c r="R2072" s="2" t="n">
        <x:v>13</x:v>
      </x:c>
      <x:c r="S2072" s="2" t="str">
        <x:v>Online</x:v>
      </x:c>
      <x:c r="T2072" s="2" t="str">
        <x:v>Synced</x:v>
      </x:c>
    </x:row>
    <x:row r="2073" ht="21" customHeight="1">
      <x:c r="A2073" s="2" t="str">
        <x:v>EV002128</x:v>
      </x:c>
      <x:c r="B2073" s="2" t="str">
        <x:v>T20261008-2-2</x:v>
      </x:c>
      <x:c r="C2073" s="2" t="str">
        <x:v>ST047</x:v>
      </x:c>
      <x:c r="D2073" s="2" t="str">
        <x:v>b3f6380a42fb190ae04afac7edee87cd</x:v>
      </x:c>
      <x:c r="E2073" s="2" t="str">
        <x:v>CHECK_OUT</x:v>
      </x:c>
      <x:c r="F2073" s="8" t="n">
        <x:v>46303.44951388888</x:v>
      </x:c>
      <x:c r="G2073" s="8" t="n">
        <x:v>46303.44953703703</x:v>
      </x:c>
      <x:c r="H2073" s="2" t="str">
        <x:v>R2S1</x:v>
      </x:c>
      <x:c r="I2073" s="9" t="n">
        <x:v>25.28</x:v>
      </x:c>
      <x:c r="J2073" s="9" t="n">
        <x:v>51.498999999999995</x:v>
      </x:c>
      <x:c r="K2073" s="2" t="n">
        <x:v>8</x:v>
      </x:c>
      <x:c r="L2073" s="2" t="str">
        <x:v>Valid</x:v>
      </x:c>
      <x:c r="M2073" s="2" t="str">
        <x:v>QR</x:v>
      </x:c>
      <x:c r="N2073" s="2" t="n">
        <x:v>1</x:v>
      </x:c>
      <x:c r="O2073" s="2" t="str">
        <x:v>Accepted</x:v>
      </x:c>
      <x:c r="P2073" s="2" t="str">
        <x:v>S002</x:v>
      </x:c>
      <x:c r="Q2073" s="2" t="str">
        <x:v>DEV002</x:v>
      </x:c>
      <x:c r="R2073" s="2" t="n">
        <x:v>13</x:v>
      </x:c>
      <x:c r="S2073" s="2" t="str">
        <x:v>Online</x:v>
      </x:c>
      <x:c r="T2073" s="2" t="str">
        <x:v>Synced</x:v>
      </x:c>
    </x:row>
    <x:row r="2074" ht="21" customHeight="1">
      <x:c r="A2074" s="2" t="str">
        <x:v>EV002288</x:v>
      </x:c>
      <x:c r="B2074" s="2" t="str">
        <x:v>T20261008-2-3</x:v>
      </x:c>
      <x:c r="C2074" s="2" t="str">
        <x:v>ST087</x:v>
      </x:c>
      <x:c r="D2074" s="2" t="str">
        <x:v>30243cf46003be06b271950aa5cd47a6</x:v>
      </x:c>
      <x:c r="E2074" s="2" t="str">
        <x:v>CHECK_OUT</x:v>
      </x:c>
      <x:c r="F2074" s="8" t="n">
        <x:v>46303.44951388888</x:v>
      </x:c>
      <x:c r="G2074" s="8" t="n">
        <x:v>46303.44953703703</x:v>
      </x:c>
      <x:c r="H2074" s="2" t="str">
        <x:v>R3S1</x:v>
      </x:c>
      <x:c r="I2074" s="9" t="n">
        <x:v>25.289</x:v>
      </x:c>
      <x:c r="J2074" s="9" t="n">
        <x:v>51.507</x:v>
      </x:c>
      <x:c r="K2074" s="2" t="n">
        <x:v>8</x:v>
      </x:c>
      <x:c r="L2074" s="2" t="str">
        <x:v>Valid</x:v>
      </x:c>
      <x:c r="M2074" s="2" t="str">
        <x:v>QR</x:v>
      </x:c>
      <x:c r="N2074" s="2" t="n">
        <x:v>1</x:v>
      </x:c>
      <x:c r="O2074" s="2" t="str">
        <x:v>Accepted</x:v>
      </x:c>
      <x:c r="P2074" s="2" t="str">
        <x:v>S003</x:v>
      </x:c>
      <x:c r="Q2074" s="2" t="str">
        <x:v>DEV003</x:v>
      </x:c>
      <x:c r="R2074" s="2" t="n">
        <x:v>13</x:v>
      </x:c>
      <x:c r="S2074" s="2" t="str">
        <x:v>Online</x:v>
      </x:c>
      <x:c r="T2074" s="2" t="str">
        <x:v>Synced</x:v>
      </x:c>
    </x:row>
    <x:row r="2075" ht="21" customHeight="1">
      <x:c r="A2075" s="2" t="str">
        <x:v>EV001974</x:v>
      </x:c>
      <x:c r="B2075" s="2" t="str">
        <x:v>T20261008-2-1</x:v>
      </x:c>
      <x:c r="C2075" s="2" t="str">
        <x:v>ST010</x:v>
      </x:c>
      <x:c r="D2075" s="2" t="str">
        <x:v>df6521f6838e149b7b1f3fd27dcbf586</x:v>
      </x:c>
      <x:c r="E2075" s="2" t="str">
        <x:v>CHECK_OUT</x:v>
      </x:c>
      <x:c r="F2075" s="8" t="n">
        <x:v>46303.44961805555</x:v>
      </x:c>
      <x:c r="G2075" s="8" t="n">
        <x:v>46303.4496412037</x:v>
      </x:c>
      <x:c r="H2075" s="2" t="str">
        <x:v>R1S1</x:v>
      </x:c>
      <x:c r="I2075" s="9" t="n">
        <x:v>25.271</x:v>
      </x:c>
      <x:c r="J2075" s="9" t="n">
        <x:v>51.491</x:v>
      </x:c>
      <x:c r="K2075" s="2" t="n">
        <x:v>8</x:v>
      </x:c>
      <x:c r="L2075" s="2" t="str">
        <x:v>Valid</x:v>
      </x:c>
      <x:c r="M2075" s="2" t="str">
        <x:v>QR</x:v>
      </x:c>
      <x:c r="N2075" s="2" t="n">
        <x:v>1</x:v>
      </x:c>
      <x:c r="O2075" s="2" t="str">
        <x:v>Accepted</x:v>
      </x:c>
      <x:c r="P2075" s="2" t="str">
        <x:v>S001</x:v>
      </x:c>
      <x:c r="Q2075" s="2" t="str">
        <x:v>DEV001</x:v>
      </x:c>
      <x:c r="R2075" s="2" t="n">
        <x:v>14</x:v>
      </x:c>
      <x:c r="S2075" s="2" t="str">
        <x:v>Online</x:v>
      </x:c>
      <x:c r="T2075" s="2" t="str">
        <x:v>Synced</x:v>
      </x:c>
    </x:row>
    <x:row r="2076" ht="21" customHeight="1">
      <x:c r="A2076" s="2" t="str">
        <x:v>EV002134</x:v>
      </x:c>
      <x:c r="B2076" s="2" t="str">
        <x:v>T20261008-2-2</x:v>
      </x:c>
      <x:c r="C2076" s="2" t="str">
        <x:v>ST050</x:v>
      </x:c>
      <x:c r="D2076" s="2" t="str">
        <x:v>ca49474881a6395691ac81bd08684ed6</x:v>
      </x:c>
      <x:c r="E2076" s="2" t="str">
        <x:v>CHECK_OUT</x:v>
      </x:c>
      <x:c r="F2076" s="8" t="n">
        <x:v>46303.44961805555</x:v>
      </x:c>
      <x:c r="G2076" s="8" t="n">
        <x:v>46303.4496412037</x:v>
      </x:c>
      <x:c r="H2076" s="2" t="str">
        <x:v>R2S1</x:v>
      </x:c>
      <x:c r="I2076" s="9" t="n">
        <x:v>25.28</x:v>
      </x:c>
      <x:c r="J2076" s="9" t="n">
        <x:v>51.498999999999995</x:v>
      </x:c>
      <x:c r="K2076" s="2" t="n">
        <x:v>8</x:v>
      </x:c>
      <x:c r="L2076" s="2" t="str">
        <x:v>Valid</x:v>
      </x:c>
      <x:c r="M2076" s="2" t="str">
        <x:v>QR</x:v>
      </x:c>
      <x:c r="N2076" s="2" t="n">
        <x:v>1</x:v>
      </x:c>
      <x:c r="O2076" s="2" t="str">
        <x:v>Accepted</x:v>
      </x:c>
      <x:c r="P2076" s="2" t="str">
        <x:v>S002</x:v>
      </x:c>
      <x:c r="Q2076" s="2" t="str">
        <x:v>DEV002</x:v>
      </x:c>
      <x:c r="R2076" s="2" t="n">
        <x:v>14</x:v>
      </x:c>
      <x:c r="S2076" s="2" t="str">
        <x:v>Online</x:v>
      </x:c>
      <x:c r="T2076" s="2" t="str">
        <x:v>Synced</x:v>
      </x:c>
    </x:row>
    <x:row r="2077" ht="21" customHeight="1">
      <x:c r="A2077" s="2" t="str">
        <x:v>EV002294</x:v>
      </x:c>
      <x:c r="B2077" s="2" t="str">
        <x:v>T20261008-2-3</x:v>
      </x:c>
      <x:c r="C2077" s="2" t="str">
        <x:v>ST090</x:v>
      </x:c>
      <x:c r="D2077" s="2" t="str">
        <x:v>3b91252475551a374010825e1f05642c</x:v>
      </x:c>
      <x:c r="E2077" s="2" t="str">
        <x:v>CHECK_OUT</x:v>
      </x:c>
      <x:c r="F2077" s="8" t="n">
        <x:v>46303.44961805555</x:v>
      </x:c>
      <x:c r="G2077" s="8" t="n">
        <x:v>46303.4496412037</x:v>
      </x:c>
      <x:c r="H2077" s="2" t="str">
        <x:v>R3S1</x:v>
      </x:c>
      <x:c r="I2077" s="9" t="n">
        <x:v>25.289</x:v>
      </x:c>
      <x:c r="J2077" s="9" t="n">
        <x:v>51.507</x:v>
      </x:c>
      <x:c r="K2077" s="2" t="n">
        <x:v>8</x:v>
      </x:c>
      <x:c r="L2077" s="2" t="str">
        <x:v>Valid</x:v>
      </x:c>
      <x:c r="M2077" s="2" t="str">
        <x:v>QR</x:v>
      </x:c>
      <x:c r="N2077" s="2" t="n">
        <x:v>1</x:v>
      </x:c>
      <x:c r="O2077" s="2" t="str">
        <x:v>Accepted</x:v>
      </x:c>
      <x:c r="P2077" s="2" t="str">
        <x:v>S003</x:v>
      </x:c>
      <x:c r="Q2077" s="2" t="str">
        <x:v>DEV003</x:v>
      </x:c>
      <x:c r="R2077" s="2" t="n">
        <x:v>14</x:v>
      </x:c>
      <x:c r="S2077" s="2" t="str">
        <x:v>Online</x:v>
      </x:c>
      <x:c r="T2077" s="2" t="str">
        <x:v>Synced</x:v>
      </x:c>
    </x:row>
    <x:row r="2078" ht="21" customHeight="1">
      <x:c r="A2078" s="2" t="str">
        <x:v>EV001958</x:v>
      </x:c>
      <x:c r="B2078" s="2" t="str">
        <x:v>T20261008-2-1</x:v>
      </x:c>
      <x:c r="C2078" s="2" t="str">
        <x:v>ST002</x:v>
      </x:c>
      <x:c r="D2078" s="2" t="str">
        <x:v>c9302a76d79e524442f3775978bb57a1</x:v>
      </x:c>
      <x:c r="E2078" s="2" t="str">
        <x:v>CHECK_OUT</x:v>
      </x:c>
      <x:c r="F2078" s="8" t="n">
        <x:v>46303.45350694445</x:v>
      </x:c>
      <x:c r="G2078" s="8" t="n">
        <x:v>46303.45353009259</x:v>
      </x:c>
      <x:c r="H2078" s="2" t="str">
        <x:v>R1S2</x:v>
      </x:c>
      <x:c r="I2078" s="9" t="n">
        <x:v>25.273000000000003</x:v>
      </x:c>
      <x:c r="J2078" s="9" t="n">
        <x:v>51.494</x:v>
      </x:c>
      <x:c r="K2078" s="2" t="n">
        <x:v>8</x:v>
      </x:c>
      <x:c r="L2078" s="2" t="str">
        <x:v>Valid</x:v>
      </x:c>
      <x:c r="M2078" s="2" t="str">
        <x:v>QR</x:v>
      </x:c>
      <x:c r="N2078" s="2" t="n">
        <x:v>1</x:v>
      </x:c>
      <x:c r="O2078" s="2" t="str">
        <x:v>Accepted</x:v>
      </x:c>
      <x:c r="P2078" s="2" t="str">
        <x:v>S001</x:v>
      </x:c>
      <x:c r="Q2078" s="2" t="str">
        <x:v>DEV001</x:v>
      </x:c>
      <x:c r="R2078" s="2" t="n">
        <x:v>15</x:v>
      </x:c>
      <x:c r="S2078" s="2" t="str">
        <x:v>Online</x:v>
      </x:c>
      <x:c r="T2078" s="2" t="str">
        <x:v>Synced</x:v>
      </x:c>
    </x:row>
    <x:row r="2079" ht="21" customHeight="1">
      <x:c r="A2079" s="2" t="str">
        <x:v>EV002118</x:v>
      </x:c>
      <x:c r="B2079" s="2" t="str">
        <x:v>T20261008-2-2</x:v>
      </x:c>
      <x:c r="C2079" s="2" t="str">
        <x:v>ST042</x:v>
      </x:c>
      <x:c r="D2079" s="2" t="str">
        <x:v>9cf3254a8e8c8233e36089501cd1bc60</x:v>
      </x:c>
      <x:c r="E2079" s="2" t="str">
        <x:v>CHECK_OUT</x:v>
      </x:c>
      <x:c r="F2079" s="8" t="n">
        <x:v>46303.45350694445</x:v>
      </x:c>
      <x:c r="G2079" s="8" t="n">
        <x:v>46303.45353009259</x:v>
      </x:c>
      <x:c r="H2079" s="2" t="str">
        <x:v>R2S2</x:v>
      </x:c>
      <x:c r="I2079" s="9" t="n">
        <x:v>25.282000000000004</x:v>
      </x:c>
      <x:c r="J2079" s="9" t="n">
        <x:v>51.501999999999995</x:v>
      </x:c>
      <x:c r="K2079" s="2" t="n">
        <x:v>8</x:v>
      </x:c>
      <x:c r="L2079" s="2" t="str">
        <x:v>Valid</x:v>
      </x:c>
      <x:c r="M2079" s="2" t="str">
        <x:v>QR</x:v>
      </x:c>
      <x:c r="N2079" s="2" t="n">
        <x:v>1</x:v>
      </x:c>
      <x:c r="O2079" s="2" t="str">
        <x:v>Accepted</x:v>
      </x:c>
      <x:c r="P2079" s="2" t="str">
        <x:v>S002</x:v>
      </x:c>
      <x:c r="Q2079" s="2" t="str">
        <x:v>DEV002</x:v>
      </x:c>
      <x:c r="R2079" s="2" t="n">
        <x:v>15</x:v>
      </x:c>
      <x:c r="S2079" s="2" t="str">
        <x:v>Online</x:v>
      </x:c>
      <x:c r="T2079" s="2" t="str">
        <x:v>Synced</x:v>
      </x:c>
    </x:row>
    <x:row r="2080" ht="21" customHeight="1">
      <x:c r="A2080" s="2" t="str">
        <x:v>EV002278</x:v>
      </x:c>
      <x:c r="B2080" s="2" t="str">
        <x:v>T20261008-2-3</x:v>
      </x:c>
      <x:c r="C2080" s="2" t="str">
        <x:v>ST082</x:v>
      </x:c>
      <x:c r="D2080" s="2" t="str">
        <x:v>fb7e28e2da3ace738571a6966bcaaec0</x:v>
      </x:c>
      <x:c r="E2080" s="2" t="str">
        <x:v>CHECK_OUT</x:v>
      </x:c>
      <x:c r="F2080" s="8" t="n">
        <x:v>46303.45350694445</x:v>
      </x:c>
      <x:c r="G2080" s="8" t="n">
        <x:v>46303.45353009259</x:v>
      </x:c>
      <x:c r="H2080" s="2" t="str">
        <x:v>R3S2</x:v>
      </x:c>
      <x:c r="I2080" s="9" t="n">
        <x:v>25.291000000000004</x:v>
      </x:c>
      <x:c r="J2080" s="9" t="n">
        <x:v>51.51</x:v>
      </x:c>
      <x:c r="K2080" s="2" t="n">
        <x:v>8</x:v>
      </x:c>
      <x:c r="L2080" s="2" t="str">
        <x:v>Valid</x:v>
      </x:c>
      <x:c r="M2080" s="2" t="str">
        <x:v>QR</x:v>
      </x:c>
      <x:c r="N2080" s="2" t="n">
        <x:v>1</x:v>
      </x:c>
      <x:c r="O2080" s="2" t="str">
        <x:v>Accepted</x:v>
      </x:c>
      <x:c r="P2080" s="2" t="str">
        <x:v>S003</x:v>
      </x:c>
      <x:c r="Q2080" s="2" t="str">
        <x:v>DEV003</x:v>
      </x:c>
      <x:c r="R2080" s="2" t="n">
        <x:v>15</x:v>
      </x:c>
      <x:c r="S2080" s="2" t="str">
        <x:v>Online</x:v>
      </x:c>
      <x:c r="T2080" s="2" t="str">
        <x:v>Synced</x:v>
      </x:c>
    </x:row>
    <x:row r="2081" ht="21" customHeight="1">
      <x:c r="A2081" s="2" t="str">
        <x:v>EV001964</x:v>
      </x:c>
      <x:c r="B2081" s="2" t="str">
        <x:v>T20261008-2-1</x:v>
      </x:c>
      <x:c r="C2081" s="2" t="str">
        <x:v>ST005</x:v>
      </x:c>
      <x:c r="D2081" s="2" t="str">
        <x:v>426727a8a0b9d51694a399a005c786cf</x:v>
      </x:c>
      <x:c r="E2081" s="2" t="str">
        <x:v>CHECK_OUT</x:v>
      </x:c>
      <x:c r="F2081" s="8" t="n">
        <x:v>46303.453611111116</x:v>
      </x:c>
      <x:c r="G2081" s="8" t="n">
        <x:v>46303.45363425926</x:v>
      </x:c>
      <x:c r="H2081" s="2" t="str">
        <x:v>R1S2</x:v>
      </x:c>
      <x:c r="I2081" s="9" t="n">
        <x:v>25.273000000000003</x:v>
      </x:c>
      <x:c r="J2081" s="9" t="n">
        <x:v>51.494</x:v>
      </x:c>
      <x:c r="K2081" s="2" t="n">
        <x:v>8</x:v>
      </x:c>
      <x:c r="L2081" s="2" t="str">
        <x:v>Valid</x:v>
      </x:c>
      <x:c r="M2081" s="2" t="str">
        <x:v>QR</x:v>
      </x:c>
      <x:c r="N2081" s="2" t="n">
        <x:v>1</x:v>
      </x:c>
      <x:c r="O2081" s="2" t="str">
        <x:v>Accepted</x:v>
      </x:c>
      <x:c r="P2081" s="2" t="str">
        <x:v>S001</x:v>
      </x:c>
      <x:c r="Q2081" s="2" t="str">
        <x:v>DEV001</x:v>
      </x:c>
      <x:c r="R2081" s="2" t="n">
        <x:v>16</x:v>
      </x:c>
      <x:c r="S2081" s="2" t="str">
        <x:v>Online</x:v>
      </x:c>
      <x:c r="T2081" s="2" t="str">
        <x:v>Synced</x:v>
      </x:c>
    </x:row>
    <x:row r="2082" ht="21" customHeight="1">
      <x:c r="A2082" s="2" t="str">
        <x:v>EV002124</x:v>
      </x:c>
      <x:c r="B2082" s="2" t="str">
        <x:v>T20261008-2-2</x:v>
      </x:c>
      <x:c r="C2082" s="2" t="str">
        <x:v>ST045</x:v>
      </x:c>
      <x:c r="D2082" s="2" t="str">
        <x:v>10d8df8a06a7c869bcaa1adbc88c05bc</x:v>
      </x:c>
      <x:c r="E2082" s="2" t="str">
        <x:v>CHECK_OUT</x:v>
      </x:c>
      <x:c r="F2082" s="8" t="n">
        <x:v>46303.453611111116</x:v>
      </x:c>
      <x:c r="G2082" s="8" t="n">
        <x:v>46303.45363425926</x:v>
      </x:c>
      <x:c r="H2082" s="2" t="str">
        <x:v>R2S2</x:v>
      </x:c>
      <x:c r="I2082" s="9" t="n">
        <x:v>25.282000000000004</x:v>
      </x:c>
      <x:c r="J2082" s="9" t="n">
        <x:v>51.501999999999995</x:v>
      </x:c>
      <x:c r="K2082" s="2" t="n">
        <x:v>8</x:v>
      </x:c>
      <x:c r="L2082" s="2" t="str">
        <x:v>Valid</x:v>
      </x:c>
      <x:c r="M2082" s="2" t="str">
        <x:v>QR</x:v>
      </x:c>
      <x:c r="N2082" s="2" t="n">
        <x:v>1</x:v>
      </x:c>
      <x:c r="O2082" s="2" t="str">
        <x:v>Accepted</x:v>
      </x:c>
      <x:c r="P2082" s="2" t="str">
        <x:v>S002</x:v>
      </x:c>
      <x:c r="Q2082" s="2" t="str">
        <x:v>DEV002</x:v>
      </x:c>
      <x:c r="R2082" s="2" t="n">
        <x:v>16</x:v>
      </x:c>
      <x:c r="S2082" s="2" t="str">
        <x:v>Online</x:v>
      </x:c>
      <x:c r="T2082" s="2" t="str">
        <x:v>Synced</x:v>
      </x:c>
    </x:row>
    <x:row r="2083" ht="21" customHeight="1">
      <x:c r="A2083" s="2" t="str">
        <x:v>EV002284</x:v>
      </x:c>
      <x:c r="B2083" s="2" t="str">
        <x:v>T20261008-2-3</x:v>
      </x:c>
      <x:c r="C2083" s="2" t="str">
        <x:v>ST085</x:v>
      </x:c>
      <x:c r="D2083" s="2" t="str">
        <x:v>80babdd572dde222a75b7ad8f0fe7ffa</x:v>
      </x:c>
      <x:c r="E2083" s="2" t="str">
        <x:v>CHECK_OUT</x:v>
      </x:c>
      <x:c r="F2083" s="8" t="n">
        <x:v>46303.453611111116</x:v>
      </x:c>
      <x:c r="G2083" s="8" t="n">
        <x:v>46303.45363425926</x:v>
      </x:c>
      <x:c r="H2083" s="2" t="str">
        <x:v>R3S2</x:v>
      </x:c>
      <x:c r="I2083" s="9" t="n">
        <x:v>25.291000000000004</x:v>
      </x:c>
      <x:c r="J2083" s="9" t="n">
        <x:v>51.51</x:v>
      </x:c>
      <x:c r="K2083" s="2" t="n">
        <x:v>8</x:v>
      </x:c>
      <x:c r="L2083" s="2" t="str">
        <x:v>Valid</x:v>
      </x:c>
      <x:c r="M2083" s="2" t="str">
        <x:v>QR</x:v>
      </x:c>
      <x:c r="N2083" s="2" t="n">
        <x:v>1</x:v>
      </x:c>
      <x:c r="O2083" s="2" t="str">
        <x:v>Accepted</x:v>
      </x:c>
      <x:c r="P2083" s="2" t="str">
        <x:v>S003</x:v>
      </x:c>
      <x:c r="Q2083" s="2" t="str">
        <x:v>DEV003</x:v>
      </x:c>
      <x:c r="R2083" s="2" t="n">
        <x:v>16</x:v>
      </x:c>
      <x:c r="S2083" s="2" t="str">
        <x:v>Online</x:v>
      </x:c>
      <x:c r="T2083" s="2" t="str">
        <x:v>Synced</x:v>
      </x:c>
    </x:row>
    <x:row r="2084" ht="21" customHeight="1">
      <x:c r="A2084" s="2" t="str">
        <x:v>EV001970</x:v>
      </x:c>
      <x:c r="B2084" s="2" t="str">
        <x:v>T20261008-2-1</x:v>
      </x:c>
      <x:c r="C2084" s="2" t="str">
        <x:v>ST008</x:v>
      </x:c>
      <x:c r="D2084" s="2" t="str">
        <x:v>ac4baf5d317844907005c691f401c42d</x:v>
      </x:c>
      <x:c r="E2084" s="2" t="str">
        <x:v>CHECK_OUT</x:v>
      </x:c>
      <x:c r="F2084" s="8" t="n">
        <x:v>46303.45371527778</x:v>
      </x:c>
      <x:c r="G2084" s="8" t="n">
        <x:v>46303.453738425924</x:v>
      </x:c>
      <x:c r="H2084" s="2" t="str">
        <x:v>R1S2</x:v>
      </x:c>
      <x:c r="I2084" s="9" t="n">
        <x:v>25.273000000000003</x:v>
      </x:c>
      <x:c r="J2084" s="9" t="n">
        <x:v>51.494</x:v>
      </x:c>
      <x:c r="K2084" s="2" t="n">
        <x:v>8</x:v>
      </x:c>
      <x:c r="L2084" s="2" t="str">
        <x:v>Valid</x:v>
      </x:c>
      <x:c r="M2084" s="2" t="str">
        <x:v>QR</x:v>
      </x:c>
      <x:c r="N2084" s="2" t="n">
        <x:v>1</x:v>
      </x:c>
      <x:c r="O2084" s="2" t="str">
        <x:v>Accepted</x:v>
      </x:c>
      <x:c r="P2084" s="2" t="str">
        <x:v>S001</x:v>
      </x:c>
      <x:c r="Q2084" s="2" t="str">
        <x:v>DEV001</x:v>
      </x:c>
      <x:c r="R2084" s="2" t="n">
        <x:v>17</x:v>
      </x:c>
      <x:c r="S2084" s="2" t="str">
        <x:v>Online</x:v>
      </x:c>
      <x:c r="T2084" s="2" t="str">
        <x:v>Synced</x:v>
      </x:c>
    </x:row>
    <x:row r="2085" ht="21" customHeight="1">
      <x:c r="A2085" s="2" t="str">
        <x:v>EV002130</x:v>
      </x:c>
      <x:c r="B2085" s="2" t="str">
        <x:v>T20261008-2-2</x:v>
      </x:c>
      <x:c r="C2085" s="2" t="str">
        <x:v>ST048</x:v>
      </x:c>
      <x:c r="D2085" s="2" t="str">
        <x:v>e3a3009a9bd3946e21f417e93203aa79</x:v>
      </x:c>
      <x:c r="E2085" s="2" t="str">
        <x:v>CHECK_OUT</x:v>
      </x:c>
      <x:c r="F2085" s="8" t="n">
        <x:v>46303.45371527778</x:v>
      </x:c>
      <x:c r="G2085" s="8" t="n">
        <x:v>46303.453738425924</x:v>
      </x:c>
      <x:c r="H2085" s="2" t="str">
        <x:v>R2S2</x:v>
      </x:c>
      <x:c r="I2085" s="9" t="n">
        <x:v>25.282000000000004</x:v>
      </x:c>
      <x:c r="J2085" s="9" t="n">
        <x:v>51.501999999999995</x:v>
      </x:c>
      <x:c r="K2085" s="2" t="n">
        <x:v>8</x:v>
      </x:c>
      <x:c r="L2085" s="2" t="str">
        <x:v>Valid</x:v>
      </x:c>
      <x:c r="M2085" s="2" t="str">
        <x:v>QR</x:v>
      </x:c>
      <x:c r="N2085" s="2" t="n">
        <x:v>1</x:v>
      </x:c>
      <x:c r="O2085" s="2" t="str">
        <x:v>Accepted</x:v>
      </x:c>
      <x:c r="P2085" s="2" t="str">
        <x:v>S002</x:v>
      </x:c>
      <x:c r="Q2085" s="2" t="str">
        <x:v>DEV002</x:v>
      </x:c>
      <x:c r="R2085" s="2" t="n">
        <x:v>17</x:v>
      </x:c>
      <x:c r="S2085" s="2" t="str">
        <x:v>Online</x:v>
      </x:c>
      <x:c r="T2085" s="2" t="str">
        <x:v>Synced</x:v>
      </x:c>
    </x:row>
    <x:row r="2086" ht="21" customHeight="1">
      <x:c r="A2086" s="2" t="str">
        <x:v>EV002290</x:v>
      </x:c>
      <x:c r="B2086" s="2" t="str">
        <x:v>T20261008-2-3</x:v>
      </x:c>
      <x:c r="C2086" s="2" t="str">
        <x:v>ST088</x:v>
      </x:c>
      <x:c r="D2086" s="2" t="str">
        <x:v>b227769e0483e6c28eed8e8d448bfbbe</x:v>
      </x:c>
      <x:c r="E2086" s="2" t="str">
        <x:v>CHECK_OUT</x:v>
      </x:c>
      <x:c r="F2086" s="8" t="n">
        <x:v>46303.45371527778</x:v>
      </x:c>
      <x:c r="G2086" s="8" t="n">
        <x:v>46303.453738425924</x:v>
      </x:c>
      <x:c r="H2086" s="2" t="str">
        <x:v>R3S2</x:v>
      </x:c>
      <x:c r="I2086" s="9" t="n">
        <x:v>25.291000000000004</x:v>
      </x:c>
      <x:c r="J2086" s="9" t="n">
        <x:v>51.51</x:v>
      </x:c>
      <x:c r="K2086" s="2" t="n">
        <x:v>8</x:v>
      </x:c>
      <x:c r="L2086" s="2" t="str">
        <x:v>Valid</x:v>
      </x:c>
      <x:c r="M2086" s="2" t="str">
        <x:v>QR</x:v>
      </x:c>
      <x:c r="N2086" s="2" t="n">
        <x:v>1</x:v>
      </x:c>
      <x:c r="O2086" s="2" t="str">
        <x:v>Accepted</x:v>
      </x:c>
      <x:c r="P2086" s="2" t="str">
        <x:v>S003</x:v>
      </x:c>
      <x:c r="Q2086" s="2" t="str">
        <x:v>DEV003</x:v>
      </x:c>
      <x:c r="R2086" s="2" t="n">
        <x:v>17</x:v>
      </x:c>
      <x:c r="S2086" s="2" t="str">
        <x:v>Online</x:v>
      </x:c>
      <x:c r="T2086" s="2" t="str">
        <x:v>Synced</x:v>
      </x:c>
    </x:row>
    <x:row r="2087" ht="21" customHeight="1">
      <x:c r="A2087" s="2" t="str">
        <x:v>EV001960</x:v>
      </x:c>
      <x:c r="B2087" s="2" t="str">
        <x:v>T20261008-2-1</x:v>
      </x:c>
      <x:c r="C2087" s="2" t="str">
        <x:v>ST003</x:v>
      </x:c>
      <x:c r="D2087" s="2" t="str">
        <x:v>7598e98213cb52db1085c9a94fae1915</x:v>
      </x:c>
      <x:c r="E2087" s="2" t="str">
        <x:v>CHECK_OUT</x:v>
      </x:c>
      <x:c r="F2087" s="8" t="n">
        <x:v>46303.457708333335</x:v>
      </x:c>
      <x:c r="G2087" s="8" t="n">
        <x:v>46303.45773148148</x:v>
      </x:c>
      <x:c r="H2087" s="2" t="str">
        <x:v>R1S3</x:v>
      </x:c>
      <x:c r="I2087" s="9" t="n">
        <x:v>25.275000000000002</x:v>
      </x:c>
      <x:c r="J2087" s="9" t="n">
        <x:v>51.497</x:v>
      </x:c>
      <x:c r="K2087" s="2" t="n">
        <x:v>8</x:v>
      </x:c>
      <x:c r="L2087" s="2" t="str">
        <x:v>Valid</x:v>
      </x:c>
      <x:c r="M2087" s="2" t="str">
        <x:v>QR</x:v>
      </x:c>
      <x:c r="N2087" s="2" t="n">
        <x:v>1</x:v>
      </x:c>
      <x:c r="O2087" s="2" t="str">
        <x:v>Accepted</x:v>
      </x:c>
      <x:c r="P2087" s="2" t="str">
        <x:v>S001</x:v>
      </x:c>
      <x:c r="Q2087" s="2" t="str">
        <x:v>DEV001</x:v>
      </x:c>
      <x:c r="R2087" s="2" t="n">
        <x:v>18</x:v>
      </x:c>
      <x:c r="S2087" s="2" t="str">
        <x:v>Online</x:v>
      </x:c>
      <x:c r="T2087" s="2" t="str">
        <x:v>Synced</x:v>
      </x:c>
    </x:row>
    <x:row r="2088" ht="21" customHeight="1">
      <x:c r="A2088" s="2" t="str">
        <x:v>EV002120</x:v>
      </x:c>
      <x:c r="B2088" s="2" t="str">
        <x:v>T20261008-2-2</x:v>
      </x:c>
      <x:c r="C2088" s="2" t="str">
        <x:v>ST043</x:v>
      </x:c>
      <x:c r="D2088" s="2" t="str">
        <x:v>db51093fe9dac44d59345ee12f7e9c56</x:v>
      </x:c>
      <x:c r="E2088" s="2" t="str">
        <x:v>CHECK_OUT</x:v>
      </x:c>
      <x:c r="F2088" s="8" t="n">
        <x:v>46303.457708333335</x:v>
      </x:c>
      <x:c r="G2088" s="8" t="n">
        <x:v>46303.45773148148</x:v>
      </x:c>
      <x:c r="H2088" s="2" t="str">
        <x:v>R2S3</x:v>
      </x:c>
      <x:c r="I2088" s="9" t="n">
        <x:v>25.284000000000002</x:v>
      </x:c>
      <x:c r="J2088" s="9" t="n">
        <x:v>51.504999999999995</x:v>
      </x:c>
      <x:c r="K2088" s="2" t="n">
        <x:v>8</x:v>
      </x:c>
      <x:c r="L2088" s="2" t="str">
        <x:v>Valid</x:v>
      </x:c>
      <x:c r="M2088" s="2" t="str">
        <x:v>QR</x:v>
      </x:c>
      <x:c r="N2088" s="2" t="n">
        <x:v>1</x:v>
      </x:c>
      <x:c r="O2088" s="2" t="str">
        <x:v>Accepted</x:v>
      </x:c>
      <x:c r="P2088" s="2" t="str">
        <x:v>S002</x:v>
      </x:c>
      <x:c r="Q2088" s="2" t="str">
        <x:v>DEV002</x:v>
      </x:c>
      <x:c r="R2088" s="2" t="n">
        <x:v>18</x:v>
      </x:c>
      <x:c r="S2088" s="2" t="str">
        <x:v>Online</x:v>
      </x:c>
      <x:c r="T2088" s="2" t="str">
        <x:v>Synced</x:v>
      </x:c>
    </x:row>
    <x:row r="2089" ht="21" customHeight="1">
      <x:c r="A2089" s="2" t="str">
        <x:v>EV002280</x:v>
      </x:c>
      <x:c r="B2089" s="2" t="str">
        <x:v>T20261008-2-3</x:v>
      </x:c>
      <x:c r="C2089" s="2" t="str">
        <x:v>ST083</x:v>
      </x:c>
      <x:c r="D2089" s="2" t="str">
        <x:v>19cc474730ce4d97be031814010d13a9</x:v>
      </x:c>
      <x:c r="E2089" s="2" t="str">
        <x:v>CHECK_OUT</x:v>
      </x:c>
      <x:c r="F2089" s="8" t="n">
        <x:v>46303.457708333335</x:v>
      </x:c>
      <x:c r="G2089" s="8" t="n">
        <x:v>46303.45773148148</x:v>
      </x:c>
      <x:c r="H2089" s="2" t="str">
        <x:v>R3S3</x:v>
      </x:c>
      <x:c r="I2089" s="9" t="n">
        <x:v>25.293000000000003</x:v>
      </x:c>
      <x:c r="J2089" s="9" t="n">
        <x:v>51.513</x:v>
      </x:c>
      <x:c r="K2089" s="2" t="n">
        <x:v>8</x:v>
      </x:c>
      <x:c r="L2089" s="2" t="str">
        <x:v>Valid</x:v>
      </x:c>
      <x:c r="M2089" s="2" t="str">
        <x:v>QR</x:v>
      </x:c>
      <x:c r="N2089" s="2" t="n">
        <x:v>1</x:v>
      </x:c>
      <x:c r="O2089" s="2" t="str">
        <x:v>Accepted</x:v>
      </x:c>
      <x:c r="P2089" s="2" t="str">
        <x:v>S003</x:v>
      </x:c>
      <x:c r="Q2089" s="2" t="str">
        <x:v>DEV003</x:v>
      </x:c>
      <x:c r="R2089" s="2" t="n">
        <x:v>18</x:v>
      </x:c>
      <x:c r="S2089" s="2" t="str">
        <x:v>Online</x:v>
      </x:c>
      <x:c r="T2089" s="2" t="str">
        <x:v>Synced</x:v>
      </x:c>
    </x:row>
    <x:row r="2090" ht="21" customHeight="1">
      <x:c r="A2090" s="2" t="str">
        <x:v>EV001966</x:v>
      </x:c>
      <x:c r="B2090" s="2" t="str">
        <x:v>T20261008-2-1</x:v>
      </x:c>
      <x:c r="C2090" s="2" t="str">
        <x:v>ST006</x:v>
      </x:c>
      <x:c r="D2090" s="2" t="str">
        <x:v>8edd7f2c984bf2eb5adf75591d6f1e9c</x:v>
      </x:c>
      <x:c r="E2090" s="2" t="str">
        <x:v>CHECK_OUT</x:v>
      </x:c>
      <x:c r="F2090" s="8" t="n">
        <x:v>46303.4578125</x:v>
      </x:c>
      <x:c r="G2090" s="8" t="n">
        <x:v>46303.45783564814</x:v>
      </x:c>
      <x:c r="H2090" s="2" t="str">
        <x:v>R1S3</x:v>
      </x:c>
      <x:c r="I2090" s="9" t="n">
        <x:v>25.275000000000002</x:v>
      </x:c>
      <x:c r="J2090" s="9" t="n">
        <x:v>51.497</x:v>
      </x:c>
      <x:c r="K2090" s="2" t="n">
        <x:v>8</x:v>
      </x:c>
      <x:c r="L2090" s="2" t="str">
        <x:v>Valid</x:v>
      </x:c>
      <x:c r="M2090" s="2" t="str">
        <x:v>QR</x:v>
      </x:c>
      <x:c r="N2090" s="2" t="n">
        <x:v>1</x:v>
      </x:c>
      <x:c r="O2090" s="2" t="str">
        <x:v>Accepted</x:v>
      </x:c>
      <x:c r="P2090" s="2" t="str">
        <x:v>S001</x:v>
      </x:c>
      <x:c r="Q2090" s="2" t="str">
        <x:v>DEV001</x:v>
      </x:c>
      <x:c r="R2090" s="2" t="n">
        <x:v>19</x:v>
      </x:c>
      <x:c r="S2090" s="2" t="str">
        <x:v>Online</x:v>
      </x:c>
      <x:c r="T2090" s="2" t="str">
        <x:v>Synced</x:v>
      </x:c>
    </x:row>
    <x:row r="2091" ht="21" customHeight="1">
      <x:c r="A2091" s="2" t="str">
        <x:v>EV002126</x:v>
      </x:c>
      <x:c r="B2091" s="2" t="str">
        <x:v>T20261008-2-2</x:v>
      </x:c>
      <x:c r="C2091" s="2" t="str">
        <x:v>ST046</x:v>
      </x:c>
      <x:c r="D2091" s="2" t="str">
        <x:v>82365992d443d056f10fa7522ac29057</x:v>
      </x:c>
      <x:c r="E2091" s="2" t="str">
        <x:v>CHECK_OUT</x:v>
      </x:c>
      <x:c r="F2091" s="8" t="n">
        <x:v>46303.4578125</x:v>
      </x:c>
      <x:c r="G2091" s="8" t="n">
        <x:v>46303.45783564814</x:v>
      </x:c>
      <x:c r="H2091" s="2" t="str">
        <x:v>R2S3</x:v>
      </x:c>
      <x:c r="I2091" s="9" t="n">
        <x:v>25.284000000000002</x:v>
      </x:c>
      <x:c r="J2091" s="9" t="n">
        <x:v>51.504999999999995</x:v>
      </x:c>
      <x:c r="K2091" s="2" t="n">
        <x:v>8</x:v>
      </x:c>
      <x:c r="L2091" s="2" t="str">
        <x:v>Valid</x:v>
      </x:c>
      <x:c r="M2091" s="2" t="str">
        <x:v>QR</x:v>
      </x:c>
      <x:c r="N2091" s="2" t="n">
        <x:v>1</x:v>
      </x:c>
      <x:c r="O2091" s="2" t="str">
        <x:v>Accepted</x:v>
      </x:c>
      <x:c r="P2091" s="2" t="str">
        <x:v>S002</x:v>
      </x:c>
      <x:c r="Q2091" s="2" t="str">
        <x:v>DEV002</x:v>
      </x:c>
      <x:c r="R2091" s="2" t="n">
        <x:v>19</x:v>
      </x:c>
      <x:c r="S2091" s="2" t="str">
        <x:v>Online</x:v>
      </x:c>
      <x:c r="T2091" s="2" t="str">
        <x:v>Synced</x:v>
      </x:c>
    </x:row>
    <x:row r="2092" ht="21" customHeight="1">
      <x:c r="A2092" s="2" t="str">
        <x:v>EV002286</x:v>
      </x:c>
      <x:c r="B2092" s="2" t="str">
        <x:v>T20261008-2-3</x:v>
      </x:c>
      <x:c r="C2092" s="2" t="str">
        <x:v>ST086</x:v>
      </x:c>
      <x:c r="D2092" s="2" t="str">
        <x:v>33c5dfd0f17fcbe34d50fd9b0a0c0e5b</x:v>
      </x:c>
      <x:c r="E2092" s="2" t="str">
        <x:v>CHECK_OUT</x:v>
      </x:c>
      <x:c r="F2092" s="8" t="n">
        <x:v>46303.4578125</x:v>
      </x:c>
      <x:c r="G2092" s="8" t="n">
        <x:v>46303.45783564814</x:v>
      </x:c>
      <x:c r="H2092" s="2" t="str">
        <x:v>R3S3</x:v>
      </x:c>
      <x:c r="I2092" s="9" t="n">
        <x:v>25.293000000000003</x:v>
      </x:c>
      <x:c r="J2092" s="9" t="n">
        <x:v>51.513</x:v>
      </x:c>
      <x:c r="K2092" s="2" t="n">
        <x:v>8</x:v>
      </x:c>
      <x:c r="L2092" s="2" t="str">
        <x:v>Valid</x:v>
      </x:c>
      <x:c r="M2092" s="2" t="str">
        <x:v>QR</x:v>
      </x:c>
      <x:c r="N2092" s="2" t="n">
        <x:v>1</x:v>
      </x:c>
      <x:c r="O2092" s="2" t="str">
        <x:v>Accepted</x:v>
      </x:c>
      <x:c r="P2092" s="2" t="str">
        <x:v>S003</x:v>
      </x:c>
      <x:c r="Q2092" s="2" t="str">
        <x:v>DEV003</x:v>
      </x:c>
      <x:c r="R2092" s="2" t="n">
        <x:v>19</x:v>
      </x:c>
      <x:c r="S2092" s="2" t="str">
        <x:v>Online</x:v>
      </x:c>
      <x:c r="T2092" s="2" t="str">
        <x:v>Synced</x:v>
      </x:c>
    </x:row>
    <x:row r="2093" ht="21" customHeight="1">
      <x:c r="A2093" s="2" t="str">
        <x:v>EV001972</x:v>
      </x:c>
      <x:c r="B2093" s="2" t="str">
        <x:v>T20261008-2-1</x:v>
      </x:c>
      <x:c r="C2093" s="2" t="str">
        <x:v>ST009</x:v>
      </x:c>
      <x:c r="D2093" s="2" t="str">
        <x:v>fdc849f07f4ba12ab82f6bed87d7275d</x:v>
      </x:c>
      <x:c r="E2093" s="2" t="str">
        <x:v>CHECK_OUT</x:v>
      </x:c>
      <x:c r="F2093" s="8" t="n">
        <x:v>46303.457916666666</x:v>
      </x:c>
      <x:c r="G2093" s="8" t="n">
        <x:v>46303.45793981481</x:v>
      </x:c>
      <x:c r="H2093" s="2" t="str">
        <x:v>R1S3</x:v>
      </x:c>
      <x:c r="I2093" s="9" t="n">
        <x:v>25.275000000000002</x:v>
      </x:c>
      <x:c r="J2093" s="9" t="n">
        <x:v>51.497</x:v>
      </x:c>
      <x:c r="K2093" s="2" t="n">
        <x:v>8</x:v>
      </x:c>
      <x:c r="L2093" s="2" t="str">
        <x:v>Valid</x:v>
      </x:c>
      <x:c r="M2093" s="2" t="str">
        <x:v>QR</x:v>
      </x:c>
      <x:c r="N2093" s="2" t="n">
        <x:v>1</x:v>
      </x:c>
      <x:c r="O2093" s="2" t="str">
        <x:v>Accepted</x:v>
      </x:c>
      <x:c r="P2093" s="2" t="str">
        <x:v>S001</x:v>
      </x:c>
      <x:c r="Q2093" s="2" t="str">
        <x:v>DEV001</x:v>
      </x:c>
      <x:c r="R2093" s="2" t="n">
        <x:v>20</x:v>
      </x:c>
      <x:c r="S2093" s="2" t="str">
        <x:v>Online</x:v>
      </x:c>
      <x:c r="T2093" s="2" t="str">
        <x:v>Synced</x:v>
      </x:c>
    </x:row>
    <x:row r="2094" ht="21" customHeight="1">
      <x:c r="A2094" s="2" t="str">
        <x:v>EV002132</x:v>
      </x:c>
      <x:c r="B2094" s="2" t="str">
        <x:v>T20261008-2-2</x:v>
      </x:c>
      <x:c r="C2094" s="2" t="str">
        <x:v>ST049</x:v>
      </x:c>
      <x:c r="D2094" s="2" t="str">
        <x:v>aac0da9ca028b4b4fe1fc2c1eb298502</x:v>
      </x:c>
      <x:c r="E2094" s="2" t="str">
        <x:v>CHECK_OUT</x:v>
      </x:c>
      <x:c r="F2094" s="8" t="n">
        <x:v>46303.457916666666</x:v>
      </x:c>
      <x:c r="G2094" s="8" t="n">
        <x:v>46303.45793981481</x:v>
      </x:c>
      <x:c r="H2094" s="2" t="str">
        <x:v>R2S3</x:v>
      </x:c>
      <x:c r="I2094" s="9" t="n">
        <x:v>25.284000000000002</x:v>
      </x:c>
      <x:c r="J2094" s="9" t="n">
        <x:v>51.504999999999995</x:v>
      </x:c>
      <x:c r="K2094" s="2" t="n">
        <x:v>8</x:v>
      </x:c>
      <x:c r="L2094" s="2" t="str">
        <x:v>Valid</x:v>
      </x:c>
      <x:c r="M2094" s="2" t="str">
        <x:v>QR</x:v>
      </x:c>
      <x:c r="N2094" s="2" t="n">
        <x:v>1</x:v>
      </x:c>
      <x:c r="O2094" s="2" t="str">
        <x:v>Accepted</x:v>
      </x:c>
      <x:c r="P2094" s="2" t="str">
        <x:v>S002</x:v>
      </x:c>
      <x:c r="Q2094" s="2" t="str">
        <x:v>DEV002</x:v>
      </x:c>
      <x:c r="R2094" s="2" t="n">
        <x:v>20</x:v>
      </x:c>
      <x:c r="S2094" s="2" t="str">
        <x:v>Online</x:v>
      </x:c>
      <x:c r="T2094" s="2" t="str">
        <x:v>Synced</x:v>
      </x:c>
    </x:row>
    <x:row r="2095" ht="21" customHeight="1">
      <x:c r="A2095" s="2" t="str">
        <x:v>EV002292</x:v>
      </x:c>
      <x:c r="B2095" s="2" t="str">
        <x:v>T20261008-2-3</x:v>
      </x:c>
      <x:c r="C2095" s="2" t="str">
        <x:v>ST089</x:v>
      </x:c>
      <x:c r="D2095" s="2" t="str">
        <x:v>0bd697ec3f7c09918d8dd004b5340b03</x:v>
      </x:c>
      <x:c r="E2095" s="2" t="str">
        <x:v>CHECK_OUT</x:v>
      </x:c>
      <x:c r="F2095" s="8" t="n">
        <x:v>46303.457916666666</x:v>
      </x:c>
      <x:c r="G2095" s="8" t="n">
        <x:v>46303.45793981481</x:v>
      </x:c>
      <x:c r="H2095" s="2" t="str">
        <x:v>R3S3</x:v>
      </x:c>
      <x:c r="I2095" s="9" t="n">
        <x:v>25.293000000000003</x:v>
      </x:c>
      <x:c r="J2095" s="9" t="n">
        <x:v>51.513</x:v>
      </x:c>
      <x:c r="K2095" s="2" t="n">
        <x:v>8</x:v>
      </x:c>
      <x:c r="L2095" s="2" t="str">
        <x:v>Valid</x:v>
      </x:c>
      <x:c r="M2095" s="2" t="str">
        <x:v>QR</x:v>
      </x:c>
      <x:c r="N2095" s="2" t="n">
        <x:v>1</x:v>
      </x:c>
      <x:c r="O2095" s="2" t="str">
        <x:v>Accepted</x:v>
      </x:c>
      <x:c r="P2095" s="2" t="str">
        <x:v>S003</x:v>
      </x:c>
      <x:c r="Q2095" s="2" t="str">
        <x:v>DEV003</x:v>
      </x:c>
      <x:c r="R2095" s="2" t="n">
        <x:v>20</x:v>
      </x:c>
      <x:c r="S2095" s="2" t="str">
        <x:v>Online</x:v>
      </x:c>
      <x:c r="T2095" s="2" t="str">
        <x:v>Synced</x:v>
      </x:c>
    </x:row>
    <x:row r="2096" ht="21" customHeight="1">
      <x:c r="A2096" s="2" t="str">
        <x:v>EV001995</x:v>
      </x:c>
      <x:c r="B2096" s="2" t="str">
        <x:v>T20261008-2-1</x:v>
      </x:c>
      <x:c r="C2096" s="2" t="str">
        <x:v>ST031</x:v>
      </x:c>
      <x:c r="D2096" s="2" t="str">
        <x:v>8ab188e9684e5df87182305d1c7eadac</x:v>
      </x:c>
      <x:c r="E2096" s="2" t="str">
        <x:v>CHECK_IN</x:v>
      </x:c>
      <x:c r="F2096" s="8" t="n">
        <x:v>46303.47152777778</x:v>
      </x:c>
      <x:c r="G2096" s="8" t="n">
        <x:v>46303.471550925926</x:v>
      </x:c>
      <x:c r="H2096" s="2" t="str">
        <x:v>R1S1</x:v>
      </x:c>
      <x:c r="I2096" s="9" t="n">
        <x:v>25.271</x:v>
      </x:c>
      <x:c r="J2096" s="9" t="n">
        <x:v>51.491</x:v>
      </x:c>
      <x:c r="K2096" s="2" t="n">
        <x:v>8</x:v>
      </x:c>
      <x:c r="L2096" s="2" t="str">
        <x:v>Valid</x:v>
      </x:c>
      <x:c r="M2096" s="2" t="str">
        <x:v>QR</x:v>
      </x:c>
      <x:c r="N2096" s="2" t="n">
        <x:v>1</x:v>
      </x:c>
      <x:c r="O2096" s="2" t="str">
        <x:v>Accepted</x:v>
      </x:c>
      <x:c r="P2096" s="2" t="str">
        <x:v>S001</x:v>
      </x:c>
      <x:c r="Q2096" s="2" t="str">
        <x:v>DEV001</x:v>
      </x:c>
      <x:c r="R2096" s="2" t="n">
        <x:v>21</x:v>
      </x:c>
      <x:c r="S2096" s="2" t="str">
        <x:v>Online</x:v>
      </x:c>
      <x:c r="T2096" s="2" t="str">
        <x:v>Synced</x:v>
      </x:c>
    </x:row>
    <x:row r="2097" ht="21" customHeight="1">
      <x:c r="A2097" s="2" t="str">
        <x:v>EV002155</x:v>
      </x:c>
      <x:c r="B2097" s="2" t="str">
        <x:v>T20261008-2-2</x:v>
      </x:c>
      <x:c r="C2097" s="2" t="str">
        <x:v>ST071</x:v>
      </x:c>
      <x:c r="D2097" s="2" t="str">
        <x:v>51895678643dc659a400e702a471294e</x:v>
      </x:c>
      <x:c r="E2097" s="2" t="str">
        <x:v>CHECK_IN</x:v>
      </x:c>
      <x:c r="F2097" s="8" t="n">
        <x:v>46303.47152777778</x:v>
      </x:c>
      <x:c r="G2097" s="8" t="n">
        <x:v>46303.471550925926</x:v>
      </x:c>
      <x:c r="H2097" s="2" t="str">
        <x:v>R2S1</x:v>
      </x:c>
      <x:c r="I2097" s="9" t="n">
        <x:v>25.28</x:v>
      </x:c>
      <x:c r="J2097" s="9" t="n">
        <x:v>51.498999999999995</x:v>
      </x:c>
      <x:c r="K2097" s="2" t="n">
        <x:v>8</x:v>
      </x:c>
      <x:c r="L2097" s="2" t="str">
        <x:v>Valid</x:v>
      </x:c>
      <x:c r="M2097" s="2" t="str">
        <x:v>QR</x:v>
      </x:c>
      <x:c r="N2097" s="2" t="n">
        <x:v>1</x:v>
      </x:c>
      <x:c r="O2097" s="2" t="str">
        <x:v>Accepted</x:v>
      </x:c>
      <x:c r="P2097" s="2" t="str">
        <x:v>S002</x:v>
      </x:c>
      <x:c r="Q2097" s="2" t="str">
        <x:v>DEV002</x:v>
      </x:c>
      <x:c r="R2097" s="2" t="n">
        <x:v>21</x:v>
      </x:c>
      <x:c r="S2097" s="2" t="str">
        <x:v>Online</x:v>
      </x:c>
      <x:c r="T2097" s="2" t="str">
        <x:v>Synced</x:v>
      </x:c>
    </x:row>
    <x:row r="2098" ht="21" customHeight="1">
      <x:c r="A2098" s="2" t="str">
        <x:v>EV002315</x:v>
      </x:c>
      <x:c r="B2098" s="2" t="str">
        <x:v>T20261008-2-3</x:v>
      </x:c>
      <x:c r="C2098" s="2" t="str">
        <x:v>ST111</x:v>
      </x:c>
      <x:c r="D2098" s="2" t="str">
        <x:v>e6e9707385e7ee8edd3ac87243757eb2</x:v>
      </x:c>
      <x:c r="E2098" s="2" t="str">
        <x:v>CHECK_IN</x:v>
      </x:c>
      <x:c r="F2098" s="8" t="n">
        <x:v>46303.47152777778</x:v>
      </x:c>
      <x:c r="G2098" s="8" t="n">
        <x:v>46303.471550925926</x:v>
      </x:c>
      <x:c r="H2098" s="2" t="str">
        <x:v>R3S1</x:v>
      </x:c>
      <x:c r="I2098" s="9" t="n">
        <x:v>25.289</x:v>
      </x:c>
      <x:c r="J2098" s="9" t="n">
        <x:v>51.507</x:v>
      </x:c>
      <x:c r="K2098" s="2" t="n">
        <x:v>8</x:v>
      </x:c>
      <x:c r="L2098" s="2" t="str">
        <x:v>Valid</x:v>
      </x:c>
      <x:c r="M2098" s="2" t="str">
        <x:v>QR</x:v>
      </x:c>
      <x:c r="N2098" s="2" t="n">
        <x:v>1</x:v>
      </x:c>
      <x:c r="O2098" s="2" t="str">
        <x:v>Accepted</x:v>
      </x:c>
      <x:c r="P2098" s="2" t="str">
        <x:v>S003</x:v>
      </x:c>
      <x:c r="Q2098" s="2" t="str">
        <x:v>DEV003</x:v>
      </x:c>
      <x:c r="R2098" s="2" t="n">
        <x:v>21</x:v>
      </x:c>
      <x:c r="S2098" s="2" t="str">
        <x:v>Online</x:v>
      </x:c>
      <x:c r="T2098" s="2" t="str">
        <x:v>Synced</x:v>
      </x:c>
    </x:row>
    <x:row r="2099" ht="21" customHeight="1">
      <x:c r="A2099" s="2" t="str">
        <x:v>EV001977</x:v>
      </x:c>
      <x:c r="B2099" s="2" t="str">
        <x:v>T20261008-2-1</x:v>
      </x:c>
      <x:c r="C2099" s="2" t="str">
        <x:v>ST022</x:v>
      </x:c>
      <x:c r="D2099" s="2" t="str">
        <x:v>32e634064d0319251398d392c471332a</x:v>
      </x:c>
      <x:c r="E2099" s="2" t="str">
        <x:v>CHECK_IN</x:v>
      </x:c>
      <x:c r="F2099" s="8" t="n">
        <x:v>46303.4715625</x:v>
      </x:c>
      <x:c r="G2099" s="8" t="n">
        <x:v>46303.47158564815</x:v>
      </x:c>
      <x:c r="H2099" s="2" t="str">
        <x:v>R1S1</x:v>
      </x:c>
      <x:c r="I2099" s="9" t="n">
        <x:v>25.271</x:v>
      </x:c>
      <x:c r="J2099" s="9" t="n">
        <x:v>51.491</x:v>
      </x:c>
      <x:c r="K2099" s="2" t="n">
        <x:v>8</x:v>
      </x:c>
      <x:c r="L2099" s="2" t="str">
        <x:v>Valid</x:v>
      </x:c>
      <x:c r="M2099" s="2" t="str">
        <x:v>QR</x:v>
      </x:c>
      <x:c r="N2099" s="2" t="n">
        <x:v>1</x:v>
      </x:c>
      <x:c r="O2099" s="2" t="str">
        <x:v>Accepted</x:v>
      </x:c>
      <x:c r="P2099" s="2" t="str">
        <x:v>S001</x:v>
      </x:c>
      <x:c r="Q2099" s="2" t="str">
        <x:v>DEV001</x:v>
      </x:c>
      <x:c r="R2099" s="2" t="n">
        <x:v>22</x:v>
      </x:c>
      <x:c r="S2099" s="2" t="str">
        <x:v>Online</x:v>
      </x:c>
      <x:c r="T2099" s="2" t="str">
        <x:v>Synced</x:v>
      </x:c>
    </x:row>
    <x:row r="2100" ht="21" customHeight="1">
      <x:c r="A2100" s="2" t="str">
        <x:v>EV002137</x:v>
      </x:c>
      <x:c r="B2100" s="2" t="str">
        <x:v>T20261008-2-2</x:v>
      </x:c>
      <x:c r="C2100" s="2" t="str">
        <x:v>ST062</x:v>
      </x:c>
      <x:c r="D2100" s="2" t="str">
        <x:v>e0ee324a0d8893ba89d7c618ea194e36</x:v>
      </x:c>
      <x:c r="E2100" s="2" t="str">
        <x:v>CHECK_IN</x:v>
      </x:c>
      <x:c r="F2100" s="8" t="n">
        <x:v>46303.4715625</x:v>
      </x:c>
      <x:c r="G2100" s="8" t="n">
        <x:v>46303.47158564815</x:v>
      </x:c>
      <x:c r="H2100" s="2" t="str">
        <x:v>R2S1</x:v>
      </x:c>
      <x:c r="I2100" s="9" t="n">
        <x:v>25.28</x:v>
      </x:c>
      <x:c r="J2100" s="9" t="n">
        <x:v>51.498999999999995</x:v>
      </x:c>
      <x:c r="K2100" s="2" t="n">
        <x:v>8</x:v>
      </x:c>
      <x:c r="L2100" s="2" t="str">
        <x:v>Valid</x:v>
      </x:c>
      <x:c r="M2100" s="2" t="str">
        <x:v>QR</x:v>
      </x:c>
      <x:c r="N2100" s="2" t="n">
        <x:v>1</x:v>
      </x:c>
      <x:c r="O2100" s="2" t="str">
        <x:v>Accepted</x:v>
      </x:c>
      <x:c r="P2100" s="2" t="str">
        <x:v>S002</x:v>
      </x:c>
      <x:c r="Q2100" s="2" t="str">
        <x:v>DEV002</x:v>
      </x:c>
      <x:c r="R2100" s="2" t="n">
        <x:v>22</x:v>
      </x:c>
      <x:c r="S2100" s="2" t="str">
        <x:v>Online</x:v>
      </x:c>
      <x:c r="T2100" s="2" t="str">
        <x:v>Synced</x:v>
      </x:c>
    </x:row>
    <x:row r="2101" ht="21" customHeight="1">
      <x:c r="A2101" s="2" t="str">
        <x:v>EV002297</x:v>
      </x:c>
      <x:c r="B2101" s="2" t="str">
        <x:v>T20261008-2-3</x:v>
      </x:c>
      <x:c r="C2101" s="2" t="str">
        <x:v>ST102</x:v>
      </x:c>
      <x:c r="D2101" s="2" t="str">
        <x:v>6a90d57a6e4b5aedbdcdc5a29cf018e9</x:v>
      </x:c>
      <x:c r="E2101" s="2" t="str">
        <x:v>CHECK_IN</x:v>
      </x:c>
      <x:c r="F2101" s="8" t="n">
        <x:v>46303.4715625</x:v>
      </x:c>
      <x:c r="G2101" s="8" t="n">
        <x:v>46303.47158564815</x:v>
      </x:c>
      <x:c r="H2101" s="2" t="str">
        <x:v>R3S1</x:v>
      </x:c>
      <x:c r="I2101" s="9" t="n">
        <x:v>25.289</x:v>
      </x:c>
      <x:c r="J2101" s="9" t="n">
        <x:v>51.507</x:v>
      </x:c>
      <x:c r="K2101" s="2" t="n">
        <x:v>8</x:v>
      </x:c>
      <x:c r="L2101" s="2" t="str">
        <x:v>Valid</x:v>
      </x:c>
      <x:c r="M2101" s="2" t="str">
        <x:v>QR</x:v>
      </x:c>
      <x:c r="N2101" s="2" t="n">
        <x:v>1</x:v>
      </x:c>
      <x:c r="O2101" s="2" t="str">
        <x:v>Accepted</x:v>
      </x:c>
      <x:c r="P2101" s="2" t="str">
        <x:v>S003</x:v>
      </x:c>
      <x:c r="Q2101" s="2" t="str">
        <x:v>DEV003</x:v>
      </x:c>
      <x:c r="R2101" s="2" t="n">
        <x:v>22</x:v>
      </x:c>
      <x:c r="S2101" s="2" t="str">
        <x:v>Online</x:v>
      </x:c>
      <x:c r="T2101" s="2" t="str">
        <x:v>Synced</x:v>
      </x:c>
    </x:row>
    <x:row r="2102" ht="21" customHeight="1">
      <x:c r="A2102" s="2" t="str">
        <x:v>EV002001</x:v>
      </x:c>
      <x:c r="B2102" s="2" t="str">
        <x:v>T20261008-2-1</x:v>
      </x:c>
      <x:c r="C2102" s="2" t="str">
        <x:v>ST034</x:v>
      </x:c>
      <x:c r="D2102" s="2" t="str">
        <x:v>80fbe33bb2df8cab59b55f98f1c8a3d5</x:v>
      </x:c>
      <x:c r="E2102" s="2" t="str">
        <x:v>CHECK_IN</x:v>
      </x:c>
      <x:c r="F2102" s="8" t="n">
        <x:v>46303.47163194445</x:v>
      </x:c>
      <x:c r="G2102" s="8" t="n">
        <x:v>46303.471655092595</x:v>
      </x:c>
      <x:c r="H2102" s="2" t="str">
        <x:v>R1S1</x:v>
      </x:c>
      <x:c r="I2102" s="9" t="n">
        <x:v>25.271</x:v>
      </x:c>
      <x:c r="J2102" s="9" t="n">
        <x:v>51.491</x:v>
      </x:c>
      <x:c r="K2102" s="2" t="n">
        <x:v>8</x:v>
      </x:c>
      <x:c r="L2102" s="2" t="str">
        <x:v>Valid</x:v>
      </x:c>
      <x:c r="M2102" s="2" t="str">
        <x:v>QR</x:v>
      </x:c>
      <x:c r="N2102" s="2" t="n">
        <x:v>1</x:v>
      </x:c>
      <x:c r="O2102" s="2" t="str">
        <x:v>Accepted</x:v>
      </x:c>
      <x:c r="P2102" s="2" t="str">
        <x:v>S001</x:v>
      </x:c>
      <x:c r="Q2102" s="2" t="str">
        <x:v>DEV001</x:v>
      </x:c>
      <x:c r="R2102" s="2" t="n">
        <x:v>23</x:v>
      </x:c>
      <x:c r="S2102" s="2" t="str">
        <x:v>Online</x:v>
      </x:c>
      <x:c r="T2102" s="2" t="str">
        <x:v>Synced</x:v>
      </x:c>
    </x:row>
    <x:row r="2103" ht="21" customHeight="1">
      <x:c r="A2103" s="2" t="str">
        <x:v>EV002161</x:v>
      </x:c>
      <x:c r="B2103" s="2" t="str">
        <x:v>T20261008-2-2</x:v>
      </x:c>
      <x:c r="C2103" s="2" t="str">
        <x:v>ST074</x:v>
      </x:c>
      <x:c r="D2103" s="2" t="str">
        <x:v>a9bcbd7cecca4f17e235125ddf0adf7b</x:v>
      </x:c>
      <x:c r="E2103" s="2" t="str">
        <x:v>CHECK_IN</x:v>
      </x:c>
      <x:c r="F2103" s="8" t="n">
        <x:v>46303.47163194445</x:v>
      </x:c>
      <x:c r="G2103" s="8" t="n">
        <x:v>46303.471655092595</x:v>
      </x:c>
      <x:c r="H2103" s="2" t="str">
        <x:v>R2S1</x:v>
      </x:c>
      <x:c r="I2103" s="9" t="n">
        <x:v>25.28</x:v>
      </x:c>
      <x:c r="J2103" s="9" t="n">
        <x:v>51.498999999999995</x:v>
      </x:c>
      <x:c r="K2103" s="2" t="n">
        <x:v>8</x:v>
      </x:c>
      <x:c r="L2103" s="2" t="str">
        <x:v>Valid</x:v>
      </x:c>
      <x:c r="M2103" s="2" t="str">
        <x:v>QR</x:v>
      </x:c>
      <x:c r="N2103" s="2" t="n">
        <x:v>1</x:v>
      </x:c>
      <x:c r="O2103" s="2" t="str">
        <x:v>Accepted</x:v>
      </x:c>
      <x:c r="P2103" s="2" t="str">
        <x:v>S002</x:v>
      </x:c>
      <x:c r="Q2103" s="2" t="str">
        <x:v>DEV002</x:v>
      </x:c>
      <x:c r="R2103" s="2" t="n">
        <x:v>23</x:v>
      </x:c>
      <x:c r="S2103" s="2" t="str">
        <x:v>Online</x:v>
      </x:c>
      <x:c r="T2103" s="2" t="str">
        <x:v>Synced</x:v>
      </x:c>
    </x:row>
    <x:row r="2104" ht="21" customHeight="1">
      <x:c r="A2104" s="2" t="str">
        <x:v>EV002321</x:v>
      </x:c>
      <x:c r="B2104" s="2" t="str">
        <x:v>T20261008-2-3</x:v>
      </x:c>
      <x:c r="C2104" s="2" t="str">
        <x:v>ST114</x:v>
      </x:c>
      <x:c r="D2104" s="2" t="str">
        <x:v>a5c77bf3b082c3ab825b65c34f1c9f8c</x:v>
      </x:c>
      <x:c r="E2104" s="2" t="str">
        <x:v>CHECK_IN</x:v>
      </x:c>
      <x:c r="F2104" s="8" t="n">
        <x:v>46303.47163194445</x:v>
      </x:c>
      <x:c r="G2104" s="8" t="n">
        <x:v>46303.471655092595</x:v>
      </x:c>
      <x:c r="H2104" s="2" t="str">
        <x:v>R3S1</x:v>
      </x:c>
      <x:c r="I2104" s="9" t="n">
        <x:v>25.289</x:v>
      </x:c>
      <x:c r="J2104" s="9" t="n">
        <x:v>51.507</x:v>
      </x:c>
      <x:c r="K2104" s="2" t="n">
        <x:v>8</x:v>
      </x:c>
      <x:c r="L2104" s="2" t="str">
        <x:v>Valid</x:v>
      </x:c>
      <x:c r="M2104" s="2" t="str">
        <x:v>QR</x:v>
      </x:c>
      <x:c r="N2104" s="2" t="n">
        <x:v>1</x:v>
      </x:c>
      <x:c r="O2104" s="2" t="str">
        <x:v>Accepted</x:v>
      </x:c>
      <x:c r="P2104" s="2" t="str">
        <x:v>S003</x:v>
      </x:c>
      <x:c r="Q2104" s="2" t="str">
        <x:v>DEV003</x:v>
      </x:c>
      <x:c r="R2104" s="2" t="n">
        <x:v>23</x:v>
      </x:c>
      <x:c r="S2104" s="2" t="str">
        <x:v>Online</x:v>
      </x:c>
      <x:c r="T2104" s="2" t="str">
        <x:v>Synced</x:v>
      </x:c>
    </x:row>
    <x:row r="2105" ht="21" customHeight="1">
      <x:c r="A2105" s="2" t="str">
        <x:v>EV001983</x:v>
      </x:c>
      <x:c r="B2105" s="2" t="str">
        <x:v>T20261008-2-1</x:v>
      </x:c>
      <x:c r="C2105" s="2" t="str">
        <x:v>ST025</x:v>
      </x:c>
      <x:c r="D2105" s="2" t="str">
        <x:v>caea48c43f4ccfa85999e7cb546cd774</x:v>
      </x:c>
      <x:c r="E2105" s="2" t="str">
        <x:v>CHECK_IN</x:v>
      </x:c>
      <x:c r="F2105" s="8" t="n">
        <x:v>46303.47166666667</x:v>
      </x:c>
      <x:c r="G2105" s="8" t="n">
        <x:v>46303.47168981482</x:v>
      </x:c>
      <x:c r="H2105" s="2" t="str">
        <x:v>R1S1</x:v>
      </x:c>
      <x:c r="I2105" s="9" t="n">
        <x:v>25.271</x:v>
      </x:c>
      <x:c r="J2105" s="9" t="n">
        <x:v>51.491</x:v>
      </x:c>
      <x:c r="K2105" s="2" t="n">
        <x:v>8</x:v>
      </x:c>
      <x:c r="L2105" s="2" t="str">
        <x:v>Valid</x:v>
      </x:c>
      <x:c r="M2105" s="2" t="str">
        <x:v>QR</x:v>
      </x:c>
      <x:c r="N2105" s="2" t="n">
        <x:v>1</x:v>
      </x:c>
      <x:c r="O2105" s="2" t="str">
        <x:v>Accepted</x:v>
      </x:c>
      <x:c r="P2105" s="2" t="str">
        <x:v>S001</x:v>
      </x:c>
      <x:c r="Q2105" s="2" t="str">
        <x:v>DEV001</x:v>
      </x:c>
      <x:c r="R2105" s="2" t="n">
        <x:v>24</x:v>
      </x:c>
      <x:c r="S2105" s="2" t="str">
        <x:v>Online</x:v>
      </x:c>
      <x:c r="T2105" s="2" t="str">
        <x:v>Synced</x:v>
      </x:c>
    </x:row>
    <x:row r="2106" ht="21" customHeight="1">
      <x:c r="A2106" s="2" t="str">
        <x:v>EV002143</x:v>
      </x:c>
      <x:c r="B2106" s="2" t="str">
        <x:v>T20261008-2-2</x:v>
      </x:c>
      <x:c r="C2106" s="2" t="str">
        <x:v>ST065</x:v>
      </x:c>
      <x:c r="D2106" s="2" t="str">
        <x:v>6b379c82348acc8be3e0d247197a20bf</x:v>
      </x:c>
      <x:c r="E2106" s="2" t="str">
        <x:v>CHECK_IN</x:v>
      </x:c>
      <x:c r="F2106" s="8" t="n">
        <x:v>46303.47166666667</x:v>
      </x:c>
      <x:c r="G2106" s="8" t="n">
        <x:v>46303.47168981482</x:v>
      </x:c>
      <x:c r="H2106" s="2" t="str">
        <x:v>R2S1</x:v>
      </x:c>
      <x:c r="I2106" s="9" t="n">
        <x:v>25.28</x:v>
      </x:c>
      <x:c r="J2106" s="9" t="n">
        <x:v>51.498999999999995</x:v>
      </x:c>
      <x:c r="K2106" s="2" t="n">
        <x:v>8</x:v>
      </x:c>
      <x:c r="L2106" s="2" t="str">
        <x:v>Valid</x:v>
      </x:c>
      <x:c r="M2106" s="2" t="str">
        <x:v>QR</x:v>
      </x:c>
      <x:c r="N2106" s="2" t="n">
        <x:v>1</x:v>
      </x:c>
      <x:c r="O2106" s="2" t="str">
        <x:v>Accepted</x:v>
      </x:c>
      <x:c r="P2106" s="2" t="str">
        <x:v>S002</x:v>
      </x:c>
      <x:c r="Q2106" s="2" t="str">
        <x:v>DEV002</x:v>
      </x:c>
      <x:c r="R2106" s="2" t="n">
        <x:v>24</x:v>
      </x:c>
      <x:c r="S2106" s="2" t="str">
        <x:v>Online</x:v>
      </x:c>
      <x:c r="T2106" s="2" t="str">
        <x:v>Synced</x:v>
      </x:c>
    </x:row>
    <x:row r="2107" ht="21" customHeight="1">
      <x:c r="A2107" s="2" t="str">
        <x:v>EV002303</x:v>
      </x:c>
      <x:c r="B2107" s="2" t="str">
        <x:v>T20261008-2-3</x:v>
      </x:c>
      <x:c r="C2107" s="2" t="str">
        <x:v>ST105</x:v>
      </x:c>
      <x:c r="D2107" s="2" t="str">
        <x:v>bbd3ba75eaabf5ca3acef3823a75d885</x:v>
      </x:c>
      <x:c r="E2107" s="2" t="str">
        <x:v>CHECK_IN</x:v>
      </x:c>
      <x:c r="F2107" s="8" t="n">
        <x:v>46303.47166666667</x:v>
      </x:c>
      <x:c r="G2107" s="8" t="n">
        <x:v>46303.47168981482</x:v>
      </x:c>
      <x:c r="H2107" s="2" t="str">
        <x:v>R3S1</x:v>
      </x:c>
      <x:c r="I2107" s="9" t="n">
        <x:v>25.289</x:v>
      </x:c>
      <x:c r="J2107" s="9" t="n">
        <x:v>51.507</x:v>
      </x:c>
      <x:c r="K2107" s="2" t="n">
        <x:v>8</x:v>
      </x:c>
      <x:c r="L2107" s="2" t="str">
        <x:v>Valid</x:v>
      </x:c>
      <x:c r="M2107" s="2" t="str">
        <x:v>QR</x:v>
      </x:c>
      <x:c r="N2107" s="2" t="n">
        <x:v>1</x:v>
      </x:c>
      <x:c r="O2107" s="2" t="str">
        <x:v>Accepted</x:v>
      </x:c>
      <x:c r="P2107" s="2" t="str">
        <x:v>S003</x:v>
      </x:c>
      <x:c r="Q2107" s="2" t="str">
        <x:v>DEV003</x:v>
      </x:c>
      <x:c r="R2107" s="2" t="n">
        <x:v>24</x:v>
      </x:c>
      <x:c r="S2107" s="2" t="str">
        <x:v>Online</x:v>
      </x:c>
      <x:c r="T2107" s="2" t="str">
        <x:v>Synced</x:v>
      </x:c>
    </x:row>
    <x:row r="2108" ht="21" customHeight="1">
      <x:c r="A2108" s="2" t="str">
        <x:v>EV002007</x:v>
      </x:c>
      <x:c r="B2108" s="2" t="str">
        <x:v>T20261008-2-1</x:v>
      </x:c>
      <x:c r="C2108" s="2" t="str">
        <x:v>ST037</x:v>
      </x:c>
      <x:c r="D2108" s="2" t="str">
        <x:v>eb6cdfa5572c8f6959c8b9c84b8ec493</x:v>
      </x:c>
      <x:c r="E2108" s="2" t="str">
        <x:v>CHECK_IN</x:v>
      </x:c>
      <x:c r="F2108" s="8" t="n">
        <x:v>46303.47173611111</x:v>
      </x:c>
      <x:c r="G2108" s="8" t="n">
        <x:v>46303.47175925926</x:v>
      </x:c>
      <x:c r="H2108" s="2" t="str">
        <x:v>R1S1</x:v>
      </x:c>
      <x:c r="I2108" s="9" t="n">
        <x:v>25.271</x:v>
      </x:c>
      <x:c r="J2108" s="9" t="n">
        <x:v>51.491</x:v>
      </x:c>
      <x:c r="K2108" s="2" t="n">
        <x:v>8</x:v>
      </x:c>
      <x:c r="L2108" s="2" t="str">
        <x:v>Valid</x:v>
      </x:c>
      <x:c r="M2108" s="2" t="str">
        <x:v>QR</x:v>
      </x:c>
      <x:c r="N2108" s="2" t="n">
        <x:v>1</x:v>
      </x:c>
      <x:c r="O2108" s="2" t="str">
        <x:v>Accepted</x:v>
      </x:c>
      <x:c r="P2108" s="2" t="str">
        <x:v>S001</x:v>
      </x:c>
      <x:c r="Q2108" s="2" t="str">
        <x:v>DEV001</x:v>
      </x:c>
      <x:c r="R2108" s="2" t="n">
        <x:v>25</x:v>
      </x:c>
      <x:c r="S2108" s="2" t="str">
        <x:v>Online</x:v>
      </x:c>
      <x:c r="T2108" s="2" t="str">
        <x:v>Synced</x:v>
      </x:c>
    </x:row>
    <x:row r="2109" ht="21" customHeight="1">
      <x:c r="A2109" s="2" t="str">
        <x:v>EV002167</x:v>
      </x:c>
      <x:c r="B2109" s="2" t="str">
        <x:v>T20261008-2-2</x:v>
      </x:c>
      <x:c r="C2109" s="2" t="str">
        <x:v>ST077</x:v>
      </x:c>
      <x:c r="D2109" s="2" t="str">
        <x:v>af7b8314f6c372daf48e6b95332f6a0f</x:v>
      </x:c>
      <x:c r="E2109" s="2" t="str">
        <x:v>CHECK_IN</x:v>
      </x:c>
      <x:c r="F2109" s="8" t="n">
        <x:v>46303.47173611111</x:v>
      </x:c>
      <x:c r="G2109" s="8" t="n">
        <x:v>46303.47175925926</x:v>
      </x:c>
      <x:c r="H2109" s="2" t="str">
        <x:v>R2S1</x:v>
      </x:c>
      <x:c r="I2109" s="9" t="n">
        <x:v>25.28</x:v>
      </x:c>
      <x:c r="J2109" s="9" t="n">
        <x:v>51.498999999999995</x:v>
      </x:c>
      <x:c r="K2109" s="2" t="n">
        <x:v>8</x:v>
      </x:c>
      <x:c r="L2109" s="2" t="str">
        <x:v>Valid</x:v>
      </x:c>
      <x:c r="M2109" s="2" t="str">
        <x:v>QR</x:v>
      </x:c>
      <x:c r="N2109" s="2" t="n">
        <x:v>1</x:v>
      </x:c>
      <x:c r="O2109" s="2" t="str">
        <x:v>Accepted</x:v>
      </x:c>
      <x:c r="P2109" s="2" t="str">
        <x:v>S002</x:v>
      </x:c>
      <x:c r="Q2109" s="2" t="str">
        <x:v>DEV002</x:v>
      </x:c>
      <x:c r="R2109" s="2" t="n">
        <x:v>25</x:v>
      </x:c>
      <x:c r="S2109" s="2" t="str">
        <x:v>Online</x:v>
      </x:c>
      <x:c r="T2109" s="2" t="str">
        <x:v>Synced</x:v>
      </x:c>
    </x:row>
    <x:row r="2110" ht="21" customHeight="1">
      <x:c r="A2110" s="2" t="str">
        <x:v>EV002327</x:v>
      </x:c>
      <x:c r="B2110" s="2" t="str">
        <x:v>T20261008-2-3</x:v>
      </x:c>
      <x:c r="C2110" s="2" t="str">
        <x:v>ST117</x:v>
      </x:c>
      <x:c r="D2110" s="2" t="str">
        <x:v>195a54aea4adbe89371209e73878e4fe</x:v>
      </x:c>
      <x:c r="E2110" s="2" t="str">
        <x:v>CHECK_IN</x:v>
      </x:c>
      <x:c r="F2110" s="8" t="n">
        <x:v>46303.47173611111</x:v>
      </x:c>
      <x:c r="G2110" s="8" t="n">
        <x:v>46303.47175925926</x:v>
      </x:c>
      <x:c r="H2110" s="2" t="str">
        <x:v>R3S1</x:v>
      </x:c>
      <x:c r="I2110" s="9" t="n">
        <x:v>25.289</x:v>
      </x:c>
      <x:c r="J2110" s="9" t="n">
        <x:v>51.507</x:v>
      </x:c>
      <x:c r="K2110" s="2" t="n">
        <x:v>8</x:v>
      </x:c>
      <x:c r="L2110" s="2" t="str">
        <x:v>Valid</x:v>
      </x:c>
      <x:c r="M2110" s="2" t="str">
        <x:v>QR</x:v>
      </x:c>
      <x:c r="N2110" s="2" t="n">
        <x:v>1</x:v>
      </x:c>
      <x:c r="O2110" s="2" t="str">
        <x:v>Accepted</x:v>
      </x:c>
      <x:c r="P2110" s="2" t="str">
        <x:v>S003</x:v>
      </x:c>
      <x:c r="Q2110" s="2" t="str">
        <x:v>DEV003</x:v>
      </x:c>
      <x:c r="R2110" s="2" t="n">
        <x:v>25</x:v>
      </x:c>
      <x:c r="S2110" s="2" t="str">
        <x:v>Online</x:v>
      </x:c>
      <x:c r="T2110" s="2" t="str">
        <x:v>Synced</x:v>
      </x:c>
    </x:row>
    <x:row r="2111" ht="21" customHeight="1">
      <x:c r="A2111" s="2" t="str">
        <x:v>EV001989</x:v>
      </x:c>
      <x:c r="B2111" s="2" t="str">
        <x:v>T20261008-2-1</x:v>
      </x:c>
      <x:c r="C2111" s="2" t="str">
        <x:v>ST028</x:v>
      </x:c>
      <x:c r="D2111" s="2" t="str">
        <x:v>af9ca502f5a3f54f1f44ea6d11afd24b</x:v>
      </x:c>
      <x:c r="E2111" s="2" t="str">
        <x:v>CHECK_IN</x:v>
      </x:c>
      <x:c r="F2111" s="8" t="n">
        <x:v>46303.471770833334</x:v>
      </x:c>
      <x:c r="G2111" s="8" t="n">
        <x:v>46303.47179398148</x:v>
      </x:c>
      <x:c r="H2111" s="2" t="str">
        <x:v>R1S1</x:v>
      </x:c>
      <x:c r="I2111" s="9" t="n">
        <x:v>25.271</x:v>
      </x:c>
      <x:c r="J2111" s="9" t="n">
        <x:v>51.491</x:v>
      </x:c>
      <x:c r="K2111" s="2" t="n">
        <x:v>8</x:v>
      </x:c>
      <x:c r="L2111" s="2" t="str">
        <x:v>Valid</x:v>
      </x:c>
      <x:c r="M2111" s="2" t="str">
        <x:v>QR</x:v>
      </x:c>
      <x:c r="N2111" s="2" t="n">
        <x:v>1</x:v>
      </x:c>
      <x:c r="O2111" s="2" t="str">
        <x:v>Accepted</x:v>
      </x:c>
      <x:c r="P2111" s="2" t="str">
        <x:v>S001</x:v>
      </x:c>
      <x:c r="Q2111" s="2" t="str">
        <x:v>DEV001</x:v>
      </x:c>
      <x:c r="R2111" s="2" t="n">
        <x:v>26</x:v>
      </x:c>
      <x:c r="S2111" s="2" t="str">
        <x:v>Online</x:v>
      </x:c>
      <x:c r="T2111" s="2" t="str">
        <x:v>Synced</x:v>
      </x:c>
    </x:row>
    <x:row r="2112" ht="21" customHeight="1">
      <x:c r="A2112" s="2" t="str">
        <x:v>EV002149</x:v>
      </x:c>
      <x:c r="B2112" s="2" t="str">
        <x:v>T20261008-2-2</x:v>
      </x:c>
      <x:c r="C2112" s="2" t="str">
        <x:v>ST068</x:v>
      </x:c>
      <x:c r="D2112" s="2" t="str">
        <x:v>6d9af84dd25561b8b07e5e166ae4982a</x:v>
      </x:c>
      <x:c r="E2112" s="2" t="str">
        <x:v>CHECK_IN</x:v>
      </x:c>
      <x:c r="F2112" s="8" t="n">
        <x:v>46303.471770833334</x:v>
      </x:c>
      <x:c r="G2112" s="8" t="n">
        <x:v>46303.47179398148</x:v>
      </x:c>
      <x:c r="H2112" s="2" t="str">
        <x:v>R2S1</x:v>
      </x:c>
      <x:c r="I2112" s="9" t="n">
        <x:v>25.28</x:v>
      </x:c>
      <x:c r="J2112" s="9" t="n">
        <x:v>51.498999999999995</x:v>
      </x:c>
      <x:c r="K2112" s="2" t="n">
        <x:v>8</x:v>
      </x:c>
      <x:c r="L2112" s="2" t="str">
        <x:v>Valid</x:v>
      </x:c>
      <x:c r="M2112" s="2" t="str">
        <x:v>QR</x:v>
      </x:c>
      <x:c r="N2112" s="2" t="n">
        <x:v>1</x:v>
      </x:c>
      <x:c r="O2112" s="2" t="str">
        <x:v>Accepted</x:v>
      </x:c>
      <x:c r="P2112" s="2" t="str">
        <x:v>S002</x:v>
      </x:c>
      <x:c r="Q2112" s="2" t="str">
        <x:v>DEV002</x:v>
      </x:c>
      <x:c r="R2112" s="2" t="n">
        <x:v>26</x:v>
      </x:c>
      <x:c r="S2112" s="2" t="str">
        <x:v>Online</x:v>
      </x:c>
      <x:c r="T2112" s="2" t="str">
        <x:v>Synced</x:v>
      </x:c>
    </x:row>
    <x:row r="2113" ht="21" customHeight="1">
      <x:c r="A2113" s="2" t="str">
        <x:v>EV002309</x:v>
      </x:c>
      <x:c r="B2113" s="2" t="str">
        <x:v>T20261008-2-3</x:v>
      </x:c>
      <x:c r="C2113" s="2" t="str">
        <x:v>ST108</x:v>
      </x:c>
      <x:c r="D2113" s="2" t="str">
        <x:v>85ef3b20338dfa9afdf3ae5a4b1ced5c</x:v>
      </x:c>
      <x:c r="E2113" s="2" t="str">
        <x:v>CHECK_IN</x:v>
      </x:c>
      <x:c r="F2113" s="8" t="n">
        <x:v>46303.471770833334</x:v>
      </x:c>
      <x:c r="G2113" s="8" t="n">
        <x:v>46303.47179398148</x:v>
      </x:c>
      <x:c r="H2113" s="2" t="str">
        <x:v>R3S1</x:v>
      </x:c>
      <x:c r="I2113" s="9" t="n">
        <x:v>25.289</x:v>
      </x:c>
      <x:c r="J2113" s="9" t="n">
        <x:v>51.507</x:v>
      </x:c>
      <x:c r="K2113" s="2" t="n">
        <x:v>8</x:v>
      </x:c>
      <x:c r="L2113" s="2" t="str">
        <x:v>Valid</x:v>
      </x:c>
      <x:c r="M2113" s="2" t="str">
        <x:v>QR</x:v>
      </x:c>
      <x:c r="N2113" s="2" t="n">
        <x:v>1</x:v>
      </x:c>
      <x:c r="O2113" s="2" t="str">
        <x:v>Accepted</x:v>
      </x:c>
      <x:c r="P2113" s="2" t="str">
        <x:v>S003</x:v>
      </x:c>
      <x:c r="Q2113" s="2" t="str">
        <x:v>DEV003</x:v>
      </x:c>
      <x:c r="R2113" s="2" t="n">
        <x:v>26</x:v>
      </x:c>
      <x:c r="S2113" s="2" t="str">
        <x:v>Online</x:v>
      </x:c>
      <x:c r="T2113" s="2" t="str">
        <x:v>Synced</x:v>
      </x:c>
    </x:row>
    <x:row r="2114" ht="21" customHeight="1">
      <x:c r="A2114" s="2" t="str">
        <x:v>EV002013</x:v>
      </x:c>
      <x:c r="B2114" s="2" t="str">
        <x:v>T20261008-2-1</x:v>
      </x:c>
      <x:c r="C2114" s="2" t="str">
        <x:v>ST040</x:v>
      </x:c>
      <x:c r="D2114" s="2" t="str">
        <x:v>4cd5e507bb3c8af27cd11d16138dcec0</x:v>
      </x:c>
      <x:c r="E2114" s="2" t="str">
        <x:v>CHECK_IN</x:v>
      </x:c>
      <x:c r="F2114" s="8" t="n">
        <x:v>46303.47184027778</x:v>
      </x:c>
      <x:c r="G2114" s="8" t="n">
        <x:v>46303.471863425926</x:v>
      </x:c>
      <x:c r="H2114" s="2" t="str">
        <x:v>R1S1</x:v>
      </x:c>
      <x:c r="I2114" s="9" t="n">
        <x:v>25.271</x:v>
      </x:c>
      <x:c r="J2114" s="9" t="n">
        <x:v>51.491</x:v>
      </x:c>
      <x:c r="K2114" s="2" t="n">
        <x:v>8</x:v>
      </x:c>
      <x:c r="L2114" s="2" t="str">
        <x:v>Valid</x:v>
      </x:c>
      <x:c r="M2114" s="2" t="str">
        <x:v>QR</x:v>
      </x:c>
      <x:c r="N2114" s="2" t="n">
        <x:v>1</x:v>
      </x:c>
      <x:c r="O2114" s="2" t="str">
        <x:v>Accepted</x:v>
      </x:c>
      <x:c r="P2114" s="2" t="str">
        <x:v>S001</x:v>
      </x:c>
      <x:c r="Q2114" s="2" t="str">
        <x:v>DEV001</x:v>
      </x:c>
      <x:c r="R2114" s="2" t="n">
        <x:v>27</x:v>
      </x:c>
      <x:c r="S2114" s="2" t="str">
        <x:v>Online</x:v>
      </x:c>
      <x:c r="T2114" s="2" t="str">
        <x:v>Synced</x:v>
      </x:c>
    </x:row>
    <x:row r="2115" ht="21" customHeight="1">
      <x:c r="A2115" s="2" t="str">
        <x:v>EV002173</x:v>
      </x:c>
      <x:c r="B2115" s="2" t="str">
        <x:v>T20261008-2-2</x:v>
      </x:c>
      <x:c r="C2115" s="2" t="str">
        <x:v>ST080</x:v>
      </x:c>
      <x:c r="D2115" s="2" t="str">
        <x:v>0abaf17d1472c0347862177fd9880be2</x:v>
      </x:c>
      <x:c r="E2115" s="2" t="str">
        <x:v>CHECK_IN</x:v>
      </x:c>
      <x:c r="F2115" s="8" t="n">
        <x:v>46303.47184027778</x:v>
      </x:c>
      <x:c r="G2115" s="8" t="n">
        <x:v>46303.471863425926</x:v>
      </x:c>
      <x:c r="H2115" s="2" t="str">
        <x:v>R2S1</x:v>
      </x:c>
      <x:c r="I2115" s="9" t="n">
        <x:v>25.28</x:v>
      </x:c>
      <x:c r="J2115" s="9" t="n">
        <x:v>51.498999999999995</x:v>
      </x:c>
      <x:c r="K2115" s="2" t="n">
        <x:v>8</x:v>
      </x:c>
      <x:c r="L2115" s="2" t="str">
        <x:v>Valid</x:v>
      </x:c>
      <x:c r="M2115" s="2" t="str">
        <x:v>QR</x:v>
      </x:c>
      <x:c r="N2115" s="2" t="n">
        <x:v>1</x:v>
      </x:c>
      <x:c r="O2115" s="2" t="str">
        <x:v>Accepted</x:v>
      </x:c>
      <x:c r="P2115" s="2" t="str">
        <x:v>S002</x:v>
      </x:c>
      <x:c r="Q2115" s="2" t="str">
        <x:v>DEV002</x:v>
      </x:c>
      <x:c r="R2115" s="2" t="n">
        <x:v>27</x:v>
      </x:c>
      <x:c r="S2115" s="2" t="str">
        <x:v>Online</x:v>
      </x:c>
      <x:c r="T2115" s="2" t="str">
        <x:v>Synced</x:v>
      </x:c>
    </x:row>
    <x:row r="2116" ht="21" customHeight="1">
      <x:c r="A2116" s="2" t="str">
        <x:v>EV002333</x:v>
      </x:c>
      <x:c r="B2116" s="2" t="str">
        <x:v>T20261008-2-3</x:v>
      </x:c>
      <x:c r="C2116" s="2" t="str">
        <x:v>ST120</x:v>
      </x:c>
      <x:c r="D2116" s="2" t="str">
        <x:v>c3749f3342e76b516e5c145f91308219</x:v>
      </x:c>
      <x:c r="E2116" s="2" t="str">
        <x:v>CHECK_IN</x:v>
      </x:c>
      <x:c r="F2116" s="8" t="n">
        <x:v>46303.47184027778</x:v>
      </x:c>
      <x:c r="G2116" s="8" t="n">
        <x:v>46303.471863425926</x:v>
      </x:c>
      <x:c r="H2116" s="2" t="str">
        <x:v>R3S1</x:v>
      </x:c>
      <x:c r="I2116" s="9" t="n">
        <x:v>25.289</x:v>
      </x:c>
      <x:c r="J2116" s="9" t="n">
        <x:v>51.507</x:v>
      </x:c>
      <x:c r="K2116" s="2" t="n">
        <x:v>8</x:v>
      </x:c>
      <x:c r="L2116" s="2" t="str">
        <x:v>Valid</x:v>
      </x:c>
      <x:c r="M2116" s="2" t="str">
        <x:v>QR</x:v>
      </x:c>
      <x:c r="N2116" s="2" t="n">
        <x:v>1</x:v>
      </x:c>
      <x:c r="O2116" s="2" t="str">
        <x:v>Accepted</x:v>
      </x:c>
      <x:c r="P2116" s="2" t="str">
        <x:v>S003</x:v>
      </x:c>
      <x:c r="Q2116" s="2" t="str">
        <x:v>DEV003</x:v>
      </x:c>
      <x:c r="R2116" s="2" t="n">
        <x:v>27</x:v>
      </x:c>
      <x:c r="S2116" s="2" t="str">
        <x:v>Online</x:v>
      </x:c>
      <x:c r="T2116" s="2" t="str">
        <x:v>Synced</x:v>
      </x:c>
    </x:row>
    <x:row r="2117" ht="21" customHeight="1">
      <x:c r="A2117" s="2" t="str">
        <x:v>EV001997</x:v>
      </x:c>
      <x:c r="B2117" s="2" t="str">
        <x:v>T20261008-2-1</x:v>
      </x:c>
      <x:c r="C2117" s="2" t="str">
        <x:v>ST032</x:v>
      </x:c>
      <x:c r="D2117" s="2" t="str">
        <x:v>836e2da54ccde9716995f5651a63e8c5</x:v>
      </x:c>
      <x:c r="E2117" s="2" t="str">
        <x:v>CHECK_IN</x:v>
      </x:c>
      <x:c r="F2117" s="8" t="n">
        <x:v>46303.47642361111</x:v>
      </x:c>
      <x:c r="G2117" s="8" t="n">
        <x:v>46303.476446759254</x:v>
      </x:c>
      <x:c r="H2117" s="2" t="str">
        <x:v>R1S2</x:v>
      </x:c>
      <x:c r="I2117" s="9" t="n">
        <x:v>25.273000000000003</x:v>
      </x:c>
      <x:c r="J2117" s="9" t="n">
        <x:v>51.494</x:v>
      </x:c>
      <x:c r="K2117" s="2" t="n">
        <x:v>8</x:v>
      </x:c>
      <x:c r="L2117" s="2" t="str">
        <x:v>Valid</x:v>
      </x:c>
      <x:c r="M2117" s="2" t="str">
        <x:v>QR</x:v>
      </x:c>
      <x:c r="N2117" s="2" t="n">
        <x:v>1</x:v>
      </x:c>
      <x:c r="O2117" s="2" t="str">
        <x:v>Accepted</x:v>
      </x:c>
      <x:c r="P2117" s="2" t="str">
        <x:v>S001</x:v>
      </x:c>
      <x:c r="Q2117" s="2" t="str">
        <x:v>DEV001</x:v>
      </x:c>
      <x:c r="R2117" s="2" t="n">
        <x:v>28</x:v>
      </x:c>
      <x:c r="S2117" s="2" t="str">
        <x:v>Online</x:v>
      </x:c>
      <x:c r="T2117" s="2" t="str">
        <x:v>Synced</x:v>
      </x:c>
    </x:row>
    <x:row r="2118" ht="21" customHeight="1">
      <x:c r="A2118" s="2" t="str">
        <x:v>EV002157</x:v>
      </x:c>
      <x:c r="B2118" s="2" t="str">
        <x:v>T20261008-2-2</x:v>
      </x:c>
      <x:c r="C2118" s="2" t="str">
        <x:v>ST072</x:v>
      </x:c>
      <x:c r="D2118" s="2" t="str">
        <x:v>34067027b5922171fe59ce4d7b756f1c</x:v>
      </x:c>
      <x:c r="E2118" s="2" t="str">
        <x:v>CHECK_IN</x:v>
      </x:c>
      <x:c r="F2118" s="8" t="n">
        <x:v>46303.47642361111</x:v>
      </x:c>
      <x:c r="G2118" s="8" t="n">
        <x:v>46303.476446759254</x:v>
      </x:c>
      <x:c r="H2118" s="2" t="str">
        <x:v>R2S2</x:v>
      </x:c>
      <x:c r="I2118" s="9" t="n">
        <x:v>25.282000000000004</x:v>
      </x:c>
      <x:c r="J2118" s="9" t="n">
        <x:v>51.501999999999995</x:v>
      </x:c>
      <x:c r="K2118" s="2" t="n">
        <x:v>8</x:v>
      </x:c>
      <x:c r="L2118" s="2" t="str">
        <x:v>Valid</x:v>
      </x:c>
      <x:c r="M2118" s="2" t="str">
        <x:v>QR</x:v>
      </x:c>
      <x:c r="N2118" s="2" t="n">
        <x:v>1</x:v>
      </x:c>
      <x:c r="O2118" s="2" t="str">
        <x:v>Accepted</x:v>
      </x:c>
      <x:c r="P2118" s="2" t="str">
        <x:v>S002</x:v>
      </x:c>
      <x:c r="Q2118" s="2" t="str">
        <x:v>DEV002</x:v>
      </x:c>
      <x:c r="R2118" s="2" t="n">
        <x:v>28</x:v>
      </x:c>
      <x:c r="S2118" s="2" t="str">
        <x:v>Online</x:v>
      </x:c>
      <x:c r="T2118" s="2" t="str">
        <x:v>Synced</x:v>
      </x:c>
    </x:row>
    <x:row r="2119" ht="21" customHeight="1">
      <x:c r="A2119" s="2" t="str">
        <x:v>EV002317</x:v>
      </x:c>
      <x:c r="B2119" s="2" t="str">
        <x:v>T20261008-2-3</x:v>
      </x:c>
      <x:c r="C2119" s="2" t="str">
        <x:v>ST112</x:v>
      </x:c>
      <x:c r="D2119" s="2" t="str">
        <x:v>ca020aefc0d912af9ddca5c7ca7a2f51</x:v>
      </x:c>
      <x:c r="E2119" s="2" t="str">
        <x:v>CHECK_IN</x:v>
      </x:c>
      <x:c r="F2119" s="8" t="n">
        <x:v>46303.47642361111</x:v>
      </x:c>
      <x:c r="G2119" s="8" t="n">
        <x:v>46303.476446759254</x:v>
      </x:c>
      <x:c r="H2119" s="2" t="str">
        <x:v>R3S2</x:v>
      </x:c>
      <x:c r="I2119" s="9" t="n">
        <x:v>25.291000000000004</x:v>
      </x:c>
      <x:c r="J2119" s="9" t="n">
        <x:v>51.51</x:v>
      </x:c>
      <x:c r="K2119" s="2" t="n">
        <x:v>8</x:v>
      </x:c>
      <x:c r="L2119" s="2" t="str">
        <x:v>Valid</x:v>
      </x:c>
      <x:c r="M2119" s="2" t="str">
        <x:v>QR</x:v>
      </x:c>
      <x:c r="N2119" s="2" t="n">
        <x:v>1</x:v>
      </x:c>
      <x:c r="O2119" s="2" t="str">
        <x:v>Accepted</x:v>
      </x:c>
      <x:c r="P2119" s="2" t="str">
        <x:v>S003</x:v>
      </x:c>
      <x:c r="Q2119" s="2" t="str">
        <x:v>DEV003</x:v>
      </x:c>
      <x:c r="R2119" s="2" t="n">
        <x:v>28</x:v>
      </x:c>
      <x:c r="S2119" s="2" t="str">
        <x:v>Online</x:v>
      </x:c>
      <x:c r="T2119" s="2" t="str">
        <x:v>Synced</x:v>
      </x:c>
    </x:row>
    <x:row r="2120" ht="21" customHeight="1">
      <x:c r="A2120" s="2" t="str">
        <x:v>EV001979</x:v>
      </x:c>
      <x:c r="B2120" s="2" t="str">
        <x:v>T20261008-2-1</x:v>
      </x:c>
      <x:c r="C2120" s="2" t="str">
        <x:v>ST023</x:v>
      </x:c>
      <x:c r="D2120" s="2" t="str">
        <x:v>1836074fce688580737a08d14a26fa79</x:v>
      </x:c>
      <x:c r="E2120" s="2" t="str">
        <x:v>CHECK_IN</x:v>
      </x:c>
      <x:c r="F2120" s="8" t="n">
        <x:v>46303.47645833333</x:v>
      </x:c>
      <x:c r="G2120" s="8" t="n">
        <x:v>46303.47648148148</x:v>
      </x:c>
      <x:c r="H2120" s="2" t="str">
        <x:v>R1S2</x:v>
      </x:c>
      <x:c r="I2120" s="9" t="n">
        <x:v>25.273000000000003</x:v>
      </x:c>
      <x:c r="J2120" s="9" t="n">
        <x:v>51.494</x:v>
      </x:c>
      <x:c r="K2120" s="2" t="n">
        <x:v>8</x:v>
      </x:c>
      <x:c r="L2120" s="2" t="str">
        <x:v>Valid</x:v>
      </x:c>
      <x:c r="M2120" s="2" t="str">
        <x:v>QR</x:v>
      </x:c>
      <x:c r="N2120" s="2" t="n">
        <x:v>1</x:v>
      </x:c>
      <x:c r="O2120" s="2" t="str">
        <x:v>Accepted</x:v>
      </x:c>
      <x:c r="P2120" s="2" t="str">
        <x:v>S001</x:v>
      </x:c>
      <x:c r="Q2120" s="2" t="str">
        <x:v>DEV001</x:v>
      </x:c>
      <x:c r="R2120" s="2" t="n">
        <x:v>29</x:v>
      </x:c>
      <x:c r="S2120" s="2" t="str">
        <x:v>Online</x:v>
      </x:c>
      <x:c r="T2120" s="2" t="str">
        <x:v>Synced</x:v>
      </x:c>
    </x:row>
    <x:row r="2121" ht="21" customHeight="1">
      <x:c r="A2121" s="2" t="str">
        <x:v>EV002139</x:v>
      </x:c>
      <x:c r="B2121" s="2" t="str">
        <x:v>T20261008-2-2</x:v>
      </x:c>
      <x:c r="C2121" s="2" t="str">
        <x:v>ST063</x:v>
      </x:c>
      <x:c r="D2121" s="2" t="str">
        <x:v>46a3e8e97cbe04af0173a75d9cdbcebf</x:v>
      </x:c>
      <x:c r="E2121" s="2" t="str">
        <x:v>CHECK_IN</x:v>
      </x:c>
      <x:c r="F2121" s="8" t="n">
        <x:v>46303.47645833333</x:v>
      </x:c>
      <x:c r="G2121" s="8" t="n">
        <x:v>46303.47648148148</x:v>
      </x:c>
      <x:c r="H2121" s="2" t="str">
        <x:v>R2S2</x:v>
      </x:c>
      <x:c r="I2121" s="9" t="n">
        <x:v>25.282000000000004</x:v>
      </x:c>
      <x:c r="J2121" s="9" t="n">
        <x:v>51.501999999999995</x:v>
      </x:c>
      <x:c r="K2121" s="2" t="n">
        <x:v>8</x:v>
      </x:c>
      <x:c r="L2121" s="2" t="str">
        <x:v>Valid</x:v>
      </x:c>
      <x:c r="M2121" s="2" t="str">
        <x:v>QR</x:v>
      </x:c>
      <x:c r="N2121" s="2" t="n">
        <x:v>1</x:v>
      </x:c>
      <x:c r="O2121" s="2" t="str">
        <x:v>Accepted</x:v>
      </x:c>
      <x:c r="P2121" s="2" t="str">
        <x:v>S002</x:v>
      </x:c>
      <x:c r="Q2121" s="2" t="str">
        <x:v>DEV002</x:v>
      </x:c>
      <x:c r="R2121" s="2" t="n">
        <x:v>29</x:v>
      </x:c>
      <x:c r="S2121" s="2" t="str">
        <x:v>Online</x:v>
      </x:c>
      <x:c r="T2121" s="2" t="str">
        <x:v>Synced</x:v>
      </x:c>
    </x:row>
    <x:row r="2122" ht="21" customHeight="1">
      <x:c r="A2122" s="2" t="str">
        <x:v>EV002299</x:v>
      </x:c>
      <x:c r="B2122" s="2" t="str">
        <x:v>T20261008-2-3</x:v>
      </x:c>
      <x:c r="C2122" s="2" t="str">
        <x:v>ST103</x:v>
      </x:c>
      <x:c r="D2122" s="2" t="str">
        <x:v>5982cfca835e14d82ed8b6562c1a172d</x:v>
      </x:c>
      <x:c r="E2122" s="2" t="str">
        <x:v>CHECK_IN</x:v>
      </x:c>
      <x:c r="F2122" s="8" t="n">
        <x:v>46303.47645833333</x:v>
      </x:c>
      <x:c r="G2122" s="8" t="n">
        <x:v>46303.47648148148</x:v>
      </x:c>
      <x:c r="H2122" s="2" t="str">
        <x:v>R3S2</x:v>
      </x:c>
      <x:c r="I2122" s="9" t="n">
        <x:v>25.291000000000004</x:v>
      </x:c>
      <x:c r="J2122" s="9" t="n">
        <x:v>51.51</x:v>
      </x:c>
      <x:c r="K2122" s="2" t="n">
        <x:v>8</x:v>
      </x:c>
      <x:c r="L2122" s="2" t="str">
        <x:v>Valid</x:v>
      </x:c>
      <x:c r="M2122" s="2" t="str">
        <x:v>QR</x:v>
      </x:c>
      <x:c r="N2122" s="2" t="n">
        <x:v>1</x:v>
      </x:c>
      <x:c r="O2122" s="2" t="str">
        <x:v>Accepted</x:v>
      </x:c>
      <x:c r="P2122" s="2" t="str">
        <x:v>S003</x:v>
      </x:c>
      <x:c r="Q2122" s="2" t="str">
        <x:v>DEV003</x:v>
      </x:c>
      <x:c r="R2122" s="2" t="n">
        <x:v>29</x:v>
      </x:c>
      <x:c r="S2122" s="2" t="str">
        <x:v>Online</x:v>
      </x:c>
      <x:c r="T2122" s="2" t="str">
        <x:v>Synced</x:v>
      </x:c>
    </x:row>
    <x:row r="2123" ht="21" customHeight="1">
      <x:c r="A2123" s="2" t="str">
        <x:v>EV002003</x:v>
      </x:c>
      <x:c r="B2123" s="2" t="str">
        <x:v>T20261008-2-1</x:v>
      </x:c>
      <x:c r="C2123" s="2" t="str">
        <x:v>ST035</x:v>
      </x:c>
      <x:c r="D2123" s="2" t="str">
        <x:v>45068f3206e9be80993e83e259ea9cdc</x:v>
      </x:c>
      <x:c r="E2123" s="2" t="str">
        <x:v>CHECK_IN</x:v>
      </x:c>
      <x:c r="F2123" s="8" t="n">
        <x:v>46303.47652777778</x:v>
      </x:c>
      <x:c r="G2123" s="8" t="n">
        <x:v>46303.47655092592</x:v>
      </x:c>
      <x:c r="H2123" s="2" t="str">
        <x:v>R1S2</x:v>
      </x:c>
      <x:c r="I2123" s="9" t="n">
        <x:v>25.273000000000003</x:v>
      </x:c>
      <x:c r="J2123" s="9" t="n">
        <x:v>51.494</x:v>
      </x:c>
      <x:c r="K2123" s="2" t="n">
        <x:v>8</x:v>
      </x:c>
      <x:c r="L2123" s="2" t="str">
        <x:v>Valid</x:v>
      </x:c>
      <x:c r="M2123" s="2" t="str">
        <x:v>QR</x:v>
      </x:c>
      <x:c r="N2123" s="2" t="n">
        <x:v>1</x:v>
      </x:c>
      <x:c r="O2123" s="2" t="str">
        <x:v>Accepted</x:v>
      </x:c>
      <x:c r="P2123" s="2" t="str">
        <x:v>S001</x:v>
      </x:c>
      <x:c r="Q2123" s="2" t="str">
        <x:v>DEV001</x:v>
      </x:c>
      <x:c r="R2123" s="2" t="n">
        <x:v>30</x:v>
      </x:c>
      <x:c r="S2123" s="2" t="str">
        <x:v>Online</x:v>
      </x:c>
      <x:c r="T2123" s="2" t="str">
        <x:v>Synced</x:v>
      </x:c>
    </x:row>
    <x:row r="2124" ht="21" customHeight="1">
      <x:c r="A2124" s="2" t="str">
        <x:v>EV002163</x:v>
      </x:c>
      <x:c r="B2124" s="2" t="str">
        <x:v>T20261008-2-2</x:v>
      </x:c>
      <x:c r="C2124" s="2" t="str">
        <x:v>ST075</x:v>
      </x:c>
      <x:c r="D2124" s="2" t="str">
        <x:v>3781d00e457977b726407cb845a294cc</x:v>
      </x:c>
      <x:c r="E2124" s="2" t="str">
        <x:v>CHECK_IN</x:v>
      </x:c>
      <x:c r="F2124" s="8" t="n">
        <x:v>46303.47652777778</x:v>
      </x:c>
      <x:c r="G2124" s="8" t="n">
        <x:v>46303.47655092592</x:v>
      </x:c>
      <x:c r="H2124" s="2" t="str">
        <x:v>R2S2</x:v>
      </x:c>
      <x:c r="I2124" s="9" t="n">
        <x:v>25.282000000000004</x:v>
      </x:c>
      <x:c r="J2124" s="9" t="n">
        <x:v>51.501999999999995</x:v>
      </x:c>
      <x:c r="K2124" s="2" t="n">
        <x:v>8</x:v>
      </x:c>
      <x:c r="L2124" s="2" t="str">
        <x:v>Valid</x:v>
      </x:c>
      <x:c r="M2124" s="2" t="str">
        <x:v>QR</x:v>
      </x:c>
      <x:c r="N2124" s="2" t="n">
        <x:v>1</x:v>
      </x:c>
      <x:c r="O2124" s="2" t="str">
        <x:v>Accepted</x:v>
      </x:c>
      <x:c r="P2124" s="2" t="str">
        <x:v>S002</x:v>
      </x:c>
      <x:c r="Q2124" s="2" t="str">
        <x:v>DEV002</x:v>
      </x:c>
      <x:c r="R2124" s="2" t="n">
        <x:v>30</x:v>
      </x:c>
      <x:c r="S2124" s="2" t="str">
        <x:v>Online</x:v>
      </x:c>
      <x:c r="T2124" s="2" t="str">
        <x:v>Synced</x:v>
      </x:c>
    </x:row>
    <x:row r="2125" ht="21" customHeight="1">
      <x:c r="A2125" s="2" t="str">
        <x:v>EV002323</x:v>
      </x:c>
      <x:c r="B2125" s="2" t="str">
        <x:v>T20261008-2-3</x:v>
      </x:c>
      <x:c r="C2125" s="2" t="str">
        <x:v>ST115</x:v>
      </x:c>
      <x:c r="D2125" s="2" t="str">
        <x:v>dc951b9fd5f4acb1dc2ce3ca2f2e08ab</x:v>
      </x:c>
      <x:c r="E2125" s="2" t="str">
        <x:v>CHECK_IN</x:v>
      </x:c>
      <x:c r="F2125" s="8" t="n">
        <x:v>46303.47652777778</x:v>
      </x:c>
      <x:c r="G2125" s="8" t="n">
        <x:v>46303.47655092592</x:v>
      </x:c>
      <x:c r="H2125" s="2" t="str">
        <x:v>R3S2</x:v>
      </x:c>
      <x:c r="I2125" s="9" t="n">
        <x:v>25.291000000000004</x:v>
      </x:c>
      <x:c r="J2125" s="9" t="n">
        <x:v>51.51</x:v>
      </x:c>
      <x:c r="K2125" s="2" t="n">
        <x:v>8</x:v>
      </x:c>
      <x:c r="L2125" s="2" t="str">
        <x:v>Valid</x:v>
      </x:c>
      <x:c r="M2125" s="2" t="str">
        <x:v>QR</x:v>
      </x:c>
      <x:c r="N2125" s="2" t="n">
        <x:v>1</x:v>
      </x:c>
      <x:c r="O2125" s="2" t="str">
        <x:v>Accepted</x:v>
      </x:c>
      <x:c r="P2125" s="2" t="str">
        <x:v>S003</x:v>
      </x:c>
      <x:c r="Q2125" s="2" t="str">
        <x:v>DEV003</x:v>
      </x:c>
      <x:c r="R2125" s="2" t="n">
        <x:v>30</x:v>
      </x:c>
      <x:c r="S2125" s="2" t="str">
        <x:v>Online</x:v>
      </x:c>
      <x:c r="T2125" s="2" t="str">
        <x:v>Synced</x:v>
      </x:c>
    </x:row>
    <x:row r="2126" ht="21" customHeight="1">
      <x:c r="A2126" s="2" t="str">
        <x:v>EV001985</x:v>
      </x:c>
      <x:c r="B2126" s="2" t="str">
        <x:v>T20261008-2-1</x:v>
      </x:c>
      <x:c r="C2126" s="2" t="str">
        <x:v>ST026</x:v>
      </x:c>
      <x:c r="D2126" s="2" t="str">
        <x:v>56aea196eabcf09e1199afbd5e8907b0</x:v>
      </x:c>
      <x:c r="E2126" s="2" t="str">
        <x:v>CHECK_IN</x:v>
      </x:c>
      <x:c r="F2126" s="8" t="n">
        <x:v>46303.47656249999</x:v>
      </x:c>
      <x:c r="G2126" s="8" t="n">
        <x:v>46303.47658564814</x:v>
      </x:c>
      <x:c r="H2126" s="2" t="str">
        <x:v>R1S2</x:v>
      </x:c>
      <x:c r="I2126" s="9" t="n">
        <x:v>25.273000000000003</x:v>
      </x:c>
      <x:c r="J2126" s="9" t="n">
        <x:v>51.494</x:v>
      </x:c>
      <x:c r="K2126" s="2" t="n">
        <x:v>8</x:v>
      </x:c>
      <x:c r="L2126" s="2" t="str">
        <x:v>Valid</x:v>
      </x:c>
      <x:c r="M2126" s="2" t="str">
        <x:v>QR</x:v>
      </x:c>
      <x:c r="N2126" s="2" t="n">
        <x:v>1</x:v>
      </x:c>
      <x:c r="O2126" s="2" t="str">
        <x:v>Accepted</x:v>
      </x:c>
      <x:c r="P2126" s="2" t="str">
        <x:v>S001</x:v>
      </x:c>
      <x:c r="Q2126" s="2" t="str">
        <x:v>DEV001</x:v>
      </x:c>
      <x:c r="R2126" s="2" t="n">
        <x:v>31</x:v>
      </x:c>
      <x:c r="S2126" s="2" t="str">
        <x:v>Online</x:v>
      </x:c>
      <x:c r="T2126" s="2" t="str">
        <x:v>Synced</x:v>
      </x:c>
    </x:row>
    <x:row r="2127" ht="21" customHeight="1">
      <x:c r="A2127" s="2" t="str">
        <x:v>EV002145</x:v>
      </x:c>
      <x:c r="B2127" s="2" t="str">
        <x:v>T20261008-2-2</x:v>
      </x:c>
      <x:c r="C2127" s="2" t="str">
        <x:v>ST066</x:v>
      </x:c>
      <x:c r="D2127" s="2" t="str">
        <x:v>f1ae8019085f4d0a77552e53fdc22aa7</x:v>
      </x:c>
      <x:c r="E2127" s="2" t="str">
        <x:v>CHECK_IN</x:v>
      </x:c>
      <x:c r="F2127" s="8" t="n">
        <x:v>46303.47656249999</x:v>
      </x:c>
      <x:c r="G2127" s="8" t="n">
        <x:v>46303.47658564814</x:v>
      </x:c>
      <x:c r="H2127" s="2" t="str">
        <x:v>R2S2</x:v>
      </x:c>
      <x:c r="I2127" s="9" t="n">
        <x:v>25.282000000000004</x:v>
      </x:c>
      <x:c r="J2127" s="9" t="n">
        <x:v>51.501999999999995</x:v>
      </x:c>
      <x:c r="K2127" s="2" t="n">
        <x:v>8</x:v>
      </x:c>
      <x:c r="L2127" s="2" t="str">
        <x:v>Valid</x:v>
      </x:c>
      <x:c r="M2127" s="2" t="str">
        <x:v>QR</x:v>
      </x:c>
      <x:c r="N2127" s="2" t="n">
        <x:v>1</x:v>
      </x:c>
      <x:c r="O2127" s="2" t="str">
        <x:v>Accepted</x:v>
      </x:c>
      <x:c r="P2127" s="2" t="str">
        <x:v>S002</x:v>
      </x:c>
      <x:c r="Q2127" s="2" t="str">
        <x:v>DEV002</x:v>
      </x:c>
      <x:c r="R2127" s="2" t="n">
        <x:v>31</x:v>
      </x:c>
      <x:c r="S2127" s="2" t="str">
        <x:v>Online</x:v>
      </x:c>
      <x:c r="T2127" s="2" t="str">
        <x:v>Synced</x:v>
      </x:c>
    </x:row>
    <x:row r="2128" ht="21" customHeight="1">
      <x:c r="A2128" s="2" t="str">
        <x:v>EV002305</x:v>
      </x:c>
      <x:c r="B2128" s="2" t="str">
        <x:v>T20261008-2-3</x:v>
      </x:c>
      <x:c r="C2128" s="2" t="str">
        <x:v>ST106</x:v>
      </x:c>
      <x:c r="D2128" s="2" t="str">
        <x:v>9bd191644f26d4fc266418c96f36f10b</x:v>
      </x:c>
      <x:c r="E2128" s="2" t="str">
        <x:v>CHECK_IN</x:v>
      </x:c>
      <x:c r="F2128" s="8" t="n">
        <x:v>46303.47656249999</x:v>
      </x:c>
      <x:c r="G2128" s="8" t="n">
        <x:v>46303.47658564814</x:v>
      </x:c>
      <x:c r="H2128" s="2" t="str">
        <x:v>R3S2</x:v>
      </x:c>
      <x:c r="I2128" s="9" t="n">
        <x:v>25.291000000000004</x:v>
      </x:c>
      <x:c r="J2128" s="9" t="n">
        <x:v>51.51</x:v>
      </x:c>
      <x:c r="K2128" s="2" t="n">
        <x:v>8</x:v>
      </x:c>
      <x:c r="L2128" s="2" t="str">
        <x:v>Valid</x:v>
      </x:c>
      <x:c r="M2128" s="2" t="str">
        <x:v>QR</x:v>
      </x:c>
      <x:c r="N2128" s="2" t="n">
        <x:v>1</x:v>
      </x:c>
      <x:c r="O2128" s="2" t="str">
        <x:v>Accepted</x:v>
      </x:c>
      <x:c r="P2128" s="2" t="str">
        <x:v>S003</x:v>
      </x:c>
      <x:c r="Q2128" s="2" t="str">
        <x:v>DEV003</x:v>
      </x:c>
      <x:c r="R2128" s="2" t="n">
        <x:v>31</x:v>
      </x:c>
      <x:c r="S2128" s="2" t="str">
        <x:v>Online</x:v>
      </x:c>
      <x:c r="T2128" s="2" t="str">
        <x:v>Synced</x:v>
      </x:c>
    </x:row>
    <x:row r="2129" ht="21" customHeight="1">
      <x:c r="A2129" s="2" t="str">
        <x:v>EV002009</x:v>
      </x:c>
      <x:c r="B2129" s="2" t="str">
        <x:v>T20261008-2-1</x:v>
      </x:c>
      <x:c r="C2129" s="2" t="str">
        <x:v>ST038</x:v>
      </x:c>
      <x:c r="D2129" s="2" t="str">
        <x:v>1ebedd777293ba897970ae7fc06b6301</x:v>
      </x:c>
      <x:c r="E2129" s="2" t="str">
        <x:v>CHECK_IN</x:v>
      </x:c>
      <x:c r="F2129" s="8" t="n">
        <x:v>46303.47663194444</x:v>
      </x:c>
      <x:c r="G2129" s="8" t="n">
        <x:v>46303.476655092585</x:v>
      </x:c>
      <x:c r="H2129" s="2" t="str">
        <x:v>R1S2</x:v>
      </x:c>
      <x:c r="I2129" s="9" t="n">
        <x:v>25.273000000000003</x:v>
      </x:c>
      <x:c r="J2129" s="9" t="n">
        <x:v>51.494</x:v>
      </x:c>
      <x:c r="K2129" s="2" t="n">
        <x:v>8</x:v>
      </x:c>
      <x:c r="L2129" s="2" t="str">
        <x:v>Valid</x:v>
      </x:c>
      <x:c r="M2129" s="2" t="str">
        <x:v>QR</x:v>
      </x:c>
      <x:c r="N2129" s="2" t="n">
        <x:v>1</x:v>
      </x:c>
      <x:c r="O2129" s="2" t="str">
        <x:v>Accepted</x:v>
      </x:c>
      <x:c r="P2129" s="2" t="str">
        <x:v>S001</x:v>
      </x:c>
      <x:c r="Q2129" s="2" t="str">
        <x:v>DEV001</x:v>
      </x:c>
      <x:c r="R2129" s="2" t="n">
        <x:v>32</x:v>
      </x:c>
      <x:c r="S2129" s="2" t="str">
        <x:v>Online</x:v>
      </x:c>
      <x:c r="T2129" s="2" t="str">
        <x:v>Synced</x:v>
      </x:c>
    </x:row>
    <x:row r="2130" ht="21" customHeight="1">
      <x:c r="A2130" s="2" t="str">
        <x:v>EV002169</x:v>
      </x:c>
      <x:c r="B2130" s="2" t="str">
        <x:v>T20261008-2-2</x:v>
      </x:c>
      <x:c r="C2130" s="2" t="str">
        <x:v>ST078</x:v>
      </x:c>
      <x:c r="D2130" s="2" t="str">
        <x:v>737ab4e672bf11e638a47ae295f7e187</x:v>
      </x:c>
      <x:c r="E2130" s="2" t="str">
        <x:v>CHECK_IN</x:v>
      </x:c>
      <x:c r="F2130" s="8" t="n">
        <x:v>46303.47663194444</x:v>
      </x:c>
      <x:c r="G2130" s="8" t="n">
        <x:v>46303.476655092585</x:v>
      </x:c>
      <x:c r="H2130" s="2" t="str">
        <x:v>R2S2</x:v>
      </x:c>
      <x:c r="I2130" s="9" t="n">
        <x:v>25.282000000000004</x:v>
      </x:c>
      <x:c r="J2130" s="9" t="n">
        <x:v>51.501999999999995</x:v>
      </x:c>
      <x:c r="K2130" s="2" t="n">
        <x:v>8</x:v>
      </x:c>
      <x:c r="L2130" s="2" t="str">
        <x:v>Valid</x:v>
      </x:c>
      <x:c r="M2130" s="2" t="str">
        <x:v>QR</x:v>
      </x:c>
      <x:c r="N2130" s="2" t="n">
        <x:v>1</x:v>
      </x:c>
      <x:c r="O2130" s="2" t="str">
        <x:v>Accepted</x:v>
      </x:c>
      <x:c r="P2130" s="2" t="str">
        <x:v>S002</x:v>
      </x:c>
      <x:c r="Q2130" s="2" t="str">
        <x:v>DEV002</x:v>
      </x:c>
      <x:c r="R2130" s="2" t="n">
        <x:v>32</x:v>
      </x:c>
      <x:c r="S2130" s="2" t="str">
        <x:v>Online</x:v>
      </x:c>
      <x:c r="T2130" s="2" t="str">
        <x:v>Synced</x:v>
      </x:c>
    </x:row>
    <x:row r="2131" ht="21" customHeight="1">
      <x:c r="A2131" s="2" t="str">
        <x:v>EV002329</x:v>
      </x:c>
      <x:c r="B2131" s="2" t="str">
        <x:v>T20261008-2-3</x:v>
      </x:c>
      <x:c r="C2131" s="2" t="str">
        <x:v>ST118</x:v>
      </x:c>
      <x:c r="D2131" s="2" t="str">
        <x:v>b15012a6111b47a10bdbbcbbd00c9f60</x:v>
      </x:c>
      <x:c r="E2131" s="2" t="str">
        <x:v>CHECK_IN</x:v>
      </x:c>
      <x:c r="F2131" s="8" t="n">
        <x:v>46303.47663194444</x:v>
      </x:c>
      <x:c r="G2131" s="8" t="n">
        <x:v>46303.476655092585</x:v>
      </x:c>
      <x:c r="H2131" s="2" t="str">
        <x:v>R3S2</x:v>
      </x:c>
      <x:c r="I2131" s="9" t="n">
        <x:v>25.291000000000004</x:v>
      </x:c>
      <x:c r="J2131" s="9" t="n">
        <x:v>51.51</x:v>
      </x:c>
      <x:c r="K2131" s="2" t="n">
        <x:v>8</x:v>
      </x:c>
      <x:c r="L2131" s="2" t="str">
        <x:v>Valid</x:v>
      </x:c>
      <x:c r="M2131" s="2" t="str">
        <x:v>QR</x:v>
      </x:c>
      <x:c r="N2131" s="2" t="n">
        <x:v>1</x:v>
      </x:c>
      <x:c r="O2131" s="2" t="str">
        <x:v>Accepted</x:v>
      </x:c>
      <x:c r="P2131" s="2" t="str">
        <x:v>S003</x:v>
      </x:c>
      <x:c r="Q2131" s="2" t="str">
        <x:v>DEV003</x:v>
      </x:c>
      <x:c r="R2131" s="2" t="n">
        <x:v>32</x:v>
      </x:c>
      <x:c r="S2131" s="2" t="str">
        <x:v>Online</x:v>
      </x:c>
      <x:c r="T2131" s="2" t="str">
        <x:v>Synced</x:v>
      </x:c>
    </x:row>
    <x:row r="2132" ht="21" customHeight="1">
      <x:c r="A2132" s="2" t="str">
        <x:v>EV001991</x:v>
      </x:c>
      <x:c r="B2132" s="2" t="str">
        <x:v>T20261008-2-1</x:v>
      </x:c>
      <x:c r="C2132" s="2" t="str">
        <x:v>ST029</x:v>
      </x:c>
      <x:c r="D2132" s="2" t="str">
        <x:v>160c4caa69875e092299cd9b55dcda0b</x:v>
      </x:c>
      <x:c r="E2132" s="2" t="str">
        <x:v>CHECK_IN</x:v>
      </x:c>
      <x:c r="F2132" s="8" t="n">
        <x:v>46303.47666666666</x:v>
      </x:c>
      <x:c r="G2132" s="8" t="n">
        <x:v>46303.47668981481</x:v>
      </x:c>
      <x:c r="H2132" s="2" t="str">
        <x:v>R1S2</x:v>
      </x:c>
      <x:c r="I2132" s="9" t="n">
        <x:v>25.273000000000003</x:v>
      </x:c>
      <x:c r="J2132" s="9" t="n">
        <x:v>51.494</x:v>
      </x:c>
      <x:c r="K2132" s="2" t="n">
        <x:v>8</x:v>
      </x:c>
      <x:c r="L2132" s="2" t="str">
        <x:v>Valid</x:v>
      </x:c>
      <x:c r="M2132" s="2" t="str">
        <x:v>QR</x:v>
      </x:c>
      <x:c r="N2132" s="2" t="n">
        <x:v>1</x:v>
      </x:c>
      <x:c r="O2132" s="2" t="str">
        <x:v>Accepted</x:v>
      </x:c>
      <x:c r="P2132" s="2" t="str">
        <x:v>S001</x:v>
      </x:c>
      <x:c r="Q2132" s="2" t="str">
        <x:v>DEV001</x:v>
      </x:c>
      <x:c r="R2132" s="2" t="n">
        <x:v>33</x:v>
      </x:c>
      <x:c r="S2132" s="2" t="str">
        <x:v>Online</x:v>
      </x:c>
      <x:c r="T2132" s="2" t="str">
        <x:v>Synced</x:v>
      </x:c>
    </x:row>
    <x:row r="2133" ht="21" customHeight="1">
      <x:c r="A2133" s="2" t="str">
        <x:v>EV002151</x:v>
      </x:c>
      <x:c r="B2133" s="2" t="str">
        <x:v>T20261008-2-2</x:v>
      </x:c>
      <x:c r="C2133" s="2" t="str">
        <x:v>ST069</x:v>
      </x:c>
      <x:c r="D2133" s="2" t="str">
        <x:v>d453525f57933d1df9d056e2e53ed3e4</x:v>
      </x:c>
      <x:c r="E2133" s="2" t="str">
        <x:v>CHECK_IN</x:v>
      </x:c>
      <x:c r="F2133" s="8" t="n">
        <x:v>46303.47666666666</x:v>
      </x:c>
      <x:c r="G2133" s="8" t="n">
        <x:v>46303.47668981481</x:v>
      </x:c>
      <x:c r="H2133" s="2" t="str">
        <x:v>R2S2</x:v>
      </x:c>
      <x:c r="I2133" s="9" t="n">
        <x:v>25.282000000000004</x:v>
      </x:c>
      <x:c r="J2133" s="9" t="n">
        <x:v>51.501999999999995</x:v>
      </x:c>
      <x:c r="K2133" s="2" t="n">
        <x:v>8</x:v>
      </x:c>
      <x:c r="L2133" s="2" t="str">
        <x:v>Valid</x:v>
      </x:c>
      <x:c r="M2133" s="2" t="str">
        <x:v>QR</x:v>
      </x:c>
      <x:c r="N2133" s="2" t="n">
        <x:v>1</x:v>
      </x:c>
      <x:c r="O2133" s="2" t="str">
        <x:v>Accepted</x:v>
      </x:c>
      <x:c r="P2133" s="2" t="str">
        <x:v>S002</x:v>
      </x:c>
      <x:c r="Q2133" s="2" t="str">
        <x:v>DEV002</x:v>
      </x:c>
      <x:c r="R2133" s="2" t="n">
        <x:v>33</x:v>
      </x:c>
      <x:c r="S2133" s="2" t="str">
        <x:v>Online</x:v>
      </x:c>
      <x:c r="T2133" s="2" t="str">
        <x:v>Synced</x:v>
      </x:c>
    </x:row>
    <x:row r="2134" ht="21" customHeight="1">
      <x:c r="A2134" s="2" t="str">
        <x:v>EV002311</x:v>
      </x:c>
      <x:c r="B2134" s="2" t="str">
        <x:v>T20261008-2-3</x:v>
      </x:c>
      <x:c r="C2134" s="2" t="str">
        <x:v>ST109</x:v>
      </x:c>
      <x:c r="D2134" s="2" t="str">
        <x:v>dfd493c800846e3efc35048335bd557b</x:v>
      </x:c>
      <x:c r="E2134" s="2" t="str">
        <x:v>CHECK_IN</x:v>
      </x:c>
      <x:c r="F2134" s="8" t="n">
        <x:v>46303.47666666666</x:v>
      </x:c>
      <x:c r="G2134" s="8" t="n">
        <x:v>46303.47668981481</x:v>
      </x:c>
      <x:c r="H2134" s="2" t="str">
        <x:v>R3S2</x:v>
      </x:c>
      <x:c r="I2134" s="9" t="n">
        <x:v>25.291000000000004</x:v>
      </x:c>
      <x:c r="J2134" s="9" t="n">
        <x:v>51.51</x:v>
      </x:c>
      <x:c r="K2134" s="2" t="n">
        <x:v>8</x:v>
      </x:c>
      <x:c r="L2134" s="2" t="str">
        <x:v>Valid</x:v>
      </x:c>
      <x:c r="M2134" s="2" t="str">
        <x:v>QR</x:v>
      </x:c>
      <x:c r="N2134" s="2" t="n">
        <x:v>1</x:v>
      </x:c>
      <x:c r="O2134" s="2" t="str">
        <x:v>Accepted</x:v>
      </x:c>
      <x:c r="P2134" s="2" t="str">
        <x:v>S003</x:v>
      </x:c>
      <x:c r="Q2134" s="2" t="str">
        <x:v>DEV003</x:v>
      </x:c>
      <x:c r="R2134" s="2" t="n">
        <x:v>33</x:v>
      </x:c>
      <x:c r="S2134" s="2" t="str">
        <x:v>Online</x:v>
      </x:c>
      <x:c r="T2134" s="2" t="str">
        <x:v>Synced</x:v>
      </x:c>
    </x:row>
    <x:row r="2135" ht="21" customHeight="1">
      <x:c r="A2135" s="2" t="str">
        <x:v>EV001975</x:v>
      </x:c>
      <x:c r="B2135" s="2" t="str">
        <x:v>T20261008-2-1</x:v>
      </x:c>
      <x:c r="C2135" s="2" t="str">
        <x:v>ST021</x:v>
      </x:c>
      <x:c r="D2135" s="2" t="str">
        <x:v>9b1608e5663d6da53cd805c8051dedd7</x:v>
      </x:c>
      <x:c r="E2135" s="2" t="str">
        <x:v>CHECK_IN</x:v>
      </x:c>
      <x:c r="F2135" s="8" t="n">
        <x:v>46303.48125</x:v>
      </x:c>
      <x:c r="G2135" s="8" t="n">
        <x:v>46303.48127314814</x:v>
      </x:c>
      <x:c r="H2135" s="2" t="str">
        <x:v>R1S3</x:v>
      </x:c>
      <x:c r="I2135" s="9" t="n">
        <x:v>25.275000000000002</x:v>
      </x:c>
      <x:c r="J2135" s="9" t="n">
        <x:v>51.497</x:v>
      </x:c>
      <x:c r="K2135" s="2" t="n">
        <x:v>8</x:v>
      </x:c>
      <x:c r="L2135" s="2" t="str">
        <x:v>Valid</x:v>
      </x:c>
      <x:c r="M2135" s="2" t="str">
        <x:v>QR</x:v>
      </x:c>
      <x:c r="N2135" s="2" t="n">
        <x:v>1</x:v>
      </x:c>
      <x:c r="O2135" s="2" t="str">
        <x:v>Accepted</x:v>
      </x:c>
      <x:c r="P2135" s="2" t="str">
        <x:v>S001</x:v>
      </x:c>
      <x:c r="Q2135" s="2" t="str">
        <x:v>DEV001</x:v>
      </x:c>
      <x:c r="R2135" s="2" t="n">
        <x:v>34</x:v>
      </x:c>
      <x:c r="S2135" s="2" t="str">
        <x:v>Online</x:v>
      </x:c>
      <x:c r="T2135" s="2" t="str">
        <x:v>Synced</x:v>
      </x:c>
    </x:row>
    <x:row r="2136" ht="21" customHeight="1">
      <x:c r="A2136" s="2" t="str">
        <x:v>EV002135</x:v>
      </x:c>
      <x:c r="B2136" s="2" t="str">
        <x:v>T20261008-2-2</x:v>
      </x:c>
      <x:c r="C2136" s="2" t="str">
        <x:v>ST061</x:v>
      </x:c>
      <x:c r="D2136" s="2" t="str">
        <x:v>c547cb31f14853ae1f9f2436554d3271</x:v>
      </x:c>
      <x:c r="E2136" s="2" t="str">
        <x:v>CHECK_IN</x:v>
      </x:c>
      <x:c r="F2136" s="8" t="n">
        <x:v>46303.48125</x:v>
      </x:c>
      <x:c r="G2136" s="8" t="n">
        <x:v>46303.48127314814</x:v>
      </x:c>
      <x:c r="H2136" s="2" t="str">
        <x:v>R2S3</x:v>
      </x:c>
      <x:c r="I2136" s="9" t="n">
        <x:v>25.284000000000002</x:v>
      </x:c>
      <x:c r="J2136" s="9" t="n">
        <x:v>51.504999999999995</x:v>
      </x:c>
      <x:c r="K2136" s="2" t="n">
        <x:v>8</x:v>
      </x:c>
      <x:c r="L2136" s="2" t="str">
        <x:v>Valid</x:v>
      </x:c>
      <x:c r="M2136" s="2" t="str">
        <x:v>QR</x:v>
      </x:c>
      <x:c r="N2136" s="2" t="n">
        <x:v>1</x:v>
      </x:c>
      <x:c r="O2136" s="2" t="str">
        <x:v>Accepted</x:v>
      </x:c>
      <x:c r="P2136" s="2" t="str">
        <x:v>S002</x:v>
      </x:c>
      <x:c r="Q2136" s="2" t="str">
        <x:v>DEV002</x:v>
      </x:c>
      <x:c r="R2136" s="2" t="n">
        <x:v>34</x:v>
      </x:c>
      <x:c r="S2136" s="2" t="str">
        <x:v>Online</x:v>
      </x:c>
      <x:c r="T2136" s="2" t="str">
        <x:v>Synced</x:v>
      </x:c>
    </x:row>
    <x:row r="2137" ht="21" customHeight="1">
      <x:c r="A2137" s="2" t="str">
        <x:v>EV002295</x:v>
      </x:c>
      <x:c r="B2137" s="2" t="str">
        <x:v>T20261008-2-3</x:v>
      </x:c>
      <x:c r="C2137" s="2" t="str">
        <x:v>ST101</x:v>
      </x:c>
      <x:c r="D2137" s="2" t="str">
        <x:v>9f8e180c63d3ff8d3e393db3573884a8</x:v>
      </x:c>
      <x:c r="E2137" s="2" t="str">
        <x:v>CHECK_IN</x:v>
      </x:c>
      <x:c r="F2137" s="8" t="n">
        <x:v>46303.48125</x:v>
      </x:c>
      <x:c r="G2137" s="8" t="n">
        <x:v>46303.48127314814</x:v>
      </x:c>
      <x:c r="H2137" s="2" t="str">
        <x:v>R3S3</x:v>
      </x:c>
      <x:c r="I2137" s="9" t="n">
        <x:v>25.293000000000003</x:v>
      </x:c>
      <x:c r="J2137" s="9" t="n">
        <x:v>51.513</x:v>
      </x:c>
      <x:c r="K2137" s="2" t="n">
        <x:v>8</x:v>
      </x:c>
      <x:c r="L2137" s="2" t="str">
        <x:v>Valid</x:v>
      </x:c>
      <x:c r="M2137" s="2" t="str">
        <x:v>QR</x:v>
      </x:c>
      <x:c r="N2137" s="2" t="n">
        <x:v>1</x:v>
      </x:c>
      <x:c r="O2137" s="2" t="str">
        <x:v>Accepted</x:v>
      </x:c>
      <x:c r="P2137" s="2" t="str">
        <x:v>S003</x:v>
      </x:c>
      <x:c r="Q2137" s="2" t="str">
        <x:v>DEV003</x:v>
      </x:c>
      <x:c r="R2137" s="2" t="n">
        <x:v>34</x:v>
      </x:c>
      <x:c r="S2137" s="2" t="str">
        <x:v>Online</x:v>
      </x:c>
      <x:c r="T2137" s="2" t="str">
        <x:v>Synced</x:v>
      </x:c>
    </x:row>
    <x:row r="2138" ht="21" customHeight="1">
      <x:c r="A2138" s="2" t="str">
        <x:v>EV001999</x:v>
      </x:c>
      <x:c r="B2138" s="2" t="str">
        <x:v>T20261008-2-1</x:v>
      </x:c>
      <x:c r="C2138" s="2" t="str">
        <x:v>ST033</x:v>
      </x:c>
      <x:c r="D2138" s="2" t="str">
        <x:v>c9cc8ddf1b5bae8b49929340838e300a</x:v>
      </x:c>
      <x:c r="E2138" s="2" t="str">
        <x:v>CHECK_IN</x:v>
      </x:c>
      <x:c r="F2138" s="8" t="n">
        <x:v>46303.48131944444</x:v>
      </x:c>
      <x:c r="G2138" s="8" t="n">
        <x:v>46303.48134259259</x:v>
      </x:c>
      <x:c r="H2138" s="2" t="str">
        <x:v>R1S3</x:v>
      </x:c>
      <x:c r="I2138" s="9" t="n">
        <x:v>25.275000000000002</x:v>
      </x:c>
      <x:c r="J2138" s="9" t="n">
        <x:v>51.497</x:v>
      </x:c>
      <x:c r="K2138" s="2" t="n">
        <x:v>8</x:v>
      </x:c>
      <x:c r="L2138" s="2" t="str">
        <x:v>Valid</x:v>
      </x:c>
      <x:c r="M2138" s="2" t="str">
        <x:v>QR</x:v>
      </x:c>
      <x:c r="N2138" s="2" t="n">
        <x:v>1</x:v>
      </x:c>
      <x:c r="O2138" s="2" t="str">
        <x:v>Accepted</x:v>
      </x:c>
      <x:c r="P2138" s="2" t="str">
        <x:v>S001</x:v>
      </x:c>
      <x:c r="Q2138" s="2" t="str">
        <x:v>DEV001</x:v>
      </x:c>
      <x:c r="R2138" s="2" t="n">
        <x:v>35</x:v>
      </x:c>
      <x:c r="S2138" s="2" t="str">
        <x:v>Online</x:v>
      </x:c>
      <x:c r="T2138" s="2" t="str">
        <x:v>Synced</x:v>
      </x:c>
    </x:row>
    <x:row r="2139" ht="21" customHeight="1">
      <x:c r="A2139" s="2" t="str">
        <x:v>EV002159</x:v>
      </x:c>
      <x:c r="B2139" s="2" t="str">
        <x:v>T20261008-2-2</x:v>
      </x:c>
      <x:c r="C2139" s="2" t="str">
        <x:v>ST073</x:v>
      </x:c>
      <x:c r="D2139" s="2" t="str">
        <x:v>b27180ce7590c0aac206d465f318b712</x:v>
      </x:c>
      <x:c r="E2139" s="2" t="str">
        <x:v>CHECK_IN</x:v>
      </x:c>
      <x:c r="F2139" s="8" t="n">
        <x:v>46303.48131944444</x:v>
      </x:c>
      <x:c r="G2139" s="8" t="n">
        <x:v>46303.48134259259</x:v>
      </x:c>
      <x:c r="H2139" s="2" t="str">
        <x:v>R2S3</x:v>
      </x:c>
      <x:c r="I2139" s="9" t="n">
        <x:v>25.284000000000002</x:v>
      </x:c>
      <x:c r="J2139" s="9" t="n">
        <x:v>51.504999999999995</x:v>
      </x:c>
      <x:c r="K2139" s="2" t="n">
        <x:v>8</x:v>
      </x:c>
      <x:c r="L2139" s="2" t="str">
        <x:v>Valid</x:v>
      </x:c>
      <x:c r="M2139" s="2" t="str">
        <x:v>QR</x:v>
      </x:c>
      <x:c r="N2139" s="2" t="n">
        <x:v>1</x:v>
      </x:c>
      <x:c r="O2139" s="2" t="str">
        <x:v>Accepted</x:v>
      </x:c>
      <x:c r="P2139" s="2" t="str">
        <x:v>S002</x:v>
      </x:c>
      <x:c r="Q2139" s="2" t="str">
        <x:v>DEV002</x:v>
      </x:c>
      <x:c r="R2139" s="2" t="n">
        <x:v>35</x:v>
      </x:c>
      <x:c r="S2139" s="2" t="str">
        <x:v>Online</x:v>
      </x:c>
      <x:c r="T2139" s="2" t="str">
        <x:v>Synced</x:v>
      </x:c>
    </x:row>
    <x:row r="2140" ht="21" customHeight="1">
      <x:c r="A2140" s="2" t="str">
        <x:v>EV002319</x:v>
      </x:c>
      <x:c r="B2140" s="2" t="str">
        <x:v>T20261008-2-3</x:v>
      </x:c>
      <x:c r="C2140" s="2" t="str">
        <x:v>ST113</x:v>
      </x:c>
      <x:c r="D2140" s="2" t="str">
        <x:v>c3781e168737a6cc1190d4415801c440</x:v>
      </x:c>
      <x:c r="E2140" s="2" t="str">
        <x:v>CHECK_IN</x:v>
      </x:c>
      <x:c r="F2140" s="8" t="n">
        <x:v>46303.48131944444</x:v>
      </x:c>
      <x:c r="G2140" s="8" t="n">
        <x:v>46303.48134259259</x:v>
      </x:c>
      <x:c r="H2140" s="2" t="str">
        <x:v>R3S3</x:v>
      </x:c>
      <x:c r="I2140" s="9" t="n">
        <x:v>25.293000000000003</x:v>
      </x:c>
      <x:c r="J2140" s="9" t="n">
        <x:v>51.513</x:v>
      </x:c>
      <x:c r="K2140" s="2" t="n">
        <x:v>8</x:v>
      </x:c>
      <x:c r="L2140" s="2" t="str">
        <x:v>Valid</x:v>
      </x:c>
      <x:c r="M2140" s="2" t="str">
        <x:v>QR</x:v>
      </x:c>
      <x:c r="N2140" s="2" t="n">
        <x:v>1</x:v>
      </x:c>
      <x:c r="O2140" s="2" t="str">
        <x:v>Accepted</x:v>
      </x:c>
      <x:c r="P2140" s="2" t="str">
        <x:v>S003</x:v>
      </x:c>
      <x:c r="Q2140" s="2" t="str">
        <x:v>DEV003</x:v>
      </x:c>
      <x:c r="R2140" s="2" t="n">
        <x:v>35</x:v>
      </x:c>
      <x:c r="S2140" s="2" t="str">
        <x:v>Online</x:v>
      </x:c>
      <x:c r="T2140" s="2" t="str">
        <x:v>Synced</x:v>
      </x:c>
    </x:row>
    <x:row r="2141" ht="21" customHeight="1">
      <x:c r="A2141" s="2" t="str">
        <x:v>EV001981</x:v>
      </x:c>
      <x:c r="B2141" s="2" t="str">
        <x:v>T20261008-2-1</x:v>
      </x:c>
      <x:c r="C2141" s="2" t="str">
        <x:v>ST024</x:v>
      </x:c>
      <x:c r="D2141" s="2" t="str">
        <x:v>df785f1577b8ee7f71835020d03a12a6</x:v>
      </x:c>
      <x:c r="E2141" s="2" t="str">
        <x:v>CHECK_IN</x:v>
      </x:c>
      <x:c r="F2141" s="8" t="n">
        <x:v>46303.481354166666</x:v>
      </x:c>
      <x:c r="G2141" s="8" t="n">
        <x:v>46303.48137731481</x:v>
      </x:c>
      <x:c r="H2141" s="2" t="str">
        <x:v>R1S3</x:v>
      </x:c>
      <x:c r="I2141" s="9" t="n">
        <x:v>25.275000000000002</x:v>
      </x:c>
      <x:c r="J2141" s="9" t="n">
        <x:v>51.497</x:v>
      </x:c>
      <x:c r="K2141" s="2" t="n">
        <x:v>8</x:v>
      </x:c>
      <x:c r="L2141" s="2" t="str">
        <x:v>Valid</x:v>
      </x:c>
      <x:c r="M2141" s="2" t="str">
        <x:v>QR</x:v>
      </x:c>
      <x:c r="N2141" s="2" t="n">
        <x:v>1</x:v>
      </x:c>
      <x:c r="O2141" s="2" t="str">
        <x:v>Accepted</x:v>
      </x:c>
      <x:c r="P2141" s="2" t="str">
        <x:v>S001</x:v>
      </x:c>
      <x:c r="Q2141" s="2" t="str">
        <x:v>DEV001</x:v>
      </x:c>
      <x:c r="R2141" s="2" t="n">
        <x:v>36</x:v>
      </x:c>
      <x:c r="S2141" s="2" t="str">
        <x:v>Online</x:v>
      </x:c>
      <x:c r="T2141" s="2" t="str">
        <x:v>Synced</x:v>
      </x:c>
    </x:row>
    <x:row r="2142" ht="21" customHeight="1">
      <x:c r="A2142" s="2" t="str">
        <x:v>EV002141</x:v>
      </x:c>
      <x:c r="B2142" s="2" t="str">
        <x:v>T20261008-2-2</x:v>
      </x:c>
      <x:c r="C2142" s="2" t="str">
        <x:v>ST064</x:v>
      </x:c>
      <x:c r="D2142" s="2" t="str">
        <x:v>80debd99a6cfe1ca0800304796fd69ff</x:v>
      </x:c>
      <x:c r="E2142" s="2" t="str">
        <x:v>CHECK_IN</x:v>
      </x:c>
      <x:c r="F2142" s="8" t="n">
        <x:v>46303.481354166666</x:v>
      </x:c>
      <x:c r="G2142" s="8" t="n">
        <x:v>46303.48137731481</x:v>
      </x:c>
      <x:c r="H2142" s="2" t="str">
        <x:v>R2S3</x:v>
      </x:c>
      <x:c r="I2142" s="9" t="n">
        <x:v>25.284000000000002</x:v>
      </x:c>
      <x:c r="J2142" s="9" t="n">
        <x:v>51.504999999999995</x:v>
      </x:c>
      <x:c r="K2142" s="2" t="n">
        <x:v>8</x:v>
      </x:c>
      <x:c r="L2142" s="2" t="str">
        <x:v>Valid</x:v>
      </x:c>
      <x:c r="M2142" s="2" t="str">
        <x:v>QR</x:v>
      </x:c>
      <x:c r="N2142" s="2" t="n">
        <x:v>1</x:v>
      </x:c>
      <x:c r="O2142" s="2" t="str">
        <x:v>Accepted</x:v>
      </x:c>
      <x:c r="P2142" s="2" t="str">
        <x:v>S002</x:v>
      </x:c>
      <x:c r="Q2142" s="2" t="str">
        <x:v>DEV002</x:v>
      </x:c>
      <x:c r="R2142" s="2" t="n">
        <x:v>36</x:v>
      </x:c>
      <x:c r="S2142" s="2" t="str">
        <x:v>Online</x:v>
      </x:c>
      <x:c r="T2142" s="2" t="str">
        <x:v>Synced</x:v>
      </x:c>
    </x:row>
    <x:row r="2143" ht="21" customHeight="1">
      <x:c r="A2143" s="2" t="str">
        <x:v>EV002301</x:v>
      </x:c>
      <x:c r="B2143" s="2" t="str">
        <x:v>T20261008-2-3</x:v>
      </x:c>
      <x:c r="C2143" s="2" t="str">
        <x:v>ST104</x:v>
      </x:c>
      <x:c r="D2143" s="2" t="str">
        <x:v>12167381f9b78201d830c40ef6208ce4</x:v>
      </x:c>
      <x:c r="E2143" s="2" t="str">
        <x:v>CHECK_IN</x:v>
      </x:c>
      <x:c r="F2143" s="8" t="n">
        <x:v>46303.481354166666</x:v>
      </x:c>
      <x:c r="G2143" s="8" t="n">
        <x:v>46303.48137731481</x:v>
      </x:c>
      <x:c r="H2143" s="2" t="str">
        <x:v>R3S3</x:v>
      </x:c>
      <x:c r="I2143" s="9" t="n">
        <x:v>25.293000000000003</x:v>
      </x:c>
      <x:c r="J2143" s="9" t="n">
        <x:v>51.513</x:v>
      </x:c>
      <x:c r="K2143" s="2" t="n">
        <x:v>8</x:v>
      </x:c>
      <x:c r="L2143" s="2" t="str">
        <x:v>Valid</x:v>
      </x:c>
      <x:c r="M2143" s="2" t="str">
        <x:v>QR</x:v>
      </x:c>
      <x:c r="N2143" s="2" t="n">
        <x:v>1</x:v>
      </x:c>
      <x:c r="O2143" s="2" t="str">
        <x:v>Accepted</x:v>
      </x:c>
      <x:c r="P2143" s="2" t="str">
        <x:v>S003</x:v>
      </x:c>
      <x:c r="Q2143" s="2" t="str">
        <x:v>DEV003</x:v>
      </x:c>
      <x:c r="R2143" s="2" t="n">
        <x:v>36</x:v>
      </x:c>
      <x:c r="S2143" s="2" t="str">
        <x:v>Online</x:v>
      </x:c>
      <x:c r="T2143" s="2" t="str">
        <x:v>Synced</x:v>
      </x:c>
    </x:row>
    <x:row r="2144" ht="21" customHeight="1">
      <x:c r="A2144" s="2" t="str">
        <x:v>EV002005</x:v>
      </x:c>
      <x:c r="B2144" s="2" t="str">
        <x:v>T20261008-2-1</x:v>
      </x:c>
      <x:c r="C2144" s="2" t="str">
        <x:v>ST036</x:v>
      </x:c>
      <x:c r="D2144" s="2" t="str">
        <x:v>7e42555e63455121ac9f1b3710bc905c</x:v>
      </x:c>
      <x:c r="E2144" s="2" t="str">
        <x:v>CHECK_IN</x:v>
      </x:c>
      <x:c r="F2144" s="8" t="n">
        <x:v>46303.481423611105</x:v>
      </x:c>
      <x:c r="G2144" s="8" t="n">
        <x:v>46303.48144675925</x:v>
      </x:c>
      <x:c r="H2144" s="2" t="str">
        <x:v>R1S3</x:v>
      </x:c>
      <x:c r="I2144" s="9" t="n">
        <x:v>25.275000000000002</x:v>
      </x:c>
      <x:c r="J2144" s="9" t="n">
        <x:v>51.497</x:v>
      </x:c>
      <x:c r="K2144" s="2" t="n">
        <x:v>8</x:v>
      </x:c>
      <x:c r="L2144" s="2" t="str">
        <x:v>Valid</x:v>
      </x:c>
      <x:c r="M2144" s="2" t="str">
        <x:v>QR</x:v>
      </x:c>
      <x:c r="N2144" s="2" t="n">
        <x:v>1</x:v>
      </x:c>
      <x:c r="O2144" s="2" t="str">
        <x:v>Accepted</x:v>
      </x:c>
      <x:c r="P2144" s="2" t="str">
        <x:v>S001</x:v>
      </x:c>
      <x:c r="Q2144" s="2" t="str">
        <x:v>DEV001</x:v>
      </x:c>
      <x:c r="R2144" s="2" t="n">
        <x:v>37</x:v>
      </x:c>
      <x:c r="S2144" s="2" t="str">
        <x:v>Online</x:v>
      </x:c>
      <x:c r="T2144" s="2" t="str">
        <x:v>Synced</x:v>
      </x:c>
    </x:row>
    <x:row r="2145" ht="21" customHeight="1">
      <x:c r="A2145" s="2" t="str">
        <x:v>EV002165</x:v>
      </x:c>
      <x:c r="B2145" s="2" t="str">
        <x:v>T20261008-2-2</x:v>
      </x:c>
      <x:c r="C2145" s="2" t="str">
        <x:v>ST076</x:v>
      </x:c>
      <x:c r="D2145" s="2" t="str">
        <x:v>08979b9eef223b076885fe932d9f2bca</x:v>
      </x:c>
      <x:c r="E2145" s="2" t="str">
        <x:v>CHECK_IN</x:v>
      </x:c>
      <x:c r="F2145" s="8" t="n">
        <x:v>46303.481423611105</x:v>
      </x:c>
      <x:c r="G2145" s="8" t="n">
        <x:v>46303.48144675925</x:v>
      </x:c>
      <x:c r="H2145" s="2" t="str">
        <x:v>R2S3</x:v>
      </x:c>
      <x:c r="I2145" s="9" t="n">
        <x:v>25.284000000000002</x:v>
      </x:c>
      <x:c r="J2145" s="9" t="n">
        <x:v>51.504999999999995</x:v>
      </x:c>
      <x:c r="K2145" s="2" t="n">
        <x:v>8</x:v>
      </x:c>
      <x:c r="L2145" s="2" t="str">
        <x:v>Valid</x:v>
      </x:c>
      <x:c r="M2145" s="2" t="str">
        <x:v>QR</x:v>
      </x:c>
      <x:c r="N2145" s="2" t="n">
        <x:v>1</x:v>
      </x:c>
      <x:c r="O2145" s="2" t="str">
        <x:v>Accepted</x:v>
      </x:c>
      <x:c r="P2145" s="2" t="str">
        <x:v>S002</x:v>
      </x:c>
      <x:c r="Q2145" s="2" t="str">
        <x:v>DEV002</x:v>
      </x:c>
      <x:c r="R2145" s="2" t="n">
        <x:v>37</x:v>
      </x:c>
      <x:c r="S2145" s="2" t="str">
        <x:v>Online</x:v>
      </x:c>
      <x:c r="T2145" s="2" t="str">
        <x:v>Synced</x:v>
      </x:c>
    </x:row>
    <x:row r="2146" ht="21" customHeight="1">
      <x:c r="A2146" s="2" t="str">
        <x:v>EV002325</x:v>
      </x:c>
      <x:c r="B2146" s="2" t="str">
        <x:v>T20261008-2-3</x:v>
      </x:c>
      <x:c r="C2146" s="2" t="str">
        <x:v>ST116</x:v>
      </x:c>
      <x:c r="D2146" s="2" t="str">
        <x:v>1c1fddc89afc564845795907cf1b7b0e</x:v>
      </x:c>
      <x:c r="E2146" s="2" t="str">
        <x:v>CHECK_IN</x:v>
      </x:c>
      <x:c r="F2146" s="8" t="n">
        <x:v>46303.481423611105</x:v>
      </x:c>
      <x:c r="G2146" s="8" t="n">
        <x:v>46303.48144675925</x:v>
      </x:c>
      <x:c r="H2146" s="2" t="str">
        <x:v>R3S3</x:v>
      </x:c>
      <x:c r="I2146" s="9" t="n">
        <x:v>25.293000000000003</x:v>
      </x:c>
      <x:c r="J2146" s="9" t="n">
        <x:v>51.513</x:v>
      </x:c>
      <x:c r="K2146" s="2" t="n">
        <x:v>8</x:v>
      </x:c>
      <x:c r="L2146" s="2" t="str">
        <x:v>Valid</x:v>
      </x:c>
      <x:c r="M2146" s="2" t="str">
        <x:v>QR</x:v>
      </x:c>
      <x:c r="N2146" s="2" t="n">
        <x:v>1</x:v>
      </x:c>
      <x:c r="O2146" s="2" t="str">
        <x:v>Accepted</x:v>
      </x:c>
      <x:c r="P2146" s="2" t="str">
        <x:v>S003</x:v>
      </x:c>
      <x:c r="Q2146" s="2" t="str">
        <x:v>DEV003</x:v>
      </x:c>
      <x:c r="R2146" s="2" t="n">
        <x:v>37</x:v>
      </x:c>
      <x:c r="S2146" s="2" t="str">
        <x:v>Online</x:v>
      </x:c>
      <x:c r="T2146" s="2" t="str">
        <x:v>Synced</x:v>
      </x:c>
    </x:row>
    <x:row r="2147" ht="21" customHeight="1">
      <x:c r="A2147" s="2" t="str">
        <x:v>EV001987</x:v>
      </x:c>
      <x:c r="B2147" s="2" t="str">
        <x:v>T20261008-2-1</x:v>
      </x:c>
      <x:c r="C2147" s="2" t="str">
        <x:v>ST027</x:v>
      </x:c>
      <x:c r="D2147" s="2" t="str">
        <x:v>87868c08c06226359ca5121a9563bb63</x:v>
      </x:c>
      <x:c r="E2147" s="2" t="str">
        <x:v>CHECK_IN</x:v>
      </x:c>
      <x:c r="F2147" s="8" t="n">
        <x:v>46303.48145833333</x:v>
      </x:c>
      <x:c r="G2147" s="8" t="n">
        <x:v>46303.481481481474</x:v>
      </x:c>
      <x:c r="H2147" s="2" t="str">
        <x:v>R1S3</x:v>
      </x:c>
      <x:c r="I2147" s="9" t="n">
        <x:v>25.275000000000002</x:v>
      </x:c>
      <x:c r="J2147" s="9" t="n">
        <x:v>51.497</x:v>
      </x:c>
      <x:c r="K2147" s="2" t="n">
        <x:v>8</x:v>
      </x:c>
      <x:c r="L2147" s="2" t="str">
        <x:v>Valid</x:v>
      </x:c>
      <x:c r="M2147" s="2" t="str">
        <x:v>QR</x:v>
      </x:c>
      <x:c r="N2147" s="2" t="n">
        <x:v>1</x:v>
      </x:c>
      <x:c r="O2147" s="2" t="str">
        <x:v>Accepted</x:v>
      </x:c>
      <x:c r="P2147" s="2" t="str">
        <x:v>S001</x:v>
      </x:c>
      <x:c r="Q2147" s="2" t="str">
        <x:v>DEV001</x:v>
      </x:c>
      <x:c r="R2147" s="2" t="n">
        <x:v>38</x:v>
      </x:c>
      <x:c r="S2147" s="2" t="str">
        <x:v>Online</x:v>
      </x:c>
      <x:c r="T2147" s="2" t="str">
        <x:v>Synced</x:v>
      </x:c>
    </x:row>
    <x:row r="2148" ht="21" customHeight="1">
      <x:c r="A2148" s="2" t="str">
        <x:v>EV002147</x:v>
      </x:c>
      <x:c r="B2148" s="2" t="str">
        <x:v>T20261008-2-2</x:v>
      </x:c>
      <x:c r="C2148" s="2" t="str">
        <x:v>ST067</x:v>
      </x:c>
      <x:c r="D2148" s="2" t="str">
        <x:v>66c3e7b11abae76912fea37c6c7ce00c</x:v>
      </x:c>
      <x:c r="E2148" s="2" t="str">
        <x:v>CHECK_IN</x:v>
      </x:c>
      <x:c r="F2148" s="8" t="n">
        <x:v>46303.48145833333</x:v>
      </x:c>
      <x:c r="G2148" s="8" t="n">
        <x:v>46303.481481481474</x:v>
      </x:c>
      <x:c r="H2148" s="2" t="str">
        <x:v>R2S3</x:v>
      </x:c>
      <x:c r="I2148" s="9" t="n">
        <x:v>25.284000000000002</x:v>
      </x:c>
      <x:c r="J2148" s="9" t="n">
        <x:v>51.504999999999995</x:v>
      </x:c>
      <x:c r="K2148" s="2" t="n">
        <x:v>8</x:v>
      </x:c>
      <x:c r="L2148" s="2" t="str">
        <x:v>Valid</x:v>
      </x:c>
      <x:c r="M2148" s="2" t="str">
        <x:v>QR</x:v>
      </x:c>
      <x:c r="N2148" s="2" t="n">
        <x:v>1</x:v>
      </x:c>
      <x:c r="O2148" s="2" t="str">
        <x:v>Accepted</x:v>
      </x:c>
      <x:c r="P2148" s="2" t="str">
        <x:v>S002</x:v>
      </x:c>
      <x:c r="Q2148" s="2" t="str">
        <x:v>DEV002</x:v>
      </x:c>
      <x:c r="R2148" s="2" t="n">
        <x:v>38</x:v>
      </x:c>
      <x:c r="S2148" s="2" t="str">
        <x:v>Online</x:v>
      </x:c>
      <x:c r="T2148" s="2" t="str">
        <x:v>Synced</x:v>
      </x:c>
    </x:row>
    <x:row r="2149" ht="21" customHeight="1">
      <x:c r="A2149" s="2" t="str">
        <x:v>EV002307</x:v>
      </x:c>
      <x:c r="B2149" s="2" t="str">
        <x:v>T20261008-2-3</x:v>
      </x:c>
      <x:c r="C2149" s="2" t="str">
        <x:v>ST107</x:v>
      </x:c>
      <x:c r="D2149" s="2" t="str">
        <x:v>4a2bb35840a3b4fc7e804e2d710c14f4</x:v>
      </x:c>
      <x:c r="E2149" s="2" t="str">
        <x:v>CHECK_IN</x:v>
      </x:c>
      <x:c r="F2149" s="8" t="n">
        <x:v>46303.48145833333</x:v>
      </x:c>
      <x:c r="G2149" s="8" t="n">
        <x:v>46303.481481481474</x:v>
      </x:c>
      <x:c r="H2149" s="2" t="str">
        <x:v>R3S3</x:v>
      </x:c>
      <x:c r="I2149" s="9" t="n">
        <x:v>25.293000000000003</x:v>
      </x:c>
      <x:c r="J2149" s="9" t="n">
        <x:v>51.513</x:v>
      </x:c>
      <x:c r="K2149" s="2" t="n">
        <x:v>8</x:v>
      </x:c>
      <x:c r="L2149" s="2" t="str">
        <x:v>Valid</x:v>
      </x:c>
      <x:c r="M2149" s="2" t="str">
        <x:v>QR</x:v>
      </x:c>
      <x:c r="N2149" s="2" t="n">
        <x:v>1</x:v>
      </x:c>
      <x:c r="O2149" s="2" t="str">
        <x:v>Accepted</x:v>
      </x:c>
      <x:c r="P2149" s="2" t="str">
        <x:v>S003</x:v>
      </x:c>
      <x:c r="Q2149" s="2" t="str">
        <x:v>DEV003</x:v>
      </x:c>
      <x:c r="R2149" s="2" t="n">
        <x:v>38</x:v>
      </x:c>
      <x:c r="S2149" s="2" t="str">
        <x:v>Online</x:v>
      </x:c>
      <x:c r="T2149" s="2" t="str">
        <x:v>Synced</x:v>
      </x:c>
    </x:row>
    <x:row r="2150" ht="21" customHeight="1">
      <x:c r="A2150" s="2" t="str">
        <x:v>EV002011</x:v>
      </x:c>
      <x:c r="B2150" s="2" t="str">
        <x:v>T20261008-2-1</x:v>
      </x:c>
      <x:c r="C2150" s="2" t="str">
        <x:v>ST039</x:v>
      </x:c>
      <x:c r="D2150" s="2" t="str">
        <x:v>31ed548c9c06f555ac72ac2281bbb58a</x:v>
      </x:c>
      <x:c r="E2150" s="2" t="str">
        <x:v>CHECK_IN</x:v>
      </x:c>
      <x:c r="F2150" s="8" t="n">
        <x:v>46303.481527777774</x:v>
      </x:c>
      <x:c r="G2150" s="8" t="n">
        <x:v>46303.48155092592</x:v>
      </x:c>
      <x:c r="H2150" s="2" t="str">
        <x:v>R1S3</x:v>
      </x:c>
      <x:c r="I2150" s="9" t="n">
        <x:v>25.275000000000002</x:v>
      </x:c>
      <x:c r="J2150" s="9" t="n">
        <x:v>51.497</x:v>
      </x:c>
      <x:c r="K2150" s="2" t="n">
        <x:v>8</x:v>
      </x:c>
      <x:c r="L2150" s="2" t="str">
        <x:v>Valid</x:v>
      </x:c>
      <x:c r="M2150" s="2" t="str">
        <x:v>QR</x:v>
      </x:c>
      <x:c r="N2150" s="2" t="n">
        <x:v>1</x:v>
      </x:c>
      <x:c r="O2150" s="2" t="str">
        <x:v>Accepted</x:v>
      </x:c>
      <x:c r="P2150" s="2" t="str">
        <x:v>S001</x:v>
      </x:c>
      <x:c r="Q2150" s="2" t="str">
        <x:v>DEV001</x:v>
      </x:c>
      <x:c r="R2150" s="2" t="n">
        <x:v>39</x:v>
      </x:c>
      <x:c r="S2150" s="2" t="str">
        <x:v>Online</x:v>
      </x:c>
      <x:c r="T2150" s="2" t="str">
        <x:v>Synced</x:v>
      </x:c>
    </x:row>
    <x:row r="2151" ht="21" customHeight="1">
      <x:c r="A2151" s="2" t="str">
        <x:v>EV002171</x:v>
      </x:c>
      <x:c r="B2151" s="2" t="str">
        <x:v>T20261008-2-2</x:v>
      </x:c>
      <x:c r="C2151" s="2" t="str">
        <x:v>ST079</x:v>
      </x:c>
      <x:c r="D2151" s="2" t="str">
        <x:v>3a794a47ff11773398f2344554eeea57</x:v>
      </x:c>
      <x:c r="E2151" s="2" t="str">
        <x:v>CHECK_IN</x:v>
      </x:c>
      <x:c r="F2151" s="8" t="n">
        <x:v>46303.481527777774</x:v>
      </x:c>
      <x:c r="G2151" s="8" t="n">
        <x:v>46303.48155092592</x:v>
      </x:c>
      <x:c r="H2151" s="2" t="str">
        <x:v>R2S3</x:v>
      </x:c>
      <x:c r="I2151" s="9" t="n">
        <x:v>25.284000000000002</x:v>
      </x:c>
      <x:c r="J2151" s="9" t="n">
        <x:v>51.504999999999995</x:v>
      </x:c>
      <x:c r="K2151" s="2" t="n">
        <x:v>8</x:v>
      </x:c>
      <x:c r="L2151" s="2" t="str">
        <x:v>Valid</x:v>
      </x:c>
      <x:c r="M2151" s="2" t="str">
        <x:v>QR</x:v>
      </x:c>
      <x:c r="N2151" s="2" t="n">
        <x:v>1</x:v>
      </x:c>
      <x:c r="O2151" s="2" t="str">
        <x:v>Accepted</x:v>
      </x:c>
      <x:c r="P2151" s="2" t="str">
        <x:v>S002</x:v>
      </x:c>
      <x:c r="Q2151" s="2" t="str">
        <x:v>DEV002</x:v>
      </x:c>
      <x:c r="R2151" s="2" t="n">
        <x:v>39</x:v>
      </x:c>
      <x:c r="S2151" s="2" t="str">
        <x:v>Online</x:v>
      </x:c>
      <x:c r="T2151" s="2" t="str">
        <x:v>Synced</x:v>
      </x:c>
    </x:row>
    <x:row r="2152" ht="21" customHeight="1">
      <x:c r="A2152" s="2" t="str">
        <x:v>EV002331</x:v>
      </x:c>
      <x:c r="B2152" s="2" t="str">
        <x:v>T20261008-2-3</x:v>
      </x:c>
      <x:c r="C2152" s="2" t="str">
        <x:v>ST119</x:v>
      </x:c>
      <x:c r="D2152" s="2" t="str">
        <x:v>c01a05a48293e3b7c907c4b326c0d0a8</x:v>
      </x:c>
      <x:c r="E2152" s="2" t="str">
        <x:v>CHECK_IN</x:v>
      </x:c>
      <x:c r="F2152" s="8" t="n">
        <x:v>46303.481527777774</x:v>
      </x:c>
      <x:c r="G2152" s="8" t="n">
        <x:v>46303.48155092592</x:v>
      </x:c>
      <x:c r="H2152" s="2" t="str">
        <x:v>R3S3</x:v>
      </x:c>
      <x:c r="I2152" s="9" t="n">
        <x:v>25.293000000000003</x:v>
      </x:c>
      <x:c r="J2152" s="9" t="n">
        <x:v>51.513</x:v>
      </x:c>
      <x:c r="K2152" s="2" t="n">
        <x:v>8</x:v>
      </x:c>
      <x:c r="L2152" s="2" t="str">
        <x:v>Valid</x:v>
      </x:c>
      <x:c r="M2152" s="2" t="str">
        <x:v>QR</x:v>
      </x:c>
      <x:c r="N2152" s="2" t="n">
        <x:v>1</x:v>
      </x:c>
      <x:c r="O2152" s="2" t="str">
        <x:v>Accepted</x:v>
      </x:c>
      <x:c r="P2152" s="2" t="str">
        <x:v>S003</x:v>
      </x:c>
      <x:c r="Q2152" s="2" t="str">
        <x:v>DEV003</x:v>
      </x:c>
      <x:c r="R2152" s="2" t="n">
        <x:v>39</x:v>
      </x:c>
      <x:c r="S2152" s="2" t="str">
        <x:v>Online</x:v>
      </x:c>
      <x:c r="T2152" s="2" t="str">
        <x:v>Synced</x:v>
      </x:c>
    </x:row>
    <x:row r="2153" ht="21" customHeight="1">
      <x:c r="A2153" s="2" t="str">
        <x:v>EV001993</x:v>
      </x:c>
      <x:c r="B2153" s="2" t="str">
        <x:v>T20261008-2-1</x:v>
      </x:c>
      <x:c r="C2153" s="2" t="str">
        <x:v>ST030</x:v>
      </x:c>
      <x:c r="D2153" s="2" t="str">
        <x:v>82585187c31166ddecfc4b31343dde64</x:v>
      </x:c>
      <x:c r="E2153" s="2" t="str">
        <x:v>CHECK_IN</x:v>
      </x:c>
      <x:c r="F2153" s="8" t="n">
        <x:v>46303.4815625</x:v>
      </x:c>
      <x:c r="G2153" s="8" t="n">
        <x:v>46303.481585648144</x:v>
      </x:c>
      <x:c r="H2153" s="2" t="str">
        <x:v>R1S3</x:v>
      </x:c>
      <x:c r="I2153" s="9" t="n">
        <x:v>25.275000000000002</x:v>
      </x:c>
      <x:c r="J2153" s="9" t="n">
        <x:v>51.497</x:v>
      </x:c>
      <x:c r="K2153" s="2" t="n">
        <x:v>8</x:v>
      </x:c>
      <x:c r="L2153" s="2" t="str">
        <x:v>Valid</x:v>
      </x:c>
      <x:c r="M2153" s="2" t="str">
        <x:v>QR</x:v>
      </x:c>
      <x:c r="N2153" s="2" t="n">
        <x:v>1</x:v>
      </x:c>
      <x:c r="O2153" s="2" t="str">
        <x:v>Accepted</x:v>
      </x:c>
      <x:c r="P2153" s="2" t="str">
        <x:v>S001</x:v>
      </x:c>
      <x:c r="Q2153" s="2" t="str">
        <x:v>DEV001</x:v>
      </x:c>
      <x:c r="R2153" s="2" t="n">
        <x:v>40</x:v>
      </x:c>
      <x:c r="S2153" s="2" t="str">
        <x:v>Online</x:v>
      </x:c>
      <x:c r="T2153" s="2" t="str">
        <x:v>Synced</x:v>
      </x:c>
    </x:row>
    <x:row r="2154" ht="21" customHeight="1">
      <x:c r="A2154" s="2" t="str">
        <x:v>EV002153</x:v>
      </x:c>
      <x:c r="B2154" s="2" t="str">
        <x:v>T20261008-2-2</x:v>
      </x:c>
      <x:c r="C2154" s="2" t="str">
        <x:v>ST070</x:v>
      </x:c>
      <x:c r="D2154" s="2" t="str">
        <x:v>12a9f1121533e9d2b6402c68cf852c16</x:v>
      </x:c>
      <x:c r="E2154" s="2" t="str">
        <x:v>CHECK_IN</x:v>
      </x:c>
      <x:c r="F2154" s="8" t="n">
        <x:v>46303.4815625</x:v>
      </x:c>
      <x:c r="G2154" s="8" t="n">
        <x:v>46303.481585648144</x:v>
      </x:c>
      <x:c r="H2154" s="2" t="str">
        <x:v>R2S3</x:v>
      </x:c>
      <x:c r="I2154" s="9" t="n">
        <x:v>25.284000000000002</x:v>
      </x:c>
      <x:c r="J2154" s="9" t="n">
        <x:v>51.504999999999995</x:v>
      </x:c>
      <x:c r="K2154" s="2" t="n">
        <x:v>8</x:v>
      </x:c>
      <x:c r="L2154" s="2" t="str">
        <x:v>Valid</x:v>
      </x:c>
      <x:c r="M2154" s="2" t="str">
        <x:v>QR</x:v>
      </x:c>
      <x:c r="N2154" s="2" t="n">
        <x:v>1</x:v>
      </x:c>
      <x:c r="O2154" s="2" t="str">
        <x:v>Accepted</x:v>
      </x:c>
      <x:c r="P2154" s="2" t="str">
        <x:v>S002</x:v>
      </x:c>
      <x:c r="Q2154" s="2" t="str">
        <x:v>DEV002</x:v>
      </x:c>
      <x:c r="R2154" s="2" t="n">
        <x:v>40</x:v>
      </x:c>
      <x:c r="S2154" s="2" t="str">
        <x:v>Online</x:v>
      </x:c>
      <x:c r="T2154" s="2" t="str">
        <x:v>Synced</x:v>
      </x:c>
    </x:row>
    <x:row r="2155" ht="21" customHeight="1">
      <x:c r="A2155" s="2" t="str">
        <x:v>EV002313</x:v>
      </x:c>
      <x:c r="B2155" s="2" t="str">
        <x:v>T20261008-2-3</x:v>
      </x:c>
      <x:c r="C2155" s="2" t="str">
        <x:v>ST110</x:v>
      </x:c>
      <x:c r="D2155" s="2" t="str">
        <x:v>4382c0cdcda89fb8cc0f5b9fc03b4c51</x:v>
      </x:c>
      <x:c r="E2155" s="2" t="str">
        <x:v>CHECK_IN</x:v>
      </x:c>
      <x:c r="F2155" s="8" t="n">
        <x:v>46303.4815625</x:v>
      </x:c>
      <x:c r="G2155" s="8" t="n">
        <x:v>46303.481585648144</x:v>
      </x:c>
      <x:c r="H2155" s="2" t="str">
        <x:v>R3S3</x:v>
      </x:c>
      <x:c r="I2155" s="9" t="n">
        <x:v>25.293000000000003</x:v>
      </x:c>
      <x:c r="J2155" s="9" t="n">
        <x:v>51.513</x:v>
      </x:c>
      <x:c r="K2155" s="2" t="n">
        <x:v>8</x:v>
      </x:c>
      <x:c r="L2155" s="2" t="str">
        <x:v>Valid</x:v>
      </x:c>
      <x:c r="M2155" s="2" t="str">
        <x:v>QR</x:v>
      </x:c>
      <x:c r="N2155" s="2" t="n">
        <x:v>1</x:v>
      </x:c>
      <x:c r="O2155" s="2" t="str">
        <x:v>Accepted</x:v>
      </x:c>
      <x:c r="P2155" s="2" t="str">
        <x:v>S003</x:v>
      </x:c>
      <x:c r="Q2155" s="2" t="str">
        <x:v>DEV003</x:v>
      </x:c>
      <x:c r="R2155" s="2" t="n">
        <x:v>40</x:v>
      </x:c>
      <x:c r="S2155" s="2" t="str">
        <x:v>Online</x:v>
      </x:c>
      <x:c r="T2155" s="2" t="str">
        <x:v>Synced</x:v>
      </x:c>
    </x:row>
    <x:row r="2156" ht="21" customHeight="1">
      <x:c r="A2156" s="2" t="str">
        <x:v>EV001976</x:v>
      </x:c>
      <x:c r="B2156" s="2" t="str">
        <x:v>T20261008-2-1</x:v>
      </x:c>
      <x:c r="C2156" s="2" t="str">
        <x:v>ST021</x:v>
      </x:c>
      <x:c r="D2156" s="2" t="str">
        <x:v>9b1608e5663d6da53cd805c8051dedd7</x:v>
      </x:c>
      <x:c r="E2156" s="2" t="str">
        <x:v>CHECK_OUT</x:v>
      </x:c>
      <x:c r="F2156" s="8" t="n">
        <x:v>46303.506250000006</x:v>
      </x:c>
      <x:c r="G2156" s="8" t="n">
        <x:v>46303.50627314815</x:v>
      </x:c>
      <x:c r="H2156" s="2" t="str">
        <x:v>SCH01</x:v>
      </x:c>
      <x:c r="I2156" s="9" t="n">
        <x:v>25.285</x:v>
      </x:c>
      <x:c r="J2156" s="9" t="n">
        <x:v>51.51</x:v>
      </x:c>
      <x:c r="K2156" s="2" t="n">
        <x:v>8</x:v>
      </x:c>
      <x:c r="L2156" s="2" t="str">
        <x:v>Valid</x:v>
      </x:c>
      <x:c r="M2156" s="2" t="str">
        <x:v>QR</x:v>
      </x:c>
      <x:c r="N2156" s="2" t="n">
        <x:v>1</x:v>
      </x:c>
      <x:c r="O2156" s="2" t="str">
        <x:v>Accepted</x:v>
      </x:c>
      <x:c r="P2156" s="2" t="str">
        <x:v>S001</x:v>
      </x:c>
      <x:c r="Q2156" s="2" t="str">
        <x:v>DEV001</x:v>
      </x:c>
      <x:c r="R2156" s="2" t="n">
        <x:v>41</x:v>
      </x:c>
      <x:c r="S2156" s="2" t="str">
        <x:v>Online</x:v>
      </x:c>
      <x:c r="T2156" s="2" t="str">
        <x:v>Synced</x:v>
      </x:c>
    </x:row>
    <x:row r="2157" ht="21" customHeight="1">
      <x:c r="A2157" s="2" t="str">
        <x:v>EV002136</x:v>
      </x:c>
      <x:c r="B2157" s="2" t="str">
        <x:v>T20261008-2-2</x:v>
      </x:c>
      <x:c r="C2157" s="2" t="str">
        <x:v>ST061</x:v>
      </x:c>
      <x:c r="D2157" s="2" t="str">
        <x:v>c547cb31f14853ae1f9f2436554d3271</x:v>
      </x:c>
      <x:c r="E2157" s="2" t="str">
        <x:v>CHECK_OUT</x:v>
      </x:c>
      <x:c r="F2157" s="8" t="n">
        <x:v>46303.506250000006</x:v>
      </x:c>
      <x:c r="G2157" s="8" t="n">
        <x:v>46303.50627314815</x:v>
      </x:c>
      <x:c r="H2157" s="2" t="str">
        <x:v>SCH01</x:v>
      </x:c>
      <x:c r="I2157" s="9" t="n">
        <x:v>25.285</x:v>
      </x:c>
      <x:c r="J2157" s="9" t="n">
        <x:v>51.51</x:v>
      </x:c>
      <x:c r="K2157" s="2" t="n">
        <x:v>8</x:v>
      </x:c>
      <x:c r="L2157" s="2" t="str">
        <x:v>Valid</x:v>
      </x:c>
      <x:c r="M2157" s="2" t="str">
        <x:v>QR</x:v>
      </x:c>
      <x:c r="N2157" s="2" t="n">
        <x:v>1</x:v>
      </x:c>
      <x:c r="O2157" s="2" t="str">
        <x:v>Accepted</x:v>
      </x:c>
      <x:c r="P2157" s="2" t="str">
        <x:v>S002</x:v>
      </x:c>
      <x:c r="Q2157" s="2" t="str">
        <x:v>DEV002</x:v>
      </x:c>
      <x:c r="R2157" s="2" t="n">
        <x:v>41</x:v>
      </x:c>
      <x:c r="S2157" s="2" t="str">
        <x:v>Online</x:v>
      </x:c>
      <x:c r="T2157" s="2" t="str">
        <x:v>Synced</x:v>
      </x:c>
    </x:row>
    <x:row r="2158" ht="21" customHeight="1">
      <x:c r="A2158" s="2" t="str">
        <x:v>EV002296</x:v>
      </x:c>
      <x:c r="B2158" s="2" t="str">
        <x:v>T20261008-2-3</x:v>
      </x:c>
      <x:c r="C2158" s="2" t="str">
        <x:v>ST101</x:v>
      </x:c>
      <x:c r="D2158" s="2" t="str">
        <x:v>9f8e180c63d3ff8d3e393db3573884a8</x:v>
      </x:c>
      <x:c r="E2158" s="2" t="str">
        <x:v>CHECK_OUT</x:v>
      </x:c>
      <x:c r="F2158" s="8" t="n">
        <x:v>46303.506250000006</x:v>
      </x:c>
      <x:c r="G2158" s="8" t="n">
        <x:v>46303.50627314815</x:v>
      </x:c>
      <x:c r="H2158" s="2" t="str">
        <x:v>SCH01</x:v>
      </x:c>
      <x:c r="I2158" s="9" t="n">
        <x:v>25.285</x:v>
      </x:c>
      <x:c r="J2158" s="9" t="n">
        <x:v>51.51</x:v>
      </x:c>
      <x:c r="K2158" s="2" t="n">
        <x:v>8</x:v>
      </x:c>
      <x:c r="L2158" s="2" t="str">
        <x:v>Valid</x:v>
      </x:c>
      <x:c r="M2158" s="2" t="str">
        <x:v>QR</x:v>
      </x:c>
      <x:c r="N2158" s="2" t="n">
        <x:v>1</x:v>
      </x:c>
      <x:c r="O2158" s="2" t="str">
        <x:v>Accepted</x:v>
      </x:c>
      <x:c r="P2158" s="2" t="str">
        <x:v>S003</x:v>
      </x:c>
      <x:c r="Q2158" s="2" t="str">
        <x:v>DEV003</x:v>
      </x:c>
      <x:c r="R2158" s="2" t="n">
        <x:v>41</x:v>
      </x:c>
      <x:c r="S2158" s="2" t="str">
        <x:v>Online</x:v>
      </x:c>
      <x:c r="T2158" s="2" t="str">
        <x:v>Synced</x:v>
      </x:c>
    </x:row>
    <x:row r="2159" ht="21" customHeight="1">
      <x:c r="A2159" s="2" t="str">
        <x:v>EV001978</x:v>
      </x:c>
      <x:c r="B2159" s="2" t="str">
        <x:v>T20261008-2-1</x:v>
      </x:c>
      <x:c r="C2159" s="2" t="str">
        <x:v>ST022</x:v>
      </x:c>
      <x:c r="D2159" s="2" t="str">
        <x:v>32e634064d0319251398d392c471332a</x:v>
      </x:c>
      <x:c r="E2159" s="2" t="str">
        <x:v>CHECK_OUT</x:v>
      </x:c>
      <x:c r="F2159" s="8" t="n">
        <x:v>46303.50628472223</x:v>
      </x:c>
      <x:c r="G2159" s="8" t="n">
        <x:v>46303.506307870375</x:v>
      </x:c>
      <x:c r="H2159" s="2" t="str">
        <x:v>SCH01</x:v>
      </x:c>
      <x:c r="I2159" s="9" t="n">
        <x:v>25.285</x:v>
      </x:c>
      <x:c r="J2159" s="9" t="n">
        <x:v>51.51</x:v>
      </x:c>
      <x:c r="K2159" s="2" t="n">
        <x:v>8</x:v>
      </x:c>
      <x:c r="L2159" s="2" t="str">
        <x:v>Valid</x:v>
      </x:c>
      <x:c r="M2159" s="2" t="str">
        <x:v>QR</x:v>
      </x:c>
      <x:c r="N2159" s="2" t="n">
        <x:v>1</x:v>
      </x:c>
      <x:c r="O2159" s="2" t="str">
        <x:v>Accepted</x:v>
      </x:c>
      <x:c r="P2159" s="2" t="str">
        <x:v>S001</x:v>
      </x:c>
      <x:c r="Q2159" s="2" t="str">
        <x:v>DEV001</x:v>
      </x:c>
      <x:c r="R2159" s="2" t="n">
        <x:v>42</x:v>
      </x:c>
      <x:c r="S2159" s="2" t="str">
        <x:v>Online</x:v>
      </x:c>
      <x:c r="T2159" s="2" t="str">
        <x:v>Synced</x:v>
      </x:c>
    </x:row>
    <x:row r="2160" ht="21" customHeight="1">
      <x:c r="A2160" s="2" t="str">
        <x:v>EV002138</x:v>
      </x:c>
      <x:c r="B2160" s="2" t="str">
        <x:v>T20261008-2-2</x:v>
      </x:c>
      <x:c r="C2160" s="2" t="str">
        <x:v>ST062</x:v>
      </x:c>
      <x:c r="D2160" s="2" t="str">
        <x:v>e0ee324a0d8893ba89d7c618ea194e36</x:v>
      </x:c>
      <x:c r="E2160" s="2" t="str">
        <x:v>CHECK_OUT</x:v>
      </x:c>
      <x:c r="F2160" s="8" t="n">
        <x:v>46303.50628472223</x:v>
      </x:c>
      <x:c r="G2160" s="8" t="n">
        <x:v>46303.506307870375</x:v>
      </x:c>
      <x:c r="H2160" s="2" t="str">
        <x:v>SCH01</x:v>
      </x:c>
      <x:c r="I2160" s="9" t="n">
        <x:v>25.285</x:v>
      </x:c>
      <x:c r="J2160" s="9" t="n">
        <x:v>51.51</x:v>
      </x:c>
      <x:c r="K2160" s="2" t="n">
        <x:v>8</x:v>
      </x:c>
      <x:c r="L2160" s="2" t="str">
        <x:v>Valid</x:v>
      </x:c>
      <x:c r="M2160" s="2" t="str">
        <x:v>QR</x:v>
      </x:c>
      <x:c r="N2160" s="2" t="n">
        <x:v>1</x:v>
      </x:c>
      <x:c r="O2160" s="2" t="str">
        <x:v>Accepted</x:v>
      </x:c>
      <x:c r="P2160" s="2" t="str">
        <x:v>S002</x:v>
      </x:c>
      <x:c r="Q2160" s="2" t="str">
        <x:v>DEV002</x:v>
      </x:c>
      <x:c r="R2160" s="2" t="n">
        <x:v>42</x:v>
      </x:c>
      <x:c r="S2160" s="2" t="str">
        <x:v>Online</x:v>
      </x:c>
      <x:c r="T2160" s="2" t="str">
        <x:v>Synced</x:v>
      </x:c>
    </x:row>
    <x:row r="2161" ht="21" customHeight="1">
      <x:c r="A2161" s="2" t="str">
        <x:v>EV002298</x:v>
      </x:c>
      <x:c r="B2161" s="2" t="str">
        <x:v>T20261008-2-3</x:v>
      </x:c>
      <x:c r="C2161" s="2" t="str">
        <x:v>ST102</x:v>
      </x:c>
      <x:c r="D2161" s="2" t="str">
        <x:v>6a90d57a6e4b5aedbdcdc5a29cf018e9</x:v>
      </x:c>
      <x:c r="E2161" s="2" t="str">
        <x:v>CHECK_OUT</x:v>
      </x:c>
      <x:c r="F2161" s="8" t="n">
        <x:v>46303.50628472223</x:v>
      </x:c>
      <x:c r="G2161" s="8" t="n">
        <x:v>46303.506307870375</x:v>
      </x:c>
      <x:c r="H2161" s="2" t="str">
        <x:v>SCH01</x:v>
      </x:c>
      <x:c r="I2161" s="9" t="n">
        <x:v>25.285</x:v>
      </x:c>
      <x:c r="J2161" s="9" t="n">
        <x:v>51.51</x:v>
      </x:c>
      <x:c r="K2161" s="2" t="n">
        <x:v>8</x:v>
      </x:c>
      <x:c r="L2161" s="2" t="str">
        <x:v>Valid</x:v>
      </x:c>
      <x:c r="M2161" s="2" t="str">
        <x:v>QR</x:v>
      </x:c>
      <x:c r="N2161" s="2" t="n">
        <x:v>1</x:v>
      </x:c>
      <x:c r="O2161" s="2" t="str">
        <x:v>Accepted</x:v>
      </x:c>
      <x:c r="P2161" s="2" t="str">
        <x:v>S003</x:v>
      </x:c>
      <x:c r="Q2161" s="2" t="str">
        <x:v>DEV003</x:v>
      </x:c>
      <x:c r="R2161" s="2" t="n">
        <x:v>42</x:v>
      </x:c>
      <x:c r="S2161" s="2" t="str">
        <x:v>Online</x:v>
      </x:c>
      <x:c r="T2161" s="2" t="str">
        <x:v>Synced</x:v>
      </x:c>
    </x:row>
    <x:row r="2162" ht="21" customHeight="1">
      <x:c r="A2162" s="2" t="str">
        <x:v>EV001980</x:v>
      </x:c>
      <x:c r="B2162" s="2" t="str">
        <x:v>T20261008-2-1</x:v>
      </x:c>
      <x:c r="C2162" s="2" t="str">
        <x:v>ST023</x:v>
      </x:c>
      <x:c r="D2162" s="2" t="str">
        <x:v>1836074fce688580737a08d14a26fa79</x:v>
      </x:c>
      <x:c r="E2162" s="2" t="str">
        <x:v>CHECK_OUT</x:v>
      </x:c>
      <x:c r="F2162" s="8" t="n">
        <x:v>46303.506319444445</x:v>
      </x:c>
      <x:c r="G2162" s="8" t="n">
        <x:v>46303.50634259259</x:v>
      </x:c>
      <x:c r="H2162" s="2" t="str">
        <x:v>SCH01</x:v>
      </x:c>
      <x:c r="I2162" s="9" t="n">
        <x:v>25.285</x:v>
      </x:c>
      <x:c r="J2162" s="9" t="n">
        <x:v>51.51</x:v>
      </x:c>
      <x:c r="K2162" s="2" t="n">
        <x:v>8</x:v>
      </x:c>
      <x:c r="L2162" s="2" t="str">
        <x:v>Valid</x:v>
      </x:c>
      <x:c r="M2162" s="2" t="str">
        <x:v>QR</x:v>
      </x:c>
      <x:c r="N2162" s="2" t="n">
        <x:v>1</x:v>
      </x:c>
      <x:c r="O2162" s="2" t="str">
        <x:v>Accepted</x:v>
      </x:c>
      <x:c r="P2162" s="2" t="str">
        <x:v>S001</x:v>
      </x:c>
      <x:c r="Q2162" s="2" t="str">
        <x:v>DEV001</x:v>
      </x:c>
      <x:c r="R2162" s="2" t="n">
        <x:v>43</x:v>
      </x:c>
      <x:c r="S2162" s="2" t="str">
        <x:v>Online</x:v>
      </x:c>
      <x:c r="T2162" s="2" t="str">
        <x:v>Synced</x:v>
      </x:c>
    </x:row>
    <x:row r="2163" ht="21" customHeight="1">
      <x:c r="A2163" s="2" t="str">
        <x:v>EV002140</x:v>
      </x:c>
      <x:c r="B2163" s="2" t="str">
        <x:v>T20261008-2-2</x:v>
      </x:c>
      <x:c r="C2163" s="2" t="str">
        <x:v>ST063</x:v>
      </x:c>
      <x:c r="D2163" s="2" t="str">
        <x:v>46a3e8e97cbe04af0173a75d9cdbcebf</x:v>
      </x:c>
      <x:c r="E2163" s="2" t="str">
        <x:v>CHECK_OUT</x:v>
      </x:c>
      <x:c r="F2163" s="8" t="n">
        <x:v>46303.506319444445</x:v>
      </x:c>
      <x:c r="G2163" s="8" t="n">
        <x:v>46303.50634259259</x:v>
      </x:c>
      <x:c r="H2163" s="2" t="str">
        <x:v>SCH01</x:v>
      </x:c>
      <x:c r="I2163" s="9" t="n">
        <x:v>25.285</x:v>
      </x:c>
      <x:c r="J2163" s="9" t="n">
        <x:v>51.51</x:v>
      </x:c>
      <x:c r="K2163" s="2" t="n">
        <x:v>8</x:v>
      </x:c>
      <x:c r="L2163" s="2" t="str">
        <x:v>Valid</x:v>
      </x:c>
      <x:c r="M2163" s="2" t="str">
        <x:v>QR</x:v>
      </x:c>
      <x:c r="N2163" s="2" t="n">
        <x:v>1</x:v>
      </x:c>
      <x:c r="O2163" s="2" t="str">
        <x:v>Accepted</x:v>
      </x:c>
      <x:c r="P2163" s="2" t="str">
        <x:v>S002</x:v>
      </x:c>
      <x:c r="Q2163" s="2" t="str">
        <x:v>DEV002</x:v>
      </x:c>
      <x:c r="R2163" s="2" t="n">
        <x:v>43</x:v>
      </x:c>
      <x:c r="S2163" s="2" t="str">
        <x:v>Online</x:v>
      </x:c>
      <x:c r="T2163" s="2" t="str">
        <x:v>Synced</x:v>
      </x:c>
    </x:row>
    <x:row r="2164" ht="21" customHeight="1">
      <x:c r="A2164" s="2" t="str">
        <x:v>EV002300</x:v>
      </x:c>
      <x:c r="B2164" s="2" t="str">
        <x:v>T20261008-2-3</x:v>
      </x:c>
      <x:c r="C2164" s="2" t="str">
        <x:v>ST103</x:v>
      </x:c>
      <x:c r="D2164" s="2" t="str">
        <x:v>5982cfca835e14d82ed8b6562c1a172d</x:v>
      </x:c>
      <x:c r="E2164" s="2" t="str">
        <x:v>CHECK_OUT</x:v>
      </x:c>
      <x:c r="F2164" s="8" t="n">
        <x:v>46303.506319444445</x:v>
      </x:c>
      <x:c r="G2164" s="8" t="n">
        <x:v>46303.50634259259</x:v>
      </x:c>
      <x:c r="H2164" s="2" t="str">
        <x:v>SCH01</x:v>
      </x:c>
      <x:c r="I2164" s="9" t="n">
        <x:v>25.285</x:v>
      </x:c>
      <x:c r="J2164" s="9" t="n">
        <x:v>51.51</x:v>
      </x:c>
      <x:c r="K2164" s="2" t="n">
        <x:v>8</x:v>
      </x:c>
      <x:c r="L2164" s="2" t="str">
        <x:v>Valid</x:v>
      </x:c>
      <x:c r="M2164" s="2" t="str">
        <x:v>QR</x:v>
      </x:c>
      <x:c r="N2164" s="2" t="n">
        <x:v>1</x:v>
      </x:c>
      <x:c r="O2164" s="2" t="str">
        <x:v>Accepted</x:v>
      </x:c>
      <x:c r="P2164" s="2" t="str">
        <x:v>S003</x:v>
      </x:c>
      <x:c r="Q2164" s="2" t="str">
        <x:v>DEV003</x:v>
      </x:c>
      <x:c r="R2164" s="2" t="n">
        <x:v>43</x:v>
      </x:c>
      <x:c r="S2164" s="2" t="str">
        <x:v>Online</x:v>
      </x:c>
      <x:c r="T2164" s="2" t="str">
        <x:v>Synced</x:v>
      </x:c>
    </x:row>
    <x:row r="2165" ht="21" customHeight="1">
      <x:c r="A2165" s="2" t="str">
        <x:v>EV001982</x:v>
      </x:c>
      <x:c r="B2165" s="2" t="str">
        <x:v>T20261008-2-1</x:v>
      </x:c>
      <x:c r="C2165" s="2" t="str">
        <x:v>ST024</x:v>
      </x:c>
      <x:c r="D2165" s="2" t="str">
        <x:v>df785f1577b8ee7f71835020d03a12a6</x:v>
      </x:c>
      <x:c r="E2165" s="2" t="str">
        <x:v>CHECK_OUT</x:v>
      </x:c>
      <x:c r="F2165" s="8" t="n">
        <x:v>46303.50635416667</x:v>
      </x:c>
      <x:c r="G2165" s="8" t="n">
        <x:v>46303.506377314814</x:v>
      </x:c>
      <x:c r="H2165" s="2" t="str">
        <x:v>SCH01</x:v>
      </x:c>
      <x:c r="I2165" s="9" t="n">
        <x:v>25.285</x:v>
      </x:c>
      <x:c r="J2165" s="9" t="n">
        <x:v>51.51</x:v>
      </x:c>
      <x:c r="K2165" s="2" t="n">
        <x:v>8</x:v>
      </x:c>
      <x:c r="L2165" s="2" t="str">
        <x:v>Valid</x:v>
      </x:c>
      <x:c r="M2165" s="2" t="str">
        <x:v>QR</x:v>
      </x:c>
      <x:c r="N2165" s="2" t="n">
        <x:v>1</x:v>
      </x:c>
      <x:c r="O2165" s="2" t="str">
        <x:v>Accepted</x:v>
      </x:c>
      <x:c r="P2165" s="2" t="str">
        <x:v>S001</x:v>
      </x:c>
      <x:c r="Q2165" s="2" t="str">
        <x:v>DEV001</x:v>
      </x:c>
      <x:c r="R2165" s="2" t="n">
        <x:v>44</x:v>
      </x:c>
      <x:c r="S2165" s="2" t="str">
        <x:v>Online</x:v>
      </x:c>
      <x:c r="T2165" s="2" t="str">
        <x:v>Synced</x:v>
      </x:c>
    </x:row>
    <x:row r="2166" ht="21" customHeight="1">
      <x:c r="A2166" s="2" t="str">
        <x:v>EV002142</x:v>
      </x:c>
      <x:c r="B2166" s="2" t="str">
        <x:v>T20261008-2-2</x:v>
      </x:c>
      <x:c r="C2166" s="2" t="str">
        <x:v>ST064</x:v>
      </x:c>
      <x:c r="D2166" s="2" t="str">
        <x:v>80debd99a6cfe1ca0800304796fd69ff</x:v>
      </x:c>
      <x:c r="E2166" s="2" t="str">
        <x:v>CHECK_OUT</x:v>
      </x:c>
      <x:c r="F2166" s="8" t="n">
        <x:v>46303.50635416667</x:v>
      </x:c>
      <x:c r="G2166" s="8" t="n">
        <x:v>46303.506377314814</x:v>
      </x:c>
      <x:c r="H2166" s="2" t="str">
        <x:v>SCH01</x:v>
      </x:c>
      <x:c r="I2166" s="9" t="n">
        <x:v>25.285</x:v>
      </x:c>
      <x:c r="J2166" s="9" t="n">
        <x:v>51.51</x:v>
      </x:c>
      <x:c r="K2166" s="2" t="n">
        <x:v>8</x:v>
      </x:c>
      <x:c r="L2166" s="2" t="str">
        <x:v>Valid</x:v>
      </x:c>
      <x:c r="M2166" s="2" t="str">
        <x:v>QR</x:v>
      </x:c>
      <x:c r="N2166" s="2" t="n">
        <x:v>1</x:v>
      </x:c>
      <x:c r="O2166" s="2" t="str">
        <x:v>Accepted</x:v>
      </x:c>
      <x:c r="P2166" s="2" t="str">
        <x:v>S002</x:v>
      </x:c>
      <x:c r="Q2166" s="2" t="str">
        <x:v>DEV002</x:v>
      </x:c>
      <x:c r="R2166" s="2" t="n">
        <x:v>44</x:v>
      </x:c>
      <x:c r="S2166" s="2" t="str">
        <x:v>Online</x:v>
      </x:c>
      <x:c r="T2166" s="2" t="str">
        <x:v>Synced</x:v>
      </x:c>
    </x:row>
    <x:row r="2167" ht="21" customHeight="1">
      <x:c r="A2167" s="2" t="str">
        <x:v>EV002302</x:v>
      </x:c>
      <x:c r="B2167" s="2" t="str">
        <x:v>T20261008-2-3</x:v>
      </x:c>
      <x:c r="C2167" s="2" t="str">
        <x:v>ST104</x:v>
      </x:c>
      <x:c r="D2167" s="2" t="str">
        <x:v>12167381f9b78201d830c40ef6208ce4</x:v>
      </x:c>
      <x:c r="E2167" s="2" t="str">
        <x:v>CHECK_OUT</x:v>
      </x:c>
      <x:c r="F2167" s="8" t="n">
        <x:v>46303.50635416667</x:v>
      </x:c>
      <x:c r="G2167" s="8" t="n">
        <x:v>46303.506377314814</x:v>
      </x:c>
      <x:c r="H2167" s="2" t="str">
        <x:v>SCH01</x:v>
      </x:c>
      <x:c r="I2167" s="9" t="n">
        <x:v>25.285</x:v>
      </x:c>
      <x:c r="J2167" s="9" t="n">
        <x:v>51.51</x:v>
      </x:c>
      <x:c r="K2167" s="2" t="n">
        <x:v>8</x:v>
      </x:c>
      <x:c r="L2167" s="2" t="str">
        <x:v>Valid</x:v>
      </x:c>
      <x:c r="M2167" s="2" t="str">
        <x:v>QR</x:v>
      </x:c>
      <x:c r="N2167" s="2" t="n">
        <x:v>1</x:v>
      </x:c>
      <x:c r="O2167" s="2" t="str">
        <x:v>Accepted</x:v>
      </x:c>
      <x:c r="P2167" s="2" t="str">
        <x:v>S003</x:v>
      </x:c>
      <x:c r="Q2167" s="2" t="str">
        <x:v>DEV003</x:v>
      </x:c>
      <x:c r="R2167" s="2" t="n">
        <x:v>44</x:v>
      </x:c>
      <x:c r="S2167" s="2" t="str">
        <x:v>Online</x:v>
      </x:c>
      <x:c r="T2167" s="2" t="str">
        <x:v>Synced</x:v>
      </x:c>
    </x:row>
    <x:row r="2168" ht="21" customHeight="1">
      <x:c r="A2168" s="2" t="str">
        <x:v>EV001984</x:v>
      </x:c>
      <x:c r="B2168" s="2" t="str">
        <x:v>T20261008-2-1</x:v>
      </x:c>
      <x:c r="C2168" s="2" t="str">
        <x:v>ST025</x:v>
      </x:c>
      <x:c r="D2168" s="2" t="str">
        <x:v>caea48c43f4ccfa85999e7cb546cd774</x:v>
      </x:c>
      <x:c r="E2168" s="2" t="str">
        <x:v>CHECK_OUT</x:v>
      </x:c>
      <x:c r="F2168" s="8" t="n">
        <x:v>46303.50638888889</x:v>
      </x:c>
      <x:c r="G2168" s="8" t="n">
        <x:v>46303.50641203704</x:v>
      </x:c>
      <x:c r="H2168" s="2" t="str">
        <x:v>SCH01</x:v>
      </x:c>
      <x:c r="I2168" s="9" t="n">
        <x:v>25.285</x:v>
      </x:c>
      <x:c r="J2168" s="9" t="n">
        <x:v>51.51</x:v>
      </x:c>
      <x:c r="K2168" s="2" t="n">
        <x:v>8</x:v>
      </x:c>
      <x:c r="L2168" s="2" t="str">
        <x:v>Valid</x:v>
      </x:c>
      <x:c r="M2168" s="2" t="str">
        <x:v>QR</x:v>
      </x:c>
      <x:c r="N2168" s="2" t="n">
        <x:v>1</x:v>
      </x:c>
      <x:c r="O2168" s="2" t="str">
        <x:v>Accepted</x:v>
      </x:c>
      <x:c r="P2168" s="2" t="str">
        <x:v>S001</x:v>
      </x:c>
      <x:c r="Q2168" s="2" t="str">
        <x:v>DEV001</x:v>
      </x:c>
      <x:c r="R2168" s="2" t="n">
        <x:v>45</x:v>
      </x:c>
      <x:c r="S2168" s="2" t="str">
        <x:v>Online</x:v>
      </x:c>
      <x:c r="T2168" s="2" t="str">
        <x:v>Synced</x:v>
      </x:c>
    </x:row>
    <x:row r="2169" ht="21" customHeight="1">
      <x:c r="A2169" s="2" t="str">
        <x:v>EV002144</x:v>
      </x:c>
      <x:c r="B2169" s="2" t="str">
        <x:v>T20261008-2-2</x:v>
      </x:c>
      <x:c r="C2169" s="2" t="str">
        <x:v>ST065</x:v>
      </x:c>
      <x:c r="D2169" s="2" t="str">
        <x:v>6b379c82348acc8be3e0d247197a20bf</x:v>
      </x:c>
      <x:c r="E2169" s="2" t="str">
        <x:v>CHECK_OUT</x:v>
      </x:c>
      <x:c r="F2169" s="8" t="n">
        <x:v>46303.50638888889</x:v>
      </x:c>
      <x:c r="G2169" s="8" t="n">
        <x:v>46303.50641203704</x:v>
      </x:c>
      <x:c r="H2169" s="2" t="str">
        <x:v>SCH01</x:v>
      </x:c>
      <x:c r="I2169" s="9" t="n">
        <x:v>25.285</x:v>
      </x:c>
      <x:c r="J2169" s="9" t="n">
        <x:v>51.51</x:v>
      </x:c>
      <x:c r="K2169" s="2" t="n">
        <x:v>8</x:v>
      </x:c>
      <x:c r="L2169" s="2" t="str">
        <x:v>Valid</x:v>
      </x:c>
      <x:c r="M2169" s="2" t="str">
        <x:v>QR</x:v>
      </x:c>
      <x:c r="N2169" s="2" t="n">
        <x:v>1</x:v>
      </x:c>
      <x:c r="O2169" s="2" t="str">
        <x:v>Accepted</x:v>
      </x:c>
      <x:c r="P2169" s="2" t="str">
        <x:v>S002</x:v>
      </x:c>
      <x:c r="Q2169" s="2" t="str">
        <x:v>DEV002</x:v>
      </x:c>
      <x:c r="R2169" s="2" t="n">
        <x:v>45</x:v>
      </x:c>
      <x:c r="S2169" s="2" t="str">
        <x:v>Online</x:v>
      </x:c>
      <x:c r="T2169" s="2" t="str">
        <x:v>Synced</x:v>
      </x:c>
    </x:row>
    <x:row r="2170" ht="21" customHeight="1">
      <x:c r="A2170" s="2" t="str">
        <x:v>EV002304</x:v>
      </x:c>
      <x:c r="B2170" s="2" t="str">
        <x:v>T20261008-2-3</x:v>
      </x:c>
      <x:c r="C2170" s="2" t="str">
        <x:v>ST105</x:v>
      </x:c>
      <x:c r="D2170" s="2" t="str">
        <x:v>bbd3ba75eaabf5ca3acef3823a75d885</x:v>
      </x:c>
      <x:c r="E2170" s="2" t="str">
        <x:v>CHECK_OUT</x:v>
      </x:c>
      <x:c r="F2170" s="8" t="n">
        <x:v>46303.50638888889</x:v>
      </x:c>
      <x:c r="G2170" s="8" t="n">
        <x:v>46303.50641203704</x:v>
      </x:c>
      <x:c r="H2170" s="2" t="str">
        <x:v>SCH01</x:v>
      </x:c>
      <x:c r="I2170" s="9" t="n">
        <x:v>25.285</x:v>
      </x:c>
      <x:c r="J2170" s="9" t="n">
        <x:v>51.51</x:v>
      </x:c>
      <x:c r="K2170" s="2" t="n">
        <x:v>8</x:v>
      </x:c>
      <x:c r="L2170" s="2" t="str">
        <x:v>Valid</x:v>
      </x:c>
      <x:c r="M2170" s="2" t="str">
        <x:v>QR</x:v>
      </x:c>
      <x:c r="N2170" s="2" t="n">
        <x:v>1</x:v>
      </x:c>
      <x:c r="O2170" s="2" t="str">
        <x:v>Accepted</x:v>
      </x:c>
      <x:c r="P2170" s="2" t="str">
        <x:v>S003</x:v>
      </x:c>
      <x:c r="Q2170" s="2" t="str">
        <x:v>DEV003</x:v>
      </x:c>
      <x:c r="R2170" s="2" t="n">
        <x:v>45</x:v>
      </x:c>
      <x:c r="S2170" s="2" t="str">
        <x:v>Online</x:v>
      </x:c>
      <x:c r="T2170" s="2" t="str">
        <x:v>Synced</x:v>
      </x:c>
    </x:row>
    <x:row r="2171" ht="21" customHeight="1">
      <x:c r="A2171" s="2" t="str">
        <x:v>EV001986</x:v>
      </x:c>
      <x:c r="B2171" s="2" t="str">
        <x:v>T20261008-2-1</x:v>
      </x:c>
      <x:c r="C2171" s="2" t="str">
        <x:v>ST026</x:v>
      </x:c>
      <x:c r="D2171" s="2" t="str">
        <x:v>56aea196eabcf09e1199afbd5e8907b0</x:v>
      </x:c>
      <x:c r="E2171" s="2" t="str">
        <x:v>CHECK_OUT</x:v>
      </x:c>
      <x:c r="F2171" s="8" t="n">
        <x:v>46303.506423611114</x:v>
      </x:c>
      <x:c r="G2171" s="8" t="n">
        <x:v>46303.50644675926</x:v>
      </x:c>
      <x:c r="H2171" s="2" t="str">
        <x:v>SCH01</x:v>
      </x:c>
      <x:c r="I2171" s="9" t="n">
        <x:v>25.285</x:v>
      </x:c>
      <x:c r="J2171" s="9" t="n">
        <x:v>51.51</x:v>
      </x:c>
      <x:c r="K2171" s="2" t="n">
        <x:v>8</x:v>
      </x:c>
      <x:c r="L2171" s="2" t="str">
        <x:v>Valid</x:v>
      </x:c>
      <x:c r="M2171" s="2" t="str">
        <x:v>QR</x:v>
      </x:c>
      <x:c r="N2171" s="2" t="n">
        <x:v>1</x:v>
      </x:c>
      <x:c r="O2171" s="2" t="str">
        <x:v>Accepted</x:v>
      </x:c>
      <x:c r="P2171" s="2" t="str">
        <x:v>S001</x:v>
      </x:c>
      <x:c r="Q2171" s="2" t="str">
        <x:v>DEV001</x:v>
      </x:c>
      <x:c r="R2171" s="2" t="n">
        <x:v>46</x:v>
      </x:c>
      <x:c r="S2171" s="2" t="str">
        <x:v>Online</x:v>
      </x:c>
      <x:c r="T2171" s="2" t="str">
        <x:v>Synced</x:v>
      </x:c>
    </x:row>
    <x:row r="2172" ht="21" customHeight="1">
      <x:c r="A2172" s="2" t="str">
        <x:v>EV002146</x:v>
      </x:c>
      <x:c r="B2172" s="2" t="str">
        <x:v>T20261008-2-2</x:v>
      </x:c>
      <x:c r="C2172" s="2" t="str">
        <x:v>ST066</x:v>
      </x:c>
      <x:c r="D2172" s="2" t="str">
        <x:v>f1ae8019085f4d0a77552e53fdc22aa7</x:v>
      </x:c>
      <x:c r="E2172" s="2" t="str">
        <x:v>CHECK_OUT</x:v>
      </x:c>
      <x:c r="F2172" s="8" t="n">
        <x:v>46303.506423611114</x:v>
      </x:c>
      <x:c r="G2172" s="8" t="n">
        <x:v>46303.50644675926</x:v>
      </x:c>
      <x:c r="H2172" s="2" t="str">
        <x:v>SCH01</x:v>
      </x:c>
      <x:c r="I2172" s="9" t="n">
        <x:v>25.285</x:v>
      </x:c>
      <x:c r="J2172" s="9" t="n">
        <x:v>51.51</x:v>
      </x:c>
      <x:c r="K2172" s="2" t="n">
        <x:v>8</x:v>
      </x:c>
      <x:c r="L2172" s="2" t="str">
        <x:v>Valid</x:v>
      </x:c>
      <x:c r="M2172" s="2" t="str">
        <x:v>QR</x:v>
      </x:c>
      <x:c r="N2172" s="2" t="n">
        <x:v>1</x:v>
      </x:c>
      <x:c r="O2172" s="2" t="str">
        <x:v>Accepted</x:v>
      </x:c>
      <x:c r="P2172" s="2" t="str">
        <x:v>S002</x:v>
      </x:c>
      <x:c r="Q2172" s="2" t="str">
        <x:v>DEV002</x:v>
      </x:c>
      <x:c r="R2172" s="2" t="n">
        <x:v>46</x:v>
      </x:c>
      <x:c r="S2172" s="2" t="str">
        <x:v>Online</x:v>
      </x:c>
      <x:c r="T2172" s="2" t="str">
        <x:v>Synced</x:v>
      </x:c>
    </x:row>
    <x:row r="2173" ht="21" customHeight="1">
      <x:c r="A2173" s="2" t="str">
        <x:v>EV002306</x:v>
      </x:c>
      <x:c r="B2173" s="2" t="str">
        <x:v>T20261008-2-3</x:v>
      </x:c>
      <x:c r="C2173" s="2" t="str">
        <x:v>ST106</x:v>
      </x:c>
      <x:c r="D2173" s="2" t="str">
        <x:v>9bd191644f26d4fc266418c96f36f10b</x:v>
      </x:c>
      <x:c r="E2173" s="2" t="str">
        <x:v>CHECK_OUT</x:v>
      </x:c>
      <x:c r="F2173" s="8" t="n">
        <x:v>46303.506423611114</x:v>
      </x:c>
      <x:c r="G2173" s="8" t="n">
        <x:v>46303.50644675926</x:v>
      </x:c>
      <x:c r="H2173" s="2" t="str">
        <x:v>SCH01</x:v>
      </x:c>
      <x:c r="I2173" s="9" t="n">
        <x:v>25.285</x:v>
      </x:c>
      <x:c r="J2173" s="9" t="n">
        <x:v>51.51</x:v>
      </x:c>
      <x:c r="K2173" s="2" t="n">
        <x:v>8</x:v>
      </x:c>
      <x:c r="L2173" s="2" t="str">
        <x:v>Valid</x:v>
      </x:c>
      <x:c r="M2173" s="2" t="str">
        <x:v>QR</x:v>
      </x:c>
      <x:c r="N2173" s="2" t="n">
        <x:v>1</x:v>
      </x:c>
      <x:c r="O2173" s="2" t="str">
        <x:v>Accepted</x:v>
      </x:c>
      <x:c r="P2173" s="2" t="str">
        <x:v>S003</x:v>
      </x:c>
      <x:c r="Q2173" s="2" t="str">
        <x:v>DEV003</x:v>
      </x:c>
      <x:c r="R2173" s="2" t="n">
        <x:v>46</x:v>
      </x:c>
      <x:c r="S2173" s="2" t="str">
        <x:v>Online</x:v>
      </x:c>
      <x:c r="T2173" s="2" t="str">
        <x:v>Synced</x:v>
      </x:c>
    </x:row>
    <x:row r="2174" ht="21" customHeight="1">
      <x:c r="A2174" s="2" t="str">
        <x:v>EV001988</x:v>
      </x:c>
      <x:c r="B2174" s="2" t="str">
        <x:v>T20261008-2-1</x:v>
      </x:c>
      <x:c r="C2174" s="2" t="str">
        <x:v>ST027</x:v>
      </x:c>
      <x:c r="D2174" s="2" t="str">
        <x:v>87868c08c06226359ca5121a9563bb63</x:v>
      </x:c>
      <x:c r="E2174" s="2" t="str">
        <x:v>CHECK_OUT</x:v>
      </x:c>
      <x:c r="F2174" s="8" t="n">
        <x:v>46303.50645833334</x:v>
      </x:c>
      <x:c r="G2174" s="8" t="n">
        <x:v>46303.50648148148</x:v>
      </x:c>
      <x:c r="H2174" s="2" t="str">
        <x:v>SCH01</x:v>
      </x:c>
      <x:c r="I2174" s="9" t="n">
        <x:v>25.285</x:v>
      </x:c>
      <x:c r="J2174" s="9" t="n">
        <x:v>51.51</x:v>
      </x:c>
      <x:c r="K2174" s="2" t="n">
        <x:v>8</x:v>
      </x:c>
      <x:c r="L2174" s="2" t="str">
        <x:v>Valid</x:v>
      </x:c>
      <x:c r="M2174" s="2" t="str">
        <x:v>QR</x:v>
      </x:c>
      <x:c r="N2174" s="2" t="n">
        <x:v>1</x:v>
      </x:c>
      <x:c r="O2174" s="2" t="str">
        <x:v>Accepted</x:v>
      </x:c>
      <x:c r="P2174" s="2" t="str">
        <x:v>S001</x:v>
      </x:c>
      <x:c r="Q2174" s="2" t="str">
        <x:v>DEV001</x:v>
      </x:c>
      <x:c r="R2174" s="2" t="n">
        <x:v>47</x:v>
      </x:c>
      <x:c r="S2174" s="2" t="str">
        <x:v>Online</x:v>
      </x:c>
      <x:c r="T2174" s="2" t="str">
        <x:v>Synced</x:v>
      </x:c>
    </x:row>
    <x:row r="2175" ht="21" customHeight="1">
      <x:c r="A2175" s="2" t="str">
        <x:v>EV002148</x:v>
      </x:c>
      <x:c r="B2175" s="2" t="str">
        <x:v>T20261008-2-2</x:v>
      </x:c>
      <x:c r="C2175" s="2" t="str">
        <x:v>ST067</x:v>
      </x:c>
      <x:c r="D2175" s="2" t="str">
        <x:v>66c3e7b11abae76912fea37c6c7ce00c</x:v>
      </x:c>
      <x:c r="E2175" s="2" t="str">
        <x:v>CHECK_OUT</x:v>
      </x:c>
      <x:c r="F2175" s="8" t="n">
        <x:v>46303.50645833334</x:v>
      </x:c>
      <x:c r="G2175" s="8" t="n">
        <x:v>46303.50648148148</x:v>
      </x:c>
      <x:c r="H2175" s="2" t="str">
        <x:v>SCH01</x:v>
      </x:c>
      <x:c r="I2175" s="9" t="n">
        <x:v>25.285</x:v>
      </x:c>
      <x:c r="J2175" s="9" t="n">
        <x:v>51.51</x:v>
      </x:c>
      <x:c r="K2175" s="2" t="n">
        <x:v>8</x:v>
      </x:c>
      <x:c r="L2175" s="2" t="str">
        <x:v>Valid</x:v>
      </x:c>
      <x:c r="M2175" s="2" t="str">
        <x:v>QR</x:v>
      </x:c>
      <x:c r="N2175" s="2" t="n">
        <x:v>1</x:v>
      </x:c>
      <x:c r="O2175" s="2" t="str">
        <x:v>Accepted</x:v>
      </x:c>
      <x:c r="P2175" s="2" t="str">
        <x:v>S002</x:v>
      </x:c>
      <x:c r="Q2175" s="2" t="str">
        <x:v>DEV002</x:v>
      </x:c>
      <x:c r="R2175" s="2" t="n">
        <x:v>47</x:v>
      </x:c>
      <x:c r="S2175" s="2" t="str">
        <x:v>Online</x:v>
      </x:c>
      <x:c r="T2175" s="2" t="str">
        <x:v>Synced</x:v>
      </x:c>
    </x:row>
    <x:row r="2176" ht="21" customHeight="1">
      <x:c r="A2176" s="2" t="str">
        <x:v>EV002308</x:v>
      </x:c>
      <x:c r="B2176" s="2" t="str">
        <x:v>T20261008-2-3</x:v>
      </x:c>
      <x:c r="C2176" s="2" t="str">
        <x:v>ST107</x:v>
      </x:c>
      <x:c r="D2176" s="2" t="str">
        <x:v>4a2bb35840a3b4fc7e804e2d710c14f4</x:v>
      </x:c>
      <x:c r="E2176" s="2" t="str">
        <x:v>CHECK_OUT</x:v>
      </x:c>
      <x:c r="F2176" s="8" t="n">
        <x:v>46303.50645833334</x:v>
      </x:c>
      <x:c r="G2176" s="8" t="n">
        <x:v>46303.50648148148</x:v>
      </x:c>
      <x:c r="H2176" s="2" t="str">
        <x:v>SCH01</x:v>
      </x:c>
      <x:c r="I2176" s="9" t="n">
        <x:v>25.285</x:v>
      </x:c>
      <x:c r="J2176" s="9" t="n">
        <x:v>51.51</x:v>
      </x:c>
      <x:c r="K2176" s="2" t="n">
        <x:v>8</x:v>
      </x:c>
      <x:c r="L2176" s="2" t="str">
        <x:v>Valid</x:v>
      </x:c>
      <x:c r="M2176" s="2" t="str">
        <x:v>QR</x:v>
      </x:c>
      <x:c r="N2176" s="2" t="n">
        <x:v>1</x:v>
      </x:c>
      <x:c r="O2176" s="2" t="str">
        <x:v>Accepted</x:v>
      </x:c>
      <x:c r="P2176" s="2" t="str">
        <x:v>S003</x:v>
      </x:c>
      <x:c r="Q2176" s="2" t="str">
        <x:v>DEV003</x:v>
      </x:c>
      <x:c r="R2176" s="2" t="n">
        <x:v>47</x:v>
      </x:c>
      <x:c r="S2176" s="2" t="str">
        <x:v>Online</x:v>
      </x:c>
      <x:c r="T2176" s="2" t="str">
        <x:v>Synced</x:v>
      </x:c>
    </x:row>
    <x:row r="2177" ht="21" customHeight="1">
      <x:c r="A2177" s="2" t="str">
        <x:v>EV001990</x:v>
      </x:c>
      <x:c r="B2177" s="2" t="str">
        <x:v>T20261008-2-1</x:v>
      </x:c>
      <x:c r="C2177" s="2" t="str">
        <x:v>ST028</x:v>
      </x:c>
      <x:c r="D2177" s="2" t="str">
        <x:v>af9ca502f5a3f54f1f44ea6d11afd24b</x:v>
      </x:c>
      <x:c r="E2177" s="2" t="str">
        <x:v>CHECK_OUT</x:v>
      </x:c>
      <x:c r="F2177" s="8" t="n">
        <x:v>46303.50649305556</x:v>
      </x:c>
      <x:c r="G2177" s="8" t="n">
        <x:v>46303.506516203706</x:v>
      </x:c>
      <x:c r="H2177" s="2" t="str">
        <x:v>SCH01</x:v>
      </x:c>
      <x:c r="I2177" s="9" t="n">
        <x:v>25.285</x:v>
      </x:c>
      <x:c r="J2177" s="9" t="n">
        <x:v>51.51</x:v>
      </x:c>
      <x:c r="K2177" s="2" t="n">
        <x:v>8</x:v>
      </x:c>
      <x:c r="L2177" s="2" t="str">
        <x:v>Valid</x:v>
      </x:c>
      <x:c r="M2177" s="2" t="str">
        <x:v>QR</x:v>
      </x:c>
      <x:c r="N2177" s="2" t="n">
        <x:v>1</x:v>
      </x:c>
      <x:c r="O2177" s="2" t="str">
        <x:v>Accepted</x:v>
      </x:c>
      <x:c r="P2177" s="2" t="str">
        <x:v>S001</x:v>
      </x:c>
      <x:c r="Q2177" s="2" t="str">
        <x:v>DEV001</x:v>
      </x:c>
      <x:c r="R2177" s="2" t="n">
        <x:v>48</x:v>
      </x:c>
      <x:c r="S2177" s="2" t="str">
        <x:v>Online</x:v>
      </x:c>
      <x:c r="T2177" s="2" t="str">
        <x:v>Synced</x:v>
      </x:c>
    </x:row>
    <x:row r="2178" ht="21" customHeight="1">
      <x:c r="A2178" s="2" t="str">
        <x:v>EV002150</x:v>
      </x:c>
      <x:c r="B2178" s="2" t="str">
        <x:v>T20261008-2-2</x:v>
      </x:c>
      <x:c r="C2178" s="2" t="str">
        <x:v>ST068</x:v>
      </x:c>
      <x:c r="D2178" s="2" t="str">
        <x:v>6d9af84dd25561b8b07e5e166ae4982a</x:v>
      </x:c>
      <x:c r="E2178" s="2" t="str">
        <x:v>CHECK_OUT</x:v>
      </x:c>
      <x:c r="F2178" s="8" t="n">
        <x:v>46303.50649305556</x:v>
      </x:c>
      <x:c r="G2178" s="8" t="n">
        <x:v>46303.506516203706</x:v>
      </x:c>
      <x:c r="H2178" s="2" t="str">
        <x:v>SCH01</x:v>
      </x:c>
      <x:c r="I2178" s="9" t="n">
        <x:v>25.285</x:v>
      </x:c>
      <x:c r="J2178" s="9" t="n">
        <x:v>51.51</x:v>
      </x:c>
      <x:c r="K2178" s="2" t="n">
        <x:v>8</x:v>
      </x:c>
      <x:c r="L2178" s="2" t="str">
        <x:v>Valid</x:v>
      </x:c>
      <x:c r="M2178" s="2" t="str">
        <x:v>QR</x:v>
      </x:c>
      <x:c r="N2178" s="2" t="n">
        <x:v>1</x:v>
      </x:c>
      <x:c r="O2178" s="2" t="str">
        <x:v>Accepted</x:v>
      </x:c>
      <x:c r="P2178" s="2" t="str">
        <x:v>S002</x:v>
      </x:c>
      <x:c r="Q2178" s="2" t="str">
        <x:v>DEV002</x:v>
      </x:c>
      <x:c r="R2178" s="2" t="n">
        <x:v>48</x:v>
      </x:c>
      <x:c r="S2178" s="2" t="str">
        <x:v>Online</x:v>
      </x:c>
      <x:c r="T2178" s="2" t="str">
        <x:v>Synced</x:v>
      </x:c>
    </x:row>
    <x:row r="2179" ht="21" customHeight="1">
      <x:c r="A2179" s="2" t="str">
        <x:v>EV002310</x:v>
      </x:c>
      <x:c r="B2179" s="2" t="str">
        <x:v>T20261008-2-3</x:v>
      </x:c>
      <x:c r="C2179" s="2" t="str">
        <x:v>ST108</x:v>
      </x:c>
      <x:c r="D2179" s="2" t="str">
        <x:v>85ef3b20338dfa9afdf3ae5a4b1ced5c</x:v>
      </x:c>
      <x:c r="E2179" s="2" t="str">
        <x:v>CHECK_OUT</x:v>
      </x:c>
      <x:c r="F2179" s="8" t="n">
        <x:v>46303.50649305556</x:v>
      </x:c>
      <x:c r="G2179" s="8" t="n">
        <x:v>46303.506516203706</x:v>
      </x:c>
      <x:c r="H2179" s="2" t="str">
        <x:v>SCH01</x:v>
      </x:c>
      <x:c r="I2179" s="9" t="n">
        <x:v>25.285</x:v>
      </x:c>
      <x:c r="J2179" s="9" t="n">
        <x:v>51.51</x:v>
      </x:c>
      <x:c r="K2179" s="2" t="n">
        <x:v>8</x:v>
      </x:c>
      <x:c r="L2179" s="2" t="str">
        <x:v>Valid</x:v>
      </x:c>
      <x:c r="M2179" s="2" t="str">
        <x:v>QR</x:v>
      </x:c>
      <x:c r="N2179" s="2" t="n">
        <x:v>1</x:v>
      </x:c>
      <x:c r="O2179" s="2" t="str">
        <x:v>Accepted</x:v>
      </x:c>
      <x:c r="P2179" s="2" t="str">
        <x:v>S003</x:v>
      </x:c>
      <x:c r="Q2179" s="2" t="str">
        <x:v>DEV003</x:v>
      </x:c>
      <x:c r="R2179" s="2" t="n">
        <x:v>48</x:v>
      </x:c>
      <x:c r="S2179" s="2" t="str">
        <x:v>Online</x:v>
      </x:c>
      <x:c r="T2179" s="2" t="str">
        <x:v>Synced</x:v>
      </x:c>
    </x:row>
    <x:row r="2180" ht="21" customHeight="1">
      <x:c r="A2180" s="2" t="str">
        <x:v>EV001992</x:v>
      </x:c>
      <x:c r="B2180" s="2" t="str">
        <x:v>T20261008-2-1</x:v>
      </x:c>
      <x:c r="C2180" s="2" t="str">
        <x:v>ST029</x:v>
      </x:c>
      <x:c r="D2180" s="2" t="str">
        <x:v>160c4caa69875e092299cd9b55dcda0b</x:v>
      </x:c>
      <x:c r="E2180" s="2" t="str">
        <x:v>CHECK_OUT</x:v>
      </x:c>
      <x:c r="F2180" s="8" t="n">
        <x:v>46303.50652777778</x:v>
      </x:c>
      <x:c r="G2180" s="8" t="n">
        <x:v>46303.50655092593</x:v>
      </x:c>
      <x:c r="H2180" s="2" t="str">
        <x:v>SCH01</x:v>
      </x:c>
      <x:c r="I2180" s="9" t="n">
        <x:v>25.285</x:v>
      </x:c>
      <x:c r="J2180" s="9" t="n">
        <x:v>51.51</x:v>
      </x:c>
      <x:c r="K2180" s="2" t="n">
        <x:v>8</x:v>
      </x:c>
      <x:c r="L2180" s="2" t="str">
        <x:v>Valid</x:v>
      </x:c>
      <x:c r="M2180" s="2" t="str">
        <x:v>QR</x:v>
      </x:c>
      <x:c r="N2180" s="2" t="n">
        <x:v>1</x:v>
      </x:c>
      <x:c r="O2180" s="2" t="str">
        <x:v>Accepted</x:v>
      </x:c>
      <x:c r="P2180" s="2" t="str">
        <x:v>S001</x:v>
      </x:c>
      <x:c r="Q2180" s="2" t="str">
        <x:v>DEV001</x:v>
      </x:c>
      <x:c r="R2180" s="2" t="n">
        <x:v>49</x:v>
      </x:c>
      <x:c r="S2180" s="2" t="str">
        <x:v>Online</x:v>
      </x:c>
      <x:c r="T2180" s="2" t="str">
        <x:v>Synced</x:v>
      </x:c>
    </x:row>
    <x:row r="2181" ht="21" customHeight="1">
      <x:c r="A2181" s="2" t="str">
        <x:v>EV002152</x:v>
      </x:c>
      <x:c r="B2181" s="2" t="str">
        <x:v>T20261008-2-2</x:v>
      </x:c>
      <x:c r="C2181" s="2" t="str">
        <x:v>ST069</x:v>
      </x:c>
      <x:c r="D2181" s="2" t="str">
        <x:v>d453525f57933d1df9d056e2e53ed3e4</x:v>
      </x:c>
      <x:c r="E2181" s="2" t="str">
        <x:v>CHECK_OUT</x:v>
      </x:c>
      <x:c r="F2181" s="8" t="n">
        <x:v>46303.50652777778</x:v>
      </x:c>
      <x:c r="G2181" s="8" t="n">
        <x:v>46303.50655092593</x:v>
      </x:c>
      <x:c r="H2181" s="2" t="str">
        <x:v>SCH01</x:v>
      </x:c>
      <x:c r="I2181" s="9" t="n">
        <x:v>25.285</x:v>
      </x:c>
      <x:c r="J2181" s="9" t="n">
        <x:v>51.51</x:v>
      </x:c>
      <x:c r="K2181" s="2" t="n">
        <x:v>8</x:v>
      </x:c>
      <x:c r="L2181" s="2" t="str">
        <x:v>Valid</x:v>
      </x:c>
      <x:c r="M2181" s="2" t="str">
        <x:v>QR</x:v>
      </x:c>
      <x:c r="N2181" s="2" t="n">
        <x:v>1</x:v>
      </x:c>
      <x:c r="O2181" s="2" t="str">
        <x:v>Accepted</x:v>
      </x:c>
      <x:c r="P2181" s="2" t="str">
        <x:v>S002</x:v>
      </x:c>
      <x:c r="Q2181" s="2" t="str">
        <x:v>DEV002</x:v>
      </x:c>
      <x:c r="R2181" s="2" t="n">
        <x:v>49</x:v>
      </x:c>
      <x:c r="S2181" s="2" t="str">
        <x:v>Online</x:v>
      </x:c>
      <x:c r="T2181" s="2" t="str">
        <x:v>Synced</x:v>
      </x:c>
    </x:row>
    <x:row r="2182" ht="21" customHeight="1">
      <x:c r="A2182" s="2" t="str">
        <x:v>EV002312</x:v>
      </x:c>
      <x:c r="B2182" s="2" t="str">
        <x:v>T20261008-2-3</x:v>
      </x:c>
      <x:c r="C2182" s="2" t="str">
        <x:v>ST109</x:v>
      </x:c>
      <x:c r="D2182" s="2" t="str">
        <x:v>dfd493c800846e3efc35048335bd557b</x:v>
      </x:c>
      <x:c r="E2182" s="2" t="str">
        <x:v>CHECK_OUT</x:v>
      </x:c>
      <x:c r="F2182" s="8" t="n">
        <x:v>46303.50652777778</x:v>
      </x:c>
      <x:c r="G2182" s="8" t="n">
        <x:v>46303.50655092593</x:v>
      </x:c>
      <x:c r="H2182" s="2" t="str">
        <x:v>SCH01</x:v>
      </x:c>
      <x:c r="I2182" s="9" t="n">
        <x:v>25.285</x:v>
      </x:c>
      <x:c r="J2182" s="9" t="n">
        <x:v>51.51</x:v>
      </x:c>
      <x:c r="K2182" s="2" t="n">
        <x:v>8</x:v>
      </x:c>
      <x:c r="L2182" s="2" t="str">
        <x:v>Valid</x:v>
      </x:c>
      <x:c r="M2182" s="2" t="str">
        <x:v>QR</x:v>
      </x:c>
      <x:c r="N2182" s="2" t="n">
        <x:v>1</x:v>
      </x:c>
      <x:c r="O2182" s="2" t="str">
        <x:v>Accepted</x:v>
      </x:c>
      <x:c r="P2182" s="2" t="str">
        <x:v>S003</x:v>
      </x:c>
      <x:c r="Q2182" s="2" t="str">
        <x:v>DEV003</x:v>
      </x:c>
      <x:c r="R2182" s="2" t="n">
        <x:v>49</x:v>
      </x:c>
      <x:c r="S2182" s="2" t="str">
        <x:v>Online</x:v>
      </x:c>
      <x:c r="T2182" s="2" t="str">
        <x:v>Synced</x:v>
      </x:c>
    </x:row>
    <x:row r="2183" ht="21" customHeight="1">
      <x:c r="A2183" s="2" t="str">
        <x:v>EV001994</x:v>
      </x:c>
      <x:c r="B2183" s="2" t="str">
        <x:v>T20261008-2-1</x:v>
      </x:c>
      <x:c r="C2183" s="2" t="str">
        <x:v>ST030</x:v>
      </x:c>
      <x:c r="D2183" s="2" t="str">
        <x:v>82585187c31166ddecfc4b31343dde64</x:v>
      </x:c>
      <x:c r="E2183" s="2" t="str">
        <x:v>CHECK_OUT</x:v>
      </x:c>
      <x:c r="F2183" s="8" t="n">
        <x:v>46303.506562500006</x:v>
      </x:c>
      <x:c r="G2183" s="8" t="n">
        <x:v>46303.50658564815</x:v>
      </x:c>
      <x:c r="H2183" s="2" t="str">
        <x:v>SCH01</x:v>
      </x:c>
      <x:c r="I2183" s="9" t="n">
        <x:v>25.285</x:v>
      </x:c>
      <x:c r="J2183" s="9" t="n">
        <x:v>51.51</x:v>
      </x:c>
      <x:c r="K2183" s="2" t="n">
        <x:v>8</x:v>
      </x:c>
      <x:c r="L2183" s="2" t="str">
        <x:v>Valid</x:v>
      </x:c>
      <x:c r="M2183" s="2" t="str">
        <x:v>QR</x:v>
      </x:c>
      <x:c r="N2183" s="2" t="n">
        <x:v>1</x:v>
      </x:c>
      <x:c r="O2183" s="2" t="str">
        <x:v>Accepted</x:v>
      </x:c>
      <x:c r="P2183" s="2" t="str">
        <x:v>S001</x:v>
      </x:c>
      <x:c r="Q2183" s="2" t="str">
        <x:v>DEV001</x:v>
      </x:c>
      <x:c r="R2183" s="2" t="n">
        <x:v>50</x:v>
      </x:c>
      <x:c r="S2183" s="2" t="str">
        <x:v>Online</x:v>
      </x:c>
      <x:c r="T2183" s="2" t="str">
        <x:v>Synced</x:v>
      </x:c>
    </x:row>
    <x:row r="2184" ht="21" customHeight="1">
      <x:c r="A2184" s="2" t="str">
        <x:v>EV002154</x:v>
      </x:c>
      <x:c r="B2184" s="2" t="str">
        <x:v>T20261008-2-2</x:v>
      </x:c>
      <x:c r="C2184" s="2" t="str">
        <x:v>ST070</x:v>
      </x:c>
      <x:c r="D2184" s="2" t="str">
        <x:v>12a9f1121533e9d2b6402c68cf852c16</x:v>
      </x:c>
      <x:c r="E2184" s="2" t="str">
        <x:v>CHECK_OUT</x:v>
      </x:c>
      <x:c r="F2184" s="8" t="n">
        <x:v>46303.506562500006</x:v>
      </x:c>
      <x:c r="G2184" s="8" t="n">
        <x:v>46303.50658564815</x:v>
      </x:c>
      <x:c r="H2184" s="2" t="str">
        <x:v>SCH01</x:v>
      </x:c>
      <x:c r="I2184" s="9" t="n">
        <x:v>25.285</x:v>
      </x:c>
      <x:c r="J2184" s="9" t="n">
        <x:v>51.51</x:v>
      </x:c>
      <x:c r="K2184" s="2" t="n">
        <x:v>8</x:v>
      </x:c>
      <x:c r="L2184" s="2" t="str">
        <x:v>Valid</x:v>
      </x:c>
      <x:c r="M2184" s="2" t="str">
        <x:v>QR</x:v>
      </x:c>
      <x:c r="N2184" s="2" t="n">
        <x:v>1</x:v>
      </x:c>
      <x:c r="O2184" s="2" t="str">
        <x:v>Accepted</x:v>
      </x:c>
      <x:c r="P2184" s="2" t="str">
        <x:v>S002</x:v>
      </x:c>
      <x:c r="Q2184" s="2" t="str">
        <x:v>DEV002</x:v>
      </x:c>
      <x:c r="R2184" s="2" t="n">
        <x:v>50</x:v>
      </x:c>
      <x:c r="S2184" s="2" t="str">
        <x:v>Online</x:v>
      </x:c>
      <x:c r="T2184" s="2" t="str">
        <x:v>Synced</x:v>
      </x:c>
    </x:row>
    <x:row r="2185" ht="21" customHeight="1">
      <x:c r="A2185" s="2" t="str">
        <x:v>EV002314</x:v>
      </x:c>
      <x:c r="B2185" s="2" t="str">
        <x:v>T20261008-2-3</x:v>
      </x:c>
      <x:c r="C2185" s="2" t="str">
        <x:v>ST110</x:v>
      </x:c>
      <x:c r="D2185" s="2" t="str">
        <x:v>4382c0cdcda89fb8cc0f5b9fc03b4c51</x:v>
      </x:c>
      <x:c r="E2185" s="2" t="str">
        <x:v>CHECK_OUT</x:v>
      </x:c>
      <x:c r="F2185" s="8" t="n">
        <x:v>46303.506562500006</x:v>
      </x:c>
      <x:c r="G2185" s="8" t="n">
        <x:v>46303.50658564815</x:v>
      </x:c>
      <x:c r="H2185" s="2" t="str">
        <x:v>SCH01</x:v>
      </x:c>
      <x:c r="I2185" s="9" t="n">
        <x:v>25.285</x:v>
      </x:c>
      <x:c r="J2185" s="9" t="n">
        <x:v>51.51</x:v>
      </x:c>
      <x:c r="K2185" s="2" t="n">
        <x:v>8</x:v>
      </x:c>
      <x:c r="L2185" s="2" t="str">
        <x:v>Valid</x:v>
      </x:c>
      <x:c r="M2185" s="2" t="str">
        <x:v>QR</x:v>
      </x:c>
      <x:c r="N2185" s="2" t="n">
        <x:v>1</x:v>
      </x:c>
      <x:c r="O2185" s="2" t="str">
        <x:v>Accepted</x:v>
      </x:c>
      <x:c r="P2185" s="2" t="str">
        <x:v>S003</x:v>
      </x:c>
      <x:c r="Q2185" s="2" t="str">
        <x:v>DEV003</x:v>
      </x:c>
      <x:c r="R2185" s="2" t="n">
        <x:v>50</x:v>
      </x:c>
      <x:c r="S2185" s="2" t="str">
        <x:v>Online</x:v>
      </x:c>
      <x:c r="T2185" s="2" t="str">
        <x:v>Synced</x:v>
      </x:c>
    </x:row>
    <x:row r="2186" ht="21" customHeight="1">
      <x:c r="A2186" s="2" t="str">
        <x:v>EV001996</x:v>
      </x:c>
      <x:c r="B2186" s="2" t="str">
        <x:v>T20261008-2-1</x:v>
      </x:c>
      <x:c r="C2186" s="2" t="str">
        <x:v>ST031</x:v>
      </x:c>
      <x:c r="D2186" s="2" t="str">
        <x:v>8ab188e9684e5df87182305d1c7eadac</x:v>
      </x:c>
      <x:c r="E2186" s="2" t="str">
        <x:v>CHECK_OUT</x:v>
      </x:c>
      <x:c r="F2186" s="8" t="n">
        <x:v>46303.50659722223</x:v>
      </x:c>
      <x:c r="G2186" s="8" t="n">
        <x:v>46303.506620370375</x:v>
      </x:c>
      <x:c r="H2186" s="2" t="str">
        <x:v>SCH01</x:v>
      </x:c>
      <x:c r="I2186" s="9" t="n">
        <x:v>25.285</x:v>
      </x:c>
      <x:c r="J2186" s="9" t="n">
        <x:v>51.51</x:v>
      </x:c>
      <x:c r="K2186" s="2" t="n">
        <x:v>8</x:v>
      </x:c>
      <x:c r="L2186" s="2" t="str">
        <x:v>Valid</x:v>
      </x:c>
      <x:c r="M2186" s="2" t="str">
        <x:v>QR</x:v>
      </x:c>
      <x:c r="N2186" s="2" t="n">
        <x:v>1</x:v>
      </x:c>
      <x:c r="O2186" s="2" t="str">
        <x:v>Accepted</x:v>
      </x:c>
      <x:c r="P2186" s="2" t="str">
        <x:v>S001</x:v>
      </x:c>
      <x:c r="Q2186" s="2" t="str">
        <x:v>DEV001</x:v>
      </x:c>
      <x:c r="R2186" s="2" t="n">
        <x:v>51</x:v>
      </x:c>
      <x:c r="S2186" s="2" t="str">
        <x:v>Online</x:v>
      </x:c>
      <x:c r="T2186" s="2" t="str">
        <x:v>Synced</x:v>
      </x:c>
    </x:row>
    <x:row r="2187" ht="21" customHeight="1">
      <x:c r="A2187" s="2" t="str">
        <x:v>EV002156</x:v>
      </x:c>
      <x:c r="B2187" s="2" t="str">
        <x:v>T20261008-2-2</x:v>
      </x:c>
      <x:c r="C2187" s="2" t="str">
        <x:v>ST071</x:v>
      </x:c>
      <x:c r="D2187" s="2" t="str">
        <x:v>51895678643dc659a400e702a471294e</x:v>
      </x:c>
      <x:c r="E2187" s="2" t="str">
        <x:v>CHECK_OUT</x:v>
      </x:c>
      <x:c r="F2187" s="8" t="n">
        <x:v>46303.50659722223</x:v>
      </x:c>
      <x:c r="G2187" s="8" t="n">
        <x:v>46303.506620370375</x:v>
      </x:c>
      <x:c r="H2187" s="2" t="str">
        <x:v>SCH01</x:v>
      </x:c>
      <x:c r="I2187" s="9" t="n">
        <x:v>25.285</x:v>
      </x:c>
      <x:c r="J2187" s="9" t="n">
        <x:v>51.51</x:v>
      </x:c>
      <x:c r="K2187" s="2" t="n">
        <x:v>8</x:v>
      </x:c>
      <x:c r="L2187" s="2" t="str">
        <x:v>Valid</x:v>
      </x:c>
      <x:c r="M2187" s="2" t="str">
        <x:v>QR</x:v>
      </x:c>
      <x:c r="N2187" s="2" t="n">
        <x:v>1</x:v>
      </x:c>
      <x:c r="O2187" s="2" t="str">
        <x:v>Accepted</x:v>
      </x:c>
      <x:c r="P2187" s="2" t="str">
        <x:v>S002</x:v>
      </x:c>
      <x:c r="Q2187" s="2" t="str">
        <x:v>DEV002</x:v>
      </x:c>
      <x:c r="R2187" s="2" t="n">
        <x:v>51</x:v>
      </x:c>
      <x:c r="S2187" s="2" t="str">
        <x:v>Online</x:v>
      </x:c>
      <x:c r="T2187" s="2" t="str">
        <x:v>Synced</x:v>
      </x:c>
    </x:row>
    <x:row r="2188" ht="21" customHeight="1">
      <x:c r="A2188" s="2" t="str">
        <x:v>EV002316</x:v>
      </x:c>
      <x:c r="B2188" s="2" t="str">
        <x:v>T20261008-2-3</x:v>
      </x:c>
      <x:c r="C2188" s="2" t="str">
        <x:v>ST111</x:v>
      </x:c>
      <x:c r="D2188" s="2" t="str">
        <x:v>e6e9707385e7ee8edd3ac87243757eb2</x:v>
      </x:c>
      <x:c r="E2188" s="2" t="str">
        <x:v>CHECK_OUT</x:v>
      </x:c>
      <x:c r="F2188" s="8" t="n">
        <x:v>46303.50659722223</x:v>
      </x:c>
      <x:c r="G2188" s="8" t="n">
        <x:v>46303.506620370375</x:v>
      </x:c>
      <x:c r="H2188" s="2" t="str">
        <x:v>SCH01</x:v>
      </x:c>
      <x:c r="I2188" s="9" t="n">
        <x:v>25.285</x:v>
      </x:c>
      <x:c r="J2188" s="9" t="n">
        <x:v>51.51</x:v>
      </x:c>
      <x:c r="K2188" s="2" t="n">
        <x:v>8</x:v>
      </x:c>
      <x:c r="L2188" s="2" t="str">
        <x:v>Valid</x:v>
      </x:c>
      <x:c r="M2188" s="2" t="str">
        <x:v>QR</x:v>
      </x:c>
      <x:c r="N2188" s="2" t="n">
        <x:v>1</x:v>
      </x:c>
      <x:c r="O2188" s="2" t="str">
        <x:v>Accepted</x:v>
      </x:c>
      <x:c r="P2188" s="2" t="str">
        <x:v>S003</x:v>
      </x:c>
      <x:c r="Q2188" s="2" t="str">
        <x:v>DEV003</x:v>
      </x:c>
      <x:c r="R2188" s="2" t="n">
        <x:v>51</x:v>
      </x:c>
      <x:c r="S2188" s="2" t="str">
        <x:v>Online</x:v>
      </x:c>
      <x:c r="T2188" s="2" t="str">
        <x:v>Synced</x:v>
      </x:c>
    </x:row>
    <x:row r="2189" ht="21" customHeight="1">
      <x:c r="A2189" s="2" t="str">
        <x:v>EV001998</x:v>
      </x:c>
      <x:c r="B2189" s="2" t="str">
        <x:v>T20261008-2-1</x:v>
      </x:c>
      <x:c r="C2189" s="2" t="str">
        <x:v>ST032</x:v>
      </x:c>
      <x:c r="D2189" s="2" t="str">
        <x:v>836e2da54ccde9716995f5651a63e8c5</x:v>
      </x:c>
      <x:c r="E2189" s="2" t="str">
        <x:v>CHECK_OUT</x:v>
      </x:c>
      <x:c r="F2189" s="8" t="n">
        <x:v>46303.506631944445</x:v>
      </x:c>
      <x:c r="G2189" s="8" t="n">
        <x:v>46303.50665509259</x:v>
      </x:c>
      <x:c r="H2189" s="2" t="str">
        <x:v>SCH01</x:v>
      </x:c>
      <x:c r="I2189" s="9" t="n">
        <x:v>25.285</x:v>
      </x:c>
      <x:c r="J2189" s="9" t="n">
        <x:v>51.51</x:v>
      </x:c>
      <x:c r="K2189" s="2" t="n">
        <x:v>8</x:v>
      </x:c>
      <x:c r="L2189" s="2" t="str">
        <x:v>Valid</x:v>
      </x:c>
      <x:c r="M2189" s="2" t="str">
        <x:v>QR</x:v>
      </x:c>
      <x:c r="N2189" s="2" t="n">
        <x:v>1</x:v>
      </x:c>
      <x:c r="O2189" s="2" t="str">
        <x:v>Accepted</x:v>
      </x:c>
      <x:c r="P2189" s="2" t="str">
        <x:v>S001</x:v>
      </x:c>
      <x:c r="Q2189" s="2" t="str">
        <x:v>DEV001</x:v>
      </x:c>
      <x:c r="R2189" s="2" t="n">
        <x:v>52</x:v>
      </x:c>
      <x:c r="S2189" s="2" t="str">
        <x:v>Online</x:v>
      </x:c>
      <x:c r="T2189" s="2" t="str">
        <x:v>Synced</x:v>
      </x:c>
    </x:row>
    <x:row r="2190" ht="21" customHeight="1">
      <x:c r="A2190" s="2" t="str">
        <x:v>EV002158</x:v>
      </x:c>
      <x:c r="B2190" s="2" t="str">
        <x:v>T20261008-2-2</x:v>
      </x:c>
      <x:c r="C2190" s="2" t="str">
        <x:v>ST072</x:v>
      </x:c>
      <x:c r="D2190" s="2" t="str">
        <x:v>34067027b5922171fe59ce4d7b756f1c</x:v>
      </x:c>
      <x:c r="E2190" s="2" t="str">
        <x:v>CHECK_OUT</x:v>
      </x:c>
      <x:c r="F2190" s="8" t="n">
        <x:v>46303.506631944445</x:v>
      </x:c>
      <x:c r="G2190" s="8" t="n">
        <x:v>46303.50665509259</x:v>
      </x:c>
      <x:c r="H2190" s="2" t="str">
        <x:v>SCH01</x:v>
      </x:c>
      <x:c r="I2190" s="9" t="n">
        <x:v>25.285</x:v>
      </x:c>
      <x:c r="J2190" s="9" t="n">
        <x:v>51.51</x:v>
      </x:c>
      <x:c r="K2190" s="2" t="n">
        <x:v>8</x:v>
      </x:c>
      <x:c r="L2190" s="2" t="str">
        <x:v>Valid</x:v>
      </x:c>
      <x:c r="M2190" s="2" t="str">
        <x:v>QR</x:v>
      </x:c>
      <x:c r="N2190" s="2" t="n">
        <x:v>1</x:v>
      </x:c>
      <x:c r="O2190" s="2" t="str">
        <x:v>Accepted</x:v>
      </x:c>
      <x:c r="P2190" s="2" t="str">
        <x:v>S002</x:v>
      </x:c>
      <x:c r="Q2190" s="2" t="str">
        <x:v>DEV002</x:v>
      </x:c>
      <x:c r="R2190" s="2" t="n">
        <x:v>52</x:v>
      </x:c>
      <x:c r="S2190" s="2" t="str">
        <x:v>Online</x:v>
      </x:c>
      <x:c r="T2190" s="2" t="str">
        <x:v>Synced</x:v>
      </x:c>
    </x:row>
    <x:row r="2191" ht="21" customHeight="1">
      <x:c r="A2191" s="2" t="str">
        <x:v>EV002318</x:v>
      </x:c>
      <x:c r="B2191" s="2" t="str">
        <x:v>T20261008-2-3</x:v>
      </x:c>
      <x:c r="C2191" s="2" t="str">
        <x:v>ST112</x:v>
      </x:c>
      <x:c r="D2191" s="2" t="str">
        <x:v>ca020aefc0d912af9ddca5c7ca7a2f51</x:v>
      </x:c>
      <x:c r="E2191" s="2" t="str">
        <x:v>CHECK_OUT</x:v>
      </x:c>
      <x:c r="F2191" s="8" t="n">
        <x:v>46303.506631944445</x:v>
      </x:c>
      <x:c r="G2191" s="8" t="n">
        <x:v>46303.50665509259</x:v>
      </x:c>
      <x:c r="H2191" s="2" t="str">
        <x:v>SCH01</x:v>
      </x:c>
      <x:c r="I2191" s="9" t="n">
        <x:v>25.285</x:v>
      </x:c>
      <x:c r="J2191" s="9" t="n">
        <x:v>51.51</x:v>
      </x:c>
      <x:c r="K2191" s="2" t="n">
        <x:v>8</x:v>
      </x:c>
      <x:c r="L2191" s="2" t="str">
        <x:v>Valid</x:v>
      </x:c>
      <x:c r="M2191" s="2" t="str">
        <x:v>QR</x:v>
      </x:c>
      <x:c r="N2191" s="2" t="n">
        <x:v>1</x:v>
      </x:c>
      <x:c r="O2191" s="2" t="str">
        <x:v>Accepted</x:v>
      </x:c>
      <x:c r="P2191" s="2" t="str">
        <x:v>S003</x:v>
      </x:c>
      <x:c r="Q2191" s="2" t="str">
        <x:v>DEV003</x:v>
      </x:c>
      <x:c r="R2191" s="2" t="n">
        <x:v>52</x:v>
      </x:c>
      <x:c r="S2191" s="2" t="str">
        <x:v>Online</x:v>
      </x:c>
      <x:c r="T2191" s="2" t="str">
        <x:v>Synced</x:v>
      </x:c>
    </x:row>
    <x:row r="2192" ht="21" customHeight="1">
      <x:c r="A2192" s="2" t="str">
        <x:v>EV002000</x:v>
      </x:c>
      <x:c r="B2192" s="2" t="str">
        <x:v>T20261008-2-1</x:v>
      </x:c>
      <x:c r="C2192" s="2" t="str">
        <x:v>ST033</x:v>
      </x:c>
      <x:c r="D2192" s="2" t="str">
        <x:v>c9cc8ddf1b5bae8b49929340838e300a</x:v>
      </x:c>
      <x:c r="E2192" s="2" t="str">
        <x:v>CHECK_OUT</x:v>
      </x:c>
      <x:c r="F2192" s="8" t="n">
        <x:v>46303.50666666667</x:v>
      </x:c>
      <x:c r="G2192" s="8" t="n">
        <x:v>46303.506689814814</x:v>
      </x:c>
      <x:c r="H2192" s="2" t="str">
        <x:v>SCH01</x:v>
      </x:c>
      <x:c r="I2192" s="9" t="n">
        <x:v>25.285</x:v>
      </x:c>
      <x:c r="J2192" s="9" t="n">
        <x:v>51.51</x:v>
      </x:c>
      <x:c r="K2192" s="2" t="n">
        <x:v>8</x:v>
      </x:c>
      <x:c r="L2192" s="2" t="str">
        <x:v>Valid</x:v>
      </x:c>
      <x:c r="M2192" s="2" t="str">
        <x:v>QR</x:v>
      </x:c>
      <x:c r="N2192" s="2" t="n">
        <x:v>1</x:v>
      </x:c>
      <x:c r="O2192" s="2" t="str">
        <x:v>Accepted</x:v>
      </x:c>
      <x:c r="P2192" s="2" t="str">
        <x:v>S001</x:v>
      </x:c>
      <x:c r="Q2192" s="2" t="str">
        <x:v>DEV001</x:v>
      </x:c>
      <x:c r="R2192" s="2" t="n">
        <x:v>53</x:v>
      </x:c>
      <x:c r="S2192" s="2" t="str">
        <x:v>Online</x:v>
      </x:c>
      <x:c r="T2192" s="2" t="str">
        <x:v>Synced</x:v>
      </x:c>
    </x:row>
    <x:row r="2193" ht="21" customHeight="1">
      <x:c r="A2193" s="2" t="str">
        <x:v>EV002160</x:v>
      </x:c>
      <x:c r="B2193" s="2" t="str">
        <x:v>T20261008-2-2</x:v>
      </x:c>
      <x:c r="C2193" s="2" t="str">
        <x:v>ST073</x:v>
      </x:c>
      <x:c r="D2193" s="2" t="str">
        <x:v>b27180ce7590c0aac206d465f318b712</x:v>
      </x:c>
      <x:c r="E2193" s="2" t="str">
        <x:v>CHECK_OUT</x:v>
      </x:c>
      <x:c r="F2193" s="8" t="n">
        <x:v>46303.50666666667</x:v>
      </x:c>
      <x:c r="G2193" s="8" t="n">
        <x:v>46303.506689814814</x:v>
      </x:c>
      <x:c r="H2193" s="2" t="str">
        <x:v>SCH01</x:v>
      </x:c>
      <x:c r="I2193" s="9" t="n">
        <x:v>25.285</x:v>
      </x:c>
      <x:c r="J2193" s="9" t="n">
        <x:v>51.51</x:v>
      </x:c>
      <x:c r="K2193" s="2" t="n">
        <x:v>8</x:v>
      </x:c>
      <x:c r="L2193" s="2" t="str">
        <x:v>Valid</x:v>
      </x:c>
      <x:c r="M2193" s="2" t="str">
        <x:v>QR</x:v>
      </x:c>
      <x:c r="N2193" s="2" t="n">
        <x:v>1</x:v>
      </x:c>
      <x:c r="O2193" s="2" t="str">
        <x:v>Accepted</x:v>
      </x:c>
      <x:c r="P2193" s="2" t="str">
        <x:v>S002</x:v>
      </x:c>
      <x:c r="Q2193" s="2" t="str">
        <x:v>DEV002</x:v>
      </x:c>
      <x:c r="R2193" s="2" t="n">
        <x:v>53</x:v>
      </x:c>
      <x:c r="S2193" s="2" t="str">
        <x:v>Online</x:v>
      </x:c>
      <x:c r="T2193" s="2" t="str">
        <x:v>Synced</x:v>
      </x:c>
    </x:row>
    <x:row r="2194" ht="21" customHeight="1">
      <x:c r="A2194" s="2" t="str">
        <x:v>EV002320</x:v>
      </x:c>
      <x:c r="B2194" s="2" t="str">
        <x:v>T20261008-2-3</x:v>
      </x:c>
      <x:c r="C2194" s="2" t="str">
        <x:v>ST113</x:v>
      </x:c>
      <x:c r="D2194" s="2" t="str">
        <x:v>c3781e168737a6cc1190d4415801c440</x:v>
      </x:c>
      <x:c r="E2194" s="2" t="str">
        <x:v>CHECK_OUT</x:v>
      </x:c>
      <x:c r="F2194" s="8" t="n">
        <x:v>46303.50666666667</x:v>
      </x:c>
      <x:c r="G2194" s="8" t="n">
        <x:v>46303.506689814814</x:v>
      </x:c>
      <x:c r="H2194" s="2" t="str">
        <x:v>SCH01</x:v>
      </x:c>
      <x:c r="I2194" s="9" t="n">
        <x:v>25.285</x:v>
      </x:c>
      <x:c r="J2194" s="9" t="n">
        <x:v>51.51</x:v>
      </x:c>
      <x:c r="K2194" s="2" t="n">
        <x:v>8</x:v>
      </x:c>
      <x:c r="L2194" s="2" t="str">
        <x:v>Valid</x:v>
      </x:c>
      <x:c r="M2194" s="2" t="str">
        <x:v>QR</x:v>
      </x:c>
      <x:c r="N2194" s="2" t="n">
        <x:v>1</x:v>
      </x:c>
      <x:c r="O2194" s="2" t="str">
        <x:v>Accepted</x:v>
      </x:c>
      <x:c r="P2194" s="2" t="str">
        <x:v>S003</x:v>
      </x:c>
      <x:c r="Q2194" s="2" t="str">
        <x:v>DEV003</x:v>
      </x:c>
      <x:c r="R2194" s="2" t="n">
        <x:v>53</x:v>
      </x:c>
      <x:c r="S2194" s="2" t="str">
        <x:v>Online</x:v>
      </x:c>
      <x:c r="T2194" s="2" t="str">
        <x:v>Synced</x:v>
      </x:c>
    </x:row>
    <x:row r="2195" ht="21" customHeight="1">
      <x:c r="A2195" s="2" t="str">
        <x:v>EV002002</x:v>
      </x:c>
      <x:c r="B2195" s="2" t="str">
        <x:v>T20261008-2-1</x:v>
      </x:c>
      <x:c r="C2195" s="2" t="str">
        <x:v>ST034</x:v>
      </x:c>
      <x:c r="D2195" s="2" t="str">
        <x:v>80fbe33bb2df8cab59b55f98f1c8a3d5</x:v>
      </x:c>
      <x:c r="E2195" s="2" t="str">
        <x:v>CHECK_OUT</x:v>
      </x:c>
      <x:c r="F2195" s="8" t="n">
        <x:v>46303.50670138889</x:v>
      </x:c>
      <x:c r="G2195" s="8" t="n">
        <x:v>46303.50672453704</x:v>
      </x:c>
      <x:c r="H2195" s="2" t="str">
        <x:v>SCH01</x:v>
      </x:c>
      <x:c r="I2195" s="9" t="n">
        <x:v>25.285</x:v>
      </x:c>
      <x:c r="J2195" s="9" t="n">
        <x:v>51.51</x:v>
      </x:c>
      <x:c r="K2195" s="2" t="n">
        <x:v>8</x:v>
      </x:c>
      <x:c r="L2195" s="2" t="str">
        <x:v>Valid</x:v>
      </x:c>
      <x:c r="M2195" s="2" t="str">
        <x:v>QR</x:v>
      </x:c>
      <x:c r="N2195" s="2" t="n">
        <x:v>1</x:v>
      </x:c>
      <x:c r="O2195" s="2" t="str">
        <x:v>Accepted</x:v>
      </x:c>
      <x:c r="P2195" s="2" t="str">
        <x:v>S001</x:v>
      </x:c>
      <x:c r="Q2195" s="2" t="str">
        <x:v>DEV001</x:v>
      </x:c>
      <x:c r="R2195" s="2" t="n">
        <x:v>54</x:v>
      </x:c>
      <x:c r="S2195" s="2" t="str">
        <x:v>Online</x:v>
      </x:c>
      <x:c r="T2195" s="2" t="str">
        <x:v>Synced</x:v>
      </x:c>
    </x:row>
    <x:row r="2196" ht="21" customHeight="1">
      <x:c r="A2196" s="2" t="str">
        <x:v>EV002162</x:v>
      </x:c>
      <x:c r="B2196" s="2" t="str">
        <x:v>T20261008-2-2</x:v>
      </x:c>
      <x:c r="C2196" s="2" t="str">
        <x:v>ST074</x:v>
      </x:c>
      <x:c r="D2196" s="2" t="str">
        <x:v>a9bcbd7cecca4f17e235125ddf0adf7b</x:v>
      </x:c>
      <x:c r="E2196" s="2" t="str">
        <x:v>CHECK_OUT</x:v>
      </x:c>
      <x:c r="F2196" s="8" t="n">
        <x:v>46303.50670138889</x:v>
      </x:c>
      <x:c r="G2196" s="8" t="n">
        <x:v>46303.50672453704</x:v>
      </x:c>
      <x:c r="H2196" s="2" t="str">
        <x:v>SCH01</x:v>
      </x:c>
      <x:c r="I2196" s="9" t="n">
        <x:v>25.285</x:v>
      </x:c>
      <x:c r="J2196" s="9" t="n">
        <x:v>51.51</x:v>
      </x:c>
      <x:c r="K2196" s="2" t="n">
        <x:v>8</x:v>
      </x:c>
      <x:c r="L2196" s="2" t="str">
        <x:v>Valid</x:v>
      </x:c>
      <x:c r="M2196" s="2" t="str">
        <x:v>QR</x:v>
      </x:c>
      <x:c r="N2196" s="2" t="n">
        <x:v>1</x:v>
      </x:c>
      <x:c r="O2196" s="2" t="str">
        <x:v>Accepted</x:v>
      </x:c>
      <x:c r="P2196" s="2" t="str">
        <x:v>S002</x:v>
      </x:c>
      <x:c r="Q2196" s="2" t="str">
        <x:v>DEV002</x:v>
      </x:c>
      <x:c r="R2196" s="2" t="n">
        <x:v>54</x:v>
      </x:c>
      <x:c r="S2196" s="2" t="str">
        <x:v>Online</x:v>
      </x:c>
      <x:c r="T2196" s="2" t="str">
        <x:v>Synced</x:v>
      </x:c>
    </x:row>
    <x:row r="2197" ht="21" customHeight="1">
      <x:c r="A2197" s="2" t="str">
        <x:v>EV002322</x:v>
      </x:c>
      <x:c r="B2197" s="2" t="str">
        <x:v>T20261008-2-3</x:v>
      </x:c>
      <x:c r="C2197" s="2" t="str">
        <x:v>ST114</x:v>
      </x:c>
      <x:c r="D2197" s="2" t="str">
        <x:v>a5c77bf3b082c3ab825b65c34f1c9f8c</x:v>
      </x:c>
      <x:c r="E2197" s="2" t="str">
        <x:v>CHECK_OUT</x:v>
      </x:c>
      <x:c r="F2197" s="8" t="n">
        <x:v>46303.50670138889</x:v>
      </x:c>
      <x:c r="G2197" s="8" t="n">
        <x:v>46303.50672453704</x:v>
      </x:c>
      <x:c r="H2197" s="2" t="str">
        <x:v>SCH01</x:v>
      </x:c>
      <x:c r="I2197" s="9" t="n">
        <x:v>25.285</x:v>
      </x:c>
      <x:c r="J2197" s="9" t="n">
        <x:v>51.51</x:v>
      </x:c>
      <x:c r="K2197" s="2" t="n">
        <x:v>8</x:v>
      </x:c>
      <x:c r="L2197" s="2" t="str">
        <x:v>Valid</x:v>
      </x:c>
      <x:c r="M2197" s="2" t="str">
        <x:v>QR</x:v>
      </x:c>
      <x:c r="N2197" s="2" t="n">
        <x:v>1</x:v>
      </x:c>
      <x:c r="O2197" s="2" t="str">
        <x:v>Accepted</x:v>
      </x:c>
      <x:c r="P2197" s="2" t="str">
        <x:v>S003</x:v>
      </x:c>
      <x:c r="Q2197" s="2" t="str">
        <x:v>DEV003</x:v>
      </x:c>
      <x:c r="R2197" s="2" t="n">
        <x:v>54</x:v>
      </x:c>
      <x:c r="S2197" s="2" t="str">
        <x:v>Online</x:v>
      </x:c>
      <x:c r="T2197" s="2" t="str">
        <x:v>Synced</x:v>
      </x:c>
    </x:row>
    <x:row r="2198" ht="21" customHeight="1">
      <x:c r="A2198" s="2" t="str">
        <x:v>EV002004</x:v>
      </x:c>
      <x:c r="B2198" s="2" t="str">
        <x:v>T20261008-2-1</x:v>
      </x:c>
      <x:c r="C2198" s="2" t="str">
        <x:v>ST035</x:v>
      </x:c>
      <x:c r="D2198" s="2" t="str">
        <x:v>45068f3206e9be80993e83e259ea9cdc</x:v>
      </x:c>
      <x:c r="E2198" s="2" t="str">
        <x:v>CHECK_OUT</x:v>
      </x:c>
      <x:c r="F2198" s="8" t="n">
        <x:v>46303.506736111114</x:v>
      </x:c>
      <x:c r="G2198" s="8" t="n">
        <x:v>46303.50675925926</x:v>
      </x:c>
      <x:c r="H2198" s="2" t="str">
        <x:v>SCH01</x:v>
      </x:c>
      <x:c r="I2198" s="9" t="n">
        <x:v>25.285</x:v>
      </x:c>
      <x:c r="J2198" s="9" t="n">
        <x:v>51.51</x:v>
      </x:c>
      <x:c r="K2198" s="2" t="n">
        <x:v>8</x:v>
      </x:c>
      <x:c r="L2198" s="2" t="str">
        <x:v>Valid</x:v>
      </x:c>
      <x:c r="M2198" s="2" t="str">
        <x:v>QR</x:v>
      </x:c>
      <x:c r="N2198" s="2" t="n">
        <x:v>1</x:v>
      </x:c>
      <x:c r="O2198" s="2" t="str">
        <x:v>Accepted</x:v>
      </x:c>
      <x:c r="P2198" s="2" t="str">
        <x:v>S001</x:v>
      </x:c>
      <x:c r="Q2198" s="2" t="str">
        <x:v>DEV001</x:v>
      </x:c>
      <x:c r="R2198" s="2" t="n">
        <x:v>55</x:v>
      </x:c>
      <x:c r="S2198" s="2" t="str">
        <x:v>Online</x:v>
      </x:c>
      <x:c r="T2198" s="2" t="str">
        <x:v>Synced</x:v>
      </x:c>
    </x:row>
    <x:row r="2199" ht="21" customHeight="1">
      <x:c r="A2199" s="2" t="str">
        <x:v>EV002164</x:v>
      </x:c>
      <x:c r="B2199" s="2" t="str">
        <x:v>T20261008-2-2</x:v>
      </x:c>
      <x:c r="C2199" s="2" t="str">
        <x:v>ST075</x:v>
      </x:c>
      <x:c r="D2199" s="2" t="str">
        <x:v>3781d00e457977b726407cb845a294cc</x:v>
      </x:c>
      <x:c r="E2199" s="2" t="str">
        <x:v>CHECK_OUT</x:v>
      </x:c>
      <x:c r="F2199" s="8" t="n">
        <x:v>46303.506736111114</x:v>
      </x:c>
      <x:c r="G2199" s="8" t="n">
        <x:v>46303.50675925926</x:v>
      </x:c>
      <x:c r="H2199" s="2" t="str">
        <x:v>SCH01</x:v>
      </x:c>
      <x:c r="I2199" s="9" t="n">
        <x:v>25.285</x:v>
      </x:c>
      <x:c r="J2199" s="9" t="n">
        <x:v>51.51</x:v>
      </x:c>
      <x:c r="K2199" s="2" t="n">
        <x:v>8</x:v>
      </x:c>
      <x:c r="L2199" s="2" t="str">
        <x:v>Valid</x:v>
      </x:c>
      <x:c r="M2199" s="2" t="str">
        <x:v>QR</x:v>
      </x:c>
      <x:c r="N2199" s="2" t="n">
        <x:v>1</x:v>
      </x:c>
      <x:c r="O2199" s="2" t="str">
        <x:v>Accepted</x:v>
      </x:c>
      <x:c r="P2199" s="2" t="str">
        <x:v>S002</x:v>
      </x:c>
      <x:c r="Q2199" s="2" t="str">
        <x:v>DEV002</x:v>
      </x:c>
      <x:c r="R2199" s="2" t="n">
        <x:v>55</x:v>
      </x:c>
      <x:c r="S2199" s="2" t="str">
        <x:v>Online</x:v>
      </x:c>
      <x:c r="T2199" s="2" t="str">
        <x:v>Synced</x:v>
      </x:c>
    </x:row>
    <x:row r="2200" ht="21" customHeight="1">
      <x:c r="A2200" s="2" t="str">
        <x:v>EV002324</x:v>
      </x:c>
      <x:c r="B2200" s="2" t="str">
        <x:v>T20261008-2-3</x:v>
      </x:c>
      <x:c r="C2200" s="2" t="str">
        <x:v>ST115</x:v>
      </x:c>
      <x:c r="D2200" s="2" t="str">
        <x:v>dc951b9fd5f4acb1dc2ce3ca2f2e08ab</x:v>
      </x:c>
      <x:c r="E2200" s="2" t="str">
        <x:v>CHECK_OUT</x:v>
      </x:c>
      <x:c r="F2200" s="8" t="n">
        <x:v>46303.506736111114</x:v>
      </x:c>
      <x:c r="G2200" s="8" t="n">
        <x:v>46303.50675925926</x:v>
      </x:c>
      <x:c r="H2200" s="2" t="str">
        <x:v>SCH01</x:v>
      </x:c>
      <x:c r="I2200" s="9" t="n">
        <x:v>25.285</x:v>
      </x:c>
      <x:c r="J2200" s="9" t="n">
        <x:v>51.51</x:v>
      </x:c>
      <x:c r="K2200" s="2" t="n">
        <x:v>8</x:v>
      </x:c>
      <x:c r="L2200" s="2" t="str">
        <x:v>Valid</x:v>
      </x:c>
      <x:c r="M2200" s="2" t="str">
        <x:v>QR</x:v>
      </x:c>
      <x:c r="N2200" s="2" t="n">
        <x:v>1</x:v>
      </x:c>
      <x:c r="O2200" s="2" t="str">
        <x:v>Accepted</x:v>
      </x:c>
      <x:c r="P2200" s="2" t="str">
        <x:v>S003</x:v>
      </x:c>
      <x:c r="Q2200" s="2" t="str">
        <x:v>DEV003</x:v>
      </x:c>
      <x:c r="R2200" s="2" t="n">
        <x:v>55</x:v>
      </x:c>
      <x:c r="S2200" s="2" t="str">
        <x:v>Online</x:v>
      </x:c>
      <x:c r="T2200" s="2" t="str">
        <x:v>Synced</x:v>
      </x:c>
    </x:row>
    <x:row r="2201" ht="21" customHeight="1">
      <x:c r="A2201" s="2" t="str">
        <x:v>EV002006</x:v>
      </x:c>
      <x:c r="B2201" s="2" t="str">
        <x:v>T20261008-2-1</x:v>
      </x:c>
      <x:c r="C2201" s="2" t="str">
        <x:v>ST036</x:v>
      </x:c>
      <x:c r="D2201" s="2" t="str">
        <x:v>7e42555e63455121ac9f1b3710bc905c</x:v>
      </x:c>
      <x:c r="E2201" s="2" t="str">
        <x:v>CHECK_OUT</x:v>
      </x:c>
      <x:c r="F2201" s="8" t="n">
        <x:v>46303.50677083334</x:v>
      </x:c>
      <x:c r="G2201" s="8" t="n">
        <x:v>46303.50679398148</x:v>
      </x:c>
      <x:c r="H2201" s="2" t="str">
        <x:v>SCH01</x:v>
      </x:c>
      <x:c r="I2201" s="9" t="n">
        <x:v>25.285</x:v>
      </x:c>
      <x:c r="J2201" s="9" t="n">
        <x:v>51.51</x:v>
      </x:c>
      <x:c r="K2201" s="2" t="n">
        <x:v>8</x:v>
      </x:c>
      <x:c r="L2201" s="2" t="str">
        <x:v>Valid</x:v>
      </x:c>
      <x:c r="M2201" s="2" t="str">
        <x:v>QR</x:v>
      </x:c>
      <x:c r="N2201" s="2" t="n">
        <x:v>1</x:v>
      </x:c>
      <x:c r="O2201" s="2" t="str">
        <x:v>Accepted</x:v>
      </x:c>
      <x:c r="P2201" s="2" t="str">
        <x:v>S001</x:v>
      </x:c>
      <x:c r="Q2201" s="2" t="str">
        <x:v>DEV001</x:v>
      </x:c>
      <x:c r="R2201" s="2" t="n">
        <x:v>56</x:v>
      </x:c>
      <x:c r="S2201" s="2" t="str">
        <x:v>Online</x:v>
      </x:c>
      <x:c r="T2201" s="2" t="str">
        <x:v>Synced</x:v>
      </x:c>
    </x:row>
    <x:row r="2202" ht="21" customHeight="1">
      <x:c r="A2202" s="2" t="str">
        <x:v>EV002166</x:v>
      </x:c>
      <x:c r="B2202" s="2" t="str">
        <x:v>T20261008-2-2</x:v>
      </x:c>
      <x:c r="C2202" s="2" t="str">
        <x:v>ST076</x:v>
      </x:c>
      <x:c r="D2202" s="2" t="str">
        <x:v>08979b9eef223b076885fe932d9f2bca</x:v>
      </x:c>
      <x:c r="E2202" s="2" t="str">
        <x:v>CHECK_OUT</x:v>
      </x:c>
      <x:c r="F2202" s="8" t="n">
        <x:v>46303.50677083334</x:v>
      </x:c>
      <x:c r="G2202" s="8" t="n">
        <x:v>46303.50679398148</x:v>
      </x:c>
      <x:c r="H2202" s="2" t="str">
        <x:v>SCH01</x:v>
      </x:c>
      <x:c r="I2202" s="9" t="n">
        <x:v>25.285</x:v>
      </x:c>
      <x:c r="J2202" s="9" t="n">
        <x:v>51.51</x:v>
      </x:c>
      <x:c r="K2202" s="2" t="n">
        <x:v>8</x:v>
      </x:c>
      <x:c r="L2202" s="2" t="str">
        <x:v>Valid</x:v>
      </x:c>
      <x:c r="M2202" s="2" t="str">
        <x:v>QR</x:v>
      </x:c>
      <x:c r="N2202" s="2" t="n">
        <x:v>1</x:v>
      </x:c>
      <x:c r="O2202" s="2" t="str">
        <x:v>Accepted</x:v>
      </x:c>
      <x:c r="P2202" s="2" t="str">
        <x:v>S002</x:v>
      </x:c>
      <x:c r="Q2202" s="2" t="str">
        <x:v>DEV002</x:v>
      </x:c>
      <x:c r="R2202" s="2" t="n">
        <x:v>56</x:v>
      </x:c>
      <x:c r="S2202" s="2" t="str">
        <x:v>Online</x:v>
      </x:c>
      <x:c r="T2202" s="2" t="str">
        <x:v>Synced</x:v>
      </x:c>
    </x:row>
    <x:row r="2203" ht="21" customHeight="1">
      <x:c r="A2203" s="2" t="str">
        <x:v>EV002326</x:v>
      </x:c>
      <x:c r="B2203" s="2" t="str">
        <x:v>T20261008-2-3</x:v>
      </x:c>
      <x:c r="C2203" s="2" t="str">
        <x:v>ST116</x:v>
      </x:c>
      <x:c r="D2203" s="2" t="str">
        <x:v>1c1fddc89afc564845795907cf1b7b0e</x:v>
      </x:c>
      <x:c r="E2203" s="2" t="str">
        <x:v>CHECK_OUT</x:v>
      </x:c>
      <x:c r="F2203" s="8" t="n">
        <x:v>46303.50677083334</x:v>
      </x:c>
      <x:c r="G2203" s="8" t="n">
        <x:v>46303.50679398148</x:v>
      </x:c>
      <x:c r="H2203" s="2" t="str">
        <x:v>SCH01</x:v>
      </x:c>
      <x:c r="I2203" s="9" t="n">
        <x:v>25.285</x:v>
      </x:c>
      <x:c r="J2203" s="9" t="n">
        <x:v>51.51</x:v>
      </x:c>
      <x:c r="K2203" s="2" t="n">
        <x:v>8</x:v>
      </x:c>
      <x:c r="L2203" s="2" t="str">
        <x:v>Valid</x:v>
      </x:c>
      <x:c r="M2203" s="2" t="str">
        <x:v>QR</x:v>
      </x:c>
      <x:c r="N2203" s="2" t="n">
        <x:v>1</x:v>
      </x:c>
      <x:c r="O2203" s="2" t="str">
        <x:v>Accepted</x:v>
      </x:c>
      <x:c r="P2203" s="2" t="str">
        <x:v>S003</x:v>
      </x:c>
      <x:c r="Q2203" s="2" t="str">
        <x:v>DEV003</x:v>
      </x:c>
      <x:c r="R2203" s="2" t="n">
        <x:v>56</x:v>
      </x:c>
      <x:c r="S2203" s="2" t="str">
        <x:v>Online</x:v>
      </x:c>
      <x:c r="T2203" s="2" t="str">
        <x:v>Synced</x:v>
      </x:c>
    </x:row>
    <x:row r="2204" ht="21" customHeight="1">
      <x:c r="A2204" s="2" t="str">
        <x:v>EV002008</x:v>
      </x:c>
      <x:c r="B2204" s="2" t="str">
        <x:v>T20261008-2-1</x:v>
      </x:c>
      <x:c r="C2204" s="2" t="str">
        <x:v>ST037</x:v>
      </x:c>
      <x:c r="D2204" s="2" t="str">
        <x:v>eb6cdfa5572c8f6959c8b9c84b8ec493</x:v>
      </x:c>
      <x:c r="E2204" s="2" t="str">
        <x:v>CHECK_OUT</x:v>
      </x:c>
      <x:c r="F2204" s="8" t="n">
        <x:v>46303.50680555556</x:v>
      </x:c>
      <x:c r="G2204" s="8" t="n">
        <x:v>46303.50682870371</x:v>
      </x:c>
      <x:c r="H2204" s="2" t="str">
        <x:v>SCH01</x:v>
      </x:c>
      <x:c r="I2204" s="9" t="n">
        <x:v>25.285</x:v>
      </x:c>
      <x:c r="J2204" s="9" t="n">
        <x:v>51.51</x:v>
      </x:c>
      <x:c r="K2204" s="2" t="n">
        <x:v>8</x:v>
      </x:c>
      <x:c r="L2204" s="2" t="str">
        <x:v>Valid</x:v>
      </x:c>
      <x:c r="M2204" s="2" t="str">
        <x:v>QR</x:v>
      </x:c>
      <x:c r="N2204" s="2" t="n">
        <x:v>1</x:v>
      </x:c>
      <x:c r="O2204" s="2" t="str">
        <x:v>Accepted</x:v>
      </x:c>
      <x:c r="P2204" s="2" t="str">
        <x:v>S001</x:v>
      </x:c>
      <x:c r="Q2204" s="2" t="str">
        <x:v>DEV001</x:v>
      </x:c>
      <x:c r="R2204" s="2" t="n">
        <x:v>57</x:v>
      </x:c>
      <x:c r="S2204" s="2" t="str">
        <x:v>Online</x:v>
      </x:c>
      <x:c r="T2204" s="2" t="str">
        <x:v>Synced</x:v>
      </x:c>
    </x:row>
    <x:row r="2205" ht="21" customHeight="1">
      <x:c r="A2205" s="2" t="str">
        <x:v>EV002168</x:v>
      </x:c>
      <x:c r="B2205" s="2" t="str">
        <x:v>T20261008-2-2</x:v>
      </x:c>
      <x:c r="C2205" s="2" t="str">
        <x:v>ST077</x:v>
      </x:c>
      <x:c r="D2205" s="2" t="str">
        <x:v>af7b8314f6c372daf48e6b95332f6a0f</x:v>
      </x:c>
      <x:c r="E2205" s="2" t="str">
        <x:v>CHECK_OUT</x:v>
      </x:c>
      <x:c r="F2205" s="8" t="n">
        <x:v>46303.50680555556</x:v>
      </x:c>
      <x:c r="G2205" s="8" t="n">
        <x:v>46303.50682870371</x:v>
      </x:c>
      <x:c r="H2205" s="2" t="str">
        <x:v>SCH01</x:v>
      </x:c>
      <x:c r="I2205" s="9" t="n">
        <x:v>25.285</x:v>
      </x:c>
      <x:c r="J2205" s="9" t="n">
        <x:v>51.51</x:v>
      </x:c>
      <x:c r="K2205" s="2" t="n">
        <x:v>8</x:v>
      </x:c>
      <x:c r="L2205" s="2" t="str">
        <x:v>Valid</x:v>
      </x:c>
      <x:c r="M2205" s="2" t="str">
        <x:v>QR</x:v>
      </x:c>
      <x:c r="N2205" s="2" t="n">
        <x:v>1</x:v>
      </x:c>
      <x:c r="O2205" s="2" t="str">
        <x:v>Accepted</x:v>
      </x:c>
      <x:c r="P2205" s="2" t="str">
        <x:v>S002</x:v>
      </x:c>
      <x:c r="Q2205" s="2" t="str">
        <x:v>DEV002</x:v>
      </x:c>
      <x:c r="R2205" s="2" t="n">
        <x:v>57</x:v>
      </x:c>
      <x:c r="S2205" s="2" t="str">
        <x:v>Online</x:v>
      </x:c>
      <x:c r="T2205" s="2" t="str">
        <x:v>Synced</x:v>
      </x:c>
    </x:row>
    <x:row r="2206" ht="21" customHeight="1">
      <x:c r="A2206" s="2" t="str">
        <x:v>EV002328</x:v>
      </x:c>
      <x:c r="B2206" s="2" t="str">
        <x:v>T20261008-2-3</x:v>
      </x:c>
      <x:c r="C2206" s="2" t="str">
        <x:v>ST117</x:v>
      </x:c>
      <x:c r="D2206" s="2" t="str">
        <x:v>195a54aea4adbe89371209e73878e4fe</x:v>
      </x:c>
      <x:c r="E2206" s="2" t="str">
        <x:v>CHECK_OUT</x:v>
      </x:c>
      <x:c r="F2206" s="8" t="n">
        <x:v>46303.50680555556</x:v>
      </x:c>
      <x:c r="G2206" s="8" t="n">
        <x:v>46303.50682870371</x:v>
      </x:c>
      <x:c r="H2206" s="2" t="str">
        <x:v>SCH01</x:v>
      </x:c>
      <x:c r="I2206" s="9" t="n">
        <x:v>25.285</x:v>
      </x:c>
      <x:c r="J2206" s="9" t="n">
        <x:v>51.51</x:v>
      </x:c>
      <x:c r="K2206" s="2" t="n">
        <x:v>8</x:v>
      </x:c>
      <x:c r="L2206" s="2" t="str">
        <x:v>Valid</x:v>
      </x:c>
      <x:c r="M2206" s="2" t="str">
        <x:v>QR</x:v>
      </x:c>
      <x:c r="N2206" s="2" t="n">
        <x:v>1</x:v>
      </x:c>
      <x:c r="O2206" s="2" t="str">
        <x:v>Accepted</x:v>
      </x:c>
      <x:c r="P2206" s="2" t="str">
        <x:v>S003</x:v>
      </x:c>
      <x:c r="Q2206" s="2" t="str">
        <x:v>DEV003</x:v>
      </x:c>
      <x:c r="R2206" s="2" t="n">
        <x:v>57</x:v>
      </x:c>
      <x:c r="S2206" s="2" t="str">
        <x:v>Online</x:v>
      </x:c>
      <x:c r="T2206" s="2" t="str">
        <x:v>Synced</x:v>
      </x:c>
    </x:row>
    <x:row r="2207" ht="21" customHeight="1">
      <x:c r="A2207" s="2" t="str">
        <x:v>EV002010</x:v>
      </x:c>
      <x:c r="B2207" s="2" t="str">
        <x:v>T20261008-2-1</x:v>
      </x:c>
      <x:c r="C2207" s="2" t="str">
        <x:v>ST038</x:v>
      </x:c>
      <x:c r="D2207" s="2" t="str">
        <x:v>1ebedd777293ba897970ae7fc06b6301</x:v>
      </x:c>
      <x:c r="E2207" s="2" t="str">
        <x:v>CHECK_OUT</x:v>
      </x:c>
      <x:c r="F2207" s="8" t="n">
        <x:v>46303.50684027778</x:v>
      </x:c>
      <x:c r="G2207" s="8" t="n">
        <x:v>46303.50686342593</x:v>
      </x:c>
      <x:c r="H2207" s="2" t="str">
        <x:v>SCH01</x:v>
      </x:c>
      <x:c r="I2207" s="9" t="n">
        <x:v>25.285</x:v>
      </x:c>
      <x:c r="J2207" s="9" t="n">
        <x:v>51.51</x:v>
      </x:c>
      <x:c r="K2207" s="2" t="n">
        <x:v>8</x:v>
      </x:c>
      <x:c r="L2207" s="2" t="str">
        <x:v>Valid</x:v>
      </x:c>
      <x:c r="M2207" s="2" t="str">
        <x:v>QR</x:v>
      </x:c>
      <x:c r="N2207" s="2" t="n">
        <x:v>1</x:v>
      </x:c>
      <x:c r="O2207" s="2" t="str">
        <x:v>Accepted</x:v>
      </x:c>
      <x:c r="P2207" s="2" t="str">
        <x:v>S001</x:v>
      </x:c>
      <x:c r="Q2207" s="2" t="str">
        <x:v>DEV001</x:v>
      </x:c>
      <x:c r="R2207" s="2" t="n">
        <x:v>58</x:v>
      </x:c>
      <x:c r="S2207" s="2" t="str">
        <x:v>Online</x:v>
      </x:c>
      <x:c r="T2207" s="2" t="str">
        <x:v>Synced</x:v>
      </x:c>
    </x:row>
    <x:row r="2208" ht="21" customHeight="1">
      <x:c r="A2208" s="2" t="str">
        <x:v>EV002170</x:v>
      </x:c>
      <x:c r="B2208" s="2" t="str">
        <x:v>T20261008-2-2</x:v>
      </x:c>
      <x:c r="C2208" s="2" t="str">
        <x:v>ST078</x:v>
      </x:c>
      <x:c r="D2208" s="2" t="str">
        <x:v>737ab4e672bf11e638a47ae295f7e187</x:v>
      </x:c>
      <x:c r="E2208" s="2" t="str">
        <x:v>CHECK_OUT</x:v>
      </x:c>
      <x:c r="F2208" s="8" t="n">
        <x:v>46303.50684027778</x:v>
      </x:c>
      <x:c r="G2208" s="8" t="n">
        <x:v>46303.50686342593</x:v>
      </x:c>
      <x:c r="H2208" s="2" t="str">
        <x:v>SCH01</x:v>
      </x:c>
      <x:c r="I2208" s="9" t="n">
        <x:v>25.285</x:v>
      </x:c>
      <x:c r="J2208" s="9" t="n">
        <x:v>51.51</x:v>
      </x:c>
      <x:c r="K2208" s="2" t="n">
        <x:v>8</x:v>
      </x:c>
      <x:c r="L2208" s="2" t="str">
        <x:v>Valid</x:v>
      </x:c>
      <x:c r="M2208" s="2" t="str">
        <x:v>QR</x:v>
      </x:c>
      <x:c r="N2208" s="2" t="n">
        <x:v>1</x:v>
      </x:c>
      <x:c r="O2208" s="2" t="str">
        <x:v>Accepted</x:v>
      </x:c>
      <x:c r="P2208" s="2" t="str">
        <x:v>S002</x:v>
      </x:c>
      <x:c r="Q2208" s="2" t="str">
        <x:v>DEV002</x:v>
      </x:c>
      <x:c r="R2208" s="2" t="n">
        <x:v>58</x:v>
      </x:c>
      <x:c r="S2208" s="2" t="str">
        <x:v>Online</x:v>
      </x:c>
      <x:c r="T2208" s="2" t="str">
        <x:v>Synced</x:v>
      </x:c>
    </x:row>
    <x:row r="2209" ht="21" customHeight="1">
      <x:c r="A2209" s="2" t="str">
        <x:v>EV002330</x:v>
      </x:c>
      <x:c r="B2209" s="2" t="str">
        <x:v>T20261008-2-3</x:v>
      </x:c>
      <x:c r="C2209" s="2" t="str">
        <x:v>ST118</x:v>
      </x:c>
      <x:c r="D2209" s="2" t="str">
        <x:v>b15012a6111b47a10bdbbcbbd00c9f60</x:v>
      </x:c>
      <x:c r="E2209" s="2" t="str">
        <x:v>CHECK_OUT</x:v>
      </x:c>
      <x:c r="F2209" s="8" t="n">
        <x:v>46303.50684027778</x:v>
      </x:c>
      <x:c r="G2209" s="8" t="n">
        <x:v>46303.50686342593</x:v>
      </x:c>
      <x:c r="H2209" s="2" t="str">
        <x:v>SCH01</x:v>
      </x:c>
      <x:c r="I2209" s="9" t="n">
        <x:v>25.285</x:v>
      </x:c>
      <x:c r="J2209" s="9" t="n">
        <x:v>51.51</x:v>
      </x:c>
      <x:c r="K2209" s="2" t="n">
        <x:v>8</x:v>
      </x:c>
      <x:c r="L2209" s="2" t="str">
        <x:v>Valid</x:v>
      </x:c>
      <x:c r="M2209" s="2" t="str">
        <x:v>QR</x:v>
      </x:c>
      <x:c r="N2209" s="2" t="n">
        <x:v>1</x:v>
      </x:c>
      <x:c r="O2209" s="2" t="str">
        <x:v>Accepted</x:v>
      </x:c>
      <x:c r="P2209" s="2" t="str">
        <x:v>S003</x:v>
      </x:c>
      <x:c r="Q2209" s="2" t="str">
        <x:v>DEV003</x:v>
      </x:c>
      <x:c r="R2209" s="2" t="n">
        <x:v>58</x:v>
      </x:c>
      <x:c r="S2209" s="2" t="str">
        <x:v>Online</x:v>
      </x:c>
      <x:c r="T2209" s="2" t="str">
        <x:v>Synced</x:v>
      </x:c>
    </x:row>
    <x:row r="2210" ht="21" customHeight="1">
      <x:c r="A2210" s="2" t="str">
        <x:v>EV002012</x:v>
      </x:c>
      <x:c r="B2210" s="2" t="str">
        <x:v>T20261008-2-1</x:v>
      </x:c>
      <x:c r="C2210" s="2" t="str">
        <x:v>ST039</x:v>
      </x:c>
      <x:c r="D2210" s="2" t="str">
        <x:v>31ed548c9c06f555ac72ac2281bbb58a</x:v>
      </x:c>
      <x:c r="E2210" s="2" t="str">
        <x:v>CHECK_OUT</x:v>
      </x:c>
      <x:c r="F2210" s="8" t="n">
        <x:v>46303.50687500001</x:v>
      </x:c>
      <x:c r="G2210" s="8" t="n">
        <x:v>46303.50689814815</x:v>
      </x:c>
      <x:c r="H2210" s="2" t="str">
        <x:v>SCH01</x:v>
      </x:c>
      <x:c r="I2210" s="9" t="n">
        <x:v>25.285</x:v>
      </x:c>
      <x:c r="J2210" s="9" t="n">
        <x:v>51.51</x:v>
      </x:c>
      <x:c r="K2210" s="2" t="n">
        <x:v>8</x:v>
      </x:c>
      <x:c r="L2210" s="2" t="str">
        <x:v>Valid</x:v>
      </x:c>
      <x:c r="M2210" s="2" t="str">
        <x:v>QR</x:v>
      </x:c>
      <x:c r="N2210" s="2" t="n">
        <x:v>1</x:v>
      </x:c>
      <x:c r="O2210" s="2" t="str">
        <x:v>Accepted</x:v>
      </x:c>
      <x:c r="P2210" s="2" t="str">
        <x:v>S001</x:v>
      </x:c>
      <x:c r="Q2210" s="2" t="str">
        <x:v>DEV001</x:v>
      </x:c>
      <x:c r="R2210" s="2" t="n">
        <x:v>59</x:v>
      </x:c>
      <x:c r="S2210" s="2" t="str">
        <x:v>Online</x:v>
      </x:c>
      <x:c r="T2210" s="2" t="str">
        <x:v>Synced</x:v>
      </x:c>
    </x:row>
    <x:row r="2211" ht="21" customHeight="1">
      <x:c r="A2211" s="2" t="str">
        <x:v>EV002172</x:v>
      </x:c>
      <x:c r="B2211" s="2" t="str">
        <x:v>T20261008-2-2</x:v>
      </x:c>
      <x:c r="C2211" s="2" t="str">
        <x:v>ST079</x:v>
      </x:c>
      <x:c r="D2211" s="2" t="str">
        <x:v>3a794a47ff11773398f2344554eeea57</x:v>
      </x:c>
      <x:c r="E2211" s="2" t="str">
        <x:v>CHECK_OUT</x:v>
      </x:c>
      <x:c r="F2211" s="8" t="n">
        <x:v>46303.50687500001</x:v>
      </x:c>
      <x:c r="G2211" s="8" t="n">
        <x:v>46303.50689814815</x:v>
      </x:c>
      <x:c r="H2211" s="2" t="str">
        <x:v>SCH01</x:v>
      </x:c>
      <x:c r="I2211" s="9" t="n">
        <x:v>25.285</x:v>
      </x:c>
      <x:c r="J2211" s="9" t="n">
        <x:v>51.51</x:v>
      </x:c>
      <x:c r="K2211" s="2" t="n">
        <x:v>8</x:v>
      </x:c>
      <x:c r="L2211" s="2" t="str">
        <x:v>Valid</x:v>
      </x:c>
      <x:c r="M2211" s="2" t="str">
        <x:v>QR</x:v>
      </x:c>
      <x:c r="N2211" s="2" t="n">
        <x:v>1</x:v>
      </x:c>
      <x:c r="O2211" s="2" t="str">
        <x:v>Accepted</x:v>
      </x:c>
      <x:c r="P2211" s="2" t="str">
        <x:v>S002</x:v>
      </x:c>
      <x:c r="Q2211" s="2" t="str">
        <x:v>DEV002</x:v>
      </x:c>
      <x:c r="R2211" s="2" t="n">
        <x:v>59</x:v>
      </x:c>
      <x:c r="S2211" s="2" t="str">
        <x:v>Online</x:v>
      </x:c>
      <x:c r="T2211" s="2" t="str">
        <x:v>Synced</x:v>
      </x:c>
    </x:row>
    <x:row r="2212" ht="21" customHeight="1">
      <x:c r="A2212" s="2" t="str">
        <x:v>EV002332</x:v>
      </x:c>
      <x:c r="B2212" s="2" t="str">
        <x:v>T20261008-2-3</x:v>
      </x:c>
      <x:c r="C2212" s="2" t="str">
        <x:v>ST119</x:v>
      </x:c>
      <x:c r="D2212" s="2" t="str">
        <x:v>c01a05a48293e3b7c907c4b326c0d0a8</x:v>
      </x:c>
      <x:c r="E2212" s="2" t="str">
        <x:v>CHECK_OUT</x:v>
      </x:c>
      <x:c r="F2212" s="8" t="n">
        <x:v>46303.50687500001</x:v>
      </x:c>
      <x:c r="G2212" s="8" t="n">
        <x:v>46303.50689814815</x:v>
      </x:c>
      <x:c r="H2212" s="2" t="str">
        <x:v>SCH01</x:v>
      </x:c>
      <x:c r="I2212" s="9" t="n">
        <x:v>25.285</x:v>
      </x:c>
      <x:c r="J2212" s="9" t="n">
        <x:v>51.51</x:v>
      </x:c>
      <x:c r="K2212" s="2" t="n">
        <x:v>8</x:v>
      </x:c>
      <x:c r="L2212" s="2" t="str">
        <x:v>Valid</x:v>
      </x:c>
      <x:c r="M2212" s="2" t="str">
        <x:v>QR</x:v>
      </x:c>
      <x:c r="N2212" s="2" t="n">
        <x:v>1</x:v>
      </x:c>
      <x:c r="O2212" s="2" t="str">
        <x:v>Accepted</x:v>
      </x:c>
      <x:c r="P2212" s="2" t="str">
        <x:v>S003</x:v>
      </x:c>
      <x:c r="Q2212" s="2" t="str">
        <x:v>DEV003</x:v>
      </x:c>
      <x:c r="R2212" s="2" t="n">
        <x:v>59</x:v>
      </x:c>
      <x:c r="S2212" s="2" t="str">
        <x:v>Online</x:v>
      </x:c>
      <x:c r="T2212" s="2" t="str">
        <x:v>Synced</x:v>
      </x:c>
    </x:row>
    <x:row r="2213" ht="21" customHeight="1">
      <x:c r="A2213" s="2" t="str">
        <x:v>EV002014</x:v>
      </x:c>
      <x:c r="B2213" s="2" t="str">
        <x:v>T20261008-2-1</x:v>
      </x:c>
      <x:c r="C2213" s="2" t="str">
        <x:v>ST040</x:v>
      </x:c>
      <x:c r="D2213" s="2" t="str">
        <x:v>4cd5e507bb3c8af27cd11d16138dcec0</x:v>
      </x:c>
      <x:c r="E2213" s="2" t="str">
        <x:v>CHECK_OUT</x:v>
      </x:c>
      <x:c r="F2213" s="8" t="n">
        <x:v>46303.50690972222</x:v>
      </x:c>
      <x:c r="G2213" s="8" t="n">
        <x:v>46303.50693287037</x:v>
      </x:c>
      <x:c r="H2213" s="2" t="str">
        <x:v>SCH01</x:v>
      </x:c>
      <x:c r="I2213" s="9" t="n">
        <x:v>25.285</x:v>
      </x:c>
      <x:c r="J2213" s="9" t="n">
        <x:v>51.51</x:v>
      </x:c>
      <x:c r="K2213" s="2" t="n">
        <x:v>8</x:v>
      </x:c>
      <x:c r="L2213" s="2" t="str">
        <x:v>Valid</x:v>
      </x:c>
      <x:c r="M2213" s="2" t="str">
        <x:v>QR</x:v>
      </x:c>
      <x:c r="N2213" s="2" t="n">
        <x:v>1</x:v>
      </x:c>
      <x:c r="O2213" s="2" t="str">
        <x:v>Accepted</x:v>
      </x:c>
      <x:c r="P2213" s="2" t="str">
        <x:v>S001</x:v>
      </x:c>
      <x:c r="Q2213" s="2" t="str">
        <x:v>DEV001</x:v>
      </x:c>
      <x:c r="R2213" s="2" t="n">
        <x:v>60</x:v>
      </x:c>
      <x:c r="S2213" s="2" t="str">
        <x:v>Online</x:v>
      </x:c>
      <x:c r="T2213" s="2" t="str">
        <x:v>Synced</x:v>
      </x:c>
    </x:row>
    <x:row r="2214" ht="21" customHeight="1">
      <x:c r="A2214" s="2" t="str">
        <x:v>EV002174</x:v>
      </x:c>
      <x:c r="B2214" s="2" t="str">
        <x:v>T20261008-2-2</x:v>
      </x:c>
      <x:c r="C2214" s="2" t="str">
        <x:v>ST080</x:v>
      </x:c>
      <x:c r="D2214" s="2" t="str">
        <x:v>0abaf17d1472c0347862177fd9880be2</x:v>
      </x:c>
      <x:c r="E2214" s="2" t="str">
        <x:v>CHECK_OUT</x:v>
      </x:c>
      <x:c r="F2214" s="8" t="n">
        <x:v>46303.50690972222</x:v>
      </x:c>
      <x:c r="G2214" s="8" t="n">
        <x:v>46303.50693287037</x:v>
      </x:c>
      <x:c r="H2214" s="2" t="str">
        <x:v>SCH01</x:v>
      </x:c>
      <x:c r="I2214" s="9" t="n">
        <x:v>25.285</x:v>
      </x:c>
      <x:c r="J2214" s="9" t="n">
        <x:v>51.51</x:v>
      </x:c>
      <x:c r="K2214" s="2" t="n">
        <x:v>8</x:v>
      </x:c>
      <x:c r="L2214" s="2" t="str">
        <x:v>Valid</x:v>
      </x:c>
      <x:c r="M2214" s="2" t="str">
        <x:v>QR</x:v>
      </x:c>
      <x:c r="N2214" s="2" t="n">
        <x:v>1</x:v>
      </x:c>
      <x:c r="O2214" s="2" t="str">
        <x:v>Accepted</x:v>
      </x:c>
      <x:c r="P2214" s="2" t="str">
        <x:v>S002</x:v>
      </x:c>
      <x:c r="Q2214" s="2" t="str">
        <x:v>DEV002</x:v>
      </x:c>
      <x:c r="R2214" s="2" t="n">
        <x:v>60</x:v>
      </x:c>
      <x:c r="S2214" s="2" t="str">
        <x:v>Online</x:v>
      </x:c>
      <x:c r="T2214" s="2" t="str">
        <x:v>Synced</x:v>
      </x:c>
    </x:row>
    <x:row r="2215" ht="21" customHeight="1">
      <x:c r="A2215" s="2" t="str">
        <x:v>EV002334</x:v>
      </x:c>
      <x:c r="B2215" s="2" t="str">
        <x:v>T20261008-2-3</x:v>
      </x:c>
      <x:c r="C2215" s="2" t="str">
        <x:v>ST120</x:v>
      </x:c>
      <x:c r="D2215" s="2" t="str">
        <x:v>c3749f3342e76b516e5c145f91308219</x:v>
      </x:c>
      <x:c r="E2215" s="2" t="str">
        <x:v>CHECK_OUT</x:v>
      </x:c>
      <x:c r="F2215" s="8" t="n">
        <x:v>46303.50690972222</x:v>
      </x:c>
      <x:c r="G2215" s="8" t="n">
        <x:v>46303.50693287037</x:v>
      </x:c>
      <x:c r="H2215" s="2" t="str">
        <x:v>SCH01</x:v>
      </x:c>
      <x:c r="I2215" s="9" t="n">
        <x:v>25.285</x:v>
      </x:c>
      <x:c r="J2215" s="9" t="n">
        <x:v>51.51</x:v>
      </x:c>
      <x:c r="K2215" s="2" t="n">
        <x:v>8</x:v>
      </x:c>
      <x:c r="L2215" s="2" t="str">
        <x:v>Valid</x:v>
      </x:c>
      <x:c r="M2215" s="2" t="str">
        <x:v>QR</x:v>
      </x:c>
      <x:c r="N2215" s="2" t="n">
        <x:v>1</x:v>
      </x:c>
      <x:c r="O2215" s="2" t="str">
        <x:v>Accepted</x:v>
      </x:c>
      <x:c r="P2215" s="2" t="str">
        <x:v>S003</x:v>
      </x:c>
      <x:c r="Q2215" s="2" t="str">
        <x:v>DEV003</x:v>
      </x:c>
      <x:c r="R2215" s="2" t="n">
        <x:v>60</x:v>
      </x:c>
      <x:c r="S2215" s="2" t="str">
        <x:v>Online</x:v>
      </x:c>
      <x:c r="T2215" s="2" t="str">
        <x:v>Synced</x:v>
      </x:c>
    </x:row>
    <x:row r="2216" ht="21" customHeight="1">
      <x:c r="A2216" s="2" t="str">
        <x:v>EV002015</x:v>
      </x:c>
      <x:c r="B2216" s="2" t="str">
        <x:v>T20261008-3-1</x:v>
      </x:c>
      <x:c r="C2216" s="2" t="str">
        <x:v>ST011</x:v>
      </x:c>
      <x:c r="D2216" s="2" t="str">
        <x:v>38c917effc7ec45ac750455eb7892f3e</x:v>
      </x:c>
      <x:c r="E2216" s="2" t="str">
        <x:v>CHECK_IN</x:v>
      </x:c>
      <x:c r="F2216" s="8" t="n">
        <x:v>46303.57291666667</x:v>
      </x:c>
      <x:c r="G2216" s="8" t="n">
        <x:v>46303.57293981482</x:v>
      </x:c>
      <x:c r="H2216" s="2" t="str">
        <x:v>SCH01</x:v>
      </x:c>
      <x:c r="I2216" s="9" t="n">
        <x:v>25.285</x:v>
      </x:c>
      <x:c r="J2216" s="9" t="n">
        <x:v>51.51</x:v>
      </x:c>
      <x:c r="K2216" s="2" t="n">
        <x:v>8</x:v>
      </x:c>
      <x:c r="L2216" s="2" t="str">
        <x:v>Valid</x:v>
      </x:c>
      <x:c r="M2216" s="2" t="str">
        <x:v>QR</x:v>
      </x:c>
      <x:c r="N2216" s="2" t="n">
        <x:v>1</x:v>
      </x:c>
      <x:c r="O2216" s="2" t="str">
        <x:v>Accepted</x:v>
      </x:c>
      <x:c r="P2216" s="2" t="str">
        <x:v>S001</x:v>
      </x:c>
      <x:c r="Q2216" s="2" t="str">
        <x:v>DEV001</x:v>
      </x:c>
      <x:c r="R2216" s="2" t="n">
        <x:v>1</x:v>
      </x:c>
      <x:c r="S2216" s="2" t="str">
        <x:v>Online</x:v>
      </x:c>
      <x:c r="T2216" s="2" t="str">
        <x:v>Synced</x:v>
      </x:c>
    </x:row>
    <x:row r="2217" ht="21" customHeight="1">
      <x:c r="A2217" s="2" t="str">
        <x:v>EV002175</x:v>
      </x:c>
      <x:c r="B2217" s="2" t="str">
        <x:v>T20261008-3-2</x:v>
      </x:c>
      <x:c r="C2217" s="2" t="str">
        <x:v>ST051</x:v>
      </x:c>
      <x:c r="D2217" s="2" t="str">
        <x:v>410a66d29aea7be5806f7d6945266303</x:v>
      </x:c>
      <x:c r="E2217" s="2" t="str">
        <x:v>CHECK_IN</x:v>
      </x:c>
      <x:c r="F2217" s="8" t="n">
        <x:v>46303.57291666667</x:v>
      </x:c>
      <x:c r="G2217" s="8" t="n">
        <x:v>46303.57293981482</x:v>
      </x:c>
      <x:c r="H2217" s="2" t="str">
        <x:v>SCH01</x:v>
      </x:c>
      <x:c r="I2217" s="9" t="n">
        <x:v>25.285</x:v>
      </x:c>
      <x:c r="J2217" s="9" t="n">
        <x:v>51.51</x:v>
      </x:c>
      <x:c r="K2217" s="2" t="n">
        <x:v>8</x:v>
      </x:c>
      <x:c r="L2217" s="2" t="str">
        <x:v>Valid</x:v>
      </x:c>
      <x:c r="M2217" s="2" t="str">
        <x:v>QR</x:v>
      </x:c>
      <x:c r="N2217" s="2" t="n">
        <x:v>1</x:v>
      </x:c>
      <x:c r="O2217" s="2" t="str">
        <x:v>Accepted</x:v>
      </x:c>
      <x:c r="P2217" s="2" t="str">
        <x:v>S002</x:v>
      </x:c>
      <x:c r="Q2217" s="2" t="str">
        <x:v>DEV002</x:v>
      </x:c>
      <x:c r="R2217" s="2" t="n">
        <x:v>1</x:v>
      </x:c>
      <x:c r="S2217" s="2" t="str">
        <x:v>Online</x:v>
      </x:c>
      <x:c r="T2217" s="2" t="str">
        <x:v>Synced</x:v>
      </x:c>
    </x:row>
    <x:row r="2218" ht="21" customHeight="1">
      <x:c r="A2218" s="2" t="str">
        <x:v>EV002335</x:v>
      </x:c>
      <x:c r="B2218" s="2" t="str">
        <x:v>T20261008-3-3</x:v>
      </x:c>
      <x:c r="C2218" s="2" t="str">
        <x:v>ST091</x:v>
      </x:c>
      <x:c r="D2218" s="2" t="str">
        <x:v>2d74afc7329a1eb53bd16a92fc366891</x:v>
      </x:c>
      <x:c r="E2218" s="2" t="str">
        <x:v>CHECK_IN</x:v>
      </x:c>
      <x:c r="F2218" s="8" t="n">
        <x:v>46303.57291666667</x:v>
      </x:c>
      <x:c r="G2218" s="8" t="n">
        <x:v>46303.57293981482</x:v>
      </x:c>
      <x:c r="H2218" s="2" t="str">
        <x:v>SCH01</x:v>
      </x:c>
      <x:c r="I2218" s="9" t="n">
        <x:v>25.285</x:v>
      </x:c>
      <x:c r="J2218" s="9" t="n">
        <x:v>51.51</x:v>
      </x:c>
      <x:c r="K2218" s="2" t="n">
        <x:v>8</x:v>
      </x:c>
      <x:c r="L2218" s="2" t="str">
        <x:v>Valid</x:v>
      </x:c>
      <x:c r="M2218" s="2" t="str">
        <x:v>QR</x:v>
      </x:c>
      <x:c r="N2218" s="2" t="n">
        <x:v>1</x:v>
      </x:c>
      <x:c r="O2218" s="2" t="str">
        <x:v>Accepted</x:v>
      </x:c>
      <x:c r="P2218" s="2" t="str">
        <x:v>S003</x:v>
      </x:c>
      <x:c r="Q2218" s="2" t="str">
        <x:v>DEV003</x:v>
      </x:c>
      <x:c r="R2218" s="2" t="n">
        <x:v>1</x:v>
      </x:c>
      <x:c r="S2218" s="2" t="str">
        <x:v>Online</x:v>
      </x:c>
      <x:c r="T2218" s="2" t="str">
        <x:v>Synced</x:v>
      </x:c>
    </x:row>
    <x:row r="2219" ht="21" customHeight="1">
      <x:c r="A2219" s="2" t="str">
        <x:v>EV002017</x:v>
      </x:c>
      <x:c r="B2219" s="2" t="str">
        <x:v>T20261008-3-1</x:v>
      </x:c>
      <x:c r="C2219" s="2" t="str">
        <x:v>ST012</x:v>
      </x:c>
      <x:c r="D2219" s="2" t="str">
        <x:v>8d45a06a93234042b630e18d7821ea23</x:v>
      </x:c>
      <x:c r="E2219" s="2" t="str">
        <x:v>CHECK_IN</x:v>
      </x:c>
      <x:c r="F2219" s="8" t="n">
        <x:v>46303.572951388895</x:v>
      </x:c>
      <x:c r="G2219" s="8" t="n">
        <x:v>46303.57297453704</x:v>
      </x:c>
      <x:c r="H2219" s="2" t="str">
        <x:v>SCH01</x:v>
      </x:c>
      <x:c r="I2219" s="9" t="n">
        <x:v>25.285</x:v>
      </x:c>
      <x:c r="J2219" s="9" t="n">
        <x:v>51.51</x:v>
      </x:c>
      <x:c r="K2219" s="2" t="n">
        <x:v>8</x:v>
      </x:c>
      <x:c r="L2219" s="2" t="str">
        <x:v>Valid</x:v>
      </x:c>
      <x:c r="M2219" s="2" t="str">
        <x:v>QR</x:v>
      </x:c>
      <x:c r="N2219" s="2" t="n">
        <x:v>1</x:v>
      </x:c>
      <x:c r="O2219" s="2" t="str">
        <x:v>Accepted</x:v>
      </x:c>
      <x:c r="P2219" s="2" t="str">
        <x:v>S001</x:v>
      </x:c>
      <x:c r="Q2219" s="2" t="str">
        <x:v>DEV001</x:v>
      </x:c>
      <x:c r="R2219" s="2" t="n">
        <x:v>2</x:v>
      </x:c>
      <x:c r="S2219" s="2" t="str">
        <x:v>Online</x:v>
      </x:c>
      <x:c r="T2219" s="2" t="str">
        <x:v>Synced</x:v>
      </x:c>
    </x:row>
    <x:row r="2220" ht="21" customHeight="1">
      <x:c r="A2220" s="2" t="str">
        <x:v>EV002177</x:v>
      </x:c>
      <x:c r="B2220" s="2" t="str">
        <x:v>T20261008-3-2</x:v>
      </x:c>
      <x:c r="C2220" s="2" t="str">
        <x:v>ST052</x:v>
      </x:c>
      <x:c r="D2220" s="2" t="str">
        <x:v>0c1c5957fe0604ae228ff5e1e1a785bc</x:v>
      </x:c>
      <x:c r="E2220" s="2" t="str">
        <x:v>CHECK_IN</x:v>
      </x:c>
      <x:c r="F2220" s="8" t="n">
        <x:v>46303.572951388895</x:v>
      </x:c>
      <x:c r="G2220" s="8" t="n">
        <x:v>46303.57297453704</x:v>
      </x:c>
      <x:c r="H2220" s="2" t="str">
        <x:v>SCH01</x:v>
      </x:c>
      <x:c r="I2220" s="9" t="n">
        <x:v>25.285</x:v>
      </x:c>
      <x:c r="J2220" s="9" t="n">
        <x:v>51.51</x:v>
      </x:c>
      <x:c r="K2220" s="2" t="n">
        <x:v>8</x:v>
      </x:c>
      <x:c r="L2220" s="2" t="str">
        <x:v>Valid</x:v>
      </x:c>
      <x:c r="M2220" s="2" t="str">
        <x:v>QR</x:v>
      </x:c>
      <x:c r="N2220" s="2" t="n">
        <x:v>1</x:v>
      </x:c>
      <x:c r="O2220" s="2" t="str">
        <x:v>Accepted</x:v>
      </x:c>
      <x:c r="P2220" s="2" t="str">
        <x:v>S002</x:v>
      </x:c>
      <x:c r="Q2220" s="2" t="str">
        <x:v>DEV002</x:v>
      </x:c>
      <x:c r="R2220" s="2" t="n">
        <x:v>2</x:v>
      </x:c>
      <x:c r="S2220" s="2" t="str">
        <x:v>Online</x:v>
      </x:c>
      <x:c r="T2220" s="2" t="str">
        <x:v>Synced</x:v>
      </x:c>
    </x:row>
    <x:row r="2221" ht="21" customHeight="1">
      <x:c r="A2221" s="2" t="str">
        <x:v>EV002337</x:v>
      </x:c>
      <x:c r="B2221" s="2" t="str">
        <x:v>T20261008-3-3</x:v>
      </x:c>
      <x:c r="C2221" s="2" t="str">
        <x:v>ST092</x:v>
      </x:c>
      <x:c r="D2221" s="2" t="str">
        <x:v>e83e93b137787f284ae9574a02ff0cc7</x:v>
      </x:c>
      <x:c r="E2221" s="2" t="str">
        <x:v>CHECK_IN</x:v>
      </x:c>
      <x:c r="F2221" s="8" t="n">
        <x:v>46303.572951388895</x:v>
      </x:c>
      <x:c r="G2221" s="8" t="n">
        <x:v>46303.57297453704</x:v>
      </x:c>
      <x:c r="H2221" s="2" t="str">
        <x:v>SCH01</x:v>
      </x:c>
      <x:c r="I2221" s="9" t="n">
        <x:v>25.285</x:v>
      </x:c>
      <x:c r="J2221" s="9" t="n">
        <x:v>51.51</x:v>
      </x:c>
      <x:c r="K2221" s="2" t="n">
        <x:v>8</x:v>
      </x:c>
      <x:c r="L2221" s="2" t="str">
        <x:v>Valid</x:v>
      </x:c>
      <x:c r="M2221" s="2" t="str">
        <x:v>QR</x:v>
      </x:c>
      <x:c r="N2221" s="2" t="n">
        <x:v>1</x:v>
      </x:c>
      <x:c r="O2221" s="2" t="str">
        <x:v>Accepted</x:v>
      </x:c>
      <x:c r="P2221" s="2" t="str">
        <x:v>S003</x:v>
      </x:c>
      <x:c r="Q2221" s="2" t="str">
        <x:v>DEV003</x:v>
      </x:c>
      <x:c r="R2221" s="2" t="n">
        <x:v>2</x:v>
      </x:c>
      <x:c r="S2221" s="2" t="str">
        <x:v>Online</x:v>
      </x:c>
      <x:c r="T2221" s="2" t="str">
        <x:v>Synced</x:v>
      </x:c>
    </x:row>
    <x:row r="2222" ht="21" customHeight="1">
      <x:c r="A2222" s="2" t="str">
        <x:v>EV002019</x:v>
      </x:c>
      <x:c r="B2222" s="2" t="str">
        <x:v>T20261008-3-1</x:v>
      </x:c>
      <x:c r="C2222" s="2" t="str">
        <x:v>ST013</x:v>
      </x:c>
      <x:c r="D2222" s="2" t="str">
        <x:v>ddc4bbe364f02f5a2177795c49ea7ba9</x:v>
      </x:c>
      <x:c r="E2222" s="2" t="str">
        <x:v>CHECK_IN</x:v>
      </x:c>
      <x:c r="F2222" s="8" t="n">
        <x:v>46303.57298611112</x:v>
      </x:c>
      <x:c r="G2222" s="8" t="n">
        <x:v>46303.573009259264</x:v>
      </x:c>
      <x:c r="H2222" s="2" t="str">
        <x:v>SCH01</x:v>
      </x:c>
      <x:c r="I2222" s="9" t="n">
        <x:v>25.285</x:v>
      </x:c>
      <x:c r="J2222" s="9" t="n">
        <x:v>51.51</x:v>
      </x:c>
      <x:c r="K2222" s="2" t="n">
        <x:v>8</x:v>
      </x:c>
      <x:c r="L2222" s="2" t="str">
        <x:v>Valid</x:v>
      </x:c>
      <x:c r="M2222" s="2" t="str">
        <x:v>QR</x:v>
      </x:c>
      <x:c r="N2222" s="2" t="n">
        <x:v>1</x:v>
      </x:c>
      <x:c r="O2222" s="2" t="str">
        <x:v>Accepted</x:v>
      </x:c>
      <x:c r="P2222" s="2" t="str">
        <x:v>S001</x:v>
      </x:c>
      <x:c r="Q2222" s="2" t="str">
        <x:v>DEV001</x:v>
      </x:c>
      <x:c r="R2222" s="2" t="n">
        <x:v>3</x:v>
      </x:c>
      <x:c r="S2222" s="2" t="str">
        <x:v>Online</x:v>
      </x:c>
      <x:c r="T2222" s="2" t="str">
        <x:v>Synced</x:v>
      </x:c>
    </x:row>
    <x:row r="2223" ht="21" customHeight="1">
      <x:c r="A2223" s="2" t="str">
        <x:v>EV002179</x:v>
      </x:c>
      <x:c r="B2223" s="2" t="str">
        <x:v>T20261008-3-2</x:v>
      </x:c>
      <x:c r="C2223" s="2" t="str">
        <x:v>ST053</x:v>
      </x:c>
      <x:c r="D2223" s="2" t="str">
        <x:v>e476277c519e294480cfa14a37e177a0</x:v>
      </x:c>
      <x:c r="E2223" s="2" t="str">
        <x:v>CHECK_IN</x:v>
      </x:c>
      <x:c r="F2223" s="8" t="n">
        <x:v>46303.57298611112</x:v>
      </x:c>
      <x:c r="G2223" s="8" t="n">
        <x:v>46303.573009259264</x:v>
      </x:c>
      <x:c r="H2223" s="2" t="str">
        <x:v>SCH01</x:v>
      </x:c>
      <x:c r="I2223" s="9" t="n">
        <x:v>25.285</x:v>
      </x:c>
      <x:c r="J2223" s="9" t="n">
        <x:v>51.51</x:v>
      </x:c>
      <x:c r="K2223" s="2" t="n">
        <x:v>8</x:v>
      </x:c>
      <x:c r="L2223" s="2" t="str">
        <x:v>Valid</x:v>
      </x:c>
      <x:c r="M2223" s="2" t="str">
        <x:v>QR</x:v>
      </x:c>
      <x:c r="N2223" s="2" t="n">
        <x:v>1</x:v>
      </x:c>
      <x:c r="O2223" s="2" t="str">
        <x:v>Accepted</x:v>
      </x:c>
      <x:c r="P2223" s="2" t="str">
        <x:v>S002</x:v>
      </x:c>
      <x:c r="Q2223" s="2" t="str">
        <x:v>DEV002</x:v>
      </x:c>
      <x:c r="R2223" s="2" t="n">
        <x:v>3</x:v>
      </x:c>
      <x:c r="S2223" s="2" t="str">
        <x:v>Online</x:v>
      </x:c>
      <x:c r="T2223" s="2" t="str">
        <x:v>Synced</x:v>
      </x:c>
    </x:row>
    <x:row r="2224" ht="21" customHeight="1">
      <x:c r="A2224" s="2" t="str">
        <x:v>EV002339</x:v>
      </x:c>
      <x:c r="B2224" s="2" t="str">
        <x:v>T20261008-3-3</x:v>
      </x:c>
      <x:c r="C2224" s="2" t="str">
        <x:v>ST093</x:v>
      </x:c>
      <x:c r="D2224" s="2" t="str">
        <x:v>e69cdca4f10e82426e9a3098f4672791</x:v>
      </x:c>
      <x:c r="E2224" s="2" t="str">
        <x:v>CHECK_IN</x:v>
      </x:c>
      <x:c r="F2224" s="8" t="n">
        <x:v>46303.57298611112</x:v>
      </x:c>
      <x:c r="G2224" s="8" t="n">
        <x:v>46303.573009259264</x:v>
      </x:c>
      <x:c r="H2224" s="2" t="str">
        <x:v>SCH01</x:v>
      </x:c>
      <x:c r="I2224" s="9" t="n">
        <x:v>25.285</x:v>
      </x:c>
      <x:c r="J2224" s="9" t="n">
        <x:v>51.51</x:v>
      </x:c>
      <x:c r="K2224" s="2" t="n">
        <x:v>8</x:v>
      </x:c>
      <x:c r="L2224" s="2" t="str">
        <x:v>Valid</x:v>
      </x:c>
      <x:c r="M2224" s="2" t="str">
        <x:v>QR</x:v>
      </x:c>
      <x:c r="N2224" s="2" t="n">
        <x:v>1</x:v>
      </x:c>
      <x:c r="O2224" s="2" t="str">
        <x:v>Accepted</x:v>
      </x:c>
      <x:c r="P2224" s="2" t="str">
        <x:v>S003</x:v>
      </x:c>
      <x:c r="Q2224" s="2" t="str">
        <x:v>DEV003</x:v>
      </x:c>
      <x:c r="R2224" s="2" t="n">
        <x:v>3</x:v>
      </x:c>
      <x:c r="S2224" s="2" t="str">
        <x:v>Online</x:v>
      </x:c>
      <x:c r="T2224" s="2" t="str">
        <x:v>Synced</x:v>
      </x:c>
    </x:row>
    <x:row r="2225" ht="21" customHeight="1">
      <x:c r="A2225" s="2" t="str">
        <x:v>EV002021</x:v>
      </x:c>
      <x:c r="B2225" s="2" t="str">
        <x:v>T20261008-3-1</x:v>
      </x:c>
      <x:c r="C2225" s="2" t="str">
        <x:v>ST014</x:v>
      </x:c>
      <x:c r="D2225" s="2" t="str">
        <x:v>6ea4b25306143e251962ae19fa8ee7af</x:v>
      </x:c>
      <x:c r="E2225" s="2" t="str">
        <x:v>CHECK_IN</x:v>
      </x:c>
      <x:c r="F2225" s="8" t="n">
        <x:v>46303.57302083334</x:v>
      </x:c>
      <x:c r="G2225" s="8" t="n">
        <x:v>46303.57304398149</x:v>
      </x:c>
      <x:c r="H2225" s="2" t="str">
        <x:v>SCH01</x:v>
      </x:c>
      <x:c r="I2225" s="9" t="n">
        <x:v>25.285</x:v>
      </x:c>
      <x:c r="J2225" s="9" t="n">
        <x:v>51.51</x:v>
      </x:c>
      <x:c r="K2225" s="2" t="n">
        <x:v>8</x:v>
      </x:c>
      <x:c r="L2225" s="2" t="str">
        <x:v>Valid</x:v>
      </x:c>
      <x:c r="M2225" s="2" t="str">
        <x:v>QR</x:v>
      </x:c>
      <x:c r="N2225" s="2" t="n">
        <x:v>1</x:v>
      </x:c>
      <x:c r="O2225" s="2" t="str">
        <x:v>Accepted</x:v>
      </x:c>
      <x:c r="P2225" s="2" t="str">
        <x:v>S001</x:v>
      </x:c>
      <x:c r="Q2225" s="2" t="str">
        <x:v>DEV001</x:v>
      </x:c>
      <x:c r="R2225" s="2" t="n">
        <x:v>4</x:v>
      </x:c>
      <x:c r="S2225" s="2" t="str">
        <x:v>Online</x:v>
      </x:c>
      <x:c r="T2225" s="2" t="str">
        <x:v>Synced</x:v>
      </x:c>
    </x:row>
    <x:row r="2226" ht="21" customHeight="1">
      <x:c r="A2226" s="2" t="str">
        <x:v>EV002181</x:v>
      </x:c>
      <x:c r="B2226" s="2" t="str">
        <x:v>T20261008-3-2</x:v>
      </x:c>
      <x:c r="C2226" s="2" t="str">
        <x:v>ST054</x:v>
      </x:c>
      <x:c r="D2226" s="2" t="str">
        <x:v>1c9a916db52e081aeb59bc928cb914dd</x:v>
      </x:c>
      <x:c r="E2226" s="2" t="str">
        <x:v>CHECK_IN</x:v>
      </x:c>
      <x:c r="F2226" s="8" t="n">
        <x:v>46303.57302083334</x:v>
      </x:c>
      <x:c r="G2226" s="8" t="n">
        <x:v>46303.57304398149</x:v>
      </x:c>
      <x:c r="H2226" s="2" t="str">
        <x:v>SCH01</x:v>
      </x:c>
      <x:c r="I2226" s="9" t="n">
        <x:v>25.285</x:v>
      </x:c>
      <x:c r="J2226" s="9" t="n">
        <x:v>51.51</x:v>
      </x:c>
      <x:c r="K2226" s="2" t="n">
        <x:v>8</x:v>
      </x:c>
      <x:c r="L2226" s="2" t="str">
        <x:v>Valid</x:v>
      </x:c>
      <x:c r="M2226" s="2" t="str">
        <x:v>QR</x:v>
      </x:c>
      <x:c r="N2226" s="2" t="n">
        <x:v>1</x:v>
      </x:c>
      <x:c r="O2226" s="2" t="str">
        <x:v>Accepted</x:v>
      </x:c>
      <x:c r="P2226" s="2" t="str">
        <x:v>S002</x:v>
      </x:c>
      <x:c r="Q2226" s="2" t="str">
        <x:v>DEV002</x:v>
      </x:c>
      <x:c r="R2226" s="2" t="n">
        <x:v>4</x:v>
      </x:c>
      <x:c r="S2226" s="2" t="str">
        <x:v>Online</x:v>
      </x:c>
      <x:c r="T2226" s="2" t="str">
        <x:v>Synced</x:v>
      </x:c>
    </x:row>
    <x:row r="2227" ht="21" customHeight="1">
      <x:c r="A2227" s="2" t="str">
        <x:v>EV002341</x:v>
      </x:c>
      <x:c r="B2227" s="2" t="str">
        <x:v>T20261008-3-3</x:v>
      </x:c>
      <x:c r="C2227" s="2" t="str">
        <x:v>ST094</x:v>
      </x:c>
      <x:c r="D2227" s="2" t="str">
        <x:v>b6fd37c188877a378c496dccb3132cf2</x:v>
      </x:c>
      <x:c r="E2227" s="2" t="str">
        <x:v>CHECK_IN</x:v>
      </x:c>
      <x:c r="F2227" s="8" t="n">
        <x:v>46303.57302083334</x:v>
      </x:c>
      <x:c r="G2227" s="8" t="n">
        <x:v>46303.57304398149</x:v>
      </x:c>
      <x:c r="H2227" s="2" t="str">
        <x:v>SCH01</x:v>
      </x:c>
      <x:c r="I2227" s="9" t="n">
        <x:v>25.285</x:v>
      </x:c>
      <x:c r="J2227" s="9" t="n">
        <x:v>51.51</x:v>
      </x:c>
      <x:c r="K2227" s="2" t="n">
        <x:v>8</x:v>
      </x:c>
      <x:c r="L2227" s="2" t="str">
        <x:v>Valid</x:v>
      </x:c>
      <x:c r="M2227" s="2" t="str">
        <x:v>QR</x:v>
      </x:c>
      <x:c r="N2227" s="2" t="n">
        <x:v>1</x:v>
      </x:c>
      <x:c r="O2227" s="2" t="str">
        <x:v>Accepted</x:v>
      </x:c>
      <x:c r="P2227" s="2" t="str">
        <x:v>S003</x:v>
      </x:c>
      <x:c r="Q2227" s="2" t="str">
        <x:v>DEV003</x:v>
      </x:c>
      <x:c r="R2227" s="2" t="n">
        <x:v>4</x:v>
      </x:c>
      <x:c r="S2227" s="2" t="str">
        <x:v>Online</x:v>
      </x:c>
      <x:c r="T2227" s="2" t="str">
        <x:v>Synced</x:v>
      </x:c>
    </x:row>
    <x:row r="2228" ht="21" customHeight="1">
      <x:c r="A2228" s="2" t="str">
        <x:v>EV002023</x:v>
      </x:c>
      <x:c r="B2228" s="2" t="str">
        <x:v>T20261008-3-1</x:v>
      </x:c>
      <x:c r="C2228" s="2" t="str">
        <x:v>ST015</x:v>
      </x:c>
      <x:c r="D2228" s="2" t="str">
        <x:v>997c76227e9b12bdccc68d0d53a8d1df</x:v>
      </x:c>
      <x:c r="E2228" s="2" t="str">
        <x:v>CHECK_IN</x:v>
      </x:c>
      <x:c r="F2228" s="8" t="n">
        <x:v>46303.573055555564</x:v>
      </x:c>
      <x:c r="G2228" s="8" t="n">
        <x:v>46303.57307870371</x:v>
      </x:c>
      <x:c r="H2228" s="2" t="str">
        <x:v>SCH01</x:v>
      </x:c>
      <x:c r="I2228" s="9" t="n">
        <x:v>25.285</x:v>
      </x:c>
      <x:c r="J2228" s="9" t="n">
        <x:v>51.51</x:v>
      </x:c>
      <x:c r="K2228" s="2" t="n">
        <x:v>8</x:v>
      </x:c>
      <x:c r="L2228" s="2" t="str">
        <x:v>Valid</x:v>
      </x:c>
      <x:c r="M2228" s="2" t="str">
        <x:v>QR</x:v>
      </x:c>
      <x:c r="N2228" s="2" t="n">
        <x:v>1</x:v>
      </x:c>
      <x:c r="O2228" s="2" t="str">
        <x:v>Accepted</x:v>
      </x:c>
      <x:c r="P2228" s="2" t="str">
        <x:v>S001</x:v>
      </x:c>
      <x:c r="Q2228" s="2" t="str">
        <x:v>DEV001</x:v>
      </x:c>
      <x:c r="R2228" s="2" t="n">
        <x:v>5</x:v>
      </x:c>
      <x:c r="S2228" s="2" t="str">
        <x:v>Online</x:v>
      </x:c>
      <x:c r="T2228" s="2" t="str">
        <x:v>Synced</x:v>
      </x:c>
    </x:row>
    <x:row r="2229" ht="21" customHeight="1">
      <x:c r="A2229" s="2" t="str">
        <x:v>EV002183</x:v>
      </x:c>
      <x:c r="B2229" s="2" t="str">
        <x:v>T20261008-3-2</x:v>
      </x:c>
      <x:c r="C2229" s="2" t="str">
        <x:v>ST055</x:v>
      </x:c>
      <x:c r="D2229" s="2" t="str">
        <x:v>e796258b9306e2b3efab77a21add36a5</x:v>
      </x:c>
      <x:c r="E2229" s="2" t="str">
        <x:v>CHECK_IN</x:v>
      </x:c>
      <x:c r="F2229" s="8" t="n">
        <x:v>46303.573055555564</x:v>
      </x:c>
      <x:c r="G2229" s="8" t="n">
        <x:v>46303.57307870371</x:v>
      </x:c>
      <x:c r="H2229" s="2" t="str">
        <x:v>SCH01</x:v>
      </x:c>
      <x:c r="I2229" s="9" t="n">
        <x:v>25.285</x:v>
      </x:c>
      <x:c r="J2229" s="9" t="n">
        <x:v>51.51</x:v>
      </x:c>
      <x:c r="K2229" s="2" t="n">
        <x:v>8</x:v>
      </x:c>
      <x:c r="L2229" s="2" t="str">
        <x:v>Valid</x:v>
      </x:c>
      <x:c r="M2229" s="2" t="str">
        <x:v>QR</x:v>
      </x:c>
      <x:c r="N2229" s="2" t="n">
        <x:v>1</x:v>
      </x:c>
      <x:c r="O2229" s="2" t="str">
        <x:v>Accepted</x:v>
      </x:c>
      <x:c r="P2229" s="2" t="str">
        <x:v>S002</x:v>
      </x:c>
      <x:c r="Q2229" s="2" t="str">
        <x:v>DEV002</x:v>
      </x:c>
      <x:c r="R2229" s="2" t="n">
        <x:v>5</x:v>
      </x:c>
      <x:c r="S2229" s="2" t="str">
        <x:v>Online</x:v>
      </x:c>
      <x:c r="T2229" s="2" t="str">
        <x:v>Synced</x:v>
      </x:c>
    </x:row>
    <x:row r="2230" ht="21" customHeight="1">
      <x:c r="A2230" s="2" t="str">
        <x:v>EV002343</x:v>
      </x:c>
      <x:c r="B2230" s="2" t="str">
        <x:v>T20261008-3-3</x:v>
      </x:c>
      <x:c r="C2230" s="2" t="str">
        <x:v>ST095</x:v>
      </x:c>
      <x:c r="D2230" s="2" t="str">
        <x:v>0935ee2c52872353d5a355eed1202dbe</x:v>
      </x:c>
      <x:c r="E2230" s="2" t="str">
        <x:v>CHECK_IN</x:v>
      </x:c>
      <x:c r="F2230" s="8" t="n">
        <x:v>46303.573055555564</x:v>
      </x:c>
      <x:c r="G2230" s="8" t="n">
        <x:v>46303.57307870371</x:v>
      </x:c>
      <x:c r="H2230" s="2" t="str">
        <x:v>SCH01</x:v>
      </x:c>
      <x:c r="I2230" s="9" t="n">
        <x:v>25.285</x:v>
      </x:c>
      <x:c r="J2230" s="9" t="n">
        <x:v>51.51</x:v>
      </x:c>
      <x:c r="K2230" s="2" t="n">
        <x:v>8</x:v>
      </x:c>
      <x:c r="L2230" s="2" t="str">
        <x:v>Valid</x:v>
      </x:c>
      <x:c r="M2230" s="2" t="str">
        <x:v>QR</x:v>
      </x:c>
      <x:c r="N2230" s="2" t="n">
        <x:v>1</x:v>
      </x:c>
      <x:c r="O2230" s="2" t="str">
        <x:v>Accepted</x:v>
      </x:c>
      <x:c r="P2230" s="2" t="str">
        <x:v>S003</x:v>
      </x:c>
      <x:c r="Q2230" s="2" t="str">
        <x:v>DEV003</x:v>
      </x:c>
      <x:c r="R2230" s="2" t="n">
        <x:v>5</x:v>
      </x:c>
      <x:c r="S2230" s="2" t="str">
        <x:v>Online</x:v>
      </x:c>
      <x:c r="T2230" s="2" t="str">
        <x:v>Synced</x:v>
      </x:c>
    </x:row>
    <x:row r="2231" ht="21" customHeight="1">
      <x:c r="A2231" s="2" t="str">
        <x:v>EV002025</x:v>
      </x:c>
      <x:c r="B2231" s="2" t="str">
        <x:v>T20261008-3-1</x:v>
      </x:c>
      <x:c r="C2231" s="2" t="str">
        <x:v>ST016</x:v>
      </x:c>
      <x:c r="D2231" s="2" t="str">
        <x:v>5227a65bcc4ea356d570fe16b2970ea5</x:v>
      </x:c>
      <x:c r="E2231" s="2" t="str">
        <x:v>CHECK_IN</x:v>
      </x:c>
      <x:c r="F2231" s="8" t="n">
        <x:v>46303.57309027778</x:v>
      </x:c>
      <x:c r="G2231" s="8" t="n">
        <x:v>46303.573113425926</x:v>
      </x:c>
      <x:c r="H2231" s="2" t="str">
        <x:v>SCH01</x:v>
      </x:c>
      <x:c r="I2231" s="9" t="n">
        <x:v>25.285</x:v>
      </x:c>
      <x:c r="J2231" s="9" t="n">
        <x:v>51.51</x:v>
      </x:c>
      <x:c r="K2231" s="2" t="n">
        <x:v>8</x:v>
      </x:c>
      <x:c r="L2231" s="2" t="str">
        <x:v>Valid</x:v>
      </x:c>
      <x:c r="M2231" s="2" t="str">
        <x:v>QR</x:v>
      </x:c>
      <x:c r="N2231" s="2" t="n">
        <x:v>1</x:v>
      </x:c>
      <x:c r="O2231" s="2" t="str">
        <x:v>Accepted</x:v>
      </x:c>
      <x:c r="P2231" s="2" t="str">
        <x:v>S001</x:v>
      </x:c>
      <x:c r="Q2231" s="2" t="str">
        <x:v>DEV001</x:v>
      </x:c>
      <x:c r="R2231" s="2" t="n">
        <x:v>6</x:v>
      </x:c>
      <x:c r="S2231" s="2" t="str">
        <x:v>Online</x:v>
      </x:c>
      <x:c r="T2231" s="2" t="str">
        <x:v>Synced</x:v>
      </x:c>
    </x:row>
    <x:row r="2232" ht="21" customHeight="1">
      <x:c r="A2232" s="2" t="str">
        <x:v>EV002185</x:v>
      </x:c>
      <x:c r="B2232" s="2" t="str">
        <x:v>T20261008-3-2</x:v>
      </x:c>
      <x:c r="C2232" s="2" t="str">
        <x:v>ST056</x:v>
      </x:c>
      <x:c r="D2232" s="2" t="str">
        <x:v>245ed370430be1001f6d7d13404dd8b1</x:v>
      </x:c>
      <x:c r="E2232" s="2" t="str">
        <x:v>CHECK_IN</x:v>
      </x:c>
      <x:c r="F2232" s="8" t="n">
        <x:v>46303.57309027778</x:v>
      </x:c>
      <x:c r="G2232" s="8" t="n">
        <x:v>46303.573113425926</x:v>
      </x:c>
      <x:c r="H2232" s="2" t="str">
        <x:v>SCH01</x:v>
      </x:c>
      <x:c r="I2232" s="9" t="n">
        <x:v>25.285</x:v>
      </x:c>
      <x:c r="J2232" s="9" t="n">
        <x:v>51.51</x:v>
      </x:c>
      <x:c r="K2232" s="2" t="n">
        <x:v>8</x:v>
      </x:c>
      <x:c r="L2232" s="2" t="str">
        <x:v>Valid</x:v>
      </x:c>
      <x:c r="M2232" s="2" t="str">
        <x:v>QR</x:v>
      </x:c>
      <x:c r="N2232" s="2" t="n">
        <x:v>1</x:v>
      </x:c>
      <x:c r="O2232" s="2" t="str">
        <x:v>Accepted</x:v>
      </x:c>
      <x:c r="P2232" s="2" t="str">
        <x:v>S002</x:v>
      </x:c>
      <x:c r="Q2232" s="2" t="str">
        <x:v>DEV002</x:v>
      </x:c>
      <x:c r="R2232" s="2" t="n">
        <x:v>6</x:v>
      </x:c>
      <x:c r="S2232" s="2" t="str">
        <x:v>Online</x:v>
      </x:c>
      <x:c r="T2232" s="2" t="str">
        <x:v>Synced</x:v>
      </x:c>
    </x:row>
    <x:row r="2233" ht="21" customHeight="1">
      <x:c r="A2233" s="2" t="str">
        <x:v>EV002345</x:v>
      </x:c>
      <x:c r="B2233" s="2" t="str">
        <x:v>T20261008-3-3</x:v>
      </x:c>
      <x:c r="C2233" s="2" t="str">
        <x:v>ST096</x:v>
      </x:c>
      <x:c r="D2233" s="2" t="str">
        <x:v>46905fa8ca039f79eec63d82a6ea3c69</x:v>
      </x:c>
      <x:c r="E2233" s="2" t="str">
        <x:v>CHECK_IN</x:v>
      </x:c>
      <x:c r="F2233" s="8" t="n">
        <x:v>46303.57309027778</x:v>
      </x:c>
      <x:c r="G2233" s="8" t="n">
        <x:v>46303.573113425926</x:v>
      </x:c>
      <x:c r="H2233" s="2" t="str">
        <x:v>SCH01</x:v>
      </x:c>
      <x:c r="I2233" s="9" t="n">
        <x:v>25.285</x:v>
      </x:c>
      <x:c r="J2233" s="9" t="n">
        <x:v>51.51</x:v>
      </x:c>
      <x:c r="K2233" s="2" t="n">
        <x:v>8</x:v>
      </x:c>
      <x:c r="L2233" s="2" t="str">
        <x:v>Valid</x:v>
      </x:c>
      <x:c r="M2233" s="2" t="str">
        <x:v>QR</x:v>
      </x:c>
      <x:c r="N2233" s="2" t="n">
        <x:v>1</x:v>
      </x:c>
      <x:c r="O2233" s="2" t="str">
        <x:v>Accepted</x:v>
      </x:c>
      <x:c r="P2233" s="2" t="str">
        <x:v>S003</x:v>
      </x:c>
      <x:c r="Q2233" s="2" t="str">
        <x:v>DEV003</x:v>
      </x:c>
      <x:c r="R2233" s="2" t="n">
        <x:v>6</x:v>
      </x:c>
      <x:c r="S2233" s="2" t="str">
        <x:v>Online</x:v>
      </x:c>
      <x:c r="T2233" s="2" t="str">
        <x:v>Synced</x:v>
      </x:c>
    </x:row>
    <x:row r="2234" ht="21" customHeight="1">
      <x:c r="A2234" s="2" t="str">
        <x:v>EV002027</x:v>
      </x:c>
      <x:c r="B2234" s="2" t="str">
        <x:v>T20261008-3-1</x:v>
      </x:c>
      <x:c r="C2234" s="2" t="str">
        <x:v>ST017</x:v>
      </x:c>
      <x:c r="D2234" s="2" t="str">
        <x:v>ea6159d457322f2456f4cadd6b3d659f</x:v>
      </x:c>
      <x:c r="E2234" s="2" t="str">
        <x:v>CHECK_IN</x:v>
      </x:c>
      <x:c r="F2234" s="8" t="n">
        <x:v>46303.573125</x:v>
      </x:c>
      <x:c r="G2234" s="8" t="n">
        <x:v>46303.57314814815</x:v>
      </x:c>
      <x:c r="H2234" s="2" t="str">
        <x:v>SCH01</x:v>
      </x:c>
      <x:c r="I2234" s="9" t="n">
        <x:v>25.285</x:v>
      </x:c>
      <x:c r="J2234" s="9" t="n">
        <x:v>51.51</x:v>
      </x:c>
      <x:c r="K2234" s="2" t="n">
        <x:v>8</x:v>
      </x:c>
      <x:c r="L2234" s="2" t="str">
        <x:v>Valid</x:v>
      </x:c>
      <x:c r="M2234" s="2" t="str">
        <x:v>QR</x:v>
      </x:c>
      <x:c r="N2234" s="2" t="n">
        <x:v>1</x:v>
      </x:c>
      <x:c r="O2234" s="2" t="str">
        <x:v>Accepted</x:v>
      </x:c>
      <x:c r="P2234" s="2" t="str">
        <x:v>S001</x:v>
      </x:c>
      <x:c r="Q2234" s="2" t="str">
        <x:v>DEV001</x:v>
      </x:c>
      <x:c r="R2234" s="2" t="n">
        <x:v>7</x:v>
      </x:c>
      <x:c r="S2234" s="2" t="str">
        <x:v>Online</x:v>
      </x:c>
      <x:c r="T2234" s="2" t="str">
        <x:v>Synced</x:v>
      </x:c>
    </x:row>
    <x:row r="2235" ht="21" customHeight="1">
      <x:c r="A2235" s="2" t="str">
        <x:v>EV002187</x:v>
      </x:c>
      <x:c r="B2235" s="2" t="str">
        <x:v>T20261008-3-2</x:v>
      </x:c>
      <x:c r="C2235" s="2" t="str">
        <x:v>ST057</x:v>
      </x:c>
      <x:c r="D2235" s="2" t="str">
        <x:v>68d992c7418727808ad27d2e5ee9b88d</x:v>
      </x:c>
      <x:c r="E2235" s="2" t="str">
        <x:v>CHECK_IN</x:v>
      </x:c>
      <x:c r="F2235" s="8" t="n">
        <x:v>46303.573125</x:v>
      </x:c>
      <x:c r="G2235" s="8" t="n">
        <x:v>46303.57314814815</x:v>
      </x:c>
      <x:c r="H2235" s="2" t="str">
        <x:v>SCH01</x:v>
      </x:c>
      <x:c r="I2235" s="9" t="n">
        <x:v>25.285</x:v>
      </x:c>
      <x:c r="J2235" s="9" t="n">
        <x:v>51.51</x:v>
      </x:c>
      <x:c r="K2235" s="2" t="n">
        <x:v>8</x:v>
      </x:c>
      <x:c r="L2235" s="2" t="str">
        <x:v>Valid</x:v>
      </x:c>
      <x:c r="M2235" s="2" t="str">
        <x:v>QR</x:v>
      </x:c>
      <x:c r="N2235" s="2" t="n">
        <x:v>1</x:v>
      </x:c>
      <x:c r="O2235" s="2" t="str">
        <x:v>Accepted</x:v>
      </x:c>
      <x:c r="P2235" s="2" t="str">
        <x:v>S002</x:v>
      </x:c>
      <x:c r="Q2235" s="2" t="str">
        <x:v>DEV002</x:v>
      </x:c>
      <x:c r="R2235" s="2" t="n">
        <x:v>7</x:v>
      </x:c>
      <x:c r="S2235" s="2" t="str">
        <x:v>Online</x:v>
      </x:c>
      <x:c r="T2235" s="2" t="str">
        <x:v>Synced</x:v>
      </x:c>
    </x:row>
    <x:row r="2236" ht="21" customHeight="1">
      <x:c r="A2236" s="2" t="str">
        <x:v>EV002347</x:v>
      </x:c>
      <x:c r="B2236" s="2" t="str">
        <x:v>T20261008-3-3</x:v>
      </x:c>
      <x:c r="C2236" s="2" t="str">
        <x:v>ST097</x:v>
      </x:c>
      <x:c r="D2236" s="2" t="str">
        <x:v>0ccbf8d08569df9dde2207b8d5616d1e</x:v>
      </x:c>
      <x:c r="E2236" s="2" t="str">
        <x:v>CHECK_IN</x:v>
      </x:c>
      <x:c r="F2236" s="8" t="n">
        <x:v>46303.573125</x:v>
      </x:c>
      <x:c r="G2236" s="8" t="n">
        <x:v>46303.57314814815</x:v>
      </x:c>
      <x:c r="H2236" s="2" t="str">
        <x:v>SCH01</x:v>
      </x:c>
      <x:c r="I2236" s="9" t="n">
        <x:v>25.285</x:v>
      </x:c>
      <x:c r="J2236" s="9" t="n">
        <x:v>51.51</x:v>
      </x:c>
      <x:c r="K2236" s="2" t="n">
        <x:v>8</x:v>
      </x:c>
      <x:c r="L2236" s="2" t="str">
        <x:v>Valid</x:v>
      </x:c>
      <x:c r="M2236" s="2" t="str">
        <x:v>QR</x:v>
      </x:c>
      <x:c r="N2236" s="2" t="n">
        <x:v>1</x:v>
      </x:c>
      <x:c r="O2236" s="2" t="str">
        <x:v>Accepted</x:v>
      </x:c>
      <x:c r="P2236" s="2" t="str">
        <x:v>S003</x:v>
      </x:c>
      <x:c r="Q2236" s="2" t="str">
        <x:v>DEV003</x:v>
      </x:c>
      <x:c r="R2236" s="2" t="n">
        <x:v>7</x:v>
      </x:c>
      <x:c r="S2236" s="2" t="str">
        <x:v>Online</x:v>
      </x:c>
      <x:c r="T2236" s="2" t="str">
        <x:v>Synced</x:v>
      </x:c>
    </x:row>
    <x:row r="2237" ht="21" customHeight="1">
      <x:c r="A2237" s="2" t="str">
        <x:v>EV002029</x:v>
      </x:c>
      <x:c r="B2237" s="2" t="str">
        <x:v>T20261008-3-1</x:v>
      </x:c>
      <x:c r="C2237" s="2" t="str">
        <x:v>ST018</x:v>
      </x:c>
      <x:c r="D2237" s="2" t="str">
        <x:v>4c1b40081ed5c7c21b8392ee528dbe54</x:v>
      </x:c>
      <x:c r="E2237" s="2" t="str">
        <x:v>CHECK_IN</x:v>
      </x:c>
      <x:c r="F2237" s="8" t="n">
        <x:v>46303.573159722226</x:v>
      </x:c>
      <x:c r="G2237" s="8" t="n">
        <x:v>46303.57318287037</x:v>
      </x:c>
      <x:c r="H2237" s="2" t="str">
        <x:v>SCH01</x:v>
      </x:c>
      <x:c r="I2237" s="9" t="n">
        <x:v>25.285</x:v>
      </x:c>
      <x:c r="J2237" s="9" t="n">
        <x:v>51.51</x:v>
      </x:c>
      <x:c r="K2237" s="2" t="n">
        <x:v>8</x:v>
      </x:c>
      <x:c r="L2237" s="2" t="str">
        <x:v>Valid</x:v>
      </x:c>
      <x:c r="M2237" s="2" t="str">
        <x:v>QR</x:v>
      </x:c>
      <x:c r="N2237" s="2" t="n">
        <x:v>1</x:v>
      </x:c>
      <x:c r="O2237" s="2" t="str">
        <x:v>Accepted</x:v>
      </x:c>
      <x:c r="P2237" s="2" t="str">
        <x:v>S001</x:v>
      </x:c>
      <x:c r="Q2237" s="2" t="str">
        <x:v>DEV001</x:v>
      </x:c>
      <x:c r="R2237" s="2" t="n">
        <x:v>8</x:v>
      </x:c>
      <x:c r="S2237" s="2" t="str">
        <x:v>Online</x:v>
      </x:c>
      <x:c r="T2237" s="2" t="str">
        <x:v>Synced</x:v>
      </x:c>
    </x:row>
    <x:row r="2238" ht="21" customHeight="1">
      <x:c r="A2238" s="2" t="str">
        <x:v>EV002189</x:v>
      </x:c>
      <x:c r="B2238" s="2" t="str">
        <x:v>T20261008-3-2</x:v>
      </x:c>
      <x:c r="C2238" s="2" t="str">
        <x:v>ST058</x:v>
      </x:c>
      <x:c r="D2238" s="2" t="str">
        <x:v>ebf7e65b57e2c8bcd02f90b1d5692596</x:v>
      </x:c>
      <x:c r="E2238" s="2" t="str">
        <x:v>CHECK_IN</x:v>
      </x:c>
      <x:c r="F2238" s="8" t="n">
        <x:v>46303.573159722226</x:v>
      </x:c>
      <x:c r="G2238" s="8" t="n">
        <x:v>46303.57318287037</x:v>
      </x:c>
      <x:c r="H2238" s="2" t="str">
        <x:v>SCH01</x:v>
      </x:c>
      <x:c r="I2238" s="9" t="n">
        <x:v>25.285</x:v>
      </x:c>
      <x:c r="J2238" s="9" t="n">
        <x:v>51.51</x:v>
      </x:c>
      <x:c r="K2238" s="2" t="n">
        <x:v>8</x:v>
      </x:c>
      <x:c r="L2238" s="2" t="str">
        <x:v>Valid</x:v>
      </x:c>
      <x:c r="M2238" s="2" t="str">
        <x:v>QR</x:v>
      </x:c>
      <x:c r="N2238" s="2" t="n">
        <x:v>1</x:v>
      </x:c>
      <x:c r="O2238" s="2" t="str">
        <x:v>Accepted</x:v>
      </x:c>
      <x:c r="P2238" s="2" t="str">
        <x:v>S002</x:v>
      </x:c>
      <x:c r="Q2238" s="2" t="str">
        <x:v>DEV002</x:v>
      </x:c>
      <x:c r="R2238" s="2" t="n">
        <x:v>8</x:v>
      </x:c>
      <x:c r="S2238" s="2" t="str">
        <x:v>Online</x:v>
      </x:c>
      <x:c r="T2238" s="2" t="str">
        <x:v>Synced</x:v>
      </x:c>
    </x:row>
    <x:row r="2239" ht="21" customHeight="1">
      <x:c r="A2239" s="2" t="str">
        <x:v>EV002349</x:v>
      </x:c>
      <x:c r="B2239" s="2" t="str">
        <x:v>T20261008-3-3</x:v>
      </x:c>
      <x:c r="C2239" s="2" t="str">
        <x:v>ST098</x:v>
      </x:c>
      <x:c r="D2239" s="2" t="str">
        <x:v>4b453acdeca94f98f11a429464f7bff7</x:v>
      </x:c>
      <x:c r="E2239" s="2" t="str">
        <x:v>CHECK_IN</x:v>
      </x:c>
      <x:c r="F2239" s="8" t="n">
        <x:v>46303.573159722226</x:v>
      </x:c>
      <x:c r="G2239" s="8" t="n">
        <x:v>46303.57318287037</x:v>
      </x:c>
      <x:c r="H2239" s="2" t="str">
        <x:v>SCH01</x:v>
      </x:c>
      <x:c r="I2239" s="9" t="n">
        <x:v>25.285</x:v>
      </x:c>
      <x:c r="J2239" s="9" t="n">
        <x:v>51.51</x:v>
      </x:c>
      <x:c r="K2239" s="2" t="n">
        <x:v>8</x:v>
      </x:c>
      <x:c r="L2239" s="2" t="str">
        <x:v>Valid</x:v>
      </x:c>
      <x:c r="M2239" s="2" t="str">
        <x:v>QR</x:v>
      </x:c>
      <x:c r="N2239" s="2" t="n">
        <x:v>1</x:v>
      </x:c>
      <x:c r="O2239" s="2" t="str">
        <x:v>Accepted</x:v>
      </x:c>
      <x:c r="P2239" s="2" t="str">
        <x:v>S003</x:v>
      </x:c>
      <x:c r="Q2239" s="2" t="str">
        <x:v>DEV003</x:v>
      </x:c>
      <x:c r="R2239" s="2" t="n">
        <x:v>8</x:v>
      </x:c>
      <x:c r="S2239" s="2" t="str">
        <x:v>Online</x:v>
      </x:c>
      <x:c r="T2239" s="2" t="str">
        <x:v>Synced</x:v>
      </x:c>
    </x:row>
    <x:row r="2240" ht="21" customHeight="1">
      <x:c r="A2240" s="2" t="str">
        <x:v>EV002031</x:v>
      </x:c>
      <x:c r="B2240" s="2" t="str">
        <x:v>T20261008-3-1</x:v>
      </x:c>
      <x:c r="C2240" s="2" t="str">
        <x:v>ST019</x:v>
      </x:c>
      <x:c r="D2240" s="2" t="str">
        <x:v>b83400b1b6dcfb0f7cb413571cb76f8f</x:v>
      </x:c>
      <x:c r="E2240" s="2" t="str">
        <x:v>CHECK_IN</x:v>
      </x:c>
      <x:c r="F2240" s="8" t="n">
        <x:v>46303.57319444445</x:v>
      </x:c>
      <x:c r="G2240" s="8" t="n">
        <x:v>46303.573217592595</x:v>
      </x:c>
      <x:c r="H2240" s="2" t="str">
        <x:v>SCH01</x:v>
      </x:c>
      <x:c r="I2240" s="9" t="n">
        <x:v>25.285</x:v>
      </x:c>
      <x:c r="J2240" s="9" t="n">
        <x:v>51.51</x:v>
      </x:c>
      <x:c r="K2240" s="2" t="n">
        <x:v>8</x:v>
      </x:c>
      <x:c r="L2240" s="2" t="str">
        <x:v>Valid</x:v>
      </x:c>
      <x:c r="M2240" s="2" t="str">
        <x:v>QR</x:v>
      </x:c>
      <x:c r="N2240" s="2" t="n">
        <x:v>1</x:v>
      </x:c>
      <x:c r="O2240" s="2" t="str">
        <x:v>Accepted</x:v>
      </x:c>
      <x:c r="P2240" s="2" t="str">
        <x:v>S001</x:v>
      </x:c>
      <x:c r="Q2240" s="2" t="str">
        <x:v>DEV001</x:v>
      </x:c>
      <x:c r="R2240" s="2" t="n">
        <x:v>9</x:v>
      </x:c>
      <x:c r="S2240" s="2" t="str">
        <x:v>Online</x:v>
      </x:c>
      <x:c r="T2240" s="2" t="str">
        <x:v>Synced</x:v>
      </x:c>
    </x:row>
    <x:row r="2241" ht="21" customHeight="1">
      <x:c r="A2241" s="2" t="str">
        <x:v>EV002191</x:v>
      </x:c>
      <x:c r="B2241" s="2" t="str">
        <x:v>T20261008-3-2</x:v>
      </x:c>
      <x:c r="C2241" s="2" t="str">
        <x:v>ST059</x:v>
      </x:c>
      <x:c r="D2241" s="2" t="str">
        <x:v>08b31edc14b3a345822a41d6515bfcba</x:v>
      </x:c>
      <x:c r="E2241" s="2" t="str">
        <x:v>CHECK_IN</x:v>
      </x:c>
      <x:c r="F2241" s="8" t="n">
        <x:v>46303.57319444445</x:v>
      </x:c>
      <x:c r="G2241" s="8" t="n">
        <x:v>46303.573217592595</x:v>
      </x:c>
      <x:c r="H2241" s="2" t="str">
        <x:v>SCH01</x:v>
      </x:c>
      <x:c r="I2241" s="9" t="n">
        <x:v>25.285</x:v>
      </x:c>
      <x:c r="J2241" s="9" t="n">
        <x:v>51.51</x:v>
      </x:c>
      <x:c r="K2241" s="2" t="n">
        <x:v>8</x:v>
      </x:c>
      <x:c r="L2241" s="2" t="str">
        <x:v>Valid</x:v>
      </x:c>
      <x:c r="M2241" s="2" t="str">
        <x:v>QR</x:v>
      </x:c>
      <x:c r="N2241" s="2" t="n">
        <x:v>1</x:v>
      </x:c>
      <x:c r="O2241" s="2" t="str">
        <x:v>Accepted</x:v>
      </x:c>
      <x:c r="P2241" s="2" t="str">
        <x:v>S002</x:v>
      </x:c>
      <x:c r="Q2241" s="2" t="str">
        <x:v>DEV002</x:v>
      </x:c>
      <x:c r="R2241" s="2" t="n">
        <x:v>9</x:v>
      </x:c>
      <x:c r="S2241" s="2" t="str">
        <x:v>Online</x:v>
      </x:c>
      <x:c r="T2241" s="2" t="str">
        <x:v>Synced</x:v>
      </x:c>
    </x:row>
    <x:row r="2242" ht="21" customHeight="1">
      <x:c r="A2242" s="2" t="str">
        <x:v>EV002351</x:v>
      </x:c>
      <x:c r="B2242" s="2" t="str">
        <x:v>T20261008-3-3</x:v>
      </x:c>
      <x:c r="C2242" s="2" t="str">
        <x:v>ST099</x:v>
      </x:c>
      <x:c r="D2242" s="2" t="str">
        <x:v>46d20c66394c55b68e36e5335452d87c</x:v>
      </x:c>
      <x:c r="E2242" s="2" t="str">
        <x:v>CHECK_IN</x:v>
      </x:c>
      <x:c r="F2242" s="8" t="n">
        <x:v>46303.57319444445</x:v>
      </x:c>
      <x:c r="G2242" s="8" t="n">
        <x:v>46303.573217592595</x:v>
      </x:c>
      <x:c r="H2242" s="2" t="str">
        <x:v>SCH01</x:v>
      </x:c>
      <x:c r="I2242" s="9" t="n">
        <x:v>25.285</x:v>
      </x:c>
      <x:c r="J2242" s="9" t="n">
        <x:v>51.51</x:v>
      </x:c>
      <x:c r="K2242" s="2" t="n">
        <x:v>8</x:v>
      </x:c>
      <x:c r="L2242" s="2" t="str">
        <x:v>Valid</x:v>
      </x:c>
      <x:c r="M2242" s="2" t="str">
        <x:v>QR</x:v>
      </x:c>
      <x:c r="N2242" s="2" t="n">
        <x:v>1</x:v>
      </x:c>
      <x:c r="O2242" s="2" t="str">
        <x:v>Accepted</x:v>
      </x:c>
      <x:c r="P2242" s="2" t="str">
        <x:v>S003</x:v>
      </x:c>
      <x:c r="Q2242" s="2" t="str">
        <x:v>DEV003</x:v>
      </x:c>
      <x:c r="R2242" s="2" t="n">
        <x:v>9</x:v>
      </x:c>
      <x:c r="S2242" s="2" t="str">
        <x:v>Online</x:v>
      </x:c>
      <x:c r="T2242" s="2" t="str">
        <x:v>Synced</x:v>
      </x:c>
    </x:row>
    <x:row r="2243" ht="21" customHeight="1">
      <x:c r="A2243" s="2" t="str">
        <x:v>EV002033</x:v>
      </x:c>
      <x:c r="B2243" s="2" t="str">
        <x:v>T20261008-3-1</x:v>
      </x:c>
      <x:c r="C2243" s="2" t="str">
        <x:v>ST020</x:v>
      </x:c>
      <x:c r="D2243" s="2" t="str">
        <x:v>9f8daa9030f9f7599cd24e056935ab8d</x:v>
      </x:c>
      <x:c r="E2243" s="2" t="str">
        <x:v>CHECK_IN</x:v>
      </x:c>
      <x:c r="F2243" s="8" t="n">
        <x:v>46303.57322916667</x:v>
      </x:c>
      <x:c r="G2243" s="8" t="n">
        <x:v>46303.57325231482</x:v>
      </x:c>
      <x:c r="H2243" s="2" t="str">
        <x:v>SCH01</x:v>
      </x:c>
      <x:c r="I2243" s="9" t="n">
        <x:v>25.285</x:v>
      </x:c>
      <x:c r="J2243" s="9" t="n">
        <x:v>51.51</x:v>
      </x:c>
      <x:c r="K2243" s="2" t="n">
        <x:v>8</x:v>
      </x:c>
      <x:c r="L2243" s="2" t="str">
        <x:v>Valid</x:v>
      </x:c>
      <x:c r="M2243" s="2" t="str">
        <x:v>QR</x:v>
      </x:c>
      <x:c r="N2243" s="2" t="n">
        <x:v>1</x:v>
      </x:c>
      <x:c r="O2243" s="2" t="str">
        <x:v>Accepted</x:v>
      </x:c>
      <x:c r="P2243" s="2" t="str">
        <x:v>S001</x:v>
      </x:c>
      <x:c r="Q2243" s="2" t="str">
        <x:v>DEV001</x:v>
      </x:c>
      <x:c r="R2243" s="2" t="n">
        <x:v>10</x:v>
      </x:c>
      <x:c r="S2243" s="2" t="str">
        <x:v>Online</x:v>
      </x:c>
      <x:c r="T2243" s="2" t="str">
        <x:v>Synced</x:v>
      </x:c>
    </x:row>
    <x:row r="2244" ht="21" customHeight="1">
      <x:c r="A2244" s="2" t="str">
        <x:v>EV002193</x:v>
      </x:c>
      <x:c r="B2244" s="2" t="str">
        <x:v>T20261008-3-2</x:v>
      </x:c>
      <x:c r="C2244" s="2" t="str">
        <x:v>ST060</x:v>
      </x:c>
      <x:c r="D2244" s="2" t="str">
        <x:v>a424ea3d9a5cb1c08037457e61cef61f</x:v>
      </x:c>
      <x:c r="E2244" s="2" t="str">
        <x:v>CHECK_IN</x:v>
      </x:c>
      <x:c r="F2244" s="8" t="n">
        <x:v>46303.57322916667</x:v>
      </x:c>
      <x:c r="G2244" s="8" t="n">
        <x:v>46303.57325231482</x:v>
      </x:c>
      <x:c r="H2244" s="2" t="str">
        <x:v>SCH01</x:v>
      </x:c>
      <x:c r="I2244" s="9" t="n">
        <x:v>25.285</x:v>
      </x:c>
      <x:c r="J2244" s="9" t="n">
        <x:v>51.51</x:v>
      </x:c>
      <x:c r="K2244" s="2" t="n">
        <x:v>8</x:v>
      </x:c>
      <x:c r="L2244" s="2" t="str">
        <x:v>Valid</x:v>
      </x:c>
      <x:c r="M2244" s="2" t="str">
        <x:v>QR</x:v>
      </x:c>
      <x:c r="N2244" s="2" t="n">
        <x:v>1</x:v>
      </x:c>
      <x:c r="O2244" s="2" t="str">
        <x:v>Accepted</x:v>
      </x:c>
      <x:c r="P2244" s="2" t="str">
        <x:v>S002</x:v>
      </x:c>
      <x:c r="Q2244" s="2" t="str">
        <x:v>DEV002</x:v>
      </x:c>
      <x:c r="R2244" s="2" t="n">
        <x:v>10</x:v>
      </x:c>
      <x:c r="S2244" s="2" t="str">
        <x:v>Online</x:v>
      </x:c>
      <x:c r="T2244" s="2" t="str">
        <x:v>Synced</x:v>
      </x:c>
    </x:row>
    <x:row r="2245" ht="21" customHeight="1">
      <x:c r="A2245" s="2" t="str">
        <x:v>EV002353</x:v>
      </x:c>
      <x:c r="B2245" s="2" t="str">
        <x:v>T20261008-3-3</x:v>
      </x:c>
      <x:c r="C2245" s="2" t="str">
        <x:v>ST100</x:v>
      </x:c>
      <x:c r="D2245" s="2" t="str">
        <x:v>6ba3ddf298bc4515d195454c1e81d9d6</x:v>
      </x:c>
      <x:c r="E2245" s="2" t="str">
        <x:v>CHECK_IN</x:v>
      </x:c>
      <x:c r="F2245" s="8" t="n">
        <x:v>46303.57322916667</x:v>
      </x:c>
      <x:c r="G2245" s="8" t="n">
        <x:v>46303.57325231482</x:v>
      </x:c>
      <x:c r="H2245" s="2" t="str">
        <x:v>SCH01</x:v>
      </x:c>
      <x:c r="I2245" s="9" t="n">
        <x:v>25.285</x:v>
      </x:c>
      <x:c r="J2245" s="9" t="n">
        <x:v>51.51</x:v>
      </x:c>
      <x:c r="K2245" s="2" t="n">
        <x:v>8</x:v>
      </x:c>
      <x:c r="L2245" s="2" t="str">
        <x:v>Valid</x:v>
      </x:c>
      <x:c r="M2245" s="2" t="str">
        <x:v>QR</x:v>
      </x:c>
      <x:c r="N2245" s="2" t="n">
        <x:v>1</x:v>
      </x:c>
      <x:c r="O2245" s="2" t="str">
        <x:v>Accepted</x:v>
      </x:c>
      <x:c r="P2245" s="2" t="str">
        <x:v>S003</x:v>
      </x:c>
      <x:c r="Q2245" s="2" t="str">
        <x:v>DEV003</x:v>
      </x:c>
      <x:c r="R2245" s="2" t="n">
        <x:v>10</x:v>
      </x:c>
      <x:c r="S2245" s="2" t="str">
        <x:v>Online</x:v>
      </x:c>
      <x:c r="T2245" s="2" t="str">
        <x:v>Synced</x:v>
      </x:c>
    </x:row>
    <x:row r="2246" ht="21" customHeight="1">
      <x:c r="A2246" s="2" t="str">
        <x:v>EV002020</x:v>
      </x:c>
      <x:c r="B2246" s="2" t="str">
        <x:v>T20261008-3-1</x:v>
      </x:c>
      <x:c r="C2246" s="2" t="str">
        <x:v>ST013</x:v>
      </x:c>
      <x:c r="D2246" s="2" t="str">
        <x:v>ddc4bbe364f02f5a2177795c49ea7ba9</x:v>
      </x:c>
      <x:c r="E2246" s="2" t="str">
        <x:v>CHECK_OUT</x:v>
      </x:c>
      <x:c r="F2246" s="8" t="n">
        <x:v>46303.58618055556</x:v>
      </x:c>
      <x:c r="G2246" s="8" t="n">
        <x:v>46303.58620370371</x:v>
      </x:c>
      <x:c r="H2246" s="2" t="str">
        <x:v>R1S1</x:v>
      </x:c>
      <x:c r="I2246" s="9" t="n">
        <x:v>25.271</x:v>
      </x:c>
      <x:c r="J2246" s="9" t="n">
        <x:v>51.491</x:v>
      </x:c>
      <x:c r="K2246" s="2" t="n">
        <x:v>8</x:v>
      </x:c>
      <x:c r="L2246" s="2" t="str">
        <x:v>Valid</x:v>
      </x:c>
      <x:c r="M2246" s="2" t="str">
        <x:v>QR</x:v>
      </x:c>
      <x:c r="N2246" s="2" t="n">
        <x:v>1</x:v>
      </x:c>
      <x:c r="O2246" s="2" t="str">
        <x:v>Accepted</x:v>
      </x:c>
      <x:c r="P2246" s="2" t="str">
        <x:v>S001</x:v>
      </x:c>
      <x:c r="Q2246" s="2" t="str">
        <x:v>DEV001</x:v>
      </x:c>
      <x:c r="R2246" s="2" t="n">
        <x:v>11</x:v>
      </x:c>
      <x:c r="S2246" s="2" t="str">
        <x:v>Online</x:v>
      </x:c>
      <x:c r="T2246" s="2" t="str">
        <x:v>Synced</x:v>
      </x:c>
    </x:row>
    <x:row r="2247" ht="21" customHeight="1">
      <x:c r="A2247" s="2" t="str">
        <x:v>EV002180</x:v>
      </x:c>
      <x:c r="B2247" s="2" t="str">
        <x:v>T20261008-3-2</x:v>
      </x:c>
      <x:c r="C2247" s="2" t="str">
        <x:v>ST053</x:v>
      </x:c>
      <x:c r="D2247" s="2" t="str">
        <x:v>e476277c519e294480cfa14a37e177a0</x:v>
      </x:c>
      <x:c r="E2247" s="2" t="str">
        <x:v>CHECK_OUT</x:v>
      </x:c>
      <x:c r="F2247" s="8" t="n">
        <x:v>46303.58618055556</x:v>
      </x:c>
      <x:c r="G2247" s="8" t="n">
        <x:v>46303.58620370371</x:v>
      </x:c>
      <x:c r="H2247" s="2" t="str">
        <x:v>R2S1</x:v>
      </x:c>
      <x:c r="I2247" s="9" t="n">
        <x:v>25.28</x:v>
      </x:c>
      <x:c r="J2247" s="9" t="n">
        <x:v>51.498999999999995</x:v>
      </x:c>
      <x:c r="K2247" s="2" t="n">
        <x:v>8</x:v>
      </x:c>
      <x:c r="L2247" s="2" t="str">
        <x:v>Valid</x:v>
      </x:c>
      <x:c r="M2247" s="2" t="str">
        <x:v>QR</x:v>
      </x:c>
      <x:c r="N2247" s="2" t="n">
        <x:v>1</x:v>
      </x:c>
      <x:c r="O2247" s="2" t="str">
        <x:v>Accepted</x:v>
      </x:c>
      <x:c r="P2247" s="2" t="str">
        <x:v>S002</x:v>
      </x:c>
      <x:c r="Q2247" s="2" t="str">
        <x:v>DEV002</x:v>
      </x:c>
      <x:c r="R2247" s="2" t="n">
        <x:v>11</x:v>
      </x:c>
      <x:c r="S2247" s="2" t="str">
        <x:v>Online</x:v>
      </x:c>
      <x:c r="T2247" s="2" t="str">
        <x:v>Synced</x:v>
      </x:c>
    </x:row>
    <x:row r="2248" ht="21" customHeight="1">
      <x:c r="A2248" s="2" t="str">
        <x:v>EV002340</x:v>
      </x:c>
      <x:c r="B2248" s="2" t="str">
        <x:v>T20261008-3-3</x:v>
      </x:c>
      <x:c r="C2248" s="2" t="str">
        <x:v>ST093</x:v>
      </x:c>
      <x:c r="D2248" s="2" t="str">
        <x:v>e69cdca4f10e82426e9a3098f4672791</x:v>
      </x:c>
      <x:c r="E2248" s="2" t="str">
        <x:v>CHECK_OUT</x:v>
      </x:c>
      <x:c r="F2248" s="8" t="n">
        <x:v>46303.58618055556</x:v>
      </x:c>
      <x:c r="G2248" s="8" t="n">
        <x:v>46303.58620370371</x:v>
      </x:c>
      <x:c r="H2248" s="2" t="str">
        <x:v>R3S1</x:v>
      </x:c>
      <x:c r="I2248" s="9" t="n">
        <x:v>25.289</x:v>
      </x:c>
      <x:c r="J2248" s="9" t="n">
        <x:v>51.507</x:v>
      </x:c>
      <x:c r="K2248" s="2" t="n">
        <x:v>8</x:v>
      </x:c>
      <x:c r="L2248" s="2" t="str">
        <x:v>Valid</x:v>
      </x:c>
      <x:c r="M2248" s="2" t="str">
        <x:v>QR</x:v>
      </x:c>
      <x:c r="N2248" s="2" t="n">
        <x:v>1</x:v>
      </x:c>
      <x:c r="O2248" s="2" t="str">
        <x:v>Accepted</x:v>
      </x:c>
      <x:c r="P2248" s="2" t="str">
        <x:v>S003</x:v>
      </x:c>
      <x:c r="Q2248" s="2" t="str">
        <x:v>DEV003</x:v>
      </x:c>
      <x:c r="R2248" s="2" t="n">
        <x:v>11</x:v>
      </x:c>
      <x:c r="S2248" s="2" t="str">
        <x:v>Online</x:v>
      </x:c>
      <x:c r="T2248" s="2" t="str">
        <x:v>Synced</x:v>
      </x:c>
    </x:row>
    <x:row r="2249" ht="21" customHeight="1">
      <x:c r="A2249" s="2" t="str">
        <x:v>EV002026</x:v>
      </x:c>
      <x:c r="B2249" s="2" t="str">
        <x:v>T20261008-3-1</x:v>
      </x:c>
      <x:c r="C2249" s="2" t="str">
        <x:v>ST016</x:v>
      </x:c>
      <x:c r="D2249" s="2" t="str">
        <x:v>5227a65bcc4ea356d570fe16b2970ea5</x:v>
      </x:c>
      <x:c r="E2249" s="2" t="str">
        <x:v>CHECK_OUT</x:v>
      </x:c>
      <x:c r="F2249" s="8" t="n">
        <x:v>46303.58628472222</x:v>
      </x:c>
      <x:c r="G2249" s="8" t="n">
        <x:v>46303.58630787037</x:v>
      </x:c>
      <x:c r="H2249" s="2" t="str">
        <x:v>R1S1</x:v>
      </x:c>
      <x:c r="I2249" s="9" t="n">
        <x:v>25.271</x:v>
      </x:c>
      <x:c r="J2249" s="9" t="n">
        <x:v>51.491</x:v>
      </x:c>
      <x:c r="K2249" s="2" t="n">
        <x:v>8</x:v>
      </x:c>
      <x:c r="L2249" s="2" t="str">
        <x:v>Valid</x:v>
      </x:c>
      <x:c r="M2249" s="2" t="str">
        <x:v>QR</x:v>
      </x:c>
      <x:c r="N2249" s="2" t="n">
        <x:v>1</x:v>
      </x:c>
      <x:c r="O2249" s="2" t="str">
        <x:v>Accepted</x:v>
      </x:c>
      <x:c r="P2249" s="2" t="str">
        <x:v>S001</x:v>
      </x:c>
      <x:c r="Q2249" s="2" t="str">
        <x:v>DEV001</x:v>
      </x:c>
      <x:c r="R2249" s="2" t="n">
        <x:v>12</x:v>
      </x:c>
      <x:c r="S2249" s="2" t="str">
        <x:v>Online</x:v>
      </x:c>
      <x:c r="T2249" s="2" t="str">
        <x:v>Synced</x:v>
      </x:c>
    </x:row>
    <x:row r="2250" ht="21" customHeight="1">
      <x:c r="A2250" s="2" t="str">
        <x:v>EV002186</x:v>
      </x:c>
      <x:c r="B2250" s="2" t="str">
        <x:v>T20261008-3-2</x:v>
      </x:c>
      <x:c r="C2250" s="2" t="str">
        <x:v>ST056</x:v>
      </x:c>
      <x:c r="D2250" s="2" t="str">
        <x:v>245ed370430be1001f6d7d13404dd8b1</x:v>
      </x:c>
      <x:c r="E2250" s="2" t="str">
        <x:v>CHECK_OUT</x:v>
      </x:c>
      <x:c r="F2250" s="8" t="n">
        <x:v>46303.58628472222</x:v>
      </x:c>
      <x:c r="G2250" s="8" t="n">
        <x:v>46303.58630787037</x:v>
      </x:c>
      <x:c r="H2250" s="2" t="str">
        <x:v>R2S1</x:v>
      </x:c>
      <x:c r="I2250" s="9" t="n">
        <x:v>25.28</x:v>
      </x:c>
      <x:c r="J2250" s="9" t="n">
        <x:v>51.498999999999995</x:v>
      </x:c>
      <x:c r="K2250" s="2" t="n">
        <x:v>8</x:v>
      </x:c>
      <x:c r="L2250" s="2" t="str">
        <x:v>Valid</x:v>
      </x:c>
      <x:c r="M2250" s="2" t="str">
        <x:v>QR</x:v>
      </x:c>
      <x:c r="N2250" s="2" t="n">
        <x:v>1</x:v>
      </x:c>
      <x:c r="O2250" s="2" t="str">
        <x:v>Accepted</x:v>
      </x:c>
      <x:c r="P2250" s="2" t="str">
        <x:v>S002</x:v>
      </x:c>
      <x:c r="Q2250" s="2" t="str">
        <x:v>DEV002</x:v>
      </x:c>
      <x:c r="R2250" s="2" t="n">
        <x:v>12</x:v>
      </x:c>
      <x:c r="S2250" s="2" t="str">
        <x:v>Online</x:v>
      </x:c>
      <x:c r="T2250" s="2" t="str">
        <x:v>Synced</x:v>
      </x:c>
    </x:row>
    <x:row r="2251" ht="21" customHeight="1">
      <x:c r="A2251" s="2" t="str">
        <x:v>EV002346</x:v>
      </x:c>
      <x:c r="B2251" s="2" t="str">
        <x:v>T20261008-3-3</x:v>
      </x:c>
      <x:c r="C2251" s="2" t="str">
        <x:v>ST096</x:v>
      </x:c>
      <x:c r="D2251" s="2" t="str">
        <x:v>46905fa8ca039f79eec63d82a6ea3c69</x:v>
      </x:c>
      <x:c r="E2251" s="2" t="str">
        <x:v>CHECK_OUT</x:v>
      </x:c>
      <x:c r="F2251" s="8" t="n">
        <x:v>46303.58628472222</x:v>
      </x:c>
      <x:c r="G2251" s="8" t="n">
        <x:v>46303.58630787037</x:v>
      </x:c>
      <x:c r="H2251" s="2" t="str">
        <x:v>R3S1</x:v>
      </x:c>
      <x:c r="I2251" s="9" t="n">
        <x:v>25.289</x:v>
      </x:c>
      <x:c r="J2251" s="9" t="n">
        <x:v>51.507</x:v>
      </x:c>
      <x:c r="K2251" s="2" t="n">
        <x:v>8</x:v>
      </x:c>
      <x:c r="L2251" s="2" t="str">
        <x:v>Valid</x:v>
      </x:c>
      <x:c r="M2251" s="2" t="str">
        <x:v>QR</x:v>
      </x:c>
      <x:c r="N2251" s="2" t="n">
        <x:v>1</x:v>
      </x:c>
      <x:c r="O2251" s="2" t="str">
        <x:v>Accepted</x:v>
      </x:c>
      <x:c r="P2251" s="2" t="str">
        <x:v>S003</x:v>
      </x:c>
      <x:c r="Q2251" s="2" t="str">
        <x:v>DEV003</x:v>
      </x:c>
      <x:c r="R2251" s="2" t="n">
        <x:v>12</x:v>
      </x:c>
      <x:c r="S2251" s="2" t="str">
        <x:v>Online</x:v>
      </x:c>
      <x:c r="T2251" s="2" t="str">
        <x:v>Synced</x:v>
      </x:c>
    </x:row>
    <x:row r="2252" ht="21" customHeight="1">
      <x:c r="A2252" s="2" t="str">
        <x:v>EV002032</x:v>
      </x:c>
      <x:c r="B2252" s="2" t="str">
        <x:v>T20261008-3-1</x:v>
      </x:c>
      <x:c r="C2252" s="2" t="str">
        <x:v>ST019</x:v>
      </x:c>
      <x:c r="D2252" s="2" t="str">
        <x:v>b83400b1b6dcfb0f7cb413571cb76f8f</x:v>
      </x:c>
      <x:c r="E2252" s="2" t="str">
        <x:v>CHECK_OUT</x:v>
      </x:c>
      <x:c r="F2252" s="8" t="n">
        <x:v>46303.58638888889</x:v>
      </x:c>
      <x:c r="G2252" s="8" t="n">
        <x:v>46303.58641203704</x:v>
      </x:c>
      <x:c r="H2252" s="2" t="str">
        <x:v>R1S1</x:v>
      </x:c>
      <x:c r="I2252" s="9" t="n">
        <x:v>25.271</x:v>
      </x:c>
      <x:c r="J2252" s="9" t="n">
        <x:v>51.491</x:v>
      </x:c>
      <x:c r="K2252" s="2" t="n">
        <x:v>8</x:v>
      </x:c>
      <x:c r="L2252" s="2" t="str">
        <x:v>Valid</x:v>
      </x:c>
      <x:c r="M2252" s="2" t="str">
        <x:v>QR</x:v>
      </x:c>
      <x:c r="N2252" s="2" t="n">
        <x:v>1</x:v>
      </x:c>
      <x:c r="O2252" s="2" t="str">
        <x:v>Accepted</x:v>
      </x:c>
      <x:c r="P2252" s="2" t="str">
        <x:v>S001</x:v>
      </x:c>
      <x:c r="Q2252" s="2" t="str">
        <x:v>DEV001</x:v>
      </x:c>
      <x:c r="R2252" s="2" t="n">
        <x:v>13</x:v>
      </x:c>
      <x:c r="S2252" s="2" t="str">
        <x:v>Online</x:v>
      </x:c>
      <x:c r="T2252" s="2" t="str">
        <x:v>Synced</x:v>
      </x:c>
    </x:row>
    <x:row r="2253" ht="21" customHeight="1">
      <x:c r="A2253" s="2" t="str">
        <x:v>EV002192</x:v>
      </x:c>
      <x:c r="B2253" s="2" t="str">
        <x:v>T20261008-3-2</x:v>
      </x:c>
      <x:c r="C2253" s="2" t="str">
        <x:v>ST059</x:v>
      </x:c>
      <x:c r="D2253" s="2" t="str">
        <x:v>08b31edc14b3a345822a41d6515bfcba</x:v>
      </x:c>
      <x:c r="E2253" s="2" t="str">
        <x:v>CHECK_OUT</x:v>
      </x:c>
      <x:c r="F2253" s="8" t="n">
        <x:v>46303.58638888889</x:v>
      </x:c>
      <x:c r="G2253" s="8" t="n">
        <x:v>46303.58641203704</x:v>
      </x:c>
      <x:c r="H2253" s="2" t="str">
        <x:v>R2S1</x:v>
      </x:c>
      <x:c r="I2253" s="9" t="n">
        <x:v>25.28</x:v>
      </x:c>
      <x:c r="J2253" s="9" t="n">
        <x:v>51.498999999999995</x:v>
      </x:c>
      <x:c r="K2253" s="2" t="n">
        <x:v>8</x:v>
      </x:c>
      <x:c r="L2253" s="2" t="str">
        <x:v>Valid</x:v>
      </x:c>
      <x:c r="M2253" s="2" t="str">
        <x:v>QR</x:v>
      </x:c>
      <x:c r="N2253" s="2" t="n">
        <x:v>1</x:v>
      </x:c>
      <x:c r="O2253" s="2" t="str">
        <x:v>Accepted</x:v>
      </x:c>
      <x:c r="P2253" s="2" t="str">
        <x:v>S002</x:v>
      </x:c>
      <x:c r="Q2253" s="2" t="str">
        <x:v>DEV002</x:v>
      </x:c>
      <x:c r="R2253" s="2" t="n">
        <x:v>13</x:v>
      </x:c>
      <x:c r="S2253" s="2" t="str">
        <x:v>Online</x:v>
      </x:c>
      <x:c r="T2253" s="2" t="str">
        <x:v>Synced</x:v>
      </x:c>
    </x:row>
    <x:row r="2254" ht="21" customHeight="1">
      <x:c r="A2254" s="2" t="str">
        <x:v>EV002352</x:v>
      </x:c>
      <x:c r="B2254" s="2" t="str">
        <x:v>T20261008-3-3</x:v>
      </x:c>
      <x:c r="C2254" s="2" t="str">
        <x:v>ST099</x:v>
      </x:c>
      <x:c r="D2254" s="2" t="str">
        <x:v>46d20c66394c55b68e36e5335452d87c</x:v>
      </x:c>
      <x:c r="E2254" s="2" t="str">
        <x:v>CHECK_OUT</x:v>
      </x:c>
      <x:c r="F2254" s="8" t="n">
        <x:v>46303.58638888889</x:v>
      </x:c>
      <x:c r="G2254" s="8" t="n">
        <x:v>46303.58641203704</x:v>
      </x:c>
      <x:c r="H2254" s="2" t="str">
        <x:v>R3S1</x:v>
      </x:c>
      <x:c r="I2254" s="9" t="n">
        <x:v>25.289</x:v>
      </x:c>
      <x:c r="J2254" s="9" t="n">
        <x:v>51.507</x:v>
      </x:c>
      <x:c r="K2254" s="2" t="n">
        <x:v>8</x:v>
      </x:c>
      <x:c r="L2254" s="2" t="str">
        <x:v>Valid</x:v>
      </x:c>
      <x:c r="M2254" s="2" t="str">
        <x:v>QR</x:v>
      </x:c>
      <x:c r="N2254" s="2" t="n">
        <x:v>1</x:v>
      </x:c>
      <x:c r="O2254" s="2" t="str">
        <x:v>Accepted</x:v>
      </x:c>
      <x:c r="P2254" s="2" t="str">
        <x:v>S003</x:v>
      </x:c>
      <x:c r="Q2254" s="2" t="str">
        <x:v>DEV003</x:v>
      </x:c>
      <x:c r="R2254" s="2" t="n">
        <x:v>13</x:v>
      </x:c>
      <x:c r="S2254" s="2" t="str">
        <x:v>Online</x:v>
      </x:c>
      <x:c r="T2254" s="2" t="str">
        <x:v>Synced</x:v>
      </x:c>
    </x:row>
    <x:row r="2255" ht="21" customHeight="1">
      <x:c r="A2255" s="2" t="str">
        <x:v>EV002016</x:v>
      </x:c>
      <x:c r="B2255" s="2" t="str">
        <x:v>T20261008-3-1</x:v>
      </x:c>
      <x:c r="C2255" s="2" t="str">
        <x:v>ST011</x:v>
      </x:c>
      <x:c r="D2255" s="2" t="str">
        <x:v>38c917effc7ec45ac750455eb7892f3e</x:v>
      </x:c>
      <x:c r="E2255" s="2" t="str">
        <x:v>CHECK_OUT</x:v>
      </x:c>
      <x:c r="F2255" s="8" t="n">
        <x:v>46303.59027777778</x:v>
      </x:c>
      <x:c r="G2255" s="8" t="n">
        <x:v>46303.59030092593</x:v>
      </x:c>
      <x:c r="H2255" s="2" t="str">
        <x:v>R1S2</x:v>
      </x:c>
      <x:c r="I2255" s="9" t="n">
        <x:v>25.273000000000003</x:v>
      </x:c>
      <x:c r="J2255" s="9" t="n">
        <x:v>51.494</x:v>
      </x:c>
      <x:c r="K2255" s="2" t="n">
        <x:v>8</x:v>
      </x:c>
      <x:c r="L2255" s="2" t="str">
        <x:v>Valid</x:v>
      </x:c>
      <x:c r="M2255" s="2" t="str">
        <x:v>QR</x:v>
      </x:c>
      <x:c r="N2255" s="2" t="n">
        <x:v>1</x:v>
      </x:c>
      <x:c r="O2255" s="2" t="str">
        <x:v>Accepted</x:v>
      </x:c>
      <x:c r="P2255" s="2" t="str">
        <x:v>S001</x:v>
      </x:c>
      <x:c r="Q2255" s="2" t="str">
        <x:v>DEV001</x:v>
      </x:c>
      <x:c r="R2255" s="2" t="n">
        <x:v>14</x:v>
      </x:c>
      <x:c r="S2255" s="2" t="str">
        <x:v>Online</x:v>
      </x:c>
      <x:c r="T2255" s="2" t="str">
        <x:v>Synced</x:v>
      </x:c>
    </x:row>
    <x:row r="2256" ht="21" customHeight="1">
      <x:c r="A2256" s="2" t="str">
        <x:v>EV002176</x:v>
      </x:c>
      <x:c r="B2256" s="2" t="str">
        <x:v>T20261008-3-2</x:v>
      </x:c>
      <x:c r="C2256" s="2" t="str">
        <x:v>ST051</x:v>
      </x:c>
      <x:c r="D2256" s="2" t="str">
        <x:v>410a66d29aea7be5806f7d6945266303</x:v>
      </x:c>
      <x:c r="E2256" s="2" t="str">
        <x:v>CHECK_OUT</x:v>
      </x:c>
      <x:c r="F2256" s="8" t="n">
        <x:v>46303.59027777778</x:v>
      </x:c>
      <x:c r="G2256" s="8" t="n">
        <x:v>46303.59030092593</x:v>
      </x:c>
      <x:c r="H2256" s="2" t="str">
        <x:v>R2S2</x:v>
      </x:c>
      <x:c r="I2256" s="9" t="n">
        <x:v>25.282000000000004</x:v>
      </x:c>
      <x:c r="J2256" s="9" t="n">
        <x:v>51.501999999999995</x:v>
      </x:c>
      <x:c r="K2256" s="2" t="n">
        <x:v>8</x:v>
      </x:c>
      <x:c r="L2256" s="2" t="str">
        <x:v>Valid</x:v>
      </x:c>
      <x:c r="M2256" s="2" t="str">
        <x:v>QR</x:v>
      </x:c>
      <x:c r="N2256" s="2" t="n">
        <x:v>1</x:v>
      </x:c>
      <x:c r="O2256" s="2" t="str">
        <x:v>Accepted</x:v>
      </x:c>
      <x:c r="P2256" s="2" t="str">
        <x:v>S002</x:v>
      </x:c>
      <x:c r="Q2256" s="2" t="str">
        <x:v>DEV002</x:v>
      </x:c>
      <x:c r="R2256" s="2" t="n">
        <x:v>14</x:v>
      </x:c>
      <x:c r="S2256" s="2" t="str">
        <x:v>Online</x:v>
      </x:c>
      <x:c r="T2256" s="2" t="str">
        <x:v>Synced</x:v>
      </x:c>
    </x:row>
    <x:row r="2257" ht="21" customHeight="1">
      <x:c r="A2257" s="2" t="str">
        <x:v>EV002336</x:v>
      </x:c>
      <x:c r="B2257" s="2" t="str">
        <x:v>T20261008-3-3</x:v>
      </x:c>
      <x:c r="C2257" s="2" t="str">
        <x:v>ST091</x:v>
      </x:c>
      <x:c r="D2257" s="2" t="str">
        <x:v>2d74afc7329a1eb53bd16a92fc366891</x:v>
      </x:c>
      <x:c r="E2257" s="2" t="str">
        <x:v>CHECK_OUT</x:v>
      </x:c>
      <x:c r="F2257" s="8" t="n">
        <x:v>46303.59027777778</x:v>
      </x:c>
      <x:c r="G2257" s="8" t="n">
        <x:v>46303.59030092593</x:v>
      </x:c>
      <x:c r="H2257" s="2" t="str">
        <x:v>R3S2</x:v>
      </x:c>
      <x:c r="I2257" s="9" t="n">
        <x:v>25.291000000000004</x:v>
      </x:c>
      <x:c r="J2257" s="9" t="n">
        <x:v>51.51</x:v>
      </x:c>
      <x:c r="K2257" s="2" t="n">
        <x:v>8</x:v>
      </x:c>
      <x:c r="L2257" s="2" t="str">
        <x:v>Valid</x:v>
      </x:c>
      <x:c r="M2257" s="2" t="str">
        <x:v>QR</x:v>
      </x:c>
      <x:c r="N2257" s="2" t="n">
        <x:v>1</x:v>
      </x:c>
      <x:c r="O2257" s="2" t="str">
        <x:v>Accepted</x:v>
      </x:c>
      <x:c r="P2257" s="2" t="str">
        <x:v>S003</x:v>
      </x:c>
      <x:c r="Q2257" s="2" t="str">
        <x:v>DEV003</x:v>
      </x:c>
      <x:c r="R2257" s="2" t="n">
        <x:v>14</x:v>
      </x:c>
      <x:c r="S2257" s="2" t="str">
        <x:v>Online</x:v>
      </x:c>
      <x:c r="T2257" s="2" t="str">
        <x:v>Synced</x:v>
      </x:c>
    </x:row>
    <x:row r="2258" ht="21" customHeight="1">
      <x:c r="A2258" s="2" t="str">
        <x:v>EV002022</x:v>
      </x:c>
      <x:c r="B2258" s="2" t="str">
        <x:v>T20261008-3-1</x:v>
      </x:c>
      <x:c r="C2258" s="2" t="str">
        <x:v>ST014</x:v>
      </x:c>
      <x:c r="D2258" s="2" t="str">
        <x:v>6ea4b25306143e251962ae19fa8ee7af</x:v>
      </x:c>
      <x:c r="E2258" s="2" t="str">
        <x:v>CHECK_OUT</x:v>
      </x:c>
      <x:c r="F2258" s="8" t="n">
        <x:v>46303.59038194445</x:v>
      </x:c>
      <x:c r="G2258" s="8" t="n">
        <x:v>46303.5904050926</x:v>
      </x:c>
      <x:c r="H2258" s="2" t="str">
        <x:v>R1S2</x:v>
      </x:c>
      <x:c r="I2258" s="9" t="n">
        <x:v>25.273000000000003</x:v>
      </x:c>
      <x:c r="J2258" s="9" t="n">
        <x:v>51.494</x:v>
      </x:c>
      <x:c r="K2258" s="2" t="n">
        <x:v>8</x:v>
      </x:c>
      <x:c r="L2258" s="2" t="str">
        <x:v>Valid</x:v>
      </x:c>
      <x:c r="M2258" s="2" t="str">
        <x:v>QR</x:v>
      </x:c>
      <x:c r="N2258" s="2" t="n">
        <x:v>1</x:v>
      </x:c>
      <x:c r="O2258" s="2" t="str">
        <x:v>Accepted</x:v>
      </x:c>
      <x:c r="P2258" s="2" t="str">
        <x:v>S001</x:v>
      </x:c>
      <x:c r="Q2258" s="2" t="str">
        <x:v>DEV001</x:v>
      </x:c>
      <x:c r="R2258" s="2" t="n">
        <x:v>15</x:v>
      </x:c>
      <x:c r="S2258" s="2" t="str">
        <x:v>Online</x:v>
      </x:c>
      <x:c r="T2258" s="2" t="str">
        <x:v>Synced</x:v>
      </x:c>
    </x:row>
    <x:row r="2259" ht="21" customHeight="1">
      <x:c r="A2259" s="2" t="str">
        <x:v>EV002182</x:v>
      </x:c>
      <x:c r="B2259" s="2" t="str">
        <x:v>T20261008-3-2</x:v>
      </x:c>
      <x:c r="C2259" s="2" t="str">
        <x:v>ST054</x:v>
      </x:c>
      <x:c r="D2259" s="2" t="str">
        <x:v>1c9a916db52e081aeb59bc928cb914dd</x:v>
      </x:c>
      <x:c r="E2259" s="2" t="str">
        <x:v>CHECK_OUT</x:v>
      </x:c>
      <x:c r="F2259" s="8" t="n">
        <x:v>46303.59038194445</x:v>
      </x:c>
      <x:c r="G2259" s="8" t="n">
        <x:v>46303.5904050926</x:v>
      </x:c>
      <x:c r="H2259" s="2" t="str">
        <x:v>R2S2</x:v>
      </x:c>
      <x:c r="I2259" s="9" t="n">
        <x:v>25.282000000000004</x:v>
      </x:c>
      <x:c r="J2259" s="9" t="n">
        <x:v>51.501999999999995</x:v>
      </x:c>
      <x:c r="K2259" s="2" t="n">
        <x:v>8</x:v>
      </x:c>
      <x:c r="L2259" s="2" t="str">
        <x:v>Valid</x:v>
      </x:c>
      <x:c r="M2259" s="2" t="str">
        <x:v>QR</x:v>
      </x:c>
      <x:c r="N2259" s="2" t="n">
        <x:v>1</x:v>
      </x:c>
      <x:c r="O2259" s="2" t="str">
        <x:v>Accepted</x:v>
      </x:c>
      <x:c r="P2259" s="2" t="str">
        <x:v>S002</x:v>
      </x:c>
      <x:c r="Q2259" s="2" t="str">
        <x:v>DEV002</x:v>
      </x:c>
      <x:c r="R2259" s="2" t="n">
        <x:v>15</x:v>
      </x:c>
      <x:c r="S2259" s="2" t="str">
        <x:v>Online</x:v>
      </x:c>
      <x:c r="T2259" s="2" t="str">
        <x:v>Synced</x:v>
      </x:c>
    </x:row>
    <x:row r="2260" ht="21" customHeight="1">
      <x:c r="A2260" s="2" t="str">
        <x:v>EV002342</x:v>
      </x:c>
      <x:c r="B2260" s="2" t="str">
        <x:v>T20261008-3-3</x:v>
      </x:c>
      <x:c r="C2260" s="2" t="str">
        <x:v>ST094</x:v>
      </x:c>
      <x:c r="D2260" s="2" t="str">
        <x:v>b6fd37c188877a378c496dccb3132cf2</x:v>
      </x:c>
      <x:c r="E2260" s="2" t="str">
        <x:v>CHECK_OUT</x:v>
      </x:c>
      <x:c r="F2260" s="8" t="n">
        <x:v>46303.59038194445</x:v>
      </x:c>
      <x:c r="G2260" s="8" t="n">
        <x:v>46303.5904050926</x:v>
      </x:c>
      <x:c r="H2260" s="2" t="str">
        <x:v>R3S2</x:v>
      </x:c>
      <x:c r="I2260" s="9" t="n">
        <x:v>25.291000000000004</x:v>
      </x:c>
      <x:c r="J2260" s="9" t="n">
        <x:v>51.51</x:v>
      </x:c>
      <x:c r="K2260" s="2" t="n">
        <x:v>8</x:v>
      </x:c>
      <x:c r="L2260" s="2" t="str">
        <x:v>Valid</x:v>
      </x:c>
      <x:c r="M2260" s="2" t="str">
        <x:v>QR</x:v>
      </x:c>
      <x:c r="N2260" s="2" t="n">
        <x:v>1</x:v>
      </x:c>
      <x:c r="O2260" s="2" t="str">
        <x:v>Accepted</x:v>
      </x:c>
      <x:c r="P2260" s="2" t="str">
        <x:v>S003</x:v>
      </x:c>
      <x:c r="Q2260" s="2" t="str">
        <x:v>DEV003</x:v>
      </x:c>
      <x:c r="R2260" s="2" t="n">
        <x:v>15</x:v>
      </x:c>
      <x:c r="S2260" s="2" t="str">
        <x:v>Online</x:v>
      </x:c>
      <x:c r="T2260" s="2" t="str">
        <x:v>Synced</x:v>
      </x:c>
    </x:row>
    <x:row r="2261" ht="21" customHeight="1">
      <x:c r="A2261" s="2" t="str">
        <x:v>EV002028</x:v>
      </x:c>
      <x:c r="B2261" s="2" t="str">
        <x:v>T20261008-3-1</x:v>
      </x:c>
      <x:c r="C2261" s="2" t="str">
        <x:v>ST017</x:v>
      </x:c>
      <x:c r="D2261" s="2" t="str">
        <x:v>ea6159d457322f2456f4cadd6b3d659f</x:v>
      </x:c>
      <x:c r="E2261" s="2" t="str">
        <x:v>CHECK_OUT</x:v>
      </x:c>
      <x:c r="F2261" s="8" t="n">
        <x:v>46303.59048611111</x:v>
      </x:c>
      <x:c r="G2261" s="8" t="n">
        <x:v>46303.59050925926</x:v>
      </x:c>
      <x:c r="H2261" s="2" t="str">
        <x:v>R1S2</x:v>
      </x:c>
      <x:c r="I2261" s="9" t="n">
        <x:v>25.273000000000003</x:v>
      </x:c>
      <x:c r="J2261" s="9" t="n">
        <x:v>51.494</x:v>
      </x:c>
      <x:c r="K2261" s="2" t="n">
        <x:v>8</x:v>
      </x:c>
      <x:c r="L2261" s="2" t="str">
        <x:v>Valid</x:v>
      </x:c>
      <x:c r="M2261" s="2" t="str">
        <x:v>QR</x:v>
      </x:c>
      <x:c r="N2261" s="2" t="n">
        <x:v>1</x:v>
      </x:c>
      <x:c r="O2261" s="2" t="str">
        <x:v>Accepted</x:v>
      </x:c>
      <x:c r="P2261" s="2" t="str">
        <x:v>S001</x:v>
      </x:c>
      <x:c r="Q2261" s="2" t="str">
        <x:v>DEV001</x:v>
      </x:c>
      <x:c r="R2261" s="2" t="n">
        <x:v>16</x:v>
      </x:c>
      <x:c r="S2261" s="2" t="str">
        <x:v>Online</x:v>
      </x:c>
      <x:c r="T2261" s="2" t="str">
        <x:v>Synced</x:v>
      </x:c>
    </x:row>
    <x:row r="2262" ht="21" customHeight="1">
      <x:c r="A2262" s="2" t="str">
        <x:v>EV002188</x:v>
      </x:c>
      <x:c r="B2262" s="2" t="str">
        <x:v>T20261008-3-2</x:v>
      </x:c>
      <x:c r="C2262" s="2" t="str">
        <x:v>ST057</x:v>
      </x:c>
      <x:c r="D2262" s="2" t="str">
        <x:v>68d992c7418727808ad27d2e5ee9b88d</x:v>
      </x:c>
      <x:c r="E2262" s="2" t="str">
        <x:v>CHECK_OUT</x:v>
      </x:c>
      <x:c r="F2262" s="8" t="n">
        <x:v>46303.59048611111</x:v>
      </x:c>
      <x:c r="G2262" s="8" t="n">
        <x:v>46303.59050925926</x:v>
      </x:c>
      <x:c r="H2262" s="2" t="str">
        <x:v>R2S2</x:v>
      </x:c>
      <x:c r="I2262" s="9" t="n">
        <x:v>25.282000000000004</x:v>
      </x:c>
      <x:c r="J2262" s="9" t="n">
        <x:v>51.501999999999995</x:v>
      </x:c>
      <x:c r="K2262" s="2" t="n">
        <x:v>8</x:v>
      </x:c>
      <x:c r="L2262" s="2" t="str">
        <x:v>Valid</x:v>
      </x:c>
      <x:c r="M2262" s="2" t="str">
        <x:v>QR</x:v>
      </x:c>
      <x:c r="N2262" s="2" t="n">
        <x:v>1</x:v>
      </x:c>
      <x:c r="O2262" s="2" t="str">
        <x:v>Accepted</x:v>
      </x:c>
      <x:c r="P2262" s="2" t="str">
        <x:v>S002</x:v>
      </x:c>
      <x:c r="Q2262" s="2" t="str">
        <x:v>DEV002</x:v>
      </x:c>
      <x:c r="R2262" s="2" t="n">
        <x:v>16</x:v>
      </x:c>
      <x:c r="S2262" s="2" t="str">
        <x:v>Online</x:v>
      </x:c>
      <x:c r="T2262" s="2" t="str">
        <x:v>Synced</x:v>
      </x:c>
    </x:row>
    <x:row r="2263" ht="21" customHeight="1">
      <x:c r="A2263" s="2" t="str">
        <x:v>EV002348</x:v>
      </x:c>
      <x:c r="B2263" s="2" t="str">
        <x:v>T20261008-3-3</x:v>
      </x:c>
      <x:c r="C2263" s="2" t="str">
        <x:v>ST097</x:v>
      </x:c>
      <x:c r="D2263" s="2" t="str">
        <x:v>0ccbf8d08569df9dde2207b8d5616d1e</x:v>
      </x:c>
      <x:c r="E2263" s="2" t="str">
        <x:v>CHECK_OUT</x:v>
      </x:c>
      <x:c r="F2263" s="8" t="n">
        <x:v>46303.59048611111</x:v>
      </x:c>
      <x:c r="G2263" s="8" t="n">
        <x:v>46303.59050925926</x:v>
      </x:c>
      <x:c r="H2263" s="2" t="str">
        <x:v>R3S2</x:v>
      </x:c>
      <x:c r="I2263" s="9" t="n">
        <x:v>25.291000000000004</x:v>
      </x:c>
      <x:c r="J2263" s="9" t="n">
        <x:v>51.51</x:v>
      </x:c>
      <x:c r="K2263" s="2" t="n">
        <x:v>8</x:v>
      </x:c>
      <x:c r="L2263" s="2" t="str">
        <x:v>Valid</x:v>
      </x:c>
      <x:c r="M2263" s="2" t="str">
        <x:v>QR</x:v>
      </x:c>
      <x:c r="N2263" s="2" t="n">
        <x:v>1</x:v>
      </x:c>
      <x:c r="O2263" s="2" t="str">
        <x:v>Accepted</x:v>
      </x:c>
      <x:c r="P2263" s="2" t="str">
        <x:v>S003</x:v>
      </x:c>
      <x:c r="Q2263" s="2" t="str">
        <x:v>DEV003</x:v>
      </x:c>
      <x:c r="R2263" s="2" t="n">
        <x:v>16</x:v>
      </x:c>
      <x:c r="S2263" s="2" t="str">
        <x:v>Online</x:v>
      </x:c>
      <x:c r="T2263" s="2" t="str">
        <x:v>Synced</x:v>
      </x:c>
    </x:row>
    <x:row r="2264" ht="21" customHeight="1">
      <x:c r="A2264" s="2" t="str">
        <x:v>EV002034</x:v>
      </x:c>
      <x:c r="B2264" s="2" t="str">
        <x:v>T20261008-3-1</x:v>
      </x:c>
      <x:c r="C2264" s="2" t="str">
        <x:v>ST020</x:v>
      </x:c>
      <x:c r="D2264" s="2" t="str">
        <x:v>9f8daa9030f9f7599cd24e056935ab8d</x:v>
      </x:c>
      <x:c r="E2264" s="2" t="str">
        <x:v>CHECK_OUT</x:v>
      </x:c>
      <x:c r="F2264" s="8" t="n">
        <x:v>46303.59059027778</x:v>
      </x:c>
      <x:c r="G2264" s="8" t="n">
        <x:v>46303.59061342593</x:v>
      </x:c>
      <x:c r="H2264" s="2" t="str">
        <x:v>R1S2</x:v>
      </x:c>
      <x:c r="I2264" s="9" t="n">
        <x:v>25.273000000000003</x:v>
      </x:c>
      <x:c r="J2264" s="9" t="n">
        <x:v>51.494</x:v>
      </x:c>
      <x:c r="K2264" s="2" t="n">
        <x:v>8</x:v>
      </x:c>
      <x:c r="L2264" s="2" t="str">
        <x:v>Valid</x:v>
      </x:c>
      <x:c r="M2264" s="2" t="str">
        <x:v>QR</x:v>
      </x:c>
      <x:c r="N2264" s="2" t="n">
        <x:v>1</x:v>
      </x:c>
      <x:c r="O2264" s="2" t="str">
        <x:v>Accepted</x:v>
      </x:c>
      <x:c r="P2264" s="2" t="str">
        <x:v>S001</x:v>
      </x:c>
      <x:c r="Q2264" s="2" t="str">
        <x:v>DEV001</x:v>
      </x:c>
      <x:c r="R2264" s="2" t="n">
        <x:v>17</x:v>
      </x:c>
      <x:c r="S2264" s="2" t="str">
        <x:v>Online</x:v>
      </x:c>
      <x:c r="T2264" s="2" t="str">
        <x:v>Synced</x:v>
      </x:c>
    </x:row>
    <x:row r="2265" ht="21" customHeight="1">
      <x:c r="A2265" s="2" t="str">
        <x:v>EV002194</x:v>
      </x:c>
      <x:c r="B2265" s="2" t="str">
        <x:v>T20261008-3-2</x:v>
      </x:c>
      <x:c r="C2265" s="2" t="str">
        <x:v>ST060</x:v>
      </x:c>
      <x:c r="D2265" s="2" t="str">
        <x:v>a424ea3d9a5cb1c08037457e61cef61f</x:v>
      </x:c>
      <x:c r="E2265" s="2" t="str">
        <x:v>CHECK_OUT</x:v>
      </x:c>
      <x:c r="F2265" s="8" t="n">
        <x:v>46303.59059027778</x:v>
      </x:c>
      <x:c r="G2265" s="8" t="n">
        <x:v>46303.59061342593</x:v>
      </x:c>
      <x:c r="H2265" s="2" t="str">
        <x:v>R2S2</x:v>
      </x:c>
      <x:c r="I2265" s="9" t="n">
        <x:v>25.282000000000004</x:v>
      </x:c>
      <x:c r="J2265" s="9" t="n">
        <x:v>51.501999999999995</x:v>
      </x:c>
      <x:c r="K2265" s="2" t="n">
        <x:v>8</x:v>
      </x:c>
      <x:c r="L2265" s="2" t="str">
        <x:v>Valid</x:v>
      </x:c>
      <x:c r="M2265" s="2" t="str">
        <x:v>QR</x:v>
      </x:c>
      <x:c r="N2265" s="2" t="n">
        <x:v>1</x:v>
      </x:c>
      <x:c r="O2265" s="2" t="str">
        <x:v>Accepted</x:v>
      </x:c>
      <x:c r="P2265" s="2" t="str">
        <x:v>S002</x:v>
      </x:c>
      <x:c r="Q2265" s="2" t="str">
        <x:v>DEV002</x:v>
      </x:c>
      <x:c r="R2265" s="2" t="n">
        <x:v>17</x:v>
      </x:c>
      <x:c r="S2265" s="2" t="str">
        <x:v>Online</x:v>
      </x:c>
      <x:c r="T2265" s="2" t="str">
        <x:v>Synced</x:v>
      </x:c>
    </x:row>
    <x:row r="2266" ht="21" customHeight="1">
      <x:c r="A2266" s="2" t="str">
        <x:v>EV002354</x:v>
      </x:c>
      <x:c r="B2266" s="2" t="str">
        <x:v>T20261008-3-3</x:v>
      </x:c>
      <x:c r="C2266" s="2" t="str">
        <x:v>ST100</x:v>
      </x:c>
      <x:c r="D2266" s="2" t="str">
        <x:v>6ba3ddf298bc4515d195454c1e81d9d6</x:v>
      </x:c>
      <x:c r="E2266" s="2" t="str">
        <x:v>CHECK_OUT</x:v>
      </x:c>
      <x:c r="F2266" s="8" t="n">
        <x:v>46303.59059027778</x:v>
      </x:c>
      <x:c r="G2266" s="8" t="n">
        <x:v>46303.59061342593</x:v>
      </x:c>
      <x:c r="H2266" s="2" t="str">
        <x:v>R3S2</x:v>
      </x:c>
      <x:c r="I2266" s="9" t="n">
        <x:v>25.291000000000004</x:v>
      </x:c>
      <x:c r="J2266" s="9" t="n">
        <x:v>51.51</x:v>
      </x:c>
      <x:c r="K2266" s="2" t="n">
        <x:v>8</x:v>
      </x:c>
      <x:c r="L2266" s="2" t="str">
        <x:v>Valid</x:v>
      </x:c>
      <x:c r="M2266" s="2" t="str">
        <x:v>QR</x:v>
      </x:c>
      <x:c r="N2266" s="2" t="n">
        <x:v>1</x:v>
      </x:c>
      <x:c r="O2266" s="2" t="str">
        <x:v>Accepted</x:v>
      </x:c>
      <x:c r="P2266" s="2" t="str">
        <x:v>S003</x:v>
      </x:c>
      <x:c r="Q2266" s="2" t="str">
        <x:v>DEV003</x:v>
      </x:c>
      <x:c r="R2266" s="2" t="n">
        <x:v>17</x:v>
      </x:c>
      <x:c r="S2266" s="2" t="str">
        <x:v>Online</x:v>
      </x:c>
      <x:c r="T2266" s="2" t="str">
        <x:v>Synced</x:v>
      </x:c>
    </x:row>
    <x:row r="2267" ht="21" customHeight="1">
      <x:c r="A2267" s="2" t="str">
        <x:v>EV002018</x:v>
      </x:c>
      <x:c r="B2267" s="2" t="str">
        <x:v>T20261008-3-1</x:v>
      </x:c>
      <x:c r="C2267" s="2" t="str">
        <x:v>ST012</x:v>
      </x:c>
      <x:c r="D2267" s="2" t="str">
        <x:v>8d45a06a93234042b630e18d7821ea23</x:v>
      </x:c>
      <x:c r="E2267" s="2" t="str">
        <x:v>CHECK_OUT</x:v>
      </x:c>
      <x:c r="F2267" s="8" t="n">
        <x:v>46303.59447916667</x:v>
      </x:c>
      <x:c r="G2267" s="8" t="n">
        <x:v>46303.594502314816</x:v>
      </x:c>
      <x:c r="H2267" s="2" t="str">
        <x:v>R1S3</x:v>
      </x:c>
      <x:c r="I2267" s="9" t="n">
        <x:v>25.275000000000002</x:v>
      </x:c>
      <x:c r="J2267" s="9" t="n">
        <x:v>51.497</x:v>
      </x:c>
      <x:c r="K2267" s="2" t="n">
        <x:v>8</x:v>
      </x:c>
      <x:c r="L2267" s="2" t="str">
        <x:v>Valid</x:v>
      </x:c>
      <x:c r="M2267" s="2" t="str">
        <x:v>QR</x:v>
      </x:c>
      <x:c r="N2267" s="2" t="n">
        <x:v>1</x:v>
      </x:c>
      <x:c r="O2267" s="2" t="str">
        <x:v>Accepted</x:v>
      </x:c>
      <x:c r="P2267" s="2" t="str">
        <x:v>S001</x:v>
      </x:c>
      <x:c r="Q2267" s="2" t="str">
        <x:v>DEV001</x:v>
      </x:c>
      <x:c r="R2267" s="2" t="n">
        <x:v>18</x:v>
      </x:c>
      <x:c r="S2267" s="2" t="str">
        <x:v>Online</x:v>
      </x:c>
      <x:c r="T2267" s="2" t="str">
        <x:v>Synced</x:v>
      </x:c>
    </x:row>
    <x:row r="2268" ht="21" customHeight="1">
      <x:c r="A2268" s="2" t="str">
        <x:v>EV002178</x:v>
      </x:c>
      <x:c r="B2268" s="2" t="str">
        <x:v>T20261008-3-2</x:v>
      </x:c>
      <x:c r="C2268" s="2" t="str">
        <x:v>ST052</x:v>
      </x:c>
      <x:c r="D2268" s="2" t="str">
        <x:v>0c1c5957fe0604ae228ff5e1e1a785bc</x:v>
      </x:c>
      <x:c r="E2268" s="2" t="str">
        <x:v>CHECK_OUT</x:v>
      </x:c>
      <x:c r="F2268" s="8" t="n">
        <x:v>46303.59447916667</x:v>
      </x:c>
      <x:c r="G2268" s="8" t="n">
        <x:v>46303.594502314816</x:v>
      </x:c>
      <x:c r="H2268" s="2" t="str">
        <x:v>R2S3</x:v>
      </x:c>
      <x:c r="I2268" s="9" t="n">
        <x:v>25.284000000000002</x:v>
      </x:c>
      <x:c r="J2268" s="9" t="n">
        <x:v>51.504999999999995</x:v>
      </x:c>
      <x:c r="K2268" s="2" t="n">
        <x:v>8</x:v>
      </x:c>
      <x:c r="L2268" s="2" t="str">
        <x:v>Valid</x:v>
      </x:c>
      <x:c r="M2268" s="2" t="str">
        <x:v>QR</x:v>
      </x:c>
      <x:c r="N2268" s="2" t="n">
        <x:v>1</x:v>
      </x:c>
      <x:c r="O2268" s="2" t="str">
        <x:v>Accepted</x:v>
      </x:c>
      <x:c r="P2268" s="2" t="str">
        <x:v>S002</x:v>
      </x:c>
      <x:c r="Q2268" s="2" t="str">
        <x:v>DEV002</x:v>
      </x:c>
      <x:c r="R2268" s="2" t="n">
        <x:v>18</x:v>
      </x:c>
      <x:c r="S2268" s="2" t="str">
        <x:v>Online</x:v>
      </x:c>
      <x:c r="T2268" s="2" t="str">
        <x:v>Synced</x:v>
      </x:c>
    </x:row>
    <x:row r="2269" ht="21" customHeight="1">
      <x:c r="A2269" s="2" t="str">
        <x:v>EV002338</x:v>
      </x:c>
      <x:c r="B2269" s="2" t="str">
        <x:v>T20261008-3-3</x:v>
      </x:c>
      <x:c r="C2269" s="2" t="str">
        <x:v>ST092</x:v>
      </x:c>
      <x:c r="D2269" s="2" t="str">
        <x:v>e83e93b137787f284ae9574a02ff0cc7</x:v>
      </x:c>
      <x:c r="E2269" s="2" t="str">
        <x:v>CHECK_OUT</x:v>
      </x:c>
      <x:c r="F2269" s="8" t="n">
        <x:v>46303.59447916667</x:v>
      </x:c>
      <x:c r="G2269" s="8" t="n">
        <x:v>46303.594502314816</x:v>
      </x:c>
      <x:c r="H2269" s="2" t="str">
        <x:v>R3S3</x:v>
      </x:c>
      <x:c r="I2269" s="9" t="n">
        <x:v>25.293000000000003</x:v>
      </x:c>
      <x:c r="J2269" s="9" t="n">
        <x:v>51.513</x:v>
      </x:c>
      <x:c r="K2269" s="2" t="n">
        <x:v>8</x:v>
      </x:c>
      <x:c r="L2269" s="2" t="str">
        <x:v>Valid</x:v>
      </x:c>
      <x:c r="M2269" s="2" t="str">
        <x:v>QR</x:v>
      </x:c>
      <x:c r="N2269" s="2" t="n">
        <x:v>1</x:v>
      </x:c>
      <x:c r="O2269" s="2" t="str">
        <x:v>Accepted</x:v>
      </x:c>
      <x:c r="P2269" s="2" t="str">
        <x:v>S003</x:v>
      </x:c>
      <x:c r="Q2269" s="2" t="str">
        <x:v>DEV003</x:v>
      </x:c>
      <x:c r="R2269" s="2" t="n">
        <x:v>18</x:v>
      </x:c>
      <x:c r="S2269" s="2" t="str">
        <x:v>Online</x:v>
      </x:c>
      <x:c r="T2269" s="2" t="str">
        <x:v>Synced</x:v>
      </x:c>
    </x:row>
    <x:row r="2270" ht="21" customHeight="1">
      <x:c r="A2270" s="2" t="str">
        <x:v>EV002024</x:v>
      </x:c>
      <x:c r="B2270" s="2" t="str">
        <x:v>T20261008-3-1</x:v>
      </x:c>
      <x:c r="C2270" s="2" t="str">
        <x:v>ST015</x:v>
      </x:c>
      <x:c r="D2270" s="2" t="str">
        <x:v>997c76227e9b12bdccc68d0d53a8d1df</x:v>
      </x:c>
      <x:c r="E2270" s="2" t="str">
        <x:v>CHECK_OUT</x:v>
      </x:c>
      <x:c r="F2270" s="8" t="n">
        <x:v>46303.59458333334</x:v>
      </x:c>
      <x:c r="G2270" s="8" t="n">
        <x:v>46303.594606481485</x:v>
      </x:c>
      <x:c r="H2270" s="2" t="str">
        <x:v>R1S3</x:v>
      </x:c>
      <x:c r="I2270" s="9" t="n">
        <x:v>25.275000000000002</x:v>
      </x:c>
      <x:c r="J2270" s="9" t="n">
        <x:v>51.497</x:v>
      </x:c>
      <x:c r="K2270" s="2" t="n">
        <x:v>8</x:v>
      </x:c>
      <x:c r="L2270" s="2" t="str">
        <x:v>Valid</x:v>
      </x:c>
      <x:c r="M2270" s="2" t="str">
        <x:v>QR</x:v>
      </x:c>
      <x:c r="N2270" s="2" t="n">
        <x:v>1</x:v>
      </x:c>
      <x:c r="O2270" s="2" t="str">
        <x:v>Accepted</x:v>
      </x:c>
      <x:c r="P2270" s="2" t="str">
        <x:v>S001</x:v>
      </x:c>
      <x:c r="Q2270" s="2" t="str">
        <x:v>DEV001</x:v>
      </x:c>
      <x:c r="R2270" s="2" t="n">
        <x:v>19</x:v>
      </x:c>
      <x:c r="S2270" s="2" t="str">
        <x:v>Online</x:v>
      </x:c>
      <x:c r="T2270" s="2" t="str">
        <x:v>Synced</x:v>
      </x:c>
    </x:row>
    <x:row r="2271" ht="21" customHeight="1">
      <x:c r="A2271" s="2" t="str">
        <x:v>EV002184</x:v>
      </x:c>
      <x:c r="B2271" s="2" t="str">
        <x:v>T20261008-3-2</x:v>
      </x:c>
      <x:c r="C2271" s="2" t="str">
        <x:v>ST055</x:v>
      </x:c>
      <x:c r="D2271" s="2" t="str">
        <x:v>e796258b9306e2b3efab77a21add36a5</x:v>
      </x:c>
      <x:c r="E2271" s="2" t="str">
        <x:v>CHECK_OUT</x:v>
      </x:c>
      <x:c r="F2271" s="8" t="n">
        <x:v>46303.59458333334</x:v>
      </x:c>
      <x:c r="G2271" s="8" t="n">
        <x:v>46303.594606481485</x:v>
      </x:c>
      <x:c r="H2271" s="2" t="str">
        <x:v>R2S3</x:v>
      </x:c>
      <x:c r="I2271" s="9" t="n">
        <x:v>25.284000000000002</x:v>
      </x:c>
      <x:c r="J2271" s="9" t="n">
        <x:v>51.504999999999995</x:v>
      </x:c>
      <x:c r="K2271" s="2" t="n">
        <x:v>8</x:v>
      </x:c>
      <x:c r="L2271" s="2" t="str">
        <x:v>Valid</x:v>
      </x:c>
      <x:c r="M2271" s="2" t="str">
        <x:v>QR</x:v>
      </x:c>
      <x:c r="N2271" s="2" t="n">
        <x:v>1</x:v>
      </x:c>
      <x:c r="O2271" s="2" t="str">
        <x:v>Accepted</x:v>
      </x:c>
      <x:c r="P2271" s="2" t="str">
        <x:v>S002</x:v>
      </x:c>
      <x:c r="Q2271" s="2" t="str">
        <x:v>DEV002</x:v>
      </x:c>
      <x:c r="R2271" s="2" t="n">
        <x:v>19</x:v>
      </x:c>
      <x:c r="S2271" s="2" t="str">
        <x:v>Online</x:v>
      </x:c>
      <x:c r="T2271" s="2" t="str">
        <x:v>Synced</x:v>
      </x:c>
    </x:row>
    <x:row r="2272" ht="21" customHeight="1">
      <x:c r="A2272" s="2" t="str">
        <x:v>EV002344</x:v>
      </x:c>
      <x:c r="B2272" s="2" t="str">
        <x:v>T20261008-3-3</x:v>
      </x:c>
      <x:c r="C2272" s="2" t="str">
        <x:v>ST095</x:v>
      </x:c>
      <x:c r="D2272" s="2" t="str">
        <x:v>0935ee2c52872353d5a355eed1202dbe</x:v>
      </x:c>
      <x:c r="E2272" s="2" t="str">
        <x:v>CHECK_OUT</x:v>
      </x:c>
      <x:c r="F2272" s="8" t="n">
        <x:v>46303.59458333334</x:v>
      </x:c>
      <x:c r="G2272" s="8" t="n">
        <x:v>46303.594606481485</x:v>
      </x:c>
      <x:c r="H2272" s="2" t="str">
        <x:v>R3S3</x:v>
      </x:c>
      <x:c r="I2272" s="9" t="n">
        <x:v>25.293000000000003</x:v>
      </x:c>
      <x:c r="J2272" s="9" t="n">
        <x:v>51.513</x:v>
      </x:c>
      <x:c r="K2272" s="2" t="n">
        <x:v>8</x:v>
      </x:c>
      <x:c r="L2272" s="2" t="str">
        <x:v>Valid</x:v>
      </x:c>
      <x:c r="M2272" s="2" t="str">
        <x:v>QR</x:v>
      </x:c>
      <x:c r="N2272" s="2" t="n">
        <x:v>1</x:v>
      </x:c>
      <x:c r="O2272" s="2" t="str">
        <x:v>Accepted</x:v>
      </x:c>
      <x:c r="P2272" s="2" t="str">
        <x:v>S003</x:v>
      </x:c>
      <x:c r="Q2272" s="2" t="str">
        <x:v>DEV003</x:v>
      </x:c>
      <x:c r="R2272" s="2" t="n">
        <x:v>19</x:v>
      </x:c>
      <x:c r="S2272" s="2" t="str">
        <x:v>Online</x:v>
      </x:c>
      <x:c r="T2272" s="2" t="str">
        <x:v>Synced</x:v>
      </x:c>
    </x:row>
    <x:row r="2273" ht="21" customHeight="1">
      <x:c r="A2273" s="2" t="str">
        <x:v>EV002030</x:v>
      </x:c>
      <x:c r="B2273" s="2" t="str">
        <x:v>T20261008-3-1</x:v>
      </x:c>
      <x:c r="C2273" s="2" t="str">
        <x:v>ST018</x:v>
      </x:c>
      <x:c r="D2273" s="2" t="str">
        <x:v>4c1b40081ed5c7c21b8392ee528dbe54</x:v>
      </x:c>
      <x:c r="E2273" s="2" t="str">
        <x:v>CHECK_OUT</x:v>
      </x:c>
      <x:c r="F2273" s="8" t="n">
        <x:v>46303.5946875</x:v>
      </x:c>
      <x:c r="G2273" s="8" t="n">
        <x:v>46303.59471064815</x:v>
      </x:c>
      <x:c r="H2273" s="2" t="str">
        <x:v>R1S3</x:v>
      </x:c>
      <x:c r="I2273" s="9" t="n">
        <x:v>25.275000000000002</x:v>
      </x:c>
      <x:c r="J2273" s="9" t="n">
        <x:v>51.497</x:v>
      </x:c>
      <x:c r="K2273" s="2" t="n">
        <x:v>8</x:v>
      </x:c>
      <x:c r="L2273" s="2" t="str">
        <x:v>Valid</x:v>
      </x:c>
      <x:c r="M2273" s="2" t="str">
        <x:v>QR</x:v>
      </x:c>
      <x:c r="N2273" s="2" t="n">
        <x:v>1</x:v>
      </x:c>
      <x:c r="O2273" s="2" t="str">
        <x:v>Accepted</x:v>
      </x:c>
      <x:c r="P2273" s="2" t="str">
        <x:v>S001</x:v>
      </x:c>
      <x:c r="Q2273" s="2" t="str">
        <x:v>DEV001</x:v>
      </x:c>
      <x:c r="R2273" s="2" t="n">
        <x:v>20</x:v>
      </x:c>
      <x:c r="S2273" s="2" t="str">
        <x:v>Online</x:v>
      </x:c>
      <x:c r="T2273" s="2" t="str">
        <x:v>Synced</x:v>
      </x:c>
    </x:row>
    <x:row r="2274" ht="21" customHeight="1">
      <x:c r="A2274" s="2" t="str">
        <x:v>EV002190</x:v>
      </x:c>
      <x:c r="B2274" s="2" t="str">
        <x:v>T20261008-3-2</x:v>
      </x:c>
      <x:c r="C2274" s="2" t="str">
        <x:v>ST058</x:v>
      </x:c>
      <x:c r="D2274" s="2" t="str">
        <x:v>ebf7e65b57e2c8bcd02f90b1d5692596</x:v>
      </x:c>
      <x:c r="E2274" s="2" t="str">
        <x:v>CHECK_OUT</x:v>
      </x:c>
      <x:c r="F2274" s="8" t="n">
        <x:v>46303.5946875</x:v>
      </x:c>
      <x:c r="G2274" s="8" t="n">
        <x:v>46303.59471064815</x:v>
      </x:c>
      <x:c r="H2274" s="2" t="str">
        <x:v>R2S3</x:v>
      </x:c>
      <x:c r="I2274" s="9" t="n">
        <x:v>25.284000000000002</x:v>
      </x:c>
      <x:c r="J2274" s="9" t="n">
        <x:v>51.504999999999995</x:v>
      </x:c>
      <x:c r="K2274" s="2" t="n">
        <x:v>8</x:v>
      </x:c>
      <x:c r="L2274" s="2" t="str">
        <x:v>Valid</x:v>
      </x:c>
      <x:c r="M2274" s="2" t="str">
        <x:v>QR</x:v>
      </x:c>
      <x:c r="N2274" s="2" t="n">
        <x:v>1</x:v>
      </x:c>
      <x:c r="O2274" s="2" t="str">
        <x:v>Accepted</x:v>
      </x:c>
      <x:c r="P2274" s="2" t="str">
        <x:v>S002</x:v>
      </x:c>
      <x:c r="Q2274" s="2" t="str">
        <x:v>DEV002</x:v>
      </x:c>
      <x:c r="R2274" s="2" t="n">
        <x:v>20</x:v>
      </x:c>
      <x:c r="S2274" s="2" t="str">
        <x:v>Online</x:v>
      </x:c>
      <x:c r="T2274" s="2" t="str">
        <x:v>Synced</x:v>
      </x:c>
    </x:row>
    <x:row r="2275" ht="21" customHeight="1">
      <x:c r="A2275" s="2" t="str">
        <x:v>EV002350</x:v>
      </x:c>
      <x:c r="B2275" s="2" t="str">
        <x:v>T20261008-3-3</x:v>
      </x:c>
      <x:c r="C2275" s="2" t="str">
        <x:v>ST098</x:v>
      </x:c>
      <x:c r="D2275" s="2" t="str">
        <x:v>4b453acdeca94f98f11a429464f7bff7</x:v>
      </x:c>
      <x:c r="E2275" s="2" t="str">
        <x:v>CHECK_OUT</x:v>
      </x:c>
      <x:c r="F2275" s="8" t="n">
        <x:v>46303.5946875</x:v>
      </x:c>
      <x:c r="G2275" s="8" t="n">
        <x:v>46303.59471064815</x:v>
      </x:c>
      <x:c r="H2275" s="2" t="str">
        <x:v>R3S3</x:v>
      </x:c>
      <x:c r="I2275" s="9" t="n">
        <x:v>25.293000000000003</x:v>
      </x:c>
      <x:c r="J2275" s="9" t="n">
        <x:v>51.513</x:v>
      </x:c>
      <x:c r="K2275" s="2" t="n">
        <x:v>8</x:v>
      </x:c>
      <x:c r="L2275" s="2" t="str">
        <x:v>Valid</x:v>
      </x:c>
      <x:c r="M2275" s="2" t="str">
        <x:v>QR</x:v>
      </x:c>
      <x:c r="N2275" s="2" t="n">
        <x:v>1</x:v>
      </x:c>
      <x:c r="O2275" s="2" t="str">
        <x:v>Accepted</x:v>
      </x:c>
      <x:c r="P2275" s="2" t="str">
        <x:v>S003</x:v>
      </x:c>
      <x:c r="Q2275" s="2" t="str">
        <x:v>DEV003</x:v>
      </x:c>
      <x:c r="R2275" s="2" t="n">
        <x:v>20</x:v>
      </x:c>
      <x:c r="S2275" s="2" t="str">
        <x:v>Online</x:v>
      </x:c>
      <x:c r="T2275" s="2" t="str">
        <x:v>Synced</x:v>
      </x:c>
    </x:row>
    <x:row r="2276" ht="21" customHeight="1">
      <x:c r="A2276" s="2" t="str">
        <x:v>EV002035</x:v>
      </x:c>
      <x:c r="B2276" s="2" t="str">
        <x:v>T20261008-4-1</x:v>
      </x:c>
      <x:c r="C2276" s="2" t="str">
        <x:v>ST021</x:v>
      </x:c>
      <x:c r="D2276" s="2" t="str">
        <x:v>9b1608e5663d6da53cd805c8051dedd7</x:v>
      </x:c>
      <x:c r="E2276" s="2" t="str">
        <x:v>CHECK_IN</x:v>
      </x:c>
      <x:c r="F2276" s="8" t="n">
        <x:v>46303.60416666667</x:v>
      </x:c>
      <x:c r="G2276" s="8" t="n">
        <x:v>46303.60418981482</x:v>
      </x:c>
      <x:c r="H2276" s="2" t="str">
        <x:v>SCH01</x:v>
      </x:c>
      <x:c r="I2276" s="9" t="n">
        <x:v>25.285</x:v>
      </x:c>
      <x:c r="J2276" s="9" t="n">
        <x:v>51.51</x:v>
      </x:c>
      <x:c r="K2276" s="2" t="n">
        <x:v>8</x:v>
      </x:c>
      <x:c r="L2276" s="2" t="str">
        <x:v>Valid</x:v>
      </x:c>
      <x:c r="M2276" s="2" t="str">
        <x:v>QR</x:v>
      </x:c>
      <x:c r="N2276" s="2" t="n">
        <x:v>1</x:v>
      </x:c>
      <x:c r="O2276" s="2" t="str">
        <x:v>Accepted</x:v>
      </x:c>
      <x:c r="P2276" s="2" t="str">
        <x:v>S001</x:v>
      </x:c>
      <x:c r="Q2276" s="2" t="str">
        <x:v>DEV001</x:v>
      </x:c>
      <x:c r="R2276" s="2" t="n">
        <x:v>1</x:v>
      </x:c>
      <x:c r="S2276" s="2" t="str">
        <x:v>Online</x:v>
      </x:c>
      <x:c r="T2276" s="2" t="str">
        <x:v>Synced</x:v>
      </x:c>
    </x:row>
    <x:row r="2277" ht="21" customHeight="1">
      <x:c r="A2277" s="2" t="str">
        <x:v>EV002195</x:v>
      </x:c>
      <x:c r="B2277" s="2" t="str">
        <x:v>T20261008-4-2</x:v>
      </x:c>
      <x:c r="C2277" s="2" t="str">
        <x:v>ST061</x:v>
      </x:c>
      <x:c r="D2277" s="2" t="str">
        <x:v>c547cb31f14853ae1f9f2436554d3271</x:v>
      </x:c>
      <x:c r="E2277" s="2" t="str">
        <x:v>CHECK_IN</x:v>
      </x:c>
      <x:c r="F2277" s="8" t="n">
        <x:v>46303.60416666667</x:v>
      </x:c>
      <x:c r="G2277" s="8" t="n">
        <x:v>46303.60418981482</x:v>
      </x:c>
      <x:c r="H2277" s="2" t="str">
        <x:v>SCH01</x:v>
      </x:c>
      <x:c r="I2277" s="9" t="n">
        <x:v>25.285</x:v>
      </x:c>
      <x:c r="J2277" s="9" t="n">
        <x:v>51.51</x:v>
      </x:c>
      <x:c r="K2277" s="2" t="n">
        <x:v>8</x:v>
      </x:c>
      <x:c r="L2277" s="2" t="str">
        <x:v>Valid</x:v>
      </x:c>
      <x:c r="M2277" s="2" t="str">
        <x:v>QR</x:v>
      </x:c>
      <x:c r="N2277" s="2" t="n">
        <x:v>1</x:v>
      </x:c>
      <x:c r="O2277" s="2" t="str">
        <x:v>Accepted</x:v>
      </x:c>
      <x:c r="P2277" s="2" t="str">
        <x:v>S002</x:v>
      </x:c>
      <x:c r="Q2277" s="2" t="str">
        <x:v>DEV002</x:v>
      </x:c>
      <x:c r="R2277" s="2" t="n">
        <x:v>1</x:v>
      </x:c>
      <x:c r="S2277" s="2" t="str">
        <x:v>Online</x:v>
      </x:c>
      <x:c r="T2277" s="2" t="str">
        <x:v>Synced</x:v>
      </x:c>
    </x:row>
    <x:row r="2278" ht="21" customHeight="1">
      <x:c r="A2278" s="2" t="str">
        <x:v>EV002355</x:v>
      </x:c>
      <x:c r="B2278" s="2" t="str">
        <x:v>T20261008-4-3</x:v>
      </x:c>
      <x:c r="C2278" s="2" t="str">
        <x:v>ST101</x:v>
      </x:c>
      <x:c r="D2278" s="2" t="str">
        <x:v>9f8e180c63d3ff8d3e393db3573884a8</x:v>
      </x:c>
      <x:c r="E2278" s="2" t="str">
        <x:v>CHECK_IN</x:v>
      </x:c>
      <x:c r="F2278" s="8" t="n">
        <x:v>46303.60416666667</x:v>
      </x:c>
      <x:c r="G2278" s="8" t="n">
        <x:v>46303.60418981482</x:v>
      </x:c>
      <x:c r="H2278" s="2" t="str">
        <x:v>SCH01</x:v>
      </x:c>
      <x:c r="I2278" s="9" t="n">
        <x:v>25.285</x:v>
      </x:c>
      <x:c r="J2278" s="9" t="n">
        <x:v>51.51</x:v>
      </x:c>
      <x:c r="K2278" s="2" t="n">
        <x:v>8</x:v>
      </x:c>
      <x:c r="L2278" s="2" t="str">
        <x:v>Valid</x:v>
      </x:c>
      <x:c r="M2278" s="2" t="str">
        <x:v>QR</x:v>
      </x:c>
      <x:c r="N2278" s="2" t="n">
        <x:v>1</x:v>
      </x:c>
      <x:c r="O2278" s="2" t="str">
        <x:v>Accepted</x:v>
      </x:c>
      <x:c r="P2278" s="2" t="str">
        <x:v>S003</x:v>
      </x:c>
      <x:c r="Q2278" s="2" t="str">
        <x:v>DEV003</x:v>
      </x:c>
      <x:c r="R2278" s="2" t="n">
        <x:v>1</x:v>
      </x:c>
      <x:c r="S2278" s="2" t="str">
        <x:v>Online</x:v>
      </x:c>
      <x:c r="T2278" s="2" t="str">
        <x:v>Synced</x:v>
      </x:c>
    </x:row>
    <x:row r="2279" ht="21" customHeight="1">
      <x:c r="A2279" s="2" t="str">
        <x:v>EV002037</x:v>
      </x:c>
      <x:c r="B2279" s="2" t="str">
        <x:v>T20261008-4-1</x:v>
      </x:c>
      <x:c r="C2279" s="2" t="str">
        <x:v>ST022</x:v>
      </x:c>
      <x:c r="D2279" s="2" t="str">
        <x:v>32e634064d0319251398d392c471332a</x:v>
      </x:c>
      <x:c r="E2279" s="2" t="str">
        <x:v>CHECK_IN</x:v>
      </x:c>
      <x:c r="F2279" s="8" t="n">
        <x:v>46303.604201388895</x:v>
      </x:c>
      <x:c r="G2279" s="8" t="n">
        <x:v>46303.60422453704</x:v>
      </x:c>
      <x:c r="H2279" s="2" t="str">
        <x:v>SCH01</x:v>
      </x:c>
      <x:c r="I2279" s="9" t="n">
        <x:v>25.285</x:v>
      </x:c>
      <x:c r="J2279" s="9" t="n">
        <x:v>51.51</x:v>
      </x:c>
      <x:c r="K2279" s="2" t="n">
        <x:v>8</x:v>
      </x:c>
      <x:c r="L2279" s="2" t="str">
        <x:v>Valid</x:v>
      </x:c>
      <x:c r="M2279" s="2" t="str">
        <x:v>QR</x:v>
      </x:c>
      <x:c r="N2279" s="2" t="n">
        <x:v>1</x:v>
      </x:c>
      <x:c r="O2279" s="2" t="str">
        <x:v>Accepted</x:v>
      </x:c>
      <x:c r="P2279" s="2" t="str">
        <x:v>S001</x:v>
      </x:c>
      <x:c r="Q2279" s="2" t="str">
        <x:v>DEV001</x:v>
      </x:c>
      <x:c r="R2279" s="2" t="n">
        <x:v>2</x:v>
      </x:c>
      <x:c r="S2279" s="2" t="str">
        <x:v>Online</x:v>
      </x:c>
      <x:c r="T2279" s="2" t="str">
        <x:v>Synced</x:v>
      </x:c>
    </x:row>
    <x:row r="2280" ht="21" customHeight="1">
      <x:c r="A2280" s="2" t="str">
        <x:v>EV002197</x:v>
      </x:c>
      <x:c r="B2280" s="2" t="str">
        <x:v>T20261008-4-2</x:v>
      </x:c>
      <x:c r="C2280" s="2" t="str">
        <x:v>ST062</x:v>
      </x:c>
      <x:c r="D2280" s="2" t="str">
        <x:v>e0ee324a0d8893ba89d7c618ea194e36</x:v>
      </x:c>
      <x:c r="E2280" s="2" t="str">
        <x:v>CHECK_IN</x:v>
      </x:c>
      <x:c r="F2280" s="8" t="n">
        <x:v>46303.604201388895</x:v>
      </x:c>
      <x:c r="G2280" s="8" t="n">
        <x:v>46303.60422453704</x:v>
      </x:c>
      <x:c r="H2280" s="2" t="str">
        <x:v>SCH01</x:v>
      </x:c>
      <x:c r="I2280" s="9" t="n">
        <x:v>25.285</x:v>
      </x:c>
      <x:c r="J2280" s="9" t="n">
        <x:v>51.51</x:v>
      </x:c>
      <x:c r="K2280" s="2" t="n">
        <x:v>8</x:v>
      </x:c>
      <x:c r="L2280" s="2" t="str">
        <x:v>Valid</x:v>
      </x:c>
      <x:c r="M2280" s="2" t="str">
        <x:v>QR</x:v>
      </x:c>
      <x:c r="N2280" s="2" t="n">
        <x:v>1</x:v>
      </x:c>
      <x:c r="O2280" s="2" t="str">
        <x:v>Accepted</x:v>
      </x:c>
      <x:c r="P2280" s="2" t="str">
        <x:v>S002</x:v>
      </x:c>
      <x:c r="Q2280" s="2" t="str">
        <x:v>DEV002</x:v>
      </x:c>
      <x:c r="R2280" s="2" t="n">
        <x:v>2</x:v>
      </x:c>
      <x:c r="S2280" s="2" t="str">
        <x:v>Online</x:v>
      </x:c>
      <x:c r="T2280" s="2" t="str">
        <x:v>Synced</x:v>
      </x:c>
    </x:row>
    <x:row r="2281" ht="21" customHeight="1">
      <x:c r="A2281" s="2" t="str">
        <x:v>EV002357</x:v>
      </x:c>
      <x:c r="B2281" s="2" t="str">
        <x:v>T20261008-4-3</x:v>
      </x:c>
      <x:c r="C2281" s="2" t="str">
        <x:v>ST102</x:v>
      </x:c>
      <x:c r="D2281" s="2" t="str">
        <x:v>6a90d57a6e4b5aedbdcdc5a29cf018e9</x:v>
      </x:c>
      <x:c r="E2281" s="2" t="str">
        <x:v>CHECK_IN</x:v>
      </x:c>
      <x:c r="F2281" s="8" t="n">
        <x:v>46303.604201388895</x:v>
      </x:c>
      <x:c r="G2281" s="8" t="n">
        <x:v>46303.60422453704</x:v>
      </x:c>
      <x:c r="H2281" s="2" t="str">
        <x:v>SCH01</x:v>
      </x:c>
      <x:c r="I2281" s="9" t="n">
        <x:v>25.285</x:v>
      </x:c>
      <x:c r="J2281" s="9" t="n">
        <x:v>51.51</x:v>
      </x:c>
      <x:c r="K2281" s="2" t="n">
        <x:v>8</x:v>
      </x:c>
      <x:c r="L2281" s="2" t="str">
        <x:v>Valid</x:v>
      </x:c>
      <x:c r="M2281" s="2" t="str">
        <x:v>QR</x:v>
      </x:c>
      <x:c r="N2281" s="2" t="n">
        <x:v>1</x:v>
      </x:c>
      <x:c r="O2281" s="2" t="str">
        <x:v>Accepted</x:v>
      </x:c>
      <x:c r="P2281" s="2" t="str">
        <x:v>S003</x:v>
      </x:c>
      <x:c r="Q2281" s="2" t="str">
        <x:v>DEV003</x:v>
      </x:c>
      <x:c r="R2281" s="2" t="n">
        <x:v>2</x:v>
      </x:c>
      <x:c r="S2281" s="2" t="str">
        <x:v>Online</x:v>
      </x:c>
      <x:c r="T2281" s="2" t="str">
        <x:v>Synced</x:v>
      </x:c>
    </x:row>
    <x:row r="2282" ht="21" customHeight="1">
      <x:c r="A2282" s="2" t="str">
        <x:v>EV002039</x:v>
      </x:c>
      <x:c r="B2282" s="2" t="str">
        <x:v>T20261008-4-1</x:v>
      </x:c>
      <x:c r="C2282" s="2" t="str">
        <x:v>ST023</x:v>
      </x:c>
      <x:c r="D2282" s="2" t="str">
        <x:v>1836074fce688580737a08d14a26fa79</x:v>
      </x:c>
      <x:c r="E2282" s="2" t="str">
        <x:v>CHECK_IN</x:v>
      </x:c>
      <x:c r="F2282" s="8" t="n">
        <x:v>46303.60423611112</x:v>
      </x:c>
      <x:c r="G2282" s="8" t="n">
        <x:v>46303.604259259264</x:v>
      </x:c>
      <x:c r="H2282" s="2" t="str">
        <x:v>SCH01</x:v>
      </x:c>
      <x:c r="I2282" s="9" t="n">
        <x:v>25.285</x:v>
      </x:c>
      <x:c r="J2282" s="9" t="n">
        <x:v>51.51</x:v>
      </x:c>
      <x:c r="K2282" s="2" t="n">
        <x:v>8</x:v>
      </x:c>
      <x:c r="L2282" s="2" t="str">
        <x:v>Valid</x:v>
      </x:c>
      <x:c r="M2282" s="2" t="str">
        <x:v>QR</x:v>
      </x:c>
      <x:c r="N2282" s="2" t="n">
        <x:v>1</x:v>
      </x:c>
      <x:c r="O2282" s="2" t="str">
        <x:v>Accepted</x:v>
      </x:c>
      <x:c r="P2282" s="2" t="str">
        <x:v>S001</x:v>
      </x:c>
      <x:c r="Q2282" s="2" t="str">
        <x:v>DEV001</x:v>
      </x:c>
      <x:c r="R2282" s="2" t="n">
        <x:v>3</x:v>
      </x:c>
      <x:c r="S2282" s="2" t="str">
        <x:v>Online</x:v>
      </x:c>
      <x:c r="T2282" s="2" t="str">
        <x:v>Synced</x:v>
      </x:c>
    </x:row>
    <x:row r="2283" ht="21" customHeight="1">
      <x:c r="A2283" s="2" t="str">
        <x:v>EV002199</x:v>
      </x:c>
      <x:c r="B2283" s="2" t="str">
        <x:v>T20261008-4-2</x:v>
      </x:c>
      <x:c r="C2283" s="2" t="str">
        <x:v>ST063</x:v>
      </x:c>
      <x:c r="D2283" s="2" t="str">
        <x:v>46a3e8e97cbe04af0173a75d9cdbcebf</x:v>
      </x:c>
      <x:c r="E2283" s="2" t="str">
        <x:v>CHECK_IN</x:v>
      </x:c>
      <x:c r="F2283" s="8" t="n">
        <x:v>46303.60423611112</x:v>
      </x:c>
      <x:c r="G2283" s="8" t="n">
        <x:v>46303.604259259264</x:v>
      </x:c>
      <x:c r="H2283" s="2" t="str">
        <x:v>SCH01</x:v>
      </x:c>
      <x:c r="I2283" s="9" t="n">
        <x:v>25.285</x:v>
      </x:c>
      <x:c r="J2283" s="9" t="n">
        <x:v>51.51</x:v>
      </x:c>
      <x:c r="K2283" s="2" t="n">
        <x:v>8</x:v>
      </x:c>
      <x:c r="L2283" s="2" t="str">
        <x:v>Valid</x:v>
      </x:c>
      <x:c r="M2283" s="2" t="str">
        <x:v>QR</x:v>
      </x:c>
      <x:c r="N2283" s="2" t="n">
        <x:v>1</x:v>
      </x:c>
      <x:c r="O2283" s="2" t="str">
        <x:v>Accepted</x:v>
      </x:c>
      <x:c r="P2283" s="2" t="str">
        <x:v>S002</x:v>
      </x:c>
      <x:c r="Q2283" s="2" t="str">
        <x:v>DEV002</x:v>
      </x:c>
      <x:c r="R2283" s="2" t="n">
        <x:v>3</x:v>
      </x:c>
      <x:c r="S2283" s="2" t="str">
        <x:v>Online</x:v>
      </x:c>
      <x:c r="T2283" s="2" t="str">
        <x:v>Synced</x:v>
      </x:c>
    </x:row>
    <x:row r="2284" ht="21" customHeight="1">
      <x:c r="A2284" s="2" t="str">
        <x:v>EV002359</x:v>
      </x:c>
      <x:c r="B2284" s="2" t="str">
        <x:v>T20261008-4-3</x:v>
      </x:c>
      <x:c r="C2284" s="2" t="str">
        <x:v>ST103</x:v>
      </x:c>
      <x:c r="D2284" s="2" t="str">
        <x:v>5982cfca835e14d82ed8b6562c1a172d</x:v>
      </x:c>
      <x:c r="E2284" s="2" t="str">
        <x:v>CHECK_IN</x:v>
      </x:c>
      <x:c r="F2284" s="8" t="n">
        <x:v>46303.60423611112</x:v>
      </x:c>
      <x:c r="G2284" s="8" t="n">
        <x:v>46303.604259259264</x:v>
      </x:c>
      <x:c r="H2284" s="2" t="str">
        <x:v>SCH01</x:v>
      </x:c>
      <x:c r="I2284" s="9" t="n">
        <x:v>25.285</x:v>
      </x:c>
      <x:c r="J2284" s="9" t="n">
        <x:v>51.51</x:v>
      </x:c>
      <x:c r="K2284" s="2" t="n">
        <x:v>8</x:v>
      </x:c>
      <x:c r="L2284" s="2" t="str">
        <x:v>Valid</x:v>
      </x:c>
      <x:c r="M2284" s="2" t="str">
        <x:v>QR</x:v>
      </x:c>
      <x:c r="N2284" s="2" t="n">
        <x:v>1</x:v>
      </x:c>
      <x:c r="O2284" s="2" t="str">
        <x:v>Accepted</x:v>
      </x:c>
      <x:c r="P2284" s="2" t="str">
        <x:v>S003</x:v>
      </x:c>
      <x:c r="Q2284" s="2" t="str">
        <x:v>DEV003</x:v>
      </x:c>
      <x:c r="R2284" s="2" t="n">
        <x:v>3</x:v>
      </x:c>
      <x:c r="S2284" s="2" t="str">
        <x:v>Online</x:v>
      </x:c>
      <x:c r="T2284" s="2" t="str">
        <x:v>Synced</x:v>
      </x:c>
    </x:row>
    <x:row r="2285" ht="21" customHeight="1">
      <x:c r="A2285" s="2" t="str">
        <x:v>EV002041</x:v>
      </x:c>
      <x:c r="B2285" s="2" t="str">
        <x:v>T20261008-4-1</x:v>
      </x:c>
      <x:c r="C2285" s="2" t="str">
        <x:v>ST024</x:v>
      </x:c>
      <x:c r="D2285" s="2" t="str">
        <x:v>df785f1577b8ee7f71835020d03a12a6</x:v>
      </x:c>
      <x:c r="E2285" s="2" t="str">
        <x:v>CHECK_IN</x:v>
      </x:c>
      <x:c r="F2285" s="8" t="n">
        <x:v>46303.60427083334</x:v>
      </x:c>
      <x:c r="G2285" s="8" t="n">
        <x:v>46303.60429398149</x:v>
      </x:c>
      <x:c r="H2285" s="2" t="str">
        <x:v>SCH01</x:v>
      </x:c>
      <x:c r="I2285" s="9" t="n">
        <x:v>25.285</x:v>
      </x:c>
      <x:c r="J2285" s="9" t="n">
        <x:v>51.51</x:v>
      </x:c>
      <x:c r="K2285" s="2" t="n">
        <x:v>8</x:v>
      </x:c>
      <x:c r="L2285" s="2" t="str">
        <x:v>Valid</x:v>
      </x:c>
      <x:c r="M2285" s="2" t="str">
        <x:v>QR</x:v>
      </x:c>
      <x:c r="N2285" s="2" t="n">
        <x:v>1</x:v>
      </x:c>
      <x:c r="O2285" s="2" t="str">
        <x:v>Accepted</x:v>
      </x:c>
      <x:c r="P2285" s="2" t="str">
        <x:v>S001</x:v>
      </x:c>
      <x:c r="Q2285" s="2" t="str">
        <x:v>DEV001</x:v>
      </x:c>
      <x:c r="R2285" s="2" t="n">
        <x:v>4</x:v>
      </x:c>
      <x:c r="S2285" s="2" t="str">
        <x:v>Online</x:v>
      </x:c>
      <x:c r="T2285" s="2" t="str">
        <x:v>Synced</x:v>
      </x:c>
    </x:row>
    <x:row r="2286" ht="21" customHeight="1">
      <x:c r="A2286" s="2" t="str">
        <x:v>EV002201</x:v>
      </x:c>
      <x:c r="B2286" s="2" t="str">
        <x:v>T20261008-4-2</x:v>
      </x:c>
      <x:c r="C2286" s="2" t="str">
        <x:v>ST064</x:v>
      </x:c>
      <x:c r="D2286" s="2" t="str">
        <x:v>80debd99a6cfe1ca0800304796fd69ff</x:v>
      </x:c>
      <x:c r="E2286" s="2" t="str">
        <x:v>CHECK_IN</x:v>
      </x:c>
      <x:c r="F2286" s="8" t="n">
        <x:v>46303.60427083334</x:v>
      </x:c>
      <x:c r="G2286" s="8" t="n">
        <x:v>46303.60429398149</x:v>
      </x:c>
      <x:c r="H2286" s="2" t="str">
        <x:v>SCH01</x:v>
      </x:c>
      <x:c r="I2286" s="9" t="n">
        <x:v>25.285</x:v>
      </x:c>
      <x:c r="J2286" s="9" t="n">
        <x:v>51.51</x:v>
      </x:c>
      <x:c r="K2286" s="2" t="n">
        <x:v>8</x:v>
      </x:c>
      <x:c r="L2286" s="2" t="str">
        <x:v>Valid</x:v>
      </x:c>
      <x:c r="M2286" s="2" t="str">
        <x:v>QR</x:v>
      </x:c>
      <x:c r="N2286" s="2" t="n">
        <x:v>1</x:v>
      </x:c>
      <x:c r="O2286" s="2" t="str">
        <x:v>Accepted</x:v>
      </x:c>
      <x:c r="P2286" s="2" t="str">
        <x:v>S002</x:v>
      </x:c>
      <x:c r="Q2286" s="2" t="str">
        <x:v>DEV002</x:v>
      </x:c>
      <x:c r="R2286" s="2" t="n">
        <x:v>4</x:v>
      </x:c>
      <x:c r="S2286" s="2" t="str">
        <x:v>Online</x:v>
      </x:c>
      <x:c r="T2286" s="2" t="str">
        <x:v>Synced</x:v>
      </x:c>
    </x:row>
    <x:row r="2287" ht="21" customHeight="1">
      <x:c r="A2287" s="2" t="str">
        <x:v>EV002361</x:v>
      </x:c>
      <x:c r="B2287" s="2" t="str">
        <x:v>T20261008-4-3</x:v>
      </x:c>
      <x:c r="C2287" s="2" t="str">
        <x:v>ST104</x:v>
      </x:c>
      <x:c r="D2287" s="2" t="str">
        <x:v>12167381f9b78201d830c40ef6208ce4</x:v>
      </x:c>
      <x:c r="E2287" s="2" t="str">
        <x:v>CHECK_IN</x:v>
      </x:c>
      <x:c r="F2287" s="8" t="n">
        <x:v>46303.60427083334</x:v>
      </x:c>
      <x:c r="G2287" s="8" t="n">
        <x:v>46303.60429398149</x:v>
      </x:c>
      <x:c r="H2287" s="2" t="str">
        <x:v>SCH01</x:v>
      </x:c>
      <x:c r="I2287" s="9" t="n">
        <x:v>25.285</x:v>
      </x:c>
      <x:c r="J2287" s="9" t="n">
        <x:v>51.51</x:v>
      </x:c>
      <x:c r="K2287" s="2" t="n">
        <x:v>8</x:v>
      </x:c>
      <x:c r="L2287" s="2" t="str">
        <x:v>Valid</x:v>
      </x:c>
      <x:c r="M2287" s="2" t="str">
        <x:v>QR</x:v>
      </x:c>
      <x:c r="N2287" s="2" t="n">
        <x:v>1</x:v>
      </x:c>
      <x:c r="O2287" s="2" t="str">
        <x:v>Accepted</x:v>
      </x:c>
      <x:c r="P2287" s="2" t="str">
        <x:v>S003</x:v>
      </x:c>
      <x:c r="Q2287" s="2" t="str">
        <x:v>DEV003</x:v>
      </x:c>
      <x:c r="R2287" s="2" t="n">
        <x:v>4</x:v>
      </x:c>
      <x:c r="S2287" s="2" t="str">
        <x:v>Online</x:v>
      </x:c>
      <x:c r="T2287" s="2" t="str">
        <x:v>Synced</x:v>
      </x:c>
    </x:row>
    <x:row r="2288" ht="21" customHeight="1">
      <x:c r="A2288" s="2" t="str">
        <x:v>EV002043</x:v>
      </x:c>
      <x:c r="B2288" s="2" t="str">
        <x:v>T20261008-4-1</x:v>
      </x:c>
      <x:c r="C2288" s="2" t="str">
        <x:v>ST025</x:v>
      </x:c>
      <x:c r="D2288" s="2" t="str">
        <x:v>caea48c43f4ccfa85999e7cb546cd774</x:v>
      </x:c>
      <x:c r="E2288" s="2" t="str">
        <x:v>CHECK_IN</x:v>
      </x:c>
      <x:c r="F2288" s="8" t="n">
        <x:v>46303.604305555564</x:v>
      </x:c>
      <x:c r="G2288" s="8" t="n">
        <x:v>46303.60432870371</x:v>
      </x:c>
      <x:c r="H2288" s="2" t="str">
        <x:v>SCH01</x:v>
      </x:c>
      <x:c r="I2288" s="9" t="n">
        <x:v>25.285</x:v>
      </x:c>
      <x:c r="J2288" s="9" t="n">
        <x:v>51.51</x:v>
      </x:c>
      <x:c r="K2288" s="2" t="n">
        <x:v>8</x:v>
      </x:c>
      <x:c r="L2288" s="2" t="str">
        <x:v>Valid</x:v>
      </x:c>
      <x:c r="M2288" s="2" t="str">
        <x:v>QR</x:v>
      </x:c>
      <x:c r="N2288" s="2" t="n">
        <x:v>1</x:v>
      </x:c>
      <x:c r="O2288" s="2" t="str">
        <x:v>Accepted</x:v>
      </x:c>
      <x:c r="P2288" s="2" t="str">
        <x:v>S001</x:v>
      </x:c>
      <x:c r="Q2288" s="2" t="str">
        <x:v>DEV001</x:v>
      </x:c>
      <x:c r="R2288" s="2" t="n">
        <x:v>5</x:v>
      </x:c>
      <x:c r="S2288" s="2" t="str">
        <x:v>Online</x:v>
      </x:c>
      <x:c r="T2288" s="2" t="str">
        <x:v>Synced</x:v>
      </x:c>
    </x:row>
    <x:row r="2289" ht="21" customHeight="1">
      <x:c r="A2289" s="2" t="str">
        <x:v>EV002203</x:v>
      </x:c>
      <x:c r="B2289" s="2" t="str">
        <x:v>T20261008-4-2</x:v>
      </x:c>
      <x:c r="C2289" s="2" t="str">
        <x:v>ST065</x:v>
      </x:c>
      <x:c r="D2289" s="2" t="str">
        <x:v>6b379c82348acc8be3e0d247197a20bf</x:v>
      </x:c>
      <x:c r="E2289" s="2" t="str">
        <x:v>CHECK_IN</x:v>
      </x:c>
      <x:c r="F2289" s="8" t="n">
        <x:v>46303.604305555564</x:v>
      </x:c>
      <x:c r="G2289" s="8" t="n">
        <x:v>46303.60432870371</x:v>
      </x:c>
      <x:c r="H2289" s="2" t="str">
        <x:v>SCH01</x:v>
      </x:c>
      <x:c r="I2289" s="9" t="n">
        <x:v>25.285</x:v>
      </x:c>
      <x:c r="J2289" s="9" t="n">
        <x:v>51.51</x:v>
      </x:c>
      <x:c r="K2289" s="2" t="n">
        <x:v>8</x:v>
      </x:c>
      <x:c r="L2289" s="2" t="str">
        <x:v>Valid</x:v>
      </x:c>
      <x:c r="M2289" s="2" t="str">
        <x:v>QR</x:v>
      </x:c>
      <x:c r="N2289" s="2" t="n">
        <x:v>1</x:v>
      </x:c>
      <x:c r="O2289" s="2" t="str">
        <x:v>Accepted</x:v>
      </x:c>
      <x:c r="P2289" s="2" t="str">
        <x:v>S002</x:v>
      </x:c>
      <x:c r="Q2289" s="2" t="str">
        <x:v>DEV002</x:v>
      </x:c>
      <x:c r="R2289" s="2" t="n">
        <x:v>5</x:v>
      </x:c>
      <x:c r="S2289" s="2" t="str">
        <x:v>Online</x:v>
      </x:c>
      <x:c r="T2289" s="2" t="str">
        <x:v>Synced</x:v>
      </x:c>
    </x:row>
    <x:row r="2290" ht="21" customHeight="1">
      <x:c r="A2290" s="2" t="str">
        <x:v>EV002363</x:v>
      </x:c>
      <x:c r="B2290" s="2" t="str">
        <x:v>T20261008-4-3</x:v>
      </x:c>
      <x:c r="C2290" s="2" t="str">
        <x:v>ST105</x:v>
      </x:c>
      <x:c r="D2290" s="2" t="str">
        <x:v>bbd3ba75eaabf5ca3acef3823a75d885</x:v>
      </x:c>
      <x:c r="E2290" s="2" t="str">
        <x:v>CHECK_IN</x:v>
      </x:c>
      <x:c r="F2290" s="8" t="n">
        <x:v>46303.604305555564</x:v>
      </x:c>
      <x:c r="G2290" s="8" t="n">
        <x:v>46303.60432870371</x:v>
      </x:c>
      <x:c r="H2290" s="2" t="str">
        <x:v>SCH01</x:v>
      </x:c>
      <x:c r="I2290" s="9" t="n">
        <x:v>25.285</x:v>
      </x:c>
      <x:c r="J2290" s="9" t="n">
        <x:v>51.51</x:v>
      </x:c>
      <x:c r="K2290" s="2" t="n">
        <x:v>8</x:v>
      </x:c>
      <x:c r="L2290" s="2" t="str">
        <x:v>Valid</x:v>
      </x:c>
      <x:c r="M2290" s="2" t="str">
        <x:v>QR</x:v>
      </x:c>
      <x:c r="N2290" s="2" t="n">
        <x:v>1</x:v>
      </x:c>
      <x:c r="O2290" s="2" t="str">
        <x:v>Accepted</x:v>
      </x:c>
      <x:c r="P2290" s="2" t="str">
        <x:v>S003</x:v>
      </x:c>
      <x:c r="Q2290" s="2" t="str">
        <x:v>DEV003</x:v>
      </x:c>
      <x:c r="R2290" s="2" t="n">
        <x:v>5</x:v>
      </x:c>
      <x:c r="S2290" s="2" t="str">
        <x:v>Online</x:v>
      </x:c>
      <x:c r="T2290" s="2" t="str">
        <x:v>Synced</x:v>
      </x:c>
    </x:row>
    <x:row r="2291" ht="21" customHeight="1">
      <x:c r="A2291" s="2" t="str">
        <x:v>EV002045</x:v>
      </x:c>
      <x:c r="B2291" s="2" t="str">
        <x:v>T20261008-4-1</x:v>
      </x:c>
      <x:c r="C2291" s="2" t="str">
        <x:v>ST026</x:v>
      </x:c>
      <x:c r="D2291" s="2" t="str">
        <x:v>56aea196eabcf09e1199afbd5e8907b0</x:v>
      </x:c>
      <x:c r="E2291" s="2" t="str">
        <x:v>CHECK_IN</x:v>
      </x:c>
      <x:c r="F2291" s="8" t="n">
        <x:v>46303.60434027778</x:v>
      </x:c>
      <x:c r="G2291" s="8" t="n">
        <x:v>46303.604363425926</x:v>
      </x:c>
      <x:c r="H2291" s="2" t="str">
        <x:v>SCH01</x:v>
      </x:c>
      <x:c r="I2291" s="9" t="n">
        <x:v>25.285</x:v>
      </x:c>
      <x:c r="J2291" s="9" t="n">
        <x:v>51.51</x:v>
      </x:c>
      <x:c r="K2291" s="2" t="n">
        <x:v>8</x:v>
      </x:c>
      <x:c r="L2291" s="2" t="str">
        <x:v>Valid</x:v>
      </x:c>
      <x:c r="M2291" s="2" t="str">
        <x:v>QR</x:v>
      </x:c>
      <x:c r="N2291" s="2" t="n">
        <x:v>1</x:v>
      </x:c>
      <x:c r="O2291" s="2" t="str">
        <x:v>Accepted</x:v>
      </x:c>
      <x:c r="P2291" s="2" t="str">
        <x:v>S001</x:v>
      </x:c>
      <x:c r="Q2291" s="2" t="str">
        <x:v>DEV001</x:v>
      </x:c>
      <x:c r="R2291" s="2" t="n">
        <x:v>6</x:v>
      </x:c>
      <x:c r="S2291" s="2" t="str">
        <x:v>Online</x:v>
      </x:c>
      <x:c r="T2291" s="2" t="str">
        <x:v>Synced</x:v>
      </x:c>
    </x:row>
    <x:row r="2292" ht="21" customHeight="1">
      <x:c r="A2292" s="2" t="str">
        <x:v>EV002205</x:v>
      </x:c>
      <x:c r="B2292" s="2" t="str">
        <x:v>T20261008-4-2</x:v>
      </x:c>
      <x:c r="C2292" s="2" t="str">
        <x:v>ST066</x:v>
      </x:c>
      <x:c r="D2292" s="2" t="str">
        <x:v>f1ae8019085f4d0a77552e53fdc22aa7</x:v>
      </x:c>
      <x:c r="E2292" s="2" t="str">
        <x:v>CHECK_IN</x:v>
      </x:c>
      <x:c r="F2292" s="8" t="n">
        <x:v>46303.60434027778</x:v>
      </x:c>
      <x:c r="G2292" s="8" t="n">
        <x:v>46303.604363425926</x:v>
      </x:c>
      <x:c r="H2292" s="2" t="str">
        <x:v>SCH01</x:v>
      </x:c>
      <x:c r="I2292" s="9" t="n">
        <x:v>25.285</x:v>
      </x:c>
      <x:c r="J2292" s="9" t="n">
        <x:v>51.51</x:v>
      </x:c>
      <x:c r="K2292" s="2" t="n">
        <x:v>8</x:v>
      </x:c>
      <x:c r="L2292" s="2" t="str">
        <x:v>Valid</x:v>
      </x:c>
      <x:c r="M2292" s="2" t="str">
        <x:v>QR</x:v>
      </x:c>
      <x:c r="N2292" s="2" t="n">
        <x:v>1</x:v>
      </x:c>
      <x:c r="O2292" s="2" t="str">
        <x:v>Accepted</x:v>
      </x:c>
      <x:c r="P2292" s="2" t="str">
        <x:v>S002</x:v>
      </x:c>
      <x:c r="Q2292" s="2" t="str">
        <x:v>DEV002</x:v>
      </x:c>
      <x:c r="R2292" s="2" t="n">
        <x:v>6</x:v>
      </x:c>
      <x:c r="S2292" s="2" t="str">
        <x:v>Online</x:v>
      </x:c>
      <x:c r="T2292" s="2" t="str">
        <x:v>Synced</x:v>
      </x:c>
    </x:row>
    <x:row r="2293" ht="21" customHeight="1">
      <x:c r="A2293" s="2" t="str">
        <x:v>EV002365</x:v>
      </x:c>
      <x:c r="B2293" s="2" t="str">
        <x:v>T20261008-4-3</x:v>
      </x:c>
      <x:c r="C2293" s="2" t="str">
        <x:v>ST106</x:v>
      </x:c>
      <x:c r="D2293" s="2" t="str">
        <x:v>9bd191644f26d4fc266418c96f36f10b</x:v>
      </x:c>
      <x:c r="E2293" s="2" t="str">
        <x:v>CHECK_IN</x:v>
      </x:c>
      <x:c r="F2293" s="8" t="n">
        <x:v>46303.60434027778</x:v>
      </x:c>
      <x:c r="G2293" s="8" t="n">
        <x:v>46303.604363425926</x:v>
      </x:c>
      <x:c r="H2293" s="2" t="str">
        <x:v>SCH01</x:v>
      </x:c>
      <x:c r="I2293" s="9" t="n">
        <x:v>25.285</x:v>
      </x:c>
      <x:c r="J2293" s="9" t="n">
        <x:v>51.51</x:v>
      </x:c>
      <x:c r="K2293" s="2" t="n">
        <x:v>8</x:v>
      </x:c>
      <x:c r="L2293" s="2" t="str">
        <x:v>Valid</x:v>
      </x:c>
      <x:c r="M2293" s="2" t="str">
        <x:v>QR</x:v>
      </x:c>
      <x:c r="N2293" s="2" t="n">
        <x:v>1</x:v>
      </x:c>
      <x:c r="O2293" s="2" t="str">
        <x:v>Accepted</x:v>
      </x:c>
      <x:c r="P2293" s="2" t="str">
        <x:v>S003</x:v>
      </x:c>
      <x:c r="Q2293" s="2" t="str">
        <x:v>DEV003</x:v>
      </x:c>
      <x:c r="R2293" s="2" t="n">
        <x:v>6</x:v>
      </x:c>
      <x:c r="S2293" s="2" t="str">
        <x:v>Online</x:v>
      </x:c>
      <x:c r="T2293" s="2" t="str">
        <x:v>Synced</x:v>
      </x:c>
    </x:row>
    <x:row r="2294" ht="21" customHeight="1">
      <x:c r="A2294" s="2" t="str">
        <x:v>EV002047</x:v>
      </x:c>
      <x:c r="B2294" s="2" t="str">
        <x:v>T20261008-4-1</x:v>
      </x:c>
      <x:c r="C2294" s="2" t="str">
        <x:v>ST027</x:v>
      </x:c>
      <x:c r="D2294" s="2" t="str">
        <x:v>87868c08c06226359ca5121a9563bb63</x:v>
      </x:c>
      <x:c r="E2294" s="2" t="str">
        <x:v>CHECK_IN</x:v>
      </x:c>
      <x:c r="F2294" s="8" t="n">
        <x:v>46303.604375</x:v>
      </x:c>
      <x:c r="G2294" s="8" t="n">
        <x:v>46303.60439814815</x:v>
      </x:c>
      <x:c r="H2294" s="2" t="str">
        <x:v>SCH01</x:v>
      </x:c>
      <x:c r="I2294" s="9" t="n">
        <x:v>25.285</x:v>
      </x:c>
      <x:c r="J2294" s="9" t="n">
        <x:v>51.51</x:v>
      </x:c>
      <x:c r="K2294" s="2" t="n">
        <x:v>8</x:v>
      </x:c>
      <x:c r="L2294" s="2" t="str">
        <x:v>Valid</x:v>
      </x:c>
      <x:c r="M2294" s="2" t="str">
        <x:v>QR</x:v>
      </x:c>
      <x:c r="N2294" s="2" t="n">
        <x:v>1</x:v>
      </x:c>
      <x:c r="O2294" s="2" t="str">
        <x:v>Accepted</x:v>
      </x:c>
      <x:c r="P2294" s="2" t="str">
        <x:v>S001</x:v>
      </x:c>
      <x:c r="Q2294" s="2" t="str">
        <x:v>DEV001</x:v>
      </x:c>
      <x:c r="R2294" s="2" t="n">
        <x:v>7</x:v>
      </x:c>
      <x:c r="S2294" s="2" t="str">
        <x:v>Online</x:v>
      </x:c>
      <x:c r="T2294" s="2" t="str">
        <x:v>Synced</x:v>
      </x:c>
    </x:row>
    <x:row r="2295" ht="21" customHeight="1">
      <x:c r="A2295" s="2" t="str">
        <x:v>EV002207</x:v>
      </x:c>
      <x:c r="B2295" s="2" t="str">
        <x:v>T20261008-4-2</x:v>
      </x:c>
      <x:c r="C2295" s="2" t="str">
        <x:v>ST067</x:v>
      </x:c>
      <x:c r="D2295" s="2" t="str">
        <x:v>66c3e7b11abae76912fea37c6c7ce00c</x:v>
      </x:c>
      <x:c r="E2295" s="2" t="str">
        <x:v>CHECK_IN</x:v>
      </x:c>
      <x:c r="F2295" s="8" t="n">
        <x:v>46303.604375</x:v>
      </x:c>
      <x:c r="G2295" s="8" t="n">
        <x:v>46303.60439814815</x:v>
      </x:c>
      <x:c r="H2295" s="2" t="str">
        <x:v>SCH01</x:v>
      </x:c>
      <x:c r="I2295" s="9" t="n">
        <x:v>25.285</x:v>
      </x:c>
      <x:c r="J2295" s="9" t="n">
        <x:v>51.51</x:v>
      </x:c>
      <x:c r="K2295" s="2" t="n">
        <x:v>8</x:v>
      </x:c>
      <x:c r="L2295" s="2" t="str">
        <x:v>Valid</x:v>
      </x:c>
      <x:c r="M2295" s="2" t="str">
        <x:v>QR</x:v>
      </x:c>
      <x:c r="N2295" s="2" t="n">
        <x:v>1</x:v>
      </x:c>
      <x:c r="O2295" s="2" t="str">
        <x:v>Accepted</x:v>
      </x:c>
      <x:c r="P2295" s="2" t="str">
        <x:v>S002</x:v>
      </x:c>
      <x:c r="Q2295" s="2" t="str">
        <x:v>DEV002</x:v>
      </x:c>
      <x:c r="R2295" s="2" t="n">
        <x:v>7</x:v>
      </x:c>
      <x:c r="S2295" s="2" t="str">
        <x:v>Online</x:v>
      </x:c>
      <x:c r="T2295" s="2" t="str">
        <x:v>Synced</x:v>
      </x:c>
    </x:row>
    <x:row r="2296" ht="21" customHeight="1">
      <x:c r="A2296" s="2" t="str">
        <x:v>EV002367</x:v>
      </x:c>
      <x:c r="B2296" s="2" t="str">
        <x:v>T20261008-4-3</x:v>
      </x:c>
      <x:c r="C2296" s="2" t="str">
        <x:v>ST107</x:v>
      </x:c>
      <x:c r="D2296" s="2" t="str">
        <x:v>4a2bb35840a3b4fc7e804e2d710c14f4</x:v>
      </x:c>
      <x:c r="E2296" s="2" t="str">
        <x:v>CHECK_IN</x:v>
      </x:c>
      <x:c r="F2296" s="8" t="n">
        <x:v>46303.604375</x:v>
      </x:c>
      <x:c r="G2296" s="8" t="n">
        <x:v>46303.60439814815</x:v>
      </x:c>
      <x:c r="H2296" s="2" t="str">
        <x:v>SCH01</x:v>
      </x:c>
      <x:c r="I2296" s="9" t="n">
        <x:v>25.285</x:v>
      </x:c>
      <x:c r="J2296" s="9" t="n">
        <x:v>51.51</x:v>
      </x:c>
      <x:c r="K2296" s="2" t="n">
        <x:v>8</x:v>
      </x:c>
      <x:c r="L2296" s="2" t="str">
        <x:v>Valid</x:v>
      </x:c>
      <x:c r="M2296" s="2" t="str">
        <x:v>QR</x:v>
      </x:c>
      <x:c r="N2296" s="2" t="n">
        <x:v>1</x:v>
      </x:c>
      <x:c r="O2296" s="2" t="str">
        <x:v>Accepted</x:v>
      </x:c>
      <x:c r="P2296" s="2" t="str">
        <x:v>S003</x:v>
      </x:c>
      <x:c r="Q2296" s="2" t="str">
        <x:v>DEV003</x:v>
      </x:c>
      <x:c r="R2296" s="2" t="n">
        <x:v>7</x:v>
      </x:c>
      <x:c r="S2296" s="2" t="str">
        <x:v>Online</x:v>
      </x:c>
      <x:c r="T2296" s="2" t="str">
        <x:v>Synced</x:v>
      </x:c>
    </x:row>
    <x:row r="2297" ht="21" customHeight="1">
      <x:c r="A2297" s="2" t="str">
        <x:v>EV002049</x:v>
      </x:c>
      <x:c r="B2297" s="2" t="str">
        <x:v>T20261008-4-1</x:v>
      </x:c>
      <x:c r="C2297" s="2" t="str">
        <x:v>ST028</x:v>
      </x:c>
      <x:c r="D2297" s="2" t="str">
        <x:v>af9ca502f5a3f54f1f44ea6d11afd24b</x:v>
      </x:c>
      <x:c r="E2297" s="2" t="str">
        <x:v>CHECK_IN</x:v>
      </x:c>
      <x:c r="F2297" s="8" t="n">
        <x:v>46303.604409722226</x:v>
      </x:c>
      <x:c r="G2297" s="8" t="n">
        <x:v>46303.60443287037</x:v>
      </x:c>
      <x:c r="H2297" s="2" t="str">
        <x:v>SCH01</x:v>
      </x:c>
      <x:c r="I2297" s="9" t="n">
        <x:v>25.285</x:v>
      </x:c>
      <x:c r="J2297" s="9" t="n">
        <x:v>51.51</x:v>
      </x:c>
      <x:c r="K2297" s="2" t="n">
        <x:v>8</x:v>
      </x:c>
      <x:c r="L2297" s="2" t="str">
        <x:v>Valid</x:v>
      </x:c>
      <x:c r="M2297" s="2" t="str">
        <x:v>QR</x:v>
      </x:c>
      <x:c r="N2297" s="2" t="n">
        <x:v>1</x:v>
      </x:c>
      <x:c r="O2297" s="2" t="str">
        <x:v>Accepted</x:v>
      </x:c>
      <x:c r="P2297" s="2" t="str">
        <x:v>S001</x:v>
      </x:c>
      <x:c r="Q2297" s="2" t="str">
        <x:v>DEV001</x:v>
      </x:c>
      <x:c r="R2297" s="2" t="n">
        <x:v>8</x:v>
      </x:c>
      <x:c r="S2297" s="2" t="str">
        <x:v>Online</x:v>
      </x:c>
      <x:c r="T2297" s="2" t="str">
        <x:v>Synced</x:v>
      </x:c>
    </x:row>
    <x:row r="2298" ht="21" customHeight="1">
      <x:c r="A2298" s="2" t="str">
        <x:v>EV002209</x:v>
      </x:c>
      <x:c r="B2298" s="2" t="str">
        <x:v>T20261008-4-2</x:v>
      </x:c>
      <x:c r="C2298" s="2" t="str">
        <x:v>ST068</x:v>
      </x:c>
      <x:c r="D2298" s="2" t="str">
        <x:v>6d9af84dd25561b8b07e5e166ae4982a</x:v>
      </x:c>
      <x:c r="E2298" s="2" t="str">
        <x:v>CHECK_IN</x:v>
      </x:c>
      <x:c r="F2298" s="8" t="n">
        <x:v>46303.604409722226</x:v>
      </x:c>
      <x:c r="G2298" s="8" t="n">
        <x:v>46303.60443287037</x:v>
      </x:c>
      <x:c r="H2298" s="2" t="str">
        <x:v>SCH01</x:v>
      </x:c>
      <x:c r="I2298" s="9" t="n">
        <x:v>25.285</x:v>
      </x:c>
      <x:c r="J2298" s="9" t="n">
        <x:v>51.51</x:v>
      </x:c>
      <x:c r="K2298" s="2" t="n">
        <x:v>8</x:v>
      </x:c>
      <x:c r="L2298" s="2" t="str">
        <x:v>Valid</x:v>
      </x:c>
      <x:c r="M2298" s="2" t="str">
        <x:v>QR</x:v>
      </x:c>
      <x:c r="N2298" s="2" t="n">
        <x:v>1</x:v>
      </x:c>
      <x:c r="O2298" s="2" t="str">
        <x:v>Accepted</x:v>
      </x:c>
      <x:c r="P2298" s="2" t="str">
        <x:v>S002</x:v>
      </x:c>
      <x:c r="Q2298" s="2" t="str">
        <x:v>DEV002</x:v>
      </x:c>
      <x:c r="R2298" s="2" t="n">
        <x:v>8</x:v>
      </x:c>
      <x:c r="S2298" s="2" t="str">
        <x:v>Online</x:v>
      </x:c>
      <x:c r="T2298" s="2" t="str">
        <x:v>Synced</x:v>
      </x:c>
    </x:row>
    <x:row r="2299" ht="21" customHeight="1">
      <x:c r="A2299" s="2" t="str">
        <x:v>EV002369</x:v>
      </x:c>
      <x:c r="B2299" s="2" t="str">
        <x:v>T20261008-4-3</x:v>
      </x:c>
      <x:c r="C2299" s="2" t="str">
        <x:v>ST108</x:v>
      </x:c>
      <x:c r="D2299" s="2" t="str">
        <x:v>85ef3b20338dfa9afdf3ae5a4b1ced5c</x:v>
      </x:c>
      <x:c r="E2299" s="2" t="str">
        <x:v>CHECK_IN</x:v>
      </x:c>
      <x:c r="F2299" s="8" t="n">
        <x:v>46303.604409722226</x:v>
      </x:c>
      <x:c r="G2299" s="8" t="n">
        <x:v>46303.60443287037</x:v>
      </x:c>
      <x:c r="H2299" s="2" t="str">
        <x:v>SCH01</x:v>
      </x:c>
      <x:c r="I2299" s="9" t="n">
        <x:v>25.285</x:v>
      </x:c>
      <x:c r="J2299" s="9" t="n">
        <x:v>51.51</x:v>
      </x:c>
      <x:c r="K2299" s="2" t="n">
        <x:v>8</x:v>
      </x:c>
      <x:c r="L2299" s="2" t="str">
        <x:v>Valid</x:v>
      </x:c>
      <x:c r="M2299" s="2" t="str">
        <x:v>QR</x:v>
      </x:c>
      <x:c r="N2299" s="2" t="n">
        <x:v>1</x:v>
      </x:c>
      <x:c r="O2299" s="2" t="str">
        <x:v>Accepted</x:v>
      </x:c>
      <x:c r="P2299" s="2" t="str">
        <x:v>S003</x:v>
      </x:c>
      <x:c r="Q2299" s="2" t="str">
        <x:v>DEV003</x:v>
      </x:c>
      <x:c r="R2299" s="2" t="n">
        <x:v>8</x:v>
      </x:c>
      <x:c r="S2299" s="2" t="str">
        <x:v>Online</x:v>
      </x:c>
      <x:c r="T2299" s="2" t="str">
        <x:v>Synced</x:v>
      </x:c>
    </x:row>
    <x:row r="2300" ht="21" customHeight="1">
      <x:c r="A2300" s="2" t="str">
        <x:v>EV002051</x:v>
      </x:c>
      <x:c r="B2300" s="2" t="str">
        <x:v>T20261008-4-1</x:v>
      </x:c>
      <x:c r="C2300" s="2" t="str">
        <x:v>ST029</x:v>
      </x:c>
      <x:c r="D2300" s="2" t="str">
        <x:v>160c4caa69875e092299cd9b55dcda0b</x:v>
      </x:c>
      <x:c r="E2300" s="2" t="str">
        <x:v>CHECK_IN</x:v>
      </x:c>
      <x:c r="F2300" s="8" t="n">
        <x:v>46303.60444444445</x:v>
      </x:c>
      <x:c r="G2300" s="8" t="n">
        <x:v>46303.604467592595</x:v>
      </x:c>
      <x:c r="H2300" s="2" t="str">
        <x:v>SCH01</x:v>
      </x:c>
      <x:c r="I2300" s="9" t="n">
        <x:v>25.285</x:v>
      </x:c>
      <x:c r="J2300" s="9" t="n">
        <x:v>51.51</x:v>
      </x:c>
      <x:c r="K2300" s="2" t="n">
        <x:v>8</x:v>
      </x:c>
      <x:c r="L2300" s="2" t="str">
        <x:v>Valid</x:v>
      </x:c>
      <x:c r="M2300" s="2" t="str">
        <x:v>QR</x:v>
      </x:c>
      <x:c r="N2300" s="2" t="n">
        <x:v>1</x:v>
      </x:c>
      <x:c r="O2300" s="2" t="str">
        <x:v>Accepted</x:v>
      </x:c>
      <x:c r="P2300" s="2" t="str">
        <x:v>S001</x:v>
      </x:c>
      <x:c r="Q2300" s="2" t="str">
        <x:v>DEV001</x:v>
      </x:c>
      <x:c r="R2300" s="2" t="n">
        <x:v>9</x:v>
      </x:c>
      <x:c r="S2300" s="2" t="str">
        <x:v>Online</x:v>
      </x:c>
      <x:c r="T2300" s="2" t="str">
        <x:v>Synced</x:v>
      </x:c>
    </x:row>
    <x:row r="2301" ht="21" customHeight="1">
      <x:c r="A2301" s="2" t="str">
        <x:v>EV002211</x:v>
      </x:c>
      <x:c r="B2301" s="2" t="str">
        <x:v>T20261008-4-2</x:v>
      </x:c>
      <x:c r="C2301" s="2" t="str">
        <x:v>ST069</x:v>
      </x:c>
      <x:c r="D2301" s="2" t="str">
        <x:v>d453525f57933d1df9d056e2e53ed3e4</x:v>
      </x:c>
      <x:c r="E2301" s="2" t="str">
        <x:v>CHECK_IN</x:v>
      </x:c>
      <x:c r="F2301" s="8" t="n">
        <x:v>46303.60444444445</x:v>
      </x:c>
      <x:c r="G2301" s="8" t="n">
        <x:v>46303.604467592595</x:v>
      </x:c>
      <x:c r="H2301" s="2" t="str">
        <x:v>SCH01</x:v>
      </x:c>
      <x:c r="I2301" s="9" t="n">
        <x:v>25.285</x:v>
      </x:c>
      <x:c r="J2301" s="9" t="n">
        <x:v>51.51</x:v>
      </x:c>
      <x:c r="K2301" s="2" t="n">
        <x:v>8</x:v>
      </x:c>
      <x:c r="L2301" s="2" t="str">
        <x:v>Valid</x:v>
      </x:c>
      <x:c r="M2301" s="2" t="str">
        <x:v>QR</x:v>
      </x:c>
      <x:c r="N2301" s="2" t="n">
        <x:v>1</x:v>
      </x:c>
      <x:c r="O2301" s="2" t="str">
        <x:v>Accepted</x:v>
      </x:c>
      <x:c r="P2301" s="2" t="str">
        <x:v>S002</x:v>
      </x:c>
      <x:c r="Q2301" s="2" t="str">
        <x:v>DEV002</x:v>
      </x:c>
      <x:c r="R2301" s="2" t="n">
        <x:v>9</x:v>
      </x:c>
      <x:c r="S2301" s="2" t="str">
        <x:v>Online</x:v>
      </x:c>
      <x:c r="T2301" s="2" t="str">
        <x:v>Synced</x:v>
      </x:c>
    </x:row>
    <x:row r="2302" ht="21" customHeight="1">
      <x:c r="A2302" s="2" t="str">
        <x:v>EV002371</x:v>
      </x:c>
      <x:c r="B2302" s="2" t="str">
        <x:v>T20261008-4-3</x:v>
      </x:c>
      <x:c r="C2302" s="2" t="str">
        <x:v>ST109</x:v>
      </x:c>
      <x:c r="D2302" s="2" t="str">
        <x:v>dfd493c800846e3efc35048335bd557b</x:v>
      </x:c>
      <x:c r="E2302" s="2" t="str">
        <x:v>CHECK_IN</x:v>
      </x:c>
      <x:c r="F2302" s="8" t="n">
        <x:v>46303.60444444445</x:v>
      </x:c>
      <x:c r="G2302" s="8" t="n">
        <x:v>46303.604467592595</x:v>
      </x:c>
      <x:c r="H2302" s="2" t="str">
        <x:v>SCH01</x:v>
      </x:c>
      <x:c r="I2302" s="9" t="n">
        <x:v>25.285</x:v>
      </x:c>
      <x:c r="J2302" s="9" t="n">
        <x:v>51.51</x:v>
      </x:c>
      <x:c r="K2302" s="2" t="n">
        <x:v>8</x:v>
      </x:c>
      <x:c r="L2302" s="2" t="str">
        <x:v>Valid</x:v>
      </x:c>
      <x:c r="M2302" s="2" t="str">
        <x:v>QR</x:v>
      </x:c>
      <x:c r="N2302" s="2" t="n">
        <x:v>1</x:v>
      </x:c>
      <x:c r="O2302" s="2" t="str">
        <x:v>Accepted</x:v>
      </x:c>
      <x:c r="P2302" s="2" t="str">
        <x:v>S003</x:v>
      </x:c>
      <x:c r="Q2302" s="2" t="str">
        <x:v>DEV003</x:v>
      </x:c>
      <x:c r="R2302" s="2" t="n">
        <x:v>9</x:v>
      </x:c>
      <x:c r="S2302" s="2" t="str">
        <x:v>Online</x:v>
      </x:c>
      <x:c r="T2302" s="2" t="str">
        <x:v>Synced</x:v>
      </x:c>
    </x:row>
    <x:row r="2303" ht="21" customHeight="1">
      <x:c r="A2303" s="2" t="str">
        <x:v>EV002053</x:v>
      </x:c>
      <x:c r="B2303" s="2" t="str">
        <x:v>T20261008-4-1</x:v>
      </x:c>
      <x:c r="C2303" s="2" t="str">
        <x:v>ST030</x:v>
      </x:c>
      <x:c r="D2303" s="2" t="str">
        <x:v>82585187c31166ddecfc4b31343dde64</x:v>
      </x:c>
      <x:c r="E2303" s="2" t="str">
        <x:v>CHECK_IN</x:v>
      </x:c>
      <x:c r="F2303" s="8" t="n">
        <x:v>46303.60447916667</x:v>
      </x:c>
      <x:c r="G2303" s="8" t="n">
        <x:v>46303.60450231482</x:v>
      </x:c>
      <x:c r="H2303" s="2" t="str">
        <x:v>SCH01</x:v>
      </x:c>
      <x:c r="I2303" s="9" t="n">
        <x:v>25.285</x:v>
      </x:c>
      <x:c r="J2303" s="9" t="n">
        <x:v>51.51</x:v>
      </x:c>
      <x:c r="K2303" s="2" t="n">
        <x:v>8</x:v>
      </x:c>
      <x:c r="L2303" s="2" t="str">
        <x:v>Valid</x:v>
      </x:c>
      <x:c r="M2303" s="2" t="str">
        <x:v>QR</x:v>
      </x:c>
      <x:c r="N2303" s="2" t="n">
        <x:v>1</x:v>
      </x:c>
      <x:c r="O2303" s="2" t="str">
        <x:v>Accepted</x:v>
      </x:c>
      <x:c r="P2303" s="2" t="str">
        <x:v>S001</x:v>
      </x:c>
      <x:c r="Q2303" s="2" t="str">
        <x:v>DEV001</x:v>
      </x:c>
      <x:c r="R2303" s="2" t="n">
        <x:v>10</x:v>
      </x:c>
      <x:c r="S2303" s="2" t="str">
        <x:v>Online</x:v>
      </x:c>
      <x:c r="T2303" s="2" t="str">
        <x:v>Synced</x:v>
      </x:c>
    </x:row>
    <x:row r="2304" ht="21" customHeight="1">
      <x:c r="A2304" s="2" t="str">
        <x:v>EV002213</x:v>
      </x:c>
      <x:c r="B2304" s="2" t="str">
        <x:v>T20261008-4-2</x:v>
      </x:c>
      <x:c r="C2304" s="2" t="str">
        <x:v>ST070</x:v>
      </x:c>
      <x:c r="D2304" s="2" t="str">
        <x:v>12a9f1121533e9d2b6402c68cf852c16</x:v>
      </x:c>
      <x:c r="E2304" s="2" t="str">
        <x:v>CHECK_IN</x:v>
      </x:c>
      <x:c r="F2304" s="8" t="n">
        <x:v>46303.60447916667</x:v>
      </x:c>
      <x:c r="G2304" s="8" t="n">
        <x:v>46303.60450231482</x:v>
      </x:c>
      <x:c r="H2304" s="2" t="str">
        <x:v>SCH01</x:v>
      </x:c>
      <x:c r="I2304" s="9" t="n">
        <x:v>25.285</x:v>
      </x:c>
      <x:c r="J2304" s="9" t="n">
        <x:v>51.51</x:v>
      </x:c>
      <x:c r="K2304" s="2" t="n">
        <x:v>8</x:v>
      </x:c>
      <x:c r="L2304" s="2" t="str">
        <x:v>Valid</x:v>
      </x:c>
      <x:c r="M2304" s="2" t="str">
        <x:v>QR</x:v>
      </x:c>
      <x:c r="N2304" s="2" t="n">
        <x:v>1</x:v>
      </x:c>
      <x:c r="O2304" s="2" t="str">
        <x:v>Accepted</x:v>
      </x:c>
      <x:c r="P2304" s="2" t="str">
        <x:v>S002</x:v>
      </x:c>
      <x:c r="Q2304" s="2" t="str">
        <x:v>DEV002</x:v>
      </x:c>
      <x:c r="R2304" s="2" t="n">
        <x:v>10</x:v>
      </x:c>
      <x:c r="S2304" s="2" t="str">
        <x:v>Online</x:v>
      </x:c>
      <x:c r="T2304" s="2" t="str">
        <x:v>Synced</x:v>
      </x:c>
    </x:row>
    <x:row r="2305" ht="21" customHeight="1">
      <x:c r="A2305" s="2" t="str">
        <x:v>EV002373</x:v>
      </x:c>
      <x:c r="B2305" s="2" t="str">
        <x:v>T20261008-4-3</x:v>
      </x:c>
      <x:c r="C2305" s="2" t="str">
        <x:v>ST110</x:v>
      </x:c>
      <x:c r="D2305" s="2" t="str">
        <x:v>4382c0cdcda89fb8cc0f5b9fc03b4c51</x:v>
      </x:c>
      <x:c r="E2305" s="2" t="str">
        <x:v>CHECK_IN</x:v>
      </x:c>
      <x:c r="F2305" s="8" t="n">
        <x:v>46303.60447916667</x:v>
      </x:c>
      <x:c r="G2305" s="8" t="n">
        <x:v>46303.60450231482</x:v>
      </x:c>
      <x:c r="H2305" s="2" t="str">
        <x:v>SCH01</x:v>
      </x:c>
      <x:c r="I2305" s="9" t="n">
        <x:v>25.285</x:v>
      </x:c>
      <x:c r="J2305" s="9" t="n">
        <x:v>51.51</x:v>
      </x:c>
      <x:c r="K2305" s="2" t="n">
        <x:v>8</x:v>
      </x:c>
      <x:c r="L2305" s="2" t="str">
        <x:v>Valid</x:v>
      </x:c>
      <x:c r="M2305" s="2" t="str">
        <x:v>QR</x:v>
      </x:c>
      <x:c r="N2305" s="2" t="n">
        <x:v>1</x:v>
      </x:c>
      <x:c r="O2305" s="2" t="str">
        <x:v>Accepted</x:v>
      </x:c>
      <x:c r="P2305" s="2" t="str">
        <x:v>S003</x:v>
      </x:c>
      <x:c r="Q2305" s="2" t="str">
        <x:v>DEV003</x:v>
      </x:c>
      <x:c r="R2305" s="2" t="n">
        <x:v>10</x:v>
      </x:c>
      <x:c r="S2305" s="2" t="str">
        <x:v>Online</x:v>
      </x:c>
      <x:c r="T2305" s="2" t="str">
        <x:v>Synced</x:v>
      </x:c>
    </x:row>
    <x:row r="2306" ht="21" customHeight="1">
      <x:c r="A2306" s="2" t="str">
        <x:v>EV002038</x:v>
      </x:c>
      <x:c r="B2306" s="2" t="str">
        <x:v>T20261008-4-1</x:v>
      </x:c>
      <x:c r="C2306" s="2" t="str">
        <x:v>ST022</x:v>
      </x:c>
      <x:c r="D2306" s="2" t="str">
        <x:v>32e634064d0319251398d392c471332a</x:v>
      </x:c>
      <x:c r="E2306" s="2" t="str">
        <x:v>CHECK_OUT</x:v>
      </x:c>
      <x:c r="F2306" s="8" t="n">
        <x:v>46303.618784722225</x:v>
      </x:c>
      <x:c r="G2306" s="8" t="n">
        <x:v>46303.61880787037</x:v>
      </x:c>
      <x:c r="H2306" s="2" t="str">
        <x:v>R1S1</x:v>
      </x:c>
      <x:c r="I2306" s="9" t="n">
        <x:v>25.271</x:v>
      </x:c>
      <x:c r="J2306" s="9" t="n">
        <x:v>51.491</x:v>
      </x:c>
      <x:c r="K2306" s="2" t="n">
        <x:v>8</x:v>
      </x:c>
      <x:c r="L2306" s="2" t="str">
        <x:v>Valid</x:v>
      </x:c>
      <x:c r="M2306" s="2" t="str">
        <x:v>QR</x:v>
      </x:c>
      <x:c r="N2306" s="2" t="n">
        <x:v>1</x:v>
      </x:c>
      <x:c r="O2306" s="2" t="str">
        <x:v>Accepted</x:v>
      </x:c>
      <x:c r="P2306" s="2" t="str">
        <x:v>S001</x:v>
      </x:c>
      <x:c r="Q2306" s="2" t="str">
        <x:v>DEV001</x:v>
      </x:c>
      <x:c r="R2306" s="2" t="n">
        <x:v>11</x:v>
      </x:c>
      <x:c r="S2306" s="2" t="str">
        <x:v>Online</x:v>
      </x:c>
      <x:c r="T2306" s="2" t="str">
        <x:v>Synced</x:v>
      </x:c>
    </x:row>
    <x:row r="2307" ht="21" customHeight="1">
      <x:c r="A2307" s="2" t="str">
        <x:v>EV002198</x:v>
      </x:c>
      <x:c r="B2307" s="2" t="str">
        <x:v>T20261008-4-2</x:v>
      </x:c>
      <x:c r="C2307" s="2" t="str">
        <x:v>ST062</x:v>
      </x:c>
      <x:c r="D2307" s="2" t="str">
        <x:v>e0ee324a0d8893ba89d7c618ea194e36</x:v>
      </x:c>
      <x:c r="E2307" s="2" t="str">
        <x:v>CHECK_OUT</x:v>
      </x:c>
      <x:c r="F2307" s="8" t="n">
        <x:v>46303.618784722225</x:v>
      </x:c>
      <x:c r="G2307" s="8" t="n">
        <x:v>46303.61880787037</x:v>
      </x:c>
      <x:c r="H2307" s="2" t="str">
        <x:v>R2S1</x:v>
      </x:c>
      <x:c r="I2307" s="9" t="n">
        <x:v>25.28</x:v>
      </x:c>
      <x:c r="J2307" s="9" t="n">
        <x:v>51.498999999999995</x:v>
      </x:c>
      <x:c r="K2307" s="2" t="n">
        <x:v>8</x:v>
      </x:c>
      <x:c r="L2307" s="2" t="str">
        <x:v>Valid</x:v>
      </x:c>
      <x:c r="M2307" s="2" t="str">
        <x:v>QR</x:v>
      </x:c>
      <x:c r="N2307" s="2" t="n">
        <x:v>1</x:v>
      </x:c>
      <x:c r="O2307" s="2" t="str">
        <x:v>Accepted</x:v>
      </x:c>
      <x:c r="P2307" s="2" t="str">
        <x:v>S002</x:v>
      </x:c>
      <x:c r="Q2307" s="2" t="str">
        <x:v>DEV002</x:v>
      </x:c>
      <x:c r="R2307" s="2" t="n">
        <x:v>11</x:v>
      </x:c>
      <x:c r="S2307" s="2" t="str">
        <x:v>Online</x:v>
      </x:c>
      <x:c r="T2307" s="2" t="str">
        <x:v>Synced</x:v>
      </x:c>
    </x:row>
    <x:row r="2308" ht="21" customHeight="1">
      <x:c r="A2308" s="2" t="str">
        <x:v>EV002358</x:v>
      </x:c>
      <x:c r="B2308" s="2" t="str">
        <x:v>T20261008-4-3</x:v>
      </x:c>
      <x:c r="C2308" s="2" t="str">
        <x:v>ST102</x:v>
      </x:c>
      <x:c r="D2308" s="2" t="str">
        <x:v>6a90d57a6e4b5aedbdcdc5a29cf018e9</x:v>
      </x:c>
      <x:c r="E2308" s="2" t="str">
        <x:v>CHECK_OUT</x:v>
      </x:c>
      <x:c r="F2308" s="8" t="n">
        <x:v>46303.618784722225</x:v>
      </x:c>
      <x:c r="G2308" s="8" t="n">
        <x:v>46303.61880787037</x:v>
      </x:c>
      <x:c r="H2308" s="2" t="str">
        <x:v>R3S1</x:v>
      </x:c>
      <x:c r="I2308" s="9" t="n">
        <x:v>25.289</x:v>
      </x:c>
      <x:c r="J2308" s="9" t="n">
        <x:v>51.507</x:v>
      </x:c>
      <x:c r="K2308" s="2" t="n">
        <x:v>8</x:v>
      </x:c>
      <x:c r="L2308" s="2" t="str">
        <x:v>Valid</x:v>
      </x:c>
      <x:c r="M2308" s="2" t="str">
        <x:v>QR</x:v>
      </x:c>
      <x:c r="N2308" s="2" t="n">
        <x:v>1</x:v>
      </x:c>
      <x:c r="O2308" s="2" t="str">
        <x:v>Accepted</x:v>
      </x:c>
      <x:c r="P2308" s="2" t="str">
        <x:v>S003</x:v>
      </x:c>
      <x:c r="Q2308" s="2" t="str">
        <x:v>DEV003</x:v>
      </x:c>
      <x:c r="R2308" s="2" t="n">
        <x:v>11</x:v>
      </x:c>
      <x:c r="S2308" s="2" t="str">
        <x:v>Online</x:v>
      </x:c>
      <x:c r="T2308" s="2" t="str">
        <x:v>Synced</x:v>
      </x:c>
    </x:row>
    <x:row r="2309" ht="21" customHeight="1">
      <x:c r="A2309" s="2" t="str">
        <x:v>EV002044</x:v>
      </x:c>
      <x:c r="B2309" s="2" t="str">
        <x:v>T20261008-4-1</x:v>
      </x:c>
      <x:c r="C2309" s="2" t="str">
        <x:v>ST025</x:v>
      </x:c>
      <x:c r="D2309" s="2" t="str">
        <x:v>caea48c43f4ccfa85999e7cb546cd774</x:v>
      </x:c>
      <x:c r="E2309" s="2" t="str">
        <x:v>CHECK_OUT</x:v>
      </x:c>
      <x:c r="F2309" s="8" t="n">
        <x:v>46303.618888888894</x:v>
      </x:c>
      <x:c r="G2309" s="8" t="n">
        <x:v>46303.61891203704</x:v>
      </x:c>
      <x:c r="H2309" s="2" t="str">
        <x:v>R1S1</x:v>
      </x:c>
      <x:c r="I2309" s="9" t="n">
        <x:v>25.271</x:v>
      </x:c>
      <x:c r="J2309" s="9" t="n">
        <x:v>51.491</x:v>
      </x:c>
      <x:c r="K2309" s="2" t="n">
        <x:v>8</x:v>
      </x:c>
      <x:c r="L2309" s="2" t="str">
        <x:v>Valid</x:v>
      </x:c>
      <x:c r="M2309" s="2" t="str">
        <x:v>QR</x:v>
      </x:c>
      <x:c r="N2309" s="2" t="n">
        <x:v>1</x:v>
      </x:c>
      <x:c r="O2309" s="2" t="str">
        <x:v>Accepted</x:v>
      </x:c>
      <x:c r="P2309" s="2" t="str">
        <x:v>S001</x:v>
      </x:c>
      <x:c r="Q2309" s="2" t="str">
        <x:v>DEV001</x:v>
      </x:c>
      <x:c r="R2309" s="2" t="n">
        <x:v>12</x:v>
      </x:c>
      <x:c r="S2309" s="2" t="str">
        <x:v>Online</x:v>
      </x:c>
      <x:c r="T2309" s="2" t="str">
        <x:v>Synced</x:v>
      </x:c>
    </x:row>
    <x:row r="2310" ht="21" customHeight="1">
      <x:c r="A2310" s="2" t="str">
        <x:v>EV002204</x:v>
      </x:c>
      <x:c r="B2310" s="2" t="str">
        <x:v>T20261008-4-2</x:v>
      </x:c>
      <x:c r="C2310" s="2" t="str">
        <x:v>ST065</x:v>
      </x:c>
      <x:c r="D2310" s="2" t="str">
        <x:v>6b379c82348acc8be3e0d247197a20bf</x:v>
      </x:c>
      <x:c r="E2310" s="2" t="str">
        <x:v>CHECK_OUT</x:v>
      </x:c>
      <x:c r="F2310" s="8" t="n">
        <x:v>46303.618888888894</x:v>
      </x:c>
      <x:c r="G2310" s="8" t="n">
        <x:v>46303.61891203704</x:v>
      </x:c>
      <x:c r="H2310" s="2" t="str">
        <x:v>R2S1</x:v>
      </x:c>
      <x:c r="I2310" s="9" t="n">
        <x:v>25.28</x:v>
      </x:c>
      <x:c r="J2310" s="9" t="n">
        <x:v>51.498999999999995</x:v>
      </x:c>
      <x:c r="K2310" s="2" t="n">
        <x:v>8</x:v>
      </x:c>
      <x:c r="L2310" s="2" t="str">
        <x:v>Valid</x:v>
      </x:c>
      <x:c r="M2310" s="2" t="str">
        <x:v>QR</x:v>
      </x:c>
      <x:c r="N2310" s="2" t="n">
        <x:v>1</x:v>
      </x:c>
      <x:c r="O2310" s="2" t="str">
        <x:v>Accepted</x:v>
      </x:c>
      <x:c r="P2310" s="2" t="str">
        <x:v>S002</x:v>
      </x:c>
      <x:c r="Q2310" s="2" t="str">
        <x:v>DEV002</x:v>
      </x:c>
      <x:c r="R2310" s="2" t="n">
        <x:v>12</x:v>
      </x:c>
      <x:c r="S2310" s="2" t="str">
        <x:v>Online</x:v>
      </x:c>
      <x:c r="T2310" s="2" t="str">
        <x:v>Synced</x:v>
      </x:c>
    </x:row>
    <x:row r="2311" ht="21" customHeight="1">
      <x:c r="A2311" s="2" t="str">
        <x:v>EV002364</x:v>
      </x:c>
      <x:c r="B2311" s="2" t="str">
        <x:v>T20261008-4-3</x:v>
      </x:c>
      <x:c r="C2311" s="2" t="str">
        <x:v>ST105</x:v>
      </x:c>
      <x:c r="D2311" s="2" t="str">
        <x:v>bbd3ba75eaabf5ca3acef3823a75d885</x:v>
      </x:c>
      <x:c r="E2311" s="2" t="str">
        <x:v>CHECK_OUT</x:v>
      </x:c>
      <x:c r="F2311" s="8" t="n">
        <x:v>46303.618888888894</x:v>
      </x:c>
      <x:c r="G2311" s="8" t="n">
        <x:v>46303.61891203704</x:v>
      </x:c>
      <x:c r="H2311" s="2" t="str">
        <x:v>R3S1</x:v>
      </x:c>
      <x:c r="I2311" s="9" t="n">
        <x:v>25.289</x:v>
      </x:c>
      <x:c r="J2311" s="9" t="n">
        <x:v>51.507</x:v>
      </x:c>
      <x:c r="K2311" s="2" t="n">
        <x:v>8</x:v>
      </x:c>
      <x:c r="L2311" s="2" t="str">
        <x:v>Valid</x:v>
      </x:c>
      <x:c r="M2311" s="2" t="str">
        <x:v>QR</x:v>
      </x:c>
      <x:c r="N2311" s="2" t="n">
        <x:v>1</x:v>
      </x:c>
      <x:c r="O2311" s="2" t="str">
        <x:v>Accepted</x:v>
      </x:c>
      <x:c r="P2311" s="2" t="str">
        <x:v>S003</x:v>
      </x:c>
      <x:c r="Q2311" s="2" t="str">
        <x:v>DEV003</x:v>
      </x:c>
      <x:c r="R2311" s="2" t="n">
        <x:v>12</x:v>
      </x:c>
      <x:c r="S2311" s="2" t="str">
        <x:v>Online</x:v>
      </x:c>
      <x:c r="T2311" s="2" t="str">
        <x:v>Synced</x:v>
      </x:c>
    </x:row>
    <x:row r="2312" ht="21" customHeight="1">
      <x:c r="A2312" s="2" t="str">
        <x:v>EV002050</x:v>
      </x:c>
      <x:c r="B2312" s="2" t="str">
        <x:v>T20261008-4-1</x:v>
      </x:c>
      <x:c r="C2312" s="2" t="str">
        <x:v>ST028</x:v>
      </x:c>
      <x:c r="D2312" s="2" t="str">
        <x:v>af9ca502f5a3f54f1f44ea6d11afd24b</x:v>
      </x:c>
      <x:c r="E2312" s="2" t="str">
        <x:v>CHECK_OUT</x:v>
      </x:c>
      <x:c r="F2312" s="8" t="n">
        <x:v>46303.618993055556</x:v>
      </x:c>
      <x:c r="G2312" s="8" t="n">
        <x:v>46303.6190162037</x:v>
      </x:c>
      <x:c r="H2312" s="2" t="str">
        <x:v>R1S1</x:v>
      </x:c>
      <x:c r="I2312" s="9" t="n">
        <x:v>25.271</x:v>
      </x:c>
      <x:c r="J2312" s="9" t="n">
        <x:v>51.491</x:v>
      </x:c>
      <x:c r="K2312" s="2" t="n">
        <x:v>8</x:v>
      </x:c>
      <x:c r="L2312" s="2" t="str">
        <x:v>Valid</x:v>
      </x:c>
      <x:c r="M2312" s="2" t="str">
        <x:v>QR</x:v>
      </x:c>
      <x:c r="N2312" s="2" t="n">
        <x:v>1</x:v>
      </x:c>
      <x:c r="O2312" s="2" t="str">
        <x:v>Accepted</x:v>
      </x:c>
      <x:c r="P2312" s="2" t="str">
        <x:v>S001</x:v>
      </x:c>
      <x:c r="Q2312" s="2" t="str">
        <x:v>DEV001</x:v>
      </x:c>
      <x:c r="R2312" s="2" t="n">
        <x:v>13</x:v>
      </x:c>
      <x:c r="S2312" s="2" t="str">
        <x:v>Online</x:v>
      </x:c>
      <x:c r="T2312" s="2" t="str">
        <x:v>Synced</x:v>
      </x:c>
    </x:row>
    <x:row r="2313" ht="21" customHeight="1">
      <x:c r="A2313" s="2" t="str">
        <x:v>EV002210</x:v>
      </x:c>
      <x:c r="B2313" s="2" t="str">
        <x:v>T20261008-4-2</x:v>
      </x:c>
      <x:c r="C2313" s="2" t="str">
        <x:v>ST068</x:v>
      </x:c>
      <x:c r="D2313" s="2" t="str">
        <x:v>6d9af84dd25561b8b07e5e166ae4982a</x:v>
      </x:c>
      <x:c r="E2313" s="2" t="str">
        <x:v>CHECK_OUT</x:v>
      </x:c>
      <x:c r="F2313" s="8" t="n">
        <x:v>46303.618993055556</x:v>
      </x:c>
      <x:c r="G2313" s="8" t="n">
        <x:v>46303.6190162037</x:v>
      </x:c>
      <x:c r="H2313" s="2" t="str">
        <x:v>R2S1</x:v>
      </x:c>
      <x:c r="I2313" s="9" t="n">
        <x:v>25.28</x:v>
      </x:c>
      <x:c r="J2313" s="9" t="n">
        <x:v>51.498999999999995</x:v>
      </x:c>
      <x:c r="K2313" s="2" t="n">
        <x:v>8</x:v>
      </x:c>
      <x:c r="L2313" s="2" t="str">
        <x:v>Valid</x:v>
      </x:c>
      <x:c r="M2313" s="2" t="str">
        <x:v>QR</x:v>
      </x:c>
      <x:c r="N2313" s="2" t="n">
        <x:v>1</x:v>
      </x:c>
      <x:c r="O2313" s="2" t="str">
        <x:v>Accepted</x:v>
      </x:c>
      <x:c r="P2313" s="2" t="str">
        <x:v>S002</x:v>
      </x:c>
      <x:c r="Q2313" s="2" t="str">
        <x:v>DEV002</x:v>
      </x:c>
      <x:c r="R2313" s="2" t="n">
        <x:v>13</x:v>
      </x:c>
      <x:c r="S2313" s="2" t="str">
        <x:v>Online</x:v>
      </x:c>
      <x:c r="T2313" s="2" t="str">
        <x:v>Synced</x:v>
      </x:c>
    </x:row>
    <x:row r="2314" ht="21" customHeight="1">
      <x:c r="A2314" s="2" t="str">
        <x:v>EV002370</x:v>
      </x:c>
      <x:c r="B2314" s="2" t="str">
        <x:v>T20261008-4-3</x:v>
      </x:c>
      <x:c r="C2314" s="2" t="str">
        <x:v>ST108</x:v>
      </x:c>
      <x:c r="D2314" s="2" t="str">
        <x:v>85ef3b20338dfa9afdf3ae5a4b1ced5c</x:v>
      </x:c>
      <x:c r="E2314" s="2" t="str">
        <x:v>CHECK_OUT</x:v>
      </x:c>
      <x:c r="F2314" s="8" t="n">
        <x:v>46303.618993055556</x:v>
      </x:c>
      <x:c r="G2314" s="8" t="n">
        <x:v>46303.6190162037</x:v>
      </x:c>
      <x:c r="H2314" s="2" t="str">
        <x:v>R3S1</x:v>
      </x:c>
      <x:c r="I2314" s="9" t="n">
        <x:v>25.289</x:v>
      </x:c>
      <x:c r="J2314" s="9" t="n">
        <x:v>51.507</x:v>
      </x:c>
      <x:c r="K2314" s="2" t="n">
        <x:v>8</x:v>
      </x:c>
      <x:c r="L2314" s="2" t="str">
        <x:v>Valid</x:v>
      </x:c>
      <x:c r="M2314" s="2" t="str">
        <x:v>QR</x:v>
      </x:c>
      <x:c r="N2314" s="2" t="n">
        <x:v>1</x:v>
      </x:c>
      <x:c r="O2314" s="2" t="str">
        <x:v>Accepted</x:v>
      </x:c>
      <x:c r="P2314" s="2" t="str">
        <x:v>S003</x:v>
      </x:c>
      <x:c r="Q2314" s="2" t="str">
        <x:v>DEV003</x:v>
      </x:c>
      <x:c r="R2314" s="2" t="n">
        <x:v>13</x:v>
      </x:c>
      <x:c r="S2314" s="2" t="str">
        <x:v>Online</x:v>
      </x:c>
      <x:c r="T2314" s="2" t="str">
        <x:v>Synced</x:v>
      </x:c>
    </x:row>
    <x:row r="2315" ht="21" customHeight="1">
      <x:c r="A2315" s="2" t="str">
        <x:v>EV002040</x:v>
      </x:c>
      <x:c r="B2315" s="2" t="str">
        <x:v>T20261008-4-1</x:v>
      </x:c>
      <x:c r="C2315" s="2" t="str">
        <x:v>ST023</x:v>
      </x:c>
      <x:c r="D2315" s="2" t="str">
        <x:v>1836074fce688580737a08d14a26fa79</x:v>
      </x:c>
      <x:c r="E2315" s="2" t="str">
        <x:v>CHECK_OUT</x:v>
      </x:c>
      <x:c r="F2315" s="8" t="n">
        <x:v>46303.62298611111</x:v>
      </x:c>
      <x:c r="G2315" s="8" t="n">
        <x:v>46303.62300925926</x:v>
      </x:c>
      <x:c r="H2315" s="2" t="str">
        <x:v>R1S2</x:v>
      </x:c>
      <x:c r="I2315" s="9" t="n">
        <x:v>25.273000000000003</x:v>
      </x:c>
      <x:c r="J2315" s="9" t="n">
        <x:v>51.494</x:v>
      </x:c>
      <x:c r="K2315" s="2" t="n">
        <x:v>8</x:v>
      </x:c>
      <x:c r="L2315" s="2" t="str">
        <x:v>Valid</x:v>
      </x:c>
      <x:c r="M2315" s="2" t="str">
        <x:v>QR</x:v>
      </x:c>
      <x:c r="N2315" s="2" t="n">
        <x:v>1</x:v>
      </x:c>
      <x:c r="O2315" s="2" t="str">
        <x:v>Accepted</x:v>
      </x:c>
      <x:c r="P2315" s="2" t="str">
        <x:v>S001</x:v>
      </x:c>
      <x:c r="Q2315" s="2" t="str">
        <x:v>DEV001</x:v>
      </x:c>
      <x:c r="R2315" s="2" t="n">
        <x:v>14</x:v>
      </x:c>
      <x:c r="S2315" s="2" t="str">
        <x:v>Online</x:v>
      </x:c>
      <x:c r="T2315" s="2" t="str">
        <x:v>Synced</x:v>
      </x:c>
    </x:row>
    <x:row r="2316" ht="21" customHeight="1">
      <x:c r="A2316" s="2" t="str">
        <x:v>EV002200</x:v>
      </x:c>
      <x:c r="B2316" s="2" t="str">
        <x:v>T20261008-4-2</x:v>
      </x:c>
      <x:c r="C2316" s="2" t="str">
        <x:v>ST063</x:v>
      </x:c>
      <x:c r="D2316" s="2" t="str">
        <x:v>46a3e8e97cbe04af0173a75d9cdbcebf</x:v>
      </x:c>
      <x:c r="E2316" s="2" t="str">
        <x:v>CHECK_OUT</x:v>
      </x:c>
      <x:c r="F2316" s="8" t="n">
        <x:v>46303.62298611111</x:v>
      </x:c>
      <x:c r="G2316" s="8" t="n">
        <x:v>46303.62300925926</x:v>
      </x:c>
      <x:c r="H2316" s="2" t="str">
        <x:v>R2S2</x:v>
      </x:c>
      <x:c r="I2316" s="9" t="n">
        <x:v>25.282000000000004</x:v>
      </x:c>
      <x:c r="J2316" s="9" t="n">
        <x:v>51.501999999999995</x:v>
      </x:c>
      <x:c r="K2316" s="2" t="n">
        <x:v>8</x:v>
      </x:c>
      <x:c r="L2316" s="2" t="str">
        <x:v>Valid</x:v>
      </x:c>
      <x:c r="M2316" s="2" t="str">
        <x:v>QR</x:v>
      </x:c>
      <x:c r="N2316" s="2" t="n">
        <x:v>1</x:v>
      </x:c>
      <x:c r="O2316" s="2" t="str">
        <x:v>Accepted</x:v>
      </x:c>
      <x:c r="P2316" s="2" t="str">
        <x:v>S002</x:v>
      </x:c>
      <x:c r="Q2316" s="2" t="str">
        <x:v>DEV002</x:v>
      </x:c>
      <x:c r="R2316" s="2" t="n">
        <x:v>14</x:v>
      </x:c>
      <x:c r="S2316" s="2" t="str">
        <x:v>Online</x:v>
      </x:c>
      <x:c r="T2316" s="2" t="str">
        <x:v>Synced</x:v>
      </x:c>
    </x:row>
    <x:row r="2317" ht="21" customHeight="1">
      <x:c r="A2317" s="2" t="str">
        <x:v>EV002360</x:v>
      </x:c>
      <x:c r="B2317" s="2" t="str">
        <x:v>T20261008-4-3</x:v>
      </x:c>
      <x:c r="C2317" s="2" t="str">
        <x:v>ST103</x:v>
      </x:c>
      <x:c r="D2317" s="2" t="str">
        <x:v>5982cfca835e14d82ed8b6562c1a172d</x:v>
      </x:c>
      <x:c r="E2317" s="2" t="str">
        <x:v>CHECK_OUT</x:v>
      </x:c>
      <x:c r="F2317" s="8" t="n">
        <x:v>46303.62298611111</x:v>
      </x:c>
      <x:c r="G2317" s="8" t="n">
        <x:v>46303.62300925926</x:v>
      </x:c>
      <x:c r="H2317" s="2" t="str">
        <x:v>R3S2</x:v>
      </x:c>
      <x:c r="I2317" s="9" t="n">
        <x:v>25.291000000000004</x:v>
      </x:c>
      <x:c r="J2317" s="9" t="n">
        <x:v>51.51</x:v>
      </x:c>
      <x:c r="K2317" s="2" t="n">
        <x:v>8</x:v>
      </x:c>
      <x:c r="L2317" s="2" t="str">
        <x:v>Valid</x:v>
      </x:c>
      <x:c r="M2317" s="2" t="str">
        <x:v>QR</x:v>
      </x:c>
      <x:c r="N2317" s="2" t="n">
        <x:v>1</x:v>
      </x:c>
      <x:c r="O2317" s="2" t="str">
        <x:v>Accepted</x:v>
      </x:c>
      <x:c r="P2317" s="2" t="str">
        <x:v>S003</x:v>
      </x:c>
      <x:c r="Q2317" s="2" t="str">
        <x:v>DEV003</x:v>
      </x:c>
      <x:c r="R2317" s="2" t="n">
        <x:v>14</x:v>
      </x:c>
      <x:c r="S2317" s="2" t="str">
        <x:v>Online</x:v>
      </x:c>
      <x:c r="T2317" s="2" t="str">
        <x:v>Synced</x:v>
      </x:c>
    </x:row>
    <x:row r="2318" ht="21" customHeight="1">
      <x:c r="A2318" s="2" t="str">
        <x:v>EV002046</x:v>
      </x:c>
      <x:c r="B2318" s="2" t="str">
        <x:v>T20261008-4-1</x:v>
      </x:c>
      <x:c r="C2318" s="2" t="str">
        <x:v>ST026</x:v>
      </x:c>
      <x:c r="D2318" s="2" t="str">
        <x:v>56aea196eabcf09e1199afbd5e8907b0</x:v>
      </x:c>
      <x:c r="E2318" s="2" t="str">
        <x:v>CHECK_OUT</x:v>
      </x:c>
      <x:c r="F2318" s="8" t="n">
        <x:v>46303.623090277775</x:v>
      </x:c>
      <x:c r="G2318" s="8" t="n">
        <x:v>46303.62311342592</x:v>
      </x:c>
      <x:c r="H2318" s="2" t="str">
        <x:v>R1S2</x:v>
      </x:c>
      <x:c r="I2318" s="9" t="n">
        <x:v>25.273000000000003</x:v>
      </x:c>
      <x:c r="J2318" s="9" t="n">
        <x:v>51.494</x:v>
      </x:c>
      <x:c r="K2318" s="2" t="n">
        <x:v>8</x:v>
      </x:c>
      <x:c r="L2318" s="2" t="str">
        <x:v>Valid</x:v>
      </x:c>
      <x:c r="M2318" s="2" t="str">
        <x:v>QR</x:v>
      </x:c>
      <x:c r="N2318" s="2" t="n">
        <x:v>1</x:v>
      </x:c>
      <x:c r="O2318" s="2" t="str">
        <x:v>Accepted</x:v>
      </x:c>
      <x:c r="P2318" s="2" t="str">
        <x:v>S001</x:v>
      </x:c>
      <x:c r="Q2318" s="2" t="str">
        <x:v>DEV001</x:v>
      </x:c>
      <x:c r="R2318" s="2" t="n">
        <x:v>15</x:v>
      </x:c>
      <x:c r="S2318" s="2" t="str">
        <x:v>Online</x:v>
      </x:c>
      <x:c r="T2318" s="2" t="str">
        <x:v>Synced</x:v>
      </x:c>
    </x:row>
    <x:row r="2319" ht="21" customHeight="1">
      <x:c r="A2319" s="2" t="str">
        <x:v>EV002206</x:v>
      </x:c>
      <x:c r="B2319" s="2" t="str">
        <x:v>T20261008-4-2</x:v>
      </x:c>
      <x:c r="C2319" s="2" t="str">
        <x:v>ST066</x:v>
      </x:c>
      <x:c r="D2319" s="2" t="str">
        <x:v>f1ae8019085f4d0a77552e53fdc22aa7</x:v>
      </x:c>
      <x:c r="E2319" s="2" t="str">
        <x:v>CHECK_OUT</x:v>
      </x:c>
      <x:c r="F2319" s="8" t="n">
        <x:v>46303.623090277775</x:v>
      </x:c>
      <x:c r="G2319" s="8" t="n">
        <x:v>46303.62311342592</x:v>
      </x:c>
      <x:c r="H2319" s="2" t="str">
        <x:v>R2S2</x:v>
      </x:c>
      <x:c r="I2319" s="9" t="n">
        <x:v>25.282000000000004</x:v>
      </x:c>
      <x:c r="J2319" s="9" t="n">
        <x:v>51.501999999999995</x:v>
      </x:c>
      <x:c r="K2319" s="2" t="n">
        <x:v>8</x:v>
      </x:c>
      <x:c r="L2319" s="2" t="str">
        <x:v>Valid</x:v>
      </x:c>
      <x:c r="M2319" s="2" t="str">
        <x:v>QR</x:v>
      </x:c>
      <x:c r="N2319" s="2" t="n">
        <x:v>1</x:v>
      </x:c>
      <x:c r="O2319" s="2" t="str">
        <x:v>Accepted</x:v>
      </x:c>
      <x:c r="P2319" s="2" t="str">
        <x:v>S002</x:v>
      </x:c>
      <x:c r="Q2319" s="2" t="str">
        <x:v>DEV002</x:v>
      </x:c>
      <x:c r="R2319" s="2" t="n">
        <x:v>15</x:v>
      </x:c>
      <x:c r="S2319" s="2" t="str">
        <x:v>Online</x:v>
      </x:c>
      <x:c r="T2319" s="2" t="str">
        <x:v>Synced</x:v>
      </x:c>
    </x:row>
    <x:row r="2320" ht="21" customHeight="1">
      <x:c r="A2320" s="2" t="str">
        <x:v>EV002366</x:v>
      </x:c>
      <x:c r="B2320" s="2" t="str">
        <x:v>T20261008-4-3</x:v>
      </x:c>
      <x:c r="C2320" s="2" t="str">
        <x:v>ST106</x:v>
      </x:c>
      <x:c r="D2320" s="2" t="str">
        <x:v>9bd191644f26d4fc266418c96f36f10b</x:v>
      </x:c>
      <x:c r="E2320" s="2" t="str">
        <x:v>CHECK_OUT</x:v>
      </x:c>
      <x:c r="F2320" s="8" t="n">
        <x:v>46303.623090277775</x:v>
      </x:c>
      <x:c r="G2320" s="8" t="n">
        <x:v>46303.62311342592</x:v>
      </x:c>
      <x:c r="H2320" s="2" t="str">
        <x:v>R3S2</x:v>
      </x:c>
      <x:c r="I2320" s="9" t="n">
        <x:v>25.291000000000004</x:v>
      </x:c>
      <x:c r="J2320" s="9" t="n">
        <x:v>51.51</x:v>
      </x:c>
      <x:c r="K2320" s="2" t="n">
        <x:v>8</x:v>
      </x:c>
      <x:c r="L2320" s="2" t="str">
        <x:v>Valid</x:v>
      </x:c>
      <x:c r="M2320" s="2" t="str">
        <x:v>QR</x:v>
      </x:c>
      <x:c r="N2320" s="2" t="n">
        <x:v>1</x:v>
      </x:c>
      <x:c r="O2320" s="2" t="str">
        <x:v>Accepted</x:v>
      </x:c>
      <x:c r="P2320" s="2" t="str">
        <x:v>S003</x:v>
      </x:c>
      <x:c r="Q2320" s="2" t="str">
        <x:v>DEV003</x:v>
      </x:c>
      <x:c r="R2320" s="2" t="n">
        <x:v>15</x:v>
      </x:c>
      <x:c r="S2320" s="2" t="str">
        <x:v>Online</x:v>
      </x:c>
      <x:c r="T2320" s="2" t="str">
        <x:v>Synced</x:v>
      </x:c>
    </x:row>
    <x:row r="2321" ht="21" customHeight="1">
      <x:c r="A2321" s="2" t="str">
        <x:v>EV002052</x:v>
      </x:c>
      <x:c r="B2321" s="2" t="str">
        <x:v>T20261008-4-1</x:v>
      </x:c>
      <x:c r="C2321" s="2" t="str">
        <x:v>ST029</x:v>
      </x:c>
      <x:c r="D2321" s="2" t="str">
        <x:v>160c4caa69875e092299cd9b55dcda0b</x:v>
      </x:c>
      <x:c r="E2321" s="2" t="str">
        <x:v>CHECK_OUT</x:v>
      </x:c>
      <x:c r="F2321" s="8" t="n">
        <x:v>46303.623194444444</x:v>
      </x:c>
      <x:c r="G2321" s="8" t="n">
        <x:v>46303.62321759259</x:v>
      </x:c>
      <x:c r="H2321" s="2" t="str">
        <x:v>R1S2</x:v>
      </x:c>
      <x:c r="I2321" s="9" t="n">
        <x:v>25.273000000000003</x:v>
      </x:c>
      <x:c r="J2321" s="9" t="n">
        <x:v>51.494</x:v>
      </x:c>
      <x:c r="K2321" s="2" t="n">
        <x:v>8</x:v>
      </x:c>
      <x:c r="L2321" s="2" t="str">
        <x:v>Valid</x:v>
      </x:c>
      <x:c r="M2321" s="2" t="str">
        <x:v>QR</x:v>
      </x:c>
      <x:c r="N2321" s="2" t="n">
        <x:v>1</x:v>
      </x:c>
      <x:c r="O2321" s="2" t="str">
        <x:v>Accepted</x:v>
      </x:c>
      <x:c r="P2321" s="2" t="str">
        <x:v>S001</x:v>
      </x:c>
      <x:c r="Q2321" s="2" t="str">
        <x:v>DEV001</x:v>
      </x:c>
      <x:c r="R2321" s="2" t="n">
        <x:v>16</x:v>
      </x:c>
      <x:c r="S2321" s="2" t="str">
        <x:v>Online</x:v>
      </x:c>
      <x:c r="T2321" s="2" t="str">
        <x:v>Synced</x:v>
      </x:c>
    </x:row>
    <x:row r="2322" ht="21" customHeight="1">
      <x:c r="A2322" s="2" t="str">
        <x:v>EV002212</x:v>
      </x:c>
      <x:c r="B2322" s="2" t="str">
        <x:v>T20261008-4-2</x:v>
      </x:c>
      <x:c r="C2322" s="2" t="str">
        <x:v>ST069</x:v>
      </x:c>
      <x:c r="D2322" s="2" t="str">
        <x:v>d453525f57933d1df9d056e2e53ed3e4</x:v>
      </x:c>
      <x:c r="E2322" s="2" t="str">
        <x:v>CHECK_OUT</x:v>
      </x:c>
      <x:c r="F2322" s="8" t="n">
        <x:v>46303.623194444444</x:v>
      </x:c>
      <x:c r="G2322" s="8" t="n">
        <x:v>46303.62321759259</x:v>
      </x:c>
      <x:c r="H2322" s="2" t="str">
        <x:v>R2S2</x:v>
      </x:c>
      <x:c r="I2322" s="9" t="n">
        <x:v>25.282000000000004</x:v>
      </x:c>
      <x:c r="J2322" s="9" t="n">
        <x:v>51.501999999999995</x:v>
      </x:c>
      <x:c r="K2322" s="2" t="n">
        <x:v>8</x:v>
      </x:c>
      <x:c r="L2322" s="2" t="str">
        <x:v>Valid</x:v>
      </x:c>
      <x:c r="M2322" s="2" t="str">
        <x:v>QR</x:v>
      </x:c>
      <x:c r="N2322" s="2" t="n">
        <x:v>1</x:v>
      </x:c>
      <x:c r="O2322" s="2" t="str">
        <x:v>Accepted</x:v>
      </x:c>
      <x:c r="P2322" s="2" t="str">
        <x:v>S002</x:v>
      </x:c>
      <x:c r="Q2322" s="2" t="str">
        <x:v>DEV002</x:v>
      </x:c>
      <x:c r="R2322" s="2" t="n">
        <x:v>16</x:v>
      </x:c>
      <x:c r="S2322" s="2" t="str">
        <x:v>Online</x:v>
      </x:c>
      <x:c r="T2322" s="2" t="str">
        <x:v>Synced</x:v>
      </x:c>
    </x:row>
    <x:row r="2323" ht="21" customHeight="1">
      <x:c r="A2323" s="2" t="str">
        <x:v>EV002372</x:v>
      </x:c>
      <x:c r="B2323" s="2" t="str">
        <x:v>T20261008-4-3</x:v>
      </x:c>
      <x:c r="C2323" s="2" t="str">
        <x:v>ST109</x:v>
      </x:c>
      <x:c r="D2323" s="2" t="str">
        <x:v>dfd493c800846e3efc35048335bd557b</x:v>
      </x:c>
      <x:c r="E2323" s="2" t="str">
        <x:v>CHECK_OUT</x:v>
      </x:c>
      <x:c r="F2323" s="8" t="n">
        <x:v>46303.623194444444</x:v>
      </x:c>
      <x:c r="G2323" s="8" t="n">
        <x:v>46303.62321759259</x:v>
      </x:c>
      <x:c r="H2323" s="2" t="str">
        <x:v>R3S2</x:v>
      </x:c>
      <x:c r="I2323" s="9" t="n">
        <x:v>25.291000000000004</x:v>
      </x:c>
      <x:c r="J2323" s="9" t="n">
        <x:v>51.51</x:v>
      </x:c>
      <x:c r="K2323" s="2" t="n">
        <x:v>8</x:v>
      </x:c>
      <x:c r="L2323" s="2" t="str">
        <x:v>Valid</x:v>
      </x:c>
      <x:c r="M2323" s="2" t="str">
        <x:v>QR</x:v>
      </x:c>
      <x:c r="N2323" s="2" t="n">
        <x:v>1</x:v>
      </x:c>
      <x:c r="O2323" s="2" t="str">
        <x:v>Accepted</x:v>
      </x:c>
      <x:c r="P2323" s="2" t="str">
        <x:v>S003</x:v>
      </x:c>
      <x:c r="Q2323" s="2" t="str">
        <x:v>DEV003</x:v>
      </x:c>
      <x:c r="R2323" s="2" t="n">
        <x:v>16</x:v>
      </x:c>
      <x:c r="S2323" s="2" t="str">
        <x:v>Online</x:v>
      </x:c>
      <x:c r="T2323" s="2" t="str">
        <x:v>Synced</x:v>
      </x:c>
    </x:row>
    <x:row r="2324" ht="21" customHeight="1">
      <x:c r="A2324" s="2" t="str">
        <x:v>EV002036</x:v>
      </x:c>
      <x:c r="B2324" s="2" t="str">
        <x:v>T20261008-4-1</x:v>
      </x:c>
      <x:c r="C2324" s="2" t="str">
        <x:v>ST021</x:v>
      </x:c>
      <x:c r="D2324" s="2" t="str">
        <x:v>9b1608e5663d6da53cd805c8051dedd7</x:v>
      </x:c>
      <x:c r="E2324" s="2" t="str">
        <x:v>CHECK_OUT</x:v>
      </x:c>
      <x:c r="F2324" s="8" t="n">
        <x:v>46303.62708333333</x:v>
      </x:c>
      <x:c r="G2324" s="8" t="n">
        <x:v>46303.62710648148</x:v>
      </x:c>
      <x:c r="H2324" s="2" t="str">
        <x:v>R1S3</x:v>
      </x:c>
      <x:c r="I2324" s="9" t="n">
        <x:v>25.275000000000002</x:v>
      </x:c>
      <x:c r="J2324" s="9" t="n">
        <x:v>51.497</x:v>
      </x:c>
      <x:c r="K2324" s="2" t="n">
        <x:v>8</x:v>
      </x:c>
      <x:c r="L2324" s="2" t="str">
        <x:v>Valid</x:v>
      </x:c>
      <x:c r="M2324" s="2" t="str">
        <x:v>QR</x:v>
      </x:c>
      <x:c r="N2324" s="2" t="n">
        <x:v>1</x:v>
      </x:c>
      <x:c r="O2324" s="2" t="str">
        <x:v>Accepted</x:v>
      </x:c>
      <x:c r="P2324" s="2" t="str">
        <x:v>S001</x:v>
      </x:c>
      <x:c r="Q2324" s="2" t="str">
        <x:v>DEV001</x:v>
      </x:c>
      <x:c r="R2324" s="2" t="n">
        <x:v>17</x:v>
      </x:c>
      <x:c r="S2324" s="2" t="str">
        <x:v>Online</x:v>
      </x:c>
      <x:c r="T2324" s="2" t="str">
        <x:v>Synced</x:v>
      </x:c>
    </x:row>
    <x:row r="2325" ht="21" customHeight="1">
      <x:c r="A2325" s="2" t="str">
        <x:v>EV002196</x:v>
      </x:c>
      <x:c r="B2325" s="2" t="str">
        <x:v>T20261008-4-2</x:v>
      </x:c>
      <x:c r="C2325" s="2" t="str">
        <x:v>ST061</x:v>
      </x:c>
      <x:c r="D2325" s="2" t="str">
        <x:v>c547cb31f14853ae1f9f2436554d3271</x:v>
      </x:c>
      <x:c r="E2325" s="2" t="str">
        <x:v>CHECK_OUT</x:v>
      </x:c>
      <x:c r="F2325" s="8" t="n">
        <x:v>46303.62708333333</x:v>
      </x:c>
      <x:c r="G2325" s="8" t="n">
        <x:v>46303.62710648148</x:v>
      </x:c>
      <x:c r="H2325" s="2" t="str">
        <x:v>R2S3</x:v>
      </x:c>
      <x:c r="I2325" s="9" t="n">
        <x:v>25.284000000000002</x:v>
      </x:c>
      <x:c r="J2325" s="9" t="n">
        <x:v>51.504999999999995</x:v>
      </x:c>
      <x:c r="K2325" s="2" t="n">
        <x:v>8</x:v>
      </x:c>
      <x:c r="L2325" s="2" t="str">
        <x:v>Valid</x:v>
      </x:c>
      <x:c r="M2325" s="2" t="str">
        <x:v>QR</x:v>
      </x:c>
      <x:c r="N2325" s="2" t="n">
        <x:v>1</x:v>
      </x:c>
      <x:c r="O2325" s="2" t="str">
        <x:v>Accepted</x:v>
      </x:c>
      <x:c r="P2325" s="2" t="str">
        <x:v>S002</x:v>
      </x:c>
      <x:c r="Q2325" s="2" t="str">
        <x:v>DEV002</x:v>
      </x:c>
      <x:c r="R2325" s="2" t="n">
        <x:v>17</x:v>
      </x:c>
      <x:c r="S2325" s="2" t="str">
        <x:v>Online</x:v>
      </x:c>
      <x:c r="T2325" s="2" t="str">
        <x:v>Synced</x:v>
      </x:c>
    </x:row>
    <x:row r="2326" ht="21" customHeight="1">
      <x:c r="A2326" s="2" t="str">
        <x:v>EV002356</x:v>
      </x:c>
      <x:c r="B2326" s="2" t="str">
        <x:v>T20261008-4-3</x:v>
      </x:c>
      <x:c r="C2326" s="2" t="str">
        <x:v>ST101</x:v>
      </x:c>
      <x:c r="D2326" s="2" t="str">
        <x:v>9f8e180c63d3ff8d3e393db3573884a8</x:v>
      </x:c>
      <x:c r="E2326" s="2" t="str">
        <x:v>CHECK_OUT</x:v>
      </x:c>
      <x:c r="F2326" s="8" t="n">
        <x:v>46303.62708333333</x:v>
      </x:c>
      <x:c r="G2326" s="8" t="n">
        <x:v>46303.62710648148</x:v>
      </x:c>
      <x:c r="H2326" s="2" t="str">
        <x:v>R3S3</x:v>
      </x:c>
      <x:c r="I2326" s="9" t="n">
        <x:v>25.293000000000003</x:v>
      </x:c>
      <x:c r="J2326" s="9" t="n">
        <x:v>51.513</x:v>
      </x:c>
      <x:c r="K2326" s="2" t="n">
        <x:v>8</x:v>
      </x:c>
      <x:c r="L2326" s="2" t="str">
        <x:v>Valid</x:v>
      </x:c>
      <x:c r="M2326" s="2" t="str">
        <x:v>QR</x:v>
      </x:c>
      <x:c r="N2326" s="2" t="n">
        <x:v>1</x:v>
      </x:c>
      <x:c r="O2326" s="2" t="str">
        <x:v>Accepted</x:v>
      </x:c>
      <x:c r="P2326" s="2" t="str">
        <x:v>S003</x:v>
      </x:c>
      <x:c r="Q2326" s="2" t="str">
        <x:v>DEV003</x:v>
      </x:c>
      <x:c r="R2326" s="2" t="n">
        <x:v>17</x:v>
      </x:c>
      <x:c r="S2326" s="2" t="str">
        <x:v>Online</x:v>
      </x:c>
      <x:c r="T2326" s="2" t="str">
        <x:v>Synced</x:v>
      </x:c>
    </x:row>
    <x:row r="2327" ht="21" customHeight="1">
      <x:c r="A2327" s="2" t="str">
        <x:v>EV002042</x:v>
      </x:c>
      <x:c r="B2327" s="2" t="str">
        <x:v>T20261008-4-1</x:v>
      </x:c>
      <x:c r="C2327" s="2" t="str">
        <x:v>ST024</x:v>
      </x:c>
      <x:c r="D2327" s="2" t="str">
        <x:v>df785f1577b8ee7f71835020d03a12a6</x:v>
      </x:c>
      <x:c r="E2327" s="2" t="str">
        <x:v>CHECK_OUT</x:v>
      </x:c>
      <x:c r="F2327" s="8" t="n">
        <x:v>46303.6271875</x:v>
      </x:c>
      <x:c r="G2327" s="8" t="n">
        <x:v>46303.62721064815</x:v>
      </x:c>
      <x:c r="H2327" s="2" t="str">
        <x:v>R1S3</x:v>
      </x:c>
      <x:c r="I2327" s="9" t="n">
        <x:v>25.275000000000002</x:v>
      </x:c>
      <x:c r="J2327" s="9" t="n">
        <x:v>51.497</x:v>
      </x:c>
      <x:c r="K2327" s="2" t="n">
        <x:v>8</x:v>
      </x:c>
      <x:c r="L2327" s="2" t="str">
        <x:v>Valid</x:v>
      </x:c>
      <x:c r="M2327" s="2" t="str">
        <x:v>QR</x:v>
      </x:c>
      <x:c r="N2327" s="2" t="n">
        <x:v>1</x:v>
      </x:c>
      <x:c r="O2327" s="2" t="str">
        <x:v>Accepted</x:v>
      </x:c>
      <x:c r="P2327" s="2" t="str">
        <x:v>S001</x:v>
      </x:c>
      <x:c r="Q2327" s="2" t="str">
        <x:v>DEV001</x:v>
      </x:c>
      <x:c r="R2327" s="2" t="n">
        <x:v>18</x:v>
      </x:c>
      <x:c r="S2327" s="2" t="str">
        <x:v>Online</x:v>
      </x:c>
      <x:c r="T2327" s="2" t="str">
        <x:v>Synced</x:v>
      </x:c>
    </x:row>
    <x:row r="2328" ht="21" customHeight="1">
      <x:c r="A2328" s="2" t="str">
        <x:v>EV002202</x:v>
      </x:c>
      <x:c r="B2328" s="2" t="str">
        <x:v>T20261008-4-2</x:v>
      </x:c>
      <x:c r="C2328" s="2" t="str">
        <x:v>ST064</x:v>
      </x:c>
      <x:c r="D2328" s="2" t="str">
        <x:v>80debd99a6cfe1ca0800304796fd69ff</x:v>
      </x:c>
      <x:c r="E2328" s="2" t="str">
        <x:v>CHECK_OUT</x:v>
      </x:c>
      <x:c r="F2328" s="8" t="n">
        <x:v>46303.6271875</x:v>
      </x:c>
      <x:c r="G2328" s="8" t="n">
        <x:v>46303.62721064815</x:v>
      </x:c>
      <x:c r="H2328" s="2" t="str">
        <x:v>R2S3</x:v>
      </x:c>
      <x:c r="I2328" s="9" t="n">
        <x:v>25.284000000000002</x:v>
      </x:c>
      <x:c r="J2328" s="9" t="n">
        <x:v>51.504999999999995</x:v>
      </x:c>
      <x:c r="K2328" s="2" t="n">
        <x:v>8</x:v>
      </x:c>
      <x:c r="L2328" s="2" t="str">
        <x:v>Valid</x:v>
      </x:c>
      <x:c r="M2328" s="2" t="str">
        <x:v>QR</x:v>
      </x:c>
      <x:c r="N2328" s="2" t="n">
        <x:v>1</x:v>
      </x:c>
      <x:c r="O2328" s="2" t="str">
        <x:v>Accepted</x:v>
      </x:c>
      <x:c r="P2328" s="2" t="str">
        <x:v>S002</x:v>
      </x:c>
      <x:c r="Q2328" s="2" t="str">
        <x:v>DEV002</x:v>
      </x:c>
      <x:c r="R2328" s="2" t="n">
        <x:v>18</x:v>
      </x:c>
      <x:c r="S2328" s="2" t="str">
        <x:v>Online</x:v>
      </x:c>
      <x:c r="T2328" s="2" t="str">
        <x:v>Synced</x:v>
      </x:c>
    </x:row>
    <x:row r="2329" ht="21" customHeight="1">
      <x:c r="A2329" s="2" t="str">
        <x:v>EV002362</x:v>
      </x:c>
      <x:c r="B2329" s="2" t="str">
        <x:v>T20261008-4-3</x:v>
      </x:c>
      <x:c r="C2329" s="2" t="str">
        <x:v>ST104</x:v>
      </x:c>
      <x:c r="D2329" s="2" t="str">
        <x:v>12167381f9b78201d830c40ef6208ce4</x:v>
      </x:c>
      <x:c r="E2329" s="2" t="str">
        <x:v>CHECK_OUT</x:v>
      </x:c>
      <x:c r="F2329" s="8" t="n">
        <x:v>46303.6271875</x:v>
      </x:c>
      <x:c r="G2329" s="8" t="n">
        <x:v>46303.62721064815</x:v>
      </x:c>
      <x:c r="H2329" s="2" t="str">
        <x:v>R3S3</x:v>
      </x:c>
      <x:c r="I2329" s="9" t="n">
        <x:v>25.293000000000003</x:v>
      </x:c>
      <x:c r="J2329" s="9" t="n">
        <x:v>51.513</x:v>
      </x:c>
      <x:c r="K2329" s="2" t="n">
        <x:v>8</x:v>
      </x:c>
      <x:c r="L2329" s="2" t="str">
        <x:v>Valid</x:v>
      </x:c>
      <x:c r="M2329" s="2" t="str">
        <x:v>QR</x:v>
      </x:c>
      <x:c r="N2329" s="2" t="n">
        <x:v>1</x:v>
      </x:c>
      <x:c r="O2329" s="2" t="str">
        <x:v>Accepted</x:v>
      </x:c>
      <x:c r="P2329" s="2" t="str">
        <x:v>S003</x:v>
      </x:c>
      <x:c r="Q2329" s="2" t="str">
        <x:v>DEV003</x:v>
      </x:c>
      <x:c r="R2329" s="2" t="n">
        <x:v>18</x:v>
      </x:c>
      <x:c r="S2329" s="2" t="str">
        <x:v>Online</x:v>
      </x:c>
      <x:c r="T2329" s="2" t="str">
        <x:v>Synced</x:v>
      </x:c>
    </x:row>
    <x:row r="2330" ht="21" customHeight="1">
      <x:c r="A2330" s="2" t="str">
        <x:v>EV002048</x:v>
      </x:c>
      <x:c r="B2330" s="2" t="str">
        <x:v>T20261008-4-1</x:v>
      </x:c>
      <x:c r="C2330" s="2" t="str">
        <x:v>ST027</x:v>
      </x:c>
      <x:c r="D2330" s="2" t="str">
        <x:v>87868c08c06226359ca5121a9563bb63</x:v>
      </x:c>
      <x:c r="E2330" s="2" t="str">
        <x:v>CHECK_OUT</x:v>
      </x:c>
      <x:c r="F2330" s="8" t="n">
        <x:v>46303.627291666664</x:v>
      </x:c>
      <x:c r="G2330" s="8" t="n">
        <x:v>46303.62731481481</x:v>
      </x:c>
      <x:c r="H2330" s="2" t="str">
        <x:v>R1S3</x:v>
      </x:c>
      <x:c r="I2330" s="9" t="n">
        <x:v>25.275000000000002</x:v>
      </x:c>
      <x:c r="J2330" s="9" t="n">
        <x:v>51.497</x:v>
      </x:c>
      <x:c r="K2330" s="2" t="n">
        <x:v>8</x:v>
      </x:c>
      <x:c r="L2330" s="2" t="str">
        <x:v>Valid</x:v>
      </x:c>
      <x:c r="M2330" s="2" t="str">
        <x:v>QR</x:v>
      </x:c>
      <x:c r="N2330" s="2" t="n">
        <x:v>1</x:v>
      </x:c>
      <x:c r="O2330" s="2" t="str">
        <x:v>Accepted</x:v>
      </x:c>
      <x:c r="P2330" s="2" t="str">
        <x:v>S001</x:v>
      </x:c>
      <x:c r="Q2330" s="2" t="str">
        <x:v>DEV001</x:v>
      </x:c>
      <x:c r="R2330" s="2" t="n">
        <x:v>19</x:v>
      </x:c>
      <x:c r="S2330" s="2" t="str">
        <x:v>Online</x:v>
      </x:c>
      <x:c r="T2330" s="2" t="str">
        <x:v>Synced</x:v>
      </x:c>
    </x:row>
    <x:row r="2331" ht="21" customHeight="1">
      <x:c r="A2331" s="2" t="str">
        <x:v>EV002208</x:v>
      </x:c>
      <x:c r="B2331" s="2" t="str">
        <x:v>T20261008-4-2</x:v>
      </x:c>
      <x:c r="C2331" s="2" t="str">
        <x:v>ST067</x:v>
      </x:c>
      <x:c r="D2331" s="2" t="str">
        <x:v>66c3e7b11abae76912fea37c6c7ce00c</x:v>
      </x:c>
      <x:c r="E2331" s="2" t="str">
        <x:v>CHECK_OUT</x:v>
      </x:c>
      <x:c r="F2331" s="8" t="n">
        <x:v>46303.627291666664</x:v>
      </x:c>
      <x:c r="G2331" s="8" t="n">
        <x:v>46303.62731481481</x:v>
      </x:c>
      <x:c r="H2331" s="2" t="str">
        <x:v>R2S3</x:v>
      </x:c>
      <x:c r="I2331" s="9" t="n">
        <x:v>25.284000000000002</x:v>
      </x:c>
      <x:c r="J2331" s="9" t="n">
        <x:v>51.504999999999995</x:v>
      </x:c>
      <x:c r="K2331" s="2" t="n">
        <x:v>8</x:v>
      </x:c>
      <x:c r="L2331" s="2" t="str">
        <x:v>Valid</x:v>
      </x:c>
      <x:c r="M2331" s="2" t="str">
        <x:v>QR</x:v>
      </x:c>
      <x:c r="N2331" s="2" t="n">
        <x:v>1</x:v>
      </x:c>
      <x:c r="O2331" s="2" t="str">
        <x:v>Accepted</x:v>
      </x:c>
      <x:c r="P2331" s="2" t="str">
        <x:v>S002</x:v>
      </x:c>
      <x:c r="Q2331" s="2" t="str">
        <x:v>DEV002</x:v>
      </x:c>
      <x:c r="R2331" s="2" t="n">
        <x:v>19</x:v>
      </x:c>
      <x:c r="S2331" s="2" t="str">
        <x:v>Online</x:v>
      </x:c>
      <x:c r="T2331" s="2" t="str">
        <x:v>Synced</x:v>
      </x:c>
    </x:row>
    <x:row r="2332" ht="21" customHeight="1">
      <x:c r="A2332" s="2" t="str">
        <x:v>EV002368</x:v>
      </x:c>
      <x:c r="B2332" s="2" t="str">
        <x:v>T20261008-4-3</x:v>
      </x:c>
      <x:c r="C2332" s="2" t="str">
        <x:v>ST107</x:v>
      </x:c>
      <x:c r="D2332" s="2" t="str">
        <x:v>4a2bb35840a3b4fc7e804e2d710c14f4</x:v>
      </x:c>
      <x:c r="E2332" s="2" t="str">
        <x:v>CHECK_OUT</x:v>
      </x:c>
      <x:c r="F2332" s="8" t="n">
        <x:v>46303.627291666664</x:v>
      </x:c>
      <x:c r="G2332" s="8" t="n">
        <x:v>46303.62731481481</x:v>
      </x:c>
      <x:c r="H2332" s="2" t="str">
        <x:v>R3S3</x:v>
      </x:c>
      <x:c r="I2332" s="9" t="n">
        <x:v>25.293000000000003</x:v>
      </x:c>
      <x:c r="J2332" s="9" t="n">
        <x:v>51.513</x:v>
      </x:c>
      <x:c r="K2332" s="2" t="n">
        <x:v>8</x:v>
      </x:c>
      <x:c r="L2332" s="2" t="str">
        <x:v>Valid</x:v>
      </x:c>
      <x:c r="M2332" s="2" t="str">
        <x:v>QR</x:v>
      </x:c>
      <x:c r="N2332" s="2" t="n">
        <x:v>1</x:v>
      </x:c>
      <x:c r="O2332" s="2" t="str">
        <x:v>Accepted</x:v>
      </x:c>
      <x:c r="P2332" s="2" t="str">
        <x:v>S003</x:v>
      </x:c>
      <x:c r="Q2332" s="2" t="str">
        <x:v>DEV003</x:v>
      </x:c>
      <x:c r="R2332" s="2" t="n">
        <x:v>19</x:v>
      </x:c>
      <x:c r="S2332" s="2" t="str">
        <x:v>Online</x:v>
      </x:c>
      <x:c r="T2332" s="2" t="str">
        <x:v>Synced</x:v>
      </x:c>
    </x:row>
    <x:row r="2333" ht="21" customHeight="1">
      <x:c r="A2333" s="2" t="str">
        <x:v>EV002054</x:v>
      </x:c>
      <x:c r="B2333" s="2" t="str">
        <x:v>T20261008-4-1</x:v>
      </x:c>
      <x:c r="C2333" s="2" t="str">
        <x:v>ST030</x:v>
      </x:c>
      <x:c r="D2333" s="2" t="str">
        <x:v>82585187c31166ddecfc4b31343dde64</x:v>
      </x:c>
      <x:c r="E2333" s="2" t="str">
        <x:v>CHECK_OUT</x:v>
      </x:c>
      <x:c r="F2333" s="8" t="n">
        <x:v>46303.62739583333</x:v>
      </x:c>
      <x:c r="G2333" s="8" t="n">
        <x:v>46303.62741898148</x:v>
      </x:c>
      <x:c r="H2333" s="2" t="str">
        <x:v>R1S3</x:v>
      </x:c>
      <x:c r="I2333" s="9" t="n">
        <x:v>25.275000000000002</x:v>
      </x:c>
      <x:c r="J2333" s="9" t="n">
        <x:v>51.497</x:v>
      </x:c>
      <x:c r="K2333" s="2" t="n">
        <x:v>8</x:v>
      </x:c>
      <x:c r="L2333" s="2" t="str">
        <x:v>Valid</x:v>
      </x:c>
      <x:c r="M2333" s="2" t="str">
        <x:v>QR</x:v>
      </x:c>
      <x:c r="N2333" s="2" t="n">
        <x:v>1</x:v>
      </x:c>
      <x:c r="O2333" s="2" t="str">
        <x:v>Accepted</x:v>
      </x:c>
      <x:c r="P2333" s="2" t="str">
        <x:v>S001</x:v>
      </x:c>
      <x:c r="Q2333" s="2" t="str">
        <x:v>DEV001</x:v>
      </x:c>
      <x:c r="R2333" s="2" t="n">
        <x:v>20</x:v>
      </x:c>
      <x:c r="S2333" s="2" t="str">
        <x:v>Online</x:v>
      </x:c>
      <x:c r="T2333" s="2" t="str">
        <x:v>Synced</x:v>
      </x:c>
    </x:row>
    <x:row r="2334" ht="21" customHeight="1">
      <x:c r="A2334" s="2" t="str">
        <x:v>EV002214</x:v>
      </x:c>
      <x:c r="B2334" s="2" t="str">
        <x:v>T20261008-4-2</x:v>
      </x:c>
      <x:c r="C2334" s="2" t="str">
        <x:v>ST070</x:v>
      </x:c>
      <x:c r="D2334" s="2" t="str">
        <x:v>12a9f1121533e9d2b6402c68cf852c16</x:v>
      </x:c>
      <x:c r="E2334" s="2" t="str">
        <x:v>CHECK_OUT</x:v>
      </x:c>
      <x:c r="F2334" s="8" t="n">
        <x:v>46303.62739583333</x:v>
      </x:c>
      <x:c r="G2334" s="8" t="n">
        <x:v>46303.62741898148</x:v>
      </x:c>
      <x:c r="H2334" s="2" t="str">
        <x:v>R2S3</x:v>
      </x:c>
      <x:c r="I2334" s="9" t="n">
        <x:v>25.284000000000002</x:v>
      </x:c>
      <x:c r="J2334" s="9" t="n">
        <x:v>51.504999999999995</x:v>
      </x:c>
      <x:c r="K2334" s="2" t="n">
        <x:v>8</x:v>
      </x:c>
      <x:c r="L2334" s="2" t="str">
        <x:v>Valid</x:v>
      </x:c>
      <x:c r="M2334" s="2" t="str">
        <x:v>QR</x:v>
      </x:c>
      <x:c r="N2334" s="2" t="n">
        <x:v>1</x:v>
      </x:c>
      <x:c r="O2334" s="2" t="str">
        <x:v>Accepted</x:v>
      </x:c>
      <x:c r="P2334" s="2" t="str">
        <x:v>S002</x:v>
      </x:c>
      <x:c r="Q2334" s="2" t="str">
        <x:v>DEV002</x:v>
      </x:c>
      <x:c r="R2334" s="2" t="n">
        <x:v>20</x:v>
      </x:c>
      <x:c r="S2334" s="2" t="str">
        <x:v>Online</x:v>
      </x:c>
      <x:c r="T2334" s="2" t="str">
        <x:v>Synced</x:v>
      </x:c>
    </x:row>
    <x:row r="2335" ht="21" customHeight="1">
      <x:c r="A2335" s="2" t="str">
        <x:v>EV002374</x:v>
      </x:c>
      <x:c r="B2335" s="2" t="str">
        <x:v>T20261008-4-3</x:v>
      </x:c>
      <x:c r="C2335" s="2" t="str">
        <x:v>ST110</x:v>
      </x:c>
      <x:c r="D2335" s="2" t="str">
        <x:v>4382c0cdcda89fb8cc0f5b9fc03b4c51</x:v>
      </x:c>
      <x:c r="E2335" s="2" t="str">
        <x:v>CHECK_OUT</x:v>
      </x:c>
      <x:c r="F2335" s="8" t="n">
        <x:v>46303.62739583333</x:v>
      </x:c>
      <x:c r="G2335" s="8" t="n">
        <x:v>46303.62741898148</x:v>
      </x:c>
      <x:c r="H2335" s="2" t="str">
        <x:v>R3S3</x:v>
      </x:c>
      <x:c r="I2335" s="9" t="n">
        <x:v>25.293000000000003</x:v>
      </x:c>
      <x:c r="J2335" s="9" t="n">
        <x:v>51.513</x:v>
      </x:c>
      <x:c r="K2335" s="2" t="n">
        <x:v>8</x:v>
      </x:c>
      <x:c r="L2335" s="2" t="str">
        <x:v>Valid</x:v>
      </x:c>
      <x:c r="M2335" s="2" t="str">
        <x:v>QR</x:v>
      </x:c>
      <x:c r="N2335" s="2" t="n">
        <x:v>1</x:v>
      </x:c>
      <x:c r="O2335" s="2" t="str">
        <x:v>Accepted</x:v>
      </x:c>
      <x:c r="P2335" s="2" t="str">
        <x:v>S003</x:v>
      </x:c>
      <x:c r="Q2335" s="2" t="str">
        <x:v>DEV003</x:v>
      </x:c>
      <x:c r="R2335" s="2" t="n">
        <x:v>20</x:v>
      </x:c>
      <x:c r="S2335" s="2" t="str">
        <x:v>Online</x:v>
      </x:c>
      <x:c r="T2335" s="2" t="str">
        <x:v>Synced</x:v>
      </x:c>
    </x:row>
    <x:row r="2336" ht="21" customHeight="1">
      <x:c r="A2336" s="2" t="str">
        <x:v>EV002055</x:v>
      </x:c>
      <x:c r="B2336" s="2" t="str">
        <x:v>T20261008-5-1</x:v>
      </x:c>
      <x:c r="C2336" s="2" t="str">
        <x:v>ST031</x:v>
      </x:c>
      <x:c r="D2336" s="2" t="str">
        <x:v>8ab188e9684e5df87182305d1c7eadac</x:v>
      </x:c>
      <x:c r="E2336" s="2" t="str">
        <x:v>CHECK_IN</x:v>
      </x:c>
      <x:c r="F2336" s="8" t="n">
        <x:v>46303.70833333333</x:v>
      </x:c>
      <x:c r="G2336" s="8" t="n">
        <x:v>46303.708356481475</x:v>
      </x:c>
      <x:c r="H2336" s="2" t="str">
        <x:v>SCH01</x:v>
      </x:c>
      <x:c r="I2336" s="9" t="n">
        <x:v>25.285</x:v>
      </x:c>
      <x:c r="J2336" s="9" t="n">
        <x:v>51.51</x:v>
      </x:c>
      <x:c r="K2336" s="2" t="n">
        <x:v>8</x:v>
      </x:c>
      <x:c r="L2336" s="2" t="str">
        <x:v>Valid</x:v>
      </x:c>
      <x:c r="M2336" s="2" t="str">
        <x:v>QR</x:v>
      </x:c>
      <x:c r="N2336" s="2" t="n">
        <x:v>1</x:v>
      </x:c>
      <x:c r="O2336" s="2" t="str">
        <x:v>Accepted</x:v>
      </x:c>
      <x:c r="P2336" s="2" t="str">
        <x:v>S001</x:v>
      </x:c>
      <x:c r="Q2336" s="2" t="str">
        <x:v>DEV001</x:v>
      </x:c>
      <x:c r="R2336" s="2" t="n">
        <x:v>1</x:v>
      </x:c>
      <x:c r="S2336" s="2" t="str">
        <x:v>Online</x:v>
      </x:c>
      <x:c r="T2336" s="2" t="str">
        <x:v>Synced</x:v>
      </x:c>
    </x:row>
    <x:row r="2337" ht="21" customHeight="1">
      <x:c r="A2337" s="2" t="str">
        <x:v>EV002215</x:v>
      </x:c>
      <x:c r="B2337" s="2" t="str">
        <x:v>T20261008-5-2</x:v>
      </x:c>
      <x:c r="C2337" s="2" t="str">
        <x:v>ST071</x:v>
      </x:c>
      <x:c r="D2337" s="2" t="str">
        <x:v>51895678643dc659a400e702a471294e</x:v>
      </x:c>
      <x:c r="E2337" s="2" t="str">
        <x:v>CHECK_IN</x:v>
      </x:c>
      <x:c r="F2337" s="8" t="n">
        <x:v>46303.70833333333</x:v>
      </x:c>
      <x:c r="G2337" s="8" t="n">
        <x:v>46303.708356481475</x:v>
      </x:c>
      <x:c r="H2337" s="2" t="str">
        <x:v>SCH01</x:v>
      </x:c>
      <x:c r="I2337" s="9" t="n">
        <x:v>25.285</x:v>
      </x:c>
      <x:c r="J2337" s="9" t="n">
        <x:v>51.51</x:v>
      </x:c>
      <x:c r="K2337" s="2" t="n">
        <x:v>8</x:v>
      </x:c>
      <x:c r="L2337" s="2" t="str">
        <x:v>Valid</x:v>
      </x:c>
      <x:c r="M2337" s="2" t="str">
        <x:v>QR</x:v>
      </x:c>
      <x:c r="N2337" s="2" t="n">
        <x:v>1</x:v>
      </x:c>
      <x:c r="O2337" s="2" t="str">
        <x:v>Accepted</x:v>
      </x:c>
      <x:c r="P2337" s="2" t="str">
        <x:v>S002</x:v>
      </x:c>
      <x:c r="Q2337" s="2" t="str">
        <x:v>DEV002</x:v>
      </x:c>
      <x:c r="R2337" s="2" t="n">
        <x:v>1</x:v>
      </x:c>
      <x:c r="S2337" s="2" t="str">
        <x:v>Online</x:v>
      </x:c>
      <x:c r="T2337" s="2" t="str">
        <x:v>Synced</x:v>
      </x:c>
    </x:row>
    <x:row r="2338" ht="21" customHeight="1">
      <x:c r="A2338" s="2" t="str">
        <x:v>EV002375</x:v>
      </x:c>
      <x:c r="B2338" s="2" t="str">
        <x:v>T20261008-5-3</x:v>
      </x:c>
      <x:c r="C2338" s="2" t="str">
        <x:v>ST111</x:v>
      </x:c>
      <x:c r="D2338" s="2" t="str">
        <x:v>e6e9707385e7ee8edd3ac87243757eb2</x:v>
      </x:c>
      <x:c r="E2338" s="2" t="str">
        <x:v>CHECK_IN</x:v>
      </x:c>
      <x:c r="F2338" s="8" t="n">
        <x:v>46303.70833333333</x:v>
      </x:c>
      <x:c r="G2338" s="8" t="n">
        <x:v>46303.708356481475</x:v>
      </x:c>
      <x:c r="H2338" s="2" t="str">
        <x:v>SCH01</x:v>
      </x:c>
      <x:c r="I2338" s="9" t="n">
        <x:v>25.285</x:v>
      </x:c>
      <x:c r="J2338" s="9" t="n">
        <x:v>51.51</x:v>
      </x:c>
      <x:c r="K2338" s="2" t="n">
        <x:v>8</x:v>
      </x:c>
      <x:c r="L2338" s="2" t="str">
        <x:v>Valid</x:v>
      </x:c>
      <x:c r="M2338" s="2" t="str">
        <x:v>QR</x:v>
      </x:c>
      <x:c r="N2338" s="2" t="n">
        <x:v>1</x:v>
      </x:c>
      <x:c r="O2338" s="2" t="str">
        <x:v>Accepted</x:v>
      </x:c>
      <x:c r="P2338" s="2" t="str">
        <x:v>S003</x:v>
      </x:c>
      <x:c r="Q2338" s="2" t="str">
        <x:v>DEV003</x:v>
      </x:c>
      <x:c r="R2338" s="2" t="n">
        <x:v>1</x:v>
      </x:c>
      <x:c r="S2338" s="2" t="str">
        <x:v>Online</x:v>
      </x:c>
      <x:c r="T2338" s="2" t="str">
        <x:v>Synced</x:v>
      </x:c>
    </x:row>
    <x:row r="2339" ht="21" customHeight="1">
      <x:c r="A2339" s="2" t="str">
        <x:v>EV002057</x:v>
      </x:c>
      <x:c r="B2339" s="2" t="str">
        <x:v>T20261008-5-1</x:v>
      </x:c>
      <x:c r="C2339" s="2" t="str">
        <x:v>ST032</x:v>
      </x:c>
      <x:c r="D2339" s="2" t="str">
        <x:v>836e2da54ccde9716995f5651a63e8c5</x:v>
      </x:c>
      <x:c r="E2339" s="2" t="str">
        <x:v>CHECK_IN</x:v>
      </x:c>
      <x:c r="F2339" s="8" t="n">
        <x:v>46303.70836805555</x:v>
      </x:c>
      <x:c r="G2339" s="8" t="n">
        <x:v>46303.7083912037</x:v>
      </x:c>
      <x:c r="H2339" s="2" t="str">
        <x:v>SCH01</x:v>
      </x:c>
      <x:c r="I2339" s="9" t="n">
        <x:v>25.285</x:v>
      </x:c>
      <x:c r="J2339" s="9" t="n">
        <x:v>51.51</x:v>
      </x:c>
      <x:c r="K2339" s="2" t="n">
        <x:v>8</x:v>
      </x:c>
      <x:c r="L2339" s="2" t="str">
        <x:v>Valid</x:v>
      </x:c>
      <x:c r="M2339" s="2" t="str">
        <x:v>QR</x:v>
      </x:c>
      <x:c r="N2339" s="2" t="n">
        <x:v>1</x:v>
      </x:c>
      <x:c r="O2339" s="2" t="str">
        <x:v>Accepted</x:v>
      </x:c>
      <x:c r="P2339" s="2" t="str">
        <x:v>S001</x:v>
      </x:c>
      <x:c r="Q2339" s="2" t="str">
        <x:v>DEV001</x:v>
      </x:c>
      <x:c r="R2339" s="2" t="n">
        <x:v>2</x:v>
      </x:c>
      <x:c r="S2339" s="2" t="str">
        <x:v>Online</x:v>
      </x:c>
      <x:c r="T2339" s="2" t="str">
        <x:v>Synced</x:v>
      </x:c>
    </x:row>
    <x:row r="2340" ht="21" customHeight="1">
      <x:c r="A2340" s="2" t="str">
        <x:v>EV002217</x:v>
      </x:c>
      <x:c r="B2340" s="2" t="str">
        <x:v>T20261008-5-2</x:v>
      </x:c>
      <x:c r="C2340" s="2" t="str">
        <x:v>ST072</x:v>
      </x:c>
      <x:c r="D2340" s="2" t="str">
        <x:v>34067027b5922171fe59ce4d7b756f1c</x:v>
      </x:c>
      <x:c r="E2340" s="2" t="str">
        <x:v>CHECK_IN</x:v>
      </x:c>
      <x:c r="F2340" s="8" t="n">
        <x:v>46303.70836805555</x:v>
      </x:c>
      <x:c r="G2340" s="8" t="n">
        <x:v>46303.7083912037</x:v>
      </x:c>
      <x:c r="H2340" s="2" t="str">
        <x:v>SCH01</x:v>
      </x:c>
      <x:c r="I2340" s="9" t="n">
        <x:v>25.285</x:v>
      </x:c>
      <x:c r="J2340" s="9" t="n">
        <x:v>51.51</x:v>
      </x:c>
      <x:c r="K2340" s="2" t="n">
        <x:v>8</x:v>
      </x:c>
      <x:c r="L2340" s="2" t="str">
        <x:v>Valid</x:v>
      </x:c>
      <x:c r="M2340" s="2" t="str">
        <x:v>QR</x:v>
      </x:c>
      <x:c r="N2340" s="2" t="n">
        <x:v>1</x:v>
      </x:c>
      <x:c r="O2340" s="2" t="str">
        <x:v>Accepted</x:v>
      </x:c>
      <x:c r="P2340" s="2" t="str">
        <x:v>S002</x:v>
      </x:c>
      <x:c r="Q2340" s="2" t="str">
        <x:v>DEV002</x:v>
      </x:c>
      <x:c r="R2340" s="2" t="n">
        <x:v>2</x:v>
      </x:c>
      <x:c r="S2340" s="2" t="str">
        <x:v>Online</x:v>
      </x:c>
      <x:c r="T2340" s="2" t="str">
        <x:v>Synced</x:v>
      </x:c>
    </x:row>
    <x:row r="2341" ht="21" customHeight="1">
      <x:c r="A2341" s="2" t="str">
        <x:v>EV002377</x:v>
      </x:c>
      <x:c r="B2341" s="2" t="str">
        <x:v>T20261008-5-3</x:v>
      </x:c>
      <x:c r="C2341" s="2" t="str">
        <x:v>ST112</x:v>
      </x:c>
      <x:c r="D2341" s="2" t="str">
        <x:v>ca020aefc0d912af9ddca5c7ca7a2f51</x:v>
      </x:c>
      <x:c r="E2341" s="2" t="str">
        <x:v>CHECK_IN</x:v>
      </x:c>
      <x:c r="F2341" s="8" t="n">
        <x:v>46303.70836805555</x:v>
      </x:c>
      <x:c r="G2341" s="8" t="n">
        <x:v>46303.7083912037</x:v>
      </x:c>
      <x:c r="H2341" s="2" t="str">
        <x:v>SCH01</x:v>
      </x:c>
      <x:c r="I2341" s="9" t="n">
        <x:v>25.285</x:v>
      </x:c>
      <x:c r="J2341" s="9" t="n">
        <x:v>51.51</x:v>
      </x:c>
      <x:c r="K2341" s="2" t="n">
        <x:v>8</x:v>
      </x:c>
      <x:c r="L2341" s="2" t="str">
        <x:v>Valid</x:v>
      </x:c>
      <x:c r="M2341" s="2" t="str">
        <x:v>QR</x:v>
      </x:c>
      <x:c r="N2341" s="2" t="n">
        <x:v>1</x:v>
      </x:c>
      <x:c r="O2341" s="2" t="str">
        <x:v>Accepted</x:v>
      </x:c>
      <x:c r="P2341" s="2" t="str">
        <x:v>S003</x:v>
      </x:c>
      <x:c r="Q2341" s="2" t="str">
        <x:v>DEV003</x:v>
      </x:c>
      <x:c r="R2341" s="2" t="n">
        <x:v>2</x:v>
      </x:c>
      <x:c r="S2341" s="2" t="str">
        <x:v>Online</x:v>
      </x:c>
      <x:c r="T2341" s="2" t="str">
        <x:v>Synced</x:v>
      </x:c>
    </x:row>
    <x:row r="2342" ht="21" customHeight="1">
      <x:c r="A2342" s="2" t="str">
        <x:v>EV002059</x:v>
      </x:c>
      <x:c r="B2342" s="2" t="str">
        <x:v>T20261008-5-1</x:v>
      </x:c>
      <x:c r="C2342" s="2" t="str">
        <x:v>ST033</x:v>
      </x:c>
      <x:c r="D2342" s="2" t="str">
        <x:v>c9cc8ddf1b5bae8b49929340838e300a</x:v>
      </x:c>
      <x:c r="E2342" s="2" t="str">
        <x:v>CHECK_IN</x:v>
      </x:c>
      <x:c r="F2342" s="8" t="n">
        <x:v>46303.708402777775</x:v>
      </x:c>
      <x:c r="G2342" s="8" t="n">
        <x:v>46303.70842592592</x:v>
      </x:c>
      <x:c r="H2342" s="2" t="str">
        <x:v>SCH01</x:v>
      </x:c>
      <x:c r="I2342" s="9" t="n">
        <x:v>25.285</x:v>
      </x:c>
      <x:c r="J2342" s="9" t="n">
        <x:v>51.51</x:v>
      </x:c>
      <x:c r="K2342" s="2" t="n">
        <x:v>8</x:v>
      </x:c>
      <x:c r="L2342" s="2" t="str">
        <x:v>Valid</x:v>
      </x:c>
      <x:c r="M2342" s="2" t="str">
        <x:v>QR</x:v>
      </x:c>
      <x:c r="N2342" s="2" t="n">
        <x:v>1</x:v>
      </x:c>
      <x:c r="O2342" s="2" t="str">
        <x:v>Accepted</x:v>
      </x:c>
      <x:c r="P2342" s="2" t="str">
        <x:v>S001</x:v>
      </x:c>
      <x:c r="Q2342" s="2" t="str">
        <x:v>DEV001</x:v>
      </x:c>
      <x:c r="R2342" s="2" t="n">
        <x:v>3</x:v>
      </x:c>
      <x:c r="S2342" s="2" t="str">
        <x:v>Online</x:v>
      </x:c>
      <x:c r="T2342" s="2" t="str">
        <x:v>Synced</x:v>
      </x:c>
    </x:row>
    <x:row r="2343" ht="21" customHeight="1">
      <x:c r="A2343" s="2" t="str">
        <x:v>EV002219</x:v>
      </x:c>
      <x:c r="B2343" s="2" t="str">
        <x:v>T20261008-5-2</x:v>
      </x:c>
      <x:c r="C2343" s="2" t="str">
        <x:v>ST073</x:v>
      </x:c>
      <x:c r="D2343" s="2" t="str">
        <x:v>b27180ce7590c0aac206d465f318b712</x:v>
      </x:c>
      <x:c r="E2343" s="2" t="str">
        <x:v>CHECK_IN</x:v>
      </x:c>
      <x:c r="F2343" s="8" t="n">
        <x:v>46303.708402777775</x:v>
      </x:c>
      <x:c r="G2343" s="8" t="n">
        <x:v>46303.70842592592</x:v>
      </x:c>
      <x:c r="H2343" s="2" t="str">
        <x:v>SCH01</x:v>
      </x:c>
      <x:c r="I2343" s="9" t="n">
        <x:v>25.285</x:v>
      </x:c>
      <x:c r="J2343" s="9" t="n">
        <x:v>51.51</x:v>
      </x:c>
      <x:c r="K2343" s="2" t="n">
        <x:v>8</x:v>
      </x:c>
      <x:c r="L2343" s="2" t="str">
        <x:v>Valid</x:v>
      </x:c>
      <x:c r="M2343" s="2" t="str">
        <x:v>QR</x:v>
      </x:c>
      <x:c r="N2343" s="2" t="n">
        <x:v>1</x:v>
      </x:c>
      <x:c r="O2343" s="2" t="str">
        <x:v>Accepted</x:v>
      </x:c>
      <x:c r="P2343" s="2" t="str">
        <x:v>S002</x:v>
      </x:c>
      <x:c r="Q2343" s="2" t="str">
        <x:v>DEV002</x:v>
      </x:c>
      <x:c r="R2343" s="2" t="n">
        <x:v>3</x:v>
      </x:c>
      <x:c r="S2343" s="2" t="str">
        <x:v>Online</x:v>
      </x:c>
      <x:c r="T2343" s="2" t="str">
        <x:v>Synced</x:v>
      </x:c>
    </x:row>
    <x:row r="2344" ht="21" customHeight="1">
      <x:c r="A2344" s="2" t="str">
        <x:v>EV002379</x:v>
      </x:c>
      <x:c r="B2344" s="2" t="str">
        <x:v>T20261008-5-3</x:v>
      </x:c>
      <x:c r="C2344" s="2" t="str">
        <x:v>ST113</x:v>
      </x:c>
      <x:c r="D2344" s="2" t="str">
        <x:v>c3781e168737a6cc1190d4415801c440</x:v>
      </x:c>
      <x:c r="E2344" s="2" t="str">
        <x:v>CHECK_IN</x:v>
      </x:c>
      <x:c r="F2344" s="8" t="n">
        <x:v>46303.708402777775</x:v>
      </x:c>
      <x:c r="G2344" s="8" t="n">
        <x:v>46303.70842592592</x:v>
      </x:c>
      <x:c r="H2344" s="2" t="str">
        <x:v>SCH01</x:v>
      </x:c>
      <x:c r="I2344" s="9" t="n">
        <x:v>25.285</x:v>
      </x:c>
      <x:c r="J2344" s="9" t="n">
        <x:v>51.51</x:v>
      </x:c>
      <x:c r="K2344" s="2" t="n">
        <x:v>8</x:v>
      </x:c>
      <x:c r="L2344" s="2" t="str">
        <x:v>Valid</x:v>
      </x:c>
      <x:c r="M2344" s="2" t="str">
        <x:v>QR</x:v>
      </x:c>
      <x:c r="N2344" s="2" t="n">
        <x:v>1</x:v>
      </x:c>
      <x:c r="O2344" s="2" t="str">
        <x:v>Accepted</x:v>
      </x:c>
      <x:c r="P2344" s="2" t="str">
        <x:v>S003</x:v>
      </x:c>
      <x:c r="Q2344" s="2" t="str">
        <x:v>DEV003</x:v>
      </x:c>
      <x:c r="R2344" s="2" t="n">
        <x:v>3</x:v>
      </x:c>
      <x:c r="S2344" s="2" t="str">
        <x:v>Online</x:v>
      </x:c>
      <x:c r="T2344" s="2" t="str">
        <x:v>Synced</x:v>
      </x:c>
    </x:row>
    <x:row r="2345" ht="21" customHeight="1">
      <x:c r="A2345" s="2" t="str">
        <x:v>EV002061</x:v>
      </x:c>
      <x:c r="B2345" s="2" t="str">
        <x:v>T20261008-5-1</x:v>
      </x:c>
      <x:c r="C2345" s="2" t="str">
        <x:v>ST034</x:v>
      </x:c>
      <x:c r="D2345" s="2" t="str">
        <x:v>80fbe33bb2df8cab59b55f98f1c8a3d5</x:v>
      </x:c>
      <x:c r="E2345" s="2" t="str">
        <x:v>CHECK_IN</x:v>
      </x:c>
      <x:c r="F2345" s="8" t="n">
        <x:v>46303.7084375</x:v>
      </x:c>
      <x:c r="G2345" s="8" t="n">
        <x:v>46303.708460648144</x:v>
      </x:c>
      <x:c r="H2345" s="2" t="str">
        <x:v>SCH01</x:v>
      </x:c>
      <x:c r="I2345" s="9" t="n">
        <x:v>25.285</x:v>
      </x:c>
      <x:c r="J2345" s="9" t="n">
        <x:v>51.51</x:v>
      </x:c>
      <x:c r="K2345" s="2" t="n">
        <x:v>8</x:v>
      </x:c>
      <x:c r="L2345" s="2" t="str">
        <x:v>Valid</x:v>
      </x:c>
      <x:c r="M2345" s="2" t="str">
        <x:v>QR</x:v>
      </x:c>
      <x:c r="N2345" s="2" t="n">
        <x:v>1</x:v>
      </x:c>
      <x:c r="O2345" s="2" t="str">
        <x:v>Accepted</x:v>
      </x:c>
      <x:c r="P2345" s="2" t="str">
        <x:v>S001</x:v>
      </x:c>
      <x:c r="Q2345" s="2" t="str">
        <x:v>DEV001</x:v>
      </x:c>
      <x:c r="R2345" s="2" t="n">
        <x:v>4</x:v>
      </x:c>
      <x:c r="S2345" s="2" t="str">
        <x:v>Online</x:v>
      </x:c>
      <x:c r="T2345" s="2" t="str">
        <x:v>Synced</x:v>
      </x:c>
    </x:row>
    <x:row r="2346" ht="21" customHeight="1">
      <x:c r="A2346" s="2" t="str">
        <x:v>EV002221</x:v>
      </x:c>
      <x:c r="B2346" s="2" t="str">
        <x:v>T20261008-5-2</x:v>
      </x:c>
      <x:c r="C2346" s="2" t="str">
        <x:v>ST074</x:v>
      </x:c>
      <x:c r="D2346" s="2" t="str">
        <x:v>a9bcbd7cecca4f17e235125ddf0adf7b</x:v>
      </x:c>
      <x:c r="E2346" s="2" t="str">
        <x:v>CHECK_IN</x:v>
      </x:c>
      <x:c r="F2346" s="8" t="n">
        <x:v>46303.7084375</x:v>
      </x:c>
      <x:c r="G2346" s="8" t="n">
        <x:v>46303.708460648144</x:v>
      </x:c>
      <x:c r="H2346" s="2" t="str">
        <x:v>SCH01</x:v>
      </x:c>
      <x:c r="I2346" s="9" t="n">
        <x:v>25.285</x:v>
      </x:c>
      <x:c r="J2346" s="9" t="n">
        <x:v>51.51</x:v>
      </x:c>
      <x:c r="K2346" s="2" t="n">
        <x:v>8</x:v>
      </x:c>
      <x:c r="L2346" s="2" t="str">
        <x:v>Valid</x:v>
      </x:c>
      <x:c r="M2346" s="2" t="str">
        <x:v>QR</x:v>
      </x:c>
      <x:c r="N2346" s="2" t="n">
        <x:v>1</x:v>
      </x:c>
      <x:c r="O2346" s="2" t="str">
        <x:v>Accepted</x:v>
      </x:c>
      <x:c r="P2346" s="2" t="str">
        <x:v>S002</x:v>
      </x:c>
      <x:c r="Q2346" s="2" t="str">
        <x:v>DEV002</x:v>
      </x:c>
      <x:c r="R2346" s="2" t="n">
        <x:v>4</x:v>
      </x:c>
      <x:c r="S2346" s="2" t="str">
        <x:v>Online</x:v>
      </x:c>
      <x:c r="T2346" s="2" t="str">
        <x:v>Synced</x:v>
      </x:c>
    </x:row>
    <x:row r="2347" ht="21" customHeight="1">
      <x:c r="A2347" s="2" t="str">
        <x:v>EV002381</x:v>
      </x:c>
      <x:c r="B2347" s="2" t="str">
        <x:v>T20261008-5-3</x:v>
      </x:c>
      <x:c r="C2347" s="2" t="str">
        <x:v>ST114</x:v>
      </x:c>
      <x:c r="D2347" s="2" t="str">
        <x:v>a5c77bf3b082c3ab825b65c34f1c9f8c</x:v>
      </x:c>
      <x:c r="E2347" s="2" t="str">
        <x:v>CHECK_IN</x:v>
      </x:c>
      <x:c r="F2347" s="8" t="n">
        <x:v>46303.7084375</x:v>
      </x:c>
      <x:c r="G2347" s="8" t="n">
        <x:v>46303.708460648144</x:v>
      </x:c>
      <x:c r="H2347" s="2" t="str">
        <x:v>SCH01</x:v>
      </x:c>
      <x:c r="I2347" s="9" t="n">
        <x:v>25.285</x:v>
      </x:c>
      <x:c r="J2347" s="9" t="n">
        <x:v>51.51</x:v>
      </x:c>
      <x:c r="K2347" s="2" t="n">
        <x:v>8</x:v>
      </x:c>
      <x:c r="L2347" s="2" t="str">
        <x:v>Valid</x:v>
      </x:c>
      <x:c r="M2347" s="2" t="str">
        <x:v>QR</x:v>
      </x:c>
      <x:c r="N2347" s="2" t="n">
        <x:v>1</x:v>
      </x:c>
      <x:c r="O2347" s="2" t="str">
        <x:v>Accepted</x:v>
      </x:c>
      <x:c r="P2347" s="2" t="str">
        <x:v>S003</x:v>
      </x:c>
      <x:c r="Q2347" s="2" t="str">
        <x:v>DEV003</x:v>
      </x:c>
      <x:c r="R2347" s="2" t="n">
        <x:v>4</x:v>
      </x:c>
      <x:c r="S2347" s="2" t="str">
        <x:v>Online</x:v>
      </x:c>
      <x:c r="T2347" s="2" t="str">
        <x:v>Synced</x:v>
      </x:c>
    </x:row>
    <x:row r="2348" ht="21" customHeight="1">
      <x:c r="A2348" s="2" t="str">
        <x:v>EV002063</x:v>
      </x:c>
      <x:c r="B2348" s="2" t="str">
        <x:v>T20261008-5-1</x:v>
      </x:c>
      <x:c r="C2348" s="2" t="str">
        <x:v>ST035</x:v>
      </x:c>
      <x:c r="D2348" s="2" t="str">
        <x:v>45068f3206e9be80993e83e259ea9cdc</x:v>
      </x:c>
      <x:c r="E2348" s="2" t="str">
        <x:v>CHECK_IN</x:v>
      </x:c>
      <x:c r="F2348" s="8" t="n">
        <x:v>46303.70847222222</x:v>
      </x:c>
      <x:c r="G2348" s="8" t="n">
        <x:v>46303.70849537037</x:v>
      </x:c>
      <x:c r="H2348" s="2" t="str">
        <x:v>SCH01</x:v>
      </x:c>
      <x:c r="I2348" s="9" t="n">
        <x:v>25.285</x:v>
      </x:c>
      <x:c r="J2348" s="9" t="n">
        <x:v>51.51</x:v>
      </x:c>
      <x:c r="K2348" s="2" t="n">
        <x:v>8</x:v>
      </x:c>
      <x:c r="L2348" s="2" t="str">
        <x:v>Valid</x:v>
      </x:c>
      <x:c r="M2348" s="2" t="str">
        <x:v>QR</x:v>
      </x:c>
      <x:c r="N2348" s="2" t="n">
        <x:v>1</x:v>
      </x:c>
      <x:c r="O2348" s="2" t="str">
        <x:v>Accepted</x:v>
      </x:c>
      <x:c r="P2348" s="2" t="str">
        <x:v>S001</x:v>
      </x:c>
      <x:c r="Q2348" s="2" t="str">
        <x:v>DEV001</x:v>
      </x:c>
      <x:c r="R2348" s="2" t="n">
        <x:v>5</x:v>
      </x:c>
      <x:c r="S2348" s="2" t="str">
        <x:v>Online</x:v>
      </x:c>
      <x:c r="T2348" s="2" t="str">
        <x:v>Synced</x:v>
      </x:c>
    </x:row>
    <x:row r="2349" ht="21" customHeight="1">
      <x:c r="A2349" s="2" t="str">
        <x:v>EV002223</x:v>
      </x:c>
      <x:c r="B2349" s="2" t="str">
        <x:v>T20261008-5-2</x:v>
      </x:c>
      <x:c r="C2349" s="2" t="str">
        <x:v>ST075</x:v>
      </x:c>
      <x:c r="D2349" s="2" t="str">
        <x:v>3781d00e457977b726407cb845a294cc</x:v>
      </x:c>
      <x:c r="E2349" s="2" t="str">
        <x:v>CHECK_IN</x:v>
      </x:c>
      <x:c r="F2349" s="8" t="n">
        <x:v>46303.70847222222</x:v>
      </x:c>
      <x:c r="G2349" s="8" t="n">
        <x:v>46303.70849537037</x:v>
      </x:c>
      <x:c r="H2349" s="2" t="str">
        <x:v>SCH01</x:v>
      </x:c>
      <x:c r="I2349" s="9" t="n">
        <x:v>25.285</x:v>
      </x:c>
      <x:c r="J2349" s="9" t="n">
        <x:v>51.51</x:v>
      </x:c>
      <x:c r="K2349" s="2" t="n">
        <x:v>8</x:v>
      </x:c>
      <x:c r="L2349" s="2" t="str">
        <x:v>Valid</x:v>
      </x:c>
      <x:c r="M2349" s="2" t="str">
        <x:v>QR</x:v>
      </x:c>
      <x:c r="N2349" s="2" t="n">
        <x:v>1</x:v>
      </x:c>
      <x:c r="O2349" s="2" t="str">
        <x:v>Accepted</x:v>
      </x:c>
      <x:c r="P2349" s="2" t="str">
        <x:v>S002</x:v>
      </x:c>
      <x:c r="Q2349" s="2" t="str">
        <x:v>DEV002</x:v>
      </x:c>
      <x:c r="R2349" s="2" t="n">
        <x:v>5</x:v>
      </x:c>
      <x:c r="S2349" s="2" t="str">
        <x:v>Online</x:v>
      </x:c>
      <x:c r="T2349" s="2" t="str">
        <x:v>Synced</x:v>
      </x:c>
    </x:row>
    <x:row r="2350" ht="21" customHeight="1">
      <x:c r="A2350" s="2" t="str">
        <x:v>EV002383</x:v>
      </x:c>
      <x:c r="B2350" s="2" t="str">
        <x:v>T20261008-5-3</x:v>
      </x:c>
      <x:c r="C2350" s="2" t="str">
        <x:v>ST115</x:v>
      </x:c>
      <x:c r="D2350" s="2" t="str">
        <x:v>dc951b9fd5f4acb1dc2ce3ca2f2e08ab</x:v>
      </x:c>
      <x:c r="E2350" s="2" t="str">
        <x:v>CHECK_IN</x:v>
      </x:c>
      <x:c r="F2350" s="8" t="n">
        <x:v>46303.70847222222</x:v>
      </x:c>
      <x:c r="G2350" s="8" t="n">
        <x:v>46303.70849537037</x:v>
      </x:c>
      <x:c r="H2350" s="2" t="str">
        <x:v>SCH01</x:v>
      </x:c>
      <x:c r="I2350" s="9" t="n">
        <x:v>25.285</x:v>
      </x:c>
      <x:c r="J2350" s="9" t="n">
        <x:v>51.51</x:v>
      </x:c>
      <x:c r="K2350" s="2" t="n">
        <x:v>8</x:v>
      </x:c>
      <x:c r="L2350" s="2" t="str">
        <x:v>Valid</x:v>
      </x:c>
      <x:c r="M2350" s="2" t="str">
        <x:v>QR</x:v>
      </x:c>
      <x:c r="N2350" s="2" t="n">
        <x:v>1</x:v>
      </x:c>
      <x:c r="O2350" s="2" t="str">
        <x:v>Accepted</x:v>
      </x:c>
      <x:c r="P2350" s="2" t="str">
        <x:v>S003</x:v>
      </x:c>
      <x:c r="Q2350" s="2" t="str">
        <x:v>DEV003</x:v>
      </x:c>
      <x:c r="R2350" s="2" t="n">
        <x:v>5</x:v>
      </x:c>
      <x:c r="S2350" s="2" t="str">
        <x:v>Online</x:v>
      </x:c>
      <x:c r="T2350" s="2" t="str">
        <x:v>Synced</x:v>
      </x:c>
    </x:row>
    <x:row r="2351" ht="21" customHeight="1">
      <x:c r="A2351" s="2" t="str">
        <x:v>EV002065</x:v>
      </x:c>
      <x:c r="B2351" s="2" t="str">
        <x:v>T20261008-5-1</x:v>
      </x:c>
      <x:c r="C2351" s="2" t="str">
        <x:v>ST036</x:v>
      </x:c>
      <x:c r="D2351" s="2" t="str">
        <x:v>7e42555e63455121ac9f1b3710bc905c</x:v>
      </x:c>
      <x:c r="E2351" s="2" t="str">
        <x:v>CHECK_IN</x:v>
      </x:c>
      <x:c r="F2351" s="8" t="n">
        <x:v>46303.70850694444</x:v>
      </x:c>
      <x:c r="G2351" s="8" t="n">
        <x:v>46303.70853009258</x:v>
      </x:c>
      <x:c r="H2351" s="2" t="str">
        <x:v>SCH01</x:v>
      </x:c>
      <x:c r="I2351" s="9" t="n">
        <x:v>25.285</x:v>
      </x:c>
      <x:c r="J2351" s="9" t="n">
        <x:v>51.51</x:v>
      </x:c>
      <x:c r="K2351" s="2" t="n">
        <x:v>8</x:v>
      </x:c>
      <x:c r="L2351" s="2" t="str">
        <x:v>Valid</x:v>
      </x:c>
      <x:c r="M2351" s="2" t="str">
        <x:v>QR</x:v>
      </x:c>
      <x:c r="N2351" s="2" t="n">
        <x:v>1</x:v>
      </x:c>
      <x:c r="O2351" s="2" t="str">
        <x:v>Accepted</x:v>
      </x:c>
      <x:c r="P2351" s="2" t="str">
        <x:v>S001</x:v>
      </x:c>
      <x:c r="Q2351" s="2" t="str">
        <x:v>DEV001</x:v>
      </x:c>
      <x:c r="R2351" s="2" t="n">
        <x:v>6</x:v>
      </x:c>
      <x:c r="S2351" s="2" t="str">
        <x:v>Online</x:v>
      </x:c>
      <x:c r="T2351" s="2" t="str">
        <x:v>Synced</x:v>
      </x:c>
    </x:row>
    <x:row r="2352" ht="21" customHeight="1">
      <x:c r="A2352" s="2" t="str">
        <x:v>EV002225</x:v>
      </x:c>
      <x:c r="B2352" s="2" t="str">
        <x:v>T20261008-5-2</x:v>
      </x:c>
      <x:c r="C2352" s="2" t="str">
        <x:v>ST076</x:v>
      </x:c>
      <x:c r="D2352" s="2" t="str">
        <x:v>08979b9eef223b076885fe932d9f2bca</x:v>
      </x:c>
      <x:c r="E2352" s="2" t="str">
        <x:v>CHECK_IN</x:v>
      </x:c>
      <x:c r="F2352" s="8" t="n">
        <x:v>46303.70850694444</x:v>
      </x:c>
      <x:c r="G2352" s="8" t="n">
        <x:v>46303.70853009258</x:v>
      </x:c>
      <x:c r="H2352" s="2" t="str">
        <x:v>SCH01</x:v>
      </x:c>
      <x:c r="I2352" s="9" t="n">
        <x:v>25.285</x:v>
      </x:c>
      <x:c r="J2352" s="9" t="n">
        <x:v>51.51</x:v>
      </x:c>
      <x:c r="K2352" s="2" t="n">
        <x:v>8</x:v>
      </x:c>
      <x:c r="L2352" s="2" t="str">
        <x:v>Valid</x:v>
      </x:c>
      <x:c r="M2352" s="2" t="str">
        <x:v>QR</x:v>
      </x:c>
      <x:c r="N2352" s="2" t="n">
        <x:v>1</x:v>
      </x:c>
      <x:c r="O2352" s="2" t="str">
        <x:v>Accepted</x:v>
      </x:c>
      <x:c r="P2352" s="2" t="str">
        <x:v>S002</x:v>
      </x:c>
      <x:c r="Q2352" s="2" t="str">
        <x:v>DEV002</x:v>
      </x:c>
      <x:c r="R2352" s="2" t="n">
        <x:v>6</x:v>
      </x:c>
      <x:c r="S2352" s="2" t="str">
        <x:v>Online</x:v>
      </x:c>
      <x:c r="T2352" s="2" t="str">
        <x:v>Synced</x:v>
      </x:c>
    </x:row>
    <x:row r="2353" ht="21" customHeight="1">
      <x:c r="A2353" s="2" t="str">
        <x:v>EV002385</x:v>
      </x:c>
      <x:c r="B2353" s="2" t="str">
        <x:v>T20261008-5-3</x:v>
      </x:c>
      <x:c r="C2353" s="2" t="str">
        <x:v>ST116</x:v>
      </x:c>
      <x:c r="D2353" s="2" t="str">
        <x:v>1c1fddc89afc564845795907cf1b7b0e</x:v>
      </x:c>
      <x:c r="E2353" s="2" t="str">
        <x:v>CHECK_IN</x:v>
      </x:c>
      <x:c r="F2353" s="8" t="n">
        <x:v>46303.70850694444</x:v>
      </x:c>
      <x:c r="G2353" s="8" t="n">
        <x:v>46303.70853009258</x:v>
      </x:c>
      <x:c r="H2353" s="2" t="str">
        <x:v>SCH01</x:v>
      </x:c>
      <x:c r="I2353" s="9" t="n">
        <x:v>25.285</x:v>
      </x:c>
      <x:c r="J2353" s="9" t="n">
        <x:v>51.51</x:v>
      </x:c>
      <x:c r="K2353" s="2" t="n">
        <x:v>8</x:v>
      </x:c>
      <x:c r="L2353" s="2" t="str">
        <x:v>Valid</x:v>
      </x:c>
      <x:c r="M2353" s="2" t="str">
        <x:v>QR</x:v>
      </x:c>
      <x:c r="N2353" s="2" t="n">
        <x:v>1</x:v>
      </x:c>
      <x:c r="O2353" s="2" t="str">
        <x:v>Accepted</x:v>
      </x:c>
      <x:c r="P2353" s="2" t="str">
        <x:v>S003</x:v>
      </x:c>
      <x:c r="Q2353" s="2" t="str">
        <x:v>DEV003</x:v>
      </x:c>
      <x:c r="R2353" s="2" t="n">
        <x:v>6</x:v>
      </x:c>
      <x:c r="S2353" s="2" t="str">
        <x:v>Online</x:v>
      </x:c>
      <x:c r="T2353" s="2" t="str">
        <x:v>Synced</x:v>
      </x:c>
    </x:row>
    <x:row r="2354" ht="21" customHeight="1">
      <x:c r="A2354" s="2" t="str">
        <x:v>EV002067</x:v>
      </x:c>
      <x:c r="B2354" s="2" t="str">
        <x:v>T20261008-5-1</x:v>
      </x:c>
      <x:c r="C2354" s="2" t="str">
        <x:v>ST037</x:v>
      </x:c>
      <x:c r="D2354" s="2" t="str">
        <x:v>eb6cdfa5572c8f6959c8b9c84b8ec493</x:v>
      </x:c>
      <x:c r="E2354" s="2" t="str">
        <x:v>CHECK_IN</x:v>
      </x:c>
      <x:c r="F2354" s="8" t="n">
        <x:v>46303.70854166666</x:v>
      </x:c>
      <x:c r="G2354" s="8" t="n">
        <x:v>46303.708564814806</x:v>
      </x:c>
      <x:c r="H2354" s="2" t="str">
        <x:v>SCH01</x:v>
      </x:c>
      <x:c r="I2354" s="9" t="n">
        <x:v>25.285</x:v>
      </x:c>
      <x:c r="J2354" s="9" t="n">
        <x:v>51.51</x:v>
      </x:c>
      <x:c r="K2354" s="2" t="n">
        <x:v>8</x:v>
      </x:c>
      <x:c r="L2354" s="2" t="str">
        <x:v>Valid</x:v>
      </x:c>
      <x:c r="M2354" s="2" t="str">
        <x:v>QR</x:v>
      </x:c>
      <x:c r="N2354" s="2" t="n">
        <x:v>1</x:v>
      </x:c>
      <x:c r="O2354" s="2" t="str">
        <x:v>Accepted</x:v>
      </x:c>
      <x:c r="P2354" s="2" t="str">
        <x:v>S001</x:v>
      </x:c>
      <x:c r="Q2354" s="2" t="str">
        <x:v>DEV001</x:v>
      </x:c>
      <x:c r="R2354" s="2" t="n">
        <x:v>7</x:v>
      </x:c>
      <x:c r="S2354" s="2" t="str">
        <x:v>Online</x:v>
      </x:c>
      <x:c r="T2354" s="2" t="str">
        <x:v>Synced</x:v>
      </x:c>
    </x:row>
    <x:row r="2355" ht="21" customHeight="1">
      <x:c r="A2355" s="2" t="str">
        <x:v>EV002227</x:v>
      </x:c>
      <x:c r="B2355" s="2" t="str">
        <x:v>T20261008-5-2</x:v>
      </x:c>
      <x:c r="C2355" s="2" t="str">
        <x:v>ST077</x:v>
      </x:c>
      <x:c r="D2355" s="2" t="str">
        <x:v>af7b8314f6c372daf48e6b95332f6a0f</x:v>
      </x:c>
      <x:c r="E2355" s="2" t="str">
        <x:v>CHECK_IN</x:v>
      </x:c>
      <x:c r="F2355" s="8" t="n">
        <x:v>46303.70854166666</x:v>
      </x:c>
      <x:c r="G2355" s="8" t="n">
        <x:v>46303.708564814806</x:v>
      </x:c>
      <x:c r="H2355" s="2" t="str">
        <x:v>SCH01</x:v>
      </x:c>
      <x:c r="I2355" s="9" t="n">
        <x:v>25.285</x:v>
      </x:c>
      <x:c r="J2355" s="9" t="n">
        <x:v>51.51</x:v>
      </x:c>
      <x:c r="K2355" s="2" t="n">
        <x:v>8</x:v>
      </x:c>
      <x:c r="L2355" s="2" t="str">
        <x:v>Valid</x:v>
      </x:c>
      <x:c r="M2355" s="2" t="str">
        <x:v>QR</x:v>
      </x:c>
      <x:c r="N2355" s="2" t="n">
        <x:v>1</x:v>
      </x:c>
      <x:c r="O2355" s="2" t="str">
        <x:v>Accepted</x:v>
      </x:c>
      <x:c r="P2355" s="2" t="str">
        <x:v>S002</x:v>
      </x:c>
      <x:c r="Q2355" s="2" t="str">
        <x:v>DEV002</x:v>
      </x:c>
      <x:c r="R2355" s="2" t="n">
        <x:v>7</x:v>
      </x:c>
      <x:c r="S2355" s="2" t="str">
        <x:v>Online</x:v>
      </x:c>
      <x:c r="T2355" s="2" t="str">
        <x:v>Synced</x:v>
      </x:c>
    </x:row>
    <x:row r="2356" ht="21" customHeight="1">
      <x:c r="A2356" s="2" t="str">
        <x:v>EV002387</x:v>
      </x:c>
      <x:c r="B2356" s="2" t="str">
        <x:v>T20261008-5-3</x:v>
      </x:c>
      <x:c r="C2356" s="2" t="str">
        <x:v>ST117</x:v>
      </x:c>
      <x:c r="D2356" s="2" t="str">
        <x:v>195a54aea4adbe89371209e73878e4fe</x:v>
      </x:c>
      <x:c r="E2356" s="2" t="str">
        <x:v>CHECK_IN</x:v>
      </x:c>
      <x:c r="F2356" s="8" t="n">
        <x:v>46303.70854166666</x:v>
      </x:c>
      <x:c r="G2356" s="8" t="n">
        <x:v>46303.708564814806</x:v>
      </x:c>
      <x:c r="H2356" s="2" t="str">
        <x:v>SCH01</x:v>
      </x:c>
      <x:c r="I2356" s="9" t="n">
        <x:v>25.285</x:v>
      </x:c>
      <x:c r="J2356" s="9" t="n">
        <x:v>51.51</x:v>
      </x:c>
      <x:c r="K2356" s="2" t="n">
        <x:v>8</x:v>
      </x:c>
      <x:c r="L2356" s="2" t="str">
        <x:v>Valid</x:v>
      </x:c>
      <x:c r="M2356" s="2" t="str">
        <x:v>QR</x:v>
      </x:c>
      <x:c r="N2356" s="2" t="n">
        <x:v>1</x:v>
      </x:c>
      <x:c r="O2356" s="2" t="str">
        <x:v>Accepted</x:v>
      </x:c>
      <x:c r="P2356" s="2" t="str">
        <x:v>S003</x:v>
      </x:c>
      <x:c r="Q2356" s="2" t="str">
        <x:v>DEV003</x:v>
      </x:c>
      <x:c r="R2356" s="2" t="n">
        <x:v>7</x:v>
      </x:c>
      <x:c r="S2356" s="2" t="str">
        <x:v>Online</x:v>
      </x:c>
      <x:c r="T2356" s="2" t="str">
        <x:v>Synced</x:v>
      </x:c>
    </x:row>
    <x:row r="2357" ht="21" customHeight="1">
      <x:c r="A2357" s="2" t="str">
        <x:v>EV002069</x:v>
      </x:c>
      <x:c r="B2357" s="2" t="str">
        <x:v>T20261008-5-1</x:v>
      </x:c>
      <x:c r="C2357" s="2" t="str">
        <x:v>ST038</x:v>
      </x:c>
      <x:c r="D2357" s="2" t="str">
        <x:v>1ebedd777293ba897970ae7fc06b6301</x:v>
      </x:c>
      <x:c r="E2357" s="2" t="str">
        <x:v>CHECK_IN</x:v>
      </x:c>
      <x:c r="F2357" s="8" t="n">
        <x:v>46303.70857638888</x:v>
      </x:c>
      <x:c r="G2357" s="8" t="n">
        <x:v>46303.70859953703</x:v>
      </x:c>
      <x:c r="H2357" s="2" t="str">
        <x:v>SCH01</x:v>
      </x:c>
      <x:c r="I2357" s="9" t="n">
        <x:v>25.285</x:v>
      </x:c>
      <x:c r="J2357" s="9" t="n">
        <x:v>51.51</x:v>
      </x:c>
      <x:c r="K2357" s="2" t="n">
        <x:v>8</x:v>
      </x:c>
      <x:c r="L2357" s="2" t="str">
        <x:v>Valid</x:v>
      </x:c>
      <x:c r="M2357" s="2" t="str">
        <x:v>QR</x:v>
      </x:c>
      <x:c r="N2357" s="2" t="n">
        <x:v>1</x:v>
      </x:c>
      <x:c r="O2357" s="2" t="str">
        <x:v>Accepted</x:v>
      </x:c>
      <x:c r="P2357" s="2" t="str">
        <x:v>S001</x:v>
      </x:c>
      <x:c r="Q2357" s="2" t="str">
        <x:v>DEV001</x:v>
      </x:c>
      <x:c r="R2357" s="2" t="n">
        <x:v>8</x:v>
      </x:c>
      <x:c r="S2357" s="2" t="str">
        <x:v>Online</x:v>
      </x:c>
      <x:c r="T2357" s="2" t="str">
        <x:v>Synced</x:v>
      </x:c>
    </x:row>
    <x:row r="2358" ht="21" customHeight="1">
      <x:c r="A2358" s="2" t="str">
        <x:v>EV002229</x:v>
      </x:c>
      <x:c r="B2358" s="2" t="str">
        <x:v>T20261008-5-2</x:v>
      </x:c>
      <x:c r="C2358" s="2" t="str">
        <x:v>ST078</x:v>
      </x:c>
      <x:c r="D2358" s="2" t="str">
        <x:v>737ab4e672bf11e638a47ae295f7e187</x:v>
      </x:c>
      <x:c r="E2358" s="2" t="str">
        <x:v>CHECK_IN</x:v>
      </x:c>
      <x:c r="F2358" s="8" t="n">
        <x:v>46303.70857638888</x:v>
      </x:c>
      <x:c r="G2358" s="8" t="n">
        <x:v>46303.70859953703</x:v>
      </x:c>
      <x:c r="H2358" s="2" t="str">
        <x:v>SCH01</x:v>
      </x:c>
      <x:c r="I2358" s="9" t="n">
        <x:v>25.285</x:v>
      </x:c>
      <x:c r="J2358" s="9" t="n">
        <x:v>51.51</x:v>
      </x:c>
      <x:c r="K2358" s="2" t="n">
        <x:v>8</x:v>
      </x:c>
      <x:c r="L2358" s="2" t="str">
        <x:v>Valid</x:v>
      </x:c>
      <x:c r="M2358" s="2" t="str">
        <x:v>QR</x:v>
      </x:c>
      <x:c r="N2358" s="2" t="n">
        <x:v>1</x:v>
      </x:c>
      <x:c r="O2358" s="2" t="str">
        <x:v>Accepted</x:v>
      </x:c>
      <x:c r="P2358" s="2" t="str">
        <x:v>S002</x:v>
      </x:c>
      <x:c r="Q2358" s="2" t="str">
        <x:v>DEV002</x:v>
      </x:c>
      <x:c r="R2358" s="2" t="n">
        <x:v>8</x:v>
      </x:c>
      <x:c r="S2358" s="2" t="str">
        <x:v>Online</x:v>
      </x:c>
      <x:c r="T2358" s="2" t="str">
        <x:v>Synced</x:v>
      </x:c>
    </x:row>
    <x:row r="2359" ht="21" customHeight="1">
      <x:c r="A2359" s="2" t="str">
        <x:v>EV002389</x:v>
      </x:c>
      <x:c r="B2359" s="2" t="str">
        <x:v>T20261008-5-3</x:v>
      </x:c>
      <x:c r="C2359" s="2" t="str">
        <x:v>ST118</x:v>
      </x:c>
      <x:c r="D2359" s="2" t="str">
        <x:v>b15012a6111b47a10bdbbcbbd00c9f60</x:v>
      </x:c>
      <x:c r="E2359" s="2" t="str">
        <x:v>CHECK_IN</x:v>
      </x:c>
      <x:c r="F2359" s="8" t="n">
        <x:v>46303.70857638888</x:v>
      </x:c>
      <x:c r="G2359" s="8" t="n">
        <x:v>46303.70859953703</x:v>
      </x:c>
      <x:c r="H2359" s="2" t="str">
        <x:v>SCH01</x:v>
      </x:c>
      <x:c r="I2359" s="9" t="n">
        <x:v>25.285</x:v>
      </x:c>
      <x:c r="J2359" s="9" t="n">
        <x:v>51.51</x:v>
      </x:c>
      <x:c r="K2359" s="2" t="n">
        <x:v>8</x:v>
      </x:c>
      <x:c r="L2359" s="2" t="str">
        <x:v>Valid</x:v>
      </x:c>
      <x:c r="M2359" s="2" t="str">
        <x:v>QR</x:v>
      </x:c>
      <x:c r="N2359" s="2" t="n">
        <x:v>1</x:v>
      </x:c>
      <x:c r="O2359" s="2" t="str">
        <x:v>Accepted</x:v>
      </x:c>
      <x:c r="P2359" s="2" t="str">
        <x:v>S003</x:v>
      </x:c>
      <x:c r="Q2359" s="2" t="str">
        <x:v>DEV003</x:v>
      </x:c>
      <x:c r="R2359" s="2" t="n">
        <x:v>8</x:v>
      </x:c>
      <x:c r="S2359" s="2" t="str">
        <x:v>Online</x:v>
      </x:c>
      <x:c r="T2359" s="2" t="str">
        <x:v>Synced</x:v>
      </x:c>
    </x:row>
    <x:row r="2360" ht="21" customHeight="1">
      <x:c r="A2360" s="2" t="str">
        <x:v>EV002071</x:v>
      </x:c>
      <x:c r="B2360" s="2" t="str">
        <x:v>T20261008-5-1</x:v>
      </x:c>
      <x:c r="C2360" s="2" t="str">
        <x:v>ST039</x:v>
      </x:c>
      <x:c r="D2360" s="2" t="str">
        <x:v>31ed548c9c06f555ac72ac2281bbb58a</x:v>
      </x:c>
      <x:c r="E2360" s="2" t="str">
        <x:v>CHECK_IN</x:v>
      </x:c>
      <x:c r="F2360" s="8" t="n">
        <x:v>46303.708611111106</x:v>
      </x:c>
      <x:c r="G2360" s="8" t="n">
        <x:v>46303.70863425925</x:v>
      </x:c>
      <x:c r="H2360" s="2" t="str">
        <x:v>SCH01</x:v>
      </x:c>
      <x:c r="I2360" s="9" t="n">
        <x:v>25.285</x:v>
      </x:c>
      <x:c r="J2360" s="9" t="n">
        <x:v>51.51</x:v>
      </x:c>
      <x:c r="K2360" s="2" t="n">
        <x:v>8</x:v>
      </x:c>
      <x:c r="L2360" s="2" t="str">
        <x:v>Valid</x:v>
      </x:c>
      <x:c r="M2360" s="2" t="str">
        <x:v>QR</x:v>
      </x:c>
      <x:c r="N2360" s="2" t="n">
        <x:v>1</x:v>
      </x:c>
      <x:c r="O2360" s="2" t="str">
        <x:v>Accepted</x:v>
      </x:c>
      <x:c r="P2360" s="2" t="str">
        <x:v>S001</x:v>
      </x:c>
      <x:c r="Q2360" s="2" t="str">
        <x:v>DEV001</x:v>
      </x:c>
      <x:c r="R2360" s="2" t="n">
        <x:v>9</x:v>
      </x:c>
      <x:c r="S2360" s="2" t="str">
        <x:v>Online</x:v>
      </x:c>
      <x:c r="T2360" s="2" t="str">
        <x:v>Synced</x:v>
      </x:c>
    </x:row>
    <x:row r="2361" ht="21" customHeight="1">
      <x:c r="A2361" s="2" t="str">
        <x:v>EV002231</x:v>
      </x:c>
      <x:c r="B2361" s="2" t="str">
        <x:v>T20261008-5-2</x:v>
      </x:c>
      <x:c r="C2361" s="2" t="str">
        <x:v>ST079</x:v>
      </x:c>
      <x:c r="D2361" s="2" t="str">
        <x:v>3a794a47ff11773398f2344554eeea57</x:v>
      </x:c>
      <x:c r="E2361" s="2" t="str">
        <x:v>CHECK_IN</x:v>
      </x:c>
      <x:c r="F2361" s="8" t="n">
        <x:v>46303.708611111106</x:v>
      </x:c>
      <x:c r="G2361" s="8" t="n">
        <x:v>46303.70863425925</x:v>
      </x:c>
      <x:c r="H2361" s="2" t="str">
        <x:v>SCH01</x:v>
      </x:c>
      <x:c r="I2361" s="9" t="n">
        <x:v>25.285</x:v>
      </x:c>
      <x:c r="J2361" s="9" t="n">
        <x:v>51.51</x:v>
      </x:c>
      <x:c r="K2361" s="2" t="n">
        <x:v>8</x:v>
      </x:c>
      <x:c r="L2361" s="2" t="str">
        <x:v>Valid</x:v>
      </x:c>
      <x:c r="M2361" s="2" t="str">
        <x:v>QR</x:v>
      </x:c>
      <x:c r="N2361" s="2" t="n">
        <x:v>1</x:v>
      </x:c>
      <x:c r="O2361" s="2" t="str">
        <x:v>Accepted</x:v>
      </x:c>
      <x:c r="P2361" s="2" t="str">
        <x:v>S002</x:v>
      </x:c>
      <x:c r="Q2361" s="2" t="str">
        <x:v>DEV002</x:v>
      </x:c>
      <x:c r="R2361" s="2" t="n">
        <x:v>9</x:v>
      </x:c>
      <x:c r="S2361" s="2" t="str">
        <x:v>Online</x:v>
      </x:c>
      <x:c r="T2361" s="2" t="str">
        <x:v>Synced</x:v>
      </x:c>
    </x:row>
    <x:row r="2362" ht="21" customHeight="1">
      <x:c r="A2362" s="2" t="str">
        <x:v>EV002391</x:v>
      </x:c>
      <x:c r="B2362" s="2" t="str">
        <x:v>T20261008-5-3</x:v>
      </x:c>
      <x:c r="C2362" s="2" t="str">
        <x:v>ST119</x:v>
      </x:c>
      <x:c r="D2362" s="2" t="str">
        <x:v>c01a05a48293e3b7c907c4b326c0d0a8</x:v>
      </x:c>
      <x:c r="E2362" s="2" t="str">
        <x:v>CHECK_IN</x:v>
      </x:c>
      <x:c r="F2362" s="8" t="n">
        <x:v>46303.708611111106</x:v>
      </x:c>
      <x:c r="G2362" s="8" t="n">
        <x:v>46303.70863425925</x:v>
      </x:c>
      <x:c r="H2362" s="2" t="str">
        <x:v>SCH01</x:v>
      </x:c>
      <x:c r="I2362" s="9" t="n">
        <x:v>25.285</x:v>
      </x:c>
      <x:c r="J2362" s="9" t="n">
        <x:v>51.51</x:v>
      </x:c>
      <x:c r="K2362" s="2" t="n">
        <x:v>8</x:v>
      </x:c>
      <x:c r="L2362" s="2" t="str">
        <x:v>Valid</x:v>
      </x:c>
      <x:c r="M2362" s="2" t="str">
        <x:v>QR</x:v>
      </x:c>
      <x:c r="N2362" s="2" t="n">
        <x:v>1</x:v>
      </x:c>
      <x:c r="O2362" s="2" t="str">
        <x:v>Accepted</x:v>
      </x:c>
      <x:c r="P2362" s="2" t="str">
        <x:v>S003</x:v>
      </x:c>
      <x:c r="Q2362" s="2" t="str">
        <x:v>DEV003</x:v>
      </x:c>
      <x:c r="R2362" s="2" t="n">
        <x:v>9</x:v>
      </x:c>
      <x:c r="S2362" s="2" t="str">
        <x:v>Online</x:v>
      </x:c>
      <x:c r="T2362" s="2" t="str">
        <x:v>Synced</x:v>
      </x:c>
    </x:row>
    <x:row r="2363" ht="21" customHeight="1">
      <x:c r="A2363" s="2" t="str">
        <x:v>EV002073</x:v>
      </x:c>
      <x:c r="B2363" s="2" t="str">
        <x:v>T20261008-5-1</x:v>
      </x:c>
      <x:c r="C2363" s="2" t="str">
        <x:v>ST040</x:v>
      </x:c>
      <x:c r="D2363" s="2" t="str">
        <x:v>4cd5e507bb3c8af27cd11d16138dcec0</x:v>
      </x:c>
      <x:c r="E2363" s="2" t="str">
        <x:v>CHECK_IN</x:v>
      </x:c>
      <x:c r="F2363" s="8" t="n">
        <x:v>46303.70864583333</x:v>
      </x:c>
      <x:c r="G2363" s="8" t="n">
        <x:v>46303.708668981475</x:v>
      </x:c>
      <x:c r="H2363" s="2" t="str">
        <x:v>SCH01</x:v>
      </x:c>
      <x:c r="I2363" s="9" t="n">
        <x:v>25.285</x:v>
      </x:c>
      <x:c r="J2363" s="9" t="n">
        <x:v>51.51</x:v>
      </x:c>
      <x:c r="K2363" s="2" t="n">
        <x:v>8</x:v>
      </x:c>
      <x:c r="L2363" s="2" t="str">
        <x:v>Valid</x:v>
      </x:c>
      <x:c r="M2363" s="2" t="str">
        <x:v>QR</x:v>
      </x:c>
      <x:c r="N2363" s="2" t="n">
        <x:v>1</x:v>
      </x:c>
      <x:c r="O2363" s="2" t="str">
        <x:v>Accepted</x:v>
      </x:c>
      <x:c r="P2363" s="2" t="str">
        <x:v>S001</x:v>
      </x:c>
      <x:c r="Q2363" s="2" t="str">
        <x:v>DEV001</x:v>
      </x:c>
      <x:c r="R2363" s="2" t="n">
        <x:v>10</x:v>
      </x:c>
      <x:c r="S2363" s="2" t="str">
        <x:v>Online</x:v>
      </x:c>
      <x:c r="T2363" s="2" t="str">
        <x:v>Synced</x:v>
      </x:c>
    </x:row>
    <x:row r="2364" ht="21" customHeight="1">
      <x:c r="A2364" s="2" t="str">
        <x:v>EV002233</x:v>
      </x:c>
      <x:c r="B2364" s="2" t="str">
        <x:v>T20261008-5-2</x:v>
      </x:c>
      <x:c r="C2364" s="2" t="str">
        <x:v>ST080</x:v>
      </x:c>
      <x:c r="D2364" s="2" t="str">
        <x:v>0abaf17d1472c0347862177fd9880be2</x:v>
      </x:c>
      <x:c r="E2364" s="2" t="str">
        <x:v>CHECK_IN</x:v>
      </x:c>
      <x:c r="F2364" s="8" t="n">
        <x:v>46303.70864583333</x:v>
      </x:c>
      <x:c r="G2364" s="8" t="n">
        <x:v>46303.708668981475</x:v>
      </x:c>
      <x:c r="H2364" s="2" t="str">
        <x:v>SCH01</x:v>
      </x:c>
      <x:c r="I2364" s="9" t="n">
        <x:v>25.285</x:v>
      </x:c>
      <x:c r="J2364" s="9" t="n">
        <x:v>51.51</x:v>
      </x:c>
      <x:c r="K2364" s="2" t="n">
        <x:v>8</x:v>
      </x:c>
      <x:c r="L2364" s="2" t="str">
        <x:v>Valid</x:v>
      </x:c>
      <x:c r="M2364" s="2" t="str">
        <x:v>QR</x:v>
      </x:c>
      <x:c r="N2364" s="2" t="n">
        <x:v>1</x:v>
      </x:c>
      <x:c r="O2364" s="2" t="str">
        <x:v>Accepted</x:v>
      </x:c>
      <x:c r="P2364" s="2" t="str">
        <x:v>S002</x:v>
      </x:c>
      <x:c r="Q2364" s="2" t="str">
        <x:v>DEV002</x:v>
      </x:c>
      <x:c r="R2364" s="2" t="n">
        <x:v>10</x:v>
      </x:c>
      <x:c r="S2364" s="2" t="str">
        <x:v>Online</x:v>
      </x:c>
      <x:c r="T2364" s="2" t="str">
        <x:v>Synced</x:v>
      </x:c>
    </x:row>
    <x:row r="2365" ht="21" customHeight="1">
      <x:c r="A2365" s="2" t="str">
        <x:v>EV002393</x:v>
      </x:c>
      <x:c r="B2365" s="2" t="str">
        <x:v>T20261008-5-3</x:v>
      </x:c>
      <x:c r="C2365" s="2" t="str">
        <x:v>ST120</x:v>
      </x:c>
      <x:c r="D2365" s="2" t="str">
        <x:v>c3749f3342e76b516e5c145f91308219</x:v>
      </x:c>
      <x:c r="E2365" s="2" t="str">
        <x:v>CHECK_IN</x:v>
      </x:c>
      <x:c r="F2365" s="8" t="n">
        <x:v>46303.70864583333</x:v>
      </x:c>
      <x:c r="G2365" s="8" t="n">
        <x:v>46303.708668981475</x:v>
      </x:c>
      <x:c r="H2365" s="2" t="str">
        <x:v>SCH01</x:v>
      </x:c>
      <x:c r="I2365" s="9" t="n">
        <x:v>25.285</x:v>
      </x:c>
      <x:c r="J2365" s="9" t="n">
        <x:v>51.51</x:v>
      </x:c>
      <x:c r="K2365" s="2" t="n">
        <x:v>8</x:v>
      </x:c>
      <x:c r="L2365" s="2" t="str">
        <x:v>Valid</x:v>
      </x:c>
      <x:c r="M2365" s="2" t="str">
        <x:v>QR</x:v>
      </x:c>
      <x:c r="N2365" s="2" t="n">
        <x:v>1</x:v>
      </x:c>
      <x:c r="O2365" s="2" t="str">
        <x:v>Accepted</x:v>
      </x:c>
      <x:c r="P2365" s="2" t="str">
        <x:v>S003</x:v>
      </x:c>
      <x:c r="Q2365" s="2" t="str">
        <x:v>DEV003</x:v>
      </x:c>
      <x:c r="R2365" s="2" t="n">
        <x:v>10</x:v>
      </x:c>
      <x:c r="S2365" s="2" t="str">
        <x:v>Online</x:v>
      </x:c>
      <x:c r="T2365" s="2" t="str">
        <x:v>Synced</x:v>
      </x:c>
    </x:row>
    <x:row r="2366" ht="21" customHeight="1">
      <x:c r="A2366" s="2" t="str">
        <x:v>EV002056</x:v>
      </x:c>
      <x:c r="B2366" s="2" t="str">
        <x:v>T20261008-5-1</x:v>
      </x:c>
      <x:c r="C2366" s="2" t="str">
        <x:v>ST031</x:v>
      </x:c>
      <x:c r="D2366" s="2" t="str">
        <x:v>8ab188e9684e5df87182305d1c7eadac</x:v>
      </x:c>
      <x:c r="E2366" s="2" t="str">
        <x:v>CHECK_OUT</x:v>
      </x:c>
      <x:c r="F2366" s="8" t="n">
        <x:v>46303.72361111111</x:v>
      </x:c>
      <x:c r="G2366" s="8" t="n">
        <x:v>46303.72363425926</x:v>
      </x:c>
      <x:c r="H2366" s="2" t="str">
        <x:v>R1S1</x:v>
      </x:c>
      <x:c r="I2366" s="9" t="n">
        <x:v>25.271</x:v>
      </x:c>
      <x:c r="J2366" s="9" t="n">
        <x:v>51.491</x:v>
      </x:c>
      <x:c r="K2366" s="2" t="n">
        <x:v>8</x:v>
      </x:c>
      <x:c r="L2366" s="2" t="str">
        <x:v>Valid</x:v>
      </x:c>
      <x:c r="M2366" s="2" t="str">
        <x:v>QR</x:v>
      </x:c>
      <x:c r="N2366" s="2" t="n">
        <x:v>1</x:v>
      </x:c>
      <x:c r="O2366" s="2" t="str">
        <x:v>Accepted</x:v>
      </x:c>
      <x:c r="P2366" s="2" t="str">
        <x:v>S001</x:v>
      </x:c>
      <x:c r="Q2366" s="2" t="str">
        <x:v>DEV001</x:v>
      </x:c>
      <x:c r="R2366" s="2" t="n">
        <x:v>11</x:v>
      </x:c>
      <x:c r="S2366" s="2" t="str">
        <x:v>Online</x:v>
      </x:c>
      <x:c r="T2366" s="2" t="str">
        <x:v>Synced</x:v>
      </x:c>
    </x:row>
    <x:row r="2367" ht="21" customHeight="1">
      <x:c r="A2367" s="2" t="str">
        <x:v>EV002216</x:v>
      </x:c>
      <x:c r="B2367" s="2" t="str">
        <x:v>T20261008-5-2</x:v>
      </x:c>
      <x:c r="C2367" s="2" t="str">
        <x:v>ST071</x:v>
      </x:c>
      <x:c r="D2367" s="2" t="str">
        <x:v>51895678643dc659a400e702a471294e</x:v>
      </x:c>
      <x:c r="E2367" s="2" t="str">
        <x:v>CHECK_OUT</x:v>
      </x:c>
      <x:c r="F2367" s="8" t="n">
        <x:v>46303.72361111111</x:v>
      </x:c>
      <x:c r="G2367" s="8" t="n">
        <x:v>46303.72363425926</x:v>
      </x:c>
      <x:c r="H2367" s="2" t="str">
        <x:v>R2S1</x:v>
      </x:c>
      <x:c r="I2367" s="9" t="n">
        <x:v>25.28</x:v>
      </x:c>
      <x:c r="J2367" s="9" t="n">
        <x:v>51.498999999999995</x:v>
      </x:c>
      <x:c r="K2367" s="2" t="n">
        <x:v>8</x:v>
      </x:c>
      <x:c r="L2367" s="2" t="str">
        <x:v>Valid</x:v>
      </x:c>
      <x:c r="M2367" s="2" t="str">
        <x:v>QR</x:v>
      </x:c>
      <x:c r="N2367" s="2" t="n">
        <x:v>1</x:v>
      </x:c>
      <x:c r="O2367" s="2" t="str">
        <x:v>Accepted</x:v>
      </x:c>
      <x:c r="P2367" s="2" t="str">
        <x:v>S002</x:v>
      </x:c>
      <x:c r="Q2367" s="2" t="str">
        <x:v>DEV002</x:v>
      </x:c>
      <x:c r="R2367" s="2" t="n">
        <x:v>11</x:v>
      </x:c>
      <x:c r="S2367" s="2" t="str">
        <x:v>Online</x:v>
      </x:c>
      <x:c r="T2367" s="2" t="str">
        <x:v>Synced</x:v>
      </x:c>
    </x:row>
    <x:row r="2368" ht="21" customHeight="1">
      <x:c r="A2368" s="2" t="str">
        <x:v>EV002376</x:v>
      </x:c>
      <x:c r="B2368" s="2" t="str">
        <x:v>T20261008-5-3</x:v>
      </x:c>
      <x:c r="C2368" s="2" t="str">
        <x:v>ST111</x:v>
      </x:c>
      <x:c r="D2368" s="2" t="str">
        <x:v>e6e9707385e7ee8edd3ac87243757eb2</x:v>
      </x:c>
      <x:c r="E2368" s="2" t="str">
        <x:v>CHECK_OUT</x:v>
      </x:c>
      <x:c r="F2368" s="8" t="n">
        <x:v>46303.72361111111</x:v>
      </x:c>
      <x:c r="G2368" s="8" t="n">
        <x:v>46303.72363425926</x:v>
      </x:c>
      <x:c r="H2368" s="2" t="str">
        <x:v>R3S1</x:v>
      </x:c>
      <x:c r="I2368" s="9" t="n">
        <x:v>25.289</x:v>
      </x:c>
      <x:c r="J2368" s="9" t="n">
        <x:v>51.507</x:v>
      </x:c>
      <x:c r="K2368" s="2" t="n">
        <x:v>8</x:v>
      </x:c>
      <x:c r="L2368" s="2" t="str">
        <x:v>Valid</x:v>
      </x:c>
      <x:c r="M2368" s="2" t="str">
        <x:v>QR</x:v>
      </x:c>
      <x:c r="N2368" s="2" t="n">
        <x:v>1</x:v>
      </x:c>
      <x:c r="O2368" s="2" t="str">
        <x:v>Accepted</x:v>
      </x:c>
      <x:c r="P2368" s="2" t="str">
        <x:v>S003</x:v>
      </x:c>
      <x:c r="Q2368" s="2" t="str">
        <x:v>DEV003</x:v>
      </x:c>
      <x:c r="R2368" s="2" t="n">
        <x:v>11</x:v>
      </x:c>
      <x:c r="S2368" s="2" t="str">
        <x:v>Online</x:v>
      </x:c>
      <x:c r="T2368" s="2" t="str">
        <x:v>Synced</x:v>
      </x:c>
    </x:row>
    <x:row r="2369" ht="21" customHeight="1">
      <x:c r="A2369" s="2" t="str">
        <x:v>EV002062</x:v>
      </x:c>
      <x:c r="B2369" s="2" t="str">
        <x:v>T20261008-5-1</x:v>
      </x:c>
      <x:c r="C2369" s="2" t="str">
        <x:v>ST034</x:v>
      </x:c>
      <x:c r="D2369" s="2" t="str">
        <x:v>80fbe33bb2df8cab59b55f98f1c8a3d5</x:v>
      </x:c>
      <x:c r="E2369" s="2" t="str">
        <x:v>CHECK_OUT</x:v>
      </x:c>
      <x:c r="F2369" s="8" t="n">
        <x:v>46303.72371527778</x:v>
      </x:c>
      <x:c r="G2369" s="8" t="n">
        <x:v>46303.72373842593</x:v>
      </x:c>
      <x:c r="H2369" s="2" t="str">
        <x:v>R1S1</x:v>
      </x:c>
      <x:c r="I2369" s="9" t="n">
        <x:v>25.271</x:v>
      </x:c>
      <x:c r="J2369" s="9" t="n">
        <x:v>51.491</x:v>
      </x:c>
      <x:c r="K2369" s="2" t="n">
        <x:v>8</x:v>
      </x:c>
      <x:c r="L2369" s="2" t="str">
        <x:v>Valid</x:v>
      </x:c>
      <x:c r="M2369" s="2" t="str">
        <x:v>QR</x:v>
      </x:c>
      <x:c r="N2369" s="2" t="n">
        <x:v>1</x:v>
      </x:c>
      <x:c r="O2369" s="2" t="str">
        <x:v>Accepted</x:v>
      </x:c>
      <x:c r="P2369" s="2" t="str">
        <x:v>S001</x:v>
      </x:c>
      <x:c r="Q2369" s="2" t="str">
        <x:v>DEV001</x:v>
      </x:c>
      <x:c r="R2369" s="2" t="n">
        <x:v>12</x:v>
      </x:c>
      <x:c r="S2369" s="2" t="str">
        <x:v>Online</x:v>
      </x:c>
      <x:c r="T2369" s="2" t="str">
        <x:v>Synced</x:v>
      </x:c>
    </x:row>
    <x:row r="2370" ht="21" customHeight="1">
      <x:c r="A2370" s="2" t="str">
        <x:v>EV002222</x:v>
      </x:c>
      <x:c r="B2370" s="2" t="str">
        <x:v>T20261008-5-2</x:v>
      </x:c>
      <x:c r="C2370" s="2" t="str">
        <x:v>ST074</x:v>
      </x:c>
      <x:c r="D2370" s="2" t="str">
        <x:v>a9bcbd7cecca4f17e235125ddf0adf7b</x:v>
      </x:c>
      <x:c r="E2370" s="2" t="str">
        <x:v>CHECK_OUT</x:v>
      </x:c>
      <x:c r="F2370" s="8" t="n">
        <x:v>46303.72371527778</x:v>
      </x:c>
      <x:c r="G2370" s="8" t="n">
        <x:v>46303.72373842593</x:v>
      </x:c>
      <x:c r="H2370" s="2" t="str">
        <x:v>R2S1</x:v>
      </x:c>
      <x:c r="I2370" s="9" t="n">
        <x:v>25.28</x:v>
      </x:c>
      <x:c r="J2370" s="9" t="n">
        <x:v>51.498999999999995</x:v>
      </x:c>
      <x:c r="K2370" s="2" t="n">
        <x:v>8</x:v>
      </x:c>
      <x:c r="L2370" s="2" t="str">
        <x:v>Valid</x:v>
      </x:c>
      <x:c r="M2370" s="2" t="str">
        <x:v>QR</x:v>
      </x:c>
      <x:c r="N2370" s="2" t="n">
        <x:v>1</x:v>
      </x:c>
      <x:c r="O2370" s="2" t="str">
        <x:v>Accepted</x:v>
      </x:c>
      <x:c r="P2370" s="2" t="str">
        <x:v>S002</x:v>
      </x:c>
      <x:c r="Q2370" s="2" t="str">
        <x:v>DEV002</x:v>
      </x:c>
      <x:c r="R2370" s="2" t="n">
        <x:v>12</x:v>
      </x:c>
      <x:c r="S2370" s="2" t="str">
        <x:v>Online</x:v>
      </x:c>
      <x:c r="T2370" s="2" t="str">
        <x:v>Synced</x:v>
      </x:c>
    </x:row>
    <x:row r="2371" ht="21" customHeight="1">
      <x:c r="A2371" s="2" t="str">
        <x:v>EV002382</x:v>
      </x:c>
      <x:c r="B2371" s="2" t="str">
        <x:v>T20261008-5-3</x:v>
      </x:c>
      <x:c r="C2371" s="2" t="str">
        <x:v>ST114</x:v>
      </x:c>
      <x:c r="D2371" s="2" t="str">
        <x:v>a5c77bf3b082c3ab825b65c34f1c9f8c</x:v>
      </x:c>
      <x:c r="E2371" s="2" t="str">
        <x:v>CHECK_OUT</x:v>
      </x:c>
      <x:c r="F2371" s="8" t="n">
        <x:v>46303.72371527778</x:v>
      </x:c>
      <x:c r="G2371" s="8" t="n">
        <x:v>46303.72373842593</x:v>
      </x:c>
      <x:c r="H2371" s="2" t="str">
        <x:v>R3S1</x:v>
      </x:c>
      <x:c r="I2371" s="9" t="n">
        <x:v>25.289</x:v>
      </x:c>
      <x:c r="J2371" s="9" t="n">
        <x:v>51.507</x:v>
      </x:c>
      <x:c r="K2371" s="2" t="n">
        <x:v>8</x:v>
      </x:c>
      <x:c r="L2371" s="2" t="str">
        <x:v>Valid</x:v>
      </x:c>
      <x:c r="M2371" s="2" t="str">
        <x:v>QR</x:v>
      </x:c>
      <x:c r="N2371" s="2" t="n">
        <x:v>1</x:v>
      </x:c>
      <x:c r="O2371" s="2" t="str">
        <x:v>Accepted</x:v>
      </x:c>
      <x:c r="P2371" s="2" t="str">
        <x:v>S003</x:v>
      </x:c>
      <x:c r="Q2371" s="2" t="str">
        <x:v>DEV003</x:v>
      </x:c>
      <x:c r="R2371" s="2" t="n">
        <x:v>12</x:v>
      </x:c>
      <x:c r="S2371" s="2" t="str">
        <x:v>Online</x:v>
      </x:c>
      <x:c r="T2371" s="2" t="str">
        <x:v>Synced</x:v>
      </x:c>
    </x:row>
    <x:row r="2372" ht="21" customHeight="1">
      <x:c r="A2372" s="2" t="str">
        <x:v>EV002068</x:v>
      </x:c>
      <x:c r="B2372" s="2" t="str">
        <x:v>T20261008-5-1</x:v>
      </x:c>
      <x:c r="C2372" s="2" t="str">
        <x:v>ST037</x:v>
      </x:c>
      <x:c r="D2372" s="2" t="str">
        <x:v>eb6cdfa5572c8f6959c8b9c84b8ec493</x:v>
      </x:c>
      <x:c r="E2372" s="2" t="str">
        <x:v>CHECK_OUT</x:v>
      </x:c>
      <x:c r="F2372" s="8" t="n">
        <x:v>46303.72381944444</x:v>
      </x:c>
      <x:c r="G2372" s="8" t="n">
        <x:v>46303.72384259259</x:v>
      </x:c>
      <x:c r="H2372" s="2" t="str">
        <x:v>R1S1</x:v>
      </x:c>
      <x:c r="I2372" s="9" t="n">
        <x:v>25.271</x:v>
      </x:c>
      <x:c r="J2372" s="9" t="n">
        <x:v>51.491</x:v>
      </x:c>
      <x:c r="K2372" s="2" t="n">
        <x:v>8</x:v>
      </x:c>
      <x:c r="L2372" s="2" t="str">
        <x:v>Valid</x:v>
      </x:c>
      <x:c r="M2372" s="2" t="str">
        <x:v>QR</x:v>
      </x:c>
      <x:c r="N2372" s="2" t="n">
        <x:v>1</x:v>
      </x:c>
      <x:c r="O2372" s="2" t="str">
        <x:v>Accepted</x:v>
      </x:c>
      <x:c r="P2372" s="2" t="str">
        <x:v>S001</x:v>
      </x:c>
      <x:c r="Q2372" s="2" t="str">
        <x:v>DEV001</x:v>
      </x:c>
      <x:c r="R2372" s="2" t="n">
        <x:v>13</x:v>
      </x:c>
      <x:c r="S2372" s="2" t="str">
        <x:v>Online</x:v>
      </x:c>
      <x:c r="T2372" s="2" t="str">
        <x:v>Synced</x:v>
      </x:c>
    </x:row>
    <x:row r="2373" ht="21" customHeight="1">
      <x:c r="A2373" s="2" t="str">
        <x:v>EV002228</x:v>
      </x:c>
      <x:c r="B2373" s="2" t="str">
        <x:v>T20261008-5-2</x:v>
      </x:c>
      <x:c r="C2373" s="2" t="str">
        <x:v>ST077</x:v>
      </x:c>
      <x:c r="D2373" s="2" t="str">
        <x:v>af7b8314f6c372daf48e6b95332f6a0f</x:v>
      </x:c>
      <x:c r="E2373" s="2" t="str">
        <x:v>CHECK_OUT</x:v>
      </x:c>
      <x:c r="F2373" s="8" t="n">
        <x:v>46303.72381944444</x:v>
      </x:c>
      <x:c r="G2373" s="8" t="n">
        <x:v>46303.72384259259</x:v>
      </x:c>
      <x:c r="H2373" s="2" t="str">
        <x:v>R2S1</x:v>
      </x:c>
      <x:c r="I2373" s="9" t="n">
        <x:v>25.28</x:v>
      </x:c>
      <x:c r="J2373" s="9" t="n">
        <x:v>51.498999999999995</x:v>
      </x:c>
      <x:c r="K2373" s="2" t="n">
        <x:v>8</x:v>
      </x:c>
      <x:c r="L2373" s="2" t="str">
        <x:v>Valid</x:v>
      </x:c>
      <x:c r="M2373" s="2" t="str">
        <x:v>QR</x:v>
      </x:c>
      <x:c r="N2373" s="2" t="n">
        <x:v>1</x:v>
      </x:c>
      <x:c r="O2373" s="2" t="str">
        <x:v>Accepted</x:v>
      </x:c>
      <x:c r="P2373" s="2" t="str">
        <x:v>S002</x:v>
      </x:c>
      <x:c r="Q2373" s="2" t="str">
        <x:v>DEV002</x:v>
      </x:c>
      <x:c r="R2373" s="2" t="n">
        <x:v>13</x:v>
      </x:c>
      <x:c r="S2373" s="2" t="str">
        <x:v>Online</x:v>
      </x:c>
      <x:c r="T2373" s="2" t="str">
        <x:v>Synced</x:v>
      </x:c>
    </x:row>
    <x:row r="2374" ht="21" customHeight="1">
      <x:c r="A2374" s="2" t="str">
        <x:v>EV002388</x:v>
      </x:c>
      <x:c r="B2374" s="2" t="str">
        <x:v>T20261008-5-3</x:v>
      </x:c>
      <x:c r="C2374" s="2" t="str">
        <x:v>ST117</x:v>
      </x:c>
      <x:c r="D2374" s="2" t="str">
        <x:v>195a54aea4adbe89371209e73878e4fe</x:v>
      </x:c>
      <x:c r="E2374" s="2" t="str">
        <x:v>CHECK_OUT</x:v>
      </x:c>
      <x:c r="F2374" s="8" t="n">
        <x:v>46303.72381944444</x:v>
      </x:c>
      <x:c r="G2374" s="8" t="n">
        <x:v>46303.72384259259</x:v>
      </x:c>
      <x:c r="H2374" s="2" t="str">
        <x:v>R3S1</x:v>
      </x:c>
      <x:c r="I2374" s="9" t="n">
        <x:v>25.289</x:v>
      </x:c>
      <x:c r="J2374" s="9" t="n">
        <x:v>51.507</x:v>
      </x:c>
      <x:c r="K2374" s="2" t="n">
        <x:v>8</x:v>
      </x:c>
      <x:c r="L2374" s="2" t="str">
        <x:v>Valid</x:v>
      </x:c>
      <x:c r="M2374" s="2" t="str">
        <x:v>QR</x:v>
      </x:c>
      <x:c r="N2374" s="2" t="n">
        <x:v>1</x:v>
      </x:c>
      <x:c r="O2374" s="2" t="str">
        <x:v>Accepted</x:v>
      </x:c>
      <x:c r="P2374" s="2" t="str">
        <x:v>S003</x:v>
      </x:c>
      <x:c r="Q2374" s="2" t="str">
        <x:v>DEV003</x:v>
      </x:c>
      <x:c r="R2374" s="2" t="n">
        <x:v>13</x:v>
      </x:c>
      <x:c r="S2374" s="2" t="str">
        <x:v>Online</x:v>
      </x:c>
      <x:c r="T2374" s="2" t="str">
        <x:v>Synced</x:v>
      </x:c>
    </x:row>
    <x:row r="2375" ht="21" customHeight="1">
      <x:c r="A2375" s="2" t="str">
        <x:v>EV002074</x:v>
      </x:c>
      <x:c r="B2375" s="2" t="str">
        <x:v>T20261008-5-1</x:v>
      </x:c>
      <x:c r="C2375" s="2" t="str">
        <x:v>ST040</x:v>
      </x:c>
      <x:c r="D2375" s="2" t="str">
        <x:v>4cd5e507bb3c8af27cd11d16138dcec0</x:v>
      </x:c>
      <x:c r="E2375" s="2" t="str">
        <x:v>CHECK_OUT</x:v>
      </x:c>
      <x:c r="F2375" s="8" t="n">
        <x:v>46303.72392361111</x:v>
      </x:c>
      <x:c r="G2375" s="8" t="n">
        <x:v>46303.72394675926</x:v>
      </x:c>
      <x:c r="H2375" s="2" t="str">
        <x:v>R1S1</x:v>
      </x:c>
      <x:c r="I2375" s="9" t="n">
        <x:v>25.271</x:v>
      </x:c>
      <x:c r="J2375" s="9" t="n">
        <x:v>51.491</x:v>
      </x:c>
      <x:c r="K2375" s="2" t="n">
        <x:v>8</x:v>
      </x:c>
      <x:c r="L2375" s="2" t="str">
        <x:v>Valid</x:v>
      </x:c>
      <x:c r="M2375" s="2" t="str">
        <x:v>QR</x:v>
      </x:c>
      <x:c r="N2375" s="2" t="n">
        <x:v>1</x:v>
      </x:c>
      <x:c r="O2375" s="2" t="str">
        <x:v>Accepted</x:v>
      </x:c>
      <x:c r="P2375" s="2" t="str">
        <x:v>S001</x:v>
      </x:c>
      <x:c r="Q2375" s="2" t="str">
        <x:v>DEV001</x:v>
      </x:c>
      <x:c r="R2375" s="2" t="n">
        <x:v>14</x:v>
      </x:c>
      <x:c r="S2375" s="2" t="str">
        <x:v>Online</x:v>
      </x:c>
      <x:c r="T2375" s="2" t="str">
        <x:v>Synced</x:v>
      </x:c>
    </x:row>
    <x:row r="2376" ht="21" customHeight="1">
      <x:c r="A2376" s="2" t="str">
        <x:v>EV002234</x:v>
      </x:c>
      <x:c r="B2376" s="2" t="str">
        <x:v>T20261008-5-2</x:v>
      </x:c>
      <x:c r="C2376" s="2" t="str">
        <x:v>ST080</x:v>
      </x:c>
      <x:c r="D2376" s="2" t="str">
        <x:v>0abaf17d1472c0347862177fd9880be2</x:v>
      </x:c>
      <x:c r="E2376" s="2" t="str">
        <x:v>CHECK_OUT</x:v>
      </x:c>
      <x:c r="F2376" s="8" t="n">
        <x:v>46303.72392361111</x:v>
      </x:c>
      <x:c r="G2376" s="8" t="n">
        <x:v>46303.72394675926</x:v>
      </x:c>
      <x:c r="H2376" s="2" t="str">
        <x:v>R2S1</x:v>
      </x:c>
      <x:c r="I2376" s="9" t="n">
        <x:v>25.28</x:v>
      </x:c>
      <x:c r="J2376" s="9" t="n">
        <x:v>51.498999999999995</x:v>
      </x:c>
      <x:c r="K2376" s="2" t="n">
        <x:v>8</x:v>
      </x:c>
      <x:c r="L2376" s="2" t="str">
        <x:v>Valid</x:v>
      </x:c>
      <x:c r="M2376" s="2" t="str">
        <x:v>QR</x:v>
      </x:c>
      <x:c r="N2376" s="2" t="n">
        <x:v>1</x:v>
      </x:c>
      <x:c r="O2376" s="2" t="str">
        <x:v>Accepted</x:v>
      </x:c>
      <x:c r="P2376" s="2" t="str">
        <x:v>S002</x:v>
      </x:c>
      <x:c r="Q2376" s="2" t="str">
        <x:v>DEV002</x:v>
      </x:c>
      <x:c r="R2376" s="2" t="n">
        <x:v>14</x:v>
      </x:c>
      <x:c r="S2376" s="2" t="str">
        <x:v>Online</x:v>
      </x:c>
      <x:c r="T2376" s="2" t="str">
        <x:v>Synced</x:v>
      </x:c>
    </x:row>
    <x:row r="2377" ht="21" customHeight="1">
      <x:c r="A2377" s="2" t="str">
        <x:v>EV002058</x:v>
      </x:c>
      <x:c r="B2377" s="2" t="str">
        <x:v>T20261008-5-1</x:v>
      </x:c>
      <x:c r="C2377" s="2" t="str">
        <x:v>ST032</x:v>
      </x:c>
      <x:c r="D2377" s="2" t="str">
        <x:v>836e2da54ccde9716995f5651a63e8c5</x:v>
      </x:c>
      <x:c r="E2377" s="2" t="str">
        <x:v>CHECK_OUT</x:v>
      </x:c>
      <x:c r="F2377" s="8" t="n">
        <x:v>46303.72850694445</x:v>
      </x:c>
      <x:c r="G2377" s="8" t="n">
        <x:v>46303.728530092594</x:v>
      </x:c>
      <x:c r="H2377" s="2" t="str">
        <x:v>R1S2</x:v>
      </x:c>
      <x:c r="I2377" s="9" t="n">
        <x:v>25.273000000000003</x:v>
      </x:c>
      <x:c r="J2377" s="9" t="n">
        <x:v>51.494</x:v>
      </x:c>
      <x:c r="K2377" s="2" t="n">
        <x:v>8</x:v>
      </x:c>
      <x:c r="L2377" s="2" t="str">
        <x:v>Valid</x:v>
      </x:c>
      <x:c r="M2377" s="2" t="str">
        <x:v>QR</x:v>
      </x:c>
      <x:c r="N2377" s="2" t="n">
        <x:v>1</x:v>
      </x:c>
      <x:c r="O2377" s="2" t="str">
        <x:v>Accepted</x:v>
      </x:c>
      <x:c r="P2377" s="2" t="str">
        <x:v>S001</x:v>
      </x:c>
      <x:c r="Q2377" s="2" t="str">
        <x:v>DEV001</x:v>
      </x:c>
      <x:c r="R2377" s="2" t="n">
        <x:v>15</x:v>
      </x:c>
      <x:c r="S2377" s="2" t="str">
        <x:v>Online</x:v>
      </x:c>
      <x:c r="T2377" s="2" t="str">
        <x:v>Synced</x:v>
      </x:c>
    </x:row>
    <x:row r="2378" ht="21" customHeight="1">
      <x:c r="A2378" s="2" t="str">
        <x:v>EV002218</x:v>
      </x:c>
      <x:c r="B2378" s="2" t="str">
        <x:v>T20261008-5-2</x:v>
      </x:c>
      <x:c r="C2378" s="2" t="str">
        <x:v>ST072</x:v>
      </x:c>
      <x:c r="D2378" s="2" t="str">
        <x:v>34067027b5922171fe59ce4d7b756f1c</x:v>
      </x:c>
      <x:c r="E2378" s="2" t="str">
        <x:v>CHECK_OUT</x:v>
      </x:c>
      <x:c r="F2378" s="8" t="n">
        <x:v>46303.72850694445</x:v>
      </x:c>
      <x:c r="G2378" s="8" t="n">
        <x:v>46303.728530092594</x:v>
      </x:c>
      <x:c r="H2378" s="2" t="str">
        <x:v>R2S2</x:v>
      </x:c>
      <x:c r="I2378" s="9" t="n">
        <x:v>25.282000000000004</x:v>
      </x:c>
      <x:c r="J2378" s="9" t="n">
        <x:v>51.501999999999995</x:v>
      </x:c>
      <x:c r="K2378" s="2" t="n">
        <x:v>8</x:v>
      </x:c>
      <x:c r="L2378" s="2" t="str">
        <x:v>Valid</x:v>
      </x:c>
      <x:c r="M2378" s="2" t="str">
        <x:v>QR</x:v>
      </x:c>
      <x:c r="N2378" s="2" t="n">
        <x:v>1</x:v>
      </x:c>
      <x:c r="O2378" s="2" t="str">
        <x:v>Accepted</x:v>
      </x:c>
      <x:c r="P2378" s="2" t="str">
        <x:v>S002</x:v>
      </x:c>
      <x:c r="Q2378" s="2" t="str">
        <x:v>DEV002</x:v>
      </x:c>
      <x:c r="R2378" s="2" t="n">
        <x:v>15</x:v>
      </x:c>
      <x:c r="S2378" s="2" t="str">
        <x:v>Online</x:v>
      </x:c>
      <x:c r="T2378" s="2" t="str">
        <x:v>Synced</x:v>
      </x:c>
    </x:row>
    <x:row r="2379" ht="21" customHeight="1">
      <x:c r="A2379" s="2" t="str">
        <x:v>EV002378</x:v>
      </x:c>
      <x:c r="B2379" s="2" t="str">
        <x:v>T20261008-5-3</x:v>
      </x:c>
      <x:c r="C2379" s="2" t="str">
        <x:v>ST112</x:v>
      </x:c>
      <x:c r="D2379" s="2" t="str">
        <x:v>ca020aefc0d912af9ddca5c7ca7a2f51</x:v>
      </x:c>
      <x:c r="E2379" s="2" t="str">
        <x:v>CHECK_OUT</x:v>
      </x:c>
      <x:c r="F2379" s="8" t="n">
        <x:v>46303.72850694445</x:v>
      </x:c>
      <x:c r="G2379" s="8" t="n">
        <x:v>46303.728530092594</x:v>
      </x:c>
      <x:c r="H2379" s="2" t="str">
        <x:v>R3S2</x:v>
      </x:c>
      <x:c r="I2379" s="9" t="n">
        <x:v>25.291000000000004</x:v>
      </x:c>
      <x:c r="J2379" s="9" t="n">
        <x:v>51.51</x:v>
      </x:c>
      <x:c r="K2379" s="2" t="n">
        <x:v>8</x:v>
      </x:c>
      <x:c r="L2379" s="2" t="str">
        <x:v>Valid</x:v>
      </x:c>
      <x:c r="M2379" s="2" t="str">
        <x:v>QR</x:v>
      </x:c>
      <x:c r="N2379" s="2" t="n">
        <x:v>1</x:v>
      </x:c>
      <x:c r="O2379" s="2" t="str">
        <x:v>Accepted</x:v>
      </x:c>
      <x:c r="P2379" s="2" t="str">
        <x:v>S003</x:v>
      </x:c>
      <x:c r="Q2379" s="2" t="str">
        <x:v>DEV003</x:v>
      </x:c>
      <x:c r="R2379" s="2" t="n">
        <x:v>14</x:v>
      </x:c>
      <x:c r="S2379" s="2" t="str">
        <x:v>Online</x:v>
      </x:c>
      <x:c r="T2379" s="2" t="str">
        <x:v>Synced</x:v>
      </x:c>
    </x:row>
    <x:row r="2380" ht="21" customHeight="1">
      <x:c r="A2380" s="2" t="str">
        <x:v>EV002064</x:v>
      </x:c>
      <x:c r="B2380" s="2" t="str">
        <x:v>T20261008-5-1</x:v>
      </x:c>
      <x:c r="C2380" s="2" t="str">
        <x:v>ST035</x:v>
      </x:c>
      <x:c r="D2380" s="2" t="str">
        <x:v>45068f3206e9be80993e83e259ea9cdc</x:v>
      </x:c>
      <x:c r="E2380" s="2" t="str">
        <x:v>CHECK_OUT</x:v>
      </x:c>
      <x:c r="F2380" s="8" t="n">
        <x:v>46303.72861111112</x:v>
      </x:c>
      <x:c r="G2380" s="8" t="n">
        <x:v>46303.72863425926</x:v>
      </x:c>
      <x:c r="H2380" s="2" t="str">
        <x:v>R1S2</x:v>
      </x:c>
      <x:c r="I2380" s="9" t="n">
        <x:v>25.273000000000003</x:v>
      </x:c>
      <x:c r="J2380" s="9" t="n">
        <x:v>51.494</x:v>
      </x:c>
      <x:c r="K2380" s="2" t="n">
        <x:v>8</x:v>
      </x:c>
      <x:c r="L2380" s="2" t="str">
        <x:v>Valid</x:v>
      </x:c>
      <x:c r="M2380" s="2" t="str">
        <x:v>QR</x:v>
      </x:c>
      <x:c r="N2380" s="2" t="n">
        <x:v>1</x:v>
      </x:c>
      <x:c r="O2380" s="2" t="str">
        <x:v>Accepted</x:v>
      </x:c>
      <x:c r="P2380" s="2" t="str">
        <x:v>S001</x:v>
      </x:c>
      <x:c r="Q2380" s="2" t="str">
        <x:v>DEV001</x:v>
      </x:c>
      <x:c r="R2380" s="2" t="n">
        <x:v>16</x:v>
      </x:c>
      <x:c r="S2380" s="2" t="str">
        <x:v>Online</x:v>
      </x:c>
      <x:c r="T2380" s="2" t="str">
        <x:v>Synced</x:v>
      </x:c>
    </x:row>
    <x:row r="2381" ht="21" customHeight="1">
      <x:c r="A2381" s="2" t="str">
        <x:v>EV002224</x:v>
      </x:c>
      <x:c r="B2381" s="2" t="str">
        <x:v>T20261008-5-2</x:v>
      </x:c>
      <x:c r="C2381" s="2" t="str">
        <x:v>ST075</x:v>
      </x:c>
      <x:c r="D2381" s="2" t="str">
        <x:v>3781d00e457977b726407cb845a294cc</x:v>
      </x:c>
      <x:c r="E2381" s="2" t="str">
        <x:v>CHECK_OUT</x:v>
      </x:c>
      <x:c r="F2381" s="8" t="n">
        <x:v>46303.72861111112</x:v>
      </x:c>
      <x:c r="G2381" s="8" t="n">
        <x:v>46303.72863425926</x:v>
      </x:c>
      <x:c r="H2381" s="2" t="str">
        <x:v>R2S2</x:v>
      </x:c>
      <x:c r="I2381" s="9" t="n">
        <x:v>25.282000000000004</x:v>
      </x:c>
      <x:c r="J2381" s="9" t="n">
        <x:v>51.501999999999995</x:v>
      </x:c>
      <x:c r="K2381" s="2" t="n">
        <x:v>8</x:v>
      </x:c>
      <x:c r="L2381" s="2" t="str">
        <x:v>Valid</x:v>
      </x:c>
      <x:c r="M2381" s="2" t="str">
        <x:v>QR</x:v>
      </x:c>
      <x:c r="N2381" s="2" t="n">
        <x:v>1</x:v>
      </x:c>
      <x:c r="O2381" s="2" t="str">
        <x:v>Accepted</x:v>
      </x:c>
      <x:c r="P2381" s="2" t="str">
        <x:v>S002</x:v>
      </x:c>
      <x:c r="Q2381" s="2" t="str">
        <x:v>DEV002</x:v>
      </x:c>
      <x:c r="R2381" s="2" t="n">
        <x:v>16</x:v>
      </x:c>
      <x:c r="S2381" s="2" t="str">
        <x:v>Online</x:v>
      </x:c>
      <x:c r="T2381" s="2" t="str">
        <x:v>Synced</x:v>
      </x:c>
    </x:row>
    <x:row r="2382" ht="21" customHeight="1">
      <x:c r="A2382" s="2" t="str">
        <x:v>EV002384</x:v>
      </x:c>
      <x:c r="B2382" s="2" t="str">
        <x:v>T20261008-5-3</x:v>
      </x:c>
      <x:c r="C2382" s="2" t="str">
        <x:v>ST115</x:v>
      </x:c>
      <x:c r="D2382" s="2" t="str">
        <x:v>dc951b9fd5f4acb1dc2ce3ca2f2e08ab</x:v>
      </x:c>
      <x:c r="E2382" s="2" t="str">
        <x:v>CHECK_OUT</x:v>
      </x:c>
      <x:c r="F2382" s="8" t="n">
        <x:v>46303.72861111112</x:v>
      </x:c>
      <x:c r="G2382" s="8" t="n">
        <x:v>46303.72863425926</x:v>
      </x:c>
      <x:c r="H2382" s="2" t="str">
        <x:v>R3S2</x:v>
      </x:c>
      <x:c r="I2382" s="9" t="n">
        <x:v>25.291000000000004</x:v>
      </x:c>
      <x:c r="J2382" s="9" t="n">
        <x:v>51.51</x:v>
      </x:c>
      <x:c r="K2382" s="2" t="n">
        <x:v>8</x:v>
      </x:c>
      <x:c r="L2382" s="2" t="str">
        <x:v>Valid</x:v>
      </x:c>
      <x:c r="M2382" s="2" t="str">
        <x:v>QR</x:v>
      </x:c>
      <x:c r="N2382" s="2" t="n">
        <x:v>1</x:v>
      </x:c>
      <x:c r="O2382" s="2" t="str">
        <x:v>Accepted</x:v>
      </x:c>
      <x:c r="P2382" s="2" t="str">
        <x:v>S003</x:v>
      </x:c>
      <x:c r="Q2382" s="2" t="str">
        <x:v>DEV003</x:v>
      </x:c>
      <x:c r="R2382" s="2" t="n">
        <x:v>15</x:v>
      </x:c>
      <x:c r="S2382" s="2" t="str">
        <x:v>Online</x:v>
      </x:c>
      <x:c r="T2382" s="2" t="str">
        <x:v>Synced</x:v>
      </x:c>
    </x:row>
    <x:row r="2383" ht="21" customHeight="1">
      <x:c r="A2383" s="2" t="str">
        <x:v>EV002070</x:v>
      </x:c>
      <x:c r="B2383" s="2" t="str">
        <x:v>T20261008-5-1</x:v>
      </x:c>
      <x:c r="C2383" s="2" t="str">
        <x:v>ST038</x:v>
      </x:c>
      <x:c r="D2383" s="2" t="str">
        <x:v>1ebedd777293ba897970ae7fc06b6301</x:v>
      </x:c>
      <x:c r="E2383" s="2" t="str">
        <x:v>CHECK_OUT</x:v>
      </x:c>
      <x:c r="F2383" s="8" t="n">
        <x:v>46303.72871527778</x:v>
      </x:c>
      <x:c r="G2383" s="8" t="n">
        <x:v>46303.728738425925</x:v>
      </x:c>
      <x:c r="H2383" s="2" t="str">
        <x:v>R1S2</x:v>
      </x:c>
      <x:c r="I2383" s="9" t="n">
        <x:v>25.273000000000003</x:v>
      </x:c>
      <x:c r="J2383" s="9" t="n">
        <x:v>51.494</x:v>
      </x:c>
      <x:c r="K2383" s="2" t="n">
        <x:v>8</x:v>
      </x:c>
      <x:c r="L2383" s="2" t="str">
        <x:v>Valid</x:v>
      </x:c>
      <x:c r="M2383" s="2" t="str">
        <x:v>QR</x:v>
      </x:c>
      <x:c r="N2383" s="2" t="n">
        <x:v>1</x:v>
      </x:c>
      <x:c r="O2383" s="2" t="str">
        <x:v>Accepted</x:v>
      </x:c>
      <x:c r="P2383" s="2" t="str">
        <x:v>S001</x:v>
      </x:c>
      <x:c r="Q2383" s="2" t="str">
        <x:v>DEV001</x:v>
      </x:c>
      <x:c r="R2383" s="2" t="n">
        <x:v>17</x:v>
      </x:c>
      <x:c r="S2383" s="2" t="str">
        <x:v>Online</x:v>
      </x:c>
      <x:c r="T2383" s="2" t="str">
        <x:v>Synced</x:v>
      </x:c>
    </x:row>
    <x:row r="2384" ht="21" customHeight="1">
      <x:c r="A2384" s="2" t="str">
        <x:v>EV002230</x:v>
      </x:c>
      <x:c r="B2384" s="2" t="str">
        <x:v>T20261008-5-2</x:v>
      </x:c>
      <x:c r="C2384" s="2" t="str">
        <x:v>ST078</x:v>
      </x:c>
      <x:c r="D2384" s="2" t="str">
        <x:v>737ab4e672bf11e638a47ae295f7e187</x:v>
      </x:c>
      <x:c r="E2384" s="2" t="str">
        <x:v>CHECK_OUT</x:v>
      </x:c>
      <x:c r="F2384" s="8" t="n">
        <x:v>46303.72871527778</x:v>
      </x:c>
      <x:c r="G2384" s="8" t="n">
        <x:v>46303.728738425925</x:v>
      </x:c>
      <x:c r="H2384" s="2" t="str">
        <x:v>R2S2</x:v>
      </x:c>
      <x:c r="I2384" s="9" t="n">
        <x:v>25.282000000000004</x:v>
      </x:c>
      <x:c r="J2384" s="9" t="n">
        <x:v>51.501999999999995</x:v>
      </x:c>
      <x:c r="K2384" s="2" t="n">
        <x:v>8</x:v>
      </x:c>
      <x:c r="L2384" s="2" t="str">
        <x:v>Valid</x:v>
      </x:c>
      <x:c r="M2384" s="2" t="str">
        <x:v>QR</x:v>
      </x:c>
      <x:c r="N2384" s="2" t="n">
        <x:v>1</x:v>
      </x:c>
      <x:c r="O2384" s="2" t="str">
        <x:v>Accepted</x:v>
      </x:c>
      <x:c r="P2384" s="2" t="str">
        <x:v>S002</x:v>
      </x:c>
      <x:c r="Q2384" s="2" t="str">
        <x:v>DEV002</x:v>
      </x:c>
      <x:c r="R2384" s="2" t="n">
        <x:v>17</x:v>
      </x:c>
      <x:c r="S2384" s="2" t="str">
        <x:v>Online</x:v>
      </x:c>
      <x:c r="T2384" s="2" t="str">
        <x:v>Synced</x:v>
      </x:c>
    </x:row>
    <x:row r="2385" ht="21" customHeight="1">
      <x:c r="A2385" s="2" t="str">
        <x:v>EV002390</x:v>
      </x:c>
      <x:c r="B2385" s="2" t="str">
        <x:v>T20261008-5-3</x:v>
      </x:c>
      <x:c r="C2385" s="2" t="str">
        <x:v>ST118</x:v>
      </x:c>
      <x:c r="D2385" s="2" t="str">
        <x:v>b15012a6111b47a10bdbbcbbd00c9f60</x:v>
      </x:c>
      <x:c r="E2385" s="2" t="str">
        <x:v>CHECK_OUT</x:v>
      </x:c>
      <x:c r="F2385" s="8" t="n">
        <x:v>46303.72871527778</x:v>
      </x:c>
      <x:c r="G2385" s="8" t="n">
        <x:v>46303.728738425925</x:v>
      </x:c>
      <x:c r="H2385" s="2" t="str">
        <x:v>R3S2</x:v>
      </x:c>
      <x:c r="I2385" s="9" t="n">
        <x:v>25.291000000000004</x:v>
      </x:c>
      <x:c r="J2385" s="9" t="n">
        <x:v>51.51</x:v>
      </x:c>
      <x:c r="K2385" s="2" t="n">
        <x:v>8</x:v>
      </x:c>
      <x:c r="L2385" s="2" t="str">
        <x:v>Valid</x:v>
      </x:c>
      <x:c r="M2385" s="2" t="str">
        <x:v>QR</x:v>
      </x:c>
      <x:c r="N2385" s="2" t="n">
        <x:v>1</x:v>
      </x:c>
      <x:c r="O2385" s="2" t="str">
        <x:v>Accepted</x:v>
      </x:c>
      <x:c r="P2385" s="2" t="str">
        <x:v>S003</x:v>
      </x:c>
      <x:c r="Q2385" s="2" t="str">
        <x:v>DEV003</x:v>
      </x:c>
      <x:c r="R2385" s="2" t="n">
        <x:v>16</x:v>
      </x:c>
      <x:c r="S2385" s="2" t="str">
        <x:v>Online</x:v>
      </x:c>
      <x:c r="T2385" s="2" t="str">
        <x:v>Synced</x:v>
      </x:c>
    </x:row>
    <x:row r="2386" ht="21" customHeight="1">
      <x:c r="A2386" s="2" t="str">
        <x:v>EV002060</x:v>
      </x:c>
      <x:c r="B2386" s="2" t="str">
        <x:v>T20261008-5-1</x:v>
      </x:c>
      <x:c r="C2386" s="2" t="str">
        <x:v>ST033</x:v>
      </x:c>
      <x:c r="D2386" s="2" t="str">
        <x:v>c9cc8ddf1b5bae8b49929340838e300a</x:v>
      </x:c>
      <x:c r="E2386" s="2" t="str">
        <x:v>CHECK_OUT</x:v>
      </x:c>
      <x:c r="F2386" s="8" t="n">
        <x:v>46303.73340277778</x:v>
      </x:c>
      <x:c r="G2386" s="8" t="n">
        <x:v>46303.73342592593</x:v>
      </x:c>
      <x:c r="H2386" s="2" t="str">
        <x:v>R1S3</x:v>
      </x:c>
      <x:c r="I2386" s="9" t="n">
        <x:v>25.275000000000002</x:v>
      </x:c>
      <x:c r="J2386" s="9" t="n">
        <x:v>51.497</x:v>
      </x:c>
      <x:c r="K2386" s="2" t="n">
        <x:v>8</x:v>
      </x:c>
      <x:c r="L2386" s="2" t="str">
        <x:v>Valid</x:v>
      </x:c>
      <x:c r="M2386" s="2" t="str">
        <x:v>QR</x:v>
      </x:c>
      <x:c r="N2386" s="2" t="n">
        <x:v>1</x:v>
      </x:c>
      <x:c r="O2386" s="2" t="str">
        <x:v>Accepted</x:v>
      </x:c>
      <x:c r="P2386" s="2" t="str">
        <x:v>S001</x:v>
      </x:c>
      <x:c r="Q2386" s="2" t="str">
        <x:v>DEV001</x:v>
      </x:c>
      <x:c r="R2386" s="2" t="n">
        <x:v>18</x:v>
      </x:c>
      <x:c r="S2386" s="2" t="str">
        <x:v>Online</x:v>
      </x:c>
      <x:c r="T2386" s="2" t="str">
        <x:v>Synced</x:v>
      </x:c>
    </x:row>
    <x:row r="2387" ht="21" customHeight="1">
      <x:c r="A2387" s="2" t="str">
        <x:v>EV002220</x:v>
      </x:c>
      <x:c r="B2387" s="2" t="str">
        <x:v>T20261008-5-2</x:v>
      </x:c>
      <x:c r="C2387" s="2" t="str">
        <x:v>ST073</x:v>
      </x:c>
      <x:c r="D2387" s="2" t="str">
        <x:v>b27180ce7590c0aac206d465f318b712</x:v>
      </x:c>
      <x:c r="E2387" s="2" t="str">
        <x:v>CHECK_OUT</x:v>
      </x:c>
      <x:c r="F2387" s="8" t="n">
        <x:v>46303.73340277778</x:v>
      </x:c>
      <x:c r="G2387" s="8" t="n">
        <x:v>46303.73342592593</x:v>
      </x:c>
      <x:c r="H2387" s="2" t="str">
        <x:v>R2S3</x:v>
      </x:c>
      <x:c r="I2387" s="9" t="n">
        <x:v>25.284000000000002</x:v>
      </x:c>
      <x:c r="J2387" s="9" t="n">
        <x:v>51.504999999999995</x:v>
      </x:c>
      <x:c r="K2387" s="2" t="n">
        <x:v>8</x:v>
      </x:c>
      <x:c r="L2387" s="2" t="str">
        <x:v>Valid</x:v>
      </x:c>
      <x:c r="M2387" s="2" t="str">
        <x:v>QR</x:v>
      </x:c>
      <x:c r="N2387" s="2" t="n">
        <x:v>1</x:v>
      </x:c>
      <x:c r="O2387" s="2" t="str">
        <x:v>Accepted</x:v>
      </x:c>
      <x:c r="P2387" s="2" t="str">
        <x:v>S002</x:v>
      </x:c>
      <x:c r="Q2387" s="2" t="str">
        <x:v>DEV002</x:v>
      </x:c>
      <x:c r="R2387" s="2" t="n">
        <x:v>18</x:v>
      </x:c>
      <x:c r="S2387" s="2" t="str">
        <x:v>Online</x:v>
      </x:c>
      <x:c r="T2387" s="2" t="str">
        <x:v>Synced</x:v>
      </x:c>
    </x:row>
    <x:row r="2388" ht="21" customHeight="1">
      <x:c r="A2388" s="2" t="str">
        <x:v>EV002380</x:v>
      </x:c>
      <x:c r="B2388" s="2" t="str">
        <x:v>T20261008-5-3</x:v>
      </x:c>
      <x:c r="C2388" s="2" t="str">
        <x:v>ST113</x:v>
      </x:c>
      <x:c r="D2388" s="2" t="str">
        <x:v>c3781e168737a6cc1190d4415801c440</x:v>
      </x:c>
      <x:c r="E2388" s="2" t="str">
        <x:v>CHECK_OUT</x:v>
      </x:c>
      <x:c r="F2388" s="8" t="n">
        <x:v>46303.73340277778</x:v>
      </x:c>
      <x:c r="G2388" s="8" t="n">
        <x:v>46303.73342592593</x:v>
      </x:c>
      <x:c r="H2388" s="2" t="str">
        <x:v>R3S3</x:v>
      </x:c>
      <x:c r="I2388" s="9" t="n">
        <x:v>25.293000000000003</x:v>
      </x:c>
      <x:c r="J2388" s="9" t="n">
        <x:v>51.513</x:v>
      </x:c>
      <x:c r="K2388" s="2" t="n">
        <x:v>8</x:v>
      </x:c>
      <x:c r="L2388" s="2" t="str">
        <x:v>Valid</x:v>
      </x:c>
      <x:c r="M2388" s="2" t="str">
        <x:v>QR</x:v>
      </x:c>
      <x:c r="N2388" s="2" t="n">
        <x:v>1</x:v>
      </x:c>
      <x:c r="O2388" s="2" t="str">
        <x:v>Accepted</x:v>
      </x:c>
      <x:c r="P2388" s="2" t="str">
        <x:v>S003</x:v>
      </x:c>
      <x:c r="Q2388" s="2" t="str">
        <x:v>DEV003</x:v>
      </x:c>
      <x:c r="R2388" s="2" t="n">
        <x:v>17</x:v>
      </x:c>
      <x:c r="S2388" s="2" t="str">
        <x:v>Online</x:v>
      </x:c>
      <x:c r="T2388" s="2" t="str">
        <x:v>Synced</x:v>
      </x:c>
    </x:row>
    <x:row r="2389" ht="21" customHeight="1">
      <x:c r="A2389" s="2" t="str">
        <x:v>EV002066</x:v>
      </x:c>
      <x:c r="B2389" s="2" t="str">
        <x:v>T20261008-5-1</x:v>
      </x:c>
      <x:c r="C2389" s="2" t="str">
        <x:v>ST036</x:v>
      </x:c>
      <x:c r="D2389" s="2" t="str">
        <x:v>7e42555e63455121ac9f1b3710bc905c</x:v>
      </x:c>
      <x:c r="E2389" s="2" t="str">
        <x:v>CHECK_OUT</x:v>
      </x:c>
      <x:c r="F2389" s="8" t="n">
        <x:v>46303.733506944445</x:v>
      </x:c>
      <x:c r="G2389" s="8" t="n">
        <x:v>46303.73353009259</x:v>
      </x:c>
      <x:c r="H2389" s="2" t="str">
        <x:v>R1S3</x:v>
      </x:c>
      <x:c r="I2389" s="9" t="n">
        <x:v>25.275000000000002</x:v>
      </x:c>
      <x:c r="J2389" s="9" t="n">
        <x:v>51.497</x:v>
      </x:c>
      <x:c r="K2389" s="2" t="n">
        <x:v>8</x:v>
      </x:c>
      <x:c r="L2389" s="2" t="str">
        <x:v>Valid</x:v>
      </x:c>
      <x:c r="M2389" s="2" t="str">
        <x:v>QR</x:v>
      </x:c>
      <x:c r="N2389" s="2" t="n">
        <x:v>1</x:v>
      </x:c>
      <x:c r="O2389" s="2" t="str">
        <x:v>Accepted</x:v>
      </x:c>
      <x:c r="P2389" s="2" t="str">
        <x:v>S001</x:v>
      </x:c>
      <x:c r="Q2389" s="2" t="str">
        <x:v>DEV001</x:v>
      </x:c>
      <x:c r="R2389" s="2" t="n">
        <x:v>19</x:v>
      </x:c>
      <x:c r="S2389" s="2" t="str">
        <x:v>Online</x:v>
      </x:c>
      <x:c r="T2389" s="2" t="str">
        <x:v>Synced</x:v>
      </x:c>
    </x:row>
    <x:row r="2390" ht="21" customHeight="1">
      <x:c r="A2390" s="2" t="str">
        <x:v>EV002226</x:v>
      </x:c>
      <x:c r="B2390" s="2" t="str">
        <x:v>T20261008-5-2</x:v>
      </x:c>
      <x:c r="C2390" s="2" t="str">
        <x:v>ST076</x:v>
      </x:c>
      <x:c r="D2390" s="2" t="str">
        <x:v>08979b9eef223b076885fe932d9f2bca</x:v>
      </x:c>
      <x:c r="E2390" s="2" t="str">
        <x:v>CHECK_OUT</x:v>
      </x:c>
      <x:c r="F2390" s="8" t="n">
        <x:v>46303.733506944445</x:v>
      </x:c>
      <x:c r="G2390" s="8" t="n">
        <x:v>46303.73353009259</x:v>
      </x:c>
      <x:c r="H2390" s="2" t="str">
        <x:v>R2S3</x:v>
      </x:c>
      <x:c r="I2390" s="9" t="n">
        <x:v>25.284000000000002</x:v>
      </x:c>
      <x:c r="J2390" s="9" t="n">
        <x:v>51.504999999999995</x:v>
      </x:c>
      <x:c r="K2390" s="2" t="n">
        <x:v>8</x:v>
      </x:c>
      <x:c r="L2390" s="2" t="str">
        <x:v>Valid</x:v>
      </x:c>
      <x:c r="M2390" s="2" t="str">
        <x:v>QR</x:v>
      </x:c>
      <x:c r="N2390" s="2" t="n">
        <x:v>1</x:v>
      </x:c>
      <x:c r="O2390" s="2" t="str">
        <x:v>Accepted</x:v>
      </x:c>
      <x:c r="P2390" s="2" t="str">
        <x:v>S002</x:v>
      </x:c>
      <x:c r="Q2390" s="2" t="str">
        <x:v>DEV002</x:v>
      </x:c>
      <x:c r="R2390" s="2" t="n">
        <x:v>19</x:v>
      </x:c>
      <x:c r="S2390" s="2" t="str">
        <x:v>Online</x:v>
      </x:c>
      <x:c r="T2390" s="2" t="str">
        <x:v>Synced</x:v>
      </x:c>
    </x:row>
    <x:row r="2391" ht="21" customHeight="1">
      <x:c r="A2391" s="2" t="str">
        <x:v>EV002386</x:v>
      </x:c>
      <x:c r="B2391" s="2" t="str">
        <x:v>T20261008-5-3</x:v>
      </x:c>
      <x:c r="C2391" s="2" t="str">
        <x:v>ST116</x:v>
      </x:c>
      <x:c r="D2391" s="2" t="str">
        <x:v>1c1fddc89afc564845795907cf1b7b0e</x:v>
      </x:c>
      <x:c r="E2391" s="2" t="str">
        <x:v>CHECK_OUT</x:v>
      </x:c>
      <x:c r="F2391" s="8" t="n">
        <x:v>46303.733506944445</x:v>
      </x:c>
      <x:c r="G2391" s="8" t="n">
        <x:v>46303.73353009259</x:v>
      </x:c>
      <x:c r="H2391" s="2" t="str">
        <x:v>R3S3</x:v>
      </x:c>
      <x:c r="I2391" s="9" t="n">
        <x:v>25.293000000000003</x:v>
      </x:c>
      <x:c r="J2391" s="9" t="n">
        <x:v>51.513</x:v>
      </x:c>
      <x:c r="K2391" s="2" t="n">
        <x:v>8</x:v>
      </x:c>
      <x:c r="L2391" s="2" t="str">
        <x:v>Valid</x:v>
      </x:c>
      <x:c r="M2391" s="2" t="str">
        <x:v>QR</x:v>
      </x:c>
      <x:c r="N2391" s="2" t="n">
        <x:v>1</x:v>
      </x:c>
      <x:c r="O2391" s="2" t="str">
        <x:v>Accepted</x:v>
      </x:c>
      <x:c r="P2391" s="2" t="str">
        <x:v>S003</x:v>
      </x:c>
      <x:c r="Q2391" s="2" t="str">
        <x:v>DEV003</x:v>
      </x:c>
      <x:c r="R2391" s="2" t="n">
        <x:v>18</x:v>
      </x:c>
      <x:c r="S2391" s="2" t="str">
        <x:v>Online</x:v>
      </x:c>
      <x:c r="T2391" s="2" t="str">
        <x:v>Synced</x:v>
      </x:c>
    </x:row>
    <x:row r="2392" ht="21" customHeight="1">
      <x:c r="A2392" s="2" t="str">
        <x:v>EV002072</x:v>
      </x:c>
      <x:c r="B2392" s="2" t="str">
        <x:v>T20261008-5-1</x:v>
      </x:c>
      <x:c r="C2392" s="2" t="str">
        <x:v>ST039</x:v>
      </x:c>
      <x:c r="D2392" s="2" t="str">
        <x:v>31ed548c9c06f555ac72ac2281bbb58a</x:v>
      </x:c>
      <x:c r="E2392" s="2" t="str">
        <x:v>CHECK_OUT</x:v>
      </x:c>
      <x:c r="F2392" s="8" t="n">
        <x:v>46303.733611111114</x:v>
      </x:c>
      <x:c r="G2392" s="8" t="n">
        <x:v>46303.73363425926</x:v>
      </x:c>
      <x:c r="H2392" s="2" t="str">
        <x:v>R1S3</x:v>
      </x:c>
      <x:c r="I2392" s="9" t="n">
        <x:v>25.275000000000002</x:v>
      </x:c>
      <x:c r="J2392" s="9" t="n">
        <x:v>51.497</x:v>
      </x:c>
      <x:c r="K2392" s="2" t="n">
        <x:v>8</x:v>
      </x:c>
      <x:c r="L2392" s="2" t="str">
        <x:v>Valid</x:v>
      </x:c>
      <x:c r="M2392" s="2" t="str">
        <x:v>QR</x:v>
      </x:c>
      <x:c r="N2392" s="2" t="n">
        <x:v>1</x:v>
      </x:c>
      <x:c r="O2392" s="2" t="str">
        <x:v>Accepted</x:v>
      </x:c>
      <x:c r="P2392" s="2" t="str">
        <x:v>S001</x:v>
      </x:c>
      <x:c r="Q2392" s="2" t="str">
        <x:v>DEV001</x:v>
      </x:c>
      <x:c r="R2392" s="2" t="n">
        <x:v>20</x:v>
      </x:c>
      <x:c r="S2392" s="2" t="str">
        <x:v>Online</x:v>
      </x:c>
      <x:c r="T2392" s="2" t="str">
        <x:v>Synced</x:v>
      </x:c>
    </x:row>
    <x:row r="2393" ht="21" customHeight="1">
      <x:c r="A2393" s="2" t="str">
        <x:v>EV002232</x:v>
      </x:c>
      <x:c r="B2393" s="2" t="str">
        <x:v>T20261008-5-2</x:v>
      </x:c>
      <x:c r="C2393" s="2" t="str">
        <x:v>ST079</x:v>
      </x:c>
      <x:c r="D2393" s="2" t="str">
        <x:v>3a794a47ff11773398f2344554eeea57</x:v>
      </x:c>
      <x:c r="E2393" s="2" t="str">
        <x:v>CHECK_OUT</x:v>
      </x:c>
      <x:c r="F2393" s="8" t="n">
        <x:v>46303.733611111114</x:v>
      </x:c>
      <x:c r="G2393" s="8" t="n">
        <x:v>46303.73363425926</x:v>
      </x:c>
      <x:c r="H2393" s="2" t="str">
        <x:v>R2S3</x:v>
      </x:c>
      <x:c r="I2393" s="9" t="n">
        <x:v>25.284000000000002</x:v>
      </x:c>
      <x:c r="J2393" s="9" t="n">
        <x:v>51.504999999999995</x:v>
      </x:c>
      <x:c r="K2393" s="2" t="n">
        <x:v>8</x:v>
      </x:c>
      <x:c r="L2393" s="2" t="str">
        <x:v>Valid</x:v>
      </x:c>
      <x:c r="M2393" s="2" t="str">
        <x:v>QR</x:v>
      </x:c>
      <x:c r="N2393" s="2" t="n">
        <x:v>1</x:v>
      </x:c>
      <x:c r="O2393" s="2" t="str">
        <x:v>Accepted</x:v>
      </x:c>
      <x:c r="P2393" s="2" t="str">
        <x:v>S002</x:v>
      </x:c>
      <x:c r="Q2393" s="2" t="str">
        <x:v>DEV002</x:v>
      </x:c>
      <x:c r="R2393" s="2" t="n">
        <x:v>20</x:v>
      </x:c>
      <x:c r="S2393" s="2" t="str">
        <x:v>Online</x:v>
      </x:c>
      <x:c r="T2393" s="2" t="str">
        <x:v>Synced</x:v>
      </x:c>
    </x:row>
    <x:row r="2394" ht="21" customHeight="1">
      <x:c r="A2394" s="2" t="str">
        <x:v>EV002392</x:v>
      </x:c>
      <x:c r="B2394" s="2" t="str">
        <x:v>T20261008-5-3</x:v>
      </x:c>
      <x:c r="C2394" s="2" t="str">
        <x:v>ST119</x:v>
      </x:c>
      <x:c r="D2394" s="2" t="str">
        <x:v>c01a05a48293e3b7c907c4b326c0d0a8</x:v>
      </x:c>
      <x:c r="E2394" s="2" t="str">
        <x:v>CHECK_OUT</x:v>
      </x:c>
      <x:c r="F2394" s="8" t="n">
        <x:v>46303.733611111114</x:v>
      </x:c>
      <x:c r="G2394" s="8" t="n">
        <x:v>46303.73363425926</x:v>
      </x:c>
      <x:c r="H2394" s="2" t="str">
        <x:v>R3S3</x:v>
      </x:c>
      <x:c r="I2394" s="9" t="n">
        <x:v>25.293000000000003</x:v>
      </x:c>
      <x:c r="J2394" s="9" t="n">
        <x:v>51.513</x:v>
      </x:c>
      <x:c r="K2394" s="2" t="n">
        <x:v>8</x:v>
      </x:c>
      <x:c r="L2394" s="2" t="str">
        <x:v>Valid</x:v>
      </x:c>
      <x:c r="M2394" s="2" t="str">
        <x:v>QR</x:v>
      </x:c>
      <x:c r="N2394" s="2" t="n">
        <x:v>1</x:v>
      </x:c>
      <x:c r="O2394" s="2" t="str">
        <x:v>Accepted</x:v>
      </x:c>
      <x:c r="P2394" s="2" t="str">
        <x:v>S003</x:v>
      </x:c>
      <x:c r="Q2394" s="2" t="str">
        <x:v>DEV003</x:v>
      </x:c>
      <x:c r="R2394" s="2" t="n">
        <x:v>19</x:v>
      </x:c>
      <x:c r="S2394" s="2" t="str">
        <x:v>Online</x:v>
      </x:c>
      <x:c r="T2394" s="2" t="str">
        <x:v>Synced</x:v>
      </x:c>
    </x:row>
  </x:sheetData>
  <x:pageMargins left="0.7" right="0.7" top="0.75" bottom="0.75" header="0.3" footer="0.3"/>
  <x:tableParts count="1">
    <x:tablePart xmlns:r="http://schemas.openxmlformats.org/officeDocument/2006/relationships" r:id="R1cb3035a38f940e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7" hidden="0" customWidth="1"/>
    <x:col min="5" max="5" width="20" hidden="0" customWidth="1"/>
    <x:col min="6" max="6" width="25" hidden="0" customWidth="1"/>
    <x:col min="7" max="7" width="25" hidden="0" customWidth="1"/>
    <x:col min="8" max="8" width="20" hidden="0" customWidth="1"/>
    <x:col min="9" max="9" width="27" hidden="0" customWidth="1"/>
    <x:col min="10" max="10" width="64" hidden="0" customWidth="1"/>
    <x:col min="11" max="11" width="25" hidden="0" customWidth="1"/>
  </x:cols>
  <x:sheetData>
    <x:row r="1" ht="34" customHeight="1">
      <x:c r="A1" s="6" t="str">
        <x:v>Exception_ID</x:v>
      </x:c>
      <x:c r="B1" s="6" t="str">
        <x:v>Trip_ID</x:v>
      </x:c>
      <x:c r="C1" s="6" t="str">
        <x:v>Student_ID</x:v>
      </x:c>
      <x:c r="D1" s="6" t="str">
        <x:v>Exception_Type</x:v>
      </x:c>
      <x:c r="E1" s="6" t="str">
        <x:v>Severity</x:v>
      </x:c>
      <x:c r="F1" s="6" t="str">
        <x:v>Triggered_Time</x:v>
      </x:c>
      <x:c r="G1" s="6" t="str">
        <x:v>Acknowledged_Time</x:v>
      </x:c>
      <x:c r="H1" s="6" t="str">
        <x:v>Owner_ID</x:v>
      </x:c>
      <x:c r="I1" s="6" t="str">
        <x:v>Case_Status</x:v>
      </x:c>
      <x:c r="J1" s="6" t="str">
        <x:v>Action_or_Resolution</x:v>
      </x:c>
      <x:c r="K1" s="6" t="str">
        <x:v>Resolved_Time</x:v>
      </x:c>
    </x:row>
    <x:row r="2" ht="21" customHeight="1">
      <x:c r="A2" s="2" t="str">
        <x:v>EX0001</x:v>
      </x:c>
      <x:c r="B2" s="2" t="str">
        <x:v>T20261004-1-1</x:v>
      </x:c>
      <x:c r="C2" s="2" t="str">
        <x:v>ST010</x:v>
      </x:c>
      <x:c r="D2" s="2" t="str">
        <x:v>Duplicate scan</x:v>
      </x:c>
      <x:c r="E2" s="2" t="str">
        <x:v>Low</x:v>
      </x:c>
      <x:c r="F2" s="8" t="n">
        <x:v>46299.24268518519</x:v>
      </x:c>
      <x:c r="G2" s="8" t="n">
        <x:v>46299.24269675926</x:v>
      </x:c>
      <x:c r="H2" s="2" t="str">
        <x:v>M001</x:v>
      </x:c>
      <x:c r="I2" s="2" t="str">
        <x:v>Resolved</x:v>
      </x:c>
      <x:c r="J2" s="2" t="str">
        <x:v>Existing accepted event retained; count unchanged</x:v>
      </x:c>
      <x:c r="K2" s="8" t="n">
        <x:v>46299.24269675926</x:v>
      </x:c>
    </x:row>
    <x:row r="3" ht="21" customHeight="1">
      <x:c r="A3" s="2" t="str">
        <x:v>EX0002</x:v>
      </x:c>
      <x:c r="B3" s="2" t="str">
        <x:v>T20261004-1-1</x:v>
      </x:c>
      <x:c r="C3" s="2" t="str">
        <x:v>ST041</x:v>
      </x:c>
      <x:c r="D3" s="2" t="str">
        <x:v>Wrong bus attempt</x:v>
      </x:c>
      <x:c r="E3" s="2" t="str">
        <x:v>Medium</x:v>
      </x:c>
      <x:c r="F3" s="8" t="n">
        <x:v>46299.23611111111</x:v>
      </x:c>
      <x:c r="G3" s="8" t="n">
        <x:v>46299.236805555556</x:v>
      </x:c>
      <x:c r="H3" s="2" t="str">
        <x:v>M001</x:v>
      </x:c>
      <x:c r="I3" s="2" t="str">
        <x:v>Resolved</x:v>
      </x:c>
      <x:c r="J3" s="2" t="str">
        <x:v>Student directed to assigned bus; later boarded BUS002</x:v>
      </x:c>
      <x:c r="K3" s="8" t="n">
        <x:v>46299.243055555555</x:v>
      </x:c>
    </x:row>
    <x:row r="4" ht="21" customHeight="1">
      <x:c r="A4" s="2" t="str">
        <x:v>EX0003</x:v>
      </x:c>
      <x:c r="B4" s="2" t="str">
        <x:v>T20261005-1-2</x:v>
      </x:c>
      <x:c r="C4" s="2" t="str">
        <x:v>ST042</x:v>
      </x:c>
      <x:c r="D4" s="2" t="str">
        <x:v>Missing boarding</x:v>
      </x:c>
      <x:c r="E4" s="2" t="str">
        <x:v>Medium</x:v>
      </x:c>
      <x:c r="F4" s="8" t="n">
        <x:v>46300.26041666667</x:v>
      </x:c>
      <x:c r="G4" s="8" t="n">
        <x:v>46300.26111111112</x:v>
      </x:c>
      <x:c r="H4" s="2" t="str">
        <x:v>M001</x:v>
      </x:c>
      <x:c r="I4" s="2" t="str">
        <x:v>Resolved</x:v>
      </x:c>
      <x:c r="J4" s="2" t="str">
        <x:v>Guardian confirmed no transport today</x:v>
      </x:c>
      <x:c r="K4" s="8" t="n">
        <x:v>46300.26527777778</x:v>
      </x:c>
    </x:row>
    <x:row r="5" ht="21" customHeight="1">
      <x:c r="A5" s="2" t="str">
        <x:v>EX0004</x:v>
      </x:c>
      <x:c r="B5" s="2" t="str">
        <x:v>T20261007-3-1</x:v>
      </x:c>
      <x:c r="C5" s="2" t="str">
        <x:v>ST015</x:v>
      </x:c>
      <x:c r="D5" s="2" t="str">
        <x:v>Recipient delayed</x:v>
      </x:c>
      <x:c r="E5" s="2" t="str">
        <x:v>Medium</x:v>
      </x:c>
      <x:c r="F5" s="8" t="n">
        <x:v>46302.59458333334</x:v>
      </x:c>
      <x:c r="G5" s="8" t="n">
        <x:v>46302.595277777786</x:v>
      </x:c>
      <x:c r="H5" s="2" t="str">
        <x:v>M001</x:v>
      </x:c>
      <x:c r="I5" s="2" t="str">
        <x:v>Resolved</x:v>
      </x:c>
      <x:c r="J5" s="2" t="str">
        <x:v>Child remained onboard until authorized guardian arrived</x:v>
      </x:c>
      <x:c r="K5" s="8" t="n">
        <x:v>46302.59805555556</x:v>
      </x:c>
    </x:row>
    <x:row r="6" ht="21" customHeight="1">
      <x:c r="A6" s="2" t="str">
        <x:v>EX0005</x:v>
      </x:c>
      <x:c r="B6" s="2" t="str">
        <x:v>T20261007-2-2</x:v>
      </x:c>
      <x:c r="C6" s="2" t="str">
        <x:v>ST070</x:v>
      </x:c>
      <x:c r="D6" s="2" t="str">
        <x:v>GPS unavailable</x:v>
      </x:c>
      <x:c r="E6" s="2" t="str">
        <x:v>Low</x:v>
      </x:c>
      <x:c r="F6" s="8" t="n">
        <x:v>46302.4815625</x:v>
      </x:c>
      <x:c r="G6" s="8" t="n">
        <x:v>46302.482256944444</x:v>
      </x:c>
      <x:c r="H6" s="2" t="str">
        <x:v>M001</x:v>
      </x:c>
      <x:c r="I6" s="2" t="str">
        <x:v>Resolved</x:v>
      </x:c>
      <x:c r="J6" s="2" t="str">
        <x:v>Reported stop retained; GPS quality warning</x:v>
      </x:c>
      <x:c r="K6" s="8" t="n">
        <x:v>46302.48364583333</x:v>
      </x:c>
    </x:row>
    <x:row r="7" ht="21" customHeight="1">
      <x:c r="A7" s="2" t="str">
        <x:v>EX0006</x:v>
      </x:c>
      <x:c r="B7" s="2" t="str">
        <x:v>T20261008-5-3</x:v>
      </x:c>
      <x:c r="C7" s="2" t="str">
        <x:v>ST120</x:v>
      </x:c>
      <x:c r="D7" s="2" t="str">
        <x:v>Missing check-out</x:v>
      </x:c>
      <x:c r="E7" s="2" t="str">
        <x:v>Critical</x:v>
      </x:c>
      <x:c r="F7" s="8" t="n">
        <x:v>46303.75</x:v>
      </x:c>
      <x:c r="G7" s="8" t="n">
        <x:v>46303.75069444445</x:v>
      </x:c>
      <x:c r="H7" s="2" t="str">
        <x:v>M001</x:v>
      </x:c>
      <x:c r="I7" s="2" t="str">
        <x:v>Open</x:v>
      </x:c>
      <x:c r="J7" s="2" t="str">
        <x:v>Contact crew and verify physical whereabouts; closure blocked</x:v>
      </x:c>
      <x:c r="K7" s="8"/>
    </x:row>
  </x:sheetData>
  <x:conditionalFormatting sqref="I2:I7">
    <x:cfRule type="containsText" dxfId="2" priority="1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a81e49e055e141e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0" hidden="0" customWidth="1"/>
    <x:col min="7" max="7" width="20" hidden="0" customWidth="1"/>
    <x:col min="8" max="8" width="27" hidden="0" customWidth="1"/>
    <x:col min="9" max="9" width="25" hidden="0" customWidth="1"/>
    <x:col min="10" max="10" width="25" hidden="0" customWidth="1"/>
    <x:col min="11" max="11" width="25" hidden="0" customWidth="1"/>
    <x:col min="12" max="12" width="27" hidden="0" customWidth="1"/>
    <x:col min="13" max="13" width="20" hidden="0" customWidth="1"/>
    <x:col min="14" max="14" width="20" hidden="0" customWidth="1"/>
    <x:col min="15" max="15" width="64" hidden="0" customWidth="1"/>
  </x:cols>
  <x:sheetData>
    <x:row r="1" ht="34" customHeight="1">
      <x:c r="A1" s="6" t="str">
        <x:v>Notification_ID</x:v>
      </x:c>
      <x:c r="B1" s="6" t="str">
        <x:v>Event_ID</x:v>
      </x:c>
      <x:c r="C1" s="6" t="str">
        <x:v>Trip_ID</x:v>
      </x:c>
      <x:c r="D1" s="6" t="str">
        <x:v>Student_ID</x:v>
      </x:c>
      <x:c r="E1" s="6" t="str">
        <x:v>Guardian_ID</x:v>
      </x:c>
      <x:c r="F1" s="6" t="str">
        <x:v>Guardian_Email</x:v>
      </x:c>
      <x:c r="G1" s="6" t="str">
        <x:v>Channel</x:v>
      </x:c>
      <x:c r="H1" s="6" t="str">
        <x:v>Notice_Type</x:v>
      </x:c>
      <x:c r="I1" s="6" t="str">
        <x:v>Event_Capture_Time</x:v>
      </x:c>
      <x:c r="J1" s="6" t="str">
        <x:v>Queued_Time</x:v>
      </x:c>
      <x:c r="K1" s="6" t="str">
        <x:v>Last_Attempt_Time</x:v>
      </x:c>
      <x:c r="L1" s="6" t="str">
        <x:v>Delivery_Status</x:v>
      </x:c>
      <x:c r="M1" s="6" t="str">
        <x:v>Attempt_Count</x:v>
      </x:c>
      <x:c r="N1" s="6" t="str">
        <x:v>Delayed_Update_Label</x:v>
      </x:c>
      <x:c r="O1" s="6" t="str">
        <x:v>Error_Detail</x:v>
      </x:c>
    </x:row>
    <x:row r="2" ht="21" customHeight="1">
      <x:c r="A2" s="2" t="str">
        <x:v>NT000001</x:v>
      </x:c>
      <x:c r="B2" s="2" t="str">
        <x:v>EV000001</x:v>
      </x:c>
      <x:c r="C2" s="2" t="str">
        <x:v>T20261004-1-1</x:v>
      </x:c>
      <x:c r="D2" s="2" t="str">
        <x:v>ST002</x:v>
      </x:c>
      <x:c r="E2" s="2" t="str">
        <x:v>G002</x:v>
      </x:c>
      <x:c r="F2" s="2" t="str">
        <x:v>guardian002@example.invalid</x:v>
      </x:c>
      <x:c r="G2" s="2" t="str">
        <x:v>Email</x:v>
      </x:c>
      <x:c r="H2" s="2" t="str">
        <x:v>Boarded</x:v>
      </x:c>
      <x:c r="I2" s="8" t="n">
        <x:v>46299.24725694444</x:v>
      </x:c>
      <x:c r="J2" s="8" t="n">
        <x:v>46299.24728009259</x:v>
      </x:c>
      <x:c r="K2" s="8" t="n">
        <x:v>46299.24731481481</x:v>
      </x:c>
      <x:c r="L2" s="2" t="str">
        <x:v>Sent</x:v>
      </x:c>
      <x:c r="M2" s="2" t="n">
        <x:v>1</x:v>
      </x:c>
      <x:c r="N2" s="2"/>
      <x:c r="O2" s="2"/>
    </x:row>
    <x:row r="3" ht="21" customHeight="1">
      <x:c r="A3" s="2" t="str">
        <x:v>NT000002</x:v>
      </x:c>
      <x:c r="B3" s="2" t="str">
        <x:v>EV000002</x:v>
      </x:c>
      <x:c r="C3" s="2" t="str">
        <x:v>T20261004-1-1</x:v>
      </x:c>
      <x:c r="D3" s="2" t="str">
        <x:v>ST002</x:v>
      </x:c>
      <x:c r="E3" s="2" t="str">
        <x:v>G002</x:v>
      </x:c>
      <x:c r="F3" s="2" t="str">
        <x:v>guardian002@example.invalid</x:v>
      </x:c>
      <x:c r="G3" s="2" t="str">
        <x:v>Email</x:v>
      </x:c>
      <x:c r="H3" s="2" t="str">
        <x:v>School receipt</x:v>
      </x:c>
      <x:c r="I3" s="8" t="n">
        <x:v>46299.27642361111</x:v>
      </x:c>
      <x:c r="J3" s="8" t="n">
        <x:v>46299.27644675926</x:v>
      </x:c>
      <x:c r="K3" s="8" t="n">
        <x:v>46299.27648148148</x:v>
      </x:c>
      <x:c r="L3" s="2" t="str">
        <x:v>Sent</x:v>
      </x:c>
      <x:c r="M3" s="2" t="n">
        <x:v>1</x:v>
      </x:c>
      <x:c r="N3" s="2"/>
      <x:c r="O3" s="2"/>
    </x:row>
    <x:row r="4" ht="21" customHeight="1">
      <x:c r="A4" s="2" t="str">
        <x:v>NT000003</x:v>
      </x:c>
      <x:c r="B4" s="2" t="str">
        <x:v>EV000003</x:v>
      </x:c>
      <x:c r="C4" s="2" t="str">
        <x:v>T20261004-1-1</x:v>
      </x:c>
      <x:c r="D4" s="2" t="str">
        <x:v>ST003</x:v>
      </x:c>
      <x:c r="E4" s="2" t="str">
        <x:v>G003</x:v>
      </x:c>
      <x:c r="F4" s="2" t="str">
        <x:v>guardian003@example.invalid</x:v>
      </x:c>
      <x:c r="G4" s="2" t="str">
        <x:v>Email</x:v>
      </x:c>
      <x:c r="H4" s="2" t="str">
        <x:v>Boarded</x:v>
      </x:c>
      <x:c r="I4" s="8" t="n">
        <x:v>46299.25215277778</x:v>
      </x:c>
      <x:c r="J4" s="8" t="n">
        <x:v>46299.252175925925</x:v>
      </x:c>
      <x:c r="K4" s="8" t="n">
        <x:v>46299.25221064815</x:v>
      </x:c>
      <x:c r="L4" s="2" t="str">
        <x:v>Sent</x:v>
      </x:c>
      <x:c r="M4" s="2" t="n">
        <x:v>1</x:v>
      </x:c>
      <x:c r="N4" s="2"/>
      <x:c r="O4" s="2"/>
    </x:row>
    <x:row r="5" ht="21" customHeight="1">
      <x:c r="A5" s="2" t="str">
        <x:v>NT000004</x:v>
      </x:c>
      <x:c r="B5" s="2" t="str">
        <x:v>EV000004</x:v>
      </x:c>
      <x:c r="C5" s="2" t="str">
        <x:v>T20261004-1-1</x:v>
      </x:c>
      <x:c r="D5" s="2" t="str">
        <x:v>ST003</x:v>
      </x:c>
      <x:c r="E5" s="2" t="str">
        <x:v>G003</x:v>
      </x:c>
      <x:c r="F5" s="2" t="str">
        <x:v>guardian003@example.invalid</x:v>
      </x:c>
      <x:c r="G5" s="2" t="str">
        <x:v>Email</x:v>
      </x:c>
      <x:c r="H5" s="2" t="str">
        <x:v>School receipt</x:v>
      </x:c>
      <x:c r="I5" s="8" t="n">
        <x:v>46299.276458333334</x:v>
      </x:c>
      <x:c r="J5" s="8" t="n">
        <x:v>46299.27648148148</x:v>
      </x:c>
      <x:c r="K5" s="8" t="n">
        <x:v>46299.2765162037</x:v>
      </x:c>
      <x:c r="L5" s="2" t="str">
        <x:v>Sent</x:v>
      </x:c>
      <x:c r="M5" s="2" t="n">
        <x:v>1</x:v>
      </x:c>
      <x:c r="N5" s="2"/>
      <x:c r="O5" s="2"/>
    </x:row>
    <x:row r="6" ht="21" customHeight="1">
      <x:c r="A6" s="2" t="str">
        <x:v>NT000005</x:v>
      </x:c>
      <x:c r="B6" s="2" t="str">
        <x:v>EV000005</x:v>
      </x:c>
      <x:c r="C6" s="2" t="str">
        <x:v>T20261004-1-1</x:v>
      </x:c>
      <x:c r="D6" s="2" t="str">
        <x:v>ST004</x:v>
      </x:c>
      <x:c r="E6" s="2" t="str">
        <x:v>G004</x:v>
      </x:c>
      <x:c r="F6" s="2" t="str">
        <x:v>guardian004@example.invalid</x:v>
      </x:c>
      <x:c r="G6" s="2" t="str">
        <x:v>Email</x:v>
      </x:c>
      <x:c r="H6" s="2" t="str">
        <x:v>Boarded</x:v>
      </x:c>
      <x:c r="I6" s="8" t="n">
        <x:v>46299.242465277785</x:v>
      </x:c>
      <x:c r="J6" s="8" t="n">
        <x:v>46299.24248842593</x:v>
      </x:c>
      <x:c r="K6" s="8" t="n">
        <x:v>46299.242523148154</x:v>
      </x:c>
      <x:c r="L6" s="2" t="str">
        <x:v>Sent</x:v>
      </x:c>
      <x:c r="M6" s="2" t="n">
        <x:v>1</x:v>
      </x:c>
      <x:c r="N6" s="2"/>
      <x:c r="O6" s="2"/>
    </x:row>
    <x:row r="7" ht="21" customHeight="1">
      <x:c r="A7" s="2" t="str">
        <x:v>NT000006</x:v>
      </x:c>
      <x:c r="B7" s="2" t="str">
        <x:v>EV000006</x:v>
      </x:c>
      <x:c r="C7" s="2" t="str">
        <x:v>T20261004-1-1</x:v>
      </x:c>
      <x:c r="D7" s="2" t="str">
        <x:v>ST004</x:v>
      </x:c>
      <x:c r="E7" s="2" t="str">
        <x:v>G004</x:v>
      </x:c>
      <x:c r="F7" s="2" t="str">
        <x:v>guardian004@example.invalid</x:v>
      </x:c>
      <x:c r="G7" s="2" t="str">
        <x:v>Email</x:v>
      </x:c>
      <x:c r="H7" s="2" t="str">
        <x:v>School receipt</x:v>
      </x:c>
      <x:c r="I7" s="8" t="n">
        <x:v>46299.27649305556</x:v>
      </x:c>
      <x:c r="J7" s="8" t="n">
        <x:v>46299.2765162037</x:v>
      </x:c>
      <x:c r="K7" s="8" t="n">
        <x:v>46299.276550925926</x:v>
      </x:c>
      <x:c r="L7" s="2" t="str">
        <x:v>Sent</x:v>
      </x:c>
      <x:c r="M7" s="2" t="n">
        <x:v>1</x:v>
      </x:c>
      <x:c r="N7" s="2"/>
      <x:c r="O7" s="2"/>
    </x:row>
    <x:row r="8" ht="21" customHeight="1">
      <x:c r="A8" s="2" t="str">
        <x:v>NT000007</x:v>
      </x:c>
      <x:c r="B8" s="2" t="str">
        <x:v>EV000007</x:v>
      </x:c>
      <x:c r="C8" s="2" t="str">
        <x:v>T20261004-1-1</x:v>
      </x:c>
      <x:c r="D8" s="2" t="str">
        <x:v>ST005</x:v>
      </x:c>
      <x:c r="E8" s="2" t="str">
        <x:v>G005</x:v>
      </x:c>
      <x:c r="F8" s="2" t="str">
        <x:v>guardian005@example.invalid</x:v>
      </x:c>
      <x:c r="G8" s="2" t="str">
        <x:v>Email</x:v>
      </x:c>
      <x:c r="H8" s="2" t="str">
        <x:v>Boarded</x:v>
      </x:c>
      <x:c r="I8" s="8" t="n">
        <x:v>46299.24736111111</x:v>
      </x:c>
      <x:c r="J8" s="8" t="n">
        <x:v>46299.24738425926</x:v>
      </x:c>
      <x:c r="K8" s="8" t="n">
        <x:v>46299.24741898148</x:v>
      </x:c>
      <x:c r="L8" s="2" t="str">
        <x:v>Sent</x:v>
      </x:c>
      <x:c r="M8" s="2" t="n">
        <x:v>1</x:v>
      </x:c>
      <x:c r="N8" s="2"/>
      <x:c r="O8" s="2"/>
    </x:row>
    <x:row r="9" ht="21" customHeight="1">
      <x:c r="A9" s="2" t="str">
        <x:v>NT000008</x:v>
      </x:c>
      <x:c r="B9" s="2" t="str">
        <x:v>EV000008</x:v>
      </x:c>
      <x:c r="C9" s="2" t="str">
        <x:v>T20261004-1-1</x:v>
      </x:c>
      <x:c r="D9" s="2" t="str">
        <x:v>ST005</x:v>
      </x:c>
      <x:c r="E9" s="2" t="str">
        <x:v>G005</x:v>
      </x:c>
      <x:c r="F9" s="2" t="str">
        <x:v>guardian005@example.invalid</x:v>
      </x:c>
      <x:c r="G9" s="2" t="str">
        <x:v>Email</x:v>
      </x:c>
      <x:c r="H9" s="2" t="str">
        <x:v>School receipt</x:v>
      </x:c>
      <x:c r="I9" s="8" t="n">
        <x:v>46299.27652777778</x:v>
      </x:c>
      <x:c r="J9" s="8" t="n">
        <x:v>46299.276550925926</x:v>
      </x:c>
      <x:c r="K9" s="8" t="n">
        <x:v>46299.27658564815</x:v>
      </x:c>
      <x:c r="L9" s="2" t="str">
        <x:v>Sent</x:v>
      </x:c>
      <x:c r="M9" s="2" t="n">
        <x:v>1</x:v>
      </x:c>
      <x:c r="N9" s="2"/>
      <x:c r="O9" s="2"/>
    </x:row>
    <x:row r="10" ht="21" customHeight="1">
      <x:c r="A10" s="2" t="str">
        <x:v>NT000009</x:v>
      </x:c>
      <x:c r="B10" s="2" t="str">
        <x:v>EV000009</x:v>
      </x:c>
      <x:c r="C10" s="2" t="str">
        <x:v>T20261004-1-1</x:v>
      </x:c>
      <x:c r="D10" s="2" t="str">
        <x:v>ST006</x:v>
      </x:c>
      <x:c r="E10" s="2" t="str">
        <x:v>G006</x:v>
      </x:c>
      <x:c r="F10" s="2" t="str">
        <x:v>guardian006@example.invalid</x:v>
      </x:c>
      <x:c r="G10" s="2" t="str">
        <x:v>Email</x:v>
      </x:c>
      <x:c r="H10" s="2" t="str">
        <x:v>Boarded</x:v>
      </x:c>
      <x:c r="I10" s="8" t="n">
        <x:v>46299.25225694444</x:v>
      </x:c>
      <x:c r="J10" s="8" t="n">
        <x:v>46299.25228009259</x:v>
      </x:c>
      <x:c r="K10" s="8" t="n">
        <x:v>46299.25231481481</x:v>
      </x:c>
      <x:c r="L10" s="2" t="str">
        <x:v>Sent</x:v>
      </x:c>
      <x:c r="M10" s="2" t="n">
        <x:v>1</x:v>
      </x:c>
      <x:c r="N10" s="2"/>
      <x:c r="O10" s="2"/>
    </x:row>
    <x:row r="11" ht="21" customHeight="1">
      <x:c r="A11" s="2" t="str">
        <x:v>NT000010</x:v>
      </x:c>
      <x:c r="B11" s="2" t="str">
        <x:v>EV000010</x:v>
      </x:c>
      <x:c r="C11" s="2" t="str">
        <x:v>T20261004-1-1</x:v>
      </x:c>
      <x:c r="D11" s="2" t="str">
        <x:v>ST006</x:v>
      </x:c>
      <x:c r="E11" s="2" t="str">
        <x:v>G006</x:v>
      </x:c>
      <x:c r="F11" s="2" t="str">
        <x:v>guardian006@example.invalid</x:v>
      </x:c>
      <x:c r="G11" s="2" t="str">
        <x:v>Email</x:v>
      </x:c>
      <x:c r="H11" s="2" t="str">
        <x:v>School receipt</x:v>
      </x:c>
      <x:c r="I11" s="8" t="n">
        <x:v>46299.276562499996</x:v>
      </x:c>
      <x:c r="J11" s="8" t="n">
        <x:v>46299.27658564814</x:v>
      </x:c>
      <x:c r="K11" s="8" t="n">
        <x:v>46299.276620370365</x:v>
      </x:c>
      <x:c r="L11" s="2" t="str">
        <x:v>Sent</x:v>
      </x:c>
      <x:c r="M11" s="2" t="n">
        <x:v>1</x:v>
      </x:c>
      <x:c r="N11" s="2"/>
      <x:c r="O11" s="2"/>
    </x:row>
    <x:row r="12" ht="21" customHeight="1">
      <x:c r="A12" s="2" t="str">
        <x:v>NT000011</x:v>
      </x:c>
      <x:c r="B12" s="2" t="str">
        <x:v>EV000011</x:v>
      </x:c>
      <x:c r="C12" s="2" t="str">
        <x:v>T20261004-1-1</x:v>
      </x:c>
      <x:c r="D12" s="2" t="str">
        <x:v>ST007</x:v>
      </x:c>
      <x:c r="E12" s="2" t="str">
        <x:v>G007</x:v>
      </x:c>
      <x:c r="F12" s="2" t="str">
        <x:v>guardian007@example.invalid</x:v>
      </x:c>
      <x:c r="G12" s="2" t="str">
        <x:v>Email</x:v>
      </x:c>
      <x:c r="H12" s="2" t="str">
        <x:v>Boarded</x:v>
      </x:c>
      <x:c r="I12" s="8" t="n">
        <x:v>46299.24256944445</x:v>
      </x:c>
      <x:c r="J12" s="8" t="n">
        <x:v>46299.24259259259</x:v>
      </x:c>
      <x:c r="K12" s="8" t="n">
        <x:v>46299.242627314816</x:v>
      </x:c>
      <x:c r="L12" s="2" t="str">
        <x:v>Sent</x:v>
      </x:c>
      <x:c r="M12" s="2" t="n">
        <x:v>1</x:v>
      </x:c>
      <x:c r="N12" s="2"/>
      <x:c r="O12" s="2"/>
    </x:row>
    <x:row r="13" ht="21" customHeight="1">
      <x:c r="A13" s="2" t="str">
        <x:v>NT000012</x:v>
      </x:c>
      <x:c r="B13" s="2" t="str">
        <x:v>EV000012</x:v>
      </x:c>
      <x:c r="C13" s="2" t="str">
        <x:v>T20261004-1-1</x:v>
      </x:c>
      <x:c r="D13" s="2" t="str">
        <x:v>ST007</x:v>
      </x:c>
      <x:c r="E13" s="2" t="str">
        <x:v>G007</x:v>
      </x:c>
      <x:c r="F13" s="2" t="str">
        <x:v>guardian007@example.invalid</x:v>
      </x:c>
      <x:c r="G13" s="2" t="str">
        <x:v>Email</x:v>
      </x:c>
      <x:c r="H13" s="2" t="str">
        <x:v>School receipt</x:v>
      </x:c>
      <x:c r="I13" s="8" t="n">
        <x:v>46299.27659722222</x:v>
      </x:c>
      <x:c r="J13" s="8" t="n">
        <x:v>46299.276620370365</x:v>
      </x:c>
      <x:c r="K13" s="8" t="n">
        <x:v>46299.27665509259</x:v>
      </x:c>
      <x:c r="L13" s="2" t="str">
        <x:v>Sent</x:v>
      </x:c>
      <x:c r="M13" s="2" t="n">
        <x:v>1</x:v>
      </x:c>
      <x:c r="N13" s="2"/>
      <x:c r="O13" s="2"/>
    </x:row>
    <x:row r="14" ht="21" customHeight="1">
      <x:c r="A14" s="2" t="str">
        <x:v>NT000013</x:v>
      </x:c>
      <x:c r="B14" s="2" t="str">
        <x:v>EV000013</x:v>
      </x:c>
      <x:c r="C14" s="2" t="str">
        <x:v>T20261004-1-1</x:v>
      </x:c>
      <x:c r="D14" s="2" t="str">
        <x:v>ST008</x:v>
      </x:c>
      <x:c r="E14" s="2" t="str">
        <x:v>G008</x:v>
      </x:c>
      <x:c r="F14" s="2" t="str">
        <x:v>guardian008@example.invalid</x:v>
      </x:c>
      <x:c r="G14" s="2" t="str">
        <x:v>Email</x:v>
      </x:c>
      <x:c r="H14" s="2" t="str">
        <x:v>Boarded</x:v>
      </x:c>
      <x:c r="I14" s="8" t="n">
        <x:v>46299.247465277775</x:v>
      </x:c>
      <x:c r="J14" s="8" t="n">
        <x:v>46299.24748842592</x:v>
      </x:c>
      <x:c r="K14" s="8" t="n">
        <x:v>46299.247523148144</x:v>
      </x:c>
      <x:c r="L14" s="2" t="str">
        <x:v>Sent</x:v>
      </x:c>
      <x:c r="M14" s="2" t="n">
        <x:v>1</x:v>
      </x:c>
      <x:c r="N14" s="2"/>
      <x:c r="O14" s="2"/>
    </x:row>
    <x:row r="15" ht="21" customHeight="1">
      <x:c r="A15" s="2" t="str">
        <x:v>NT000014</x:v>
      </x:c>
      <x:c r="B15" s="2" t="str">
        <x:v>EV000014</x:v>
      </x:c>
      <x:c r="C15" s="2" t="str">
        <x:v>T20261004-1-1</x:v>
      </x:c>
      <x:c r="D15" s="2" t="str">
        <x:v>ST008</x:v>
      </x:c>
      <x:c r="E15" s="2" t="str">
        <x:v>G008</x:v>
      </x:c>
      <x:c r="F15" s="2" t="str">
        <x:v>guardian008@example.invalid</x:v>
      </x:c>
      <x:c r="G15" s="2" t="str">
        <x:v>Email</x:v>
      </x:c>
      <x:c r="H15" s="2" t="str">
        <x:v>School receipt</x:v>
      </x:c>
      <x:c r="I15" s="8" t="n">
        <x:v>46299.27663194444</x:v>
      </x:c>
      <x:c r="J15" s="8" t="n">
        <x:v>46299.27665509259</x:v>
      </x:c>
      <x:c r="K15" s="8" t="n">
        <x:v>46299.27668981481</x:v>
      </x:c>
      <x:c r="L15" s="2" t="str">
        <x:v>Failed</x:v>
      </x:c>
      <x:c r="M15" s="2" t="n">
        <x:v>3</x:v>
      </x:c>
      <x:c r="N15" s="2"/>
      <x:c r="O15" s="2" t="str">
        <x:v>Demo email delivery failure</x:v>
      </x:c>
    </x:row>
    <x:row r="16" ht="21" customHeight="1">
      <x:c r="A16" s="2" t="str">
        <x:v>NT000015</x:v>
      </x:c>
      <x:c r="B16" s="2" t="str">
        <x:v>EV000015</x:v>
      </x:c>
      <x:c r="C16" s="2" t="str">
        <x:v>T20261004-1-1</x:v>
      </x:c>
      <x:c r="D16" s="2" t="str">
        <x:v>ST009</x:v>
      </x:c>
      <x:c r="E16" s="2" t="str">
        <x:v>G009</x:v>
      </x:c>
      <x:c r="F16" s="2" t="str">
        <x:v>guardian009@example.invalid</x:v>
      </x:c>
      <x:c r="G16" s="2" t="str">
        <x:v>Email</x:v>
      </x:c>
      <x:c r="H16" s="2" t="str">
        <x:v>Boarded</x:v>
      </x:c>
      <x:c r="I16" s="8" t="n">
        <x:v>46299.25236111111</x:v>
      </x:c>
      <x:c r="J16" s="8" t="n">
        <x:v>46299.252384259256</x:v>
      </x:c>
      <x:c r="K16" s="8" t="n">
        <x:v>46299.25241898148</x:v>
      </x:c>
      <x:c r="L16" s="2" t="str">
        <x:v>Sent</x:v>
      </x:c>
      <x:c r="M16" s="2" t="n">
        <x:v>1</x:v>
      </x:c>
      <x:c r="N16" s="2"/>
      <x:c r="O16" s="2"/>
    </x:row>
    <x:row r="17" ht="21" customHeight="1">
      <x:c r="A17" s="2" t="str">
        <x:v>NT000016</x:v>
      </x:c>
      <x:c r="B17" s="2" t="str">
        <x:v>EV000016</x:v>
      </x:c>
      <x:c r="C17" s="2" t="str">
        <x:v>T20261004-1-1</x:v>
      </x:c>
      <x:c r="D17" s="2" t="str">
        <x:v>ST009</x:v>
      </x:c>
      <x:c r="E17" s="2" t="str">
        <x:v>G009</x:v>
      </x:c>
      <x:c r="F17" s="2" t="str">
        <x:v>guardian009@example.invalid</x:v>
      </x:c>
      <x:c r="G17" s="2" t="str">
        <x:v>Email</x:v>
      </x:c>
      <x:c r="H17" s="2" t="str">
        <x:v>School receipt</x:v>
      </x:c>
      <x:c r="I17" s="8" t="n">
        <x:v>46299.276666666665</x:v>
      </x:c>
      <x:c r="J17" s="8" t="n">
        <x:v>46299.27668981481</x:v>
      </x:c>
      <x:c r="K17" s="8" t="n">
        <x:v>46299.276724537034</x:v>
      </x:c>
      <x:c r="L17" s="2" t="str">
        <x:v>Sent</x:v>
      </x:c>
      <x:c r="M17" s="2" t="n">
        <x:v>1</x:v>
      </x:c>
      <x:c r="N17" s="2"/>
      <x:c r="O17" s="2"/>
    </x:row>
    <x:row r="18" ht="21" customHeight="1">
      <x:c r="A18" s="2" t="str">
        <x:v>NT000017</x:v>
      </x:c>
      <x:c r="B18" s="2" t="str">
        <x:v>EV000017</x:v>
      </x:c>
      <x:c r="C18" s="2" t="str">
        <x:v>T20261004-1-1</x:v>
      </x:c>
      <x:c r="D18" s="2" t="str">
        <x:v>ST010</x:v>
      </x:c>
      <x:c r="E18" s="2" t="str">
        <x:v>G010</x:v>
      </x:c>
      <x:c r="F18" s="2" t="str">
        <x:v>guardian010@example.invalid</x:v>
      </x:c>
      <x:c r="G18" s="2" t="str">
        <x:v>Email</x:v>
      </x:c>
      <x:c r="H18" s="2" t="str">
        <x:v>Boarded</x:v>
      </x:c>
      <x:c r="I18" s="8" t="n">
        <x:v>46299.242673611116</x:v>
      </x:c>
      <x:c r="J18" s="8" t="n">
        <x:v>46299.24269675926</x:v>
      </x:c>
      <x:c r="K18" s="8" t="n">
        <x:v>46299.242731481485</x:v>
      </x:c>
      <x:c r="L18" s="2" t="str">
        <x:v>Sent</x:v>
      </x:c>
      <x:c r="M18" s="2" t="n">
        <x:v>1</x:v>
      </x:c>
      <x:c r="N18" s="2"/>
      <x:c r="O18" s="2"/>
    </x:row>
    <x:row r="19" ht="21" customHeight="1">
      <x:c r="A19" s="2" t="str">
        <x:v>NT000018</x:v>
      </x:c>
      <x:c r="B19" s="2" t="str">
        <x:v>EV000018</x:v>
      </x:c>
      <x:c r="C19" s="2" t="str">
        <x:v>T20261004-1-1</x:v>
      </x:c>
      <x:c r="D19" s="2" t="str">
        <x:v>ST010</x:v>
      </x:c>
      <x:c r="E19" s="2" t="str">
        <x:v>G010</x:v>
      </x:c>
      <x:c r="F19" s="2" t="str">
        <x:v>guardian010@example.invalid</x:v>
      </x:c>
      <x:c r="G19" s="2" t="str">
        <x:v>Email</x:v>
      </x:c>
      <x:c r="H19" s="2" t="str">
        <x:v>School receipt</x:v>
      </x:c>
      <x:c r="I19" s="8" t="n">
        <x:v>46299.27670138889</x:v>
      </x:c>
      <x:c r="J19" s="8" t="n">
        <x:v>46299.276724537034</x:v>
      </x:c>
      <x:c r="K19" s="8" t="n">
        <x:v>46299.27675925926</x:v>
      </x:c>
      <x:c r="L19" s="2" t="str">
        <x:v>Sent</x:v>
      </x:c>
      <x:c r="M19" s="2" t="n">
        <x:v>1</x:v>
      </x:c>
      <x:c r="N19" s="2"/>
      <x:c r="O19" s="2"/>
    </x:row>
    <x:row r="20" ht="21" customHeight="1">
      <x:c r="A20" s="2" t="str">
        <x:v>NT000019</x:v>
      </x:c>
      <x:c r="B20" s="2" t="str">
        <x:v>EV000020</x:v>
      </x:c>
      <x:c r="C20" s="2" t="str">
        <x:v>T20261004-1-1</x:v>
      </x:c>
      <x:c r="D20" s="2" t="str">
        <x:v>ST011</x:v>
      </x:c>
      <x:c r="E20" s="2" t="str">
        <x:v>G011</x:v>
      </x:c>
      <x:c r="F20" s="2" t="str">
        <x:v>guardian011@example.invalid</x:v>
      </x:c>
      <x:c r="G20" s="2" t="str">
        <x:v>Email</x:v>
      </x:c>
      <x:c r="H20" s="2" t="str">
        <x:v>Boarded</x:v>
      </x:c>
      <x:c r="I20" s="8" t="n">
        <x:v>46299.24722222222</x:v>
      </x:c>
      <x:c r="J20" s="8" t="n">
        <x:v>46299.24724537037</x:v>
      </x:c>
      <x:c r="K20" s="8" t="n">
        <x:v>46299.24728009259</x:v>
      </x:c>
      <x:c r="L20" s="2" t="str">
        <x:v>Sent</x:v>
      </x:c>
      <x:c r="M20" s="2" t="n">
        <x:v>1</x:v>
      </x:c>
      <x:c r="N20" s="2"/>
      <x:c r="O20" s="2"/>
    </x:row>
    <x:row r="21" ht="21" customHeight="1">
      <x:c r="A21" s="2" t="str">
        <x:v>NT000020</x:v>
      </x:c>
      <x:c r="B21" s="2" t="str">
        <x:v>EV000021</x:v>
      </x:c>
      <x:c r="C21" s="2" t="str">
        <x:v>T20261004-1-1</x:v>
      </x:c>
      <x:c r="D21" s="2" t="str">
        <x:v>ST011</x:v>
      </x:c>
      <x:c r="E21" s="2" t="str">
        <x:v>G011</x:v>
      </x:c>
      <x:c r="F21" s="2" t="str">
        <x:v>guardian011@example.invalid</x:v>
      </x:c>
      <x:c r="G21" s="2" t="str">
        <x:v>Email</x:v>
      </x:c>
      <x:c r="H21" s="2" t="str">
        <x:v>School receipt</x:v>
      </x:c>
      <x:c r="I21" s="8" t="n">
        <x:v>46299.27673611111</x:v>
      </x:c>
      <x:c r="J21" s="8" t="n">
        <x:v>46299.27675925926</x:v>
      </x:c>
      <x:c r="K21" s="8" t="n">
        <x:v>46299.27679398148</x:v>
      </x:c>
      <x:c r="L21" s="2" t="str">
        <x:v>Sent</x:v>
      </x:c>
      <x:c r="M21" s="2" t="n">
        <x:v>1</x:v>
      </x:c>
      <x:c r="N21" s="2"/>
      <x:c r="O21" s="2"/>
    </x:row>
    <x:row r="22" ht="21" customHeight="1">
      <x:c r="A22" s="2" t="str">
        <x:v>NT000021</x:v>
      </x:c>
      <x:c r="B22" s="2" t="str">
        <x:v>EV000022</x:v>
      </x:c>
      <x:c r="C22" s="2" t="str">
        <x:v>T20261004-1-1</x:v>
      </x:c>
      <x:c r="D22" s="2" t="str">
        <x:v>ST012</x:v>
      </x:c>
      <x:c r="E22" s="2" t="str">
        <x:v>G012</x:v>
      </x:c>
      <x:c r="F22" s="2" t="str">
        <x:v>guardian012@example.invalid</x:v>
      </x:c>
      <x:c r="G22" s="2" t="str">
        <x:v>Email</x:v>
      </x:c>
      <x:c r="H22" s="2" t="str">
        <x:v>Boarded</x:v>
      </x:c>
      <x:c r="I22" s="8" t="n">
        <x:v>46299.252118055556</x:v>
      </x:c>
      <x:c r="J22" s="8" t="n">
        <x:v>46299.2521412037</x:v>
      </x:c>
      <x:c r="K22" s="8" t="n">
        <x:v>46299.252175925925</x:v>
      </x:c>
      <x:c r="L22" s="2" t="str">
        <x:v>Sent</x:v>
      </x:c>
      <x:c r="M22" s="2" t="n">
        <x:v>1</x:v>
      </x:c>
      <x:c r="N22" s="2"/>
      <x:c r="O22" s="2"/>
    </x:row>
    <x:row r="23" ht="21" customHeight="1">
      <x:c r="A23" s="2" t="str">
        <x:v>NT000022</x:v>
      </x:c>
      <x:c r="B23" s="2" t="str">
        <x:v>EV000023</x:v>
      </x:c>
      <x:c r="C23" s="2" t="str">
        <x:v>T20261004-1-1</x:v>
      </x:c>
      <x:c r="D23" s="2" t="str">
        <x:v>ST012</x:v>
      </x:c>
      <x:c r="E23" s="2" t="str">
        <x:v>G012</x:v>
      </x:c>
      <x:c r="F23" s="2" t="str">
        <x:v>guardian012@example.invalid</x:v>
      </x:c>
      <x:c r="G23" s="2" t="str">
        <x:v>Email</x:v>
      </x:c>
      <x:c r="H23" s="2" t="str">
        <x:v>School receipt</x:v>
      </x:c>
      <x:c r="I23" s="8" t="n">
        <x:v>46299.276770833334</x:v>
      </x:c>
      <x:c r="J23" s="8" t="n">
        <x:v>46299.27679398148</x:v>
      </x:c>
      <x:c r="K23" s="8" t="n">
        <x:v>46299.2768287037</x:v>
      </x:c>
      <x:c r="L23" s="2" t="str">
        <x:v>Sent</x:v>
      </x:c>
      <x:c r="M23" s="2" t="n">
        <x:v>1</x:v>
      </x:c>
      <x:c r="N23" s="2"/>
      <x:c r="O23" s="2"/>
    </x:row>
    <x:row r="24" ht="21" customHeight="1">
      <x:c r="A24" s="2" t="str">
        <x:v>NT000023</x:v>
      </x:c>
      <x:c r="B24" s="2" t="str">
        <x:v>EV000024</x:v>
      </x:c>
      <x:c r="C24" s="2" t="str">
        <x:v>T20261004-1-1</x:v>
      </x:c>
      <x:c r="D24" s="2" t="str">
        <x:v>ST013</x:v>
      </x:c>
      <x:c r="E24" s="2" t="str">
        <x:v>G013</x:v>
      </x:c>
      <x:c r="F24" s="2" t="str">
        <x:v>guardian013@example.invalid</x:v>
      </x:c>
      <x:c r="G24" s="2" t="str">
        <x:v>Email</x:v>
      </x:c>
      <x:c r="H24" s="2" t="str">
        <x:v>Boarded</x:v>
      </x:c>
      <x:c r="I24" s="8" t="n">
        <x:v>46299.24243055556</x:v>
      </x:c>
      <x:c r="J24" s="8" t="n">
        <x:v>46299.24245370371</x:v>
      </x:c>
      <x:c r="K24" s="8" t="n">
        <x:v>46299.24248842593</x:v>
      </x:c>
      <x:c r="L24" s="2" t="str">
        <x:v>Sent</x:v>
      </x:c>
      <x:c r="M24" s="2" t="n">
        <x:v>1</x:v>
      </x:c>
      <x:c r="N24" s="2"/>
      <x:c r="O24" s="2"/>
    </x:row>
    <x:row r="25" ht="21" customHeight="1">
      <x:c r="A25" s="2" t="str">
        <x:v>NT000024</x:v>
      </x:c>
      <x:c r="B25" s="2" t="str">
        <x:v>EV000025</x:v>
      </x:c>
      <x:c r="C25" s="2" t="str">
        <x:v>T20261004-1-1</x:v>
      </x:c>
      <x:c r="D25" s="2" t="str">
        <x:v>ST013</x:v>
      </x:c>
      <x:c r="E25" s="2" t="str">
        <x:v>G013</x:v>
      </x:c>
      <x:c r="F25" s="2" t="str">
        <x:v>guardian013@example.invalid</x:v>
      </x:c>
      <x:c r="G25" s="2" t="str">
        <x:v>Email</x:v>
      </x:c>
      <x:c r="H25" s="2" t="str">
        <x:v>School receipt</x:v>
      </x:c>
      <x:c r="I25" s="8" t="n">
        <x:v>46299.27680555556</x:v>
      </x:c>
      <x:c r="J25" s="8" t="n">
        <x:v>46299.2768287037</x:v>
      </x:c>
      <x:c r="K25" s="8" t="n">
        <x:v>46299.27686342593</x:v>
      </x:c>
      <x:c r="L25" s="2" t="str">
        <x:v>Sent</x:v>
      </x:c>
      <x:c r="M25" s="2" t="n">
        <x:v>1</x:v>
      </x:c>
      <x:c r="N25" s="2"/>
      <x:c r="O25" s="2"/>
    </x:row>
    <x:row r="26" ht="21" customHeight="1">
      <x:c r="A26" s="2" t="str">
        <x:v>NT000025</x:v>
      </x:c>
      <x:c r="B26" s="2" t="str">
        <x:v>EV000026</x:v>
      </x:c>
      <x:c r="C26" s="2" t="str">
        <x:v>T20261004-1-1</x:v>
      </x:c>
      <x:c r="D26" s="2" t="str">
        <x:v>ST014</x:v>
      </x:c>
      <x:c r="E26" s="2" t="str">
        <x:v>G014</x:v>
      </x:c>
      <x:c r="F26" s="2" t="str">
        <x:v>guardian014@example.invalid</x:v>
      </x:c>
      <x:c r="G26" s="2" t="str">
        <x:v>Email</x:v>
      </x:c>
      <x:c r="H26" s="2" t="str">
        <x:v>Boarded</x:v>
      </x:c>
      <x:c r="I26" s="8" t="n">
        <x:v>46299.24732638889</x:v>
      </x:c>
      <x:c r="J26" s="8" t="n">
        <x:v>46299.247349537036</x:v>
      </x:c>
      <x:c r="K26" s="8" t="n">
        <x:v>46299.24738425926</x:v>
      </x:c>
      <x:c r="L26" s="2" t="str">
        <x:v>Sent</x:v>
      </x:c>
      <x:c r="M26" s="2" t="n">
        <x:v>1</x:v>
      </x:c>
      <x:c r="N26" s="2"/>
      <x:c r="O26" s="2"/>
    </x:row>
    <x:row r="27" ht="21" customHeight="1">
      <x:c r="A27" s="2" t="str">
        <x:v>NT000026</x:v>
      </x:c>
      <x:c r="B27" s="2" t="str">
        <x:v>EV000027</x:v>
      </x:c>
      <x:c r="C27" s="2" t="str">
        <x:v>T20261004-1-1</x:v>
      </x:c>
      <x:c r="D27" s="2" t="str">
        <x:v>ST014</x:v>
      </x:c>
      <x:c r="E27" s="2" t="str">
        <x:v>G014</x:v>
      </x:c>
      <x:c r="F27" s="2" t="str">
        <x:v>guardian014@example.invalid</x:v>
      </x:c>
      <x:c r="G27" s="2" t="str">
        <x:v>Email</x:v>
      </x:c>
      <x:c r="H27" s="2" t="str">
        <x:v>School receipt</x:v>
      </x:c>
      <x:c r="I27" s="8" t="n">
        <x:v>46299.27684027777</x:v>
      </x:c>
      <x:c r="J27" s="8" t="n">
        <x:v>46299.27686342592</x:v>
      </x:c>
      <x:c r="K27" s="8" t="n">
        <x:v>46299.27689814814</x:v>
      </x:c>
      <x:c r="L27" s="2" t="str">
        <x:v>Sent</x:v>
      </x:c>
      <x:c r="M27" s="2" t="n">
        <x:v>1</x:v>
      </x:c>
      <x:c r="N27" s="2"/>
      <x:c r="O27" s="2"/>
    </x:row>
    <x:row r="28" ht="21" customHeight="1">
      <x:c r="A28" s="2" t="str">
        <x:v>NT000027</x:v>
      </x:c>
      <x:c r="B28" s="2" t="str">
        <x:v>EV000028</x:v>
      </x:c>
      <x:c r="C28" s="2" t="str">
        <x:v>T20261004-1-1</x:v>
      </x:c>
      <x:c r="D28" s="2" t="str">
        <x:v>ST015</x:v>
      </x:c>
      <x:c r="E28" s="2" t="str">
        <x:v>G015</x:v>
      </x:c>
      <x:c r="F28" s="2" t="str">
        <x:v>guardian015@example.invalid</x:v>
      </x:c>
      <x:c r="G28" s="2" t="str">
        <x:v>Email</x:v>
      </x:c>
      <x:c r="H28" s="2" t="str">
        <x:v>Boarded</x:v>
      </x:c>
      <x:c r="I28" s="8" t="n">
        <x:v>46299.252222222225</x:v>
      </x:c>
      <x:c r="J28" s="8" t="n">
        <x:v>46299.25224537037</x:v>
      </x:c>
      <x:c r="K28" s="8" t="n">
        <x:v>46299.252280092594</x:v>
      </x:c>
      <x:c r="L28" s="2" t="str">
        <x:v>Sent</x:v>
      </x:c>
      <x:c r="M28" s="2" t="n">
        <x:v>1</x:v>
      </x:c>
      <x:c r="N28" s="2"/>
      <x:c r="O28" s="2"/>
    </x:row>
    <x:row r="29" ht="21" customHeight="1">
      <x:c r="A29" s="2" t="str">
        <x:v>NT000028</x:v>
      </x:c>
      <x:c r="B29" s="2" t="str">
        <x:v>EV000029</x:v>
      </x:c>
      <x:c r="C29" s="2" t="str">
        <x:v>T20261004-1-1</x:v>
      </x:c>
      <x:c r="D29" s="2" t="str">
        <x:v>ST015</x:v>
      </x:c>
      <x:c r="E29" s="2" t="str">
        <x:v>G015</x:v>
      </x:c>
      <x:c r="F29" s="2" t="str">
        <x:v>guardian015@example.invalid</x:v>
      </x:c>
      <x:c r="G29" s="2" t="str">
        <x:v>Email</x:v>
      </x:c>
      <x:c r="H29" s="2" t="str">
        <x:v>School receipt</x:v>
      </x:c>
      <x:c r="I29" s="8" t="n">
        <x:v>46299.276874999996</x:v>
      </x:c>
      <x:c r="J29" s="8" t="n">
        <x:v>46299.27689814814</x:v>
      </x:c>
      <x:c r="K29" s="8" t="n">
        <x:v>46299.276932870365</x:v>
      </x:c>
      <x:c r="L29" s="2" t="str">
        <x:v>Sent</x:v>
      </x:c>
      <x:c r="M29" s="2" t="n">
        <x:v>1</x:v>
      </x:c>
      <x:c r="N29" s="2"/>
      <x:c r="O29" s="2"/>
    </x:row>
    <x:row r="30" ht="21" customHeight="1">
      <x:c r="A30" s="2" t="str">
        <x:v>NT000029</x:v>
      </x:c>
      <x:c r="B30" s="2" t="str">
        <x:v>EV000030</x:v>
      </x:c>
      <x:c r="C30" s="2" t="str">
        <x:v>T20261004-1-1</x:v>
      </x:c>
      <x:c r="D30" s="2" t="str">
        <x:v>ST016</x:v>
      </x:c>
      <x:c r="E30" s="2" t="str">
        <x:v>G016</x:v>
      </x:c>
      <x:c r="F30" s="2" t="str">
        <x:v>guardian016@example.invalid</x:v>
      </x:c>
      <x:c r="G30" s="2" t="str">
        <x:v>Email</x:v>
      </x:c>
      <x:c r="H30" s="2" t="str">
        <x:v>Boarded</x:v>
      </x:c>
      <x:c r="I30" s="8" t="n">
        <x:v>46299.24253472222</x:v>
      </x:c>
      <x:c r="J30" s="8" t="n">
        <x:v>46299.24255787037</x:v>
      </x:c>
      <x:c r="K30" s="8" t="n">
        <x:v>46299.24259259259</x:v>
      </x:c>
      <x:c r="L30" s="2" t="str">
        <x:v>Sent</x:v>
      </x:c>
      <x:c r="M30" s="2" t="n">
        <x:v>1</x:v>
      </x:c>
      <x:c r="N30" s="2"/>
      <x:c r="O30" s="2"/>
    </x:row>
    <x:row r="31" ht="21" customHeight="1">
      <x:c r="A31" s="2" t="str">
        <x:v>NT000030</x:v>
      </x:c>
      <x:c r="B31" s="2" t="str">
        <x:v>EV000031</x:v>
      </x:c>
      <x:c r="C31" s="2" t="str">
        <x:v>T20261004-1-1</x:v>
      </x:c>
      <x:c r="D31" s="2" t="str">
        <x:v>ST016</x:v>
      </x:c>
      <x:c r="E31" s="2" t="str">
        <x:v>G016</x:v>
      </x:c>
      <x:c r="F31" s="2" t="str">
        <x:v>guardian016@example.invalid</x:v>
      </x:c>
      <x:c r="G31" s="2" t="str">
        <x:v>Email</x:v>
      </x:c>
      <x:c r="H31" s="2" t="str">
        <x:v>School receipt</x:v>
      </x:c>
      <x:c r="I31" s="8" t="n">
        <x:v>46299.27690972222</x:v>
      </x:c>
      <x:c r="J31" s="8" t="n">
        <x:v>46299.276932870365</x:v>
      </x:c>
      <x:c r="K31" s="8" t="n">
        <x:v>46299.27696759259</x:v>
      </x:c>
      <x:c r="L31" s="2" t="str">
        <x:v>Sent</x:v>
      </x:c>
      <x:c r="M31" s="2" t="n">
        <x:v>1</x:v>
      </x:c>
      <x:c r="N31" s="2"/>
      <x:c r="O31" s="2"/>
    </x:row>
    <x:row r="32" ht="21" customHeight="1">
      <x:c r="A32" s="2" t="str">
        <x:v>NT000031</x:v>
      </x:c>
      <x:c r="B32" s="2" t="str">
        <x:v>EV000032</x:v>
      </x:c>
      <x:c r="C32" s="2" t="str">
        <x:v>T20261004-1-1</x:v>
      </x:c>
      <x:c r="D32" s="2" t="str">
        <x:v>ST017</x:v>
      </x:c>
      <x:c r="E32" s="2" t="str">
        <x:v>G017</x:v>
      </x:c>
      <x:c r="F32" s="2" t="str">
        <x:v>guardian017@example.invalid</x:v>
      </x:c>
      <x:c r="G32" s="2" t="str">
        <x:v>Email</x:v>
      </x:c>
      <x:c r="H32" s="2" t="str">
        <x:v>Boarded</x:v>
      </x:c>
      <x:c r="I32" s="8" t="n">
        <x:v>46299.24743055555</x:v>
      </x:c>
      <x:c r="J32" s="8" t="n">
        <x:v>46299.2474537037</x:v>
      </x:c>
      <x:c r="K32" s="8" t="n">
        <x:v>46299.24748842592</x:v>
      </x:c>
      <x:c r="L32" s="2" t="str">
        <x:v>Sent</x:v>
      </x:c>
      <x:c r="M32" s="2" t="n">
        <x:v>1</x:v>
      </x:c>
      <x:c r="N32" s="2"/>
      <x:c r="O32" s="2"/>
    </x:row>
    <x:row r="33" ht="21" customHeight="1">
      <x:c r="A33" s="2" t="str">
        <x:v>NT000032</x:v>
      </x:c>
      <x:c r="B33" s="2" t="str">
        <x:v>EV000033</x:v>
      </x:c>
      <x:c r="C33" s="2" t="str">
        <x:v>T20261004-1-1</x:v>
      </x:c>
      <x:c r="D33" s="2" t="str">
        <x:v>ST017</x:v>
      </x:c>
      <x:c r="E33" s="2" t="str">
        <x:v>G017</x:v>
      </x:c>
      <x:c r="F33" s="2" t="str">
        <x:v>guardian017@example.invalid</x:v>
      </x:c>
      <x:c r="G33" s="2" t="str">
        <x:v>Email</x:v>
      </x:c>
      <x:c r="H33" s="2" t="str">
        <x:v>School receipt</x:v>
      </x:c>
      <x:c r="I33" s="8" t="n">
        <x:v>46299.27694444444</x:v>
      </x:c>
      <x:c r="J33" s="8" t="n">
        <x:v>46299.27696759259</x:v>
      </x:c>
      <x:c r="K33" s="8" t="n">
        <x:v>46299.27700231481</x:v>
      </x:c>
      <x:c r="L33" s="2" t="str">
        <x:v>Sent</x:v>
      </x:c>
      <x:c r="M33" s="2" t="n">
        <x:v>1</x:v>
      </x:c>
      <x:c r="N33" s="2"/>
      <x:c r="O33" s="2"/>
    </x:row>
    <x:row r="34" ht="21" customHeight="1">
      <x:c r="A34" s="2" t="str">
        <x:v>NT000033</x:v>
      </x:c>
      <x:c r="B34" s="2" t="str">
        <x:v>EV000034</x:v>
      </x:c>
      <x:c r="C34" s="2" t="str">
        <x:v>T20261004-1-1</x:v>
      </x:c>
      <x:c r="D34" s="2" t="str">
        <x:v>ST018</x:v>
      </x:c>
      <x:c r="E34" s="2" t="str">
        <x:v>G018</x:v>
      </x:c>
      <x:c r="F34" s="2" t="str">
        <x:v>guardian018@example.invalid</x:v>
      </x:c>
      <x:c r="G34" s="2" t="str">
        <x:v>Email</x:v>
      </x:c>
      <x:c r="H34" s="2" t="str">
        <x:v>Boarded</x:v>
      </x:c>
      <x:c r="I34" s="8" t="n">
        <x:v>46299.25232638889</x:v>
      </x:c>
      <x:c r="J34" s="8" t="n">
        <x:v>46299.25234953703</x:v>
      </x:c>
      <x:c r="K34" s="8" t="n">
        <x:v>46299.252384259256</x:v>
      </x:c>
      <x:c r="L34" s="2" t="str">
        <x:v>Sent</x:v>
      </x:c>
      <x:c r="M34" s="2" t="n">
        <x:v>1</x:v>
      </x:c>
      <x:c r="N34" s="2"/>
      <x:c r="O34" s="2"/>
    </x:row>
    <x:row r="35" ht="21" customHeight="1">
      <x:c r="A35" s="2" t="str">
        <x:v>NT000034</x:v>
      </x:c>
      <x:c r="B35" s="2" t="str">
        <x:v>EV000035</x:v>
      </x:c>
      <x:c r="C35" s="2" t="str">
        <x:v>T20261004-1-1</x:v>
      </x:c>
      <x:c r="D35" s="2" t="str">
        <x:v>ST018</x:v>
      </x:c>
      <x:c r="E35" s="2" t="str">
        <x:v>G018</x:v>
      </x:c>
      <x:c r="F35" s="2" t="str">
        <x:v>guardian018@example.invalid</x:v>
      </x:c>
      <x:c r="G35" s="2" t="str">
        <x:v>Email</x:v>
      </x:c>
      <x:c r="H35" s="2" t="str">
        <x:v>School receipt</x:v>
      </x:c>
      <x:c r="I35" s="8" t="n">
        <x:v>46299.276979166665</x:v>
      </x:c>
      <x:c r="J35" s="8" t="n">
        <x:v>46299.27700231481</x:v>
      </x:c>
      <x:c r="K35" s="8" t="n">
        <x:v>46299.277037037034</x:v>
      </x:c>
      <x:c r="L35" s="2" t="str">
        <x:v>Sent</x:v>
      </x:c>
      <x:c r="M35" s="2" t="n">
        <x:v>1</x:v>
      </x:c>
      <x:c r="N35" s="2"/>
      <x:c r="O35" s="2"/>
    </x:row>
    <x:row r="36" ht="21" customHeight="1">
      <x:c r="A36" s="2" t="str">
        <x:v>NT000035</x:v>
      </x:c>
      <x:c r="B36" s="2" t="str">
        <x:v>EV000036</x:v>
      </x:c>
      <x:c r="C36" s="2" t="str">
        <x:v>T20261004-1-1</x:v>
      </x:c>
      <x:c r="D36" s="2" t="str">
        <x:v>ST019</x:v>
      </x:c>
      <x:c r="E36" s="2" t="str">
        <x:v>G019</x:v>
      </x:c>
      <x:c r="F36" s="2" t="str">
        <x:v>guardian019@example.invalid</x:v>
      </x:c>
      <x:c r="G36" s="2" t="str">
        <x:v>Email</x:v>
      </x:c>
      <x:c r="H36" s="2" t="str">
        <x:v>Boarded</x:v>
      </x:c>
      <x:c r="I36" s="8" t="n">
        <x:v>46299.24263888889</x:v>
      </x:c>
      <x:c r="J36" s="8" t="n">
        <x:v>46299.24266203704</x:v>
      </x:c>
      <x:c r="K36" s="8" t="n">
        <x:v>46299.24269675926</x:v>
      </x:c>
      <x:c r="L36" s="2" t="str">
        <x:v>Sent</x:v>
      </x:c>
      <x:c r="M36" s="2" t="n">
        <x:v>1</x:v>
      </x:c>
      <x:c r="N36" s="2"/>
      <x:c r="O36" s="2"/>
    </x:row>
    <x:row r="37" ht="21" customHeight="1">
      <x:c r="A37" s="2" t="str">
        <x:v>NT000036</x:v>
      </x:c>
      <x:c r="B37" s="2" t="str">
        <x:v>EV000037</x:v>
      </x:c>
      <x:c r="C37" s="2" t="str">
        <x:v>T20261004-1-1</x:v>
      </x:c>
      <x:c r="D37" s="2" t="str">
        <x:v>ST019</x:v>
      </x:c>
      <x:c r="E37" s="2" t="str">
        <x:v>G019</x:v>
      </x:c>
      <x:c r="F37" s="2" t="str">
        <x:v>guardian019@example.invalid</x:v>
      </x:c>
      <x:c r="G37" s="2" t="str">
        <x:v>Email</x:v>
      </x:c>
      <x:c r="H37" s="2" t="str">
        <x:v>School receipt</x:v>
      </x:c>
      <x:c r="I37" s="8" t="n">
        <x:v>46299.27701388889</x:v>
      </x:c>
      <x:c r="J37" s="8" t="n">
        <x:v>46299.277037037034</x:v>
      </x:c>
      <x:c r="K37" s="8" t="n">
        <x:v>46299.27707175926</x:v>
      </x:c>
      <x:c r="L37" s="2" t="str">
        <x:v>Sent</x:v>
      </x:c>
      <x:c r="M37" s="2" t="n">
        <x:v>1</x:v>
      </x:c>
      <x:c r="N37" s="2"/>
      <x:c r="O37" s="2"/>
    </x:row>
    <x:row r="38" ht="21" customHeight="1">
      <x:c r="A38" s="2" t="str">
        <x:v>NT000037</x:v>
      </x:c>
      <x:c r="B38" s="2" t="str">
        <x:v>EV000038</x:v>
      </x:c>
      <x:c r="C38" s="2" t="str">
        <x:v>T20261004-1-1</x:v>
      </x:c>
      <x:c r="D38" s="2" t="str">
        <x:v>ST020</x:v>
      </x:c>
      <x:c r="E38" s="2" t="str">
        <x:v>G020</x:v>
      </x:c>
      <x:c r="F38" s="2" t="str">
        <x:v>guardian020@example.invalid</x:v>
      </x:c>
      <x:c r="G38" s="2" t="str">
        <x:v>Email</x:v>
      </x:c>
      <x:c r="H38" s="2" t="str">
        <x:v>Boarded</x:v>
      </x:c>
      <x:c r="I38" s="8" t="n">
        <x:v>46299.24753472222</x:v>
      </x:c>
      <x:c r="J38" s="8" t="n">
        <x:v>46299.24755787037</x:v>
      </x:c>
      <x:c r="K38" s="8" t="n">
        <x:v>46299.24759259259</x:v>
      </x:c>
      <x:c r="L38" s="2" t="str">
        <x:v>Sent</x:v>
      </x:c>
      <x:c r="M38" s="2" t="n">
        <x:v>1</x:v>
      </x:c>
      <x:c r="N38" s="2"/>
      <x:c r="O38" s="2"/>
    </x:row>
    <x:row r="39" ht="21" customHeight="1">
      <x:c r="A39" s="2" t="str">
        <x:v>NT000038</x:v>
      </x:c>
      <x:c r="B39" s="2" t="str">
        <x:v>EV000039</x:v>
      </x:c>
      <x:c r="C39" s="2" t="str">
        <x:v>T20261004-1-1</x:v>
      </x:c>
      <x:c r="D39" s="2" t="str">
        <x:v>ST020</x:v>
      </x:c>
      <x:c r="E39" s="2" t="str">
        <x:v>G020</x:v>
      </x:c>
      <x:c r="F39" s="2" t="str">
        <x:v>guardian020@example.invalid</x:v>
      </x:c>
      <x:c r="G39" s="2" t="str">
        <x:v>Email</x:v>
      </x:c>
      <x:c r="H39" s="2" t="str">
        <x:v>School receipt</x:v>
      </x:c>
      <x:c r="I39" s="8" t="n">
        <x:v>46299.27704861111</x:v>
      </x:c>
      <x:c r="J39" s="8" t="n">
        <x:v>46299.27707175926</x:v>
      </x:c>
      <x:c r="K39" s="8" t="n">
        <x:v>46299.27710648148</x:v>
      </x:c>
      <x:c r="L39" s="2" t="str">
        <x:v>Sent</x:v>
      </x:c>
      <x:c r="M39" s="2" t="n">
        <x:v>1</x:v>
      </x:c>
      <x:c r="N39" s="2"/>
      <x:c r="O39" s="2"/>
    </x:row>
    <x:row r="40" ht="21" customHeight="1">
      <x:c r="A40" s="2" t="str">
        <x:v>NT000039</x:v>
      </x:c>
      <x:c r="B40" s="2" t="str">
        <x:v>EV000041</x:v>
      </x:c>
      <x:c r="C40" s="2" t="str">
        <x:v>T20261004-2-1</x:v>
      </x:c>
      <x:c r="D40" s="2" t="str">
        <x:v>ST002</x:v>
      </x:c>
      <x:c r="E40" s="2" t="str">
        <x:v>G002</x:v>
      </x:c>
      <x:c r="F40" s="2" t="str">
        <x:v>guardian002@example.invalid</x:v>
      </x:c>
      <x:c r="G40" s="2" t="str">
        <x:v>Email</x:v>
      </x:c>
      <x:c r="H40" s="2" t="str">
        <x:v>Boarded</x:v>
      </x:c>
      <x:c r="I40" s="8" t="n">
        <x:v>46299.43753472222</x:v>
      </x:c>
      <x:c r="J40" s="8" t="n">
        <x:v>46299.43755787037</x:v>
      </x:c>
      <x:c r="K40" s="8" t="n">
        <x:v>46299.43759259259</x:v>
      </x:c>
      <x:c r="L40" s="2" t="str">
        <x:v>Sent</x:v>
      </x:c>
      <x:c r="M40" s="2" t="n">
        <x:v>1</x:v>
      </x:c>
      <x:c r="N40" s="2"/>
      <x:c r="O40" s="2"/>
    </x:row>
    <x:row r="41" ht="21" customHeight="1">
      <x:c r="A41" s="2" t="str">
        <x:v>NT000040</x:v>
      </x:c>
      <x:c r="B41" s="2" t="str">
        <x:v>EV000042</x:v>
      </x:c>
      <x:c r="C41" s="2" t="str">
        <x:v>T20261004-2-1</x:v>
      </x:c>
      <x:c r="D41" s="2" t="str">
        <x:v>ST002</x:v>
      </x:c>
      <x:c r="E41" s="2" t="str">
        <x:v>G002</x:v>
      </x:c>
      <x:c r="F41" s="2" t="str">
        <x:v>guardian002@example.invalid</x:v>
      </x:c>
      <x:c r="G41" s="2" t="str">
        <x:v>Email</x:v>
      </x:c>
      <x:c r="H41" s="2" t="str">
        <x:v>Authorized release</x:v>
      </x:c>
      <x:c r="I41" s="8" t="n">
        <x:v>46299.45350694445</x:v>
      </x:c>
      <x:c r="J41" s="8" t="n">
        <x:v>46299.45353009259</x:v>
      </x:c>
      <x:c r="K41" s="8" t="n">
        <x:v>46299.453564814816</x:v>
      </x:c>
      <x:c r="L41" s="2" t="str">
        <x:v>Sent</x:v>
      </x:c>
      <x:c r="M41" s="2" t="n">
        <x:v>1</x:v>
      </x:c>
      <x:c r="N41" s="2"/>
      <x:c r="O41" s="2"/>
    </x:row>
    <x:row r="42" ht="21" customHeight="1">
      <x:c r="A42" s="2" t="str">
        <x:v>NT000041</x:v>
      </x:c>
      <x:c r="B42" s="2" t="str">
        <x:v>EV000043</x:v>
      </x:c>
      <x:c r="C42" s="2" t="str">
        <x:v>T20261004-2-1</x:v>
      </x:c>
      <x:c r="D42" s="2" t="str">
        <x:v>ST003</x:v>
      </x:c>
      <x:c r="E42" s="2" t="str">
        <x:v>G003</x:v>
      </x:c>
      <x:c r="F42" s="2" t="str">
        <x:v>guardian003@example.invalid</x:v>
      </x:c>
      <x:c r="G42" s="2" t="str">
        <x:v>Email</x:v>
      </x:c>
      <x:c r="H42" s="2" t="str">
        <x:v>Boarded</x:v>
      </x:c>
      <x:c r="I42" s="8" t="n">
        <x:v>46299.437569444446</x:v>
      </x:c>
      <x:c r="J42" s="8" t="n">
        <x:v>46299.43759259259</x:v>
      </x:c>
      <x:c r="K42" s="8" t="n">
        <x:v>46299.437627314815</x:v>
      </x:c>
      <x:c r="L42" s="2" t="str">
        <x:v>Sent</x:v>
      </x:c>
      <x:c r="M42" s="2" t="n">
        <x:v>1</x:v>
      </x:c>
      <x:c r="N42" s="2"/>
      <x:c r="O42" s="2"/>
    </x:row>
    <x:row r="43" ht="21" customHeight="1">
      <x:c r="A43" s="2" t="str">
        <x:v>NT000042</x:v>
      </x:c>
      <x:c r="B43" s="2" t="str">
        <x:v>EV000044</x:v>
      </x:c>
      <x:c r="C43" s="2" t="str">
        <x:v>T20261004-2-1</x:v>
      </x:c>
      <x:c r="D43" s="2" t="str">
        <x:v>ST003</x:v>
      </x:c>
      <x:c r="E43" s="2" t="str">
        <x:v>G003</x:v>
      </x:c>
      <x:c r="F43" s="2" t="str">
        <x:v>guardian003@example.invalid</x:v>
      </x:c>
      <x:c r="G43" s="2" t="str">
        <x:v>Email</x:v>
      </x:c>
      <x:c r="H43" s="2" t="str">
        <x:v>Authorized release</x:v>
      </x:c>
      <x:c r="I43" s="8" t="n">
        <x:v>46299.457708333335</x:v>
      </x:c>
      <x:c r="J43" s="8" t="n">
        <x:v>46299.45773148148</x:v>
      </x:c>
      <x:c r="K43" s="8" t="n">
        <x:v>46299.457766203705</x:v>
      </x:c>
      <x:c r="L43" s="2" t="str">
        <x:v>Sent</x:v>
      </x:c>
      <x:c r="M43" s="2" t="n">
        <x:v>1</x:v>
      </x:c>
      <x:c r="N43" s="2"/>
      <x:c r="O43" s="2"/>
    </x:row>
    <x:row r="44" ht="21" customHeight="1">
      <x:c r="A44" s="2" t="str">
        <x:v>NT000043</x:v>
      </x:c>
      <x:c r="B44" s="2" t="str">
        <x:v>EV000045</x:v>
      </x:c>
      <x:c r="C44" s="2" t="str">
        <x:v>T20261004-2-1</x:v>
      </x:c>
      <x:c r="D44" s="2" t="str">
        <x:v>ST004</x:v>
      </x:c>
      <x:c r="E44" s="2" t="str">
        <x:v>G004</x:v>
      </x:c>
      <x:c r="F44" s="2" t="str">
        <x:v>guardian004@example.invalid</x:v>
      </x:c>
      <x:c r="G44" s="2" t="str">
        <x:v>Email</x:v>
      </x:c>
      <x:c r="H44" s="2" t="str">
        <x:v>Boarded</x:v>
      </x:c>
      <x:c r="I44" s="8" t="n">
        <x:v>46299.43760416667</x:v>
      </x:c>
      <x:c r="J44" s="8" t="n">
        <x:v>46299.437627314815</x:v>
      </x:c>
      <x:c r="K44" s="8" t="n">
        <x:v>46299.43766203704</x:v>
      </x:c>
      <x:c r="L44" s="2" t="str">
        <x:v>Sent</x:v>
      </x:c>
      <x:c r="M44" s="2" t="n">
        <x:v>1</x:v>
      </x:c>
      <x:c r="N44" s="2"/>
      <x:c r="O44" s="2"/>
    </x:row>
    <x:row r="45" ht="21" customHeight="1">
      <x:c r="A45" s="2" t="str">
        <x:v>NT000044</x:v>
      </x:c>
      <x:c r="B45" s="2" t="str">
        <x:v>EV000046</x:v>
      </x:c>
      <x:c r="C45" s="2" t="str">
        <x:v>T20261004-2-1</x:v>
      </x:c>
      <x:c r="D45" s="2" t="str">
        <x:v>ST004</x:v>
      </x:c>
      <x:c r="E45" s="2" t="str">
        <x:v>G004</x:v>
      </x:c>
      <x:c r="F45" s="2" t="str">
        <x:v>guardian004@example.invalid</x:v>
      </x:c>
      <x:c r="G45" s="2" t="str">
        <x:v>Email</x:v>
      </x:c>
      <x:c r="H45" s="2" t="str">
        <x:v>Authorized release</x:v>
      </x:c>
      <x:c r="I45" s="8" t="n">
        <x:v>46299.44940972222</x:v>
      </x:c>
      <x:c r="J45" s="8" t="n">
        <x:v>46299.449432870366</x:v>
      </x:c>
      <x:c r="K45" s="8" t="n">
        <x:v>46299.44946759259</x:v>
      </x:c>
      <x:c r="L45" s="2" t="str">
        <x:v>Sent</x:v>
      </x:c>
      <x:c r="M45" s="2" t="n">
        <x:v>1</x:v>
      </x:c>
      <x:c r="N45" s="2"/>
      <x:c r="O45" s="2"/>
    </x:row>
    <x:row r="46" ht="21" customHeight="1">
      <x:c r="A46" s="2" t="str">
        <x:v>NT000045</x:v>
      </x:c>
      <x:c r="B46" s="2" t="str">
        <x:v>EV000047</x:v>
      </x:c>
      <x:c r="C46" s="2" t="str">
        <x:v>T20261004-2-1</x:v>
      </x:c>
      <x:c r="D46" s="2" t="str">
        <x:v>ST005</x:v>
      </x:c>
      <x:c r="E46" s="2" t="str">
        <x:v>G005</x:v>
      </x:c>
      <x:c r="F46" s="2" t="str">
        <x:v>guardian005@example.invalid</x:v>
      </x:c>
      <x:c r="G46" s="2" t="str">
        <x:v>Email</x:v>
      </x:c>
      <x:c r="H46" s="2" t="str">
        <x:v>Boarded</x:v>
      </x:c>
      <x:c r="I46" s="8" t="n">
        <x:v>46299.43763888889</x:v>
      </x:c>
      <x:c r="J46" s="8" t="n">
        <x:v>46299.43766203704</x:v>
      </x:c>
      <x:c r="K46" s="8" t="n">
        <x:v>46299.43769675926</x:v>
      </x:c>
      <x:c r="L46" s="2" t="str">
        <x:v>Sent</x:v>
      </x:c>
      <x:c r="M46" s="2" t="n">
        <x:v>1</x:v>
      </x:c>
      <x:c r="N46" s="2"/>
      <x:c r="O46" s="2"/>
    </x:row>
    <x:row r="47" ht="21" customHeight="1">
      <x:c r="A47" s="2" t="str">
        <x:v>NT000046</x:v>
      </x:c>
      <x:c r="B47" s="2" t="str">
        <x:v>EV000048</x:v>
      </x:c>
      <x:c r="C47" s="2" t="str">
        <x:v>T20261004-2-1</x:v>
      </x:c>
      <x:c r="D47" s="2" t="str">
        <x:v>ST005</x:v>
      </x:c>
      <x:c r="E47" s="2" t="str">
        <x:v>G005</x:v>
      </x:c>
      <x:c r="F47" s="2" t="str">
        <x:v>guardian005@example.invalid</x:v>
      </x:c>
      <x:c r="G47" s="2" t="str">
        <x:v>Email</x:v>
      </x:c>
      <x:c r="H47" s="2" t="str">
        <x:v>Authorized release</x:v>
      </x:c>
      <x:c r="I47" s="8" t="n">
        <x:v>46299.453611111116</x:v>
      </x:c>
      <x:c r="J47" s="8" t="n">
        <x:v>46299.45363425926</x:v>
      </x:c>
      <x:c r="K47" s="8" t="n">
        <x:v>46299.453668981485</x:v>
      </x:c>
      <x:c r="L47" s="2" t="str">
        <x:v>Sent</x:v>
      </x:c>
      <x:c r="M47" s="2" t="n">
        <x:v>1</x:v>
      </x:c>
      <x:c r="N47" s="2"/>
      <x:c r="O47" s="2"/>
    </x:row>
    <x:row r="48" ht="21" customHeight="1">
      <x:c r="A48" s="2" t="str">
        <x:v>NT000047</x:v>
      </x:c>
      <x:c r="B48" s="2" t="str">
        <x:v>EV000049</x:v>
      </x:c>
      <x:c r="C48" s="2" t="str">
        <x:v>T20261004-2-1</x:v>
      </x:c>
      <x:c r="D48" s="2" t="str">
        <x:v>ST006</x:v>
      </x:c>
      <x:c r="E48" s="2" t="str">
        <x:v>G006</x:v>
      </x:c>
      <x:c r="F48" s="2" t="str">
        <x:v>guardian006@example.invalid</x:v>
      </x:c>
      <x:c r="G48" s="2" t="str">
        <x:v>Email</x:v>
      </x:c>
      <x:c r="H48" s="2" t="str">
        <x:v>Boarded</x:v>
      </x:c>
      <x:c r="I48" s="8" t="n">
        <x:v>46299.43767361111</x:v>
      </x:c>
      <x:c r="J48" s="8" t="n">
        <x:v>46299.437696759254</x:v>
      </x:c>
      <x:c r="K48" s="8" t="n">
        <x:v>46299.43773148148</x:v>
      </x:c>
      <x:c r="L48" s="2" t="str">
        <x:v>Sent</x:v>
      </x:c>
      <x:c r="M48" s="2" t="n">
        <x:v>1</x:v>
      </x:c>
      <x:c r="N48" s="2"/>
      <x:c r="O48" s="2"/>
    </x:row>
    <x:row r="49" ht="21" customHeight="1">
      <x:c r="A49" s="2" t="str">
        <x:v>NT000048</x:v>
      </x:c>
      <x:c r="B49" s="2" t="str">
        <x:v>EV000050</x:v>
      </x:c>
      <x:c r="C49" s="2" t="str">
        <x:v>T20261004-2-1</x:v>
      </x:c>
      <x:c r="D49" s="2" t="str">
        <x:v>ST006</x:v>
      </x:c>
      <x:c r="E49" s="2" t="str">
        <x:v>G006</x:v>
      </x:c>
      <x:c r="F49" s="2" t="str">
        <x:v>guardian006@example.invalid</x:v>
      </x:c>
      <x:c r="G49" s="2" t="str">
        <x:v>Email</x:v>
      </x:c>
      <x:c r="H49" s="2" t="str">
        <x:v>Authorized release</x:v>
      </x:c>
      <x:c r="I49" s="8" t="n">
        <x:v>46299.4578125</x:v>
      </x:c>
      <x:c r="J49" s="8" t="n">
        <x:v>46299.45783564814</x:v>
      </x:c>
      <x:c r="K49" s="8" t="n">
        <x:v>46299.45787037037</x:v>
      </x:c>
      <x:c r="L49" s="2" t="str">
        <x:v>Sent</x:v>
      </x:c>
      <x:c r="M49" s="2" t="n">
        <x:v>1</x:v>
      </x:c>
      <x:c r="N49" s="2"/>
      <x:c r="O49" s="2"/>
    </x:row>
    <x:row r="50" ht="21" customHeight="1">
      <x:c r="A50" s="2" t="str">
        <x:v>NT000049</x:v>
      </x:c>
      <x:c r="B50" s="2" t="str">
        <x:v>EV000051</x:v>
      </x:c>
      <x:c r="C50" s="2" t="str">
        <x:v>T20261004-2-1</x:v>
      </x:c>
      <x:c r="D50" s="2" t="str">
        <x:v>ST007</x:v>
      </x:c>
      <x:c r="E50" s="2" t="str">
        <x:v>G007</x:v>
      </x:c>
      <x:c r="F50" s="2" t="str">
        <x:v>guardian007@example.invalid</x:v>
      </x:c>
      <x:c r="G50" s="2" t="str">
        <x:v>Email</x:v>
      </x:c>
      <x:c r="H50" s="2" t="str">
        <x:v>Boarded</x:v>
      </x:c>
      <x:c r="I50" s="8" t="n">
        <x:v>46299.43770833333</x:v>
      </x:c>
      <x:c r="J50" s="8" t="n">
        <x:v>46299.43773148148</x:v>
      </x:c>
      <x:c r="K50" s="8" t="n">
        <x:v>46299.4377662037</x:v>
      </x:c>
      <x:c r="L50" s="2" t="str">
        <x:v>Sent</x:v>
      </x:c>
      <x:c r="M50" s="2" t="n">
        <x:v>1</x:v>
      </x:c>
      <x:c r="N50" s="2"/>
      <x:c r="O50" s="2"/>
    </x:row>
    <x:row r="51" ht="21" customHeight="1">
      <x:c r="A51" s="2" t="str">
        <x:v>NT000050</x:v>
      </x:c>
      <x:c r="B51" s="2" t="str">
        <x:v>EV000052</x:v>
      </x:c>
      <x:c r="C51" s="2" t="str">
        <x:v>T20261004-2-1</x:v>
      </x:c>
      <x:c r="D51" s="2" t="str">
        <x:v>ST007</x:v>
      </x:c>
      <x:c r="E51" s="2" t="str">
        <x:v>G007</x:v>
      </x:c>
      <x:c r="F51" s="2" t="str">
        <x:v>guardian007@example.invalid</x:v>
      </x:c>
      <x:c r="G51" s="2" t="str">
        <x:v>Email</x:v>
      </x:c>
      <x:c r="H51" s="2" t="str">
        <x:v>Authorized release</x:v>
      </x:c>
      <x:c r="I51" s="8" t="n">
        <x:v>46299.44951388888</x:v>
      </x:c>
      <x:c r="J51" s="8" t="n">
        <x:v>46299.44953703703</x:v>
      </x:c>
      <x:c r="K51" s="8" t="n">
        <x:v>46299.44957175925</x:v>
      </x:c>
      <x:c r="L51" s="2" t="str">
        <x:v>Sent</x:v>
      </x:c>
      <x:c r="M51" s="2" t="n">
        <x:v>1</x:v>
      </x:c>
      <x:c r="N51" s="2"/>
      <x:c r="O51" s="2"/>
    </x:row>
    <x:row r="52" ht="21" customHeight="1">
      <x:c r="A52" s="2" t="str">
        <x:v>NT000051</x:v>
      </x:c>
      <x:c r="B52" s="2" t="str">
        <x:v>EV000053</x:v>
      </x:c>
      <x:c r="C52" s="2" t="str">
        <x:v>T20261004-2-1</x:v>
      </x:c>
      <x:c r="D52" s="2" t="str">
        <x:v>ST008</x:v>
      </x:c>
      <x:c r="E52" s="2" t="str">
        <x:v>G008</x:v>
      </x:c>
      <x:c r="F52" s="2" t="str">
        <x:v>guardian008@example.invalid</x:v>
      </x:c>
      <x:c r="G52" s="2" t="str">
        <x:v>Email</x:v>
      </x:c>
      <x:c r="H52" s="2" t="str">
        <x:v>Boarded</x:v>
      </x:c>
      <x:c r="I52" s="8" t="n">
        <x:v>46299.437743055554</x:v>
      </x:c>
      <x:c r="J52" s="8" t="n">
        <x:v>46299.4377662037</x:v>
      </x:c>
      <x:c r="K52" s="8" t="n">
        <x:v>46299.43780092592</x:v>
      </x:c>
      <x:c r="L52" s="2" t="str">
        <x:v>Sent</x:v>
      </x:c>
      <x:c r="M52" s="2" t="n">
        <x:v>1</x:v>
      </x:c>
      <x:c r="N52" s="2"/>
      <x:c r="O52" s="2"/>
    </x:row>
    <x:row r="53" ht="21" customHeight="1">
      <x:c r="A53" s="2" t="str">
        <x:v>NT000052</x:v>
      </x:c>
      <x:c r="B53" s="2" t="str">
        <x:v>EV000054</x:v>
      </x:c>
      <x:c r="C53" s="2" t="str">
        <x:v>T20261004-2-1</x:v>
      </x:c>
      <x:c r="D53" s="2" t="str">
        <x:v>ST008</x:v>
      </x:c>
      <x:c r="E53" s="2" t="str">
        <x:v>G008</x:v>
      </x:c>
      <x:c r="F53" s="2" t="str">
        <x:v>guardian008@example.invalid</x:v>
      </x:c>
      <x:c r="G53" s="2" t="str">
        <x:v>Email</x:v>
      </x:c>
      <x:c r="H53" s="2" t="str">
        <x:v>Authorized release</x:v>
      </x:c>
      <x:c r="I53" s="8" t="n">
        <x:v>46299.45371527778</x:v>
      </x:c>
      <x:c r="J53" s="8" t="n">
        <x:v>46299.453738425924</x:v>
      </x:c>
      <x:c r="K53" s="8" t="n">
        <x:v>46299.45377314815</x:v>
      </x:c>
      <x:c r="L53" s="2" t="str">
        <x:v>Sent</x:v>
      </x:c>
      <x:c r="M53" s="2" t="n">
        <x:v>1</x:v>
      </x:c>
      <x:c r="N53" s="2"/>
      <x:c r="O53" s="2"/>
    </x:row>
    <x:row r="54" ht="21" customHeight="1">
      <x:c r="A54" s="2" t="str">
        <x:v>NT000053</x:v>
      </x:c>
      <x:c r="B54" s="2" t="str">
        <x:v>EV000055</x:v>
      </x:c>
      <x:c r="C54" s="2" t="str">
        <x:v>T20261004-2-1</x:v>
      </x:c>
      <x:c r="D54" s="2" t="str">
        <x:v>ST009</x:v>
      </x:c>
      <x:c r="E54" s="2" t="str">
        <x:v>G009</x:v>
      </x:c>
      <x:c r="F54" s="2" t="str">
        <x:v>guardian009@example.invalid</x:v>
      </x:c>
      <x:c r="G54" s="2" t="str">
        <x:v>Email</x:v>
      </x:c>
      <x:c r="H54" s="2" t="str">
        <x:v>Boarded</x:v>
      </x:c>
      <x:c r="I54" s="8" t="n">
        <x:v>46299.43777777778</x:v>
      </x:c>
      <x:c r="J54" s="8" t="n">
        <x:v>46299.43780092592</x:v>
      </x:c>
      <x:c r="K54" s="8" t="n">
        <x:v>46299.43783564815</x:v>
      </x:c>
      <x:c r="L54" s="2" t="str">
        <x:v>Sent</x:v>
      </x:c>
      <x:c r="M54" s="2" t="n">
        <x:v>1</x:v>
      </x:c>
      <x:c r="N54" s="2"/>
      <x:c r="O54" s="2"/>
    </x:row>
    <x:row r="55" ht="21" customHeight="1">
      <x:c r="A55" s="2" t="str">
        <x:v>NT000054</x:v>
      </x:c>
      <x:c r="B55" s="2" t="str">
        <x:v>EV000056</x:v>
      </x:c>
      <x:c r="C55" s="2" t="str">
        <x:v>T20261004-2-1</x:v>
      </x:c>
      <x:c r="D55" s="2" t="str">
        <x:v>ST009</x:v>
      </x:c>
      <x:c r="E55" s="2" t="str">
        <x:v>G009</x:v>
      </x:c>
      <x:c r="F55" s="2" t="str">
        <x:v>guardian009@example.invalid</x:v>
      </x:c>
      <x:c r="G55" s="2" t="str">
        <x:v>Email</x:v>
      </x:c>
      <x:c r="H55" s="2" t="str">
        <x:v>Authorized release</x:v>
      </x:c>
      <x:c r="I55" s="8" t="n">
        <x:v>46299.457916666666</x:v>
      </x:c>
      <x:c r="J55" s="8" t="n">
        <x:v>46299.45793981481</x:v>
      </x:c>
      <x:c r="K55" s="8" t="n">
        <x:v>46299.457974537036</x:v>
      </x:c>
      <x:c r="L55" s="2" t="str">
        <x:v>Sent</x:v>
      </x:c>
      <x:c r="M55" s="2" t="n">
        <x:v>1</x:v>
      </x:c>
      <x:c r="N55" s="2"/>
      <x:c r="O55" s="2"/>
    </x:row>
    <x:row r="56" ht="21" customHeight="1">
      <x:c r="A56" s="2" t="str">
        <x:v>NT000055</x:v>
      </x:c>
      <x:c r="B56" s="2" t="str">
        <x:v>EV000057</x:v>
      </x:c>
      <x:c r="C56" s="2" t="str">
        <x:v>T20261004-2-1</x:v>
      </x:c>
      <x:c r="D56" s="2" t="str">
        <x:v>ST010</x:v>
      </x:c>
      <x:c r="E56" s="2" t="str">
        <x:v>G010</x:v>
      </x:c>
      <x:c r="F56" s="2" t="str">
        <x:v>guardian010@example.invalid</x:v>
      </x:c>
      <x:c r="G56" s="2" t="str">
        <x:v>Email</x:v>
      </x:c>
      <x:c r="H56" s="2" t="str">
        <x:v>Boarded</x:v>
      </x:c>
      <x:c r="I56" s="8" t="n">
        <x:v>46299.4378125</x:v>
      </x:c>
      <x:c r="J56" s="8" t="n">
        <x:v>46299.43783564815</x:v>
      </x:c>
      <x:c r="K56" s="8" t="n">
        <x:v>46299.43787037037</x:v>
      </x:c>
      <x:c r="L56" s="2" t="str">
        <x:v>Sent</x:v>
      </x:c>
      <x:c r="M56" s="2" t="n">
        <x:v>1</x:v>
      </x:c>
      <x:c r="N56" s="2"/>
      <x:c r="O56" s="2"/>
    </x:row>
    <x:row r="57" ht="21" customHeight="1">
      <x:c r="A57" s="2" t="str">
        <x:v>NT000056</x:v>
      </x:c>
      <x:c r="B57" s="2" t="str">
        <x:v>EV000058</x:v>
      </x:c>
      <x:c r="C57" s="2" t="str">
        <x:v>T20261004-2-1</x:v>
      </x:c>
      <x:c r="D57" s="2" t="str">
        <x:v>ST010</x:v>
      </x:c>
      <x:c r="E57" s="2" t="str">
        <x:v>G010</x:v>
      </x:c>
      <x:c r="F57" s="2" t="str">
        <x:v>guardian010@example.invalid</x:v>
      </x:c>
      <x:c r="G57" s="2" t="str">
        <x:v>Email</x:v>
      </x:c>
      <x:c r="H57" s="2" t="str">
        <x:v>Authorized release</x:v>
      </x:c>
      <x:c r="I57" s="8" t="n">
        <x:v>46299.44961805555</x:v>
      </x:c>
      <x:c r="J57" s="8" t="n">
        <x:v>46299.4496412037</x:v>
      </x:c>
      <x:c r="K57" s="8" t="n">
        <x:v>46299.44967592592</x:v>
      </x:c>
      <x:c r="L57" s="2" t="str">
        <x:v>Sent</x:v>
      </x:c>
      <x:c r="M57" s="2" t="n">
        <x:v>1</x:v>
      </x:c>
      <x:c r="N57" s="2"/>
      <x:c r="O57" s="2"/>
    </x:row>
    <x:row r="58" ht="21" customHeight="1">
      <x:c r="A58" s="2" t="str">
        <x:v>NT000057</x:v>
      </x:c>
      <x:c r="B58" s="2" t="str">
        <x:v>EV000059</x:v>
      </x:c>
      <x:c r="C58" s="2" t="str">
        <x:v>T20261004-2-1</x:v>
      </x:c>
      <x:c r="D58" s="2" t="str">
        <x:v>ST021</x:v>
      </x:c>
      <x:c r="E58" s="2" t="str">
        <x:v>G021</x:v>
      </x:c>
      <x:c r="F58" s="2" t="str">
        <x:v>guardian021@example.invalid</x:v>
      </x:c>
      <x:c r="G58" s="2" t="str">
        <x:v>Email</x:v>
      </x:c>
      <x:c r="H58" s="2" t="str">
        <x:v>Boarded</x:v>
      </x:c>
      <x:c r="I58" s="8" t="n">
        <x:v>46299.48125</x:v>
      </x:c>
      <x:c r="J58" s="8" t="n">
        <x:v>46299.48127314814</x:v>
      </x:c>
      <x:c r="K58" s="8" t="n">
        <x:v>46299.48130787037</x:v>
      </x:c>
      <x:c r="L58" s="2" t="str">
        <x:v>Sent</x:v>
      </x:c>
      <x:c r="M58" s="2" t="n">
        <x:v>1</x:v>
      </x:c>
      <x:c r="N58" s="2"/>
      <x:c r="O58" s="2"/>
    </x:row>
    <x:row r="59" ht="21" customHeight="1">
      <x:c r="A59" s="2" t="str">
        <x:v>NT000058</x:v>
      </x:c>
      <x:c r="B59" s="2" t="str">
        <x:v>EV000060</x:v>
      </x:c>
      <x:c r="C59" s="2" t="str">
        <x:v>T20261004-2-1</x:v>
      </x:c>
      <x:c r="D59" s="2" t="str">
        <x:v>ST021</x:v>
      </x:c>
      <x:c r="E59" s="2" t="str">
        <x:v>G021</x:v>
      </x:c>
      <x:c r="F59" s="2" t="str">
        <x:v>guardian021@example.invalid</x:v>
      </x:c>
      <x:c r="G59" s="2" t="str">
        <x:v>Email</x:v>
      </x:c>
      <x:c r="H59" s="2" t="str">
        <x:v>School receipt</x:v>
      </x:c>
      <x:c r="I59" s="8" t="n">
        <x:v>46299.506250000006</x:v>
      </x:c>
      <x:c r="J59" s="8" t="n">
        <x:v>46299.50627314815</x:v>
      </x:c>
      <x:c r="K59" s="8" t="n">
        <x:v>46299.506307870375</x:v>
      </x:c>
      <x:c r="L59" s="2" t="str">
        <x:v>Sent</x:v>
      </x:c>
      <x:c r="M59" s="2" t="n">
        <x:v>1</x:v>
      </x:c>
      <x:c r="N59" s="2"/>
      <x:c r="O59" s="2"/>
    </x:row>
    <x:row r="60" ht="21" customHeight="1">
      <x:c r="A60" s="2" t="str">
        <x:v>NT000059</x:v>
      </x:c>
      <x:c r="B60" s="2" t="str">
        <x:v>EV000061</x:v>
      </x:c>
      <x:c r="C60" s="2" t="str">
        <x:v>T20261004-2-1</x:v>
      </x:c>
      <x:c r="D60" s="2" t="str">
        <x:v>ST022</x:v>
      </x:c>
      <x:c r="E60" s="2" t="str">
        <x:v>G022</x:v>
      </x:c>
      <x:c r="F60" s="2" t="str">
        <x:v>guardian022@example.invalid</x:v>
      </x:c>
      <x:c r="G60" s="2" t="str">
        <x:v>Email</x:v>
      </x:c>
      <x:c r="H60" s="2" t="str">
        <x:v>Boarded</x:v>
      </x:c>
      <x:c r="I60" s="8" t="n">
        <x:v>46299.4715625</x:v>
      </x:c>
      <x:c r="J60" s="8" t="n">
        <x:v>46299.47158564815</x:v>
      </x:c>
      <x:c r="K60" s="8" t="n">
        <x:v>46299.47162037037</x:v>
      </x:c>
      <x:c r="L60" s="2" t="str">
        <x:v>Sent</x:v>
      </x:c>
      <x:c r="M60" s="2" t="n">
        <x:v>1</x:v>
      </x:c>
      <x:c r="N60" s="2"/>
      <x:c r="O60" s="2"/>
    </x:row>
    <x:row r="61" ht="21" customHeight="1">
      <x:c r="A61" s="2" t="str">
        <x:v>NT000060</x:v>
      </x:c>
      <x:c r="B61" s="2" t="str">
        <x:v>EV000062</x:v>
      </x:c>
      <x:c r="C61" s="2" t="str">
        <x:v>T20261004-2-1</x:v>
      </x:c>
      <x:c r="D61" s="2" t="str">
        <x:v>ST022</x:v>
      </x:c>
      <x:c r="E61" s="2" t="str">
        <x:v>G022</x:v>
      </x:c>
      <x:c r="F61" s="2" t="str">
        <x:v>guardian022@example.invalid</x:v>
      </x:c>
      <x:c r="G61" s="2" t="str">
        <x:v>Email</x:v>
      </x:c>
      <x:c r="H61" s="2" t="str">
        <x:v>School receipt</x:v>
      </x:c>
      <x:c r="I61" s="8" t="n">
        <x:v>46299.50628472223</x:v>
      </x:c>
      <x:c r="J61" s="8" t="n">
        <x:v>46299.506307870375</x:v>
      </x:c>
      <x:c r="K61" s="8" t="n">
        <x:v>46299.5063425926</x:v>
      </x:c>
      <x:c r="L61" s="2" t="str">
        <x:v>Sent</x:v>
      </x:c>
      <x:c r="M61" s="2" t="n">
        <x:v>1</x:v>
      </x:c>
      <x:c r="N61" s="2"/>
      <x:c r="O61" s="2"/>
    </x:row>
    <x:row r="62" ht="21" customHeight="1">
      <x:c r="A62" s="2" t="str">
        <x:v>NT000061</x:v>
      </x:c>
      <x:c r="B62" s="2" t="str">
        <x:v>EV000063</x:v>
      </x:c>
      <x:c r="C62" s="2" t="str">
        <x:v>T20261004-2-1</x:v>
      </x:c>
      <x:c r="D62" s="2" t="str">
        <x:v>ST023</x:v>
      </x:c>
      <x:c r="E62" s="2" t="str">
        <x:v>G023</x:v>
      </x:c>
      <x:c r="F62" s="2" t="str">
        <x:v>guardian023@example.invalid</x:v>
      </x:c>
      <x:c r="G62" s="2" t="str">
        <x:v>Email</x:v>
      </x:c>
      <x:c r="H62" s="2" t="str">
        <x:v>Boarded</x:v>
      </x:c>
      <x:c r="I62" s="8" t="n">
        <x:v>46299.47645833333</x:v>
      </x:c>
      <x:c r="J62" s="8" t="n">
        <x:v>46299.47648148148</x:v>
      </x:c>
      <x:c r="K62" s="8" t="n">
        <x:v>46299.4765162037</x:v>
      </x:c>
      <x:c r="L62" s="2" t="str">
        <x:v>Sent</x:v>
      </x:c>
      <x:c r="M62" s="2" t="n">
        <x:v>1</x:v>
      </x:c>
      <x:c r="N62" s="2"/>
      <x:c r="O62" s="2"/>
    </x:row>
    <x:row r="63" ht="21" customHeight="1">
      <x:c r="A63" s="2" t="str">
        <x:v>NT000062</x:v>
      </x:c>
      <x:c r="B63" s="2" t="str">
        <x:v>EV000064</x:v>
      </x:c>
      <x:c r="C63" s="2" t="str">
        <x:v>T20261004-2-1</x:v>
      </x:c>
      <x:c r="D63" s="2" t="str">
        <x:v>ST023</x:v>
      </x:c>
      <x:c r="E63" s="2" t="str">
        <x:v>G023</x:v>
      </x:c>
      <x:c r="F63" s="2" t="str">
        <x:v>guardian023@example.invalid</x:v>
      </x:c>
      <x:c r="G63" s="2" t="str">
        <x:v>Email</x:v>
      </x:c>
      <x:c r="H63" s="2" t="str">
        <x:v>School receipt</x:v>
      </x:c>
      <x:c r="I63" s="8" t="n">
        <x:v>46299.506319444445</x:v>
      </x:c>
      <x:c r="J63" s="8" t="n">
        <x:v>46299.50634259259</x:v>
      </x:c>
      <x:c r="K63" s="8" t="n">
        <x:v>46299.506377314814</x:v>
      </x:c>
      <x:c r="L63" s="2" t="str">
        <x:v>Sent</x:v>
      </x:c>
      <x:c r="M63" s="2" t="n">
        <x:v>1</x:v>
      </x:c>
      <x:c r="N63" s="2"/>
      <x:c r="O63" s="2"/>
    </x:row>
    <x:row r="64" ht="21" customHeight="1">
      <x:c r="A64" s="2" t="str">
        <x:v>NT000063</x:v>
      </x:c>
      <x:c r="B64" s="2" t="str">
        <x:v>EV000065</x:v>
      </x:c>
      <x:c r="C64" s="2" t="str">
        <x:v>T20261004-2-1</x:v>
      </x:c>
      <x:c r="D64" s="2" t="str">
        <x:v>ST024</x:v>
      </x:c>
      <x:c r="E64" s="2" t="str">
        <x:v>G024</x:v>
      </x:c>
      <x:c r="F64" s="2" t="str">
        <x:v>guardian024@example.invalid</x:v>
      </x:c>
      <x:c r="G64" s="2" t="str">
        <x:v>Email</x:v>
      </x:c>
      <x:c r="H64" s="2" t="str">
        <x:v>Boarded</x:v>
      </x:c>
      <x:c r="I64" s="8" t="n">
        <x:v>46299.481354166666</x:v>
      </x:c>
      <x:c r="J64" s="8" t="n">
        <x:v>46299.48137731481</x:v>
      </x:c>
      <x:c r="K64" s="8" t="n">
        <x:v>46299.481412037036</x:v>
      </x:c>
      <x:c r="L64" s="2" t="str">
        <x:v>Sent</x:v>
      </x:c>
      <x:c r="M64" s="2" t="n">
        <x:v>1</x:v>
      </x:c>
      <x:c r="N64" s="2"/>
      <x:c r="O64" s="2"/>
    </x:row>
    <x:row r="65" ht="21" customHeight="1">
      <x:c r="A65" s="2" t="str">
        <x:v>NT000064</x:v>
      </x:c>
      <x:c r="B65" s="2" t="str">
        <x:v>EV000066</x:v>
      </x:c>
      <x:c r="C65" s="2" t="str">
        <x:v>T20261004-2-1</x:v>
      </x:c>
      <x:c r="D65" s="2" t="str">
        <x:v>ST024</x:v>
      </x:c>
      <x:c r="E65" s="2" t="str">
        <x:v>G024</x:v>
      </x:c>
      <x:c r="F65" s="2" t="str">
        <x:v>guardian024@example.invalid</x:v>
      </x:c>
      <x:c r="G65" s="2" t="str">
        <x:v>Email</x:v>
      </x:c>
      <x:c r="H65" s="2" t="str">
        <x:v>School receipt</x:v>
      </x:c>
      <x:c r="I65" s="8" t="n">
        <x:v>46299.50635416667</x:v>
      </x:c>
      <x:c r="J65" s="8" t="n">
        <x:v>46299.506377314814</x:v>
      </x:c>
      <x:c r="K65" s="8" t="n">
        <x:v>46299.50641203704</x:v>
      </x:c>
      <x:c r="L65" s="2" t="str">
        <x:v>Sent</x:v>
      </x:c>
      <x:c r="M65" s="2" t="n">
        <x:v>1</x:v>
      </x:c>
      <x:c r="N65" s="2"/>
      <x:c r="O65" s="2"/>
    </x:row>
    <x:row r="66" ht="21" customHeight="1">
      <x:c r="A66" s="2" t="str">
        <x:v>NT000065</x:v>
      </x:c>
      <x:c r="B66" s="2" t="str">
        <x:v>EV000067</x:v>
      </x:c>
      <x:c r="C66" s="2" t="str">
        <x:v>T20261004-2-1</x:v>
      </x:c>
      <x:c r="D66" s="2" t="str">
        <x:v>ST025</x:v>
      </x:c>
      <x:c r="E66" s="2" t="str">
        <x:v>G025</x:v>
      </x:c>
      <x:c r="F66" s="2" t="str">
        <x:v>guardian025@example.invalid</x:v>
      </x:c>
      <x:c r="G66" s="2" t="str">
        <x:v>Email</x:v>
      </x:c>
      <x:c r="H66" s="2" t="str">
        <x:v>Boarded</x:v>
      </x:c>
      <x:c r="I66" s="8" t="n">
        <x:v>46299.47166666667</x:v>
      </x:c>
      <x:c r="J66" s="8" t="n">
        <x:v>46299.47168981482</x:v>
      </x:c>
      <x:c r="K66" s="8" t="n">
        <x:v>46299.47172453704</x:v>
      </x:c>
      <x:c r="L66" s="2" t="str">
        <x:v>Sent</x:v>
      </x:c>
      <x:c r="M66" s="2" t="n">
        <x:v>1</x:v>
      </x:c>
      <x:c r="N66" s="2"/>
      <x:c r="O66" s="2"/>
    </x:row>
    <x:row r="67" ht="21" customHeight="1">
      <x:c r="A67" s="2" t="str">
        <x:v>NT000066</x:v>
      </x:c>
      <x:c r="B67" s="2" t="str">
        <x:v>EV000068</x:v>
      </x:c>
      <x:c r="C67" s="2" t="str">
        <x:v>T20261004-2-1</x:v>
      </x:c>
      <x:c r="D67" s="2" t="str">
        <x:v>ST025</x:v>
      </x:c>
      <x:c r="E67" s="2" t="str">
        <x:v>G025</x:v>
      </x:c>
      <x:c r="F67" s="2" t="str">
        <x:v>guardian025@example.invalid</x:v>
      </x:c>
      <x:c r="G67" s="2" t="str">
        <x:v>Email</x:v>
      </x:c>
      <x:c r="H67" s="2" t="str">
        <x:v>School receipt</x:v>
      </x:c>
      <x:c r="I67" s="8" t="n">
        <x:v>46299.50638888889</x:v>
      </x:c>
      <x:c r="J67" s="8" t="n">
        <x:v>46299.50641203704</x:v>
      </x:c>
      <x:c r="K67" s="8" t="n">
        <x:v>46299.50644675926</x:v>
      </x:c>
      <x:c r="L67" s="2" t="str">
        <x:v>Sent</x:v>
      </x:c>
      <x:c r="M67" s="2" t="n">
        <x:v>1</x:v>
      </x:c>
      <x:c r="N67" s="2"/>
      <x:c r="O67" s="2"/>
    </x:row>
    <x:row r="68" ht="21" customHeight="1">
      <x:c r="A68" s="2" t="str">
        <x:v>NT000067</x:v>
      </x:c>
      <x:c r="B68" s="2" t="str">
        <x:v>EV000069</x:v>
      </x:c>
      <x:c r="C68" s="2" t="str">
        <x:v>T20261004-2-1</x:v>
      </x:c>
      <x:c r="D68" s="2" t="str">
        <x:v>ST026</x:v>
      </x:c>
      <x:c r="E68" s="2" t="str">
        <x:v>G026</x:v>
      </x:c>
      <x:c r="F68" s="2" t="str">
        <x:v>guardian026@example.invalid</x:v>
      </x:c>
      <x:c r="G68" s="2" t="str">
        <x:v>Email</x:v>
      </x:c>
      <x:c r="H68" s="2" t="str">
        <x:v>Boarded</x:v>
      </x:c>
      <x:c r="I68" s="8" t="n">
        <x:v>46299.47656249999</x:v>
      </x:c>
      <x:c r="J68" s="8" t="n">
        <x:v>46299.47658564814</x:v>
      </x:c>
      <x:c r="K68" s="8" t="n">
        <x:v>46299.47662037036</x:v>
      </x:c>
      <x:c r="L68" s="2" t="str">
        <x:v>Sent</x:v>
      </x:c>
      <x:c r="M68" s="2" t="n">
        <x:v>1</x:v>
      </x:c>
      <x:c r="N68" s="2"/>
      <x:c r="O68" s="2"/>
    </x:row>
    <x:row r="69" ht="21" customHeight="1">
      <x:c r="A69" s="2" t="str">
        <x:v>NT000068</x:v>
      </x:c>
      <x:c r="B69" s="2" t="str">
        <x:v>EV000070</x:v>
      </x:c>
      <x:c r="C69" s="2" t="str">
        <x:v>T20261004-2-1</x:v>
      </x:c>
      <x:c r="D69" s="2" t="str">
        <x:v>ST026</x:v>
      </x:c>
      <x:c r="E69" s="2" t="str">
        <x:v>G026</x:v>
      </x:c>
      <x:c r="F69" s="2" t="str">
        <x:v>guardian026@example.invalid</x:v>
      </x:c>
      <x:c r="G69" s="2" t="str">
        <x:v>Email</x:v>
      </x:c>
      <x:c r="H69" s="2" t="str">
        <x:v>School receipt</x:v>
      </x:c>
      <x:c r="I69" s="8" t="n">
        <x:v>46299.506423611114</x:v>
      </x:c>
      <x:c r="J69" s="8" t="n">
        <x:v>46299.50644675926</x:v>
      </x:c>
      <x:c r="K69" s="8" t="n">
        <x:v>46299.50648148148</x:v>
      </x:c>
      <x:c r="L69" s="2" t="str">
        <x:v>Sent</x:v>
      </x:c>
      <x:c r="M69" s="2" t="n">
        <x:v>1</x:v>
      </x:c>
      <x:c r="N69" s="2"/>
      <x:c r="O69" s="2"/>
    </x:row>
    <x:row r="70" ht="21" customHeight="1">
      <x:c r="A70" s="2" t="str">
        <x:v>NT000069</x:v>
      </x:c>
      <x:c r="B70" s="2" t="str">
        <x:v>EV000071</x:v>
      </x:c>
      <x:c r="C70" s="2" t="str">
        <x:v>T20261004-2-1</x:v>
      </x:c>
      <x:c r="D70" s="2" t="str">
        <x:v>ST027</x:v>
      </x:c>
      <x:c r="E70" s="2" t="str">
        <x:v>G027</x:v>
      </x:c>
      <x:c r="F70" s="2" t="str">
        <x:v>guardian027@example.invalid</x:v>
      </x:c>
      <x:c r="G70" s="2" t="str">
        <x:v>Email</x:v>
      </x:c>
      <x:c r="H70" s="2" t="str">
        <x:v>Boarded</x:v>
      </x:c>
      <x:c r="I70" s="8" t="n">
        <x:v>46299.48145833333</x:v>
      </x:c>
      <x:c r="J70" s="8" t="n">
        <x:v>46299.481481481474</x:v>
      </x:c>
      <x:c r="K70" s="8" t="n">
        <x:v>46299.4815162037</x:v>
      </x:c>
      <x:c r="L70" s="2" t="str">
        <x:v>Sent</x:v>
      </x:c>
      <x:c r="M70" s="2" t="n">
        <x:v>1</x:v>
      </x:c>
      <x:c r="N70" s="2"/>
      <x:c r="O70" s="2"/>
    </x:row>
    <x:row r="71" ht="21" customHeight="1">
      <x:c r="A71" s="2" t="str">
        <x:v>NT000070</x:v>
      </x:c>
      <x:c r="B71" s="2" t="str">
        <x:v>EV000072</x:v>
      </x:c>
      <x:c r="C71" s="2" t="str">
        <x:v>T20261004-2-1</x:v>
      </x:c>
      <x:c r="D71" s="2" t="str">
        <x:v>ST027</x:v>
      </x:c>
      <x:c r="E71" s="2" t="str">
        <x:v>G027</x:v>
      </x:c>
      <x:c r="F71" s="2" t="str">
        <x:v>guardian027@example.invalid</x:v>
      </x:c>
      <x:c r="G71" s="2" t="str">
        <x:v>Email</x:v>
      </x:c>
      <x:c r="H71" s="2" t="str">
        <x:v>School receipt</x:v>
      </x:c>
      <x:c r="I71" s="8" t="n">
        <x:v>46299.50645833334</x:v>
      </x:c>
      <x:c r="J71" s="8" t="n">
        <x:v>46299.50648148148</x:v>
      </x:c>
      <x:c r="K71" s="8" t="n">
        <x:v>46299.506516203706</x:v>
      </x:c>
      <x:c r="L71" s="2" t="str">
        <x:v>Sent</x:v>
      </x:c>
      <x:c r="M71" s="2" t="n">
        <x:v>1</x:v>
      </x:c>
      <x:c r="N71" s="2"/>
      <x:c r="O71" s="2"/>
    </x:row>
    <x:row r="72" ht="21" customHeight="1">
      <x:c r="A72" s="2" t="str">
        <x:v>NT000071</x:v>
      </x:c>
      <x:c r="B72" s="2" t="str">
        <x:v>EV000073</x:v>
      </x:c>
      <x:c r="C72" s="2" t="str">
        <x:v>T20261004-2-1</x:v>
      </x:c>
      <x:c r="D72" s="2" t="str">
        <x:v>ST028</x:v>
      </x:c>
      <x:c r="E72" s="2" t="str">
        <x:v>G028</x:v>
      </x:c>
      <x:c r="F72" s="2" t="str">
        <x:v>guardian028@example.invalid</x:v>
      </x:c>
      <x:c r="G72" s="2" t="str">
        <x:v>Email</x:v>
      </x:c>
      <x:c r="H72" s="2" t="str">
        <x:v>Boarded</x:v>
      </x:c>
      <x:c r="I72" s="8" t="n">
        <x:v>46299.471770833334</x:v>
      </x:c>
      <x:c r="J72" s="8" t="n">
        <x:v>46299.47179398148</x:v>
      </x:c>
      <x:c r="K72" s="8" t="n">
        <x:v>46299.4718287037</x:v>
      </x:c>
      <x:c r="L72" s="2" t="str">
        <x:v>Sent</x:v>
      </x:c>
      <x:c r="M72" s="2" t="n">
        <x:v>1</x:v>
      </x:c>
      <x:c r="N72" s="2"/>
      <x:c r="O72" s="2"/>
    </x:row>
    <x:row r="73" ht="21" customHeight="1">
      <x:c r="A73" s="2" t="str">
        <x:v>NT000072</x:v>
      </x:c>
      <x:c r="B73" s="2" t="str">
        <x:v>EV000074</x:v>
      </x:c>
      <x:c r="C73" s="2" t="str">
        <x:v>T20261004-2-1</x:v>
      </x:c>
      <x:c r="D73" s="2" t="str">
        <x:v>ST028</x:v>
      </x:c>
      <x:c r="E73" s="2" t="str">
        <x:v>G028</x:v>
      </x:c>
      <x:c r="F73" s="2" t="str">
        <x:v>guardian028@example.invalid</x:v>
      </x:c>
      <x:c r="G73" s="2" t="str">
        <x:v>Email</x:v>
      </x:c>
      <x:c r="H73" s="2" t="str">
        <x:v>School receipt</x:v>
      </x:c>
      <x:c r="I73" s="8" t="n">
        <x:v>46299.50649305556</x:v>
      </x:c>
      <x:c r="J73" s="8" t="n">
        <x:v>46299.506516203706</x:v>
      </x:c>
      <x:c r="K73" s="8" t="n">
        <x:v>46299.50655092593</x:v>
      </x:c>
      <x:c r="L73" s="2" t="str">
        <x:v>Sent</x:v>
      </x:c>
      <x:c r="M73" s="2" t="n">
        <x:v>1</x:v>
      </x:c>
      <x:c r="N73" s="2"/>
      <x:c r="O73" s="2"/>
    </x:row>
    <x:row r="74" ht="21" customHeight="1">
      <x:c r="A74" s="2" t="str">
        <x:v>NT000073</x:v>
      </x:c>
      <x:c r="B74" s="2" t="str">
        <x:v>EV000075</x:v>
      </x:c>
      <x:c r="C74" s="2" t="str">
        <x:v>T20261004-2-1</x:v>
      </x:c>
      <x:c r="D74" s="2" t="str">
        <x:v>ST029</x:v>
      </x:c>
      <x:c r="E74" s="2" t="str">
        <x:v>G029</x:v>
      </x:c>
      <x:c r="F74" s="2" t="str">
        <x:v>guardian029@example.invalid</x:v>
      </x:c>
      <x:c r="G74" s="2" t="str">
        <x:v>Email</x:v>
      </x:c>
      <x:c r="H74" s="2" t="str">
        <x:v>Boarded</x:v>
      </x:c>
      <x:c r="I74" s="8" t="n">
        <x:v>46299.47666666666</x:v>
      </x:c>
      <x:c r="J74" s="8" t="n">
        <x:v>46299.47668981481</x:v>
      </x:c>
      <x:c r="K74" s="8" t="n">
        <x:v>46299.47672453703</x:v>
      </x:c>
      <x:c r="L74" s="2" t="str">
        <x:v>Sent</x:v>
      </x:c>
      <x:c r="M74" s="2" t="n">
        <x:v>1</x:v>
      </x:c>
      <x:c r="N74" s="2"/>
      <x:c r="O74" s="2"/>
    </x:row>
    <x:row r="75" ht="21" customHeight="1">
      <x:c r="A75" s="2" t="str">
        <x:v>NT000074</x:v>
      </x:c>
      <x:c r="B75" s="2" t="str">
        <x:v>EV000076</x:v>
      </x:c>
      <x:c r="C75" s="2" t="str">
        <x:v>T20261004-2-1</x:v>
      </x:c>
      <x:c r="D75" s="2" t="str">
        <x:v>ST029</x:v>
      </x:c>
      <x:c r="E75" s="2" t="str">
        <x:v>G029</x:v>
      </x:c>
      <x:c r="F75" s="2" t="str">
        <x:v>guardian029@example.invalid</x:v>
      </x:c>
      <x:c r="G75" s="2" t="str">
        <x:v>Email</x:v>
      </x:c>
      <x:c r="H75" s="2" t="str">
        <x:v>School receipt</x:v>
      </x:c>
      <x:c r="I75" s="8" t="n">
        <x:v>46299.50652777778</x:v>
      </x:c>
      <x:c r="J75" s="8" t="n">
        <x:v>46299.50655092593</x:v>
      </x:c>
      <x:c r="K75" s="8" t="n">
        <x:v>46299.50658564815</x:v>
      </x:c>
      <x:c r="L75" s="2" t="str">
        <x:v>Sent</x:v>
      </x:c>
      <x:c r="M75" s="2" t="n">
        <x:v>1</x:v>
      </x:c>
      <x:c r="N75" s="2"/>
      <x:c r="O75" s="2"/>
    </x:row>
    <x:row r="76" ht="21" customHeight="1">
      <x:c r="A76" s="2" t="str">
        <x:v>NT000075</x:v>
      </x:c>
      <x:c r="B76" s="2" t="str">
        <x:v>EV000077</x:v>
      </x:c>
      <x:c r="C76" s="2" t="str">
        <x:v>T20261004-2-1</x:v>
      </x:c>
      <x:c r="D76" s="2" t="str">
        <x:v>ST030</x:v>
      </x:c>
      <x:c r="E76" s="2" t="str">
        <x:v>G030</x:v>
      </x:c>
      <x:c r="F76" s="2" t="str">
        <x:v>guardian030@example.invalid</x:v>
      </x:c>
      <x:c r="G76" s="2" t="str">
        <x:v>Email</x:v>
      </x:c>
      <x:c r="H76" s="2" t="str">
        <x:v>Boarded</x:v>
      </x:c>
      <x:c r="I76" s="8" t="n">
        <x:v>46299.4815625</x:v>
      </x:c>
      <x:c r="J76" s="8" t="n">
        <x:v>46299.481585648144</x:v>
      </x:c>
      <x:c r="K76" s="8" t="n">
        <x:v>46299.48162037037</x:v>
      </x:c>
      <x:c r="L76" s="2" t="str">
        <x:v>Sent</x:v>
      </x:c>
      <x:c r="M76" s="2" t="n">
        <x:v>1</x:v>
      </x:c>
      <x:c r="N76" s="2"/>
      <x:c r="O76" s="2"/>
    </x:row>
    <x:row r="77" ht="21" customHeight="1">
      <x:c r="A77" s="2" t="str">
        <x:v>NT000076</x:v>
      </x:c>
      <x:c r="B77" s="2" t="str">
        <x:v>EV000078</x:v>
      </x:c>
      <x:c r="C77" s="2" t="str">
        <x:v>T20261004-2-1</x:v>
      </x:c>
      <x:c r="D77" s="2" t="str">
        <x:v>ST030</x:v>
      </x:c>
      <x:c r="E77" s="2" t="str">
        <x:v>G030</x:v>
      </x:c>
      <x:c r="F77" s="2" t="str">
        <x:v>guardian030@example.invalid</x:v>
      </x:c>
      <x:c r="G77" s="2" t="str">
        <x:v>Email</x:v>
      </x:c>
      <x:c r="H77" s="2" t="str">
        <x:v>School receipt</x:v>
      </x:c>
      <x:c r="I77" s="8" t="n">
        <x:v>46299.506562500006</x:v>
      </x:c>
      <x:c r="J77" s="8" t="n">
        <x:v>46299.50658564815</x:v>
      </x:c>
      <x:c r="K77" s="8" t="n">
        <x:v>46299.506620370375</x:v>
      </x:c>
      <x:c r="L77" s="2" t="str">
        <x:v>Sent</x:v>
      </x:c>
      <x:c r="M77" s="2" t="n">
        <x:v>1</x:v>
      </x:c>
      <x:c r="N77" s="2"/>
      <x:c r="O77" s="2"/>
    </x:row>
    <x:row r="78" ht="21" customHeight="1">
      <x:c r="A78" s="2" t="str">
        <x:v>NT000077</x:v>
      </x:c>
      <x:c r="B78" s="2" t="str">
        <x:v>EV000079</x:v>
      </x:c>
      <x:c r="C78" s="2" t="str">
        <x:v>T20261004-2-1</x:v>
      </x:c>
      <x:c r="D78" s="2" t="str">
        <x:v>ST031</x:v>
      </x:c>
      <x:c r="E78" s="2" t="str">
        <x:v>G031</x:v>
      </x:c>
      <x:c r="F78" s="2" t="str">
        <x:v>guardian031@example.invalid</x:v>
      </x:c>
      <x:c r="G78" s="2" t="str">
        <x:v>Email</x:v>
      </x:c>
      <x:c r="H78" s="2" t="str">
        <x:v>Boarded</x:v>
      </x:c>
      <x:c r="I78" s="8" t="n">
        <x:v>46299.47152777778</x:v>
      </x:c>
      <x:c r="J78" s="8" t="n">
        <x:v>46299.471550925926</x:v>
      </x:c>
      <x:c r="K78" s="8" t="n">
        <x:v>46299.47158564815</x:v>
      </x:c>
      <x:c r="L78" s="2" t="str">
        <x:v>Sent</x:v>
      </x:c>
      <x:c r="M78" s="2" t="n">
        <x:v>1</x:v>
      </x:c>
      <x:c r="N78" s="2"/>
      <x:c r="O78" s="2"/>
    </x:row>
    <x:row r="79" ht="21" customHeight="1">
      <x:c r="A79" s="2" t="str">
        <x:v>NT000078</x:v>
      </x:c>
      <x:c r="B79" s="2" t="str">
        <x:v>EV000080</x:v>
      </x:c>
      <x:c r="C79" s="2" t="str">
        <x:v>T20261004-2-1</x:v>
      </x:c>
      <x:c r="D79" s="2" t="str">
        <x:v>ST031</x:v>
      </x:c>
      <x:c r="E79" s="2" t="str">
        <x:v>G031</x:v>
      </x:c>
      <x:c r="F79" s="2" t="str">
        <x:v>guardian031@example.invalid</x:v>
      </x:c>
      <x:c r="G79" s="2" t="str">
        <x:v>Email</x:v>
      </x:c>
      <x:c r="H79" s="2" t="str">
        <x:v>School receipt</x:v>
      </x:c>
      <x:c r="I79" s="8" t="n">
        <x:v>46299.50659722223</x:v>
      </x:c>
      <x:c r="J79" s="8" t="n">
        <x:v>46299.506620370375</x:v>
      </x:c>
      <x:c r="K79" s="8" t="n">
        <x:v>46299.5066550926</x:v>
      </x:c>
      <x:c r="L79" s="2" t="str">
        <x:v>Sent</x:v>
      </x:c>
      <x:c r="M79" s="2" t="n">
        <x:v>1</x:v>
      </x:c>
      <x:c r="N79" s="2"/>
      <x:c r="O79" s="2"/>
    </x:row>
    <x:row r="80" ht="21" customHeight="1">
      <x:c r="A80" s="2" t="str">
        <x:v>NT000079</x:v>
      </x:c>
      <x:c r="B80" s="2" t="str">
        <x:v>EV000081</x:v>
      </x:c>
      <x:c r="C80" s="2" t="str">
        <x:v>T20261004-2-1</x:v>
      </x:c>
      <x:c r="D80" s="2" t="str">
        <x:v>ST032</x:v>
      </x:c>
      <x:c r="E80" s="2" t="str">
        <x:v>G032</x:v>
      </x:c>
      <x:c r="F80" s="2" t="str">
        <x:v>guardian032@example.invalid</x:v>
      </x:c>
      <x:c r="G80" s="2" t="str">
        <x:v>Email</x:v>
      </x:c>
      <x:c r="H80" s="2" t="str">
        <x:v>Boarded</x:v>
      </x:c>
      <x:c r="I80" s="8" t="n">
        <x:v>46299.47642361111</x:v>
      </x:c>
      <x:c r="J80" s="8" t="n">
        <x:v>46299.476446759254</x:v>
      </x:c>
      <x:c r="K80" s="8" t="n">
        <x:v>46299.47648148148</x:v>
      </x:c>
      <x:c r="L80" s="2" t="str">
        <x:v>Sent</x:v>
      </x:c>
      <x:c r="M80" s="2" t="n">
        <x:v>1</x:v>
      </x:c>
      <x:c r="N80" s="2"/>
      <x:c r="O80" s="2"/>
    </x:row>
    <x:row r="81" ht="21" customHeight="1">
      <x:c r="A81" s="2" t="str">
        <x:v>NT000080</x:v>
      </x:c>
      <x:c r="B81" s="2" t="str">
        <x:v>EV000082</x:v>
      </x:c>
      <x:c r="C81" s="2" t="str">
        <x:v>T20261004-2-1</x:v>
      </x:c>
      <x:c r="D81" s="2" t="str">
        <x:v>ST032</x:v>
      </x:c>
      <x:c r="E81" s="2" t="str">
        <x:v>G032</x:v>
      </x:c>
      <x:c r="F81" s="2" t="str">
        <x:v>guardian032@example.invalid</x:v>
      </x:c>
      <x:c r="G81" s="2" t="str">
        <x:v>Email</x:v>
      </x:c>
      <x:c r="H81" s="2" t="str">
        <x:v>School receipt</x:v>
      </x:c>
      <x:c r="I81" s="8" t="n">
        <x:v>46299.506631944445</x:v>
      </x:c>
      <x:c r="J81" s="8" t="n">
        <x:v>46299.50665509259</x:v>
      </x:c>
      <x:c r="K81" s="8" t="n">
        <x:v>46299.506689814814</x:v>
      </x:c>
      <x:c r="L81" s="2" t="str">
        <x:v>Sent</x:v>
      </x:c>
      <x:c r="M81" s="2" t="n">
        <x:v>1</x:v>
      </x:c>
      <x:c r="N81" s="2"/>
      <x:c r="O81" s="2"/>
    </x:row>
    <x:row r="82" ht="21" customHeight="1">
      <x:c r="A82" s="2" t="str">
        <x:v>NT000081</x:v>
      </x:c>
      <x:c r="B82" s="2" t="str">
        <x:v>EV000083</x:v>
      </x:c>
      <x:c r="C82" s="2" t="str">
        <x:v>T20261004-2-1</x:v>
      </x:c>
      <x:c r="D82" s="2" t="str">
        <x:v>ST033</x:v>
      </x:c>
      <x:c r="E82" s="2" t="str">
        <x:v>G033</x:v>
      </x:c>
      <x:c r="F82" s="2" t="str">
        <x:v>guardian033@example.invalid</x:v>
      </x:c>
      <x:c r="G82" s="2" t="str">
        <x:v>Email</x:v>
      </x:c>
      <x:c r="H82" s="2" t="str">
        <x:v>Boarded</x:v>
      </x:c>
      <x:c r="I82" s="8" t="n">
        <x:v>46299.48131944444</x:v>
      </x:c>
      <x:c r="J82" s="8" t="n">
        <x:v>46299.48134259259</x:v>
      </x:c>
      <x:c r="K82" s="8" t="n">
        <x:v>46299.48137731481</x:v>
      </x:c>
      <x:c r="L82" s="2" t="str">
        <x:v>Sent</x:v>
      </x:c>
      <x:c r="M82" s="2" t="n">
        <x:v>1</x:v>
      </x:c>
      <x:c r="N82" s="2"/>
      <x:c r="O82" s="2"/>
    </x:row>
    <x:row r="83" ht="21" customHeight="1">
      <x:c r="A83" s="2" t="str">
        <x:v>NT000082</x:v>
      </x:c>
      <x:c r="B83" s="2" t="str">
        <x:v>EV000084</x:v>
      </x:c>
      <x:c r="C83" s="2" t="str">
        <x:v>T20261004-2-1</x:v>
      </x:c>
      <x:c r="D83" s="2" t="str">
        <x:v>ST033</x:v>
      </x:c>
      <x:c r="E83" s="2" t="str">
        <x:v>G033</x:v>
      </x:c>
      <x:c r="F83" s="2" t="str">
        <x:v>guardian033@example.invalid</x:v>
      </x:c>
      <x:c r="G83" s="2" t="str">
        <x:v>Email</x:v>
      </x:c>
      <x:c r="H83" s="2" t="str">
        <x:v>School receipt</x:v>
      </x:c>
      <x:c r="I83" s="8" t="n">
        <x:v>46299.50666666667</x:v>
      </x:c>
      <x:c r="J83" s="8" t="n">
        <x:v>46299.506689814814</x:v>
      </x:c>
      <x:c r="K83" s="8" t="n">
        <x:v>46299.50672453704</x:v>
      </x:c>
      <x:c r="L83" s="2" t="str">
        <x:v>Sent</x:v>
      </x:c>
      <x:c r="M83" s="2" t="n">
        <x:v>1</x:v>
      </x:c>
      <x:c r="N83" s="2"/>
      <x:c r="O83" s="2"/>
    </x:row>
    <x:row r="84" ht="21" customHeight="1">
      <x:c r="A84" s="2" t="str">
        <x:v>NT000083</x:v>
      </x:c>
      <x:c r="B84" s="2" t="str">
        <x:v>EV000085</x:v>
      </x:c>
      <x:c r="C84" s="2" t="str">
        <x:v>T20261004-2-1</x:v>
      </x:c>
      <x:c r="D84" s="2" t="str">
        <x:v>ST034</x:v>
      </x:c>
      <x:c r="E84" s="2" t="str">
        <x:v>G034</x:v>
      </x:c>
      <x:c r="F84" s="2" t="str">
        <x:v>guardian034@example.invalid</x:v>
      </x:c>
      <x:c r="G84" s="2" t="str">
        <x:v>Email</x:v>
      </x:c>
      <x:c r="H84" s="2" t="str">
        <x:v>Boarded</x:v>
      </x:c>
      <x:c r="I84" s="8" t="n">
        <x:v>46299.47163194445</x:v>
      </x:c>
      <x:c r="J84" s="8" t="n">
        <x:v>46299.471655092595</x:v>
      </x:c>
      <x:c r="K84" s="8" t="n">
        <x:v>46299.47168981482</x:v>
      </x:c>
      <x:c r="L84" s="2" t="str">
        <x:v>Sent</x:v>
      </x:c>
      <x:c r="M84" s="2" t="n">
        <x:v>1</x:v>
      </x:c>
      <x:c r="N84" s="2"/>
      <x:c r="O84" s="2"/>
    </x:row>
    <x:row r="85" ht="21" customHeight="1">
      <x:c r="A85" s="2" t="str">
        <x:v>NT000084</x:v>
      </x:c>
      <x:c r="B85" s="2" t="str">
        <x:v>EV000086</x:v>
      </x:c>
      <x:c r="C85" s="2" t="str">
        <x:v>T20261004-2-1</x:v>
      </x:c>
      <x:c r="D85" s="2" t="str">
        <x:v>ST034</x:v>
      </x:c>
      <x:c r="E85" s="2" t="str">
        <x:v>G034</x:v>
      </x:c>
      <x:c r="F85" s="2" t="str">
        <x:v>guardian034@example.invalid</x:v>
      </x:c>
      <x:c r="G85" s="2" t="str">
        <x:v>Email</x:v>
      </x:c>
      <x:c r="H85" s="2" t="str">
        <x:v>School receipt</x:v>
      </x:c>
      <x:c r="I85" s="8" t="n">
        <x:v>46299.50670138889</x:v>
      </x:c>
      <x:c r="J85" s="8" t="n">
        <x:v>46299.50672453704</x:v>
      </x:c>
      <x:c r="K85" s="8" t="n">
        <x:v>46299.50675925926</x:v>
      </x:c>
      <x:c r="L85" s="2" t="str">
        <x:v>Sent</x:v>
      </x:c>
      <x:c r="M85" s="2" t="n">
        <x:v>1</x:v>
      </x:c>
      <x:c r="N85" s="2"/>
      <x:c r="O85" s="2"/>
    </x:row>
    <x:row r="86" ht="21" customHeight="1">
      <x:c r="A86" s="2" t="str">
        <x:v>NT000085</x:v>
      </x:c>
      <x:c r="B86" s="2" t="str">
        <x:v>EV000087</x:v>
      </x:c>
      <x:c r="C86" s="2" t="str">
        <x:v>T20261004-2-1</x:v>
      </x:c>
      <x:c r="D86" s="2" t="str">
        <x:v>ST035</x:v>
      </x:c>
      <x:c r="E86" s="2" t="str">
        <x:v>G035</x:v>
      </x:c>
      <x:c r="F86" s="2" t="str">
        <x:v>guardian035@example.invalid</x:v>
      </x:c>
      <x:c r="G86" s="2" t="str">
        <x:v>Email</x:v>
      </x:c>
      <x:c r="H86" s="2" t="str">
        <x:v>Boarded</x:v>
      </x:c>
      <x:c r="I86" s="8" t="n">
        <x:v>46299.47652777778</x:v>
      </x:c>
      <x:c r="J86" s="8" t="n">
        <x:v>46299.47655092592</x:v>
      </x:c>
      <x:c r="K86" s="8" t="n">
        <x:v>46299.476585648146</x:v>
      </x:c>
      <x:c r="L86" s="2" t="str">
        <x:v>Sent</x:v>
      </x:c>
      <x:c r="M86" s="2" t="n">
        <x:v>1</x:v>
      </x:c>
      <x:c r="N86" s="2"/>
      <x:c r="O86" s="2"/>
    </x:row>
    <x:row r="87" ht="21" customHeight="1">
      <x:c r="A87" s="2" t="str">
        <x:v>NT000086</x:v>
      </x:c>
      <x:c r="B87" s="2" t="str">
        <x:v>EV000088</x:v>
      </x:c>
      <x:c r="C87" s="2" t="str">
        <x:v>T20261004-2-1</x:v>
      </x:c>
      <x:c r="D87" s="2" t="str">
        <x:v>ST035</x:v>
      </x:c>
      <x:c r="E87" s="2" t="str">
        <x:v>G035</x:v>
      </x:c>
      <x:c r="F87" s="2" t="str">
        <x:v>guardian035@example.invalid</x:v>
      </x:c>
      <x:c r="G87" s="2" t="str">
        <x:v>Email</x:v>
      </x:c>
      <x:c r="H87" s="2" t="str">
        <x:v>School receipt</x:v>
      </x:c>
      <x:c r="I87" s="8" t="n">
        <x:v>46299.506736111114</x:v>
      </x:c>
      <x:c r="J87" s="8" t="n">
        <x:v>46299.50675925926</x:v>
      </x:c>
      <x:c r="K87" s="8" t="n">
        <x:v>46299.50679398148</x:v>
      </x:c>
      <x:c r="L87" s="2" t="str">
        <x:v>Sent</x:v>
      </x:c>
      <x:c r="M87" s="2" t="n">
        <x:v>1</x:v>
      </x:c>
      <x:c r="N87" s="2"/>
      <x:c r="O87" s="2"/>
    </x:row>
    <x:row r="88" ht="21" customHeight="1">
      <x:c r="A88" s="2" t="str">
        <x:v>NT000087</x:v>
      </x:c>
      <x:c r="B88" s="2" t="str">
        <x:v>EV000089</x:v>
      </x:c>
      <x:c r="C88" s="2" t="str">
        <x:v>T20261004-2-1</x:v>
      </x:c>
      <x:c r="D88" s="2" t="str">
        <x:v>ST036</x:v>
      </x:c>
      <x:c r="E88" s="2" t="str">
        <x:v>G036</x:v>
      </x:c>
      <x:c r="F88" s="2" t="str">
        <x:v>guardian036@example.invalid</x:v>
      </x:c>
      <x:c r="G88" s="2" t="str">
        <x:v>Email</x:v>
      </x:c>
      <x:c r="H88" s="2" t="str">
        <x:v>Boarded</x:v>
      </x:c>
      <x:c r="I88" s="8" t="n">
        <x:v>46299.481423611105</x:v>
      </x:c>
      <x:c r="J88" s="8" t="n">
        <x:v>46299.48144675925</x:v>
      </x:c>
      <x:c r="K88" s="8" t="n">
        <x:v>46299.481481481474</x:v>
      </x:c>
      <x:c r="L88" s="2" t="str">
        <x:v>Sent</x:v>
      </x:c>
      <x:c r="M88" s="2" t="n">
        <x:v>1</x:v>
      </x:c>
      <x:c r="N88" s="2"/>
      <x:c r="O88" s="2"/>
    </x:row>
    <x:row r="89" ht="21" customHeight="1">
      <x:c r="A89" s="2" t="str">
        <x:v>NT000088</x:v>
      </x:c>
      <x:c r="B89" s="2" t="str">
        <x:v>EV000090</x:v>
      </x:c>
      <x:c r="C89" s="2" t="str">
        <x:v>T20261004-2-1</x:v>
      </x:c>
      <x:c r="D89" s="2" t="str">
        <x:v>ST036</x:v>
      </x:c>
      <x:c r="E89" s="2" t="str">
        <x:v>G036</x:v>
      </x:c>
      <x:c r="F89" s="2" t="str">
        <x:v>guardian036@example.invalid</x:v>
      </x:c>
      <x:c r="G89" s="2" t="str">
        <x:v>Email</x:v>
      </x:c>
      <x:c r="H89" s="2" t="str">
        <x:v>School receipt</x:v>
      </x:c>
      <x:c r="I89" s="8" t="n">
        <x:v>46299.50677083334</x:v>
      </x:c>
      <x:c r="J89" s="8" t="n">
        <x:v>46299.50679398148</x:v>
      </x:c>
      <x:c r="K89" s="8" t="n">
        <x:v>46299.50682870371</x:v>
      </x:c>
      <x:c r="L89" s="2" t="str">
        <x:v>Sent</x:v>
      </x:c>
      <x:c r="M89" s="2" t="n">
        <x:v>1</x:v>
      </x:c>
      <x:c r="N89" s="2"/>
      <x:c r="O89" s="2"/>
    </x:row>
    <x:row r="90" ht="21" customHeight="1">
      <x:c r="A90" s="2" t="str">
        <x:v>NT000089</x:v>
      </x:c>
      <x:c r="B90" s="2" t="str">
        <x:v>EV000091</x:v>
      </x:c>
      <x:c r="C90" s="2" t="str">
        <x:v>T20261004-2-1</x:v>
      </x:c>
      <x:c r="D90" s="2" t="str">
        <x:v>ST037</x:v>
      </x:c>
      <x:c r="E90" s="2" t="str">
        <x:v>G037</x:v>
      </x:c>
      <x:c r="F90" s="2" t="str">
        <x:v>guardian037@example.invalid</x:v>
      </x:c>
      <x:c r="G90" s="2" t="str">
        <x:v>Email</x:v>
      </x:c>
      <x:c r="H90" s="2" t="str">
        <x:v>Boarded</x:v>
      </x:c>
      <x:c r="I90" s="8" t="n">
        <x:v>46299.47173611111</x:v>
      </x:c>
      <x:c r="J90" s="8" t="n">
        <x:v>46299.47175925926</x:v>
      </x:c>
      <x:c r="K90" s="8" t="n">
        <x:v>46299.47179398148</x:v>
      </x:c>
      <x:c r="L90" s="2" t="str">
        <x:v>Sent</x:v>
      </x:c>
      <x:c r="M90" s="2" t="n">
        <x:v>1</x:v>
      </x:c>
      <x:c r="N90" s="2"/>
      <x:c r="O90" s="2"/>
    </x:row>
    <x:row r="91" ht="21" customHeight="1">
      <x:c r="A91" s="2" t="str">
        <x:v>NT000090</x:v>
      </x:c>
      <x:c r="B91" s="2" t="str">
        <x:v>EV000092</x:v>
      </x:c>
      <x:c r="C91" s="2" t="str">
        <x:v>T20261004-2-1</x:v>
      </x:c>
      <x:c r="D91" s="2" t="str">
        <x:v>ST037</x:v>
      </x:c>
      <x:c r="E91" s="2" t="str">
        <x:v>G037</x:v>
      </x:c>
      <x:c r="F91" s="2" t="str">
        <x:v>guardian037@example.invalid</x:v>
      </x:c>
      <x:c r="G91" s="2" t="str">
        <x:v>Email</x:v>
      </x:c>
      <x:c r="H91" s="2" t="str">
        <x:v>School receipt</x:v>
      </x:c>
      <x:c r="I91" s="8" t="n">
        <x:v>46299.50680555556</x:v>
      </x:c>
      <x:c r="J91" s="8" t="n">
        <x:v>46299.50682870371</x:v>
      </x:c>
      <x:c r="K91" s="8" t="n">
        <x:v>46299.50686342593</x:v>
      </x:c>
      <x:c r="L91" s="2" t="str">
        <x:v>Sent</x:v>
      </x:c>
      <x:c r="M91" s="2" t="n">
        <x:v>1</x:v>
      </x:c>
      <x:c r="N91" s="2"/>
      <x:c r="O91" s="2"/>
    </x:row>
    <x:row r="92" ht="21" customHeight="1">
      <x:c r="A92" s="2" t="str">
        <x:v>NT000091</x:v>
      </x:c>
      <x:c r="B92" s="2" t="str">
        <x:v>EV000093</x:v>
      </x:c>
      <x:c r="C92" s="2" t="str">
        <x:v>T20261004-2-1</x:v>
      </x:c>
      <x:c r="D92" s="2" t="str">
        <x:v>ST038</x:v>
      </x:c>
      <x:c r="E92" s="2" t="str">
        <x:v>G038</x:v>
      </x:c>
      <x:c r="F92" s="2" t="str">
        <x:v>guardian038@example.invalid</x:v>
      </x:c>
      <x:c r="G92" s="2" t="str">
        <x:v>Email</x:v>
      </x:c>
      <x:c r="H92" s="2" t="str">
        <x:v>Boarded</x:v>
      </x:c>
      <x:c r="I92" s="8" t="n">
        <x:v>46299.47663194444</x:v>
      </x:c>
      <x:c r="J92" s="8" t="n">
        <x:v>46299.476655092585</x:v>
      </x:c>
      <x:c r="K92" s="8" t="n">
        <x:v>46299.47668981481</x:v>
      </x:c>
      <x:c r="L92" s="2" t="str">
        <x:v>Sent</x:v>
      </x:c>
      <x:c r="M92" s="2" t="n">
        <x:v>1</x:v>
      </x:c>
      <x:c r="N92" s="2"/>
      <x:c r="O92" s="2"/>
    </x:row>
    <x:row r="93" ht="21" customHeight="1">
      <x:c r="A93" s="2" t="str">
        <x:v>NT000092</x:v>
      </x:c>
      <x:c r="B93" s="2" t="str">
        <x:v>EV000094</x:v>
      </x:c>
      <x:c r="C93" s="2" t="str">
        <x:v>T20261004-2-1</x:v>
      </x:c>
      <x:c r="D93" s="2" t="str">
        <x:v>ST038</x:v>
      </x:c>
      <x:c r="E93" s="2" t="str">
        <x:v>G038</x:v>
      </x:c>
      <x:c r="F93" s="2" t="str">
        <x:v>guardian038@example.invalid</x:v>
      </x:c>
      <x:c r="G93" s="2" t="str">
        <x:v>Email</x:v>
      </x:c>
      <x:c r="H93" s="2" t="str">
        <x:v>School receipt</x:v>
      </x:c>
      <x:c r="I93" s="8" t="n">
        <x:v>46299.50684027778</x:v>
      </x:c>
      <x:c r="J93" s="8" t="n">
        <x:v>46299.50686342593</x:v>
      </x:c>
      <x:c r="K93" s="8" t="n">
        <x:v>46299.50689814815</x:v>
      </x:c>
      <x:c r="L93" s="2" t="str">
        <x:v>Sent</x:v>
      </x:c>
      <x:c r="M93" s="2" t="n">
        <x:v>1</x:v>
      </x:c>
      <x:c r="N93" s="2"/>
      <x:c r="O93" s="2"/>
    </x:row>
    <x:row r="94" ht="21" customHeight="1">
      <x:c r="A94" s="2" t="str">
        <x:v>NT000093</x:v>
      </x:c>
      <x:c r="B94" s="2" t="str">
        <x:v>EV000095</x:v>
      </x:c>
      <x:c r="C94" s="2" t="str">
        <x:v>T20261004-2-1</x:v>
      </x:c>
      <x:c r="D94" s="2" t="str">
        <x:v>ST039</x:v>
      </x:c>
      <x:c r="E94" s="2" t="str">
        <x:v>G039</x:v>
      </x:c>
      <x:c r="F94" s="2" t="str">
        <x:v>guardian039@example.invalid</x:v>
      </x:c>
      <x:c r="G94" s="2" t="str">
        <x:v>Email</x:v>
      </x:c>
      <x:c r="H94" s="2" t="str">
        <x:v>Boarded</x:v>
      </x:c>
      <x:c r="I94" s="8" t="n">
        <x:v>46299.481527777774</x:v>
      </x:c>
      <x:c r="J94" s="8" t="n">
        <x:v>46299.48155092592</x:v>
      </x:c>
      <x:c r="K94" s="8" t="n">
        <x:v>46299.481585648144</x:v>
      </x:c>
      <x:c r="L94" s="2" t="str">
        <x:v>Sent</x:v>
      </x:c>
      <x:c r="M94" s="2" t="n">
        <x:v>1</x:v>
      </x:c>
      <x:c r="N94" s="2"/>
      <x:c r="O94" s="2"/>
    </x:row>
    <x:row r="95" ht="21" customHeight="1">
      <x:c r="A95" s="2" t="str">
        <x:v>NT000094</x:v>
      </x:c>
      <x:c r="B95" s="2" t="str">
        <x:v>EV000096</x:v>
      </x:c>
      <x:c r="C95" s="2" t="str">
        <x:v>T20261004-2-1</x:v>
      </x:c>
      <x:c r="D95" s="2" t="str">
        <x:v>ST039</x:v>
      </x:c>
      <x:c r="E95" s="2" t="str">
        <x:v>G039</x:v>
      </x:c>
      <x:c r="F95" s="2" t="str">
        <x:v>guardian039@example.invalid</x:v>
      </x:c>
      <x:c r="G95" s="2" t="str">
        <x:v>Email</x:v>
      </x:c>
      <x:c r="H95" s="2" t="str">
        <x:v>School receipt</x:v>
      </x:c>
      <x:c r="I95" s="8" t="n">
        <x:v>46299.50687500001</x:v>
      </x:c>
      <x:c r="J95" s="8" t="n">
        <x:v>46299.50689814815</x:v>
      </x:c>
      <x:c r="K95" s="8" t="n">
        <x:v>46299.506932870376</x:v>
      </x:c>
      <x:c r="L95" s="2" t="str">
        <x:v>Sent</x:v>
      </x:c>
      <x:c r="M95" s="2" t="n">
        <x:v>1</x:v>
      </x:c>
      <x:c r="N95" s="2"/>
      <x:c r="O95" s="2"/>
    </x:row>
    <x:row r="96" ht="21" customHeight="1">
      <x:c r="A96" s="2" t="str">
        <x:v>NT000095</x:v>
      </x:c>
      <x:c r="B96" s="2" t="str">
        <x:v>EV000097</x:v>
      </x:c>
      <x:c r="C96" s="2" t="str">
        <x:v>T20261004-2-1</x:v>
      </x:c>
      <x:c r="D96" s="2" t="str">
        <x:v>ST040</x:v>
      </x:c>
      <x:c r="E96" s="2" t="str">
        <x:v>G040</x:v>
      </x:c>
      <x:c r="F96" s="2" t="str">
        <x:v>guardian040@example.invalid</x:v>
      </x:c>
      <x:c r="G96" s="2" t="str">
        <x:v>Email</x:v>
      </x:c>
      <x:c r="H96" s="2" t="str">
        <x:v>Boarded</x:v>
      </x:c>
      <x:c r="I96" s="8" t="n">
        <x:v>46299.47184027778</x:v>
      </x:c>
      <x:c r="J96" s="8" t="n">
        <x:v>46299.471863425926</x:v>
      </x:c>
      <x:c r="K96" s="8" t="n">
        <x:v>46299.47189814815</x:v>
      </x:c>
      <x:c r="L96" s="2" t="str">
        <x:v>Sent</x:v>
      </x:c>
      <x:c r="M96" s="2" t="n">
        <x:v>1</x:v>
      </x:c>
      <x:c r="N96" s="2"/>
      <x:c r="O96" s="2"/>
    </x:row>
    <x:row r="97" ht="21" customHeight="1">
      <x:c r="A97" s="2" t="str">
        <x:v>NT000096</x:v>
      </x:c>
      <x:c r="B97" s="2" t="str">
        <x:v>EV000098</x:v>
      </x:c>
      <x:c r="C97" s="2" t="str">
        <x:v>T20261004-2-1</x:v>
      </x:c>
      <x:c r="D97" s="2" t="str">
        <x:v>ST040</x:v>
      </x:c>
      <x:c r="E97" s="2" t="str">
        <x:v>G040</x:v>
      </x:c>
      <x:c r="F97" s="2" t="str">
        <x:v>guardian040@example.invalid</x:v>
      </x:c>
      <x:c r="G97" s="2" t="str">
        <x:v>Email</x:v>
      </x:c>
      <x:c r="H97" s="2" t="str">
        <x:v>School receipt</x:v>
      </x:c>
      <x:c r="I97" s="8" t="n">
        <x:v>46299.50690972222</x:v>
      </x:c>
      <x:c r="J97" s="8" t="n">
        <x:v>46299.50693287037</x:v>
      </x:c>
      <x:c r="K97" s="8" t="n">
        <x:v>46299.50696759259</x:v>
      </x:c>
      <x:c r="L97" s="2" t="str">
        <x:v>Sent</x:v>
      </x:c>
      <x:c r="M97" s="2" t="n">
        <x:v>1</x:v>
      </x:c>
      <x:c r="N97" s="2"/>
      <x:c r="O97" s="2"/>
    </x:row>
    <x:row r="98" ht="21" customHeight="1">
      <x:c r="A98" s="2" t="str">
        <x:v>NT000097</x:v>
      </x:c>
      <x:c r="B98" s="2" t="str">
        <x:v>EV000099</x:v>
      </x:c>
      <x:c r="C98" s="2" t="str">
        <x:v>T20261004-3-1</x:v>
      </x:c>
      <x:c r="D98" s="2" t="str">
        <x:v>ST011</x:v>
      </x:c>
      <x:c r="E98" s="2" t="str">
        <x:v>G011</x:v>
      </x:c>
      <x:c r="F98" s="2" t="str">
        <x:v>guardian011@example.invalid</x:v>
      </x:c>
      <x:c r="G98" s="2" t="str">
        <x:v>Email</x:v>
      </x:c>
      <x:c r="H98" s="2" t="str">
        <x:v>Boarded</x:v>
      </x:c>
      <x:c r="I98" s="8" t="n">
        <x:v>46299.57291666667</x:v>
      </x:c>
      <x:c r="J98" s="8" t="n">
        <x:v>46299.57293981482</x:v>
      </x:c>
      <x:c r="K98" s="8" t="n">
        <x:v>46299.57297453704</x:v>
      </x:c>
      <x:c r="L98" s="2" t="str">
        <x:v>Sent</x:v>
      </x:c>
      <x:c r="M98" s="2" t="n">
        <x:v>1</x:v>
      </x:c>
      <x:c r="N98" s="2"/>
      <x:c r="O98" s="2"/>
    </x:row>
    <x:row r="99" ht="21" customHeight="1">
      <x:c r="A99" s="2" t="str">
        <x:v>NT000098</x:v>
      </x:c>
      <x:c r="B99" s="2" t="str">
        <x:v>EV000100</x:v>
      </x:c>
      <x:c r="C99" s="2" t="str">
        <x:v>T20261004-3-1</x:v>
      </x:c>
      <x:c r="D99" s="2" t="str">
        <x:v>ST011</x:v>
      </x:c>
      <x:c r="E99" s="2" t="str">
        <x:v>G011</x:v>
      </x:c>
      <x:c r="F99" s="2" t="str">
        <x:v>guardian011@example.invalid</x:v>
      </x:c>
      <x:c r="G99" s="2" t="str">
        <x:v>Email</x:v>
      </x:c>
      <x:c r="H99" s="2" t="str">
        <x:v>Authorized release</x:v>
      </x:c>
      <x:c r="I99" s="8" t="n">
        <x:v>46299.59027777778</x:v>
      </x:c>
      <x:c r="J99" s="8" t="n">
        <x:v>46299.59030092593</x:v>
      </x:c>
      <x:c r="K99" s="8" t="n">
        <x:v>46299.59033564815</x:v>
      </x:c>
      <x:c r="L99" s="2" t="str">
        <x:v>Sent</x:v>
      </x:c>
      <x:c r="M99" s="2" t="n">
        <x:v>1</x:v>
      </x:c>
      <x:c r="N99" s="2"/>
      <x:c r="O99" s="2"/>
    </x:row>
    <x:row r="100" ht="21" customHeight="1">
      <x:c r="A100" s="2" t="str">
        <x:v>NT000099</x:v>
      </x:c>
      <x:c r="B100" s="2" t="str">
        <x:v>EV000101</x:v>
      </x:c>
      <x:c r="C100" s="2" t="str">
        <x:v>T20261004-3-1</x:v>
      </x:c>
      <x:c r="D100" s="2" t="str">
        <x:v>ST012</x:v>
      </x:c>
      <x:c r="E100" s="2" t="str">
        <x:v>G012</x:v>
      </x:c>
      <x:c r="F100" s="2" t="str">
        <x:v>guardian012@example.invalid</x:v>
      </x:c>
      <x:c r="G100" s="2" t="str">
        <x:v>Email</x:v>
      </x:c>
      <x:c r="H100" s="2" t="str">
        <x:v>Boarded</x:v>
      </x:c>
      <x:c r="I100" s="8" t="n">
        <x:v>46299.572951388895</x:v>
      </x:c>
      <x:c r="J100" s="8" t="n">
        <x:v>46299.57297453704</x:v>
      </x:c>
      <x:c r="K100" s="8" t="n">
        <x:v>46299.573009259264</x:v>
      </x:c>
      <x:c r="L100" s="2" t="str">
        <x:v>Sent</x:v>
      </x:c>
      <x:c r="M100" s="2" t="n">
        <x:v>1</x:v>
      </x:c>
      <x:c r="N100" s="2"/>
      <x:c r="O100" s="2"/>
    </x:row>
    <x:row r="101" ht="21" customHeight="1">
      <x:c r="A101" s="2" t="str">
        <x:v>NT000100</x:v>
      </x:c>
      <x:c r="B101" s="2" t="str">
        <x:v>EV000102</x:v>
      </x:c>
      <x:c r="C101" s="2" t="str">
        <x:v>T20261004-3-1</x:v>
      </x:c>
      <x:c r="D101" s="2" t="str">
        <x:v>ST012</x:v>
      </x:c>
      <x:c r="E101" s="2" t="str">
        <x:v>G012</x:v>
      </x:c>
      <x:c r="F101" s="2" t="str">
        <x:v>guardian012@example.invalid</x:v>
      </x:c>
      <x:c r="G101" s="2" t="str">
        <x:v>Email</x:v>
      </x:c>
      <x:c r="H101" s="2" t="str">
        <x:v>Authorized release</x:v>
      </x:c>
      <x:c r="I101" s="8" t="n">
        <x:v>46299.59447916667</x:v>
      </x:c>
      <x:c r="J101" s="8" t="n">
        <x:v>46299.594502314816</x:v>
      </x:c>
      <x:c r="K101" s="8" t="n">
        <x:v>46299.59453703704</x:v>
      </x:c>
      <x:c r="L101" s="2" t="str">
        <x:v>Sent</x:v>
      </x:c>
      <x:c r="M101" s="2" t="n">
        <x:v>1</x:v>
      </x:c>
      <x:c r="N101" s="2"/>
      <x:c r="O101" s="2"/>
    </x:row>
    <x:row r="102" ht="21" customHeight="1">
      <x:c r="A102" s="2" t="str">
        <x:v>NT000101</x:v>
      </x:c>
      <x:c r="B102" s="2" t="str">
        <x:v>EV000103</x:v>
      </x:c>
      <x:c r="C102" s="2" t="str">
        <x:v>T20261004-3-1</x:v>
      </x:c>
      <x:c r="D102" s="2" t="str">
        <x:v>ST013</x:v>
      </x:c>
      <x:c r="E102" s="2" t="str">
        <x:v>G013</x:v>
      </x:c>
      <x:c r="F102" s="2" t="str">
        <x:v>guardian013@example.invalid</x:v>
      </x:c>
      <x:c r="G102" s="2" t="str">
        <x:v>Email</x:v>
      </x:c>
      <x:c r="H102" s="2" t="str">
        <x:v>Boarded</x:v>
      </x:c>
      <x:c r="I102" s="8" t="n">
        <x:v>46299.57298611112</x:v>
      </x:c>
      <x:c r="J102" s="8" t="n">
        <x:v>46299.573009259264</x:v>
      </x:c>
      <x:c r="K102" s="8" t="n">
        <x:v>46299.57304398149</x:v>
      </x:c>
      <x:c r="L102" s="2" t="str">
        <x:v>Sent</x:v>
      </x:c>
      <x:c r="M102" s="2" t="n">
        <x:v>1</x:v>
      </x:c>
      <x:c r="N102" s="2"/>
      <x:c r="O102" s="2"/>
    </x:row>
    <x:row r="103" ht="21" customHeight="1">
      <x:c r="A103" s="2" t="str">
        <x:v>NT000102</x:v>
      </x:c>
      <x:c r="B103" s="2" t="str">
        <x:v>EV000104</x:v>
      </x:c>
      <x:c r="C103" s="2" t="str">
        <x:v>T20261004-3-1</x:v>
      </x:c>
      <x:c r="D103" s="2" t="str">
        <x:v>ST013</x:v>
      </x:c>
      <x:c r="E103" s="2" t="str">
        <x:v>G013</x:v>
      </x:c>
      <x:c r="F103" s="2" t="str">
        <x:v>guardian013@example.invalid</x:v>
      </x:c>
      <x:c r="G103" s="2" t="str">
        <x:v>Email</x:v>
      </x:c>
      <x:c r="H103" s="2" t="str">
        <x:v>Authorized release</x:v>
      </x:c>
      <x:c r="I103" s="8" t="n">
        <x:v>46299.58618055556</x:v>
      </x:c>
      <x:c r="J103" s="8" t="n">
        <x:v>46299.58620370371</x:v>
      </x:c>
      <x:c r="K103" s="8" t="n">
        <x:v>46299.58623842593</x:v>
      </x:c>
      <x:c r="L103" s="2" t="str">
        <x:v>Sent</x:v>
      </x:c>
      <x:c r="M103" s="2" t="n">
        <x:v>1</x:v>
      </x:c>
      <x:c r="N103" s="2"/>
      <x:c r="O103" s="2"/>
    </x:row>
    <x:row r="104" ht="21" customHeight="1">
      <x:c r="A104" s="2" t="str">
        <x:v>NT000103</x:v>
      </x:c>
      <x:c r="B104" s="2" t="str">
        <x:v>EV000105</x:v>
      </x:c>
      <x:c r="C104" s="2" t="str">
        <x:v>T20261004-3-1</x:v>
      </x:c>
      <x:c r="D104" s="2" t="str">
        <x:v>ST014</x:v>
      </x:c>
      <x:c r="E104" s="2" t="str">
        <x:v>G014</x:v>
      </x:c>
      <x:c r="F104" s="2" t="str">
        <x:v>guardian014@example.invalid</x:v>
      </x:c>
      <x:c r="G104" s="2" t="str">
        <x:v>Email</x:v>
      </x:c>
      <x:c r="H104" s="2" t="str">
        <x:v>Boarded</x:v>
      </x:c>
      <x:c r="I104" s="8" t="n">
        <x:v>46299.57302083334</x:v>
      </x:c>
      <x:c r="J104" s="8" t="n">
        <x:v>46299.57304398149</x:v>
      </x:c>
      <x:c r="K104" s="8" t="n">
        <x:v>46299.57307870371</x:v>
      </x:c>
      <x:c r="L104" s="2" t="str">
        <x:v>Sent</x:v>
      </x:c>
      <x:c r="M104" s="2" t="n">
        <x:v>1</x:v>
      </x:c>
      <x:c r="N104" s="2"/>
      <x:c r="O104" s="2"/>
    </x:row>
    <x:row r="105" ht="21" customHeight="1">
      <x:c r="A105" s="2" t="str">
        <x:v>NT000104</x:v>
      </x:c>
      <x:c r="B105" s="2" t="str">
        <x:v>EV000106</x:v>
      </x:c>
      <x:c r="C105" s="2" t="str">
        <x:v>T20261004-3-1</x:v>
      </x:c>
      <x:c r="D105" s="2" t="str">
        <x:v>ST014</x:v>
      </x:c>
      <x:c r="E105" s="2" t="str">
        <x:v>G014</x:v>
      </x:c>
      <x:c r="F105" s="2" t="str">
        <x:v>guardian014@example.invalid</x:v>
      </x:c>
      <x:c r="G105" s="2" t="str">
        <x:v>Email</x:v>
      </x:c>
      <x:c r="H105" s="2" t="str">
        <x:v>Authorized release</x:v>
      </x:c>
      <x:c r="I105" s="8" t="n">
        <x:v>46299.59038194445</x:v>
      </x:c>
      <x:c r="J105" s="8" t="n">
        <x:v>46299.5904050926</x:v>
      </x:c>
      <x:c r="K105" s="8" t="n">
        <x:v>46299.59043981482</x:v>
      </x:c>
      <x:c r="L105" s="2" t="str">
        <x:v>Sent</x:v>
      </x:c>
      <x:c r="M105" s="2" t="n">
        <x:v>1</x:v>
      </x:c>
      <x:c r="N105" s="2"/>
      <x:c r="O105" s="2"/>
    </x:row>
    <x:row r="106" ht="21" customHeight="1">
      <x:c r="A106" s="2" t="str">
        <x:v>NT000105</x:v>
      </x:c>
      <x:c r="B106" s="2" t="str">
        <x:v>EV000107</x:v>
      </x:c>
      <x:c r="C106" s="2" t="str">
        <x:v>T20261004-3-1</x:v>
      </x:c>
      <x:c r="D106" s="2" t="str">
        <x:v>ST015</x:v>
      </x:c>
      <x:c r="E106" s="2" t="str">
        <x:v>G015</x:v>
      </x:c>
      <x:c r="F106" s="2" t="str">
        <x:v>guardian015@example.invalid</x:v>
      </x:c>
      <x:c r="G106" s="2" t="str">
        <x:v>Email</x:v>
      </x:c>
      <x:c r="H106" s="2" t="str">
        <x:v>Boarded</x:v>
      </x:c>
      <x:c r="I106" s="8" t="n">
        <x:v>46299.573055555564</x:v>
      </x:c>
      <x:c r="J106" s="8" t="n">
        <x:v>46299.57307870371</x:v>
      </x:c>
      <x:c r="K106" s="8" t="n">
        <x:v>46299.57311342593</x:v>
      </x:c>
      <x:c r="L106" s="2" t="str">
        <x:v>Sent</x:v>
      </x:c>
      <x:c r="M106" s="2" t="n">
        <x:v>1</x:v>
      </x:c>
      <x:c r="N106" s="2"/>
      <x:c r="O106" s="2"/>
    </x:row>
    <x:row r="107" ht="21" customHeight="1">
      <x:c r="A107" s="2" t="str">
        <x:v>NT000106</x:v>
      </x:c>
      <x:c r="B107" s="2" t="str">
        <x:v>EV000108</x:v>
      </x:c>
      <x:c r="C107" s="2" t="str">
        <x:v>T20261004-3-1</x:v>
      </x:c>
      <x:c r="D107" s="2" t="str">
        <x:v>ST015</x:v>
      </x:c>
      <x:c r="E107" s="2" t="str">
        <x:v>G015</x:v>
      </x:c>
      <x:c r="F107" s="2" t="str">
        <x:v>guardian015@example.invalid</x:v>
      </x:c>
      <x:c r="G107" s="2" t="str">
        <x:v>Email</x:v>
      </x:c>
      <x:c r="H107" s="2" t="str">
        <x:v>Authorized release</x:v>
      </x:c>
      <x:c r="I107" s="8" t="n">
        <x:v>46299.59458333334</x:v>
      </x:c>
      <x:c r="J107" s="8" t="n">
        <x:v>46299.594606481485</x:v>
      </x:c>
      <x:c r="K107" s="8" t="n">
        <x:v>46299.59464120371</x:v>
      </x:c>
      <x:c r="L107" s="2" t="str">
        <x:v>Sent</x:v>
      </x:c>
      <x:c r="M107" s="2" t="n">
        <x:v>1</x:v>
      </x:c>
      <x:c r="N107" s="2"/>
      <x:c r="O107" s="2"/>
    </x:row>
    <x:row r="108" ht="21" customHeight="1">
      <x:c r="A108" s="2" t="str">
        <x:v>NT000107</x:v>
      </x:c>
      <x:c r="B108" s="2" t="str">
        <x:v>EV000109</x:v>
      </x:c>
      <x:c r="C108" s="2" t="str">
        <x:v>T20261004-3-1</x:v>
      </x:c>
      <x:c r="D108" s="2" t="str">
        <x:v>ST016</x:v>
      </x:c>
      <x:c r="E108" s="2" t="str">
        <x:v>G016</x:v>
      </x:c>
      <x:c r="F108" s="2" t="str">
        <x:v>guardian016@example.invalid</x:v>
      </x:c>
      <x:c r="G108" s="2" t="str">
        <x:v>Email</x:v>
      </x:c>
      <x:c r="H108" s="2" t="str">
        <x:v>Boarded</x:v>
      </x:c>
      <x:c r="I108" s="8" t="n">
        <x:v>46299.57309027778</x:v>
      </x:c>
      <x:c r="J108" s="8" t="n">
        <x:v>46299.573113425926</x:v>
      </x:c>
      <x:c r="K108" s="8" t="n">
        <x:v>46299.57314814815</x:v>
      </x:c>
      <x:c r="L108" s="2" t="str">
        <x:v>Sent</x:v>
      </x:c>
      <x:c r="M108" s="2" t="n">
        <x:v>1</x:v>
      </x:c>
      <x:c r="N108" s="2"/>
      <x:c r="O108" s="2"/>
    </x:row>
    <x:row r="109" ht="21" customHeight="1">
      <x:c r="A109" s="2" t="str">
        <x:v>NT000108</x:v>
      </x:c>
      <x:c r="B109" s="2" t="str">
        <x:v>EV000110</x:v>
      </x:c>
      <x:c r="C109" s="2" t="str">
        <x:v>T20261004-3-1</x:v>
      </x:c>
      <x:c r="D109" s="2" t="str">
        <x:v>ST016</x:v>
      </x:c>
      <x:c r="E109" s="2" t="str">
        <x:v>G016</x:v>
      </x:c>
      <x:c r="F109" s="2" t="str">
        <x:v>guardian016@example.invalid</x:v>
      </x:c>
      <x:c r="G109" s="2" t="str">
        <x:v>Email</x:v>
      </x:c>
      <x:c r="H109" s="2" t="str">
        <x:v>Authorized release</x:v>
      </x:c>
      <x:c r="I109" s="8" t="n">
        <x:v>46299.58628472222</x:v>
      </x:c>
      <x:c r="J109" s="8" t="n">
        <x:v>46299.58630787037</x:v>
      </x:c>
      <x:c r="K109" s="8" t="n">
        <x:v>46299.58634259259</x:v>
      </x:c>
      <x:c r="L109" s="2" t="str">
        <x:v>Sent</x:v>
      </x:c>
      <x:c r="M109" s="2" t="n">
        <x:v>1</x:v>
      </x:c>
      <x:c r="N109" s="2"/>
      <x:c r="O109" s="2"/>
    </x:row>
    <x:row r="110" ht="21" customHeight="1">
      <x:c r="A110" s="2" t="str">
        <x:v>NT000109</x:v>
      </x:c>
      <x:c r="B110" s="2" t="str">
        <x:v>EV000111</x:v>
      </x:c>
      <x:c r="C110" s="2" t="str">
        <x:v>T20261004-3-1</x:v>
      </x:c>
      <x:c r="D110" s="2" t="str">
        <x:v>ST017</x:v>
      </x:c>
      <x:c r="E110" s="2" t="str">
        <x:v>G017</x:v>
      </x:c>
      <x:c r="F110" s="2" t="str">
        <x:v>guardian017@example.invalid</x:v>
      </x:c>
      <x:c r="G110" s="2" t="str">
        <x:v>Email</x:v>
      </x:c>
      <x:c r="H110" s="2" t="str">
        <x:v>Boarded</x:v>
      </x:c>
      <x:c r="I110" s="8" t="n">
        <x:v>46299.573125</x:v>
      </x:c>
      <x:c r="J110" s="8" t="n">
        <x:v>46299.57314814815</x:v>
      </x:c>
      <x:c r="K110" s="8" t="n">
        <x:v>46299.57318287037</x:v>
      </x:c>
      <x:c r="L110" s="2" t="str">
        <x:v>Sent</x:v>
      </x:c>
      <x:c r="M110" s="2" t="n">
        <x:v>1</x:v>
      </x:c>
      <x:c r="N110" s="2"/>
      <x:c r="O110" s="2"/>
    </x:row>
    <x:row r="111" ht="21" customHeight="1">
      <x:c r="A111" s="2" t="str">
        <x:v>NT000110</x:v>
      </x:c>
      <x:c r="B111" s="2" t="str">
        <x:v>EV000112</x:v>
      </x:c>
      <x:c r="C111" s="2" t="str">
        <x:v>T20261004-3-1</x:v>
      </x:c>
      <x:c r="D111" s="2" t="str">
        <x:v>ST017</x:v>
      </x:c>
      <x:c r="E111" s="2" t="str">
        <x:v>G017</x:v>
      </x:c>
      <x:c r="F111" s="2" t="str">
        <x:v>guardian017@example.invalid</x:v>
      </x:c>
      <x:c r="G111" s="2" t="str">
        <x:v>Email</x:v>
      </x:c>
      <x:c r="H111" s="2" t="str">
        <x:v>Authorized release</x:v>
      </x:c>
      <x:c r="I111" s="8" t="n">
        <x:v>46299.59048611111</x:v>
      </x:c>
      <x:c r="J111" s="8" t="n">
        <x:v>46299.59050925926</x:v>
      </x:c>
      <x:c r="K111" s="8" t="n">
        <x:v>46299.59054398148</x:v>
      </x:c>
      <x:c r="L111" s="2" t="str">
        <x:v>Sent</x:v>
      </x:c>
      <x:c r="M111" s="2" t="n">
        <x:v>1</x:v>
      </x:c>
      <x:c r="N111" s="2"/>
      <x:c r="O111" s="2"/>
    </x:row>
    <x:row r="112" ht="21" customHeight="1">
      <x:c r="A112" s="2" t="str">
        <x:v>NT000111</x:v>
      </x:c>
      <x:c r="B112" s="2" t="str">
        <x:v>EV000113</x:v>
      </x:c>
      <x:c r="C112" s="2" t="str">
        <x:v>T20261004-3-1</x:v>
      </x:c>
      <x:c r="D112" s="2" t="str">
        <x:v>ST018</x:v>
      </x:c>
      <x:c r="E112" s="2" t="str">
        <x:v>G018</x:v>
      </x:c>
      <x:c r="F112" s="2" t="str">
        <x:v>guardian018@example.invalid</x:v>
      </x:c>
      <x:c r="G112" s="2" t="str">
        <x:v>Email</x:v>
      </x:c>
      <x:c r="H112" s="2" t="str">
        <x:v>Boarded</x:v>
      </x:c>
      <x:c r="I112" s="8" t="n">
        <x:v>46299.573159722226</x:v>
      </x:c>
      <x:c r="J112" s="8" t="n">
        <x:v>46299.57318287037</x:v>
      </x:c>
      <x:c r="K112" s="8" t="n">
        <x:v>46299.573217592595</x:v>
      </x:c>
      <x:c r="L112" s="2" t="str">
        <x:v>Sent</x:v>
      </x:c>
      <x:c r="M112" s="2" t="n">
        <x:v>1</x:v>
      </x:c>
      <x:c r="N112" s="2"/>
      <x:c r="O112" s="2"/>
    </x:row>
    <x:row r="113" ht="21" customHeight="1">
      <x:c r="A113" s="2" t="str">
        <x:v>NT000112</x:v>
      </x:c>
      <x:c r="B113" s="2" t="str">
        <x:v>EV000114</x:v>
      </x:c>
      <x:c r="C113" s="2" t="str">
        <x:v>T20261004-3-1</x:v>
      </x:c>
      <x:c r="D113" s="2" t="str">
        <x:v>ST018</x:v>
      </x:c>
      <x:c r="E113" s="2" t="str">
        <x:v>G018</x:v>
      </x:c>
      <x:c r="F113" s="2" t="str">
        <x:v>guardian018@example.invalid</x:v>
      </x:c>
      <x:c r="G113" s="2" t="str">
        <x:v>Email</x:v>
      </x:c>
      <x:c r="H113" s="2" t="str">
        <x:v>Authorized release</x:v>
      </x:c>
      <x:c r="I113" s="8" t="n">
        <x:v>46299.5946875</x:v>
      </x:c>
      <x:c r="J113" s="8" t="n">
        <x:v>46299.59471064815</x:v>
      </x:c>
      <x:c r="K113" s="8" t="n">
        <x:v>46299.59474537037</x:v>
      </x:c>
      <x:c r="L113" s="2" t="str">
        <x:v>Sent</x:v>
      </x:c>
      <x:c r="M113" s="2" t="n">
        <x:v>1</x:v>
      </x:c>
      <x:c r="N113" s="2"/>
      <x:c r="O113" s="2"/>
    </x:row>
    <x:row r="114" ht="21" customHeight="1">
      <x:c r="A114" s="2" t="str">
        <x:v>NT000113</x:v>
      </x:c>
      <x:c r="B114" s="2" t="str">
        <x:v>EV000115</x:v>
      </x:c>
      <x:c r="C114" s="2" t="str">
        <x:v>T20261004-3-1</x:v>
      </x:c>
      <x:c r="D114" s="2" t="str">
        <x:v>ST019</x:v>
      </x:c>
      <x:c r="E114" s="2" t="str">
        <x:v>G019</x:v>
      </x:c>
      <x:c r="F114" s="2" t="str">
        <x:v>guardian019@example.invalid</x:v>
      </x:c>
      <x:c r="G114" s="2" t="str">
        <x:v>Email</x:v>
      </x:c>
      <x:c r="H114" s="2" t="str">
        <x:v>Boarded</x:v>
      </x:c>
      <x:c r="I114" s="8" t="n">
        <x:v>46299.57319444445</x:v>
      </x:c>
      <x:c r="J114" s="8" t="n">
        <x:v>46299.573217592595</x:v>
      </x:c>
      <x:c r="K114" s="8" t="n">
        <x:v>46299.57325231482</x:v>
      </x:c>
      <x:c r="L114" s="2" t="str">
        <x:v>Sent</x:v>
      </x:c>
      <x:c r="M114" s="2" t="n">
        <x:v>1</x:v>
      </x:c>
      <x:c r="N114" s="2"/>
      <x:c r="O114" s="2"/>
    </x:row>
    <x:row r="115" ht="21" customHeight="1">
      <x:c r="A115" s="2" t="str">
        <x:v>NT000114</x:v>
      </x:c>
      <x:c r="B115" s="2" t="str">
        <x:v>EV000116</x:v>
      </x:c>
      <x:c r="C115" s="2" t="str">
        <x:v>T20261004-3-1</x:v>
      </x:c>
      <x:c r="D115" s="2" t="str">
        <x:v>ST019</x:v>
      </x:c>
      <x:c r="E115" s="2" t="str">
        <x:v>G019</x:v>
      </x:c>
      <x:c r="F115" s="2" t="str">
        <x:v>guardian019@example.invalid</x:v>
      </x:c>
      <x:c r="G115" s="2" t="str">
        <x:v>Email</x:v>
      </x:c>
      <x:c r="H115" s="2" t="str">
        <x:v>Authorized release</x:v>
      </x:c>
      <x:c r="I115" s="8" t="n">
        <x:v>46299.58638888889</x:v>
      </x:c>
      <x:c r="J115" s="8" t="n">
        <x:v>46299.58641203704</x:v>
      </x:c>
      <x:c r="K115" s="8" t="n">
        <x:v>46299.58644675926</x:v>
      </x:c>
      <x:c r="L115" s="2" t="str">
        <x:v>Sent</x:v>
      </x:c>
      <x:c r="M115" s="2" t="n">
        <x:v>1</x:v>
      </x:c>
      <x:c r="N115" s="2"/>
      <x:c r="O115" s="2"/>
    </x:row>
    <x:row r="116" ht="21" customHeight="1">
      <x:c r="A116" s="2" t="str">
        <x:v>NT000115</x:v>
      </x:c>
      <x:c r="B116" s="2" t="str">
        <x:v>EV000117</x:v>
      </x:c>
      <x:c r="C116" s="2" t="str">
        <x:v>T20261004-3-1</x:v>
      </x:c>
      <x:c r="D116" s="2" t="str">
        <x:v>ST020</x:v>
      </x:c>
      <x:c r="E116" s="2" t="str">
        <x:v>G020</x:v>
      </x:c>
      <x:c r="F116" s="2" t="str">
        <x:v>guardian020@example.invalid</x:v>
      </x:c>
      <x:c r="G116" s="2" t="str">
        <x:v>Email</x:v>
      </x:c>
      <x:c r="H116" s="2" t="str">
        <x:v>Boarded</x:v>
      </x:c>
      <x:c r="I116" s="8" t="n">
        <x:v>46299.57322916667</x:v>
      </x:c>
      <x:c r="J116" s="8" t="n">
        <x:v>46299.57325231482</x:v>
      </x:c>
      <x:c r="K116" s="8" t="n">
        <x:v>46299.57328703704</x:v>
      </x:c>
      <x:c r="L116" s="2" t="str">
        <x:v>Sent</x:v>
      </x:c>
      <x:c r="M116" s="2" t="n">
        <x:v>1</x:v>
      </x:c>
      <x:c r="N116" s="2"/>
      <x:c r="O116" s="2"/>
    </x:row>
    <x:row r="117" ht="21" customHeight="1">
      <x:c r="A117" s="2" t="str">
        <x:v>NT000116</x:v>
      </x:c>
      <x:c r="B117" s="2" t="str">
        <x:v>EV000118</x:v>
      </x:c>
      <x:c r="C117" s="2" t="str">
        <x:v>T20261004-3-1</x:v>
      </x:c>
      <x:c r="D117" s="2" t="str">
        <x:v>ST020</x:v>
      </x:c>
      <x:c r="E117" s="2" t="str">
        <x:v>G020</x:v>
      </x:c>
      <x:c r="F117" s="2" t="str">
        <x:v>guardian020@example.invalid</x:v>
      </x:c>
      <x:c r="G117" s="2" t="str">
        <x:v>Email</x:v>
      </x:c>
      <x:c r="H117" s="2" t="str">
        <x:v>Authorized release</x:v>
      </x:c>
      <x:c r="I117" s="8" t="n">
        <x:v>46299.59059027778</x:v>
      </x:c>
      <x:c r="J117" s="8" t="n">
        <x:v>46299.59061342593</x:v>
      </x:c>
      <x:c r="K117" s="8" t="n">
        <x:v>46299.59064814815</x:v>
      </x:c>
      <x:c r="L117" s="2" t="str">
        <x:v>Sent</x:v>
      </x:c>
      <x:c r="M117" s="2" t="n">
        <x:v>1</x:v>
      </x:c>
      <x:c r="N117" s="2"/>
      <x:c r="O117" s="2"/>
    </x:row>
    <x:row r="118" ht="21" customHeight="1">
      <x:c r="A118" s="2" t="str">
        <x:v>NT000117</x:v>
      </x:c>
      <x:c r="B118" s="2" t="str">
        <x:v>EV000119</x:v>
      </x:c>
      <x:c r="C118" s="2" t="str">
        <x:v>T20261004-4-1</x:v>
      </x:c>
      <x:c r="D118" s="2" t="str">
        <x:v>ST021</x:v>
      </x:c>
      <x:c r="E118" s="2" t="str">
        <x:v>G021</x:v>
      </x:c>
      <x:c r="F118" s="2" t="str">
        <x:v>guardian021@example.invalid</x:v>
      </x:c>
      <x:c r="G118" s="2" t="str">
        <x:v>Email</x:v>
      </x:c>
      <x:c r="H118" s="2" t="str">
        <x:v>Boarded</x:v>
      </x:c>
      <x:c r="I118" s="8" t="n">
        <x:v>46299.60416666667</x:v>
      </x:c>
      <x:c r="J118" s="8" t="n">
        <x:v>46299.60418981482</x:v>
      </x:c>
      <x:c r="K118" s="8" t="n">
        <x:v>46299.60422453704</x:v>
      </x:c>
      <x:c r="L118" s="2" t="str">
        <x:v>Sent</x:v>
      </x:c>
      <x:c r="M118" s="2" t="n">
        <x:v>1</x:v>
      </x:c>
      <x:c r="N118" s="2"/>
      <x:c r="O118" s="2"/>
    </x:row>
    <x:row r="119" ht="21" customHeight="1">
      <x:c r="A119" s="2" t="str">
        <x:v>NT000118</x:v>
      </x:c>
      <x:c r="B119" s="2" t="str">
        <x:v>EV000120</x:v>
      </x:c>
      <x:c r="C119" s="2" t="str">
        <x:v>T20261004-4-1</x:v>
      </x:c>
      <x:c r="D119" s="2" t="str">
        <x:v>ST021</x:v>
      </x:c>
      <x:c r="E119" s="2" t="str">
        <x:v>G021</x:v>
      </x:c>
      <x:c r="F119" s="2" t="str">
        <x:v>guardian021@example.invalid</x:v>
      </x:c>
      <x:c r="G119" s="2" t="str">
        <x:v>Email</x:v>
      </x:c>
      <x:c r="H119" s="2" t="str">
        <x:v>Authorized release</x:v>
      </x:c>
      <x:c r="I119" s="8" t="n">
        <x:v>46299.62708333333</x:v>
      </x:c>
      <x:c r="J119" s="8" t="n">
        <x:v>46299.62710648148</x:v>
      </x:c>
      <x:c r="K119" s="8" t="n">
        <x:v>46299.6271412037</x:v>
      </x:c>
      <x:c r="L119" s="2" t="str">
        <x:v>Sent</x:v>
      </x:c>
      <x:c r="M119" s="2" t="n">
        <x:v>1</x:v>
      </x:c>
      <x:c r="N119" s="2"/>
      <x:c r="O119" s="2"/>
    </x:row>
    <x:row r="120" ht="21" customHeight="1">
      <x:c r="A120" s="2" t="str">
        <x:v>NT000119</x:v>
      </x:c>
      <x:c r="B120" s="2" t="str">
        <x:v>EV000121</x:v>
      </x:c>
      <x:c r="C120" s="2" t="str">
        <x:v>T20261004-4-1</x:v>
      </x:c>
      <x:c r="D120" s="2" t="str">
        <x:v>ST022</x:v>
      </x:c>
      <x:c r="E120" s="2" t="str">
        <x:v>G022</x:v>
      </x:c>
      <x:c r="F120" s="2" t="str">
        <x:v>guardian022@example.invalid</x:v>
      </x:c>
      <x:c r="G120" s="2" t="str">
        <x:v>Email</x:v>
      </x:c>
      <x:c r="H120" s="2" t="str">
        <x:v>Boarded</x:v>
      </x:c>
      <x:c r="I120" s="8" t="n">
        <x:v>46299.604201388895</x:v>
      </x:c>
      <x:c r="J120" s="8" t="n">
        <x:v>46299.60422453704</x:v>
      </x:c>
      <x:c r="K120" s="8" t="n">
        <x:v>46299.604259259264</x:v>
      </x:c>
      <x:c r="L120" s="2" t="str">
        <x:v>Sent</x:v>
      </x:c>
      <x:c r="M120" s="2" t="n">
        <x:v>1</x:v>
      </x:c>
      <x:c r="N120" s="2"/>
      <x:c r="O120" s="2"/>
    </x:row>
    <x:row r="121" ht="21" customHeight="1">
      <x:c r="A121" s="2" t="str">
        <x:v>NT000120</x:v>
      </x:c>
      <x:c r="B121" s="2" t="str">
        <x:v>EV000122</x:v>
      </x:c>
      <x:c r="C121" s="2" t="str">
        <x:v>T20261004-4-1</x:v>
      </x:c>
      <x:c r="D121" s="2" t="str">
        <x:v>ST022</x:v>
      </x:c>
      <x:c r="E121" s="2" t="str">
        <x:v>G022</x:v>
      </x:c>
      <x:c r="F121" s="2" t="str">
        <x:v>guardian022@example.invalid</x:v>
      </x:c>
      <x:c r="G121" s="2" t="str">
        <x:v>Email</x:v>
      </x:c>
      <x:c r="H121" s="2" t="str">
        <x:v>Authorized release</x:v>
      </x:c>
      <x:c r="I121" s="8" t="n">
        <x:v>46299.618784722225</x:v>
      </x:c>
      <x:c r="J121" s="8" t="n">
        <x:v>46299.61880787037</x:v>
      </x:c>
      <x:c r="K121" s="8" t="n">
        <x:v>46299.618842592594</x:v>
      </x:c>
      <x:c r="L121" s="2" t="str">
        <x:v>Sent</x:v>
      </x:c>
      <x:c r="M121" s="2" t="n">
        <x:v>1</x:v>
      </x:c>
      <x:c r="N121" s="2"/>
      <x:c r="O121" s="2"/>
    </x:row>
    <x:row r="122" ht="21" customHeight="1">
      <x:c r="A122" s="2" t="str">
        <x:v>NT000121</x:v>
      </x:c>
      <x:c r="B122" s="2" t="str">
        <x:v>EV000123</x:v>
      </x:c>
      <x:c r="C122" s="2" t="str">
        <x:v>T20261004-4-1</x:v>
      </x:c>
      <x:c r="D122" s="2" t="str">
        <x:v>ST023</x:v>
      </x:c>
      <x:c r="E122" s="2" t="str">
        <x:v>G023</x:v>
      </x:c>
      <x:c r="F122" s="2" t="str">
        <x:v>guardian023@example.invalid</x:v>
      </x:c>
      <x:c r="G122" s="2" t="str">
        <x:v>Email</x:v>
      </x:c>
      <x:c r="H122" s="2" t="str">
        <x:v>Boarded</x:v>
      </x:c>
      <x:c r="I122" s="8" t="n">
        <x:v>46299.60423611112</x:v>
      </x:c>
      <x:c r="J122" s="8" t="n">
        <x:v>46299.604259259264</x:v>
      </x:c>
      <x:c r="K122" s="8" t="n">
        <x:v>46299.60429398149</x:v>
      </x:c>
      <x:c r="L122" s="2" t="str">
        <x:v>Sent</x:v>
      </x:c>
      <x:c r="M122" s="2" t="n">
        <x:v>1</x:v>
      </x:c>
      <x:c r="N122" s="2"/>
      <x:c r="O122" s="2"/>
    </x:row>
    <x:row r="123" ht="21" customHeight="1">
      <x:c r="A123" s="2" t="str">
        <x:v>NT000122</x:v>
      </x:c>
      <x:c r="B123" s="2" t="str">
        <x:v>EV000124</x:v>
      </x:c>
      <x:c r="C123" s="2" t="str">
        <x:v>T20261004-4-1</x:v>
      </x:c>
      <x:c r="D123" s="2" t="str">
        <x:v>ST023</x:v>
      </x:c>
      <x:c r="E123" s="2" t="str">
        <x:v>G023</x:v>
      </x:c>
      <x:c r="F123" s="2" t="str">
        <x:v>guardian023@example.invalid</x:v>
      </x:c>
      <x:c r="G123" s="2" t="str">
        <x:v>Email</x:v>
      </x:c>
      <x:c r="H123" s="2" t="str">
        <x:v>Authorized release</x:v>
      </x:c>
      <x:c r="I123" s="8" t="n">
        <x:v>46299.62298611111</x:v>
      </x:c>
      <x:c r="J123" s="8" t="n">
        <x:v>46299.62300925926</x:v>
      </x:c>
      <x:c r="K123" s="8" t="n">
        <x:v>46299.62304398148</x:v>
      </x:c>
      <x:c r="L123" s="2" t="str">
        <x:v>Sent</x:v>
      </x:c>
      <x:c r="M123" s="2" t="n">
        <x:v>1</x:v>
      </x:c>
      <x:c r="N123" s="2"/>
      <x:c r="O123" s="2"/>
    </x:row>
    <x:row r="124" ht="21" customHeight="1">
      <x:c r="A124" s="2" t="str">
        <x:v>NT000123</x:v>
      </x:c>
      <x:c r="B124" s="2" t="str">
        <x:v>EV000125</x:v>
      </x:c>
      <x:c r="C124" s="2" t="str">
        <x:v>T20261004-4-1</x:v>
      </x:c>
      <x:c r="D124" s="2" t="str">
        <x:v>ST024</x:v>
      </x:c>
      <x:c r="E124" s="2" t="str">
        <x:v>G024</x:v>
      </x:c>
      <x:c r="F124" s="2" t="str">
        <x:v>guardian024@example.invalid</x:v>
      </x:c>
      <x:c r="G124" s="2" t="str">
        <x:v>Email</x:v>
      </x:c>
      <x:c r="H124" s="2" t="str">
        <x:v>Boarded</x:v>
      </x:c>
      <x:c r="I124" s="8" t="n">
        <x:v>46299.60427083334</x:v>
      </x:c>
      <x:c r="J124" s="8" t="n">
        <x:v>46299.60429398149</x:v>
      </x:c>
      <x:c r="K124" s="8" t="n">
        <x:v>46299.60432870371</x:v>
      </x:c>
      <x:c r="L124" s="2" t="str">
        <x:v>Sent</x:v>
      </x:c>
      <x:c r="M124" s="2" t="n">
        <x:v>1</x:v>
      </x:c>
      <x:c r="N124" s="2"/>
      <x:c r="O124" s="2"/>
    </x:row>
    <x:row r="125" ht="21" customHeight="1">
      <x:c r="A125" s="2" t="str">
        <x:v>NT000124</x:v>
      </x:c>
      <x:c r="B125" s="2" t="str">
        <x:v>EV000126</x:v>
      </x:c>
      <x:c r="C125" s="2" t="str">
        <x:v>T20261004-4-1</x:v>
      </x:c>
      <x:c r="D125" s="2" t="str">
        <x:v>ST024</x:v>
      </x:c>
      <x:c r="E125" s="2" t="str">
        <x:v>G024</x:v>
      </x:c>
      <x:c r="F125" s="2" t="str">
        <x:v>guardian024@example.invalid</x:v>
      </x:c>
      <x:c r="G125" s="2" t="str">
        <x:v>Email</x:v>
      </x:c>
      <x:c r="H125" s="2" t="str">
        <x:v>Authorized release</x:v>
      </x:c>
      <x:c r="I125" s="8" t="n">
        <x:v>46299.6271875</x:v>
      </x:c>
      <x:c r="J125" s="8" t="n">
        <x:v>46299.62721064815</x:v>
      </x:c>
      <x:c r="K125" s="8" t="n">
        <x:v>46299.62724537037</x:v>
      </x:c>
      <x:c r="L125" s="2" t="str">
        <x:v>Sent</x:v>
      </x:c>
      <x:c r="M125" s="2" t="n">
        <x:v>1</x:v>
      </x:c>
      <x:c r="N125" s="2"/>
      <x:c r="O125" s="2"/>
    </x:row>
    <x:row r="126" ht="21" customHeight="1">
      <x:c r="A126" s="2" t="str">
        <x:v>NT000125</x:v>
      </x:c>
      <x:c r="B126" s="2" t="str">
        <x:v>EV000127</x:v>
      </x:c>
      <x:c r="C126" s="2" t="str">
        <x:v>T20261004-4-1</x:v>
      </x:c>
      <x:c r="D126" s="2" t="str">
        <x:v>ST025</x:v>
      </x:c>
      <x:c r="E126" s="2" t="str">
        <x:v>G025</x:v>
      </x:c>
      <x:c r="F126" s="2" t="str">
        <x:v>guardian025@example.invalid</x:v>
      </x:c>
      <x:c r="G126" s="2" t="str">
        <x:v>Email</x:v>
      </x:c>
      <x:c r="H126" s="2" t="str">
        <x:v>Boarded</x:v>
      </x:c>
      <x:c r="I126" s="8" t="n">
        <x:v>46299.604305555564</x:v>
      </x:c>
      <x:c r="J126" s="8" t="n">
        <x:v>46299.60432870371</x:v>
      </x:c>
      <x:c r="K126" s="8" t="n">
        <x:v>46299.60436342593</x:v>
      </x:c>
      <x:c r="L126" s="2" t="str">
        <x:v>Sent</x:v>
      </x:c>
      <x:c r="M126" s="2" t="n">
        <x:v>1</x:v>
      </x:c>
      <x:c r="N126" s="2"/>
      <x:c r="O126" s="2"/>
    </x:row>
    <x:row r="127" ht="21" customHeight="1">
      <x:c r="A127" s="2" t="str">
        <x:v>NT000126</x:v>
      </x:c>
      <x:c r="B127" s="2" t="str">
        <x:v>EV000128</x:v>
      </x:c>
      <x:c r="C127" s="2" t="str">
        <x:v>T20261004-4-1</x:v>
      </x:c>
      <x:c r="D127" s="2" t="str">
        <x:v>ST025</x:v>
      </x:c>
      <x:c r="E127" s="2" t="str">
        <x:v>G025</x:v>
      </x:c>
      <x:c r="F127" s="2" t="str">
        <x:v>guardian025@example.invalid</x:v>
      </x:c>
      <x:c r="G127" s="2" t="str">
        <x:v>Email</x:v>
      </x:c>
      <x:c r="H127" s="2" t="str">
        <x:v>Authorized release</x:v>
      </x:c>
      <x:c r="I127" s="8" t="n">
        <x:v>46299.618888888894</x:v>
      </x:c>
      <x:c r="J127" s="8" t="n">
        <x:v>46299.61891203704</x:v>
      </x:c>
      <x:c r="K127" s="8" t="n">
        <x:v>46299.61894675926</x:v>
      </x:c>
      <x:c r="L127" s="2" t="str">
        <x:v>Sent</x:v>
      </x:c>
      <x:c r="M127" s="2" t="n">
        <x:v>1</x:v>
      </x:c>
      <x:c r="N127" s="2"/>
      <x:c r="O127" s="2"/>
    </x:row>
    <x:row r="128" ht="21" customHeight="1">
      <x:c r="A128" s="2" t="str">
        <x:v>NT000127</x:v>
      </x:c>
      <x:c r="B128" s="2" t="str">
        <x:v>EV000129</x:v>
      </x:c>
      <x:c r="C128" s="2" t="str">
        <x:v>T20261004-4-1</x:v>
      </x:c>
      <x:c r="D128" s="2" t="str">
        <x:v>ST026</x:v>
      </x:c>
      <x:c r="E128" s="2" t="str">
        <x:v>G026</x:v>
      </x:c>
      <x:c r="F128" s="2" t="str">
        <x:v>guardian026@example.invalid</x:v>
      </x:c>
      <x:c r="G128" s="2" t="str">
        <x:v>Email</x:v>
      </x:c>
      <x:c r="H128" s="2" t="str">
        <x:v>Boarded</x:v>
      </x:c>
      <x:c r="I128" s="8" t="n">
        <x:v>46299.60434027778</x:v>
      </x:c>
      <x:c r="J128" s="8" t="n">
        <x:v>46299.604363425926</x:v>
      </x:c>
      <x:c r="K128" s="8" t="n">
        <x:v>46299.60439814815</x:v>
      </x:c>
      <x:c r="L128" s="2" t="str">
        <x:v>Sent</x:v>
      </x:c>
      <x:c r="M128" s="2" t="n">
        <x:v>1</x:v>
      </x:c>
      <x:c r="N128" s="2"/>
      <x:c r="O128" s="2"/>
    </x:row>
    <x:row r="129" ht="21" customHeight="1">
      <x:c r="A129" s="2" t="str">
        <x:v>NT000128</x:v>
      </x:c>
      <x:c r="B129" s="2" t="str">
        <x:v>EV000130</x:v>
      </x:c>
      <x:c r="C129" s="2" t="str">
        <x:v>T20261004-4-1</x:v>
      </x:c>
      <x:c r="D129" s="2" t="str">
        <x:v>ST026</x:v>
      </x:c>
      <x:c r="E129" s="2" t="str">
        <x:v>G026</x:v>
      </x:c>
      <x:c r="F129" s="2" t="str">
        <x:v>guardian026@example.invalid</x:v>
      </x:c>
      <x:c r="G129" s="2" t="str">
        <x:v>Email</x:v>
      </x:c>
      <x:c r="H129" s="2" t="str">
        <x:v>Authorized release</x:v>
      </x:c>
      <x:c r="I129" s="8" t="n">
        <x:v>46299.623090277775</x:v>
      </x:c>
      <x:c r="J129" s="8" t="n">
        <x:v>46299.62311342592</x:v>
      </x:c>
      <x:c r="K129" s="8" t="n">
        <x:v>46299.623148148145</x:v>
      </x:c>
      <x:c r="L129" s="2" t="str">
        <x:v>Sent</x:v>
      </x:c>
      <x:c r="M129" s="2" t="n">
        <x:v>1</x:v>
      </x:c>
      <x:c r="N129" s="2"/>
      <x:c r="O129" s="2"/>
    </x:row>
    <x:row r="130" ht="21" customHeight="1">
      <x:c r="A130" s="2" t="str">
        <x:v>NT000129</x:v>
      </x:c>
      <x:c r="B130" s="2" t="str">
        <x:v>EV000131</x:v>
      </x:c>
      <x:c r="C130" s="2" t="str">
        <x:v>T20261004-4-1</x:v>
      </x:c>
      <x:c r="D130" s="2" t="str">
        <x:v>ST027</x:v>
      </x:c>
      <x:c r="E130" s="2" t="str">
        <x:v>G027</x:v>
      </x:c>
      <x:c r="F130" s="2" t="str">
        <x:v>guardian027@example.invalid</x:v>
      </x:c>
      <x:c r="G130" s="2" t="str">
        <x:v>Email</x:v>
      </x:c>
      <x:c r="H130" s="2" t="str">
        <x:v>Boarded</x:v>
      </x:c>
      <x:c r="I130" s="8" t="n">
        <x:v>46299.604375</x:v>
      </x:c>
      <x:c r="J130" s="8" t="n">
        <x:v>46299.60439814815</x:v>
      </x:c>
      <x:c r="K130" s="8" t="n">
        <x:v>46299.60443287037</x:v>
      </x:c>
      <x:c r="L130" s="2" t="str">
        <x:v>Sent</x:v>
      </x:c>
      <x:c r="M130" s="2" t="n">
        <x:v>1</x:v>
      </x:c>
      <x:c r="N130" s="2"/>
      <x:c r="O130" s="2"/>
    </x:row>
    <x:row r="131" ht="21" customHeight="1">
      <x:c r="A131" s="2" t="str">
        <x:v>NT000130</x:v>
      </x:c>
      <x:c r="B131" s="2" t="str">
        <x:v>EV000132</x:v>
      </x:c>
      <x:c r="C131" s="2" t="str">
        <x:v>T20261004-4-1</x:v>
      </x:c>
      <x:c r="D131" s="2" t="str">
        <x:v>ST027</x:v>
      </x:c>
      <x:c r="E131" s="2" t="str">
        <x:v>G027</x:v>
      </x:c>
      <x:c r="F131" s="2" t="str">
        <x:v>guardian027@example.invalid</x:v>
      </x:c>
      <x:c r="G131" s="2" t="str">
        <x:v>Email</x:v>
      </x:c>
      <x:c r="H131" s="2" t="str">
        <x:v>Authorized release</x:v>
      </x:c>
      <x:c r="I131" s="8" t="n">
        <x:v>46299.627291666664</x:v>
      </x:c>
      <x:c r="J131" s="8" t="n">
        <x:v>46299.62731481481</x:v>
      </x:c>
      <x:c r="K131" s="8" t="n">
        <x:v>46299.62734953703</x:v>
      </x:c>
      <x:c r="L131" s="2" t="str">
        <x:v>Sent</x:v>
      </x:c>
      <x:c r="M131" s="2" t="n">
        <x:v>1</x:v>
      </x:c>
      <x:c r="N131" s="2"/>
      <x:c r="O131" s="2"/>
    </x:row>
    <x:row r="132" ht="21" customHeight="1">
      <x:c r="A132" s="2" t="str">
        <x:v>NT000131</x:v>
      </x:c>
      <x:c r="B132" s="2" t="str">
        <x:v>EV000133</x:v>
      </x:c>
      <x:c r="C132" s="2" t="str">
        <x:v>T20261004-4-1</x:v>
      </x:c>
      <x:c r="D132" s="2" t="str">
        <x:v>ST028</x:v>
      </x:c>
      <x:c r="E132" s="2" t="str">
        <x:v>G028</x:v>
      </x:c>
      <x:c r="F132" s="2" t="str">
        <x:v>guardian028@example.invalid</x:v>
      </x:c>
      <x:c r="G132" s="2" t="str">
        <x:v>Email</x:v>
      </x:c>
      <x:c r="H132" s="2" t="str">
        <x:v>Boarded</x:v>
      </x:c>
      <x:c r="I132" s="8" t="n">
        <x:v>46299.604409722226</x:v>
      </x:c>
      <x:c r="J132" s="8" t="n">
        <x:v>46299.60443287037</x:v>
      </x:c>
      <x:c r="K132" s="8" t="n">
        <x:v>46299.604467592595</x:v>
      </x:c>
      <x:c r="L132" s="2" t="str">
        <x:v>Sent</x:v>
      </x:c>
      <x:c r="M132" s="2" t="n">
        <x:v>1</x:v>
      </x:c>
      <x:c r="N132" s="2"/>
      <x:c r="O132" s="2"/>
    </x:row>
    <x:row r="133" ht="21" customHeight="1">
      <x:c r="A133" s="2" t="str">
        <x:v>NT000132</x:v>
      </x:c>
      <x:c r="B133" s="2" t="str">
        <x:v>EV000134</x:v>
      </x:c>
      <x:c r="C133" s="2" t="str">
        <x:v>T20261004-4-1</x:v>
      </x:c>
      <x:c r="D133" s="2" t="str">
        <x:v>ST028</x:v>
      </x:c>
      <x:c r="E133" s="2" t="str">
        <x:v>G028</x:v>
      </x:c>
      <x:c r="F133" s="2" t="str">
        <x:v>guardian028@example.invalid</x:v>
      </x:c>
      <x:c r="G133" s="2" t="str">
        <x:v>Email</x:v>
      </x:c>
      <x:c r="H133" s="2" t="str">
        <x:v>Authorized release</x:v>
      </x:c>
      <x:c r="I133" s="8" t="n">
        <x:v>46299.618993055556</x:v>
      </x:c>
      <x:c r="J133" s="8" t="n">
        <x:v>46299.6190162037</x:v>
      </x:c>
      <x:c r="K133" s="8" t="n">
        <x:v>46299.619050925925</x:v>
      </x:c>
      <x:c r="L133" s="2" t="str">
        <x:v>Sent</x:v>
      </x:c>
      <x:c r="M133" s="2" t="n">
        <x:v>1</x:v>
      </x:c>
      <x:c r="N133" s="2"/>
      <x:c r="O133" s="2"/>
    </x:row>
    <x:row r="134" ht="21" customHeight="1">
      <x:c r="A134" s="2" t="str">
        <x:v>NT000133</x:v>
      </x:c>
      <x:c r="B134" s="2" t="str">
        <x:v>EV000135</x:v>
      </x:c>
      <x:c r="C134" s="2" t="str">
        <x:v>T20261004-4-1</x:v>
      </x:c>
      <x:c r="D134" s="2" t="str">
        <x:v>ST029</x:v>
      </x:c>
      <x:c r="E134" s="2" t="str">
        <x:v>G029</x:v>
      </x:c>
      <x:c r="F134" s="2" t="str">
        <x:v>guardian029@example.invalid</x:v>
      </x:c>
      <x:c r="G134" s="2" t="str">
        <x:v>Email</x:v>
      </x:c>
      <x:c r="H134" s="2" t="str">
        <x:v>Boarded</x:v>
      </x:c>
      <x:c r="I134" s="8" t="n">
        <x:v>46299.60444444445</x:v>
      </x:c>
      <x:c r="J134" s="8" t="n">
        <x:v>46299.604467592595</x:v>
      </x:c>
      <x:c r="K134" s="8" t="n">
        <x:v>46299.60450231482</x:v>
      </x:c>
      <x:c r="L134" s="2" t="str">
        <x:v>Sent</x:v>
      </x:c>
      <x:c r="M134" s="2" t="n">
        <x:v>1</x:v>
      </x:c>
      <x:c r="N134" s="2"/>
      <x:c r="O134" s="2"/>
    </x:row>
    <x:row r="135" ht="21" customHeight="1">
      <x:c r="A135" s="2" t="str">
        <x:v>NT000134</x:v>
      </x:c>
      <x:c r="B135" s="2" t="str">
        <x:v>EV000136</x:v>
      </x:c>
      <x:c r="C135" s="2" t="str">
        <x:v>T20261004-4-1</x:v>
      </x:c>
      <x:c r="D135" s="2" t="str">
        <x:v>ST029</x:v>
      </x:c>
      <x:c r="E135" s="2" t="str">
        <x:v>G029</x:v>
      </x:c>
      <x:c r="F135" s="2" t="str">
        <x:v>guardian029@example.invalid</x:v>
      </x:c>
      <x:c r="G135" s="2" t="str">
        <x:v>Email</x:v>
      </x:c>
      <x:c r="H135" s="2" t="str">
        <x:v>Authorized release</x:v>
      </x:c>
      <x:c r="I135" s="8" t="n">
        <x:v>46299.623194444444</x:v>
      </x:c>
      <x:c r="J135" s="8" t="n">
        <x:v>46299.62321759259</x:v>
      </x:c>
      <x:c r="K135" s="8" t="n">
        <x:v>46299.623252314814</x:v>
      </x:c>
      <x:c r="L135" s="2" t="str">
        <x:v>Sent</x:v>
      </x:c>
      <x:c r="M135" s="2" t="n">
        <x:v>1</x:v>
      </x:c>
      <x:c r="N135" s="2"/>
      <x:c r="O135" s="2"/>
    </x:row>
    <x:row r="136" ht="21" customHeight="1">
      <x:c r="A136" s="2" t="str">
        <x:v>NT000135</x:v>
      </x:c>
      <x:c r="B136" s="2" t="str">
        <x:v>EV000137</x:v>
      </x:c>
      <x:c r="C136" s="2" t="str">
        <x:v>T20261004-4-1</x:v>
      </x:c>
      <x:c r="D136" s="2" t="str">
        <x:v>ST030</x:v>
      </x:c>
      <x:c r="E136" s="2" t="str">
        <x:v>G030</x:v>
      </x:c>
      <x:c r="F136" s="2" t="str">
        <x:v>guardian030@example.invalid</x:v>
      </x:c>
      <x:c r="G136" s="2" t="str">
        <x:v>Email</x:v>
      </x:c>
      <x:c r="H136" s="2" t="str">
        <x:v>Boarded</x:v>
      </x:c>
      <x:c r="I136" s="8" t="n">
        <x:v>46299.60447916667</x:v>
      </x:c>
      <x:c r="J136" s="8" t="n">
        <x:v>46299.60450231482</x:v>
      </x:c>
      <x:c r="K136" s="8" t="n">
        <x:v>46299.60453703704</x:v>
      </x:c>
      <x:c r="L136" s="2" t="str">
        <x:v>Sent</x:v>
      </x:c>
      <x:c r="M136" s="2" t="n">
        <x:v>1</x:v>
      </x:c>
      <x:c r="N136" s="2"/>
      <x:c r="O136" s="2"/>
    </x:row>
    <x:row r="137" ht="21" customHeight="1">
      <x:c r="A137" s="2" t="str">
        <x:v>NT000136</x:v>
      </x:c>
      <x:c r="B137" s="2" t="str">
        <x:v>EV000138</x:v>
      </x:c>
      <x:c r="C137" s="2" t="str">
        <x:v>T20261004-4-1</x:v>
      </x:c>
      <x:c r="D137" s="2" t="str">
        <x:v>ST030</x:v>
      </x:c>
      <x:c r="E137" s="2" t="str">
        <x:v>G030</x:v>
      </x:c>
      <x:c r="F137" s="2" t="str">
        <x:v>guardian030@example.invalid</x:v>
      </x:c>
      <x:c r="G137" s="2" t="str">
        <x:v>Email</x:v>
      </x:c>
      <x:c r="H137" s="2" t="str">
        <x:v>Authorized release</x:v>
      </x:c>
      <x:c r="I137" s="8" t="n">
        <x:v>46299.62739583333</x:v>
      </x:c>
      <x:c r="J137" s="8" t="n">
        <x:v>46299.62741898148</x:v>
      </x:c>
      <x:c r="K137" s="8" t="n">
        <x:v>46299.6274537037</x:v>
      </x:c>
      <x:c r="L137" s="2" t="str">
        <x:v>Sent</x:v>
      </x:c>
      <x:c r="M137" s="2" t="n">
        <x:v>1</x:v>
      </x:c>
      <x:c r="N137" s="2"/>
      <x:c r="O137" s="2"/>
    </x:row>
    <x:row r="138" ht="21" customHeight="1">
      <x:c r="A138" s="2" t="str">
        <x:v>NT000137</x:v>
      </x:c>
      <x:c r="B138" s="2" t="str">
        <x:v>EV000139</x:v>
      </x:c>
      <x:c r="C138" s="2" t="str">
        <x:v>T20261004-5-1</x:v>
      </x:c>
      <x:c r="D138" s="2" t="str">
        <x:v>ST031</x:v>
      </x:c>
      <x:c r="E138" s="2" t="str">
        <x:v>G031</x:v>
      </x:c>
      <x:c r="F138" s="2" t="str">
        <x:v>guardian031@example.invalid</x:v>
      </x:c>
      <x:c r="G138" s="2" t="str">
        <x:v>Email</x:v>
      </x:c>
      <x:c r="H138" s="2" t="str">
        <x:v>Boarded</x:v>
      </x:c>
      <x:c r="I138" s="8" t="n">
        <x:v>46299.70833333333</x:v>
      </x:c>
      <x:c r="J138" s="8" t="n">
        <x:v>46299.708356481475</x:v>
      </x:c>
      <x:c r="K138" s="8" t="n">
        <x:v>46299.7083912037</x:v>
      </x:c>
      <x:c r="L138" s="2" t="str">
        <x:v>Sent</x:v>
      </x:c>
      <x:c r="M138" s="2" t="n">
        <x:v>1</x:v>
      </x:c>
      <x:c r="N138" s="2"/>
      <x:c r="O138" s="2"/>
    </x:row>
    <x:row r="139" ht="21" customHeight="1">
      <x:c r="A139" s="2" t="str">
        <x:v>NT000138</x:v>
      </x:c>
      <x:c r="B139" s="2" t="str">
        <x:v>EV000140</x:v>
      </x:c>
      <x:c r="C139" s="2" t="str">
        <x:v>T20261004-5-1</x:v>
      </x:c>
      <x:c r="D139" s="2" t="str">
        <x:v>ST031</x:v>
      </x:c>
      <x:c r="E139" s="2" t="str">
        <x:v>G031</x:v>
      </x:c>
      <x:c r="F139" s="2" t="str">
        <x:v>guardian031@example.invalid</x:v>
      </x:c>
      <x:c r="G139" s="2" t="str">
        <x:v>Email</x:v>
      </x:c>
      <x:c r="H139" s="2" t="str">
        <x:v>Authorized release</x:v>
      </x:c>
      <x:c r="I139" s="8" t="n">
        <x:v>46299.72361111111</x:v>
      </x:c>
      <x:c r="J139" s="8" t="n">
        <x:v>46299.72363425926</x:v>
      </x:c>
      <x:c r="K139" s="8" t="n">
        <x:v>46299.72366898148</x:v>
      </x:c>
      <x:c r="L139" s="2" t="str">
        <x:v>Sent</x:v>
      </x:c>
      <x:c r="M139" s="2" t="n">
        <x:v>1</x:v>
      </x:c>
      <x:c r="N139" s="2"/>
      <x:c r="O139" s="2"/>
    </x:row>
    <x:row r="140" ht="21" customHeight="1">
      <x:c r="A140" s="2" t="str">
        <x:v>NT000139</x:v>
      </x:c>
      <x:c r="B140" s="2" t="str">
        <x:v>EV000141</x:v>
      </x:c>
      <x:c r="C140" s="2" t="str">
        <x:v>T20261004-5-1</x:v>
      </x:c>
      <x:c r="D140" s="2" t="str">
        <x:v>ST032</x:v>
      </x:c>
      <x:c r="E140" s="2" t="str">
        <x:v>G032</x:v>
      </x:c>
      <x:c r="F140" s="2" t="str">
        <x:v>guardian032@example.invalid</x:v>
      </x:c>
      <x:c r="G140" s="2" t="str">
        <x:v>Email</x:v>
      </x:c>
      <x:c r="H140" s="2" t="str">
        <x:v>Boarded</x:v>
      </x:c>
      <x:c r="I140" s="8" t="n">
        <x:v>46299.70836805555</x:v>
      </x:c>
      <x:c r="J140" s="8" t="n">
        <x:v>46299.7083912037</x:v>
      </x:c>
      <x:c r="K140" s="8" t="n">
        <x:v>46299.70842592592</x:v>
      </x:c>
      <x:c r="L140" s="2" t="str">
        <x:v>Sent</x:v>
      </x:c>
      <x:c r="M140" s="2" t="n">
        <x:v>1</x:v>
      </x:c>
      <x:c r="N140" s="2"/>
      <x:c r="O140" s="2"/>
    </x:row>
    <x:row r="141" ht="21" customHeight="1">
      <x:c r="A141" s="2" t="str">
        <x:v>NT000140</x:v>
      </x:c>
      <x:c r="B141" s="2" t="str">
        <x:v>EV000142</x:v>
      </x:c>
      <x:c r="C141" s="2" t="str">
        <x:v>T20261004-5-1</x:v>
      </x:c>
      <x:c r="D141" s="2" t="str">
        <x:v>ST032</x:v>
      </x:c>
      <x:c r="E141" s="2" t="str">
        <x:v>G032</x:v>
      </x:c>
      <x:c r="F141" s="2" t="str">
        <x:v>guardian032@example.invalid</x:v>
      </x:c>
      <x:c r="G141" s="2" t="str">
        <x:v>Email</x:v>
      </x:c>
      <x:c r="H141" s="2" t="str">
        <x:v>Authorized release</x:v>
      </x:c>
      <x:c r="I141" s="8" t="n">
        <x:v>46299.72850694445</x:v>
      </x:c>
      <x:c r="J141" s="8" t="n">
        <x:v>46299.728530092594</x:v>
      </x:c>
      <x:c r="K141" s="8" t="n">
        <x:v>46299.72856481482</x:v>
      </x:c>
      <x:c r="L141" s="2" t="str">
        <x:v>Sent</x:v>
      </x:c>
      <x:c r="M141" s="2" t="n">
        <x:v>1</x:v>
      </x:c>
      <x:c r="N141" s="2"/>
      <x:c r="O141" s="2"/>
    </x:row>
    <x:row r="142" ht="21" customHeight="1">
      <x:c r="A142" s="2" t="str">
        <x:v>NT000141</x:v>
      </x:c>
      <x:c r="B142" s="2" t="str">
        <x:v>EV000143</x:v>
      </x:c>
      <x:c r="C142" s="2" t="str">
        <x:v>T20261004-5-1</x:v>
      </x:c>
      <x:c r="D142" s="2" t="str">
        <x:v>ST033</x:v>
      </x:c>
      <x:c r="E142" s="2" t="str">
        <x:v>G033</x:v>
      </x:c>
      <x:c r="F142" s="2" t="str">
        <x:v>guardian033@example.invalid</x:v>
      </x:c>
      <x:c r="G142" s="2" t="str">
        <x:v>Email</x:v>
      </x:c>
      <x:c r="H142" s="2" t="str">
        <x:v>Boarded</x:v>
      </x:c>
      <x:c r="I142" s="8" t="n">
        <x:v>46299.708402777775</x:v>
      </x:c>
      <x:c r="J142" s="8" t="n">
        <x:v>46299.70842592592</x:v>
      </x:c>
      <x:c r="K142" s="8" t="n">
        <x:v>46299.708460648144</x:v>
      </x:c>
      <x:c r="L142" s="2" t="str">
        <x:v>Sent</x:v>
      </x:c>
      <x:c r="M142" s="2" t="n">
        <x:v>1</x:v>
      </x:c>
      <x:c r="N142" s="2"/>
      <x:c r="O142" s="2"/>
    </x:row>
    <x:row r="143" ht="21" customHeight="1">
      <x:c r="A143" s="2" t="str">
        <x:v>NT000142</x:v>
      </x:c>
      <x:c r="B143" s="2" t="str">
        <x:v>EV000144</x:v>
      </x:c>
      <x:c r="C143" s="2" t="str">
        <x:v>T20261004-5-1</x:v>
      </x:c>
      <x:c r="D143" s="2" t="str">
        <x:v>ST033</x:v>
      </x:c>
      <x:c r="E143" s="2" t="str">
        <x:v>G033</x:v>
      </x:c>
      <x:c r="F143" s="2" t="str">
        <x:v>guardian033@example.invalid</x:v>
      </x:c>
      <x:c r="G143" s="2" t="str">
        <x:v>Email</x:v>
      </x:c>
      <x:c r="H143" s="2" t="str">
        <x:v>Authorized release</x:v>
      </x:c>
      <x:c r="I143" s="8" t="n">
        <x:v>46299.73340277778</x:v>
      </x:c>
      <x:c r="J143" s="8" t="n">
        <x:v>46299.73342592593</x:v>
      </x:c>
      <x:c r="K143" s="8" t="n">
        <x:v>46299.73346064815</x:v>
      </x:c>
      <x:c r="L143" s="2" t="str">
        <x:v>Sent</x:v>
      </x:c>
      <x:c r="M143" s="2" t="n">
        <x:v>1</x:v>
      </x:c>
      <x:c r="N143" s="2"/>
      <x:c r="O143" s="2"/>
    </x:row>
    <x:row r="144" ht="21" customHeight="1">
      <x:c r="A144" s="2" t="str">
        <x:v>NT000143</x:v>
      </x:c>
      <x:c r="B144" s="2" t="str">
        <x:v>EV000145</x:v>
      </x:c>
      <x:c r="C144" s="2" t="str">
        <x:v>T20261004-5-1</x:v>
      </x:c>
      <x:c r="D144" s="2" t="str">
        <x:v>ST034</x:v>
      </x:c>
      <x:c r="E144" s="2" t="str">
        <x:v>G034</x:v>
      </x:c>
      <x:c r="F144" s="2" t="str">
        <x:v>guardian034@example.invalid</x:v>
      </x:c>
      <x:c r="G144" s="2" t="str">
        <x:v>Email</x:v>
      </x:c>
      <x:c r="H144" s="2" t="str">
        <x:v>Boarded</x:v>
      </x:c>
      <x:c r="I144" s="8" t="n">
        <x:v>46299.7084375</x:v>
      </x:c>
      <x:c r="J144" s="8" t="n">
        <x:v>46299.708460648144</x:v>
      </x:c>
      <x:c r="K144" s="8" t="n">
        <x:v>46299.70849537037</x:v>
      </x:c>
      <x:c r="L144" s="2" t="str">
        <x:v>Sent</x:v>
      </x:c>
      <x:c r="M144" s="2" t="n">
        <x:v>1</x:v>
      </x:c>
      <x:c r="N144" s="2"/>
      <x:c r="O144" s="2"/>
    </x:row>
    <x:row r="145" ht="21" customHeight="1">
      <x:c r="A145" s="2" t="str">
        <x:v>NT000144</x:v>
      </x:c>
      <x:c r="B145" s="2" t="str">
        <x:v>EV000146</x:v>
      </x:c>
      <x:c r="C145" s="2" t="str">
        <x:v>T20261004-5-1</x:v>
      </x:c>
      <x:c r="D145" s="2" t="str">
        <x:v>ST034</x:v>
      </x:c>
      <x:c r="E145" s="2" t="str">
        <x:v>G034</x:v>
      </x:c>
      <x:c r="F145" s="2" t="str">
        <x:v>guardian034@example.invalid</x:v>
      </x:c>
      <x:c r="G145" s="2" t="str">
        <x:v>Email</x:v>
      </x:c>
      <x:c r="H145" s="2" t="str">
        <x:v>Authorized release</x:v>
      </x:c>
      <x:c r="I145" s="8" t="n">
        <x:v>46299.72371527778</x:v>
      </x:c>
      <x:c r="J145" s="8" t="n">
        <x:v>46299.72373842593</x:v>
      </x:c>
      <x:c r="K145" s="8" t="n">
        <x:v>46299.72377314815</x:v>
      </x:c>
      <x:c r="L145" s="2" t="str">
        <x:v>Sent</x:v>
      </x:c>
      <x:c r="M145" s="2" t="n">
        <x:v>1</x:v>
      </x:c>
      <x:c r="N145" s="2"/>
      <x:c r="O145" s="2"/>
    </x:row>
    <x:row r="146" ht="21" customHeight="1">
      <x:c r="A146" s="2" t="str">
        <x:v>NT000145</x:v>
      </x:c>
      <x:c r="B146" s="2" t="str">
        <x:v>EV000147</x:v>
      </x:c>
      <x:c r="C146" s="2" t="str">
        <x:v>T20261004-5-1</x:v>
      </x:c>
      <x:c r="D146" s="2" t="str">
        <x:v>ST035</x:v>
      </x:c>
      <x:c r="E146" s="2" t="str">
        <x:v>G035</x:v>
      </x:c>
      <x:c r="F146" s="2" t="str">
        <x:v>guardian035@example.invalid</x:v>
      </x:c>
      <x:c r="G146" s="2" t="str">
        <x:v>Email</x:v>
      </x:c>
      <x:c r="H146" s="2" t="str">
        <x:v>Boarded</x:v>
      </x:c>
      <x:c r="I146" s="8" t="n">
        <x:v>46299.70847222222</x:v>
      </x:c>
      <x:c r="J146" s="8" t="n">
        <x:v>46299.70849537037</x:v>
      </x:c>
      <x:c r="K146" s="8" t="n">
        <x:v>46299.70853009259</x:v>
      </x:c>
      <x:c r="L146" s="2" t="str">
        <x:v>Sent</x:v>
      </x:c>
      <x:c r="M146" s="2" t="n">
        <x:v>1</x:v>
      </x:c>
      <x:c r="N146" s="2"/>
      <x:c r="O146" s="2"/>
    </x:row>
    <x:row r="147" ht="21" customHeight="1">
      <x:c r="A147" s="2" t="str">
        <x:v>NT000146</x:v>
      </x:c>
      <x:c r="B147" s="2" t="str">
        <x:v>EV000148</x:v>
      </x:c>
      <x:c r="C147" s="2" t="str">
        <x:v>T20261004-5-1</x:v>
      </x:c>
      <x:c r="D147" s="2" t="str">
        <x:v>ST035</x:v>
      </x:c>
      <x:c r="E147" s="2" t="str">
        <x:v>G035</x:v>
      </x:c>
      <x:c r="F147" s="2" t="str">
        <x:v>guardian035@example.invalid</x:v>
      </x:c>
      <x:c r="G147" s="2" t="str">
        <x:v>Email</x:v>
      </x:c>
      <x:c r="H147" s="2" t="str">
        <x:v>Authorized release</x:v>
      </x:c>
      <x:c r="I147" s="8" t="n">
        <x:v>46299.72861111112</x:v>
      </x:c>
      <x:c r="J147" s="8" t="n">
        <x:v>46299.72863425926</x:v>
      </x:c>
      <x:c r="K147" s="8" t="n">
        <x:v>46299.72866898149</x:v>
      </x:c>
      <x:c r="L147" s="2" t="str">
        <x:v>Sent</x:v>
      </x:c>
      <x:c r="M147" s="2" t="n">
        <x:v>1</x:v>
      </x:c>
      <x:c r="N147" s="2"/>
      <x:c r="O147" s="2"/>
    </x:row>
    <x:row r="148" ht="21" customHeight="1">
      <x:c r="A148" s="2" t="str">
        <x:v>NT000147</x:v>
      </x:c>
      <x:c r="B148" s="2" t="str">
        <x:v>EV000149</x:v>
      </x:c>
      <x:c r="C148" s="2" t="str">
        <x:v>T20261004-5-1</x:v>
      </x:c>
      <x:c r="D148" s="2" t="str">
        <x:v>ST036</x:v>
      </x:c>
      <x:c r="E148" s="2" t="str">
        <x:v>G036</x:v>
      </x:c>
      <x:c r="F148" s="2" t="str">
        <x:v>guardian036@example.invalid</x:v>
      </x:c>
      <x:c r="G148" s="2" t="str">
        <x:v>Email</x:v>
      </x:c>
      <x:c r="H148" s="2" t="str">
        <x:v>Boarded</x:v>
      </x:c>
      <x:c r="I148" s="8" t="n">
        <x:v>46299.70850694444</x:v>
      </x:c>
      <x:c r="J148" s="8" t="n">
        <x:v>46299.70853009258</x:v>
      </x:c>
      <x:c r="K148" s="8" t="n">
        <x:v>46299.708564814806</x:v>
      </x:c>
      <x:c r="L148" s="2" t="str">
        <x:v>Sent</x:v>
      </x:c>
      <x:c r="M148" s="2" t="n">
        <x:v>1</x:v>
      </x:c>
      <x:c r="N148" s="2"/>
      <x:c r="O148" s="2"/>
    </x:row>
    <x:row r="149" ht="21" customHeight="1">
      <x:c r="A149" s="2" t="str">
        <x:v>NT000148</x:v>
      </x:c>
      <x:c r="B149" s="2" t="str">
        <x:v>EV000150</x:v>
      </x:c>
      <x:c r="C149" s="2" t="str">
        <x:v>T20261004-5-1</x:v>
      </x:c>
      <x:c r="D149" s="2" t="str">
        <x:v>ST036</x:v>
      </x:c>
      <x:c r="E149" s="2" t="str">
        <x:v>G036</x:v>
      </x:c>
      <x:c r="F149" s="2" t="str">
        <x:v>guardian036@example.invalid</x:v>
      </x:c>
      <x:c r="G149" s="2" t="str">
        <x:v>Email</x:v>
      </x:c>
      <x:c r="H149" s="2" t="str">
        <x:v>Authorized release</x:v>
      </x:c>
      <x:c r="I149" s="8" t="n">
        <x:v>46299.733506944445</x:v>
      </x:c>
      <x:c r="J149" s="8" t="n">
        <x:v>46299.73353009259</x:v>
      </x:c>
      <x:c r="K149" s="8" t="n">
        <x:v>46299.733564814815</x:v>
      </x:c>
      <x:c r="L149" s="2" t="str">
        <x:v>Sent</x:v>
      </x:c>
      <x:c r="M149" s="2" t="n">
        <x:v>1</x:v>
      </x:c>
      <x:c r="N149" s="2"/>
      <x:c r="O149" s="2"/>
    </x:row>
    <x:row r="150" ht="21" customHeight="1">
      <x:c r="A150" s="2" t="str">
        <x:v>NT000149</x:v>
      </x:c>
      <x:c r="B150" s="2" t="str">
        <x:v>EV000151</x:v>
      </x:c>
      <x:c r="C150" s="2" t="str">
        <x:v>T20261004-5-1</x:v>
      </x:c>
      <x:c r="D150" s="2" t="str">
        <x:v>ST037</x:v>
      </x:c>
      <x:c r="E150" s="2" t="str">
        <x:v>G037</x:v>
      </x:c>
      <x:c r="F150" s="2" t="str">
        <x:v>guardian037@example.invalid</x:v>
      </x:c>
      <x:c r="G150" s="2" t="str">
        <x:v>Email</x:v>
      </x:c>
      <x:c r="H150" s="2" t="str">
        <x:v>Boarded</x:v>
      </x:c>
      <x:c r="I150" s="8" t="n">
        <x:v>46299.70854166666</x:v>
      </x:c>
      <x:c r="J150" s="8" t="n">
        <x:v>46299.708564814806</x:v>
      </x:c>
      <x:c r="K150" s="8" t="n">
        <x:v>46299.70859953703</x:v>
      </x:c>
      <x:c r="L150" s="2" t="str">
        <x:v>Sent</x:v>
      </x:c>
      <x:c r="M150" s="2" t="n">
        <x:v>1</x:v>
      </x:c>
      <x:c r="N150" s="2"/>
      <x:c r="O150" s="2"/>
    </x:row>
    <x:row r="151" ht="21" customHeight="1">
      <x:c r="A151" s="2" t="str">
        <x:v>NT000150</x:v>
      </x:c>
      <x:c r="B151" s="2" t="str">
        <x:v>EV000152</x:v>
      </x:c>
      <x:c r="C151" s="2" t="str">
        <x:v>T20261004-5-1</x:v>
      </x:c>
      <x:c r="D151" s="2" t="str">
        <x:v>ST037</x:v>
      </x:c>
      <x:c r="E151" s="2" t="str">
        <x:v>G037</x:v>
      </x:c>
      <x:c r="F151" s="2" t="str">
        <x:v>guardian037@example.invalid</x:v>
      </x:c>
      <x:c r="G151" s="2" t="str">
        <x:v>Email</x:v>
      </x:c>
      <x:c r="H151" s="2" t="str">
        <x:v>Authorized release</x:v>
      </x:c>
      <x:c r="I151" s="8" t="n">
        <x:v>46299.72381944444</x:v>
      </x:c>
      <x:c r="J151" s="8" t="n">
        <x:v>46299.72384259259</x:v>
      </x:c>
      <x:c r="K151" s="8" t="n">
        <x:v>46299.72387731481</x:v>
      </x:c>
      <x:c r="L151" s="2" t="str">
        <x:v>Sent</x:v>
      </x:c>
      <x:c r="M151" s="2" t="n">
        <x:v>1</x:v>
      </x:c>
      <x:c r="N151" s="2"/>
      <x:c r="O151" s="2"/>
    </x:row>
    <x:row r="152" ht="21" customHeight="1">
      <x:c r="A152" s="2" t="str">
        <x:v>NT000151</x:v>
      </x:c>
      <x:c r="B152" s="2" t="str">
        <x:v>EV000153</x:v>
      </x:c>
      <x:c r="C152" s="2" t="str">
        <x:v>T20261004-5-1</x:v>
      </x:c>
      <x:c r="D152" s="2" t="str">
        <x:v>ST038</x:v>
      </x:c>
      <x:c r="E152" s="2" t="str">
        <x:v>G038</x:v>
      </x:c>
      <x:c r="F152" s="2" t="str">
        <x:v>guardian038@example.invalid</x:v>
      </x:c>
      <x:c r="G152" s="2" t="str">
        <x:v>Email</x:v>
      </x:c>
      <x:c r="H152" s="2" t="str">
        <x:v>Boarded</x:v>
      </x:c>
      <x:c r="I152" s="8" t="n">
        <x:v>46299.70857638888</x:v>
      </x:c>
      <x:c r="J152" s="8" t="n">
        <x:v>46299.70859953703</x:v>
      </x:c>
      <x:c r="K152" s="8" t="n">
        <x:v>46299.70863425925</x:v>
      </x:c>
      <x:c r="L152" s="2" t="str">
        <x:v>Sent</x:v>
      </x:c>
      <x:c r="M152" s="2" t="n">
        <x:v>1</x:v>
      </x:c>
      <x:c r="N152" s="2"/>
      <x:c r="O152" s="2"/>
    </x:row>
    <x:row r="153" ht="21" customHeight="1">
      <x:c r="A153" s="2" t="str">
        <x:v>NT000152</x:v>
      </x:c>
      <x:c r="B153" s="2" t="str">
        <x:v>EV000154</x:v>
      </x:c>
      <x:c r="C153" s="2" t="str">
        <x:v>T20261004-5-1</x:v>
      </x:c>
      <x:c r="D153" s="2" t="str">
        <x:v>ST038</x:v>
      </x:c>
      <x:c r="E153" s="2" t="str">
        <x:v>G038</x:v>
      </x:c>
      <x:c r="F153" s="2" t="str">
        <x:v>guardian038@example.invalid</x:v>
      </x:c>
      <x:c r="G153" s="2" t="str">
        <x:v>Email</x:v>
      </x:c>
      <x:c r="H153" s="2" t="str">
        <x:v>Authorized release</x:v>
      </x:c>
      <x:c r="I153" s="8" t="n">
        <x:v>46299.72871527778</x:v>
      </x:c>
      <x:c r="J153" s="8" t="n">
        <x:v>46299.728738425925</x:v>
      </x:c>
      <x:c r="K153" s="8" t="n">
        <x:v>46299.72877314815</x:v>
      </x:c>
      <x:c r="L153" s="2" t="str">
        <x:v>Sent</x:v>
      </x:c>
      <x:c r="M153" s="2" t="n">
        <x:v>1</x:v>
      </x:c>
      <x:c r="N153" s="2"/>
      <x:c r="O153" s="2"/>
    </x:row>
    <x:row r="154" ht="21" customHeight="1">
      <x:c r="A154" s="2" t="str">
        <x:v>NT000153</x:v>
      </x:c>
      <x:c r="B154" s="2" t="str">
        <x:v>EV000155</x:v>
      </x:c>
      <x:c r="C154" s="2" t="str">
        <x:v>T20261004-5-1</x:v>
      </x:c>
      <x:c r="D154" s="2" t="str">
        <x:v>ST039</x:v>
      </x:c>
      <x:c r="E154" s="2" t="str">
        <x:v>G039</x:v>
      </x:c>
      <x:c r="F154" s="2" t="str">
        <x:v>guardian039@example.invalid</x:v>
      </x:c>
      <x:c r="G154" s="2" t="str">
        <x:v>Email</x:v>
      </x:c>
      <x:c r="H154" s="2" t="str">
        <x:v>Boarded</x:v>
      </x:c>
      <x:c r="I154" s="8" t="n">
        <x:v>46299.708611111106</x:v>
      </x:c>
      <x:c r="J154" s="8" t="n">
        <x:v>46299.70863425925</x:v>
      </x:c>
      <x:c r="K154" s="8" t="n">
        <x:v>46299.708668981475</x:v>
      </x:c>
      <x:c r="L154" s="2" t="str">
        <x:v>Sent</x:v>
      </x:c>
      <x:c r="M154" s="2" t="n">
        <x:v>1</x:v>
      </x:c>
      <x:c r="N154" s="2"/>
      <x:c r="O154" s="2"/>
    </x:row>
    <x:row r="155" ht="21" customHeight="1">
      <x:c r="A155" s="2" t="str">
        <x:v>NT000154</x:v>
      </x:c>
      <x:c r="B155" s="2" t="str">
        <x:v>EV000156</x:v>
      </x:c>
      <x:c r="C155" s="2" t="str">
        <x:v>T20261004-5-1</x:v>
      </x:c>
      <x:c r="D155" s="2" t="str">
        <x:v>ST039</x:v>
      </x:c>
      <x:c r="E155" s="2" t="str">
        <x:v>G039</x:v>
      </x:c>
      <x:c r="F155" s="2" t="str">
        <x:v>guardian039@example.invalid</x:v>
      </x:c>
      <x:c r="G155" s="2" t="str">
        <x:v>Email</x:v>
      </x:c>
      <x:c r="H155" s="2" t="str">
        <x:v>Authorized release</x:v>
      </x:c>
      <x:c r="I155" s="8" t="n">
        <x:v>46299.733611111114</x:v>
      </x:c>
      <x:c r="J155" s="8" t="n">
        <x:v>46299.73363425926</x:v>
      </x:c>
      <x:c r="K155" s="8" t="n">
        <x:v>46299.733668981484</x:v>
      </x:c>
      <x:c r="L155" s="2" t="str">
        <x:v>Sent</x:v>
      </x:c>
      <x:c r="M155" s="2" t="n">
        <x:v>1</x:v>
      </x:c>
      <x:c r="N155" s="2"/>
      <x:c r="O155" s="2"/>
    </x:row>
    <x:row r="156" ht="21" customHeight="1">
      <x:c r="A156" s="2" t="str">
        <x:v>NT000155</x:v>
      </x:c>
      <x:c r="B156" s="2" t="str">
        <x:v>EV000157</x:v>
      </x:c>
      <x:c r="C156" s="2" t="str">
        <x:v>T20261004-5-1</x:v>
      </x:c>
      <x:c r="D156" s="2" t="str">
        <x:v>ST040</x:v>
      </x:c>
      <x:c r="E156" s="2" t="str">
        <x:v>G040</x:v>
      </x:c>
      <x:c r="F156" s="2" t="str">
        <x:v>guardian040@example.invalid</x:v>
      </x:c>
      <x:c r="G156" s="2" t="str">
        <x:v>Email</x:v>
      </x:c>
      <x:c r="H156" s="2" t="str">
        <x:v>Boarded</x:v>
      </x:c>
      <x:c r="I156" s="8" t="n">
        <x:v>46299.70864583333</x:v>
      </x:c>
      <x:c r="J156" s="8" t="n">
        <x:v>46299.708668981475</x:v>
      </x:c>
      <x:c r="K156" s="8" t="n">
        <x:v>46299.7087037037</x:v>
      </x:c>
      <x:c r="L156" s="2" t="str">
        <x:v>Sent</x:v>
      </x:c>
      <x:c r="M156" s="2" t="n">
        <x:v>1</x:v>
      </x:c>
      <x:c r="N156" s="2"/>
      <x:c r="O156" s="2"/>
    </x:row>
    <x:row r="157" ht="21" customHeight="1">
      <x:c r="A157" s="2" t="str">
        <x:v>NT000156</x:v>
      </x:c>
      <x:c r="B157" s="2" t="str">
        <x:v>EV000158</x:v>
      </x:c>
      <x:c r="C157" s="2" t="str">
        <x:v>T20261004-5-1</x:v>
      </x:c>
      <x:c r="D157" s="2" t="str">
        <x:v>ST040</x:v>
      </x:c>
      <x:c r="E157" s="2" t="str">
        <x:v>G040</x:v>
      </x:c>
      <x:c r="F157" s="2" t="str">
        <x:v>guardian040@example.invalid</x:v>
      </x:c>
      <x:c r="G157" s="2" t="str">
        <x:v>Email</x:v>
      </x:c>
      <x:c r="H157" s="2" t="str">
        <x:v>Authorized release</x:v>
      </x:c>
      <x:c r="I157" s="8" t="n">
        <x:v>46299.72392361111</x:v>
      </x:c>
      <x:c r="J157" s="8" t="n">
        <x:v>46299.72394675926</x:v>
      </x:c>
      <x:c r="K157" s="8" t="n">
        <x:v>46299.72398148148</x:v>
      </x:c>
      <x:c r="L157" s="2" t="str">
        <x:v>Sent</x:v>
      </x:c>
      <x:c r="M157" s="2" t="n">
        <x:v>1</x:v>
      </x:c>
      <x:c r="N157" s="2"/>
      <x:c r="O157" s="2"/>
    </x:row>
    <x:row r="158" ht="21" customHeight="1">
      <x:c r="A158" s="2" t="str">
        <x:v>NT000157</x:v>
      </x:c>
      <x:c r="B158" s="2" t="str">
        <x:v>EV000159</x:v>
      </x:c>
      <x:c r="C158" s="2" t="str">
        <x:v>T20261004-1-2</x:v>
      </x:c>
      <x:c r="D158" s="2" t="str">
        <x:v>ST041</x:v>
      </x:c>
      <x:c r="E158" s="2" t="str">
        <x:v>G041</x:v>
      </x:c>
      <x:c r="F158" s="2" t="str">
        <x:v>guardian041@example.invalid</x:v>
      </x:c>
      <x:c r="G158" s="2" t="str">
        <x:v>Email</x:v>
      </x:c>
      <x:c r="H158" s="2" t="str">
        <x:v>Boarded</x:v>
      </x:c>
      <x:c r="I158" s="8" t="n">
        <x:v>46299.242361111115</x:v>
      </x:c>
      <x:c r="J158" s="8" t="n">
        <x:v>46299.24238425926</x:v>
      </x:c>
      <x:c r="K158" s="8" t="n">
        <x:v>46299.242418981485</x:v>
      </x:c>
      <x:c r="L158" s="2" t="str">
        <x:v>Sent</x:v>
      </x:c>
      <x:c r="M158" s="2" t="n">
        <x:v>1</x:v>
      </x:c>
      <x:c r="N158" s="2"/>
      <x:c r="O158" s="2"/>
    </x:row>
    <x:row r="159" ht="21" customHeight="1">
      <x:c r="A159" s="2" t="str">
        <x:v>NT000158</x:v>
      </x:c>
      <x:c r="B159" s="2" t="str">
        <x:v>EV000160</x:v>
      </x:c>
      <x:c r="C159" s="2" t="str">
        <x:v>T20261004-1-2</x:v>
      </x:c>
      <x:c r="D159" s="2" t="str">
        <x:v>ST041</x:v>
      </x:c>
      <x:c r="E159" s="2" t="str">
        <x:v>G041</x:v>
      </x:c>
      <x:c r="F159" s="2" t="str">
        <x:v>guardian041@example.invalid</x:v>
      </x:c>
      <x:c r="G159" s="2" t="str">
        <x:v>Email</x:v>
      </x:c>
      <x:c r="H159" s="2" t="str">
        <x:v>School receipt</x:v>
      </x:c>
      <x:c r="I159" s="8" t="n">
        <x:v>46299.27638888889</x:v>
      </x:c>
      <x:c r="J159" s="8" t="n">
        <x:v>46299.276412037034</x:v>
      </x:c>
      <x:c r="K159" s="8" t="n">
        <x:v>46299.27644675926</x:v>
      </x:c>
      <x:c r="L159" s="2" t="str">
        <x:v>Sent</x:v>
      </x:c>
      <x:c r="M159" s="2" t="n">
        <x:v>1</x:v>
      </x:c>
      <x:c r="N159" s="2"/>
      <x:c r="O159" s="2"/>
    </x:row>
    <x:row r="160" ht="21" customHeight="1">
      <x:c r="A160" s="2" t="str">
        <x:v>NT000159</x:v>
      </x:c>
      <x:c r="B160" s="2" t="str">
        <x:v>EV000161</x:v>
      </x:c>
      <x:c r="C160" s="2" t="str">
        <x:v>T20261004-1-2</x:v>
      </x:c>
      <x:c r="D160" s="2" t="str">
        <x:v>ST042</x:v>
      </x:c>
      <x:c r="E160" s="2" t="str">
        <x:v>G042</x:v>
      </x:c>
      <x:c r="F160" s="2" t="str">
        <x:v>guardian042@example.invalid</x:v>
      </x:c>
      <x:c r="G160" s="2" t="str">
        <x:v>Email</x:v>
      </x:c>
      <x:c r="H160" s="2" t="str">
        <x:v>Boarded</x:v>
      </x:c>
      <x:c r="I160" s="8" t="n">
        <x:v>46299.24725694444</x:v>
      </x:c>
      <x:c r="J160" s="8" t="n">
        <x:v>46299.24728009259</x:v>
      </x:c>
      <x:c r="K160" s="8" t="n">
        <x:v>46299.24731481481</x:v>
      </x:c>
      <x:c r="L160" s="2" t="str">
        <x:v>Sent</x:v>
      </x:c>
      <x:c r="M160" s="2" t="n">
        <x:v>1</x:v>
      </x:c>
      <x:c r="N160" s="2"/>
      <x:c r="O160" s="2"/>
    </x:row>
    <x:row r="161" ht="21" customHeight="1">
      <x:c r="A161" s="2" t="str">
        <x:v>NT000160</x:v>
      </x:c>
      <x:c r="B161" s="2" t="str">
        <x:v>EV000162</x:v>
      </x:c>
      <x:c r="C161" s="2" t="str">
        <x:v>T20261004-1-2</x:v>
      </x:c>
      <x:c r="D161" s="2" t="str">
        <x:v>ST042</x:v>
      </x:c>
      <x:c r="E161" s="2" t="str">
        <x:v>G042</x:v>
      </x:c>
      <x:c r="F161" s="2" t="str">
        <x:v>guardian042@example.invalid</x:v>
      </x:c>
      <x:c r="G161" s="2" t="str">
        <x:v>Email</x:v>
      </x:c>
      <x:c r="H161" s="2" t="str">
        <x:v>School receipt</x:v>
      </x:c>
      <x:c r="I161" s="8" t="n">
        <x:v>46299.27642361111</x:v>
      </x:c>
      <x:c r="J161" s="8" t="n">
        <x:v>46299.27644675926</x:v>
      </x:c>
      <x:c r="K161" s="8" t="n">
        <x:v>46299.27648148148</x:v>
      </x:c>
      <x:c r="L161" s="2" t="str">
        <x:v>Sent</x:v>
      </x:c>
      <x:c r="M161" s="2" t="n">
        <x:v>1</x:v>
      </x:c>
      <x:c r="N161" s="2"/>
      <x:c r="O161" s="2"/>
    </x:row>
    <x:row r="162" ht="21" customHeight="1">
      <x:c r="A162" s="2" t="str">
        <x:v>NT000161</x:v>
      </x:c>
      <x:c r="B162" s="2" t="str">
        <x:v>EV000163</x:v>
      </x:c>
      <x:c r="C162" s="2" t="str">
        <x:v>T20261004-1-2</x:v>
      </x:c>
      <x:c r="D162" s="2" t="str">
        <x:v>ST043</x:v>
      </x:c>
      <x:c r="E162" s="2" t="str">
        <x:v>G043</x:v>
      </x:c>
      <x:c r="F162" s="2" t="str">
        <x:v>guardian043@example.invalid</x:v>
      </x:c>
      <x:c r="G162" s="2" t="str">
        <x:v>Email</x:v>
      </x:c>
      <x:c r="H162" s="2" t="str">
        <x:v>Boarded</x:v>
      </x:c>
      <x:c r="I162" s="8" t="n">
        <x:v>46299.25215277778</x:v>
      </x:c>
      <x:c r="J162" s="8" t="n">
        <x:v>46299.252175925925</x:v>
      </x:c>
      <x:c r="K162" s="8" t="n">
        <x:v>46299.25221064815</x:v>
      </x:c>
      <x:c r="L162" s="2" t="str">
        <x:v>Sent</x:v>
      </x:c>
      <x:c r="M162" s="2" t="n">
        <x:v>1</x:v>
      </x:c>
      <x:c r="N162" s="2"/>
      <x:c r="O162" s="2"/>
    </x:row>
    <x:row r="163" ht="21" customHeight="1">
      <x:c r="A163" s="2" t="str">
        <x:v>NT000162</x:v>
      </x:c>
      <x:c r="B163" s="2" t="str">
        <x:v>EV000164</x:v>
      </x:c>
      <x:c r="C163" s="2" t="str">
        <x:v>T20261004-1-2</x:v>
      </x:c>
      <x:c r="D163" s="2" t="str">
        <x:v>ST043</x:v>
      </x:c>
      <x:c r="E163" s="2" t="str">
        <x:v>G043</x:v>
      </x:c>
      <x:c r="F163" s="2" t="str">
        <x:v>guardian043@example.invalid</x:v>
      </x:c>
      <x:c r="G163" s="2" t="str">
        <x:v>Email</x:v>
      </x:c>
      <x:c r="H163" s="2" t="str">
        <x:v>School receipt</x:v>
      </x:c>
      <x:c r="I163" s="8" t="n">
        <x:v>46299.276458333334</x:v>
      </x:c>
      <x:c r="J163" s="8" t="n">
        <x:v>46299.27648148148</x:v>
      </x:c>
      <x:c r="K163" s="8" t="n">
        <x:v>46299.2765162037</x:v>
      </x:c>
      <x:c r="L163" s="2" t="str">
        <x:v>Sent</x:v>
      </x:c>
      <x:c r="M163" s="2" t="n">
        <x:v>1</x:v>
      </x:c>
      <x:c r="N163" s="2"/>
      <x:c r="O163" s="2"/>
    </x:row>
    <x:row r="164" ht="21" customHeight="1">
      <x:c r="A164" s="2" t="str">
        <x:v>NT000163</x:v>
      </x:c>
      <x:c r="B164" s="2" t="str">
        <x:v>EV000165</x:v>
      </x:c>
      <x:c r="C164" s="2" t="str">
        <x:v>T20261004-1-2</x:v>
      </x:c>
      <x:c r="D164" s="2" t="str">
        <x:v>ST044</x:v>
      </x:c>
      <x:c r="E164" s="2" t="str">
        <x:v>G044</x:v>
      </x:c>
      <x:c r="F164" s="2" t="str">
        <x:v>guardian044@example.invalid</x:v>
      </x:c>
      <x:c r="G164" s="2" t="str">
        <x:v>Email</x:v>
      </x:c>
      <x:c r="H164" s="2" t="str">
        <x:v>Boarded</x:v>
      </x:c>
      <x:c r="I164" s="8" t="n">
        <x:v>46299.242465277785</x:v>
      </x:c>
      <x:c r="J164" s="8" t="n">
        <x:v>46299.24248842593</x:v>
      </x:c>
      <x:c r="K164" s="8" t="n">
        <x:v>46299.242523148154</x:v>
      </x:c>
      <x:c r="L164" s="2" t="str">
        <x:v>Sent</x:v>
      </x:c>
      <x:c r="M164" s="2" t="n">
        <x:v>1</x:v>
      </x:c>
      <x:c r="N164" s="2"/>
      <x:c r="O164" s="2"/>
    </x:row>
    <x:row r="165" ht="21" customHeight="1">
      <x:c r="A165" s="2" t="str">
        <x:v>NT000164</x:v>
      </x:c>
      <x:c r="B165" s="2" t="str">
        <x:v>EV000166</x:v>
      </x:c>
      <x:c r="C165" s="2" t="str">
        <x:v>T20261004-1-2</x:v>
      </x:c>
      <x:c r="D165" s="2" t="str">
        <x:v>ST044</x:v>
      </x:c>
      <x:c r="E165" s="2" t="str">
        <x:v>G044</x:v>
      </x:c>
      <x:c r="F165" s="2" t="str">
        <x:v>guardian044@example.invalid</x:v>
      </x:c>
      <x:c r="G165" s="2" t="str">
        <x:v>Email</x:v>
      </x:c>
      <x:c r="H165" s="2" t="str">
        <x:v>School receipt</x:v>
      </x:c>
      <x:c r="I165" s="8" t="n">
        <x:v>46299.27649305556</x:v>
      </x:c>
      <x:c r="J165" s="8" t="n">
        <x:v>46299.2765162037</x:v>
      </x:c>
      <x:c r="K165" s="8" t="n">
        <x:v>46299.276550925926</x:v>
      </x:c>
      <x:c r="L165" s="2" t="str">
        <x:v>Sent</x:v>
      </x:c>
      <x:c r="M165" s="2" t="n">
        <x:v>1</x:v>
      </x:c>
      <x:c r="N165" s="2"/>
      <x:c r="O165" s="2"/>
    </x:row>
    <x:row r="166" ht="21" customHeight="1">
      <x:c r="A166" s="2" t="str">
        <x:v>NT000165</x:v>
      </x:c>
      <x:c r="B166" s="2" t="str">
        <x:v>EV000167</x:v>
      </x:c>
      <x:c r="C166" s="2" t="str">
        <x:v>T20261004-1-2</x:v>
      </x:c>
      <x:c r="D166" s="2" t="str">
        <x:v>ST045</x:v>
      </x:c>
      <x:c r="E166" s="2" t="str">
        <x:v>G045</x:v>
      </x:c>
      <x:c r="F166" s="2" t="str">
        <x:v>guardian045@example.invalid</x:v>
      </x:c>
      <x:c r="G166" s="2" t="str">
        <x:v>Email</x:v>
      </x:c>
      <x:c r="H166" s="2" t="str">
        <x:v>Boarded</x:v>
      </x:c>
      <x:c r="I166" s="8" t="n">
        <x:v>46299.24736111111</x:v>
      </x:c>
      <x:c r="J166" s="8" t="n">
        <x:v>46299.24738425926</x:v>
      </x:c>
      <x:c r="K166" s="8" t="n">
        <x:v>46299.24741898148</x:v>
      </x:c>
      <x:c r="L166" s="2" t="str">
        <x:v>Sent</x:v>
      </x:c>
      <x:c r="M166" s="2" t="n">
        <x:v>1</x:v>
      </x:c>
      <x:c r="N166" s="2"/>
      <x:c r="O166" s="2"/>
    </x:row>
    <x:row r="167" ht="21" customHeight="1">
      <x:c r="A167" s="2" t="str">
        <x:v>NT000166</x:v>
      </x:c>
      <x:c r="B167" s="2" t="str">
        <x:v>EV000168</x:v>
      </x:c>
      <x:c r="C167" s="2" t="str">
        <x:v>T20261004-1-2</x:v>
      </x:c>
      <x:c r="D167" s="2" t="str">
        <x:v>ST045</x:v>
      </x:c>
      <x:c r="E167" s="2" t="str">
        <x:v>G045</x:v>
      </x:c>
      <x:c r="F167" s="2" t="str">
        <x:v>guardian045@example.invalid</x:v>
      </x:c>
      <x:c r="G167" s="2" t="str">
        <x:v>Email</x:v>
      </x:c>
      <x:c r="H167" s="2" t="str">
        <x:v>School receipt</x:v>
      </x:c>
      <x:c r="I167" s="8" t="n">
        <x:v>46299.27652777778</x:v>
      </x:c>
      <x:c r="J167" s="8" t="n">
        <x:v>46299.276550925926</x:v>
      </x:c>
      <x:c r="K167" s="8" t="n">
        <x:v>46299.27658564815</x:v>
      </x:c>
      <x:c r="L167" s="2" t="str">
        <x:v>Sent</x:v>
      </x:c>
      <x:c r="M167" s="2" t="n">
        <x:v>1</x:v>
      </x:c>
      <x:c r="N167" s="2"/>
      <x:c r="O167" s="2"/>
    </x:row>
    <x:row r="168" ht="21" customHeight="1">
      <x:c r="A168" s="2" t="str">
        <x:v>NT000167</x:v>
      </x:c>
      <x:c r="B168" s="2" t="str">
        <x:v>EV000169</x:v>
      </x:c>
      <x:c r="C168" s="2" t="str">
        <x:v>T20261004-1-2</x:v>
      </x:c>
      <x:c r="D168" s="2" t="str">
        <x:v>ST046</x:v>
      </x:c>
      <x:c r="E168" s="2" t="str">
        <x:v>G046</x:v>
      </x:c>
      <x:c r="F168" s="2" t="str">
        <x:v>guardian046@example.invalid</x:v>
      </x:c>
      <x:c r="G168" s="2" t="str">
        <x:v>Email</x:v>
      </x:c>
      <x:c r="H168" s="2" t="str">
        <x:v>Boarded</x:v>
      </x:c>
      <x:c r="I168" s="8" t="n">
        <x:v>46299.25225694444</x:v>
      </x:c>
      <x:c r="J168" s="8" t="n">
        <x:v>46299.25228009259</x:v>
      </x:c>
      <x:c r="K168" s="8" t="n">
        <x:v>46299.25231481481</x:v>
      </x:c>
      <x:c r="L168" s="2" t="str">
        <x:v>Sent</x:v>
      </x:c>
      <x:c r="M168" s="2" t="n">
        <x:v>1</x:v>
      </x:c>
      <x:c r="N168" s="2"/>
      <x:c r="O168" s="2"/>
    </x:row>
    <x:row r="169" ht="21" customHeight="1">
      <x:c r="A169" s="2" t="str">
        <x:v>NT000168</x:v>
      </x:c>
      <x:c r="B169" s="2" t="str">
        <x:v>EV000170</x:v>
      </x:c>
      <x:c r="C169" s="2" t="str">
        <x:v>T20261004-1-2</x:v>
      </x:c>
      <x:c r="D169" s="2" t="str">
        <x:v>ST046</x:v>
      </x:c>
      <x:c r="E169" s="2" t="str">
        <x:v>G046</x:v>
      </x:c>
      <x:c r="F169" s="2" t="str">
        <x:v>guardian046@example.invalid</x:v>
      </x:c>
      <x:c r="G169" s="2" t="str">
        <x:v>Email</x:v>
      </x:c>
      <x:c r="H169" s="2" t="str">
        <x:v>School receipt</x:v>
      </x:c>
      <x:c r="I169" s="8" t="n">
        <x:v>46299.276562499996</x:v>
      </x:c>
      <x:c r="J169" s="8" t="n">
        <x:v>46299.27658564814</x:v>
      </x:c>
      <x:c r="K169" s="8" t="n">
        <x:v>46299.276620370365</x:v>
      </x:c>
      <x:c r="L169" s="2" t="str">
        <x:v>Sent</x:v>
      </x:c>
      <x:c r="M169" s="2" t="n">
        <x:v>1</x:v>
      </x:c>
      <x:c r="N169" s="2"/>
      <x:c r="O169" s="2"/>
    </x:row>
    <x:row r="170" ht="21" customHeight="1">
      <x:c r="A170" s="2" t="str">
        <x:v>NT000169</x:v>
      </x:c>
      <x:c r="B170" s="2" t="str">
        <x:v>EV000171</x:v>
      </x:c>
      <x:c r="C170" s="2" t="str">
        <x:v>T20261004-1-2</x:v>
      </x:c>
      <x:c r="D170" s="2" t="str">
        <x:v>ST047</x:v>
      </x:c>
      <x:c r="E170" s="2" t="str">
        <x:v>G047</x:v>
      </x:c>
      <x:c r="F170" s="2" t="str">
        <x:v>guardian047@example.invalid</x:v>
      </x:c>
      <x:c r="G170" s="2" t="str">
        <x:v>Email</x:v>
      </x:c>
      <x:c r="H170" s="2" t="str">
        <x:v>Boarded</x:v>
      </x:c>
      <x:c r="I170" s="8" t="n">
        <x:v>46299.24256944445</x:v>
      </x:c>
      <x:c r="J170" s="8" t="n">
        <x:v>46299.24259259259</x:v>
      </x:c>
      <x:c r="K170" s="8" t="n">
        <x:v>46299.242627314816</x:v>
      </x:c>
      <x:c r="L170" s="2" t="str">
        <x:v>Sent</x:v>
      </x:c>
      <x:c r="M170" s="2" t="n">
        <x:v>1</x:v>
      </x:c>
      <x:c r="N170" s="2"/>
      <x:c r="O170" s="2"/>
    </x:row>
    <x:row r="171" ht="21" customHeight="1">
      <x:c r="A171" s="2" t="str">
        <x:v>NT000170</x:v>
      </x:c>
      <x:c r="B171" s="2" t="str">
        <x:v>EV000172</x:v>
      </x:c>
      <x:c r="C171" s="2" t="str">
        <x:v>T20261004-1-2</x:v>
      </x:c>
      <x:c r="D171" s="2" t="str">
        <x:v>ST047</x:v>
      </x:c>
      <x:c r="E171" s="2" t="str">
        <x:v>G047</x:v>
      </x:c>
      <x:c r="F171" s="2" t="str">
        <x:v>guardian047@example.invalid</x:v>
      </x:c>
      <x:c r="G171" s="2" t="str">
        <x:v>Email</x:v>
      </x:c>
      <x:c r="H171" s="2" t="str">
        <x:v>School receipt</x:v>
      </x:c>
      <x:c r="I171" s="8" t="n">
        <x:v>46299.27659722222</x:v>
      </x:c>
      <x:c r="J171" s="8" t="n">
        <x:v>46299.276620370365</x:v>
      </x:c>
      <x:c r="K171" s="8" t="n">
        <x:v>46299.27665509259</x:v>
      </x:c>
      <x:c r="L171" s="2" t="str">
        <x:v>Sent</x:v>
      </x:c>
      <x:c r="M171" s="2" t="n">
        <x:v>1</x:v>
      </x:c>
      <x:c r="N171" s="2"/>
      <x:c r="O171" s="2"/>
    </x:row>
    <x:row r="172" ht="21" customHeight="1">
      <x:c r="A172" s="2" t="str">
        <x:v>NT000171</x:v>
      </x:c>
      <x:c r="B172" s="2" t="str">
        <x:v>EV000173</x:v>
      </x:c>
      <x:c r="C172" s="2" t="str">
        <x:v>T20261004-1-2</x:v>
      </x:c>
      <x:c r="D172" s="2" t="str">
        <x:v>ST048</x:v>
      </x:c>
      <x:c r="E172" s="2" t="str">
        <x:v>G048</x:v>
      </x:c>
      <x:c r="F172" s="2" t="str">
        <x:v>guardian048@example.invalid</x:v>
      </x:c>
      <x:c r="G172" s="2" t="str">
        <x:v>Email</x:v>
      </x:c>
      <x:c r="H172" s="2" t="str">
        <x:v>Boarded</x:v>
      </x:c>
      <x:c r="I172" s="8" t="n">
        <x:v>46299.247465277775</x:v>
      </x:c>
      <x:c r="J172" s="8" t="n">
        <x:v>46299.24748842592</x:v>
      </x:c>
      <x:c r="K172" s="8" t="n">
        <x:v>46299.247523148144</x:v>
      </x:c>
      <x:c r="L172" s="2" t="str">
        <x:v>Sent</x:v>
      </x:c>
      <x:c r="M172" s="2" t="n">
        <x:v>1</x:v>
      </x:c>
      <x:c r="N172" s="2"/>
      <x:c r="O172" s="2"/>
    </x:row>
    <x:row r="173" ht="21" customHeight="1">
      <x:c r="A173" s="2" t="str">
        <x:v>NT000172</x:v>
      </x:c>
      <x:c r="B173" s="2" t="str">
        <x:v>EV000174</x:v>
      </x:c>
      <x:c r="C173" s="2" t="str">
        <x:v>T20261004-1-2</x:v>
      </x:c>
      <x:c r="D173" s="2" t="str">
        <x:v>ST048</x:v>
      </x:c>
      <x:c r="E173" s="2" t="str">
        <x:v>G048</x:v>
      </x:c>
      <x:c r="F173" s="2" t="str">
        <x:v>guardian048@example.invalid</x:v>
      </x:c>
      <x:c r="G173" s="2" t="str">
        <x:v>Email</x:v>
      </x:c>
      <x:c r="H173" s="2" t="str">
        <x:v>School receipt</x:v>
      </x:c>
      <x:c r="I173" s="8" t="n">
        <x:v>46299.27663194444</x:v>
      </x:c>
      <x:c r="J173" s="8" t="n">
        <x:v>46299.27665509259</x:v>
      </x:c>
      <x:c r="K173" s="8" t="n">
        <x:v>46299.27668981481</x:v>
      </x:c>
      <x:c r="L173" s="2" t="str">
        <x:v>Sent</x:v>
      </x:c>
      <x:c r="M173" s="2" t="n">
        <x:v>1</x:v>
      </x:c>
      <x:c r="N173" s="2"/>
      <x:c r="O173" s="2"/>
    </x:row>
    <x:row r="174" ht="21" customHeight="1">
      <x:c r="A174" s="2" t="str">
        <x:v>NT000173</x:v>
      </x:c>
      <x:c r="B174" s="2" t="str">
        <x:v>EV000175</x:v>
      </x:c>
      <x:c r="C174" s="2" t="str">
        <x:v>T20261004-1-2</x:v>
      </x:c>
      <x:c r="D174" s="2" t="str">
        <x:v>ST049</x:v>
      </x:c>
      <x:c r="E174" s="2" t="str">
        <x:v>G049</x:v>
      </x:c>
      <x:c r="F174" s="2" t="str">
        <x:v>guardian049@example.invalid</x:v>
      </x:c>
      <x:c r="G174" s="2" t="str">
        <x:v>Email</x:v>
      </x:c>
      <x:c r="H174" s="2" t="str">
        <x:v>Boarded</x:v>
      </x:c>
      <x:c r="I174" s="8" t="n">
        <x:v>46299.25236111111</x:v>
      </x:c>
      <x:c r="J174" s="8" t="n">
        <x:v>46299.252384259256</x:v>
      </x:c>
      <x:c r="K174" s="8" t="n">
        <x:v>46299.25241898148</x:v>
      </x:c>
      <x:c r="L174" s="2" t="str">
        <x:v>Sent</x:v>
      </x:c>
      <x:c r="M174" s="2" t="n">
        <x:v>1</x:v>
      </x:c>
      <x:c r="N174" s="2"/>
      <x:c r="O174" s="2"/>
    </x:row>
    <x:row r="175" ht="21" customHeight="1">
      <x:c r="A175" s="2" t="str">
        <x:v>NT000174</x:v>
      </x:c>
      <x:c r="B175" s="2" t="str">
        <x:v>EV000176</x:v>
      </x:c>
      <x:c r="C175" s="2" t="str">
        <x:v>T20261004-1-2</x:v>
      </x:c>
      <x:c r="D175" s="2" t="str">
        <x:v>ST049</x:v>
      </x:c>
      <x:c r="E175" s="2" t="str">
        <x:v>G049</x:v>
      </x:c>
      <x:c r="F175" s="2" t="str">
        <x:v>guardian049@example.invalid</x:v>
      </x:c>
      <x:c r="G175" s="2" t="str">
        <x:v>Email</x:v>
      </x:c>
      <x:c r="H175" s="2" t="str">
        <x:v>School receipt</x:v>
      </x:c>
      <x:c r="I175" s="8" t="n">
        <x:v>46299.276666666665</x:v>
      </x:c>
      <x:c r="J175" s="8" t="n">
        <x:v>46299.27668981481</x:v>
      </x:c>
      <x:c r="K175" s="8" t="n">
        <x:v>46299.276724537034</x:v>
      </x:c>
      <x:c r="L175" s="2" t="str">
        <x:v>Sent</x:v>
      </x:c>
      <x:c r="M175" s="2" t="n">
        <x:v>1</x:v>
      </x:c>
      <x:c r="N175" s="2"/>
      <x:c r="O175" s="2"/>
    </x:row>
    <x:row r="176" ht="21" customHeight="1">
      <x:c r="A176" s="2" t="str">
        <x:v>NT000175</x:v>
      </x:c>
      <x:c r="B176" s="2" t="str">
        <x:v>EV000177</x:v>
      </x:c>
      <x:c r="C176" s="2" t="str">
        <x:v>T20261004-1-2</x:v>
      </x:c>
      <x:c r="D176" s="2" t="str">
        <x:v>ST050</x:v>
      </x:c>
      <x:c r="E176" s="2" t="str">
        <x:v>G050</x:v>
      </x:c>
      <x:c r="F176" s="2" t="str">
        <x:v>guardian050@example.invalid</x:v>
      </x:c>
      <x:c r="G176" s="2" t="str">
        <x:v>Email</x:v>
      </x:c>
      <x:c r="H176" s="2" t="str">
        <x:v>Boarded</x:v>
      </x:c>
      <x:c r="I176" s="8" t="n">
        <x:v>46299.242673611116</x:v>
      </x:c>
      <x:c r="J176" s="8" t="n">
        <x:v>46299.24269675926</x:v>
      </x:c>
      <x:c r="K176" s="8" t="n">
        <x:v>46299.242731481485</x:v>
      </x:c>
      <x:c r="L176" s="2" t="str">
        <x:v>Sent</x:v>
      </x:c>
      <x:c r="M176" s="2" t="n">
        <x:v>1</x:v>
      </x:c>
      <x:c r="N176" s="2"/>
      <x:c r="O176" s="2"/>
    </x:row>
    <x:row r="177" ht="21" customHeight="1">
      <x:c r="A177" s="2" t="str">
        <x:v>NT000176</x:v>
      </x:c>
      <x:c r="B177" s="2" t="str">
        <x:v>EV000178</x:v>
      </x:c>
      <x:c r="C177" s="2" t="str">
        <x:v>T20261004-1-2</x:v>
      </x:c>
      <x:c r="D177" s="2" t="str">
        <x:v>ST050</x:v>
      </x:c>
      <x:c r="E177" s="2" t="str">
        <x:v>G050</x:v>
      </x:c>
      <x:c r="F177" s="2" t="str">
        <x:v>guardian050@example.invalid</x:v>
      </x:c>
      <x:c r="G177" s="2" t="str">
        <x:v>Email</x:v>
      </x:c>
      <x:c r="H177" s="2" t="str">
        <x:v>School receipt</x:v>
      </x:c>
      <x:c r="I177" s="8" t="n">
        <x:v>46299.27670138889</x:v>
      </x:c>
      <x:c r="J177" s="8" t="n">
        <x:v>46299.276724537034</x:v>
      </x:c>
      <x:c r="K177" s="8" t="n">
        <x:v>46299.27675925926</x:v>
      </x:c>
      <x:c r="L177" s="2" t="str">
        <x:v>Sent</x:v>
      </x:c>
      <x:c r="M177" s="2" t="n">
        <x:v>1</x:v>
      </x:c>
      <x:c r="N177" s="2"/>
      <x:c r="O177" s="2"/>
    </x:row>
    <x:row r="178" ht="21" customHeight="1">
      <x:c r="A178" s="2" t="str">
        <x:v>NT000177</x:v>
      </x:c>
      <x:c r="B178" s="2" t="str">
        <x:v>EV000179</x:v>
      </x:c>
      <x:c r="C178" s="2" t="str">
        <x:v>T20261004-1-2</x:v>
      </x:c>
      <x:c r="D178" s="2" t="str">
        <x:v>ST051</x:v>
      </x:c>
      <x:c r="E178" s="2" t="str">
        <x:v>G051</x:v>
      </x:c>
      <x:c r="F178" s="2" t="str">
        <x:v>guardian051@example.invalid</x:v>
      </x:c>
      <x:c r="G178" s="2" t="str">
        <x:v>Email</x:v>
      </x:c>
      <x:c r="H178" s="2" t="str">
        <x:v>Boarded</x:v>
      </x:c>
      <x:c r="I178" s="8" t="n">
        <x:v>46299.24722222222</x:v>
      </x:c>
      <x:c r="J178" s="8" t="n">
        <x:v>46299.24724537037</x:v>
      </x:c>
      <x:c r="K178" s="8" t="n">
        <x:v>46299.24728009259</x:v>
      </x:c>
      <x:c r="L178" s="2" t="str">
        <x:v>Sent</x:v>
      </x:c>
      <x:c r="M178" s="2" t="n">
        <x:v>1</x:v>
      </x:c>
      <x:c r="N178" s="2"/>
      <x:c r="O178" s="2"/>
    </x:row>
    <x:row r="179" ht="21" customHeight="1">
      <x:c r="A179" s="2" t="str">
        <x:v>NT000178</x:v>
      </x:c>
      <x:c r="B179" s="2" t="str">
        <x:v>EV000180</x:v>
      </x:c>
      <x:c r="C179" s="2" t="str">
        <x:v>T20261004-1-2</x:v>
      </x:c>
      <x:c r="D179" s="2" t="str">
        <x:v>ST051</x:v>
      </x:c>
      <x:c r="E179" s="2" t="str">
        <x:v>G051</x:v>
      </x:c>
      <x:c r="F179" s="2" t="str">
        <x:v>guardian051@example.invalid</x:v>
      </x:c>
      <x:c r="G179" s="2" t="str">
        <x:v>Email</x:v>
      </x:c>
      <x:c r="H179" s="2" t="str">
        <x:v>School receipt</x:v>
      </x:c>
      <x:c r="I179" s="8" t="n">
        <x:v>46299.27673611111</x:v>
      </x:c>
      <x:c r="J179" s="8" t="n">
        <x:v>46299.27675925926</x:v>
      </x:c>
      <x:c r="K179" s="8" t="n">
        <x:v>46299.27679398148</x:v>
      </x:c>
      <x:c r="L179" s="2" t="str">
        <x:v>Sent</x:v>
      </x:c>
      <x:c r="M179" s="2" t="n">
        <x:v>1</x:v>
      </x:c>
      <x:c r="N179" s="2"/>
      <x:c r="O179" s="2"/>
    </x:row>
    <x:row r="180" ht="21" customHeight="1">
      <x:c r="A180" s="2" t="str">
        <x:v>NT000179</x:v>
      </x:c>
      <x:c r="B180" s="2" t="str">
        <x:v>EV000181</x:v>
      </x:c>
      <x:c r="C180" s="2" t="str">
        <x:v>T20261004-1-2</x:v>
      </x:c>
      <x:c r="D180" s="2" t="str">
        <x:v>ST052</x:v>
      </x:c>
      <x:c r="E180" s="2" t="str">
        <x:v>G052</x:v>
      </x:c>
      <x:c r="F180" s="2" t="str">
        <x:v>guardian052@example.invalid</x:v>
      </x:c>
      <x:c r="G180" s="2" t="str">
        <x:v>Email</x:v>
      </x:c>
      <x:c r="H180" s="2" t="str">
        <x:v>Boarded</x:v>
      </x:c>
      <x:c r="I180" s="8" t="n">
        <x:v>46299.252118055556</x:v>
      </x:c>
      <x:c r="J180" s="8" t="n">
        <x:v>46299.2521412037</x:v>
      </x:c>
      <x:c r="K180" s="8" t="n">
        <x:v>46299.252175925925</x:v>
      </x:c>
      <x:c r="L180" s="2" t="str">
        <x:v>Sent</x:v>
      </x:c>
      <x:c r="M180" s="2" t="n">
        <x:v>1</x:v>
      </x:c>
      <x:c r="N180" s="2"/>
      <x:c r="O180" s="2"/>
    </x:row>
    <x:row r="181" ht="21" customHeight="1">
      <x:c r="A181" s="2" t="str">
        <x:v>NT000180</x:v>
      </x:c>
      <x:c r="B181" s="2" t="str">
        <x:v>EV000182</x:v>
      </x:c>
      <x:c r="C181" s="2" t="str">
        <x:v>T20261004-1-2</x:v>
      </x:c>
      <x:c r="D181" s="2" t="str">
        <x:v>ST052</x:v>
      </x:c>
      <x:c r="E181" s="2" t="str">
        <x:v>G052</x:v>
      </x:c>
      <x:c r="F181" s="2" t="str">
        <x:v>guardian052@example.invalid</x:v>
      </x:c>
      <x:c r="G181" s="2" t="str">
        <x:v>Email</x:v>
      </x:c>
      <x:c r="H181" s="2" t="str">
        <x:v>School receipt</x:v>
      </x:c>
      <x:c r="I181" s="8" t="n">
        <x:v>46299.276770833334</x:v>
      </x:c>
      <x:c r="J181" s="8" t="n">
        <x:v>46299.27679398148</x:v>
      </x:c>
      <x:c r="K181" s="8" t="n">
        <x:v>46299.2768287037</x:v>
      </x:c>
      <x:c r="L181" s="2" t="str">
        <x:v>Sent</x:v>
      </x:c>
      <x:c r="M181" s="2" t="n">
        <x:v>1</x:v>
      </x:c>
      <x:c r="N181" s="2"/>
      <x:c r="O181" s="2"/>
    </x:row>
    <x:row r="182" ht="21" customHeight="1">
      <x:c r="A182" s="2" t="str">
        <x:v>NT000181</x:v>
      </x:c>
      <x:c r="B182" s="2" t="str">
        <x:v>EV000183</x:v>
      </x:c>
      <x:c r="C182" s="2" t="str">
        <x:v>T20261004-1-2</x:v>
      </x:c>
      <x:c r="D182" s="2" t="str">
        <x:v>ST053</x:v>
      </x:c>
      <x:c r="E182" s="2" t="str">
        <x:v>G053</x:v>
      </x:c>
      <x:c r="F182" s="2" t="str">
        <x:v>guardian053@example.invalid</x:v>
      </x:c>
      <x:c r="G182" s="2" t="str">
        <x:v>Email</x:v>
      </x:c>
      <x:c r="H182" s="2" t="str">
        <x:v>Boarded</x:v>
      </x:c>
      <x:c r="I182" s="8" t="n">
        <x:v>46299.24243055556</x:v>
      </x:c>
      <x:c r="J182" s="8" t="n">
        <x:v>46299.24245370371</x:v>
      </x:c>
      <x:c r="K182" s="8" t="n">
        <x:v>46299.24248842593</x:v>
      </x:c>
      <x:c r="L182" s="2" t="str">
        <x:v>Sent</x:v>
      </x:c>
      <x:c r="M182" s="2" t="n">
        <x:v>1</x:v>
      </x:c>
      <x:c r="N182" s="2"/>
      <x:c r="O182" s="2"/>
    </x:row>
    <x:row r="183" ht="21" customHeight="1">
      <x:c r="A183" s="2" t="str">
        <x:v>NT000182</x:v>
      </x:c>
      <x:c r="B183" s="2" t="str">
        <x:v>EV000184</x:v>
      </x:c>
      <x:c r="C183" s="2" t="str">
        <x:v>T20261004-1-2</x:v>
      </x:c>
      <x:c r="D183" s="2" t="str">
        <x:v>ST053</x:v>
      </x:c>
      <x:c r="E183" s="2" t="str">
        <x:v>G053</x:v>
      </x:c>
      <x:c r="F183" s="2" t="str">
        <x:v>guardian053@example.invalid</x:v>
      </x:c>
      <x:c r="G183" s="2" t="str">
        <x:v>Email</x:v>
      </x:c>
      <x:c r="H183" s="2" t="str">
        <x:v>School receipt</x:v>
      </x:c>
      <x:c r="I183" s="8" t="n">
        <x:v>46299.27680555556</x:v>
      </x:c>
      <x:c r="J183" s="8" t="n">
        <x:v>46299.2768287037</x:v>
      </x:c>
      <x:c r="K183" s="8" t="n">
        <x:v>46299.27686342593</x:v>
      </x:c>
      <x:c r="L183" s="2" t="str">
        <x:v>Sent</x:v>
      </x:c>
      <x:c r="M183" s="2" t="n">
        <x:v>1</x:v>
      </x:c>
      <x:c r="N183" s="2"/>
      <x:c r="O183" s="2"/>
    </x:row>
    <x:row r="184" ht="21" customHeight="1">
      <x:c r="A184" s="2" t="str">
        <x:v>NT000183</x:v>
      </x:c>
      <x:c r="B184" s="2" t="str">
        <x:v>EV000185</x:v>
      </x:c>
      <x:c r="C184" s="2" t="str">
        <x:v>T20261004-1-2</x:v>
      </x:c>
      <x:c r="D184" s="2" t="str">
        <x:v>ST054</x:v>
      </x:c>
      <x:c r="E184" s="2" t="str">
        <x:v>G054</x:v>
      </x:c>
      <x:c r="F184" s="2" t="str">
        <x:v>guardian054@example.invalid</x:v>
      </x:c>
      <x:c r="G184" s="2" t="str">
        <x:v>Email</x:v>
      </x:c>
      <x:c r="H184" s="2" t="str">
        <x:v>Boarded</x:v>
      </x:c>
      <x:c r="I184" s="8" t="n">
        <x:v>46299.24732638889</x:v>
      </x:c>
      <x:c r="J184" s="8" t="n">
        <x:v>46299.247349537036</x:v>
      </x:c>
      <x:c r="K184" s="8" t="n">
        <x:v>46299.24738425926</x:v>
      </x:c>
      <x:c r="L184" s="2" t="str">
        <x:v>Sent</x:v>
      </x:c>
      <x:c r="M184" s="2" t="n">
        <x:v>1</x:v>
      </x:c>
      <x:c r="N184" s="2"/>
      <x:c r="O184" s="2"/>
    </x:row>
    <x:row r="185" ht="21" customHeight="1">
      <x:c r="A185" s="2" t="str">
        <x:v>NT000184</x:v>
      </x:c>
      <x:c r="B185" s="2" t="str">
        <x:v>EV000186</x:v>
      </x:c>
      <x:c r="C185" s="2" t="str">
        <x:v>T20261004-1-2</x:v>
      </x:c>
      <x:c r="D185" s="2" t="str">
        <x:v>ST054</x:v>
      </x:c>
      <x:c r="E185" s="2" t="str">
        <x:v>G054</x:v>
      </x:c>
      <x:c r="F185" s="2" t="str">
        <x:v>guardian054@example.invalid</x:v>
      </x:c>
      <x:c r="G185" s="2" t="str">
        <x:v>Email</x:v>
      </x:c>
      <x:c r="H185" s="2" t="str">
        <x:v>School receipt</x:v>
      </x:c>
      <x:c r="I185" s="8" t="n">
        <x:v>46299.27684027777</x:v>
      </x:c>
      <x:c r="J185" s="8" t="n">
        <x:v>46299.27686342592</x:v>
      </x:c>
      <x:c r="K185" s="8" t="n">
        <x:v>46299.27689814814</x:v>
      </x:c>
      <x:c r="L185" s="2" t="str">
        <x:v>Sent</x:v>
      </x:c>
      <x:c r="M185" s="2" t="n">
        <x:v>1</x:v>
      </x:c>
      <x:c r="N185" s="2"/>
      <x:c r="O185" s="2"/>
    </x:row>
    <x:row r="186" ht="21" customHeight="1">
      <x:c r="A186" s="2" t="str">
        <x:v>NT000185</x:v>
      </x:c>
      <x:c r="B186" s="2" t="str">
        <x:v>EV000187</x:v>
      </x:c>
      <x:c r="C186" s="2" t="str">
        <x:v>T20261004-1-2</x:v>
      </x:c>
      <x:c r="D186" s="2" t="str">
        <x:v>ST055</x:v>
      </x:c>
      <x:c r="E186" s="2" t="str">
        <x:v>G055</x:v>
      </x:c>
      <x:c r="F186" s="2" t="str">
        <x:v>guardian055@example.invalid</x:v>
      </x:c>
      <x:c r="G186" s="2" t="str">
        <x:v>Email</x:v>
      </x:c>
      <x:c r="H186" s="2" t="str">
        <x:v>Boarded</x:v>
      </x:c>
      <x:c r="I186" s="8" t="n">
        <x:v>46299.252222222225</x:v>
      </x:c>
      <x:c r="J186" s="8" t="n">
        <x:v>46299.25224537037</x:v>
      </x:c>
      <x:c r="K186" s="8" t="n">
        <x:v>46299.252280092594</x:v>
      </x:c>
      <x:c r="L186" s="2" t="str">
        <x:v>Sent</x:v>
      </x:c>
      <x:c r="M186" s="2" t="n">
        <x:v>1</x:v>
      </x:c>
      <x:c r="N186" s="2"/>
      <x:c r="O186" s="2"/>
    </x:row>
    <x:row r="187" ht="21" customHeight="1">
      <x:c r="A187" s="2" t="str">
        <x:v>NT000186</x:v>
      </x:c>
      <x:c r="B187" s="2" t="str">
        <x:v>EV000188</x:v>
      </x:c>
      <x:c r="C187" s="2" t="str">
        <x:v>T20261004-1-2</x:v>
      </x:c>
      <x:c r="D187" s="2" t="str">
        <x:v>ST055</x:v>
      </x:c>
      <x:c r="E187" s="2" t="str">
        <x:v>G055</x:v>
      </x:c>
      <x:c r="F187" s="2" t="str">
        <x:v>guardian055@example.invalid</x:v>
      </x:c>
      <x:c r="G187" s="2" t="str">
        <x:v>Email</x:v>
      </x:c>
      <x:c r="H187" s="2" t="str">
        <x:v>School receipt</x:v>
      </x:c>
      <x:c r="I187" s="8" t="n">
        <x:v>46299.276874999996</x:v>
      </x:c>
      <x:c r="J187" s="8" t="n">
        <x:v>46299.27689814814</x:v>
      </x:c>
      <x:c r="K187" s="8" t="n">
        <x:v>46299.276932870365</x:v>
      </x:c>
      <x:c r="L187" s="2" t="str">
        <x:v>Sent</x:v>
      </x:c>
      <x:c r="M187" s="2" t="n">
        <x:v>1</x:v>
      </x:c>
      <x:c r="N187" s="2"/>
      <x:c r="O187" s="2"/>
    </x:row>
    <x:row r="188" ht="21" customHeight="1">
      <x:c r="A188" s="2" t="str">
        <x:v>NT000187</x:v>
      </x:c>
      <x:c r="B188" s="2" t="str">
        <x:v>EV000189</x:v>
      </x:c>
      <x:c r="C188" s="2" t="str">
        <x:v>T20261004-1-2</x:v>
      </x:c>
      <x:c r="D188" s="2" t="str">
        <x:v>ST056</x:v>
      </x:c>
      <x:c r="E188" s="2" t="str">
        <x:v>G056</x:v>
      </x:c>
      <x:c r="F188" s="2" t="str">
        <x:v>guardian056@example.invalid</x:v>
      </x:c>
      <x:c r="G188" s="2" t="str">
        <x:v>Email</x:v>
      </x:c>
      <x:c r="H188" s="2" t="str">
        <x:v>Boarded</x:v>
      </x:c>
      <x:c r="I188" s="8" t="n">
        <x:v>46299.24253472222</x:v>
      </x:c>
      <x:c r="J188" s="8" t="n">
        <x:v>46299.24255787037</x:v>
      </x:c>
      <x:c r="K188" s="8" t="n">
        <x:v>46299.24259259259</x:v>
      </x:c>
      <x:c r="L188" s="2" t="str">
        <x:v>Sent</x:v>
      </x:c>
      <x:c r="M188" s="2" t="n">
        <x:v>1</x:v>
      </x:c>
      <x:c r="N188" s="2"/>
      <x:c r="O188" s="2"/>
    </x:row>
    <x:row r="189" ht="21" customHeight="1">
      <x:c r="A189" s="2" t="str">
        <x:v>NT000188</x:v>
      </x:c>
      <x:c r="B189" s="2" t="str">
        <x:v>EV000190</x:v>
      </x:c>
      <x:c r="C189" s="2" t="str">
        <x:v>T20261004-1-2</x:v>
      </x:c>
      <x:c r="D189" s="2" t="str">
        <x:v>ST056</x:v>
      </x:c>
      <x:c r="E189" s="2" t="str">
        <x:v>G056</x:v>
      </x:c>
      <x:c r="F189" s="2" t="str">
        <x:v>guardian056@example.invalid</x:v>
      </x:c>
      <x:c r="G189" s="2" t="str">
        <x:v>Email</x:v>
      </x:c>
      <x:c r="H189" s="2" t="str">
        <x:v>School receipt</x:v>
      </x:c>
      <x:c r="I189" s="8" t="n">
        <x:v>46299.27690972222</x:v>
      </x:c>
      <x:c r="J189" s="8" t="n">
        <x:v>46299.276932870365</x:v>
      </x:c>
      <x:c r="K189" s="8" t="n">
        <x:v>46299.27696759259</x:v>
      </x:c>
      <x:c r="L189" s="2" t="str">
        <x:v>Sent</x:v>
      </x:c>
      <x:c r="M189" s="2" t="n">
        <x:v>1</x:v>
      </x:c>
      <x:c r="N189" s="2"/>
      <x:c r="O189" s="2"/>
    </x:row>
    <x:row r="190" ht="21" customHeight="1">
      <x:c r="A190" s="2" t="str">
        <x:v>NT000189</x:v>
      </x:c>
      <x:c r="B190" s="2" t="str">
        <x:v>EV000191</x:v>
      </x:c>
      <x:c r="C190" s="2" t="str">
        <x:v>T20261004-1-2</x:v>
      </x:c>
      <x:c r="D190" s="2" t="str">
        <x:v>ST057</x:v>
      </x:c>
      <x:c r="E190" s="2" t="str">
        <x:v>G057</x:v>
      </x:c>
      <x:c r="F190" s="2" t="str">
        <x:v>guardian057@example.invalid</x:v>
      </x:c>
      <x:c r="G190" s="2" t="str">
        <x:v>Email</x:v>
      </x:c>
      <x:c r="H190" s="2" t="str">
        <x:v>Boarded</x:v>
      </x:c>
      <x:c r="I190" s="8" t="n">
        <x:v>46299.24743055555</x:v>
      </x:c>
      <x:c r="J190" s="8" t="n">
        <x:v>46299.2474537037</x:v>
      </x:c>
      <x:c r="K190" s="8" t="n">
        <x:v>46299.24748842592</x:v>
      </x:c>
      <x:c r="L190" s="2" t="str">
        <x:v>Sent</x:v>
      </x:c>
      <x:c r="M190" s="2" t="n">
        <x:v>1</x:v>
      </x:c>
      <x:c r="N190" s="2"/>
      <x:c r="O190" s="2"/>
    </x:row>
    <x:row r="191" ht="21" customHeight="1">
      <x:c r="A191" s="2" t="str">
        <x:v>NT000190</x:v>
      </x:c>
      <x:c r="B191" s="2" t="str">
        <x:v>EV000192</x:v>
      </x:c>
      <x:c r="C191" s="2" t="str">
        <x:v>T20261004-1-2</x:v>
      </x:c>
      <x:c r="D191" s="2" t="str">
        <x:v>ST057</x:v>
      </x:c>
      <x:c r="E191" s="2" t="str">
        <x:v>G057</x:v>
      </x:c>
      <x:c r="F191" s="2" t="str">
        <x:v>guardian057@example.invalid</x:v>
      </x:c>
      <x:c r="G191" s="2" t="str">
        <x:v>Email</x:v>
      </x:c>
      <x:c r="H191" s="2" t="str">
        <x:v>School receipt</x:v>
      </x:c>
      <x:c r="I191" s="8" t="n">
        <x:v>46299.27694444444</x:v>
      </x:c>
      <x:c r="J191" s="8" t="n">
        <x:v>46299.27696759259</x:v>
      </x:c>
      <x:c r="K191" s="8" t="n">
        <x:v>46299.27700231481</x:v>
      </x:c>
      <x:c r="L191" s="2" t="str">
        <x:v>Sent</x:v>
      </x:c>
      <x:c r="M191" s="2" t="n">
        <x:v>1</x:v>
      </x:c>
      <x:c r="N191" s="2"/>
      <x:c r="O191" s="2"/>
    </x:row>
    <x:row r="192" ht="21" customHeight="1">
      <x:c r="A192" s="2" t="str">
        <x:v>NT000191</x:v>
      </x:c>
      <x:c r="B192" s="2" t="str">
        <x:v>EV000193</x:v>
      </x:c>
      <x:c r="C192" s="2" t="str">
        <x:v>T20261004-1-2</x:v>
      </x:c>
      <x:c r="D192" s="2" t="str">
        <x:v>ST058</x:v>
      </x:c>
      <x:c r="E192" s="2" t="str">
        <x:v>G058</x:v>
      </x:c>
      <x:c r="F192" s="2" t="str">
        <x:v>guardian058@example.invalid</x:v>
      </x:c>
      <x:c r="G192" s="2" t="str">
        <x:v>Email</x:v>
      </x:c>
      <x:c r="H192" s="2" t="str">
        <x:v>Boarded</x:v>
      </x:c>
      <x:c r="I192" s="8" t="n">
        <x:v>46299.25232638889</x:v>
      </x:c>
      <x:c r="J192" s="8" t="n">
        <x:v>46299.25234953703</x:v>
      </x:c>
      <x:c r="K192" s="8" t="n">
        <x:v>46299.252384259256</x:v>
      </x:c>
      <x:c r="L192" s="2" t="str">
        <x:v>Sent</x:v>
      </x:c>
      <x:c r="M192" s="2" t="n">
        <x:v>1</x:v>
      </x:c>
      <x:c r="N192" s="2"/>
      <x:c r="O192" s="2"/>
    </x:row>
    <x:row r="193" ht="21" customHeight="1">
      <x:c r="A193" s="2" t="str">
        <x:v>NT000192</x:v>
      </x:c>
      <x:c r="B193" s="2" t="str">
        <x:v>EV000194</x:v>
      </x:c>
      <x:c r="C193" s="2" t="str">
        <x:v>T20261004-1-2</x:v>
      </x:c>
      <x:c r="D193" s="2" t="str">
        <x:v>ST058</x:v>
      </x:c>
      <x:c r="E193" s="2" t="str">
        <x:v>G058</x:v>
      </x:c>
      <x:c r="F193" s="2" t="str">
        <x:v>guardian058@example.invalid</x:v>
      </x:c>
      <x:c r="G193" s="2" t="str">
        <x:v>Email</x:v>
      </x:c>
      <x:c r="H193" s="2" t="str">
        <x:v>School receipt</x:v>
      </x:c>
      <x:c r="I193" s="8" t="n">
        <x:v>46299.276979166665</x:v>
      </x:c>
      <x:c r="J193" s="8" t="n">
        <x:v>46299.27700231481</x:v>
      </x:c>
      <x:c r="K193" s="8" t="n">
        <x:v>46299.277037037034</x:v>
      </x:c>
      <x:c r="L193" s="2" t="str">
        <x:v>Sent</x:v>
      </x:c>
      <x:c r="M193" s="2" t="n">
        <x:v>1</x:v>
      </x:c>
      <x:c r="N193" s="2"/>
      <x:c r="O193" s="2"/>
    </x:row>
    <x:row r="194" ht="21" customHeight="1">
      <x:c r="A194" s="2" t="str">
        <x:v>NT000193</x:v>
      </x:c>
      <x:c r="B194" s="2" t="str">
        <x:v>EV000195</x:v>
      </x:c>
      <x:c r="C194" s="2" t="str">
        <x:v>T20261004-1-2</x:v>
      </x:c>
      <x:c r="D194" s="2" t="str">
        <x:v>ST059</x:v>
      </x:c>
      <x:c r="E194" s="2" t="str">
        <x:v>G059</x:v>
      </x:c>
      <x:c r="F194" s="2" t="str">
        <x:v>guardian059@example.invalid</x:v>
      </x:c>
      <x:c r="G194" s="2" t="str">
        <x:v>Email</x:v>
      </x:c>
      <x:c r="H194" s="2" t="str">
        <x:v>Boarded</x:v>
      </x:c>
      <x:c r="I194" s="8" t="n">
        <x:v>46299.24263888889</x:v>
      </x:c>
      <x:c r="J194" s="8" t="n">
        <x:v>46299.24266203704</x:v>
      </x:c>
      <x:c r="K194" s="8" t="n">
        <x:v>46299.24269675926</x:v>
      </x:c>
      <x:c r="L194" s="2" t="str">
        <x:v>Sent</x:v>
      </x:c>
      <x:c r="M194" s="2" t="n">
        <x:v>1</x:v>
      </x:c>
      <x:c r="N194" s="2"/>
      <x:c r="O194" s="2"/>
    </x:row>
    <x:row r="195" ht="21" customHeight="1">
      <x:c r="A195" s="2" t="str">
        <x:v>NT000194</x:v>
      </x:c>
      <x:c r="B195" s="2" t="str">
        <x:v>EV000196</x:v>
      </x:c>
      <x:c r="C195" s="2" t="str">
        <x:v>T20261004-1-2</x:v>
      </x:c>
      <x:c r="D195" s="2" t="str">
        <x:v>ST059</x:v>
      </x:c>
      <x:c r="E195" s="2" t="str">
        <x:v>G059</x:v>
      </x:c>
      <x:c r="F195" s="2" t="str">
        <x:v>guardian059@example.invalid</x:v>
      </x:c>
      <x:c r="G195" s="2" t="str">
        <x:v>Email</x:v>
      </x:c>
      <x:c r="H195" s="2" t="str">
        <x:v>School receipt</x:v>
      </x:c>
      <x:c r="I195" s="8" t="n">
        <x:v>46299.27701388889</x:v>
      </x:c>
      <x:c r="J195" s="8" t="n">
        <x:v>46299.277037037034</x:v>
      </x:c>
      <x:c r="K195" s="8" t="n">
        <x:v>46299.27707175926</x:v>
      </x:c>
      <x:c r="L195" s="2" t="str">
        <x:v>Sent</x:v>
      </x:c>
      <x:c r="M195" s="2" t="n">
        <x:v>1</x:v>
      </x:c>
      <x:c r="N195" s="2"/>
      <x:c r="O195" s="2"/>
    </x:row>
    <x:row r="196" ht="21" customHeight="1">
      <x:c r="A196" s="2" t="str">
        <x:v>NT000195</x:v>
      </x:c>
      <x:c r="B196" s="2" t="str">
        <x:v>EV000197</x:v>
      </x:c>
      <x:c r="C196" s="2" t="str">
        <x:v>T20261004-1-2</x:v>
      </x:c>
      <x:c r="D196" s="2" t="str">
        <x:v>ST060</x:v>
      </x:c>
      <x:c r="E196" s="2" t="str">
        <x:v>G060</x:v>
      </x:c>
      <x:c r="F196" s="2" t="str">
        <x:v>guardian060@example.invalid</x:v>
      </x:c>
      <x:c r="G196" s="2" t="str">
        <x:v>Email</x:v>
      </x:c>
      <x:c r="H196" s="2" t="str">
        <x:v>Boarded</x:v>
      </x:c>
      <x:c r="I196" s="8" t="n">
        <x:v>46299.24753472222</x:v>
      </x:c>
      <x:c r="J196" s="8" t="n">
        <x:v>46299.24755787037</x:v>
      </x:c>
      <x:c r="K196" s="8" t="n">
        <x:v>46299.24759259259</x:v>
      </x:c>
      <x:c r="L196" s="2" t="str">
        <x:v>Sent</x:v>
      </x:c>
      <x:c r="M196" s="2" t="n">
        <x:v>1</x:v>
      </x:c>
      <x:c r="N196" s="2"/>
      <x:c r="O196" s="2"/>
    </x:row>
    <x:row r="197" ht="21" customHeight="1">
      <x:c r="A197" s="2" t="str">
        <x:v>NT000196</x:v>
      </x:c>
      <x:c r="B197" s="2" t="str">
        <x:v>EV000198</x:v>
      </x:c>
      <x:c r="C197" s="2" t="str">
        <x:v>T20261004-1-2</x:v>
      </x:c>
      <x:c r="D197" s="2" t="str">
        <x:v>ST060</x:v>
      </x:c>
      <x:c r="E197" s="2" t="str">
        <x:v>G060</x:v>
      </x:c>
      <x:c r="F197" s="2" t="str">
        <x:v>guardian060@example.invalid</x:v>
      </x:c>
      <x:c r="G197" s="2" t="str">
        <x:v>Email</x:v>
      </x:c>
      <x:c r="H197" s="2" t="str">
        <x:v>School receipt</x:v>
      </x:c>
      <x:c r="I197" s="8" t="n">
        <x:v>46299.27704861111</x:v>
      </x:c>
      <x:c r="J197" s="8" t="n">
        <x:v>46299.27707175926</x:v>
      </x:c>
      <x:c r="K197" s="8" t="n">
        <x:v>46299.27710648148</x:v>
      </x:c>
      <x:c r="L197" s="2" t="str">
        <x:v>Sent</x:v>
      </x:c>
      <x:c r="M197" s="2" t="n">
        <x:v>1</x:v>
      </x:c>
      <x:c r="N197" s="2"/>
      <x:c r="O197" s="2"/>
    </x:row>
    <x:row r="198" ht="21" customHeight="1">
      <x:c r="A198" s="2" t="str">
        <x:v>NT000197</x:v>
      </x:c>
      <x:c r="B198" s="2" t="str">
        <x:v>EV000199</x:v>
      </x:c>
      <x:c r="C198" s="2" t="str">
        <x:v>T20261004-2-2</x:v>
      </x:c>
      <x:c r="D198" s="2" t="str">
        <x:v>ST041</x:v>
      </x:c>
      <x:c r="E198" s="2" t="str">
        <x:v>G041</x:v>
      </x:c>
      <x:c r="F198" s="2" t="str">
        <x:v>guardian041@example.invalid</x:v>
      </x:c>
      <x:c r="G198" s="2" t="str">
        <x:v>Email</x:v>
      </x:c>
      <x:c r="H198" s="2" t="str">
        <x:v>Boarded</x:v>
      </x:c>
      <x:c r="I198" s="8" t="n">
        <x:v>46299.4375</x:v>
      </x:c>
      <x:c r="J198" s="8" t="n">
        <x:v>46299.437523148146</x:v>
      </x:c>
      <x:c r="K198" s="8" t="n">
        <x:v>46299.43755787037</x:v>
      </x:c>
      <x:c r="L198" s="2" t="str">
        <x:v>Sent</x:v>
      </x:c>
      <x:c r="M198" s="2" t="n">
        <x:v>1</x:v>
      </x:c>
      <x:c r="N198" s="2"/>
      <x:c r="O198" s="2"/>
    </x:row>
    <x:row r="199" ht="21" customHeight="1">
      <x:c r="A199" s="2" t="str">
        <x:v>NT000198</x:v>
      </x:c>
      <x:c r="B199" s="2" t="str">
        <x:v>EV000200</x:v>
      </x:c>
      <x:c r="C199" s="2" t="str">
        <x:v>T20261004-2-2</x:v>
      </x:c>
      <x:c r="D199" s="2" t="str">
        <x:v>ST041</x:v>
      </x:c>
      <x:c r="E199" s="2" t="str">
        <x:v>G041</x:v>
      </x:c>
      <x:c r="F199" s="2" t="str">
        <x:v>guardian041@example.invalid</x:v>
      </x:c>
      <x:c r="G199" s="2" t="str">
        <x:v>Email</x:v>
      </x:c>
      <x:c r="H199" s="2" t="str">
        <x:v>Authorized release</x:v>
      </x:c>
      <x:c r="I199" s="8" t="n">
        <x:v>46299.44930555555</x:v>
      </x:c>
      <x:c r="J199" s="8" t="n">
        <x:v>46299.4493287037</x:v>
      </x:c>
      <x:c r="K199" s="8" t="n">
        <x:v>46299.44936342592</x:v>
      </x:c>
      <x:c r="L199" s="2" t="str">
        <x:v>Sent</x:v>
      </x:c>
      <x:c r="M199" s="2" t="n">
        <x:v>1</x:v>
      </x:c>
      <x:c r="N199" s="2"/>
      <x:c r="O199" s="2"/>
    </x:row>
    <x:row r="200" ht="21" customHeight="1">
      <x:c r="A200" s="2" t="str">
        <x:v>NT000199</x:v>
      </x:c>
      <x:c r="B200" s="2" t="str">
        <x:v>EV000201</x:v>
      </x:c>
      <x:c r="C200" s="2" t="str">
        <x:v>T20261004-2-2</x:v>
      </x:c>
      <x:c r="D200" s="2" t="str">
        <x:v>ST042</x:v>
      </x:c>
      <x:c r="E200" s="2" t="str">
        <x:v>G042</x:v>
      </x:c>
      <x:c r="F200" s="2" t="str">
        <x:v>guardian042@example.invalid</x:v>
      </x:c>
      <x:c r="G200" s="2" t="str">
        <x:v>Email</x:v>
      </x:c>
      <x:c r="H200" s="2" t="str">
        <x:v>Boarded</x:v>
      </x:c>
      <x:c r="I200" s="8" t="n">
        <x:v>46299.43753472222</x:v>
      </x:c>
      <x:c r="J200" s="8" t="n">
        <x:v>46299.43755787037</x:v>
      </x:c>
      <x:c r="K200" s="8" t="n">
        <x:v>46299.43759259259</x:v>
      </x:c>
      <x:c r="L200" s="2" t="str">
        <x:v>Sent</x:v>
      </x:c>
      <x:c r="M200" s="2" t="n">
        <x:v>1</x:v>
      </x:c>
      <x:c r="N200" s="2"/>
      <x:c r="O200" s="2"/>
    </x:row>
    <x:row r="201" ht="21" customHeight="1">
      <x:c r="A201" s="2" t="str">
        <x:v>NT000200</x:v>
      </x:c>
      <x:c r="B201" s="2" t="str">
        <x:v>EV000202</x:v>
      </x:c>
      <x:c r="C201" s="2" t="str">
        <x:v>T20261004-2-2</x:v>
      </x:c>
      <x:c r="D201" s="2" t="str">
        <x:v>ST042</x:v>
      </x:c>
      <x:c r="E201" s="2" t="str">
        <x:v>G042</x:v>
      </x:c>
      <x:c r="F201" s="2" t="str">
        <x:v>guardian042@example.invalid</x:v>
      </x:c>
      <x:c r="G201" s="2" t="str">
        <x:v>Email</x:v>
      </x:c>
      <x:c r="H201" s="2" t="str">
        <x:v>Authorized release</x:v>
      </x:c>
      <x:c r="I201" s="8" t="n">
        <x:v>46299.45350694445</x:v>
      </x:c>
      <x:c r="J201" s="8" t="n">
        <x:v>46299.45353009259</x:v>
      </x:c>
      <x:c r="K201" s="8" t="n">
        <x:v>46299.453564814816</x:v>
      </x:c>
      <x:c r="L201" s="2" t="str">
        <x:v>Sent</x:v>
      </x:c>
      <x:c r="M201" s="2" t="n">
        <x:v>1</x:v>
      </x:c>
      <x:c r="N201" s="2"/>
      <x:c r="O201" s="2"/>
    </x:row>
    <x:row r="202" ht="21" customHeight="1">
      <x:c r="A202" s="2" t="str">
        <x:v>NT000201</x:v>
      </x:c>
      <x:c r="B202" s="2" t="str">
        <x:v>EV000203</x:v>
      </x:c>
      <x:c r="C202" s="2" t="str">
        <x:v>T20261004-2-2</x:v>
      </x:c>
      <x:c r="D202" s="2" t="str">
        <x:v>ST043</x:v>
      </x:c>
      <x:c r="E202" s="2" t="str">
        <x:v>G043</x:v>
      </x:c>
      <x:c r="F202" s="2" t="str">
        <x:v>guardian043@example.invalid</x:v>
      </x:c>
      <x:c r="G202" s="2" t="str">
        <x:v>Email</x:v>
      </x:c>
      <x:c r="H202" s="2" t="str">
        <x:v>Boarded</x:v>
      </x:c>
      <x:c r="I202" s="8" t="n">
        <x:v>46299.437569444446</x:v>
      </x:c>
      <x:c r="J202" s="8" t="n">
        <x:v>46299.43759259259</x:v>
      </x:c>
      <x:c r="K202" s="8" t="n">
        <x:v>46299.437627314815</x:v>
      </x:c>
      <x:c r="L202" s="2" t="str">
        <x:v>Sent</x:v>
      </x:c>
      <x:c r="M202" s="2" t="n">
        <x:v>1</x:v>
      </x:c>
      <x:c r="N202" s="2"/>
      <x:c r="O202" s="2"/>
    </x:row>
    <x:row r="203" ht="21" customHeight="1">
      <x:c r="A203" s="2" t="str">
        <x:v>NT000202</x:v>
      </x:c>
      <x:c r="B203" s="2" t="str">
        <x:v>EV000204</x:v>
      </x:c>
      <x:c r="C203" s="2" t="str">
        <x:v>T20261004-2-2</x:v>
      </x:c>
      <x:c r="D203" s="2" t="str">
        <x:v>ST043</x:v>
      </x:c>
      <x:c r="E203" s="2" t="str">
        <x:v>G043</x:v>
      </x:c>
      <x:c r="F203" s="2" t="str">
        <x:v>guardian043@example.invalid</x:v>
      </x:c>
      <x:c r="G203" s="2" t="str">
        <x:v>Email</x:v>
      </x:c>
      <x:c r="H203" s="2" t="str">
        <x:v>Authorized release</x:v>
      </x:c>
      <x:c r="I203" s="8" t="n">
        <x:v>46299.457708333335</x:v>
      </x:c>
      <x:c r="J203" s="8" t="n">
        <x:v>46299.45773148148</x:v>
      </x:c>
      <x:c r="K203" s="8" t="n">
        <x:v>46299.457766203705</x:v>
      </x:c>
      <x:c r="L203" s="2" t="str">
        <x:v>Sent</x:v>
      </x:c>
      <x:c r="M203" s="2" t="n">
        <x:v>1</x:v>
      </x:c>
      <x:c r="N203" s="2"/>
      <x:c r="O203" s="2"/>
    </x:row>
    <x:row r="204" ht="21" customHeight="1">
      <x:c r="A204" s="2" t="str">
        <x:v>NT000203</x:v>
      </x:c>
      <x:c r="B204" s="2" t="str">
        <x:v>EV000205</x:v>
      </x:c>
      <x:c r="C204" s="2" t="str">
        <x:v>T20261004-2-2</x:v>
      </x:c>
      <x:c r="D204" s="2" t="str">
        <x:v>ST044</x:v>
      </x:c>
      <x:c r="E204" s="2" t="str">
        <x:v>G044</x:v>
      </x:c>
      <x:c r="F204" s="2" t="str">
        <x:v>guardian044@example.invalid</x:v>
      </x:c>
      <x:c r="G204" s="2" t="str">
        <x:v>Email</x:v>
      </x:c>
      <x:c r="H204" s="2" t="str">
        <x:v>Boarded</x:v>
      </x:c>
      <x:c r="I204" s="8" t="n">
        <x:v>46299.43760416667</x:v>
      </x:c>
      <x:c r="J204" s="8" t="n">
        <x:v>46299.437627314815</x:v>
      </x:c>
      <x:c r="K204" s="8" t="n">
        <x:v>46299.43766203704</x:v>
      </x:c>
      <x:c r="L204" s="2" t="str">
        <x:v>Sent</x:v>
      </x:c>
      <x:c r="M204" s="2" t="n">
        <x:v>1</x:v>
      </x:c>
      <x:c r="N204" s="2"/>
      <x:c r="O204" s="2"/>
    </x:row>
    <x:row r="205" ht="21" customHeight="1">
      <x:c r="A205" s="2" t="str">
        <x:v>NT000204</x:v>
      </x:c>
      <x:c r="B205" s="2" t="str">
        <x:v>EV000206</x:v>
      </x:c>
      <x:c r="C205" s="2" t="str">
        <x:v>T20261004-2-2</x:v>
      </x:c>
      <x:c r="D205" s="2" t="str">
        <x:v>ST044</x:v>
      </x:c>
      <x:c r="E205" s="2" t="str">
        <x:v>G044</x:v>
      </x:c>
      <x:c r="F205" s="2" t="str">
        <x:v>guardian044@example.invalid</x:v>
      </x:c>
      <x:c r="G205" s="2" t="str">
        <x:v>Email</x:v>
      </x:c>
      <x:c r="H205" s="2" t="str">
        <x:v>Authorized release</x:v>
      </x:c>
      <x:c r="I205" s="8" t="n">
        <x:v>46299.44940972222</x:v>
      </x:c>
      <x:c r="J205" s="8" t="n">
        <x:v>46299.449432870366</x:v>
      </x:c>
      <x:c r="K205" s="8" t="n">
        <x:v>46299.44946759259</x:v>
      </x:c>
      <x:c r="L205" s="2" t="str">
        <x:v>Sent</x:v>
      </x:c>
      <x:c r="M205" s="2" t="n">
        <x:v>1</x:v>
      </x:c>
      <x:c r="N205" s="2"/>
      <x:c r="O205" s="2"/>
    </x:row>
    <x:row r="206" ht="21" customHeight="1">
      <x:c r="A206" s="2" t="str">
        <x:v>NT000205</x:v>
      </x:c>
      <x:c r="B206" s="2" t="str">
        <x:v>EV000207</x:v>
      </x:c>
      <x:c r="C206" s="2" t="str">
        <x:v>T20261004-2-2</x:v>
      </x:c>
      <x:c r="D206" s="2" t="str">
        <x:v>ST045</x:v>
      </x:c>
      <x:c r="E206" s="2" t="str">
        <x:v>G045</x:v>
      </x:c>
      <x:c r="F206" s="2" t="str">
        <x:v>guardian045@example.invalid</x:v>
      </x:c>
      <x:c r="G206" s="2" t="str">
        <x:v>Email</x:v>
      </x:c>
      <x:c r="H206" s="2" t="str">
        <x:v>Boarded</x:v>
      </x:c>
      <x:c r="I206" s="8" t="n">
        <x:v>46299.43763888889</x:v>
      </x:c>
      <x:c r="J206" s="8" t="n">
        <x:v>46299.43766203704</x:v>
      </x:c>
      <x:c r="K206" s="8" t="n">
        <x:v>46299.43769675926</x:v>
      </x:c>
      <x:c r="L206" s="2" t="str">
        <x:v>Sent</x:v>
      </x:c>
      <x:c r="M206" s="2" t="n">
        <x:v>1</x:v>
      </x:c>
      <x:c r="N206" s="2"/>
      <x:c r="O206" s="2"/>
    </x:row>
    <x:row r="207" ht="21" customHeight="1">
      <x:c r="A207" s="2" t="str">
        <x:v>NT000206</x:v>
      </x:c>
      <x:c r="B207" s="2" t="str">
        <x:v>EV000208</x:v>
      </x:c>
      <x:c r="C207" s="2" t="str">
        <x:v>T20261004-2-2</x:v>
      </x:c>
      <x:c r="D207" s="2" t="str">
        <x:v>ST045</x:v>
      </x:c>
      <x:c r="E207" s="2" t="str">
        <x:v>G045</x:v>
      </x:c>
      <x:c r="F207" s="2" t="str">
        <x:v>guardian045@example.invalid</x:v>
      </x:c>
      <x:c r="G207" s="2" t="str">
        <x:v>Email</x:v>
      </x:c>
      <x:c r="H207" s="2" t="str">
        <x:v>Authorized release</x:v>
      </x:c>
      <x:c r="I207" s="8" t="n">
        <x:v>46299.453611111116</x:v>
      </x:c>
      <x:c r="J207" s="8" t="n">
        <x:v>46299.45363425926</x:v>
      </x:c>
      <x:c r="K207" s="8" t="n">
        <x:v>46299.453668981485</x:v>
      </x:c>
      <x:c r="L207" s="2" t="str">
        <x:v>Sent</x:v>
      </x:c>
      <x:c r="M207" s="2" t="n">
        <x:v>1</x:v>
      </x:c>
      <x:c r="N207" s="2"/>
      <x:c r="O207" s="2"/>
    </x:row>
    <x:row r="208" ht="21" customHeight="1">
      <x:c r="A208" s="2" t="str">
        <x:v>NT000207</x:v>
      </x:c>
      <x:c r="B208" s="2" t="str">
        <x:v>EV000209</x:v>
      </x:c>
      <x:c r="C208" s="2" t="str">
        <x:v>T20261004-2-2</x:v>
      </x:c>
      <x:c r="D208" s="2" t="str">
        <x:v>ST046</x:v>
      </x:c>
      <x:c r="E208" s="2" t="str">
        <x:v>G046</x:v>
      </x:c>
      <x:c r="F208" s="2" t="str">
        <x:v>guardian046@example.invalid</x:v>
      </x:c>
      <x:c r="G208" s="2" t="str">
        <x:v>Email</x:v>
      </x:c>
      <x:c r="H208" s="2" t="str">
        <x:v>Boarded</x:v>
      </x:c>
      <x:c r="I208" s="8" t="n">
        <x:v>46299.43767361111</x:v>
      </x:c>
      <x:c r="J208" s="8" t="n">
        <x:v>46299.437696759254</x:v>
      </x:c>
      <x:c r="K208" s="8" t="n">
        <x:v>46299.43773148148</x:v>
      </x:c>
      <x:c r="L208" s="2" t="str">
        <x:v>Sent</x:v>
      </x:c>
      <x:c r="M208" s="2" t="n">
        <x:v>1</x:v>
      </x:c>
      <x:c r="N208" s="2"/>
      <x:c r="O208" s="2"/>
    </x:row>
    <x:row r="209" ht="21" customHeight="1">
      <x:c r="A209" s="2" t="str">
        <x:v>NT000208</x:v>
      </x:c>
      <x:c r="B209" s="2" t="str">
        <x:v>EV000210</x:v>
      </x:c>
      <x:c r="C209" s="2" t="str">
        <x:v>T20261004-2-2</x:v>
      </x:c>
      <x:c r="D209" s="2" t="str">
        <x:v>ST046</x:v>
      </x:c>
      <x:c r="E209" s="2" t="str">
        <x:v>G046</x:v>
      </x:c>
      <x:c r="F209" s="2" t="str">
        <x:v>guardian046@example.invalid</x:v>
      </x:c>
      <x:c r="G209" s="2" t="str">
        <x:v>Email</x:v>
      </x:c>
      <x:c r="H209" s="2" t="str">
        <x:v>Authorized release</x:v>
      </x:c>
      <x:c r="I209" s="8" t="n">
        <x:v>46299.4578125</x:v>
      </x:c>
      <x:c r="J209" s="8" t="n">
        <x:v>46299.45783564814</x:v>
      </x:c>
      <x:c r="K209" s="8" t="n">
        <x:v>46299.45787037037</x:v>
      </x:c>
      <x:c r="L209" s="2" t="str">
        <x:v>Sent</x:v>
      </x:c>
      <x:c r="M209" s="2" t="n">
        <x:v>1</x:v>
      </x:c>
      <x:c r="N209" s="2"/>
      <x:c r="O209" s="2"/>
    </x:row>
    <x:row r="210" ht="21" customHeight="1">
      <x:c r="A210" s="2" t="str">
        <x:v>NT000209</x:v>
      </x:c>
      <x:c r="B210" s="2" t="str">
        <x:v>EV000211</x:v>
      </x:c>
      <x:c r="C210" s="2" t="str">
        <x:v>T20261004-2-2</x:v>
      </x:c>
      <x:c r="D210" s="2" t="str">
        <x:v>ST047</x:v>
      </x:c>
      <x:c r="E210" s="2" t="str">
        <x:v>G047</x:v>
      </x:c>
      <x:c r="F210" s="2" t="str">
        <x:v>guardian047@example.invalid</x:v>
      </x:c>
      <x:c r="G210" s="2" t="str">
        <x:v>Email</x:v>
      </x:c>
      <x:c r="H210" s="2" t="str">
        <x:v>Boarded</x:v>
      </x:c>
      <x:c r="I210" s="8" t="n">
        <x:v>46299.43770833333</x:v>
      </x:c>
      <x:c r="J210" s="8" t="n">
        <x:v>46299.43773148148</x:v>
      </x:c>
      <x:c r="K210" s="8" t="n">
        <x:v>46299.4377662037</x:v>
      </x:c>
      <x:c r="L210" s="2" t="str">
        <x:v>Sent</x:v>
      </x:c>
      <x:c r="M210" s="2" t="n">
        <x:v>1</x:v>
      </x:c>
      <x:c r="N210" s="2"/>
      <x:c r="O210" s="2"/>
    </x:row>
    <x:row r="211" ht="21" customHeight="1">
      <x:c r="A211" s="2" t="str">
        <x:v>NT000210</x:v>
      </x:c>
      <x:c r="B211" s="2" t="str">
        <x:v>EV000212</x:v>
      </x:c>
      <x:c r="C211" s="2" t="str">
        <x:v>T20261004-2-2</x:v>
      </x:c>
      <x:c r="D211" s="2" t="str">
        <x:v>ST047</x:v>
      </x:c>
      <x:c r="E211" s="2" t="str">
        <x:v>G047</x:v>
      </x:c>
      <x:c r="F211" s="2" t="str">
        <x:v>guardian047@example.invalid</x:v>
      </x:c>
      <x:c r="G211" s="2" t="str">
        <x:v>Email</x:v>
      </x:c>
      <x:c r="H211" s="2" t="str">
        <x:v>Authorized release</x:v>
      </x:c>
      <x:c r="I211" s="8" t="n">
        <x:v>46299.44951388888</x:v>
      </x:c>
      <x:c r="J211" s="8" t="n">
        <x:v>46299.44953703703</x:v>
      </x:c>
      <x:c r="K211" s="8" t="n">
        <x:v>46299.44957175925</x:v>
      </x:c>
      <x:c r="L211" s="2" t="str">
        <x:v>Sent</x:v>
      </x:c>
      <x:c r="M211" s="2" t="n">
        <x:v>1</x:v>
      </x:c>
      <x:c r="N211" s="2"/>
      <x:c r="O211" s="2"/>
    </x:row>
    <x:row r="212" ht="21" customHeight="1">
      <x:c r="A212" s="2" t="str">
        <x:v>NT000211</x:v>
      </x:c>
      <x:c r="B212" s="2" t="str">
        <x:v>EV000213</x:v>
      </x:c>
      <x:c r="C212" s="2" t="str">
        <x:v>T20261004-2-2</x:v>
      </x:c>
      <x:c r="D212" s="2" t="str">
        <x:v>ST048</x:v>
      </x:c>
      <x:c r="E212" s="2" t="str">
        <x:v>G048</x:v>
      </x:c>
      <x:c r="F212" s="2" t="str">
        <x:v>guardian048@example.invalid</x:v>
      </x:c>
      <x:c r="G212" s="2" t="str">
        <x:v>Email</x:v>
      </x:c>
      <x:c r="H212" s="2" t="str">
        <x:v>Boarded</x:v>
      </x:c>
      <x:c r="I212" s="8" t="n">
        <x:v>46299.437743055554</x:v>
      </x:c>
      <x:c r="J212" s="8" t="n">
        <x:v>46299.4377662037</x:v>
      </x:c>
      <x:c r="K212" s="8" t="n">
        <x:v>46299.43780092592</x:v>
      </x:c>
      <x:c r="L212" s="2" t="str">
        <x:v>Sent</x:v>
      </x:c>
      <x:c r="M212" s="2" t="n">
        <x:v>1</x:v>
      </x:c>
      <x:c r="N212" s="2"/>
      <x:c r="O212" s="2"/>
    </x:row>
    <x:row r="213" ht="21" customHeight="1">
      <x:c r="A213" s="2" t="str">
        <x:v>NT000212</x:v>
      </x:c>
      <x:c r="B213" s="2" t="str">
        <x:v>EV000214</x:v>
      </x:c>
      <x:c r="C213" s="2" t="str">
        <x:v>T20261004-2-2</x:v>
      </x:c>
      <x:c r="D213" s="2" t="str">
        <x:v>ST048</x:v>
      </x:c>
      <x:c r="E213" s="2" t="str">
        <x:v>G048</x:v>
      </x:c>
      <x:c r="F213" s="2" t="str">
        <x:v>guardian048@example.invalid</x:v>
      </x:c>
      <x:c r="G213" s="2" t="str">
        <x:v>Email</x:v>
      </x:c>
      <x:c r="H213" s="2" t="str">
        <x:v>Authorized release</x:v>
      </x:c>
      <x:c r="I213" s="8" t="n">
        <x:v>46299.45371527778</x:v>
      </x:c>
      <x:c r="J213" s="8" t="n">
        <x:v>46299.453738425924</x:v>
      </x:c>
      <x:c r="K213" s="8" t="n">
        <x:v>46299.45377314815</x:v>
      </x:c>
      <x:c r="L213" s="2" t="str">
        <x:v>Sent</x:v>
      </x:c>
      <x:c r="M213" s="2" t="n">
        <x:v>1</x:v>
      </x:c>
      <x:c r="N213" s="2"/>
      <x:c r="O213" s="2"/>
    </x:row>
    <x:row r="214" ht="21" customHeight="1">
      <x:c r="A214" s="2" t="str">
        <x:v>NT000213</x:v>
      </x:c>
      <x:c r="B214" s="2" t="str">
        <x:v>EV000215</x:v>
      </x:c>
      <x:c r="C214" s="2" t="str">
        <x:v>T20261004-2-2</x:v>
      </x:c>
      <x:c r="D214" s="2" t="str">
        <x:v>ST049</x:v>
      </x:c>
      <x:c r="E214" s="2" t="str">
        <x:v>G049</x:v>
      </x:c>
      <x:c r="F214" s="2" t="str">
        <x:v>guardian049@example.invalid</x:v>
      </x:c>
      <x:c r="G214" s="2" t="str">
        <x:v>Email</x:v>
      </x:c>
      <x:c r="H214" s="2" t="str">
        <x:v>Boarded</x:v>
      </x:c>
      <x:c r="I214" s="8" t="n">
        <x:v>46299.43777777778</x:v>
      </x:c>
      <x:c r="J214" s="8" t="n">
        <x:v>46299.43780092592</x:v>
      </x:c>
      <x:c r="K214" s="8" t="n">
        <x:v>46299.43783564815</x:v>
      </x:c>
      <x:c r="L214" s="2" t="str">
        <x:v>Sent</x:v>
      </x:c>
      <x:c r="M214" s="2" t="n">
        <x:v>1</x:v>
      </x:c>
      <x:c r="N214" s="2"/>
      <x:c r="O214" s="2"/>
    </x:row>
    <x:row r="215" ht="21" customHeight="1">
      <x:c r="A215" s="2" t="str">
        <x:v>NT000214</x:v>
      </x:c>
      <x:c r="B215" s="2" t="str">
        <x:v>EV000216</x:v>
      </x:c>
      <x:c r="C215" s="2" t="str">
        <x:v>T20261004-2-2</x:v>
      </x:c>
      <x:c r="D215" s="2" t="str">
        <x:v>ST049</x:v>
      </x:c>
      <x:c r="E215" s="2" t="str">
        <x:v>G049</x:v>
      </x:c>
      <x:c r="F215" s="2" t="str">
        <x:v>guardian049@example.invalid</x:v>
      </x:c>
      <x:c r="G215" s="2" t="str">
        <x:v>Email</x:v>
      </x:c>
      <x:c r="H215" s="2" t="str">
        <x:v>Authorized release</x:v>
      </x:c>
      <x:c r="I215" s="8" t="n">
        <x:v>46299.457916666666</x:v>
      </x:c>
      <x:c r="J215" s="8" t="n">
        <x:v>46299.45793981481</x:v>
      </x:c>
      <x:c r="K215" s="8" t="n">
        <x:v>46299.457974537036</x:v>
      </x:c>
      <x:c r="L215" s="2" t="str">
        <x:v>Sent</x:v>
      </x:c>
      <x:c r="M215" s="2" t="n">
        <x:v>1</x:v>
      </x:c>
      <x:c r="N215" s="2"/>
      <x:c r="O215" s="2"/>
    </x:row>
    <x:row r="216" ht="21" customHeight="1">
      <x:c r="A216" s="2" t="str">
        <x:v>NT000215</x:v>
      </x:c>
      <x:c r="B216" s="2" t="str">
        <x:v>EV000217</x:v>
      </x:c>
      <x:c r="C216" s="2" t="str">
        <x:v>T20261004-2-2</x:v>
      </x:c>
      <x:c r="D216" s="2" t="str">
        <x:v>ST050</x:v>
      </x:c>
      <x:c r="E216" s="2" t="str">
        <x:v>G050</x:v>
      </x:c>
      <x:c r="F216" s="2" t="str">
        <x:v>guardian050@example.invalid</x:v>
      </x:c>
      <x:c r="G216" s="2" t="str">
        <x:v>Email</x:v>
      </x:c>
      <x:c r="H216" s="2" t="str">
        <x:v>Boarded</x:v>
      </x:c>
      <x:c r="I216" s="8" t="n">
        <x:v>46299.4378125</x:v>
      </x:c>
      <x:c r="J216" s="8" t="n">
        <x:v>46299.43783564815</x:v>
      </x:c>
      <x:c r="K216" s="8" t="n">
        <x:v>46299.43787037037</x:v>
      </x:c>
      <x:c r="L216" s="2" t="str">
        <x:v>Sent</x:v>
      </x:c>
      <x:c r="M216" s="2" t="n">
        <x:v>1</x:v>
      </x:c>
      <x:c r="N216" s="2"/>
      <x:c r="O216" s="2"/>
    </x:row>
    <x:row r="217" ht="21" customHeight="1">
      <x:c r="A217" s="2" t="str">
        <x:v>NT000216</x:v>
      </x:c>
      <x:c r="B217" s="2" t="str">
        <x:v>EV000218</x:v>
      </x:c>
      <x:c r="C217" s="2" t="str">
        <x:v>T20261004-2-2</x:v>
      </x:c>
      <x:c r="D217" s="2" t="str">
        <x:v>ST050</x:v>
      </x:c>
      <x:c r="E217" s="2" t="str">
        <x:v>G050</x:v>
      </x:c>
      <x:c r="F217" s="2" t="str">
        <x:v>guardian050@example.invalid</x:v>
      </x:c>
      <x:c r="G217" s="2" t="str">
        <x:v>Email</x:v>
      </x:c>
      <x:c r="H217" s="2" t="str">
        <x:v>Authorized release</x:v>
      </x:c>
      <x:c r="I217" s="8" t="n">
        <x:v>46299.44961805555</x:v>
      </x:c>
      <x:c r="J217" s="8" t="n">
        <x:v>46299.4496412037</x:v>
      </x:c>
      <x:c r="K217" s="8" t="n">
        <x:v>46299.44967592592</x:v>
      </x:c>
      <x:c r="L217" s="2" t="str">
        <x:v>Sent</x:v>
      </x:c>
      <x:c r="M217" s="2" t="n">
        <x:v>1</x:v>
      </x:c>
      <x:c r="N217" s="2"/>
      <x:c r="O217" s="2"/>
    </x:row>
    <x:row r="218" ht="21" customHeight="1">
      <x:c r="A218" s="2" t="str">
        <x:v>NT000217</x:v>
      </x:c>
      <x:c r="B218" s="2" t="str">
        <x:v>EV000219</x:v>
      </x:c>
      <x:c r="C218" s="2" t="str">
        <x:v>T20261004-2-2</x:v>
      </x:c>
      <x:c r="D218" s="2" t="str">
        <x:v>ST061</x:v>
      </x:c>
      <x:c r="E218" s="2" t="str">
        <x:v>G061</x:v>
      </x:c>
      <x:c r="F218" s="2" t="str">
        <x:v>guardian061@example.invalid</x:v>
      </x:c>
      <x:c r="G218" s="2" t="str">
        <x:v>Email</x:v>
      </x:c>
      <x:c r="H218" s="2" t="str">
        <x:v>Boarded</x:v>
      </x:c>
      <x:c r="I218" s="8" t="n">
        <x:v>46299.48125</x:v>
      </x:c>
      <x:c r="J218" s="8" t="n">
        <x:v>46299.48127314814</x:v>
      </x:c>
      <x:c r="K218" s="8" t="n">
        <x:v>46299.48130787037</x:v>
      </x:c>
      <x:c r="L218" s="2" t="str">
        <x:v>Sent</x:v>
      </x:c>
      <x:c r="M218" s="2" t="n">
        <x:v>1</x:v>
      </x:c>
      <x:c r="N218" s="2"/>
      <x:c r="O218" s="2"/>
    </x:row>
    <x:row r="219" ht="21" customHeight="1">
      <x:c r="A219" s="2" t="str">
        <x:v>NT000218</x:v>
      </x:c>
      <x:c r="B219" s="2" t="str">
        <x:v>EV000220</x:v>
      </x:c>
      <x:c r="C219" s="2" t="str">
        <x:v>T20261004-2-2</x:v>
      </x:c>
      <x:c r="D219" s="2" t="str">
        <x:v>ST061</x:v>
      </x:c>
      <x:c r="E219" s="2" t="str">
        <x:v>G061</x:v>
      </x:c>
      <x:c r="F219" s="2" t="str">
        <x:v>guardian061@example.invalid</x:v>
      </x:c>
      <x:c r="G219" s="2" t="str">
        <x:v>Email</x:v>
      </x:c>
      <x:c r="H219" s="2" t="str">
        <x:v>School receipt</x:v>
      </x:c>
      <x:c r="I219" s="8" t="n">
        <x:v>46299.506250000006</x:v>
      </x:c>
      <x:c r="J219" s="8" t="n">
        <x:v>46299.50627314815</x:v>
      </x:c>
      <x:c r="K219" s="8" t="n">
        <x:v>46299.506307870375</x:v>
      </x:c>
      <x:c r="L219" s="2" t="str">
        <x:v>Sent</x:v>
      </x:c>
      <x:c r="M219" s="2" t="n">
        <x:v>1</x:v>
      </x:c>
      <x:c r="N219" s="2"/>
      <x:c r="O219" s="2"/>
    </x:row>
    <x:row r="220" ht="21" customHeight="1">
      <x:c r="A220" s="2" t="str">
        <x:v>NT000219</x:v>
      </x:c>
      <x:c r="B220" s="2" t="str">
        <x:v>EV000221</x:v>
      </x:c>
      <x:c r="C220" s="2" t="str">
        <x:v>T20261004-2-2</x:v>
      </x:c>
      <x:c r="D220" s="2" t="str">
        <x:v>ST062</x:v>
      </x:c>
      <x:c r="E220" s="2" t="str">
        <x:v>G062</x:v>
      </x:c>
      <x:c r="F220" s="2" t="str">
        <x:v>guardian062@example.invalid</x:v>
      </x:c>
      <x:c r="G220" s="2" t="str">
        <x:v>Email</x:v>
      </x:c>
      <x:c r="H220" s="2" t="str">
        <x:v>Boarded</x:v>
      </x:c>
      <x:c r="I220" s="8" t="n">
        <x:v>46299.4715625</x:v>
      </x:c>
      <x:c r="J220" s="8" t="n">
        <x:v>46299.47158564815</x:v>
      </x:c>
      <x:c r="K220" s="8" t="n">
        <x:v>46299.47162037037</x:v>
      </x:c>
      <x:c r="L220" s="2" t="str">
        <x:v>Sent</x:v>
      </x:c>
      <x:c r="M220" s="2" t="n">
        <x:v>1</x:v>
      </x:c>
      <x:c r="N220" s="2"/>
      <x:c r="O220" s="2"/>
    </x:row>
    <x:row r="221" ht="21" customHeight="1">
      <x:c r="A221" s="2" t="str">
        <x:v>NT000220</x:v>
      </x:c>
      <x:c r="B221" s="2" t="str">
        <x:v>EV000222</x:v>
      </x:c>
      <x:c r="C221" s="2" t="str">
        <x:v>T20261004-2-2</x:v>
      </x:c>
      <x:c r="D221" s="2" t="str">
        <x:v>ST062</x:v>
      </x:c>
      <x:c r="E221" s="2" t="str">
        <x:v>G062</x:v>
      </x:c>
      <x:c r="F221" s="2" t="str">
        <x:v>guardian062@example.invalid</x:v>
      </x:c>
      <x:c r="G221" s="2" t="str">
        <x:v>Email</x:v>
      </x:c>
      <x:c r="H221" s="2" t="str">
        <x:v>School receipt</x:v>
      </x:c>
      <x:c r="I221" s="8" t="n">
        <x:v>46299.50628472223</x:v>
      </x:c>
      <x:c r="J221" s="8" t="n">
        <x:v>46299.506307870375</x:v>
      </x:c>
      <x:c r="K221" s="8" t="n">
        <x:v>46299.5063425926</x:v>
      </x:c>
      <x:c r="L221" s="2" t="str">
        <x:v>Sent</x:v>
      </x:c>
      <x:c r="M221" s="2" t="n">
        <x:v>1</x:v>
      </x:c>
      <x:c r="N221" s="2"/>
      <x:c r="O221" s="2"/>
    </x:row>
    <x:row r="222" ht="21" customHeight="1">
      <x:c r="A222" s="2" t="str">
        <x:v>NT000221</x:v>
      </x:c>
      <x:c r="B222" s="2" t="str">
        <x:v>EV000223</x:v>
      </x:c>
      <x:c r="C222" s="2" t="str">
        <x:v>T20261004-2-2</x:v>
      </x:c>
      <x:c r="D222" s="2" t="str">
        <x:v>ST063</x:v>
      </x:c>
      <x:c r="E222" s="2" t="str">
        <x:v>G063</x:v>
      </x:c>
      <x:c r="F222" s="2" t="str">
        <x:v>guardian063@example.invalid</x:v>
      </x:c>
      <x:c r="G222" s="2" t="str">
        <x:v>Email</x:v>
      </x:c>
      <x:c r="H222" s="2" t="str">
        <x:v>Boarded</x:v>
      </x:c>
      <x:c r="I222" s="8" t="n">
        <x:v>46299.47645833333</x:v>
      </x:c>
      <x:c r="J222" s="8" t="n">
        <x:v>46299.47648148148</x:v>
      </x:c>
      <x:c r="K222" s="8" t="n">
        <x:v>46299.4765162037</x:v>
      </x:c>
      <x:c r="L222" s="2" t="str">
        <x:v>Sent</x:v>
      </x:c>
      <x:c r="M222" s="2" t="n">
        <x:v>1</x:v>
      </x:c>
      <x:c r="N222" s="2"/>
      <x:c r="O222" s="2"/>
    </x:row>
    <x:row r="223" ht="21" customHeight="1">
      <x:c r="A223" s="2" t="str">
        <x:v>NT000222</x:v>
      </x:c>
      <x:c r="B223" s="2" t="str">
        <x:v>EV000224</x:v>
      </x:c>
      <x:c r="C223" s="2" t="str">
        <x:v>T20261004-2-2</x:v>
      </x:c>
      <x:c r="D223" s="2" t="str">
        <x:v>ST063</x:v>
      </x:c>
      <x:c r="E223" s="2" t="str">
        <x:v>G063</x:v>
      </x:c>
      <x:c r="F223" s="2" t="str">
        <x:v>guardian063@example.invalid</x:v>
      </x:c>
      <x:c r="G223" s="2" t="str">
        <x:v>Email</x:v>
      </x:c>
      <x:c r="H223" s="2" t="str">
        <x:v>School receipt</x:v>
      </x:c>
      <x:c r="I223" s="8" t="n">
        <x:v>46299.506319444445</x:v>
      </x:c>
      <x:c r="J223" s="8" t="n">
        <x:v>46299.50634259259</x:v>
      </x:c>
      <x:c r="K223" s="8" t="n">
        <x:v>46299.506377314814</x:v>
      </x:c>
      <x:c r="L223" s="2" t="str">
        <x:v>Sent</x:v>
      </x:c>
      <x:c r="M223" s="2" t="n">
        <x:v>1</x:v>
      </x:c>
      <x:c r="N223" s="2"/>
      <x:c r="O223" s="2"/>
    </x:row>
    <x:row r="224" ht="21" customHeight="1">
      <x:c r="A224" s="2" t="str">
        <x:v>NT000223</x:v>
      </x:c>
      <x:c r="B224" s="2" t="str">
        <x:v>EV000225</x:v>
      </x:c>
      <x:c r="C224" s="2" t="str">
        <x:v>T20261004-2-2</x:v>
      </x:c>
      <x:c r="D224" s="2" t="str">
        <x:v>ST064</x:v>
      </x:c>
      <x:c r="E224" s="2" t="str">
        <x:v>G064</x:v>
      </x:c>
      <x:c r="F224" s="2" t="str">
        <x:v>guardian064@example.invalid</x:v>
      </x:c>
      <x:c r="G224" s="2" t="str">
        <x:v>Email</x:v>
      </x:c>
      <x:c r="H224" s="2" t="str">
        <x:v>Boarded</x:v>
      </x:c>
      <x:c r="I224" s="8" t="n">
        <x:v>46299.481354166666</x:v>
      </x:c>
      <x:c r="J224" s="8" t="n">
        <x:v>46299.48137731481</x:v>
      </x:c>
      <x:c r="K224" s="8" t="n">
        <x:v>46299.481412037036</x:v>
      </x:c>
      <x:c r="L224" s="2" t="str">
        <x:v>Sent</x:v>
      </x:c>
      <x:c r="M224" s="2" t="n">
        <x:v>1</x:v>
      </x:c>
      <x:c r="N224" s="2"/>
      <x:c r="O224" s="2"/>
    </x:row>
    <x:row r="225" ht="21" customHeight="1">
      <x:c r="A225" s="2" t="str">
        <x:v>NT000224</x:v>
      </x:c>
      <x:c r="B225" s="2" t="str">
        <x:v>EV000226</x:v>
      </x:c>
      <x:c r="C225" s="2" t="str">
        <x:v>T20261004-2-2</x:v>
      </x:c>
      <x:c r="D225" s="2" t="str">
        <x:v>ST064</x:v>
      </x:c>
      <x:c r="E225" s="2" t="str">
        <x:v>G064</x:v>
      </x:c>
      <x:c r="F225" s="2" t="str">
        <x:v>guardian064@example.invalid</x:v>
      </x:c>
      <x:c r="G225" s="2" t="str">
        <x:v>Email</x:v>
      </x:c>
      <x:c r="H225" s="2" t="str">
        <x:v>School receipt</x:v>
      </x:c>
      <x:c r="I225" s="8" t="n">
        <x:v>46299.50635416667</x:v>
      </x:c>
      <x:c r="J225" s="8" t="n">
        <x:v>46299.506377314814</x:v>
      </x:c>
      <x:c r="K225" s="8" t="n">
        <x:v>46299.50641203704</x:v>
      </x:c>
      <x:c r="L225" s="2" t="str">
        <x:v>Sent</x:v>
      </x:c>
      <x:c r="M225" s="2" t="n">
        <x:v>1</x:v>
      </x:c>
      <x:c r="N225" s="2"/>
      <x:c r="O225" s="2"/>
    </x:row>
    <x:row r="226" ht="21" customHeight="1">
      <x:c r="A226" s="2" t="str">
        <x:v>NT000225</x:v>
      </x:c>
      <x:c r="B226" s="2" t="str">
        <x:v>EV000227</x:v>
      </x:c>
      <x:c r="C226" s="2" t="str">
        <x:v>T20261004-2-2</x:v>
      </x:c>
      <x:c r="D226" s="2" t="str">
        <x:v>ST065</x:v>
      </x:c>
      <x:c r="E226" s="2" t="str">
        <x:v>G065</x:v>
      </x:c>
      <x:c r="F226" s="2" t="str">
        <x:v>guardian065@example.invalid</x:v>
      </x:c>
      <x:c r="G226" s="2" t="str">
        <x:v>Email</x:v>
      </x:c>
      <x:c r="H226" s="2" t="str">
        <x:v>Boarded</x:v>
      </x:c>
      <x:c r="I226" s="8" t="n">
        <x:v>46299.47166666667</x:v>
      </x:c>
      <x:c r="J226" s="8" t="n">
        <x:v>46299.47168981482</x:v>
      </x:c>
      <x:c r="K226" s="8" t="n">
        <x:v>46299.47172453704</x:v>
      </x:c>
      <x:c r="L226" s="2" t="str">
        <x:v>Sent</x:v>
      </x:c>
      <x:c r="M226" s="2" t="n">
        <x:v>1</x:v>
      </x:c>
      <x:c r="N226" s="2"/>
      <x:c r="O226" s="2"/>
    </x:row>
    <x:row r="227" ht="21" customHeight="1">
      <x:c r="A227" s="2" t="str">
        <x:v>NT000226</x:v>
      </x:c>
      <x:c r="B227" s="2" t="str">
        <x:v>EV000228</x:v>
      </x:c>
      <x:c r="C227" s="2" t="str">
        <x:v>T20261004-2-2</x:v>
      </x:c>
      <x:c r="D227" s="2" t="str">
        <x:v>ST065</x:v>
      </x:c>
      <x:c r="E227" s="2" t="str">
        <x:v>G065</x:v>
      </x:c>
      <x:c r="F227" s="2" t="str">
        <x:v>guardian065@example.invalid</x:v>
      </x:c>
      <x:c r="G227" s="2" t="str">
        <x:v>Email</x:v>
      </x:c>
      <x:c r="H227" s="2" t="str">
        <x:v>School receipt</x:v>
      </x:c>
      <x:c r="I227" s="8" t="n">
        <x:v>46299.50638888889</x:v>
      </x:c>
      <x:c r="J227" s="8" t="n">
        <x:v>46299.50641203704</x:v>
      </x:c>
      <x:c r="K227" s="8" t="n">
        <x:v>46299.50644675926</x:v>
      </x:c>
      <x:c r="L227" s="2" t="str">
        <x:v>Sent</x:v>
      </x:c>
      <x:c r="M227" s="2" t="n">
        <x:v>1</x:v>
      </x:c>
      <x:c r="N227" s="2"/>
      <x:c r="O227" s="2"/>
    </x:row>
    <x:row r="228" ht="21" customHeight="1">
      <x:c r="A228" s="2" t="str">
        <x:v>NT000227</x:v>
      </x:c>
      <x:c r="B228" s="2" t="str">
        <x:v>EV000229</x:v>
      </x:c>
      <x:c r="C228" s="2" t="str">
        <x:v>T20261004-2-2</x:v>
      </x:c>
      <x:c r="D228" s="2" t="str">
        <x:v>ST066</x:v>
      </x:c>
      <x:c r="E228" s="2" t="str">
        <x:v>G066</x:v>
      </x:c>
      <x:c r="F228" s="2" t="str">
        <x:v>guardian066@example.invalid</x:v>
      </x:c>
      <x:c r="G228" s="2" t="str">
        <x:v>Email</x:v>
      </x:c>
      <x:c r="H228" s="2" t="str">
        <x:v>Boarded</x:v>
      </x:c>
      <x:c r="I228" s="8" t="n">
        <x:v>46299.47656249999</x:v>
      </x:c>
      <x:c r="J228" s="8" t="n">
        <x:v>46299.47658564814</x:v>
      </x:c>
      <x:c r="K228" s="8" t="n">
        <x:v>46299.47662037036</x:v>
      </x:c>
      <x:c r="L228" s="2" t="str">
        <x:v>Sent</x:v>
      </x:c>
      <x:c r="M228" s="2" t="n">
        <x:v>1</x:v>
      </x:c>
      <x:c r="N228" s="2"/>
      <x:c r="O228" s="2"/>
    </x:row>
    <x:row r="229" ht="21" customHeight="1">
      <x:c r="A229" s="2" t="str">
        <x:v>NT000228</x:v>
      </x:c>
      <x:c r="B229" s="2" t="str">
        <x:v>EV000230</x:v>
      </x:c>
      <x:c r="C229" s="2" t="str">
        <x:v>T20261004-2-2</x:v>
      </x:c>
      <x:c r="D229" s="2" t="str">
        <x:v>ST066</x:v>
      </x:c>
      <x:c r="E229" s="2" t="str">
        <x:v>G066</x:v>
      </x:c>
      <x:c r="F229" s="2" t="str">
        <x:v>guardian066@example.invalid</x:v>
      </x:c>
      <x:c r="G229" s="2" t="str">
        <x:v>Email</x:v>
      </x:c>
      <x:c r="H229" s="2" t="str">
        <x:v>School receipt</x:v>
      </x:c>
      <x:c r="I229" s="8" t="n">
        <x:v>46299.506423611114</x:v>
      </x:c>
      <x:c r="J229" s="8" t="n">
        <x:v>46299.50644675926</x:v>
      </x:c>
      <x:c r="K229" s="8" t="n">
        <x:v>46299.50648148148</x:v>
      </x:c>
      <x:c r="L229" s="2" t="str">
        <x:v>Sent</x:v>
      </x:c>
      <x:c r="M229" s="2" t="n">
        <x:v>1</x:v>
      </x:c>
      <x:c r="N229" s="2"/>
      <x:c r="O229" s="2"/>
    </x:row>
    <x:row r="230" ht="21" customHeight="1">
      <x:c r="A230" s="2" t="str">
        <x:v>NT000229</x:v>
      </x:c>
      <x:c r="B230" s="2" t="str">
        <x:v>EV000231</x:v>
      </x:c>
      <x:c r="C230" s="2" t="str">
        <x:v>T20261004-2-2</x:v>
      </x:c>
      <x:c r="D230" s="2" t="str">
        <x:v>ST067</x:v>
      </x:c>
      <x:c r="E230" s="2" t="str">
        <x:v>G067</x:v>
      </x:c>
      <x:c r="F230" s="2" t="str">
        <x:v>guardian067@example.invalid</x:v>
      </x:c>
      <x:c r="G230" s="2" t="str">
        <x:v>Email</x:v>
      </x:c>
      <x:c r="H230" s="2" t="str">
        <x:v>Boarded</x:v>
      </x:c>
      <x:c r="I230" s="8" t="n">
        <x:v>46299.48145833333</x:v>
      </x:c>
      <x:c r="J230" s="8" t="n">
        <x:v>46299.481481481474</x:v>
      </x:c>
      <x:c r="K230" s="8" t="n">
        <x:v>46299.4815162037</x:v>
      </x:c>
      <x:c r="L230" s="2" t="str">
        <x:v>Sent</x:v>
      </x:c>
      <x:c r="M230" s="2" t="n">
        <x:v>1</x:v>
      </x:c>
      <x:c r="N230" s="2"/>
      <x:c r="O230" s="2"/>
    </x:row>
    <x:row r="231" ht="21" customHeight="1">
      <x:c r="A231" s="2" t="str">
        <x:v>NT000230</x:v>
      </x:c>
      <x:c r="B231" s="2" t="str">
        <x:v>EV000232</x:v>
      </x:c>
      <x:c r="C231" s="2" t="str">
        <x:v>T20261004-2-2</x:v>
      </x:c>
      <x:c r="D231" s="2" t="str">
        <x:v>ST067</x:v>
      </x:c>
      <x:c r="E231" s="2" t="str">
        <x:v>G067</x:v>
      </x:c>
      <x:c r="F231" s="2" t="str">
        <x:v>guardian067@example.invalid</x:v>
      </x:c>
      <x:c r="G231" s="2" t="str">
        <x:v>Email</x:v>
      </x:c>
      <x:c r="H231" s="2" t="str">
        <x:v>School receipt</x:v>
      </x:c>
      <x:c r="I231" s="8" t="n">
        <x:v>46299.50645833334</x:v>
      </x:c>
      <x:c r="J231" s="8" t="n">
        <x:v>46299.50648148148</x:v>
      </x:c>
      <x:c r="K231" s="8" t="n">
        <x:v>46299.506516203706</x:v>
      </x:c>
      <x:c r="L231" s="2" t="str">
        <x:v>Sent</x:v>
      </x:c>
      <x:c r="M231" s="2" t="n">
        <x:v>1</x:v>
      </x:c>
      <x:c r="N231" s="2"/>
      <x:c r="O231" s="2"/>
    </x:row>
    <x:row r="232" ht="21" customHeight="1">
      <x:c r="A232" s="2" t="str">
        <x:v>NT000231</x:v>
      </x:c>
      <x:c r="B232" s="2" t="str">
        <x:v>EV000233</x:v>
      </x:c>
      <x:c r="C232" s="2" t="str">
        <x:v>T20261004-2-2</x:v>
      </x:c>
      <x:c r="D232" s="2" t="str">
        <x:v>ST068</x:v>
      </x:c>
      <x:c r="E232" s="2" t="str">
        <x:v>G068</x:v>
      </x:c>
      <x:c r="F232" s="2" t="str">
        <x:v>guardian068@example.invalid</x:v>
      </x:c>
      <x:c r="G232" s="2" t="str">
        <x:v>Email</x:v>
      </x:c>
      <x:c r="H232" s="2" t="str">
        <x:v>Boarded</x:v>
      </x:c>
      <x:c r="I232" s="8" t="n">
        <x:v>46299.471770833334</x:v>
      </x:c>
      <x:c r="J232" s="8" t="n">
        <x:v>46299.47179398148</x:v>
      </x:c>
      <x:c r="K232" s="8" t="n">
        <x:v>46299.4718287037</x:v>
      </x:c>
      <x:c r="L232" s="2" t="str">
        <x:v>Sent</x:v>
      </x:c>
      <x:c r="M232" s="2" t="n">
        <x:v>1</x:v>
      </x:c>
      <x:c r="N232" s="2"/>
      <x:c r="O232" s="2"/>
    </x:row>
    <x:row r="233" ht="21" customHeight="1">
      <x:c r="A233" s="2" t="str">
        <x:v>NT000232</x:v>
      </x:c>
      <x:c r="B233" s="2" t="str">
        <x:v>EV000234</x:v>
      </x:c>
      <x:c r="C233" s="2" t="str">
        <x:v>T20261004-2-2</x:v>
      </x:c>
      <x:c r="D233" s="2" t="str">
        <x:v>ST068</x:v>
      </x:c>
      <x:c r="E233" s="2" t="str">
        <x:v>G068</x:v>
      </x:c>
      <x:c r="F233" s="2" t="str">
        <x:v>guardian068@example.invalid</x:v>
      </x:c>
      <x:c r="G233" s="2" t="str">
        <x:v>Email</x:v>
      </x:c>
      <x:c r="H233" s="2" t="str">
        <x:v>School receipt</x:v>
      </x:c>
      <x:c r="I233" s="8" t="n">
        <x:v>46299.50649305556</x:v>
      </x:c>
      <x:c r="J233" s="8" t="n">
        <x:v>46299.506516203706</x:v>
      </x:c>
      <x:c r="K233" s="8" t="n">
        <x:v>46299.50655092593</x:v>
      </x:c>
      <x:c r="L233" s="2" t="str">
        <x:v>Sent</x:v>
      </x:c>
      <x:c r="M233" s="2" t="n">
        <x:v>1</x:v>
      </x:c>
      <x:c r="N233" s="2"/>
      <x:c r="O233" s="2"/>
    </x:row>
    <x:row r="234" ht="21" customHeight="1">
      <x:c r="A234" s="2" t="str">
        <x:v>NT000233</x:v>
      </x:c>
      <x:c r="B234" s="2" t="str">
        <x:v>EV000235</x:v>
      </x:c>
      <x:c r="C234" s="2" t="str">
        <x:v>T20261004-2-2</x:v>
      </x:c>
      <x:c r="D234" s="2" t="str">
        <x:v>ST069</x:v>
      </x:c>
      <x:c r="E234" s="2" t="str">
        <x:v>G069</x:v>
      </x:c>
      <x:c r="F234" s="2" t="str">
        <x:v>guardian069@example.invalid</x:v>
      </x:c>
      <x:c r="G234" s="2" t="str">
        <x:v>Email</x:v>
      </x:c>
      <x:c r="H234" s="2" t="str">
        <x:v>Boarded</x:v>
      </x:c>
      <x:c r="I234" s="8" t="n">
        <x:v>46299.47666666666</x:v>
      </x:c>
      <x:c r="J234" s="8" t="n">
        <x:v>46299.47668981481</x:v>
      </x:c>
      <x:c r="K234" s="8" t="n">
        <x:v>46299.47672453703</x:v>
      </x:c>
      <x:c r="L234" s="2" t="str">
        <x:v>Sent</x:v>
      </x:c>
      <x:c r="M234" s="2" t="n">
        <x:v>1</x:v>
      </x:c>
      <x:c r="N234" s="2"/>
      <x:c r="O234" s="2"/>
    </x:row>
    <x:row r="235" ht="21" customHeight="1">
      <x:c r="A235" s="2" t="str">
        <x:v>NT000234</x:v>
      </x:c>
      <x:c r="B235" s="2" t="str">
        <x:v>EV000236</x:v>
      </x:c>
      <x:c r="C235" s="2" t="str">
        <x:v>T20261004-2-2</x:v>
      </x:c>
      <x:c r="D235" s="2" t="str">
        <x:v>ST069</x:v>
      </x:c>
      <x:c r="E235" s="2" t="str">
        <x:v>G069</x:v>
      </x:c>
      <x:c r="F235" s="2" t="str">
        <x:v>guardian069@example.invalid</x:v>
      </x:c>
      <x:c r="G235" s="2" t="str">
        <x:v>Email</x:v>
      </x:c>
      <x:c r="H235" s="2" t="str">
        <x:v>School receipt</x:v>
      </x:c>
      <x:c r="I235" s="8" t="n">
        <x:v>46299.50652777778</x:v>
      </x:c>
      <x:c r="J235" s="8" t="n">
        <x:v>46299.50655092593</x:v>
      </x:c>
      <x:c r="K235" s="8" t="n">
        <x:v>46299.50658564815</x:v>
      </x:c>
      <x:c r="L235" s="2" t="str">
        <x:v>Sent</x:v>
      </x:c>
      <x:c r="M235" s="2" t="n">
        <x:v>1</x:v>
      </x:c>
      <x:c r="N235" s="2"/>
      <x:c r="O235" s="2"/>
    </x:row>
    <x:row r="236" ht="21" customHeight="1">
      <x:c r="A236" s="2" t="str">
        <x:v>NT000235</x:v>
      </x:c>
      <x:c r="B236" s="2" t="str">
        <x:v>EV000237</x:v>
      </x:c>
      <x:c r="C236" s="2" t="str">
        <x:v>T20261004-2-2</x:v>
      </x:c>
      <x:c r="D236" s="2" t="str">
        <x:v>ST070</x:v>
      </x:c>
      <x:c r="E236" s="2" t="str">
        <x:v>G070</x:v>
      </x:c>
      <x:c r="F236" s="2" t="str">
        <x:v>guardian070@example.invalid</x:v>
      </x:c>
      <x:c r="G236" s="2" t="str">
        <x:v>Email</x:v>
      </x:c>
      <x:c r="H236" s="2" t="str">
        <x:v>Boarded</x:v>
      </x:c>
      <x:c r="I236" s="8" t="n">
        <x:v>46299.4815625</x:v>
      </x:c>
      <x:c r="J236" s="8" t="n">
        <x:v>46299.481585648144</x:v>
      </x:c>
      <x:c r="K236" s="8" t="n">
        <x:v>46299.48162037037</x:v>
      </x:c>
      <x:c r="L236" s="2" t="str">
        <x:v>Sent</x:v>
      </x:c>
      <x:c r="M236" s="2" t="n">
        <x:v>1</x:v>
      </x:c>
      <x:c r="N236" s="2"/>
      <x:c r="O236" s="2"/>
    </x:row>
    <x:row r="237" ht="21" customHeight="1">
      <x:c r="A237" s="2" t="str">
        <x:v>NT000236</x:v>
      </x:c>
      <x:c r="B237" s="2" t="str">
        <x:v>EV000238</x:v>
      </x:c>
      <x:c r="C237" s="2" t="str">
        <x:v>T20261004-2-2</x:v>
      </x:c>
      <x:c r="D237" s="2" t="str">
        <x:v>ST070</x:v>
      </x:c>
      <x:c r="E237" s="2" t="str">
        <x:v>G070</x:v>
      </x:c>
      <x:c r="F237" s="2" t="str">
        <x:v>guardian070@example.invalid</x:v>
      </x:c>
      <x:c r="G237" s="2" t="str">
        <x:v>Email</x:v>
      </x:c>
      <x:c r="H237" s="2" t="str">
        <x:v>School receipt</x:v>
      </x:c>
      <x:c r="I237" s="8" t="n">
        <x:v>46299.506562500006</x:v>
      </x:c>
      <x:c r="J237" s="8" t="n">
        <x:v>46299.50658564815</x:v>
      </x:c>
      <x:c r="K237" s="8" t="n">
        <x:v>46299.506620370375</x:v>
      </x:c>
      <x:c r="L237" s="2" t="str">
        <x:v>Sent</x:v>
      </x:c>
      <x:c r="M237" s="2" t="n">
        <x:v>1</x:v>
      </x:c>
      <x:c r="N237" s="2"/>
      <x:c r="O237" s="2"/>
    </x:row>
    <x:row r="238" ht="21" customHeight="1">
      <x:c r="A238" s="2" t="str">
        <x:v>NT000237</x:v>
      </x:c>
      <x:c r="B238" s="2" t="str">
        <x:v>EV000239</x:v>
      </x:c>
      <x:c r="C238" s="2" t="str">
        <x:v>T20261004-2-2</x:v>
      </x:c>
      <x:c r="D238" s="2" t="str">
        <x:v>ST071</x:v>
      </x:c>
      <x:c r="E238" s="2" t="str">
        <x:v>G071</x:v>
      </x:c>
      <x:c r="F238" s="2" t="str">
        <x:v>guardian071@example.invalid</x:v>
      </x:c>
      <x:c r="G238" s="2" t="str">
        <x:v>Email</x:v>
      </x:c>
      <x:c r="H238" s="2" t="str">
        <x:v>Boarded</x:v>
      </x:c>
      <x:c r="I238" s="8" t="n">
        <x:v>46299.47152777778</x:v>
      </x:c>
      <x:c r="J238" s="8" t="n">
        <x:v>46299.471550925926</x:v>
      </x:c>
      <x:c r="K238" s="8" t="n">
        <x:v>46299.47158564815</x:v>
      </x:c>
      <x:c r="L238" s="2" t="str">
        <x:v>Sent</x:v>
      </x:c>
      <x:c r="M238" s="2" t="n">
        <x:v>1</x:v>
      </x:c>
      <x:c r="N238" s="2"/>
      <x:c r="O238" s="2"/>
    </x:row>
    <x:row r="239" ht="21" customHeight="1">
      <x:c r="A239" s="2" t="str">
        <x:v>NT000238</x:v>
      </x:c>
      <x:c r="B239" s="2" t="str">
        <x:v>EV000240</x:v>
      </x:c>
      <x:c r="C239" s="2" t="str">
        <x:v>T20261004-2-2</x:v>
      </x:c>
      <x:c r="D239" s="2" t="str">
        <x:v>ST071</x:v>
      </x:c>
      <x:c r="E239" s="2" t="str">
        <x:v>G071</x:v>
      </x:c>
      <x:c r="F239" s="2" t="str">
        <x:v>guardian071@example.invalid</x:v>
      </x:c>
      <x:c r="G239" s="2" t="str">
        <x:v>Email</x:v>
      </x:c>
      <x:c r="H239" s="2" t="str">
        <x:v>School receipt</x:v>
      </x:c>
      <x:c r="I239" s="8" t="n">
        <x:v>46299.50659722223</x:v>
      </x:c>
      <x:c r="J239" s="8" t="n">
        <x:v>46299.506620370375</x:v>
      </x:c>
      <x:c r="K239" s="8" t="n">
        <x:v>46299.5066550926</x:v>
      </x:c>
      <x:c r="L239" s="2" t="str">
        <x:v>Sent</x:v>
      </x:c>
      <x:c r="M239" s="2" t="n">
        <x:v>1</x:v>
      </x:c>
      <x:c r="N239" s="2"/>
      <x:c r="O239" s="2"/>
    </x:row>
    <x:row r="240" ht="21" customHeight="1">
      <x:c r="A240" s="2" t="str">
        <x:v>NT000239</x:v>
      </x:c>
      <x:c r="B240" s="2" t="str">
        <x:v>EV000241</x:v>
      </x:c>
      <x:c r="C240" s="2" t="str">
        <x:v>T20261004-2-2</x:v>
      </x:c>
      <x:c r="D240" s="2" t="str">
        <x:v>ST072</x:v>
      </x:c>
      <x:c r="E240" s="2" t="str">
        <x:v>G072</x:v>
      </x:c>
      <x:c r="F240" s="2" t="str">
        <x:v>guardian072@example.invalid</x:v>
      </x:c>
      <x:c r="G240" s="2" t="str">
        <x:v>Email</x:v>
      </x:c>
      <x:c r="H240" s="2" t="str">
        <x:v>Boarded</x:v>
      </x:c>
      <x:c r="I240" s="8" t="n">
        <x:v>46299.47642361111</x:v>
      </x:c>
      <x:c r="J240" s="8" t="n">
        <x:v>46299.476446759254</x:v>
      </x:c>
      <x:c r="K240" s="8" t="n">
        <x:v>46299.47648148148</x:v>
      </x:c>
      <x:c r="L240" s="2" t="str">
        <x:v>Sent</x:v>
      </x:c>
      <x:c r="M240" s="2" t="n">
        <x:v>1</x:v>
      </x:c>
      <x:c r="N240" s="2"/>
      <x:c r="O240" s="2"/>
    </x:row>
    <x:row r="241" ht="21" customHeight="1">
      <x:c r="A241" s="2" t="str">
        <x:v>NT000240</x:v>
      </x:c>
      <x:c r="B241" s="2" t="str">
        <x:v>EV000242</x:v>
      </x:c>
      <x:c r="C241" s="2" t="str">
        <x:v>T20261004-2-2</x:v>
      </x:c>
      <x:c r="D241" s="2" t="str">
        <x:v>ST072</x:v>
      </x:c>
      <x:c r="E241" s="2" t="str">
        <x:v>G072</x:v>
      </x:c>
      <x:c r="F241" s="2" t="str">
        <x:v>guardian072@example.invalid</x:v>
      </x:c>
      <x:c r="G241" s="2" t="str">
        <x:v>Email</x:v>
      </x:c>
      <x:c r="H241" s="2" t="str">
        <x:v>School receipt</x:v>
      </x:c>
      <x:c r="I241" s="8" t="n">
        <x:v>46299.506631944445</x:v>
      </x:c>
      <x:c r="J241" s="8" t="n">
        <x:v>46299.50665509259</x:v>
      </x:c>
      <x:c r="K241" s="8" t="n">
        <x:v>46299.506689814814</x:v>
      </x:c>
      <x:c r="L241" s="2" t="str">
        <x:v>Sent</x:v>
      </x:c>
      <x:c r="M241" s="2" t="n">
        <x:v>1</x:v>
      </x:c>
      <x:c r="N241" s="2"/>
      <x:c r="O241" s="2"/>
    </x:row>
    <x:row r="242" ht="21" customHeight="1">
      <x:c r="A242" s="2" t="str">
        <x:v>NT000241</x:v>
      </x:c>
      <x:c r="B242" s="2" t="str">
        <x:v>EV000243</x:v>
      </x:c>
      <x:c r="C242" s="2" t="str">
        <x:v>T20261004-2-2</x:v>
      </x:c>
      <x:c r="D242" s="2" t="str">
        <x:v>ST073</x:v>
      </x:c>
      <x:c r="E242" s="2" t="str">
        <x:v>G073</x:v>
      </x:c>
      <x:c r="F242" s="2" t="str">
        <x:v>guardian073@example.invalid</x:v>
      </x:c>
      <x:c r="G242" s="2" t="str">
        <x:v>Email</x:v>
      </x:c>
      <x:c r="H242" s="2" t="str">
        <x:v>Boarded</x:v>
      </x:c>
      <x:c r="I242" s="8" t="n">
        <x:v>46299.48131944444</x:v>
      </x:c>
      <x:c r="J242" s="8" t="n">
        <x:v>46299.48134259259</x:v>
      </x:c>
      <x:c r="K242" s="8" t="n">
        <x:v>46299.48137731481</x:v>
      </x:c>
      <x:c r="L242" s="2" t="str">
        <x:v>Sent</x:v>
      </x:c>
      <x:c r="M242" s="2" t="n">
        <x:v>1</x:v>
      </x:c>
      <x:c r="N242" s="2"/>
      <x:c r="O242" s="2"/>
    </x:row>
    <x:row r="243" ht="21" customHeight="1">
      <x:c r="A243" s="2" t="str">
        <x:v>NT000242</x:v>
      </x:c>
      <x:c r="B243" s="2" t="str">
        <x:v>EV000244</x:v>
      </x:c>
      <x:c r="C243" s="2" t="str">
        <x:v>T20261004-2-2</x:v>
      </x:c>
      <x:c r="D243" s="2" t="str">
        <x:v>ST073</x:v>
      </x:c>
      <x:c r="E243" s="2" t="str">
        <x:v>G073</x:v>
      </x:c>
      <x:c r="F243" s="2" t="str">
        <x:v>guardian073@example.invalid</x:v>
      </x:c>
      <x:c r="G243" s="2" t="str">
        <x:v>Email</x:v>
      </x:c>
      <x:c r="H243" s="2" t="str">
        <x:v>School receipt</x:v>
      </x:c>
      <x:c r="I243" s="8" t="n">
        <x:v>46299.50666666667</x:v>
      </x:c>
      <x:c r="J243" s="8" t="n">
        <x:v>46299.506689814814</x:v>
      </x:c>
      <x:c r="K243" s="8" t="n">
        <x:v>46299.50672453704</x:v>
      </x:c>
      <x:c r="L243" s="2" t="str">
        <x:v>Sent</x:v>
      </x:c>
      <x:c r="M243" s="2" t="n">
        <x:v>1</x:v>
      </x:c>
      <x:c r="N243" s="2"/>
      <x:c r="O243" s="2"/>
    </x:row>
    <x:row r="244" ht="21" customHeight="1">
      <x:c r="A244" s="2" t="str">
        <x:v>NT000243</x:v>
      </x:c>
      <x:c r="B244" s="2" t="str">
        <x:v>EV000245</x:v>
      </x:c>
      <x:c r="C244" s="2" t="str">
        <x:v>T20261004-2-2</x:v>
      </x:c>
      <x:c r="D244" s="2" t="str">
        <x:v>ST074</x:v>
      </x:c>
      <x:c r="E244" s="2" t="str">
        <x:v>G074</x:v>
      </x:c>
      <x:c r="F244" s="2" t="str">
        <x:v>guardian074@example.invalid</x:v>
      </x:c>
      <x:c r="G244" s="2" t="str">
        <x:v>Email</x:v>
      </x:c>
      <x:c r="H244" s="2" t="str">
        <x:v>Boarded</x:v>
      </x:c>
      <x:c r="I244" s="8" t="n">
        <x:v>46299.47163194445</x:v>
      </x:c>
      <x:c r="J244" s="8" t="n">
        <x:v>46299.471655092595</x:v>
      </x:c>
      <x:c r="K244" s="8" t="n">
        <x:v>46299.47168981482</x:v>
      </x:c>
      <x:c r="L244" s="2" t="str">
        <x:v>Sent</x:v>
      </x:c>
      <x:c r="M244" s="2" t="n">
        <x:v>1</x:v>
      </x:c>
      <x:c r="N244" s="2"/>
      <x:c r="O244" s="2"/>
    </x:row>
    <x:row r="245" ht="21" customHeight="1">
      <x:c r="A245" s="2" t="str">
        <x:v>NT000244</x:v>
      </x:c>
      <x:c r="B245" s="2" t="str">
        <x:v>EV000246</x:v>
      </x:c>
      <x:c r="C245" s="2" t="str">
        <x:v>T20261004-2-2</x:v>
      </x:c>
      <x:c r="D245" s="2" t="str">
        <x:v>ST074</x:v>
      </x:c>
      <x:c r="E245" s="2" t="str">
        <x:v>G074</x:v>
      </x:c>
      <x:c r="F245" s="2" t="str">
        <x:v>guardian074@example.invalid</x:v>
      </x:c>
      <x:c r="G245" s="2" t="str">
        <x:v>Email</x:v>
      </x:c>
      <x:c r="H245" s="2" t="str">
        <x:v>School receipt</x:v>
      </x:c>
      <x:c r="I245" s="8" t="n">
        <x:v>46299.50670138889</x:v>
      </x:c>
      <x:c r="J245" s="8" t="n">
        <x:v>46299.50672453704</x:v>
      </x:c>
      <x:c r="K245" s="8" t="n">
        <x:v>46299.50675925926</x:v>
      </x:c>
      <x:c r="L245" s="2" t="str">
        <x:v>Sent</x:v>
      </x:c>
      <x:c r="M245" s="2" t="n">
        <x:v>1</x:v>
      </x:c>
      <x:c r="N245" s="2"/>
      <x:c r="O245" s="2"/>
    </x:row>
    <x:row r="246" ht="21" customHeight="1">
      <x:c r="A246" s="2" t="str">
        <x:v>NT000245</x:v>
      </x:c>
      <x:c r="B246" s="2" t="str">
        <x:v>EV000247</x:v>
      </x:c>
      <x:c r="C246" s="2" t="str">
        <x:v>T20261004-2-2</x:v>
      </x:c>
      <x:c r="D246" s="2" t="str">
        <x:v>ST075</x:v>
      </x:c>
      <x:c r="E246" s="2" t="str">
        <x:v>G075</x:v>
      </x:c>
      <x:c r="F246" s="2" t="str">
        <x:v>guardian075@example.invalid</x:v>
      </x:c>
      <x:c r="G246" s="2" t="str">
        <x:v>Email</x:v>
      </x:c>
      <x:c r="H246" s="2" t="str">
        <x:v>Boarded</x:v>
      </x:c>
      <x:c r="I246" s="8" t="n">
        <x:v>46299.47652777778</x:v>
      </x:c>
      <x:c r="J246" s="8" t="n">
        <x:v>46299.47655092592</x:v>
      </x:c>
      <x:c r="K246" s="8" t="n">
        <x:v>46299.476585648146</x:v>
      </x:c>
      <x:c r="L246" s="2" t="str">
        <x:v>Sent</x:v>
      </x:c>
      <x:c r="M246" s="2" t="n">
        <x:v>1</x:v>
      </x:c>
      <x:c r="N246" s="2"/>
      <x:c r="O246" s="2"/>
    </x:row>
    <x:row r="247" ht="21" customHeight="1">
      <x:c r="A247" s="2" t="str">
        <x:v>NT000246</x:v>
      </x:c>
      <x:c r="B247" s="2" t="str">
        <x:v>EV000248</x:v>
      </x:c>
      <x:c r="C247" s="2" t="str">
        <x:v>T20261004-2-2</x:v>
      </x:c>
      <x:c r="D247" s="2" t="str">
        <x:v>ST075</x:v>
      </x:c>
      <x:c r="E247" s="2" t="str">
        <x:v>G075</x:v>
      </x:c>
      <x:c r="F247" s="2" t="str">
        <x:v>guardian075@example.invalid</x:v>
      </x:c>
      <x:c r="G247" s="2" t="str">
        <x:v>Email</x:v>
      </x:c>
      <x:c r="H247" s="2" t="str">
        <x:v>School receipt</x:v>
      </x:c>
      <x:c r="I247" s="8" t="n">
        <x:v>46299.506736111114</x:v>
      </x:c>
      <x:c r="J247" s="8" t="n">
        <x:v>46299.50675925926</x:v>
      </x:c>
      <x:c r="K247" s="8" t="n">
        <x:v>46299.50679398148</x:v>
      </x:c>
      <x:c r="L247" s="2" t="str">
        <x:v>Sent</x:v>
      </x:c>
      <x:c r="M247" s="2" t="n">
        <x:v>1</x:v>
      </x:c>
      <x:c r="N247" s="2"/>
      <x:c r="O247" s="2"/>
    </x:row>
    <x:row r="248" ht="21" customHeight="1">
      <x:c r="A248" s="2" t="str">
        <x:v>NT000247</x:v>
      </x:c>
      <x:c r="B248" s="2" t="str">
        <x:v>EV000249</x:v>
      </x:c>
      <x:c r="C248" s="2" t="str">
        <x:v>T20261004-2-2</x:v>
      </x:c>
      <x:c r="D248" s="2" t="str">
        <x:v>ST076</x:v>
      </x:c>
      <x:c r="E248" s="2" t="str">
        <x:v>G076</x:v>
      </x:c>
      <x:c r="F248" s="2" t="str">
        <x:v>guardian076@example.invalid</x:v>
      </x:c>
      <x:c r="G248" s="2" t="str">
        <x:v>Email</x:v>
      </x:c>
      <x:c r="H248" s="2" t="str">
        <x:v>Boarded</x:v>
      </x:c>
      <x:c r="I248" s="8" t="n">
        <x:v>46299.481423611105</x:v>
      </x:c>
      <x:c r="J248" s="8" t="n">
        <x:v>46299.48144675925</x:v>
      </x:c>
      <x:c r="K248" s="8" t="n">
        <x:v>46299.481481481474</x:v>
      </x:c>
      <x:c r="L248" s="2" t="str">
        <x:v>Sent</x:v>
      </x:c>
      <x:c r="M248" s="2" t="n">
        <x:v>1</x:v>
      </x:c>
      <x:c r="N248" s="2"/>
      <x:c r="O248" s="2"/>
    </x:row>
    <x:row r="249" ht="21" customHeight="1">
      <x:c r="A249" s="2" t="str">
        <x:v>NT000248</x:v>
      </x:c>
      <x:c r="B249" s="2" t="str">
        <x:v>EV000250</x:v>
      </x:c>
      <x:c r="C249" s="2" t="str">
        <x:v>T20261004-2-2</x:v>
      </x:c>
      <x:c r="D249" s="2" t="str">
        <x:v>ST076</x:v>
      </x:c>
      <x:c r="E249" s="2" t="str">
        <x:v>G076</x:v>
      </x:c>
      <x:c r="F249" s="2" t="str">
        <x:v>guardian076@example.invalid</x:v>
      </x:c>
      <x:c r="G249" s="2" t="str">
        <x:v>Email</x:v>
      </x:c>
      <x:c r="H249" s="2" t="str">
        <x:v>School receipt</x:v>
      </x:c>
      <x:c r="I249" s="8" t="n">
        <x:v>46299.50677083334</x:v>
      </x:c>
      <x:c r="J249" s="8" t="n">
        <x:v>46299.50679398148</x:v>
      </x:c>
      <x:c r="K249" s="8" t="n">
        <x:v>46299.50682870371</x:v>
      </x:c>
      <x:c r="L249" s="2" t="str">
        <x:v>Sent</x:v>
      </x:c>
      <x:c r="M249" s="2" t="n">
        <x:v>1</x:v>
      </x:c>
      <x:c r="N249" s="2"/>
      <x:c r="O249" s="2"/>
    </x:row>
    <x:row r="250" ht="21" customHeight="1">
      <x:c r="A250" s="2" t="str">
        <x:v>NT000249</x:v>
      </x:c>
      <x:c r="B250" s="2" t="str">
        <x:v>EV000251</x:v>
      </x:c>
      <x:c r="C250" s="2" t="str">
        <x:v>T20261004-2-2</x:v>
      </x:c>
      <x:c r="D250" s="2" t="str">
        <x:v>ST077</x:v>
      </x:c>
      <x:c r="E250" s="2" t="str">
        <x:v>G077</x:v>
      </x:c>
      <x:c r="F250" s="2" t="str">
        <x:v>guardian077@example.invalid</x:v>
      </x:c>
      <x:c r="G250" s="2" t="str">
        <x:v>Email</x:v>
      </x:c>
      <x:c r="H250" s="2" t="str">
        <x:v>Boarded</x:v>
      </x:c>
      <x:c r="I250" s="8" t="n">
        <x:v>46299.47173611111</x:v>
      </x:c>
      <x:c r="J250" s="8" t="n">
        <x:v>46299.47175925926</x:v>
      </x:c>
      <x:c r="K250" s="8" t="n">
        <x:v>46299.47179398148</x:v>
      </x:c>
      <x:c r="L250" s="2" t="str">
        <x:v>Sent</x:v>
      </x:c>
      <x:c r="M250" s="2" t="n">
        <x:v>1</x:v>
      </x:c>
      <x:c r="N250" s="2"/>
      <x:c r="O250" s="2"/>
    </x:row>
    <x:row r="251" ht="21" customHeight="1">
      <x:c r="A251" s="2" t="str">
        <x:v>NT000250</x:v>
      </x:c>
      <x:c r="B251" s="2" t="str">
        <x:v>EV000252</x:v>
      </x:c>
      <x:c r="C251" s="2" t="str">
        <x:v>T20261004-2-2</x:v>
      </x:c>
      <x:c r="D251" s="2" t="str">
        <x:v>ST077</x:v>
      </x:c>
      <x:c r="E251" s="2" t="str">
        <x:v>G077</x:v>
      </x:c>
      <x:c r="F251" s="2" t="str">
        <x:v>guardian077@example.invalid</x:v>
      </x:c>
      <x:c r="G251" s="2" t="str">
        <x:v>Email</x:v>
      </x:c>
      <x:c r="H251" s="2" t="str">
        <x:v>School receipt</x:v>
      </x:c>
      <x:c r="I251" s="8" t="n">
        <x:v>46299.50680555556</x:v>
      </x:c>
      <x:c r="J251" s="8" t="n">
        <x:v>46299.50682870371</x:v>
      </x:c>
      <x:c r="K251" s="8" t="n">
        <x:v>46299.50686342593</x:v>
      </x:c>
      <x:c r="L251" s="2" t="str">
        <x:v>Sent</x:v>
      </x:c>
      <x:c r="M251" s="2" t="n">
        <x:v>1</x:v>
      </x:c>
      <x:c r="N251" s="2"/>
      <x:c r="O251" s="2"/>
    </x:row>
    <x:row r="252" ht="21" customHeight="1">
      <x:c r="A252" s="2" t="str">
        <x:v>NT000251</x:v>
      </x:c>
      <x:c r="B252" s="2" t="str">
        <x:v>EV000253</x:v>
      </x:c>
      <x:c r="C252" s="2" t="str">
        <x:v>T20261004-2-2</x:v>
      </x:c>
      <x:c r="D252" s="2" t="str">
        <x:v>ST078</x:v>
      </x:c>
      <x:c r="E252" s="2" t="str">
        <x:v>G078</x:v>
      </x:c>
      <x:c r="F252" s="2" t="str">
        <x:v>guardian078@example.invalid</x:v>
      </x:c>
      <x:c r="G252" s="2" t="str">
        <x:v>Email</x:v>
      </x:c>
      <x:c r="H252" s="2" t="str">
        <x:v>Boarded</x:v>
      </x:c>
      <x:c r="I252" s="8" t="n">
        <x:v>46299.47663194444</x:v>
      </x:c>
      <x:c r="J252" s="8" t="n">
        <x:v>46299.476655092585</x:v>
      </x:c>
      <x:c r="K252" s="8" t="n">
        <x:v>46299.47668981481</x:v>
      </x:c>
      <x:c r="L252" s="2" t="str">
        <x:v>Sent</x:v>
      </x:c>
      <x:c r="M252" s="2" t="n">
        <x:v>1</x:v>
      </x:c>
      <x:c r="N252" s="2"/>
      <x:c r="O252" s="2"/>
    </x:row>
    <x:row r="253" ht="21" customHeight="1">
      <x:c r="A253" s="2" t="str">
        <x:v>NT000252</x:v>
      </x:c>
      <x:c r="B253" s="2" t="str">
        <x:v>EV000254</x:v>
      </x:c>
      <x:c r="C253" s="2" t="str">
        <x:v>T20261004-2-2</x:v>
      </x:c>
      <x:c r="D253" s="2" t="str">
        <x:v>ST078</x:v>
      </x:c>
      <x:c r="E253" s="2" t="str">
        <x:v>G078</x:v>
      </x:c>
      <x:c r="F253" s="2" t="str">
        <x:v>guardian078@example.invalid</x:v>
      </x:c>
      <x:c r="G253" s="2" t="str">
        <x:v>Email</x:v>
      </x:c>
      <x:c r="H253" s="2" t="str">
        <x:v>School receipt</x:v>
      </x:c>
      <x:c r="I253" s="8" t="n">
        <x:v>46299.50684027778</x:v>
      </x:c>
      <x:c r="J253" s="8" t="n">
        <x:v>46299.50686342593</x:v>
      </x:c>
      <x:c r="K253" s="8" t="n">
        <x:v>46299.50689814815</x:v>
      </x:c>
      <x:c r="L253" s="2" t="str">
        <x:v>Sent</x:v>
      </x:c>
      <x:c r="M253" s="2" t="n">
        <x:v>1</x:v>
      </x:c>
      <x:c r="N253" s="2"/>
      <x:c r="O253" s="2"/>
    </x:row>
    <x:row r="254" ht="21" customHeight="1">
      <x:c r="A254" s="2" t="str">
        <x:v>NT000253</x:v>
      </x:c>
      <x:c r="B254" s="2" t="str">
        <x:v>EV000255</x:v>
      </x:c>
      <x:c r="C254" s="2" t="str">
        <x:v>T20261004-2-2</x:v>
      </x:c>
      <x:c r="D254" s="2" t="str">
        <x:v>ST079</x:v>
      </x:c>
      <x:c r="E254" s="2" t="str">
        <x:v>G079</x:v>
      </x:c>
      <x:c r="F254" s="2" t="str">
        <x:v>guardian079@example.invalid</x:v>
      </x:c>
      <x:c r="G254" s="2" t="str">
        <x:v>Email</x:v>
      </x:c>
      <x:c r="H254" s="2" t="str">
        <x:v>Boarded</x:v>
      </x:c>
      <x:c r="I254" s="8" t="n">
        <x:v>46299.481527777774</x:v>
      </x:c>
      <x:c r="J254" s="8" t="n">
        <x:v>46299.48155092592</x:v>
      </x:c>
      <x:c r="K254" s="8" t="n">
        <x:v>46299.481585648144</x:v>
      </x:c>
      <x:c r="L254" s="2" t="str">
        <x:v>Sent</x:v>
      </x:c>
      <x:c r="M254" s="2" t="n">
        <x:v>1</x:v>
      </x:c>
      <x:c r="N254" s="2"/>
      <x:c r="O254" s="2"/>
    </x:row>
    <x:row r="255" ht="21" customHeight="1">
      <x:c r="A255" s="2" t="str">
        <x:v>NT000254</x:v>
      </x:c>
      <x:c r="B255" s="2" t="str">
        <x:v>EV000256</x:v>
      </x:c>
      <x:c r="C255" s="2" t="str">
        <x:v>T20261004-2-2</x:v>
      </x:c>
      <x:c r="D255" s="2" t="str">
        <x:v>ST079</x:v>
      </x:c>
      <x:c r="E255" s="2" t="str">
        <x:v>G079</x:v>
      </x:c>
      <x:c r="F255" s="2" t="str">
        <x:v>guardian079@example.invalid</x:v>
      </x:c>
      <x:c r="G255" s="2" t="str">
        <x:v>Email</x:v>
      </x:c>
      <x:c r="H255" s="2" t="str">
        <x:v>School receipt</x:v>
      </x:c>
      <x:c r="I255" s="8" t="n">
        <x:v>46299.50687500001</x:v>
      </x:c>
      <x:c r="J255" s="8" t="n">
        <x:v>46299.50689814815</x:v>
      </x:c>
      <x:c r="K255" s="8" t="n">
        <x:v>46299.506932870376</x:v>
      </x:c>
      <x:c r="L255" s="2" t="str">
        <x:v>Sent</x:v>
      </x:c>
      <x:c r="M255" s="2" t="n">
        <x:v>1</x:v>
      </x:c>
      <x:c r="N255" s="2"/>
      <x:c r="O255" s="2"/>
    </x:row>
    <x:row r="256" ht="21" customHeight="1">
      <x:c r="A256" s="2" t="str">
        <x:v>NT000255</x:v>
      </x:c>
      <x:c r="B256" s="2" t="str">
        <x:v>EV000257</x:v>
      </x:c>
      <x:c r="C256" s="2" t="str">
        <x:v>T20261004-2-2</x:v>
      </x:c>
      <x:c r="D256" s="2" t="str">
        <x:v>ST080</x:v>
      </x:c>
      <x:c r="E256" s="2" t="str">
        <x:v>G080</x:v>
      </x:c>
      <x:c r="F256" s="2" t="str">
        <x:v>guardian080@example.invalid</x:v>
      </x:c>
      <x:c r="G256" s="2" t="str">
        <x:v>Email</x:v>
      </x:c>
      <x:c r="H256" s="2" t="str">
        <x:v>Boarded</x:v>
      </x:c>
      <x:c r="I256" s="8" t="n">
        <x:v>46299.47184027778</x:v>
      </x:c>
      <x:c r="J256" s="8" t="n">
        <x:v>46299.471863425926</x:v>
      </x:c>
      <x:c r="K256" s="8" t="n">
        <x:v>46299.47189814815</x:v>
      </x:c>
      <x:c r="L256" s="2" t="str">
        <x:v>Sent</x:v>
      </x:c>
      <x:c r="M256" s="2" t="n">
        <x:v>1</x:v>
      </x:c>
      <x:c r="N256" s="2"/>
      <x:c r="O256" s="2"/>
    </x:row>
    <x:row r="257" ht="21" customHeight="1">
      <x:c r="A257" s="2" t="str">
        <x:v>NT000256</x:v>
      </x:c>
      <x:c r="B257" s="2" t="str">
        <x:v>EV000258</x:v>
      </x:c>
      <x:c r="C257" s="2" t="str">
        <x:v>T20261004-2-2</x:v>
      </x:c>
      <x:c r="D257" s="2" t="str">
        <x:v>ST080</x:v>
      </x:c>
      <x:c r="E257" s="2" t="str">
        <x:v>G080</x:v>
      </x:c>
      <x:c r="F257" s="2" t="str">
        <x:v>guardian080@example.invalid</x:v>
      </x:c>
      <x:c r="G257" s="2" t="str">
        <x:v>Email</x:v>
      </x:c>
      <x:c r="H257" s="2" t="str">
        <x:v>School receipt</x:v>
      </x:c>
      <x:c r="I257" s="8" t="n">
        <x:v>46299.50690972222</x:v>
      </x:c>
      <x:c r="J257" s="8" t="n">
        <x:v>46299.50693287037</x:v>
      </x:c>
      <x:c r="K257" s="8" t="n">
        <x:v>46299.50696759259</x:v>
      </x:c>
      <x:c r="L257" s="2" t="str">
        <x:v>Sent</x:v>
      </x:c>
      <x:c r="M257" s="2" t="n">
        <x:v>1</x:v>
      </x:c>
      <x:c r="N257" s="2"/>
      <x:c r="O257" s="2"/>
    </x:row>
    <x:row r="258" ht="21" customHeight="1">
      <x:c r="A258" s="2" t="str">
        <x:v>NT000257</x:v>
      </x:c>
      <x:c r="B258" s="2" t="str">
        <x:v>EV000259</x:v>
      </x:c>
      <x:c r="C258" s="2" t="str">
        <x:v>T20261004-3-2</x:v>
      </x:c>
      <x:c r="D258" s="2" t="str">
        <x:v>ST051</x:v>
      </x:c>
      <x:c r="E258" s="2" t="str">
        <x:v>G051</x:v>
      </x:c>
      <x:c r="F258" s="2" t="str">
        <x:v>guardian051@example.invalid</x:v>
      </x:c>
      <x:c r="G258" s="2" t="str">
        <x:v>Email</x:v>
      </x:c>
      <x:c r="H258" s="2" t="str">
        <x:v>Boarded</x:v>
      </x:c>
      <x:c r="I258" s="8" t="n">
        <x:v>46299.57291666667</x:v>
      </x:c>
      <x:c r="J258" s="8" t="n">
        <x:v>46299.57293981482</x:v>
      </x:c>
      <x:c r="K258" s="8" t="n">
        <x:v>46299.57297453704</x:v>
      </x:c>
      <x:c r="L258" s="2" t="str">
        <x:v>Sent</x:v>
      </x:c>
      <x:c r="M258" s="2" t="n">
        <x:v>1</x:v>
      </x:c>
      <x:c r="N258" s="2"/>
      <x:c r="O258" s="2"/>
    </x:row>
    <x:row r="259" ht="21" customHeight="1">
      <x:c r="A259" s="2" t="str">
        <x:v>NT000258</x:v>
      </x:c>
      <x:c r="B259" s="2" t="str">
        <x:v>EV000260</x:v>
      </x:c>
      <x:c r="C259" s="2" t="str">
        <x:v>T20261004-3-2</x:v>
      </x:c>
      <x:c r="D259" s="2" t="str">
        <x:v>ST051</x:v>
      </x:c>
      <x:c r="E259" s="2" t="str">
        <x:v>G051</x:v>
      </x:c>
      <x:c r="F259" s="2" t="str">
        <x:v>guardian051@example.invalid</x:v>
      </x:c>
      <x:c r="G259" s="2" t="str">
        <x:v>Email</x:v>
      </x:c>
      <x:c r="H259" s="2" t="str">
        <x:v>Authorized release</x:v>
      </x:c>
      <x:c r="I259" s="8" t="n">
        <x:v>46299.59027777778</x:v>
      </x:c>
      <x:c r="J259" s="8" t="n">
        <x:v>46299.59030092593</x:v>
      </x:c>
      <x:c r="K259" s="8" t="n">
        <x:v>46299.59033564815</x:v>
      </x:c>
      <x:c r="L259" s="2" t="str">
        <x:v>Sent</x:v>
      </x:c>
      <x:c r="M259" s="2" t="n">
        <x:v>1</x:v>
      </x:c>
      <x:c r="N259" s="2"/>
      <x:c r="O259" s="2"/>
    </x:row>
    <x:row r="260" ht="21" customHeight="1">
      <x:c r="A260" s="2" t="str">
        <x:v>NT000259</x:v>
      </x:c>
      <x:c r="B260" s="2" t="str">
        <x:v>EV000261</x:v>
      </x:c>
      <x:c r="C260" s="2" t="str">
        <x:v>T20261004-3-2</x:v>
      </x:c>
      <x:c r="D260" s="2" t="str">
        <x:v>ST052</x:v>
      </x:c>
      <x:c r="E260" s="2" t="str">
        <x:v>G052</x:v>
      </x:c>
      <x:c r="F260" s="2" t="str">
        <x:v>guardian052@example.invalid</x:v>
      </x:c>
      <x:c r="G260" s="2" t="str">
        <x:v>Email</x:v>
      </x:c>
      <x:c r="H260" s="2" t="str">
        <x:v>Boarded</x:v>
      </x:c>
      <x:c r="I260" s="8" t="n">
        <x:v>46299.572951388895</x:v>
      </x:c>
      <x:c r="J260" s="8" t="n">
        <x:v>46299.57297453704</x:v>
      </x:c>
      <x:c r="K260" s="8" t="n">
        <x:v>46299.573009259264</x:v>
      </x:c>
      <x:c r="L260" s="2" t="str">
        <x:v>Sent</x:v>
      </x:c>
      <x:c r="M260" s="2" t="n">
        <x:v>1</x:v>
      </x:c>
      <x:c r="N260" s="2"/>
      <x:c r="O260" s="2"/>
    </x:row>
    <x:row r="261" ht="21" customHeight="1">
      <x:c r="A261" s="2" t="str">
        <x:v>NT000260</x:v>
      </x:c>
      <x:c r="B261" s="2" t="str">
        <x:v>EV000262</x:v>
      </x:c>
      <x:c r="C261" s="2" t="str">
        <x:v>T20261004-3-2</x:v>
      </x:c>
      <x:c r="D261" s="2" t="str">
        <x:v>ST052</x:v>
      </x:c>
      <x:c r="E261" s="2" t="str">
        <x:v>G052</x:v>
      </x:c>
      <x:c r="F261" s="2" t="str">
        <x:v>guardian052@example.invalid</x:v>
      </x:c>
      <x:c r="G261" s="2" t="str">
        <x:v>Email</x:v>
      </x:c>
      <x:c r="H261" s="2" t="str">
        <x:v>Authorized release</x:v>
      </x:c>
      <x:c r="I261" s="8" t="n">
        <x:v>46299.59447916667</x:v>
      </x:c>
      <x:c r="J261" s="8" t="n">
        <x:v>46299.594502314816</x:v>
      </x:c>
      <x:c r="K261" s="8" t="n">
        <x:v>46299.59453703704</x:v>
      </x:c>
      <x:c r="L261" s="2" t="str">
        <x:v>Sent</x:v>
      </x:c>
      <x:c r="M261" s="2" t="n">
        <x:v>1</x:v>
      </x:c>
      <x:c r="N261" s="2"/>
      <x:c r="O261" s="2"/>
    </x:row>
    <x:row r="262" ht="21" customHeight="1">
      <x:c r="A262" s="2" t="str">
        <x:v>NT000261</x:v>
      </x:c>
      <x:c r="B262" s="2" t="str">
        <x:v>EV000263</x:v>
      </x:c>
      <x:c r="C262" s="2" t="str">
        <x:v>T20261004-3-2</x:v>
      </x:c>
      <x:c r="D262" s="2" t="str">
        <x:v>ST053</x:v>
      </x:c>
      <x:c r="E262" s="2" t="str">
        <x:v>G053</x:v>
      </x:c>
      <x:c r="F262" s="2" t="str">
        <x:v>guardian053@example.invalid</x:v>
      </x:c>
      <x:c r="G262" s="2" t="str">
        <x:v>Email</x:v>
      </x:c>
      <x:c r="H262" s="2" t="str">
        <x:v>Boarded</x:v>
      </x:c>
      <x:c r="I262" s="8" t="n">
        <x:v>46299.57298611112</x:v>
      </x:c>
      <x:c r="J262" s="8" t="n">
        <x:v>46299.573009259264</x:v>
      </x:c>
      <x:c r="K262" s="8" t="n">
        <x:v>46299.57304398149</x:v>
      </x:c>
      <x:c r="L262" s="2" t="str">
        <x:v>Sent</x:v>
      </x:c>
      <x:c r="M262" s="2" t="n">
        <x:v>1</x:v>
      </x:c>
      <x:c r="N262" s="2"/>
      <x:c r="O262" s="2"/>
    </x:row>
    <x:row r="263" ht="21" customHeight="1">
      <x:c r="A263" s="2" t="str">
        <x:v>NT000262</x:v>
      </x:c>
      <x:c r="B263" s="2" t="str">
        <x:v>EV000264</x:v>
      </x:c>
      <x:c r="C263" s="2" t="str">
        <x:v>T20261004-3-2</x:v>
      </x:c>
      <x:c r="D263" s="2" t="str">
        <x:v>ST053</x:v>
      </x:c>
      <x:c r="E263" s="2" t="str">
        <x:v>G053</x:v>
      </x:c>
      <x:c r="F263" s="2" t="str">
        <x:v>guardian053@example.invalid</x:v>
      </x:c>
      <x:c r="G263" s="2" t="str">
        <x:v>Email</x:v>
      </x:c>
      <x:c r="H263" s="2" t="str">
        <x:v>Authorized release</x:v>
      </x:c>
      <x:c r="I263" s="8" t="n">
        <x:v>46299.58618055556</x:v>
      </x:c>
      <x:c r="J263" s="8" t="n">
        <x:v>46299.58620370371</x:v>
      </x:c>
      <x:c r="K263" s="8" t="n">
        <x:v>46299.58623842593</x:v>
      </x:c>
      <x:c r="L263" s="2" t="str">
        <x:v>Sent</x:v>
      </x:c>
      <x:c r="M263" s="2" t="n">
        <x:v>1</x:v>
      </x:c>
      <x:c r="N263" s="2"/>
      <x:c r="O263" s="2"/>
    </x:row>
    <x:row r="264" ht="21" customHeight="1">
      <x:c r="A264" s="2" t="str">
        <x:v>NT000263</x:v>
      </x:c>
      <x:c r="B264" s="2" t="str">
        <x:v>EV000265</x:v>
      </x:c>
      <x:c r="C264" s="2" t="str">
        <x:v>T20261004-3-2</x:v>
      </x:c>
      <x:c r="D264" s="2" t="str">
        <x:v>ST054</x:v>
      </x:c>
      <x:c r="E264" s="2" t="str">
        <x:v>G054</x:v>
      </x:c>
      <x:c r="F264" s="2" t="str">
        <x:v>guardian054@example.invalid</x:v>
      </x:c>
      <x:c r="G264" s="2" t="str">
        <x:v>Email</x:v>
      </x:c>
      <x:c r="H264" s="2" t="str">
        <x:v>Boarded</x:v>
      </x:c>
      <x:c r="I264" s="8" t="n">
        <x:v>46299.57302083334</x:v>
      </x:c>
      <x:c r="J264" s="8" t="n">
        <x:v>46299.57304398149</x:v>
      </x:c>
      <x:c r="K264" s="8" t="n">
        <x:v>46299.57307870371</x:v>
      </x:c>
      <x:c r="L264" s="2" t="str">
        <x:v>Sent</x:v>
      </x:c>
      <x:c r="M264" s="2" t="n">
        <x:v>1</x:v>
      </x:c>
      <x:c r="N264" s="2"/>
      <x:c r="O264" s="2"/>
    </x:row>
    <x:row r="265" ht="21" customHeight="1">
      <x:c r="A265" s="2" t="str">
        <x:v>NT000264</x:v>
      </x:c>
      <x:c r="B265" s="2" t="str">
        <x:v>EV000266</x:v>
      </x:c>
      <x:c r="C265" s="2" t="str">
        <x:v>T20261004-3-2</x:v>
      </x:c>
      <x:c r="D265" s="2" t="str">
        <x:v>ST054</x:v>
      </x:c>
      <x:c r="E265" s="2" t="str">
        <x:v>G054</x:v>
      </x:c>
      <x:c r="F265" s="2" t="str">
        <x:v>guardian054@example.invalid</x:v>
      </x:c>
      <x:c r="G265" s="2" t="str">
        <x:v>Email</x:v>
      </x:c>
      <x:c r="H265" s="2" t="str">
        <x:v>Authorized release</x:v>
      </x:c>
      <x:c r="I265" s="8" t="n">
        <x:v>46299.59038194445</x:v>
      </x:c>
      <x:c r="J265" s="8" t="n">
        <x:v>46299.5904050926</x:v>
      </x:c>
      <x:c r="K265" s="8" t="n">
        <x:v>46299.59043981482</x:v>
      </x:c>
      <x:c r="L265" s="2" t="str">
        <x:v>Sent</x:v>
      </x:c>
      <x:c r="M265" s="2" t="n">
        <x:v>1</x:v>
      </x:c>
      <x:c r="N265" s="2"/>
      <x:c r="O265" s="2"/>
    </x:row>
    <x:row r="266" ht="21" customHeight="1">
      <x:c r="A266" s="2" t="str">
        <x:v>NT000265</x:v>
      </x:c>
      <x:c r="B266" s="2" t="str">
        <x:v>EV000267</x:v>
      </x:c>
      <x:c r="C266" s="2" t="str">
        <x:v>T20261004-3-2</x:v>
      </x:c>
      <x:c r="D266" s="2" t="str">
        <x:v>ST055</x:v>
      </x:c>
      <x:c r="E266" s="2" t="str">
        <x:v>G055</x:v>
      </x:c>
      <x:c r="F266" s="2" t="str">
        <x:v>guardian055@example.invalid</x:v>
      </x:c>
      <x:c r="G266" s="2" t="str">
        <x:v>Email</x:v>
      </x:c>
      <x:c r="H266" s="2" t="str">
        <x:v>Boarded</x:v>
      </x:c>
      <x:c r="I266" s="8" t="n">
        <x:v>46299.573055555564</x:v>
      </x:c>
      <x:c r="J266" s="8" t="n">
        <x:v>46299.57307870371</x:v>
      </x:c>
      <x:c r="K266" s="8" t="n">
        <x:v>46299.57311342593</x:v>
      </x:c>
      <x:c r="L266" s="2" t="str">
        <x:v>Sent</x:v>
      </x:c>
      <x:c r="M266" s="2" t="n">
        <x:v>1</x:v>
      </x:c>
      <x:c r="N266" s="2"/>
      <x:c r="O266" s="2"/>
    </x:row>
    <x:row r="267" ht="21" customHeight="1">
      <x:c r="A267" s="2" t="str">
        <x:v>NT000266</x:v>
      </x:c>
      <x:c r="B267" s="2" t="str">
        <x:v>EV000268</x:v>
      </x:c>
      <x:c r="C267" s="2" t="str">
        <x:v>T20261004-3-2</x:v>
      </x:c>
      <x:c r="D267" s="2" t="str">
        <x:v>ST055</x:v>
      </x:c>
      <x:c r="E267" s="2" t="str">
        <x:v>G055</x:v>
      </x:c>
      <x:c r="F267" s="2" t="str">
        <x:v>guardian055@example.invalid</x:v>
      </x:c>
      <x:c r="G267" s="2" t="str">
        <x:v>Email</x:v>
      </x:c>
      <x:c r="H267" s="2" t="str">
        <x:v>Authorized release</x:v>
      </x:c>
      <x:c r="I267" s="8" t="n">
        <x:v>46299.59458333334</x:v>
      </x:c>
      <x:c r="J267" s="8" t="n">
        <x:v>46299.594606481485</x:v>
      </x:c>
      <x:c r="K267" s="8" t="n">
        <x:v>46299.59464120371</x:v>
      </x:c>
      <x:c r="L267" s="2" t="str">
        <x:v>Sent</x:v>
      </x:c>
      <x:c r="M267" s="2" t="n">
        <x:v>1</x:v>
      </x:c>
      <x:c r="N267" s="2"/>
      <x:c r="O267" s="2"/>
    </x:row>
    <x:row r="268" ht="21" customHeight="1">
      <x:c r="A268" s="2" t="str">
        <x:v>NT000267</x:v>
      </x:c>
      <x:c r="B268" s="2" t="str">
        <x:v>EV000269</x:v>
      </x:c>
      <x:c r="C268" s="2" t="str">
        <x:v>T20261004-3-2</x:v>
      </x:c>
      <x:c r="D268" s="2" t="str">
        <x:v>ST056</x:v>
      </x:c>
      <x:c r="E268" s="2" t="str">
        <x:v>G056</x:v>
      </x:c>
      <x:c r="F268" s="2" t="str">
        <x:v>guardian056@example.invalid</x:v>
      </x:c>
      <x:c r="G268" s="2" t="str">
        <x:v>Email</x:v>
      </x:c>
      <x:c r="H268" s="2" t="str">
        <x:v>Boarded</x:v>
      </x:c>
      <x:c r="I268" s="8" t="n">
        <x:v>46299.57309027778</x:v>
      </x:c>
      <x:c r="J268" s="8" t="n">
        <x:v>46299.573113425926</x:v>
      </x:c>
      <x:c r="K268" s="8" t="n">
        <x:v>46299.57314814815</x:v>
      </x:c>
      <x:c r="L268" s="2" t="str">
        <x:v>Sent</x:v>
      </x:c>
      <x:c r="M268" s="2" t="n">
        <x:v>1</x:v>
      </x:c>
      <x:c r="N268" s="2"/>
      <x:c r="O268" s="2"/>
    </x:row>
    <x:row r="269" ht="21" customHeight="1">
      <x:c r="A269" s="2" t="str">
        <x:v>NT000268</x:v>
      </x:c>
      <x:c r="B269" s="2" t="str">
        <x:v>EV000270</x:v>
      </x:c>
      <x:c r="C269" s="2" t="str">
        <x:v>T20261004-3-2</x:v>
      </x:c>
      <x:c r="D269" s="2" t="str">
        <x:v>ST056</x:v>
      </x:c>
      <x:c r="E269" s="2" t="str">
        <x:v>G056</x:v>
      </x:c>
      <x:c r="F269" s="2" t="str">
        <x:v>guardian056@example.invalid</x:v>
      </x:c>
      <x:c r="G269" s="2" t="str">
        <x:v>Email</x:v>
      </x:c>
      <x:c r="H269" s="2" t="str">
        <x:v>Authorized release</x:v>
      </x:c>
      <x:c r="I269" s="8" t="n">
        <x:v>46299.58628472222</x:v>
      </x:c>
      <x:c r="J269" s="8" t="n">
        <x:v>46299.58630787037</x:v>
      </x:c>
      <x:c r="K269" s="8" t="n">
        <x:v>46299.58634259259</x:v>
      </x:c>
      <x:c r="L269" s="2" t="str">
        <x:v>Sent</x:v>
      </x:c>
      <x:c r="M269" s="2" t="n">
        <x:v>1</x:v>
      </x:c>
      <x:c r="N269" s="2"/>
      <x:c r="O269" s="2"/>
    </x:row>
    <x:row r="270" ht="21" customHeight="1">
      <x:c r="A270" s="2" t="str">
        <x:v>NT000269</x:v>
      </x:c>
      <x:c r="B270" s="2" t="str">
        <x:v>EV000271</x:v>
      </x:c>
      <x:c r="C270" s="2" t="str">
        <x:v>T20261004-3-2</x:v>
      </x:c>
      <x:c r="D270" s="2" t="str">
        <x:v>ST057</x:v>
      </x:c>
      <x:c r="E270" s="2" t="str">
        <x:v>G057</x:v>
      </x:c>
      <x:c r="F270" s="2" t="str">
        <x:v>guardian057@example.invalid</x:v>
      </x:c>
      <x:c r="G270" s="2" t="str">
        <x:v>Email</x:v>
      </x:c>
      <x:c r="H270" s="2" t="str">
        <x:v>Boarded</x:v>
      </x:c>
      <x:c r="I270" s="8" t="n">
        <x:v>46299.573125</x:v>
      </x:c>
      <x:c r="J270" s="8" t="n">
        <x:v>46299.57314814815</x:v>
      </x:c>
      <x:c r="K270" s="8" t="n">
        <x:v>46299.57318287037</x:v>
      </x:c>
      <x:c r="L270" s="2" t="str">
        <x:v>Sent</x:v>
      </x:c>
      <x:c r="M270" s="2" t="n">
        <x:v>1</x:v>
      </x:c>
      <x:c r="N270" s="2"/>
      <x:c r="O270" s="2"/>
    </x:row>
    <x:row r="271" ht="21" customHeight="1">
      <x:c r="A271" s="2" t="str">
        <x:v>NT000270</x:v>
      </x:c>
      <x:c r="B271" s="2" t="str">
        <x:v>EV000272</x:v>
      </x:c>
      <x:c r="C271" s="2" t="str">
        <x:v>T20261004-3-2</x:v>
      </x:c>
      <x:c r="D271" s="2" t="str">
        <x:v>ST057</x:v>
      </x:c>
      <x:c r="E271" s="2" t="str">
        <x:v>G057</x:v>
      </x:c>
      <x:c r="F271" s="2" t="str">
        <x:v>guardian057@example.invalid</x:v>
      </x:c>
      <x:c r="G271" s="2" t="str">
        <x:v>Email</x:v>
      </x:c>
      <x:c r="H271" s="2" t="str">
        <x:v>Authorized release</x:v>
      </x:c>
      <x:c r="I271" s="8" t="n">
        <x:v>46299.59048611111</x:v>
      </x:c>
      <x:c r="J271" s="8" t="n">
        <x:v>46299.59050925926</x:v>
      </x:c>
      <x:c r="K271" s="8" t="n">
        <x:v>46299.59054398148</x:v>
      </x:c>
      <x:c r="L271" s="2" t="str">
        <x:v>Sent</x:v>
      </x:c>
      <x:c r="M271" s="2" t="n">
        <x:v>1</x:v>
      </x:c>
      <x:c r="N271" s="2"/>
      <x:c r="O271" s="2"/>
    </x:row>
    <x:row r="272" ht="21" customHeight="1">
      <x:c r="A272" s="2" t="str">
        <x:v>NT000271</x:v>
      </x:c>
      <x:c r="B272" s="2" t="str">
        <x:v>EV000273</x:v>
      </x:c>
      <x:c r="C272" s="2" t="str">
        <x:v>T20261004-3-2</x:v>
      </x:c>
      <x:c r="D272" s="2" t="str">
        <x:v>ST058</x:v>
      </x:c>
      <x:c r="E272" s="2" t="str">
        <x:v>G058</x:v>
      </x:c>
      <x:c r="F272" s="2" t="str">
        <x:v>guardian058@example.invalid</x:v>
      </x:c>
      <x:c r="G272" s="2" t="str">
        <x:v>Email</x:v>
      </x:c>
      <x:c r="H272" s="2" t="str">
        <x:v>Boarded</x:v>
      </x:c>
      <x:c r="I272" s="8" t="n">
        <x:v>46299.573159722226</x:v>
      </x:c>
      <x:c r="J272" s="8" t="n">
        <x:v>46299.57318287037</x:v>
      </x:c>
      <x:c r="K272" s="8" t="n">
        <x:v>46299.573217592595</x:v>
      </x:c>
      <x:c r="L272" s="2" t="str">
        <x:v>Sent</x:v>
      </x:c>
      <x:c r="M272" s="2" t="n">
        <x:v>1</x:v>
      </x:c>
      <x:c r="N272" s="2"/>
      <x:c r="O272" s="2"/>
    </x:row>
    <x:row r="273" ht="21" customHeight="1">
      <x:c r="A273" s="2" t="str">
        <x:v>NT000272</x:v>
      </x:c>
      <x:c r="B273" s="2" t="str">
        <x:v>EV000274</x:v>
      </x:c>
      <x:c r="C273" s="2" t="str">
        <x:v>T20261004-3-2</x:v>
      </x:c>
      <x:c r="D273" s="2" t="str">
        <x:v>ST058</x:v>
      </x:c>
      <x:c r="E273" s="2" t="str">
        <x:v>G058</x:v>
      </x:c>
      <x:c r="F273" s="2" t="str">
        <x:v>guardian058@example.invalid</x:v>
      </x:c>
      <x:c r="G273" s="2" t="str">
        <x:v>Email</x:v>
      </x:c>
      <x:c r="H273" s="2" t="str">
        <x:v>Authorized release</x:v>
      </x:c>
      <x:c r="I273" s="8" t="n">
        <x:v>46299.5946875</x:v>
      </x:c>
      <x:c r="J273" s="8" t="n">
        <x:v>46299.59471064815</x:v>
      </x:c>
      <x:c r="K273" s="8" t="n">
        <x:v>46299.59474537037</x:v>
      </x:c>
      <x:c r="L273" s="2" t="str">
        <x:v>Sent</x:v>
      </x:c>
      <x:c r="M273" s="2" t="n">
        <x:v>1</x:v>
      </x:c>
      <x:c r="N273" s="2"/>
      <x:c r="O273" s="2"/>
    </x:row>
    <x:row r="274" ht="21" customHeight="1">
      <x:c r="A274" s="2" t="str">
        <x:v>NT000273</x:v>
      </x:c>
      <x:c r="B274" s="2" t="str">
        <x:v>EV000275</x:v>
      </x:c>
      <x:c r="C274" s="2" t="str">
        <x:v>T20261004-3-2</x:v>
      </x:c>
      <x:c r="D274" s="2" t="str">
        <x:v>ST059</x:v>
      </x:c>
      <x:c r="E274" s="2" t="str">
        <x:v>G059</x:v>
      </x:c>
      <x:c r="F274" s="2" t="str">
        <x:v>guardian059@example.invalid</x:v>
      </x:c>
      <x:c r="G274" s="2" t="str">
        <x:v>Email</x:v>
      </x:c>
      <x:c r="H274" s="2" t="str">
        <x:v>Boarded</x:v>
      </x:c>
      <x:c r="I274" s="8" t="n">
        <x:v>46299.57319444445</x:v>
      </x:c>
      <x:c r="J274" s="8" t="n">
        <x:v>46299.573217592595</x:v>
      </x:c>
      <x:c r="K274" s="8" t="n">
        <x:v>46299.57325231482</x:v>
      </x:c>
      <x:c r="L274" s="2" t="str">
        <x:v>Sent</x:v>
      </x:c>
      <x:c r="M274" s="2" t="n">
        <x:v>1</x:v>
      </x:c>
      <x:c r="N274" s="2"/>
      <x:c r="O274" s="2"/>
    </x:row>
    <x:row r="275" ht="21" customHeight="1">
      <x:c r="A275" s="2" t="str">
        <x:v>NT000274</x:v>
      </x:c>
      <x:c r="B275" s="2" t="str">
        <x:v>EV000276</x:v>
      </x:c>
      <x:c r="C275" s="2" t="str">
        <x:v>T20261004-3-2</x:v>
      </x:c>
      <x:c r="D275" s="2" t="str">
        <x:v>ST059</x:v>
      </x:c>
      <x:c r="E275" s="2" t="str">
        <x:v>G059</x:v>
      </x:c>
      <x:c r="F275" s="2" t="str">
        <x:v>guardian059@example.invalid</x:v>
      </x:c>
      <x:c r="G275" s="2" t="str">
        <x:v>Email</x:v>
      </x:c>
      <x:c r="H275" s="2" t="str">
        <x:v>Authorized release</x:v>
      </x:c>
      <x:c r="I275" s="8" t="n">
        <x:v>46299.58638888889</x:v>
      </x:c>
      <x:c r="J275" s="8" t="n">
        <x:v>46299.58641203704</x:v>
      </x:c>
      <x:c r="K275" s="8" t="n">
        <x:v>46299.58644675926</x:v>
      </x:c>
      <x:c r="L275" s="2" t="str">
        <x:v>Sent</x:v>
      </x:c>
      <x:c r="M275" s="2" t="n">
        <x:v>1</x:v>
      </x:c>
      <x:c r="N275" s="2"/>
      <x:c r="O275" s="2"/>
    </x:row>
    <x:row r="276" ht="21" customHeight="1">
      <x:c r="A276" s="2" t="str">
        <x:v>NT000275</x:v>
      </x:c>
      <x:c r="B276" s="2" t="str">
        <x:v>EV000277</x:v>
      </x:c>
      <x:c r="C276" s="2" t="str">
        <x:v>T20261004-3-2</x:v>
      </x:c>
      <x:c r="D276" s="2" t="str">
        <x:v>ST060</x:v>
      </x:c>
      <x:c r="E276" s="2" t="str">
        <x:v>G060</x:v>
      </x:c>
      <x:c r="F276" s="2" t="str">
        <x:v>guardian060@example.invalid</x:v>
      </x:c>
      <x:c r="G276" s="2" t="str">
        <x:v>Email</x:v>
      </x:c>
      <x:c r="H276" s="2" t="str">
        <x:v>Boarded</x:v>
      </x:c>
      <x:c r="I276" s="8" t="n">
        <x:v>46299.57322916667</x:v>
      </x:c>
      <x:c r="J276" s="8" t="n">
        <x:v>46299.57325231482</x:v>
      </x:c>
      <x:c r="K276" s="8" t="n">
        <x:v>46299.57328703704</x:v>
      </x:c>
      <x:c r="L276" s="2" t="str">
        <x:v>Sent</x:v>
      </x:c>
      <x:c r="M276" s="2" t="n">
        <x:v>1</x:v>
      </x:c>
      <x:c r="N276" s="2"/>
      <x:c r="O276" s="2"/>
    </x:row>
    <x:row r="277" ht="21" customHeight="1">
      <x:c r="A277" s="2" t="str">
        <x:v>NT000276</x:v>
      </x:c>
      <x:c r="B277" s="2" t="str">
        <x:v>EV000278</x:v>
      </x:c>
      <x:c r="C277" s="2" t="str">
        <x:v>T20261004-3-2</x:v>
      </x:c>
      <x:c r="D277" s="2" t="str">
        <x:v>ST060</x:v>
      </x:c>
      <x:c r="E277" s="2" t="str">
        <x:v>G060</x:v>
      </x:c>
      <x:c r="F277" s="2" t="str">
        <x:v>guardian060@example.invalid</x:v>
      </x:c>
      <x:c r="G277" s="2" t="str">
        <x:v>Email</x:v>
      </x:c>
      <x:c r="H277" s="2" t="str">
        <x:v>Authorized release</x:v>
      </x:c>
      <x:c r="I277" s="8" t="n">
        <x:v>46299.59059027778</x:v>
      </x:c>
      <x:c r="J277" s="8" t="n">
        <x:v>46299.59061342593</x:v>
      </x:c>
      <x:c r="K277" s="8" t="n">
        <x:v>46299.59064814815</x:v>
      </x:c>
      <x:c r="L277" s="2" t="str">
        <x:v>Sent</x:v>
      </x:c>
      <x:c r="M277" s="2" t="n">
        <x:v>1</x:v>
      </x:c>
      <x:c r="N277" s="2"/>
      <x:c r="O277" s="2"/>
    </x:row>
    <x:row r="278" ht="21" customHeight="1">
      <x:c r="A278" s="2" t="str">
        <x:v>NT000277</x:v>
      </x:c>
      <x:c r="B278" s="2" t="str">
        <x:v>EV000279</x:v>
      </x:c>
      <x:c r="C278" s="2" t="str">
        <x:v>T20261004-4-2</x:v>
      </x:c>
      <x:c r="D278" s="2" t="str">
        <x:v>ST061</x:v>
      </x:c>
      <x:c r="E278" s="2" t="str">
        <x:v>G061</x:v>
      </x:c>
      <x:c r="F278" s="2" t="str">
        <x:v>guardian061@example.invalid</x:v>
      </x:c>
      <x:c r="G278" s="2" t="str">
        <x:v>Email</x:v>
      </x:c>
      <x:c r="H278" s="2" t="str">
        <x:v>Boarded</x:v>
      </x:c>
      <x:c r="I278" s="8" t="n">
        <x:v>46299.60416666667</x:v>
      </x:c>
      <x:c r="J278" s="8" t="n">
        <x:v>46299.60418981482</x:v>
      </x:c>
      <x:c r="K278" s="8" t="n">
        <x:v>46299.60422453704</x:v>
      </x:c>
      <x:c r="L278" s="2" t="str">
        <x:v>Sent</x:v>
      </x:c>
      <x:c r="M278" s="2" t="n">
        <x:v>1</x:v>
      </x:c>
      <x:c r="N278" s="2"/>
      <x:c r="O278" s="2"/>
    </x:row>
    <x:row r="279" ht="21" customHeight="1">
      <x:c r="A279" s="2" t="str">
        <x:v>NT000278</x:v>
      </x:c>
      <x:c r="B279" s="2" t="str">
        <x:v>EV000280</x:v>
      </x:c>
      <x:c r="C279" s="2" t="str">
        <x:v>T20261004-4-2</x:v>
      </x:c>
      <x:c r="D279" s="2" t="str">
        <x:v>ST061</x:v>
      </x:c>
      <x:c r="E279" s="2" t="str">
        <x:v>G061</x:v>
      </x:c>
      <x:c r="F279" s="2" t="str">
        <x:v>guardian061@example.invalid</x:v>
      </x:c>
      <x:c r="G279" s="2" t="str">
        <x:v>Email</x:v>
      </x:c>
      <x:c r="H279" s="2" t="str">
        <x:v>Authorized release</x:v>
      </x:c>
      <x:c r="I279" s="8" t="n">
        <x:v>46299.62708333333</x:v>
      </x:c>
      <x:c r="J279" s="8" t="n">
        <x:v>46299.62710648148</x:v>
      </x:c>
      <x:c r="K279" s="8" t="n">
        <x:v>46299.6271412037</x:v>
      </x:c>
      <x:c r="L279" s="2" t="str">
        <x:v>Sent</x:v>
      </x:c>
      <x:c r="M279" s="2" t="n">
        <x:v>1</x:v>
      </x:c>
      <x:c r="N279" s="2"/>
      <x:c r="O279" s="2"/>
    </x:row>
    <x:row r="280" ht="21" customHeight="1">
      <x:c r="A280" s="2" t="str">
        <x:v>NT000279</x:v>
      </x:c>
      <x:c r="B280" s="2" t="str">
        <x:v>EV000281</x:v>
      </x:c>
      <x:c r="C280" s="2" t="str">
        <x:v>T20261004-4-2</x:v>
      </x:c>
      <x:c r="D280" s="2" t="str">
        <x:v>ST062</x:v>
      </x:c>
      <x:c r="E280" s="2" t="str">
        <x:v>G062</x:v>
      </x:c>
      <x:c r="F280" s="2" t="str">
        <x:v>guardian062@example.invalid</x:v>
      </x:c>
      <x:c r="G280" s="2" t="str">
        <x:v>Email</x:v>
      </x:c>
      <x:c r="H280" s="2" t="str">
        <x:v>Boarded</x:v>
      </x:c>
      <x:c r="I280" s="8" t="n">
        <x:v>46299.604201388895</x:v>
      </x:c>
      <x:c r="J280" s="8" t="n">
        <x:v>46299.60422453704</x:v>
      </x:c>
      <x:c r="K280" s="8" t="n">
        <x:v>46299.604259259264</x:v>
      </x:c>
      <x:c r="L280" s="2" t="str">
        <x:v>Sent</x:v>
      </x:c>
      <x:c r="M280" s="2" t="n">
        <x:v>1</x:v>
      </x:c>
      <x:c r="N280" s="2"/>
      <x:c r="O280" s="2"/>
    </x:row>
    <x:row r="281" ht="21" customHeight="1">
      <x:c r="A281" s="2" t="str">
        <x:v>NT000280</x:v>
      </x:c>
      <x:c r="B281" s="2" t="str">
        <x:v>EV000282</x:v>
      </x:c>
      <x:c r="C281" s="2" t="str">
        <x:v>T20261004-4-2</x:v>
      </x:c>
      <x:c r="D281" s="2" t="str">
        <x:v>ST062</x:v>
      </x:c>
      <x:c r="E281" s="2" t="str">
        <x:v>G062</x:v>
      </x:c>
      <x:c r="F281" s="2" t="str">
        <x:v>guardian062@example.invalid</x:v>
      </x:c>
      <x:c r="G281" s="2" t="str">
        <x:v>Email</x:v>
      </x:c>
      <x:c r="H281" s="2" t="str">
        <x:v>Authorized release</x:v>
      </x:c>
      <x:c r="I281" s="8" t="n">
        <x:v>46299.618784722225</x:v>
      </x:c>
      <x:c r="J281" s="8" t="n">
        <x:v>46299.61880787037</x:v>
      </x:c>
      <x:c r="K281" s="8" t="n">
        <x:v>46299.618842592594</x:v>
      </x:c>
      <x:c r="L281" s="2" t="str">
        <x:v>Sent</x:v>
      </x:c>
      <x:c r="M281" s="2" t="n">
        <x:v>1</x:v>
      </x:c>
      <x:c r="N281" s="2"/>
      <x:c r="O281" s="2"/>
    </x:row>
    <x:row r="282" ht="21" customHeight="1">
      <x:c r="A282" s="2" t="str">
        <x:v>NT000281</x:v>
      </x:c>
      <x:c r="B282" s="2" t="str">
        <x:v>EV000283</x:v>
      </x:c>
      <x:c r="C282" s="2" t="str">
        <x:v>T20261004-4-2</x:v>
      </x:c>
      <x:c r="D282" s="2" t="str">
        <x:v>ST063</x:v>
      </x:c>
      <x:c r="E282" s="2" t="str">
        <x:v>G063</x:v>
      </x:c>
      <x:c r="F282" s="2" t="str">
        <x:v>guardian063@example.invalid</x:v>
      </x:c>
      <x:c r="G282" s="2" t="str">
        <x:v>Email</x:v>
      </x:c>
      <x:c r="H282" s="2" t="str">
        <x:v>Boarded</x:v>
      </x:c>
      <x:c r="I282" s="8" t="n">
        <x:v>46299.60423611112</x:v>
      </x:c>
      <x:c r="J282" s="8" t="n">
        <x:v>46299.604259259264</x:v>
      </x:c>
      <x:c r="K282" s="8" t="n">
        <x:v>46299.60429398149</x:v>
      </x:c>
      <x:c r="L282" s="2" t="str">
        <x:v>Sent</x:v>
      </x:c>
      <x:c r="M282" s="2" t="n">
        <x:v>1</x:v>
      </x:c>
      <x:c r="N282" s="2"/>
      <x:c r="O282" s="2"/>
    </x:row>
    <x:row r="283" ht="21" customHeight="1">
      <x:c r="A283" s="2" t="str">
        <x:v>NT000282</x:v>
      </x:c>
      <x:c r="B283" s="2" t="str">
        <x:v>EV000284</x:v>
      </x:c>
      <x:c r="C283" s="2" t="str">
        <x:v>T20261004-4-2</x:v>
      </x:c>
      <x:c r="D283" s="2" t="str">
        <x:v>ST063</x:v>
      </x:c>
      <x:c r="E283" s="2" t="str">
        <x:v>G063</x:v>
      </x:c>
      <x:c r="F283" s="2" t="str">
        <x:v>guardian063@example.invalid</x:v>
      </x:c>
      <x:c r="G283" s="2" t="str">
        <x:v>Email</x:v>
      </x:c>
      <x:c r="H283" s="2" t="str">
        <x:v>Authorized release</x:v>
      </x:c>
      <x:c r="I283" s="8" t="n">
        <x:v>46299.62298611111</x:v>
      </x:c>
      <x:c r="J283" s="8" t="n">
        <x:v>46299.62300925926</x:v>
      </x:c>
      <x:c r="K283" s="8" t="n">
        <x:v>46299.62304398148</x:v>
      </x:c>
      <x:c r="L283" s="2" t="str">
        <x:v>Sent</x:v>
      </x:c>
      <x:c r="M283" s="2" t="n">
        <x:v>1</x:v>
      </x:c>
      <x:c r="N283" s="2"/>
      <x:c r="O283" s="2"/>
    </x:row>
    <x:row r="284" ht="21" customHeight="1">
      <x:c r="A284" s="2" t="str">
        <x:v>NT000283</x:v>
      </x:c>
      <x:c r="B284" s="2" t="str">
        <x:v>EV000285</x:v>
      </x:c>
      <x:c r="C284" s="2" t="str">
        <x:v>T20261004-4-2</x:v>
      </x:c>
      <x:c r="D284" s="2" t="str">
        <x:v>ST064</x:v>
      </x:c>
      <x:c r="E284" s="2" t="str">
        <x:v>G064</x:v>
      </x:c>
      <x:c r="F284" s="2" t="str">
        <x:v>guardian064@example.invalid</x:v>
      </x:c>
      <x:c r="G284" s="2" t="str">
        <x:v>Email</x:v>
      </x:c>
      <x:c r="H284" s="2" t="str">
        <x:v>Boarded</x:v>
      </x:c>
      <x:c r="I284" s="8" t="n">
        <x:v>46299.60427083334</x:v>
      </x:c>
      <x:c r="J284" s="8" t="n">
        <x:v>46299.60429398149</x:v>
      </x:c>
      <x:c r="K284" s="8" t="n">
        <x:v>46299.60432870371</x:v>
      </x:c>
      <x:c r="L284" s="2" t="str">
        <x:v>Sent</x:v>
      </x:c>
      <x:c r="M284" s="2" t="n">
        <x:v>1</x:v>
      </x:c>
      <x:c r="N284" s="2"/>
      <x:c r="O284" s="2"/>
    </x:row>
    <x:row r="285" ht="21" customHeight="1">
      <x:c r="A285" s="2" t="str">
        <x:v>NT000284</x:v>
      </x:c>
      <x:c r="B285" s="2" t="str">
        <x:v>EV000286</x:v>
      </x:c>
      <x:c r="C285" s="2" t="str">
        <x:v>T20261004-4-2</x:v>
      </x:c>
      <x:c r="D285" s="2" t="str">
        <x:v>ST064</x:v>
      </x:c>
      <x:c r="E285" s="2" t="str">
        <x:v>G064</x:v>
      </x:c>
      <x:c r="F285" s="2" t="str">
        <x:v>guardian064@example.invalid</x:v>
      </x:c>
      <x:c r="G285" s="2" t="str">
        <x:v>Email</x:v>
      </x:c>
      <x:c r="H285" s="2" t="str">
        <x:v>Authorized release</x:v>
      </x:c>
      <x:c r="I285" s="8" t="n">
        <x:v>46299.6271875</x:v>
      </x:c>
      <x:c r="J285" s="8" t="n">
        <x:v>46299.62721064815</x:v>
      </x:c>
      <x:c r="K285" s="8" t="n">
        <x:v>46299.62724537037</x:v>
      </x:c>
      <x:c r="L285" s="2" t="str">
        <x:v>Sent</x:v>
      </x:c>
      <x:c r="M285" s="2" t="n">
        <x:v>1</x:v>
      </x:c>
      <x:c r="N285" s="2"/>
      <x:c r="O285" s="2"/>
    </x:row>
    <x:row r="286" ht="21" customHeight="1">
      <x:c r="A286" s="2" t="str">
        <x:v>NT000285</x:v>
      </x:c>
      <x:c r="B286" s="2" t="str">
        <x:v>EV000287</x:v>
      </x:c>
      <x:c r="C286" s="2" t="str">
        <x:v>T20261004-4-2</x:v>
      </x:c>
      <x:c r="D286" s="2" t="str">
        <x:v>ST065</x:v>
      </x:c>
      <x:c r="E286" s="2" t="str">
        <x:v>G065</x:v>
      </x:c>
      <x:c r="F286" s="2" t="str">
        <x:v>guardian065@example.invalid</x:v>
      </x:c>
      <x:c r="G286" s="2" t="str">
        <x:v>Email</x:v>
      </x:c>
      <x:c r="H286" s="2" t="str">
        <x:v>Boarded</x:v>
      </x:c>
      <x:c r="I286" s="8" t="n">
        <x:v>46299.604305555564</x:v>
      </x:c>
      <x:c r="J286" s="8" t="n">
        <x:v>46299.60432870371</x:v>
      </x:c>
      <x:c r="K286" s="8" t="n">
        <x:v>46299.60436342593</x:v>
      </x:c>
      <x:c r="L286" s="2" t="str">
        <x:v>Sent</x:v>
      </x:c>
      <x:c r="M286" s="2" t="n">
        <x:v>1</x:v>
      </x:c>
      <x:c r="N286" s="2"/>
      <x:c r="O286" s="2"/>
    </x:row>
    <x:row r="287" ht="21" customHeight="1">
      <x:c r="A287" s="2" t="str">
        <x:v>NT000286</x:v>
      </x:c>
      <x:c r="B287" s="2" t="str">
        <x:v>EV000288</x:v>
      </x:c>
      <x:c r="C287" s="2" t="str">
        <x:v>T20261004-4-2</x:v>
      </x:c>
      <x:c r="D287" s="2" t="str">
        <x:v>ST065</x:v>
      </x:c>
      <x:c r="E287" s="2" t="str">
        <x:v>G065</x:v>
      </x:c>
      <x:c r="F287" s="2" t="str">
        <x:v>guardian065@example.invalid</x:v>
      </x:c>
      <x:c r="G287" s="2" t="str">
        <x:v>Email</x:v>
      </x:c>
      <x:c r="H287" s="2" t="str">
        <x:v>Authorized release</x:v>
      </x:c>
      <x:c r="I287" s="8" t="n">
        <x:v>46299.618888888894</x:v>
      </x:c>
      <x:c r="J287" s="8" t="n">
        <x:v>46299.61891203704</x:v>
      </x:c>
      <x:c r="K287" s="8" t="n">
        <x:v>46299.61894675926</x:v>
      </x:c>
      <x:c r="L287" s="2" t="str">
        <x:v>Sent</x:v>
      </x:c>
      <x:c r="M287" s="2" t="n">
        <x:v>1</x:v>
      </x:c>
      <x:c r="N287" s="2"/>
      <x:c r="O287" s="2"/>
    </x:row>
    <x:row r="288" ht="21" customHeight="1">
      <x:c r="A288" s="2" t="str">
        <x:v>NT000287</x:v>
      </x:c>
      <x:c r="B288" s="2" t="str">
        <x:v>EV000289</x:v>
      </x:c>
      <x:c r="C288" s="2" t="str">
        <x:v>T20261004-4-2</x:v>
      </x:c>
      <x:c r="D288" s="2" t="str">
        <x:v>ST066</x:v>
      </x:c>
      <x:c r="E288" s="2" t="str">
        <x:v>G066</x:v>
      </x:c>
      <x:c r="F288" s="2" t="str">
        <x:v>guardian066@example.invalid</x:v>
      </x:c>
      <x:c r="G288" s="2" t="str">
        <x:v>Email</x:v>
      </x:c>
      <x:c r="H288" s="2" t="str">
        <x:v>Boarded</x:v>
      </x:c>
      <x:c r="I288" s="8" t="n">
        <x:v>46299.60434027778</x:v>
      </x:c>
      <x:c r="J288" s="8" t="n">
        <x:v>46299.604363425926</x:v>
      </x:c>
      <x:c r="K288" s="8" t="n">
        <x:v>46299.60439814815</x:v>
      </x:c>
      <x:c r="L288" s="2" t="str">
        <x:v>Sent</x:v>
      </x:c>
      <x:c r="M288" s="2" t="n">
        <x:v>1</x:v>
      </x:c>
      <x:c r="N288" s="2"/>
      <x:c r="O288" s="2"/>
    </x:row>
    <x:row r="289" ht="21" customHeight="1">
      <x:c r="A289" s="2" t="str">
        <x:v>NT000288</x:v>
      </x:c>
      <x:c r="B289" s="2" t="str">
        <x:v>EV000290</x:v>
      </x:c>
      <x:c r="C289" s="2" t="str">
        <x:v>T20261004-4-2</x:v>
      </x:c>
      <x:c r="D289" s="2" t="str">
        <x:v>ST066</x:v>
      </x:c>
      <x:c r="E289" s="2" t="str">
        <x:v>G066</x:v>
      </x:c>
      <x:c r="F289" s="2" t="str">
        <x:v>guardian066@example.invalid</x:v>
      </x:c>
      <x:c r="G289" s="2" t="str">
        <x:v>Email</x:v>
      </x:c>
      <x:c r="H289" s="2" t="str">
        <x:v>Authorized release</x:v>
      </x:c>
      <x:c r="I289" s="8" t="n">
        <x:v>46299.623090277775</x:v>
      </x:c>
      <x:c r="J289" s="8" t="n">
        <x:v>46299.62311342592</x:v>
      </x:c>
      <x:c r="K289" s="8" t="n">
        <x:v>46299.623148148145</x:v>
      </x:c>
      <x:c r="L289" s="2" t="str">
        <x:v>Sent</x:v>
      </x:c>
      <x:c r="M289" s="2" t="n">
        <x:v>1</x:v>
      </x:c>
      <x:c r="N289" s="2"/>
      <x:c r="O289" s="2"/>
    </x:row>
    <x:row r="290" ht="21" customHeight="1">
      <x:c r="A290" s="2" t="str">
        <x:v>NT000289</x:v>
      </x:c>
      <x:c r="B290" s="2" t="str">
        <x:v>EV000291</x:v>
      </x:c>
      <x:c r="C290" s="2" t="str">
        <x:v>T20261004-4-2</x:v>
      </x:c>
      <x:c r="D290" s="2" t="str">
        <x:v>ST067</x:v>
      </x:c>
      <x:c r="E290" s="2" t="str">
        <x:v>G067</x:v>
      </x:c>
      <x:c r="F290" s="2" t="str">
        <x:v>guardian067@example.invalid</x:v>
      </x:c>
      <x:c r="G290" s="2" t="str">
        <x:v>Email</x:v>
      </x:c>
      <x:c r="H290" s="2" t="str">
        <x:v>Boarded</x:v>
      </x:c>
      <x:c r="I290" s="8" t="n">
        <x:v>46299.604375</x:v>
      </x:c>
      <x:c r="J290" s="8" t="n">
        <x:v>46299.60439814815</x:v>
      </x:c>
      <x:c r="K290" s="8" t="n">
        <x:v>46299.60443287037</x:v>
      </x:c>
      <x:c r="L290" s="2" t="str">
        <x:v>Sent</x:v>
      </x:c>
      <x:c r="M290" s="2" t="n">
        <x:v>1</x:v>
      </x:c>
      <x:c r="N290" s="2"/>
      <x:c r="O290" s="2"/>
    </x:row>
    <x:row r="291" ht="21" customHeight="1">
      <x:c r="A291" s="2" t="str">
        <x:v>NT000290</x:v>
      </x:c>
      <x:c r="B291" s="2" t="str">
        <x:v>EV000292</x:v>
      </x:c>
      <x:c r="C291" s="2" t="str">
        <x:v>T20261004-4-2</x:v>
      </x:c>
      <x:c r="D291" s="2" t="str">
        <x:v>ST067</x:v>
      </x:c>
      <x:c r="E291" s="2" t="str">
        <x:v>G067</x:v>
      </x:c>
      <x:c r="F291" s="2" t="str">
        <x:v>guardian067@example.invalid</x:v>
      </x:c>
      <x:c r="G291" s="2" t="str">
        <x:v>Email</x:v>
      </x:c>
      <x:c r="H291" s="2" t="str">
        <x:v>Authorized release</x:v>
      </x:c>
      <x:c r="I291" s="8" t="n">
        <x:v>46299.627291666664</x:v>
      </x:c>
      <x:c r="J291" s="8" t="n">
        <x:v>46299.62731481481</x:v>
      </x:c>
      <x:c r="K291" s="8" t="n">
        <x:v>46299.62734953703</x:v>
      </x:c>
      <x:c r="L291" s="2" t="str">
        <x:v>Sent</x:v>
      </x:c>
      <x:c r="M291" s="2" t="n">
        <x:v>1</x:v>
      </x:c>
      <x:c r="N291" s="2"/>
      <x:c r="O291" s="2"/>
    </x:row>
    <x:row r="292" ht="21" customHeight="1">
      <x:c r="A292" s="2" t="str">
        <x:v>NT000291</x:v>
      </x:c>
      <x:c r="B292" s="2" t="str">
        <x:v>EV000293</x:v>
      </x:c>
      <x:c r="C292" s="2" t="str">
        <x:v>T20261004-4-2</x:v>
      </x:c>
      <x:c r="D292" s="2" t="str">
        <x:v>ST068</x:v>
      </x:c>
      <x:c r="E292" s="2" t="str">
        <x:v>G068</x:v>
      </x:c>
      <x:c r="F292" s="2" t="str">
        <x:v>guardian068@example.invalid</x:v>
      </x:c>
      <x:c r="G292" s="2" t="str">
        <x:v>Email</x:v>
      </x:c>
      <x:c r="H292" s="2" t="str">
        <x:v>Boarded</x:v>
      </x:c>
      <x:c r="I292" s="8" t="n">
        <x:v>46299.604409722226</x:v>
      </x:c>
      <x:c r="J292" s="8" t="n">
        <x:v>46299.60443287037</x:v>
      </x:c>
      <x:c r="K292" s="8" t="n">
        <x:v>46299.604467592595</x:v>
      </x:c>
      <x:c r="L292" s="2" t="str">
        <x:v>Sent</x:v>
      </x:c>
      <x:c r="M292" s="2" t="n">
        <x:v>1</x:v>
      </x:c>
      <x:c r="N292" s="2"/>
      <x:c r="O292" s="2"/>
    </x:row>
    <x:row r="293" ht="21" customHeight="1">
      <x:c r="A293" s="2" t="str">
        <x:v>NT000292</x:v>
      </x:c>
      <x:c r="B293" s="2" t="str">
        <x:v>EV000294</x:v>
      </x:c>
      <x:c r="C293" s="2" t="str">
        <x:v>T20261004-4-2</x:v>
      </x:c>
      <x:c r="D293" s="2" t="str">
        <x:v>ST068</x:v>
      </x:c>
      <x:c r="E293" s="2" t="str">
        <x:v>G068</x:v>
      </x:c>
      <x:c r="F293" s="2" t="str">
        <x:v>guardian068@example.invalid</x:v>
      </x:c>
      <x:c r="G293" s="2" t="str">
        <x:v>Email</x:v>
      </x:c>
      <x:c r="H293" s="2" t="str">
        <x:v>Authorized release</x:v>
      </x:c>
      <x:c r="I293" s="8" t="n">
        <x:v>46299.618993055556</x:v>
      </x:c>
      <x:c r="J293" s="8" t="n">
        <x:v>46299.6190162037</x:v>
      </x:c>
      <x:c r="K293" s="8" t="n">
        <x:v>46299.619050925925</x:v>
      </x:c>
      <x:c r="L293" s="2" t="str">
        <x:v>Sent</x:v>
      </x:c>
      <x:c r="M293" s="2" t="n">
        <x:v>1</x:v>
      </x:c>
      <x:c r="N293" s="2"/>
      <x:c r="O293" s="2"/>
    </x:row>
    <x:row r="294" ht="21" customHeight="1">
      <x:c r="A294" s="2" t="str">
        <x:v>NT000293</x:v>
      </x:c>
      <x:c r="B294" s="2" t="str">
        <x:v>EV000295</x:v>
      </x:c>
      <x:c r="C294" s="2" t="str">
        <x:v>T20261004-4-2</x:v>
      </x:c>
      <x:c r="D294" s="2" t="str">
        <x:v>ST069</x:v>
      </x:c>
      <x:c r="E294" s="2" t="str">
        <x:v>G069</x:v>
      </x:c>
      <x:c r="F294" s="2" t="str">
        <x:v>guardian069@example.invalid</x:v>
      </x:c>
      <x:c r="G294" s="2" t="str">
        <x:v>Email</x:v>
      </x:c>
      <x:c r="H294" s="2" t="str">
        <x:v>Boarded</x:v>
      </x:c>
      <x:c r="I294" s="8" t="n">
        <x:v>46299.60444444445</x:v>
      </x:c>
      <x:c r="J294" s="8" t="n">
        <x:v>46299.604467592595</x:v>
      </x:c>
      <x:c r="K294" s="8" t="n">
        <x:v>46299.60450231482</x:v>
      </x:c>
      <x:c r="L294" s="2" t="str">
        <x:v>Sent</x:v>
      </x:c>
      <x:c r="M294" s="2" t="n">
        <x:v>1</x:v>
      </x:c>
      <x:c r="N294" s="2"/>
      <x:c r="O294" s="2"/>
    </x:row>
    <x:row r="295" ht="21" customHeight="1">
      <x:c r="A295" s="2" t="str">
        <x:v>NT000294</x:v>
      </x:c>
      <x:c r="B295" s="2" t="str">
        <x:v>EV000296</x:v>
      </x:c>
      <x:c r="C295" s="2" t="str">
        <x:v>T20261004-4-2</x:v>
      </x:c>
      <x:c r="D295" s="2" t="str">
        <x:v>ST069</x:v>
      </x:c>
      <x:c r="E295" s="2" t="str">
        <x:v>G069</x:v>
      </x:c>
      <x:c r="F295" s="2" t="str">
        <x:v>guardian069@example.invalid</x:v>
      </x:c>
      <x:c r="G295" s="2" t="str">
        <x:v>Email</x:v>
      </x:c>
      <x:c r="H295" s="2" t="str">
        <x:v>Authorized release</x:v>
      </x:c>
      <x:c r="I295" s="8" t="n">
        <x:v>46299.623194444444</x:v>
      </x:c>
      <x:c r="J295" s="8" t="n">
        <x:v>46299.62321759259</x:v>
      </x:c>
      <x:c r="K295" s="8" t="n">
        <x:v>46299.623252314814</x:v>
      </x:c>
      <x:c r="L295" s="2" t="str">
        <x:v>Sent</x:v>
      </x:c>
      <x:c r="M295" s="2" t="n">
        <x:v>1</x:v>
      </x:c>
      <x:c r="N295" s="2"/>
      <x:c r="O295" s="2"/>
    </x:row>
    <x:row r="296" ht="21" customHeight="1">
      <x:c r="A296" s="2" t="str">
        <x:v>NT000295</x:v>
      </x:c>
      <x:c r="B296" s="2" t="str">
        <x:v>EV000297</x:v>
      </x:c>
      <x:c r="C296" s="2" t="str">
        <x:v>T20261004-4-2</x:v>
      </x:c>
      <x:c r="D296" s="2" t="str">
        <x:v>ST070</x:v>
      </x:c>
      <x:c r="E296" s="2" t="str">
        <x:v>G070</x:v>
      </x:c>
      <x:c r="F296" s="2" t="str">
        <x:v>guardian070@example.invalid</x:v>
      </x:c>
      <x:c r="G296" s="2" t="str">
        <x:v>Email</x:v>
      </x:c>
      <x:c r="H296" s="2" t="str">
        <x:v>Boarded</x:v>
      </x:c>
      <x:c r="I296" s="8" t="n">
        <x:v>46299.60447916667</x:v>
      </x:c>
      <x:c r="J296" s="8" t="n">
        <x:v>46299.60450231482</x:v>
      </x:c>
      <x:c r="K296" s="8" t="n">
        <x:v>46299.60453703704</x:v>
      </x:c>
      <x:c r="L296" s="2" t="str">
        <x:v>Sent</x:v>
      </x:c>
      <x:c r="M296" s="2" t="n">
        <x:v>1</x:v>
      </x:c>
      <x:c r="N296" s="2"/>
      <x:c r="O296" s="2"/>
    </x:row>
    <x:row r="297" ht="21" customHeight="1">
      <x:c r="A297" s="2" t="str">
        <x:v>NT000296</x:v>
      </x:c>
      <x:c r="B297" s="2" t="str">
        <x:v>EV000298</x:v>
      </x:c>
      <x:c r="C297" s="2" t="str">
        <x:v>T20261004-4-2</x:v>
      </x:c>
      <x:c r="D297" s="2" t="str">
        <x:v>ST070</x:v>
      </x:c>
      <x:c r="E297" s="2" t="str">
        <x:v>G070</x:v>
      </x:c>
      <x:c r="F297" s="2" t="str">
        <x:v>guardian070@example.invalid</x:v>
      </x:c>
      <x:c r="G297" s="2" t="str">
        <x:v>Email</x:v>
      </x:c>
      <x:c r="H297" s="2" t="str">
        <x:v>Authorized release</x:v>
      </x:c>
      <x:c r="I297" s="8" t="n">
        <x:v>46299.62739583333</x:v>
      </x:c>
      <x:c r="J297" s="8" t="n">
        <x:v>46299.62741898148</x:v>
      </x:c>
      <x:c r="K297" s="8" t="n">
        <x:v>46299.6274537037</x:v>
      </x:c>
      <x:c r="L297" s="2" t="str">
        <x:v>Sent</x:v>
      </x:c>
      <x:c r="M297" s="2" t="n">
        <x:v>1</x:v>
      </x:c>
      <x:c r="N297" s="2"/>
      <x:c r="O297" s="2"/>
    </x:row>
    <x:row r="298" ht="21" customHeight="1">
      <x:c r="A298" s="2" t="str">
        <x:v>NT000297</x:v>
      </x:c>
      <x:c r="B298" s="2" t="str">
        <x:v>EV000299</x:v>
      </x:c>
      <x:c r="C298" s="2" t="str">
        <x:v>T20261004-5-2</x:v>
      </x:c>
      <x:c r="D298" s="2" t="str">
        <x:v>ST071</x:v>
      </x:c>
      <x:c r="E298" s="2" t="str">
        <x:v>G071</x:v>
      </x:c>
      <x:c r="F298" s="2" t="str">
        <x:v>guardian071@example.invalid</x:v>
      </x:c>
      <x:c r="G298" s="2" t="str">
        <x:v>Email</x:v>
      </x:c>
      <x:c r="H298" s="2" t="str">
        <x:v>Boarded</x:v>
      </x:c>
      <x:c r="I298" s="8" t="n">
        <x:v>46299.70833333333</x:v>
      </x:c>
      <x:c r="J298" s="8" t="n">
        <x:v>46299.708356481475</x:v>
      </x:c>
      <x:c r="K298" s="8" t="n">
        <x:v>46299.7083912037</x:v>
      </x:c>
      <x:c r="L298" s="2" t="str">
        <x:v>Sent</x:v>
      </x:c>
      <x:c r="M298" s="2" t="n">
        <x:v>1</x:v>
      </x:c>
      <x:c r="N298" s="2"/>
      <x:c r="O298" s="2"/>
    </x:row>
    <x:row r="299" ht="21" customHeight="1">
      <x:c r="A299" s="2" t="str">
        <x:v>NT000298</x:v>
      </x:c>
      <x:c r="B299" s="2" t="str">
        <x:v>EV000300</x:v>
      </x:c>
      <x:c r="C299" s="2" t="str">
        <x:v>T20261004-5-2</x:v>
      </x:c>
      <x:c r="D299" s="2" t="str">
        <x:v>ST071</x:v>
      </x:c>
      <x:c r="E299" s="2" t="str">
        <x:v>G071</x:v>
      </x:c>
      <x:c r="F299" s="2" t="str">
        <x:v>guardian071@example.invalid</x:v>
      </x:c>
      <x:c r="G299" s="2" t="str">
        <x:v>Email</x:v>
      </x:c>
      <x:c r="H299" s="2" t="str">
        <x:v>Authorized release</x:v>
      </x:c>
      <x:c r="I299" s="8" t="n">
        <x:v>46299.72361111111</x:v>
      </x:c>
      <x:c r="J299" s="8" t="n">
        <x:v>46299.72363425926</x:v>
      </x:c>
      <x:c r="K299" s="8" t="n">
        <x:v>46299.72366898148</x:v>
      </x:c>
      <x:c r="L299" s="2" t="str">
        <x:v>Sent</x:v>
      </x:c>
      <x:c r="M299" s="2" t="n">
        <x:v>1</x:v>
      </x:c>
      <x:c r="N299" s="2"/>
      <x:c r="O299" s="2"/>
    </x:row>
    <x:row r="300" ht="21" customHeight="1">
      <x:c r="A300" s="2" t="str">
        <x:v>NT000299</x:v>
      </x:c>
      <x:c r="B300" s="2" t="str">
        <x:v>EV000301</x:v>
      </x:c>
      <x:c r="C300" s="2" t="str">
        <x:v>T20261004-5-2</x:v>
      </x:c>
      <x:c r="D300" s="2" t="str">
        <x:v>ST072</x:v>
      </x:c>
      <x:c r="E300" s="2" t="str">
        <x:v>G072</x:v>
      </x:c>
      <x:c r="F300" s="2" t="str">
        <x:v>guardian072@example.invalid</x:v>
      </x:c>
      <x:c r="G300" s="2" t="str">
        <x:v>Email</x:v>
      </x:c>
      <x:c r="H300" s="2" t="str">
        <x:v>Boarded</x:v>
      </x:c>
      <x:c r="I300" s="8" t="n">
        <x:v>46299.70836805555</x:v>
      </x:c>
      <x:c r="J300" s="8" t="n">
        <x:v>46299.7083912037</x:v>
      </x:c>
      <x:c r="K300" s="8" t="n">
        <x:v>46299.70842592592</x:v>
      </x:c>
      <x:c r="L300" s="2" t="str">
        <x:v>Sent</x:v>
      </x:c>
      <x:c r="M300" s="2" t="n">
        <x:v>1</x:v>
      </x:c>
      <x:c r="N300" s="2"/>
      <x:c r="O300" s="2"/>
    </x:row>
    <x:row r="301" ht="21" customHeight="1">
      <x:c r="A301" s="2" t="str">
        <x:v>NT000300</x:v>
      </x:c>
      <x:c r="B301" s="2" t="str">
        <x:v>EV000302</x:v>
      </x:c>
      <x:c r="C301" s="2" t="str">
        <x:v>T20261004-5-2</x:v>
      </x:c>
      <x:c r="D301" s="2" t="str">
        <x:v>ST072</x:v>
      </x:c>
      <x:c r="E301" s="2" t="str">
        <x:v>G072</x:v>
      </x:c>
      <x:c r="F301" s="2" t="str">
        <x:v>guardian072@example.invalid</x:v>
      </x:c>
      <x:c r="G301" s="2" t="str">
        <x:v>Email</x:v>
      </x:c>
      <x:c r="H301" s="2" t="str">
        <x:v>Authorized release</x:v>
      </x:c>
      <x:c r="I301" s="8" t="n">
        <x:v>46299.72850694445</x:v>
      </x:c>
      <x:c r="J301" s="8" t="n">
        <x:v>46299.728530092594</x:v>
      </x:c>
      <x:c r="K301" s="8" t="n">
        <x:v>46299.72856481482</x:v>
      </x:c>
      <x:c r="L301" s="2" t="str">
        <x:v>Sent</x:v>
      </x:c>
      <x:c r="M301" s="2" t="n">
        <x:v>1</x:v>
      </x:c>
      <x:c r="N301" s="2"/>
      <x:c r="O301" s="2"/>
    </x:row>
    <x:row r="302" ht="21" customHeight="1">
      <x:c r="A302" s="2" t="str">
        <x:v>NT000301</x:v>
      </x:c>
      <x:c r="B302" s="2" t="str">
        <x:v>EV000303</x:v>
      </x:c>
      <x:c r="C302" s="2" t="str">
        <x:v>T20261004-5-2</x:v>
      </x:c>
      <x:c r="D302" s="2" t="str">
        <x:v>ST073</x:v>
      </x:c>
      <x:c r="E302" s="2" t="str">
        <x:v>G073</x:v>
      </x:c>
      <x:c r="F302" s="2" t="str">
        <x:v>guardian073@example.invalid</x:v>
      </x:c>
      <x:c r="G302" s="2" t="str">
        <x:v>Email</x:v>
      </x:c>
      <x:c r="H302" s="2" t="str">
        <x:v>Boarded</x:v>
      </x:c>
      <x:c r="I302" s="8" t="n">
        <x:v>46299.708402777775</x:v>
      </x:c>
      <x:c r="J302" s="8" t="n">
        <x:v>46299.70842592592</x:v>
      </x:c>
      <x:c r="K302" s="8" t="n">
        <x:v>46299.708460648144</x:v>
      </x:c>
      <x:c r="L302" s="2" t="str">
        <x:v>Sent</x:v>
      </x:c>
      <x:c r="M302" s="2" t="n">
        <x:v>1</x:v>
      </x:c>
      <x:c r="N302" s="2"/>
      <x:c r="O302" s="2"/>
    </x:row>
    <x:row r="303" ht="21" customHeight="1">
      <x:c r="A303" s="2" t="str">
        <x:v>NT000302</x:v>
      </x:c>
      <x:c r="B303" s="2" t="str">
        <x:v>EV000304</x:v>
      </x:c>
      <x:c r="C303" s="2" t="str">
        <x:v>T20261004-5-2</x:v>
      </x:c>
      <x:c r="D303" s="2" t="str">
        <x:v>ST073</x:v>
      </x:c>
      <x:c r="E303" s="2" t="str">
        <x:v>G073</x:v>
      </x:c>
      <x:c r="F303" s="2" t="str">
        <x:v>guardian073@example.invalid</x:v>
      </x:c>
      <x:c r="G303" s="2" t="str">
        <x:v>Email</x:v>
      </x:c>
      <x:c r="H303" s="2" t="str">
        <x:v>Authorized release</x:v>
      </x:c>
      <x:c r="I303" s="8" t="n">
        <x:v>46299.73340277778</x:v>
      </x:c>
      <x:c r="J303" s="8" t="n">
        <x:v>46299.73342592593</x:v>
      </x:c>
      <x:c r="K303" s="8" t="n">
        <x:v>46299.73346064815</x:v>
      </x:c>
      <x:c r="L303" s="2" t="str">
        <x:v>Sent</x:v>
      </x:c>
      <x:c r="M303" s="2" t="n">
        <x:v>1</x:v>
      </x:c>
      <x:c r="N303" s="2"/>
      <x:c r="O303" s="2"/>
    </x:row>
    <x:row r="304" ht="21" customHeight="1">
      <x:c r="A304" s="2" t="str">
        <x:v>NT000303</x:v>
      </x:c>
      <x:c r="B304" s="2" t="str">
        <x:v>EV000305</x:v>
      </x:c>
      <x:c r="C304" s="2" t="str">
        <x:v>T20261004-5-2</x:v>
      </x:c>
      <x:c r="D304" s="2" t="str">
        <x:v>ST074</x:v>
      </x:c>
      <x:c r="E304" s="2" t="str">
        <x:v>G074</x:v>
      </x:c>
      <x:c r="F304" s="2" t="str">
        <x:v>guardian074@example.invalid</x:v>
      </x:c>
      <x:c r="G304" s="2" t="str">
        <x:v>Email</x:v>
      </x:c>
      <x:c r="H304" s="2" t="str">
        <x:v>Boarded</x:v>
      </x:c>
      <x:c r="I304" s="8" t="n">
        <x:v>46299.7084375</x:v>
      </x:c>
      <x:c r="J304" s="8" t="n">
        <x:v>46299.708460648144</x:v>
      </x:c>
      <x:c r="K304" s="8" t="n">
        <x:v>46299.70849537037</x:v>
      </x:c>
      <x:c r="L304" s="2" t="str">
        <x:v>Sent</x:v>
      </x:c>
      <x:c r="M304" s="2" t="n">
        <x:v>1</x:v>
      </x:c>
      <x:c r="N304" s="2"/>
      <x:c r="O304" s="2"/>
    </x:row>
    <x:row r="305" ht="21" customHeight="1">
      <x:c r="A305" s="2" t="str">
        <x:v>NT000304</x:v>
      </x:c>
      <x:c r="B305" s="2" t="str">
        <x:v>EV000306</x:v>
      </x:c>
      <x:c r="C305" s="2" t="str">
        <x:v>T20261004-5-2</x:v>
      </x:c>
      <x:c r="D305" s="2" t="str">
        <x:v>ST074</x:v>
      </x:c>
      <x:c r="E305" s="2" t="str">
        <x:v>G074</x:v>
      </x:c>
      <x:c r="F305" s="2" t="str">
        <x:v>guardian074@example.invalid</x:v>
      </x:c>
      <x:c r="G305" s="2" t="str">
        <x:v>Email</x:v>
      </x:c>
      <x:c r="H305" s="2" t="str">
        <x:v>Authorized release</x:v>
      </x:c>
      <x:c r="I305" s="8" t="n">
        <x:v>46299.72371527778</x:v>
      </x:c>
      <x:c r="J305" s="8" t="n">
        <x:v>46299.72373842593</x:v>
      </x:c>
      <x:c r="K305" s="8" t="n">
        <x:v>46299.72377314815</x:v>
      </x:c>
      <x:c r="L305" s="2" t="str">
        <x:v>Sent</x:v>
      </x:c>
      <x:c r="M305" s="2" t="n">
        <x:v>1</x:v>
      </x:c>
      <x:c r="N305" s="2"/>
      <x:c r="O305" s="2"/>
    </x:row>
    <x:row r="306" ht="21" customHeight="1">
      <x:c r="A306" s="2" t="str">
        <x:v>NT000305</x:v>
      </x:c>
      <x:c r="B306" s="2" t="str">
        <x:v>EV000307</x:v>
      </x:c>
      <x:c r="C306" s="2" t="str">
        <x:v>T20261004-5-2</x:v>
      </x:c>
      <x:c r="D306" s="2" t="str">
        <x:v>ST075</x:v>
      </x:c>
      <x:c r="E306" s="2" t="str">
        <x:v>G075</x:v>
      </x:c>
      <x:c r="F306" s="2" t="str">
        <x:v>guardian075@example.invalid</x:v>
      </x:c>
      <x:c r="G306" s="2" t="str">
        <x:v>Email</x:v>
      </x:c>
      <x:c r="H306" s="2" t="str">
        <x:v>Boarded</x:v>
      </x:c>
      <x:c r="I306" s="8" t="n">
        <x:v>46299.70847222222</x:v>
      </x:c>
      <x:c r="J306" s="8" t="n">
        <x:v>46299.70849537037</x:v>
      </x:c>
      <x:c r="K306" s="8" t="n">
        <x:v>46299.70853009259</x:v>
      </x:c>
      <x:c r="L306" s="2" t="str">
        <x:v>Sent</x:v>
      </x:c>
      <x:c r="M306" s="2" t="n">
        <x:v>1</x:v>
      </x:c>
      <x:c r="N306" s="2"/>
      <x:c r="O306" s="2"/>
    </x:row>
    <x:row r="307" ht="21" customHeight="1">
      <x:c r="A307" s="2" t="str">
        <x:v>NT000306</x:v>
      </x:c>
      <x:c r="B307" s="2" t="str">
        <x:v>EV000308</x:v>
      </x:c>
      <x:c r="C307" s="2" t="str">
        <x:v>T20261004-5-2</x:v>
      </x:c>
      <x:c r="D307" s="2" t="str">
        <x:v>ST075</x:v>
      </x:c>
      <x:c r="E307" s="2" t="str">
        <x:v>G075</x:v>
      </x:c>
      <x:c r="F307" s="2" t="str">
        <x:v>guardian075@example.invalid</x:v>
      </x:c>
      <x:c r="G307" s="2" t="str">
        <x:v>Email</x:v>
      </x:c>
      <x:c r="H307" s="2" t="str">
        <x:v>Authorized release</x:v>
      </x:c>
      <x:c r="I307" s="8" t="n">
        <x:v>46299.72861111112</x:v>
      </x:c>
      <x:c r="J307" s="8" t="n">
        <x:v>46299.72863425926</x:v>
      </x:c>
      <x:c r="K307" s="8" t="n">
        <x:v>46299.72866898149</x:v>
      </x:c>
      <x:c r="L307" s="2" t="str">
        <x:v>Sent</x:v>
      </x:c>
      <x:c r="M307" s="2" t="n">
        <x:v>1</x:v>
      </x:c>
      <x:c r="N307" s="2"/>
      <x:c r="O307" s="2"/>
    </x:row>
    <x:row r="308" ht="21" customHeight="1">
      <x:c r="A308" s="2" t="str">
        <x:v>NT000307</x:v>
      </x:c>
      <x:c r="B308" s="2" t="str">
        <x:v>EV000309</x:v>
      </x:c>
      <x:c r="C308" s="2" t="str">
        <x:v>T20261004-5-2</x:v>
      </x:c>
      <x:c r="D308" s="2" t="str">
        <x:v>ST076</x:v>
      </x:c>
      <x:c r="E308" s="2" t="str">
        <x:v>G076</x:v>
      </x:c>
      <x:c r="F308" s="2" t="str">
        <x:v>guardian076@example.invalid</x:v>
      </x:c>
      <x:c r="G308" s="2" t="str">
        <x:v>Email</x:v>
      </x:c>
      <x:c r="H308" s="2" t="str">
        <x:v>Boarded</x:v>
      </x:c>
      <x:c r="I308" s="8" t="n">
        <x:v>46299.70850694444</x:v>
      </x:c>
      <x:c r="J308" s="8" t="n">
        <x:v>46299.70853009258</x:v>
      </x:c>
      <x:c r="K308" s="8" t="n">
        <x:v>46299.708564814806</x:v>
      </x:c>
      <x:c r="L308" s="2" t="str">
        <x:v>Sent</x:v>
      </x:c>
      <x:c r="M308" s="2" t="n">
        <x:v>1</x:v>
      </x:c>
      <x:c r="N308" s="2"/>
      <x:c r="O308" s="2"/>
    </x:row>
    <x:row r="309" ht="21" customHeight="1">
      <x:c r="A309" s="2" t="str">
        <x:v>NT000308</x:v>
      </x:c>
      <x:c r="B309" s="2" t="str">
        <x:v>EV000310</x:v>
      </x:c>
      <x:c r="C309" s="2" t="str">
        <x:v>T20261004-5-2</x:v>
      </x:c>
      <x:c r="D309" s="2" t="str">
        <x:v>ST076</x:v>
      </x:c>
      <x:c r="E309" s="2" t="str">
        <x:v>G076</x:v>
      </x:c>
      <x:c r="F309" s="2" t="str">
        <x:v>guardian076@example.invalid</x:v>
      </x:c>
      <x:c r="G309" s="2" t="str">
        <x:v>Email</x:v>
      </x:c>
      <x:c r="H309" s="2" t="str">
        <x:v>Authorized release</x:v>
      </x:c>
      <x:c r="I309" s="8" t="n">
        <x:v>46299.733506944445</x:v>
      </x:c>
      <x:c r="J309" s="8" t="n">
        <x:v>46299.73353009259</x:v>
      </x:c>
      <x:c r="K309" s="8" t="n">
        <x:v>46299.733564814815</x:v>
      </x:c>
      <x:c r="L309" s="2" t="str">
        <x:v>Sent</x:v>
      </x:c>
      <x:c r="M309" s="2" t="n">
        <x:v>1</x:v>
      </x:c>
      <x:c r="N309" s="2"/>
      <x:c r="O309" s="2"/>
    </x:row>
    <x:row r="310" ht="21" customHeight="1">
      <x:c r="A310" s="2" t="str">
        <x:v>NT000309</x:v>
      </x:c>
      <x:c r="B310" s="2" t="str">
        <x:v>EV000311</x:v>
      </x:c>
      <x:c r="C310" s="2" t="str">
        <x:v>T20261004-5-2</x:v>
      </x:c>
      <x:c r="D310" s="2" t="str">
        <x:v>ST077</x:v>
      </x:c>
      <x:c r="E310" s="2" t="str">
        <x:v>G077</x:v>
      </x:c>
      <x:c r="F310" s="2" t="str">
        <x:v>guardian077@example.invalid</x:v>
      </x:c>
      <x:c r="G310" s="2" t="str">
        <x:v>Email</x:v>
      </x:c>
      <x:c r="H310" s="2" t="str">
        <x:v>Boarded</x:v>
      </x:c>
      <x:c r="I310" s="8" t="n">
        <x:v>46299.70854166666</x:v>
      </x:c>
      <x:c r="J310" s="8" t="n">
        <x:v>46299.708564814806</x:v>
      </x:c>
      <x:c r="K310" s="8" t="n">
        <x:v>46299.70859953703</x:v>
      </x:c>
      <x:c r="L310" s="2" t="str">
        <x:v>Sent</x:v>
      </x:c>
      <x:c r="M310" s="2" t="n">
        <x:v>1</x:v>
      </x:c>
      <x:c r="N310" s="2"/>
      <x:c r="O310" s="2"/>
    </x:row>
    <x:row r="311" ht="21" customHeight="1">
      <x:c r="A311" s="2" t="str">
        <x:v>NT000310</x:v>
      </x:c>
      <x:c r="B311" s="2" t="str">
        <x:v>EV000312</x:v>
      </x:c>
      <x:c r="C311" s="2" t="str">
        <x:v>T20261004-5-2</x:v>
      </x:c>
      <x:c r="D311" s="2" t="str">
        <x:v>ST077</x:v>
      </x:c>
      <x:c r="E311" s="2" t="str">
        <x:v>G077</x:v>
      </x:c>
      <x:c r="F311" s="2" t="str">
        <x:v>guardian077@example.invalid</x:v>
      </x:c>
      <x:c r="G311" s="2" t="str">
        <x:v>Email</x:v>
      </x:c>
      <x:c r="H311" s="2" t="str">
        <x:v>Authorized release</x:v>
      </x:c>
      <x:c r="I311" s="8" t="n">
        <x:v>46299.72381944444</x:v>
      </x:c>
      <x:c r="J311" s="8" t="n">
        <x:v>46299.72384259259</x:v>
      </x:c>
      <x:c r="K311" s="8" t="n">
        <x:v>46299.72387731481</x:v>
      </x:c>
      <x:c r="L311" s="2" t="str">
        <x:v>Sent</x:v>
      </x:c>
      <x:c r="M311" s="2" t="n">
        <x:v>1</x:v>
      </x:c>
      <x:c r="N311" s="2"/>
      <x:c r="O311" s="2"/>
    </x:row>
    <x:row r="312" ht="21" customHeight="1">
      <x:c r="A312" s="2" t="str">
        <x:v>NT000311</x:v>
      </x:c>
      <x:c r="B312" s="2" t="str">
        <x:v>EV000313</x:v>
      </x:c>
      <x:c r="C312" s="2" t="str">
        <x:v>T20261004-5-2</x:v>
      </x:c>
      <x:c r="D312" s="2" t="str">
        <x:v>ST078</x:v>
      </x:c>
      <x:c r="E312" s="2" t="str">
        <x:v>G078</x:v>
      </x:c>
      <x:c r="F312" s="2" t="str">
        <x:v>guardian078@example.invalid</x:v>
      </x:c>
      <x:c r="G312" s="2" t="str">
        <x:v>Email</x:v>
      </x:c>
      <x:c r="H312" s="2" t="str">
        <x:v>Boarded</x:v>
      </x:c>
      <x:c r="I312" s="8" t="n">
        <x:v>46299.70857638888</x:v>
      </x:c>
      <x:c r="J312" s="8" t="n">
        <x:v>46299.70859953703</x:v>
      </x:c>
      <x:c r="K312" s="8" t="n">
        <x:v>46299.70863425925</x:v>
      </x:c>
      <x:c r="L312" s="2" t="str">
        <x:v>Sent</x:v>
      </x:c>
      <x:c r="M312" s="2" t="n">
        <x:v>1</x:v>
      </x:c>
      <x:c r="N312" s="2"/>
      <x:c r="O312" s="2"/>
    </x:row>
    <x:row r="313" ht="21" customHeight="1">
      <x:c r="A313" s="2" t="str">
        <x:v>NT000312</x:v>
      </x:c>
      <x:c r="B313" s="2" t="str">
        <x:v>EV000314</x:v>
      </x:c>
      <x:c r="C313" s="2" t="str">
        <x:v>T20261004-5-2</x:v>
      </x:c>
      <x:c r="D313" s="2" t="str">
        <x:v>ST078</x:v>
      </x:c>
      <x:c r="E313" s="2" t="str">
        <x:v>G078</x:v>
      </x:c>
      <x:c r="F313" s="2" t="str">
        <x:v>guardian078@example.invalid</x:v>
      </x:c>
      <x:c r="G313" s="2" t="str">
        <x:v>Email</x:v>
      </x:c>
      <x:c r="H313" s="2" t="str">
        <x:v>Authorized release</x:v>
      </x:c>
      <x:c r="I313" s="8" t="n">
        <x:v>46299.72871527778</x:v>
      </x:c>
      <x:c r="J313" s="8" t="n">
        <x:v>46299.728738425925</x:v>
      </x:c>
      <x:c r="K313" s="8" t="n">
        <x:v>46299.72877314815</x:v>
      </x:c>
      <x:c r="L313" s="2" t="str">
        <x:v>Sent</x:v>
      </x:c>
      <x:c r="M313" s="2" t="n">
        <x:v>1</x:v>
      </x:c>
      <x:c r="N313" s="2"/>
      <x:c r="O313" s="2"/>
    </x:row>
    <x:row r="314" ht="21" customHeight="1">
      <x:c r="A314" s="2" t="str">
        <x:v>NT000313</x:v>
      </x:c>
      <x:c r="B314" s="2" t="str">
        <x:v>EV000315</x:v>
      </x:c>
      <x:c r="C314" s="2" t="str">
        <x:v>T20261004-5-2</x:v>
      </x:c>
      <x:c r="D314" s="2" t="str">
        <x:v>ST079</x:v>
      </x:c>
      <x:c r="E314" s="2" t="str">
        <x:v>G079</x:v>
      </x:c>
      <x:c r="F314" s="2" t="str">
        <x:v>guardian079@example.invalid</x:v>
      </x:c>
      <x:c r="G314" s="2" t="str">
        <x:v>Email</x:v>
      </x:c>
      <x:c r="H314" s="2" t="str">
        <x:v>Boarded</x:v>
      </x:c>
      <x:c r="I314" s="8" t="n">
        <x:v>46299.708611111106</x:v>
      </x:c>
      <x:c r="J314" s="8" t="n">
        <x:v>46299.70863425925</x:v>
      </x:c>
      <x:c r="K314" s="8" t="n">
        <x:v>46299.708668981475</x:v>
      </x:c>
      <x:c r="L314" s="2" t="str">
        <x:v>Sent</x:v>
      </x:c>
      <x:c r="M314" s="2" t="n">
        <x:v>1</x:v>
      </x:c>
      <x:c r="N314" s="2"/>
      <x:c r="O314" s="2"/>
    </x:row>
    <x:row r="315" ht="21" customHeight="1">
      <x:c r="A315" s="2" t="str">
        <x:v>NT000314</x:v>
      </x:c>
      <x:c r="B315" s="2" t="str">
        <x:v>EV000316</x:v>
      </x:c>
      <x:c r="C315" s="2" t="str">
        <x:v>T20261004-5-2</x:v>
      </x:c>
      <x:c r="D315" s="2" t="str">
        <x:v>ST079</x:v>
      </x:c>
      <x:c r="E315" s="2" t="str">
        <x:v>G079</x:v>
      </x:c>
      <x:c r="F315" s="2" t="str">
        <x:v>guardian079@example.invalid</x:v>
      </x:c>
      <x:c r="G315" s="2" t="str">
        <x:v>Email</x:v>
      </x:c>
      <x:c r="H315" s="2" t="str">
        <x:v>Authorized release</x:v>
      </x:c>
      <x:c r="I315" s="8" t="n">
        <x:v>46299.733611111114</x:v>
      </x:c>
      <x:c r="J315" s="8" t="n">
        <x:v>46299.73363425926</x:v>
      </x:c>
      <x:c r="K315" s="8" t="n">
        <x:v>46299.733668981484</x:v>
      </x:c>
      <x:c r="L315" s="2" t="str">
        <x:v>Sent</x:v>
      </x:c>
      <x:c r="M315" s="2" t="n">
        <x:v>1</x:v>
      </x:c>
      <x:c r="N315" s="2"/>
      <x:c r="O315" s="2"/>
    </x:row>
    <x:row r="316" ht="21" customHeight="1">
      <x:c r="A316" s="2" t="str">
        <x:v>NT000315</x:v>
      </x:c>
      <x:c r="B316" s="2" t="str">
        <x:v>EV000317</x:v>
      </x:c>
      <x:c r="C316" s="2" t="str">
        <x:v>T20261004-5-2</x:v>
      </x:c>
      <x:c r="D316" s="2" t="str">
        <x:v>ST080</x:v>
      </x:c>
      <x:c r="E316" s="2" t="str">
        <x:v>G080</x:v>
      </x:c>
      <x:c r="F316" s="2" t="str">
        <x:v>guardian080@example.invalid</x:v>
      </x:c>
      <x:c r="G316" s="2" t="str">
        <x:v>Email</x:v>
      </x:c>
      <x:c r="H316" s="2" t="str">
        <x:v>Boarded</x:v>
      </x:c>
      <x:c r="I316" s="8" t="n">
        <x:v>46299.70864583333</x:v>
      </x:c>
      <x:c r="J316" s="8" t="n">
        <x:v>46299.708668981475</x:v>
      </x:c>
      <x:c r="K316" s="8" t="n">
        <x:v>46299.7087037037</x:v>
      </x:c>
      <x:c r="L316" s="2" t="str">
        <x:v>Sent</x:v>
      </x:c>
      <x:c r="M316" s="2" t="n">
        <x:v>1</x:v>
      </x:c>
      <x:c r="N316" s="2"/>
      <x:c r="O316" s="2"/>
    </x:row>
    <x:row r="317" ht="21" customHeight="1">
      <x:c r="A317" s="2" t="str">
        <x:v>NT000316</x:v>
      </x:c>
      <x:c r="B317" s="2" t="str">
        <x:v>EV000318</x:v>
      </x:c>
      <x:c r="C317" s="2" t="str">
        <x:v>T20261004-5-2</x:v>
      </x:c>
      <x:c r="D317" s="2" t="str">
        <x:v>ST080</x:v>
      </x:c>
      <x:c r="E317" s="2" t="str">
        <x:v>G080</x:v>
      </x:c>
      <x:c r="F317" s="2" t="str">
        <x:v>guardian080@example.invalid</x:v>
      </x:c>
      <x:c r="G317" s="2" t="str">
        <x:v>Email</x:v>
      </x:c>
      <x:c r="H317" s="2" t="str">
        <x:v>Authorized release</x:v>
      </x:c>
      <x:c r="I317" s="8" t="n">
        <x:v>46299.72392361111</x:v>
      </x:c>
      <x:c r="J317" s="8" t="n">
        <x:v>46299.72394675926</x:v>
      </x:c>
      <x:c r="K317" s="8" t="n">
        <x:v>46299.72398148148</x:v>
      </x:c>
      <x:c r="L317" s="2" t="str">
        <x:v>Sent</x:v>
      </x:c>
      <x:c r="M317" s="2" t="n">
        <x:v>1</x:v>
      </x:c>
      <x:c r="N317" s="2"/>
      <x:c r="O317" s="2"/>
    </x:row>
    <x:row r="318" ht="21" customHeight="1">
      <x:c r="A318" s="2" t="str">
        <x:v>NT000317</x:v>
      </x:c>
      <x:c r="B318" s="2" t="str">
        <x:v>EV000319</x:v>
      </x:c>
      <x:c r="C318" s="2" t="str">
        <x:v>T20261004-1-3</x:v>
      </x:c>
      <x:c r="D318" s="2" t="str">
        <x:v>ST081</x:v>
      </x:c>
      <x:c r="E318" s="2" t="str">
        <x:v>G081</x:v>
      </x:c>
      <x:c r="F318" s="2" t="str">
        <x:v>guardian081@example.invalid</x:v>
      </x:c>
      <x:c r="G318" s="2" t="str">
        <x:v>Email</x:v>
      </x:c>
      <x:c r="H318" s="2" t="str">
        <x:v>Boarded</x:v>
      </x:c>
      <x:c r="I318" s="8" t="n">
        <x:v>46299.242361111115</x:v>
      </x:c>
      <x:c r="J318" s="8" t="n">
        <x:v>46299.24238425926</x:v>
      </x:c>
      <x:c r="K318" s="8" t="n">
        <x:v>46299.242418981485</x:v>
      </x:c>
      <x:c r="L318" s="2" t="str">
        <x:v>Sent</x:v>
      </x:c>
      <x:c r="M318" s="2" t="n">
        <x:v>1</x:v>
      </x:c>
      <x:c r="N318" s="2"/>
      <x:c r="O318" s="2"/>
    </x:row>
    <x:row r="319" ht="21" customHeight="1">
      <x:c r="A319" s="2" t="str">
        <x:v>NT000318</x:v>
      </x:c>
      <x:c r="B319" s="2" t="str">
        <x:v>EV000320</x:v>
      </x:c>
      <x:c r="C319" s="2" t="str">
        <x:v>T20261004-1-3</x:v>
      </x:c>
      <x:c r="D319" s="2" t="str">
        <x:v>ST081</x:v>
      </x:c>
      <x:c r="E319" s="2" t="str">
        <x:v>G081</x:v>
      </x:c>
      <x:c r="F319" s="2" t="str">
        <x:v>guardian081@example.invalid</x:v>
      </x:c>
      <x:c r="G319" s="2" t="str">
        <x:v>Email</x:v>
      </x:c>
      <x:c r="H319" s="2" t="str">
        <x:v>School receipt</x:v>
      </x:c>
      <x:c r="I319" s="8" t="n">
        <x:v>46299.27638888889</x:v>
      </x:c>
      <x:c r="J319" s="8" t="n">
        <x:v>46299.276412037034</x:v>
      </x:c>
      <x:c r="K319" s="8" t="n">
        <x:v>46299.27644675926</x:v>
      </x:c>
      <x:c r="L319" s="2" t="str">
        <x:v>Sent</x:v>
      </x:c>
      <x:c r="M319" s="2" t="n">
        <x:v>1</x:v>
      </x:c>
      <x:c r="N319" s="2"/>
      <x:c r="O319" s="2"/>
    </x:row>
    <x:row r="320" ht="21" customHeight="1">
      <x:c r="A320" s="2" t="str">
        <x:v>NT000319</x:v>
      </x:c>
      <x:c r="B320" s="2" t="str">
        <x:v>EV000321</x:v>
      </x:c>
      <x:c r="C320" s="2" t="str">
        <x:v>T20261004-1-3</x:v>
      </x:c>
      <x:c r="D320" s="2" t="str">
        <x:v>ST082</x:v>
      </x:c>
      <x:c r="E320" s="2" t="str">
        <x:v>G082</x:v>
      </x:c>
      <x:c r="F320" s="2" t="str">
        <x:v>guardian082@example.invalid</x:v>
      </x:c>
      <x:c r="G320" s="2" t="str">
        <x:v>Email</x:v>
      </x:c>
      <x:c r="H320" s="2" t="str">
        <x:v>Boarded</x:v>
      </x:c>
      <x:c r="I320" s="8" t="n">
        <x:v>46299.24725694444</x:v>
      </x:c>
      <x:c r="J320" s="8" t="n">
        <x:v>46299.24728009259</x:v>
      </x:c>
      <x:c r="K320" s="8" t="n">
        <x:v>46299.24731481481</x:v>
      </x:c>
      <x:c r="L320" s="2" t="str">
        <x:v>Sent</x:v>
      </x:c>
      <x:c r="M320" s="2" t="n">
        <x:v>1</x:v>
      </x:c>
      <x:c r="N320" s="2"/>
      <x:c r="O320" s="2"/>
    </x:row>
    <x:row r="321" ht="21" customHeight="1">
      <x:c r="A321" s="2" t="str">
        <x:v>NT000320</x:v>
      </x:c>
      <x:c r="B321" s="2" t="str">
        <x:v>EV000322</x:v>
      </x:c>
      <x:c r="C321" s="2" t="str">
        <x:v>T20261004-1-3</x:v>
      </x:c>
      <x:c r="D321" s="2" t="str">
        <x:v>ST082</x:v>
      </x:c>
      <x:c r="E321" s="2" t="str">
        <x:v>G082</x:v>
      </x:c>
      <x:c r="F321" s="2" t="str">
        <x:v>guardian082@example.invalid</x:v>
      </x:c>
      <x:c r="G321" s="2" t="str">
        <x:v>Email</x:v>
      </x:c>
      <x:c r="H321" s="2" t="str">
        <x:v>School receipt</x:v>
      </x:c>
      <x:c r="I321" s="8" t="n">
        <x:v>46299.27642361111</x:v>
      </x:c>
      <x:c r="J321" s="8" t="n">
        <x:v>46299.27644675926</x:v>
      </x:c>
      <x:c r="K321" s="8" t="n">
        <x:v>46299.27648148148</x:v>
      </x:c>
      <x:c r="L321" s="2" t="str">
        <x:v>Sent</x:v>
      </x:c>
      <x:c r="M321" s="2" t="n">
        <x:v>1</x:v>
      </x:c>
      <x:c r="N321" s="2"/>
      <x:c r="O321" s="2"/>
    </x:row>
    <x:row r="322" ht="21" customHeight="1">
      <x:c r="A322" s="2" t="str">
        <x:v>NT000321</x:v>
      </x:c>
      <x:c r="B322" s="2" t="str">
        <x:v>EV000323</x:v>
      </x:c>
      <x:c r="C322" s="2" t="str">
        <x:v>T20261004-1-3</x:v>
      </x:c>
      <x:c r="D322" s="2" t="str">
        <x:v>ST083</x:v>
      </x:c>
      <x:c r="E322" s="2" t="str">
        <x:v>G083</x:v>
      </x:c>
      <x:c r="F322" s="2" t="str">
        <x:v>guardian083@example.invalid</x:v>
      </x:c>
      <x:c r="G322" s="2" t="str">
        <x:v>Email</x:v>
      </x:c>
      <x:c r="H322" s="2" t="str">
        <x:v>Boarded</x:v>
      </x:c>
      <x:c r="I322" s="8" t="n">
        <x:v>46299.25215277778</x:v>
      </x:c>
      <x:c r="J322" s="8" t="n">
        <x:v>46299.252175925925</x:v>
      </x:c>
      <x:c r="K322" s="8" t="n">
        <x:v>46299.25221064815</x:v>
      </x:c>
      <x:c r="L322" s="2" t="str">
        <x:v>Sent</x:v>
      </x:c>
      <x:c r="M322" s="2" t="n">
        <x:v>1</x:v>
      </x:c>
      <x:c r="N322" s="2"/>
      <x:c r="O322" s="2"/>
    </x:row>
    <x:row r="323" ht="21" customHeight="1">
      <x:c r="A323" s="2" t="str">
        <x:v>NT000322</x:v>
      </x:c>
      <x:c r="B323" s="2" t="str">
        <x:v>EV000324</x:v>
      </x:c>
      <x:c r="C323" s="2" t="str">
        <x:v>T20261004-1-3</x:v>
      </x:c>
      <x:c r="D323" s="2" t="str">
        <x:v>ST083</x:v>
      </x:c>
      <x:c r="E323" s="2" t="str">
        <x:v>G083</x:v>
      </x:c>
      <x:c r="F323" s="2" t="str">
        <x:v>guardian083@example.invalid</x:v>
      </x:c>
      <x:c r="G323" s="2" t="str">
        <x:v>Email</x:v>
      </x:c>
      <x:c r="H323" s="2" t="str">
        <x:v>School receipt</x:v>
      </x:c>
      <x:c r="I323" s="8" t="n">
        <x:v>46299.276458333334</x:v>
      </x:c>
      <x:c r="J323" s="8" t="n">
        <x:v>46299.27648148148</x:v>
      </x:c>
      <x:c r="K323" s="8" t="n">
        <x:v>46299.2765162037</x:v>
      </x:c>
      <x:c r="L323" s="2" t="str">
        <x:v>Sent</x:v>
      </x:c>
      <x:c r="M323" s="2" t="n">
        <x:v>1</x:v>
      </x:c>
      <x:c r="N323" s="2"/>
      <x:c r="O323" s="2"/>
    </x:row>
    <x:row r="324" ht="21" customHeight="1">
      <x:c r="A324" s="2" t="str">
        <x:v>NT000323</x:v>
      </x:c>
      <x:c r="B324" s="2" t="str">
        <x:v>EV000325</x:v>
      </x:c>
      <x:c r="C324" s="2" t="str">
        <x:v>T20261004-1-3</x:v>
      </x:c>
      <x:c r="D324" s="2" t="str">
        <x:v>ST084</x:v>
      </x:c>
      <x:c r="E324" s="2" t="str">
        <x:v>G084</x:v>
      </x:c>
      <x:c r="F324" s="2" t="str">
        <x:v>guardian084@example.invalid</x:v>
      </x:c>
      <x:c r="G324" s="2" t="str">
        <x:v>Email</x:v>
      </x:c>
      <x:c r="H324" s="2" t="str">
        <x:v>Boarded</x:v>
      </x:c>
      <x:c r="I324" s="8" t="n">
        <x:v>46299.242465277785</x:v>
      </x:c>
      <x:c r="J324" s="8" t="n">
        <x:v>46299.24248842593</x:v>
      </x:c>
      <x:c r="K324" s="8" t="n">
        <x:v>46299.242523148154</x:v>
      </x:c>
      <x:c r="L324" s="2" t="str">
        <x:v>Sent</x:v>
      </x:c>
      <x:c r="M324" s="2" t="n">
        <x:v>1</x:v>
      </x:c>
      <x:c r="N324" s="2"/>
      <x:c r="O324" s="2"/>
    </x:row>
    <x:row r="325" ht="21" customHeight="1">
      <x:c r="A325" s="2" t="str">
        <x:v>NT000324</x:v>
      </x:c>
      <x:c r="B325" s="2" t="str">
        <x:v>EV000326</x:v>
      </x:c>
      <x:c r="C325" s="2" t="str">
        <x:v>T20261004-1-3</x:v>
      </x:c>
      <x:c r="D325" s="2" t="str">
        <x:v>ST084</x:v>
      </x:c>
      <x:c r="E325" s="2" t="str">
        <x:v>G084</x:v>
      </x:c>
      <x:c r="F325" s="2" t="str">
        <x:v>guardian084@example.invalid</x:v>
      </x:c>
      <x:c r="G325" s="2" t="str">
        <x:v>Email</x:v>
      </x:c>
      <x:c r="H325" s="2" t="str">
        <x:v>School receipt</x:v>
      </x:c>
      <x:c r="I325" s="8" t="n">
        <x:v>46299.27649305556</x:v>
      </x:c>
      <x:c r="J325" s="8" t="n">
        <x:v>46299.2765162037</x:v>
      </x:c>
      <x:c r="K325" s="8" t="n">
        <x:v>46299.276550925926</x:v>
      </x:c>
      <x:c r="L325" s="2" t="str">
        <x:v>Sent</x:v>
      </x:c>
      <x:c r="M325" s="2" t="n">
        <x:v>1</x:v>
      </x:c>
      <x:c r="N325" s="2"/>
      <x:c r="O325" s="2"/>
    </x:row>
    <x:row r="326" ht="21" customHeight="1">
      <x:c r="A326" s="2" t="str">
        <x:v>NT000325</x:v>
      </x:c>
      <x:c r="B326" s="2" t="str">
        <x:v>EV000327</x:v>
      </x:c>
      <x:c r="C326" s="2" t="str">
        <x:v>T20261004-1-3</x:v>
      </x:c>
      <x:c r="D326" s="2" t="str">
        <x:v>ST085</x:v>
      </x:c>
      <x:c r="E326" s="2" t="str">
        <x:v>G085</x:v>
      </x:c>
      <x:c r="F326" s="2" t="str">
        <x:v>guardian085@example.invalid</x:v>
      </x:c>
      <x:c r="G326" s="2" t="str">
        <x:v>Email</x:v>
      </x:c>
      <x:c r="H326" s="2" t="str">
        <x:v>Boarded</x:v>
      </x:c>
      <x:c r="I326" s="8" t="n">
        <x:v>46299.24736111111</x:v>
      </x:c>
      <x:c r="J326" s="8" t="n">
        <x:v>46299.24738425926</x:v>
      </x:c>
      <x:c r="K326" s="8" t="n">
        <x:v>46299.24741898148</x:v>
      </x:c>
      <x:c r="L326" s="2" t="str">
        <x:v>Sent</x:v>
      </x:c>
      <x:c r="M326" s="2" t="n">
        <x:v>1</x:v>
      </x:c>
      <x:c r="N326" s="2"/>
      <x:c r="O326" s="2"/>
    </x:row>
    <x:row r="327" ht="21" customHeight="1">
      <x:c r="A327" s="2" t="str">
        <x:v>NT000326</x:v>
      </x:c>
      <x:c r="B327" s="2" t="str">
        <x:v>EV000328</x:v>
      </x:c>
      <x:c r="C327" s="2" t="str">
        <x:v>T20261004-1-3</x:v>
      </x:c>
      <x:c r="D327" s="2" t="str">
        <x:v>ST085</x:v>
      </x:c>
      <x:c r="E327" s="2" t="str">
        <x:v>G085</x:v>
      </x:c>
      <x:c r="F327" s="2" t="str">
        <x:v>guardian085@example.invalid</x:v>
      </x:c>
      <x:c r="G327" s="2" t="str">
        <x:v>Email</x:v>
      </x:c>
      <x:c r="H327" s="2" t="str">
        <x:v>School receipt</x:v>
      </x:c>
      <x:c r="I327" s="8" t="n">
        <x:v>46299.27652777778</x:v>
      </x:c>
      <x:c r="J327" s="8" t="n">
        <x:v>46299.276550925926</x:v>
      </x:c>
      <x:c r="K327" s="8" t="n">
        <x:v>46299.27658564815</x:v>
      </x:c>
      <x:c r="L327" s="2" t="str">
        <x:v>Sent</x:v>
      </x:c>
      <x:c r="M327" s="2" t="n">
        <x:v>1</x:v>
      </x:c>
      <x:c r="N327" s="2"/>
      <x:c r="O327" s="2"/>
    </x:row>
    <x:row r="328" ht="21" customHeight="1">
      <x:c r="A328" s="2" t="str">
        <x:v>NT000327</x:v>
      </x:c>
      <x:c r="B328" s="2" t="str">
        <x:v>EV000329</x:v>
      </x:c>
      <x:c r="C328" s="2" t="str">
        <x:v>T20261004-1-3</x:v>
      </x:c>
      <x:c r="D328" s="2" t="str">
        <x:v>ST086</x:v>
      </x:c>
      <x:c r="E328" s="2" t="str">
        <x:v>G086</x:v>
      </x:c>
      <x:c r="F328" s="2" t="str">
        <x:v>guardian086@example.invalid</x:v>
      </x:c>
      <x:c r="G328" s="2" t="str">
        <x:v>Email</x:v>
      </x:c>
      <x:c r="H328" s="2" t="str">
        <x:v>Boarded</x:v>
      </x:c>
      <x:c r="I328" s="8" t="n">
        <x:v>46299.25225694444</x:v>
      </x:c>
      <x:c r="J328" s="8" t="n">
        <x:v>46299.25228009259</x:v>
      </x:c>
      <x:c r="K328" s="8" t="n">
        <x:v>46299.25231481481</x:v>
      </x:c>
      <x:c r="L328" s="2" t="str">
        <x:v>Sent</x:v>
      </x:c>
      <x:c r="M328" s="2" t="n">
        <x:v>1</x:v>
      </x:c>
      <x:c r="N328" s="2"/>
      <x:c r="O328" s="2"/>
    </x:row>
    <x:row r="329" ht="21" customHeight="1">
      <x:c r="A329" s="2" t="str">
        <x:v>NT000328</x:v>
      </x:c>
      <x:c r="B329" s="2" t="str">
        <x:v>EV000330</x:v>
      </x:c>
      <x:c r="C329" s="2" t="str">
        <x:v>T20261004-1-3</x:v>
      </x:c>
      <x:c r="D329" s="2" t="str">
        <x:v>ST086</x:v>
      </x:c>
      <x:c r="E329" s="2" t="str">
        <x:v>G086</x:v>
      </x:c>
      <x:c r="F329" s="2" t="str">
        <x:v>guardian086@example.invalid</x:v>
      </x:c>
      <x:c r="G329" s="2" t="str">
        <x:v>Email</x:v>
      </x:c>
      <x:c r="H329" s="2" t="str">
        <x:v>School receipt</x:v>
      </x:c>
      <x:c r="I329" s="8" t="n">
        <x:v>46299.276562499996</x:v>
      </x:c>
      <x:c r="J329" s="8" t="n">
        <x:v>46299.27658564814</x:v>
      </x:c>
      <x:c r="K329" s="8" t="n">
        <x:v>46299.276620370365</x:v>
      </x:c>
      <x:c r="L329" s="2" t="str">
        <x:v>Sent</x:v>
      </x:c>
      <x:c r="M329" s="2" t="n">
        <x:v>1</x:v>
      </x:c>
      <x:c r="N329" s="2"/>
      <x:c r="O329" s="2"/>
    </x:row>
    <x:row r="330" ht="21" customHeight="1">
      <x:c r="A330" s="2" t="str">
        <x:v>NT000329</x:v>
      </x:c>
      <x:c r="B330" s="2" t="str">
        <x:v>EV000331</x:v>
      </x:c>
      <x:c r="C330" s="2" t="str">
        <x:v>T20261004-1-3</x:v>
      </x:c>
      <x:c r="D330" s="2" t="str">
        <x:v>ST087</x:v>
      </x:c>
      <x:c r="E330" s="2" t="str">
        <x:v>G087</x:v>
      </x:c>
      <x:c r="F330" s="2" t="str">
        <x:v>guardian087@example.invalid</x:v>
      </x:c>
      <x:c r="G330" s="2" t="str">
        <x:v>Email</x:v>
      </x:c>
      <x:c r="H330" s="2" t="str">
        <x:v>Boarded</x:v>
      </x:c>
      <x:c r="I330" s="8" t="n">
        <x:v>46299.24256944445</x:v>
      </x:c>
      <x:c r="J330" s="8" t="n">
        <x:v>46299.24259259259</x:v>
      </x:c>
      <x:c r="K330" s="8" t="n">
        <x:v>46299.242627314816</x:v>
      </x:c>
      <x:c r="L330" s="2" t="str">
        <x:v>Sent</x:v>
      </x:c>
      <x:c r="M330" s="2" t="n">
        <x:v>1</x:v>
      </x:c>
      <x:c r="N330" s="2"/>
      <x:c r="O330" s="2"/>
    </x:row>
    <x:row r="331" ht="21" customHeight="1">
      <x:c r="A331" s="2" t="str">
        <x:v>NT000330</x:v>
      </x:c>
      <x:c r="B331" s="2" t="str">
        <x:v>EV000332</x:v>
      </x:c>
      <x:c r="C331" s="2" t="str">
        <x:v>T20261004-1-3</x:v>
      </x:c>
      <x:c r="D331" s="2" t="str">
        <x:v>ST087</x:v>
      </x:c>
      <x:c r="E331" s="2" t="str">
        <x:v>G087</x:v>
      </x:c>
      <x:c r="F331" s="2" t="str">
        <x:v>guardian087@example.invalid</x:v>
      </x:c>
      <x:c r="G331" s="2" t="str">
        <x:v>Email</x:v>
      </x:c>
      <x:c r="H331" s="2" t="str">
        <x:v>School receipt</x:v>
      </x:c>
      <x:c r="I331" s="8" t="n">
        <x:v>46299.27659722222</x:v>
      </x:c>
      <x:c r="J331" s="8" t="n">
        <x:v>46299.276620370365</x:v>
      </x:c>
      <x:c r="K331" s="8" t="n">
        <x:v>46299.27665509259</x:v>
      </x:c>
      <x:c r="L331" s="2" t="str">
        <x:v>Sent</x:v>
      </x:c>
      <x:c r="M331" s="2" t="n">
        <x:v>1</x:v>
      </x:c>
      <x:c r="N331" s="2"/>
      <x:c r="O331" s="2"/>
    </x:row>
    <x:row r="332" ht="21" customHeight="1">
      <x:c r="A332" s="2" t="str">
        <x:v>NT000331</x:v>
      </x:c>
      <x:c r="B332" s="2" t="str">
        <x:v>EV000333</x:v>
      </x:c>
      <x:c r="C332" s="2" t="str">
        <x:v>T20261004-1-3</x:v>
      </x:c>
      <x:c r="D332" s="2" t="str">
        <x:v>ST088</x:v>
      </x:c>
      <x:c r="E332" s="2" t="str">
        <x:v>G088</x:v>
      </x:c>
      <x:c r="F332" s="2" t="str">
        <x:v>guardian088@example.invalid</x:v>
      </x:c>
      <x:c r="G332" s="2" t="str">
        <x:v>Email</x:v>
      </x:c>
      <x:c r="H332" s="2" t="str">
        <x:v>Boarded</x:v>
      </x:c>
      <x:c r="I332" s="8" t="n">
        <x:v>46299.247465277775</x:v>
      </x:c>
      <x:c r="J332" s="8" t="n">
        <x:v>46299.24748842592</x:v>
      </x:c>
      <x:c r="K332" s="8" t="n">
        <x:v>46299.247523148144</x:v>
      </x:c>
      <x:c r="L332" s="2" t="str">
        <x:v>Sent</x:v>
      </x:c>
      <x:c r="M332" s="2" t="n">
        <x:v>1</x:v>
      </x:c>
      <x:c r="N332" s="2"/>
      <x:c r="O332" s="2"/>
    </x:row>
    <x:row r="333" ht="21" customHeight="1">
      <x:c r="A333" s="2" t="str">
        <x:v>NT000332</x:v>
      </x:c>
      <x:c r="B333" s="2" t="str">
        <x:v>EV000334</x:v>
      </x:c>
      <x:c r="C333" s="2" t="str">
        <x:v>T20261004-1-3</x:v>
      </x:c>
      <x:c r="D333" s="2" t="str">
        <x:v>ST088</x:v>
      </x:c>
      <x:c r="E333" s="2" t="str">
        <x:v>G088</x:v>
      </x:c>
      <x:c r="F333" s="2" t="str">
        <x:v>guardian088@example.invalid</x:v>
      </x:c>
      <x:c r="G333" s="2" t="str">
        <x:v>Email</x:v>
      </x:c>
      <x:c r="H333" s="2" t="str">
        <x:v>School receipt</x:v>
      </x:c>
      <x:c r="I333" s="8" t="n">
        <x:v>46299.27663194444</x:v>
      </x:c>
      <x:c r="J333" s="8" t="n">
        <x:v>46299.27665509259</x:v>
      </x:c>
      <x:c r="K333" s="8" t="n">
        <x:v>46299.27668981481</x:v>
      </x:c>
      <x:c r="L333" s="2" t="str">
        <x:v>Sent</x:v>
      </x:c>
      <x:c r="M333" s="2" t="n">
        <x:v>1</x:v>
      </x:c>
      <x:c r="N333" s="2"/>
      <x:c r="O333" s="2"/>
    </x:row>
    <x:row r="334" ht="21" customHeight="1">
      <x:c r="A334" s="2" t="str">
        <x:v>NT000333</x:v>
      </x:c>
      <x:c r="B334" s="2" t="str">
        <x:v>EV000335</x:v>
      </x:c>
      <x:c r="C334" s="2" t="str">
        <x:v>T20261004-1-3</x:v>
      </x:c>
      <x:c r="D334" s="2" t="str">
        <x:v>ST089</x:v>
      </x:c>
      <x:c r="E334" s="2" t="str">
        <x:v>G089</x:v>
      </x:c>
      <x:c r="F334" s="2" t="str">
        <x:v>guardian089@example.invalid</x:v>
      </x:c>
      <x:c r="G334" s="2" t="str">
        <x:v>Email</x:v>
      </x:c>
      <x:c r="H334" s="2" t="str">
        <x:v>Boarded</x:v>
      </x:c>
      <x:c r="I334" s="8" t="n">
        <x:v>46299.25236111111</x:v>
      </x:c>
      <x:c r="J334" s="8" t="n">
        <x:v>46299.252384259256</x:v>
      </x:c>
      <x:c r="K334" s="8" t="n">
        <x:v>46299.25241898148</x:v>
      </x:c>
      <x:c r="L334" s="2" t="str">
        <x:v>Sent</x:v>
      </x:c>
      <x:c r="M334" s="2" t="n">
        <x:v>1</x:v>
      </x:c>
      <x:c r="N334" s="2"/>
      <x:c r="O334" s="2"/>
    </x:row>
    <x:row r="335" ht="21" customHeight="1">
      <x:c r="A335" s="2" t="str">
        <x:v>NT000334</x:v>
      </x:c>
      <x:c r="B335" s="2" t="str">
        <x:v>EV000336</x:v>
      </x:c>
      <x:c r="C335" s="2" t="str">
        <x:v>T20261004-1-3</x:v>
      </x:c>
      <x:c r="D335" s="2" t="str">
        <x:v>ST089</x:v>
      </x:c>
      <x:c r="E335" s="2" t="str">
        <x:v>G089</x:v>
      </x:c>
      <x:c r="F335" s="2" t="str">
        <x:v>guardian089@example.invalid</x:v>
      </x:c>
      <x:c r="G335" s="2" t="str">
        <x:v>Email</x:v>
      </x:c>
      <x:c r="H335" s="2" t="str">
        <x:v>School receipt</x:v>
      </x:c>
      <x:c r="I335" s="8" t="n">
        <x:v>46299.276666666665</x:v>
      </x:c>
      <x:c r="J335" s="8" t="n">
        <x:v>46299.27668981481</x:v>
      </x:c>
      <x:c r="K335" s="8" t="n">
        <x:v>46299.276724537034</x:v>
      </x:c>
      <x:c r="L335" s="2" t="str">
        <x:v>Sent</x:v>
      </x:c>
      <x:c r="M335" s="2" t="n">
        <x:v>1</x:v>
      </x:c>
      <x:c r="N335" s="2"/>
      <x:c r="O335" s="2"/>
    </x:row>
    <x:row r="336" ht="21" customHeight="1">
      <x:c r="A336" s="2" t="str">
        <x:v>NT000335</x:v>
      </x:c>
      <x:c r="B336" s="2" t="str">
        <x:v>EV000337</x:v>
      </x:c>
      <x:c r="C336" s="2" t="str">
        <x:v>T20261004-1-3</x:v>
      </x:c>
      <x:c r="D336" s="2" t="str">
        <x:v>ST090</x:v>
      </x:c>
      <x:c r="E336" s="2" t="str">
        <x:v>G090</x:v>
      </x:c>
      <x:c r="F336" s="2" t="str">
        <x:v>guardian090@example.invalid</x:v>
      </x:c>
      <x:c r="G336" s="2" t="str">
        <x:v>Email</x:v>
      </x:c>
      <x:c r="H336" s="2" t="str">
        <x:v>Boarded</x:v>
      </x:c>
      <x:c r="I336" s="8" t="n">
        <x:v>46299.242673611116</x:v>
      </x:c>
      <x:c r="J336" s="8" t="n">
        <x:v>46299.24269675926</x:v>
      </x:c>
      <x:c r="K336" s="8" t="n">
        <x:v>46299.242731481485</x:v>
      </x:c>
      <x:c r="L336" s="2" t="str">
        <x:v>Sent</x:v>
      </x:c>
      <x:c r="M336" s="2" t="n">
        <x:v>1</x:v>
      </x:c>
      <x:c r="N336" s="2"/>
      <x:c r="O336" s="2"/>
    </x:row>
    <x:row r="337" ht="21" customHeight="1">
      <x:c r="A337" s="2" t="str">
        <x:v>NT000336</x:v>
      </x:c>
      <x:c r="B337" s="2" t="str">
        <x:v>EV000338</x:v>
      </x:c>
      <x:c r="C337" s="2" t="str">
        <x:v>T20261004-1-3</x:v>
      </x:c>
      <x:c r="D337" s="2" t="str">
        <x:v>ST090</x:v>
      </x:c>
      <x:c r="E337" s="2" t="str">
        <x:v>G090</x:v>
      </x:c>
      <x:c r="F337" s="2" t="str">
        <x:v>guardian090@example.invalid</x:v>
      </x:c>
      <x:c r="G337" s="2" t="str">
        <x:v>Email</x:v>
      </x:c>
      <x:c r="H337" s="2" t="str">
        <x:v>School receipt</x:v>
      </x:c>
      <x:c r="I337" s="8" t="n">
        <x:v>46299.27670138889</x:v>
      </x:c>
      <x:c r="J337" s="8" t="n">
        <x:v>46299.276724537034</x:v>
      </x:c>
      <x:c r="K337" s="8" t="n">
        <x:v>46299.27675925926</x:v>
      </x:c>
      <x:c r="L337" s="2" t="str">
        <x:v>Sent</x:v>
      </x:c>
      <x:c r="M337" s="2" t="n">
        <x:v>1</x:v>
      </x:c>
      <x:c r="N337" s="2"/>
      <x:c r="O337" s="2"/>
    </x:row>
    <x:row r="338" ht="21" customHeight="1">
      <x:c r="A338" s="2" t="str">
        <x:v>NT000337</x:v>
      </x:c>
      <x:c r="B338" s="2" t="str">
        <x:v>EV000339</x:v>
      </x:c>
      <x:c r="C338" s="2" t="str">
        <x:v>T20261004-1-3</x:v>
      </x:c>
      <x:c r="D338" s="2" t="str">
        <x:v>ST091</x:v>
      </x:c>
      <x:c r="E338" s="2" t="str">
        <x:v>G091</x:v>
      </x:c>
      <x:c r="F338" s="2" t="str">
        <x:v>guardian091@example.invalid</x:v>
      </x:c>
      <x:c r="G338" s="2" t="str">
        <x:v>Email</x:v>
      </x:c>
      <x:c r="H338" s="2" t="str">
        <x:v>Boarded</x:v>
      </x:c>
      <x:c r="I338" s="8" t="n">
        <x:v>46299.24722222222</x:v>
      </x:c>
      <x:c r="J338" s="8" t="n">
        <x:v>46299.24724537037</x:v>
      </x:c>
      <x:c r="K338" s="8" t="n">
        <x:v>46299.24728009259</x:v>
      </x:c>
      <x:c r="L338" s="2" t="str">
        <x:v>Sent</x:v>
      </x:c>
      <x:c r="M338" s="2" t="n">
        <x:v>1</x:v>
      </x:c>
      <x:c r="N338" s="2"/>
      <x:c r="O338" s="2"/>
    </x:row>
    <x:row r="339" ht="21" customHeight="1">
      <x:c r="A339" s="2" t="str">
        <x:v>NT000338</x:v>
      </x:c>
      <x:c r="B339" s="2" t="str">
        <x:v>EV000340</x:v>
      </x:c>
      <x:c r="C339" s="2" t="str">
        <x:v>T20261004-1-3</x:v>
      </x:c>
      <x:c r="D339" s="2" t="str">
        <x:v>ST091</x:v>
      </x:c>
      <x:c r="E339" s="2" t="str">
        <x:v>G091</x:v>
      </x:c>
      <x:c r="F339" s="2" t="str">
        <x:v>guardian091@example.invalid</x:v>
      </x:c>
      <x:c r="G339" s="2" t="str">
        <x:v>Email</x:v>
      </x:c>
      <x:c r="H339" s="2" t="str">
        <x:v>School receipt</x:v>
      </x:c>
      <x:c r="I339" s="8" t="n">
        <x:v>46299.27673611111</x:v>
      </x:c>
      <x:c r="J339" s="8" t="n">
        <x:v>46299.27675925926</x:v>
      </x:c>
      <x:c r="K339" s="8" t="n">
        <x:v>46299.27679398148</x:v>
      </x:c>
      <x:c r="L339" s="2" t="str">
        <x:v>Sent</x:v>
      </x:c>
      <x:c r="M339" s="2" t="n">
        <x:v>1</x:v>
      </x:c>
      <x:c r="N339" s="2"/>
      <x:c r="O339" s="2"/>
    </x:row>
    <x:row r="340" ht="21" customHeight="1">
      <x:c r="A340" s="2" t="str">
        <x:v>NT000339</x:v>
      </x:c>
      <x:c r="B340" s="2" t="str">
        <x:v>EV000341</x:v>
      </x:c>
      <x:c r="C340" s="2" t="str">
        <x:v>T20261004-1-3</x:v>
      </x:c>
      <x:c r="D340" s="2" t="str">
        <x:v>ST092</x:v>
      </x:c>
      <x:c r="E340" s="2" t="str">
        <x:v>G092</x:v>
      </x:c>
      <x:c r="F340" s="2" t="str">
        <x:v>guardian092@example.invalid</x:v>
      </x:c>
      <x:c r="G340" s="2" t="str">
        <x:v>Email</x:v>
      </x:c>
      <x:c r="H340" s="2" t="str">
        <x:v>Boarded</x:v>
      </x:c>
      <x:c r="I340" s="8" t="n">
        <x:v>46299.252118055556</x:v>
      </x:c>
      <x:c r="J340" s="8" t="n">
        <x:v>46299.2521412037</x:v>
      </x:c>
      <x:c r="K340" s="8" t="n">
        <x:v>46299.252175925925</x:v>
      </x:c>
      <x:c r="L340" s="2" t="str">
        <x:v>Sent</x:v>
      </x:c>
      <x:c r="M340" s="2" t="n">
        <x:v>1</x:v>
      </x:c>
      <x:c r="N340" s="2"/>
      <x:c r="O340" s="2"/>
    </x:row>
    <x:row r="341" ht="21" customHeight="1">
      <x:c r="A341" s="2" t="str">
        <x:v>NT000340</x:v>
      </x:c>
      <x:c r="B341" s="2" t="str">
        <x:v>EV000342</x:v>
      </x:c>
      <x:c r="C341" s="2" t="str">
        <x:v>T20261004-1-3</x:v>
      </x:c>
      <x:c r="D341" s="2" t="str">
        <x:v>ST092</x:v>
      </x:c>
      <x:c r="E341" s="2" t="str">
        <x:v>G092</x:v>
      </x:c>
      <x:c r="F341" s="2" t="str">
        <x:v>guardian092@example.invalid</x:v>
      </x:c>
      <x:c r="G341" s="2" t="str">
        <x:v>Email</x:v>
      </x:c>
      <x:c r="H341" s="2" t="str">
        <x:v>School receipt</x:v>
      </x:c>
      <x:c r="I341" s="8" t="n">
        <x:v>46299.276770833334</x:v>
      </x:c>
      <x:c r="J341" s="8" t="n">
        <x:v>46299.27679398148</x:v>
      </x:c>
      <x:c r="K341" s="8" t="n">
        <x:v>46299.2768287037</x:v>
      </x:c>
      <x:c r="L341" s="2" t="str">
        <x:v>Sent</x:v>
      </x:c>
      <x:c r="M341" s="2" t="n">
        <x:v>1</x:v>
      </x:c>
      <x:c r="N341" s="2"/>
      <x:c r="O341" s="2"/>
    </x:row>
    <x:row r="342" ht="21" customHeight="1">
      <x:c r="A342" s="2" t="str">
        <x:v>NT000341</x:v>
      </x:c>
      <x:c r="B342" s="2" t="str">
        <x:v>EV000343</x:v>
      </x:c>
      <x:c r="C342" s="2" t="str">
        <x:v>T20261004-1-3</x:v>
      </x:c>
      <x:c r="D342" s="2" t="str">
        <x:v>ST093</x:v>
      </x:c>
      <x:c r="E342" s="2" t="str">
        <x:v>G093</x:v>
      </x:c>
      <x:c r="F342" s="2" t="str">
        <x:v>guardian093@example.invalid</x:v>
      </x:c>
      <x:c r="G342" s="2" t="str">
        <x:v>Email</x:v>
      </x:c>
      <x:c r="H342" s="2" t="str">
        <x:v>Boarded</x:v>
      </x:c>
      <x:c r="I342" s="8" t="n">
        <x:v>46299.24243055556</x:v>
      </x:c>
      <x:c r="J342" s="8" t="n">
        <x:v>46299.24245370371</x:v>
      </x:c>
      <x:c r="K342" s="8" t="n">
        <x:v>46299.24248842593</x:v>
      </x:c>
      <x:c r="L342" s="2" t="str">
        <x:v>Sent</x:v>
      </x:c>
      <x:c r="M342" s="2" t="n">
        <x:v>1</x:v>
      </x:c>
      <x:c r="N342" s="2"/>
      <x:c r="O342" s="2"/>
    </x:row>
    <x:row r="343" ht="21" customHeight="1">
      <x:c r="A343" s="2" t="str">
        <x:v>NT000342</x:v>
      </x:c>
      <x:c r="B343" s="2" t="str">
        <x:v>EV000344</x:v>
      </x:c>
      <x:c r="C343" s="2" t="str">
        <x:v>T20261004-1-3</x:v>
      </x:c>
      <x:c r="D343" s="2" t="str">
        <x:v>ST093</x:v>
      </x:c>
      <x:c r="E343" s="2" t="str">
        <x:v>G093</x:v>
      </x:c>
      <x:c r="F343" s="2" t="str">
        <x:v>guardian093@example.invalid</x:v>
      </x:c>
      <x:c r="G343" s="2" t="str">
        <x:v>Email</x:v>
      </x:c>
      <x:c r="H343" s="2" t="str">
        <x:v>School receipt</x:v>
      </x:c>
      <x:c r="I343" s="8" t="n">
        <x:v>46299.27680555556</x:v>
      </x:c>
      <x:c r="J343" s="8" t="n">
        <x:v>46299.2768287037</x:v>
      </x:c>
      <x:c r="K343" s="8" t="n">
        <x:v>46299.27686342593</x:v>
      </x:c>
      <x:c r="L343" s="2" t="str">
        <x:v>Sent</x:v>
      </x:c>
      <x:c r="M343" s="2" t="n">
        <x:v>1</x:v>
      </x:c>
      <x:c r="N343" s="2"/>
      <x:c r="O343" s="2"/>
    </x:row>
    <x:row r="344" ht="21" customHeight="1">
      <x:c r="A344" s="2" t="str">
        <x:v>NT000343</x:v>
      </x:c>
      <x:c r="B344" s="2" t="str">
        <x:v>EV000345</x:v>
      </x:c>
      <x:c r="C344" s="2" t="str">
        <x:v>T20261004-1-3</x:v>
      </x:c>
      <x:c r="D344" s="2" t="str">
        <x:v>ST094</x:v>
      </x:c>
      <x:c r="E344" s="2" t="str">
        <x:v>G094</x:v>
      </x:c>
      <x:c r="F344" s="2" t="str">
        <x:v>guardian094@example.invalid</x:v>
      </x:c>
      <x:c r="G344" s="2" t="str">
        <x:v>Email</x:v>
      </x:c>
      <x:c r="H344" s="2" t="str">
        <x:v>Boarded</x:v>
      </x:c>
      <x:c r="I344" s="8" t="n">
        <x:v>46299.24732638889</x:v>
      </x:c>
      <x:c r="J344" s="8" t="n">
        <x:v>46299.247349537036</x:v>
      </x:c>
      <x:c r="K344" s="8" t="n">
        <x:v>46299.24738425926</x:v>
      </x:c>
      <x:c r="L344" s="2" t="str">
        <x:v>Sent</x:v>
      </x:c>
      <x:c r="M344" s="2" t="n">
        <x:v>1</x:v>
      </x:c>
      <x:c r="N344" s="2"/>
      <x:c r="O344" s="2"/>
    </x:row>
    <x:row r="345" ht="21" customHeight="1">
      <x:c r="A345" s="2" t="str">
        <x:v>NT000344</x:v>
      </x:c>
      <x:c r="B345" s="2" t="str">
        <x:v>EV000346</x:v>
      </x:c>
      <x:c r="C345" s="2" t="str">
        <x:v>T20261004-1-3</x:v>
      </x:c>
      <x:c r="D345" s="2" t="str">
        <x:v>ST094</x:v>
      </x:c>
      <x:c r="E345" s="2" t="str">
        <x:v>G094</x:v>
      </x:c>
      <x:c r="F345" s="2" t="str">
        <x:v>guardian094@example.invalid</x:v>
      </x:c>
      <x:c r="G345" s="2" t="str">
        <x:v>Email</x:v>
      </x:c>
      <x:c r="H345" s="2" t="str">
        <x:v>School receipt</x:v>
      </x:c>
      <x:c r="I345" s="8" t="n">
        <x:v>46299.27684027777</x:v>
      </x:c>
      <x:c r="J345" s="8" t="n">
        <x:v>46299.27686342592</x:v>
      </x:c>
      <x:c r="K345" s="8" t="n">
        <x:v>46299.27689814814</x:v>
      </x:c>
      <x:c r="L345" s="2" t="str">
        <x:v>Sent</x:v>
      </x:c>
      <x:c r="M345" s="2" t="n">
        <x:v>1</x:v>
      </x:c>
      <x:c r="N345" s="2"/>
      <x:c r="O345" s="2"/>
    </x:row>
    <x:row r="346" ht="21" customHeight="1">
      <x:c r="A346" s="2" t="str">
        <x:v>NT000345</x:v>
      </x:c>
      <x:c r="B346" s="2" t="str">
        <x:v>EV000347</x:v>
      </x:c>
      <x:c r="C346" s="2" t="str">
        <x:v>T20261004-1-3</x:v>
      </x:c>
      <x:c r="D346" s="2" t="str">
        <x:v>ST095</x:v>
      </x:c>
      <x:c r="E346" s="2" t="str">
        <x:v>G095</x:v>
      </x:c>
      <x:c r="F346" s="2" t="str">
        <x:v>guardian095@example.invalid</x:v>
      </x:c>
      <x:c r="G346" s="2" t="str">
        <x:v>Email</x:v>
      </x:c>
      <x:c r="H346" s="2" t="str">
        <x:v>Boarded</x:v>
      </x:c>
      <x:c r="I346" s="8" t="n">
        <x:v>46299.252222222225</x:v>
      </x:c>
      <x:c r="J346" s="8" t="n">
        <x:v>46299.25224537037</x:v>
      </x:c>
      <x:c r="K346" s="8" t="n">
        <x:v>46299.252280092594</x:v>
      </x:c>
      <x:c r="L346" s="2" t="str">
        <x:v>Sent</x:v>
      </x:c>
      <x:c r="M346" s="2" t="n">
        <x:v>1</x:v>
      </x:c>
      <x:c r="N346" s="2"/>
      <x:c r="O346" s="2"/>
    </x:row>
    <x:row r="347" ht="21" customHeight="1">
      <x:c r="A347" s="2" t="str">
        <x:v>NT000346</x:v>
      </x:c>
      <x:c r="B347" s="2" t="str">
        <x:v>EV000348</x:v>
      </x:c>
      <x:c r="C347" s="2" t="str">
        <x:v>T20261004-1-3</x:v>
      </x:c>
      <x:c r="D347" s="2" t="str">
        <x:v>ST095</x:v>
      </x:c>
      <x:c r="E347" s="2" t="str">
        <x:v>G095</x:v>
      </x:c>
      <x:c r="F347" s="2" t="str">
        <x:v>guardian095@example.invalid</x:v>
      </x:c>
      <x:c r="G347" s="2" t="str">
        <x:v>Email</x:v>
      </x:c>
      <x:c r="H347" s="2" t="str">
        <x:v>School receipt</x:v>
      </x:c>
      <x:c r="I347" s="8" t="n">
        <x:v>46299.276874999996</x:v>
      </x:c>
      <x:c r="J347" s="8" t="n">
        <x:v>46299.27689814814</x:v>
      </x:c>
      <x:c r="K347" s="8" t="n">
        <x:v>46299.276932870365</x:v>
      </x:c>
      <x:c r="L347" s="2" t="str">
        <x:v>Sent</x:v>
      </x:c>
      <x:c r="M347" s="2" t="n">
        <x:v>1</x:v>
      </x:c>
      <x:c r="N347" s="2"/>
      <x:c r="O347" s="2"/>
    </x:row>
    <x:row r="348" ht="21" customHeight="1">
      <x:c r="A348" s="2" t="str">
        <x:v>NT000347</x:v>
      </x:c>
      <x:c r="B348" s="2" t="str">
        <x:v>EV000349</x:v>
      </x:c>
      <x:c r="C348" s="2" t="str">
        <x:v>T20261004-1-3</x:v>
      </x:c>
      <x:c r="D348" s="2" t="str">
        <x:v>ST096</x:v>
      </x:c>
      <x:c r="E348" s="2" t="str">
        <x:v>G096</x:v>
      </x:c>
      <x:c r="F348" s="2" t="str">
        <x:v>guardian096@example.invalid</x:v>
      </x:c>
      <x:c r="G348" s="2" t="str">
        <x:v>Email</x:v>
      </x:c>
      <x:c r="H348" s="2" t="str">
        <x:v>Boarded</x:v>
      </x:c>
      <x:c r="I348" s="8" t="n">
        <x:v>46299.24253472222</x:v>
      </x:c>
      <x:c r="J348" s="8" t="n">
        <x:v>46299.24255787037</x:v>
      </x:c>
      <x:c r="K348" s="8" t="n">
        <x:v>46299.24259259259</x:v>
      </x:c>
      <x:c r="L348" s="2" t="str">
        <x:v>Sent</x:v>
      </x:c>
      <x:c r="M348" s="2" t="n">
        <x:v>1</x:v>
      </x:c>
      <x:c r="N348" s="2"/>
      <x:c r="O348" s="2"/>
    </x:row>
    <x:row r="349" ht="21" customHeight="1">
      <x:c r="A349" s="2" t="str">
        <x:v>NT000348</x:v>
      </x:c>
      <x:c r="B349" s="2" t="str">
        <x:v>EV000350</x:v>
      </x:c>
      <x:c r="C349" s="2" t="str">
        <x:v>T20261004-1-3</x:v>
      </x:c>
      <x:c r="D349" s="2" t="str">
        <x:v>ST096</x:v>
      </x:c>
      <x:c r="E349" s="2" t="str">
        <x:v>G096</x:v>
      </x:c>
      <x:c r="F349" s="2" t="str">
        <x:v>guardian096@example.invalid</x:v>
      </x:c>
      <x:c r="G349" s="2" t="str">
        <x:v>Email</x:v>
      </x:c>
      <x:c r="H349" s="2" t="str">
        <x:v>School receipt</x:v>
      </x:c>
      <x:c r="I349" s="8" t="n">
        <x:v>46299.27690972222</x:v>
      </x:c>
      <x:c r="J349" s="8" t="n">
        <x:v>46299.276932870365</x:v>
      </x:c>
      <x:c r="K349" s="8" t="n">
        <x:v>46299.27696759259</x:v>
      </x:c>
      <x:c r="L349" s="2" t="str">
        <x:v>Sent</x:v>
      </x:c>
      <x:c r="M349" s="2" t="n">
        <x:v>1</x:v>
      </x:c>
      <x:c r="N349" s="2"/>
      <x:c r="O349" s="2"/>
    </x:row>
    <x:row r="350" ht="21" customHeight="1">
      <x:c r="A350" s="2" t="str">
        <x:v>NT000349</x:v>
      </x:c>
      <x:c r="B350" s="2" t="str">
        <x:v>EV000351</x:v>
      </x:c>
      <x:c r="C350" s="2" t="str">
        <x:v>T20261004-1-3</x:v>
      </x:c>
      <x:c r="D350" s="2" t="str">
        <x:v>ST097</x:v>
      </x:c>
      <x:c r="E350" s="2" t="str">
        <x:v>G097</x:v>
      </x:c>
      <x:c r="F350" s="2" t="str">
        <x:v>guardian097@example.invalid</x:v>
      </x:c>
      <x:c r="G350" s="2" t="str">
        <x:v>Email</x:v>
      </x:c>
      <x:c r="H350" s="2" t="str">
        <x:v>Boarded</x:v>
      </x:c>
      <x:c r="I350" s="8" t="n">
        <x:v>46299.24743055555</x:v>
      </x:c>
      <x:c r="J350" s="8" t="n">
        <x:v>46299.2474537037</x:v>
      </x:c>
      <x:c r="K350" s="8" t="n">
        <x:v>46299.24748842592</x:v>
      </x:c>
      <x:c r="L350" s="2" t="str">
        <x:v>Sent</x:v>
      </x:c>
      <x:c r="M350" s="2" t="n">
        <x:v>1</x:v>
      </x:c>
      <x:c r="N350" s="2"/>
      <x:c r="O350" s="2"/>
    </x:row>
    <x:row r="351" ht="21" customHeight="1">
      <x:c r="A351" s="2" t="str">
        <x:v>NT000350</x:v>
      </x:c>
      <x:c r="B351" s="2" t="str">
        <x:v>EV000352</x:v>
      </x:c>
      <x:c r="C351" s="2" t="str">
        <x:v>T20261004-1-3</x:v>
      </x:c>
      <x:c r="D351" s="2" t="str">
        <x:v>ST097</x:v>
      </x:c>
      <x:c r="E351" s="2" t="str">
        <x:v>G097</x:v>
      </x:c>
      <x:c r="F351" s="2" t="str">
        <x:v>guardian097@example.invalid</x:v>
      </x:c>
      <x:c r="G351" s="2" t="str">
        <x:v>Email</x:v>
      </x:c>
      <x:c r="H351" s="2" t="str">
        <x:v>School receipt</x:v>
      </x:c>
      <x:c r="I351" s="8" t="n">
        <x:v>46299.27694444444</x:v>
      </x:c>
      <x:c r="J351" s="8" t="n">
        <x:v>46299.27696759259</x:v>
      </x:c>
      <x:c r="K351" s="8" t="n">
        <x:v>46299.27700231481</x:v>
      </x:c>
      <x:c r="L351" s="2" t="str">
        <x:v>Sent</x:v>
      </x:c>
      <x:c r="M351" s="2" t="n">
        <x:v>1</x:v>
      </x:c>
      <x:c r="N351" s="2"/>
      <x:c r="O351" s="2"/>
    </x:row>
    <x:row r="352" ht="21" customHeight="1">
      <x:c r="A352" s="2" t="str">
        <x:v>NT000351</x:v>
      </x:c>
      <x:c r="B352" s="2" t="str">
        <x:v>EV000353</x:v>
      </x:c>
      <x:c r="C352" s="2" t="str">
        <x:v>T20261004-1-3</x:v>
      </x:c>
      <x:c r="D352" s="2" t="str">
        <x:v>ST098</x:v>
      </x:c>
      <x:c r="E352" s="2" t="str">
        <x:v>G098</x:v>
      </x:c>
      <x:c r="F352" s="2" t="str">
        <x:v>guardian098@example.invalid</x:v>
      </x:c>
      <x:c r="G352" s="2" t="str">
        <x:v>Email</x:v>
      </x:c>
      <x:c r="H352" s="2" t="str">
        <x:v>Boarded</x:v>
      </x:c>
      <x:c r="I352" s="8" t="n">
        <x:v>46299.25232638889</x:v>
      </x:c>
      <x:c r="J352" s="8" t="n">
        <x:v>46299.25234953703</x:v>
      </x:c>
      <x:c r="K352" s="8" t="n">
        <x:v>46299.252384259256</x:v>
      </x:c>
      <x:c r="L352" s="2" t="str">
        <x:v>Sent</x:v>
      </x:c>
      <x:c r="M352" s="2" t="n">
        <x:v>1</x:v>
      </x:c>
      <x:c r="N352" s="2"/>
      <x:c r="O352" s="2"/>
    </x:row>
    <x:row r="353" ht="21" customHeight="1">
      <x:c r="A353" s="2" t="str">
        <x:v>NT000352</x:v>
      </x:c>
      <x:c r="B353" s="2" t="str">
        <x:v>EV000354</x:v>
      </x:c>
      <x:c r="C353" s="2" t="str">
        <x:v>T20261004-1-3</x:v>
      </x:c>
      <x:c r="D353" s="2" t="str">
        <x:v>ST098</x:v>
      </x:c>
      <x:c r="E353" s="2" t="str">
        <x:v>G098</x:v>
      </x:c>
      <x:c r="F353" s="2" t="str">
        <x:v>guardian098@example.invalid</x:v>
      </x:c>
      <x:c r="G353" s="2" t="str">
        <x:v>Email</x:v>
      </x:c>
      <x:c r="H353" s="2" t="str">
        <x:v>School receipt</x:v>
      </x:c>
      <x:c r="I353" s="8" t="n">
        <x:v>46299.276979166665</x:v>
      </x:c>
      <x:c r="J353" s="8" t="n">
        <x:v>46299.27700231481</x:v>
      </x:c>
      <x:c r="K353" s="8" t="n">
        <x:v>46299.277037037034</x:v>
      </x:c>
      <x:c r="L353" s="2" t="str">
        <x:v>Sent</x:v>
      </x:c>
      <x:c r="M353" s="2" t="n">
        <x:v>1</x:v>
      </x:c>
      <x:c r="N353" s="2"/>
      <x:c r="O353" s="2"/>
    </x:row>
    <x:row r="354" ht="21" customHeight="1">
      <x:c r="A354" s="2" t="str">
        <x:v>NT000353</x:v>
      </x:c>
      <x:c r="B354" s="2" t="str">
        <x:v>EV000355</x:v>
      </x:c>
      <x:c r="C354" s="2" t="str">
        <x:v>T20261004-1-3</x:v>
      </x:c>
      <x:c r="D354" s="2" t="str">
        <x:v>ST099</x:v>
      </x:c>
      <x:c r="E354" s="2" t="str">
        <x:v>G099</x:v>
      </x:c>
      <x:c r="F354" s="2" t="str">
        <x:v>guardian099@example.invalid</x:v>
      </x:c>
      <x:c r="G354" s="2" t="str">
        <x:v>Email</x:v>
      </x:c>
      <x:c r="H354" s="2" t="str">
        <x:v>Boarded</x:v>
      </x:c>
      <x:c r="I354" s="8" t="n">
        <x:v>46299.24263888889</x:v>
      </x:c>
      <x:c r="J354" s="8" t="n">
        <x:v>46299.24266203704</x:v>
      </x:c>
      <x:c r="K354" s="8" t="n">
        <x:v>46299.24269675926</x:v>
      </x:c>
      <x:c r="L354" s="2" t="str">
        <x:v>Sent</x:v>
      </x:c>
      <x:c r="M354" s="2" t="n">
        <x:v>1</x:v>
      </x:c>
      <x:c r="N354" s="2"/>
      <x:c r="O354" s="2"/>
    </x:row>
    <x:row r="355" ht="21" customHeight="1">
      <x:c r="A355" s="2" t="str">
        <x:v>NT000354</x:v>
      </x:c>
      <x:c r="B355" s="2" t="str">
        <x:v>EV000356</x:v>
      </x:c>
      <x:c r="C355" s="2" t="str">
        <x:v>T20261004-1-3</x:v>
      </x:c>
      <x:c r="D355" s="2" t="str">
        <x:v>ST099</x:v>
      </x:c>
      <x:c r="E355" s="2" t="str">
        <x:v>G099</x:v>
      </x:c>
      <x:c r="F355" s="2" t="str">
        <x:v>guardian099@example.invalid</x:v>
      </x:c>
      <x:c r="G355" s="2" t="str">
        <x:v>Email</x:v>
      </x:c>
      <x:c r="H355" s="2" t="str">
        <x:v>School receipt</x:v>
      </x:c>
      <x:c r="I355" s="8" t="n">
        <x:v>46299.27701388889</x:v>
      </x:c>
      <x:c r="J355" s="8" t="n">
        <x:v>46299.277037037034</x:v>
      </x:c>
      <x:c r="K355" s="8" t="n">
        <x:v>46299.27707175926</x:v>
      </x:c>
      <x:c r="L355" s="2" t="str">
        <x:v>Sent</x:v>
      </x:c>
      <x:c r="M355" s="2" t="n">
        <x:v>1</x:v>
      </x:c>
      <x:c r="N355" s="2"/>
      <x:c r="O355" s="2"/>
    </x:row>
    <x:row r="356" ht="21" customHeight="1">
      <x:c r="A356" s="2" t="str">
        <x:v>NT000355</x:v>
      </x:c>
      <x:c r="B356" s="2" t="str">
        <x:v>EV000357</x:v>
      </x:c>
      <x:c r="C356" s="2" t="str">
        <x:v>T20261004-1-3</x:v>
      </x:c>
      <x:c r="D356" s="2" t="str">
        <x:v>ST100</x:v>
      </x:c>
      <x:c r="E356" s="2" t="str">
        <x:v>G100</x:v>
      </x:c>
      <x:c r="F356" s="2" t="str">
        <x:v>guardian100@example.invalid</x:v>
      </x:c>
      <x:c r="G356" s="2" t="str">
        <x:v>Email</x:v>
      </x:c>
      <x:c r="H356" s="2" t="str">
        <x:v>Boarded</x:v>
      </x:c>
      <x:c r="I356" s="8" t="n">
        <x:v>46299.24753472222</x:v>
      </x:c>
      <x:c r="J356" s="8" t="n">
        <x:v>46299.24755787037</x:v>
      </x:c>
      <x:c r="K356" s="8" t="n">
        <x:v>46299.24759259259</x:v>
      </x:c>
      <x:c r="L356" s="2" t="str">
        <x:v>Sent</x:v>
      </x:c>
      <x:c r="M356" s="2" t="n">
        <x:v>1</x:v>
      </x:c>
      <x:c r="N356" s="2"/>
      <x:c r="O356" s="2"/>
    </x:row>
    <x:row r="357" ht="21" customHeight="1">
      <x:c r="A357" s="2" t="str">
        <x:v>NT000356</x:v>
      </x:c>
      <x:c r="B357" s="2" t="str">
        <x:v>EV000358</x:v>
      </x:c>
      <x:c r="C357" s="2" t="str">
        <x:v>T20261004-1-3</x:v>
      </x:c>
      <x:c r="D357" s="2" t="str">
        <x:v>ST100</x:v>
      </x:c>
      <x:c r="E357" s="2" t="str">
        <x:v>G100</x:v>
      </x:c>
      <x:c r="F357" s="2" t="str">
        <x:v>guardian100@example.invalid</x:v>
      </x:c>
      <x:c r="G357" s="2" t="str">
        <x:v>Email</x:v>
      </x:c>
      <x:c r="H357" s="2" t="str">
        <x:v>School receipt</x:v>
      </x:c>
      <x:c r="I357" s="8" t="n">
        <x:v>46299.27704861111</x:v>
      </x:c>
      <x:c r="J357" s="8" t="n">
        <x:v>46299.27707175926</x:v>
      </x:c>
      <x:c r="K357" s="8" t="n">
        <x:v>46299.27710648148</x:v>
      </x:c>
      <x:c r="L357" s="2" t="str">
        <x:v>Sent</x:v>
      </x:c>
      <x:c r="M357" s="2" t="n">
        <x:v>1</x:v>
      </x:c>
      <x:c r="N357" s="2"/>
      <x:c r="O357" s="2"/>
    </x:row>
    <x:row r="358" ht="21" customHeight="1">
      <x:c r="A358" s="2" t="str">
        <x:v>NT000357</x:v>
      </x:c>
      <x:c r="B358" s="2" t="str">
        <x:v>EV000359</x:v>
      </x:c>
      <x:c r="C358" s="2" t="str">
        <x:v>T20261004-2-3</x:v>
      </x:c>
      <x:c r="D358" s="2" t="str">
        <x:v>ST081</x:v>
      </x:c>
      <x:c r="E358" s="2" t="str">
        <x:v>G081</x:v>
      </x:c>
      <x:c r="F358" s="2" t="str">
        <x:v>guardian081@example.invalid</x:v>
      </x:c>
      <x:c r="G358" s="2" t="str">
        <x:v>Email</x:v>
      </x:c>
      <x:c r="H358" s="2" t="str">
        <x:v>Boarded</x:v>
      </x:c>
      <x:c r="I358" s="8" t="n">
        <x:v>46299.4375</x:v>
      </x:c>
      <x:c r="J358" s="8" t="n">
        <x:v>46299.437523148146</x:v>
      </x:c>
      <x:c r="K358" s="8" t="n">
        <x:v>46299.43755787037</x:v>
      </x:c>
      <x:c r="L358" s="2" t="str">
        <x:v>Sent</x:v>
      </x:c>
      <x:c r="M358" s="2" t="n">
        <x:v>1</x:v>
      </x:c>
      <x:c r="N358" s="2"/>
      <x:c r="O358" s="2"/>
    </x:row>
    <x:row r="359" ht="21" customHeight="1">
      <x:c r="A359" s="2" t="str">
        <x:v>NT000358</x:v>
      </x:c>
      <x:c r="B359" s="2" t="str">
        <x:v>EV000360</x:v>
      </x:c>
      <x:c r="C359" s="2" t="str">
        <x:v>T20261004-2-3</x:v>
      </x:c>
      <x:c r="D359" s="2" t="str">
        <x:v>ST081</x:v>
      </x:c>
      <x:c r="E359" s="2" t="str">
        <x:v>G081</x:v>
      </x:c>
      <x:c r="F359" s="2" t="str">
        <x:v>guardian081@example.invalid</x:v>
      </x:c>
      <x:c r="G359" s="2" t="str">
        <x:v>Email</x:v>
      </x:c>
      <x:c r="H359" s="2" t="str">
        <x:v>Authorized release</x:v>
      </x:c>
      <x:c r="I359" s="8" t="n">
        <x:v>46299.44930555555</x:v>
      </x:c>
      <x:c r="J359" s="8" t="n">
        <x:v>46299.4493287037</x:v>
      </x:c>
      <x:c r="K359" s="8" t="n">
        <x:v>46299.44936342592</x:v>
      </x:c>
      <x:c r="L359" s="2" t="str">
        <x:v>Sent</x:v>
      </x:c>
      <x:c r="M359" s="2" t="n">
        <x:v>1</x:v>
      </x:c>
      <x:c r="N359" s="2"/>
      <x:c r="O359" s="2"/>
    </x:row>
    <x:row r="360" ht="21" customHeight="1">
      <x:c r="A360" s="2" t="str">
        <x:v>NT000359</x:v>
      </x:c>
      <x:c r="B360" s="2" t="str">
        <x:v>EV000361</x:v>
      </x:c>
      <x:c r="C360" s="2" t="str">
        <x:v>T20261004-2-3</x:v>
      </x:c>
      <x:c r="D360" s="2" t="str">
        <x:v>ST082</x:v>
      </x:c>
      <x:c r="E360" s="2" t="str">
        <x:v>G082</x:v>
      </x:c>
      <x:c r="F360" s="2" t="str">
        <x:v>guardian082@example.invalid</x:v>
      </x:c>
      <x:c r="G360" s="2" t="str">
        <x:v>Email</x:v>
      </x:c>
      <x:c r="H360" s="2" t="str">
        <x:v>Boarded</x:v>
      </x:c>
      <x:c r="I360" s="8" t="n">
        <x:v>46299.43753472222</x:v>
      </x:c>
      <x:c r="J360" s="8" t="n">
        <x:v>46299.43755787037</x:v>
      </x:c>
      <x:c r="K360" s="8" t="n">
        <x:v>46299.43759259259</x:v>
      </x:c>
      <x:c r="L360" s="2" t="str">
        <x:v>Sent</x:v>
      </x:c>
      <x:c r="M360" s="2" t="n">
        <x:v>1</x:v>
      </x:c>
      <x:c r="N360" s="2"/>
      <x:c r="O360" s="2"/>
    </x:row>
    <x:row r="361" ht="21" customHeight="1">
      <x:c r="A361" s="2" t="str">
        <x:v>NT000360</x:v>
      </x:c>
      <x:c r="B361" s="2" t="str">
        <x:v>EV000362</x:v>
      </x:c>
      <x:c r="C361" s="2" t="str">
        <x:v>T20261004-2-3</x:v>
      </x:c>
      <x:c r="D361" s="2" t="str">
        <x:v>ST082</x:v>
      </x:c>
      <x:c r="E361" s="2" t="str">
        <x:v>G082</x:v>
      </x:c>
      <x:c r="F361" s="2" t="str">
        <x:v>guardian082@example.invalid</x:v>
      </x:c>
      <x:c r="G361" s="2" t="str">
        <x:v>Email</x:v>
      </x:c>
      <x:c r="H361" s="2" t="str">
        <x:v>Authorized release</x:v>
      </x:c>
      <x:c r="I361" s="8" t="n">
        <x:v>46299.45350694445</x:v>
      </x:c>
      <x:c r="J361" s="8" t="n">
        <x:v>46299.45353009259</x:v>
      </x:c>
      <x:c r="K361" s="8" t="n">
        <x:v>46299.453564814816</x:v>
      </x:c>
      <x:c r="L361" s="2" t="str">
        <x:v>Sent</x:v>
      </x:c>
      <x:c r="M361" s="2" t="n">
        <x:v>1</x:v>
      </x:c>
      <x:c r="N361" s="2"/>
      <x:c r="O361" s="2"/>
    </x:row>
    <x:row r="362" ht="21" customHeight="1">
      <x:c r="A362" s="2" t="str">
        <x:v>NT000361</x:v>
      </x:c>
      <x:c r="B362" s="2" t="str">
        <x:v>EV000363</x:v>
      </x:c>
      <x:c r="C362" s="2" t="str">
        <x:v>T20261004-2-3</x:v>
      </x:c>
      <x:c r="D362" s="2" t="str">
        <x:v>ST083</x:v>
      </x:c>
      <x:c r="E362" s="2" t="str">
        <x:v>G083</x:v>
      </x:c>
      <x:c r="F362" s="2" t="str">
        <x:v>guardian083@example.invalid</x:v>
      </x:c>
      <x:c r="G362" s="2" t="str">
        <x:v>Email</x:v>
      </x:c>
      <x:c r="H362" s="2" t="str">
        <x:v>Boarded</x:v>
      </x:c>
      <x:c r="I362" s="8" t="n">
        <x:v>46299.437569444446</x:v>
      </x:c>
      <x:c r="J362" s="8" t="n">
        <x:v>46299.43759259259</x:v>
      </x:c>
      <x:c r="K362" s="8" t="n">
        <x:v>46299.437627314815</x:v>
      </x:c>
      <x:c r="L362" s="2" t="str">
        <x:v>Sent</x:v>
      </x:c>
      <x:c r="M362" s="2" t="n">
        <x:v>1</x:v>
      </x:c>
      <x:c r="N362" s="2"/>
      <x:c r="O362" s="2"/>
    </x:row>
    <x:row r="363" ht="21" customHeight="1">
      <x:c r="A363" s="2" t="str">
        <x:v>NT000362</x:v>
      </x:c>
      <x:c r="B363" s="2" t="str">
        <x:v>EV000364</x:v>
      </x:c>
      <x:c r="C363" s="2" t="str">
        <x:v>T20261004-2-3</x:v>
      </x:c>
      <x:c r="D363" s="2" t="str">
        <x:v>ST083</x:v>
      </x:c>
      <x:c r="E363" s="2" t="str">
        <x:v>G083</x:v>
      </x:c>
      <x:c r="F363" s="2" t="str">
        <x:v>guardian083@example.invalid</x:v>
      </x:c>
      <x:c r="G363" s="2" t="str">
        <x:v>Email</x:v>
      </x:c>
      <x:c r="H363" s="2" t="str">
        <x:v>Authorized release</x:v>
      </x:c>
      <x:c r="I363" s="8" t="n">
        <x:v>46299.457708333335</x:v>
      </x:c>
      <x:c r="J363" s="8" t="n">
        <x:v>46299.45773148148</x:v>
      </x:c>
      <x:c r="K363" s="8" t="n">
        <x:v>46299.457766203705</x:v>
      </x:c>
      <x:c r="L363" s="2" t="str">
        <x:v>Sent</x:v>
      </x:c>
      <x:c r="M363" s="2" t="n">
        <x:v>1</x:v>
      </x:c>
      <x:c r="N363" s="2"/>
      <x:c r="O363" s="2"/>
    </x:row>
    <x:row r="364" ht="21" customHeight="1">
      <x:c r="A364" s="2" t="str">
        <x:v>NT000363</x:v>
      </x:c>
      <x:c r="B364" s="2" t="str">
        <x:v>EV000365</x:v>
      </x:c>
      <x:c r="C364" s="2" t="str">
        <x:v>T20261004-2-3</x:v>
      </x:c>
      <x:c r="D364" s="2" t="str">
        <x:v>ST084</x:v>
      </x:c>
      <x:c r="E364" s="2" t="str">
        <x:v>G084</x:v>
      </x:c>
      <x:c r="F364" s="2" t="str">
        <x:v>guardian084@example.invalid</x:v>
      </x:c>
      <x:c r="G364" s="2" t="str">
        <x:v>Email</x:v>
      </x:c>
      <x:c r="H364" s="2" t="str">
        <x:v>Boarded</x:v>
      </x:c>
      <x:c r="I364" s="8" t="n">
        <x:v>46299.43760416667</x:v>
      </x:c>
      <x:c r="J364" s="8" t="n">
        <x:v>46299.437627314815</x:v>
      </x:c>
      <x:c r="K364" s="8" t="n">
        <x:v>46299.43766203704</x:v>
      </x:c>
      <x:c r="L364" s="2" t="str">
        <x:v>Sent</x:v>
      </x:c>
      <x:c r="M364" s="2" t="n">
        <x:v>1</x:v>
      </x:c>
      <x:c r="N364" s="2"/>
      <x:c r="O364" s="2"/>
    </x:row>
    <x:row r="365" ht="21" customHeight="1">
      <x:c r="A365" s="2" t="str">
        <x:v>NT000364</x:v>
      </x:c>
      <x:c r="B365" s="2" t="str">
        <x:v>EV000366</x:v>
      </x:c>
      <x:c r="C365" s="2" t="str">
        <x:v>T20261004-2-3</x:v>
      </x:c>
      <x:c r="D365" s="2" t="str">
        <x:v>ST084</x:v>
      </x:c>
      <x:c r="E365" s="2" t="str">
        <x:v>G084</x:v>
      </x:c>
      <x:c r="F365" s="2" t="str">
        <x:v>guardian084@example.invalid</x:v>
      </x:c>
      <x:c r="G365" s="2" t="str">
        <x:v>Email</x:v>
      </x:c>
      <x:c r="H365" s="2" t="str">
        <x:v>Authorized release</x:v>
      </x:c>
      <x:c r="I365" s="8" t="n">
        <x:v>46299.44940972222</x:v>
      </x:c>
      <x:c r="J365" s="8" t="n">
        <x:v>46299.449432870366</x:v>
      </x:c>
      <x:c r="K365" s="8" t="n">
        <x:v>46299.44946759259</x:v>
      </x:c>
      <x:c r="L365" s="2" t="str">
        <x:v>Sent</x:v>
      </x:c>
      <x:c r="M365" s="2" t="n">
        <x:v>1</x:v>
      </x:c>
      <x:c r="N365" s="2"/>
      <x:c r="O365" s="2"/>
    </x:row>
    <x:row r="366" ht="21" customHeight="1">
      <x:c r="A366" s="2" t="str">
        <x:v>NT000365</x:v>
      </x:c>
      <x:c r="B366" s="2" t="str">
        <x:v>EV000367</x:v>
      </x:c>
      <x:c r="C366" s="2" t="str">
        <x:v>T20261004-2-3</x:v>
      </x:c>
      <x:c r="D366" s="2" t="str">
        <x:v>ST085</x:v>
      </x:c>
      <x:c r="E366" s="2" t="str">
        <x:v>G085</x:v>
      </x:c>
      <x:c r="F366" s="2" t="str">
        <x:v>guardian085@example.invalid</x:v>
      </x:c>
      <x:c r="G366" s="2" t="str">
        <x:v>Email</x:v>
      </x:c>
      <x:c r="H366" s="2" t="str">
        <x:v>Boarded</x:v>
      </x:c>
      <x:c r="I366" s="8" t="n">
        <x:v>46299.43763888889</x:v>
      </x:c>
      <x:c r="J366" s="8" t="n">
        <x:v>46299.43766203704</x:v>
      </x:c>
      <x:c r="K366" s="8" t="n">
        <x:v>46299.43769675926</x:v>
      </x:c>
      <x:c r="L366" s="2" t="str">
        <x:v>Sent</x:v>
      </x:c>
      <x:c r="M366" s="2" t="n">
        <x:v>1</x:v>
      </x:c>
      <x:c r="N366" s="2"/>
      <x:c r="O366" s="2"/>
    </x:row>
    <x:row r="367" ht="21" customHeight="1">
      <x:c r="A367" s="2" t="str">
        <x:v>NT000366</x:v>
      </x:c>
      <x:c r="B367" s="2" t="str">
        <x:v>EV000368</x:v>
      </x:c>
      <x:c r="C367" s="2" t="str">
        <x:v>T20261004-2-3</x:v>
      </x:c>
      <x:c r="D367" s="2" t="str">
        <x:v>ST085</x:v>
      </x:c>
      <x:c r="E367" s="2" t="str">
        <x:v>G085</x:v>
      </x:c>
      <x:c r="F367" s="2" t="str">
        <x:v>guardian085@example.invalid</x:v>
      </x:c>
      <x:c r="G367" s="2" t="str">
        <x:v>Email</x:v>
      </x:c>
      <x:c r="H367" s="2" t="str">
        <x:v>Authorized release</x:v>
      </x:c>
      <x:c r="I367" s="8" t="n">
        <x:v>46299.453611111116</x:v>
      </x:c>
      <x:c r="J367" s="8" t="n">
        <x:v>46299.45363425926</x:v>
      </x:c>
      <x:c r="K367" s="8" t="n">
        <x:v>46299.453668981485</x:v>
      </x:c>
      <x:c r="L367" s="2" t="str">
        <x:v>Sent</x:v>
      </x:c>
      <x:c r="M367" s="2" t="n">
        <x:v>1</x:v>
      </x:c>
      <x:c r="N367" s="2"/>
      <x:c r="O367" s="2"/>
    </x:row>
    <x:row r="368" ht="21" customHeight="1">
      <x:c r="A368" s="2" t="str">
        <x:v>NT000367</x:v>
      </x:c>
      <x:c r="B368" s="2" t="str">
        <x:v>EV000369</x:v>
      </x:c>
      <x:c r="C368" s="2" t="str">
        <x:v>T20261004-2-3</x:v>
      </x:c>
      <x:c r="D368" s="2" t="str">
        <x:v>ST086</x:v>
      </x:c>
      <x:c r="E368" s="2" t="str">
        <x:v>G086</x:v>
      </x:c>
      <x:c r="F368" s="2" t="str">
        <x:v>guardian086@example.invalid</x:v>
      </x:c>
      <x:c r="G368" s="2" t="str">
        <x:v>Email</x:v>
      </x:c>
      <x:c r="H368" s="2" t="str">
        <x:v>Boarded</x:v>
      </x:c>
      <x:c r="I368" s="8" t="n">
        <x:v>46299.43767361111</x:v>
      </x:c>
      <x:c r="J368" s="8" t="n">
        <x:v>46299.437696759254</x:v>
      </x:c>
      <x:c r="K368" s="8" t="n">
        <x:v>46299.43773148148</x:v>
      </x:c>
      <x:c r="L368" s="2" t="str">
        <x:v>Sent</x:v>
      </x:c>
      <x:c r="M368" s="2" t="n">
        <x:v>1</x:v>
      </x:c>
      <x:c r="N368" s="2"/>
      <x:c r="O368" s="2"/>
    </x:row>
    <x:row r="369" ht="21" customHeight="1">
      <x:c r="A369" s="2" t="str">
        <x:v>NT000368</x:v>
      </x:c>
      <x:c r="B369" s="2" t="str">
        <x:v>EV000370</x:v>
      </x:c>
      <x:c r="C369" s="2" t="str">
        <x:v>T20261004-2-3</x:v>
      </x:c>
      <x:c r="D369" s="2" t="str">
        <x:v>ST086</x:v>
      </x:c>
      <x:c r="E369" s="2" t="str">
        <x:v>G086</x:v>
      </x:c>
      <x:c r="F369" s="2" t="str">
        <x:v>guardian086@example.invalid</x:v>
      </x:c>
      <x:c r="G369" s="2" t="str">
        <x:v>Email</x:v>
      </x:c>
      <x:c r="H369" s="2" t="str">
        <x:v>Authorized release</x:v>
      </x:c>
      <x:c r="I369" s="8" t="n">
        <x:v>46299.4578125</x:v>
      </x:c>
      <x:c r="J369" s="8" t="n">
        <x:v>46299.45783564814</x:v>
      </x:c>
      <x:c r="K369" s="8" t="n">
        <x:v>46299.45787037037</x:v>
      </x:c>
      <x:c r="L369" s="2" t="str">
        <x:v>Sent</x:v>
      </x:c>
      <x:c r="M369" s="2" t="n">
        <x:v>1</x:v>
      </x:c>
      <x:c r="N369" s="2"/>
      <x:c r="O369" s="2"/>
    </x:row>
    <x:row r="370" ht="21" customHeight="1">
      <x:c r="A370" s="2" t="str">
        <x:v>NT000369</x:v>
      </x:c>
      <x:c r="B370" s="2" t="str">
        <x:v>EV000371</x:v>
      </x:c>
      <x:c r="C370" s="2" t="str">
        <x:v>T20261004-2-3</x:v>
      </x:c>
      <x:c r="D370" s="2" t="str">
        <x:v>ST087</x:v>
      </x:c>
      <x:c r="E370" s="2" t="str">
        <x:v>G087</x:v>
      </x:c>
      <x:c r="F370" s="2" t="str">
        <x:v>guardian087@example.invalid</x:v>
      </x:c>
      <x:c r="G370" s="2" t="str">
        <x:v>Email</x:v>
      </x:c>
      <x:c r="H370" s="2" t="str">
        <x:v>Boarded</x:v>
      </x:c>
      <x:c r="I370" s="8" t="n">
        <x:v>46299.43770833333</x:v>
      </x:c>
      <x:c r="J370" s="8" t="n">
        <x:v>46299.43773148148</x:v>
      </x:c>
      <x:c r="K370" s="8" t="n">
        <x:v>46299.4377662037</x:v>
      </x:c>
      <x:c r="L370" s="2" t="str">
        <x:v>Sent</x:v>
      </x:c>
      <x:c r="M370" s="2" t="n">
        <x:v>1</x:v>
      </x:c>
      <x:c r="N370" s="2"/>
      <x:c r="O370" s="2"/>
    </x:row>
    <x:row r="371" ht="21" customHeight="1">
      <x:c r="A371" s="2" t="str">
        <x:v>NT000370</x:v>
      </x:c>
      <x:c r="B371" s="2" t="str">
        <x:v>EV000372</x:v>
      </x:c>
      <x:c r="C371" s="2" t="str">
        <x:v>T20261004-2-3</x:v>
      </x:c>
      <x:c r="D371" s="2" t="str">
        <x:v>ST087</x:v>
      </x:c>
      <x:c r="E371" s="2" t="str">
        <x:v>G087</x:v>
      </x:c>
      <x:c r="F371" s="2" t="str">
        <x:v>guardian087@example.invalid</x:v>
      </x:c>
      <x:c r="G371" s="2" t="str">
        <x:v>Email</x:v>
      </x:c>
      <x:c r="H371" s="2" t="str">
        <x:v>Authorized release</x:v>
      </x:c>
      <x:c r="I371" s="8" t="n">
        <x:v>46299.44951388888</x:v>
      </x:c>
      <x:c r="J371" s="8" t="n">
        <x:v>46299.44953703703</x:v>
      </x:c>
      <x:c r="K371" s="8" t="n">
        <x:v>46299.44957175925</x:v>
      </x:c>
      <x:c r="L371" s="2" t="str">
        <x:v>Sent</x:v>
      </x:c>
      <x:c r="M371" s="2" t="n">
        <x:v>1</x:v>
      </x:c>
      <x:c r="N371" s="2"/>
      <x:c r="O371" s="2"/>
    </x:row>
    <x:row r="372" ht="21" customHeight="1">
      <x:c r="A372" s="2" t="str">
        <x:v>NT000371</x:v>
      </x:c>
      <x:c r="B372" s="2" t="str">
        <x:v>EV000373</x:v>
      </x:c>
      <x:c r="C372" s="2" t="str">
        <x:v>T20261004-2-3</x:v>
      </x:c>
      <x:c r="D372" s="2" t="str">
        <x:v>ST088</x:v>
      </x:c>
      <x:c r="E372" s="2" t="str">
        <x:v>G088</x:v>
      </x:c>
      <x:c r="F372" s="2" t="str">
        <x:v>guardian088@example.invalid</x:v>
      </x:c>
      <x:c r="G372" s="2" t="str">
        <x:v>Email</x:v>
      </x:c>
      <x:c r="H372" s="2" t="str">
        <x:v>Boarded</x:v>
      </x:c>
      <x:c r="I372" s="8" t="n">
        <x:v>46299.437743055554</x:v>
      </x:c>
      <x:c r="J372" s="8" t="n">
        <x:v>46299.4377662037</x:v>
      </x:c>
      <x:c r="K372" s="8" t="n">
        <x:v>46299.43780092592</x:v>
      </x:c>
      <x:c r="L372" s="2" t="str">
        <x:v>Sent</x:v>
      </x:c>
      <x:c r="M372" s="2" t="n">
        <x:v>1</x:v>
      </x:c>
      <x:c r="N372" s="2"/>
      <x:c r="O372" s="2"/>
    </x:row>
    <x:row r="373" ht="21" customHeight="1">
      <x:c r="A373" s="2" t="str">
        <x:v>NT000372</x:v>
      </x:c>
      <x:c r="B373" s="2" t="str">
        <x:v>EV000374</x:v>
      </x:c>
      <x:c r="C373" s="2" t="str">
        <x:v>T20261004-2-3</x:v>
      </x:c>
      <x:c r="D373" s="2" t="str">
        <x:v>ST088</x:v>
      </x:c>
      <x:c r="E373" s="2" t="str">
        <x:v>G088</x:v>
      </x:c>
      <x:c r="F373" s="2" t="str">
        <x:v>guardian088@example.invalid</x:v>
      </x:c>
      <x:c r="G373" s="2" t="str">
        <x:v>Email</x:v>
      </x:c>
      <x:c r="H373" s="2" t="str">
        <x:v>Authorized release</x:v>
      </x:c>
      <x:c r="I373" s="8" t="n">
        <x:v>46299.45371527778</x:v>
      </x:c>
      <x:c r="J373" s="8" t="n">
        <x:v>46299.453738425924</x:v>
      </x:c>
      <x:c r="K373" s="8" t="n">
        <x:v>46299.45377314815</x:v>
      </x:c>
      <x:c r="L373" s="2" t="str">
        <x:v>Sent</x:v>
      </x:c>
      <x:c r="M373" s="2" t="n">
        <x:v>1</x:v>
      </x:c>
      <x:c r="N373" s="2"/>
      <x:c r="O373" s="2"/>
    </x:row>
    <x:row r="374" ht="21" customHeight="1">
      <x:c r="A374" s="2" t="str">
        <x:v>NT000373</x:v>
      </x:c>
      <x:c r="B374" s="2" t="str">
        <x:v>EV000375</x:v>
      </x:c>
      <x:c r="C374" s="2" t="str">
        <x:v>T20261004-2-3</x:v>
      </x:c>
      <x:c r="D374" s="2" t="str">
        <x:v>ST089</x:v>
      </x:c>
      <x:c r="E374" s="2" t="str">
        <x:v>G089</x:v>
      </x:c>
      <x:c r="F374" s="2" t="str">
        <x:v>guardian089@example.invalid</x:v>
      </x:c>
      <x:c r="G374" s="2" t="str">
        <x:v>Email</x:v>
      </x:c>
      <x:c r="H374" s="2" t="str">
        <x:v>Boarded</x:v>
      </x:c>
      <x:c r="I374" s="8" t="n">
        <x:v>46299.43777777778</x:v>
      </x:c>
      <x:c r="J374" s="8" t="n">
        <x:v>46299.43780092592</x:v>
      </x:c>
      <x:c r="K374" s="8" t="n">
        <x:v>46299.43783564815</x:v>
      </x:c>
      <x:c r="L374" s="2" t="str">
        <x:v>Sent</x:v>
      </x:c>
      <x:c r="M374" s="2" t="n">
        <x:v>1</x:v>
      </x:c>
      <x:c r="N374" s="2"/>
      <x:c r="O374" s="2"/>
    </x:row>
    <x:row r="375" ht="21" customHeight="1">
      <x:c r="A375" s="2" t="str">
        <x:v>NT000374</x:v>
      </x:c>
      <x:c r="B375" s="2" t="str">
        <x:v>EV000376</x:v>
      </x:c>
      <x:c r="C375" s="2" t="str">
        <x:v>T20261004-2-3</x:v>
      </x:c>
      <x:c r="D375" s="2" t="str">
        <x:v>ST089</x:v>
      </x:c>
      <x:c r="E375" s="2" t="str">
        <x:v>G089</x:v>
      </x:c>
      <x:c r="F375" s="2" t="str">
        <x:v>guardian089@example.invalid</x:v>
      </x:c>
      <x:c r="G375" s="2" t="str">
        <x:v>Email</x:v>
      </x:c>
      <x:c r="H375" s="2" t="str">
        <x:v>Authorized release</x:v>
      </x:c>
      <x:c r="I375" s="8" t="n">
        <x:v>46299.457916666666</x:v>
      </x:c>
      <x:c r="J375" s="8" t="n">
        <x:v>46299.45793981481</x:v>
      </x:c>
      <x:c r="K375" s="8" t="n">
        <x:v>46299.457974537036</x:v>
      </x:c>
      <x:c r="L375" s="2" t="str">
        <x:v>Sent</x:v>
      </x:c>
      <x:c r="M375" s="2" t="n">
        <x:v>1</x:v>
      </x:c>
      <x:c r="N375" s="2"/>
      <x:c r="O375" s="2"/>
    </x:row>
    <x:row r="376" ht="21" customHeight="1">
      <x:c r="A376" s="2" t="str">
        <x:v>NT000375</x:v>
      </x:c>
      <x:c r="B376" s="2" t="str">
        <x:v>EV000377</x:v>
      </x:c>
      <x:c r="C376" s="2" t="str">
        <x:v>T20261004-2-3</x:v>
      </x:c>
      <x:c r="D376" s="2" t="str">
        <x:v>ST090</x:v>
      </x:c>
      <x:c r="E376" s="2" t="str">
        <x:v>G090</x:v>
      </x:c>
      <x:c r="F376" s="2" t="str">
        <x:v>guardian090@example.invalid</x:v>
      </x:c>
      <x:c r="G376" s="2" t="str">
        <x:v>Email</x:v>
      </x:c>
      <x:c r="H376" s="2" t="str">
        <x:v>Boarded</x:v>
      </x:c>
      <x:c r="I376" s="8" t="n">
        <x:v>46299.4378125</x:v>
      </x:c>
      <x:c r="J376" s="8" t="n">
        <x:v>46299.43783564815</x:v>
      </x:c>
      <x:c r="K376" s="8" t="n">
        <x:v>46299.43787037037</x:v>
      </x:c>
      <x:c r="L376" s="2" t="str">
        <x:v>Sent</x:v>
      </x:c>
      <x:c r="M376" s="2" t="n">
        <x:v>1</x:v>
      </x:c>
      <x:c r="N376" s="2"/>
      <x:c r="O376" s="2"/>
    </x:row>
    <x:row r="377" ht="21" customHeight="1">
      <x:c r="A377" s="2" t="str">
        <x:v>NT000376</x:v>
      </x:c>
      <x:c r="B377" s="2" t="str">
        <x:v>EV000378</x:v>
      </x:c>
      <x:c r="C377" s="2" t="str">
        <x:v>T20261004-2-3</x:v>
      </x:c>
      <x:c r="D377" s="2" t="str">
        <x:v>ST090</x:v>
      </x:c>
      <x:c r="E377" s="2" t="str">
        <x:v>G090</x:v>
      </x:c>
      <x:c r="F377" s="2" t="str">
        <x:v>guardian090@example.invalid</x:v>
      </x:c>
      <x:c r="G377" s="2" t="str">
        <x:v>Email</x:v>
      </x:c>
      <x:c r="H377" s="2" t="str">
        <x:v>Authorized release</x:v>
      </x:c>
      <x:c r="I377" s="8" t="n">
        <x:v>46299.44961805555</x:v>
      </x:c>
      <x:c r="J377" s="8" t="n">
        <x:v>46299.4496412037</x:v>
      </x:c>
      <x:c r="K377" s="8" t="n">
        <x:v>46299.44967592592</x:v>
      </x:c>
      <x:c r="L377" s="2" t="str">
        <x:v>Sent</x:v>
      </x:c>
      <x:c r="M377" s="2" t="n">
        <x:v>1</x:v>
      </x:c>
      <x:c r="N377" s="2"/>
      <x:c r="O377" s="2"/>
    </x:row>
    <x:row r="378" ht="21" customHeight="1">
      <x:c r="A378" s="2" t="str">
        <x:v>NT000377</x:v>
      </x:c>
      <x:c r="B378" s="2" t="str">
        <x:v>EV000379</x:v>
      </x:c>
      <x:c r="C378" s="2" t="str">
        <x:v>T20261004-2-3</x:v>
      </x:c>
      <x:c r="D378" s="2" t="str">
        <x:v>ST101</x:v>
      </x:c>
      <x:c r="E378" s="2" t="str">
        <x:v>G101</x:v>
      </x:c>
      <x:c r="F378" s="2" t="str">
        <x:v>guardian101@example.invalid</x:v>
      </x:c>
      <x:c r="G378" s="2" t="str">
        <x:v>Email</x:v>
      </x:c>
      <x:c r="H378" s="2" t="str">
        <x:v>Boarded</x:v>
      </x:c>
      <x:c r="I378" s="8" t="n">
        <x:v>46299.48125</x:v>
      </x:c>
      <x:c r="J378" s="8" t="n">
        <x:v>46299.48127314814</x:v>
      </x:c>
      <x:c r="K378" s="8" t="n">
        <x:v>46299.48130787037</x:v>
      </x:c>
      <x:c r="L378" s="2" t="str">
        <x:v>Sent</x:v>
      </x:c>
      <x:c r="M378" s="2" t="n">
        <x:v>1</x:v>
      </x:c>
      <x:c r="N378" s="2"/>
      <x:c r="O378" s="2"/>
    </x:row>
    <x:row r="379" ht="21" customHeight="1">
      <x:c r="A379" s="2" t="str">
        <x:v>NT000378</x:v>
      </x:c>
      <x:c r="B379" s="2" t="str">
        <x:v>EV000380</x:v>
      </x:c>
      <x:c r="C379" s="2" t="str">
        <x:v>T20261004-2-3</x:v>
      </x:c>
      <x:c r="D379" s="2" t="str">
        <x:v>ST101</x:v>
      </x:c>
      <x:c r="E379" s="2" t="str">
        <x:v>G101</x:v>
      </x:c>
      <x:c r="F379" s="2" t="str">
        <x:v>guardian101@example.invalid</x:v>
      </x:c>
      <x:c r="G379" s="2" t="str">
        <x:v>Email</x:v>
      </x:c>
      <x:c r="H379" s="2" t="str">
        <x:v>School receipt</x:v>
      </x:c>
      <x:c r="I379" s="8" t="n">
        <x:v>46299.506250000006</x:v>
      </x:c>
      <x:c r="J379" s="8" t="n">
        <x:v>46299.50627314815</x:v>
      </x:c>
      <x:c r="K379" s="8" t="n">
        <x:v>46299.506307870375</x:v>
      </x:c>
      <x:c r="L379" s="2" t="str">
        <x:v>Sent</x:v>
      </x:c>
      <x:c r="M379" s="2" t="n">
        <x:v>1</x:v>
      </x:c>
      <x:c r="N379" s="2"/>
      <x:c r="O379" s="2"/>
    </x:row>
    <x:row r="380" ht="21" customHeight="1">
      <x:c r="A380" s="2" t="str">
        <x:v>NT000379</x:v>
      </x:c>
      <x:c r="B380" s="2" t="str">
        <x:v>EV000381</x:v>
      </x:c>
      <x:c r="C380" s="2" t="str">
        <x:v>T20261004-2-3</x:v>
      </x:c>
      <x:c r="D380" s="2" t="str">
        <x:v>ST102</x:v>
      </x:c>
      <x:c r="E380" s="2" t="str">
        <x:v>G102</x:v>
      </x:c>
      <x:c r="F380" s="2" t="str">
        <x:v>guardian102@example.invalid</x:v>
      </x:c>
      <x:c r="G380" s="2" t="str">
        <x:v>Email</x:v>
      </x:c>
      <x:c r="H380" s="2" t="str">
        <x:v>Boarded</x:v>
      </x:c>
      <x:c r="I380" s="8" t="n">
        <x:v>46299.4715625</x:v>
      </x:c>
      <x:c r="J380" s="8" t="n">
        <x:v>46299.47158564815</x:v>
      </x:c>
      <x:c r="K380" s="8" t="n">
        <x:v>46299.47162037037</x:v>
      </x:c>
      <x:c r="L380" s="2" t="str">
        <x:v>Sent</x:v>
      </x:c>
      <x:c r="M380" s="2" t="n">
        <x:v>1</x:v>
      </x:c>
      <x:c r="N380" s="2"/>
      <x:c r="O380" s="2"/>
    </x:row>
    <x:row r="381" ht="21" customHeight="1">
      <x:c r="A381" s="2" t="str">
        <x:v>NT000380</x:v>
      </x:c>
      <x:c r="B381" s="2" t="str">
        <x:v>EV000382</x:v>
      </x:c>
      <x:c r="C381" s="2" t="str">
        <x:v>T20261004-2-3</x:v>
      </x:c>
      <x:c r="D381" s="2" t="str">
        <x:v>ST102</x:v>
      </x:c>
      <x:c r="E381" s="2" t="str">
        <x:v>G102</x:v>
      </x:c>
      <x:c r="F381" s="2" t="str">
        <x:v>guardian102@example.invalid</x:v>
      </x:c>
      <x:c r="G381" s="2" t="str">
        <x:v>Email</x:v>
      </x:c>
      <x:c r="H381" s="2" t="str">
        <x:v>School receipt</x:v>
      </x:c>
      <x:c r="I381" s="8" t="n">
        <x:v>46299.50628472223</x:v>
      </x:c>
      <x:c r="J381" s="8" t="n">
        <x:v>46299.506307870375</x:v>
      </x:c>
      <x:c r="K381" s="8" t="n">
        <x:v>46299.5063425926</x:v>
      </x:c>
      <x:c r="L381" s="2" t="str">
        <x:v>Sent</x:v>
      </x:c>
      <x:c r="M381" s="2" t="n">
        <x:v>1</x:v>
      </x:c>
      <x:c r="N381" s="2"/>
      <x:c r="O381" s="2"/>
    </x:row>
    <x:row r="382" ht="21" customHeight="1">
      <x:c r="A382" s="2" t="str">
        <x:v>NT000381</x:v>
      </x:c>
      <x:c r="B382" s="2" t="str">
        <x:v>EV000383</x:v>
      </x:c>
      <x:c r="C382" s="2" t="str">
        <x:v>T20261004-2-3</x:v>
      </x:c>
      <x:c r="D382" s="2" t="str">
        <x:v>ST103</x:v>
      </x:c>
      <x:c r="E382" s="2" t="str">
        <x:v>G103</x:v>
      </x:c>
      <x:c r="F382" s="2" t="str">
        <x:v>guardian103@example.invalid</x:v>
      </x:c>
      <x:c r="G382" s="2" t="str">
        <x:v>Email</x:v>
      </x:c>
      <x:c r="H382" s="2" t="str">
        <x:v>Boarded</x:v>
      </x:c>
      <x:c r="I382" s="8" t="n">
        <x:v>46299.47645833333</x:v>
      </x:c>
      <x:c r="J382" s="8" t="n">
        <x:v>46299.47648148148</x:v>
      </x:c>
      <x:c r="K382" s="8" t="n">
        <x:v>46299.4765162037</x:v>
      </x:c>
      <x:c r="L382" s="2" t="str">
        <x:v>Sent</x:v>
      </x:c>
      <x:c r="M382" s="2" t="n">
        <x:v>1</x:v>
      </x:c>
      <x:c r="N382" s="2"/>
      <x:c r="O382" s="2"/>
    </x:row>
    <x:row r="383" ht="21" customHeight="1">
      <x:c r="A383" s="2" t="str">
        <x:v>NT000382</x:v>
      </x:c>
      <x:c r="B383" s="2" t="str">
        <x:v>EV000384</x:v>
      </x:c>
      <x:c r="C383" s="2" t="str">
        <x:v>T20261004-2-3</x:v>
      </x:c>
      <x:c r="D383" s="2" t="str">
        <x:v>ST103</x:v>
      </x:c>
      <x:c r="E383" s="2" t="str">
        <x:v>G103</x:v>
      </x:c>
      <x:c r="F383" s="2" t="str">
        <x:v>guardian103@example.invalid</x:v>
      </x:c>
      <x:c r="G383" s="2" t="str">
        <x:v>Email</x:v>
      </x:c>
      <x:c r="H383" s="2" t="str">
        <x:v>School receipt</x:v>
      </x:c>
      <x:c r="I383" s="8" t="n">
        <x:v>46299.506319444445</x:v>
      </x:c>
      <x:c r="J383" s="8" t="n">
        <x:v>46299.50634259259</x:v>
      </x:c>
      <x:c r="K383" s="8" t="n">
        <x:v>46299.506377314814</x:v>
      </x:c>
      <x:c r="L383" s="2" t="str">
        <x:v>Sent</x:v>
      </x:c>
      <x:c r="M383" s="2" t="n">
        <x:v>1</x:v>
      </x:c>
      <x:c r="N383" s="2"/>
      <x:c r="O383" s="2"/>
    </x:row>
    <x:row r="384" ht="21" customHeight="1">
      <x:c r="A384" s="2" t="str">
        <x:v>NT000383</x:v>
      </x:c>
      <x:c r="B384" s="2" t="str">
        <x:v>EV000385</x:v>
      </x:c>
      <x:c r="C384" s="2" t="str">
        <x:v>T20261004-2-3</x:v>
      </x:c>
      <x:c r="D384" s="2" t="str">
        <x:v>ST104</x:v>
      </x:c>
      <x:c r="E384" s="2" t="str">
        <x:v>G104</x:v>
      </x:c>
      <x:c r="F384" s="2" t="str">
        <x:v>guardian104@example.invalid</x:v>
      </x:c>
      <x:c r="G384" s="2" t="str">
        <x:v>Email</x:v>
      </x:c>
      <x:c r="H384" s="2" t="str">
        <x:v>Boarded</x:v>
      </x:c>
      <x:c r="I384" s="8" t="n">
        <x:v>46299.481354166666</x:v>
      </x:c>
      <x:c r="J384" s="8" t="n">
        <x:v>46299.48137731481</x:v>
      </x:c>
      <x:c r="K384" s="8" t="n">
        <x:v>46299.481412037036</x:v>
      </x:c>
      <x:c r="L384" s="2" t="str">
        <x:v>Sent</x:v>
      </x:c>
      <x:c r="M384" s="2" t="n">
        <x:v>1</x:v>
      </x:c>
      <x:c r="N384" s="2"/>
      <x:c r="O384" s="2"/>
    </x:row>
    <x:row r="385" ht="21" customHeight="1">
      <x:c r="A385" s="2" t="str">
        <x:v>NT000384</x:v>
      </x:c>
      <x:c r="B385" s="2" t="str">
        <x:v>EV000386</x:v>
      </x:c>
      <x:c r="C385" s="2" t="str">
        <x:v>T20261004-2-3</x:v>
      </x:c>
      <x:c r="D385" s="2" t="str">
        <x:v>ST104</x:v>
      </x:c>
      <x:c r="E385" s="2" t="str">
        <x:v>G104</x:v>
      </x:c>
      <x:c r="F385" s="2" t="str">
        <x:v>guardian104@example.invalid</x:v>
      </x:c>
      <x:c r="G385" s="2" t="str">
        <x:v>Email</x:v>
      </x:c>
      <x:c r="H385" s="2" t="str">
        <x:v>School receipt</x:v>
      </x:c>
      <x:c r="I385" s="8" t="n">
        <x:v>46299.50635416667</x:v>
      </x:c>
      <x:c r="J385" s="8" t="n">
        <x:v>46299.506377314814</x:v>
      </x:c>
      <x:c r="K385" s="8" t="n">
        <x:v>46299.50641203704</x:v>
      </x:c>
      <x:c r="L385" s="2" t="str">
        <x:v>Sent</x:v>
      </x:c>
      <x:c r="M385" s="2" t="n">
        <x:v>1</x:v>
      </x:c>
      <x:c r="N385" s="2"/>
      <x:c r="O385" s="2"/>
    </x:row>
    <x:row r="386" ht="21" customHeight="1">
      <x:c r="A386" s="2" t="str">
        <x:v>NT000385</x:v>
      </x:c>
      <x:c r="B386" s="2" t="str">
        <x:v>EV000387</x:v>
      </x:c>
      <x:c r="C386" s="2" t="str">
        <x:v>T20261004-2-3</x:v>
      </x:c>
      <x:c r="D386" s="2" t="str">
        <x:v>ST105</x:v>
      </x:c>
      <x:c r="E386" s="2" t="str">
        <x:v>G105</x:v>
      </x:c>
      <x:c r="F386" s="2" t="str">
        <x:v>guardian105@example.invalid</x:v>
      </x:c>
      <x:c r="G386" s="2" t="str">
        <x:v>Email</x:v>
      </x:c>
      <x:c r="H386" s="2" t="str">
        <x:v>Boarded</x:v>
      </x:c>
      <x:c r="I386" s="8" t="n">
        <x:v>46299.47166666667</x:v>
      </x:c>
      <x:c r="J386" s="8" t="n">
        <x:v>46299.47168981482</x:v>
      </x:c>
      <x:c r="K386" s="8" t="n">
        <x:v>46299.47172453704</x:v>
      </x:c>
      <x:c r="L386" s="2" t="str">
        <x:v>Sent</x:v>
      </x:c>
      <x:c r="M386" s="2" t="n">
        <x:v>1</x:v>
      </x:c>
      <x:c r="N386" s="2"/>
      <x:c r="O386" s="2"/>
    </x:row>
    <x:row r="387" ht="21" customHeight="1">
      <x:c r="A387" s="2" t="str">
        <x:v>NT000386</x:v>
      </x:c>
      <x:c r="B387" s="2" t="str">
        <x:v>EV000388</x:v>
      </x:c>
      <x:c r="C387" s="2" t="str">
        <x:v>T20261004-2-3</x:v>
      </x:c>
      <x:c r="D387" s="2" t="str">
        <x:v>ST105</x:v>
      </x:c>
      <x:c r="E387" s="2" t="str">
        <x:v>G105</x:v>
      </x:c>
      <x:c r="F387" s="2" t="str">
        <x:v>guardian105@example.invalid</x:v>
      </x:c>
      <x:c r="G387" s="2" t="str">
        <x:v>Email</x:v>
      </x:c>
      <x:c r="H387" s="2" t="str">
        <x:v>School receipt</x:v>
      </x:c>
      <x:c r="I387" s="8" t="n">
        <x:v>46299.50638888889</x:v>
      </x:c>
      <x:c r="J387" s="8" t="n">
        <x:v>46299.50641203704</x:v>
      </x:c>
      <x:c r="K387" s="8" t="n">
        <x:v>46299.50644675926</x:v>
      </x:c>
      <x:c r="L387" s="2" t="str">
        <x:v>Sent</x:v>
      </x:c>
      <x:c r="M387" s="2" t="n">
        <x:v>1</x:v>
      </x:c>
      <x:c r="N387" s="2"/>
      <x:c r="O387" s="2"/>
    </x:row>
    <x:row r="388" ht="21" customHeight="1">
      <x:c r="A388" s="2" t="str">
        <x:v>NT000387</x:v>
      </x:c>
      <x:c r="B388" s="2" t="str">
        <x:v>EV000389</x:v>
      </x:c>
      <x:c r="C388" s="2" t="str">
        <x:v>T20261004-2-3</x:v>
      </x:c>
      <x:c r="D388" s="2" t="str">
        <x:v>ST106</x:v>
      </x:c>
      <x:c r="E388" s="2" t="str">
        <x:v>G106</x:v>
      </x:c>
      <x:c r="F388" s="2" t="str">
        <x:v>guardian106@example.invalid</x:v>
      </x:c>
      <x:c r="G388" s="2" t="str">
        <x:v>Email</x:v>
      </x:c>
      <x:c r="H388" s="2" t="str">
        <x:v>Boarded</x:v>
      </x:c>
      <x:c r="I388" s="8" t="n">
        <x:v>46299.47656249999</x:v>
      </x:c>
      <x:c r="J388" s="8" t="n">
        <x:v>46299.47658564814</x:v>
      </x:c>
      <x:c r="K388" s="8" t="n">
        <x:v>46299.47662037036</x:v>
      </x:c>
      <x:c r="L388" s="2" t="str">
        <x:v>Sent</x:v>
      </x:c>
      <x:c r="M388" s="2" t="n">
        <x:v>1</x:v>
      </x:c>
      <x:c r="N388" s="2"/>
      <x:c r="O388" s="2"/>
    </x:row>
    <x:row r="389" ht="21" customHeight="1">
      <x:c r="A389" s="2" t="str">
        <x:v>NT000388</x:v>
      </x:c>
      <x:c r="B389" s="2" t="str">
        <x:v>EV000390</x:v>
      </x:c>
      <x:c r="C389" s="2" t="str">
        <x:v>T20261004-2-3</x:v>
      </x:c>
      <x:c r="D389" s="2" t="str">
        <x:v>ST106</x:v>
      </x:c>
      <x:c r="E389" s="2" t="str">
        <x:v>G106</x:v>
      </x:c>
      <x:c r="F389" s="2" t="str">
        <x:v>guardian106@example.invalid</x:v>
      </x:c>
      <x:c r="G389" s="2" t="str">
        <x:v>Email</x:v>
      </x:c>
      <x:c r="H389" s="2" t="str">
        <x:v>School receipt</x:v>
      </x:c>
      <x:c r="I389" s="8" t="n">
        <x:v>46299.506423611114</x:v>
      </x:c>
      <x:c r="J389" s="8" t="n">
        <x:v>46299.50644675926</x:v>
      </x:c>
      <x:c r="K389" s="8" t="n">
        <x:v>46299.50648148148</x:v>
      </x:c>
      <x:c r="L389" s="2" t="str">
        <x:v>Sent</x:v>
      </x:c>
      <x:c r="M389" s="2" t="n">
        <x:v>1</x:v>
      </x:c>
      <x:c r="N389" s="2"/>
      <x:c r="O389" s="2"/>
    </x:row>
    <x:row r="390" ht="21" customHeight="1">
      <x:c r="A390" s="2" t="str">
        <x:v>NT000389</x:v>
      </x:c>
      <x:c r="B390" s="2" t="str">
        <x:v>EV000391</x:v>
      </x:c>
      <x:c r="C390" s="2" t="str">
        <x:v>T20261004-2-3</x:v>
      </x:c>
      <x:c r="D390" s="2" t="str">
        <x:v>ST107</x:v>
      </x:c>
      <x:c r="E390" s="2" t="str">
        <x:v>G107</x:v>
      </x:c>
      <x:c r="F390" s="2" t="str">
        <x:v>guardian107@example.invalid</x:v>
      </x:c>
      <x:c r="G390" s="2" t="str">
        <x:v>Email</x:v>
      </x:c>
      <x:c r="H390" s="2" t="str">
        <x:v>Boarded</x:v>
      </x:c>
      <x:c r="I390" s="8" t="n">
        <x:v>46299.48145833333</x:v>
      </x:c>
      <x:c r="J390" s="8" t="n">
        <x:v>46299.481481481474</x:v>
      </x:c>
      <x:c r="K390" s="8" t="n">
        <x:v>46299.4815162037</x:v>
      </x:c>
      <x:c r="L390" s="2" t="str">
        <x:v>Sent</x:v>
      </x:c>
      <x:c r="M390" s="2" t="n">
        <x:v>1</x:v>
      </x:c>
      <x:c r="N390" s="2"/>
      <x:c r="O390" s="2"/>
    </x:row>
    <x:row r="391" ht="21" customHeight="1">
      <x:c r="A391" s="2" t="str">
        <x:v>NT000390</x:v>
      </x:c>
      <x:c r="B391" s="2" t="str">
        <x:v>EV000392</x:v>
      </x:c>
      <x:c r="C391" s="2" t="str">
        <x:v>T20261004-2-3</x:v>
      </x:c>
      <x:c r="D391" s="2" t="str">
        <x:v>ST107</x:v>
      </x:c>
      <x:c r="E391" s="2" t="str">
        <x:v>G107</x:v>
      </x:c>
      <x:c r="F391" s="2" t="str">
        <x:v>guardian107@example.invalid</x:v>
      </x:c>
      <x:c r="G391" s="2" t="str">
        <x:v>Email</x:v>
      </x:c>
      <x:c r="H391" s="2" t="str">
        <x:v>School receipt</x:v>
      </x:c>
      <x:c r="I391" s="8" t="n">
        <x:v>46299.50645833334</x:v>
      </x:c>
      <x:c r="J391" s="8" t="n">
        <x:v>46299.50648148148</x:v>
      </x:c>
      <x:c r="K391" s="8" t="n">
        <x:v>46299.506516203706</x:v>
      </x:c>
      <x:c r="L391" s="2" t="str">
        <x:v>Sent</x:v>
      </x:c>
      <x:c r="M391" s="2" t="n">
        <x:v>1</x:v>
      </x:c>
      <x:c r="N391" s="2"/>
      <x:c r="O391" s="2"/>
    </x:row>
    <x:row r="392" ht="21" customHeight="1">
      <x:c r="A392" s="2" t="str">
        <x:v>NT000391</x:v>
      </x:c>
      <x:c r="B392" s="2" t="str">
        <x:v>EV000393</x:v>
      </x:c>
      <x:c r="C392" s="2" t="str">
        <x:v>T20261004-2-3</x:v>
      </x:c>
      <x:c r="D392" s="2" t="str">
        <x:v>ST108</x:v>
      </x:c>
      <x:c r="E392" s="2" t="str">
        <x:v>G108</x:v>
      </x:c>
      <x:c r="F392" s="2" t="str">
        <x:v>guardian108@example.invalid</x:v>
      </x:c>
      <x:c r="G392" s="2" t="str">
        <x:v>Email</x:v>
      </x:c>
      <x:c r="H392" s="2" t="str">
        <x:v>Boarded</x:v>
      </x:c>
      <x:c r="I392" s="8" t="n">
        <x:v>46299.471770833334</x:v>
      </x:c>
      <x:c r="J392" s="8" t="n">
        <x:v>46299.47179398148</x:v>
      </x:c>
      <x:c r="K392" s="8" t="n">
        <x:v>46299.4718287037</x:v>
      </x:c>
      <x:c r="L392" s="2" t="str">
        <x:v>Sent</x:v>
      </x:c>
      <x:c r="M392" s="2" t="n">
        <x:v>1</x:v>
      </x:c>
      <x:c r="N392" s="2"/>
      <x:c r="O392" s="2"/>
    </x:row>
    <x:row r="393" ht="21" customHeight="1">
      <x:c r="A393" s="2" t="str">
        <x:v>NT000392</x:v>
      </x:c>
      <x:c r="B393" s="2" t="str">
        <x:v>EV000394</x:v>
      </x:c>
      <x:c r="C393" s="2" t="str">
        <x:v>T20261004-2-3</x:v>
      </x:c>
      <x:c r="D393" s="2" t="str">
        <x:v>ST108</x:v>
      </x:c>
      <x:c r="E393" s="2" t="str">
        <x:v>G108</x:v>
      </x:c>
      <x:c r="F393" s="2" t="str">
        <x:v>guardian108@example.invalid</x:v>
      </x:c>
      <x:c r="G393" s="2" t="str">
        <x:v>Email</x:v>
      </x:c>
      <x:c r="H393" s="2" t="str">
        <x:v>School receipt</x:v>
      </x:c>
      <x:c r="I393" s="8" t="n">
        <x:v>46299.50649305556</x:v>
      </x:c>
      <x:c r="J393" s="8" t="n">
        <x:v>46299.506516203706</x:v>
      </x:c>
      <x:c r="K393" s="8" t="n">
        <x:v>46299.50655092593</x:v>
      </x:c>
      <x:c r="L393" s="2" t="str">
        <x:v>Sent</x:v>
      </x:c>
      <x:c r="M393" s="2" t="n">
        <x:v>1</x:v>
      </x:c>
      <x:c r="N393" s="2"/>
      <x:c r="O393" s="2"/>
    </x:row>
    <x:row r="394" ht="21" customHeight="1">
      <x:c r="A394" s="2" t="str">
        <x:v>NT000393</x:v>
      </x:c>
      <x:c r="B394" s="2" t="str">
        <x:v>EV000395</x:v>
      </x:c>
      <x:c r="C394" s="2" t="str">
        <x:v>T20261004-2-3</x:v>
      </x:c>
      <x:c r="D394" s="2" t="str">
        <x:v>ST109</x:v>
      </x:c>
      <x:c r="E394" s="2" t="str">
        <x:v>G109</x:v>
      </x:c>
      <x:c r="F394" s="2" t="str">
        <x:v>guardian109@example.invalid</x:v>
      </x:c>
      <x:c r="G394" s="2" t="str">
        <x:v>Email</x:v>
      </x:c>
      <x:c r="H394" s="2" t="str">
        <x:v>Boarded</x:v>
      </x:c>
      <x:c r="I394" s="8" t="n">
        <x:v>46299.47666666666</x:v>
      </x:c>
      <x:c r="J394" s="8" t="n">
        <x:v>46299.47668981481</x:v>
      </x:c>
      <x:c r="K394" s="8" t="n">
        <x:v>46299.47672453703</x:v>
      </x:c>
      <x:c r="L394" s="2" t="str">
        <x:v>Sent</x:v>
      </x:c>
      <x:c r="M394" s="2" t="n">
        <x:v>1</x:v>
      </x:c>
      <x:c r="N394" s="2"/>
      <x:c r="O394" s="2"/>
    </x:row>
    <x:row r="395" ht="21" customHeight="1">
      <x:c r="A395" s="2" t="str">
        <x:v>NT000394</x:v>
      </x:c>
      <x:c r="B395" s="2" t="str">
        <x:v>EV000396</x:v>
      </x:c>
      <x:c r="C395" s="2" t="str">
        <x:v>T20261004-2-3</x:v>
      </x:c>
      <x:c r="D395" s="2" t="str">
        <x:v>ST109</x:v>
      </x:c>
      <x:c r="E395" s="2" t="str">
        <x:v>G109</x:v>
      </x:c>
      <x:c r="F395" s="2" t="str">
        <x:v>guardian109@example.invalid</x:v>
      </x:c>
      <x:c r="G395" s="2" t="str">
        <x:v>Email</x:v>
      </x:c>
      <x:c r="H395" s="2" t="str">
        <x:v>School receipt</x:v>
      </x:c>
      <x:c r="I395" s="8" t="n">
        <x:v>46299.50652777778</x:v>
      </x:c>
      <x:c r="J395" s="8" t="n">
        <x:v>46299.50655092593</x:v>
      </x:c>
      <x:c r="K395" s="8" t="n">
        <x:v>46299.50658564815</x:v>
      </x:c>
      <x:c r="L395" s="2" t="str">
        <x:v>Sent</x:v>
      </x:c>
      <x:c r="M395" s="2" t="n">
        <x:v>1</x:v>
      </x:c>
      <x:c r="N395" s="2"/>
      <x:c r="O395" s="2"/>
    </x:row>
    <x:row r="396" ht="21" customHeight="1">
      <x:c r="A396" s="2" t="str">
        <x:v>NT000395</x:v>
      </x:c>
      <x:c r="B396" s="2" t="str">
        <x:v>EV000397</x:v>
      </x:c>
      <x:c r="C396" s="2" t="str">
        <x:v>T20261004-2-3</x:v>
      </x:c>
      <x:c r="D396" s="2" t="str">
        <x:v>ST110</x:v>
      </x:c>
      <x:c r="E396" s="2" t="str">
        <x:v>G110</x:v>
      </x:c>
      <x:c r="F396" s="2" t="str">
        <x:v>guardian110@example.invalid</x:v>
      </x:c>
      <x:c r="G396" s="2" t="str">
        <x:v>Email</x:v>
      </x:c>
      <x:c r="H396" s="2" t="str">
        <x:v>Boarded</x:v>
      </x:c>
      <x:c r="I396" s="8" t="n">
        <x:v>46299.4815625</x:v>
      </x:c>
      <x:c r="J396" s="8" t="n">
        <x:v>46299.481585648144</x:v>
      </x:c>
      <x:c r="K396" s="8" t="n">
        <x:v>46299.48162037037</x:v>
      </x:c>
      <x:c r="L396" s="2" t="str">
        <x:v>Sent</x:v>
      </x:c>
      <x:c r="M396" s="2" t="n">
        <x:v>1</x:v>
      </x:c>
      <x:c r="N396" s="2"/>
      <x:c r="O396" s="2"/>
    </x:row>
    <x:row r="397" ht="21" customHeight="1">
      <x:c r="A397" s="2" t="str">
        <x:v>NT000396</x:v>
      </x:c>
      <x:c r="B397" s="2" t="str">
        <x:v>EV000398</x:v>
      </x:c>
      <x:c r="C397" s="2" t="str">
        <x:v>T20261004-2-3</x:v>
      </x:c>
      <x:c r="D397" s="2" t="str">
        <x:v>ST110</x:v>
      </x:c>
      <x:c r="E397" s="2" t="str">
        <x:v>G110</x:v>
      </x:c>
      <x:c r="F397" s="2" t="str">
        <x:v>guardian110@example.invalid</x:v>
      </x:c>
      <x:c r="G397" s="2" t="str">
        <x:v>Email</x:v>
      </x:c>
      <x:c r="H397" s="2" t="str">
        <x:v>School receipt</x:v>
      </x:c>
      <x:c r="I397" s="8" t="n">
        <x:v>46299.506562500006</x:v>
      </x:c>
      <x:c r="J397" s="8" t="n">
        <x:v>46299.50658564815</x:v>
      </x:c>
      <x:c r="K397" s="8" t="n">
        <x:v>46299.506620370375</x:v>
      </x:c>
      <x:c r="L397" s="2" t="str">
        <x:v>Sent</x:v>
      </x:c>
      <x:c r="M397" s="2" t="n">
        <x:v>1</x:v>
      </x:c>
      <x:c r="N397" s="2"/>
      <x:c r="O397" s="2"/>
    </x:row>
    <x:row r="398" ht="21" customHeight="1">
      <x:c r="A398" s="2" t="str">
        <x:v>NT000397</x:v>
      </x:c>
      <x:c r="B398" s="2" t="str">
        <x:v>EV000399</x:v>
      </x:c>
      <x:c r="C398" s="2" t="str">
        <x:v>T20261004-2-3</x:v>
      </x:c>
      <x:c r="D398" s="2" t="str">
        <x:v>ST111</x:v>
      </x:c>
      <x:c r="E398" s="2" t="str">
        <x:v>G111</x:v>
      </x:c>
      <x:c r="F398" s="2" t="str">
        <x:v>guardian111@example.invalid</x:v>
      </x:c>
      <x:c r="G398" s="2" t="str">
        <x:v>Email</x:v>
      </x:c>
      <x:c r="H398" s="2" t="str">
        <x:v>Boarded</x:v>
      </x:c>
      <x:c r="I398" s="8" t="n">
        <x:v>46299.47152777778</x:v>
      </x:c>
      <x:c r="J398" s="8" t="n">
        <x:v>46299.471550925926</x:v>
      </x:c>
      <x:c r="K398" s="8" t="n">
        <x:v>46299.47158564815</x:v>
      </x:c>
      <x:c r="L398" s="2" t="str">
        <x:v>Sent</x:v>
      </x:c>
      <x:c r="M398" s="2" t="n">
        <x:v>1</x:v>
      </x:c>
      <x:c r="N398" s="2"/>
      <x:c r="O398" s="2"/>
    </x:row>
    <x:row r="399" ht="21" customHeight="1">
      <x:c r="A399" s="2" t="str">
        <x:v>NT000398</x:v>
      </x:c>
      <x:c r="B399" s="2" t="str">
        <x:v>EV000400</x:v>
      </x:c>
      <x:c r="C399" s="2" t="str">
        <x:v>T20261004-2-3</x:v>
      </x:c>
      <x:c r="D399" s="2" t="str">
        <x:v>ST111</x:v>
      </x:c>
      <x:c r="E399" s="2" t="str">
        <x:v>G111</x:v>
      </x:c>
      <x:c r="F399" s="2" t="str">
        <x:v>guardian111@example.invalid</x:v>
      </x:c>
      <x:c r="G399" s="2" t="str">
        <x:v>Email</x:v>
      </x:c>
      <x:c r="H399" s="2" t="str">
        <x:v>School receipt</x:v>
      </x:c>
      <x:c r="I399" s="8" t="n">
        <x:v>46299.50659722223</x:v>
      </x:c>
      <x:c r="J399" s="8" t="n">
        <x:v>46299.506620370375</x:v>
      </x:c>
      <x:c r="K399" s="8" t="n">
        <x:v>46299.5066550926</x:v>
      </x:c>
      <x:c r="L399" s="2" t="str">
        <x:v>Sent</x:v>
      </x:c>
      <x:c r="M399" s="2" t="n">
        <x:v>1</x:v>
      </x:c>
      <x:c r="N399" s="2"/>
      <x:c r="O399" s="2"/>
    </x:row>
    <x:row r="400" ht="21" customHeight="1">
      <x:c r="A400" s="2" t="str">
        <x:v>NT000399</x:v>
      </x:c>
      <x:c r="B400" s="2" t="str">
        <x:v>EV000401</x:v>
      </x:c>
      <x:c r="C400" s="2" t="str">
        <x:v>T20261004-2-3</x:v>
      </x:c>
      <x:c r="D400" s="2" t="str">
        <x:v>ST112</x:v>
      </x:c>
      <x:c r="E400" s="2" t="str">
        <x:v>G112</x:v>
      </x:c>
      <x:c r="F400" s="2" t="str">
        <x:v>guardian112@example.invalid</x:v>
      </x:c>
      <x:c r="G400" s="2" t="str">
        <x:v>Email</x:v>
      </x:c>
      <x:c r="H400" s="2" t="str">
        <x:v>Boarded</x:v>
      </x:c>
      <x:c r="I400" s="8" t="n">
        <x:v>46299.47642361111</x:v>
      </x:c>
      <x:c r="J400" s="8" t="n">
        <x:v>46299.476446759254</x:v>
      </x:c>
      <x:c r="K400" s="8" t="n">
        <x:v>46299.47648148148</x:v>
      </x:c>
      <x:c r="L400" s="2" t="str">
        <x:v>Sent</x:v>
      </x:c>
      <x:c r="M400" s="2" t="n">
        <x:v>1</x:v>
      </x:c>
      <x:c r="N400" s="2"/>
      <x:c r="O400" s="2"/>
    </x:row>
    <x:row r="401" ht="21" customHeight="1">
      <x:c r="A401" s="2" t="str">
        <x:v>NT000400</x:v>
      </x:c>
      <x:c r="B401" s="2" t="str">
        <x:v>EV000402</x:v>
      </x:c>
      <x:c r="C401" s="2" t="str">
        <x:v>T20261004-2-3</x:v>
      </x:c>
      <x:c r="D401" s="2" t="str">
        <x:v>ST112</x:v>
      </x:c>
      <x:c r="E401" s="2" t="str">
        <x:v>G112</x:v>
      </x:c>
      <x:c r="F401" s="2" t="str">
        <x:v>guardian112@example.invalid</x:v>
      </x:c>
      <x:c r="G401" s="2" t="str">
        <x:v>Email</x:v>
      </x:c>
      <x:c r="H401" s="2" t="str">
        <x:v>School receipt</x:v>
      </x:c>
      <x:c r="I401" s="8" t="n">
        <x:v>46299.506631944445</x:v>
      </x:c>
      <x:c r="J401" s="8" t="n">
        <x:v>46299.50665509259</x:v>
      </x:c>
      <x:c r="K401" s="8" t="n">
        <x:v>46299.506689814814</x:v>
      </x:c>
      <x:c r="L401" s="2" t="str">
        <x:v>Sent</x:v>
      </x:c>
      <x:c r="M401" s="2" t="n">
        <x:v>1</x:v>
      </x:c>
      <x:c r="N401" s="2"/>
      <x:c r="O401" s="2"/>
    </x:row>
    <x:row r="402" ht="21" customHeight="1">
      <x:c r="A402" s="2" t="str">
        <x:v>NT000401</x:v>
      </x:c>
      <x:c r="B402" s="2" t="str">
        <x:v>EV000403</x:v>
      </x:c>
      <x:c r="C402" s="2" t="str">
        <x:v>T20261004-2-3</x:v>
      </x:c>
      <x:c r="D402" s="2" t="str">
        <x:v>ST113</x:v>
      </x:c>
      <x:c r="E402" s="2" t="str">
        <x:v>G113</x:v>
      </x:c>
      <x:c r="F402" s="2" t="str">
        <x:v>guardian113@example.invalid</x:v>
      </x:c>
      <x:c r="G402" s="2" t="str">
        <x:v>Email</x:v>
      </x:c>
      <x:c r="H402" s="2" t="str">
        <x:v>Boarded</x:v>
      </x:c>
      <x:c r="I402" s="8" t="n">
        <x:v>46299.48131944444</x:v>
      </x:c>
      <x:c r="J402" s="8" t="n">
        <x:v>46299.48134259259</x:v>
      </x:c>
      <x:c r="K402" s="8" t="n">
        <x:v>46299.48137731481</x:v>
      </x:c>
      <x:c r="L402" s="2" t="str">
        <x:v>Sent</x:v>
      </x:c>
      <x:c r="M402" s="2" t="n">
        <x:v>1</x:v>
      </x:c>
      <x:c r="N402" s="2"/>
      <x:c r="O402" s="2"/>
    </x:row>
    <x:row r="403" ht="21" customHeight="1">
      <x:c r="A403" s="2" t="str">
        <x:v>NT000402</x:v>
      </x:c>
      <x:c r="B403" s="2" t="str">
        <x:v>EV000404</x:v>
      </x:c>
      <x:c r="C403" s="2" t="str">
        <x:v>T20261004-2-3</x:v>
      </x:c>
      <x:c r="D403" s="2" t="str">
        <x:v>ST113</x:v>
      </x:c>
      <x:c r="E403" s="2" t="str">
        <x:v>G113</x:v>
      </x:c>
      <x:c r="F403" s="2" t="str">
        <x:v>guardian113@example.invalid</x:v>
      </x:c>
      <x:c r="G403" s="2" t="str">
        <x:v>Email</x:v>
      </x:c>
      <x:c r="H403" s="2" t="str">
        <x:v>School receipt</x:v>
      </x:c>
      <x:c r="I403" s="8" t="n">
        <x:v>46299.50666666667</x:v>
      </x:c>
      <x:c r="J403" s="8" t="n">
        <x:v>46299.506689814814</x:v>
      </x:c>
      <x:c r="K403" s="8" t="n">
        <x:v>46299.50672453704</x:v>
      </x:c>
      <x:c r="L403" s="2" t="str">
        <x:v>Sent</x:v>
      </x:c>
      <x:c r="M403" s="2" t="n">
        <x:v>1</x:v>
      </x:c>
      <x:c r="N403" s="2"/>
      <x:c r="O403" s="2"/>
    </x:row>
    <x:row r="404" ht="21" customHeight="1">
      <x:c r="A404" s="2" t="str">
        <x:v>NT000403</x:v>
      </x:c>
      <x:c r="B404" s="2" t="str">
        <x:v>EV000405</x:v>
      </x:c>
      <x:c r="C404" s="2" t="str">
        <x:v>T20261004-2-3</x:v>
      </x:c>
      <x:c r="D404" s="2" t="str">
        <x:v>ST114</x:v>
      </x:c>
      <x:c r="E404" s="2" t="str">
        <x:v>G114</x:v>
      </x:c>
      <x:c r="F404" s="2" t="str">
        <x:v>guardian114@example.invalid</x:v>
      </x:c>
      <x:c r="G404" s="2" t="str">
        <x:v>Email</x:v>
      </x:c>
      <x:c r="H404" s="2" t="str">
        <x:v>Boarded</x:v>
      </x:c>
      <x:c r="I404" s="8" t="n">
        <x:v>46299.47163194445</x:v>
      </x:c>
      <x:c r="J404" s="8" t="n">
        <x:v>46299.471655092595</x:v>
      </x:c>
      <x:c r="K404" s="8" t="n">
        <x:v>46299.47168981482</x:v>
      </x:c>
      <x:c r="L404" s="2" t="str">
        <x:v>Sent</x:v>
      </x:c>
      <x:c r="M404" s="2" t="n">
        <x:v>1</x:v>
      </x:c>
      <x:c r="N404" s="2"/>
      <x:c r="O404" s="2"/>
    </x:row>
    <x:row r="405" ht="21" customHeight="1">
      <x:c r="A405" s="2" t="str">
        <x:v>NT000404</x:v>
      </x:c>
      <x:c r="B405" s="2" t="str">
        <x:v>EV000406</x:v>
      </x:c>
      <x:c r="C405" s="2" t="str">
        <x:v>T20261004-2-3</x:v>
      </x:c>
      <x:c r="D405" s="2" t="str">
        <x:v>ST114</x:v>
      </x:c>
      <x:c r="E405" s="2" t="str">
        <x:v>G114</x:v>
      </x:c>
      <x:c r="F405" s="2" t="str">
        <x:v>guardian114@example.invalid</x:v>
      </x:c>
      <x:c r="G405" s="2" t="str">
        <x:v>Email</x:v>
      </x:c>
      <x:c r="H405" s="2" t="str">
        <x:v>School receipt</x:v>
      </x:c>
      <x:c r="I405" s="8" t="n">
        <x:v>46299.50670138889</x:v>
      </x:c>
      <x:c r="J405" s="8" t="n">
        <x:v>46299.50672453704</x:v>
      </x:c>
      <x:c r="K405" s="8" t="n">
        <x:v>46299.50675925926</x:v>
      </x:c>
      <x:c r="L405" s="2" t="str">
        <x:v>Sent</x:v>
      </x:c>
      <x:c r="M405" s="2" t="n">
        <x:v>1</x:v>
      </x:c>
      <x:c r="N405" s="2"/>
      <x:c r="O405" s="2"/>
    </x:row>
    <x:row r="406" ht="21" customHeight="1">
      <x:c r="A406" s="2" t="str">
        <x:v>NT000405</x:v>
      </x:c>
      <x:c r="B406" s="2" t="str">
        <x:v>EV000407</x:v>
      </x:c>
      <x:c r="C406" s="2" t="str">
        <x:v>T20261004-2-3</x:v>
      </x:c>
      <x:c r="D406" s="2" t="str">
        <x:v>ST115</x:v>
      </x:c>
      <x:c r="E406" s="2" t="str">
        <x:v>G115</x:v>
      </x:c>
      <x:c r="F406" s="2" t="str">
        <x:v>guardian115@example.invalid</x:v>
      </x:c>
      <x:c r="G406" s="2" t="str">
        <x:v>Email</x:v>
      </x:c>
      <x:c r="H406" s="2" t="str">
        <x:v>Boarded</x:v>
      </x:c>
      <x:c r="I406" s="8" t="n">
        <x:v>46299.47652777778</x:v>
      </x:c>
      <x:c r="J406" s="8" t="n">
        <x:v>46299.47655092592</x:v>
      </x:c>
      <x:c r="K406" s="8" t="n">
        <x:v>46299.476585648146</x:v>
      </x:c>
      <x:c r="L406" s="2" t="str">
        <x:v>Sent</x:v>
      </x:c>
      <x:c r="M406" s="2" t="n">
        <x:v>1</x:v>
      </x:c>
      <x:c r="N406" s="2"/>
      <x:c r="O406" s="2"/>
    </x:row>
    <x:row r="407" ht="21" customHeight="1">
      <x:c r="A407" s="2" t="str">
        <x:v>NT000406</x:v>
      </x:c>
      <x:c r="B407" s="2" t="str">
        <x:v>EV000408</x:v>
      </x:c>
      <x:c r="C407" s="2" t="str">
        <x:v>T20261004-2-3</x:v>
      </x:c>
      <x:c r="D407" s="2" t="str">
        <x:v>ST115</x:v>
      </x:c>
      <x:c r="E407" s="2" t="str">
        <x:v>G115</x:v>
      </x:c>
      <x:c r="F407" s="2" t="str">
        <x:v>guardian115@example.invalid</x:v>
      </x:c>
      <x:c r="G407" s="2" t="str">
        <x:v>Email</x:v>
      </x:c>
      <x:c r="H407" s="2" t="str">
        <x:v>School receipt</x:v>
      </x:c>
      <x:c r="I407" s="8" t="n">
        <x:v>46299.506736111114</x:v>
      </x:c>
      <x:c r="J407" s="8" t="n">
        <x:v>46299.50675925926</x:v>
      </x:c>
      <x:c r="K407" s="8" t="n">
        <x:v>46299.50679398148</x:v>
      </x:c>
      <x:c r="L407" s="2" t="str">
        <x:v>Sent</x:v>
      </x:c>
      <x:c r="M407" s="2" t="n">
        <x:v>1</x:v>
      </x:c>
      <x:c r="N407" s="2"/>
      <x:c r="O407" s="2"/>
    </x:row>
    <x:row r="408" ht="21" customHeight="1">
      <x:c r="A408" s="2" t="str">
        <x:v>NT000407</x:v>
      </x:c>
      <x:c r="B408" s="2" t="str">
        <x:v>EV000409</x:v>
      </x:c>
      <x:c r="C408" s="2" t="str">
        <x:v>T20261004-2-3</x:v>
      </x:c>
      <x:c r="D408" s="2" t="str">
        <x:v>ST116</x:v>
      </x:c>
      <x:c r="E408" s="2" t="str">
        <x:v>G116</x:v>
      </x:c>
      <x:c r="F408" s="2" t="str">
        <x:v>guardian116@example.invalid</x:v>
      </x:c>
      <x:c r="G408" s="2" t="str">
        <x:v>Email</x:v>
      </x:c>
      <x:c r="H408" s="2" t="str">
        <x:v>Boarded</x:v>
      </x:c>
      <x:c r="I408" s="8" t="n">
        <x:v>46299.481423611105</x:v>
      </x:c>
      <x:c r="J408" s="8" t="n">
        <x:v>46299.48144675925</x:v>
      </x:c>
      <x:c r="K408" s="8" t="n">
        <x:v>46299.481481481474</x:v>
      </x:c>
      <x:c r="L408" s="2" t="str">
        <x:v>Sent</x:v>
      </x:c>
      <x:c r="M408" s="2" t="n">
        <x:v>1</x:v>
      </x:c>
      <x:c r="N408" s="2"/>
      <x:c r="O408" s="2"/>
    </x:row>
    <x:row r="409" ht="21" customHeight="1">
      <x:c r="A409" s="2" t="str">
        <x:v>NT000408</x:v>
      </x:c>
      <x:c r="B409" s="2" t="str">
        <x:v>EV000410</x:v>
      </x:c>
      <x:c r="C409" s="2" t="str">
        <x:v>T20261004-2-3</x:v>
      </x:c>
      <x:c r="D409" s="2" t="str">
        <x:v>ST116</x:v>
      </x:c>
      <x:c r="E409" s="2" t="str">
        <x:v>G116</x:v>
      </x:c>
      <x:c r="F409" s="2" t="str">
        <x:v>guardian116@example.invalid</x:v>
      </x:c>
      <x:c r="G409" s="2" t="str">
        <x:v>Email</x:v>
      </x:c>
      <x:c r="H409" s="2" t="str">
        <x:v>School receipt</x:v>
      </x:c>
      <x:c r="I409" s="8" t="n">
        <x:v>46299.50677083334</x:v>
      </x:c>
      <x:c r="J409" s="8" t="n">
        <x:v>46299.50679398148</x:v>
      </x:c>
      <x:c r="K409" s="8" t="n">
        <x:v>46299.50682870371</x:v>
      </x:c>
      <x:c r="L409" s="2" t="str">
        <x:v>Sent</x:v>
      </x:c>
      <x:c r="M409" s="2" t="n">
        <x:v>1</x:v>
      </x:c>
      <x:c r="N409" s="2"/>
      <x:c r="O409" s="2"/>
    </x:row>
    <x:row r="410" ht="21" customHeight="1">
      <x:c r="A410" s="2" t="str">
        <x:v>NT000409</x:v>
      </x:c>
      <x:c r="B410" s="2" t="str">
        <x:v>EV000411</x:v>
      </x:c>
      <x:c r="C410" s="2" t="str">
        <x:v>T20261004-2-3</x:v>
      </x:c>
      <x:c r="D410" s="2" t="str">
        <x:v>ST117</x:v>
      </x:c>
      <x:c r="E410" s="2" t="str">
        <x:v>G117</x:v>
      </x:c>
      <x:c r="F410" s="2" t="str">
        <x:v>guardian117@example.invalid</x:v>
      </x:c>
      <x:c r="G410" s="2" t="str">
        <x:v>Email</x:v>
      </x:c>
      <x:c r="H410" s="2" t="str">
        <x:v>Boarded</x:v>
      </x:c>
      <x:c r="I410" s="8" t="n">
        <x:v>46299.47173611111</x:v>
      </x:c>
      <x:c r="J410" s="8" t="n">
        <x:v>46299.47175925926</x:v>
      </x:c>
      <x:c r="K410" s="8" t="n">
        <x:v>46299.47179398148</x:v>
      </x:c>
      <x:c r="L410" s="2" t="str">
        <x:v>Sent</x:v>
      </x:c>
      <x:c r="M410" s="2" t="n">
        <x:v>1</x:v>
      </x:c>
      <x:c r="N410" s="2"/>
      <x:c r="O410" s="2"/>
    </x:row>
    <x:row r="411" ht="21" customHeight="1">
      <x:c r="A411" s="2" t="str">
        <x:v>NT000410</x:v>
      </x:c>
      <x:c r="B411" s="2" t="str">
        <x:v>EV000412</x:v>
      </x:c>
      <x:c r="C411" s="2" t="str">
        <x:v>T20261004-2-3</x:v>
      </x:c>
      <x:c r="D411" s="2" t="str">
        <x:v>ST117</x:v>
      </x:c>
      <x:c r="E411" s="2" t="str">
        <x:v>G117</x:v>
      </x:c>
      <x:c r="F411" s="2" t="str">
        <x:v>guardian117@example.invalid</x:v>
      </x:c>
      <x:c r="G411" s="2" t="str">
        <x:v>Email</x:v>
      </x:c>
      <x:c r="H411" s="2" t="str">
        <x:v>School receipt</x:v>
      </x:c>
      <x:c r="I411" s="8" t="n">
        <x:v>46299.50680555556</x:v>
      </x:c>
      <x:c r="J411" s="8" t="n">
        <x:v>46299.50682870371</x:v>
      </x:c>
      <x:c r="K411" s="8" t="n">
        <x:v>46299.50686342593</x:v>
      </x:c>
      <x:c r="L411" s="2" t="str">
        <x:v>Sent</x:v>
      </x:c>
      <x:c r="M411" s="2" t="n">
        <x:v>1</x:v>
      </x:c>
      <x:c r="N411" s="2"/>
      <x:c r="O411" s="2"/>
    </x:row>
    <x:row r="412" ht="21" customHeight="1">
      <x:c r="A412" s="2" t="str">
        <x:v>NT000411</x:v>
      </x:c>
      <x:c r="B412" s="2" t="str">
        <x:v>EV000413</x:v>
      </x:c>
      <x:c r="C412" s="2" t="str">
        <x:v>T20261004-2-3</x:v>
      </x:c>
      <x:c r="D412" s="2" t="str">
        <x:v>ST118</x:v>
      </x:c>
      <x:c r="E412" s="2" t="str">
        <x:v>G118</x:v>
      </x:c>
      <x:c r="F412" s="2" t="str">
        <x:v>guardian118@example.invalid</x:v>
      </x:c>
      <x:c r="G412" s="2" t="str">
        <x:v>Email</x:v>
      </x:c>
      <x:c r="H412" s="2" t="str">
        <x:v>Boarded</x:v>
      </x:c>
      <x:c r="I412" s="8" t="n">
        <x:v>46299.47663194444</x:v>
      </x:c>
      <x:c r="J412" s="8" t="n">
        <x:v>46299.476655092585</x:v>
      </x:c>
      <x:c r="K412" s="8" t="n">
        <x:v>46299.47668981481</x:v>
      </x:c>
      <x:c r="L412" s="2" t="str">
        <x:v>Sent</x:v>
      </x:c>
      <x:c r="M412" s="2" t="n">
        <x:v>1</x:v>
      </x:c>
      <x:c r="N412" s="2"/>
      <x:c r="O412" s="2"/>
    </x:row>
    <x:row r="413" ht="21" customHeight="1">
      <x:c r="A413" s="2" t="str">
        <x:v>NT000412</x:v>
      </x:c>
      <x:c r="B413" s="2" t="str">
        <x:v>EV000414</x:v>
      </x:c>
      <x:c r="C413" s="2" t="str">
        <x:v>T20261004-2-3</x:v>
      </x:c>
      <x:c r="D413" s="2" t="str">
        <x:v>ST118</x:v>
      </x:c>
      <x:c r="E413" s="2" t="str">
        <x:v>G118</x:v>
      </x:c>
      <x:c r="F413" s="2" t="str">
        <x:v>guardian118@example.invalid</x:v>
      </x:c>
      <x:c r="G413" s="2" t="str">
        <x:v>Email</x:v>
      </x:c>
      <x:c r="H413" s="2" t="str">
        <x:v>School receipt</x:v>
      </x:c>
      <x:c r="I413" s="8" t="n">
        <x:v>46299.50684027778</x:v>
      </x:c>
      <x:c r="J413" s="8" t="n">
        <x:v>46299.50686342593</x:v>
      </x:c>
      <x:c r="K413" s="8" t="n">
        <x:v>46299.50689814815</x:v>
      </x:c>
      <x:c r="L413" s="2" t="str">
        <x:v>Sent</x:v>
      </x:c>
      <x:c r="M413" s="2" t="n">
        <x:v>1</x:v>
      </x:c>
      <x:c r="N413" s="2"/>
      <x:c r="O413" s="2"/>
    </x:row>
    <x:row r="414" ht="21" customHeight="1">
      <x:c r="A414" s="2" t="str">
        <x:v>NT000413</x:v>
      </x:c>
      <x:c r="B414" s="2" t="str">
        <x:v>EV000415</x:v>
      </x:c>
      <x:c r="C414" s="2" t="str">
        <x:v>T20261004-2-3</x:v>
      </x:c>
      <x:c r="D414" s="2" t="str">
        <x:v>ST119</x:v>
      </x:c>
      <x:c r="E414" s="2" t="str">
        <x:v>G119</x:v>
      </x:c>
      <x:c r="F414" s="2" t="str">
        <x:v>guardian119@example.invalid</x:v>
      </x:c>
      <x:c r="G414" s="2" t="str">
        <x:v>Email</x:v>
      </x:c>
      <x:c r="H414" s="2" t="str">
        <x:v>Boarded</x:v>
      </x:c>
      <x:c r="I414" s="8" t="n">
        <x:v>46299.481527777774</x:v>
      </x:c>
      <x:c r="J414" s="8" t="n">
        <x:v>46299.48155092592</x:v>
      </x:c>
      <x:c r="K414" s="8" t="n">
        <x:v>46299.481585648144</x:v>
      </x:c>
      <x:c r="L414" s="2" t="str">
        <x:v>Sent</x:v>
      </x:c>
      <x:c r="M414" s="2" t="n">
        <x:v>1</x:v>
      </x:c>
      <x:c r="N414" s="2"/>
      <x:c r="O414" s="2"/>
    </x:row>
    <x:row r="415" ht="21" customHeight="1">
      <x:c r="A415" s="2" t="str">
        <x:v>NT000414</x:v>
      </x:c>
      <x:c r="B415" s="2" t="str">
        <x:v>EV000416</x:v>
      </x:c>
      <x:c r="C415" s="2" t="str">
        <x:v>T20261004-2-3</x:v>
      </x:c>
      <x:c r="D415" s="2" t="str">
        <x:v>ST119</x:v>
      </x:c>
      <x:c r="E415" s="2" t="str">
        <x:v>G119</x:v>
      </x:c>
      <x:c r="F415" s="2" t="str">
        <x:v>guardian119@example.invalid</x:v>
      </x:c>
      <x:c r="G415" s="2" t="str">
        <x:v>Email</x:v>
      </x:c>
      <x:c r="H415" s="2" t="str">
        <x:v>School receipt</x:v>
      </x:c>
      <x:c r="I415" s="8" t="n">
        <x:v>46299.50687500001</x:v>
      </x:c>
      <x:c r="J415" s="8" t="n">
        <x:v>46299.50689814815</x:v>
      </x:c>
      <x:c r="K415" s="8" t="n">
        <x:v>46299.506932870376</x:v>
      </x:c>
      <x:c r="L415" s="2" t="str">
        <x:v>Sent</x:v>
      </x:c>
      <x:c r="M415" s="2" t="n">
        <x:v>1</x:v>
      </x:c>
      <x:c r="N415" s="2"/>
      <x:c r="O415" s="2"/>
    </x:row>
    <x:row r="416" ht="21" customHeight="1">
      <x:c r="A416" s="2" t="str">
        <x:v>NT000415</x:v>
      </x:c>
      <x:c r="B416" s="2" t="str">
        <x:v>EV000417</x:v>
      </x:c>
      <x:c r="C416" s="2" t="str">
        <x:v>T20261004-2-3</x:v>
      </x:c>
      <x:c r="D416" s="2" t="str">
        <x:v>ST120</x:v>
      </x:c>
      <x:c r="E416" s="2" t="str">
        <x:v>G120</x:v>
      </x:c>
      <x:c r="F416" s="2" t="str">
        <x:v>guardian120@example.invalid</x:v>
      </x:c>
      <x:c r="G416" s="2" t="str">
        <x:v>Email</x:v>
      </x:c>
      <x:c r="H416" s="2" t="str">
        <x:v>Boarded</x:v>
      </x:c>
      <x:c r="I416" s="8" t="n">
        <x:v>46299.47184027778</x:v>
      </x:c>
      <x:c r="J416" s="8" t="n">
        <x:v>46299.471863425926</x:v>
      </x:c>
      <x:c r="K416" s="8" t="n">
        <x:v>46299.47189814815</x:v>
      </x:c>
      <x:c r="L416" s="2" t="str">
        <x:v>Sent</x:v>
      </x:c>
      <x:c r="M416" s="2" t="n">
        <x:v>1</x:v>
      </x:c>
      <x:c r="N416" s="2"/>
      <x:c r="O416" s="2"/>
    </x:row>
    <x:row r="417" ht="21" customHeight="1">
      <x:c r="A417" s="2" t="str">
        <x:v>NT000416</x:v>
      </x:c>
      <x:c r="B417" s="2" t="str">
        <x:v>EV000418</x:v>
      </x:c>
      <x:c r="C417" s="2" t="str">
        <x:v>T20261004-2-3</x:v>
      </x:c>
      <x:c r="D417" s="2" t="str">
        <x:v>ST120</x:v>
      </x:c>
      <x:c r="E417" s="2" t="str">
        <x:v>G120</x:v>
      </x:c>
      <x:c r="F417" s="2" t="str">
        <x:v>guardian120@example.invalid</x:v>
      </x:c>
      <x:c r="G417" s="2" t="str">
        <x:v>Email</x:v>
      </x:c>
      <x:c r="H417" s="2" t="str">
        <x:v>School receipt</x:v>
      </x:c>
      <x:c r="I417" s="8" t="n">
        <x:v>46299.50690972222</x:v>
      </x:c>
      <x:c r="J417" s="8" t="n">
        <x:v>46299.50693287037</x:v>
      </x:c>
      <x:c r="K417" s="8" t="n">
        <x:v>46299.50696759259</x:v>
      </x:c>
      <x:c r="L417" s="2" t="str">
        <x:v>Sent</x:v>
      </x:c>
      <x:c r="M417" s="2" t="n">
        <x:v>1</x:v>
      </x:c>
      <x:c r="N417" s="2"/>
      <x:c r="O417" s="2"/>
    </x:row>
    <x:row r="418" ht="21" customHeight="1">
      <x:c r="A418" s="2" t="str">
        <x:v>NT000417</x:v>
      </x:c>
      <x:c r="B418" s="2" t="str">
        <x:v>EV000419</x:v>
      </x:c>
      <x:c r="C418" s="2" t="str">
        <x:v>T20261004-3-3</x:v>
      </x:c>
      <x:c r="D418" s="2" t="str">
        <x:v>ST091</x:v>
      </x:c>
      <x:c r="E418" s="2" t="str">
        <x:v>G091</x:v>
      </x:c>
      <x:c r="F418" s="2" t="str">
        <x:v>guardian091@example.invalid</x:v>
      </x:c>
      <x:c r="G418" s="2" t="str">
        <x:v>Email</x:v>
      </x:c>
      <x:c r="H418" s="2" t="str">
        <x:v>Boarded</x:v>
      </x:c>
      <x:c r="I418" s="8" t="n">
        <x:v>46299.57291666667</x:v>
      </x:c>
      <x:c r="J418" s="8" t="n">
        <x:v>46299.57293981482</x:v>
      </x:c>
      <x:c r="K418" s="8" t="n">
        <x:v>46299.57297453704</x:v>
      </x:c>
      <x:c r="L418" s="2" t="str">
        <x:v>Sent</x:v>
      </x:c>
      <x:c r="M418" s="2" t="n">
        <x:v>1</x:v>
      </x:c>
      <x:c r="N418" s="2"/>
      <x:c r="O418" s="2"/>
    </x:row>
    <x:row r="419" ht="21" customHeight="1">
      <x:c r="A419" s="2" t="str">
        <x:v>NT000418</x:v>
      </x:c>
      <x:c r="B419" s="2" t="str">
        <x:v>EV000420</x:v>
      </x:c>
      <x:c r="C419" s="2" t="str">
        <x:v>T20261004-3-3</x:v>
      </x:c>
      <x:c r="D419" s="2" t="str">
        <x:v>ST091</x:v>
      </x:c>
      <x:c r="E419" s="2" t="str">
        <x:v>G091</x:v>
      </x:c>
      <x:c r="F419" s="2" t="str">
        <x:v>guardian091@example.invalid</x:v>
      </x:c>
      <x:c r="G419" s="2" t="str">
        <x:v>Email</x:v>
      </x:c>
      <x:c r="H419" s="2" t="str">
        <x:v>Authorized release</x:v>
      </x:c>
      <x:c r="I419" s="8" t="n">
        <x:v>46299.59027777778</x:v>
      </x:c>
      <x:c r="J419" s="8" t="n">
        <x:v>46299.59030092593</x:v>
      </x:c>
      <x:c r="K419" s="8" t="n">
        <x:v>46299.59033564815</x:v>
      </x:c>
      <x:c r="L419" s="2" t="str">
        <x:v>Sent</x:v>
      </x:c>
      <x:c r="M419" s="2" t="n">
        <x:v>1</x:v>
      </x:c>
      <x:c r="N419" s="2"/>
      <x:c r="O419" s="2"/>
    </x:row>
    <x:row r="420" ht="21" customHeight="1">
      <x:c r="A420" s="2" t="str">
        <x:v>NT000419</x:v>
      </x:c>
      <x:c r="B420" s="2" t="str">
        <x:v>EV000421</x:v>
      </x:c>
      <x:c r="C420" s="2" t="str">
        <x:v>T20261004-3-3</x:v>
      </x:c>
      <x:c r="D420" s="2" t="str">
        <x:v>ST092</x:v>
      </x:c>
      <x:c r="E420" s="2" t="str">
        <x:v>G092</x:v>
      </x:c>
      <x:c r="F420" s="2" t="str">
        <x:v>guardian092@example.invalid</x:v>
      </x:c>
      <x:c r="G420" s="2" t="str">
        <x:v>Email</x:v>
      </x:c>
      <x:c r="H420" s="2" t="str">
        <x:v>Boarded</x:v>
      </x:c>
      <x:c r="I420" s="8" t="n">
        <x:v>46299.572951388895</x:v>
      </x:c>
      <x:c r="J420" s="8" t="n">
        <x:v>46299.57297453704</x:v>
      </x:c>
      <x:c r="K420" s="8" t="n">
        <x:v>46299.573009259264</x:v>
      </x:c>
      <x:c r="L420" s="2" t="str">
        <x:v>Sent</x:v>
      </x:c>
      <x:c r="M420" s="2" t="n">
        <x:v>1</x:v>
      </x:c>
      <x:c r="N420" s="2"/>
      <x:c r="O420" s="2"/>
    </x:row>
    <x:row r="421" ht="21" customHeight="1">
      <x:c r="A421" s="2" t="str">
        <x:v>NT000420</x:v>
      </x:c>
      <x:c r="B421" s="2" t="str">
        <x:v>EV000422</x:v>
      </x:c>
      <x:c r="C421" s="2" t="str">
        <x:v>T20261004-3-3</x:v>
      </x:c>
      <x:c r="D421" s="2" t="str">
        <x:v>ST092</x:v>
      </x:c>
      <x:c r="E421" s="2" t="str">
        <x:v>G092</x:v>
      </x:c>
      <x:c r="F421" s="2" t="str">
        <x:v>guardian092@example.invalid</x:v>
      </x:c>
      <x:c r="G421" s="2" t="str">
        <x:v>Email</x:v>
      </x:c>
      <x:c r="H421" s="2" t="str">
        <x:v>Authorized release</x:v>
      </x:c>
      <x:c r="I421" s="8" t="n">
        <x:v>46299.59447916667</x:v>
      </x:c>
      <x:c r="J421" s="8" t="n">
        <x:v>46299.594502314816</x:v>
      </x:c>
      <x:c r="K421" s="8" t="n">
        <x:v>46299.59453703704</x:v>
      </x:c>
      <x:c r="L421" s="2" t="str">
        <x:v>Sent</x:v>
      </x:c>
      <x:c r="M421" s="2" t="n">
        <x:v>1</x:v>
      </x:c>
      <x:c r="N421" s="2"/>
      <x:c r="O421" s="2"/>
    </x:row>
    <x:row r="422" ht="21" customHeight="1">
      <x:c r="A422" s="2" t="str">
        <x:v>NT000421</x:v>
      </x:c>
      <x:c r="B422" s="2" t="str">
        <x:v>EV000423</x:v>
      </x:c>
      <x:c r="C422" s="2" t="str">
        <x:v>T20261004-3-3</x:v>
      </x:c>
      <x:c r="D422" s="2" t="str">
        <x:v>ST093</x:v>
      </x:c>
      <x:c r="E422" s="2" t="str">
        <x:v>G093</x:v>
      </x:c>
      <x:c r="F422" s="2" t="str">
        <x:v>guardian093@example.invalid</x:v>
      </x:c>
      <x:c r="G422" s="2" t="str">
        <x:v>Email</x:v>
      </x:c>
      <x:c r="H422" s="2" t="str">
        <x:v>Boarded</x:v>
      </x:c>
      <x:c r="I422" s="8" t="n">
        <x:v>46299.57298611112</x:v>
      </x:c>
      <x:c r="J422" s="8" t="n">
        <x:v>46299.573009259264</x:v>
      </x:c>
      <x:c r="K422" s="8" t="n">
        <x:v>46299.57304398149</x:v>
      </x:c>
      <x:c r="L422" s="2" t="str">
        <x:v>Sent</x:v>
      </x:c>
      <x:c r="M422" s="2" t="n">
        <x:v>1</x:v>
      </x:c>
      <x:c r="N422" s="2"/>
      <x:c r="O422" s="2"/>
    </x:row>
    <x:row r="423" ht="21" customHeight="1">
      <x:c r="A423" s="2" t="str">
        <x:v>NT000422</x:v>
      </x:c>
      <x:c r="B423" s="2" t="str">
        <x:v>EV000424</x:v>
      </x:c>
      <x:c r="C423" s="2" t="str">
        <x:v>T20261004-3-3</x:v>
      </x:c>
      <x:c r="D423" s="2" t="str">
        <x:v>ST093</x:v>
      </x:c>
      <x:c r="E423" s="2" t="str">
        <x:v>G093</x:v>
      </x:c>
      <x:c r="F423" s="2" t="str">
        <x:v>guardian093@example.invalid</x:v>
      </x:c>
      <x:c r="G423" s="2" t="str">
        <x:v>Email</x:v>
      </x:c>
      <x:c r="H423" s="2" t="str">
        <x:v>Authorized release</x:v>
      </x:c>
      <x:c r="I423" s="8" t="n">
        <x:v>46299.58618055556</x:v>
      </x:c>
      <x:c r="J423" s="8" t="n">
        <x:v>46299.58620370371</x:v>
      </x:c>
      <x:c r="K423" s="8" t="n">
        <x:v>46299.58623842593</x:v>
      </x:c>
      <x:c r="L423" s="2" t="str">
        <x:v>Sent</x:v>
      </x:c>
      <x:c r="M423" s="2" t="n">
        <x:v>1</x:v>
      </x:c>
      <x:c r="N423" s="2"/>
      <x:c r="O423" s="2"/>
    </x:row>
    <x:row r="424" ht="21" customHeight="1">
      <x:c r="A424" s="2" t="str">
        <x:v>NT000423</x:v>
      </x:c>
      <x:c r="B424" s="2" t="str">
        <x:v>EV000425</x:v>
      </x:c>
      <x:c r="C424" s="2" t="str">
        <x:v>T20261004-3-3</x:v>
      </x:c>
      <x:c r="D424" s="2" t="str">
        <x:v>ST094</x:v>
      </x:c>
      <x:c r="E424" s="2" t="str">
        <x:v>G094</x:v>
      </x:c>
      <x:c r="F424" s="2" t="str">
        <x:v>guardian094@example.invalid</x:v>
      </x:c>
      <x:c r="G424" s="2" t="str">
        <x:v>Email</x:v>
      </x:c>
      <x:c r="H424" s="2" t="str">
        <x:v>Boarded</x:v>
      </x:c>
      <x:c r="I424" s="8" t="n">
        <x:v>46299.57302083334</x:v>
      </x:c>
      <x:c r="J424" s="8" t="n">
        <x:v>46299.57304398149</x:v>
      </x:c>
      <x:c r="K424" s="8" t="n">
        <x:v>46299.57307870371</x:v>
      </x:c>
      <x:c r="L424" s="2" t="str">
        <x:v>Sent</x:v>
      </x:c>
      <x:c r="M424" s="2" t="n">
        <x:v>1</x:v>
      </x:c>
      <x:c r="N424" s="2"/>
      <x:c r="O424" s="2"/>
    </x:row>
    <x:row r="425" ht="21" customHeight="1">
      <x:c r="A425" s="2" t="str">
        <x:v>NT000424</x:v>
      </x:c>
      <x:c r="B425" s="2" t="str">
        <x:v>EV000426</x:v>
      </x:c>
      <x:c r="C425" s="2" t="str">
        <x:v>T20261004-3-3</x:v>
      </x:c>
      <x:c r="D425" s="2" t="str">
        <x:v>ST094</x:v>
      </x:c>
      <x:c r="E425" s="2" t="str">
        <x:v>G094</x:v>
      </x:c>
      <x:c r="F425" s="2" t="str">
        <x:v>guardian094@example.invalid</x:v>
      </x:c>
      <x:c r="G425" s="2" t="str">
        <x:v>Email</x:v>
      </x:c>
      <x:c r="H425" s="2" t="str">
        <x:v>Authorized release</x:v>
      </x:c>
      <x:c r="I425" s="8" t="n">
        <x:v>46299.59038194445</x:v>
      </x:c>
      <x:c r="J425" s="8" t="n">
        <x:v>46299.5904050926</x:v>
      </x:c>
      <x:c r="K425" s="8" t="n">
        <x:v>46299.59043981482</x:v>
      </x:c>
      <x:c r="L425" s="2" t="str">
        <x:v>Sent</x:v>
      </x:c>
      <x:c r="M425" s="2" t="n">
        <x:v>1</x:v>
      </x:c>
      <x:c r="N425" s="2"/>
      <x:c r="O425" s="2"/>
    </x:row>
    <x:row r="426" ht="21" customHeight="1">
      <x:c r="A426" s="2" t="str">
        <x:v>NT000425</x:v>
      </x:c>
      <x:c r="B426" s="2" t="str">
        <x:v>EV000427</x:v>
      </x:c>
      <x:c r="C426" s="2" t="str">
        <x:v>T20261004-3-3</x:v>
      </x:c>
      <x:c r="D426" s="2" t="str">
        <x:v>ST095</x:v>
      </x:c>
      <x:c r="E426" s="2" t="str">
        <x:v>G095</x:v>
      </x:c>
      <x:c r="F426" s="2" t="str">
        <x:v>guardian095@example.invalid</x:v>
      </x:c>
      <x:c r="G426" s="2" t="str">
        <x:v>Email</x:v>
      </x:c>
      <x:c r="H426" s="2" t="str">
        <x:v>Boarded</x:v>
      </x:c>
      <x:c r="I426" s="8" t="n">
        <x:v>46299.573055555564</x:v>
      </x:c>
      <x:c r="J426" s="8" t="n">
        <x:v>46299.57307870371</x:v>
      </x:c>
      <x:c r="K426" s="8" t="n">
        <x:v>46299.57311342593</x:v>
      </x:c>
      <x:c r="L426" s="2" t="str">
        <x:v>Sent</x:v>
      </x:c>
      <x:c r="M426" s="2" t="n">
        <x:v>1</x:v>
      </x:c>
      <x:c r="N426" s="2"/>
      <x:c r="O426" s="2"/>
    </x:row>
    <x:row r="427" ht="21" customHeight="1">
      <x:c r="A427" s="2" t="str">
        <x:v>NT000426</x:v>
      </x:c>
      <x:c r="B427" s="2" t="str">
        <x:v>EV000428</x:v>
      </x:c>
      <x:c r="C427" s="2" t="str">
        <x:v>T20261004-3-3</x:v>
      </x:c>
      <x:c r="D427" s="2" t="str">
        <x:v>ST095</x:v>
      </x:c>
      <x:c r="E427" s="2" t="str">
        <x:v>G095</x:v>
      </x:c>
      <x:c r="F427" s="2" t="str">
        <x:v>guardian095@example.invalid</x:v>
      </x:c>
      <x:c r="G427" s="2" t="str">
        <x:v>Email</x:v>
      </x:c>
      <x:c r="H427" s="2" t="str">
        <x:v>Authorized release</x:v>
      </x:c>
      <x:c r="I427" s="8" t="n">
        <x:v>46299.59458333334</x:v>
      </x:c>
      <x:c r="J427" s="8" t="n">
        <x:v>46299.594606481485</x:v>
      </x:c>
      <x:c r="K427" s="8" t="n">
        <x:v>46299.59464120371</x:v>
      </x:c>
      <x:c r="L427" s="2" t="str">
        <x:v>Sent</x:v>
      </x:c>
      <x:c r="M427" s="2" t="n">
        <x:v>1</x:v>
      </x:c>
      <x:c r="N427" s="2"/>
      <x:c r="O427" s="2"/>
    </x:row>
    <x:row r="428" ht="21" customHeight="1">
      <x:c r="A428" s="2" t="str">
        <x:v>NT000427</x:v>
      </x:c>
      <x:c r="B428" s="2" t="str">
        <x:v>EV000429</x:v>
      </x:c>
      <x:c r="C428" s="2" t="str">
        <x:v>T20261004-3-3</x:v>
      </x:c>
      <x:c r="D428" s="2" t="str">
        <x:v>ST096</x:v>
      </x:c>
      <x:c r="E428" s="2" t="str">
        <x:v>G096</x:v>
      </x:c>
      <x:c r="F428" s="2" t="str">
        <x:v>guardian096@example.invalid</x:v>
      </x:c>
      <x:c r="G428" s="2" t="str">
        <x:v>Email</x:v>
      </x:c>
      <x:c r="H428" s="2" t="str">
        <x:v>Boarded</x:v>
      </x:c>
      <x:c r="I428" s="8" t="n">
        <x:v>46299.57309027778</x:v>
      </x:c>
      <x:c r="J428" s="8" t="n">
        <x:v>46299.573113425926</x:v>
      </x:c>
      <x:c r="K428" s="8" t="n">
        <x:v>46299.57314814815</x:v>
      </x:c>
      <x:c r="L428" s="2" t="str">
        <x:v>Sent</x:v>
      </x:c>
      <x:c r="M428" s="2" t="n">
        <x:v>1</x:v>
      </x:c>
      <x:c r="N428" s="2"/>
      <x:c r="O428" s="2"/>
    </x:row>
    <x:row r="429" ht="21" customHeight="1">
      <x:c r="A429" s="2" t="str">
        <x:v>NT000428</x:v>
      </x:c>
      <x:c r="B429" s="2" t="str">
        <x:v>EV000430</x:v>
      </x:c>
      <x:c r="C429" s="2" t="str">
        <x:v>T20261004-3-3</x:v>
      </x:c>
      <x:c r="D429" s="2" t="str">
        <x:v>ST096</x:v>
      </x:c>
      <x:c r="E429" s="2" t="str">
        <x:v>G096</x:v>
      </x:c>
      <x:c r="F429" s="2" t="str">
        <x:v>guardian096@example.invalid</x:v>
      </x:c>
      <x:c r="G429" s="2" t="str">
        <x:v>Email</x:v>
      </x:c>
      <x:c r="H429" s="2" t="str">
        <x:v>Authorized release</x:v>
      </x:c>
      <x:c r="I429" s="8" t="n">
        <x:v>46299.58628472222</x:v>
      </x:c>
      <x:c r="J429" s="8" t="n">
        <x:v>46299.58630787037</x:v>
      </x:c>
      <x:c r="K429" s="8" t="n">
        <x:v>46299.58634259259</x:v>
      </x:c>
      <x:c r="L429" s="2" t="str">
        <x:v>Sent</x:v>
      </x:c>
      <x:c r="M429" s="2" t="n">
        <x:v>1</x:v>
      </x:c>
      <x:c r="N429" s="2"/>
      <x:c r="O429" s="2"/>
    </x:row>
    <x:row r="430" ht="21" customHeight="1">
      <x:c r="A430" s="2" t="str">
        <x:v>NT000429</x:v>
      </x:c>
      <x:c r="B430" s="2" t="str">
        <x:v>EV000431</x:v>
      </x:c>
      <x:c r="C430" s="2" t="str">
        <x:v>T20261004-3-3</x:v>
      </x:c>
      <x:c r="D430" s="2" t="str">
        <x:v>ST097</x:v>
      </x:c>
      <x:c r="E430" s="2" t="str">
        <x:v>G097</x:v>
      </x:c>
      <x:c r="F430" s="2" t="str">
        <x:v>guardian097@example.invalid</x:v>
      </x:c>
      <x:c r="G430" s="2" t="str">
        <x:v>Email</x:v>
      </x:c>
      <x:c r="H430" s="2" t="str">
        <x:v>Boarded</x:v>
      </x:c>
      <x:c r="I430" s="8" t="n">
        <x:v>46299.573125</x:v>
      </x:c>
      <x:c r="J430" s="8" t="n">
        <x:v>46299.57314814815</x:v>
      </x:c>
      <x:c r="K430" s="8" t="n">
        <x:v>46299.57318287037</x:v>
      </x:c>
      <x:c r="L430" s="2" t="str">
        <x:v>Sent</x:v>
      </x:c>
      <x:c r="M430" s="2" t="n">
        <x:v>1</x:v>
      </x:c>
      <x:c r="N430" s="2"/>
      <x:c r="O430" s="2"/>
    </x:row>
    <x:row r="431" ht="21" customHeight="1">
      <x:c r="A431" s="2" t="str">
        <x:v>NT000430</x:v>
      </x:c>
      <x:c r="B431" s="2" t="str">
        <x:v>EV000432</x:v>
      </x:c>
      <x:c r="C431" s="2" t="str">
        <x:v>T20261004-3-3</x:v>
      </x:c>
      <x:c r="D431" s="2" t="str">
        <x:v>ST097</x:v>
      </x:c>
      <x:c r="E431" s="2" t="str">
        <x:v>G097</x:v>
      </x:c>
      <x:c r="F431" s="2" t="str">
        <x:v>guardian097@example.invalid</x:v>
      </x:c>
      <x:c r="G431" s="2" t="str">
        <x:v>Email</x:v>
      </x:c>
      <x:c r="H431" s="2" t="str">
        <x:v>Authorized release</x:v>
      </x:c>
      <x:c r="I431" s="8" t="n">
        <x:v>46299.59048611111</x:v>
      </x:c>
      <x:c r="J431" s="8" t="n">
        <x:v>46299.59050925926</x:v>
      </x:c>
      <x:c r="K431" s="8" t="n">
        <x:v>46299.59054398148</x:v>
      </x:c>
      <x:c r="L431" s="2" t="str">
        <x:v>Sent</x:v>
      </x:c>
      <x:c r="M431" s="2" t="n">
        <x:v>1</x:v>
      </x:c>
      <x:c r="N431" s="2"/>
      <x:c r="O431" s="2"/>
    </x:row>
    <x:row r="432" ht="21" customHeight="1">
      <x:c r="A432" s="2" t="str">
        <x:v>NT000431</x:v>
      </x:c>
      <x:c r="B432" s="2" t="str">
        <x:v>EV000433</x:v>
      </x:c>
      <x:c r="C432" s="2" t="str">
        <x:v>T20261004-3-3</x:v>
      </x:c>
      <x:c r="D432" s="2" t="str">
        <x:v>ST098</x:v>
      </x:c>
      <x:c r="E432" s="2" t="str">
        <x:v>G098</x:v>
      </x:c>
      <x:c r="F432" s="2" t="str">
        <x:v>guardian098@example.invalid</x:v>
      </x:c>
      <x:c r="G432" s="2" t="str">
        <x:v>Email</x:v>
      </x:c>
      <x:c r="H432" s="2" t="str">
        <x:v>Boarded</x:v>
      </x:c>
      <x:c r="I432" s="8" t="n">
        <x:v>46299.573159722226</x:v>
      </x:c>
      <x:c r="J432" s="8" t="n">
        <x:v>46299.57318287037</x:v>
      </x:c>
      <x:c r="K432" s="8" t="n">
        <x:v>46299.573217592595</x:v>
      </x:c>
      <x:c r="L432" s="2" t="str">
        <x:v>Sent</x:v>
      </x:c>
      <x:c r="M432" s="2" t="n">
        <x:v>1</x:v>
      </x:c>
      <x:c r="N432" s="2"/>
      <x:c r="O432" s="2"/>
    </x:row>
    <x:row r="433" ht="21" customHeight="1">
      <x:c r="A433" s="2" t="str">
        <x:v>NT000432</x:v>
      </x:c>
      <x:c r="B433" s="2" t="str">
        <x:v>EV000434</x:v>
      </x:c>
      <x:c r="C433" s="2" t="str">
        <x:v>T20261004-3-3</x:v>
      </x:c>
      <x:c r="D433" s="2" t="str">
        <x:v>ST098</x:v>
      </x:c>
      <x:c r="E433" s="2" t="str">
        <x:v>G098</x:v>
      </x:c>
      <x:c r="F433" s="2" t="str">
        <x:v>guardian098@example.invalid</x:v>
      </x:c>
      <x:c r="G433" s="2" t="str">
        <x:v>Email</x:v>
      </x:c>
      <x:c r="H433" s="2" t="str">
        <x:v>Authorized release</x:v>
      </x:c>
      <x:c r="I433" s="8" t="n">
        <x:v>46299.5946875</x:v>
      </x:c>
      <x:c r="J433" s="8" t="n">
        <x:v>46299.59471064815</x:v>
      </x:c>
      <x:c r="K433" s="8" t="n">
        <x:v>46299.59474537037</x:v>
      </x:c>
      <x:c r="L433" s="2" t="str">
        <x:v>Sent</x:v>
      </x:c>
      <x:c r="M433" s="2" t="n">
        <x:v>1</x:v>
      </x:c>
      <x:c r="N433" s="2"/>
      <x:c r="O433" s="2"/>
    </x:row>
    <x:row r="434" ht="21" customHeight="1">
      <x:c r="A434" s="2" t="str">
        <x:v>NT000433</x:v>
      </x:c>
      <x:c r="B434" s="2" t="str">
        <x:v>EV000435</x:v>
      </x:c>
      <x:c r="C434" s="2" t="str">
        <x:v>T20261004-3-3</x:v>
      </x:c>
      <x:c r="D434" s="2" t="str">
        <x:v>ST099</x:v>
      </x:c>
      <x:c r="E434" s="2" t="str">
        <x:v>G099</x:v>
      </x:c>
      <x:c r="F434" s="2" t="str">
        <x:v>guardian099@example.invalid</x:v>
      </x:c>
      <x:c r="G434" s="2" t="str">
        <x:v>Email</x:v>
      </x:c>
      <x:c r="H434" s="2" t="str">
        <x:v>Boarded</x:v>
      </x:c>
      <x:c r="I434" s="8" t="n">
        <x:v>46299.57319444445</x:v>
      </x:c>
      <x:c r="J434" s="8" t="n">
        <x:v>46299.573217592595</x:v>
      </x:c>
      <x:c r="K434" s="8" t="n">
        <x:v>46299.57325231482</x:v>
      </x:c>
      <x:c r="L434" s="2" t="str">
        <x:v>Sent</x:v>
      </x:c>
      <x:c r="M434" s="2" t="n">
        <x:v>1</x:v>
      </x:c>
      <x:c r="N434" s="2"/>
      <x:c r="O434" s="2"/>
    </x:row>
    <x:row r="435" ht="21" customHeight="1">
      <x:c r="A435" s="2" t="str">
        <x:v>NT000434</x:v>
      </x:c>
      <x:c r="B435" s="2" t="str">
        <x:v>EV000436</x:v>
      </x:c>
      <x:c r="C435" s="2" t="str">
        <x:v>T20261004-3-3</x:v>
      </x:c>
      <x:c r="D435" s="2" t="str">
        <x:v>ST099</x:v>
      </x:c>
      <x:c r="E435" s="2" t="str">
        <x:v>G099</x:v>
      </x:c>
      <x:c r="F435" s="2" t="str">
        <x:v>guardian099@example.invalid</x:v>
      </x:c>
      <x:c r="G435" s="2" t="str">
        <x:v>Email</x:v>
      </x:c>
      <x:c r="H435" s="2" t="str">
        <x:v>Authorized release</x:v>
      </x:c>
      <x:c r="I435" s="8" t="n">
        <x:v>46299.58638888889</x:v>
      </x:c>
      <x:c r="J435" s="8" t="n">
        <x:v>46299.58641203704</x:v>
      </x:c>
      <x:c r="K435" s="8" t="n">
        <x:v>46299.58644675926</x:v>
      </x:c>
      <x:c r="L435" s="2" t="str">
        <x:v>Sent</x:v>
      </x:c>
      <x:c r="M435" s="2" t="n">
        <x:v>1</x:v>
      </x:c>
      <x:c r="N435" s="2"/>
      <x:c r="O435" s="2"/>
    </x:row>
    <x:row r="436" ht="21" customHeight="1">
      <x:c r="A436" s="2" t="str">
        <x:v>NT000435</x:v>
      </x:c>
      <x:c r="B436" s="2" t="str">
        <x:v>EV000437</x:v>
      </x:c>
      <x:c r="C436" s="2" t="str">
        <x:v>T20261004-3-3</x:v>
      </x:c>
      <x:c r="D436" s="2" t="str">
        <x:v>ST100</x:v>
      </x:c>
      <x:c r="E436" s="2" t="str">
        <x:v>G100</x:v>
      </x:c>
      <x:c r="F436" s="2" t="str">
        <x:v>guardian100@example.invalid</x:v>
      </x:c>
      <x:c r="G436" s="2" t="str">
        <x:v>Email</x:v>
      </x:c>
      <x:c r="H436" s="2" t="str">
        <x:v>Boarded</x:v>
      </x:c>
      <x:c r="I436" s="8" t="n">
        <x:v>46299.57322916667</x:v>
      </x:c>
      <x:c r="J436" s="8" t="n">
        <x:v>46299.57325231482</x:v>
      </x:c>
      <x:c r="K436" s="8" t="n">
        <x:v>46299.57328703704</x:v>
      </x:c>
      <x:c r="L436" s="2" t="str">
        <x:v>Sent</x:v>
      </x:c>
      <x:c r="M436" s="2" t="n">
        <x:v>1</x:v>
      </x:c>
      <x:c r="N436" s="2"/>
      <x:c r="O436" s="2"/>
    </x:row>
    <x:row r="437" ht="21" customHeight="1">
      <x:c r="A437" s="2" t="str">
        <x:v>NT000436</x:v>
      </x:c>
      <x:c r="B437" s="2" t="str">
        <x:v>EV000438</x:v>
      </x:c>
      <x:c r="C437" s="2" t="str">
        <x:v>T20261004-3-3</x:v>
      </x:c>
      <x:c r="D437" s="2" t="str">
        <x:v>ST100</x:v>
      </x:c>
      <x:c r="E437" s="2" t="str">
        <x:v>G100</x:v>
      </x:c>
      <x:c r="F437" s="2" t="str">
        <x:v>guardian100@example.invalid</x:v>
      </x:c>
      <x:c r="G437" s="2" t="str">
        <x:v>Email</x:v>
      </x:c>
      <x:c r="H437" s="2" t="str">
        <x:v>Authorized release</x:v>
      </x:c>
      <x:c r="I437" s="8" t="n">
        <x:v>46299.59059027778</x:v>
      </x:c>
      <x:c r="J437" s="8" t="n">
        <x:v>46299.59061342593</x:v>
      </x:c>
      <x:c r="K437" s="8" t="n">
        <x:v>46299.59064814815</x:v>
      </x:c>
      <x:c r="L437" s="2" t="str">
        <x:v>Sent</x:v>
      </x:c>
      <x:c r="M437" s="2" t="n">
        <x:v>1</x:v>
      </x:c>
      <x:c r="N437" s="2"/>
      <x:c r="O437" s="2"/>
    </x:row>
    <x:row r="438" ht="21" customHeight="1">
      <x:c r="A438" s="2" t="str">
        <x:v>NT000437</x:v>
      </x:c>
      <x:c r="B438" s="2" t="str">
        <x:v>EV000439</x:v>
      </x:c>
      <x:c r="C438" s="2" t="str">
        <x:v>T20261004-4-3</x:v>
      </x:c>
      <x:c r="D438" s="2" t="str">
        <x:v>ST101</x:v>
      </x:c>
      <x:c r="E438" s="2" t="str">
        <x:v>G101</x:v>
      </x:c>
      <x:c r="F438" s="2" t="str">
        <x:v>guardian101@example.invalid</x:v>
      </x:c>
      <x:c r="G438" s="2" t="str">
        <x:v>Email</x:v>
      </x:c>
      <x:c r="H438" s="2" t="str">
        <x:v>Boarded</x:v>
      </x:c>
      <x:c r="I438" s="8" t="n">
        <x:v>46299.60416666667</x:v>
      </x:c>
      <x:c r="J438" s="8" t="n">
        <x:v>46299.60418981482</x:v>
      </x:c>
      <x:c r="K438" s="8" t="n">
        <x:v>46299.60422453704</x:v>
      </x:c>
      <x:c r="L438" s="2" t="str">
        <x:v>Sent</x:v>
      </x:c>
      <x:c r="M438" s="2" t="n">
        <x:v>1</x:v>
      </x:c>
      <x:c r="N438" s="2"/>
      <x:c r="O438" s="2"/>
    </x:row>
    <x:row r="439" ht="21" customHeight="1">
      <x:c r="A439" s="2" t="str">
        <x:v>NT000438</x:v>
      </x:c>
      <x:c r="B439" s="2" t="str">
        <x:v>EV000440</x:v>
      </x:c>
      <x:c r="C439" s="2" t="str">
        <x:v>T20261004-4-3</x:v>
      </x:c>
      <x:c r="D439" s="2" t="str">
        <x:v>ST101</x:v>
      </x:c>
      <x:c r="E439" s="2" t="str">
        <x:v>G101</x:v>
      </x:c>
      <x:c r="F439" s="2" t="str">
        <x:v>guardian101@example.invalid</x:v>
      </x:c>
      <x:c r="G439" s="2" t="str">
        <x:v>Email</x:v>
      </x:c>
      <x:c r="H439" s="2" t="str">
        <x:v>Authorized release</x:v>
      </x:c>
      <x:c r="I439" s="8" t="n">
        <x:v>46299.62708333333</x:v>
      </x:c>
      <x:c r="J439" s="8" t="n">
        <x:v>46299.62710648148</x:v>
      </x:c>
      <x:c r="K439" s="8" t="n">
        <x:v>46299.6271412037</x:v>
      </x:c>
      <x:c r="L439" s="2" t="str">
        <x:v>Sent</x:v>
      </x:c>
      <x:c r="M439" s="2" t="n">
        <x:v>1</x:v>
      </x:c>
      <x:c r="N439" s="2"/>
      <x:c r="O439" s="2"/>
    </x:row>
    <x:row r="440" ht="21" customHeight="1">
      <x:c r="A440" s="2" t="str">
        <x:v>NT000439</x:v>
      </x:c>
      <x:c r="B440" s="2" t="str">
        <x:v>EV000441</x:v>
      </x:c>
      <x:c r="C440" s="2" t="str">
        <x:v>T20261004-4-3</x:v>
      </x:c>
      <x:c r="D440" s="2" t="str">
        <x:v>ST102</x:v>
      </x:c>
      <x:c r="E440" s="2" t="str">
        <x:v>G102</x:v>
      </x:c>
      <x:c r="F440" s="2" t="str">
        <x:v>guardian102@example.invalid</x:v>
      </x:c>
      <x:c r="G440" s="2" t="str">
        <x:v>Email</x:v>
      </x:c>
      <x:c r="H440" s="2" t="str">
        <x:v>Boarded</x:v>
      </x:c>
      <x:c r="I440" s="8" t="n">
        <x:v>46299.604201388895</x:v>
      </x:c>
      <x:c r="J440" s="8" t="n">
        <x:v>46299.60422453704</x:v>
      </x:c>
      <x:c r="K440" s="8" t="n">
        <x:v>46299.604259259264</x:v>
      </x:c>
      <x:c r="L440" s="2" t="str">
        <x:v>Sent</x:v>
      </x:c>
      <x:c r="M440" s="2" t="n">
        <x:v>1</x:v>
      </x:c>
      <x:c r="N440" s="2"/>
      <x:c r="O440" s="2"/>
    </x:row>
    <x:row r="441" ht="21" customHeight="1">
      <x:c r="A441" s="2" t="str">
        <x:v>NT000440</x:v>
      </x:c>
      <x:c r="B441" s="2" t="str">
        <x:v>EV000442</x:v>
      </x:c>
      <x:c r="C441" s="2" t="str">
        <x:v>T20261004-4-3</x:v>
      </x:c>
      <x:c r="D441" s="2" t="str">
        <x:v>ST102</x:v>
      </x:c>
      <x:c r="E441" s="2" t="str">
        <x:v>G102</x:v>
      </x:c>
      <x:c r="F441" s="2" t="str">
        <x:v>guardian102@example.invalid</x:v>
      </x:c>
      <x:c r="G441" s="2" t="str">
        <x:v>Email</x:v>
      </x:c>
      <x:c r="H441" s="2" t="str">
        <x:v>Authorized release</x:v>
      </x:c>
      <x:c r="I441" s="8" t="n">
        <x:v>46299.618784722225</x:v>
      </x:c>
      <x:c r="J441" s="8" t="n">
        <x:v>46299.61880787037</x:v>
      </x:c>
      <x:c r="K441" s="8" t="n">
        <x:v>46299.618842592594</x:v>
      </x:c>
      <x:c r="L441" s="2" t="str">
        <x:v>Sent</x:v>
      </x:c>
      <x:c r="M441" s="2" t="n">
        <x:v>1</x:v>
      </x:c>
      <x:c r="N441" s="2"/>
      <x:c r="O441" s="2"/>
    </x:row>
    <x:row r="442" ht="21" customHeight="1">
      <x:c r="A442" s="2" t="str">
        <x:v>NT000441</x:v>
      </x:c>
      <x:c r="B442" s="2" t="str">
        <x:v>EV000443</x:v>
      </x:c>
      <x:c r="C442" s="2" t="str">
        <x:v>T20261004-4-3</x:v>
      </x:c>
      <x:c r="D442" s="2" t="str">
        <x:v>ST103</x:v>
      </x:c>
      <x:c r="E442" s="2" t="str">
        <x:v>G103</x:v>
      </x:c>
      <x:c r="F442" s="2" t="str">
        <x:v>guardian103@example.invalid</x:v>
      </x:c>
      <x:c r="G442" s="2" t="str">
        <x:v>Email</x:v>
      </x:c>
      <x:c r="H442" s="2" t="str">
        <x:v>Boarded</x:v>
      </x:c>
      <x:c r="I442" s="8" t="n">
        <x:v>46299.60423611112</x:v>
      </x:c>
      <x:c r="J442" s="8" t="n">
        <x:v>46299.604259259264</x:v>
      </x:c>
      <x:c r="K442" s="8" t="n">
        <x:v>46299.60429398149</x:v>
      </x:c>
      <x:c r="L442" s="2" t="str">
        <x:v>Sent</x:v>
      </x:c>
      <x:c r="M442" s="2" t="n">
        <x:v>1</x:v>
      </x:c>
      <x:c r="N442" s="2"/>
      <x:c r="O442" s="2"/>
    </x:row>
    <x:row r="443" ht="21" customHeight="1">
      <x:c r="A443" s="2" t="str">
        <x:v>NT000442</x:v>
      </x:c>
      <x:c r="B443" s="2" t="str">
        <x:v>EV000444</x:v>
      </x:c>
      <x:c r="C443" s="2" t="str">
        <x:v>T20261004-4-3</x:v>
      </x:c>
      <x:c r="D443" s="2" t="str">
        <x:v>ST103</x:v>
      </x:c>
      <x:c r="E443" s="2" t="str">
        <x:v>G103</x:v>
      </x:c>
      <x:c r="F443" s="2" t="str">
        <x:v>guardian103@example.invalid</x:v>
      </x:c>
      <x:c r="G443" s="2" t="str">
        <x:v>Email</x:v>
      </x:c>
      <x:c r="H443" s="2" t="str">
        <x:v>Authorized release</x:v>
      </x:c>
      <x:c r="I443" s="8" t="n">
        <x:v>46299.62298611111</x:v>
      </x:c>
      <x:c r="J443" s="8" t="n">
        <x:v>46299.62300925926</x:v>
      </x:c>
      <x:c r="K443" s="8" t="n">
        <x:v>46299.62304398148</x:v>
      </x:c>
      <x:c r="L443" s="2" t="str">
        <x:v>Sent</x:v>
      </x:c>
      <x:c r="M443" s="2" t="n">
        <x:v>1</x:v>
      </x:c>
      <x:c r="N443" s="2"/>
      <x:c r="O443" s="2"/>
    </x:row>
    <x:row r="444" ht="21" customHeight="1">
      <x:c r="A444" s="2" t="str">
        <x:v>NT000443</x:v>
      </x:c>
      <x:c r="B444" s="2" t="str">
        <x:v>EV000445</x:v>
      </x:c>
      <x:c r="C444" s="2" t="str">
        <x:v>T20261004-4-3</x:v>
      </x:c>
      <x:c r="D444" s="2" t="str">
        <x:v>ST104</x:v>
      </x:c>
      <x:c r="E444" s="2" t="str">
        <x:v>G104</x:v>
      </x:c>
      <x:c r="F444" s="2" t="str">
        <x:v>guardian104@example.invalid</x:v>
      </x:c>
      <x:c r="G444" s="2" t="str">
        <x:v>Email</x:v>
      </x:c>
      <x:c r="H444" s="2" t="str">
        <x:v>Boarded</x:v>
      </x:c>
      <x:c r="I444" s="8" t="n">
        <x:v>46299.60427083334</x:v>
      </x:c>
      <x:c r="J444" s="8" t="n">
        <x:v>46299.60429398149</x:v>
      </x:c>
      <x:c r="K444" s="8" t="n">
        <x:v>46299.60432870371</x:v>
      </x:c>
      <x:c r="L444" s="2" t="str">
        <x:v>Sent</x:v>
      </x:c>
      <x:c r="M444" s="2" t="n">
        <x:v>1</x:v>
      </x:c>
      <x:c r="N444" s="2"/>
      <x:c r="O444" s="2"/>
    </x:row>
    <x:row r="445" ht="21" customHeight="1">
      <x:c r="A445" s="2" t="str">
        <x:v>NT000444</x:v>
      </x:c>
      <x:c r="B445" s="2" t="str">
        <x:v>EV000446</x:v>
      </x:c>
      <x:c r="C445" s="2" t="str">
        <x:v>T20261004-4-3</x:v>
      </x:c>
      <x:c r="D445" s="2" t="str">
        <x:v>ST104</x:v>
      </x:c>
      <x:c r="E445" s="2" t="str">
        <x:v>G104</x:v>
      </x:c>
      <x:c r="F445" s="2" t="str">
        <x:v>guardian104@example.invalid</x:v>
      </x:c>
      <x:c r="G445" s="2" t="str">
        <x:v>Email</x:v>
      </x:c>
      <x:c r="H445" s="2" t="str">
        <x:v>Authorized release</x:v>
      </x:c>
      <x:c r="I445" s="8" t="n">
        <x:v>46299.6271875</x:v>
      </x:c>
      <x:c r="J445" s="8" t="n">
        <x:v>46299.62721064815</x:v>
      </x:c>
      <x:c r="K445" s="8" t="n">
        <x:v>46299.62724537037</x:v>
      </x:c>
      <x:c r="L445" s="2" t="str">
        <x:v>Sent</x:v>
      </x:c>
      <x:c r="M445" s="2" t="n">
        <x:v>1</x:v>
      </x:c>
      <x:c r="N445" s="2"/>
      <x:c r="O445" s="2"/>
    </x:row>
    <x:row r="446" ht="21" customHeight="1">
      <x:c r="A446" s="2" t="str">
        <x:v>NT000445</x:v>
      </x:c>
      <x:c r="B446" s="2" t="str">
        <x:v>EV000447</x:v>
      </x:c>
      <x:c r="C446" s="2" t="str">
        <x:v>T20261004-4-3</x:v>
      </x:c>
      <x:c r="D446" s="2" t="str">
        <x:v>ST105</x:v>
      </x:c>
      <x:c r="E446" s="2" t="str">
        <x:v>G105</x:v>
      </x:c>
      <x:c r="F446" s="2" t="str">
        <x:v>guardian105@example.invalid</x:v>
      </x:c>
      <x:c r="G446" s="2" t="str">
        <x:v>Email</x:v>
      </x:c>
      <x:c r="H446" s="2" t="str">
        <x:v>Boarded</x:v>
      </x:c>
      <x:c r="I446" s="8" t="n">
        <x:v>46299.604305555564</x:v>
      </x:c>
      <x:c r="J446" s="8" t="n">
        <x:v>46299.60432870371</x:v>
      </x:c>
      <x:c r="K446" s="8" t="n">
        <x:v>46299.60436342593</x:v>
      </x:c>
      <x:c r="L446" s="2" t="str">
        <x:v>Sent</x:v>
      </x:c>
      <x:c r="M446" s="2" t="n">
        <x:v>1</x:v>
      </x:c>
      <x:c r="N446" s="2"/>
      <x:c r="O446" s="2"/>
    </x:row>
    <x:row r="447" ht="21" customHeight="1">
      <x:c r="A447" s="2" t="str">
        <x:v>NT000446</x:v>
      </x:c>
      <x:c r="B447" s="2" t="str">
        <x:v>EV000448</x:v>
      </x:c>
      <x:c r="C447" s="2" t="str">
        <x:v>T20261004-4-3</x:v>
      </x:c>
      <x:c r="D447" s="2" t="str">
        <x:v>ST105</x:v>
      </x:c>
      <x:c r="E447" s="2" t="str">
        <x:v>G105</x:v>
      </x:c>
      <x:c r="F447" s="2" t="str">
        <x:v>guardian105@example.invalid</x:v>
      </x:c>
      <x:c r="G447" s="2" t="str">
        <x:v>Email</x:v>
      </x:c>
      <x:c r="H447" s="2" t="str">
        <x:v>Authorized release</x:v>
      </x:c>
      <x:c r="I447" s="8" t="n">
        <x:v>46299.618888888894</x:v>
      </x:c>
      <x:c r="J447" s="8" t="n">
        <x:v>46299.61891203704</x:v>
      </x:c>
      <x:c r="K447" s="8" t="n">
        <x:v>46299.61894675926</x:v>
      </x:c>
      <x:c r="L447" s="2" t="str">
        <x:v>Sent</x:v>
      </x:c>
      <x:c r="M447" s="2" t="n">
        <x:v>1</x:v>
      </x:c>
      <x:c r="N447" s="2"/>
      <x:c r="O447" s="2"/>
    </x:row>
    <x:row r="448" ht="21" customHeight="1">
      <x:c r="A448" s="2" t="str">
        <x:v>NT000447</x:v>
      </x:c>
      <x:c r="B448" s="2" t="str">
        <x:v>EV000449</x:v>
      </x:c>
      <x:c r="C448" s="2" t="str">
        <x:v>T20261004-4-3</x:v>
      </x:c>
      <x:c r="D448" s="2" t="str">
        <x:v>ST106</x:v>
      </x:c>
      <x:c r="E448" s="2" t="str">
        <x:v>G106</x:v>
      </x:c>
      <x:c r="F448" s="2" t="str">
        <x:v>guardian106@example.invalid</x:v>
      </x:c>
      <x:c r="G448" s="2" t="str">
        <x:v>Email</x:v>
      </x:c>
      <x:c r="H448" s="2" t="str">
        <x:v>Boarded</x:v>
      </x:c>
      <x:c r="I448" s="8" t="n">
        <x:v>46299.60434027778</x:v>
      </x:c>
      <x:c r="J448" s="8" t="n">
        <x:v>46299.604363425926</x:v>
      </x:c>
      <x:c r="K448" s="8" t="n">
        <x:v>46299.60439814815</x:v>
      </x:c>
      <x:c r="L448" s="2" t="str">
        <x:v>Sent</x:v>
      </x:c>
      <x:c r="M448" s="2" t="n">
        <x:v>1</x:v>
      </x:c>
      <x:c r="N448" s="2"/>
      <x:c r="O448" s="2"/>
    </x:row>
    <x:row r="449" ht="21" customHeight="1">
      <x:c r="A449" s="2" t="str">
        <x:v>NT000448</x:v>
      </x:c>
      <x:c r="B449" s="2" t="str">
        <x:v>EV000450</x:v>
      </x:c>
      <x:c r="C449" s="2" t="str">
        <x:v>T20261004-4-3</x:v>
      </x:c>
      <x:c r="D449" s="2" t="str">
        <x:v>ST106</x:v>
      </x:c>
      <x:c r="E449" s="2" t="str">
        <x:v>G106</x:v>
      </x:c>
      <x:c r="F449" s="2" t="str">
        <x:v>guardian106@example.invalid</x:v>
      </x:c>
      <x:c r="G449" s="2" t="str">
        <x:v>Email</x:v>
      </x:c>
      <x:c r="H449" s="2" t="str">
        <x:v>Authorized release</x:v>
      </x:c>
      <x:c r="I449" s="8" t="n">
        <x:v>46299.623090277775</x:v>
      </x:c>
      <x:c r="J449" s="8" t="n">
        <x:v>46299.62311342592</x:v>
      </x:c>
      <x:c r="K449" s="8" t="n">
        <x:v>46299.623148148145</x:v>
      </x:c>
      <x:c r="L449" s="2" t="str">
        <x:v>Sent</x:v>
      </x:c>
      <x:c r="M449" s="2" t="n">
        <x:v>1</x:v>
      </x:c>
      <x:c r="N449" s="2"/>
      <x:c r="O449" s="2"/>
    </x:row>
    <x:row r="450" ht="21" customHeight="1">
      <x:c r="A450" s="2" t="str">
        <x:v>NT000449</x:v>
      </x:c>
      <x:c r="B450" s="2" t="str">
        <x:v>EV000451</x:v>
      </x:c>
      <x:c r="C450" s="2" t="str">
        <x:v>T20261004-4-3</x:v>
      </x:c>
      <x:c r="D450" s="2" t="str">
        <x:v>ST107</x:v>
      </x:c>
      <x:c r="E450" s="2" t="str">
        <x:v>G107</x:v>
      </x:c>
      <x:c r="F450" s="2" t="str">
        <x:v>guardian107@example.invalid</x:v>
      </x:c>
      <x:c r="G450" s="2" t="str">
        <x:v>Email</x:v>
      </x:c>
      <x:c r="H450" s="2" t="str">
        <x:v>Boarded</x:v>
      </x:c>
      <x:c r="I450" s="8" t="n">
        <x:v>46299.604375</x:v>
      </x:c>
      <x:c r="J450" s="8" t="n">
        <x:v>46299.60439814815</x:v>
      </x:c>
      <x:c r="K450" s="8" t="n">
        <x:v>46299.60443287037</x:v>
      </x:c>
      <x:c r="L450" s="2" t="str">
        <x:v>Sent</x:v>
      </x:c>
      <x:c r="M450" s="2" t="n">
        <x:v>1</x:v>
      </x:c>
      <x:c r="N450" s="2"/>
      <x:c r="O450" s="2"/>
    </x:row>
    <x:row r="451" ht="21" customHeight="1">
      <x:c r="A451" s="2" t="str">
        <x:v>NT000450</x:v>
      </x:c>
      <x:c r="B451" s="2" t="str">
        <x:v>EV000452</x:v>
      </x:c>
      <x:c r="C451" s="2" t="str">
        <x:v>T20261004-4-3</x:v>
      </x:c>
      <x:c r="D451" s="2" t="str">
        <x:v>ST107</x:v>
      </x:c>
      <x:c r="E451" s="2" t="str">
        <x:v>G107</x:v>
      </x:c>
      <x:c r="F451" s="2" t="str">
        <x:v>guardian107@example.invalid</x:v>
      </x:c>
      <x:c r="G451" s="2" t="str">
        <x:v>Email</x:v>
      </x:c>
      <x:c r="H451" s="2" t="str">
        <x:v>Authorized release</x:v>
      </x:c>
      <x:c r="I451" s="8" t="n">
        <x:v>46299.627291666664</x:v>
      </x:c>
      <x:c r="J451" s="8" t="n">
        <x:v>46299.62731481481</x:v>
      </x:c>
      <x:c r="K451" s="8" t="n">
        <x:v>46299.62734953703</x:v>
      </x:c>
      <x:c r="L451" s="2" t="str">
        <x:v>Sent</x:v>
      </x:c>
      <x:c r="M451" s="2" t="n">
        <x:v>1</x:v>
      </x:c>
      <x:c r="N451" s="2"/>
      <x:c r="O451" s="2"/>
    </x:row>
    <x:row r="452" ht="21" customHeight="1">
      <x:c r="A452" s="2" t="str">
        <x:v>NT000451</x:v>
      </x:c>
      <x:c r="B452" s="2" t="str">
        <x:v>EV000453</x:v>
      </x:c>
      <x:c r="C452" s="2" t="str">
        <x:v>T20261004-4-3</x:v>
      </x:c>
      <x:c r="D452" s="2" t="str">
        <x:v>ST108</x:v>
      </x:c>
      <x:c r="E452" s="2" t="str">
        <x:v>G108</x:v>
      </x:c>
      <x:c r="F452" s="2" t="str">
        <x:v>guardian108@example.invalid</x:v>
      </x:c>
      <x:c r="G452" s="2" t="str">
        <x:v>Email</x:v>
      </x:c>
      <x:c r="H452" s="2" t="str">
        <x:v>Boarded</x:v>
      </x:c>
      <x:c r="I452" s="8" t="n">
        <x:v>46299.604409722226</x:v>
      </x:c>
      <x:c r="J452" s="8" t="n">
        <x:v>46299.60443287037</x:v>
      </x:c>
      <x:c r="K452" s="8" t="n">
        <x:v>46299.604467592595</x:v>
      </x:c>
      <x:c r="L452" s="2" t="str">
        <x:v>Sent</x:v>
      </x:c>
      <x:c r="M452" s="2" t="n">
        <x:v>1</x:v>
      </x:c>
      <x:c r="N452" s="2"/>
      <x:c r="O452" s="2"/>
    </x:row>
    <x:row r="453" ht="21" customHeight="1">
      <x:c r="A453" s="2" t="str">
        <x:v>NT000452</x:v>
      </x:c>
      <x:c r="B453" s="2" t="str">
        <x:v>EV000454</x:v>
      </x:c>
      <x:c r="C453" s="2" t="str">
        <x:v>T20261004-4-3</x:v>
      </x:c>
      <x:c r="D453" s="2" t="str">
        <x:v>ST108</x:v>
      </x:c>
      <x:c r="E453" s="2" t="str">
        <x:v>G108</x:v>
      </x:c>
      <x:c r="F453" s="2" t="str">
        <x:v>guardian108@example.invalid</x:v>
      </x:c>
      <x:c r="G453" s="2" t="str">
        <x:v>Email</x:v>
      </x:c>
      <x:c r="H453" s="2" t="str">
        <x:v>Authorized release</x:v>
      </x:c>
      <x:c r="I453" s="8" t="n">
        <x:v>46299.618993055556</x:v>
      </x:c>
      <x:c r="J453" s="8" t="n">
        <x:v>46299.6190162037</x:v>
      </x:c>
      <x:c r="K453" s="8" t="n">
        <x:v>46299.619050925925</x:v>
      </x:c>
      <x:c r="L453" s="2" t="str">
        <x:v>Sent</x:v>
      </x:c>
      <x:c r="M453" s="2" t="n">
        <x:v>1</x:v>
      </x:c>
      <x:c r="N453" s="2"/>
      <x:c r="O453" s="2"/>
    </x:row>
    <x:row r="454" ht="21" customHeight="1">
      <x:c r="A454" s="2" t="str">
        <x:v>NT000453</x:v>
      </x:c>
      <x:c r="B454" s="2" t="str">
        <x:v>EV000455</x:v>
      </x:c>
      <x:c r="C454" s="2" t="str">
        <x:v>T20261004-4-3</x:v>
      </x:c>
      <x:c r="D454" s="2" t="str">
        <x:v>ST109</x:v>
      </x:c>
      <x:c r="E454" s="2" t="str">
        <x:v>G109</x:v>
      </x:c>
      <x:c r="F454" s="2" t="str">
        <x:v>guardian109@example.invalid</x:v>
      </x:c>
      <x:c r="G454" s="2" t="str">
        <x:v>Email</x:v>
      </x:c>
      <x:c r="H454" s="2" t="str">
        <x:v>Boarded</x:v>
      </x:c>
      <x:c r="I454" s="8" t="n">
        <x:v>46299.60444444445</x:v>
      </x:c>
      <x:c r="J454" s="8" t="n">
        <x:v>46299.604467592595</x:v>
      </x:c>
      <x:c r="K454" s="8" t="n">
        <x:v>46299.60450231482</x:v>
      </x:c>
      <x:c r="L454" s="2" t="str">
        <x:v>Sent</x:v>
      </x:c>
      <x:c r="M454" s="2" t="n">
        <x:v>1</x:v>
      </x:c>
      <x:c r="N454" s="2"/>
      <x:c r="O454" s="2"/>
    </x:row>
    <x:row r="455" ht="21" customHeight="1">
      <x:c r="A455" s="2" t="str">
        <x:v>NT000454</x:v>
      </x:c>
      <x:c r="B455" s="2" t="str">
        <x:v>EV000456</x:v>
      </x:c>
      <x:c r="C455" s="2" t="str">
        <x:v>T20261004-4-3</x:v>
      </x:c>
      <x:c r="D455" s="2" t="str">
        <x:v>ST109</x:v>
      </x:c>
      <x:c r="E455" s="2" t="str">
        <x:v>G109</x:v>
      </x:c>
      <x:c r="F455" s="2" t="str">
        <x:v>guardian109@example.invalid</x:v>
      </x:c>
      <x:c r="G455" s="2" t="str">
        <x:v>Email</x:v>
      </x:c>
      <x:c r="H455" s="2" t="str">
        <x:v>Authorized release</x:v>
      </x:c>
      <x:c r="I455" s="8" t="n">
        <x:v>46299.623194444444</x:v>
      </x:c>
      <x:c r="J455" s="8" t="n">
        <x:v>46299.62321759259</x:v>
      </x:c>
      <x:c r="K455" s="8" t="n">
        <x:v>46299.623252314814</x:v>
      </x:c>
      <x:c r="L455" s="2" t="str">
        <x:v>Sent</x:v>
      </x:c>
      <x:c r="M455" s="2" t="n">
        <x:v>1</x:v>
      </x:c>
      <x:c r="N455" s="2"/>
      <x:c r="O455" s="2"/>
    </x:row>
    <x:row r="456" ht="21" customHeight="1">
      <x:c r="A456" s="2" t="str">
        <x:v>NT000455</x:v>
      </x:c>
      <x:c r="B456" s="2" t="str">
        <x:v>EV000457</x:v>
      </x:c>
      <x:c r="C456" s="2" t="str">
        <x:v>T20261004-4-3</x:v>
      </x:c>
      <x:c r="D456" s="2" t="str">
        <x:v>ST110</x:v>
      </x:c>
      <x:c r="E456" s="2" t="str">
        <x:v>G110</x:v>
      </x:c>
      <x:c r="F456" s="2" t="str">
        <x:v>guardian110@example.invalid</x:v>
      </x:c>
      <x:c r="G456" s="2" t="str">
        <x:v>Email</x:v>
      </x:c>
      <x:c r="H456" s="2" t="str">
        <x:v>Boarded</x:v>
      </x:c>
      <x:c r="I456" s="8" t="n">
        <x:v>46299.60447916667</x:v>
      </x:c>
      <x:c r="J456" s="8" t="n">
        <x:v>46299.60450231482</x:v>
      </x:c>
      <x:c r="K456" s="8" t="n">
        <x:v>46299.60453703704</x:v>
      </x:c>
      <x:c r="L456" s="2" t="str">
        <x:v>Sent</x:v>
      </x:c>
      <x:c r="M456" s="2" t="n">
        <x:v>1</x:v>
      </x:c>
      <x:c r="N456" s="2"/>
      <x:c r="O456" s="2"/>
    </x:row>
    <x:row r="457" ht="21" customHeight="1">
      <x:c r="A457" s="2" t="str">
        <x:v>NT000456</x:v>
      </x:c>
      <x:c r="B457" s="2" t="str">
        <x:v>EV000458</x:v>
      </x:c>
      <x:c r="C457" s="2" t="str">
        <x:v>T20261004-4-3</x:v>
      </x:c>
      <x:c r="D457" s="2" t="str">
        <x:v>ST110</x:v>
      </x:c>
      <x:c r="E457" s="2" t="str">
        <x:v>G110</x:v>
      </x:c>
      <x:c r="F457" s="2" t="str">
        <x:v>guardian110@example.invalid</x:v>
      </x:c>
      <x:c r="G457" s="2" t="str">
        <x:v>Email</x:v>
      </x:c>
      <x:c r="H457" s="2" t="str">
        <x:v>Authorized release</x:v>
      </x:c>
      <x:c r="I457" s="8" t="n">
        <x:v>46299.62739583333</x:v>
      </x:c>
      <x:c r="J457" s="8" t="n">
        <x:v>46299.62741898148</x:v>
      </x:c>
      <x:c r="K457" s="8" t="n">
        <x:v>46299.6274537037</x:v>
      </x:c>
      <x:c r="L457" s="2" t="str">
        <x:v>Sent</x:v>
      </x:c>
      <x:c r="M457" s="2" t="n">
        <x:v>1</x:v>
      </x:c>
      <x:c r="N457" s="2"/>
      <x:c r="O457" s="2"/>
    </x:row>
    <x:row r="458" ht="21" customHeight="1">
      <x:c r="A458" s="2" t="str">
        <x:v>NT000457</x:v>
      </x:c>
      <x:c r="B458" s="2" t="str">
        <x:v>EV000459</x:v>
      </x:c>
      <x:c r="C458" s="2" t="str">
        <x:v>T20261004-5-3</x:v>
      </x:c>
      <x:c r="D458" s="2" t="str">
        <x:v>ST111</x:v>
      </x:c>
      <x:c r="E458" s="2" t="str">
        <x:v>G111</x:v>
      </x:c>
      <x:c r="F458" s="2" t="str">
        <x:v>guardian111@example.invalid</x:v>
      </x:c>
      <x:c r="G458" s="2" t="str">
        <x:v>Email</x:v>
      </x:c>
      <x:c r="H458" s="2" t="str">
        <x:v>Boarded</x:v>
      </x:c>
      <x:c r="I458" s="8" t="n">
        <x:v>46299.70833333333</x:v>
      </x:c>
      <x:c r="J458" s="8" t="n">
        <x:v>46299.708356481475</x:v>
      </x:c>
      <x:c r="K458" s="8" t="n">
        <x:v>46299.7083912037</x:v>
      </x:c>
      <x:c r="L458" s="2" t="str">
        <x:v>Sent</x:v>
      </x:c>
      <x:c r="M458" s="2" t="n">
        <x:v>1</x:v>
      </x:c>
      <x:c r="N458" s="2"/>
      <x:c r="O458" s="2"/>
    </x:row>
    <x:row r="459" ht="21" customHeight="1">
      <x:c r="A459" s="2" t="str">
        <x:v>NT000458</x:v>
      </x:c>
      <x:c r="B459" s="2" t="str">
        <x:v>EV000460</x:v>
      </x:c>
      <x:c r="C459" s="2" t="str">
        <x:v>T20261004-5-3</x:v>
      </x:c>
      <x:c r="D459" s="2" t="str">
        <x:v>ST111</x:v>
      </x:c>
      <x:c r="E459" s="2" t="str">
        <x:v>G111</x:v>
      </x:c>
      <x:c r="F459" s="2" t="str">
        <x:v>guardian111@example.invalid</x:v>
      </x:c>
      <x:c r="G459" s="2" t="str">
        <x:v>Email</x:v>
      </x:c>
      <x:c r="H459" s="2" t="str">
        <x:v>Authorized release</x:v>
      </x:c>
      <x:c r="I459" s="8" t="n">
        <x:v>46299.72361111111</x:v>
      </x:c>
      <x:c r="J459" s="8" t="n">
        <x:v>46299.72363425926</x:v>
      </x:c>
      <x:c r="K459" s="8" t="n">
        <x:v>46299.72366898148</x:v>
      </x:c>
      <x:c r="L459" s="2" t="str">
        <x:v>Sent</x:v>
      </x:c>
      <x:c r="M459" s="2" t="n">
        <x:v>1</x:v>
      </x:c>
      <x:c r="N459" s="2"/>
      <x:c r="O459" s="2"/>
    </x:row>
    <x:row r="460" ht="21" customHeight="1">
      <x:c r="A460" s="2" t="str">
        <x:v>NT000459</x:v>
      </x:c>
      <x:c r="B460" s="2" t="str">
        <x:v>EV000461</x:v>
      </x:c>
      <x:c r="C460" s="2" t="str">
        <x:v>T20261004-5-3</x:v>
      </x:c>
      <x:c r="D460" s="2" t="str">
        <x:v>ST112</x:v>
      </x:c>
      <x:c r="E460" s="2" t="str">
        <x:v>G112</x:v>
      </x:c>
      <x:c r="F460" s="2" t="str">
        <x:v>guardian112@example.invalid</x:v>
      </x:c>
      <x:c r="G460" s="2" t="str">
        <x:v>Email</x:v>
      </x:c>
      <x:c r="H460" s="2" t="str">
        <x:v>Boarded</x:v>
      </x:c>
      <x:c r="I460" s="8" t="n">
        <x:v>46299.70836805555</x:v>
      </x:c>
      <x:c r="J460" s="8" t="n">
        <x:v>46299.7083912037</x:v>
      </x:c>
      <x:c r="K460" s="8" t="n">
        <x:v>46299.70842592592</x:v>
      </x:c>
      <x:c r="L460" s="2" t="str">
        <x:v>Sent</x:v>
      </x:c>
      <x:c r="M460" s="2" t="n">
        <x:v>1</x:v>
      </x:c>
      <x:c r="N460" s="2"/>
      <x:c r="O460" s="2"/>
    </x:row>
    <x:row r="461" ht="21" customHeight="1">
      <x:c r="A461" s="2" t="str">
        <x:v>NT000460</x:v>
      </x:c>
      <x:c r="B461" s="2" t="str">
        <x:v>EV000462</x:v>
      </x:c>
      <x:c r="C461" s="2" t="str">
        <x:v>T20261004-5-3</x:v>
      </x:c>
      <x:c r="D461" s="2" t="str">
        <x:v>ST112</x:v>
      </x:c>
      <x:c r="E461" s="2" t="str">
        <x:v>G112</x:v>
      </x:c>
      <x:c r="F461" s="2" t="str">
        <x:v>guardian112@example.invalid</x:v>
      </x:c>
      <x:c r="G461" s="2" t="str">
        <x:v>Email</x:v>
      </x:c>
      <x:c r="H461" s="2" t="str">
        <x:v>Authorized release</x:v>
      </x:c>
      <x:c r="I461" s="8" t="n">
        <x:v>46299.72850694445</x:v>
      </x:c>
      <x:c r="J461" s="8" t="n">
        <x:v>46299.728530092594</x:v>
      </x:c>
      <x:c r="K461" s="8" t="n">
        <x:v>46299.72856481482</x:v>
      </x:c>
      <x:c r="L461" s="2" t="str">
        <x:v>Sent</x:v>
      </x:c>
      <x:c r="M461" s="2" t="n">
        <x:v>1</x:v>
      </x:c>
      <x:c r="N461" s="2"/>
      <x:c r="O461" s="2"/>
    </x:row>
    <x:row r="462" ht="21" customHeight="1">
      <x:c r="A462" s="2" t="str">
        <x:v>NT000461</x:v>
      </x:c>
      <x:c r="B462" s="2" t="str">
        <x:v>EV000463</x:v>
      </x:c>
      <x:c r="C462" s="2" t="str">
        <x:v>T20261004-5-3</x:v>
      </x:c>
      <x:c r="D462" s="2" t="str">
        <x:v>ST113</x:v>
      </x:c>
      <x:c r="E462" s="2" t="str">
        <x:v>G113</x:v>
      </x:c>
      <x:c r="F462" s="2" t="str">
        <x:v>guardian113@example.invalid</x:v>
      </x:c>
      <x:c r="G462" s="2" t="str">
        <x:v>Email</x:v>
      </x:c>
      <x:c r="H462" s="2" t="str">
        <x:v>Boarded</x:v>
      </x:c>
      <x:c r="I462" s="8" t="n">
        <x:v>46299.708402777775</x:v>
      </x:c>
      <x:c r="J462" s="8" t="n">
        <x:v>46299.70842592592</x:v>
      </x:c>
      <x:c r="K462" s="8" t="n">
        <x:v>46299.708460648144</x:v>
      </x:c>
      <x:c r="L462" s="2" t="str">
        <x:v>Sent</x:v>
      </x:c>
      <x:c r="M462" s="2" t="n">
        <x:v>1</x:v>
      </x:c>
      <x:c r="N462" s="2"/>
      <x:c r="O462" s="2"/>
    </x:row>
    <x:row r="463" ht="21" customHeight="1">
      <x:c r="A463" s="2" t="str">
        <x:v>NT000462</x:v>
      </x:c>
      <x:c r="B463" s="2" t="str">
        <x:v>EV000464</x:v>
      </x:c>
      <x:c r="C463" s="2" t="str">
        <x:v>T20261004-5-3</x:v>
      </x:c>
      <x:c r="D463" s="2" t="str">
        <x:v>ST113</x:v>
      </x:c>
      <x:c r="E463" s="2" t="str">
        <x:v>G113</x:v>
      </x:c>
      <x:c r="F463" s="2" t="str">
        <x:v>guardian113@example.invalid</x:v>
      </x:c>
      <x:c r="G463" s="2" t="str">
        <x:v>Email</x:v>
      </x:c>
      <x:c r="H463" s="2" t="str">
        <x:v>Authorized release</x:v>
      </x:c>
      <x:c r="I463" s="8" t="n">
        <x:v>46299.73340277778</x:v>
      </x:c>
      <x:c r="J463" s="8" t="n">
        <x:v>46299.73342592593</x:v>
      </x:c>
      <x:c r="K463" s="8" t="n">
        <x:v>46299.73346064815</x:v>
      </x:c>
      <x:c r="L463" s="2" t="str">
        <x:v>Sent</x:v>
      </x:c>
      <x:c r="M463" s="2" t="n">
        <x:v>1</x:v>
      </x:c>
      <x:c r="N463" s="2"/>
      <x:c r="O463" s="2"/>
    </x:row>
    <x:row r="464" ht="21" customHeight="1">
      <x:c r="A464" s="2" t="str">
        <x:v>NT000463</x:v>
      </x:c>
      <x:c r="B464" s="2" t="str">
        <x:v>EV000465</x:v>
      </x:c>
      <x:c r="C464" s="2" t="str">
        <x:v>T20261004-5-3</x:v>
      </x:c>
      <x:c r="D464" s="2" t="str">
        <x:v>ST114</x:v>
      </x:c>
      <x:c r="E464" s="2" t="str">
        <x:v>G114</x:v>
      </x:c>
      <x:c r="F464" s="2" t="str">
        <x:v>guardian114@example.invalid</x:v>
      </x:c>
      <x:c r="G464" s="2" t="str">
        <x:v>Email</x:v>
      </x:c>
      <x:c r="H464" s="2" t="str">
        <x:v>Boarded</x:v>
      </x:c>
      <x:c r="I464" s="8" t="n">
        <x:v>46299.7084375</x:v>
      </x:c>
      <x:c r="J464" s="8" t="n">
        <x:v>46299.708460648144</x:v>
      </x:c>
      <x:c r="K464" s="8" t="n">
        <x:v>46299.70849537037</x:v>
      </x:c>
      <x:c r="L464" s="2" t="str">
        <x:v>Sent</x:v>
      </x:c>
      <x:c r="M464" s="2" t="n">
        <x:v>1</x:v>
      </x:c>
      <x:c r="N464" s="2"/>
      <x:c r="O464" s="2"/>
    </x:row>
    <x:row r="465" ht="21" customHeight="1">
      <x:c r="A465" s="2" t="str">
        <x:v>NT000464</x:v>
      </x:c>
      <x:c r="B465" s="2" t="str">
        <x:v>EV000466</x:v>
      </x:c>
      <x:c r="C465" s="2" t="str">
        <x:v>T20261004-5-3</x:v>
      </x:c>
      <x:c r="D465" s="2" t="str">
        <x:v>ST114</x:v>
      </x:c>
      <x:c r="E465" s="2" t="str">
        <x:v>G114</x:v>
      </x:c>
      <x:c r="F465" s="2" t="str">
        <x:v>guardian114@example.invalid</x:v>
      </x:c>
      <x:c r="G465" s="2" t="str">
        <x:v>Email</x:v>
      </x:c>
      <x:c r="H465" s="2" t="str">
        <x:v>Authorized release</x:v>
      </x:c>
      <x:c r="I465" s="8" t="n">
        <x:v>46299.72371527778</x:v>
      </x:c>
      <x:c r="J465" s="8" t="n">
        <x:v>46299.72373842593</x:v>
      </x:c>
      <x:c r="K465" s="8" t="n">
        <x:v>46299.72377314815</x:v>
      </x:c>
      <x:c r="L465" s="2" t="str">
        <x:v>Sent</x:v>
      </x:c>
      <x:c r="M465" s="2" t="n">
        <x:v>1</x:v>
      </x:c>
      <x:c r="N465" s="2"/>
      <x:c r="O465" s="2"/>
    </x:row>
    <x:row r="466" ht="21" customHeight="1">
      <x:c r="A466" s="2" t="str">
        <x:v>NT000465</x:v>
      </x:c>
      <x:c r="B466" s="2" t="str">
        <x:v>EV000467</x:v>
      </x:c>
      <x:c r="C466" s="2" t="str">
        <x:v>T20261004-5-3</x:v>
      </x:c>
      <x:c r="D466" s="2" t="str">
        <x:v>ST115</x:v>
      </x:c>
      <x:c r="E466" s="2" t="str">
        <x:v>G115</x:v>
      </x:c>
      <x:c r="F466" s="2" t="str">
        <x:v>guardian115@example.invalid</x:v>
      </x:c>
      <x:c r="G466" s="2" t="str">
        <x:v>Email</x:v>
      </x:c>
      <x:c r="H466" s="2" t="str">
        <x:v>Boarded</x:v>
      </x:c>
      <x:c r="I466" s="8" t="n">
        <x:v>46299.70847222222</x:v>
      </x:c>
      <x:c r="J466" s="8" t="n">
        <x:v>46299.70849537037</x:v>
      </x:c>
      <x:c r="K466" s="8" t="n">
        <x:v>46299.70853009259</x:v>
      </x:c>
      <x:c r="L466" s="2" t="str">
        <x:v>Sent</x:v>
      </x:c>
      <x:c r="M466" s="2" t="n">
        <x:v>1</x:v>
      </x:c>
      <x:c r="N466" s="2"/>
      <x:c r="O466" s="2"/>
    </x:row>
    <x:row r="467" ht="21" customHeight="1">
      <x:c r="A467" s="2" t="str">
        <x:v>NT000466</x:v>
      </x:c>
      <x:c r="B467" s="2" t="str">
        <x:v>EV000468</x:v>
      </x:c>
      <x:c r="C467" s="2" t="str">
        <x:v>T20261004-5-3</x:v>
      </x:c>
      <x:c r="D467" s="2" t="str">
        <x:v>ST115</x:v>
      </x:c>
      <x:c r="E467" s="2" t="str">
        <x:v>G115</x:v>
      </x:c>
      <x:c r="F467" s="2" t="str">
        <x:v>guardian115@example.invalid</x:v>
      </x:c>
      <x:c r="G467" s="2" t="str">
        <x:v>Email</x:v>
      </x:c>
      <x:c r="H467" s="2" t="str">
        <x:v>Authorized release</x:v>
      </x:c>
      <x:c r="I467" s="8" t="n">
        <x:v>46299.72861111112</x:v>
      </x:c>
      <x:c r="J467" s="8" t="n">
        <x:v>46299.72863425926</x:v>
      </x:c>
      <x:c r="K467" s="8" t="n">
        <x:v>46299.72866898149</x:v>
      </x:c>
      <x:c r="L467" s="2" t="str">
        <x:v>Sent</x:v>
      </x:c>
      <x:c r="M467" s="2" t="n">
        <x:v>1</x:v>
      </x:c>
      <x:c r="N467" s="2"/>
      <x:c r="O467" s="2"/>
    </x:row>
    <x:row r="468" ht="21" customHeight="1">
      <x:c r="A468" s="2" t="str">
        <x:v>NT000467</x:v>
      </x:c>
      <x:c r="B468" s="2" t="str">
        <x:v>EV000469</x:v>
      </x:c>
      <x:c r="C468" s="2" t="str">
        <x:v>T20261004-5-3</x:v>
      </x:c>
      <x:c r="D468" s="2" t="str">
        <x:v>ST116</x:v>
      </x:c>
      <x:c r="E468" s="2" t="str">
        <x:v>G116</x:v>
      </x:c>
      <x:c r="F468" s="2" t="str">
        <x:v>guardian116@example.invalid</x:v>
      </x:c>
      <x:c r="G468" s="2" t="str">
        <x:v>Email</x:v>
      </x:c>
      <x:c r="H468" s="2" t="str">
        <x:v>Boarded</x:v>
      </x:c>
      <x:c r="I468" s="8" t="n">
        <x:v>46299.70850694444</x:v>
      </x:c>
      <x:c r="J468" s="8" t="n">
        <x:v>46299.70853009258</x:v>
      </x:c>
      <x:c r="K468" s="8" t="n">
        <x:v>46299.708564814806</x:v>
      </x:c>
      <x:c r="L468" s="2" t="str">
        <x:v>Sent</x:v>
      </x:c>
      <x:c r="M468" s="2" t="n">
        <x:v>1</x:v>
      </x:c>
      <x:c r="N468" s="2"/>
      <x:c r="O468" s="2"/>
    </x:row>
    <x:row r="469" ht="21" customHeight="1">
      <x:c r="A469" s="2" t="str">
        <x:v>NT000468</x:v>
      </x:c>
      <x:c r="B469" s="2" t="str">
        <x:v>EV000470</x:v>
      </x:c>
      <x:c r="C469" s="2" t="str">
        <x:v>T20261004-5-3</x:v>
      </x:c>
      <x:c r="D469" s="2" t="str">
        <x:v>ST116</x:v>
      </x:c>
      <x:c r="E469" s="2" t="str">
        <x:v>G116</x:v>
      </x:c>
      <x:c r="F469" s="2" t="str">
        <x:v>guardian116@example.invalid</x:v>
      </x:c>
      <x:c r="G469" s="2" t="str">
        <x:v>Email</x:v>
      </x:c>
      <x:c r="H469" s="2" t="str">
        <x:v>Authorized release</x:v>
      </x:c>
      <x:c r="I469" s="8" t="n">
        <x:v>46299.733506944445</x:v>
      </x:c>
      <x:c r="J469" s="8" t="n">
        <x:v>46299.73353009259</x:v>
      </x:c>
      <x:c r="K469" s="8" t="n">
        <x:v>46299.733564814815</x:v>
      </x:c>
      <x:c r="L469" s="2" t="str">
        <x:v>Sent</x:v>
      </x:c>
      <x:c r="M469" s="2" t="n">
        <x:v>1</x:v>
      </x:c>
      <x:c r="N469" s="2"/>
      <x:c r="O469" s="2"/>
    </x:row>
    <x:row r="470" ht="21" customHeight="1">
      <x:c r="A470" s="2" t="str">
        <x:v>NT000469</x:v>
      </x:c>
      <x:c r="B470" s="2" t="str">
        <x:v>EV000471</x:v>
      </x:c>
      <x:c r="C470" s="2" t="str">
        <x:v>T20261004-5-3</x:v>
      </x:c>
      <x:c r="D470" s="2" t="str">
        <x:v>ST117</x:v>
      </x:c>
      <x:c r="E470" s="2" t="str">
        <x:v>G117</x:v>
      </x:c>
      <x:c r="F470" s="2" t="str">
        <x:v>guardian117@example.invalid</x:v>
      </x:c>
      <x:c r="G470" s="2" t="str">
        <x:v>Email</x:v>
      </x:c>
      <x:c r="H470" s="2" t="str">
        <x:v>Boarded</x:v>
      </x:c>
      <x:c r="I470" s="8" t="n">
        <x:v>46299.70854166666</x:v>
      </x:c>
      <x:c r="J470" s="8" t="n">
        <x:v>46299.708564814806</x:v>
      </x:c>
      <x:c r="K470" s="8" t="n">
        <x:v>46299.70859953703</x:v>
      </x:c>
      <x:c r="L470" s="2" t="str">
        <x:v>Sent</x:v>
      </x:c>
      <x:c r="M470" s="2" t="n">
        <x:v>1</x:v>
      </x:c>
      <x:c r="N470" s="2"/>
      <x:c r="O470" s="2"/>
    </x:row>
    <x:row r="471" ht="21" customHeight="1">
      <x:c r="A471" s="2" t="str">
        <x:v>NT000470</x:v>
      </x:c>
      <x:c r="B471" s="2" t="str">
        <x:v>EV000472</x:v>
      </x:c>
      <x:c r="C471" s="2" t="str">
        <x:v>T20261004-5-3</x:v>
      </x:c>
      <x:c r="D471" s="2" t="str">
        <x:v>ST117</x:v>
      </x:c>
      <x:c r="E471" s="2" t="str">
        <x:v>G117</x:v>
      </x:c>
      <x:c r="F471" s="2" t="str">
        <x:v>guardian117@example.invalid</x:v>
      </x:c>
      <x:c r="G471" s="2" t="str">
        <x:v>Email</x:v>
      </x:c>
      <x:c r="H471" s="2" t="str">
        <x:v>Authorized release</x:v>
      </x:c>
      <x:c r="I471" s="8" t="n">
        <x:v>46299.72381944444</x:v>
      </x:c>
      <x:c r="J471" s="8" t="n">
        <x:v>46299.72384259259</x:v>
      </x:c>
      <x:c r="K471" s="8" t="n">
        <x:v>46299.72387731481</x:v>
      </x:c>
      <x:c r="L471" s="2" t="str">
        <x:v>Sent</x:v>
      </x:c>
      <x:c r="M471" s="2" t="n">
        <x:v>1</x:v>
      </x:c>
      <x:c r="N471" s="2"/>
      <x:c r="O471" s="2"/>
    </x:row>
    <x:row r="472" ht="21" customHeight="1">
      <x:c r="A472" s="2" t="str">
        <x:v>NT000471</x:v>
      </x:c>
      <x:c r="B472" s="2" t="str">
        <x:v>EV000473</x:v>
      </x:c>
      <x:c r="C472" s="2" t="str">
        <x:v>T20261004-5-3</x:v>
      </x:c>
      <x:c r="D472" s="2" t="str">
        <x:v>ST118</x:v>
      </x:c>
      <x:c r="E472" s="2" t="str">
        <x:v>G118</x:v>
      </x:c>
      <x:c r="F472" s="2" t="str">
        <x:v>guardian118@example.invalid</x:v>
      </x:c>
      <x:c r="G472" s="2" t="str">
        <x:v>Email</x:v>
      </x:c>
      <x:c r="H472" s="2" t="str">
        <x:v>Boarded</x:v>
      </x:c>
      <x:c r="I472" s="8" t="n">
        <x:v>46299.70857638888</x:v>
      </x:c>
      <x:c r="J472" s="8" t="n">
        <x:v>46299.70859953703</x:v>
      </x:c>
      <x:c r="K472" s="8" t="n">
        <x:v>46299.70863425925</x:v>
      </x:c>
      <x:c r="L472" s="2" t="str">
        <x:v>Sent</x:v>
      </x:c>
      <x:c r="M472" s="2" t="n">
        <x:v>1</x:v>
      </x:c>
      <x:c r="N472" s="2"/>
      <x:c r="O472" s="2"/>
    </x:row>
    <x:row r="473" ht="21" customHeight="1">
      <x:c r="A473" s="2" t="str">
        <x:v>NT000472</x:v>
      </x:c>
      <x:c r="B473" s="2" t="str">
        <x:v>EV000474</x:v>
      </x:c>
      <x:c r="C473" s="2" t="str">
        <x:v>T20261004-5-3</x:v>
      </x:c>
      <x:c r="D473" s="2" t="str">
        <x:v>ST118</x:v>
      </x:c>
      <x:c r="E473" s="2" t="str">
        <x:v>G118</x:v>
      </x:c>
      <x:c r="F473" s="2" t="str">
        <x:v>guardian118@example.invalid</x:v>
      </x:c>
      <x:c r="G473" s="2" t="str">
        <x:v>Email</x:v>
      </x:c>
      <x:c r="H473" s="2" t="str">
        <x:v>Authorized release</x:v>
      </x:c>
      <x:c r="I473" s="8" t="n">
        <x:v>46299.72871527778</x:v>
      </x:c>
      <x:c r="J473" s="8" t="n">
        <x:v>46299.728738425925</x:v>
      </x:c>
      <x:c r="K473" s="8" t="n">
        <x:v>46299.72877314815</x:v>
      </x:c>
      <x:c r="L473" s="2" t="str">
        <x:v>Sent</x:v>
      </x:c>
      <x:c r="M473" s="2" t="n">
        <x:v>1</x:v>
      </x:c>
      <x:c r="N473" s="2"/>
      <x:c r="O473" s="2"/>
    </x:row>
    <x:row r="474" ht="21" customHeight="1">
      <x:c r="A474" s="2" t="str">
        <x:v>NT000473</x:v>
      </x:c>
      <x:c r="B474" s="2" t="str">
        <x:v>EV000475</x:v>
      </x:c>
      <x:c r="C474" s="2" t="str">
        <x:v>T20261004-5-3</x:v>
      </x:c>
      <x:c r="D474" s="2" t="str">
        <x:v>ST119</x:v>
      </x:c>
      <x:c r="E474" s="2" t="str">
        <x:v>G119</x:v>
      </x:c>
      <x:c r="F474" s="2" t="str">
        <x:v>guardian119@example.invalid</x:v>
      </x:c>
      <x:c r="G474" s="2" t="str">
        <x:v>Email</x:v>
      </x:c>
      <x:c r="H474" s="2" t="str">
        <x:v>Boarded</x:v>
      </x:c>
      <x:c r="I474" s="8" t="n">
        <x:v>46299.708611111106</x:v>
      </x:c>
      <x:c r="J474" s="8" t="n">
        <x:v>46299.70863425925</x:v>
      </x:c>
      <x:c r="K474" s="8" t="n">
        <x:v>46299.708668981475</x:v>
      </x:c>
      <x:c r="L474" s="2" t="str">
        <x:v>Sent</x:v>
      </x:c>
      <x:c r="M474" s="2" t="n">
        <x:v>1</x:v>
      </x:c>
      <x:c r="N474" s="2"/>
      <x:c r="O474" s="2"/>
    </x:row>
    <x:row r="475" ht="21" customHeight="1">
      <x:c r="A475" s="2" t="str">
        <x:v>NT000474</x:v>
      </x:c>
      <x:c r="B475" s="2" t="str">
        <x:v>EV000476</x:v>
      </x:c>
      <x:c r="C475" s="2" t="str">
        <x:v>T20261004-5-3</x:v>
      </x:c>
      <x:c r="D475" s="2" t="str">
        <x:v>ST119</x:v>
      </x:c>
      <x:c r="E475" s="2" t="str">
        <x:v>G119</x:v>
      </x:c>
      <x:c r="F475" s="2" t="str">
        <x:v>guardian119@example.invalid</x:v>
      </x:c>
      <x:c r="G475" s="2" t="str">
        <x:v>Email</x:v>
      </x:c>
      <x:c r="H475" s="2" t="str">
        <x:v>Authorized release</x:v>
      </x:c>
      <x:c r="I475" s="8" t="n">
        <x:v>46299.733611111114</x:v>
      </x:c>
      <x:c r="J475" s="8" t="n">
        <x:v>46299.73363425926</x:v>
      </x:c>
      <x:c r="K475" s="8" t="n">
        <x:v>46299.733668981484</x:v>
      </x:c>
      <x:c r="L475" s="2" t="str">
        <x:v>Sent</x:v>
      </x:c>
      <x:c r="M475" s="2" t="n">
        <x:v>1</x:v>
      </x:c>
      <x:c r="N475" s="2"/>
      <x:c r="O475" s="2"/>
    </x:row>
    <x:row r="476" ht="21" customHeight="1">
      <x:c r="A476" s="2" t="str">
        <x:v>NT000475</x:v>
      </x:c>
      <x:c r="B476" s="2" t="str">
        <x:v>EV000477</x:v>
      </x:c>
      <x:c r="C476" s="2" t="str">
        <x:v>T20261004-5-3</x:v>
      </x:c>
      <x:c r="D476" s="2" t="str">
        <x:v>ST120</x:v>
      </x:c>
      <x:c r="E476" s="2" t="str">
        <x:v>G120</x:v>
      </x:c>
      <x:c r="F476" s="2" t="str">
        <x:v>guardian120@example.invalid</x:v>
      </x:c>
      <x:c r="G476" s="2" t="str">
        <x:v>Email</x:v>
      </x:c>
      <x:c r="H476" s="2" t="str">
        <x:v>Boarded</x:v>
      </x:c>
      <x:c r="I476" s="8" t="n">
        <x:v>46299.70864583333</x:v>
      </x:c>
      <x:c r="J476" s="8" t="n">
        <x:v>46299.708668981475</x:v>
      </x:c>
      <x:c r="K476" s="8" t="n">
        <x:v>46299.7087037037</x:v>
      </x:c>
      <x:c r="L476" s="2" t="str">
        <x:v>Sent</x:v>
      </x:c>
      <x:c r="M476" s="2" t="n">
        <x:v>1</x:v>
      </x:c>
      <x:c r="N476" s="2"/>
      <x:c r="O476" s="2"/>
    </x:row>
    <x:row r="477" ht="21" customHeight="1">
      <x:c r="A477" s="2" t="str">
        <x:v>NT000476</x:v>
      </x:c>
      <x:c r="B477" s="2" t="str">
        <x:v>EV000478</x:v>
      </x:c>
      <x:c r="C477" s="2" t="str">
        <x:v>T20261004-5-3</x:v>
      </x:c>
      <x:c r="D477" s="2" t="str">
        <x:v>ST120</x:v>
      </x:c>
      <x:c r="E477" s="2" t="str">
        <x:v>G120</x:v>
      </x:c>
      <x:c r="F477" s="2" t="str">
        <x:v>guardian120@example.invalid</x:v>
      </x:c>
      <x:c r="G477" s="2" t="str">
        <x:v>Email</x:v>
      </x:c>
      <x:c r="H477" s="2" t="str">
        <x:v>Authorized release</x:v>
      </x:c>
      <x:c r="I477" s="8" t="n">
        <x:v>46299.72392361111</x:v>
      </x:c>
      <x:c r="J477" s="8" t="n">
        <x:v>46299.72394675926</x:v>
      </x:c>
      <x:c r="K477" s="8" t="n">
        <x:v>46299.72398148148</x:v>
      </x:c>
      <x:c r="L477" s="2" t="str">
        <x:v>Sent</x:v>
      </x:c>
      <x:c r="M477" s="2" t="n">
        <x:v>1</x:v>
      </x:c>
      <x:c r="N477" s="2"/>
      <x:c r="O477" s="2"/>
    </x:row>
    <x:row r="478" ht="21" customHeight="1">
      <x:c r="A478" s="2" t="str">
        <x:v>NT000477</x:v>
      </x:c>
      <x:c r="B478" s="2" t="str">
        <x:v>EV000479</x:v>
      </x:c>
      <x:c r="C478" s="2" t="str">
        <x:v>T20261005-1-1</x:v>
      </x:c>
      <x:c r="D478" s="2" t="str">
        <x:v>ST001</x:v>
      </x:c>
      <x:c r="E478" s="2" t="str">
        <x:v>G001</x:v>
      </x:c>
      <x:c r="F478" s="2" t="str">
        <x:v>guardian001@example.invalid</x:v>
      </x:c>
      <x:c r="G478" s="2" t="str">
        <x:v>Email</x:v>
      </x:c>
      <x:c r="H478" s="2" t="str">
        <x:v>Boarded</x:v>
      </x:c>
      <x:c r="I478" s="8" t="n">
        <x:v>46300.242361111115</x:v>
      </x:c>
      <x:c r="J478" s="8" t="n">
        <x:v>46300.24238425926</x:v>
      </x:c>
      <x:c r="K478" s="8" t="n">
        <x:v>46300.242418981485</x:v>
      </x:c>
      <x:c r="L478" s="2" t="str">
        <x:v>Sent</x:v>
      </x:c>
      <x:c r="M478" s="2" t="n">
        <x:v>1</x:v>
      </x:c>
      <x:c r="N478" s="2"/>
      <x:c r="O478" s="2"/>
    </x:row>
    <x:row r="479" ht="21" customHeight="1">
      <x:c r="A479" s="2" t="str">
        <x:v>NT000478</x:v>
      </x:c>
      <x:c r="B479" s="2" t="str">
        <x:v>EV000480</x:v>
      </x:c>
      <x:c r="C479" s="2" t="str">
        <x:v>T20261005-1-1</x:v>
      </x:c>
      <x:c r="D479" s="2" t="str">
        <x:v>ST001</x:v>
      </x:c>
      <x:c r="E479" s="2" t="str">
        <x:v>G001</x:v>
      </x:c>
      <x:c r="F479" s="2" t="str">
        <x:v>guardian001@example.invalid</x:v>
      </x:c>
      <x:c r="G479" s="2" t="str">
        <x:v>Email</x:v>
      </x:c>
      <x:c r="H479" s="2" t="str">
        <x:v>School receipt</x:v>
      </x:c>
      <x:c r="I479" s="8" t="n">
        <x:v>46300.27638888889</x:v>
      </x:c>
      <x:c r="J479" s="8" t="n">
        <x:v>46300.276412037034</x:v>
      </x:c>
      <x:c r="K479" s="8" t="n">
        <x:v>46300.27644675926</x:v>
      </x:c>
      <x:c r="L479" s="2" t="str">
        <x:v>Sent</x:v>
      </x:c>
      <x:c r="M479" s="2" t="n">
        <x:v>1</x:v>
      </x:c>
      <x:c r="N479" s="2"/>
      <x:c r="O479" s="2"/>
    </x:row>
    <x:row r="480" ht="21" customHeight="1">
      <x:c r="A480" s="2" t="str">
        <x:v>NT000479</x:v>
      </x:c>
      <x:c r="B480" s="2" t="str">
        <x:v>EV000481</x:v>
      </x:c>
      <x:c r="C480" s="2" t="str">
        <x:v>T20261005-1-1</x:v>
      </x:c>
      <x:c r="D480" s="2" t="str">
        <x:v>ST002</x:v>
      </x:c>
      <x:c r="E480" s="2" t="str">
        <x:v>G002</x:v>
      </x:c>
      <x:c r="F480" s="2" t="str">
        <x:v>guardian002@example.invalid</x:v>
      </x:c>
      <x:c r="G480" s="2" t="str">
        <x:v>Email</x:v>
      </x:c>
      <x:c r="H480" s="2" t="str">
        <x:v>Boarded</x:v>
      </x:c>
      <x:c r="I480" s="8" t="n">
        <x:v>46300.24725694444</x:v>
      </x:c>
      <x:c r="J480" s="8" t="n">
        <x:v>46300.24728009259</x:v>
      </x:c>
      <x:c r="K480" s="8" t="n">
        <x:v>46300.24731481481</x:v>
      </x:c>
      <x:c r="L480" s="2" t="str">
        <x:v>Sent</x:v>
      </x:c>
      <x:c r="M480" s="2" t="n">
        <x:v>1</x:v>
      </x:c>
      <x:c r="N480" s="2"/>
      <x:c r="O480" s="2"/>
    </x:row>
    <x:row r="481" ht="21" customHeight="1">
      <x:c r="A481" s="2" t="str">
        <x:v>NT000480</x:v>
      </x:c>
      <x:c r="B481" s="2" t="str">
        <x:v>EV000482</x:v>
      </x:c>
      <x:c r="C481" s="2" t="str">
        <x:v>T20261005-1-1</x:v>
      </x:c>
      <x:c r="D481" s="2" t="str">
        <x:v>ST002</x:v>
      </x:c>
      <x:c r="E481" s="2" t="str">
        <x:v>G002</x:v>
      </x:c>
      <x:c r="F481" s="2" t="str">
        <x:v>guardian002@example.invalid</x:v>
      </x:c>
      <x:c r="G481" s="2" t="str">
        <x:v>Email</x:v>
      </x:c>
      <x:c r="H481" s="2" t="str">
        <x:v>School receipt</x:v>
      </x:c>
      <x:c r="I481" s="8" t="n">
        <x:v>46300.27642361111</x:v>
      </x:c>
      <x:c r="J481" s="8" t="n">
        <x:v>46300.27644675926</x:v>
      </x:c>
      <x:c r="K481" s="8" t="n">
        <x:v>46300.27648148148</x:v>
      </x:c>
      <x:c r="L481" s="2" t="str">
        <x:v>Sent</x:v>
      </x:c>
      <x:c r="M481" s="2" t="n">
        <x:v>1</x:v>
      </x:c>
      <x:c r="N481" s="2"/>
      <x:c r="O481" s="2"/>
    </x:row>
    <x:row r="482" ht="21" customHeight="1">
      <x:c r="A482" s="2" t="str">
        <x:v>NT000481</x:v>
      </x:c>
      <x:c r="B482" s="2" t="str">
        <x:v>EV000483</x:v>
      </x:c>
      <x:c r="C482" s="2" t="str">
        <x:v>T20261005-1-1</x:v>
      </x:c>
      <x:c r="D482" s="2" t="str">
        <x:v>ST003</x:v>
      </x:c>
      <x:c r="E482" s="2" t="str">
        <x:v>G003</x:v>
      </x:c>
      <x:c r="F482" s="2" t="str">
        <x:v>guardian003@example.invalid</x:v>
      </x:c>
      <x:c r="G482" s="2" t="str">
        <x:v>Email</x:v>
      </x:c>
      <x:c r="H482" s="2" t="str">
        <x:v>Boarded</x:v>
      </x:c>
      <x:c r="I482" s="8" t="n">
        <x:v>46300.25215277778</x:v>
      </x:c>
      <x:c r="J482" s="8" t="n">
        <x:v>46300.252175925925</x:v>
      </x:c>
      <x:c r="K482" s="8" t="n">
        <x:v>46300.25221064815</x:v>
      </x:c>
      <x:c r="L482" s="2" t="str">
        <x:v>Sent</x:v>
      </x:c>
      <x:c r="M482" s="2" t="n">
        <x:v>1</x:v>
      </x:c>
      <x:c r="N482" s="2"/>
      <x:c r="O482" s="2"/>
    </x:row>
    <x:row r="483" ht="21" customHeight="1">
      <x:c r="A483" s="2" t="str">
        <x:v>NT000482</x:v>
      </x:c>
      <x:c r="B483" s="2" t="str">
        <x:v>EV000484</x:v>
      </x:c>
      <x:c r="C483" s="2" t="str">
        <x:v>T20261005-1-1</x:v>
      </x:c>
      <x:c r="D483" s="2" t="str">
        <x:v>ST003</x:v>
      </x:c>
      <x:c r="E483" s="2" t="str">
        <x:v>G003</x:v>
      </x:c>
      <x:c r="F483" s="2" t="str">
        <x:v>guardian003@example.invalid</x:v>
      </x:c>
      <x:c r="G483" s="2" t="str">
        <x:v>Email</x:v>
      </x:c>
      <x:c r="H483" s="2" t="str">
        <x:v>School receipt</x:v>
      </x:c>
      <x:c r="I483" s="8" t="n">
        <x:v>46300.276458333334</x:v>
      </x:c>
      <x:c r="J483" s="8" t="n">
        <x:v>46300.27648148148</x:v>
      </x:c>
      <x:c r="K483" s="8" t="n">
        <x:v>46300.2765162037</x:v>
      </x:c>
      <x:c r="L483" s="2" t="str">
        <x:v>Sent</x:v>
      </x:c>
      <x:c r="M483" s="2" t="n">
        <x:v>1</x:v>
      </x:c>
      <x:c r="N483" s="2"/>
      <x:c r="O483" s="2"/>
    </x:row>
    <x:row r="484" ht="21" customHeight="1">
      <x:c r="A484" s="2" t="str">
        <x:v>NT000483</x:v>
      </x:c>
      <x:c r="B484" s="2" t="str">
        <x:v>EV000485</x:v>
      </x:c>
      <x:c r="C484" s="2" t="str">
        <x:v>T20261005-1-1</x:v>
      </x:c>
      <x:c r="D484" s="2" t="str">
        <x:v>ST004</x:v>
      </x:c>
      <x:c r="E484" s="2" t="str">
        <x:v>G004</x:v>
      </x:c>
      <x:c r="F484" s="2" t="str">
        <x:v>guardian004@example.invalid</x:v>
      </x:c>
      <x:c r="G484" s="2" t="str">
        <x:v>Email</x:v>
      </x:c>
      <x:c r="H484" s="2" t="str">
        <x:v>Boarded</x:v>
      </x:c>
      <x:c r="I484" s="8" t="n">
        <x:v>46300.242465277785</x:v>
      </x:c>
      <x:c r="J484" s="8" t="n">
        <x:v>46300.24248842593</x:v>
      </x:c>
      <x:c r="K484" s="8" t="n">
        <x:v>46300.242523148154</x:v>
      </x:c>
      <x:c r="L484" s="2" t="str">
        <x:v>Sent</x:v>
      </x:c>
      <x:c r="M484" s="2" t="n">
        <x:v>1</x:v>
      </x:c>
      <x:c r="N484" s="2"/>
      <x:c r="O484" s="2"/>
    </x:row>
    <x:row r="485" ht="21" customHeight="1">
      <x:c r="A485" s="2" t="str">
        <x:v>NT000484</x:v>
      </x:c>
      <x:c r="B485" s="2" t="str">
        <x:v>EV000486</x:v>
      </x:c>
      <x:c r="C485" s="2" t="str">
        <x:v>T20261005-1-1</x:v>
      </x:c>
      <x:c r="D485" s="2" t="str">
        <x:v>ST004</x:v>
      </x:c>
      <x:c r="E485" s="2" t="str">
        <x:v>G004</x:v>
      </x:c>
      <x:c r="F485" s="2" t="str">
        <x:v>guardian004@example.invalid</x:v>
      </x:c>
      <x:c r="G485" s="2" t="str">
        <x:v>Email</x:v>
      </x:c>
      <x:c r="H485" s="2" t="str">
        <x:v>School receipt</x:v>
      </x:c>
      <x:c r="I485" s="8" t="n">
        <x:v>46300.27649305556</x:v>
      </x:c>
      <x:c r="J485" s="8" t="n">
        <x:v>46300.2765162037</x:v>
      </x:c>
      <x:c r="K485" s="8" t="n">
        <x:v>46300.276550925926</x:v>
      </x:c>
      <x:c r="L485" s="2" t="str">
        <x:v>Sent</x:v>
      </x:c>
      <x:c r="M485" s="2" t="n">
        <x:v>1</x:v>
      </x:c>
      <x:c r="N485" s="2"/>
      <x:c r="O485" s="2"/>
    </x:row>
    <x:row r="486" ht="21" customHeight="1">
      <x:c r="A486" s="2" t="str">
        <x:v>NT000485</x:v>
      </x:c>
      <x:c r="B486" s="2" t="str">
        <x:v>EV000487</x:v>
      </x:c>
      <x:c r="C486" s="2" t="str">
        <x:v>T20261005-1-1</x:v>
      </x:c>
      <x:c r="D486" s="2" t="str">
        <x:v>ST005</x:v>
      </x:c>
      <x:c r="E486" s="2" t="str">
        <x:v>G005</x:v>
      </x:c>
      <x:c r="F486" s="2" t="str">
        <x:v>guardian005@example.invalid</x:v>
      </x:c>
      <x:c r="G486" s="2" t="str">
        <x:v>Email</x:v>
      </x:c>
      <x:c r="H486" s="2" t="str">
        <x:v>Boarded</x:v>
      </x:c>
      <x:c r="I486" s="8" t="n">
        <x:v>46300.24736111111</x:v>
      </x:c>
      <x:c r="J486" s="8" t="n">
        <x:v>46300.24738425926</x:v>
      </x:c>
      <x:c r="K486" s="8" t="n">
        <x:v>46300.24741898148</x:v>
      </x:c>
      <x:c r="L486" s="2" t="str">
        <x:v>Sent</x:v>
      </x:c>
      <x:c r="M486" s="2" t="n">
        <x:v>1</x:v>
      </x:c>
      <x:c r="N486" s="2"/>
      <x:c r="O486" s="2"/>
    </x:row>
    <x:row r="487" ht="21" customHeight="1">
      <x:c r="A487" s="2" t="str">
        <x:v>NT000486</x:v>
      </x:c>
      <x:c r="B487" s="2" t="str">
        <x:v>EV000488</x:v>
      </x:c>
      <x:c r="C487" s="2" t="str">
        <x:v>T20261005-1-1</x:v>
      </x:c>
      <x:c r="D487" s="2" t="str">
        <x:v>ST005</x:v>
      </x:c>
      <x:c r="E487" s="2" t="str">
        <x:v>G005</x:v>
      </x:c>
      <x:c r="F487" s="2" t="str">
        <x:v>guardian005@example.invalid</x:v>
      </x:c>
      <x:c r="G487" s="2" t="str">
        <x:v>Email</x:v>
      </x:c>
      <x:c r="H487" s="2" t="str">
        <x:v>School receipt</x:v>
      </x:c>
      <x:c r="I487" s="8" t="n">
        <x:v>46300.27652777778</x:v>
      </x:c>
      <x:c r="J487" s="8" t="n">
        <x:v>46300.276550925926</x:v>
      </x:c>
      <x:c r="K487" s="8" t="n">
        <x:v>46300.27658564815</x:v>
      </x:c>
      <x:c r="L487" s="2" t="str">
        <x:v>Sent</x:v>
      </x:c>
      <x:c r="M487" s="2" t="n">
        <x:v>1</x:v>
      </x:c>
      <x:c r="N487" s="2"/>
      <x:c r="O487" s="2"/>
    </x:row>
    <x:row r="488" ht="21" customHeight="1">
      <x:c r="A488" s="2" t="str">
        <x:v>NT000487</x:v>
      </x:c>
      <x:c r="B488" s="2" t="str">
        <x:v>EV000489</x:v>
      </x:c>
      <x:c r="C488" s="2" t="str">
        <x:v>T20261005-1-1</x:v>
      </x:c>
      <x:c r="D488" s="2" t="str">
        <x:v>ST006</x:v>
      </x:c>
      <x:c r="E488" s="2" t="str">
        <x:v>G006</x:v>
      </x:c>
      <x:c r="F488" s="2" t="str">
        <x:v>guardian006@example.invalid</x:v>
      </x:c>
      <x:c r="G488" s="2" t="str">
        <x:v>Email</x:v>
      </x:c>
      <x:c r="H488" s="2" t="str">
        <x:v>Boarded</x:v>
      </x:c>
      <x:c r="I488" s="8" t="n">
        <x:v>46300.25225694444</x:v>
      </x:c>
      <x:c r="J488" s="8" t="n">
        <x:v>46300.25228009259</x:v>
      </x:c>
      <x:c r="K488" s="8" t="n">
        <x:v>46300.25231481481</x:v>
      </x:c>
      <x:c r="L488" s="2" t="str">
        <x:v>Sent</x:v>
      </x:c>
      <x:c r="M488" s="2" t="n">
        <x:v>1</x:v>
      </x:c>
      <x:c r="N488" s="2"/>
      <x:c r="O488" s="2"/>
    </x:row>
    <x:row r="489" ht="21" customHeight="1">
      <x:c r="A489" s="2" t="str">
        <x:v>NT000488</x:v>
      </x:c>
      <x:c r="B489" s="2" t="str">
        <x:v>EV000490</x:v>
      </x:c>
      <x:c r="C489" s="2" t="str">
        <x:v>T20261005-1-1</x:v>
      </x:c>
      <x:c r="D489" s="2" t="str">
        <x:v>ST006</x:v>
      </x:c>
      <x:c r="E489" s="2" t="str">
        <x:v>G006</x:v>
      </x:c>
      <x:c r="F489" s="2" t="str">
        <x:v>guardian006@example.invalid</x:v>
      </x:c>
      <x:c r="G489" s="2" t="str">
        <x:v>Email</x:v>
      </x:c>
      <x:c r="H489" s="2" t="str">
        <x:v>School receipt</x:v>
      </x:c>
      <x:c r="I489" s="8" t="n">
        <x:v>46300.276562499996</x:v>
      </x:c>
      <x:c r="J489" s="8" t="n">
        <x:v>46300.27658564814</x:v>
      </x:c>
      <x:c r="K489" s="8" t="n">
        <x:v>46300.276620370365</x:v>
      </x:c>
      <x:c r="L489" s="2" t="str">
        <x:v>Sent</x:v>
      </x:c>
      <x:c r="M489" s="2" t="n">
        <x:v>1</x:v>
      </x:c>
      <x:c r="N489" s="2"/>
      <x:c r="O489" s="2"/>
    </x:row>
    <x:row r="490" ht="21" customHeight="1">
      <x:c r="A490" s="2" t="str">
        <x:v>NT000489</x:v>
      </x:c>
      <x:c r="B490" s="2" t="str">
        <x:v>EV000491</x:v>
      </x:c>
      <x:c r="C490" s="2" t="str">
        <x:v>T20261005-1-1</x:v>
      </x:c>
      <x:c r="D490" s="2" t="str">
        <x:v>ST007</x:v>
      </x:c>
      <x:c r="E490" s="2" t="str">
        <x:v>G007</x:v>
      </x:c>
      <x:c r="F490" s="2" t="str">
        <x:v>guardian007@example.invalid</x:v>
      </x:c>
      <x:c r="G490" s="2" t="str">
        <x:v>Email</x:v>
      </x:c>
      <x:c r="H490" s="2" t="str">
        <x:v>Boarded</x:v>
      </x:c>
      <x:c r="I490" s="8" t="n">
        <x:v>46300.24256944445</x:v>
      </x:c>
      <x:c r="J490" s="8" t="n">
        <x:v>46300.24259259259</x:v>
      </x:c>
      <x:c r="K490" s="8" t="n">
        <x:v>46300.242627314816</x:v>
      </x:c>
      <x:c r="L490" s="2" t="str">
        <x:v>Sent</x:v>
      </x:c>
      <x:c r="M490" s="2" t="n">
        <x:v>1</x:v>
      </x:c>
      <x:c r="N490" s="2"/>
      <x:c r="O490" s="2"/>
    </x:row>
    <x:row r="491" ht="21" customHeight="1">
      <x:c r="A491" s="2" t="str">
        <x:v>NT000490</x:v>
      </x:c>
      <x:c r="B491" s="2" t="str">
        <x:v>EV000492</x:v>
      </x:c>
      <x:c r="C491" s="2" t="str">
        <x:v>T20261005-1-1</x:v>
      </x:c>
      <x:c r="D491" s="2" t="str">
        <x:v>ST007</x:v>
      </x:c>
      <x:c r="E491" s="2" t="str">
        <x:v>G007</x:v>
      </x:c>
      <x:c r="F491" s="2" t="str">
        <x:v>guardian007@example.invalid</x:v>
      </x:c>
      <x:c r="G491" s="2" t="str">
        <x:v>Email</x:v>
      </x:c>
      <x:c r="H491" s="2" t="str">
        <x:v>School receipt</x:v>
      </x:c>
      <x:c r="I491" s="8" t="n">
        <x:v>46300.27659722222</x:v>
      </x:c>
      <x:c r="J491" s="8" t="n">
        <x:v>46300.276620370365</x:v>
      </x:c>
      <x:c r="K491" s="8" t="n">
        <x:v>46300.27665509259</x:v>
      </x:c>
      <x:c r="L491" s="2" t="str">
        <x:v>Sent</x:v>
      </x:c>
      <x:c r="M491" s="2" t="n">
        <x:v>1</x:v>
      </x:c>
      <x:c r="N491" s="2"/>
      <x:c r="O491" s="2"/>
    </x:row>
    <x:row r="492" ht="21" customHeight="1">
      <x:c r="A492" s="2" t="str">
        <x:v>NT000491</x:v>
      </x:c>
      <x:c r="B492" s="2" t="str">
        <x:v>EV000493</x:v>
      </x:c>
      <x:c r="C492" s="2" t="str">
        <x:v>T20261005-1-1</x:v>
      </x:c>
      <x:c r="D492" s="2" t="str">
        <x:v>ST008</x:v>
      </x:c>
      <x:c r="E492" s="2" t="str">
        <x:v>G008</x:v>
      </x:c>
      <x:c r="F492" s="2" t="str">
        <x:v>guardian008@example.invalid</x:v>
      </x:c>
      <x:c r="G492" s="2" t="str">
        <x:v>Email</x:v>
      </x:c>
      <x:c r="H492" s="2" t="str">
        <x:v>Boarded</x:v>
      </x:c>
      <x:c r="I492" s="8" t="n">
        <x:v>46300.247465277775</x:v>
      </x:c>
      <x:c r="J492" s="8" t="n">
        <x:v>46300.24748842592</x:v>
      </x:c>
      <x:c r="K492" s="8" t="n">
        <x:v>46300.247523148144</x:v>
      </x:c>
      <x:c r="L492" s="2" t="str">
        <x:v>Sent</x:v>
      </x:c>
      <x:c r="M492" s="2" t="n">
        <x:v>1</x:v>
      </x:c>
      <x:c r="N492" s="2"/>
      <x:c r="O492" s="2"/>
    </x:row>
    <x:row r="493" ht="21" customHeight="1">
      <x:c r="A493" s="2" t="str">
        <x:v>NT000492</x:v>
      </x:c>
      <x:c r="B493" s="2" t="str">
        <x:v>EV000494</x:v>
      </x:c>
      <x:c r="C493" s="2" t="str">
        <x:v>T20261005-1-1</x:v>
      </x:c>
      <x:c r="D493" s="2" t="str">
        <x:v>ST008</x:v>
      </x:c>
      <x:c r="E493" s="2" t="str">
        <x:v>G008</x:v>
      </x:c>
      <x:c r="F493" s="2" t="str">
        <x:v>guardian008@example.invalid</x:v>
      </x:c>
      <x:c r="G493" s="2" t="str">
        <x:v>Email</x:v>
      </x:c>
      <x:c r="H493" s="2" t="str">
        <x:v>School receipt</x:v>
      </x:c>
      <x:c r="I493" s="8" t="n">
        <x:v>46300.27663194444</x:v>
      </x:c>
      <x:c r="J493" s="8" t="n">
        <x:v>46300.27665509259</x:v>
      </x:c>
      <x:c r="K493" s="8" t="n">
        <x:v>46300.27668981481</x:v>
      </x:c>
      <x:c r="L493" s="2" t="str">
        <x:v>Sent</x:v>
      </x:c>
      <x:c r="M493" s="2" t="n">
        <x:v>1</x:v>
      </x:c>
      <x:c r="N493" s="2"/>
      <x:c r="O493" s="2"/>
    </x:row>
    <x:row r="494" ht="21" customHeight="1">
      <x:c r="A494" s="2" t="str">
        <x:v>NT000493</x:v>
      </x:c>
      <x:c r="B494" s="2" t="str">
        <x:v>EV000495</x:v>
      </x:c>
      <x:c r="C494" s="2" t="str">
        <x:v>T20261005-1-1</x:v>
      </x:c>
      <x:c r="D494" s="2" t="str">
        <x:v>ST009</x:v>
      </x:c>
      <x:c r="E494" s="2" t="str">
        <x:v>G009</x:v>
      </x:c>
      <x:c r="F494" s="2" t="str">
        <x:v>guardian009@example.invalid</x:v>
      </x:c>
      <x:c r="G494" s="2" t="str">
        <x:v>Email</x:v>
      </x:c>
      <x:c r="H494" s="2" t="str">
        <x:v>Boarded</x:v>
      </x:c>
      <x:c r="I494" s="8" t="n">
        <x:v>46300.25236111111</x:v>
      </x:c>
      <x:c r="J494" s="8" t="n">
        <x:v>46300.252384259256</x:v>
      </x:c>
      <x:c r="K494" s="8" t="n">
        <x:v>46300.25241898148</x:v>
      </x:c>
      <x:c r="L494" s="2" t="str">
        <x:v>Sent</x:v>
      </x:c>
      <x:c r="M494" s="2" t="n">
        <x:v>1</x:v>
      </x:c>
      <x:c r="N494" s="2"/>
      <x:c r="O494" s="2"/>
    </x:row>
    <x:row r="495" ht="21" customHeight="1">
      <x:c r="A495" s="2" t="str">
        <x:v>NT000494</x:v>
      </x:c>
      <x:c r="B495" s="2" t="str">
        <x:v>EV000496</x:v>
      </x:c>
      <x:c r="C495" s="2" t="str">
        <x:v>T20261005-1-1</x:v>
      </x:c>
      <x:c r="D495" s="2" t="str">
        <x:v>ST009</x:v>
      </x:c>
      <x:c r="E495" s="2" t="str">
        <x:v>G009</x:v>
      </x:c>
      <x:c r="F495" s="2" t="str">
        <x:v>guardian009@example.invalid</x:v>
      </x:c>
      <x:c r="G495" s="2" t="str">
        <x:v>Email</x:v>
      </x:c>
      <x:c r="H495" s="2" t="str">
        <x:v>School receipt</x:v>
      </x:c>
      <x:c r="I495" s="8" t="n">
        <x:v>46300.276666666665</x:v>
      </x:c>
      <x:c r="J495" s="8" t="n">
        <x:v>46300.27668981481</x:v>
      </x:c>
      <x:c r="K495" s="8" t="n">
        <x:v>46300.276724537034</x:v>
      </x:c>
      <x:c r="L495" s="2" t="str">
        <x:v>Sent</x:v>
      </x:c>
      <x:c r="M495" s="2" t="n">
        <x:v>1</x:v>
      </x:c>
      <x:c r="N495" s="2"/>
      <x:c r="O495" s="2"/>
    </x:row>
    <x:row r="496" ht="21" customHeight="1">
      <x:c r="A496" s="2" t="str">
        <x:v>NT000495</x:v>
      </x:c>
      <x:c r="B496" s="2" t="str">
        <x:v>EV000497</x:v>
      </x:c>
      <x:c r="C496" s="2" t="str">
        <x:v>T20261005-1-1</x:v>
      </x:c>
      <x:c r="D496" s="2" t="str">
        <x:v>ST010</x:v>
      </x:c>
      <x:c r="E496" s="2" t="str">
        <x:v>G010</x:v>
      </x:c>
      <x:c r="F496" s="2" t="str">
        <x:v>guardian010@example.invalid</x:v>
      </x:c>
      <x:c r="G496" s="2" t="str">
        <x:v>Email</x:v>
      </x:c>
      <x:c r="H496" s="2" t="str">
        <x:v>Boarded</x:v>
      </x:c>
      <x:c r="I496" s="8" t="n">
        <x:v>46300.242673611116</x:v>
      </x:c>
      <x:c r="J496" s="8" t="n">
        <x:v>46300.24269675926</x:v>
      </x:c>
      <x:c r="K496" s="8" t="n">
        <x:v>46300.242731481485</x:v>
      </x:c>
      <x:c r="L496" s="2" t="str">
        <x:v>Sent</x:v>
      </x:c>
      <x:c r="M496" s="2" t="n">
        <x:v>1</x:v>
      </x:c>
      <x:c r="N496" s="2"/>
      <x:c r="O496" s="2"/>
    </x:row>
    <x:row r="497" ht="21" customHeight="1">
      <x:c r="A497" s="2" t="str">
        <x:v>NT000496</x:v>
      </x:c>
      <x:c r="B497" s="2" t="str">
        <x:v>EV000498</x:v>
      </x:c>
      <x:c r="C497" s="2" t="str">
        <x:v>T20261005-1-1</x:v>
      </x:c>
      <x:c r="D497" s="2" t="str">
        <x:v>ST010</x:v>
      </x:c>
      <x:c r="E497" s="2" t="str">
        <x:v>G010</x:v>
      </x:c>
      <x:c r="F497" s="2" t="str">
        <x:v>guardian010@example.invalid</x:v>
      </x:c>
      <x:c r="G497" s="2" t="str">
        <x:v>Email</x:v>
      </x:c>
      <x:c r="H497" s="2" t="str">
        <x:v>School receipt</x:v>
      </x:c>
      <x:c r="I497" s="8" t="n">
        <x:v>46300.27670138889</x:v>
      </x:c>
      <x:c r="J497" s="8" t="n">
        <x:v>46300.276724537034</x:v>
      </x:c>
      <x:c r="K497" s="8" t="n">
        <x:v>46300.27675925926</x:v>
      </x:c>
      <x:c r="L497" s="2" t="str">
        <x:v>Sent</x:v>
      </x:c>
      <x:c r="M497" s="2" t="n">
        <x:v>1</x:v>
      </x:c>
      <x:c r="N497" s="2"/>
      <x:c r="O497" s="2"/>
    </x:row>
    <x:row r="498" ht="21" customHeight="1">
      <x:c r="A498" s="2" t="str">
        <x:v>NT000497</x:v>
      </x:c>
      <x:c r="B498" s="2" t="str">
        <x:v>EV000499</x:v>
      </x:c>
      <x:c r="C498" s="2" t="str">
        <x:v>T20261005-1-1</x:v>
      </x:c>
      <x:c r="D498" s="2" t="str">
        <x:v>ST011</x:v>
      </x:c>
      <x:c r="E498" s="2" t="str">
        <x:v>G011</x:v>
      </x:c>
      <x:c r="F498" s="2" t="str">
        <x:v>guardian011@example.invalid</x:v>
      </x:c>
      <x:c r="G498" s="2" t="str">
        <x:v>Email</x:v>
      </x:c>
      <x:c r="H498" s="2" t="str">
        <x:v>Boarded</x:v>
      </x:c>
      <x:c r="I498" s="8" t="n">
        <x:v>46300.24722222222</x:v>
      </x:c>
      <x:c r="J498" s="8" t="n">
        <x:v>46300.24724537037</x:v>
      </x:c>
      <x:c r="K498" s="8" t="n">
        <x:v>46300.24728009259</x:v>
      </x:c>
      <x:c r="L498" s="2" t="str">
        <x:v>Sent</x:v>
      </x:c>
      <x:c r="M498" s="2" t="n">
        <x:v>1</x:v>
      </x:c>
      <x:c r="N498" s="2"/>
      <x:c r="O498" s="2"/>
    </x:row>
    <x:row r="499" ht="21" customHeight="1">
      <x:c r="A499" s="2" t="str">
        <x:v>NT000498</x:v>
      </x:c>
      <x:c r="B499" s="2" t="str">
        <x:v>EV000500</x:v>
      </x:c>
      <x:c r="C499" s="2" t="str">
        <x:v>T20261005-1-1</x:v>
      </x:c>
      <x:c r="D499" s="2" t="str">
        <x:v>ST011</x:v>
      </x:c>
      <x:c r="E499" s="2" t="str">
        <x:v>G011</x:v>
      </x:c>
      <x:c r="F499" s="2" t="str">
        <x:v>guardian011@example.invalid</x:v>
      </x:c>
      <x:c r="G499" s="2" t="str">
        <x:v>Email</x:v>
      </x:c>
      <x:c r="H499" s="2" t="str">
        <x:v>School receipt</x:v>
      </x:c>
      <x:c r="I499" s="8" t="n">
        <x:v>46300.27673611111</x:v>
      </x:c>
      <x:c r="J499" s="8" t="n">
        <x:v>46300.27675925926</x:v>
      </x:c>
      <x:c r="K499" s="8" t="n">
        <x:v>46300.27679398148</x:v>
      </x:c>
      <x:c r="L499" s="2" t="str">
        <x:v>Sent</x:v>
      </x:c>
      <x:c r="M499" s="2" t="n">
        <x:v>1</x:v>
      </x:c>
      <x:c r="N499" s="2"/>
      <x:c r="O499" s="2"/>
    </x:row>
    <x:row r="500" ht="21" customHeight="1">
      <x:c r="A500" s="2" t="str">
        <x:v>NT000499</x:v>
      </x:c>
      <x:c r="B500" s="2" t="str">
        <x:v>EV000501</x:v>
      </x:c>
      <x:c r="C500" s="2" t="str">
        <x:v>T20261005-1-1</x:v>
      </x:c>
      <x:c r="D500" s="2" t="str">
        <x:v>ST012</x:v>
      </x:c>
      <x:c r="E500" s="2" t="str">
        <x:v>G012</x:v>
      </x:c>
      <x:c r="F500" s="2" t="str">
        <x:v>guardian012@example.invalid</x:v>
      </x:c>
      <x:c r="G500" s="2" t="str">
        <x:v>Email</x:v>
      </x:c>
      <x:c r="H500" s="2" t="str">
        <x:v>Boarded</x:v>
      </x:c>
      <x:c r="I500" s="8" t="n">
        <x:v>46300.252118055556</x:v>
      </x:c>
      <x:c r="J500" s="8" t="n">
        <x:v>46300.2521412037</x:v>
      </x:c>
      <x:c r="K500" s="8" t="n">
        <x:v>46300.252175925925</x:v>
      </x:c>
      <x:c r="L500" s="2" t="str">
        <x:v>Sent</x:v>
      </x:c>
      <x:c r="M500" s="2" t="n">
        <x:v>1</x:v>
      </x:c>
      <x:c r="N500" s="2"/>
      <x:c r="O500" s="2"/>
    </x:row>
    <x:row r="501" ht="21" customHeight="1">
      <x:c r="A501" s="2" t="str">
        <x:v>NT000500</x:v>
      </x:c>
      <x:c r="B501" s="2" t="str">
        <x:v>EV000502</x:v>
      </x:c>
      <x:c r="C501" s="2" t="str">
        <x:v>T20261005-1-1</x:v>
      </x:c>
      <x:c r="D501" s="2" t="str">
        <x:v>ST012</x:v>
      </x:c>
      <x:c r="E501" s="2" t="str">
        <x:v>G012</x:v>
      </x:c>
      <x:c r="F501" s="2" t="str">
        <x:v>guardian012@example.invalid</x:v>
      </x:c>
      <x:c r="G501" s="2" t="str">
        <x:v>Email</x:v>
      </x:c>
      <x:c r="H501" s="2" t="str">
        <x:v>School receipt</x:v>
      </x:c>
      <x:c r="I501" s="8" t="n">
        <x:v>46300.276770833334</x:v>
      </x:c>
      <x:c r="J501" s="8" t="n">
        <x:v>46300.27679398148</x:v>
      </x:c>
      <x:c r="K501" s="8" t="n">
        <x:v>46300.2768287037</x:v>
      </x:c>
      <x:c r="L501" s="2" t="str">
        <x:v>Sent</x:v>
      </x:c>
      <x:c r="M501" s="2" t="n">
        <x:v>1</x:v>
      </x:c>
      <x:c r="N501" s="2"/>
      <x:c r="O501" s="2"/>
    </x:row>
    <x:row r="502" ht="21" customHeight="1">
      <x:c r="A502" s="2" t="str">
        <x:v>NT000501</x:v>
      </x:c>
      <x:c r="B502" s="2" t="str">
        <x:v>EV000503</x:v>
      </x:c>
      <x:c r="C502" s="2" t="str">
        <x:v>T20261005-1-1</x:v>
      </x:c>
      <x:c r="D502" s="2" t="str">
        <x:v>ST013</x:v>
      </x:c>
      <x:c r="E502" s="2" t="str">
        <x:v>G013</x:v>
      </x:c>
      <x:c r="F502" s="2" t="str">
        <x:v>guardian013@example.invalid</x:v>
      </x:c>
      <x:c r="G502" s="2" t="str">
        <x:v>Email</x:v>
      </x:c>
      <x:c r="H502" s="2" t="str">
        <x:v>Boarded</x:v>
      </x:c>
      <x:c r="I502" s="8" t="n">
        <x:v>46300.24243055556</x:v>
      </x:c>
      <x:c r="J502" s="8" t="n">
        <x:v>46300.24245370371</x:v>
      </x:c>
      <x:c r="K502" s="8" t="n">
        <x:v>46300.24248842593</x:v>
      </x:c>
      <x:c r="L502" s="2" t="str">
        <x:v>Sent</x:v>
      </x:c>
      <x:c r="M502" s="2" t="n">
        <x:v>1</x:v>
      </x:c>
      <x:c r="N502" s="2"/>
      <x:c r="O502" s="2"/>
    </x:row>
    <x:row r="503" ht="21" customHeight="1">
      <x:c r="A503" s="2" t="str">
        <x:v>NT000502</x:v>
      </x:c>
      <x:c r="B503" s="2" t="str">
        <x:v>EV000504</x:v>
      </x:c>
      <x:c r="C503" s="2" t="str">
        <x:v>T20261005-1-1</x:v>
      </x:c>
      <x:c r="D503" s="2" t="str">
        <x:v>ST013</x:v>
      </x:c>
      <x:c r="E503" s="2" t="str">
        <x:v>G013</x:v>
      </x:c>
      <x:c r="F503" s="2" t="str">
        <x:v>guardian013@example.invalid</x:v>
      </x:c>
      <x:c r="G503" s="2" t="str">
        <x:v>Email</x:v>
      </x:c>
      <x:c r="H503" s="2" t="str">
        <x:v>School receipt</x:v>
      </x:c>
      <x:c r="I503" s="8" t="n">
        <x:v>46300.27680555556</x:v>
      </x:c>
      <x:c r="J503" s="8" t="n">
        <x:v>46300.2768287037</x:v>
      </x:c>
      <x:c r="K503" s="8" t="n">
        <x:v>46300.27686342593</x:v>
      </x:c>
      <x:c r="L503" s="2" t="str">
        <x:v>Sent</x:v>
      </x:c>
      <x:c r="M503" s="2" t="n">
        <x:v>1</x:v>
      </x:c>
      <x:c r="N503" s="2"/>
      <x:c r="O503" s="2"/>
    </x:row>
    <x:row r="504" ht="21" customHeight="1">
      <x:c r="A504" s="2" t="str">
        <x:v>NT000503</x:v>
      </x:c>
      <x:c r="B504" s="2" t="str">
        <x:v>EV000505</x:v>
      </x:c>
      <x:c r="C504" s="2" t="str">
        <x:v>T20261005-1-1</x:v>
      </x:c>
      <x:c r="D504" s="2" t="str">
        <x:v>ST014</x:v>
      </x:c>
      <x:c r="E504" s="2" t="str">
        <x:v>G014</x:v>
      </x:c>
      <x:c r="F504" s="2" t="str">
        <x:v>guardian014@example.invalid</x:v>
      </x:c>
      <x:c r="G504" s="2" t="str">
        <x:v>Email</x:v>
      </x:c>
      <x:c r="H504" s="2" t="str">
        <x:v>Boarded</x:v>
      </x:c>
      <x:c r="I504" s="8" t="n">
        <x:v>46300.24732638889</x:v>
      </x:c>
      <x:c r="J504" s="8" t="n">
        <x:v>46300.247349537036</x:v>
      </x:c>
      <x:c r="K504" s="8" t="n">
        <x:v>46300.24738425926</x:v>
      </x:c>
      <x:c r="L504" s="2" t="str">
        <x:v>Sent</x:v>
      </x:c>
      <x:c r="M504" s="2" t="n">
        <x:v>1</x:v>
      </x:c>
      <x:c r="N504" s="2"/>
      <x:c r="O504" s="2"/>
    </x:row>
    <x:row r="505" ht="21" customHeight="1">
      <x:c r="A505" s="2" t="str">
        <x:v>NT000504</x:v>
      </x:c>
      <x:c r="B505" s="2" t="str">
        <x:v>EV000506</x:v>
      </x:c>
      <x:c r="C505" s="2" t="str">
        <x:v>T20261005-1-1</x:v>
      </x:c>
      <x:c r="D505" s="2" t="str">
        <x:v>ST014</x:v>
      </x:c>
      <x:c r="E505" s="2" t="str">
        <x:v>G014</x:v>
      </x:c>
      <x:c r="F505" s="2" t="str">
        <x:v>guardian014@example.invalid</x:v>
      </x:c>
      <x:c r="G505" s="2" t="str">
        <x:v>Email</x:v>
      </x:c>
      <x:c r="H505" s="2" t="str">
        <x:v>School receipt</x:v>
      </x:c>
      <x:c r="I505" s="8" t="n">
        <x:v>46300.27684027777</x:v>
      </x:c>
      <x:c r="J505" s="8" t="n">
        <x:v>46300.27686342592</x:v>
      </x:c>
      <x:c r="K505" s="8" t="n">
        <x:v>46300.27689814814</x:v>
      </x:c>
      <x:c r="L505" s="2" t="str">
        <x:v>Sent</x:v>
      </x:c>
      <x:c r="M505" s="2" t="n">
        <x:v>1</x:v>
      </x:c>
      <x:c r="N505" s="2"/>
      <x:c r="O505" s="2"/>
    </x:row>
    <x:row r="506" ht="21" customHeight="1">
      <x:c r="A506" s="2" t="str">
        <x:v>NT000505</x:v>
      </x:c>
      <x:c r="B506" s="2" t="str">
        <x:v>EV000507</x:v>
      </x:c>
      <x:c r="C506" s="2" t="str">
        <x:v>T20261005-1-1</x:v>
      </x:c>
      <x:c r="D506" s="2" t="str">
        <x:v>ST015</x:v>
      </x:c>
      <x:c r="E506" s="2" t="str">
        <x:v>G015</x:v>
      </x:c>
      <x:c r="F506" s="2" t="str">
        <x:v>guardian015@example.invalid</x:v>
      </x:c>
      <x:c r="G506" s="2" t="str">
        <x:v>Email</x:v>
      </x:c>
      <x:c r="H506" s="2" t="str">
        <x:v>Boarded</x:v>
      </x:c>
      <x:c r="I506" s="8" t="n">
        <x:v>46300.252222222225</x:v>
      </x:c>
      <x:c r="J506" s="8" t="n">
        <x:v>46300.25224537037</x:v>
      </x:c>
      <x:c r="K506" s="8" t="n">
        <x:v>46300.252280092594</x:v>
      </x:c>
      <x:c r="L506" s="2" t="str">
        <x:v>Sent</x:v>
      </x:c>
      <x:c r="M506" s="2" t="n">
        <x:v>1</x:v>
      </x:c>
      <x:c r="N506" s="2"/>
      <x:c r="O506" s="2"/>
    </x:row>
    <x:row r="507" ht="21" customHeight="1">
      <x:c r="A507" s="2" t="str">
        <x:v>NT000506</x:v>
      </x:c>
      <x:c r="B507" s="2" t="str">
        <x:v>EV000508</x:v>
      </x:c>
      <x:c r="C507" s="2" t="str">
        <x:v>T20261005-1-1</x:v>
      </x:c>
      <x:c r="D507" s="2" t="str">
        <x:v>ST015</x:v>
      </x:c>
      <x:c r="E507" s="2" t="str">
        <x:v>G015</x:v>
      </x:c>
      <x:c r="F507" s="2" t="str">
        <x:v>guardian015@example.invalid</x:v>
      </x:c>
      <x:c r="G507" s="2" t="str">
        <x:v>Email</x:v>
      </x:c>
      <x:c r="H507" s="2" t="str">
        <x:v>School receipt</x:v>
      </x:c>
      <x:c r="I507" s="8" t="n">
        <x:v>46300.276874999996</x:v>
      </x:c>
      <x:c r="J507" s="8" t="n">
        <x:v>46300.27689814814</x:v>
      </x:c>
      <x:c r="K507" s="8" t="n">
        <x:v>46300.276932870365</x:v>
      </x:c>
      <x:c r="L507" s="2" t="str">
        <x:v>Sent</x:v>
      </x:c>
      <x:c r="M507" s="2" t="n">
        <x:v>1</x:v>
      </x:c>
      <x:c r="N507" s="2"/>
      <x:c r="O507" s="2"/>
    </x:row>
    <x:row r="508" ht="21" customHeight="1">
      <x:c r="A508" s="2" t="str">
        <x:v>NT000507</x:v>
      </x:c>
      <x:c r="B508" s="2" t="str">
        <x:v>EV000509</x:v>
      </x:c>
      <x:c r="C508" s="2" t="str">
        <x:v>T20261005-1-1</x:v>
      </x:c>
      <x:c r="D508" s="2" t="str">
        <x:v>ST016</x:v>
      </x:c>
      <x:c r="E508" s="2" t="str">
        <x:v>G016</x:v>
      </x:c>
      <x:c r="F508" s="2" t="str">
        <x:v>guardian016@example.invalid</x:v>
      </x:c>
      <x:c r="G508" s="2" t="str">
        <x:v>Email</x:v>
      </x:c>
      <x:c r="H508" s="2" t="str">
        <x:v>Boarded</x:v>
      </x:c>
      <x:c r="I508" s="8" t="n">
        <x:v>46300.24253472222</x:v>
      </x:c>
      <x:c r="J508" s="8" t="n">
        <x:v>46300.24255787037</x:v>
      </x:c>
      <x:c r="K508" s="8" t="n">
        <x:v>46300.24259259259</x:v>
      </x:c>
      <x:c r="L508" s="2" t="str">
        <x:v>Sent</x:v>
      </x:c>
      <x:c r="M508" s="2" t="n">
        <x:v>1</x:v>
      </x:c>
      <x:c r="N508" s="2"/>
      <x:c r="O508" s="2"/>
    </x:row>
    <x:row r="509" ht="21" customHeight="1">
      <x:c r="A509" s="2" t="str">
        <x:v>NT000508</x:v>
      </x:c>
      <x:c r="B509" s="2" t="str">
        <x:v>EV000510</x:v>
      </x:c>
      <x:c r="C509" s="2" t="str">
        <x:v>T20261005-1-1</x:v>
      </x:c>
      <x:c r="D509" s="2" t="str">
        <x:v>ST016</x:v>
      </x:c>
      <x:c r="E509" s="2" t="str">
        <x:v>G016</x:v>
      </x:c>
      <x:c r="F509" s="2" t="str">
        <x:v>guardian016@example.invalid</x:v>
      </x:c>
      <x:c r="G509" s="2" t="str">
        <x:v>Email</x:v>
      </x:c>
      <x:c r="H509" s="2" t="str">
        <x:v>School receipt</x:v>
      </x:c>
      <x:c r="I509" s="8" t="n">
        <x:v>46300.27690972222</x:v>
      </x:c>
      <x:c r="J509" s="8" t="n">
        <x:v>46300.276932870365</x:v>
      </x:c>
      <x:c r="K509" s="8" t="n">
        <x:v>46300.27696759259</x:v>
      </x:c>
      <x:c r="L509" s="2" t="str">
        <x:v>Sent</x:v>
      </x:c>
      <x:c r="M509" s="2" t="n">
        <x:v>1</x:v>
      </x:c>
      <x:c r="N509" s="2"/>
      <x:c r="O509" s="2"/>
    </x:row>
    <x:row r="510" ht="21" customHeight="1">
      <x:c r="A510" s="2" t="str">
        <x:v>NT000509</x:v>
      </x:c>
      <x:c r="B510" s="2" t="str">
        <x:v>EV000511</x:v>
      </x:c>
      <x:c r="C510" s="2" t="str">
        <x:v>T20261005-1-1</x:v>
      </x:c>
      <x:c r="D510" s="2" t="str">
        <x:v>ST017</x:v>
      </x:c>
      <x:c r="E510" s="2" t="str">
        <x:v>G017</x:v>
      </x:c>
      <x:c r="F510" s="2" t="str">
        <x:v>guardian017@example.invalid</x:v>
      </x:c>
      <x:c r="G510" s="2" t="str">
        <x:v>Email</x:v>
      </x:c>
      <x:c r="H510" s="2" t="str">
        <x:v>Boarded</x:v>
      </x:c>
      <x:c r="I510" s="8" t="n">
        <x:v>46300.24743055555</x:v>
      </x:c>
      <x:c r="J510" s="8" t="n">
        <x:v>46300.2474537037</x:v>
      </x:c>
      <x:c r="K510" s="8" t="n">
        <x:v>46300.24748842592</x:v>
      </x:c>
      <x:c r="L510" s="2" t="str">
        <x:v>Sent</x:v>
      </x:c>
      <x:c r="M510" s="2" t="n">
        <x:v>1</x:v>
      </x:c>
      <x:c r="N510" s="2"/>
      <x:c r="O510" s="2"/>
    </x:row>
    <x:row r="511" ht="21" customHeight="1">
      <x:c r="A511" s="2" t="str">
        <x:v>NT000510</x:v>
      </x:c>
      <x:c r="B511" s="2" t="str">
        <x:v>EV000512</x:v>
      </x:c>
      <x:c r="C511" s="2" t="str">
        <x:v>T20261005-1-1</x:v>
      </x:c>
      <x:c r="D511" s="2" t="str">
        <x:v>ST017</x:v>
      </x:c>
      <x:c r="E511" s="2" t="str">
        <x:v>G017</x:v>
      </x:c>
      <x:c r="F511" s="2" t="str">
        <x:v>guardian017@example.invalid</x:v>
      </x:c>
      <x:c r="G511" s="2" t="str">
        <x:v>Email</x:v>
      </x:c>
      <x:c r="H511" s="2" t="str">
        <x:v>School receipt</x:v>
      </x:c>
      <x:c r="I511" s="8" t="n">
        <x:v>46300.27694444444</x:v>
      </x:c>
      <x:c r="J511" s="8" t="n">
        <x:v>46300.27696759259</x:v>
      </x:c>
      <x:c r="K511" s="8" t="n">
        <x:v>46300.27700231481</x:v>
      </x:c>
      <x:c r="L511" s="2" t="str">
        <x:v>Sent</x:v>
      </x:c>
      <x:c r="M511" s="2" t="n">
        <x:v>1</x:v>
      </x:c>
      <x:c r="N511" s="2"/>
      <x:c r="O511" s="2"/>
    </x:row>
    <x:row r="512" ht="21" customHeight="1">
      <x:c r="A512" s="2" t="str">
        <x:v>NT000511</x:v>
      </x:c>
      <x:c r="B512" s="2" t="str">
        <x:v>EV000513</x:v>
      </x:c>
      <x:c r="C512" s="2" t="str">
        <x:v>T20261005-1-1</x:v>
      </x:c>
      <x:c r="D512" s="2" t="str">
        <x:v>ST018</x:v>
      </x:c>
      <x:c r="E512" s="2" t="str">
        <x:v>G018</x:v>
      </x:c>
      <x:c r="F512" s="2" t="str">
        <x:v>guardian018@example.invalid</x:v>
      </x:c>
      <x:c r="G512" s="2" t="str">
        <x:v>Email</x:v>
      </x:c>
      <x:c r="H512" s="2" t="str">
        <x:v>Boarded</x:v>
      </x:c>
      <x:c r="I512" s="8" t="n">
        <x:v>46300.25232638889</x:v>
      </x:c>
      <x:c r="J512" s="8" t="n">
        <x:v>46300.25234953703</x:v>
      </x:c>
      <x:c r="K512" s="8" t="n">
        <x:v>46300.252384259256</x:v>
      </x:c>
      <x:c r="L512" s="2" t="str">
        <x:v>Sent</x:v>
      </x:c>
      <x:c r="M512" s="2" t="n">
        <x:v>1</x:v>
      </x:c>
      <x:c r="N512" s="2"/>
      <x:c r="O512" s="2"/>
    </x:row>
    <x:row r="513" ht="21" customHeight="1">
      <x:c r="A513" s="2" t="str">
        <x:v>NT000512</x:v>
      </x:c>
      <x:c r="B513" s="2" t="str">
        <x:v>EV000514</x:v>
      </x:c>
      <x:c r="C513" s="2" t="str">
        <x:v>T20261005-1-1</x:v>
      </x:c>
      <x:c r="D513" s="2" t="str">
        <x:v>ST018</x:v>
      </x:c>
      <x:c r="E513" s="2" t="str">
        <x:v>G018</x:v>
      </x:c>
      <x:c r="F513" s="2" t="str">
        <x:v>guardian018@example.invalid</x:v>
      </x:c>
      <x:c r="G513" s="2" t="str">
        <x:v>Email</x:v>
      </x:c>
      <x:c r="H513" s="2" t="str">
        <x:v>School receipt</x:v>
      </x:c>
      <x:c r="I513" s="8" t="n">
        <x:v>46300.276979166665</x:v>
      </x:c>
      <x:c r="J513" s="8" t="n">
        <x:v>46300.27700231481</x:v>
      </x:c>
      <x:c r="K513" s="8" t="n">
        <x:v>46300.277037037034</x:v>
      </x:c>
      <x:c r="L513" s="2" t="str">
        <x:v>Sent</x:v>
      </x:c>
      <x:c r="M513" s="2" t="n">
        <x:v>1</x:v>
      </x:c>
      <x:c r="N513" s="2"/>
      <x:c r="O513" s="2"/>
    </x:row>
    <x:row r="514" ht="21" customHeight="1">
      <x:c r="A514" s="2" t="str">
        <x:v>NT000513</x:v>
      </x:c>
      <x:c r="B514" s="2" t="str">
        <x:v>EV000515</x:v>
      </x:c>
      <x:c r="C514" s="2" t="str">
        <x:v>T20261005-1-1</x:v>
      </x:c>
      <x:c r="D514" s="2" t="str">
        <x:v>ST019</x:v>
      </x:c>
      <x:c r="E514" s="2" t="str">
        <x:v>G019</x:v>
      </x:c>
      <x:c r="F514" s="2" t="str">
        <x:v>guardian019@example.invalid</x:v>
      </x:c>
      <x:c r="G514" s="2" t="str">
        <x:v>Email</x:v>
      </x:c>
      <x:c r="H514" s="2" t="str">
        <x:v>Boarded</x:v>
      </x:c>
      <x:c r="I514" s="8" t="n">
        <x:v>46300.24263888889</x:v>
      </x:c>
      <x:c r="J514" s="8" t="n">
        <x:v>46300.24266203704</x:v>
      </x:c>
      <x:c r="K514" s="8" t="n">
        <x:v>46300.24269675926</x:v>
      </x:c>
      <x:c r="L514" s="2" t="str">
        <x:v>Sent</x:v>
      </x:c>
      <x:c r="M514" s="2" t="n">
        <x:v>1</x:v>
      </x:c>
      <x:c r="N514" s="2"/>
      <x:c r="O514" s="2"/>
    </x:row>
    <x:row r="515" ht="21" customHeight="1">
      <x:c r="A515" s="2" t="str">
        <x:v>NT000514</x:v>
      </x:c>
      <x:c r="B515" s="2" t="str">
        <x:v>EV000516</x:v>
      </x:c>
      <x:c r="C515" s="2" t="str">
        <x:v>T20261005-1-1</x:v>
      </x:c>
      <x:c r="D515" s="2" t="str">
        <x:v>ST019</x:v>
      </x:c>
      <x:c r="E515" s="2" t="str">
        <x:v>G019</x:v>
      </x:c>
      <x:c r="F515" s="2" t="str">
        <x:v>guardian019@example.invalid</x:v>
      </x:c>
      <x:c r="G515" s="2" t="str">
        <x:v>Email</x:v>
      </x:c>
      <x:c r="H515" s="2" t="str">
        <x:v>School receipt</x:v>
      </x:c>
      <x:c r="I515" s="8" t="n">
        <x:v>46300.27701388889</x:v>
      </x:c>
      <x:c r="J515" s="8" t="n">
        <x:v>46300.277037037034</x:v>
      </x:c>
      <x:c r="K515" s="8" t="n">
        <x:v>46300.27707175926</x:v>
      </x:c>
      <x:c r="L515" s="2" t="str">
        <x:v>Sent</x:v>
      </x:c>
      <x:c r="M515" s="2" t="n">
        <x:v>1</x:v>
      </x:c>
      <x:c r="N515" s="2"/>
      <x:c r="O515" s="2"/>
    </x:row>
    <x:row r="516" ht="21" customHeight="1">
      <x:c r="A516" s="2" t="str">
        <x:v>NT000515</x:v>
      </x:c>
      <x:c r="B516" s="2" t="str">
        <x:v>EV000517</x:v>
      </x:c>
      <x:c r="C516" s="2" t="str">
        <x:v>T20261005-1-1</x:v>
      </x:c>
      <x:c r="D516" s="2" t="str">
        <x:v>ST020</x:v>
      </x:c>
      <x:c r="E516" s="2" t="str">
        <x:v>G020</x:v>
      </x:c>
      <x:c r="F516" s="2" t="str">
        <x:v>guardian020@example.invalid</x:v>
      </x:c>
      <x:c r="G516" s="2" t="str">
        <x:v>Email</x:v>
      </x:c>
      <x:c r="H516" s="2" t="str">
        <x:v>Boarded</x:v>
      </x:c>
      <x:c r="I516" s="8" t="n">
        <x:v>46300.24753472222</x:v>
      </x:c>
      <x:c r="J516" s="8" t="n">
        <x:v>46300.24755787037</x:v>
      </x:c>
      <x:c r="K516" s="8" t="n">
        <x:v>46300.24759259259</x:v>
      </x:c>
      <x:c r="L516" s="2" t="str">
        <x:v>Sent</x:v>
      </x:c>
      <x:c r="M516" s="2" t="n">
        <x:v>1</x:v>
      </x:c>
      <x:c r="N516" s="2"/>
      <x:c r="O516" s="2"/>
    </x:row>
    <x:row r="517" ht="21" customHeight="1">
      <x:c r="A517" s="2" t="str">
        <x:v>NT000516</x:v>
      </x:c>
      <x:c r="B517" s="2" t="str">
        <x:v>EV000518</x:v>
      </x:c>
      <x:c r="C517" s="2" t="str">
        <x:v>T20261005-1-1</x:v>
      </x:c>
      <x:c r="D517" s="2" t="str">
        <x:v>ST020</x:v>
      </x:c>
      <x:c r="E517" s="2" t="str">
        <x:v>G020</x:v>
      </x:c>
      <x:c r="F517" s="2" t="str">
        <x:v>guardian020@example.invalid</x:v>
      </x:c>
      <x:c r="G517" s="2" t="str">
        <x:v>Email</x:v>
      </x:c>
      <x:c r="H517" s="2" t="str">
        <x:v>School receipt</x:v>
      </x:c>
      <x:c r="I517" s="8" t="n">
        <x:v>46300.27704861111</x:v>
      </x:c>
      <x:c r="J517" s="8" t="n">
        <x:v>46300.27707175926</x:v>
      </x:c>
      <x:c r="K517" s="8" t="n">
        <x:v>46300.27710648148</x:v>
      </x:c>
      <x:c r="L517" s="2" t="str">
        <x:v>Sent</x:v>
      </x:c>
      <x:c r="M517" s="2" t="n">
        <x:v>1</x:v>
      </x:c>
      <x:c r="N517" s="2"/>
      <x:c r="O517" s="2"/>
    </x:row>
    <x:row r="518" ht="21" customHeight="1">
      <x:c r="A518" s="2" t="str">
        <x:v>NT000517</x:v>
      </x:c>
      <x:c r="B518" s="2" t="str">
        <x:v>EV000519</x:v>
      </x:c>
      <x:c r="C518" s="2" t="str">
        <x:v>T20261005-2-1</x:v>
      </x:c>
      <x:c r="D518" s="2" t="str">
        <x:v>ST001</x:v>
      </x:c>
      <x:c r="E518" s="2" t="str">
        <x:v>G001</x:v>
      </x:c>
      <x:c r="F518" s="2" t="str">
        <x:v>guardian001@example.invalid</x:v>
      </x:c>
      <x:c r="G518" s="2" t="str">
        <x:v>Email</x:v>
      </x:c>
      <x:c r="H518" s="2" t="str">
        <x:v>Boarded</x:v>
      </x:c>
      <x:c r="I518" s="8" t="n">
        <x:v>46300.4375</x:v>
      </x:c>
      <x:c r="J518" s="8" t="n">
        <x:v>46300.437523148146</x:v>
      </x:c>
      <x:c r="K518" s="8" t="n">
        <x:v>46300.43755787037</x:v>
      </x:c>
      <x:c r="L518" s="2" t="str">
        <x:v>Sent</x:v>
      </x:c>
      <x:c r="M518" s="2" t="n">
        <x:v>1</x:v>
      </x:c>
      <x:c r="N518" s="2"/>
      <x:c r="O518" s="2"/>
    </x:row>
    <x:row r="519" ht="21" customHeight="1">
      <x:c r="A519" s="2" t="str">
        <x:v>NT000518</x:v>
      </x:c>
      <x:c r="B519" s="2" t="str">
        <x:v>EV000520</x:v>
      </x:c>
      <x:c r="C519" s="2" t="str">
        <x:v>T20261005-2-1</x:v>
      </x:c>
      <x:c r="D519" s="2" t="str">
        <x:v>ST001</x:v>
      </x:c>
      <x:c r="E519" s="2" t="str">
        <x:v>G001</x:v>
      </x:c>
      <x:c r="F519" s="2" t="str">
        <x:v>guardian001@example.invalid</x:v>
      </x:c>
      <x:c r="G519" s="2" t="str">
        <x:v>Email</x:v>
      </x:c>
      <x:c r="H519" s="2" t="str">
        <x:v>Authorized release</x:v>
      </x:c>
      <x:c r="I519" s="8" t="n">
        <x:v>46300.44930555555</x:v>
      </x:c>
      <x:c r="J519" s="8" t="n">
        <x:v>46300.4493287037</x:v>
      </x:c>
      <x:c r="K519" s="8" t="n">
        <x:v>46300.44936342592</x:v>
      </x:c>
      <x:c r="L519" s="2" t="str">
        <x:v>Sent</x:v>
      </x:c>
      <x:c r="M519" s="2" t="n">
        <x:v>1</x:v>
      </x:c>
      <x:c r="N519" s="2"/>
      <x:c r="O519" s="2"/>
    </x:row>
    <x:row r="520" ht="21" customHeight="1">
      <x:c r="A520" s="2" t="str">
        <x:v>NT000519</x:v>
      </x:c>
      <x:c r="B520" s="2" t="str">
        <x:v>EV000521</x:v>
      </x:c>
      <x:c r="C520" s="2" t="str">
        <x:v>T20261005-2-1</x:v>
      </x:c>
      <x:c r="D520" s="2" t="str">
        <x:v>ST002</x:v>
      </x:c>
      <x:c r="E520" s="2" t="str">
        <x:v>G002</x:v>
      </x:c>
      <x:c r="F520" s="2" t="str">
        <x:v>guardian002@example.invalid</x:v>
      </x:c>
      <x:c r="G520" s="2" t="str">
        <x:v>Email</x:v>
      </x:c>
      <x:c r="H520" s="2" t="str">
        <x:v>Boarded</x:v>
      </x:c>
      <x:c r="I520" s="8" t="n">
        <x:v>46300.43753472222</x:v>
      </x:c>
      <x:c r="J520" s="8" t="n">
        <x:v>46300.43755787037</x:v>
      </x:c>
      <x:c r="K520" s="8" t="n">
        <x:v>46300.43759259259</x:v>
      </x:c>
      <x:c r="L520" s="2" t="str">
        <x:v>Sent</x:v>
      </x:c>
      <x:c r="M520" s="2" t="n">
        <x:v>1</x:v>
      </x:c>
      <x:c r="N520" s="2"/>
      <x:c r="O520" s="2"/>
    </x:row>
    <x:row r="521" ht="21" customHeight="1">
      <x:c r="A521" s="2" t="str">
        <x:v>NT000520</x:v>
      </x:c>
      <x:c r="B521" s="2" t="str">
        <x:v>EV000522</x:v>
      </x:c>
      <x:c r="C521" s="2" t="str">
        <x:v>T20261005-2-1</x:v>
      </x:c>
      <x:c r="D521" s="2" t="str">
        <x:v>ST002</x:v>
      </x:c>
      <x:c r="E521" s="2" t="str">
        <x:v>G002</x:v>
      </x:c>
      <x:c r="F521" s="2" t="str">
        <x:v>guardian002@example.invalid</x:v>
      </x:c>
      <x:c r="G521" s="2" t="str">
        <x:v>Email</x:v>
      </x:c>
      <x:c r="H521" s="2" t="str">
        <x:v>Authorized release</x:v>
      </x:c>
      <x:c r="I521" s="8" t="n">
        <x:v>46300.45350694445</x:v>
      </x:c>
      <x:c r="J521" s="8" t="n">
        <x:v>46300.45353009259</x:v>
      </x:c>
      <x:c r="K521" s="8" t="n">
        <x:v>46300.453564814816</x:v>
      </x:c>
      <x:c r="L521" s="2" t="str">
        <x:v>Sent</x:v>
      </x:c>
      <x:c r="M521" s="2" t="n">
        <x:v>1</x:v>
      </x:c>
      <x:c r="N521" s="2"/>
      <x:c r="O521" s="2"/>
    </x:row>
    <x:row r="522" ht="21" customHeight="1">
      <x:c r="A522" s="2" t="str">
        <x:v>NT000521</x:v>
      </x:c>
      <x:c r="B522" s="2" t="str">
        <x:v>EV000523</x:v>
      </x:c>
      <x:c r="C522" s="2" t="str">
        <x:v>T20261005-2-1</x:v>
      </x:c>
      <x:c r="D522" s="2" t="str">
        <x:v>ST003</x:v>
      </x:c>
      <x:c r="E522" s="2" t="str">
        <x:v>G003</x:v>
      </x:c>
      <x:c r="F522" s="2" t="str">
        <x:v>guardian003@example.invalid</x:v>
      </x:c>
      <x:c r="G522" s="2" t="str">
        <x:v>Email</x:v>
      </x:c>
      <x:c r="H522" s="2" t="str">
        <x:v>Boarded</x:v>
      </x:c>
      <x:c r="I522" s="8" t="n">
        <x:v>46300.437569444446</x:v>
      </x:c>
      <x:c r="J522" s="8" t="n">
        <x:v>46300.43759259259</x:v>
      </x:c>
      <x:c r="K522" s="8" t="n">
        <x:v>46300.437627314815</x:v>
      </x:c>
      <x:c r="L522" s="2" t="str">
        <x:v>Sent</x:v>
      </x:c>
      <x:c r="M522" s="2" t="n">
        <x:v>1</x:v>
      </x:c>
      <x:c r="N522" s="2"/>
      <x:c r="O522" s="2"/>
    </x:row>
    <x:row r="523" ht="21" customHeight="1">
      <x:c r="A523" s="2" t="str">
        <x:v>NT000522</x:v>
      </x:c>
      <x:c r="B523" s="2" t="str">
        <x:v>EV000524</x:v>
      </x:c>
      <x:c r="C523" s="2" t="str">
        <x:v>T20261005-2-1</x:v>
      </x:c>
      <x:c r="D523" s="2" t="str">
        <x:v>ST003</x:v>
      </x:c>
      <x:c r="E523" s="2" t="str">
        <x:v>G003</x:v>
      </x:c>
      <x:c r="F523" s="2" t="str">
        <x:v>guardian003@example.invalid</x:v>
      </x:c>
      <x:c r="G523" s="2" t="str">
        <x:v>Email</x:v>
      </x:c>
      <x:c r="H523" s="2" t="str">
        <x:v>Authorized release</x:v>
      </x:c>
      <x:c r="I523" s="8" t="n">
        <x:v>46300.457708333335</x:v>
      </x:c>
      <x:c r="J523" s="8" t="n">
        <x:v>46300.45773148148</x:v>
      </x:c>
      <x:c r="K523" s="8" t="n">
        <x:v>46300.457766203705</x:v>
      </x:c>
      <x:c r="L523" s="2" t="str">
        <x:v>Sent</x:v>
      </x:c>
      <x:c r="M523" s="2" t="n">
        <x:v>1</x:v>
      </x:c>
      <x:c r="N523" s="2"/>
      <x:c r="O523" s="2"/>
    </x:row>
    <x:row r="524" ht="21" customHeight="1">
      <x:c r="A524" s="2" t="str">
        <x:v>NT000523</x:v>
      </x:c>
      <x:c r="B524" s="2" t="str">
        <x:v>EV000525</x:v>
      </x:c>
      <x:c r="C524" s="2" t="str">
        <x:v>T20261005-2-1</x:v>
      </x:c>
      <x:c r="D524" s="2" t="str">
        <x:v>ST004</x:v>
      </x:c>
      <x:c r="E524" s="2" t="str">
        <x:v>G004</x:v>
      </x:c>
      <x:c r="F524" s="2" t="str">
        <x:v>guardian004@example.invalid</x:v>
      </x:c>
      <x:c r="G524" s="2" t="str">
        <x:v>Email</x:v>
      </x:c>
      <x:c r="H524" s="2" t="str">
        <x:v>Boarded</x:v>
      </x:c>
      <x:c r="I524" s="8" t="n">
        <x:v>46300.43760416667</x:v>
      </x:c>
      <x:c r="J524" s="8" t="n">
        <x:v>46300.437627314815</x:v>
      </x:c>
      <x:c r="K524" s="8" t="n">
        <x:v>46300.43766203704</x:v>
      </x:c>
      <x:c r="L524" s="2" t="str">
        <x:v>Sent</x:v>
      </x:c>
      <x:c r="M524" s="2" t="n">
        <x:v>1</x:v>
      </x:c>
      <x:c r="N524" s="2"/>
      <x:c r="O524" s="2"/>
    </x:row>
    <x:row r="525" ht="21" customHeight="1">
      <x:c r="A525" s="2" t="str">
        <x:v>NT000524</x:v>
      </x:c>
      <x:c r="B525" s="2" t="str">
        <x:v>EV000526</x:v>
      </x:c>
      <x:c r="C525" s="2" t="str">
        <x:v>T20261005-2-1</x:v>
      </x:c>
      <x:c r="D525" s="2" t="str">
        <x:v>ST004</x:v>
      </x:c>
      <x:c r="E525" s="2" t="str">
        <x:v>G004</x:v>
      </x:c>
      <x:c r="F525" s="2" t="str">
        <x:v>guardian004@example.invalid</x:v>
      </x:c>
      <x:c r="G525" s="2" t="str">
        <x:v>Email</x:v>
      </x:c>
      <x:c r="H525" s="2" t="str">
        <x:v>Authorized release</x:v>
      </x:c>
      <x:c r="I525" s="8" t="n">
        <x:v>46300.44940972222</x:v>
      </x:c>
      <x:c r="J525" s="8" t="n">
        <x:v>46300.449432870366</x:v>
      </x:c>
      <x:c r="K525" s="8" t="n">
        <x:v>46300.44946759259</x:v>
      </x:c>
      <x:c r="L525" s="2" t="str">
        <x:v>Sent</x:v>
      </x:c>
      <x:c r="M525" s="2" t="n">
        <x:v>1</x:v>
      </x:c>
      <x:c r="N525" s="2"/>
      <x:c r="O525" s="2"/>
    </x:row>
    <x:row r="526" ht="21" customHeight="1">
      <x:c r="A526" s="2" t="str">
        <x:v>NT000525</x:v>
      </x:c>
      <x:c r="B526" s="2" t="str">
        <x:v>EV000527</x:v>
      </x:c>
      <x:c r="C526" s="2" t="str">
        <x:v>T20261005-2-1</x:v>
      </x:c>
      <x:c r="D526" s="2" t="str">
        <x:v>ST005</x:v>
      </x:c>
      <x:c r="E526" s="2" t="str">
        <x:v>G005</x:v>
      </x:c>
      <x:c r="F526" s="2" t="str">
        <x:v>guardian005@example.invalid</x:v>
      </x:c>
      <x:c r="G526" s="2" t="str">
        <x:v>Email</x:v>
      </x:c>
      <x:c r="H526" s="2" t="str">
        <x:v>Boarded</x:v>
      </x:c>
      <x:c r="I526" s="8" t="n">
        <x:v>46300.43763888889</x:v>
      </x:c>
      <x:c r="J526" s="8" t="n">
        <x:v>46300.43766203704</x:v>
      </x:c>
      <x:c r="K526" s="8" t="n">
        <x:v>46300.43769675926</x:v>
      </x:c>
      <x:c r="L526" s="2" t="str">
        <x:v>Sent</x:v>
      </x:c>
      <x:c r="M526" s="2" t="n">
        <x:v>1</x:v>
      </x:c>
      <x:c r="N526" s="2"/>
      <x:c r="O526" s="2"/>
    </x:row>
    <x:row r="527" ht="21" customHeight="1">
      <x:c r="A527" s="2" t="str">
        <x:v>NT000526</x:v>
      </x:c>
      <x:c r="B527" s="2" t="str">
        <x:v>EV000528</x:v>
      </x:c>
      <x:c r="C527" s="2" t="str">
        <x:v>T20261005-2-1</x:v>
      </x:c>
      <x:c r="D527" s="2" t="str">
        <x:v>ST005</x:v>
      </x:c>
      <x:c r="E527" s="2" t="str">
        <x:v>G005</x:v>
      </x:c>
      <x:c r="F527" s="2" t="str">
        <x:v>guardian005@example.invalid</x:v>
      </x:c>
      <x:c r="G527" s="2" t="str">
        <x:v>Email</x:v>
      </x:c>
      <x:c r="H527" s="2" t="str">
        <x:v>Authorized release</x:v>
      </x:c>
      <x:c r="I527" s="8" t="n">
        <x:v>46300.453611111116</x:v>
      </x:c>
      <x:c r="J527" s="8" t="n">
        <x:v>46300.45363425926</x:v>
      </x:c>
      <x:c r="K527" s="8" t="n">
        <x:v>46300.453668981485</x:v>
      </x:c>
      <x:c r="L527" s="2" t="str">
        <x:v>Sent</x:v>
      </x:c>
      <x:c r="M527" s="2" t="n">
        <x:v>1</x:v>
      </x:c>
      <x:c r="N527" s="2"/>
      <x:c r="O527" s="2"/>
    </x:row>
    <x:row r="528" ht="21" customHeight="1">
      <x:c r="A528" s="2" t="str">
        <x:v>NT000527</x:v>
      </x:c>
      <x:c r="B528" s="2" t="str">
        <x:v>EV000529</x:v>
      </x:c>
      <x:c r="C528" s="2" t="str">
        <x:v>T20261005-2-1</x:v>
      </x:c>
      <x:c r="D528" s="2" t="str">
        <x:v>ST006</x:v>
      </x:c>
      <x:c r="E528" s="2" t="str">
        <x:v>G006</x:v>
      </x:c>
      <x:c r="F528" s="2" t="str">
        <x:v>guardian006@example.invalid</x:v>
      </x:c>
      <x:c r="G528" s="2" t="str">
        <x:v>Email</x:v>
      </x:c>
      <x:c r="H528" s="2" t="str">
        <x:v>Boarded</x:v>
      </x:c>
      <x:c r="I528" s="8" t="n">
        <x:v>46300.43767361111</x:v>
      </x:c>
      <x:c r="J528" s="8" t="n">
        <x:v>46300.437696759254</x:v>
      </x:c>
      <x:c r="K528" s="8" t="n">
        <x:v>46300.43773148148</x:v>
      </x:c>
      <x:c r="L528" s="2" t="str">
        <x:v>Sent</x:v>
      </x:c>
      <x:c r="M528" s="2" t="n">
        <x:v>1</x:v>
      </x:c>
      <x:c r="N528" s="2"/>
      <x:c r="O528" s="2"/>
    </x:row>
    <x:row r="529" ht="21" customHeight="1">
      <x:c r="A529" s="2" t="str">
        <x:v>NT000528</x:v>
      </x:c>
      <x:c r="B529" s="2" t="str">
        <x:v>EV000530</x:v>
      </x:c>
      <x:c r="C529" s="2" t="str">
        <x:v>T20261005-2-1</x:v>
      </x:c>
      <x:c r="D529" s="2" t="str">
        <x:v>ST006</x:v>
      </x:c>
      <x:c r="E529" s="2" t="str">
        <x:v>G006</x:v>
      </x:c>
      <x:c r="F529" s="2" t="str">
        <x:v>guardian006@example.invalid</x:v>
      </x:c>
      <x:c r="G529" s="2" t="str">
        <x:v>Email</x:v>
      </x:c>
      <x:c r="H529" s="2" t="str">
        <x:v>Authorized release</x:v>
      </x:c>
      <x:c r="I529" s="8" t="n">
        <x:v>46300.4578125</x:v>
      </x:c>
      <x:c r="J529" s="8" t="n">
        <x:v>46300.45783564814</x:v>
      </x:c>
      <x:c r="K529" s="8" t="n">
        <x:v>46300.45787037037</x:v>
      </x:c>
      <x:c r="L529" s="2" t="str">
        <x:v>Sent</x:v>
      </x:c>
      <x:c r="M529" s="2" t="n">
        <x:v>1</x:v>
      </x:c>
      <x:c r="N529" s="2"/>
      <x:c r="O529" s="2"/>
    </x:row>
    <x:row r="530" ht="21" customHeight="1">
      <x:c r="A530" s="2" t="str">
        <x:v>NT000529</x:v>
      </x:c>
      <x:c r="B530" s="2" t="str">
        <x:v>EV000531</x:v>
      </x:c>
      <x:c r="C530" s="2" t="str">
        <x:v>T20261005-2-1</x:v>
      </x:c>
      <x:c r="D530" s="2" t="str">
        <x:v>ST007</x:v>
      </x:c>
      <x:c r="E530" s="2" t="str">
        <x:v>G007</x:v>
      </x:c>
      <x:c r="F530" s="2" t="str">
        <x:v>guardian007@example.invalid</x:v>
      </x:c>
      <x:c r="G530" s="2" t="str">
        <x:v>Email</x:v>
      </x:c>
      <x:c r="H530" s="2" t="str">
        <x:v>Boarded</x:v>
      </x:c>
      <x:c r="I530" s="8" t="n">
        <x:v>46300.43770833333</x:v>
      </x:c>
      <x:c r="J530" s="8" t="n">
        <x:v>46300.43773148148</x:v>
      </x:c>
      <x:c r="K530" s="8" t="n">
        <x:v>46300.4377662037</x:v>
      </x:c>
      <x:c r="L530" s="2" t="str">
        <x:v>Sent</x:v>
      </x:c>
      <x:c r="M530" s="2" t="n">
        <x:v>1</x:v>
      </x:c>
      <x:c r="N530" s="2"/>
      <x:c r="O530" s="2"/>
    </x:row>
    <x:row r="531" ht="21" customHeight="1">
      <x:c r="A531" s="2" t="str">
        <x:v>NT000530</x:v>
      </x:c>
      <x:c r="B531" s="2" t="str">
        <x:v>EV000532</x:v>
      </x:c>
      <x:c r="C531" s="2" t="str">
        <x:v>T20261005-2-1</x:v>
      </x:c>
      <x:c r="D531" s="2" t="str">
        <x:v>ST007</x:v>
      </x:c>
      <x:c r="E531" s="2" t="str">
        <x:v>G007</x:v>
      </x:c>
      <x:c r="F531" s="2" t="str">
        <x:v>guardian007@example.invalid</x:v>
      </x:c>
      <x:c r="G531" s="2" t="str">
        <x:v>Email</x:v>
      </x:c>
      <x:c r="H531" s="2" t="str">
        <x:v>Authorized release</x:v>
      </x:c>
      <x:c r="I531" s="8" t="n">
        <x:v>46300.44951388888</x:v>
      </x:c>
      <x:c r="J531" s="8" t="n">
        <x:v>46300.44953703703</x:v>
      </x:c>
      <x:c r="K531" s="8" t="n">
        <x:v>46300.44957175925</x:v>
      </x:c>
      <x:c r="L531" s="2" t="str">
        <x:v>Sent</x:v>
      </x:c>
      <x:c r="M531" s="2" t="n">
        <x:v>1</x:v>
      </x:c>
      <x:c r="N531" s="2"/>
      <x:c r="O531" s="2"/>
    </x:row>
    <x:row r="532" ht="21" customHeight="1">
      <x:c r="A532" s="2" t="str">
        <x:v>NT000531</x:v>
      </x:c>
      <x:c r="B532" s="2" t="str">
        <x:v>EV000533</x:v>
      </x:c>
      <x:c r="C532" s="2" t="str">
        <x:v>T20261005-2-1</x:v>
      </x:c>
      <x:c r="D532" s="2" t="str">
        <x:v>ST008</x:v>
      </x:c>
      <x:c r="E532" s="2" t="str">
        <x:v>G008</x:v>
      </x:c>
      <x:c r="F532" s="2" t="str">
        <x:v>guardian008@example.invalid</x:v>
      </x:c>
      <x:c r="G532" s="2" t="str">
        <x:v>Email</x:v>
      </x:c>
      <x:c r="H532" s="2" t="str">
        <x:v>Boarded</x:v>
      </x:c>
      <x:c r="I532" s="8" t="n">
        <x:v>46300.437743055554</x:v>
      </x:c>
      <x:c r="J532" s="8" t="n">
        <x:v>46300.4377662037</x:v>
      </x:c>
      <x:c r="K532" s="8" t="n">
        <x:v>46300.43780092592</x:v>
      </x:c>
      <x:c r="L532" s="2" t="str">
        <x:v>Sent</x:v>
      </x:c>
      <x:c r="M532" s="2" t="n">
        <x:v>1</x:v>
      </x:c>
      <x:c r="N532" s="2"/>
      <x:c r="O532" s="2"/>
    </x:row>
    <x:row r="533" ht="21" customHeight="1">
      <x:c r="A533" s="2" t="str">
        <x:v>NT000532</x:v>
      </x:c>
      <x:c r="B533" s="2" t="str">
        <x:v>EV000534</x:v>
      </x:c>
      <x:c r="C533" s="2" t="str">
        <x:v>T20261005-2-1</x:v>
      </x:c>
      <x:c r="D533" s="2" t="str">
        <x:v>ST008</x:v>
      </x:c>
      <x:c r="E533" s="2" t="str">
        <x:v>G008</x:v>
      </x:c>
      <x:c r="F533" s="2" t="str">
        <x:v>guardian008@example.invalid</x:v>
      </x:c>
      <x:c r="G533" s="2" t="str">
        <x:v>Email</x:v>
      </x:c>
      <x:c r="H533" s="2" t="str">
        <x:v>Authorized release</x:v>
      </x:c>
      <x:c r="I533" s="8" t="n">
        <x:v>46300.45371527778</x:v>
      </x:c>
      <x:c r="J533" s="8" t="n">
        <x:v>46300.453738425924</x:v>
      </x:c>
      <x:c r="K533" s="8" t="n">
        <x:v>46300.45377314815</x:v>
      </x:c>
      <x:c r="L533" s="2" t="str">
        <x:v>Sent</x:v>
      </x:c>
      <x:c r="M533" s="2" t="n">
        <x:v>1</x:v>
      </x:c>
      <x:c r="N533" s="2"/>
      <x:c r="O533" s="2"/>
    </x:row>
    <x:row r="534" ht="21" customHeight="1">
      <x:c r="A534" s="2" t="str">
        <x:v>NT000533</x:v>
      </x:c>
      <x:c r="B534" s="2" t="str">
        <x:v>EV000535</x:v>
      </x:c>
      <x:c r="C534" s="2" t="str">
        <x:v>T20261005-2-1</x:v>
      </x:c>
      <x:c r="D534" s="2" t="str">
        <x:v>ST009</x:v>
      </x:c>
      <x:c r="E534" s="2" t="str">
        <x:v>G009</x:v>
      </x:c>
      <x:c r="F534" s="2" t="str">
        <x:v>guardian009@example.invalid</x:v>
      </x:c>
      <x:c r="G534" s="2" t="str">
        <x:v>Email</x:v>
      </x:c>
      <x:c r="H534" s="2" t="str">
        <x:v>Boarded</x:v>
      </x:c>
      <x:c r="I534" s="8" t="n">
        <x:v>46300.43777777778</x:v>
      </x:c>
      <x:c r="J534" s="8" t="n">
        <x:v>46300.43780092592</x:v>
      </x:c>
      <x:c r="K534" s="8" t="n">
        <x:v>46300.43783564815</x:v>
      </x:c>
      <x:c r="L534" s="2" t="str">
        <x:v>Sent</x:v>
      </x:c>
      <x:c r="M534" s="2" t="n">
        <x:v>1</x:v>
      </x:c>
      <x:c r="N534" s="2"/>
      <x:c r="O534" s="2"/>
    </x:row>
    <x:row r="535" ht="21" customHeight="1">
      <x:c r="A535" s="2" t="str">
        <x:v>NT000534</x:v>
      </x:c>
      <x:c r="B535" s="2" t="str">
        <x:v>EV000536</x:v>
      </x:c>
      <x:c r="C535" s="2" t="str">
        <x:v>T20261005-2-1</x:v>
      </x:c>
      <x:c r="D535" s="2" t="str">
        <x:v>ST009</x:v>
      </x:c>
      <x:c r="E535" s="2" t="str">
        <x:v>G009</x:v>
      </x:c>
      <x:c r="F535" s="2" t="str">
        <x:v>guardian009@example.invalid</x:v>
      </x:c>
      <x:c r="G535" s="2" t="str">
        <x:v>Email</x:v>
      </x:c>
      <x:c r="H535" s="2" t="str">
        <x:v>Authorized release</x:v>
      </x:c>
      <x:c r="I535" s="8" t="n">
        <x:v>46300.457916666666</x:v>
      </x:c>
      <x:c r="J535" s="8" t="n">
        <x:v>46300.45793981481</x:v>
      </x:c>
      <x:c r="K535" s="8" t="n">
        <x:v>46300.457974537036</x:v>
      </x:c>
      <x:c r="L535" s="2" t="str">
        <x:v>Sent</x:v>
      </x:c>
      <x:c r="M535" s="2" t="n">
        <x:v>1</x:v>
      </x:c>
      <x:c r="N535" s="2"/>
      <x:c r="O535" s="2"/>
    </x:row>
    <x:row r="536" ht="21" customHeight="1">
      <x:c r="A536" s="2" t="str">
        <x:v>NT000535</x:v>
      </x:c>
      <x:c r="B536" s="2" t="str">
        <x:v>EV000537</x:v>
      </x:c>
      <x:c r="C536" s="2" t="str">
        <x:v>T20261005-2-1</x:v>
      </x:c>
      <x:c r="D536" s="2" t="str">
        <x:v>ST010</x:v>
      </x:c>
      <x:c r="E536" s="2" t="str">
        <x:v>G010</x:v>
      </x:c>
      <x:c r="F536" s="2" t="str">
        <x:v>guardian010@example.invalid</x:v>
      </x:c>
      <x:c r="G536" s="2" t="str">
        <x:v>Email</x:v>
      </x:c>
      <x:c r="H536" s="2" t="str">
        <x:v>Boarded</x:v>
      </x:c>
      <x:c r="I536" s="8" t="n">
        <x:v>46300.4378125</x:v>
      </x:c>
      <x:c r="J536" s="8" t="n">
        <x:v>46300.43783564815</x:v>
      </x:c>
      <x:c r="K536" s="8" t="n">
        <x:v>46300.43787037037</x:v>
      </x:c>
      <x:c r="L536" s="2" t="str">
        <x:v>Sent</x:v>
      </x:c>
      <x:c r="M536" s="2" t="n">
        <x:v>1</x:v>
      </x:c>
      <x:c r="N536" s="2"/>
      <x:c r="O536" s="2"/>
    </x:row>
    <x:row r="537" ht="21" customHeight="1">
      <x:c r="A537" s="2" t="str">
        <x:v>NT000536</x:v>
      </x:c>
      <x:c r="B537" s="2" t="str">
        <x:v>EV000538</x:v>
      </x:c>
      <x:c r="C537" s="2" t="str">
        <x:v>T20261005-2-1</x:v>
      </x:c>
      <x:c r="D537" s="2" t="str">
        <x:v>ST010</x:v>
      </x:c>
      <x:c r="E537" s="2" t="str">
        <x:v>G010</x:v>
      </x:c>
      <x:c r="F537" s="2" t="str">
        <x:v>guardian010@example.invalid</x:v>
      </x:c>
      <x:c r="G537" s="2" t="str">
        <x:v>Email</x:v>
      </x:c>
      <x:c r="H537" s="2" t="str">
        <x:v>Authorized release</x:v>
      </x:c>
      <x:c r="I537" s="8" t="n">
        <x:v>46300.44961805555</x:v>
      </x:c>
      <x:c r="J537" s="8" t="n">
        <x:v>46300.4496412037</x:v>
      </x:c>
      <x:c r="K537" s="8" t="n">
        <x:v>46300.44967592592</x:v>
      </x:c>
      <x:c r="L537" s="2" t="str">
        <x:v>Sent</x:v>
      </x:c>
      <x:c r="M537" s="2" t="n">
        <x:v>1</x:v>
      </x:c>
      <x:c r="N537" s="2"/>
      <x:c r="O537" s="2"/>
    </x:row>
    <x:row r="538" ht="21" customHeight="1">
      <x:c r="A538" s="2" t="str">
        <x:v>NT000537</x:v>
      </x:c>
      <x:c r="B538" s="2" t="str">
        <x:v>EV000539</x:v>
      </x:c>
      <x:c r="C538" s="2" t="str">
        <x:v>T20261005-2-1</x:v>
      </x:c>
      <x:c r="D538" s="2" t="str">
        <x:v>ST021</x:v>
      </x:c>
      <x:c r="E538" s="2" t="str">
        <x:v>G021</x:v>
      </x:c>
      <x:c r="F538" s="2" t="str">
        <x:v>guardian021@example.invalid</x:v>
      </x:c>
      <x:c r="G538" s="2" t="str">
        <x:v>Email</x:v>
      </x:c>
      <x:c r="H538" s="2" t="str">
        <x:v>Boarded</x:v>
      </x:c>
      <x:c r="I538" s="8" t="n">
        <x:v>46300.48125</x:v>
      </x:c>
      <x:c r="J538" s="8" t="n">
        <x:v>46300.48127314814</x:v>
      </x:c>
      <x:c r="K538" s="8" t="n">
        <x:v>46300.48130787037</x:v>
      </x:c>
      <x:c r="L538" s="2" t="str">
        <x:v>Sent</x:v>
      </x:c>
      <x:c r="M538" s="2" t="n">
        <x:v>1</x:v>
      </x:c>
      <x:c r="N538" s="2"/>
      <x:c r="O538" s="2"/>
    </x:row>
    <x:row r="539" ht="21" customHeight="1">
      <x:c r="A539" s="2" t="str">
        <x:v>NT000538</x:v>
      </x:c>
      <x:c r="B539" s="2" t="str">
        <x:v>EV000540</x:v>
      </x:c>
      <x:c r="C539" s="2" t="str">
        <x:v>T20261005-2-1</x:v>
      </x:c>
      <x:c r="D539" s="2" t="str">
        <x:v>ST021</x:v>
      </x:c>
      <x:c r="E539" s="2" t="str">
        <x:v>G021</x:v>
      </x:c>
      <x:c r="F539" s="2" t="str">
        <x:v>guardian021@example.invalid</x:v>
      </x:c>
      <x:c r="G539" s="2" t="str">
        <x:v>Email</x:v>
      </x:c>
      <x:c r="H539" s="2" t="str">
        <x:v>School receipt</x:v>
      </x:c>
      <x:c r="I539" s="8" t="n">
        <x:v>46300.506250000006</x:v>
      </x:c>
      <x:c r="J539" s="8" t="n">
        <x:v>46300.50627314815</x:v>
      </x:c>
      <x:c r="K539" s="8" t="n">
        <x:v>46300.506307870375</x:v>
      </x:c>
      <x:c r="L539" s="2" t="str">
        <x:v>Sent</x:v>
      </x:c>
      <x:c r="M539" s="2" t="n">
        <x:v>1</x:v>
      </x:c>
      <x:c r="N539" s="2"/>
      <x:c r="O539" s="2"/>
    </x:row>
    <x:row r="540" ht="21" customHeight="1">
      <x:c r="A540" s="2" t="str">
        <x:v>NT000539</x:v>
      </x:c>
      <x:c r="B540" s="2" t="str">
        <x:v>EV000541</x:v>
      </x:c>
      <x:c r="C540" s="2" t="str">
        <x:v>T20261005-2-1</x:v>
      </x:c>
      <x:c r="D540" s="2" t="str">
        <x:v>ST022</x:v>
      </x:c>
      <x:c r="E540" s="2" t="str">
        <x:v>G022</x:v>
      </x:c>
      <x:c r="F540" s="2" t="str">
        <x:v>guardian022@example.invalid</x:v>
      </x:c>
      <x:c r="G540" s="2" t="str">
        <x:v>Email</x:v>
      </x:c>
      <x:c r="H540" s="2" t="str">
        <x:v>Boarded</x:v>
      </x:c>
      <x:c r="I540" s="8" t="n">
        <x:v>46300.4715625</x:v>
      </x:c>
      <x:c r="J540" s="8" t="n">
        <x:v>46300.47158564815</x:v>
      </x:c>
      <x:c r="K540" s="8" t="n">
        <x:v>46300.47162037037</x:v>
      </x:c>
      <x:c r="L540" s="2" t="str">
        <x:v>Sent</x:v>
      </x:c>
      <x:c r="M540" s="2" t="n">
        <x:v>1</x:v>
      </x:c>
      <x:c r="N540" s="2"/>
      <x:c r="O540" s="2"/>
    </x:row>
    <x:row r="541" ht="21" customHeight="1">
      <x:c r="A541" s="2" t="str">
        <x:v>NT000540</x:v>
      </x:c>
      <x:c r="B541" s="2" t="str">
        <x:v>EV000542</x:v>
      </x:c>
      <x:c r="C541" s="2" t="str">
        <x:v>T20261005-2-1</x:v>
      </x:c>
      <x:c r="D541" s="2" t="str">
        <x:v>ST022</x:v>
      </x:c>
      <x:c r="E541" s="2" t="str">
        <x:v>G022</x:v>
      </x:c>
      <x:c r="F541" s="2" t="str">
        <x:v>guardian022@example.invalid</x:v>
      </x:c>
      <x:c r="G541" s="2" t="str">
        <x:v>Email</x:v>
      </x:c>
      <x:c r="H541" s="2" t="str">
        <x:v>School receipt</x:v>
      </x:c>
      <x:c r="I541" s="8" t="n">
        <x:v>46300.50628472223</x:v>
      </x:c>
      <x:c r="J541" s="8" t="n">
        <x:v>46300.506307870375</x:v>
      </x:c>
      <x:c r="K541" s="8" t="n">
        <x:v>46300.5063425926</x:v>
      </x:c>
      <x:c r="L541" s="2" t="str">
        <x:v>Sent</x:v>
      </x:c>
      <x:c r="M541" s="2" t="n">
        <x:v>1</x:v>
      </x:c>
      <x:c r="N541" s="2"/>
      <x:c r="O541" s="2"/>
    </x:row>
    <x:row r="542" ht="21" customHeight="1">
      <x:c r="A542" s="2" t="str">
        <x:v>NT000541</x:v>
      </x:c>
      <x:c r="B542" s="2" t="str">
        <x:v>EV000543</x:v>
      </x:c>
      <x:c r="C542" s="2" t="str">
        <x:v>T20261005-2-1</x:v>
      </x:c>
      <x:c r="D542" s="2" t="str">
        <x:v>ST023</x:v>
      </x:c>
      <x:c r="E542" s="2" t="str">
        <x:v>G023</x:v>
      </x:c>
      <x:c r="F542" s="2" t="str">
        <x:v>guardian023@example.invalid</x:v>
      </x:c>
      <x:c r="G542" s="2" t="str">
        <x:v>Email</x:v>
      </x:c>
      <x:c r="H542" s="2" t="str">
        <x:v>Boarded</x:v>
      </x:c>
      <x:c r="I542" s="8" t="n">
        <x:v>46300.47645833333</x:v>
      </x:c>
      <x:c r="J542" s="8" t="n">
        <x:v>46300.47648148148</x:v>
      </x:c>
      <x:c r="K542" s="8" t="n">
        <x:v>46300.4765162037</x:v>
      </x:c>
      <x:c r="L542" s="2" t="str">
        <x:v>Sent</x:v>
      </x:c>
      <x:c r="M542" s="2" t="n">
        <x:v>1</x:v>
      </x:c>
      <x:c r="N542" s="2"/>
      <x:c r="O542" s="2"/>
    </x:row>
    <x:row r="543" ht="21" customHeight="1">
      <x:c r="A543" s="2" t="str">
        <x:v>NT000542</x:v>
      </x:c>
      <x:c r="B543" s="2" t="str">
        <x:v>EV000544</x:v>
      </x:c>
      <x:c r="C543" s="2" t="str">
        <x:v>T20261005-2-1</x:v>
      </x:c>
      <x:c r="D543" s="2" t="str">
        <x:v>ST023</x:v>
      </x:c>
      <x:c r="E543" s="2" t="str">
        <x:v>G023</x:v>
      </x:c>
      <x:c r="F543" s="2" t="str">
        <x:v>guardian023@example.invalid</x:v>
      </x:c>
      <x:c r="G543" s="2" t="str">
        <x:v>Email</x:v>
      </x:c>
      <x:c r="H543" s="2" t="str">
        <x:v>School receipt</x:v>
      </x:c>
      <x:c r="I543" s="8" t="n">
        <x:v>46300.506319444445</x:v>
      </x:c>
      <x:c r="J543" s="8" t="n">
        <x:v>46300.50634259259</x:v>
      </x:c>
      <x:c r="K543" s="8" t="n">
        <x:v>46300.506377314814</x:v>
      </x:c>
      <x:c r="L543" s="2" t="str">
        <x:v>Sent</x:v>
      </x:c>
      <x:c r="M543" s="2" t="n">
        <x:v>1</x:v>
      </x:c>
      <x:c r="N543" s="2"/>
      <x:c r="O543" s="2"/>
    </x:row>
    <x:row r="544" ht="21" customHeight="1">
      <x:c r="A544" s="2" t="str">
        <x:v>NT000543</x:v>
      </x:c>
      <x:c r="B544" s="2" t="str">
        <x:v>EV000545</x:v>
      </x:c>
      <x:c r="C544" s="2" t="str">
        <x:v>T20261005-2-1</x:v>
      </x:c>
      <x:c r="D544" s="2" t="str">
        <x:v>ST024</x:v>
      </x:c>
      <x:c r="E544" s="2" t="str">
        <x:v>G024</x:v>
      </x:c>
      <x:c r="F544" s="2" t="str">
        <x:v>guardian024@example.invalid</x:v>
      </x:c>
      <x:c r="G544" s="2" t="str">
        <x:v>Email</x:v>
      </x:c>
      <x:c r="H544" s="2" t="str">
        <x:v>Boarded</x:v>
      </x:c>
      <x:c r="I544" s="8" t="n">
        <x:v>46300.481354166666</x:v>
      </x:c>
      <x:c r="J544" s="8" t="n">
        <x:v>46300.48137731481</x:v>
      </x:c>
      <x:c r="K544" s="8" t="n">
        <x:v>46300.481412037036</x:v>
      </x:c>
      <x:c r="L544" s="2" t="str">
        <x:v>Sent</x:v>
      </x:c>
      <x:c r="M544" s="2" t="n">
        <x:v>1</x:v>
      </x:c>
      <x:c r="N544" s="2"/>
      <x:c r="O544" s="2"/>
    </x:row>
    <x:row r="545" ht="21" customHeight="1">
      <x:c r="A545" s="2" t="str">
        <x:v>NT000544</x:v>
      </x:c>
      <x:c r="B545" s="2" t="str">
        <x:v>EV000546</x:v>
      </x:c>
      <x:c r="C545" s="2" t="str">
        <x:v>T20261005-2-1</x:v>
      </x:c>
      <x:c r="D545" s="2" t="str">
        <x:v>ST024</x:v>
      </x:c>
      <x:c r="E545" s="2" t="str">
        <x:v>G024</x:v>
      </x:c>
      <x:c r="F545" s="2" t="str">
        <x:v>guardian024@example.invalid</x:v>
      </x:c>
      <x:c r="G545" s="2" t="str">
        <x:v>Email</x:v>
      </x:c>
      <x:c r="H545" s="2" t="str">
        <x:v>School receipt</x:v>
      </x:c>
      <x:c r="I545" s="8" t="n">
        <x:v>46300.50635416667</x:v>
      </x:c>
      <x:c r="J545" s="8" t="n">
        <x:v>46300.506377314814</x:v>
      </x:c>
      <x:c r="K545" s="8" t="n">
        <x:v>46300.50641203704</x:v>
      </x:c>
      <x:c r="L545" s="2" t="str">
        <x:v>Sent</x:v>
      </x:c>
      <x:c r="M545" s="2" t="n">
        <x:v>1</x:v>
      </x:c>
      <x:c r="N545" s="2"/>
      <x:c r="O545" s="2"/>
    </x:row>
    <x:row r="546" ht="21" customHeight="1">
      <x:c r="A546" s="2" t="str">
        <x:v>NT000545</x:v>
      </x:c>
      <x:c r="B546" s="2" t="str">
        <x:v>EV000547</x:v>
      </x:c>
      <x:c r="C546" s="2" t="str">
        <x:v>T20261005-2-1</x:v>
      </x:c>
      <x:c r="D546" s="2" t="str">
        <x:v>ST025</x:v>
      </x:c>
      <x:c r="E546" s="2" t="str">
        <x:v>G025</x:v>
      </x:c>
      <x:c r="F546" s="2" t="str">
        <x:v>guardian025@example.invalid</x:v>
      </x:c>
      <x:c r="G546" s="2" t="str">
        <x:v>Email</x:v>
      </x:c>
      <x:c r="H546" s="2" t="str">
        <x:v>Boarded</x:v>
      </x:c>
      <x:c r="I546" s="8" t="n">
        <x:v>46300.47166666667</x:v>
      </x:c>
      <x:c r="J546" s="8" t="n">
        <x:v>46300.47168981482</x:v>
      </x:c>
      <x:c r="K546" s="8" t="n">
        <x:v>46300.47172453704</x:v>
      </x:c>
      <x:c r="L546" s="2" t="str">
        <x:v>Sent</x:v>
      </x:c>
      <x:c r="M546" s="2" t="n">
        <x:v>1</x:v>
      </x:c>
      <x:c r="N546" s="2"/>
      <x:c r="O546" s="2"/>
    </x:row>
    <x:row r="547" ht="21" customHeight="1">
      <x:c r="A547" s="2" t="str">
        <x:v>NT000546</x:v>
      </x:c>
      <x:c r="B547" s="2" t="str">
        <x:v>EV000548</x:v>
      </x:c>
      <x:c r="C547" s="2" t="str">
        <x:v>T20261005-2-1</x:v>
      </x:c>
      <x:c r="D547" s="2" t="str">
        <x:v>ST025</x:v>
      </x:c>
      <x:c r="E547" s="2" t="str">
        <x:v>G025</x:v>
      </x:c>
      <x:c r="F547" s="2" t="str">
        <x:v>guardian025@example.invalid</x:v>
      </x:c>
      <x:c r="G547" s="2" t="str">
        <x:v>Email</x:v>
      </x:c>
      <x:c r="H547" s="2" t="str">
        <x:v>School receipt</x:v>
      </x:c>
      <x:c r="I547" s="8" t="n">
        <x:v>46300.50638888889</x:v>
      </x:c>
      <x:c r="J547" s="8" t="n">
        <x:v>46300.50641203704</x:v>
      </x:c>
      <x:c r="K547" s="8" t="n">
        <x:v>46300.50644675926</x:v>
      </x:c>
      <x:c r="L547" s="2" t="str">
        <x:v>Sent</x:v>
      </x:c>
      <x:c r="M547" s="2" t="n">
        <x:v>1</x:v>
      </x:c>
      <x:c r="N547" s="2"/>
      <x:c r="O547" s="2"/>
    </x:row>
    <x:row r="548" ht="21" customHeight="1">
      <x:c r="A548" s="2" t="str">
        <x:v>NT000547</x:v>
      </x:c>
      <x:c r="B548" s="2" t="str">
        <x:v>EV000549</x:v>
      </x:c>
      <x:c r="C548" s="2" t="str">
        <x:v>T20261005-2-1</x:v>
      </x:c>
      <x:c r="D548" s="2" t="str">
        <x:v>ST026</x:v>
      </x:c>
      <x:c r="E548" s="2" t="str">
        <x:v>G026</x:v>
      </x:c>
      <x:c r="F548" s="2" t="str">
        <x:v>guardian026@example.invalid</x:v>
      </x:c>
      <x:c r="G548" s="2" t="str">
        <x:v>Email</x:v>
      </x:c>
      <x:c r="H548" s="2" t="str">
        <x:v>Boarded</x:v>
      </x:c>
      <x:c r="I548" s="8" t="n">
        <x:v>46300.47656249999</x:v>
      </x:c>
      <x:c r="J548" s="8" t="n">
        <x:v>46300.47658564814</x:v>
      </x:c>
      <x:c r="K548" s="8" t="n">
        <x:v>46300.47662037036</x:v>
      </x:c>
      <x:c r="L548" s="2" t="str">
        <x:v>Sent</x:v>
      </x:c>
      <x:c r="M548" s="2" t="n">
        <x:v>1</x:v>
      </x:c>
      <x:c r="N548" s="2"/>
      <x:c r="O548" s="2"/>
    </x:row>
    <x:row r="549" ht="21" customHeight="1">
      <x:c r="A549" s="2" t="str">
        <x:v>NT000548</x:v>
      </x:c>
      <x:c r="B549" s="2" t="str">
        <x:v>EV000550</x:v>
      </x:c>
      <x:c r="C549" s="2" t="str">
        <x:v>T20261005-2-1</x:v>
      </x:c>
      <x:c r="D549" s="2" t="str">
        <x:v>ST026</x:v>
      </x:c>
      <x:c r="E549" s="2" t="str">
        <x:v>G026</x:v>
      </x:c>
      <x:c r="F549" s="2" t="str">
        <x:v>guardian026@example.invalid</x:v>
      </x:c>
      <x:c r="G549" s="2" t="str">
        <x:v>Email</x:v>
      </x:c>
      <x:c r="H549" s="2" t="str">
        <x:v>School receipt</x:v>
      </x:c>
      <x:c r="I549" s="8" t="n">
        <x:v>46300.506423611114</x:v>
      </x:c>
      <x:c r="J549" s="8" t="n">
        <x:v>46300.50644675926</x:v>
      </x:c>
      <x:c r="K549" s="8" t="n">
        <x:v>46300.50648148148</x:v>
      </x:c>
      <x:c r="L549" s="2" t="str">
        <x:v>Sent</x:v>
      </x:c>
      <x:c r="M549" s="2" t="n">
        <x:v>1</x:v>
      </x:c>
      <x:c r="N549" s="2"/>
      <x:c r="O549" s="2"/>
    </x:row>
    <x:row r="550" ht="21" customHeight="1">
      <x:c r="A550" s="2" t="str">
        <x:v>NT000549</x:v>
      </x:c>
      <x:c r="B550" s="2" t="str">
        <x:v>EV000551</x:v>
      </x:c>
      <x:c r="C550" s="2" t="str">
        <x:v>T20261005-2-1</x:v>
      </x:c>
      <x:c r="D550" s="2" t="str">
        <x:v>ST027</x:v>
      </x:c>
      <x:c r="E550" s="2" t="str">
        <x:v>G027</x:v>
      </x:c>
      <x:c r="F550" s="2" t="str">
        <x:v>guardian027@example.invalid</x:v>
      </x:c>
      <x:c r="G550" s="2" t="str">
        <x:v>Email</x:v>
      </x:c>
      <x:c r="H550" s="2" t="str">
        <x:v>Boarded</x:v>
      </x:c>
      <x:c r="I550" s="8" t="n">
        <x:v>46300.48145833333</x:v>
      </x:c>
      <x:c r="J550" s="8" t="n">
        <x:v>46300.481481481474</x:v>
      </x:c>
      <x:c r="K550" s="8" t="n">
        <x:v>46300.4815162037</x:v>
      </x:c>
      <x:c r="L550" s="2" t="str">
        <x:v>Sent</x:v>
      </x:c>
      <x:c r="M550" s="2" t="n">
        <x:v>1</x:v>
      </x:c>
      <x:c r="N550" s="2"/>
      <x:c r="O550" s="2"/>
    </x:row>
    <x:row r="551" ht="21" customHeight="1">
      <x:c r="A551" s="2" t="str">
        <x:v>NT000550</x:v>
      </x:c>
      <x:c r="B551" s="2" t="str">
        <x:v>EV000552</x:v>
      </x:c>
      <x:c r="C551" s="2" t="str">
        <x:v>T20261005-2-1</x:v>
      </x:c>
      <x:c r="D551" s="2" t="str">
        <x:v>ST027</x:v>
      </x:c>
      <x:c r="E551" s="2" t="str">
        <x:v>G027</x:v>
      </x:c>
      <x:c r="F551" s="2" t="str">
        <x:v>guardian027@example.invalid</x:v>
      </x:c>
      <x:c r="G551" s="2" t="str">
        <x:v>Email</x:v>
      </x:c>
      <x:c r="H551" s="2" t="str">
        <x:v>School receipt</x:v>
      </x:c>
      <x:c r="I551" s="8" t="n">
        <x:v>46300.50645833334</x:v>
      </x:c>
      <x:c r="J551" s="8" t="n">
        <x:v>46300.50648148148</x:v>
      </x:c>
      <x:c r="K551" s="8" t="n">
        <x:v>46300.506516203706</x:v>
      </x:c>
      <x:c r="L551" s="2" t="str">
        <x:v>Sent</x:v>
      </x:c>
      <x:c r="M551" s="2" t="n">
        <x:v>1</x:v>
      </x:c>
      <x:c r="N551" s="2"/>
      <x:c r="O551" s="2"/>
    </x:row>
    <x:row r="552" ht="21" customHeight="1">
      <x:c r="A552" s="2" t="str">
        <x:v>NT000551</x:v>
      </x:c>
      <x:c r="B552" s="2" t="str">
        <x:v>EV000553</x:v>
      </x:c>
      <x:c r="C552" s="2" t="str">
        <x:v>T20261005-2-1</x:v>
      </x:c>
      <x:c r="D552" s="2" t="str">
        <x:v>ST028</x:v>
      </x:c>
      <x:c r="E552" s="2" t="str">
        <x:v>G028</x:v>
      </x:c>
      <x:c r="F552" s="2" t="str">
        <x:v>guardian028@example.invalid</x:v>
      </x:c>
      <x:c r="G552" s="2" t="str">
        <x:v>Email</x:v>
      </x:c>
      <x:c r="H552" s="2" t="str">
        <x:v>Boarded</x:v>
      </x:c>
      <x:c r="I552" s="8" t="n">
        <x:v>46300.471770833334</x:v>
      </x:c>
      <x:c r="J552" s="8" t="n">
        <x:v>46300.47179398148</x:v>
      </x:c>
      <x:c r="K552" s="8" t="n">
        <x:v>46300.4718287037</x:v>
      </x:c>
      <x:c r="L552" s="2" t="str">
        <x:v>Sent</x:v>
      </x:c>
      <x:c r="M552" s="2" t="n">
        <x:v>1</x:v>
      </x:c>
      <x:c r="N552" s="2"/>
      <x:c r="O552" s="2"/>
    </x:row>
    <x:row r="553" ht="21" customHeight="1">
      <x:c r="A553" s="2" t="str">
        <x:v>NT000552</x:v>
      </x:c>
      <x:c r="B553" s="2" t="str">
        <x:v>EV000554</x:v>
      </x:c>
      <x:c r="C553" s="2" t="str">
        <x:v>T20261005-2-1</x:v>
      </x:c>
      <x:c r="D553" s="2" t="str">
        <x:v>ST028</x:v>
      </x:c>
      <x:c r="E553" s="2" t="str">
        <x:v>G028</x:v>
      </x:c>
      <x:c r="F553" s="2" t="str">
        <x:v>guardian028@example.invalid</x:v>
      </x:c>
      <x:c r="G553" s="2" t="str">
        <x:v>Email</x:v>
      </x:c>
      <x:c r="H553" s="2" t="str">
        <x:v>School receipt</x:v>
      </x:c>
      <x:c r="I553" s="8" t="n">
        <x:v>46300.50649305556</x:v>
      </x:c>
      <x:c r="J553" s="8" t="n">
        <x:v>46300.506516203706</x:v>
      </x:c>
      <x:c r="K553" s="8" t="n">
        <x:v>46300.50655092593</x:v>
      </x:c>
      <x:c r="L553" s="2" t="str">
        <x:v>Sent</x:v>
      </x:c>
      <x:c r="M553" s="2" t="n">
        <x:v>1</x:v>
      </x:c>
      <x:c r="N553" s="2"/>
      <x:c r="O553" s="2"/>
    </x:row>
    <x:row r="554" ht="21" customHeight="1">
      <x:c r="A554" s="2" t="str">
        <x:v>NT000553</x:v>
      </x:c>
      <x:c r="B554" s="2" t="str">
        <x:v>EV000555</x:v>
      </x:c>
      <x:c r="C554" s="2" t="str">
        <x:v>T20261005-2-1</x:v>
      </x:c>
      <x:c r="D554" s="2" t="str">
        <x:v>ST029</x:v>
      </x:c>
      <x:c r="E554" s="2" t="str">
        <x:v>G029</x:v>
      </x:c>
      <x:c r="F554" s="2" t="str">
        <x:v>guardian029@example.invalid</x:v>
      </x:c>
      <x:c r="G554" s="2" t="str">
        <x:v>Email</x:v>
      </x:c>
      <x:c r="H554" s="2" t="str">
        <x:v>Boarded</x:v>
      </x:c>
      <x:c r="I554" s="8" t="n">
        <x:v>46300.47666666666</x:v>
      </x:c>
      <x:c r="J554" s="8" t="n">
        <x:v>46300.47668981481</x:v>
      </x:c>
      <x:c r="K554" s="8" t="n">
        <x:v>46300.47672453703</x:v>
      </x:c>
      <x:c r="L554" s="2" t="str">
        <x:v>Sent</x:v>
      </x:c>
      <x:c r="M554" s="2" t="n">
        <x:v>1</x:v>
      </x:c>
      <x:c r="N554" s="2"/>
      <x:c r="O554" s="2"/>
    </x:row>
    <x:row r="555" ht="21" customHeight="1">
      <x:c r="A555" s="2" t="str">
        <x:v>NT000554</x:v>
      </x:c>
      <x:c r="B555" s="2" t="str">
        <x:v>EV000556</x:v>
      </x:c>
      <x:c r="C555" s="2" t="str">
        <x:v>T20261005-2-1</x:v>
      </x:c>
      <x:c r="D555" s="2" t="str">
        <x:v>ST029</x:v>
      </x:c>
      <x:c r="E555" s="2" t="str">
        <x:v>G029</x:v>
      </x:c>
      <x:c r="F555" s="2" t="str">
        <x:v>guardian029@example.invalid</x:v>
      </x:c>
      <x:c r="G555" s="2" t="str">
        <x:v>Email</x:v>
      </x:c>
      <x:c r="H555" s="2" t="str">
        <x:v>School receipt</x:v>
      </x:c>
      <x:c r="I555" s="8" t="n">
        <x:v>46300.50652777778</x:v>
      </x:c>
      <x:c r="J555" s="8" t="n">
        <x:v>46300.50655092593</x:v>
      </x:c>
      <x:c r="K555" s="8" t="n">
        <x:v>46300.50658564815</x:v>
      </x:c>
      <x:c r="L555" s="2" t="str">
        <x:v>Sent</x:v>
      </x:c>
      <x:c r="M555" s="2" t="n">
        <x:v>1</x:v>
      </x:c>
      <x:c r="N555" s="2"/>
      <x:c r="O555" s="2"/>
    </x:row>
    <x:row r="556" ht="21" customHeight="1">
      <x:c r="A556" s="2" t="str">
        <x:v>NT000555</x:v>
      </x:c>
      <x:c r="B556" s="2" t="str">
        <x:v>EV000557</x:v>
      </x:c>
      <x:c r="C556" s="2" t="str">
        <x:v>T20261005-2-1</x:v>
      </x:c>
      <x:c r="D556" s="2" t="str">
        <x:v>ST030</x:v>
      </x:c>
      <x:c r="E556" s="2" t="str">
        <x:v>G030</x:v>
      </x:c>
      <x:c r="F556" s="2" t="str">
        <x:v>guardian030@example.invalid</x:v>
      </x:c>
      <x:c r="G556" s="2" t="str">
        <x:v>Email</x:v>
      </x:c>
      <x:c r="H556" s="2" t="str">
        <x:v>Boarded</x:v>
      </x:c>
      <x:c r="I556" s="8" t="n">
        <x:v>46300.4815625</x:v>
      </x:c>
      <x:c r="J556" s="8" t="n">
        <x:v>46300.481585648144</x:v>
      </x:c>
      <x:c r="K556" s="8" t="n">
        <x:v>46300.48162037037</x:v>
      </x:c>
      <x:c r="L556" s="2" t="str">
        <x:v>Sent</x:v>
      </x:c>
      <x:c r="M556" s="2" t="n">
        <x:v>1</x:v>
      </x:c>
      <x:c r="N556" s="2"/>
      <x:c r="O556" s="2"/>
    </x:row>
    <x:row r="557" ht="21" customHeight="1">
      <x:c r="A557" s="2" t="str">
        <x:v>NT000556</x:v>
      </x:c>
      <x:c r="B557" s="2" t="str">
        <x:v>EV000558</x:v>
      </x:c>
      <x:c r="C557" s="2" t="str">
        <x:v>T20261005-2-1</x:v>
      </x:c>
      <x:c r="D557" s="2" t="str">
        <x:v>ST030</x:v>
      </x:c>
      <x:c r="E557" s="2" t="str">
        <x:v>G030</x:v>
      </x:c>
      <x:c r="F557" s="2" t="str">
        <x:v>guardian030@example.invalid</x:v>
      </x:c>
      <x:c r="G557" s="2" t="str">
        <x:v>Email</x:v>
      </x:c>
      <x:c r="H557" s="2" t="str">
        <x:v>School receipt</x:v>
      </x:c>
      <x:c r="I557" s="8" t="n">
        <x:v>46300.506562500006</x:v>
      </x:c>
      <x:c r="J557" s="8" t="n">
        <x:v>46300.50658564815</x:v>
      </x:c>
      <x:c r="K557" s="8" t="n">
        <x:v>46300.506620370375</x:v>
      </x:c>
      <x:c r="L557" s="2" t="str">
        <x:v>Sent</x:v>
      </x:c>
      <x:c r="M557" s="2" t="n">
        <x:v>1</x:v>
      </x:c>
      <x:c r="N557" s="2"/>
      <x:c r="O557" s="2"/>
    </x:row>
    <x:row r="558" ht="21" customHeight="1">
      <x:c r="A558" s="2" t="str">
        <x:v>NT000557</x:v>
      </x:c>
      <x:c r="B558" s="2" t="str">
        <x:v>EV000559</x:v>
      </x:c>
      <x:c r="C558" s="2" t="str">
        <x:v>T20261005-2-1</x:v>
      </x:c>
      <x:c r="D558" s="2" t="str">
        <x:v>ST031</x:v>
      </x:c>
      <x:c r="E558" s="2" t="str">
        <x:v>G031</x:v>
      </x:c>
      <x:c r="F558" s="2" t="str">
        <x:v>guardian031@example.invalid</x:v>
      </x:c>
      <x:c r="G558" s="2" t="str">
        <x:v>Email</x:v>
      </x:c>
      <x:c r="H558" s="2" t="str">
        <x:v>Boarded</x:v>
      </x:c>
      <x:c r="I558" s="8" t="n">
        <x:v>46300.47152777778</x:v>
      </x:c>
      <x:c r="J558" s="8" t="n">
        <x:v>46300.471550925926</x:v>
      </x:c>
      <x:c r="K558" s="8" t="n">
        <x:v>46300.47158564815</x:v>
      </x:c>
      <x:c r="L558" s="2" t="str">
        <x:v>Sent</x:v>
      </x:c>
      <x:c r="M558" s="2" t="n">
        <x:v>1</x:v>
      </x:c>
      <x:c r="N558" s="2"/>
      <x:c r="O558" s="2"/>
    </x:row>
    <x:row r="559" ht="21" customHeight="1">
      <x:c r="A559" s="2" t="str">
        <x:v>NT000558</x:v>
      </x:c>
      <x:c r="B559" s="2" t="str">
        <x:v>EV000560</x:v>
      </x:c>
      <x:c r="C559" s="2" t="str">
        <x:v>T20261005-2-1</x:v>
      </x:c>
      <x:c r="D559" s="2" t="str">
        <x:v>ST031</x:v>
      </x:c>
      <x:c r="E559" s="2" t="str">
        <x:v>G031</x:v>
      </x:c>
      <x:c r="F559" s="2" t="str">
        <x:v>guardian031@example.invalid</x:v>
      </x:c>
      <x:c r="G559" s="2" t="str">
        <x:v>Email</x:v>
      </x:c>
      <x:c r="H559" s="2" t="str">
        <x:v>School receipt</x:v>
      </x:c>
      <x:c r="I559" s="8" t="n">
        <x:v>46300.50659722223</x:v>
      </x:c>
      <x:c r="J559" s="8" t="n">
        <x:v>46300.506620370375</x:v>
      </x:c>
      <x:c r="K559" s="8" t="n">
        <x:v>46300.5066550926</x:v>
      </x:c>
      <x:c r="L559" s="2" t="str">
        <x:v>Sent</x:v>
      </x:c>
      <x:c r="M559" s="2" t="n">
        <x:v>1</x:v>
      </x:c>
      <x:c r="N559" s="2"/>
      <x:c r="O559" s="2"/>
    </x:row>
    <x:row r="560" ht="21" customHeight="1">
      <x:c r="A560" s="2" t="str">
        <x:v>NT000559</x:v>
      </x:c>
      <x:c r="B560" s="2" t="str">
        <x:v>EV000561</x:v>
      </x:c>
      <x:c r="C560" s="2" t="str">
        <x:v>T20261005-2-1</x:v>
      </x:c>
      <x:c r="D560" s="2" t="str">
        <x:v>ST032</x:v>
      </x:c>
      <x:c r="E560" s="2" t="str">
        <x:v>G032</x:v>
      </x:c>
      <x:c r="F560" s="2" t="str">
        <x:v>guardian032@example.invalid</x:v>
      </x:c>
      <x:c r="G560" s="2" t="str">
        <x:v>Email</x:v>
      </x:c>
      <x:c r="H560" s="2" t="str">
        <x:v>Boarded</x:v>
      </x:c>
      <x:c r="I560" s="8" t="n">
        <x:v>46300.47642361111</x:v>
      </x:c>
      <x:c r="J560" s="8" t="n">
        <x:v>46300.476446759254</x:v>
      </x:c>
      <x:c r="K560" s="8" t="n">
        <x:v>46300.47648148148</x:v>
      </x:c>
      <x:c r="L560" s="2" t="str">
        <x:v>Sent</x:v>
      </x:c>
      <x:c r="M560" s="2" t="n">
        <x:v>1</x:v>
      </x:c>
      <x:c r="N560" s="2"/>
      <x:c r="O560" s="2"/>
    </x:row>
    <x:row r="561" ht="21" customHeight="1">
      <x:c r="A561" s="2" t="str">
        <x:v>NT000560</x:v>
      </x:c>
      <x:c r="B561" s="2" t="str">
        <x:v>EV000562</x:v>
      </x:c>
      <x:c r="C561" s="2" t="str">
        <x:v>T20261005-2-1</x:v>
      </x:c>
      <x:c r="D561" s="2" t="str">
        <x:v>ST032</x:v>
      </x:c>
      <x:c r="E561" s="2" t="str">
        <x:v>G032</x:v>
      </x:c>
      <x:c r="F561" s="2" t="str">
        <x:v>guardian032@example.invalid</x:v>
      </x:c>
      <x:c r="G561" s="2" t="str">
        <x:v>Email</x:v>
      </x:c>
      <x:c r="H561" s="2" t="str">
        <x:v>School receipt</x:v>
      </x:c>
      <x:c r="I561" s="8" t="n">
        <x:v>46300.506631944445</x:v>
      </x:c>
      <x:c r="J561" s="8" t="n">
        <x:v>46300.50665509259</x:v>
      </x:c>
      <x:c r="K561" s="8" t="n">
        <x:v>46300.506689814814</x:v>
      </x:c>
      <x:c r="L561" s="2" t="str">
        <x:v>Sent</x:v>
      </x:c>
      <x:c r="M561" s="2" t="n">
        <x:v>1</x:v>
      </x:c>
      <x:c r="N561" s="2"/>
      <x:c r="O561" s="2"/>
    </x:row>
    <x:row r="562" ht="21" customHeight="1">
      <x:c r="A562" s="2" t="str">
        <x:v>NT000561</x:v>
      </x:c>
      <x:c r="B562" s="2" t="str">
        <x:v>EV000563</x:v>
      </x:c>
      <x:c r="C562" s="2" t="str">
        <x:v>T20261005-2-1</x:v>
      </x:c>
      <x:c r="D562" s="2" t="str">
        <x:v>ST033</x:v>
      </x:c>
      <x:c r="E562" s="2" t="str">
        <x:v>G033</x:v>
      </x:c>
      <x:c r="F562" s="2" t="str">
        <x:v>guardian033@example.invalid</x:v>
      </x:c>
      <x:c r="G562" s="2" t="str">
        <x:v>Email</x:v>
      </x:c>
      <x:c r="H562" s="2" t="str">
        <x:v>Boarded</x:v>
      </x:c>
      <x:c r="I562" s="8" t="n">
        <x:v>46300.48131944444</x:v>
      </x:c>
      <x:c r="J562" s="8" t="n">
        <x:v>46300.48134259259</x:v>
      </x:c>
      <x:c r="K562" s="8" t="n">
        <x:v>46300.48137731481</x:v>
      </x:c>
      <x:c r="L562" s="2" t="str">
        <x:v>Sent</x:v>
      </x:c>
      <x:c r="M562" s="2" t="n">
        <x:v>1</x:v>
      </x:c>
      <x:c r="N562" s="2"/>
      <x:c r="O562" s="2"/>
    </x:row>
    <x:row r="563" ht="21" customHeight="1">
      <x:c r="A563" s="2" t="str">
        <x:v>NT000562</x:v>
      </x:c>
      <x:c r="B563" s="2" t="str">
        <x:v>EV000564</x:v>
      </x:c>
      <x:c r="C563" s="2" t="str">
        <x:v>T20261005-2-1</x:v>
      </x:c>
      <x:c r="D563" s="2" t="str">
        <x:v>ST033</x:v>
      </x:c>
      <x:c r="E563" s="2" t="str">
        <x:v>G033</x:v>
      </x:c>
      <x:c r="F563" s="2" t="str">
        <x:v>guardian033@example.invalid</x:v>
      </x:c>
      <x:c r="G563" s="2" t="str">
        <x:v>Email</x:v>
      </x:c>
      <x:c r="H563" s="2" t="str">
        <x:v>School receipt</x:v>
      </x:c>
      <x:c r="I563" s="8" t="n">
        <x:v>46300.50666666667</x:v>
      </x:c>
      <x:c r="J563" s="8" t="n">
        <x:v>46300.506689814814</x:v>
      </x:c>
      <x:c r="K563" s="8" t="n">
        <x:v>46300.50672453704</x:v>
      </x:c>
      <x:c r="L563" s="2" t="str">
        <x:v>Sent</x:v>
      </x:c>
      <x:c r="M563" s="2" t="n">
        <x:v>1</x:v>
      </x:c>
      <x:c r="N563" s="2"/>
      <x:c r="O563" s="2"/>
    </x:row>
    <x:row r="564" ht="21" customHeight="1">
      <x:c r="A564" s="2" t="str">
        <x:v>NT000563</x:v>
      </x:c>
      <x:c r="B564" s="2" t="str">
        <x:v>EV000565</x:v>
      </x:c>
      <x:c r="C564" s="2" t="str">
        <x:v>T20261005-2-1</x:v>
      </x:c>
      <x:c r="D564" s="2" t="str">
        <x:v>ST034</x:v>
      </x:c>
      <x:c r="E564" s="2" t="str">
        <x:v>G034</x:v>
      </x:c>
      <x:c r="F564" s="2" t="str">
        <x:v>guardian034@example.invalid</x:v>
      </x:c>
      <x:c r="G564" s="2" t="str">
        <x:v>Email</x:v>
      </x:c>
      <x:c r="H564" s="2" t="str">
        <x:v>Boarded</x:v>
      </x:c>
      <x:c r="I564" s="8" t="n">
        <x:v>46300.47163194445</x:v>
      </x:c>
      <x:c r="J564" s="8" t="n">
        <x:v>46300.471655092595</x:v>
      </x:c>
      <x:c r="K564" s="8" t="n">
        <x:v>46300.47168981482</x:v>
      </x:c>
      <x:c r="L564" s="2" t="str">
        <x:v>Sent</x:v>
      </x:c>
      <x:c r="M564" s="2" t="n">
        <x:v>1</x:v>
      </x:c>
      <x:c r="N564" s="2"/>
      <x:c r="O564" s="2"/>
    </x:row>
    <x:row r="565" ht="21" customHeight="1">
      <x:c r="A565" s="2" t="str">
        <x:v>NT000564</x:v>
      </x:c>
      <x:c r="B565" s="2" t="str">
        <x:v>EV000566</x:v>
      </x:c>
      <x:c r="C565" s="2" t="str">
        <x:v>T20261005-2-1</x:v>
      </x:c>
      <x:c r="D565" s="2" t="str">
        <x:v>ST034</x:v>
      </x:c>
      <x:c r="E565" s="2" t="str">
        <x:v>G034</x:v>
      </x:c>
      <x:c r="F565" s="2" t="str">
        <x:v>guardian034@example.invalid</x:v>
      </x:c>
      <x:c r="G565" s="2" t="str">
        <x:v>Email</x:v>
      </x:c>
      <x:c r="H565" s="2" t="str">
        <x:v>School receipt</x:v>
      </x:c>
      <x:c r="I565" s="8" t="n">
        <x:v>46300.50670138889</x:v>
      </x:c>
      <x:c r="J565" s="8" t="n">
        <x:v>46300.50672453704</x:v>
      </x:c>
      <x:c r="K565" s="8" t="n">
        <x:v>46300.50675925926</x:v>
      </x:c>
      <x:c r="L565" s="2" t="str">
        <x:v>Sent</x:v>
      </x:c>
      <x:c r="M565" s="2" t="n">
        <x:v>1</x:v>
      </x:c>
      <x:c r="N565" s="2"/>
      <x:c r="O565" s="2"/>
    </x:row>
    <x:row r="566" ht="21" customHeight="1">
      <x:c r="A566" s="2" t="str">
        <x:v>NT000565</x:v>
      </x:c>
      <x:c r="B566" s="2" t="str">
        <x:v>EV000567</x:v>
      </x:c>
      <x:c r="C566" s="2" t="str">
        <x:v>T20261005-2-1</x:v>
      </x:c>
      <x:c r="D566" s="2" t="str">
        <x:v>ST035</x:v>
      </x:c>
      <x:c r="E566" s="2" t="str">
        <x:v>G035</x:v>
      </x:c>
      <x:c r="F566" s="2" t="str">
        <x:v>guardian035@example.invalid</x:v>
      </x:c>
      <x:c r="G566" s="2" t="str">
        <x:v>Email</x:v>
      </x:c>
      <x:c r="H566" s="2" t="str">
        <x:v>Boarded</x:v>
      </x:c>
      <x:c r="I566" s="8" t="n">
        <x:v>46300.47652777778</x:v>
      </x:c>
      <x:c r="J566" s="8" t="n">
        <x:v>46300.47655092592</x:v>
      </x:c>
      <x:c r="K566" s="8" t="n">
        <x:v>46300.476585648146</x:v>
      </x:c>
      <x:c r="L566" s="2" t="str">
        <x:v>Sent</x:v>
      </x:c>
      <x:c r="M566" s="2" t="n">
        <x:v>1</x:v>
      </x:c>
      <x:c r="N566" s="2"/>
      <x:c r="O566" s="2"/>
    </x:row>
    <x:row r="567" ht="21" customHeight="1">
      <x:c r="A567" s="2" t="str">
        <x:v>NT000566</x:v>
      </x:c>
      <x:c r="B567" s="2" t="str">
        <x:v>EV000568</x:v>
      </x:c>
      <x:c r="C567" s="2" t="str">
        <x:v>T20261005-2-1</x:v>
      </x:c>
      <x:c r="D567" s="2" t="str">
        <x:v>ST035</x:v>
      </x:c>
      <x:c r="E567" s="2" t="str">
        <x:v>G035</x:v>
      </x:c>
      <x:c r="F567" s="2" t="str">
        <x:v>guardian035@example.invalid</x:v>
      </x:c>
      <x:c r="G567" s="2" t="str">
        <x:v>Email</x:v>
      </x:c>
      <x:c r="H567" s="2" t="str">
        <x:v>School receipt</x:v>
      </x:c>
      <x:c r="I567" s="8" t="n">
        <x:v>46300.506736111114</x:v>
      </x:c>
      <x:c r="J567" s="8" t="n">
        <x:v>46300.50675925926</x:v>
      </x:c>
      <x:c r="K567" s="8" t="n">
        <x:v>46300.50679398148</x:v>
      </x:c>
      <x:c r="L567" s="2" t="str">
        <x:v>Sent</x:v>
      </x:c>
      <x:c r="M567" s="2" t="n">
        <x:v>1</x:v>
      </x:c>
      <x:c r="N567" s="2"/>
      <x:c r="O567" s="2"/>
    </x:row>
    <x:row r="568" ht="21" customHeight="1">
      <x:c r="A568" s="2" t="str">
        <x:v>NT000567</x:v>
      </x:c>
      <x:c r="B568" s="2" t="str">
        <x:v>EV000569</x:v>
      </x:c>
      <x:c r="C568" s="2" t="str">
        <x:v>T20261005-2-1</x:v>
      </x:c>
      <x:c r="D568" s="2" t="str">
        <x:v>ST036</x:v>
      </x:c>
      <x:c r="E568" s="2" t="str">
        <x:v>G036</x:v>
      </x:c>
      <x:c r="F568" s="2" t="str">
        <x:v>guardian036@example.invalid</x:v>
      </x:c>
      <x:c r="G568" s="2" t="str">
        <x:v>Email</x:v>
      </x:c>
      <x:c r="H568" s="2" t="str">
        <x:v>Boarded</x:v>
      </x:c>
      <x:c r="I568" s="8" t="n">
        <x:v>46300.481423611105</x:v>
      </x:c>
      <x:c r="J568" s="8" t="n">
        <x:v>46300.48144675925</x:v>
      </x:c>
      <x:c r="K568" s="8" t="n">
        <x:v>46300.481481481474</x:v>
      </x:c>
      <x:c r="L568" s="2" t="str">
        <x:v>Sent</x:v>
      </x:c>
      <x:c r="M568" s="2" t="n">
        <x:v>1</x:v>
      </x:c>
      <x:c r="N568" s="2"/>
      <x:c r="O568" s="2"/>
    </x:row>
    <x:row r="569" ht="21" customHeight="1">
      <x:c r="A569" s="2" t="str">
        <x:v>NT000568</x:v>
      </x:c>
      <x:c r="B569" s="2" t="str">
        <x:v>EV000570</x:v>
      </x:c>
      <x:c r="C569" s="2" t="str">
        <x:v>T20261005-2-1</x:v>
      </x:c>
      <x:c r="D569" s="2" t="str">
        <x:v>ST036</x:v>
      </x:c>
      <x:c r="E569" s="2" t="str">
        <x:v>G036</x:v>
      </x:c>
      <x:c r="F569" s="2" t="str">
        <x:v>guardian036@example.invalid</x:v>
      </x:c>
      <x:c r="G569" s="2" t="str">
        <x:v>Email</x:v>
      </x:c>
      <x:c r="H569" s="2" t="str">
        <x:v>School receipt</x:v>
      </x:c>
      <x:c r="I569" s="8" t="n">
        <x:v>46300.50677083334</x:v>
      </x:c>
      <x:c r="J569" s="8" t="n">
        <x:v>46300.50679398148</x:v>
      </x:c>
      <x:c r="K569" s="8" t="n">
        <x:v>46300.50682870371</x:v>
      </x:c>
      <x:c r="L569" s="2" t="str">
        <x:v>Sent</x:v>
      </x:c>
      <x:c r="M569" s="2" t="n">
        <x:v>1</x:v>
      </x:c>
      <x:c r="N569" s="2"/>
      <x:c r="O569" s="2"/>
    </x:row>
    <x:row r="570" ht="21" customHeight="1">
      <x:c r="A570" s="2" t="str">
        <x:v>NT000569</x:v>
      </x:c>
      <x:c r="B570" s="2" t="str">
        <x:v>EV000571</x:v>
      </x:c>
      <x:c r="C570" s="2" t="str">
        <x:v>T20261005-2-1</x:v>
      </x:c>
      <x:c r="D570" s="2" t="str">
        <x:v>ST037</x:v>
      </x:c>
      <x:c r="E570" s="2" t="str">
        <x:v>G037</x:v>
      </x:c>
      <x:c r="F570" s="2" t="str">
        <x:v>guardian037@example.invalid</x:v>
      </x:c>
      <x:c r="G570" s="2" t="str">
        <x:v>Email</x:v>
      </x:c>
      <x:c r="H570" s="2" t="str">
        <x:v>Boarded</x:v>
      </x:c>
      <x:c r="I570" s="8" t="n">
        <x:v>46300.47173611111</x:v>
      </x:c>
      <x:c r="J570" s="8" t="n">
        <x:v>46300.47175925926</x:v>
      </x:c>
      <x:c r="K570" s="8" t="n">
        <x:v>46300.47179398148</x:v>
      </x:c>
      <x:c r="L570" s="2" t="str">
        <x:v>Sent</x:v>
      </x:c>
      <x:c r="M570" s="2" t="n">
        <x:v>1</x:v>
      </x:c>
      <x:c r="N570" s="2"/>
      <x:c r="O570" s="2"/>
    </x:row>
    <x:row r="571" ht="21" customHeight="1">
      <x:c r="A571" s="2" t="str">
        <x:v>NT000570</x:v>
      </x:c>
      <x:c r="B571" s="2" t="str">
        <x:v>EV000572</x:v>
      </x:c>
      <x:c r="C571" s="2" t="str">
        <x:v>T20261005-2-1</x:v>
      </x:c>
      <x:c r="D571" s="2" t="str">
        <x:v>ST037</x:v>
      </x:c>
      <x:c r="E571" s="2" t="str">
        <x:v>G037</x:v>
      </x:c>
      <x:c r="F571" s="2" t="str">
        <x:v>guardian037@example.invalid</x:v>
      </x:c>
      <x:c r="G571" s="2" t="str">
        <x:v>Email</x:v>
      </x:c>
      <x:c r="H571" s="2" t="str">
        <x:v>School receipt</x:v>
      </x:c>
      <x:c r="I571" s="8" t="n">
        <x:v>46300.50680555556</x:v>
      </x:c>
      <x:c r="J571" s="8" t="n">
        <x:v>46300.50682870371</x:v>
      </x:c>
      <x:c r="K571" s="8" t="n">
        <x:v>46300.50686342593</x:v>
      </x:c>
      <x:c r="L571" s="2" t="str">
        <x:v>Sent</x:v>
      </x:c>
      <x:c r="M571" s="2" t="n">
        <x:v>1</x:v>
      </x:c>
      <x:c r="N571" s="2"/>
      <x:c r="O571" s="2"/>
    </x:row>
    <x:row r="572" ht="21" customHeight="1">
      <x:c r="A572" s="2" t="str">
        <x:v>NT000571</x:v>
      </x:c>
      <x:c r="B572" s="2" t="str">
        <x:v>EV000573</x:v>
      </x:c>
      <x:c r="C572" s="2" t="str">
        <x:v>T20261005-2-1</x:v>
      </x:c>
      <x:c r="D572" s="2" t="str">
        <x:v>ST038</x:v>
      </x:c>
      <x:c r="E572" s="2" t="str">
        <x:v>G038</x:v>
      </x:c>
      <x:c r="F572" s="2" t="str">
        <x:v>guardian038@example.invalid</x:v>
      </x:c>
      <x:c r="G572" s="2" t="str">
        <x:v>Email</x:v>
      </x:c>
      <x:c r="H572" s="2" t="str">
        <x:v>Boarded</x:v>
      </x:c>
      <x:c r="I572" s="8" t="n">
        <x:v>46300.47663194444</x:v>
      </x:c>
      <x:c r="J572" s="8" t="n">
        <x:v>46300.476655092585</x:v>
      </x:c>
      <x:c r="K572" s="8" t="n">
        <x:v>46300.47668981481</x:v>
      </x:c>
      <x:c r="L572" s="2" t="str">
        <x:v>Sent</x:v>
      </x:c>
      <x:c r="M572" s="2" t="n">
        <x:v>1</x:v>
      </x:c>
      <x:c r="N572" s="2"/>
      <x:c r="O572" s="2"/>
    </x:row>
    <x:row r="573" ht="21" customHeight="1">
      <x:c r="A573" s="2" t="str">
        <x:v>NT000572</x:v>
      </x:c>
      <x:c r="B573" s="2" t="str">
        <x:v>EV000574</x:v>
      </x:c>
      <x:c r="C573" s="2" t="str">
        <x:v>T20261005-2-1</x:v>
      </x:c>
      <x:c r="D573" s="2" t="str">
        <x:v>ST038</x:v>
      </x:c>
      <x:c r="E573" s="2" t="str">
        <x:v>G038</x:v>
      </x:c>
      <x:c r="F573" s="2" t="str">
        <x:v>guardian038@example.invalid</x:v>
      </x:c>
      <x:c r="G573" s="2" t="str">
        <x:v>Email</x:v>
      </x:c>
      <x:c r="H573" s="2" t="str">
        <x:v>School receipt</x:v>
      </x:c>
      <x:c r="I573" s="8" t="n">
        <x:v>46300.50684027778</x:v>
      </x:c>
      <x:c r="J573" s="8" t="n">
        <x:v>46300.50686342593</x:v>
      </x:c>
      <x:c r="K573" s="8" t="n">
        <x:v>46300.50689814815</x:v>
      </x:c>
      <x:c r="L573" s="2" t="str">
        <x:v>Sent</x:v>
      </x:c>
      <x:c r="M573" s="2" t="n">
        <x:v>1</x:v>
      </x:c>
      <x:c r="N573" s="2"/>
      <x:c r="O573" s="2"/>
    </x:row>
    <x:row r="574" ht="21" customHeight="1">
      <x:c r="A574" s="2" t="str">
        <x:v>NT000573</x:v>
      </x:c>
      <x:c r="B574" s="2" t="str">
        <x:v>EV000575</x:v>
      </x:c>
      <x:c r="C574" s="2" t="str">
        <x:v>T20261005-2-1</x:v>
      </x:c>
      <x:c r="D574" s="2" t="str">
        <x:v>ST039</x:v>
      </x:c>
      <x:c r="E574" s="2" t="str">
        <x:v>G039</x:v>
      </x:c>
      <x:c r="F574" s="2" t="str">
        <x:v>guardian039@example.invalid</x:v>
      </x:c>
      <x:c r="G574" s="2" t="str">
        <x:v>Email</x:v>
      </x:c>
      <x:c r="H574" s="2" t="str">
        <x:v>Boarded</x:v>
      </x:c>
      <x:c r="I574" s="8" t="n">
        <x:v>46300.481527777774</x:v>
      </x:c>
      <x:c r="J574" s="8" t="n">
        <x:v>46300.48155092592</x:v>
      </x:c>
      <x:c r="K574" s="8" t="n">
        <x:v>46300.481585648144</x:v>
      </x:c>
      <x:c r="L574" s="2" t="str">
        <x:v>Sent</x:v>
      </x:c>
      <x:c r="M574" s="2" t="n">
        <x:v>1</x:v>
      </x:c>
      <x:c r="N574" s="2"/>
      <x:c r="O574" s="2"/>
    </x:row>
    <x:row r="575" ht="21" customHeight="1">
      <x:c r="A575" s="2" t="str">
        <x:v>NT000574</x:v>
      </x:c>
      <x:c r="B575" s="2" t="str">
        <x:v>EV000576</x:v>
      </x:c>
      <x:c r="C575" s="2" t="str">
        <x:v>T20261005-2-1</x:v>
      </x:c>
      <x:c r="D575" s="2" t="str">
        <x:v>ST039</x:v>
      </x:c>
      <x:c r="E575" s="2" t="str">
        <x:v>G039</x:v>
      </x:c>
      <x:c r="F575" s="2" t="str">
        <x:v>guardian039@example.invalid</x:v>
      </x:c>
      <x:c r="G575" s="2" t="str">
        <x:v>Email</x:v>
      </x:c>
      <x:c r="H575" s="2" t="str">
        <x:v>School receipt</x:v>
      </x:c>
      <x:c r="I575" s="8" t="n">
        <x:v>46300.50687500001</x:v>
      </x:c>
      <x:c r="J575" s="8" t="n">
        <x:v>46300.50689814815</x:v>
      </x:c>
      <x:c r="K575" s="8" t="n">
        <x:v>46300.506932870376</x:v>
      </x:c>
      <x:c r="L575" s="2" t="str">
        <x:v>Sent</x:v>
      </x:c>
      <x:c r="M575" s="2" t="n">
        <x:v>1</x:v>
      </x:c>
      <x:c r="N575" s="2"/>
      <x:c r="O575" s="2"/>
    </x:row>
    <x:row r="576" ht="21" customHeight="1">
      <x:c r="A576" s="2" t="str">
        <x:v>NT000575</x:v>
      </x:c>
      <x:c r="B576" s="2" t="str">
        <x:v>EV000577</x:v>
      </x:c>
      <x:c r="C576" s="2" t="str">
        <x:v>T20261005-2-1</x:v>
      </x:c>
      <x:c r="D576" s="2" t="str">
        <x:v>ST040</x:v>
      </x:c>
      <x:c r="E576" s="2" t="str">
        <x:v>G040</x:v>
      </x:c>
      <x:c r="F576" s="2" t="str">
        <x:v>guardian040@example.invalid</x:v>
      </x:c>
      <x:c r="G576" s="2" t="str">
        <x:v>Email</x:v>
      </x:c>
      <x:c r="H576" s="2" t="str">
        <x:v>Boarded</x:v>
      </x:c>
      <x:c r="I576" s="8" t="n">
        <x:v>46300.47184027778</x:v>
      </x:c>
      <x:c r="J576" s="8" t="n">
        <x:v>46300.471863425926</x:v>
      </x:c>
      <x:c r="K576" s="8" t="n">
        <x:v>46300.47189814815</x:v>
      </x:c>
      <x:c r="L576" s="2" t="str">
        <x:v>Sent</x:v>
      </x:c>
      <x:c r="M576" s="2" t="n">
        <x:v>1</x:v>
      </x:c>
      <x:c r="N576" s="2"/>
      <x:c r="O576" s="2"/>
    </x:row>
    <x:row r="577" ht="21" customHeight="1">
      <x:c r="A577" s="2" t="str">
        <x:v>NT000576</x:v>
      </x:c>
      <x:c r="B577" s="2" t="str">
        <x:v>EV000578</x:v>
      </x:c>
      <x:c r="C577" s="2" t="str">
        <x:v>T20261005-2-1</x:v>
      </x:c>
      <x:c r="D577" s="2" t="str">
        <x:v>ST040</x:v>
      </x:c>
      <x:c r="E577" s="2" t="str">
        <x:v>G040</x:v>
      </x:c>
      <x:c r="F577" s="2" t="str">
        <x:v>guardian040@example.invalid</x:v>
      </x:c>
      <x:c r="G577" s="2" t="str">
        <x:v>Email</x:v>
      </x:c>
      <x:c r="H577" s="2" t="str">
        <x:v>School receipt</x:v>
      </x:c>
      <x:c r="I577" s="8" t="n">
        <x:v>46300.50690972222</x:v>
      </x:c>
      <x:c r="J577" s="8" t="n">
        <x:v>46300.50693287037</x:v>
      </x:c>
      <x:c r="K577" s="8" t="n">
        <x:v>46300.50696759259</x:v>
      </x:c>
      <x:c r="L577" s="2" t="str">
        <x:v>Sent</x:v>
      </x:c>
      <x:c r="M577" s="2" t="n">
        <x:v>1</x:v>
      </x:c>
      <x:c r="N577" s="2"/>
      <x:c r="O577" s="2"/>
    </x:row>
    <x:row r="578" ht="21" customHeight="1">
      <x:c r="A578" s="2" t="str">
        <x:v>NT000577</x:v>
      </x:c>
      <x:c r="B578" s="2" t="str">
        <x:v>EV000579</x:v>
      </x:c>
      <x:c r="C578" s="2" t="str">
        <x:v>T20261005-3-1</x:v>
      </x:c>
      <x:c r="D578" s="2" t="str">
        <x:v>ST011</x:v>
      </x:c>
      <x:c r="E578" s="2" t="str">
        <x:v>G011</x:v>
      </x:c>
      <x:c r="F578" s="2" t="str">
        <x:v>guardian011@example.invalid</x:v>
      </x:c>
      <x:c r="G578" s="2" t="str">
        <x:v>Email</x:v>
      </x:c>
      <x:c r="H578" s="2" t="str">
        <x:v>Boarded</x:v>
      </x:c>
      <x:c r="I578" s="8" t="n">
        <x:v>46300.57291666667</x:v>
      </x:c>
      <x:c r="J578" s="8" t="n">
        <x:v>46300.57293981482</x:v>
      </x:c>
      <x:c r="K578" s="8" t="n">
        <x:v>46300.57297453704</x:v>
      </x:c>
      <x:c r="L578" s="2" t="str">
        <x:v>Sent</x:v>
      </x:c>
      <x:c r="M578" s="2" t="n">
        <x:v>1</x:v>
      </x:c>
      <x:c r="N578" s="2"/>
      <x:c r="O578" s="2"/>
    </x:row>
    <x:row r="579" ht="21" customHeight="1">
      <x:c r="A579" s="2" t="str">
        <x:v>NT000578</x:v>
      </x:c>
      <x:c r="B579" s="2" t="str">
        <x:v>EV000580</x:v>
      </x:c>
      <x:c r="C579" s="2" t="str">
        <x:v>T20261005-3-1</x:v>
      </x:c>
      <x:c r="D579" s="2" t="str">
        <x:v>ST011</x:v>
      </x:c>
      <x:c r="E579" s="2" t="str">
        <x:v>G011</x:v>
      </x:c>
      <x:c r="F579" s="2" t="str">
        <x:v>guardian011@example.invalid</x:v>
      </x:c>
      <x:c r="G579" s="2" t="str">
        <x:v>Email</x:v>
      </x:c>
      <x:c r="H579" s="2" t="str">
        <x:v>Authorized release</x:v>
      </x:c>
      <x:c r="I579" s="8" t="n">
        <x:v>46300.59027777778</x:v>
      </x:c>
      <x:c r="J579" s="8" t="n">
        <x:v>46300.59030092593</x:v>
      </x:c>
      <x:c r="K579" s="8" t="n">
        <x:v>46300.59033564815</x:v>
      </x:c>
      <x:c r="L579" s="2" t="str">
        <x:v>Sent</x:v>
      </x:c>
      <x:c r="M579" s="2" t="n">
        <x:v>1</x:v>
      </x:c>
      <x:c r="N579" s="2"/>
      <x:c r="O579" s="2"/>
    </x:row>
    <x:row r="580" ht="21" customHeight="1">
      <x:c r="A580" s="2" t="str">
        <x:v>NT000579</x:v>
      </x:c>
      <x:c r="B580" s="2" t="str">
        <x:v>EV000581</x:v>
      </x:c>
      <x:c r="C580" s="2" t="str">
        <x:v>T20261005-3-1</x:v>
      </x:c>
      <x:c r="D580" s="2" t="str">
        <x:v>ST012</x:v>
      </x:c>
      <x:c r="E580" s="2" t="str">
        <x:v>G012</x:v>
      </x:c>
      <x:c r="F580" s="2" t="str">
        <x:v>guardian012@example.invalid</x:v>
      </x:c>
      <x:c r="G580" s="2" t="str">
        <x:v>Email</x:v>
      </x:c>
      <x:c r="H580" s="2" t="str">
        <x:v>Boarded</x:v>
      </x:c>
      <x:c r="I580" s="8" t="n">
        <x:v>46300.572951388895</x:v>
      </x:c>
      <x:c r="J580" s="8" t="n">
        <x:v>46300.57297453704</x:v>
      </x:c>
      <x:c r="K580" s="8" t="n">
        <x:v>46300.573009259264</x:v>
      </x:c>
      <x:c r="L580" s="2" t="str">
        <x:v>Sent</x:v>
      </x:c>
      <x:c r="M580" s="2" t="n">
        <x:v>1</x:v>
      </x:c>
      <x:c r="N580" s="2"/>
      <x:c r="O580" s="2"/>
    </x:row>
    <x:row r="581" ht="21" customHeight="1">
      <x:c r="A581" s="2" t="str">
        <x:v>NT000580</x:v>
      </x:c>
      <x:c r="B581" s="2" t="str">
        <x:v>EV000582</x:v>
      </x:c>
      <x:c r="C581" s="2" t="str">
        <x:v>T20261005-3-1</x:v>
      </x:c>
      <x:c r="D581" s="2" t="str">
        <x:v>ST012</x:v>
      </x:c>
      <x:c r="E581" s="2" t="str">
        <x:v>G012</x:v>
      </x:c>
      <x:c r="F581" s="2" t="str">
        <x:v>guardian012@example.invalid</x:v>
      </x:c>
      <x:c r="G581" s="2" t="str">
        <x:v>Email</x:v>
      </x:c>
      <x:c r="H581" s="2" t="str">
        <x:v>Authorized release</x:v>
      </x:c>
      <x:c r="I581" s="8" t="n">
        <x:v>46300.59447916667</x:v>
      </x:c>
      <x:c r="J581" s="8" t="n">
        <x:v>46300.594502314816</x:v>
      </x:c>
      <x:c r="K581" s="8" t="n">
        <x:v>46300.59453703704</x:v>
      </x:c>
      <x:c r="L581" s="2" t="str">
        <x:v>Sent</x:v>
      </x:c>
      <x:c r="M581" s="2" t="n">
        <x:v>1</x:v>
      </x:c>
      <x:c r="N581" s="2"/>
      <x:c r="O581" s="2"/>
    </x:row>
    <x:row r="582" ht="21" customHeight="1">
      <x:c r="A582" s="2" t="str">
        <x:v>NT000581</x:v>
      </x:c>
      <x:c r="B582" s="2" t="str">
        <x:v>EV000583</x:v>
      </x:c>
      <x:c r="C582" s="2" t="str">
        <x:v>T20261005-3-1</x:v>
      </x:c>
      <x:c r="D582" s="2" t="str">
        <x:v>ST013</x:v>
      </x:c>
      <x:c r="E582" s="2" t="str">
        <x:v>G013</x:v>
      </x:c>
      <x:c r="F582" s="2" t="str">
        <x:v>guardian013@example.invalid</x:v>
      </x:c>
      <x:c r="G582" s="2" t="str">
        <x:v>Email</x:v>
      </x:c>
      <x:c r="H582" s="2" t="str">
        <x:v>Boarded</x:v>
      </x:c>
      <x:c r="I582" s="8" t="n">
        <x:v>46300.57298611112</x:v>
      </x:c>
      <x:c r="J582" s="8" t="n">
        <x:v>46300.573009259264</x:v>
      </x:c>
      <x:c r="K582" s="8" t="n">
        <x:v>46300.57304398149</x:v>
      </x:c>
      <x:c r="L582" s="2" t="str">
        <x:v>Sent</x:v>
      </x:c>
      <x:c r="M582" s="2" t="n">
        <x:v>1</x:v>
      </x:c>
      <x:c r="N582" s="2"/>
      <x:c r="O582" s="2"/>
    </x:row>
    <x:row r="583" ht="21" customHeight="1">
      <x:c r="A583" s="2" t="str">
        <x:v>NT000582</x:v>
      </x:c>
      <x:c r="B583" s="2" t="str">
        <x:v>EV000584</x:v>
      </x:c>
      <x:c r="C583" s="2" t="str">
        <x:v>T20261005-3-1</x:v>
      </x:c>
      <x:c r="D583" s="2" t="str">
        <x:v>ST013</x:v>
      </x:c>
      <x:c r="E583" s="2" t="str">
        <x:v>G013</x:v>
      </x:c>
      <x:c r="F583" s="2" t="str">
        <x:v>guardian013@example.invalid</x:v>
      </x:c>
      <x:c r="G583" s="2" t="str">
        <x:v>Email</x:v>
      </x:c>
      <x:c r="H583" s="2" t="str">
        <x:v>Authorized release</x:v>
      </x:c>
      <x:c r="I583" s="8" t="n">
        <x:v>46300.58618055556</x:v>
      </x:c>
      <x:c r="J583" s="8" t="n">
        <x:v>46300.58620370371</x:v>
      </x:c>
      <x:c r="K583" s="8" t="n">
        <x:v>46300.58623842593</x:v>
      </x:c>
      <x:c r="L583" s="2" t="str">
        <x:v>Sent</x:v>
      </x:c>
      <x:c r="M583" s="2" t="n">
        <x:v>1</x:v>
      </x:c>
      <x:c r="N583" s="2"/>
      <x:c r="O583" s="2"/>
    </x:row>
    <x:row r="584" ht="21" customHeight="1">
      <x:c r="A584" s="2" t="str">
        <x:v>NT000583</x:v>
      </x:c>
      <x:c r="B584" s="2" t="str">
        <x:v>EV000585</x:v>
      </x:c>
      <x:c r="C584" s="2" t="str">
        <x:v>T20261005-3-1</x:v>
      </x:c>
      <x:c r="D584" s="2" t="str">
        <x:v>ST014</x:v>
      </x:c>
      <x:c r="E584" s="2" t="str">
        <x:v>G014</x:v>
      </x:c>
      <x:c r="F584" s="2" t="str">
        <x:v>guardian014@example.invalid</x:v>
      </x:c>
      <x:c r="G584" s="2" t="str">
        <x:v>Email</x:v>
      </x:c>
      <x:c r="H584" s="2" t="str">
        <x:v>Boarded</x:v>
      </x:c>
      <x:c r="I584" s="8" t="n">
        <x:v>46300.57302083334</x:v>
      </x:c>
      <x:c r="J584" s="8" t="n">
        <x:v>46300.57304398149</x:v>
      </x:c>
      <x:c r="K584" s="8" t="n">
        <x:v>46300.57307870371</x:v>
      </x:c>
      <x:c r="L584" s="2" t="str">
        <x:v>Sent</x:v>
      </x:c>
      <x:c r="M584" s="2" t="n">
        <x:v>1</x:v>
      </x:c>
      <x:c r="N584" s="2"/>
      <x:c r="O584" s="2"/>
    </x:row>
    <x:row r="585" ht="21" customHeight="1">
      <x:c r="A585" s="2" t="str">
        <x:v>NT000584</x:v>
      </x:c>
      <x:c r="B585" s="2" t="str">
        <x:v>EV000586</x:v>
      </x:c>
      <x:c r="C585" s="2" t="str">
        <x:v>T20261005-3-1</x:v>
      </x:c>
      <x:c r="D585" s="2" t="str">
        <x:v>ST014</x:v>
      </x:c>
      <x:c r="E585" s="2" t="str">
        <x:v>G014</x:v>
      </x:c>
      <x:c r="F585" s="2" t="str">
        <x:v>guardian014@example.invalid</x:v>
      </x:c>
      <x:c r="G585" s="2" t="str">
        <x:v>Email</x:v>
      </x:c>
      <x:c r="H585" s="2" t="str">
        <x:v>Authorized release</x:v>
      </x:c>
      <x:c r="I585" s="8" t="n">
        <x:v>46300.59038194445</x:v>
      </x:c>
      <x:c r="J585" s="8" t="n">
        <x:v>46300.5904050926</x:v>
      </x:c>
      <x:c r="K585" s="8" t="n">
        <x:v>46300.59043981482</x:v>
      </x:c>
      <x:c r="L585" s="2" t="str">
        <x:v>Sent</x:v>
      </x:c>
      <x:c r="M585" s="2" t="n">
        <x:v>1</x:v>
      </x:c>
      <x:c r="N585" s="2"/>
      <x:c r="O585" s="2"/>
    </x:row>
    <x:row r="586" ht="21" customHeight="1">
      <x:c r="A586" s="2" t="str">
        <x:v>NT000585</x:v>
      </x:c>
      <x:c r="B586" s="2" t="str">
        <x:v>EV000587</x:v>
      </x:c>
      <x:c r="C586" s="2" t="str">
        <x:v>T20261005-3-1</x:v>
      </x:c>
      <x:c r="D586" s="2" t="str">
        <x:v>ST015</x:v>
      </x:c>
      <x:c r="E586" s="2" t="str">
        <x:v>G015</x:v>
      </x:c>
      <x:c r="F586" s="2" t="str">
        <x:v>guardian015@example.invalid</x:v>
      </x:c>
      <x:c r="G586" s="2" t="str">
        <x:v>Email</x:v>
      </x:c>
      <x:c r="H586" s="2" t="str">
        <x:v>Boarded</x:v>
      </x:c>
      <x:c r="I586" s="8" t="n">
        <x:v>46300.573055555564</x:v>
      </x:c>
      <x:c r="J586" s="8" t="n">
        <x:v>46300.57307870371</x:v>
      </x:c>
      <x:c r="K586" s="8" t="n">
        <x:v>46300.57311342593</x:v>
      </x:c>
      <x:c r="L586" s="2" t="str">
        <x:v>Sent</x:v>
      </x:c>
      <x:c r="M586" s="2" t="n">
        <x:v>1</x:v>
      </x:c>
      <x:c r="N586" s="2"/>
      <x:c r="O586" s="2"/>
    </x:row>
    <x:row r="587" ht="21" customHeight="1">
      <x:c r="A587" s="2" t="str">
        <x:v>NT000586</x:v>
      </x:c>
      <x:c r="B587" s="2" t="str">
        <x:v>EV000588</x:v>
      </x:c>
      <x:c r="C587" s="2" t="str">
        <x:v>T20261005-3-1</x:v>
      </x:c>
      <x:c r="D587" s="2" t="str">
        <x:v>ST015</x:v>
      </x:c>
      <x:c r="E587" s="2" t="str">
        <x:v>G015</x:v>
      </x:c>
      <x:c r="F587" s="2" t="str">
        <x:v>guardian015@example.invalid</x:v>
      </x:c>
      <x:c r="G587" s="2" t="str">
        <x:v>Email</x:v>
      </x:c>
      <x:c r="H587" s="2" t="str">
        <x:v>Authorized release</x:v>
      </x:c>
      <x:c r="I587" s="8" t="n">
        <x:v>46300.59458333334</x:v>
      </x:c>
      <x:c r="J587" s="8" t="n">
        <x:v>46300.594606481485</x:v>
      </x:c>
      <x:c r="K587" s="8" t="n">
        <x:v>46300.59464120371</x:v>
      </x:c>
      <x:c r="L587" s="2" t="str">
        <x:v>Sent</x:v>
      </x:c>
      <x:c r="M587" s="2" t="n">
        <x:v>1</x:v>
      </x:c>
      <x:c r="N587" s="2"/>
      <x:c r="O587" s="2"/>
    </x:row>
    <x:row r="588" ht="21" customHeight="1">
      <x:c r="A588" s="2" t="str">
        <x:v>NT000587</x:v>
      </x:c>
      <x:c r="B588" s="2" t="str">
        <x:v>EV000589</x:v>
      </x:c>
      <x:c r="C588" s="2" t="str">
        <x:v>T20261005-3-1</x:v>
      </x:c>
      <x:c r="D588" s="2" t="str">
        <x:v>ST016</x:v>
      </x:c>
      <x:c r="E588" s="2" t="str">
        <x:v>G016</x:v>
      </x:c>
      <x:c r="F588" s="2" t="str">
        <x:v>guardian016@example.invalid</x:v>
      </x:c>
      <x:c r="G588" s="2" t="str">
        <x:v>Email</x:v>
      </x:c>
      <x:c r="H588" s="2" t="str">
        <x:v>Boarded</x:v>
      </x:c>
      <x:c r="I588" s="8" t="n">
        <x:v>46300.57309027778</x:v>
      </x:c>
      <x:c r="J588" s="8" t="n">
        <x:v>46300.573113425926</x:v>
      </x:c>
      <x:c r="K588" s="8" t="n">
        <x:v>46300.57314814815</x:v>
      </x:c>
      <x:c r="L588" s="2" t="str">
        <x:v>Sent</x:v>
      </x:c>
      <x:c r="M588" s="2" t="n">
        <x:v>1</x:v>
      </x:c>
      <x:c r="N588" s="2"/>
      <x:c r="O588" s="2"/>
    </x:row>
    <x:row r="589" ht="21" customHeight="1">
      <x:c r="A589" s="2" t="str">
        <x:v>NT000588</x:v>
      </x:c>
      <x:c r="B589" s="2" t="str">
        <x:v>EV000590</x:v>
      </x:c>
      <x:c r="C589" s="2" t="str">
        <x:v>T20261005-3-1</x:v>
      </x:c>
      <x:c r="D589" s="2" t="str">
        <x:v>ST016</x:v>
      </x:c>
      <x:c r="E589" s="2" t="str">
        <x:v>G016</x:v>
      </x:c>
      <x:c r="F589" s="2" t="str">
        <x:v>guardian016@example.invalid</x:v>
      </x:c>
      <x:c r="G589" s="2" t="str">
        <x:v>Email</x:v>
      </x:c>
      <x:c r="H589" s="2" t="str">
        <x:v>Authorized release</x:v>
      </x:c>
      <x:c r="I589" s="8" t="n">
        <x:v>46300.58628472222</x:v>
      </x:c>
      <x:c r="J589" s="8" t="n">
        <x:v>46300.58630787037</x:v>
      </x:c>
      <x:c r="K589" s="8" t="n">
        <x:v>46300.58634259259</x:v>
      </x:c>
      <x:c r="L589" s="2" t="str">
        <x:v>Sent</x:v>
      </x:c>
      <x:c r="M589" s="2" t="n">
        <x:v>1</x:v>
      </x:c>
      <x:c r="N589" s="2"/>
      <x:c r="O589" s="2"/>
    </x:row>
    <x:row r="590" ht="21" customHeight="1">
      <x:c r="A590" s="2" t="str">
        <x:v>NT000589</x:v>
      </x:c>
      <x:c r="B590" s="2" t="str">
        <x:v>EV000591</x:v>
      </x:c>
      <x:c r="C590" s="2" t="str">
        <x:v>T20261005-3-1</x:v>
      </x:c>
      <x:c r="D590" s="2" t="str">
        <x:v>ST017</x:v>
      </x:c>
      <x:c r="E590" s="2" t="str">
        <x:v>G017</x:v>
      </x:c>
      <x:c r="F590" s="2" t="str">
        <x:v>guardian017@example.invalid</x:v>
      </x:c>
      <x:c r="G590" s="2" t="str">
        <x:v>Email</x:v>
      </x:c>
      <x:c r="H590" s="2" t="str">
        <x:v>Boarded</x:v>
      </x:c>
      <x:c r="I590" s="8" t="n">
        <x:v>46300.573125</x:v>
      </x:c>
      <x:c r="J590" s="8" t="n">
        <x:v>46300.57314814815</x:v>
      </x:c>
      <x:c r="K590" s="8" t="n">
        <x:v>46300.57318287037</x:v>
      </x:c>
      <x:c r="L590" s="2" t="str">
        <x:v>Sent</x:v>
      </x:c>
      <x:c r="M590" s="2" t="n">
        <x:v>1</x:v>
      </x:c>
      <x:c r="N590" s="2"/>
      <x:c r="O590" s="2"/>
    </x:row>
    <x:row r="591" ht="21" customHeight="1">
      <x:c r="A591" s="2" t="str">
        <x:v>NT000590</x:v>
      </x:c>
      <x:c r="B591" s="2" t="str">
        <x:v>EV000592</x:v>
      </x:c>
      <x:c r="C591" s="2" t="str">
        <x:v>T20261005-3-1</x:v>
      </x:c>
      <x:c r="D591" s="2" t="str">
        <x:v>ST017</x:v>
      </x:c>
      <x:c r="E591" s="2" t="str">
        <x:v>G017</x:v>
      </x:c>
      <x:c r="F591" s="2" t="str">
        <x:v>guardian017@example.invalid</x:v>
      </x:c>
      <x:c r="G591" s="2" t="str">
        <x:v>Email</x:v>
      </x:c>
      <x:c r="H591" s="2" t="str">
        <x:v>Authorized release</x:v>
      </x:c>
      <x:c r="I591" s="8" t="n">
        <x:v>46300.59048611111</x:v>
      </x:c>
      <x:c r="J591" s="8" t="n">
        <x:v>46300.59050925926</x:v>
      </x:c>
      <x:c r="K591" s="8" t="n">
        <x:v>46300.59054398148</x:v>
      </x:c>
      <x:c r="L591" s="2" t="str">
        <x:v>Sent</x:v>
      </x:c>
      <x:c r="M591" s="2" t="n">
        <x:v>1</x:v>
      </x:c>
      <x:c r="N591" s="2"/>
      <x:c r="O591" s="2"/>
    </x:row>
    <x:row r="592" ht="21" customHeight="1">
      <x:c r="A592" s="2" t="str">
        <x:v>NT000591</x:v>
      </x:c>
      <x:c r="B592" s="2" t="str">
        <x:v>EV000593</x:v>
      </x:c>
      <x:c r="C592" s="2" t="str">
        <x:v>T20261005-3-1</x:v>
      </x:c>
      <x:c r="D592" s="2" t="str">
        <x:v>ST018</x:v>
      </x:c>
      <x:c r="E592" s="2" t="str">
        <x:v>G018</x:v>
      </x:c>
      <x:c r="F592" s="2" t="str">
        <x:v>guardian018@example.invalid</x:v>
      </x:c>
      <x:c r="G592" s="2" t="str">
        <x:v>Email</x:v>
      </x:c>
      <x:c r="H592" s="2" t="str">
        <x:v>Boarded</x:v>
      </x:c>
      <x:c r="I592" s="8" t="n">
        <x:v>46300.573159722226</x:v>
      </x:c>
      <x:c r="J592" s="8" t="n">
        <x:v>46300.57318287037</x:v>
      </x:c>
      <x:c r="K592" s="8" t="n">
        <x:v>46300.573217592595</x:v>
      </x:c>
      <x:c r="L592" s="2" t="str">
        <x:v>Sent</x:v>
      </x:c>
      <x:c r="M592" s="2" t="n">
        <x:v>1</x:v>
      </x:c>
      <x:c r="N592" s="2"/>
      <x:c r="O592" s="2"/>
    </x:row>
    <x:row r="593" ht="21" customHeight="1">
      <x:c r="A593" s="2" t="str">
        <x:v>NT000592</x:v>
      </x:c>
      <x:c r="B593" s="2" t="str">
        <x:v>EV000594</x:v>
      </x:c>
      <x:c r="C593" s="2" t="str">
        <x:v>T20261005-3-1</x:v>
      </x:c>
      <x:c r="D593" s="2" t="str">
        <x:v>ST018</x:v>
      </x:c>
      <x:c r="E593" s="2" t="str">
        <x:v>G018</x:v>
      </x:c>
      <x:c r="F593" s="2" t="str">
        <x:v>guardian018@example.invalid</x:v>
      </x:c>
      <x:c r="G593" s="2" t="str">
        <x:v>Email</x:v>
      </x:c>
      <x:c r="H593" s="2" t="str">
        <x:v>Authorized release</x:v>
      </x:c>
      <x:c r="I593" s="8" t="n">
        <x:v>46300.5946875</x:v>
      </x:c>
      <x:c r="J593" s="8" t="n">
        <x:v>46300.59471064815</x:v>
      </x:c>
      <x:c r="K593" s="8" t="n">
        <x:v>46300.59474537037</x:v>
      </x:c>
      <x:c r="L593" s="2" t="str">
        <x:v>Sent</x:v>
      </x:c>
      <x:c r="M593" s="2" t="n">
        <x:v>1</x:v>
      </x:c>
      <x:c r="N593" s="2"/>
      <x:c r="O593" s="2"/>
    </x:row>
    <x:row r="594" ht="21" customHeight="1">
      <x:c r="A594" s="2" t="str">
        <x:v>NT000593</x:v>
      </x:c>
      <x:c r="B594" s="2" t="str">
        <x:v>EV000595</x:v>
      </x:c>
      <x:c r="C594" s="2" t="str">
        <x:v>T20261005-3-1</x:v>
      </x:c>
      <x:c r="D594" s="2" t="str">
        <x:v>ST019</x:v>
      </x:c>
      <x:c r="E594" s="2" t="str">
        <x:v>G019</x:v>
      </x:c>
      <x:c r="F594" s="2" t="str">
        <x:v>guardian019@example.invalid</x:v>
      </x:c>
      <x:c r="G594" s="2" t="str">
        <x:v>Email</x:v>
      </x:c>
      <x:c r="H594" s="2" t="str">
        <x:v>Boarded</x:v>
      </x:c>
      <x:c r="I594" s="8" t="n">
        <x:v>46300.57319444445</x:v>
      </x:c>
      <x:c r="J594" s="8" t="n">
        <x:v>46300.573217592595</x:v>
      </x:c>
      <x:c r="K594" s="8" t="n">
        <x:v>46300.57325231482</x:v>
      </x:c>
      <x:c r="L594" s="2" t="str">
        <x:v>Sent</x:v>
      </x:c>
      <x:c r="M594" s="2" t="n">
        <x:v>1</x:v>
      </x:c>
      <x:c r="N594" s="2"/>
      <x:c r="O594" s="2"/>
    </x:row>
    <x:row r="595" ht="21" customHeight="1">
      <x:c r="A595" s="2" t="str">
        <x:v>NT000594</x:v>
      </x:c>
      <x:c r="B595" s="2" t="str">
        <x:v>EV000596</x:v>
      </x:c>
      <x:c r="C595" s="2" t="str">
        <x:v>T20261005-3-1</x:v>
      </x:c>
      <x:c r="D595" s="2" t="str">
        <x:v>ST019</x:v>
      </x:c>
      <x:c r="E595" s="2" t="str">
        <x:v>G019</x:v>
      </x:c>
      <x:c r="F595" s="2" t="str">
        <x:v>guardian019@example.invalid</x:v>
      </x:c>
      <x:c r="G595" s="2" t="str">
        <x:v>Email</x:v>
      </x:c>
      <x:c r="H595" s="2" t="str">
        <x:v>Authorized release</x:v>
      </x:c>
      <x:c r="I595" s="8" t="n">
        <x:v>46300.58638888889</x:v>
      </x:c>
      <x:c r="J595" s="8" t="n">
        <x:v>46300.58641203704</x:v>
      </x:c>
      <x:c r="K595" s="8" t="n">
        <x:v>46300.58644675926</x:v>
      </x:c>
      <x:c r="L595" s="2" t="str">
        <x:v>Sent</x:v>
      </x:c>
      <x:c r="M595" s="2" t="n">
        <x:v>1</x:v>
      </x:c>
      <x:c r="N595" s="2"/>
      <x:c r="O595" s="2"/>
    </x:row>
    <x:row r="596" ht="21" customHeight="1">
      <x:c r="A596" s="2" t="str">
        <x:v>NT000595</x:v>
      </x:c>
      <x:c r="B596" s="2" t="str">
        <x:v>EV000597</x:v>
      </x:c>
      <x:c r="C596" s="2" t="str">
        <x:v>T20261005-3-1</x:v>
      </x:c>
      <x:c r="D596" s="2" t="str">
        <x:v>ST020</x:v>
      </x:c>
      <x:c r="E596" s="2" t="str">
        <x:v>G020</x:v>
      </x:c>
      <x:c r="F596" s="2" t="str">
        <x:v>guardian020@example.invalid</x:v>
      </x:c>
      <x:c r="G596" s="2" t="str">
        <x:v>Email</x:v>
      </x:c>
      <x:c r="H596" s="2" t="str">
        <x:v>Boarded</x:v>
      </x:c>
      <x:c r="I596" s="8" t="n">
        <x:v>46300.57322916667</x:v>
      </x:c>
      <x:c r="J596" s="8" t="n">
        <x:v>46300.57325231482</x:v>
      </x:c>
      <x:c r="K596" s="8" t="n">
        <x:v>46300.57328703704</x:v>
      </x:c>
      <x:c r="L596" s="2" t="str">
        <x:v>Sent</x:v>
      </x:c>
      <x:c r="M596" s="2" t="n">
        <x:v>1</x:v>
      </x:c>
      <x:c r="N596" s="2"/>
      <x:c r="O596" s="2"/>
    </x:row>
    <x:row r="597" ht="21" customHeight="1">
      <x:c r="A597" s="2" t="str">
        <x:v>NT000596</x:v>
      </x:c>
      <x:c r="B597" s="2" t="str">
        <x:v>EV000598</x:v>
      </x:c>
      <x:c r="C597" s="2" t="str">
        <x:v>T20261005-3-1</x:v>
      </x:c>
      <x:c r="D597" s="2" t="str">
        <x:v>ST020</x:v>
      </x:c>
      <x:c r="E597" s="2" t="str">
        <x:v>G020</x:v>
      </x:c>
      <x:c r="F597" s="2" t="str">
        <x:v>guardian020@example.invalid</x:v>
      </x:c>
      <x:c r="G597" s="2" t="str">
        <x:v>Email</x:v>
      </x:c>
      <x:c r="H597" s="2" t="str">
        <x:v>Authorized release</x:v>
      </x:c>
      <x:c r="I597" s="8" t="n">
        <x:v>46300.59059027778</x:v>
      </x:c>
      <x:c r="J597" s="8" t="n">
        <x:v>46300.59061342593</x:v>
      </x:c>
      <x:c r="K597" s="8" t="n">
        <x:v>46300.59064814815</x:v>
      </x:c>
      <x:c r="L597" s="2" t="str">
        <x:v>Sent</x:v>
      </x:c>
      <x:c r="M597" s="2" t="n">
        <x:v>1</x:v>
      </x:c>
      <x:c r="N597" s="2"/>
      <x:c r="O597" s="2"/>
    </x:row>
    <x:row r="598" ht="21" customHeight="1">
      <x:c r="A598" s="2" t="str">
        <x:v>NT000597</x:v>
      </x:c>
      <x:c r="B598" s="2" t="str">
        <x:v>EV000599</x:v>
      </x:c>
      <x:c r="C598" s="2" t="str">
        <x:v>T20261005-4-1</x:v>
      </x:c>
      <x:c r="D598" s="2" t="str">
        <x:v>ST021</x:v>
      </x:c>
      <x:c r="E598" s="2" t="str">
        <x:v>G021</x:v>
      </x:c>
      <x:c r="F598" s="2" t="str">
        <x:v>guardian021@example.invalid</x:v>
      </x:c>
      <x:c r="G598" s="2" t="str">
        <x:v>Email</x:v>
      </x:c>
      <x:c r="H598" s="2" t="str">
        <x:v>Boarded</x:v>
      </x:c>
      <x:c r="I598" s="8" t="n">
        <x:v>46300.60416666667</x:v>
      </x:c>
      <x:c r="J598" s="8" t="n">
        <x:v>46300.60418981482</x:v>
      </x:c>
      <x:c r="K598" s="8" t="n">
        <x:v>46300.60422453704</x:v>
      </x:c>
      <x:c r="L598" s="2" t="str">
        <x:v>Sent</x:v>
      </x:c>
      <x:c r="M598" s="2" t="n">
        <x:v>1</x:v>
      </x:c>
      <x:c r="N598" s="2"/>
      <x:c r="O598" s="2"/>
    </x:row>
    <x:row r="599" ht="21" customHeight="1">
      <x:c r="A599" s="2" t="str">
        <x:v>NT000598</x:v>
      </x:c>
      <x:c r="B599" s="2" t="str">
        <x:v>EV000600</x:v>
      </x:c>
      <x:c r="C599" s="2" t="str">
        <x:v>T20261005-4-1</x:v>
      </x:c>
      <x:c r="D599" s="2" t="str">
        <x:v>ST021</x:v>
      </x:c>
      <x:c r="E599" s="2" t="str">
        <x:v>G021</x:v>
      </x:c>
      <x:c r="F599" s="2" t="str">
        <x:v>guardian021@example.invalid</x:v>
      </x:c>
      <x:c r="G599" s="2" t="str">
        <x:v>Email</x:v>
      </x:c>
      <x:c r="H599" s="2" t="str">
        <x:v>Authorized release</x:v>
      </x:c>
      <x:c r="I599" s="8" t="n">
        <x:v>46300.62708333333</x:v>
      </x:c>
      <x:c r="J599" s="8" t="n">
        <x:v>46300.62710648148</x:v>
      </x:c>
      <x:c r="K599" s="8" t="n">
        <x:v>46300.6271412037</x:v>
      </x:c>
      <x:c r="L599" s="2" t="str">
        <x:v>Sent</x:v>
      </x:c>
      <x:c r="M599" s="2" t="n">
        <x:v>1</x:v>
      </x:c>
      <x:c r="N599" s="2"/>
      <x:c r="O599" s="2"/>
    </x:row>
    <x:row r="600" ht="21" customHeight="1">
      <x:c r="A600" s="2" t="str">
        <x:v>NT000599</x:v>
      </x:c>
      <x:c r="B600" s="2" t="str">
        <x:v>EV000601</x:v>
      </x:c>
      <x:c r="C600" s="2" t="str">
        <x:v>T20261005-4-1</x:v>
      </x:c>
      <x:c r="D600" s="2" t="str">
        <x:v>ST022</x:v>
      </x:c>
      <x:c r="E600" s="2" t="str">
        <x:v>G022</x:v>
      </x:c>
      <x:c r="F600" s="2" t="str">
        <x:v>guardian022@example.invalid</x:v>
      </x:c>
      <x:c r="G600" s="2" t="str">
        <x:v>Email</x:v>
      </x:c>
      <x:c r="H600" s="2" t="str">
        <x:v>Boarded</x:v>
      </x:c>
      <x:c r="I600" s="8" t="n">
        <x:v>46300.604201388895</x:v>
      </x:c>
      <x:c r="J600" s="8" t="n">
        <x:v>46300.60422453704</x:v>
      </x:c>
      <x:c r="K600" s="8" t="n">
        <x:v>46300.604259259264</x:v>
      </x:c>
      <x:c r="L600" s="2" t="str">
        <x:v>Sent</x:v>
      </x:c>
      <x:c r="M600" s="2" t="n">
        <x:v>1</x:v>
      </x:c>
      <x:c r="N600" s="2"/>
      <x:c r="O600" s="2"/>
    </x:row>
    <x:row r="601" ht="21" customHeight="1">
      <x:c r="A601" s="2" t="str">
        <x:v>NT000600</x:v>
      </x:c>
      <x:c r="B601" s="2" t="str">
        <x:v>EV000602</x:v>
      </x:c>
      <x:c r="C601" s="2" t="str">
        <x:v>T20261005-4-1</x:v>
      </x:c>
      <x:c r="D601" s="2" t="str">
        <x:v>ST022</x:v>
      </x:c>
      <x:c r="E601" s="2" t="str">
        <x:v>G022</x:v>
      </x:c>
      <x:c r="F601" s="2" t="str">
        <x:v>guardian022@example.invalid</x:v>
      </x:c>
      <x:c r="G601" s="2" t="str">
        <x:v>Email</x:v>
      </x:c>
      <x:c r="H601" s="2" t="str">
        <x:v>Authorized release</x:v>
      </x:c>
      <x:c r="I601" s="8" t="n">
        <x:v>46300.618784722225</x:v>
      </x:c>
      <x:c r="J601" s="8" t="n">
        <x:v>46300.61880787037</x:v>
      </x:c>
      <x:c r="K601" s="8" t="n">
        <x:v>46300.618842592594</x:v>
      </x:c>
      <x:c r="L601" s="2" t="str">
        <x:v>Sent</x:v>
      </x:c>
      <x:c r="M601" s="2" t="n">
        <x:v>1</x:v>
      </x:c>
      <x:c r="N601" s="2"/>
      <x:c r="O601" s="2"/>
    </x:row>
    <x:row r="602" ht="21" customHeight="1">
      <x:c r="A602" s="2" t="str">
        <x:v>NT000601</x:v>
      </x:c>
      <x:c r="B602" s="2" t="str">
        <x:v>EV000603</x:v>
      </x:c>
      <x:c r="C602" s="2" t="str">
        <x:v>T20261005-4-1</x:v>
      </x:c>
      <x:c r="D602" s="2" t="str">
        <x:v>ST023</x:v>
      </x:c>
      <x:c r="E602" s="2" t="str">
        <x:v>G023</x:v>
      </x:c>
      <x:c r="F602" s="2" t="str">
        <x:v>guardian023@example.invalid</x:v>
      </x:c>
      <x:c r="G602" s="2" t="str">
        <x:v>Email</x:v>
      </x:c>
      <x:c r="H602" s="2" t="str">
        <x:v>Boarded</x:v>
      </x:c>
      <x:c r="I602" s="8" t="n">
        <x:v>46300.60423611112</x:v>
      </x:c>
      <x:c r="J602" s="8" t="n">
        <x:v>46300.604259259264</x:v>
      </x:c>
      <x:c r="K602" s="8" t="n">
        <x:v>46300.60429398149</x:v>
      </x:c>
      <x:c r="L602" s="2" t="str">
        <x:v>Sent</x:v>
      </x:c>
      <x:c r="M602" s="2" t="n">
        <x:v>1</x:v>
      </x:c>
      <x:c r="N602" s="2"/>
      <x:c r="O602" s="2"/>
    </x:row>
    <x:row r="603" ht="21" customHeight="1">
      <x:c r="A603" s="2" t="str">
        <x:v>NT000602</x:v>
      </x:c>
      <x:c r="B603" s="2" t="str">
        <x:v>EV000604</x:v>
      </x:c>
      <x:c r="C603" s="2" t="str">
        <x:v>T20261005-4-1</x:v>
      </x:c>
      <x:c r="D603" s="2" t="str">
        <x:v>ST023</x:v>
      </x:c>
      <x:c r="E603" s="2" t="str">
        <x:v>G023</x:v>
      </x:c>
      <x:c r="F603" s="2" t="str">
        <x:v>guardian023@example.invalid</x:v>
      </x:c>
      <x:c r="G603" s="2" t="str">
        <x:v>Email</x:v>
      </x:c>
      <x:c r="H603" s="2" t="str">
        <x:v>Authorized release</x:v>
      </x:c>
      <x:c r="I603" s="8" t="n">
        <x:v>46300.62298611111</x:v>
      </x:c>
      <x:c r="J603" s="8" t="n">
        <x:v>46300.62300925926</x:v>
      </x:c>
      <x:c r="K603" s="8" t="n">
        <x:v>46300.62304398148</x:v>
      </x:c>
      <x:c r="L603" s="2" t="str">
        <x:v>Sent</x:v>
      </x:c>
      <x:c r="M603" s="2" t="n">
        <x:v>1</x:v>
      </x:c>
      <x:c r="N603" s="2"/>
      <x:c r="O603" s="2"/>
    </x:row>
    <x:row r="604" ht="21" customHeight="1">
      <x:c r="A604" s="2" t="str">
        <x:v>NT000603</x:v>
      </x:c>
      <x:c r="B604" s="2" t="str">
        <x:v>EV000605</x:v>
      </x:c>
      <x:c r="C604" s="2" t="str">
        <x:v>T20261005-4-1</x:v>
      </x:c>
      <x:c r="D604" s="2" t="str">
        <x:v>ST024</x:v>
      </x:c>
      <x:c r="E604" s="2" t="str">
        <x:v>G024</x:v>
      </x:c>
      <x:c r="F604" s="2" t="str">
        <x:v>guardian024@example.invalid</x:v>
      </x:c>
      <x:c r="G604" s="2" t="str">
        <x:v>Email</x:v>
      </x:c>
      <x:c r="H604" s="2" t="str">
        <x:v>Boarded</x:v>
      </x:c>
      <x:c r="I604" s="8" t="n">
        <x:v>46300.60427083334</x:v>
      </x:c>
      <x:c r="J604" s="8" t="n">
        <x:v>46300.60429398149</x:v>
      </x:c>
      <x:c r="K604" s="8" t="n">
        <x:v>46300.60432870371</x:v>
      </x:c>
      <x:c r="L604" s="2" t="str">
        <x:v>Sent</x:v>
      </x:c>
      <x:c r="M604" s="2" t="n">
        <x:v>1</x:v>
      </x:c>
      <x:c r="N604" s="2"/>
      <x:c r="O604" s="2"/>
    </x:row>
    <x:row r="605" ht="21" customHeight="1">
      <x:c r="A605" s="2" t="str">
        <x:v>NT000604</x:v>
      </x:c>
      <x:c r="B605" s="2" t="str">
        <x:v>EV000606</x:v>
      </x:c>
      <x:c r="C605" s="2" t="str">
        <x:v>T20261005-4-1</x:v>
      </x:c>
      <x:c r="D605" s="2" t="str">
        <x:v>ST024</x:v>
      </x:c>
      <x:c r="E605" s="2" t="str">
        <x:v>G024</x:v>
      </x:c>
      <x:c r="F605" s="2" t="str">
        <x:v>guardian024@example.invalid</x:v>
      </x:c>
      <x:c r="G605" s="2" t="str">
        <x:v>Email</x:v>
      </x:c>
      <x:c r="H605" s="2" t="str">
        <x:v>Authorized release</x:v>
      </x:c>
      <x:c r="I605" s="8" t="n">
        <x:v>46300.6271875</x:v>
      </x:c>
      <x:c r="J605" s="8" t="n">
        <x:v>46300.62721064815</x:v>
      </x:c>
      <x:c r="K605" s="8" t="n">
        <x:v>46300.62724537037</x:v>
      </x:c>
      <x:c r="L605" s="2" t="str">
        <x:v>Sent</x:v>
      </x:c>
      <x:c r="M605" s="2" t="n">
        <x:v>1</x:v>
      </x:c>
      <x:c r="N605" s="2"/>
      <x:c r="O605" s="2"/>
    </x:row>
    <x:row r="606" ht="21" customHeight="1">
      <x:c r="A606" s="2" t="str">
        <x:v>NT000605</x:v>
      </x:c>
      <x:c r="B606" s="2" t="str">
        <x:v>EV000607</x:v>
      </x:c>
      <x:c r="C606" s="2" t="str">
        <x:v>T20261005-4-1</x:v>
      </x:c>
      <x:c r="D606" s="2" t="str">
        <x:v>ST025</x:v>
      </x:c>
      <x:c r="E606" s="2" t="str">
        <x:v>G025</x:v>
      </x:c>
      <x:c r="F606" s="2" t="str">
        <x:v>guardian025@example.invalid</x:v>
      </x:c>
      <x:c r="G606" s="2" t="str">
        <x:v>Email</x:v>
      </x:c>
      <x:c r="H606" s="2" t="str">
        <x:v>Boarded</x:v>
      </x:c>
      <x:c r="I606" s="8" t="n">
        <x:v>46300.604305555564</x:v>
      </x:c>
      <x:c r="J606" s="8" t="n">
        <x:v>46300.60432870371</x:v>
      </x:c>
      <x:c r="K606" s="8" t="n">
        <x:v>46300.60436342593</x:v>
      </x:c>
      <x:c r="L606" s="2" t="str">
        <x:v>Sent</x:v>
      </x:c>
      <x:c r="M606" s="2" t="n">
        <x:v>1</x:v>
      </x:c>
      <x:c r="N606" s="2"/>
      <x:c r="O606" s="2"/>
    </x:row>
    <x:row r="607" ht="21" customHeight="1">
      <x:c r="A607" s="2" t="str">
        <x:v>NT000606</x:v>
      </x:c>
      <x:c r="B607" s="2" t="str">
        <x:v>EV000608</x:v>
      </x:c>
      <x:c r="C607" s="2" t="str">
        <x:v>T20261005-4-1</x:v>
      </x:c>
      <x:c r="D607" s="2" t="str">
        <x:v>ST025</x:v>
      </x:c>
      <x:c r="E607" s="2" t="str">
        <x:v>G025</x:v>
      </x:c>
      <x:c r="F607" s="2" t="str">
        <x:v>guardian025@example.invalid</x:v>
      </x:c>
      <x:c r="G607" s="2" t="str">
        <x:v>Email</x:v>
      </x:c>
      <x:c r="H607" s="2" t="str">
        <x:v>Authorized release</x:v>
      </x:c>
      <x:c r="I607" s="8" t="n">
        <x:v>46300.618888888894</x:v>
      </x:c>
      <x:c r="J607" s="8" t="n">
        <x:v>46300.61891203704</x:v>
      </x:c>
      <x:c r="K607" s="8" t="n">
        <x:v>46300.61894675926</x:v>
      </x:c>
      <x:c r="L607" s="2" t="str">
        <x:v>Sent</x:v>
      </x:c>
      <x:c r="M607" s="2" t="n">
        <x:v>1</x:v>
      </x:c>
      <x:c r="N607" s="2"/>
      <x:c r="O607" s="2"/>
    </x:row>
    <x:row r="608" ht="21" customHeight="1">
      <x:c r="A608" s="2" t="str">
        <x:v>NT000607</x:v>
      </x:c>
      <x:c r="B608" s="2" t="str">
        <x:v>EV000609</x:v>
      </x:c>
      <x:c r="C608" s="2" t="str">
        <x:v>T20261005-4-1</x:v>
      </x:c>
      <x:c r="D608" s="2" t="str">
        <x:v>ST026</x:v>
      </x:c>
      <x:c r="E608" s="2" t="str">
        <x:v>G026</x:v>
      </x:c>
      <x:c r="F608" s="2" t="str">
        <x:v>guardian026@example.invalid</x:v>
      </x:c>
      <x:c r="G608" s="2" t="str">
        <x:v>Email</x:v>
      </x:c>
      <x:c r="H608" s="2" t="str">
        <x:v>Boarded</x:v>
      </x:c>
      <x:c r="I608" s="8" t="n">
        <x:v>46300.60434027778</x:v>
      </x:c>
      <x:c r="J608" s="8" t="n">
        <x:v>46300.604363425926</x:v>
      </x:c>
      <x:c r="K608" s="8" t="n">
        <x:v>46300.60439814815</x:v>
      </x:c>
      <x:c r="L608" s="2" t="str">
        <x:v>Sent</x:v>
      </x:c>
      <x:c r="M608" s="2" t="n">
        <x:v>1</x:v>
      </x:c>
      <x:c r="N608" s="2"/>
      <x:c r="O608" s="2"/>
    </x:row>
    <x:row r="609" ht="21" customHeight="1">
      <x:c r="A609" s="2" t="str">
        <x:v>NT000608</x:v>
      </x:c>
      <x:c r="B609" s="2" t="str">
        <x:v>EV000610</x:v>
      </x:c>
      <x:c r="C609" s="2" t="str">
        <x:v>T20261005-4-1</x:v>
      </x:c>
      <x:c r="D609" s="2" t="str">
        <x:v>ST026</x:v>
      </x:c>
      <x:c r="E609" s="2" t="str">
        <x:v>G026</x:v>
      </x:c>
      <x:c r="F609" s="2" t="str">
        <x:v>guardian026@example.invalid</x:v>
      </x:c>
      <x:c r="G609" s="2" t="str">
        <x:v>Email</x:v>
      </x:c>
      <x:c r="H609" s="2" t="str">
        <x:v>Authorized release</x:v>
      </x:c>
      <x:c r="I609" s="8" t="n">
        <x:v>46300.623090277775</x:v>
      </x:c>
      <x:c r="J609" s="8" t="n">
        <x:v>46300.62311342592</x:v>
      </x:c>
      <x:c r="K609" s="8" t="n">
        <x:v>46300.623148148145</x:v>
      </x:c>
      <x:c r="L609" s="2" t="str">
        <x:v>Sent</x:v>
      </x:c>
      <x:c r="M609" s="2" t="n">
        <x:v>1</x:v>
      </x:c>
      <x:c r="N609" s="2"/>
      <x:c r="O609" s="2"/>
    </x:row>
    <x:row r="610" ht="21" customHeight="1">
      <x:c r="A610" s="2" t="str">
        <x:v>NT000609</x:v>
      </x:c>
      <x:c r="B610" s="2" t="str">
        <x:v>EV000611</x:v>
      </x:c>
      <x:c r="C610" s="2" t="str">
        <x:v>T20261005-4-1</x:v>
      </x:c>
      <x:c r="D610" s="2" t="str">
        <x:v>ST027</x:v>
      </x:c>
      <x:c r="E610" s="2" t="str">
        <x:v>G027</x:v>
      </x:c>
      <x:c r="F610" s="2" t="str">
        <x:v>guardian027@example.invalid</x:v>
      </x:c>
      <x:c r="G610" s="2" t="str">
        <x:v>Email</x:v>
      </x:c>
      <x:c r="H610" s="2" t="str">
        <x:v>Boarded</x:v>
      </x:c>
      <x:c r="I610" s="8" t="n">
        <x:v>46300.604375</x:v>
      </x:c>
      <x:c r="J610" s="8" t="n">
        <x:v>46300.60439814815</x:v>
      </x:c>
      <x:c r="K610" s="8" t="n">
        <x:v>46300.60443287037</x:v>
      </x:c>
      <x:c r="L610" s="2" t="str">
        <x:v>Sent</x:v>
      </x:c>
      <x:c r="M610" s="2" t="n">
        <x:v>1</x:v>
      </x:c>
      <x:c r="N610" s="2"/>
      <x:c r="O610" s="2"/>
    </x:row>
    <x:row r="611" ht="21" customHeight="1">
      <x:c r="A611" s="2" t="str">
        <x:v>NT000610</x:v>
      </x:c>
      <x:c r="B611" s="2" t="str">
        <x:v>EV000612</x:v>
      </x:c>
      <x:c r="C611" s="2" t="str">
        <x:v>T20261005-4-1</x:v>
      </x:c>
      <x:c r="D611" s="2" t="str">
        <x:v>ST027</x:v>
      </x:c>
      <x:c r="E611" s="2" t="str">
        <x:v>G027</x:v>
      </x:c>
      <x:c r="F611" s="2" t="str">
        <x:v>guardian027@example.invalid</x:v>
      </x:c>
      <x:c r="G611" s="2" t="str">
        <x:v>Email</x:v>
      </x:c>
      <x:c r="H611" s="2" t="str">
        <x:v>Authorized release</x:v>
      </x:c>
      <x:c r="I611" s="8" t="n">
        <x:v>46300.627291666664</x:v>
      </x:c>
      <x:c r="J611" s="8" t="n">
        <x:v>46300.62731481481</x:v>
      </x:c>
      <x:c r="K611" s="8" t="n">
        <x:v>46300.62734953703</x:v>
      </x:c>
      <x:c r="L611" s="2" t="str">
        <x:v>Sent</x:v>
      </x:c>
      <x:c r="M611" s="2" t="n">
        <x:v>1</x:v>
      </x:c>
      <x:c r="N611" s="2"/>
      <x:c r="O611" s="2"/>
    </x:row>
    <x:row r="612" ht="21" customHeight="1">
      <x:c r="A612" s="2" t="str">
        <x:v>NT000611</x:v>
      </x:c>
      <x:c r="B612" s="2" t="str">
        <x:v>EV000613</x:v>
      </x:c>
      <x:c r="C612" s="2" t="str">
        <x:v>T20261005-4-1</x:v>
      </x:c>
      <x:c r="D612" s="2" t="str">
        <x:v>ST028</x:v>
      </x:c>
      <x:c r="E612" s="2" t="str">
        <x:v>G028</x:v>
      </x:c>
      <x:c r="F612" s="2" t="str">
        <x:v>guardian028@example.invalid</x:v>
      </x:c>
      <x:c r="G612" s="2" t="str">
        <x:v>Email</x:v>
      </x:c>
      <x:c r="H612" s="2" t="str">
        <x:v>Boarded</x:v>
      </x:c>
      <x:c r="I612" s="8" t="n">
        <x:v>46300.604409722226</x:v>
      </x:c>
      <x:c r="J612" s="8" t="n">
        <x:v>46300.60443287037</x:v>
      </x:c>
      <x:c r="K612" s="8" t="n">
        <x:v>46300.604467592595</x:v>
      </x:c>
      <x:c r="L612" s="2" t="str">
        <x:v>Sent</x:v>
      </x:c>
      <x:c r="M612" s="2" t="n">
        <x:v>1</x:v>
      </x:c>
      <x:c r="N612" s="2"/>
      <x:c r="O612" s="2"/>
    </x:row>
    <x:row r="613" ht="21" customHeight="1">
      <x:c r="A613" s="2" t="str">
        <x:v>NT000612</x:v>
      </x:c>
      <x:c r="B613" s="2" t="str">
        <x:v>EV000614</x:v>
      </x:c>
      <x:c r="C613" s="2" t="str">
        <x:v>T20261005-4-1</x:v>
      </x:c>
      <x:c r="D613" s="2" t="str">
        <x:v>ST028</x:v>
      </x:c>
      <x:c r="E613" s="2" t="str">
        <x:v>G028</x:v>
      </x:c>
      <x:c r="F613" s="2" t="str">
        <x:v>guardian028@example.invalid</x:v>
      </x:c>
      <x:c r="G613" s="2" t="str">
        <x:v>Email</x:v>
      </x:c>
      <x:c r="H613" s="2" t="str">
        <x:v>Authorized release</x:v>
      </x:c>
      <x:c r="I613" s="8" t="n">
        <x:v>46300.618993055556</x:v>
      </x:c>
      <x:c r="J613" s="8" t="n">
        <x:v>46300.6190162037</x:v>
      </x:c>
      <x:c r="K613" s="8" t="n">
        <x:v>46300.619050925925</x:v>
      </x:c>
      <x:c r="L613" s="2" t="str">
        <x:v>Sent</x:v>
      </x:c>
      <x:c r="M613" s="2" t="n">
        <x:v>1</x:v>
      </x:c>
      <x:c r="N613" s="2"/>
      <x:c r="O613" s="2"/>
    </x:row>
    <x:row r="614" ht="21" customHeight="1">
      <x:c r="A614" s="2" t="str">
        <x:v>NT000613</x:v>
      </x:c>
      <x:c r="B614" s="2" t="str">
        <x:v>EV000615</x:v>
      </x:c>
      <x:c r="C614" s="2" t="str">
        <x:v>T20261005-4-1</x:v>
      </x:c>
      <x:c r="D614" s="2" t="str">
        <x:v>ST029</x:v>
      </x:c>
      <x:c r="E614" s="2" t="str">
        <x:v>G029</x:v>
      </x:c>
      <x:c r="F614" s="2" t="str">
        <x:v>guardian029@example.invalid</x:v>
      </x:c>
      <x:c r="G614" s="2" t="str">
        <x:v>Email</x:v>
      </x:c>
      <x:c r="H614" s="2" t="str">
        <x:v>Boarded</x:v>
      </x:c>
      <x:c r="I614" s="8" t="n">
        <x:v>46300.60444444445</x:v>
      </x:c>
      <x:c r="J614" s="8" t="n">
        <x:v>46300.604467592595</x:v>
      </x:c>
      <x:c r="K614" s="8" t="n">
        <x:v>46300.60450231482</x:v>
      </x:c>
      <x:c r="L614" s="2" t="str">
        <x:v>Sent</x:v>
      </x:c>
      <x:c r="M614" s="2" t="n">
        <x:v>1</x:v>
      </x:c>
      <x:c r="N614" s="2"/>
      <x:c r="O614" s="2"/>
    </x:row>
    <x:row r="615" ht="21" customHeight="1">
      <x:c r="A615" s="2" t="str">
        <x:v>NT000614</x:v>
      </x:c>
      <x:c r="B615" s="2" t="str">
        <x:v>EV000616</x:v>
      </x:c>
      <x:c r="C615" s="2" t="str">
        <x:v>T20261005-4-1</x:v>
      </x:c>
      <x:c r="D615" s="2" t="str">
        <x:v>ST029</x:v>
      </x:c>
      <x:c r="E615" s="2" t="str">
        <x:v>G029</x:v>
      </x:c>
      <x:c r="F615" s="2" t="str">
        <x:v>guardian029@example.invalid</x:v>
      </x:c>
      <x:c r="G615" s="2" t="str">
        <x:v>Email</x:v>
      </x:c>
      <x:c r="H615" s="2" t="str">
        <x:v>Authorized release</x:v>
      </x:c>
      <x:c r="I615" s="8" t="n">
        <x:v>46300.623194444444</x:v>
      </x:c>
      <x:c r="J615" s="8" t="n">
        <x:v>46300.62321759259</x:v>
      </x:c>
      <x:c r="K615" s="8" t="n">
        <x:v>46300.623252314814</x:v>
      </x:c>
      <x:c r="L615" s="2" t="str">
        <x:v>Sent</x:v>
      </x:c>
      <x:c r="M615" s="2" t="n">
        <x:v>1</x:v>
      </x:c>
      <x:c r="N615" s="2"/>
      <x:c r="O615" s="2"/>
    </x:row>
    <x:row r="616" ht="21" customHeight="1">
      <x:c r="A616" s="2" t="str">
        <x:v>NT000615</x:v>
      </x:c>
      <x:c r="B616" s="2" t="str">
        <x:v>EV000617</x:v>
      </x:c>
      <x:c r="C616" s="2" t="str">
        <x:v>T20261005-4-1</x:v>
      </x:c>
      <x:c r="D616" s="2" t="str">
        <x:v>ST030</x:v>
      </x:c>
      <x:c r="E616" s="2" t="str">
        <x:v>G030</x:v>
      </x:c>
      <x:c r="F616" s="2" t="str">
        <x:v>guardian030@example.invalid</x:v>
      </x:c>
      <x:c r="G616" s="2" t="str">
        <x:v>Email</x:v>
      </x:c>
      <x:c r="H616" s="2" t="str">
        <x:v>Boarded</x:v>
      </x:c>
      <x:c r="I616" s="8" t="n">
        <x:v>46300.60447916667</x:v>
      </x:c>
      <x:c r="J616" s="8" t="n">
        <x:v>46300.60450231482</x:v>
      </x:c>
      <x:c r="K616" s="8" t="n">
        <x:v>46300.60453703704</x:v>
      </x:c>
      <x:c r="L616" s="2" t="str">
        <x:v>Sent</x:v>
      </x:c>
      <x:c r="M616" s="2" t="n">
        <x:v>1</x:v>
      </x:c>
      <x:c r="N616" s="2"/>
      <x:c r="O616" s="2"/>
    </x:row>
    <x:row r="617" ht="21" customHeight="1">
      <x:c r="A617" s="2" t="str">
        <x:v>NT000616</x:v>
      </x:c>
      <x:c r="B617" s="2" t="str">
        <x:v>EV000618</x:v>
      </x:c>
      <x:c r="C617" s="2" t="str">
        <x:v>T20261005-4-1</x:v>
      </x:c>
      <x:c r="D617" s="2" t="str">
        <x:v>ST030</x:v>
      </x:c>
      <x:c r="E617" s="2" t="str">
        <x:v>G030</x:v>
      </x:c>
      <x:c r="F617" s="2" t="str">
        <x:v>guardian030@example.invalid</x:v>
      </x:c>
      <x:c r="G617" s="2" t="str">
        <x:v>Email</x:v>
      </x:c>
      <x:c r="H617" s="2" t="str">
        <x:v>Authorized release</x:v>
      </x:c>
      <x:c r="I617" s="8" t="n">
        <x:v>46300.62739583333</x:v>
      </x:c>
      <x:c r="J617" s="8" t="n">
        <x:v>46300.62741898148</x:v>
      </x:c>
      <x:c r="K617" s="8" t="n">
        <x:v>46300.6274537037</x:v>
      </x:c>
      <x:c r="L617" s="2" t="str">
        <x:v>Sent</x:v>
      </x:c>
      <x:c r="M617" s="2" t="n">
        <x:v>1</x:v>
      </x:c>
      <x:c r="N617" s="2"/>
      <x:c r="O617" s="2"/>
    </x:row>
    <x:row r="618" ht="21" customHeight="1">
      <x:c r="A618" s="2" t="str">
        <x:v>NT000617</x:v>
      </x:c>
      <x:c r="B618" s="2" t="str">
        <x:v>EV000619</x:v>
      </x:c>
      <x:c r="C618" s="2" t="str">
        <x:v>T20261005-5-1</x:v>
      </x:c>
      <x:c r="D618" s="2" t="str">
        <x:v>ST031</x:v>
      </x:c>
      <x:c r="E618" s="2" t="str">
        <x:v>G031</x:v>
      </x:c>
      <x:c r="F618" s="2" t="str">
        <x:v>guardian031@example.invalid</x:v>
      </x:c>
      <x:c r="G618" s="2" t="str">
        <x:v>Email</x:v>
      </x:c>
      <x:c r="H618" s="2" t="str">
        <x:v>Boarded</x:v>
      </x:c>
      <x:c r="I618" s="8" t="n">
        <x:v>46300.70833333333</x:v>
      </x:c>
      <x:c r="J618" s="8" t="n">
        <x:v>46300.708356481475</x:v>
      </x:c>
      <x:c r="K618" s="8" t="n">
        <x:v>46300.7083912037</x:v>
      </x:c>
      <x:c r="L618" s="2" t="str">
        <x:v>Sent</x:v>
      </x:c>
      <x:c r="M618" s="2" t="n">
        <x:v>1</x:v>
      </x:c>
      <x:c r="N618" s="2"/>
      <x:c r="O618" s="2"/>
    </x:row>
    <x:row r="619" ht="21" customHeight="1">
      <x:c r="A619" s="2" t="str">
        <x:v>NT000618</x:v>
      </x:c>
      <x:c r="B619" s="2" t="str">
        <x:v>EV000620</x:v>
      </x:c>
      <x:c r="C619" s="2" t="str">
        <x:v>T20261005-5-1</x:v>
      </x:c>
      <x:c r="D619" s="2" t="str">
        <x:v>ST031</x:v>
      </x:c>
      <x:c r="E619" s="2" t="str">
        <x:v>G031</x:v>
      </x:c>
      <x:c r="F619" s="2" t="str">
        <x:v>guardian031@example.invalid</x:v>
      </x:c>
      <x:c r="G619" s="2" t="str">
        <x:v>Email</x:v>
      </x:c>
      <x:c r="H619" s="2" t="str">
        <x:v>Authorized release</x:v>
      </x:c>
      <x:c r="I619" s="8" t="n">
        <x:v>46300.72361111111</x:v>
      </x:c>
      <x:c r="J619" s="8" t="n">
        <x:v>46300.72363425926</x:v>
      </x:c>
      <x:c r="K619" s="8" t="n">
        <x:v>46300.72366898148</x:v>
      </x:c>
      <x:c r="L619" s="2" t="str">
        <x:v>Sent</x:v>
      </x:c>
      <x:c r="M619" s="2" t="n">
        <x:v>1</x:v>
      </x:c>
      <x:c r="N619" s="2"/>
      <x:c r="O619" s="2"/>
    </x:row>
    <x:row r="620" ht="21" customHeight="1">
      <x:c r="A620" s="2" t="str">
        <x:v>NT000619</x:v>
      </x:c>
      <x:c r="B620" s="2" t="str">
        <x:v>EV000621</x:v>
      </x:c>
      <x:c r="C620" s="2" t="str">
        <x:v>T20261005-5-1</x:v>
      </x:c>
      <x:c r="D620" s="2" t="str">
        <x:v>ST032</x:v>
      </x:c>
      <x:c r="E620" s="2" t="str">
        <x:v>G032</x:v>
      </x:c>
      <x:c r="F620" s="2" t="str">
        <x:v>guardian032@example.invalid</x:v>
      </x:c>
      <x:c r="G620" s="2" t="str">
        <x:v>Email</x:v>
      </x:c>
      <x:c r="H620" s="2" t="str">
        <x:v>Boarded</x:v>
      </x:c>
      <x:c r="I620" s="8" t="n">
        <x:v>46300.70836805555</x:v>
      </x:c>
      <x:c r="J620" s="8" t="n">
        <x:v>46300.7083912037</x:v>
      </x:c>
      <x:c r="K620" s="8" t="n">
        <x:v>46300.70842592592</x:v>
      </x:c>
      <x:c r="L620" s="2" t="str">
        <x:v>Sent</x:v>
      </x:c>
      <x:c r="M620" s="2" t="n">
        <x:v>1</x:v>
      </x:c>
      <x:c r="N620" s="2"/>
      <x:c r="O620" s="2"/>
    </x:row>
    <x:row r="621" ht="21" customHeight="1">
      <x:c r="A621" s="2" t="str">
        <x:v>NT000620</x:v>
      </x:c>
      <x:c r="B621" s="2" t="str">
        <x:v>EV000622</x:v>
      </x:c>
      <x:c r="C621" s="2" t="str">
        <x:v>T20261005-5-1</x:v>
      </x:c>
      <x:c r="D621" s="2" t="str">
        <x:v>ST032</x:v>
      </x:c>
      <x:c r="E621" s="2" t="str">
        <x:v>G032</x:v>
      </x:c>
      <x:c r="F621" s="2" t="str">
        <x:v>guardian032@example.invalid</x:v>
      </x:c>
      <x:c r="G621" s="2" t="str">
        <x:v>Email</x:v>
      </x:c>
      <x:c r="H621" s="2" t="str">
        <x:v>Authorized release</x:v>
      </x:c>
      <x:c r="I621" s="8" t="n">
        <x:v>46300.72850694445</x:v>
      </x:c>
      <x:c r="J621" s="8" t="n">
        <x:v>46300.728530092594</x:v>
      </x:c>
      <x:c r="K621" s="8" t="n">
        <x:v>46300.72856481482</x:v>
      </x:c>
      <x:c r="L621" s="2" t="str">
        <x:v>Sent</x:v>
      </x:c>
      <x:c r="M621" s="2" t="n">
        <x:v>1</x:v>
      </x:c>
      <x:c r="N621" s="2"/>
      <x:c r="O621" s="2"/>
    </x:row>
    <x:row r="622" ht="21" customHeight="1">
      <x:c r="A622" s="2" t="str">
        <x:v>NT000621</x:v>
      </x:c>
      <x:c r="B622" s="2" t="str">
        <x:v>EV000623</x:v>
      </x:c>
      <x:c r="C622" s="2" t="str">
        <x:v>T20261005-5-1</x:v>
      </x:c>
      <x:c r="D622" s="2" t="str">
        <x:v>ST033</x:v>
      </x:c>
      <x:c r="E622" s="2" t="str">
        <x:v>G033</x:v>
      </x:c>
      <x:c r="F622" s="2" t="str">
        <x:v>guardian033@example.invalid</x:v>
      </x:c>
      <x:c r="G622" s="2" t="str">
        <x:v>Email</x:v>
      </x:c>
      <x:c r="H622" s="2" t="str">
        <x:v>Boarded</x:v>
      </x:c>
      <x:c r="I622" s="8" t="n">
        <x:v>46300.708402777775</x:v>
      </x:c>
      <x:c r="J622" s="8" t="n">
        <x:v>46300.70842592592</x:v>
      </x:c>
      <x:c r="K622" s="8" t="n">
        <x:v>46300.708460648144</x:v>
      </x:c>
      <x:c r="L622" s="2" t="str">
        <x:v>Sent</x:v>
      </x:c>
      <x:c r="M622" s="2" t="n">
        <x:v>1</x:v>
      </x:c>
      <x:c r="N622" s="2"/>
      <x:c r="O622" s="2"/>
    </x:row>
    <x:row r="623" ht="21" customHeight="1">
      <x:c r="A623" s="2" t="str">
        <x:v>NT000622</x:v>
      </x:c>
      <x:c r="B623" s="2" t="str">
        <x:v>EV000624</x:v>
      </x:c>
      <x:c r="C623" s="2" t="str">
        <x:v>T20261005-5-1</x:v>
      </x:c>
      <x:c r="D623" s="2" t="str">
        <x:v>ST033</x:v>
      </x:c>
      <x:c r="E623" s="2" t="str">
        <x:v>G033</x:v>
      </x:c>
      <x:c r="F623" s="2" t="str">
        <x:v>guardian033@example.invalid</x:v>
      </x:c>
      <x:c r="G623" s="2" t="str">
        <x:v>Email</x:v>
      </x:c>
      <x:c r="H623" s="2" t="str">
        <x:v>Authorized release</x:v>
      </x:c>
      <x:c r="I623" s="8" t="n">
        <x:v>46300.73340277778</x:v>
      </x:c>
      <x:c r="J623" s="8" t="n">
        <x:v>46300.73342592593</x:v>
      </x:c>
      <x:c r="K623" s="8" t="n">
        <x:v>46300.73346064815</x:v>
      </x:c>
      <x:c r="L623" s="2" t="str">
        <x:v>Sent</x:v>
      </x:c>
      <x:c r="M623" s="2" t="n">
        <x:v>1</x:v>
      </x:c>
      <x:c r="N623" s="2"/>
      <x:c r="O623" s="2"/>
    </x:row>
    <x:row r="624" ht="21" customHeight="1">
      <x:c r="A624" s="2" t="str">
        <x:v>NT000623</x:v>
      </x:c>
      <x:c r="B624" s="2" t="str">
        <x:v>EV000625</x:v>
      </x:c>
      <x:c r="C624" s="2" t="str">
        <x:v>T20261005-5-1</x:v>
      </x:c>
      <x:c r="D624" s="2" t="str">
        <x:v>ST034</x:v>
      </x:c>
      <x:c r="E624" s="2" t="str">
        <x:v>G034</x:v>
      </x:c>
      <x:c r="F624" s="2" t="str">
        <x:v>guardian034@example.invalid</x:v>
      </x:c>
      <x:c r="G624" s="2" t="str">
        <x:v>Email</x:v>
      </x:c>
      <x:c r="H624" s="2" t="str">
        <x:v>Boarded</x:v>
      </x:c>
      <x:c r="I624" s="8" t="n">
        <x:v>46300.7084375</x:v>
      </x:c>
      <x:c r="J624" s="8" t="n">
        <x:v>46300.708460648144</x:v>
      </x:c>
      <x:c r="K624" s="8" t="n">
        <x:v>46300.70849537037</x:v>
      </x:c>
      <x:c r="L624" s="2" t="str">
        <x:v>Sent</x:v>
      </x:c>
      <x:c r="M624" s="2" t="n">
        <x:v>1</x:v>
      </x:c>
      <x:c r="N624" s="2"/>
      <x:c r="O624" s="2"/>
    </x:row>
    <x:row r="625" ht="21" customHeight="1">
      <x:c r="A625" s="2" t="str">
        <x:v>NT000624</x:v>
      </x:c>
      <x:c r="B625" s="2" t="str">
        <x:v>EV000626</x:v>
      </x:c>
      <x:c r="C625" s="2" t="str">
        <x:v>T20261005-5-1</x:v>
      </x:c>
      <x:c r="D625" s="2" t="str">
        <x:v>ST034</x:v>
      </x:c>
      <x:c r="E625" s="2" t="str">
        <x:v>G034</x:v>
      </x:c>
      <x:c r="F625" s="2" t="str">
        <x:v>guardian034@example.invalid</x:v>
      </x:c>
      <x:c r="G625" s="2" t="str">
        <x:v>Email</x:v>
      </x:c>
      <x:c r="H625" s="2" t="str">
        <x:v>Authorized release</x:v>
      </x:c>
      <x:c r="I625" s="8" t="n">
        <x:v>46300.72371527778</x:v>
      </x:c>
      <x:c r="J625" s="8" t="n">
        <x:v>46300.72373842593</x:v>
      </x:c>
      <x:c r="K625" s="8" t="n">
        <x:v>46300.72377314815</x:v>
      </x:c>
      <x:c r="L625" s="2" t="str">
        <x:v>Sent</x:v>
      </x:c>
      <x:c r="M625" s="2" t="n">
        <x:v>1</x:v>
      </x:c>
      <x:c r="N625" s="2"/>
      <x:c r="O625" s="2"/>
    </x:row>
    <x:row r="626" ht="21" customHeight="1">
      <x:c r="A626" s="2" t="str">
        <x:v>NT000625</x:v>
      </x:c>
      <x:c r="B626" s="2" t="str">
        <x:v>EV000627</x:v>
      </x:c>
      <x:c r="C626" s="2" t="str">
        <x:v>T20261005-5-1</x:v>
      </x:c>
      <x:c r="D626" s="2" t="str">
        <x:v>ST035</x:v>
      </x:c>
      <x:c r="E626" s="2" t="str">
        <x:v>G035</x:v>
      </x:c>
      <x:c r="F626" s="2" t="str">
        <x:v>guardian035@example.invalid</x:v>
      </x:c>
      <x:c r="G626" s="2" t="str">
        <x:v>Email</x:v>
      </x:c>
      <x:c r="H626" s="2" t="str">
        <x:v>Boarded</x:v>
      </x:c>
      <x:c r="I626" s="8" t="n">
        <x:v>46300.70847222222</x:v>
      </x:c>
      <x:c r="J626" s="8" t="n">
        <x:v>46300.70849537037</x:v>
      </x:c>
      <x:c r="K626" s="8" t="n">
        <x:v>46300.70853009259</x:v>
      </x:c>
      <x:c r="L626" s="2" t="str">
        <x:v>Sent</x:v>
      </x:c>
      <x:c r="M626" s="2" t="n">
        <x:v>1</x:v>
      </x:c>
      <x:c r="N626" s="2"/>
      <x:c r="O626" s="2"/>
    </x:row>
    <x:row r="627" ht="21" customHeight="1">
      <x:c r="A627" s="2" t="str">
        <x:v>NT000626</x:v>
      </x:c>
      <x:c r="B627" s="2" t="str">
        <x:v>EV000628</x:v>
      </x:c>
      <x:c r="C627" s="2" t="str">
        <x:v>T20261005-5-1</x:v>
      </x:c>
      <x:c r="D627" s="2" t="str">
        <x:v>ST035</x:v>
      </x:c>
      <x:c r="E627" s="2" t="str">
        <x:v>G035</x:v>
      </x:c>
      <x:c r="F627" s="2" t="str">
        <x:v>guardian035@example.invalid</x:v>
      </x:c>
      <x:c r="G627" s="2" t="str">
        <x:v>Email</x:v>
      </x:c>
      <x:c r="H627" s="2" t="str">
        <x:v>Authorized release</x:v>
      </x:c>
      <x:c r="I627" s="8" t="n">
        <x:v>46300.72861111112</x:v>
      </x:c>
      <x:c r="J627" s="8" t="n">
        <x:v>46300.72863425926</x:v>
      </x:c>
      <x:c r="K627" s="8" t="n">
        <x:v>46300.72866898149</x:v>
      </x:c>
      <x:c r="L627" s="2" t="str">
        <x:v>Sent</x:v>
      </x:c>
      <x:c r="M627" s="2" t="n">
        <x:v>1</x:v>
      </x:c>
      <x:c r="N627" s="2"/>
      <x:c r="O627" s="2"/>
    </x:row>
    <x:row r="628" ht="21" customHeight="1">
      <x:c r="A628" s="2" t="str">
        <x:v>NT000627</x:v>
      </x:c>
      <x:c r="B628" s="2" t="str">
        <x:v>EV000629</x:v>
      </x:c>
      <x:c r="C628" s="2" t="str">
        <x:v>T20261005-5-1</x:v>
      </x:c>
      <x:c r="D628" s="2" t="str">
        <x:v>ST036</x:v>
      </x:c>
      <x:c r="E628" s="2" t="str">
        <x:v>G036</x:v>
      </x:c>
      <x:c r="F628" s="2" t="str">
        <x:v>guardian036@example.invalid</x:v>
      </x:c>
      <x:c r="G628" s="2" t="str">
        <x:v>Email</x:v>
      </x:c>
      <x:c r="H628" s="2" t="str">
        <x:v>Boarded</x:v>
      </x:c>
      <x:c r="I628" s="8" t="n">
        <x:v>46300.70850694444</x:v>
      </x:c>
      <x:c r="J628" s="8" t="n">
        <x:v>46300.70853009258</x:v>
      </x:c>
      <x:c r="K628" s="8" t="n">
        <x:v>46300.708564814806</x:v>
      </x:c>
      <x:c r="L628" s="2" t="str">
        <x:v>Sent</x:v>
      </x:c>
      <x:c r="M628" s="2" t="n">
        <x:v>1</x:v>
      </x:c>
      <x:c r="N628" s="2"/>
      <x:c r="O628" s="2"/>
    </x:row>
    <x:row r="629" ht="21" customHeight="1">
      <x:c r="A629" s="2" t="str">
        <x:v>NT000628</x:v>
      </x:c>
      <x:c r="B629" s="2" t="str">
        <x:v>EV000630</x:v>
      </x:c>
      <x:c r="C629" s="2" t="str">
        <x:v>T20261005-5-1</x:v>
      </x:c>
      <x:c r="D629" s="2" t="str">
        <x:v>ST036</x:v>
      </x:c>
      <x:c r="E629" s="2" t="str">
        <x:v>G036</x:v>
      </x:c>
      <x:c r="F629" s="2" t="str">
        <x:v>guardian036@example.invalid</x:v>
      </x:c>
      <x:c r="G629" s="2" t="str">
        <x:v>Email</x:v>
      </x:c>
      <x:c r="H629" s="2" t="str">
        <x:v>Authorized release</x:v>
      </x:c>
      <x:c r="I629" s="8" t="n">
        <x:v>46300.733506944445</x:v>
      </x:c>
      <x:c r="J629" s="8" t="n">
        <x:v>46300.73353009259</x:v>
      </x:c>
      <x:c r="K629" s="8" t="n">
        <x:v>46300.733564814815</x:v>
      </x:c>
      <x:c r="L629" s="2" t="str">
        <x:v>Sent</x:v>
      </x:c>
      <x:c r="M629" s="2" t="n">
        <x:v>1</x:v>
      </x:c>
      <x:c r="N629" s="2"/>
      <x:c r="O629" s="2"/>
    </x:row>
    <x:row r="630" ht="21" customHeight="1">
      <x:c r="A630" s="2" t="str">
        <x:v>NT000629</x:v>
      </x:c>
      <x:c r="B630" s="2" t="str">
        <x:v>EV000631</x:v>
      </x:c>
      <x:c r="C630" s="2" t="str">
        <x:v>T20261005-5-1</x:v>
      </x:c>
      <x:c r="D630" s="2" t="str">
        <x:v>ST037</x:v>
      </x:c>
      <x:c r="E630" s="2" t="str">
        <x:v>G037</x:v>
      </x:c>
      <x:c r="F630" s="2" t="str">
        <x:v>guardian037@example.invalid</x:v>
      </x:c>
      <x:c r="G630" s="2" t="str">
        <x:v>Email</x:v>
      </x:c>
      <x:c r="H630" s="2" t="str">
        <x:v>Boarded</x:v>
      </x:c>
      <x:c r="I630" s="8" t="n">
        <x:v>46300.70854166666</x:v>
      </x:c>
      <x:c r="J630" s="8" t="n">
        <x:v>46300.708564814806</x:v>
      </x:c>
      <x:c r="K630" s="8" t="n">
        <x:v>46300.70859953703</x:v>
      </x:c>
      <x:c r="L630" s="2" t="str">
        <x:v>Sent</x:v>
      </x:c>
      <x:c r="M630" s="2" t="n">
        <x:v>1</x:v>
      </x:c>
      <x:c r="N630" s="2"/>
      <x:c r="O630" s="2"/>
    </x:row>
    <x:row r="631" ht="21" customHeight="1">
      <x:c r="A631" s="2" t="str">
        <x:v>NT000630</x:v>
      </x:c>
      <x:c r="B631" s="2" t="str">
        <x:v>EV000632</x:v>
      </x:c>
      <x:c r="C631" s="2" t="str">
        <x:v>T20261005-5-1</x:v>
      </x:c>
      <x:c r="D631" s="2" t="str">
        <x:v>ST037</x:v>
      </x:c>
      <x:c r="E631" s="2" t="str">
        <x:v>G037</x:v>
      </x:c>
      <x:c r="F631" s="2" t="str">
        <x:v>guardian037@example.invalid</x:v>
      </x:c>
      <x:c r="G631" s="2" t="str">
        <x:v>Email</x:v>
      </x:c>
      <x:c r="H631" s="2" t="str">
        <x:v>Authorized release</x:v>
      </x:c>
      <x:c r="I631" s="8" t="n">
        <x:v>46300.72381944444</x:v>
      </x:c>
      <x:c r="J631" s="8" t="n">
        <x:v>46300.72384259259</x:v>
      </x:c>
      <x:c r="K631" s="8" t="n">
        <x:v>46300.72387731481</x:v>
      </x:c>
      <x:c r="L631" s="2" t="str">
        <x:v>Sent</x:v>
      </x:c>
      <x:c r="M631" s="2" t="n">
        <x:v>1</x:v>
      </x:c>
      <x:c r="N631" s="2"/>
      <x:c r="O631" s="2"/>
    </x:row>
    <x:row r="632" ht="21" customHeight="1">
      <x:c r="A632" s="2" t="str">
        <x:v>NT000631</x:v>
      </x:c>
      <x:c r="B632" s="2" t="str">
        <x:v>EV000633</x:v>
      </x:c>
      <x:c r="C632" s="2" t="str">
        <x:v>T20261005-5-1</x:v>
      </x:c>
      <x:c r="D632" s="2" t="str">
        <x:v>ST038</x:v>
      </x:c>
      <x:c r="E632" s="2" t="str">
        <x:v>G038</x:v>
      </x:c>
      <x:c r="F632" s="2" t="str">
        <x:v>guardian038@example.invalid</x:v>
      </x:c>
      <x:c r="G632" s="2" t="str">
        <x:v>Email</x:v>
      </x:c>
      <x:c r="H632" s="2" t="str">
        <x:v>Boarded</x:v>
      </x:c>
      <x:c r="I632" s="8" t="n">
        <x:v>46300.70857638888</x:v>
      </x:c>
      <x:c r="J632" s="8" t="n">
        <x:v>46300.70859953703</x:v>
      </x:c>
      <x:c r="K632" s="8" t="n">
        <x:v>46300.70863425925</x:v>
      </x:c>
      <x:c r="L632" s="2" t="str">
        <x:v>Sent</x:v>
      </x:c>
      <x:c r="M632" s="2" t="n">
        <x:v>1</x:v>
      </x:c>
      <x:c r="N632" s="2"/>
      <x:c r="O632" s="2"/>
    </x:row>
    <x:row r="633" ht="21" customHeight="1">
      <x:c r="A633" s="2" t="str">
        <x:v>NT000632</x:v>
      </x:c>
      <x:c r="B633" s="2" t="str">
        <x:v>EV000634</x:v>
      </x:c>
      <x:c r="C633" s="2" t="str">
        <x:v>T20261005-5-1</x:v>
      </x:c>
      <x:c r="D633" s="2" t="str">
        <x:v>ST038</x:v>
      </x:c>
      <x:c r="E633" s="2" t="str">
        <x:v>G038</x:v>
      </x:c>
      <x:c r="F633" s="2" t="str">
        <x:v>guardian038@example.invalid</x:v>
      </x:c>
      <x:c r="G633" s="2" t="str">
        <x:v>Email</x:v>
      </x:c>
      <x:c r="H633" s="2" t="str">
        <x:v>Authorized release</x:v>
      </x:c>
      <x:c r="I633" s="8" t="n">
        <x:v>46300.72871527778</x:v>
      </x:c>
      <x:c r="J633" s="8" t="n">
        <x:v>46300.728738425925</x:v>
      </x:c>
      <x:c r="K633" s="8" t="n">
        <x:v>46300.72877314815</x:v>
      </x:c>
      <x:c r="L633" s="2" t="str">
        <x:v>Sent</x:v>
      </x:c>
      <x:c r="M633" s="2" t="n">
        <x:v>1</x:v>
      </x:c>
      <x:c r="N633" s="2"/>
      <x:c r="O633" s="2"/>
    </x:row>
    <x:row r="634" ht="21" customHeight="1">
      <x:c r="A634" s="2" t="str">
        <x:v>NT000633</x:v>
      </x:c>
      <x:c r="B634" s="2" t="str">
        <x:v>EV000635</x:v>
      </x:c>
      <x:c r="C634" s="2" t="str">
        <x:v>T20261005-5-1</x:v>
      </x:c>
      <x:c r="D634" s="2" t="str">
        <x:v>ST039</x:v>
      </x:c>
      <x:c r="E634" s="2" t="str">
        <x:v>G039</x:v>
      </x:c>
      <x:c r="F634" s="2" t="str">
        <x:v>guardian039@example.invalid</x:v>
      </x:c>
      <x:c r="G634" s="2" t="str">
        <x:v>Email</x:v>
      </x:c>
      <x:c r="H634" s="2" t="str">
        <x:v>Boarded</x:v>
      </x:c>
      <x:c r="I634" s="8" t="n">
        <x:v>46300.708611111106</x:v>
      </x:c>
      <x:c r="J634" s="8" t="n">
        <x:v>46300.70863425925</x:v>
      </x:c>
      <x:c r="K634" s="8" t="n">
        <x:v>46300.708668981475</x:v>
      </x:c>
      <x:c r="L634" s="2" t="str">
        <x:v>Sent</x:v>
      </x:c>
      <x:c r="M634" s="2" t="n">
        <x:v>1</x:v>
      </x:c>
      <x:c r="N634" s="2"/>
      <x:c r="O634" s="2"/>
    </x:row>
    <x:row r="635" ht="21" customHeight="1">
      <x:c r="A635" s="2" t="str">
        <x:v>NT000634</x:v>
      </x:c>
      <x:c r="B635" s="2" t="str">
        <x:v>EV000636</x:v>
      </x:c>
      <x:c r="C635" s="2" t="str">
        <x:v>T20261005-5-1</x:v>
      </x:c>
      <x:c r="D635" s="2" t="str">
        <x:v>ST039</x:v>
      </x:c>
      <x:c r="E635" s="2" t="str">
        <x:v>G039</x:v>
      </x:c>
      <x:c r="F635" s="2" t="str">
        <x:v>guardian039@example.invalid</x:v>
      </x:c>
      <x:c r="G635" s="2" t="str">
        <x:v>Email</x:v>
      </x:c>
      <x:c r="H635" s="2" t="str">
        <x:v>Authorized release</x:v>
      </x:c>
      <x:c r="I635" s="8" t="n">
        <x:v>46300.733611111114</x:v>
      </x:c>
      <x:c r="J635" s="8" t="n">
        <x:v>46300.73363425926</x:v>
      </x:c>
      <x:c r="K635" s="8" t="n">
        <x:v>46300.733668981484</x:v>
      </x:c>
      <x:c r="L635" s="2" t="str">
        <x:v>Sent</x:v>
      </x:c>
      <x:c r="M635" s="2" t="n">
        <x:v>1</x:v>
      </x:c>
      <x:c r="N635" s="2"/>
      <x:c r="O635" s="2"/>
    </x:row>
    <x:row r="636" ht="21" customHeight="1">
      <x:c r="A636" s="2" t="str">
        <x:v>NT000635</x:v>
      </x:c>
      <x:c r="B636" s="2" t="str">
        <x:v>EV000637</x:v>
      </x:c>
      <x:c r="C636" s="2" t="str">
        <x:v>T20261005-5-1</x:v>
      </x:c>
      <x:c r="D636" s="2" t="str">
        <x:v>ST040</x:v>
      </x:c>
      <x:c r="E636" s="2" t="str">
        <x:v>G040</x:v>
      </x:c>
      <x:c r="F636" s="2" t="str">
        <x:v>guardian040@example.invalid</x:v>
      </x:c>
      <x:c r="G636" s="2" t="str">
        <x:v>Email</x:v>
      </x:c>
      <x:c r="H636" s="2" t="str">
        <x:v>Boarded</x:v>
      </x:c>
      <x:c r="I636" s="8" t="n">
        <x:v>46300.70864583333</x:v>
      </x:c>
      <x:c r="J636" s="8" t="n">
        <x:v>46300.708668981475</x:v>
      </x:c>
      <x:c r="K636" s="8" t="n">
        <x:v>46300.7087037037</x:v>
      </x:c>
      <x:c r="L636" s="2" t="str">
        <x:v>Sent</x:v>
      </x:c>
      <x:c r="M636" s="2" t="n">
        <x:v>1</x:v>
      </x:c>
      <x:c r="N636" s="2"/>
      <x:c r="O636" s="2"/>
    </x:row>
    <x:row r="637" ht="21" customHeight="1">
      <x:c r="A637" s="2" t="str">
        <x:v>NT000636</x:v>
      </x:c>
      <x:c r="B637" s="2" t="str">
        <x:v>EV000638</x:v>
      </x:c>
      <x:c r="C637" s="2" t="str">
        <x:v>T20261005-5-1</x:v>
      </x:c>
      <x:c r="D637" s="2" t="str">
        <x:v>ST040</x:v>
      </x:c>
      <x:c r="E637" s="2" t="str">
        <x:v>G040</x:v>
      </x:c>
      <x:c r="F637" s="2" t="str">
        <x:v>guardian040@example.invalid</x:v>
      </x:c>
      <x:c r="G637" s="2" t="str">
        <x:v>Email</x:v>
      </x:c>
      <x:c r="H637" s="2" t="str">
        <x:v>Authorized release</x:v>
      </x:c>
      <x:c r="I637" s="8" t="n">
        <x:v>46300.72392361111</x:v>
      </x:c>
      <x:c r="J637" s="8" t="n">
        <x:v>46300.72394675926</x:v>
      </x:c>
      <x:c r="K637" s="8" t="n">
        <x:v>46300.72398148148</x:v>
      </x:c>
      <x:c r="L637" s="2" t="str">
        <x:v>Sent</x:v>
      </x:c>
      <x:c r="M637" s="2" t="n">
        <x:v>1</x:v>
      </x:c>
      <x:c r="N637" s="2"/>
      <x:c r="O637" s="2"/>
    </x:row>
    <x:row r="638" ht="21" customHeight="1">
      <x:c r="A638" s="2" t="str">
        <x:v>NT000637</x:v>
      </x:c>
      <x:c r="B638" s="2" t="str">
        <x:v>EV000639</x:v>
      </x:c>
      <x:c r="C638" s="2" t="str">
        <x:v>T20261005-1-2</x:v>
      </x:c>
      <x:c r="D638" s="2" t="str">
        <x:v>ST041</x:v>
      </x:c>
      <x:c r="E638" s="2" t="str">
        <x:v>G041</x:v>
      </x:c>
      <x:c r="F638" s="2" t="str">
        <x:v>guardian041@example.invalid</x:v>
      </x:c>
      <x:c r="G638" s="2" t="str">
        <x:v>Email</x:v>
      </x:c>
      <x:c r="H638" s="2" t="str">
        <x:v>Boarded</x:v>
      </x:c>
      <x:c r="I638" s="8" t="n">
        <x:v>46300.242361111115</x:v>
      </x:c>
      <x:c r="J638" s="8" t="n">
        <x:v>46300.24238425926</x:v>
      </x:c>
      <x:c r="K638" s="8" t="n">
        <x:v>46300.242418981485</x:v>
      </x:c>
      <x:c r="L638" s="2" t="str">
        <x:v>Sent</x:v>
      </x:c>
      <x:c r="M638" s="2" t="n">
        <x:v>1</x:v>
      </x:c>
      <x:c r="N638" s="2"/>
      <x:c r="O638" s="2"/>
    </x:row>
    <x:row r="639" ht="21" customHeight="1">
      <x:c r="A639" s="2" t="str">
        <x:v>NT000638</x:v>
      </x:c>
      <x:c r="B639" s="2" t="str">
        <x:v>EV000640</x:v>
      </x:c>
      <x:c r="C639" s="2" t="str">
        <x:v>T20261005-1-2</x:v>
      </x:c>
      <x:c r="D639" s="2" t="str">
        <x:v>ST041</x:v>
      </x:c>
      <x:c r="E639" s="2" t="str">
        <x:v>G041</x:v>
      </x:c>
      <x:c r="F639" s="2" t="str">
        <x:v>guardian041@example.invalid</x:v>
      </x:c>
      <x:c r="G639" s="2" t="str">
        <x:v>Email</x:v>
      </x:c>
      <x:c r="H639" s="2" t="str">
        <x:v>School receipt</x:v>
      </x:c>
      <x:c r="I639" s="8" t="n">
        <x:v>46300.27638888889</x:v>
      </x:c>
      <x:c r="J639" s="8" t="n">
        <x:v>46300.276412037034</x:v>
      </x:c>
      <x:c r="K639" s="8" t="n">
        <x:v>46300.27644675926</x:v>
      </x:c>
      <x:c r="L639" s="2" t="str">
        <x:v>Sent</x:v>
      </x:c>
      <x:c r="M639" s="2" t="n">
        <x:v>1</x:v>
      </x:c>
      <x:c r="N639" s="2"/>
      <x:c r="O639" s="2"/>
    </x:row>
    <x:row r="640" ht="21" customHeight="1">
      <x:c r="A640" s="2" t="str">
        <x:v>NT000639</x:v>
      </x:c>
      <x:c r="B640" s="2" t="str">
        <x:v>EV000641</x:v>
      </x:c>
      <x:c r="C640" s="2" t="str">
        <x:v>T20261005-1-2</x:v>
      </x:c>
      <x:c r="D640" s="2" t="str">
        <x:v>ST043</x:v>
      </x:c>
      <x:c r="E640" s="2" t="str">
        <x:v>G043</x:v>
      </x:c>
      <x:c r="F640" s="2" t="str">
        <x:v>guardian043@example.invalid</x:v>
      </x:c>
      <x:c r="G640" s="2" t="str">
        <x:v>Email</x:v>
      </x:c>
      <x:c r="H640" s="2" t="str">
        <x:v>Boarded</x:v>
      </x:c>
      <x:c r="I640" s="8" t="n">
        <x:v>46300.25215277778</x:v>
      </x:c>
      <x:c r="J640" s="8" t="n">
        <x:v>46300.252175925925</x:v>
      </x:c>
      <x:c r="K640" s="8" t="n">
        <x:v>46300.25221064815</x:v>
      </x:c>
      <x:c r="L640" s="2" t="str">
        <x:v>Sent</x:v>
      </x:c>
      <x:c r="M640" s="2" t="n">
        <x:v>1</x:v>
      </x:c>
      <x:c r="N640" s="2"/>
      <x:c r="O640" s="2"/>
    </x:row>
    <x:row r="641" ht="21" customHeight="1">
      <x:c r="A641" s="2" t="str">
        <x:v>NT000640</x:v>
      </x:c>
      <x:c r="B641" s="2" t="str">
        <x:v>EV000642</x:v>
      </x:c>
      <x:c r="C641" s="2" t="str">
        <x:v>T20261005-1-2</x:v>
      </x:c>
      <x:c r="D641" s="2" t="str">
        <x:v>ST043</x:v>
      </x:c>
      <x:c r="E641" s="2" t="str">
        <x:v>G043</x:v>
      </x:c>
      <x:c r="F641" s="2" t="str">
        <x:v>guardian043@example.invalid</x:v>
      </x:c>
      <x:c r="G641" s="2" t="str">
        <x:v>Email</x:v>
      </x:c>
      <x:c r="H641" s="2" t="str">
        <x:v>School receipt</x:v>
      </x:c>
      <x:c r="I641" s="8" t="n">
        <x:v>46300.276458333334</x:v>
      </x:c>
      <x:c r="J641" s="8" t="n">
        <x:v>46300.27648148148</x:v>
      </x:c>
      <x:c r="K641" s="8" t="n">
        <x:v>46300.2765162037</x:v>
      </x:c>
      <x:c r="L641" s="2" t="str">
        <x:v>Sent</x:v>
      </x:c>
      <x:c r="M641" s="2" t="n">
        <x:v>1</x:v>
      </x:c>
      <x:c r="N641" s="2"/>
      <x:c r="O641" s="2"/>
    </x:row>
    <x:row r="642" ht="21" customHeight="1">
      <x:c r="A642" s="2" t="str">
        <x:v>NT000641</x:v>
      </x:c>
      <x:c r="B642" s="2" t="str">
        <x:v>EV000643</x:v>
      </x:c>
      <x:c r="C642" s="2" t="str">
        <x:v>T20261005-1-2</x:v>
      </x:c>
      <x:c r="D642" s="2" t="str">
        <x:v>ST044</x:v>
      </x:c>
      <x:c r="E642" s="2" t="str">
        <x:v>G044</x:v>
      </x:c>
      <x:c r="F642" s="2" t="str">
        <x:v>guardian044@example.invalid</x:v>
      </x:c>
      <x:c r="G642" s="2" t="str">
        <x:v>Email</x:v>
      </x:c>
      <x:c r="H642" s="2" t="str">
        <x:v>Boarded</x:v>
      </x:c>
      <x:c r="I642" s="8" t="n">
        <x:v>46300.242465277785</x:v>
      </x:c>
      <x:c r="J642" s="8" t="n">
        <x:v>46300.24248842593</x:v>
      </x:c>
      <x:c r="K642" s="8" t="n">
        <x:v>46300.242523148154</x:v>
      </x:c>
      <x:c r="L642" s="2" t="str">
        <x:v>Sent</x:v>
      </x:c>
      <x:c r="M642" s="2" t="n">
        <x:v>1</x:v>
      </x:c>
      <x:c r="N642" s="2"/>
      <x:c r="O642" s="2"/>
    </x:row>
    <x:row r="643" ht="21" customHeight="1">
      <x:c r="A643" s="2" t="str">
        <x:v>NT000642</x:v>
      </x:c>
      <x:c r="B643" s="2" t="str">
        <x:v>EV000644</x:v>
      </x:c>
      <x:c r="C643" s="2" t="str">
        <x:v>T20261005-1-2</x:v>
      </x:c>
      <x:c r="D643" s="2" t="str">
        <x:v>ST044</x:v>
      </x:c>
      <x:c r="E643" s="2" t="str">
        <x:v>G044</x:v>
      </x:c>
      <x:c r="F643" s="2" t="str">
        <x:v>guardian044@example.invalid</x:v>
      </x:c>
      <x:c r="G643" s="2" t="str">
        <x:v>Email</x:v>
      </x:c>
      <x:c r="H643" s="2" t="str">
        <x:v>School receipt</x:v>
      </x:c>
      <x:c r="I643" s="8" t="n">
        <x:v>46300.27649305556</x:v>
      </x:c>
      <x:c r="J643" s="8" t="n">
        <x:v>46300.2765162037</x:v>
      </x:c>
      <x:c r="K643" s="8" t="n">
        <x:v>46300.276550925926</x:v>
      </x:c>
      <x:c r="L643" s="2" t="str">
        <x:v>Sent</x:v>
      </x:c>
      <x:c r="M643" s="2" t="n">
        <x:v>1</x:v>
      </x:c>
      <x:c r="N643" s="2"/>
      <x:c r="O643" s="2"/>
    </x:row>
    <x:row r="644" ht="21" customHeight="1">
      <x:c r="A644" s="2" t="str">
        <x:v>NT000643</x:v>
      </x:c>
      <x:c r="B644" s="2" t="str">
        <x:v>EV000645</x:v>
      </x:c>
      <x:c r="C644" s="2" t="str">
        <x:v>T20261005-1-2</x:v>
      </x:c>
      <x:c r="D644" s="2" t="str">
        <x:v>ST045</x:v>
      </x:c>
      <x:c r="E644" s="2" t="str">
        <x:v>G045</x:v>
      </x:c>
      <x:c r="F644" s="2" t="str">
        <x:v>guardian045@example.invalid</x:v>
      </x:c>
      <x:c r="G644" s="2" t="str">
        <x:v>Email</x:v>
      </x:c>
      <x:c r="H644" s="2" t="str">
        <x:v>Boarded</x:v>
      </x:c>
      <x:c r="I644" s="8" t="n">
        <x:v>46300.24736111111</x:v>
      </x:c>
      <x:c r="J644" s="8" t="n">
        <x:v>46300.24738425926</x:v>
      </x:c>
      <x:c r="K644" s="8" t="n">
        <x:v>46300.24741898148</x:v>
      </x:c>
      <x:c r="L644" s="2" t="str">
        <x:v>Sent</x:v>
      </x:c>
      <x:c r="M644" s="2" t="n">
        <x:v>1</x:v>
      </x:c>
      <x:c r="N644" s="2"/>
      <x:c r="O644" s="2"/>
    </x:row>
    <x:row r="645" ht="21" customHeight="1">
      <x:c r="A645" s="2" t="str">
        <x:v>NT000644</x:v>
      </x:c>
      <x:c r="B645" s="2" t="str">
        <x:v>EV000646</x:v>
      </x:c>
      <x:c r="C645" s="2" t="str">
        <x:v>T20261005-1-2</x:v>
      </x:c>
      <x:c r="D645" s="2" t="str">
        <x:v>ST045</x:v>
      </x:c>
      <x:c r="E645" s="2" t="str">
        <x:v>G045</x:v>
      </x:c>
      <x:c r="F645" s="2" t="str">
        <x:v>guardian045@example.invalid</x:v>
      </x:c>
      <x:c r="G645" s="2" t="str">
        <x:v>Email</x:v>
      </x:c>
      <x:c r="H645" s="2" t="str">
        <x:v>School receipt</x:v>
      </x:c>
      <x:c r="I645" s="8" t="n">
        <x:v>46300.27652777778</x:v>
      </x:c>
      <x:c r="J645" s="8" t="n">
        <x:v>46300.276550925926</x:v>
      </x:c>
      <x:c r="K645" s="8" t="n">
        <x:v>46300.27658564815</x:v>
      </x:c>
      <x:c r="L645" s="2" t="str">
        <x:v>Sent</x:v>
      </x:c>
      <x:c r="M645" s="2" t="n">
        <x:v>1</x:v>
      </x:c>
      <x:c r="N645" s="2"/>
      <x:c r="O645" s="2"/>
    </x:row>
    <x:row r="646" ht="21" customHeight="1">
      <x:c r="A646" s="2" t="str">
        <x:v>NT000645</x:v>
      </x:c>
      <x:c r="B646" s="2" t="str">
        <x:v>EV000647</x:v>
      </x:c>
      <x:c r="C646" s="2" t="str">
        <x:v>T20261005-1-2</x:v>
      </x:c>
      <x:c r="D646" s="2" t="str">
        <x:v>ST046</x:v>
      </x:c>
      <x:c r="E646" s="2" t="str">
        <x:v>G046</x:v>
      </x:c>
      <x:c r="F646" s="2" t="str">
        <x:v>guardian046@example.invalid</x:v>
      </x:c>
      <x:c r="G646" s="2" t="str">
        <x:v>Email</x:v>
      </x:c>
      <x:c r="H646" s="2" t="str">
        <x:v>Boarded</x:v>
      </x:c>
      <x:c r="I646" s="8" t="n">
        <x:v>46300.25225694444</x:v>
      </x:c>
      <x:c r="J646" s="8" t="n">
        <x:v>46300.25228009259</x:v>
      </x:c>
      <x:c r="K646" s="8" t="n">
        <x:v>46300.25231481481</x:v>
      </x:c>
      <x:c r="L646" s="2" t="str">
        <x:v>Sent</x:v>
      </x:c>
      <x:c r="M646" s="2" t="n">
        <x:v>1</x:v>
      </x:c>
      <x:c r="N646" s="2"/>
      <x:c r="O646" s="2"/>
    </x:row>
    <x:row r="647" ht="21" customHeight="1">
      <x:c r="A647" s="2" t="str">
        <x:v>NT000646</x:v>
      </x:c>
      <x:c r="B647" s="2" t="str">
        <x:v>EV000648</x:v>
      </x:c>
      <x:c r="C647" s="2" t="str">
        <x:v>T20261005-1-2</x:v>
      </x:c>
      <x:c r="D647" s="2" t="str">
        <x:v>ST046</x:v>
      </x:c>
      <x:c r="E647" s="2" t="str">
        <x:v>G046</x:v>
      </x:c>
      <x:c r="F647" s="2" t="str">
        <x:v>guardian046@example.invalid</x:v>
      </x:c>
      <x:c r="G647" s="2" t="str">
        <x:v>Email</x:v>
      </x:c>
      <x:c r="H647" s="2" t="str">
        <x:v>School receipt</x:v>
      </x:c>
      <x:c r="I647" s="8" t="n">
        <x:v>46300.276562499996</x:v>
      </x:c>
      <x:c r="J647" s="8" t="n">
        <x:v>46300.27658564814</x:v>
      </x:c>
      <x:c r="K647" s="8" t="n">
        <x:v>46300.276620370365</x:v>
      </x:c>
      <x:c r="L647" s="2" t="str">
        <x:v>Sent</x:v>
      </x:c>
      <x:c r="M647" s="2" t="n">
        <x:v>1</x:v>
      </x:c>
      <x:c r="N647" s="2"/>
      <x:c r="O647" s="2"/>
    </x:row>
    <x:row r="648" ht="21" customHeight="1">
      <x:c r="A648" s="2" t="str">
        <x:v>NT000647</x:v>
      </x:c>
      <x:c r="B648" s="2" t="str">
        <x:v>EV000649</x:v>
      </x:c>
      <x:c r="C648" s="2" t="str">
        <x:v>T20261005-1-2</x:v>
      </x:c>
      <x:c r="D648" s="2" t="str">
        <x:v>ST047</x:v>
      </x:c>
      <x:c r="E648" s="2" t="str">
        <x:v>G047</x:v>
      </x:c>
      <x:c r="F648" s="2" t="str">
        <x:v>guardian047@example.invalid</x:v>
      </x:c>
      <x:c r="G648" s="2" t="str">
        <x:v>Email</x:v>
      </x:c>
      <x:c r="H648" s="2" t="str">
        <x:v>Boarded</x:v>
      </x:c>
      <x:c r="I648" s="8" t="n">
        <x:v>46300.24256944445</x:v>
      </x:c>
      <x:c r="J648" s="8" t="n">
        <x:v>46300.24259259259</x:v>
      </x:c>
      <x:c r="K648" s="8" t="n">
        <x:v>46300.242627314816</x:v>
      </x:c>
      <x:c r="L648" s="2" t="str">
        <x:v>Sent</x:v>
      </x:c>
      <x:c r="M648" s="2" t="n">
        <x:v>1</x:v>
      </x:c>
      <x:c r="N648" s="2"/>
      <x:c r="O648" s="2"/>
    </x:row>
    <x:row r="649" ht="21" customHeight="1">
      <x:c r="A649" s="2" t="str">
        <x:v>NT000648</x:v>
      </x:c>
      <x:c r="B649" s="2" t="str">
        <x:v>EV000650</x:v>
      </x:c>
      <x:c r="C649" s="2" t="str">
        <x:v>T20261005-1-2</x:v>
      </x:c>
      <x:c r="D649" s="2" t="str">
        <x:v>ST047</x:v>
      </x:c>
      <x:c r="E649" s="2" t="str">
        <x:v>G047</x:v>
      </x:c>
      <x:c r="F649" s="2" t="str">
        <x:v>guardian047@example.invalid</x:v>
      </x:c>
      <x:c r="G649" s="2" t="str">
        <x:v>Email</x:v>
      </x:c>
      <x:c r="H649" s="2" t="str">
        <x:v>School receipt</x:v>
      </x:c>
      <x:c r="I649" s="8" t="n">
        <x:v>46300.27659722222</x:v>
      </x:c>
      <x:c r="J649" s="8" t="n">
        <x:v>46300.276620370365</x:v>
      </x:c>
      <x:c r="K649" s="8" t="n">
        <x:v>46300.27665509259</x:v>
      </x:c>
      <x:c r="L649" s="2" t="str">
        <x:v>Sent</x:v>
      </x:c>
      <x:c r="M649" s="2" t="n">
        <x:v>1</x:v>
      </x:c>
      <x:c r="N649" s="2"/>
      <x:c r="O649" s="2"/>
    </x:row>
    <x:row r="650" ht="21" customHeight="1">
      <x:c r="A650" s="2" t="str">
        <x:v>NT000649</x:v>
      </x:c>
      <x:c r="B650" s="2" t="str">
        <x:v>EV000651</x:v>
      </x:c>
      <x:c r="C650" s="2" t="str">
        <x:v>T20261005-1-2</x:v>
      </x:c>
      <x:c r="D650" s="2" t="str">
        <x:v>ST048</x:v>
      </x:c>
      <x:c r="E650" s="2" t="str">
        <x:v>G048</x:v>
      </x:c>
      <x:c r="F650" s="2" t="str">
        <x:v>guardian048@example.invalid</x:v>
      </x:c>
      <x:c r="G650" s="2" t="str">
        <x:v>Email</x:v>
      </x:c>
      <x:c r="H650" s="2" t="str">
        <x:v>Boarded</x:v>
      </x:c>
      <x:c r="I650" s="8" t="n">
        <x:v>46300.247465277775</x:v>
      </x:c>
      <x:c r="J650" s="8" t="n">
        <x:v>46300.24748842592</x:v>
      </x:c>
      <x:c r="K650" s="8" t="n">
        <x:v>46300.247523148144</x:v>
      </x:c>
      <x:c r="L650" s="2" t="str">
        <x:v>Sent</x:v>
      </x:c>
      <x:c r="M650" s="2" t="n">
        <x:v>1</x:v>
      </x:c>
      <x:c r="N650" s="2"/>
      <x:c r="O650" s="2"/>
    </x:row>
    <x:row r="651" ht="21" customHeight="1">
      <x:c r="A651" s="2" t="str">
        <x:v>NT000650</x:v>
      </x:c>
      <x:c r="B651" s="2" t="str">
        <x:v>EV000652</x:v>
      </x:c>
      <x:c r="C651" s="2" t="str">
        <x:v>T20261005-1-2</x:v>
      </x:c>
      <x:c r="D651" s="2" t="str">
        <x:v>ST048</x:v>
      </x:c>
      <x:c r="E651" s="2" t="str">
        <x:v>G048</x:v>
      </x:c>
      <x:c r="F651" s="2" t="str">
        <x:v>guardian048@example.invalid</x:v>
      </x:c>
      <x:c r="G651" s="2" t="str">
        <x:v>Email</x:v>
      </x:c>
      <x:c r="H651" s="2" t="str">
        <x:v>School receipt</x:v>
      </x:c>
      <x:c r="I651" s="8" t="n">
        <x:v>46300.27663194444</x:v>
      </x:c>
      <x:c r="J651" s="8" t="n">
        <x:v>46300.27665509259</x:v>
      </x:c>
      <x:c r="K651" s="8" t="n">
        <x:v>46300.27668981481</x:v>
      </x:c>
      <x:c r="L651" s="2" t="str">
        <x:v>Sent</x:v>
      </x:c>
      <x:c r="M651" s="2" t="n">
        <x:v>1</x:v>
      </x:c>
      <x:c r="N651" s="2"/>
      <x:c r="O651" s="2"/>
    </x:row>
    <x:row r="652" ht="21" customHeight="1">
      <x:c r="A652" s="2" t="str">
        <x:v>NT000651</x:v>
      </x:c>
      <x:c r="B652" s="2" t="str">
        <x:v>EV000653</x:v>
      </x:c>
      <x:c r="C652" s="2" t="str">
        <x:v>T20261005-1-2</x:v>
      </x:c>
      <x:c r="D652" s="2" t="str">
        <x:v>ST049</x:v>
      </x:c>
      <x:c r="E652" s="2" t="str">
        <x:v>G049</x:v>
      </x:c>
      <x:c r="F652" s="2" t="str">
        <x:v>guardian049@example.invalid</x:v>
      </x:c>
      <x:c r="G652" s="2" t="str">
        <x:v>Email</x:v>
      </x:c>
      <x:c r="H652" s="2" t="str">
        <x:v>Boarded</x:v>
      </x:c>
      <x:c r="I652" s="8" t="n">
        <x:v>46300.25236111111</x:v>
      </x:c>
      <x:c r="J652" s="8" t="n">
        <x:v>46300.252384259256</x:v>
      </x:c>
      <x:c r="K652" s="8" t="n">
        <x:v>46300.25241898148</x:v>
      </x:c>
      <x:c r="L652" s="2" t="str">
        <x:v>Sent</x:v>
      </x:c>
      <x:c r="M652" s="2" t="n">
        <x:v>1</x:v>
      </x:c>
      <x:c r="N652" s="2"/>
      <x:c r="O652" s="2"/>
    </x:row>
    <x:row r="653" ht="21" customHeight="1">
      <x:c r="A653" s="2" t="str">
        <x:v>NT000652</x:v>
      </x:c>
      <x:c r="B653" s="2" t="str">
        <x:v>EV000654</x:v>
      </x:c>
      <x:c r="C653" s="2" t="str">
        <x:v>T20261005-1-2</x:v>
      </x:c>
      <x:c r="D653" s="2" t="str">
        <x:v>ST049</x:v>
      </x:c>
      <x:c r="E653" s="2" t="str">
        <x:v>G049</x:v>
      </x:c>
      <x:c r="F653" s="2" t="str">
        <x:v>guardian049@example.invalid</x:v>
      </x:c>
      <x:c r="G653" s="2" t="str">
        <x:v>Email</x:v>
      </x:c>
      <x:c r="H653" s="2" t="str">
        <x:v>School receipt</x:v>
      </x:c>
      <x:c r="I653" s="8" t="n">
        <x:v>46300.276666666665</x:v>
      </x:c>
      <x:c r="J653" s="8" t="n">
        <x:v>46300.27668981481</x:v>
      </x:c>
      <x:c r="K653" s="8" t="n">
        <x:v>46300.276724537034</x:v>
      </x:c>
      <x:c r="L653" s="2" t="str">
        <x:v>Sent</x:v>
      </x:c>
      <x:c r="M653" s="2" t="n">
        <x:v>1</x:v>
      </x:c>
      <x:c r="N653" s="2"/>
      <x:c r="O653" s="2"/>
    </x:row>
    <x:row r="654" ht="21" customHeight="1">
      <x:c r="A654" s="2" t="str">
        <x:v>NT000653</x:v>
      </x:c>
      <x:c r="B654" s="2" t="str">
        <x:v>EV000655</x:v>
      </x:c>
      <x:c r="C654" s="2" t="str">
        <x:v>T20261005-1-2</x:v>
      </x:c>
      <x:c r="D654" s="2" t="str">
        <x:v>ST050</x:v>
      </x:c>
      <x:c r="E654" s="2" t="str">
        <x:v>G050</x:v>
      </x:c>
      <x:c r="F654" s="2" t="str">
        <x:v>guardian050@example.invalid</x:v>
      </x:c>
      <x:c r="G654" s="2" t="str">
        <x:v>Email</x:v>
      </x:c>
      <x:c r="H654" s="2" t="str">
        <x:v>Boarded</x:v>
      </x:c>
      <x:c r="I654" s="8" t="n">
        <x:v>46300.242673611116</x:v>
      </x:c>
      <x:c r="J654" s="8" t="n">
        <x:v>46300.24269675926</x:v>
      </x:c>
      <x:c r="K654" s="8" t="n">
        <x:v>46300.242731481485</x:v>
      </x:c>
      <x:c r="L654" s="2" t="str">
        <x:v>Sent</x:v>
      </x:c>
      <x:c r="M654" s="2" t="n">
        <x:v>1</x:v>
      </x:c>
      <x:c r="N654" s="2"/>
      <x:c r="O654" s="2"/>
    </x:row>
    <x:row r="655" ht="21" customHeight="1">
      <x:c r="A655" s="2" t="str">
        <x:v>NT000654</x:v>
      </x:c>
      <x:c r="B655" s="2" t="str">
        <x:v>EV000656</x:v>
      </x:c>
      <x:c r="C655" s="2" t="str">
        <x:v>T20261005-1-2</x:v>
      </x:c>
      <x:c r="D655" s="2" t="str">
        <x:v>ST050</x:v>
      </x:c>
      <x:c r="E655" s="2" t="str">
        <x:v>G050</x:v>
      </x:c>
      <x:c r="F655" s="2" t="str">
        <x:v>guardian050@example.invalid</x:v>
      </x:c>
      <x:c r="G655" s="2" t="str">
        <x:v>Email</x:v>
      </x:c>
      <x:c r="H655" s="2" t="str">
        <x:v>School receipt</x:v>
      </x:c>
      <x:c r="I655" s="8" t="n">
        <x:v>46300.27670138889</x:v>
      </x:c>
      <x:c r="J655" s="8" t="n">
        <x:v>46300.276724537034</x:v>
      </x:c>
      <x:c r="K655" s="8" t="n">
        <x:v>46300.27675925926</x:v>
      </x:c>
      <x:c r="L655" s="2" t="str">
        <x:v>Sent</x:v>
      </x:c>
      <x:c r="M655" s="2" t="n">
        <x:v>1</x:v>
      </x:c>
      <x:c r="N655" s="2"/>
      <x:c r="O655" s="2"/>
    </x:row>
    <x:row r="656" ht="21" customHeight="1">
      <x:c r="A656" s="2" t="str">
        <x:v>NT000655</x:v>
      </x:c>
      <x:c r="B656" s="2" t="str">
        <x:v>EV000657</x:v>
      </x:c>
      <x:c r="C656" s="2" t="str">
        <x:v>T20261005-1-2</x:v>
      </x:c>
      <x:c r="D656" s="2" t="str">
        <x:v>ST051</x:v>
      </x:c>
      <x:c r="E656" s="2" t="str">
        <x:v>G051</x:v>
      </x:c>
      <x:c r="F656" s="2" t="str">
        <x:v>guardian051@example.invalid</x:v>
      </x:c>
      <x:c r="G656" s="2" t="str">
        <x:v>Email</x:v>
      </x:c>
      <x:c r="H656" s="2" t="str">
        <x:v>Boarded</x:v>
      </x:c>
      <x:c r="I656" s="8" t="n">
        <x:v>46300.24722222222</x:v>
      </x:c>
      <x:c r="J656" s="8" t="n">
        <x:v>46300.24724537037</x:v>
      </x:c>
      <x:c r="K656" s="8" t="n">
        <x:v>46300.24728009259</x:v>
      </x:c>
      <x:c r="L656" s="2" t="str">
        <x:v>Sent</x:v>
      </x:c>
      <x:c r="M656" s="2" t="n">
        <x:v>1</x:v>
      </x:c>
      <x:c r="N656" s="2"/>
      <x:c r="O656" s="2"/>
    </x:row>
    <x:row r="657" ht="21" customHeight="1">
      <x:c r="A657" s="2" t="str">
        <x:v>NT000656</x:v>
      </x:c>
      <x:c r="B657" s="2" t="str">
        <x:v>EV000658</x:v>
      </x:c>
      <x:c r="C657" s="2" t="str">
        <x:v>T20261005-1-2</x:v>
      </x:c>
      <x:c r="D657" s="2" t="str">
        <x:v>ST051</x:v>
      </x:c>
      <x:c r="E657" s="2" t="str">
        <x:v>G051</x:v>
      </x:c>
      <x:c r="F657" s="2" t="str">
        <x:v>guardian051@example.invalid</x:v>
      </x:c>
      <x:c r="G657" s="2" t="str">
        <x:v>Email</x:v>
      </x:c>
      <x:c r="H657" s="2" t="str">
        <x:v>School receipt</x:v>
      </x:c>
      <x:c r="I657" s="8" t="n">
        <x:v>46300.27673611111</x:v>
      </x:c>
      <x:c r="J657" s="8" t="n">
        <x:v>46300.27675925926</x:v>
      </x:c>
      <x:c r="K657" s="8" t="n">
        <x:v>46300.27679398148</x:v>
      </x:c>
      <x:c r="L657" s="2" t="str">
        <x:v>Sent</x:v>
      </x:c>
      <x:c r="M657" s="2" t="n">
        <x:v>1</x:v>
      </x:c>
      <x:c r="N657" s="2"/>
      <x:c r="O657" s="2"/>
    </x:row>
    <x:row r="658" ht="21" customHeight="1">
      <x:c r="A658" s="2" t="str">
        <x:v>NT000657</x:v>
      </x:c>
      <x:c r="B658" s="2" t="str">
        <x:v>EV000659</x:v>
      </x:c>
      <x:c r="C658" s="2" t="str">
        <x:v>T20261005-1-2</x:v>
      </x:c>
      <x:c r="D658" s="2" t="str">
        <x:v>ST052</x:v>
      </x:c>
      <x:c r="E658" s="2" t="str">
        <x:v>G052</x:v>
      </x:c>
      <x:c r="F658" s="2" t="str">
        <x:v>guardian052@example.invalid</x:v>
      </x:c>
      <x:c r="G658" s="2" t="str">
        <x:v>Email</x:v>
      </x:c>
      <x:c r="H658" s="2" t="str">
        <x:v>Boarded</x:v>
      </x:c>
      <x:c r="I658" s="8" t="n">
        <x:v>46300.252118055556</x:v>
      </x:c>
      <x:c r="J658" s="8" t="n">
        <x:v>46300.2521412037</x:v>
      </x:c>
      <x:c r="K658" s="8" t="n">
        <x:v>46300.252175925925</x:v>
      </x:c>
      <x:c r="L658" s="2" t="str">
        <x:v>Sent</x:v>
      </x:c>
      <x:c r="M658" s="2" t="n">
        <x:v>1</x:v>
      </x:c>
      <x:c r="N658" s="2"/>
      <x:c r="O658" s="2"/>
    </x:row>
    <x:row r="659" ht="21" customHeight="1">
      <x:c r="A659" s="2" t="str">
        <x:v>NT000658</x:v>
      </x:c>
      <x:c r="B659" s="2" t="str">
        <x:v>EV000660</x:v>
      </x:c>
      <x:c r="C659" s="2" t="str">
        <x:v>T20261005-1-2</x:v>
      </x:c>
      <x:c r="D659" s="2" t="str">
        <x:v>ST052</x:v>
      </x:c>
      <x:c r="E659" s="2" t="str">
        <x:v>G052</x:v>
      </x:c>
      <x:c r="F659" s="2" t="str">
        <x:v>guardian052@example.invalid</x:v>
      </x:c>
      <x:c r="G659" s="2" t="str">
        <x:v>Email</x:v>
      </x:c>
      <x:c r="H659" s="2" t="str">
        <x:v>School receipt</x:v>
      </x:c>
      <x:c r="I659" s="8" t="n">
        <x:v>46300.276770833334</x:v>
      </x:c>
      <x:c r="J659" s="8" t="n">
        <x:v>46300.27679398148</x:v>
      </x:c>
      <x:c r="K659" s="8" t="n">
        <x:v>46300.2768287037</x:v>
      </x:c>
      <x:c r="L659" s="2" t="str">
        <x:v>Sent</x:v>
      </x:c>
      <x:c r="M659" s="2" t="n">
        <x:v>1</x:v>
      </x:c>
      <x:c r="N659" s="2"/>
      <x:c r="O659" s="2"/>
    </x:row>
    <x:row r="660" ht="21" customHeight="1">
      <x:c r="A660" s="2" t="str">
        <x:v>NT000659</x:v>
      </x:c>
      <x:c r="B660" s="2" t="str">
        <x:v>EV000661</x:v>
      </x:c>
      <x:c r="C660" s="2" t="str">
        <x:v>T20261005-1-2</x:v>
      </x:c>
      <x:c r="D660" s="2" t="str">
        <x:v>ST053</x:v>
      </x:c>
      <x:c r="E660" s="2" t="str">
        <x:v>G053</x:v>
      </x:c>
      <x:c r="F660" s="2" t="str">
        <x:v>guardian053@example.invalid</x:v>
      </x:c>
      <x:c r="G660" s="2" t="str">
        <x:v>Email</x:v>
      </x:c>
      <x:c r="H660" s="2" t="str">
        <x:v>Boarded</x:v>
      </x:c>
      <x:c r="I660" s="8" t="n">
        <x:v>46300.24243055556</x:v>
      </x:c>
      <x:c r="J660" s="8" t="n">
        <x:v>46300.24245370371</x:v>
      </x:c>
      <x:c r="K660" s="8" t="n">
        <x:v>46300.24248842593</x:v>
      </x:c>
      <x:c r="L660" s="2" t="str">
        <x:v>Sent</x:v>
      </x:c>
      <x:c r="M660" s="2" t="n">
        <x:v>1</x:v>
      </x:c>
      <x:c r="N660" s="2"/>
      <x:c r="O660" s="2"/>
    </x:row>
    <x:row r="661" ht="21" customHeight="1">
      <x:c r="A661" s="2" t="str">
        <x:v>NT000660</x:v>
      </x:c>
      <x:c r="B661" s="2" t="str">
        <x:v>EV000662</x:v>
      </x:c>
      <x:c r="C661" s="2" t="str">
        <x:v>T20261005-1-2</x:v>
      </x:c>
      <x:c r="D661" s="2" t="str">
        <x:v>ST053</x:v>
      </x:c>
      <x:c r="E661" s="2" t="str">
        <x:v>G053</x:v>
      </x:c>
      <x:c r="F661" s="2" t="str">
        <x:v>guardian053@example.invalid</x:v>
      </x:c>
      <x:c r="G661" s="2" t="str">
        <x:v>Email</x:v>
      </x:c>
      <x:c r="H661" s="2" t="str">
        <x:v>School receipt</x:v>
      </x:c>
      <x:c r="I661" s="8" t="n">
        <x:v>46300.27680555556</x:v>
      </x:c>
      <x:c r="J661" s="8" t="n">
        <x:v>46300.2768287037</x:v>
      </x:c>
      <x:c r="K661" s="8" t="n">
        <x:v>46300.27686342593</x:v>
      </x:c>
      <x:c r="L661" s="2" t="str">
        <x:v>Sent</x:v>
      </x:c>
      <x:c r="M661" s="2" t="n">
        <x:v>1</x:v>
      </x:c>
      <x:c r="N661" s="2"/>
      <x:c r="O661" s="2"/>
    </x:row>
    <x:row r="662" ht="21" customHeight="1">
      <x:c r="A662" s="2" t="str">
        <x:v>NT000661</x:v>
      </x:c>
      <x:c r="B662" s="2" t="str">
        <x:v>EV000663</x:v>
      </x:c>
      <x:c r="C662" s="2" t="str">
        <x:v>T20261005-1-2</x:v>
      </x:c>
      <x:c r="D662" s="2" t="str">
        <x:v>ST054</x:v>
      </x:c>
      <x:c r="E662" s="2" t="str">
        <x:v>G054</x:v>
      </x:c>
      <x:c r="F662" s="2" t="str">
        <x:v>guardian054@example.invalid</x:v>
      </x:c>
      <x:c r="G662" s="2" t="str">
        <x:v>Email</x:v>
      </x:c>
      <x:c r="H662" s="2" t="str">
        <x:v>Boarded</x:v>
      </x:c>
      <x:c r="I662" s="8" t="n">
        <x:v>46300.24732638889</x:v>
      </x:c>
      <x:c r="J662" s="8" t="n">
        <x:v>46300.247349537036</x:v>
      </x:c>
      <x:c r="K662" s="8" t="n">
        <x:v>46300.24738425926</x:v>
      </x:c>
      <x:c r="L662" s="2" t="str">
        <x:v>Sent</x:v>
      </x:c>
      <x:c r="M662" s="2" t="n">
        <x:v>1</x:v>
      </x:c>
      <x:c r="N662" s="2"/>
      <x:c r="O662" s="2"/>
    </x:row>
    <x:row r="663" ht="21" customHeight="1">
      <x:c r="A663" s="2" t="str">
        <x:v>NT000662</x:v>
      </x:c>
      <x:c r="B663" s="2" t="str">
        <x:v>EV000664</x:v>
      </x:c>
      <x:c r="C663" s="2" t="str">
        <x:v>T20261005-1-2</x:v>
      </x:c>
      <x:c r="D663" s="2" t="str">
        <x:v>ST054</x:v>
      </x:c>
      <x:c r="E663" s="2" t="str">
        <x:v>G054</x:v>
      </x:c>
      <x:c r="F663" s="2" t="str">
        <x:v>guardian054@example.invalid</x:v>
      </x:c>
      <x:c r="G663" s="2" t="str">
        <x:v>Email</x:v>
      </x:c>
      <x:c r="H663" s="2" t="str">
        <x:v>School receipt</x:v>
      </x:c>
      <x:c r="I663" s="8" t="n">
        <x:v>46300.27684027777</x:v>
      </x:c>
      <x:c r="J663" s="8" t="n">
        <x:v>46300.27686342592</x:v>
      </x:c>
      <x:c r="K663" s="8" t="n">
        <x:v>46300.27689814814</x:v>
      </x:c>
      <x:c r="L663" s="2" t="str">
        <x:v>Sent</x:v>
      </x:c>
      <x:c r="M663" s="2" t="n">
        <x:v>1</x:v>
      </x:c>
      <x:c r="N663" s="2"/>
      <x:c r="O663" s="2"/>
    </x:row>
    <x:row r="664" ht="21" customHeight="1">
      <x:c r="A664" s="2" t="str">
        <x:v>NT000663</x:v>
      </x:c>
      <x:c r="B664" s="2" t="str">
        <x:v>EV000665</x:v>
      </x:c>
      <x:c r="C664" s="2" t="str">
        <x:v>T20261005-1-2</x:v>
      </x:c>
      <x:c r="D664" s="2" t="str">
        <x:v>ST055</x:v>
      </x:c>
      <x:c r="E664" s="2" t="str">
        <x:v>G055</x:v>
      </x:c>
      <x:c r="F664" s="2" t="str">
        <x:v>guardian055@example.invalid</x:v>
      </x:c>
      <x:c r="G664" s="2" t="str">
        <x:v>Email</x:v>
      </x:c>
      <x:c r="H664" s="2" t="str">
        <x:v>Boarded</x:v>
      </x:c>
      <x:c r="I664" s="8" t="n">
        <x:v>46300.252222222225</x:v>
      </x:c>
      <x:c r="J664" s="8" t="n">
        <x:v>46300.25224537037</x:v>
      </x:c>
      <x:c r="K664" s="8" t="n">
        <x:v>46300.252280092594</x:v>
      </x:c>
      <x:c r="L664" s="2" t="str">
        <x:v>Sent</x:v>
      </x:c>
      <x:c r="M664" s="2" t="n">
        <x:v>1</x:v>
      </x:c>
      <x:c r="N664" s="2"/>
      <x:c r="O664" s="2"/>
    </x:row>
    <x:row r="665" ht="21" customHeight="1">
      <x:c r="A665" s="2" t="str">
        <x:v>NT000664</x:v>
      </x:c>
      <x:c r="B665" s="2" t="str">
        <x:v>EV000666</x:v>
      </x:c>
      <x:c r="C665" s="2" t="str">
        <x:v>T20261005-1-2</x:v>
      </x:c>
      <x:c r="D665" s="2" t="str">
        <x:v>ST055</x:v>
      </x:c>
      <x:c r="E665" s="2" t="str">
        <x:v>G055</x:v>
      </x:c>
      <x:c r="F665" s="2" t="str">
        <x:v>guardian055@example.invalid</x:v>
      </x:c>
      <x:c r="G665" s="2" t="str">
        <x:v>Email</x:v>
      </x:c>
      <x:c r="H665" s="2" t="str">
        <x:v>School receipt</x:v>
      </x:c>
      <x:c r="I665" s="8" t="n">
        <x:v>46300.276874999996</x:v>
      </x:c>
      <x:c r="J665" s="8" t="n">
        <x:v>46300.27689814814</x:v>
      </x:c>
      <x:c r="K665" s="8" t="n">
        <x:v>46300.276932870365</x:v>
      </x:c>
      <x:c r="L665" s="2" t="str">
        <x:v>Sent</x:v>
      </x:c>
      <x:c r="M665" s="2" t="n">
        <x:v>1</x:v>
      </x:c>
      <x:c r="N665" s="2"/>
      <x:c r="O665" s="2"/>
    </x:row>
    <x:row r="666" ht="21" customHeight="1">
      <x:c r="A666" s="2" t="str">
        <x:v>NT000665</x:v>
      </x:c>
      <x:c r="B666" s="2" t="str">
        <x:v>EV000667</x:v>
      </x:c>
      <x:c r="C666" s="2" t="str">
        <x:v>T20261005-1-2</x:v>
      </x:c>
      <x:c r="D666" s="2" t="str">
        <x:v>ST056</x:v>
      </x:c>
      <x:c r="E666" s="2" t="str">
        <x:v>G056</x:v>
      </x:c>
      <x:c r="F666" s="2" t="str">
        <x:v>guardian056@example.invalid</x:v>
      </x:c>
      <x:c r="G666" s="2" t="str">
        <x:v>Email</x:v>
      </x:c>
      <x:c r="H666" s="2" t="str">
        <x:v>Boarded</x:v>
      </x:c>
      <x:c r="I666" s="8" t="n">
        <x:v>46300.24253472222</x:v>
      </x:c>
      <x:c r="J666" s="8" t="n">
        <x:v>46300.24255787037</x:v>
      </x:c>
      <x:c r="K666" s="8" t="n">
        <x:v>46300.24259259259</x:v>
      </x:c>
      <x:c r="L666" s="2" t="str">
        <x:v>Sent</x:v>
      </x:c>
      <x:c r="M666" s="2" t="n">
        <x:v>1</x:v>
      </x:c>
      <x:c r="N666" s="2"/>
      <x:c r="O666" s="2"/>
    </x:row>
    <x:row r="667" ht="21" customHeight="1">
      <x:c r="A667" s="2" t="str">
        <x:v>NT000666</x:v>
      </x:c>
      <x:c r="B667" s="2" t="str">
        <x:v>EV000668</x:v>
      </x:c>
      <x:c r="C667" s="2" t="str">
        <x:v>T20261005-1-2</x:v>
      </x:c>
      <x:c r="D667" s="2" t="str">
        <x:v>ST056</x:v>
      </x:c>
      <x:c r="E667" s="2" t="str">
        <x:v>G056</x:v>
      </x:c>
      <x:c r="F667" s="2" t="str">
        <x:v>guardian056@example.invalid</x:v>
      </x:c>
      <x:c r="G667" s="2" t="str">
        <x:v>Email</x:v>
      </x:c>
      <x:c r="H667" s="2" t="str">
        <x:v>School receipt</x:v>
      </x:c>
      <x:c r="I667" s="8" t="n">
        <x:v>46300.27690972222</x:v>
      </x:c>
      <x:c r="J667" s="8" t="n">
        <x:v>46300.276932870365</x:v>
      </x:c>
      <x:c r="K667" s="8" t="n">
        <x:v>46300.27696759259</x:v>
      </x:c>
      <x:c r="L667" s="2" t="str">
        <x:v>Sent</x:v>
      </x:c>
      <x:c r="M667" s="2" t="n">
        <x:v>1</x:v>
      </x:c>
      <x:c r="N667" s="2"/>
      <x:c r="O667" s="2"/>
    </x:row>
    <x:row r="668" ht="21" customHeight="1">
      <x:c r="A668" s="2" t="str">
        <x:v>NT000667</x:v>
      </x:c>
      <x:c r="B668" s="2" t="str">
        <x:v>EV000669</x:v>
      </x:c>
      <x:c r="C668" s="2" t="str">
        <x:v>T20261005-1-2</x:v>
      </x:c>
      <x:c r="D668" s="2" t="str">
        <x:v>ST057</x:v>
      </x:c>
      <x:c r="E668" s="2" t="str">
        <x:v>G057</x:v>
      </x:c>
      <x:c r="F668" s="2" t="str">
        <x:v>guardian057@example.invalid</x:v>
      </x:c>
      <x:c r="G668" s="2" t="str">
        <x:v>Email</x:v>
      </x:c>
      <x:c r="H668" s="2" t="str">
        <x:v>Boarded</x:v>
      </x:c>
      <x:c r="I668" s="8" t="n">
        <x:v>46300.24743055555</x:v>
      </x:c>
      <x:c r="J668" s="8" t="n">
        <x:v>46300.2474537037</x:v>
      </x:c>
      <x:c r="K668" s="8" t="n">
        <x:v>46300.24748842592</x:v>
      </x:c>
      <x:c r="L668" s="2" t="str">
        <x:v>Sent</x:v>
      </x:c>
      <x:c r="M668" s="2" t="n">
        <x:v>1</x:v>
      </x:c>
      <x:c r="N668" s="2"/>
      <x:c r="O668" s="2"/>
    </x:row>
    <x:row r="669" ht="21" customHeight="1">
      <x:c r="A669" s="2" t="str">
        <x:v>NT000668</x:v>
      </x:c>
      <x:c r="B669" s="2" t="str">
        <x:v>EV000670</x:v>
      </x:c>
      <x:c r="C669" s="2" t="str">
        <x:v>T20261005-1-2</x:v>
      </x:c>
      <x:c r="D669" s="2" t="str">
        <x:v>ST057</x:v>
      </x:c>
      <x:c r="E669" s="2" t="str">
        <x:v>G057</x:v>
      </x:c>
      <x:c r="F669" s="2" t="str">
        <x:v>guardian057@example.invalid</x:v>
      </x:c>
      <x:c r="G669" s="2" t="str">
        <x:v>Email</x:v>
      </x:c>
      <x:c r="H669" s="2" t="str">
        <x:v>School receipt</x:v>
      </x:c>
      <x:c r="I669" s="8" t="n">
        <x:v>46300.27694444444</x:v>
      </x:c>
      <x:c r="J669" s="8" t="n">
        <x:v>46300.27696759259</x:v>
      </x:c>
      <x:c r="K669" s="8" t="n">
        <x:v>46300.27700231481</x:v>
      </x:c>
      <x:c r="L669" s="2" t="str">
        <x:v>Sent</x:v>
      </x:c>
      <x:c r="M669" s="2" t="n">
        <x:v>1</x:v>
      </x:c>
      <x:c r="N669" s="2"/>
      <x:c r="O669" s="2"/>
    </x:row>
    <x:row r="670" ht="21" customHeight="1">
      <x:c r="A670" s="2" t="str">
        <x:v>NT000669</x:v>
      </x:c>
      <x:c r="B670" s="2" t="str">
        <x:v>EV000671</x:v>
      </x:c>
      <x:c r="C670" s="2" t="str">
        <x:v>T20261005-1-2</x:v>
      </x:c>
      <x:c r="D670" s="2" t="str">
        <x:v>ST058</x:v>
      </x:c>
      <x:c r="E670" s="2" t="str">
        <x:v>G058</x:v>
      </x:c>
      <x:c r="F670" s="2" t="str">
        <x:v>guardian058@example.invalid</x:v>
      </x:c>
      <x:c r="G670" s="2" t="str">
        <x:v>Email</x:v>
      </x:c>
      <x:c r="H670" s="2" t="str">
        <x:v>Boarded</x:v>
      </x:c>
      <x:c r="I670" s="8" t="n">
        <x:v>46300.25232638889</x:v>
      </x:c>
      <x:c r="J670" s="8" t="n">
        <x:v>46300.25234953703</x:v>
      </x:c>
      <x:c r="K670" s="8" t="n">
        <x:v>46300.252384259256</x:v>
      </x:c>
      <x:c r="L670" s="2" t="str">
        <x:v>Sent</x:v>
      </x:c>
      <x:c r="M670" s="2" t="n">
        <x:v>1</x:v>
      </x:c>
      <x:c r="N670" s="2"/>
      <x:c r="O670" s="2"/>
    </x:row>
    <x:row r="671" ht="21" customHeight="1">
      <x:c r="A671" s="2" t="str">
        <x:v>NT000670</x:v>
      </x:c>
      <x:c r="B671" s="2" t="str">
        <x:v>EV000672</x:v>
      </x:c>
      <x:c r="C671" s="2" t="str">
        <x:v>T20261005-1-2</x:v>
      </x:c>
      <x:c r="D671" s="2" t="str">
        <x:v>ST058</x:v>
      </x:c>
      <x:c r="E671" s="2" t="str">
        <x:v>G058</x:v>
      </x:c>
      <x:c r="F671" s="2" t="str">
        <x:v>guardian058@example.invalid</x:v>
      </x:c>
      <x:c r="G671" s="2" t="str">
        <x:v>Email</x:v>
      </x:c>
      <x:c r="H671" s="2" t="str">
        <x:v>School receipt</x:v>
      </x:c>
      <x:c r="I671" s="8" t="n">
        <x:v>46300.276979166665</x:v>
      </x:c>
      <x:c r="J671" s="8" t="n">
        <x:v>46300.27700231481</x:v>
      </x:c>
      <x:c r="K671" s="8" t="n">
        <x:v>46300.277037037034</x:v>
      </x:c>
      <x:c r="L671" s="2" t="str">
        <x:v>Sent</x:v>
      </x:c>
      <x:c r="M671" s="2" t="n">
        <x:v>1</x:v>
      </x:c>
      <x:c r="N671" s="2"/>
      <x:c r="O671" s="2"/>
    </x:row>
    <x:row r="672" ht="21" customHeight="1">
      <x:c r="A672" s="2" t="str">
        <x:v>NT000671</x:v>
      </x:c>
      <x:c r="B672" s="2" t="str">
        <x:v>EV000673</x:v>
      </x:c>
      <x:c r="C672" s="2" t="str">
        <x:v>T20261005-1-2</x:v>
      </x:c>
      <x:c r="D672" s="2" t="str">
        <x:v>ST059</x:v>
      </x:c>
      <x:c r="E672" s="2" t="str">
        <x:v>G059</x:v>
      </x:c>
      <x:c r="F672" s="2" t="str">
        <x:v>guardian059@example.invalid</x:v>
      </x:c>
      <x:c r="G672" s="2" t="str">
        <x:v>Email</x:v>
      </x:c>
      <x:c r="H672" s="2" t="str">
        <x:v>Boarded</x:v>
      </x:c>
      <x:c r="I672" s="8" t="n">
        <x:v>46300.24263888889</x:v>
      </x:c>
      <x:c r="J672" s="8" t="n">
        <x:v>46300.24266203704</x:v>
      </x:c>
      <x:c r="K672" s="8" t="n">
        <x:v>46300.24269675926</x:v>
      </x:c>
      <x:c r="L672" s="2" t="str">
        <x:v>Sent</x:v>
      </x:c>
      <x:c r="M672" s="2" t="n">
        <x:v>1</x:v>
      </x:c>
      <x:c r="N672" s="2"/>
      <x:c r="O672" s="2"/>
    </x:row>
    <x:row r="673" ht="21" customHeight="1">
      <x:c r="A673" s="2" t="str">
        <x:v>NT000672</x:v>
      </x:c>
      <x:c r="B673" s="2" t="str">
        <x:v>EV000674</x:v>
      </x:c>
      <x:c r="C673" s="2" t="str">
        <x:v>T20261005-1-2</x:v>
      </x:c>
      <x:c r="D673" s="2" t="str">
        <x:v>ST059</x:v>
      </x:c>
      <x:c r="E673" s="2" t="str">
        <x:v>G059</x:v>
      </x:c>
      <x:c r="F673" s="2" t="str">
        <x:v>guardian059@example.invalid</x:v>
      </x:c>
      <x:c r="G673" s="2" t="str">
        <x:v>Email</x:v>
      </x:c>
      <x:c r="H673" s="2" t="str">
        <x:v>School receipt</x:v>
      </x:c>
      <x:c r="I673" s="8" t="n">
        <x:v>46300.27701388889</x:v>
      </x:c>
      <x:c r="J673" s="8" t="n">
        <x:v>46300.277037037034</x:v>
      </x:c>
      <x:c r="K673" s="8" t="n">
        <x:v>46300.27707175926</x:v>
      </x:c>
      <x:c r="L673" s="2" t="str">
        <x:v>Sent</x:v>
      </x:c>
      <x:c r="M673" s="2" t="n">
        <x:v>1</x:v>
      </x:c>
      <x:c r="N673" s="2"/>
      <x:c r="O673" s="2"/>
    </x:row>
    <x:row r="674" ht="21" customHeight="1">
      <x:c r="A674" s="2" t="str">
        <x:v>NT000673</x:v>
      </x:c>
      <x:c r="B674" s="2" t="str">
        <x:v>EV000675</x:v>
      </x:c>
      <x:c r="C674" s="2" t="str">
        <x:v>T20261005-1-2</x:v>
      </x:c>
      <x:c r="D674" s="2" t="str">
        <x:v>ST060</x:v>
      </x:c>
      <x:c r="E674" s="2" t="str">
        <x:v>G060</x:v>
      </x:c>
      <x:c r="F674" s="2" t="str">
        <x:v>guardian060@example.invalid</x:v>
      </x:c>
      <x:c r="G674" s="2" t="str">
        <x:v>Email</x:v>
      </x:c>
      <x:c r="H674" s="2" t="str">
        <x:v>Boarded</x:v>
      </x:c>
      <x:c r="I674" s="8" t="n">
        <x:v>46300.24753472222</x:v>
      </x:c>
      <x:c r="J674" s="8" t="n">
        <x:v>46300.24755787037</x:v>
      </x:c>
      <x:c r="K674" s="8" t="n">
        <x:v>46300.24759259259</x:v>
      </x:c>
      <x:c r="L674" s="2" t="str">
        <x:v>Sent</x:v>
      </x:c>
      <x:c r="M674" s="2" t="n">
        <x:v>1</x:v>
      </x:c>
      <x:c r="N674" s="2"/>
      <x:c r="O674" s="2"/>
    </x:row>
    <x:row r="675" ht="21" customHeight="1">
      <x:c r="A675" s="2" t="str">
        <x:v>NT000674</x:v>
      </x:c>
      <x:c r="B675" s="2" t="str">
        <x:v>EV000676</x:v>
      </x:c>
      <x:c r="C675" s="2" t="str">
        <x:v>T20261005-1-2</x:v>
      </x:c>
      <x:c r="D675" s="2" t="str">
        <x:v>ST060</x:v>
      </x:c>
      <x:c r="E675" s="2" t="str">
        <x:v>G060</x:v>
      </x:c>
      <x:c r="F675" s="2" t="str">
        <x:v>guardian060@example.invalid</x:v>
      </x:c>
      <x:c r="G675" s="2" t="str">
        <x:v>Email</x:v>
      </x:c>
      <x:c r="H675" s="2" t="str">
        <x:v>School receipt</x:v>
      </x:c>
      <x:c r="I675" s="8" t="n">
        <x:v>46300.27704861111</x:v>
      </x:c>
      <x:c r="J675" s="8" t="n">
        <x:v>46300.27707175926</x:v>
      </x:c>
      <x:c r="K675" s="8" t="n">
        <x:v>46300.27710648148</x:v>
      </x:c>
      <x:c r="L675" s="2" t="str">
        <x:v>Sent</x:v>
      </x:c>
      <x:c r="M675" s="2" t="n">
        <x:v>1</x:v>
      </x:c>
      <x:c r="N675" s="2"/>
      <x:c r="O675" s="2"/>
    </x:row>
    <x:row r="676" ht="21" customHeight="1">
      <x:c r="A676" s="2" t="str">
        <x:v>NT000675</x:v>
      </x:c>
      <x:c r="B676" s="2" t="str">
        <x:v>EV000677</x:v>
      </x:c>
      <x:c r="C676" s="2" t="str">
        <x:v>T20261005-2-2</x:v>
      </x:c>
      <x:c r="D676" s="2" t="str">
        <x:v>ST041</x:v>
      </x:c>
      <x:c r="E676" s="2" t="str">
        <x:v>G041</x:v>
      </x:c>
      <x:c r="F676" s="2" t="str">
        <x:v>guardian041@example.invalid</x:v>
      </x:c>
      <x:c r="G676" s="2" t="str">
        <x:v>Email</x:v>
      </x:c>
      <x:c r="H676" s="2" t="str">
        <x:v>Boarded</x:v>
      </x:c>
      <x:c r="I676" s="8" t="n">
        <x:v>46300.4375</x:v>
      </x:c>
      <x:c r="J676" s="8" t="n">
        <x:v>46300.437523148146</x:v>
      </x:c>
      <x:c r="K676" s="8" t="n">
        <x:v>46300.43755787037</x:v>
      </x:c>
      <x:c r="L676" s="2" t="str">
        <x:v>Sent</x:v>
      </x:c>
      <x:c r="M676" s="2" t="n">
        <x:v>1</x:v>
      </x:c>
      <x:c r="N676" s="2"/>
      <x:c r="O676" s="2"/>
    </x:row>
    <x:row r="677" ht="21" customHeight="1">
      <x:c r="A677" s="2" t="str">
        <x:v>NT000676</x:v>
      </x:c>
      <x:c r="B677" s="2" t="str">
        <x:v>EV000678</x:v>
      </x:c>
      <x:c r="C677" s="2" t="str">
        <x:v>T20261005-2-2</x:v>
      </x:c>
      <x:c r="D677" s="2" t="str">
        <x:v>ST041</x:v>
      </x:c>
      <x:c r="E677" s="2" t="str">
        <x:v>G041</x:v>
      </x:c>
      <x:c r="F677" s="2" t="str">
        <x:v>guardian041@example.invalid</x:v>
      </x:c>
      <x:c r="G677" s="2" t="str">
        <x:v>Email</x:v>
      </x:c>
      <x:c r="H677" s="2" t="str">
        <x:v>Authorized release</x:v>
      </x:c>
      <x:c r="I677" s="8" t="n">
        <x:v>46300.44930555555</x:v>
      </x:c>
      <x:c r="J677" s="8" t="n">
        <x:v>46300.4493287037</x:v>
      </x:c>
      <x:c r="K677" s="8" t="n">
        <x:v>46300.44936342592</x:v>
      </x:c>
      <x:c r="L677" s="2" t="str">
        <x:v>Sent</x:v>
      </x:c>
      <x:c r="M677" s="2" t="n">
        <x:v>1</x:v>
      </x:c>
      <x:c r="N677" s="2"/>
      <x:c r="O677" s="2"/>
    </x:row>
    <x:row r="678" ht="21" customHeight="1">
      <x:c r="A678" s="2" t="str">
        <x:v>NT000677</x:v>
      </x:c>
      <x:c r="B678" s="2" t="str">
        <x:v>EV000679</x:v>
      </x:c>
      <x:c r="C678" s="2" t="str">
        <x:v>T20261005-2-2</x:v>
      </x:c>
      <x:c r="D678" s="2" t="str">
        <x:v>ST043</x:v>
      </x:c>
      <x:c r="E678" s="2" t="str">
        <x:v>G043</x:v>
      </x:c>
      <x:c r="F678" s="2" t="str">
        <x:v>guardian043@example.invalid</x:v>
      </x:c>
      <x:c r="G678" s="2" t="str">
        <x:v>Email</x:v>
      </x:c>
      <x:c r="H678" s="2" t="str">
        <x:v>Boarded</x:v>
      </x:c>
      <x:c r="I678" s="8" t="n">
        <x:v>46300.437569444446</x:v>
      </x:c>
      <x:c r="J678" s="8" t="n">
        <x:v>46300.43759259259</x:v>
      </x:c>
      <x:c r="K678" s="8" t="n">
        <x:v>46300.437627314815</x:v>
      </x:c>
      <x:c r="L678" s="2" t="str">
        <x:v>Sent</x:v>
      </x:c>
      <x:c r="M678" s="2" t="n">
        <x:v>1</x:v>
      </x:c>
      <x:c r="N678" s="2"/>
      <x:c r="O678" s="2"/>
    </x:row>
    <x:row r="679" ht="21" customHeight="1">
      <x:c r="A679" s="2" t="str">
        <x:v>NT000678</x:v>
      </x:c>
      <x:c r="B679" s="2" t="str">
        <x:v>EV000680</x:v>
      </x:c>
      <x:c r="C679" s="2" t="str">
        <x:v>T20261005-2-2</x:v>
      </x:c>
      <x:c r="D679" s="2" t="str">
        <x:v>ST043</x:v>
      </x:c>
      <x:c r="E679" s="2" t="str">
        <x:v>G043</x:v>
      </x:c>
      <x:c r="F679" s="2" t="str">
        <x:v>guardian043@example.invalid</x:v>
      </x:c>
      <x:c r="G679" s="2" t="str">
        <x:v>Email</x:v>
      </x:c>
      <x:c r="H679" s="2" t="str">
        <x:v>Authorized release</x:v>
      </x:c>
      <x:c r="I679" s="8" t="n">
        <x:v>46300.457708333335</x:v>
      </x:c>
      <x:c r="J679" s="8" t="n">
        <x:v>46300.45773148148</x:v>
      </x:c>
      <x:c r="K679" s="8" t="n">
        <x:v>46300.457766203705</x:v>
      </x:c>
      <x:c r="L679" s="2" t="str">
        <x:v>Sent</x:v>
      </x:c>
      <x:c r="M679" s="2" t="n">
        <x:v>1</x:v>
      </x:c>
      <x:c r="N679" s="2"/>
      <x:c r="O679" s="2"/>
    </x:row>
    <x:row r="680" ht="21" customHeight="1">
      <x:c r="A680" s="2" t="str">
        <x:v>NT000679</x:v>
      </x:c>
      <x:c r="B680" s="2" t="str">
        <x:v>EV000681</x:v>
      </x:c>
      <x:c r="C680" s="2" t="str">
        <x:v>T20261005-2-2</x:v>
      </x:c>
      <x:c r="D680" s="2" t="str">
        <x:v>ST044</x:v>
      </x:c>
      <x:c r="E680" s="2" t="str">
        <x:v>G044</x:v>
      </x:c>
      <x:c r="F680" s="2" t="str">
        <x:v>guardian044@example.invalid</x:v>
      </x:c>
      <x:c r="G680" s="2" t="str">
        <x:v>Email</x:v>
      </x:c>
      <x:c r="H680" s="2" t="str">
        <x:v>Boarded</x:v>
      </x:c>
      <x:c r="I680" s="8" t="n">
        <x:v>46300.43760416667</x:v>
      </x:c>
      <x:c r="J680" s="8" t="n">
        <x:v>46300.437627314815</x:v>
      </x:c>
      <x:c r="K680" s="8" t="n">
        <x:v>46300.43766203704</x:v>
      </x:c>
      <x:c r="L680" s="2" t="str">
        <x:v>Sent</x:v>
      </x:c>
      <x:c r="M680" s="2" t="n">
        <x:v>1</x:v>
      </x:c>
      <x:c r="N680" s="2"/>
      <x:c r="O680" s="2"/>
    </x:row>
    <x:row r="681" ht="21" customHeight="1">
      <x:c r="A681" s="2" t="str">
        <x:v>NT000680</x:v>
      </x:c>
      <x:c r="B681" s="2" t="str">
        <x:v>EV000682</x:v>
      </x:c>
      <x:c r="C681" s="2" t="str">
        <x:v>T20261005-2-2</x:v>
      </x:c>
      <x:c r="D681" s="2" t="str">
        <x:v>ST044</x:v>
      </x:c>
      <x:c r="E681" s="2" t="str">
        <x:v>G044</x:v>
      </x:c>
      <x:c r="F681" s="2" t="str">
        <x:v>guardian044@example.invalid</x:v>
      </x:c>
      <x:c r="G681" s="2" t="str">
        <x:v>Email</x:v>
      </x:c>
      <x:c r="H681" s="2" t="str">
        <x:v>Authorized release</x:v>
      </x:c>
      <x:c r="I681" s="8" t="n">
        <x:v>46300.44940972222</x:v>
      </x:c>
      <x:c r="J681" s="8" t="n">
        <x:v>46300.449432870366</x:v>
      </x:c>
      <x:c r="K681" s="8" t="n">
        <x:v>46300.44946759259</x:v>
      </x:c>
      <x:c r="L681" s="2" t="str">
        <x:v>Sent</x:v>
      </x:c>
      <x:c r="M681" s="2" t="n">
        <x:v>1</x:v>
      </x:c>
      <x:c r="N681" s="2"/>
      <x:c r="O681" s="2"/>
    </x:row>
    <x:row r="682" ht="21" customHeight="1">
      <x:c r="A682" s="2" t="str">
        <x:v>NT000681</x:v>
      </x:c>
      <x:c r="B682" s="2" t="str">
        <x:v>EV000683</x:v>
      </x:c>
      <x:c r="C682" s="2" t="str">
        <x:v>T20261005-2-2</x:v>
      </x:c>
      <x:c r="D682" s="2" t="str">
        <x:v>ST045</x:v>
      </x:c>
      <x:c r="E682" s="2" t="str">
        <x:v>G045</x:v>
      </x:c>
      <x:c r="F682" s="2" t="str">
        <x:v>guardian045@example.invalid</x:v>
      </x:c>
      <x:c r="G682" s="2" t="str">
        <x:v>Email</x:v>
      </x:c>
      <x:c r="H682" s="2" t="str">
        <x:v>Boarded</x:v>
      </x:c>
      <x:c r="I682" s="8" t="n">
        <x:v>46300.43763888889</x:v>
      </x:c>
      <x:c r="J682" s="8" t="n">
        <x:v>46300.43766203704</x:v>
      </x:c>
      <x:c r="K682" s="8" t="n">
        <x:v>46300.43769675926</x:v>
      </x:c>
      <x:c r="L682" s="2" t="str">
        <x:v>Sent</x:v>
      </x:c>
      <x:c r="M682" s="2" t="n">
        <x:v>1</x:v>
      </x:c>
      <x:c r="N682" s="2"/>
      <x:c r="O682" s="2"/>
    </x:row>
    <x:row r="683" ht="21" customHeight="1">
      <x:c r="A683" s="2" t="str">
        <x:v>NT000682</x:v>
      </x:c>
      <x:c r="B683" s="2" t="str">
        <x:v>EV000684</x:v>
      </x:c>
      <x:c r="C683" s="2" t="str">
        <x:v>T20261005-2-2</x:v>
      </x:c>
      <x:c r="D683" s="2" t="str">
        <x:v>ST045</x:v>
      </x:c>
      <x:c r="E683" s="2" t="str">
        <x:v>G045</x:v>
      </x:c>
      <x:c r="F683" s="2" t="str">
        <x:v>guardian045@example.invalid</x:v>
      </x:c>
      <x:c r="G683" s="2" t="str">
        <x:v>Email</x:v>
      </x:c>
      <x:c r="H683" s="2" t="str">
        <x:v>Authorized release</x:v>
      </x:c>
      <x:c r="I683" s="8" t="n">
        <x:v>46300.453611111116</x:v>
      </x:c>
      <x:c r="J683" s="8" t="n">
        <x:v>46300.45363425926</x:v>
      </x:c>
      <x:c r="K683" s="8" t="n">
        <x:v>46300.453668981485</x:v>
      </x:c>
      <x:c r="L683" s="2" t="str">
        <x:v>Sent</x:v>
      </x:c>
      <x:c r="M683" s="2" t="n">
        <x:v>1</x:v>
      </x:c>
      <x:c r="N683" s="2"/>
      <x:c r="O683" s="2"/>
    </x:row>
    <x:row r="684" ht="21" customHeight="1">
      <x:c r="A684" s="2" t="str">
        <x:v>NT000683</x:v>
      </x:c>
      <x:c r="B684" s="2" t="str">
        <x:v>EV000685</x:v>
      </x:c>
      <x:c r="C684" s="2" t="str">
        <x:v>T20261005-2-2</x:v>
      </x:c>
      <x:c r="D684" s="2" t="str">
        <x:v>ST046</x:v>
      </x:c>
      <x:c r="E684" s="2" t="str">
        <x:v>G046</x:v>
      </x:c>
      <x:c r="F684" s="2" t="str">
        <x:v>guardian046@example.invalid</x:v>
      </x:c>
      <x:c r="G684" s="2" t="str">
        <x:v>Email</x:v>
      </x:c>
      <x:c r="H684" s="2" t="str">
        <x:v>Boarded</x:v>
      </x:c>
      <x:c r="I684" s="8" t="n">
        <x:v>46300.43767361111</x:v>
      </x:c>
      <x:c r="J684" s="8" t="n">
        <x:v>46300.437696759254</x:v>
      </x:c>
      <x:c r="K684" s="8" t="n">
        <x:v>46300.43773148148</x:v>
      </x:c>
      <x:c r="L684" s="2" t="str">
        <x:v>Sent</x:v>
      </x:c>
      <x:c r="M684" s="2" t="n">
        <x:v>1</x:v>
      </x:c>
      <x:c r="N684" s="2"/>
      <x:c r="O684" s="2"/>
    </x:row>
    <x:row r="685" ht="21" customHeight="1">
      <x:c r="A685" s="2" t="str">
        <x:v>NT000684</x:v>
      </x:c>
      <x:c r="B685" s="2" t="str">
        <x:v>EV000686</x:v>
      </x:c>
      <x:c r="C685" s="2" t="str">
        <x:v>T20261005-2-2</x:v>
      </x:c>
      <x:c r="D685" s="2" t="str">
        <x:v>ST046</x:v>
      </x:c>
      <x:c r="E685" s="2" t="str">
        <x:v>G046</x:v>
      </x:c>
      <x:c r="F685" s="2" t="str">
        <x:v>guardian046@example.invalid</x:v>
      </x:c>
      <x:c r="G685" s="2" t="str">
        <x:v>Email</x:v>
      </x:c>
      <x:c r="H685" s="2" t="str">
        <x:v>Authorized release</x:v>
      </x:c>
      <x:c r="I685" s="8" t="n">
        <x:v>46300.4578125</x:v>
      </x:c>
      <x:c r="J685" s="8" t="n">
        <x:v>46300.45783564814</x:v>
      </x:c>
      <x:c r="K685" s="8" t="n">
        <x:v>46300.45787037037</x:v>
      </x:c>
      <x:c r="L685" s="2" t="str">
        <x:v>Sent</x:v>
      </x:c>
      <x:c r="M685" s="2" t="n">
        <x:v>1</x:v>
      </x:c>
      <x:c r="N685" s="2"/>
      <x:c r="O685" s="2"/>
    </x:row>
    <x:row r="686" ht="21" customHeight="1">
      <x:c r="A686" s="2" t="str">
        <x:v>NT000685</x:v>
      </x:c>
      <x:c r="B686" s="2" t="str">
        <x:v>EV000687</x:v>
      </x:c>
      <x:c r="C686" s="2" t="str">
        <x:v>T20261005-2-2</x:v>
      </x:c>
      <x:c r="D686" s="2" t="str">
        <x:v>ST047</x:v>
      </x:c>
      <x:c r="E686" s="2" t="str">
        <x:v>G047</x:v>
      </x:c>
      <x:c r="F686" s="2" t="str">
        <x:v>guardian047@example.invalid</x:v>
      </x:c>
      <x:c r="G686" s="2" t="str">
        <x:v>Email</x:v>
      </x:c>
      <x:c r="H686" s="2" t="str">
        <x:v>Boarded</x:v>
      </x:c>
      <x:c r="I686" s="8" t="n">
        <x:v>46300.43770833333</x:v>
      </x:c>
      <x:c r="J686" s="8" t="n">
        <x:v>46300.43773148148</x:v>
      </x:c>
      <x:c r="K686" s="8" t="n">
        <x:v>46300.4377662037</x:v>
      </x:c>
      <x:c r="L686" s="2" t="str">
        <x:v>Sent</x:v>
      </x:c>
      <x:c r="M686" s="2" t="n">
        <x:v>1</x:v>
      </x:c>
      <x:c r="N686" s="2"/>
      <x:c r="O686" s="2"/>
    </x:row>
    <x:row r="687" ht="21" customHeight="1">
      <x:c r="A687" s="2" t="str">
        <x:v>NT000686</x:v>
      </x:c>
      <x:c r="B687" s="2" t="str">
        <x:v>EV000688</x:v>
      </x:c>
      <x:c r="C687" s="2" t="str">
        <x:v>T20261005-2-2</x:v>
      </x:c>
      <x:c r="D687" s="2" t="str">
        <x:v>ST047</x:v>
      </x:c>
      <x:c r="E687" s="2" t="str">
        <x:v>G047</x:v>
      </x:c>
      <x:c r="F687" s="2" t="str">
        <x:v>guardian047@example.invalid</x:v>
      </x:c>
      <x:c r="G687" s="2" t="str">
        <x:v>Email</x:v>
      </x:c>
      <x:c r="H687" s="2" t="str">
        <x:v>Authorized release</x:v>
      </x:c>
      <x:c r="I687" s="8" t="n">
        <x:v>46300.44951388888</x:v>
      </x:c>
      <x:c r="J687" s="8" t="n">
        <x:v>46300.44953703703</x:v>
      </x:c>
      <x:c r="K687" s="8" t="n">
        <x:v>46300.44957175925</x:v>
      </x:c>
      <x:c r="L687" s="2" t="str">
        <x:v>Sent</x:v>
      </x:c>
      <x:c r="M687" s="2" t="n">
        <x:v>1</x:v>
      </x:c>
      <x:c r="N687" s="2"/>
      <x:c r="O687" s="2"/>
    </x:row>
    <x:row r="688" ht="21" customHeight="1">
      <x:c r="A688" s="2" t="str">
        <x:v>NT000687</x:v>
      </x:c>
      <x:c r="B688" s="2" t="str">
        <x:v>EV000689</x:v>
      </x:c>
      <x:c r="C688" s="2" t="str">
        <x:v>T20261005-2-2</x:v>
      </x:c>
      <x:c r="D688" s="2" t="str">
        <x:v>ST048</x:v>
      </x:c>
      <x:c r="E688" s="2" t="str">
        <x:v>G048</x:v>
      </x:c>
      <x:c r="F688" s="2" t="str">
        <x:v>guardian048@example.invalid</x:v>
      </x:c>
      <x:c r="G688" s="2" t="str">
        <x:v>Email</x:v>
      </x:c>
      <x:c r="H688" s="2" t="str">
        <x:v>Boarded</x:v>
      </x:c>
      <x:c r="I688" s="8" t="n">
        <x:v>46300.437743055554</x:v>
      </x:c>
      <x:c r="J688" s="8" t="n">
        <x:v>46300.4377662037</x:v>
      </x:c>
      <x:c r="K688" s="8" t="n">
        <x:v>46300.43780092592</x:v>
      </x:c>
      <x:c r="L688" s="2" t="str">
        <x:v>Sent</x:v>
      </x:c>
      <x:c r="M688" s="2" t="n">
        <x:v>1</x:v>
      </x:c>
      <x:c r="N688" s="2"/>
      <x:c r="O688" s="2"/>
    </x:row>
    <x:row r="689" ht="21" customHeight="1">
      <x:c r="A689" s="2" t="str">
        <x:v>NT000688</x:v>
      </x:c>
      <x:c r="B689" s="2" t="str">
        <x:v>EV000690</x:v>
      </x:c>
      <x:c r="C689" s="2" t="str">
        <x:v>T20261005-2-2</x:v>
      </x:c>
      <x:c r="D689" s="2" t="str">
        <x:v>ST048</x:v>
      </x:c>
      <x:c r="E689" s="2" t="str">
        <x:v>G048</x:v>
      </x:c>
      <x:c r="F689" s="2" t="str">
        <x:v>guardian048@example.invalid</x:v>
      </x:c>
      <x:c r="G689" s="2" t="str">
        <x:v>Email</x:v>
      </x:c>
      <x:c r="H689" s="2" t="str">
        <x:v>Authorized release</x:v>
      </x:c>
      <x:c r="I689" s="8" t="n">
        <x:v>46300.45371527778</x:v>
      </x:c>
      <x:c r="J689" s="8" t="n">
        <x:v>46300.453738425924</x:v>
      </x:c>
      <x:c r="K689" s="8" t="n">
        <x:v>46300.45377314815</x:v>
      </x:c>
      <x:c r="L689" s="2" t="str">
        <x:v>Sent</x:v>
      </x:c>
      <x:c r="M689" s="2" t="n">
        <x:v>1</x:v>
      </x:c>
      <x:c r="N689" s="2"/>
      <x:c r="O689" s="2"/>
    </x:row>
    <x:row r="690" ht="21" customHeight="1">
      <x:c r="A690" s="2" t="str">
        <x:v>NT000689</x:v>
      </x:c>
      <x:c r="B690" s="2" t="str">
        <x:v>EV000691</x:v>
      </x:c>
      <x:c r="C690" s="2" t="str">
        <x:v>T20261005-2-2</x:v>
      </x:c>
      <x:c r="D690" s="2" t="str">
        <x:v>ST049</x:v>
      </x:c>
      <x:c r="E690" s="2" t="str">
        <x:v>G049</x:v>
      </x:c>
      <x:c r="F690" s="2" t="str">
        <x:v>guardian049@example.invalid</x:v>
      </x:c>
      <x:c r="G690" s="2" t="str">
        <x:v>Email</x:v>
      </x:c>
      <x:c r="H690" s="2" t="str">
        <x:v>Boarded</x:v>
      </x:c>
      <x:c r="I690" s="8" t="n">
        <x:v>46300.43777777778</x:v>
      </x:c>
      <x:c r="J690" s="8" t="n">
        <x:v>46300.43780092592</x:v>
      </x:c>
      <x:c r="K690" s="8" t="n">
        <x:v>46300.43783564815</x:v>
      </x:c>
      <x:c r="L690" s="2" t="str">
        <x:v>Sent</x:v>
      </x:c>
      <x:c r="M690" s="2" t="n">
        <x:v>1</x:v>
      </x:c>
      <x:c r="N690" s="2"/>
      <x:c r="O690" s="2"/>
    </x:row>
    <x:row r="691" ht="21" customHeight="1">
      <x:c r="A691" s="2" t="str">
        <x:v>NT000690</x:v>
      </x:c>
      <x:c r="B691" s="2" t="str">
        <x:v>EV000692</x:v>
      </x:c>
      <x:c r="C691" s="2" t="str">
        <x:v>T20261005-2-2</x:v>
      </x:c>
      <x:c r="D691" s="2" t="str">
        <x:v>ST049</x:v>
      </x:c>
      <x:c r="E691" s="2" t="str">
        <x:v>G049</x:v>
      </x:c>
      <x:c r="F691" s="2" t="str">
        <x:v>guardian049@example.invalid</x:v>
      </x:c>
      <x:c r="G691" s="2" t="str">
        <x:v>Email</x:v>
      </x:c>
      <x:c r="H691" s="2" t="str">
        <x:v>Authorized release</x:v>
      </x:c>
      <x:c r="I691" s="8" t="n">
        <x:v>46300.457916666666</x:v>
      </x:c>
      <x:c r="J691" s="8" t="n">
        <x:v>46300.45793981481</x:v>
      </x:c>
      <x:c r="K691" s="8" t="n">
        <x:v>46300.457974537036</x:v>
      </x:c>
      <x:c r="L691" s="2" t="str">
        <x:v>Sent</x:v>
      </x:c>
      <x:c r="M691" s="2" t="n">
        <x:v>1</x:v>
      </x:c>
      <x:c r="N691" s="2"/>
      <x:c r="O691" s="2"/>
    </x:row>
    <x:row r="692" ht="21" customHeight="1">
      <x:c r="A692" s="2" t="str">
        <x:v>NT000691</x:v>
      </x:c>
      <x:c r="B692" s="2" t="str">
        <x:v>EV000693</x:v>
      </x:c>
      <x:c r="C692" s="2" t="str">
        <x:v>T20261005-2-2</x:v>
      </x:c>
      <x:c r="D692" s="2" t="str">
        <x:v>ST050</x:v>
      </x:c>
      <x:c r="E692" s="2" t="str">
        <x:v>G050</x:v>
      </x:c>
      <x:c r="F692" s="2" t="str">
        <x:v>guardian050@example.invalid</x:v>
      </x:c>
      <x:c r="G692" s="2" t="str">
        <x:v>Email</x:v>
      </x:c>
      <x:c r="H692" s="2" t="str">
        <x:v>Boarded</x:v>
      </x:c>
      <x:c r="I692" s="8" t="n">
        <x:v>46300.4378125</x:v>
      </x:c>
      <x:c r="J692" s="8" t="n">
        <x:v>46300.43783564815</x:v>
      </x:c>
      <x:c r="K692" s="8" t="n">
        <x:v>46300.43787037037</x:v>
      </x:c>
      <x:c r="L692" s="2" t="str">
        <x:v>Sent</x:v>
      </x:c>
      <x:c r="M692" s="2" t="n">
        <x:v>1</x:v>
      </x:c>
      <x:c r="N692" s="2"/>
      <x:c r="O692" s="2"/>
    </x:row>
    <x:row r="693" ht="21" customHeight="1">
      <x:c r="A693" s="2" t="str">
        <x:v>NT000692</x:v>
      </x:c>
      <x:c r="B693" s="2" t="str">
        <x:v>EV000694</x:v>
      </x:c>
      <x:c r="C693" s="2" t="str">
        <x:v>T20261005-2-2</x:v>
      </x:c>
      <x:c r="D693" s="2" t="str">
        <x:v>ST050</x:v>
      </x:c>
      <x:c r="E693" s="2" t="str">
        <x:v>G050</x:v>
      </x:c>
      <x:c r="F693" s="2" t="str">
        <x:v>guardian050@example.invalid</x:v>
      </x:c>
      <x:c r="G693" s="2" t="str">
        <x:v>Email</x:v>
      </x:c>
      <x:c r="H693" s="2" t="str">
        <x:v>Authorized release</x:v>
      </x:c>
      <x:c r="I693" s="8" t="n">
        <x:v>46300.44961805555</x:v>
      </x:c>
      <x:c r="J693" s="8" t="n">
        <x:v>46300.4496412037</x:v>
      </x:c>
      <x:c r="K693" s="8" t="n">
        <x:v>46300.44967592592</x:v>
      </x:c>
      <x:c r="L693" s="2" t="str">
        <x:v>Sent</x:v>
      </x:c>
      <x:c r="M693" s="2" t="n">
        <x:v>1</x:v>
      </x:c>
      <x:c r="N693" s="2"/>
      <x:c r="O693" s="2"/>
    </x:row>
    <x:row r="694" ht="21" customHeight="1">
      <x:c r="A694" s="2" t="str">
        <x:v>NT000693</x:v>
      </x:c>
      <x:c r="B694" s="2" t="str">
        <x:v>EV000695</x:v>
      </x:c>
      <x:c r="C694" s="2" t="str">
        <x:v>T20261005-2-2</x:v>
      </x:c>
      <x:c r="D694" s="2" t="str">
        <x:v>ST061</x:v>
      </x:c>
      <x:c r="E694" s="2" t="str">
        <x:v>G061</x:v>
      </x:c>
      <x:c r="F694" s="2" t="str">
        <x:v>guardian061@example.invalid</x:v>
      </x:c>
      <x:c r="G694" s="2" t="str">
        <x:v>Email</x:v>
      </x:c>
      <x:c r="H694" s="2" t="str">
        <x:v>Boarded</x:v>
      </x:c>
      <x:c r="I694" s="8" t="n">
        <x:v>46300.48125</x:v>
      </x:c>
      <x:c r="J694" s="8" t="n">
        <x:v>46300.48127314814</x:v>
      </x:c>
      <x:c r="K694" s="8" t="n">
        <x:v>46300.48130787037</x:v>
      </x:c>
      <x:c r="L694" s="2" t="str">
        <x:v>Sent</x:v>
      </x:c>
      <x:c r="M694" s="2" t="n">
        <x:v>1</x:v>
      </x:c>
      <x:c r="N694" s="2"/>
      <x:c r="O694" s="2"/>
    </x:row>
    <x:row r="695" ht="21" customHeight="1">
      <x:c r="A695" s="2" t="str">
        <x:v>NT000694</x:v>
      </x:c>
      <x:c r="B695" s="2" t="str">
        <x:v>EV000696</x:v>
      </x:c>
      <x:c r="C695" s="2" t="str">
        <x:v>T20261005-2-2</x:v>
      </x:c>
      <x:c r="D695" s="2" t="str">
        <x:v>ST061</x:v>
      </x:c>
      <x:c r="E695" s="2" t="str">
        <x:v>G061</x:v>
      </x:c>
      <x:c r="F695" s="2" t="str">
        <x:v>guardian061@example.invalid</x:v>
      </x:c>
      <x:c r="G695" s="2" t="str">
        <x:v>Email</x:v>
      </x:c>
      <x:c r="H695" s="2" t="str">
        <x:v>School receipt</x:v>
      </x:c>
      <x:c r="I695" s="8" t="n">
        <x:v>46300.506250000006</x:v>
      </x:c>
      <x:c r="J695" s="8" t="n">
        <x:v>46300.50627314815</x:v>
      </x:c>
      <x:c r="K695" s="8" t="n">
        <x:v>46300.506307870375</x:v>
      </x:c>
      <x:c r="L695" s="2" t="str">
        <x:v>Sent</x:v>
      </x:c>
      <x:c r="M695" s="2" t="n">
        <x:v>1</x:v>
      </x:c>
      <x:c r="N695" s="2"/>
      <x:c r="O695" s="2"/>
    </x:row>
    <x:row r="696" ht="21" customHeight="1">
      <x:c r="A696" s="2" t="str">
        <x:v>NT000695</x:v>
      </x:c>
      <x:c r="B696" s="2" t="str">
        <x:v>EV000697</x:v>
      </x:c>
      <x:c r="C696" s="2" t="str">
        <x:v>T20261005-2-2</x:v>
      </x:c>
      <x:c r="D696" s="2" t="str">
        <x:v>ST062</x:v>
      </x:c>
      <x:c r="E696" s="2" t="str">
        <x:v>G062</x:v>
      </x:c>
      <x:c r="F696" s="2" t="str">
        <x:v>guardian062@example.invalid</x:v>
      </x:c>
      <x:c r="G696" s="2" t="str">
        <x:v>Email</x:v>
      </x:c>
      <x:c r="H696" s="2" t="str">
        <x:v>Boarded</x:v>
      </x:c>
      <x:c r="I696" s="8" t="n">
        <x:v>46300.4715625</x:v>
      </x:c>
      <x:c r="J696" s="8" t="n">
        <x:v>46300.47158564815</x:v>
      </x:c>
      <x:c r="K696" s="8" t="n">
        <x:v>46300.47162037037</x:v>
      </x:c>
      <x:c r="L696" s="2" t="str">
        <x:v>Sent</x:v>
      </x:c>
      <x:c r="M696" s="2" t="n">
        <x:v>1</x:v>
      </x:c>
      <x:c r="N696" s="2"/>
      <x:c r="O696" s="2"/>
    </x:row>
    <x:row r="697" ht="21" customHeight="1">
      <x:c r="A697" s="2" t="str">
        <x:v>NT000696</x:v>
      </x:c>
      <x:c r="B697" s="2" t="str">
        <x:v>EV000698</x:v>
      </x:c>
      <x:c r="C697" s="2" t="str">
        <x:v>T20261005-2-2</x:v>
      </x:c>
      <x:c r="D697" s="2" t="str">
        <x:v>ST062</x:v>
      </x:c>
      <x:c r="E697" s="2" t="str">
        <x:v>G062</x:v>
      </x:c>
      <x:c r="F697" s="2" t="str">
        <x:v>guardian062@example.invalid</x:v>
      </x:c>
      <x:c r="G697" s="2" t="str">
        <x:v>Email</x:v>
      </x:c>
      <x:c r="H697" s="2" t="str">
        <x:v>School receipt</x:v>
      </x:c>
      <x:c r="I697" s="8" t="n">
        <x:v>46300.50628472223</x:v>
      </x:c>
      <x:c r="J697" s="8" t="n">
        <x:v>46300.506307870375</x:v>
      </x:c>
      <x:c r="K697" s="8" t="n">
        <x:v>46300.5063425926</x:v>
      </x:c>
      <x:c r="L697" s="2" t="str">
        <x:v>Sent</x:v>
      </x:c>
      <x:c r="M697" s="2" t="n">
        <x:v>1</x:v>
      </x:c>
      <x:c r="N697" s="2"/>
      <x:c r="O697" s="2"/>
    </x:row>
    <x:row r="698" ht="21" customHeight="1">
      <x:c r="A698" s="2" t="str">
        <x:v>NT000697</x:v>
      </x:c>
      <x:c r="B698" s="2" t="str">
        <x:v>EV000699</x:v>
      </x:c>
      <x:c r="C698" s="2" t="str">
        <x:v>T20261005-2-2</x:v>
      </x:c>
      <x:c r="D698" s="2" t="str">
        <x:v>ST063</x:v>
      </x:c>
      <x:c r="E698" s="2" t="str">
        <x:v>G063</x:v>
      </x:c>
      <x:c r="F698" s="2" t="str">
        <x:v>guardian063@example.invalid</x:v>
      </x:c>
      <x:c r="G698" s="2" t="str">
        <x:v>Email</x:v>
      </x:c>
      <x:c r="H698" s="2" t="str">
        <x:v>Boarded</x:v>
      </x:c>
      <x:c r="I698" s="8" t="n">
        <x:v>46300.47645833333</x:v>
      </x:c>
      <x:c r="J698" s="8" t="n">
        <x:v>46300.47648148148</x:v>
      </x:c>
      <x:c r="K698" s="8" t="n">
        <x:v>46300.4765162037</x:v>
      </x:c>
      <x:c r="L698" s="2" t="str">
        <x:v>Sent</x:v>
      </x:c>
      <x:c r="M698" s="2" t="n">
        <x:v>1</x:v>
      </x:c>
      <x:c r="N698" s="2"/>
      <x:c r="O698" s="2"/>
    </x:row>
    <x:row r="699" ht="21" customHeight="1">
      <x:c r="A699" s="2" t="str">
        <x:v>NT000698</x:v>
      </x:c>
      <x:c r="B699" s="2" t="str">
        <x:v>EV000700</x:v>
      </x:c>
      <x:c r="C699" s="2" t="str">
        <x:v>T20261005-2-2</x:v>
      </x:c>
      <x:c r="D699" s="2" t="str">
        <x:v>ST063</x:v>
      </x:c>
      <x:c r="E699" s="2" t="str">
        <x:v>G063</x:v>
      </x:c>
      <x:c r="F699" s="2" t="str">
        <x:v>guardian063@example.invalid</x:v>
      </x:c>
      <x:c r="G699" s="2" t="str">
        <x:v>Email</x:v>
      </x:c>
      <x:c r="H699" s="2" t="str">
        <x:v>School receipt</x:v>
      </x:c>
      <x:c r="I699" s="8" t="n">
        <x:v>46300.506319444445</x:v>
      </x:c>
      <x:c r="J699" s="8" t="n">
        <x:v>46300.50634259259</x:v>
      </x:c>
      <x:c r="K699" s="8" t="n">
        <x:v>46300.506377314814</x:v>
      </x:c>
      <x:c r="L699" s="2" t="str">
        <x:v>Sent</x:v>
      </x:c>
      <x:c r="M699" s="2" t="n">
        <x:v>1</x:v>
      </x:c>
      <x:c r="N699" s="2"/>
      <x:c r="O699" s="2"/>
    </x:row>
    <x:row r="700" ht="21" customHeight="1">
      <x:c r="A700" s="2" t="str">
        <x:v>NT000699</x:v>
      </x:c>
      <x:c r="B700" s="2" t="str">
        <x:v>EV000701</x:v>
      </x:c>
      <x:c r="C700" s="2" t="str">
        <x:v>T20261005-2-2</x:v>
      </x:c>
      <x:c r="D700" s="2" t="str">
        <x:v>ST064</x:v>
      </x:c>
      <x:c r="E700" s="2" t="str">
        <x:v>G064</x:v>
      </x:c>
      <x:c r="F700" s="2" t="str">
        <x:v>guardian064@example.invalid</x:v>
      </x:c>
      <x:c r="G700" s="2" t="str">
        <x:v>Email</x:v>
      </x:c>
      <x:c r="H700" s="2" t="str">
        <x:v>Boarded</x:v>
      </x:c>
      <x:c r="I700" s="8" t="n">
        <x:v>46300.481354166666</x:v>
      </x:c>
      <x:c r="J700" s="8" t="n">
        <x:v>46300.48137731481</x:v>
      </x:c>
      <x:c r="K700" s="8" t="n">
        <x:v>46300.481412037036</x:v>
      </x:c>
      <x:c r="L700" s="2" t="str">
        <x:v>Sent</x:v>
      </x:c>
      <x:c r="M700" s="2" t="n">
        <x:v>1</x:v>
      </x:c>
      <x:c r="N700" s="2"/>
      <x:c r="O700" s="2"/>
    </x:row>
    <x:row r="701" ht="21" customHeight="1">
      <x:c r="A701" s="2" t="str">
        <x:v>NT000700</x:v>
      </x:c>
      <x:c r="B701" s="2" t="str">
        <x:v>EV000702</x:v>
      </x:c>
      <x:c r="C701" s="2" t="str">
        <x:v>T20261005-2-2</x:v>
      </x:c>
      <x:c r="D701" s="2" t="str">
        <x:v>ST064</x:v>
      </x:c>
      <x:c r="E701" s="2" t="str">
        <x:v>G064</x:v>
      </x:c>
      <x:c r="F701" s="2" t="str">
        <x:v>guardian064@example.invalid</x:v>
      </x:c>
      <x:c r="G701" s="2" t="str">
        <x:v>Email</x:v>
      </x:c>
      <x:c r="H701" s="2" t="str">
        <x:v>School receipt</x:v>
      </x:c>
      <x:c r="I701" s="8" t="n">
        <x:v>46300.50635416667</x:v>
      </x:c>
      <x:c r="J701" s="8" t="n">
        <x:v>46300.506377314814</x:v>
      </x:c>
      <x:c r="K701" s="8" t="n">
        <x:v>46300.50641203704</x:v>
      </x:c>
      <x:c r="L701" s="2" t="str">
        <x:v>Sent</x:v>
      </x:c>
      <x:c r="M701" s="2" t="n">
        <x:v>1</x:v>
      </x:c>
      <x:c r="N701" s="2"/>
      <x:c r="O701" s="2"/>
    </x:row>
    <x:row r="702" ht="21" customHeight="1">
      <x:c r="A702" s="2" t="str">
        <x:v>NT000701</x:v>
      </x:c>
      <x:c r="B702" s="2" t="str">
        <x:v>EV000703</x:v>
      </x:c>
      <x:c r="C702" s="2" t="str">
        <x:v>T20261005-2-2</x:v>
      </x:c>
      <x:c r="D702" s="2" t="str">
        <x:v>ST065</x:v>
      </x:c>
      <x:c r="E702" s="2" t="str">
        <x:v>G065</x:v>
      </x:c>
      <x:c r="F702" s="2" t="str">
        <x:v>guardian065@example.invalid</x:v>
      </x:c>
      <x:c r="G702" s="2" t="str">
        <x:v>Email</x:v>
      </x:c>
      <x:c r="H702" s="2" t="str">
        <x:v>Boarded</x:v>
      </x:c>
      <x:c r="I702" s="8" t="n">
        <x:v>46300.47166666667</x:v>
      </x:c>
      <x:c r="J702" s="8" t="n">
        <x:v>46300.47168981482</x:v>
      </x:c>
      <x:c r="K702" s="8" t="n">
        <x:v>46300.47172453704</x:v>
      </x:c>
      <x:c r="L702" s="2" t="str">
        <x:v>Sent</x:v>
      </x:c>
      <x:c r="M702" s="2" t="n">
        <x:v>1</x:v>
      </x:c>
      <x:c r="N702" s="2"/>
      <x:c r="O702" s="2"/>
    </x:row>
    <x:row r="703" ht="21" customHeight="1">
      <x:c r="A703" s="2" t="str">
        <x:v>NT000702</x:v>
      </x:c>
      <x:c r="B703" s="2" t="str">
        <x:v>EV000704</x:v>
      </x:c>
      <x:c r="C703" s="2" t="str">
        <x:v>T20261005-2-2</x:v>
      </x:c>
      <x:c r="D703" s="2" t="str">
        <x:v>ST065</x:v>
      </x:c>
      <x:c r="E703" s="2" t="str">
        <x:v>G065</x:v>
      </x:c>
      <x:c r="F703" s="2" t="str">
        <x:v>guardian065@example.invalid</x:v>
      </x:c>
      <x:c r="G703" s="2" t="str">
        <x:v>Email</x:v>
      </x:c>
      <x:c r="H703" s="2" t="str">
        <x:v>School receipt</x:v>
      </x:c>
      <x:c r="I703" s="8" t="n">
        <x:v>46300.50638888889</x:v>
      </x:c>
      <x:c r="J703" s="8" t="n">
        <x:v>46300.50641203704</x:v>
      </x:c>
      <x:c r="K703" s="8" t="n">
        <x:v>46300.50644675926</x:v>
      </x:c>
      <x:c r="L703" s="2" t="str">
        <x:v>Sent</x:v>
      </x:c>
      <x:c r="M703" s="2" t="n">
        <x:v>1</x:v>
      </x:c>
      <x:c r="N703" s="2"/>
      <x:c r="O703" s="2"/>
    </x:row>
    <x:row r="704" ht="21" customHeight="1">
      <x:c r="A704" s="2" t="str">
        <x:v>NT000703</x:v>
      </x:c>
      <x:c r="B704" s="2" t="str">
        <x:v>EV000705</x:v>
      </x:c>
      <x:c r="C704" s="2" t="str">
        <x:v>T20261005-2-2</x:v>
      </x:c>
      <x:c r="D704" s="2" t="str">
        <x:v>ST066</x:v>
      </x:c>
      <x:c r="E704" s="2" t="str">
        <x:v>G066</x:v>
      </x:c>
      <x:c r="F704" s="2" t="str">
        <x:v>guardian066@example.invalid</x:v>
      </x:c>
      <x:c r="G704" s="2" t="str">
        <x:v>Email</x:v>
      </x:c>
      <x:c r="H704" s="2" t="str">
        <x:v>Boarded</x:v>
      </x:c>
      <x:c r="I704" s="8" t="n">
        <x:v>46300.47656249999</x:v>
      </x:c>
      <x:c r="J704" s="8" t="n">
        <x:v>46300.47658564814</x:v>
      </x:c>
      <x:c r="K704" s="8" t="n">
        <x:v>46300.47662037036</x:v>
      </x:c>
      <x:c r="L704" s="2" t="str">
        <x:v>Sent</x:v>
      </x:c>
      <x:c r="M704" s="2" t="n">
        <x:v>1</x:v>
      </x:c>
      <x:c r="N704" s="2"/>
      <x:c r="O704" s="2"/>
    </x:row>
    <x:row r="705" ht="21" customHeight="1">
      <x:c r="A705" s="2" t="str">
        <x:v>NT000704</x:v>
      </x:c>
      <x:c r="B705" s="2" t="str">
        <x:v>EV000706</x:v>
      </x:c>
      <x:c r="C705" s="2" t="str">
        <x:v>T20261005-2-2</x:v>
      </x:c>
      <x:c r="D705" s="2" t="str">
        <x:v>ST066</x:v>
      </x:c>
      <x:c r="E705" s="2" t="str">
        <x:v>G066</x:v>
      </x:c>
      <x:c r="F705" s="2" t="str">
        <x:v>guardian066@example.invalid</x:v>
      </x:c>
      <x:c r="G705" s="2" t="str">
        <x:v>Email</x:v>
      </x:c>
      <x:c r="H705" s="2" t="str">
        <x:v>School receipt</x:v>
      </x:c>
      <x:c r="I705" s="8" t="n">
        <x:v>46300.506423611114</x:v>
      </x:c>
      <x:c r="J705" s="8" t="n">
        <x:v>46300.50644675926</x:v>
      </x:c>
      <x:c r="K705" s="8" t="n">
        <x:v>46300.50648148148</x:v>
      </x:c>
      <x:c r="L705" s="2" t="str">
        <x:v>Sent</x:v>
      </x:c>
      <x:c r="M705" s="2" t="n">
        <x:v>1</x:v>
      </x:c>
      <x:c r="N705" s="2"/>
      <x:c r="O705" s="2"/>
    </x:row>
    <x:row r="706" ht="21" customHeight="1">
      <x:c r="A706" s="2" t="str">
        <x:v>NT000705</x:v>
      </x:c>
      <x:c r="B706" s="2" t="str">
        <x:v>EV000707</x:v>
      </x:c>
      <x:c r="C706" s="2" t="str">
        <x:v>T20261005-2-2</x:v>
      </x:c>
      <x:c r="D706" s="2" t="str">
        <x:v>ST067</x:v>
      </x:c>
      <x:c r="E706" s="2" t="str">
        <x:v>G067</x:v>
      </x:c>
      <x:c r="F706" s="2" t="str">
        <x:v>guardian067@example.invalid</x:v>
      </x:c>
      <x:c r="G706" s="2" t="str">
        <x:v>Email</x:v>
      </x:c>
      <x:c r="H706" s="2" t="str">
        <x:v>Boarded</x:v>
      </x:c>
      <x:c r="I706" s="8" t="n">
        <x:v>46300.48145833333</x:v>
      </x:c>
      <x:c r="J706" s="8" t="n">
        <x:v>46300.481481481474</x:v>
      </x:c>
      <x:c r="K706" s="8" t="n">
        <x:v>46300.4815162037</x:v>
      </x:c>
      <x:c r="L706" s="2" t="str">
        <x:v>Sent</x:v>
      </x:c>
      <x:c r="M706" s="2" t="n">
        <x:v>1</x:v>
      </x:c>
      <x:c r="N706" s="2"/>
      <x:c r="O706" s="2"/>
    </x:row>
    <x:row r="707" ht="21" customHeight="1">
      <x:c r="A707" s="2" t="str">
        <x:v>NT000706</x:v>
      </x:c>
      <x:c r="B707" s="2" t="str">
        <x:v>EV000708</x:v>
      </x:c>
      <x:c r="C707" s="2" t="str">
        <x:v>T20261005-2-2</x:v>
      </x:c>
      <x:c r="D707" s="2" t="str">
        <x:v>ST067</x:v>
      </x:c>
      <x:c r="E707" s="2" t="str">
        <x:v>G067</x:v>
      </x:c>
      <x:c r="F707" s="2" t="str">
        <x:v>guardian067@example.invalid</x:v>
      </x:c>
      <x:c r="G707" s="2" t="str">
        <x:v>Email</x:v>
      </x:c>
      <x:c r="H707" s="2" t="str">
        <x:v>School receipt</x:v>
      </x:c>
      <x:c r="I707" s="8" t="n">
        <x:v>46300.50645833334</x:v>
      </x:c>
      <x:c r="J707" s="8" t="n">
        <x:v>46300.50648148148</x:v>
      </x:c>
      <x:c r="K707" s="8" t="n">
        <x:v>46300.506516203706</x:v>
      </x:c>
      <x:c r="L707" s="2" t="str">
        <x:v>Sent</x:v>
      </x:c>
      <x:c r="M707" s="2" t="n">
        <x:v>1</x:v>
      </x:c>
      <x:c r="N707" s="2"/>
      <x:c r="O707" s="2"/>
    </x:row>
    <x:row r="708" ht="21" customHeight="1">
      <x:c r="A708" s="2" t="str">
        <x:v>NT000707</x:v>
      </x:c>
      <x:c r="B708" s="2" t="str">
        <x:v>EV000709</x:v>
      </x:c>
      <x:c r="C708" s="2" t="str">
        <x:v>T20261005-2-2</x:v>
      </x:c>
      <x:c r="D708" s="2" t="str">
        <x:v>ST068</x:v>
      </x:c>
      <x:c r="E708" s="2" t="str">
        <x:v>G068</x:v>
      </x:c>
      <x:c r="F708" s="2" t="str">
        <x:v>guardian068@example.invalid</x:v>
      </x:c>
      <x:c r="G708" s="2" t="str">
        <x:v>Email</x:v>
      </x:c>
      <x:c r="H708" s="2" t="str">
        <x:v>Boarded</x:v>
      </x:c>
      <x:c r="I708" s="8" t="n">
        <x:v>46300.471770833334</x:v>
      </x:c>
      <x:c r="J708" s="8" t="n">
        <x:v>46300.47179398148</x:v>
      </x:c>
      <x:c r="K708" s="8" t="n">
        <x:v>46300.4718287037</x:v>
      </x:c>
      <x:c r="L708" s="2" t="str">
        <x:v>Sent</x:v>
      </x:c>
      <x:c r="M708" s="2" t="n">
        <x:v>1</x:v>
      </x:c>
      <x:c r="N708" s="2"/>
      <x:c r="O708" s="2"/>
    </x:row>
    <x:row r="709" ht="21" customHeight="1">
      <x:c r="A709" s="2" t="str">
        <x:v>NT000708</x:v>
      </x:c>
      <x:c r="B709" s="2" t="str">
        <x:v>EV000710</x:v>
      </x:c>
      <x:c r="C709" s="2" t="str">
        <x:v>T20261005-2-2</x:v>
      </x:c>
      <x:c r="D709" s="2" t="str">
        <x:v>ST068</x:v>
      </x:c>
      <x:c r="E709" s="2" t="str">
        <x:v>G068</x:v>
      </x:c>
      <x:c r="F709" s="2" t="str">
        <x:v>guardian068@example.invalid</x:v>
      </x:c>
      <x:c r="G709" s="2" t="str">
        <x:v>Email</x:v>
      </x:c>
      <x:c r="H709" s="2" t="str">
        <x:v>School receipt</x:v>
      </x:c>
      <x:c r="I709" s="8" t="n">
        <x:v>46300.50649305556</x:v>
      </x:c>
      <x:c r="J709" s="8" t="n">
        <x:v>46300.506516203706</x:v>
      </x:c>
      <x:c r="K709" s="8" t="n">
        <x:v>46300.50655092593</x:v>
      </x:c>
      <x:c r="L709" s="2" t="str">
        <x:v>Sent</x:v>
      </x:c>
      <x:c r="M709" s="2" t="n">
        <x:v>1</x:v>
      </x:c>
      <x:c r="N709" s="2"/>
      <x:c r="O709" s="2"/>
    </x:row>
    <x:row r="710" ht="21" customHeight="1">
      <x:c r="A710" s="2" t="str">
        <x:v>NT000709</x:v>
      </x:c>
      <x:c r="B710" s="2" t="str">
        <x:v>EV000711</x:v>
      </x:c>
      <x:c r="C710" s="2" t="str">
        <x:v>T20261005-2-2</x:v>
      </x:c>
      <x:c r="D710" s="2" t="str">
        <x:v>ST069</x:v>
      </x:c>
      <x:c r="E710" s="2" t="str">
        <x:v>G069</x:v>
      </x:c>
      <x:c r="F710" s="2" t="str">
        <x:v>guardian069@example.invalid</x:v>
      </x:c>
      <x:c r="G710" s="2" t="str">
        <x:v>Email</x:v>
      </x:c>
      <x:c r="H710" s="2" t="str">
        <x:v>Boarded</x:v>
      </x:c>
      <x:c r="I710" s="8" t="n">
        <x:v>46300.47666666666</x:v>
      </x:c>
      <x:c r="J710" s="8" t="n">
        <x:v>46300.47668981481</x:v>
      </x:c>
      <x:c r="K710" s="8" t="n">
        <x:v>46300.47672453703</x:v>
      </x:c>
      <x:c r="L710" s="2" t="str">
        <x:v>Sent</x:v>
      </x:c>
      <x:c r="M710" s="2" t="n">
        <x:v>1</x:v>
      </x:c>
      <x:c r="N710" s="2"/>
      <x:c r="O710" s="2"/>
    </x:row>
    <x:row r="711" ht="21" customHeight="1">
      <x:c r="A711" s="2" t="str">
        <x:v>NT000710</x:v>
      </x:c>
      <x:c r="B711" s="2" t="str">
        <x:v>EV000712</x:v>
      </x:c>
      <x:c r="C711" s="2" t="str">
        <x:v>T20261005-2-2</x:v>
      </x:c>
      <x:c r="D711" s="2" t="str">
        <x:v>ST069</x:v>
      </x:c>
      <x:c r="E711" s="2" t="str">
        <x:v>G069</x:v>
      </x:c>
      <x:c r="F711" s="2" t="str">
        <x:v>guardian069@example.invalid</x:v>
      </x:c>
      <x:c r="G711" s="2" t="str">
        <x:v>Email</x:v>
      </x:c>
      <x:c r="H711" s="2" t="str">
        <x:v>School receipt</x:v>
      </x:c>
      <x:c r="I711" s="8" t="n">
        <x:v>46300.50652777778</x:v>
      </x:c>
      <x:c r="J711" s="8" t="n">
        <x:v>46300.50655092593</x:v>
      </x:c>
      <x:c r="K711" s="8" t="n">
        <x:v>46300.50658564815</x:v>
      </x:c>
      <x:c r="L711" s="2" t="str">
        <x:v>Sent</x:v>
      </x:c>
      <x:c r="M711" s="2" t="n">
        <x:v>1</x:v>
      </x:c>
      <x:c r="N711" s="2"/>
      <x:c r="O711" s="2"/>
    </x:row>
    <x:row r="712" ht="21" customHeight="1">
      <x:c r="A712" s="2" t="str">
        <x:v>NT000711</x:v>
      </x:c>
      <x:c r="B712" s="2" t="str">
        <x:v>EV000713</x:v>
      </x:c>
      <x:c r="C712" s="2" t="str">
        <x:v>T20261005-2-2</x:v>
      </x:c>
      <x:c r="D712" s="2" t="str">
        <x:v>ST070</x:v>
      </x:c>
      <x:c r="E712" s="2" t="str">
        <x:v>G070</x:v>
      </x:c>
      <x:c r="F712" s="2" t="str">
        <x:v>guardian070@example.invalid</x:v>
      </x:c>
      <x:c r="G712" s="2" t="str">
        <x:v>Email</x:v>
      </x:c>
      <x:c r="H712" s="2" t="str">
        <x:v>Boarded</x:v>
      </x:c>
      <x:c r="I712" s="8" t="n">
        <x:v>46300.4815625</x:v>
      </x:c>
      <x:c r="J712" s="8" t="n">
        <x:v>46300.481585648144</x:v>
      </x:c>
      <x:c r="K712" s="8" t="n">
        <x:v>46300.48162037037</x:v>
      </x:c>
      <x:c r="L712" s="2" t="str">
        <x:v>Sent</x:v>
      </x:c>
      <x:c r="M712" s="2" t="n">
        <x:v>1</x:v>
      </x:c>
      <x:c r="N712" s="2"/>
      <x:c r="O712" s="2"/>
    </x:row>
    <x:row r="713" ht="21" customHeight="1">
      <x:c r="A713" s="2" t="str">
        <x:v>NT000712</x:v>
      </x:c>
      <x:c r="B713" s="2" t="str">
        <x:v>EV000714</x:v>
      </x:c>
      <x:c r="C713" s="2" t="str">
        <x:v>T20261005-2-2</x:v>
      </x:c>
      <x:c r="D713" s="2" t="str">
        <x:v>ST070</x:v>
      </x:c>
      <x:c r="E713" s="2" t="str">
        <x:v>G070</x:v>
      </x:c>
      <x:c r="F713" s="2" t="str">
        <x:v>guardian070@example.invalid</x:v>
      </x:c>
      <x:c r="G713" s="2" t="str">
        <x:v>Email</x:v>
      </x:c>
      <x:c r="H713" s="2" t="str">
        <x:v>School receipt</x:v>
      </x:c>
      <x:c r="I713" s="8" t="n">
        <x:v>46300.506562500006</x:v>
      </x:c>
      <x:c r="J713" s="8" t="n">
        <x:v>46300.50658564815</x:v>
      </x:c>
      <x:c r="K713" s="8" t="n">
        <x:v>46300.506620370375</x:v>
      </x:c>
      <x:c r="L713" s="2" t="str">
        <x:v>Sent</x:v>
      </x:c>
      <x:c r="M713" s="2" t="n">
        <x:v>1</x:v>
      </x:c>
      <x:c r="N713" s="2"/>
      <x:c r="O713" s="2"/>
    </x:row>
    <x:row r="714" ht="21" customHeight="1">
      <x:c r="A714" s="2" t="str">
        <x:v>NT000713</x:v>
      </x:c>
      <x:c r="B714" s="2" t="str">
        <x:v>EV000715</x:v>
      </x:c>
      <x:c r="C714" s="2" t="str">
        <x:v>T20261005-2-2</x:v>
      </x:c>
      <x:c r="D714" s="2" t="str">
        <x:v>ST071</x:v>
      </x:c>
      <x:c r="E714" s="2" t="str">
        <x:v>G071</x:v>
      </x:c>
      <x:c r="F714" s="2" t="str">
        <x:v>guardian071@example.invalid</x:v>
      </x:c>
      <x:c r="G714" s="2" t="str">
        <x:v>Email</x:v>
      </x:c>
      <x:c r="H714" s="2" t="str">
        <x:v>Boarded</x:v>
      </x:c>
      <x:c r="I714" s="8" t="n">
        <x:v>46300.47152777778</x:v>
      </x:c>
      <x:c r="J714" s="8" t="n">
        <x:v>46300.471550925926</x:v>
      </x:c>
      <x:c r="K714" s="8" t="n">
        <x:v>46300.47158564815</x:v>
      </x:c>
      <x:c r="L714" s="2" t="str">
        <x:v>Sent</x:v>
      </x:c>
      <x:c r="M714" s="2" t="n">
        <x:v>1</x:v>
      </x:c>
      <x:c r="N714" s="2"/>
      <x:c r="O714" s="2"/>
    </x:row>
    <x:row r="715" ht="21" customHeight="1">
      <x:c r="A715" s="2" t="str">
        <x:v>NT000714</x:v>
      </x:c>
      <x:c r="B715" s="2" t="str">
        <x:v>EV000716</x:v>
      </x:c>
      <x:c r="C715" s="2" t="str">
        <x:v>T20261005-2-2</x:v>
      </x:c>
      <x:c r="D715" s="2" t="str">
        <x:v>ST071</x:v>
      </x:c>
      <x:c r="E715" s="2" t="str">
        <x:v>G071</x:v>
      </x:c>
      <x:c r="F715" s="2" t="str">
        <x:v>guardian071@example.invalid</x:v>
      </x:c>
      <x:c r="G715" s="2" t="str">
        <x:v>Email</x:v>
      </x:c>
      <x:c r="H715" s="2" t="str">
        <x:v>School receipt</x:v>
      </x:c>
      <x:c r="I715" s="8" t="n">
        <x:v>46300.50659722223</x:v>
      </x:c>
      <x:c r="J715" s="8" t="n">
        <x:v>46300.506620370375</x:v>
      </x:c>
      <x:c r="K715" s="8" t="n">
        <x:v>46300.5066550926</x:v>
      </x:c>
      <x:c r="L715" s="2" t="str">
        <x:v>Sent</x:v>
      </x:c>
      <x:c r="M715" s="2" t="n">
        <x:v>1</x:v>
      </x:c>
      <x:c r="N715" s="2"/>
      <x:c r="O715" s="2"/>
    </x:row>
    <x:row r="716" ht="21" customHeight="1">
      <x:c r="A716" s="2" t="str">
        <x:v>NT000715</x:v>
      </x:c>
      <x:c r="B716" s="2" t="str">
        <x:v>EV000717</x:v>
      </x:c>
      <x:c r="C716" s="2" t="str">
        <x:v>T20261005-2-2</x:v>
      </x:c>
      <x:c r="D716" s="2" t="str">
        <x:v>ST072</x:v>
      </x:c>
      <x:c r="E716" s="2" t="str">
        <x:v>G072</x:v>
      </x:c>
      <x:c r="F716" s="2" t="str">
        <x:v>guardian072@example.invalid</x:v>
      </x:c>
      <x:c r="G716" s="2" t="str">
        <x:v>Email</x:v>
      </x:c>
      <x:c r="H716" s="2" t="str">
        <x:v>Boarded</x:v>
      </x:c>
      <x:c r="I716" s="8" t="n">
        <x:v>46300.47642361111</x:v>
      </x:c>
      <x:c r="J716" s="8" t="n">
        <x:v>46300.476446759254</x:v>
      </x:c>
      <x:c r="K716" s="8" t="n">
        <x:v>46300.47648148148</x:v>
      </x:c>
      <x:c r="L716" s="2" t="str">
        <x:v>Sent</x:v>
      </x:c>
      <x:c r="M716" s="2" t="n">
        <x:v>1</x:v>
      </x:c>
      <x:c r="N716" s="2"/>
      <x:c r="O716" s="2"/>
    </x:row>
    <x:row r="717" ht="21" customHeight="1">
      <x:c r="A717" s="2" t="str">
        <x:v>NT000716</x:v>
      </x:c>
      <x:c r="B717" s="2" t="str">
        <x:v>EV000718</x:v>
      </x:c>
      <x:c r="C717" s="2" t="str">
        <x:v>T20261005-2-2</x:v>
      </x:c>
      <x:c r="D717" s="2" t="str">
        <x:v>ST072</x:v>
      </x:c>
      <x:c r="E717" s="2" t="str">
        <x:v>G072</x:v>
      </x:c>
      <x:c r="F717" s="2" t="str">
        <x:v>guardian072@example.invalid</x:v>
      </x:c>
      <x:c r="G717" s="2" t="str">
        <x:v>Email</x:v>
      </x:c>
      <x:c r="H717" s="2" t="str">
        <x:v>School receipt</x:v>
      </x:c>
      <x:c r="I717" s="8" t="n">
        <x:v>46300.506631944445</x:v>
      </x:c>
      <x:c r="J717" s="8" t="n">
        <x:v>46300.50665509259</x:v>
      </x:c>
      <x:c r="K717" s="8" t="n">
        <x:v>46300.506689814814</x:v>
      </x:c>
      <x:c r="L717" s="2" t="str">
        <x:v>Sent</x:v>
      </x:c>
      <x:c r="M717" s="2" t="n">
        <x:v>1</x:v>
      </x:c>
      <x:c r="N717" s="2"/>
      <x:c r="O717" s="2"/>
    </x:row>
    <x:row r="718" ht="21" customHeight="1">
      <x:c r="A718" s="2" t="str">
        <x:v>NT000717</x:v>
      </x:c>
      <x:c r="B718" s="2" t="str">
        <x:v>EV000719</x:v>
      </x:c>
      <x:c r="C718" s="2" t="str">
        <x:v>T20261005-2-2</x:v>
      </x:c>
      <x:c r="D718" s="2" t="str">
        <x:v>ST073</x:v>
      </x:c>
      <x:c r="E718" s="2" t="str">
        <x:v>G073</x:v>
      </x:c>
      <x:c r="F718" s="2" t="str">
        <x:v>guardian073@example.invalid</x:v>
      </x:c>
      <x:c r="G718" s="2" t="str">
        <x:v>Email</x:v>
      </x:c>
      <x:c r="H718" s="2" t="str">
        <x:v>Boarded</x:v>
      </x:c>
      <x:c r="I718" s="8" t="n">
        <x:v>46300.48131944444</x:v>
      </x:c>
      <x:c r="J718" s="8" t="n">
        <x:v>46300.48134259259</x:v>
      </x:c>
      <x:c r="K718" s="8" t="n">
        <x:v>46300.48137731481</x:v>
      </x:c>
      <x:c r="L718" s="2" t="str">
        <x:v>Sent</x:v>
      </x:c>
      <x:c r="M718" s="2" t="n">
        <x:v>1</x:v>
      </x:c>
      <x:c r="N718" s="2"/>
      <x:c r="O718" s="2"/>
    </x:row>
    <x:row r="719" ht="21" customHeight="1">
      <x:c r="A719" s="2" t="str">
        <x:v>NT000718</x:v>
      </x:c>
      <x:c r="B719" s="2" t="str">
        <x:v>EV000720</x:v>
      </x:c>
      <x:c r="C719" s="2" t="str">
        <x:v>T20261005-2-2</x:v>
      </x:c>
      <x:c r="D719" s="2" t="str">
        <x:v>ST073</x:v>
      </x:c>
      <x:c r="E719" s="2" t="str">
        <x:v>G073</x:v>
      </x:c>
      <x:c r="F719" s="2" t="str">
        <x:v>guardian073@example.invalid</x:v>
      </x:c>
      <x:c r="G719" s="2" t="str">
        <x:v>Email</x:v>
      </x:c>
      <x:c r="H719" s="2" t="str">
        <x:v>School receipt</x:v>
      </x:c>
      <x:c r="I719" s="8" t="n">
        <x:v>46300.50666666667</x:v>
      </x:c>
      <x:c r="J719" s="8" t="n">
        <x:v>46300.506689814814</x:v>
      </x:c>
      <x:c r="K719" s="8" t="n">
        <x:v>46300.50672453704</x:v>
      </x:c>
      <x:c r="L719" s="2" t="str">
        <x:v>Sent</x:v>
      </x:c>
      <x:c r="M719" s="2" t="n">
        <x:v>1</x:v>
      </x:c>
      <x:c r="N719" s="2"/>
      <x:c r="O719" s="2"/>
    </x:row>
    <x:row r="720" ht="21" customHeight="1">
      <x:c r="A720" s="2" t="str">
        <x:v>NT000719</x:v>
      </x:c>
      <x:c r="B720" s="2" t="str">
        <x:v>EV000721</x:v>
      </x:c>
      <x:c r="C720" s="2" t="str">
        <x:v>T20261005-2-2</x:v>
      </x:c>
      <x:c r="D720" s="2" t="str">
        <x:v>ST074</x:v>
      </x:c>
      <x:c r="E720" s="2" t="str">
        <x:v>G074</x:v>
      </x:c>
      <x:c r="F720" s="2" t="str">
        <x:v>guardian074@example.invalid</x:v>
      </x:c>
      <x:c r="G720" s="2" t="str">
        <x:v>Email</x:v>
      </x:c>
      <x:c r="H720" s="2" t="str">
        <x:v>Boarded</x:v>
      </x:c>
      <x:c r="I720" s="8" t="n">
        <x:v>46300.47163194445</x:v>
      </x:c>
      <x:c r="J720" s="8" t="n">
        <x:v>46300.471655092595</x:v>
      </x:c>
      <x:c r="K720" s="8" t="n">
        <x:v>46300.47168981482</x:v>
      </x:c>
      <x:c r="L720" s="2" t="str">
        <x:v>Sent</x:v>
      </x:c>
      <x:c r="M720" s="2" t="n">
        <x:v>1</x:v>
      </x:c>
      <x:c r="N720" s="2"/>
      <x:c r="O720" s="2"/>
    </x:row>
    <x:row r="721" ht="21" customHeight="1">
      <x:c r="A721" s="2" t="str">
        <x:v>NT000720</x:v>
      </x:c>
      <x:c r="B721" s="2" t="str">
        <x:v>EV000722</x:v>
      </x:c>
      <x:c r="C721" s="2" t="str">
        <x:v>T20261005-2-2</x:v>
      </x:c>
      <x:c r="D721" s="2" t="str">
        <x:v>ST074</x:v>
      </x:c>
      <x:c r="E721" s="2" t="str">
        <x:v>G074</x:v>
      </x:c>
      <x:c r="F721" s="2" t="str">
        <x:v>guardian074@example.invalid</x:v>
      </x:c>
      <x:c r="G721" s="2" t="str">
        <x:v>Email</x:v>
      </x:c>
      <x:c r="H721" s="2" t="str">
        <x:v>School receipt</x:v>
      </x:c>
      <x:c r="I721" s="8" t="n">
        <x:v>46300.50670138889</x:v>
      </x:c>
      <x:c r="J721" s="8" t="n">
        <x:v>46300.50672453704</x:v>
      </x:c>
      <x:c r="K721" s="8" t="n">
        <x:v>46300.50675925926</x:v>
      </x:c>
      <x:c r="L721" s="2" t="str">
        <x:v>Sent</x:v>
      </x:c>
      <x:c r="M721" s="2" t="n">
        <x:v>1</x:v>
      </x:c>
      <x:c r="N721" s="2"/>
      <x:c r="O721" s="2"/>
    </x:row>
    <x:row r="722" ht="21" customHeight="1">
      <x:c r="A722" s="2" t="str">
        <x:v>NT000721</x:v>
      </x:c>
      <x:c r="B722" s="2" t="str">
        <x:v>EV000723</x:v>
      </x:c>
      <x:c r="C722" s="2" t="str">
        <x:v>T20261005-2-2</x:v>
      </x:c>
      <x:c r="D722" s="2" t="str">
        <x:v>ST075</x:v>
      </x:c>
      <x:c r="E722" s="2" t="str">
        <x:v>G075</x:v>
      </x:c>
      <x:c r="F722" s="2" t="str">
        <x:v>guardian075@example.invalid</x:v>
      </x:c>
      <x:c r="G722" s="2" t="str">
        <x:v>Email</x:v>
      </x:c>
      <x:c r="H722" s="2" t="str">
        <x:v>Boarded</x:v>
      </x:c>
      <x:c r="I722" s="8" t="n">
        <x:v>46300.47652777778</x:v>
      </x:c>
      <x:c r="J722" s="8" t="n">
        <x:v>46300.47655092592</x:v>
      </x:c>
      <x:c r="K722" s="8" t="n">
        <x:v>46300.476585648146</x:v>
      </x:c>
      <x:c r="L722" s="2" t="str">
        <x:v>Sent</x:v>
      </x:c>
      <x:c r="M722" s="2" t="n">
        <x:v>1</x:v>
      </x:c>
      <x:c r="N722" s="2"/>
      <x:c r="O722" s="2"/>
    </x:row>
    <x:row r="723" ht="21" customHeight="1">
      <x:c r="A723" s="2" t="str">
        <x:v>NT000722</x:v>
      </x:c>
      <x:c r="B723" s="2" t="str">
        <x:v>EV000724</x:v>
      </x:c>
      <x:c r="C723" s="2" t="str">
        <x:v>T20261005-2-2</x:v>
      </x:c>
      <x:c r="D723" s="2" t="str">
        <x:v>ST075</x:v>
      </x:c>
      <x:c r="E723" s="2" t="str">
        <x:v>G075</x:v>
      </x:c>
      <x:c r="F723" s="2" t="str">
        <x:v>guardian075@example.invalid</x:v>
      </x:c>
      <x:c r="G723" s="2" t="str">
        <x:v>Email</x:v>
      </x:c>
      <x:c r="H723" s="2" t="str">
        <x:v>School receipt</x:v>
      </x:c>
      <x:c r="I723" s="8" t="n">
        <x:v>46300.506736111114</x:v>
      </x:c>
      <x:c r="J723" s="8" t="n">
        <x:v>46300.50675925926</x:v>
      </x:c>
      <x:c r="K723" s="8" t="n">
        <x:v>46300.50679398148</x:v>
      </x:c>
      <x:c r="L723" s="2" t="str">
        <x:v>Sent</x:v>
      </x:c>
      <x:c r="M723" s="2" t="n">
        <x:v>1</x:v>
      </x:c>
      <x:c r="N723" s="2"/>
      <x:c r="O723" s="2"/>
    </x:row>
    <x:row r="724" ht="21" customHeight="1">
      <x:c r="A724" s="2" t="str">
        <x:v>NT000723</x:v>
      </x:c>
      <x:c r="B724" s="2" t="str">
        <x:v>EV000725</x:v>
      </x:c>
      <x:c r="C724" s="2" t="str">
        <x:v>T20261005-2-2</x:v>
      </x:c>
      <x:c r="D724" s="2" t="str">
        <x:v>ST076</x:v>
      </x:c>
      <x:c r="E724" s="2" t="str">
        <x:v>G076</x:v>
      </x:c>
      <x:c r="F724" s="2" t="str">
        <x:v>guardian076@example.invalid</x:v>
      </x:c>
      <x:c r="G724" s="2" t="str">
        <x:v>Email</x:v>
      </x:c>
      <x:c r="H724" s="2" t="str">
        <x:v>Boarded</x:v>
      </x:c>
      <x:c r="I724" s="8" t="n">
        <x:v>46300.481423611105</x:v>
      </x:c>
      <x:c r="J724" s="8" t="n">
        <x:v>46300.48144675925</x:v>
      </x:c>
      <x:c r="K724" s="8" t="n">
        <x:v>46300.481481481474</x:v>
      </x:c>
      <x:c r="L724" s="2" t="str">
        <x:v>Sent</x:v>
      </x:c>
      <x:c r="M724" s="2" t="n">
        <x:v>1</x:v>
      </x:c>
      <x:c r="N724" s="2"/>
      <x:c r="O724" s="2"/>
    </x:row>
    <x:row r="725" ht="21" customHeight="1">
      <x:c r="A725" s="2" t="str">
        <x:v>NT000724</x:v>
      </x:c>
      <x:c r="B725" s="2" t="str">
        <x:v>EV000726</x:v>
      </x:c>
      <x:c r="C725" s="2" t="str">
        <x:v>T20261005-2-2</x:v>
      </x:c>
      <x:c r="D725" s="2" t="str">
        <x:v>ST076</x:v>
      </x:c>
      <x:c r="E725" s="2" t="str">
        <x:v>G076</x:v>
      </x:c>
      <x:c r="F725" s="2" t="str">
        <x:v>guardian076@example.invalid</x:v>
      </x:c>
      <x:c r="G725" s="2" t="str">
        <x:v>Email</x:v>
      </x:c>
      <x:c r="H725" s="2" t="str">
        <x:v>School receipt</x:v>
      </x:c>
      <x:c r="I725" s="8" t="n">
        <x:v>46300.50677083334</x:v>
      </x:c>
      <x:c r="J725" s="8" t="n">
        <x:v>46300.50679398148</x:v>
      </x:c>
      <x:c r="K725" s="8" t="n">
        <x:v>46300.50682870371</x:v>
      </x:c>
      <x:c r="L725" s="2" t="str">
        <x:v>Sent</x:v>
      </x:c>
      <x:c r="M725" s="2" t="n">
        <x:v>1</x:v>
      </x:c>
      <x:c r="N725" s="2"/>
      <x:c r="O725" s="2"/>
    </x:row>
    <x:row r="726" ht="21" customHeight="1">
      <x:c r="A726" s="2" t="str">
        <x:v>NT000725</x:v>
      </x:c>
      <x:c r="B726" s="2" t="str">
        <x:v>EV000727</x:v>
      </x:c>
      <x:c r="C726" s="2" t="str">
        <x:v>T20261005-2-2</x:v>
      </x:c>
      <x:c r="D726" s="2" t="str">
        <x:v>ST077</x:v>
      </x:c>
      <x:c r="E726" s="2" t="str">
        <x:v>G077</x:v>
      </x:c>
      <x:c r="F726" s="2" t="str">
        <x:v>guardian077@example.invalid</x:v>
      </x:c>
      <x:c r="G726" s="2" t="str">
        <x:v>Email</x:v>
      </x:c>
      <x:c r="H726" s="2" t="str">
        <x:v>Boarded</x:v>
      </x:c>
      <x:c r="I726" s="8" t="n">
        <x:v>46300.47173611111</x:v>
      </x:c>
      <x:c r="J726" s="8" t="n">
        <x:v>46300.47175925926</x:v>
      </x:c>
      <x:c r="K726" s="8" t="n">
        <x:v>46300.47179398148</x:v>
      </x:c>
      <x:c r="L726" s="2" t="str">
        <x:v>Sent</x:v>
      </x:c>
      <x:c r="M726" s="2" t="n">
        <x:v>1</x:v>
      </x:c>
      <x:c r="N726" s="2"/>
      <x:c r="O726" s="2"/>
    </x:row>
    <x:row r="727" ht="21" customHeight="1">
      <x:c r="A727" s="2" t="str">
        <x:v>NT000726</x:v>
      </x:c>
      <x:c r="B727" s="2" t="str">
        <x:v>EV000728</x:v>
      </x:c>
      <x:c r="C727" s="2" t="str">
        <x:v>T20261005-2-2</x:v>
      </x:c>
      <x:c r="D727" s="2" t="str">
        <x:v>ST077</x:v>
      </x:c>
      <x:c r="E727" s="2" t="str">
        <x:v>G077</x:v>
      </x:c>
      <x:c r="F727" s="2" t="str">
        <x:v>guardian077@example.invalid</x:v>
      </x:c>
      <x:c r="G727" s="2" t="str">
        <x:v>Email</x:v>
      </x:c>
      <x:c r="H727" s="2" t="str">
        <x:v>School receipt</x:v>
      </x:c>
      <x:c r="I727" s="8" t="n">
        <x:v>46300.50680555556</x:v>
      </x:c>
      <x:c r="J727" s="8" t="n">
        <x:v>46300.50682870371</x:v>
      </x:c>
      <x:c r="K727" s="8" t="n">
        <x:v>46300.50686342593</x:v>
      </x:c>
      <x:c r="L727" s="2" t="str">
        <x:v>Sent</x:v>
      </x:c>
      <x:c r="M727" s="2" t="n">
        <x:v>1</x:v>
      </x:c>
      <x:c r="N727" s="2"/>
      <x:c r="O727" s="2"/>
    </x:row>
    <x:row r="728" ht="21" customHeight="1">
      <x:c r="A728" s="2" t="str">
        <x:v>NT000727</x:v>
      </x:c>
      <x:c r="B728" s="2" t="str">
        <x:v>EV000729</x:v>
      </x:c>
      <x:c r="C728" s="2" t="str">
        <x:v>T20261005-2-2</x:v>
      </x:c>
      <x:c r="D728" s="2" t="str">
        <x:v>ST078</x:v>
      </x:c>
      <x:c r="E728" s="2" t="str">
        <x:v>G078</x:v>
      </x:c>
      <x:c r="F728" s="2" t="str">
        <x:v>guardian078@example.invalid</x:v>
      </x:c>
      <x:c r="G728" s="2" t="str">
        <x:v>Email</x:v>
      </x:c>
      <x:c r="H728" s="2" t="str">
        <x:v>Boarded</x:v>
      </x:c>
      <x:c r="I728" s="8" t="n">
        <x:v>46300.47663194444</x:v>
      </x:c>
      <x:c r="J728" s="8" t="n">
        <x:v>46300.476655092585</x:v>
      </x:c>
      <x:c r="K728" s="8" t="n">
        <x:v>46300.47668981481</x:v>
      </x:c>
      <x:c r="L728" s="2" t="str">
        <x:v>Sent</x:v>
      </x:c>
      <x:c r="M728" s="2" t="n">
        <x:v>1</x:v>
      </x:c>
      <x:c r="N728" s="2"/>
      <x:c r="O728" s="2"/>
    </x:row>
    <x:row r="729" ht="21" customHeight="1">
      <x:c r="A729" s="2" t="str">
        <x:v>NT000728</x:v>
      </x:c>
      <x:c r="B729" s="2" t="str">
        <x:v>EV000730</x:v>
      </x:c>
      <x:c r="C729" s="2" t="str">
        <x:v>T20261005-2-2</x:v>
      </x:c>
      <x:c r="D729" s="2" t="str">
        <x:v>ST078</x:v>
      </x:c>
      <x:c r="E729" s="2" t="str">
        <x:v>G078</x:v>
      </x:c>
      <x:c r="F729" s="2" t="str">
        <x:v>guardian078@example.invalid</x:v>
      </x:c>
      <x:c r="G729" s="2" t="str">
        <x:v>Email</x:v>
      </x:c>
      <x:c r="H729" s="2" t="str">
        <x:v>School receipt</x:v>
      </x:c>
      <x:c r="I729" s="8" t="n">
        <x:v>46300.50684027778</x:v>
      </x:c>
      <x:c r="J729" s="8" t="n">
        <x:v>46300.50686342593</x:v>
      </x:c>
      <x:c r="K729" s="8" t="n">
        <x:v>46300.50689814815</x:v>
      </x:c>
      <x:c r="L729" s="2" t="str">
        <x:v>Sent</x:v>
      </x:c>
      <x:c r="M729" s="2" t="n">
        <x:v>1</x:v>
      </x:c>
      <x:c r="N729" s="2"/>
      <x:c r="O729" s="2"/>
    </x:row>
    <x:row r="730" ht="21" customHeight="1">
      <x:c r="A730" s="2" t="str">
        <x:v>NT000729</x:v>
      </x:c>
      <x:c r="B730" s="2" t="str">
        <x:v>EV000731</x:v>
      </x:c>
      <x:c r="C730" s="2" t="str">
        <x:v>T20261005-2-2</x:v>
      </x:c>
      <x:c r="D730" s="2" t="str">
        <x:v>ST079</x:v>
      </x:c>
      <x:c r="E730" s="2" t="str">
        <x:v>G079</x:v>
      </x:c>
      <x:c r="F730" s="2" t="str">
        <x:v>guardian079@example.invalid</x:v>
      </x:c>
      <x:c r="G730" s="2" t="str">
        <x:v>Email</x:v>
      </x:c>
      <x:c r="H730" s="2" t="str">
        <x:v>Boarded</x:v>
      </x:c>
      <x:c r="I730" s="8" t="n">
        <x:v>46300.481527777774</x:v>
      </x:c>
      <x:c r="J730" s="8" t="n">
        <x:v>46300.48155092592</x:v>
      </x:c>
      <x:c r="K730" s="8" t="n">
        <x:v>46300.481585648144</x:v>
      </x:c>
      <x:c r="L730" s="2" t="str">
        <x:v>Sent</x:v>
      </x:c>
      <x:c r="M730" s="2" t="n">
        <x:v>1</x:v>
      </x:c>
      <x:c r="N730" s="2"/>
      <x:c r="O730" s="2"/>
    </x:row>
    <x:row r="731" ht="21" customHeight="1">
      <x:c r="A731" s="2" t="str">
        <x:v>NT000730</x:v>
      </x:c>
      <x:c r="B731" s="2" t="str">
        <x:v>EV000732</x:v>
      </x:c>
      <x:c r="C731" s="2" t="str">
        <x:v>T20261005-2-2</x:v>
      </x:c>
      <x:c r="D731" s="2" t="str">
        <x:v>ST079</x:v>
      </x:c>
      <x:c r="E731" s="2" t="str">
        <x:v>G079</x:v>
      </x:c>
      <x:c r="F731" s="2" t="str">
        <x:v>guardian079@example.invalid</x:v>
      </x:c>
      <x:c r="G731" s="2" t="str">
        <x:v>Email</x:v>
      </x:c>
      <x:c r="H731" s="2" t="str">
        <x:v>School receipt</x:v>
      </x:c>
      <x:c r="I731" s="8" t="n">
        <x:v>46300.50687500001</x:v>
      </x:c>
      <x:c r="J731" s="8" t="n">
        <x:v>46300.50689814815</x:v>
      </x:c>
      <x:c r="K731" s="8" t="n">
        <x:v>46300.506932870376</x:v>
      </x:c>
      <x:c r="L731" s="2" t="str">
        <x:v>Sent</x:v>
      </x:c>
      <x:c r="M731" s="2" t="n">
        <x:v>1</x:v>
      </x:c>
      <x:c r="N731" s="2"/>
      <x:c r="O731" s="2"/>
    </x:row>
    <x:row r="732" ht="21" customHeight="1">
      <x:c r="A732" s="2" t="str">
        <x:v>NT000731</x:v>
      </x:c>
      <x:c r="B732" s="2" t="str">
        <x:v>EV000733</x:v>
      </x:c>
      <x:c r="C732" s="2" t="str">
        <x:v>T20261005-2-2</x:v>
      </x:c>
      <x:c r="D732" s="2" t="str">
        <x:v>ST080</x:v>
      </x:c>
      <x:c r="E732" s="2" t="str">
        <x:v>G080</x:v>
      </x:c>
      <x:c r="F732" s="2" t="str">
        <x:v>guardian080@example.invalid</x:v>
      </x:c>
      <x:c r="G732" s="2" t="str">
        <x:v>Email</x:v>
      </x:c>
      <x:c r="H732" s="2" t="str">
        <x:v>Boarded</x:v>
      </x:c>
      <x:c r="I732" s="8" t="n">
        <x:v>46300.47184027778</x:v>
      </x:c>
      <x:c r="J732" s="8" t="n">
        <x:v>46300.471863425926</x:v>
      </x:c>
      <x:c r="K732" s="8" t="n">
        <x:v>46300.47189814815</x:v>
      </x:c>
      <x:c r="L732" s="2" t="str">
        <x:v>Sent</x:v>
      </x:c>
      <x:c r="M732" s="2" t="n">
        <x:v>1</x:v>
      </x:c>
      <x:c r="N732" s="2"/>
      <x:c r="O732" s="2"/>
    </x:row>
    <x:row r="733" ht="21" customHeight="1">
      <x:c r="A733" s="2" t="str">
        <x:v>NT000732</x:v>
      </x:c>
      <x:c r="B733" s="2" t="str">
        <x:v>EV000734</x:v>
      </x:c>
      <x:c r="C733" s="2" t="str">
        <x:v>T20261005-2-2</x:v>
      </x:c>
      <x:c r="D733" s="2" t="str">
        <x:v>ST080</x:v>
      </x:c>
      <x:c r="E733" s="2" t="str">
        <x:v>G080</x:v>
      </x:c>
      <x:c r="F733" s="2" t="str">
        <x:v>guardian080@example.invalid</x:v>
      </x:c>
      <x:c r="G733" s="2" t="str">
        <x:v>Email</x:v>
      </x:c>
      <x:c r="H733" s="2" t="str">
        <x:v>School receipt</x:v>
      </x:c>
      <x:c r="I733" s="8" t="n">
        <x:v>46300.50690972222</x:v>
      </x:c>
      <x:c r="J733" s="8" t="n">
        <x:v>46300.50693287037</x:v>
      </x:c>
      <x:c r="K733" s="8" t="n">
        <x:v>46300.50696759259</x:v>
      </x:c>
      <x:c r="L733" s="2" t="str">
        <x:v>Sent</x:v>
      </x:c>
      <x:c r="M733" s="2" t="n">
        <x:v>1</x:v>
      </x:c>
      <x:c r="N733" s="2"/>
      <x:c r="O733" s="2"/>
    </x:row>
    <x:row r="734" ht="21" customHeight="1">
      <x:c r="A734" s="2" t="str">
        <x:v>NT000733</x:v>
      </x:c>
      <x:c r="B734" s="2" t="str">
        <x:v>EV000735</x:v>
      </x:c>
      <x:c r="C734" s="2" t="str">
        <x:v>T20261005-3-2</x:v>
      </x:c>
      <x:c r="D734" s="2" t="str">
        <x:v>ST051</x:v>
      </x:c>
      <x:c r="E734" s="2" t="str">
        <x:v>G051</x:v>
      </x:c>
      <x:c r="F734" s="2" t="str">
        <x:v>guardian051@example.invalid</x:v>
      </x:c>
      <x:c r="G734" s="2" t="str">
        <x:v>Email</x:v>
      </x:c>
      <x:c r="H734" s="2" t="str">
        <x:v>Boarded</x:v>
      </x:c>
      <x:c r="I734" s="8" t="n">
        <x:v>46300.57291666667</x:v>
      </x:c>
      <x:c r="J734" s="8" t="n">
        <x:v>46300.57293981482</x:v>
      </x:c>
      <x:c r="K734" s="8" t="n">
        <x:v>46300.57297453704</x:v>
      </x:c>
      <x:c r="L734" s="2" t="str">
        <x:v>Sent</x:v>
      </x:c>
      <x:c r="M734" s="2" t="n">
        <x:v>1</x:v>
      </x:c>
      <x:c r="N734" s="2"/>
      <x:c r="O734" s="2"/>
    </x:row>
    <x:row r="735" ht="21" customHeight="1">
      <x:c r="A735" s="2" t="str">
        <x:v>NT000734</x:v>
      </x:c>
      <x:c r="B735" s="2" t="str">
        <x:v>EV000736</x:v>
      </x:c>
      <x:c r="C735" s="2" t="str">
        <x:v>T20261005-3-2</x:v>
      </x:c>
      <x:c r="D735" s="2" t="str">
        <x:v>ST051</x:v>
      </x:c>
      <x:c r="E735" s="2" t="str">
        <x:v>G051</x:v>
      </x:c>
      <x:c r="F735" s="2" t="str">
        <x:v>guardian051@example.invalid</x:v>
      </x:c>
      <x:c r="G735" s="2" t="str">
        <x:v>Email</x:v>
      </x:c>
      <x:c r="H735" s="2" t="str">
        <x:v>Authorized release</x:v>
      </x:c>
      <x:c r="I735" s="8" t="n">
        <x:v>46300.59027777778</x:v>
      </x:c>
      <x:c r="J735" s="8" t="n">
        <x:v>46300.59030092593</x:v>
      </x:c>
      <x:c r="K735" s="8" t="n">
        <x:v>46300.59033564815</x:v>
      </x:c>
      <x:c r="L735" s="2" t="str">
        <x:v>Sent</x:v>
      </x:c>
      <x:c r="M735" s="2" t="n">
        <x:v>1</x:v>
      </x:c>
      <x:c r="N735" s="2"/>
      <x:c r="O735" s="2"/>
    </x:row>
    <x:row r="736" ht="21" customHeight="1">
      <x:c r="A736" s="2" t="str">
        <x:v>NT000735</x:v>
      </x:c>
      <x:c r="B736" s="2" t="str">
        <x:v>EV000737</x:v>
      </x:c>
      <x:c r="C736" s="2" t="str">
        <x:v>T20261005-3-2</x:v>
      </x:c>
      <x:c r="D736" s="2" t="str">
        <x:v>ST052</x:v>
      </x:c>
      <x:c r="E736" s="2" t="str">
        <x:v>G052</x:v>
      </x:c>
      <x:c r="F736" s="2" t="str">
        <x:v>guardian052@example.invalid</x:v>
      </x:c>
      <x:c r="G736" s="2" t="str">
        <x:v>Email</x:v>
      </x:c>
      <x:c r="H736" s="2" t="str">
        <x:v>Boarded</x:v>
      </x:c>
      <x:c r="I736" s="8" t="n">
        <x:v>46300.572951388895</x:v>
      </x:c>
      <x:c r="J736" s="8" t="n">
        <x:v>46300.57297453704</x:v>
      </x:c>
      <x:c r="K736" s="8" t="n">
        <x:v>46300.573009259264</x:v>
      </x:c>
      <x:c r="L736" s="2" t="str">
        <x:v>Sent</x:v>
      </x:c>
      <x:c r="M736" s="2" t="n">
        <x:v>1</x:v>
      </x:c>
      <x:c r="N736" s="2"/>
      <x:c r="O736" s="2"/>
    </x:row>
    <x:row r="737" ht="21" customHeight="1">
      <x:c r="A737" s="2" t="str">
        <x:v>NT000736</x:v>
      </x:c>
      <x:c r="B737" s="2" t="str">
        <x:v>EV000738</x:v>
      </x:c>
      <x:c r="C737" s="2" t="str">
        <x:v>T20261005-3-2</x:v>
      </x:c>
      <x:c r="D737" s="2" t="str">
        <x:v>ST052</x:v>
      </x:c>
      <x:c r="E737" s="2" t="str">
        <x:v>G052</x:v>
      </x:c>
      <x:c r="F737" s="2" t="str">
        <x:v>guardian052@example.invalid</x:v>
      </x:c>
      <x:c r="G737" s="2" t="str">
        <x:v>Email</x:v>
      </x:c>
      <x:c r="H737" s="2" t="str">
        <x:v>Authorized release</x:v>
      </x:c>
      <x:c r="I737" s="8" t="n">
        <x:v>46300.59447916667</x:v>
      </x:c>
      <x:c r="J737" s="8" t="n">
        <x:v>46300.594502314816</x:v>
      </x:c>
      <x:c r="K737" s="8" t="n">
        <x:v>46300.59453703704</x:v>
      </x:c>
      <x:c r="L737" s="2" t="str">
        <x:v>Sent</x:v>
      </x:c>
      <x:c r="M737" s="2" t="n">
        <x:v>1</x:v>
      </x:c>
      <x:c r="N737" s="2"/>
      <x:c r="O737" s="2"/>
    </x:row>
    <x:row r="738" ht="21" customHeight="1">
      <x:c r="A738" s="2" t="str">
        <x:v>NT000737</x:v>
      </x:c>
      <x:c r="B738" s="2" t="str">
        <x:v>EV000739</x:v>
      </x:c>
      <x:c r="C738" s="2" t="str">
        <x:v>T20261005-3-2</x:v>
      </x:c>
      <x:c r="D738" s="2" t="str">
        <x:v>ST053</x:v>
      </x:c>
      <x:c r="E738" s="2" t="str">
        <x:v>G053</x:v>
      </x:c>
      <x:c r="F738" s="2" t="str">
        <x:v>guardian053@example.invalid</x:v>
      </x:c>
      <x:c r="G738" s="2" t="str">
        <x:v>Email</x:v>
      </x:c>
      <x:c r="H738" s="2" t="str">
        <x:v>Boarded</x:v>
      </x:c>
      <x:c r="I738" s="8" t="n">
        <x:v>46300.57298611112</x:v>
      </x:c>
      <x:c r="J738" s="8" t="n">
        <x:v>46300.573009259264</x:v>
      </x:c>
      <x:c r="K738" s="8" t="n">
        <x:v>46300.57304398149</x:v>
      </x:c>
      <x:c r="L738" s="2" t="str">
        <x:v>Sent</x:v>
      </x:c>
      <x:c r="M738" s="2" t="n">
        <x:v>1</x:v>
      </x:c>
      <x:c r="N738" s="2"/>
      <x:c r="O738" s="2"/>
    </x:row>
    <x:row r="739" ht="21" customHeight="1">
      <x:c r="A739" s="2" t="str">
        <x:v>NT000738</x:v>
      </x:c>
      <x:c r="B739" s="2" t="str">
        <x:v>EV000740</x:v>
      </x:c>
      <x:c r="C739" s="2" t="str">
        <x:v>T20261005-3-2</x:v>
      </x:c>
      <x:c r="D739" s="2" t="str">
        <x:v>ST053</x:v>
      </x:c>
      <x:c r="E739" s="2" t="str">
        <x:v>G053</x:v>
      </x:c>
      <x:c r="F739" s="2" t="str">
        <x:v>guardian053@example.invalid</x:v>
      </x:c>
      <x:c r="G739" s="2" t="str">
        <x:v>Email</x:v>
      </x:c>
      <x:c r="H739" s="2" t="str">
        <x:v>Authorized release</x:v>
      </x:c>
      <x:c r="I739" s="8" t="n">
        <x:v>46300.58618055556</x:v>
      </x:c>
      <x:c r="J739" s="8" t="n">
        <x:v>46300.58620370371</x:v>
      </x:c>
      <x:c r="K739" s="8" t="n">
        <x:v>46300.58623842593</x:v>
      </x:c>
      <x:c r="L739" s="2" t="str">
        <x:v>Sent</x:v>
      </x:c>
      <x:c r="M739" s="2" t="n">
        <x:v>1</x:v>
      </x:c>
      <x:c r="N739" s="2"/>
      <x:c r="O739" s="2"/>
    </x:row>
    <x:row r="740" ht="21" customHeight="1">
      <x:c r="A740" s="2" t="str">
        <x:v>NT000739</x:v>
      </x:c>
      <x:c r="B740" s="2" t="str">
        <x:v>EV000741</x:v>
      </x:c>
      <x:c r="C740" s="2" t="str">
        <x:v>T20261005-3-2</x:v>
      </x:c>
      <x:c r="D740" s="2" t="str">
        <x:v>ST054</x:v>
      </x:c>
      <x:c r="E740" s="2" t="str">
        <x:v>G054</x:v>
      </x:c>
      <x:c r="F740" s="2" t="str">
        <x:v>guardian054@example.invalid</x:v>
      </x:c>
      <x:c r="G740" s="2" t="str">
        <x:v>Email</x:v>
      </x:c>
      <x:c r="H740" s="2" t="str">
        <x:v>Boarded</x:v>
      </x:c>
      <x:c r="I740" s="8" t="n">
        <x:v>46300.57302083334</x:v>
      </x:c>
      <x:c r="J740" s="8" t="n">
        <x:v>46300.57304398149</x:v>
      </x:c>
      <x:c r="K740" s="8" t="n">
        <x:v>46300.57307870371</x:v>
      </x:c>
      <x:c r="L740" s="2" t="str">
        <x:v>Sent</x:v>
      </x:c>
      <x:c r="M740" s="2" t="n">
        <x:v>1</x:v>
      </x:c>
      <x:c r="N740" s="2"/>
      <x:c r="O740" s="2"/>
    </x:row>
    <x:row r="741" ht="21" customHeight="1">
      <x:c r="A741" s="2" t="str">
        <x:v>NT000740</x:v>
      </x:c>
      <x:c r="B741" s="2" t="str">
        <x:v>EV000742</x:v>
      </x:c>
      <x:c r="C741" s="2" t="str">
        <x:v>T20261005-3-2</x:v>
      </x:c>
      <x:c r="D741" s="2" t="str">
        <x:v>ST054</x:v>
      </x:c>
      <x:c r="E741" s="2" t="str">
        <x:v>G054</x:v>
      </x:c>
      <x:c r="F741" s="2" t="str">
        <x:v>guardian054@example.invalid</x:v>
      </x:c>
      <x:c r="G741" s="2" t="str">
        <x:v>Email</x:v>
      </x:c>
      <x:c r="H741" s="2" t="str">
        <x:v>Authorized release</x:v>
      </x:c>
      <x:c r="I741" s="8" t="n">
        <x:v>46300.59038194445</x:v>
      </x:c>
      <x:c r="J741" s="8" t="n">
        <x:v>46300.5904050926</x:v>
      </x:c>
      <x:c r="K741" s="8" t="n">
        <x:v>46300.59043981482</x:v>
      </x:c>
      <x:c r="L741" s="2" t="str">
        <x:v>Sent</x:v>
      </x:c>
      <x:c r="M741" s="2" t="n">
        <x:v>1</x:v>
      </x:c>
      <x:c r="N741" s="2"/>
      <x:c r="O741" s="2"/>
    </x:row>
    <x:row r="742" ht="21" customHeight="1">
      <x:c r="A742" s="2" t="str">
        <x:v>NT000741</x:v>
      </x:c>
      <x:c r="B742" s="2" t="str">
        <x:v>EV000743</x:v>
      </x:c>
      <x:c r="C742" s="2" t="str">
        <x:v>T20261005-3-2</x:v>
      </x:c>
      <x:c r="D742" s="2" t="str">
        <x:v>ST055</x:v>
      </x:c>
      <x:c r="E742" s="2" t="str">
        <x:v>G055</x:v>
      </x:c>
      <x:c r="F742" s="2" t="str">
        <x:v>guardian055@example.invalid</x:v>
      </x:c>
      <x:c r="G742" s="2" t="str">
        <x:v>Email</x:v>
      </x:c>
      <x:c r="H742" s="2" t="str">
        <x:v>Boarded</x:v>
      </x:c>
      <x:c r="I742" s="8" t="n">
        <x:v>46300.573055555564</x:v>
      </x:c>
      <x:c r="J742" s="8" t="n">
        <x:v>46300.57307870371</x:v>
      </x:c>
      <x:c r="K742" s="8" t="n">
        <x:v>46300.57311342593</x:v>
      </x:c>
      <x:c r="L742" s="2" t="str">
        <x:v>Sent</x:v>
      </x:c>
      <x:c r="M742" s="2" t="n">
        <x:v>1</x:v>
      </x:c>
      <x:c r="N742" s="2"/>
      <x:c r="O742" s="2"/>
    </x:row>
    <x:row r="743" ht="21" customHeight="1">
      <x:c r="A743" s="2" t="str">
        <x:v>NT000742</x:v>
      </x:c>
      <x:c r="B743" s="2" t="str">
        <x:v>EV000744</x:v>
      </x:c>
      <x:c r="C743" s="2" t="str">
        <x:v>T20261005-3-2</x:v>
      </x:c>
      <x:c r="D743" s="2" t="str">
        <x:v>ST055</x:v>
      </x:c>
      <x:c r="E743" s="2" t="str">
        <x:v>G055</x:v>
      </x:c>
      <x:c r="F743" s="2" t="str">
        <x:v>guardian055@example.invalid</x:v>
      </x:c>
      <x:c r="G743" s="2" t="str">
        <x:v>Email</x:v>
      </x:c>
      <x:c r="H743" s="2" t="str">
        <x:v>Authorized release</x:v>
      </x:c>
      <x:c r="I743" s="8" t="n">
        <x:v>46300.59458333334</x:v>
      </x:c>
      <x:c r="J743" s="8" t="n">
        <x:v>46300.594606481485</x:v>
      </x:c>
      <x:c r="K743" s="8" t="n">
        <x:v>46300.59464120371</x:v>
      </x:c>
      <x:c r="L743" s="2" t="str">
        <x:v>Sent</x:v>
      </x:c>
      <x:c r="M743" s="2" t="n">
        <x:v>1</x:v>
      </x:c>
      <x:c r="N743" s="2"/>
      <x:c r="O743" s="2"/>
    </x:row>
    <x:row r="744" ht="21" customHeight="1">
      <x:c r="A744" s="2" t="str">
        <x:v>NT000743</x:v>
      </x:c>
      <x:c r="B744" s="2" t="str">
        <x:v>EV000745</x:v>
      </x:c>
      <x:c r="C744" s="2" t="str">
        <x:v>T20261005-3-2</x:v>
      </x:c>
      <x:c r="D744" s="2" t="str">
        <x:v>ST056</x:v>
      </x:c>
      <x:c r="E744" s="2" t="str">
        <x:v>G056</x:v>
      </x:c>
      <x:c r="F744" s="2" t="str">
        <x:v>guardian056@example.invalid</x:v>
      </x:c>
      <x:c r="G744" s="2" t="str">
        <x:v>Email</x:v>
      </x:c>
      <x:c r="H744" s="2" t="str">
        <x:v>Boarded</x:v>
      </x:c>
      <x:c r="I744" s="8" t="n">
        <x:v>46300.57309027778</x:v>
      </x:c>
      <x:c r="J744" s="8" t="n">
        <x:v>46300.573113425926</x:v>
      </x:c>
      <x:c r="K744" s="8" t="n">
        <x:v>46300.57314814815</x:v>
      </x:c>
      <x:c r="L744" s="2" t="str">
        <x:v>Sent</x:v>
      </x:c>
      <x:c r="M744" s="2" t="n">
        <x:v>1</x:v>
      </x:c>
      <x:c r="N744" s="2"/>
      <x:c r="O744" s="2"/>
    </x:row>
    <x:row r="745" ht="21" customHeight="1">
      <x:c r="A745" s="2" t="str">
        <x:v>NT000744</x:v>
      </x:c>
      <x:c r="B745" s="2" t="str">
        <x:v>EV000746</x:v>
      </x:c>
      <x:c r="C745" s="2" t="str">
        <x:v>T20261005-3-2</x:v>
      </x:c>
      <x:c r="D745" s="2" t="str">
        <x:v>ST056</x:v>
      </x:c>
      <x:c r="E745" s="2" t="str">
        <x:v>G056</x:v>
      </x:c>
      <x:c r="F745" s="2" t="str">
        <x:v>guardian056@example.invalid</x:v>
      </x:c>
      <x:c r="G745" s="2" t="str">
        <x:v>Email</x:v>
      </x:c>
      <x:c r="H745" s="2" t="str">
        <x:v>Authorized release</x:v>
      </x:c>
      <x:c r="I745" s="8" t="n">
        <x:v>46300.58628472222</x:v>
      </x:c>
      <x:c r="J745" s="8" t="n">
        <x:v>46300.58630787037</x:v>
      </x:c>
      <x:c r="K745" s="8" t="n">
        <x:v>46300.58634259259</x:v>
      </x:c>
      <x:c r="L745" s="2" t="str">
        <x:v>Sent</x:v>
      </x:c>
      <x:c r="M745" s="2" t="n">
        <x:v>1</x:v>
      </x:c>
      <x:c r="N745" s="2"/>
      <x:c r="O745" s="2"/>
    </x:row>
    <x:row r="746" ht="21" customHeight="1">
      <x:c r="A746" s="2" t="str">
        <x:v>NT000745</x:v>
      </x:c>
      <x:c r="B746" s="2" t="str">
        <x:v>EV000747</x:v>
      </x:c>
      <x:c r="C746" s="2" t="str">
        <x:v>T20261005-3-2</x:v>
      </x:c>
      <x:c r="D746" s="2" t="str">
        <x:v>ST057</x:v>
      </x:c>
      <x:c r="E746" s="2" t="str">
        <x:v>G057</x:v>
      </x:c>
      <x:c r="F746" s="2" t="str">
        <x:v>guardian057@example.invalid</x:v>
      </x:c>
      <x:c r="G746" s="2" t="str">
        <x:v>Email</x:v>
      </x:c>
      <x:c r="H746" s="2" t="str">
        <x:v>Boarded</x:v>
      </x:c>
      <x:c r="I746" s="8" t="n">
        <x:v>46300.573125</x:v>
      </x:c>
      <x:c r="J746" s="8" t="n">
        <x:v>46300.57314814815</x:v>
      </x:c>
      <x:c r="K746" s="8" t="n">
        <x:v>46300.57318287037</x:v>
      </x:c>
      <x:c r="L746" s="2" t="str">
        <x:v>Sent</x:v>
      </x:c>
      <x:c r="M746" s="2" t="n">
        <x:v>1</x:v>
      </x:c>
      <x:c r="N746" s="2"/>
      <x:c r="O746" s="2"/>
    </x:row>
    <x:row r="747" ht="21" customHeight="1">
      <x:c r="A747" s="2" t="str">
        <x:v>NT000746</x:v>
      </x:c>
      <x:c r="B747" s="2" t="str">
        <x:v>EV000748</x:v>
      </x:c>
      <x:c r="C747" s="2" t="str">
        <x:v>T20261005-3-2</x:v>
      </x:c>
      <x:c r="D747" s="2" t="str">
        <x:v>ST057</x:v>
      </x:c>
      <x:c r="E747" s="2" t="str">
        <x:v>G057</x:v>
      </x:c>
      <x:c r="F747" s="2" t="str">
        <x:v>guardian057@example.invalid</x:v>
      </x:c>
      <x:c r="G747" s="2" t="str">
        <x:v>Email</x:v>
      </x:c>
      <x:c r="H747" s="2" t="str">
        <x:v>Authorized release</x:v>
      </x:c>
      <x:c r="I747" s="8" t="n">
        <x:v>46300.59048611111</x:v>
      </x:c>
      <x:c r="J747" s="8" t="n">
        <x:v>46300.59050925926</x:v>
      </x:c>
      <x:c r="K747" s="8" t="n">
        <x:v>46300.59054398148</x:v>
      </x:c>
      <x:c r="L747" s="2" t="str">
        <x:v>Sent</x:v>
      </x:c>
      <x:c r="M747" s="2" t="n">
        <x:v>1</x:v>
      </x:c>
      <x:c r="N747" s="2"/>
      <x:c r="O747" s="2"/>
    </x:row>
    <x:row r="748" ht="21" customHeight="1">
      <x:c r="A748" s="2" t="str">
        <x:v>NT000747</x:v>
      </x:c>
      <x:c r="B748" s="2" t="str">
        <x:v>EV000749</x:v>
      </x:c>
      <x:c r="C748" s="2" t="str">
        <x:v>T20261005-3-2</x:v>
      </x:c>
      <x:c r="D748" s="2" t="str">
        <x:v>ST058</x:v>
      </x:c>
      <x:c r="E748" s="2" t="str">
        <x:v>G058</x:v>
      </x:c>
      <x:c r="F748" s="2" t="str">
        <x:v>guardian058@example.invalid</x:v>
      </x:c>
      <x:c r="G748" s="2" t="str">
        <x:v>Email</x:v>
      </x:c>
      <x:c r="H748" s="2" t="str">
        <x:v>Boarded</x:v>
      </x:c>
      <x:c r="I748" s="8" t="n">
        <x:v>46300.573159722226</x:v>
      </x:c>
      <x:c r="J748" s="8" t="n">
        <x:v>46300.57318287037</x:v>
      </x:c>
      <x:c r="K748" s="8" t="n">
        <x:v>46300.573217592595</x:v>
      </x:c>
      <x:c r="L748" s="2" t="str">
        <x:v>Sent</x:v>
      </x:c>
      <x:c r="M748" s="2" t="n">
        <x:v>1</x:v>
      </x:c>
      <x:c r="N748" s="2"/>
      <x:c r="O748" s="2"/>
    </x:row>
    <x:row r="749" ht="21" customHeight="1">
      <x:c r="A749" s="2" t="str">
        <x:v>NT000748</x:v>
      </x:c>
      <x:c r="B749" s="2" t="str">
        <x:v>EV000750</x:v>
      </x:c>
      <x:c r="C749" s="2" t="str">
        <x:v>T20261005-3-2</x:v>
      </x:c>
      <x:c r="D749" s="2" t="str">
        <x:v>ST058</x:v>
      </x:c>
      <x:c r="E749" s="2" t="str">
        <x:v>G058</x:v>
      </x:c>
      <x:c r="F749" s="2" t="str">
        <x:v>guardian058@example.invalid</x:v>
      </x:c>
      <x:c r="G749" s="2" t="str">
        <x:v>Email</x:v>
      </x:c>
      <x:c r="H749" s="2" t="str">
        <x:v>Authorized release</x:v>
      </x:c>
      <x:c r="I749" s="8" t="n">
        <x:v>46300.5946875</x:v>
      </x:c>
      <x:c r="J749" s="8" t="n">
        <x:v>46300.59471064815</x:v>
      </x:c>
      <x:c r="K749" s="8" t="n">
        <x:v>46300.59474537037</x:v>
      </x:c>
      <x:c r="L749" s="2" t="str">
        <x:v>Sent</x:v>
      </x:c>
      <x:c r="M749" s="2" t="n">
        <x:v>1</x:v>
      </x:c>
      <x:c r="N749" s="2"/>
      <x:c r="O749" s="2"/>
    </x:row>
    <x:row r="750" ht="21" customHeight="1">
      <x:c r="A750" s="2" t="str">
        <x:v>NT000749</x:v>
      </x:c>
      <x:c r="B750" s="2" t="str">
        <x:v>EV000751</x:v>
      </x:c>
      <x:c r="C750" s="2" t="str">
        <x:v>T20261005-3-2</x:v>
      </x:c>
      <x:c r="D750" s="2" t="str">
        <x:v>ST059</x:v>
      </x:c>
      <x:c r="E750" s="2" t="str">
        <x:v>G059</x:v>
      </x:c>
      <x:c r="F750" s="2" t="str">
        <x:v>guardian059@example.invalid</x:v>
      </x:c>
      <x:c r="G750" s="2" t="str">
        <x:v>Email</x:v>
      </x:c>
      <x:c r="H750" s="2" t="str">
        <x:v>Boarded</x:v>
      </x:c>
      <x:c r="I750" s="8" t="n">
        <x:v>46300.57319444445</x:v>
      </x:c>
      <x:c r="J750" s="8" t="n">
        <x:v>46300.573217592595</x:v>
      </x:c>
      <x:c r="K750" s="8" t="n">
        <x:v>46300.57325231482</x:v>
      </x:c>
      <x:c r="L750" s="2" t="str">
        <x:v>Sent</x:v>
      </x:c>
      <x:c r="M750" s="2" t="n">
        <x:v>1</x:v>
      </x:c>
      <x:c r="N750" s="2"/>
      <x:c r="O750" s="2"/>
    </x:row>
    <x:row r="751" ht="21" customHeight="1">
      <x:c r="A751" s="2" t="str">
        <x:v>NT000750</x:v>
      </x:c>
      <x:c r="B751" s="2" t="str">
        <x:v>EV000752</x:v>
      </x:c>
      <x:c r="C751" s="2" t="str">
        <x:v>T20261005-3-2</x:v>
      </x:c>
      <x:c r="D751" s="2" t="str">
        <x:v>ST059</x:v>
      </x:c>
      <x:c r="E751" s="2" t="str">
        <x:v>G059</x:v>
      </x:c>
      <x:c r="F751" s="2" t="str">
        <x:v>guardian059@example.invalid</x:v>
      </x:c>
      <x:c r="G751" s="2" t="str">
        <x:v>Email</x:v>
      </x:c>
      <x:c r="H751" s="2" t="str">
        <x:v>Authorized release</x:v>
      </x:c>
      <x:c r="I751" s="8" t="n">
        <x:v>46300.58638888889</x:v>
      </x:c>
      <x:c r="J751" s="8" t="n">
        <x:v>46300.58641203704</x:v>
      </x:c>
      <x:c r="K751" s="8" t="n">
        <x:v>46300.58644675926</x:v>
      </x:c>
      <x:c r="L751" s="2" t="str">
        <x:v>Sent</x:v>
      </x:c>
      <x:c r="M751" s="2" t="n">
        <x:v>1</x:v>
      </x:c>
      <x:c r="N751" s="2"/>
      <x:c r="O751" s="2"/>
    </x:row>
    <x:row r="752" ht="21" customHeight="1">
      <x:c r="A752" s="2" t="str">
        <x:v>NT000751</x:v>
      </x:c>
      <x:c r="B752" s="2" t="str">
        <x:v>EV000753</x:v>
      </x:c>
      <x:c r="C752" s="2" t="str">
        <x:v>T20261005-3-2</x:v>
      </x:c>
      <x:c r="D752" s="2" t="str">
        <x:v>ST060</x:v>
      </x:c>
      <x:c r="E752" s="2" t="str">
        <x:v>G060</x:v>
      </x:c>
      <x:c r="F752" s="2" t="str">
        <x:v>guardian060@example.invalid</x:v>
      </x:c>
      <x:c r="G752" s="2" t="str">
        <x:v>Email</x:v>
      </x:c>
      <x:c r="H752" s="2" t="str">
        <x:v>Boarded</x:v>
      </x:c>
      <x:c r="I752" s="8" t="n">
        <x:v>46300.57322916667</x:v>
      </x:c>
      <x:c r="J752" s="8" t="n">
        <x:v>46300.57325231482</x:v>
      </x:c>
      <x:c r="K752" s="8" t="n">
        <x:v>46300.57328703704</x:v>
      </x:c>
      <x:c r="L752" s="2" t="str">
        <x:v>Sent</x:v>
      </x:c>
      <x:c r="M752" s="2" t="n">
        <x:v>1</x:v>
      </x:c>
      <x:c r="N752" s="2"/>
      <x:c r="O752" s="2"/>
    </x:row>
    <x:row r="753" ht="21" customHeight="1">
      <x:c r="A753" s="2" t="str">
        <x:v>NT000752</x:v>
      </x:c>
      <x:c r="B753" s="2" t="str">
        <x:v>EV000754</x:v>
      </x:c>
      <x:c r="C753" s="2" t="str">
        <x:v>T20261005-3-2</x:v>
      </x:c>
      <x:c r="D753" s="2" t="str">
        <x:v>ST060</x:v>
      </x:c>
      <x:c r="E753" s="2" t="str">
        <x:v>G060</x:v>
      </x:c>
      <x:c r="F753" s="2" t="str">
        <x:v>guardian060@example.invalid</x:v>
      </x:c>
      <x:c r="G753" s="2" t="str">
        <x:v>Email</x:v>
      </x:c>
      <x:c r="H753" s="2" t="str">
        <x:v>Authorized release</x:v>
      </x:c>
      <x:c r="I753" s="8" t="n">
        <x:v>46300.59059027778</x:v>
      </x:c>
      <x:c r="J753" s="8" t="n">
        <x:v>46300.59061342593</x:v>
      </x:c>
      <x:c r="K753" s="8" t="n">
        <x:v>46300.59064814815</x:v>
      </x:c>
      <x:c r="L753" s="2" t="str">
        <x:v>Sent</x:v>
      </x:c>
      <x:c r="M753" s="2" t="n">
        <x:v>1</x:v>
      </x:c>
      <x:c r="N753" s="2"/>
      <x:c r="O753" s="2"/>
    </x:row>
    <x:row r="754" ht="21" customHeight="1">
      <x:c r="A754" s="2" t="str">
        <x:v>NT000753</x:v>
      </x:c>
      <x:c r="B754" s="2" t="str">
        <x:v>EV000755</x:v>
      </x:c>
      <x:c r="C754" s="2" t="str">
        <x:v>T20261005-4-2</x:v>
      </x:c>
      <x:c r="D754" s="2" t="str">
        <x:v>ST061</x:v>
      </x:c>
      <x:c r="E754" s="2" t="str">
        <x:v>G061</x:v>
      </x:c>
      <x:c r="F754" s="2" t="str">
        <x:v>guardian061@example.invalid</x:v>
      </x:c>
      <x:c r="G754" s="2" t="str">
        <x:v>Email</x:v>
      </x:c>
      <x:c r="H754" s="2" t="str">
        <x:v>Boarded</x:v>
      </x:c>
      <x:c r="I754" s="8" t="n">
        <x:v>46300.60416666667</x:v>
      </x:c>
      <x:c r="J754" s="8" t="n">
        <x:v>46300.60418981482</x:v>
      </x:c>
      <x:c r="K754" s="8" t="n">
        <x:v>46300.60422453704</x:v>
      </x:c>
      <x:c r="L754" s="2" t="str">
        <x:v>Sent</x:v>
      </x:c>
      <x:c r="M754" s="2" t="n">
        <x:v>1</x:v>
      </x:c>
      <x:c r="N754" s="2"/>
      <x:c r="O754" s="2"/>
    </x:row>
    <x:row r="755" ht="21" customHeight="1">
      <x:c r="A755" s="2" t="str">
        <x:v>NT000754</x:v>
      </x:c>
      <x:c r="B755" s="2" t="str">
        <x:v>EV000756</x:v>
      </x:c>
      <x:c r="C755" s="2" t="str">
        <x:v>T20261005-4-2</x:v>
      </x:c>
      <x:c r="D755" s="2" t="str">
        <x:v>ST061</x:v>
      </x:c>
      <x:c r="E755" s="2" t="str">
        <x:v>G061</x:v>
      </x:c>
      <x:c r="F755" s="2" t="str">
        <x:v>guardian061@example.invalid</x:v>
      </x:c>
      <x:c r="G755" s="2" t="str">
        <x:v>Email</x:v>
      </x:c>
      <x:c r="H755" s="2" t="str">
        <x:v>Authorized release</x:v>
      </x:c>
      <x:c r="I755" s="8" t="n">
        <x:v>46300.62708333333</x:v>
      </x:c>
      <x:c r="J755" s="8" t="n">
        <x:v>46300.62710648148</x:v>
      </x:c>
      <x:c r="K755" s="8" t="n">
        <x:v>46300.6271412037</x:v>
      </x:c>
      <x:c r="L755" s="2" t="str">
        <x:v>Sent</x:v>
      </x:c>
      <x:c r="M755" s="2" t="n">
        <x:v>1</x:v>
      </x:c>
      <x:c r="N755" s="2"/>
      <x:c r="O755" s="2"/>
    </x:row>
    <x:row r="756" ht="21" customHeight="1">
      <x:c r="A756" s="2" t="str">
        <x:v>NT000755</x:v>
      </x:c>
      <x:c r="B756" s="2" t="str">
        <x:v>EV000757</x:v>
      </x:c>
      <x:c r="C756" s="2" t="str">
        <x:v>T20261005-4-2</x:v>
      </x:c>
      <x:c r="D756" s="2" t="str">
        <x:v>ST062</x:v>
      </x:c>
      <x:c r="E756" s="2" t="str">
        <x:v>G062</x:v>
      </x:c>
      <x:c r="F756" s="2" t="str">
        <x:v>guardian062@example.invalid</x:v>
      </x:c>
      <x:c r="G756" s="2" t="str">
        <x:v>Email</x:v>
      </x:c>
      <x:c r="H756" s="2" t="str">
        <x:v>Boarded</x:v>
      </x:c>
      <x:c r="I756" s="8" t="n">
        <x:v>46300.604201388895</x:v>
      </x:c>
      <x:c r="J756" s="8" t="n">
        <x:v>46300.60422453704</x:v>
      </x:c>
      <x:c r="K756" s="8" t="n">
        <x:v>46300.604259259264</x:v>
      </x:c>
      <x:c r="L756" s="2" t="str">
        <x:v>Sent</x:v>
      </x:c>
      <x:c r="M756" s="2" t="n">
        <x:v>1</x:v>
      </x:c>
      <x:c r="N756" s="2"/>
      <x:c r="O756" s="2"/>
    </x:row>
    <x:row r="757" ht="21" customHeight="1">
      <x:c r="A757" s="2" t="str">
        <x:v>NT000756</x:v>
      </x:c>
      <x:c r="B757" s="2" t="str">
        <x:v>EV000758</x:v>
      </x:c>
      <x:c r="C757" s="2" t="str">
        <x:v>T20261005-4-2</x:v>
      </x:c>
      <x:c r="D757" s="2" t="str">
        <x:v>ST062</x:v>
      </x:c>
      <x:c r="E757" s="2" t="str">
        <x:v>G062</x:v>
      </x:c>
      <x:c r="F757" s="2" t="str">
        <x:v>guardian062@example.invalid</x:v>
      </x:c>
      <x:c r="G757" s="2" t="str">
        <x:v>Email</x:v>
      </x:c>
      <x:c r="H757" s="2" t="str">
        <x:v>Authorized release</x:v>
      </x:c>
      <x:c r="I757" s="8" t="n">
        <x:v>46300.618784722225</x:v>
      </x:c>
      <x:c r="J757" s="8" t="n">
        <x:v>46300.61880787037</x:v>
      </x:c>
      <x:c r="K757" s="8" t="n">
        <x:v>46300.618842592594</x:v>
      </x:c>
      <x:c r="L757" s="2" t="str">
        <x:v>Sent</x:v>
      </x:c>
      <x:c r="M757" s="2" t="n">
        <x:v>1</x:v>
      </x:c>
      <x:c r="N757" s="2"/>
      <x:c r="O757" s="2"/>
    </x:row>
    <x:row r="758" ht="21" customHeight="1">
      <x:c r="A758" s="2" t="str">
        <x:v>NT000757</x:v>
      </x:c>
      <x:c r="B758" s="2" t="str">
        <x:v>EV000759</x:v>
      </x:c>
      <x:c r="C758" s="2" t="str">
        <x:v>T20261005-4-2</x:v>
      </x:c>
      <x:c r="D758" s="2" t="str">
        <x:v>ST063</x:v>
      </x:c>
      <x:c r="E758" s="2" t="str">
        <x:v>G063</x:v>
      </x:c>
      <x:c r="F758" s="2" t="str">
        <x:v>guardian063@example.invalid</x:v>
      </x:c>
      <x:c r="G758" s="2" t="str">
        <x:v>Email</x:v>
      </x:c>
      <x:c r="H758" s="2" t="str">
        <x:v>Boarded</x:v>
      </x:c>
      <x:c r="I758" s="8" t="n">
        <x:v>46300.60423611112</x:v>
      </x:c>
      <x:c r="J758" s="8" t="n">
        <x:v>46300.604259259264</x:v>
      </x:c>
      <x:c r="K758" s="8" t="n">
        <x:v>46300.60429398149</x:v>
      </x:c>
      <x:c r="L758" s="2" t="str">
        <x:v>Sent</x:v>
      </x:c>
      <x:c r="M758" s="2" t="n">
        <x:v>1</x:v>
      </x:c>
      <x:c r="N758" s="2"/>
      <x:c r="O758" s="2"/>
    </x:row>
    <x:row r="759" ht="21" customHeight="1">
      <x:c r="A759" s="2" t="str">
        <x:v>NT000758</x:v>
      </x:c>
      <x:c r="B759" s="2" t="str">
        <x:v>EV000760</x:v>
      </x:c>
      <x:c r="C759" s="2" t="str">
        <x:v>T20261005-4-2</x:v>
      </x:c>
      <x:c r="D759" s="2" t="str">
        <x:v>ST063</x:v>
      </x:c>
      <x:c r="E759" s="2" t="str">
        <x:v>G063</x:v>
      </x:c>
      <x:c r="F759" s="2" t="str">
        <x:v>guardian063@example.invalid</x:v>
      </x:c>
      <x:c r="G759" s="2" t="str">
        <x:v>Email</x:v>
      </x:c>
      <x:c r="H759" s="2" t="str">
        <x:v>Authorized release</x:v>
      </x:c>
      <x:c r="I759" s="8" t="n">
        <x:v>46300.62298611111</x:v>
      </x:c>
      <x:c r="J759" s="8" t="n">
        <x:v>46300.62300925926</x:v>
      </x:c>
      <x:c r="K759" s="8" t="n">
        <x:v>46300.62304398148</x:v>
      </x:c>
      <x:c r="L759" s="2" t="str">
        <x:v>Sent</x:v>
      </x:c>
      <x:c r="M759" s="2" t="n">
        <x:v>1</x:v>
      </x:c>
      <x:c r="N759" s="2"/>
      <x:c r="O759" s="2"/>
    </x:row>
    <x:row r="760" ht="21" customHeight="1">
      <x:c r="A760" s="2" t="str">
        <x:v>NT000759</x:v>
      </x:c>
      <x:c r="B760" s="2" t="str">
        <x:v>EV000761</x:v>
      </x:c>
      <x:c r="C760" s="2" t="str">
        <x:v>T20261005-4-2</x:v>
      </x:c>
      <x:c r="D760" s="2" t="str">
        <x:v>ST064</x:v>
      </x:c>
      <x:c r="E760" s="2" t="str">
        <x:v>G064</x:v>
      </x:c>
      <x:c r="F760" s="2" t="str">
        <x:v>guardian064@example.invalid</x:v>
      </x:c>
      <x:c r="G760" s="2" t="str">
        <x:v>Email</x:v>
      </x:c>
      <x:c r="H760" s="2" t="str">
        <x:v>Boarded</x:v>
      </x:c>
      <x:c r="I760" s="8" t="n">
        <x:v>46300.60427083334</x:v>
      </x:c>
      <x:c r="J760" s="8" t="n">
        <x:v>46300.60429398149</x:v>
      </x:c>
      <x:c r="K760" s="8" t="n">
        <x:v>46300.60432870371</x:v>
      </x:c>
      <x:c r="L760" s="2" t="str">
        <x:v>Sent</x:v>
      </x:c>
      <x:c r="M760" s="2" t="n">
        <x:v>1</x:v>
      </x:c>
      <x:c r="N760" s="2"/>
      <x:c r="O760" s="2"/>
    </x:row>
    <x:row r="761" ht="21" customHeight="1">
      <x:c r="A761" s="2" t="str">
        <x:v>NT000760</x:v>
      </x:c>
      <x:c r="B761" s="2" t="str">
        <x:v>EV000762</x:v>
      </x:c>
      <x:c r="C761" s="2" t="str">
        <x:v>T20261005-4-2</x:v>
      </x:c>
      <x:c r="D761" s="2" t="str">
        <x:v>ST064</x:v>
      </x:c>
      <x:c r="E761" s="2" t="str">
        <x:v>G064</x:v>
      </x:c>
      <x:c r="F761" s="2" t="str">
        <x:v>guardian064@example.invalid</x:v>
      </x:c>
      <x:c r="G761" s="2" t="str">
        <x:v>Email</x:v>
      </x:c>
      <x:c r="H761" s="2" t="str">
        <x:v>Authorized release</x:v>
      </x:c>
      <x:c r="I761" s="8" t="n">
        <x:v>46300.6271875</x:v>
      </x:c>
      <x:c r="J761" s="8" t="n">
        <x:v>46300.62721064815</x:v>
      </x:c>
      <x:c r="K761" s="8" t="n">
        <x:v>46300.62724537037</x:v>
      </x:c>
      <x:c r="L761" s="2" t="str">
        <x:v>Sent</x:v>
      </x:c>
      <x:c r="M761" s="2" t="n">
        <x:v>1</x:v>
      </x:c>
      <x:c r="N761" s="2"/>
      <x:c r="O761" s="2"/>
    </x:row>
    <x:row r="762" ht="21" customHeight="1">
      <x:c r="A762" s="2" t="str">
        <x:v>NT000761</x:v>
      </x:c>
      <x:c r="B762" s="2" t="str">
        <x:v>EV000763</x:v>
      </x:c>
      <x:c r="C762" s="2" t="str">
        <x:v>T20261005-4-2</x:v>
      </x:c>
      <x:c r="D762" s="2" t="str">
        <x:v>ST065</x:v>
      </x:c>
      <x:c r="E762" s="2" t="str">
        <x:v>G065</x:v>
      </x:c>
      <x:c r="F762" s="2" t="str">
        <x:v>guardian065@example.invalid</x:v>
      </x:c>
      <x:c r="G762" s="2" t="str">
        <x:v>Email</x:v>
      </x:c>
      <x:c r="H762" s="2" t="str">
        <x:v>Boarded</x:v>
      </x:c>
      <x:c r="I762" s="8" t="n">
        <x:v>46300.604305555564</x:v>
      </x:c>
      <x:c r="J762" s="8" t="n">
        <x:v>46300.60432870371</x:v>
      </x:c>
      <x:c r="K762" s="8" t="n">
        <x:v>46300.60436342593</x:v>
      </x:c>
      <x:c r="L762" s="2" t="str">
        <x:v>Sent</x:v>
      </x:c>
      <x:c r="M762" s="2" t="n">
        <x:v>1</x:v>
      </x:c>
      <x:c r="N762" s="2"/>
      <x:c r="O762" s="2"/>
    </x:row>
    <x:row r="763" ht="21" customHeight="1">
      <x:c r="A763" s="2" t="str">
        <x:v>NT000762</x:v>
      </x:c>
      <x:c r="B763" s="2" t="str">
        <x:v>EV000764</x:v>
      </x:c>
      <x:c r="C763" s="2" t="str">
        <x:v>T20261005-4-2</x:v>
      </x:c>
      <x:c r="D763" s="2" t="str">
        <x:v>ST065</x:v>
      </x:c>
      <x:c r="E763" s="2" t="str">
        <x:v>G065</x:v>
      </x:c>
      <x:c r="F763" s="2" t="str">
        <x:v>guardian065@example.invalid</x:v>
      </x:c>
      <x:c r="G763" s="2" t="str">
        <x:v>Email</x:v>
      </x:c>
      <x:c r="H763" s="2" t="str">
        <x:v>Authorized release</x:v>
      </x:c>
      <x:c r="I763" s="8" t="n">
        <x:v>46300.618888888894</x:v>
      </x:c>
      <x:c r="J763" s="8" t="n">
        <x:v>46300.61891203704</x:v>
      </x:c>
      <x:c r="K763" s="8" t="n">
        <x:v>46300.61894675926</x:v>
      </x:c>
      <x:c r="L763" s="2" t="str">
        <x:v>Sent</x:v>
      </x:c>
      <x:c r="M763" s="2" t="n">
        <x:v>1</x:v>
      </x:c>
      <x:c r="N763" s="2"/>
      <x:c r="O763" s="2"/>
    </x:row>
    <x:row r="764" ht="21" customHeight="1">
      <x:c r="A764" s="2" t="str">
        <x:v>NT000763</x:v>
      </x:c>
      <x:c r="B764" s="2" t="str">
        <x:v>EV000765</x:v>
      </x:c>
      <x:c r="C764" s="2" t="str">
        <x:v>T20261005-4-2</x:v>
      </x:c>
      <x:c r="D764" s="2" t="str">
        <x:v>ST066</x:v>
      </x:c>
      <x:c r="E764" s="2" t="str">
        <x:v>G066</x:v>
      </x:c>
      <x:c r="F764" s="2" t="str">
        <x:v>guardian066@example.invalid</x:v>
      </x:c>
      <x:c r="G764" s="2" t="str">
        <x:v>Email</x:v>
      </x:c>
      <x:c r="H764" s="2" t="str">
        <x:v>Boarded</x:v>
      </x:c>
      <x:c r="I764" s="8" t="n">
        <x:v>46300.60434027778</x:v>
      </x:c>
      <x:c r="J764" s="8" t="n">
        <x:v>46300.604363425926</x:v>
      </x:c>
      <x:c r="K764" s="8" t="n">
        <x:v>46300.60439814815</x:v>
      </x:c>
      <x:c r="L764" s="2" t="str">
        <x:v>Sent</x:v>
      </x:c>
      <x:c r="M764" s="2" t="n">
        <x:v>1</x:v>
      </x:c>
      <x:c r="N764" s="2"/>
      <x:c r="O764" s="2"/>
    </x:row>
    <x:row r="765" ht="21" customHeight="1">
      <x:c r="A765" s="2" t="str">
        <x:v>NT000764</x:v>
      </x:c>
      <x:c r="B765" s="2" t="str">
        <x:v>EV000766</x:v>
      </x:c>
      <x:c r="C765" s="2" t="str">
        <x:v>T20261005-4-2</x:v>
      </x:c>
      <x:c r="D765" s="2" t="str">
        <x:v>ST066</x:v>
      </x:c>
      <x:c r="E765" s="2" t="str">
        <x:v>G066</x:v>
      </x:c>
      <x:c r="F765" s="2" t="str">
        <x:v>guardian066@example.invalid</x:v>
      </x:c>
      <x:c r="G765" s="2" t="str">
        <x:v>Email</x:v>
      </x:c>
      <x:c r="H765" s="2" t="str">
        <x:v>Authorized release</x:v>
      </x:c>
      <x:c r="I765" s="8" t="n">
        <x:v>46300.623090277775</x:v>
      </x:c>
      <x:c r="J765" s="8" t="n">
        <x:v>46300.62311342592</x:v>
      </x:c>
      <x:c r="K765" s="8" t="n">
        <x:v>46300.623148148145</x:v>
      </x:c>
      <x:c r="L765" s="2" t="str">
        <x:v>Sent</x:v>
      </x:c>
      <x:c r="M765" s="2" t="n">
        <x:v>1</x:v>
      </x:c>
      <x:c r="N765" s="2"/>
      <x:c r="O765" s="2"/>
    </x:row>
    <x:row r="766" ht="21" customHeight="1">
      <x:c r="A766" s="2" t="str">
        <x:v>NT000765</x:v>
      </x:c>
      <x:c r="B766" s="2" t="str">
        <x:v>EV000767</x:v>
      </x:c>
      <x:c r="C766" s="2" t="str">
        <x:v>T20261005-4-2</x:v>
      </x:c>
      <x:c r="D766" s="2" t="str">
        <x:v>ST067</x:v>
      </x:c>
      <x:c r="E766" s="2" t="str">
        <x:v>G067</x:v>
      </x:c>
      <x:c r="F766" s="2" t="str">
        <x:v>guardian067@example.invalid</x:v>
      </x:c>
      <x:c r="G766" s="2" t="str">
        <x:v>Email</x:v>
      </x:c>
      <x:c r="H766" s="2" t="str">
        <x:v>Boarded</x:v>
      </x:c>
      <x:c r="I766" s="8" t="n">
        <x:v>46300.604375</x:v>
      </x:c>
      <x:c r="J766" s="8" t="n">
        <x:v>46300.60439814815</x:v>
      </x:c>
      <x:c r="K766" s="8" t="n">
        <x:v>46300.60443287037</x:v>
      </x:c>
      <x:c r="L766" s="2" t="str">
        <x:v>Sent</x:v>
      </x:c>
      <x:c r="M766" s="2" t="n">
        <x:v>1</x:v>
      </x:c>
      <x:c r="N766" s="2"/>
      <x:c r="O766" s="2"/>
    </x:row>
    <x:row r="767" ht="21" customHeight="1">
      <x:c r="A767" s="2" t="str">
        <x:v>NT000766</x:v>
      </x:c>
      <x:c r="B767" s="2" t="str">
        <x:v>EV000768</x:v>
      </x:c>
      <x:c r="C767" s="2" t="str">
        <x:v>T20261005-4-2</x:v>
      </x:c>
      <x:c r="D767" s="2" t="str">
        <x:v>ST067</x:v>
      </x:c>
      <x:c r="E767" s="2" t="str">
        <x:v>G067</x:v>
      </x:c>
      <x:c r="F767" s="2" t="str">
        <x:v>guardian067@example.invalid</x:v>
      </x:c>
      <x:c r="G767" s="2" t="str">
        <x:v>Email</x:v>
      </x:c>
      <x:c r="H767" s="2" t="str">
        <x:v>Authorized release</x:v>
      </x:c>
      <x:c r="I767" s="8" t="n">
        <x:v>46300.627291666664</x:v>
      </x:c>
      <x:c r="J767" s="8" t="n">
        <x:v>46300.62731481481</x:v>
      </x:c>
      <x:c r="K767" s="8" t="n">
        <x:v>46300.62734953703</x:v>
      </x:c>
      <x:c r="L767" s="2" t="str">
        <x:v>Sent</x:v>
      </x:c>
      <x:c r="M767" s="2" t="n">
        <x:v>1</x:v>
      </x:c>
      <x:c r="N767" s="2"/>
      <x:c r="O767" s="2"/>
    </x:row>
    <x:row r="768" ht="21" customHeight="1">
      <x:c r="A768" s="2" t="str">
        <x:v>NT000767</x:v>
      </x:c>
      <x:c r="B768" s="2" t="str">
        <x:v>EV000769</x:v>
      </x:c>
      <x:c r="C768" s="2" t="str">
        <x:v>T20261005-4-2</x:v>
      </x:c>
      <x:c r="D768" s="2" t="str">
        <x:v>ST068</x:v>
      </x:c>
      <x:c r="E768" s="2" t="str">
        <x:v>G068</x:v>
      </x:c>
      <x:c r="F768" s="2" t="str">
        <x:v>guardian068@example.invalid</x:v>
      </x:c>
      <x:c r="G768" s="2" t="str">
        <x:v>Email</x:v>
      </x:c>
      <x:c r="H768" s="2" t="str">
        <x:v>Boarded</x:v>
      </x:c>
      <x:c r="I768" s="8" t="n">
        <x:v>46300.604409722226</x:v>
      </x:c>
      <x:c r="J768" s="8" t="n">
        <x:v>46300.60443287037</x:v>
      </x:c>
      <x:c r="K768" s="8" t="n">
        <x:v>46300.604467592595</x:v>
      </x:c>
      <x:c r="L768" s="2" t="str">
        <x:v>Sent</x:v>
      </x:c>
      <x:c r="M768" s="2" t="n">
        <x:v>1</x:v>
      </x:c>
      <x:c r="N768" s="2"/>
      <x:c r="O768" s="2"/>
    </x:row>
    <x:row r="769" ht="21" customHeight="1">
      <x:c r="A769" s="2" t="str">
        <x:v>NT000768</x:v>
      </x:c>
      <x:c r="B769" s="2" t="str">
        <x:v>EV000770</x:v>
      </x:c>
      <x:c r="C769" s="2" t="str">
        <x:v>T20261005-4-2</x:v>
      </x:c>
      <x:c r="D769" s="2" t="str">
        <x:v>ST068</x:v>
      </x:c>
      <x:c r="E769" s="2" t="str">
        <x:v>G068</x:v>
      </x:c>
      <x:c r="F769" s="2" t="str">
        <x:v>guardian068@example.invalid</x:v>
      </x:c>
      <x:c r="G769" s="2" t="str">
        <x:v>Email</x:v>
      </x:c>
      <x:c r="H769" s="2" t="str">
        <x:v>Authorized release</x:v>
      </x:c>
      <x:c r="I769" s="8" t="n">
        <x:v>46300.618993055556</x:v>
      </x:c>
      <x:c r="J769" s="8" t="n">
        <x:v>46300.6190162037</x:v>
      </x:c>
      <x:c r="K769" s="8" t="n">
        <x:v>46300.619050925925</x:v>
      </x:c>
      <x:c r="L769" s="2" t="str">
        <x:v>Sent</x:v>
      </x:c>
      <x:c r="M769" s="2" t="n">
        <x:v>1</x:v>
      </x:c>
      <x:c r="N769" s="2"/>
      <x:c r="O769" s="2"/>
    </x:row>
    <x:row r="770" ht="21" customHeight="1">
      <x:c r="A770" s="2" t="str">
        <x:v>NT000769</x:v>
      </x:c>
      <x:c r="B770" s="2" t="str">
        <x:v>EV000771</x:v>
      </x:c>
      <x:c r="C770" s="2" t="str">
        <x:v>T20261005-4-2</x:v>
      </x:c>
      <x:c r="D770" s="2" t="str">
        <x:v>ST069</x:v>
      </x:c>
      <x:c r="E770" s="2" t="str">
        <x:v>G069</x:v>
      </x:c>
      <x:c r="F770" s="2" t="str">
        <x:v>guardian069@example.invalid</x:v>
      </x:c>
      <x:c r="G770" s="2" t="str">
        <x:v>Email</x:v>
      </x:c>
      <x:c r="H770" s="2" t="str">
        <x:v>Boarded</x:v>
      </x:c>
      <x:c r="I770" s="8" t="n">
        <x:v>46300.60444444445</x:v>
      </x:c>
      <x:c r="J770" s="8" t="n">
        <x:v>46300.604467592595</x:v>
      </x:c>
      <x:c r="K770" s="8" t="n">
        <x:v>46300.60450231482</x:v>
      </x:c>
      <x:c r="L770" s="2" t="str">
        <x:v>Sent</x:v>
      </x:c>
      <x:c r="M770" s="2" t="n">
        <x:v>1</x:v>
      </x:c>
      <x:c r="N770" s="2"/>
      <x:c r="O770" s="2"/>
    </x:row>
    <x:row r="771" ht="21" customHeight="1">
      <x:c r="A771" s="2" t="str">
        <x:v>NT000770</x:v>
      </x:c>
      <x:c r="B771" s="2" t="str">
        <x:v>EV000772</x:v>
      </x:c>
      <x:c r="C771" s="2" t="str">
        <x:v>T20261005-4-2</x:v>
      </x:c>
      <x:c r="D771" s="2" t="str">
        <x:v>ST069</x:v>
      </x:c>
      <x:c r="E771" s="2" t="str">
        <x:v>G069</x:v>
      </x:c>
      <x:c r="F771" s="2" t="str">
        <x:v>guardian069@example.invalid</x:v>
      </x:c>
      <x:c r="G771" s="2" t="str">
        <x:v>Email</x:v>
      </x:c>
      <x:c r="H771" s="2" t="str">
        <x:v>Authorized release</x:v>
      </x:c>
      <x:c r="I771" s="8" t="n">
        <x:v>46300.623194444444</x:v>
      </x:c>
      <x:c r="J771" s="8" t="n">
        <x:v>46300.62321759259</x:v>
      </x:c>
      <x:c r="K771" s="8" t="n">
        <x:v>46300.623252314814</x:v>
      </x:c>
      <x:c r="L771" s="2" t="str">
        <x:v>Sent</x:v>
      </x:c>
      <x:c r="M771" s="2" t="n">
        <x:v>1</x:v>
      </x:c>
      <x:c r="N771" s="2"/>
      <x:c r="O771" s="2"/>
    </x:row>
    <x:row r="772" ht="21" customHeight="1">
      <x:c r="A772" s="2" t="str">
        <x:v>NT000771</x:v>
      </x:c>
      <x:c r="B772" s="2" t="str">
        <x:v>EV000773</x:v>
      </x:c>
      <x:c r="C772" s="2" t="str">
        <x:v>T20261005-4-2</x:v>
      </x:c>
      <x:c r="D772" s="2" t="str">
        <x:v>ST070</x:v>
      </x:c>
      <x:c r="E772" s="2" t="str">
        <x:v>G070</x:v>
      </x:c>
      <x:c r="F772" s="2" t="str">
        <x:v>guardian070@example.invalid</x:v>
      </x:c>
      <x:c r="G772" s="2" t="str">
        <x:v>Email</x:v>
      </x:c>
      <x:c r="H772" s="2" t="str">
        <x:v>Boarded</x:v>
      </x:c>
      <x:c r="I772" s="8" t="n">
        <x:v>46300.60447916667</x:v>
      </x:c>
      <x:c r="J772" s="8" t="n">
        <x:v>46300.60450231482</x:v>
      </x:c>
      <x:c r="K772" s="8" t="n">
        <x:v>46300.60453703704</x:v>
      </x:c>
      <x:c r="L772" s="2" t="str">
        <x:v>Sent</x:v>
      </x:c>
      <x:c r="M772" s="2" t="n">
        <x:v>1</x:v>
      </x:c>
      <x:c r="N772" s="2"/>
      <x:c r="O772" s="2"/>
    </x:row>
    <x:row r="773" ht="21" customHeight="1">
      <x:c r="A773" s="2" t="str">
        <x:v>NT000772</x:v>
      </x:c>
      <x:c r="B773" s="2" t="str">
        <x:v>EV000774</x:v>
      </x:c>
      <x:c r="C773" s="2" t="str">
        <x:v>T20261005-4-2</x:v>
      </x:c>
      <x:c r="D773" s="2" t="str">
        <x:v>ST070</x:v>
      </x:c>
      <x:c r="E773" s="2" t="str">
        <x:v>G070</x:v>
      </x:c>
      <x:c r="F773" s="2" t="str">
        <x:v>guardian070@example.invalid</x:v>
      </x:c>
      <x:c r="G773" s="2" t="str">
        <x:v>Email</x:v>
      </x:c>
      <x:c r="H773" s="2" t="str">
        <x:v>Authorized release</x:v>
      </x:c>
      <x:c r="I773" s="8" t="n">
        <x:v>46300.62739583333</x:v>
      </x:c>
      <x:c r="J773" s="8" t="n">
        <x:v>46300.62741898148</x:v>
      </x:c>
      <x:c r="K773" s="8" t="n">
        <x:v>46300.6274537037</x:v>
      </x:c>
      <x:c r="L773" s="2" t="str">
        <x:v>Sent</x:v>
      </x:c>
      <x:c r="M773" s="2" t="n">
        <x:v>1</x:v>
      </x:c>
      <x:c r="N773" s="2"/>
      <x:c r="O773" s="2"/>
    </x:row>
    <x:row r="774" ht="21" customHeight="1">
      <x:c r="A774" s="2" t="str">
        <x:v>NT000773</x:v>
      </x:c>
      <x:c r="B774" s="2" t="str">
        <x:v>EV000775</x:v>
      </x:c>
      <x:c r="C774" s="2" t="str">
        <x:v>T20261005-5-2</x:v>
      </x:c>
      <x:c r="D774" s="2" t="str">
        <x:v>ST071</x:v>
      </x:c>
      <x:c r="E774" s="2" t="str">
        <x:v>G071</x:v>
      </x:c>
      <x:c r="F774" s="2" t="str">
        <x:v>guardian071@example.invalid</x:v>
      </x:c>
      <x:c r="G774" s="2" t="str">
        <x:v>Email</x:v>
      </x:c>
      <x:c r="H774" s="2" t="str">
        <x:v>Boarded</x:v>
      </x:c>
      <x:c r="I774" s="8" t="n">
        <x:v>46300.70833333333</x:v>
      </x:c>
      <x:c r="J774" s="8" t="n">
        <x:v>46300.708356481475</x:v>
      </x:c>
      <x:c r="K774" s="8" t="n">
        <x:v>46300.7083912037</x:v>
      </x:c>
      <x:c r="L774" s="2" t="str">
        <x:v>Sent</x:v>
      </x:c>
      <x:c r="M774" s="2" t="n">
        <x:v>1</x:v>
      </x:c>
      <x:c r="N774" s="2"/>
      <x:c r="O774" s="2"/>
    </x:row>
    <x:row r="775" ht="21" customHeight="1">
      <x:c r="A775" s="2" t="str">
        <x:v>NT000774</x:v>
      </x:c>
      <x:c r="B775" s="2" t="str">
        <x:v>EV000776</x:v>
      </x:c>
      <x:c r="C775" s="2" t="str">
        <x:v>T20261005-5-2</x:v>
      </x:c>
      <x:c r="D775" s="2" t="str">
        <x:v>ST071</x:v>
      </x:c>
      <x:c r="E775" s="2" t="str">
        <x:v>G071</x:v>
      </x:c>
      <x:c r="F775" s="2" t="str">
        <x:v>guardian071@example.invalid</x:v>
      </x:c>
      <x:c r="G775" s="2" t="str">
        <x:v>Email</x:v>
      </x:c>
      <x:c r="H775" s="2" t="str">
        <x:v>Authorized release</x:v>
      </x:c>
      <x:c r="I775" s="8" t="n">
        <x:v>46300.72361111111</x:v>
      </x:c>
      <x:c r="J775" s="8" t="n">
        <x:v>46300.72363425926</x:v>
      </x:c>
      <x:c r="K775" s="8" t="n">
        <x:v>46300.72366898148</x:v>
      </x:c>
      <x:c r="L775" s="2" t="str">
        <x:v>Sent</x:v>
      </x:c>
      <x:c r="M775" s="2" t="n">
        <x:v>1</x:v>
      </x:c>
      <x:c r="N775" s="2"/>
      <x:c r="O775" s="2"/>
    </x:row>
    <x:row r="776" ht="21" customHeight="1">
      <x:c r="A776" s="2" t="str">
        <x:v>NT000775</x:v>
      </x:c>
      <x:c r="B776" s="2" t="str">
        <x:v>EV000777</x:v>
      </x:c>
      <x:c r="C776" s="2" t="str">
        <x:v>T20261005-5-2</x:v>
      </x:c>
      <x:c r="D776" s="2" t="str">
        <x:v>ST072</x:v>
      </x:c>
      <x:c r="E776" s="2" t="str">
        <x:v>G072</x:v>
      </x:c>
      <x:c r="F776" s="2" t="str">
        <x:v>guardian072@example.invalid</x:v>
      </x:c>
      <x:c r="G776" s="2" t="str">
        <x:v>Email</x:v>
      </x:c>
      <x:c r="H776" s="2" t="str">
        <x:v>Boarded</x:v>
      </x:c>
      <x:c r="I776" s="8" t="n">
        <x:v>46300.70836805555</x:v>
      </x:c>
      <x:c r="J776" s="8" t="n">
        <x:v>46300.7083912037</x:v>
      </x:c>
      <x:c r="K776" s="8" t="n">
        <x:v>46300.70842592592</x:v>
      </x:c>
      <x:c r="L776" s="2" t="str">
        <x:v>Sent</x:v>
      </x:c>
      <x:c r="M776" s="2" t="n">
        <x:v>1</x:v>
      </x:c>
      <x:c r="N776" s="2"/>
      <x:c r="O776" s="2"/>
    </x:row>
    <x:row r="777" ht="21" customHeight="1">
      <x:c r="A777" s="2" t="str">
        <x:v>NT000776</x:v>
      </x:c>
      <x:c r="B777" s="2" t="str">
        <x:v>EV000778</x:v>
      </x:c>
      <x:c r="C777" s="2" t="str">
        <x:v>T20261005-5-2</x:v>
      </x:c>
      <x:c r="D777" s="2" t="str">
        <x:v>ST072</x:v>
      </x:c>
      <x:c r="E777" s="2" t="str">
        <x:v>G072</x:v>
      </x:c>
      <x:c r="F777" s="2" t="str">
        <x:v>guardian072@example.invalid</x:v>
      </x:c>
      <x:c r="G777" s="2" t="str">
        <x:v>Email</x:v>
      </x:c>
      <x:c r="H777" s="2" t="str">
        <x:v>Authorized release</x:v>
      </x:c>
      <x:c r="I777" s="8" t="n">
        <x:v>46300.72850694445</x:v>
      </x:c>
      <x:c r="J777" s="8" t="n">
        <x:v>46300.728530092594</x:v>
      </x:c>
      <x:c r="K777" s="8" t="n">
        <x:v>46300.72856481482</x:v>
      </x:c>
      <x:c r="L777" s="2" t="str">
        <x:v>Sent</x:v>
      </x:c>
      <x:c r="M777" s="2" t="n">
        <x:v>1</x:v>
      </x:c>
      <x:c r="N777" s="2"/>
      <x:c r="O777" s="2"/>
    </x:row>
    <x:row r="778" ht="21" customHeight="1">
      <x:c r="A778" s="2" t="str">
        <x:v>NT000777</x:v>
      </x:c>
      <x:c r="B778" s="2" t="str">
        <x:v>EV000779</x:v>
      </x:c>
      <x:c r="C778" s="2" t="str">
        <x:v>T20261005-5-2</x:v>
      </x:c>
      <x:c r="D778" s="2" t="str">
        <x:v>ST073</x:v>
      </x:c>
      <x:c r="E778" s="2" t="str">
        <x:v>G073</x:v>
      </x:c>
      <x:c r="F778" s="2" t="str">
        <x:v>guardian073@example.invalid</x:v>
      </x:c>
      <x:c r="G778" s="2" t="str">
        <x:v>Email</x:v>
      </x:c>
      <x:c r="H778" s="2" t="str">
        <x:v>Boarded</x:v>
      </x:c>
      <x:c r="I778" s="8" t="n">
        <x:v>46300.708402777775</x:v>
      </x:c>
      <x:c r="J778" s="8" t="n">
        <x:v>46300.70842592592</x:v>
      </x:c>
      <x:c r="K778" s="8" t="n">
        <x:v>46300.708460648144</x:v>
      </x:c>
      <x:c r="L778" s="2" t="str">
        <x:v>Sent</x:v>
      </x:c>
      <x:c r="M778" s="2" t="n">
        <x:v>1</x:v>
      </x:c>
      <x:c r="N778" s="2"/>
      <x:c r="O778" s="2"/>
    </x:row>
    <x:row r="779" ht="21" customHeight="1">
      <x:c r="A779" s="2" t="str">
        <x:v>NT000778</x:v>
      </x:c>
      <x:c r="B779" s="2" t="str">
        <x:v>EV000780</x:v>
      </x:c>
      <x:c r="C779" s="2" t="str">
        <x:v>T20261005-5-2</x:v>
      </x:c>
      <x:c r="D779" s="2" t="str">
        <x:v>ST073</x:v>
      </x:c>
      <x:c r="E779" s="2" t="str">
        <x:v>G073</x:v>
      </x:c>
      <x:c r="F779" s="2" t="str">
        <x:v>guardian073@example.invalid</x:v>
      </x:c>
      <x:c r="G779" s="2" t="str">
        <x:v>Email</x:v>
      </x:c>
      <x:c r="H779" s="2" t="str">
        <x:v>Authorized release</x:v>
      </x:c>
      <x:c r="I779" s="8" t="n">
        <x:v>46300.73340277778</x:v>
      </x:c>
      <x:c r="J779" s="8" t="n">
        <x:v>46300.73342592593</x:v>
      </x:c>
      <x:c r="K779" s="8" t="n">
        <x:v>46300.73346064815</x:v>
      </x:c>
      <x:c r="L779" s="2" t="str">
        <x:v>Sent</x:v>
      </x:c>
      <x:c r="M779" s="2" t="n">
        <x:v>1</x:v>
      </x:c>
      <x:c r="N779" s="2"/>
      <x:c r="O779" s="2"/>
    </x:row>
    <x:row r="780" ht="21" customHeight="1">
      <x:c r="A780" s="2" t="str">
        <x:v>NT000779</x:v>
      </x:c>
      <x:c r="B780" s="2" t="str">
        <x:v>EV000781</x:v>
      </x:c>
      <x:c r="C780" s="2" t="str">
        <x:v>T20261005-5-2</x:v>
      </x:c>
      <x:c r="D780" s="2" t="str">
        <x:v>ST074</x:v>
      </x:c>
      <x:c r="E780" s="2" t="str">
        <x:v>G074</x:v>
      </x:c>
      <x:c r="F780" s="2" t="str">
        <x:v>guardian074@example.invalid</x:v>
      </x:c>
      <x:c r="G780" s="2" t="str">
        <x:v>Email</x:v>
      </x:c>
      <x:c r="H780" s="2" t="str">
        <x:v>Boarded</x:v>
      </x:c>
      <x:c r="I780" s="8" t="n">
        <x:v>46300.7084375</x:v>
      </x:c>
      <x:c r="J780" s="8" t="n">
        <x:v>46300.708460648144</x:v>
      </x:c>
      <x:c r="K780" s="8" t="n">
        <x:v>46300.70849537037</x:v>
      </x:c>
      <x:c r="L780" s="2" t="str">
        <x:v>Sent</x:v>
      </x:c>
      <x:c r="M780" s="2" t="n">
        <x:v>1</x:v>
      </x:c>
      <x:c r="N780" s="2"/>
      <x:c r="O780" s="2"/>
    </x:row>
    <x:row r="781" ht="21" customHeight="1">
      <x:c r="A781" s="2" t="str">
        <x:v>NT000780</x:v>
      </x:c>
      <x:c r="B781" s="2" t="str">
        <x:v>EV000782</x:v>
      </x:c>
      <x:c r="C781" s="2" t="str">
        <x:v>T20261005-5-2</x:v>
      </x:c>
      <x:c r="D781" s="2" t="str">
        <x:v>ST074</x:v>
      </x:c>
      <x:c r="E781" s="2" t="str">
        <x:v>G074</x:v>
      </x:c>
      <x:c r="F781" s="2" t="str">
        <x:v>guardian074@example.invalid</x:v>
      </x:c>
      <x:c r="G781" s="2" t="str">
        <x:v>Email</x:v>
      </x:c>
      <x:c r="H781" s="2" t="str">
        <x:v>Authorized release</x:v>
      </x:c>
      <x:c r="I781" s="8" t="n">
        <x:v>46300.72371527778</x:v>
      </x:c>
      <x:c r="J781" s="8" t="n">
        <x:v>46300.72373842593</x:v>
      </x:c>
      <x:c r="K781" s="8" t="n">
        <x:v>46300.72377314815</x:v>
      </x:c>
      <x:c r="L781" s="2" t="str">
        <x:v>Sent</x:v>
      </x:c>
      <x:c r="M781" s="2" t="n">
        <x:v>1</x:v>
      </x:c>
      <x:c r="N781" s="2"/>
      <x:c r="O781" s="2"/>
    </x:row>
    <x:row r="782" ht="21" customHeight="1">
      <x:c r="A782" s="2" t="str">
        <x:v>NT000781</x:v>
      </x:c>
      <x:c r="B782" s="2" t="str">
        <x:v>EV000783</x:v>
      </x:c>
      <x:c r="C782" s="2" t="str">
        <x:v>T20261005-5-2</x:v>
      </x:c>
      <x:c r="D782" s="2" t="str">
        <x:v>ST075</x:v>
      </x:c>
      <x:c r="E782" s="2" t="str">
        <x:v>G075</x:v>
      </x:c>
      <x:c r="F782" s="2" t="str">
        <x:v>guardian075@example.invalid</x:v>
      </x:c>
      <x:c r="G782" s="2" t="str">
        <x:v>Email</x:v>
      </x:c>
      <x:c r="H782" s="2" t="str">
        <x:v>Boarded</x:v>
      </x:c>
      <x:c r="I782" s="8" t="n">
        <x:v>46300.70847222222</x:v>
      </x:c>
      <x:c r="J782" s="8" t="n">
        <x:v>46300.70849537037</x:v>
      </x:c>
      <x:c r="K782" s="8" t="n">
        <x:v>46300.70853009259</x:v>
      </x:c>
      <x:c r="L782" s="2" t="str">
        <x:v>Sent</x:v>
      </x:c>
      <x:c r="M782" s="2" t="n">
        <x:v>1</x:v>
      </x:c>
      <x:c r="N782" s="2"/>
      <x:c r="O782" s="2"/>
    </x:row>
    <x:row r="783" ht="21" customHeight="1">
      <x:c r="A783" s="2" t="str">
        <x:v>NT000782</x:v>
      </x:c>
      <x:c r="B783" s="2" t="str">
        <x:v>EV000784</x:v>
      </x:c>
      <x:c r="C783" s="2" t="str">
        <x:v>T20261005-5-2</x:v>
      </x:c>
      <x:c r="D783" s="2" t="str">
        <x:v>ST075</x:v>
      </x:c>
      <x:c r="E783" s="2" t="str">
        <x:v>G075</x:v>
      </x:c>
      <x:c r="F783" s="2" t="str">
        <x:v>guardian075@example.invalid</x:v>
      </x:c>
      <x:c r="G783" s="2" t="str">
        <x:v>Email</x:v>
      </x:c>
      <x:c r="H783" s="2" t="str">
        <x:v>Authorized release</x:v>
      </x:c>
      <x:c r="I783" s="8" t="n">
        <x:v>46300.72861111112</x:v>
      </x:c>
      <x:c r="J783" s="8" t="n">
        <x:v>46300.72863425926</x:v>
      </x:c>
      <x:c r="K783" s="8" t="n">
        <x:v>46300.72866898149</x:v>
      </x:c>
      <x:c r="L783" s="2" t="str">
        <x:v>Sent</x:v>
      </x:c>
      <x:c r="M783" s="2" t="n">
        <x:v>1</x:v>
      </x:c>
      <x:c r="N783" s="2"/>
      <x:c r="O783" s="2"/>
    </x:row>
    <x:row r="784" ht="21" customHeight="1">
      <x:c r="A784" s="2" t="str">
        <x:v>NT000783</x:v>
      </x:c>
      <x:c r="B784" s="2" t="str">
        <x:v>EV000785</x:v>
      </x:c>
      <x:c r="C784" s="2" t="str">
        <x:v>T20261005-5-2</x:v>
      </x:c>
      <x:c r="D784" s="2" t="str">
        <x:v>ST076</x:v>
      </x:c>
      <x:c r="E784" s="2" t="str">
        <x:v>G076</x:v>
      </x:c>
      <x:c r="F784" s="2" t="str">
        <x:v>guardian076@example.invalid</x:v>
      </x:c>
      <x:c r="G784" s="2" t="str">
        <x:v>Email</x:v>
      </x:c>
      <x:c r="H784" s="2" t="str">
        <x:v>Boarded</x:v>
      </x:c>
      <x:c r="I784" s="8" t="n">
        <x:v>46300.70850694444</x:v>
      </x:c>
      <x:c r="J784" s="8" t="n">
        <x:v>46300.70853009258</x:v>
      </x:c>
      <x:c r="K784" s="8" t="n">
        <x:v>46300.708564814806</x:v>
      </x:c>
      <x:c r="L784" s="2" t="str">
        <x:v>Sent</x:v>
      </x:c>
      <x:c r="M784" s="2" t="n">
        <x:v>1</x:v>
      </x:c>
      <x:c r="N784" s="2"/>
      <x:c r="O784" s="2"/>
    </x:row>
    <x:row r="785" ht="21" customHeight="1">
      <x:c r="A785" s="2" t="str">
        <x:v>NT000784</x:v>
      </x:c>
      <x:c r="B785" s="2" t="str">
        <x:v>EV000786</x:v>
      </x:c>
      <x:c r="C785" s="2" t="str">
        <x:v>T20261005-5-2</x:v>
      </x:c>
      <x:c r="D785" s="2" t="str">
        <x:v>ST076</x:v>
      </x:c>
      <x:c r="E785" s="2" t="str">
        <x:v>G076</x:v>
      </x:c>
      <x:c r="F785" s="2" t="str">
        <x:v>guardian076@example.invalid</x:v>
      </x:c>
      <x:c r="G785" s="2" t="str">
        <x:v>Email</x:v>
      </x:c>
      <x:c r="H785" s="2" t="str">
        <x:v>Authorized release</x:v>
      </x:c>
      <x:c r="I785" s="8" t="n">
        <x:v>46300.733506944445</x:v>
      </x:c>
      <x:c r="J785" s="8" t="n">
        <x:v>46300.73353009259</x:v>
      </x:c>
      <x:c r="K785" s="8" t="n">
        <x:v>46300.733564814815</x:v>
      </x:c>
      <x:c r="L785" s="2" t="str">
        <x:v>Sent</x:v>
      </x:c>
      <x:c r="M785" s="2" t="n">
        <x:v>1</x:v>
      </x:c>
      <x:c r="N785" s="2"/>
      <x:c r="O785" s="2"/>
    </x:row>
    <x:row r="786" ht="21" customHeight="1">
      <x:c r="A786" s="2" t="str">
        <x:v>NT000785</x:v>
      </x:c>
      <x:c r="B786" s="2" t="str">
        <x:v>EV000787</x:v>
      </x:c>
      <x:c r="C786" s="2" t="str">
        <x:v>T20261005-5-2</x:v>
      </x:c>
      <x:c r="D786" s="2" t="str">
        <x:v>ST077</x:v>
      </x:c>
      <x:c r="E786" s="2" t="str">
        <x:v>G077</x:v>
      </x:c>
      <x:c r="F786" s="2" t="str">
        <x:v>guardian077@example.invalid</x:v>
      </x:c>
      <x:c r="G786" s="2" t="str">
        <x:v>Email</x:v>
      </x:c>
      <x:c r="H786" s="2" t="str">
        <x:v>Boarded</x:v>
      </x:c>
      <x:c r="I786" s="8" t="n">
        <x:v>46300.70854166666</x:v>
      </x:c>
      <x:c r="J786" s="8" t="n">
        <x:v>46300.708564814806</x:v>
      </x:c>
      <x:c r="K786" s="8" t="n">
        <x:v>46300.70859953703</x:v>
      </x:c>
      <x:c r="L786" s="2" t="str">
        <x:v>Sent</x:v>
      </x:c>
      <x:c r="M786" s="2" t="n">
        <x:v>1</x:v>
      </x:c>
      <x:c r="N786" s="2"/>
      <x:c r="O786" s="2"/>
    </x:row>
    <x:row r="787" ht="21" customHeight="1">
      <x:c r="A787" s="2" t="str">
        <x:v>NT000786</x:v>
      </x:c>
      <x:c r="B787" s="2" t="str">
        <x:v>EV000788</x:v>
      </x:c>
      <x:c r="C787" s="2" t="str">
        <x:v>T20261005-5-2</x:v>
      </x:c>
      <x:c r="D787" s="2" t="str">
        <x:v>ST077</x:v>
      </x:c>
      <x:c r="E787" s="2" t="str">
        <x:v>G077</x:v>
      </x:c>
      <x:c r="F787" s="2" t="str">
        <x:v>guardian077@example.invalid</x:v>
      </x:c>
      <x:c r="G787" s="2" t="str">
        <x:v>Email</x:v>
      </x:c>
      <x:c r="H787" s="2" t="str">
        <x:v>Authorized release</x:v>
      </x:c>
      <x:c r="I787" s="8" t="n">
        <x:v>46300.72381944444</x:v>
      </x:c>
      <x:c r="J787" s="8" t="n">
        <x:v>46300.72384259259</x:v>
      </x:c>
      <x:c r="K787" s="8" t="n">
        <x:v>46300.72387731481</x:v>
      </x:c>
      <x:c r="L787" s="2" t="str">
        <x:v>Sent</x:v>
      </x:c>
      <x:c r="M787" s="2" t="n">
        <x:v>1</x:v>
      </x:c>
      <x:c r="N787" s="2"/>
      <x:c r="O787" s="2"/>
    </x:row>
    <x:row r="788" ht="21" customHeight="1">
      <x:c r="A788" s="2" t="str">
        <x:v>NT000787</x:v>
      </x:c>
      <x:c r="B788" s="2" t="str">
        <x:v>EV000789</x:v>
      </x:c>
      <x:c r="C788" s="2" t="str">
        <x:v>T20261005-5-2</x:v>
      </x:c>
      <x:c r="D788" s="2" t="str">
        <x:v>ST078</x:v>
      </x:c>
      <x:c r="E788" s="2" t="str">
        <x:v>G078</x:v>
      </x:c>
      <x:c r="F788" s="2" t="str">
        <x:v>guardian078@example.invalid</x:v>
      </x:c>
      <x:c r="G788" s="2" t="str">
        <x:v>Email</x:v>
      </x:c>
      <x:c r="H788" s="2" t="str">
        <x:v>Boarded</x:v>
      </x:c>
      <x:c r="I788" s="8" t="n">
        <x:v>46300.70857638888</x:v>
      </x:c>
      <x:c r="J788" s="8" t="n">
        <x:v>46300.70859953703</x:v>
      </x:c>
      <x:c r="K788" s="8" t="n">
        <x:v>46300.70863425925</x:v>
      </x:c>
      <x:c r="L788" s="2" t="str">
        <x:v>Sent</x:v>
      </x:c>
      <x:c r="M788" s="2" t="n">
        <x:v>1</x:v>
      </x:c>
      <x:c r="N788" s="2"/>
      <x:c r="O788" s="2"/>
    </x:row>
    <x:row r="789" ht="21" customHeight="1">
      <x:c r="A789" s="2" t="str">
        <x:v>NT000788</x:v>
      </x:c>
      <x:c r="B789" s="2" t="str">
        <x:v>EV000790</x:v>
      </x:c>
      <x:c r="C789" s="2" t="str">
        <x:v>T20261005-5-2</x:v>
      </x:c>
      <x:c r="D789" s="2" t="str">
        <x:v>ST078</x:v>
      </x:c>
      <x:c r="E789" s="2" t="str">
        <x:v>G078</x:v>
      </x:c>
      <x:c r="F789" s="2" t="str">
        <x:v>guardian078@example.invalid</x:v>
      </x:c>
      <x:c r="G789" s="2" t="str">
        <x:v>Email</x:v>
      </x:c>
      <x:c r="H789" s="2" t="str">
        <x:v>Authorized release</x:v>
      </x:c>
      <x:c r="I789" s="8" t="n">
        <x:v>46300.72871527778</x:v>
      </x:c>
      <x:c r="J789" s="8" t="n">
        <x:v>46300.728738425925</x:v>
      </x:c>
      <x:c r="K789" s="8" t="n">
        <x:v>46300.72877314815</x:v>
      </x:c>
      <x:c r="L789" s="2" t="str">
        <x:v>Sent</x:v>
      </x:c>
      <x:c r="M789" s="2" t="n">
        <x:v>1</x:v>
      </x:c>
      <x:c r="N789" s="2"/>
      <x:c r="O789" s="2"/>
    </x:row>
    <x:row r="790" ht="21" customHeight="1">
      <x:c r="A790" s="2" t="str">
        <x:v>NT000789</x:v>
      </x:c>
      <x:c r="B790" s="2" t="str">
        <x:v>EV000791</x:v>
      </x:c>
      <x:c r="C790" s="2" t="str">
        <x:v>T20261005-5-2</x:v>
      </x:c>
      <x:c r="D790" s="2" t="str">
        <x:v>ST079</x:v>
      </x:c>
      <x:c r="E790" s="2" t="str">
        <x:v>G079</x:v>
      </x:c>
      <x:c r="F790" s="2" t="str">
        <x:v>guardian079@example.invalid</x:v>
      </x:c>
      <x:c r="G790" s="2" t="str">
        <x:v>Email</x:v>
      </x:c>
      <x:c r="H790" s="2" t="str">
        <x:v>Boarded</x:v>
      </x:c>
      <x:c r="I790" s="8" t="n">
        <x:v>46300.708611111106</x:v>
      </x:c>
      <x:c r="J790" s="8" t="n">
        <x:v>46300.70863425925</x:v>
      </x:c>
      <x:c r="K790" s="8" t="n">
        <x:v>46300.708668981475</x:v>
      </x:c>
      <x:c r="L790" s="2" t="str">
        <x:v>Sent</x:v>
      </x:c>
      <x:c r="M790" s="2" t="n">
        <x:v>1</x:v>
      </x:c>
      <x:c r="N790" s="2"/>
      <x:c r="O790" s="2"/>
    </x:row>
    <x:row r="791" ht="21" customHeight="1">
      <x:c r="A791" s="2" t="str">
        <x:v>NT000790</x:v>
      </x:c>
      <x:c r="B791" s="2" t="str">
        <x:v>EV000792</x:v>
      </x:c>
      <x:c r="C791" s="2" t="str">
        <x:v>T20261005-5-2</x:v>
      </x:c>
      <x:c r="D791" s="2" t="str">
        <x:v>ST079</x:v>
      </x:c>
      <x:c r="E791" s="2" t="str">
        <x:v>G079</x:v>
      </x:c>
      <x:c r="F791" s="2" t="str">
        <x:v>guardian079@example.invalid</x:v>
      </x:c>
      <x:c r="G791" s="2" t="str">
        <x:v>Email</x:v>
      </x:c>
      <x:c r="H791" s="2" t="str">
        <x:v>Authorized release</x:v>
      </x:c>
      <x:c r="I791" s="8" t="n">
        <x:v>46300.733611111114</x:v>
      </x:c>
      <x:c r="J791" s="8" t="n">
        <x:v>46300.73363425926</x:v>
      </x:c>
      <x:c r="K791" s="8" t="n">
        <x:v>46300.733668981484</x:v>
      </x:c>
      <x:c r="L791" s="2" t="str">
        <x:v>Sent</x:v>
      </x:c>
      <x:c r="M791" s="2" t="n">
        <x:v>1</x:v>
      </x:c>
      <x:c r="N791" s="2"/>
      <x:c r="O791" s="2"/>
    </x:row>
    <x:row r="792" ht="21" customHeight="1">
      <x:c r="A792" s="2" t="str">
        <x:v>NT000791</x:v>
      </x:c>
      <x:c r="B792" s="2" t="str">
        <x:v>EV000793</x:v>
      </x:c>
      <x:c r="C792" s="2" t="str">
        <x:v>T20261005-5-2</x:v>
      </x:c>
      <x:c r="D792" s="2" t="str">
        <x:v>ST080</x:v>
      </x:c>
      <x:c r="E792" s="2" t="str">
        <x:v>G080</x:v>
      </x:c>
      <x:c r="F792" s="2" t="str">
        <x:v>guardian080@example.invalid</x:v>
      </x:c>
      <x:c r="G792" s="2" t="str">
        <x:v>Email</x:v>
      </x:c>
      <x:c r="H792" s="2" t="str">
        <x:v>Boarded</x:v>
      </x:c>
      <x:c r="I792" s="8" t="n">
        <x:v>46300.70864583333</x:v>
      </x:c>
      <x:c r="J792" s="8" t="n">
        <x:v>46300.708668981475</x:v>
      </x:c>
      <x:c r="K792" s="8" t="n">
        <x:v>46300.7087037037</x:v>
      </x:c>
      <x:c r="L792" s="2" t="str">
        <x:v>Sent</x:v>
      </x:c>
      <x:c r="M792" s="2" t="n">
        <x:v>1</x:v>
      </x:c>
      <x:c r="N792" s="2"/>
      <x:c r="O792" s="2"/>
    </x:row>
    <x:row r="793" ht="21" customHeight="1">
      <x:c r="A793" s="2" t="str">
        <x:v>NT000792</x:v>
      </x:c>
      <x:c r="B793" s="2" t="str">
        <x:v>EV000794</x:v>
      </x:c>
      <x:c r="C793" s="2" t="str">
        <x:v>T20261005-5-2</x:v>
      </x:c>
      <x:c r="D793" s="2" t="str">
        <x:v>ST080</x:v>
      </x:c>
      <x:c r="E793" s="2" t="str">
        <x:v>G080</x:v>
      </x:c>
      <x:c r="F793" s="2" t="str">
        <x:v>guardian080@example.invalid</x:v>
      </x:c>
      <x:c r="G793" s="2" t="str">
        <x:v>Email</x:v>
      </x:c>
      <x:c r="H793" s="2" t="str">
        <x:v>Authorized release</x:v>
      </x:c>
      <x:c r="I793" s="8" t="n">
        <x:v>46300.72392361111</x:v>
      </x:c>
      <x:c r="J793" s="8" t="n">
        <x:v>46300.72394675926</x:v>
      </x:c>
      <x:c r="K793" s="8" t="n">
        <x:v>46300.72398148148</x:v>
      </x:c>
      <x:c r="L793" s="2" t="str">
        <x:v>Sent</x:v>
      </x:c>
      <x:c r="M793" s="2" t="n">
        <x:v>1</x:v>
      </x:c>
      <x:c r="N793" s="2"/>
      <x:c r="O793" s="2"/>
    </x:row>
    <x:row r="794" ht="21" customHeight="1">
      <x:c r="A794" s="2" t="str">
        <x:v>NT000793</x:v>
      </x:c>
      <x:c r="B794" s="2" t="str">
        <x:v>EV000795</x:v>
      </x:c>
      <x:c r="C794" s="2" t="str">
        <x:v>T20261005-1-3</x:v>
      </x:c>
      <x:c r="D794" s="2" t="str">
        <x:v>ST081</x:v>
      </x:c>
      <x:c r="E794" s="2" t="str">
        <x:v>G081</x:v>
      </x:c>
      <x:c r="F794" s="2" t="str">
        <x:v>guardian081@example.invalid</x:v>
      </x:c>
      <x:c r="G794" s="2" t="str">
        <x:v>Email</x:v>
      </x:c>
      <x:c r="H794" s="2" t="str">
        <x:v>Boarded</x:v>
      </x:c>
      <x:c r="I794" s="8" t="n">
        <x:v>46300.242361111115</x:v>
      </x:c>
      <x:c r="J794" s="8" t="n">
        <x:v>46300.24238425926</x:v>
      </x:c>
      <x:c r="K794" s="8" t="n">
        <x:v>46300.242418981485</x:v>
      </x:c>
      <x:c r="L794" s="2" t="str">
        <x:v>Sent</x:v>
      </x:c>
      <x:c r="M794" s="2" t="n">
        <x:v>1</x:v>
      </x:c>
      <x:c r="N794" s="2"/>
      <x:c r="O794" s="2"/>
    </x:row>
    <x:row r="795" ht="21" customHeight="1">
      <x:c r="A795" s="2" t="str">
        <x:v>NT000794</x:v>
      </x:c>
      <x:c r="B795" s="2" t="str">
        <x:v>EV000796</x:v>
      </x:c>
      <x:c r="C795" s="2" t="str">
        <x:v>T20261005-1-3</x:v>
      </x:c>
      <x:c r="D795" s="2" t="str">
        <x:v>ST081</x:v>
      </x:c>
      <x:c r="E795" s="2" t="str">
        <x:v>G081</x:v>
      </x:c>
      <x:c r="F795" s="2" t="str">
        <x:v>guardian081@example.invalid</x:v>
      </x:c>
      <x:c r="G795" s="2" t="str">
        <x:v>Email</x:v>
      </x:c>
      <x:c r="H795" s="2" t="str">
        <x:v>School receipt</x:v>
      </x:c>
      <x:c r="I795" s="8" t="n">
        <x:v>46300.27638888889</x:v>
      </x:c>
      <x:c r="J795" s="8" t="n">
        <x:v>46300.276412037034</x:v>
      </x:c>
      <x:c r="K795" s="8" t="n">
        <x:v>46300.27644675926</x:v>
      </x:c>
      <x:c r="L795" s="2" t="str">
        <x:v>Sent</x:v>
      </x:c>
      <x:c r="M795" s="2" t="n">
        <x:v>1</x:v>
      </x:c>
      <x:c r="N795" s="2"/>
      <x:c r="O795" s="2"/>
    </x:row>
    <x:row r="796" ht="21" customHeight="1">
      <x:c r="A796" s="2" t="str">
        <x:v>NT000795</x:v>
      </x:c>
      <x:c r="B796" s="2" t="str">
        <x:v>EV000797</x:v>
      </x:c>
      <x:c r="C796" s="2" t="str">
        <x:v>T20261005-1-3</x:v>
      </x:c>
      <x:c r="D796" s="2" t="str">
        <x:v>ST082</x:v>
      </x:c>
      <x:c r="E796" s="2" t="str">
        <x:v>G082</x:v>
      </x:c>
      <x:c r="F796" s="2" t="str">
        <x:v>guardian082@example.invalid</x:v>
      </x:c>
      <x:c r="G796" s="2" t="str">
        <x:v>Email</x:v>
      </x:c>
      <x:c r="H796" s="2" t="str">
        <x:v>Boarded</x:v>
      </x:c>
      <x:c r="I796" s="8" t="n">
        <x:v>46300.24725694444</x:v>
      </x:c>
      <x:c r="J796" s="8" t="n">
        <x:v>46300.24728009259</x:v>
      </x:c>
      <x:c r="K796" s="8" t="n">
        <x:v>46300.24731481481</x:v>
      </x:c>
      <x:c r="L796" s="2" t="str">
        <x:v>Sent</x:v>
      </x:c>
      <x:c r="M796" s="2" t="n">
        <x:v>1</x:v>
      </x:c>
      <x:c r="N796" s="2"/>
      <x:c r="O796" s="2"/>
    </x:row>
    <x:row r="797" ht="21" customHeight="1">
      <x:c r="A797" s="2" t="str">
        <x:v>NT000796</x:v>
      </x:c>
      <x:c r="B797" s="2" t="str">
        <x:v>EV000798</x:v>
      </x:c>
      <x:c r="C797" s="2" t="str">
        <x:v>T20261005-1-3</x:v>
      </x:c>
      <x:c r="D797" s="2" t="str">
        <x:v>ST082</x:v>
      </x:c>
      <x:c r="E797" s="2" t="str">
        <x:v>G082</x:v>
      </x:c>
      <x:c r="F797" s="2" t="str">
        <x:v>guardian082@example.invalid</x:v>
      </x:c>
      <x:c r="G797" s="2" t="str">
        <x:v>Email</x:v>
      </x:c>
      <x:c r="H797" s="2" t="str">
        <x:v>School receipt</x:v>
      </x:c>
      <x:c r="I797" s="8" t="n">
        <x:v>46300.27642361111</x:v>
      </x:c>
      <x:c r="J797" s="8" t="n">
        <x:v>46300.27644675926</x:v>
      </x:c>
      <x:c r="K797" s="8" t="n">
        <x:v>46300.27648148148</x:v>
      </x:c>
      <x:c r="L797" s="2" t="str">
        <x:v>Sent</x:v>
      </x:c>
      <x:c r="M797" s="2" t="n">
        <x:v>1</x:v>
      </x:c>
      <x:c r="N797" s="2"/>
      <x:c r="O797" s="2"/>
    </x:row>
    <x:row r="798" ht="21" customHeight="1">
      <x:c r="A798" s="2" t="str">
        <x:v>NT000797</x:v>
      </x:c>
      <x:c r="B798" s="2" t="str">
        <x:v>EV000799</x:v>
      </x:c>
      <x:c r="C798" s="2" t="str">
        <x:v>T20261005-1-3</x:v>
      </x:c>
      <x:c r="D798" s="2" t="str">
        <x:v>ST083</x:v>
      </x:c>
      <x:c r="E798" s="2" t="str">
        <x:v>G083</x:v>
      </x:c>
      <x:c r="F798" s="2" t="str">
        <x:v>guardian083@example.invalid</x:v>
      </x:c>
      <x:c r="G798" s="2" t="str">
        <x:v>Email</x:v>
      </x:c>
      <x:c r="H798" s="2" t="str">
        <x:v>Boarded</x:v>
      </x:c>
      <x:c r="I798" s="8" t="n">
        <x:v>46300.25215277778</x:v>
      </x:c>
      <x:c r="J798" s="8" t="n">
        <x:v>46300.252175925925</x:v>
      </x:c>
      <x:c r="K798" s="8" t="n">
        <x:v>46300.25221064815</x:v>
      </x:c>
      <x:c r="L798" s="2" t="str">
        <x:v>Sent</x:v>
      </x:c>
      <x:c r="M798" s="2" t="n">
        <x:v>1</x:v>
      </x:c>
      <x:c r="N798" s="2"/>
      <x:c r="O798" s="2"/>
    </x:row>
    <x:row r="799" ht="21" customHeight="1">
      <x:c r="A799" s="2" t="str">
        <x:v>NT000798</x:v>
      </x:c>
      <x:c r="B799" s="2" t="str">
        <x:v>EV000800</x:v>
      </x:c>
      <x:c r="C799" s="2" t="str">
        <x:v>T20261005-1-3</x:v>
      </x:c>
      <x:c r="D799" s="2" t="str">
        <x:v>ST083</x:v>
      </x:c>
      <x:c r="E799" s="2" t="str">
        <x:v>G083</x:v>
      </x:c>
      <x:c r="F799" s="2" t="str">
        <x:v>guardian083@example.invalid</x:v>
      </x:c>
      <x:c r="G799" s="2" t="str">
        <x:v>Email</x:v>
      </x:c>
      <x:c r="H799" s="2" t="str">
        <x:v>School receipt</x:v>
      </x:c>
      <x:c r="I799" s="8" t="n">
        <x:v>46300.276458333334</x:v>
      </x:c>
      <x:c r="J799" s="8" t="n">
        <x:v>46300.27648148148</x:v>
      </x:c>
      <x:c r="K799" s="8" t="n">
        <x:v>46300.2765162037</x:v>
      </x:c>
      <x:c r="L799" s="2" t="str">
        <x:v>Sent</x:v>
      </x:c>
      <x:c r="M799" s="2" t="n">
        <x:v>1</x:v>
      </x:c>
      <x:c r="N799" s="2"/>
      <x:c r="O799" s="2"/>
    </x:row>
    <x:row r="800" ht="21" customHeight="1">
      <x:c r="A800" s="2" t="str">
        <x:v>NT000799</x:v>
      </x:c>
      <x:c r="B800" s="2" t="str">
        <x:v>EV000801</x:v>
      </x:c>
      <x:c r="C800" s="2" t="str">
        <x:v>T20261005-1-3</x:v>
      </x:c>
      <x:c r="D800" s="2" t="str">
        <x:v>ST084</x:v>
      </x:c>
      <x:c r="E800" s="2" t="str">
        <x:v>G084</x:v>
      </x:c>
      <x:c r="F800" s="2" t="str">
        <x:v>guardian084@example.invalid</x:v>
      </x:c>
      <x:c r="G800" s="2" t="str">
        <x:v>Email</x:v>
      </x:c>
      <x:c r="H800" s="2" t="str">
        <x:v>Boarded</x:v>
      </x:c>
      <x:c r="I800" s="8" t="n">
        <x:v>46300.242465277785</x:v>
      </x:c>
      <x:c r="J800" s="8" t="n">
        <x:v>46300.24248842593</x:v>
      </x:c>
      <x:c r="K800" s="8" t="n">
        <x:v>46300.242523148154</x:v>
      </x:c>
      <x:c r="L800" s="2" t="str">
        <x:v>Sent</x:v>
      </x:c>
      <x:c r="M800" s="2" t="n">
        <x:v>1</x:v>
      </x:c>
      <x:c r="N800" s="2"/>
      <x:c r="O800" s="2"/>
    </x:row>
    <x:row r="801" ht="21" customHeight="1">
      <x:c r="A801" s="2" t="str">
        <x:v>NT000800</x:v>
      </x:c>
      <x:c r="B801" s="2" t="str">
        <x:v>EV000802</x:v>
      </x:c>
      <x:c r="C801" s="2" t="str">
        <x:v>T20261005-1-3</x:v>
      </x:c>
      <x:c r="D801" s="2" t="str">
        <x:v>ST084</x:v>
      </x:c>
      <x:c r="E801" s="2" t="str">
        <x:v>G084</x:v>
      </x:c>
      <x:c r="F801" s="2" t="str">
        <x:v>guardian084@example.invalid</x:v>
      </x:c>
      <x:c r="G801" s="2" t="str">
        <x:v>Email</x:v>
      </x:c>
      <x:c r="H801" s="2" t="str">
        <x:v>School receipt</x:v>
      </x:c>
      <x:c r="I801" s="8" t="n">
        <x:v>46300.27649305556</x:v>
      </x:c>
      <x:c r="J801" s="8" t="n">
        <x:v>46300.2765162037</x:v>
      </x:c>
      <x:c r="K801" s="8" t="n">
        <x:v>46300.276550925926</x:v>
      </x:c>
      <x:c r="L801" s="2" t="str">
        <x:v>Sent</x:v>
      </x:c>
      <x:c r="M801" s="2" t="n">
        <x:v>1</x:v>
      </x:c>
      <x:c r="N801" s="2"/>
      <x:c r="O801" s="2"/>
    </x:row>
    <x:row r="802" ht="21" customHeight="1">
      <x:c r="A802" s="2" t="str">
        <x:v>NT000801</x:v>
      </x:c>
      <x:c r="B802" s="2" t="str">
        <x:v>EV000803</x:v>
      </x:c>
      <x:c r="C802" s="2" t="str">
        <x:v>T20261005-1-3</x:v>
      </x:c>
      <x:c r="D802" s="2" t="str">
        <x:v>ST085</x:v>
      </x:c>
      <x:c r="E802" s="2" t="str">
        <x:v>G085</x:v>
      </x:c>
      <x:c r="F802" s="2" t="str">
        <x:v>guardian085@example.invalid</x:v>
      </x:c>
      <x:c r="G802" s="2" t="str">
        <x:v>Email</x:v>
      </x:c>
      <x:c r="H802" s="2" t="str">
        <x:v>Boarded</x:v>
      </x:c>
      <x:c r="I802" s="8" t="n">
        <x:v>46300.24736111111</x:v>
      </x:c>
      <x:c r="J802" s="8" t="n">
        <x:v>46300.24738425926</x:v>
      </x:c>
      <x:c r="K802" s="8" t="n">
        <x:v>46300.24741898148</x:v>
      </x:c>
      <x:c r="L802" s="2" t="str">
        <x:v>Sent</x:v>
      </x:c>
      <x:c r="M802" s="2" t="n">
        <x:v>1</x:v>
      </x:c>
      <x:c r="N802" s="2"/>
      <x:c r="O802" s="2"/>
    </x:row>
    <x:row r="803" ht="21" customHeight="1">
      <x:c r="A803" s="2" t="str">
        <x:v>NT000802</x:v>
      </x:c>
      <x:c r="B803" s="2" t="str">
        <x:v>EV000804</x:v>
      </x:c>
      <x:c r="C803" s="2" t="str">
        <x:v>T20261005-1-3</x:v>
      </x:c>
      <x:c r="D803" s="2" t="str">
        <x:v>ST085</x:v>
      </x:c>
      <x:c r="E803" s="2" t="str">
        <x:v>G085</x:v>
      </x:c>
      <x:c r="F803" s="2" t="str">
        <x:v>guardian085@example.invalid</x:v>
      </x:c>
      <x:c r="G803" s="2" t="str">
        <x:v>Email</x:v>
      </x:c>
      <x:c r="H803" s="2" t="str">
        <x:v>School receipt</x:v>
      </x:c>
      <x:c r="I803" s="8" t="n">
        <x:v>46300.27652777778</x:v>
      </x:c>
      <x:c r="J803" s="8" t="n">
        <x:v>46300.276550925926</x:v>
      </x:c>
      <x:c r="K803" s="8" t="n">
        <x:v>46300.27658564815</x:v>
      </x:c>
      <x:c r="L803" s="2" t="str">
        <x:v>Sent</x:v>
      </x:c>
      <x:c r="M803" s="2" t="n">
        <x:v>1</x:v>
      </x:c>
      <x:c r="N803" s="2"/>
      <x:c r="O803" s="2"/>
    </x:row>
    <x:row r="804" ht="21" customHeight="1">
      <x:c r="A804" s="2" t="str">
        <x:v>NT000803</x:v>
      </x:c>
      <x:c r="B804" s="2" t="str">
        <x:v>EV000805</x:v>
      </x:c>
      <x:c r="C804" s="2" t="str">
        <x:v>T20261005-1-3</x:v>
      </x:c>
      <x:c r="D804" s="2" t="str">
        <x:v>ST086</x:v>
      </x:c>
      <x:c r="E804" s="2" t="str">
        <x:v>G086</x:v>
      </x:c>
      <x:c r="F804" s="2" t="str">
        <x:v>guardian086@example.invalid</x:v>
      </x:c>
      <x:c r="G804" s="2" t="str">
        <x:v>Email</x:v>
      </x:c>
      <x:c r="H804" s="2" t="str">
        <x:v>Boarded</x:v>
      </x:c>
      <x:c r="I804" s="8" t="n">
        <x:v>46300.25225694444</x:v>
      </x:c>
      <x:c r="J804" s="8" t="n">
        <x:v>46300.25228009259</x:v>
      </x:c>
      <x:c r="K804" s="8" t="n">
        <x:v>46300.25231481481</x:v>
      </x:c>
      <x:c r="L804" s="2" t="str">
        <x:v>Sent</x:v>
      </x:c>
      <x:c r="M804" s="2" t="n">
        <x:v>1</x:v>
      </x:c>
      <x:c r="N804" s="2"/>
      <x:c r="O804" s="2"/>
    </x:row>
    <x:row r="805" ht="21" customHeight="1">
      <x:c r="A805" s="2" t="str">
        <x:v>NT000804</x:v>
      </x:c>
      <x:c r="B805" s="2" t="str">
        <x:v>EV000806</x:v>
      </x:c>
      <x:c r="C805" s="2" t="str">
        <x:v>T20261005-1-3</x:v>
      </x:c>
      <x:c r="D805" s="2" t="str">
        <x:v>ST086</x:v>
      </x:c>
      <x:c r="E805" s="2" t="str">
        <x:v>G086</x:v>
      </x:c>
      <x:c r="F805" s="2" t="str">
        <x:v>guardian086@example.invalid</x:v>
      </x:c>
      <x:c r="G805" s="2" t="str">
        <x:v>Email</x:v>
      </x:c>
      <x:c r="H805" s="2" t="str">
        <x:v>School receipt</x:v>
      </x:c>
      <x:c r="I805" s="8" t="n">
        <x:v>46300.276562499996</x:v>
      </x:c>
      <x:c r="J805" s="8" t="n">
        <x:v>46300.27658564814</x:v>
      </x:c>
      <x:c r="K805" s="8" t="n">
        <x:v>46300.276620370365</x:v>
      </x:c>
      <x:c r="L805" s="2" t="str">
        <x:v>Sent</x:v>
      </x:c>
      <x:c r="M805" s="2" t="n">
        <x:v>1</x:v>
      </x:c>
      <x:c r="N805" s="2"/>
      <x:c r="O805" s="2"/>
    </x:row>
    <x:row r="806" ht="21" customHeight="1">
      <x:c r="A806" s="2" t="str">
        <x:v>NT000805</x:v>
      </x:c>
      <x:c r="B806" s="2" t="str">
        <x:v>EV000807</x:v>
      </x:c>
      <x:c r="C806" s="2" t="str">
        <x:v>T20261005-1-3</x:v>
      </x:c>
      <x:c r="D806" s="2" t="str">
        <x:v>ST087</x:v>
      </x:c>
      <x:c r="E806" s="2" t="str">
        <x:v>G087</x:v>
      </x:c>
      <x:c r="F806" s="2" t="str">
        <x:v>guardian087@example.invalid</x:v>
      </x:c>
      <x:c r="G806" s="2" t="str">
        <x:v>Email</x:v>
      </x:c>
      <x:c r="H806" s="2" t="str">
        <x:v>Boarded</x:v>
      </x:c>
      <x:c r="I806" s="8" t="n">
        <x:v>46300.24256944445</x:v>
      </x:c>
      <x:c r="J806" s="8" t="n">
        <x:v>46300.24259259259</x:v>
      </x:c>
      <x:c r="K806" s="8" t="n">
        <x:v>46300.242627314816</x:v>
      </x:c>
      <x:c r="L806" s="2" t="str">
        <x:v>Sent</x:v>
      </x:c>
      <x:c r="M806" s="2" t="n">
        <x:v>1</x:v>
      </x:c>
      <x:c r="N806" s="2"/>
      <x:c r="O806" s="2"/>
    </x:row>
    <x:row r="807" ht="21" customHeight="1">
      <x:c r="A807" s="2" t="str">
        <x:v>NT000806</x:v>
      </x:c>
      <x:c r="B807" s="2" t="str">
        <x:v>EV000808</x:v>
      </x:c>
      <x:c r="C807" s="2" t="str">
        <x:v>T20261005-1-3</x:v>
      </x:c>
      <x:c r="D807" s="2" t="str">
        <x:v>ST087</x:v>
      </x:c>
      <x:c r="E807" s="2" t="str">
        <x:v>G087</x:v>
      </x:c>
      <x:c r="F807" s="2" t="str">
        <x:v>guardian087@example.invalid</x:v>
      </x:c>
      <x:c r="G807" s="2" t="str">
        <x:v>Email</x:v>
      </x:c>
      <x:c r="H807" s="2" t="str">
        <x:v>School receipt</x:v>
      </x:c>
      <x:c r="I807" s="8" t="n">
        <x:v>46300.27659722222</x:v>
      </x:c>
      <x:c r="J807" s="8" t="n">
        <x:v>46300.276620370365</x:v>
      </x:c>
      <x:c r="K807" s="8" t="n">
        <x:v>46300.27665509259</x:v>
      </x:c>
      <x:c r="L807" s="2" t="str">
        <x:v>Sent</x:v>
      </x:c>
      <x:c r="M807" s="2" t="n">
        <x:v>1</x:v>
      </x:c>
      <x:c r="N807" s="2"/>
      <x:c r="O807" s="2"/>
    </x:row>
    <x:row r="808" ht="21" customHeight="1">
      <x:c r="A808" s="2" t="str">
        <x:v>NT000807</x:v>
      </x:c>
      <x:c r="B808" s="2" t="str">
        <x:v>EV000809</x:v>
      </x:c>
      <x:c r="C808" s="2" t="str">
        <x:v>T20261005-1-3</x:v>
      </x:c>
      <x:c r="D808" s="2" t="str">
        <x:v>ST088</x:v>
      </x:c>
      <x:c r="E808" s="2" t="str">
        <x:v>G088</x:v>
      </x:c>
      <x:c r="F808" s="2" t="str">
        <x:v>guardian088@example.invalid</x:v>
      </x:c>
      <x:c r="G808" s="2" t="str">
        <x:v>Email</x:v>
      </x:c>
      <x:c r="H808" s="2" t="str">
        <x:v>Boarded</x:v>
      </x:c>
      <x:c r="I808" s="8" t="n">
        <x:v>46300.247465277775</x:v>
      </x:c>
      <x:c r="J808" s="8" t="n">
        <x:v>46300.24748842592</x:v>
      </x:c>
      <x:c r="K808" s="8" t="n">
        <x:v>46300.247523148144</x:v>
      </x:c>
      <x:c r="L808" s="2" t="str">
        <x:v>Sent</x:v>
      </x:c>
      <x:c r="M808" s="2" t="n">
        <x:v>1</x:v>
      </x:c>
      <x:c r="N808" s="2"/>
      <x:c r="O808" s="2"/>
    </x:row>
    <x:row r="809" ht="21" customHeight="1">
      <x:c r="A809" s="2" t="str">
        <x:v>NT000808</x:v>
      </x:c>
      <x:c r="B809" s="2" t="str">
        <x:v>EV000810</x:v>
      </x:c>
      <x:c r="C809" s="2" t="str">
        <x:v>T20261005-1-3</x:v>
      </x:c>
      <x:c r="D809" s="2" t="str">
        <x:v>ST088</x:v>
      </x:c>
      <x:c r="E809" s="2" t="str">
        <x:v>G088</x:v>
      </x:c>
      <x:c r="F809" s="2" t="str">
        <x:v>guardian088@example.invalid</x:v>
      </x:c>
      <x:c r="G809" s="2" t="str">
        <x:v>Email</x:v>
      </x:c>
      <x:c r="H809" s="2" t="str">
        <x:v>School receipt</x:v>
      </x:c>
      <x:c r="I809" s="8" t="n">
        <x:v>46300.27663194444</x:v>
      </x:c>
      <x:c r="J809" s="8" t="n">
        <x:v>46300.27665509259</x:v>
      </x:c>
      <x:c r="K809" s="8" t="n">
        <x:v>46300.27668981481</x:v>
      </x:c>
      <x:c r="L809" s="2" t="str">
        <x:v>Sent</x:v>
      </x:c>
      <x:c r="M809" s="2" t="n">
        <x:v>1</x:v>
      </x:c>
      <x:c r="N809" s="2"/>
      <x:c r="O809" s="2"/>
    </x:row>
    <x:row r="810" ht="21" customHeight="1">
      <x:c r="A810" s="2" t="str">
        <x:v>NT000809</x:v>
      </x:c>
      <x:c r="B810" s="2" t="str">
        <x:v>EV000811</x:v>
      </x:c>
      <x:c r="C810" s="2" t="str">
        <x:v>T20261005-1-3</x:v>
      </x:c>
      <x:c r="D810" s="2" t="str">
        <x:v>ST089</x:v>
      </x:c>
      <x:c r="E810" s="2" t="str">
        <x:v>G089</x:v>
      </x:c>
      <x:c r="F810" s="2" t="str">
        <x:v>guardian089@example.invalid</x:v>
      </x:c>
      <x:c r="G810" s="2" t="str">
        <x:v>Email</x:v>
      </x:c>
      <x:c r="H810" s="2" t="str">
        <x:v>Boarded</x:v>
      </x:c>
      <x:c r="I810" s="8" t="n">
        <x:v>46300.25236111111</x:v>
      </x:c>
      <x:c r="J810" s="8" t="n">
        <x:v>46300.252384259256</x:v>
      </x:c>
      <x:c r="K810" s="8" t="n">
        <x:v>46300.25241898148</x:v>
      </x:c>
      <x:c r="L810" s="2" t="str">
        <x:v>Sent</x:v>
      </x:c>
      <x:c r="M810" s="2" t="n">
        <x:v>1</x:v>
      </x:c>
      <x:c r="N810" s="2"/>
      <x:c r="O810" s="2"/>
    </x:row>
    <x:row r="811" ht="21" customHeight="1">
      <x:c r="A811" s="2" t="str">
        <x:v>NT000810</x:v>
      </x:c>
      <x:c r="B811" s="2" t="str">
        <x:v>EV000812</x:v>
      </x:c>
      <x:c r="C811" s="2" t="str">
        <x:v>T20261005-1-3</x:v>
      </x:c>
      <x:c r="D811" s="2" t="str">
        <x:v>ST089</x:v>
      </x:c>
      <x:c r="E811" s="2" t="str">
        <x:v>G089</x:v>
      </x:c>
      <x:c r="F811" s="2" t="str">
        <x:v>guardian089@example.invalid</x:v>
      </x:c>
      <x:c r="G811" s="2" t="str">
        <x:v>Email</x:v>
      </x:c>
      <x:c r="H811" s="2" t="str">
        <x:v>School receipt</x:v>
      </x:c>
      <x:c r="I811" s="8" t="n">
        <x:v>46300.276666666665</x:v>
      </x:c>
      <x:c r="J811" s="8" t="n">
        <x:v>46300.27668981481</x:v>
      </x:c>
      <x:c r="K811" s="8" t="n">
        <x:v>46300.276724537034</x:v>
      </x:c>
      <x:c r="L811" s="2" t="str">
        <x:v>Sent</x:v>
      </x:c>
      <x:c r="M811" s="2" t="n">
        <x:v>1</x:v>
      </x:c>
      <x:c r="N811" s="2"/>
      <x:c r="O811" s="2"/>
    </x:row>
    <x:row r="812" ht="21" customHeight="1">
      <x:c r="A812" s="2" t="str">
        <x:v>NT000811</x:v>
      </x:c>
      <x:c r="B812" s="2" t="str">
        <x:v>EV000813</x:v>
      </x:c>
      <x:c r="C812" s="2" t="str">
        <x:v>T20261005-1-3</x:v>
      </x:c>
      <x:c r="D812" s="2" t="str">
        <x:v>ST090</x:v>
      </x:c>
      <x:c r="E812" s="2" t="str">
        <x:v>G090</x:v>
      </x:c>
      <x:c r="F812" s="2" t="str">
        <x:v>guardian090@example.invalid</x:v>
      </x:c>
      <x:c r="G812" s="2" t="str">
        <x:v>Email</x:v>
      </x:c>
      <x:c r="H812" s="2" t="str">
        <x:v>Boarded</x:v>
      </x:c>
      <x:c r="I812" s="8" t="n">
        <x:v>46300.242673611116</x:v>
      </x:c>
      <x:c r="J812" s="8" t="n">
        <x:v>46300.24269675926</x:v>
      </x:c>
      <x:c r="K812" s="8" t="n">
        <x:v>46300.242731481485</x:v>
      </x:c>
      <x:c r="L812" s="2" t="str">
        <x:v>Sent</x:v>
      </x:c>
      <x:c r="M812" s="2" t="n">
        <x:v>1</x:v>
      </x:c>
      <x:c r="N812" s="2"/>
      <x:c r="O812" s="2"/>
    </x:row>
    <x:row r="813" ht="21" customHeight="1">
      <x:c r="A813" s="2" t="str">
        <x:v>NT000812</x:v>
      </x:c>
      <x:c r="B813" s="2" t="str">
        <x:v>EV000814</x:v>
      </x:c>
      <x:c r="C813" s="2" t="str">
        <x:v>T20261005-1-3</x:v>
      </x:c>
      <x:c r="D813" s="2" t="str">
        <x:v>ST090</x:v>
      </x:c>
      <x:c r="E813" s="2" t="str">
        <x:v>G090</x:v>
      </x:c>
      <x:c r="F813" s="2" t="str">
        <x:v>guardian090@example.invalid</x:v>
      </x:c>
      <x:c r="G813" s="2" t="str">
        <x:v>Email</x:v>
      </x:c>
      <x:c r="H813" s="2" t="str">
        <x:v>School receipt</x:v>
      </x:c>
      <x:c r="I813" s="8" t="n">
        <x:v>46300.27670138889</x:v>
      </x:c>
      <x:c r="J813" s="8" t="n">
        <x:v>46300.276724537034</x:v>
      </x:c>
      <x:c r="K813" s="8" t="n">
        <x:v>46300.27675925926</x:v>
      </x:c>
      <x:c r="L813" s="2" t="str">
        <x:v>Sent</x:v>
      </x:c>
      <x:c r="M813" s="2" t="n">
        <x:v>1</x:v>
      </x:c>
      <x:c r="N813" s="2"/>
      <x:c r="O813" s="2"/>
    </x:row>
    <x:row r="814" ht="21" customHeight="1">
      <x:c r="A814" s="2" t="str">
        <x:v>NT000813</x:v>
      </x:c>
      <x:c r="B814" s="2" t="str">
        <x:v>EV000815</x:v>
      </x:c>
      <x:c r="C814" s="2" t="str">
        <x:v>T20261005-1-3</x:v>
      </x:c>
      <x:c r="D814" s="2" t="str">
        <x:v>ST091</x:v>
      </x:c>
      <x:c r="E814" s="2" t="str">
        <x:v>G091</x:v>
      </x:c>
      <x:c r="F814" s="2" t="str">
        <x:v>guardian091@example.invalid</x:v>
      </x:c>
      <x:c r="G814" s="2" t="str">
        <x:v>Email</x:v>
      </x:c>
      <x:c r="H814" s="2" t="str">
        <x:v>Boarded</x:v>
      </x:c>
      <x:c r="I814" s="8" t="n">
        <x:v>46300.24722222222</x:v>
      </x:c>
      <x:c r="J814" s="8" t="n">
        <x:v>46300.24724537037</x:v>
      </x:c>
      <x:c r="K814" s="8" t="n">
        <x:v>46300.24728009259</x:v>
      </x:c>
      <x:c r="L814" s="2" t="str">
        <x:v>Sent</x:v>
      </x:c>
      <x:c r="M814" s="2" t="n">
        <x:v>1</x:v>
      </x:c>
      <x:c r="N814" s="2"/>
      <x:c r="O814" s="2"/>
    </x:row>
    <x:row r="815" ht="21" customHeight="1">
      <x:c r="A815" s="2" t="str">
        <x:v>NT000814</x:v>
      </x:c>
      <x:c r="B815" s="2" t="str">
        <x:v>EV000816</x:v>
      </x:c>
      <x:c r="C815" s="2" t="str">
        <x:v>T20261005-1-3</x:v>
      </x:c>
      <x:c r="D815" s="2" t="str">
        <x:v>ST091</x:v>
      </x:c>
      <x:c r="E815" s="2" t="str">
        <x:v>G091</x:v>
      </x:c>
      <x:c r="F815" s="2" t="str">
        <x:v>guardian091@example.invalid</x:v>
      </x:c>
      <x:c r="G815" s="2" t="str">
        <x:v>Email</x:v>
      </x:c>
      <x:c r="H815" s="2" t="str">
        <x:v>School receipt</x:v>
      </x:c>
      <x:c r="I815" s="8" t="n">
        <x:v>46300.27673611111</x:v>
      </x:c>
      <x:c r="J815" s="8" t="n">
        <x:v>46300.27675925926</x:v>
      </x:c>
      <x:c r="K815" s="8" t="n">
        <x:v>46300.27679398148</x:v>
      </x:c>
      <x:c r="L815" s="2" t="str">
        <x:v>Sent</x:v>
      </x:c>
      <x:c r="M815" s="2" t="n">
        <x:v>1</x:v>
      </x:c>
      <x:c r="N815" s="2"/>
      <x:c r="O815" s="2"/>
    </x:row>
    <x:row r="816" ht="21" customHeight="1">
      <x:c r="A816" s="2" t="str">
        <x:v>NT000815</x:v>
      </x:c>
      <x:c r="B816" s="2" t="str">
        <x:v>EV000817</x:v>
      </x:c>
      <x:c r="C816" s="2" t="str">
        <x:v>T20261005-1-3</x:v>
      </x:c>
      <x:c r="D816" s="2" t="str">
        <x:v>ST092</x:v>
      </x:c>
      <x:c r="E816" s="2" t="str">
        <x:v>G092</x:v>
      </x:c>
      <x:c r="F816" s="2" t="str">
        <x:v>guardian092@example.invalid</x:v>
      </x:c>
      <x:c r="G816" s="2" t="str">
        <x:v>Email</x:v>
      </x:c>
      <x:c r="H816" s="2" t="str">
        <x:v>Boarded</x:v>
      </x:c>
      <x:c r="I816" s="8" t="n">
        <x:v>46300.252118055556</x:v>
      </x:c>
      <x:c r="J816" s="8" t="n">
        <x:v>46300.2521412037</x:v>
      </x:c>
      <x:c r="K816" s="8" t="n">
        <x:v>46300.252175925925</x:v>
      </x:c>
      <x:c r="L816" s="2" t="str">
        <x:v>Sent</x:v>
      </x:c>
      <x:c r="M816" s="2" t="n">
        <x:v>1</x:v>
      </x:c>
      <x:c r="N816" s="2"/>
      <x:c r="O816" s="2"/>
    </x:row>
    <x:row r="817" ht="21" customHeight="1">
      <x:c r="A817" s="2" t="str">
        <x:v>NT000816</x:v>
      </x:c>
      <x:c r="B817" s="2" t="str">
        <x:v>EV000818</x:v>
      </x:c>
      <x:c r="C817" s="2" t="str">
        <x:v>T20261005-1-3</x:v>
      </x:c>
      <x:c r="D817" s="2" t="str">
        <x:v>ST092</x:v>
      </x:c>
      <x:c r="E817" s="2" t="str">
        <x:v>G092</x:v>
      </x:c>
      <x:c r="F817" s="2" t="str">
        <x:v>guardian092@example.invalid</x:v>
      </x:c>
      <x:c r="G817" s="2" t="str">
        <x:v>Email</x:v>
      </x:c>
      <x:c r="H817" s="2" t="str">
        <x:v>School receipt</x:v>
      </x:c>
      <x:c r="I817" s="8" t="n">
        <x:v>46300.276770833334</x:v>
      </x:c>
      <x:c r="J817" s="8" t="n">
        <x:v>46300.27679398148</x:v>
      </x:c>
      <x:c r="K817" s="8" t="n">
        <x:v>46300.2768287037</x:v>
      </x:c>
      <x:c r="L817" s="2" t="str">
        <x:v>Sent</x:v>
      </x:c>
      <x:c r="M817" s="2" t="n">
        <x:v>1</x:v>
      </x:c>
      <x:c r="N817" s="2"/>
      <x:c r="O817" s="2"/>
    </x:row>
    <x:row r="818" ht="21" customHeight="1">
      <x:c r="A818" s="2" t="str">
        <x:v>NT000817</x:v>
      </x:c>
      <x:c r="B818" s="2" t="str">
        <x:v>EV000819</x:v>
      </x:c>
      <x:c r="C818" s="2" t="str">
        <x:v>T20261005-1-3</x:v>
      </x:c>
      <x:c r="D818" s="2" t="str">
        <x:v>ST093</x:v>
      </x:c>
      <x:c r="E818" s="2" t="str">
        <x:v>G093</x:v>
      </x:c>
      <x:c r="F818" s="2" t="str">
        <x:v>guardian093@example.invalid</x:v>
      </x:c>
      <x:c r="G818" s="2" t="str">
        <x:v>Email</x:v>
      </x:c>
      <x:c r="H818" s="2" t="str">
        <x:v>Boarded</x:v>
      </x:c>
      <x:c r="I818" s="8" t="n">
        <x:v>46300.24243055556</x:v>
      </x:c>
      <x:c r="J818" s="8" t="n">
        <x:v>46300.24245370371</x:v>
      </x:c>
      <x:c r="K818" s="8" t="n">
        <x:v>46300.24248842593</x:v>
      </x:c>
      <x:c r="L818" s="2" t="str">
        <x:v>Sent</x:v>
      </x:c>
      <x:c r="M818" s="2" t="n">
        <x:v>1</x:v>
      </x:c>
      <x:c r="N818" s="2"/>
      <x:c r="O818" s="2"/>
    </x:row>
    <x:row r="819" ht="21" customHeight="1">
      <x:c r="A819" s="2" t="str">
        <x:v>NT000818</x:v>
      </x:c>
      <x:c r="B819" s="2" t="str">
        <x:v>EV000820</x:v>
      </x:c>
      <x:c r="C819" s="2" t="str">
        <x:v>T20261005-1-3</x:v>
      </x:c>
      <x:c r="D819" s="2" t="str">
        <x:v>ST093</x:v>
      </x:c>
      <x:c r="E819" s="2" t="str">
        <x:v>G093</x:v>
      </x:c>
      <x:c r="F819" s="2" t="str">
        <x:v>guardian093@example.invalid</x:v>
      </x:c>
      <x:c r="G819" s="2" t="str">
        <x:v>Email</x:v>
      </x:c>
      <x:c r="H819" s="2" t="str">
        <x:v>School receipt</x:v>
      </x:c>
      <x:c r="I819" s="8" t="n">
        <x:v>46300.27680555556</x:v>
      </x:c>
      <x:c r="J819" s="8" t="n">
        <x:v>46300.2768287037</x:v>
      </x:c>
      <x:c r="K819" s="8" t="n">
        <x:v>46300.27686342593</x:v>
      </x:c>
      <x:c r="L819" s="2" t="str">
        <x:v>Sent</x:v>
      </x:c>
      <x:c r="M819" s="2" t="n">
        <x:v>1</x:v>
      </x:c>
      <x:c r="N819" s="2"/>
      <x:c r="O819" s="2"/>
    </x:row>
    <x:row r="820" ht="21" customHeight="1">
      <x:c r="A820" s="2" t="str">
        <x:v>NT000819</x:v>
      </x:c>
      <x:c r="B820" s="2" t="str">
        <x:v>EV000821</x:v>
      </x:c>
      <x:c r="C820" s="2" t="str">
        <x:v>T20261005-1-3</x:v>
      </x:c>
      <x:c r="D820" s="2" t="str">
        <x:v>ST094</x:v>
      </x:c>
      <x:c r="E820" s="2" t="str">
        <x:v>G094</x:v>
      </x:c>
      <x:c r="F820" s="2" t="str">
        <x:v>guardian094@example.invalid</x:v>
      </x:c>
      <x:c r="G820" s="2" t="str">
        <x:v>Email</x:v>
      </x:c>
      <x:c r="H820" s="2" t="str">
        <x:v>Boarded</x:v>
      </x:c>
      <x:c r="I820" s="8" t="n">
        <x:v>46300.24732638889</x:v>
      </x:c>
      <x:c r="J820" s="8" t="n">
        <x:v>46300.247349537036</x:v>
      </x:c>
      <x:c r="K820" s="8" t="n">
        <x:v>46300.24738425926</x:v>
      </x:c>
      <x:c r="L820" s="2" t="str">
        <x:v>Sent</x:v>
      </x:c>
      <x:c r="M820" s="2" t="n">
        <x:v>1</x:v>
      </x:c>
      <x:c r="N820" s="2"/>
      <x:c r="O820" s="2"/>
    </x:row>
    <x:row r="821" ht="21" customHeight="1">
      <x:c r="A821" s="2" t="str">
        <x:v>NT000820</x:v>
      </x:c>
      <x:c r="B821" s="2" t="str">
        <x:v>EV000822</x:v>
      </x:c>
      <x:c r="C821" s="2" t="str">
        <x:v>T20261005-1-3</x:v>
      </x:c>
      <x:c r="D821" s="2" t="str">
        <x:v>ST094</x:v>
      </x:c>
      <x:c r="E821" s="2" t="str">
        <x:v>G094</x:v>
      </x:c>
      <x:c r="F821" s="2" t="str">
        <x:v>guardian094@example.invalid</x:v>
      </x:c>
      <x:c r="G821" s="2" t="str">
        <x:v>Email</x:v>
      </x:c>
      <x:c r="H821" s="2" t="str">
        <x:v>School receipt</x:v>
      </x:c>
      <x:c r="I821" s="8" t="n">
        <x:v>46300.27684027777</x:v>
      </x:c>
      <x:c r="J821" s="8" t="n">
        <x:v>46300.27686342592</x:v>
      </x:c>
      <x:c r="K821" s="8" t="n">
        <x:v>46300.27689814814</x:v>
      </x:c>
      <x:c r="L821" s="2" t="str">
        <x:v>Sent</x:v>
      </x:c>
      <x:c r="M821" s="2" t="n">
        <x:v>1</x:v>
      </x:c>
      <x:c r="N821" s="2"/>
      <x:c r="O821" s="2"/>
    </x:row>
    <x:row r="822" ht="21" customHeight="1">
      <x:c r="A822" s="2" t="str">
        <x:v>NT000821</x:v>
      </x:c>
      <x:c r="B822" s="2" t="str">
        <x:v>EV000823</x:v>
      </x:c>
      <x:c r="C822" s="2" t="str">
        <x:v>T20261005-1-3</x:v>
      </x:c>
      <x:c r="D822" s="2" t="str">
        <x:v>ST095</x:v>
      </x:c>
      <x:c r="E822" s="2" t="str">
        <x:v>G095</x:v>
      </x:c>
      <x:c r="F822" s="2" t="str">
        <x:v>guardian095@example.invalid</x:v>
      </x:c>
      <x:c r="G822" s="2" t="str">
        <x:v>Email</x:v>
      </x:c>
      <x:c r="H822" s="2" t="str">
        <x:v>Boarded</x:v>
      </x:c>
      <x:c r="I822" s="8" t="n">
        <x:v>46300.252222222225</x:v>
      </x:c>
      <x:c r="J822" s="8" t="n">
        <x:v>46300.25224537037</x:v>
      </x:c>
      <x:c r="K822" s="8" t="n">
        <x:v>46300.252280092594</x:v>
      </x:c>
      <x:c r="L822" s="2" t="str">
        <x:v>Sent</x:v>
      </x:c>
      <x:c r="M822" s="2" t="n">
        <x:v>1</x:v>
      </x:c>
      <x:c r="N822" s="2"/>
      <x:c r="O822" s="2"/>
    </x:row>
    <x:row r="823" ht="21" customHeight="1">
      <x:c r="A823" s="2" t="str">
        <x:v>NT000822</x:v>
      </x:c>
      <x:c r="B823" s="2" t="str">
        <x:v>EV000824</x:v>
      </x:c>
      <x:c r="C823" s="2" t="str">
        <x:v>T20261005-1-3</x:v>
      </x:c>
      <x:c r="D823" s="2" t="str">
        <x:v>ST095</x:v>
      </x:c>
      <x:c r="E823" s="2" t="str">
        <x:v>G095</x:v>
      </x:c>
      <x:c r="F823" s="2" t="str">
        <x:v>guardian095@example.invalid</x:v>
      </x:c>
      <x:c r="G823" s="2" t="str">
        <x:v>Email</x:v>
      </x:c>
      <x:c r="H823" s="2" t="str">
        <x:v>School receipt</x:v>
      </x:c>
      <x:c r="I823" s="8" t="n">
        <x:v>46300.276874999996</x:v>
      </x:c>
      <x:c r="J823" s="8" t="n">
        <x:v>46300.27689814814</x:v>
      </x:c>
      <x:c r="K823" s="8" t="n">
        <x:v>46300.276932870365</x:v>
      </x:c>
      <x:c r="L823" s="2" t="str">
        <x:v>Sent</x:v>
      </x:c>
      <x:c r="M823" s="2" t="n">
        <x:v>1</x:v>
      </x:c>
      <x:c r="N823" s="2"/>
      <x:c r="O823" s="2"/>
    </x:row>
    <x:row r="824" ht="21" customHeight="1">
      <x:c r="A824" s="2" t="str">
        <x:v>NT000823</x:v>
      </x:c>
      <x:c r="B824" s="2" t="str">
        <x:v>EV000825</x:v>
      </x:c>
      <x:c r="C824" s="2" t="str">
        <x:v>T20261005-1-3</x:v>
      </x:c>
      <x:c r="D824" s="2" t="str">
        <x:v>ST096</x:v>
      </x:c>
      <x:c r="E824" s="2" t="str">
        <x:v>G096</x:v>
      </x:c>
      <x:c r="F824" s="2" t="str">
        <x:v>guardian096@example.invalid</x:v>
      </x:c>
      <x:c r="G824" s="2" t="str">
        <x:v>Email</x:v>
      </x:c>
      <x:c r="H824" s="2" t="str">
        <x:v>Boarded</x:v>
      </x:c>
      <x:c r="I824" s="8" t="n">
        <x:v>46300.24253472222</x:v>
      </x:c>
      <x:c r="J824" s="8" t="n">
        <x:v>46300.24255787037</x:v>
      </x:c>
      <x:c r="K824" s="8" t="n">
        <x:v>46300.24259259259</x:v>
      </x:c>
      <x:c r="L824" s="2" t="str">
        <x:v>Sent</x:v>
      </x:c>
      <x:c r="M824" s="2" t="n">
        <x:v>1</x:v>
      </x:c>
      <x:c r="N824" s="2"/>
      <x:c r="O824" s="2"/>
    </x:row>
    <x:row r="825" ht="21" customHeight="1">
      <x:c r="A825" s="2" t="str">
        <x:v>NT000824</x:v>
      </x:c>
      <x:c r="B825" s="2" t="str">
        <x:v>EV000826</x:v>
      </x:c>
      <x:c r="C825" s="2" t="str">
        <x:v>T20261005-1-3</x:v>
      </x:c>
      <x:c r="D825" s="2" t="str">
        <x:v>ST096</x:v>
      </x:c>
      <x:c r="E825" s="2" t="str">
        <x:v>G096</x:v>
      </x:c>
      <x:c r="F825" s="2" t="str">
        <x:v>guardian096@example.invalid</x:v>
      </x:c>
      <x:c r="G825" s="2" t="str">
        <x:v>Email</x:v>
      </x:c>
      <x:c r="H825" s="2" t="str">
        <x:v>School receipt</x:v>
      </x:c>
      <x:c r="I825" s="8" t="n">
        <x:v>46300.27690972222</x:v>
      </x:c>
      <x:c r="J825" s="8" t="n">
        <x:v>46300.276932870365</x:v>
      </x:c>
      <x:c r="K825" s="8" t="n">
        <x:v>46300.27696759259</x:v>
      </x:c>
      <x:c r="L825" s="2" t="str">
        <x:v>Sent</x:v>
      </x:c>
      <x:c r="M825" s="2" t="n">
        <x:v>1</x:v>
      </x:c>
      <x:c r="N825" s="2"/>
      <x:c r="O825" s="2"/>
    </x:row>
    <x:row r="826" ht="21" customHeight="1">
      <x:c r="A826" s="2" t="str">
        <x:v>NT000825</x:v>
      </x:c>
      <x:c r="B826" s="2" t="str">
        <x:v>EV000827</x:v>
      </x:c>
      <x:c r="C826" s="2" t="str">
        <x:v>T20261005-1-3</x:v>
      </x:c>
      <x:c r="D826" s="2" t="str">
        <x:v>ST097</x:v>
      </x:c>
      <x:c r="E826" s="2" t="str">
        <x:v>G097</x:v>
      </x:c>
      <x:c r="F826" s="2" t="str">
        <x:v>guardian097@example.invalid</x:v>
      </x:c>
      <x:c r="G826" s="2" t="str">
        <x:v>Email</x:v>
      </x:c>
      <x:c r="H826" s="2" t="str">
        <x:v>Boarded</x:v>
      </x:c>
      <x:c r="I826" s="8" t="n">
        <x:v>46300.24743055555</x:v>
      </x:c>
      <x:c r="J826" s="8" t="n">
        <x:v>46300.2474537037</x:v>
      </x:c>
      <x:c r="K826" s="8" t="n">
        <x:v>46300.24748842592</x:v>
      </x:c>
      <x:c r="L826" s="2" t="str">
        <x:v>Sent</x:v>
      </x:c>
      <x:c r="M826" s="2" t="n">
        <x:v>1</x:v>
      </x:c>
      <x:c r="N826" s="2"/>
      <x:c r="O826" s="2"/>
    </x:row>
    <x:row r="827" ht="21" customHeight="1">
      <x:c r="A827" s="2" t="str">
        <x:v>NT000826</x:v>
      </x:c>
      <x:c r="B827" s="2" t="str">
        <x:v>EV000828</x:v>
      </x:c>
      <x:c r="C827" s="2" t="str">
        <x:v>T20261005-1-3</x:v>
      </x:c>
      <x:c r="D827" s="2" t="str">
        <x:v>ST097</x:v>
      </x:c>
      <x:c r="E827" s="2" t="str">
        <x:v>G097</x:v>
      </x:c>
      <x:c r="F827" s="2" t="str">
        <x:v>guardian097@example.invalid</x:v>
      </x:c>
      <x:c r="G827" s="2" t="str">
        <x:v>Email</x:v>
      </x:c>
      <x:c r="H827" s="2" t="str">
        <x:v>School receipt</x:v>
      </x:c>
      <x:c r="I827" s="8" t="n">
        <x:v>46300.27694444444</x:v>
      </x:c>
      <x:c r="J827" s="8" t="n">
        <x:v>46300.27696759259</x:v>
      </x:c>
      <x:c r="K827" s="8" t="n">
        <x:v>46300.27700231481</x:v>
      </x:c>
      <x:c r="L827" s="2" t="str">
        <x:v>Sent</x:v>
      </x:c>
      <x:c r="M827" s="2" t="n">
        <x:v>1</x:v>
      </x:c>
      <x:c r="N827" s="2"/>
      <x:c r="O827" s="2"/>
    </x:row>
    <x:row r="828" ht="21" customHeight="1">
      <x:c r="A828" s="2" t="str">
        <x:v>NT000827</x:v>
      </x:c>
      <x:c r="B828" s="2" t="str">
        <x:v>EV000829</x:v>
      </x:c>
      <x:c r="C828" s="2" t="str">
        <x:v>T20261005-1-3</x:v>
      </x:c>
      <x:c r="D828" s="2" t="str">
        <x:v>ST098</x:v>
      </x:c>
      <x:c r="E828" s="2" t="str">
        <x:v>G098</x:v>
      </x:c>
      <x:c r="F828" s="2" t="str">
        <x:v>guardian098@example.invalid</x:v>
      </x:c>
      <x:c r="G828" s="2" t="str">
        <x:v>Email</x:v>
      </x:c>
      <x:c r="H828" s="2" t="str">
        <x:v>Boarded</x:v>
      </x:c>
      <x:c r="I828" s="8" t="n">
        <x:v>46300.25232638889</x:v>
      </x:c>
      <x:c r="J828" s="8" t="n">
        <x:v>46300.25234953703</x:v>
      </x:c>
      <x:c r="K828" s="8" t="n">
        <x:v>46300.252384259256</x:v>
      </x:c>
      <x:c r="L828" s="2" t="str">
        <x:v>Sent</x:v>
      </x:c>
      <x:c r="M828" s="2" t="n">
        <x:v>1</x:v>
      </x:c>
      <x:c r="N828" s="2"/>
      <x:c r="O828" s="2"/>
    </x:row>
    <x:row r="829" ht="21" customHeight="1">
      <x:c r="A829" s="2" t="str">
        <x:v>NT000828</x:v>
      </x:c>
      <x:c r="B829" s="2" t="str">
        <x:v>EV000830</x:v>
      </x:c>
      <x:c r="C829" s="2" t="str">
        <x:v>T20261005-1-3</x:v>
      </x:c>
      <x:c r="D829" s="2" t="str">
        <x:v>ST098</x:v>
      </x:c>
      <x:c r="E829" s="2" t="str">
        <x:v>G098</x:v>
      </x:c>
      <x:c r="F829" s="2" t="str">
        <x:v>guardian098@example.invalid</x:v>
      </x:c>
      <x:c r="G829" s="2" t="str">
        <x:v>Email</x:v>
      </x:c>
      <x:c r="H829" s="2" t="str">
        <x:v>School receipt</x:v>
      </x:c>
      <x:c r="I829" s="8" t="n">
        <x:v>46300.276979166665</x:v>
      </x:c>
      <x:c r="J829" s="8" t="n">
        <x:v>46300.27700231481</x:v>
      </x:c>
      <x:c r="K829" s="8" t="n">
        <x:v>46300.277037037034</x:v>
      </x:c>
      <x:c r="L829" s="2" t="str">
        <x:v>Sent</x:v>
      </x:c>
      <x:c r="M829" s="2" t="n">
        <x:v>1</x:v>
      </x:c>
      <x:c r="N829" s="2"/>
      <x:c r="O829" s="2"/>
    </x:row>
    <x:row r="830" ht="21" customHeight="1">
      <x:c r="A830" s="2" t="str">
        <x:v>NT000829</x:v>
      </x:c>
      <x:c r="B830" s="2" t="str">
        <x:v>EV000831</x:v>
      </x:c>
      <x:c r="C830" s="2" t="str">
        <x:v>T20261005-1-3</x:v>
      </x:c>
      <x:c r="D830" s="2" t="str">
        <x:v>ST099</x:v>
      </x:c>
      <x:c r="E830" s="2" t="str">
        <x:v>G099</x:v>
      </x:c>
      <x:c r="F830" s="2" t="str">
        <x:v>guardian099@example.invalid</x:v>
      </x:c>
      <x:c r="G830" s="2" t="str">
        <x:v>Email</x:v>
      </x:c>
      <x:c r="H830" s="2" t="str">
        <x:v>Boarded</x:v>
      </x:c>
      <x:c r="I830" s="8" t="n">
        <x:v>46300.24263888889</x:v>
      </x:c>
      <x:c r="J830" s="8" t="n">
        <x:v>46300.24266203704</x:v>
      </x:c>
      <x:c r="K830" s="8" t="n">
        <x:v>46300.24269675926</x:v>
      </x:c>
      <x:c r="L830" s="2" t="str">
        <x:v>Sent</x:v>
      </x:c>
      <x:c r="M830" s="2" t="n">
        <x:v>1</x:v>
      </x:c>
      <x:c r="N830" s="2"/>
      <x:c r="O830" s="2"/>
    </x:row>
    <x:row r="831" ht="21" customHeight="1">
      <x:c r="A831" s="2" t="str">
        <x:v>NT000830</x:v>
      </x:c>
      <x:c r="B831" s="2" t="str">
        <x:v>EV000832</x:v>
      </x:c>
      <x:c r="C831" s="2" t="str">
        <x:v>T20261005-1-3</x:v>
      </x:c>
      <x:c r="D831" s="2" t="str">
        <x:v>ST099</x:v>
      </x:c>
      <x:c r="E831" s="2" t="str">
        <x:v>G099</x:v>
      </x:c>
      <x:c r="F831" s="2" t="str">
        <x:v>guardian099@example.invalid</x:v>
      </x:c>
      <x:c r="G831" s="2" t="str">
        <x:v>Email</x:v>
      </x:c>
      <x:c r="H831" s="2" t="str">
        <x:v>School receipt</x:v>
      </x:c>
      <x:c r="I831" s="8" t="n">
        <x:v>46300.27701388889</x:v>
      </x:c>
      <x:c r="J831" s="8" t="n">
        <x:v>46300.277037037034</x:v>
      </x:c>
      <x:c r="K831" s="8" t="n">
        <x:v>46300.27707175926</x:v>
      </x:c>
      <x:c r="L831" s="2" t="str">
        <x:v>Sent</x:v>
      </x:c>
      <x:c r="M831" s="2" t="n">
        <x:v>1</x:v>
      </x:c>
      <x:c r="N831" s="2"/>
      <x:c r="O831" s="2"/>
    </x:row>
    <x:row r="832" ht="21" customHeight="1">
      <x:c r="A832" s="2" t="str">
        <x:v>NT000831</x:v>
      </x:c>
      <x:c r="B832" s="2" t="str">
        <x:v>EV000833</x:v>
      </x:c>
      <x:c r="C832" s="2" t="str">
        <x:v>T20261005-1-3</x:v>
      </x:c>
      <x:c r="D832" s="2" t="str">
        <x:v>ST100</x:v>
      </x:c>
      <x:c r="E832" s="2" t="str">
        <x:v>G100</x:v>
      </x:c>
      <x:c r="F832" s="2" t="str">
        <x:v>guardian100@example.invalid</x:v>
      </x:c>
      <x:c r="G832" s="2" t="str">
        <x:v>Email</x:v>
      </x:c>
      <x:c r="H832" s="2" t="str">
        <x:v>Boarded</x:v>
      </x:c>
      <x:c r="I832" s="8" t="n">
        <x:v>46300.24753472222</x:v>
      </x:c>
      <x:c r="J832" s="8" t="n">
        <x:v>46300.24755787037</x:v>
      </x:c>
      <x:c r="K832" s="8" t="n">
        <x:v>46300.24759259259</x:v>
      </x:c>
      <x:c r="L832" s="2" t="str">
        <x:v>Sent</x:v>
      </x:c>
      <x:c r="M832" s="2" t="n">
        <x:v>1</x:v>
      </x:c>
      <x:c r="N832" s="2"/>
      <x:c r="O832" s="2"/>
    </x:row>
    <x:row r="833" ht="21" customHeight="1">
      <x:c r="A833" s="2" t="str">
        <x:v>NT000832</x:v>
      </x:c>
      <x:c r="B833" s="2" t="str">
        <x:v>EV000834</x:v>
      </x:c>
      <x:c r="C833" s="2" t="str">
        <x:v>T20261005-1-3</x:v>
      </x:c>
      <x:c r="D833" s="2" t="str">
        <x:v>ST100</x:v>
      </x:c>
      <x:c r="E833" s="2" t="str">
        <x:v>G100</x:v>
      </x:c>
      <x:c r="F833" s="2" t="str">
        <x:v>guardian100@example.invalid</x:v>
      </x:c>
      <x:c r="G833" s="2" t="str">
        <x:v>Email</x:v>
      </x:c>
      <x:c r="H833" s="2" t="str">
        <x:v>School receipt</x:v>
      </x:c>
      <x:c r="I833" s="8" t="n">
        <x:v>46300.27704861111</x:v>
      </x:c>
      <x:c r="J833" s="8" t="n">
        <x:v>46300.27707175926</x:v>
      </x:c>
      <x:c r="K833" s="8" t="n">
        <x:v>46300.27710648148</x:v>
      </x:c>
      <x:c r="L833" s="2" t="str">
        <x:v>Sent</x:v>
      </x:c>
      <x:c r="M833" s="2" t="n">
        <x:v>1</x:v>
      </x:c>
      <x:c r="N833" s="2"/>
      <x:c r="O833" s="2"/>
    </x:row>
    <x:row r="834" ht="21" customHeight="1">
      <x:c r="A834" s="2" t="str">
        <x:v>NT000833</x:v>
      </x:c>
      <x:c r="B834" s="2" t="str">
        <x:v>EV000835</x:v>
      </x:c>
      <x:c r="C834" s="2" t="str">
        <x:v>T20261005-2-3</x:v>
      </x:c>
      <x:c r="D834" s="2" t="str">
        <x:v>ST081</x:v>
      </x:c>
      <x:c r="E834" s="2" t="str">
        <x:v>G081</x:v>
      </x:c>
      <x:c r="F834" s="2" t="str">
        <x:v>guardian081@example.invalid</x:v>
      </x:c>
      <x:c r="G834" s="2" t="str">
        <x:v>Email</x:v>
      </x:c>
      <x:c r="H834" s="2" t="str">
        <x:v>Boarded</x:v>
      </x:c>
      <x:c r="I834" s="8" t="n">
        <x:v>46300.4375</x:v>
      </x:c>
      <x:c r="J834" s="8" t="n">
        <x:v>46300.437523148146</x:v>
      </x:c>
      <x:c r="K834" s="8" t="n">
        <x:v>46300.43755787037</x:v>
      </x:c>
      <x:c r="L834" s="2" t="str">
        <x:v>Sent</x:v>
      </x:c>
      <x:c r="M834" s="2" t="n">
        <x:v>1</x:v>
      </x:c>
      <x:c r="N834" s="2"/>
      <x:c r="O834" s="2"/>
    </x:row>
    <x:row r="835" ht="21" customHeight="1">
      <x:c r="A835" s="2" t="str">
        <x:v>NT000834</x:v>
      </x:c>
      <x:c r="B835" s="2" t="str">
        <x:v>EV000836</x:v>
      </x:c>
      <x:c r="C835" s="2" t="str">
        <x:v>T20261005-2-3</x:v>
      </x:c>
      <x:c r="D835" s="2" t="str">
        <x:v>ST081</x:v>
      </x:c>
      <x:c r="E835" s="2" t="str">
        <x:v>G081</x:v>
      </x:c>
      <x:c r="F835" s="2" t="str">
        <x:v>guardian081@example.invalid</x:v>
      </x:c>
      <x:c r="G835" s="2" t="str">
        <x:v>Email</x:v>
      </x:c>
      <x:c r="H835" s="2" t="str">
        <x:v>Authorized release</x:v>
      </x:c>
      <x:c r="I835" s="8" t="n">
        <x:v>46300.44930555555</x:v>
      </x:c>
      <x:c r="J835" s="8" t="n">
        <x:v>46300.4493287037</x:v>
      </x:c>
      <x:c r="K835" s="8" t="n">
        <x:v>46300.44936342592</x:v>
      </x:c>
      <x:c r="L835" s="2" t="str">
        <x:v>Sent</x:v>
      </x:c>
      <x:c r="M835" s="2" t="n">
        <x:v>1</x:v>
      </x:c>
      <x:c r="N835" s="2"/>
      <x:c r="O835" s="2"/>
    </x:row>
    <x:row r="836" ht="21" customHeight="1">
      <x:c r="A836" s="2" t="str">
        <x:v>NT000835</x:v>
      </x:c>
      <x:c r="B836" s="2" t="str">
        <x:v>EV000837</x:v>
      </x:c>
      <x:c r="C836" s="2" t="str">
        <x:v>T20261005-2-3</x:v>
      </x:c>
      <x:c r="D836" s="2" t="str">
        <x:v>ST082</x:v>
      </x:c>
      <x:c r="E836" s="2" t="str">
        <x:v>G082</x:v>
      </x:c>
      <x:c r="F836" s="2" t="str">
        <x:v>guardian082@example.invalid</x:v>
      </x:c>
      <x:c r="G836" s="2" t="str">
        <x:v>Email</x:v>
      </x:c>
      <x:c r="H836" s="2" t="str">
        <x:v>Boarded</x:v>
      </x:c>
      <x:c r="I836" s="8" t="n">
        <x:v>46300.43753472222</x:v>
      </x:c>
      <x:c r="J836" s="8" t="n">
        <x:v>46300.43755787037</x:v>
      </x:c>
      <x:c r="K836" s="8" t="n">
        <x:v>46300.43759259259</x:v>
      </x:c>
      <x:c r="L836" s="2" t="str">
        <x:v>Sent</x:v>
      </x:c>
      <x:c r="M836" s="2" t="n">
        <x:v>1</x:v>
      </x:c>
      <x:c r="N836" s="2"/>
      <x:c r="O836" s="2"/>
    </x:row>
    <x:row r="837" ht="21" customHeight="1">
      <x:c r="A837" s="2" t="str">
        <x:v>NT000836</x:v>
      </x:c>
      <x:c r="B837" s="2" t="str">
        <x:v>EV000838</x:v>
      </x:c>
      <x:c r="C837" s="2" t="str">
        <x:v>T20261005-2-3</x:v>
      </x:c>
      <x:c r="D837" s="2" t="str">
        <x:v>ST082</x:v>
      </x:c>
      <x:c r="E837" s="2" t="str">
        <x:v>G082</x:v>
      </x:c>
      <x:c r="F837" s="2" t="str">
        <x:v>guardian082@example.invalid</x:v>
      </x:c>
      <x:c r="G837" s="2" t="str">
        <x:v>Email</x:v>
      </x:c>
      <x:c r="H837" s="2" t="str">
        <x:v>Authorized release</x:v>
      </x:c>
      <x:c r="I837" s="8" t="n">
        <x:v>46300.45350694445</x:v>
      </x:c>
      <x:c r="J837" s="8" t="n">
        <x:v>46300.45353009259</x:v>
      </x:c>
      <x:c r="K837" s="8" t="n">
        <x:v>46300.453564814816</x:v>
      </x:c>
      <x:c r="L837" s="2" t="str">
        <x:v>Sent</x:v>
      </x:c>
      <x:c r="M837" s="2" t="n">
        <x:v>1</x:v>
      </x:c>
      <x:c r="N837" s="2"/>
      <x:c r="O837" s="2"/>
    </x:row>
    <x:row r="838" ht="21" customHeight="1">
      <x:c r="A838" s="2" t="str">
        <x:v>NT000837</x:v>
      </x:c>
      <x:c r="B838" s="2" t="str">
        <x:v>EV000839</x:v>
      </x:c>
      <x:c r="C838" s="2" t="str">
        <x:v>T20261005-2-3</x:v>
      </x:c>
      <x:c r="D838" s="2" t="str">
        <x:v>ST083</x:v>
      </x:c>
      <x:c r="E838" s="2" t="str">
        <x:v>G083</x:v>
      </x:c>
      <x:c r="F838" s="2" t="str">
        <x:v>guardian083@example.invalid</x:v>
      </x:c>
      <x:c r="G838" s="2" t="str">
        <x:v>Email</x:v>
      </x:c>
      <x:c r="H838" s="2" t="str">
        <x:v>Boarded</x:v>
      </x:c>
      <x:c r="I838" s="8" t="n">
        <x:v>46300.437569444446</x:v>
      </x:c>
      <x:c r="J838" s="8" t="n">
        <x:v>46300.43759259259</x:v>
      </x:c>
      <x:c r="K838" s="8" t="n">
        <x:v>46300.437627314815</x:v>
      </x:c>
      <x:c r="L838" s="2" t="str">
        <x:v>Sent</x:v>
      </x:c>
      <x:c r="M838" s="2" t="n">
        <x:v>1</x:v>
      </x:c>
      <x:c r="N838" s="2"/>
      <x:c r="O838" s="2"/>
    </x:row>
    <x:row r="839" ht="21" customHeight="1">
      <x:c r="A839" s="2" t="str">
        <x:v>NT000838</x:v>
      </x:c>
      <x:c r="B839" s="2" t="str">
        <x:v>EV000840</x:v>
      </x:c>
      <x:c r="C839" s="2" t="str">
        <x:v>T20261005-2-3</x:v>
      </x:c>
      <x:c r="D839" s="2" t="str">
        <x:v>ST083</x:v>
      </x:c>
      <x:c r="E839" s="2" t="str">
        <x:v>G083</x:v>
      </x:c>
      <x:c r="F839" s="2" t="str">
        <x:v>guardian083@example.invalid</x:v>
      </x:c>
      <x:c r="G839" s="2" t="str">
        <x:v>Email</x:v>
      </x:c>
      <x:c r="H839" s="2" t="str">
        <x:v>Authorized release</x:v>
      </x:c>
      <x:c r="I839" s="8" t="n">
        <x:v>46300.457708333335</x:v>
      </x:c>
      <x:c r="J839" s="8" t="n">
        <x:v>46300.45773148148</x:v>
      </x:c>
      <x:c r="K839" s="8" t="n">
        <x:v>46300.457766203705</x:v>
      </x:c>
      <x:c r="L839" s="2" t="str">
        <x:v>Sent</x:v>
      </x:c>
      <x:c r="M839" s="2" t="n">
        <x:v>1</x:v>
      </x:c>
      <x:c r="N839" s="2"/>
      <x:c r="O839" s="2"/>
    </x:row>
    <x:row r="840" ht="21" customHeight="1">
      <x:c r="A840" s="2" t="str">
        <x:v>NT000839</x:v>
      </x:c>
      <x:c r="B840" s="2" t="str">
        <x:v>EV000841</x:v>
      </x:c>
      <x:c r="C840" s="2" t="str">
        <x:v>T20261005-2-3</x:v>
      </x:c>
      <x:c r="D840" s="2" t="str">
        <x:v>ST084</x:v>
      </x:c>
      <x:c r="E840" s="2" t="str">
        <x:v>G084</x:v>
      </x:c>
      <x:c r="F840" s="2" t="str">
        <x:v>guardian084@example.invalid</x:v>
      </x:c>
      <x:c r="G840" s="2" t="str">
        <x:v>Email</x:v>
      </x:c>
      <x:c r="H840" s="2" t="str">
        <x:v>Boarded</x:v>
      </x:c>
      <x:c r="I840" s="8" t="n">
        <x:v>46300.43760416667</x:v>
      </x:c>
      <x:c r="J840" s="8" t="n">
        <x:v>46300.437627314815</x:v>
      </x:c>
      <x:c r="K840" s="8" t="n">
        <x:v>46300.43766203704</x:v>
      </x:c>
      <x:c r="L840" s="2" t="str">
        <x:v>Sent</x:v>
      </x:c>
      <x:c r="M840" s="2" t="n">
        <x:v>1</x:v>
      </x:c>
      <x:c r="N840" s="2"/>
      <x:c r="O840" s="2"/>
    </x:row>
    <x:row r="841" ht="21" customHeight="1">
      <x:c r="A841" s="2" t="str">
        <x:v>NT000840</x:v>
      </x:c>
      <x:c r="B841" s="2" t="str">
        <x:v>EV000842</x:v>
      </x:c>
      <x:c r="C841" s="2" t="str">
        <x:v>T20261005-2-3</x:v>
      </x:c>
      <x:c r="D841" s="2" t="str">
        <x:v>ST084</x:v>
      </x:c>
      <x:c r="E841" s="2" t="str">
        <x:v>G084</x:v>
      </x:c>
      <x:c r="F841" s="2" t="str">
        <x:v>guardian084@example.invalid</x:v>
      </x:c>
      <x:c r="G841" s="2" t="str">
        <x:v>Email</x:v>
      </x:c>
      <x:c r="H841" s="2" t="str">
        <x:v>Authorized release</x:v>
      </x:c>
      <x:c r="I841" s="8" t="n">
        <x:v>46300.44940972222</x:v>
      </x:c>
      <x:c r="J841" s="8" t="n">
        <x:v>46300.449432870366</x:v>
      </x:c>
      <x:c r="K841" s="8" t="n">
        <x:v>46300.44946759259</x:v>
      </x:c>
      <x:c r="L841" s="2" t="str">
        <x:v>Sent</x:v>
      </x:c>
      <x:c r="M841" s="2" t="n">
        <x:v>1</x:v>
      </x:c>
      <x:c r="N841" s="2"/>
      <x:c r="O841" s="2"/>
    </x:row>
    <x:row r="842" ht="21" customHeight="1">
      <x:c r="A842" s="2" t="str">
        <x:v>NT000841</x:v>
      </x:c>
      <x:c r="B842" s="2" t="str">
        <x:v>EV000843</x:v>
      </x:c>
      <x:c r="C842" s="2" t="str">
        <x:v>T20261005-2-3</x:v>
      </x:c>
      <x:c r="D842" s="2" t="str">
        <x:v>ST085</x:v>
      </x:c>
      <x:c r="E842" s="2" t="str">
        <x:v>G085</x:v>
      </x:c>
      <x:c r="F842" s="2" t="str">
        <x:v>guardian085@example.invalid</x:v>
      </x:c>
      <x:c r="G842" s="2" t="str">
        <x:v>Email</x:v>
      </x:c>
      <x:c r="H842" s="2" t="str">
        <x:v>Boarded</x:v>
      </x:c>
      <x:c r="I842" s="8" t="n">
        <x:v>46300.43763888889</x:v>
      </x:c>
      <x:c r="J842" s="8" t="n">
        <x:v>46300.43766203704</x:v>
      </x:c>
      <x:c r="K842" s="8" t="n">
        <x:v>46300.43769675926</x:v>
      </x:c>
      <x:c r="L842" s="2" t="str">
        <x:v>Sent</x:v>
      </x:c>
      <x:c r="M842" s="2" t="n">
        <x:v>1</x:v>
      </x:c>
      <x:c r="N842" s="2"/>
      <x:c r="O842" s="2"/>
    </x:row>
    <x:row r="843" ht="21" customHeight="1">
      <x:c r="A843" s="2" t="str">
        <x:v>NT000842</x:v>
      </x:c>
      <x:c r="B843" s="2" t="str">
        <x:v>EV000844</x:v>
      </x:c>
      <x:c r="C843" s="2" t="str">
        <x:v>T20261005-2-3</x:v>
      </x:c>
      <x:c r="D843" s="2" t="str">
        <x:v>ST085</x:v>
      </x:c>
      <x:c r="E843" s="2" t="str">
        <x:v>G085</x:v>
      </x:c>
      <x:c r="F843" s="2" t="str">
        <x:v>guardian085@example.invalid</x:v>
      </x:c>
      <x:c r="G843" s="2" t="str">
        <x:v>Email</x:v>
      </x:c>
      <x:c r="H843" s="2" t="str">
        <x:v>Authorized release</x:v>
      </x:c>
      <x:c r="I843" s="8" t="n">
        <x:v>46300.453611111116</x:v>
      </x:c>
      <x:c r="J843" s="8" t="n">
        <x:v>46300.45363425926</x:v>
      </x:c>
      <x:c r="K843" s="8" t="n">
        <x:v>46300.453668981485</x:v>
      </x:c>
      <x:c r="L843" s="2" t="str">
        <x:v>Sent</x:v>
      </x:c>
      <x:c r="M843" s="2" t="n">
        <x:v>1</x:v>
      </x:c>
      <x:c r="N843" s="2"/>
      <x:c r="O843" s="2"/>
    </x:row>
    <x:row r="844" ht="21" customHeight="1">
      <x:c r="A844" s="2" t="str">
        <x:v>NT000843</x:v>
      </x:c>
      <x:c r="B844" s="2" t="str">
        <x:v>EV000845</x:v>
      </x:c>
      <x:c r="C844" s="2" t="str">
        <x:v>T20261005-2-3</x:v>
      </x:c>
      <x:c r="D844" s="2" t="str">
        <x:v>ST086</x:v>
      </x:c>
      <x:c r="E844" s="2" t="str">
        <x:v>G086</x:v>
      </x:c>
      <x:c r="F844" s="2" t="str">
        <x:v>guardian086@example.invalid</x:v>
      </x:c>
      <x:c r="G844" s="2" t="str">
        <x:v>Email</x:v>
      </x:c>
      <x:c r="H844" s="2" t="str">
        <x:v>Boarded</x:v>
      </x:c>
      <x:c r="I844" s="8" t="n">
        <x:v>46300.43767361111</x:v>
      </x:c>
      <x:c r="J844" s="8" t="n">
        <x:v>46300.437696759254</x:v>
      </x:c>
      <x:c r="K844" s="8" t="n">
        <x:v>46300.43773148148</x:v>
      </x:c>
      <x:c r="L844" s="2" t="str">
        <x:v>Sent</x:v>
      </x:c>
      <x:c r="M844" s="2" t="n">
        <x:v>1</x:v>
      </x:c>
      <x:c r="N844" s="2"/>
      <x:c r="O844" s="2"/>
    </x:row>
    <x:row r="845" ht="21" customHeight="1">
      <x:c r="A845" s="2" t="str">
        <x:v>NT000844</x:v>
      </x:c>
      <x:c r="B845" s="2" t="str">
        <x:v>EV000846</x:v>
      </x:c>
      <x:c r="C845" s="2" t="str">
        <x:v>T20261005-2-3</x:v>
      </x:c>
      <x:c r="D845" s="2" t="str">
        <x:v>ST086</x:v>
      </x:c>
      <x:c r="E845" s="2" t="str">
        <x:v>G086</x:v>
      </x:c>
      <x:c r="F845" s="2" t="str">
        <x:v>guardian086@example.invalid</x:v>
      </x:c>
      <x:c r="G845" s="2" t="str">
        <x:v>Email</x:v>
      </x:c>
      <x:c r="H845" s="2" t="str">
        <x:v>Authorized release</x:v>
      </x:c>
      <x:c r="I845" s="8" t="n">
        <x:v>46300.4578125</x:v>
      </x:c>
      <x:c r="J845" s="8" t="n">
        <x:v>46300.45783564814</x:v>
      </x:c>
      <x:c r="K845" s="8" t="n">
        <x:v>46300.45787037037</x:v>
      </x:c>
      <x:c r="L845" s="2" t="str">
        <x:v>Sent</x:v>
      </x:c>
      <x:c r="M845" s="2" t="n">
        <x:v>1</x:v>
      </x:c>
      <x:c r="N845" s="2"/>
      <x:c r="O845" s="2"/>
    </x:row>
    <x:row r="846" ht="21" customHeight="1">
      <x:c r="A846" s="2" t="str">
        <x:v>NT000845</x:v>
      </x:c>
      <x:c r="B846" s="2" t="str">
        <x:v>EV000847</x:v>
      </x:c>
      <x:c r="C846" s="2" t="str">
        <x:v>T20261005-2-3</x:v>
      </x:c>
      <x:c r="D846" s="2" t="str">
        <x:v>ST087</x:v>
      </x:c>
      <x:c r="E846" s="2" t="str">
        <x:v>G087</x:v>
      </x:c>
      <x:c r="F846" s="2" t="str">
        <x:v>guardian087@example.invalid</x:v>
      </x:c>
      <x:c r="G846" s="2" t="str">
        <x:v>Email</x:v>
      </x:c>
      <x:c r="H846" s="2" t="str">
        <x:v>Boarded</x:v>
      </x:c>
      <x:c r="I846" s="8" t="n">
        <x:v>46300.43770833333</x:v>
      </x:c>
      <x:c r="J846" s="8" t="n">
        <x:v>46300.43773148148</x:v>
      </x:c>
      <x:c r="K846" s="8" t="n">
        <x:v>46300.4377662037</x:v>
      </x:c>
      <x:c r="L846" s="2" t="str">
        <x:v>Sent</x:v>
      </x:c>
      <x:c r="M846" s="2" t="n">
        <x:v>1</x:v>
      </x:c>
      <x:c r="N846" s="2"/>
      <x:c r="O846" s="2"/>
    </x:row>
    <x:row r="847" ht="21" customHeight="1">
      <x:c r="A847" s="2" t="str">
        <x:v>NT000846</x:v>
      </x:c>
      <x:c r="B847" s="2" t="str">
        <x:v>EV000848</x:v>
      </x:c>
      <x:c r="C847" s="2" t="str">
        <x:v>T20261005-2-3</x:v>
      </x:c>
      <x:c r="D847" s="2" t="str">
        <x:v>ST087</x:v>
      </x:c>
      <x:c r="E847" s="2" t="str">
        <x:v>G087</x:v>
      </x:c>
      <x:c r="F847" s="2" t="str">
        <x:v>guardian087@example.invalid</x:v>
      </x:c>
      <x:c r="G847" s="2" t="str">
        <x:v>Email</x:v>
      </x:c>
      <x:c r="H847" s="2" t="str">
        <x:v>Authorized release</x:v>
      </x:c>
      <x:c r="I847" s="8" t="n">
        <x:v>46300.44951388888</x:v>
      </x:c>
      <x:c r="J847" s="8" t="n">
        <x:v>46300.44953703703</x:v>
      </x:c>
      <x:c r="K847" s="8" t="n">
        <x:v>46300.44957175925</x:v>
      </x:c>
      <x:c r="L847" s="2" t="str">
        <x:v>Sent</x:v>
      </x:c>
      <x:c r="M847" s="2" t="n">
        <x:v>1</x:v>
      </x:c>
      <x:c r="N847" s="2"/>
      <x:c r="O847" s="2"/>
    </x:row>
    <x:row r="848" ht="21" customHeight="1">
      <x:c r="A848" s="2" t="str">
        <x:v>NT000847</x:v>
      </x:c>
      <x:c r="B848" s="2" t="str">
        <x:v>EV000849</x:v>
      </x:c>
      <x:c r="C848" s="2" t="str">
        <x:v>T20261005-2-3</x:v>
      </x:c>
      <x:c r="D848" s="2" t="str">
        <x:v>ST088</x:v>
      </x:c>
      <x:c r="E848" s="2" t="str">
        <x:v>G088</x:v>
      </x:c>
      <x:c r="F848" s="2" t="str">
        <x:v>guardian088@example.invalid</x:v>
      </x:c>
      <x:c r="G848" s="2" t="str">
        <x:v>Email</x:v>
      </x:c>
      <x:c r="H848" s="2" t="str">
        <x:v>Boarded</x:v>
      </x:c>
      <x:c r="I848" s="8" t="n">
        <x:v>46300.437743055554</x:v>
      </x:c>
      <x:c r="J848" s="8" t="n">
        <x:v>46300.4377662037</x:v>
      </x:c>
      <x:c r="K848" s="8" t="n">
        <x:v>46300.43780092592</x:v>
      </x:c>
      <x:c r="L848" s="2" t="str">
        <x:v>Sent</x:v>
      </x:c>
      <x:c r="M848" s="2" t="n">
        <x:v>1</x:v>
      </x:c>
      <x:c r="N848" s="2"/>
      <x:c r="O848" s="2"/>
    </x:row>
    <x:row r="849" ht="21" customHeight="1">
      <x:c r="A849" s="2" t="str">
        <x:v>NT000848</x:v>
      </x:c>
      <x:c r="B849" s="2" t="str">
        <x:v>EV000850</x:v>
      </x:c>
      <x:c r="C849" s="2" t="str">
        <x:v>T20261005-2-3</x:v>
      </x:c>
      <x:c r="D849" s="2" t="str">
        <x:v>ST088</x:v>
      </x:c>
      <x:c r="E849" s="2" t="str">
        <x:v>G088</x:v>
      </x:c>
      <x:c r="F849" s="2" t="str">
        <x:v>guardian088@example.invalid</x:v>
      </x:c>
      <x:c r="G849" s="2" t="str">
        <x:v>Email</x:v>
      </x:c>
      <x:c r="H849" s="2" t="str">
        <x:v>Authorized release</x:v>
      </x:c>
      <x:c r="I849" s="8" t="n">
        <x:v>46300.45371527778</x:v>
      </x:c>
      <x:c r="J849" s="8" t="n">
        <x:v>46300.453738425924</x:v>
      </x:c>
      <x:c r="K849" s="8" t="n">
        <x:v>46300.45377314815</x:v>
      </x:c>
      <x:c r="L849" s="2" t="str">
        <x:v>Sent</x:v>
      </x:c>
      <x:c r="M849" s="2" t="n">
        <x:v>1</x:v>
      </x:c>
      <x:c r="N849" s="2"/>
      <x:c r="O849" s="2"/>
    </x:row>
    <x:row r="850" ht="21" customHeight="1">
      <x:c r="A850" s="2" t="str">
        <x:v>NT000849</x:v>
      </x:c>
      <x:c r="B850" s="2" t="str">
        <x:v>EV000851</x:v>
      </x:c>
      <x:c r="C850" s="2" t="str">
        <x:v>T20261005-2-3</x:v>
      </x:c>
      <x:c r="D850" s="2" t="str">
        <x:v>ST089</x:v>
      </x:c>
      <x:c r="E850" s="2" t="str">
        <x:v>G089</x:v>
      </x:c>
      <x:c r="F850" s="2" t="str">
        <x:v>guardian089@example.invalid</x:v>
      </x:c>
      <x:c r="G850" s="2" t="str">
        <x:v>Email</x:v>
      </x:c>
      <x:c r="H850" s="2" t="str">
        <x:v>Boarded</x:v>
      </x:c>
      <x:c r="I850" s="8" t="n">
        <x:v>46300.43777777778</x:v>
      </x:c>
      <x:c r="J850" s="8" t="n">
        <x:v>46300.43780092592</x:v>
      </x:c>
      <x:c r="K850" s="8" t="n">
        <x:v>46300.43783564815</x:v>
      </x:c>
      <x:c r="L850" s="2" t="str">
        <x:v>Sent</x:v>
      </x:c>
      <x:c r="M850" s="2" t="n">
        <x:v>1</x:v>
      </x:c>
      <x:c r="N850" s="2"/>
      <x:c r="O850" s="2"/>
    </x:row>
    <x:row r="851" ht="21" customHeight="1">
      <x:c r="A851" s="2" t="str">
        <x:v>NT000850</x:v>
      </x:c>
      <x:c r="B851" s="2" t="str">
        <x:v>EV000852</x:v>
      </x:c>
      <x:c r="C851" s="2" t="str">
        <x:v>T20261005-2-3</x:v>
      </x:c>
      <x:c r="D851" s="2" t="str">
        <x:v>ST089</x:v>
      </x:c>
      <x:c r="E851" s="2" t="str">
        <x:v>G089</x:v>
      </x:c>
      <x:c r="F851" s="2" t="str">
        <x:v>guardian089@example.invalid</x:v>
      </x:c>
      <x:c r="G851" s="2" t="str">
        <x:v>Email</x:v>
      </x:c>
      <x:c r="H851" s="2" t="str">
        <x:v>Authorized release</x:v>
      </x:c>
      <x:c r="I851" s="8" t="n">
        <x:v>46300.457916666666</x:v>
      </x:c>
      <x:c r="J851" s="8" t="n">
        <x:v>46300.45793981481</x:v>
      </x:c>
      <x:c r="K851" s="8" t="n">
        <x:v>46300.457974537036</x:v>
      </x:c>
      <x:c r="L851" s="2" t="str">
        <x:v>Sent</x:v>
      </x:c>
      <x:c r="M851" s="2" t="n">
        <x:v>1</x:v>
      </x:c>
      <x:c r="N851" s="2"/>
      <x:c r="O851" s="2"/>
    </x:row>
    <x:row r="852" ht="21" customHeight="1">
      <x:c r="A852" s="2" t="str">
        <x:v>NT000851</x:v>
      </x:c>
      <x:c r="B852" s="2" t="str">
        <x:v>EV000853</x:v>
      </x:c>
      <x:c r="C852" s="2" t="str">
        <x:v>T20261005-2-3</x:v>
      </x:c>
      <x:c r="D852" s="2" t="str">
        <x:v>ST090</x:v>
      </x:c>
      <x:c r="E852" s="2" t="str">
        <x:v>G090</x:v>
      </x:c>
      <x:c r="F852" s="2" t="str">
        <x:v>guardian090@example.invalid</x:v>
      </x:c>
      <x:c r="G852" s="2" t="str">
        <x:v>Email</x:v>
      </x:c>
      <x:c r="H852" s="2" t="str">
        <x:v>Boarded</x:v>
      </x:c>
      <x:c r="I852" s="8" t="n">
        <x:v>46300.4378125</x:v>
      </x:c>
      <x:c r="J852" s="8" t="n">
        <x:v>46300.43783564815</x:v>
      </x:c>
      <x:c r="K852" s="8" t="n">
        <x:v>46300.43787037037</x:v>
      </x:c>
      <x:c r="L852" s="2" t="str">
        <x:v>Sent</x:v>
      </x:c>
      <x:c r="M852" s="2" t="n">
        <x:v>1</x:v>
      </x:c>
      <x:c r="N852" s="2"/>
      <x:c r="O852" s="2"/>
    </x:row>
    <x:row r="853" ht="21" customHeight="1">
      <x:c r="A853" s="2" t="str">
        <x:v>NT000852</x:v>
      </x:c>
      <x:c r="B853" s="2" t="str">
        <x:v>EV000854</x:v>
      </x:c>
      <x:c r="C853" s="2" t="str">
        <x:v>T20261005-2-3</x:v>
      </x:c>
      <x:c r="D853" s="2" t="str">
        <x:v>ST090</x:v>
      </x:c>
      <x:c r="E853" s="2" t="str">
        <x:v>G090</x:v>
      </x:c>
      <x:c r="F853" s="2" t="str">
        <x:v>guardian090@example.invalid</x:v>
      </x:c>
      <x:c r="G853" s="2" t="str">
        <x:v>Email</x:v>
      </x:c>
      <x:c r="H853" s="2" t="str">
        <x:v>Authorized release</x:v>
      </x:c>
      <x:c r="I853" s="8" t="n">
        <x:v>46300.44961805555</x:v>
      </x:c>
      <x:c r="J853" s="8" t="n">
        <x:v>46300.4496412037</x:v>
      </x:c>
      <x:c r="K853" s="8" t="n">
        <x:v>46300.44967592592</x:v>
      </x:c>
      <x:c r="L853" s="2" t="str">
        <x:v>Sent</x:v>
      </x:c>
      <x:c r="M853" s="2" t="n">
        <x:v>1</x:v>
      </x:c>
      <x:c r="N853" s="2"/>
      <x:c r="O853" s="2"/>
    </x:row>
    <x:row r="854" ht="21" customHeight="1">
      <x:c r="A854" s="2" t="str">
        <x:v>NT000853</x:v>
      </x:c>
      <x:c r="B854" s="2" t="str">
        <x:v>EV000855</x:v>
      </x:c>
      <x:c r="C854" s="2" t="str">
        <x:v>T20261005-2-3</x:v>
      </x:c>
      <x:c r="D854" s="2" t="str">
        <x:v>ST101</x:v>
      </x:c>
      <x:c r="E854" s="2" t="str">
        <x:v>G101</x:v>
      </x:c>
      <x:c r="F854" s="2" t="str">
        <x:v>guardian101@example.invalid</x:v>
      </x:c>
      <x:c r="G854" s="2" t="str">
        <x:v>Email</x:v>
      </x:c>
      <x:c r="H854" s="2" t="str">
        <x:v>Boarded</x:v>
      </x:c>
      <x:c r="I854" s="8" t="n">
        <x:v>46300.48125</x:v>
      </x:c>
      <x:c r="J854" s="8" t="n">
        <x:v>46300.48127314814</x:v>
      </x:c>
      <x:c r="K854" s="8" t="n">
        <x:v>46300.48130787037</x:v>
      </x:c>
      <x:c r="L854" s="2" t="str">
        <x:v>Sent</x:v>
      </x:c>
      <x:c r="M854" s="2" t="n">
        <x:v>1</x:v>
      </x:c>
      <x:c r="N854" s="2"/>
      <x:c r="O854" s="2"/>
    </x:row>
    <x:row r="855" ht="21" customHeight="1">
      <x:c r="A855" s="2" t="str">
        <x:v>NT000854</x:v>
      </x:c>
      <x:c r="B855" s="2" t="str">
        <x:v>EV000856</x:v>
      </x:c>
      <x:c r="C855" s="2" t="str">
        <x:v>T20261005-2-3</x:v>
      </x:c>
      <x:c r="D855" s="2" t="str">
        <x:v>ST101</x:v>
      </x:c>
      <x:c r="E855" s="2" t="str">
        <x:v>G101</x:v>
      </x:c>
      <x:c r="F855" s="2" t="str">
        <x:v>guardian101@example.invalid</x:v>
      </x:c>
      <x:c r="G855" s="2" t="str">
        <x:v>Email</x:v>
      </x:c>
      <x:c r="H855" s="2" t="str">
        <x:v>School receipt</x:v>
      </x:c>
      <x:c r="I855" s="8" t="n">
        <x:v>46300.506250000006</x:v>
      </x:c>
      <x:c r="J855" s="8" t="n">
        <x:v>46300.50627314815</x:v>
      </x:c>
      <x:c r="K855" s="8" t="n">
        <x:v>46300.506307870375</x:v>
      </x:c>
      <x:c r="L855" s="2" t="str">
        <x:v>Sent</x:v>
      </x:c>
      <x:c r="M855" s="2" t="n">
        <x:v>1</x:v>
      </x:c>
      <x:c r="N855" s="2"/>
      <x:c r="O855" s="2"/>
    </x:row>
    <x:row r="856" ht="21" customHeight="1">
      <x:c r="A856" s="2" t="str">
        <x:v>NT000855</x:v>
      </x:c>
      <x:c r="B856" s="2" t="str">
        <x:v>EV000857</x:v>
      </x:c>
      <x:c r="C856" s="2" t="str">
        <x:v>T20261005-2-3</x:v>
      </x:c>
      <x:c r="D856" s="2" t="str">
        <x:v>ST102</x:v>
      </x:c>
      <x:c r="E856" s="2" t="str">
        <x:v>G102</x:v>
      </x:c>
      <x:c r="F856" s="2" t="str">
        <x:v>guardian102@example.invalid</x:v>
      </x:c>
      <x:c r="G856" s="2" t="str">
        <x:v>Email</x:v>
      </x:c>
      <x:c r="H856" s="2" t="str">
        <x:v>Boarded</x:v>
      </x:c>
      <x:c r="I856" s="8" t="n">
        <x:v>46300.4715625</x:v>
      </x:c>
      <x:c r="J856" s="8" t="n">
        <x:v>46300.47158564815</x:v>
      </x:c>
      <x:c r="K856" s="8" t="n">
        <x:v>46300.47162037037</x:v>
      </x:c>
      <x:c r="L856" s="2" t="str">
        <x:v>Sent</x:v>
      </x:c>
      <x:c r="M856" s="2" t="n">
        <x:v>1</x:v>
      </x:c>
      <x:c r="N856" s="2"/>
      <x:c r="O856" s="2"/>
    </x:row>
    <x:row r="857" ht="21" customHeight="1">
      <x:c r="A857" s="2" t="str">
        <x:v>NT000856</x:v>
      </x:c>
      <x:c r="B857" s="2" t="str">
        <x:v>EV000858</x:v>
      </x:c>
      <x:c r="C857" s="2" t="str">
        <x:v>T20261005-2-3</x:v>
      </x:c>
      <x:c r="D857" s="2" t="str">
        <x:v>ST102</x:v>
      </x:c>
      <x:c r="E857" s="2" t="str">
        <x:v>G102</x:v>
      </x:c>
      <x:c r="F857" s="2" t="str">
        <x:v>guardian102@example.invalid</x:v>
      </x:c>
      <x:c r="G857" s="2" t="str">
        <x:v>Email</x:v>
      </x:c>
      <x:c r="H857" s="2" t="str">
        <x:v>School receipt</x:v>
      </x:c>
      <x:c r="I857" s="8" t="n">
        <x:v>46300.50628472223</x:v>
      </x:c>
      <x:c r="J857" s="8" t="n">
        <x:v>46300.506307870375</x:v>
      </x:c>
      <x:c r="K857" s="8" t="n">
        <x:v>46300.5063425926</x:v>
      </x:c>
      <x:c r="L857" s="2" t="str">
        <x:v>Sent</x:v>
      </x:c>
      <x:c r="M857" s="2" t="n">
        <x:v>1</x:v>
      </x:c>
      <x:c r="N857" s="2"/>
      <x:c r="O857" s="2"/>
    </x:row>
    <x:row r="858" ht="21" customHeight="1">
      <x:c r="A858" s="2" t="str">
        <x:v>NT000857</x:v>
      </x:c>
      <x:c r="B858" s="2" t="str">
        <x:v>EV000859</x:v>
      </x:c>
      <x:c r="C858" s="2" t="str">
        <x:v>T20261005-2-3</x:v>
      </x:c>
      <x:c r="D858" s="2" t="str">
        <x:v>ST103</x:v>
      </x:c>
      <x:c r="E858" s="2" t="str">
        <x:v>G103</x:v>
      </x:c>
      <x:c r="F858" s="2" t="str">
        <x:v>guardian103@example.invalid</x:v>
      </x:c>
      <x:c r="G858" s="2" t="str">
        <x:v>Email</x:v>
      </x:c>
      <x:c r="H858" s="2" t="str">
        <x:v>Boarded</x:v>
      </x:c>
      <x:c r="I858" s="8" t="n">
        <x:v>46300.47645833333</x:v>
      </x:c>
      <x:c r="J858" s="8" t="n">
        <x:v>46300.47648148148</x:v>
      </x:c>
      <x:c r="K858" s="8" t="n">
        <x:v>46300.4765162037</x:v>
      </x:c>
      <x:c r="L858" s="2" t="str">
        <x:v>Sent</x:v>
      </x:c>
      <x:c r="M858" s="2" t="n">
        <x:v>1</x:v>
      </x:c>
      <x:c r="N858" s="2"/>
      <x:c r="O858" s="2"/>
    </x:row>
    <x:row r="859" ht="21" customHeight="1">
      <x:c r="A859" s="2" t="str">
        <x:v>NT000858</x:v>
      </x:c>
      <x:c r="B859" s="2" t="str">
        <x:v>EV000860</x:v>
      </x:c>
      <x:c r="C859" s="2" t="str">
        <x:v>T20261005-2-3</x:v>
      </x:c>
      <x:c r="D859" s="2" t="str">
        <x:v>ST103</x:v>
      </x:c>
      <x:c r="E859" s="2" t="str">
        <x:v>G103</x:v>
      </x:c>
      <x:c r="F859" s="2" t="str">
        <x:v>guardian103@example.invalid</x:v>
      </x:c>
      <x:c r="G859" s="2" t="str">
        <x:v>Email</x:v>
      </x:c>
      <x:c r="H859" s="2" t="str">
        <x:v>School receipt</x:v>
      </x:c>
      <x:c r="I859" s="8" t="n">
        <x:v>46300.506319444445</x:v>
      </x:c>
      <x:c r="J859" s="8" t="n">
        <x:v>46300.50634259259</x:v>
      </x:c>
      <x:c r="K859" s="8" t="n">
        <x:v>46300.506377314814</x:v>
      </x:c>
      <x:c r="L859" s="2" t="str">
        <x:v>Sent</x:v>
      </x:c>
      <x:c r="M859" s="2" t="n">
        <x:v>1</x:v>
      </x:c>
      <x:c r="N859" s="2"/>
      <x:c r="O859" s="2"/>
    </x:row>
    <x:row r="860" ht="21" customHeight="1">
      <x:c r="A860" s="2" t="str">
        <x:v>NT000859</x:v>
      </x:c>
      <x:c r="B860" s="2" t="str">
        <x:v>EV000861</x:v>
      </x:c>
      <x:c r="C860" s="2" t="str">
        <x:v>T20261005-2-3</x:v>
      </x:c>
      <x:c r="D860" s="2" t="str">
        <x:v>ST104</x:v>
      </x:c>
      <x:c r="E860" s="2" t="str">
        <x:v>G104</x:v>
      </x:c>
      <x:c r="F860" s="2" t="str">
        <x:v>guardian104@example.invalid</x:v>
      </x:c>
      <x:c r="G860" s="2" t="str">
        <x:v>Email</x:v>
      </x:c>
      <x:c r="H860" s="2" t="str">
        <x:v>Boarded</x:v>
      </x:c>
      <x:c r="I860" s="8" t="n">
        <x:v>46300.481354166666</x:v>
      </x:c>
      <x:c r="J860" s="8" t="n">
        <x:v>46300.48137731481</x:v>
      </x:c>
      <x:c r="K860" s="8" t="n">
        <x:v>46300.481412037036</x:v>
      </x:c>
      <x:c r="L860" s="2" t="str">
        <x:v>Sent</x:v>
      </x:c>
      <x:c r="M860" s="2" t="n">
        <x:v>1</x:v>
      </x:c>
      <x:c r="N860" s="2"/>
      <x:c r="O860" s="2"/>
    </x:row>
    <x:row r="861" ht="21" customHeight="1">
      <x:c r="A861" s="2" t="str">
        <x:v>NT000860</x:v>
      </x:c>
      <x:c r="B861" s="2" t="str">
        <x:v>EV000862</x:v>
      </x:c>
      <x:c r="C861" s="2" t="str">
        <x:v>T20261005-2-3</x:v>
      </x:c>
      <x:c r="D861" s="2" t="str">
        <x:v>ST104</x:v>
      </x:c>
      <x:c r="E861" s="2" t="str">
        <x:v>G104</x:v>
      </x:c>
      <x:c r="F861" s="2" t="str">
        <x:v>guardian104@example.invalid</x:v>
      </x:c>
      <x:c r="G861" s="2" t="str">
        <x:v>Email</x:v>
      </x:c>
      <x:c r="H861" s="2" t="str">
        <x:v>School receipt</x:v>
      </x:c>
      <x:c r="I861" s="8" t="n">
        <x:v>46300.50635416667</x:v>
      </x:c>
      <x:c r="J861" s="8" t="n">
        <x:v>46300.506377314814</x:v>
      </x:c>
      <x:c r="K861" s="8" t="n">
        <x:v>46300.50641203704</x:v>
      </x:c>
      <x:c r="L861" s="2" t="str">
        <x:v>Sent</x:v>
      </x:c>
      <x:c r="M861" s="2" t="n">
        <x:v>1</x:v>
      </x:c>
      <x:c r="N861" s="2"/>
      <x:c r="O861" s="2"/>
    </x:row>
    <x:row r="862" ht="21" customHeight="1">
      <x:c r="A862" s="2" t="str">
        <x:v>NT000861</x:v>
      </x:c>
      <x:c r="B862" s="2" t="str">
        <x:v>EV000863</x:v>
      </x:c>
      <x:c r="C862" s="2" t="str">
        <x:v>T20261005-2-3</x:v>
      </x:c>
      <x:c r="D862" s="2" t="str">
        <x:v>ST105</x:v>
      </x:c>
      <x:c r="E862" s="2" t="str">
        <x:v>G105</x:v>
      </x:c>
      <x:c r="F862" s="2" t="str">
        <x:v>guardian105@example.invalid</x:v>
      </x:c>
      <x:c r="G862" s="2" t="str">
        <x:v>Email</x:v>
      </x:c>
      <x:c r="H862" s="2" t="str">
        <x:v>Boarded</x:v>
      </x:c>
      <x:c r="I862" s="8" t="n">
        <x:v>46300.47166666667</x:v>
      </x:c>
      <x:c r="J862" s="8" t="n">
        <x:v>46300.47168981482</x:v>
      </x:c>
      <x:c r="K862" s="8" t="n">
        <x:v>46300.47172453704</x:v>
      </x:c>
      <x:c r="L862" s="2" t="str">
        <x:v>Sent</x:v>
      </x:c>
      <x:c r="M862" s="2" t="n">
        <x:v>1</x:v>
      </x:c>
      <x:c r="N862" s="2"/>
      <x:c r="O862" s="2"/>
    </x:row>
    <x:row r="863" ht="21" customHeight="1">
      <x:c r="A863" s="2" t="str">
        <x:v>NT000862</x:v>
      </x:c>
      <x:c r="B863" s="2" t="str">
        <x:v>EV000864</x:v>
      </x:c>
      <x:c r="C863" s="2" t="str">
        <x:v>T20261005-2-3</x:v>
      </x:c>
      <x:c r="D863" s="2" t="str">
        <x:v>ST105</x:v>
      </x:c>
      <x:c r="E863" s="2" t="str">
        <x:v>G105</x:v>
      </x:c>
      <x:c r="F863" s="2" t="str">
        <x:v>guardian105@example.invalid</x:v>
      </x:c>
      <x:c r="G863" s="2" t="str">
        <x:v>Email</x:v>
      </x:c>
      <x:c r="H863" s="2" t="str">
        <x:v>School receipt</x:v>
      </x:c>
      <x:c r="I863" s="8" t="n">
        <x:v>46300.50638888889</x:v>
      </x:c>
      <x:c r="J863" s="8" t="n">
        <x:v>46300.50641203704</x:v>
      </x:c>
      <x:c r="K863" s="8" t="n">
        <x:v>46300.50644675926</x:v>
      </x:c>
      <x:c r="L863" s="2" t="str">
        <x:v>Sent</x:v>
      </x:c>
      <x:c r="M863" s="2" t="n">
        <x:v>1</x:v>
      </x:c>
      <x:c r="N863" s="2"/>
      <x:c r="O863" s="2"/>
    </x:row>
    <x:row r="864" ht="21" customHeight="1">
      <x:c r="A864" s="2" t="str">
        <x:v>NT000863</x:v>
      </x:c>
      <x:c r="B864" s="2" t="str">
        <x:v>EV000865</x:v>
      </x:c>
      <x:c r="C864" s="2" t="str">
        <x:v>T20261005-2-3</x:v>
      </x:c>
      <x:c r="D864" s="2" t="str">
        <x:v>ST106</x:v>
      </x:c>
      <x:c r="E864" s="2" t="str">
        <x:v>G106</x:v>
      </x:c>
      <x:c r="F864" s="2" t="str">
        <x:v>guardian106@example.invalid</x:v>
      </x:c>
      <x:c r="G864" s="2" t="str">
        <x:v>Email</x:v>
      </x:c>
      <x:c r="H864" s="2" t="str">
        <x:v>Boarded</x:v>
      </x:c>
      <x:c r="I864" s="8" t="n">
        <x:v>46300.47656249999</x:v>
      </x:c>
      <x:c r="J864" s="8" t="n">
        <x:v>46300.47658564814</x:v>
      </x:c>
      <x:c r="K864" s="8" t="n">
        <x:v>46300.47662037036</x:v>
      </x:c>
      <x:c r="L864" s="2" t="str">
        <x:v>Sent</x:v>
      </x:c>
      <x:c r="M864" s="2" t="n">
        <x:v>1</x:v>
      </x:c>
      <x:c r="N864" s="2"/>
      <x:c r="O864" s="2"/>
    </x:row>
    <x:row r="865" ht="21" customHeight="1">
      <x:c r="A865" s="2" t="str">
        <x:v>NT000864</x:v>
      </x:c>
      <x:c r="B865" s="2" t="str">
        <x:v>EV000866</x:v>
      </x:c>
      <x:c r="C865" s="2" t="str">
        <x:v>T20261005-2-3</x:v>
      </x:c>
      <x:c r="D865" s="2" t="str">
        <x:v>ST106</x:v>
      </x:c>
      <x:c r="E865" s="2" t="str">
        <x:v>G106</x:v>
      </x:c>
      <x:c r="F865" s="2" t="str">
        <x:v>guardian106@example.invalid</x:v>
      </x:c>
      <x:c r="G865" s="2" t="str">
        <x:v>Email</x:v>
      </x:c>
      <x:c r="H865" s="2" t="str">
        <x:v>School receipt</x:v>
      </x:c>
      <x:c r="I865" s="8" t="n">
        <x:v>46300.506423611114</x:v>
      </x:c>
      <x:c r="J865" s="8" t="n">
        <x:v>46300.50644675926</x:v>
      </x:c>
      <x:c r="K865" s="8" t="n">
        <x:v>46300.50648148148</x:v>
      </x:c>
      <x:c r="L865" s="2" t="str">
        <x:v>Sent</x:v>
      </x:c>
      <x:c r="M865" s="2" t="n">
        <x:v>1</x:v>
      </x:c>
      <x:c r="N865" s="2"/>
      <x:c r="O865" s="2"/>
    </x:row>
    <x:row r="866" ht="21" customHeight="1">
      <x:c r="A866" s="2" t="str">
        <x:v>NT000865</x:v>
      </x:c>
      <x:c r="B866" s="2" t="str">
        <x:v>EV000867</x:v>
      </x:c>
      <x:c r="C866" s="2" t="str">
        <x:v>T20261005-2-3</x:v>
      </x:c>
      <x:c r="D866" s="2" t="str">
        <x:v>ST107</x:v>
      </x:c>
      <x:c r="E866" s="2" t="str">
        <x:v>G107</x:v>
      </x:c>
      <x:c r="F866" s="2" t="str">
        <x:v>guardian107@example.invalid</x:v>
      </x:c>
      <x:c r="G866" s="2" t="str">
        <x:v>Email</x:v>
      </x:c>
      <x:c r="H866" s="2" t="str">
        <x:v>Boarded</x:v>
      </x:c>
      <x:c r="I866" s="8" t="n">
        <x:v>46300.48145833333</x:v>
      </x:c>
      <x:c r="J866" s="8" t="n">
        <x:v>46300.481481481474</x:v>
      </x:c>
      <x:c r="K866" s="8" t="n">
        <x:v>46300.4815162037</x:v>
      </x:c>
      <x:c r="L866" s="2" t="str">
        <x:v>Sent</x:v>
      </x:c>
      <x:c r="M866" s="2" t="n">
        <x:v>1</x:v>
      </x:c>
      <x:c r="N866" s="2"/>
      <x:c r="O866" s="2"/>
    </x:row>
    <x:row r="867" ht="21" customHeight="1">
      <x:c r="A867" s="2" t="str">
        <x:v>NT000866</x:v>
      </x:c>
      <x:c r="B867" s="2" t="str">
        <x:v>EV000868</x:v>
      </x:c>
      <x:c r="C867" s="2" t="str">
        <x:v>T20261005-2-3</x:v>
      </x:c>
      <x:c r="D867" s="2" t="str">
        <x:v>ST107</x:v>
      </x:c>
      <x:c r="E867" s="2" t="str">
        <x:v>G107</x:v>
      </x:c>
      <x:c r="F867" s="2" t="str">
        <x:v>guardian107@example.invalid</x:v>
      </x:c>
      <x:c r="G867" s="2" t="str">
        <x:v>Email</x:v>
      </x:c>
      <x:c r="H867" s="2" t="str">
        <x:v>School receipt</x:v>
      </x:c>
      <x:c r="I867" s="8" t="n">
        <x:v>46300.50645833334</x:v>
      </x:c>
      <x:c r="J867" s="8" t="n">
        <x:v>46300.50648148148</x:v>
      </x:c>
      <x:c r="K867" s="8" t="n">
        <x:v>46300.506516203706</x:v>
      </x:c>
      <x:c r="L867" s="2" t="str">
        <x:v>Sent</x:v>
      </x:c>
      <x:c r="M867" s="2" t="n">
        <x:v>1</x:v>
      </x:c>
      <x:c r="N867" s="2"/>
      <x:c r="O867" s="2"/>
    </x:row>
    <x:row r="868" ht="21" customHeight="1">
      <x:c r="A868" s="2" t="str">
        <x:v>NT000867</x:v>
      </x:c>
      <x:c r="B868" s="2" t="str">
        <x:v>EV000869</x:v>
      </x:c>
      <x:c r="C868" s="2" t="str">
        <x:v>T20261005-2-3</x:v>
      </x:c>
      <x:c r="D868" s="2" t="str">
        <x:v>ST108</x:v>
      </x:c>
      <x:c r="E868" s="2" t="str">
        <x:v>G108</x:v>
      </x:c>
      <x:c r="F868" s="2" t="str">
        <x:v>guardian108@example.invalid</x:v>
      </x:c>
      <x:c r="G868" s="2" t="str">
        <x:v>Email</x:v>
      </x:c>
      <x:c r="H868" s="2" t="str">
        <x:v>Boarded</x:v>
      </x:c>
      <x:c r="I868" s="8" t="n">
        <x:v>46300.471770833334</x:v>
      </x:c>
      <x:c r="J868" s="8" t="n">
        <x:v>46300.47179398148</x:v>
      </x:c>
      <x:c r="K868" s="8" t="n">
        <x:v>46300.4718287037</x:v>
      </x:c>
      <x:c r="L868" s="2" t="str">
        <x:v>Sent</x:v>
      </x:c>
      <x:c r="M868" s="2" t="n">
        <x:v>1</x:v>
      </x:c>
      <x:c r="N868" s="2"/>
      <x:c r="O868" s="2"/>
    </x:row>
    <x:row r="869" ht="21" customHeight="1">
      <x:c r="A869" s="2" t="str">
        <x:v>NT000868</x:v>
      </x:c>
      <x:c r="B869" s="2" t="str">
        <x:v>EV000870</x:v>
      </x:c>
      <x:c r="C869" s="2" t="str">
        <x:v>T20261005-2-3</x:v>
      </x:c>
      <x:c r="D869" s="2" t="str">
        <x:v>ST108</x:v>
      </x:c>
      <x:c r="E869" s="2" t="str">
        <x:v>G108</x:v>
      </x:c>
      <x:c r="F869" s="2" t="str">
        <x:v>guardian108@example.invalid</x:v>
      </x:c>
      <x:c r="G869" s="2" t="str">
        <x:v>Email</x:v>
      </x:c>
      <x:c r="H869" s="2" t="str">
        <x:v>School receipt</x:v>
      </x:c>
      <x:c r="I869" s="8" t="n">
        <x:v>46300.50649305556</x:v>
      </x:c>
      <x:c r="J869" s="8" t="n">
        <x:v>46300.506516203706</x:v>
      </x:c>
      <x:c r="K869" s="8" t="n">
        <x:v>46300.50655092593</x:v>
      </x:c>
      <x:c r="L869" s="2" t="str">
        <x:v>Sent</x:v>
      </x:c>
      <x:c r="M869" s="2" t="n">
        <x:v>1</x:v>
      </x:c>
      <x:c r="N869" s="2"/>
      <x:c r="O869" s="2"/>
    </x:row>
    <x:row r="870" ht="21" customHeight="1">
      <x:c r="A870" s="2" t="str">
        <x:v>NT000869</x:v>
      </x:c>
      <x:c r="B870" s="2" t="str">
        <x:v>EV000871</x:v>
      </x:c>
      <x:c r="C870" s="2" t="str">
        <x:v>T20261005-2-3</x:v>
      </x:c>
      <x:c r="D870" s="2" t="str">
        <x:v>ST109</x:v>
      </x:c>
      <x:c r="E870" s="2" t="str">
        <x:v>G109</x:v>
      </x:c>
      <x:c r="F870" s="2" t="str">
        <x:v>guardian109@example.invalid</x:v>
      </x:c>
      <x:c r="G870" s="2" t="str">
        <x:v>Email</x:v>
      </x:c>
      <x:c r="H870" s="2" t="str">
        <x:v>Boarded</x:v>
      </x:c>
      <x:c r="I870" s="8" t="n">
        <x:v>46300.47666666666</x:v>
      </x:c>
      <x:c r="J870" s="8" t="n">
        <x:v>46300.47668981481</x:v>
      </x:c>
      <x:c r="K870" s="8" t="n">
        <x:v>46300.47672453703</x:v>
      </x:c>
      <x:c r="L870" s="2" t="str">
        <x:v>Sent</x:v>
      </x:c>
      <x:c r="M870" s="2" t="n">
        <x:v>1</x:v>
      </x:c>
      <x:c r="N870" s="2"/>
      <x:c r="O870" s="2"/>
    </x:row>
    <x:row r="871" ht="21" customHeight="1">
      <x:c r="A871" s="2" t="str">
        <x:v>NT000870</x:v>
      </x:c>
      <x:c r="B871" s="2" t="str">
        <x:v>EV000872</x:v>
      </x:c>
      <x:c r="C871" s="2" t="str">
        <x:v>T20261005-2-3</x:v>
      </x:c>
      <x:c r="D871" s="2" t="str">
        <x:v>ST109</x:v>
      </x:c>
      <x:c r="E871" s="2" t="str">
        <x:v>G109</x:v>
      </x:c>
      <x:c r="F871" s="2" t="str">
        <x:v>guardian109@example.invalid</x:v>
      </x:c>
      <x:c r="G871" s="2" t="str">
        <x:v>Email</x:v>
      </x:c>
      <x:c r="H871" s="2" t="str">
        <x:v>School receipt</x:v>
      </x:c>
      <x:c r="I871" s="8" t="n">
        <x:v>46300.50652777778</x:v>
      </x:c>
      <x:c r="J871" s="8" t="n">
        <x:v>46300.50655092593</x:v>
      </x:c>
      <x:c r="K871" s="8" t="n">
        <x:v>46300.50658564815</x:v>
      </x:c>
      <x:c r="L871" s="2" t="str">
        <x:v>Sent</x:v>
      </x:c>
      <x:c r="M871" s="2" t="n">
        <x:v>1</x:v>
      </x:c>
      <x:c r="N871" s="2"/>
      <x:c r="O871" s="2"/>
    </x:row>
    <x:row r="872" ht="21" customHeight="1">
      <x:c r="A872" s="2" t="str">
        <x:v>NT000871</x:v>
      </x:c>
      <x:c r="B872" s="2" t="str">
        <x:v>EV000873</x:v>
      </x:c>
      <x:c r="C872" s="2" t="str">
        <x:v>T20261005-2-3</x:v>
      </x:c>
      <x:c r="D872" s="2" t="str">
        <x:v>ST110</x:v>
      </x:c>
      <x:c r="E872" s="2" t="str">
        <x:v>G110</x:v>
      </x:c>
      <x:c r="F872" s="2" t="str">
        <x:v>guardian110@example.invalid</x:v>
      </x:c>
      <x:c r="G872" s="2" t="str">
        <x:v>Email</x:v>
      </x:c>
      <x:c r="H872" s="2" t="str">
        <x:v>Boarded</x:v>
      </x:c>
      <x:c r="I872" s="8" t="n">
        <x:v>46300.4815625</x:v>
      </x:c>
      <x:c r="J872" s="8" t="n">
        <x:v>46300.481585648144</x:v>
      </x:c>
      <x:c r="K872" s="8" t="n">
        <x:v>46300.48162037037</x:v>
      </x:c>
      <x:c r="L872" s="2" t="str">
        <x:v>Sent</x:v>
      </x:c>
      <x:c r="M872" s="2" t="n">
        <x:v>1</x:v>
      </x:c>
      <x:c r="N872" s="2"/>
      <x:c r="O872" s="2"/>
    </x:row>
    <x:row r="873" ht="21" customHeight="1">
      <x:c r="A873" s="2" t="str">
        <x:v>NT000872</x:v>
      </x:c>
      <x:c r="B873" s="2" t="str">
        <x:v>EV000874</x:v>
      </x:c>
      <x:c r="C873" s="2" t="str">
        <x:v>T20261005-2-3</x:v>
      </x:c>
      <x:c r="D873" s="2" t="str">
        <x:v>ST110</x:v>
      </x:c>
      <x:c r="E873" s="2" t="str">
        <x:v>G110</x:v>
      </x:c>
      <x:c r="F873" s="2" t="str">
        <x:v>guardian110@example.invalid</x:v>
      </x:c>
      <x:c r="G873" s="2" t="str">
        <x:v>Email</x:v>
      </x:c>
      <x:c r="H873" s="2" t="str">
        <x:v>School receipt</x:v>
      </x:c>
      <x:c r="I873" s="8" t="n">
        <x:v>46300.506562500006</x:v>
      </x:c>
      <x:c r="J873" s="8" t="n">
        <x:v>46300.50658564815</x:v>
      </x:c>
      <x:c r="K873" s="8" t="n">
        <x:v>46300.506620370375</x:v>
      </x:c>
      <x:c r="L873" s="2" t="str">
        <x:v>Sent</x:v>
      </x:c>
      <x:c r="M873" s="2" t="n">
        <x:v>1</x:v>
      </x:c>
      <x:c r="N873" s="2"/>
      <x:c r="O873" s="2"/>
    </x:row>
    <x:row r="874" ht="21" customHeight="1">
      <x:c r="A874" s="2" t="str">
        <x:v>NT000873</x:v>
      </x:c>
      <x:c r="B874" s="2" t="str">
        <x:v>EV000875</x:v>
      </x:c>
      <x:c r="C874" s="2" t="str">
        <x:v>T20261005-2-3</x:v>
      </x:c>
      <x:c r="D874" s="2" t="str">
        <x:v>ST111</x:v>
      </x:c>
      <x:c r="E874" s="2" t="str">
        <x:v>G111</x:v>
      </x:c>
      <x:c r="F874" s="2" t="str">
        <x:v>guardian111@example.invalid</x:v>
      </x:c>
      <x:c r="G874" s="2" t="str">
        <x:v>Email</x:v>
      </x:c>
      <x:c r="H874" s="2" t="str">
        <x:v>Boarded</x:v>
      </x:c>
      <x:c r="I874" s="8" t="n">
        <x:v>46300.47152777778</x:v>
      </x:c>
      <x:c r="J874" s="8" t="n">
        <x:v>46300.471550925926</x:v>
      </x:c>
      <x:c r="K874" s="8" t="n">
        <x:v>46300.47158564815</x:v>
      </x:c>
      <x:c r="L874" s="2" t="str">
        <x:v>Sent</x:v>
      </x:c>
      <x:c r="M874" s="2" t="n">
        <x:v>1</x:v>
      </x:c>
      <x:c r="N874" s="2"/>
      <x:c r="O874" s="2"/>
    </x:row>
    <x:row r="875" ht="21" customHeight="1">
      <x:c r="A875" s="2" t="str">
        <x:v>NT000874</x:v>
      </x:c>
      <x:c r="B875" s="2" t="str">
        <x:v>EV000876</x:v>
      </x:c>
      <x:c r="C875" s="2" t="str">
        <x:v>T20261005-2-3</x:v>
      </x:c>
      <x:c r="D875" s="2" t="str">
        <x:v>ST111</x:v>
      </x:c>
      <x:c r="E875" s="2" t="str">
        <x:v>G111</x:v>
      </x:c>
      <x:c r="F875" s="2" t="str">
        <x:v>guardian111@example.invalid</x:v>
      </x:c>
      <x:c r="G875" s="2" t="str">
        <x:v>Email</x:v>
      </x:c>
      <x:c r="H875" s="2" t="str">
        <x:v>School receipt</x:v>
      </x:c>
      <x:c r="I875" s="8" t="n">
        <x:v>46300.50659722223</x:v>
      </x:c>
      <x:c r="J875" s="8" t="n">
        <x:v>46300.506620370375</x:v>
      </x:c>
      <x:c r="K875" s="8" t="n">
        <x:v>46300.5066550926</x:v>
      </x:c>
      <x:c r="L875" s="2" t="str">
        <x:v>Sent</x:v>
      </x:c>
      <x:c r="M875" s="2" t="n">
        <x:v>1</x:v>
      </x:c>
      <x:c r="N875" s="2"/>
      <x:c r="O875" s="2"/>
    </x:row>
    <x:row r="876" ht="21" customHeight="1">
      <x:c r="A876" s="2" t="str">
        <x:v>NT000875</x:v>
      </x:c>
      <x:c r="B876" s="2" t="str">
        <x:v>EV000877</x:v>
      </x:c>
      <x:c r="C876" s="2" t="str">
        <x:v>T20261005-2-3</x:v>
      </x:c>
      <x:c r="D876" s="2" t="str">
        <x:v>ST112</x:v>
      </x:c>
      <x:c r="E876" s="2" t="str">
        <x:v>G112</x:v>
      </x:c>
      <x:c r="F876" s="2" t="str">
        <x:v>guardian112@example.invalid</x:v>
      </x:c>
      <x:c r="G876" s="2" t="str">
        <x:v>Email</x:v>
      </x:c>
      <x:c r="H876" s="2" t="str">
        <x:v>Boarded</x:v>
      </x:c>
      <x:c r="I876" s="8" t="n">
        <x:v>46300.47642361111</x:v>
      </x:c>
      <x:c r="J876" s="8" t="n">
        <x:v>46300.476446759254</x:v>
      </x:c>
      <x:c r="K876" s="8" t="n">
        <x:v>46300.47648148148</x:v>
      </x:c>
      <x:c r="L876" s="2" t="str">
        <x:v>Sent</x:v>
      </x:c>
      <x:c r="M876" s="2" t="n">
        <x:v>1</x:v>
      </x:c>
      <x:c r="N876" s="2"/>
      <x:c r="O876" s="2"/>
    </x:row>
    <x:row r="877" ht="21" customHeight="1">
      <x:c r="A877" s="2" t="str">
        <x:v>NT000876</x:v>
      </x:c>
      <x:c r="B877" s="2" t="str">
        <x:v>EV000878</x:v>
      </x:c>
      <x:c r="C877" s="2" t="str">
        <x:v>T20261005-2-3</x:v>
      </x:c>
      <x:c r="D877" s="2" t="str">
        <x:v>ST112</x:v>
      </x:c>
      <x:c r="E877" s="2" t="str">
        <x:v>G112</x:v>
      </x:c>
      <x:c r="F877" s="2" t="str">
        <x:v>guardian112@example.invalid</x:v>
      </x:c>
      <x:c r="G877" s="2" t="str">
        <x:v>Email</x:v>
      </x:c>
      <x:c r="H877" s="2" t="str">
        <x:v>School receipt</x:v>
      </x:c>
      <x:c r="I877" s="8" t="n">
        <x:v>46300.506631944445</x:v>
      </x:c>
      <x:c r="J877" s="8" t="n">
        <x:v>46300.50665509259</x:v>
      </x:c>
      <x:c r="K877" s="8" t="n">
        <x:v>46300.506689814814</x:v>
      </x:c>
      <x:c r="L877" s="2" t="str">
        <x:v>Sent</x:v>
      </x:c>
      <x:c r="M877" s="2" t="n">
        <x:v>1</x:v>
      </x:c>
      <x:c r="N877" s="2"/>
      <x:c r="O877" s="2"/>
    </x:row>
    <x:row r="878" ht="21" customHeight="1">
      <x:c r="A878" s="2" t="str">
        <x:v>NT000877</x:v>
      </x:c>
      <x:c r="B878" s="2" t="str">
        <x:v>EV000879</x:v>
      </x:c>
      <x:c r="C878" s="2" t="str">
        <x:v>T20261005-2-3</x:v>
      </x:c>
      <x:c r="D878" s="2" t="str">
        <x:v>ST113</x:v>
      </x:c>
      <x:c r="E878" s="2" t="str">
        <x:v>G113</x:v>
      </x:c>
      <x:c r="F878" s="2" t="str">
        <x:v>guardian113@example.invalid</x:v>
      </x:c>
      <x:c r="G878" s="2" t="str">
        <x:v>Email</x:v>
      </x:c>
      <x:c r="H878" s="2" t="str">
        <x:v>Boarded</x:v>
      </x:c>
      <x:c r="I878" s="8" t="n">
        <x:v>46300.48131944444</x:v>
      </x:c>
      <x:c r="J878" s="8" t="n">
        <x:v>46300.48134259259</x:v>
      </x:c>
      <x:c r="K878" s="8" t="n">
        <x:v>46300.48137731481</x:v>
      </x:c>
      <x:c r="L878" s="2" t="str">
        <x:v>Sent</x:v>
      </x:c>
      <x:c r="M878" s="2" t="n">
        <x:v>1</x:v>
      </x:c>
      <x:c r="N878" s="2"/>
      <x:c r="O878" s="2"/>
    </x:row>
    <x:row r="879" ht="21" customHeight="1">
      <x:c r="A879" s="2" t="str">
        <x:v>NT000878</x:v>
      </x:c>
      <x:c r="B879" s="2" t="str">
        <x:v>EV000880</x:v>
      </x:c>
      <x:c r="C879" s="2" t="str">
        <x:v>T20261005-2-3</x:v>
      </x:c>
      <x:c r="D879" s="2" t="str">
        <x:v>ST113</x:v>
      </x:c>
      <x:c r="E879" s="2" t="str">
        <x:v>G113</x:v>
      </x:c>
      <x:c r="F879" s="2" t="str">
        <x:v>guardian113@example.invalid</x:v>
      </x:c>
      <x:c r="G879" s="2" t="str">
        <x:v>Email</x:v>
      </x:c>
      <x:c r="H879" s="2" t="str">
        <x:v>School receipt</x:v>
      </x:c>
      <x:c r="I879" s="8" t="n">
        <x:v>46300.50666666667</x:v>
      </x:c>
      <x:c r="J879" s="8" t="n">
        <x:v>46300.506689814814</x:v>
      </x:c>
      <x:c r="K879" s="8" t="n">
        <x:v>46300.50672453704</x:v>
      </x:c>
      <x:c r="L879" s="2" t="str">
        <x:v>Sent</x:v>
      </x:c>
      <x:c r="M879" s="2" t="n">
        <x:v>1</x:v>
      </x:c>
      <x:c r="N879" s="2"/>
      <x:c r="O879" s="2"/>
    </x:row>
    <x:row r="880" ht="21" customHeight="1">
      <x:c r="A880" s="2" t="str">
        <x:v>NT000879</x:v>
      </x:c>
      <x:c r="B880" s="2" t="str">
        <x:v>EV000881</x:v>
      </x:c>
      <x:c r="C880" s="2" t="str">
        <x:v>T20261005-2-3</x:v>
      </x:c>
      <x:c r="D880" s="2" t="str">
        <x:v>ST114</x:v>
      </x:c>
      <x:c r="E880" s="2" t="str">
        <x:v>G114</x:v>
      </x:c>
      <x:c r="F880" s="2" t="str">
        <x:v>guardian114@example.invalid</x:v>
      </x:c>
      <x:c r="G880" s="2" t="str">
        <x:v>Email</x:v>
      </x:c>
      <x:c r="H880" s="2" t="str">
        <x:v>Boarded</x:v>
      </x:c>
      <x:c r="I880" s="8" t="n">
        <x:v>46300.47163194445</x:v>
      </x:c>
      <x:c r="J880" s="8" t="n">
        <x:v>46300.471655092595</x:v>
      </x:c>
      <x:c r="K880" s="8" t="n">
        <x:v>46300.47168981482</x:v>
      </x:c>
      <x:c r="L880" s="2" t="str">
        <x:v>Sent</x:v>
      </x:c>
      <x:c r="M880" s="2" t="n">
        <x:v>1</x:v>
      </x:c>
      <x:c r="N880" s="2"/>
      <x:c r="O880" s="2"/>
    </x:row>
    <x:row r="881" ht="21" customHeight="1">
      <x:c r="A881" s="2" t="str">
        <x:v>NT000880</x:v>
      </x:c>
      <x:c r="B881" s="2" t="str">
        <x:v>EV000882</x:v>
      </x:c>
      <x:c r="C881" s="2" t="str">
        <x:v>T20261005-2-3</x:v>
      </x:c>
      <x:c r="D881" s="2" t="str">
        <x:v>ST114</x:v>
      </x:c>
      <x:c r="E881" s="2" t="str">
        <x:v>G114</x:v>
      </x:c>
      <x:c r="F881" s="2" t="str">
        <x:v>guardian114@example.invalid</x:v>
      </x:c>
      <x:c r="G881" s="2" t="str">
        <x:v>Email</x:v>
      </x:c>
      <x:c r="H881" s="2" t="str">
        <x:v>School receipt</x:v>
      </x:c>
      <x:c r="I881" s="8" t="n">
        <x:v>46300.50670138889</x:v>
      </x:c>
      <x:c r="J881" s="8" t="n">
        <x:v>46300.50672453704</x:v>
      </x:c>
      <x:c r="K881" s="8" t="n">
        <x:v>46300.50675925926</x:v>
      </x:c>
      <x:c r="L881" s="2" t="str">
        <x:v>Sent</x:v>
      </x:c>
      <x:c r="M881" s="2" t="n">
        <x:v>1</x:v>
      </x:c>
      <x:c r="N881" s="2"/>
      <x:c r="O881" s="2"/>
    </x:row>
    <x:row r="882" ht="21" customHeight="1">
      <x:c r="A882" s="2" t="str">
        <x:v>NT000881</x:v>
      </x:c>
      <x:c r="B882" s="2" t="str">
        <x:v>EV000883</x:v>
      </x:c>
      <x:c r="C882" s="2" t="str">
        <x:v>T20261005-2-3</x:v>
      </x:c>
      <x:c r="D882" s="2" t="str">
        <x:v>ST115</x:v>
      </x:c>
      <x:c r="E882" s="2" t="str">
        <x:v>G115</x:v>
      </x:c>
      <x:c r="F882" s="2" t="str">
        <x:v>guardian115@example.invalid</x:v>
      </x:c>
      <x:c r="G882" s="2" t="str">
        <x:v>Email</x:v>
      </x:c>
      <x:c r="H882" s="2" t="str">
        <x:v>Boarded</x:v>
      </x:c>
      <x:c r="I882" s="8" t="n">
        <x:v>46300.47652777778</x:v>
      </x:c>
      <x:c r="J882" s="8" t="n">
        <x:v>46300.47655092592</x:v>
      </x:c>
      <x:c r="K882" s="8" t="n">
        <x:v>46300.476585648146</x:v>
      </x:c>
      <x:c r="L882" s="2" t="str">
        <x:v>Sent</x:v>
      </x:c>
      <x:c r="M882" s="2" t="n">
        <x:v>1</x:v>
      </x:c>
      <x:c r="N882" s="2"/>
      <x:c r="O882" s="2"/>
    </x:row>
    <x:row r="883" ht="21" customHeight="1">
      <x:c r="A883" s="2" t="str">
        <x:v>NT000882</x:v>
      </x:c>
      <x:c r="B883" s="2" t="str">
        <x:v>EV000884</x:v>
      </x:c>
      <x:c r="C883" s="2" t="str">
        <x:v>T20261005-2-3</x:v>
      </x:c>
      <x:c r="D883" s="2" t="str">
        <x:v>ST115</x:v>
      </x:c>
      <x:c r="E883" s="2" t="str">
        <x:v>G115</x:v>
      </x:c>
      <x:c r="F883" s="2" t="str">
        <x:v>guardian115@example.invalid</x:v>
      </x:c>
      <x:c r="G883" s="2" t="str">
        <x:v>Email</x:v>
      </x:c>
      <x:c r="H883" s="2" t="str">
        <x:v>School receipt</x:v>
      </x:c>
      <x:c r="I883" s="8" t="n">
        <x:v>46300.506736111114</x:v>
      </x:c>
      <x:c r="J883" s="8" t="n">
        <x:v>46300.50675925926</x:v>
      </x:c>
      <x:c r="K883" s="8" t="n">
        <x:v>46300.50679398148</x:v>
      </x:c>
      <x:c r="L883" s="2" t="str">
        <x:v>Sent</x:v>
      </x:c>
      <x:c r="M883" s="2" t="n">
        <x:v>1</x:v>
      </x:c>
      <x:c r="N883" s="2"/>
      <x:c r="O883" s="2"/>
    </x:row>
    <x:row r="884" ht="21" customHeight="1">
      <x:c r="A884" s="2" t="str">
        <x:v>NT000883</x:v>
      </x:c>
      <x:c r="B884" s="2" t="str">
        <x:v>EV000885</x:v>
      </x:c>
      <x:c r="C884" s="2" t="str">
        <x:v>T20261005-2-3</x:v>
      </x:c>
      <x:c r="D884" s="2" t="str">
        <x:v>ST116</x:v>
      </x:c>
      <x:c r="E884" s="2" t="str">
        <x:v>G116</x:v>
      </x:c>
      <x:c r="F884" s="2" t="str">
        <x:v>guardian116@example.invalid</x:v>
      </x:c>
      <x:c r="G884" s="2" t="str">
        <x:v>Email</x:v>
      </x:c>
      <x:c r="H884" s="2" t="str">
        <x:v>Boarded</x:v>
      </x:c>
      <x:c r="I884" s="8" t="n">
        <x:v>46300.481423611105</x:v>
      </x:c>
      <x:c r="J884" s="8" t="n">
        <x:v>46300.48144675925</x:v>
      </x:c>
      <x:c r="K884" s="8" t="n">
        <x:v>46300.481481481474</x:v>
      </x:c>
      <x:c r="L884" s="2" t="str">
        <x:v>Sent</x:v>
      </x:c>
      <x:c r="M884" s="2" t="n">
        <x:v>1</x:v>
      </x:c>
      <x:c r="N884" s="2"/>
      <x:c r="O884" s="2"/>
    </x:row>
    <x:row r="885" ht="21" customHeight="1">
      <x:c r="A885" s="2" t="str">
        <x:v>NT000884</x:v>
      </x:c>
      <x:c r="B885" s="2" t="str">
        <x:v>EV000886</x:v>
      </x:c>
      <x:c r="C885" s="2" t="str">
        <x:v>T20261005-2-3</x:v>
      </x:c>
      <x:c r="D885" s="2" t="str">
        <x:v>ST116</x:v>
      </x:c>
      <x:c r="E885" s="2" t="str">
        <x:v>G116</x:v>
      </x:c>
      <x:c r="F885" s="2" t="str">
        <x:v>guardian116@example.invalid</x:v>
      </x:c>
      <x:c r="G885" s="2" t="str">
        <x:v>Email</x:v>
      </x:c>
      <x:c r="H885" s="2" t="str">
        <x:v>School receipt</x:v>
      </x:c>
      <x:c r="I885" s="8" t="n">
        <x:v>46300.50677083334</x:v>
      </x:c>
      <x:c r="J885" s="8" t="n">
        <x:v>46300.50679398148</x:v>
      </x:c>
      <x:c r="K885" s="8" t="n">
        <x:v>46300.50682870371</x:v>
      </x:c>
      <x:c r="L885" s="2" t="str">
        <x:v>Sent</x:v>
      </x:c>
      <x:c r="M885" s="2" t="n">
        <x:v>1</x:v>
      </x:c>
      <x:c r="N885" s="2"/>
      <x:c r="O885" s="2"/>
    </x:row>
    <x:row r="886" ht="21" customHeight="1">
      <x:c r="A886" s="2" t="str">
        <x:v>NT000885</x:v>
      </x:c>
      <x:c r="B886" s="2" t="str">
        <x:v>EV000887</x:v>
      </x:c>
      <x:c r="C886" s="2" t="str">
        <x:v>T20261005-2-3</x:v>
      </x:c>
      <x:c r="D886" s="2" t="str">
        <x:v>ST117</x:v>
      </x:c>
      <x:c r="E886" s="2" t="str">
        <x:v>G117</x:v>
      </x:c>
      <x:c r="F886" s="2" t="str">
        <x:v>guardian117@example.invalid</x:v>
      </x:c>
      <x:c r="G886" s="2" t="str">
        <x:v>Email</x:v>
      </x:c>
      <x:c r="H886" s="2" t="str">
        <x:v>Boarded</x:v>
      </x:c>
      <x:c r="I886" s="8" t="n">
        <x:v>46300.47173611111</x:v>
      </x:c>
      <x:c r="J886" s="8" t="n">
        <x:v>46300.47175925926</x:v>
      </x:c>
      <x:c r="K886" s="8" t="n">
        <x:v>46300.47179398148</x:v>
      </x:c>
      <x:c r="L886" s="2" t="str">
        <x:v>Sent</x:v>
      </x:c>
      <x:c r="M886" s="2" t="n">
        <x:v>1</x:v>
      </x:c>
      <x:c r="N886" s="2"/>
      <x:c r="O886" s="2"/>
    </x:row>
    <x:row r="887" ht="21" customHeight="1">
      <x:c r="A887" s="2" t="str">
        <x:v>NT000886</x:v>
      </x:c>
      <x:c r="B887" s="2" t="str">
        <x:v>EV000888</x:v>
      </x:c>
      <x:c r="C887" s="2" t="str">
        <x:v>T20261005-2-3</x:v>
      </x:c>
      <x:c r="D887" s="2" t="str">
        <x:v>ST117</x:v>
      </x:c>
      <x:c r="E887" s="2" t="str">
        <x:v>G117</x:v>
      </x:c>
      <x:c r="F887" s="2" t="str">
        <x:v>guardian117@example.invalid</x:v>
      </x:c>
      <x:c r="G887" s="2" t="str">
        <x:v>Email</x:v>
      </x:c>
      <x:c r="H887" s="2" t="str">
        <x:v>School receipt</x:v>
      </x:c>
      <x:c r="I887" s="8" t="n">
        <x:v>46300.50680555556</x:v>
      </x:c>
      <x:c r="J887" s="8" t="n">
        <x:v>46300.50682870371</x:v>
      </x:c>
      <x:c r="K887" s="8" t="n">
        <x:v>46300.50686342593</x:v>
      </x:c>
      <x:c r="L887" s="2" t="str">
        <x:v>Sent</x:v>
      </x:c>
      <x:c r="M887" s="2" t="n">
        <x:v>1</x:v>
      </x:c>
      <x:c r="N887" s="2"/>
      <x:c r="O887" s="2"/>
    </x:row>
    <x:row r="888" ht="21" customHeight="1">
      <x:c r="A888" s="2" t="str">
        <x:v>NT000887</x:v>
      </x:c>
      <x:c r="B888" s="2" t="str">
        <x:v>EV000889</x:v>
      </x:c>
      <x:c r="C888" s="2" t="str">
        <x:v>T20261005-2-3</x:v>
      </x:c>
      <x:c r="D888" s="2" t="str">
        <x:v>ST118</x:v>
      </x:c>
      <x:c r="E888" s="2" t="str">
        <x:v>G118</x:v>
      </x:c>
      <x:c r="F888" s="2" t="str">
        <x:v>guardian118@example.invalid</x:v>
      </x:c>
      <x:c r="G888" s="2" t="str">
        <x:v>Email</x:v>
      </x:c>
      <x:c r="H888" s="2" t="str">
        <x:v>Boarded</x:v>
      </x:c>
      <x:c r="I888" s="8" t="n">
        <x:v>46300.47663194444</x:v>
      </x:c>
      <x:c r="J888" s="8" t="n">
        <x:v>46300.476655092585</x:v>
      </x:c>
      <x:c r="K888" s="8" t="n">
        <x:v>46300.47668981481</x:v>
      </x:c>
      <x:c r="L888" s="2" t="str">
        <x:v>Sent</x:v>
      </x:c>
      <x:c r="M888" s="2" t="n">
        <x:v>1</x:v>
      </x:c>
      <x:c r="N888" s="2"/>
      <x:c r="O888" s="2"/>
    </x:row>
    <x:row r="889" ht="21" customHeight="1">
      <x:c r="A889" s="2" t="str">
        <x:v>NT000888</x:v>
      </x:c>
      <x:c r="B889" s="2" t="str">
        <x:v>EV000890</x:v>
      </x:c>
      <x:c r="C889" s="2" t="str">
        <x:v>T20261005-2-3</x:v>
      </x:c>
      <x:c r="D889" s="2" t="str">
        <x:v>ST118</x:v>
      </x:c>
      <x:c r="E889" s="2" t="str">
        <x:v>G118</x:v>
      </x:c>
      <x:c r="F889" s="2" t="str">
        <x:v>guardian118@example.invalid</x:v>
      </x:c>
      <x:c r="G889" s="2" t="str">
        <x:v>Email</x:v>
      </x:c>
      <x:c r="H889" s="2" t="str">
        <x:v>School receipt</x:v>
      </x:c>
      <x:c r="I889" s="8" t="n">
        <x:v>46300.50684027778</x:v>
      </x:c>
      <x:c r="J889" s="8" t="n">
        <x:v>46300.50686342593</x:v>
      </x:c>
      <x:c r="K889" s="8" t="n">
        <x:v>46300.50689814815</x:v>
      </x:c>
      <x:c r="L889" s="2" t="str">
        <x:v>Sent</x:v>
      </x:c>
      <x:c r="M889" s="2" t="n">
        <x:v>1</x:v>
      </x:c>
      <x:c r="N889" s="2"/>
      <x:c r="O889" s="2"/>
    </x:row>
    <x:row r="890" ht="21" customHeight="1">
      <x:c r="A890" s="2" t="str">
        <x:v>NT000889</x:v>
      </x:c>
      <x:c r="B890" s="2" t="str">
        <x:v>EV000891</x:v>
      </x:c>
      <x:c r="C890" s="2" t="str">
        <x:v>T20261005-2-3</x:v>
      </x:c>
      <x:c r="D890" s="2" t="str">
        <x:v>ST119</x:v>
      </x:c>
      <x:c r="E890" s="2" t="str">
        <x:v>G119</x:v>
      </x:c>
      <x:c r="F890" s="2" t="str">
        <x:v>guardian119@example.invalid</x:v>
      </x:c>
      <x:c r="G890" s="2" t="str">
        <x:v>Email</x:v>
      </x:c>
      <x:c r="H890" s="2" t="str">
        <x:v>Boarded</x:v>
      </x:c>
      <x:c r="I890" s="8" t="n">
        <x:v>46300.481527777774</x:v>
      </x:c>
      <x:c r="J890" s="8" t="n">
        <x:v>46300.48155092592</x:v>
      </x:c>
      <x:c r="K890" s="8" t="n">
        <x:v>46300.481585648144</x:v>
      </x:c>
      <x:c r="L890" s="2" t="str">
        <x:v>Sent</x:v>
      </x:c>
      <x:c r="M890" s="2" t="n">
        <x:v>1</x:v>
      </x:c>
      <x:c r="N890" s="2"/>
      <x:c r="O890" s="2"/>
    </x:row>
    <x:row r="891" ht="21" customHeight="1">
      <x:c r="A891" s="2" t="str">
        <x:v>NT000890</x:v>
      </x:c>
      <x:c r="B891" s="2" t="str">
        <x:v>EV000892</x:v>
      </x:c>
      <x:c r="C891" s="2" t="str">
        <x:v>T20261005-2-3</x:v>
      </x:c>
      <x:c r="D891" s="2" t="str">
        <x:v>ST119</x:v>
      </x:c>
      <x:c r="E891" s="2" t="str">
        <x:v>G119</x:v>
      </x:c>
      <x:c r="F891" s="2" t="str">
        <x:v>guardian119@example.invalid</x:v>
      </x:c>
      <x:c r="G891" s="2" t="str">
        <x:v>Email</x:v>
      </x:c>
      <x:c r="H891" s="2" t="str">
        <x:v>School receipt</x:v>
      </x:c>
      <x:c r="I891" s="8" t="n">
        <x:v>46300.50687500001</x:v>
      </x:c>
      <x:c r="J891" s="8" t="n">
        <x:v>46300.50689814815</x:v>
      </x:c>
      <x:c r="K891" s="8" t="n">
        <x:v>46300.506932870376</x:v>
      </x:c>
      <x:c r="L891" s="2" t="str">
        <x:v>Sent</x:v>
      </x:c>
      <x:c r="M891" s="2" t="n">
        <x:v>1</x:v>
      </x:c>
      <x:c r="N891" s="2"/>
      <x:c r="O891" s="2"/>
    </x:row>
    <x:row r="892" ht="21" customHeight="1">
      <x:c r="A892" s="2" t="str">
        <x:v>NT000891</x:v>
      </x:c>
      <x:c r="B892" s="2" t="str">
        <x:v>EV000893</x:v>
      </x:c>
      <x:c r="C892" s="2" t="str">
        <x:v>T20261005-2-3</x:v>
      </x:c>
      <x:c r="D892" s="2" t="str">
        <x:v>ST120</x:v>
      </x:c>
      <x:c r="E892" s="2" t="str">
        <x:v>G120</x:v>
      </x:c>
      <x:c r="F892" s="2" t="str">
        <x:v>guardian120@example.invalid</x:v>
      </x:c>
      <x:c r="G892" s="2" t="str">
        <x:v>Email</x:v>
      </x:c>
      <x:c r="H892" s="2" t="str">
        <x:v>Boarded</x:v>
      </x:c>
      <x:c r="I892" s="8" t="n">
        <x:v>46300.47184027778</x:v>
      </x:c>
      <x:c r="J892" s="8" t="n">
        <x:v>46300.471863425926</x:v>
      </x:c>
      <x:c r="K892" s="8" t="n">
        <x:v>46300.47189814815</x:v>
      </x:c>
      <x:c r="L892" s="2" t="str">
        <x:v>Sent</x:v>
      </x:c>
      <x:c r="M892" s="2" t="n">
        <x:v>1</x:v>
      </x:c>
      <x:c r="N892" s="2"/>
      <x:c r="O892" s="2"/>
    </x:row>
    <x:row r="893" ht="21" customHeight="1">
      <x:c r="A893" s="2" t="str">
        <x:v>NT000892</x:v>
      </x:c>
      <x:c r="B893" s="2" t="str">
        <x:v>EV000894</x:v>
      </x:c>
      <x:c r="C893" s="2" t="str">
        <x:v>T20261005-2-3</x:v>
      </x:c>
      <x:c r="D893" s="2" t="str">
        <x:v>ST120</x:v>
      </x:c>
      <x:c r="E893" s="2" t="str">
        <x:v>G120</x:v>
      </x:c>
      <x:c r="F893" s="2" t="str">
        <x:v>guardian120@example.invalid</x:v>
      </x:c>
      <x:c r="G893" s="2" t="str">
        <x:v>Email</x:v>
      </x:c>
      <x:c r="H893" s="2" t="str">
        <x:v>School receipt</x:v>
      </x:c>
      <x:c r="I893" s="8" t="n">
        <x:v>46300.50690972222</x:v>
      </x:c>
      <x:c r="J893" s="8" t="n">
        <x:v>46300.50693287037</x:v>
      </x:c>
      <x:c r="K893" s="8" t="n">
        <x:v>46300.50696759259</x:v>
      </x:c>
      <x:c r="L893" s="2" t="str">
        <x:v>Sent</x:v>
      </x:c>
      <x:c r="M893" s="2" t="n">
        <x:v>1</x:v>
      </x:c>
      <x:c r="N893" s="2"/>
      <x:c r="O893" s="2"/>
    </x:row>
    <x:row r="894" ht="21" customHeight="1">
      <x:c r="A894" s="2" t="str">
        <x:v>NT000893</x:v>
      </x:c>
      <x:c r="B894" s="2" t="str">
        <x:v>EV000895</x:v>
      </x:c>
      <x:c r="C894" s="2" t="str">
        <x:v>T20261005-3-3</x:v>
      </x:c>
      <x:c r="D894" s="2" t="str">
        <x:v>ST091</x:v>
      </x:c>
      <x:c r="E894" s="2" t="str">
        <x:v>G091</x:v>
      </x:c>
      <x:c r="F894" s="2" t="str">
        <x:v>guardian091@example.invalid</x:v>
      </x:c>
      <x:c r="G894" s="2" t="str">
        <x:v>Email</x:v>
      </x:c>
      <x:c r="H894" s="2" t="str">
        <x:v>Boarded</x:v>
      </x:c>
      <x:c r="I894" s="8" t="n">
        <x:v>46300.57291666667</x:v>
      </x:c>
      <x:c r="J894" s="8" t="n">
        <x:v>46300.57293981482</x:v>
      </x:c>
      <x:c r="K894" s="8" t="n">
        <x:v>46300.57297453704</x:v>
      </x:c>
      <x:c r="L894" s="2" t="str">
        <x:v>Sent</x:v>
      </x:c>
      <x:c r="M894" s="2" t="n">
        <x:v>1</x:v>
      </x:c>
      <x:c r="N894" s="2"/>
      <x:c r="O894" s="2"/>
    </x:row>
    <x:row r="895" ht="21" customHeight="1">
      <x:c r="A895" s="2" t="str">
        <x:v>NT000894</x:v>
      </x:c>
      <x:c r="B895" s="2" t="str">
        <x:v>EV000896</x:v>
      </x:c>
      <x:c r="C895" s="2" t="str">
        <x:v>T20261005-3-3</x:v>
      </x:c>
      <x:c r="D895" s="2" t="str">
        <x:v>ST091</x:v>
      </x:c>
      <x:c r="E895" s="2" t="str">
        <x:v>G091</x:v>
      </x:c>
      <x:c r="F895" s="2" t="str">
        <x:v>guardian091@example.invalid</x:v>
      </x:c>
      <x:c r="G895" s="2" t="str">
        <x:v>Email</x:v>
      </x:c>
      <x:c r="H895" s="2" t="str">
        <x:v>Authorized release</x:v>
      </x:c>
      <x:c r="I895" s="8" t="n">
        <x:v>46300.59027777778</x:v>
      </x:c>
      <x:c r="J895" s="8" t="n">
        <x:v>46300.59030092593</x:v>
      </x:c>
      <x:c r="K895" s="8" t="n">
        <x:v>46300.59033564815</x:v>
      </x:c>
      <x:c r="L895" s="2" t="str">
        <x:v>Sent</x:v>
      </x:c>
      <x:c r="M895" s="2" t="n">
        <x:v>1</x:v>
      </x:c>
      <x:c r="N895" s="2"/>
      <x:c r="O895" s="2"/>
    </x:row>
    <x:row r="896" ht="21" customHeight="1">
      <x:c r="A896" s="2" t="str">
        <x:v>NT000895</x:v>
      </x:c>
      <x:c r="B896" s="2" t="str">
        <x:v>EV000897</x:v>
      </x:c>
      <x:c r="C896" s="2" t="str">
        <x:v>T20261005-3-3</x:v>
      </x:c>
      <x:c r="D896" s="2" t="str">
        <x:v>ST092</x:v>
      </x:c>
      <x:c r="E896" s="2" t="str">
        <x:v>G092</x:v>
      </x:c>
      <x:c r="F896" s="2" t="str">
        <x:v>guardian092@example.invalid</x:v>
      </x:c>
      <x:c r="G896" s="2" t="str">
        <x:v>Email</x:v>
      </x:c>
      <x:c r="H896" s="2" t="str">
        <x:v>Boarded</x:v>
      </x:c>
      <x:c r="I896" s="8" t="n">
        <x:v>46300.572951388895</x:v>
      </x:c>
      <x:c r="J896" s="8" t="n">
        <x:v>46300.57297453704</x:v>
      </x:c>
      <x:c r="K896" s="8" t="n">
        <x:v>46300.573009259264</x:v>
      </x:c>
      <x:c r="L896" s="2" t="str">
        <x:v>Sent</x:v>
      </x:c>
      <x:c r="M896" s="2" t="n">
        <x:v>1</x:v>
      </x:c>
      <x:c r="N896" s="2"/>
      <x:c r="O896" s="2"/>
    </x:row>
    <x:row r="897" ht="21" customHeight="1">
      <x:c r="A897" s="2" t="str">
        <x:v>NT000896</x:v>
      </x:c>
      <x:c r="B897" s="2" t="str">
        <x:v>EV000898</x:v>
      </x:c>
      <x:c r="C897" s="2" t="str">
        <x:v>T20261005-3-3</x:v>
      </x:c>
      <x:c r="D897" s="2" t="str">
        <x:v>ST092</x:v>
      </x:c>
      <x:c r="E897" s="2" t="str">
        <x:v>G092</x:v>
      </x:c>
      <x:c r="F897" s="2" t="str">
        <x:v>guardian092@example.invalid</x:v>
      </x:c>
      <x:c r="G897" s="2" t="str">
        <x:v>Email</x:v>
      </x:c>
      <x:c r="H897" s="2" t="str">
        <x:v>Authorized release</x:v>
      </x:c>
      <x:c r="I897" s="8" t="n">
        <x:v>46300.59447916667</x:v>
      </x:c>
      <x:c r="J897" s="8" t="n">
        <x:v>46300.594502314816</x:v>
      </x:c>
      <x:c r="K897" s="8" t="n">
        <x:v>46300.59453703704</x:v>
      </x:c>
      <x:c r="L897" s="2" t="str">
        <x:v>Sent</x:v>
      </x:c>
      <x:c r="M897" s="2" t="n">
        <x:v>1</x:v>
      </x:c>
      <x:c r="N897" s="2"/>
      <x:c r="O897" s="2"/>
    </x:row>
    <x:row r="898" ht="21" customHeight="1">
      <x:c r="A898" s="2" t="str">
        <x:v>NT000897</x:v>
      </x:c>
      <x:c r="B898" s="2" t="str">
        <x:v>EV000899</x:v>
      </x:c>
      <x:c r="C898" s="2" t="str">
        <x:v>T20261005-3-3</x:v>
      </x:c>
      <x:c r="D898" s="2" t="str">
        <x:v>ST093</x:v>
      </x:c>
      <x:c r="E898" s="2" t="str">
        <x:v>G093</x:v>
      </x:c>
      <x:c r="F898" s="2" t="str">
        <x:v>guardian093@example.invalid</x:v>
      </x:c>
      <x:c r="G898" s="2" t="str">
        <x:v>Email</x:v>
      </x:c>
      <x:c r="H898" s="2" t="str">
        <x:v>Boarded</x:v>
      </x:c>
      <x:c r="I898" s="8" t="n">
        <x:v>46300.57298611112</x:v>
      </x:c>
      <x:c r="J898" s="8" t="n">
        <x:v>46300.573009259264</x:v>
      </x:c>
      <x:c r="K898" s="8" t="n">
        <x:v>46300.57304398149</x:v>
      </x:c>
      <x:c r="L898" s="2" t="str">
        <x:v>Sent</x:v>
      </x:c>
      <x:c r="M898" s="2" t="n">
        <x:v>1</x:v>
      </x:c>
      <x:c r="N898" s="2"/>
      <x:c r="O898" s="2"/>
    </x:row>
    <x:row r="899" ht="21" customHeight="1">
      <x:c r="A899" s="2" t="str">
        <x:v>NT000898</x:v>
      </x:c>
      <x:c r="B899" s="2" t="str">
        <x:v>EV000900</x:v>
      </x:c>
      <x:c r="C899" s="2" t="str">
        <x:v>T20261005-3-3</x:v>
      </x:c>
      <x:c r="D899" s="2" t="str">
        <x:v>ST093</x:v>
      </x:c>
      <x:c r="E899" s="2" t="str">
        <x:v>G093</x:v>
      </x:c>
      <x:c r="F899" s="2" t="str">
        <x:v>guardian093@example.invalid</x:v>
      </x:c>
      <x:c r="G899" s="2" t="str">
        <x:v>Email</x:v>
      </x:c>
      <x:c r="H899" s="2" t="str">
        <x:v>Authorized release</x:v>
      </x:c>
      <x:c r="I899" s="8" t="n">
        <x:v>46300.58618055556</x:v>
      </x:c>
      <x:c r="J899" s="8" t="n">
        <x:v>46300.58620370371</x:v>
      </x:c>
      <x:c r="K899" s="8" t="n">
        <x:v>46300.58623842593</x:v>
      </x:c>
      <x:c r="L899" s="2" t="str">
        <x:v>Sent</x:v>
      </x:c>
      <x:c r="M899" s="2" t="n">
        <x:v>1</x:v>
      </x:c>
      <x:c r="N899" s="2"/>
      <x:c r="O899" s="2"/>
    </x:row>
    <x:row r="900" ht="21" customHeight="1">
      <x:c r="A900" s="2" t="str">
        <x:v>NT000899</x:v>
      </x:c>
      <x:c r="B900" s="2" t="str">
        <x:v>EV000901</x:v>
      </x:c>
      <x:c r="C900" s="2" t="str">
        <x:v>T20261005-3-3</x:v>
      </x:c>
      <x:c r="D900" s="2" t="str">
        <x:v>ST094</x:v>
      </x:c>
      <x:c r="E900" s="2" t="str">
        <x:v>G094</x:v>
      </x:c>
      <x:c r="F900" s="2" t="str">
        <x:v>guardian094@example.invalid</x:v>
      </x:c>
      <x:c r="G900" s="2" t="str">
        <x:v>Email</x:v>
      </x:c>
      <x:c r="H900" s="2" t="str">
        <x:v>Boarded</x:v>
      </x:c>
      <x:c r="I900" s="8" t="n">
        <x:v>46300.57302083334</x:v>
      </x:c>
      <x:c r="J900" s="8" t="n">
        <x:v>46300.57304398149</x:v>
      </x:c>
      <x:c r="K900" s="8" t="n">
        <x:v>46300.57307870371</x:v>
      </x:c>
      <x:c r="L900" s="2" t="str">
        <x:v>Sent</x:v>
      </x:c>
      <x:c r="M900" s="2" t="n">
        <x:v>1</x:v>
      </x:c>
      <x:c r="N900" s="2"/>
      <x:c r="O900" s="2"/>
    </x:row>
    <x:row r="901" ht="21" customHeight="1">
      <x:c r="A901" s="2" t="str">
        <x:v>NT000900</x:v>
      </x:c>
      <x:c r="B901" s="2" t="str">
        <x:v>EV000902</x:v>
      </x:c>
      <x:c r="C901" s="2" t="str">
        <x:v>T20261005-3-3</x:v>
      </x:c>
      <x:c r="D901" s="2" t="str">
        <x:v>ST094</x:v>
      </x:c>
      <x:c r="E901" s="2" t="str">
        <x:v>G094</x:v>
      </x:c>
      <x:c r="F901" s="2" t="str">
        <x:v>guardian094@example.invalid</x:v>
      </x:c>
      <x:c r="G901" s="2" t="str">
        <x:v>Email</x:v>
      </x:c>
      <x:c r="H901" s="2" t="str">
        <x:v>Authorized release</x:v>
      </x:c>
      <x:c r="I901" s="8" t="n">
        <x:v>46300.59038194445</x:v>
      </x:c>
      <x:c r="J901" s="8" t="n">
        <x:v>46300.5904050926</x:v>
      </x:c>
      <x:c r="K901" s="8" t="n">
        <x:v>46300.59043981482</x:v>
      </x:c>
      <x:c r="L901" s="2" t="str">
        <x:v>Sent</x:v>
      </x:c>
      <x:c r="M901" s="2" t="n">
        <x:v>1</x:v>
      </x:c>
      <x:c r="N901" s="2"/>
      <x:c r="O901" s="2"/>
    </x:row>
    <x:row r="902" ht="21" customHeight="1">
      <x:c r="A902" s="2" t="str">
        <x:v>NT000901</x:v>
      </x:c>
      <x:c r="B902" s="2" t="str">
        <x:v>EV000903</x:v>
      </x:c>
      <x:c r="C902" s="2" t="str">
        <x:v>T20261005-3-3</x:v>
      </x:c>
      <x:c r="D902" s="2" t="str">
        <x:v>ST095</x:v>
      </x:c>
      <x:c r="E902" s="2" t="str">
        <x:v>G095</x:v>
      </x:c>
      <x:c r="F902" s="2" t="str">
        <x:v>guardian095@example.invalid</x:v>
      </x:c>
      <x:c r="G902" s="2" t="str">
        <x:v>Email</x:v>
      </x:c>
      <x:c r="H902" s="2" t="str">
        <x:v>Boarded</x:v>
      </x:c>
      <x:c r="I902" s="8" t="n">
        <x:v>46300.573055555564</x:v>
      </x:c>
      <x:c r="J902" s="8" t="n">
        <x:v>46300.57307870371</x:v>
      </x:c>
      <x:c r="K902" s="8" t="n">
        <x:v>46300.57311342593</x:v>
      </x:c>
      <x:c r="L902" s="2" t="str">
        <x:v>Sent</x:v>
      </x:c>
      <x:c r="M902" s="2" t="n">
        <x:v>1</x:v>
      </x:c>
      <x:c r="N902" s="2"/>
      <x:c r="O902" s="2"/>
    </x:row>
    <x:row r="903" ht="21" customHeight="1">
      <x:c r="A903" s="2" t="str">
        <x:v>NT000902</x:v>
      </x:c>
      <x:c r="B903" s="2" t="str">
        <x:v>EV000904</x:v>
      </x:c>
      <x:c r="C903" s="2" t="str">
        <x:v>T20261005-3-3</x:v>
      </x:c>
      <x:c r="D903" s="2" t="str">
        <x:v>ST095</x:v>
      </x:c>
      <x:c r="E903" s="2" t="str">
        <x:v>G095</x:v>
      </x:c>
      <x:c r="F903" s="2" t="str">
        <x:v>guardian095@example.invalid</x:v>
      </x:c>
      <x:c r="G903" s="2" t="str">
        <x:v>Email</x:v>
      </x:c>
      <x:c r="H903" s="2" t="str">
        <x:v>Authorized release</x:v>
      </x:c>
      <x:c r="I903" s="8" t="n">
        <x:v>46300.59458333334</x:v>
      </x:c>
      <x:c r="J903" s="8" t="n">
        <x:v>46300.594606481485</x:v>
      </x:c>
      <x:c r="K903" s="8" t="n">
        <x:v>46300.59464120371</x:v>
      </x:c>
      <x:c r="L903" s="2" t="str">
        <x:v>Sent</x:v>
      </x:c>
      <x:c r="M903" s="2" t="n">
        <x:v>1</x:v>
      </x:c>
      <x:c r="N903" s="2"/>
      <x:c r="O903" s="2"/>
    </x:row>
    <x:row r="904" ht="21" customHeight="1">
      <x:c r="A904" s="2" t="str">
        <x:v>NT000903</x:v>
      </x:c>
      <x:c r="B904" s="2" t="str">
        <x:v>EV000905</x:v>
      </x:c>
      <x:c r="C904" s="2" t="str">
        <x:v>T20261005-3-3</x:v>
      </x:c>
      <x:c r="D904" s="2" t="str">
        <x:v>ST096</x:v>
      </x:c>
      <x:c r="E904" s="2" t="str">
        <x:v>G096</x:v>
      </x:c>
      <x:c r="F904" s="2" t="str">
        <x:v>guardian096@example.invalid</x:v>
      </x:c>
      <x:c r="G904" s="2" t="str">
        <x:v>Email</x:v>
      </x:c>
      <x:c r="H904" s="2" t="str">
        <x:v>Boarded</x:v>
      </x:c>
      <x:c r="I904" s="8" t="n">
        <x:v>46300.57309027778</x:v>
      </x:c>
      <x:c r="J904" s="8" t="n">
        <x:v>46300.573113425926</x:v>
      </x:c>
      <x:c r="K904" s="8" t="n">
        <x:v>46300.57314814815</x:v>
      </x:c>
      <x:c r="L904" s="2" t="str">
        <x:v>Sent</x:v>
      </x:c>
      <x:c r="M904" s="2" t="n">
        <x:v>1</x:v>
      </x:c>
      <x:c r="N904" s="2"/>
      <x:c r="O904" s="2"/>
    </x:row>
    <x:row r="905" ht="21" customHeight="1">
      <x:c r="A905" s="2" t="str">
        <x:v>NT000904</x:v>
      </x:c>
      <x:c r="B905" s="2" t="str">
        <x:v>EV000906</x:v>
      </x:c>
      <x:c r="C905" s="2" t="str">
        <x:v>T20261005-3-3</x:v>
      </x:c>
      <x:c r="D905" s="2" t="str">
        <x:v>ST096</x:v>
      </x:c>
      <x:c r="E905" s="2" t="str">
        <x:v>G096</x:v>
      </x:c>
      <x:c r="F905" s="2" t="str">
        <x:v>guardian096@example.invalid</x:v>
      </x:c>
      <x:c r="G905" s="2" t="str">
        <x:v>Email</x:v>
      </x:c>
      <x:c r="H905" s="2" t="str">
        <x:v>Authorized release</x:v>
      </x:c>
      <x:c r="I905" s="8" t="n">
        <x:v>46300.58628472222</x:v>
      </x:c>
      <x:c r="J905" s="8" t="n">
        <x:v>46300.58630787037</x:v>
      </x:c>
      <x:c r="K905" s="8" t="n">
        <x:v>46300.58634259259</x:v>
      </x:c>
      <x:c r="L905" s="2" t="str">
        <x:v>Sent</x:v>
      </x:c>
      <x:c r="M905" s="2" t="n">
        <x:v>1</x:v>
      </x:c>
      <x:c r="N905" s="2"/>
      <x:c r="O905" s="2"/>
    </x:row>
    <x:row r="906" ht="21" customHeight="1">
      <x:c r="A906" s="2" t="str">
        <x:v>NT000905</x:v>
      </x:c>
      <x:c r="B906" s="2" t="str">
        <x:v>EV000907</x:v>
      </x:c>
      <x:c r="C906" s="2" t="str">
        <x:v>T20261005-3-3</x:v>
      </x:c>
      <x:c r="D906" s="2" t="str">
        <x:v>ST097</x:v>
      </x:c>
      <x:c r="E906" s="2" t="str">
        <x:v>G097</x:v>
      </x:c>
      <x:c r="F906" s="2" t="str">
        <x:v>guardian097@example.invalid</x:v>
      </x:c>
      <x:c r="G906" s="2" t="str">
        <x:v>Email</x:v>
      </x:c>
      <x:c r="H906" s="2" t="str">
        <x:v>Boarded</x:v>
      </x:c>
      <x:c r="I906" s="8" t="n">
        <x:v>46300.573125</x:v>
      </x:c>
      <x:c r="J906" s="8" t="n">
        <x:v>46300.57314814815</x:v>
      </x:c>
      <x:c r="K906" s="8" t="n">
        <x:v>46300.57318287037</x:v>
      </x:c>
      <x:c r="L906" s="2" t="str">
        <x:v>Sent</x:v>
      </x:c>
      <x:c r="M906" s="2" t="n">
        <x:v>1</x:v>
      </x:c>
      <x:c r="N906" s="2"/>
      <x:c r="O906" s="2"/>
    </x:row>
    <x:row r="907" ht="21" customHeight="1">
      <x:c r="A907" s="2" t="str">
        <x:v>NT000906</x:v>
      </x:c>
      <x:c r="B907" s="2" t="str">
        <x:v>EV000908</x:v>
      </x:c>
      <x:c r="C907" s="2" t="str">
        <x:v>T20261005-3-3</x:v>
      </x:c>
      <x:c r="D907" s="2" t="str">
        <x:v>ST097</x:v>
      </x:c>
      <x:c r="E907" s="2" t="str">
        <x:v>G097</x:v>
      </x:c>
      <x:c r="F907" s="2" t="str">
        <x:v>guardian097@example.invalid</x:v>
      </x:c>
      <x:c r="G907" s="2" t="str">
        <x:v>Email</x:v>
      </x:c>
      <x:c r="H907" s="2" t="str">
        <x:v>Authorized release</x:v>
      </x:c>
      <x:c r="I907" s="8" t="n">
        <x:v>46300.59048611111</x:v>
      </x:c>
      <x:c r="J907" s="8" t="n">
        <x:v>46300.59050925926</x:v>
      </x:c>
      <x:c r="K907" s="8" t="n">
        <x:v>46300.59054398148</x:v>
      </x:c>
      <x:c r="L907" s="2" t="str">
        <x:v>Sent</x:v>
      </x:c>
      <x:c r="M907" s="2" t="n">
        <x:v>1</x:v>
      </x:c>
      <x:c r="N907" s="2"/>
      <x:c r="O907" s="2"/>
    </x:row>
    <x:row r="908" ht="21" customHeight="1">
      <x:c r="A908" s="2" t="str">
        <x:v>NT000907</x:v>
      </x:c>
      <x:c r="B908" s="2" t="str">
        <x:v>EV000909</x:v>
      </x:c>
      <x:c r="C908" s="2" t="str">
        <x:v>T20261005-3-3</x:v>
      </x:c>
      <x:c r="D908" s="2" t="str">
        <x:v>ST098</x:v>
      </x:c>
      <x:c r="E908" s="2" t="str">
        <x:v>G098</x:v>
      </x:c>
      <x:c r="F908" s="2" t="str">
        <x:v>guardian098@example.invalid</x:v>
      </x:c>
      <x:c r="G908" s="2" t="str">
        <x:v>Email</x:v>
      </x:c>
      <x:c r="H908" s="2" t="str">
        <x:v>Boarded</x:v>
      </x:c>
      <x:c r="I908" s="8" t="n">
        <x:v>46300.573159722226</x:v>
      </x:c>
      <x:c r="J908" s="8" t="n">
        <x:v>46300.57318287037</x:v>
      </x:c>
      <x:c r="K908" s="8" t="n">
        <x:v>46300.573217592595</x:v>
      </x:c>
      <x:c r="L908" s="2" t="str">
        <x:v>Sent</x:v>
      </x:c>
      <x:c r="M908" s="2" t="n">
        <x:v>1</x:v>
      </x:c>
      <x:c r="N908" s="2"/>
      <x:c r="O908" s="2"/>
    </x:row>
    <x:row r="909" ht="21" customHeight="1">
      <x:c r="A909" s="2" t="str">
        <x:v>NT000908</x:v>
      </x:c>
      <x:c r="B909" s="2" t="str">
        <x:v>EV000910</x:v>
      </x:c>
      <x:c r="C909" s="2" t="str">
        <x:v>T20261005-3-3</x:v>
      </x:c>
      <x:c r="D909" s="2" t="str">
        <x:v>ST098</x:v>
      </x:c>
      <x:c r="E909" s="2" t="str">
        <x:v>G098</x:v>
      </x:c>
      <x:c r="F909" s="2" t="str">
        <x:v>guardian098@example.invalid</x:v>
      </x:c>
      <x:c r="G909" s="2" t="str">
        <x:v>Email</x:v>
      </x:c>
      <x:c r="H909" s="2" t="str">
        <x:v>Authorized release</x:v>
      </x:c>
      <x:c r="I909" s="8" t="n">
        <x:v>46300.5946875</x:v>
      </x:c>
      <x:c r="J909" s="8" t="n">
        <x:v>46300.59471064815</x:v>
      </x:c>
      <x:c r="K909" s="8" t="n">
        <x:v>46300.59474537037</x:v>
      </x:c>
      <x:c r="L909" s="2" t="str">
        <x:v>Sent</x:v>
      </x:c>
      <x:c r="M909" s="2" t="n">
        <x:v>1</x:v>
      </x:c>
      <x:c r="N909" s="2"/>
      <x:c r="O909" s="2"/>
    </x:row>
    <x:row r="910" ht="21" customHeight="1">
      <x:c r="A910" s="2" t="str">
        <x:v>NT000909</x:v>
      </x:c>
      <x:c r="B910" s="2" t="str">
        <x:v>EV000911</x:v>
      </x:c>
      <x:c r="C910" s="2" t="str">
        <x:v>T20261005-3-3</x:v>
      </x:c>
      <x:c r="D910" s="2" t="str">
        <x:v>ST099</x:v>
      </x:c>
      <x:c r="E910" s="2" t="str">
        <x:v>G099</x:v>
      </x:c>
      <x:c r="F910" s="2" t="str">
        <x:v>guardian099@example.invalid</x:v>
      </x:c>
      <x:c r="G910" s="2" t="str">
        <x:v>Email</x:v>
      </x:c>
      <x:c r="H910" s="2" t="str">
        <x:v>Boarded</x:v>
      </x:c>
      <x:c r="I910" s="8" t="n">
        <x:v>46300.57319444445</x:v>
      </x:c>
      <x:c r="J910" s="8" t="n">
        <x:v>46300.573217592595</x:v>
      </x:c>
      <x:c r="K910" s="8" t="n">
        <x:v>46300.57325231482</x:v>
      </x:c>
      <x:c r="L910" s="2" t="str">
        <x:v>Sent</x:v>
      </x:c>
      <x:c r="M910" s="2" t="n">
        <x:v>1</x:v>
      </x:c>
      <x:c r="N910" s="2"/>
      <x:c r="O910" s="2"/>
    </x:row>
    <x:row r="911" ht="21" customHeight="1">
      <x:c r="A911" s="2" t="str">
        <x:v>NT000910</x:v>
      </x:c>
      <x:c r="B911" s="2" t="str">
        <x:v>EV000912</x:v>
      </x:c>
      <x:c r="C911" s="2" t="str">
        <x:v>T20261005-3-3</x:v>
      </x:c>
      <x:c r="D911" s="2" t="str">
        <x:v>ST099</x:v>
      </x:c>
      <x:c r="E911" s="2" t="str">
        <x:v>G099</x:v>
      </x:c>
      <x:c r="F911" s="2" t="str">
        <x:v>guardian099@example.invalid</x:v>
      </x:c>
      <x:c r="G911" s="2" t="str">
        <x:v>Email</x:v>
      </x:c>
      <x:c r="H911" s="2" t="str">
        <x:v>Authorized release</x:v>
      </x:c>
      <x:c r="I911" s="8" t="n">
        <x:v>46300.58638888889</x:v>
      </x:c>
      <x:c r="J911" s="8" t="n">
        <x:v>46300.58641203704</x:v>
      </x:c>
      <x:c r="K911" s="8" t="n">
        <x:v>46300.58644675926</x:v>
      </x:c>
      <x:c r="L911" s="2" t="str">
        <x:v>Sent</x:v>
      </x:c>
      <x:c r="M911" s="2" t="n">
        <x:v>1</x:v>
      </x:c>
      <x:c r="N911" s="2"/>
      <x:c r="O911" s="2"/>
    </x:row>
    <x:row r="912" ht="21" customHeight="1">
      <x:c r="A912" s="2" t="str">
        <x:v>NT000911</x:v>
      </x:c>
      <x:c r="B912" s="2" t="str">
        <x:v>EV000913</x:v>
      </x:c>
      <x:c r="C912" s="2" t="str">
        <x:v>T20261005-3-3</x:v>
      </x:c>
      <x:c r="D912" s="2" t="str">
        <x:v>ST100</x:v>
      </x:c>
      <x:c r="E912" s="2" t="str">
        <x:v>G100</x:v>
      </x:c>
      <x:c r="F912" s="2" t="str">
        <x:v>guardian100@example.invalid</x:v>
      </x:c>
      <x:c r="G912" s="2" t="str">
        <x:v>Email</x:v>
      </x:c>
      <x:c r="H912" s="2" t="str">
        <x:v>Boarded</x:v>
      </x:c>
      <x:c r="I912" s="8" t="n">
        <x:v>46300.57322916667</x:v>
      </x:c>
      <x:c r="J912" s="8" t="n">
        <x:v>46300.57325231482</x:v>
      </x:c>
      <x:c r="K912" s="8" t="n">
        <x:v>46300.57328703704</x:v>
      </x:c>
      <x:c r="L912" s="2" t="str">
        <x:v>Sent</x:v>
      </x:c>
      <x:c r="M912" s="2" t="n">
        <x:v>1</x:v>
      </x:c>
      <x:c r="N912" s="2"/>
      <x:c r="O912" s="2"/>
    </x:row>
    <x:row r="913" ht="21" customHeight="1">
      <x:c r="A913" s="2" t="str">
        <x:v>NT000912</x:v>
      </x:c>
      <x:c r="B913" s="2" t="str">
        <x:v>EV000914</x:v>
      </x:c>
      <x:c r="C913" s="2" t="str">
        <x:v>T20261005-3-3</x:v>
      </x:c>
      <x:c r="D913" s="2" t="str">
        <x:v>ST100</x:v>
      </x:c>
      <x:c r="E913" s="2" t="str">
        <x:v>G100</x:v>
      </x:c>
      <x:c r="F913" s="2" t="str">
        <x:v>guardian100@example.invalid</x:v>
      </x:c>
      <x:c r="G913" s="2" t="str">
        <x:v>Email</x:v>
      </x:c>
      <x:c r="H913" s="2" t="str">
        <x:v>Authorized release</x:v>
      </x:c>
      <x:c r="I913" s="8" t="n">
        <x:v>46300.59059027778</x:v>
      </x:c>
      <x:c r="J913" s="8" t="n">
        <x:v>46300.59061342593</x:v>
      </x:c>
      <x:c r="K913" s="8" t="n">
        <x:v>46300.59064814815</x:v>
      </x:c>
      <x:c r="L913" s="2" t="str">
        <x:v>Sent</x:v>
      </x:c>
      <x:c r="M913" s="2" t="n">
        <x:v>1</x:v>
      </x:c>
      <x:c r="N913" s="2"/>
      <x:c r="O913" s="2"/>
    </x:row>
    <x:row r="914" ht="21" customHeight="1">
      <x:c r="A914" s="2" t="str">
        <x:v>NT000913</x:v>
      </x:c>
      <x:c r="B914" s="2" t="str">
        <x:v>EV000915</x:v>
      </x:c>
      <x:c r="C914" s="2" t="str">
        <x:v>T20261005-4-3</x:v>
      </x:c>
      <x:c r="D914" s="2" t="str">
        <x:v>ST101</x:v>
      </x:c>
      <x:c r="E914" s="2" t="str">
        <x:v>G101</x:v>
      </x:c>
      <x:c r="F914" s="2" t="str">
        <x:v>guardian101@example.invalid</x:v>
      </x:c>
      <x:c r="G914" s="2" t="str">
        <x:v>Email</x:v>
      </x:c>
      <x:c r="H914" s="2" t="str">
        <x:v>Boarded</x:v>
      </x:c>
      <x:c r="I914" s="8" t="n">
        <x:v>46300.60416666667</x:v>
      </x:c>
      <x:c r="J914" s="8" t="n">
        <x:v>46300.60418981482</x:v>
      </x:c>
      <x:c r="K914" s="8" t="n">
        <x:v>46300.60422453704</x:v>
      </x:c>
      <x:c r="L914" s="2" t="str">
        <x:v>Sent</x:v>
      </x:c>
      <x:c r="M914" s="2" t="n">
        <x:v>1</x:v>
      </x:c>
      <x:c r="N914" s="2"/>
      <x:c r="O914" s="2"/>
    </x:row>
    <x:row r="915" ht="21" customHeight="1">
      <x:c r="A915" s="2" t="str">
        <x:v>NT000914</x:v>
      </x:c>
      <x:c r="B915" s="2" t="str">
        <x:v>EV000916</x:v>
      </x:c>
      <x:c r="C915" s="2" t="str">
        <x:v>T20261005-4-3</x:v>
      </x:c>
      <x:c r="D915" s="2" t="str">
        <x:v>ST101</x:v>
      </x:c>
      <x:c r="E915" s="2" t="str">
        <x:v>G101</x:v>
      </x:c>
      <x:c r="F915" s="2" t="str">
        <x:v>guardian101@example.invalid</x:v>
      </x:c>
      <x:c r="G915" s="2" t="str">
        <x:v>Email</x:v>
      </x:c>
      <x:c r="H915" s="2" t="str">
        <x:v>Authorized release</x:v>
      </x:c>
      <x:c r="I915" s="8" t="n">
        <x:v>46300.62708333333</x:v>
      </x:c>
      <x:c r="J915" s="8" t="n">
        <x:v>46300.62710648148</x:v>
      </x:c>
      <x:c r="K915" s="8" t="n">
        <x:v>46300.6271412037</x:v>
      </x:c>
      <x:c r="L915" s="2" t="str">
        <x:v>Sent</x:v>
      </x:c>
      <x:c r="M915" s="2" t="n">
        <x:v>1</x:v>
      </x:c>
      <x:c r="N915" s="2"/>
      <x:c r="O915" s="2"/>
    </x:row>
    <x:row r="916" ht="21" customHeight="1">
      <x:c r="A916" s="2" t="str">
        <x:v>NT000915</x:v>
      </x:c>
      <x:c r="B916" s="2" t="str">
        <x:v>EV000917</x:v>
      </x:c>
      <x:c r="C916" s="2" t="str">
        <x:v>T20261005-4-3</x:v>
      </x:c>
      <x:c r="D916" s="2" t="str">
        <x:v>ST102</x:v>
      </x:c>
      <x:c r="E916" s="2" t="str">
        <x:v>G102</x:v>
      </x:c>
      <x:c r="F916" s="2" t="str">
        <x:v>guardian102@example.invalid</x:v>
      </x:c>
      <x:c r="G916" s="2" t="str">
        <x:v>Email</x:v>
      </x:c>
      <x:c r="H916" s="2" t="str">
        <x:v>Boarded</x:v>
      </x:c>
      <x:c r="I916" s="8" t="n">
        <x:v>46300.604201388895</x:v>
      </x:c>
      <x:c r="J916" s="8" t="n">
        <x:v>46300.60422453704</x:v>
      </x:c>
      <x:c r="K916" s="8" t="n">
        <x:v>46300.604259259264</x:v>
      </x:c>
      <x:c r="L916" s="2" t="str">
        <x:v>Sent</x:v>
      </x:c>
      <x:c r="M916" s="2" t="n">
        <x:v>1</x:v>
      </x:c>
      <x:c r="N916" s="2"/>
      <x:c r="O916" s="2"/>
    </x:row>
    <x:row r="917" ht="21" customHeight="1">
      <x:c r="A917" s="2" t="str">
        <x:v>NT000916</x:v>
      </x:c>
      <x:c r="B917" s="2" t="str">
        <x:v>EV000918</x:v>
      </x:c>
      <x:c r="C917" s="2" t="str">
        <x:v>T20261005-4-3</x:v>
      </x:c>
      <x:c r="D917" s="2" t="str">
        <x:v>ST102</x:v>
      </x:c>
      <x:c r="E917" s="2" t="str">
        <x:v>G102</x:v>
      </x:c>
      <x:c r="F917" s="2" t="str">
        <x:v>guardian102@example.invalid</x:v>
      </x:c>
      <x:c r="G917" s="2" t="str">
        <x:v>Email</x:v>
      </x:c>
      <x:c r="H917" s="2" t="str">
        <x:v>Authorized release</x:v>
      </x:c>
      <x:c r="I917" s="8" t="n">
        <x:v>46300.618784722225</x:v>
      </x:c>
      <x:c r="J917" s="8" t="n">
        <x:v>46300.61880787037</x:v>
      </x:c>
      <x:c r="K917" s="8" t="n">
        <x:v>46300.618842592594</x:v>
      </x:c>
      <x:c r="L917" s="2" t="str">
        <x:v>Sent</x:v>
      </x:c>
      <x:c r="M917" s="2" t="n">
        <x:v>1</x:v>
      </x:c>
      <x:c r="N917" s="2"/>
      <x:c r="O917" s="2"/>
    </x:row>
    <x:row r="918" ht="21" customHeight="1">
      <x:c r="A918" s="2" t="str">
        <x:v>NT000917</x:v>
      </x:c>
      <x:c r="B918" s="2" t="str">
        <x:v>EV000919</x:v>
      </x:c>
      <x:c r="C918" s="2" t="str">
        <x:v>T20261005-4-3</x:v>
      </x:c>
      <x:c r="D918" s="2" t="str">
        <x:v>ST103</x:v>
      </x:c>
      <x:c r="E918" s="2" t="str">
        <x:v>G103</x:v>
      </x:c>
      <x:c r="F918" s="2" t="str">
        <x:v>guardian103@example.invalid</x:v>
      </x:c>
      <x:c r="G918" s="2" t="str">
        <x:v>Email</x:v>
      </x:c>
      <x:c r="H918" s="2" t="str">
        <x:v>Boarded</x:v>
      </x:c>
      <x:c r="I918" s="8" t="n">
        <x:v>46300.60423611112</x:v>
      </x:c>
      <x:c r="J918" s="8" t="n">
        <x:v>46300.604259259264</x:v>
      </x:c>
      <x:c r="K918" s="8" t="n">
        <x:v>46300.60429398149</x:v>
      </x:c>
      <x:c r="L918" s="2" t="str">
        <x:v>Sent</x:v>
      </x:c>
      <x:c r="M918" s="2" t="n">
        <x:v>1</x:v>
      </x:c>
      <x:c r="N918" s="2"/>
      <x:c r="O918" s="2"/>
    </x:row>
    <x:row r="919" ht="21" customHeight="1">
      <x:c r="A919" s="2" t="str">
        <x:v>NT000918</x:v>
      </x:c>
      <x:c r="B919" s="2" t="str">
        <x:v>EV000920</x:v>
      </x:c>
      <x:c r="C919" s="2" t="str">
        <x:v>T20261005-4-3</x:v>
      </x:c>
      <x:c r="D919" s="2" t="str">
        <x:v>ST103</x:v>
      </x:c>
      <x:c r="E919" s="2" t="str">
        <x:v>G103</x:v>
      </x:c>
      <x:c r="F919" s="2" t="str">
        <x:v>guardian103@example.invalid</x:v>
      </x:c>
      <x:c r="G919" s="2" t="str">
        <x:v>Email</x:v>
      </x:c>
      <x:c r="H919" s="2" t="str">
        <x:v>Authorized release</x:v>
      </x:c>
      <x:c r="I919" s="8" t="n">
        <x:v>46300.62298611111</x:v>
      </x:c>
      <x:c r="J919" s="8" t="n">
        <x:v>46300.62300925926</x:v>
      </x:c>
      <x:c r="K919" s="8" t="n">
        <x:v>46300.62304398148</x:v>
      </x:c>
      <x:c r="L919" s="2" t="str">
        <x:v>Sent</x:v>
      </x:c>
      <x:c r="M919" s="2" t="n">
        <x:v>1</x:v>
      </x:c>
      <x:c r="N919" s="2"/>
      <x:c r="O919" s="2"/>
    </x:row>
    <x:row r="920" ht="21" customHeight="1">
      <x:c r="A920" s="2" t="str">
        <x:v>NT000919</x:v>
      </x:c>
      <x:c r="B920" s="2" t="str">
        <x:v>EV000921</x:v>
      </x:c>
      <x:c r="C920" s="2" t="str">
        <x:v>T20261005-4-3</x:v>
      </x:c>
      <x:c r="D920" s="2" t="str">
        <x:v>ST104</x:v>
      </x:c>
      <x:c r="E920" s="2" t="str">
        <x:v>G104</x:v>
      </x:c>
      <x:c r="F920" s="2" t="str">
        <x:v>guardian104@example.invalid</x:v>
      </x:c>
      <x:c r="G920" s="2" t="str">
        <x:v>Email</x:v>
      </x:c>
      <x:c r="H920" s="2" t="str">
        <x:v>Boarded</x:v>
      </x:c>
      <x:c r="I920" s="8" t="n">
        <x:v>46300.60427083334</x:v>
      </x:c>
      <x:c r="J920" s="8" t="n">
        <x:v>46300.60429398149</x:v>
      </x:c>
      <x:c r="K920" s="8" t="n">
        <x:v>46300.60432870371</x:v>
      </x:c>
      <x:c r="L920" s="2" t="str">
        <x:v>Sent</x:v>
      </x:c>
      <x:c r="M920" s="2" t="n">
        <x:v>1</x:v>
      </x:c>
      <x:c r="N920" s="2"/>
      <x:c r="O920" s="2"/>
    </x:row>
    <x:row r="921" ht="21" customHeight="1">
      <x:c r="A921" s="2" t="str">
        <x:v>NT000920</x:v>
      </x:c>
      <x:c r="B921" s="2" t="str">
        <x:v>EV000922</x:v>
      </x:c>
      <x:c r="C921" s="2" t="str">
        <x:v>T20261005-4-3</x:v>
      </x:c>
      <x:c r="D921" s="2" t="str">
        <x:v>ST104</x:v>
      </x:c>
      <x:c r="E921" s="2" t="str">
        <x:v>G104</x:v>
      </x:c>
      <x:c r="F921" s="2" t="str">
        <x:v>guardian104@example.invalid</x:v>
      </x:c>
      <x:c r="G921" s="2" t="str">
        <x:v>Email</x:v>
      </x:c>
      <x:c r="H921" s="2" t="str">
        <x:v>Authorized release</x:v>
      </x:c>
      <x:c r="I921" s="8" t="n">
        <x:v>46300.6271875</x:v>
      </x:c>
      <x:c r="J921" s="8" t="n">
        <x:v>46300.62721064815</x:v>
      </x:c>
      <x:c r="K921" s="8" t="n">
        <x:v>46300.62724537037</x:v>
      </x:c>
      <x:c r="L921" s="2" t="str">
        <x:v>Sent</x:v>
      </x:c>
      <x:c r="M921" s="2" t="n">
        <x:v>1</x:v>
      </x:c>
      <x:c r="N921" s="2"/>
      <x:c r="O921" s="2"/>
    </x:row>
    <x:row r="922" ht="21" customHeight="1">
      <x:c r="A922" s="2" t="str">
        <x:v>NT000921</x:v>
      </x:c>
      <x:c r="B922" s="2" t="str">
        <x:v>EV000923</x:v>
      </x:c>
      <x:c r="C922" s="2" t="str">
        <x:v>T20261005-4-3</x:v>
      </x:c>
      <x:c r="D922" s="2" t="str">
        <x:v>ST105</x:v>
      </x:c>
      <x:c r="E922" s="2" t="str">
        <x:v>G105</x:v>
      </x:c>
      <x:c r="F922" s="2" t="str">
        <x:v>guardian105@example.invalid</x:v>
      </x:c>
      <x:c r="G922" s="2" t="str">
        <x:v>Email</x:v>
      </x:c>
      <x:c r="H922" s="2" t="str">
        <x:v>Boarded</x:v>
      </x:c>
      <x:c r="I922" s="8" t="n">
        <x:v>46300.604305555564</x:v>
      </x:c>
      <x:c r="J922" s="8" t="n">
        <x:v>46300.60432870371</x:v>
      </x:c>
      <x:c r="K922" s="8" t="n">
        <x:v>46300.60436342593</x:v>
      </x:c>
      <x:c r="L922" s="2" t="str">
        <x:v>Sent</x:v>
      </x:c>
      <x:c r="M922" s="2" t="n">
        <x:v>1</x:v>
      </x:c>
      <x:c r="N922" s="2"/>
      <x:c r="O922" s="2"/>
    </x:row>
    <x:row r="923" ht="21" customHeight="1">
      <x:c r="A923" s="2" t="str">
        <x:v>NT000922</x:v>
      </x:c>
      <x:c r="B923" s="2" t="str">
        <x:v>EV000924</x:v>
      </x:c>
      <x:c r="C923" s="2" t="str">
        <x:v>T20261005-4-3</x:v>
      </x:c>
      <x:c r="D923" s="2" t="str">
        <x:v>ST105</x:v>
      </x:c>
      <x:c r="E923" s="2" t="str">
        <x:v>G105</x:v>
      </x:c>
      <x:c r="F923" s="2" t="str">
        <x:v>guardian105@example.invalid</x:v>
      </x:c>
      <x:c r="G923" s="2" t="str">
        <x:v>Email</x:v>
      </x:c>
      <x:c r="H923" s="2" t="str">
        <x:v>Authorized release</x:v>
      </x:c>
      <x:c r="I923" s="8" t="n">
        <x:v>46300.618888888894</x:v>
      </x:c>
      <x:c r="J923" s="8" t="n">
        <x:v>46300.61891203704</x:v>
      </x:c>
      <x:c r="K923" s="8" t="n">
        <x:v>46300.61894675926</x:v>
      </x:c>
      <x:c r="L923" s="2" t="str">
        <x:v>Sent</x:v>
      </x:c>
      <x:c r="M923" s="2" t="n">
        <x:v>1</x:v>
      </x:c>
      <x:c r="N923" s="2"/>
      <x:c r="O923" s="2"/>
    </x:row>
    <x:row r="924" ht="21" customHeight="1">
      <x:c r="A924" s="2" t="str">
        <x:v>NT000923</x:v>
      </x:c>
      <x:c r="B924" s="2" t="str">
        <x:v>EV000925</x:v>
      </x:c>
      <x:c r="C924" s="2" t="str">
        <x:v>T20261005-4-3</x:v>
      </x:c>
      <x:c r="D924" s="2" t="str">
        <x:v>ST106</x:v>
      </x:c>
      <x:c r="E924" s="2" t="str">
        <x:v>G106</x:v>
      </x:c>
      <x:c r="F924" s="2" t="str">
        <x:v>guardian106@example.invalid</x:v>
      </x:c>
      <x:c r="G924" s="2" t="str">
        <x:v>Email</x:v>
      </x:c>
      <x:c r="H924" s="2" t="str">
        <x:v>Boarded</x:v>
      </x:c>
      <x:c r="I924" s="8" t="n">
        <x:v>46300.60434027778</x:v>
      </x:c>
      <x:c r="J924" s="8" t="n">
        <x:v>46300.604363425926</x:v>
      </x:c>
      <x:c r="K924" s="8" t="n">
        <x:v>46300.60439814815</x:v>
      </x:c>
      <x:c r="L924" s="2" t="str">
        <x:v>Sent</x:v>
      </x:c>
      <x:c r="M924" s="2" t="n">
        <x:v>1</x:v>
      </x:c>
      <x:c r="N924" s="2"/>
      <x:c r="O924" s="2"/>
    </x:row>
    <x:row r="925" ht="21" customHeight="1">
      <x:c r="A925" s="2" t="str">
        <x:v>NT000924</x:v>
      </x:c>
      <x:c r="B925" s="2" t="str">
        <x:v>EV000926</x:v>
      </x:c>
      <x:c r="C925" s="2" t="str">
        <x:v>T20261005-4-3</x:v>
      </x:c>
      <x:c r="D925" s="2" t="str">
        <x:v>ST106</x:v>
      </x:c>
      <x:c r="E925" s="2" t="str">
        <x:v>G106</x:v>
      </x:c>
      <x:c r="F925" s="2" t="str">
        <x:v>guardian106@example.invalid</x:v>
      </x:c>
      <x:c r="G925" s="2" t="str">
        <x:v>Email</x:v>
      </x:c>
      <x:c r="H925" s="2" t="str">
        <x:v>Authorized release</x:v>
      </x:c>
      <x:c r="I925" s="8" t="n">
        <x:v>46300.623090277775</x:v>
      </x:c>
      <x:c r="J925" s="8" t="n">
        <x:v>46300.62311342592</x:v>
      </x:c>
      <x:c r="K925" s="8" t="n">
        <x:v>46300.623148148145</x:v>
      </x:c>
      <x:c r="L925" s="2" t="str">
        <x:v>Sent</x:v>
      </x:c>
      <x:c r="M925" s="2" t="n">
        <x:v>1</x:v>
      </x:c>
      <x:c r="N925" s="2"/>
      <x:c r="O925" s="2"/>
    </x:row>
    <x:row r="926" ht="21" customHeight="1">
      <x:c r="A926" s="2" t="str">
        <x:v>NT000925</x:v>
      </x:c>
      <x:c r="B926" s="2" t="str">
        <x:v>EV000927</x:v>
      </x:c>
      <x:c r="C926" s="2" t="str">
        <x:v>T20261005-4-3</x:v>
      </x:c>
      <x:c r="D926" s="2" t="str">
        <x:v>ST107</x:v>
      </x:c>
      <x:c r="E926" s="2" t="str">
        <x:v>G107</x:v>
      </x:c>
      <x:c r="F926" s="2" t="str">
        <x:v>guardian107@example.invalid</x:v>
      </x:c>
      <x:c r="G926" s="2" t="str">
        <x:v>Email</x:v>
      </x:c>
      <x:c r="H926" s="2" t="str">
        <x:v>Boarded</x:v>
      </x:c>
      <x:c r="I926" s="8" t="n">
        <x:v>46300.604375</x:v>
      </x:c>
      <x:c r="J926" s="8" t="n">
        <x:v>46300.60439814815</x:v>
      </x:c>
      <x:c r="K926" s="8" t="n">
        <x:v>46300.60443287037</x:v>
      </x:c>
      <x:c r="L926" s="2" t="str">
        <x:v>Sent</x:v>
      </x:c>
      <x:c r="M926" s="2" t="n">
        <x:v>1</x:v>
      </x:c>
      <x:c r="N926" s="2"/>
      <x:c r="O926" s="2"/>
    </x:row>
    <x:row r="927" ht="21" customHeight="1">
      <x:c r="A927" s="2" t="str">
        <x:v>NT000926</x:v>
      </x:c>
      <x:c r="B927" s="2" t="str">
        <x:v>EV000928</x:v>
      </x:c>
      <x:c r="C927" s="2" t="str">
        <x:v>T20261005-4-3</x:v>
      </x:c>
      <x:c r="D927" s="2" t="str">
        <x:v>ST107</x:v>
      </x:c>
      <x:c r="E927" s="2" t="str">
        <x:v>G107</x:v>
      </x:c>
      <x:c r="F927" s="2" t="str">
        <x:v>guardian107@example.invalid</x:v>
      </x:c>
      <x:c r="G927" s="2" t="str">
        <x:v>Email</x:v>
      </x:c>
      <x:c r="H927" s="2" t="str">
        <x:v>Authorized release</x:v>
      </x:c>
      <x:c r="I927" s="8" t="n">
        <x:v>46300.627291666664</x:v>
      </x:c>
      <x:c r="J927" s="8" t="n">
        <x:v>46300.62731481481</x:v>
      </x:c>
      <x:c r="K927" s="8" t="n">
        <x:v>46300.62734953703</x:v>
      </x:c>
      <x:c r="L927" s="2" t="str">
        <x:v>Sent</x:v>
      </x:c>
      <x:c r="M927" s="2" t="n">
        <x:v>1</x:v>
      </x:c>
      <x:c r="N927" s="2"/>
      <x:c r="O927" s="2"/>
    </x:row>
    <x:row r="928" ht="21" customHeight="1">
      <x:c r="A928" s="2" t="str">
        <x:v>NT000927</x:v>
      </x:c>
      <x:c r="B928" s="2" t="str">
        <x:v>EV000929</x:v>
      </x:c>
      <x:c r="C928" s="2" t="str">
        <x:v>T20261005-4-3</x:v>
      </x:c>
      <x:c r="D928" s="2" t="str">
        <x:v>ST108</x:v>
      </x:c>
      <x:c r="E928" s="2" t="str">
        <x:v>G108</x:v>
      </x:c>
      <x:c r="F928" s="2" t="str">
        <x:v>guardian108@example.invalid</x:v>
      </x:c>
      <x:c r="G928" s="2" t="str">
        <x:v>Email</x:v>
      </x:c>
      <x:c r="H928" s="2" t="str">
        <x:v>Boarded</x:v>
      </x:c>
      <x:c r="I928" s="8" t="n">
        <x:v>46300.604409722226</x:v>
      </x:c>
      <x:c r="J928" s="8" t="n">
        <x:v>46300.60443287037</x:v>
      </x:c>
      <x:c r="K928" s="8" t="n">
        <x:v>46300.604467592595</x:v>
      </x:c>
      <x:c r="L928" s="2" t="str">
        <x:v>Sent</x:v>
      </x:c>
      <x:c r="M928" s="2" t="n">
        <x:v>1</x:v>
      </x:c>
      <x:c r="N928" s="2"/>
      <x:c r="O928" s="2"/>
    </x:row>
    <x:row r="929" ht="21" customHeight="1">
      <x:c r="A929" s="2" t="str">
        <x:v>NT000928</x:v>
      </x:c>
      <x:c r="B929" s="2" t="str">
        <x:v>EV000930</x:v>
      </x:c>
      <x:c r="C929" s="2" t="str">
        <x:v>T20261005-4-3</x:v>
      </x:c>
      <x:c r="D929" s="2" t="str">
        <x:v>ST108</x:v>
      </x:c>
      <x:c r="E929" s="2" t="str">
        <x:v>G108</x:v>
      </x:c>
      <x:c r="F929" s="2" t="str">
        <x:v>guardian108@example.invalid</x:v>
      </x:c>
      <x:c r="G929" s="2" t="str">
        <x:v>Email</x:v>
      </x:c>
      <x:c r="H929" s="2" t="str">
        <x:v>Authorized release</x:v>
      </x:c>
      <x:c r="I929" s="8" t="n">
        <x:v>46300.618993055556</x:v>
      </x:c>
      <x:c r="J929" s="8" t="n">
        <x:v>46300.6190162037</x:v>
      </x:c>
      <x:c r="K929" s="8" t="n">
        <x:v>46300.619050925925</x:v>
      </x:c>
      <x:c r="L929" s="2" t="str">
        <x:v>Sent</x:v>
      </x:c>
      <x:c r="M929" s="2" t="n">
        <x:v>1</x:v>
      </x:c>
      <x:c r="N929" s="2"/>
      <x:c r="O929" s="2"/>
    </x:row>
    <x:row r="930" ht="21" customHeight="1">
      <x:c r="A930" s="2" t="str">
        <x:v>NT000929</x:v>
      </x:c>
      <x:c r="B930" s="2" t="str">
        <x:v>EV000931</x:v>
      </x:c>
      <x:c r="C930" s="2" t="str">
        <x:v>T20261005-4-3</x:v>
      </x:c>
      <x:c r="D930" s="2" t="str">
        <x:v>ST109</x:v>
      </x:c>
      <x:c r="E930" s="2" t="str">
        <x:v>G109</x:v>
      </x:c>
      <x:c r="F930" s="2" t="str">
        <x:v>guardian109@example.invalid</x:v>
      </x:c>
      <x:c r="G930" s="2" t="str">
        <x:v>Email</x:v>
      </x:c>
      <x:c r="H930" s="2" t="str">
        <x:v>Boarded</x:v>
      </x:c>
      <x:c r="I930" s="8" t="n">
        <x:v>46300.60444444445</x:v>
      </x:c>
      <x:c r="J930" s="8" t="n">
        <x:v>46300.604467592595</x:v>
      </x:c>
      <x:c r="K930" s="8" t="n">
        <x:v>46300.60450231482</x:v>
      </x:c>
      <x:c r="L930" s="2" t="str">
        <x:v>Sent</x:v>
      </x:c>
      <x:c r="M930" s="2" t="n">
        <x:v>1</x:v>
      </x:c>
      <x:c r="N930" s="2"/>
      <x:c r="O930" s="2"/>
    </x:row>
    <x:row r="931" ht="21" customHeight="1">
      <x:c r="A931" s="2" t="str">
        <x:v>NT000930</x:v>
      </x:c>
      <x:c r="B931" s="2" t="str">
        <x:v>EV000932</x:v>
      </x:c>
      <x:c r="C931" s="2" t="str">
        <x:v>T20261005-4-3</x:v>
      </x:c>
      <x:c r="D931" s="2" t="str">
        <x:v>ST109</x:v>
      </x:c>
      <x:c r="E931" s="2" t="str">
        <x:v>G109</x:v>
      </x:c>
      <x:c r="F931" s="2" t="str">
        <x:v>guardian109@example.invalid</x:v>
      </x:c>
      <x:c r="G931" s="2" t="str">
        <x:v>Email</x:v>
      </x:c>
      <x:c r="H931" s="2" t="str">
        <x:v>Authorized release</x:v>
      </x:c>
      <x:c r="I931" s="8" t="n">
        <x:v>46300.623194444444</x:v>
      </x:c>
      <x:c r="J931" s="8" t="n">
        <x:v>46300.62321759259</x:v>
      </x:c>
      <x:c r="K931" s="8" t="n">
        <x:v>46300.623252314814</x:v>
      </x:c>
      <x:c r="L931" s="2" t="str">
        <x:v>Sent</x:v>
      </x:c>
      <x:c r="M931" s="2" t="n">
        <x:v>1</x:v>
      </x:c>
      <x:c r="N931" s="2"/>
      <x:c r="O931" s="2"/>
    </x:row>
    <x:row r="932" ht="21" customHeight="1">
      <x:c r="A932" s="2" t="str">
        <x:v>NT000931</x:v>
      </x:c>
      <x:c r="B932" s="2" t="str">
        <x:v>EV000933</x:v>
      </x:c>
      <x:c r="C932" s="2" t="str">
        <x:v>T20261005-4-3</x:v>
      </x:c>
      <x:c r="D932" s="2" t="str">
        <x:v>ST110</x:v>
      </x:c>
      <x:c r="E932" s="2" t="str">
        <x:v>G110</x:v>
      </x:c>
      <x:c r="F932" s="2" t="str">
        <x:v>guardian110@example.invalid</x:v>
      </x:c>
      <x:c r="G932" s="2" t="str">
        <x:v>Email</x:v>
      </x:c>
      <x:c r="H932" s="2" t="str">
        <x:v>Boarded</x:v>
      </x:c>
      <x:c r="I932" s="8" t="n">
        <x:v>46300.60447916667</x:v>
      </x:c>
      <x:c r="J932" s="8" t="n">
        <x:v>46300.60450231482</x:v>
      </x:c>
      <x:c r="K932" s="8" t="n">
        <x:v>46300.60453703704</x:v>
      </x:c>
      <x:c r="L932" s="2" t="str">
        <x:v>Sent</x:v>
      </x:c>
      <x:c r="M932" s="2" t="n">
        <x:v>1</x:v>
      </x:c>
      <x:c r="N932" s="2"/>
      <x:c r="O932" s="2"/>
    </x:row>
    <x:row r="933" ht="21" customHeight="1">
      <x:c r="A933" s="2" t="str">
        <x:v>NT000932</x:v>
      </x:c>
      <x:c r="B933" s="2" t="str">
        <x:v>EV000934</x:v>
      </x:c>
      <x:c r="C933" s="2" t="str">
        <x:v>T20261005-4-3</x:v>
      </x:c>
      <x:c r="D933" s="2" t="str">
        <x:v>ST110</x:v>
      </x:c>
      <x:c r="E933" s="2" t="str">
        <x:v>G110</x:v>
      </x:c>
      <x:c r="F933" s="2" t="str">
        <x:v>guardian110@example.invalid</x:v>
      </x:c>
      <x:c r="G933" s="2" t="str">
        <x:v>Email</x:v>
      </x:c>
      <x:c r="H933" s="2" t="str">
        <x:v>Authorized release</x:v>
      </x:c>
      <x:c r="I933" s="8" t="n">
        <x:v>46300.62739583333</x:v>
      </x:c>
      <x:c r="J933" s="8" t="n">
        <x:v>46300.62741898148</x:v>
      </x:c>
      <x:c r="K933" s="8" t="n">
        <x:v>46300.6274537037</x:v>
      </x:c>
      <x:c r="L933" s="2" t="str">
        <x:v>Sent</x:v>
      </x:c>
      <x:c r="M933" s="2" t="n">
        <x:v>1</x:v>
      </x:c>
      <x:c r="N933" s="2"/>
      <x:c r="O933" s="2"/>
    </x:row>
    <x:row r="934" ht="21" customHeight="1">
      <x:c r="A934" s="2" t="str">
        <x:v>NT000933</x:v>
      </x:c>
      <x:c r="B934" s="2" t="str">
        <x:v>EV000935</x:v>
      </x:c>
      <x:c r="C934" s="2" t="str">
        <x:v>T20261005-5-3</x:v>
      </x:c>
      <x:c r="D934" s="2" t="str">
        <x:v>ST111</x:v>
      </x:c>
      <x:c r="E934" s="2" t="str">
        <x:v>G111</x:v>
      </x:c>
      <x:c r="F934" s="2" t="str">
        <x:v>guardian111@example.invalid</x:v>
      </x:c>
      <x:c r="G934" s="2" t="str">
        <x:v>Email</x:v>
      </x:c>
      <x:c r="H934" s="2" t="str">
        <x:v>Boarded</x:v>
      </x:c>
      <x:c r="I934" s="8" t="n">
        <x:v>46300.70833333333</x:v>
      </x:c>
      <x:c r="J934" s="8" t="n">
        <x:v>46300.708356481475</x:v>
      </x:c>
      <x:c r="K934" s="8" t="n">
        <x:v>46300.7083912037</x:v>
      </x:c>
      <x:c r="L934" s="2" t="str">
        <x:v>Sent</x:v>
      </x:c>
      <x:c r="M934" s="2" t="n">
        <x:v>1</x:v>
      </x:c>
      <x:c r="N934" s="2"/>
      <x:c r="O934" s="2"/>
    </x:row>
    <x:row r="935" ht="21" customHeight="1">
      <x:c r="A935" s="2" t="str">
        <x:v>NT000934</x:v>
      </x:c>
      <x:c r="B935" s="2" t="str">
        <x:v>EV000936</x:v>
      </x:c>
      <x:c r="C935" s="2" t="str">
        <x:v>T20261005-5-3</x:v>
      </x:c>
      <x:c r="D935" s="2" t="str">
        <x:v>ST111</x:v>
      </x:c>
      <x:c r="E935" s="2" t="str">
        <x:v>G111</x:v>
      </x:c>
      <x:c r="F935" s="2" t="str">
        <x:v>guardian111@example.invalid</x:v>
      </x:c>
      <x:c r="G935" s="2" t="str">
        <x:v>Email</x:v>
      </x:c>
      <x:c r="H935" s="2" t="str">
        <x:v>Authorized release</x:v>
      </x:c>
      <x:c r="I935" s="8" t="n">
        <x:v>46300.72361111111</x:v>
      </x:c>
      <x:c r="J935" s="8" t="n">
        <x:v>46300.72363425926</x:v>
      </x:c>
      <x:c r="K935" s="8" t="n">
        <x:v>46300.72366898148</x:v>
      </x:c>
      <x:c r="L935" s="2" t="str">
        <x:v>Sent</x:v>
      </x:c>
      <x:c r="M935" s="2" t="n">
        <x:v>1</x:v>
      </x:c>
      <x:c r="N935" s="2"/>
      <x:c r="O935" s="2"/>
    </x:row>
    <x:row r="936" ht="21" customHeight="1">
      <x:c r="A936" s="2" t="str">
        <x:v>NT000935</x:v>
      </x:c>
      <x:c r="B936" s="2" t="str">
        <x:v>EV000937</x:v>
      </x:c>
      <x:c r="C936" s="2" t="str">
        <x:v>T20261005-5-3</x:v>
      </x:c>
      <x:c r="D936" s="2" t="str">
        <x:v>ST112</x:v>
      </x:c>
      <x:c r="E936" s="2" t="str">
        <x:v>G112</x:v>
      </x:c>
      <x:c r="F936" s="2" t="str">
        <x:v>guardian112@example.invalid</x:v>
      </x:c>
      <x:c r="G936" s="2" t="str">
        <x:v>Email</x:v>
      </x:c>
      <x:c r="H936" s="2" t="str">
        <x:v>Boarded</x:v>
      </x:c>
      <x:c r="I936" s="8" t="n">
        <x:v>46300.70836805555</x:v>
      </x:c>
      <x:c r="J936" s="8" t="n">
        <x:v>46300.7083912037</x:v>
      </x:c>
      <x:c r="K936" s="8" t="n">
        <x:v>46300.70842592592</x:v>
      </x:c>
      <x:c r="L936" s="2" t="str">
        <x:v>Sent</x:v>
      </x:c>
      <x:c r="M936" s="2" t="n">
        <x:v>1</x:v>
      </x:c>
      <x:c r="N936" s="2"/>
      <x:c r="O936" s="2"/>
    </x:row>
    <x:row r="937" ht="21" customHeight="1">
      <x:c r="A937" s="2" t="str">
        <x:v>NT000936</x:v>
      </x:c>
      <x:c r="B937" s="2" t="str">
        <x:v>EV000938</x:v>
      </x:c>
      <x:c r="C937" s="2" t="str">
        <x:v>T20261005-5-3</x:v>
      </x:c>
      <x:c r="D937" s="2" t="str">
        <x:v>ST112</x:v>
      </x:c>
      <x:c r="E937" s="2" t="str">
        <x:v>G112</x:v>
      </x:c>
      <x:c r="F937" s="2" t="str">
        <x:v>guardian112@example.invalid</x:v>
      </x:c>
      <x:c r="G937" s="2" t="str">
        <x:v>Email</x:v>
      </x:c>
      <x:c r="H937" s="2" t="str">
        <x:v>Authorized release</x:v>
      </x:c>
      <x:c r="I937" s="8" t="n">
        <x:v>46300.72850694445</x:v>
      </x:c>
      <x:c r="J937" s="8" t="n">
        <x:v>46300.728530092594</x:v>
      </x:c>
      <x:c r="K937" s="8" t="n">
        <x:v>46300.72856481482</x:v>
      </x:c>
      <x:c r="L937" s="2" t="str">
        <x:v>Sent</x:v>
      </x:c>
      <x:c r="M937" s="2" t="n">
        <x:v>1</x:v>
      </x:c>
      <x:c r="N937" s="2"/>
      <x:c r="O937" s="2"/>
    </x:row>
    <x:row r="938" ht="21" customHeight="1">
      <x:c r="A938" s="2" t="str">
        <x:v>NT000937</x:v>
      </x:c>
      <x:c r="B938" s="2" t="str">
        <x:v>EV000939</x:v>
      </x:c>
      <x:c r="C938" s="2" t="str">
        <x:v>T20261005-5-3</x:v>
      </x:c>
      <x:c r="D938" s="2" t="str">
        <x:v>ST113</x:v>
      </x:c>
      <x:c r="E938" s="2" t="str">
        <x:v>G113</x:v>
      </x:c>
      <x:c r="F938" s="2" t="str">
        <x:v>guardian113@example.invalid</x:v>
      </x:c>
      <x:c r="G938" s="2" t="str">
        <x:v>Email</x:v>
      </x:c>
      <x:c r="H938" s="2" t="str">
        <x:v>Boarded</x:v>
      </x:c>
      <x:c r="I938" s="8" t="n">
        <x:v>46300.708402777775</x:v>
      </x:c>
      <x:c r="J938" s="8" t="n">
        <x:v>46300.70842592592</x:v>
      </x:c>
      <x:c r="K938" s="8" t="n">
        <x:v>46300.708460648144</x:v>
      </x:c>
      <x:c r="L938" s="2" t="str">
        <x:v>Sent</x:v>
      </x:c>
      <x:c r="M938" s="2" t="n">
        <x:v>1</x:v>
      </x:c>
      <x:c r="N938" s="2"/>
      <x:c r="O938" s="2"/>
    </x:row>
    <x:row r="939" ht="21" customHeight="1">
      <x:c r="A939" s="2" t="str">
        <x:v>NT000938</x:v>
      </x:c>
      <x:c r="B939" s="2" t="str">
        <x:v>EV000940</x:v>
      </x:c>
      <x:c r="C939" s="2" t="str">
        <x:v>T20261005-5-3</x:v>
      </x:c>
      <x:c r="D939" s="2" t="str">
        <x:v>ST113</x:v>
      </x:c>
      <x:c r="E939" s="2" t="str">
        <x:v>G113</x:v>
      </x:c>
      <x:c r="F939" s="2" t="str">
        <x:v>guardian113@example.invalid</x:v>
      </x:c>
      <x:c r="G939" s="2" t="str">
        <x:v>Email</x:v>
      </x:c>
      <x:c r="H939" s="2" t="str">
        <x:v>Authorized release</x:v>
      </x:c>
      <x:c r="I939" s="8" t="n">
        <x:v>46300.73340277778</x:v>
      </x:c>
      <x:c r="J939" s="8" t="n">
        <x:v>46300.73342592593</x:v>
      </x:c>
      <x:c r="K939" s="8" t="n">
        <x:v>46300.73346064815</x:v>
      </x:c>
      <x:c r="L939" s="2" t="str">
        <x:v>Sent</x:v>
      </x:c>
      <x:c r="M939" s="2" t="n">
        <x:v>1</x:v>
      </x:c>
      <x:c r="N939" s="2"/>
      <x:c r="O939" s="2"/>
    </x:row>
    <x:row r="940" ht="21" customHeight="1">
      <x:c r="A940" s="2" t="str">
        <x:v>NT000939</x:v>
      </x:c>
      <x:c r="B940" s="2" t="str">
        <x:v>EV000941</x:v>
      </x:c>
      <x:c r="C940" s="2" t="str">
        <x:v>T20261005-5-3</x:v>
      </x:c>
      <x:c r="D940" s="2" t="str">
        <x:v>ST114</x:v>
      </x:c>
      <x:c r="E940" s="2" t="str">
        <x:v>G114</x:v>
      </x:c>
      <x:c r="F940" s="2" t="str">
        <x:v>guardian114@example.invalid</x:v>
      </x:c>
      <x:c r="G940" s="2" t="str">
        <x:v>Email</x:v>
      </x:c>
      <x:c r="H940" s="2" t="str">
        <x:v>Boarded</x:v>
      </x:c>
      <x:c r="I940" s="8" t="n">
        <x:v>46300.7084375</x:v>
      </x:c>
      <x:c r="J940" s="8" t="n">
        <x:v>46300.708460648144</x:v>
      </x:c>
      <x:c r="K940" s="8" t="n">
        <x:v>46300.70849537037</x:v>
      </x:c>
      <x:c r="L940" s="2" t="str">
        <x:v>Sent</x:v>
      </x:c>
      <x:c r="M940" s="2" t="n">
        <x:v>1</x:v>
      </x:c>
      <x:c r="N940" s="2"/>
      <x:c r="O940" s="2"/>
    </x:row>
    <x:row r="941" ht="21" customHeight="1">
      <x:c r="A941" s="2" t="str">
        <x:v>NT000940</x:v>
      </x:c>
      <x:c r="B941" s="2" t="str">
        <x:v>EV000942</x:v>
      </x:c>
      <x:c r="C941" s="2" t="str">
        <x:v>T20261005-5-3</x:v>
      </x:c>
      <x:c r="D941" s="2" t="str">
        <x:v>ST114</x:v>
      </x:c>
      <x:c r="E941" s="2" t="str">
        <x:v>G114</x:v>
      </x:c>
      <x:c r="F941" s="2" t="str">
        <x:v>guardian114@example.invalid</x:v>
      </x:c>
      <x:c r="G941" s="2" t="str">
        <x:v>Email</x:v>
      </x:c>
      <x:c r="H941" s="2" t="str">
        <x:v>Authorized release</x:v>
      </x:c>
      <x:c r="I941" s="8" t="n">
        <x:v>46300.72371527778</x:v>
      </x:c>
      <x:c r="J941" s="8" t="n">
        <x:v>46300.72373842593</x:v>
      </x:c>
      <x:c r="K941" s="8" t="n">
        <x:v>46300.72377314815</x:v>
      </x:c>
      <x:c r="L941" s="2" t="str">
        <x:v>Sent</x:v>
      </x:c>
      <x:c r="M941" s="2" t="n">
        <x:v>1</x:v>
      </x:c>
      <x:c r="N941" s="2"/>
      <x:c r="O941" s="2"/>
    </x:row>
    <x:row r="942" ht="21" customHeight="1">
      <x:c r="A942" s="2" t="str">
        <x:v>NT000941</x:v>
      </x:c>
      <x:c r="B942" s="2" t="str">
        <x:v>EV000943</x:v>
      </x:c>
      <x:c r="C942" s="2" t="str">
        <x:v>T20261005-5-3</x:v>
      </x:c>
      <x:c r="D942" s="2" t="str">
        <x:v>ST115</x:v>
      </x:c>
      <x:c r="E942" s="2" t="str">
        <x:v>G115</x:v>
      </x:c>
      <x:c r="F942" s="2" t="str">
        <x:v>guardian115@example.invalid</x:v>
      </x:c>
      <x:c r="G942" s="2" t="str">
        <x:v>Email</x:v>
      </x:c>
      <x:c r="H942" s="2" t="str">
        <x:v>Boarded</x:v>
      </x:c>
      <x:c r="I942" s="8" t="n">
        <x:v>46300.70847222222</x:v>
      </x:c>
      <x:c r="J942" s="8" t="n">
        <x:v>46300.70849537037</x:v>
      </x:c>
      <x:c r="K942" s="8" t="n">
        <x:v>46300.70853009259</x:v>
      </x:c>
      <x:c r="L942" s="2" t="str">
        <x:v>Sent</x:v>
      </x:c>
      <x:c r="M942" s="2" t="n">
        <x:v>1</x:v>
      </x:c>
      <x:c r="N942" s="2"/>
      <x:c r="O942" s="2"/>
    </x:row>
    <x:row r="943" ht="21" customHeight="1">
      <x:c r="A943" s="2" t="str">
        <x:v>NT000942</x:v>
      </x:c>
      <x:c r="B943" s="2" t="str">
        <x:v>EV000944</x:v>
      </x:c>
      <x:c r="C943" s="2" t="str">
        <x:v>T20261005-5-3</x:v>
      </x:c>
      <x:c r="D943" s="2" t="str">
        <x:v>ST115</x:v>
      </x:c>
      <x:c r="E943" s="2" t="str">
        <x:v>G115</x:v>
      </x:c>
      <x:c r="F943" s="2" t="str">
        <x:v>guardian115@example.invalid</x:v>
      </x:c>
      <x:c r="G943" s="2" t="str">
        <x:v>Email</x:v>
      </x:c>
      <x:c r="H943" s="2" t="str">
        <x:v>Authorized release</x:v>
      </x:c>
      <x:c r="I943" s="8" t="n">
        <x:v>46300.72861111112</x:v>
      </x:c>
      <x:c r="J943" s="8" t="n">
        <x:v>46300.72863425926</x:v>
      </x:c>
      <x:c r="K943" s="8" t="n">
        <x:v>46300.72866898149</x:v>
      </x:c>
      <x:c r="L943" s="2" t="str">
        <x:v>Sent</x:v>
      </x:c>
      <x:c r="M943" s="2" t="n">
        <x:v>1</x:v>
      </x:c>
      <x:c r="N943" s="2"/>
      <x:c r="O943" s="2"/>
    </x:row>
    <x:row r="944" ht="21" customHeight="1">
      <x:c r="A944" s="2" t="str">
        <x:v>NT000943</x:v>
      </x:c>
      <x:c r="B944" s="2" t="str">
        <x:v>EV000945</x:v>
      </x:c>
      <x:c r="C944" s="2" t="str">
        <x:v>T20261005-5-3</x:v>
      </x:c>
      <x:c r="D944" s="2" t="str">
        <x:v>ST116</x:v>
      </x:c>
      <x:c r="E944" s="2" t="str">
        <x:v>G116</x:v>
      </x:c>
      <x:c r="F944" s="2" t="str">
        <x:v>guardian116@example.invalid</x:v>
      </x:c>
      <x:c r="G944" s="2" t="str">
        <x:v>Email</x:v>
      </x:c>
      <x:c r="H944" s="2" t="str">
        <x:v>Boarded</x:v>
      </x:c>
      <x:c r="I944" s="8" t="n">
        <x:v>46300.70850694444</x:v>
      </x:c>
      <x:c r="J944" s="8" t="n">
        <x:v>46300.70853009258</x:v>
      </x:c>
      <x:c r="K944" s="8" t="n">
        <x:v>46300.708564814806</x:v>
      </x:c>
      <x:c r="L944" s="2" t="str">
        <x:v>Sent</x:v>
      </x:c>
      <x:c r="M944" s="2" t="n">
        <x:v>1</x:v>
      </x:c>
      <x:c r="N944" s="2"/>
      <x:c r="O944" s="2"/>
    </x:row>
    <x:row r="945" ht="21" customHeight="1">
      <x:c r="A945" s="2" t="str">
        <x:v>NT000944</x:v>
      </x:c>
      <x:c r="B945" s="2" t="str">
        <x:v>EV000946</x:v>
      </x:c>
      <x:c r="C945" s="2" t="str">
        <x:v>T20261005-5-3</x:v>
      </x:c>
      <x:c r="D945" s="2" t="str">
        <x:v>ST116</x:v>
      </x:c>
      <x:c r="E945" s="2" t="str">
        <x:v>G116</x:v>
      </x:c>
      <x:c r="F945" s="2" t="str">
        <x:v>guardian116@example.invalid</x:v>
      </x:c>
      <x:c r="G945" s="2" t="str">
        <x:v>Email</x:v>
      </x:c>
      <x:c r="H945" s="2" t="str">
        <x:v>Authorized release</x:v>
      </x:c>
      <x:c r="I945" s="8" t="n">
        <x:v>46300.733506944445</x:v>
      </x:c>
      <x:c r="J945" s="8" t="n">
        <x:v>46300.73353009259</x:v>
      </x:c>
      <x:c r="K945" s="8" t="n">
        <x:v>46300.733564814815</x:v>
      </x:c>
      <x:c r="L945" s="2" t="str">
        <x:v>Sent</x:v>
      </x:c>
      <x:c r="M945" s="2" t="n">
        <x:v>1</x:v>
      </x:c>
      <x:c r="N945" s="2"/>
      <x:c r="O945" s="2"/>
    </x:row>
    <x:row r="946" ht="21" customHeight="1">
      <x:c r="A946" s="2" t="str">
        <x:v>NT000945</x:v>
      </x:c>
      <x:c r="B946" s="2" t="str">
        <x:v>EV000947</x:v>
      </x:c>
      <x:c r="C946" s="2" t="str">
        <x:v>T20261005-5-3</x:v>
      </x:c>
      <x:c r="D946" s="2" t="str">
        <x:v>ST117</x:v>
      </x:c>
      <x:c r="E946" s="2" t="str">
        <x:v>G117</x:v>
      </x:c>
      <x:c r="F946" s="2" t="str">
        <x:v>guardian117@example.invalid</x:v>
      </x:c>
      <x:c r="G946" s="2" t="str">
        <x:v>Email</x:v>
      </x:c>
      <x:c r="H946" s="2" t="str">
        <x:v>Boarded</x:v>
      </x:c>
      <x:c r="I946" s="8" t="n">
        <x:v>46300.70854166666</x:v>
      </x:c>
      <x:c r="J946" s="8" t="n">
        <x:v>46300.708564814806</x:v>
      </x:c>
      <x:c r="K946" s="8" t="n">
        <x:v>46300.70859953703</x:v>
      </x:c>
      <x:c r="L946" s="2" t="str">
        <x:v>Sent</x:v>
      </x:c>
      <x:c r="M946" s="2" t="n">
        <x:v>1</x:v>
      </x:c>
      <x:c r="N946" s="2"/>
      <x:c r="O946" s="2"/>
    </x:row>
    <x:row r="947" ht="21" customHeight="1">
      <x:c r="A947" s="2" t="str">
        <x:v>NT000946</x:v>
      </x:c>
      <x:c r="B947" s="2" t="str">
        <x:v>EV000948</x:v>
      </x:c>
      <x:c r="C947" s="2" t="str">
        <x:v>T20261005-5-3</x:v>
      </x:c>
      <x:c r="D947" s="2" t="str">
        <x:v>ST117</x:v>
      </x:c>
      <x:c r="E947" s="2" t="str">
        <x:v>G117</x:v>
      </x:c>
      <x:c r="F947" s="2" t="str">
        <x:v>guardian117@example.invalid</x:v>
      </x:c>
      <x:c r="G947" s="2" t="str">
        <x:v>Email</x:v>
      </x:c>
      <x:c r="H947" s="2" t="str">
        <x:v>Authorized release</x:v>
      </x:c>
      <x:c r="I947" s="8" t="n">
        <x:v>46300.72381944444</x:v>
      </x:c>
      <x:c r="J947" s="8" t="n">
        <x:v>46300.72384259259</x:v>
      </x:c>
      <x:c r="K947" s="8" t="n">
        <x:v>46300.72387731481</x:v>
      </x:c>
      <x:c r="L947" s="2" t="str">
        <x:v>Sent</x:v>
      </x:c>
      <x:c r="M947" s="2" t="n">
        <x:v>1</x:v>
      </x:c>
      <x:c r="N947" s="2"/>
      <x:c r="O947" s="2"/>
    </x:row>
    <x:row r="948" ht="21" customHeight="1">
      <x:c r="A948" s="2" t="str">
        <x:v>NT000947</x:v>
      </x:c>
      <x:c r="B948" s="2" t="str">
        <x:v>EV000949</x:v>
      </x:c>
      <x:c r="C948" s="2" t="str">
        <x:v>T20261005-5-3</x:v>
      </x:c>
      <x:c r="D948" s="2" t="str">
        <x:v>ST118</x:v>
      </x:c>
      <x:c r="E948" s="2" t="str">
        <x:v>G118</x:v>
      </x:c>
      <x:c r="F948" s="2" t="str">
        <x:v>guardian118@example.invalid</x:v>
      </x:c>
      <x:c r="G948" s="2" t="str">
        <x:v>Email</x:v>
      </x:c>
      <x:c r="H948" s="2" t="str">
        <x:v>Boarded</x:v>
      </x:c>
      <x:c r="I948" s="8" t="n">
        <x:v>46300.70857638888</x:v>
      </x:c>
      <x:c r="J948" s="8" t="n">
        <x:v>46300.70859953703</x:v>
      </x:c>
      <x:c r="K948" s="8" t="n">
        <x:v>46300.70863425925</x:v>
      </x:c>
      <x:c r="L948" s="2" t="str">
        <x:v>Sent</x:v>
      </x:c>
      <x:c r="M948" s="2" t="n">
        <x:v>1</x:v>
      </x:c>
      <x:c r="N948" s="2"/>
      <x:c r="O948" s="2"/>
    </x:row>
    <x:row r="949" ht="21" customHeight="1">
      <x:c r="A949" s="2" t="str">
        <x:v>NT000948</x:v>
      </x:c>
      <x:c r="B949" s="2" t="str">
        <x:v>EV000950</x:v>
      </x:c>
      <x:c r="C949" s="2" t="str">
        <x:v>T20261005-5-3</x:v>
      </x:c>
      <x:c r="D949" s="2" t="str">
        <x:v>ST118</x:v>
      </x:c>
      <x:c r="E949" s="2" t="str">
        <x:v>G118</x:v>
      </x:c>
      <x:c r="F949" s="2" t="str">
        <x:v>guardian118@example.invalid</x:v>
      </x:c>
      <x:c r="G949" s="2" t="str">
        <x:v>Email</x:v>
      </x:c>
      <x:c r="H949" s="2" t="str">
        <x:v>Authorized release</x:v>
      </x:c>
      <x:c r="I949" s="8" t="n">
        <x:v>46300.72871527778</x:v>
      </x:c>
      <x:c r="J949" s="8" t="n">
        <x:v>46300.728738425925</x:v>
      </x:c>
      <x:c r="K949" s="8" t="n">
        <x:v>46300.72877314815</x:v>
      </x:c>
      <x:c r="L949" s="2" t="str">
        <x:v>Sent</x:v>
      </x:c>
      <x:c r="M949" s="2" t="n">
        <x:v>1</x:v>
      </x:c>
      <x:c r="N949" s="2"/>
      <x:c r="O949" s="2"/>
    </x:row>
    <x:row r="950" ht="21" customHeight="1">
      <x:c r="A950" s="2" t="str">
        <x:v>NT000949</x:v>
      </x:c>
      <x:c r="B950" s="2" t="str">
        <x:v>EV000951</x:v>
      </x:c>
      <x:c r="C950" s="2" t="str">
        <x:v>T20261005-5-3</x:v>
      </x:c>
      <x:c r="D950" s="2" t="str">
        <x:v>ST119</x:v>
      </x:c>
      <x:c r="E950" s="2" t="str">
        <x:v>G119</x:v>
      </x:c>
      <x:c r="F950" s="2" t="str">
        <x:v>guardian119@example.invalid</x:v>
      </x:c>
      <x:c r="G950" s="2" t="str">
        <x:v>Email</x:v>
      </x:c>
      <x:c r="H950" s="2" t="str">
        <x:v>Boarded</x:v>
      </x:c>
      <x:c r="I950" s="8" t="n">
        <x:v>46300.708611111106</x:v>
      </x:c>
      <x:c r="J950" s="8" t="n">
        <x:v>46300.70863425925</x:v>
      </x:c>
      <x:c r="K950" s="8" t="n">
        <x:v>46300.708668981475</x:v>
      </x:c>
      <x:c r="L950" s="2" t="str">
        <x:v>Sent</x:v>
      </x:c>
      <x:c r="M950" s="2" t="n">
        <x:v>1</x:v>
      </x:c>
      <x:c r="N950" s="2"/>
      <x:c r="O950" s="2"/>
    </x:row>
    <x:row r="951" ht="21" customHeight="1">
      <x:c r="A951" s="2" t="str">
        <x:v>NT000950</x:v>
      </x:c>
      <x:c r="B951" s="2" t="str">
        <x:v>EV000952</x:v>
      </x:c>
      <x:c r="C951" s="2" t="str">
        <x:v>T20261005-5-3</x:v>
      </x:c>
      <x:c r="D951" s="2" t="str">
        <x:v>ST119</x:v>
      </x:c>
      <x:c r="E951" s="2" t="str">
        <x:v>G119</x:v>
      </x:c>
      <x:c r="F951" s="2" t="str">
        <x:v>guardian119@example.invalid</x:v>
      </x:c>
      <x:c r="G951" s="2" t="str">
        <x:v>Email</x:v>
      </x:c>
      <x:c r="H951" s="2" t="str">
        <x:v>Authorized release</x:v>
      </x:c>
      <x:c r="I951" s="8" t="n">
        <x:v>46300.733611111114</x:v>
      </x:c>
      <x:c r="J951" s="8" t="n">
        <x:v>46300.73363425926</x:v>
      </x:c>
      <x:c r="K951" s="8" t="n">
        <x:v>46300.733668981484</x:v>
      </x:c>
      <x:c r="L951" s="2" t="str">
        <x:v>Sent</x:v>
      </x:c>
      <x:c r="M951" s="2" t="n">
        <x:v>1</x:v>
      </x:c>
      <x:c r="N951" s="2"/>
      <x:c r="O951" s="2"/>
    </x:row>
    <x:row r="952" ht="21" customHeight="1">
      <x:c r="A952" s="2" t="str">
        <x:v>NT000951</x:v>
      </x:c>
      <x:c r="B952" s="2" t="str">
        <x:v>EV000953</x:v>
      </x:c>
      <x:c r="C952" s="2" t="str">
        <x:v>T20261005-5-3</x:v>
      </x:c>
      <x:c r="D952" s="2" t="str">
        <x:v>ST120</x:v>
      </x:c>
      <x:c r="E952" s="2" t="str">
        <x:v>G120</x:v>
      </x:c>
      <x:c r="F952" s="2" t="str">
        <x:v>guardian120@example.invalid</x:v>
      </x:c>
      <x:c r="G952" s="2" t="str">
        <x:v>Email</x:v>
      </x:c>
      <x:c r="H952" s="2" t="str">
        <x:v>Boarded</x:v>
      </x:c>
      <x:c r="I952" s="8" t="n">
        <x:v>46300.70864583333</x:v>
      </x:c>
      <x:c r="J952" s="8" t="n">
        <x:v>46300.708668981475</x:v>
      </x:c>
      <x:c r="K952" s="8" t="n">
        <x:v>46300.7087037037</x:v>
      </x:c>
      <x:c r="L952" s="2" t="str">
        <x:v>Sent</x:v>
      </x:c>
      <x:c r="M952" s="2" t="n">
        <x:v>1</x:v>
      </x:c>
      <x:c r="N952" s="2"/>
      <x:c r="O952" s="2"/>
    </x:row>
    <x:row r="953" ht="21" customHeight="1">
      <x:c r="A953" s="2" t="str">
        <x:v>NT000952</x:v>
      </x:c>
      <x:c r="B953" s="2" t="str">
        <x:v>EV000954</x:v>
      </x:c>
      <x:c r="C953" s="2" t="str">
        <x:v>T20261005-5-3</x:v>
      </x:c>
      <x:c r="D953" s="2" t="str">
        <x:v>ST120</x:v>
      </x:c>
      <x:c r="E953" s="2" t="str">
        <x:v>G120</x:v>
      </x:c>
      <x:c r="F953" s="2" t="str">
        <x:v>guardian120@example.invalid</x:v>
      </x:c>
      <x:c r="G953" s="2" t="str">
        <x:v>Email</x:v>
      </x:c>
      <x:c r="H953" s="2" t="str">
        <x:v>Authorized release</x:v>
      </x:c>
      <x:c r="I953" s="8" t="n">
        <x:v>46300.72392361111</x:v>
      </x:c>
      <x:c r="J953" s="8" t="n">
        <x:v>46300.72394675926</x:v>
      </x:c>
      <x:c r="K953" s="8" t="n">
        <x:v>46300.72398148148</x:v>
      </x:c>
      <x:c r="L953" s="2" t="str">
        <x:v>Sent</x:v>
      </x:c>
      <x:c r="M953" s="2" t="n">
        <x:v>1</x:v>
      </x:c>
      <x:c r="N953" s="2"/>
      <x:c r="O953" s="2"/>
    </x:row>
    <x:row r="954" ht="21" customHeight="1">
      <x:c r="A954" s="2" t="str">
        <x:v>NT000953</x:v>
      </x:c>
      <x:c r="B954" s="2" t="str">
        <x:v>EV000955</x:v>
      </x:c>
      <x:c r="C954" s="2" t="str">
        <x:v>T20261006-1-1</x:v>
      </x:c>
      <x:c r="D954" s="2" t="str">
        <x:v>ST001</x:v>
      </x:c>
      <x:c r="E954" s="2" t="str">
        <x:v>G001</x:v>
      </x:c>
      <x:c r="F954" s="2" t="str">
        <x:v>guardian001@example.invalid</x:v>
      </x:c>
      <x:c r="G954" s="2" t="str">
        <x:v>Email</x:v>
      </x:c>
      <x:c r="H954" s="2" t="str">
        <x:v>Boarded</x:v>
      </x:c>
      <x:c r="I954" s="8" t="n">
        <x:v>46301.242361111115</x:v>
      </x:c>
      <x:c r="J954" s="8" t="n">
        <x:v>46301.24238425926</x:v>
      </x:c>
      <x:c r="K954" s="8" t="n">
        <x:v>46301.242418981485</x:v>
      </x:c>
      <x:c r="L954" s="2" t="str">
        <x:v>Sent</x:v>
      </x:c>
      <x:c r="M954" s="2" t="n">
        <x:v>1</x:v>
      </x:c>
      <x:c r="N954" s="2"/>
      <x:c r="O954" s="2"/>
    </x:row>
    <x:row r="955" ht="21" customHeight="1">
      <x:c r="A955" s="2" t="str">
        <x:v>NT000954</x:v>
      </x:c>
      <x:c r="B955" s="2" t="str">
        <x:v>EV000956</x:v>
      </x:c>
      <x:c r="C955" s="2" t="str">
        <x:v>T20261006-1-1</x:v>
      </x:c>
      <x:c r="D955" s="2" t="str">
        <x:v>ST001</x:v>
      </x:c>
      <x:c r="E955" s="2" t="str">
        <x:v>G001</x:v>
      </x:c>
      <x:c r="F955" s="2" t="str">
        <x:v>guardian001@example.invalid</x:v>
      </x:c>
      <x:c r="G955" s="2" t="str">
        <x:v>Email</x:v>
      </x:c>
      <x:c r="H955" s="2" t="str">
        <x:v>School receipt</x:v>
      </x:c>
      <x:c r="I955" s="8" t="n">
        <x:v>46301.27638888889</x:v>
      </x:c>
      <x:c r="J955" s="8" t="n">
        <x:v>46301.276412037034</x:v>
      </x:c>
      <x:c r="K955" s="8" t="n">
        <x:v>46301.27644675926</x:v>
      </x:c>
      <x:c r="L955" s="2" t="str">
        <x:v>Sent</x:v>
      </x:c>
      <x:c r="M955" s="2" t="n">
        <x:v>1</x:v>
      </x:c>
      <x:c r="N955" s="2"/>
      <x:c r="O955" s="2"/>
    </x:row>
    <x:row r="956" ht="21" customHeight="1">
      <x:c r="A956" s="2" t="str">
        <x:v>NT000955</x:v>
      </x:c>
      <x:c r="B956" s="2" t="str">
        <x:v>EV000957</x:v>
      </x:c>
      <x:c r="C956" s="2" t="str">
        <x:v>T20261006-1-1</x:v>
      </x:c>
      <x:c r="D956" s="2" t="str">
        <x:v>ST002</x:v>
      </x:c>
      <x:c r="E956" s="2" t="str">
        <x:v>G002</x:v>
      </x:c>
      <x:c r="F956" s="2" t="str">
        <x:v>guardian002@example.invalid</x:v>
      </x:c>
      <x:c r="G956" s="2" t="str">
        <x:v>Email</x:v>
      </x:c>
      <x:c r="H956" s="2" t="str">
        <x:v>Boarded</x:v>
      </x:c>
      <x:c r="I956" s="8" t="n">
        <x:v>46301.24725694444</x:v>
      </x:c>
      <x:c r="J956" s="8" t="n">
        <x:v>46301.24728009259</x:v>
      </x:c>
      <x:c r="K956" s="8" t="n">
        <x:v>46301.24731481481</x:v>
      </x:c>
      <x:c r="L956" s="2" t="str">
        <x:v>Sent</x:v>
      </x:c>
      <x:c r="M956" s="2" t="n">
        <x:v>1</x:v>
      </x:c>
      <x:c r="N956" s="2"/>
      <x:c r="O956" s="2"/>
    </x:row>
    <x:row r="957" ht="21" customHeight="1">
      <x:c r="A957" s="2" t="str">
        <x:v>NT000956</x:v>
      </x:c>
      <x:c r="B957" s="2" t="str">
        <x:v>EV000958</x:v>
      </x:c>
      <x:c r="C957" s="2" t="str">
        <x:v>T20261006-1-1</x:v>
      </x:c>
      <x:c r="D957" s="2" t="str">
        <x:v>ST002</x:v>
      </x:c>
      <x:c r="E957" s="2" t="str">
        <x:v>G002</x:v>
      </x:c>
      <x:c r="F957" s="2" t="str">
        <x:v>guardian002@example.invalid</x:v>
      </x:c>
      <x:c r="G957" s="2" t="str">
        <x:v>Email</x:v>
      </x:c>
      <x:c r="H957" s="2" t="str">
        <x:v>School receipt</x:v>
      </x:c>
      <x:c r="I957" s="8" t="n">
        <x:v>46301.27642361111</x:v>
      </x:c>
      <x:c r="J957" s="8" t="n">
        <x:v>46301.27644675926</x:v>
      </x:c>
      <x:c r="K957" s="8" t="n">
        <x:v>46301.27648148148</x:v>
      </x:c>
      <x:c r="L957" s="2" t="str">
        <x:v>Sent</x:v>
      </x:c>
      <x:c r="M957" s="2" t="n">
        <x:v>1</x:v>
      </x:c>
      <x:c r="N957" s="2"/>
      <x:c r="O957" s="2"/>
    </x:row>
    <x:row r="958" ht="21" customHeight="1">
      <x:c r="A958" s="2" t="str">
        <x:v>NT000957</x:v>
      </x:c>
      <x:c r="B958" s="2" t="str">
        <x:v>EV000959</x:v>
      </x:c>
      <x:c r="C958" s="2" t="str">
        <x:v>T20261006-1-1</x:v>
      </x:c>
      <x:c r="D958" s="2" t="str">
        <x:v>ST003</x:v>
      </x:c>
      <x:c r="E958" s="2" t="str">
        <x:v>G003</x:v>
      </x:c>
      <x:c r="F958" s="2" t="str">
        <x:v>guardian003@example.invalid</x:v>
      </x:c>
      <x:c r="G958" s="2" t="str">
        <x:v>Email</x:v>
      </x:c>
      <x:c r="H958" s="2" t="str">
        <x:v>Boarded</x:v>
      </x:c>
      <x:c r="I958" s="8" t="n">
        <x:v>46301.25215277778</x:v>
      </x:c>
      <x:c r="J958" s="8" t="n">
        <x:v>46301.252175925925</x:v>
      </x:c>
      <x:c r="K958" s="8" t="n">
        <x:v>46301.25221064815</x:v>
      </x:c>
      <x:c r="L958" s="2" t="str">
        <x:v>Sent</x:v>
      </x:c>
      <x:c r="M958" s="2" t="n">
        <x:v>1</x:v>
      </x:c>
      <x:c r="N958" s="2"/>
      <x:c r="O958" s="2"/>
    </x:row>
    <x:row r="959" ht="21" customHeight="1">
      <x:c r="A959" s="2" t="str">
        <x:v>NT000958</x:v>
      </x:c>
      <x:c r="B959" s="2" t="str">
        <x:v>EV000960</x:v>
      </x:c>
      <x:c r="C959" s="2" t="str">
        <x:v>T20261006-1-1</x:v>
      </x:c>
      <x:c r="D959" s="2" t="str">
        <x:v>ST003</x:v>
      </x:c>
      <x:c r="E959" s="2" t="str">
        <x:v>G003</x:v>
      </x:c>
      <x:c r="F959" s="2" t="str">
        <x:v>guardian003@example.invalid</x:v>
      </x:c>
      <x:c r="G959" s="2" t="str">
        <x:v>Email</x:v>
      </x:c>
      <x:c r="H959" s="2" t="str">
        <x:v>School receipt</x:v>
      </x:c>
      <x:c r="I959" s="8" t="n">
        <x:v>46301.276458333334</x:v>
      </x:c>
      <x:c r="J959" s="8" t="n">
        <x:v>46301.27648148148</x:v>
      </x:c>
      <x:c r="K959" s="8" t="n">
        <x:v>46301.2765162037</x:v>
      </x:c>
      <x:c r="L959" s="2" t="str">
        <x:v>Sent</x:v>
      </x:c>
      <x:c r="M959" s="2" t="n">
        <x:v>1</x:v>
      </x:c>
      <x:c r="N959" s="2"/>
      <x:c r="O959" s="2"/>
    </x:row>
    <x:row r="960" ht="21" customHeight="1">
      <x:c r="A960" s="2" t="str">
        <x:v>NT000959</x:v>
      </x:c>
      <x:c r="B960" s="2" t="str">
        <x:v>EV000961</x:v>
      </x:c>
      <x:c r="C960" s="2" t="str">
        <x:v>T20261006-1-1</x:v>
      </x:c>
      <x:c r="D960" s="2" t="str">
        <x:v>ST004</x:v>
      </x:c>
      <x:c r="E960" s="2" t="str">
        <x:v>G004</x:v>
      </x:c>
      <x:c r="F960" s="2" t="str">
        <x:v>guardian004@example.invalid</x:v>
      </x:c>
      <x:c r="G960" s="2" t="str">
        <x:v>Email</x:v>
      </x:c>
      <x:c r="H960" s="2" t="str">
        <x:v>Boarded</x:v>
      </x:c>
      <x:c r="I960" s="8" t="n">
        <x:v>46301.242465277785</x:v>
      </x:c>
      <x:c r="J960" s="8" t="n">
        <x:v>46301.24248842593</x:v>
      </x:c>
      <x:c r="K960" s="8" t="n">
        <x:v>46301.242523148154</x:v>
      </x:c>
      <x:c r="L960" s="2" t="str">
        <x:v>Sent</x:v>
      </x:c>
      <x:c r="M960" s="2" t="n">
        <x:v>1</x:v>
      </x:c>
      <x:c r="N960" s="2"/>
      <x:c r="O960" s="2"/>
    </x:row>
    <x:row r="961" ht="21" customHeight="1">
      <x:c r="A961" s="2" t="str">
        <x:v>NT000960</x:v>
      </x:c>
      <x:c r="B961" s="2" t="str">
        <x:v>EV000962</x:v>
      </x:c>
      <x:c r="C961" s="2" t="str">
        <x:v>T20261006-1-1</x:v>
      </x:c>
      <x:c r="D961" s="2" t="str">
        <x:v>ST004</x:v>
      </x:c>
      <x:c r="E961" s="2" t="str">
        <x:v>G004</x:v>
      </x:c>
      <x:c r="F961" s="2" t="str">
        <x:v>guardian004@example.invalid</x:v>
      </x:c>
      <x:c r="G961" s="2" t="str">
        <x:v>Email</x:v>
      </x:c>
      <x:c r="H961" s="2" t="str">
        <x:v>School receipt</x:v>
      </x:c>
      <x:c r="I961" s="8" t="n">
        <x:v>46301.27649305556</x:v>
      </x:c>
      <x:c r="J961" s="8" t="n">
        <x:v>46301.2765162037</x:v>
      </x:c>
      <x:c r="K961" s="8" t="n">
        <x:v>46301.276550925926</x:v>
      </x:c>
      <x:c r="L961" s="2" t="str">
        <x:v>Sent</x:v>
      </x:c>
      <x:c r="M961" s="2" t="n">
        <x:v>1</x:v>
      </x:c>
      <x:c r="N961" s="2"/>
      <x:c r="O961" s="2"/>
    </x:row>
    <x:row r="962" ht="21" customHeight="1">
      <x:c r="A962" s="2" t="str">
        <x:v>NT000961</x:v>
      </x:c>
      <x:c r="B962" s="2" t="str">
        <x:v>EV000963</x:v>
      </x:c>
      <x:c r="C962" s="2" t="str">
        <x:v>T20261006-1-1</x:v>
      </x:c>
      <x:c r="D962" s="2" t="str">
        <x:v>ST005</x:v>
      </x:c>
      <x:c r="E962" s="2" t="str">
        <x:v>G005</x:v>
      </x:c>
      <x:c r="F962" s="2" t="str">
        <x:v>guardian005@example.invalid</x:v>
      </x:c>
      <x:c r="G962" s="2" t="str">
        <x:v>Email</x:v>
      </x:c>
      <x:c r="H962" s="2" t="str">
        <x:v>Boarded</x:v>
      </x:c>
      <x:c r="I962" s="8" t="n">
        <x:v>46301.24736111111</x:v>
      </x:c>
      <x:c r="J962" s="8" t="n">
        <x:v>46301.24738425926</x:v>
      </x:c>
      <x:c r="K962" s="8" t="n">
        <x:v>46301.24741898148</x:v>
      </x:c>
      <x:c r="L962" s="2" t="str">
        <x:v>Sent</x:v>
      </x:c>
      <x:c r="M962" s="2" t="n">
        <x:v>1</x:v>
      </x:c>
      <x:c r="N962" s="2"/>
      <x:c r="O962" s="2"/>
    </x:row>
    <x:row r="963" ht="21" customHeight="1">
      <x:c r="A963" s="2" t="str">
        <x:v>NT000962</x:v>
      </x:c>
      <x:c r="B963" s="2" t="str">
        <x:v>EV000964</x:v>
      </x:c>
      <x:c r="C963" s="2" t="str">
        <x:v>T20261006-1-1</x:v>
      </x:c>
      <x:c r="D963" s="2" t="str">
        <x:v>ST005</x:v>
      </x:c>
      <x:c r="E963" s="2" t="str">
        <x:v>G005</x:v>
      </x:c>
      <x:c r="F963" s="2" t="str">
        <x:v>guardian005@example.invalid</x:v>
      </x:c>
      <x:c r="G963" s="2" t="str">
        <x:v>Email</x:v>
      </x:c>
      <x:c r="H963" s="2" t="str">
        <x:v>School receipt</x:v>
      </x:c>
      <x:c r="I963" s="8" t="n">
        <x:v>46301.27652777778</x:v>
      </x:c>
      <x:c r="J963" s="8" t="n">
        <x:v>46301.276550925926</x:v>
      </x:c>
      <x:c r="K963" s="8" t="n">
        <x:v>46301.27658564815</x:v>
      </x:c>
      <x:c r="L963" s="2" t="str">
        <x:v>Sent</x:v>
      </x:c>
      <x:c r="M963" s="2" t="n">
        <x:v>1</x:v>
      </x:c>
      <x:c r="N963" s="2"/>
      <x:c r="O963" s="2"/>
    </x:row>
    <x:row r="964" ht="21" customHeight="1">
      <x:c r="A964" s="2" t="str">
        <x:v>NT000963</x:v>
      </x:c>
      <x:c r="B964" s="2" t="str">
        <x:v>EV000965</x:v>
      </x:c>
      <x:c r="C964" s="2" t="str">
        <x:v>T20261006-1-1</x:v>
      </x:c>
      <x:c r="D964" s="2" t="str">
        <x:v>ST006</x:v>
      </x:c>
      <x:c r="E964" s="2" t="str">
        <x:v>G006</x:v>
      </x:c>
      <x:c r="F964" s="2" t="str">
        <x:v>guardian006@example.invalid</x:v>
      </x:c>
      <x:c r="G964" s="2" t="str">
        <x:v>Email</x:v>
      </x:c>
      <x:c r="H964" s="2" t="str">
        <x:v>Boarded</x:v>
      </x:c>
      <x:c r="I964" s="8" t="n">
        <x:v>46301.25225694444</x:v>
      </x:c>
      <x:c r="J964" s="8" t="n">
        <x:v>46301.25228009259</x:v>
      </x:c>
      <x:c r="K964" s="8" t="n">
        <x:v>46301.25231481481</x:v>
      </x:c>
      <x:c r="L964" s="2" t="str">
        <x:v>Sent</x:v>
      </x:c>
      <x:c r="M964" s="2" t="n">
        <x:v>1</x:v>
      </x:c>
      <x:c r="N964" s="2"/>
      <x:c r="O964" s="2"/>
    </x:row>
    <x:row r="965" ht="21" customHeight="1">
      <x:c r="A965" s="2" t="str">
        <x:v>NT000964</x:v>
      </x:c>
      <x:c r="B965" s="2" t="str">
        <x:v>EV000966</x:v>
      </x:c>
      <x:c r="C965" s="2" t="str">
        <x:v>T20261006-1-1</x:v>
      </x:c>
      <x:c r="D965" s="2" t="str">
        <x:v>ST006</x:v>
      </x:c>
      <x:c r="E965" s="2" t="str">
        <x:v>G006</x:v>
      </x:c>
      <x:c r="F965" s="2" t="str">
        <x:v>guardian006@example.invalid</x:v>
      </x:c>
      <x:c r="G965" s="2" t="str">
        <x:v>Email</x:v>
      </x:c>
      <x:c r="H965" s="2" t="str">
        <x:v>School receipt</x:v>
      </x:c>
      <x:c r="I965" s="8" t="n">
        <x:v>46301.276562499996</x:v>
      </x:c>
      <x:c r="J965" s="8" t="n">
        <x:v>46301.27658564814</x:v>
      </x:c>
      <x:c r="K965" s="8" t="n">
        <x:v>46301.276620370365</x:v>
      </x:c>
      <x:c r="L965" s="2" t="str">
        <x:v>Sent</x:v>
      </x:c>
      <x:c r="M965" s="2" t="n">
        <x:v>1</x:v>
      </x:c>
      <x:c r="N965" s="2"/>
      <x:c r="O965" s="2"/>
    </x:row>
    <x:row r="966" ht="21" customHeight="1">
      <x:c r="A966" s="2" t="str">
        <x:v>NT000965</x:v>
      </x:c>
      <x:c r="B966" s="2" t="str">
        <x:v>EV000967</x:v>
      </x:c>
      <x:c r="C966" s="2" t="str">
        <x:v>T20261006-1-1</x:v>
      </x:c>
      <x:c r="D966" s="2" t="str">
        <x:v>ST007</x:v>
      </x:c>
      <x:c r="E966" s="2" t="str">
        <x:v>G007</x:v>
      </x:c>
      <x:c r="F966" s="2" t="str">
        <x:v>guardian007@example.invalid</x:v>
      </x:c>
      <x:c r="G966" s="2" t="str">
        <x:v>Email</x:v>
      </x:c>
      <x:c r="H966" s="2" t="str">
        <x:v>Boarded</x:v>
      </x:c>
      <x:c r="I966" s="8" t="n">
        <x:v>46301.24256944445</x:v>
      </x:c>
      <x:c r="J966" s="8" t="n">
        <x:v>46301.24259259259</x:v>
      </x:c>
      <x:c r="K966" s="8" t="n">
        <x:v>46301.242627314816</x:v>
      </x:c>
      <x:c r="L966" s="2" t="str">
        <x:v>Sent</x:v>
      </x:c>
      <x:c r="M966" s="2" t="n">
        <x:v>1</x:v>
      </x:c>
      <x:c r="N966" s="2"/>
      <x:c r="O966" s="2"/>
    </x:row>
    <x:row r="967" ht="21" customHeight="1">
      <x:c r="A967" s="2" t="str">
        <x:v>NT000966</x:v>
      </x:c>
      <x:c r="B967" s="2" t="str">
        <x:v>EV000968</x:v>
      </x:c>
      <x:c r="C967" s="2" t="str">
        <x:v>T20261006-1-1</x:v>
      </x:c>
      <x:c r="D967" s="2" t="str">
        <x:v>ST007</x:v>
      </x:c>
      <x:c r="E967" s="2" t="str">
        <x:v>G007</x:v>
      </x:c>
      <x:c r="F967" s="2" t="str">
        <x:v>guardian007@example.invalid</x:v>
      </x:c>
      <x:c r="G967" s="2" t="str">
        <x:v>Email</x:v>
      </x:c>
      <x:c r="H967" s="2" t="str">
        <x:v>School receipt</x:v>
      </x:c>
      <x:c r="I967" s="8" t="n">
        <x:v>46301.27659722222</x:v>
      </x:c>
      <x:c r="J967" s="8" t="n">
        <x:v>46301.276620370365</x:v>
      </x:c>
      <x:c r="K967" s="8" t="n">
        <x:v>46301.27665509259</x:v>
      </x:c>
      <x:c r="L967" s="2" t="str">
        <x:v>Sent</x:v>
      </x:c>
      <x:c r="M967" s="2" t="n">
        <x:v>1</x:v>
      </x:c>
      <x:c r="N967" s="2"/>
      <x:c r="O967" s="2"/>
    </x:row>
    <x:row r="968" ht="21" customHeight="1">
      <x:c r="A968" s="2" t="str">
        <x:v>NT000967</x:v>
      </x:c>
      <x:c r="B968" s="2" t="str">
        <x:v>EV000969</x:v>
      </x:c>
      <x:c r="C968" s="2" t="str">
        <x:v>T20261006-1-1</x:v>
      </x:c>
      <x:c r="D968" s="2" t="str">
        <x:v>ST008</x:v>
      </x:c>
      <x:c r="E968" s="2" t="str">
        <x:v>G008</x:v>
      </x:c>
      <x:c r="F968" s="2" t="str">
        <x:v>guardian008@example.invalid</x:v>
      </x:c>
      <x:c r="G968" s="2" t="str">
        <x:v>Email</x:v>
      </x:c>
      <x:c r="H968" s="2" t="str">
        <x:v>Boarded</x:v>
      </x:c>
      <x:c r="I968" s="8" t="n">
        <x:v>46301.247465277775</x:v>
      </x:c>
      <x:c r="J968" s="8" t="n">
        <x:v>46301.24748842592</x:v>
      </x:c>
      <x:c r="K968" s="8" t="n">
        <x:v>46301.247523148144</x:v>
      </x:c>
      <x:c r="L968" s="2" t="str">
        <x:v>Sent</x:v>
      </x:c>
      <x:c r="M968" s="2" t="n">
        <x:v>1</x:v>
      </x:c>
      <x:c r="N968" s="2"/>
      <x:c r="O968" s="2"/>
    </x:row>
    <x:row r="969" ht="21" customHeight="1">
      <x:c r="A969" s="2" t="str">
        <x:v>NT000968</x:v>
      </x:c>
      <x:c r="B969" s="2" t="str">
        <x:v>EV000970</x:v>
      </x:c>
      <x:c r="C969" s="2" t="str">
        <x:v>T20261006-1-1</x:v>
      </x:c>
      <x:c r="D969" s="2" t="str">
        <x:v>ST008</x:v>
      </x:c>
      <x:c r="E969" s="2" t="str">
        <x:v>G008</x:v>
      </x:c>
      <x:c r="F969" s="2" t="str">
        <x:v>guardian008@example.invalid</x:v>
      </x:c>
      <x:c r="G969" s="2" t="str">
        <x:v>Email</x:v>
      </x:c>
      <x:c r="H969" s="2" t="str">
        <x:v>School receipt</x:v>
      </x:c>
      <x:c r="I969" s="8" t="n">
        <x:v>46301.27663194444</x:v>
      </x:c>
      <x:c r="J969" s="8" t="n">
        <x:v>46301.27665509259</x:v>
      </x:c>
      <x:c r="K969" s="8" t="n">
        <x:v>46301.27668981481</x:v>
      </x:c>
      <x:c r="L969" s="2" t="str">
        <x:v>Sent</x:v>
      </x:c>
      <x:c r="M969" s="2" t="n">
        <x:v>1</x:v>
      </x:c>
      <x:c r="N969" s="2"/>
      <x:c r="O969" s="2"/>
    </x:row>
    <x:row r="970" ht="21" customHeight="1">
      <x:c r="A970" s="2" t="str">
        <x:v>NT000969</x:v>
      </x:c>
      <x:c r="B970" s="2" t="str">
        <x:v>EV000971</x:v>
      </x:c>
      <x:c r="C970" s="2" t="str">
        <x:v>T20261006-1-1</x:v>
      </x:c>
      <x:c r="D970" s="2" t="str">
        <x:v>ST009</x:v>
      </x:c>
      <x:c r="E970" s="2" t="str">
        <x:v>G009</x:v>
      </x:c>
      <x:c r="F970" s="2" t="str">
        <x:v>guardian009@example.invalid</x:v>
      </x:c>
      <x:c r="G970" s="2" t="str">
        <x:v>Email</x:v>
      </x:c>
      <x:c r="H970" s="2" t="str">
        <x:v>Boarded</x:v>
      </x:c>
      <x:c r="I970" s="8" t="n">
        <x:v>46301.25236111111</x:v>
      </x:c>
      <x:c r="J970" s="8" t="n">
        <x:v>46301.252384259256</x:v>
      </x:c>
      <x:c r="K970" s="8" t="n">
        <x:v>46301.25241898148</x:v>
      </x:c>
      <x:c r="L970" s="2" t="str">
        <x:v>Sent</x:v>
      </x:c>
      <x:c r="M970" s="2" t="n">
        <x:v>1</x:v>
      </x:c>
      <x:c r="N970" s="2"/>
      <x:c r="O970" s="2"/>
    </x:row>
    <x:row r="971" ht="21" customHeight="1">
      <x:c r="A971" s="2" t="str">
        <x:v>NT000970</x:v>
      </x:c>
      <x:c r="B971" s="2" t="str">
        <x:v>EV000972</x:v>
      </x:c>
      <x:c r="C971" s="2" t="str">
        <x:v>T20261006-1-1</x:v>
      </x:c>
      <x:c r="D971" s="2" t="str">
        <x:v>ST009</x:v>
      </x:c>
      <x:c r="E971" s="2" t="str">
        <x:v>G009</x:v>
      </x:c>
      <x:c r="F971" s="2" t="str">
        <x:v>guardian009@example.invalid</x:v>
      </x:c>
      <x:c r="G971" s="2" t="str">
        <x:v>Email</x:v>
      </x:c>
      <x:c r="H971" s="2" t="str">
        <x:v>School receipt</x:v>
      </x:c>
      <x:c r="I971" s="8" t="n">
        <x:v>46301.276666666665</x:v>
      </x:c>
      <x:c r="J971" s="8" t="n">
        <x:v>46301.27668981481</x:v>
      </x:c>
      <x:c r="K971" s="8" t="n">
        <x:v>46301.276724537034</x:v>
      </x:c>
      <x:c r="L971" s="2" t="str">
        <x:v>Sent</x:v>
      </x:c>
      <x:c r="M971" s="2" t="n">
        <x:v>1</x:v>
      </x:c>
      <x:c r="N971" s="2"/>
      <x:c r="O971" s="2"/>
    </x:row>
    <x:row r="972" ht="21" customHeight="1">
      <x:c r="A972" s="2" t="str">
        <x:v>NT000971</x:v>
      </x:c>
      <x:c r="B972" s="2" t="str">
        <x:v>EV000973</x:v>
      </x:c>
      <x:c r="C972" s="2" t="str">
        <x:v>T20261006-1-1</x:v>
      </x:c>
      <x:c r="D972" s="2" t="str">
        <x:v>ST010</x:v>
      </x:c>
      <x:c r="E972" s="2" t="str">
        <x:v>G010</x:v>
      </x:c>
      <x:c r="F972" s="2" t="str">
        <x:v>guardian010@example.invalid</x:v>
      </x:c>
      <x:c r="G972" s="2" t="str">
        <x:v>Email</x:v>
      </x:c>
      <x:c r="H972" s="2" t="str">
        <x:v>Boarded</x:v>
      </x:c>
      <x:c r="I972" s="8" t="n">
        <x:v>46301.242673611116</x:v>
      </x:c>
      <x:c r="J972" s="8" t="n">
        <x:v>46301.24269675926</x:v>
      </x:c>
      <x:c r="K972" s="8" t="n">
        <x:v>46301.242731481485</x:v>
      </x:c>
      <x:c r="L972" s="2" t="str">
        <x:v>Sent</x:v>
      </x:c>
      <x:c r="M972" s="2" t="n">
        <x:v>1</x:v>
      </x:c>
      <x:c r="N972" s="2"/>
      <x:c r="O972" s="2"/>
    </x:row>
    <x:row r="973" ht="21" customHeight="1">
      <x:c r="A973" s="2" t="str">
        <x:v>NT000972</x:v>
      </x:c>
      <x:c r="B973" s="2" t="str">
        <x:v>EV000974</x:v>
      </x:c>
      <x:c r="C973" s="2" t="str">
        <x:v>T20261006-1-1</x:v>
      </x:c>
      <x:c r="D973" s="2" t="str">
        <x:v>ST010</x:v>
      </x:c>
      <x:c r="E973" s="2" t="str">
        <x:v>G010</x:v>
      </x:c>
      <x:c r="F973" s="2" t="str">
        <x:v>guardian010@example.invalid</x:v>
      </x:c>
      <x:c r="G973" s="2" t="str">
        <x:v>Email</x:v>
      </x:c>
      <x:c r="H973" s="2" t="str">
        <x:v>School receipt</x:v>
      </x:c>
      <x:c r="I973" s="8" t="n">
        <x:v>46301.27670138889</x:v>
      </x:c>
      <x:c r="J973" s="8" t="n">
        <x:v>46301.276724537034</x:v>
      </x:c>
      <x:c r="K973" s="8" t="n">
        <x:v>46301.27675925926</x:v>
      </x:c>
      <x:c r="L973" s="2" t="str">
        <x:v>Sent</x:v>
      </x:c>
      <x:c r="M973" s="2" t="n">
        <x:v>1</x:v>
      </x:c>
      <x:c r="N973" s="2"/>
      <x:c r="O973" s="2"/>
    </x:row>
    <x:row r="974" ht="21" customHeight="1">
      <x:c r="A974" s="2" t="str">
        <x:v>NT000973</x:v>
      </x:c>
      <x:c r="B974" s="2" t="str">
        <x:v>EV000975</x:v>
      </x:c>
      <x:c r="C974" s="2" t="str">
        <x:v>T20261006-1-1</x:v>
      </x:c>
      <x:c r="D974" s="2" t="str">
        <x:v>ST011</x:v>
      </x:c>
      <x:c r="E974" s="2" t="str">
        <x:v>G011</x:v>
      </x:c>
      <x:c r="F974" s="2" t="str">
        <x:v>guardian011@example.invalid</x:v>
      </x:c>
      <x:c r="G974" s="2" t="str">
        <x:v>Email</x:v>
      </x:c>
      <x:c r="H974" s="2" t="str">
        <x:v>Boarded</x:v>
      </x:c>
      <x:c r="I974" s="8" t="n">
        <x:v>46301.24722222222</x:v>
      </x:c>
      <x:c r="J974" s="8" t="n">
        <x:v>46301.24724537037</x:v>
      </x:c>
      <x:c r="K974" s="8" t="n">
        <x:v>46301.24728009259</x:v>
      </x:c>
      <x:c r="L974" s="2" t="str">
        <x:v>Sent</x:v>
      </x:c>
      <x:c r="M974" s="2" t="n">
        <x:v>1</x:v>
      </x:c>
      <x:c r="N974" s="2"/>
      <x:c r="O974" s="2"/>
    </x:row>
    <x:row r="975" ht="21" customHeight="1">
      <x:c r="A975" s="2" t="str">
        <x:v>NT000974</x:v>
      </x:c>
      <x:c r="B975" s="2" t="str">
        <x:v>EV000976</x:v>
      </x:c>
      <x:c r="C975" s="2" t="str">
        <x:v>T20261006-1-1</x:v>
      </x:c>
      <x:c r="D975" s="2" t="str">
        <x:v>ST011</x:v>
      </x:c>
      <x:c r="E975" s="2" t="str">
        <x:v>G011</x:v>
      </x:c>
      <x:c r="F975" s="2" t="str">
        <x:v>guardian011@example.invalid</x:v>
      </x:c>
      <x:c r="G975" s="2" t="str">
        <x:v>Email</x:v>
      </x:c>
      <x:c r="H975" s="2" t="str">
        <x:v>School receipt</x:v>
      </x:c>
      <x:c r="I975" s="8" t="n">
        <x:v>46301.27673611111</x:v>
      </x:c>
      <x:c r="J975" s="8" t="n">
        <x:v>46301.27675925926</x:v>
      </x:c>
      <x:c r="K975" s="8" t="n">
        <x:v>46301.27679398148</x:v>
      </x:c>
      <x:c r="L975" s="2" t="str">
        <x:v>Sent</x:v>
      </x:c>
      <x:c r="M975" s="2" t="n">
        <x:v>1</x:v>
      </x:c>
      <x:c r="N975" s="2"/>
      <x:c r="O975" s="2"/>
    </x:row>
    <x:row r="976" ht="21" customHeight="1">
      <x:c r="A976" s="2" t="str">
        <x:v>NT000975</x:v>
      </x:c>
      <x:c r="B976" s="2" t="str">
        <x:v>EV000977</x:v>
      </x:c>
      <x:c r="C976" s="2" t="str">
        <x:v>T20261006-1-1</x:v>
      </x:c>
      <x:c r="D976" s="2" t="str">
        <x:v>ST012</x:v>
      </x:c>
      <x:c r="E976" s="2" t="str">
        <x:v>G012</x:v>
      </x:c>
      <x:c r="F976" s="2" t="str">
        <x:v>guardian012@example.invalid</x:v>
      </x:c>
      <x:c r="G976" s="2" t="str">
        <x:v>Email</x:v>
      </x:c>
      <x:c r="H976" s="2" t="str">
        <x:v>Boarded</x:v>
      </x:c>
      <x:c r="I976" s="8" t="n">
        <x:v>46301.252118055556</x:v>
      </x:c>
      <x:c r="J976" s="8" t="n">
        <x:v>46301.2521412037</x:v>
      </x:c>
      <x:c r="K976" s="8" t="n">
        <x:v>46301.252175925925</x:v>
      </x:c>
      <x:c r="L976" s="2" t="str">
        <x:v>Sent</x:v>
      </x:c>
      <x:c r="M976" s="2" t="n">
        <x:v>1</x:v>
      </x:c>
      <x:c r="N976" s="2"/>
      <x:c r="O976" s="2"/>
    </x:row>
    <x:row r="977" ht="21" customHeight="1">
      <x:c r="A977" s="2" t="str">
        <x:v>NT000976</x:v>
      </x:c>
      <x:c r="B977" s="2" t="str">
        <x:v>EV000978</x:v>
      </x:c>
      <x:c r="C977" s="2" t="str">
        <x:v>T20261006-1-1</x:v>
      </x:c>
      <x:c r="D977" s="2" t="str">
        <x:v>ST012</x:v>
      </x:c>
      <x:c r="E977" s="2" t="str">
        <x:v>G012</x:v>
      </x:c>
      <x:c r="F977" s="2" t="str">
        <x:v>guardian012@example.invalid</x:v>
      </x:c>
      <x:c r="G977" s="2" t="str">
        <x:v>Email</x:v>
      </x:c>
      <x:c r="H977" s="2" t="str">
        <x:v>School receipt</x:v>
      </x:c>
      <x:c r="I977" s="8" t="n">
        <x:v>46301.276770833334</x:v>
      </x:c>
      <x:c r="J977" s="8" t="n">
        <x:v>46301.27679398148</x:v>
      </x:c>
      <x:c r="K977" s="8" t="n">
        <x:v>46301.2768287037</x:v>
      </x:c>
      <x:c r="L977" s="2" t="str">
        <x:v>Sent</x:v>
      </x:c>
      <x:c r="M977" s="2" t="n">
        <x:v>1</x:v>
      </x:c>
      <x:c r="N977" s="2"/>
      <x:c r="O977" s="2"/>
    </x:row>
    <x:row r="978" ht="21" customHeight="1">
      <x:c r="A978" s="2" t="str">
        <x:v>NT000977</x:v>
      </x:c>
      <x:c r="B978" s="2" t="str">
        <x:v>EV000979</x:v>
      </x:c>
      <x:c r="C978" s="2" t="str">
        <x:v>T20261006-1-1</x:v>
      </x:c>
      <x:c r="D978" s="2" t="str">
        <x:v>ST013</x:v>
      </x:c>
      <x:c r="E978" s="2" t="str">
        <x:v>G013</x:v>
      </x:c>
      <x:c r="F978" s="2" t="str">
        <x:v>guardian013@example.invalid</x:v>
      </x:c>
      <x:c r="G978" s="2" t="str">
        <x:v>Email</x:v>
      </x:c>
      <x:c r="H978" s="2" t="str">
        <x:v>Boarded</x:v>
      </x:c>
      <x:c r="I978" s="8" t="n">
        <x:v>46301.24243055556</x:v>
      </x:c>
      <x:c r="J978" s="8" t="n">
        <x:v>46301.24245370371</x:v>
      </x:c>
      <x:c r="K978" s="8" t="n">
        <x:v>46301.24248842593</x:v>
      </x:c>
      <x:c r="L978" s="2" t="str">
        <x:v>Sent</x:v>
      </x:c>
      <x:c r="M978" s="2" t="n">
        <x:v>1</x:v>
      </x:c>
      <x:c r="N978" s="2"/>
      <x:c r="O978" s="2"/>
    </x:row>
    <x:row r="979" ht="21" customHeight="1">
      <x:c r="A979" s="2" t="str">
        <x:v>NT000978</x:v>
      </x:c>
      <x:c r="B979" s="2" t="str">
        <x:v>EV000980</x:v>
      </x:c>
      <x:c r="C979" s="2" t="str">
        <x:v>T20261006-1-1</x:v>
      </x:c>
      <x:c r="D979" s="2" t="str">
        <x:v>ST013</x:v>
      </x:c>
      <x:c r="E979" s="2" t="str">
        <x:v>G013</x:v>
      </x:c>
      <x:c r="F979" s="2" t="str">
        <x:v>guardian013@example.invalid</x:v>
      </x:c>
      <x:c r="G979" s="2" t="str">
        <x:v>Email</x:v>
      </x:c>
      <x:c r="H979" s="2" t="str">
        <x:v>School receipt</x:v>
      </x:c>
      <x:c r="I979" s="8" t="n">
        <x:v>46301.27680555556</x:v>
      </x:c>
      <x:c r="J979" s="8" t="n">
        <x:v>46301.2768287037</x:v>
      </x:c>
      <x:c r="K979" s="8" t="n">
        <x:v>46301.27686342593</x:v>
      </x:c>
      <x:c r="L979" s="2" t="str">
        <x:v>Sent</x:v>
      </x:c>
      <x:c r="M979" s="2" t="n">
        <x:v>1</x:v>
      </x:c>
      <x:c r="N979" s="2"/>
      <x:c r="O979" s="2"/>
    </x:row>
    <x:row r="980" ht="21" customHeight="1">
      <x:c r="A980" s="2" t="str">
        <x:v>NT000979</x:v>
      </x:c>
      <x:c r="B980" s="2" t="str">
        <x:v>EV000981</x:v>
      </x:c>
      <x:c r="C980" s="2" t="str">
        <x:v>T20261006-1-1</x:v>
      </x:c>
      <x:c r="D980" s="2" t="str">
        <x:v>ST014</x:v>
      </x:c>
      <x:c r="E980" s="2" t="str">
        <x:v>G014</x:v>
      </x:c>
      <x:c r="F980" s="2" t="str">
        <x:v>guardian014@example.invalid</x:v>
      </x:c>
      <x:c r="G980" s="2" t="str">
        <x:v>Email</x:v>
      </x:c>
      <x:c r="H980" s="2" t="str">
        <x:v>Boarded</x:v>
      </x:c>
      <x:c r="I980" s="8" t="n">
        <x:v>46301.24732638889</x:v>
      </x:c>
      <x:c r="J980" s="8" t="n">
        <x:v>46301.247349537036</x:v>
      </x:c>
      <x:c r="K980" s="8" t="n">
        <x:v>46301.24738425926</x:v>
      </x:c>
      <x:c r="L980" s="2" t="str">
        <x:v>Sent</x:v>
      </x:c>
      <x:c r="M980" s="2" t="n">
        <x:v>1</x:v>
      </x:c>
      <x:c r="N980" s="2"/>
      <x:c r="O980" s="2"/>
    </x:row>
    <x:row r="981" ht="21" customHeight="1">
      <x:c r="A981" s="2" t="str">
        <x:v>NT000980</x:v>
      </x:c>
      <x:c r="B981" s="2" t="str">
        <x:v>EV000982</x:v>
      </x:c>
      <x:c r="C981" s="2" t="str">
        <x:v>T20261006-1-1</x:v>
      </x:c>
      <x:c r="D981" s="2" t="str">
        <x:v>ST014</x:v>
      </x:c>
      <x:c r="E981" s="2" t="str">
        <x:v>G014</x:v>
      </x:c>
      <x:c r="F981" s="2" t="str">
        <x:v>guardian014@example.invalid</x:v>
      </x:c>
      <x:c r="G981" s="2" t="str">
        <x:v>Email</x:v>
      </x:c>
      <x:c r="H981" s="2" t="str">
        <x:v>School receipt</x:v>
      </x:c>
      <x:c r="I981" s="8" t="n">
        <x:v>46301.27684027777</x:v>
      </x:c>
      <x:c r="J981" s="8" t="n">
        <x:v>46301.27686342592</x:v>
      </x:c>
      <x:c r="K981" s="8" t="n">
        <x:v>46301.27689814814</x:v>
      </x:c>
      <x:c r="L981" s="2" t="str">
        <x:v>Sent</x:v>
      </x:c>
      <x:c r="M981" s="2" t="n">
        <x:v>1</x:v>
      </x:c>
      <x:c r="N981" s="2"/>
      <x:c r="O981" s="2"/>
    </x:row>
    <x:row r="982" ht="21" customHeight="1">
      <x:c r="A982" s="2" t="str">
        <x:v>NT000981</x:v>
      </x:c>
      <x:c r="B982" s="2" t="str">
        <x:v>EV000983</x:v>
      </x:c>
      <x:c r="C982" s="2" t="str">
        <x:v>T20261006-1-1</x:v>
      </x:c>
      <x:c r="D982" s="2" t="str">
        <x:v>ST015</x:v>
      </x:c>
      <x:c r="E982" s="2" t="str">
        <x:v>G015</x:v>
      </x:c>
      <x:c r="F982" s="2" t="str">
        <x:v>guardian015@example.invalid</x:v>
      </x:c>
      <x:c r="G982" s="2" t="str">
        <x:v>Email</x:v>
      </x:c>
      <x:c r="H982" s="2" t="str">
        <x:v>Boarded</x:v>
      </x:c>
      <x:c r="I982" s="8" t="n">
        <x:v>46301.252222222225</x:v>
      </x:c>
      <x:c r="J982" s="8" t="n">
        <x:v>46301.25224537037</x:v>
      </x:c>
      <x:c r="K982" s="8" t="n">
        <x:v>46301.252280092594</x:v>
      </x:c>
      <x:c r="L982" s="2" t="str">
        <x:v>Sent</x:v>
      </x:c>
      <x:c r="M982" s="2" t="n">
        <x:v>1</x:v>
      </x:c>
      <x:c r="N982" s="2"/>
      <x:c r="O982" s="2"/>
    </x:row>
    <x:row r="983" ht="21" customHeight="1">
      <x:c r="A983" s="2" t="str">
        <x:v>NT000982</x:v>
      </x:c>
      <x:c r="B983" s="2" t="str">
        <x:v>EV000984</x:v>
      </x:c>
      <x:c r="C983" s="2" t="str">
        <x:v>T20261006-1-1</x:v>
      </x:c>
      <x:c r="D983" s="2" t="str">
        <x:v>ST015</x:v>
      </x:c>
      <x:c r="E983" s="2" t="str">
        <x:v>G015</x:v>
      </x:c>
      <x:c r="F983" s="2" t="str">
        <x:v>guardian015@example.invalid</x:v>
      </x:c>
      <x:c r="G983" s="2" t="str">
        <x:v>Email</x:v>
      </x:c>
      <x:c r="H983" s="2" t="str">
        <x:v>School receipt</x:v>
      </x:c>
      <x:c r="I983" s="8" t="n">
        <x:v>46301.276874999996</x:v>
      </x:c>
      <x:c r="J983" s="8" t="n">
        <x:v>46301.27689814814</x:v>
      </x:c>
      <x:c r="K983" s="8" t="n">
        <x:v>46301.276932870365</x:v>
      </x:c>
      <x:c r="L983" s="2" t="str">
        <x:v>Sent</x:v>
      </x:c>
      <x:c r="M983" s="2" t="n">
        <x:v>1</x:v>
      </x:c>
      <x:c r="N983" s="2"/>
      <x:c r="O983" s="2"/>
    </x:row>
    <x:row r="984" ht="21" customHeight="1">
      <x:c r="A984" s="2" t="str">
        <x:v>NT000983</x:v>
      </x:c>
      <x:c r="B984" s="2" t="str">
        <x:v>EV000985</x:v>
      </x:c>
      <x:c r="C984" s="2" t="str">
        <x:v>T20261006-1-1</x:v>
      </x:c>
      <x:c r="D984" s="2" t="str">
        <x:v>ST016</x:v>
      </x:c>
      <x:c r="E984" s="2" t="str">
        <x:v>G016</x:v>
      </x:c>
      <x:c r="F984" s="2" t="str">
        <x:v>guardian016@example.invalid</x:v>
      </x:c>
      <x:c r="G984" s="2" t="str">
        <x:v>Email</x:v>
      </x:c>
      <x:c r="H984" s="2" t="str">
        <x:v>Boarded</x:v>
      </x:c>
      <x:c r="I984" s="8" t="n">
        <x:v>46301.24253472222</x:v>
      </x:c>
      <x:c r="J984" s="8" t="n">
        <x:v>46301.24255787037</x:v>
      </x:c>
      <x:c r="K984" s="8" t="n">
        <x:v>46301.24259259259</x:v>
      </x:c>
      <x:c r="L984" s="2" t="str">
        <x:v>Sent</x:v>
      </x:c>
      <x:c r="M984" s="2" t="n">
        <x:v>1</x:v>
      </x:c>
      <x:c r="N984" s="2"/>
      <x:c r="O984" s="2"/>
    </x:row>
    <x:row r="985" ht="21" customHeight="1">
      <x:c r="A985" s="2" t="str">
        <x:v>NT000984</x:v>
      </x:c>
      <x:c r="B985" s="2" t="str">
        <x:v>EV000986</x:v>
      </x:c>
      <x:c r="C985" s="2" t="str">
        <x:v>T20261006-1-1</x:v>
      </x:c>
      <x:c r="D985" s="2" t="str">
        <x:v>ST016</x:v>
      </x:c>
      <x:c r="E985" s="2" t="str">
        <x:v>G016</x:v>
      </x:c>
      <x:c r="F985" s="2" t="str">
        <x:v>guardian016@example.invalid</x:v>
      </x:c>
      <x:c r="G985" s="2" t="str">
        <x:v>Email</x:v>
      </x:c>
      <x:c r="H985" s="2" t="str">
        <x:v>School receipt</x:v>
      </x:c>
      <x:c r="I985" s="8" t="n">
        <x:v>46301.27690972222</x:v>
      </x:c>
      <x:c r="J985" s="8" t="n">
        <x:v>46301.276932870365</x:v>
      </x:c>
      <x:c r="K985" s="8" t="n">
        <x:v>46301.27696759259</x:v>
      </x:c>
      <x:c r="L985" s="2" t="str">
        <x:v>Sent</x:v>
      </x:c>
      <x:c r="M985" s="2" t="n">
        <x:v>1</x:v>
      </x:c>
      <x:c r="N985" s="2"/>
      <x:c r="O985" s="2"/>
    </x:row>
    <x:row r="986" ht="21" customHeight="1">
      <x:c r="A986" s="2" t="str">
        <x:v>NT000985</x:v>
      </x:c>
      <x:c r="B986" s="2" t="str">
        <x:v>EV000987</x:v>
      </x:c>
      <x:c r="C986" s="2" t="str">
        <x:v>T20261006-1-1</x:v>
      </x:c>
      <x:c r="D986" s="2" t="str">
        <x:v>ST017</x:v>
      </x:c>
      <x:c r="E986" s="2" t="str">
        <x:v>G017</x:v>
      </x:c>
      <x:c r="F986" s="2" t="str">
        <x:v>guardian017@example.invalid</x:v>
      </x:c>
      <x:c r="G986" s="2" t="str">
        <x:v>Email</x:v>
      </x:c>
      <x:c r="H986" s="2" t="str">
        <x:v>Boarded</x:v>
      </x:c>
      <x:c r="I986" s="8" t="n">
        <x:v>46301.24743055555</x:v>
      </x:c>
      <x:c r="J986" s="8" t="n">
        <x:v>46301.2474537037</x:v>
      </x:c>
      <x:c r="K986" s="8" t="n">
        <x:v>46301.24748842592</x:v>
      </x:c>
      <x:c r="L986" s="2" t="str">
        <x:v>Sent</x:v>
      </x:c>
      <x:c r="M986" s="2" t="n">
        <x:v>1</x:v>
      </x:c>
      <x:c r="N986" s="2"/>
      <x:c r="O986" s="2"/>
    </x:row>
    <x:row r="987" ht="21" customHeight="1">
      <x:c r="A987" s="2" t="str">
        <x:v>NT000986</x:v>
      </x:c>
      <x:c r="B987" s="2" t="str">
        <x:v>EV000988</x:v>
      </x:c>
      <x:c r="C987" s="2" t="str">
        <x:v>T20261006-1-1</x:v>
      </x:c>
      <x:c r="D987" s="2" t="str">
        <x:v>ST017</x:v>
      </x:c>
      <x:c r="E987" s="2" t="str">
        <x:v>G017</x:v>
      </x:c>
      <x:c r="F987" s="2" t="str">
        <x:v>guardian017@example.invalid</x:v>
      </x:c>
      <x:c r="G987" s="2" t="str">
        <x:v>Email</x:v>
      </x:c>
      <x:c r="H987" s="2" t="str">
        <x:v>School receipt</x:v>
      </x:c>
      <x:c r="I987" s="8" t="n">
        <x:v>46301.27694444444</x:v>
      </x:c>
      <x:c r="J987" s="8" t="n">
        <x:v>46301.27696759259</x:v>
      </x:c>
      <x:c r="K987" s="8" t="n">
        <x:v>46301.27700231481</x:v>
      </x:c>
      <x:c r="L987" s="2" t="str">
        <x:v>Sent</x:v>
      </x:c>
      <x:c r="M987" s="2" t="n">
        <x:v>1</x:v>
      </x:c>
      <x:c r="N987" s="2"/>
      <x:c r="O987" s="2"/>
    </x:row>
    <x:row r="988" ht="21" customHeight="1">
      <x:c r="A988" s="2" t="str">
        <x:v>NT000987</x:v>
      </x:c>
      <x:c r="B988" s="2" t="str">
        <x:v>EV000989</x:v>
      </x:c>
      <x:c r="C988" s="2" t="str">
        <x:v>T20261006-1-1</x:v>
      </x:c>
      <x:c r="D988" s="2" t="str">
        <x:v>ST018</x:v>
      </x:c>
      <x:c r="E988" s="2" t="str">
        <x:v>G018</x:v>
      </x:c>
      <x:c r="F988" s="2" t="str">
        <x:v>guardian018@example.invalid</x:v>
      </x:c>
      <x:c r="G988" s="2" t="str">
        <x:v>Email</x:v>
      </x:c>
      <x:c r="H988" s="2" t="str">
        <x:v>Boarded</x:v>
      </x:c>
      <x:c r="I988" s="8" t="n">
        <x:v>46301.25232638889</x:v>
      </x:c>
      <x:c r="J988" s="8" t="n">
        <x:v>46301.25234953703</x:v>
      </x:c>
      <x:c r="K988" s="8" t="n">
        <x:v>46301.252384259256</x:v>
      </x:c>
      <x:c r="L988" s="2" t="str">
        <x:v>Sent</x:v>
      </x:c>
      <x:c r="M988" s="2" t="n">
        <x:v>1</x:v>
      </x:c>
      <x:c r="N988" s="2"/>
      <x:c r="O988" s="2"/>
    </x:row>
    <x:row r="989" ht="21" customHeight="1">
      <x:c r="A989" s="2" t="str">
        <x:v>NT000988</x:v>
      </x:c>
      <x:c r="B989" s="2" t="str">
        <x:v>EV000990</x:v>
      </x:c>
      <x:c r="C989" s="2" t="str">
        <x:v>T20261006-1-1</x:v>
      </x:c>
      <x:c r="D989" s="2" t="str">
        <x:v>ST018</x:v>
      </x:c>
      <x:c r="E989" s="2" t="str">
        <x:v>G018</x:v>
      </x:c>
      <x:c r="F989" s="2" t="str">
        <x:v>guardian018@example.invalid</x:v>
      </x:c>
      <x:c r="G989" s="2" t="str">
        <x:v>Email</x:v>
      </x:c>
      <x:c r="H989" s="2" t="str">
        <x:v>School receipt</x:v>
      </x:c>
      <x:c r="I989" s="8" t="n">
        <x:v>46301.276979166665</x:v>
      </x:c>
      <x:c r="J989" s="8" t="n">
        <x:v>46301.27700231481</x:v>
      </x:c>
      <x:c r="K989" s="8" t="n">
        <x:v>46301.277037037034</x:v>
      </x:c>
      <x:c r="L989" s="2" t="str">
        <x:v>Sent</x:v>
      </x:c>
      <x:c r="M989" s="2" t="n">
        <x:v>1</x:v>
      </x:c>
      <x:c r="N989" s="2"/>
      <x:c r="O989" s="2"/>
    </x:row>
    <x:row r="990" ht="21" customHeight="1">
      <x:c r="A990" s="2" t="str">
        <x:v>NT000989</x:v>
      </x:c>
      <x:c r="B990" s="2" t="str">
        <x:v>EV000991</x:v>
      </x:c>
      <x:c r="C990" s="2" t="str">
        <x:v>T20261006-1-1</x:v>
      </x:c>
      <x:c r="D990" s="2" t="str">
        <x:v>ST019</x:v>
      </x:c>
      <x:c r="E990" s="2" t="str">
        <x:v>G019</x:v>
      </x:c>
      <x:c r="F990" s="2" t="str">
        <x:v>guardian019@example.invalid</x:v>
      </x:c>
      <x:c r="G990" s="2" t="str">
        <x:v>Email</x:v>
      </x:c>
      <x:c r="H990" s="2" t="str">
        <x:v>Boarded</x:v>
      </x:c>
      <x:c r="I990" s="8" t="n">
        <x:v>46301.24263888889</x:v>
      </x:c>
      <x:c r="J990" s="8" t="n">
        <x:v>46301.24266203704</x:v>
      </x:c>
      <x:c r="K990" s="8" t="n">
        <x:v>46301.24269675926</x:v>
      </x:c>
      <x:c r="L990" s="2" t="str">
        <x:v>Sent</x:v>
      </x:c>
      <x:c r="M990" s="2" t="n">
        <x:v>1</x:v>
      </x:c>
      <x:c r="N990" s="2"/>
      <x:c r="O990" s="2"/>
    </x:row>
    <x:row r="991" ht="21" customHeight="1">
      <x:c r="A991" s="2" t="str">
        <x:v>NT000990</x:v>
      </x:c>
      <x:c r="B991" s="2" t="str">
        <x:v>EV000992</x:v>
      </x:c>
      <x:c r="C991" s="2" t="str">
        <x:v>T20261006-1-1</x:v>
      </x:c>
      <x:c r="D991" s="2" t="str">
        <x:v>ST019</x:v>
      </x:c>
      <x:c r="E991" s="2" t="str">
        <x:v>G019</x:v>
      </x:c>
      <x:c r="F991" s="2" t="str">
        <x:v>guardian019@example.invalid</x:v>
      </x:c>
      <x:c r="G991" s="2" t="str">
        <x:v>Email</x:v>
      </x:c>
      <x:c r="H991" s="2" t="str">
        <x:v>School receipt</x:v>
      </x:c>
      <x:c r="I991" s="8" t="n">
        <x:v>46301.27701388889</x:v>
      </x:c>
      <x:c r="J991" s="8" t="n">
        <x:v>46301.277037037034</x:v>
      </x:c>
      <x:c r="K991" s="8" t="n">
        <x:v>46301.27707175926</x:v>
      </x:c>
      <x:c r="L991" s="2" t="str">
        <x:v>Sent</x:v>
      </x:c>
      <x:c r="M991" s="2" t="n">
        <x:v>1</x:v>
      </x:c>
      <x:c r="N991" s="2"/>
      <x:c r="O991" s="2"/>
    </x:row>
    <x:row r="992" ht="21" customHeight="1">
      <x:c r="A992" s="2" t="str">
        <x:v>NT000991</x:v>
      </x:c>
      <x:c r="B992" s="2" t="str">
        <x:v>EV000993</x:v>
      </x:c>
      <x:c r="C992" s="2" t="str">
        <x:v>T20261006-1-1</x:v>
      </x:c>
      <x:c r="D992" s="2" t="str">
        <x:v>ST020</x:v>
      </x:c>
      <x:c r="E992" s="2" t="str">
        <x:v>G020</x:v>
      </x:c>
      <x:c r="F992" s="2" t="str">
        <x:v>guardian020@example.invalid</x:v>
      </x:c>
      <x:c r="G992" s="2" t="str">
        <x:v>Email</x:v>
      </x:c>
      <x:c r="H992" s="2" t="str">
        <x:v>Boarded</x:v>
      </x:c>
      <x:c r="I992" s="8" t="n">
        <x:v>46301.24753472222</x:v>
      </x:c>
      <x:c r="J992" s="8" t="n">
        <x:v>46301.24755787037</x:v>
      </x:c>
      <x:c r="K992" s="8" t="n">
        <x:v>46301.24759259259</x:v>
      </x:c>
      <x:c r="L992" s="2" t="str">
        <x:v>Sent</x:v>
      </x:c>
      <x:c r="M992" s="2" t="n">
        <x:v>1</x:v>
      </x:c>
      <x:c r="N992" s="2"/>
      <x:c r="O992" s="2"/>
    </x:row>
    <x:row r="993" ht="21" customHeight="1">
      <x:c r="A993" s="2" t="str">
        <x:v>NT000992</x:v>
      </x:c>
      <x:c r="B993" s="2" t="str">
        <x:v>EV000994</x:v>
      </x:c>
      <x:c r="C993" s="2" t="str">
        <x:v>T20261006-1-1</x:v>
      </x:c>
      <x:c r="D993" s="2" t="str">
        <x:v>ST020</x:v>
      </x:c>
      <x:c r="E993" s="2" t="str">
        <x:v>G020</x:v>
      </x:c>
      <x:c r="F993" s="2" t="str">
        <x:v>guardian020@example.invalid</x:v>
      </x:c>
      <x:c r="G993" s="2" t="str">
        <x:v>Email</x:v>
      </x:c>
      <x:c r="H993" s="2" t="str">
        <x:v>School receipt</x:v>
      </x:c>
      <x:c r="I993" s="8" t="n">
        <x:v>46301.27704861111</x:v>
      </x:c>
      <x:c r="J993" s="8" t="n">
        <x:v>46301.27707175926</x:v>
      </x:c>
      <x:c r="K993" s="8" t="n">
        <x:v>46301.27710648148</x:v>
      </x:c>
      <x:c r="L993" s="2" t="str">
        <x:v>Sent</x:v>
      </x:c>
      <x:c r="M993" s="2" t="n">
        <x:v>1</x:v>
      </x:c>
      <x:c r="N993" s="2"/>
      <x:c r="O993" s="2"/>
    </x:row>
    <x:row r="994" ht="21" customHeight="1">
      <x:c r="A994" s="2" t="str">
        <x:v>NT000993</x:v>
      </x:c>
      <x:c r="B994" s="2" t="str">
        <x:v>EV000995</x:v>
      </x:c>
      <x:c r="C994" s="2" t="str">
        <x:v>T20261006-2-1</x:v>
      </x:c>
      <x:c r="D994" s="2" t="str">
        <x:v>ST001</x:v>
      </x:c>
      <x:c r="E994" s="2" t="str">
        <x:v>G001</x:v>
      </x:c>
      <x:c r="F994" s="2" t="str">
        <x:v>guardian001@example.invalid</x:v>
      </x:c>
      <x:c r="G994" s="2" t="str">
        <x:v>Email</x:v>
      </x:c>
      <x:c r="H994" s="2" t="str">
        <x:v>Boarded</x:v>
      </x:c>
      <x:c r="I994" s="8" t="n">
        <x:v>46301.4375</x:v>
      </x:c>
      <x:c r="J994" s="8" t="n">
        <x:v>46301.437523148146</x:v>
      </x:c>
      <x:c r="K994" s="8" t="n">
        <x:v>46301.43755787037</x:v>
      </x:c>
      <x:c r="L994" s="2" t="str">
        <x:v>Sent</x:v>
      </x:c>
      <x:c r="M994" s="2" t="n">
        <x:v>1</x:v>
      </x:c>
      <x:c r="N994" s="2"/>
      <x:c r="O994" s="2"/>
    </x:row>
    <x:row r="995" ht="21" customHeight="1">
      <x:c r="A995" s="2" t="str">
        <x:v>NT000994</x:v>
      </x:c>
      <x:c r="B995" s="2" t="str">
        <x:v>EV000996</x:v>
      </x:c>
      <x:c r="C995" s="2" t="str">
        <x:v>T20261006-2-1</x:v>
      </x:c>
      <x:c r="D995" s="2" t="str">
        <x:v>ST001</x:v>
      </x:c>
      <x:c r="E995" s="2" t="str">
        <x:v>G001</x:v>
      </x:c>
      <x:c r="F995" s="2" t="str">
        <x:v>guardian001@example.invalid</x:v>
      </x:c>
      <x:c r="G995" s="2" t="str">
        <x:v>Email</x:v>
      </x:c>
      <x:c r="H995" s="2" t="str">
        <x:v>Authorized release</x:v>
      </x:c>
      <x:c r="I995" s="8" t="n">
        <x:v>46301.44930555555</x:v>
      </x:c>
      <x:c r="J995" s="8" t="n">
        <x:v>46301.4493287037</x:v>
      </x:c>
      <x:c r="K995" s="8" t="n">
        <x:v>46301.44936342592</x:v>
      </x:c>
      <x:c r="L995" s="2" t="str">
        <x:v>Sent</x:v>
      </x:c>
      <x:c r="M995" s="2" t="n">
        <x:v>1</x:v>
      </x:c>
      <x:c r="N995" s="2"/>
      <x:c r="O995" s="2"/>
    </x:row>
    <x:row r="996" ht="21" customHeight="1">
      <x:c r="A996" s="2" t="str">
        <x:v>NT000995</x:v>
      </x:c>
      <x:c r="B996" s="2" t="str">
        <x:v>EV000997</x:v>
      </x:c>
      <x:c r="C996" s="2" t="str">
        <x:v>T20261006-2-1</x:v>
      </x:c>
      <x:c r="D996" s="2" t="str">
        <x:v>ST002</x:v>
      </x:c>
      <x:c r="E996" s="2" t="str">
        <x:v>G002</x:v>
      </x:c>
      <x:c r="F996" s="2" t="str">
        <x:v>guardian002@example.invalid</x:v>
      </x:c>
      <x:c r="G996" s="2" t="str">
        <x:v>Email</x:v>
      </x:c>
      <x:c r="H996" s="2" t="str">
        <x:v>Boarded</x:v>
      </x:c>
      <x:c r="I996" s="8" t="n">
        <x:v>46301.43753472222</x:v>
      </x:c>
      <x:c r="J996" s="8" t="n">
        <x:v>46301.43755787037</x:v>
      </x:c>
      <x:c r="K996" s="8" t="n">
        <x:v>46301.43759259259</x:v>
      </x:c>
      <x:c r="L996" s="2" t="str">
        <x:v>Sent</x:v>
      </x:c>
      <x:c r="M996" s="2" t="n">
        <x:v>1</x:v>
      </x:c>
      <x:c r="N996" s="2"/>
      <x:c r="O996" s="2"/>
    </x:row>
    <x:row r="997" ht="21" customHeight="1">
      <x:c r="A997" s="2" t="str">
        <x:v>NT000996</x:v>
      </x:c>
      <x:c r="B997" s="2" t="str">
        <x:v>EV000998</x:v>
      </x:c>
      <x:c r="C997" s="2" t="str">
        <x:v>T20261006-2-1</x:v>
      </x:c>
      <x:c r="D997" s="2" t="str">
        <x:v>ST002</x:v>
      </x:c>
      <x:c r="E997" s="2" t="str">
        <x:v>G002</x:v>
      </x:c>
      <x:c r="F997" s="2" t="str">
        <x:v>guardian002@example.invalid</x:v>
      </x:c>
      <x:c r="G997" s="2" t="str">
        <x:v>Email</x:v>
      </x:c>
      <x:c r="H997" s="2" t="str">
        <x:v>Authorized release</x:v>
      </x:c>
      <x:c r="I997" s="8" t="n">
        <x:v>46301.45350694445</x:v>
      </x:c>
      <x:c r="J997" s="8" t="n">
        <x:v>46301.45353009259</x:v>
      </x:c>
      <x:c r="K997" s="8" t="n">
        <x:v>46301.453564814816</x:v>
      </x:c>
      <x:c r="L997" s="2" t="str">
        <x:v>Sent</x:v>
      </x:c>
      <x:c r="M997" s="2" t="n">
        <x:v>1</x:v>
      </x:c>
      <x:c r="N997" s="2"/>
      <x:c r="O997" s="2"/>
    </x:row>
    <x:row r="998" ht="21" customHeight="1">
      <x:c r="A998" s="2" t="str">
        <x:v>NT000997</x:v>
      </x:c>
      <x:c r="B998" s="2" t="str">
        <x:v>EV000999</x:v>
      </x:c>
      <x:c r="C998" s="2" t="str">
        <x:v>T20261006-2-1</x:v>
      </x:c>
      <x:c r="D998" s="2" t="str">
        <x:v>ST003</x:v>
      </x:c>
      <x:c r="E998" s="2" t="str">
        <x:v>G003</x:v>
      </x:c>
      <x:c r="F998" s="2" t="str">
        <x:v>guardian003@example.invalid</x:v>
      </x:c>
      <x:c r="G998" s="2" t="str">
        <x:v>Email</x:v>
      </x:c>
      <x:c r="H998" s="2" t="str">
        <x:v>Boarded</x:v>
      </x:c>
      <x:c r="I998" s="8" t="n">
        <x:v>46301.437569444446</x:v>
      </x:c>
      <x:c r="J998" s="8" t="n">
        <x:v>46301.43759259259</x:v>
      </x:c>
      <x:c r="K998" s="8" t="n">
        <x:v>46301.437627314815</x:v>
      </x:c>
      <x:c r="L998" s="2" t="str">
        <x:v>Sent</x:v>
      </x:c>
      <x:c r="M998" s="2" t="n">
        <x:v>1</x:v>
      </x:c>
      <x:c r="N998" s="2"/>
      <x:c r="O998" s="2"/>
    </x:row>
    <x:row r="999" ht="21" customHeight="1">
      <x:c r="A999" s="2" t="str">
        <x:v>NT000998</x:v>
      </x:c>
      <x:c r="B999" s="2" t="str">
        <x:v>EV001000</x:v>
      </x:c>
      <x:c r="C999" s="2" t="str">
        <x:v>T20261006-2-1</x:v>
      </x:c>
      <x:c r="D999" s="2" t="str">
        <x:v>ST003</x:v>
      </x:c>
      <x:c r="E999" s="2" t="str">
        <x:v>G003</x:v>
      </x:c>
      <x:c r="F999" s="2" t="str">
        <x:v>guardian003@example.invalid</x:v>
      </x:c>
      <x:c r="G999" s="2" t="str">
        <x:v>Email</x:v>
      </x:c>
      <x:c r="H999" s="2" t="str">
        <x:v>Authorized release</x:v>
      </x:c>
      <x:c r="I999" s="8" t="n">
        <x:v>46301.457708333335</x:v>
      </x:c>
      <x:c r="J999" s="8" t="n">
        <x:v>46301.45773148148</x:v>
      </x:c>
      <x:c r="K999" s="8" t="n">
        <x:v>46301.457766203705</x:v>
      </x:c>
      <x:c r="L999" s="2" t="str">
        <x:v>Sent</x:v>
      </x:c>
      <x:c r="M999" s="2" t="n">
        <x:v>1</x:v>
      </x:c>
      <x:c r="N999" s="2"/>
      <x:c r="O999" s="2"/>
    </x:row>
    <x:row r="1000" ht="21" customHeight="1">
      <x:c r="A1000" s="2" t="str">
        <x:v>NT000999</x:v>
      </x:c>
      <x:c r="B1000" s="2" t="str">
        <x:v>EV001001</x:v>
      </x:c>
      <x:c r="C1000" s="2" t="str">
        <x:v>T20261006-2-1</x:v>
      </x:c>
      <x:c r="D1000" s="2" t="str">
        <x:v>ST004</x:v>
      </x:c>
      <x:c r="E1000" s="2" t="str">
        <x:v>G004</x:v>
      </x:c>
      <x:c r="F1000" s="2" t="str">
        <x:v>guardian004@example.invalid</x:v>
      </x:c>
      <x:c r="G1000" s="2" t="str">
        <x:v>Email</x:v>
      </x:c>
      <x:c r="H1000" s="2" t="str">
        <x:v>Boarded</x:v>
      </x:c>
      <x:c r="I1000" s="8" t="n">
        <x:v>46301.43760416667</x:v>
      </x:c>
      <x:c r="J1000" s="8" t="n">
        <x:v>46301.437627314815</x:v>
      </x:c>
      <x:c r="K1000" s="8" t="n">
        <x:v>46301.43766203704</x:v>
      </x:c>
      <x:c r="L1000" s="2" t="str">
        <x:v>Sent</x:v>
      </x:c>
      <x:c r="M1000" s="2" t="n">
        <x:v>1</x:v>
      </x:c>
      <x:c r="N1000" s="2"/>
      <x:c r="O1000" s="2"/>
    </x:row>
    <x:row r="1001" ht="21" customHeight="1">
      <x:c r="A1001" s="2" t="str">
        <x:v>NT001000</x:v>
      </x:c>
      <x:c r="B1001" s="2" t="str">
        <x:v>EV001002</x:v>
      </x:c>
      <x:c r="C1001" s="2" t="str">
        <x:v>T20261006-2-1</x:v>
      </x:c>
      <x:c r="D1001" s="2" t="str">
        <x:v>ST004</x:v>
      </x:c>
      <x:c r="E1001" s="2" t="str">
        <x:v>G004</x:v>
      </x:c>
      <x:c r="F1001" s="2" t="str">
        <x:v>guardian004@example.invalid</x:v>
      </x:c>
      <x:c r="G1001" s="2" t="str">
        <x:v>Email</x:v>
      </x:c>
      <x:c r="H1001" s="2" t="str">
        <x:v>Authorized release</x:v>
      </x:c>
      <x:c r="I1001" s="8" t="n">
        <x:v>46301.44940972222</x:v>
      </x:c>
      <x:c r="J1001" s="8" t="n">
        <x:v>46301.449432870366</x:v>
      </x:c>
      <x:c r="K1001" s="8" t="n">
        <x:v>46301.44946759259</x:v>
      </x:c>
      <x:c r="L1001" s="2" t="str">
        <x:v>Sent</x:v>
      </x:c>
      <x:c r="M1001" s="2" t="n">
        <x:v>1</x:v>
      </x:c>
      <x:c r="N1001" s="2"/>
      <x:c r="O1001" s="2"/>
    </x:row>
    <x:row r="1002" ht="21" customHeight="1">
      <x:c r="A1002" s="2" t="str">
        <x:v>NT001001</x:v>
      </x:c>
      <x:c r="B1002" s="2" t="str">
        <x:v>EV001003</x:v>
      </x:c>
      <x:c r="C1002" s="2" t="str">
        <x:v>T20261006-2-1</x:v>
      </x:c>
      <x:c r="D1002" s="2" t="str">
        <x:v>ST005</x:v>
      </x:c>
      <x:c r="E1002" s="2" t="str">
        <x:v>G005</x:v>
      </x:c>
      <x:c r="F1002" s="2" t="str">
        <x:v>guardian005@example.invalid</x:v>
      </x:c>
      <x:c r="G1002" s="2" t="str">
        <x:v>Email</x:v>
      </x:c>
      <x:c r="H1002" s="2" t="str">
        <x:v>Boarded</x:v>
      </x:c>
      <x:c r="I1002" s="8" t="n">
        <x:v>46301.43763888889</x:v>
      </x:c>
      <x:c r="J1002" s="8" t="n">
        <x:v>46301.43766203704</x:v>
      </x:c>
      <x:c r="K1002" s="8" t="n">
        <x:v>46301.43769675926</x:v>
      </x:c>
      <x:c r="L1002" s="2" t="str">
        <x:v>Sent</x:v>
      </x:c>
      <x:c r="M1002" s="2" t="n">
        <x:v>1</x:v>
      </x:c>
      <x:c r="N1002" s="2"/>
      <x:c r="O1002" s="2"/>
    </x:row>
    <x:row r="1003" ht="21" customHeight="1">
      <x:c r="A1003" s="2" t="str">
        <x:v>NT001002</x:v>
      </x:c>
      <x:c r="B1003" s="2" t="str">
        <x:v>EV001004</x:v>
      </x:c>
      <x:c r="C1003" s="2" t="str">
        <x:v>T20261006-2-1</x:v>
      </x:c>
      <x:c r="D1003" s="2" t="str">
        <x:v>ST005</x:v>
      </x:c>
      <x:c r="E1003" s="2" t="str">
        <x:v>G005</x:v>
      </x:c>
      <x:c r="F1003" s="2" t="str">
        <x:v>guardian005@example.invalid</x:v>
      </x:c>
      <x:c r="G1003" s="2" t="str">
        <x:v>Email</x:v>
      </x:c>
      <x:c r="H1003" s="2" t="str">
        <x:v>Authorized release</x:v>
      </x:c>
      <x:c r="I1003" s="8" t="n">
        <x:v>46301.453611111116</x:v>
      </x:c>
      <x:c r="J1003" s="8" t="n">
        <x:v>46301.45363425926</x:v>
      </x:c>
      <x:c r="K1003" s="8" t="n">
        <x:v>46301.453668981485</x:v>
      </x:c>
      <x:c r="L1003" s="2" t="str">
        <x:v>Sent</x:v>
      </x:c>
      <x:c r="M1003" s="2" t="n">
        <x:v>1</x:v>
      </x:c>
      <x:c r="N1003" s="2"/>
      <x:c r="O1003" s="2"/>
    </x:row>
    <x:row r="1004" ht="21" customHeight="1">
      <x:c r="A1004" s="2" t="str">
        <x:v>NT001003</x:v>
      </x:c>
      <x:c r="B1004" s="2" t="str">
        <x:v>EV001005</x:v>
      </x:c>
      <x:c r="C1004" s="2" t="str">
        <x:v>T20261006-2-1</x:v>
      </x:c>
      <x:c r="D1004" s="2" t="str">
        <x:v>ST006</x:v>
      </x:c>
      <x:c r="E1004" s="2" t="str">
        <x:v>G006</x:v>
      </x:c>
      <x:c r="F1004" s="2" t="str">
        <x:v>guardian006@example.invalid</x:v>
      </x:c>
      <x:c r="G1004" s="2" t="str">
        <x:v>Email</x:v>
      </x:c>
      <x:c r="H1004" s="2" t="str">
        <x:v>Boarded</x:v>
      </x:c>
      <x:c r="I1004" s="8" t="n">
        <x:v>46301.43767361111</x:v>
      </x:c>
      <x:c r="J1004" s="8" t="n">
        <x:v>46301.437696759254</x:v>
      </x:c>
      <x:c r="K1004" s="8" t="n">
        <x:v>46301.43773148148</x:v>
      </x:c>
      <x:c r="L1004" s="2" t="str">
        <x:v>Sent</x:v>
      </x:c>
      <x:c r="M1004" s="2" t="n">
        <x:v>1</x:v>
      </x:c>
      <x:c r="N1004" s="2"/>
      <x:c r="O1004" s="2"/>
    </x:row>
    <x:row r="1005" ht="21" customHeight="1">
      <x:c r="A1005" s="2" t="str">
        <x:v>NT001004</x:v>
      </x:c>
      <x:c r="B1005" s="2" t="str">
        <x:v>EV001006</x:v>
      </x:c>
      <x:c r="C1005" s="2" t="str">
        <x:v>T20261006-2-1</x:v>
      </x:c>
      <x:c r="D1005" s="2" t="str">
        <x:v>ST006</x:v>
      </x:c>
      <x:c r="E1005" s="2" t="str">
        <x:v>G006</x:v>
      </x:c>
      <x:c r="F1005" s="2" t="str">
        <x:v>guardian006@example.invalid</x:v>
      </x:c>
      <x:c r="G1005" s="2" t="str">
        <x:v>Email</x:v>
      </x:c>
      <x:c r="H1005" s="2" t="str">
        <x:v>Authorized release</x:v>
      </x:c>
      <x:c r="I1005" s="8" t="n">
        <x:v>46301.4578125</x:v>
      </x:c>
      <x:c r="J1005" s="8" t="n">
        <x:v>46301.45783564814</x:v>
      </x:c>
      <x:c r="K1005" s="8" t="n">
        <x:v>46301.45787037037</x:v>
      </x:c>
      <x:c r="L1005" s="2" t="str">
        <x:v>Sent</x:v>
      </x:c>
      <x:c r="M1005" s="2" t="n">
        <x:v>1</x:v>
      </x:c>
      <x:c r="N1005" s="2"/>
      <x:c r="O1005" s="2"/>
    </x:row>
    <x:row r="1006" ht="21" customHeight="1">
      <x:c r="A1006" s="2" t="str">
        <x:v>NT001005</x:v>
      </x:c>
      <x:c r="B1006" s="2" t="str">
        <x:v>EV001007</x:v>
      </x:c>
      <x:c r="C1006" s="2" t="str">
        <x:v>T20261006-2-1</x:v>
      </x:c>
      <x:c r="D1006" s="2" t="str">
        <x:v>ST007</x:v>
      </x:c>
      <x:c r="E1006" s="2" t="str">
        <x:v>G007</x:v>
      </x:c>
      <x:c r="F1006" s="2" t="str">
        <x:v>guardian007@example.invalid</x:v>
      </x:c>
      <x:c r="G1006" s="2" t="str">
        <x:v>Email</x:v>
      </x:c>
      <x:c r="H1006" s="2" t="str">
        <x:v>Boarded</x:v>
      </x:c>
      <x:c r="I1006" s="8" t="n">
        <x:v>46301.43770833333</x:v>
      </x:c>
      <x:c r="J1006" s="8" t="n">
        <x:v>46301.43773148148</x:v>
      </x:c>
      <x:c r="K1006" s="8" t="n">
        <x:v>46301.4377662037</x:v>
      </x:c>
      <x:c r="L1006" s="2" t="str">
        <x:v>Sent</x:v>
      </x:c>
      <x:c r="M1006" s="2" t="n">
        <x:v>1</x:v>
      </x:c>
      <x:c r="N1006" s="2"/>
      <x:c r="O1006" s="2"/>
    </x:row>
    <x:row r="1007" ht="21" customHeight="1">
      <x:c r="A1007" s="2" t="str">
        <x:v>NT001006</x:v>
      </x:c>
      <x:c r="B1007" s="2" t="str">
        <x:v>EV001008</x:v>
      </x:c>
      <x:c r="C1007" s="2" t="str">
        <x:v>T20261006-2-1</x:v>
      </x:c>
      <x:c r="D1007" s="2" t="str">
        <x:v>ST007</x:v>
      </x:c>
      <x:c r="E1007" s="2" t="str">
        <x:v>G007</x:v>
      </x:c>
      <x:c r="F1007" s="2" t="str">
        <x:v>guardian007@example.invalid</x:v>
      </x:c>
      <x:c r="G1007" s="2" t="str">
        <x:v>Email</x:v>
      </x:c>
      <x:c r="H1007" s="2" t="str">
        <x:v>Authorized release</x:v>
      </x:c>
      <x:c r="I1007" s="8" t="n">
        <x:v>46301.44951388888</x:v>
      </x:c>
      <x:c r="J1007" s="8" t="n">
        <x:v>46301.44953703703</x:v>
      </x:c>
      <x:c r="K1007" s="8" t="n">
        <x:v>46301.44957175925</x:v>
      </x:c>
      <x:c r="L1007" s="2" t="str">
        <x:v>Sent</x:v>
      </x:c>
      <x:c r="M1007" s="2" t="n">
        <x:v>1</x:v>
      </x:c>
      <x:c r="N1007" s="2"/>
      <x:c r="O1007" s="2"/>
    </x:row>
    <x:row r="1008" ht="21" customHeight="1">
      <x:c r="A1008" s="2" t="str">
        <x:v>NT001007</x:v>
      </x:c>
      <x:c r="B1008" s="2" t="str">
        <x:v>EV001009</x:v>
      </x:c>
      <x:c r="C1008" s="2" t="str">
        <x:v>T20261006-2-1</x:v>
      </x:c>
      <x:c r="D1008" s="2" t="str">
        <x:v>ST008</x:v>
      </x:c>
      <x:c r="E1008" s="2" t="str">
        <x:v>G008</x:v>
      </x:c>
      <x:c r="F1008" s="2" t="str">
        <x:v>guardian008@example.invalid</x:v>
      </x:c>
      <x:c r="G1008" s="2" t="str">
        <x:v>Email</x:v>
      </x:c>
      <x:c r="H1008" s="2" t="str">
        <x:v>Boarded</x:v>
      </x:c>
      <x:c r="I1008" s="8" t="n">
        <x:v>46301.437743055554</x:v>
      </x:c>
      <x:c r="J1008" s="8" t="n">
        <x:v>46301.4377662037</x:v>
      </x:c>
      <x:c r="K1008" s="8" t="n">
        <x:v>46301.43780092592</x:v>
      </x:c>
      <x:c r="L1008" s="2" t="str">
        <x:v>Sent</x:v>
      </x:c>
      <x:c r="M1008" s="2" t="n">
        <x:v>1</x:v>
      </x:c>
      <x:c r="N1008" s="2"/>
      <x:c r="O1008" s="2"/>
    </x:row>
    <x:row r="1009" ht="21" customHeight="1">
      <x:c r="A1009" s="2" t="str">
        <x:v>NT001008</x:v>
      </x:c>
      <x:c r="B1009" s="2" t="str">
        <x:v>EV001010</x:v>
      </x:c>
      <x:c r="C1009" s="2" t="str">
        <x:v>T20261006-2-1</x:v>
      </x:c>
      <x:c r="D1009" s="2" t="str">
        <x:v>ST008</x:v>
      </x:c>
      <x:c r="E1009" s="2" t="str">
        <x:v>G008</x:v>
      </x:c>
      <x:c r="F1009" s="2" t="str">
        <x:v>guardian008@example.invalid</x:v>
      </x:c>
      <x:c r="G1009" s="2" t="str">
        <x:v>Email</x:v>
      </x:c>
      <x:c r="H1009" s="2" t="str">
        <x:v>Authorized release</x:v>
      </x:c>
      <x:c r="I1009" s="8" t="n">
        <x:v>46301.45371527778</x:v>
      </x:c>
      <x:c r="J1009" s="8" t="n">
        <x:v>46301.453738425924</x:v>
      </x:c>
      <x:c r="K1009" s="8" t="n">
        <x:v>46301.45377314815</x:v>
      </x:c>
      <x:c r="L1009" s="2" t="str">
        <x:v>Sent</x:v>
      </x:c>
      <x:c r="M1009" s="2" t="n">
        <x:v>1</x:v>
      </x:c>
      <x:c r="N1009" s="2"/>
      <x:c r="O1009" s="2"/>
    </x:row>
    <x:row r="1010" ht="21" customHeight="1">
      <x:c r="A1010" s="2" t="str">
        <x:v>NT001009</x:v>
      </x:c>
      <x:c r="B1010" s="2" t="str">
        <x:v>EV001011</x:v>
      </x:c>
      <x:c r="C1010" s="2" t="str">
        <x:v>T20261006-2-1</x:v>
      </x:c>
      <x:c r="D1010" s="2" t="str">
        <x:v>ST009</x:v>
      </x:c>
      <x:c r="E1010" s="2" t="str">
        <x:v>G009</x:v>
      </x:c>
      <x:c r="F1010" s="2" t="str">
        <x:v>guardian009@example.invalid</x:v>
      </x:c>
      <x:c r="G1010" s="2" t="str">
        <x:v>Email</x:v>
      </x:c>
      <x:c r="H1010" s="2" t="str">
        <x:v>Boarded</x:v>
      </x:c>
      <x:c r="I1010" s="8" t="n">
        <x:v>46301.43777777778</x:v>
      </x:c>
      <x:c r="J1010" s="8" t="n">
        <x:v>46301.43780092592</x:v>
      </x:c>
      <x:c r="K1010" s="8" t="n">
        <x:v>46301.43783564815</x:v>
      </x:c>
      <x:c r="L1010" s="2" t="str">
        <x:v>Sent</x:v>
      </x:c>
      <x:c r="M1010" s="2" t="n">
        <x:v>1</x:v>
      </x:c>
      <x:c r="N1010" s="2"/>
      <x:c r="O1010" s="2"/>
    </x:row>
    <x:row r="1011" ht="21" customHeight="1">
      <x:c r="A1011" s="2" t="str">
        <x:v>NT001010</x:v>
      </x:c>
      <x:c r="B1011" s="2" t="str">
        <x:v>EV001012</x:v>
      </x:c>
      <x:c r="C1011" s="2" t="str">
        <x:v>T20261006-2-1</x:v>
      </x:c>
      <x:c r="D1011" s="2" t="str">
        <x:v>ST009</x:v>
      </x:c>
      <x:c r="E1011" s="2" t="str">
        <x:v>G009</x:v>
      </x:c>
      <x:c r="F1011" s="2" t="str">
        <x:v>guardian009@example.invalid</x:v>
      </x:c>
      <x:c r="G1011" s="2" t="str">
        <x:v>Email</x:v>
      </x:c>
      <x:c r="H1011" s="2" t="str">
        <x:v>Authorized release</x:v>
      </x:c>
      <x:c r="I1011" s="8" t="n">
        <x:v>46301.457916666666</x:v>
      </x:c>
      <x:c r="J1011" s="8" t="n">
        <x:v>46301.45793981481</x:v>
      </x:c>
      <x:c r="K1011" s="8" t="n">
        <x:v>46301.457974537036</x:v>
      </x:c>
      <x:c r="L1011" s="2" t="str">
        <x:v>Sent</x:v>
      </x:c>
      <x:c r="M1011" s="2" t="n">
        <x:v>1</x:v>
      </x:c>
      <x:c r="N1011" s="2"/>
      <x:c r="O1011" s="2"/>
    </x:row>
    <x:row r="1012" ht="21" customHeight="1">
      <x:c r="A1012" s="2" t="str">
        <x:v>NT001011</x:v>
      </x:c>
      <x:c r="B1012" s="2" t="str">
        <x:v>EV001013</x:v>
      </x:c>
      <x:c r="C1012" s="2" t="str">
        <x:v>T20261006-2-1</x:v>
      </x:c>
      <x:c r="D1012" s="2" t="str">
        <x:v>ST010</x:v>
      </x:c>
      <x:c r="E1012" s="2" t="str">
        <x:v>G010</x:v>
      </x:c>
      <x:c r="F1012" s="2" t="str">
        <x:v>guardian010@example.invalid</x:v>
      </x:c>
      <x:c r="G1012" s="2" t="str">
        <x:v>Email</x:v>
      </x:c>
      <x:c r="H1012" s="2" t="str">
        <x:v>Boarded</x:v>
      </x:c>
      <x:c r="I1012" s="8" t="n">
        <x:v>46301.4378125</x:v>
      </x:c>
      <x:c r="J1012" s="8" t="n">
        <x:v>46301.43783564815</x:v>
      </x:c>
      <x:c r="K1012" s="8" t="n">
        <x:v>46301.43787037037</x:v>
      </x:c>
      <x:c r="L1012" s="2" t="str">
        <x:v>Sent</x:v>
      </x:c>
      <x:c r="M1012" s="2" t="n">
        <x:v>1</x:v>
      </x:c>
      <x:c r="N1012" s="2"/>
      <x:c r="O1012" s="2"/>
    </x:row>
    <x:row r="1013" ht="21" customHeight="1">
      <x:c r="A1013" s="2" t="str">
        <x:v>NT001012</x:v>
      </x:c>
      <x:c r="B1013" s="2" t="str">
        <x:v>EV001014</x:v>
      </x:c>
      <x:c r="C1013" s="2" t="str">
        <x:v>T20261006-2-1</x:v>
      </x:c>
      <x:c r="D1013" s="2" t="str">
        <x:v>ST010</x:v>
      </x:c>
      <x:c r="E1013" s="2" t="str">
        <x:v>G010</x:v>
      </x:c>
      <x:c r="F1013" s="2" t="str">
        <x:v>guardian010@example.invalid</x:v>
      </x:c>
      <x:c r="G1013" s="2" t="str">
        <x:v>Email</x:v>
      </x:c>
      <x:c r="H1013" s="2" t="str">
        <x:v>Authorized release</x:v>
      </x:c>
      <x:c r="I1013" s="8" t="n">
        <x:v>46301.44961805555</x:v>
      </x:c>
      <x:c r="J1013" s="8" t="n">
        <x:v>46301.4496412037</x:v>
      </x:c>
      <x:c r="K1013" s="8" t="n">
        <x:v>46301.44967592592</x:v>
      </x:c>
      <x:c r="L1013" s="2" t="str">
        <x:v>Sent</x:v>
      </x:c>
      <x:c r="M1013" s="2" t="n">
        <x:v>1</x:v>
      </x:c>
      <x:c r="N1013" s="2"/>
      <x:c r="O1013" s="2"/>
    </x:row>
    <x:row r="1014" ht="21" customHeight="1">
      <x:c r="A1014" s="2" t="str">
        <x:v>NT001013</x:v>
      </x:c>
      <x:c r="B1014" s="2" t="str">
        <x:v>EV001015</x:v>
      </x:c>
      <x:c r="C1014" s="2" t="str">
        <x:v>T20261006-2-1</x:v>
      </x:c>
      <x:c r="D1014" s="2" t="str">
        <x:v>ST021</x:v>
      </x:c>
      <x:c r="E1014" s="2" t="str">
        <x:v>G021</x:v>
      </x:c>
      <x:c r="F1014" s="2" t="str">
        <x:v>guardian021@example.invalid</x:v>
      </x:c>
      <x:c r="G1014" s="2" t="str">
        <x:v>Email</x:v>
      </x:c>
      <x:c r="H1014" s="2" t="str">
        <x:v>Boarded</x:v>
      </x:c>
      <x:c r="I1014" s="8" t="n">
        <x:v>46301.48125</x:v>
      </x:c>
      <x:c r="J1014" s="8" t="n">
        <x:v>46301.48127314814</x:v>
      </x:c>
      <x:c r="K1014" s="8" t="n">
        <x:v>46301.48130787037</x:v>
      </x:c>
      <x:c r="L1014" s="2" t="str">
        <x:v>Sent</x:v>
      </x:c>
      <x:c r="M1014" s="2" t="n">
        <x:v>1</x:v>
      </x:c>
      <x:c r="N1014" s="2"/>
      <x:c r="O1014" s="2"/>
    </x:row>
    <x:row r="1015" ht="21" customHeight="1">
      <x:c r="A1015" s="2" t="str">
        <x:v>NT001014</x:v>
      </x:c>
      <x:c r="B1015" s="2" t="str">
        <x:v>EV001016</x:v>
      </x:c>
      <x:c r="C1015" s="2" t="str">
        <x:v>T20261006-2-1</x:v>
      </x:c>
      <x:c r="D1015" s="2" t="str">
        <x:v>ST021</x:v>
      </x:c>
      <x:c r="E1015" s="2" t="str">
        <x:v>G021</x:v>
      </x:c>
      <x:c r="F1015" s="2" t="str">
        <x:v>guardian021@example.invalid</x:v>
      </x:c>
      <x:c r="G1015" s="2" t="str">
        <x:v>Email</x:v>
      </x:c>
      <x:c r="H1015" s="2" t="str">
        <x:v>School receipt</x:v>
      </x:c>
      <x:c r="I1015" s="8" t="n">
        <x:v>46301.506250000006</x:v>
      </x:c>
      <x:c r="J1015" s="8" t="n">
        <x:v>46301.50627314815</x:v>
      </x:c>
      <x:c r="K1015" s="8" t="n">
        <x:v>46301.506307870375</x:v>
      </x:c>
      <x:c r="L1015" s="2" t="str">
        <x:v>Sent</x:v>
      </x:c>
      <x:c r="M1015" s="2" t="n">
        <x:v>1</x:v>
      </x:c>
      <x:c r="N1015" s="2"/>
      <x:c r="O1015" s="2"/>
    </x:row>
    <x:row r="1016" ht="21" customHeight="1">
      <x:c r="A1016" s="2" t="str">
        <x:v>NT001015</x:v>
      </x:c>
      <x:c r="B1016" s="2" t="str">
        <x:v>EV001017</x:v>
      </x:c>
      <x:c r="C1016" s="2" t="str">
        <x:v>T20261006-2-1</x:v>
      </x:c>
      <x:c r="D1016" s="2" t="str">
        <x:v>ST022</x:v>
      </x:c>
      <x:c r="E1016" s="2" t="str">
        <x:v>G022</x:v>
      </x:c>
      <x:c r="F1016" s="2" t="str">
        <x:v>guardian022@example.invalid</x:v>
      </x:c>
      <x:c r="G1016" s="2" t="str">
        <x:v>Email</x:v>
      </x:c>
      <x:c r="H1016" s="2" t="str">
        <x:v>Boarded</x:v>
      </x:c>
      <x:c r="I1016" s="8" t="n">
        <x:v>46301.4715625</x:v>
      </x:c>
      <x:c r="J1016" s="8" t="n">
        <x:v>46301.47158564815</x:v>
      </x:c>
      <x:c r="K1016" s="8" t="n">
        <x:v>46301.47162037037</x:v>
      </x:c>
      <x:c r="L1016" s="2" t="str">
        <x:v>Sent</x:v>
      </x:c>
      <x:c r="M1016" s="2" t="n">
        <x:v>1</x:v>
      </x:c>
      <x:c r="N1016" s="2"/>
      <x:c r="O1016" s="2"/>
    </x:row>
    <x:row r="1017" ht="21" customHeight="1">
      <x:c r="A1017" s="2" t="str">
        <x:v>NT001016</x:v>
      </x:c>
      <x:c r="B1017" s="2" t="str">
        <x:v>EV001018</x:v>
      </x:c>
      <x:c r="C1017" s="2" t="str">
        <x:v>T20261006-2-1</x:v>
      </x:c>
      <x:c r="D1017" s="2" t="str">
        <x:v>ST022</x:v>
      </x:c>
      <x:c r="E1017" s="2" t="str">
        <x:v>G022</x:v>
      </x:c>
      <x:c r="F1017" s="2" t="str">
        <x:v>guardian022@example.invalid</x:v>
      </x:c>
      <x:c r="G1017" s="2" t="str">
        <x:v>Email</x:v>
      </x:c>
      <x:c r="H1017" s="2" t="str">
        <x:v>School receipt</x:v>
      </x:c>
      <x:c r="I1017" s="8" t="n">
        <x:v>46301.50628472223</x:v>
      </x:c>
      <x:c r="J1017" s="8" t="n">
        <x:v>46301.506307870375</x:v>
      </x:c>
      <x:c r="K1017" s="8" t="n">
        <x:v>46301.5063425926</x:v>
      </x:c>
      <x:c r="L1017" s="2" t="str">
        <x:v>Sent</x:v>
      </x:c>
      <x:c r="M1017" s="2" t="n">
        <x:v>1</x:v>
      </x:c>
      <x:c r="N1017" s="2"/>
      <x:c r="O1017" s="2"/>
    </x:row>
    <x:row r="1018" ht="21" customHeight="1">
      <x:c r="A1018" s="2" t="str">
        <x:v>NT001017</x:v>
      </x:c>
      <x:c r="B1018" s="2" t="str">
        <x:v>EV001019</x:v>
      </x:c>
      <x:c r="C1018" s="2" t="str">
        <x:v>T20261006-2-1</x:v>
      </x:c>
      <x:c r="D1018" s="2" t="str">
        <x:v>ST023</x:v>
      </x:c>
      <x:c r="E1018" s="2" t="str">
        <x:v>G023</x:v>
      </x:c>
      <x:c r="F1018" s="2" t="str">
        <x:v>guardian023@example.invalid</x:v>
      </x:c>
      <x:c r="G1018" s="2" t="str">
        <x:v>Email</x:v>
      </x:c>
      <x:c r="H1018" s="2" t="str">
        <x:v>Boarded</x:v>
      </x:c>
      <x:c r="I1018" s="8" t="n">
        <x:v>46301.47645833333</x:v>
      </x:c>
      <x:c r="J1018" s="8" t="n">
        <x:v>46301.47648148148</x:v>
      </x:c>
      <x:c r="K1018" s="8" t="n">
        <x:v>46301.4765162037</x:v>
      </x:c>
      <x:c r="L1018" s="2" t="str">
        <x:v>Sent</x:v>
      </x:c>
      <x:c r="M1018" s="2" t="n">
        <x:v>1</x:v>
      </x:c>
      <x:c r="N1018" s="2"/>
      <x:c r="O1018" s="2"/>
    </x:row>
    <x:row r="1019" ht="21" customHeight="1">
      <x:c r="A1019" s="2" t="str">
        <x:v>NT001018</x:v>
      </x:c>
      <x:c r="B1019" s="2" t="str">
        <x:v>EV001020</x:v>
      </x:c>
      <x:c r="C1019" s="2" t="str">
        <x:v>T20261006-2-1</x:v>
      </x:c>
      <x:c r="D1019" s="2" t="str">
        <x:v>ST023</x:v>
      </x:c>
      <x:c r="E1019" s="2" t="str">
        <x:v>G023</x:v>
      </x:c>
      <x:c r="F1019" s="2" t="str">
        <x:v>guardian023@example.invalid</x:v>
      </x:c>
      <x:c r="G1019" s="2" t="str">
        <x:v>Email</x:v>
      </x:c>
      <x:c r="H1019" s="2" t="str">
        <x:v>School receipt</x:v>
      </x:c>
      <x:c r="I1019" s="8" t="n">
        <x:v>46301.506319444445</x:v>
      </x:c>
      <x:c r="J1019" s="8" t="n">
        <x:v>46301.50634259259</x:v>
      </x:c>
      <x:c r="K1019" s="8" t="n">
        <x:v>46301.506377314814</x:v>
      </x:c>
      <x:c r="L1019" s="2" t="str">
        <x:v>Sent</x:v>
      </x:c>
      <x:c r="M1019" s="2" t="n">
        <x:v>1</x:v>
      </x:c>
      <x:c r="N1019" s="2"/>
      <x:c r="O1019" s="2"/>
    </x:row>
    <x:row r="1020" ht="21" customHeight="1">
      <x:c r="A1020" s="2" t="str">
        <x:v>NT001019</x:v>
      </x:c>
      <x:c r="B1020" s="2" t="str">
        <x:v>EV001021</x:v>
      </x:c>
      <x:c r="C1020" s="2" t="str">
        <x:v>T20261006-2-1</x:v>
      </x:c>
      <x:c r="D1020" s="2" t="str">
        <x:v>ST024</x:v>
      </x:c>
      <x:c r="E1020" s="2" t="str">
        <x:v>G024</x:v>
      </x:c>
      <x:c r="F1020" s="2" t="str">
        <x:v>guardian024@example.invalid</x:v>
      </x:c>
      <x:c r="G1020" s="2" t="str">
        <x:v>Email</x:v>
      </x:c>
      <x:c r="H1020" s="2" t="str">
        <x:v>Boarded</x:v>
      </x:c>
      <x:c r="I1020" s="8" t="n">
        <x:v>46301.481354166666</x:v>
      </x:c>
      <x:c r="J1020" s="8" t="n">
        <x:v>46301.48137731481</x:v>
      </x:c>
      <x:c r="K1020" s="8" t="n">
        <x:v>46301.481412037036</x:v>
      </x:c>
      <x:c r="L1020" s="2" t="str">
        <x:v>Sent</x:v>
      </x:c>
      <x:c r="M1020" s="2" t="n">
        <x:v>1</x:v>
      </x:c>
      <x:c r="N1020" s="2"/>
      <x:c r="O1020" s="2"/>
    </x:row>
    <x:row r="1021" ht="21" customHeight="1">
      <x:c r="A1021" s="2" t="str">
        <x:v>NT001020</x:v>
      </x:c>
      <x:c r="B1021" s="2" t="str">
        <x:v>EV001022</x:v>
      </x:c>
      <x:c r="C1021" s="2" t="str">
        <x:v>T20261006-2-1</x:v>
      </x:c>
      <x:c r="D1021" s="2" t="str">
        <x:v>ST024</x:v>
      </x:c>
      <x:c r="E1021" s="2" t="str">
        <x:v>G024</x:v>
      </x:c>
      <x:c r="F1021" s="2" t="str">
        <x:v>guardian024@example.invalid</x:v>
      </x:c>
      <x:c r="G1021" s="2" t="str">
        <x:v>Email</x:v>
      </x:c>
      <x:c r="H1021" s="2" t="str">
        <x:v>School receipt</x:v>
      </x:c>
      <x:c r="I1021" s="8" t="n">
        <x:v>46301.50635416667</x:v>
      </x:c>
      <x:c r="J1021" s="8" t="n">
        <x:v>46301.506377314814</x:v>
      </x:c>
      <x:c r="K1021" s="8" t="n">
        <x:v>46301.50641203704</x:v>
      </x:c>
      <x:c r="L1021" s="2" t="str">
        <x:v>Sent</x:v>
      </x:c>
      <x:c r="M1021" s="2" t="n">
        <x:v>1</x:v>
      </x:c>
      <x:c r="N1021" s="2"/>
      <x:c r="O1021" s="2"/>
    </x:row>
    <x:row r="1022" ht="21" customHeight="1">
      <x:c r="A1022" s="2" t="str">
        <x:v>NT001021</x:v>
      </x:c>
      <x:c r="B1022" s="2" t="str">
        <x:v>EV001023</x:v>
      </x:c>
      <x:c r="C1022" s="2" t="str">
        <x:v>T20261006-2-1</x:v>
      </x:c>
      <x:c r="D1022" s="2" t="str">
        <x:v>ST025</x:v>
      </x:c>
      <x:c r="E1022" s="2" t="str">
        <x:v>G025</x:v>
      </x:c>
      <x:c r="F1022" s="2" t="str">
        <x:v>guardian025@example.invalid</x:v>
      </x:c>
      <x:c r="G1022" s="2" t="str">
        <x:v>Email</x:v>
      </x:c>
      <x:c r="H1022" s="2" t="str">
        <x:v>Boarded</x:v>
      </x:c>
      <x:c r="I1022" s="8" t="n">
        <x:v>46301.47166666667</x:v>
      </x:c>
      <x:c r="J1022" s="8" t="n">
        <x:v>46301.47168981482</x:v>
      </x:c>
      <x:c r="K1022" s="8" t="n">
        <x:v>46301.47172453704</x:v>
      </x:c>
      <x:c r="L1022" s="2" t="str">
        <x:v>Sent</x:v>
      </x:c>
      <x:c r="M1022" s="2" t="n">
        <x:v>1</x:v>
      </x:c>
      <x:c r="N1022" s="2"/>
      <x:c r="O1022" s="2"/>
    </x:row>
    <x:row r="1023" ht="21" customHeight="1">
      <x:c r="A1023" s="2" t="str">
        <x:v>NT001022</x:v>
      </x:c>
      <x:c r="B1023" s="2" t="str">
        <x:v>EV001024</x:v>
      </x:c>
      <x:c r="C1023" s="2" t="str">
        <x:v>T20261006-2-1</x:v>
      </x:c>
      <x:c r="D1023" s="2" t="str">
        <x:v>ST025</x:v>
      </x:c>
      <x:c r="E1023" s="2" t="str">
        <x:v>G025</x:v>
      </x:c>
      <x:c r="F1023" s="2" t="str">
        <x:v>guardian025@example.invalid</x:v>
      </x:c>
      <x:c r="G1023" s="2" t="str">
        <x:v>Email</x:v>
      </x:c>
      <x:c r="H1023" s="2" t="str">
        <x:v>School receipt</x:v>
      </x:c>
      <x:c r="I1023" s="8" t="n">
        <x:v>46301.50638888889</x:v>
      </x:c>
      <x:c r="J1023" s="8" t="n">
        <x:v>46301.50641203704</x:v>
      </x:c>
      <x:c r="K1023" s="8" t="n">
        <x:v>46301.50644675926</x:v>
      </x:c>
      <x:c r="L1023" s="2" t="str">
        <x:v>Sent</x:v>
      </x:c>
      <x:c r="M1023" s="2" t="n">
        <x:v>1</x:v>
      </x:c>
      <x:c r="N1023" s="2"/>
      <x:c r="O1023" s="2"/>
    </x:row>
    <x:row r="1024" ht="21" customHeight="1">
      <x:c r="A1024" s="2" t="str">
        <x:v>NT001023</x:v>
      </x:c>
      <x:c r="B1024" s="2" t="str">
        <x:v>EV001025</x:v>
      </x:c>
      <x:c r="C1024" s="2" t="str">
        <x:v>T20261006-2-1</x:v>
      </x:c>
      <x:c r="D1024" s="2" t="str">
        <x:v>ST026</x:v>
      </x:c>
      <x:c r="E1024" s="2" t="str">
        <x:v>G026</x:v>
      </x:c>
      <x:c r="F1024" s="2" t="str">
        <x:v>guardian026@example.invalid</x:v>
      </x:c>
      <x:c r="G1024" s="2" t="str">
        <x:v>Email</x:v>
      </x:c>
      <x:c r="H1024" s="2" t="str">
        <x:v>Boarded</x:v>
      </x:c>
      <x:c r="I1024" s="8" t="n">
        <x:v>46301.47656249999</x:v>
      </x:c>
      <x:c r="J1024" s="8" t="n">
        <x:v>46301.47658564814</x:v>
      </x:c>
      <x:c r="K1024" s="8" t="n">
        <x:v>46301.47662037036</x:v>
      </x:c>
      <x:c r="L1024" s="2" t="str">
        <x:v>Sent</x:v>
      </x:c>
      <x:c r="M1024" s="2" t="n">
        <x:v>1</x:v>
      </x:c>
      <x:c r="N1024" s="2"/>
      <x:c r="O1024" s="2"/>
    </x:row>
    <x:row r="1025" ht="21" customHeight="1">
      <x:c r="A1025" s="2" t="str">
        <x:v>NT001024</x:v>
      </x:c>
      <x:c r="B1025" s="2" t="str">
        <x:v>EV001026</x:v>
      </x:c>
      <x:c r="C1025" s="2" t="str">
        <x:v>T20261006-2-1</x:v>
      </x:c>
      <x:c r="D1025" s="2" t="str">
        <x:v>ST026</x:v>
      </x:c>
      <x:c r="E1025" s="2" t="str">
        <x:v>G026</x:v>
      </x:c>
      <x:c r="F1025" s="2" t="str">
        <x:v>guardian026@example.invalid</x:v>
      </x:c>
      <x:c r="G1025" s="2" t="str">
        <x:v>Email</x:v>
      </x:c>
      <x:c r="H1025" s="2" t="str">
        <x:v>School receipt</x:v>
      </x:c>
      <x:c r="I1025" s="8" t="n">
        <x:v>46301.506423611114</x:v>
      </x:c>
      <x:c r="J1025" s="8" t="n">
        <x:v>46301.50644675926</x:v>
      </x:c>
      <x:c r="K1025" s="8" t="n">
        <x:v>46301.50648148148</x:v>
      </x:c>
      <x:c r="L1025" s="2" t="str">
        <x:v>Sent</x:v>
      </x:c>
      <x:c r="M1025" s="2" t="n">
        <x:v>1</x:v>
      </x:c>
      <x:c r="N1025" s="2"/>
      <x:c r="O1025" s="2"/>
    </x:row>
    <x:row r="1026" ht="21" customHeight="1">
      <x:c r="A1026" s="2" t="str">
        <x:v>NT001025</x:v>
      </x:c>
      <x:c r="B1026" s="2" t="str">
        <x:v>EV001027</x:v>
      </x:c>
      <x:c r="C1026" s="2" t="str">
        <x:v>T20261006-2-1</x:v>
      </x:c>
      <x:c r="D1026" s="2" t="str">
        <x:v>ST027</x:v>
      </x:c>
      <x:c r="E1026" s="2" t="str">
        <x:v>G027</x:v>
      </x:c>
      <x:c r="F1026" s="2" t="str">
        <x:v>guardian027@example.invalid</x:v>
      </x:c>
      <x:c r="G1026" s="2" t="str">
        <x:v>Email</x:v>
      </x:c>
      <x:c r="H1026" s="2" t="str">
        <x:v>Boarded</x:v>
      </x:c>
      <x:c r="I1026" s="8" t="n">
        <x:v>46301.48145833333</x:v>
      </x:c>
      <x:c r="J1026" s="8" t="n">
        <x:v>46301.481481481474</x:v>
      </x:c>
      <x:c r="K1026" s="8" t="n">
        <x:v>46301.4815162037</x:v>
      </x:c>
      <x:c r="L1026" s="2" t="str">
        <x:v>Sent</x:v>
      </x:c>
      <x:c r="M1026" s="2" t="n">
        <x:v>1</x:v>
      </x:c>
      <x:c r="N1026" s="2"/>
      <x:c r="O1026" s="2"/>
    </x:row>
    <x:row r="1027" ht="21" customHeight="1">
      <x:c r="A1027" s="2" t="str">
        <x:v>NT001026</x:v>
      </x:c>
      <x:c r="B1027" s="2" t="str">
        <x:v>EV001028</x:v>
      </x:c>
      <x:c r="C1027" s="2" t="str">
        <x:v>T20261006-2-1</x:v>
      </x:c>
      <x:c r="D1027" s="2" t="str">
        <x:v>ST027</x:v>
      </x:c>
      <x:c r="E1027" s="2" t="str">
        <x:v>G027</x:v>
      </x:c>
      <x:c r="F1027" s="2" t="str">
        <x:v>guardian027@example.invalid</x:v>
      </x:c>
      <x:c r="G1027" s="2" t="str">
        <x:v>Email</x:v>
      </x:c>
      <x:c r="H1027" s="2" t="str">
        <x:v>School receipt</x:v>
      </x:c>
      <x:c r="I1027" s="8" t="n">
        <x:v>46301.50645833334</x:v>
      </x:c>
      <x:c r="J1027" s="8" t="n">
        <x:v>46301.50648148148</x:v>
      </x:c>
      <x:c r="K1027" s="8" t="n">
        <x:v>46301.506516203706</x:v>
      </x:c>
      <x:c r="L1027" s="2" t="str">
        <x:v>Sent</x:v>
      </x:c>
      <x:c r="M1027" s="2" t="n">
        <x:v>1</x:v>
      </x:c>
      <x:c r="N1027" s="2"/>
      <x:c r="O1027" s="2"/>
    </x:row>
    <x:row r="1028" ht="21" customHeight="1">
      <x:c r="A1028" s="2" t="str">
        <x:v>NT001027</x:v>
      </x:c>
      <x:c r="B1028" s="2" t="str">
        <x:v>EV001029</x:v>
      </x:c>
      <x:c r="C1028" s="2" t="str">
        <x:v>T20261006-2-1</x:v>
      </x:c>
      <x:c r="D1028" s="2" t="str">
        <x:v>ST028</x:v>
      </x:c>
      <x:c r="E1028" s="2" t="str">
        <x:v>G028</x:v>
      </x:c>
      <x:c r="F1028" s="2" t="str">
        <x:v>guardian028@example.invalid</x:v>
      </x:c>
      <x:c r="G1028" s="2" t="str">
        <x:v>Email</x:v>
      </x:c>
      <x:c r="H1028" s="2" t="str">
        <x:v>Boarded</x:v>
      </x:c>
      <x:c r="I1028" s="8" t="n">
        <x:v>46301.471770833334</x:v>
      </x:c>
      <x:c r="J1028" s="8" t="n">
        <x:v>46301.47179398148</x:v>
      </x:c>
      <x:c r="K1028" s="8" t="n">
        <x:v>46301.4718287037</x:v>
      </x:c>
      <x:c r="L1028" s="2" t="str">
        <x:v>Sent</x:v>
      </x:c>
      <x:c r="M1028" s="2" t="n">
        <x:v>1</x:v>
      </x:c>
      <x:c r="N1028" s="2"/>
      <x:c r="O1028" s="2"/>
    </x:row>
    <x:row r="1029" ht="21" customHeight="1">
      <x:c r="A1029" s="2" t="str">
        <x:v>NT001028</x:v>
      </x:c>
      <x:c r="B1029" s="2" t="str">
        <x:v>EV001030</x:v>
      </x:c>
      <x:c r="C1029" s="2" t="str">
        <x:v>T20261006-2-1</x:v>
      </x:c>
      <x:c r="D1029" s="2" t="str">
        <x:v>ST028</x:v>
      </x:c>
      <x:c r="E1029" s="2" t="str">
        <x:v>G028</x:v>
      </x:c>
      <x:c r="F1029" s="2" t="str">
        <x:v>guardian028@example.invalid</x:v>
      </x:c>
      <x:c r="G1029" s="2" t="str">
        <x:v>Email</x:v>
      </x:c>
      <x:c r="H1029" s="2" t="str">
        <x:v>School receipt</x:v>
      </x:c>
      <x:c r="I1029" s="8" t="n">
        <x:v>46301.50649305556</x:v>
      </x:c>
      <x:c r="J1029" s="8" t="n">
        <x:v>46301.506516203706</x:v>
      </x:c>
      <x:c r="K1029" s="8" t="n">
        <x:v>46301.50655092593</x:v>
      </x:c>
      <x:c r="L1029" s="2" t="str">
        <x:v>Sent</x:v>
      </x:c>
      <x:c r="M1029" s="2" t="n">
        <x:v>1</x:v>
      </x:c>
      <x:c r="N1029" s="2"/>
      <x:c r="O1029" s="2"/>
    </x:row>
    <x:row r="1030" ht="21" customHeight="1">
      <x:c r="A1030" s="2" t="str">
        <x:v>NT001029</x:v>
      </x:c>
      <x:c r="B1030" s="2" t="str">
        <x:v>EV001031</x:v>
      </x:c>
      <x:c r="C1030" s="2" t="str">
        <x:v>T20261006-2-1</x:v>
      </x:c>
      <x:c r="D1030" s="2" t="str">
        <x:v>ST029</x:v>
      </x:c>
      <x:c r="E1030" s="2" t="str">
        <x:v>G029</x:v>
      </x:c>
      <x:c r="F1030" s="2" t="str">
        <x:v>guardian029@example.invalid</x:v>
      </x:c>
      <x:c r="G1030" s="2" t="str">
        <x:v>Email</x:v>
      </x:c>
      <x:c r="H1030" s="2" t="str">
        <x:v>Boarded</x:v>
      </x:c>
      <x:c r="I1030" s="8" t="n">
        <x:v>46301.47666666666</x:v>
      </x:c>
      <x:c r="J1030" s="8" t="n">
        <x:v>46301.47668981481</x:v>
      </x:c>
      <x:c r="K1030" s="8" t="n">
        <x:v>46301.47672453703</x:v>
      </x:c>
      <x:c r="L1030" s="2" t="str">
        <x:v>Sent</x:v>
      </x:c>
      <x:c r="M1030" s="2" t="n">
        <x:v>1</x:v>
      </x:c>
      <x:c r="N1030" s="2"/>
      <x:c r="O1030" s="2"/>
    </x:row>
    <x:row r="1031" ht="21" customHeight="1">
      <x:c r="A1031" s="2" t="str">
        <x:v>NT001030</x:v>
      </x:c>
      <x:c r="B1031" s="2" t="str">
        <x:v>EV001032</x:v>
      </x:c>
      <x:c r="C1031" s="2" t="str">
        <x:v>T20261006-2-1</x:v>
      </x:c>
      <x:c r="D1031" s="2" t="str">
        <x:v>ST029</x:v>
      </x:c>
      <x:c r="E1031" s="2" t="str">
        <x:v>G029</x:v>
      </x:c>
      <x:c r="F1031" s="2" t="str">
        <x:v>guardian029@example.invalid</x:v>
      </x:c>
      <x:c r="G1031" s="2" t="str">
        <x:v>Email</x:v>
      </x:c>
      <x:c r="H1031" s="2" t="str">
        <x:v>School receipt</x:v>
      </x:c>
      <x:c r="I1031" s="8" t="n">
        <x:v>46301.50652777778</x:v>
      </x:c>
      <x:c r="J1031" s="8" t="n">
        <x:v>46301.50655092593</x:v>
      </x:c>
      <x:c r="K1031" s="8" t="n">
        <x:v>46301.50658564815</x:v>
      </x:c>
      <x:c r="L1031" s="2" t="str">
        <x:v>Sent</x:v>
      </x:c>
      <x:c r="M1031" s="2" t="n">
        <x:v>1</x:v>
      </x:c>
      <x:c r="N1031" s="2"/>
      <x:c r="O1031" s="2"/>
    </x:row>
    <x:row r="1032" ht="21" customHeight="1">
      <x:c r="A1032" s="2" t="str">
        <x:v>NT001031</x:v>
      </x:c>
      <x:c r="B1032" s="2" t="str">
        <x:v>EV001033</x:v>
      </x:c>
      <x:c r="C1032" s="2" t="str">
        <x:v>T20261006-2-1</x:v>
      </x:c>
      <x:c r="D1032" s="2" t="str">
        <x:v>ST030</x:v>
      </x:c>
      <x:c r="E1032" s="2" t="str">
        <x:v>G030</x:v>
      </x:c>
      <x:c r="F1032" s="2" t="str">
        <x:v>guardian030@example.invalid</x:v>
      </x:c>
      <x:c r="G1032" s="2" t="str">
        <x:v>Email</x:v>
      </x:c>
      <x:c r="H1032" s="2" t="str">
        <x:v>Boarded</x:v>
      </x:c>
      <x:c r="I1032" s="8" t="n">
        <x:v>46301.4815625</x:v>
      </x:c>
      <x:c r="J1032" s="8" t="n">
        <x:v>46301.481585648144</x:v>
      </x:c>
      <x:c r="K1032" s="8" t="n">
        <x:v>46301.48162037037</x:v>
      </x:c>
      <x:c r="L1032" s="2" t="str">
        <x:v>Sent</x:v>
      </x:c>
      <x:c r="M1032" s="2" t="n">
        <x:v>1</x:v>
      </x:c>
      <x:c r="N1032" s="2"/>
      <x:c r="O1032" s="2"/>
    </x:row>
    <x:row r="1033" ht="21" customHeight="1">
      <x:c r="A1033" s="2" t="str">
        <x:v>NT001032</x:v>
      </x:c>
      <x:c r="B1033" s="2" t="str">
        <x:v>EV001034</x:v>
      </x:c>
      <x:c r="C1033" s="2" t="str">
        <x:v>T20261006-2-1</x:v>
      </x:c>
      <x:c r="D1033" s="2" t="str">
        <x:v>ST030</x:v>
      </x:c>
      <x:c r="E1033" s="2" t="str">
        <x:v>G030</x:v>
      </x:c>
      <x:c r="F1033" s="2" t="str">
        <x:v>guardian030@example.invalid</x:v>
      </x:c>
      <x:c r="G1033" s="2" t="str">
        <x:v>Email</x:v>
      </x:c>
      <x:c r="H1033" s="2" t="str">
        <x:v>School receipt</x:v>
      </x:c>
      <x:c r="I1033" s="8" t="n">
        <x:v>46301.506562500006</x:v>
      </x:c>
      <x:c r="J1033" s="8" t="n">
        <x:v>46301.50658564815</x:v>
      </x:c>
      <x:c r="K1033" s="8" t="n">
        <x:v>46301.506620370375</x:v>
      </x:c>
      <x:c r="L1033" s="2" t="str">
        <x:v>Sent</x:v>
      </x:c>
      <x:c r="M1033" s="2" t="n">
        <x:v>1</x:v>
      </x:c>
      <x:c r="N1033" s="2"/>
      <x:c r="O1033" s="2"/>
    </x:row>
    <x:row r="1034" ht="21" customHeight="1">
      <x:c r="A1034" s="2" t="str">
        <x:v>NT001033</x:v>
      </x:c>
      <x:c r="B1034" s="2" t="str">
        <x:v>EV001035</x:v>
      </x:c>
      <x:c r="C1034" s="2" t="str">
        <x:v>T20261006-2-1</x:v>
      </x:c>
      <x:c r="D1034" s="2" t="str">
        <x:v>ST031</x:v>
      </x:c>
      <x:c r="E1034" s="2" t="str">
        <x:v>G031</x:v>
      </x:c>
      <x:c r="F1034" s="2" t="str">
        <x:v>guardian031@example.invalid</x:v>
      </x:c>
      <x:c r="G1034" s="2" t="str">
        <x:v>Email</x:v>
      </x:c>
      <x:c r="H1034" s="2" t="str">
        <x:v>Boarded</x:v>
      </x:c>
      <x:c r="I1034" s="8" t="n">
        <x:v>46301.47152777778</x:v>
      </x:c>
      <x:c r="J1034" s="8" t="n">
        <x:v>46301.471550925926</x:v>
      </x:c>
      <x:c r="K1034" s="8" t="n">
        <x:v>46301.47158564815</x:v>
      </x:c>
      <x:c r="L1034" s="2" t="str">
        <x:v>Sent</x:v>
      </x:c>
      <x:c r="M1034" s="2" t="n">
        <x:v>1</x:v>
      </x:c>
      <x:c r="N1034" s="2"/>
      <x:c r="O1034" s="2"/>
    </x:row>
    <x:row r="1035" ht="21" customHeight="1">
      <x:c r="A1035" s="2" t="str">
        <x:v>NT001034</x:v>
      </x:c>
      <x:c r="B1035" s="2" t="str">
        <x:v>EV001036</x:v>
      </x:c>
      <x:c r="C1035" s="2" t="str">
        <x:v>T20261006-2-1</x:v>
      </x:c>
      <x:c r="D1035" s="2" t="str">
        <x:v>ST031</x:v>
      </x:c>
      <x:c r="E1035" s="2" t="str">
        <x:v>G031</x:v>
      </x:c>
      <x:c r="F1035" s="2" t="str">
        <x:v>guardian031@example.invalid</x:v>
      </x:c>
      <x:c r="G1035" s="2" t="str">
        <x:v>Email</x:v>
      </x:c>
      <x:c r="H1035" s="2" t="str">
        <x:v>School receipt</x:v>
      </x:c>
      <x:c r="I1035" s="8" t="n">
        <x:v>46301.50659722223</x:v>
      </x:c>
      <x:c r="J1035" s="8" t="n">
        <x:v>46301.506620370375</x:v>
      </x:c>
      <x:c r="K1035" s="8" t="n">
        <x:v>46301.5066550926</x:v>
      </x:c>
      <x:c r="L1035" s="2" t="str">
        <x:v>Sent</x:v>
      </x:c>
      <x:c r="M1035" s="2" t="n">
        <x:v>1</x:v>
      </x:c>
      <x:c r="N1035" s="2"/>
      <x:c r="O1035" s="2"/>
    </x:row>
    <x:row r="1036" ht="21" customHeight="1">
      <x:c r="A1036" s="2" t="str">
        <x:v>NT001035</x:v>
      </x:c>
      <x:c r="B1036" s="2" t="str">
        <x:v>EV001037</x:v>
      </x:c>
      <x:c r="C1036" s="2" t="str">
        <x:v>T20261006-2-1</x:v>
      </x:c>
      <x:c r="D1036" s="2" t="str">
        <x:v>ST032</x:v>
      </x:c>
      <x:c r="E1036" s="2" t="str">
        <x:v>G032</x:v>
      </x:c>
      <x:c r="F1036" s="2" t="str">
        <x:v>guardian032@example.invalid</x:v>
      </x:c>
      <x:c r="G1036" s="2" t="str">
        <x:v>Email</x:v>
      </x:c>
      <x:c r="H1036" s="2" t="str">
        <x:v>Boarded</x:v>
      </x:c>
      <x:c r="I1036" s="8" t="n">
        <x:v>46301.47642361111</x:v>
      </x:c>
      <x:c r="J1036" s="8" t="n">
        <x:v>46301.476446759254</x:v>
      </x:c>
      <x:c r="K1036" s="8" t="n">
        <x:v>46301.47648148148</x:v>
      </x:c>
      <x:c r="L1036" s="2" t="str">
        <x:v>Sent</x:v>
      </x:c>
      <x:c r="M1036" s="2" t="n">
        <x:v>1</x:v>
      </x:c>
      <x:c r="N1036" s="2"/>
      <x:c r="O1036" s="2"/>
    </x:row>
    <x:row r="1037" ht="21" customHeight="1">
      <x:c r="A1037" s="2" t="str">
        <x:v>NT001036</x:v>
      </x:c>
      <x:c r="B1037" s="2" t="str">
        <x:v>EV001038</x:v>
      </x:c>
      <x:c r="C1037" s="2" t="str">
        <x:v>T20261006-2-1</x:v>
      </x:c>
      <x:c r="D1037" s="2" t="str">
        <x:v>ST032</x:v>
      </x:c>
      <x:c r="E1037" s="2" t="str">
        <x:v>G032</x:v>
      </x:c>
      <x:c r="F1037" s="2" t="str">
        <x:v>guardian032@example.invalid</x:v>
      </x:c>
      <x:c r="G1037" s="2" t="str">
        <x:v>Email</x:v>
      </x:c>
      <x:c r="H1037" s="2" t="str">
        <x:v>School receipt</x:v>
      </x:c>
      <x:c r="I1037" s="8" t="n">
        <x:v>46301.506631944445</x:v>
      </x:c>
      <x:c r="J1037" s="8" t="n">
        <x:v>46301.50665509259</x:v>
      </x:c>
      <x:c r="K1037" s="8" t="n">
        <x:v>46301.506689814814</x:v>
      </x:c>
      <x:c r="L1037" s="2" t="str">
        <x:v>Sent</x:v>
      </x:c>
      <x:c r="M1037" s="2" t="n">
        <x:v>1</x:v>
      </x:c>
      <x:c r="N1037" s="2"/>
      <x:c r="O1037" s="2"/>
    </x:row>
    <x:row r="1038" ht="21" customHeight="1">
      <x:c r="A1038" s="2" t="str">
        <x:v>NT001037</x:v>
      </x:c>
      <x:c r="B1038" s="2" t="str">
        <x:v>EV001039</x:v>
      </x:c>
      <x:c r="C1038" s="2" t="str">
        <x:v>T20261006-2-1</x:v>
      </x:c>
      <x:c r="D1038" s="2" t="str">
        <x:v>ST033</x:v>
      </x:c>
      <x:c r="E1038" s="2" t="str">
        <x:v>G033</x:v>
      </x:c>
      <x:c r="F1038" s="2" t="str">
        <x:v>guardian033@example.invalid</x:v>
      </x:c>
      <x:c r="G1038" s="2" t="str">
        <x:v>Email</x:v>
      </x:c>
      <x:c r="H1038" s="2" t="str">
        <x:v>Boarded</x:v>
      </x:c>
      <x:c r="I1038" s="8" t="n">
        <x:v>46301.48131944444</x:v>
      </x:c>
      <x:c r="J1038" s="8" t="n">
        <x:v>46301.48134259259</x:v>
      </x:c>
      <x:c r="K1038" s="8" t="n">
        <x:v>46301.48137731481</x:v>
      </x:c>
      <x:c r="L1038" s="2" t="str">
        <x:v>Sent</x:v>
      </x:c>
      <x:c r="M1038" s="2" t="n">
        <x:v>1</x:v>
      </x:c>
      <x:c r="N1038" s="2"/>
      <x:c r="O1038" s="2"/>
    </x:row>
    <x:row r="1039" ht="21" customHeight="1">
      <x:c r="A1039" s="2" t="str">
        <x:v>NT001038</x:v>
      </x:c>
      <x:c r="B1039" s="2" t="str">
        <x:v>EV001040</x:v>
      </x:c>
      <x:c r="C1039" s="2" t="str">
        <x:v>T20261006-2-1</x:v>
      </x:c>
      <x:c r="D1039" s="2" t="str">
        <x:v>ST033</x:v>
      </x:c>
      <x:c r="E1039" s="2" t="str">
        <x:v>G033</x:v>
      </x:c>
      <x:c r="F1039" s="2" t="str">
        <x:v>guardian033@example.invalid</x:v>
      </x:c>
      <x:c r="G1039" s="2" t="str">
        <x:v>Email</x:v>
      </x:c>
      <x:c r="H1039" s="2" t="str">
        <x:v>School receipt</x:v>
      </x:c>
      <x:c r="I1039" s="8" t="n">
        <x:v>46301.50666666667</x:v>
      </x:c>
      <x:c r="J1039" s="8" t="n">
        <x:v>46301.506689814814</x:v>
      </x:c>
      <x:c r="K1039" s="8" t="n">
        <x:v>46301.50672453704</x:v>
      </x:c>
      <x:c r="L1039" s="2" t="str">
        <x:v>Sent</x:v>
      </x:c>
      <x:c r="M1039" s="2" t="n">
        <x:v>1</x:v>
      </x:c>
      <x:c r="N1039" s="2"/>
      <x:c r="O1039" s="2"/>
    </x:row>
    <x:row r="1040" ht="21" customHeight="1">
      <x:c r="A1040" s="2" t="str">
        <x:v>NT001039</x:v>
      </x:c>
      <x:c r="B1040" s="2" t="str">
        <x:v>EV001041</x:v>
      </x:c>
      <x:c r="C1040" s="2" t="str">
        <x:v>T20261006-2-1</x:v>
      </x:c>
      <x:c r="D1040" s="2" t="str">
        <x:v>ST034</x:v>
      </x:c>
      <x:c r="E1040" s="2" t="str">
        <x:v>G034</x:v>
      </x:c>
      <x:c r="F1040" s="2" t="str">
        <x:v>guardian034@example.invalid</x:v>
      </x:c>
      <x:c r="G1040" s="2" t="str">
        <x:v>Email</x:v>
      </x:c>
      <x:c r="H1040" s="2" t="str">
        <x:v>Boarded</x:v>
      </x:c>
      <x:c r="I1040" s="8" t="n">
        <x:v>46301.47163194445</x:v>
      </x:c>
      <x:c r="J1040" s="8" t="n">
        <x:v>46301.471655092595</x:v>
      </x:c>
      <x:c r="K1040" s="8" t="n">
        <x:v>46301.47168981482</x:v>
      </x:c>
      <x:c r="L1040" s="2" t="str">
        <x:v>Sent</x:v>
      </x:c>
      <x:c r="M1040" s="2" t="n">
        <x:v>1</x:v>
      </x:c>
      <x:c r="N1040" s="2"/>
      <x:c r="O1040" s="2"/>
    </x:row>
    <x:row r="1041" ht="21" customHeight="1">
      <x:c r="A1041" s="2" t="str">
        <x:v>NT001040</x:v>
      </x:c>
      <x:c r="B1041" s="2" t="str">
        <x:v>EV001042</x:v>
      </x:c>
      <x:c r="C1041" s="2" t="str">
        <x:v>T20261006-2-1</x:v>
      </x:c>
      <x:c r="D1041" s="2" t="str">
        <x:v>ST034</x:v>
      </x:c>
      <x:c r="E1041" s="2" t="str">
        <x:v>G034</x:v>
      </x:c>
      <x:c r="F1041" s="2" t="str">
        <x:v>guardian034@example.invalid</x:v>
      </x:c>
      <x:c r="G1041" s="2" t="str">
        <x:v>Email</x:v>
      </x:c>
      <x:c r="H1041" s="2" t="str">
        <x:v>School receipt</x:v>
      </x:c>
      <x:c r="I1041" s="8" t="n">
        <x:v>46301.50670138889</x:v>
      </x:c>
      <x:c r="J1041" s="8" t="n">
        <x:v>46301.50672453704</x:v>
      </x:c>
      <x:c r="K1041" s="8" t="n">
        <x:v>46301.50675925926</x:v>
      </x:c>
      <x:c r="L1041" s="2" t="str">
        <x:v>Sent</x:v>
      </x:c>
      <x:c r="M1041" s="2" t="n">
        <x:v>1</x:v>
      </x:c>
      <x:c r="N1041" s="2"/>
      <x:c r="O1041" s="2"/>
    </x:row>
    <x:row r="1042" ht="21" customHeight="1">
      <x:c r="A1042" s="2" t="str">
        <x:v>NT001041</x:v>
      </x:c>
      <x:c r="B1042" s="2" t="str">
        <x:v>EV001043</x:v>
      </x:c>
      <x:c r="C1042" s="2" t="str">
        <x:v>T20261006-2-1</x:v>
      </x:c>
      <x:c r="D1042" s="2" t="str">
        <x:v>ST035</x:v>
      </x:c>
      <x:c r="E1042" s="2" t="str">
        <x:v>G035</x:v>
      </x:c>
      <x:c r="F1042" s="2" t="str">
        <x:v>guardian035@example.invalid</x:v>
      </x:c>
      <x:c r="G1042" s="2" t="str">
        <x:v>Email</x:v>
      </x:c>
      <x:c r="H1042" s="2" t="str">
        <x:v>Boarded</x:v>
      </x:c>
      <x:c r="I1042" s="8" t="n">
        <x:v>46301.47652777778</x:v>
      </x:c>
      <x:c r="J1042" s="8" t="n">
        <x:v>46301.47655092592</x:v>
      </x:c>
      <x:c r="K1042" s="8" t="n">
        <x:v>46301.476585648146</x:v>
      </x:c>
      <x:c r="L1042" s="2" t="str">
        <x:v>Sent</x:v>
      </x:c>
      <x:c r="M1042" s="2" t="n">
        <x:v>1</x:v>
      </x:c>
      <x:c r="N1042" s="2"/>
      <x:c r="O1042" s="2"/>
    </x:row>
    <x:row r="1043" ht="21" customHeight="1">
      <x:c r="A1043" s="2" t="str">
        <x:v>NT001042</x:v>
      </x:c>
      <x:c r="B1043" s="2" t="str">
        <x:v>EV001044</x:v>
      </x:c>
      <x:c r="C1043" s="2" t="str">
        <x:v>T20261006-2-1</x:v>
      </x:c>
      <x:c r="D1043" s="2" t="str">
        <x:v>ST035</x:v>
      </x:c>
      <x:c r="E1043" s="2" t="str">
        <x:v>G035</x:v>
      </x:c>
      <x:c r="F1043" s="2" t="str">
        <x:v>guardian035@example.invalid</x:v>
      </x:c>
      <x:c r="G1043" s="2" t="str">
        <x:v>Email</x:v>
      </x:c>
      <x:c r="H1043" s="2" t="str">
        <x:v>School receipt</x:v>
      </x:c>
      <x:c r="I1043" s="8" t="n">
        <x:v>46301.506736111114</x:v>
      </x:c>
      <x:c r="J1043" s="8" t="n">
        <x:v>46301.50675925926</x:v>
      </x:c>
      <x:c r="K1043" s="8" t="n">
        <x:v>46301.50679398148</x:v>
      </x:c>
      <x:c r="L1043" s="2" t="str">
        <x:v>Sent</x:v>
      </x:c>
      <x:c r="M1043" s="2" t="n">
        <x:v>1</x:v>
      </x:c>
      <x:c r="N1043" s="2"/>
      <x:c r="O1043" s="2"/>
    </x:row>
    <x:row r="1044" ht="21" customHeight="1">
      <x:c r="A1044" s="2" t="str">
        <x:v>NT001043</x:v>
      </x:c>
      <x:c r="B1044" s="2" t="str">
        <x:v>EV001045</x:v>
      </x:c>
      <x:c r="C1044" s="2" t="str">
        <x:v>T20261006-2-1</x:v>
      </x:c>
      <x:c r="D1044" s="2" t="str">
        <x:v>ST036</x:v>
      </x:c>
      <x:c r="E1044" s="2" t="str">
        <x:v>G036</x:v>
      </x:c>
      <x:c r="F1044" s="2" t="str">
        <x:v>guardian036@example.invalid</x:v>
      </x:c>
      <x:c r="G1044" s="2" t="str">
        <x:v>Email</x:v>
      </x:c>
      <x:c r="H1044" s="2" t="str">
        <x:v>Boarded</x:v>
      </x:c>
      <x:c r="I1044" s="8" t="n">
        <x:v>46301.481423611105</x:v>
      </x:c>
      <x:c r="J1044" s="8" t="n">
        <x:v>46301.48144675925</x:v>
      </x:c>
      <x:c r="K1044" s="8" t="n">
        <x:v>46301.481481481474</x:v>
      </x:c>
      <x:c r="L1044" s="2" t="str">
        <x:v>Sent</x:v>
      </x:c>
      <x:c r="M1044" s="2" t="n">
        <x:v>1</x:v>
      </x:c>
      <x:c r="N1044" s="2"/>
      <x:c r="O1044" s="2"/>
    </x:row>
    <x:row r="1045" ht="21" customHeight="1">
      <x:c r="A1045" s="2" t="str">
        <x:v>NT001044</x:v>
      </x:c>
      <x:c r="B1045" s="2" t="str">
        <x:v>EV001046</x:v>
      </x:c>
      <x:c r="C1045" s="2" t="str">
        <x:v>T20261006-2-1</x:v>
      </x:c>
      <x:c r="D1045" s="2" t="str">
        <x:v>ST036</x:v>
      </x:c>
      <x:c r="E1045" s="2" t="str">
        <x:v>G036</x:v>
      </x:c>
      <x:c r="F1045" s="2" t="str">
        <x:v>guardian036@example.invalid</x:v>
      </x:c>
      <x:c r="G1045" s="2" t="str">
        <x:v>Email</x:v>
      </x:c>
      <x:c r="H1045" s="2" t="str">
        <x:v>School receipt</x:v>
      </x:c>
      <x:c r="I1045" s="8" t="n">
        <x:v>46301.50677083334</x:v>
      </x:c>
      <x:c r="J1045" s="8" t="n">
        <x:v>46301.50679398148</x:v>
      </x:c>
      <x:c r="K1045" s="8" t="n">
        <x:v>46301.50682870371</x:v>
      </x:c>
      <x:c r="L1045" s="2" t="str">
        <x:v>Sent</x:v>
      </x:c>
      <x:c r="M1045" s="2" t="n">
        <x:v>1</x:v>
      </x:c>
      <x:c r="N1045" s="2"/>
      <x:c r="O1045" s="2"/>
    </x:row>
    <x:row r="1046" ht="21" customHeight="1">
      <x:c r="A1046" s="2" t="str">
        <x:v>NT001045</x:v>
      </x:c>
      <x:c r="B1046" s="2" t="str">
        <x:v>EV001047</x:v>
      </x:c>
      <x:c r="C1046" s="2" t="str">
        <x:v>T20261006-2-1</x:v>
      </x:c>
      <x:c r="D1046" s="2" t="str">
        <x:v>ST037</x:v>
      </x:c>
      <x:c r="E1046" s="2" t="str">
        <x:v>G037</x:v>
      </x:c>
      <x:c r="F1046" s="2" t="str">
        <x:v>guardian037@example.invalid</x:v>
      </x:c>
      <x:c r="G1046" s="2" t="str">
        <x:v>Email</x:v>
      </x:c>
      <x:c r="H1046" s="2" t="str">
        <x:v>Boarded</x:v>
      </x:c>
      <x:c r="I1046" s="8" t="n">
        <x:v>46301.47173611111</x:v>
      </x:c>
      <x:c r="J1046" s="8" t="n">
        <x:v>46301.47175925926</x:v>
      </x:c>
      <x:c r="K1046" s="8" t="n">
        <x:v>46301.47179398148</x:v>
      </x:c>
      <x:c r="L1046" s="2" t="str">
        <x:v>Sent</x:v>
      </x:c>
      <x:c r="M1046" s="2" t="n">
        <x:v>1</x:v>
      </x:c>
      <x:c r="N1046" s="2"/>
      <x:c r="O1046" s="2"/>
    </x:row>
    <x:row r="1047" ht="21" customHeight="1">
      <x:c r="A1047" s="2" t="str">
        <x:v>NT001046</x:v>
      </x:c>
      <x:c r="B1047" s="2" t="str">
        <x:v>EV001048</x:v>
      </x:c>
      <x:c r="C1047" s="2" t="str">
        <x:v>T20261006-2-1</x:v>
      </x:c>
      <x:c r="D1047" s="2" t="str">
        <x:v>ST037</x:v>
      </x:c>
      <x:c r="E1047" s="2" t="str">
        <x:v>G037</x:v>
      </x:c>
      <x:c r="F1047" s="2" t="str">
        <x:v>guardian037@example.invalid</x:v>
      </x:c>
      <x:c r="G1047" s="2" t="str">
        <x:v>Email</x:v>
      </x:c>
      <x:c r="H1047" s="2" t="str">
        <x:v>School receipt</x:v>
      </x:c>
      <x:c r="I1047" s="8" t="n">
        <x:v>46301.50680555556</x:v>
      </x:c>
      <x:c r="J1047" s="8" t="n">
        <x:v>46301.50682870371</x:v>
      </x:c>
      <x:c r="K1047" s="8" t="n">
        <x:v>46301.50686342593</x:v>
      </x:c>
      <x:c r="L1047" s="2" t="str">
        <x:v>Sent</x:v>
      </x:c>
      <x:c r="M1047" s="2" t="n">
        <x:v>1</x:v>
      </x:c>
      <x:c r="N1047" s="2"/>
      <x:c r="O1047" s="2"/>
    </x:row>
    <x:row r="1048" ht="21" customHeight="1">
      <x:c r="A1048" s="2" t="str">
        <x:v>NT001047</x:v>
      </x:c>
      <x:c r="B1048" s="2" t="str">
        <x:v>EV001049</x:v>
      </x:c>
      <x:c r="C1048" s="2" t="str">
        <x:v>T20261006-2-1</x:v>
      </x:c>
      <x:c r="D1048" s="2" t="str">
        <x:v>ST038</x:v>
      </x:c>
      <x:c r="E1048" s="2" t="str">
        <x:v>G038</x:v>
      </x:c>
      <x:c r="F1048" s="2" t="str">
        <x:v>guardian038@example.invalid</x:v>
      </x:c>
      <x:c r="G1048" s="2" t="str">
        <x:v>Email</x:v>
      </x:c>
      <x:c r="H1048" s="2" t="str">
        <x:v>Boarded</x:v>
      </x:c>
      <x:c r="I1048" s="8" t="n">
        <x:v>46301.47663194444</x:v>
      </x:c>
      <x:c r="J1048" s="8" t="n">
        <x:v>46301.476655092585</x:v>
      </x:c>
      <x:c r="K1048" s="8" t="n">
        <x:v>46301.47668981481</x:v>
      </x:c>
      <x:c r="L1048" s="2" t="str">
        <x:v>Sent</x:v>
      </x:c>
      <x:c r="M1048" s="2" t="n">
        <x:v>1</x:v>
      </x:c>
      <x:c r="N1048" s="2"/>
      <x:c r="O1048" s="2"/>
    </x:row>
    <x:row r="1049" ht="21" customHeight="1">
      <x:c r="A1049" s="2" t="str">
        <x:v>NT001048</x:v>
      </x:c>
      <x:c r="B1049" s="2" t="str">
        <x:v>EV001050</x:v>
      </x:c>
      <x:c r="C1049" s="2" t="str">
        <x:v>T20261006-2-1</x:v>
      </x:c>
      <x:c r="D1049" s="2" t="str">
        <x:v>ST038</x:v>
      </x:c>
      <x:c r="E1049" s="2" t="str">
        <x:v>G038</x:v>
      </x:c>
      <x:c r="F1049" s="2" t="str">
        <x:v>guardian038@example.invalid</x:v>
      </x:c>
      <x:c r="G1049" s="2" t="str">
        <x:v>Email</x:v>
      </x:c>
      <x:c r="H1049" s="2" t="str">
        <x:v>School receipt</x:v>
      </x:c>
      <x:c r="I1049" s="8" t="n">
        <x:v>46301.50684027778</x:v>
      </x:c>
      <x:c r="J1049" s="8" t="n">
        <x:v>46301.50686342593</x:v>
      </x:c>
      <x:c r="K1049" s="8" t="n">
        <x:v>46301.50689814815</x:v>
      </x:c>
      <x:c r="L1049" s="2" t="str">
        <x:v>Sent</x:v>
      </x:c>
      <x:c r="M1049" s="2" t="n">
        <x:v>1</x:v>
      </x:c>
      <x:c r="N1049" s="2"/>
      <x:c r="O1049" s="2"/>
    </x:row>
    <x:row r="1050" ht="21" customHeight="1">
      <x:c r="A1050" s="2" t="str">
        <x:v>NT001049</x:v>
      </x:c>
      <x:c r="B1050" s="2" t="str">
        <x:v>EV001051</x:v>
      </x:c>
      <x:c r="C1050" s="2" t="str">
        <x:v>T20261006-2-1</x:v>
      </x:c>
      <x:c r="D1050" s="2" t="str">
        <x:v>ST039</x:v>
      </x:c>
      <x:c r="E1050" s="2" t="str">
        <x:v>G039</x:v>
      </x:c>
      <x:c r="F1050" s="2" t="str">
        <x:v>guardian039@example.invalid</x:v>
      </x:c>
      <x:c r="G1050" s="2" t="str">
        <x:v>Email</x:v>
      </x:c>
      <x:c r="H1050" s="2" t="str">
        <x:v>Boarded</x:v>
      </x:c>
      <x:c r="I1050" s="8" t="n">
        <x:v>46301.481527777774</x:v>
      </x:c>
      <x:c r="J1050" s="8" t="n">
        <x:v>46301.48155092592</x:v>
      </x:c>
      <x:c r="K1050" s="8" t="n">
        <x:v>46301.481585648144</x:v>
      </x:c>
      <x:c r="L1050" s="2" t="str">
        <x:v>Sent</x:v>
      </x:c>
      <x:c r="M1050" s="2" t="n">
        <x:v>1</x:v>
      </x:c>
      <x:c r="N1050" s="2"/>
      <x:c r="O1050" s="2"/>
    </x:row>
    <x:row r="1051" ht="21" customHeight="1">
      <x:c r="A1051" s="2" t="str">
        <x:v>NT001050</x:v>
      </x:c>
      <x:c r="B1051" s="2" t="str">
        <x:v>EV001052</x:v>
      </x:c>
      <x:c r="C1051" s="2" t="str">
        <x:v>T20261006-2-1</x:v>
      </x:c>
      <x:c r="D1051" s="2" t="str">
        <x:v>ST039</x:v>
      </x:c>
      <x:c r="E1051" s="2" t="str">
        <x:v>G039</x:v>
      </x:c>
      <x:c r="F1051" s="2" t="str">
        <x:v>guardian039@example.invalid</x:v>
      </x:c>
      <x:c r="G1051" s="2" t="str">
        <x:v>Email</x:v>
      </x:c>
      <x:c r="H1051" s="2" t="str">
        <x:v>School receipt</x:v>
      </x:c>
      <x:c r="I1051" s="8" t="n">
        <x:v>46301.50687500001</x:v>
      </x:c>
      <x:c r="J1051" s="8" t="n">
        <x:v>46301.50689814815</x:v>
      </x:c>
      <x:c r="K1051" s="8" t="n">
        <x:v>46301.506932870376</x:v>
      </x:c>
      <x:c r="L1051" s="2" t="str">
        <x:v>Sent</x:v>
      </x:c>
      <x:c r="M1051" s="2" t="n">
        <x:v>1</x:v>
      </x:c>
      <x:c r="N1051" s="2"/>
      <x:c r="O1051" s="2"/>
    </x:row>
    <x:row r="1052" ht="21" customHeight="1">
      <x:c r="A1052" s="2" t="str">
        <x:v>NT001051</x:v>
      </x:c>
      <x:c r="B1052" s="2" t="str">
        <x:v>EV001053</x:v>
      </x:c>
      <x:c r="C1052" s="2" t="str">
        <x:v>T20261006-2-1</x:v>
      </x:c>
      <x:c r="D1052" s="2" t="str">
        <x:v>ST040</x:v>
      </x:c>
      <x:c r="E1052" s="2" t="str">
        <x:v>G040</x:v>
      </x:c>
      <x:c r="F1052" s="2" t="str">
        <x:v>guardian040@example.invalid</x:v>
      </x:c>
      <x:c r="G1052" s="2" t="str">
        <x:v>Email</x:v>
      </x:c>
      <x:c r="H1052" s="2" t="str">
        <x:v>Boarded</x:v>
      </x:c>
      <x:c r="I1052" s="8" t="n">
        <x:v>46301.47184027778</x:v>
      </x:c>
      <x:c r="J1052" s="8" t="n">
        <x:v>46301.471863425926</x:v>
      </x:c>
      <x:c r="K1052" s="8" t="n">
        <x:v>46301.47189814815</x:v>
      </x:c>
      <x:c r="L1052" s="2" t="str">
        <x:v>Sent</x:v>
      </x:c>
      <x:c r="M1052" s="2" t="n">
        <x:v>1</x:v>
      </x:c>
      <x:c r="N1052" s="2"/>
      <x:c r="O1052" s="2"/>
    </x:row>
    <x:row r="1053" ht="21" customHeight="1">
      <x:c r="A1053" s="2" t="str">
        <x:v>NT001052</x:v>
      </x:c>
      <x:c r="B1053" s="2" t="str">
        <x:v>EV001054</x:v>
      </x:c>
      <x:c r="C1053" s="2" t="str">
        <x:v>T20261006-2-1</x:v>
      </x:c>
      <x:c r="D1053" s="2" t="str">
        <x:v>ST040</x:v>
      </x:c>
      <x:c r="E1053" s="2" t="str">
        <x:v>G040</x:v>
      </x:c>
      <x:c r="F1053" s="2" t="str">
        <x:v>guardian040@example.invalid</x:v>
      </x:c>
      <x:c r="G1053" s="2" t="str">
        <x:v>Email</x:v>
      </x:c>
      <x:c r="H1053" s="2" t="str">
        <x:v>School receipt</x:v>
      </x:c>
      <x:c r="I1053" s="8" t="n">
        <x:v>46301.50690972222</x:v>
      </x:c>
      <x:c r="J1053" s="8" t="n">
        <x:v>46301.50693287037</x:v>
      </x:c>
      <x:c r="K1053" s="8" t="n">
        <x:v>46301.50696759259</x:v>
      </x:c>
      <x:c r="L1053" s="2" t="str">
        <x:v>Sent</x:v>
      </x:c>
      <x:c r="M1053" s="2" t="n">
        <x:v>1</x:v>
      </x:c>
      <x:c r="N1053" s="2"/>
      <x:c r="O1053" s="2"/>
    </x:row>
    <x:row r="1054" ht="21" customHeight="1">
      <x:c r="A1054" s="2" t="str">
        <x:v>NT001053</x:v>
      </x:c>
      <x:c r="B1054" s="2" t="str">
        <x:v>EV001055</x:v>
      </x:c>
      <x:c r="C1054" s="2" t="str">
        <x:v>T20261006-3-1</x:v>
      </x:c>
      <x:c r="D1054" s="2" t="str">
        <x:v>ST011</x:v>
      </x:c>
      <x:c r="E1054" s="2" t="str">
        <x:v>G011</x:v>
      </x:c>
      <x:c r="F1054" s="2" t="str">
        <x:v>guardian011@example.invalid</x:v>
      </x:c>
      <x:c r="G1054" s="2" t="str">
        <x:v>Email</x:v>
      </x:c>
      <x:c r="H1054" s="2" t="str">
        <x:v>Boarded</x:v>
      </x:c>
      <x:c r="I1054" s="8" t="n">
        <x:v>46301.57291666667</x:v>
      </x:c>
      <x:c r="J1054" s="8" t="n">
        <x:v>46301.57293981482</x:v>
      </x:c>
      <x:c r="K1054" s="8" t="n">
        <x:v>46301.57297453704</x:v>
      </x:c>
      <x:c r="L1054" s="2" t="str">
        <x:v>Sent</x:v>
      </x:c>
      <x:c r="M1054" s="2" t="n">
        <x:v>1</x:v>
      </x:c>
      <x:c r="N1054" s="2"/>
      <x:c r="O1054" s="2"/>
    </x:row>
    <x:row r="1055" ht="21" customHeight="1">
      <x:c r="A1055" s="2" t="str">
        <x:v>NT001054</x:v>
      </x:c>
      <x:c r="B1055" s="2" t="str">
        <x:v>EV001056</x:v>
      </x:c>
      <x:c r="C1055" s="2" t="str">
        <x:v>T20261006-3-1</x:v>
      </x:c>
      <x:c r="D1055" s="2" t="str">
        <x:v>ST011</x:v>
      </x:c>
      <x:c r="E1055" s="2" t="str">
        <x:v>G011</x:v>
      </x:c>
      <x:c r="F1055" s="2" t="str">
        <x:v>guardian011@example.invalid</x:v>
      </x:c>
      <x:c r="G1055" s="2" t="str">
        <x:v>Email</x:v>
      </x:c>
      <x:c r="H1055" s="2" t="str">
        <x:v>Authorized release</x:v>
      </x:c>
      <x:c r="I1055" s="8" t="n">
        <x:v>46301.59027777778</x:v>
      </x:c>
      <x:c r="J1055" s="8" t="n">
        <x:v>46301.59030092593</x:v>
      </x:c>
      <x:c r="K1055" s="8" t="n">
        <x:v>46301.59033564815</x:v>
      </x:c>
      <x:c r="L1055" s="2" t="str">
        <x:v>Sent</x:v>
      </x:c>
      <x:c r="M1055" s="2" t="n">
        <x:v>1</x:v>
      </x:c>
      <x:c r="N1055" s="2"/>
      <x:c r="O1055" s="2"/>
    </x:row>
    <x:row r="1056" ht="21" customHeight="1">
      <x:c r="A1056" s="2" t="str">
        <x:v>NT001055</x:v>
      </x:c>
      <x:c r="B1056" s="2" t="str">
        <x:v>EV001057</x:v>
      </x:c>
      <x:c r="C1056" s="2" t="str">
        <x:v>T20261006-3-1</x:v>
      </x:c>
      <x:c r="D1056" s="2" t="str">
        <x:v>ST012</x:v>
      </x:c>
      <x:c r="E1056" s="2" t="str">
        <x:v>G012</x:v>
      </x:c>
      <x:c r="F1056" s="2" t="str">
        <x:v>guardian012@example.invalid</x:v>
      </x:c>
      <x:c r="G1056" s="2" t="str">
        <x:v>Email</x:v>
      </x:c>
      <x:c r="H1056" s="2" t="str">
        <x:v>Boarded</x:v>
      </x:c>
      <x:c r="I1056" s="8" t="n">
        <x:v>46301.572951388895</x:v>
      </x:c>
      <x:c r="J1056" s="8" t="n">
        <x:v>46301.57297453704</x:v>
      </x:c>
      <x:c r="K1056" s="8" t="n">
        <x:v>46301.573009259264</x:v>
      </x:c>
      <x:c r="L1056" s="2" t="str">
        <x:v>Sent</x:v>
      </x:c>
      <x:c r="M1056" s="2" t="n">
        <x:v>1</x:v>
      </x:c>
      <x:c r="N1056" s="2"/>
      <x:c r="O1056" s="2"/>
    </x:row>
    <x:row r="1057" ht="21" customHeight="1">
      <x:c r="A1057" s="2" t="str">
        <x:v>NT001056</x:v>
      </x:c>
      <x:c r="B1057" s="2" t="str">
        <x:v>EV001058</x:v>
      </x:c>
      <x:c r="C1057" s="2" t="str">
        <x:v>T20261006-3-1</x:v>
      </x:c>
      <x:c r="D1057" s="2" t="str">
        <x:v>ST012</x:v>
      </x:c>
      <x:c r="E1057" s="2" t="str">
        <x:v>G012</x:v>
      </x:c>
      <x:c r="F1057" s="2" t="str">
        <x:v>guardian012@example.invalid</x:v>
      </x:c>
      <x:c r="G1057" s="2" t="str">
        <x:v>Email</x:v>
      </x:c>
      <x:c r="H1057" s="2" t="str">
        <x:v>Authorized release</x:v>
      </x:c>
      <x:c r="I1057" s="8" t="n">
        <x:v>46301.59447916667</x:v>
      </x:c>
      <x:c r="J1057" s="8" t="n">
        <x:v>46301.594502314816</x:v>
      </x:c>
      <x:c r="K1057" s="8" t="n">
        <x:v>46301.59453703704</x:v>
      </x:c>
      <x:c r="L1057" s="2" t="str">
        <x:v>Sent</x:v>
      </x:c>
      <x:c r="M1057" s="2" t="n">
        <x:v>1</x:v>
      </x:c>
      <x:c r="N1057" s="2"/>
      <x:c r="O1057" s="2"/>
    </x:row>
    <x:row r="1058" ht="21" customHeight="1">
      <x:c r="A1058" s="2" t="str">
        <x:v>NT001057</x:v>
      </x:c>
      <x:c r="B1058" s="2" t="str">
        <x:v>EV001059</x:v>
      </x:c>
      <x:c r="C1058" s="2" t="str">
        <x:v>T20261006-3-1</x:v>
      </x:c>
      <x:c r="D1058" s="2" t="str">
        <x:v>ST013</x:v>
      </x:c>
      <x:c r="E1058" s="2" t="str">
        <x:v>G013</x:v>
      </x:c>
      <x:c r="F1058" s="2" t="str">
        <x:v>guardian013@example.invalid</x:v>
      </x:c>
      <x:c r="G1058" s="2" t="str">
        <x:v>Email</x:v>
      </x:c>
      <x:c r="H1058" s="2" t="str">
        <x:v>Boarded</x:v>
      </x:c>
      <x:c r="I1058" s="8" t="n">
        <x:v>46301.57298611112</x:v>
      </x:c>
      <x:c r="J1058" s="8" t="n">
        <x:v>46301.573009259264</x:v>
      </x:c>
      <x:c r="K1058" s="8" t="n">
        <x:v>46301.57304398149</x:v>
      </x:c>
      <x:c r="L1058" s="2" t="str">
        <x:v>Sent</x:v>
      </x:c>
      <x:c r="M1058" s="2" t="n">
        <x:v>1</x:v>
      </x:c>
      <x:c r="N1058" s="2"/>
      <x:c r="O1058" s="2"/>
    </x:row>
    <x:row r="1059" ht="21" customHeight="1">
      <x:c r="A1059" s="2" t="str">
        <x:v>NT001058</x:v>
      </x:c>
      <x:c r="B1059" s="2" t="str">
        <x:v>EV001060</x:v>
      </x:c>
      <x:c r="C1059" s="2" t="str">
        <x:v>T20261006-3-1</x:v>
      </x:c>
      <x:c r="D1059" s="2" t="str">
        <x:v>ST013</x:v>
      </x:c>
      <x:c r="E1059" s="2" t="str">
        <x:v>G013</x:v>
      </x:c>
      <x:c r="F1059" s="2" t="str">
        <x:v>guardian013@example.invalid</x:v>
      </x:c>
      <x:c r="G1059" s="2" t="str">
        <x:v>Email</x:v>
      </x:c>
      <x:c r="H1059" s="2" t="str">
        <x:v>Authorized release</x:v>
      </x:c>
      <x:c r="I1059" s="8" t="n">
        <x:v>46301.58618055556</x:v>
      </x:c>
      <x:c r="J1059" s="8" t="n">
        <x:v>46301.58620370371</x:v>
      </x:c>
      <x:c r="K1059" s="8" t="n">
        <x:v>46301.58623842593</x:v>
      </x:c>
      <x:c r="L1059" s="2" t="str">
        <x:v>Sent</x:v>
      </x:c>
      <x:c r="M1059" s="2" t="n">
        <x:v>1</x:v>
      </x:c>
      <x:c r="N1059" s="2"/>
      <x:c r="O1059" s="2"/>
    </x:row>
    <x:row r="1060" ht="21" customHeight="1">
      <x:c r="A1060" s="2" t="str">
        <x:v>NT001059</x:v>
      </x:c>
      <x:c r="B1060" s="2" t="str">
        <x:v>EV001061</x:v>
      </x:c>
      <x:c r="C1060" s="2" t="str">
        <x:v>T20261006-3-1</x:v>
      </x:c>
      <x:c r="D1060" s="2" t="str">
        <x:v>ST014</x:v>
      </x:c>
      <x:c r="E1060" s="2" t="str">
        <x:v>G014</x:v>
      </x:c>
      <x:c r="F1060" s="2" t="str">
        <x:v>guardian014@example.invalid</x:v>
      </x:c>
      <x:c r="G1060" s="2" t="str">
        <x:v>Email</x:v>
      </x:c>
      <x:c r="H1060" s="2" t="str">
        <x:v>Boarded</x:v>
      </x:c>
      <x:c r="I1060" s="8" t="n">
        <x:v>46301.57302083334</x:v>
      </x:c>
      <x:c r="J1060" s="8" t="n">
        <x:v>46301.57304398149</x:v>
      </x:c>
      <x:c r="K1060" s="8" t="n">
        <x:v>46301.57307870371</x:v>
      </x:c>
      <x:c r="L1060" s="2" t="str">
        <x:v>Sent</x:v>
      </x:c>
      <x:c r="M1060" s="2" t="n">
        <x:v>1</x:v>
      </x:c>
      <x:c r="N1060" s="2"/>
      <x:c r="O1060" s="2"/>
    </x:row>
    <x:row r="1061" ht="21" customHeight="1">
      <x:c r="A1061" s="2" t="str">
        <x:v>NT001060</x:v>
      </x:c>
      <x:c r="B1061" s="2" t="str">
        <x:v>EV001062</x:v>
      </x:c>
      <x:c r="C1061" s="2" t="str">
        <x:v>T20261006-3-1</x:v>
      </x:c>
      <x:c r="D1061" s="2" t="str">
        <x:v>ST014</x:v>
      </x:c>
      <x:c r="E1061" s="2" t="str">
        <x:v>G014</x:v>
      </x:c>
      <x:c r="F1061" s="2" t="str">
        <x:v>guardian014@example.invalid</x:v>
      </x:c>
      <x:c r="G1061" s="2" t="str">
        <x:v>Email</x:v>
      </x:c>
      <x:c r="H1061" s="2" t="str">
        <x:v>Authorized release</x:v>
      </x:c>
      <x:c r="I1061" s="8" t="n">
        <x:v>46301.59038194445</x:v>
      </x:c>
      <x:c r="J1061" s="8" t="n">
        <x:v>46301.5904050926</x:v>
      </x:c>
      <x:c r="K1061" s="8" t="n">
        <x:v>46301.59043981482</x:v>
      </x:c>
      <x:c r="L1061" s="2" t="str">
        <x:v>Sent</x:v>
      </x:c>
      <x:c r="M1061" s="2" t="n">
        <x:v>1</x:v>
      </x:c>
      <x:c r="N1061" s="2"/>
      <x:c r="O1061" s="2"/>
    </x:row>
    <x:row r="1062" ht="21" customHeight="1">
      <x:c r="A1062" s="2" t="str">
        <x:v>NT001061</x:v>
      </x:c>
      <x:c r="B1062" s="2" t="str">
        <x:v>EV001063</x:v>
      </x:c>
      <x:c r="C1062" s="2" t="str">
        <x:v>T20261006-3-1</x:v>
      </x:c>
      <x:c r="D1062" s="2" t="str">
        <x:v>ST015</x:v>
      </x:c>
      <x:c r="E1062" s="2" t="str">
        <x:v>G015</x:v>
      </x:c>
      <x:c r="F1062" s="2" t="str">
        <x:v>guardian015@example.invalid</x:v>
      </x:c>
      <x:c r="G1062" s="2" t="str">
        <x:v>Email</x:v>
      </x:c>
      <x:c r="H1062" s="2" t="str">
        <x:v>Boarded</x:v>
      </x:c>
      <x:c r="I1062" s="8" t="n">
        <x:v>46301.573055555564</x:v>
      </x:c>
      <x:c r="J1062" s="8" t="n">
        <x:v>46301.57307870371</x:v>
      </x:c>
      <x:c r="K1062" s="8" t="n">
        <x:v>46301.57311342593</x:v>
      </x:c>
      <x:c r="L1062" s="2" t="str">
        <x:v>Sent</x:v>
      </x:c>
      <x:c r="M1062" s="2" t="n">
        <x:v>1</x:v>
      </x:c>
      <x:c r="N1062" s="2"/>
      <x:c r="O1062" s="2"/>
    </x:row>
    <x:row r="1063" ht="21" customHeight="1">
      <x:c r="A1063" s="2" t="str">
        <x:v>NT001062</x:v>
      </x:c>
      <x:c r="B1063" s="2" t="str">
        <x:v>EV001064</x:v>
      </x:c>
      <x:c r="C1063" s="2" t="str">
        <x:v>T20261006-3-1</x:v>
      </x:c>
      <x:c r="D1063" s="2" t="str">
        <x:v>ST015</x:v>
      </x:c>
      <x:c r="E1063" s="2" t="str">
        <x:v>G015</x:v>
      </x:c>
      <x:c r="F1063" s="2" t="str">
        <x:v>guardian015@example.invalid</x:v>
      </x:c>
      <x:c r="G1063" s="2" t="str">
        <x:v>Email</x:v>
      </x:c>
      <x:c r="H1063" s="2" t="str">
        <x:v>Authorized release</x:v>
      </x:c>
      <x:c r="I1063" s="8" t="n">
        <x:v>46301.59458333334</x:v>
      </x:c>
      <x:c r="J1063" s="8" t="n">
        <x:v>46301.594606481485</x:v>
      </x:c>
      <x:c r="K1063" s="8" t="n">
        <x:v>46301.59464120371</x:v>
      </x:c>
      <x:c r="L1063" s="2" t="str">
        <x:v>Sent</x:v>
      </x:c>
      <x:c r="M1063" s="2" t="n">
        <x:v>1</x:v>
      </x:c>
      <x:c r="N1063" s="2"/>
      <x:c r="O1063" s="2"/>
    </x:row>
    <x:row r="1064" ht="21" customHeight="1">
      <x:c r="A1064" s="2" t="str">
        <x:v>NT001063</x:v>
      </x:c>
      <x:c r="B1064" s="2" t="str">
        <x:v>EV001065</x:v>
      </x:c>
      <x:c r="C1064" s="2" t="str">
        <x:v>T20261006-3-1</x:v>
      </x:c>
      <x:c r="D1064" s="2" t="str">
        <x:v>ST016</x:v>
      </x:c>
      <x:c r="E1064" s="2" t="str">
        <x:v>G016</x:v>
      </x:c>
      <x:c r="F1064" s="2" t="str">
        <x:v>guardian016@example.invalid</x:v>
      </x:c>
      <x:c r="G1064" s="2" t="str">
        <x:v>Email</x:v>
      </x:c>
      <x:c r="H1064" s="2" t="str">
        <x:v>Boarded</x:v>
      </x:c>
      <x:c r="I1064" s="8" t="n">
        <x:v>46301.57309027778</x:v>
      </x:c>
      <x:c r="J1064" s="8" t="n">
        <x:v>46301.573113425926</x:v>
      </x:c>
      <x:c r="K1064" s="8" t="n">
        <x:v>46301.57314814815</x:v>
      </x:c>
      <x:c r="L1064" s="2" t="str">
        <x:v>Sent</x:v>
      </x:c>
      <x:c r="M1064" s="2" t="n">
        <x:v>1</x:v>
      </x:c>
      <x:c r="N1064" s="2"/>
      <x:c r="O1064" s="2"/>
    </x:row>
    <x:row r="1065" ht="21" customHeight="1">
      <x:c r="A1065" s="2" t="str">
        <x:v>NT001064</x:v>
      </x:c>
      <x:c r="B1065" s="2" t="str">
        <x:v>EV001066</x:v>
      </x:c>
      <x:c r="C1065" s="2" t="str">
        <x:v>T20261006-3-1</x:v>
      </x:c>
      <x:c r="D1065" s="2" t="str">
        <x:v>ST016</x:v>
      </x:c>
      <x:c r="E1065" s="2" t="str">
        <x:v>G016</x:v>
      </x:c>
      <x:c r="F1065" s="2" t="str">
        <x:v>guardian016@example.invalid</x:v>
      </x:c>
      <x:c r="G1065" s="2" t="str">
        <x:v>Email</x:v>
      </x:c>
      <x:c r="H1065" s="2" t="str">
        <x:v>Authorized release</x:v>
      </x:c>
      <x:c r="I1065" s="8" t="n">
        <x:v>46301.58628472222</x:v>
      </x:c>
      <x:c r="J1065" s="8" t="n">
        <x:v>46301.58630787037</x:v>
      </x:c>
      <x:c r="K1065" s="8" t="n">
        <x:v>46301.58634259259</x:v>
      </x:c>
      <x:c r="L1065" s="2" t="str">
        <x:v>Sent</x:v>
      </x:c>
      <x:c r="M1065" s="2" t="n">
        <x:v>1</x:v>
      </x:c>
      <x:c r="N1065" s="2"/>
      <x:c r="O1065" s="2"/>
    </x:row>
    <x:row r="1066" ht="21" customHeight="1">
      <x:c r="A1066" s="2" t="str">
        <x:v>NT001065</x:v>
      </x:c>
      <x:c r="B1066" s="2" t="str">
        <x:v>EV001067</x:v>
      </x:c>
      <x:c r="C1066" s="2" t="str">
        <x:v>T20261006-3-1</x:v>
      </x:c>
      <x:c r="D1066" s="2" t="str">
        <x:v>ST017</x:v>
      </x:c>
      <x:c r="E1066" s="2" t="str">
        <x:v>G017</x:v>
      </x:c>
      <x:c r="F1066" s="2" t="str">
        <x:v>guardian017@example.invalid</x:v>
      </x:c>
      <x:c r="G1066" s="2" t="str">
        <x:v>Email</x:v>
      </x:c>
      <x:c r="H1066" s="2" t="str">
        <x:v>Boarded</x:v>
      </x:c>
      <x:c r="I1066" s="8" t="n">
        <x:v>46301.573125</x:v>
      </x:c>
      <x:c r="J1066" s="8" t="n">
        <x:v>46301.57314814815</x:v>
      </x:c>
      <x:c r="K1066" s="8" t="n">
        <x:v>46301.57318287037</x:v>
      </x:c>
      <x:c r="L1066" s="2" t="str">
        <x:v>Sent</x:v>
      </x:c>
      <x:c r="M1066" s="2" t="n">
        <x:v>1</x:v>
      </x:c>
      <x:c r="N1066" s="2"/>
      <x:c r="O1066" s="2"/>
    </x:row>
    <x:row r="1067" ht="21" customHeight="1">
      <x:c r="A1067" s="2" t="str">
        <x:v>NT001066</x:v>
      </x:c>
      <x:c r="B1067" s="2" t="str">
        <x:v>EV001068</x:v>
      </x:c>
      <x:c r="C1067" s="2" t="str">
        <x:v>T20261006-3-1</x:v>
      </x:c>
      <x:c r="D1067" s="2" t="str">
        <x:v>ST017</x:v>
      </x:c>
      <x:c r="E1067" s="2" t="str">
        <x:v>G017</x:v>
      </x:c>
      <x:c r="F1067" s="2" t="str">
        <x:v>guardian017@example.invalid</x:v>
      </x:c>
      <x:c r="G1067" s="2" t="str">
        <x:v>Email</x:v>
      </x:c>
      <x:c r="H1067" s="2" t="str">
        <x:v>Authorized release</x:v>
      </x:c>
      <x:c r="I1067" s="8" t="n">
        <x:v>46301.59048611111</x:v>
      </x:c>
      <x:c r="J1067" s="8" t="n">
        <x:v>46301.59050925926</x:v>
      </x:c>
      <x:c r="K1067" s="8" t="n">
        <x:v>46301.59054398148</x:v>
      </x:c>
      <x:c r="L1067" s="2" t="str">
        <x:v>Sent</x:v>
      </x:c>
      <x:c r="M1067" s="2" t="n">
        <x:v>1</x:v>
      </x:c>
      <x:c r="N1067" s="2"/>
      <x:c r="O1067" s="2"/>
    </x:row>
    <x:row r="1068" ht="21" customHeight="1">
      <x:c r="A1068" s="2" t="str">
        <x:v>NT001067</x:v>
      </x:c>
      <x:c r="B1068" s="2" t="str">
        <x:v>EV001069</x:v>
      </x:c>
      <x:c r="C1068" s="2" t="str">
        <x:v>T20261006-3-1</x:v>
      </x:c>
      <x:c r="D1068" s="2" t="str">
        <x:v>ST018</x:v>
      </x:c>
      <x:c r="E1068" s="2" t="str">
        <x:v>G018</x:v>
      </x:c>
      <x:c r="F1068" s="2" t="str">
        <x:v>guardian018@example.invalid</x:v>
      </x:c>
      <x:c r="G1068" s="2" t="str">
        <x:v>Email</x:v>
      </x:c>
      <x:c r="H1068" s="2" t="str">
        <x:v>Boarded</x:v>
      </x:c>
      <x:c r="I1068" s="8" t="n">
        <x:v>46301.573159722226</x:v>
      </x:c>
      <x:c r="J1068" s="8" t="n">
        <x:v>46301.57318287037</x:v>
      </x:c>
      <x:c r="K1068" s="8" t="n">
        <x:v>46301.573217592595</x:v>
      </x:c>
      <x:c r="L1068" s="2" t="str">
        <x:v>Sent</x:v>
      </x:c>
      <x:c r="M1068" s="2" t="n">
        <x:v>1</x:v>
      </x:c>
      <x:c r="N1068" s="2"/>
      <x:c r="O1068" s="2"/>
    </x:row>
    <x:row r="1069" ht="21" customHeight="1">
      <x:c r="A1069" s="2" t="str">
        <x:v>NT001068</x:v>
      </x:c>
      <x:c r="B1069" s="2" t="str">
        <x:v>EV001070</x:v>
      </x:c>
      <x:c r="C1069" s="2" t="str">
        <x:v>T20261006-3-1</x:v>
      </x:c>
      <x:c r="D1069" s="2" t="str">
        <x:v>ST018</x:v>
      </x:c>
      <x:c r="E1069" s="2" t="str">
        <x:v>G018</x:v>
      </x:c>
      <x:c r="F1069" s="2" t="str">
        <x:v>guardian018@example.invalid</x:v>
      </x:c>
      <x:c r="G1069" s="2" t="str">
        <x:v>Email</x:v>
      </x:c>
      <x:c r="H1069" s="2" t="str">
        <x:v>Authorized release</x:v>
      </x:c>
      <x:c r="I1069" s="8" t="n">
        <x:v>46301.5946875</x:v>
      </x:c>
      <x:c r="J1069" s="8" t="n">
        <x:v>46301.59471064815</x:v>
      </x:c>
      <x:c r="K1069" s="8" t="n">
        <x:v>46301.59474537037</x:v>
      </x:c>
      <x:c r="L1069" s="2" t="str">
        <x:v>Sent</x:v>
      </x:c>
      <x:c r="M1069" s="2" t="n">
        <x:v>1</x:v>
      </x:c>
      <x:c r="N1069" s="2"/>
      <x:c r="O1069" s="2"/>
    </x:row>
    <x:row r="1070" ht="21" customHeight="1">
      <x:c r="A1070" s="2" t="str">
        <x:v>NT001069</x:v>
      </x:c>
      <x:c r="B1070" s="2" t="str">
        <x:v>EV001071</x:v>
      </x:c>
      <x:c r="C1070" s="2" t="str">
        <x:v>T20261006-3-1</x:v>
      </x:c>
      <x:c r="D1070" s="2" t="str">
        <x:v>ST019</x:v>
      </x:c>
      <x:c r="E1070" s="2" t="str">
        <x:v>G019</x:v>
      </x:c>
      <x:c r="F1070" s="2" t="str">
        <x:v>guardian019@example.invalid</x:v>
      </x:c>
      <x:c r="G1070" s="2" t="str">
        <x:v>Email</x:v>
      </x:c>
      <x:c r="H1070" s="2" t="str">
        <x:v>Boarded</x:v>
      </x:c>
      <x:c r="I1070" s="8" t="n">
        <x:v>46301.57319444445</x:v>
      </x:c>
      <x:c r="J1070" s="8" t="n">
        <x:v>46301.573217592595</x:v>
      </x:c>
      <x:c r="K1070" s="8" t="n">
        <x:v>46301.57325231482</x:v>
      </x:c>
      <x:c r="L1070" s="2" t="str">
        <x:v>Sent</x:v>
      </x:c>
      <x:c r="M1070" s="2" t="n">
        <x:v>1</x:v>
      </x:c>
      <x:c r="N1070" s="2"/>
      <x:c r="O1070" s="2"/>
    </x:row>
    <x:row r="1071" ht="21" customHeight="1">
      <x:c r="A1071" s="2" t="str">
        <x:v>NT001070</x:v>
      </x:c>
      <x:c r="B1071" s="2" t="str">
        <x:v>EV001072</x:v>
      </x:c>
      <x:c r="C1071" s="2" t="str">
        <x:v>T20261006-3-1</x:v>
      </x:c>
      <x:c r="D1071" s="2" t="str">
        <x:v>ST019</x:v>
      </x:c>
      <x:c r="E1071" s="2" t="str">
        <x:v>G019</x:v>
      </x:c>
      <x:c r="F1071" s="2" t="str">
        <x:v>guardian019@example.invalid</x:v>
      </x:c>
      <x:c r="G1071" s="2" t="str">
        <x:v>Email</x:v>
      </x:c>
      <x:c r="H1071" s="2" t="str">
        <x:v>Authorized release</x:v>
      </x:c>
      <x:c r="I1071" s="8" t="n">
        <x:v>46301.58638888889</x:v>
      </x:c>
      <x:c r="J1071" s="8" t="n">
        <x:v>46301.58641203704</x:v>
      </x:c>
      <x:c r="K1071" s="8" t="n">
        <x:v>46301.58644675926</x:v>
      </x:c>
      <x:c r="L1071" s="2" t="str">
        <x:v>Sent</x:v>
      </x:c>
      <x:c r="M1071" s="2" t="n">
        <x:v>1</x:v>
      </x:c>
      <x:c r="N1071" s="2"/>
      <x:c r="O1071" s="2"/>
    </x:row>
    <x:row r="1072" ht="21" customHeight="1">
      <x:c r="A1072" s="2" t="str">
        <x:v>NT001071</x:v>
      </x:c>
      <x:c r="B1072" s="2" t="str">
        <x:v>EV001073</x:v>
      </x:c>
      <x:c r="C1072" s="2" t="str">
        <x:v>T20261006-3-1</x:v>
      </x:c>
      <x:c r="D1072" s="2" t="str">
        <x:v>ST020</x:v>
      </x:c>
      <x:c r="E1072" s="2" t="str">
        <x:v>G020</x:v>
      </x:c>
      <x:c r="F1072" s="2" t="str">
        <x:v>guardian020@example.invalid</x:v>
      </x:c>
      <x:c r="G1072" s="2" t="str">
        <x:v>Email</x:v>
      </x:c>
      <x:c r="H1072" s="2" t="str">
        <x:v>Boarded</x:v>
      </x:c>
      <x:c r="I1072" s="8" t="n">
        <x:v>46301.57322916667</x:v>
      </x:c>
      <x:c r="J1072" s="8" t="n">
        <x:v>46301.57325231482</x:v>
      </x:c>
      <x:c r="K1072" s="8" t="n">
        <x:v>46301.57328703704</x:v>
      </x:c>
      <x:c r="L1072" s="2" t="str">
        <x:v>Sent</x:v>
      </x:c>
      <x:c r="M1072" s="2" t="n">
        <x:v>1</x:v>
      </x:c>
      <x:c r="N1072" s="2"/>
      <x:c r="O1072" s="2"/>
    </x:row>
    <x:row r="1073" ht="21" customHeight="1">
      <x:c r="A1073" s="2" t="str">
        <x:v>NT001072</x:v>
      </x:c>
      <x:c r="B1073" s="2" t="str">
        <x:v>EV001074</x:v>
      </x:c>
      <x:c r="C1073" s="2" t="str">
        <x:v>T20261006-3-1</x:v>
      </x:c>
      <x:c r="D1073" s="2" t="str">
        <x:v>ST020</x:v>
      </x:c>
      <x:c r="E1073" s="2" t="str">
        <x:v>G020</x:v>
      </x:c>
      <x:c r="F1073" s="2" t="str">
        <x:v>guardian020@example.invalid</x:v>
      </x:c>
      <x:c r="G1073" s="2" t="str">
        <x:v>Email</x:v>
      </x:c>
      <x:c r="H1073" s="2" t="str">
        <x:v>Authorized release</x:v>
      </x:c>
      <x:c r="I1073" s="8" t="n">
        <x:v>46301.59059027778</x:v>
      </x:c>
      <x:c r="J1073" s="8" t="n">
        <x:v>46301.59061342593</x:v>
      </x:c>
      <x:c r="K1073" s="8" t="n">
        <x:v>46301.59064814815</x:v>
      </x:c>
      <x:c r="L1073" s="2" t="str">
        <x:v>Sent</x:v>
      </x:c>
      <x:c r="M1073" s="2" t="n">
        <x:v>1</x:v>
      </x:c>
      <x:c r="N1073" s="2"/>
      <x:c r="O1073" s="2"/>
    </x:row>
    <x:row r="1074" ht="21" customHeight="1">
      <x:c r="A1074" s="2" t="str">
        <x:v>NT001073</x:v>
      </x:c>
      <x:c r="B1074" s="2" t="str">
        <x:v>EV001075</x:v>
      </x:c>
      <x:c r="C1074" s="2" t="str">
        <x:v>T20261006-4-1</x:v>
      </x:c>
      <x:c r="D1074" s="2" t="str">
        <x:v>ST021</x:v>
      </x:c>
      <x:c r="E1074" s="2" t="str">
        <x:v>G021</x:v>
      </x:c>
      <x:c r="F1074" s="2" t="str">
        <x:v>guardian021@example.invalid</x:v>
      </x:c>
      <x:c r="G1074" s="2" t="str">
        <x:v>Email</x:v>
      </x:c>
      <x:c r="H1074" s="2" t="str">
        <x:v>Boarded</x:v>
      </x:c>
      <x:c r="I1074" s="8" t="n">
        <x:v>46301.60416666667</x:v>
      </x:c>
      <x:c r="J1074" s="8" t="n">
        <x:v>46301.60418981482</x:v>
      </x:c>
      <x:c r="K1074" s="8" t="n">
        <x:v>46301.60422453704</x:v>
      </x:c>
      <x:c r="L1074" s="2" t="str">
        <x:v>Sent</x:v>
      </x:c>
      <x:c r="M1074" s="2" t="n">
        <x:v>1</x:v>
      </x:c>
      <x:c r="N1074" s="2"/>
      <x:c r="O1074" s="2"/>
    </x:row>
    <x:row r="1075" ht="21" customHeight="1">
      <x:c r="A1075" s="2" t="str">
        <x:v>NT001074</x:v>
      </x:c>
      <x:c r="B1075" s="2" t="str">
        <x:v>EV001076</x:v>
      </x:c>
      <x:c r="C1075" s="2" t="str">
        <x:v>T20261006-4-1</x:v>
      </x:c>
      <x:c r="D1075" s="2" t="str">
        <x:v>ST021</x:v>
      </x:c>
      <x:c r="E1075" s="2" t="str">
        <x:v>G021</x:v>
      </x:c>
      <x:c r="F1075" s="2" t="str">
        <x:v>guardian021@example.invalid</x:v>
      </x:c>
      <x:c r="G1075" s="2" t="str">
        <x:v>Email</x:v>
      </x:c>
      <x:c r="H1075" s="2" t="str">
        <x:v>Authorized release</x:v>
      </x:c>
      <x:c r="I1075" s="8" t="n">
        <x:v>46301.62708333333</x:v>
      </x:c>
      <x:c r="J1075" s="8" t="n">
        <x:v>46301.62710648148</x:v>
      </x:c>
      <x:c r="K1075" s="8" t="n">
        <x:v>46301.6271412037</x:v>
      </x:c>
      <x:c r="L1075" s="2" t="str">
        <x:v>Sent</x:v>
      </x:c>
      <x:c r="M1075" s="2" t="n">
        <x:v>1</x:v>
      </x:c>
      <x:c r="N1075" s="2"/>
      <x:c r="O1075" s="2"/>
    </x:row>
    <x:row r="1076" ht="21" customHeight="1">
      <x:c r="A1076" s="2" t="str">
        <x:v>NT001075</x:v>
      </x:c>
      <x:c r="B1076" s="2" t="str">
        <x:v>EV001077</x:v>
      </x:c>
      <x:c r="C1076" s="2" t="str">
        <x:v>T20261006-4-1</x:v>
      </x:c>
      <x:c r="D1076" s="2" t="str">
        <x:v>ST022</x:v>
      </x:c>
      <x:c r="E1076" s="2" t="str">
        <x:v>G022</x:v>
      </x:c>
      <x:c r="F1076" s="2" t="str">
        <x:v>guardian022@example.invalid</x:v>
      </x:c>
      <x:c r="G1076" s="2" t="str">
        <x:v>Email</x:v>
      </x:c>
      <x:c r="H1076" s="2" t="str">
        <x:v>Boarded</x:v>
      </x:c>
      <x:c r="I1076" s="8" t="n">
        <x:v>46301.604201388895</x:v>
      </x:c>
      <x:c r="J1076" s="8" t="n">
        <x:v>46301.60422453704</x:v>
      </x:c>
      <x:c r="K1076" s="8" t="n">
        <x:v>46301.604259259264</x:v>
      </x:c>
      <x:c r="L1076" s="2" t="str">
        <x:v>Sent</x:v>
      </x:c>
      <x:c r="M1076" s="2" t="n">
        <x:v>1</x:v>
      </x:c>
      <x:c r="N1076" s="2"/>
      <x:c r="O1076" s="2"/>
    </x:row>
    <x:row r="1077" ht="21" customHeight="1">
      <x:c r="A1077" s="2" t="str">
        <x:v>NT001076</x:v>
      </x:c>
      <x:c r="B1077" s="2" t="str">
        <x:v>EV001078</x:v>
      </x:c>
      <x:c r="C1077" s="2" t="str">
        <x:v>T20261006-4-1</x:v>
      </x:c>
      <x:c r="D1077" s="2" t="str">
        <x:v>ST022</x:v>
      </x:c>
      <x:c r="E1077" s="2" t="str">
        <x:v>G022</x:v>
      </x:c>
      <x:c r="F1077" s="2" t="str">
        <x:v>guardian022@example.invalid</x:v>
      </x:c>
      <x:c r="G1077" s="2" t="str">
        <x:v>Email</x:v>
      </x:c>
      <x:c r="H1077" s="2" t="str">
        <x:v>Authorized release</x:v>
      </x:c>
      <x:c r="I1077" s="8" t="n">
        <x:v>46301.618784722225</x:v>
      </x:c>
      <x:c r="J1077" s="8" t="n">
        <x:v>46301.61880787037</x:v>
      </x:c>
      <x:c r="K1077" s="8" t="n">
        <x:v>46301.618842592594</x:v>
      </x:c>
      <x:c r="L1077" s="2" t="str">
        <x:v>Sent</x:v>
      </x:c>
      <x:c r="M1077" s="2" t="n">
        <x:v>1</x:v>
      </x:c>
      <x:c r="N1077" s="2"/>
      <x:c r="O1077" s="2"/>
    </x:row>
    <x:row r="1078" ht="21" customHeight="1">
      <x:c r="A1078" s="2" t="str">
        <x:v>NT001077</x:v>
      </x:c>
      <x:c r="B1078" s="2" t="str">
        <x:v>EV001079</x:v>
      </x:c>
      <x:c r="C1078" s="2" t="str">
        <x:v>T20261006-4-1</x:v>
      </x:c>
      <x:c r="D1078" s="2" t="str">
        <x:v>ST023</x:v>
      </x:c>
      <x:c r="E1078" s="2" t="str">
        <x:v>G023</x:v>
      </x:c>
      <x:c r="F1078" s="2" t="str">
        <x:v>guardian023@example.invalid</x:v>
      </x:c>
      <x:c r="G1078" s="2" t="str">
        <x:v>Email</x:v>
      </x:c>
      <x:c r="H1078" s="2" t="str">
        <x:v>Boarded</x:v>
      </x:c>
      <x:c r="I1078" s="8" t="n">
        <x:v>46301.60423611112</x:v>
      </x:c>
      <x:c r="J1078" s="8" t="n">
        <x:v>46301.604259259264</x:v>
      </x:c>
      <x:c r="K1078" s="8" t="n">
        <x:v>46301.60429398149</x:v>
      </x:c>
      <x:c r="L1078" s="2" t="str">
        <x:v>Sent</x:v>
      </x:c>
      <x:c r="M1078" s="2" t="n">
        <x:v>1</x:v>
      </x:c>
      <x:c r="N1078" s="2"/>
      <x:c r="O1078" s="2"/>
    </x:row>
    <x:row r="1079" ht="21" customHeight="1">
      <x:c r="A1079" s="2" t="str">
        <x:v>NT001078</x:v>
      </x:c>
      <x:c r="B1079" s="2" t="str">
        <x:v>EV001080</x:v>
      </x:c>
      <x:c r="C1079" s="2" t="str">
        <x:v>T20261006-4-1</x:v>
      </x:c>
      <x:c r="D1079" s="2" t="str">
        <x:v>ST023</x:v>
      </x:c>
      <x:c r="E1079" s="2" t="str">
        <x:v>G023</x:v>
      </x:c>
      <x:c r="F1079" s="2" t="str">
        <x:v>guardian023@example.invalid</x:v>
      </x:c>
      <x:c r="G1079" s="2" t="str">
        <x:v>Email</x:v>
      </x:c>
      <x:c r="H1079" s="2" t="str">
        <x:v>Authorized release</x:v>
      </x:c>
      <x:c r="I1079" s="8" t="n">
        <x:v>46301.62298611111</x:v>
      </x:c>
      <x:c r="J1079" s="8" t="n">
        <x:v>46301.62300925926</x:v>
      </x:c>
      <x:c r="K1079" s="8" t="n">
        <x:v>46301.62304398148</x:v>
      </x:c>
      <x:c r="L1079" s="2" t="str">
        <x:v>Sent</x:v>
      </x:c>
      <x:c r="M1079" s="2" t="n">
        <x:v>1</x:v>
      </x:c>
      <x:c r="N1079" s="2"/>
      <x:c r="O1079" s="2"/>
    </x:row>
    <x:row r="1080" ht="21" customHeight="1">
      <x:c r="A1080" s="2" t="str">
        <x:v>NT001079</x:v>
      </x:c>
      <x:c r="B1080" s="2" t="str">
        <x:v>EV001081</x:v>
      </x:c>
      <x:c r="C1080" s="2" t="str">
        <x:v>T20261006-4-1</x:v>
      </x:c>
      <x:c r="D1080" s="2" t="str">
        <x:v>ST024</x:v>
      </x:c>
      <x:c r="E1080" s="2" t="str">
        <x:v>G024</x:v>
      </x:c>
      <x:c r="F1080" s="2" t="str">
        <x:v>guardian024@example.invalid</x:v>
      </x:c>
      <x:c r="G1080" s="2" t="str">
        <x:v>Email</x:v>
      </x:c>
      <x:c r="H1080" s="2" t="str">
        <x:v>Boarded</x:v>
      </x:c>
      <x:c r="I1080" s="8" t="n">
        <x:v>46301.60427083334</x:v>
      </x:c>
      <x:c r="J1080" s="8" t="n">
        <x:v>46301.60429398149</x:v>
      </x:c>
      <x:c r="K1080" s="8" t="n">
        <x:v>46301.60432870371</x:v>
      </x:c>
      <x:c r="L1080" s="2" t="str">
        <x:v>Sent</x:v>
      </x:c>
      <x:c r="M1080" s="2" t="n">
        <x:v>1</x:v>
      </x:c>
      <x:c r="N1080" s="2"/>
      <x:c r="O1080" s="2"/>
    </x:row>
    <x:row r="1081" ht="21" customHeight="1">
      <x:c r="A1081" s="2" t="str">
        <x:v>NT001080</x:v>
      </x:c>
      <x:c r="B1081" s="2" t="str">
        <x:v>EV001082</x:v>
      </x:c>
      <x:c r="C1081" s="2" t="str">
        <x:v>T20261006-4-1</x:v>
      </x:c>
      <x:c r="D1081" s="2" t="str">
        <x:v>ST024</x:v>
      </x:c>
      <x:c r="E1081" s="2" t="str">
        <x:v>G024</x:v>
      </x:c>
      <x:c r="F1081" s="2" t="str">
        <x:v>guardian024@example.invalid</x:v>
      </x:c>
      <x:c r="G1081" s="2" t="str">
        <x:v>Email</x:v>
      </x:c>
      <x:c r="H1081" s="2" t="str">
        <x:v>Authorized release</x:v>
      </x:c>
      <x:c r="I1081" s="8" t="n">
        <x:v>46301.6271875</x:v>
      </x:c>
      <x:c r="J1081" s="8" t="n">
        <x:v>46301.62721064815</x:v>
      </x:c>
      <x:c r="K1081" s="8" t="n">
        <x:v>46301.62724537037</x:v>
      </x:c>
      <x:c r="L1081" s="2" t="str">
        <x:v>Sent</x:v>
      </x:c>
      <x:c r="M1081" s="2" t="n">
        <x:v>1</x:v>
      </x:c>
      <x:c r="N1081" s="2"/>
      <x:c r="O1081" s="2"/>
    </x:row>
    <x:row r="1082" ht="21" customHeight="1">
      <x:c r="A1082" s="2" t="str">
        <x:v>NT001081</x:v>
      </x:c>
      <x:c r="B1082" s="2" t="str">
        <x:v>EV001083</x:v>
      </x:c>
      <x:c r="C1082" s="2" t="str">
        <x:v>T20261006-4-1</x:v>
      </x:c>
      <x:c r="D1082" s="2" t="str">
        <x:v>ST025</x:v>
      </x:c>
      <x:c r="E1082" s="2" t="str">
        <x:v>G025</x:v>
      </x:c>
      <x:c r="F1082" s="2" t="str">
        <x:v>guardian025@example.invalid</x:v>
      </x:c>
      <x:c r="G1082" s="2" t="str">
        <x:v>Email</x:v>
      </x:c>
      <x:c r="H1082" s="2" t="str">
        <x:v>Boarded</x:v>
      </x:c>
      <x:c r="I1082" s="8" t="n">
        <x:v>46301.604305555564</x:v>
      </x:c>
      <x:c r="J1082" s="8" t="n">
        <x:v>46301.60432870371</x:v>
      </x:c>
      <x:c r="K1082" s="8" t="n">
        <x:v>46301.60436342593</x:v>
      </x:c>
      <x:c r="L1082" s="2" t="str">
        <x:v>Sent</x:v>
      </x:c>
      <x:c r="M1082" s="2" t="n">
        <x:v>1</x:v>
      </x:c>
      <x:c r="N1082" s="2"/>
      <x:c r="O1082" s="2"/>
    </x:row>
    <x:row r="1083" ht="21" customHeight="1">
      <x:c r="A1083" s="2" t="str">
        <x:v>NT001082</x:v>
      </x:c>
      <x:c r="B1083" s="2" t="str">
        <x:v>EV001084</x:v>
      </x:c>
      <x:c r="C1083" s="2" t="str">
        <x:v>T20261006-4-1</x:v>
      </x:c>
      <x:c r="D1083" s="2" t="str">
        <x:v>ST025</x:v>
      </x:c>
      <x:c r="E1083" s="2" t="str">
        <x:v>G025</x:v>
      </x:c>
      <x:c r="F1083" s="2" t="str">
        <x:v>guardian025@example.invalid</x:v>
      </x:c>
      <x:c r="G1083" s="2" t="str">
        <x:v>Email</x:v>
      </x:c>
      <x:c r="H1083" s="2" t="str">
        <x:v>Authorized release</x:v>
      </x:c>
      <x:c r="I1083" s="8" t="n">
        <x:v>46301.618888888894</x:v>
      </x:c>
      <x:c r="J1083" s="8" t="n">
        <x:v>46301.61891203704</x:v>
      </x:c>
      <x:c r="K1083" s="8" t="n">
        <x:v>46301.61894675926</x:v>
      </x:c>
      <x:c r="L1083" s="2" t="str">
        <x:v>Sent</x:v>
      </x:c>
      <x:c r="M1083" s="2" t="n">
        <x:v>1</x:v>
      </x:c>
      <x:c r="N1083" s="2"/>
      <x:c r="O1083" s="2"/>
    </x:row>
    <x:row r="1084" ht="21" customHeight="1">
      <x:c r="A1084" s="2" t="str">
        <x:v>NT001083</x:v>
      </x:c>
      <x:c r="B1084" s="2" t="str">
        <x:v>EV001085</x:v>
      </x:c>
      <x:c r="C1084" s="2" t="str">
        <x:v>T20261006-4-1</x:v>
      </x:c>
      <x:c r="D1084" s="2" t="str">
        <x:v>ST026</x:v>
      </x:c>
      <x:c r="E1084" s="2" t="str">
        <x:v>G026</x:v>
      </x:c>
      <x:c r="F1084" s="2" t="str">
        <x:v>guardian026@example.invalid</x:v>
      </x:c>
      <x:c r="G1084" s="2" t="str">
        <x:v>Email</x:v>
      </x:c>
      <x:c r="H1084" s="2" t="str">
        <x:v>Boarded</x:v>
      </x:c>
      <x:c r="I1084" s="8" t="n">
        <x:v>46301.60434027778</x:v>
      </x:c>
      <x:c r="J1084" s="8" t="n">
        <x:v>46301.604363425926</x:v>
      </x:c>
      <x:c r="K1084" s="8" t="n">
        <x:v>46301.60439814815</x:v>
      </x:c>
      <x:c r="L1084" s="2" t="str">
        <x:v>Sent</x:v>
      </x:c>
      <x:c r="M1084" s="2" t="n">
        <x:v>1</x:v>
      </x:c>
      <x:c r="N1084" s="2"/>
      <x:c r="O1084" s="2"/>
    </x:row>
    <x:row r="1085" ht="21" customHeight="1">
      <x:c r="A1085" s="2" t="str">
        <x:v>NT001084</x:v>
      </x:c>
      <x:c r="B1085" s="2" t="str">
        <x:v>EV001086</x:v>
      </x:c>
      <x:c r="C1085" s="2" t="str">
        <x:v>T20261006-4-1</x:v>
      </x:c>
      <x:c r="D1085" s="2" t="str">
        <x:v>ST026</x:v>
      </x:c>
      <x:c r="E1085" s="2" t="str">
        <x:v>G026</x:v>
      </x:c>
      <x:c r="F1085" s="2" t="str">
        <x:v>guardian026@example.invalid</x:v>
      </x:c>
      <x:c r="G1085" s="2" t="str">
        <x:v>Email</x:v>
      </x:c>
      <x:c r="H1085" s="2" t="str">
        <x:v>Authorized release</x:v>
      </x:c>
      <x:c r="I1085" s="8" t="n">
        <x:v>46301.623090277775</x:v>
      </x:c>
      <x:c r="J1085" s="8" t="n">
        <x:v>46301.62311342592</x:v>
      </x:c>
      <x:c r="K1085" s="8" t="n">
        <x:v>46301.623148148145</x:v>
      </x:c>
      <x:c r="L1085" s="2" t="str">
        <x:v>Sent</x:v>
      </x:c>
      <x:c r="M1085" s="2" t="n">
        <x:v>1</x:v>
      </x:c>
      <x:c r="N1085" s="2"/>
      <x:c r="O1085" s="2"/>
    </x:row>
    <x:row r="1086" ht="21" customHeight="1">
      <x:c r="A1086" s="2" t="str">
        <x:v>NT001085</x:v>
      </x:c>
      <x:c r="B1086" s="2" t="str">
        <x:v>EV001087</x:v>
      </x:c>
      <x:c r="C1086" s="2" t="str">
        <x:v>T20261006-4-1</x:v>
      </x:c>
      <x:c r="D1086" s="2" t="str">
        <x:v>ST027</x:v>
      </x:c>
      <x:c r="E1086" s="2" t="str">
        <x:v>G027</x:v>
      </x:c>
      <x:c r="F1086" s="2" t="str">
        <x:v>guardian027@example.invalid</x:v>
      </x:c>
      <x:c r="G1086" s="2" t="str">
        <x:v>Email</x:v>
      </x:c>
      <x:c r="H1086" s="2" t="str">
        <x:v>Boarded</x:v>
      </x:c>
      <x:c r="I1086" s="8" t="n">
        <x:v>46301.604375</x:v>
      </x:c>
      <x:c r="J1086" s="8" t="n">
        <x:v>46301.60439814815</x:v>
      </x:c>
      <x:c r="K1086" s="8" t="n">
        <x:v>46301.60443287037</x:v>
      </x:c>
      <x:c r="L1086" s="2" t="str">
        <x:v>Sent</x:v>
      </x:c>
      <x:c r="M1086" s="2" t="n">
        <x:v>1</x:v>
      </x:c>
      <x:c r="N1086" s="2"/>
      <x:c r="O1086" s="2"/>
    </x:row>
    <x:row r="1087" ht="21" customHeight="1">
      <x:c r="A1087" s="2" t="str">
        <x:v>NT001086</x:v>
      </x:c>
      <x:c r="B1087" s="2" t="str">
        <x:v>EV001088</x:v>
      </x:c>
      <x:c r="C1087" s="2" t="str">
        <x:v>T20261006-4-1</x:v>
      </x:c>
      <x:c r="D1087" s="2" t="str">
        <x:v>ST027</x:v>
      </x:c>
      <x:c r="E1087" s="2" t="str">
        <x:v>G027</x:v>
      </x:c>
      <x:c r="F1087" s="2" t="str">
        <x:v>guardian027@example.invalid</x:v>
      </x:c>
      <x:c r="G1087" s="2" t="str">
        <x:v>Email</x:v>
      </x:c>
      <x:c r="H1087" s="2" t="str">
        <x:v>Authorized release</x:v>
      </x:c>
      <x:c r="I1087" s="8" t="n">
        <x:v>46301.627291666664</x:v>
      </x:c>
      <x:c r="J1087" s="8" t="n">
        <x:v>46301.62731481481</x:v>
      </x:c>
      <x:c r="K1087" s="8" t="n">
        <x:v>46301.62734953703</x:v>
      </x:c>
      <x:c r="L1087" s="2" t="str">
        <x:v>Sent</x:v>
      </x:c>
      <x:c r="M1087" s="2" t="n">
        <x:v>1</x:v>
      </x:c>
      <x:c r="N1087" s="2"/>
      <x:c r="O1087" s="2"/>
    </x:row>
    <x:row r="1088" ht="21" customHeight="1">
      <x:c r="A1088" s="2" t="str">
        <x:v>NT001087</x:v>
      </x:c>
      <x:c r="B1088" s="2" t="str">
        <x:v>EV001089</x:v>
      </x:c>
      <x:c r="C1088" s="2" t="str">
        <x:v>T20261006-4-1</x:v>
      </x:c>
      <x:c r="D1088" s="2" t="str">
        <x:v>ST028</x:v>
      </x:c>
      <x:c r="E1088" s="2" t="str">
        <x:v>G028</x:v>
      </x:c>
      <x:c r="F1088" s="2" t="str">
        <x:v>guardian028@example.invalid</x:v>
      </x:c>
      <x:c r="G1088" s="2" t="str">
        <x:v>Email</x:v>
      </x:c>
      <x:c r="H1088" s="2" t="str">
        <x:v>Boarded</x:v>
      </x:c>
      <x:c r="I1088" s="8" t="n">
        <x:v>46301.604409722226</x:v>
      </x:c>
      <x:c r="J1088" s="8" t="n">
        <x:v>46301.60443287037</x:v>
      </x:c>
      <x:c r="K1088" s="8" t="n">
        <x:v>46301.604467592595</x:v>
      </x:c>
      <x:c r="L1088" s="2" t="str">
        <x:v>Sent</x:v>
      </x:c>
      <x:c r="M1088" s="2" t="n">
        <x:v>1</x:v>
      </x:c>
      <x:c r="N1088" s="2"/>
      <x:c r="O1088" s="2"/>
    </x:row>
    <x:row r="1089" ht="21" customHeight="1">
      <x:c r="A1089" s="2" t="str">
        <x:v>NT001088</x:v>
      </x:c>
      <x:c r="B1089" s="2" t="str">
        <x:v>EV001090</x:v>
      </x:c>
      <x:c r="C1089" s="2" t="str">
        <x:v>T20261006-4-1</x:v>
      </x:c>
      <x:c r="D1089" s="2" t="str">
        <x:v>ST028</x:v>
      </x:c>
      <x:c r="E1089" s="2" t="str">
        <x:v>G028</x:v>
      </x:c>
      <x:c r="F1089" s="2" t="str">
        <x:v>guardian028@example.invalid</x:v>
      </x:c>
      <x:c r="G1089" s="2" t="str">
        <x:v>Email</x:v>
      </x:c>
      <x:c r="H1089" s="2" t="str">
        <x:v>Authorized release</x:v>
      </x:c>
      <x:c r="I1089" s="8" t="n">
        <x:v>46301.618993055556</x:v>
      </x:c>
      <x:c r="J1089" s="8" t="n">
        <x:v>46301.6190162037</x:v>
      </x:c>
      <x:c r="K1089" s="8" t="n">
        <x:v>46301.619050925925</x:v>
      </x:c>
      <x:c r="L1089" s="2" t="str">
        <x:v>Sent</x:v>
      </x:c>
      <x:c r="M1089" s="2" t="n">
        <x:v>1</x:v>
      </x:c>
      <x:c r="N1089" s="2"/>
      <x:c r="O1089" s="2"/>
    </x:row>
    <x:row r="1090" ht="21" customHeight="1">
      <x:c r="A1090" s="2" t="str">
        <x:v>NT001089</x:v>
      </x:c>
      <x:c r="B1090" s="2" t="str">
        <x:v>EV001091</x:v>
      </x:c>
      <x:c r="C1090" s="2" t="str">
        <x:v>T20261006-4-1</x:v>
      </x:c>
      <x:c r="D1090" s="2" t="str">
        <x:v>ST029</x:v>
      </x:c>
      <x:c r="E1090" s="2" t="str">
        <x:v>G029</x:v>
      </x:c>
      <x:c r="F1090" s="2" t="str">
        <x:v>guardian029@example.invalid</x:v>
      </x:c>
      <x:c r="G1090" s="2" t="str">
        <x:v>Email</x:v>
      </x:c>
      <x:c r="H1090" s="2" t="str">
        <x:v>Boarded</x:v>
      </x:c>
      <x:c r="I1090" s="8" t="n">
        <x:v>46301.60444444445</x:v>
      </x:c>
      <x:c r="J1090" s="8" t="n">
        <x:v>46301.604467592595</x:v>
      </x:c>
      <x:c r="K1090" s="8" t="n">
        <x:v>46301.60450231482</x:v>
      </x:c>
      <x:c r="L1090" s="2" t="str">
        <x:v>Sent</x:v>
      </x:c>
      <x:c r="M1090" s="2" t="n">
        <x:v>1</x:v>
      </x:c>
      <x:c r="N1090" s="2"/>
      <x:c r="O1090" s="2"/>
    </x:row>
    <x:row r="1091" ht="21" customHeight="1">
      <x:c r="A1091" s="2" t="str">
        <x:v>NT001090</x:v>
      </x:c>
      <x:c r="B1091" s="2" t="str">
        <x:v>EV001092</x:v>
      </x:c>
      <x:c r="C1091" s="2" t="str">
        <x:v>T20261006-4-1</x:v>
      </x:c>
      <x:c r="D1091" s="2" t="str">
        <x:v>ST029</x:v>
      </x:c>
      <x:c r="E1091" s="2" t="str">
        <x:v>G029</x:v>
      </x:c>
      <x:c r="F1091" s="2" t="str">
        <x:v>guardian029@example.invalid</x:v>
      </x:c>
      <x:c r="G1091" s="2" t="str">
        <x:v>Email</x:v>
      </x:c>
      <x:c r="H1091" s="2" t="str">
        <x:v>Authorized release</x:v>
      </x:c>
      <x:c r="I1091" s="8" t="n">
        <x:v>46301.623194444444</x:v>
      </x:c>
      <x:c r="J1091" s="8" t="n">
        <x:v>46301.62321759259</x:v>
      </x:c>
      <x:c r="K1091" s="8" t="n">
        <x:v>46301.623252314814</x:v>
      </x:c>
      <x:c r="L1091" s="2" t="str">
        <x:v>Sent</x:v>
      </x:c>
      <x:c r="M1091" s="2" t="n">
        <x:v>1</x:v>
      </x:c>
      <x:c r="N1091" s="2"/>
      <x:c r="O1091" s="2"/>
    </x:row>
    <x:row r="1092" ht="21" customHeight="1">
      <x:c r="A1092" s="2" t="str">
        <x:v>NT001091</x:v>
      </x:c>
      <x:c r="B1092" s="2" t="str">
        <x:v>EV001093</x:v>
      </x:c>
      <x:c r="C1092" s="2" t="str">
        <x:v>T20261006-4-1</x:v>
      </x:c>
      <x:c r="D1092" s="2" t="str">
        <x:v>ST030</x:v>
      </x:c>
      <x:c r="E1092" s="2" t="str">
        <x:v>G030</x:v>
      </x:c>
      <x:c r="F1092" s="2" t="str">
        <x:v>guardian030@example.invalid</x:v>
      </x:c>
      <x:c r="G1092" s="2" t="str">
        <x:v>Email</x:v>
      </x:c>
      <x:c r="H1092" s="2" t="str">
        <x:v>Boarded</x:v>
      </x:c>
      <x:c r="I1092" s="8" t="n">
        <x:v>46301.60447916667</x:v>
      </x:c>
      <x:c r="J1092" s="8" t="n">
        <x:v>46301.60450231482</x:v>
      </x:c>
      <x:c r="K1092" s="8" t="n">
        <x:v>46301.60453703704</x:v>
      </x:c>
      <x:c r="L1092" s="2" t="str">
        <x:v>Sent</x:v>
      </x:c>
      <x:c r="M1092" s="2" t="n">
        <x:v>1</x:v>
      </x:c>
      <x:c r="N1092" s="2"/>
      <x:c r="O1092" s="2"/>
    </x:row>
    <x:row r="1093" ht="21" customHeight="1">
      <x:c r="A1093" s="2" t="str">
        <x:v>NT001092</x:v>
      </x:c>
      <x:c r="B1093" s="2" t="str">
        <x:v>EV001094</x:v>
      </x:c>
      <x:c r="C1093" s="2" t="str">
        <x:v>T20261006-4-1</x:v>
      </x:c>
      <x:c r="D1093" s="2" t="str">
        <x:v>ST030</x:v>
      </x:c>
      <x:c r="E1093" s="2" t="str">
        <x:v>G030</x:v>
      </x:c>
      <x:c r="F1093" s="2" t="str">
        <x:v>guardian030@example.invalid</x:v>
      </x:c>
      <x:c r="G1093" s="2" t="str">
        <x:v>Email</x:v>
      </x:c>
      <x:c r="H1093" s="2" t="str">
        <x:v>Authorized release</x:v>
      </x:c>
      <x:c r="I1093" s="8" t="n">
        <x:v>46301.62739583333</x:v>
      </x:c>
      <x:c r="J1093" s="8" t="n">
        <x:v>46301.62741898148</x:v>
      </x:c>
      <x:c r="K1093" s="8" t="n">
        <x:v>46301.6274537037</x:v>
      </x:c>
      <x:c r="L1093" s="2" t="str">
        <x:v>Sent</x:v>
      </x:c>
      <x:c r="M1093" s="2" t="n">
        <x:v>1</x:v>
      </x:c>
      <x:c r="N1093" s="2"/>
      <x:c r="O1093" s="2"/>
    </x:row>
    <x:row r="1094" ht="21" customHeight="1">
      <x:c r="A1094" s="2" t="str">
        <x:v>NT001093</x:v>
      </x:c>
      <x:c r="B1094" s="2" t="str">
        <x:v>EV001095</x:v>
      </x:c>
      <x:c r="C1094" s="2" t="str">
        <x:v>T20261006-5-1</x:v>
      </x:c>
      <x:c r="D1094" s="2" t="str">
        <x:v>ST031</x:v>
      </x:c>
      <x:c r="E1094" s="2" t="str">
        <x:v>G031</x:v>
      </x:c>
      <x:c r="F1094" s="2" t="str">
        <x:v>guardian031@example.invalid</x:v>
      </x:c>
      <x:c r="G1094" s="2" t="str">
        <x:v>Email</x:v>
      </x:c>
      <x:c r="H1094" s="2" t="str">
        <x:v>Boarded</x:v>
      </x:c>
      <x:c r="I1094" s="8" t="n">
        <x:v>46301.70833333333</x:v>
      </x:c>
      <x:c r="J1094" s="8" t="n">
        <x:v>46301.708356481475</x:v>
      </x:c>
      <x:c r="K1094" s="8" t="n">
        <x:v>46301.7083912037</x:v>
      </x:c>
      <x:c r="L1094" s="2" t="str">
        <x:v>Sent</x:v>
      </x:c>
      <x:c r="M1094" s="2" t="n">
        <x:v>1</x:v>
      </x:c>
      <x:c r="N1094" s="2"/>
      <x:c r="O1094" s="2"/>
    </x:row>
    <x:row r="1095" ht="21" customHeight="1">
      <x:c r="A1095" s="2" t="str">
        <x:v>NT001094</x:v>
      </x:c>
      <x:c r="B1095" s="2" t="str">
        <x:v>EV001096</x:v>
      </x:c>
      <x:c r="C1095" s="2" t="str">
        <x:v>T20261006-5-1</x:v>
      </x:c>
      <x:c r="D1095" s="2" t="str">
        <x:v>ST031</x:v>
      </x:c>
      <x:c r="E1095" s="2" t="str">
        <x:v>G031</x:v>
      </x:c>
      <x:c r="F1095" s="2" t="str">
        <x:v>guardian031@example.invalid</x:v>
      </x:c>
      <x:c r="G1095" s="2" t="str">
        <x:v>Email</x:v>
      </x:c>
      <x:c r="H1095" s="2" t="str">
        <x:v>Authorized release</x:v>
      </x:c>
      <x:c r="I1095" s="8" t="n">
        <x:v>46301.72361111111</x:v>
      </x:c>
      <x:c r="J1095" s="8" t="n">
        <x:v>46301.72363425926</x:v>
      </x:c>
      <x:c r="K1095" s="8" t="n">
        <x:v>46301.72366898148</x:v>
      </x:c>
      <x:c r="L1095" s="2" t="str">
        <x:v>Sent</x:v>
      </x:c>
      <x:c r="M1095" s="2" t="n">
        <x:v>1</x:v>
      </x:c>
      <x:c r="N1095" s="2"/>
      <x:c r="O1095" s="2"/>
    </x:row>
    <x:row r="1096" ht="21" customHeight="1">
      <x:c r="A1096" s="2" t="str">
        <x:v>NT001095</x:v>
      </x:c>
      <x:c r="B1096" s="2" t="str">
        <x:v>EV001097</x:v>
      </x:c>
      <x:c r="C1096" s="2" t="str">
        <x:v>T20261006-5-1</x:v>
      </x:c>
      <x:c r="D1096" s="2" t="str">
        <x:v>ST032</x:v>
      </x:c>
      <x:c r="E1096" s="2" t="str">
        <x:v>G032</x:v>
      </x:c>
      <x:c r="F1096" s="2" t="str">
        <x:v>guardian032@example.invalid</x:v>
      </x:c>
      <x:c r="G1096" s="2" t="str">
        <x:v>Email</x:v>
      </x:c>
      <x:c r="H1096" s="2" t="str">
        <x:v>Boarded</x:v>
      </x:c>
      <x:c r="I1096" s="8" t="n">
        <x:v>46301.70836805555</x:v>
      </x:c>
      <x:c r="J1096" s="8" t="n">
        <x:v>46301.7083912037</x:v>
      </x:c>
      <x:c r="K1096" s="8" t="n">
        <x:v>46301.70842592592</x:v>
      </x:c>
      <x:c r="L1096" s="2" t="str">
        <x:v>Sent</x:v>
      </x:c>
      <x:c r="M1096" s="2" t="n">
        <x:v>1</x:v>
      </x:c>
      <x:c r="N1096" s="2"/>
      <x:c r="O1096" s="2"/>
    </x:row>
    <x:row r="1097" ht="21" customHeight="1">
      <x:c r="A1097" s="2" t="str">
        <x:v>NT001096</x:v>
      </x:c>
      <x:c r="B1097" s="2" t="str">
        <x:v>EV001098</x:v>
      </x:c>
      <x:c r="C1097" s="2" t="str">
        <x:v>T20261006-5-1</x:v>
      </x:c>
      <x:c r="D1097" s="2" t="str">
        <x:v>ST032</x:v>
      </x:c>
      <x:c r="E1097" s="2" t="str">
        <x:v>G032</x:v>
      </x:c>
      <x:c r="F1097" s="2" t="str">
        <x:v>guardian032@example.invalid</x:v>
      </x:c>
      <x:c r="G1097" s="2" t="str">
        <x:v>Email</x:v>
      </x:c>
      <x:c r="H1097" s="2" t="str">
        <x:v>Authorized release</x:v>
      </x:c>
      <x:c r="I1097" s="8" t="n">
        <x:v>46301.72850694445</x:v>
      </x:c>
      <x:c r="J1097" s="8" t="n">
        <x:v>46301.728530092594</x:v>
      </x:c>
      <x:c r="K1097" s="8" t="n">
        <x:v>46301.72856481482</x:v>
      </x:c>
      <x:c r="L1097" s="2" t="str">
        <x:v>Sent</x:v>
      </x:c>
      <x:c r="M1097" s="2" t="n">
        <x:v>1</x:v>
      </x:c>
      <x:c r="N1097" s="2"/>
      <x:c r="O1097" s="2"/>
    </x:row>
    <x:row r="1098" ht="21" customHeight="1">
      <x:c r="A1098" s="2" t="str">
        <x:v>NT001097</x:v>
      </x:c>
      <x:c r="B1098" s="2" t="str">
        <x:v>EV001099</x:v>
      </x:c>
      <x:c r="C1098" s="2" t="str">
        <x:v>T20261006-5-1</x:v>
      </x:c>
      <x:c r="D1098" s="2" t="str">
        <x:v>ST033</x:v>
      </x:c>
      <x:c r="E1098" s="2" t="str">
        <x:v>G033</x:v>
      </x:c>
      <x:c r="F1098" s="2" t="str">
        <x:v>guardian033@example.invalid</x:v>
      </x:c>
      <x:c r="G1098" s="2" t="str">
        <x:v>Email</x:v>
      </x:c>
      <x:c r="H1098" s="2" t="str">
        <x:v>Boarded</x:v>
      </x:c>
      <x:c r="I1098" s="8" t="n">
        <x:v>46301.708402777775</x:v>
      </x:c>
      <x:c r="J1098" s="8" t="n">
        <x:v>46301.70842592592</x:v>
      </x:c>
      <x:c r="K1098" s="8" t="n">
        <x:v>46301.708460648144</x:v>
      </x:c>
      <x:c r="L1098" s="2" t="str">
        <x:v>Sent</x:v>
      </x:c>
      <x:c r="M1098" s="2" t="n">
        <x:v>1</x:v>
      </x:c>
      <x:c r="N1098" s="2"/>
      <x:c r="O1098" s="2"/>
    </x:row>
    <x:row r="1099" ht="21" customHeight="1">
      <x:c r="A1099" s="2" t="str">
        <x:v>NT001098</x:v>
      </x:c>
      <x:c r="B1099" s="2" t="str">
        <x:v>EV001100</x:v>
      </x:c>
      <x:c r="C1099" s="2" t="str">
        <x:v>T20261006-5-1</x:v>
      </x:c>
      <x:c r="D1099" s="2" t="str">
        <x:v>ST033</x:v>
      </x:c>
      <x:c r="E1099" s="2" t="str">
        <x:v>G033</x:v>
      </x:c>
      <x:c r="F1099" s="2" t="str">
        <x:v>guardian033@example.invalid</x:v>
      </x:c>
      <x:c r="G1099" s="2" t="str">
        <x:v>Email</x:v>
      </x:c>
      <x:c r="H1099" s="2" t="str">
        <x:v>Authorized release</x:v>
      </x:c>
      <x:c r="I1099" s="8" t="n">
        <x:v>46301.73340277778</x:v>
      </x:c>
      <x:c r="J1099" s="8" t="n">
        <x:v>46301.73342592593</x:v>
      </x:c>
      <x:c r="K1099" s="8" t="n">
        <x:v>46301.73346064815</x:v>
      </x:c>
      <x:c r="L1099" s="2" t="str">
        <x:v>Sent</x:v>
      </x:c>
      <x:c r="M1099" s="2" t="n">
        <x:v>1</x:v>
      </x:c>
      <x:c r="N1099" s="2"/>
      <x:c r="O1099" s="2"/>
    </x:row>
    <x:row r="1100" ht="21" customHeight="1">
      <x:c r="A1100" s="2" t="str">
        <x:v>NT001099</x:v>
      </x:c>
      <x:c r="B1100" s="2" t="str">
        <x:v>EV001101</x:v>
      </x:c>
      <x:c r="C1100" s="2" t="str">
        <x:v>T20261006-5-1</x:v>
      </x:c>
      <x:c r="D1100" s="2" t="str">
        <x:v>ST034</x:v>
      </x:c>
      <x:c r="E1100" s="2" t="str">
        <x:v>G034</x:v>
      </x:c>
      <x:c r="F1100" s="2" t="str">
        <x:v>guardian034@example.invalid</x:v>
      </x:c>
      <x:c r="G1100" s="2" t="str">
        <x:v>Email</x:v>
      </x:c>
      <x:c r="H1100" s="2" t="str">
        <x:v>Boarded</x:v>
      </x:c>
      <x:c r="I1100" s="8" t="n">
        <x:v>46301.7084375</x:v>
      </x:c>
      <x:c r="J1100" s="8" t="n">
        <x:v>46301.708460648144</x:v>
      </x:c>
      <x:c r="K1100" s="8" t="n">
        <x:v>46301.70849537037</x:v>
      </x:c>
      <x:c r="L1100" s="2" t="str">
        <x:v>Sent</x:v>
      </x:c>
      <x:c r="M1100" s="2" t="n">
        <x:v>1</x:v>
      </x:c>
      <x:c r="N1100" s="2"/>
      <x:c r="O1100" s="2"/>
    </x:row>
    <x:row r="1101" ht="21" customHeight="1">
      <x:c r="A1101" s="2" t="str">
        <x:v>NT001100</x:v>
      </x:c>
      <x:c r="B1101" s="2" t="str">
        <x:v>EV001102</x:v>
      </x:c>
      <x:c r="C1101" s="2" t="str">
        <x:v>T20261006-5-1</x:v>
      </x:c>
      <x:c r="D1101" s="2" t="str">
        <x:v>ST034</x:v>
      </x:c>
      <x:c r="E1101" s="2" t="str">
        <x:v>G034</x:v>
      </x:c>
      <x:c r="F1101" s="2" t="str">
        <x:v>guardian034@example.invalid</x:v>
      </x:c>
      <x:c r="G1101" s="2" t="str">
        <x:v>Email</x:v>
      </x:c>
      <x:c r="H1101" s="2" t="str">
        <x:v>Authorized release</x:v>
      </x:c>
      <x:c r="I1101" s="8" t="n">
        <x:v>46301.72371527778</x:v>
      </x:c>
      <x:c r="J1101" s="8" t="n">
        <x:v>46301.72373842593</x:v>
      </x:c>
      <x:c r="K1101" s="8" t="n">
        <x:v>46301.72377314815</x:v>
      </x:c>
      <x:c r="L1101" s="2" t="str">
        <x:v>Sent</x:v>
      </x:c>
      <x:c r="M1101" s="2" t="n">
        <x:v>1</x:v>
      </x:c>
      <x:c r="N1101" s="2"/>
      <x:c r="O1101" s="2"/>
    </x:row>
    <x:row r="1102" ht="21" customHeight="1">
      <x:c r="A1102" s="2" t="str">
        <x:v>NT001101</x:v>
      </x:c>
      <x:c r="B1102" s="2" t="str">
        <x:v>EV001103</x:v>
      </x:c>
      <x:c r="C1102" s="2" t="str">
        <x:v>T20261006-5-1</x:v>
      </x:c>
      <x:c r="D1102" s="2" t="str">
        <x:v>ST035</x:v>
      </x:c>
      <x:c r="E1102" s="2" t="str">
        <x:v>G035</x:v>
      </x:c>
      <x:c r="F1102" s="2" t="str">
        <x:v>guardian035@example.invalid</x:v>
      </x:c>
      <x:c r="G1102" s="2" t="str">
        <x:v>Email</x:v>
      </x:c>
      <x:c r="H1102" s="2" t="str">
        <x:v>Boarded</x:v>
      </x:c>
      <x:c r="I1102" s="8" t="n">
        <x:v>46301.70847222222</x:v>
      </x:c>
      <x:c r="J1102" s="8" t="n">
        <x:v>46301.70849537037</x:v>
      </x:c>
      <x:c r="K1102" s="8" t="n">
        <x:v>46301.70853009259</x:v>
      </x:c>
      <x:c r="L1102" s="2" t="str">
        <x:v>Sent</x:v>
      </x:c>
      <x:c r="M1102" s="2" t="n">
        <x:v>1</x:v>
      </x:c>
      <x:c r="N1102" s="2"/>
      <x:c r="O1102" s="2"/>
    </x:row>
    <x:row r="1103" ht="21" customHeight="1">
      <x:c r="A1103" s="2" t="str">
        <x:v>NT001102</x:v>
      </x:c>
      <x:c r="B1103" s="2" t="str">
        <x:v>EV001104</x:v>
      </x:c>
      <x:c r="C1103" s="2" t="str">
        <x:v>T20261006-5-1</x:v>
      </x:c>
      <x:c r="D1103" s="2" t="str">
        <x:v>ST035</x:v>
      </x:c>
      <x:c r="E1103" s="2" t="str">
        <x:v>G035</x:v>
      </x:c>
      <x:c r="F1103" s="2" t="str">
        <x:v>guardian035@example.invalid</x:v>
      </x:c>
      <x:c r="G1103" s="2" t="str">
        <x:v>Email</x:v>
      </x:c>
      <x:c r="H1103" s="2" t="str">
        <x:v>Authorized release</x:v>
      </x:c>
      <x:c r="I1103" s="8" t="n">
        <x:v>46301.72861111112</x:v>
      </x:c>
      <x:c r="J1103" s="8" t="n">
        <x:v>46301.72863425926</x:v>
      </x:c>
      <x:c r="K1103" s="8" t="n">
        <x:v>46301.72866898149</x:v>
      </x:c>
      <x:c r="L1103" s="2" t="str">
        <x:v>Sent</x:v>
      </x:c>
      <x:c r="M1103" s="2" t="n">
        <x:v>1</x:v>
      </x:c>
      <x:c r="N1103" s="2"/>
      <x:c r="O1103" s="2"/>
    </x:row>
    <x:row r="1104" ht="21" customHeight="1">
      <x:c r="A1104" s="2" t="str">
        <x:v>NT001103</x:v>
      </x:c>
      <x:c r="B1104" s="2" t="str">
        <x:v>EV001105</x:v>
      </x:c>
      <x:c r="C1104" s="2" t="str">
        <x:v>T20261006-5-1</x:v>
      </x:c>
      <x:c r="D1104" s="2" t="str">
        <x:v>ST036</x:v>
      </x:c>
      <x:c r="E1104" s="2" t="str">
        <x:v>G036</x:v>
      </x:c>
      <x:c r="F1104" s="2" t="str">
        <x:v>guardian036@example.invalid</x:v>
      </x:c>
      <x:c r="G1104" s="2" t="str">
        <x:v>Email</x:v>
      </x:c>
      <x:c r="H1104" s="2" t="str">
        <x:v>Boarded</x:v>
      </x:c>
      <x:c r="I1104" s="8" t="n">
        <x:v>46301.70850694444</x:v>
      </x:c>
      <x:c r="J1104" s="8" t="n">
        <x:v>46301.70853009258</x:v>
      </x:c>
      <x:c r="K1104" s="8" t="n">
        <x:v>46301.708564814806</x:v>
      </x:c>
      <x:c r="L1104" s="2" t="str">
        <x:v>Sent</x:v>
      </x:c>
      <x:c r="M1104" s="2" t="n">
        <x:v>1</x:v>
      </x:c>
      <x:c r="N1104" s="2"/>
      <x:c r="O1104" s="2"/>
    </x:row>
    <x:row r="1105" ht="21" customHeight="1">
      <x:c r="A1105" s="2" t="str">
        <x:v>NT001104</x:v>
      </x:c>
      <x:c r="B1105" s="2" t="str">
        <x:v>EV001106</x:v>
      </x:c>
      <x:c r="C1105" s="2" t="str">
        <x:v>T20261006-5-1</x:v>
      </x:c>
      <x:c r="D1105" s="2" t="str">
        <x:v>ST036</x:v>
      </x:c>
      <x:c r="E1105" s="2" t="str">
        <x:v>G036</x:v>
      </x:c>
      <x:c r="F1105" s="2" t="str">
        <x:v>guardian036@example.invalid</x:v>
      </x:c>
      <x:c r="G1105" s="2" t="str">
        <x:v>Email</x:v>
      </x:c>
      <x:c r="H1105" s="2" t="str">
        <x:v>Authorized release</x:v>
      </x:c>
      <x:c r="I1105" s="8" t="n">
        <x:v>46301.733506944445</x:v>
      </x:c>
      <x:c r="J1105" s="8" t="n">
        <x:v>46301.73353009259</x:v>
      </x:c>
      <x:c r="K1105" s="8" t="n">
        <x:v>46301.733564814815</x:v>
      </x:c>
      <x:c r="L1105" s="2" t="str">
        <x:v>Sent</x:v>
      </x:c>
      <x:c r="M1105" s="2" t="n">
        <x:v>1</x:v>
      </x:c>
      <x:c r="N1105" s="2"/>
      <x:c r="O1105" s="2"/>
    </x:row>
    <x:row r="1106" ht="21" customHeight="1">
      <x:c r="A1106" s="2" t="str">
        <x:v>NT001105</x:v>
      </x:c>
      <x:c r="B1106" s="2" t="str">
        <x:v>EV001107</x:v>
      </x:c>
      <x:c r="C1106" s="2" t="str">
        <x:v>T20261006-5-1</x:v>
      </x:c>
      <x:c r="D1106" s="2" t="str">
        <x:v>ST037</x:v>
      </x:c>
      <x:c r="E1106" s="2" t="str">
        <x:v>G037</x:v>
      </x:c>
      <x:c r="F1106" s="2" t="str">
        <x:v>guardian037@example.invalid</x:v>
      </x:c>
      <x:c r="G1106" s="2" t="str">
        <x:v>Email</x:v>
      </x:c>
      <x:c r="H1106" s="2" t="str">
        <x:v>Boarded</x:v>
      </x:c>
      <x:c r="I1106" s="8" t="n">
        <x:v>46301.70854166666</x:v>
      </x:c>
      <x:c r="J1106" s="8" t="n">
        <x:v>46301.708564814806</x:v>
      </x:c>
      <x:c r="K1106" s="8" t="n">
        <x:v>46301.70859953703</x:v>
      </x:c>
      <x:c r="L1106" s="2" t="str">
        <x:v>Sent</x:v>
      </x:c>
      <x:c r="M1106" s="2" t="n">
        <x:v>1</x:v>
      </x:c>
      <x:c r="N1106" s="2"/>
      <x:c r="O1106" s="2"/>
    </x:row>
    <x:row r="1107" ht="21" customHeight="1">
      <x:c r="A1107" s="2" t="str">
        <x:v>NT001106</x:v>
      </x:c>
      <x:c r="B1107" s="2" t="str">
        <x:v>EV001108</x:v>
      </x:c>
      <x:c r="C1107" s="2" t="str">
        <x:v>T20261006-5-1</x:v>
      </x:c>
      <x:c r="D1107" s="2" t="str">
        <x:v>ST037</x:v>
      </x:c>
      <x:c r="E1107" s="2" t="str">
        <x:v>G037</x:v>
      </x:c>
      <x:c r="F1107" s="2" t="str">
        <x:v>guardian037@example.invalid</x:v>
      </x:c>
      <x:c r="G1107" s="2" t="str">
        <x:v>Email</x:v>
      </x:c>
      <x:c r="H1107" s="2" t="str">
        <x:v>Authorized release</x:v>
      </x:c>
      <x:c r="I1107" s="8" t="n">
        <x:v>46301.72381944444</x:v>
      </x:c>
      <x:c r="J1107" s="8" t="n">
        <x:v>46301.72384259259</x:v>
      </x:c>
      <x:c r="K1107" s="8" t="n">
        <x:v>46301.72387731481</x:v>
      </x:c>
      <x:c r="L1107" s="2" t="str">
        <x:v>Sent</x:v>
      </x:c>
      <x:c r="M1107" s="2" t="n">
        <x:v>1</x:v>
      </x:c>
      <x:c r="N1107" s="2"/>
      <x:c r="O1107" s="2"/>
    </x:row>
    <x:row r="1108" ht="21" customHeight="1">
      <x:c r="A1108" s="2" t="str">
        <x:v>NT001107</x:v>
      </x:c>
      <x:c r="B1108" s="2" t="str">
        <x:v>EV001109</x:v>
      </x:c>
      <x:c r="C1108" s="2" t="str">
        <x:v>T20261006-5-1</x:v>
      </x:c>
      <x:c r="D1108" s="2" t="str">
        <x:v>ST038</x:v>
      </x:c>
      <x:c r="E1108" s="2" t="str">
        <x:v>G038</x:v>
      </x:c>
      <x:c r="F1108" s="2" t="str">
        <x:v>guardian038@example.invalid</x:v>
      </x:c>
      <x:c r="G1108" s="2" t="str">
        <x:v>Email</x:v>
      </x:c>
      <x:c r="H1108" s="2" t="str">
        <x:v>Boarded</x:v>
      </x:c>
      <x:c r="I1108" s="8" t="n">
        <x:v>46301.70857638888</x:v>
      </x:c>
      <x:c r="J1108" s="8" t="n">
        <x:v>46301.70859953703</x:v>
      </x:c>
      <x:c r="K1108" s="8" t="n">
        <x:v>46301.70863425925</x:v>
      </x:c>
      <x:c r="L1108" s="2" t="str">
        <x:v>Sent</x:v>
      </x:c>
      <x:c r="M1108" s="2" t="n">
        <x:v>1</x:v>
      </x:c>
      <x:c r="N1108" s="2"/>
      <x:c r="O1108" s="2"/>
    </x:row>
    <x:row r="1109" ht="21" customHeight="1">
      <x:c r="A1109" s="2" t="str">
        <x:v>NT001108</x:v>
      </x:c>
      <x:c r="B1109" s="2" t="str">
        <x:v>EV001110</x:v>
      </x:c>
      <x:c r="C1109" s="2" t="str">
        <x:v>T20261006-5-1</x:v>
      </x:c>
      <x:c r="D1109" s="2" t="str">
        <x:v>ST038</x:v>
      </x:c>
      <x:c r="E1109" s="2" t="str">
        <x:v>G038</x:v>
      </x:c>
      <x:c r="F1109" s="2" t="str">
        <x:v>guardian038@example.invalid</x:v>
      </x:c>
      <x:c r="G1109" s="2" t="str">
        <x:v>Email</x:v>
      </x:c>
      <x:c r="H1109" s="2" t="str">
        <x:v>Authorized release</x:v>
      </x:c>
      <x:c r="I1109" s="8" t="n">
        <x:v>46301.72871527778</x:v>
      </x:c>
      <x:c r="J1109" s="8" t="n">
        <x:v>46301.728738425925</x:v>
      </x:c>
      <x:c r="K1109" s="8" t="n">
        <x:v>46301.72877314815</x:v>
      </x:c>
      <x:c r="L1109" s="2" t="str">
        <x:v>Sent</x:v>
      </x:c>
      <x:c r="M1109" s="2" t="n">
        <x:v>1</x:v>
      </x:c>
      <x:c r="N1109" s="2"/>
      <x:c r="O1109" s="2"/>
    </x:row>
    <x:row r="1110" ht="21" customHeight="1">
      <x:c r="A1110" s="2" t="str">
        <x:v>NT001109</x:v>
      </x:c>
      <x:c r="B1110" s="2" t="str">
        <x:v>EV001111</x:v>
      </x:c>
      <x:c r="C1110" s="2" t="str">
        <x:v>T20261006-5-1</x:v>
      </x:c>
      <x:c r="D1110" s="2" t="str">
        <x:v>ST039</x:v>
      </x:c>
      <x:c r="E1110" s="2" t="str">
        <x:v>G039</x:v>
      </x:c>
      <x:c r="F1110" s="2" t="str">
        <x:v>guardian039@example.invalid</x:v>
      </x:c>
      <x:c r="G1110" s="2" t="str">
        <x:v>Email</x:v>
      </x:c>
      <x:c r="H1110" s="2" t="str">
        <x:v>Boarded</x:v>
      </x:c>
      <x:c r="I1110" s="8" t="n">
        <x:v>46301.708611111106</x:v>
      </x:c>
      <x:c r="J1110" s="8" t="n">
        <x:v>46301.70863425925</x:v>
      </x:c>
      <x:c r="K1110" s="8" t="n">
        <x:v>46301.708668981475</x:v>
      </x:c>
      <x:c r="L1110" s="2" t="str">
        <x:v>Sent</x:v>
      </x:c>
      <x:c r="M1110" s="2" t="n">
        <x:v>1</x:v>
      </x:c>
      <x:c r="N1110" s="2"/>
      <x:c r="O1110" s="2"/>
    </x:row>
    <x:row r="1111" ht="21" customHeight="1">
      <x:c r="A1111" s="2" t="str">
        <x:v>NT001110</x:v>
      </x:c>
      <x:c r="B1111" s="2" t="str">
        <x:v>EV001112</x:v>
      </x:c>
      <x:c r="C1111" s="2" t="str">
        <x:v>T20261006-5-1</x:v>
      </x:c>
      <x:c r="D1111" s="2" t="str">
        <x:v>ST039</x:v>
      </x:c>
      <x:c r="E1111" s="2" t="str">
        <x:v>G039</x:v>
      </x:c>
      <x:c r="F1111" s="2" t="str">
        <x:v>guardian039@example.invalid</x:v>
      </x:c>
      <x:c r="G1111" s="2" t="str">
        <x:v>Email</x:v>
      </x:c>
      <x:c r="H1111" s="2" t="str">
        <x:v>Authorized release</x:v>
      </x:c>
      <x:c r="I1111" s="8" t="n">
        <x:v>46301.733611111114</x:v>
      </x:c>
      <x:c r="J1111" s="8" t="n">
        <x:v>46301.73363425926</x:v>
      </x:c>
      <x:c r="K1111" s="8" t="n">
        <x:v>46301.733668981484</x:v>
      </x:c>
      <x:c r="L1111" s="2" t="str">
        <x:v>Sent</x:v>
      </x:c>
      <x:c r="M1111" s="2" t="n">
        <x:v>1</x:v>
      </x:c>
      <x:c r="N1111" s="2"/>
      <x:c r="O1111" s="2"/>
    </x:row>
    <x:row r="1112" ht="21" customHeight="1">
      <x:c r="A1112" s="2" t="str">
        <x:v>NT001111</x:v>
      </x:c>
      <x:c r="B1112" s="2" t="str">
        <x:v>EV001113</x:v>
      </x:c>
      <x:c r="C1112" s="2" t="str">
        <x:v>T20261006-5-1</x:v>
      </x:c>
      <x:c r="D1112" s="2" t="str">
        <x:v>ST040</x:v>
      </x:c>
      <x:c r="E1112" s="2" t="str">
        <x:v>G040</x:v>
      </x:c>
      <x:c r="F1112" s="2" t="str">
        <x:v>guardian040@example.invalid</x:v>
      </x:c>
      <x:c r="G1112" s="2" t="str">
        <x:v>Email</x:v>
      </x:c>
      <x:c r="H1112" s="2" t="str">
        <x:v>Boarded</x:v>
      </x:c>
      <x:c r="I1112" s="8" t="n">
        <x:v>46301.70864583333</x:v>
      </x:c>
      <x:c r="J1112" s="8" t="n">
        <x:v>46301.708668981475</x:v>
      </x:c>
      <x:c r="K1112" s="8" t="n">
        <x:v>46301.7087037037</x:v>
      </x:c>
      <x:c r="L1112" s="2" t="str">
        <x:v>Sent</x:v>
      </x:c>
      <x:c r="M1112" s="2" t="n">
        <x:v>1</x:v>
      </x:c>
      <x:c r="N1112" s="2"/>
      <x:c r="O1112" s="2"/>
    </x:row>
    <x:row r="1113" ht="21" customHeight="1">
      <x:c r="A1113" s="2" t="str">
        <x:v>NT001112</x:v>
      </x:c>
      <x:c r="B1113" s="2" t="str">
        <x:v>EV001114</x:v>
      </x:c>
      <x:c r="C1113" s="2" t="str">
        <x:v>T20261006-5-1</x:v>
      </x:c>
      <x:c r="D1113" s="2" t="str">
        <x:v>ST040</x:v>
      </x:c>
      <x:c r="E1113" s="2" t="str">
        <x:v>G040</x:v>
      </x:c>
      <x:c r="F1113" s="2" t="str">
        <x:v>guardian040@example.invalid</x:v>
      </x:c>
      <x:c r="G1113" s="2" t="str">
        <x:v>Email</x:v>
      </x:c>
      <x:c r="H1113" s="2" t="str">
        <x:v>Authorized release</x:v>
      </x:c>
      <x:c r="I1113" s="8" t="n">
        <x:v>46301.72392361111</x:v>
      </x:c>
      <x:c r="J1113" s="8" t="n">
        <x:v>46301.72394675926</x:v>
      </x:c>
      <x:c r="K1113" s="8" t="n">
        <x:v>46301.72398148148</x:v>
      </x:c>
      <x:c r="L1113" s="2" t="str">
        <x:v>Sent</x:v>
      </x:c>
      <x:c r="M1113" s="2" t="n">
        <x:v>1</x:v>
      </x:c>
      <x:c r="N1113" s="2"/>
      <x:c r="O1113" s="2"/>
    </x:row>
    <x:row r="1114" ht="21" customHeight="1">
      <x:c r="A1114" s="2" t="str">
        <x:v>NT001113</x:v>
      </x:c>
      <x:c r="B1114" s="2" t="str">
        <x:v>EV001115</x:v>
      </x:c>
      <x:c r="C1114" s="2" t="str">
        <x:v>T20261006-1-2</x:v>
      </x:c>
      <x:c r="D1114" s="2" t="str">
        <x:v>ST041</x:v>
      </x:c>
      <x:c r="E1114" s="2" t="str">
        <x:v>G041</x:v>
      </x:c>
      <x:c r="F1114" s="2" t="str">
        <x:v>guardian041@example.invalid</x:v>
      </x:c>
      <x:c r="G1114" s="2" t="str">
        <x:v>Email</x:v>
      </x:c>
      <x:c r="H1114" s="2" t="str">
        <x:v>Boarded</x:v>
      </x:c>
      <x:c r="I1114" s="8" t="n">
        <x:v>46301.242361111115</x:v>
      </x:c>
      <x:c r="J1114" s="8" t="n">
        <x:v>46301.24238425926</x:v>
      </x:c>
      <x:c r="K1114" s="8" t="n">
        <x:v>46301.242418981485</x:v>
      </x:c>
      <x:c r="L1114" s="2" t="str">
        <x:v>Sent</x:v>
      </x:c>
      <x:c r="M1114" s="2" t="n">
        <x:v>1</x:v>
      </x:c>
      <x:c r="N1114" s="2"/>
      <x:c r="O1114" s="2"/>
    </x:row>
    <x:row r="1115" ht="21" customHeight="1">
      <x:c r="A1115" s="2" t="str">
        <x:v>NT001114</x:v>
      </x:c>
      <x:c r="B1115" s="2" t="str">
        <x:v>EV001116</x:v>
      </x:c>
      <x:c r="C1115" s="2" t="str">
        <x:v>T20261006-1-2</x:v>
      </x:c>
      <x:c r="D1115" s="2" t="str">
        <x:v>ST041</x:v>
      </x:c>
      <x:c r="E1115" s="2" t="str">
        <x:v>G041</x:v>
      </x:c>
      <x:c r="F1115" s="2" t="str">
        <x:v>guardian041@example.invalid</x:v>
      </x:c>
      <x:c r="G1115" s="2" t="str">
        <x:v>Email</x:v>
      </x:c>
      <x:c r="H1115" s="2" t="str">
        <x:v>School receipt</x:v>
      </x:c>
      <x:c r="I1115" s="8" t="n">
        <x:v>46301.27638888889</x:v>
      </x:c>
      <x:c r="J1115" s="8" t="n">
        <x:v>46301.276412037034</x:v>
      </x:c>
      <x:c r="K1115" s="8" t="n">
        <x:v>46301.27644675926</x:v>
      </x:c>
      <x:c r="L1115" s="2" t="str">
        <x:v>Sent</x:v>
      </x:c>
      <x:c r="M1115" s="2" t="n">
        <x:v>1</x:v>
      </x:c>
      <x:c r="N1115" s="2"/>
      <x:c r="O1115" s="2"/>
    </x:row>
    <x:row r="1116" ht="21" customHeight="1">
      <x:c r="A1116" s="2" t="str">
        <x:v>NT001115</x:v>
      </x:c>
      <x:c r="B1116" s="2" t="str">
        <x:v>EV001117</x:v>
      </x:c>
      <x:c r="C1116" s="2" t="str">
        <x:v>T20261006-1-2</x:v>
      </x:c>
      <x:c r="D1116" s="2" t="str">
        <x:v>ST042</x:v>
      </x:c>
      <x:c r="E1116" s="2" t="str">
        <x:v>G042</x:v>
      </x:c>
      <x:c r="F1116" s="2" t="str">
        <x:v>guardian042@example.invalid</x:v>
      </x:c>
      <x:c r="G1116" s="2" t="str">
        <x:v>Email</x:v>
      </x:c>
      <x:c r="H1116" s="2" t="str">
        <x:v>Boarded</x:v>
      </x:c>
      <x:c r="I1116" s="8" t="n">
        <x:v>46301.24725694444</x:v>
      </x:c>
      <x:c r="J1116" s="8" t="n">
        <x:v>46301.24728009259</x:v>
      </x:c>
      <x:c r="K1116" s="8" t="n">
        <x:v>46301.24731481481</x:v>
      </x:c>
      <x:c r="L1116" s="2" t="str">
        <x:v>Sent</x:v>
      </x:c>
      <x:c r="M1116" s="2" t="n">
        <x:v>1</x:v>
      </x:c>
      <x:c r="N1116" s="2"/>
      <x:c r="O1116" s="2"/>
    </x:row>
    <x:row r="1117" ht="21" customHeight="1">
      <x:c r="A1117" s="2" t="str">
        <x:v>NT001116</x:v>
      </x:c>
      <x:c r="B1117" s="2" t="str">
        <x:v>EV001118</x:v>
      </x:c>
      <x:c r="C1117" s="2" t="str">
        <x:v>T20261006-1-2</x:v>
      </x:c>
      <x:c r="D1117" s="2" t="str">
        <x:v>ST042</x:v>
      </x:c>
      <x:c r="E1117" s="2" t="str">
        <x:v>G042</x:v>
      </x:c>
      <x:c r="F1117" s="2" t="str">
        <x:v>guardian042@example.invalid</x:v>
      </x:c>
      <x:c r="G1117" s="2" t="str">
        <x:v>Email</x:v>
      </x:c>
      <x:c r="H1117" s="2" t="str">
        <x:v>School receipt</x:v>
      </x:c>
      <x:c r="I1117" s="8" t="n">
        <x:v>46301.27642361111</x:v>
      </x:c>
      <x:c r="J1117" s="8" t="n">
        <x:v>46301.27644675926</x:v>
      </x:c>
      <x:c r="K1117" s="8" t="n">
        <x:v>46301.27648148148</x:v>
      </x:c>
      <x:c r="L1117" s="2" t="str">
        <x:v>Sent</x:v>
      </x:c>
      <x:c r="M1117" s="2" t="n">
        <x:v>1</x:v>
      </x:c>
      <x:c r="N1117" s="2"/>
      <x:c r="O1117" s="2"/>
    </x:row>
    <x:row r="1118" ht="21" customHeight="1">
      <x:c r="A1118" s="2" t="str">
        <x:v>NT001117</x:v>
      </x:c>
      <x:c r="B1118" s="2" t="str">
        <x:v>EV001119</x:v>
      </x:c>
      <x:c r="C1118" s="2" t="str">
        <x:v>T20261006-1-2</x:v>
      </x:c>
      <x:c r="D1118" s="2" t="str">
        <x:v>ST043</x:v>
      </x:c>
      <x:c r="E1118" s="2" t="str">
        <x:v>G043</x:v>
      </x:c>
      <x:c r="F1118" s="2" t="str">
        <x:v>guardian043@example.invalid</x:v>
      </x:c>
      <x:c r="G1118" s="2" t="str">
        <x:v>Email</x:v>
      </x:c>
      <x:c r="H1118" s="2" t="str">
        <x:v>Boarded</x:v>
      </x:c>
      <x:c r="I1118" s="8" t="n">
        <x:v>46301.25215277778</x:v>
      </x:c>
      <x:c r="J1118" s="8" t="n">
        <x:v>46301.252175925925</x:v>
      </x:c>
      <x:c r="K1118" s="8" t="n">
        <x:v>46301.25221064815</x:v>
      </x:c>
      <x:c r="L1118" s="2" t="str">
        <x:v>Sent</x:v>
      </x:c>
      <x:c r="M1118" s="2" t="n">
        <x:v>1</x:v>
      </x:c>
      <x:c r="N1118" s="2"/>
      <x:c r="O1118" s="2"/>
    </x:row>
    <x:row r="1119" ht="21" customHeight="1">
      <x:c r="A1119" s="2" t="str">
        <x:v>NT001118</x:v>
      </x:c>
      <x:c r="B1119" s="2" t="str">
        <x:v>EV001120</x:v>
      </x:c>
      <x:c r="C1119" s="2" t="str">
        <x:v>T20261006-1-2</x:v>
      </x:c>
      <x:c r="D1119" s="2" t="str">
        <x:v>ST043</x:v>
      </x:c>
      <x:c r="E1119" s="2" t="str">
        <x:v>G043</x:v>
      </x:c>
      <x:c r="F1119" s="2" t="str">
        <x:v>guardian043@example.invalid</x:v>
      </x:c>
      <x:c r="G1119" s="2" t="str">
        <x:v>Email</x:v>
      </x:c>
      <x:c r="H1119" s="2" t="str">
        <x:v>School receipt</x:v>
      </x:c>
      <x:c r="I1119" s="8" t="n">
        <x:v>46301.276458333334</x:v>
      </x:c>
      <x:c r="J1119" s="8" t="n">
        <x:v>46301.27648148148</x:v>
      </x:c>
      <x:c r="K1119" s="8" t="n">
        <x:v>46301.2765162037</x:v>
      </x:c>
      <x:c r="L1119" s="2" t="str">
        <x:v>Sent</x:v>
      </x:c>
      <x:c r="M1119" s="2" t="n">
        <x:v>1</x:v>
      </x:c>
      <x:c r="N1119" s="2"/>
      <x:c r="O1119" s="2"/>
    </x:row>
    <x:row r="1120" ht="21" customHeight="1">
      <x:c r="A1120" s="2" t="str">
        <x:v>NT001119</x:v>
      </x:c>
      <x:c r="B1120" s="2" t="str">
        <x:v>EV001121</x:v>
      </x:c>
      <x:c r="C1120" s="2" t="str">
        <x:v>T20261006-1-2</x:v>
      </x:c>
      <x:c r="D1120" s="2" t="str">
        <x:v>ST044</x:v>
      </x:c>
      <x:c r="E1120" s="2" t="str">
        <x:v>G044</x:v>
      </x:c>
      <x:c r="F1120" s="2" t="str">
        <x:v>guardian044@example.invalid</x:v>
      </x:c>
      <x:c r="G1120" s="2" t="str">
        <x:v>Email</x:v>
      </x:c>
      <x:c r="H1120" s="2" t="str">
        <x:v>Boarded</x:v>
      </x:c>
      <x:c r="I1120" s="8" t="n">
        <x:v>46301.242465277785</x:v>
      </x:c>
      <x:c r="J1120" s="8" t="n">
        <x:v>46301.24248842593</x:v>
      </x:c>
      <x:c r="K1120" s="8" t="n">
        <x:v>46301.242523148154</x:v>
      </x:c>
      <x:c r="L1120" s="2" t="str">
        <x:v>Sent</x:v>
      </x:c>
      <x:c r="M1120" s="2" t="n">
        <x:v>1</x:v>
      </x:c>
      <x:c r="N1120" s="2"/>
      <x:c r="O1120" s="2"/>
    </x:row>
    <x:row r="1121" ht="21" customHeight="1">
      <x:c r="A1121" s="2" t="str">
        <x:v>NT001120</x:v>
      </x:c>
      <x:c r="B1121" s="2" t="str">
        <x:v>EV001122</x:v>
      </x:c>
      <x:c r="C1121" s="2" t="str">
        <x:v>T20261006-1-2</x:v>
      </x:c>
      <x:c r="D1121" s="2" t="str">
        <x:v>ST044</x:v>
      </x:c>
      <x:c r="E1121" s="2" t="str">
        <x:v>G044</x:v>
      </x:c>
      <x:c r="F1121" s="2" t="str">
        <x:v>guardian044@example.invalid</x:v>
      </x:c>
      <x:c r="G1121" s="2" t="str">
        <x:v>Email</x:v>
      </x:c>
      <x:c r="H1121" s="2" t="str">
        <x:v>School receipt</x:v>
      </x:c>
      <x:c r="I1121" s="8" t="n">
        <x:v>46301.27649305556</x:v>
      </x:c>
      <x:c r="J1121" s="8" t="n">
        <x:v>46301.2765162037</x:v>
      </x:c>
      <x:c r="K1121" s="8" t="n">
        <x:v>46301.276550925926</x:v>
      </x:c>
      <x:c r="L1121" s="2" t="str">
        <x:v>Sent</x:v>
      </x:c>
      <x:c r="M1121" s="2" t="n">
        <x:v>1</x:v>
      </x:c>
      <x:c r="N1121" s="2"/>
      <x:c r="O1121" s="2"/>
    </x:row>
    <x:row r="1122" ht="21" customHeight="1">
      <x:c r="A1122" s="2" t="str">
        <x:v>NT001121</x:v>
      </x:c>
      <x:c r="B1122" s="2" t="str">
        <x:v>EV001123</x:v>
      </x:c>
      <x:c r="C1122" s="2" t="str">
        <x:v>T20261006-1-2</x:v>
      </x:c>
      <x:c r="D1122" s="2" t="str">
        <x:v>ST045</x:v>
      </x:c>
      <x:c r="E1122" s="2" t="str">
        <x:v>G045</x:v>
      </x:c>
      <x:c r="F1122" s="2" t="str">
        <x:v>guardian045@example.invalid</x:v>
      </x:c>
      <x:c r="G1122" s="2" t="str">
        <x:v>Email</x:v>
      </x:c>
      <x:c r="H1122" s="2" t="str">
        <x:v>Boarded</x:v>
      </x:c>
      <x:c r="I1122" s="8" t="n">
        <x:v>46301.24736111111</x:v>
      </x:c>
      <x:c r="J1122" s="8" t="n">
        <x:v>46301.24738425926</x:v>
      </x:c>
      <x:c r="K1122" s="8" t="n">
        <x:v>46301.24741898148</x:v>
      </x:c>
      <x:c r="L1122" s="2" t="str">
        <x:v>Sent</x:v>
      </x:c>
      <x:c r="M1122" s="2" t="n">
        <x:v>1</x:v>
      </x:c>
      <x:c r="N1122" s="2"/>
      <x:c r="O1122" s="2"/>
    </x:row>
    <x:row r="1123" ht="21" customHeight="1">
      <x:c r="A1123" s="2" t="str">
        <x:v>NT001122</x:v>
      </x:c>
      <x:c r="B1123" s="2" t="str">
        <x:v>EV001124</x:v>
      </x:c>
      <x:c r="C1123" s="2" t="str">
        <x:v>T20261006-1-2</x:v>
      </x:c>
      <x:c r="D1123" s="2" t="str">
        <x:v>ST045</x:v>
      </x:c>
      <x:c r="E1123" s="2" t="str">
        <x:v>G045</x:v>
      </x:c>
      <x:c r="F1123" s="2" t="str">
        <x:v>guardian045@example.invalid</x:v>
      </x:c>
      <x:c r="G1123" s="2" t="str">
        <x:v>Email</x:v>
      </x:c>
      <x:c r="H1123" s="2" t="str">
        <x:v>School receipt</x:v>
      </x:c>
      <x:c r="I1123" s="8" t="n">
        <x:v>46301.27652777778</x:v>
      </x:c>
      <x:c r="J1123" s="8" t="n">
        <x:v>46301.276550925926</x:v>
      </x:c>
      <x:c r="K1123" s="8" t="n">
        <x:v>46301.27658564815</x:v>
      </x:c>
      <x:c r="L1123" s="2" t="str">
        <x:v>Sent</x:v>
      </x:c>
      <x:c r="M1123" s="2" t="n">
        <x:v>1</x:v>
      </x:c>
      <x:c r="N1123" s="2"/>
      <x:c r="O1123" s="2"/>
    </x:row>
    <x:row r="1124" ht="21" customHeight="1">
      <x:c r="A1124" s="2" t="str">
        <x:v>NT001123</x:v>
      </x:c>
      <x:c r="B1124" s="2" t="str">
        <x:v>EV001125</x:v>
      </x:c>
      <x:c r="C1124" s="2" t="str">
        <x:v>T20261006-1-2</x:v>
      </x:c>
      <x:c r="D1124" s="2" t="str">
        <x:v>ST046</x:v>
      </x:c>
      <x:c r="E1124" s="2" t="str">
        <x:v>G046</x:v>
      </x:c>
      <x:c r="F1124" s="2" t="str">
        <x:v>guardian046@example.invalid</x:v>
      </x:c>
      <x:c r="G1124" s="2" t="str">
        <x:v>Email</x:v>
      </x:c>
      <x:c r="H1124" s="2" t="str">
        <x:v>Boarded</x:v>
      </x:c>
      <x:c r="I1124" s="8" t="n">
        <x:v>46301.25225694444</x:v>
      </x:c>
      <x:c r="J1124" s="8" t="n">
        <x:v>46301.25228009259</x:v>
      </x:c>
      <x:c r="K1124" s="8" t="n">
        <x:v>46301.25231481481</x:v>
      </x:c>
      <x:c r="L1124" s="2" t="str">
        <x:v>Sent</x:v>
      </x:c>
      <x:c r="M1124" s="2" t="n">
        <x:v>1</x:v>
      </x:c>
      <x:c r="N1124" s="2"/>
      <x:c r="O1124" s="2"/>
    </x:row>
    <x:row r="1125" ht="21" customHeight="1">
      <x:c r="A1125" s="2" t="str">
        <x:v>NT001124</x:v>
      </x:c>
      <x:c r="B1125" s="2" t="str">
        <x:v>EV001126</x:v>
      </x:c>
      <x:c r="C1125" s="2" t="str">
        <x:v>T20261006-1-2</x:v>
      </x:c>
      <x:c r="D1125" s="2" t="str">
        <x:v>ST046</x:v>
      </x:c>
      <x:c r="E1125" s="2" t="str">
        <x:v>G046</x:v>
      </x:c>
      <x:c r="F1125" s="2" t="str">
        <x:v>guardian046@example.invalid</x:v>
      </x:c>
      <x:c r="G1125" s="2" t="str">
        <x:v>Email</x:v>
      </x:c>
      <x:c r="H1125" s="2" t="str">
        <x:v>School receipt</x:v>
      </x:c>
      <x:c r="I1125" s="8" t="n">
        <x:v>46301.276562499996</x:v>
      </x:c>
      <x:c r="J1125" s="8" t="n">
        <x:v>46301.27658564814</x:v>
      </x:c>
      <x:c r="K1125" s="8" t="n">
        <x:v>46301.276620370365</x:v>
      </x:c>
      <x:c r="L1125" s="2" t="str">
        <x:v>Sent</x:v>
      </x:c>
      <x:c r="M1125" s="2" t="n">
        <x:v>1</x:v>
      </x:c>
      <x:c r="N1125" s="2"/>
      <x:c r="O1125" s="2"/>
    </x:row>
    <x:row r="1126" ht="21" customHeight="1">
      <x:c r="A1126" s="2" t="str">
        <x:v>NT001125</x:v>
      </x:c>
      <x:c r="B1126" s="2" t="str">
        <x:v>EV001127</x:v>
      </x:c>
      <x:c r="C1126" s="2" t="str">
        <x:v>T20261006-1-2</x:v>
      </x:c>
      <x:c r="D1126" s="2" t="str">
        <x:v>ST047</x:v>
      </x:c>
      <x:c r="E1126" s="2" t="str">
        <x:v>G047</x:v>
      </x:c>
      <x:c r="F1126" s="2" t="str">
        <x:v>guardian047@example.invalid</x:v>
      </x:c>
      <x:c r="G1126" s="2" t="str">
        <x:v>Email</x:v>
      </x:c>
      <x:c r="H1126" s="2" t="str">
        <x:v>Boarded</x:v>
      </x:c>
      <x:c r="I1126" s="8" t="n">
        <x:v>46301.24256944445</x:v>
      </x:c>
      <x:c r="J1126" s="8" t="n">
        <x:v>46301.24259259259</x:v>
      </x:c>
      <x:c r="K1126" s="8" t="n">
        <x:v>46301.242627314816</x:v>
      </x:c>
      <x:c r="L1126" s="2" t="str">
        <x:v>Sent</x:v>
      </x:c>
      <x:c r="M1126" s="2" t="n">
        <x:v>1</x:v>
      </x:c>
      <x:c r="N1126" s="2"/>
      <x:c r="O1126" s="2"/>
    </x:row>
    <x:row r="1127" ht="21" customHeight="1">
      <x:c r="A1127" s="2" t="str">
        <x:v>NT001126</x:v>
      </x:c>
      <x:c r="B1127" s="2" t="str">
        <x:v>EV001128</x:v>
      </x:c>
      <x:c r="C1127" s="2" t="str">
        <x:v>T20261006-1-2</x:v>
      </x:c>
      <x:c r="D1127" s="2" t="str">
        <x:v>ST047</x:v>
      </x:c>
      <x:c r="E1127" s="2" t="str">
        <x:v>G047</x:v>
      </x:c>
      <x:c r="F1127" s="2" t="str">
        <x:v>guardian047@example.invalid</x:v>
      </x:c>
      <x:c r="G1127" s="2" t="str">
        <x:v>Email</x:v>
      </x:c>
      <x:c r="H1127" s="2" t="str">
        <x:v>School receipt</x:v>
      </x:c>
      <x:c r="I1127" s="8" t="n">
        <x:v>46301.27659722222</x:v>
      </x:c>
      <x:c r="J1127" s="8" t="n">
        <x:v>46301.276620370365</x:v>
      </x:c>
      <x:c r="K1127" s="8" t="n">
        <x:v>46301.27665509259</x:v>
      </x:c>
      <x:c r="L1127" s="2" t="str">
        <x:v>Sent</x:v>
      </x:c>
      <x:c r="M1127" s="2" t="n">
        <x:v>1</x:v>
      </x:c>
      <x:c r="N1127" s="2"/>
      <x:c r="O1127" s="2"/>
    </x:row>
    <x:row r="1128" ht="21" customHeight="1">
      <x:c r="A1128" s="2" t="str">
        <x:v>NT001127</x:v>
      </x:c>
      <x:c r="B1128" s="2" t="str">
        <x:v>EV001129</x:v>
      </x:c>
      <x:c r="C1128" s="2" t="str">
        <x:v>T20261006-1-2</x:v>
      </x:c>
      <x:c r="D1128" s="2" t="str">
        <x:v>ST048</x:v>
      </x:c>
      <x:c r="E1128" s="2" t="str">
        <x:v>G048</x:v>
      </x:c>
      <x:c r="F1128" s="2" t="str">
        <x:v>guardian048@example.invalid</x:v>
      </x:c>
      <x:c r="G1128" s="2" t="str">
        <x:v>Email</x:v>
      </x:c>
      <x:c r="H1128" s="2" t="str">
        <x:v>Boarded</x:v>
      </x:c>
      <x:c r="I1128" s="8" t="n">
        <x:v>46301.247465277775</x:v>
      </x:c>
      <x:c r="J1128" s="8" t="n">
        <x:v>46301.24748842592</x:v>
      </x:c>
      <x:c r="K1128" s="8" t="n">
        <x:v>46301.247523148144</x:v>
      </x:c>
      <x:c r="L1128" s="2" t="str">
        <x:v>Sent</x:v>
      </x:c>
      <x:c r="M1128" s="2" t="n">
        <x:v>1</x:v>
      </x:c>
      <x:c r="N1128" s="2"/>
      <x:c r="O1128" s="2"/>
    </x:row>
    <x:row r="1129" ht="21" customHeight="1">
      <x:c r="A1129" s="2" t="str">
        <x:v>NT001128</x:v>
      </x:c>
      <x:c r="B1129" s="2" t="str">
        <x:v>EV001130</x:v>
      </x:c>
      <x:c r="C1129" s="2" t="str">
        <x:v>T20261006-1-2</x:v>
      </x:c>
      <x:c r="D1129" s="2" t="str">
        <x:v>ST048</x:v>
      </x:c>
      <x:c r="E1129" s="2" t="str">
        <x:v>G048</x:v>
      </x:c>
      <x:c r="F1129" s="2" t="str">
        <x:v>guardian048@example.invalid</x:v>
      </x:c>
      <x:c r="G1129" s="2" t="str">
        <x:v>Email</x:v>
      </x:c>
      <x:c r="H1129" s="2" t="str">
        <x:v>School receipt</x:v>
      </x:c>
      <x:c r="I1129" s="8" t="n">
        <x:v>46301.27663194444</x:v>
      </x:c>
      <x:c r="J1129" s="8" t="n">
        <x:v>46301.27665509259</x:v>
      </x:c>
      <x:c r="K1129" s="8" t="n">
        <x:v>46301.27668981481</x:v>
      </x:c>
      <x:c r="L1129" s="2" t="str">
        <x:v>Sent</x:v>
      </x:c>
      <x:c r="M1129" s="2" t="n">
        <x:v>1</x:v>
      </x:c>
      <x:c r="N1129" s="2"/>
      <x:c r="O1129" s="2"/>
    </x:row>
    <x:row r="1130" ht="21" customHeight="1">
      <x:c r="A1130" s="2" t="str">
        <x:v>NT001129</x:v>
      </x:c>
      <x:c r="B1130" s="2" t="str">
        <x:v>EV001131</x:v>
      </x:c>
      <x:c r="C1130" s="2" t="str">
        <x:v>T20261006-1-2</x:v>
      </x:c>
      <x:c r="D1130" s="2" t="str">
        <x:v>ST049</x:v>
      </x:c>
      <x:c r="E1130" s="2" t="str">
        <x:v>G049</x:v>
      </x:c>
      <x:c r="F1130" s="2" t="str">
        <x:v>guardian049@example.invalid</x:v>
      </x:c>
      <x:c r="G1130" s="2" t="str">
        <x:v>Email</x:v>
      </x:c>
      <x:c r="H1130" s="2" t="str">
        <x:v>Boarded</x:v>
      </x:c>
      <x:c r="I1130" s="8" t="n">
        <x:v>46301.25236111111</x:v>
      </x:c>
      <x:c r="J1130" s="8" t="n">
        <x:v>46301.252384259256</x:v>
      </x:c>
      <x:c r="K1130" s="8" t="n">
        <x:v>46301.25241898148</x:v>
      </x:c>
      <x:c r="L1130" s="2" t="str">
        <x:v>Sent</x:v>
      </x:c>
      <x:c r="M1130" s="2" t="n">
        <x:v>1</x:v>
      </x:c>
      <x:c r="N1130" s="2"/>
      <x:c r="O1130" s="2"/>
    </x:row>
    <x:row r="1131" ht="21" customHeight="1">
      <x:c r="A1131" s="2" t="str">
        <x:v>NT001130</x:v>
      </x:c>
      <x:c r="B1131" s="2" t="str">
        <x:v>EV001132</x:v>
      </x:c>
      <x:c r="C1131" s="2" t="str">
        <x:v>T20261006-1-2</x:v>
      </x:c>
      <x:c r="D1131" s="2" t="str">
        <x:v>ST049</x:v>
      </x:c>
      <x:c r="E1131" s="2" t="str">
        <x:v>G049</x:v>
      </x:c>
      <x:c r="F1131" s="2" t="str">
        <x:v>guardian049@example.invalid</x:v>
      </x:c>
      <x:c r="G1131" s="2" t="str">
        <x:v>Email</x:v>
      </x:c>
      <x:c r="H1131" s="2" t="str">
        <x:v>School receipt</x:v>
      </x:c>
      <x:c r="I1131" s="8" t="n">
        <x:v>46301.276666666665</x:v>
      </x:c>
      <x:c r="J1131" s="8" t="n">
        <x:v>46301.27668981481</x:v>
      </x:c>
      <x:c r="K1131" s="8" t="n">
        <x:v>46301.276724537034</x:v>
      </x:c>
      <x:c r="L1131" s="2" t="str">
        <x:v>Sent</x:v>
      </x:c>
      <x:c r="M1131" s="2" t="n">
        <x:v>1</x:v>
      </x:c>
      <x:c r="N1131" s="2"/>
      <x:c r="O1131" s="2"/>
    </x:row>
    <x:row r="1132" ht="21" customHeight="1">
      <x:c r="A1132" s="2" t="str">
        <x:v>NT001131</x:v>
      </x:c>
      <x:c r="B1132" s="2" t="str">
        <x:v>EV001133</x:v>
      </x:c>
      <x:c r="C1132" s="2" t="str">
        <x:v>T20261006-1-2</x:v>
      </x:c>
      <x:c r="D1132" s="2" t="str">
        <x:v>ST050</x:v>
      </x:c>
      <x:c r="E1132" s="2" t="str">
        <x:v>G050</x:v>
      </x:c>
      <x:c r="F1132" s="2" t="str">
        <x:v>guardian050@example.invalid</x:v>
      </x:c>
      <x:c r="G1132" s="2" t="str">
        <x:v>Email</x:v>
      </x:c>
      <x:c r="H1132" s="2" t="str">
        <x:v>Boarded</x:v>
      </x:c>
      <x:c r="I1132" s="8" t="n">
        <x:v>46301.242673611116</x:v>
      </x:c>
      <x:c r="J1132" s="8" t="n">
        <x:v>46301.24269675926</x:v>
      </x:c>
      <x:c r="K1132" s="8" t="n">
        <x:v>46301.242731481485</x:v>
      </x:c>
      <x:c r="L1132" s="2" t="str">
        <x:v>Sent</x:v>
      </x:c>
      <x:c r="M1132" s="2" t="n">
        <x:v>1</x:v>
      </x:c>
      <x:c r="N1132" s="2"/>
      <x:c r="O1132" s="2"/>
    </x:row>
    <x:row r="1133" ht="21" customHeight="1">
      <x:c r="A1133" s="2" t="str">
        <x:v>NT001132</x:v>
      </x:c>
      <x:c r="B1133" s="2" t="str">
        <x:v>EV001134</x:v>
      </x:c>
      <x:c r="C1133" s="2" t="str">
        <x:v>T20261006-1-2</x:v>
      </x:c>
      <x:c r="D1133" s="2" t="str">
        <x:v>ST050</x:v>
      </x:c>
      <x:c r="E1133" s="2" t="str">
        <x:v>G050</x:v>
      </x:c>
      <x:c r="F1133" s="2" t="str">
        <x:v>guardian050@example.invalid</x:v>
      </x:c>
      <x:c r="G1133" s="2" t="str">
        <x:v>Email</x:v>
      </x:c>
      <x:c r="H1133" s="2" t="str">
        <x:v>School receipt</x:v>
      </x:c>
      <x:c r="I1133" s="8" t="n">
        <x:v>46301.27670138889</x:v>
      </x:c>
      <x:c r="J1133" s="8" t="n">
        <x:v>46301.276724537034</x:v>
      </x:c>
      <x:c r="K1133" s="8" t="n">
        <x:v>46301.27675925926</x:v>
      </x:c>
      <x:c r="L1133" s="2" t="str">
        <x:v>Sent</x:v>
      </x:c>
      <x:c r="M1133" s="2" t="n">
        <x:v>1</x:v>
      </x:c>
      <x:c r="N1133" s="2"/>
      <x:c r="O1133" s="2"/>
    </x:row>
    <x:row r="1134" ht="21" customHeight="1">
      <x:c r="A1134" s="2" t="str">
        <x:v>NT001133</x:v>
      </x:c>
      <x:c r="B1134" s="2" t="str">
        <x:v>EV001135</x:v>
      </x:c>
      <x:c r="C1134" s="2" t="str">
        <x:v>T20261006-1-2</x:v>
      </x:c>
      <x:c r="D1134" s="2" t="str">
        <x:v>ST051</x:v>
      </x:c>
      <x:c r="E1134" s="2" t="str">
        <x:v>G051</x:v>
      </x:c>
      <x:c r="F1134" s="2" t="str">
        <x:v>guardian051@example.invalid</x:v>
      </x:c>
      <x:c r="G1134" s="2" t="str">
        <x:v>Email</x:v>
      </x:c>
      <x:c r="H1134" s="2" t="str">
        <x:v>Boarded</x:v>
      </x:c>
      <x:c r="I1134" s="8" t="n">
        <x:v>46301.24722222222</x:v>
      </x:c>
      <x:c r="J1134" s="8" t="n">
        <x:v>46301.24724537037</x:v>
      </x:c>
      <x:c r="K1134" s="8" t="n">
        <x:v>46301.24728009259</x:v>
      </x:c>
      <x:c r="L1134" s="2" t="str">
        <x:v>Sent</x:v>
      </x:c>
      <x:c r="M1134" s="2" t="n">
        <x:v>1</x:v>
      </x:c>
      <x:c r="N1134" s="2"/>
      <x:c r="O1134" s="2"/>
    </x:row>
    <x:row r="1135" ht="21" customHeight="1">
      <x:c r="A1135" s="2" t="str">
        <x:v>NT001134</x:v>
      </x:c>
      <x:c r="B1135" s="2" t="str">
        <x:v>EV001136</x:v>
      </x:c>
      <x:c r="C1135" s="2" t="str">
        <x:v>T20261006-1-2</x:v>
      </x:c>
      <x:c r="D1135" s="2" t="str">
        <x:v>ST051</x:v>
      </x:c>
      <x:c r="E1135" s="2" t="str">
        <x:v>G051</x:v>
      </x:c>
      <x:c r="F1135" s="2" t="str">
        <x:v>guardian051@example.invalid</x:v>
      </x:c>
      <x:c r="G1135" s="2" t="str">
        <x:v>Email</x:v>
      </x:c>
      <x:c r="H1135" s="2" t="str">
        <x:v>School receipt</x:v>
      </x:c>
      <x:c r="I1135" s="8" t="n">
        <x:v>46301.27673611111</x:v>
      </x:c>
      <x:c r="J1135" s="8" t="n">
        <x:v>46301.27675925926</x:v>
      </x:c>
      <x:c r="K1135" s="8" t="n">
        <x:v>46301.27679398148</x:v>
      </x:c>
      <x:c r="L1135" s="2" t="str">
        <x:v>Sent</x:v>
      </x:c>
      <x:c r="M1135" s="2" t="n">
        <x:v>1</x:v>
      </x:c>
      <x:c r="N1135" s="2"/>
      <x:c r="O1135" s="2"/>
    </x:row>
    <x:row r="1136" ht="21" customHeight="1">
      <x:c r="A1136" s="2" t="str">
        <x:v>NT001135</x:v>
      </x:c>
      <x:c r="B1136" s="2" t="str">
        <x:v>EV001137</x:v>
      </x:c>
      <x:c r="C1136" s="2" t="str">
        <x:v>T20261006-1-2</x:v>
      </x:c>
      <x:c r="D1136" s="2" t="str">
        <x:v>ST052</x:v>
      </x:c>
      <x:c r="E1136" s="2" t="str">
        <x:v>G052</x:v>
      </x:c>
      <x:c r="F1136" s="2" t="str">
        <x:v>guardian052@example.invalid</x:v>
      </x:c>
      <x:c r="G1136" s="2" t="str">
        <x:v>Email</x:v>
      </x:c>
      <x:c r="H1136" s="2" t="str">
        <x:v>Boarded</x:v>
      </x:c>
      <x:c r="I1136" s="8" t="n">
        <x:v>46301.252118055556</x:v>
      </x:c>
      <x:c r="J1136" s="8" t="n">
        <x:v>46301.2521412037</x:v>
      </x:c>
      <x:c r="K1136" s="8" t="n">
        <x:v>46301.252175925925</x:v>
      </x:c>
      <x:c r="L1136" s="2" t="str">
        <x:v>Sent</x:v>
      </x:c>
      <x:c r="M1136" s="2" t="n">
        <x:v>1</x:v>
      </x:c>
      <x:c r="N1136" s="2"/>
      <x:c r="O1136" s="2"/>
    </x:row>
    <x:row r="1137" ht="21" customHeight="1">
      <x:c r="A1137" s="2" t="str">
        <x:v>NT001136</x:v>
      </x:c>
      <x:c r="B1137" s="2" t="str">
        <x:v>EV001138</x:v>
      </x:c>
      <x:c r="C1137" s="2" t="str">
        <x:v>T20261006-1-2</x:v>
      </x:c>
      <x:c r="D1137" s="2" t="str">
        <x:v>ST052</x:v>
      </x:c>
      <x:c r="E1137" s="2" t="str">
        <x:v>G052</x:v>
      </x:c>
      <x:c r="F1137" s="2" t="str">
        <x:v>guardian052@example.invalid</x:v>
      </x:c>
      <x:c r="G1137" s="2" t="str">
        <x:v>Email</x:v>
      </x:c>
      <x:c r="H1137" s="2" t="str">
        <x:v>School receipt</x:v>
      </x:c>
      <x:c r="I1137" s="8" t="n">
        <x:v>46301.276770833334</x:v>
      </x:c>
      <x:c r="J1137" s="8" t="n">
        <x:v>46301.27679398148</x:v>
      </x:c>
      <x:c r="K1137" s="8" t="n">
        <x:v>46301.2768287037</x:v>
      </x:c>
      <x:c r="L1137" s="2" t="str">
        <x:v>Sent</x:v>
      </x:c>
      <x:c r="M1137" s="2" t="n">
        <x:v>1</x:v>
      </x:c>
      <x:c r="N1137" s="2"/>
      <x:c r="O1137" s="2"/>
    </x:row>
    <x:row r="1138" ht="21" customHeight="1">
      <x:c r="A1138" s="2" t="str">
        <x:v>NT001137</x:v>
      </x:c>
      <x:c r="B1138" s="2" t="str">
        <x:v>EV001139</x:v>
      </x:c>
      <x:c r="C1138" s="2" t="str">
        <x:v>T20261006-1-2</x:v>
      </x:c>
      <x:c r="D1138" s="2" t="str">
        <x:v>ST053</x:v>
      </x:c>
      <x:c r="E1138" s="2" t="str">
        <x:v>G053</x:v>
      </x:c>
      <x:c r="F1138" s="2" t="str">
        <x:v>guardian053@example.invalid</x:v>
      </x:c>
      <x:c r="G1138" s="2" t="str">
        <x:v>Email</x:v>
      </x:c>
      <x:c r="H1138" s="2" t="str">
        <x:v>Boarded</x:v>
      </x:c>
      <x:c r="I1138" s="8" t="n">
        <x:v>46301.24243055556</x:v>
      </x:c>
      <x:c r="J1138" s="8" t="n">
        <x:v>46301.24245370371</x:v>
      </x:c>
      <x:c r="K1138" s="8" t="n">
        <x:v>46301.24248842593</x:v>
      </x:c>
      <x:c r="L1138" s="2" t="str">
        <x:v>Sent</x:v>
      </x:c>
      <x:c r="M1138" s="2" t="n">
        <x:v>1</x:v>
      </x:c>
      <x:c r="N1138" s="2"/>
      <x:c r="O1138" s="2"/>
    </x:row>
    <x:row r="1139" ht="21" customHeight="1">
      <x:c r="A1139" s="2" t="str">
        <x:v>NT001138</x:v>
      </x:c>
      <x:c r="B1139" s="2" t="str">
        <x:v>EV001140</x:v>
      </x:c>
      <x:c r="C1139" s="2" t="str">
        <x:v>T20261006-1-2</x:v>
      </x:c>
      <x:c r="D1139" s="2" t="str">
        <x:v>ST053</x:v>
      </x:c>
      <x:c r="E1139" s="2" t="str">
        <x:v>G053</x:v>
      </x:c>
      <x:c r="F1139" s="2" t="str">
        <x:v>guardian053@example.invalid</x:v>
      </x:c>
      <x:c r="G1139" s="2" t="str">
        <x:v>Email</x:v>
      </x:c>
      <x:c r="H1139" s="2" t="str">
        <x:v>School receipt</x:v>
      </x:c>
      <x:c r="I1139" s="8" t="n">
        <x:v>46301.27680555556</x:v>
      </x:c>
      <x:c r="J1139" s="8" t="n">
        <x:v>46301.2768287037</x:v>
      </x:c>
      <x:c r="K1139" s="8" t="n">
        <x:v>46301.27686342593</x:v>
      </x:c>
      <x:c r="L1139" s="2" t="str">
        <x:v>Sent</x:v>
      </x:c>
      <x:c r="M1139" s="2" t="n">
        <x:v>1</x:v>
      </x:c>
      <x:c r="N1139" s="2"/>
      <x:c r="O1139" s="2"/>
    </x:row>
    <x:row r="1140" ht="21" customHeight="1">
      <x:c r="A1140" s="2" t="str">
        <x:v>NT001139</x:v>
      </x:c>
      <x:c r="B1140" s="2" t="str">
        <x:v>EV001141</x:v>
      </x:c>
      <x:c r="C1140" s="2" t="str">
        <x:v>T20261006-1-2</x:v>
      </x:c>
      <x:c r="D1140" s="2" t="str">
        <x:v>ST054</x:v>
      </x:c>
      <x:c r="E1140" s="2" t="str">
        <x:v>G054</x:v>
      </x:c>
      <x:c r="F1140" s="2" t="str">
        <x:v>guardian054@example.invalid</x:v>
      </x:c>
      <x:c r="G1140" s="2" t="str">
        <x:v>Email</x:v>
      </x:c>
      <x:c r="H1140" s="2" t="str">
        <x:v>Boarded</x:v>
      </x:c>
      <x:c r="I1140" s="8" t="n">
        <x:v>46301.24732638889</x:v>
      </x:c>
      <x:c r="J1140" s="8" t="n">
        <x:v>46301.247349537036</x:v>
      </x:c>
      <x:c r="K1140" s="8" t="n">
        <x:v>46301.24738425926</x:v>
      </x:c>
      <x:c r="L1140" s="2" t="str">
        <x:v>Sent</x:v>
      </x:c>
      <x:c r="M1140" s="2" t="n">
        <x:v>1</x:v>
      </x:c>
      <x:c r="N1140" s="2"/>
      <x:c r="O1140" s="2"/>
    </x:row>
    <x:row r="1141" ht="21" customHeight="1">
      <x:c r="A1141" s="2" t="str">
        <x:v>NT001140</x:v>
      </x:c>
      <x:c r="B1141" s="2" t="str">
        <x:v>EV001142</x:v>
      </x:c>
      <x:c r="C1141" s="2" t="str">
        <x:v>T20261006-1-2</x:v>
      </x:c>
      <x:c r="D1141" s="2" t="str">
        <x:v>ST054</x:v>
      </x:c>
      <x:c r="E1141" s="2" t="str">
        <x:v>G054</x:v>
      </x:c>
      <x:c r="F1141" s="2" t="str">
        <x:v>guardian054@example.invalid</x:v>
      </x:c>
      <x:c r="G1141" s="2" t="str">
        <x:v>Email</x:v>
      </x:c>
      <x:c r="H1141" s="2" t="str">
        <x:v>School receipt</x:v>
      </x:c>
      <x:c r="I1141" s="8" t="n">
        <x:v>46301.27684027777</x:v>
      </x:c>
      <x:c r="J1141" s="8" t="n">
        <x:v>46301.27686342592</x:v>
      </x:c>
      <x:c r="K1141" s="8" t="n">
        <x:v>46301.27689814814</x:v>
      </x:c>
      <x:c r="L1141" s="2" t="str">
        <x:v>Sent</x:v>
      </x:c>
      <x:c r="M1141" s="2" t="n">
        <x:v>1</x:v>
      </x:c>
      <x:c r="N1141" s="2"/>
      <x:c r="O1141" s="2"/>
    </x:row>
    <x:row r="1142" ht="21" customHeight="1">
      <x:c r="A1142" s="2" t="str">
        <x:v>NT001141</x:v>
      </x:c>
      <x:c r="B1142" s="2" t="str">
        <x:v>EV001143</x:v>
      </x:c>
      <x:c r="C1142" s="2" t="str">
        <x:v>T20261006-1-2</x:v>
      </x:c>
      <x:c r="D1142" s="2" t="str">
        <x:v>ST055</x:v>
      </x:c>
      <x:c r="E1142" s="2" t="str">
        <x:v>G055</x:v>
      </x:c>
      <x:c r="F1142" s="2" t="str">
        <x:v>guardian055@example.invalid</x:v>
      </x:c>
      <x:c r="G1142" s="2" t="str">
        <x:v>Email</x:v>
      </x:c>
      <x:c r="H1142" s="2" t="str">
        <x:v>Boarded</x:v>
      </x:c>
      <x:c r="I1142" s="8" t="n">
        <x:v>46301.252222222225</x:v>
      </x:c>
      <x:c r="J1142" s="8" t="n">
        <x:v>46301.25224537037</x:v>
      </x:c>
      <x:c r="K1142" s="8" t="n">
        <x:v>46301.252280092594</x:v>
      </x:c>
      <x:c r="L1142" s="2" t="str">
        <x:v>Sent</x:v>
      </x:c>
      <x:c r="M1142" s="2" t="n">
        <x:v>1</x:v>
      </x:c>
      <x:c r="N1142" s="2"/>
      <x:c r="O1142" s="2"/>
    </x:row>
    <x:row r="1143" ht="21" customHeight="1">
      <x:c r="A1143" s="2" t="str">
        <x:v>NT001142</x:v>
      </x:c>
      <x:c r="B1143" s="2" t="str">
        <x:v>EV001144</x:v>
      </x:c>
      <x:c r="C1143" s="2" t="str">
        <x:v>T20261006-1-2</x:v>
      </x:c>
      <x:c r="D1143" s="2" t="str">
        <x:v>ST055</x:v>
      </x:c>
      <x:c r="E1143" s="2" t="str">
        <x:v>G055</x:v>
      </x:c>
      <x:c r="F1143" s="2" t="str">
        <x:v>guardian055@example.invalid</x:v>
      </x:c>
      <x:c r="G1143" s="2" t="str">
        <x:v>Email</x:v>
      </x:c>
      <x:c r="H1143" s="2" t="str">
        <x:v>School receipt</x:v>
      </x:c>
      <x:c r="I1143" s="8" t="n">
        <x:v>46301.276874999996</x:v>
      </x:c>
      <x:c r="J1143" s="8" t="n">
        <x:v>46301.27689814814</x:v>
      </x:c>
      <x:c r="K1143" s="8" t="n">
        <x:v>46301.276932870365</x:v>
      </x:c>
      <x:c r="L1143" s="2" t="str">
        <x:v>Sent</x:v>
      </x:c>
      <x:c r="M1143" s="2" t="n">
        <x:v>1</x:v>
      </x:c>
      <x:c r="N1143" s="2"/>
      <x:c r="O1143" s="2"/>
    </x:row>
    <x:row r="1144" ht="21" customHeight="1">
      <x:c r="A1144" s="2" t="str">
        <x:v>NT001143</x:v>
      </x:c>
      <x:c r="B1144" s="2" t="str">
        <x:v>EV001145</x:v>
      </x:c>
      <x:c r="C1144" s="2" t="str">
        <x:v>T20261006-1-2</x:v>
      </x:c>
      <x:c r="D1144" s="2" t="str">
        <x:v>ST056</x:v>
      </x:c>
      <x:c r="E1144" s="2" t="str">
        <x:v>G056</x:v>
      </x:c>
      <x:c r="F1144" s="2" t="str">
        <x:v>guardian056@example.invalid</x:v>
      </x:c>
      <x:c r="G1144" s="2" t="str">
        <x:v>Email</x:v>
      </x:c>
      <x:c r="H1144" s="2" t="str">
        <x:v>Boarded</x:v>
      </x:c>
      <x:c r="I1144" s="8" t="n">
        <x:v>46301.24253472222</x:v>
      </x:c>
      <x:c r="J1144" s="8" t="n">
        <x:v>46301.24255787037</x:v>
      </x:c>
      <x:c r="K1144" s="8" t="n">
        <x:v>46301.24259259259</x:v>
      </x:c>
      <x:c r="L1144" s="2" t="str">
        <x:v>Sent</x:v>
      </x:c>
      <x:c r="M1144" s="2" t="n">
        <x:v>1</x:v>
      </x:c>
      <x:c r="N1144" s="2"/>
      <x:c r="O1144" s="2"/>
    </x:row>
    <x:row r="1145" ht="21" customHeight="1">
      <x:c r="A1145" s="2" t="str">
        <x:v>NT001144</x:v>
      </x:c>
      <x:c r="B1145" s="2" t="str">
        <x:v>EV001146</x:v>
      </x:c>
      <x:c r="C1145" s="2" t="str">
        <x:v>T20261006-1-2</x:v>
      </x:c>
      <x:c r="D1145" s="2" t="str">
        <x:v>ST056</x:v>
      </x:c>
      <x:c r="E1145" s="2" t="str">
        <x:v>G056</x:v>
      </x:c>
      <x:c r="F1145" s="2" t="str">
        <x:v>guardian056@example.invalid</x:v>
      </x:c>
      <x:c r="G1145" s="2" t="str">
        <x:v>Email</x:v>
      </x:c>
      <x:c r="H1145" s="2" t="str">
        <x:v>School receipt</x:v>
      </x:c>
      <x:c r="I1145" s="8" t="n">
        <x:v>46301.27690972222</x:v>
      </x:c>
      <x:c r="J1145" s="8" t="n">
        <x:v>46301.276932870365</x:v>
      </x:c>
      <x:c r="K1145" s="8" t="n">
        <x:v>46301.27696759259</x:v>
      </x:c>
      <x:c r="L1145" s="2" t="str">
        <x:v>Sent</x:v>
      </x:c>
      <x:c r="M1145" s="2" t="n">
        <x:v>1</x:v>
      </x:c>
      <x:c r="N1145" s="2"/>
      <x:c r="O1145" s="2"/>
    </x:row>
    <x:row r="1146" ht="21" customHeight="1">
      <x:c r="A1146" s="2" t="str">
        <x:v>NT001145</x:v>
      </x:c>
      <x:c r="B1146" s="2" t="str">
        <x:v>EV001147</x:v>
      </x:c>
      <x:c r="C1146" s="2" t="str">
        <x:v>T20261006-1-2</x:v>
      </x:c>
      <x:c r="D1146" s="2" t="str">
        <x:v>ST057</x:v>
      </x:c>
      <x:c r="E1146" s="2" t="str">
        <x:v>G057</x:v>
      </x:c>
      <x:c r="F1146" s="2" t="str">
        <x:v>guardian057@example.invalid</x:v>
      </x:c>
      <x:c r="G1146" s="2" t="str">
        <x:v>Email</x:v>
      </x:c>
      <x:c r="H1146" s="2" t="str">
        <x:v>Boarded</x:v>
      </x:c>
      <x:c r="I1146" s="8" t="n">
        <x:v>46301.24743055555</x:v>
      </x:c>
      <x:c r="J1146" s="8" t="n">
        <x:v>46301.2474537037</x:v>
      </x:c>
      <x:c r="K1146" s="8" t="n">
        <x:v>46301.24748842592</x:v>
      </x:c>
      <x:c r="L1146" s="2" t="str">
        <x:v>Sent</x:v>
      </x:c>
      <x:c r="M1146" s="2" t="n">
        <x:v>1</x:v>
      </x:c>
      <x:c r="N1146" s="2"/>
      <x:c r="O1146" s="2"/>
    </x:row>
    <x:row r="1147" ht="21" customHeight="1">
      <x:c r="A1147" s="2" t="str">
        <x:v>NT001146</x:v>
      </x:c>
      <x:c r="B1147" s="2" t="str">
        <x:v>EV001148</x:v>
      </x:c>
      <x:c r="C1147" s="2" t="str">
        <x:v>T20261006-1-2</x:v>
      </x:c>
      <x:c r="D1147" s="2" t="str">
        <x:v>ST057</x:v>
      </x:c>
      <x:c r="E1147" s="2" t="str">
        <x:v>G057</x:v>
      </x:c>
      <x:c r="F1147" s="2" t="str">
        <x:v>guardian057@example.invalid</x:v>
      </x:c>
      <x:c r="G1147" s="2" t="str">
        <x:v>Email</x:v>
      </x:c>
      <x:c r="H1147" s="2" t="str">
        <x:v>School receipt</x:v>
      </x:c>
      <x:c r="I1147" s="8" t="n">
        <x:v>46301.27694444444</x:v>
      </x:c>
      <x:c r="J1147" s="8" t="n">
        <x:v>46301.27696759259</x:v>
      </x:c>
      <x:c r="K1147" s="8" t="n">
        <x:v>46301.27700231481</x:v>
      </x:c>
      <x:c r="L1147" s="2" t="str">
        <x:v>Sent</x:v>
      </x:c>
      <x:c r="M1147" s="2" t="n">
        <x:v>1</x:v>
      </x:c>
      <x:c r="N1147" s="2"/>
      <x:c r="O1147" s="2"/>
    </x:row>
    <x:row r="1148" ht="21" customHeight="1">
      <x:c r="A1148" s="2" t="str">
        <x:v>NT001147</x:v>
      </x:c>
      <x:c r="B1148" s="2" t="str">
        <x:v>EV001149</x:v>
      </x:c>
      <x:c r="C1148" s="2" t="str">
        <x:v>T20261006-1-2</x:v>
      </x:c>
      <x:c r="D1148" s="2" t="str">
        <x:v>ST058</x:v>
      </x:c>
      <x:c r="E1148" s="2" t="str">
        <x:v>G058</x:v>
      </x:c>
      <x:c r="F1148" s="2" t="str">
        <x:v>guardian058@example.invalid</x:v>
      </x:c>
      <x:c r="G1148" s="2" t="str">
        <x:v>Email</x:v>
      </x:c>
      <x:c r="H1148" s="2" t="str">
        <x:v>Boarded</x:v>
      </x:c>
      <x:c r="I1148" s="8" t="n">
        <x:v>46301.25232638889</x:v>
      </x:c>
      <x:c r="J1148" s="8" t="n">
        <x:v>46301.25234953703</x:v>
      </x:c>
      <x:c r="K1148" s="8" t="n">
        <x:v>46301.252384259256</x:v>
      </x:c>
      <x:c r="L1148" s="2" t="str">
        <x:v>Sent</x:v>
      </x:c>
      <x:c r="M1148" s="2" t="n">
        <x:v>1</x:v>
      </x:c>
      <x:c r="N1148" s="2"/>
      <x:c r="O1148" s="2"/>
    </x:row>
    <x:row r="1149" ht="21" customHeight="1">
      <x:c r="A1149" s="2" t="str">
        <x:v>NT001148</x:v>
      </x:c>
      <x:c r="B1149" s="2" t="str">
        <x:v>EV001150</x:v>
      </x:c>
      <x:c r="C1149" s="2" t="str">
        <x:v>T20261006-1-2</x:v>
      </x:c>
      <x:c r="D1149" s="2" t="str">
        <x:v>ST058</x:v>
      </x:c>
      <x:c r="E1149" s="2" t="str">
        <x:v>G058</x:v>
      </x:c>
      <x:c r="F1149" s="2" t="str">
        <x:v>guardian058@example.invalid</x:v>
      </x:c>
      <x:c r="G1149" s="2" t="str">
        <x:v>Email</x:v>
      </x:c>
      <x:c r="H1149" s="2" t="str">
        <x:v>School receipt</x:v>
      </x:c>
      <x:c r="I1149" s="8" t="n">
        <x:v>46301.276979166665</x:v>
      </x:c>
      <x:c r="J1149" s="8" t="n">
        <x:v>46301.27700231481</x:v>
      </x:c>
      <x:c r="K1149" s="8" t="n">
        <x:v>46301.277037037034</x:v>
      </x:c>
      <x:c r="L1149" s="2" t="str">
        <x:v>Sent</x:v>
      </x:c>
      <x:c r="M1149" s="2" t="n">
        <x:v>1</x:v>
      </x:c>
      <x:c r="N1149" s="2"/>
      <x:c r="O1149" s="2"/>
    </x:row>
    <x:row r="1150" ht="21" customHeight="1">
      <x:c r="A1150" s="2" t="str">
        <x:v>NT001149</x:v>
      </x:c>
      <x:c r="B1150" s="2" t="str">
        <x:v>EV001151</x:v>
      </x:c>
      <x:c r="C1150" s="2" t="str">
        <x:v>T20261006-1-2</x:v>
      </x:c>
      <x:c r="D1150" s="2" t="str">
        <x:v>ST059</x:v>
      </x:c>
      <x:c r="E1150" s="2" t="str">
        <x:v>G059</x:v>
      </x:c>
      <x:c r="F1150" s="2" t="str">
        <x:v>guardian059@example.invalid</x:v>
      </x:c>
      <x:c r="G1150" s="2" t="str">
        <x:v>Email</x:v>
      </x:c>
      <x:c r="H1150" s="2" t="str">
        <x:v>Boarded</x:v>
      </x:c>
      <x:c r="I1150" s="8" t="n">
        <x:v>46301.24263888889</x:v>
      </x:c>
      <x:c r="J1150" s="8" t="n">
        <x:v>46301.24266203704</x:v>
      </x:c>
      <x:c r="K1150" s="8" t="n">
        <x:v>46301.24269675926</x:v>
      </x:c>
      <x:c r="L1150" s="2" t="str">
        <x:v>Sent</x:v>
      </x:c>
      <x:c r="M1150" s="2" t="n">
        <x:v>1</x:v>
      </x:c>
      <x:c r="N1150" s="2"/>
      <x:c r="O1150" s="2"/>
    </x:row>
    <x:row r="1151" ht="21" customHeight="1">
      <x:c r="A1151" s="2" t="str">
        <x:v>NT001150</x:v>
      </x:c>
      <x:c r="B1151" s="2" t="str">
        <x:v>EV001152</x:v>
      </x:c>
      <x:c r="C1151" s="2" t="str">
        <x:v>T20261006-1-2</x:v>
      </x:c>
      <x:c r="D1151" s="2" t="str">
        <x:v>ST059</x:v>
      </x:c>
      <x:c r="E1151" s="2" t="str">
        <x:v>G059</x:v>
      </x:c>
      <x:c r="F1151" s="2" t="str">
        <x:v>guardian059@example.invalid</x:v>
      </x:c>
      <x:c r="G1151" s="2" t="str">
        <x:v>Email</x:v>
      </x:c>
      <x:c r="H1151" s="2" t="str">
        <x:v>School receipt</x:v>
      </x:c>
      <x:c r="I1151" s="8" t="n">
        <x:v>46301.27701388889</x:v>
      </x:c>
      <x:c r="J1151" s="8" t="n">
        <x:v>46301.277037037034</x:v>
      </x:c>
      <x:c r="K1151" s="8" t="n">
        <x:v>46301.27707175926</x:v>
      </x:c>
      <x:c r="L1151" s="2" t="str">
        <x:v>Sent</x:v>
      </x:c>
      <x:c r="M1151" s="2" t="n">
        <x:v>1</x:v>
      </x:c>
      <x:c r="N1151" s="2"/>
      <x:c r="O1151" s="2"/>
    </x:row>
    <x:row r="1152" ht="21" customHeight="1">
      <x:c r="A1152" s="2" t="str">
        <x:v>NT001151</x:v>
      </x:c>
      <x:c r="B1152" s="2" t="str">
        <x:v>EV001153</x:v>
      </x:c>
      <x:c r="C1152" s="2" t="str">
        <x:v>T20261006-1-2</x:v>
      </x:c>
      <x:c r="D1152" s="2" t="str">
        <x:v>ST060</x:v>
      </x:c>
      <x:c r="E1152" s="2" t="str">
        <x:v>G060</x:v>
      </x:c>
      <x:c r="F1152" s="2" t="str">
        <x:v>guardian060@example.invalid</x:v>
      </x:c>
      <x:c r="G1152" s="2" t="str">
        <x:v>Email</x:v>
      </x:c>
      <x:c r="H1152" s="2" t="str">
        <x:v>Boarded</x:v>
      </x:c>
      <x:c r="I1152" s="8" t="n">
        <x:v>46301.24753472222</x:v>
      </x:c>
      <x:c r="J1152" s="8" t="n">
        <x:v>46301.24755787037</x:v>
      </x:c>
      <x:c r="K1152" s="8" t="n">
        <x:v>46301.24759259259</x:v>
      </x:c>
      <x:c r="L1152" s="2" t="str">
        <x:v>Sent</x:v>
      </x:c>
      <x:c r="M1152" s="2" t="n">
        <x:v>1</x:v>
      </x:c>
      <x:c r="N1152" s="2"/>
      <x:c r="O1152" s="2"/>
    </x:row>
    <x:row r="1153" ht="21" customHeight="1">
      <x:c r="A1153" s="2" t="str">
        <x:v>NT001152</x:v>
      </x:c>
      <x:c r="B1153" s="2" t="str">
        <x:v>EV001154</x:v>
      </x:c>
      <x:c r="C1153" s="2" t="str">
        <x:v>T20261006-1-2</x:v>
      </x:c>
      <x:c r="D1153" s="2" t="str">
        <x:v>ST060</x:v>
      </x:c>
      <x:c r="E1153" s="2" t="str">
        <x:v>G060</x:v>
      </x:c>
      <x:c r="F1153" s="2" t="str">
        <x:v>guardian060@example.invalid</x:v>
      </x:c>
      <x:c r="G1153" s="2" t="str">
        <x:v>Email</x:v>
      </x:c>
      <x:c r="H1153" s="2" t="str">
        <x:v>School receipt</x:v>
      </x:c>
      <x:c r="I1153" s="8" t="n">
        <x:v>46301.27704861111</x:v>
      </x:c>
      <x:c r="J1153" s="8" t="n">
        <x:v>46301.27707175926</x:v>
      </x:c>
      <x:c r="K1153" s="8" t="n">
        <x:v>46301.27710648148</x:v>
      </x:c>
      <x:c r="L1153" s="2" t="str">
        <x:v>Sent</x:v>
      </x:c>
      <x:c r="M1153" s="2" t="n">
        <x:v>1</x:v>
      </x:c>
      <x:c r="N1153" s="2"/>
      <x:c r="O1153" s="2"/>
    </x:row>
    <x:row r="1154" ht="21" customHeight="1">
      <x:c r="A1154" s="2" t="str">
        <x:v>NT001153</x:v>
      </x:c>
      <x:c r="B1154" s="2" t="str">
        <x:v>EV001155</x:v>
      </x:c>
      <x:c r="C1154" s="2" t="str">
        <x:v>T20261006-2-2</x:v>
      </x:c>
      <x:c r="D1154" s="2" t="str">
        <x:v>ST041</x:v>
      </x:c>
      <x:c r="E1154" s="2" t="str">
        <x:v>G041</x:v>
      </x:c>
      <x:c r="F1154" s="2" t="str">
        <x:v>guardian041@example.invalid</x:v>
      </x:c>
      <x:c r="G1154" s="2" t="str">
        <x:v>Email</x:v>
      </x:c>
      <x:c r="H1154" s="2" t="str">
        <x:v>Boarded</x:v>
      </x:c>
      <x:c r="I1154" s="8" t="n">
        <x:v>46301.4375</x:v>
      </x:c>
      <x:c r="J1154" s="8" t="n">
        <x:v>46301.437523148146</x:v>
      </x:c>
      <x:c r="K1154" s="8" t="n">
        <x:v>46301.43755787037</x:v>
      </x:c>
      <x:c r="L1154" s="2" t="str">
        <x:v>Sent</x:v>
      </x:c>
      <x:c r="M1154" s="2" t="n">
        <x:v>1</x:v>
      </x:c>
      <x:c r="N1154" s="2"/>
      <x:c r="O1154" s="2"/>
    </x:row>
    <x:row r="1155" ht="21" customHeight="1">
      <x:c r="A1155" s="2" t="str">
        <x:v>NT001154</x:v>
      </x:c>
      <x:c r="B1155" s="2" t="str">
        <x:v>EV001156</x:v>
      </x:c>
      <x:c r="C1155" s="2" t="str">
        <x:v>T20261006-2-2</x:v>
      </x:c>
      <x:c r="D1155" s="2" t="str">
        <x:v>ST041</x:v>
      </x:c>
      <x:c r="E1155" s="2" t="str">
        <x:v>G041</x:v>
      </x:c>
      <x:c r="F1155" s="2" t="str">
        <x:v>guardian041@example.invalid</x:v>
      </x:c>
      <x:c r="G1155" s="2" t="str">
        <x:v>Email</x:v>
      </x:c>
      <x:c r="H1155" s="2" t="str">
        <x:v>Authorized release</x:v>
      </x:c>
      <x:c r="I1155" s="8" t="n">
        <x:v>46301.44930555555</x:v>
      </x:c>
      <x:c r="J1155" s="8" t="n">
        <x:v>46301.4493287037</x:v>
      </x:c>
      <x:c r="K1155" s="8" t="n">
        <x:v>46301.44936342592</x:v>
      </x:c>
      <x:c r="L1155" s="2" t="str">
        <x:v>Sent</x:v>
      </x:c>
      <x:c r="M1155" s="2" t="n">
        <x:v>1</x:v>
      </x:c>
      <x:c r="N1155" s="2"/>
      <x:c r="O1155" s="2"/>
    </x:row>
    <x:row r="1156" ht="21" customHeight="1">
      <x:c r="A1156" s="2" t="str">
        <x:v>NT001155</x:v>
      </x:c>
      <x:c r="B1156" s="2" t="str">
        <x:v>EV001157</x:v>
      </x:c>
      <x:c r="C1156" s="2" t="str">
        <x:v>T20261006-2-2</x:v>
      </x:c>
      <x:c r="D1156" s="2" t="str">
        <x:v>ST042</x:v>
      </x:c>
      <x:c r="E1156" s="2" t="str">
        <x:v>G042</x:v>
      </x:c>
      <x:c r="F1156" s="2" t="str">
        <x:v>guardian042@example.invalid</x:v>
      </x:c>
      <x:c r="G1156" s="2" t="str">
        <x:v>Email</x:v>
      </x:c>
      <x:c r="H1156" s="2" t="str">
        <x:v>Boarded</x:v>
      </x:c>
      <x:c r="I1156" s="8" t="n">
        <x:v>46301.43753472222</x:v>
      </x:c>
      <x:c r="J1156" s="8" t="n">
        <x:v>46301.43755787037</x:v>
      </x:c>
      <x:c r="K1156" s="8" t="n">
        <x:v>46301.43759259259</x:v>
      </x:c>
      <x:c r="L1156" s="2" t="str">
        <x:v>Sent</x:v>
      </x:c>
      <x:c r="M1156" s="2" t="n">
        <x:v>1</x:v>
      </x:c>
      <x:c r="N1156" s="2"/>
      <x:c r="O1156" s="2"/>
    </x:row>
    <x:row r="1157" ht="21" customHeight="1">
      <x:c r="A1157" s="2" t="str">
        <x:v>NT001156</x:v>
      </x:c>
      <x:c r="B1157" s="2" t="str">
        <x:v>EV001158</x:v>
      </x:c>
      <x:c r="C1157" s="2" t="str">
        <x:v>T20261006-2-2</x:v>
      </x:c>
      <x:c r="D1157" s="2" t="str">
        <x:v>ST042</x:v>
      </x:c>
      <x:c r="E1157" s="2" t="str">
        <x:v>G042</x:v>
      </x:c>
      <x:c r="F1157" s="2" t="str">
        <x:v>guardian042@example.invalid</x:v>
      </x:c>
      <x:c r="G1157" s="2" t="str">
        <x:v>Email</x:v>
      </x:c>
      <x:c r="H1157" s="2" t="str">
        <x:v>Authorized release</x:v>
      </x:c>
      <x:c r="I1157" s="8" t="n">
        <x:v>46301.45350694445</x:v>
      </x:c>
      <x:c r="J1157" s="8" t="n">
        <x:v>46301.45353009259</x:v>
      </x:c>
      <x:c r="K1157" s="8" t="n">
        <x:v>46301.453564814816</x:v>
      </x:c>
      <x:c r="L1157" s="2" t="str">
        <x:v>Sent</x:v>
      </x:c>
      <x:c r="M1157" s="2" t="n">
        <x:v>1</x:v>
      </x:c>
      <x:c r="N1157" s="2"/>
      <x:c r="O1157" s="2"/>
    </x:row>
    <x:row r="1158" ht="21" customHeight="1">
      <x:c r="A1158" s="2" t="str">
        <x:v>NT001157</x:v>
      </x:c>
      <x:c r="B1158" s="2" t="str">
        <x:v>EV001159</x:v>
      </x:c>
      <x:c r="C1158" s="2" t="str">
        <x:v>T20261006-2-2</x:v>
      </x:c>
      <x:c r="D1158" s="2" t="str">
        <x:v>ST043</x:v>
      </x:c>
      <x:c r="E1158" s="2" t="str">
        <x:v>G043</x:v>
      </x:c>
      <x:c r="F1158" s="2" t="str">
        <x:v>guardian043@example.invalid</x:v>
      </x:c>
      <x:c r="G1158" s="2" t="str">
        <x:v>Email</x:v>
      </x:c>
      <x:c r="H1158" s="2" t="str">
        <x:v>Boarded</x:v>
      </x:c>
      <x:c r="I1158" s="8" t="n">
        <x:v>46301.437569444446</x:v>
      </x:c>
      <x:c r="J1158" s="8" t="n">
        <x:v>46301.43759259259</x:v>
      </x:c>
      <x:c r="K1158" s="8" t="n">
        <x:v>46301.437627314815</x:v>
      </x:c>
      <x:c r="L1158" s="2" t="str">
        <x:v>Sent</x:v>
      </x:c>
      <x:c r="M1158" s="2" t="n">
        <x:v>1</x:v>
      </x:c>
      <x:c r="N1158" s="2"/>
      <x:c r="O1158" s="2"/>
    </x:row>
    <x:row r="1159" ht="21" customHeight="1">
      <x:c r="A1159" s="2" t="str">
        <x:v>NT001158</x:v>
      </x:c>
      <x:c r="B1159" s="2" t="str">
        <x:v>EV001160</x:v>
      </x:c>
      <x:c r="C1159" s="2" t="str">
        <x:v>T20261006-2-2</x:v>
      </x:c>
      <x:c r="D1159" s="2" t="str">
        <x:v>ST043</x:v>
      </x:c>
      <x:c r="E1159" s="2" t="str">
        <x:v>G043</x:v>
      </x:c>
      <x:c r="F1159" s="2" t="str">
        <x:v>guardian043@example.invalid</x:v>
      </x:c>
      <x:c r="G1159" s="2" t="str">
        <x:v>Email</x:v>
      </x:c>
      <x:c r="H1159" s="2" t="str">
        <x:v>Authorized release</x:v>
      </x:c>
      <x:c r="I1159" s="8" t="n">
        <x:v>46301.457708333335</x:v>
      </x:c>
      <x:c r="J1159" s="8" t="n">
        <x:v>46301.45773148148</x:v>
      </x:c>
      <x:c r="K1159" s="8" t="n">
        <x:v>46301.457766203705</x:v>
      </x:c>
      <x:c r="L1159" s="2" t="str">
        <x:v>Sent</x:v>
      </x:c>
      <x:c r="M1159" s="2" t="n">
        <x:v>1</x:v>
      </x:c>
      <x:c r="N1159" s="2"/>
      <x:c r="O1159" s="2"/>
    </x:row>
    <x:row r="1160" ht="21" customHeight="1">
      <x:c r="A1160" s="2" t="str">
        <x:v>NT001159</x:v>
      </x:c>
      <x:c r="B1160" s="2" t="str">
        <x:v>EV001161</x:v>
      </x:c>
      <x:c r="C1160" s="2" t="str">
        <x:v>T20261006-2-2</x:v>
      </x:c>
      <x:c r="D1160" s="2" t="str">
        <x:v>ST044</x:v>
      </x:c>
      <x:c r="E1160" s="2" t="str">
        <x:v>G044</x:v>
      </x:c>
      <x:c r="F1160" s="2" t="str">
        <x:v>guardian044@example.invalid</x:v>
      </x:c>
      <x:c r="G1160" s="2" t="str">
        <x:v>Email</x:v>
      </x:c>
      <x:c r="H1160" s="2" t="str">
        <x:v>Boarded</x:v>
      </x:c>
      <x:c r="I1160" s="8" t="n">
        <x:v>46301.43760416667</x:v>
      </x:c>
      <x:c r="J1160" s="8" t="n">
        <x:v>46301.437627314815</x:v>
      </x:c>
      <x:c r="K1160" s="8" t="n">
        <x:v>46301.43766203704</x:v>
      </x:c>
      <x:c r="L1160" s="2" t="str">
        <x:v>Sent</x:v>
      </x:c>
      <x:c r="M1160" s="2" t="n">
        <x:v>1</x:v>
      </x:c>
      <x:c r="N1160" s="2"/>
      <x:c r="O1160" s="2"/>
    </x:row>
    <x:row r="1161" ht="21" customHeight="1">
      <x:c r="A1161" s="2" t="str">
        <x:v>NT001160</x:v>
      </x:c>
      <x:c r="B1161" s="2" t="str">
        <x:v>EV001162</x:v>
      </x:c>
      <x:c r="C1161" s="2" t="str">
        <x:v>T20261006-2-2</x:v>
      </x:c>
      <x:c r="D1161" s="2" t="str">
        <x:v>ST044</x:v>
      </x:c>
      <x:c r="E1161" s="2" t="str">
        <x:v>G044</x:v>
      </x:c>
      <x:c r="F1161" s="2" t="str">
        <x:v>guardian044@example.invalid</x:v>
      </x:c>
      <x:c r="G1161" s="2" t="str">
        <x:v>Email</x:v>
      </x:c>
      <x:c r="H1161" s="2" t="str">
        <x:v>Authorized release</x:v>
      </x:c>
      <x:c r="I1161" s="8" t="n">
        <x:v>46301.44940972222</x:v>
      </x:c>
      <x:c r="J1161" s="8" t="n">
        <x:v>46301.449432870366</x:v>
      </x:c>
      <x:c r="K1161" s="8" t="n">
        <x:v>46301.44946759259</x:v>
      </x:c>
      <x:c r="L1161" s="2" t="str">
        <x:v>Sent</x:v>
      </x:c>
      <x:c r="M1161" s="2" t="n">
        <x:v>1</x:v>
      </x:c>
      <x:c r="N1161" s="2"/>
      <x:c r="O1161" s="2"/>
    </x:row>
    <x:row r="1162" ht="21" customHeight="1">
      <x:c r="A1162" s="2" t="str">
        <x:v>NT001161</x:v>
      </x:c>
      <x:c r="B1162" s="2" t="str">
        <x:v>EV001163</x:v>
      </x:c>
      <x:c r="C1162" s="2" t="str">
        <x:v>T20261006-2-2</x:v>
      </x:c>
      <x:c r="D1162" s="2" t="str">
        <x:v>ST045</x:v>
      </x:c>
      <x:c r="E1162" s="2" t="str">
        <x:v>G045</x:v>
      </x:c>
      <x:c r="F1162" s="2" t="str">
        <x:v>guardian045@example.invalid</x:v>
      </x:c>
      <x:c r="G1162" s="2" t="str">
        <x:v>Email</x:v>
      </x:c>
      <x:c r="H1162" s="2" t="str">
        <x:v>Boarded</x:v>
      </x:c>
      <x:c r="I1162" s="8" t="n">
        <x:v>46301.43763888889</x:v>
      </x:c>
      <x:c r="J1162" s="8" t="n">
        <x:v>46301.43766203704</x:v>
      </x:c>
      <x:c r="K1162" s="8" t="n">
        <x:v>46301.43769675926</x:v>
      </x:c>
      <x:c r="L1162" s="2" t="str">
        <x:v>Sent</x:v>
      </x:c>
      <x:c r="M1162" s="2" t="n">
        <x:v>1</x:v>
      </x:c>
      <x:c r="N1162" s="2"/>
      <x:c r="O1162" s="2"/>
    </x:row>
    <x:row r="1163" ht="21" customHeight="1">
      <x:c r="A1163" s="2" t="str">
        <x:v>NT001162</x:v>
      </x:c>
      <x:c r="B1163" s="2" t="str">
        <x:v>EV001164</x:v>
      </x:c>
      <x:c r="C1163" s="2" t="str">
        <x:v>T20261006-2-2</x:v>
      </x:c>
      <x:c r="D1163" s="2" t="str">
        <x:v>ST045</x:v>
      </x:c>
      <x:c r="E1163" s="2" t="str">
        <x:v>G045</x:v>
      </x:c>
      <x:c r="F1163" s="2" t="str">
        <x:v>guardian045@example.invalid</x:v>
      </x:c>
      <x:c r="G1163" s="2" t="str">
        <x:v>Email</x:v>
      </x:c>
      <x:c r="H1163" s="2" t="str">
        <x:v>Authorized release</x:v>
      </x:c>
      <x:c r="I1163" s="8" t="n">
        <x:v>46301.453611111116</x:v>
      </x:c>
      <x:c r="J1163" s="8" t="n">
        <x:v>46301.45363425926</x:v>
      </x:c>
      <x:c r="K1163" s="8" t="n">
        <x:v>46301.453668981485</x:v>
      </x:c>
      <x:c r="L1163" s="2" t="str">
        <x:v>Sent</x:v>
      </x:c>
      <x:c r="M1163" s="2" t="n">
        <x:v>1</x:v>
      </x:c>
      <x:c r="N1163" s="2"/>
      <x:c r="O1163" s="2"/>
    </x:row>
    <x:row r="1164" ht="21" customHeight="1">
      <x:c r="A1164" s="2" t="str">
        <x:v>NT001163</x:v>
      </x:c>
      <x:c r="B1164" s="2" t="str">
        <x:v>EV001165</x:v>
      </x:c>
      <x:c r="C1164" s="2" t="str">
        <x:v>T20261006-2-2</x:v>
      </x:c>
      <x:c r="D1164" s="2" t="str">
        <x:v>ST046</x:v>
      </x:c>
      <x:c r="E1164" s="2" t="str">
        <x:v>G046</x:v>
      </x:c>
      <x:c r="F1164" s="2" t="str">
        <x:v>guardian046@example.invalid</x:v>
      </x:c>
      <x:c r="G1164" s="2" t="str">
        <x:v>Email</x:v>
      </x:c>
      <x:c r="H1164" s="2" t="str">
        <x:v>Boarded</x:v>
      </x:c>
      <x:c r="I1164" s="8" t="n">
        <x:v>46301.43767361111</x:v>
      </x:c>
      <x:c r="J1164" s="8" t="n">
        <x:v>46301.437696759254</x:v>
      </x:c>
      <x:c r="K1164" s="8" t="n">
        <x:v>46301.43773148148</x:v>
      </x:c>
      <x:c r="L1164" s="2" t="str">
        <x:v>Sent</x:v>
      </x:c>
      <x:c r="M1164" s="2" t="n">
        <x:v>1</x:v>
      </x:c>
      <x:c r="N1164" s="2"/>
      <x:c r="O1164" s="2"/>
    </x:row>
    <x:row r="1165" ht="21" customHeight="1">
      <x:c r="A1165" s="2" t="str">
        <x:v>NT001164</x:v>
      </x:c>
      <x:c r="B1165" s="2" t="str">
        <x:v>EV001166</x:v>
      </x:c>
      <x:c r="C1165" s="2" t="str">
        <x:v>T20261006-2-2</x:v>
      </x:c>
      <x:c r="D1165" s="2" t="str">
        <x:v>ST046</x:v>
      </x:c>
      <x:c r="E1165" s="2" t="str">
        <x:v>G046</x:v>
      </x:c>
      <x:c r="F1165" s="2" t="str">
        <x:v>guardian046@example.invalid</x:v>
      </x:c>
      <x:c r="G1165" s="2" t="str">
        <x:v>Email</x:v>
      </x:c>
      <x:c r="H1165" s="2" t="str">
        <x:v>Authorized release</x:v>
      </x:c>
      <x:c r="I1165" s="8" t="n">
        <x:v>46301.4578125</x:v>
      </x:c>
      <x:c r="J1165" s="8" t="n">
        <x:v>46301.45783564814</x:v>
      </x:c>
      <x:c r="K1165" s="8" t="n">
        <x:v>46301.45787037037</x:v>
      </x:c>
      <x:c r="L1165" s="2" t="str">
        <x:v>Sent</x:v>
      </x:c>
      <x:c r="M1165" s="2" t="n">
        <x:v>1</x:v>
      </x:c>
      <x:c r="N1165" s="2"/>
      <x:c r="O1165" s="2"/>
    </x:row>
    <x:row r="1166" ht="21" customHeight="1">
      <x:c r="A1166" s="2" t="str">
        <x:v>NT001165</x:v>
      </x:c>
      <x:c r="B1166" s="2" t="str">
        <x:v>EV001167</x:v>
      </x:c>
      <x:c r="C1166" s="2" t="str">
        <x:v>T20261006-2-2</x:v>
      </x:c>
      <x:c r="D1166" s="2" t="str">
        <x:v>ST047</x:v>
      </x:c>
      <x:c r="E1166" s="2" t="str">
        <x:v>G047</x:v>
      </x:c>
      <x:c r="F1166" s="2" t="str">
        <x:v>guardian047@example.invalid</x:v>
      </x:c>
      <x:c r="G1166" s="2" t="str">
        <x:v>Email</x:v>
      </x:c>
      <x:c r="H1166" s="2" t="str">
        <x:v>Boarded</x:v>
      </x:c>
      <x:c r="I1166" s="8" t="n">
        <x:v>46301.43770833333</x:v>
      </x:c>
      <x:c r="J1166" s="8" t="n">
        <x:v>46301.43773148148</x:v>
      </x:c>
      <x:c r="K1166" s="8" t="n">
        <x:v>46301.4377662037</x:v>
      </x:c>
      <x:c r="L1166" s="2" t="str">
        <x:v>Sent</x:v>
      </x:c>
      <x:c r="M1166" s="2" t="n">
        <x:v>1</x:v>
      </x:c>
      <x:c r="N1166" s="2"/>
      <x:c r="O1166" s="2"/>
    </x:row>
    <x:row r="1167" ht="21" customHeight="1">
      <x:c r="A1167" s="2" t="str">
        <x:v>NT001166</x:v>
      </x:c>
      <x:c r="B1167" s="2" t="str">
        <x:v>EV001168</x:v>
      </x:c>
      <x:c r="C1167" s="2" t="str">
        <x:v>T20261006-2-2</x:v>
      </x:c>
      <x:c r="D1167" s="2" t="str">
        <x:v>ST047</x:v>
      </x:c>
      <x:c r="E1167" s="2" t="str">
        <x:v>G047</x:v>
      </x:c>
      <x:c r="F1167" s="2" t="str">
        <x:v>guardian047@example.invalid</x:v>
      </x:c>
      <x:c r="G1167" s="2" t="str">
        <x:v>Email</x:v>
      </x:c>
      <x:c r="H1167" s="2" t="str">
        <x:v>Authorized release</x:v>
      </x:c>
      <x:c r="I1167" s="8" t="n">
        <x:v>46301.44951388888</x:v>
      </x:c>
      <x:c r="J1167" s="8" t="n">
        <x:v>46301.44953703703</x:v>
      </x:c>
      <x:c r="K1167" s="8" t="n">
        <x:v>46301.44957175925</x:v>
      </x:c>
      <x:c r="L1167" s="2" t="str">
        <x:v>Sent</x:v>
      </x:c>
      <x:c r="M1167" s="2" t="n">
        <x:v>1</x:v>
      </x:c>
      <x:c r="N1167" s="2"/>
      <x:c r="O1167" s="2"/>
    </x:row>
    <x:row r="1168" ht="21" customHeight="1">
      <x:c r="A1168" s="2" t="str">
        <x:v>NT001167</x:v>
      </x:c>
      <x:c r="B1168" s="2" t="str">
        <x:v>EV001169</x:v>
      </x:c>
      <x:c r="C1168" s="2" t="str">
        <x:v>T20261006-2-2</x:v>
      </x:c>
      <x:c r="D1168" s="2" t="str">
        <x:v>ST048</x:v>
      </x:c>
      <x:c r="E1168" s="2" t="str">
        <x:v>G048</x:v>
      </x:c>
      <x:c r="F1168" s="2" t="str">
        <x:v>guardian048@example.invalid</x:v>
      </x:c>
      <x:c r="G1168" s="2" t="str">
        <x:v>Email</x:v>
      </x:c>
      <x:c r="H1168" s="2" t="str">
        <x:v>Boarded</x:v>
      </x:c>
      <x:c r="I1168" s="8" t="n">
        <x:v>46301.437743055554</x:v>
      </x:c>
      <x:c r="J1168" s="8" t="n">
        <x:v>46301.4377662037</x:v>
      </x:c>
      <x:c r="K1168" s="8" t="n">
        <x:v>46301.43780092592</x:v>
      </x:c>
      <x:c r="L1168" s="2" t="str">
        <x:v>Sent</x:v>
      </x:c>
      <x:c r="M1168" s="2" t="n">
        <x:v>1</x:v>
      </x:c>
      <x:c r="N1168" s="2"/>
      <x:c r="O1168" s="2"/>
    </x:row>
    <x:row r="1169" ht="21" customHeight="1">
      <x:c r="A1169" s="2" t="str">
        <x:v>NT001168</x:v>
      </x:c>
      <x:c r="B1169" s="2" t="str">
        <x:v>EV001170</x:v>
      </x:c>
      <x:c r="C1169" s="2" t="str">
        <x:v>T20261006-2-2</x:v>
      </x:c>
      <x:c r="D1169" s="2" t="str">
        <x:v>ST048</x:v>
      </x:c>
      <x:c r="E1169" s="2" t="str">
        <x:v>G048</x:v>
      </x:c>
      <x:c r="F1169" s="2" t="str">
        <x:v>guardian048@example.invalid</x:v>
      </x:c>
      <x:c r="G1169" s="2" t="str">
        <x:v>Email</x:v>
      </x:c>
      <x:c r="H1169" s="2" t="str">
        <x:v>Authorized release</x:v>
      </x:c>
      <x:c r="I1169" s="8" t="n">
        <x:v>46301.45371527778</x:v>
      </x:c>
      <x:c r="J1169" s="8" t="n">
        <x:v>46301.453738425924</x:v>
      </x:c>
      <x:c r="K1169" s="8" t="n">
        <x:v>46301.45377314815</x:v>
      </x:c>
      <x:c r="L1169" s="2" t="str">
        <x:v>Sent</x:v>
      </x:c>
      <x:c r="M1169" s="2" t="n">
        <x:v>1</x:v>
      </x:c>
      <x:c r="N1169" s="2"/>
      <x:c r="O1169" s="2"/>
    </x:row>
    <x:row r="1170" ht="21" customHeight="1">
      <x:c r="A1170" s="2" t="str">
        <x:v>NT001169</x:v>
      </x:c>
      <x:c r="B1170" s="2" t="str">
        <x:v>EV001171</x:v>
      </x:c>
      <x:c r="C1170" s="2" t="str">
        <x:v>T20261006-2-2</x:v>
      </x:c>
      <x:c r="D1170" s="2" t="str">
        <x:v>ST049</x:v>
      </x:c>
      <x:c r="E1170" s="2" t="str">
        <x:v>G049</x:v>
      </x:c>
      <x:c r="F1170" s="2" t="str">
        <x:v>guardian049@example.invalid</x:v>
      </x:c>
      <x:c r="G1170" s="2" t="str">
        <x:v>Email</x:v>
      </x:c>
      <x:c r="H1170" s="2" t="str">
        <x:v>Boarded</x:v>
      </x:c>
      <x:c r="I1170" s="8" t="n">
        <x:v>46301.43777777778</x:v>
      </x:c>
      <x:c r="J1170" s="8" t="n">
        <x:v>46301.43780092592</x:v>
      </x:c>
      <x:c r="K1170" s="8" t="n">
        <x:v>46301.43783564815</x:v>
      </x:c>
      <x:c r="L1170" s="2" t="str">
        <x:v>Sent</x:v>
      </x:c>
      <x:c r="M1170" s="2" t="n">
        <x:v>1</x:v>
      </x:c>
      <x:c r="N1170" s="2"/>
      <x:c r="O1170" s="2"/>
    </x:row>
    <x:row r="1171" ht="21" customHeight="1">
      <x:c r="A1171" s="2" t="str">
        <x:v>NT001170</x:v>
      </x:c>
      <x:c r="B1171" s="2" t="str">
        <x:v>EV001172</x:v>
      </x:c>
      <x:c r="C1171" s="2" t="str">
        <x:v>T20261006-2-2</x:v>
      </x:c>
      <x:c r="D1171" s="2" t="str">
        <x:v>ST049</x:v>
      </x:c>
      <x:c r="E1171" s="2" t="str">
        <x:v>G049</x:v>
      </x:c>
      <x:c r="F1171" s="2" t="str">
        <x:v>guardian049@example.invalid</x:v>
      </x:c>
      <x:c r="G1171" s="2" t="str">
        <x:v>Email</x:v>
      </x:c>
      <x:c r="H1171" s="2" t="str">
        <x:v>Authorized release</x:v>
      </x:c>
      <x:c r="I1171" s="8" t="n">
        <x:v>46301.457916666666</x:v>
      </x:c>
      <x:c r="J1171" s="8" t="n">
        <x:v>46301.45793981481</x:v>
      </x:c>
      <x:c r="K1171" s="8" t="n">
        <x:v>46301.457974537036</x:v>
      </x:c>
      <x:c r="L1171" s="2" t="str">
        <x:v>Sent</x:v>
      </x:c>
      <x:c r="M1171" s="2" t="n">
        <x:v>1</x:v>
      </x:c>
      <x:c r="N1171" s="2"/>
      <x:c r="O1171" s="2"/>
    </x:row>
    <x:row r="1172" ht="21" customHeight="1">
      <x:c r="A1172" s="2" t="str">
        <x:v>NT001171</x:v>
      </x:c>
      <x:c r="B1172" s="2" t="str">
        <x:v>EV001173</x:v>
      </x:c>
      <x:c r="C1172" s="2" t="str">
        <x:v>T20261006-2-2</x:v>
      </x:c>
      <x:c r="D1172" s="2" t="str">
        <x:v>ST050</x:v>
      </x:c>
      <x:c r="E1172" s="2" t="str">
        <x:v>G050</x:v>
      </x:c>
      <x:c r="F1172" s="2" t="str">
        <x:v>guardian050@example.invalid</x:v>
      </x:c>
      <x:c r="G1172" s="2" t="str">
        <x:v>Email</x:v>
      </x:c>
      <x:c r="H1172" s="2" t="str">
        <x:v>Boarded</x:v>
      </x:c>
      <x:c r="I1172" s="8" t="n">
        <x:v>46301.4378125</x:v>
      </x:c>
      <x:c r="J1172" s="8" t="n">
        <x:v>46301.43783564815</x:v>
      </x:c>
      <x:c r="K1172" s="8" t="n">
        <x:v>46301.43787037037</x:v>
      </x:c>
      <x:c r="L1172" s="2" t="str">
        <x:v>Sent</x:v>
      </x:c>
      <x:c r="M1172" s="2" t="n">
        <x:v>1</x:v>
      </x:c>
      <x:c r="N1172" s="2"/>
      <x:c r="O1172" s="2"/>
    </x:row>
    <x:row r="1173" ht="21" customHeight="1">
      <x:c r="A1173" s="2" t="str">
        <x:v>NT001172</x:v>
      </x:c>
      <x:c r="B1173" s="2" t="str">
        <x:v>EV001174</x:v>
      </x:c>
      <x:c r="C1173" s="2" t="str">
        <x:v>T20261006-2-2</x:v>
      </x:c>
      <x:c r="D1173" s="2" t="str">
        <x:v>ST050</x:v>
      </x:c>
      <x:c r="E1173" s="2" t="str">
        <x:v>G050</x:v>
      </x:c>
      <x:c r="F1173" s="2" t="str">
        <x:v>guardian050@example.invalid</x:v>
      </x:c>
      <x:c r="G1173" s="2" t="str">
        <x:v>Email</x:v>
      </x:c>
      <x:c r="H1173" s="2" t="str">
        <x:v>Authorized release</x:v>
      </x:c>
      <x:c r="I1173" s="8" t="n">
        <x:v>46301.44961805555</x:v>
      </x:c>
      <x:c r="J1173" s="8" t="n">
        <x:v>46301.4496412037</x:v>
      </x:c>
      <x:c r="K1173" s="8" t="n">
        <x:v>46301.44967592592</x:v>
      </x:c>
      <x:c r="L1173" s="2" t="str">
        <x:v>Sent</x:v>
      </x:c>
      <x:c r="M1173" s="2" t="n">
        <x:v>1</x:v>
      </x:c>
      <x:c r="N1173" s="2"/>
      <x:c r="O1173" s="2"/>
    </x:row>
    <x:row r="1174" ht="21" customHeight="1">
      <x:c r="A1174" s="2" t="str">
        <x:v>NT001173</x:v>
      </x:c>
      <x:c r="B1174" s="2" t="str">
        <x:v>EV001175</x:v>
      </x:c>
      <x:c r="C1174" s="2" t="str">
        <x:v>T20261006-2-2</x:v>
      </x:c>
      <x:c r="D1174" s="2" t="str">
        <x:v>ST061</x:v>
      </x:c>
      <x:c r="E1174" s="2" t="str">
        <x:v>G061</x:v>
      </x:c>
      <x:c r="F1174" s="2" t="str">
        <x:v>guardian061@example.invalid</x:v>
      </x:c>
      <x:c r="G1174" s="2" t="str">
        <x:v>Email</x:v>
      </x:c>
      <x:c r="H1174" s="2" t="str">
        <x:v>Boarded</x:v>
      </x:c>
      <x:c r="I1174" s="8" t="n">
        <x:v>46301.48125</x:v>
      </x:c>
      <x:c r="J1174" s="8" t="n">
        <x:v>46301.49166666666</x:v>
      </x:c>
      <x:c r="K1174" s="8" t="n">
        <x:v>46301.491701388884</x:v>
      </x:c>
      <x:c r="L1174" s="2" t="str">
        <x:v>Sent</x:v>
      </x:c>
      <x:c r="M1174" s="2" t="n">
        <x:v>1</x:v>
      </x:c>
      <x:c r="N1174" s="2" t="str">
        <x:v>Delayed offline update</x:v>
      </x:c>
      <x:c r="O1174" s="2"/>
    </x:row>
    <x:row r="1175" ht="21" customHeight="1">
      <x:c r="A1175" s="2" t="str">
        <x:v>NT001174</x:v>
      </x:c>
      <x:c r="B1175" s="2" t="str">
        <x:v>EV001176</x:v>
      </x:c>
      <x:c r="C1175" s="2" t="str">
        <x:v>T20261006-2-2</x:v>
      </x:c>
      <x:c r="D1175" s="2" t="str">
        <x:v>ST061</x:v>
      </x:c>
      <x:c r="E1175" s="2" t="str">
        <x:v>G061</x:v>
      </x:c>
      <x:c r="F1175" s="2" t="str">
        <x:v>guardian061@example.invalid</x:v>
      </x:c>
      <x:c r="G1175" s="2" t="str">
        <x:v>Email</x:v>
      </x:c>
      <x:c r="H1175" s="2" t="str">
        <x:v>School receipt</x:v>
      </x:c>
      <x:c r="I1175" s="8" t="n">
        <x:v>46301.506250000006</x:v>
      </x:c>
      <x:c r="J1175" s="8" t="n">
        <x:v>46301.51666666667</x:v>
      </x:c>
      <x:c r="K1175" s="8" t="n">
        <x:v>46301.51670138889</x:v>
      </x:c>
      <x:c r="L1175" s="2" t="str">
        <x:v>Sent</x:v>
      </x:c>
      <x:c r="M1175" s="2" t="n">
        <x:v>1</x:v>
      </x:c>
      <x:c r="N1175" s="2" t="str">
        <x:v>Delayed offline update</x:v>
      </x:c>
      <x:c r="O1175" s="2"/>
    </x:row>
    <x:row r="1176" ht="21" customHeight="1">
      <x:c r="A1176" s="2" t="str">
        <x:v>NT001175</x:v>
      </x:c>
      <x:c r="B1176" s="2" t="str">
        <x:v>EV001177</x:v>
      </x:c>
      <x:c r="C1176" s="2" t="str">
        <x:v>T20261006-2-2</x:v>
      </x:c>
      <x:c r="D1176" s="2" t="str">
        <x:v>ST062</x:v>
      </x:c>
      <x:c r="E1176" s="2" t="str">
        <x:v>G062</x:v>
      </x:c>
      <x:c r="F1176" s="2" t="str">
        <x:v>guardian062@example.invalid</x:v>
      </x:c>
      <x:c r="G1176" s="2" t="str">
        <x:v>Email</x:v>
      </x:c>
      <x:c r="H1176" s="2" t="str">
        <x:v>Boarded</x:v>
      </x:c>
      <x:c r="I1176" s="8" t="n">
        <x:v>46301.4715625</x:v>
      </x:c>
      <x:c r="J1176" s="8" t="n">
        <x:v>46301.48197916667</x:v>
      </x:c>
      <x:c r="K1176" s="8" t="n">
        <x:v>46301.48201388889</x:v>
      </x:c>
      <x:c r="L1176" s="2" t="str">
        <x:v>Sent</x:v>
      </x:c>
      <x:c r="M1176" s="2" t="n">
        <x:v>1</x:v>
      </x:c>
      <x:c r="N1176" s="2" t="str">
        <x:v>Delayed offline update</x:v>
      </x:c>
      <x:c r="O1176" s="2"/>
    </x:row>
    <x:row r="1177" ht="21" customHeight="1">
      <x:c r="A1177" s="2" t="str">
        <x:v>NT001176</x:v>
      </x:c>
      <x:c r="B1177" s="2" t="str">
        <x:v>EV001178</x:v>
      </x:c>
      <x:c r="C1177" s="2" t="str">
        <x:v>T20261006-2-2</x:v>
      </x:c>
      <x:c r="D1177" s="2" t="str">
        <x:v>ST062</x:v>
      </x:c>
      <x:c r="E1177" s="2" t="str">
        <x:v>G062</x:v>
      </x:c>
      <x:c r="F1177" s="2" t="str">
        <x:v>guardian062@example.invalid</x:v>
      </x:c>
      <x:c r="G1177" s="2" t="str">
        <x:v>Email</x:v>
      </x:c>
      <x:c r="H1177" s="2" t="str">
        <x:v>School receipt</x:v>
      </x:c>
      <x:c r="I1177" s="8" t="n">
        <x:v>46301.50628472223</x:v>
      </x:c>
      <x:c r="J1177" s="8" t="n">
        <x:v>46301.51670138889</x:v>
      </x:c>
      <x:c r="K1177" s="8" t="n">
        <x:v>46301.516736111116</x:v>
      </x:c>
      <x:c r="L1177" s="2" t="str">
        <x:v>Sent</x:v>
      </x:c>
      <x:c r="M1177" s="2" t="n">
        <x:v>1</x:v>
      </x:c>
      <x:c r="N1177" s="2" t="str">
        <x:v>Delayed offline update</x:v>
      </x:c>
      <x:c r="O1177" s="2"/>
    </x:row>
    <x:row r="1178" ht="21" customHeight="1">
      <x:c r="A1178" s="2" t="str">
        <x:v>NT001177</x:v>
      </x:c>
      <x:c r="B1178" s="2" t="str">
        <x:v>EV001179</x:v>
      </x:c>
      <x:c r="C1178" s="2" t="str">
        <x:v>T20261006-2-2</x:v>
      </x:c>
      <x:c r="D1178" s="2" t="str">
        <x:v>ST063</x:v>
      </x:c>
      <x:c r="E1178" s="2" t="str">
        <x:v>G063</x:v>
      </x:c>
      <x:c r="F1178" s="2" t="str">
        <x:v>guardian063@example.invalid</x:v>
      </x:c>
      <x:c r="G1178" s="2" t="str">
        <x:v>Email</x:v>
      </x:c>
      <x:c r="H1178" s="2" t="str">
        <x:v>Boarded</x:v>
      </x:c>
      <x:c r="I1178" s="8" t="n">
        <x:v>46301.47645833333</x:v>
      </x:c>
      <x:c r="J1178" s="8" t="n">
        <x:v>46301.486874999995</x:v>
      </x:c>
      <x:c r="K1178" s="8" t="n">
        <x:v>46301.48690972222</x:v>
      </x:c>
      <x:c r="L1178" s="2" t="str">
        <x:v>Sent</x:v>
      </x:c>
      <x:c r="M1178" s="2" t="n">
        <x:v>1</x:v>
      </x:c>
      <x:c r="N1178" s="2" t="str">
        <x:v>Delayed offline update</x:v>
      </x:c>
      <x:c r="O1178" s="2"/>
    </x:row>
    <x:row r="1179" ht="21" customHeight="1">
      <x:c r="A1179" s="2" t="str">
        <x:v>NT001178</x:v>
      </x:c>
      <x:c r="B1179" s="2" t="str">
        <x:v>EV001180</x:v>
      </x:c>
      <x:c r="C1179" s="2" t="str">
        <x:v>T20261006-2-2</x:v>
      </x:c>
      <x:c r="D1179" s="2" t="str">
        <x:v>ST063</x:v>
      </x:c>
      <x:c r="E1179" s="2" t="str">
        <x:v>G063</x:v>
      </x:c>
      <x:c r="F1179" s="2" t="str">
        <x:v>guardian063@example.invalid</x:v>
      </x:c>
      <x:c r="G1179" s="2" t="str">
        <x:v>Email</x:v>
      </x:c>
      <x:c r="H1179" s="2" t="str">
        <x:v>School receipt</x:v>
      </x:c>
      <x:c r="I1179" s="8" t="n">
        <x:v>46301.506319444445</x:v>
      </x:c>
      <x:c r="J1179" s="8" t="n">
        <x:v>46301.51673611111</x:v>
      </x:c>
      <x:c r="K1179" s="8" t="n">
        <x:v>46301.51677083333</x:v>
      </x:c>
      <x:c r="L1179" s="2" t="str">
        <x:v>Sent</x:v>
      </x:c>
      <x:c r="M1179" s="2" t="n">
        <x:v>1</x:v>
      </x:c>
      <x:c r="N1179" s="2" t="str">
        <x:v>Delayed offline update</x:v>
      </x:c>
      <x:c r="O1179" s="2"/>
    </x:row>
    <x:row r="1180" ht="21" customHeight="1">
      <x:c r="A1180" s="2" t="str">
        <x:v>NT001179</x:v>
      </x:c>
      <x:c r="B1180" s="2" t="str">
        <x:v>EV001181</x:v>
      </x:c>
      <x:c r="C1180" s="2" t="str">
        <x:v>T20261006-2-2</x:v>
      </x:c>
      <x:c r="D1180" s="2" t="str">
        <x:v>ST064</x:v>
      </x:c>
      <x:c r="E1180" s="2" t="str">
        <x:v>G064</x:v>
      </x:c>
      <x:c r="F1180" s="2" t="str">
        <x:v>guardian064@example.invalid</x:v>
      </x:c>
      <x:c r="G1180" s="2" t="str">
        <x:v>Email</x:v>
      </x:c>
      <x:c r="H1180" s="2" t="str">
        <x:v>Boarded</x:v>
      </x:c>
      <x:c r="I1180" s="8" t="n">
        <x:v>46301.481354166666</x:v>
      </x:c>
      <x:c r="J1180" s="8" t="n">
        <x:v>46301.49177083333</x:v>
      </x:c>
      <x:c r="K1180" s="8" t="n">
        <x:v>46301.49180555555</x:v>
      </x:c>
      <x:c r="L1180" s="2" t="str">
        <x:v>Sent</x:v>
      </x:c>
      <x:c r="M1180" s="2" t="n">
        <x:v>1</x:v>
      </x:c>
      <x:c r="N1180" s="2" t="str">
        <x:v>Delayed offline update</x:v>
      </x:c>
      <x:c r="O1180" s="2"/>
    </x:row>
    <x:row r="1181" ht="21" customHeight="1">
      <x:c r="A1181" s="2" t="str">
        <x:v>NT001180</x:v>
      </x:c>
      <x:c r="B1181" s="2" t="str">
        <x:v>EV001182</x:v>
      </x:c>
      <x:c r="C1181" s="2" t="str">
        <x:v>T20261006-2-2</x:v>
      </x:c>
      <x:c r="D1181" s="2" t="str">
        <x:v>ST064</x:v>
      </x:c>
      <x:c r="E1181" s="2" t="str">
        <x:v>G064</x:v>
      </x:c>
      <x:c r="F1181" s="2" t="str">
        <x:v>guardian064@example.invalid</x:v>
      </x:c>
      <x:c r="G1181" s="2" t="str">
        <x:v>Email</x:v>
      </x:c>
      <x:c r="H1181" s="2" t="str">
        <x:v>School receipt</x:v>
      </x:c>
      <x:c r="I1181" s="8" t="n">
        <x:v>46301.50635416667</x:v>
      </x:c>
      <x:c r="J1181" s="8" t="n">
        <x:v>46301.51677083333</x:v>
      </x:c>
      <x:c r="K1181" s="8" t="n">
        <x:v>46301.516805555555</x:v>
      </x:c>
      <x:c r="L1181" s="2" t="str">
        <x:v>Sent</x:v>
      </x:c>
      <x:c r="M1181" s="2" t="n">
        <x:v>1</x:v>
      </x:c>
      <x:c r="N1181" s="2" t="str">
        <x:v>Delayed offline update</x:v>
      </x:c>
      <x:c r="O1181" s="2"/>
    </x:row>
    <x:row r="1182" ht="21" customHeight="1">
      <x:c r="A1182" s="2" t="str">
        <x:v>NT001181</x:v>
      </x:c>
      <x:c r="B1182" s="2" t="str">
        <x:v>EV001183</x:v>
      </x:c>
      <x:c r="C1182" s="2" t="str">
        <x:v>T20261006-2-2</x:v>
      </x:c>
      <x:c r="D1182" s="2" t="str">
        <x:v>ST065</x:v>
      </x:c>
      <x:c r="E1182" s="2" t="str">
        <x:v>G065</x:v>
      </x:c>
      <x:c r="F1182" s="2" t="str">
        <x:v>guardian065@example.invalid</x:v>
      </x:c>
      <x:c r="G1182" s="2" t="str">
        <x:v>Email</x:v>
      </x:c>
      <x:c r="H1182" s="2" t="str">
        <x:v>Boarded</x:v>
      </x:c>
      <x:c r="I1182" s="8" t="n">
        <x:v>46301.47166666667</x:v>
      </x:c>
      <x:c r="J1182" s="8" t="n">
        <x:v>46301.482083333336</x:v>
      </x:c>
      <x:c r="K1182" s="8" t="n">
        <x:v>46301.48211805556</x:v>
      </x:c>
      <x:c r="L1182" s="2" t="str">
        <x:v>Sent</x:v>
      </x:c>
      <x:c r="M1182" s="2" t="n">
        <x:v>1</x:v>
      </x:c>
      <x:c r="N1182" s="2" t="str">
        <x:v>Delayed offline update</x:v>
      </x:c>
      <x:c r="O1182" s="2"/>
    </x:row>
    <x:row r="1183" ht="21" customHeight="1">
      <x:c r="A1183" s="2" t="str">
        <x:v>NT001182</x:v>
      </x:c>
      <x:c r="B1183" s="2" t="str">
        <x:v>EV001184</x:v>
      </x:c>
      <x:c r="C1183" s="2" t="str">
        <x:v>T20261006-2-2</x:v>
      </x:c>
      <x:c r="D1183" s="2" t="str">
        <x:v>ST065</x:v>
      </x:c>
      <x:c r="E1183" s="2" t="str">
        <x:v>G065</x:v>
      </x:c>
      <x:c r="F1183" s="2" t="str">
        <x:v>guardian065@example.invalid</x:v>
      </x:c>
      <x:c r="G1183" s="2" t="str">
        <x:v>Email</x:v>
      </x:c>
      <x:c r="H1183" s="2" t="str">
        <x:v>School receipt</x:v>
      </x:c>
      <x:c r="I1183" s="8" t="n">
        <x:v>46301.50638888889</x:v>
      </x:c>
      <x:c r="J1183" s="8" t="n">
        <x:v>46301.516805555555</x:v>
      </x:c>
      <x:c r="K1183" s="8" t="n">
        <x:v>46301.51684027778</x:v>
      </x:c>
      <x:c r="L1183" s="2" t="str">
        <x:v>Sent</x:v>
      </x:c>
      <x:c r="M1183" s="2" t="n">
        <x:v>1</x:v>
      </x:c>
      <x:c r="N1183" s="2" t="str">
        <x:v>Delayed offline update</x:v>
      </x:c>
      <x:c r="O1183" s="2"/>
    </x:row>
    <x:row r="1184" ht="21" customHeight="1">
      <x:c r="A1184" s="2" t="str">
        <x:v>NT001183</x:v>
      </x:c>
      <x:c r="B1184" s="2" t="str">
        <x:v>EV001185</x:v>
      </x:c>
      <x:c r="C1184" s="2" t="str">
        <x:v>T20261006-2-2</x:v>
      </x:c>
      <x:c r="D1184" s="2" t="str">
        <x:v>ST066</x:v>
      </x:c>
      <x:c r="E1184" s="2" t="str">
        <x:v>G066</x:v>
      </x:c>
      <x:c r="F1184" s="2" t="str">
        <x:v>guardian066@example.invalid</x:v>
      </x:c>
      <x:c r="G1184" s="2" t="str">
        <x:v>Email</x:v>
      </x:c>
      <x:c r="H1184" s="2" t="str">
        <x:v>Boarded</x:v>
      </x:c>
      <x:c r="I1184" s="8" t="n">
        <x:v>46301.47656249999</x:v>
      </x:c>
      <x:c r="J1184" s="8" t="n">
        <x:v>46301.48697916666</x:v>
      </x:c>
      <x:c r="K1184" s="8" t="n">
        <x:v>46301.48701388888</x:v>
      </x:c>
      <x:c r="L1184" s="2" t="str">
        <x:v>Sent</x:v>
      </x:c>
      <x:c r="M1184" s="2" t="n">
        <x:v>1</x:v>
      </x:c>
      <x:c r="N1184" s="2" t="str">
        <x:v>Delayed offline update</x:v>
      </x:c>
      <x:c r="O1184" s="2"/>
    </x:row>
    <x:row r="1185" ht="21" customHeight="1">
      <x:c r="A1185" s="2" t="str">
        <x:v>NT001184</x:v>
      </x:c>
      <x:c r="B1185" s="2" t="str">
        <x:v>EV001186</x:v>
      </x:c>
      <x:c r="C1185" s="2" t="str">
        <x:v>T20261006-2-2</x:v>
      </x:c>
      <x:c r="D1185" s="2" t="str">
        <x:v>ST066</x:v>
      </x:c>
      <x:c r="E1185" s="2" t="str">
        <x:v>G066</x:v>
      </x:c>
      <x:c r="F1185" s="2" t="str">
        <x:v>guardian066@example.invalid</x:v>
      </x:c>
      <x:c r="G1185" s="2" t="str">
        <x:v>Email</x:v>
      </x:c>
      <x:c r="H1185" s="2" t="str">
        <x:v>School receipt</x:v>
      </x:c>
      <x:c r="I1185" s="8" t="n">
        <x:v>46301.506423611114</x:v>
      </x:c>
      <x:c r="J1185" s="8" t="n">
        <x:v>46301.51684027778</x:v>
      </x:c>
      <x:c r="K1185" s="8" t="n">
        <x:v>46301.516875</x:v>
      </x:c>
      <x:c r="L1185" s="2" t="str">
        <x:v>Sent</x:v>
      </x:c>
      <x:c r="M1185" s="2" t="n">
        <x:v>1</x:v>
      </x:c>
      <x:c r="N1185" s="2" t="str">
        <x:v>Delayed offline update</x:v>
      </x:c>
      <x:c r="O1185" s="2"/>
    </x:row>
    <x:row r="1186" ht="21" customHeight="1">
      <x:c r="A1186" s="2" t="str">
        <x:v>NT001185</x:v>
      </x:c>
      <x:c r="B1186" s="2" t="str">
        <x:v>EV001187</x:v>
      </x:c>
      <x:c r="C1186" s="2" t="str">
        <x:v>T20261006-2-2</x:v>
      </x:c>
      <x:c r="D1186" s="2" t="str">
        <x:v>ST067</x:v>
      </x:c>
      <x:c r="E1186" s="2" t="str">
        <x:v>G067</x:v>
      </x:c>
      <x:c r="F1186" s="2" t="str">
        <x:v>guardian067@example.invalid</x:v>
      </x:c>
      <x:c r="G1186" s="2" t="str">
        <x:v>Email</x:v>
      </x:c>
      <x:c r="H1186" s="2" t="str">
        <x:v>Boarded</x:v>
      </x:c>
      <x:c r="I1186" s="8" t="n">
        <x:v>46301.48145833333</x:v>
      </x:c>
      <x:c r="J1186" s="8" t="n">
        <x:v>46301.49187499999</x:v>
      </x:c>
      <x:c r="K1186" s="8" t="n">
        <x:v>46301.491909722215</x:v>
      </x:c>
      <x:c r="L1186" s="2" t="str">
        <x:v>Sent</x:v>
      </x:c>
      <x:c r="M1186" s="2" t="n">
        <x:v>1</x:v>
      </x:c>
      <x:c r="N1186" s="2" t="str">
        <x:v>Delayed offline update</x:v>
      </x:c>
      <x:c r="O1186" s="2"/>
    </x:row>
    <x:row r="1187" ht="21" customHeight="1">
      <x:c r="A1187" s="2" t="str">
        <x:v>NT001186</x:v>
      </x:c>
      <x:c r="B1187" s="2" t="str">
        <x:v>EV001188</x:v>
      </x:c>
      <x:c r="C1187" s="2" t="str">
        <x:v>T20261006-2-2</x:v>
      </x:c>
      <x:c r="D1187" s="2" t="str">
        <x:v>ST067</x:v>
      </x:c>
      <x:c r="E1187" s="2" t="str">
        <x:v>G067</x:v>
      </x:c>
      <x:c r="F1187" s="2" t="str">
        <x:v>guardian067@example.invalid</x:v>
      </x:c>
      <x:c r="G1187" s="2" t="str">
        <x:v>Email</x:v>
      </x:c>
      <x:c r="H1187" s="2" t="str">
        <x:v>School receipt</x:v>
      </x:c>
      <x:c r="I1187" s="8" t="n">
        <x:v>46301.50645833334</x:v>
      </x:c>
      <x:c r="J1187" s="8" t="n">
        <x:v>46301.516875</x:v>
      </x:c>
      <x:c r="K1187" s="8" t="n">
        <x:v>46301.516909722224</x:v>
      </x:c>
      <x:c r="L1187" s="2" t="str">
        <x:v>Sent</x:v>
      </x:c>
      <x:c r="M1187" s="2" t="n">
        <x:v>1</x:v>
      </x:c>
      <x:c r="N1187" s="2" t="str">
        <x:v>Delayed offline update</x:v>
      </x:c>
      <x:c r="O1187" s="2"/>
    </x:row>
    <x:row r="1188" ht="21" customHeight="1">
      <x:c r="A1188" s="2" t="str">
        <x:v>NT001187</x:v>
      </x:c>
      <x:c r="B1188" s="2" t="str">
        <x:v>EV001189</x:v>
      </x:c>
      <x:c r="C1188" s="2" t="str">
        <x:v>T20261006-2-2</x:v>
      </x:c>
      <x:c r="D1188" s="2" t="str">
        <x:v>ST068</x:v>
      </x:c>
      <x:c r="E1188" s="2" t="str">
        <x:v>G068</x:v>
      </x:c>
      <x:c r="F1188" s="2" t="str">
        <x:v>guardian068@example.invalid</x:v>
      </x:c>
      <x:c r="G1188" s="2" t="str">
        <x:v>Email</x:v>
      </x:c>
      <x:c r="H1188" s="2" t="str">
        <x:v>Boarded</x:v>
      </x:c>
      <x:c r="I1188" s="8" t="n">
        <x:v>46301.471770833334</x:v>
      </x:c>
      <x:c r="J1188" s="8" t="n">
        <x:v>46301.4821875</x:v>
      </x:c>
      <x:c r="K1188" s="8" t="n">
        <x:v>46301.48222222222</x:v>
      </x:c>
      <x:c r="L1188" s="2" t="str">
        <x:v>Sent</x:v>
      </x:c>
      <x:c r="M1188" s="2" t="n">
        <x:v>1</x:v>
      </x:c>
      <x:c r="N1188" s="2" t="str">
        <x:v>Delayed offline update</x:v>
      </x:c>
      <x:c r="O1188" s="2"/>
    </x:row>
    <x:row r="1189" ht="21" customHeight="1">
      <x:c r="A1189" s="2" t="str">
        <x:v>NT001188</x:v>
      </x:c>
      <x:c r="B1189" s="2" t="str">
        <x:v>EV001190</x:v>
      </x:c>
      <x:c r="C1189" s="2" t="str">
        <x:v>T20261006-2-2</x:v>
      </x:c>
      <x:c r="D1189" s="2" t="str">
        <x:v>ST068</x:v>
      </x:c>
      <x:c r="E1189" s="2" t="str">
        <x:v>G068</x:v>
      </x:c>
      <x:c r="F1189" s="2" t="str">
        <x:v>guardian068@example.invalid</x:v>
      </x:c>
      <x:c r="G1189" s="2" t="str">
        <x:v>Email</x:v>
      </x:c>
      <x:c r="H1189" s="2" t="str">
        <x:v>School receipt</x:v>
      </x:c>
      <x:c r="I1189" s="8" t="n">
        <x:v>46301.50649305556</x:v>
      </x:c>
      <x:c r="J1189" s="8" t="n">
        <x:v>46301.516909722224</x:v>
      </x:c>
      <x:c r="K1189" s="8" t="n">
        <x:v>46301.51694444445</x:v>
      </x:c>
      <x:c r="L1189" s="2" t="str">
        <x:v>Sent</x:v>
      </x:c>
      <x:c r="M1189" s="2" t="n">
        <x:v>1</x:v>
      </x:c>
      <x:c r="N1189" s="2" t="str">
        <x:v>Delayed offline update</x:v>
      </x:c>
      <x:c r="O1189" s="2"/>
    </x:row>
    <x:row r="1190" ht="21" customHeight="1">
      <x:c r="A1190" s="2" t="str">
        <x:v>NT001189</x:v>
      </x:c>
      <x:c r="B1190" s="2" t="str">
        <x:v>EV001191</x:v>
      </x:c>
      <x:c r="C1190" s="2" t="str">
        <x:v>T20261006-2-2</x:v>
      </x:c>
      <x:c r="D1190" s="2" t="str">
        <x:v>ST069</x:v>
      </x:c>
      <x:c r="E1190" s="2" t="str">
        <x:v>G069</x:v>
      </x:c>
      <x:c r="F1190" s="2" t="str">
        <x:v>guardian069@example.invalid</x:v>
      </x:c>
      <x:c r="G1190" s="2" t="str">
        <x:v>Email</x:v>
      </x:c>
      <x:c r="H1190" s="2" t="str">
        <x:v>Boarded</x:v>
      </x:c>
      <x:c r="I1190" s="8" t="n">
        <x:v>46301.47666666666</x:v>
      </x:c>
      <x:c r="J1190" s="8" t="n">
        <x:v>46301.487083333326</x:v>
      </x:c>
      <x:c r="K1190" s="8" t="n">
        <x:v>46301.48711805555</x:v>
      </x:c>
      <x:c r="L1190" s="2" t="str">
        <x:v>Sent</x:v>
      </x:c>
      <x:c r="M1190" s="2" t="n">
        <x:v>1</x:v>
      </x:c>
      <x:c r="N1190" s="2" t="str">
        <x:v>Delayed offline update</x:v>
      </x:c>
      <x:c r="O1190" s="2"/>
    </x:row>
    <x:row r="1191" ht="21" customHeight="1">
      <x:c r="A1191" s="2" t="str">
        <x:v>NT001190</x:v>
      </x:c>
      <x:c r="B1191" s="2" t="str">
        <x:v>EV001192</x:v>
      </x:c>
      <x:c r="C1191" s="2" t="str">
        <x:v>T20261006-2-2</x:v>
      </x:c>
      <x:c r="D1191" s="2" t="str">
        <x:v>ST069</x:v>
      </x:c>
      <x:c r="E1191" s="2" t="str">
        <x:v>G069</x:v>
      </x:c>
      <x:c r="F1191" s="2" t="str">
        <x:v>guardian069@example.invalid</x:v>
      </x:c>
      <x:c r="G1191" s="2" t="str">
        <x:v>Email</x:v>
      </x:c>
      <x:c r="H1191" s="2" t="str">
        <x:v>School receipt</x:v>
      </x:c>
      <x:c r="I1191" s="8" t="n">
        <x:v>46301.50652777778</x:v>
      </x:c>
      <x:c r="J1191" s="8" t="n">
        <x:v>46301.51694444445</x:v>
      </x:c>
      <x:c r="K1191" s="8" t="n">
        <x:v>46301.51697916667</x:v>
      </x:c>
      <x:c r="L1191" s="2" t="str">
        <x:v>Sent</x:v>
      </x:c>
      <x:c r="M1191" s="2" t="n">
        <x:v>1</x:v>
      </x:c>
      <x:c r="N1191" s="2" t="str">
        <x:v>Delayed offline update</x:v>
      </x:c>
      <x:c r="O1191" s="2"/>
    </x:row>
    <x:row r="1192" ht="21" customHeight="1">
      <x:c r="A1192" s="2" t="str">
        <x:v>NT001191</x:v>
      </x:c>
      <x:c r="B1192" s="2" t="str">
        <x:v>EV001193</x:v>
      </x:c>
      <x:c r="C1192" s="2" t="str">
        <x:v>T20261006-2-2</x:v>
      </x:c>
      <x:c r="D1192" s="2" t="str">
        <x:v>ST070</x:v>
      </x:c>
      <x:c r="E1192" s="2" t="str">
        <x:v>G070</x:v>
      </x:c>
      <x:c r="F1192" s="2" t="str">
        <x:v>guardian070@example.invalid</x:v>
      </x:c>
      <x:c r="G1192" s="2" t="str">
        <x:v>Email</x:v>
      </x:c>
      <x:c r="H1192" s="2" t="str">
        <x:v>Boarded</x:v>
      </x:c>
      <x:c r="I1192" s="8" t="n">
        <x:v>46301.4815625</x:v>
      </x:c>
      <x:c r="J1192" s="8" t="n">
        <x:v>46301.49197916666</x:v>
      </x:c>
      <x:c r="K1192" s="8" t="n">
        <x:v>46301.492013888885</x:v>
      </x:c>
      <x:c r="L1192" s="2" t="str">
        <x:v>Sent</x:v>
      </x:c>
      <x:c r="M1192" s="2" t="n">
        <x:v>1</x:v>
      </x:c>
      <x:c r="N1192" s="2" t="str">
        <x:v>Delayed offline update</x:v>
      </x:c>
      <x:c r="O1192" s="2"/>
    </x:row>
    <x:row r="1193" ht="21" customHeight="1">
      <x:c r="A1193" s="2" t="str">
        <x:v>NT001192</x:v>
      </x:c>
      <x:c r="B1193" s="2" t="str">
        <x:v>EV001194</x:v>
      </x:c>
      <x:c r="C1193" s="2" t="str">
        <x:v>T20261006-2-2</x:v>
      </x:c>
      <x:c r="D1193" s="2" t="str">
        <x:v>ST070</x:v>
      </x:c>
      <x:c r="E1193" s="2" t="str">
        <x:v>G070</x:v>
      </x:c>
      <x:c r="F1193" s="2" t="str">
        <x:v>guardian070@example.invalid</x:v>
      </x:c>
      <x:c r="G1193" s="2" t="str">
        <x:v>Email</x:v>
      </x:c>
      <x:c r="H1193" s="2" t="str">
        <x:v>School receipt</x:v>
      </x:c>
      <x:c r="I1193" s="8" t="n">
        <x:v>46301.506562500006</x:v>
      </x:c>
      <x:c r="J1193" s="8" t="n">
        <x:v>46301.51697916667</x:v>
      </x:c>
      <x:c r="K1193" s="8" t="n">
        <x:v>46301.51701388889</x:v>
      </x:c>
      <x:c r="L1193" s="2" t="str">
        <x:v>Sent</x:v>
      </x:c>
      <x:c r="M1193" s="2" t="n">
        <x:v>1</x:v>
      </x:c>
      <x:c r="N1193" s="2" t="str">
        <x:v>Delayed offline update</x:v>
      </x:c>
      <x:c r="O1193" s="2"/>
    </x:row>
    <x:row r="1194" ht="21" customHeight="1">
      <x:c r="A1194" s="2" t="str">
        <x:v>NT001193</x:v>
      </x:c>
      <x:c r="B1194" s="2" t="str">
        <x:v>EV001195</x:v>
      </x:c>
      <x:c r="C1194" s="2" t="str">
        <x:v>T20261006-2-2</x:v>
      </x:c>
      <x:c r="D1194" s="2" t="str">
        <x:v>ST071</x:v>
      </x:c>
      <x:c r="E1194" s="2" t="str">
        <x:v>G071</x:v>
      </x:c>
      <x:c r="F1194" s="2" t="str">
        <x:v>guardian071@example.invalid</x:v>
      </x:c>
      <x:c r="G1194" s="2" t="str">
        <x:v>Email</x:v>
      </x:c>
      <x:c r="H1194" s="2" t="str">
        <x:v>Boarded</x:v>
      </x:c>
      <x:c r="I1194" s="8" t="n">
        <x:v>46301.47152777778</x:v>
      </x:c>
      <x:c r="J1194" s="8" t="n">
        <x:v>46301.481944444444</x:v>
      </x:c>
      <x:c r="K1194" s="8" t="n">
        <x:v>46301.48197916667</x:v>
      </x:c>
      <x:c r="L1194" s="2" t="str">
        <x:v>Sent</x:v>
      </x:c>
      <x:c r="M1194" s="2" t="n">
        <x:v>1</x:v>
      </x:c>
      <x:c r="N1194" s="2" t="str">
        <x:v>Delayed offline update</x:v>
      </x:c>
      <x:c r="O1194" s="2"/>
    </x:row>
    <x:row r="1195" ht="21" customHeight="1">
      <x:c r="A1195" s="2" t="str">
        <x:v>NT001194</x:v>
      </x:c>
      <x:c r="B1195" s="2" t="str">
        <x:v>EV001196</x:v>
      </x:c>
      <x:c r="C1195" s="2" t="str">
        <x:v>T20261006-2-2</x:v>
      </x:c>
      <x:c r="D1195" s="2" t="str">
        <x:v>ST071</x:v>
      </x:c>
      <x:c r="E1195" s="2" t="str">
        <x:v>G071</x:v>
      </x:c>
      <x:c r="F1195" s="2" t="str">
        <x:v>guardian071@example.invalid</x:v>
      </x:c>
      <x:c r="G1195" s="2" t="str">
        <x:v>Email</x:v>
      </x:c>
      <x:c r="H1195" s="2" t="str">
        <x:v>School receipt</x:v>
      </x:c>
      <x:c r="I1195" s="8" t="n">
        <x:v>46301.50659722223</x:v>
      </x:c>
      <x:c r="J1195" s="8" t="n">
        <x:v>46301.51701388889</x:v>
      </x:c>
      <x:c r="K1195" s="8" t="n">
        <x:v>46301.51704861112</x:v>
      </x:c>
      <x:c r="L1195" s="2" t="str">
        <x:v>Sent</x:v>
      </x:c>
      <x:c r="M1195" s="2" t="n">
        <x:v>1</x:v>
      </x:c>
      <x:c r="N1195" s="2" t="str">
        <x:v>Delayed offline update</x:v>
      </x:c>
      <x:c r="O1195" s="2"/>
    </x:row>
    <x:row r="1196" ht="21" customHeight="1">
      <x:c r="A1196" s="2" t="str">
        <x:v>NT001195</x:v>
      </x:c>
      <x:c r="B1196" s="2" t="str">
        <x:v>EV001197</x:v>
      </x:c>
      <x:c r="C1196" s="2" t="str">
        <x:v>T20261006-2-2</x:v>
      </x:c>
      <x:c r="D1196" s="2" t="str">
        <x:v>ST072</x:v>
      </x:c>
      <x:c r="E1196" s="2" t="str">
        <x:v>G072</x:v>
      </x:c>
      <x:c r="F1196" s="2" t="str">
        <x:v>guardian072@example.invalid</x:v>
      </x:c>
      <x:c r="G1196" s="2" t="str">
        <x:v>Email</x:v>
      </x:c>
      <x:c r="H1196" s="2" t="str">
        <x:v>Boarded</x:v>
      </x:c>
      <x:c r="I1196" s="8" t="n">
        <x:v>46301.47642361111</x:v>
      </x:c>
      <x:c r="J1196" s="8" t="n">
        <x:v>46301.48684027777</x:v>
      </x:c>
      <x:c r="K1196" s="8" t="n">
        <x:v>46301.486874999995</x:v>
      </x:c>
      <x:c r="L1196" s="2" t="str">
        <x:v>Sent</x:v>
      </x:c>
      <x:c r="M1196" s="2" t="n">
        <x:v>1</x:v>
      </x:c>
      <x:c r="N1196" s="2" t="str">
        <x:v>Delayed offline update</x:v>
      </x:c>
      <x:c r="O1196" s="2"/>
    </x:row>
    <x:row r="1197" ht="21" customHeight="1">
      <x:c r="A1197" s="2" t="str">
        <x:v>NT001196</x:v>
      </x:c>
      <x:c r="B1197" s="2" t="str">
        <x:v>EV001198</x:v>
      </x:c>
      <x:c r="C1197" s="2" t="str">
        <x:v>T20261006-2-2</x:v>
      </x:c>
      <x:c r="D1197" s="2" t="str">
        <x:v>ST072</x:v>
      </x:c>
      <x:c r="E1197" s="2" t="str">
        <x:v>G072</x:v>
      </x:c>
      <x:c r="F1197" s="2" t="str">
        <x:v>guardian072@example.invalid</x:v>
      </x:c>
      <x:c r="G1197" s="2" t="str">
        <x:v>Email</x:v>
      </x:c>
      <x:c r="H1197" s="2" t="str">
        <x:v>School receipt</x:v>
      </x:c>
      <x:c r="I1197" s="8" t="n">
        <x:v>46301.506631944445</x:v>
      </x:c>
      <x:c r="J1197" s="8" t="n">
        <x:v>46301.51704861111</x:v>
      </x:c>
      <x:c r="K1197" s="8" t="n">
        <x:v>46301.51708333333</x:v>
      </x:c>
      <x:c r="L1197" s="2" t="str">
        <x:v>Sent</x:v>
      </x:c>
      <x:c r="M1197" s="2" t="n">
        <x:v>1</x:v>
      </x:c>
      <x:c r="N1197" s="2" t="str">
        <x:v>Delayed offline update</x:v>
      </x:c>
      <x:c r="O1197" s="2"/>
    </x:row>
    <x:row r="1198" ht="21" customHeight="1">
      <x:c r="A1198" s="2" t="str">
        <x:v>NT001197</x:v>
      </x:c>
      <x:c r="B1198" s="2" t="str">
        <x:v>EV001199</x:v>
      </x:c>
      <x:c r="C1198" s="2" t="str">
        <x:v>T20261006-2-2</x:v>
      </x:c>
      <x:c r="D1198" s="2" t="str">
        <x:v>ST073</x:v>
      </x:c>
      <x:c r="E1198" s="2" t="str">
        <x:v>G073</x:v>
      </x:c>
      <x:c r="F1198" s="2" t="str">
        <x:v>guardian073@example.invalid</x:v>
      </x:c>
      <x:c r="G1198" s="2" t="str">
        <x:v>Email</x:v>
      </x:c>
      <x:c r="H1198" s="2" t="str">
        <x:v>Boarded</x:v>
      </x:c>
      <x:c r="I1198" s="8" t="n">
        <x:v>46301.48131944444</x:v>
      </x:c>
      <x:c r="J1198" s="8" t="n">
        <x:v>46301.49173611111</x:v>
      </x:c>
      <x:c r="K1198" s="8" t="n">
        <x:v>46301.49177083333</x:v>
      </x:c>
      <x:c r="L1198" s="2" t="str">
        <x:v>Sent</x:v>
      </x:c>
      <x:c r="M1198" s="2" t="n">
        <x:v>1</x:v>
      </x:c>
      <x:c r="N1198" s="2" t="str">
        <x:v>Delayed offline update</x:v>
      </x:c>
      <x:c r="O1198" s="2"/>
    </x:row>
    <x:row r="1199" ht="21" customHeight="1">
      <x:c r="A1199" s="2" t="str">
        <x:v>NT001198</x:v>
      </x:c>
      <x:c r="B1199" s="2" t="str">
        <x:v>EV001200</x:v>
      </x:c>
      <x:c r="C1199" s="2" t="str">
        <x:v>T20261006-2-2</x:v>
      </x:c>
      <x:c r="D1199" s="2" t="str">
        <x:v>ST073</x:v>
      </x:c>
      <x:c r="E1199" s="2" t="str">
        <x:v>G073</x:v>
      </x:c>
      <x:c r="F1199" s="2" t="str">
        <x:v>guardian073@example.invalid</x:v>
      </x:c>
      <x:c r="G1199" s="2" t="str">
        <x:v>Email</x:v>
      </x:c>
      <x:c r="H1199" s="2" t="str">
        <x:v>School receipt</x:v>
      </x:c>
      <x:c r="I1199" s="8" t="n">
        <x:v>46301.50666666667</x:v>
      </x:c>
      <x:c r="J1199" s="8" t="n">
        <x:v>46301.51708333333</x:v>
      </x:c>
      <x:c r="K1199" s="8" t="n">
        <x:v>46301.517118055555</x:v>
      </x:c>
      <x:c r="L1199" s="2" t="str">
        <x:v>Sent</x:v>
      </x:c>
      <x:c r="M1199" s="2" t="n">
        <x:v>1</x:v>
      </x:c>
      <x:c r="N1199" s="2" t="str">
        <x:v>Delayed offline update</x:v>
      </x:c>
      <x:c r="O1199" s="2"/>
    </x:row>
    <x:row r="1200" ht="21" customHeight="1">
      <x:c r="A1200" s="2" t="str">
        <x:v>NT001199</x:v>
      </x:c>
      <x:c r="B1200" s="2" t="str">
        <x:v>EV001201</x:v>
      </x:c>
      <x:c r="C1200" s="2" t="str">
        <x:v>T20261006-2-2</x:v>
      </x:c>
      <x:c r="D1200" s="2" t="str">
        <x:v>ST074</x:v>
      </x:c>
      <x:c r="E1200" s="2" t="str">
        <x:v>G074</x:v>
      </x:c>
      <x:c r="F1200" s="2" t="str">
        <x:v>guardian074@example.invalid</x:v>
      </x:c>
      <x:c r="G1200" s="2" t="str">
        <x:v>Email</x:v>
      </x:c>
      <x:c r="H1200" s="2" t="str">
        <x:v>Boarded</x:v>
      </x:c>
      <x:c r="I1200" s="8" t="n">
        <x:v>46301.47163194445</x:v>
      </x:c>
      <x:c r="J1200" s="8" t="n">
        <x:v>46301.48204861111</x:v>
      </x:c>
      <x:c r="K1200" s="8" t="n">
        <x:v>46301.482083333336</x:v>
      </x:c>
      <x:c r="L1200" s="2" t="str">
        <x:v>Sent</x:v>
      </x:c>
      <x:c r="M1200" s="2" t="n">
        <x:v>1</x:v>
      </x:c>
      <x:c r="N1200" s="2" t="str">
        <x:v>Delayed offline update</x:v>
      </x:c>
      <x:c r="O1200" s="2"/>
    </x:row>
    <x:row r="1201" ht="21" customHeight="1">
      <x:c r="A1201" s="2" t="str">
        <x:v>NT001200</x:v>
      </x:c>
      <x:c r="B1201" s="2" t="str">
        <x:v>EV001202</x:v>
      </x:c>
      <x:c r="C1201" s="2" t="str">
        <x:v>T20261006-2-2</x:v>
      </x:c>
      <x:c r="D1201" s="2" t="str">
        <x:v>ST074</x:v>
      </x:c>
      <x:c r="E1201" s="2" t="str">
        <x:v>G074</x:v>
      </x:c>
      <x:c r="F1201" s="2" t="str">
        <x:v>guardian074@example.invalid</x:v>
      </x:c>
      <x:c r="G1201" s="2" t="str">
        <x:v>Email</x:v>
      </x:c>
      <x:c r="H1201" s="2" t="str">
        <x:v>School receipt</x:v>
      </x:c>
      <x:c r="I1201" s="8" t="n">
        <x:v>46301.50670138889</x:v>
      </x:c>
      <x:c r="J1201" s="8" t="n">
        <x:v>46301.517118055555</x:v>
      </x:c>
      <x:c r="K1201" s="8" t="n">
        <x:v>46301.51715277778</x:v>
      </x:c>
      <x:c r="L1201" s="2" t="str">
        <x:v>Sent</x:v>
      </x:c>
      <x:c r="M1201" s="2" t="n">
        <x:v>1</x:v>
      </x:c>
      <x:c r="N1201" s="2" t="str">
        <x:v>Delayed offline update</x:v>
      </x:c>
      <x:c r="O1201" s="2"/>
    </x:row>
    <x:row r="1202" ht="21" customHeight="1">
      <x:c r="A1202" s="2" t="str">
        <x:v>NT001201</x:v>
      </x:c>
      <x:c r="B1202" s="2" t="str">
        <x:v>EV001203</x:v>
      </x:c>
      <x:c r="C1202" s="2" t="str">
        <x:v>T20261006-2-2</x:v>
      </x:c>
      <x:c r="D1202" s="2" t="str">
        <x:v>ST075</x:v>
      </x:c>
      <x:c r="E1202" s="2" t="str">
        <x:v>G075</x:v>
      </x:c>
      <x:c r="F1202" s="2" t="str">
        <x:v>guardian075@example.invalid</x:v>
      </x:c>
      <x:c r="G1202" s="2" t="str">
        <x:v>Email</x:v>
      </x:c>
      <x:c r="H1202" s="2" t="str">
        <x:v>Boarded</x:v>
      </x:c>
      <x:c r="I1202" s="8" t="n">
        <x:v>46301.47652777778</x:v>
      </x:c>
      <x:c r="J1202" s="8" t="n">
        <x:v>46301.48694444444</x:v>
      </x:c>
      <x:c r="K1202" s="8" t="n">
        <x:v>46301.486979166664</x:v>
      </x:c>
      <x:c r="L1202" s="2" t="str">
        <x:v>Sent</x:v>
      </x:c>
      <x:c r="M1202" s="2" t="n">
        <x:v>1</x:v>
      </x:c>
      <x:c r="N1202" s="2" t="str">
        <x:v>Delayed offline update</x:v>
      </x:c>
      <x:c r="O1202" s="2"/>
    </x:row>
    <x:row r="1203" ht="21" customHeight="1">
      <x:c r="A1203" s="2" t="str">
        <x:v>NT001202</x:v>
      </x:c>
      <x:c r="B1203" s="2" t="str">
        <x:v>EV001204</x:v>
      </x:c>
      <x:c r="C1203" s="2" t="str">
        <x:v>T20261006-2-2</x:v>
      </x:c>
      <x:c r="D1203" s="2" t="str">
        <x:v>ST075</x:v>
      </x:c>
      <x:c r="E1203" s="2" t="str">
        <x:v>G075</x:v>
      </x:c>
      <x:c r="F1203" s="2" t="str">
        <x:v>guardian075@example.invalid</x:v>
      </x:c>
      <x:c r="G1203" s="2" t="str">
        <x:v>Email</x:v>
      </x:c>
      <x:c r="H1203" s="2" t="str">
        <x:v>School receipt</x:v>
      </x:c>
      <x:c r="I1203" s="8" t="n">
        <x:v>46301.506736111114</x:v>
      </x:c>
      <x:c r="J1203" s="8" t="n">
        <x:v>46301.51715277778</x:v>
      </x:c>
      <x:c r="K1203" s="8" t="n">
        <x:v>46301.5171875</x:v>
      </x:c>
      <x:c r="L1203" s="2" t="str">
        <x:v>Sent</x:v>
      </x:c>
      <x:c r="M1203" s="2" t="n">
        <x:v>1</x:v>
      </x:c>
      <x:c r="N1203" s="2" t="str">
        <x:v>Delayed offline update</x:v>
      </x:c>
      <x:c r="O1203" s="2"/>
    </x:row>
    <x:row r="1204" ht="21" customHeight="1">
      <x:c r="A1204" s="2" t="str">
        <x:v>NT001203</x:v>
      </x:c>
      <x:c r="B1204" s="2" t="str">
        <x:v>EV001205</x:v>
      </x:c>
      <x:c r="C1204" s="2" t="str">
        <x:v>T20261006-2-2</x:v>
      </x:c>
      <x:c r="D1204" s="2" t="str">
        <x:v>ST076</x:v>
      </x:c>
      <x:c r="E1204" s="2" t="str">
        <x:v>G076</x:v>
      </x:c>
      <x:c r="F1204" s="2" t="str">
        <x:v>guardian076@example.invalid</x:v>
      </x:c>
      <x:c r="G1204" s="2" t="str">
        <x:v>Email</x:v>
      </x:c>
      <x:c r="H1204" s="2" t="str">
        <x:v>Boarded</x:v>
      </x:c>
      <x:c r="I1204" s="8" t="n">
        <x:v>46301.481423611105</x:v>
      </x:c>
      <x:c r="J1204" s="8" t="n">
        <x:v>46301.49184027777</x:v>
      </x:c>
      <x:c r="K1204" s="8" t="n">
        <x:v>46301.49187499999</x:v>
      </x:c>
      <x:c r="L1204" s="2" t="str">
        <x:v>Sent</x:v>
      </x:c>
      <x:c r="M1204" s="2" t="n">
        <x:v>1</x:v>
      </x:c>
      <x:c r="N1204" s="2" t="str">
        <x:v>Delayed offline update</x:v>
      </x:c>
      <x:c r="O1204" s="2"/>
    </x:row>
    <x:row r="1205" ht="21" customHeight="1">
      <x:c r="A1205" s="2" t="str">
        <x:v>NT001204</x:v>
      </x:c>
      <x:c r="B1205" s="2" t="str">
        <x:v>EV001206</x:v>
      </x:c>
      <x:c r="C1205" s="2" t="str">
        <x:v>T20261006-2-2</x:v>
      </x:c>
      <x:c r="D1205" s="2" t="str">
        <x:v>ST076</x:v>
      </x:c>
      <x:c r="E1205" s="2" t="str">
        <x:v>G076</x:v>
      </x:c>
      <x:c r="F1205" s="2" t="str">
        <x:v>guardian076@example.invalid</x:v>
      </x:c>
      <x:c r="G1205" s="2" t="str">
        <x:v>Email</x:v>
      </x:c>
      <x:c r="H1205" s="2" t="str">
        <x:v>School receipt</x:v>
      </x:c>
      <x:c r="I1205" s="8" t="n">
        <x:v>46301.50677083334</x:v>
      </x:c>
      <x:c r="J1205" s="8" t="n">
        <x:v>46301.5171875</x:v>
      </x:c>
      <x:c r="K1205" s="8" t="n">
        <x:v>46301.517222222225</x:v>
      </x:c>
      <x:c r="L1205" s="2" t="str">
        <x:v>Sent</x:v>
      </x:c>
      <x:c r="M1205" s="2" t="n">
        <x:v>1</x:v>
      </x:c>
      <x:c r="N1205" s="2" t="str">
        <x:v>Delayed offline update</x:v>
      </x:c>
      <x:c r="O1205" s="2"/>
    </x:row>
    <x:row r="1206" ht="21" customHeight="1">
      <x:c r="A1206" s="2" t="str">
        <x:v>NT001205</x:v>
      </x:c>
      <x:c r="B1206" s="2" t="str">
        <x:v>EV001207</x:v>
      </x:c>
      <x:c r="C1206" s="2" t="str">
        <x:v>T20261006-2-2</x:v>
      </x:c>
      <x:c r="D1206" s="2" t="str">
        <x:v>ST077</x:v>
      </x:c>
      <x:c r="E1206" s="2" t="str">
        <x:v>G077</x:v>
      </x:c>
      <x:c r="F1206" s="2" t="str">
        <x:v>guardian077@example.invalid</x:v>
      </x:c>
      <x:c r="G1206" s="2" t="str">
        <x:v>Email</x:v>
      </x:c>
      <x:c r="H1206" s="2" t="str">
        <x:v>Boarded</x:v>
      </x:c>
      <x:c r="I1206" s="8" t="n">
        <x:v>46301.47173611111</x:v>
      </x:c>
      <x:c r="J1206" s="8" t="n">
        <x:v>46301.482152777775</x:v>
      </x:c>
      <x:c r="K1206" s="8" t="n">
        <x:v>46301.4821875</x:v>
      </x:c>
      <x:c r="L1206" s="2" t="str">
        <x:v>Sent</x:v>
      </x:c>
      <x:c r="M1206" s="2" t="n">
        <x:v>1</x:v>
      </x:c>
      <x:c r="N1206" s="2" t="str">
        <x:v>Delayed offline update</x:v>
      </x:c>
      <x:c r="O1206" s="2"/>
    </x:row>
    <x:row r="1207" ht="21" customHeight="1">
      <x:c r="A1207" s="2" t="str">
        <x:v>NT001206</x:v>
      </x:c>
      <x:c r="B1207" s="2" t="str">
        <x:v>EV001208</x:v>
      </x:c>
      <x:c r="C1207" s="2" t="str">
        <x:v>T20261006-2-2</x:v>
      </x:c>
      <x:c r="D1207" s="2" t="str">
        <x:v>ST077</x:v>
      </x:c>
      <x:c r="E1207" s="2" t="str">
        <x:v>G077</x:v>
      </x:c>
      <x:c r="F1207" s="2" t="str">
        <x:v>guardian077@example.invalid</x:v>
      </x:c>
      <x:c r="G1207" s="2" t="str">
        <x:v>Email</x:v>
      </x:c>
      <x:c r="H1207" s="2" t="str">
        <x:v>School receipt</x:v>
      </x:c>
      <x:c r="I1207" s="8" t="n">
        <x:v>46301.50680555556</x:v>
      </x:c>
      <x:c r="J1207" s="8" t="n">
        <x:v>46301.517222222225</x:v>
      </x:c>
      <x:c r="K1207" s="8" t="n">
        <x:v>46301.51725694445</x:v>
      </x:c>
      <x:c r="L1207" s="2" t="str">
        <x:v>Sent</x:v>
      </x:c>
      <x:c r="M1207" s="2" t="n">
        <x:v>1</x:v>
      </x:c>
      <x:c r="N1207" s="2" t="str">
        <x:v>Delayed offline update</x:v>
      </x:c>
      <x:c r="O1207" s="2"/>
    </x:row>
    <x:row r="1208" ht="21" customHeight="1">
      <x:c r="A1208" s="2" t="str">
        <x:v>NT001207</x:v>
      </x:c>
      <x:c r="B1208" s="2" t="str">
        <x:v>EV001209</x:v>
      </x:c>
      <x:c r="C1208" s="2" t="str">
        <x:v>T20261006-2-2</x:v>
      </x:c>
      <x:c r="D1208" s="2" t="str">
        <x:v>ST078</x:v>
      </x:c>
      <x:c r="E1208" s="2" t="str">
        <x:v>G078</x:v>
      </x:c>
      <x:c r="F1208" s="2" t="str">
        <x:v>guardian078@example.invalid</x:v>
      </x:c>
      <x:c r="G1208" s="2" t="str">
        <x:v>Email</x:v>
      </x:c>
      <x:c r="H1208" s="2" t="str">
        <x:v>Boarded</x:v>
      </x:c>
      <x:c r="I1208" s="8" t="n">
        <x:v>46301.47663194444</x:v>
      </x:c>
      <x:c r="J1208" s="8" t="n">
        <x:v>46301.4870486111</x:v>
      </x:c>
      <x:c r="K1208" s="8" t="n">
        <x:v>46301.487083333326</x:v>
      </x:c>
      <x:c r="L1208" s="2" t="str">
        <x:v>Sent</x:v>
      </x:c>
      <x:c r="M1208" s="2" t="n">
        <x:v>1</x:v>
      </x:c>
      <x:c r="N1208" s="2" t="str">
        <x:v>Delayed offline update</x:v>
      </x:c>
      <x:c r="O1208" s="2"/>
    </x:row>
    <x:row r="1209" ht="21" customHeight="1">
      <x:c r="A1209" s="2" t="str">
        <x:v>NT001208</x:v>
      </x:c>
      <x:c r="B1209" s="2" t="str">
        <x:v>EV001210</x:v>
      </x:c>
      <x:c r="C1209" s="2" t="str">
        <x:v>T20261006-2-2</x:v>
      </x:c>
      <x:c r="D1209" s="2" t="str">
        <x:v>ST078</x:v>
      </x:c>
      <x:c r="E1209" s="2" t="str">
        <x:v>G078</x:v>
      </x:c>
      <x:c r="F1209" s="2" t="str">
        <x:v>guardian078@example.invalid</x:v>
      </x:c>
      <x:c r="G1209" s="2" t="str">
        <x:v>Email</x:v>
      </x:c>
      <x:c r="H1209" s="2" t="str">
        <x:v>School receipt</x:v>
      </x:c>
      <x:c r="I1209" s="8" t="n">
        <x:v>46301.50684027778</x:v>
      </x:c>
      <x:c r="J1209" s="8" t="n">
        <x:v>46301.51725694445</x:v>
      </x:c>
      <x:c r="K1209" s="8" t="n">
        <x:v>46301.51729166667</x:v>
      </x:c>
      <x:c r="L1209" s="2" t="str">
        <x:v>Sent</x:v>
      </x:c>
      <x:c r="M1209" s="2" t="n">
        <x:v>1</x:v>
      </x:c>
      <x:c r="N1209" s="2" t="str">
        <x:v>Delayed offline update</x:v>
      </x:c>
      <x:c r="O1209" s="2"/>
    </x:row>
    <x:row r="1210" ht="21" customHeight="1">
      <x:c r="A1210" s="2" t="str">
        <x:v>NT001209</x:v>
      </x:c>
      <x:c r="B1210" s="2" t="str">
        <x:v>EV001211</x:v>
      </x:c>
      <x:c r="C1210" s="2" t="str">
        <x:v>T20261006-2-2</x:v>
      </x:c>
      <x:c r="D1210" s="2" t="str">
        <x:v>ST079</x:v>
      </x:c>
      <x:c r="E1210" s="2" t="str">
        <x:v>G079</x:v>
      </x:c>
      <x:c r="F1210" s="2" t="str">
        <x:v>guardian079@example.invalid</x:v>
      </x:c>
      <x:c r="G1210" s="2" t="str">
        <x:v>Email</x:v>
      </x:c>
      <x:c r="H1210" s="2" t="str">
        <x:v>Boarded</x:v>
      </x:c>
      <x:c r="I1210" s="8" t="n">
        <x:v>46301.481527777774</x:v>
      </x:c>
      <x:c r="J1210" s="8" t="n">
        <x:v>46301.49194444444</x:v>
      </x:c>
      <x:c r="K1210" s="8" t="n">
        <x:v>46301.49197916666</x:v>
      </x:c>
      <x:c r="L1210" s="2" t="str">
        <x:v>Sent</x:v>
      </x:c>
      <x:c r="M1210" s="2" t="n">
        <x:v>1</x:v>
      </x:c>
      <x:c r="N1210" s="2" t="str">
        <x:v>Delayed offline update</x:v>
      </x:c>
      <x:c r="O1210" s="2"/>
    </x:row>
    <x:row r="1211" ht="21" customHeight="1">
      <x:c r="A1211" s="2" t="str">
        <x:v>NT001210</x:v>
      </x:c>
      <x:c r="B1211" s="2" t="str">
        <x:v>EV001212</x:v>
      </x:c>
      <x:c r="C1211" s="2" t="str">
        <x:v>T20261006-2-2</x:v>
      </x:c>
      <x:c r="D1211" s="2" t="str">
        <x:v>ST079</x:v>
      </x:c>
      <x:c r="E1211" s="2" t="str">
        <x:v>G079</x:v>
      </x:c>
      <x:c r="F1211" s="2" t="str">
        <x:v>guardian079@example.invalid</x:v>
      </x:c>
      <x:c r="G1211" s="2" t="str">
        <x:v>Email</x:v>
      </x:c>
      <x:c r="H1211" s="2" t="str">
        <x:v>School receipt</x:v>
      </x:c>
      <x:c r="I1211" s="8" t="n">
        <x:v>46301.50687500001</x:v>
      </x:c>
      <x:c r="J1211" s="8" t="n">
        <x:v>46301.51729166667</x:v>
      </x:c>
      <x:c r="K1211" s="8" t="n">
        <x:v>46301.517326388894</x:v>
      </x:c>
      <x:c r="L1211" s="2" t="str">
        <x:v>Sent</x:v>
      </x:c>
      <x:c r="M1211" s="2" t="n">
        <x:v>1</x:v>
      </x:c>
      <x:c r="N1211" s="2" t="str">
        <x:v>Delayed offline update</x:v>
      </x:c>
      <x:c r="O1211" s="2"/>
    </x:row>
    <x:row r="1212" ht="21" customHeight="1">
      <x:c r="A1212" s="2" t="str">
        <x:v>NT001211</x:v>
      </x:c>
      <x:c r="B1212" s="2" t="str">
        <x:v>EV001213</x:v>
      </x:c>
      <x:c r="C1212" s="2" t="str">
        <x:v>T20261006-2-2</x:v>
      </x:c>
      <x:c r="D1212" s="2" t="str">
        <x:v>ST080</x:v>
      </x:c>
      <x:c r="E1212" s="2" t="str">
        <x:v>G080</x:v>
      </x:c>
      <x:c r="F1212" s="2" t="str">
        <x:v>guardian080@example.invalid</x:v>
      </x:c>
      <x:c r="G1212" s="2" t="str">
        <x:v>Email</x:v>
      </x:c>
      <x:c r="H1212" s="2" t="str">
        <x:v>Boarded</x:v>
      </x:c>
      <x:c r="I1212" s="8" t="n">
        <x:v>46301.47184027778</x:v>
      </x:c>
      <x:c r="J1212" s="8" t="n">
        <x:v>46301.482256944444</x:v>
      </x:c>
      <x:c r="K1212" s="8" t="n">
        <x:v>46301.48229166667</x:v>
      </x:c>
      <x:c r="L1212" s="2" t="str">
        <x:v>Sent</x:v>
      </x:c>
      <x:c r="M1212" s="2" t="n">
        <x:v>1</x:v>
      </x:c>
      <x:c r="N1212" s="2" t="str">
        <x:v>Delayed offline update</x:v>
      </x:c>
      <x:c r="O1212" s="2"/>
    </x:row>
    <x:row r="1213" ht="21" customHeight="1">
      <x:c r="A1213" s="2" t="str">
        <x:v>NT001212</x:v>
      </x:c>
      <x:c r="B1213" s="2" t="str">
        <x:v>EV001214</x:v>
      </x:c>
      <x:c r="C1213" s="2" t="str">
        <x:v>T20261006-2-2</x:v>
      </x:c>
      <x:c r="D1213" s="2" t="str">
        <x:v>ST080</x:v>
      </x:c>
      <x:c r="E1213" s="2" t="str">
        <x:v>G080</x:v>
      </x:c>
      <x:c r="F1213" s="2" t="str">
        <x:v>guardian080@example.invalid</x:v>
      </x:c>
      <x:c r="G1213" s="2" t="str">
        <x:v>Email</x:v>
      </x:c>
      <x:c r="H1213" s="2" t="str">
        <x:v>School receipt</x:v>
      </x:c>
      <x:c r="I1213" s="8" t="n">
        <x:v>46301.50690972222</x:v>
      </x:c>
      <x:c r="J1213" s="8" t="n">
        <x:v>46301.51732638889</x:v>
      </x:c>
      <x:c r="K1213" s="8" t="n">
        <x:v>46301.51736111111</x:v>
      </x:c>
      <x:c r="L1213" s="2" t="str">
        <x:v>Sent</x:v>
      </x:c>
      <x:c r="M1213" s="2" t="n">
        <x:v>1</x:v>
      </x:c>
      <x:c r="N1213" s="2" t="str">
        <x:v>Delayed offline update</x:v>
      </x:c>
      <x:c r="O1213" s="2"/>
    </x:row>
    <x:row r="1214" ht="21" customHeight="1">
      <x:c r="A1214" s="2" t="str">
        <x:v>NT001213</x:v>
      </x:c>
      <x:c r="B1214" s="2" t="str">
        <x:v>EV001215</x:v>
      </x:c>
      <x:c r="C1214" s="2" t="str">
        <x:v>T20261006-3-2</x:v>
      </x:c>
      <x:c r="D1214" s="2" t="str">
        <x:v>ST051</x:v>
      </x:c>
      <x:c r="E1214" s="2" t="str">
        <x:v>G051</x:v>
      </x:c>
      <x:c r="F1214" s="2" t="str">
        <x:v>guardian051@example.invalid</x:v>
      </x:c>
      <x:c r="G1214" s="2" t="str">
        <x:v>Email</x:v>
      </x:c>
      <x:c r="H1214" s="2" t="str">
        <x:v>Boarded</x:v>
      </x:c>
      <x:c r="I1214" s="8" t="n">
        <x:v>46301.57291666667</x:v>
      </x:c>
      <x:c r="J1214" s="8" t="n">
        <x:v>46301.57293981482</x:v>
      </x:c>
      <x:c r="K1214" s="8" t="n">
        <x:v>46301.57297453704</x:v>
      </x:c>
      <x:c r="L1214" s="2" t="str">
        <x:v>Sent</x:v>
      </x:c>
      <x:c r="M1214" s="2" t="n">
        <x:v>1</x:v>
      </x:c>
      <x:c r="N1214" s="2"/>
      <x:c r="O1214" s="2"/>
    </x:row>
    <x:row r="1215" ht="21" customHeight="1">
      <x:c r="A1215" s="2" t="str">
        <x:v>NT001214</x:v>
      </x:c>
      <x:c r="B1215" s="2" t="str">
        <x:v>EV001216</x:v>
      </x:c>
      <x:c r="C1215" s="2" t="str">
        <x:v>T20261006-3-2</x:v>
      </x:c>
      <x:c r="D1215" s="2" t="str">
        <x:v>ST051</x:v>
      </x:c>
      <x:c r="E1215" s="2" t="str">
        <x:v>G051</x:v>
      </x:c>
      <x:c r="F1215" s="2" t="str">
        <x:v>guardian051@example.invalid</x:v>
      </x:c>
      <x:c r="G1215" s="2" t="str">
        <x:v>Email</x:v>
      </x:c>
      <x:c r="H1215" s="2" t="str">
        <x:v>Authorized release</x:v>
      </x:c>
      <x:c r="I1215" s="8" t="n">
        <x:v>46301.59027777778</x:v>
      </x:c>
      <x:c r="J1215" s="8" t="n">
        <x:v>46301.59030092593</x:v>
      </x:c>
      <x:c r="K1215" s="8" t="n">
        <x:v>46301.59033564815</x:v>
      </x:c>
      <x:c r="L1215" s="2" t="str">
        <x:v>Sent</x:v>
      </x:c>
      <x:c r="M1215" s="2" t="n">
        <x:v>1</x:v>
      </x:c>
      <x:c r="N1215" s="2"/>
      <x:c r="O1215" s="2"/>
    </x:row>
    <x:row r="1216" ht="21" customHeight="1">
      <x:c r="A1216" s="2" t="str">
        <x:v>NT001215</x:v>
      </x:c>
      <x:c r="B1216" s="2" t="str">
        <x:v>EV001217</x:v>
      </x:c>
      <x:c r="C1216" s="2" t="str">
        <x:v>T20261006-3-2</x:v>
      </x:c>
      <x:c r="D1216" s="2" t="str">
        <x:v>ST052</x:v>
      </x:c>
      <x:c r="E1216" s="2" t="str">
        <x:v>G052</x:v>
      </x:c>
      <x:c r="F1216" s="2" t="str">
        <x:v>guardian052@example.invalid</x:v>
      </x:c>
      <x:c r="G1216" s="2" t="str">
        <x:v>Email</x:v>
      </x:c>
      <x:c r="H1216" s="2" t="str">
        <x:v>Boarded</x:v>
      </x:c>
      <x:c r="I1216" s="8" t="n">
        <x:v>46301.572951388895</x:v>
      </x:c>
      <x:c r="J1216" s="8" t="n">
        <x:v>46301.57297453704</x:v>
      </x:c>
      <x:c r="K1216" s="8" t="n">
        <x:v>46301.573009259264</x:v>
      </x:c>
      <x:c r="L1216" s="2" t="str">
        <x:v>Sent</x:v>
      </x:c>
      <x:c r="M1216" s="2" t="n">
        <x:v>1</x:v>
      </x:c>
      <x:c r="N1216" s="2"/>
      <x:c r="O1216" s="2"/>
    </x:row>
    <x:row r="1217" ht="21" customHeight="1">
      <x:c r="A1217" s="2" t="str">
        <x:v>NT001216</x:v>
      </x:c>
      <x:c r="B1217" s="2" t="str">
        <x:v>EV001218</x:v>
      </x:c>
      <x:c r="C1217" s="2" t="str">
        <x:v>T20261006-3-2</x:v>
      </x:c>
      <x:c r="D1217" s="2" t="str">
        <x:v>ST052</x:v>
      </x:c>
      <x:c r="E1217" s="2" t="str">
        <x:v>G052</x:v>
      </x:c>
      <x:c r="F1217" s="2" t="str">
        <x:v>guardian052@example.invalid</x:v>
      </x:c>
      <x:c r="G1217" s="2" t="str">
        <x:v>Email</x:v>
      </x:c>
      <x:c r="H1217" s="2" t="str">
        <x:v>Authorized release</x:v>
      </x:c>
      <x:c r="I1217" s="8" t="n">
        <x:v>46301.59447916667</x:v>
      </x:c>
      <x:c r="J1217" s="8" t="n">
        <x:v>46301.594502314816</x:v>
      </x:c>
      <x:c r="K1217" s="8" t="n">
        <x:v>46301.59453703704</x:v>
      </x:c>
      <x:c r="L1217" s="2" t="str">
        <x:v>Sent</x:v>
      </x:c>
      <x:c r="M1217" s="2" t="n">
        <x:v>1</x:v>
      </x:c>
      <x:c r="N1217" s="2"/>
      <x:c r="O1217" s="2"/>
    </x:row>
    <x:row r="1218" ht="21" customHeight="1">
      <x:c r="A1218" s="2" t="str">
        <x:v>NT001217</x:v>
      </x:c>
      <x:c r="B1218" s="2" t="str">
        <x:v>EV001219</x:v>
      </x:c>
      <x:c r="C1218" s="2" t="str">
        <x:v>T20261006-3-2</x:v>
      </x:c>
      <x:c r="D1218" s="2" t="str">
        <x:v>ST053</x:v>
      </x:c>
      <x:c r="E1218" s="2" t="str">
        <x:v>G053</x:v>
      </x:c>
      <x:c r="F1218" s="2" t="str">
        <x:v>guardian053@example.invalid</x:v>
      </x:c>
      <x:c r="G1218" s="2" t="str">
        <x:v>Email</x:v>
      </x:c>
      <x:c r="H1218" s="2" t="str">
        <x:v>Boarded</x:v>
      </x:c>
      <x:c r="I1218" s="8" t="n">
        <x:v>46301.57298611112</x:v>
      </x:c>
      <x:c r="J1218" s="8" t="n">
        <x:v>46301.573009259264</x:v>
      </x:c>
      <x:c r="K1218" s="8" t="n">
        <x:v>46301.57304398149</x:v>
      </x:c>
      <x:c r="L1218" s="2" t="str">
        <x:v>Sent</x:v>
      </x:c>
      <x:c r="M1218" s="2" t="n">
        <x:v>1</x:v>
      </x:c>
      <x:c r="N1218" s="2"/>
      <x:c r="O1218" s="2"/>
    </x:row>
    <x:row r="1219" ht="21" customHeight="1">
      <x:c r="A1219" s="2" t="str">
        <x:v>NT001218</x:v>
      </x:c>
      <x:c r="B1219" s="2" t="str">
        <x:v>EV001220</x:v>
      </x:c>
      <x:c r="C1219" s="2" t="str">
        <x:v>T20261006-3-2</x:v>
      </x:c>
      <x:c r="D1219" s="2" t="str">
        <x:v>ST053</x:v>
      </x:c>
      <x:c r="E1219" s="2" t="str">
        <x:v>G053</x:v>
      </x:c>
      <x:c r="F1219" s="2" t="str">
        <x:v>guardian053@example.invalid</x:v>
      </x:c>
      <x:c r="G1219" s="2" t="str">
        <x:v>Email</x:v>
      </x:c>
      <x:c r="H1219" s="2" t="str">
        <x:v>Authorized release</x:v>
      </x:c>
      <x:c r="I1219" s="8" t="n">
        <x:v>46301.58618055556</x:v>
      </x:c>
      <x:c r="J1219" s="8" t="n">
        <x:v>46301.58620370371</x:v>
      </x:c>
      <x:c r="K1219" s="8" t="n">
        <x:v>46301.58623842593</x:v>
      </x:c>
      <x:c r="L1219" s="2" t="str">
        <x:v>Sent</x:v>
      </x:c>
      <x:c r="M1219" s="2" t="n">
        <x:v>1</x:v>
      </x:c>
      <x:c r="N1219" s="2"/>
      <x:c r="O1219" s="2"/>
    </x:row>
    <x:row r="1220" ht="21" customHeight="1">
      <x:c r="A1220" s="2" t="str">
        <x:v>NT001219</x:v>
      </x:c>
      <x:c r="B1220" s="2" t="str">
        <x:v>EV001221</x:v>
      </x:c>
      <x:c r="C1220" s="2" t="str">
        <x:v>T20261006-3-2</x:v>
      </x:c>
      <x:c r="D1220" s="2" t="str">
        <x:v>ST054</x:v>
      </x:c>
      <x:c r="E1220" s="2" t="str">
        <x:v>G054</x:v>
      </x:c>
      <x:c r="F1220" s="2" t="str">
        <x:v>guardian054@example.invalid</x:v>
      </x:c>
      <x:c r="G1220" s="2" t="str">
        <x:v>Email</x:v>
      </x:c>
      <x:c r="H1220" s="2" t="str">
        <x:v>Boarded</x:v>
      </x:c>
      <x:c r="I1220" s="8" t="n">
        <x:v>46301.57302083334</x:v>
      </x:c>
      <x:c r="J1220" s="8" t="n">
        <x:v>46301.57304398149</x:v>
      </x:c>
      <x:c r="K1220" s="8" t="n">
        <x:v>46301.57307870371</x:v>
      </x:c>
      <x:c r="L1220" s="2" t="str">
        <x:v>Sent</x:v>
      </x:c>
      <x:c r="M1220" s="2" t="n">
        <x:v>1</x:v>
      </x:c>
      <x:c r="N1220" s="2"/>
      <x:c r="O1220" s="2"/>
    </x:row>
    <x:row r="1221" ht="21" customHeight="1">
      <x:c r="A1221" s="2" t="str">
        <x:v>NT001220</x:v>
      </x:c>
      <x:c r="B1221" s="2" t="str">
        <x:v>EV001222</x:v>
      </x:c>
      <x:c r="C1221" s="2" t="str">
        <x:v>T20261006-3-2</x:v>
      </x:c>
      <x:c r="D1221" s="2" t="str">
        <x:v>ST054</x:v>
      </x:c>
      <x:c r="E1221" s="2" t="str">
        <x:v>G054</x:v>
      </x:c>
      <x:c r="F1221" s="2" t="str">
        <x:v>guardian054@example.invalid</x:v>
      </x:c>
      <x:c r="G1221" s="2" t="str">
        <x:v>Email</x:v>
      </x:c>
      <x:c r="H1221" s="2" t="str">
        <x:v>Authorized release</x:v>
      </x:c>
      <x:c r="I1221" s="8" t="n">
        <x:v>46301.59038194445</x:v>
      </x:c>
      <x:c r="J1221" s="8" t="n">
        <x:v>46301.5904050926</x:v>
      </x:c>
      <x:c r="K1221" s="8" t="n">
        <x:v>46301.59043981482</x:v>
      </x:c>
      <x:c r="L1221" s="2" t="str">
        <x:v>Sent</x:v>
      </x:c>
      <x:c r="M1221" s="2" t="n">
        <x:v>1</x:v>
      </x:c>
      <x:c r="N1221" s="2"/>
      <x:c r="O1221" s="2"/>
    </x:row>
    <x:row r="1222" ht="21" customHeight="1">
      <x:c r="A1222" s="2" t="str">
        <x:v>NT001221</x:v>
      </x:c>
      <x:c r="B1222" s="2" t="str">
        <x:v>EV001223</x:v>
      </x:c>
      <x:c r="C1222" s="2" t="str">
        <x:v>T20261006-3-2</x:v>
      </x:c>
      <x:c r="D1222" s="2" t="str">
        <x:v>ST055</x:v>
      </x:c>
      <x:c r="E1222" s="2" t="str">
        <x:v>G055</x:v>
      </x:c>
      <x:c r="F1222" s="2" t="str">
        <x:v>guardian055@example.invalid</x:v>
      </x:c>
      <x:c r="G1222" s="2" t="str">
        <x:v>Email</x:v>
      </x:c>
      <x:c r="H1222" s="2" t="str">
        <x:v>Boarded</x:v>
      </x:c>
      <x:c r="I1222" s="8" t="n">
        <x:v>46301.573055555564</x:v>
      </x:c>
      <x:c r="J1222" s="8" t="n">
        <x:v>46301.57307870371</x:v>
      </x:c>
      <x:c r="K1222" s="8" t="n">
        <x:v>46301.57311342593</x:v>
      </x:c>
      <x:c r="L1222" s="2" t="str">
        <x:v>Sent</x:v>
      </x:c>
      <x:c r="M1222" s="2" t="n">
        <x:v>1</x:v>
      </x:c>
      <x:c r="N1222" s="2"/>
      <x:c r="O1222" s="2"/>
    </x:row>
    <x:row r="1223" ht="21" customHeight="1">
      <x:c r="A1223" s="2" t="str">
        <x:v>NT001222</x:v>
      </x:c>
      <x:c r="B1223" s="2" t="str">
        <x:v>EV001224</x:v>
      </x:c>
      <x:c r="C1223" s="2" t="str">
        <x:v>T20261006-3-2</x:v>
      </x:c>
      <x:c r="D1223" s="2" t="str">
        <x:v>ST055</x:v>
      </x:c>
      <x:c r="E1223" s="2" t="str">
        <x:v>G055</x:v>
      </x:c>
      <x:c r="F1223" s="2" t="str">
        <x:v>guardian055@example.invalid</x:v>
      </x:c>
      <x:c r="G1223" s="2" t="str">
        <x:v>Email</x:v>
      </x:c>
      <x:c r="H1223" s="2" t="str">
        <x:v>Authorized release</x:v>
      </x:c>
      <x:c r="I1223" s="8" t="n">
        <x:v>46301.59458333334</x:v>
      </x:c>
      <x:c r="J1223" s="8" t="n">
        <x:v>46301.594606481485</x:v>
      </x:c>
      <x:c r="K1223" s="8" t="n">
        <x:v>46301.59464120371</x:v>
      </x:c>
      <x:c r="L1223" s="2" t="str">
        <x:v>Sent</x:v>
      </x:c>
      <x:c r="M1223" s="2" t="n">
        <x:v>1</x:v>
      </x:c>
      <x:c r="N1223" s="2"/>
      <x:c r="O1223" s="2"/>
    </x:row>
    <x:row r="1224" ht="21" customHeight="1">
      <x:c r="A1224" s="2" t="str">
        <x:v>NT001223</x:v>
      </x:c>
      <x:c r="B1224" s="2" t="str">
        <x:v>EV001225</x:v>
      </x:c>
      <x:c r="C1224" s="2" t="str">
        <x:v>T20261006-3-2</x:v>
      </x:c>
      <x:c r="D1224" s="2" t="str">
        <x:v>ST056</x:v>
      </x:c>
      <x:c r="E1224" s="2" t="str">
        <x:v>G056</x:v>
      </x:c>
      <x:c r="F1224" s="2" t="str">
        <x:v>guardian056@example.invalid</x:v>
      </x:c>
      <x:c r="G1224" s="2" t="str">
        <x:v>Email</x:v>
      </x:c>
      <x:c r="H1224" s="2" t="str">
        <x:v>Boarded</x:v>
      </x:c>
      <x:c r="I1224" s="8" t="n">
        <x:v>46301.57309027778</x:v>
      </x:c>
      <x:c r="J1224" s="8" t="n">
        <x:v>46301.573113425926</x:v>
      </x:c>
      <x:c r="K1224" s="8" t="n">
        <x:v>46301.57314814815</x:v>
      </x:c>
      <x:c r="L1224" s="2" t="str">
        <x:v>Sent</x:v>
      </x:c>
      <x:c r="M1224" s="2" t="n">
        <x:v>1</x:v>
      </x:c>
      <x:c r="N1224" s="2"/>
      <x:c r="O1224" s="2"/>
    </x:row>
    <x:row r="1225" ht="21" customHeight="1">
      <x:c r="A1225" s="2" t="str">
        <x:v>NT001224</x:v>
      </x:c>
      <x:c r="B1225" s="2" t="str">
        <x:v>EV001226</x:v>
      </x:c>
      <x:c r="C1225" s="2" t="str">
        <x:v>T20261006-3-2</x:v>
      </x:c>
      <x:c r="D1225" s="2" t="str">
        <x:v>ST056</x:v>
      </x:c>
      <x:c r="E1225" s="2" t="str">
        <x:v>G056</x:v>
      </x:c>
      <x:c r="F1225" s="2" t="str">
        <x:v>guardian056@example.invalid</x:v>
      </x:c>
      <x:c r="G1225" s="2" t="str">
        <x:v>Email</x:v>
      </x:c>
      <x:c r="H1225" s="2" t="str">
        <x:v>Authorized release</x:v>
      </x:c>
      <x:c r="I1225" s="8" t="n">
        <x:v>46301.58628472222</x:v>
      </x:c>
      <x:c r="J1225" s="8" t="n">
        <x:v>46301.58630787037</x:v>
      </x:c>
      <x:c r="K1225" s="8" t="n">
        <x:v>46301.58634259259</x:v>
      </x:c>
      <x:c r="L1225" s="2" t="str">
        <x:v>Sent</x:v>
      </x:c>
      <x:c r="M1225" s="2" t="n">
        <x:v>1</x:v>
      </x:c>
      <x:c r="N1225" s="2"/>
      <x:c r="O1225" s="2"/>
    </x:row>
    <x:row r="1226" ht="21" customHeight="1">
      <x:c r="A1226" s="2" t="str">
        <x:v>NT001225</x:v>
      </x:c>
      <x:c r="B1226" s="2" t="str">
        <x:v>EV001227</x:v>
      </x:c>
      <x:c r="C1226" s="2" t="str">
        <x:v>T20261006-3-2</x:v>
      </x:c>
      <x:c r="D1226" s="2" t="str">
        <x:v>ST057</x:v>
      </x:c>
      <x:c r="E1226" s="2" t="str">
        <x:v>G057</x:v>
      </x:c>
      <x:c r="F1226" s="2" t="str">
        <x:v>guardian057@example.invalid</x:v>
      </x:c>
      <x:c r="G1226" s="2" t="str">
        <x:v>Email</x:v>
      </x:c>
      <x:c r="H1226" s="2" t="str">
        <x:v>Boarded</x:v>
      </x:c>
      <x:c r="I1226" s="8" t="n">
        <x:v>46301.573125</x:v>
      </x:c>
      <x:c r="J1226" s="8" t="n">
        <x:v>46301.57314814815</x:v>
      </x:c>
      <x:c r="K1226" s="8" t="n">
        <x:v>46301.57318287037</x:v>
      </x:c>
      <x:c r="L1226" s="2" t="str">
        <x:v>Sent</x:v>
      </x:c>
      <x:c r="M1226" s="2" t="n">
        <x:v>1</x:v>
      </x:c>
      <x:c r="N1226" s="2"/>
      <x:c r="O1226" s="2"/>
    </x:row>
    <x:row r="1227" ht="21" customHeight="1">
      <x:c r="A1227" s="2" t="str">
        <x:v>NT001226</x:v>
      </x:c>
      <x:c r="B1227" s="2" t="str">
        <x:v>EV001228</x:v>
      </x:c>
      <x:c r="C1227" s="2" t="str">
        <x:v>T20261006-3-2</x:v>
      </x:c>
      <x:c r="D1227" s="2" t="str">
        <x:v>ST057</x:v>
      </x:c>
      <x:c r="E1227" s="2" t="str">
        <x:v>G057</x:v>
      </x:c>
      <x:c r="F1227" s="2" t="str">
        <x:v>guardian057@example.invalid</x:v>
      </x:c>
      <x:c r="G1227" s="2" t="str">
        <x:v>Email</x:v>
      </x:c>
      <x:c r="H1227" s="2" t="str">
        <x:v>Authorized release</x:v>
      </x:c>
      <x:c r="I1227" s="8" t="n">
        <x:v>46301.59048611111</x:v>
      </x:c>
      <x:c r="J1227" s="8" t="n">
        <x:v>46301.59050925926</x:v>
      </x:c>
      <x:c r="K1227" s="8" t="n">
        <x:v>46301.59054398148</x:v>
      </x:c>
      <x:c r="L1227" s="2" t="str">
        <x:v>Sent</x:v>
      </x:c>
      <x:c r="M1227" s="2" t="n">
        <x:v>1</x:v>
      </x:c>
      <x:c r="N1227" s="2"/>
      <x:c r="O1227" s="2"/>
    </x:row>
    <x:row r="1228" ht="21" customHeight="1">
      <x:c r="A1228" s="2" t="str">
        <x:v>NT001227</x:v>
      </x:c>
      <x:c r="B1228" s="2" t="str">
        <x:v>EV001229</x:v>
      </x:c>
      <x:c r="C1228" s="2" t="str">
        <x:v>T20261006-3-2</x:v>
      </x:c>
      <x:c r="D1228" s="2" t="str">
        <x:v>ST058</x:v>
      </x:c>
      <x:c r="E1228" s="2" t="str">
        <x:v>G058</x:v>
      </x:c>
      <x:c r="F1228" s="2" t="str">
        <x:v>guardian058@example.invalid</x:v>
      </x:c>
      <x:c r="G1228" s="2" t="str">
        <x:v>Email</x:v>
      </x:c>
      <x:c r="H1228" s="2" t="str">
        <x:v>Boarded</x:v>
      </x:c>
      <x:c r="I1228" s="8" t="n">
        <x:v>46301.573159722226</x:v>
      </x:c>
      <x:c r="J1228" s="8" t="n">
        <x:v>46301.57318287037</x:v>
      </x:c>
      <x:c r="K1228" s="8" t="n">
        <x:v>46301.573217592595</x:v>
      </x:c>
      <x:c r="L1228" s="2" t="str">
        <x:v>Sent</x:v>
      </x:c>
      <x:c r="M1228" s="2" t="n">
        <x:v>1</x:v>
      </x:c>
      <x:c r="N1228" s="2"/>
      <x:c r="O1228" s="2"/>
    </x:row>
    <x:row r="1229" ht="21" customHeight="1">
      <x:c r="A1229" s="2" t="str">
        <x:v>NT001228</x:v>
      </x:c>
      <x:c r="B1229" s="2" t="str">
        <x:v>EV001230</x:v>
      </x:c>
      <x:c r="C1229" s="2" t="str">
        <x:v>T20261006-3-2</x:v>
      </x:c>
      <x:c r="D1229" s="2" t="str">
        <x:v>ST058</x:v>
      </x:c>
      <x:c r="E1229" s="2" t="str">
        <x:v>G058</x:v>
      </x:c>
      <x:c r="F1229" s="2" t="str">
        <x:v>guardian058@example.invalid</x:v>
      </x:c>
      <x:c r="G1229" s="2" t="str">
        <x:v>Email</x:v>
      </x:c>
      <x:c r="H1229" s="2" t="str">
        <x:v>Authorized release</x:v>
      </x:c>
      <x:c r="I1229" s="8" t="n">
        <x:v>46301.5946875</x:v>
      </x:c>
      <x:c r="J1229" s="8" t="n">
        <x:v>46301.59471064815</x:v>
      </x:c>
      <x:c r="K1229" s="8" t="n">
        <x:v>46301.59474537037</x:v>
      </x:c>
      <x:c r="L1229" s="2" t="str">
        <x:v>Sent</x:v>
      </x:c>
      <x:c r="M1229" s="2" t="n">
        <x:v>1</x:v>
      </x:c>
      <x:c r="N1229" s="2"/>
      <x:c r="O1229" s="2"/>
    </x:row>
    <x:row r="1230" ht="21" customHeight="1">
      <x:c r="A1230" s="2" t="str">
        <x:v>NT001229</x:v>
      </x:c>
      <x:c r="B1230" s="2" t="str">
        <x:v>EV001231</x:v>
      </x:c>
      <x:c r="C1230" s="2" t="str">
        <x:v>T20261006-3-2</x:v>
      </x:c>
      <x:c r="D1230" s="2" t="str">
        <x:v>ST059</x:v>
      </x:c>
      <x:c r="E1230" s="2" t="str">
        <x:v>G059</x:v>
      </x:c>
      <x:c r="F1230" s="2" t="str">
        <x:v>guardian059@example.invalid</x:v>
      </x:c>
      <x:c r="G1230" s="2" t="str">
        <x:v>Email</x:v>
      </x:c>
      <x:c r="H1230" s="2" t="str">
        <x:v>Boarded</x:v>
      </x:c>
      <x:c r="I1230" s="8" t="n">
        <x:v>46301.57319444445</x:v>
      </x:c>
      <x:c r="J1230" s="8" t="n">
        <x:v>46301.573217592595</x:v>
      </x:c>
      <x:c r="K1230" s="8" t="n">
        <x:v>46301.57325231482</x:v>
      </x:c>
      <x:c r="L1230" s="2" t="str">
        <x:v>Sent</x:v>
      </x:c>
      <x:c r="M1230" s="2" t="n">
        <x:v>1</x:v>
      </x:c>
      <x:c r="N1230" s="2"/>
      <x:c r="O1230" s="2"/>
    </x:row>
    <x:row r="1231" ht="21" customHeight="1">
      <x:c r="A1231" s="2" t="str">
        <x:v>NT001230</x:v>
      </x:c>
      <x:c r="B1231" s="2" t="str">
        <x:v>EV001232</x:v>
      </x:c>
      <x:c r="C1231" s="2" t="str">
        <x:v>T20261006-3-2</x:v>
      </x:c>
      <x:c r="D1231" s="2" t="str">
        <x:v>ST059</x:v>
      </x:c>
      <x:c r="E1231" s="2" t="str">
        <x:v>G059</x:v>
      </x:c>
      <x:c r="F1231" s="2" t="str">
        <x:v>guardian059@example.invalid</x:v>
      </x:c>
      <x:c r="G1231" s="2" t="str">
        <x:v>Email</x:v>
      </x:c>
      <x:c r="H1231" s="2" t="str">
        <x:v>Authorized release</x:v>
      </x:c>
      <x:c r="I1231" s="8" t="n">
        <x:v>46301.58638888889</x:v>
      </x:c>
      <x:c r="J1231" s="8" t="n">
        <x:v>46301.58641203704</x:v>
      </x:c>
      <x:c r="K1231" s="8" t="n">
        <x:v>46301.58644675926</x:v>
      </x:c>
      <x:c r="L1231" s="2" t="str">
        <x:v>Sent</x:v>
      </x:c>
      <x:c r="M1231" s="2" t="n">
        <x:v>1</x:v>
      </x:c>
      <x:c r="N1231" s="2"/>
      <x:c r="O1231" s="2"/>
    </x:row>
    <x:row r="1232" ht="21" customHeight="1">
      <x:c r="A1232" s="2" t="str">
        <x:v>NT001231</x:v>
      </x:c>
      <x:c r="B1232" s="2" t="str">
        <x:v>EV001233</x:v>
      </x:c>
      <x:c r="C1232" s="2" t="str">
        <x:v>T20261006-3-2</x:v>
      </x:c>
      <x:c r="D1232" s="2" t="str">
        <x:v>ST060</x:v>
      </x:c>
      <x:c r="E1232" s="2" t="str">
        <x:v>G060</x:v>
      </x:c>
      <x:c r="F1232" s="2" t="str">
        <x:v>guardian060@example.invalid</x:v>
      </x:c>
      <x:c r="G1232" s="2" t="str">
        <x:v>Email</x:v>
      </x:c>
      <x:c r="H1232" s="2" t="str">
        <x:v>Boarded</x:v>
      </x:c>
      <x:c r="I1232" s="8" t="n">
        <x:v>46301.57322916667</x:v>
      </x:c>
      <x:c r="J1232" s="8" t="n">
        <x:v>46301.57325231482</x:v>
      </x:c>
      <x:c r="K1232" s="8" t="n">
        <x:v>46301.57328703704</x:v>
      </x:c>
      <x:c r="L1232" s="2" t="str">
        <x:v>Sent</x:v>
      </x:c>
      <x:c r="M1232" s="2" t="n">
        <x:v>1</x:v>
      </x:c>
      <x:c r="N1232" s="2"/>
      <x:c r="O1232" s="2"/>
    </x:row>
    <x:row r="1233" ht="21" customHeight="1">
      <x:c r="A1233" s="2" t="str">
        <x:v>NT001232</x:v>
      </x:c>
      <x:c r="B1233" s="2" t="str">
        <x:v>EV001234</x:v>
      </x:c>
      <x:c r="C1233" s="2" t="str">
        <x:v>T20261006-3-2</x:v>
      </x:c>
      <x:c r="D1233" s="2" t="str">
        <x:v>ST060</x:v>
      </x:c>
      <x:c r="E1233" s="2" t="str">
        <x:v>G060</x:v>
      </x:c>
      <x:c r="F1233" s="2" t="str">
        <x:v>guardian060@example.invalid</x:v>
      </x:c>
      <x:c r="G1233" s="2" t="str">
        <x:v>Email</x:v>
      </x:c>
      <x:c r="H1233" s="2" t="str">
        <x:v>Authorized release</x:v>
      </x:c>
      <x:c r="I1233" s="8" t="n">
        <x:v>46301.59059027778</x:v>
      </x:c>
      <x:c r="J1233" s="8" t="n">
        <x:v>46301.59061342593</x:v>
      </x:c>
      <x:c r="K1233" s="8" t="n">
        <x:v>46301.59064814815</x:v>
      </x:c>
      <x:c r="L1233" s="2" t="str">
        <x:v>Sent</x:v>
      </x:c>
      <x:c r="M1233" s="2" t="n">
        <x:v>1</x:v>
      </x:c>
      <x:c r="N1233" s="2"/>
      <x:c r="O1233" s="2"/>
    </x:row>
    <x:row r="1234" ht="21" customHeight="1">
      <x:c r="A1234" s="2" t="str">
        <x:v>NT001233</x:v>
      </x:c>
      <x:c r="B1234" s="2" t="str">
        <x:v>EV001235</x:v>
      </x:c>
      <x:c r="C1234" s="2" t="str">
        <x:v>T20261006-4-2</x:v>
      </x:c>
      <x:c r="D1234" s="2" t="str">
        <x:v>ST061</x:v>
      </x:c>
      <x:c r="E1234" s="2" t="str">
        <x:v>G061</x:v>
      </x:c>
      <x:c r="F1234" s="2" t="str">
        <x:v>guardian061@example.invalid</x:v>
      </x:c>
      <x:c r="G1234" s="2" t="str">
        <x:v>Email</x:v>
      </x:c>
      <x:c r="H1234" s="2" t="str">
        <x:v>Boarded</x:v>
      </x:c>
      <x:c r="I1234" s="8" t="n">
        <x:v>46301.60416666667</x:v>
      </x:c>
      <x:c r="J1234" s="8" t="n">
        <x:v>46301.60418981482</x:v>
      </x:c>
      <x:c r="K1234" s="8" t="n">
        <x:v>46301.60422453704</x:v>
      </x:c>
      <x:c r="L1234" s="2" t="str">
        <x:v>Sent</x:v>
      </x:c>
      <x:c r="M1234" s="2" t="n">
        <x:v>1</x:v>
      </x:c>
      <x:c r="N1234" s="2"/>
      <x:c r="O1234" s="2"/>
    </x:row>
    <x:row r="1235" ht="21" customHeight="1">
      <x:c r="A1235" s="2" t="str">
        <x:v>NT001234</x:v>
      </x:c>
      <x:c r="B1235" s="2" t="str">
        <x:v>EV001236</x:v>
      </x:c>
      <x:c r="C1235" s="2" t="str">
        <x:v>T20261006-4-2</x:v>
      </x:c>
      <x:c r="D1235" s="2" t="str">
        <x:v>ST061</x:v>
      </x:c>
      <x:c r="E1235" s="2" t="str">
        <x:v>G061</x:v>
      </x:c>
      <x:c r="F1235" s="2" t="str">
        <x:v>guardian061@example.invalid</x:v>
      </x:c>
      <x:c r="G1235" s="2" t="str">
        <x:v>Email</x:v>
      </x:c>
      <x:c r="H1235" s="2" t="str">
        <x:v>Authorized release</x:v>
      </x:c>
      <x:c r="I1235" s="8" t="n">
        <x:v>46301.62708333333</x:v>
      </x:c>
      <x:c r="J1235" s="8" t="n">
        <x:v>46301.62710648148</x:v>
      </x:c>
      <x:c r="K1235" s="8" t="n">
        <x:v>46301.6271412037</x:v>
      </x:c>
      <x:c r="L1235" s="2" t="str">
        <x:v>Sent</x:v>
      </x:c>
      <x:c r="M1235" s="2" t="n">
        <x:v>1</x:v>
      </x:c>
      <x:c r="N1235" s="2"/>
      <x:c r="O1235" s="2"/>
    </x:row>
    <x:row r="1236" ht="21" customHeight="1">
      <x:c r="A1236" s="2" t="str">
        <x:v>NT001235</x:v>
      </x:c>
      <x:c r="B1236" s="2" t="str">
        <x:v>EV001237</x:v>
      </x:c>
      <x:c r="C1236" s="2" t="str">
        <x:v>T20261006-4-2</x:v>
      </x:c>
      <x:c r="D1236" s="2" t="str">
        <x:v>ST062</x:v>
      </x:c>
      <x:c r="E1236" s="2" t="str">
        <x:v>G062</x:v>
      </x:c>
      <x:c r="F1236" s="2" t="str">
        <x:v>guardian062@example.invalid</x:v>
      </x:c>
      <x:c r="G1236" s="2" t="str">
        <x:v>Email</x:v>
      </x:c>
      <x:c r="H1236" s="2" t="str">
        <x:v>Boarded</x:v>
      </x:c>
      <x:c r="I1236" s="8" t="n">
        <x:v>46301.604201388895</x:v>
      </x:c>
      <x:c r="J1236" s="8" t="n">
        <x:v>46301.60422453704</x:v>
      </x:c>
      <x:c r="K1236" s="8" t="n">
        <x:v>46301.604259259264</x:v>
      </x:c>
      <x:c r="L1236" s="2" t="str">
        <x:v>Sent</x:v>
      </x:c>
      <x:c r="M1236" s="2" t="n">
        <x:v>1</x:v>
      </x:c>
      <x:c r="N1236" s="2"/>
      <x:c r="O1236" s="2"/>
    </x:row>
    <x:row r="1237" ht="21" customHeight="1">
      <x:c r="A1237" s="2" t="str">
        <x:v>NT001236</x:v>
      </x:c>
      <x:c r="B1237" s="2" t="str">
        <x:v>EV001238</x:v>
      </x:c>
      <x:c r="C1237" s="2" t="str">
        <x:v>T20261006-4-2</x:v>
      </x:c>
      <x:c r="D1237" s="2" t="str">
        <x:v>ST062</x:v>
      </x:c>
      <x:c r="E1237" s="2" t="str">
        <x:v>G062</x:v>
      </x:c>
      <x:c r="F1237" s="2" t="str">
        <x:v>guardian062@example.invalid</x:v>
      </x:c>
      <x:c r="G1237" s="2" t="str">
        <x:v>Email</x:v>
      </x:c>
      <x:c r="H1237" s="2" t="str">
        <x:v>Authorized release</x:v>
      </x:c>
      <x:c r="I1237" s="8" t="n">
        <x:v>46301.618784722225</x:v>
      </x:c>
      <x:c r="J1237" s="8" t="n">
        <x:v>46301.61880787037</x:v>
      </x:c>
      <x:c r="K1237" s="8" t="n">
        <x:v>46301.618842592594</x:v>
      </x:c>
      <x:c r="L1237" s="2" t="str">
        <x:v>Sent</x:v>
      </x:c>
      <x:c r="M1237" s="2" t="n">
        <x:v>1</x:v>
      </x:c>
      <x:c r="N1237" s="2"/>
      <x:c r="O1237" s="2"/>
    </x:row>
    <x:row r="1238" ht="21" customHeight="1">
      <x:c r="A1238" s="2" t="str">
        <x:v>NT001237</x:v>
      </x:c>
      <x:c r="B1238" s="2" t="str">
        <x:v>EV001239</x:v>
      </x:c>
      <x:c r="C1238" s="2" t="str">
        <x:v>T20261006-4-2</x:v>
      </x:c>
      <x:c r="D1238" s="2" t="str">
        <x:v>ST063</x:v>
      </x:c>
      <x:c r="E1238" s="2" t="str">
        <x:v>G063</x:v>
      </x:c>
      <x:c r="F1238" s="2" t="str">
        <x:v>guardian063@example.invalid</x:v>
      </x:c>
      <x:c r="G1238" s="2" t="str">
        <x:v>Email</x:v>
      </x:c>
      <x:c r="H1238" s="2" t="str">
        <x:v>Boarded</x:v>
      </x:c>
      <x:c r="I1238" s="8" t="n">
        <x:v>46301.60423611112</x:v>
      </x:c>
      <x:c r="J1238" s="8" t="n">
        <x:v>46301.604259259264</x:v>
      </x:c>
      <x:c r="K1238" s="8" t="n">
        <x:v>46301.60429398149</x:v>
      </x:c>
      <x:c r="L1238" s="2" t="str">
        <x:v>Sent</x:v>
      </x:c>
      <x:c r="M1238" s="2" t="n">
        <x:v>1</x:v>
      </x:c>
      <x:c r="N1238" s="2"/>
      <x:c r="O1238" s="2"/>
    </x:row>
    <x:row r="1239" ht="21" customHeight="1">
      <x:c r="A1239" s="2" t="str">
        <x:v>NT001238</x:v>
      </x:c>
      <x:c r="B1239" s="2" t="str">
        <x:v>EV001240</x:v>
      </x:c>
      <x:c r="C1239" s="2" t="str">
        <x:v>T20261006-4-2</x:v>
      </x:c>
      <x:c r="D1239" s="2" t="str">
        <x:v>ST063</x:v>
      </x:c>
      <x:c r="E1239" s="2" t="str">
        <x:v>G063</x:v>
      </x:c>
      <x:c r="F1239" s="2" t="str">
        <x:v>guardian063@example.invalid</x:v>
      </x:c>
      <x:c r="G1239" s="2" t="str">
        <x:v>Email</x:v>
      </x:c>
      <x:c r="H1239" s="2" t="str">
        <x:v>Authorized release</x:v>
      </x:c>
      <x:c r="I1239" s="8" t="n">
        <x:v>46301.62298611111</x:v>
      </x:c>
      <x:c r="J1239" s="8" t="n">
        <x:v>46301.62300925926</x:v>
      </x:c>
      <x:c r="K1239" s="8" t="n">
        <x:v>46301.62304398148</x:v>
      </x:c>
      <x:c r="L1239" s="2" t="str">
        <x:v>Sent</x:v>
      </x:c>
      <x:c r="M1239" s="2" t="n">
        <x:v>1</x:v>
      </x:c>
      <x:c r="N1239" s="2"/>
      <x:c r="O1239" s="2"/>
    </x:row>
    <x:row r="1240" ht="21" customHeight="1">
      <x:c r="A1240" s="2" t="str">
        <x:v>NT001239</x:v>
      </x:c>
      <x:c r="B1240" s="2" t="str">
        <x:v>EV001241</x:v>
      </x:c>
      <x:c r="C1240" s="2" t="str">
        <x:v>T20261006-4-2</x:v>
      </x:c>
      <x:c r="D1240" s="2" t="str">
        <x:v>ST064</x:v>
      </x:c>
      <x:c r="E1240" s="2" t="str">
        <x:v>G064</x:v>
      </x:c>
      <x:c r="F1240" s="2" t="str">
        <x:v>guardian064@example.invalid</x:v>
      </x:c>
      <x:c r="G1240" s="2" t="str">
        <x:v>Email</x:v>
      </x:c>
      <x:c r="H1240" s="2" t="str">
        <x:v>Boarded</x:v>
      </x:c>
      <x:c r="I1240" s="8" t="n">
        <x:v>46301.60427083334</x:v>
      </x:c>
      <x:c r="J1240" s="8" t="n">
        <x:v>46301.60429398149</x:v>
      </x:c>
      <x:c r="K1240" s="8" t="n">
        <x:v>46301.60432870371</x:v>
      </x:c>
      <x:c r="L1240" s="2" t="str">
        <x:v>Sent</x:v>
      </x:c>
      <x:c r="M1240" s="2" t="n">
        <x:v>1</x:v>
      </x:c>
      <x:c r="N1240" s="2"/>
      <x:c r="O1240" s="2"/>
    </x:row>
    <x:row r="1241" ht="21" customHeight="1">
      <x:c r="A1241" s="2" t="str">
        <x:v>NT001240</x:v>
      </x:c>
      <x:c r="B1241" s="2" t="str">
        <x:v>EV001242</x:v>
      </x:c>
      <x:c r="C1241" s="2" t="str">
        <x:v>T20261006-4-2</x:v>
      </x:c>
      <x:c r="D1241" s="2" t="str">
        <x:v>ST064</x:v>
      </x:c>
      <x:c r="E1241" s="2" t="str">
        <x:v>G064</x:v>
      </x:c>
      <x:c r="F1241" s="2" t="str">
        <x:v>guardian064@example.invalid</x:v>
      </x:c>
      <x:c r="G1241" s="2" t="str">
        <x:v>Email</x:v>
      </x:c>
      <x:c r="H1241" s="2" t="str">
        <x:v>Authorized release</x:v>
      </x:c>
      <x:c r="I1241" s="8" t="n">
        <x:v>46301.6271875</x:v>
      </x:c>
      <x:c r="J1241" s="8" t="n">
        <x:v>46301.62721064815</x:v>
      </x:c>
      <x:c r="K1241" s="8" t="n">
        <x:v>46301.62724537037</x:v>
      </x:c>
      <x:c r="L1241" s="2" t="str">
        <x:v>Sent</x:v>
      </x:c>
      <x:c r="M1241" s="2" t="n">
        <x:v>1</x:v>
      </x:c>
      <x:c r="N1241" s="2"/>
      <x:c r="O1241" s="2"/>
    </x:row>
    <x:row r="1242" ht="21" customHeight="1">
      <x:c r="A1242" s="2" t="str">
        <x:v>NT001241</x:v>
      </x:c>
      <x:c r="B1242" s="2" t="str">
        <x:v>EV001243</x:v>
      </x:c>
      <x:c r="C1242" s="2" t="str">
        <x:v>T20261006-4-2</x:v>
      </x:c>
      <x:c r="D1242" s="2" t="str">
        <x:v>ST065</x:v>
      </x:c>
      <x:c r="E1242" s="2" t="str">
        <x:v>G065</x:v>
      </x:c>
      <x:c r="F1242" s="2" t="str">
        <x:v>guardian065@example.invalid</x:v>
      </x:c>
      <x:c r="G1242" s="2" t="str">
        <x:v>Email</x:v>
      </x:c>
      <x:c r="H1242" s="2" t="str">
        <x:v>Boarded</x:v>
      </x:c>
      <x:c r="I1242" s="8" t="n">
        <x:v>46301.604305555564</x:v>
      </x:c>
      <x:c r="J1242" s="8" t="n">
        <x:v>46301.60432870371</x:v>
      </x:c>
      <x:c r="K1242" s="8" t="n">
        <x:v>46301.60436342593</x:v>
      </x:c>
      <x:c r="L1242" s="2" t="str">
        <x:v>Sent</x:v>
      </x:c>
      <x:c r="M1242" s="2" t="n">
        <x:v>1</x:v>
      </x:c>
      <x:c r="N1242" s="2"/>
      <x:c r="O1242" s="2"/>
    </x:row>
    <x:row r="1243" ht="21" customHeight="1">
      <x:c r="A1243" s="2" t="str">
        <x:v>NT001242</x:v>
      </x:c>
      <x:c r="B1243" s="2" t="str">
        <x:v>EV001244</x:v>
      </x:c>
      <x:c r="C1243" s="2" t="str">
        <x:v>T20261006-4-2</x:v>
      </x:c>
      <x:c r="D1243" s="2" t="str">
        <x:v>ST065</x:v>
      </x:c>
      <x:c r="E1243" s="2" t="str">
        <x:v>G065</x:v>
      </x:c>
      <x:c r="F1243" s="2" t="str">
        <x:v>guardian065@example.invalid</x:v>
      </x:c>
      <x:c r="G1243" s="2" t="str">
        <x:v>Email</x:v>
      </x:c>
      <x:c r="H1243" s="2" t="str">
        <x:v>Authorized release</x:v>
      </x:c>
      <x:c r="I1243" s="8" t="n">
        <x:v>46301.618888888894</x:v>
      </x:c>
      <x:c r="J1243" s="8" t="n">
        <x:v>46301.61891203704</x:v>
      </x:c>
      <x:c r="K1243" s="8" t="n">
        <x:v>46301.61894675926</x:v>
      </x:c>
      <x:c r="L1243" s="2" t="str">
        <x:v>Sent</x:v>
      </x:c>
      <x:c r="M1243" s="2" t="n">
        <x:v>1</x:v>
      </x:c>
      <x:c r="N1243" s="2"/>
      <x:c r="O1243" s="2"/>
    </x:row>
    <x:row r="1244" ht="21" customHeight="1">
      <x:c r="A1244" s="2" t="str">
        <x:v>NT001243</x:v>
      </x:c>
      <x:c r="B1244" s="2" t="str">
        <x:v>EV001245</x:v>
      </x:c>
      <x:c r="C1244" s="2" t="str">
        <x:v>T20261006-4-2</x:v>
      </x:c>
      <x:c r="D1244" s="2" t="str">
        <x:v>ST066</x:v>
      </x:c>
      <x:c r="E1244" s="2" t="str">
        <x:v>G066</x:v>
      </x:c>
      <x:c r="F1244" s="2" t="str">
        <x:v>guardian066@example.invalid</x:v>
      </x:c>
      <x:c r="G1244" s="2" t="str">
        <x:v>Email</x:v>
      </x:c>
      <x:c r="H1244" s="2" t="str">
        <x:v>Boarded</x:v>
      </x:c>
      <x:c r="I1244" s="8" t="n">
        <x:v>46301.60434027778</x:v>
      </x:c>
      <x:c r="J1244" s="8" t="n">
        <x:v>46301.604363425926</x:v>
      </x:c>
      <x:c r="K1244" s="8" t="n">
        <x:v>46301.60439814815</x:v>
      </x:c>
      <x:c r="L1244" s="2" t="str">
        <x:v>Sent</x:v>
      </x:c>
      <x:c r="M1244" s="2" t="n">
        <x:v>1</x:v>
      </x:c>
      <x:c r="N1244" s="2"/>
      <x:c r="O1244" s="2"/>
    </x:row>
    <x:row r="1245" ht="21" customHeight="1">
      <x:c r="A1245" s="2" t="str">
        <x:v>NT001244</x:v>
      </x:c>
      <x:c r="B1245" s="2" t="str">
        <x:v>EV001246</x:v>
      </x:c>
      <x:c r="C1245" s="2" t="str">
        <x:v>T20261006-4-2</x:v>
      </x:c>
      <x:c r="D1245" s="2" t="str">
        <x:v>ST066</x:v>
      </x:c>
      <x:c r="E1245" s="2" t="str">
        <x:v>G066</x:v>
      </x:c>
      <x:c r="F1245" s="2" t="str">
        <x:v>guardian066@example.invalid</x:v>
      </x:c>
      <x:c r="G1245" s="2" t="str">
        <x:v>Email</x:v>
      </x:c>
      <x:c r="H1245" s="2" t="str">
        <x:v>Authorized release</x:v>
      </x:c>
      <x:c r="I1245" s="8" t="n">
        <x:v>46301.623090277775</x:v>
      </x:c>
      <x:c r="J1245" s="8" t="n">
        <x:v>46301.62311342592</x:v>
      </x:c>
      <x:c r="K1245" s="8" t="n">
        <x:v>46301.623148148145</x:v>
      </x:c>
      <x:c r="L1245" s="2" t="str">
        <x:v>Sent</x:v>
      </x:c>
      <x:c r="M1245" s="2" t="n">
        <x:v>1</x:v>
      </x:c>
      <x:c r="N1245" s="2"/>
      <x:c r="O1245" s="2"/>
    </x:row>
    <x:row r="1246" ht="21" customHeight="1">
      <x:c r="A1246" s="2" t="str">
        <x:v>NT001245</x:v>
      </x:c>
      <x:c r="B1246" s="2" t="str">
        <x:v>EV001247</x:v>
      </x:c>
      <x:c r="C1246" s="2" t="str">
        <x:v>T20261006-4-2</x:v>
      </x:c>
      <x:c r="D1246" s="2" t="str">
        <x:v>ST067</x:v>
      </x:c>
      <x:c r="E1246" s="2" t="str">
        <x:v>G067</x:v>
      </x:c>
      <x:c r="F1246" s="2" t="str">
        <x:v>guardian067@example.invalid</x:v>
      </x:c>
      <x:c r="G1246" s="2" t="str">
        <x:v>Email</x:v>
      </x:c>
      <x:c r="H1246" s="2" t="str">
        <x:v>Boarded</x:v>
      </x:c>
      <x:c r="I1246" s="8" t="n">
        <x:v>46301.604375</x:v>
      </x:c>
      <x:c r="J1246" s="8" t="n">
        <x:v>46301.60439814815</x:v>
      </x:c>
      <x:c r="K1246" s="8" t="n">
        <x:v>46301.60443287037</x:v>
      </x:c>
      <x:c r="L1246" s="2" t="str">
        <x:v>Sent</x:v>
      </x:c>
      <x:c r="M1246" s="2" t="n">
        <x:v>1</x:v>
      </x:c>
      <x:c r="N1246" s="2"/>
      <x:c r="O1246" s="2"/>
    </x:row>
    <x:row r="1247" ht="21" customHeight="1">
      <x:c r="A1247" s="2" t="str">
        <x:v>NT001246</x:v>
      </x:c>
      <x:c r="B1247" s="2" t="str">
        <x:v>EV001248</x:v>
      </x:c>
      <x:c r="C1247" s="2" t="str">
        <x:v>T20261006-4-2</x:v>
      </x:c>
      <x:c r="D1247" s="2" t="str">
        <x:v>ST067</x:v>
      </x:c>
      <x:c r="E1247" s="2" t="str">
        <x:v>G067</x:v>
      </x:c>
      <x:c r="F1247" s="2" t="str">
        <x:v>guardian067@example.invalid</x:v>
      </x:c>
      <x:c r="G1247" s="2" t="str">
        <x:v>Email</x:v>
      </x:c>
      <x:c r="H1247" s="2" t="str">
        <x:v>Authorized release</x:v>
      </x:c>
      <x:c r="I1247" s="8" t="n">
        <x:v>46301.627291666664</x:v>
      </x:c>
      <x:c r="J1247" s="8" t="n">
        <x:v>46301.62731481481</x:v>
      </x:c>
      <x:c r="K1247" s="8" t="n">
        <x:v>46301.62734953703</x:v>
      </x:c>
      <x:c r="L1247" s="2" t="str">
        <x:v>Sent</x:v>
      </x:c>
      <x:c r="M1247" s="2" t="n">
        <x:v>1</x:v>
      </x:c>
      <x:c r="N1247" s="2"/>
      <x:c r="O1247" s="2"/>
    </x:row>
    <x:row r="1248" ht="21" customHeight="1">
      <x:c r="A1248" s="2" t="str">
        <x:v>NT001247</x:v>
      </x:c>
      <x:c r="B1248" s="2" t="str">
        <x:v>EV001249</x:v>
      </x:c>
      <x:c r="C1248" s="2" t="str">
        <x:v>T20261006-4-2</x:v>
      </x:c>
      <x:c r="D1248" s="2" t="str">
        <x:v>ST068</x:v>
      </x:c>
      <x:c r="E1248" s="2" t="str">
        <x:v>G068</x:v>
      </x:c>
      <x:c r="F1248" s="2" t="str">
        <x:v>guardian068@example.invalid</x:v>
      </x:c>
      <x:c r="G1248" s="2" t="str">
        <x:v>Email</x:v>
      </x:c>
      <x:c r="H1248" s="2" t="str">
        <x:v>Boarded</x:v>
      </x:c>
      <x:c r="I1248" s="8" t="n">
        <x:v>46301.604409722226</x:v>
      </x:c>
      <x:c r="J1248" s="8" t="n">
        <x:v>46301.60443287037</x:v>
      </x:c>
      <x:c r="K1248" s="8" t="n">
        <x:v>46301.604467592595</x:v>
      </x:c>
      <x:c r="L1248" s="2" t="str">
        <x:v>Sent</x:v>
      </x:c>
      <x:c r="M1248" s="2" t="n">
        <x:v>1</x:v>
      </x:c>
      <x:c r="N1248" s="2"/>
      <x:c r="O1248" s="2"/>
    </x:row>
    <x:row r="1249" ht="21" customHeight="1">
      <x:c r="A1249" s="2" t="str">
        <x:v>NT001248</x:v>
      </x:c>
      <x:c r="B1249" s="2" t="str">
        <x:v>EV001250</x:v>
      </x:c>
      <x:c r="C1249" s="2" t="str">
        <x:v>T20261006-4-2</x:v>
      </x:c>
      <x:c r="D1249" s="2" t="str">
        <x:v>ST068</x:v>
      </x:c>
      <x:c r="E1249" s="2" t="str">
        <x:v>G068</x:v>
      </x:c>
      <x:c r="F1249" s="2" t="str">
        <x:v>guardian068@example.invalid</x:v>
      </x:c>
      <x:c r="G1249" s="2" t="str">
        <x:v>Email</x:v>
      </x:c>
      <x:c r="H1249" s="2" t="str">
        <x:v>Authorized release</x:v>
      </x:c>
      <x:c r="I1249" s="8" t="n">
        <x:v>46301.618993055556</x:v>
      </x:c>
      <x:c r="J1249" s="8" t="n">
        <x:v>46301.6190162037</x:v>
      </x:c>
      <x:c r="K1249" s="8" t="n">
        <x:v>46301.619050925925</x:v>
      </x:c>
      <x:c r="L1249" s="2" t="str">
        <x:v>Sent</x:v>
      </x:c>
      <x:c r="M1249" s="2" t="n">
        <x:v>1</x:v>
      </x:c>
      <x:c r="N1249" s="2"/>
      <x:c r="O1249" s="2"/>
    </x:row>
    <x:row r="1250" ht="21" customHeight="1">
      <x:c r="A1250" s="2" t="str">
        <x:v>NT001249</x:v>
      </x:c>
      <x:c r="B1250" s="2" t="str">
        <x:v>EV001251</x:v>
      </x:c>
      <x:c r="C1250" s="2" t="str">
        <x:v>T20261006-4-2</x:v>
      </x:c>
      <x:c r="D1250" s="2" t="str">
        <x:v>ST069</x:v>
      </x:c>
      <x:c r="E1250" s="2" t="str">
        <x:v>G069</x:v>
      </x:c>
      <x:c r="F1250" s="2" t="str">
        <x:v>guardian069@example.invalid</x:v>
      </x:c>
      <x:c r="G1250" s="2" t="str">
        <x:v>Email</x:v>
      </x:c>
      <x:c r="H1250" s="2" t="str">
        <x:v>Boarded</x:v>
      </x:c>
      <x:c r="I1250" s="8" t="n">
        <x:v>46301.60444444445</x:v>
      </x:c>
      <x:c r="J1250" s="8" t="n">
        <x:v>46301.604467592595</x:v>
      </x:c>
      <x:c r="K1250" s="8" t="n">
        <x:v>46301.60450231482</x:v>
      </x:c>
      <x:c r="L1250" s="2" t="str">
        <x:v>Sent</x:v>
      </x:c>
      <x:c r="M1250" s="2" t="n">
        <x:v>1</x:v>
      </x:c>
      <x:c r="N1250" s="2"/>
      <x:c r="O1250" s="2"/>
    </x:row>
    <x:row r="1251" ht="21" customHeight="1">
      <x:c r="A1251" s="2" t="str">
        <x:v>NT001250</x:v>
      </x:c>
      <x:c r="B1251" s="2" t="str">
        <x:v>EV001252</x:v>
      </x:c>
      <x:c r="C1251" s="2" t="str">
        <x:v>T20261006-4-2</x:v>
      </x:c>
      <x:c r="D1251" s="2" t="str">
        <x:v>ST069</x:v>
      </x:c>
      <x:c r="E1251" s="2" t="str">
        <x:v>G069</x:v>
      </x:c>
      <x:c r="F1251" s="2" t="str">
        <x:v>guardian069@example.invalid</x:v>
      </x:c>
      <x:c r="G1251" s="2" t="str">
        <x:v>Email</x:v>
      </x:c>
      <x:c r="H1251" s="2" t="str">
        <x:v>Authorized release</x:v>
      </x:c>
      <x:c r="I1251" s="8" t="n">
        <x:v>46301.623194444444</x:v>
      </x:c>
      <x:c r="J1251" s="8" t="n">
        <x:v>46301.62321759259</x:v>
      </x:c>
      <x:c r="K1251" s="8" t="n">
        <x:v>46301.623252314814</x:v>
      </x:c>
      <x:c r="L1251" s="2" t="str">
        <x:v>Sent</x:v>
      </x:c>
      <x:c r="M1251" s="2" t="n">
        <x:v>1</x:v>
      </x:c>
      <x:c r="N1251" s="2"/>
      <x:c r="O1251" s="2"/>
    </x:row>
    <x:row r="1252" ht="21" customHeight="1">
      <x:c r="A1252" s="2" t="str">
        <x:v>NT001251</x:v>
      </x:c>
      <x:c r="B1252" s="2" t="str">
        <x:v>EV001253</x:v>
      </x:c>
      <x:c r="C1252" s="2" t="str">
        <x:v>T20261006-4-2</x:v>
      </x:c>
      <x:c r="D1252" s="2" t="str">
        <x:v>ST070</x:v>
      </x:c>
      <x:c r="E1252" s="2" t="str">
        <x:v>G070</x:v>
      </x:c>
      <x:c r="F1252" s="2" t="str">
        <x:v>guardian070@example.invalid</x:v>
      </x:c>
      <x:c r="G1252" s="2" t="str">
        <x:v>Email</x:v>
      </x:c>
      <x:c r="H1252" s="2" t="str">
        <x:v>Boarded</x:v>
      </x:c>
      <x:c r="I1252" s="8" t="n">
        <x:v>46301.60447916667</x:v>
      </x:c>
      <x:c r="J1252" s="8" t="n">
        <x:v>46301.60450231482</x:v>
      </x:c>
      <x:c r="K1252" s="8" t="n">
        <x:v>46301.60453703704</x:v>
      </x:c>
      <x:c r="L1252" s="2" t="str">
        <x:v>Sent</x:v>
      </x:c>
      <x:c r="M1252" s="2" t="n">
        <x:v>1</x:v>
      </x:c>
      <x:c r="N1252" s="2"/>
      <x:c r="O1252" s="2"/>
    </x:row>
    <x:row r="1253" ht="21" customHeight="1">
      <x:c r="A1253" s="2" t="str">
        <x:v>NT001252</x:v>
      </x:c>
      <x:c r="B1253" s="2" t="str">
        <x:v>EV001254</x:v>
      </x:c>
      <x:c r="C1253" s="2" t="str">
        <x:v>T20261006-4-2</x:v>
      </x:c>
      <x:c r="D1253" s="2" t="str">
        <x:v>ST070</x:v>
      </x:c>
      <x:c r="E1253" s="2" t="str">
        <x:v>G070</x:v>
      </x:c>
      <x:c r="F1253" s="2" t="str">
        <x:v>guardian070@example.invalid</x:v>
      </x:c>
      <x:c r="G1253" s="2" t="str">
        <x:v>Email</x:v>
      </x:c>
      <x:c r="H1253" s="2" t="str">
        <x:v>Authorized release</x:v>
      </x:c>
      <x:c r="I1253" s="8" t="n">
        <x:v>46301.62739583333</x:v>
      </x:c>
      <x:c r="J1253" s="8" t="n">
        <x:v>46301.62741898148</x:v>
      </x:c>
      <x:c r="K1253" s="8" t="n">
        <x:v>46301.6274537037</x:v>
      </x:c>
      <x:c r="L1253" s="2" t="str">
        <x:v>Sent</x:v>
      </x:c>
      <x:c r="M1253" s="2" t="n">
        <x:v>1</x:v>
      </x:c>
      <x:c r="N1253" s="2"/>
      <x:c r="O1253" s="2"/>
    </x:row>
    <x:row r="1254" ht="21" customHeight="1">
      <x:c r="A1254" s="2" t="str">
        <x:v>NT001253</x:v>
      </x:c>
      <x:c r="B1254" s="2" t="str">
        <x:v>EV001255</x:v>
      </x:c>
      <x:c r="C1254" s="2" t="str">
        <x:v>T20261006-5-2</x:v>
      </x:c>
      <x:c r="D1254" s="2" t="str">
        <x:v>ST071</x:v>
      </x:c>
      <x:c r="E1254" s="2" t="str">
        <x:v>G071</x:v>
      </x:c>
      <x:c r="F1254" s="2" t="str">
        <x:v>guardian071@example.invalid</x:v>
      </x:c>
      <x:c r="G1254" s="2" t="str">
        <x:v>Email</x:v>
      </x:c>
      <x:c r="H1254" s="2" t="str">
        <x:v>Boarded</x:v>
      </x:c>
      <x:c r="I1254" s="8" t="n">
        <x:v>46301.70833333333</x:v>
      </x:c>
      <x:c r="J1254" s="8" t="n">
        <x:v>46301.708356481475</x:v>
      </x:c>
      <x:c r="K1254" s="8" t="n">
        <x:v>46301.7083912037</x:v>
      </x:c>
      <x:c r="L1254" s="2" t="str">
        <x:v>Sent</x:v>
      </x:c>
      <x:c r="M1254" s="2" t="n">
        <x:v>1</x:v>
      </x:c>
      <x:c r="N1254" s="2"/>
      <x:c r="O1254" s="2"/>
    </x:row>
    <x:row r="1255" ht="21" customHeight="1">
      <x:c r="A1255" s="2" t="str">
        <x:v>NT001254</x:v>
      </x:c>
      <x:c r="B1255" s="2" t="str">
        <x:v>EV001256</x:v>
      </x:c>
      <x:c r="C1255" s="2" t="str">
        <x:v>T20261006-5-2</x:v>
      </x:c>
      <x:c r="D1255" s="2" t="str">
        <x:v>ST071</x:v>
      </x:c>
      <x:c r="E1255" s="2" t="str">
        <x:v>G071</x:v>
      </x:c>
      <x:c r="F1255" s="2" t="str">
        <x:v>guardian071@example.invalid</x:v>
      </x:c>
      <x:c r="G1255" s="2" t="str">
        <x:v>Email</x:v>
      </x:c>
      <x:c r="H1255" s="2" t="str">
        <x:v>Authorized release</x:v>
      </x:c>
      <x:c r="I1255" s="8" t="n">
        <x:v>46301.72361111111</x:v>
      </x:c>
      <x:c r="J1255" s="8" t="n">
        <x:v>46301.72363425926</x:v>
      </x:c>
      <x:c r="K1255" s="8" t="n">
        <x:v>46301.72366898148</x:v>
      </x:c>
      <x:c r="L1255" s="2" t="str">
        <x:v>Sent</x:v>
      </x:c>
      <x:c r="M1255" s="2" t="n">
        <x:v>1</x:v>
      </x:c>
      <x:c r="N1255" s="2"/>
      <x:c r="O1255" s="2"/>
    </x:row>
    <x:row r="1256" ht="21" customHeight="1">
      <x:c r="A1256" s="2" t="str">
        <x:v>NT001255</x:v>
      </x:c>
      <x:c r="B1256" s="2" t="str">
        <x:v>EV001257</x:v>
      </x:c>
      <x:c r="C1256" s="2" t="str">
        <x:v>T20261006-5-2</x:v>
      </x:c>
      <x:c r="D1256" s="2" t="str">
        <x:v>ST072</x:v>
      </x:c>
      <x:c r="E1256" s="2" t="str">
        <x:v>G072</x:v>
      </x:c>
      <x:c r="F1256" s="2" t="str">
        <x:v>guardian072@example.invalid</x:v>
      </x:c>
      <x:c r="G1256" s="2" t="str">
        <x:v>Email</x:v>
      </x:c>
      <x:c r="H1256" s="2" t="str">
        <x:v>Boarded</x:v>
      </x:c>
      <x:c r="I1256" s="8" t="n">
        <x:v>46301.70836805555</x:v>
      </x:c>
      <x:c r="J1256" s="8" t="n">
        <x:v>46301.7083912037</x:v>
      </x:c>
      <x:c r="K1256" s="8" t="n">
        <x:v>46301.70842592592</x:v>
      </x:c>
      <x:c r="L1256" s="2" t="str">
        <x:v>Sent</x:v>
      </x:c>
      <x:c r="M1256" s="2" t="n">
        <x:v>1</x:v>
      </x:c>
      <x:c r="N1256" s="2"/>
      <x:c r="O1256" s="2"/>
    </x:row>
    <x:row r="1257" ht="21" customHeight="1">
      <x:c r="A1257" s="2" t="str">
        <x:v>NT001256</x:v>
      </x:c>
      <x:c r="B1257" s="2" t="str">
        <x:v>EV001258</x:v>
      </x:c>
      <x:c r="C1257" s="2" t="str">
        <x:v>T20261006-5-2</x:v>
      </x:c>
      <x:c r="D1257" s="2" t="str">
        <x:v>ST072</x:v>
      </x:c>
      <x:c r="E1257" s="2" t="str">
        <x:v>G072</x:v>
      </x:c>
      <x:c r="F1257" s="2" t="str">
        <x:v>guardian072@example.invalid</x:v>
      </x:c>
      <x:c r="G1257" s="2" t="str">
        <x:v>Email</x:v>
      </x:c>
      <x:c r="H1257" s="2" t="str">
        <x:v>Authorized release</x:v>
      </x:c>
      <x:c r="I1257" s="8" t="n">
        <x:v>46301.72850694445</x:v>
      </x:c>
      <x:c r="J1257" s="8" t="n">
        <x:v>46301.728530092594</x:v>
      </x:c>
      <x:c r="K1257" s="8" t="n">
        <x:v>46301.72856481482</x:v>
      </x:c>
      <x:c r="L1257" s="2" t="str">
        <x:v>Sent</x:v>
      </x:c>
      <x:c r="M1257" s="2" t="n">
        <x:v>1</x:v>
      </x:c>
      <x:c r="N1257" s="2"/>
      <x:c r="O1257" s="2"/>
    </x:row>
    <x:row r="1258" ht="21" customHeight="1">
      <x:c r="A1258" s="2" t="str">
        <x:v>NT001257</x:v>
      </x:c>
      <x:c r="B1258" s="2" t="str">
        <x:v>EV001259</x:v>
      </x:c>
      <x:c r="C1258" s="2" t="str">
        <x:v>T20261006-5-2</x:v>
      </x:c>
      <x:c r="D1258" s="2" t="str">
        <x:v>ST073</x:v>
      </x:c>
      <x:c r="E1258" s="2" t="str">
        <x:v>G073</x:v>
      </x:c>
      <x:c r="F1258" s="2" t="str">
        <x:v>guardian073@example.invalid</x:v>
      </x:c>
      <x:c r="G1258" s="2" t="str">
        <x:v>Email</x:v>
      </x:c>
      <x:c r="H1258" s="2" t="str">
        <x:v>Boarded</x:v>
      </x:c>
      <x:c r="I1258" s="8" t="n">
        <x:v>46301.708402777775</x:v>
      </x:c>
      <x:c r="J1258" s="8" t="n">
        <x:v>46301.70842592592</x:v>
      </x:c>
      <x:c r="K1258" s="8" t="n">
        <x:v>46301.708460648144</x:v>
      </x:c>
      <x:c r="L1258" s="2" t="str">
        <x:v>Sent</x:v>
      </x:c>
      <x:c r="M1258" s="2" t="n">
        <x:v>1</x:v>
      </x:c>
      <x:c r="N1258" s="2"/>
      <x:c r="O1258" s="2"/>
    </x:row>
    <x:row r="1259" ht="21" customHeight="1">
      <x:c r="A1259" s="2" t="str">
        <x:v>NT001258</x:v>
      </x:c>
      <x:c r="B1259" s="2" t="str">
        <x:v>EV001260</x:v>
      </x:c>
      <x:c r="C1259" s="2" t="str">
        <x:v>T20261006-5-2</x:v>
      </x:c>
      <x:c r="D1259" s="2" t="str">
        <x:v>ST073</x:v>
      </x:c>
      <x:c r="E1259" s="2" t="str">
        <x:v>G073</x:v>
      </x:c>
      <x:c r="F1259" s="2" t="str">
        <x:v>guardian073@example.invalid</x:v>
      </x:c>
      <x:c r="G1259" s="2" t="str">
        <x:v>Email</x:v>
      </x:c>
      <x:c r="H1259" s="2" t="str">
        <x:v>Authorized release</x:v>
      </x:c>
      <x:c r="I1259" s="8" t="n">
        <x:v>46301.73340277778</x:v>
      </x:c>
      <x:c r="J1259" s="8" t="n">
        <x:v>46301.73342592593</x:v>
      </x:c>
      <x:c r="K1259" s="8" t="n">
        <x:v>46301.73346064815</x:v>
      </x:c>
      <x:c r="L1259" s="2" t="str">
        <x:v>Sent</x:v>
      </x:c>
      <x:c r="M1259" s="2" t="n">
        <x:v>1</x:v>
      </x:c>
      <x:c r="N1259" s="2"/>
      <x:c r="O1259" s="2"/>
    </x:row>
    <x:row r="1260" ht="21" customHeight="1">
      <x:c r="A1260" s="2" t="str">
        <x:v>NT001259</x:v>
      </x:c>
      <x:c r="B1260" s="2" t="str">
        <x:v>EV001261</x:v>
      </x:c>
      <x:c r="C1260" s="2" t="str">
        <x:v>T20261006-5-2</x:v>
      </x:c>
      <x:c r="D1260" s="2" t="str">
        <x:v>ST074</x:v>
      </x:c>
      <x:c r="E1260" s="2" t="str">
        <x:v>G074</x:v>
      </x:c>
      <x:c r="F1260" s="2" t="str">
        <x:v>guardian074@example.invalid</x:v>
      </x:c>
      <x:c r="G1260" s="2" t="str">
        <x:v>Email</x:v>
      </x:c>
      <x:c r="H1260" s="2" t="str">
        <x:v>Boarded</x:v>
      </x:c>
      <x:c r="I1260" s="8" t="n">
        <x:v>46301.7084375</x:v>
      </x:c>
      <x:c r="J1260" s="8" t="n">
        <x:v>46301.708460648144</x:v>
      </x:c>
      <x:c r="K1260" s="8" t="n">
        <x:v>46301.70849537037</x:v>
      </x:c>
      <x:c r="L1260" s="2" t="str">
        <x:v>Sent</x:v>
      </x:c>
      <x:c r="M1260" s="2" t="n">
        <x:v>1</x:v>
      </x:c>
      <x:c r="N1260" s="2"/>
      <x:c r="O1260" s="2"/>
    </x:row>
    <x:row r="1261" ht="21" customHeight="1">
      <x:c r="A1261" s="2" t="str">
        <x:v>NT001260</x:v>
      </x:c>
      <x:c r="B1261" s="2" t="str">
        <x:v>EV001262</x:v>
      </x:c>
      <x:c r="C1261" s="2" t="str">
        <x:v>T20261006-5-2</x:v>
      </x:c>
      <x:c r="D1261" s="2" t="str">
        <x:v>ST074</x:v>
      </x:c>
      <x:c r="E1261" s="2" t="str">
        <x:v>G074</x:v>
      </x:c>
      <x:c r="F1261" s="2" t="str">
        <x:v>guardian074@example.invalid</x:v>
      </x:c>
      <x:c r="G1261" s="2" t="str">
        <x:v>Email</x:v>
      </x:c>
      <x:c r="H1261" s="2" t="str">
        <x:v>Authorized release</x:v>
      </x:c>
      <x:c r="I1261" s="8" t="n">
        <x:v>46301.72371527778</x:v>
      </x:c>
      <x:c r="J1261" s="8" t="n">
        <x:v>46301.72373842593</x:v>
      </x:c>
      <x:c r="K1261" s="8" t="n">
        <x:v>46301.72377314815</x:v>
      </x:c>
      <x:c r="L1261" s="2" t="str">
        <x:v>Sent</x:v>
      </x:c>
      <x:c r="M1261" s="2" t="n">
        <x:v>1</x:v>
      </x:c>
      <x:c r="N1261" s="2"/>
      <x:c r="O1261" s="2"/>
    </x:row>
    <x:row r="1262" ht="21" customHeight="1">
      <x:c r="A1262" s="2" t="str">
        <x:v>NT001261</x:v>
      </x:c>
      <x:c r="B1262" s="2" t="str">
        <x:v>EV001263</x:v>
      </x:c>
      <x:c r="C1262" s="2" t="str">
        <x:v>T20261006-5-2</x:v>
      </x:c>
      <x:c r="D1262" s="2" t="str">
        <x:v>ST075</x:v>
      </x:c>
      <x:c r="E1262" s="2" t="str">
        <x:v>G075</x:v>
      </x:c>
      <x:c r="F1262" s="2" t="str">
        <x:v>guardian075@example.invalid</x:v>
      </x:c>
      <x:c r="G1262" s="2" t="str">
        <x:v>Email</x:v>
      </x:c>
      <x:c r="H1262" s="2" t="str">
        <x:v>Boarded</x:v>
      </x:c>
      <x:c r="I1262" s="8" t="n">
        <x:v>46301.70847222222</x:v>
      </x:c>
      <x:c r="J1262" s="8" t="n">
        <x:v>46301.70849537037</x:v>
      </x:c>
      <x:c r="K1262" s="8" t="n">
        <x:v>46301.70853009259</x:v>
      </x:c>
      <x:c r="L1262" s="2" t="str">
        <x:v>Sent</x:v>
      </x:c>
      <x:c r="M1262" s="2" t="n">
        <x:v>1</x:v>
      </x:c>
      <x:c r="N1262" s="2"/>
      <x:c r="O1262" s="2"/>
    </x:row>
    <x:row r="1263" ht="21" customHeight="1">
      <x:c r="A1263" s="2" t="str">
        <x:v>NT001262</x:v>
      </x:c>
      <x:c r="B1263" s="2" t="str">
        <x:v>EV001264</x:v>
      </x:c>
      <x:c r="C1263" s="2" t="str">
        <x:v>T20261006-5-2</x:v>
      </x:c>
      <x:c r="D1263" s="2" t="str">
        <x:v>ST075</x:v>
      </x:c>
      <x:c r="E1263" s="2" t="str">
        <x:v>G075</x:v>
      </x:c>
      <x:c r="F1263" s="2" t="str">
        <x:v>guardian075@example.invalid</x:v>
      </x:c>
      <x:c r="G1263" s="2" t="str">
        <x:v>Email</x:v>
      </x:c>
      <x:c r="H1263" s="2" t="str">
        <x:v>Authorized release</x:v>
      </x:c>
      <x:c r="I1263" s="8" t="n">
        <x:v>46301.72861111112</x:v>
      </x:c>
      <x:c r="J1263" s="8" t="n">
        <x:v>46301.72863425926</x:v>
      </x:c>
      <x:c r="K1263" s="8" t="n">
        <x:v>46301.72866898149</x:v>
      </x:c>
      <x:c r="L1263" s="2" t="str">
        <x:v>Sent</x:v>
      </x:c>
      <x:c r="M1263" s="2" t="n">
        <x:v>1</x:v>
      </x:c>
      <x:c r="N1263" s="2"/>
      <x:c r="O1263" s="2"/>
    </x:row>
    <x:row r="1264" ht="21" customHeight="1">
      <x:c r="A1264" s="2" t="str">
        <x:v>NT001263</x:v>
      </x:c>
      <x:c r="B1264" s="2" t="str">
        <x:v>EV001265</x:v>
      </x:c>
      <x:c r="C1264" s="2" t="str">
        <x:v>T20261006-5-2</x:v>
      </x:c>
      <x:c r="D1264" s="2" t="str">
        <x:v>ST076</x:v>
      </x:c>
      <x:c r="E1264" s="2" t="str">
        <x:v>G076</x:v>
      </x:c>
      <x:c r="F1264" s="2" t="str">
        <x:v>guardian076@example.invalid</x:v>
      </x:c>
      <x:c r="G1264" s="2" t="str">
        <x:v>Email</x:v>
      </x:c>
      <x:c r="H1264" s="2" t="str">
        <x:v>Boarded</x:v>
      </x:c>
      <x:c r="I1264" s="8" t="n">
        <x:v>46301.70850694444</x:v>
      </x:c>
      <x:c r="J1264" s="8" t="n">
        <x:v>46301.70853009258</x:v>
      </x:c>
      <x:c r="K1264" s="8" t="n">
        <x:v>46301.708564814806</x:v>
      </x:c>
      <x:c r="L1264" s="2" t="str">
        <x:v>Sent</x:v>
      </x:c>
      <x:c r="M1264" s="2" t="n">
        <x:v>1</x:v>
      </x:c>
      <x:c r="N1264" s="2"/>
      <x:c r="O1264" s="2"/>
    </x:row>
    <x:row r="1265" ht="21" customHeight="1">
      <x:c r="A1265" s="2" t="str">
        <x:v>NT001264</x:v>
      </x:c>
      <x:c r="B1265" s="2" t="str">
        <x:v>EV001266</x:v>
      </x:c>
      <x:c r="C1265" s="2" t="str">
        <x:v>T20261006-5-2</x:v>
      </x:c>
      <x:c r="D1265" s="2" t="str">
        <x:v>ST076</x:v>
      </x:c>
      <x:c r="E1265" s="2" t="str">
        <x:v>G076</x:v>
      </x:c>
      <x:c r="F1265" s="2" t="str">
        <x:v>guardian076@example.invalid</x:v>
      </x:c>
      <x:c r="G1265" s="2" t="str">
        <x:v>Email</x:v>
      </x:c>
      <x:c r="H1265" s="2" t="str">
        <x:v>Authorized release</x:v>
      </x:c>
      <x:c r="I1265" s="8" t="n">
        <x:v>46301.733506944445</x:v>
      </x:c>
      <x:c r="J1265" s="8" t="n">
        <x:v>46301.73353009259</x:v>
      </x:c>
      <x:c r="K1265" s="8" t="n">
        <x:v>46301.733564814815</x:v>
      </x:c>
      <x:c r="L1265" s="2" t="str">
        <x:v>Sent</x:v>
      </x:c>
      <x:c r="M1265" s="2" t="n">
        <x:v>1</x:v>
      </x:c>
      <x:c r="N1265" s="2"/>
      <x:c r="O1265" s="2"/>
    </x:row>
    <x:row r="1266" ht="21" customHeight="1">
      <x:c r="A1266" s="2" t="str">
        <x:v>NT001265</x:v>
      </x:c>
      <x:c r="B1266" s="2" t="str">
        <x:v>EV001267</x:v>
      </x:c>
      <x:c r="C1266" s="2" t="str">
        <x:v>T20261006-5-2</x:v>
      </x:c>
      <x:c r="D1266" s="2" t="str">
        <x:v>ST077</x:v>
      </x:c>
      <x:c r="E1266" s="2" t="str">
        <x:v>G077</x:v>
      </x:c>
      <x:c r="F1266" s="2" t="str">
        <x:v>guardian077@example.invalid</x:v>
      </x:c>
      <x:c r="G1266" s="2" t="str">
        <x:v>Email</x:v>
      </x:c>
      <x:c r="H1266" s="2" t="str">
        <x:v>Boarded</x:v>
      </x:c>
      <x:c r="I1266" s="8" t="n">
        <x:v>46301.70854166666</x:v>
      </x:c>
      <x:c r="J1266" s="8" t="n">
        <x:v>46301.708564814806</x:v>
      </x:c>
      <x:c r="K1266" s="8" t="n">
        <x:v>46301.70859953703</x:v>
      </x:c>
      <x:c r="L1266" s="2" t="str">
        <x:v>Sent</x:v>
      </x:c>
      <x:c r="M1266" s="2" t="n">
        <x:v>1</x:v>
      </x:c>
      <x:c r="N1266" s="2"/>
      <x:c r="O1266" s="2"/>
    </x:row>
    <x:row r="1267" ht="21" customHeight="1">
      <x:c r="A1267" s="2" t="str">
        <x:v>NT001266</x:v>
      </x:c>
      <x:c r="B1267" s="2" t="str">
        <x:v>EV001268</x:v>
      </x:c>
      <x:c r="C1267" s="2" t="str">
        <x:v>T20261006-5-2</x:v>
      </x:c>
      <x:c r="D1267" s="2" t="str">
        <x:v>ST077</x:v>
      </x:c>
      <x:c r="E1267" s="2" t="str">
        <x:v>G077</x:v>
      </x:c>
      <x:c r="F1267" s="2" t="str">
        <x:v>guardian077@example.invalid</x:v>
      </x:c>
      <x:c r="G1267" s="2" t="str">
        <x:v>Email</x:v>
      </x:c>
      <x:c r="H1267" s="2" t="str">
        <x:v>Authorized release</x:v>
      </x:c>
      <x:c r="I1267" s="8" t="n">
        <x:v>46301.72381944444</x:v>
      </x:c>
      <x:c r="J1267" s="8" t="n">
        <x:v>46301.72384259259</x:v>
      </x:c>
      <x:c r="K1267" s="8" t="n">
        <x:v>46301.72387731481</x:v>
      </x:c>
      <x:c r="L1267" s="2" t="str">
        <x:v>Sent</x:v>
      </x:c>
      <x:c r="M1267" s="2" t="n">
        <x:v>1</x:v>
      </x:c>
      <x:c r="N1267" s="2"/>
      <x:c r="O1267" s="2"/>
    </x:row>
    <x:row r="1268" ht="21" customHeight="1">
      <x:c r="A1268" s="2" t="str">
        <x:v>NT001267</x:v>
      </x:c>
      <x:c r="B1268" s="2" t="str">
        <x:v>EV001269</x:v>
      </x:c>
      <x:c r="C1268" s="2" t="str">
        <x:v>T20261006-5-2</x:v>
      </x:c>
      <x:c r="D1268" s="2" t="str">
        <x:v>ST078</x:v>
      </x:c>
      <x:c r="E1268" s="2" t="str">
        <x:v>G078</x:v>
      </x:c>
      <x:c r="F1268" s="2" t="str">
        <x:v>guardian078@example.invalid</x:v>
      </x:c>
      <x:c r="G1268" s="2" t="str">
        <x:v>Email</x:v>
      </x:c>
      <x:c r="H1268" s="2" t="str">
        <x:v>Boarded</x:v>
      </x:c>
      <x:c r="I1268" s="8" t="n">
        <x:v>46301.70857638888</x:v>
      </x:c>
      <x:c r="J1268" s="8" t="n">
        <x:v>46301.70859953703</x:v>
      </x:c>
      <x:c r="K1268" s="8" t="n">
        <x:v>46301.70863425925</x:v>
      </x:c>
      <x:c r="L1268" s="2" t="str">
        <x:v>Sent</x:v>
      </x:c>
      <x:c r="M1268" s="2" t="n">
        <x:v>1</x:v>
      </x:c>
      <x:c r="N1268" s="2"/>
      <x:c r="O1268" s="2"/>
    </x:row>
    <x:row r="1269" ht="21" customHeight="1">
      <x:c r="A1269" s="2" t="str">
        <x:v>NT001268</x:v>
      </x:c>
      <x:c r="B1269" s="2" t="str">
        <x:v>EV001270</x:v>
      </x:c>
      <x:c r="C1269" s="2" t="str">
        <x:v>T20261006-5-2</x:v>
      </x:c>
      <x:c r="D1269" s="2" t="str">
        <x:v>ST078</x:v>
      </x:c>
      <x:c r="E1269" s="2" t="str">
        <x:v>G078</x:v>
      </x:c>
      <x:c r="F1269" s="2" t="str">
        <x:v>guardian078@example.invalid</x:v>
      </x:c>
      <x:c r="G1269" s="2" t="str">
        <x:v>Email</x:v>
      </x:c>
      <x:c r="H1269" s="2" t="str">
        <x:v>Authorized release</x:v>
      </x:c>
      <x:c r="I1269" s="8" t="n">
        <x:v>46301.72871527778</x:v>
      </x:c>
      <x:c r="J1269" s="8" t="n">
        <x:v>46301.728738425925</x:v>
      </x:c>
      <x:c r="K1269" s="8" t="n">
        <x:v>46301.72877314815</x:v>
      </x:c>
      <x:c r="L1269" s="2" t="str">
        <x:v>Sent</x:v>
      </x:c>
      <x:c r="M1269" s="2" t="n">
        <x:v>1</x:v>
      </x:c>
      <x:c r="N1269" s="2"/>
      <x:c r="O1269" s="2"/>
    </x:row>
    <x:row r="1270" ht="21" customHeight="1">
      <x:c r="A1270" s="2" t="str">
        <x:v>NT001269</x:v>
      </x:c>
      <x:c r="B1270" s="2" t="str">
        <x:v>EV001271</x:v>
      </x:c>
      <x:c r="C1270" s="2" t="str">
        <x:v>T20261006-5-2</x:v>
      </x:c>
      <x:c r="D1270" s="2" t="str">
        <x:v>ST079</x:v>
      </x:c>
      <x:c r="E1270" s="2" t="str">
        <x:v>G079</x:v>
      </x:c>
      <x:c r="F1270" s="2" t="str">
        <x:v>guardian079@example.invalid</x:v>
      </x:c>
      <x:c r="G1270" s="2" t="str">
        <x:v>Email</x:v>
      </x:c>
      <x:c r="H1270" s="2" t="str">
        <x:v>Boarded</x:v>
      </x:c>
      <x:c r="I1270" s="8" t="n">
        <x:v>46301.708611111106</x:v>
      </x:c>
      <x:c r="J1270" s="8" t="n">
        <x:v>46301.70863425925</x:v>
      </x:c>
      <x:c r="K1270" s="8" t="n">
        <x:v>46301.708668981475</x:v>
      </x:c>
      <x:c r="L1270" s="2" t="str">
        <x:v>Sent</x:v>
      </x:c>
      <x:c r="M1270" s="2" t="n">
        <x:v>1</x:v>
      </x:c>
      <x:c r="N1270" s="2"/>
      <x:c r="O1270" s="2"/>
    </x:row>
    <x:row r="1271" ht="21" customHeight="1">
      <x:c r="A1271" s="2" t="str">
        <x:v>NT001270</x:v>
      </x:c>
      <x:c r="B1271" s="2" t="str">
        <x:v>EV001272</x:v>
      </x:c>
      <x:c r="C1271" s="2" t="str">
        <x:v>T20261006-5-2</x:v>
      </x:c>
      <x:c r="D1271" s="2" t="str">
        <x:v>ST079</x:v>
      </x:c>
      <x:c r="E1271" s="2" t="str">
        <x:v>G079</x:v>
      </x:c>
      <x:c r="F1271" s="2" t="str">
        <x:v>guardian079@example.invalid</x:v>
      </x:c>
      <x:c r="G1271" s="2" t="str">
        <x:v>Email</x:v>
      </x:c>
      <x:c r="H1271" s="2" t="str">
        <x:v>Authorized release</x:v>
      </x:c>
      <x:c r="I1271" s="8" t="n">
        <x:v>46301.733611111114</x:v>
      </x:c>
      <x:c r="J1271" s="8" t="n">
        <x:v>46301.73363425926</x:v>
      </x:c>
      <x:c r="K1271" s="8" t="n">
        <x:v>46301.733668981484</x:v>
      </x:c>
      <x:c r="L1271" s="2" t="str">
        <x:v>Sent</x:v>
      </x:c>
      <x:c r="M1271" s="2" t="n">
        <x:v>1</x:v>
      </x:c>
      <x:c r="N1271" s="2"/>
      <x:c r="O1271" s="2"/>
    </x:row>
    <x:row r="1272" ht="21" customHeight="1">
      <x:c r="A1272" s="2" t="str">
        <x:v>NT001271</x:v>
      </x:c>
      <x:c r="B1272" s="2" t="str">
        <x:v>EV001273</x:v>
      </x:c>
      <x:c r="C1272" s="2" t="str">
        <x:v>T20261006-5-2</x:v>
      </x:c>
      <x:c r="D1272" s="2" t="str">
        <x:v>ST080</x:v>
      </x:c>
      <x:c r="E1272" s="2" t="str">
        <x:v>G080</x:v>
      </x:c>
      <x:c r="F1272" s="2" t="str">
        <x:v>guardian080@example.invalid</x:v>
      </x:c>
      <x:c r="G1272" s="2" t="str">
        <x:v>Email</x:v>
      </x:c>
      <x:c r="H1272" s="2" t="str">
        <x:v>Boarded</x:v>
      </x:c>
      <x:c r="I1272" s="8" t="n">
        <x:v>46301.70864583333</x:v>
      </x:c>
      <x:c r="J1272" s="8" t="n">
        <x:v>46301.708668981475</x:v>
      </x:c>
      <x:c r="K1272" s="8" t="n">
        <x:v>46301.7087037037</x:v>
      </x:c>
      <x:c r="L1272" s="2" t="str">
        <x:v>Sent</x:v>
      </x:c>
      <x:c r="M1272" s="2" t="n">
        <x:v>1</x:v>
      </x:c>
      <x:c r="N1272" s="2"/>
      <x:c r="O1272" s="2"/>
    </x:row>
    <x:row r="1273" ht="21" customHeight="1">
      <x:c r="A1273" s="2" t="str">
        <x:v>NT001272</x:v>
      </x:c>
      <x:c r="B1273" s="2" t="str">
        <x:v>EV001274</x:v>
      </x:c>
      <x:c r="C1273" s="2" t="str">
        <x:v>T20261006-5-2</x:v>
      </x:c>
      <x:c r="D1273" s="2" t="str">
        <x:v>ST080</x:v>
      </x:c>
      <x:c r="E1273" s="2" t="str">
        <x:v>G080</x:v>
      </x:c>
      <x:c r="F1273" s="2" t="str">
        <x:v>guardian080@example.invalid</x:v>
      </x:c>
      <x:c r="G1273" s="2" t="str">
        <x:v>Email</x:v>
      </x:c>
      <x:c r="H1273" s="2" t="str">
        <x:v>Authorized release</x:v>
      </x:c>
      <x:c r="I1273" s="8" t="n">
        <x:v>46301.72392361111</x:v>
      </x:c>
      <x:c r="J1273" s="8" t="n">
        <x:v>46301.72394675926</x:v>
      </x:c>
      <x:c r="K1273" s="8" t="n">
        <x:v>46301.72398148148</x:v>
      </x:c>
      <x:c r="L1273" s="2" t="str">
        <x:v>Sent</x:v>
      </x:c>
      <x:c r="M1273" s="2" t="n">
        <x:v>1</x:v>
      </x:c>
      <x:c r="N1273" s="2"/>
      <x:c r="O1273" s="2"/>
    </x:row>
    <x:row r="1274" ht="21" customHeight="1">
      <x:c r="A1274" s="2" t="str">
        <x:v>NT001273</x:v>
      </x:c>
      <x:c r="B1274" s="2" t="str">
        <x:v>EV001275</x:v>
      </x:c>
      <x:c r="C1274" s="2" t="str">
        <x:v>T20261006-1-3</x:v>
      </x:c>
      <x:c r="D1274" s="2" t="str">
        <x:v>ST081</x:v>
      </x:c>
      <x:c r="E1274" s="2" t="str">
        <x:v>G081</x:v>
      </x:c>
      <x:c r="F1274" s="2" t="str">
        <x:v>guardian081@example.invalid</x:v>
      </x:c>
      <x:c r="G1274" s="2" t="str">
        <x:v>Email</x:v>
      </x:c>
      <x:c r="H1274" s="2" t="str">
        <x:v>Boarded</x:v>
      </x:c>
      <x:c r="I1274" s="8" t="n">
        <x:v>46301.242361111115</x:v>
      </x:c>
      <x:c r="J1274" s="8" t="n">
        <x:v>46301.24238425926</x:v>
      </x:c>
      <x:c r="K1274" s="8" t="n">
        <x:v>46301.242418981485</x:v>
      </x:c>
      <x:c r="L1274" s="2" t="str">
        <x:v>Sent</x:v>
      </x:c>
      <x:c r="M1274" s="2" t="n">
        <x:v>1</x:v>
      </x:c>
      <x:c r="N1274" s="2"/>
      <x:c r="O1274" s="2"/>
    </x:row>
    <x:row r="1275" ht="21" customHeight="1">
      <x:c r="A1275" s="2" t="str">
        <x:v>NT001274</x:v>
      </x:c>
      <x:c r="B1275" s="2" t="str">
        <x:v>EV001276</x:v>
      </x:c>
      <x:c r="C1275" s="2" t="str">
        <x:v>T20261006-1-3</x:v>
      </x:c>
      <x:c r="D1275" s="2" t="str">
        <x:v>ST081</x:v>
      </x:c>
      <x:c r="E1275" s="2" t="str">
        <x:v>G081</x:v>
      </x:c>
      <x:c r="F1275" s="2" t="str">
        <x:v>guardian081@example.invalid</x:v>
      </x:c>
      <x:c r="G1275" s="2" t="str">
        <x:v>Email</x:v>
      </x:c>
      <x:c r="H1275" s="2" t="str">
        <x:v>School receipt</x:v>
      </x:c>
      <x:c r="I1275" s="8" t="n">
        <x:v>46301.27638888889</x:v>
      </x:c>
      <x:c r="J1275" s="8" t="n">
        <x:v>46301.276412037034</x:v>
      </x:c>
      <x:c r="K1275" s="8" t="n">
        <x:v>46301.27644675926</x:v>
      </x:c>
      <x:c r="L1275" s="2" t="str">
        <x:v>Sent</x:v>
      </x:c>
      <x:c r="M1275" s="2" t="n">
        <x:v>1</x:v>
      </x:c>
      <x:c r="N1275" s="2"/>
      <x:c r="O1275" s="2"/>
    </x:row>
    <x:row r="1276" ht="21" customHeight="1">
      <x:c r="A1276" s="2" t="str">
        <x:v>NT001275</x:v>
      </x:c>
      <x:c r="B1276" s="2" t="str">
        <x:v>EV001277</x:v>
      </x:c>
      <x:c r="C1276" s="2" t="str">
        <x:v>T20261006-1-3</x:v>
      </x:c>
      <x:c r="D1276" s="2" t="str">
        <x:v>ST082</x:v>
      </x:c>
      <x:c r="E1276" s="2" t="str">
        <x:v>G082</x:v>
      </x:c>
      <x:c r="F1276" s="2" t="str">
        <x:v>guardian082@example.invalid</x:v>
      </x:c>
      <x:c r="G1276" s="2" t="str">
        <x:v>Email</x:v>
      </x:c>
      <x:c r="H1276" s="2" t="str">
        <x:v>Boarded</x:v>
      </x:c>
      <x:c r="I1276" s="8" t="n">
        <x:v>46301.24725694444</x:v>
      </x:c>
      <x:c r="J1276" s="8" t="n">
        <x:v>46301.24728009259</x:v>
      </x:c>
      <x:c r="K1276" s="8" t="n">
        <x:v>46301.24731481481</x:v>
      </x:c>
      <x:c r="L1276" s="2" t="str">
        <x:v>Sent</x:v>
      </x:c>
      <x:c r="M1276" s="2" t="n">
        <x:v>1</x:v>
      </x:c>
      <x:c r="N1276" s="2"/>
      <x:c r="O1276" s="2"/>
    </x:row>
    <x:row r="1277" ht="21" customHeight="1">
      <x:c r="A1277" s="2" t="str">
        <x:v>NT001276</x:v>
      </x:c>
      <x:c r="B1277" s="2" t="str">
        <x:v>EV001278</x:v>
      </x:c>
      <x:c r="C1277" s="2" t="str">
        <x:v>T20261006-1-3</x:v>
      </x:c>
      <x:c r="D1277" s="2" t="str">
        <x:v>ST082</x:v>
      </x:c>
      <x:c r="E1277" s="2" t="str">
        <x:v>G082</x:v>
      </x:c>
      <x:c r="F1277" s="2" t="str">
        <x:v>guardian082@example.invalid</x:v>
      </x:c>
      <x:c r="G1277" s="2" t="str">
        <x:v>Email</x:v>
      </x:c>
      <x:c r="H1277" s="2" t="str">
        <x:v>School receipt</x:v>
      </x:c>
      <x:c r="I1277" s="8" t="n">
        <x:v>46301.27642361111</x:v>
      </x:c>
      <x:c r="J1277" s="8" t="n">
        <x:v>46301.27644675926</x:v>
      </x:c>
      <x:c r="K1277" s="8" t="n">
        <x:v>46301.27648148148</x:v>
      </x:c>
      <x:c r="L1277" s="2" t="str">
        <x:v>Sent</x:v>
      </x:c>
      <x:c r="M1277" s="2" t="n">
        <x:v>1</x:v>
      </x:c>
      <x:c r="N1277" s="2"/>
      <x:c r="O1277" s="2"/>
    </x:row>
    <x:row r="1278" ht="21" customHeight="1">
      <x:c r="A1278" s="2" t="str">
        <x:v>NT001277</x:v>
      </x:c>
      <x:c r="B1278" s="2" t="str">
        <x:v>EV001279</x:v>
      </x:c>
      <x:c r="C1278" s="2" t="str">
        <x:v>T20261006-1-3</x:v>
      </x:c>
      <x:c r="D1278" s="2" t="str">
        <x:v>ST083</x:v>
      </x:c>
      <x:c r="E1278" s="2" t="str">
        <x:v>G083</x:v>
      </x:c>
      <x:c r="F1278" s="2" t="str">
        <x:v>guardian083@example.invalid</x:v>
      </x:c>
      <x:c r="G1278" s="2" t="str">
        <x:v>Email</x:v>
      </x:c>
      <x:c r="H1278" s="2" t="str">
        <x:v>Boarded</x:v>
      </x:c>
      <x:c r="I1278" s="8" t="n">
        <x:v>46301.25215277778</x:v>
      </x:c>
      <x:c r="J1278" s="8" t="n">
        <x:v>46301.252175925925</x:v>
      </x:c>
      <x:c r="K1278" s="8" t="n">
        <x:v>46301.25221064815</x:v>
      </x:c>
      <x:c r="L1278" s="2" t="str">
        <x:v>Sent</x:v>
      </x:c>
      <x:c r="M1278" s="2" t="n">
        <x:v>1</x:v>
      </x:c>
      <x:c r="N1278" s="2"/>
      <x:c r="O1278" s="2"/>
    </x:row>
    <x:row r="1279" ht="21" customHeight="1">
      <x:c r="A1279" s="2" t="str">
        <x:v>NT001278</x:v>
      </x:c>
      <x:c r="B1279" s="2" t="str">
        <x:v>EV001280</x:v>
      </x:c>
      <x:c r="C1279" s="2" t="str">
        <x:v>T20261006-1-3</x:v>
      </x:c>
      <x:c r="D1279" s="2" t="str">
        <x:v>ST083</x:v>
      </x:c>
      <x:c r="E1279" s="2" t="str">
        <x:v>G083</x:v>
      </x:c>
      <x:c r="F1279" s="2" t="str">
        <x:v>guardian083@example.invalid</x:v>
      </x:c>
      <x:c r="G1279" s="2" t="str">
        <x:v>Email</x:v>
      </x:c>
      <x:c r="H1279" s="2" t="str">
        <x:v>School receipt</x:v>
      </x:c>
      <x:c r="I1279" s="8" t="n">
        <x:v>46301.276458333334</x:v>
      </x:c>
      <x:c r="J1279" s="8" t="n">
        <x:v>46301.27648148148</x:v>
      </x:c>
      <x:c r="K1279" s="8" t="n">
        <x:v>46301.2765162037</x:v>
      </x:c>
      <x:c r="L1279" s="2" t="str">
        <x:v>Sent</x:v>
      </x:c>
      <x:c r="M1279" s="2" t="n">
        <x:v>1</x:v>
      </x:c>
      <x:c r="N1279" s="2"/>
      <x:c r="O1279" s="2"/>
    </x:row>
    <x:row r="1280" ht="21" customHeight="1">
      <x:c r="A1280" s="2" t="str">
        <x:v>NT001279</x:v>
      </x:c>
      <x:c r="B1280" s="2" t="str">
        <x:v>EV001281</x:v>
      </x:c>
      <x:c r="C1280" s="2" t="str">
        <x:v>T20261006-1-3</x:v>
      </x:c>
      <x:c r="D1280" s="2" t="str">
        <x:v>ST084</x:v>
      </x:c>
      <x:c r="E1280" s="2" t="str">
        <x:v>G084</x:v>
      </x:c>
      <x:c r="F1280" s="2" t="str">
        <x:v>guardian084@example.invalid</x:v>
      </x:c>
      <x:c r="G1280" s="2" t="str">
        <x:v>Email</x:v>
      </x:c>
      <x:c r="H1280" s="2" t="str">
        <x:v>Boarded</x:v>
      </x:c>
      <x:c r="I1280" s="8" t="n">
        <x:v>46301.242465277785</x:v>
      </x:c>
      <x:c r="J1280" s="8" t="n">
        <x:v>46301.24248842593</x:v>
      </x:c>
      <x:c r="K1280" s="8" t="n">
        <x:v>46301.242523148154</x:v>
      </x:c>
      <x:c r="L1280" s="2" t="str">
        <x:v>Sent</x:v>
      </x:c>
      <x:c r="M1280" s="2" t="n">
        <x:v>1</x:v>
      </x:c>
      <x:c r="N1280" s="2"/>
      <x:c r="O1280" s="2"/>
    </x:row>
    <x:row r="1281" ht="21" customHeight="1">
      <x:c r="A1281" s="2" t="str">
        <x:v>NT001280</x:v>
      </x:c>
      <x:c r="B1281" s="2" t="str">
        <x:v>EV001282</x:v>
      </x:c>
      <x:c r="C1281" s="2" t="str">
        <x:v>T20261006-1-3</x:v>
      </x:c>
      <x:c r="D1281" s="2" t="str">
        <x:v>ST084</x:v>
      </x:c>
      <x:c r="E1281" s="2" t="str">
        <x:v>G084</x:v>
      </x:c>
      <x:c r="F1281" s="2" t="str">
        <x:v>guardian084@example.invalid</x:v>
      </x:c>
      <x:c r="G1281" s="2" t="str">
        <x:v>Email</x:v>
      </x:c>
      <x:c r="H1281" s="2" t="str">
        <x:v>School receipt</x:v>
      </x:c>
      <x:c r="I1281" s="8" t="n">
        <x:v>46301.27649305556</x:v>
      </x:c>
      <x:c r="J1281" s="8" t="n">
        <x:v>46301.2765162037</x:v>
      </x:c>
      <x:c r="K1281" s="8" t="n">
        <x:v>46301.276550925926</x:v>
      </x:c>
      <x:c r="L1281" s="2" t="str">
        <x:v>Sent</x:v>
      </x:c>
      <x:c r="M1281" s="2" t="n">
        <x:v>1</x:v>
      </x:c>
      <x:c r="N1281" s="2"/>
      <x:c r="O1281" s="2"/>
    </x:row>
    <x:row r="1282" ht="21" customHeight="1">
      <x:c r="A1282" s="2" t="str">
        <x:v>NT001281</x:v>
      </x:c>
      <x:c r="B1282" s="2" t="str">
        <x:v>EV001283</x:v>
      </x:c>
      <x:c r="C1282" s="2" t="str">
        <x:v>T20261006-1-3</x:v>
      </x:c>
      <x:c r="D1282" s="2" t="str">
        <x:v>ST085</x:v>
      </x:c>
      <x:c r="E1282" s="2" t="str">
        <x:v>G085</x:v>
      </x:c>
      <x:c r="F1282" s="2" t="str">
        <x:v>guardian085@example.invalid</x:v>
      </x:c>
      <x:c r="G1282" s="2" t="str">
        <x:v>Email</x:v>
      </x:c>
      <x:c r="H1282" s="2" t="str">
        <x:v>Boarded</x:v>
      </x:c>
      <x:c r="I1282" s="8" t="n">
        <x:v>46301.24736111111</x:v>
      </x:c>
      <x:c r="J1282" s="8" t="n">
        <x:v>46301.24738425926</x:v>
      </x:c>
      <x:c r="K1282" s="8" t="n">
        <x:v>46301.24741898148</x:v>
      </x:c>
      <x:c r="L1282" s="2" t="str">
        <x:v>Sent</x:v>
      </x:c>
      <x:c r="M1282" s="2" t="n">
        <x:v>1</x:v>
      </x:c>
      <x:c r="N1282" s="2"/>
      <x:c r="O1282" s="2"/>
    </x:row>
    <x:row r="1283" ht="21" customHeight="1">
      <x:c r="A1283" s="2" t="str">
        <x:v>NT001282</x:v>
      </x:c>
      <x:c r="B1283" s="2" t="str">
        <x:v>EV001284</x:v>
      </x:c>
      <x:c r="C1283" s="2" t="str">
        <x:v>T20261006-1-3</x:v>
      </x:c>
      <x:c r="D1283" s="2" t="str">
        <x:v>ST085</x:v>
      </x:c>
      <x:c r="E1283" s="2" t="str">
        <x:v>G085</x:v>
      </x:c>
      <x:c r="F1283" s="2" t="str">
        <x:v>guardian085@example.invalid</x:v>
      </x:c>
      <x:c r="G1283" s="2" t="str">
        <x:v>Email</x:v>
      </x:c>
      <x:c r="H1283" s="2" t="str">
        <x:v>School receipt</x:v>
      </x:c>
      <x:c r="I1283" s="8" t="n">
        <x:v>46301.27652777778</x:v>
      </x:c>
      <x:c r="J1283" s="8" t="n">
        <x:v>46301.276550925926</x:v>
      </x:c>
      <x:c r="K1283" s="8" t="n">
        <x:v>46301.27658564815</x:v>
      </x:c>
      <x:c r="L1283" s="2" t="str">
        <x:v>Sent</x:v>
      </x:c>
      <x:c r="M1283" s="2" t="n">
        <x:v>1</x:v>
      </x:c>
      <x:c r="N1283" s="2"/>
      <x:c r="O1283" s="2"/>
    </x:row>
    <x:row r="1284" ht="21" customHeight="1">
      <x:c r="A1284" s="2" t="str">
        <x:v>NT001283</x:v>
      </x:c>
      <x:c r="B1284" s="2" t="str">
        <x:v>EV001285</x:v>
      </x:c>
      <x:c r="C1284" s="2" t="str">
        <x:v>T20261006-1-3</x:v>
      </x:c>
      <x:c r="D1284" s="2" t="str">
        <x:v>ST086</x:v>
      </x:c>
      <x:c r="E1284" s="2" t="str">
        <x:v>G086</x:v>
      </x:c>
      <x:c r="F1284" s="2" t="str">
        <x:v>guardian086@example.invalid</x:v>
      </x:c>
      <x:c r="G1284" s="2" t="str">
        <x:v>Email</x:v>
      </x:c>
      <x:c r="H1284" s="2" t="str">
        <x:v>Boarded</x:v>
      </x:c>
      <x:c r="I1284" s="8" t="n">
        <x:v>46301.25225694444</x:v>
      </x:c>
      <x:c r="J1284" s="8" t="n">
        <x:v>46301.25228009259</x:v>
      </x:c>
      <x:c r="K1284" s="8" t="n">
        <x:v>46301.25231481481</x:v>
      </x:c>
      <x:c r="L1284" s="2" t="str">
        <x:v>Sent</x:v>
      </x:c>
      <x:c r="M1284" s="2" t="n">
        <x:v>1</x:v>
      </x:c>
      <x:c r="N1284" s="2"/>
      <x:c r="O1284" s="2"/>
    </x:row>
    <x:row r="1285" ht="21" customHeight="1">
      <x:c r="A1285" s="2" t="str">
        <x:v>NT001284</x:v>
      </x:c>
      <x:c r="B1285" s="2" t="str">
        <x:v>EV001286</x:v>
      </x:c>
      <x:c r="C1285" s="2" t="str">
        <x:v>T20261006-1-3</x:v>
      </x:c>
      <x:c r="D1285" s="2" t="str">
        <x:v>ST086</x:v>
      </x:c>
      <x:c r="E1285" s="2" t="str">
        <x:v>G086</x:v>
      </x:c>
      <x:c r="F1285" s="2" t="str">
        <x:v>guardian086@example.invalid</x:v>
      </x:c>
      <x:c r="G1285" s="2" t="str">
        <x:v>Email</x:v>
      </x:c>
      <x:c r="H1285" s="2" t="str">
        <x:v>School receipt</x:v>
      </x:c>
      <x:c r="I1285" s="8" t="n">
        <x:v>46301.276562499996</x:v>
      </x:c>
      <x:c r="J1285" s="8" t="n">
        <x:v>46301.27658564814</x:v>
      </x:c>
      <x:c r="K1285" s="8" t="n">
        <x:v>46301.276620370365</x:v>
      </x:c>
      <x:c r="L1285" s="2" t="str">
        <x:v>Sent</x:v>
      </x:c>
      <x:c r="M1285" s="2" t="n">
        <x:v>1</x:v>
      </x:c>
      <x:c r="N1285" s="2"/>
      <x:c r="O1285" s="2"/>
    </x:row>
    <x:row r="1286" ht="21" customHeight="1">
      <x:c r="A1286" s="2" t="str">
        <x:v>NT001285</x:v>
      </x:c>
      <x:c r="B1286" s="2" t="str">
        <x:v>EV001287</x:v>
      </x:c>
      <x:c r="C1286" s="2" t="str">
        <x:v>T20261006-1-3</x:v>
      </x:c>
      <x:c r="D1286" s="2" t="str">
        <x:v>ST087</x:v>
      </x:c>
      <x:c r="E1286" s="2" t="str">
        <x:v>G087</x:v>
      </x:c>
      <x:c r="F1286" s="2" t="str">
        <x:v>guardian087@example.invalid</x:v>
      </x:c>
      <x:c r="G1286" s="2" t="str">
        <x:v>Email</x:v>
      </x:c>
      <x:c r="H1286" s="2" t="str">
        <x:v>Boarded</x:v>
      </x:c>
      <x:c r="I1286" s="8" t="n">
        <x:v>46301.24256944445</x:v>
      </x:c>
      <x:c r="J1286" s="8" t="n">
        <x:v>46301.24259259259</x:v>
      </x:c>
      <x:c r="K1286" s="8" t="n">
        <x:v>46301.242627314816</x:v>
      </x:c>
      <x:c r="L1286" s="2" t="str">
        <x:v>Sent</x:v>
      </x:c>
      <x:c r="M1286" s="2" t="n">
        <x:v>1</x:v>
      </x:c>
      <x:c r="N1286" s="2"/>
      <x:c r="O1286" s="2"/>
    </x:row>
    <x:row r="1287" ht="21" customHeight="1">
      <x:c r="A1287" s="2" t="str">
        <x:v>NT001286</x:v>
      </x:c>
      <x:c r="B1287" s="2" t="str">
        <x:v>EV001288</x:v>
      </x:c>
      <x:c r="C1287" s="2" t="str">
        <x:v>T20261006-1-3</x:v>
      </x:c>
      <x:c r="D1287" s="2" t="str">
        <x:v>ST087</x:v>
      </x:c>
      <x:c r="E1287" s="2" t="str">
        <x:v>G087</x:v>
      </x:c>
      <x:c r="F1287" s="2" t="str">
        <x:v>guardian087@example.invalid</x:v>
      </x:c>
      <x:c r="G1287" s="2" t="str">
        <x:v>Email</x:v>
      </x:c>
      <x:c r="H1287" s="2" t="str">
        <x:v>School receipt</x:v>
      </x:c>
      <x:c r="I1287" s="8" t="n">
        <x:v>46301.27659722222</x:v>
      </x:c>
      <x:c r="J1287" s="8" t="n">
        <x:v>46301.276620370365</x:v>
      </x:c>
      <x:c r="K1287" s="8" t="n">
        <x:v>46301.27665509259</x:v>
      </x:c>
      <x:c r="L1287" s="2" t="str">
        <x:v>Sent</x:v>
      </x:c>
      <x:c r="M1287" s="2" t="n">
        <x:v>1</x:v>
      </x:c>
      <x:c r="N1287" s="2"/>
      <x:c r="O1287" s="2"/>
    </x:row>
    <x:row r="1288" ht="21" customHeight="1">
      <x:c r="A1288" s="2" t="str">
        <x:v>NT001287</x:v>
      </x:c>
      <x:c r="B1288" s="2" t="str">
        <x:v>EV001289</x:v>
      </x:c>
      <x:c r="C1288" s="2" t="str">
        <x:v>T20261006-1-3</x:v>
      </x:c>
      <x:c r="D1288" s="2" t="str">
        <x:v>ST088</x:v>
      </x:c>
      <x:c r="E1288" s="2" t="str">
        <x:v>G088</x:v>
      </x:c>
      <x:c r="F1288" s="2" t="str">
        <x:v>guardian088@example.invalid</x:v>
      </x:c>
      <x:c r="G1288" s="2" t="str">
        <x:v>Email</x:v>
      </x:c>
      <x:c r="H1288" s="2" t="str">
        <x:v>Boarded</x:v>
      </x:c>
      <x:c r="I1288" s="8" t="n">
        <x:v>46301.247465277775</x:v>
      </x:c>
      <x:c r="J1288" s="8" t="n">
        <x:v>46301.24748842592</x:v>
      </x:c>
      <x:c r="K1288" s="8" t="n">
        <x:v>46301.247523148144</x:v>
      </x:c>
      <x:c r="L1288" s="2" t="str">
        <x:v>Sent</x:v>
      </x:c>
      <x:c r="M1288" s="2" t="n">
        <x:v>1</x:v>
      </x:c>
      <x:c r="N1288" s="2"/>
      <x:c r="O1288" s="2"/>
    </x:row>
    <x:row r="1289" ht="21" customHeight="1">
      <x:c r="A1289" s="2" t="str">
        <x:v>NT001288</x:v>
      </x:c>
      <x:c r="B1289" s="2" t="str">
        <x:v>EV001290</x:v>
      </x:c>
      <x:c r="C1289" s="2" t="str">
        <x:v>T20261006-1-3</x:v>
      </x:c>
      <x:c r="D1289" s="2" t="str">
        <x:v>ST088</x:v>
      </x:c>
      <x:c r="E1289" s="2" t="str">
        <x:v>G088</x:v>
      </x:c>
      <x:c r="F1289" s="2" t="str">
        <x:v>guardian088@example.invalid</x:v>
      </x:c>
      <x:c r="G1289" s="2" t="str">
        <x:v>Email</x:v>
      </x:c>
      <x:c r="H1289" s="2" t="str">
        <x:v>School receipt</x:v>
      </x:c>
      <x:c r="I1289" s="8" t="n">
        <x:v>46301.27663194444</x:v>
      </x:c>
      <x:c r="J1289" s="8" t="n">
        <x:v>46301.27665509259</x:v>
      </x:c>
      <x:c r="K1289" s="8" t="n">
        <x:v>46301.27668981481</x:v>
      </x:c>
      <x:c r="L1289" s="2" t="str">
        <x:v>Sent</x:v>
      </x:c>
      <x:c r="M1289" s="2" t="n">
        <x:v>1</x:v>
      </x:c>
      <x:c r="N1289" s="2"/>
      <x:c r="O1289" s="2"/>
    </x:row>
    <x:row r="1290" ht="21" customHeight="1">
      <x:c r="A1290" s="2" t="str">
        <x:v>NT001289</x:v>
      </x:c>
      <x:c r="B1290" s="2" t="str">
        <x:v>EV001291</x:v>
      </x:c>
      <x:c r="C1290" s="2" t="str">
        <x:v>T20261006-1-3</x:v>
      </x:c>
      <x:c r="D1290" s="2" t="str">
        <x:v>ST089</x:v>
      </x:c>
      <x:c r="E1290" s="2" t="str">
        <x:v>G089</x:v>
      </x:c>
      <x:c r="F1290" s="2" t="str">
        <x:v>guardian089@example.invalid</x:v>
      </x:c>
      <x:c r="G1290" s="2" t="str">
        <x:v>Email</x:v>
      </x:c>
      <x:c r="H1290" s="2" t="str">
        <x:v>Boarded</x:v>
      </x:c>
      <x:c r="I1290" s="8" t="n">
        <x:v>46301.25236111111</x:v>
      </x:c>
      <x:c r="J1290" s="8" t="n">
        <x:v>46301.252384259256</x:v>
      </x:c>
      <x:c r="K1290" s="8" t="n">
        <x:v>46301.25241898148</x:v>
      </x:c>
      <x:c r="L1290" s="2" t="str">
        <x:v>Sent</x:v>
      </x:c>
      <x:c r="M1290" s="2" t="n">
        <x:v>1</x:v>
      </x:c>
      <x:c r="N1290" s="2"/>
      <x:c r="O1290" s="2"/>
    </x:row>
    <x:row r="1291" ht="21" customHeight="1">
      <x:c r="A1291" s="2" t="str">
        <x:v>NT001290</x:v>
      </x:c>
      <x:c r="B1291" s="2" t="str">
        <x:v>EV001292</x:v>
      </x:c>
      <x:c r="C1291" s="2" t="str">
        <x:v>T20261006-1-3</x:v>
      </x:c>
      <x:c r="D1291" s="2" t="str">
        <x:v>ST089</x:v>
      </x:c>
      <x:c r="E1291" s="2" t="str">
        <x:v>G089</x:v>
      </x:c>
      <x:c r="F1291" s="2" t="str">
        <x:v>guardian089@example.invalid</x:v>
      </x:c>
      <x:c r="G1291" s="2" t="str">
        <x:v>Email</x:v>
      </x:c>
      <x:c r="H1291" s="2" t="str">
        <x:v>School receipt</x:v>
      </x:c>
      <x:c r="I1291" s="8" t="n">
        <x:v>46301.276666666665</x:v>
      </x:c>
      <x:c r="J1291" s="8" t="n">
        <x:v>46301.27668981481</x:v>
      </x:c>
      <x:c r="K1291" s="8" t="n">
        <x:v>46301.276724537034</x:v>
      </x:c>
      <x:c r="L1291" s="2" t="str">
        <x:v>Sent</x:v>
      </x:c>
      <x:c r="M1291" s="2" t="n">
        <x:v>1</x:v>
      </x:c>
      <x:c r="N1291" s="2"/>
      <x:c r="O1291" s="2"/>
    </x:row>
    <x:row r="1292" ht="21" customHeight="1">
      <x:c r="A1292" s="2" t="str">
        <x:v>NT001291</x:v>
      </x:c>
      <x:c r="B1292" s="2" t="str">
        <x:v>EV001293</x:v>
      </x:c>
      <x:c r="C1292" s="2" t="str">
        <x:v>T20261006-1-3</x:v>
      </x:c>
      <x:c r="D1292" s="2" t="str">
        <x:v>ST090</x:v>
      </x:c>
      <x:c r="E1292" s="2" t="str">
        <x:v>G090</x:v>
      </x:c>
      <x:c r="F1292" s="2" t="str">
        <x:v>guardian090@example.invalid</x:v>
      </x:c>
      <x:c r="G1292" s="2" t="str">
        <x:v>Email</x:v>
      </x:c>
      <x:c r="H1292" s="2" t="str">
        <x:v>Boarded</x:v>
      </x:c>
      <x:c r="I1292" s="8" t="n">
        <x:v>46301.242673611116</x:v>
      </x:c>
      <x:c r="J1292" s="8" t="n">
        <x:v>46301.24269675926</x:v>
      </x:c>
      <x:c r="K1292" s="8" t="n">
        <x:v>46301.242731481485</x:v>
      </x:c>
      <x:c r="L1292" s="2" t="str">
        <x:v>Sent</x:v>
      </x:c>
      <x:c r="M1292" s="2" t="n">
        <x:v>1</x:v>
      </x:c>
      <x:c r="N1292" s="2"/>
      <x:c r="O1292" s="2"/>
    </x:row>
    <x:row r="1293" ht="21" customHeight="1">
      <x:c r="A1293" s="2" t="str">
        <x:v>NT001292</x:v>
      </x:c>
      <x:c r="B1293" s="2" t="str">
        <x:v>EV001294</x:v>
      </x:c>
      <x:c r="C1293" s="2" t="str">
        <x:v>T20261006-1-3</x:v>
      </x:c>
      <x:c r="D1293" s="2" t="str">
        <x:v>ST090</x:v>
      </x:c>
      <x:c r="E1293" s="2" t="str">
        <x:v>G090</x:v>
      </x:c>
      <x:c r="F1293" s="2" t="str">
        <x:v>guardian090@example.invalid</x:v>
      </x:c>
      <x:c r="G1293" s="2" t="str">
        <x:v>Email</x:v>
      </x:c>
      <x:c r="H1293" s="2" t="str">
        <x:v>School receipt</x:v>
      </x:c>
      <x:c r="I1293" s="8" t="n">
        <x:v>46301.27670138889</x:v>
      </x:c>
      <x:c r="J1293" s="8" t="n">
        <x:v>46301.276724537034</x:v>
      </x:c>
      <x:c r="K1293" s="8" t="n">
        <x:v>46301.27675925926</x:v>
      </x:c>
      <x:c r="L1293" s="2" t="str">
        <x:v>Sent</x:v>
      </x:c>
      <x:c r="M1293" s="2" t="n">
        <x:v>1</x:v>
      </x:c>
      <x:c r="N1293" s="2"/>
      <x:c r="O1293" s="2"/>
    </x:row>
    <x:row r="1294" ht="21" customHeight="1">
      <x:c r="A1294" s="2" t="str">
        <x:v>NT001293</x:v>
      </x:c>
      <x:c r="B1294" s="2" t="str">
        <x:v>EV001295</x:v>
      </x:c>
      <x:c r="C1294" s="2" t="str">
        <x:v>T20261006-1-3</x:v>
      </x:c>
      <x:c r="D1294" s="2" t="str">
        <x:v>ST091</x:v>
      </x:c>
      <x:c r="E1294" s="2" t="str">
        <x:v>G091</x:v>
      </x:c>
      <x:c r="F1294" s="2" t="str">
        <x:v>guardian091@example.invalid</x:v>
      </x:c>
      <x:c r="G1294" s="2" t="str">
        <x:v>Email</x:v>
      </x:c>
      <x:c r="H1294" s="2" t="str">
        <x:v>Boarded</x:v>
      </x:c>
      <x:c r="I1294" s="8" t="n">
        <x:v>46301.24722222222</x:v>
      </x:c>
      <x:c r="J1294" s="8" t="n">
        <x:v>46301.24724537037</x:v>
      </x:c>
      <x:c r="K1294" s="8" t="n">
        <x:v>46301.24728009259</x:v>
      </x:c>
      <x:c r="L1294" s="2" t="str">
        <x:v>Sent</x:v>
      </x:c>
      <x:c r="M1294" s="2" t="n">
        <x:v>1</x:v>
      </x:c>
      <x:c r="N1294" s="2"/>
      <x:c r="O1294" s="2"/>
    </x:row>
    <x:row r="1295" ht="21" customHeight="1">
      <x:c r="A1295" s="2" t="str">
        <x:v>NT001294</x:v>
      </x:c>
      <x:c r="B1295" s="2" t="str">
        <x:v>EV001296</x:v>
      </x:c>
      <x:c r="C1295" s="2" t="str">
        <x:v>T20261006-1-3</x:v>
      </x:c>
      <x:c r="D1295" s="2" t="str">
        <x:v>ST091</x:v>
      </x:c>
      <x:c r="E1295" s="2" t="str">
        <x:v>G091</x:v>
      </x:c>
      <x:c r="F1295" s="2" t="str">
        <x:v>guardian091@example.invalid</x:v>
      </x:c>
      <x:c r="G1295" s="2" t="str">
        <x:v>Email</x:v>
      </x:c>
      <x:c r="H1295" s="2" t="str">
        <x:v>School receipt</x:v>
      </x:c>
      <x:c r="I1295" s="8" t="n">
        <x:v>46301.27673611111</x:v>
      </x:c>
      <x:c r="J1295" s="8" t="n">
        <x:v>46301.27675925926</x:v>
      </x:c>
      <x:c r="K1295" s="8" t="n">
        <x:v>46301.27679398148</x:v>
      </x:c>
      <x:c r="L1295" s="2" t="str">
        <x:v>Sent</x:v>
      </x:c>
      <x:c r="M1295" s="2" t="n">
        <x:v>1</x:v>
      </x:c>
      <x:c r="N1295" s="2"/>
      <x:c r="O1295" s="2"/>
    </x:row>
    <x:row r="1296" ht="21" customHeight="1">
      <x:c r="A1296" s="2" t="str">
        <x:v>NT001295</x:v>
      </x:c>
      <x:c r="B1296" s="2" t="str">
        <x:v>EV001297</x:v>
      </x:c>
      <x:c r="C1296" s="2" t="str">
        <x:v>T20261006-1-3</x:v>
      </x:c>
      <x:c r="D1296" s="2" t="str">
        <x:v>ST092</x:v>
      </x:c>
      <x:c r="E1296" s="2" t="str">
        <x:v>G092</x:v>
      </x:c>
      <x:c r="F1296" s="2" t="str">
        <x:v>guardian092@example.invalid</x:v>
      </x:c>
      <x:c r="G1296" s="2" t="str">
        <x:v>Email</x:v>
      </x:c>
      <x:c r="H1296" s="2" t="str">
        <x:v>Boarded</x:v>
      </x:c>
      <x:c r="I1296" s="8" t="n">
        <x:v>46301.252118055556</x:v>
      </x:c>
      <x:c r="J1296" s="8" t="n">
        <x:v>46301.2521412037</x:v>
      </x:c>
      <x:c r="K1296" s="8" t="n">
        <x:v>46301.252175925925</x:v>
      </x:c>
      <x:c r="L1296" s="2" t="str">
        <x:v>Sent</x:v>
      </x:c>
      <x:c r="M1296" s="2" t="n">
        <x:v>1</x:v>
      </x:c>
      <x:c r="N1296" s="2"/>
      <x:c r="O1296" s="2"/>
    </x:row>
    <x:row r="1297" ht="21" customHeight="1">
      <x:c r="A1297" s="2" t="str">
        <x:v>NT001296</x:v>
      </x:c>
      <x:c r="B1297" s="2" t="str">
        <x:v>EV001298</x:v>
      </x:c>
      <x:c r="C1297" s="2" t="str">
        <x:v>T20261006-1-3</x:v>
      </x:c>
      <x:c r="D1297" s="2" t="str">
        <x:v>ST092</x:v>
      </x:c>
      <x:c r="E1297" s="2" t="str">
        <x:v>G092</x:v>
      </x:c>
      <x:c r="F1297" s="2" t="str">
        <x:v>guardian092@example.invalid</x:v>
      </x:c>
      <x:c r="G1297" s="2" t="str">
        <x:v>Email</x:v>
      </x:c>
      <x:c r="H1297" s="2" t="str">
        <x:v>School receipt</x:v>
      </x:c>
      <x:c r="I1297" s="8" t="n">
        <x:v>46301.276770833334</x:v>
      </x:c>
      <x:c r="J1297" s="8" t="n">
        <x:v>46301.27679398148</x:v>
      </x:c>
      <x:c r="K1297" s="8" t="n">
        <x:v>46301.2768287037</x:v>
      </x:c>
      <x:c r="L1297" s="2" t="str">
        <x:v>Sent</x:v>
      </x:c>
      <x:c r="M1297" s="2" t="n">
        <x:v>1</x:v>
      </x:c>
      <x:c r="N1297" s="2"/>
      <x:c r="O1297" s="2"/>
    </x:row>
    <x:row r="1298" ht="21" customHeight="1">
      <x:c r="A1298" s="2" t="str">
        <x:v>NT001297</x:v>
      </x:c>
      <x:c r="B1298" s="2" t="str">
        <x:v>EV001299</x:v>
      </x:c>
      <x:c r="C1298" s="2" t="str">
        <x:v>T20261006-1-3</x:v>
      </x:c>
      <x:c r="D1298" s="2" t="str">
        <x:v>ST093</x:v>
      </x:c>
      <x:c r="E1298" s="2" t="str">
        <x:v>G093</x:v>
      </x:c>
      <x:c r="F1298" s="2" t="str">
        <x:v>guardian093@example.invalid</x:v>
      </x:c>
      <x:c r="G1298" s="2" t="str">
        <x:v>Email</x:v>
      </x:c>
      <x:c r="H1298" s="2" t="str">
        <x:v>Boarded</x:v>
      </x:c>
      <x:c r="I1298" s="8" t="n">
        <x:v>46301.24243055556</x:v>
      </x:c>
      <x:c r="J1298" s="8" t="n">
        <x:v>46301.24245370371</x:v>
      </x:c>
      <x:c r="K1298" s="8" t="n">
        <x:v>46301.24248842593</x:v>
      </x:c>
      <x:c r="L1298" s="2" t="str">
        <x:v>Sent</x:v>
      </x:c>
      <x:c r="M1298" s="2" t="n">
        <x:v>1</x:v>
      </x:c>
      <x:c r="N1298" s="2"/>
      <x:c r="O1298" s="2"/>
    </x:row>
    <x:row r="1299" ht="21" customHeight="1">
      <x:c r="A1299" s="2" t="str">
        <x:v>NT001298</x:v>
      </x:c>
      <x:c r="B1299" s="2" t="str">
        <x:v>EV001300</x:v>
      </x:c>
      <x:c r="C1299" s="2" t="str">
        <x:v>T20261006-1-3</x:v>
      </x:c>
      <x:c r="D1299" s="2" t="str">
        <x:v>ST093</x:v>
      </x:c>
      <x:c r="E1299" s="2" t="str">
        <x:v>G093</x:v>
      </x:c>
      <x:c r="F1299" s="2" t="str">
        <x:v>guardian093@example.invalid</x:v>
      </x:c>
      <x:c r="G1299" s="2" t="str">
        <x:v>Email</x:v>
      </x:c>
      <x:c r="H1299" s="2" t="str">
        <x:v>School receipt</x:v>
      </x:c>
      <x:c r="I1299" s="8" t="n">
        <x:v>46301.27680555556</x:v>
      </x:c>
      <x:c r="J1299" s="8" t="n">
        <x:v>46301.2768287037</x:v>
      </x:c>
      <x:c r="K1299" s="8" t="n">
        <x:v>46301.27686342593</x:v>
      </x:c>
      <x:c r="L1299" s="2" t="str">
        <x:v>Sent</x:v>
      </x:c>
      <x:c r="M1299" s="2" t="n">
        <x:v>1</x:v>
      </x:c>
      <x:c r="N1299" s="2"/>
      <x:c r="O1299" s="2"/>
    </x:row>
    <x:row r="1300" ht="21" customHeight="1">
      <x:c r="A1300" s="2" t="str">
        <x:v>NT001299</x:v>
      </x:c>
      <x:c r="B1300" s="2" t="str">
        <x:v>EV001301</x:v>
      </x:c>
      <x:c r="C1300" s="2" t="str">
        <x:v>T20261006-1-3</x:v>
      </x:c>
      <x:c r="D1300" s="2" t="str">
        <x:v>ST094</x:v>
      </x:c>
      <x:c r="E1300" s="2" t="str">
        <x:v>G094</x:v>
      </x:c>
      <x:c r="F1300" s="2" t="str">
        <x:v>guardian094@example.invalid</x:v>
      </x:c>
      <x:c r="G1300" s="2" t="str">
        <x:v>Email</x:v>
      </x:c>
      <x:c r="H1300" s="2" t="str">
        <x:v>Boarded</x:v>
      </x:c>
      <x:c r="I1300" s="8" t="n">
        <x:v>46301.24732638889</x:v>
      </x:c>
      <x:c r="J1300" s="8" t="n">
        <x:v>46301.247349537036</x:v>
      </x:c>
      <x:c r="K1300" s="8" t="n">
        <x:v>46301.24738425926</x:v>
      </x:c>
      <x:c r="L1300" s="2" t="str">
        <x:v>Sent</x:v>
      </x:c>
      <x:c r="M1300" s="2" t="n">
        <x:v>1</x:v>
      </x:c>
      <x:c r="N1300" s="2"/>
      <x:c r="O1300" s="2"/>
    </x:row>
    <x:row r="1301" ht="21" customHeight="1">
      <x:c r="A1301" s="2" t="str">
        <x:v>NT001300</x:v>
      </x:c>
      <x:c r="B1301" s="2" t="str">
        <x:v>EV001302</x:v>
      </x:c>
      <x:c r="C1301" s="2" t="str">
        <x:v>T20261006-1-3</x:v>
      </x:c>
      <x:c r="D1301" s="2" t="str">
        <x:v>ST094</x:v>
      </x:c>
      <x:c r="E1301" s="2" t="str">
        <x:v>G094</x:v>
      </x:c>
      <x:c r="F1301" s="2" t="str">
        <x:v>guardian094@example.invalid</x:v>
      </x:c>
      <x:c r="G1301" s="2" t="str">
        <x:v>Email</x:v>
      </x:c>
      <x:c r="H1301" s="2" t="str">
        <x:v>School receipt</x:v>
      </x:c>
      <x:c r="I1301" s="8" t="n">
        <x:v>46301.27684027777</x:v>
      </x:c>
      <x:c r="J1301" s="8" t="n">
        <x:v>46301.27686342592</x:v>
      </x:c>
      <x:c r="K1301" s="8" t="n">
        <x:v>46301.27689814814</x:v>
      </x:c>
      <x:c r="L1301" s="2" t="str">
        <x:v>Sent</x:v>
      </x:c>
      <x:c r="M1301" s="2" t="n">
        <x:v>1</x:v>
      </x:c>
      <x:c r="N1301" s="2"/>
      <x:c r="O1301" s="2"/>
    </x:row>
    <x:row r="1302" ht="21" customHeight="1">
      <x:c r="A1302" s="2" t="str">
        <x:v>NT001301</x:v>
      </x:c>
      <x:c r="B1302" s="2" t="str">
        <x:v>EV001303</x:v>
      </x:c>
      <x:c r="C1302" s="2" t="str">
        <x:v>T20261006-1-3</x:v>
      </x:c>
      <x:c r="D1302" s="2" t="str">
        <x:v>ST095</x:v>
      </x:c>
      <x:c r="E1302" s="2" t="str">
        <x:v>G095</x:v>
      </x:c>
      <x:c r="F1302" s="2" t="str">
        <x:v>guardian095@example.invalid</x:v>
      </x:c>
      <x:c r="G1302" s="2" t="str">
        <x:v>Email</x:v>
      </x:c>
      <x:c r="H1302" s="2" t="str">
        <x:v>Boarded</x:v>
      </x:c>
      <x:c r="I1302" s="8" t="n">
        <x:v>46301.252222222225</x:v>
      </x:c>
      <x:c r="J1302" s="8" t="n">
        <x:v>46301.25224537037</x:v>
      </x:c>
      <x:c r="K1302" s="8" t="n">
        <x:v>46301.252280092594</x:v>
      </x:c>
      <x:c r="L1302" s="2" t="str">
        <x:v>Sent</x:v>
      </x:c>
      <x:c r="M1302" s="2" t="n">
        <x:v>1</x:v>
      </x:c>
      <x:c r="N1302" s="2"/>
      <x:c r="O1302" s="2"/>
    </x:row>
    <x:row r="1303" ht="21" customHeight="1">
      <x:c r="A1303" s="2" t="str">
        <x:v>NT001302</x:v>
      </x:c>
      <x:c r="B1303" s="2" t="str">
        <x:v>EV001304</x:v>
      </x:c>
      <x:c r="C1303" s="2" t="str">
        <x:v>T20261006-1-3</x:v>
      </x:c>
      <x:c r="D1303" s="2" t="str">
        <x:v>ST095</x:v>
      </x:c>
      <x:c r="E1303" s="2" t="str">
        <x:v>G095</x:v>
      </x:c>
      <x:c r="F1303" s="2" t="str">
        <x:v>guardian095@example.invalid</x:v>
      </x:c>
      <x:c r="G1303" s="2" t="str">
        <x:v>Email</x:v>
      </x:c>
      <x:c r="H1303" s="2" t="str">
        <x:v>School receipt</x:v>
      </x:c>
      <x:c r="I1303" s="8" t="n">
        <x:v>46301.276874999996</x:v>
      </x:c>
      <x:c r="J1303" s="8" t="n">
        <x:v>46301.27689814814</x:v>
      </x:c>
      <x:c r="K1303" s="8" t="n">
        <x:v>46301.276932870365</x:v>
      </x:c>
      <x:c r="L1303" s="2" t="str">
        <x:v>Sent</x:v>
      </x:c>
      <x:c r="M1303" s="2" t="n">
        <x:v>1</x:v>
      </x:c>
      <x:c r="N1303" s="2"/>
      <x:c r="O1303" s="2"/>
    </x:row>
    <x:row r="1304" ht="21" customHeight="1">
      <x:c r="A1304" s="2" t="str">
        <x:v>NT001303</x:v>
      </x:c>
      <x:c r="B1304" s="2" t="str">
        <x:v>EV001305</x:v>
      </x:c>
      <x:c r="C1304" s="2" t="str">
        <x:v>T20261006-1-3</x:v>
      </x:c>
      <x:c r="D1304" s="2" t="str">
        <x:v>ST096</x:v>
      </x:c>
      <x:c r="E1304" s="2" t="str">
        <x:v>G096</x:v>
      </x:c>
      <x:c r="F1304" s="2" t="str">
        <x:v>guardian096@example.invalid</x:v>
      </x:c>
      <x:c r="G1304" s="2" t="str">
        <x:v>Email</x:v>
      </x:c>
      <x:c r="H1304" s="2" t="str">
        <x:v>Boarded</x:v>
      </x:c>
      <x:c r="I1304" s="8" t="n">
        <x:v>46301.24253472222</x:v>
      </x:c>
      <x:c r="J1304" s="8" t="n">
        <x:v>46301.24255787037</x:v>
      </x:c>
      <x:c r="K1304" s="8" t="n">
        <x:v>46301.24259259259</x:v>
      </x:c>
      <x:c r="L1304" s="2" t="str">
        <x:v>Sent</x:v>
      </x:c>
      <x:c r="M1304" s="2" t="n">
        <x:v>1</x:v>
      </x:c>
      <x:c r="N1304" s="2"/>
      <x:c r="O1304" s="2"/>
    </x:row>
    <x:row r="1305" ht="21" customHeight="1">
      <x:c r="A1305" s="2" t="str">
        <x:v>NT001304</x:v>
      </x:c>
      <x:c r="B1305" s="2" t="str">
        <x:v>EV001306</x:v>
      </x:c>
      <x:c r="C1305" s="2" t="str">
        <x:v>T20261006-1-3</x:v>
      </x:c>
      <x:c r="D1305" s="2" t="str">
        <x:v>ST096</x:v>
      </x:c>
      <x:c r="E1305" s="2" t="str">
        <x:v>G096</x:v>
      </x:c>
      <x:c r="F1305" s="2" t="str">
        <x:v>guardian096@example.invalid</x:v>
      </x:c>
      <x:c r="G1305" s="2" t="str">
        <x:v>Email</x:v>
      </x:c>
      <x:c r="H1305" s="2" t="str">
        <x:v>School receipt</x:v>
      </x:c>
      <x:c r="I1305" s="8" t="n">
        <x:v>46301.27690972222</x:v>
      </x:c>
      <x:c r="J1305" s="8" t="n">
        <x:v>46301.276932870365</x:v>
      </x:c>
      <x:c r="K1305" s="8" t="n">
        <x:v>46301.27696759259</x:v>
      </x:c>
      <x:c r="L1305" s="2" t="str">
        <x:v>Sent</x:v>
      </x:c>
      <x:c r="M1305" s="2" t="n">
        <x:v>1</x:v>
      </x:c>
      <x:c r="N1305" s="2"/>
      <x:c r="O1305" s="2"/>
    </x:row>
    <x:row r="1306" ht="21" customHeight="1">
      <x:c r="A1306" s="2" t="str">
        <x:v>NT001305</x:v>
      </x:c>
      <x:c r="B1306" s="2" t="str">
        <x:v>EV001307</x:v>
      </x:c>
      <x:c r="C1306" s="2" t="str">
        <x:v>T20261006-1-3</x:v>
      </x:c>
      <x:c r="D1306" s="2" t="str">
        <x:v>ST097</x:v>
      </x:c>
      <x:c r="E1306" s="2" t="str">
        <x:v>G097</x:v>
      </x:c>
      <x:c r="F1306" s="2" t="str">
        <x:v>guardian097@example.invalid</x:v>
      </x:c>
      <x:c r="G1306" s="2" t="str">
        <x:v>Email</x:v>
      </x:c>
      <x:c r="H1306" s="2" t="str">
        <x:v>Boarded</x:v>
      </x:c>
      <x:c r="I1306" s="8" t="n">
        <x:v>46301.24743055555</x:v>
      </x:c>
      <x:c r="J1306" s="8" t="n">
        <x:v>46301.2474537037</x:v>
      </x:c>
      <x:c r="K1306" s="8" t="n">
        <x:v>46301.24748842592</x:v>
      </x:c>
      <x:c r="L1306" s="2" t="str">
        <x:v>Sent</x:v>
      </x:c>
      <x:c r="M1306" s="2" t="n">
        <x:v>1</x:v>
      </x:c>
      <x:c r="N1306" s="2"/>
      <x:c r="O1306" s="2"/>
    </x:row>
    <x:row r="1307" ht="21" customHeight="1">
      <x:c r="A1307" s="2" t="str">
        <x:v>NT001306</x:v>
      </x:c>
      <x:c r="B1307" s="2" t="str">
        <x:v>EV001308</x:v>
      </x:c>
      <x:c r="C1307" s="2" t="str">
        <x:v>T20261006-1-3</x:v>
      </x:c>
      <x:c r="D1307" s="2" t="str">
        <x:v>ST097</x:v>
      </x:c>
      <x:c r="E1307" s="2" t="str">
        <x:v>G097</x:v>
      </x:c>
      <x:c r="F1307" s="2" t="str">
        <x:v>guardian097@example.invalid</x:v>
      </x:c>
      <x:c r="G1307" s="2" t="str">
        <x:v>Email</x:v>
      </x:c>
      <x:c r="H1307" s="2" t="str">
        <x:v>School receipt</x:v>
      </x:c>
      <x:c r="I1307" s="8" t="n">
        <x:v>46301.27694444444</x:v>
      </x:c>
      <x:c r="J1307" s="8" t="n">
        <x:v>46301.27696759259</x:v>
      </x:c>
      <x:c r="K1307" s="8" t="n">
        <x:v>46301.27700231481</x:v>
      </x:c>
      <x:c r="L1307" s="2" t="str">
        <x:v>Sent</x:v>
      </x:c>
      <x:c r="M1307" s="2" t="n">
        <x:v>1</x:v>
      </x:c>
      <x:c r="N1307" s="2"/>
      <x:c r="O1307" s="2"/>
    </x:row>
    <x:row r="1308" ht="21" customHeight="1">
      <x:c r="A1308" s="2" t="str">
        <x:v>NT001307</x:v>
      </x:c>
      <x:c r="B1308" s="2" t="str">
        <x:v>EV001309</x:v>
      </x:c>
      <x:c r="C1308" s="2" t="str">
        <x:v>T20261006-1-3</x:v>
      </x:c>
      <x:c r="D1308" s="2" t="str">
        <x:v>ST098</x:v>
      </x:c>
      <x:c r="E1308" s="2" t="str">
        <x:v>G098</x:v>
      </x:c>
      <x:c r="F1308" s="2" t="str">
        <x:v>guardian098@example.invalid</x:v>
      </x:c>
      <x:c r="G1308" s="2" t="str">
        <x:v>Email</x:v>
      </x:c>
      <x:c r="H1308" s="2" t="str">
        <x:v>Boarded</x:v>
      </x:c>
      <x:c r="I1308" s="8" t="n">
        <x:v>46301.25232638889</x:v>
      </x:c>
      <x:c r="J1308" s="8" t="n">
        <x:v>46301.25234953703</x:v>
      </x:c>
      <x:c r="K1308" s="8" t="n">
        <x:v>46301.252384259256</x:v>
      </x:c>
      <x:c r="L1308" s="2" t="str">
        <x:v>Sent</x:v>
      </x:c>
      <x:c r="M1308" s="2" t="n">
        <x:v>1</x:v>
      </x:c>
      <x:c r="N1308" s="2"/>
      <x:c r="O1308" s="2"/>
    </x:row>
    <x:row r="1309" ht="21" customHeight="1">
      <x:c r="A1309" s="2" t="str">
        <x:v>NT001308</x:v>
      </x:c>
      <x:c r="B1309" s="2" t="str">
        <x:v>EV001310</x:v>
      </x:c>
      <x:c r="C1309" s="2" t="str">
        <x:v>T20261006-1-3</x:v>
      </x:c>
      <x:c r="D1309" s="2" t="str">
        <x:v>ST098</x:v>
      </x:c>
      <x:c r="E1309" s="2" t="str">
        <x:v>G098</x:v>
      </x:c>
      <x:c r="F1309" s="2" t="str">
        <x:v>guardian098@example.invalid</x:v>
      </x:c>
      <x:c r="G1309" s="2" t="str">
        <x:v>Email</x:v>
      </x:c>
      <x:c r="H1309" s="2" t="str">
        <x:v>School receipt</x:v>
      </x:c>
      <x:c r="I1309" s="8" t="n">
        <x:v>46301.276979166665</x:v>
      </x:c>
      <x:c r="J1309" s="8" t="n">
        <x:v>46301.27700231481</x:v>
      </x:c>
      <x:c r="K1309" s="8" t="n">
        <x:v>46301.277037037034</x:v>
      </x:c>
      <x:c r="L1309" s="2" t="str">
        <x:v>Sent</x:v>
      </x:c>
      <x:c r="M1309" s="2" t="n">
        <x:v>1</x:v>
      </x:c>
      <x:c r="N1309" s="2"/>
      <x:c r="O1309" s="2"/>
    </x:row>
    <x:row r="1310" ht="21" customHeight="1">
      <x:c r="A1310" s="2" t="str">
        <x:v>NT001309</x:v>
      </x:c>
      <x:c r="B1310" s="2" t="str">
        <x:v>EV001311</x:v>
      </x:c>
      <x:c r="C1310" s="2" t="str">
        <x:v>T20261006-1-3</x:v>
      </x:c>
      <x:c r="D1310" s="2" t="str">
        <x:v>ST099</x:v>
      </x:c>
      <x:c r="E1310" s="2" t="str">
        <x:v>G099</x:v>
      </x:c>
      <x:c r="F1310" s="2" t="str">
        <x:v>guardian099@example.invalid</x:v>
      </x:c>
      <x:c r="G1310" s="2" t="str">
        <x:v>Email</x:v>
      </x:c>
      <x:c r="H1310" s="2" t="str">
        <x:v>Boarded</x:v>
      </x:c>
      <x:c r="I1310" s="8" t="n">
        <x:v>46301.24263888889</x:v>
      </x:c>
      <x:c r="J1310" s="8" t="n">
        <x:v>46301.24266203704</x:v>
      </x:c>
      <x:c r="K1310" s="8" t="n">
        <x:v>46301.24269675926</x:v>
      </x:c>
      <x:c r="L1310" s="2" t="str">
        <x:v>Sent</x:v>
      </x:c>
      <x:c r="M1310" s="2" t="n">
        <x:v>1</x:v>
      </x:c>
      <x:c r="N1310" s="2"/>
      <x:c r="O1310" s="2"/>
    </x:row>
    <x:row r="1311" ht="21" customHeight="1">
      <x:c r="A1311" s="2" t="str">
        <x:v>NT001310</x:v>
      </x:c>
      <x:c r="B1311" s="2" t="str">
        <x:v>EV001312</x:v>
      </x:c>
      <x:c r="C1311" s="2" t="str">
        <x:v>T20261006-1-3</x:v>
      </x:c>
      <x:c r="D1311" s="2" t="str">
        <x:v>ST099</x:v>
      </x:c>
      <x:c r="E1311" s="2" t="str">
        <x:v>G099</x:v>
      </x:c>
      <x:c r="F1311" s="2" t="str">
        <x:v>guardian099@example.invalid</x:v>
      </x:c>
      <x:c r="G1311" s="2" t="str">
        <x:v>Email</x:v>
      </x:c>
      <x:c r="H1311" s="2" t="str">
        <x:v>School receipt</x:v>
      </x:c>
      <x:c r="I1311" s="8" t="n">
        <x:v>46301.27701388889</x:v>
      </x:c>
      <x:c r="J1311" s="8" t="n">
        <x:v>46301.277037037034</x:v>
      </x:c>
      <x:c r="K1311" s="8" t="n">
        <x:v>46301.27707175926</x:v>
      </x:c>
      <x:c r="L1311" s="2" t="str">
        <x:v>Sent</x:v>
      </x:c>
      <x:c r="M1311" s="2" t="n">
        <x:v>1</x:v>
      </x:c>
      <x:c r="N1311" s="2"/>
      <x:c r="O1311" s="2"/>
    </x:row>
    <x:row r="1312" ht="21" customHeight="1">
      <x:c r="A1312" s="2" t="str">
        <x:v>NT001311</x:v>
      </x:c>
      <x:c r="B1312" s="2" t="str">
        <x:v>EV001313</x:v>
      </x:c>
      <x:c r="C1312" s="2" t="str">
        <x:v>T20261006-1-3</x:v>
      </x:c>
      <x:c r="D1312" s="2" t="str">
        <x:v>ST100</x:v>
      </x:c>
      <x:c r="E1312" s="2" t="str">
        <x:v>G100</x:v>
      </x:c>
      <x:c r="F1312" s="2" t="str">
        <x:v>guardian100@example.invalid</x:v>
      </x:c>
      <x:c r="G1312" s="2" t="str">
        <x:v>Email</x:v>
      </x:c>
      <x:c r="H1312" s="2" t="str">
        <x:v>Boarded</x:v>
      </x:c>
      <x:c r="I1312" s="8" t="n">
        <x:v>46301.24753472222</x:v>
      </x:c>
      <x:c r="J1312" s="8" t="n">
        <x:v>46301.24755787037</x:v>
      </x:c>
      <x:c r="K1312" s="8" t="n">
        <x:v>46301.24759259259</x:v>
      </x:c>
      <x:c r="L1312" s="2" t="str">
        <x:v>Sent</x:v>
      </x:c>
      <x:c r="M1312" s="2" t="n">
        <x:v>1</x:v>
      </x:c>
      <x:c r="N1312" s="2"/>
      <x:c r="O1312" s="2"/>
    </x:row>
    <x:row r="1313" ht="21" customHeight="1">
      <x:c r="A1313" s="2" t="str">
        <x:v>NT001312</x:v>
      </x:c>
      <x:c r="B1313" s="2" t="str">
        <x:v>EV001314</x:v>
      </x:c>
      <x:c r="C1313" s="2" t="str">
        <x:v>T20261006-1-3</x:v>
      </x:c>
      <x:c r="D1313" s="2" t="str">
        <x:v>ST100</x:v>
      </x:c>
      <x:c r="E1313" s="2" t="str">
        <x:v>G100</x:v>
      </x:c>
      <x:c r="F1313" s="2" t="str">
        <x:v>guardian100@example.invalid</x:v>
      </x:c>
      <x:c r="G1313" s="2" t="str">
        <x:v>Email</x:v>
      </x:c>
      <x:c r="H1313" s="2" t="str">
        <x:v>School receipt</x:v>
      </x:c>
      <x:c r="I1313" s="8" t="n">
        <x:v>46301.27704861111</x:v>
      </x:c>
      <x:c r="J1313" s="8" t="n">
        <x:v>46301.27707175926</x:v>
      </x:c>
      <x:c r="K1313" s="8" t="n">
        <x:v>46301.27710648148</x:v>
      </x:c>
      <x:c r="L1313" s="2" t="str">
        <x:v>Sent</x:v>
      </x:c>
      <x:c r="M1313" s="2" t="n">
        <x:v>1</x:v>
      </x:c>
      <x:c r="N1313" s="2"/>
      <x:c r="O1313" s="2"/>
    </x:row>
    <x:row r="1314" ht="21" customHeight="1">
      <x:c r="A1314" s="2" t="str">
        <x:v>NT001313</x:v>
      </x:c>
      <x:c r="B1314" s="2" t="str">
        <x:v>EV001315</x:v>
      </x:c>
      <x:c r="C1314" s="2" t="str">
        <x:v>T20261006-2-3</x:v>
      </x:c>
      <x:c r="D1314" s="2" t="str">
        <x:v>ST081</x:v>
      </x:c>
      <x:c r="E1314" s="2" t="str">
        <x:v>G081</x:v>
      </x:c>
      <x:c r="F1314" s="2" t="str">
        <x:v>guardian081@example.invalid</x:v>
      </x:c>
      <x:c r="G1314" s="2" t="str">
        <x:v>Email</x:v>
      </x:c>
      <x:c r="H1314" s="2" t="str">
        <x:v>Boarded</x:v>
      </x:c>
      <x:c r="I1314" s="8" t="n">
        <x:v>46301.4375</x:v>
      </x:c>
      <x:c r="J1314" s="8" t="n">
        <x:v>46301.437523148146</x:v>
      </x:c>
      <x:c r="K1314" s="8" t="n">
        <x:v>46301.43755787037</x:v>
      </x:c>
      <x:c r="L1314" s="2" t="str">
        <x:v>Sent</x:v>
      </x:c>
      <x:c r="M1314" s="2" t="n">
        <x:v>1</x:v>
      </x:c>
      <x:c r="N1314" s="2"/>
      <x:c r="O1314" s="2"/>
    </x:row>
    <x:row r="1315" ht="21" customHeight="1">
      <x:c r="A1315" s="2" t="str">
        <x:v>NT001314</x:v>
      </x:c>
      <x:c r="B1315" s="2" t="str">
        <x:v>EV001316</x:v>
      </x:c>
      <x:c r="C1315" s="2" t="str">
        <x:v>T20261006-2-3</x:v>
      </x:c>
      <x:c r="D1315" s="2" t="str">
        <x:v>ST081</x:v>
      </x:c>
      <x:c r="E1315" s="2" t="str">
        <x:v>G081</x:v>
      </x:c>
      <x:c r="F1315" s="2" t="str">
        <x:v>guardian081@example.invalid</x:v>
      </x:c>
      <x:c r="G1315" s="2" t="str">
        <x:v>Email</x:v>
      </x:c>
      <x:c r="H1315" s="2" t="str">
        <x:v>Authorized release</x:v>
      </x:c>
      <x:c r="I1315" s="8" t="n">
        <x:v>46301.44930555555</x:v>
      </x:c>
      <x:c r="J1315" s="8" t="n">
        <x:v>46301.4493287037</x:v>
      </x:c>
      <x:c r="K1315" s="8" t="n">
        <x:v>46301.44936342592</x:v>
      </x:c>
      <x:c r="L1315" s="2" t="str">
        <x:v>Sent</x:v>
      </x:c>
      <x:c r="M1315" s="2" t="n">
        <x:v>1</x:v>
      </x:c>
      <x:c r="N1315" s="2"/>
      <x:c r="O1315" s="2"/>
    </x:row>
    <x:row r="1316" ht="21" customHeight="1">
      <x:c r="A1316" s="2" t="str">
        <x:v>NT001315</x:v>
      </x:c>
      <x:c r="B1316" s="2" t="str">
        <x:v>EV001317</x:v>
      </x:c>
      <x:c r="C1316" s="2" t="str">
        <x:v>T20261006-2-3</x:v>
      </x:c>
      <x:c r="D1316" s="2" t="str">
        <x:v>ST082</x:v>
      </x:c>
      <x:c r="E1316" s="2" t="str">
        <x:v>G082</x:v>
      </x:c>
      <x:c r="F1316" s="2" t="str">
        <x:v>guardian082@example.invalid</x:v>
      </x:c>
      <x:c r="G1316" s="2" t="str">
        <x:v>Email</x:v>
      </x:c>
      <x:c r="H1316" s="2" t="str">
        <x:v>Boarded</x:v>
      </x:c>
      <x:c r="I1316" s="8" t="n">
        <x:v>46301.43753472222</x:v>
      </x:c>
      <x:c r="J1316" s="8" t="n">
        <x:v>46301.43755787037</x:v>
      </x:c>
      <x:c r="K1316" s="8" t="n">
        <x:v>46301.43759259259</x:v>
      </x:c>
      <x:c r="L1316" s="2" t="str">
        <x:v>Sent</x:v>
      </x:c>
      <x:c r="M1316" s="2" t="n">
        <x:v>1</x:v>
      </x:c>
      <x:c r="N1316" s="2"/>
      <x:c r="O1316" s="2"/>
    </x:row>
    <x:row r="1317" ht="21" customHeight="1">
      <x:c r="A1317" s="2" t="str">
        <x:v>NT001316</x:v>
      </x:c>
      <x:c r="B1317" s="2" t="str">
        <x:v>EV001318</x:v>
      </x:c>
      <x:c r="C1317" s="2" t="str">
        <x:v>T20261006-2-3</x:v>
      </x:c>
      <x:c r="D1317" s="2" t="str">
        <x:v>ST082</x:v>
      </x:c>
      <x:c r="E1317" s="2" t="str">
        <x:v>G082</x:v>
      </x:c>
      <x:c r="F1317" s="2" t="str">
        <x:v>guardian082@example.invalid</x:v>
      </x:c>
      <x:c r="G1317" s="2" t="str">
        <x:v>Email</x:v>
      </x:c>
      <x:c r="H1317" s="2" t="str">
        <x:v>Authorized release</x:v>
      </x:c>
      <x:c r="I1317" s="8" t="n">
        <x:v>46301.45350694445</x:v>
      </x:c>
      <x:c r="J1317" s="8" t="n">
        <x:v>46301.45353009259</x:v>
      </x:c>
      <x:c r="K1317" s="8" t="n">
        <x:v>46301.453564814816</x:v>
      </x:c>
      <x:c r="L1317" s="2" t="str">
        <x:v>Sent</x:v>
      </x:c>
      <x:c r="M1317" s="2" t="n">
        <x:v>1</x:v>
      </x:c>
      <x:c r="N1317" s="2"/>
      <x:c r="O1317" s="2"/>
    </x:row>
    <x:row r="1318" ht="21" customHeight="1">
      <x:c r="A1318" s="2" t="str">
        <x:v>NT001317</x:v>
      </x:c>
      <x:c r="B1318" s="2" t="str">
        <x:v>EV001319</x:v>
      </x:c>
      <x:c r="C1318" s="2" t="str">
        <x:v>T20261006-2-3</x:v>
      </x:c>
      <x:c r="D1318" s="2" t="str">
        <x:v>ST083</x:v>
      </x:c>
      <x:c r="E1318" s="2" t="str">
        <x:v>G083</x:v>
      </x:c>
      <x:c r="F1318" s="2" t="str">
        <x:v>guardian083@example.invalid</x:v>
      </x:c>
      <x:c r="G1318" s="2" t="str">
        <x:v>Email</x:v>
      </x:c>
      <x:c r="H1318" s="2" t="str">
        <x:v>Boarded</x:v>
      </x:c>
      <x:c r="I1318" s="8" t="n">
        <x:v>46301.437569444446</x:v>
      </x:c>
      <x:c r="J1318" s="8" t="n">
        <x:v>46301.43759259259</x:v>
      </x:c>
      <x:c r="K1318" s="8" t="n">
        <x:v>46301.437627314815</x:v>
      </x:c>
      <x:c r="L1318" s="2" t="str">
        <x:v>Sent</x:v>
      </x:c>
      <x:c r="M1318" s="2" t="n">
        <x:v>1</x:v>
      </x:c>
      <x:c r="N1318" s="2"/>
      <x:c r="O1318" s="2"/>
    </x:row>
    <x:row r="1319" ht="21" customHeight="1">
      <x:c r="A1319" s="2" t="str">
        <x:v>NT001318</x:v>
      </x:c>
      <x:c r="B1319" s="2" t="str">
        <x:v>EV001320</x:v>
      </x:c>
      <x:c r="C1319" s="2" t="str">
        <x:v>T20261006-2-3</x:v>
      </x:c>
      <x:c r="D1319" s="2" t="str">
        <x:v>ST083</x:v>
      </x:c>
      <x:c r="E1319" s="2" t="str">
        <x:v>G083</x:v>
      </x:c>
      <x:c r="F1319" s="2" t="str">
        <x:v>guardian083@example.invalid</x:v>
      </x:c>
      <x:c r="G1319" s="2" t="str">
        <x:v>Email</x:v>
      </x:c>
      <x:c r="H1319" s="2" t="str">
        <x:v>Authorized release</x:v>
      </x:c>
      <x:c r="I1319" s="8" t="n">
        <x:v>46301.457708333335</x:v>
      </x:c>
      <x:c r="J1319" s="8" t="n">
        <x:v>46301.45773148148</x:v>
      </x:c>
      <x:c r="K1319" s="8" t="n">
        <x:v>46301.457766203705</x:v>
      </x:c>
      <x:c r="L1319" s="2" t="str">
        <x:v>Sent</x:v>
      </x:c>
      <x:c r="M1319" s="2" t="n">
        <x:v>1</x:v>
      </x:c>
      <x:c r="N1319" s="2"/>
      <x:c r="O1319" s="2"/>
    </x:row>
    <x:row r="1320" ht="21" customHeight="1">
      <x:c r="A1320" s="2" t="str">
        <x:v>NT001319</x:v>
      </x:c>
      <x:c r="B1320" s="2" t="str">
        <x:v>EV001321</x:v>
      </x:c>
      <x:c r="C1320" s="2" t="str">
        <x:v>T20261006-2-3</x:v>
      </x:c>
      <x:c r="D1320" s="2" t="str">
        <x:v>ST084</x:v>
      </x:c>
      <x:c r="E1320" s="2" t="str">
        <x:v>G084</x:v>
      </x:c>
      <x:c r="F1320" s="2" t="str">
        <x:v>guardian084@example.invalid</x:v>
      </x:c>
      <x:c r="G1320" s="2" t="str">
        <x:v>Email</x:v>
      </x:c>
      <x:c r="H1320" s="2" t="str">
        <x:v>Boarded</x:v>
      </x:c>
      <x:c r="I1320" s="8" t="n">
        <x:v>46301.43760416667</x:v>
      </x:c>
      <x:c r="J1320" s="8" t="n">
        <x:v>46301.437627314815</x:v>
      </x:c>
      <x:c r="K1320" s="8" t="n">
        <x:v>46301.43766203704</x:v>
      </x:c>
      <x:c r="L1320" s="2" t="str">
        <x:v>Sent</x:v>
      </x:c>
      <x:c r="M1320" s="2" t="n">
        <x:v>1</x:v>
      </x:c>
      <x:c r="N1320" s="2"/>
      <x:c r="O1320" s="2"/>
    </x:row>
    <x:row r="1321" ht="21" customHeight="1">
      <x:c r="A1321" s="2" t="str">
        <x:v>NT001320</x:v>
      </x:c>
      <x:c r="B1321" s="2" t="str">
        <x:v>EV001322</x:v>
      </x:c>
      <x:c r="C1321" s="2" t="str">
        <x:v>T20261006-2-3</x:v>
      </x:c>
      <x:c r="D1321" s="2" t="str">
        <x:v>ST084</x:v>
      </x:c>
      <x:c r="E1321" s="2" t="str">
        <x:v>G084</x:v>
      </x:c>
      <x:c r="F1321" s="2" t="str">
        <x:v>guardian084@example.invalid</x:v>
      </x:c>
      <x:c r="G1321" s="2" t="str">
        <x:v>Email</x:v>
      </x:c>
      <x:c r="H1321" s="2" t="str">
        <x:v>Authorized release</x:v>
      </x:c>
      <x:c r="I1321" s="8" t="n">
        <x:v>46301.44940972222</x:v>
      </x:c>
      <x:c r="J1321" s="8" t="n">
        <x:v>46301.449432870366</x:v>
      </x:c>
      <x:c r="K1321" s="8" t="n">
        <x:v>46301.44946759259</x:v>
      </x:c>
      <x:c r="L1321" s="2" t="str">
        <x:v>Sent</x:v>
      </x:c>
      <x:c r="M1321" s="2" t="n">
        <x:v>1</x:v>
      </x:c>
      <x:c r="N1321" s="2"/>
      <x:c r="O1321" s="2"/>
    </x:row>
    <x:row r="1322" ht="21" customHeight="1">
      <x:c r="A1322" s="2" t="str">
        <x:v>NT001321</x:v>
      </x:c>
      <x:c r="B1322" s="2" t="str">
        <x:v>EV001323</x:v>
      </x:c>
      <x:c r="C1322" s="2" t="str">
        <x:v>T20261006-2-3</x:v>
      </x:c>
      <x:c r="D1322" s="2" t="str">
        <x:v>ST085</x:v>
      </x:c>
      <x:c r="E1322" s="2" t="str">
        <x:v>G085</x:v>
      </x:c>
      <x:c r="F1322" s="2" t="str">
        <x:v>guardian085@example.invalid</x:v>
      </x:c>
      <x:c r="G1322" s="2" t="str">
        <x:v>Email</x:v>
      </x:c>
      <x:c r="H1322" s="2" t="str">
        <x:v>Boarded</x:v>
      </x:c>
      <x:c r="I1322" s="8" t="n">
        <x:v>46301.43763888889</x:v>
      </x:c>
      <x:c r="J1322" s="8" t="n">
        <x:v>46301.43766203704</x:v>
      </x:c>
      <x:c r="K1322" s="8" t="n">
        <x:v>46301.43769675926</x:v>
      </x:c>
      <x:c r="L1322" s="2" t="str">
        <x:v>Sent</x:v>
      </x:c>
      <x:c r="M1322" s="2" t="n">
        <x:v>1</x:v>
      </x:c>
      <x:c r="N1322" s="2"/>
      <x:c r="O1322" s="2"/>
    </x:row>
    <x:row r="1323" ht="21" customHeight="1">
      <x:c r="A1323" s="2" t="str">
        <x:v>NT001322</x:v>
      </x:c>
      <x:c r="B1323" s="2" t="str">
        <x:v>EV001324</x:v>
      </x:c>
      <x:c r="C1323" s="2" t="str">
        <x:v>T20261006-2-3</x:v>
      </x:c>
      <x:c r="D1323" s="2" t="str">
        <x:v>ST085</x:v>
      </x:c>
      <x:c r="E1323" s="2" t="str">
        <x:v>G085</x:v>
      </x:c>
      <x:c r="F1323" s="2" t="str">
        <x:v>guardian085@example.invalid</x:v>
      </x:c>
      <x:c r="G1323" s="2" t="str">
        <x:v>Email</x:v>
      </x:c>
      <x:c r="H1323" s="2" t="str">
        <x:v>Authorized release</x:v>
      </x:c>
      <x:c r="I1323" s="8" t="n">
        <x:v>46301.453611111116</x:v>
      </x:c>
      <x:c r="J1323" s="8" t="n">
        <x:v>46301.45363425926</x:v>
      </x:c>
      <x:c r="K1323" s="8" t="n">
        <x:v>46301.453668981485</x:v>
      </x:c>
      <x:c r="L1323" s="2" t="str">
        <x:v>Sent</x:v>
      </x:c>
      <x:c r="M1323" s="2" t="n">
        <x:v>1</x:v>
      </x:c>
      <x:c r="N1323" s="2"/>
      <x:c r="O1323" s="2"/>
    </x:row>
    <x:row r="1324" ht="21" customHeight="1">
      <x:c r="A1324" s="2" t="str">
        <x:v>NT001323</x:v>
      </x:c>
      <x:c r="B1324" s="2" t="str">
        <x:v>EV001325</x:v>
      </x:c>
      <x:c r="C1324" s="2" t="str">
        <x:v>T20261006-2-3</x:v>
      </x:c>
      <x:c r="D1324" s="2" t="str">
        <x:v>ST086</x:v>
      </x:c>
      <x:c r="E1324" s="2" t="str">
        <x:v>G086</x:v>
      </x:c>
      <x:c r="F1324" s="2" t="str">
        <x:v>guardian086@example.invalid</x:v>
      </x:c>
      <x:c r="G1324" s="2" t="str">
        <x:v>Email</x:v>
      </x:c>
      <x:c r="H1324" s="2" t="str">
        <x:v>Boarded</x:v>
      </x:c>
      <x:c r="I1324" s="8" t="n">
        <x:v>46301.43767361111</x:v>
      </x:c>
      <x:c r="J1324" s="8" t="n">
        <x:v>46301.437696759254</x:v>
      </x:c>
      <x:c r="K1324" s="8" t="n">
        <x:v>46301.43773148148</x:v>
      </x:c>
      <x:c r="L1324" s="2" t="str">
        <x:v>Sent</x:v>
      </x:c>
      <x:c r="M1324" s="2" t="n">
        <x:v>1</x:v>
      </x:c>
      <x:c r="N1324" s="2"/>
      <x:c r="O1324" s="2"/>
    </x:row>
    <x:row r="1325" ht="21" customHeight="1">
      <x:c r="A1325" s="2" t="str">
        <x:v>NT001324</x:v>
      </x:c>
      <x:c r="B1325" s="2" t="str">
        <x:v>EV001326</x:v>
      </x:c>
      <x:c r="C1325" s="2" t="str">
        <x:v>T20261006-2-3</x:v>
      </x:c>
      <x:c r="D1325" s="2" t="str">
        <x:v>ST086</x:v>
      </x:c>
      <x:c r="E1325" s="2" t="str">
        <x:v>G086</x:v>
      </x:c>
      <x:c r="F1325" s="2" t="str">
        <x:v>guardian086@example.invalid</x:v>
      </x:c>
      <x:c r="G1325" s="2" t="str">
        <x:v>Email</x:v>
      </x:c>
      <x:c r="H1325" s="2" t="str">
        <x:v>Authorized release</x:v>
      </x:c>
      <x:c r="I1325" s="8" t="n">
        <x:v>46301.4578125</x:v>
      </x:c>
      <x:c r="J1325" s="8" t="n">
        <x:v>46301.45783564814</x:v>
      </x:c>
      <x:c r="K1325" s="8" t="n">
        <x:v>46301.45787037037</x:v>
      </x:c>
      <x:c r="L1325" s="2" t="str">
        <x:v>Sent</x:v>
      </x:c>
      <x:c r="M1325" s="2" t="n">
        <x:v>1</x:v>
      </x:c>
      <x:c r="N1325" s="2"/>
      <x:c r="O1325" s="2"/>
    </x:row>
    <x:row r="1326" ht="21" customHeight="1">
      <x:c r="A1326" s="2" t="str">
        <x:v>NT001325</x:v>
      </x:c>
      <x:c r="B1326" s="2" t="str">
        <x:v>EV001327</x:v>
      </x:c>
      <x:c r="C1326" s="2" t="str">
        <x:v>T20261006-2-3</x:v>
      </x:c>
      <x:c r="D1326" s="2" t="str">
        <x:v>ST087</x:v>
      </x:c>
      <x:c r="E1326" s="2" t="str">
        <x:v>G087</x:v>
      </x:c>
      <x:c r="F1326" s="2" t="str">
        <x:v>guardian087@example.invalid</x:v>
      </x:c>
      <x:c r="G1326" s="2" t="str">
        <x:v>Email</x:v>
      </x:c>
      <x:c r="H1326" s="2" t="str">
        <x:v>Boarded</x:v>
      </x:c>
      <x:c r="I1326" s="8" t="n">
        <x:v>46301.43770833333</x:v>
      </x:c>
      <x:c r="J1326" s="8" t="n">
        <x:v>46301.43773148148</x:v>
      </x:c>
      <x:c r="K1326" s="8" t="n">
        <x:v>46301.4377662037</x:v>
      </x:c>
      <x:c r="L1326" s="2" t="str">
        <x:v>Sent</x:v>
      </x:c>
      <x:c r="M1326" s="2" t="n">
        <x:v>1</x:v>
      </x:c>
      <x:c r="N1326" s="2"/>
      <x:c r="O1326" s="2"/>
    </x:row>
    <x:row r="1327" ht="21" customHeight="1">
      <x:c r="A1327" s="2" t="str">
        <x:v>NT001326</x:v>
      </x:c>
      <x:c r="B1327" s="2" t="str">
        <x:v>EV001328</x:v>
      </x:c>
      <x:c r="C1327" s="2" t="str">
        <x:v>T20261006-2-3</x:v>
      </x:c>
      <x:c r="D1327" s="2" t="str">
        <x:v>ST087</x:v>
      </x:c>
      <x:c r="E1327" s="2" t="str">
        <x:v>G087</x:v>
      </x:c>
      <x:c r="F1327" s="2" t="str">
        <x:v>guardian087@example.invalid</x:v>
      </x:c>
      <x:c r="G1327" s="2" t="str">
        <x:v>Email</x:v>
      </x:c>
      <x:c r="H1327" s="2" t="str">
        <x:v>Authorized release</x:v>
      </x:c>
      <x:c r="I1327" s="8" t="n">
        <x:v>46301.44951388888</x:v>
      </x:c>
      <x:c r="J1327" s="8" t="n">
        <x:v>46301.44953703703</x:v>
      </x:c>
      <x:c r="K1327" s="8" t="n">
        <x:v>46301.44957175925</x:v>
      </x:c>
      <x:c r="L1327" s="2" t="str">
        <x:v>Sent</x:v>
      </x:c>
      <x:c r="M1327" s="2" t="n">
        <x:v>1</x:v>
      </x:c>
      <x:c r="N1327" s="2"/>
      <x:c r="O1327" s="2"/>
    </x:row>
    <x:row r="1328" ht="21" customHeight="1">
      <x:c r="A1328" s="2" t="str">
        <x:v>NT001327</x:v>
      </x:c>
      <x:c r="B1328" s="2" t="str">
        <x:v>EV001329</x:v>
      </x:c>
      <x:c r="C1328" s="2" t="str">
        <x:v>T20261006-2-3</x:v>
      </x:c>
      <x:c r="D1328" s="2" t="str">
        <x:v>ST088</x:v>
      </x:c>
      <x:c r="E1328" s="2" t="str">
        <x:v>G088</x:v>
      </x:c>
      <x:c r="F1328" s="2" t="str">
        <x:v>guardian088@example.invalid</x:v>
      </x:c>
      <x:c r="G1328" s="2" t="str">
        <x:v>Email</x:v>
      </x:c>
      <x:c r="H1328" s="2" t="str">
        <x:v>Boarded</x:v>
      </x:c>
      <x:c r="I1328" s="8" t="n">
        <x:v>46301.437743055554</x:v>
      </x:c>
      <x:c r="J1328" s="8" t="n">
        <x:v>46301.4377662037</x:v>
      </x:c>
      <x:c r="K1328" s="8" t="n">
        <x:v>46301.43780092592</x:v>
      </x:c>
      <x:c r="L1328" s="2" t="str">
        <x:v>Sent</x:v>
      </x:c>
      <x:c r="M1328" s="2" t="n">
        <x:v>1</x:v>
      </x:c>
      <x:c r="N1328" s="2"/>
      <x:c r="O1328" s="2"/>
    </x:row>
    <x:row r="1329" ht="21" customHeight="1">
      <x:c r="A1329" s="2" t="str">
        <x:v>NT001328</x:v>
      </x:c>
      <x:c r="B1329" s="2" t="str">
        <x:v>EV001330</x:v>
      </x:c>
      <x:c r="C1329" s="2" t="str">
        <x:v>T20261006-2-3</x:v>
      </x:c>
      <x:c r="D1329" s="2" t="str">
        <x:v>ST088</x:v>
      </x:c>
      <x:c r="E1329" s="2" t="str">
        <x:v>G088</x:v>
      </x:c>
      <x:c r="F1329" s="2" t="str">
        <x:v>guardian088@example.invalid</x:v>
      </x:c>
      <x:c r="G1329" s="2" t="str">
        <x:v>Email</x:v>
      </x:c>
      <x:c r="H1329" s="2" t="str">
        <x:v>Authorized release</x:v>
      </x:c>
      <x:c r="I1329" s="8" t="n">
        <x:v>46301.45371527778</x:v>
      </x:c>
      <x:c r="J1329" s="8" t="n">
        <x:v>46301.453738425924</x:v>
      </x:c>
      <x:c r="K1329" s="8" t="n">
        <x:v>46301.45377314815</x:v>
      </x:c>
      <x:c r="L1329" s="2" t="str">
        <x:v>Sent</x:v>
      </x:c>
      <x:c r="M1329" s="2" t="n">
        <x:v>1</x:v>
      </x:c>
      <x:c r="N1329" s="2"/>
      <x:c r="O1329" s="2"/>
    </x:row>
    <x:row r="1330" ht="21" customHeight="1">
      <x:c r="A1330" s="2" t="str">
        <x:v>NT001329</x:v>
      </x:c>
      <x:c r="B1330" s="2" t="str">
        <x:v>EV001331</x:v>
      </x:c>
      <x:c r="C1330" s="2" t="str">
        <x:v>T20261006-2-3</x:v>
      </x:c>
      <x:c r="D1330" s="2" t="str">
        <x:v>ST089</x:v>
      </x:c>
      <x:c r="E1330" s="2" t="str">
        <x:v>G089</x:v>
      </x:c>
      <x:c r="F1330" s="2" t="str">
        <x:v>guardian089@example.invalid</x:v>
      </x:c>
      <x:c r="G1330" s="2" t="str">
        <x:v>Email</x:v>
      </x:c>
      <x:c r="H1330" s="2" t="str">
        <x:v>Boarded</x:v>
      </x:c>
      <x:c r="I1330" s="8" t="n">
        <x:v>46301.43777777778</x:v>
      </x:c>
      <x:c r="J1330" s="8" t="n">
        <x:v>46301.43780092592</x:v>
      </x:c>
      <x:c r="K1330" s="8" t="n">
        <x:v>46301.43783564815</x:v>
      </x:c>
      <x:c r="L1330" s="2" t="str">
        <x:v>Sent</x:v>
      </x:c>
      <x:c r="M1330" s="2" t="n">
        <x:v>1</x:v>
      </x:c>
      <x:c r="N1330" s="2"/>
      <x:c r="O1330" s="2"/>
    </x:row>
    <x:row r="1331" ht="21" customHeight="1">
      <x:c r="A1331" s="2" t="str">
        <x:v>NT001330</x:v>
      </x:c>
      <x:c r="B1331" s="2" t="str">
        <x:v>EV001332</x:v>
      </x:c>
      <x:c r="C1331" s="2" t="str">
        <x:v>T20261006-2-3</x:v>
      </x:c>
      <x:c r="D1331" s="2" t="str">
        <x:v>ST089</x:v>
      </x:c>
      <x:c r="E1331" s="2" t="str">
        <x:v>G089</x:v>
      </x:c>
      <x:c r="F1331" s="2" t="str">
        <x:v>guardian089@example.invalid</x:v>
      </x:c>
      <x:c r="G1331" s="2" t="str">
        <x:v>Email</x:v>
      </x:c>
      <x:c r="H1331" s="2" t="str">
        <x:v>Authorized release</x:v>
      </x:c>
      <x:c r="I1331" s="8" t="n">
        <x:v>46301.457916666666</x:v>
      </x:c>
      <x:c r="J1331" s="8" t="n">
        <x:v>46301.45793981481</x:v>
      </x:c>
      <x:c r="K1331" s="8" t="n">
        <x:v>46301.457974537036</x:v>
      </x:c>
      <x:c r="L1331" s="2" t="str">
        <x:v>Sent</x:v>
      </x:c>
      <x:c r="M1331" s="2" t="n">
        <x:v>1</x:v>
      </x:c>
      <x:c r="N1331" s="2"/>
      <x:c r="O1331" s="2"/>
    </x:row>
    <x:row r="1332" ht="21" customHeight="1">
      <x:c r="A1332" s="2" t="str">
        <x:v>NT001331</x:v>
      </x:c>
      <x:c r="B1332" s="2" t="str">
        <x:v>EV001333</x:v>
      </x:c>
      <x:c r="C1332" s="2" t="str">
        <x:v>T20261006-2-3</x:v>
      </x:c>
      <x:c r="D1332" s="2" t="str">
        <x:v>ST090</x:v>
      </x:c>
      <x:c r="E1332" s="2" t="str">
        <x:v>G090</x:v>
      </x:c>
      <x:c r="F1332" s="2" t="str">
        <x:v>guardian090@example.invalid</x:v>
      </x:c>
      <x:c r="G1332" s="2" t="str">
        <x:v>Email</x:v>
      </x:c>
      <x:c r="H1332" s="2" t="str">
        <x:v>Boarded</x:v>
      </x:c>
      <x:c r="I1332" s="8" t="n">
        <x:v>46301.4378125</x:v>
      </x:c>
      <x:c r="J1332" s="8" t="n">
        <x:v>46301.43783564815</x:v>
      </x:c>
      <x:c r="K1332" s="8" t="n">
        <x:v>46301.43787037037</x:v>
      </x:c>
      <x:c r="L1332" s="2" t="str">
        <x:v>Sent</x:v>
      </x:c>
      <x:c r="M1332" s="2" t="n">
        <x:v>1</x:v>
      </x:c>
      <x:c r="N1332" s="2"/>
      <x:c r="O1332" s="2"/>
    </x:row>
    <x:row r="1333" ht="21" customHeight="1">
      <x:c r="A1333" s="2" t="str">
        <x:v>NT001332</x:v>
      </x:c>
      <x:c r="B1333" s="2" t="str">
        <x:v>EV001334</x:v>
      </x:c>
      <x:c r="C1333" s="2" t="str">
        <x:v>T20261006-2-3</x:v>
      </x:c>
      <x:c r="D1333" s="2" t="str">
        <x:v>ST090</x:v>
      </x:c>
      <x:c r="E1333" s="2" t="str">
        <x:v>G090</x:v>
      </x:c>
      <x:c r="F1333" s="2" t="str">
        <x:v>guardian090@example.invalid</x:v>
      </x:c>
      <x:c r="G1333" s="2" t="str">
        <x:v>Email</x:v>
      </x:c>
      <x:c r="H1333" s="2" t="str">
        <x:v>Authorized release</x:v>
      </x:c>
      <x:c r="I1333" s="8" t="n">
        <x:v>46301.44961805555</x:v>
      </x:c>
      <x:c r="J1333" s="8" t="n">
        <x:v>46301.4496412037</x:v>
      </x:c>
      <x:c r="K1333" s="8" t="n">
        <x:v>46301.44967592592</x:v>
      </x:c>
      <x:c r="L1333" s="2" t="str">
        <x:v>Sent</x:v>
      </x:c>
      <x:c r="M1333" s="2" t="n">
        <x:v>1</x:v>
      </x:c>
      <x:c r="N1333" s="2"/>
      <x:c r="O1333" s="2"/>
    </x:row>
    <x:row r="1334" ht="21" customHeight="1">
      <x:c r="A1334" s="2" t="str">
        <x:v>NT001333</x:v>
      </x:c>
      <x:c r="B1334" s="2" t="str">
        <x:v>EV001335</x:v>
      </x:c>
      <x:c r="C1334" s="2" t="str">
        <x:v>T20261006-2-3</x:v>
      </x:c>
      <x:c r="D1334" s="2" t="str">
        <x:v>ST101</x:v>
      </x:c>
      <x:c r="E1334" s="2" t="str">
        <x:v>G101</x:v>
      </x:c>
      <x:c r="F1334" s="2" t="str">
        <x:v>guardian101@example.invalid</x:v>
      </x:c>
      <x:c r="G1334" s="2" t="str">
        <x:v>Email</x:v>
      </x:c>
      <x:c r="H1334" s="2" t="str">
        <x:v>Boarded</x:v>
      </x:c>
      <x:c r="I1334" s="8" t="n">
        <x:v>46301.48125</x:v>
      </x:c>
      <x:c r="J1334" s="8" t="n">
        <x:v>46301.48127314814</x:v>
      </x:c>
      <x:c r="K1334" s="8" t="n">
        <x:v>46301.48130787037</x:v>
      </x:c>
      <x:c r="L1334" s="2" t="str">
        <x:v>Sent</x:v>
      </x:c>
      <x:c r="M1334" s="2" t="n">
        <x:v>1</x:v>
      </x:c>
      <x:c r="N1334" s="2"/>
      <x:c r="O1334" s="2"/>
    </x:row>
    <x:row r="1335" ht="21" customHeight="1">
      <x:c r="A1335" s="2" t="str">
        <x:v>NT001334</x:v>
      </x:c>
      <x:c r="B1335" s="2" t="str">
        <x:v>EV001336</x:v>
      </x:c>
      <x:c r="C1335" s="2" t="str">
        <x:v>T20261006-2-3</x:v>
      </x:c>
      <x:c r="D1335" s="2" t="str">
        <x:v>ST101</x:v>
      </x:c>
      <x:c r="E1335" s="2" t="str">
        <x:v>G101</x:v>
      </x:c>
      <x:c r="F1335" s="2" t="str">
        <x:v>guardian101@example.invalid</x:v>
      </x:c>
      <x:c r="G1335" s="2" t="str">
        <x:v>Email</x:v>
      </x:c>
      <x:c r="H1335" s="2" t="str">
        <x:v>School receipt</x:v>
      </x:c>
      <x:c r="I1335" s="8" t="n">
        <x:v>46301.506250000006</x:v>
      </x:c>
      <x:c r="J1335" s="8" t="n">
        <x:v>46301.50627314815</x:v>
      </x:c>
      <x:c r="K1335" s="8" t="n">
        <x:v>46301.506307870375</x:v>
      </x:c>
      <x:c r="L1335" s="2" t="str">
        <x:v>Sent</x:v>
      </x:c>
      <x:c r="M1335" s="2" t="n">
        <x:v>1</x:v>
      </x:c>
      <x:c r="N1335" s="2"/>
      <x:c r="O1335" s="2"/>
    </x:row>
    <x:row r="1336" ht="21" customHeight="1">
      <x:c r="A1336" s="2" t="str">
        <x:v>NT001335</x:v>
      </x:c>
      <x:c r="B1336" s="2" t="str">
        <x:v>EV001337</x:v>
      </x:c>
      <x:c r="C1336" s="2" t="str">
        <x:v>T20261006-2-3</x:v>
      </x:c>
      <x:c r="D1336" s="2" t="str">
        <x:v>ST102</x:v>
      </x:c>
      <x:c r="E1336" s="2" t="str">
        <x:v>G102</x:v>
      </x:c>
      <x:c r="F1336" s="2" t="str">
        <x:v>guardian102@example.invalid</x:v>
      </x:c>
      <x:c r="G1336" s="2" t="str">
        <x:v>Email</x:v>
      </x:c>
      <x:c r="H1336" s="2" t="str">
        <x:v>Boarded</x:v>
      </x:c>
      <x:c r="I1336" s="8" t="n">
        <x:v>46301.4715625</x:v>
      </x:c>
      <x:c r="J1336" s="8" t="n">
        <x:v>46301.47158564815</x:v>
      </x:c>
      <x:c r="K1336" s="8" t="n">
        <x:v>46301.47162037037</x:v>
      </x:c>
      <x:c r="L1336" s="2" t="str">
        <x:v>Sent</x:v>
      </x:c>
      <x:c r="M1336" s="2" t="n">
        <x:v>1</x:v>
      </x:c>
      <x:c r="N1336" s="2"/>
      <x:c r="O1336" s="2"/>
    </x:row>
    <x:row r="1337" ht="21" customHeight="1">
      <x:c r="A1337" s="2" t="str">
        <x:v>NT001336</x:v>
      </x:c>
      <x:c r="B1337" s="2" t="str">
        <x:v>EV001338</x:v>
      </x:c>
      <x:c r="C1337" s="2" t="str">
        <x:v>T20261006-2-3</x:v>
      </x:c>
      <x:c r="D1337" s="2" t="str">
        <x:v>ST102</x:v>
      </x:c>
      <x:c r="E1337" s="2" t="str">
        <x:v>G102</x:v>
      </x:c>
      <x:c r="F1337" s="2" t="str">
        <x:v>guardian102@example.invalid</x:v>
      </x:c>
      <x:c r="G1337" s="2" t="str">
        <x:v>Email</x:v>
      </x:c>
      <x:c r="H1337" s="2" t="str">
        <x:v>School receipt</x:v>
      </x:c>
      <x:c r="I1337" s="8" t="n">
        <x:v>46301.50628472223</x:v>
      </x:c>
      <x:c r="J1337" s="8" t="n">
        <x:v>46301.506307870375</x:v>
      </x:c>
      <x:c r="K1337" s="8" t="n">
        <x:v>46301.5063425926</x:v>
      </x:c>
      <x:c r="L1337" s="2" t="str">
        <x:v>Sent</x:v>
      </x:c>
      <x:c r="M1337" s="2" t="n">
        <x:v>1</x:v>
      </x:c>
      <x:c r="N1337" s="2"/>
      <x:c r="O1337" s="2"/>
    </x:row>
    <x:row r="1338" ht="21" customHeight="1">
      <x:c r="A1338" s="2" t="str">
        <x:v>NT001337</x:v>
      </x:c>
      <x:c r="B1338" s="2" t="str">
        <x:v>EV001339</x:v>
      </x:c>
      <x:c r="C1338" s="2" t="str">
        <x:v>T20261006-2-3</x:v>
      </x:c>
      <x:c r="D1338" s="2" t="str">
        <x:v>ST103</x:v>
      </x:c>
      <x:c r="E1338" s="2" t="str">
        <x:v>G103</x:v>
      </x:c>
      <x:c r="F1338" s="2" t="str">
        <x:v>guardian103@example.invalid</x:v>
      </x:c>
      <x:c r="G1338" s="2" t="str">
        <x:v>Email</x:v>
      </x:c>
      <x:c r="H1338" s="2" t="str">
        <x:v>Boarded</x:v>
      </x:c>
      <x:c r="I1338" s="8" t="n">
        <x:v>46301.47645833333</x:v>
      </x:c>
      <x:c r="J1338" s="8" t="n">
        <x:v>46301.47648148148</x:v>
      </x:c>
      <x:c r="K1338" s="8" t="n">
        <x:v>46301.4765162037</x:v>
      </x:c>
      <x:c r="L1338" s="2" t="str">
        <x:v>Sent</x:v>
      </x:c>
      <x:c r="M1338" s="2" t="n">
        <x:v>1</x:v>
      </x:c>
      <x:c r="N1338" s="2"/>
      <x:c r="O1338" s="2"/>
    </x:row>
    <x:row r="1339" ht="21" customHeight="1">
      <x:c r="A1339" s="2" t="str">
        <x:v>NT001338</x:v>
      </x:c>
      <x:c r="B1339" s="2" t="str">
        <x:v>EV001340</x:v>
      </x:c>
      <x:c r="C1339" s="2" t="str">
        <x:v>T20261006-2-3</x:v>
      </x:c>
      <x:c r="D1339" s="2" t="str">
        <x:v>ST103</x:v>
      </x:c>
      <x:c r="E1339" s="2" t="str">
        <x:v>G103</x:v>
      </x:c>
      <x:c r="F1339" s="2" t="str">
        <x:v>guardian103@example.invalid</x:v>
      </x:c>
      <x:c r="G1339" s="2" t="str">
        <x:v>Email</x:v>
      </x:c>
      <x:c r="H1339" s="2" t="str">
        <x:v>School receipt</x:v>
      </x:c>
      <x:c r="I1339" s="8" t="n">
        <x:v>46301.506319444445</x:v>
      </x:c>
      <x:c r="J1339" s="8" t="n">
        <x:v>46301.50634259259</x:v>
      </x:c>
      <x:c r="K1339" s="8" t="n">
        <x:v>46301.506377314814</x:v>
      </x:c>
      <x:c r="L1339" s="2" t="str">
        <x:v>Sent</x:v>
      </x:c>
      <x:c r="M1339" s="2" t="n">
        <x:v>1</x:v>
      </x:c>
      <x:c r="N1339" s="2"/>
      <x:c r="O1339" s="2"/>
    </x:row>
    <x:row r="1340" ht="21" customHeight="1">
      <x:c r="A1340" s="2" t="str">
        <x:v>NT001339</x:v>
      </x:c>
      <x:c r="B1340" s="2" t="str">
        <x:v>EV001341</x:v>
      </x:c>
      <x:c r="C1340" s="2" t="str">
        <x:v>T20261006-2-3</x:v>
      </x:c>
      <x:c r="D1340" s="2" t="str">
        <x:v>ST104</x:v>
      </x:c>
      <x:c r="E1340" s="2" t="str">
        <x:v>G104</x:v>
      </x:c>
      <x:c r="F1340" s="2" t="str">
        <x:v>guardian104@example.invalid</x:v>
      </x:c>
      <x:c r="G1340" s="2" t="str">
        <x:v>Email</x:v>
      </x:c>
      <x:c r="H1340" s="2" t="str">
        <x:v>Boarded</x:v>
      </x:c>
      <x:c r="I1340" s="8" t="n">
        <x:v>46301.481354166666</x:v>
      </x:c>
      <x:c r="J1340" s="8" t="n">
        <x:v>46301.48137731481</x:v>
      </x:c>
      <x:c r="K1340" s="8" t="n">
        <x:v>46301.481412037036</x:v>
      </x:c>
      <x:c r="L1340" s="2" t="str">
        <x:v>Sent</x:v>
      </x:c>
      <x:c r="M1340" s="2" t="n">
        <x:v>1</x:v>
      </x:c>
      <x:c r="N1340" s="2"/>
      <x:c r="O1340" s="2"/>
    </x:row>
    <x:row r="1341" ht="21" customHeight="1">
      <x:c r="A1341" s="2" t="str">
        <x:v>NT001340</x:v>
      </x:c>
      <x:c r="B1341" s="2" t="str">
        <x:v>EV001342</x:v>
      </x:c>
      <x:c r="C1341" s="2" t="str">
        <x:v>T20261006-2-3</x:v>
      </x:c>
      <x:c r="D1341" s="2" t="str">
        <x:v>ST104</x:v>
      </x:c>
      <x:c r="E1341" s="2" t="str">
        <x:v>G104</x:v>
      </x:c>
      <x:c r="F1341" s="2" t="str">
        <x:v>guardian104@example.invalid</x:v>
      </x:c>
      <x:c r="G1341" s="2" t="str">
        <x:v>Email</x:v>
      </x:c>
      <x:c r="H1341" s="2" t="str">
        <x:v>School receipt</x:v>
      </x:c>
      <x:c r="I1341" s="8" t="n">
        <x:v>46301.50635416667</x:v>
      </x:c>
      <x:c r="J1341" s="8" t="n">
        <x:v>46301.506377314814</x:v>
      </x:c>
      <x:c r="K1341" s="8" t="n">
        <x:v>46301.50641203704</x:v>
      </x:c>
      <x:c r="L1341" s="2" t="str">
        <x:v>Sent</x:v>
      </x:c>
      <x:c r="M1341" s="2" t="n">
        <x:v>1</x:v>
      </x:c>
      <x:c r="N1341" s="2"/>
      <x:c r="O1341" s="2"/>
    </x:row>
    <x:row r="1342" ht="21" customHeight="1">
      <x:c r="A1342" s="2" t="str">
        <x:v>NT001341</x:v>
      </x:c>
      <x:c r="B1342" s="2" t="str">
        <x:v>EV001343</x:v>
      </x:c>
      <x:c r="C1342" s="2" t="str">
        <x:v>T20261006-2-3</x:v>
      </x:c>
      <x:c r="D1342" s="2" t="str">
        <x:v>ST105</x:v>
      </x:c>
      <x:c r="E1342" s="2" t="str">
        <x:v>G105</x:v>
      </x:c>
      <x:c r="F1342" s="2" t="str">
        <x:v>guardian105@example.invalid</x:v>
      </x:c>
      <x:c r="G1342" s="2" t="str">
        <x:v>Email</x:v>
      </x:c>
      <x:c r="H1342" s="2" t="str">
        <x:v>Boarded</x:v>
      </x:c>
      <x:c r="I1342" s="8" t="n">
        <x:v>46301.47166666667</x:v>
      </x:c>
      <x:c r="J1342" s="8" t="n">
        <x:v>46301.47168981482</x:v>
      </x:c>
      <x:c r="K1342" s="8" t="n">
        <x:v>46301.47172453704</x:v>
      </x:c>
      <x:c r="L1342" s="2" t="str">
        <x:v>Sent</x:v>
      </x:c>
      <x:c r="M1342" s="2" t="n">
        <x:v>1</x:v>
      </x:c>
      <x:c r="N1342" s="2"/>
      <x:c r="O1342" s="2"/>
    </x:row>
    <x:row r="1343" ht="21" customHeight="1">
      <x:c r="A1343" s="2" t="str">
        <x:v>NT001342</x:v>
      </x:c>
      <x:c r="B1343" s="2" t="str">
        <x:v>EV001344</x:v>
      </x:c>
      <x:c r="C1343" s="2" t="str">
        <x:v>T20261006-2-3</x:v>
      </x:c>
      <x:c r="D1343" s="2" t="str">
        <x:v>ST105</x:v>
      </x:c>
      <x:c r="E1343" s="2" t="str">
        <x:v>G105</x:v>
      </x:c>
      <x:c r="F1343" s="2" t="str">
        <x:v>guardian105@example.invalid</x:v>
      </x:c>
      <x:c r="G1343" s="2" t="str">
        <x:v>Email</x:v>
      </x:c>
      <x:c r="H1343" s="2" t="str">
        <x:v>School receipt</x:v>
      </x:c>
      <x:c r="I1343" s="8" t="n">
        <x:v>46301.50638888889</x:v>
      </x:c>
      <x:c r="J1343" s="8" t="n">
        <x:v>46301.50641203704</x:v>
      </x:c>
      <x:c r="K1343" s="8" t="n">
        <x:v>46301.50644675926</x:v>
      </x:c>
      <x:c r="L1343" s="2" t="str">
        <x:v>Sent</x:v>
      </x:c>
      <x:c r="M1343" s="2" t="n">
        <x:v>1</x:v>
      </x:c>
      <x:c r="N1343" s="2"/>
      <x:c r="O1343" s="2"/>
    </x:row>
    <x:row r="1344" ht="21" customHeight="1">
      <x:c r="A1344" s="2" t="str">
        <x:v>NT001343</x:v>
      </x:c>
      <x:c r="B1344" s="2" t="str">
        <x:v>EV001345</x:v>
      </x:c>
      <x:c r="C1344" s="2" t="str">
        <x:v>T20261006-2-3</x:v>
      </x:c>
      <x:c r="D1344" s="2" t="str">
        <x:v>ST106</x:v>
      </x:c>
      <x:c r="E1344" s="2" t="str">
        <x:v>G106</x:v>
      </x:c>
      <x:c r="F1344" s="2" t="str">
        <x:v>guardian106@example.invalid</x:v>
      </x:c>
      <x:c r="G1344" s="2" t="str">
        <x:v>Email</x:v>
      </x:c>
      <x:c r="H1344" s="2" t="str">
        <x:v>Boarded</x:v>
      </x:c>
      <x:c r="I1344" s="8" t="n">
        <x:v>46301.47656249999</x:v>
      </x:c>
      <x:c r="J1344" s="8" t="n">
        <x:v>46301.47658564814</x:v>
      </x:c>
      <x:c r="K1344" s="8" t="n">
        <x:v>46301.47662037036</x:v>
      </x:c>
      <x:c r="L1344" s="2" t="str">
        <x:v>Sent</x:v>
      </x:c>
      <x:c r="M1344" s="2" t="n">
        <x:v>1</x:v>
      </x:c>
      <x:c r="N1344" s="2"/>
      <x:c r="O1344" s="2"/>
    </x:row>
    <x:row r="1345" ht="21" customHeight="1">
      <x:c r="A1345" s="2" t="str">
        <x:v>NT001344</x:v>
      </x:c>
      <x:c r="B1345" s="2" t="str">
        <x:v>EV001346</x:v>
      </x:c>
      <x:c r="C1345" s="2" t="str">
        <x:v>T20261006-2-3</x:v>
      </x:c>
      <x:c r="D1345" s="2" t="str">
        <x:v>ST106</x:v>
      </x:c>
      <x:c r="E1345" s="2" t="str">
        <x:v>G106</x:v>
      </x:c>
      <x:c r="F1345" s="2" t="str">
        <x:v>guardian106@example.invalid</x:v>
      </x:c>
      <x:c r="G1345" s="2" t="str">
        <x:v>Email</x:v>
      </x:c>
      <x:c r="H1345" s="2" t="str">
        <x:v>School receipt</x:v>
      </x:c>
      <x:c r="I1345" s="8" t="n">
        <x:v>46301.506423611114</x:v>
      </x:c>
      <x:c r="J1345" s="8" t="n">
        <x:v>46301.50644675926</x:v>
      </x:c>
      <x:c r="K1345" s="8" t="n">
        <x:v>46301.50648148148</x:v>
      </x:c>
      <x:c r="L1345" s="2" t="str">
        <x:v>Sent</x:v>
      </x:c>
      <x:c r="M1345" s="2" t="n">
        <x:v>1</x:v>
      </x:c>
      <x:c r="N1345" s="2"/>
      <x:c r="O1345" s="2"/>
    </x:row>
    <x:row r="1346" ht="21" customHeight="1">
      <x:c r="A1346" s="2" t="str">
        <x:v>NT001345</x:v>
      </x:c>
      <x:c r="B1346" s="2" t="str">
        <x:v>EV001347</x:v>
      </x:c>
      <x:c r="C1346" s="2" t="str">
        <x:v>T20261006-2-3</x:v>
      </x:c>
      <x:c r="D1346" s="2" t="str">
        <x:v>ST107</x:v>
      </x:c>
      <x:c r="E1346" s="2" t="str">
        <x:v>G107</x:v>
      </x:c>
      <x:c r="F1346" s="2" t="str">
        <x:v>guardian107@example.invalid</x:v>
      </x:c>
      <x:c r="G1346" s="2" t="str">
        <x:v>Email</x:v>
      </x:c>
      <x:c r="H1346" s="2" t="str">
        <x:v>Boarded</x:v>
      </x:c>
      <x:c r="I1346" s="8" t="n">
        <x:v>46301.48145833333</x:v>
      </x:c>
      <x:c r="J1346" s="8" t="n">
        <x:v>46301.481481481474</x:v>
      </x:c>
      <x:c r="K1346" s="8" t="n">
        <x:v>46301.4815162037</x:v>
      </x:c>
      <x:c r="L1346" s="2" t="str">
        <x:v>Sent</x:v>
      </x:c>
      <x:c r="M1346" s="2" t="n">
        <x:v>1</x:v>
      </x:c>
      <x:c r="N1346" s="2"/>
      <x:c r="O1346" s="2"/>
    </x:row>
    <x:row r="1347" ht="21" customHeight="1">
      <x:c r="A1347" s="2" t="str">
        <x:v>NT001346</x:v>
      </x:c>
      <x:c r="B1347" s="2" t="str">
        <x:v>EV001348</x:v>
      </x:c>
      <x:c r="C1347" s="2" t="str">
        <x:v>T20261006-2-3</x:v>
      </x:c>
      <x:c r="D1347" s="2" t="str">
        <x:v>ST107</x:v>
      </x:c>
      <x:c r="E1347" s="2" t="str">
        <x:v>G107</x:v>
      </x:c>
      <x:c r="F1347" s="2" t="str">
        <x:v>guardian107@example.invalid</x:v>
      </x:c>
      <x:c r="G1347" s="2" t="str">
        <x:v>Email</x:v>
      </x:c>
      <x:c r="H1347" s="2" t="str">
        <x:v>School receipt</x:v>
      </x:c>
      <x:c r="I1347" s="8" t="n">
        <x:v>46301.50645833334</x:v>
      </x:c>
      <x:c r="J1347" s="8" t="n">
        <x:v>46301.50648148148</x:v>
      </x:c>
      <x:c r="K1347" s="8" t="n">
        <x:v>46301.506516203706</x:v>
      </x:c>
      <x:c r="L1347" s="2" t="str">
        <x:v>Sent</x:v>
      </x:c>
      <x:c r="M1347" s="2" t="n">
        <x:v>1</x:v>
      </x:c>
      <x:c r="N1347" s="2"/>
      <x:c r="O1347" s="2"/>
    </x:row>
    <x:row r="1348" ht="21" customHeight="1">
      <x:c r="A1348" s="2" t="str">
        <x:v>NT001347</x:v>
      </x:c>
      <x:c r="B1348" s="2" t="str">
        <x:v>EV001349</x:v>
      </x:c>
      <x:c r="C1348" s="2" t="str">
        <x:v>T20261006-2-3</x:v>
      </x:c>
      <x:c r="D1348" s="2" t="str">
        <x:v>ST108</x:v>
      </x:c>
      <x:c r="E1348" s="2" t="str">
        <x:v>G108</x:v>
      </x:c>
      <x:c r="F1348" s="2" t="str">
        <x:v>guardian108@example.invalid</x:v>
      </x:c>
      <x:c r="G1348" s="2" t="str">
        <x:v>Email</x:v>
      </x:c>
      <x:c r="H1348" s="2" t="str">
        <x:v>Boarded</x:v>
      </x:c>
      <x:c r="I1348" s="8" t="n">
        <x:v>46301.471770833334</x:v>
      </x:c>
      <x:c r="J1348" s="8" t="n">
        <x:v>46301.47179398148</x:v>
      </x:c>
      <x:c r="K1348" s="8" t="n">
        <x:v>46301.4718287037</x:v>
      </x:c>
      <x:c r="L1348" s="2" t="str">
        <x:v>Sent</x:v>
      </x:c>
      <x:c r="M1348" s="2" t="n">
        <x:v>1</x:v>
      </x:c>
      <x:c r="N1348" s="2"/>
      <x:c r="O1348" s="2"/>
    </x:row>
    <x:row r="1349" ht="21" customHeight="1">
      <x:c r="A1349" s="2" t="str">
        <x:v>NT001348</x:v>
      </x:c>
      <x:c r="B1349" s="2" t="str">
        <x:v>EV001350</x:v>
      </x:c>
      <x:c r="C1349" s="2" t="str">
        <x:v>T20261006-2-3</x:v>
      </x:c>
      <x:c r="D1349" s="2" t="str">
        <x:v>ST108</x:v>
      </x:c>
      <x:c r="E1349" s="2" t="str">
        <x:v>G108</x:v>
      </x:c>
      <x:c r="F1349" s="2" t="str">
        <x:v>guardian108@example.invalid</x:v>
      </x:c>
      <x:c r="G1349" s="2" t="str">
        <x:v>Email</x:v>
      </x:c>
      <x:c r="H1349" s="2" t="str">
        <x:v>School receipt</x:v>
      </x:c>
      <x:c r="I1349" s="8" t="n">
        <x:v>46301.50649305556</x:v>
      </x:c>
      <x:c r="J1349" s="8" t="n">
        <x:v>46301.506516203706</x:v>
      </x:c>
      <x:c r="K1349" s="8" t="n">
        <x:v>46301.50655092593</x:v>
      </x:c>
      <x:c r="L1349" s="2" t="str">
        <x:v>Sent</x:v>
      </x:c>
      <x:c r="M1349" s="2" t="n">
        <x:v>1</x:v>
      </x:c>
      <x:c r="N1349" s="2"/>
      <x:c r="O1349" s="2"/>
    </x:row>
    <x:row r="1350" ht="21" customHeight="1">
      <x:c r="A1350" s="2" t="str">
        <x:v>NT001349</x:v>
      </x:c>
      <x:c r="B1350" s="2" t="str">
        <x:v>EV001351</x:v>
      </x:c>
      <x:c r="C1350" s="2" t="str">
        <x:v>T20261006-2-3</x:v>
      </x:c>
      <x:c r="D1350" s="2" t="str">
        <x:v>ST109</x:v>
      </x:c>
      <x:c r="E1350" s="2" t="str">
        <x:v>G109</x:v>
      </x:c>
      <x:c r="F1350" s="2" t="str">
        <x:v>guardian109@example.invalid</x:v>
      </x:c>
      <x:c r="G1350" s="2" t="str">
        <x:v>Email</x:v>
      </x:c>
      <x:c r="H1350" s="2" t="str">
        <x:v>Boarded</x:v>
      </x:c>
      <x:c r="I1350" s="8" t="n">
        <x:v>46301.47666666666</x:v>
      </x:c>
      <x:c r="J1350" s="8" t="n">
        <x:v>46301.47668981481</x:v>
      </x:c>
      <x:c r="K1350" s="8" t="n">
        <x:v>46301.47672453703</x:v>
      </x:c>
      <x:c r="L1350" s="2" t="str">
        <x:v>Sent</x:v>
      </x:c>
      <x:c r="M1350" s="2" t="n">
        <x:v>1</x:v>
      </x:c>
      <x:c r="N1350" s="2"/>
      <x:c r="O1350" s="2"/>
    </x:row>
    <x:row r="1351" ht="21" customHeight="1">
      <x:c r="A1351" s="2" t="str">
        <x:v>NT001350</x:v>
      </x:c>
      <x:c r="B1351" s="2" t="str">
        <x:v>EV001352</x:v>
      </x:c>
      <x:c r="C1351" s="2" t="str">
        <x:v>T20261006-2-3</x:v>
      </x:c>
      <x:c r="D1351" s="2" t="str">
        <x:v>ST109</x:v>
      </x:c>
      <x:c r="E1351" s="2" t="str">
        <x:v>G109</x:v>
      </x:c>
      <x:c r="F1351" s="2" t="str">
        <x:v>guardian109@example.invalid</x:v>
      </x:c>
      <x:c r="G1351" s="2" t="str">
        <x:v>Email</x:v>
      </x:c>
      <x:c r="H1351" s="2" t="str">
        <x:v>School receipt</x:v>
      </x:c>
      <x:c r="I1351" s="8" t="n">
        <x:v>46301.50652777778</x:v>
      </x:c>
      <x:c r="J1351" s="8" t="n">
        <x:v>46301.50655092593</x:v>
      </x:c>
      <x:c r="K1351" s="8" t="n">
        <x:v>46301.50658564815</x:v>
      </x:c>
      <x:c r="L1351" s="2" t="str">
        <x:v>Sent</x:v>
      </x:c>
      <x:c r="M1351" s="2" t="n">
        <x:v>1</x:v>
      </x:c>
      <x:c r="N1351" s="2"/>
      <x:c r="O1351" s="2"/>
    </x:row>
    <x:row r="1352" ht="21" customHeight="1">
      <x:c r="A1352" s="2" t="str">
        <x:v>NT001351</x:v>
      </x:c>
      <x:c r="B1352" s="2" t="str">
        <x:v>EV001353</x:v>
      </x:c>
      <x:c r="C1352" s="2" t="str">
        <x:v>T20261006-2-3</x:v>
      </x:c>
      <x:c r="D1352" s="2" t="str">
        <x:v>ST110</x:v>
      </x:c>
      <x:c r="E1352" s="2" t="str">
        <x:v>G110</x:v>
      </x:c>
      <x:c r="F1352" s="2" t="str">
        <x:v>guardian110@example.invalid</x:v>
      </x:c>
      <x:c r="G1352" s="2" t="str">
        <x:v>Email</x:v>
      </x:c>
      <x:c r="H1352" s="2" t="str">
        <x:v>Boarded</x:v>
      </x:c>
      <x:c r="I1352" s="8" t="n">
        <x:v>46301.4815625</x:v>
      </x:c>
      <x:c r="J1352" s="8" t="n">
        <x:v>46301.481585648144</x:v>
      </x:c>
      <x:c r="K1352" s="8" t="n">
        <x:v>46301.48162037037</x:v>
      </x:c>
      <x:c r="L1352" s="2" t="str">
        <x:v>Sent</x:v>
      </x:c>
      <x:c r="M1352" s="2" t="n">
        <x:v>1</x:v>
      </x:c>
      <x:c r="N1352" s="2"/>
      <x:c r="O1352" s="2"/>
    </x:row>
    <x:row r="1353" ht="21" customHeight="1">
      <x:c r="A1353" s="2" t="str">
        <x:v>NT001352</x:v>
      </x:c>
      <x:c r="B1353" s="2" t="str">
        <x:v>EV001354</x:v>
      </x:c>
      <x:c r="C1353" s="2" t="str">
        <x:v>T20261006-2-3</x:v>
      </x:c>
      <x:c r="D1353" s="2" t="str">
        <x:v>ST110</x:v>
      </x:c>
      <x:c r="E1353" s="2" t="str">
        <x:v>G110</x:v>
      </x:c>
      <x:c r="F1353" s="2" t="str">
        <x:v>guardian110@example.invalid</x:v>
      </x:c>
      <x:c r="G1353" s="2" t="str">
        <x:v>Email</x:v>
      </x:c>
      <x:c r="H1353" s="2" t="str">
        <x:v>School receipt</x:v>
      </x:c>
      <x:c r="I1353" s="8" t="n">
        <x:v>46301.506562500006</x:v>
      </x:c>
      <x:c r="J1353" s="8" t="n">
        <x:v>46301.50658564815</x:v>
      </x:c>
      <x:c r="K1353" s="8" t="n">
        <x:v>46301.506620370375</x:v>
      </x:c>
      <x:c r="L1353" s="2" t="str">
        <x:v>Sent</x:v>
      </x:c>
      <x:c r="M1353" s="2" t="n">
        <x:v>1</x:v>
      </x:c>
      <x:c r="N1353" s="2"/>
      <x:c r="O1353" s="2"/>
    </x:row>
    <x:row r="1354" ht="21" customHeight="1">
      <x:c r="A1354" s="2" t="str">
        <x:v>NT001353</x:v>
      </x:c>
      <x:c r="B1354" s="2" t="str">
        <x:v>EV001355</x:v>
      </x:c>
      <x:c r="C1354" s="2" t="str">
        <x:v>T20261006-2-3</x:v>
      </x:c>
      <x:c r="D1354" s="2" t="str">
        <x:v>ST111</x:v>
      </x:c>
      <x:c r="E1354" s="2" t="str">
        <x:v>G111</x:v>
      </x:c>
      <x:c r="F1354" s="2" t="str">
        <x:v>guardian111@example.invalid</x:v>
      </x:c>
      <x:c r="G1354" s="2" t="str">
        <x:v>Email</x:v>
      </x:c>
      <x:c r="H1354" s="2" t="str">
        <x:v>Boarded</x:v>
      </x:c>
      <x:c r="I1354" s="8" t="n">
        <x:v>46301.47152777778</x:v>
      </x:c>
      <x:c r="J1354" s="8" t="n">
        <x:v>46301.471550925926</x:v>
      </x:c>
      <x:c r="K1354" s="8" t="n">
        <x:v>46301.47158564815</x:v>
      </x:c>
      <x:c r="L1354" s="2" t="str">
        <x:v>Sent</x:v>
      </x:c>
      <x:c r="M1354" s="2" t="n">
        <x:v>1</x:v>
      </x:c>
      <x:c r="N1354" s="2"/>
      <x:c r="O1354" s="2"/>
    </x:row>
    <x:row r="1355" ht="21" customHeight="1">
      <x:c r="A1355" s="2" t="str">
        <x:v>NT001354</x:v>
      </x:c>
      <x:c r="B1355" s="2" t="str">
        <x:v>EV001356</x:v>
      </x:c>
      <x:c r="C1355" s="2" t="str">
        <x:v>T20261006-2-3</x:v>
      </x:c>
      <x:c r="D1355" s="2" t="str">
        <x:v>ST111</x:v>
      </x:c>
      <x:c r="E1355" s="2" t="str">
        <x:v>G111</x:v>
      </x:c>
      <x:c r="F1355" s="2" t="str">
        <x:v>guardian111@example.invalid</x:v>
      </x:c>
      <x:c r="G1355" s="2" t="str">
        <x:v>Email</x:v>
      </x:c>
      <x:c r="H1355" s="2" t="str">
        <x:v>School receipt</x:v>
      </x:c>
      <x:c r="I1355" s="8" t="n">
        <x:v>46301.50659722223</x:v>
      </x:c>
      <x:c r="J1355" s="8" t="n">
        <x:v>46301.506620370375</x:v>
      </x:c>
      <x:c r="K1355" s="8" t="n">
        <x:v>46301.5066550926</x:v>
      </x:c>
      <x:c r="L1355" s="2" t="str">
        <x:v>Sent</x:v>
      </x:c>
      <x:c r="M1355" s="2" t="n">
        <x:v>1</x:v>
      </x:c>
      <x:c r="N1355" s="2"/>
      <x:c r="O1355" s="2"/>
    </x:row>
    <x:row r="1356" ht="21" customHeight="1">
      <x:c r="A1356" s="2" t="str">
        <x:v>NT001355</x:v>
      </x:c>
      <x:c r="B1356" s="2" t="str">
        <x:v>EV001357</x:v>
      </x:c>
      <x:c r="C1356" s="2" t="str">
        <x:v>T20261006-2-3</x:v>
      </x:c>
      <x:c r="D1356" s="2" t="str">
        <x:v>ST112</x:v>
      </x:c>
      <x:c r="E1356" s="2" t="str">
        <x:v>G112</x:v>
      </x:c>
      <x:c r="F1356" s="2" t="str">
        <x:v>guardian112@example.invalid</x:v>
      </x:c>
      <x:c r="G1356" s="2" t="str">
        <x:v>Email</x:v>
      </x:c>
      <x:c r="H1356" s="2" t="str">
        <x:v>Boarded</x:v>
      </x:c>
      <x:c r="I1356" s="8" t="n">
        <x:v>46301.47642361111</x:v>
      </x:c>
      <x:c r="J1356" s="8" t="n">
        <x:v>46301.476446759254</x:v>
      </x:c>
      <x:c r="K1356" s="8" t="n">
        <x:v>46301.47648148148</x:v>
      </x:c>
      <x:c r="L1356" s="2" t="str">
        <x:v>Sent</x:v>
      </x:c>
      <x:c r="M1356" s="2" t="n">
        <x:v>1</x:v>
      </x:c>
      <x:c r="N1356" s="2"/>
      <x:c r="O1356" s="2"/>
    </x:row>
    <x:row r="1357" ht="21" customHeight="1">
      <x:c r="A1357" s="2" t="str">
        <x:v>NT001356</x:v>
      </x:c>
      <x:c r="B1357" s="2" t="str">
        <x:v>EV001358</x:v>
      </x:c>
      <x:c r="C1357" s="2" t="str">
        <x:v>T20261006-2-3</x:v>
      </x:c>
      <x:c r="D1357" s="2" t="str">
        <x:v>ST112</x:v>
      </x:c>
      <x:c r="E1357" s="2" t="str">
        <x:v>G112</x:v>
      </x:c>
      <x:c r="F1357" s="2" t="str">
        <x:v>guardian112@example.invalid</x:v>
      </x:c>
      <x:c r="G1357" s="2" t="str">
        <x:v>Email</x:v>
      </x:c>
      <x:c r="H1357" s="2" t="str">
        <x:v>School receipt</x:v>
      </x:c>
      <x:c r="I1357" s="8" t="n">
        <x:v>46301.506631944445</x:v>
      </x:c>
      <x:c r="J1357" s="8" t="n">
        <x:v>46301.50665509259</x:v>
      </x:c>
      <x:c r="K1357" s="8" t="n">
        <x:v>46301.506689814814</x:v>
      </x:c>
      <x:c r="L1357" s="2" t="str">
        <x:v>Sent</x:v>
      </x:c>
      <x:c r="M1357" s="2" t="n">
        <x:v>1</x:v>
      </x:c>
      <x:c r="N1357" s="2"/>
      <x:c r="O1357" s="2"/>
    </x:row>
    <x:row r="1358" ht="21" customHeight="1">
      <x:c r="A1358" s="2" t="str">
        <x:v>NT001357</x:v>
      </x:c>
      <x:c r="B1358" s="2" t="str">
        <x:v>EV001359</x:v>
      </x:c>
      <x:c r="C1358" s="2" t="str">
        <x:v>T20261006-2-3</x:v>
      </x:c>
      <x:c r="D1358" s="2" t="str">
        <x:v>ST113</x:v>
      </x:c>
      <x:c r="E1358" s="2" t="str">
        <x:v>G113</x:v>
      </x:c>
      <x:c r="F1358" s="2" t="str">
        <x:v>guardian113@example.invalid</x:v>
      </x:c>
      <x:c r="G1358" s="2" t="str">
        <x:v>Email</x:v>
      </x:c>
      <x:c r="H1358" s="2" t="str">
        <x:v>Boarded</x:v>
      </x:c>
      <x:c r="I1358" s="8" t="n">
        <x:v>46301.48131944444</x:v>
      </x:c>
      <x:c r="J1358" s="8" t="n">
        <x:v>46301.48134259259</x:v>
      </x:c>
      <x:c r="K1358" s="8" t="n">
        <x:v>46301.48137731481</x:v>
      </x:c>
      <x:c r="L1358" s="2" t="str">
        <x:v>Sent</x:v>
      </x:c>
      <x:c r="M1358" s="2" t="n">
        <x:v>1</x:v>
      </x:c>
      <x:c r="N1358" s="2"/>
      <x:c r="O1358" s="2"/>
    </x:row>
    <x:row r="1359" ht="21" customHeight="1">
      <x:c r="A1359" s="2" t="str">
        <x:v>NT001358</x:v>
      </x:c>
      <x:c r="B1359" s="2" t="str">
        <x:v>EV001360</x:v>
      </x:c>
      <x:c r="C1359" s="2" t="str">
        <x:v>T20261006-2-3</x:v>
      </x:c>
      <x:c r="D1359" s="2" t="str">
        <x:v>ST113</x:v>
      </x:c>
      <x:c r="E1359" s="2" t="str">
        <x:v>G113</x:v>
      </x:c>
      <x:c r="F1359" s="2" t="str">
        <x:v>guardian113@example.invalid</x:v>
      </x:c>
      <x:c r="G1359" s="2" t="str">
        <x:v>Email</x:v>
      </x:c>
      <x:c r="H1359" s="2" t="str">
        <x:v>School receipt</x:v>
      </x:c>
      <x:c r="I1359" s="8" t="n">
        <x:v>46301.50666666667</x:v>
      </x:c>
      <x:c r="J1359" s="8" t="n">
        <x:v>46301.506689814814</x:v>
      </x:c>
      <x:c r="K1359" s="8" t="n">
        <x:v>46301.50672453704</x:v>
      </x:c>
      <x:c r="L1359" s="2" t="str">
        <x:v>Sent</x:v>
      </x:c>
      <x:c r="M1359" s="2" t="n">
        <x:v>1</x:v>
      </x:c>
      <x:c r="N1359" s="2"/>
      <x:c r="O1359" s="2"/>
    </x:row>
    <x:row r="1360" ht="21" customHeight="1">
      <x:c r="A1360" s="2" t="str">
        <x:v>NT001359</x:v>
      </x:c>
      <x:c r="B1360" s="2" t="str">
        <x:v>EV001361</x:v>
      </x:c>
      <x:c r="C1360" s="2" t="str">
        <x:v>T20261006-2-3</x:v>
      </x:c>
      <x:c r="D1360" s="2" t="str">
        <x:v>ST114</x:v>
      </x:c>
      <x:c r="E1360" s="2" t="str">
        <x:v>G114</x:v>
      </x:c>
      <x:c r="F1360" s="2" t="str">
        <x:v>guardian114@example.invalid</x:v>
      </x:c>
      <x:c r="G1360" s="2" t="str">
        <x:v>Email</x:v>
      </x:c>
      <x:c r="H1360" s="2" t="str">
        <x:v>Boarded</x:v>
      </x:c>
      <x:c r="I1360" s="8" t="n">
        <x:v>46301.47163194445</x:v>
      </x:c>
      <x:c r="J1360" s="8" t="n">
        <x:v>46301.471655092595</x:v>
      </x:c>
      <x:c r="K1360" s="8" t="n">
        <x:v>46301.47168981482</x:v>
      </x:c>
      <x:c r="L1360" s="2" t="str">
        <x:v>Sent</x:v>
      </x:c>
      <x:c r="M1360" s="2" t="n">
        <x:v>1</x:v>
      </x:c>
      <x:c r="N1360" s="2"/>
      <x:c r="O1360" s="2"/>
    </x:row>
    <x:row r="1361" ht="21" customHeight="1">
      <x:c r="A1361" s="2" t="str">
        <x:v>NT001360</x:v>
      </x:c>
      <x:c r="B1361" s="2" t="str">
        <x:v>EV001362</x:v>
      </x:c>
      <x:c r="C1361" s="2" t="str">
        <x:v>T20261006-2-3</x:v>
      </x:c>
      <x:c r="D1361" s="2" t="str">
        <x:v>ST114</x:v>
      </x:c>
      <x:c r="E1361" s="2" t="str">
        <x:v>G114</x:v>
      </x:c>
      <x:c r="F1361" s="2" t="str">
        <x:v>guardian114@example.invalid</x:v>
      </x:c>
      <x:c r="G1361" s="2" t="str">
        <x:v>Email</x:v>
      </x:c>
      <x:c r="H1361" s="2" t="str">
        <x:v>School receipt</x:v>
      </x:c>
      <x:c r="I1361" s="8" t="n">
        <x:v>46301.50670138889</x:v>
      </x:c>
      <x:c r="J1361" s="8" t="n">
        <x:v>46301.50672453704</x:v>
      </x:c>
      <x:c r="K1361" s="8" t="n">
        <x:v>46301.50675925926</x:v>
      </x:c>
      <x:c r="L1361" s="2" t="str">
        <x:v>Sent</x:v>
      </x:c>
      <x:c r="M1361" s="2" t="n">
        <x:v>1</x:v>
      </x:c>
      <x:c r="N1361" s="2"/>
      <x:c r="O1361" s="2"/>
    </x:row>
    <x:row r="1362" ht="21" customHeight="1">
      <x:c r="A1362" s="2" t="str">
        <x:v>NT001361</x:v>
      </x:c>
      <x:c r="B1362" s="2" t="str">
        <x:v>EV001363</x:v>
      </x:c>
      <x:c r="C1362" s="2" t="str">
        <x:v>T20261006-2-3</x:v>
      </x:c>
      <x:c r="D1362" s="2" t="str">
        <x:v>ST115</x:v>
      </x:c>
      <x:c r="E1362" s="2" t="str">
        <x:v>G115</x:v>
      </x:c>
      <x:c r="F1362" s="2" t="str">
        <x:v>guardian115@example.invalid</x:v>
      </x:c>
      <x:c r="G1362" s="2" t="str">
        <x:v>Email</x:v>
      </x:c>
      <x:c r="H1362" s="2" t="str">
        <x:v>Boarded</x:v>
      </x:c>
      <x:c r="I1362" s="8" t="n">
        <x:v>46301.47652777778</x:v>
      </x:c>
      <x:c r="J1362" s="8" t="n">
        <x:v>46301.47655092592</x:v>
      </x:c>
      <x:c r="K1362" s="8" t="n">
        <x:v>46301.476585648146</x:v>
      </x:c>
      <x:c r="L1362" s="2" t="str">
        <x:v>Sent</x:v>
      </x:c>
      <x:c r="M1362" s="2" t="n">
        <x:v>1</x:v>
      </x:c>
      <x:c r="N1362" s="2"/>
      <x:c r="O1362" s="2"/>
    </x:row>
    <x:row r="1363" ht="21" customHeight="1">
      <x:c r="A1363" s="2" t="str">
        <x:v>NT001362</x:v>
      </x:c>
      <x:c r="B1363" s="2" t="str">
        <x:v>EV001364</x:v>
      </x:c>
      <x:c r="C1363" s="2" t="str">
        <x:v>T20261006-2-3</x:v>
      </x:c>
      <x:c r="D1363" s="2" t="str">
        <x:v>ST115</x:v>
      </x:c>
      <x:c r="E1363" s="2" t="str">
        <x:v>G115</x:v>
      </x:c>
      <x:c r="F1363" s="2" t="str">
        <x:v>guardian115@example.invalid</x:v>
      </x:c>
      <x:c r="G1363" s="2" t="str">
        <x:v>Email</x:v>
      </x:c>
      <x:c r="H1363" s="2" t="str">
        <x:v>School receipt</x:v>
      </x:c>
      <x:c r="I1363" s="8" t="n">
        <x:v>46301.506736111114</x:v>
      </x:c>
      <x:c r="J1363" s="8" t="n">
        <x:v>46301.50675925926</x:v>
      </x:c>
      <x:c r="K1363" s="8" t="n">
        <x:v>46301.50679398148</x:v>
      </x:c>
      <x:c r="L1363" s="2" t="str">
        <x:v>Sent</x:v>
      </x:c>
      <x:c r="M1363" s="2" t="n">
        <x:v>1</x:v>
      </x:c>
      <x:c r="N1363" s="2"/>
      <x:c r="O1363" s="2"/>
    </x:row>
    <x:row r="1364" ht="21" customHeight="1">
      <x:c r="A1364" s="2" t="str">
        <x:v>NT001363</x:v>
      </x:c>
      <x:c r="B1364" s="2" t="str">
        <x:v>EV001365</x:v>
      </x:c>
      <x:c r="C1364" s="2" t="str">
        <x:v>T20261006-2-3</x:v>
      </x:c>
      <x:c r="D1364" s="2" t="str">
        <x:v>ST116</x:v>
      </x:c>
      <x:c r="E1364" s="2" t="str">
        <x:v>G116</x:v>
      </x:c>
      <x:c r="F1364" s="2" t="str">
        <x:v>guardian116@example.invalid</x:v>
      </x:c>
      <x:c r="G1364" s="2" t="str">
        <x:v>Email</x:v>
      </x:c>
      <x:c r="H1364" s="2" t="str">
        <x:v>Boarded</x:v>
      </x:c>
      <x:c r="I1364" s="8" t="n">
        <x:v>46301.481423611105</x:v>
      </x:c>
      <x:c r="J1364" s="8" t="n">
        <x:v>46301.48144675925</x:v>
      </x:c>
      <x:c r="K1364" s="8" t="n">
        <x:v>46301.481481481474</x:v>
      </x:c>
      <x:c r="L1364" s="2" t="str">
        <x:v>Sent</x:v>
      </x:c>
      <x:c r="M1364" s="2" t="n">
        <x:v>1</x:v>
      </x:c>
      <x:c r="N1364" s="2"/>
      <x:c r="O1364" s="2"/>
    </x:row>
    <x:row r="1365" ht="21" customHeight="1">
      <x:c r="A1365" s="2" t="str">
        <x:v>NT001364</x:v>
      </x:c>
      <x:c r="B1365" s="2" t="str">
        <x:v>EV001366</x:v>
      </x:c>
      <x:c r="C1365" s="2" t="str">
        <x:v>T20261006-2-3</x:v>
      </x:c>
      <x:c r="D1365" s="2" t="str">
        <x:v>ST116</x:v>
      </x:c>
      <x:c r="E1365" s="2" t="str">
        <x:v>G116</x:v>
      </x:c>
      <x:c r="F1365" s="2" t="str">
        <x:v>guardian116@example.invalid</x:v>
      </x:c>
      <x:c r="G1365" s="2" t="str">
        <x:v>Email</x:v>
      </x:c>
      <x:c r="H1365" s="2" t="str">
        <x:v>School receipt</x:v>
      </x:c>
      <x:c r="I1365" s="8" t="n">
        <x:v>46301.50677083334</x:v>
      </x:c>
      <x:c r="J1365" s="8" t="n">
        <x:v>46301.50679398148</x:v>
      </x:c>
      <x:c r="K1365" s="8" t="n">
        <x:v>46301.50682870371</x:v>
      </x:c>
      <x:c r="L1365" s="2" t="str">
        <x:v>Sent</x:v>
      </x:c>
      <x:c r="M1365" s="2" t="n">
        <x:v>1</x:v>
      </x:c>
      <x:c r="N1365" s="2"/>
      <x:c r="O1365" s="2"/>
    </x:row>
    <x:row r="1366" ht="21" customHeight="1">
      <x:c r="A1366" s="2" t="str">
        <x:v>NT001365</x:v>
      </x:c>
      <x:c r="B1366" s="2" t="str">
        <x:v>EV001367</x:v>
      </x:c>
      <x:c r="C1366" s="2" t="str">
        <x:v>T20261006-2-3</x:v>
      </x:c>
      <x:c r="D1366" s="2" t="str">
        <x:v>ST117</x:v>
      </x:c>
      <x:c r="E1366" s="2" t="str">
        <x:v>G117</x:v>
      </x:c>
      <x:c r="F1366" s="2" t="str">
        <x:v>guardian117@example.invalid</x:v>
      </x:c>
      <x:c r="G1366" s="2" t="str">
        <x:v>Email</x:v>
      </x:c>
      <x:c r="H1366" s="2" t="str">
        <x:v>Boarded</x:v>
      </x:c>
      <x:c r="I1366" s="8" t="n">
        <x:v>46301.47173611111</x:v>
      </x:c>
      <x:c r="J1366" s="8" t="n">
        <x:v>46301.47175925926</x:v>
      </x:c>
      <x:c r="K1366" s="8" t="n">
        <x:v>46301.47179398148</x:v>
      </x:c>
      <x:c r="L1366" s="2" t="str">
        <x:v>Sent</x:v>
      </x:c>
      <x:c r="M1366" s="2" t="n">
        <x:v>1</x:v>
      </x:c>
      <x:c r="N1366" s="2"/>
      <x:c r="O1366" s="2"/>
    </x:row>
    <x:row r="1367" ht="21" customHeight="1">
      <x:c r="A1367" s="2" t="str">
        <x:v>NT001366</x:v>
      </x:c>
      <x:c r="B1367" s="2" t="str">
        <x:v>EV001368</x:v>
      </x:c>
      <x:c r="C1367" s="2" t="str">
        <x:v>T20261006-2-3</x:v>
      </x:c>
      <x:c r="D1367" s="2" t="str">
        <x:v>ST117</x:v>
      </x:c>
      <x:c r="E1367" s="2" t="str">
        <x:v>G117</x:v>
      </x:c>
      <x:c r="F1367" s="2" t="str">
        <x:v>guardian117@example.invalid</x:v>
      </x:c>
      <x:c r="G1367" s="2" t="str">
        <x:v>Email</x:v>
      </x:c>
      <x:c r="H1367" s="2" t="str">
        <x:v>School receipt</x:v>
      </x:c>
      <x:c r="I1367" s="8" t="n">
        <x:v>46301.50680555556</x:v>
      </x:c>
      <x:c r="J1367" s="8" t="n">
        <x:v>46301.50682870371</x:v>
      </x:c>
      <x:c r="K1367" s="8" t="n">
        <x:v>46301.50686342593</x:v>
      </x:c>
      <x:c r="L1367" s="2" t="str">
        <x:v>Sent</x:v>
      </x:c>
      <x:c r="M1367" s="2" t="n">
        <x:v>1</x:v>
      </x:c>
      <x:c r="N1367" s="2"/>
      <x:c r="O1367" s="2"/>
    </x:row>
    <x:row r="1368" ht="21" customHeight="1">
      <x:c r="A1368" s="2" t="str">
        <x:v>NT001367</x:v>
      </x:c>
      <x:c r="B1368" s="2" t="str">
        <x:v>EV001369</x:v>
      </x:c>
      <x:c r="C1368" s="2" t="str">
        <x:v>T20261006-2-3</x:v>
      </x:c>
      <x:c r="D1368" s="2" t="str">
        <x:v>ST118</x:v>
      </x:c>
      <x:c r="E1368" s="2" t="str">
        <x:v>G118</x:v>
      </x:c>
      <x:c r="F1368" s="2" t="str">
        <x:v>guardian118@example.invalid</x:v>
      </x:c>
      <x:c r="G1368" s="2" t="str">
        <x:v>Email</x:v>
      </x:c>
      <x:c r="H1368" s="2" t="str">
        <x:v>Boarded</x:v>
      </x:c>
      <x:c r="I1368" s="8" t="n">
        <x:v>46301.47663194444</x:v>
      </x:c>
      <x:c r="J1368" s="8" t="n">
        <x:v>46301.476655092585</x:v>
      </x:c>
      <x:c r="K1368" s="8" t="n">
        <x:v>46301.47668981481</x:v>
      </x:c>
      <x:c r="L1368" s="2" t="str">
        <x:v>Sent</x:v>
      </x:c>
      <x:c r="M1368" s="2" t="n">
        <x:v>1</x:v>
      </x:c>
      <x:c r="N1368" s="2"/>
      <x:c r="O1368" s="2"/>
    </x:row>
    <x:row r="1369" ht="21" customHeight="1">
      <x:c r="A1369" s="2" t="str">
        <x:v>NT001368</x:v>
      </x:c>
      <x:c r="B1369" s="2" t="str">
        <x:v>EV001370</x:v>
      </x:c>
      <x:c r="C1369" s="2" t="str">
        <x:v>T20261006-2-3</x:v>
      </x:c>
      <x:c r="D1369" s="2" t="str">
        <x:v>ST118</x:v>
      </x:c>
      <x:c r="E1369" s="2" t="str">
        <x:v>G118</x:v>
      </x:c>
      <x:c r="F1369" s="2" t="str">
        <x:v>guardian118@example.invalid</x:v>
      </x:c>
      <x:c r="G1369" s="2" t="str">
        <x:v>Email</x:v>
      </x:c>
      <x:c r="H1369" s="2" t="str">
        <x:v>School receipt</x:v>
      </x:c>
      <x:c r="I1369" s="8" t="n">
        <x:v>46301.50684027778</x:v>
      </x:c>
      <x:c r="J1369" s="8" t="n">
        <x:v>46301.50686342593</x:v>
      </x:c>
      <x:c r="K1369" s="8" t="n">
        <x:v>46301.50689814815</x:v>
      </x:c>
      <x:c r="L1369" s="2" t="str">
        <x:v>Sent</x:v>
      </x:c>
      <x:c r="M1369" s="2" t="n">
        <x:v>1</x:v>
      </x:c>
      <x:c r="N1369" s="2"/>
      <x:c r="O1369" s="2"/>
    </x:row>
    <x:row r="1370" ht="21" customHeight="1">
      <x:c r="A1370" s="2" t="str">
        <x:v>NT001369</x:v>
      </x:c>
      <x:c r="B1370" s="2" t="str">
        <x:v>EV001371</x:v>
      </x:c>
      <x:c r="C1370" s="2" t="str">
        <x:v>T20261006-2-3</x:v>
      </x:c>
      <x:c r="D1370" s="2" t="str">
        <x:v>ST119</x:v>
      </x:c>
      <x:c r="E1370" s="2" t="str">
        <x:v>G119</x:v>
      </x:c>
      <x:c r="F1370" s="2" t="str">
        <x:v>guardian119@example.invalid</x:v>
      </x:c>
      <x:c r="G1370" s="2" t="str">
        <x:v>Email</x:v>
      </x:c>
      <x:c r="H1370" s="2" t="str">
        <x:v>Boarded</x:v>
      </x:c>
      <x:c r="I1370" s="8" t="n">
        <x:v>46301.481527777774</x:v>
      </x:c>
      <x:c r="J1370" s="8" t="n">
        <x:v>46301.48155092592</x:v>
      </x:c>
      <x:c r="K1370" s="8" t="n">
        <x:v>46301.481585648144</x:v>
      </x:c>
      <x:c r="L1370" s="2" t="str">
        <x:v>Sent</x:v>
      </x:c>
      <x:c r="M1370" s="2" t="n">
        <x:v>1</x:v>
      </x:c>
      <x:c r="N1370" s="2"/>
      <x:c r="O1370" s="2"/>
    </x:row>
    <x:row r="1371" ht="21" customHeight="1">
      <x:c r="A1371" s="2" t="str">
        <x:v>NT001370</x:v>
      </x:c>
      <x:c r="B1371" s="2" t="str">
        <x:v>EV001372</x:v>
      </x:c>
      <x:c r="C1371" s="2" t="str">
        <x:v>T20261006-2-3</x:v>
      </x:c>
      <x:c r="D1371" s="2" t="str">
        <x:v>ST119</x:v>
      </x:c>
      <x:c r="E1371" s="2" t="str">
        <x:v>G119</x:v>
      </x:c>
      <x:c r="F1371" s="2" t="str">
        <x:v>guardian119@example.invalid</x:v>
      </x:c>
      <x:c r="G1371" s="2" t="str">
        <x:v>Email</x:v>
      </x:c>
      <x:c r="H1371" s="2" t="str">
        <x:v>School receipt</x:v>
      </x:c>
      <x:c r="I1371" s="8" t="n">
        <x:v>46301.50687500001</x:v>
      </x:c>
      <x:c r="J1371" s="8" t="n">
        <x:v>46301.50689814815</x:v>
      </x:c>
      <x:c r="K1371" s="8" t="n">
        <x:v>46301.506932870376</x:v>
      </x:c>
      <x:c r="L1371" s="2" t="str">
        <x:v>Sent</x:v>
      </x:c>
      <x:c r="M1371" s="2" t="n">
        <x:v>1</x:v>
      </x:c>
      <x:c r="N1371" s="2"/>
      <x:c r="O1371" s="2"/>
    </x:row>
    <x:row r="1372" ht="21" customHeight="1">
      <x:c r="A1372" s="2" t="str">
        <x:v>NT001371</x:v>
      </x:c>
      <x:c r="B1372" s="2" t="str">
        <x:v>EV001373</x:v>
      </x:c>
      <x:c r="C1372" s="2" t="str">
        <x:v>T20261006-2-3</x:v>
      </x:c>
      <x:c r="D1372" s="2" t="str">
        <x:v>ST120</x:v>
      </x:c>
      <x:c r="E1372" s="2" t="str">
        <x:v>G120</x:v>
      </x:c>
      <x:c r="F1372" s="2" t="str">
        <x:v>guardian120@example.invalid</x:v>
      </x:c>
      <x:c r="G1372" s="2" t="str">
        <x:v>Email</x:v>
      </x:c>
      <x:c r="H1372" s="2" t="str">
        <x:v>Boarded</x:v>
      </x:c>
      <x:c r="I1372" s="8" t="n">
        <x:v>46301.47184027778</x:v>
      </x:c>
      <x:c r="J1372" s="8" t="n">
        <x:v>46301.471863425926</x:v>
      </x:c>
      <x:c r="K1372" s="8" t="n">
        <x:v>46301.47189814815</x:v>
      </x:c>
      <x:c r="L1372" s="2" t="str">
        <x:v>Sent</x:v>
      </x:c>
      <x:c r="M1372" s="2" t="n">
        <x:v>1</x:v>
      </x:c>
      <x:c r="N1372" s="2"/>
      <x:c r="O1372" s="2"/>
    </x:row>
    <x:row r="1373" ht="21" customHeight="1">
      <x:c r="A1373" s="2" t="str">
        <x:v>NT001372</x:v>
      </x:c>
      <x:c r="B1373" s="2" t="str">
        <x:v>EV001374</x:v>
      </x:c>
      <x:c r="C1373" s="2" t="str">
        <x:v>T20261006-2-3</x:v>
      </x:c>
      <x:c r="D1373" s="2" t="str">
        <x:v>ST120</x:v>
      </x:c>
      <x:c r="E1373" s="2" t="str">
        <x:v>G120</x:v>
      </x:c>
      <x:c r="F1373" s="2" t="str">
        <x:v>guardian120@example.invalid</x:v>
      </x:c>
      <x:c r="G1373" s="2" t="str">
        <x:v>Email</x:v>
      </x:c>
      <x:c r="H1373" s="2" t="str">
        <x:v>School receipt</x:v>
      </x:c>
      <x:c r="I1373" s="8" t="n">
        <x:v>46301.50690972222</x:v>
      </x:c>
      <x:c r="J1373" s="8" t="n">
        <x:v>46301.50693287037</x:v>
      </x:c>
      <x:c r="K1373" s="8" t="n">
        <x:v>46301.50696759259</x:v>
      </x:c>
      <x:c r="L1373" s="2" t="str">
        <x:v>Sent</x:v>
      </x:c>
      <x:c r="M1373" s="2" t="n">
        <x:v>1</x:v>
      </x:c>
      <x:c r="N1373" s="2"/>
      <x:c r="O1373" s="2"/>
    </x:row>
    <x:row r="1374" ht="21" customHeight="1">
      <x:c r="A1374" s="2" t="str">
        <x:v>NT001373</x:v>
      </x:c>
      <x:c r="B1374" s="2" t="str">
        <x:v>EV001375</x:v>
      </x:c>
      <x:c r="C1374" s="2" t="str">
        <x:v>T20261006-3-3</x:v>
      </x:c>
      <x:c r="D1374" s="2" t="str">
        <x:v>ST091</x:v>
      </x:c>
      <x:c r="E1374" s="2" t="str">
        <x:v>G091</x:v>
      </x:c>
      <x:c r="F1374" s="2" t="str">
        <x:v>guardian091@example.invalid</x:v>
      </x:c>
      <x:c r="G1374" s="2" t="str">
        <x:v>Email</x:v>
      </x:c>
      <x:c r="H1374" s="2" t="str">
        <x:v>Boarded</x:v>
      </x:c>
      <x:c r="I1374" s="8" t="n">
        <x:v>46301.57291666667</x:v>
      </x:c>
      <x:c r="J1374" s="8" t="n">
        <x:v>46301.57293981482</x:v>
      </x:c>
      <x:c r="K1374" s="8" t="n">
        <x:v>46301.57297453704</x:v>
      </x:c>
      <x:c r="L1374" s="2" t="str">
        <x:v>Sent</x:v>
      </x:c>
      <x:c r="M1374" s="2" t="n">
        <x:v>1</x:v>
      </x:c>
      <x:c r="N1374" s="2"/>
      <x:c r="O1374" s="2"/>
    </x:row>
    <x:row r="1375" ht="21" customHeight="1">
      <x:c r="A1375" s="2" t="str">
        <x:v>NT001374</x:v>
      </x:c>
      <x:c r="B1375" s="2" t="str">
        <x:v>EV001376</x:v>
      </x:c>
      <x:c r="C1375" s="2" t="str">
        <x:v>T20261006-3-3</x:v>
      </x:c>
      <x:c r="D1375" s="2" t="str">
        <x:v>ST091</x:v>
      </x:c>
      <x:c r="E1375" s="2" t="str">
        <x:v>G091</x:v>
      </x:c>
      <x:c r="F1375" s="2" t="str">
        <x:v>guardian091@example.invalid</x:v>
      </x:c>
      <x:c r="G1375" s="2" t="str">
        <x:v>Email</x:v>
      </x:c>
      <x:c r="H1375" s="2" t="str">
        <x:v>Authorized release</x:v>
      </x:c>
      <x:c r="I1375" s="8" t="n">
        <x:v>46301.59027777778</x:v>
      </x:c>
      <x:c r="J1375" s="8" t="n">
        <x:v>46301.59030092593</x:v>
      </x:c>
      <x:c r="K1375" s="8" t="n">
        <x:v>46301.59033564815</x:v>
      </x:c>
      <x:c r="L1375" s="2" t="str">
        <x:v>Sent</x:v>
      </x:c>
      <x:c r="M1375" s="2" t="n">
        <x:v>1</x:v>
      </x:c>
      <x:c r="N1375" s="2"/>
      <x:c r="O1375" s="2"/>
    </x:row>
    <x:row r="1376" ht="21" customHeight="1">
      <x:c r="A1376" s="2" t="str">
        <x:v>NT001375</x:v>
      </x:c>
      <x:c r="B1376" s="2" t="str">
        <x:v>EV001377</x:v>
      </x:c>
      <x:c r="C1376" s="2" t="str">
        <x:v>T20261006-3-3</x:v>
      </x:c>
      <x:c r="D1376" s="2" t="str">
        <x:v>ST092</x:v>
      </x:c>
      <x:c r="E1376" s="2" t="str">
        <x:v>G092</x:v>
      </x:c>
      <x:c r="F1376" s="2" t="str">
        <x:v>guardian092@example.invalid</x:v>
      </x:c>
      <x:c r="G1376" s="2" t="str">
        <x:v>Email</x:v>
      </x:c>
      <x:c r="H1376" s="2" t="str">
        <x:v>Boarded</x:v>
      </x:c>
      <x:c r="I1376" s="8" t="n">
        <x:v>46301.572951388895</x:v>
      </x:c>
      <x:c r="J1376" s="8" t="n">
        <x:v>46301.57297453704</x:v>
      </x:c>
      <x:c r="K1376" s="8" t="n">
        <x:v>46301.573009259264</x:v>
      </x:c>
      <x:c r="L1376" s="2" t="str">
        <x:v>Sent</x:v>
      </x:c>
      <x:c r="M1376" s="2" t="n">
        <x:v>1</x:v>
      </x:c>
      <x:c r="N1376" s="2"/>
      <x:c r="O1376" s="2"/>
    </x:row>
    <x:row r="1377" ht="21" customHeight="1">
      <x:c r="A1377" s="2" t="str">
        <x:v>NT001376</x:v>
      </x:c>
      <x:c r="B1377" s="2" t="str">
        <x:v>EV001378</x:v>
      </x:c>
      <x:c r="C1377" s="2" t="str">
        <x:v>T20261006-3-3</x:v>
      </x:c>
      <x:c r="D1377" s="2" t="str">
        <x:v>ST092</x:v>
      </x:c>
      <x:c r="E1377" s="2" t="str">
        <x:v>G092</x:v>
      </x:c>
      <x:c r="F1377" s="2" t="str">
        <x:v>guardian092@example.invalid</x:v>
      </x:c>
      <x:c r="G1377" s="2" t="str">
        <x:v>Email</x:v>
      </x:c>
      <x:c r="H1377" s="2" t="str">
        <x:v>Authorized release</x:v>
      </x:c>
      <x:c r="I1377" s="8" t="n">
        <x:v>46301.59447916667</x:v>
      </x:c>
      <x:c r="J1377" s="8" t="n">
        <x:v>46301.594502314816</x:v>
      </x:c>
      <x:c r="K1377" s="8" t="n">
        <x:v>46301.59453703704</x:v>
      </x:c>
      <x:c r="L1377" s="2" t="str">
        <x:v>Sent</x:v>
      </x:c>
      <x:c r="M1377" s="2" t="n">
        <x:v>1</x:v>
      </x:c>
      <x:c r="N1377" s="2"/>
      <x:c r="O1377" s="2"/>
    </x:row>
    <x:row r="1378" ht="21" customHeight="1">
      <x:c r="A1378" s="2" t="str">
        <x:v>NT001377</x:v>
      </x:c>
      <x:c r="B1378" s="2" t="str">
        <x:v>EV001379</x:v>
      </x:c>
      <x:c r="C1378" s="2" t="str">
        <x:v>T20261006-3-3</x:v>
      </x:c>
      <x:c r="D1378" s="2" t="str">
        <x:v>ST093</x:v>
      </x:c>
      <x:c r="E1378" s="2" t="str">
        <x:v>G093</x:v>
      </x:c>
      <x:c r="F1378" s="2" t="str">
        <x:v>guardian093@example.invalid</x:v>
      </x:c>
      <x:c r="G1378" s="2" t="str">
        <x:v>Email</x:v>
      </x:c>
      <x:c r="H1378" s="2" t="str">
        <x:v>Boarded</x:v>
      </x:c>
      <x:c r="I1378" s="8" t="n">
        <x:v>46301.57298611112</x:v>
      </x:c>
      <x:c r="J1378" s="8" t="n">
        <x:v>46301.573009259264</x:v>
      </x:c>
      <x:c r="K1378" s="8" t="n">
        <x:v>46301.57304398149</x:v>
      </x:c>
      <x:c r="L1378" s="2" t="str">
        <x:v>Sent</x:v>
      </x:c>
      <x:c r="M1378" s="2" t="n">
        <x:v>1</x:v>
      </x:c>
      <x:c r="N1378" s="2"/>
      <x:c r="O1378" s="2"/>
    </x:row>
    <x:row r="1379" ht="21" customHeight="1">
      <x:c r="A1379" s="2" t="str">
        <x:v>NT001378</x:v>
      </x:c>
      <x:c r="B1379" s="2" t="str">
        <x:v>EV001380</x:v>
      </x:c>
      <x:c r="C1379" s="2" t="str">
        <x:v>T20261006-3-3</x:v>
      </x:c>
      <x:c r="D1379" s="2" t="str">
        <x:v>ST093</x:v>
      </x:c>
      <x:c r="E1379" s="2" t="str">
        <x:v>G093</x:v>
      </x:c>
      <x:c r="F1379" s="2" t="str">
        <x:v>guardian093@example.invalid</x:v>
      </x:c>
      <x:c r="G1379" s="2" t="str">
        <x:v>Email</x:v>
      </x:c>
      <x:c r="H1379" s="2" t="str">
        <x:v>Authorized release</x:v>
      </x:c>
      <x:c r="I1379" s="8" t="n">
        <x:v>46301.58618055556</x:v>
      </x:c>
      <x:c r="J1379" s="8" t="n">
        <x:v>46301.58620370371</x:v>
      </x:c>
      <x:c r="K1379" s="8" t="n">
        <x:v>46301.58623842593</x:v>
      </x:c>
      <x:c r="L1379" s="2" t="str">
        <x:v>Sent</x:v>
      </x:c>
      <x:c r="M1379" s="2" t="n">
        <x:v>1</x:v>
      </x:c>
      <x:c r="N1379" s="2"/>
      <x:c r="O1379" s="2"/>
    </x:row>
    <x:row r="1380" ht="21" customHeight="1">
      <x:c r="A1380" s="2" t="str">
        <x:v>NT001379</x:v>
      </x:c>
      <x:c r="B1380" s="2" t="str">
        <x:v>EV001381</x:v>
      </x:c>
      <x:c r="C1380" s="2" t="str">
        <x:v>T20261006-3-3</x:v>
      </x:c>
      <x:c r="D1380" s="2" t="str">
        <x:v>ST094</x:v>
      </x:c>
      <x:c r="E1380" s="2" t="str">
        <x:v>G094</x:v>
      </x:c>
      <x:c r="F1380" s="2" t="str">
        <x:v>guardian094@example.invalid</x:v>
      </x:c>
      <x:c r="G1380" s="2" t="str">
        <x:v>Email</x:v>
      </x:c>
      <x:c r="H1380" s="2" t="str">
        <x:v>Boarded</x:v>
      </x:c>
      <x:c r="I1380" s="8" t="n">
        <x:v>46301.57302083334</x:v>
      </x:c>
      <x:c r="J1380" s="8" t="n">
        <x:v>46301.57304398149</x:v>
      </x:c>
      <x:c r="K1380" s="8" t="n">
        <x:v>46301.57307870371</x:v>
      </x:c>
      <x:c r="L1380" s="2" t="str">
        <x:v>Sent</x:v>
      </x:c>
      <x:c r="M1380" s="2" t="n">
        <x:v>1</x:v>
      </x:c>
      <x:c r="N1380" s="2"/>
      <x:c r="O1380" s="2"/>
    </x:row>
    <x:row r="1381" ht="21" customHeight="1">
      <x:c r="A1381" s="2" t="str">
        <x:v>NT001380</x:v>
      </x:c>
      <x:c r="B1381" s="2" t="str">
        <x:v>EV001382</x:v>
      </x:c>
      <x:c r="C1381" s="2" t="str">
        <x:v>T20261006-3-3</x:v>
      </x:c>
      <x:c r="D1381" s="2" t="str">
        <x:v>ST094</x:v>
      </x:c>
      <x:c r="E1381" s="2" t="str">
        <x:v>G094</x:v>
      </x:c>
      <x:c r="F1381" s="2" t="str">
        <x:v>guardian094@example.invalid</x:v>
      </x:c>
      <x:c r="G1381" s="2" t="str">
        <x:v>Email</x:v>
      </x:c>
      <x:c r="H1381" s="2" t="str">
        <x:v>Authorized release</x:v>
      </x:c>
      <x:c r="I1381" s="8" t="n">
        <x:v>46301.59038194445</x:v>
      </x:c>
      <x:c r="J1381" s="8" t="n">
        <x:v>46301.5904050926</x:v>
      </x:c>
      <x:c r="K1381" s="8" t="n">
        <x:v>46301.59043981482</x:v>
      </x:c>
      <x:c r="L1381" s="2" t="str">
        <x:v>Sent</x:v>
      </x:c>
      <x:c r="M1381" s="2" t="n">
        <x:v>1</x:v>
      </x:c>
      <x:c r="N1381" s="2"/>
      <x:c r="O1381" s="2"/>
    </x:row>
    <x:row r="1382" ht="21" customHeight="1">
      <x:c r="A1382" s="2" t="str">
        <x:v>NT001381</x:v>
      </x:c>
      <x:c r="B1382" s="2" t="str">
        <x:v>EV001383</x:v>
      </x:c>
      <x:c r="C1382" s="2" t="str">
        <x:v>T20261006-3-3</x:v>
      </x:c>
      <x:c r="D1382" s="2" t="str">
        <x:v>ST095</x:v>
      </x:c>
      <x:c r="E1382" s="2" t="str">
        <x:v>G095</x:v>
      </x:c>
      <x:c r="F1382" s="2" t="str">
        <x:v>guardian095@example.invalid</x:v>
      </x:c>
      <x:c r="G1382" s="2" t="str">
        <x:v>Email</x:v>
      </x:c>
      <x:c r="H1382" s="2" t="str">
        <x:v>Boarded</x:v>
      </x:c>
      <x:c r="I1382" s="8" t="n">
        <x:v>46301.573055555564</x:v>
      </x:c>
      <x:c r="J1382" s="8" t="n">
        <x:v>46301.57307870371</x:v>
      </x:c>
      <x:c r="K1382" s="8" t="n">
        <x:v>46301.57311342593</x:v>
      </x:c>
      <x:c r="L1382" s="2" t="str">
        <x:v>Sent</x:v>
      </x:c>
      <x:c r="M1382" s="2" t="n">
        <x:v>1</x:v>
      </x:c>
      <x:c r="N1382" s="2"/>
      <x:c r="O1382" s="2"/>
    </x:row>
    <x:row r="1383" ht="21" customHeight="1">
      <x:c r="A1383" s="2" t="str">
        <x:v>NT001382</x:v>
      </x:c>
      <x:c r="B1383" s="2" t="str">
        <x:v>EV001384</x:v>
      </x:c>
      <x:c r="C1383" s="2" t="str">
        <x:v>T20261006-3-3</x:v>
      </x:c>
      <x:c r="D1383" s="2" t="str">
        <x:v>ST095</x:v>
      </x:c>
      <x:c r="E1383" s="2" t="str">
        <x:v>G095</x:v>
      </x:c>
      <x:c r="F1383" s="2" t="str">
        <x:v>guardian095@example.invalid</x:v>
      </x:c>
      <x:c r="G1383" s="2" t="str">
        <x:v>Email</x:v>
      </x:c>
      <x:c r="H1383" s="2" t="str">
        <x:v>Authorized release</x:v>
      </x:c>
      <x:c r="I1383" s="8" t="n">
        <x:v>46301.59458333334</x:v>
      </x:c>
      <x:c r="J1383" s="8" t="n">
        <x:v>46301.594606481485</x:v>
      </x:c>
      <x:c r="K1383" s="8" t="n">
        <x:v>46301.59464120371</x:v>
      </x:c>
      <x:c r="L1383" s="2" t="str">
        <x:v>Sent</x:v>
      </x:c>
      <x:c r="M1383" s="2" t="n">
        <x:v>1</x:v>
      </x:c>
      <x:c r="N1383" s="2"/>
      <x:c r="O1383" s="2"/>
    </x:row>
    <x:row r="1384" ht="21" customHeight="1">
      <x:c r="A1384" s="2" t="str">
        <x:v>NT001383</x:v>
      </x:c>
      <x:c r="B1384" s="2" t="str">
        <x:v>EV001385</x:v>
      </x:c>
      <x:c r="C1384" s="2" t="str">
        <x:v>T20261006-3-3</x:v>
      </x:c>
      <x:c r="D1384" s="2" t="str">
        <x:v>ST096</x:v>
      </x:c>
      <x:c r="E1384" s="2" t="str">
        <x:v>G096</x:v>
      </x:c>
      <x:c r="F1384" s="2" t="str">
        <x:v>guardian096@example.invalid</x:v>
      </x:c>
      <x:c r="G1384" s="2" t="str">
        <x:v>Email</x:v>
      </x:c>
      <x:c r="H1384" s="2" t="str">
        <x:v>Boarded</x:v>
      </x:c>
      <x:c r="I1384" s="8" t="n">
        <x:v>46301.57309027778</x:v>
      </x:c>
      <x:c r="J1384" s="8" t="n">
        <x:v>46301.573113425926</x:v>
      </x:c>
      <x:c r="K1384" s="8" t="n">
        <x:v>46301.57314814815</x:v>
      </x:c>
      <x:c r="L1384" s="2" t="str">
        <x:v>Sent</x:v>
      </x:c>
      <x:c r="M1384" s="2" t="n">
        <x:v>1</x:v>
      </x:c>
      <x:c r="N1384" s="2"/>
      <x:c r="O1384" s="2"/>
    </x:row>
    <x:row r="1385" ht="21" customHeight="1">
      <x:c r="A1385" s="2" t="str">
        <x:v>NT001384</x:v>
      </x:c>
      <x:c r="B1385" s="2" t="str">
        <x:v>EV001386</x:v>
      </x:c>
      <x:c r="C1385" s="2" t="str">
        <x:v>T20261006-3-3</x:v>
      </x:c>
      <x:c r="D1385" s="2" t="str">
        <x:v>ST096</x:v>
      </x:c>
      <x:c r="E1385" s="2" t="str">
        <x:v>G096</x:v>
      </x:c>
      <x:c r="F1385" s="2" t="str">
        <x:v>guardian096@example.invalid</x:v>
      </x:c>
      <x:c r="G1385" s="2" t="str">
        <x:v>Email</x:v>
      </x:c>
      <x:c r="H1385" s="2" t="str">
        <x:v>Authorized release</x:v>
      </x:c>
      <x:c r="I1385" s="8" t="n">
        <x:v>46301.58628472222</x:v>
      </x:c>
      <x:c r="J1385" s="8" t="n">
        <x:v>46301.58630787037</x:v>
      </x:c>
      <x:c r="K1385" s="8" t="n">
        <x:v>46301.58634259259</x:v>
      </x:c>
      <x:c r="L1385" s="2" t="str">
        <x:v>Sent</x:v>
      </x:c>
      <x:c r="M1385" s="2" t="n">
        <x:v>1</x:v>
      </x:c>
      <x:c r="N1385" s="2"/>
      <x:c r="O1385" s="2"/>
    </x:row>
    <x:row r="1386" ht="21" customHeight="1">
      <x:c r="A1386" s="2" t="str">
        <x:v>NT001385</x:v>
      </x:c>
      <x:c r="B1386" s="2" t="str">
        <x:v>EV001387</x:v>
      </x:c>
      <x:c r="C1386" s="2" t="str">
        <x:v>T20261006-3-3</x:v>
      </x:c>
      <x:c r="D1386" s="2" t="str">
        <x:v>ST097</x:v>
      </x:c>
      <x:c r="E1386" s="2" t="str">
        <x:v>G097</x:v>
      </x:c>
      <x:c r="F1386" s="2" t="str">
        <x:v>guardian097@example.invalid</x:v>
      </x:c>
      <x:c r="G1386" s="2" t="str">
        <x:v>Email</x:v>
      </x:c>
      <x:c r="H1386" s="2" t="str">
        <x:v>Boarded</x:v>
      </x:c>
      <x:c r="I1386" s="8" t="n">
        <x:v>46301.573125</x:v>
      </x:c>
      <x:c r="J1386" s="8" t="n">
        <x:v>46301.57314814815</x:v>
      </x:c>
      <x:c r="K1386" s="8" t="n">
        <x:v>46301.57318287037</x:v>
      </x:c>
      <x:c r="L1386" s="2" t="str">
        <x:v>Sent</x:v>
      </x:c>
      <x:c r="M1386" s="2" t="n">
        <x:v>1</x:v>
      </x:c>
      <x:c r="N1386" s="2"/>
      <x:c r="O1386" s="2"/>
    </x:row>
    <x:row r="1387" ht="21" customHeight="1">
      <x:c r="A1387" s="2" t="str">
        <x:v>NT001386</x:v>
      </x:c>
      <x:c r="B1387" s="2" t="str">
        <x:v>EV001388</x:v>
      </x:c>
      <x:c r="C1387" s="2" t="str">
        <x:v>T20261006-3-3</x:v>
      </x:c>
      <x:c r="D1387" s="2" t="str">
        <x:v>ST097</x:v>
      </x:c>
      <x:c r="E1387" s="2" t="str">
        <x:v>G097</x:v>
      </x:c>
      <x:c r="F1387" s="2" t="str">
        <x:v>guardian097@example.invalid</x:v>
      </x:c>
      <x:c r="G1387" s="2" t="str">
        <x:v>Email</x:v>
      </x:c>
      <x:c r="H1387" s="2" t="str">
        <x:v>Authorized release</x:v>
      </x:c>
      <x:c r="I1387" s="8" t="n">
        <x:v>46301.59048611111</x:v>
      </x:c>
      <x:c r="J1387" s="8" t="n">
        <x:v>46301.59050925926</x:v>
      </x:c>
      <x:c r="K1387" s="8" t="n">
        <x:v>46301.59054398148</x:v>
      </x:c>
      <x:c r="L1387" s="2" t="str">
        <x:v>Sent</x:v>
      </x:c>
      <x:c r="M1387" s="2" t="n">
        <x:v>1</x:v>
      </x:c>
      <x:c r="N1387" s="2"/>
      <x:c r="O1387" s="2"/>
    </x:row>
    <x:row r="1388" ht="21" customHeight="1">
      <x:c r="A1388" s="2" t="str">
        <x:v>NT001387</x:v>
      </x:c>
      <x:c r="B1388" s="2" t="str">
        <x:v>EV001389</x:v>
      </x:c>
      <x:c r="C1388" s="2" t="str">
        <x:v>T20261006-3-3</x:v>
      </x:c>
      <x:c r="D1388" s="2" t="str">
        <x:v>ST098</x:v>
      </x:c>
      <x:c r="E1388" s="2" t="str">
        <x:v>G098</x:v>
      </x:c>
      <x:c r="F1388" s="2" t="str">
        <x:v>guardian098@example.invalid</x:v>
      </x:c>
      <x:c r="G1388" s="2" t="str">
        <x:v>Email</x:v>
      </x:c>
      <x:c r="H1388" s="2" t="str">
        <x:v>Boarded</x:v>
      </x:c>
      <x:c r="I1388" s="8" t="n">
        <x:v>46301.573159722226</x:v>
      </x:c>
      <x:c r="J1388" s="8" t="n">
        <x:v>46301.57318287037</x:v>
      </x:c>
      <x:c r="K1388" s="8" t="n">
        <x:v>46301.573217592595</x:v>
      </x:c>
      <x:c r="L1388" s="2" t="str">
        <x:v>Sent</x:v>
      </x:c>
      <x:c r="M1388" s="2" t="n">
        <x:v>1</x:v>
      </x:c>
      <x:c r="N1388" s="2"/>
      <x:c r="O1388" s="2"/>
    </x:row>
    <x:row r="1389" ht="21" customHeight="1">
      <x:c r="A1389" s="2" t="str">
        <x:v>NT001388</x:v>
      </x:c>
      <x:c r="B1389" s="2" t="str">
        <x:v>EV001390</x:v>
      </x:c>
      <x:c r="C1389" s="2" t="str">
        <x:v>T20261006-3-3</x:v>
      </x:c>
      <x:c r="D1389" s="2" t="str">
        <x:v>ST098</x:v>
      </x:c>
      <x:c r="E1389" s="2" t="str">
        <x:v>G098</x:v>
      </x:c>
      <x:c r="F1389" s="2" t="str">
        <x:v>guardian098@example.invalid</x:v>
      </x:c>
      <x:c r="G1389" s="2" t="str">
        <x:v>Email</x:v>
      </x:c>
      <x:c r="H1389" s="2" t="str">
        <x:v>Authorized release</x:v>
      </x:c>
      <x:c r="I1389" s="8" t="n">
        <x:v>46301.5946875</x:v>
      </x:c>
      <x:c r="J1389" s="8" t="n">
        <x:v>46301.59471064815</x:v>
      </x:c>
      <x:c r="K1389" s="8" t="n">
        <x:v>46301.59474537037</x:v>
      </x:c>
      <x:c r="L1389" s="2" t="str">
        <x:v>Sent</x:v>
      </x:c>
      <x:c r="M1389" s="2" t="n">
        <x:v>1</x:v>
      </x:c>
      <x:c r="N1389" s="2"/>
      <x:c r="O1389" s="2"/>
    </x:row>
    <x:row r="1390" ht="21" customHeight="1">
      <x:c r="A1390" s="2" t="str">
        <x:v>NT001389</x:v>
      </x:c>
      <x:c r="B1390" s="2" t="str">
        <x:v>EV001391</x:v>
      </x:c>
      <x:c r="C1390" s="2" t="str">
        <x:v>T20261006-3-3</x:v>
      </x:c>
      <x:c r="D1390" s="2" t="str">
        <x:v>ST099</x:v>
      </x:c>
      <x:c r="E1390" s="2" t="str">
        <x:v>G099</x:v>
      </x:c>
      <x:c r="F1390" s="2" t="str">
        <x:v>guardian099@example.invalid</x:v>
      </x:c>
      <x:c r="G1390" s="2" t="str">
        <x:v>Email</x:v>
      </x:c>
      <x:c r="H1390" s="2" t="str">
        <x:v>Boarded</x:v>
      </x:c>
      <x:c r="I1390" s="8" t="n">
        <x:v>46301.57319444445</x:v>
      </x:c>
      <x:c r="J1390" s="8" t="n">
        <x:v>46301.573217592595</x:v>
      </x:c>
      <x:c r="K1390" s="8" t="n">
        <x:v>46301.57325231482</x:v>
      </x:c>
      <x:c r="L1390" s="2" t="str">
        <x:v>Sent</x:v>
      </x:c>
      <x:c r="M1390" s="2" t="n">
        <x:v>1</x:v>
      </x:c>
      <x:c r="N1390" s="2"/>
      <x:c r="O1390" s="2"/>
    </x:row>
    <x:row r="1391" ht="21" customHeight="1">
      <x:c r="A1391" s="2" t="str">
        <x:v>NT001390</x:v>
      </x:c>
      <x:c r="B1391" s="2" t="str">
        <x:v>EV001392</x:v>
      </x:c>
      <x:c r="C1391" s="2" t="str">
        <x:v>T20261006-3-3</x:v>
      </x:c>
      <x:c r="D1391" s="2" t="str">
        <x:v>ST099</x:v>
      </x:c>
      <x:c r="E1391" s="2" t="str">
        <x:v>G099</x:v>
      </x:c>
      <x:c r="F1391" s="2" t="str">
        <x:v>guardian099@example.invalid</x:v>
      </x:c>
      <x:c r="G1391" s="2" t="str">
        <x:v>Email</x:v>
      </x:c>
      <x:c r="H1391" s="2" t="str">
        <x:v>Authorized release</x:v>
      </x:c>
      <x:c r="I1391" s="8" t="n">
        <x:v>46301.58638888889</x:v>
      </x:c>
      <x:c r="J1391" s="8" t="n">
        <x:v>46301.58641203704</x:v>
      </x:c>
      <x:c r="K1391" s="8" t="n">
        <x:v>46301.58644675926</x:v>
      </x:c>
      <x:c r="L1391" s="2" t="str">
        <x:v>Sent</x:v>
      </x:c>
      <x:c r="M1391" s="2" t="n">
        <x:v>1</x:v>
      </x:c>
      <x:c r="N1391" s="2"/>
      <x:c r="O1391" s="2"/>
    </x:row>
    <x:row r="1392" ht="21" customHeight="1">
      <x:c r="A1392" s="2" t="str">
        <x:v>NT001391</x:v>
      </x:c>
      <x:c r="B1392" s="2" t="str">
        <x:v>EV001393</x:v>
      </x:c>
      <x:c r="C1392" s="2" t="str">
        <x:v>T20261006-3-3</x:v>
      </x:c>
      <x:c r="D1392" s="2" t="str">
        <x:v>ST100</x:v>
      </x:c>
      <x:c r="E1392" s="2" t="str">
        <x:v>G100</x:v>
      </x:c>
      <x:c r="F1392" s="2" t="str">
        <x:v>guardian100@example.invalid</x:v>
      </x:c>
      <x:c r="G1392" s="2" t="str">
        <x:v>Email</x:v>
      </x:c>
      <x:c r="H1392" s="2" t="str">
        <x:v>Boarded</x:v>
      </x:c>
      <x:c r="I1392" s="8" t="n">
        <x:v>46301.57322916667</x:v>
      </x:c>
      <x:c r="J1392" s="8" t="n">
        <x:v>46301.57325231482</x:v>
      </x:c>
      <x:c r="K1392" s="8" t="n">
        <x:v>46301.57328703704</x:v>
      </x:c>
      <x:c r="L1392" s="2" t="str">
        <x:v>Sent</x:v>
      </x:c>
      <x:c r="M1392" s="2" t="n">
        <x:v>1</x:v>
      </x:c>
      <x:c r="N1392" s="2"/>
      <x:c r="O1392" s="2"/>
    </x:row>
    <x:row r="1393" ht="21" customHeight="1">
      <x:c r="A1393" s="2" t="str">
        <x:v>NT001392</x:v>
      </x:c>
      <x:c r="B1393" s="2" t="str">
        <x:v>EV001394</x:v>
      </x:c>
      <x:c r="C1393" s="2" t="str">
        <x:v>T20261006-3-3</x:v>
      </x:c>
      <x:c r="D1393" s="2" t="str">
        <x:v>ST100</x:v>
      </x:c>
      <x:c r="E1393" s="2" t="str">
        <x:v>G100</x:v>
      </x:c>
      <x:c r="F1393" s="2" t="str">
        <x:v>guardian100@example.invalid</x:v>
      </x:c>
      <x:c r="G1393" s="2" t="str">
        <x:v>Email</x:v>
      </x:c>
      <x:c r="H1393" s="2" t="str">
        <x:v>Authorized release</x:v>
      </x:c>
      <x:c r="I1393" s="8" t="n">
        <x:v>46301.59059027778</x:v>
      </x:c>
      <x:c r="J1393" s="8" t="n">
        <x:v>46301.59061342593</x:v>
      </x:c>
      <x:c r="K1393" s="8" t="n">
        <x:v>46301.59064814815</x:v>
      </x:c>
      <x:c r="L1393" s="2" t="str">
        <x:v>Sent</x:v>
      </x:c>
      <x:c r="M1393" s="2" t="n">
        <x:v>1</x:v>
      </x:c>
      <x:c r="N1393" s="2"/>
      <x:c r="O1393" s="2"/>
    </x:row>
    <x:row r="1394" ht="21" customHeight="1">
      <x:c r="A1394" s="2" t="str">
        <x:v>NT001393</x:v>
      </x:c>
      <x:c r="B1394" s="2" t="str">
        <x:v>EV001395</x:v>
      </x:c>
      <x:c r="C1394" s="2" t="str">
        <x:v>T20261006-4-3</x:v>
      </x:c>
      <x:c r="D1394" s="2" t="str">
        <x:v>ST101</x:v>
      </x:c>
      <x:c r="E1394" s="2" t="str">
        <x:v>G101</x:v>
      </x:c>
      <x:c r="F1394" s="2" t="str">
        <x:v>guardian101@example.invalid</x:v>
      </x:c>
      <x:c r="G1394" s="2" t="str">
        <x:v>Email</x:v>
      </x:c>
      <x:c r="H1394" s="2" t="str">
        <x:v>Boarded</x:v>
      </x:c>
      <x:c r="I1394" s="8" t="n">
        <x:v>46301.60416666667</x:v>
      </x:c>
      <x:c r="J1394" s="8" t="n">
        <x:v>46301.60418981482</x:v>
      </x:c>
      <x:c r="K1394" s="8" t="n">
        <x:v>46301.60422453704</x:v>
      </x:c>
      <x:c r="L1394" s="2" t="str">
        <x:v>Sent</x:v>
      </x:c>
      <x:c r="M1394" s="2" t="n">
        <x:v>1</x:v>
      </x:c>
      <x:c r="N1394" s="2"/>
      <x:c r="O1394" s="2"/>
    </x:row>
    <x:row r="1395" ht="21" customHeight="1">
      <x:c r="A1395" s="2" t="str">
        <x:v>NT001394</x:v>
      </x:c>
      <x:c r="B1395" s="2" t="str">
        <x:v>EV001396</x:v>
      </x:c>
      <x:c r="C1395" s="2" t="str">
        <x:v>T20261006-4-3</x:v>
      </x:c>
      <x:c r="D1395" s="2" t="str">
        <x:v>ST101</x:v>
      </x:c>
      <x:c r="E1395" s="2" t="str">
        <x:v>G101</x:v>
      </x:c>
      <x:c r="F1395" s="2" t="str">
        <x:v>guardian101@example.invalid</x:v>
      </x:c>
      <x:c r="G1395" s="2" t="str">
        <x:v>Email</x:v>
      </x:c>
      <x:c r="H1395" s="2" t="str">
        <x:v>Authorized release</x:v>
      </x:c>
      <x:c r="I1395" s="8" t="n">
        <x:v>46301.62708333333</x:v>
      </x:c>
      <x:c r="J1395" s="8" t="n">
        <x:v>46301.62710648148</x:v>
      </x:c>
      <x:c r="K1395" s="8" t="n">
        <x:v>46301.6271412037</x:v>
      </x:c>
      <x:c r="L1395" s="2" t="str">
        <x:v>Sent</x:v>
      </x:c>
      <x:c r="M1395" s="2" t="n">
        <x:v>1</x:v>
      </x:c>
      <x:c r="N1395" s="2"/>
      <x:c r="O1395" s="2"/>
    </x:row>
    <x:row r="1396" ht="21" customHeight="1">
      <x:c r="A1396" s="2" t="str">
        <x:v>NT001395</x:v>
      </x:c>
      <x:c r="B1396" s="2" t="str">
        <x:v>EV001397</x:v>
      </x:c>
      <x:c r="C1396" s="2" t="str">
        <x:v>T20261006-4-3</x:v>
      </x:c>
      <x:c r="D1396" s="2" t="str">
        <x:v>ST102</x:v>
      </x:c>
      <x:c r="E1396" s="2" t="str">
        <x:v>G102</x:v>
      </x:c>
      <x:c r="F1396" s="2" t="str">
        <x:v>guardian102@example.invalid</x:v>
      </x:c>
      <x:c r="G1396" s="2" t="str">
        <x:v>Email</x:v>
      </x:c>
      <x:c r="H1396" s="2" t="str">
        <x:v>Boarded</x:v>
      </x:c>
      <x:c r="I1396" s="8" t="n">
        <x:v>46301.604201388895</x:v>
      </x:c>
      <x:c r="J1396" s="8" t="n">
        <x:v>46301.60422453704</x:v>
      </x:c>
      <x:c r="K1396" s="8" t="n">
        <x:v>46301.604259259264</x:v>
      </x:c>
      <x:c r="L1396" s="2" t="str">
        <x:v>Sent</x:v>
      </x:c>
      <x:c r="M1396" s="2" t="n">
        <x:v>1</x:v>
      </x:c>
      <x:c r="N1396" s="2"/>
      <x:c r="O1396" s="2"/>
    </x:row>
    <x:row r="1397" ht="21" customHeight="1">
      <x:c r="A1397" s="2" t="str">
        <x:v>NT001396</x:v>
      </x:c>
      <x:c r="B1397" s="2" t="str">
        <x:v>EV001398</x:v>
      </x:c>
      <x:c r="C1397" s="2" t="str">
        <x:v>T20261006-4-3</x:v>
      </x:c>
      <x:c r="D1397" s="2" t="str">
        <x:v>ST102</x:v>
      </x:c>
      <x:c r="E1397" s="2" t="str">
        <x:v>G102</x:v>
      </x:c>
      <x:c r="F1397" s="2" t="str">
        <x:v>guardian102@example.invalid</x:v>
      </x:c>
      <x:c r="G1397" s="2" t="str">
        <x:v>Email</x:v>
      </x:c>
      <x:c r="H1397" s="2" t="str">
        <x:v>Authorized release</x:v>
      </x:c>
      <x:c r="I1397" s="8" t="n">
        <x:v>46301.618784722225</x:v>
      </x:c>
      <x:c r="J1397" s="8" t="n">
        <x:v>46301.61880787037</x:v>
      </x:c>
      <x:c r="K1397" s="8" t="n">
        <x:v>46301.618842592594</x:v>
      </x:c>
      <x:c r="L1397" s="2" t="str">
        <x:v>Sent</x:v>
      </x:c>
      <x:c r="M1397" s="2" t="n">
        <x:v>1</x:v>
      </x:c>
      <x:c r="N1397" s="2"/>
      <x:c r="O1397" s="2"/>
    </x:row>
    <x:row r="1398" ht="21" customHeight="1">
      <x:c r="A1398" s="2" t="str">
        <x:v>NT001397</x:v>
      </x:c>
      <x:c r="B1398" s="2" t="str">
        <x:v>EV001399</x:v>
      </x:c>
      <x:c r="C1398" s="2" t="str">
        <x:v>T20261006-4-3</x:v>
      </x:c>
      <x:c r="D1398" s="2" t="str">
        <x:v>ST103</x:v>
      </x:c>
      <x:c r="E1398" s="2" t="str">
        <x:v>G103</x:v>
      </x:c>
      <x:c r="F1398" s="2" t="str">
        <x:v>guardian103@example.invalid</x:v>
      </x:c>
      <x:c r="G1398" s="2" t="str">
        <x:v>Email</x:v>
      </x:c>
      <x:c r="H1398" s="2" t="str">
        <x:v>Boarded</x:v>
      </x:c>
      <x:c r="I1398" s="8" t="n">
        <x:v>46301.60423611112</x:v>
      </x:c>
      <x:c r="J1398" s="8" t="n">
        <x:v>46301.604259259264</x:v>
      </x:c>
      <x:c r="K1398" s="8" t="n">
        <x:v>46301.60429398149</x:v>
      </x:c>
      <x:c r="L1398" s="2" t="str">
        <x:v>Sent</x:v>
      </x:c>
      <x:c r="M1398" s="2" t="n">
        <x:v>1</x:v>
      </x:c>
      <x:c r="N1398" s="2"/>
      <x:c r="O1398" s="2"/>
    </x:row>
    <x:row r="1399" ht="21" customHeight="1">
      <x:c r="A1399" s="2" t="str">
        <x:v>NT001398</x:v>
      </x:c>
      <x:c r="B1399" s="2" t="str">
        <x:v>EV001400</x:v>
      </x:c>
      <x:c r="C1399" s="2" t="str">
        <x:v>T20261006-4-3</x:v>
      </x:c>
      <x:c r="D1399" s="2" t="str">
        <x:v>ST103</x:v>
      </x:c>
      <x:c r="E1399" s="2" t="str">
        <x:v>G103</x:v>
      </x:c>
      <x:c r="F1399" s="2" t="str">
        <x:v>guardian103@example.invalid</x:v>
      </x:c>
      <x:c r="G1399" s="2" t="str">
        <x:v>Email</x:v>
      </x:c>
      <x:c r="H1399" s="2" t="str">
        <x:v>Authorized release</x:v>
      </x:c>
      <x:c r="I1399" s="8" t="n">
        <x:v>46301.62298611111</x:v>
      </x:c>
      <x:c r="J1399" s="8" t="n">
        <x:v>46301.62300925926</x:v>
      </x:c>
      <x:c r="K1399" s="8" t="n">
        <x:v>46301.62304398148</x:v>
      </x:c>
      <x:c r="L1399" s="2" t="str">
        <x:v>Sent</x:v>
      </x:c>
      <x:c r="M1399" s="2" t="n">
        <x:v>1</x:v>
      </x:c>
      <x:c r="N1399" s="2"/>
      <x:c r="O1399" s="2"/>
    </x:row>
    <x:row r="1400" ht="21" customHeight="1">
      <x:c r="A1400" s="2" t="str">
        <x:v>NT001399</x:v>
      </x:c>
      <x:c r="B1400" s="2" t="str">
        <x:v>EV001401</x:v>
      </x:c>
      <x:c r="C1400" s="2" t="str">
        <x:v>T20261006-4-3</x:v>
      </x:c>
      <x:c r="D1400" s="2" t="str">
        <x:v>ST104</x:v>
      </x:c>
      <x:c r="E1400" s="2" t="str">
        <x:v>G104</x:v>
      </x:c>
      <x:c r="F1400" s="2" t="str">
        <x:v>guardian104@example.invalid</x:v>
      </x:c>
      <x:c r="G1400" s="2" t="str">
        <x:v>Email</x:v>
      </x:c>
      <x:c r="H1400" s="2" t="str">
        <x:v>Boarded</x:v>
      </x:c>
      <x:c r="I1400" s="8" t="n">
        <x:v>46301.60427083334</x:v>
      </x:c>
      <x:c r="J1400" s="8" t="n">
        <x:v>46301.60429398149</x:v>
      </x:c>
      <x:c r="K1400" s="8" t="n">
        <x:v>46301.60432870371</x:v>
      </x:c>
      <x:c r="L1400" s="2" t="str">
        <x:v>Sent</x:v>
      </x:c>
      <x:c r="M1400" s="2" t="n">
        <x:v>1</x:v>
      </x:c>
      <x:c r="N1400" s="2"/>
      <x:c r="O1400" s="2"/>
    </x:row>
    <x:row r="1401" ht="21" customHeight="1">
      <x:c r="A1401" s="2" t="str">
        <x:v>NT001400</x:v>
      </x:c>
      <x:c r="B1401" s="2" t="str">
        <x:v>EV001402</x:v>
      </x:c>
      <x:c r="C1401" s="2" t="str">
        <x:v>T20261006-4-3</x:v>
      </x:c>
      <x:c r="D1401" s="2" t="str">
        <x:v>ST104</x:v>
      </x:c>
      <x:c r="E1401" s="2" t="str">
        <x:v>G104</x:v>
      </x:c>
      <x:c r="F1401" s="2" t="str">
        <x:v>guardian104@example.invalid</x:v>
      </x:c>
      <x:c r="G1401" s="2" t="str">
        <x:v>Email</x:v>
      </x:c>
      <x:c r="H1401" s="2" t="str">
        <x:v>Authorized release</x:v>
      </x:c>
      <x:c r="I1401" s="8" t="n">
        <x:v>46301.6271875</x:v>
      </x:c>
      <x:c r="J1401" s="8" t="n">
        <x:v>46301.62721064815</x:v>
      </x:c>
      <x:c r="K1401" s="8" t="n">
        <x:v>46301.62724537037</x:v>
      </x:c>
      <x:c r="L1401" s="2" t="str">
        <x:v>Sent</x:v>
      </x:c>
      <x:c r="M1401" s="2" t="n">
        <x:v>1</x:v>
      </x:c>
      <x:c r="N1401" s="2"/>
      <x:c r="O1401" s="2"/>
    </x:row>
    <x:row r="1402" ht="21" customHeight="1">
      <x:c r="A1402" s="2" t="str">
        <x:v>NT001401</x:v>
      </x:c>
      <x:c r="B1402" s="2" t="str">
        <x:v>EV001403</x:v>
      </x:c>
      <x:c r="C1402" s="2" t="str">
        <x:v>T20261006-4-3</x:v>
      </x:c>
      <x:c r="D1402" s="2" t="str">
        <x:v>ST105</x:v>
      </x:c>
      <x:c r="E1402" s="2" t="str">
        <x:v>G105</x:v>
      </x:c>
      <x:c r="F1402" s="2" t="str">
        <x:v>guardian105@example.invalid</x:v>
      </x:c>
      <x:c r="G1402" s="2" t="str">
        <x:v>Email</x:v>
      </x:c>
      <x:c r="H1402" s="2" t="str">
        <x:v>Boarded</x:v>
      </x:c>
      <x:c r="I1402" s="8" t="n">
        <x:v>46301.604305555564</x:v>
      </x:c>
      <x:c r="J1402" s="8" t="n">
        <x:v>46301.60432870371</x:v>
      </x:c>
      <x:c r="K1402" s="8" t="n">
        <x:v>46301.60436342593</x:v>
      </x:c>
      <x:c r="L1402" s="2" t="str">
        <x:v>Sent</x:v>
      </x:c>
      <x:c r="M1402" s="2" t="n">
        <x:v>1</x:v>
      </x:c>
      <x:c r="N1402" s="2"/>
      <x:c r="O1402" s="2"/>
    </x:row>
    <x:row r="1403" ht="21" customHeight="1">
      <x:c r="A1403" s="2" t="str">
        <x:v>NT001402</x:v>
      </x:c>
      <x:c r="B1403" s="2" t="str">
        <x:v>EV001404</x:v>
      </x:c>
      <x:c r="C1403" s="2" t="str">
        <x:v>T20261006-4-3</x:v>
      </x:c>
      <x:c r="D1403" s="2" t="str">
        <x:v>ST105</x:v>
      </x:c>
      <x:c r="E1403" s="2" t="str">
        <x:v>G105</x:v>
      </x:c>
      <x:c r="F1403" s="2" t="str">
        <x:v>guardian105@example.invalid</x:v>
      </x:c>
      <x:c r="G1403" s="2" t="str">
        <x:v>Email</x:v>
      </x:c>
      <x:c r="H1403" s="2" t="str">
        <x:v>Authorized release</x:v>
      </x:c>
      <x:c r="I1403" s="8" t="n">
        <x:v>46301.618888888894</x:v>
      </x:c>
      <x:c r="J1403" s="8" t="n">
        <x:v>46301.61891203704</x:v>
      </x:c>
      <x:c r="K1403" s="8" t="n">
        <x:v>46301.61894675926</x:v>
      </x:c>
      <x:c r="L1403" s="2" t="str">
        <x:v>Sent</x:v>
      </x:c>
      <x:c r="M1403" s="2" t="n">
        <x:v>1</x:v>
      </x:c>
      <x:c r="N1403" s="2"/>
      <x:c r="O1403" s="2"/>
    </x:row>
    <x:row r="1404" ht="21" customHeight="1">
      <x:c r="A1404" s="2" t="str">
        <x:v>NT001403</x:v>
      </x:c>
      <x:c r="B1404" s="2" t="str">
        <x:v>EV001405</x:v>
      </x:c>
      <x:c r="C1404" s="2" t="str">
        <x:v>T20261006-4-3</x:v>
      </x:c>
      <x:c r="D1404" s="2" t="str">
        <x:v>ST106</x:v>
      </x:c>
      <x:c r="E1404" s="2" t="str">
        <x:v>G106</x:v>
      </x:c>
      <x:c r="F1404" s="2" t="str">
        <x:v>guardian106@example.invalid</x:v>
      </x:c>
      <x:c r="G1404" s="2" t="str">
        <x:v>Email</x:v>
      </x:c>
      <x:c r="H1404" s="2" t="str">
        <x:v>Boarded</x:v>
      </x:c>
      <x:c r="I1404" s="8" t="n">
        <x:v>46301.60434027778</x:v>
      </x:c>
      <x:c r="J1404" s="8" t="n">
        <x:v>46301.604363425926</x:v>
      </x:c>
      <x:c r="K1404" s="8" t="n">
        <x:v>46301.60439814815</x:v>
      </x:c>
      <x:c r="L1404" s="2" t="str">
        <x:v>Sent</x:v>
      </x:c>
      <x:c r="M1404" s="2" t="n">
        <x:v>1</x:v>
      </x:c>
      <x:c r="N1404" s="2"/>
      <x:c r="O1404" s="2"/>
    </x:row>
    <x:row r="1405" ht="21" customHeight="1">
      <x:c r="A1405" s="2" t="str">
        <x:v>NT001404</x:v>
      </x:c>
      <x:c r="B1405" s="2" t="str">
        <x:v>EV001406</x:v>
      </x:c>
      <x:c r="C1405" s="2" t="str">
        <x:v>T20261006-4-3</x:v>
      </x:c>
      <x:c r="D1405" s="2" t="str">
        <x:v>ST106</x:v>
      </x:c>
      <x:c r="E1405" s="2" t="str">
        <x:v>G106</x:v>
      </x:c>
      <x:c r="F1405" s="2" t="str">
        <x:v>guardian106@example.invalid</x:v>
      </x:c>
      <x:c r="G1405" s="2" t="str">
        <x:v>Email</x:v>
      </x:c>
      <x:c r="H1405" s="2" t="str">
        <x:v>Authorized release</x:v>
      </x:c>
      <x:c r="I1405" s="8" t="n">
        <x:v>46301.623090277775</x:v>
      </x:c>
      <x:c r="J1405" s="8" t="n">
        <x:v>46301.62311342592</x:v>
      </x:c>
      <x:c r="K1405" s="8" t="n">
        <x:v>46301.623148148145</x:v>
      </x:c>
      <x:c r="L1405" s="2" t="str">
        <x:v>Sent</x:v>
      </x:c>
      <x:c r="M1405" s="2" t="n">
        <x:v>1</x:v>
      </x:c>
      <x:c r="N1405" s="2"/>
      <x:c r="O1405" s="2"/>
    </x:row>
    <x:row r="1406" ht="21" customHeight="1">
      <x:c r="A1406" s="2" t="str">
        <x:v>NT001405</x:v>
      </x:c>
      <x:c r="B1406" s="2" t="str">
        <x:v>EV001407</x:v>
      </x:c>
      <x:c r="C1406" s="2" t="str">
        <x:v>T20261006-4-3</x:v>
      </x:c>
      <x:c r="D1406" s="2" t="str">
        <x:v>ST107</x:v>
      </x:c>
      <x:c r="E1406" s="2" t="str">
        <x:v>G107</x:v>
      </x:c>
      <x:c r="F1406" s="2" t="str">
        <x:v>guardian107@example.invalid</x:v>
      </x:c>
      <x:c r="G1406" s="2" t="str">
        <x:v>Email</x:v>
      </x:c>
      <x:c r="H1406" s="2" t="str">
        <x:v>Boarded</x:v>
      </x:c>
      <x:c r="I1406" s="8" t="n">
        <x:v>46301.604375</x:v>
      </x:c>
      <x:c r="J1406" s="8" t="n">
        <x:v>46301.60439814815</x:v>
      </x:c>
      <x:c r="K1406" s="8" t="n">
        <x:v>46301.60443287037</x:v>
      </x:c>
      <x:c r="L1406" s="2" t="str">
        <x:v>Sent</x:v>
      </x:c>
      <x:c r="M1406" s="2" t="n">
        <x:v>1</x:v>
      </x:c>
      <x:c r="N1406" s="2"/>
      <x:c r="O1406" s="2"/>
    </x:row>
    <x:row r="1407" ht="21" customHeight="1">
      <x:c r="A1407" s="2" t="str">
        <x:v>NT001406</x:v>
      </x:c>
      <x:c r="B1407" s="2" t="str">
        <x:v>EV001408</x:v>
      </x:c>
      <x:c r="C1407" s="2" t="str">
        <x:v>T20261006-4-3</x:v>
      </x:c>
      <x:c r="D1407" s="2" t="str">
        <x:v>ST107</x:v>
      </x:c>
      <x:c r="E1407" s="2" t="str">
        <x:v>G107</x:v>
      </x:c>
      <x:c r="F1407" s="2" t="str">
        <x:v>guardian107@example.invalid</x:v>
      </x:c>
      <x:c r="G1407" s="2" t="str">
        <x:v>Email</x:v>
      </x:c>
      <x:c r="H1407" s="2" t="str">
        <x:v>Authorized release</x:v>
      </x:c>
      <x:c r="I1407" s="8" t="n">
        <x:v>46301.627291666664</x:v>
      </x:c>
      <x:c r="J1407" s="8" t="n">
        <x:v>46301.62731481481</x:v>
      </x:c>
      <x:c r="K1407" s="8" t="n">
        <x:v>46301.62734953703</x:v>
      </x:c>
      <x:c r="L1407" s="2" t="str">
        <x:v>Sent</x:v>
      </x:c>
      <x:c r="M1407" s="2" t="n">
        <x:v>1</x:v>
      </x:c>
      <x:c r="N1407" s="2"/>
      <x:c r="O1407" s="2"/>
    </x:row>
    <x:row r="1408" ht="21" customHeight="1">
      <x:c r="A1408" s="2" t="str">
        <x:v>NT001407</x:v>
      </x:c>
      <x:c r="B1408" s="2" t="str">
        <x:v>EV001409</x:v>
      </x:c>
      <x:c r="C1408" s="2" t="str">
        <x:v>T20261006-4-3</x:v>
      </x:c>
      <x:c r="D1408" s="2" t="str">
        <x:v>ST108</x:v>
      </x:c>
      <x:c r="E1408" s="2" t="str">
        <x:v>G108</x:v>
      </x:c>
      <x:c r="F1408" s="2" t="str">
        <x:v>guardian108@example.invalid</x:v>
      </x:c>
      <x:c r="G1408" s="2" t="str">
        <x:v>Email</x:v>
      </x:c>
      <x:c r="H1408" s="2" t="str">
        <x:v>Boarded</x:v>
      </x:c>
      <x:c r="I1408" s="8" t="n">
        <x:v>46301.604409722226</x:v>
      </x:c>
      <x:c r="J1408" s="8" t="n">
        <x:v>46301.60443287037</x:v>
      </x:c>
      <x:c r="K1408" s="8" t="n">
        <x:v>46301.604467592595</x:v>
      </x:c>
      <x:c r="L1408" s="2" t="str">
        <x:v>Sent</x:v>
      </x:c>
      <x:c r="M1408" s="2" t="n">
        <x:v>1</x:v>
      </x:c>
      <x:c r="N1408" s="2"/>
      <x:c r="O1408" s="2"/>
    </x:row>
    <x:row r="1409" ht="21" customHeight="1">
      <x:c r="A1409" s="2" t="str">
        <x:v>NT001408</x:v>
      </x:c>
      <x:c r="B1409" s="2" t="str">
        <x:v>EV001410</x:v>
      </x:c>
      <x:c r="C1409" s="2" t="str">
        <x:v>T20261006-4-3</x:v>
      </x:c>
      <x:c r="D1409" s="2" t="str">
        <x:v>ST108</x:v>
      </x:c>
      <x:c r="E1409" s="2" t="str">
        <x:v>G108</x:v>
      </x:c>
      <x:c r="F1409" s="2" t="str">
        <x:v>guardian108@example.invalid</x:v>
      </x:c>
      <x:c r="G1409" s="2" t="str">
        <x:v>Email</x:v>
      </x:c>
      <x:c r="H1409" s="2" t="str">
        <x:v>Authorized release</x:v>
      </x:c>
      <x:c r="I1409" s="8" t="n">
        <x:v>46301.618993055556</x:v>
      </x:c>
      <x:c r="J1409" s="8" t="n">
        <x:v>46301.6190162037</x:v>
      </x:c>
      <x:c r="K1409" s="8" t="n">
        <x:v>46301.619050925925</x:v>
      </x:c>
      <x:c r="L1409" s="2" t="str">
        <x:v>Sent</x:v>
      </x:c>
      <x:c r="M1409" s="2" t="n">
        <x:v>1</x:v>
      </x:c>
      <x:c r="N1409" s="2"/>
      <x:c r="O1409" s="2"/>
    </x:row>
    <x:row r="1410" ht="21" customHeight="1">
      <x:c r="A1410" s="2" t="str">
        <x:v>NT001409</x:v>
      </x:c>
      <x:c r="B1410" s="2" t="str">
        <x:v>EV001411</x:v>
      </x:c>
      <x:c r="C1410" s="2" t="str">
        <x:v>T20261006-4-3</x:v>
      </x:c>
      <x:c r="D1410" s="2" t="str">
        <x:v>ST109</x:v>
      </x:c>
      <x:c r="E1410" s="2" t="str">
        <x:v>G109</x:v>
      </x:c>
      <x:c r="F1410" s="2" t="str">
        <x:v>guardian109@example.invalid</x:v>
      </x:c>
      <x:c r="G1410" s="2" t="str">
        <x:v>Email</x:v>
      </x:c>
      <x:c r="H1410" s="2" t="str">
        <x:v>Boarded</x:v>
      </x:c>
      <x:c r="I1410" s="8" t="n">
        <x:v>46301.60444444445</x:v>
      </x:c>
      <x:c r="J1410" s="8" t="n">
        <x:v>46301.604467592595</x:v>
      </x:c>
      <x:c r="K1410" s="8" t="n">
        <x:v>46301.60450231482</x:v>
      </x:c>
      <x:c r="L1410" s="2" t="str">
        <x:v>Sent</x:v>
      </x:c>
      <x:c r="M1410" s="2" t="n">
        <x:v>1</x:v>
      </x:c>
      <x:c r="N1410" s="2"/>
      <x:c r="O1410" s="2"/>
    </x:row>
    <x:row r="1411" ht="21" customHeight="1">
      <x:c r="A1411" s="2" t="str">
        <x:v>NT001410</x:v>
      </x:c>
      <x:c r="B1411" s="2" t="str">
        <x:v>EV001412</x:v>
      </x:c>
      <x:c r="C1411" s="2" t="str">
        <x:v>T20261006-4-3</x:v>
      </x:c>
      <x:c r="D1411" s="2" t="str">
        <x:v>ST109</x:v>
      </x:c>
      <x:c r="E1411" s="2" t="str">
        <x:v>G109</x:v>
      </x:c>
      <x:c r="F1411" s="2" t="str">
        <x:v>guardian109@example.invalid</x:v>
      </x:c>
      <x:c r="G1411" s="2" t="str">
        <x:v>Email</x:v>
      </x:c>
      <x:c r="H1411" s="2" t="str">
        <x:v>Authorized release</x:v>
      </x:c>
      <x:c r="I1411" s="8" t="n">
        <x:v>46301.623194444444</x:v>
      </x:c>
      <x:c r="J1411" s="8" t="n">
        <x:v>46301.62321759259</x:v>
      </x:c>
      <x:c r="K1411" s="8" t="n">
        <x:v>46301.623252314814</x:v>
      </x:c>
      <x:c r="L1411" s="2" t="str">
        <x:v>Sent</x:v>
      </x:c>
      <x:c r="M1411" s="2" t="n">
        <x:v>1</x:v>
      </x:c>
      <x:c r="N1411" s="2"/>
      <x:c r="O1411" s="2"/>
    </x:row>
    <x:row r="1412" ht="21" customHeight="1">
      <x:c r="A1412" s="2" t="str">
        <x:v>NT001411</x:v>
      </x:c>
      <x:c r="B1412" s="2" t="str">
        <x:v>EV001413</x:v>
      </x:c>
      <x:c r="C1412" s="2" t="str">
        <x:v>T20261006-4-3</x:v>
      </x:c>
      <x:c r="D1412" s="2" t="str">
        <x:v>ST110</x:v>
      </x:c>
      <x:c r="E1412" s="2" t="str">
        <x:v>G110</x:v>
      </x:c>
      <x:c r="F1412" s="2" t="str">
        <x:v>guardian110@example.invalid</x:v>
      </x:c>
      <x:c r="G1412" s="2" t="str">
        <x:v>Email</x:v>
      </x:c>
      <x:c r="H1412" s="2" t="str">
        <x:v>Boarded</x:v>
      </x:c>
      <x:c r="I1412" s="8" t="n">
        <x:v>46301.60447916667</x:v>
      </x:c>
      <x:c r="J1412" s="8" t="n">
        <x:v>46301.60450231482</x:v>
      </x:c>
      <x:c r="K1412" s="8" t="n">
        <x:v>46301.60453703704</x:v>
      </x:c>
      <x:c r="L1412" s="2" t="str">
        <x:v>Sent</x:v>
      </x:c>
      <x:c r="M1412" s="2" t="n">
        <x:v>1</x:v>
      </x:c>
      <x:c r="N1412" s="2"/>
      <x:c r="O1412" s="2"/>
    </x:row>
    <x:row r="1413" ht="21" customHeight="1">
      <x:c r="A1413" s="2" t="str">
        <x:v>NT001412</x:v>
      </x:c>
      <x:c r="B1413" s="2" t="str">
        <x:v>EV001414</x:v>
      </x:c>
      <x:c r="C1413" s="2" t="str">
        <x:v>T20261006-4-3</x:v>
      </x:c>
      <x:c r="D1413" s="2" t="str">
        <x:v>ST110</x:v>
      </x:c>
      <x:c r="E1413" s="2" t="str">
        <x:v>G110</x:v>
      </x:c>
      <x:c r="F1413" s="2" t="str">
        <x:v>guardian110@example.invalid</x:v>
      </x:c>
      <x:c r="G1413" s="2" t="str">
        <x:v>Email</x:v>
      </x:c>
      <x:c r="H1413" s="2" t="str">
        <x:v>Authorized release</x:v>
      </x:c>
      <x:c r="I1413" s="8" t="n">
        <x:v>46301.62739583333</x:v>
      </x:c>
      <x:c r="J1413" s="8" t="n">
        <x:v>46301.62741898148</x:v>
      </x:c>
      <x:c r="K1413" s="8" t="n">
        <x:v>46301.6274537037</x:v>
      </x:c>
      <x:c r="L1413" s="2" t="str">
        <x:v>Sent</x:v>
      </x:c>
      <x:c r="M1413" s="2" t="n">
        <x:v>1</x:v>
      </x:c>
      <x:c r="N1413" s="2"/>
      <x:c r="O1413" s="2"/>
    </x:row>
    <x:row r="1414" ht="21" customHeight="1">
      <x:c r="A1414" s="2" t="str">
        <x:v>NT001413</x:v>
      </x:c>
      <x:c r="B1414" s="2" t="str">
        <x:v>EV001415</x:v>
      </x:c>
      <x:c r="C1414" s="2" t="str">
        <x:v>T20261006-5-3</x:v>
      </x:c>
      <x:c r="D1414" s="2" t="str">
        <x:v>ST111</x:v>
      </x:c>
      <x:c r="E1414" s="2" t="str">
        <x:v>G111</x:v>
      </x:c>
      <x:c r="F1414" s="2" t="str">
        <x:v>guardian111@example.invalid</x:v>
      </x:c>
      <x:c r="G1414" s="2" t="str">
        <x:v>Email</x:v>
      </x:c>
      <x:c r="H1414" s="2" t="str">
        <x:v>Boarded</x:v>
      </x:c>
      <x:c r="I1414" s="8" t="n">
        <x:v>46301.70833333333</x:v>
      </x:c>
      <x:c r="J1414" s="8" t="n">
        <x:v>46301.708356481475</x:v>
      </x:c>
      <x:c r="K1414" s="8" t="n">
        <x:v>46301.7083912037</x:v>
      </x:c>
      <x:c r="L1414" s="2" t="str">
        <x:v>Sent</x:v>
      </x:c>
      <x:c r="M1414" s="2" t="n">
        <x:v>1</x:v>
      </x:c>
      <x:c r="N1414" s="2"/>
      <x:c r="O1414" s="2"/>
    </x:row>
    <x:row r="1415" ht="21" customHeight="1">
      <x:c r="A1415" s="2" t="str">
        <x:v>NT001414</x:v>
      </x:c>
      <x:c r="B1415" s="2" t="str">
        <x:v>EV001416</x:v>
      </x:c>
      <x:c r="C1415" s="2" t="str">
        <x:v>T20261006-5-3</x:v>
      </x:c>
      <x:c r="D1415" s="2" t="str">
        <x:v>ST111</x:v>
      </x:c>
      <x:c r="E1415" s="2" t="str">
        <x:v>G111</x:v>
      </x:c>
      <x:c r="F1415" s="2" t="str">
        <x:v>guardian111@example.invalid</x:v>
      </x:c>
      <x:c r="G1415" s="2" t="str">
        <x:v>Email</x:v>
      </x:c>
      <x:c r="H1415" s="2" t="str">
        <x:v>Authorized release</x:v>
      </x:c>
      <x:c r="I1415" s="8" t="n">
        <x:v>46301.72361111111</x:v>
      </x:c>
      <x:c r="J1415" s="8" t="n">
        <x:v>46301.72363425926</x:v>
      </x:c>
      <x:c r="K1415" s="8" t="n">
        <x:v>46301.72366898148</x:v>
      </x:c>
      <x:c r="L1415" s="2" t="str">
        <x:v>Sent</x:v>
      </x:c>
      <x:c r="M1415" s="2" t="n">
        <x:v>1</x:v>
      </x:c>
      <x:c r="N1415" s="2"/>
      <x:c r="O1415" s="2"/>
    </x:row>
    <x:row r="1416" ht="21" customHeight="1">
      <x:c r="A1416" s="2" t="str">
        <x:v>NT001415</x:v>
      </x:c>
      <x:c r="B1416" s="2" t="str">
        <x:v>EV001417</x:v>
      </x:c>
      <x:c r="C1416" s="2" t="str">
        <x:v>T20261006-5-3</x:v>
      </x:c>
      <x:c r="D1416" s="2" t="str">
        <x:v>ST112</x:v>
      </x:c>
      <x:c r="E1416" s="2" t="str">
        <x:v>G112</x:v>
      </x:c>
      <x:c r="F1416" s="2" t="str">
        <x:v>guardian112@example.invalid</x:v>
      </x:c>
      <x:c r="G1416" s="2" t="str">
        <x:v>Email</x:v>
      </x:c>
      <x:c r="H1416" s="2" t="str">
        <x:v>Boarded</x:v>
      </x:c>
      <x:c r="I1416" s="8" t="n">
        <x:v>46301.70836805555</x:v>
      </x:c>
      <x:c r="J1416" s="8" t="n">
        <x:v>46301.7083912037</x:v>
      </x:c>
      <x:c r="K1416" s="8" t="n">
        <x:v>46301.70842592592</x:v>
      </x:c>
      <x:c r="L1416" s="2" t="str">
        <x:v>Sent</x:v>
      </x:c>
      <x:c r="M1416" s="2" t="n">
        <x:v>1</x:v>
      </x:c>
      <x:c r="N1416" s="2"/>
      <x:c r="O1416" s="2"/>
    </x:row>
    <x:row r="1417" ht="21" customHeight="1">
      <x:c r="A1417" s="2" t="str">
        <x:v>NT001416</x:v>
      </x:c>
      <x:c r="B1417" s="2" t="str">
        <x:v>EV001418</x:v>
      </x:c>
      <x:c r="C1417" s="2" t="str">
        <x:v>T20261006-5-3</x:v>
      </x:c>
      <x:c r="D1417" s="2" t="str">
        <x:v>ST112</x:v>
      </x:c>
      <x:c r="E1417" s="2" t="str">
        <x:v>G112</x:v>
      </x:c>
      <x:c r="F1417" s="2" t="str">
        <x:v>guardian112@example.invalid</x:v>
      </x:c>
      <x:c r="G1417" s="2" t="str">
        <x:v>Email</x:v>
      </x:c>
      <x:c r="H1417" s="2" t="str">
        <x:v>Authorized release</x:v>
      </x:c>
      <x:c r="I1417" s="8" t="n">
        <x:v>46301.72850694445</x:v>
      </x:c>
      <x:c r="J1417" s="8" t="n">
        <x:v>46301.728530092594</x:v>
      </x:c>
      <x:c r="K1417" s="8" t="n">
        <x:v>46301.72856481482</x:v>
      </x:c>
      <x:c r="L1417" s="2" t="str">
        <x:v>Sent</x:v>
      </x:c>
      <x:c r="M1417" s="2" t="n">
        <x:v>1</x:v>
      </x:c>
      <x:c r="N1417" s="2"/>
      <x:c r="O1417" s="2"/>
    </x:row>
    <x:row r="1418" ht="21" customHeight="1">
      <x:c r="A1418" s="2" t="str">
        <x:v>NT001417</x:v>
      </x:c>
      <x:c r="B1418" s="2" t="str">
        <x:v>EV001419</x:v>
      </x:c>
      <x:c r="C1418" s="2" t="str">
        <x:v>T20261006-5-3</x:v>
      </x:c>
      <x:c r="D1418" s="2" t="str">
        <x:v>ST113</x:v>
      </x:c>
      <x:c r="E1418" s="2" t="str">
        <x:v>G113</x:v>
      </x:c>
      <x:c r="F1418" s="2" t="str">
        <x:v>guardian113@example.invalid</x:v>
      </x:c>
      <x:c r="G1418" s="2" t="str">
        <x:v>Email</x:v>
      </x:c>
      <x:c r="H1418" s="2" t="str">
        <x:v>Boarded</x:v>
      </x:c>
      <x:c r="I1418" s="8" t="n">
        <x:v>46301.708402777775</x:v>
      </x:c>
      <x:c r="J1418" s="8" t="n">
        <x:v>46301.70842592592</x:v>
      </x:c>
      <x:c r="K1418" s="8" t="n">
        <x:v>46301.708460648144</x:v>
      </x:c>
      <x:c r="L1418" s="2" t="str">
        <x:v>Sent</x:v>
      </x:c>
      <x:c r="M1418" s="2" t="n">
        <x:v>1</x:v>
      </x:c>
      <x:c r="N1418" s="2"/>
      <x:c r="O1418" s="2"/>
    </x:row>
    <x:row r="1419" ht="21" customHeight="1">
      <x:c r="A1419" s="2" t="str">
        <x:v>NT001418</x:v>
      </x:c>
      <x:c r="B1419" s="2" t="str">
        <x:v>EV001420</x:v>
      </x:c>
      <x:c r="C1419" s="2" t="str">
        <x:v>T20261006-5-3</x:v>
      </x:c>
      <x:c r="D1419" s="2" t="str">
        <x:v>ST113</x:v>
      </x:c>
      <x:c r="E1419" s="2" t="str">
        <x:v>G113</x:v>
      </x:c>
      <x:c r="F1419" s="2" t="str">
        <x:v>guardian113@example.invalid</x:v>
      </x:c>
      <x:c r="G1419" s="2" t="str">
        <x:v>Email</x:v>
      </x:c>
      <x:c r="H1419" s="2" t="str">
        <x:v>Authorized release</x:v>
      </x:c>
      <x:c r="I1419" s="8" t="n">
        <x:v>46301.73340277778</x:v>
      </x:c>
      <x:c r="J1419" s="8" t="n">
        <x:v>46301.73342592593</x:v>
      </x:c>
      <x:c r="K1419" s="8" t="n">
        <x:v>46301.73346064815</x:v>
      </x:c>
      <x:c r="L1419" s="2" t="str">
        <x:v>Sent</x:v>
      </x:c>
      <x:c r="M1419" s="2" t="n">
        <x:v>1</x:v>
      </x:c>
      <x:c r="N1419" s="2"/>
      <x:c r="O1419" s="2"/>
    </x:row>
    <x:row r="1420" ht="21" customHeight="1">
      <x:c r="A1420" s="2" t="str">
        <x:v>NT001419</x:v>
      </x:c>
      <x:c r="B1420" s="2" t="str">
        <x:v>EV001421</x:v>
      </x:c>
      <x:c r="C1420" s="2" t="str">
        <x:v>T20261006-5-3</x:v>
      </x:c>
      <x:c r="D1420" s="2" t="str">
        <x:v>ST114</x:v>
      </x:c>
      <x:c r="E1420" s="2" t="str">
        <x:v>G114</x:v>
      </x:c>
      <x:c r="F1420" s="2" t="str">
        <x:v>guardian114@example.invalid</x:v>
      </x:c>
      <x:c r="G1420" s="2" t="str">
        <x:v>Email</x:v>
      </x:c>
      <x:c r="H1420" s="2" t="str">
        <x:v>Boarded</x:v>
      </x:c>
      <x:c r="I1420" s="8" t="n">
        <x:v>46301.7084375</x:v>
      </x:c>
      <x:c r="J1420" s="8" t="n">
        <x:v>46301.708460648144</x:v>
      </x:c>
      <x:c r="K1420" s="8" t="n">
        <x:v>46301.70849537037</x:v>
      </x:c>
      <x:c r="L1420" s="2" t="str">
        <x:v>Sent</x:v>
      </x:c>
      <x:c r="M1420" s="2" t="n">
        <x:v>1</x:v>
      </x:c>
      <x:c r="N1420" s="2"/>
      <x:c r="O1420" s="2"/>
    </x:row>
    <x:row r="1421" ht="21" customHeight="1">
      <x:c r="A1421" s="2" t="str">
        <x:v>NT001420</x:v>
      </x:c>
      <x:c r="B1421" s="2" t="str">
        <x:v>EV001422</x:v>
      </x:c>
      <x:c r="C1421" s="2" t="str">
        <x:v>T20261006-5-3</x:v>
      </x:c>
      <x:c r="D1421" s="2" t="str">
        <x:v>ST114</x:v>
      </x:c>
      <x:c r="E1421" s="2" t="str">
        <x:v>G114</x:v>
      </x:c>
      <x:c r="F1421" s="2" t="str">
        <x:v>guardian114@example.invalid</x:v>
      </x:c>
      <x:c r="G1421" s="2" t="str">
        <x:v>Email</x:v>
      </x:c>
      <x:c r="H1421" s="2" t="str">
        <x:v>Authorized release</x:v>
      </x:c>
      <x:c r="I1421" s="8" t="n">
        <x:v>46301.72371527778</x:v>
      </x:c>
      <x:c r="J1421" s="8" t="n">
        <x:v>46301.72373842593</x:v>
      </x:c>
      <x:c r="K1421" s="8" t="n">
        <x:v>46301.72377314815</x:v>
      </x:c>
      <x:c r="L1421" s="2" t="str">
        <x:v>Sent</x:v>
      </x:c>
      <x:c r="M1421" s="2" t="n">
        <x:v>1</x:v>
      </x:c>
      <x:c r="N1421" s="2"/>
      <x:c r="O1421" s="2"/>
    </x:row>
    <x:row r="1422" ht="21" customHeight="1">
      <x:c r="A1422" s="2" t="str">
        <x:v>NT001421</x:v>
      </x:c>
      <x:c r="B1422" s="2" t="str">
        <x:v>EV001423</x:v>
      </x:c>
      <x:c r="C1422" s="2" t="str">
        <x:v>T20261006-5-3</x:v>
      </x:c>
      <x:c r="D1422" s="2" t="str">
        <x:v>ST115</x:v>
      </x:c>
      <x:c r="E1422" s="2" t="str">
        <x:v>G115</x:v>
      </x:c>
      <x:c r="F1422" s="2" t="str">
        <x:v>guardian115@example.invalid</x:v>
      </x:c>
      <x:c r="G1422" s="2" t="str">
        <x:v>Email</x:v>
      </x:c>
      <x:c r="H1422" s="2" t="str">
        <x:v>Boarded</x:v>
      </x:c>
      <x:c r="I1422" s="8" t="n">
        <x:v>46301.70847222222</x:v>
      </x:c>
      <x:c r="J1422" s="8" t="n">
        <x:v>46301.70849537037</x:v>
      </x:c>
      <x:c r="K1422" s="8" t="n">
        <x:v>46301.70853009259</x:v>
      </x:c>
      <x:c r="L1422" s="2" t="str">
        <x:v>Sent</x:v>
      </x:c>
      <x:c r="M1422" s="2" t="n">
        <x:v>1</x:v>
      </x:c>
      <x:c r="N1422" s="2"/>
      <x:c r="O1422" s="2"/>
    </x:row>
    <x:row r="1423" ht="21" customHeight="1">
      <x:c r="A1423" s="2" t="str">
        <x:v>NT001422</x:v>
      </x:c>
      <x:c r="B1423" s="2" t="str">
        <x:v>EV001424</x:v>
      </x:c>
      <x:c r="C1423" s="2" t="str">
        <x:v>T20261006-5-3</x:v>
      </x:c>
      <x:c r="D1423" s="2" t="str">
        <x:v>ST115</x:v>
      </x:c>
      <x:c r="E1423" s="2" t="str">
        <x:v>G115</x:v>
      </x:c>
      <x:c r="F1423" s="2" t="str">
        <x:v>guardian115@example.invalid</x:v>
      </x:c>
      <x:c r="G1423" s="2" t="str">
        <x:v>Email</x:v>
      </x:c>
      <x:c r="H1423" s="2" t="str">
        <x:v>Authorized release</x:v>
      </x:c>
      <x:c r="I1423" s="8" t="n">
        <x:v>46301.72861111112</x:v>
      </x:c>
      <x:c r="J1423" s="8" t="n">
        <x:v>46301.72863425926</x:v>
      </x:c>
      <x:c r="K1423" s="8" t="n">
        <x:v>46301.72866898149</x:v>
      </x:c>
      <x:c r="L1423" s="2" t="str">
        <x:v>Sent</x:v>
      </x:c>
      <x:c r="M1423" s="2" t="n">
        <x:v>1</x:v>
      </x:c>
      <x:c r="N1423" s="2"/>
      <x:c r="O1423" s="2"/>
    </x:row>
    <x:row r="1424" ht="21" customHeight="1">
      <x:c r="A1424" s="2" t="str">
        <x:v>NT001423</x:v>
      </x:c>
      <x:c r="B1424" s="2" t="str">
        <x:v>EV001425</x:v>
      </x:c>
      <x:c r="C1424" s="2" t="str">
        <x:v>T20261006-5-3</x:v>
      </x:c>
      <x:c r="D1424" s="2" t="str">
        <x:v>ST116</x:v>
      </x:c>
      <x:c r="E1424" s="2" t="str">
        <x:v>G116</x:v>
      </x:c>
      <x:c r="F1424" s="2" t="str">
        <x:v>guardian116@example.invalid</x:v>
      </x:c>
      <x:c r="G1424" s="2" t="str">
        <x:v>Email</x:v>
      </x:c>
      <x:c r="H1424" s="2" t="str">
        <x:v>Boarded</x:v>
      </x:c>
      <x:c r="I1424" s="8" t="n">
        <x:v>46301.70850694444</x:v>
      </x:c>
      <x:c r="J1424" s="8" t="n">
        <x:v>46301.70853009258</x:v>
      </x:c>
      <x:c r="K1424" s="8" t="n">
        <x:v>46301.708564814806</x:v>
      </x:c>
      <x:c r="L1424" s="2" t="str">
        <x:v>Sent</x:v>
      </x:c>
      <x:c r="M1424" s="2" t="n">
        <x:v>1</x:v>
      </x:c>
      <x:c r="N1424" s="2"/>
      <x:c r="O1424" s="2"/>
    </x:row>
    <x:row r="1425" ht="21" customHeight="1">
      <x:c r="A1425" s="2" t="str">
        <x:v>NT001424</x:v>
      </x:c>
      <x:c r="B1425" s="2" t="str">
        <x:v>EV001426</x:v>
      </x:c>
      <x:c r="C1425" s="2" t="str">
        <x:v>T20261006-5-3</x:v>
      </x:c>
      <x:c r="D1425" s="2" t="str">
        <x:v>ST116</x:v>
      </x:c>
      <x:c r="E1425" s="2" t="str">
        <x:v>G116</x:v>
      </x:c>
      <x:c r="F1425" s="2" t="str">
        <x:v>guardian116@example.invalid</x:v>
      </x:c>
      <x:c r="G1425" s="2" t="str">
        <x:v>Email</x:v>
      </x:c>
      <x:c r="H1425" s="2" t="str">
        <x:v>Authorized release</x:v>
      </x:c>
      <x:c r="I1425" s="8" t="n">
        <x:v>46301.733506944445</x:v>
      </x:c>
      <x:c r="J1425" s="8" t="n">
        <x:v>46301.73353009259</x:v>
      </x:c>
      <x:c r="K1425" s="8" t="n">
        <x:v>46301.733564814815</x:v>
      </x:c>
      <x:c r="L1425" s="2" t="str">
        <x:v>Sent</x:v>
      </x:c>
      <x:c r="M1425" s="2" t="n">
        <x:v>1</x:v>
      </x:c>
      <x:c r="N1425" s="2"/>
      <x:c r="O1425" s="2"/>
    </x:row>
    <x:row r="1426" ht="21" customHeight="1">
      <x:c r="A1426" s="2" t="str">
        <x:v>NT001425</x:v>
      </x:c>
      <x:c r="B1426" s="2" t="str">
        <x:v>EV001427</x:v>
      </x:c>
      <x:c r="C1426" s="2" t="str">
        <x:v>T20261006-5-3</x:v>
      </x:c>
      <x:c r="D1426" s="2" t="str">
        <x:v>ST117</x:v>
      </x:c>
      <x:c r="E1426" s="2" t="str">
        <x:v>G117</x:v>
      </x:c>
      <x:c r="F1426" s="2" t="str">
        <x:v>guardian117@example.invalid</x:v>
      </x:c>
      <x:c r="G1426" s="2" t="str">
        <x:v>Email</x:v>
      </x:c>
      <x:c r="H1426" s="2" t="str">
        <x:v>Boarded</x:v>
      </x:c>
      <x:c r="I1426" s="8" t="n">
        <x:v>46301.70854166666</x:v>
      </x:c>
      <x:c r="J1426" s="8" t="n">
        <x:v>46301.708564814806</x:v>
      </x:c>
      <x:c r="K1426" s="8" t="n">
        <x:v>46301.70859953703</x:v>
      </x:c>
      <x:c r="L1426" s="2" t="str">
        <x:v>Sent</x:v>
      </x:c>
      <x:c r="M1426" s="2" t="n">
        <x:v>1</x:v>
      </x:c>
      <x:c r="N1426" s="2"/>
      <x:c r="O1426" s="2"/>
    </x:row>
    <x:row r="1427" ht="21" customHeight="1">
      <x:c r="A1427" s="2" t="str">
        <x:v>NT001426</x:v>
      </x:c>
      <x:c r="B1427" s="2" t="str">
        <x:v>EV001428</x:v>
      </x:c>
      <x:c r="C1427" s="2" t="str">
        <x:v>T20261006-5-3</x:v>
      </x:c>
      <x:c r="D1427" s="2" t="str">
        <x:v>ST117</x:v>
      </x:c>
      <x:c r="E1427" s="2" t="str">
        <x:v>G117</x:v>
      </x:c>
      <x:c r="F1427" s="2" t="str">
        <x:v>guardian117@example.invalid</x:v>
      </x:c>
      <x:c r="G1427" s="2" t="str">
        <x:v>Email</x:v>
      </x:c>
      <x:c r="H1427" s="2" t="str">
        <x:v>Authorized release</x:v>
      </x:c>
      <x:c r="I1427" s="8" t="n">
        <x:v>46301.72381944444</x:v>
      </x:c>
      <x:c r="J1427" s="8" t="n">
        <x:v>46301.72384259259</x:v>
      </x:c>
      <x:c r="K1427" s="8" t="n">
        <x:v>46301.72387731481</x:v>
      </x:c>
      <x:c r="L1427" s="2" t="str">
        <x:v>Sent</x:v>
      </x:c>
      <x:c r="M1427" s="2" t="n">
        <x:v>1</x:v>
      </x:c>
      <x:c r="N1427" s="2"/>
      <x:c r="O1427" s="2"/>
    </x:row>
    <x:row r="1428" ht="21" customHeight="1">
      <x:c r="A1428" s="2" t="str">
        <x:v>NT001427</x:v>
      </x:c>
      <x:c r="B1428" s="2" t="str">
        <x:v>EV001429</x:v>
      </x:c>
      <x:c r="C1428" s="2" t="str">
        <x:v>T20261006-5-3</x:v>
      </x:c>
      <x:c r="D1428" s="2" t="str">
        <x:v>ST118</x:v>
      </x:c>
      <x:c r="E1428" s="2" t="str">
        <x:v>G118</x:v>
      </x:c>
      <x:c r="F1428" s="2" t="str">
        <x:v>guardian118@example.invalid</x:v>
      </x:c>
      <x:c r="G1428" s="2" t="str">
        <x:v>Email</x:v>
      </x:c>
      <x:c r="H1428" s="2" t="str">
        <x:v>Boarded</x:v>
      </x:c>
      <x:c r="I1428" s="8" t="n">
        <x:v>46301.70857638888</x:v>
      </x:c>
      <x:c r="J1428" s="8" t="n">
        <x:v>46301.70859953703</x:v>
      </x:c>
      <x:c r="K1428" s="8" t="n">
        <x:v>46301.70863425925</x:v>
      </x:c>
      <x:c r="L1428" s="2" t="str">
        <x:v>Sent</x:v>
      </x:c>
      <x:c r="M1428" s="2" t="n">
        <x:v>1</x:v>
      </x:c>
      <x:c r="N1428" s="2"/>
      <x:c r="O1428" s="2"/>
    </x:row>
    <x:row r="1429" ht="21" customHeight="1">
      <x:c r="A1429" s="2" t="str">
        <x:v>NT001428</x:v>
      </x:c>
      <x:c r="B1429" s="2" t="str">
        <x:v>EV001430</x:v>
      </x:c>
      <x:c r="C1429" s="2" t="str">
        <x:v>T20261006-5-3</x:v>
      </x:c>
      <x:c r="D1429" s="2" t="str">
        <x:v>ST118</x:v>
      </x:c>
      <x:c r="E1429" s="2" t="str">
        <x:v>G118</x:v>
      </x:c>
      <x:c r="F1429" s="2" t="str">
        <x:v>guardian118@example.invalid</x:v>
      </x:c>
      <x:c r="G1429" s="2" t="str">
        <x:v>Email</x:v>
      </x:c>
      <x:c r="H1429" s="2" t="str">
        <x:v>Authorized release</x:v>
      </x:c>
      <x:c r="I1429" s="8" t="n">
        <x:v>46301.72871527778</x:v>
      </x:c>
      <x:c r="J1429" s="8" t="n">
        <x:v>46301.728738425925</x:v>
      </x:c>
      <x:c r="K1429" s="8" t="n">
        <x:v>46301.72877314815</x:v>
      </x:c>
      <x:c r="L1429" s="2" t="str">
        <x:v>Sent</x:v>
      </x:c>
      <x:c r="M1429" s="2" t="n">
        <x:v>1</x:v>
      </x:c>
      <x:c r="N1429" s="2"/>
      <x:c r="O1429" s="2"/>
    </x:row>
    <x:row r="1430" ht="21" customHeight="1">
      <x:c r="A1430" s="2" t="str">
        <x:v>NT001429</x:v>
      </x:c>
      <x:c r="B1430" s="2" t="str">
        <x:v>EV001431</x:v>
      </x:c>
      <x:c r="C1430" s="2" t="str">
        <x:v>T20261006-5-3</x:v>
      </x:c>
      <x:c r="D1430" s="2" t="str">
        <x:v>ST119</x:v>
      </x:c>
      <x:c r="E1430" s="2" t="str">
        <x:v>G119</x:v>
      </x:c>
      <x:c r="F1430" s="2" t="str">
        <x:v>guardian119@example.invalid</x:v>
      </x:c>
      <x:c r="G1430" s="2" t="str">
        <x:v>Email</x:v>
      </x:c>
      <x:c r="H1430" s="2" t="str">
        <x:v>Boarded</x:v>
      </x:c>
      <x:c r="I1430" s="8" t="n">
        <x:v>46301.708611111106</x:v>
      </x:c>
      <x:c r="J1430" s="8" t="n">
        <x:v>46301.70863425925</x:v>
      </x:c>
      <x:c r="K1430" s="8" t="n">
        <x:v>46301.708668981475</x:v>
      </x:c>
      <x:c r="L1430" s="2" t="str">
        <x:v>Sent</x:v>
      </x:c>
      <x:c r="M1430" s="2" t="n">
        <x:v>1</x:v>
      </x:c>
      <x:c r="N1430" s="2"/>
      <x:c r="O1430" s="2"/>
    </x:row>
    <x:row r="1431" ht="21" customHeight="1">
      <x:c r="A1431" s="2" t="str">
        <x:v>NT001430</x:v>
      </x:c>
      <x:c r="B1431" s="2" t="str">
        <x:v>EV001432</x:v>
      </x:c>
      <x:c r="C1431" s="2" t="str">
        <x:v>T20261006-5-3</x:v>
      </x:c>
      <x:c r="D1431" s="2" t="str">
        <x:v>ST119</x:v>
      </x:c>
      <x:c r="E1431" s="2" t="str">
        <x:v>G119</x:v>
      </x:c>
      <x:c r="F1431" s="2" t="str">
        <x:v>guardian119@example.invalid</x:v>
      </x:c>
      <x:c r="G1431" s="2" t="str">
        <x:v>Email</x:v>
      </x:c>
      <x:c r="H1431" s="2" t="str">
        <x:v>Authorized release</x:v>
      </x:c>
      <x:c r="I1431" s="8" t="n">
        <x:v>46301.733611111114</x:v>
      </x:c>
      <x:c r="J1431" s="8" t="n">
        <x:v>46301.73363425926</x:v>
      </x:c>
      <x:c r="K1431" s="8" t="n">
        <x:v>46301.733668981484</x:v>
      </x:c>
      <x:c r="L1431" s="2" t="str">
        <x:v>Sent</x:v>
      </x:c>
      <x:c r="M1431" s="2" t="n">
        <x:v>1</x:v>
      </x:c>
      <x:c r="N1431" s="2"/>
      <x:c r="O1431" s="2"/>
    </x:row>
    <x:row r="1432" ht="21" customHeight="1">
      <x:c r="A1432" s="2" t="str">
        <x:v>NT001431</x:v>
      </x:c>
      <x:c r="B1432" s="2" t="str">
        <x:v>EV001433</x:v>
      </x:c>
      <x:c r="C1432" s="2" t="str">
        <x:v>T20261006-5-3</x:v>
      </x:c>
      <x:c r="D1432" s="2" t="str">
        <x:v>ST120</x:v>
      </x:c>
      <x:c r="E1432" s="2" t="str">
        <x:v>G120</x:v>
      </x:c>
      <x:c r="F1432" s="2" t="str">
        <x:v>guardian120@example.invalid</x:v>
      </x:c>
      <x:c r="G1432" s="2" t="str">
        <x:v>Email</x:v>
      </x:c>
      <x:c r="H1432" s="2" t="str">
        <x:v>Boarded</x:v>
      </x:c>
      <x:c r="I1432" s="8" t="n">
        <x:v>46301.70864583333</x:v>
      </x:c>
      <x:c r="J1432" s="8" t="n">
        <x:v>46301.708668981475</x:v>
      </x:c>
      <x:c r="K1432" s="8" t="n">
        <x:v>46301.7087037037</x:v>
      </x:c>
      <x:c r="L1432" s="2" t="str">
        <x:v>Sent</x:v>
      </x:c>
      <x:c r="M1432" s="2" t="n">
        <x:v>1</x:v>
      </x:c>
      <x:c r="N1432" s="2"/>
      <x:c r="O1432" s="2"/>
    </x:row>
    <x:row r="1433" ht="21" customHeight="1">
      <x:c r="A1433" s="2" t="str">
        <x:v>NT001432</x:v>
      </x:c>
      <x:c r="B1433" s="2" t="str">
        <x:v>EV001434</x:v>
      </x:c>
      <x:c r="C1433" s="2" t="str">
        <x:v>T20261006-5-3</x:v>
      </x:c>
      <x:c r="D1433" s="2" t="str">
        <x:v>ST120</x:v>
      </x:c>
      <x:c r="E1433" s="2" t="str">
        <x:v>G120</x:v>
      </x:c>
      <x:c r="F1433" s="2" t="str">
        <x:v>guardian120@example.invalid</x:v>
      </x:c>
      <x:c r="G1433" s="2" t="str">
        <x:v>Email</x:v>
      </x:c>
      <x:c r="H1433" s="2" t="str">
        <x:v>Authorized release</x:v>
      </x:c>
      <x:c r="I1433" s="8" t="n">
        <x:v>46301.72392361111</x:v>
      </x:c>
      <x:c r="J1433" s="8" t="n">
        <x:v>46301.72394675926</x:v>
      </x:c>
      <x:c r="K1433" s="8" t="n">
        <x:v>46301.72398148148</x:v>
      </x:c>
      <x:c r="L1433" s="2" t="str">
        <x:v>Sent</x:v>
      </x:c>
      <x:c r="M1433" s="2" t="n">
        <x:v>1</x:v>
      </x:c>
      <x:c r="N1433" s="2"/>
      <x:c r="O1433" s="2"/>
    </x:row>
    <x:row r="1434" ht="21" customHeight="1">
      <x:c r="A1434" s="2" t="str">
        <x:v>NT001433</x:v>
      </x:c>
      <x:c r="B1434" s="2" t="str">
        <x:v>EV001435</x:v>
      </x:c>
      <x:c r="C1434" s="2" t="str">
        <x:v>T20261007-1-1</x:v>
      </x:c>
      <x:c r="D1434" s="2" t="str">
        <x:v>ST001</x:v>
      </x:c>
      <x:c r="E1434" s="2" t="str">
        <x:v>G001</x:v>
      </x:c>
      <x:c r="F1434" s="2" t="str">
        <x:v>guardian001@example.invalid</x:v>
      </x:c>
      <x:c r="G1434" s="2" t="str">
        <x:v>Email</x:v>
      </x:c>
      <x:c r="H1434" s="2" t="str">
        <x:v>Boarded</x:v>
      </x:c>
      <x:c r="I1434" s="8" t="n">
        <x:v>46302.242361111115</x:v>
      </x:c>
      <x:c r="J1434" s="8" t="n">
        <x:v>46302.24238425926</x:v>
      </x:c>
      <x:c r="K1434" s="8" t="n">
        <x:v>46302.242418981485</x:v>
      </x:c>
      <x:c r="L1434" s="2" t="str">
        <x:v>Sent</x:v>
      </x:c>
      <x:c r="M1434" s="2" t="n">
        <x:v>1</x:v>
      </x:c>
      <x:c r="N1434" s="2"/>
      <x:c r="O1434" s="2"/>
    </x:row>
    <x:row r="1435" ht="21" customHeight="1">
      <x:c r="A1435" s="2" t="str">
        <x:v>NT001434</x:v>
      </x:c>
      <x:c r="B1435" s="2" t="str">
        <x:v>EV001436</x:v>
      </x:c>
      <x:c r="C1435" s="2" t="str">
        <x:v>T20261007-1-1</x:v>
      </x:c>
      <x:c r="D1435" s="2" t="str">
        <x:v>ST001</x:v>
      </x:c>
      <x:c r="E1435" s="2" t="str">
        <x:v>G001</x:v>
      </x:c>
      <x:c r="F1435" s="2" t="str">
        <x:v>guardian001@example.invalid</x:v>
      </x:c>
      <x:c r="G1435" s="2" t="str">
        <x:v>Email</x:v>
      </x:c>
      <x:c r="H1435" s="2" t="str">
        <x:v>School receipt</x:v>
      </x:c>
      <x:c r="I1435" s="8" t="n">
        <x:v>46302.27638888889</x:v>
      </x:c>
      <x:c r="J1435" s="8" t="n">
        <x:v>46302.276412037034</x:v>
      </x:c>
      <x:c r="K1435" s="8" t="n">
        <x:v>46302.27644675926</x:v>
      </x:c>
      <x:c r="L1435" s="2" t="str">
        <x:v>Sent</x:v>
      </x:c>
      <x:c r="M1435" s="2" t="n">
        <x:v>1</x:v>
      </x:c>
      <x:c r="N1435" s="2"/>
      <x:c r="O1435" s="2"/>
    </x:row>
    <x:row r="1436" ht="21" customHeight="1">
      <x:c r="A1436" s="2" t="str">
        <x:v>NT001435</x:v>
      </x:c>
      <x:c r="B1436" s="2" t="str">
        <x:v>EV001437</x:v>
      </x:c>
      <x:c r="C1436" s="2" t="str">
        <x:v>T20261007-1-1</x:v>
      </x:c>
      <x:c r="D1436" s="2" t="str">
        <x:v>ST002</x:v>
      </x:c>
      <x:c r="E1436" s="2" t="str">
        <x:v>G002</x:v>
      </x:c>
      <x:c r="F1436" s="2" t="str">
        <x:v>guardian002@example.invalid</x:v>
      </x:c>
      <x:c r="G1436" s="2" t="str">
        <x:v>Email</x:v>
      </x:c>
      <x:c r="H1436" s="2" t="str">
        <x:v>Boarded</x:v>
      </x:c>
      <x:c r="I1436" s="8" t="n">
        <x:v>46302.24725694444</x:v>
      </x:c>
      <x:c r="J1436" s="8" t="n">
        <x:v>46302.24728009259</x:v>
      </x:c>
      <x:c r="K1436" s="8" t="n">
        <x:v>46302.24731481481</x:v>
      </x:c>
      <x:c r="L1436" s="2" t="str">
        <x:v>Sent</x:v>
      </x:c>
      <x:c r="M1436" s="2" t="n">
        <x:v>1</x:v>
      </x:c>
      <x:c r="N1436" s="2"/>
      <x:c r="O1436" s="2"/>
    </x:row>
    <x:row r="1437" ht="21" customHeight="1">
      <x:c r="A1437" s="2" t="str">
        <x:v>NT001436</x:v>
      </x:c>
      <x:c r="B1437" s="2" t="str">
        <x:v>EV001438</x:v>
      </x:c>
      <x:c r="C1437" s="2" t="str">
        <x:v>T20261007-1-1</x:v>
      </x:c>
      <x:c r="D1437" s="2" t="str">
        <x:v>ST002</x:v>
      </x:c>
      <x:c r="E1437" s="2" t="str">
        <x:v>G002</x:v>
      </x:c>
      <x:c r="F1437" s="2" t="str">
        <x:v>guardian002@example.invalid</x:v>
      </x:c>
      <x:c r="G1437" s="2" t="str">
        <x:v>Email</x:v>
      </x:c>
      <x:c r="H1437" s="2" t="str">
        <x:v>School receipt</x:v>
      </x:c>
      <x:c r="I1437" s="8" t="n">
        <x:v>46302.27642361111</x:v>
      </x:c>
      <x:c r="J1437" s="8" t="n">
        <x:v>46302.27644675926</x:v>
      </x:c>
      <x:c r="K1437" s="8" t="n">
        <x:v>46302.27648148148</x:v>
      </x:c>
      <x:c r="L1437" s="2" t="str">
        <x:v>Sent</x:v>
      </x:c>
      <x:c r="M1437" s="2" t="n">
        <x:v>1</x:v>
      </x:c>
      <x:c r="N1437" s="2"/>
      <x:c r="O1437" s="2"/>
    </x:row>
    <x:row r="1438" ht="21" customHeight="1">
      <x:c r="A1438" s="2" t="str">
        <x:v>NT001437</x:v>
      </x:c>
      <x:c r="B1438" s="2" t="str">
        <x:v>EV001439</x:v>
      </x:c>
      <x:c r="C1438" s="2" t="str">
        <x:v>T20261007-1-1</x:v>
      </x:c>
      <x:c r="D1438" s="2" t="str">
        <x:v>ST003</x:v>
      </x:c>
      <x:c r="E1438" s="2" t="str">
        <x:v>G003</x:v>
      </x:c>
      <x:c r="F1438" s="2" t="str">
        <x:v>guardian003@example.invalid</x:v>
      </x:c>
      <x:c r="G1438" s="2" t="str">
        <x:v>Email</x:v>
      </x:c>
      <x:c r="H1438" s="2" t="str">
        <x:v>Boarded</x:v>
      </x:c>
      <x:c r="I1438" s="8" t="n">
        <x:v>46302.25215277778</x:v>
      </x:c>
      <x:c r="J1438" s="8" t="n">
        <x:v>46302.252175925925</x:v>
      </x:c>
      <x:c r="K1438" s="8" t="n">
        <x:v>46302.25221064815</x:v>
      </x:c>
      <x:c r="L1438" s="2" t="str">
        <x:v>Sent</x:v>
      </x:c>
      <x:c r="M1438" s="2" t="n">
        <x:v>1</x:v>
      </x:c>
      <x:c r="N1438" s="2"/>
      <x:c r="O1438" s="2"/>
    </x:row>
    <x:row r="1439" ht="21" customHeight="1">
      <x:c r="A1439" s="2" t="str">
        <x:v>NT001438</x:v>
      </x:c>
      <x:c r="B1439" s="2" t="str">
        <x:v>EV001440</x:v>
      </x:c>
      <x:c r="C1439" s="2" t="str">
        <x:v>T20261007-1-1</x:v>
      </x:c>
      <x:c r="D1439" s="2" t="str">
        <x:v>ST003</x:v>
      </x:c>
      <x:c r="E1439" s="2" t="str">
        <x:v>G003</x:v>
      </x:c>
      <x:c r="F1439" s="2" t="str">
        <x:v>guardian003@example.invalid</x:v>
      </x:c>
      <x:c r="G1439" s="2" t="str">
        <x:v>Email</x:v>
      </x:c>
      <x:c r="H1439" s="2" t="str">
        <x:v>School receipt</x:v>
      </x:c>
      <x:c r="I1439" s="8" t="n">
        <x:v>46302.276458333334</x:v>
      </x:c>
      <x:c r="J1439" s="8" t="n">
        <x:v>46302.27648148148</x:v>
      </x:c>
      <x:c r="K1439" s="8" t="n">
        <x:v>46302.2765162037</x:v>
      </x:c>
      <x:c r="L1439" s="2" t="str">
        <x:v>Sent</x:v>
      </x:c>
      <x:c r="M1439" s="2" t="n">
        <x:v>1</x:v>
      </x:c>
      <x:c r="N1439" s="2"/>
      <x:c r="O1439" s="2"/>
    </x:row>
    <x:row r="1440" ht="21" customHeight="1">
      <x:c r="A1440" s="2" t="str">
        <x:v>NT001439</x:v>
      </x:c>
      <x:c r="B1440" s="2" t="str">
        <x:v>EV001441</x:v>
      </x:c>
      <x:c r="C1440" s="2" t="str">
        <x:v>T20261007-1-1</x:v>
      </x:c>
      <x:c r="D1440" s="2" t="str">
        <x:v>ST004</x:v>
      </x:c>
      <x:c r="E1440" s="2" t="str">
        <x:v>G004</x:v>
      </x:c>
      <x:c r="F1440" s="2" t="str">
        <x:v>guardian004@example.invalid</x:v>
      </x:c>
      <x:c r="G1440" s="2" t="str">
        <x:v>Email</x:v>
      </x:c>
      <x:c r="H1440" s="2" t="str">
        <x:v>Boarded</x:v>
      </x:c>
      <x:c r="I1440" s="8" t="n">
        <x:v>46302.242465277785</x:v>
      </x:c>
      <x:c r="J1440" s="8" t="n">
        <x:v>46302.24248842593</x:v>
      </x:c>
      <x:c r="K1440" s="8" t="n">
        <x:v>46302.242523148154</x:v>
      </x:c>
      <x:c r="L1440" s="2" t="str">
        <x:v>Sent</x:v>
      </x:c>
      <x:c r="M1440" s="2" t="n">
        <x:v>1</x:v>
      </x:c>
      <x:c r="N1440" s="2"/>
      <x:c r="O1440" s="2"/>
    </x:row>
    <x:row r="1441" ht="21" customHeight="1">
      <x:c r="A1441" s="2" t="str">
        <x:v>NT001440</x:v>
      </x:c>
      <x:c r="B1441" s="2" t="str">
        <x:v>EV001442</x:v>
      </x:c>
      <x:c r="C1441" s="2" t="str">
        <x:v>T20261007-1-1</x:v>
      </x:c>
      <x:c r="D1441" s="2" t="str">
        <x:v>ST004</x:v>
      </x:c>
      <x:c r="E1441" s="2" t="str">
        <x:v>G004</x:v>
      </x:c>
      <x:c r="F1441" s="2" t="str">
        <x:v>guardian004@example.invalid</x:v>
      </x:c>
      <x:c r="G1441" s="2" t="str">
        <x:v>Email</x:v>
      </x:c>
      <x:c r="H1441" s="2" t="str">
        <x:v>School receipt</x:v>
      </x:c>
      <x:c r="I1441" s="8" t="n">
        <x:v>46302.27649305556</x:v>
      </x:c>
      <x:c r="J1441" s="8" t="n">
        <x:v>46302.2765162037</x:v>
      </x:c>
      <x:c r="K1441" s="8" t="n">
        <x:v>46302.276550925926</x:v>
      </x:c>
      <x:c r="L1441" s="2" t="str">
        <x:v>Sent</x:v>
      </x:c>
      <x:c r="M1441" s="2" t="n">
        <x:v>1</x:v>
      </x:c>
      <x:c r="N1441" s="2"/>
      <x:c r="O1441" s="2"/>
    </x:row>
    <x:row r="1442" ht="21" customHeight="1">
      <x:c r="A1442" s="2" t="str">
        <x:v>NT001441</x:v>
      </x:c>
      <x:c r="B1442" s="2" t="str">
        <x:v>EV001443</x:v>
      </x:c>
      <x:c r="C1442" s="2" t="str">
        <x:v>T20261007-1-1</x:v>
      </x:c>
      <x:c r="D1442" s="2" t="str">
        <x:v>ST005</x:v>
      </x:c>
      <x:c r="E1442" s="2" t="str">
        <x:v>G005</x:v>
      </x:c>
      <x:c r="F1442" s="2" t="str">
        <x:v>guardian005@example.invalid</x:v>
      </x:c>
      <x:c r="G1442" s="2" t="str">
        <x:v>Email</x:v>
      </x:c>
      <x:c r="H1442" s="2" t="str">
        <x:v>Boarded</x:v>
      </x:c>
      <x:c r="I1442" s="8" t="n">
        <x:v>46302.24736111111</x:v>
      </x:c>
      <x:c r="J1442" s="8" t="n">
        <x:v>46302.24738425926</x:v>
      </x:c>
      <x:c r="K1442" s="8" t="n">
        <x:v>46302.24741898148</x:v>
      </x:c>
      <x:c r="L1442" s="2" t="str">
        <x:v>Sent</x:v>
      </x:c>
      <x:c r="M1442" s="2" t="n">
        <x:v>1</x:v>
      </x:c>
      <x:c r="N1442" s="2"/>
      <x:c r="O1442" s="2"/>
    </x:row>
    <x:row r="1443" ht="21" customHeight="1">
      <x:c r="A1443" s="2" t="str">
        <x:v>NT001442</x:v>
      </x:c>
      <x:c r="B1443" s="2" t="str">
        <x:v>EV001444</x:v>
      </x:c>
      <x:c r="C1443" s="2" t="str">
        <x:v>T20261007-1-1</x:v>
      </x:c>
      <x:c r="D1443" s="2" t="str">
        <x:v>ST005</x:v>
      </x:c>
      <x:c r="E1443" s="2" t="str">
        <x:v>G005</x:v>
      </x:c>
      <x:c r="F1443" s="2" t="str">
        <x:v>guardian005@example.invalid</x:v>
      </x:c>
      <x:c r="G1443" s="2" t="str">
        <x:v>Email</x:v>
      </x:c>
      <x:c r="H1443" s="2" t="str">
        <x:v>School receipt</x:v>
      </x:c>
      <x:c r="I1443" s="8" t="n">
        <x:v>46302.27652777778</x:v>
      </x:c>
      <x:c r="J1443" s="8" t="n">
        <x:v>46302.276550925926</x:v>
      </x:c>
      <x:c r="K1443" s="8" t="n">
        <x:v>46302.27658564815</x:v>
      </x:c>
      <x:c r="L1443" s="2" t="str">
        <x:v>Sent</x:v>
      </x:c>
      <x:c r="M1443" s="2" t="n">
        <x:v>1</x:v>
      </x:c>
      <x:c r="N1443" s="2"/>
      <x:c r="O1443" s="2"/>
    </x:row>
    <x:row r="1444" ht="21" customHeight="1">
      <x:c r="A1444" s="2" t="str">
        <x:v>NT001443</x:v>
      </x:c>
      <x:c r="B1444" s="2" t="str">
        <x:v>EV001445</x:v>
      </x:c>
      <x:c r="C1444" s="2" t="str">
        <x:v>T20261007-1-1</x:v>
      </x:c>
      <x:c r="D1444" s="2" t="str">
        <x:v>ST006</x:v>
      </x:c>
      <x:c r="E1444" s="2" t="str">
        <x:v>G006</x:v>
      </x:c>
      <x:c r="F1444" s="2" t="str">
        <x:v>guardian006@example.invalid</x:v>
      </x:c>
      <x:c r="G1444" s="2" t="str">
        <x:v>Email</x:v>
      </x:c>
      <x:c r="H1444" s="2" t="str">
        <x:v>Boarded</x:v>
      </x:c>
      <x:c r="I1444" s="8" t="n">
        <x:v>46302.25225694444</x:v>
      </x:c>
      <x:c r="J1444" s="8" t="n">
        <x:v>46302.25228009259</x:v>
      </x:c>
      <x:c r="K1444" s="8" t="n">
        <x:v>46302.25231481481</x:v>
      </x:c>
      <x:c r="L1444" s="2" t="str">
        <x:v>Sent</x:v>
      </x:c>
      <x:c r="M1444" s="2" t="n">
        <x:v>1</x:v>
      </x:c>
      <x:c r="N1444" s="2"/>
      <x:c r="O1444" s="2"/>
    </x:row>
    <x:row r="1445" ht="21" customHeight="1">
      <x:c r="A1445" s="2" t="str">
        <x:v>NT001444</x:v>
      </x:c>
      <x:c r="B1445" s="2" t="str">
        <x:v>EV001446</x:v>
      </x:c>
      <x:c r="C1445" s="2" t="str">
        <x:v>T20261007-1-1</x:v>
      </x:c>
      <x:c r="D1445" s="2" t="str">
        <x:v>ST006</x:v>
      </x:c>
      <x:c r="E1445" s="2" t="str">
        <x:v>G006</x:v>
      </x:c>
      <x:c r="F1445" s="2" t="str">
        <x:v>guardian006@example.invalid</x:v>
      </x:c>
      <x:c r="G1445" s="2" t="str">
        <x:v>Email</x:v>
      </x:c>
      <x:c r="H1445" s="2" t="str">
        <x:v>School receipt</x:v>
      </x:c>
      <x:c r="I1445" s="8" t="n">
        <x:v>46302.276562499996</x:v>
      </x:c>
      <x:c r="J1445" s="8" t="n">
        <x:v>46302.27658564814</x:v>
      </x:c>
      <x:c r="K1445" s="8" t="n">
        <x:v>46302.276620370365</x:v>
      </x:c>
      <x:c r="L1445" s="2" t="str">
        <x:v>Sent</x:v>
      </x:c>
      <x:c r="M1445" s="2" t="n">
        <x:v>1</x:v>
      </x:c>
      <x:c r="N1445" s="2"/>
      <x:c r="O1445" s="2"/>
    </x:row>
    <x:row r="1446" ht="21" customHeight="1">
      <x:c r="A1446" s="2" t="str">
        <x:v>NT001445</x:v>
      </x:c>
      <x:c r="B1446" s="2" t="str">
        <x:v>EV001447</x:v>
      </x:c>
      <x:c r="C1446" s="2" t="str">
        <x:v>T20261007-1-1</x:v>
      </x:c>
      <x:c r="D1446" s="2" t="str">
        <x:v>ST007</x:v>
      </x:c>
      <x:c r="E1446" s="2" t="str">
        <x:v>G007</x:v>
      </x:c>
      <x:c r="F1446" s="2" t="str">
        <x:v>guardian007@example.invalid</x:v>
      </x:c>
      <x:c r="G1446" s="2" t="str">
        <x:v>Email</x:v>
      </x:c>
      <x:c r="H1446" s="2" t="str">
        <x:v>Boarded</x:v>
      </x:c>
      <x:c r="I1446" s="8" t="n">
        <x:v>46302.24256944445</x:v>
      </x:c>
      <x:c r="J1446" s="8" t="n">
        <x:v>46302.24259259259</x:v>
      </x:c>
      <x:c r="K1446" s="8" t="n">
        <x:v>46302.242627314816</x:v>
      </x:c>
      <x:c r="L1446" s="2" t="str">
        <x:v>Sent</x:v>
      </x:c>
      <x:c r="M1446" s="2" t="n">
        <x:v>1</x:v>
      </x:c>
      <x:c r="N1446" s="2"/>
      <x:c r="O1446" s="2"/>
    </x:row>
    <x:row r="1447" ht="21" customHeight="1">
      <x:c r="A1447" s="2" t="str">
        <x:v>NT001446</x:v>
      </x:c>
      <x:c r="B1447" s="2" t="str">
        <x:v>EV001448</x:v>
      </x:c>
      <x:c r="C1447" s="2" t="str">
        <x:v>T20261007-1-1</x:v>
      </x:c>
      <x:c r="D1447" s="2" t="str">
        <x:v>ST007</x:v>
      </x:c>
      <x:c r="E1447" s="2" t="str">
        <x:v>G007</x:v>
      </x:c>
      <x:c r="F1447" s="2" t="str">
        <x:v>guardian007@example.invalid</x:v>
      </x:c>
      <x:c r="G1447" s="2" t="str">
        <x:v>Email</x:v>
      </x:c>
      <x:c r="H1447" s="2" t="str">
        <x:v>School receipt</x:v>
      </x:c>
      <x:c r="I1447" s="8" t="n">
        <x:v>46302.27659722222</x:v>
      </x:c>
      <x:c r="J1447" s="8" t="n">
        <x:v>46302.276620370365</x:v>
      </x:c>
      <x:c r="K1447" s="8" t="n">
        <x:v>46302.27665509259</x:v>
      </x:c>
      <x:c r="L1447" s="2" t="str">
        <x:v>Sent</x:v>
      </x:c>
      <x:c r="M1447" s="2" t="n">
        <x:v>1</x:v>
      </x:c>
      <x:c r="N1447" s="2"/>
      <x:c r="O1447" s="2"/>
    </x:row>
    <x:row r="1448" ht="21" customHeight="1">
      <x:c r="A1448" s="2" t="str">
        <x:v>NT001447</x:v>
      </x:c>
      <x:c r="B1448" s="2" t="str">
        <x:v>EV001449</x:v>
      </x:c>
      <x:c r="C1448" s="2" t="str">
        <x:v>T20261007-1-1</x:v>
      </x:c>
      <x:c r="D1448" s="2" t="str">
        <x:v>ST008</x:v>
      </x:c>
      <x:c r="E1448" s="2" t="str">
        <x:v>G008</x:v>
      </x:c>
      <x:c r="F1448" s="2" t="str">
        <x:v>guardian008@example.invalid</x:v>
      </x:c>
      <x:c r="G1448" s="2" t="str">
        <x:v>Email</x:v>
      </x:c>
      <x:c r="H1448" s="2" t="str">
        <x:v>Boarded</x:v>
      </x:c>
      <x:c r="I1448" s="8" t="n">
        <x:v>46302.247465277775</x:v>
      </x:c>
      <x:c r="J1448" s="8" t="n">
        <x:v>46302.24748842592</x:v>
      </x:c>
      <x:c r="K1448" s="8" t="n">
        <x:v>46302.247523148144</x:v>
      </x:c>
      <x:c r="L1448" s="2" t="str">
        <x:v>Sent</x:v>
      </x:c>
      <x:c r="M1448" s="2" t="n">
        <x:v>1</x:v>
      </x:c>
      <x:c r="N1448" s="2"/>
      <x:c r="O1448" s="2"/>
    </x:row>
    <x:row r="1449" ht="21" customHeight="1">
      <x:c r="A1449" s="2" t="str">
        <x:v>NT001448</x:v>
      </x:c>
      <x:c r="B1449" s="2" t="str">
        <x:v>EV001450</x:v>
      </x:c>
      <x:c r="C1449" s="2" t="str">
        <x:v>T20261007-1-1</x:v>
      </x:c>
      <x:c r="D1449" s="2" t="str">
        <x:v>ST008</x:v>
      </x:c>
      <x:c r="E1449" s="2" t="str">
        <x:v>G008</x:v>
      </x:c>
      <x:c r="F1449" s="2" t="str">
        <x:v>guardian008@example.invalid</x:v>
      </x:c>
      <x:c r="G1449" s="2" t="str">
        <x:v>Email</x:v>
      </x:c>
      <x:c r="H1449" s="2" t="str">
        <x:v>School receipt</x:v>
      </x:c>
      <x:c r="I1449" s="8" t="n">
        <x:v>46302.27663194444</x:v>
      </x:c>
      <x:c r="J1449" s="8" t="n">
        <x:v>46302.27665509259</x:v>
      </x:c>
      <x:c r="K1449" s="8" t="n">
        <x:v>46302.27668981481</x:v>
      </x:c>
      <x:c r="L1449" s="2" t="str">
        <x:v>Sent</x:v>
      </x:c>
      <x:c r="M1449" s="2" t="n">
        <x:v>1</x:v>
      </x:c>
      <x:c r="N1449" s="2"/>
      <x:c r="O1449" s="2"/>
    </x:row>
    <x:row r="1450" ht="21" customHeight="1">
      <x:c r="A1450" s="2" t="str">
        <x:v>NT001449</x:v>
      </x:c>
      <x:c r="B1450" s="2" t="str">
        <x:v>EV001451</x:v>
      </x:c>
      <x:c r="C1450" s="2" t="str">
        <x:v>T20261007-1-1</x:v>
      </x:c>
      <x:c r="D1450" s="2" t="str">
        <x:v>ST009</x:v>
      </x:c>
      <x:c r="E1450" s="2" t="str">
        <x:v>G009</x:v>
      </x:c>
      <x:c r="F1450" s="2" t="str">
        <x:v>guardian009@example.invalid</x:v>
      </x:c>
      <x:c r="G1450" s="2" t="str">
        <x:v>Email</x:v>
      </x:c>
      <x:c r="H1450" s="2" t="str">
        <x:v>Boarded</x:v>
      </x:c>
      <x:c r="I1450" s="8" t="n">
        <x:v>46302.25236111111</x:v>
      </x:c>
      <x:c r="J1450" s="8" t="n">
        <x:v>46302.252384259256</x:v>
      </x:c>
      <x:c r="K1450" s="8" t="n">
        <x:v>46302.25241898148</x:v>
      </x:c>
      <x:c r="L1450" s="2" t="str">
        <x:v>Sent</x:v>
      </x:c>
      <x:c r="M1450" s="2" t="n">
        <x:v>1</x:v>
      </x:c>
      <x:c r="N1450" s="2"/>
      <x:c r="O1450" s="2"/>
    </x:row>
    <x:row r="1451" ht="21" customHeight="1">
      <x:c r="A1451" s="2" t="str">
        <x:v>NT001450</x:v>
      </x:c>
      <x:c r="B1451" s="2" t="str">
        <x:v>EV001452</x:v>
      </x:c>
      <x:c r="C1451" s="2" t="str">
        <x:v>T20261007-1-1</x:v>
      </x:c>
      <x:c r="D1451" s="2" t="str">
        <x:v>ST009</x:v>
      </x:c>
      <x:c r="E1451" s="2" t="str">
        <x:v>G009</x:v>
      </x:c>
      <x:c r="F1451" s="2" t="str">
        <x:v>guardian009@example.invalid</x:v>
      </x:c>
      <x:c r="G1451" s="2" t="str">
        <x:v>Email</x:v>
      </x:c>
      <x:c r="H1451" s="2" t="str">
        <x:v>School receipt</x:v>
      </x:c>
      <x:c r="I1451" s="8" t="n">
        <x:v>46302.276666666665</x:v>
      </x:c>
      <x:c r="J1451" s="8" t="n">
        <x:v>46302.27668981481</x:v>
      </x:c>
      <x:c r="K1451" s="8" t="n">
        <x:v>46302.276724537034</x:v>
      </x:c>
      <x:c r="L1451" s="2" t="str">
        <x:v>Sent</x:v>
      </x:c>
      <x:c r="M1451" s="2" t="n">
        <x:v>1</x:v>
      </x:c>
      <x:c r="N1451" s="2"/>
      <x:c r="O1451" s="2"/>
    </x:row>
    <x:row r="1452" ht="21" customHeight="1">
      <x:c r="A1452" s="2" t="str">
        <x:v>NT001451</x:v>
      </x:c>
      <x:c r="B1452" s="2" t="str">
        <x:v>EV001453</x:v>
      </x:c>
      <x:c r="C1452" s="2" t="str">
        <x:v>T20261007-1-1</x:v>
      </x:c>
      <x:c r="D1452" s="2" t="str">
        <x:v>ST010</x:v>
      </x:c>
      <x:c r="E1452" s="2" t="str">
        <x:v>G010</x:v>
      </x:c>
      <x:c r="F1452" s="2" t="str">
        <x:v>guardian010@example.invalid</x:v>
      </x:c>
      <x:c r="G1452" s="2" t="str">
        <x:v>Email</x:v>
      </x:c>
      <x:c r="H1452" s="2" t="str">
        <x:v>Boarded</x:v>
      </x:c>
      <x:c r="I1452" s="8" t="n">
        <x:v>46302.242673611116</x:v>
      </x:c>
      <x:c r="J1452" s="8" t="n">
        <x:v>46302.24269675926</x:v>
      </x:c>
      <x:c r="K1452" s="8" t="n">
        <x:v>46302.242731481485</x:v>
      </x:c>
      <x:c r="L1452" s="2" t="str">
        <x:v>Sent</x:v>
      </x:c>
      <x:c r="M1452" s="2" t="n">
        <x:v>1</x:v>
      </x:c>
      <x:c r="N1452" s="2"/>
      <x:c r="O1452" s="2"/>
    </x:row>
    <x:row r="1453" ht="21" customHeight="1">
      <x:c r="A1453" s="2" t="str">
        <x:v>NT001452</x:v>
      </x:c>
      <x:c r="B1453" s="2" t="str">
        <x:v>EV001454</x:v>
      </x:c>
      <x:c r="C1453" s="2" t="str">
        <x:v>T20261007-1-1</x:v>
      </x:c>
      <x:c r="D1453" s="2" t="str">
        <x:v>ST010</x:v>
      </x:c>
      <x:c r="E1453" s="2" t="str">
        <x:v>G010</x:v>
      </x:c>
      <x:c r="F1453" s="2" t="str">
        <x:v>guardian010@example.invalid</x:v>
      </x:c>
      <x:c r="G1453" s="2" t="str">
        <x:v>Email</x:v>
      </x:c>
      <x:c r="H1453" s="2" t="str">
        <x:v>School receipt</x:v>
      </x:c>
      <x:c r="I1453" s="8" t="n">
        <x:v>46302.27670138889</x:v>
      </x:c>
      <x:c r="J1453" s="8" t="n">
        <x:v>46302.276724537034</x:v>
      </x:c>
      <x:c r="K1453" s="8" t="n">
        <x:v>46302.27675925926</x:v>
      </x:c>
      <x:c r="L1453" s="2" t="str">
        <x:v>Sent</x:v>
      </x:c>
      <x:c r="M1453" s="2" t="n">
        <x:v>1</x:v>
      </x:c>
      <x:c r="N1453" s="2"/>
      <x:c r="O1453" s="2"/>
    </x:row>
    <x:row r="1454" ht="21" customHeight="1">
      <x:c r="A1454" s="2" t="str">
        <x:v>NT001453</x:v>
      </x:c>
      <x:c r="B1454" s="2" t="str">
        <x:v>EV001455</x:v>
      </x:c>
      <x:c r="C1454" s="2" t="str">
        <x:v>T20261007-1-1</x:v>
      </x:c>
      <x:c r="D1454" s="2" t="str">
        <x:v>ST011</x:v>
      </x:c>
      <x:c r="E1454" s="2" t="str">
        <x:v>G011</x:v>
      </x:c>
      <x:c r="F1454" s="2" t="str">
        <x:v>guardian011@example.invalid</x:v>
      </x:c>
      <x:c r="G1454" s="2" t="str">
        <x:v>Email</x:v>
      </x:c>
      <x:c r="H1454" s="2" t="str">
        <x:v>Boarded</x:v>
      </x:c>
      <x:c r="I1454" s="8" t="n">
        <x:v>46302.24722222222</x:v>
      </x:c>
      <x:c r="J1454" s="8" t="n">
        <x:v>46302.24724537037</x:v>
      </x:c>
      <x:c r="K1454" s="8" t="n">
        <x:v>46302.24728009259</x:v>
      </x:c>
      <x:c r="L1454" s="2" t="str">
        <x:v>Sent</x:v>
      </x:c>
      <x:c r="M1454" s="2" t="n">
        <x:v>1</x:v>
      </x:c>
      <x:c r="N1454" s="2"/>
      <x:c r="O1454" s="2"/>
    </x:row>
    <x:row r="1455" ht="21" customHeight="1">
      <x:c r="A1455" s="2" t="str">
        <x:v>NT001454</x:v>
      </x:c>
      <x:c r="B1455" s="2" t="str">
        <x:v>EV001456</x:v>
      </x:c>
      <x:c r="C1455" s="2" t="str">
        <x:v>T20261007-1-1</x:v>
      </x:c>
      <x:c r="D1455" s="2" t="str">
        <x:v>ST011</x:v>
      </x:c>
      <x:c r="E1455" s="2" t="str">
        <x:v>G011</x:v>
      </x:c>
      <x:c r="F1455" s="2" t="str">
        <x:v>guardian011@example.invalid</x:v>
      </x:c>
      <x:c r="G1455" s="2" t="str">
        <x:v>Email</x:v>
      </x:c>
      <x:c r="H1455" s="2" t="str">
        <x:v>School receipt</x:v>
      </x:c>
      <x:c r="I1455" s="8" t="n">
        <x:v>46302.27673611111</x:v>
      </x:c>
      <x:c r="J1455" s="8" t="n">
        <x:v>46302.27675925926</x:v>
      </x:c>
      <x:c r="K1455" s="8" t="n">
        <x:v>46302.27679398148</x:v>
      </x:c>
      <x:c r="L1455" s="2" t="str">
        <x:v>Sent</x:v>
      </x:c>
      <x:c r="M1455" s="2" t="n">
        <x:v>1</x:v>
      </x:c>
      <x:c r="N1455" s="2"/>
      <x:c r="O1455" s="2"/>
    </x:row>
    <x:row r="1456" ht="21" customHeight="1">
      <x:c r="A1456" s="2" t="str">
        <x:v>NT001455</x:v>
      </x:c>
      <x:c r="B1456" s="2" t="str">
        <x:v>EV001457</x:v>
      </x:c>
      <x:c r="C1456" s="2" t="str">
        <x:v>T20261007-1-1</x:v>
      </x:c>
      <x:c r="D1456" s="2" t="str">
        <x:v>ST012</x:v>
      </x:c>
      <x:c r="E1456" s="2" t="str">
        <x:v>G012</x:v>
      </x:c>
      <x:c r="F1456" s="2" t="str">
        <x:v>guardian012@example.invalid</x:v>
      </x:c>
      <x:c r="G1456" s="2" t="str">
        <x:v>Email</x:v>
      </x:c>
      <x:c r="H1456" s="2" t="str">
        <x:v>Boarded</x:v>
      </x:c>
      <x:c r="I1456" s="8" t="n">
        <x:v>46302.252118055556</x:v>
      </x:c>
      <x:c r="J1456" s="8" t="n">
        <x:v>46302.2521412037</x:v>
      </x:c>
      <x:c r="K1456" s="8" t="n">
        <x:v>46302.252175925925</x:v>
      </x:c>
      <x:c r="L1456" s="2" t="str">
        <x:v>Sent</x:v>
      </x:c>
      <x:c r="M1456" s="2" t="n">
        <x:v>1</x:v>
      </x:c>
      <x:c r="N1456" s="2"/>
      <x:c r="O1456" s="2"/>
    </x:row>
    <x:row r="1457" ht="21" customHeight="1">
      <x:c r="A1457" s="2" t="str">
        <x:v>NT001456</x:v>
      </x:c>
      <x:c r="B1457" s="2" t="str">
        <x:v>EV001458</x:v>
      </x:c>
      <x:c r="C1457" s="2" t="str">
        <x:v>T20261007-1-1</x:v>
      </x:c>
      <x:c r="D1457" s="2" t="str">
        <x:v>ST012</x:v>
      </x:c>
      <x:c r="E1457" s="2" t="str">
        <x:v>G012</x:v>
      </x:c>
      <x:c r="F1457" s="2" t="str">
        <x:v>guardian012@example.invalid</x:v>
      </x:c>
      <x:c r="G1457" s="2" t="str">
        <x:v>Email</x:v>
      </x:c>
      <x:c r="H1457" s="2" t="str">
        <x:v>School receipt</x:v>
      </x:c>
      <x:c r="I1457" s="8" t="n">
        <x:v>46302.276770833334</x:v>
      </x:c>
      <x:c r="J1457" s="8" t="n">
        <x:v>46302.27679398148</x:v>
      </x:c>
      <x:c r="K1457" s="8" t="n">
        <x:v>46302.2768287037</x:v>
      </x:c>
      <x:c r="L1457" s="2" t="str">
        <x:v>Sent</x:v>
      </x:c>
      <x:c r="M1457" s="2" t="n">
        <x:v>1</x:v>
      </x:c>
      <x:c r="N1457" s="2"/>
      <x:c r="O1457" s="2"/>
    </x:row>
    <x:row r="1458" ht="21" customHeight="1">
      <x:c r="A1458" s="2" t="str">
        <x:v>NT001457</x:v>
      </x:c>
      <x:c r="B1458" s="2" t="str">
        <x:v>EV001459</x:v>
      </x:c>
      <x:c r="C1458" s="2" t="str">
        <x:v>T20261007-1-1</x:v>
      </x:c>
      <x:c r="D1458" s="2" t="str">
        <x:v>ST013</x:v>
      </x:c>
      <x:c r="E1458" s="2" t="str">
        <x:v>G013</x:v>
      </x:c>
      <x:c r="F1458" s="2" t="str">
        <x:v>guardian013@example.invalid</x:v>
      </x:c>
      <x:c r="G1458" s="2" t="str">
        <x:v>Email</x:v>
      </x:c>
      <x:c r="H1458" s="2" t="str">
        <x:v>Boarded</x:v>
      </x:c>
      <x:c r="I1458" s="8" t="n">
        <x:v>46302.24243055556</x:v>
      </x:c>
      <x:c r="J1458" s="8" t="n">
        <x:v>46302.24245370371</x:v>
      </x:c>
      <x:c r="K1458" s="8" t="n">
        <x:v>46302.24248842593</x:v>
      </x:c>
      <x:c r="L1458" s="2" t="str">
        <x:v>Sent</x:v>
      </x:c>
      <x:c r="M1458" s="2" t="n">
        <x:v>1</x:v>
      </x:c>
      <x:c r="N1458" s="2"/>
      <x:c r="O1458" s="2"/>
    </x:row>
    <x:row r="1459" ht="21" customHeight="1">
      <x:c r="A1459" s="2" t="str">
        <x:v>NT001458</x:v>
      </x:c>
      <x:c r="B1459" s="2" t="str">
        <x:v>EV001460</x:v>
      </x:c>
      <x:c r="C1459" s="2" t="str">
        <x:v>T20261007-1-1</x:v>
      </x:c>
      <x:c r="D1459" s="2" t="str">
        <x:v>ST013</x:v>
      </x:c>
      <x:c r="E1459" s="2" t="str">
        <x:v>G013</x:v>
      </x:c>
      <x:c r="F1459" s="2" t="str">
        <x:v>guardian013@example.invalid</x:v>
      </x:c>
      <x:c r="G1459" s="2" t="str">
        <x:v>Email</x:v>
      </x:c>
      <x:c r="H1459" s="2" t="str">
        <x:v>School receipt</x:v>
      </x:c>
      <x:c r="I1459" s="8" t="n">
        <x:v>46302.27680555556</x:v>
      </x:c>
      <x:c r="J1459" s="8" t="n">
        <x:v>46302.2768287037</x:v>
      </x:c>
      <x:c r="K1459" s="8" t="n">
        <x:v>46302.27686342593</x:v>
      </x:c>
      <x:c r="L1459" s="2" t="str">
        <x:v>Sent</x:v>
      </x:c>
      <x:c r="M1459" s="2" t="n">
        <x:v>1</x:v>
      </x:c>
      <x:c r="N1459" s="2"/>
      <x:c r="O1459" s="2"/>
    </x:row>
    <x:row r="1460" ht="21" customHeight="1">
      <x:c r="A1460" s="2" t="str">
        <x:v>NT001459</x:v>
      </x:c>
      <x:c r="B1460" s="2" t="str">
        <x:v>EV001461</x:v>
      </x:c>
      <x:c r="C1460" s="2" t="str">
        <x:v>T20261007-1-1</x:v>
      </x:c>
      <x:c r="D1460" s="2" t="str">
        <x:v>ST014</x:v>
      </x:c>
      <x:c r="E1460" s="2" t="str">
        <x:v>G014</x:v>
      </x:c>
      <x:c r="F1460" s="2" t="str">
        <x:v>guardian014@example.invalid</x:v>
      </x:c>
      <x:c r="G1460" s="2" t="str">
        <x:v>Email</x:v>
      </x:c>
      <x:c r="H1460" s="2" t="str">
        <x:v>Boarded</x:v>
      </x:c>
      <x:c r="I1460" s="8" t="n">
        <x:v>46302.24732638889</x:v>
      </x:c>
      <x:c r="J1460" s="8" t="n">
        <x:v>46302.247349537036</x:v>
      </x:c>
      <x:c r="K1460" s="8" t="n">
        <x:v>46302.24738425926</x:v>
      </x:c>
      <x:c r="L1460" s="2" t="str">
        <x:v>Sent</x:v>
      </x:c>
      <x:c r="M1460" s="2" t="n">
        <x:v>1</x:v>
      </x:c>
      <x:c r="N1460" s="2"/>
      <x:c r="O1460" s="2"/>
    </x:row>
    <x:row r="1461" ht="21" customHeight="1">
      <x:c r="A1461" s="2" t="str">
        <x:v>NT001460</x:v>
      </x:c>
      <x:c r="B1461" s="2" t="str">
        <x:v>EV001462</x:v>
      </x:c>
      <x:c r="C1461" s="2" t="str">
        <x:v>T20261007-1-1</x:v>
      </x:c>
      <x:c r="D1461" s="2" t="str">
        <x:v>ST014</x:v>
      </x:c>
      <x:c r="E1461" s="2" t="str">
        <x:v>G014</x:v>
      </x:c>
      <x:c r="F1461" s="2" t="str">
        <x:v>guardian014@example.invalid</x:v>
      </x:c>
      <x:c r="G1461" s="2" t="str">
        <x:v>Email</x:v>
      </x:c>
      <x:c r="H1461" s="2" t="str">
        <x:v>School receipt</x:v>
      </x:c>
      <x:c r="I1461" s="8" t="n">
        <x:v>46302.27684027777</x:v>
      </x:c>
      <x:c r="J1461" s="8" t="n">
        <x:v>46302.27686342592</x:v>
      </x:c>
      <x:c r="K1461" s="8" t="n">
        <x:v>46302.27689814814</x:v>
      </x:c>
      <x:c r="L1461" s="2" t="str">
        <x:v>Sent</x:v>
      </x:c>
      <x:c r="M1461" s="2" t="n">
        <x:v>1</x:v>
      </x:c>
      <x:c r="N1461" s="2"/>
      <x:c r="O1461" s="2"/>
    </x:row>
    <x:row r="1462" ht="21" customHeight="1">
      <x:c r="A1462" s="2" t="str">
        <x:v>NT001461</x:v>
      </x:c>
      <x:c r="B1462" s="2" t="str">
        <x:v>EV001463</x:v>
      </x:c>
      <x:c r="C1462" s="2" t="str">
        <x:v>T20261007-1-1</x:v>
      </x:c>
      <x:c r="D1462" s="2" t="str">
        <x:v>ST015</x:v>
      </x:c>
      <x:c r="E1462" s="2" t="str">
        <x:v>G015</x:v>
      </x:c>
      <x:c r="F1462" s="2" t="str">
        <x:v>guardian015@example.invalid</x:v>
      </x:c>
      <x:c r="G1462" s="2" t="str">
        <x:v>Email</x:v>
      </x:c>
      <x:c r="H1462" s="2" t="str">
        <x:v>Boarded</x:v>
      </x:c>
      <x:c r="I1462" s="8" t="n">
        <x:v>46302.252222222225</x:v>
      </x:c>
      <x:c r="J1462" s="8" t="n">
        <x:v>46302.25224537037</x:v>
      </x:c>
      <x:c r="K1462" s="8" t="n">
        <x:v>46302.252280092594</x:v>
      </x:c>
      <x:c r="L1462" s="2" t="str">
        <x:v>Sent</x:v>
      </x:c>
      <x:c r="M1462" s="2" t="n">
        <x:v>1</x:v>
      </x:c>
      <x:c r="N1462" s="2"/>
      <x:c r="O1462" s="2"/>
    </x:row>
    <x:row r="1463" ht="21" customHeight="1">
      <x:c r="A1463" s="2" t="str">
        <x:v>NT001462</x:v>
      </x:c>
      <x:c r="B1463" s="2" t="str">
        <x:v>EV001464</x:v>
      </x:c>
      <x:c r="C1463" s="2" t="str">
        <x:v>T20261007-1-1</x:v>
      </x:c>
      <x:c r="D1463" s="2" t="str">
        <x:v>ST015</x:v>
      </x:c>
      <x:c r="E1463" s="2" t="str">
        <x:v>G015</x:v>
      </x:c>
      <x:c r="F1463" s="2" t="str">
        <x:v>guardian015@example.invalid</x:v>
      </x:c>
      <x:c r="G1463" s="2" t="str">
        <x:v>Email</x:v>
      </x:c>
      <x:c r="H1463" s="2" t="str">
        <x:v>School receipt</x:v>
      </x:c>
      <x:c r="I1463" s="8" t="n">
        <x:v>46302.276874999996</x:v>
      </x:c>
      <x:c r="J1463" s="8" t="n">
        <x:v>46302.27689814814</x:v>
      </x:c>
      <x:c r="K1463" s="8" t="n">
        <x:v>46302.276932870365</x:v>
      </x:c>
      <x:c r="L1463" s="2" t="str">
        <x:v>Sent</x:v>
      </x:c>
      <x:c r="M1463" s="2" t="n">
        <x:v>1</x:v>
      </x:c>
      <x:c r="N1463" s="2"/>
      <x:c r="O1463" s="2"/>
    </x:row>
    <x:row r="1464" ht="21" customHeight="1">
      <x:c r="A1464" s="2" t="str">
        <x:v>NT001463</x:v>
      </x:c>
      <x:c r="B1464" s="2" t="str">
        <x:v>EV001465</x:v>
      </x:c>
      <x:c r="C1464" s="2" t="str">
        <x:v>T20261007-1-1</x:v>
      </x:c>
      <x:c r="D1464" s="2" t="str">
        <x:v>ST016</x:v>
      </x:c>
      <x:c r="E1464" s="2" t="str">
        <x:v>G016</x:v>
      </x:c>
      <x:c r="F1464" s="2" t="str">
        <x:v>guardian016@example.invalid</x:v>
      </x:c>
      <x:c r="G1464" s="2" t="str">
        <x:v>Email</x:v>
      </x:c>
      <x:c r="H1464" s="2" t="str">
        <x:v>Boarded</x:v>
      </x:c>
      <x:c r="I1464" s="8" t="n">
        <x:v>46302.24253472222</x:v>
      </x:c>
      <x:c r="J1464" s="8" t="n">
        <x:v>46302.24255787037</x:v>
      </x:c>
      <x:c r="K1464" s="8" t="n">
        <x:v>46302.24259259259</x:v>
      </x:c>
      <x:c r="L1464" s="2" t="str">
        <x:v>Sent</x:v>
      </x:c>
      <x:c r="M1464" s="2" t="n">
        <x:v>1</x:v>
      </x:c>
      <x:c r="N1464" s="2"/>
      <x:c r="O1464" s="2"/>
    </x:row>
    <x:row r="1465" ht="21" customHeight="1">
      <x:c r="A1465" s="2" t="str">
        <x:v>NT001464</x:v>
      </x:c>
      <x:c r="B1465" s="2" t="str">
        <x:v>EV001466</x:v>
      </x:c>
      <x:c r="C1465" s="2" t="str">
        <x:v>T20261007-1-1</x:v>
      </x:c>
      <x:c r="D1465" s="2" t="str">
        <x:v>ST016</x:v>
      </x:c>
      <x:c r="E1465" s="2" t="str">
        <x:v>G016</x:v>
      </x:c>
      <x:c r="F1465" s="2" t="str">
        <x:v>guardian016@example.invalid</x:v>
      </x:c>
      <x:c r="G1465" s="2" t="str">
        <x:v>Email</x:v>
      </x:c>
      <x:c r="H1465" s="2" t="str">
        <x:v>School receipt</x:v>
      </x:c>
      <x:c r="I1465" s="8" t="n">
        <x:v>46302.27690972222</x:v>
      </x:c>
      <x:c r="J1465" s="8" t="n">
        <x:v>46302.276932870365</x:v>
      </x:c>
      <x:c r="K1465" s="8" t="n">
        <x:v>46302.27696759259</x:v>
      </x:c>
      <x:c r="L1465" s="2" t="str">
        <x:v>Sent</x:v>
      </x:c>
      <x:c r="M1465" s="2" t="n">
        <x:v>1</x:v>
      </x:c>
      <x:c r="N1465" s="2"/>
      <x:c r="O1465" s="2"/>
    </x:row>
    <x:row r="1466" ht="21" customHeight="1">
      <x:c r="A1466" s="2" t="str">
        <x:v>NT001465</x:v>
      </x:c>
      <x:c r="B1466" s="2" t="str">
        <x:v>EV001467</x:v>
      </x:c>
      <x:c r="C1466" s="2" t="str">
        <x:v>T20261007-1-1</x:v>
      </x:c>
      <x:c r="D1466" s="2" t="str">
        <x:v>ST017</x:v>
      </x:c>
      <x:c r="E1466" s="2" t="str">
        <x:v>G017</x:v>
      </x:c>
      <x:c r="F1466" s="2" t="str">
        <x:v>guardian017@example.invalid</x:v>
      </x:c>
      <x:c r="G1466" s="2" t="str">
        <x:v>Email</x:v>
      </x:c>
      <x:c r="H1466" s="2" t="str">
        <x:v>Boarded</x:v>
      </x:c>
      <x:c r="I1466" s="8" t="n">
        <x:v>46302.24743055555</x:v>
      </x:c>
      <x:c r="J1466" s="8" t="n">
        <x:v>46302.2474537037</x:v>
      </x:c>
      <x:c r="K1466" s="8" t="n">
        <x:v>46302.24748842592</x:v>
      </x:c>
      <x:c r="L1466" s="2" t="str">
        <x:v>Sent</x:v>
      </x:c>
      <x:c r="M1466" s="2" t="n">
        <x:v>1</x:v>
      </x:c>
      <x:c r="N1466" s="2"/>
      <x:c r="O1466" s="2"/>
    </x:row>
    <x:row r="1467" ht="21" customHeight="1">
      <x:c r="A1467" s="2" t="str">
        <x:v>NT001466</x:v>
      </x:c>
      <x:c r="B1467" s="2" t="str">
        <x:v>EV001468</x:v>
      </x:c>
      <x:c r="C1467" s="2" t="str">
        <x:v>T20261007-1-1</x:v>
      </x:c>
      <x:c r="D1467" s="2" t="str">
        <x:v>ST017</x:v>
      </x:c>
      <x:c r="E1467" s="2" t="str">
        <x:v>G017</x:v>
      </x:c>
      <x:c r="F1467" s="2" t="str">
        <x:v>guardian017@example.invalid</x:v>
      </x:c>
      <x:c r="G1467" s="2" t="str">
        <x:v>Email</x:v>
      </x:c>
      <x:c r="H1467" s="2" t="str">
        <x:v>School receipt</x:v>
      </x:c>
      <x:c r="I1467" s="8" t="n">
        <x:v>46302.27694444444</x:v>
      </x:c>
      <x:c r="J1467" s="8" t="n">
        <x:v>46302.27696759259</x:v>
      </x:c>
      <x:c r="K1467" s="8" t="n">
        <x:v>46302.27700231481</x:v>
      </x:c>
      <x:c r="L1467" s="2" t="str">
        <x:v>Sent</x:v>
      </x:c>
      <x:c r="M1467" s="2" t="n">
        <x:v>1</x:v>
      </x:c>
      <x:c r="N1467" s="2"/>
      <x:c r="O1467" s="2"/>
    </x:row>
    <x:row r="1468" ht="21" customHeight="1">
      <x:c r="A1468" s="2" t="str">
        <x:v>NT001467</x:v>
      </x:c>
      <x:c r="B1468" s="2" t="str">
        <x:v>EV001469</x:v>
      </x:c>
      <x:c r="C1468" s="2" t="str">
        <x:v>T20261007-1-1</x:v>
      </x:c>
      <x:c r="D1468" s="2" t="str">
        <x:v>ST018</x:v>
      </x:c>
      <x:c r="E1468" s="2" t="str">
        <x:v>G018</x:v>
      </x:c>
      <x:c r="F1468" s="2" t="str">
        <x:v>guardian018@example.invalid</x:v>
      </x:c>
      <x:c r="G1468" s="2" t="str">
        <x:v>Email</x:v>
      </x:c>
      <x:c r="H1468" s="2" t="str">
        <x:v>Boarded</x:v>
      </x:c>
      <x:c r="I1468" s="8" t="n">
        <x:v>46302.25232638889</x:v>
      </x:c>
      <x:c r="J1468" s="8" t="n">
        <x:v>46302.25234953703</x:v>
      </x:c>
      <x:c r="K1468" s="8" t="n">
        <x:v>46302.252384259256</x:v>
      </x:c>
      <x:c r="L1468" s="2" t="str">
        <x:v>Sent</x:v>
      </x:c>
      <x:c r="M1468" s="2" t="n">
        <x:v>1</x:v>
      </x:c>
      <x:c r="N1468" s="2"/>
      <x:c r="O1468" s="2"/>
    </x:row>
    <x:row r="1469" ht="21" customHeight="1">
      <x:c r="A1469" s="2" t="str">
        <x:v>NT001468</x:v>
      </x:c>
      <x:c r="B1469" s="2" t="str">
        <x:v>EV001470</x:v>
      </x:c>
      <x:c r="C1469" s="2" t="str">
        <x:v>T20261007-1-1</x:v>
      </x:c>
      <x:c r="D1469" s="2" t="str">
        <x:v>ST018</x:v>
      </x:c>
      <x:c r="E1469" s="2" t="str">
        <x:v>G018</x:v>
      </x:c>
      <x:c r="F1469" s="2" t="str">
        <x:v>guardian018@example.invalid</x:v>
      </x:c>
      <x:c r="G1469" s="2" t="str">
        <x:v>Email</x:v>
      </x:c>
      <x:c r="H1469" s="2" t="str">
        <x:v>School receipt</x:v>
      </x:c>
      <x:c r="I1469" s="8" t="n">
        <x:v>46302.276979166665</x:v>
      </x:c>
      <x:c r="J1469" s="8" t="n">
        <x:v>46302.27700231481</x:v>
      </x:c>
      <x:c r="K1469" s="8" t="n">
        <x:v>46302.277037037034</x:v>
      </x:c>
      <x:c r="L1469" s="2" t="str">
        <x:v>Sent</x:v>
      </x:c>
      <x:c r="M1469" s="2" t="n">
        <x:v>1</x:v>
      </x:c>
      <x:c r="N1469" s="2"/>
      <x:c r="O1469" s="2"/>
    </x:row>
    <x:row r="1470" ht="21" customHeight="1">
      <x:c r="A1470" s="2" t="str">
        <x:v>NT001469</x:v>
      </x:c>
      <x:c r="B1470" s="2" t="str">
        <x:v>EV001471</x:v>
      </x:c>
      <x:c r="C1470" s="2" t="str">
        <x:v>T20261007-1-1</x:v>
      </x:c>
      <x:c r="D1470" s="2" t="str">
        <x:v>ST019</x:v>
      </x:c>
      <x:c r="E1470" s="2" t="str">
        <x:v>G019</x:v>
      </x:c>
      <x:c r="F1470" s="2" t="str">
        <x:v>guardian019@example.invalid</x:v>
      </x:c>
      <x:c r="G1470" s="2" t="str">
        <x:v>Email</x:v>
      </x:c>
      <x:c r="H1470" s="2" t="str">
        <x:v>Boarded</x:v>
      </x:c>
      <x:c r="I1470" s="8" t="n">
        <x:v>46302.24263888889</x:v>
      </x:c>
      <x:c r="J1470" s="8" t="n">
        <x:v>46302.24266203704</x:v>
      </x:c>
      <x:c r="K1470" s="8" t="n">
        <x:v>46302.24269675926</x:v>
      </x:c>
      <x:c r="L1470" s="2" t="str">
        <x:v>Sent</x:v>
      </x:c>
      <x:c r="M1470" s="2" t="n">
        <x:v>1</x:v>
      </x:c>
      <x:c r="N1470" s="2"/>
      <x:c r="O1470" s="2"/>
    </x:row>
    <x:row r="1471" ht="21" customHeight="1">
      <x:c r="A1471" s="2" t="str">
        <x:v>NT001470</x:v>
      </x:c>
      <x:c r="B1471" s="2" t="str">
        <x:v>EV001472</x:v>
      </x:c>
      <x:c r="C1471" s="2" t="str">
        <x:v>T20261007-1-1</x:v>
      </x:c>
      <x:c r="D1471" s="2" t="str">
        <x:v>ST019</x:v>
      </x:c>
      <x:c r="E1471" s="2" t="str">
        <x:v>G019</x:v>
      </x:c>
      <x:c r="F1471" s="2" t="str">
        <x:v>guardian019@example.invalid</x:v>
      </x:c>
      <x:c r="G1471" s="2" t="str">
        <x:v>Email</x:v>
      </x:c>
      <x:c r="H1471" s="2" t="str">
        <x:v>School receipt</x:v>
      </x:c>
      <x:c r="I1471" s="8" t="n">
        <x:v>46302.27701388889</x:v>
      </x:c>
      <x:c r="J1471" s="8" t="n">
        <x:v>46302.277037037034</x:v>
      </x:c>
      <x:c r="K1471" s="8" t="n">
        <x:v>46302.27707175926</x:v>
      </x:c>
      <x:c r="L1471" s="2" t="str">
        <x:v>Sent</x:v>
      </x:c>
      <x:c r="M1471" s="2" t="n">
        <x:v>1</x:v>
      </x:c>
      <x:c r="N1471" s="2"/>
      <x:c r="O1471" s="2"/>
    </x:row>
    <x:row r="1472" ht="21" customHeight="1">
      <x:c r="A1472" s="2" t="str">
        <x:v>NT001471</x:v>
      </x:c>
      <x:c r="B1472" s="2" t="str">
        <x:v>EV001473</x:v>
      </x:c>
      <x:c r="C1472" s="2" t="str">
        <x:v>T20261007-1-1</x:v>
      </x:c>
      <x:c r="D1472" s="2" t="str">
        <x:v>ST020</x:v>
      </x:c>
      <x:c r="E1472" s="2" t="str">
        <x:v>G020</x:v>
      </x:c>
      <x:c r="F1472" s="2" t="str">
        <x:v>guardian020@example.invalid</x:v>
      </x:c>
      <x:c r="G1472" s="2" t="str">
        <x:v>Email</x:v>
      </x:c>
      <x:c r="H1472" s="2" t="str">
        <x:v>Boarded</x:v>
      </x:c>
      <x:c r="I1472" s="8" t="n">
        <x:v>46302.24753472222</x:v>
      </x:c>
      <x:c r="J1472" s="8" t="n">
        <x:v>46302.24755787037</x:v>
      </x:c>
      <x:c r="K1472" s="8" t="n">
        <x:v>46302.24759259259</x:v>
      </x:c>
      <x:c r="L1472" s="2" t="str">
        <x:v>Sent</x:v>
      </x:c>
      <x:c r="M1472" s="2" t="n">
        <x:v>1</x:v>
      </x:c>
      <x:c r="N1472" s="2"/>
      <x:c r="O1472" s="2"/>
    </x:row>
    <x:row r="1473" ht="21" customHeight="1">
      <x:c r="A1473" s="2" t="str">
        <x:v>NT001472</x:v>
      </x:c>
      <x:c r="B1473" s="2" t="str">
        <x:v>EV001474</x:v>
      </x:c>
      <x:c r="C1473" s="2" t="str">
        <x:v>T20261007-1-1</x:v>
      </x:c>
      <x:c r="D1473" s="2" t="str">
        <x:v>ST020</x:v>
      </x:c>
      <x:c r="E1473" s="2" t="str">
        <x:v>G020</x:v>
      </x:c>
      <x:c r="F1473" s="2" t="str">
        <x:v>guardian020@example.invalid</x:v>
      </x:c>
      <x:c r="G1473" s="2" t="str">
        <x:v>Email</x:v>
      </x:c>
      <x:c r="H1473" s="2" t="str">
        <x:v>School receipt</x:v>
      </x:c>
      <x:c r="I1473" s="8" t="n">
        <x:v>46302.27704861111</x:v>
      </x:c>
      <x:c r="J1473" s="8" t="n">
        <x:v>46302.27707175926</x:v>
      </x:c>
      <x:c r="K1473" s="8" t="n">
        <x:v>46302.27710648148</x:v>
      </x:c>
      <x:c r="L1473" s="2" t="str">
        <x:v>Sent</x:v>
      </x:c>
      <x:c r="M1473" s="2" t="n">
        <x:v>1</x:v>
      </x:c>
      <x:c r="N1473" s="2"/>
      <x:c r="O1473" s="2"/>
    </x:row>
    <x:row r="1474" ht="21" customHeight="1">
      <x:c r="A1474" s="2" t="str">
        <x:v>NT001473</x:v>
      </x:c>
      <x:c r="B1474" s="2" t="str">
        <x:v>EV001475</x:v>
      </x:c>
      <x:c r="C1474" s="2" t="str">
        <x:v>T20261007-2-1</x:v>
      </x:c>
      <x:c r="D1474" s="2" t="str">
        <x:v>ST001</x:v>
      </x:c>
      <x:c r="E1474" s="2" t="str">
        <x:v>G001</x:v>
      </x:c>
      <x:c r="F1474" s="2" t="str">
        <x:v>guardian001@example.invalid</x:v>
      </x:c>
      <x:c r="G1474" s="2" t="str">
        <x:v>Email</x:v>
      </x:c>
      <x:c r="H1474" s="2" t="str">
        <x:v>Boarded</x:v>
      </x:c>
      <x:c r="I1474" s="8" t="n">
        <x:v>46302.4375</x:v>
      </x:c>
      <x:c r="J1474" s="8" t="n">
        <x:v>46302.437523148146</x:v>
      </x:c>
      <x:c r="K1474" s="8" t="n">
        <x:v>46302.43755787037</x:v>
      </x:c>
      <x:c r="L1474" s="2" t="str">
        <x:v>Sent</x:v>
      </x:c>
      <x:c r="M1474" s="2" t="n">
        <x:v>1</x:v>
      </x:c>
      <x:c r="N1474" s="2"/>
      <x:c r="O1474" s="2"/>
    </x:row>
    <x:row r="1475" ht="21" customHeight="1">
      <x:c r="A1475" s="2" t="str">
        <x:v>NT001474</x:v>
      </x:c>
      <x:c r="B1475" s="2" t="str">
        <x:v>EV001476</x:v>
      </x:c>
      <x:c r="C1475" s="2" t="str">
        <x:v>T20261007-2-1</x:v>
      </x:c>
      <x:c r="D1475" s="2" t="str">
        <x:v>ST001</x:v>
      </x:c>
      <x:c r="E1475" s="2" t="str">
        <x:v>G001</x:v>
      </x:c>
      <x:c r="F1475" s="2" t="str">
        <x:v>guardian001@example.invalid</x:v>
      </x:c>
      <x:c r="G1475" s="2" t="str">
        <x:v>Email</x:v>
      </x:c>
      <x:c r="H1475" s="2" t="str">
        <x:v>Authorized release</x:v>
      </x:c>
      <x:c r="I1475" s="8" t="n">
        <x:v>46302.44930555555</x:v>
      </x:c>
      <x:c r="J1475" s="8" t="n">
        <x:v>46302.4493287037</x:v>
      </x:c>
      <x:c r="K1475" s="8" t="n">
        <x:v>46302.44936342592</x:v>
      </x:c>
      <x:c r="L1475" s="2" t="str">
        <x:v>Sent</x:v>
      </x:c>
      <x:c r="M1475" s="2" t="n">
        <x:v>1</x:v>
      </x:c>
      <x:c r="N1475" s="2"/>
      <x:c r="O1475" s="2"/>
    </x:row>
    <x:row r="1476" ht="21" customHeight="1">
      <x:c r="A1476" s="2" t="str">
        <x:v>NT001475</x:v>
      </x:c>
      <x:c r="B1476" s="2" t="str">
        <x:v>EV001477</x:v>
      </x:c>
      <x:c r="C1476" s="2" t="str">
        <x:v>T20261007-2-1</x:v>
      </x:c>
      <x:c r="D1476" s="2" t="str">
        <x:v>ST002</x:v>
      </x:c>
      <x:c r="E1476" s="2" t="str">
        <x:v>G002</x:v>
      </x:c>
      <x:c r="F1476" s="2" t="str">
        <x:v>guardian002@example.invalid</x:v>
      </x:c>
      <x:c r="G1476" s="2" t="str">
        <x:v>Email</x:v>
      </x:c>
      <x:c r="H1476" s="2" t="str">
        <x:v>Boarded</x:v>
      </x:c>
      <x:c r="I1476" s="8" t="n">
        <x:v>46302.43753472222</x:v>
      </x:c>
      <x:c r="J1476" s="8" t="n">
        <x:v>46302.43755787037</x:v>
      </x:c>
      <x:c r="K1476" s="8" t="n">
        <x:v>46302.43759259259</x:v>
      </x:c>
      <x:c r="L1476" s="2" t="str">
        <x:v>Sent</x:v>
      </x:c>
      <x:c r="M1476" s="2" t="n">
        <x:v>1</x:v>
      </x:c>
      <x:c r="N1476" s="2"/>
      <x:c r="O1476" s="2"/>
    </x:row>
    <x:row r="1477" ht="21" customHeight="1">
      <x:c r="A1477" s="2" t="str">
        <x:v>NT001476</x:v>
      </x:c>
      <x:c r="B1477" s="2" t="str">
        <x:v>EV001478</x:v>
      </x:c>
      <x:c r="C1477" s="2" t="str">
        <x:v>T20261007-2-1</x:v>
      </x:c>
      <x:c r="D1477" s="2" t="str">
        <x:v>ST002</x:v>
      </x:c>
      <x:c r="E1477" s="2" t="str">
        <x:v>G002</x:v>
      </x:c>
      <x:c r="F1477" s="2" t="str">
        <x:v>guardian002@example.invalid</x:v>
      </x:c>
      <x:c r="G1477" s="2" t="str">
        <x:v>Email</x:v>
      </x:c>
      <x:c r="H1477" s="2" t="str">
        <x:v>Authorized release</x:v>
      </x:c>
      <x:c r="I1477" s="8" t="n">
        <x:v>46302.45350694445</x:v>
      </x:c>
      <x:c r="J1477" s="8" t="n">
        <x:v>46302.45353009259</x:v>
      </x:c>
      <x:c r="K1477" s="8" t="n">
        <x:v>46302.453564814816</x:v>
      </x:c>
      <x:c r="L1477" s="2" t="str">
        <x:v>Sent</x:v>
      </x:c>
      <x:c r="M1477" s="2" t="n">
        <x:v>1</x:v>
      </x:c>
      <x:c r="N1477" s="2"/>
      <x:c r="O1477" s="2"/>
    </x:row>
    <x:row r="1478" ht="21" customHeight="1">
      <x:c r="A1478" s="2" t="str">
        <x:v>NT001477</x:v>
      </x:c>
      <x:c r="B1478" s="2" t="str">
        <x:v>EV001479</x:v>
      </x:c>
      <x:c r="C1478" s="2" t="str">
        <x:v>T20261007-2-1</x:v>
      </x:c>
      <x:c r="D1478" s="2" t="str">
        <x:v>ST003</x:v>
      </x:c>
      <x:c r="E1478" s="2" t="str">
        <x:v>G003</x:v>
      </x:c>
      <x:c r="F1478" s="2" t="str">
        <x:v>guardian003@example.invalid</x:v>
      </x:c>
      <x:c r="G1478" s="2" t="str">
        <x:v>Email</x:v>
      </x:c>
      <x:c r="H1478" s="2" t="str">
        <x:v>Boarded</x:v>
      </x:c>
      <x:c r="I1478" s="8" t="n">
        <x:v>46302.437569444446</x:v>
      </x:c>
      <x:c r="J1478" s="8" t="n">
        <x:v>46302.43759259259</x:v>
      </x:c>
      <x:c r="K1478" s="8" t="n">
        <x:v>46302.437627314815</x:v>
      </x:c>
      <x:c r="L1478" s="2" t="str">
        <x:v>Sent</x:v>
      </x:c>
      <x:c r="M1478" s="2" t="n">
        <x:v>1</x:v>
      </x:c>
      <x:c r="N1478" s="2"/>
      <x:c r="O1478" s="2"/>
    </x:row>
    <x:row r="1479" ht="21" customHeight="1">
      <x:c r="A1479" s="2" t="str">
        <x:v>NT001478</x:v>
      </x:c>
      <x:c r="B1479" s="2" t="str">
        <x:v>EV001480</x:v>
      </x:c>
      <x:c r="C1479" s="2" t="str">
        <x:v>T20261007-2-1</x:v>
      </x:c>
      <x:c r="D1479" s="2" t="str">
        <x:v>ST003</x:v>
      </x:c>
      <x:c r="E1479" s="2" t="str">
        <x:v>G003</x:v>
      </x:c>
      <x:c r="F1479" s="2" t="str">
        <x:v>guardian003@example.invalid</x:v>
      </x:c>
      <x:c r="G1479" s="2" t="str">
        <x:v>Email</x:v>
      </x:c>
      <x:c r="H1479" s="2" t="str">
        <x:v>Authorized release</x:v>
      </x:c>
      <x:c r="I1479" s="8" t="n">
        <x:v>46302.457708333335</x:v>
      </x:c>
      <x:c r="J1479" s="8" t="n">
        <x:v>46302.45773148148</x:v>
      </x:c>
      <x:c r="K1479" s="8" t="n">
        <x:v>46302.457766203705</x:v>
      </x:c>
      <x:c r="L1479" s="2" t="str">
        <x:v>Sent</x:v>
      </x:c>
      <x:c r="M1479" s="2" t="n">
        <x:v>1</x:v>
      </x:c>
      <x:c r="N1479" s="2"/>
      <x:c r="O1479" s="2"/>
    </x:row>
    <x:row r="1480" ht="21" customHeight="1">
      <x:c r="A1480" s="2" t="str">
        <x:v>NT001479</x:v>
      </x:c>
      <x:c r="B1480" s="2" t="str">
        <x:v>EV001481</x:v>
      </x:c>
      <x:c r="C1480" s="2" t="str">
        <x:v>T20261007-2-1</x:v>
      </x:c>
      <x:c r="D1480" s="2" t="str">
        <x:v>ST004</x:v>
      </x:c>
      <x:c r="E1480" s="2" t="str">
        <x:v>G004</x:v>
      </x:c>
      <x:c r="F1480" s="2" t="str">
        <x:v>guardian004@example.invalid</x:v>
      </x:c>
      <x:c r="G1480" s="2" t="str">
        <x:v>Email</x:v>
      </x:c>
      <x:c r="H1480" s="2" t="str">
        <x:v>Boarded</x:v>
      </x:c>
      <x:c r="I1480" s="8" t="n">
        <x:v>46302.43760416667</x:v>
      </x:c>
      <x:c r="J1480" s="8" t="n">
        <x:v>46302.437627314815</x:v>
      </x:c>
      <x:c r="K1480" s="8" t="n">
        <x:v>46302.43766203704</x:v>
      </x:c>
      <x:c r="L1480" s="2" t="str">
        <x:v>Sent</x:v>
      </x:c>
      <x:c r="M1480" s="2" t="n">
        <x:v>1</x:v>
      </x:c>
      <x:c r="N1480" s="2"/>
      <x:c r="O1480" s="2"/>
    </x:row>
    <x:row r="1481" ht="21" customHeight="1">
      <x:c r="A1481" s="2" t="str">
        <x:v>NT001480</x:v>
      </x:c>
      <x:c r="B1481" s="2" t="str">
        <x:v>EV001482</x:v>
      </x:c>
      <x:c r="C1481" s="2" t="str">
        <x:v>T20261007-2-1</x:v>
      </x:c>
      <x:c r="D1481" s="2" t="str">
        <x:v>ST004</x:v>
      </x:c>
      <x:c r="E1481" s="2" t="str">
        <x:v>G004</x:v>
      </x:c>
      <x:c r="F1481" s="2" t="str">
        <x:v>guardian004@example.invalid</x:v>
      </x:c>
      <x:c r="G1481" s="2" t="str">
        <x:v>Email</x:v>
      </x:c>
      <x:c r="H1481" s="2" t="str">
        <x:v>Authorized release</x:v>
      </x:c>
      <x:c r="I1481" s="8" t="n">
        <x:v>46302.44940972222</x:v>
      </x:c>
      <x:c r="J1481" s="8" t="n">
        <x:v>46302.449432870366</x:v>
      </x:c>
      <x:c r="K1481" s="8" t="n">
        <x:v>46302.44946759259</x:v>
      </x:c>
      <x:c r="L1481" s="2" t="str">
        <x:v>Sent</x:v>
      </x:c>
      <x:c r="M1481" s="2" t="n">
        <x:v>1</x:v>
      </x:c>
      <x:c r="N1481" s="2"/>
      <x:c r="O1481" s="2"/>
    </x:row>
    <x:row r="1482" ht="21" customHeight="1">
      <x:c r="A1482" s="2" t="str">
        <x:v>NT001481</x:v>
      </x:c>
      <x:c r="B1482" s="2" t="str">
        <x:v>EV001483</x:v>
      </x:c>
      <x:c r="C1482" s="2" t="str">
        <x:v>T20261007-2-1</x:v>
      </x:c>
      <x:c r="D1482" s="2" t="str">
        <x:v>ST005</x:v>
      </x:c>
      <x:c r="E1482" s="2" t="str">
        <x:v>G005</x:v>
      </x:c>
      <x:c r="F1482" s="2" t="str">
        <x:v>guardian005@example.invalid</x:v>
      </x:c>
      <x:c r="G1482" s="2" t="str">
        <x:v>Email</x:v>
      </x:c>
      <x:c r="H1482" s="2" t="str">
        <x:v>Boarded</x:v>
      </x:c>
      <x:c r="I1482" s="8" t="n">
        <x:v>46302.43763888889</x:v>
      </x:c>
      <x:c r="J1482" s="8" t="n">
        <x:v>46302.43766203704</x:v>
      </x:c>
      <x:c r="K1482" s="8" t="n">
        <x:v>46302.43769675926</x:v>
      </x:c>
      <x:c r="L1482" s="2" t="str">
        <x:v>Sent</x:v>
      </x:c>
      <x:c r="M1482" s="2" t="n">
        <x:v>1</x:v>
      </x:c>
      <x:c r="N1482" s="2"/>
      <x:c r="O1482" s="2"/>
    </x:row>
    <x:row r="1483" ht="21" customHeight="1">
      <x:c r="A1483" s="2" t="str">
        <x:v>NT001482</x:v>
      </x:c>
      <x:c r="B1483" s="2" t="str">
        <x:v>EV001484</x:v>
      </x:c>
      <x:c r="C1483" s="2" t="str">
        <x:v>T20261007-2-1</x:v>
      </x:c>
      <x:c r="D1483" s="2" t="str">
        <x:v>ST005</x:v>
      </x:c>
      <x:c r="E1483" s="2" t="str">
        <x:v>G005</x:v>
      </x:c>
      <x:c r="F1483" s="2" t="str">
        <x:v>guardian005@example.invalid</x:v>
      </x:c>
      <x:c r="G1483" s="2" t="str">
        <x:v>Email</x:v>
      </x:c>
      <x:c r="H1483" s="2" t="str">
        <x:v>Authorized release</x:v>
      </x:c>
      <x:c r="I1483" s="8" t="n">
        <x:v>46302.453611111116</x:v>
      </x:c>
      <x:c r="J1483" s="8" t="n">
        <x:v>46302.45363425926</x:v>
      </x:c>
      <x:c r="K1483" s="8" t="n">
        <x:v>46302.453668981485</x:v>
      </x:c>
      <x:c r="L1483" s="2" t="str">
        <x:v>Sent</x:v>
      </x:c>
      <x:c r="M1483" s="2" t="n">
        <x:v>1</x:v>
      </x:c>
      <x:c r="N1483" s="2"/>
      <x:c r="O1483" s="2"/>
    </x:row>
    <x:row r="1484" ht="21" customHeight="1">
      <x:c r="A1484" s="2" t="str">
        <x:v>NT001483</x:v>
      </x:c>
      <x:c r="B1484" s="2" t="str">
        <x:v>EV001485</x:v>
      </x:c>
      <x:c r="C1484" s="2" t="str">
        <x:v>T20261007-2-1</x:v>
      </x:c>
      <x:c r="D1484" s="2" t="str">
        <x:v>ST006</x:v>
      </x:c>
      <x:c r="E1484" s="2" t="str">
        <x:v>G006</x:v>
      </x:c>
      <x:c r="F1484" s="2" t="str">
        <x:v>guardian006@example.invalid</x:v>
      </x:c>
      <x:c r="G1484" s="2" t="str">
        <x:v>Email</x:v>
      </x:c>
      <x:c r="H1484" s="2" t="str">
        <x:v>Boarded</x:v>
      </x:c>
      <x:c r="I1484" s="8" t="n">
        <x:v>46302.43767361111</x:v>
      </x:c>
      <x:c r="J1484" s="8" t="n">
        <x:v>46302.437696759254</x:v>
      </x:c>
      <x:c r="K1484" s="8" t="n">
        <x:v>46302.43773148148</x:v>
      </x:c>
      <x:c r="L1484" s="2" t="str">
        <x:v>Sent</x:v>
      </x:c>
      <x:c r="M1484" s="2" t="n">
        <x:v>1</x:v>
      </x:c>
      <x:c r="N1484" s="2"/>
      <x:c r="O1484" s="2"/>
    </x:row>
    <x:row r="1485" ht="21" customHeight="1">
      <x:c r="A1485" s="2" t="str">
        <x:v>NT001484</x:v>
      </x:c>
      <x:c r="B1485" s="2" t="str">
        <x:v>EV001486</x:v>
      </x:c>
      <x:c r="C1485" s="2" t="str">
        <x:v>T20261007-2-1</x:v>
      </x:c>
      <x:c r="D1485" s="2" t="str">
        <x:v>ST006</x:v>
      </x:c>
      <x:c r="E1485" s="2" t="str">
        <x:v>G006</x:v>
      </x:c>
      <x:c r="F1485" s="2" t="str">
        <x:v>guardian006@example.invalid</x:v>
      </x:c>
      <x:c r="G1485" s="2" t="str">
        <x:v>Email</x:v>
      </x:c>
      <x:c r="H1485" s="2" t="str">
        <x:v>Authorized release</x:v>
      </x:c>
      <x:c r="I1485" s="8" t="n">
        <x:v>46302.4578125</x:v>
      </x:c>
      <x:c r="J1485" s="8" t="n">
        <x:v>46302.45783564814</x:v>
      </x:c>
      <x:c r="K1485" s="8" t="n">
        <x:v>46302.45787037037</x:v>
      </x:c>
      <x:c r="L1485" s="2" t="str">
        <x:v>Sent</x:v>
      </x:c>
      <x:c r="M1485" s="2" t="n">
        <x:v>1</x:v>
      </x:c>
      <x:c r="N1485" s="2"/>
      <x:c r="O1485" s="2"/>
    </x:row>
    <x:row r="1486" ht="21" customHeight="1">
      <x:c r="A1486" s="2" t="str">
        <x:v>NT001485</x:v>
      </x:c>
      <x:c r="B1486" s="2" t="str">
        <x:v>EV001487</x:v>
      </x:c>
      <x:c r="C1486" s="2" t="str">
        <x:v>T20261007-2-1</x:v>
      </x:c>
      <x:c r="D1486" s="2" t="str">
        <x:v>ST007</x:v>
      </x:c>
      <x:c r="E1486" s="2" t="str">
        <x:v>G007</x:v>
      </x:c>
      <x:c r="F1486" s="2" t="str">
        <x:v>guardian007@example.invalid</x:v>
      </x:c>
      <x:c r="G1486" s="2" t="str">
        <x:v>Email</x:v>
      </x:c>
      <x:c r="H1486" s="2" t="str">
        <x:v>Boarded</x:v>
      </x:c>
      <x:c r="I1486" s="8" t="n">
        <x:v>46302.43770833333</x:v>
      </x:c>
      <x:c r="J1486" s="8" t="n">
        <x:v>46302.43773148148</x:v>
      </x:c>
      <x:c r="K1486" s="8" t="n">
        <x:v>46302.4377662037</x:v>
      </x:c>
      <x:c r="L1486" s="2" t="str">
        <x:v>Sent</x:v>
      </x:c>
      <x:c r="M1486" s="2" t="n">
        <x:v>1</x:v>
      </x:c>
      <x:c r="N1486" s="2"/>
      <x:c r="O1486" s="2"/>
    </x:row>
    <x:row r="1487" ht="21" customHeight="1">
      <x:c r="A1487" s="2" t="str">
        <x:v>NT001486</x:v>
      </x:c>
      <x:c r="B1487" s="2" t="str">
        <x:v>EV001488</x:v>
      </x:c>
      <x:c r="C1487" s="2" t="str">
        <x:v>T20261007-2-1</x:v>
      </x:c>
      <x:c r="D1487" s="2" t="str">
        <x:v>ST007</x:v>
      </x:c>
      <x:c r="E1487" s="2" t="str">
        <x:v>G007</x:v>
      </x:c>
      <x:c r="F1487" s="2" t="str">
        <x:v>guardian007@example.invalid</x:v>
      </x:c>
      <x:c r="G1487" s="2" t="str">
        <x:v>Email</x:v>
      </x:c>
      <x:c r="H1487" s="2" t="str">
        <x:v>Authorized release</x:v>
      </x:c>
      <x:c r="I1487" s="8" t="n">
        <x:v>46302.44951388888</x:v>
      </x:c>
      <x:c r="J1487" s="8" t="n">
        <x:v>46302.44953703703</x:v>
      </x:c>
      <x:c r="K1487" s="8" t="n">
        <x:v>46302.44957175925</x:v>
      </x:c>
      <x:c r="L1487" s="2" t="str">
        <x:v>Sent</x:v>
      </x:c>
      <x:c r="M1487" s="2" t="n">
        <x:v>1</x:v>
      </x:c>
      <x:c r="N1487" s="2"/>
      <x:c r="O1487" s="2"/>
    </x:row>
    <x:row r="1488" ht="21" customHeight="1">
      <x:c r="A1488" s="2" t="str">
        <x:v>NT001487</x:v>
      </x:c>
      <x:c r="B1488" s="2" t="str">
        <x:v>EV001489</x:v>
      </x:c>
      <x:c r="C1488" s="2" t="str">
        <x:v>T20261007-2-1</x:v>
      </x:c>
      <x:c r="D1488" s="2" t="str">
        <x:v>ST008</x:v>
      </x:c>
      <x:c r="E1488" s="2" t="str">
        <x:v>G008</x:v>
      </x:c>
      <x:c r="F1488" s="2" t="str">
        <x:v>guardian008@example.invalid</x:v>
      </x:c>
      <x:c r="G1488" s="2" t="str">
        <x:v>Email</x:v>
      </x:c>
      <x:c r="H1488" s="2" t="str">
        <x:v>Boarded</x:v>
      </x:c>
      <x:c r="I1488" s="8" t="n">
        <x:v>46302.437743055554</x:v>
      </x:c>
      <x:c r="J1488" s="8" t="n">
        <x:v>46302.4377662037</x:v>
      </x:c>
      <x:c r="K1488" s="8" t="n">
        <x:v>46302.43780092592</x:v>
      </x:c>
      <x:c r="L1488" s="2" t="str">
        <x:v>Sent</x:v>
      </x:c>
      <x:c r="M1488" s="2" t="n">
        <x:v>1</x:v>
      </x:c>
      <x:c r="N1488" s="2"/>
      <x:c r="O1488" s="2"/>
    </x:row>
    <x:row r="1489" ht="21" customHeight="1">
      <x:c r="A1489" s="2" t="str">
        <x:v>NT001488</x:v>
      </x:c>
      <x:c r="B1489" s="2" t="str">
        <x:v>EV001490</x:v>
      </x:c>
      <x:c r="C1489" s="2" t="str">
        <x:v>T20261007-2-1</x:v>
      </x:c>
      <x:c r="D1489" s="2" t="str">
        <x:v>ST008</x:v>
      </x:c>
      <x:c r="E1489" s="2" t="str">
        <x:v>G008</x:v>
      </x:c>
      <x:c r="F1489" s="2" t="str">
        <x:v>guardian008@example.invalid</x:v>
      </x:c>
      <x:c r="G1489" s="2" t="str">
        <x:v>Email</x:v>
      </x:c>
      <x:c r="H1489" s="2" t="str">
        <x:v>Authorized release</x:v>
      </x:c>
      <x:c r="I1489" s="8" t="n">
        <x:v>46302.45371527778</x:v>
      </x:c>
      <x:c r="J1489" s="8" t="n">
        <x:v>46302.453738425924</x:v>
      </x:c>
      <x:c r="K1489" s="8" t="n">
        <x:v>46302.45377314815</x:v>
      </x:c>
      <x:c r="L1489" s="2" t="str">
        <x:v>Sent</x:v>
      </x:c>
      <x:c r="M1489" s="2" t="n">
        <x:v>1</x:v>
      </x:c>
      <x:c r="N1489" s="2"/>
      <x:c r="O1489" s="2"/>
    </x:row>
    <x:row r="1490" ht="21" customHeight="1">
      <x:c r="A1490" s="2" t="str">
        <x:v>NT001489</x:v>
      </x:c>
      <x:c r="B1490" s="2" t="str">
        <x:v>EV001491</x:v>
      </x:c>
      <x:c r="C1490" s="2" t="str">
        <x:v>T20261007-2-1</x:v>
      </x:c>
      <x:c r="D1490" s="2" t="str">
        <x:v>ST009</x:v>
      </x:c>
      <x:c r="E1490" s="2" t="str">
        <x:v>G009</x:v>
      </x:c>
      <x:c r="F1490" s="2" t="str">
        <x:v>guardian009@example.invalid</x:v>
      </x:c>
      <x:c r="G1490" s="2" t="str">
        <x:v>Email</x:v>
      </x:c>
      <x:c r="H1490" s="2" t="str">
        <x:v>Boarded</x:v>
      </x:c>
      <x:c r="I1490" s="8" t="n">
        <x:v>46302.43777777778</x:v>
      </x:c>
      <x:c r="J1490" s="8" t="n">
        <x:v>46302.43780092592</x:v>
      </x:c>
      <x:c r="K1490" s="8" t="n">
        <x:v>46302.43783564815</x:v>
      </x:c>
      <x:c r="L1490" s="2" t="str">
        <x:v>Sent</x:v>
      </x:c>
      <x:c r="M1490" s="2" t="n">
        <x:v>1</x:v>
      </x:c>
      <x:c r="N1490" s="2"/>
      <x:c r="O1490" s="2"/>
    </x:row>
    <x:row r="1491" ht="21" customHeight="1">
      <x:c r="A1491" s="2" t="str">
        <x:v>NT001490</x:v>
      </x:c>
      <x:c r="B1491" s="2" t="str">
        <x:v>EV001492</x:v>
      </x:c>
      <x:c r="C1491" s="2" t="str">
        <x:v>T20261007-2-1</x:v>
      </x:c>
      <x:c r="D1491" s="2" t="str">
        <x:v>ST009</x:v>
      </x:c>
      <x:c r="E1491" s="2" t="str">
        <x:v>G009</x:v>
      </x:c>
      <x:c r="F1491" s="2" t="str">
        <x:v>guardian009@example.invalid</x:v>
      </x:c>
      <x:c r="G1491" s="2" t="str">
        <x:v>Email</x:v>
      </x:c>
      <x:c r="H1491" s="2" t="str">
        <x:v>Authorized release</x:v>
      </x:c>
      <x:c r="I1491" s="8" t="n">
        <x:v>46302.457916666666</x:v>
      </x:c>
      <x:c r="J1491" s="8" t="n">
        <x:v>46302.45793981481</x:v>
      </x:c>
      <x:c r="K1491" s="8" t="n">
        <x:v>46302.457974537036</x:v>
      </x:c>
      <x:c r="L1491" s="2" t="str">
        <x:v>Sent</x:v>
      </x:c>
      <x:c r="M1491" s="2" t="n">
        <x:v>1</x:v>
      </x:c>
      <x:c r="N1491" s="2"/>
      <x:c r="O1491" s="2"/>
    </x:row>
    <x:row r="1492" ht="21" customHeight="1">
      <x:c r="A1492" s="2" t="str">
        <x:v>NT001491</x:v>
      </x:c>
      <x:c r="B1492" s="2" t="str">
        <x:v>EV001493</x:v>
      </x:c>
      <x:c r="C1492" s="2" t="str">
        <x:v>T20261007-2-1</x:v>
      </x:c>
      <x:c r="D1492" s="2" t="str">
        <x:v>ST010</x:v>
      </x:c>
      <x:c r="E1492" s="2" t="str">
        <x:v>G010</x:v>
      </x:c>
      <x:c r="F1492" s="2" t="str">
        <x:v>guardian010@example.invalid</x:v>
      </x:c>
      <x:c r="G1492" s="2" t="str">
        <x:v>Email</x:v>
      </x:c>
      <x:c r="H1492" s="2" t="str">
        <x:v>Boarded</x:v>
      </x:c>
      <x:c r="I1492" s="8" t="n">
        <x:v>46302.4378125</x:v>
      </x:c>
      <x:c r="J1492" s="8" t="n">
        <x:v>46302.43783564815</x:v>
      </x:c>
      <x:c r="K1492" s="8" t="n">
        <x:v>46302.43787037037</x:v>
      </x:c>
      <x:c r="L1492" s="2" t="str">
        <x:v>Sent</x:v>
      </x:c>
      <x:c r="M1492" s="2" t="n">
        <x:v>1</x:v>
      </x:c>
      <x:c r="N1492" s="2"/>
      <x:c r="O1492" s="2"/>
    </x:row>
    <x:row r="1493" ht="21" customHeight="1">
      <x:c r="A1493" s="2" t="str">
        <x:v>NT001492</x:v>
      </x:c>
      <x:c r="B1493" s="2" t="str">
        <x:v>EV001494</x:v>
      </x:c>
      <x:c r="C1493" s="2" t="str">
        <x:v>T20261007-2-1</x:v>
      </x:c>
      <x:c r="D1493" s="2" t="str">
        <x:v>ST010</x:v>
      </x:c>
      <x:c r="E1493" s="2" t="str">
        <x:v>G010</x:v>
      </x:c>
      <x:c r="F1493" s="2" t="str">
        <x:v>guardian010@example.invalid</x:v>
      </x:c>
      <x:c r="G1493" s="2" t="str">
        <x:v>Email</x:v>
      </x:c>
      <x:c r="H1493" s="2" t="str">
        <x:v>Authorized release</x:v>
      </x:c>
      <x:c r="I1493" s="8" t="n">
        <x:v>46302.44961805555</x:v>
      </x:c>
      <x:c r="J1493" s="8" t="n">
        <x:v>46302.4496412037</x:v>
      </x:c>
      <x:c r="K1493" s="8" t="n">
        <x:v>46302.44967592592</x:v>
      </x:c>
      <x:c r="L1493" s="2" t="str">
        <x:v>Sent</x:v>
      </x:c>
      <x:c r="M1493" s="2" t="n">
        <x:v>1</x:v>
      </x:c>
      <x:c r="N1493" s="2"/>
      <x:c r="O1493" s="2"/>
    </x:row>
    <x:row r="1494" ht="21" customHeight="1">
      <x:c r="A1494" s="2" t="str">
        <x:v>NT001493</x:v>
      </x:c>
      <x:c r="B1494" s="2" t="str">
        <x:v>EV001495</x:v>
      </x:c>
      <x:c r="C1494" s="2" t="str">
        <x:v>T20261007-2-1</x:v>
      </x:c>
      <x:c r="D1494" s="2" t="str">
        <x:v>ST021</x:v>
      </x:c>
      <x:c r="E1494" s="2" t="str">
        <x:v>G021</x:v>
      </x:c>
      <x:c r="F1494" s="2" t="str">
        <x:v>guardian021@example.invalid</x:v>
      </x:c>
      <x:c r="G1494" s="2" t="str">
        <x:v>Email</x:v>
      </x:c>
      <x:c r="H1494" s="2" t="str">
        <x:v>Boarded</x:v>
      </x:c>
      <x:c r="I1494" s="8" t="n">
        <x:v>46302.48125</x:v>
      </x:c>
      <x:c r="J1494" s="8" t="n">
        <x:v>46302.48127314814</x:v>
      </x:c>
      <x:c r="K1494" s="8" t="n">
        <x:v>46302.48130787037</x:v>
      </x:c>
      <x:c r="L1494" s="2" t="str">
        <x:v>Sent</x:v>
      </x:c>
      <x:c r="M1494" s="2" t="n">
        <x:v>1</x:v>
      </x:c>
      <x:c r="N1494" s="2"/>
      <x:c r="O1494" s="2"/>
    </x:row>
    <x:row r="1495" ht="21" customHeight="1">
      <x:c r="A1495" s="2" t="str">
        <x:v>NT001494</x:v>
      </x:c>
      <x:c r="B1495" s="2" t="str">
        <x:v>EV001496</x:v>
      </x:c>
      <x:c r="C1495" s="2" t="str">
        <x:v>T20261007-2-1</x:v>
      </x:c>
      <x:c r="D1495" s="2" t="str">
        <x:v>ST021</x:v>
      </x:c>
      <x:c r="E1495" s="2" t="str">
        <x:v>G021</x:v>
      </x:c>
      <x:c r="F1495" s="2" t="str">
        <x:v>guardian021@example.invalid</x:v>
      </x:c>
      <x:c r="G1495" s="2" t="str">
        <x:v>Email</x:v>
      </x:c>
      <x:c r="H1495" s="2" t="str">
        <x:v>School receipt</x:v>
      </x:c>
      <x:c r="I1495" s="8" t="n">
        <x:v>46302.506250000006</x:v>
      </x:c>
      <x:c r="J1495" s="8" t="n">
        <x:v>46302.50627314815</x:v>
      </x:c>
      <x:c r="K1495" s="8" t="n">
        <x:v>46302.506307870375</x:v>
      </x:c>
      <x:c r="L1495" s="2" t="str">
        <x:v>Sent</x:v>
      </x:c>
      <x:c r="M1495" s="2" t="n">
        <x:v>1</x:v>
      </x:c>
      <x:c r="N1495" s="2"/>
      <x:c r="O1495" s="2"/>
    </x:row>
    <x:row r="1496" ht="21" customHeight="1">
      <x:c r="A1496" s="2" t="str">
        <x:v>NT001495</x:v>
      </x:c>
      <x:c r="B1496" s="2" t="str">
        <x:v>EV001497</x:v>
      </x:c>
      <x:c r="C1496" s="2" t="str">
        <x:v>T20261007-2-1</x:v>
      </x:c>
      <x:c r="D1496" s="2" t="str">
        <x:v>ST022</x:v>
      </x:c>
      <x:c r="E1496" s="2" t="str">
        <x:v>G022</x:v>
      </x:c>
      <x:c r="F1496" s="2" t="str">
        <x:v>guardian022@example.invalid</x:v>
      </x:c>
      <x:c r="G1496" s="2" t="str">
        <x:v>Email</x:v>
      </x:c>
      <x:c r="H1496" s="2" t="str">
        <x:v>Boarded</x:v>
      </x:c>
      <x:c r="I1496" s="8" t="n">
        <x:v>46302.4715625</x:v>
      </x:c>
      <x:c r="J1496" s="8" t="n">
        <x:v>46302.47158564815</x:v>
      </x:c>
      <x:c r="K1496" s="8" t="n">
        <x:v>46302.47162037037</x:v>
      </x:c>
      <x:c r="L1496" s="2" t="str">
        <x:v>Sent</x:v>
      </x:c>
      <x:c r="M1496" s="2" t="n">
        <x:v>1</x:v>
      </x:c>
      <x:c r="N1496" s="2"/>
      <x:c r="O1496" s="2"/>
    </x:row>
    <x:row r="1497" ht="21" customHeight="1">
      <x:c r="A1497" s="2" t="str">
        <x:v>NT001496</x:v>
      </x:c>
      <x:c r="B1497" s="2" t="str">
        <x:v>EV001498</x:v>
      </x:c>
      <x:c r="C1497" s="2" t="str">
        <x:v>T20261007-2-1</x:v>
      </x:c>
      <x:c r="D1497" s="2" t="str">
        <x:v>ST022</x:v>
      </x:c>
      <x:c r="E1497" s="2" t="str">
        <x:v>G022</x:v>
      </x:c>
      <x:c r="F1497" s="2" t="str">
        <x:v>guardian022@example.invalid</x:v>
      </x:c>
      <x:c r="G1497" s="2" t="str">
        <x:v>Email</x:v>
      </x:c>
      <x:c r="H1497" s="2" t="str">
        <x:v>School receipt</x:v>
      </x:c>
      <x:c r="I1497" s="8" t="n">
        <x:v>46302.50628472223</x:v>
      </x:c>
      <x:c r="J1497" s="8" t="n">
        <x:v>46302.506307870375</x:v>
      </x:c>
      <x:c r="K1497" s="8" t="n">
        <x:v>46302.5063425926</x:v>
      </x:c>
      <x:c r="L1497" s="2" t="str">
        <x:v>Sent</x:v>
      </x:c>
      <x:c r="M1497" s="2" t="n">
        <x:v>1</x:v>
      </x:c>
      <x:c r="N1497" s="2"/>
      <x:c r="O1497" s="2"/>
    </x:row>
    <x:row r="1498" ht="21" customHeight="1">
      <x:c r="A1498" s="2" t="str">
        <x:v>NT001497</x:v>
      </x:c>
      <x:c r="B1498" s="2" t="str">
        <x:v>EV001499</x:v>
      </x:c>
      <x:c r="C1498" s="2" t="str">
        <x:v>T20261007-2-1</x:v>
      </x:c>
      <x:c r="D1498" s="2" t="str">
        <x:v>ST023</x:v>
      </x:c>
      <x:c r="E1498" s="2" t="str">
        <x:v>G023</x:v>
      </x:c>
      <x:c r="F1498" s="2" t="str">
        <x:v>guardian023@example.invalid</x:v>
      </x:c>
      <x:c r="G1498" s="2" t="str">
        <x:v>Email</x:v>
      </x:c>
      <x:c r="H1498" s="2" t="str">
        <x:v>Boarded</x:v>
      </x:c>
      <x:c r="I1498" s="8" t="n">
        <x:v>46302.47645833333</x:v>
      </x:c>
      <x:c r="J1498" s="8" t="n">
        <x:v>46302.47648148148</x:v>
      </x:c>
      <x:c r="K1498" s="8" t="n">
        <x:v>46302.4765162037</x:v>
      </x:c>
      <x:c r="L1498" s="2" t="str">
        <x:v>Sent</x:v>
      </x:c>
      <x:c r="M1498" s="2" t="n">
        <x:v>1</x:v>
      </x:c>
      <x:c r="N1498" s="2"/>
      <x:c r="O1498" s="2"/>
    </x:row>
    <x:row r="1499" ht="21" customHeight="1">
      <x:c r="A1499" s="2" t="str">
        <x:v>NT001498</x:v>
      </x:c>
      <x:c r="B1499" s="2" t="str">
        <x:v>EV001500</x:v>
      </x:c>
      <x:c r="C1499" s="2" t="str">
        <x:v>T20261007-2-1</x:v>
      </x:c>
      <x:c r="D1499" s="2" t="str">
        <x:v>ST023</x:v>
      </x:c>
      <x:c r="E1499" s="2" t="str">
        <x:v>G023</x:v>
      </x:c>
      <x:c r="F1499" s="2" t="str">
        <x:v>guardian023@example.invalid</x:v>
      </x:c>
      <x:c r="G1499" s="2" t="str">
        <x:v>Email</x:v>
      </x:c>
      <x:c r="H1499" s="2" t="str">
        <x:v>School receipt</x:v>
      </x:c>
      <x:c r="I1499" s="8" t="n">
        <x:v>46302.506319444445</x:v>
      </x:c>
      <x:c r="J1499" s="8" t="n">
        <x:v>46302.50634259259</x:v>
      </x:c>
      <x:c r="K1499" s="8" t="n">
        <x:v>46302.506377314814</x:v>
      </x:c>
      <x:c r="L1499" s="2" t="str">
        <x:v>Sent</x:v>
      </x:c>
      <x:c r="M1499" s="2" t="n">
        <x:v>1</x:v>
      </x:c>
      <x:c r="N1499" s="2"/>
      <x:c r="O1499" s="2"/>
    </x:row>
    <x:row r="1500" ht="21" customHeight="1">
      <x:c r="A1500" s="2" t="str">
        <x:v>NT001499</x:v>
      </x:c>
      <x:c r="B1500" s="2" t="str">
        <x:v>EV001501</x:v>
      </x:c>
      <x:c r="C1500" s="2" t="str">
        <x:v>T20261007-2-1</x:v>
      </x:c>
      <x:c r="D1500" s="2" t="str">
        <x:v>ST024</x:v>
      </x:c>
      <x:c r="E1500" s="2" t="str">
        <x:v>G024</x:v>
      </x:c>
      <x:c r="F1500" s="2" t="str">
        <x:v>guardian024@example.invalid</x:v>
      </x:c>
      <x:c r="G1500" s="2" t="str">
        <x:v>Email</x:v>
      </x:c>
      <x:c r="H1500" s="2" t="str">
        <x:v>Boarded</x:v>
      </x:c>
      <x:c r="I1500" s="8" t="n">
        <x:v>46302.481354166666</x:v>
      </x:c>
      <x:c r="J1500" s="8" t="n">
        <x:v>46302.48137731481</x:v>
      </x:c>
      <x:c r="K1500" s="8" t="n">
        <x:v>46302.481412037036</x:v>
      </x:c>
      <x:c r="L1500" s="2" t="str">
        <x:v>Sent</x:v>
      </x:c>
      <x:c r="M1500" s="2" t="n">
        <x:v>1</x:v>
      </x:c>
      <x:c r="N1500" s="2"/>
      <x:c r="O1500" s="2"/>
    </x:row>
    <x:row r="1501" ht="21" customHeight="1">
      <x:c r="A1501" s="2" t="str">
        <x:v>NT001500</x:v>
      </x:c>
      <x:c r="B1501" s="2" t="str">
        <x:v>EV001502</x:v>
      </x:c>
      <x:c r="C1501" s="2" t="str">
        <x:v>T20261007-2-1</x:v>
      </x:c>
      <x:c r="D1501" s="2" t="str">
        <x:v>ST024</x:v>
      </x:c>
      <x:c r="E1501" s="2" t="str">
        <x:v>G024</x:v>
      </x:c>
      <x:c r="F1501" s="2" t="str">
        <x:v>guardian024@example.invalid</x:v>
      </x:c>
      <x:c r="G1501" s="2" t="str">
        <x:v>Email</x:v>
      </x:c>
      <x:c r="H1501" s="2" t="str">
        <x:v>School receipt</x:v>
      </x:c>
      <x:c r="I1501" s="8" t="n">
        <x:v>46302.50635416667</x:v>
      </x:c>
      <x:c r="J1501" s="8" t="n">
        <x:v>46302.506377314814</x:v>
      </x:c>
      <x:c r="K1501" s="8" t="n">
        <x:v>46302.50641203704</x:v>
      </x:c>
      <x:c r="L1501" s="2" t="str">
        <x:v>Sent</x:v>
      </x:c>
      <x:c r="M1501" s="2" t="n">
        <x:v>1</x:v>
      </x:c>
      <x:c r="N1501" s="2"/>
      <x:c r="O1501" s="2"/>
    </x:row>
    <x:row r="1502" ht="21" customHeight="1">
      <x:c r="A1502" s="2" t="str">
        <x:v>NT001501</x:v>
      </x:c>
      <x:c r="B1502" s="2" t="str">
        <x:v>EV001503</x:v>
      </x:c>
      <x:c r="C1502" s="2" t="str">
        <x:v>T20261007-2-1</x:v>
      </x:c>
      <x:c r="D1502" s="2" t="str">
        <x:v>ST025</x:v>
      </x:c>
      <x:c r="E1502" s="2" t="str">
        <x:v>G025</x:v>
      </x:c>
      <x:c r="F1502" s="2" t="str">
        <x:v>guardian025@example.invalid</x:v>
      </x:c>
      <x:c r="G1502" s="2" t="str">
        <x:v>Email</x:v>
      </x:c>
      <x:c r="H1502" s="2" t="str">
        <x:v>Boarded</x:v>
      </x:c>
      <x:c r="I1502" s="8" t="n">
        <x:v>46302.47166666667</x:v>
      </x:c>
      <x:c r="J1502" s="8" t="n">
        <x:v>46302.47168981482</x:v>
      </x:c>
      <x:c r="K1502" s="8" t="n">
        <x:v>46302.47172453704</x:v>
      </x:c>
      <x:c r="L1502" s="2" t="str">
        <x:v>Sent</x:v>
      </x:c>
      <x:c r="M1502" s="2" t="n">
        <x:v>1</x:v>
      </x:c>
      <x:c r="N1502" s="2"/>
      <x:c r="O1502" s="2"/>
    </x:row>
    <x:row r="1503" ht="21" customHeight="1">
      <x:c r="A1503" s="2" t="str">
        <x:v>NT001502</x:v>
      </x:c>
      <x:c r="B1503" s="2" t="str">
        <x:v>EV001504</x:v>
      </x:c>
      <x:c r="C1503" s="2" t="str">
        <x:v>T20261007-2-1</x:v>
      </x:c>
      <x:c r="D1503" s="2" t="str">
        <x:v>ST025</x:v>
      </x:c>
      <x:c r="E1503" s="2" t="str">
        <x:v>G025</x:v>
      </x:c>
      <x:c r="F1503" s="2" t="str">
        <x:v>guardian025@example.invalid</x:v>
      </x:c>
      <x:c r="G1503" s="2" t="str">
        <x:v>Email</x:v>
      </x:c>
      <x:c r="H1503" s="2" t="str">
        <x:v>School receipt</x:v>
      </x:c>
      <x:c r="I1503" s="8" t="n">
        <x:v>46302.50638888889</x:v>
      </x:c>
      <x:c r="J1503" s="8" t="n">
        <x:v>46302.50641203704</x:v>
      </x:c>
      <x:c r="K1503" s="8" t="n">
        <x:v>46302.50644675926</x:v>
      </x:c>
      <x:c r="L1503" s="2" t="str">
        <x:v>Sent</x:v>
      </x:c>
      <x:c r="M1503" s="2" t="n">
        <x:v>1</x:v>
      </x:c>
      <x:c r="N1503" s="2"/>
      <x:c r="O1503" s="2"/>
    </x:row>
    <x:row r="1504" ht="21" customHeight="1">
      <x:c r="A1504" s="2" t="str">
        <x:v>NT001503</x:v>
      </x:c>
      <x:c r="B1504" s="2" t="str">
        <x:v>EV001505</x:v>
      </x:c>
      <x:c r="C1504" s="2" t="str">
        <x:v>T20261007-2-1</x:v>
      </x:c>
      <x:c r="D1504" s="2" t="str">
        <x:v>ST026</x:v>
      </x:c>
      <x:c r="E1504" s="2" t="str">
        <x:v>G026</x:v>
      </x:c>
      <x:c r="F1504" s="2" t="str">
        <x:v>guardian026@example.invalid</x:v>
      </x:c>
      <x:c r="G1504" s="2" t="str">
        <x:v>Email</x:v>
      </x:c>
      <x:c r="H1504" s="2" t="str">
        <x:v>Boarded</x:v>
      </x:c>
      <x:c r="I1504" s="8" t="n">
        <x:v>46302.47656249999</x:v>
      </x:c>
      <x:c r="J1504" s="8" t="n">
        <x:v>46302.47658564814</x:v>
      </x:c>
      <x:c r="K1504" s="8" t="n">
        <x:v>46302.47662037036</x:v>
      </x:c>
      <x:c r="L1504" s="2" t="str">
        <x:v>Sent</x:v>
      </x:c>
      <x:c r="M1504" s="2" t="n">
        <x:v>1</x:v>
      </x:c>
      <x:c r="N1504" s="2"/>
      <x:c r="O1504" s="2"/>
    </x:row>
    <x:row r="1505" ht="21" customHeight="1">
      <x:c r="A1505" s="2" t="str">
        <x:v>NT001504</x:v>
      </x:c>
      <x:c r="B1505" s="2" t="str">
        <x:v>EV001506</x:v>
      </x:c>
      <x:c r="C1505" s="2" t="str">
        <x:v>T20261007-2-1</x:v>
      </x:c>
      <x:c r="D1505" s="2" t="str">
        <x:v>ST026</x:v>
      </x:c>
      <x:c r="E1505" s="2" t="str">
        <x:v>G026</x:v>
      </x:c>
      <x:c r="F1505" s="2" t="str">
        <x:v>guardian026@example.invalid</x:v>
      </x:c>
      <x:c r="G1505" s="2" t="str">
        <x:v>Email</x:v>
      </x:c>
      <x:c r="H1505" s="2" t="str">
        <x:v>School receipt</x:v>
      </x:c>
      <x:c r="I1505" s="8" t="n">
        <x:v>46302.506423611114</x:v>
      </x:c>
      <x:c r="J1505" s="8" t="n">
        <x:v>46302.50644675926</x:v>
      </x:c>
      <x:c r="K1505" s="8" t="n">
        <x:v>46302.50648148148</x:v>
      </x:c>
      <x:c r="L1505" s="2" t="str">
        <x:v>Sent</x:v>
      </x:c>
      <x:c r="M1505" s="2" t="n">
        <x:v>1</x:v>
      </x:c>
      <x:c r="N1505" s="2"/>
      <x:c r="O1505" s="2"/>
    </x:row>
    <x:row r="1506" ht="21" customHeight="1">
      <x:c r="A1506" s="2" t="str">
        <x:v>NT001505</x:v>
      </x:c>
      <x:c r="B1506" s="2" t="str">
        <x:v>EV001507</x:v>
      </x:c>
      <x:c r="C1506" s="2" t="str">
        <x:v>T20261007-2-1</x:v>
      </x:c>
      <x:c r="D1506" s="2" t="str">
        <x:v>ST027</x:v>
      </x:c>
      <x:c r="E1506" s="2" t="str">
        <x:v>G027</x:v>
      </x:c>
      <x:c r="F1506" s="2" t="str">
        <x:v>guardian027@example.invalid</x:v>
      </x:c>
      <x:c r="G1506" s="2" t="str">
        <x:v>Email</x:v>
      </x:c>
      <x:c r="H1506" s="2" t="str">
        <x:v>Boarded</x:v>
      </x:c>
      <x:c r="I1506" s="8" t="n">
        <x:v>46302.48145833333</x:v>
      </x:c>
      <x:c r="J1506" s="8" t="n">
        <x:v>46302.481481481474</x:v>
      </x:c>
      <x:c r="K1506" s="8" t="n">
        <x:v>46302.4815162037</x:v>
      </x:c>
      <x:c r="L1506" s="2" t="str">
        <x:v>Sent</x:v>
      </x:c>
      <x:c r="M1506" s="2" t="n">
        <x:v>1</x:v>
      </x:c>
      <x:c r="N1506" s="2"/>
      <x:c r="O1506" s="2"/>
    </x:row>
    <x:row r="1507" ht="21" customHeight="1">
      <x:c r="A1507" s="2" t="str">
        <x:v>NT001506</x:v>
      </x:c>
      <x:c r="B1507" s="2" t="str">
        <x:v>EV001508</x:v>
      </x:c>
      <x:c r="C1507" s="2" t="str">
        <x:v>T20261007-2-1</x:v>
      </x:c>
      <x:c r="D1507" s="2" t="str">
        <x:v>ST027</x:v>
      </x:c>
      <x:c r="E1507" s="2" t="str">
        <x:v>G027</x:v>
      </x:c>
      <x:c r="F1507" s="2" t="str">
        <x:v>guardian027@example.invalid</x:v>
      </x:c>
      <x:c r="G1507" s="2" t="str">
        <x:v>Email</x:v>
      </x:c>
      <x:c r="H1507" s="2" t="str">
        <x:v>School receipt</x:v>
      </x:c>
      <x:c r="I1507" s="8" t="n">
        <x:v>46302.50645833334</x:v>
      </x:c>
      <x:c r="J1507" s="8" t="n">
        <x:v>46302.50648148148</x:v>
      </x:c>
      <x:c r="K1507" s="8" t="n">
        <x:v>46302.506516203706</x:v>
      </x:c>
      <x:c r="L1507" s="2" t="str">
        <x:v>Sent</x:v>
      </x:c>
      <x:c r="M1507" s="2" t="n">
        <x:v>1</x:v>
      </x:c>
      <x:c r="N1507" s="2"/>
      <x:c r="O1507" s="2"/>
    </x:row>
    <x:row r="1508" ht="21" customHeight="1">
      <x:c r="A1508" s="2" t="str">
        <x:v>NT001507</x:v>
      </x:c>
      <x:c r="B1508" s="2" t="str">
        <x:v>EV001509</x:v>
      </x:c>
      <x:c r="C1508" s="2" t="str">
        <x:v>T20261007-2-1</x:v>
      </x:c>
      <x:c r="D1508" s="2" t="str">
        <x:v>ST028</x:v>
      </x:c>
      <x:c r="E1508" s="2" t="str">
        <x:v>G028</x:v>
      </x:c>
      <x:c r="F1508" s="2" t="str">
        <x:v>guardian028@example.invalid</x:v>
      </x:c>
      <x:c r="G1508" s="2" t="str">
        <x:v>Email</x:v>
      </x:c>
      <x:c r="H1508" s="2" t="str">
        <x:v>Boarded</x:v>
      </x:c>
      <x:c r="I1508" s="8" t="n">
        <x:v>46302.471770833334</x:v>
      </x:c>
      <x:c r="J1508" s="8" t="n">
        <x:v>46302.47179398148</x:v>
      </x:c>
      <x:c r="K1508" s="8" t="n">
        <x:v>46302.4718287037</x:v>
      </x:c>
      <x:c r="L1508" s="2" t="str">
        <x:v>Sent</x:v>
      </x:c>
      <x:c r="M1508" s="2" t="n">
        <x:v>1</x:v>
      </x:c>
      <x:c r="N1508" s="2"/>
      <x:c r="O1508" s="2"/>
    </x:row>
    <x:row r="1509" ht="21" customHeight="1">
      <x:c r="A1509" s="2" t="str">
        <x:v>NT001508</x:v>
      </x:c>
      <x:c r="B1509" s="2" t="str">
        <x:v>EV001510</x:v>
      </x:c>
      <x:c r="C1509" s="2" t="str">
        <x:v>T20261007-2-1</x:v>
      </x:c>
      <x:c r="D1509" s="2" t="str">
        <x:v>ST028</x:v>
      </x:c>
      <x:c r="E1509" s="2" t="str">
        <x:v>G028</x:v>
      </x:c>
      <x:c r="F1509" s="2" t="str">
        <x:v>guardian028@example.invalid</x:v>
      </x:c>
      <x:c r="G1509" s="2" t="str">
        <x:v>Email</x:v>
      </x:c>
      <x:c r="H1509" s="2" t="str">
        <x:v>School receipt</x:v>
      </x:c>
      <x:c r="I1509" s="8" t="n">
        <x:v>46302.50649305556</x:v>
      </x:c>
      <x:c r="J1509" s="8" t="n">
        <x:v>46302.506516203706</x:v>
      </x:c>
      <x:c r="K1509" s="8" t="n">
        <x:v>46302.50655092593</x:v>
      </x:c>
      <x:c r="L1509" s="2" t="str">
        <x:v>Sent</x:v>
      </x:c>
      <x:c r="M1509" s="2" t="n">
        <x:v>1</x:v>
      </x:c>
      <x:c r="N1509" s="2"/>
      <x:c r="O1509" s="2"/>
    </x:row>
    <x:row r="1510" ht="21" customHeight="1">
      <x:c r="A1510" s="2" t="str">
        <x:v>NT001509</x:v>
      </x:c>
      <x:c r="B1510" s="2" t="str">
        <x:v>EV001511</x:v>
      </x:c>
      <x:c r="C1510" s="2" t="str">
        <x:v>T20261007-2-1</x:v>
      </x:c>
      <x:c r="D1510" s="2" t="str">
        <x:v>ST029</x:v>
      </x:c>
      <x:c r="E1510" s="2" t="str">
        <x:v>G029</x:v>
      </x:c>
      <x:c r="F1510" s="2" t="str">
        <x:v>guardian029@example.invalid</x:v>
      </x:c>
      <x:c r="G1510" s="2" t="str">
        <x:v>Email</x:v>
      </x:c>
      <x:c r="H1510" s="2" t="str">
        <x:v>Boarded</x:v>
      </x:c>
      <x:c r="I1510" s="8" t="n">
        <x:v>46302.47666666666</x:v>
      </x:c>
      <x:c r="J1510" s="8" t="n">
        <x:v>46302.47668981481</x:v>
      </x:c>
      <x:c r="K1510" s="8" t="n">
        <x:v>46302.47672453703</x:v>
      </x:c>
      <x:c r="L1510" s="2" t="str">
        <x:v>Sent</x:v>
      </x:c>
      <x:c r="M1510" s="2" t="n">
        <x:v>1</x:v>
      </x:c>
      <x:c r="N1510" s="2"/>
      <x:c r="O1510" s="2"/>
    </x:row>
    <x:row r="1511" ht="21" customHeight="1">
      <x:c r="A1511" s="2" t="str">
        <x:v>NT001510</x:v>
      </x:c>
      <x:c r="B1511" s="2" t="str">
        <x:v>EV001512</x:v>
      </x:c>
      <x:c r="C1511" s="2" t="str">
        <x:v>T20261007-2-1</x:v>
      </x:c>
      <x:c r="D1511" s="2" t="str">
        <x:v>ST029</x:v>
      </x:c>
      <x:c r="E1511" s="2" t="str">
        <x:v>G029</x:v>
      </x:c>
      <x:c r="F1511" s="2" t="str">
        <x:v>guardian029@example.invalid</x:v>
      </x:c>
      <x:c r="G1511" s="2" t="str">
        <x:v>Email</x:v>
      </x:c>
      <x:c r="H1511" s="2" t="str">
        <x:v>School receipt</x:v>
      </x:c>
      <x:c r="I1511" s="8" t="n">
        <x:v>46302.50652777778</x:v>
      </x:c>
      <x:c r="J1511" s="8" t="n">
        <x:v>46302.50655092593</x:v>
      </x:c>
      <x:c r="K1511" s="8" t="n">
        <x:v>46302.50658564815</x:v>
      </x:c>
      <x:c r="L1511" s="2" t="str">
        <x:v>Sent</x:v>
      </x:c>
      <x:c r="M1511" s="2" t="n">
        <x:v>1</x:v>
      </x:c>
      <x:c r="N1511" s="2"/>
      <x:c r="O1511" s="2"/>
    </x:row>
    <x:row r="1512" ht="21" customHeight="1">
      <x:c r="A1512" s="2" t="str">
        <x:v>NT001511</x:v>
      </x:c>
      <x:c r="B1512" s="2" t="str">
        <x:v>EV001513</x:v>
      </x:c>
      <x:c r="C1512" s="2" t="str">
        <x:v>T20261007-2-1</x:v>
      </x:c>
      <x:c r="D1512" s="2" t="str">
        <x:v>ST030</x:v>
      </x:c>
      <x:c r="E1512" s="2" t="str">
        <x:v>G030</x:v>
      </x:c>
      <x:c r="F1512" s="2" t="str">
        <x:v>guardian030@example.invalid</x:v>
      </x:c>
      <x:c r="G1512" s="2" t="str">
        <x:v>Email</x:v>
      </x:c>
      <x:c r="H1512" s="2" t="str">
        <x:v>Boarded</x:v>
      </x:c>
      <x:c r="I1512" s="8" t="n">
        <x:v>46302.4815625</x:v>
      </x:c>
      <x:c r="J1512" s="8" t="n">
        <x:v>46302.481585648144</x:v>
      </x:c>
      <x:c r="K1512" s="8" t="n">
        <x:v>46302.48162037037</x:v>
      </x:c>
      <x:c r="L1512" s="2" t="str">
        <x:v>Sent</x:v>
      </x:c>
      <x:c r="M1512" s="2" t="n">
        <x:v>1</x:v>
      </x:c>
      <x:c r="N1512" s="2"/>
      <x:c r="O1512" s="2"/>
    </x:row>
    <x:row r="1513" ht="21" customHeight="1">
      <x:c r="A1513" s="2" t="str">
        <x:v>NT001512</x:v>
      </x:c>
      <x:c r="B1513" s="2" t="str">
        <x:v>EV001514</x:v>
      </x:c>
      <x:c r="C1513" s="2" t="str">
        <x:v>T20261007-2-1</x:v>
      </x:c>
      <x:c r="D1513" s="2" t="str">
        <x:v>ST030</x:v>
      </x:c>
      <x:c r="E1513" s="2" t="str">
        <x:v>G030</x:v>
      </x:c>
      <x:c r="F1513" s="2" t="str">
        <x:v>guardian030@example.invalid</x:v>
      </x:c>
      <x:c r="G1513" s="2" t="str">
        <x:v>Email</x:v>
      </x:c>
      <x:c r="H1513" s="2" t="str">
        <x:v>School receipt</x:v>
      </x:c>
      <x:c r="I1513" s="8" t="n">
        <x:v>46302.506562500006</x:v>
      </x:c>
      <x:c r="J1513" s="8" t="n">
        <x:v>46302.50658564815</x:v>
      </x:c>
      <x:c r="K1513" s="8" t="n">
        <x:v>46302.506620370375</x:v>
      </x:c>
      <x:c r="L1513" s="2" t="str">
        <x:v>Sent</x:v>
      </x:c>
      <x:c r="M1513" s="2" t="n">
        <x:v>1</x:v>
      </x:c>
      <x:c r="N1513" s="2"/>
      <x:c r="O1513" s="2"/>
    </x:row>
    <x:row r="1514" ht="21" customHeight="1">
      <x:c r="A1514" s="2" t="str">
        <x:v>NT001513</x:v>
      </x:c>
      <x:c r="B1514" s="2" t="str">
        <x:v>EV001515</x:v>
      </x:c>
      <x:c r="C1514" s="2" t="str">
        <x:v>T20261007-2-1</x:v>
      </x:c>
      <x:c r="D1514" s="2" t="str">
        <x:v>ST031</x:v>
      </x:c>
      <x:c r="E1514" s="2" t="str">
        <x:v>G031</x:v>
      </x:c>
      <x:c r="F1514" s="2" t="str">
        <x:v>guardian031@example.invalid</x:v>
      </x:c>
      <x:c r="G1514" s="2" t="str">
        <x:v>Email</x:v>
      </x:c>
      <x:c r="H1514" s="2" t="str">
        <x:v>Boarded</x:v>
      </x:c>
      <x:c r="I1514" s="8" t="n">
        <x:v>46302.47152777778</x:v>
      </x:c>
      <x:c r="J1514" s="8" t="n">
        <x:v>46302.471550925926</x:v>
      </x:c>
      <x:c r="K1514" s="8" t="n">
        <x:v>46302.47158564815</x:v>
      </x:c>
      <x:c r="L1514" s="2" t="str">
        <x:v>Sent</x:v>
      </x:c>
      <x:c r="M1514" s="2" t="n">
        <x:v>1</x:v>
      </x:c>
      <x:c r="N1514" s="2"/>
      <x:c r="O1514" s="2"/>
    </x:row>
    <x:row r="1515" ht="21" customHeight="1">
      <x:c r="A1515" s="2" t="str">
        <x:v>NT001514</x:v>
      </x:c>
      <x:c r="B1515" s="2" t="str">
        <x:v>EV001516</x:v>
      </x:c>
      <x:c r="C1515" s="2" t="str">
        <x:v>T20261007-2-1</x:v>
      </x:c>
      <x:c r="D1515" s="2" t="str">
        <x:v>ST031</x:v>
      </x:c>
      <x:c r="E1515" s="2" t="str">
        <x:v>G031</x:v>
      </x:c>
      <x:c r="F1515" s="2" t="str">
        <x:v>guardian031@example.invalid</x:v>
      </x:c>
      <x:c r="G1515" s="2" t="str">
        <x:v>Email</x:v>
      </x:c>
      <x:c r="H1515" s="2" t="str">
        <x:v>School receipt</x:v>
      </x:c>
      <x:c r="I1515" s="8" t="n">
        <x:v>46302.50659722223</x:v>
      </x:c>
      <x:c r="J1515" s="8" t="n">
        <x:v>46302.506620370375</x:v>
      </x:c>
      <x:c r="K1515" s="8" t="n">
        <x:v>46302.5066550926</x:v>
      </x:c>
      <x:c r="L1515" s="2" t="str">
        <x:v>Sent</x:v>
      </x:c>
      <x:c r="M1515" s="2" t="n">
        <x:v>1</x:v>
      </x:c>
      <x:c r="N1515" s="2"/>
      <x:c r="O1515" s="2"/>
    </x:row>
    <x:row r="1516" ht="21" customHeight="1">
      <x:c r="A1516" s="2" t="str">
        <x:v>NT001515</x:v>
      </x:c>
      <x:c r="B1516" s="2" t="str">
        <x:v>EV001517</x:v>
      </x:c>
      <x:c r="C1516" s="2" t="str">
        <x:v>T20261007-2-1</x:v>
      </x:c>
      <x:c r="D1516" s="2" t="str">
        <x:v>ST032</x:v>
      </x:c>
      <x:c r="E1516" s="2" t="str">
        <x:v>G032</x:v>
      </x:c>
      <x:c r="F1516" s="2" t="str">
        <x:v>guardian032@example.invalid</x:v>
      </x:c>
      <x:c r="G1516" s="2" t="str">
        <x:v>Email</x:v>
      </x:c>
      <x:c r="H1516" s="2" t="str">
        <x:v>Boarded</x:v>
      </x:c>
      <x:c r="I1516" s="8" t="n">
        <x:v>46302.47642361111</x:v>
      </x:c>
      <x:c r="J1516" s="8" t="n">
        <x:v>46302.476446759254</x:v>
      </x:c>
      <x:c r="K1516" s="8" t="n">
        <x:v>46302.47648148148</x:v>
      </x:c>
      <x:c r="L1516" s="2" t="str">
        <x:v>Sent</x:v>
      </x:c>
      <x:c r="M1516" s="2" t="n">
        <x:v>1</x:v>
      </x:c>
      <x:c r="N1516" s="2"/>
      <x:c r="O1516" s="2"/>
    </x:row>
    <x:row r="1517" ht="21" customHeight="1">
      <x:c r="A1517" s="2" t="str">
        <x:v>NT001516</x:v>
      </x:c>
      <x:c r="B1517" s="2" t="str">
        <x:v>EV001518</x:v>
      </x:c>
      <x:c r="C1517" s="2" t="str">
        <x:v>T20261007-2-1</x:v>
      </x:c>
      <x:c r="D1517" s="2" t="str">
        <x:v>ST032</x:v>
      </x:c>
      <x:c r="E1517" s="2" t="str">
        <x:v>G032</x:v>
      </x:c>
      <x:c r="F1517" s="2" t="str">
        <x:v>guardian032@example.invalid</x:v>
      </x:c>
      <x:c r="G1517" s="2" t="str">
        <x:v>Email</x:v>
      </x:c>
      <x:c r="H1517" s="2" t="str">
        <x:v>School receipt</x:v>
      </x:c>
      <x:c r="I1517" s="8" t="n">
        <x:v>46302.506631944445</x:v>
      </x:c>
      <x:c r="J1517" s="8" t="n">
        <x:v>46302.50665509259</x:v>
      </x:c>
      <x:c r="K1517" s="8" t="n">
        <x:v>46302.506689814814</x:v>
      </x:c>
      <x:c r="L1517" s="2" t="str">
        <x:v>Sent</x:v>
      </x:c>
      <x:c r="M1517" s="2" t="n">
        <x:v>1</x:v>
      </x:c>
      <x:c r="N1517" s="2"/>
      <x:c r="O1517" s="2"/>
    </x:row>
    <x:row r="1518" ht="21" customHeight="1">
      <x:c r="A1518" s="2" t="str">
        <x:v>NT001517</x:v>
      </x:c>
      <x:c r="B1518" s="2" t="str">
        <x:v>EV001519</x:v>
      </x:c>
      <x:c r="C1518" s="2" t="str">
        <x:v>T20261007-2-1</x:v>
      </x:c>
      <x:c r="D1518" s="2" t="str">
        <x:v>ST033</x:v>
      </x:c>
      <x:c r="E1518" s="2" t="str">
        <x:v>G033</x:v>
      </x:c>
      <x:c r="F1518" s="2" t="str">
        <x:v>guardian033@example.invalid</x:v>
      </x:c>
      <x:c r="G1518" s="2" t="str">
        <x:v>Email</x:v>
      </x:c>
      <x:c r="H1518" s="2" t="str">
        <x:v>Boarded</x:v>
      </x:c>
      <x:c r="I1518" s="8" t="n">
        <x:v>46302.48131944444</x:v>
      </x:c>
      <x:c r="J1518" s="8" t="n">
        <x:v>46302.48134259259</x:v>
      </x:c>
      <x:c r="K1518" s="8" t="n">
        <x:v>46302.48137731481</x:v>
      </x:c>
      <x:c r="L1518" s="2" t="str">
        <x:v>Sent</x:v>
      </x:c>
      <x:c r="M1518" s="2" t="n">
        <x:v>1</x:v>
      </x:c>
      <x:c r="N1518" s="2"/>
      <x:c r="O1518" s="2"/>
    </x:row>
    <x:row r="1519" ht="21" customHeight="1">
      <x:c r="A1519" s="2" t="str">
        <x:v>NT001518</x:v>
      </x:c>
      <x:c r="B1519" s="2" t="str">
        <x:v>EV001520</x:v>
      </x:c>
      <x:c r="C1519" s="2" t="str">
        <x:v>T20261007-2-1</x:v>
      </x:c>
      <x:c r="D1519" s="2" t="str">
        <x:v>ST033</x:v>
      </x:c>
      <x:c r="E1519" s="2" t="str">
        <x:v>G033</x:v>
      </x:c>
      <x:c r="F1519" s="2" t="str">
        <x:v>guardian033@example.invalid</x:v>
      </x:c>
      <x:c r="G1519" s="2" t="str">
        <x:v>Email</x:v>
      </x:c>
      <x:c r="H1519" s="2" t="str">
        <x:v>School receipt</x:v>
      </x:c>
      <x:c r="I1519" s="8" t="n">
        <x:v>46302.50666666667</x:v>
      </x:c>
      <x:c r="J1519" s="8" t="n">
        <x:v>46302.506689814814</x:v>
      </x:c>
      <x:c r="K1519" s="8" t="n">
        <x:v>46302.50672453704</x:v>
      </x:c>
      <x:c r="L1519" s="2" t="str">
        <x:v>Sent</x:v>
      </x:c>
      <x:c r="M1519" s="2" t="n">
        <x:v>1</x:v>
      </x:c>
      <x:c r="N1519" s="2"/>
      <x:c r="O1519" s="2"/>
    </x:row>
    <x:row r="1520" ht="21" customHeight="1">
      <x:c r="A1520" s="2" t="str">
        <x:v>NT001519</x:v>
      </x:c>
      <x:c r="B1520" s="2" t="str">
        <x:v>EV001521</x:v>
      </x:c>
      <x:c r="C1520" s="2" t="str">
        <x:v>T20261007-2-1</x:v>
      </x:c>
      <x:c r="D1520" s="2" t="str">
        <x:v>ST034</x:v>
      </x:c>
      <x:c r="E1520" s="2" t="str">
        <x:v>G034</x:v>
      </x:c>
      <x:c r="F1520" s="2" t="str">
        <x:v>guardian034@example.invalid</x:v>
      </x:c>
      <x:c r="G1520" s="2" t="str">
        <x:v>Email</x:v>
      </x:c>
      <x:c r="H1520" s="2" t="str">
        <x:v>Boarded</x:v>
      </x:c>
      <x:c r="I1520" s="8" t="n">
        <x:v>46302.47163194445</x:v>
      </x:c>
      <x:c r="J1520" s="8" t="n">
        <x:v>46302.471655092595</x:v>
      </x:c>
      <x:c r="K1520" s="8" t="n">
        <x:v>46302.47168981482</x:v>
      </x:c>
      <x:c r="L1520" s="2" t="str">
        <x:v>Sent</x:v>
      </x:c>
      <x:c r="M1520" s="2" t="n">
        <x:v>1</x:v>
      </x:c>
      <x:c r="N1520" s="2"/>
      <x:c r="O1520" s="2"/>
    </x:row>
    <x:row r="1521" ht="21" customHeight="1">
      <x:c r="A1521" s="2" t="str">
        <x:v>NT001520</x:v>
      </x:c>
      <x:c r="B1521" s="2" t="str">
        <x:v>EV001522</x:v>
      </x:c>
      <x:c r="C1521" s="2" t="str">
        <x:v>T20261007-2-1</x:v>
      </x:c>
      <x:c r="D1521" s="2" t="str">
        <x:v>ST034</x:v>
      </x:c>
      <x:c r="E1521" s="2" t="str">
        <x:v>G034</x:v>
      </x:c>
      <x:c r="F1521" s="2" t="str">
        <x:v>guardian034@example.invalid</x:v>
      </x:c>
      <x:c r="G1521" s="2" t="str">
        <x:v>Email</x:v>
      </x:c>
      <x:c r="H1521" s="2" t="str">
        <x:v>School receipt</x:v>
      </x:c>
      <x:c r="I1521" s="8" t="n">
        <x:v>46302.50670138889</x:v>
      </x:c>
      <x:c r="J1521" s="8" t="n">
        <x:v>46302.50672453704</x:v>
      </x:c>
      <x:c r="K1521" s="8" t="n">
        <x:v>46302.50675925926</x:v>
      </x:c>
      <x:c r="L1521" s="2" t="str">
        <x:v>Sent</x:v>
      </x:c>
      <x:c r="M1521" s="2" t="n">
        <x:v>1</x:v>
      </x:c>
      <x:c r="N1521" s="2"/>
      <x:c r="O1521" s="2"/>
    </x:row>
    <x:row r="1522" ht="21" customHeight="1">
      <x:c r="A1522" s="2" t="str">
        <x:v>NT001521</x:v>
      </x:c>
      <x:c r="B1522" s="2" t="str">
        <x:v>EV001523</x:v>
      </x:c>
      <x:c r="C1522" s="2" t="str">
        <x:v>T20261007-2-1</x:v>
      </x:c>
      <x:c r="D1522" s="2" t="str">
        <x:v>ST035</x:v>
      </x:c>
      <x:c r="E1522" s="2" t="str">
        <x:v>G035</x:v>
      </x:c>
      <x:c r="F1522" s="2" t="str">
        <x:v>guardian035@example.invalid</x:v>
      </x:c>
      <x:c r="G1522" s="2" t="str">
        <x:v>Email</x:v>
      </x:c>
      <x:c r="H1522" s="2" t="str">
        <x:v>Boarded</x:v>
      </x:c>
      <x:c r="I1522" s="8" t="n">
        <x:v>46302.47652777778</x:v>
      </x:c>
      <x:c r="J1522" s="8" t="n">
        <x:v>46302.47655092592</x:v>
      </x:c>
      <x:c r="K1522" s="8" t="n">
        <x:v>46302.476585648146</x:v>
      </x:c>
      <x:c r="L1522" s="2" t="str">
        <x:v>Sent</x:v>
      </x:c>
      <x:c r="M1522" s="2" t="n">
        <x:v>1</x:v>
      </x:c>
      <x:c r="N1522" s="2"/>
      <x:c r="O1522" s="2"/>
    </x:row>
    <x:row r="1523" ht="21" customHeight="1">
      <x:c r="A1523" s="2" t="str">
        <x:v>NT001522</x:v>
      </x:c>
      <x:c r="B1523" s="2" t="str">
        <x:v>EV001524</x:v>
      </x:c>
      <x:c r="C1523" s="2" t="str">
        <x:v>T20261007-2-1</x:v>
      </x:c>
      <x:c r="D1523" s="2" t="str">
        <x:v>ST035</x:v>
      </x:c>
      <x:c r="E1523" s="2" t="str">
        <x:v>G035</x:v>
      </x:c>
      <x:c r="F1523" s="2" t="str">
        <x:v>guardian035@example.invalid</x:v>
      </x:c>
      <x:c r="G1523" s="2" t="str">
        <x:v>Email</x:v>
      </x:c>
      <x:c r="H1523" s="2" t="str">
        <x:v>School receipt</x:v>
      </x:c>
      <x:c r="I1523" s="8" t="n">
        <x:v>46302.506736111114</x:v>
      </x:c>
      <x:c r="J1523" s="8" t="n">
        <x:v>46302.50675925926</x:v>
      </x:c>
      <x:c r="K1523" s="8" t="n">
        <x:v>46302.50679398148</x:v>
      </x:c>
      <x:c r="L1523" s="2" t="str">
        <x:v>Sent</x:v>
      </x:c>
      <x:c r="M1523" s="2" t="n">
        <x:v>1</x:v>
      </x:c>
      <x:c r="N1523" s="2"/>
      <x:c r="O1523" s="2"/>
    </x:row>
    <x:row r="1524" ht="21" customHeight="1">
      <x:c r="A1524" s="2" t="str">
        <x:v>NT001523</x:v>
      </x:c>
      <x:c r="B1524" s="2" t="str">
        <x:v>EV001525</x:v>
      </x:c>
      <x:c r="C1524" s="2" t="str">
        <x:v>T20261007-2-1</x:v>
      </x:c>
      <x:c r="D1524" s="2" t="str">
        <x:v>ST036</x:v>
      </x:c>
      <x:c r="E1524" s="2" t="str">
        <x:v>G036</x:v>
      </x:c>
      <x:c r="F1524" s="2" t="str">
        <x:v>guardian036@example.invalid</x:v>
      </x:c>
      <x:c r="G1524" s="2" t="str">
        <x:v>Email</x:v>
      </x:c>
      <x:c r="H1524" s="2" t="str">
        <x:v>Boarded</x:v>
      </x:c>
      <x:c r="I1524" s="8" t="n">
        <x:v>46302.481423611105</x:v>
      </x:c>
      <x:c r="J1524" s="8" t="n">
        <x:v>46302.48144675925</x:v>
      </x:c>
      <x:c r="K1524" s="8" t="n">
        <x:v>46302.481481481474</x:v>
      </x:c>
      <x:c r="L1524" s="2" t="str">
        <x:v>Sent</x:v>
      </x:c>
      <x:c r="M1524" s="2" t="n">
        <x:v>1</x:v>
      </x:c>
      <x:c r="N1524" s="2"/>
      <x:c r="O1524" s="2"/>
    </x:row>
    <x:row r="1525" ht="21" customHeight="1">
      <x:c r="A1525" s="2" t="str">
        <x:v>NT001524</x:v>
      </x:c>
      <x:c r="B1525" s="2" t="str">
        <x:v>EV001526</x:v>
      </x:c>
      <x:c r="C1525" s="2" t="str">
        <x:v>T20261007-2-1</x:v>
      </x:c>
      <x:c r="D1525" s="2" t="str">
        <x:v>ST036</x:v>
      </x:c>
      <x:c r="E1525" s="2" t="str">
        <x:v>G036</x:v>
      </x:c>
      <x:c r="F1525" s="2" t="str">
        <x:v>guardian036@example.invalid</x:v>
      </x:c>
      <x:c r="G1525" s="2" t="str">
        <x:v>Email</x:v>
      </x:c>
      <x:c r="H1525" s="2" t="str">
        <x:v>School receipt</x:v>
      </x:c>
      <x:c r="I1525" s="8" t="n">
        <x:v>46302.50677083334</x:v>
      </x:c>
      <x:c r="J1525" s="8" t="n">
        <x:v>46302.50679398148</x:v>
      </x:c>
      <x:c r="K1525" s="8" t="n">
        <x:v>46302.50682870371</x:v>
      </x:c>
      <x:c r="L1525" s="2" t="str">
        <x:v>Sent</x:v>
      </x:c>
      <x:c r="M1525" s="2" t="n">
        <x:v>1</x:v>
      </x:c>
      <x:c r="N1525" s="2"/>
      <x:c r="O1525" s="2"/>
    </x:row>
    <x:row r="1526" ht="21" customHeight="1">
      <x:c r="A1526" s="2" t="str">
        <x:v>NT001525</x:v>
      </x:c>
      <x:c r="B1526" s="2" t="str">
        <x:v>EV001527</x:v>
      </x:c>
      <x:c r="C1526" s="2" t="str">
        <x:v>T20261007-2-1</x:v>
      </x:c>
      <x:c r="D1526" s="2" t="str">
        <x:v>ST037</x:v>
      </x:c>
      <x:c r="E1526" s="2" t="str">
        <x:v>G037</x:v>
      </x:c>
      <x:c r="F1526" s="2" t="str">
        <x:v>guardian037@example.invalid</x:v>
      </x:c>
      <x:c r="G1526" s="2" t="str">
        <x:v>Email</x:v>
      </x:c>
      <x:c r="H1526" s="2" t="str">
        <x:v>Boarded</x:v>
      </x:c>
      <x:c r="I1526" s="8" t="n">
        <x:v>46302.47173611111</x:v>
      </x:c>
      <x:c r="J1526" s="8" t="n">
        <x:v>46302.47175925926</x:v>
      </x:c>
      <x:c r="K1526" s="8" t="n">
        <x:v>46302.47179398148</x:v>
      </x:c>
      <x:c r="L1526" s="2" t="str">
        <x:v>Sent</x:v>
      </x:c>
      <x:c r="M1526" s="2" t="n">
        <x:v>1</x:v>
      </x:c>
      <x:c r="N1526" s="2"/>
      <x:c r="O1526" s="2"/>
    </x:row>
    <x:row r="1527" ht="21" customHeight="1">
      <x:c r="A1527" s="2" t="str">
        <x:v>NT001526</x:v>
      </x:c>
      <x:c r="B1527" s="2" t="str">
        <x:v>EV001528</x:v>
      </x:c>
      <x:c r="C1527" s="2" t="str">
        <x:v>T20261007-2-1</x:v>
      </x:c>
      <x:c r="D1527" s="2" t="str">
        <x:v>ST037</x:v>
      </x:c>
      <x:c r="E1527" s="2" t="str">
        <x:v>G037</x:v>
      </x:c>
      <x:c r="F1527" s="2" t="str">
        <x:v>guardian037@example.invalid</x:v>
      </x:c>
      <x:c r="G1527" s="2" t="str">
        <x:v>Email</x:v>
      </x:c>
      <x:c r="H1527" s="2" t="str">
        <x:v>School receipt</x:v>
      </x:c>
      <x:c r="I1527" s="8" t="n">
        <x:v>46302.50680555556</x:v>
      </x:c>
      <x:c r="J1527" s="8" t="n">
        <x:v>46302.50682870371</x:v>
      </x:c>
      <x:c r="K1527" s="8" t="n">
        <x:v>46302.50686342593</x:v>
      </x:c>
      <x:c r="L1527" s="2" t="str">
        <x:v>Sent</x:v>
      </x:c>
      <x:c r="M1527" s="2" t="n">
        <x:v>1</x:v>
      </x:c>
      <x:c r="N1527" s="2"/>
      <x:c r="O1527" s="2"/>
    </x:row>
    <x:row r="1528" ht="21" customHeight="1">
      <x:c r="A1528" s="2" t="str">
        <x:v>NT001527</x:v>
      </x:c>
      <x:c r="B1528" s="2" t="str">
        <x:v>EV001529</x:v>
      </x:c>
      <x:c r="C1528" s="2" t="str">
        <x:v>T20261007-2-1</x:v>
      </x:c>
      <x:c r="D1528" s="2" t="str">
        <x:v>ST038</x:v>
      </x:c>
      <x:c r="E1528" s="2" t="str">
        <x:v>G038</x:v>
      </x:c>
      <x:c r="F1528" s="2" t="str">
        <x:v>guardian038@example.invalid</x:v>
      </x:c>
      <x:c r="G1528" s="2" t="str">
        <x:v>Email</x:v>
      </x:c>
      <x:c r="H1528" s="2" t="str">
        <x:v>Boarded</x:v>
      </x:c>
      <x:c r="I1528" s="8" t="n">
        <x:v>46302.47663194444</x:v>
      </x:c>
      <x:c r="J1528" s="8" t="n">
        <x:v>46302.476655092585</x:v>
      </x:c>
      <x:c r="K1528" s="8" t="n">
        <x:v>46302.47668981481</x:v>
      </x:c>
      <x:c r="L1528" s="2" t="str">
        <x:v>Sent</x:v>
      </x:c>
      <x:c r="M1528" s="2" t="n">
        <x:v>1</x:v>
      </x:c>
      <x:c r="N1528" s="2"/>
      <x:c r="O1528" s="2"/>
    </x:row>
    <x:row r="1529" ht="21" customHeight="1">
      <x:c r="A1529" s="2" t="str">
        <x:v>NT001528</x:v>
      </x:c>
      <x:c r="B1529" s="2" t="str">
        <x:v>EV001530</x:v>
      </x:c>
      <x:c r="C1529" s="2" t="str">
        <x:v>T20261007-2-1</x:v>
      </x:c>
      <x:c r="D1529" s="2" t="str">
        <x:v>ST038</x:v>
      </x:c>
      <x:c r="E1529" s="2" t="str">
        <x:v>G038</x:v>
      </x:c>
      <x:c r="F1529" s="2" t="str">
        <x:v>guardian038@example.invalid</x:v>
      </x:c>
      <x:c r="G1529" s="2" t="str">
        <x:v>Email</x:v>
      </x:c>
      <x:c r="H1529" s="2" t="str">
        <x:v>School receipt</x:v>
      </x:c>
      <x:c r="I1529" s="8" t="n">
        <x:v>46302.50684027778</x:v>
      </x:c>
      <x:c r="J1529" s="8" t="n">
        <x:v>46302.50686342593</x:v>
      </x:c>
      <x:c r="K1529" s="8" t="n">
        <x:v>46302.50689814815</x:v>
      </x:c>
      <x:c r="L1529" s="2" t="str">
        <x:v>Sent</x:v>
      </x:c>
      <x:c r="M1529" s="2" t="n">
        <x:v>1</x:v>
      </x:c>
      <x:c r="N1529" s="2"/>
      <x:c r="O1529" s="2"/>
    </x:row>
    <x:row r="1530" ht="21" customHeight="1">
      <x:c r="A1530" s="2" t="str">
        <x:v>NT001529</x:v>
      </x:c>
      <x:c r="B1530" s="2" t="str">
        <x:v>EV001531</x:v>
      </x:c>
      <x:c r="C1530" s="2" t="str">
        <x:v>T20261007-2-1</x:v>
      </x:c>
      <x:c r="D1530" s="2" t="str">
        <x:v>ST039</x:v>
      </x:c>
      <x:c r="E1530" s="2" t="str">
        <x:v>G039</x:v>
      </x:c>
      <x:c r="F1530" s="2" t="str">
        <x:v>guardian039@example.invalid</x:v>
      </x:c>
      <x:c r="G1530" s="2" t="str">
        <x:v>Email</x:v>
      </x:c>
      <x:c r="H1530" s="2" t="str">
        <x:v>Boarded</x:v>
      </x:c>
      <x:c r="I1530" s="8" t="n">
        <x:v>46302.481527777774</x:v>
      </x:c>
      <x:c r="J1530" s="8" t="n">
        <x:v>46302.48155092592</x:v>
      </x:c>
      <x:c r="K1530" s="8" t="n">
        <x:v>46302.481585648144</x:v>
      </x:c>
      <x:c r="L1530" s="2" t="str">
        <x:v>Sent</x:v>
      </x:c>
      <x:c r="M1530" s="2" t="n">
        <x:v>1</x:v>
      </x:c>
      <x:c r="N1530" s="2"/>
      <x:c r="O1530" s="2"/>
    </x:row>
    <x:row r="1531" ht="21" customHeight="1">
      <x:c r="A1531" s="2" t="str">
        <x:v>NT001530</x:v>
      </x:c>
      <x:c r="B1531" s="2" t="str">
        <x:v>EV001532</x:v>
      </x:c>
      <x:c r="C1531" s="2" t="str">
        <x:v>T20261007-2-1</x:v>
      </x:c>
      <x:c r="D1531" s="2" t="str">
        <x:v>ST039</x:v>
      </x:c>
      <x:c r="E1531" s="2" t="str">
        <x:v>G039</x:v>
      </x:c>
      <x:c r="F1531" s="2" t="str">
        <x:v>guardian039@example.invalid</x:v>
      </x:c>
      <x:c r="G1531" s="2" t="str">
        <x:v>Email</x:v>
      </x:c>
      <x:c r="H1531" s="2" t="str">
        <x:v>School receipt</x:v>
      </x:c>
      <x:c r="I1531" s="8" t="n">
        <x:v>46302.50687500001</x:v>
      </x:c>
      <x:c r="J1531" s="8" t="n">
        <x:v>46302.50689814815</x:v>
      </x:c>
      <x:c r="K1531" s="8" t="n">
        <x:v>46302.506932870376</x:v>
      </x:c>
      <x:c r="L1531" s="2" t="str">
        <x:v>Sent</x:v>
      </x:c>
      <x:c r="M1531" s="2" t="n">
        <x:v>1</x:v>
      </x:c>
      <x:c r="N1531" s="2"/>
      <x:c r="O1531" s="2"/>
    </x:row>
    <x:row r="1532" ht="21" customHeight="1">
      <x:c r="A1532" s="2" t="str">
        <x:v>NT001531</x:v>
      </x:c>
      <x:c r="B1532" s="2" t="str">
        <x:v>EV001533</x:v>
      </x:c>
      <x:c r="C1532" s="2" t="str">
        <x:v>T20261007-2-1</x:v>
      </x:c>
      <x:c r="D1532" s="2" t="str">
        <x:v>ST040</x:v>
      </x:c>
      <x:c r="E1532" s="2" t="str">
        <x:v>G040</x:v>
      </x:c>
      <x:c r="F1532" s="2" t="str">
        <x:v>guardian040@example.invalid</x:v>
      </x:c>
      <x:c r="G1532" s="2" t="str">
        <x:v>Email</x:v>
      </x:c>
      <x:c r="H1532" s="2" t="str">
        <x:v>Boarded</x:v>
      </x:c>
      <x:c r="I1532" s="8" t="n">
        <x:v>46302.47184027778</x:v>
      </x:c>
      <x:c r="J1532" s="8" t="n">
        <x:v>46302.471863425926</x:v>
      </x:c>
      <x:c r="K1532" s="8" t="n">
        <x:v>46302.47189814815</x:v>
      </x:c>
      <x:c r="L1532" s="2" t="str">
        <x:v>Sent</x:v>
      </x:c>
      <x:c r="M1532" s="2" t="n">
        <x:v>1</x:v>
      </x:c>
      <x:c r="N1532" s="2"/>
      <x:c r="O1532" s="2"/>
    </x:row>
    <x:row r="1533" ht="21" customHeight="1">
      <x:c r="A1533" s="2" t="str">
        <x:v>NT001532</x:v>
      </x:c>
      <x:c r="B1533" s="2" t="str">
        <x:v>EV001534</x:v>
      </x:c>
      <x:c r="C1533" s="2" t="str">
        <x:v>T20261007-2-1</x:v>
      </x:c>
      <x:c r="D1533" s="2" t="str">
        <x:v>ST040</x:v>
      </x:c>
      <x:c r="E1533" s="2" t="str">
        <x:v>G040</x:v>
      </x:c>
      <x:c r="F1533" s="2" t="str">
        <x:v>guardian040@example.invalid</x:v>
      </x:c>
      <x:c r="G1533" s="2" t="str">
        <x:v>Email</x:v>
      </x:c>
      <x:c r="H1533" s="2" t="str">
        <x:v>School receipt</x:v>
      </x:c>
      <x:c r="I1533" s="8" t="n">
        <x:v>46302.50690972222</x:v>
      </x:c>
      <x:c r="J1533" s="8" t="n">
        <x:v>46302.50693287037</x:v>
      </x:c>
      <x:c r="K1533" s="8" t="n">
        <x:v>46302.50696759259</x:v>
      </x:c>
      <x:c r="L1533" s="2" t="str">
        <x:v>Sent</x:v>
      </x:c>
      <x:c r="M1533" s="2" t="n">
        <x:v>1</x:v>
      </x:c>
      <x:c r="N1533" s="2"/>
      <x:c r="O1533" s="2"/>
    </x:row>
    <x:row r="1534" ht="21" customHeight="1">
      <x:c r="A1534" s="2" t="str">
        <x:v>NT001533</x:v>
      </x:c>
      <x:c r="B1534" s="2" t="str">
        <x:v>EV001535</x:v>
      </x:c>
      <x:c r="C1534" s="2" t="str">
        <x:v>T20261007-3-1</x:v>
      </x:c>
      <x:c r="D1534" s="2" t="str">
        <x:v>ST011</x:v>
      </x:c>
      <x:c r="E1534" s="2" t="str">
        <x:v>G011</x:v>
      </x:c>
      <x:c r="F1534" s="2" t="str">
        <x:v>guardian011@example.invalid</x:v>
      </x:c>
      <x:c r="G1534" s="2" t="str">
        <x:v>Email</x:v>
      </x:c>
      <x:c r="H1534" s="2" t="str">
        <x:v>Boarded</x:v>
      </x:c>
      <x:c r="I1534" s="8" t="n">
        <x:v>46302.57291666667</x:v>
      </x:c>
      <x:c r="J1534" s="8" t="n">
        <x:v>46302.57293981482</x:v>
      </x:c>
      <x:c r="K1534" s="8" t="n">
        <x:v>46302.57297453704</x:v>
      </x:c>
      <x:c r="L1534" s="2" t="str">
        <x:v>Sent</x:v>
      </x:c>
      <x:c r="M1534" s="2" t="n">
        <x:v>1</x:v>
      </x:c>
      <x:c r="N1534" s="2"/>
      <x:c r="O1534" s="2"/>
    </x:row>
    <x:row r="1535" ht="21" customHeight="1">
      <x:c r="A1535" s="2" t="str">
        <x:v>NT001534</x:v>
      </x:c>
      <x:c r="B1535" s="2" t="str">
        <x:v>EV001536</x:v>
      </x:c>
      <x:c r="C1535" s="2" t="str">
        <x:v>T20261007-3-1</x:v>
      </x:c>
      <x:c r="D1535" s="2" t="str">
        <x:v>ST011</x:v>
      </x:c>
      <x:c r="E1535" s="2" t="str">
        <x:v>G011</x:v>
      </x:c>
      <x:c r="F1535" s="2" t="str">
        <x:v>guardian011@example.invalid</x:v>
      </x:c>
      <x:c r="G1535" s="2" t="str">
        <x:v>Email</x:v>
      </x:c>
      <x:c r="H1535" s="2" t="str">
        <x:v>Authorized release</x:v>
      </x:c>
      <x:c r="I1535" s="8" t="n">
        <x:v>46302.59027777778</x:v>
      </x:c>
      <x:c r="J1535" s="8" t="n">
        <x:v>46302.59030092593</x:v>
      </x:c>
      <x:c r="K1535" s="8" t="n">
        <x:v>46302.59033564815</x:v>
      </x:c>
      <x:c r="L1535" s="2" t="str">
        <x:v>Sent</x:v>
      </x:c>
      <x:c r="M1535" s="2" t="n">
        <x:v>1</x:v>
      </x:c>
      <x:c r="N1535" s="2"/>
      <x:c r="O1535" s="2"/>
    </x:row>
    <x:row r="1536" ht="21" customHeight="1">
      <x:c r="A1536" s="2" t="str">
        <x:v>NT001535</x:v>
      </x:c>
      <x:c r="B1536" s="2" t="str">
        <x:v>EV001537</x:v>
      </x:c>
      <x:c r="C1536" s="2" t="str">
        <x:v>T20261007-3-1</x:v>
      </x:c>
      <x:c r="D1536" s="2" t="str">
        <x:v>ST012</x:v>
      </x:c>
      <x:c r="E1536" s="2" t="str">
        <x:v>G012</x:v>
      </x:c>
      <x:c r="F1536" s="2" t="str">
        <x:v>guardian012@example.invalid</x:v>
      </x:c>
      <x:c r="G1536" s="2" t="str">
        <x:v>Email</x:v>
      </x:c>
      <x:c r="H1536" s="2" t="str">
        <x:v>Boarded</x:v>
      </x:c>
      <x:c r="I1536" s="8" t="n">
        <x:v>46302.572951388895</x:v>
      </x:c>
      <x:c r="J1536" s="8" t="n">
        <x:v>46302.57297453704</x:v>
      </x:c>
      <x:c r="K1536" s="8" t="n">
        <x:v>46302.573009259264</x:v>
      </x:c>
      <x:c r="L1536" s="2" t="str">
        <x:v>Sent</x:v>
      </x:c>
      <x:c r="M1536" s="2" t="n">
        <x:v>1</x:v>
      </x:c>
      <x:c r="N1536" s="2"/>
      <x:c r="O1536" s="2"/>
    </x:row>
    <x:row r="1537" ht="21" customHeight="1">
      <x:c r="A1537" s="2" t="str">
        <x:v>NT001536</x:v>
      </x:c>
      <x:c r="B1537" s="2" t="str">
        <x:v>EV001538</x:v>
      </x:c>
      <x:c r="C1537" s="2" t="str">
        <x:v>T20261007-3-1</x:v>
      </x:c>
      <x:c r="D1537" s="2" t="str">
        <x:v>ST012</x:v>
      </x:c>
      <x:c r="E1537" s="2" t="str">
        <x:v>G012</x:v>
      </x:c>
      <x:c r="F1537" s="2" t="str">
        <x:v>guardian012@example.invalid</x:v>
      </x:c>
      <x:c r="G1537" s="2" t="str">
        <x:v>Email</x:v>
      </x:c>
      <x:c r="H1537" s="2" t="str">
        <x:v>Authorized release</x:v>
      </x:c>
      <x:c r="I1537" s="8" t="n">
        <x:v>46302.59447916667</x:v>
      </x:c>
      <x:c r="J1537" s="8" t="n">
        <x:v>46302.594502314816</x:v>
      </x:c>
      <x:c r="K1537" s="8" t="n">
        <x:v>46302.59453703704</x:v>
      </x:c>
      <x:c r="L1537" s="2" t="str">
        <x:v>Sent</x:v>
      </x:c>
      <x:c r="M1537" s="2" t="n">
        <x:v>1</x:v>
      </x:c>
      <x:c r="N1537" s="2"/>
      <x:c r="O1537" s="2"/>
    </x:row>
    <x:row r="1538" ht="21" customHeight="1">
      <x:c r="A1538" s="2" t="str">
        <x:v>NT001537</x:v>
      </x:c>
      <x:c r="B1538" s="2" t="str">
        <x:v>EV001539</x:v>
      </x:c>
      <x:c r="C1538" s="2" t="str">
        <x:v>T20261007-3-1</x:v>
      </x:c>
      <x:c r="D1538" s="2" t="str">
        <x:v>ST013</x:v>
      </x:c>
      <x:c r="E1538" s="2" t="str">
        <x:v>G013</x:v>
      </x:c>
      <x:c r="F1538" s="2" t="str">
        <x:v>guardian013@example.invalid</x:v>
      </x:c>
      <x:c r="G1538" s="2" t="str">
        <x:v>Email</x:v>
      </x:c>
      <x:c r="H1538" s="2" t="str">
        <x:v>Boarded</x:v>
      </x:c>
      <x:c r="I1538" s="8" t="n">
        <x:v>46302.57298611112</x:v>
      </x:c>
      <x:c r="J1538" s="8" t="n">
        <x:v>46302.573009259264</x:v>
      </x:c>
      <x:c r="K1538" s="8" t="n">
        <x:v>46302.57304398149</x:v>
      </x:c>
      <x:c r="L1538" s="2" t="str">
        <x:v>Sent</x:v>
      </x:c>
      <x:c r="M1538" s="2" t="n">
        <x:v>1</x:v>
      </x:c>
      <x:c r="N1538" s="2"/>
      <x:c r="O1538" s="2"/>
    </x:row>
    <x:row r="1539" ht="21" customHeight="1">
      <x:c r="A1539" s="2" t="str">
        <x:v>NT001538</x:v>
      </x:c>
      <x:c r="B1539" s="2" t="str">
        <x:v>EV001540</x:v>
      </x:c>
      <x:c r="C1539" s="2" t="str">
        <x:v>T20261007-3-1</x:v>
      </x:c>
      <x:c r="D1539" s="2" t="str">
        <x:v>ST013</x:v>
      </x:c>
      <x:c r="E1539" s="2" t="str">
        <x:v>G013</x:v>
      </x:c>
      <x:c r="F1539" s="2" t="str">
        <x:v>guardian013@example.invalid</x:v>
      </x:c>
      <x:c r="G1539" s="2" t="str">
        <x:v>Email</x:v>
      </x:c>
      <x:c r="H1539" s="2" t="str">
        <x:v>Authorized release</x:v>
      </x:c>
      <x:c r="I1539" s="8" t="n">
        <x:v>46302.58618055556</x:v>
      </x:c>
      <x:c r="J1539" s="8" t="n">
        <x:v>46302.58620370371</x:v>
      </x:c>
      <x:c r="K1539" s="8" t="n">
        <x:v>46302.58623842593</x:v>
      </x:c>
      <x:c r="L1539" s="2" t="str">
        <x:v>Sent</x:v>
      </x:c>
      <x:c r="M1539" s="2" t="n">
        <x:v>1</x:v>
      </x:c>
      <x:c r="N1539" s="2"/>
      <x:c r="O1539" s="2"/>
    </x:row>
    <x:row r="1540" ht="21" customHeight="1">
      <x:c r="A1540" s="2" t="str">
        <x:v>NT001539</x:v>
      </x:c>
      <x:c r="B1540" s="2" t="str">
        <x:v>EV001541</x:v>
      </x:c>
      <x:c r="C1540" s="2" t="str">
        <x:v>T20261007-3-1</x:v>
      </x:c>
      <x:c r="D1540" s="2" t="str">
        <x:v>ST014</x:v>
      </x:c>
      <x:c r="E1540" s="2" t="str">
        <x:v>G014</x:v>
      </x:c>
      <x:c r="F1540" s="2" t="str">
        <x:v>guardian014@example.invalid</x:v>
      </x:c>
      <x:c r="G1540" s="2" t="str">
        <x:v>Email</x:v>
      </x:c>
      <x:c r="H1540" s="2" t="str">
        <x:v>Boarded</x:v>
      </x:c>
      <x:c r="I1540" s="8" t="n">
        <x:v>46302.57302083334</x:v>
      </x:c>
      <x:c r="J1540" s="8" t="n">
        <x:v>46302.57304398149</x:v>
      </x:c>
      <x:c r="K1540" s="8" t="n">
        <x:v>46302.57307870371</x:v>
      </x:c>
      <x:c r="L1540" s="2" t="str">
        <x:v>Sent</x:v>
      </x:c>
      <x:c r="M1540" s="2" t="n">
        <x:v>1</x:v>
      </x:c>
      <x:c r="N1540" s="2"/>
      <x:c r="O1540" s="2"/>
    </x:row>
    <x:row r="1541" ht="21" customHeight="1">
      <x:c r="A1541" s="2" t="str">
        <x:v>NT001540</x:v>
      </x:c>
      <x:c r="B1541" s="2" t="str">
        <x:v>EV001542</x:v>
      </x:c>
      <x:c r="C1541" s="2" t="str">
        <x:v>T20261007-3-1</x:v>
      </x:c>
      <x:c r="D1541" s="2" t="str">
        <x:v>ST014</x:v>
      </x:c>
      <x:c r="E1541" s="2" t="str">
        <x:v>G014</x:v>
      </x:c>
      <x:c r="F1541" s="2" t="str">
        <x:v>guardian014@example.invalid</x:v>
      </x:c>
      <x:c r="G1541" s="2" t="str">
        <x:v>Email</x:v>
      </x:c>
      <x:c r="H1541" s="2" t="str">
        <x:v>Authorized release</x:v>
      </x:c>
      <x:c r="I1541" s="8" t="n">
        <x:v>46302.59038194445</x:v>
      </x:c>
      <x:c r="J1541" s="8" t="n">
        <x:v>46302.5904050926</x:v>
      </x:c>
      <x:c r="K1541" s="8" t="n">
        <x:v>46302.59043981482</x:v>
      </x:c>
      <x:c r="L1541" s="2" t="str">
        <x:v>Sent</x:v>
      </x:c>
      <x:c r="M1541" s="2" t="n">
        <x:v>1</x:v>
      </x:c>
      <x:c r="N1541" s="2"/>
      <x:c r="O1541" s="2"/>
    </x:row>
    <x:row r="1542" ht="21" customHeight="1">
      <x:c r="A1542" s="2" t="str">
        <x:v>NT001541</x:v>
      </x:c>
      <x:c r="B1542" s="2" t="str">
        <x:v>EV001543</x:v>
      </x:c>
      <x:c r="C1542" s="2" t="str">
        <x:v>T20261007-3-1</x:v>
      </x:c>
      <x:c r="D1542" s="2" t="str">
        <x:v>ST015</x:v>
      </x:c>
      <x:c r="E1542" s="2" t="str">
        <x:v>G015</x:v>
      </x:c>
      <x:c r="F1542" s="2" t="str">
        <x:v>guardian015@example.invalid</x:v>
      </x:c>
      <x:c r="G1542" s="2" t="str">
        <x:v>Email</x:v>
      </x:c>
      <x:c r="H1542" s="2" t="str">
        <x:v>Boarded</x:v>
      </x:c>
      <x:c r="I1542" s="8" t="n">
        <x:v>46302.573055555564</x:v>
      </x:c>
      <x:c r="J1542" s="8" t="n">
        <x:v>46302.57307870371</x:v>
      </x:c>
      <x:c r="K1542" s="8" t="n">
        <x:v>46302.57311342593</x:v>
      </x:c>
      <x:c r="L1542" s="2" t="str">
        <x:v>Sent</x:v>
      </x:c>
      <x:c r="M1542" s="2" t="n">
        <x:v>1</x:v>
      </x:c>
      <x:c r="N1542" s="2"/>
      <x:c r="O1542" s="2"/>
    </x:row>
    <x:row r="1543" ht="21" customHeight="1">
      <x:c r="A1543" s="2" t="str">
        <x:v>NT001542</x:v>
      </x:c>
      <x:c r="B1543" s="2" t="str">
        <x:v>EV001544</x:v>
      </x:c>
      <x:c r="C1543" s="2" t="str">
        <x:v>T20261007-3-1</x:v>
      </x:c>
      <x:c r="D1543" s="2" t="str">
        <x:v>ST015</x:v>
      </x:c>
      <x:c r="E1543" s="2" t="str">
        <x:v>G015</x:v>
      </x:c>
      <x:c r="F1543" s="2" t="str">
        <x:v>guardian015@example.invalid</x:v>
      </x:c>
      <x:c r="G1543" s="2" t="str">
        <x:v>Email</x:v>
      </x:c>
      <x:c r="H1543" s="2" t="str">
        <x:v>Authorized release</x:v>
      </x:c>
      <x:c r="I1543" s="8" t="n">
        <x:v>46302.59805555556</x:v>
      </x:c>
      <x:c r="J1543" s="8" t="n">
        <x:v>46302.598078703704</x:v>
      </x:c>
      <x:c r="K1543" s="8" t="n">
        <x:v>46302.59811342593</x:v>
      </x:c>
      <x:c r="L1543" s="2" t="str">
        <x:v>Sent</x:v>
      </x:c>
      <x:c r="M1543" s="2" t="n">
        <x:v>1</x:v>
      </x:c>
      <x:c r="N1543" s="2"/>
      <x:c r="O1543" s="2"/>
    </x:row>
    <x:row r="1544" ht="21" customHeight="1">
      <x:c r="A1544" s="2" t="str">
        <x:v>NT001543</x:v>
      </x:c>
      <x:c r="B1544" s="2" t="str">
        <x:v>EV001545</x:v>
      </x:c>
      <x:c r="C1544" s="2" t="str">
        <x:v>T20261007-3-1</x:v>
      </x:c>
      <x:c r="D1544" s="2" t="str">
        <x:v>ST016</x:v>
      </x:c>
      <x:c r="E1544" s="2" t="str">
        <x:v>G016</x:v>
      </x:c>
      <x:c r="F1544" s="2" t="str">
        <x:v>guardian016@example.invalid</x:v>
      </x:c>
      <x:c r="G1544" s="2" t="str">
        <x:v>Email</x:v>
      </x:c>
      <x:c r="H1544" s="2" t="str">
        <x:v>Boarded</x:v>
      </x:c>
      <x:c r="I1544" s="8" t="n">
        <x:v>46302.57309027778</x:v>
      </x:c>
      <x:c r="J1544" s="8" t="n">
        <x:v>46302.573113425926</x:v>
      </x:c>
      <x:c r="K1544" s="8" t="n">
        <x:v>46302.57314814815</x:v>
      </x:c>
      <x:c r="L1544" s="2" t="str">
        <x:v>Sent</x:v>
      </x:c>
      <x:c r="M1544" s="2" t="n">
        <x:v>1</x:v>
      </x:c>
      <x:c r="N1544" s="2"/>
      <x:c r="O1544" s="2"/>
    </x:row>
    <x:row r="1545" ht="21" customHeight="1">
      <x:c r="A1545" s="2" t="str">
        <x:v>NT001544</x:v>
      </x:c>
      <x:c r="B1545" s="2" t="str">
        <x:v>EV001546</x:v>
      </x:c>
      <x:c r="C1545" s="2" t="str">
        <x:v>T20261007-3-1</x:v>
      </x:c>
      <x:c r="D1545" s="2" t="str">
        <x:v>ST016</x:v>
      </x:c>
      <x:c r="E1545" s="2" t="str">
        <x:v>G016</x:v>
      </x:c>
      <x:c r="F1545" s="2" t="str">
        <x:v>guardian016@example.invalid</x:v>
      </x:c>
      <x:c r="G1545" s="2" t="str">
        <x:v>Email</x:v>
      </x:c>
      <x:c r="H1545" s="2" t="str">
        <x:v>Authorized release</x:v>
      </x:c>
      <x:c r="I1545" s="8" t="n">
        <x:v>46302.58628472222</x:v>
      </x:c>
      <x:c r="J1545" s="8" t="n">
        <x:v>46302.58630787037</x:v>
      </x:c>
      <x:c r="K1545" s="8" t="n">
        <x:v>46302.58634259259</x:v>
      </x:c>
      <x:c r="L1545" s="2" t="str">
        <x:v>Sent</x:v>
      </x:c>
      <x:c r="M1545" s="2" t="n">
        <x:v>1</x:v>
      </x:c>
      <x:c r="N1545" s="2"/>
      <x:c r="O1545" s="2"/>
    </x:row>
    <x:row r="1546" ht="21" customHeight="1">
      <x:c r="A1546" s="2" t="str">
        <x:v>NT001545</x:v>
      </x:c>
      <x:c r="B1546" s="2" t="str">
        <x:v>EV001547</x:v>
      </x:c>
      <x:c r="C1546" s="2" t="str">
        <x:v>T20261007-3-1</x:v>
      </x:c>
      <x:c r="D1546" s="2" t="str">
        <x:v>ST017</x:v>
      </x:c>
      <x:c r="E1546" s="2" t="str">
        <x:v>G017</x:v>
      </x:c>
      <x:c r="F1546" s="2" t="str">
        <x:v>guardian017@example.invalid</x:v>
      </x:c>
      <x:c r="G1546" s="2" t="str">
        <x:v>Email</x:v>
      </x:c>
      <x:c r="H1546" s="2" t="str">
        <x:v>Boarded</x:v>
      </x:c>
      <x:c r="I1546" s="8" t="n">
        <x:v>46302.573125</x:v>
      </x:c>
      <x:c r="J1546" s="8" t="n">
        <x:v>46302.57314814815</x:v>
      </x:c>
      <x:c r="K1546" s="8" t="n">
        <x:v>46302.57318287037</x:v>
      </x:c>
      <x:c r="L1546" s="2" t="str">
        <x:v>Sent</x:v>
      </x:c>
      <x:c r="M1546" s="2" t="n">
        <x:v>1</x:v>
      </x:c>
      <x:c r="N1546" s="2"/>
      <x:c r="O1546" s="2"/>
    </x:row>
    <x:row r="1547" ht="21" customHeight="1">
      <x:c r="A1547" s="2" t="str">
        <x:v>NT001546</x:v>
      </x:c>
      <x:c r="B1547" s="2" t="str">
        <x:v>EV001548</x:v>
      </x:c>
      <x:c r="C1547" s="2" t="str">
        <x:v>T20261007-3-1</x:v>
      </x:c>
      <x:c r="D1547" s="2" t="str">
        <x:v>ST017</x:v>
      </x:c>
      <x:c r="E1547" s="2" t="str">
        <x:v>G017</x:v>
      </x:c>
      <x:c r="F1547" s="2" t="str">
        <x:v>guardian017@example.invalid</x:v>
      </x:c>
      <x:c r="G1547" s="2" t="str">
        <x:v>Email</x:v>
      </x:c>
      <x:c r="H1547" s="2" t="str">
        <x:v>Authorized release</x:v>
      </x:c>
      <x:c r="I1547" s="8" t="n">
        <x:v>46302.59048611111</x:v>
      </x:c>
      <x:c r="J1547" s="8" t="n">
        <x:v>46302.59050925926</x:v>
      </x:c>
      <x:c r="K1547" s="8" t="n">
        <x:v>46302.59054398148</x:v>
      </x:c>
      <x:c r="L1547" s="2" t="str">
        <x:v>Sent</x:v>
      </x:c>
      <x:c r="M1547" s="2" t="n">
        <x:v>1</x:v>
      </x:c>
      <x:c r="N1547" s="2"/>
      <x:c r="O1547" s="2"/>
    </x:row>
    <x:row r="1548" ht="21" customHeight="1">
      <x:c r="A1548" s="2" t="str">
        <x:v>NT001547</x:v>
      </x:c>
      <x:c r="B1548" s="2" t="str">
        <x:v>EV001549</x:v>
      </x:c>
      <x:c r="C1548" s="2" t="str">
        <x:v>T20261007-3-1</x:v>
      </x:c>
      <x:c r="D1548" s="2" t="str">
        <x:v>ST018</x:v>
      </x:c>
      <x:c r="E1548" s="2" t="str">
        <x:v>G018</x:v>
      </x:c>
      <x:c r="F1548" s="2" t="str">
        <x:v>guardian018@example.invalid</x:v>
      </x:c>
      <x:c r="G1548" s="2" t="str">
        <x:v>Email</x:v>
      </x:c>
      <x:c r="H1548" s="2" t="str">
        <x:v>Boarded</x:v>
      </x:c>
      <x:c r="I1548" s="8" t="n">
        <x:v>46302.573159722226</x:v>
      </x:c>
      <x:c r="J1548" s="8" t="n">
        <x:v>46302.57318287037</x:v>
      </x:c>
      <x:c r="K1548" s="8" t="n">
        <x:v>46302.573217592595</x:v>
      </x:c>
      <x:c r="L1548" s="2" t="str">
        <x:v>Sent</x:v>
      </x:c>
      <x:c r="M1548" s="2" t="n">
        <x:v>1</x:v>
      </x:c>
      <x:c r="N1548" s="2"/>
      <x:c r="O1548" s="2"/>
    </x:row>
    <x:row r="1549" ht="21" customHeight="1">
      <x:c r="A1549" s="2" t="str">
        <x:v>NT001548</x:v>
      </x:c>
      <x:c r="B1549" s="2" t="str">
        <x:v>EV001550</x:v>
      </x:c>
      <x:c r="C1549" s="2" t="str">
        <x:v>T20261007-3-1</x:v>
      </x:c>
      <x:c r="D1549" s="2" t="str">
        <x:v>ST018</x:v>
      </x:c>
      <x:c r="E1549" s="2" t="str">
        <x:v>G018</x:v>
      </x:c>
      <x:c r="F1549" s="2" t="str">
        <x:v>guardian018@example.invalid</x:v>
      </x:c>
      <x:c r="G1549" s="2" t="str">
        <x:v>Email</x:v>
      </x:c>
      <x:c r="H1549" s="2" t="str">
        <x:v>Authorized release</x:v>
      </x:c>
      <x:c r="I1549" s="8" t="n">
        <x:v>46302.5946875</x:v>
      </x:c>
      <x:c r="J1549" s="8" t="n">
        <x:v>46302.59471064815</x:v>
      </x:c>
      <x:c r="K1549" s="8" t="n">
        <x:v>46302.59474537037</x:v>
      </x:c>
      <x:c r="L1549" s="2" t="str">
        <x:v>Sent</x:v>
      </x:c>
      <x:c r="M1549" s="2" t="n">
        <x:v>1</x:v>
      </x:c>
      <x:c r="N1549" s="2"/>
      <x:c r="O1549" s="2"/>
    </x:row>
    <x:row r="1550" ht="21" customHeight="1">
      <x:c r="A1550" s="2" t="str">
        <x:v>NT001549</x:v>
      </x:c>
      <x:c r="B1550" s="2" t="str">
        <x:v>EV001551</x:v>
      </x:c>
      <x:c r="C1550" s="2" t="str">
        <x:v>T20261007-3-1</x:v>
      </x:c>
      <x:c r="D1550" s="2" t="str">
        <x:v>ST019</x:v>
      </x:c>
      <x:c r="E1550" s="2" t="str">
        <x:v>G019</x:v>
      </x:c>
      <x:c r="F1550" s="2" t="str">
        <x:v>guardian019@example.invalid</x:v>
      </x:c>
      <x:c r="G1550" s="2" t="str">
        <x:v>Email</x:v>
      </x:c>
      <x:c r="H1550" s="2" t="str">
        <x:v>Boarded</x:v>
      </x:c>
      <x:c r="I1550" s="8" t="n">
        <x:v>46302.57319444445</x:v>
      </x:c>
      <x:c r="J1550" s="8" t="n">
        <x:v>46302.573217592595</x:v>
      </x:c>
      <x:c r="K1550" s="8" t="n">
        <x:v>46302.57325231482</x:v>
      </x:c>
      <x:c r="L1550" s="2" t="str">
        <x:v>Sent</x:v>
      </x:c>
      <x:c r="M1550" s="2" t="n">
        <x:v>1</x:v>
      </x:c>
      <x:c r="N1550" s="2"/>
      <x:c r="O1550" s="2"/>
    </x:row>
    <x:row r="1551" ht="21" customHeight="1">
      <x:c r="A1551" s="2" t="str">
        <x:v>NT001550</x:v>
      </x:c>
      <x:c r="B1551" s="2" t="str">
        <x:v>EV001552</x:v>
      </x:c>
      <x:c r="C1551" s="2" t="str">
        <x:v>T20261007-3-1</x:v>
      </x:c>
      <x:c r="D1551" s="2" t="str">
        <x:v>ST019</x:v>
      </x:c>
      <x:c r="E1551" s="2" t="str">
        <x:v>G019</x:v>
      </x:c>
      <x:c r="F1551" s="2" t="str">
        <x:v>guardian019@example.invalid</x:v>
      </x:c>
      <x:c r="G1551" s="2" t="str">
        <x:v>Email</x:v>
      </x:c>
      <x:c r="H1551" s="2" t="str">
        <x:v>Authorized release</x:v>
      </x:c>
      <x:c r="I1551" s="8" t="n">
        <x:v>46302.58638888889</x:v>
      </x:c>
      <x:c r="J1551" s="8" t="n">
        <x:v>46302.58641203704</x:v>
      </x:c>
      <x:c r="K1551" s="8" t="n">
        <x:v>46302.58644675926</x:v>
      </x:c>
      <x:c r="L1551" s="2" t="str">
        <x:v>Sent</x:v>
      </x:c>
      <x:c r="M1551" s="2" t="n">
        <x:v>1</x:v>
      </x:c>
      <x:c r="N1551" s="2"/>
      <x:c r="O1551" s="2"/>
    </x:row>
    <x:row r="1552" ht="21" customHeight="1">
      <x:c r="A1552" s="2" t="str">
        <x:v>NT001551</x:v>
      </x:c>
      <x:c r="B1552" s="2" t="str">
        <x:v>EV001553</x:v>
      </x:c>
      <x:c r="C1552" s="2" t="str">
        <x:v>T20261007-3-1</x:v>
      </x:c>
      <x:c r="D1552" s="2" t="str">
        <x:v>ST020</x:v>
      </x:c>
      <x:c r="E1552" s="2" t="str">
        <x:v>G020</x:v>
      </x:c>
      <x:c r="F1552" s="2" t="str">
        <x:v>guardian020@example.invalid</x:v>
      </x:c>
      <x:c r="G1552" s="2" t="str">
        <x:v>Email</x:v>
      </x:c>
      <x:c r="H1552" s="2" t="str">
        <x:v>Boarded</x:v>
      </x:c>
      <x:c r="I1552" s="8" t="n">
        <x:v>46302.57322916667</x:v>
      </x:c>
      <x:c r="J1552" s="8" t="n">
        <x:v>46302.57325231482</x:v>
      </x:c>
      <x:c r="K1552" s="8" t="n">
        <x:v>46302.57328703704</x:v>
      </x:c>
      <x:c r="L1552" s="2" t="str">
        <x:v>Sent</x:v>
      </x:c>
      <x:c r="M1552" s="2" t="n">
        <x:v>1</x:v>
      </x:c>
      <x:c r="N1552" s="2"/>
      <x:c r="O1552" s="2"/>
    </x:row>
    <x:row r="1553" ht="21" customHeight="1">
      <x:c r="A1553" s="2" t="str">
        <x:v>NT001552</x:v>
      </x:c>
      <x:c r="B1553" s="2" t="str">
        <x:v>EV001554</x:v>
      </x:c>
      <x:c r="C1553" s="2" t="str">
        <x:v>T20261007-3-1</x:v>
      </x:c>
      <x:c r="D1553" s="2" t="str">
        <x:v>ST020</x:v>
      </x:c>
      <x:c r="E1553" s="2" t="str">
        <x:v>G020</x:v>
      </x:c>
      <x:c r="F1553" s="2" t="str">
        <x:v>guardian020@example.invalid</x:v>
      </x:c>
      <x:c r="G1553" s="2" t="str">
        <x:v>Email</x:v>
      </x:c>
      <x:c r="H1553" s="2" t="str">
        <x:v>Authorized release</x:v>
      </x:c>
      <x:c r="I1553" s="8" t="n">
        <x:v>46302.59059027778</x:v>
      </x:c>
      <x:c r="J1553" s="8" t="n">
        <x:v>46302.59061342593</x:v>
      </x:c>
      <x:c r="K1553" s="8" t="n">
        <x:v>46302.59064814815</x:v>
      </x:c>
      <x:c r="L1553" s="2" t="str">
        <x:v>Sent</x:v>
      </x:c>
      <x:c r="M1553" s="2" t="n">
        <x:v>1</x:v>
      </x:c>
      <x:c r="N1553" s="2"/>
      <x:c r="O1553" s="2"/>
    </x:row>
    <x:row r="1554" ht="21" customHeight="1">
      <x:c r="A1554" s="2" t="str">
        <x:v>NT001553</x:v>
      </x:c>
      <x:c r="B1554" s="2" t="str">
        <x:v>EV001555</x:v>
      </x:c>
      <x:c r="C1554" s="2" t="str">
        <x:v>T20261007-4-1</x:v>
      </x:c>
      <x:c r="D1554" s="2" t="str">
        <x:v>ST021</x:v>
      </x:c>
      <x:c r="E1554" s="2" t="str">
        <x:v>G021</x:v>
      </x:c>
      <x:c r="F1554" s="2" t="str">
        <x:v>guardian021@example.invalid</x:v>
      </x:c>
      <x:c r="G1554" s="2" t="str">
        <x:v>Email</x:v>
      </x:c>
      <x:c r="H1554" s="2" t="str">
        <x:v>Boarded</x:v>
      </x:c>
      <x:c r="I1554" s="8" t="n">
        <x:v>46302.60416666667</x:v>
      </x:c>
      <x:c r="J1554" s="8" t="n">
        <x:v>46302.60418981482</x:v>
      </x:c>
      <x:c r="K1554" s="8" t="n">
        <x:v>46302.60422453704</x:v>
      </x:c>
      <x:c r="L1554" s="2" t="str">
        <x:v>Sent</x:v>
      </x:c>
      <x:c r="M1554" s="2" t="n">
        <x:v>1</x:v>
      </x:c>
      <x:c r="N1554" s="2"/>
      <x:c r="O1554" s="2"/>
    </x:row>
    <x:row r="1555" ht="21" customHeight="1">
      <x:c r="A1555" s="2" t="str">
        <x:v>NT001554</x:v>
      </x:c>
      <x:c r="B1555" s="2" t="str">
        <x:v>EV001556</x:v>
      </x:c>
      <x:c r="C1555" s="2" t="str">
        <x:v>T20261007-4-1</x:v>
      </x:c>
      <x:c r="D1555" s="2" t="str">
        <x:v>ST021</x:v>
      </x:c>
      <x:c r="E1555" s="2" t="str">
        <x:v>G021</x:v>
      </x:c>
      <x:c r="F1555" s="2" t="str">
        <x:v>guardian021@example.invalid</x:v>
      </x:c>
      <x:c r="G1555" s="2" t="str">
        <x:v>Email</x:v>
      </x:c>
      <x:c r="H1555" s="2" t="str">
        <x:v>Authorized release</x:v>
      </x:c>
      <x:c r="I1555" s="8" t="n">
        <x:v>46302.62708333333</x:v>
      </x:c>
      <x:c r="J1555" s="8" t="n">
        <x:v>46302.62710648148</x:v>
      </x:c>
      <x:c r="K1555" s="8" t="n">
        <x:v>46302.6271412037</x:v>
      </x:c>
      <x:c r="L1555" s="2" t="str">
        <x:v>Sent</x:v>
      </x:c>
      <x:c r="M1555" s="2" t="n">
        <x:v>1</x:v>
      </x:c>
      <x:c r="N1555" s="2"/>
      <x:c r="O1555" s="2"/>
    </x:row>
    <x:row r="1556" ht="21" customHeight="1">
      <x:c r="A1556" s="2" t="str">
        <x:v>NT001555</x:v>
      </x:c>
      <x:c r="B1556" s="2" t="str">
        <x:v>EV001557</x:v>
      </x:c>
      <x:c r="C1556" s="2" t="str">
        <x:v>T20261007-4-1</x:v>
      </x:c>
      <x:c r="D1556" s="2" t="str">
        <x:v>ST022</x:v>
      </x:c>
      <x:c r="E1556" s="2" t="str">
        <x:v>G022</x:v>
      </x:c>
      <x:c r="F1556" s="2" t="str">
        <x:v>guardian022@example.invalid</x:v>
      </x:c>
      <x:c r="G1556" s="2" t="str">
        <x:v>Email</x:v>
      </x:c>
      <x:c r="H1556" s="2" t="str">
        <x:v>Boarded</x:v>
      </x:c>
      <x:c r="I1556" s="8" t="n">
        <x:v>46302.604201388895</x:v>
      </x:c>
      <x:c r="J1556" s="8" t="n">
        <x:v>46302.60422453704</x:v>
      </x:c>
      <x:c r="K1556" s="8" t="n">
        <x:v>46302.604259259264</x:v>
      </x:c>
      <x:c r="L1556" s="2" t="str">
        <x:v>Sent</x:v>
      </x:c>
      <x:c r="M1556" s="2" t="n">
        <x:v>1</x:v>
      </x:c>
      <x:c r="N1556" s="2"/>
      <x:c r="O1556" s="2"/>
    </x:row>
    <x:row r="1557" ht="21" customHeight="1">
      <x:c r="A1557" s="2" t="str">
        <x:v>NT001556</x:v>
      </x:c>
      <x:c r="B1557" s="2" t="str">
        <x:v>EV001558</x:v>
      </x:c>
      <x:c r="C1557" s="2" t="str">
        <x:v>T20261007-4-1</x:v>
      </x:c>
      <x:c r="D1557" s="2" t="str">
        <x:v>ST022</x:v>
      </x:c>
      <x:c r="E1557" s="2" t="str">
        <x:v>G022</x:v>
      </x:c>
      <x:c r="F1557" s="2" t="str">
        <x:v>guardian022@example.invalid</x:v>
      </x:c>
      <x:c r="G1557" s="2" t="str">
        <x:v>Email</x:v>
      </x:c>
      <x:c r="H1557" s="2" t="str">
        <x:v>Authorized release</x:v>
      </x:c>
      <x:c r="I1557" s="8" t="n">
        <x:v>46302.618784722225</x:v>
      </x:c>
      <x:c r="J1557" s="8" t="n">
        <x:v>46302.61880787037</x:v>
      </x:c>
      <x:c r="K1557" s="8" t="n">
        <x:v>46302.618842592594</x:v>
      </x:c>
      <x:c r="L1557" s="2" t="str">
        <x:v>Sent</x:v>
      </x:c>
      <x:c r="M1557" s="2" t="n">
        <x:v>1</x:v>
      </x:c>
      <x:c r="N1557" s="2"/>
      <x:c r="O1557" s="2"/>
    </x:row>
    <x:row r="1558" ht="21" customHeight="1">
      <x:c r="A1558" s="2" t="str">
        <x:v>NT001557</x:v>
      </x:c>
      <x:c r="B1558" s="2" t="str">
        <x:v>EV001559</x:v>
      </x:c>
      <x:c r="C1558" s="2" t="str">
        <x:v>T20261007-4-1</x:v>
      </x:c>
      <x:c r="D1558" s="2" t="str">
        <x:v>ST023</x:v>
      </x:c>
      <x:c r="E1558" s="2" t="str">
        <x:v>G023</x:v>
      </x:c>
      <x:c r="F1558" s="2" t="str">
        <x:v>guardian023@example.invalid</x:v>
      </x:c>
      <x:c r="G1558" s="2" t="str">
        <x:v>Email</x:v>
      </x:c>
      <x:c r="H1558" s="2" t="str">
        <x:v>Boarded</x:v>
      </x:c>
      <x:c r="I1558" s="8" t="n">
        <x:v>46302.60423611112</x:v>
      </x:c>
      <x:c r="J1558" s="8" t="n">
        <x:v>46302.604259259264</x:v>
      </x:c>
      <x:c r="K1558" s="8" t="n">
        <x:v>46302.60429398149</x:v>
      </x:c>
      <x:c r="L1558" s="2" t="str">
        <x:v>Sent</x:v>
      </x:c>
      <x:c r="M1558" s="2" t="n">
        <x:v>1</x:v>
      </x:c>
      <x:c r="N1558" s="2"/>
      <x:c r="O1558" s="2"/>
    </x:row>
    <x:row r="1559" ht="21" customHeight="1">
      <x:c r="A1559" s="2" t="str">
        <x:v>NT001558</x:v>
      </x:c>
      <x:c r="B1559" s="2" t="str">
        <x:v>EV001560</x:v>
      </x:c>
      <x:c r="C1559" s="2" t="str">
        <x:v>T20261007-4-1</x:v>
      </x:c>
      <x:c r="D1559" s="2" t="str">
        <x:v>ST023</x:v>
      </x:c>
      <x:c r="E1559" s="2" t="str">
        <x:v>G023</x:v>
      </x:c>
      <x:c r="F1559" s="2" t="str">
        <x:v>guardian023@example.invalid</x:v>
      </x:c>
      <x:c r="G1559" s="2" t="str">
        <x:v>Email</x:v>
      </x:c>
      <x:c r="H1559" s="2" t="str">
        <x:v>Authorized release</x:v>
      </x:c>
      <x:c r="I1559" s="8" t="n">
        <x:v>46302.62298611111</x:v>
      </x:c>
      <x:c r="J1559" s="8" t="n">
        <x:v>46302.62300925926</x:v>
      </x:c>
      <x:c r="K1559" s="8" t="n">
        <x:v>46302.62304398148</x:v>
      </x:c>
      <x:c r="L1559" s="2" t="str">
        <x:v>Sent</x:v>
      </x:c>
      <x:c r="M1559" s="2" t="n">
        <x:v>1</x:v>
      </x:c>
      <x:c r="N1559" s="2"/>
      <x:c r="O1559" s="2"/>
    </x:row>
    <x:row r="1560" ht="21" customHeight="1">
      <x:c r="A1560" s="2" t="str">
        <x:v>NT001559</x:v>
      </x:c>
      <x:c r="B1560" s="2" t="str">
        <x:v>EV001561</x:v>
      </x:c>
      <x:c r="C1560" s="2" t="str">
        <x:v>T20261007-4-1</x:v>
      </x:c>
      <x:c r="D1560" s="2" t="str">
        <x:v>ST024</x:v>
      </x:c>
      <x:c r="E1560" s="2" t="str">
        <x:v>G024</x:v>
      </x:c>
      <x:c r="F1560" s="2" t="str">
        <x:v>guardian024@example.invalid</x:v>
      </x:c>
      <x:c r="G1560" s="2" t="str">
        <x:v>Email</x:v>
      </x:c>
      <x:c r="H1560" s="2" t="str">
        <x:v>Boarded</x:v>
      </x:c>
      <x:c r="I1560" s="8" t="n">
        <x:v>46302.60427083334</x:v>
      </x:c>
      <x:c r="J1560" s="8" t="n">
        <x:v>46302.60429398149</x:v>
      </x:c>
      <x:c r="K1560" s="8" t="n">
        <x:v>46302.60432870371</x:v>
      </x:c>
      <x:c r="L1560" s="2" t="str">
        <x:v>Sent</x:v>
      </x:c>
      <x:c r="M1560" s="2" t="n">
        <x:v>1</x:v>
      </x:c>
      <x:c r="N1560" s="2"/>
      <x:c r="O1560" s="2"/>
    </x:row>
    <x:row r="1561" ht="21" customHeight="1">
      <x:c r="A1561" s="2" t="str">
        <x:v>NT001560</x:v>
      </x:c>
      <x:c r="B1561" s="2" t="str">
        <x:v>EV001562</x:v>
      </x:c>
      <x:c r="C1561" s="2" t="str">
        <x:v>T20261007-4-1</x:v>
      </x:c>
      <x:c r="D1561" s="2" t="str">
        <x:v>ST024</x:v>
      </x:c>
      <x:c r="E1561" s="2" t="str">
        <x:v>G024</x:v>
      </x:c>
      <x:c r="F1561" s="2" t="str">
        <x:v>guardian024@example.invalid</x:v>
      </x:c>
      <x:c r="G1561" s="2" t="str">
        <x:v>Email</x:v>
      </x:c>
      <x:c r="H1561" s="2" t="str">
        <x:v>Authorized release</x:v>
      </x:c>
      <x:c r="I1561" s="8" t="n">
        <x:v>46302.6271875</x:v>
      </x:c>
      <x:c r="J1561" s="8" t="n">
        <x:v>46302.62721064815</x:v>
      </x:c>
      <x:c r="K1561" s="8" t="n">
        <x:v>46302.62724537037</x:v>
      </x:c>
      <x:c r="L1561" s="2" t="str">
        <x:v>Sent</x:v>
      </x:c>
      <x:c r="M1561" s="2" t="n">
        <x:v>1</x:v>
      </x:c>
      <x:c r="N1561" s="2"/>
      <x:c r="O1561" s="2"/>
    </x:row>
    <x:row r="1562" ht="21" customHeight="1">
      <x:c r="A1562" s="2" t="str">
        <x:v>NT001561</x:v>
      </x:c>
      <x:c r="B1562" s="2" t="str">
        <x:v>EV001563</x:v>
      </x:c>
      <x:c r="C1562" s="2" t="str">
        <x:v>T20261007-4-1</x:v>
      </x:c>
      <x:c r="D1562" s="2" t="str">
        <x:v>ST025</x:v>
      </x:c>
      <x:c r="E1562" s="2" t="str">
        <x:v>G025</x:v>
      </x:c>
      <x:c r="F1562" s="2" t="str">
        <x:v>guardian025@example.invalid</x:v>
      </x:c>
      <x:c r="G1562" s="2" t="str">
        <x:v>Email</x:v>
      </x:c>
      <x:c r="H1562" s="2" t="str">
        <x:v>Boarded</x:v>
      </x:c>
      <x:c r="I1562" s="8" t="n">
        <x:v>46302.604305555564</x:v>
      </x:c>
      <x:c r="J1562" s="8" t="n">
        <x:v>46302.60432870371</x:v>
      </x:c>
      <x:c r="K1562" s="8" t="n">
        <x:v>46302.60436342593</x:v>
      </x:c>
      <x:c r="L1562" s="2" t="str">
        <x:v>Sent</x:v>
      </x:c>
      <x:c r="M1562" s="2" t="n">
        <x:v>1</x:v>
      </x:c>
      <x:c r="N1562" s="2"/>
      <x:c r="O1562" s="2"/>
    </x:row>
    <x:row r="1563" ht="21" customHeight="1">
      <x:c r="A1563" s="2" t="str">
        <x:v>NT001562</x:v>
      </x:c>
      <x:c r="B1563" s="2" t="str">
        <x:v>EV001564</x:v>
      </x:c>
      <x:c r="C1563" s="2" t="str">
        <x:v>T20261007-4-1</x:v>
      </x:c>
      <x:c r="D1563" s="2" t="str">
        <x:v>ST025</x:v>
      </x:c>
      <x:c r="E1563" s="2" t="str">
        <x:v>G025</x:v>
      </x:c>
      <x:c r="F1563" s="2" t="str">
        <x:v>guardian025@example.invalid</x:v>
      </x:c>
      <x:c r="G1563" s="2" t="str">
        <x:v>Email</x:v>
      </x:c>
      <x:c r="H1563" s="2" t="str">
        <x:v>Authorized release</x:v>
      </x:c>
      <x:c r="I1563" s="8" t="n">
        <x:v>46302.618888888894</x:v>
      </x:c>
      <x:c r="J1563" s="8" t="n">
        <x:v>46302.61891203704</x:v>
      </x:c>
      <x:c r="K1563" s="8" t="n">
        <x:v>46302.61894675926</x:v>
      </x:c>
      <x:c r="L1563" s="2" t="str">
        <x:v>Sent</x:v>
      </x:c>
      <x:c r="M1563" s="2" t="n">
        <x:v>1</x:v>
      </x:c>
      <x:c r="N1563" s="2"/>
      <x:c r="O1563" s="2"/>
    </x:row>
    <x:row r="1564" ht="21" customHeight="1">
      <x:c r="A1564" s="2" t="str">
        <x:v>NT001563</x:v>
      </x:c>
      <x:c r="B1564" s="2" t="str">
        <x:v>EV001565</x:v>
      </x:c>
      <x:c r="C1564" s="2" t="str">
        <x:v>T20261007-4-1</x:v>
      </x:c>
      <x:c r="D1564" s="2" t="str">
        <x:v>ST026</x:v>
      </x:c>
      <x:c r="E1564" s="2" t="str">
        <x:v>G026</x:v>
      </x:c>
      <x:c r="F1564" s="2" t="str">
        <x:v>guardian026@example.invalid</x:v>
      </x:c>
      <x:c r="G1564" s="2" t="str">
        <x:v>Email</x:v>
      </x:c>
      <x:c r="H1564" s="2" t="str">
        <x:v>Boarded</x:v>
      </x:c>
      <x:c r="I1564" s="8" t="n">
        <x:v>46302.60434027778</x:v>
      </x:c>
      <x:c r="J1564" s="8" t="n">
        <x:v>46302.604363425926</x:v>
      </x:c>
      <x:c r="K1564" s="8" t="n">
        <x:v>46302.60439814815</x:v>
      </x:c>
      <x:c r="L1564" s="2" t="str">
        <x:v>Sent</x:v>
      </x:c>
      <x:c r="M1564" s="2" t="n">
        <x:v>1</x:v>
      </x:c>
      <x:c r="N1564" s="2"/>
      <x:c r="O1564" s="2"/>
    </x:row>
    <x:row r="1565" ht="21" customHeight="1">
      <x:c r="A1565" s="2" t="str">
        <x:v>NT001564</x:v>
      </x:c>
      <x:c r="B1565" s="2" t="str">
        <x:v>EV001566</x:v>
      </x:c>
      <x:c r="C1565" s="2" t="str">
        <x:v>T20261007-4-1</x:v>
      </x:c>
      <x:c r="D1565" s="2" t="str">
        <x:v>ST026</x:v>
      </x:c>
      <x:c r="E1565" s="2" t="str">
        <x:v>G026</x:v>
      </x:c>
      <x:c r="F1565" s="2" t="str">
        <x:v>guardian026@example.invalid</x:v>
      </x:c>
      <x:c r="G1565" s="2" t="str">
        <x:v>Email</x:v>
      </x:c>
      <x:c r="H1565" s="2" t="str">
        <x:v>Authorized release</x:v>
      </x:c>
      <x:c r="I1565" s="8" t="n">
        <x:v>46302.623090277775</x:v>
      </x:c>
      <x:c r="J1565" s="8" t="n">
        <x:v>46302.62311342592</x:v>
      </x:c>
      <x:c r="K1565" s="8" t="n">
        <x:v>46302.623148148145</x:v>
      </x:c>
      <x:c r="L1565" s="2" t="str">
        <x:v>Sent</x:v>
      </x:c>
      <x:c r="M1565" s="2" t="n">
        <x:v>1</x:v>
      </x:c>
      <x:c r="N1565" s="2"/>
      <x:c r="O1565" s="2"/>
    </x:row>
    <x:row r="1566" ht="21" customHeight="1">
      <x:c r="A1566" s="2" t="str">
        <x:v>NT001565</x:v>
      </x:c>
      <x:c r="B1566" s="2" t="str">
        <x:v>EV001567</x:v>
      </x:c>
      <x:c r="C1566" s="2" t="str">
        <x:v>T20261007-4-1</x:v>
      </x:c>
      <x:c r="D1566" s="2" t="str">
        <x:v>ST027</x:v>
      </x:c>
      <x:c r="E1566" s="2" t="str">
        <x:v>G027</x:v>
      </x:c>
      <x:c r="F1566" s="2" t="str">
        <x:v>guardian027@example.invalid</x:v>
      </x:c>
      <x:c r="G1566" s="2" t="str">
        <x:v>Email</x:v>
      </x:c>
      <x:c r="H1566" s="2" t="str">
        <x:v>Boarded</x:v>
      </x:c>
      <x:c r="I1566" s="8" t="n">
        <x:v>46302.604375</x:v>
      </x:c>
      <x:c r="J1566" s="8" t="n">
        <x:v>46302.60439814815</x:v>
      </x:c>
      <x:c r="K1566" s="8" t="n">
        <x:v>46302.60443287037</x:v>
      </x:c>
      <x:c r="L1566" s="2" t="str">
        <x:v>Sent</x:v>
      </x:c>
      <x:c r="M1566" s="2" t="n">
        <x:v>1</x:v>
      </x:c>
      <x:c r="N1566" s="2"/>
      <x:c r="O1566" s="2"/>
    </x:row>
    <x:row r="1567" ht="21" customHeight="1">
      <x:c r="A1567" s="2" t="str">
        <x:v>NT001566</x:v>
      </x:c>
      <x:c r="B1567" s="2" t="str">
        <x:v>EV001568</x:v>
      </x:c>
      <x:c r="C1567" s="2" t="str">
        <x:v>T20261007-4-1</x:v>
      </x:c>
      <x:c r="D1567" s="2" t="str">
        <x:v>ST027</x:v>
      </x:c>
      <x:c r="E1567" s="2" t="str">
        <x:v>G027</x:v>
      </x:c>
      <x:c r="F1567" s="2" t="str">
        <x:v>guardian027@example.invalid</x:v>
      </x:c>
      <x:c r="G1567" s="2" t="str">
        <x:v>Email</x:v>
      </x:c>
      <x:c r="H1567" s="2" t="str">
        <x:v>Authorized release</x:v>
      </x:c>
      <x:c r="I1567" s="8" t="n">
        <x:v>46302.627291666664</x:v>
      </x:c>
      <x:c r="J1567" s="8" t="n">
        <x:v>46302.62731481481</x:v>
      </x:c>
      <x:c r="K1567" s="8" t="n">
        <x:v>46302.62734953703</x:v>
      </x:c>
      <x:c r="L1567" s="2" t="str">
        <x:v>Sent</x:v>
      </x:c>
      <x:c r="M1567" s="2" t="n">
        <x:v>1</x:v>
      </x:c>
      <x:c r="N1567" s="2"/>
      <x:c r="O1567" s="2"/>
    </x:row>
    <x:row r="1568" ht="21" customHeight="1">
      <x:c r="A1568" s="2" t="str">
        <x:v>NT001567</x:v>
      </x:c>
      <x:c r="B1568" s="2" t="str">
        <x:v>EV001569</x:v>
      </x:c>
      <x:c r="C1568" s="2" t="str">
        <x:v>T20261007-4-1</x:v>
      </x:c>
      <x:c r="D1568" s="2" t="str">
        <x:v>ST028</x:v>
      </x:c>
      <x:c r="E1568" s="2" t="str">
        <x:v>G028</x:v>
      </x:c>
      <x:c r="F1568" s="2" t="str">
        <x:v>guardian028@example.invalid</x:v>
      </x:c>
      <x:c r="G1568" s="2" t="str">
        <x:v>Email</x:v>
      </x:c>
      <x:c r="H1568" s="2" t="str">
        <x:v>Boarded</x:v>
      </x:c>
      <x:c r="I1568" s="8" t="n">
        <x:v>46302.604409722226</x:v>
      </x:c>
      <x:c r="J1568" s="8" t="n">
        <x:v>46302.60443287037</x:v>
      </x:c>
      <x:c r="K1568" s="8" t="n">
        <x:v>46302.604467592595</x:v>
      </x:c>
      <x:c r="L1568" s="2" t="str">
        <x:v>Sent</x:v>
      </x:c>
      <x:c r="M1568" s="2" t="n">
        <x:v>1</x:v>
      </x:c>
      <x:c r="N1568" s="2"/>
      <x:c r="O1568" s="2"/>
    </x:row>
    <x:row r="1569" ht="21" customHeight="1">
      <x:c r="A1569" s="2" t="str">
        <x:v>NT001568</x:v>
      </x:c>
      <x:c r="B1569" s="2" t="str">
        <x:v>EV001570</x:v>
      </x:c>
      <x:c r="C1569" s="2" t="str">
        <x:v>T20261007-4-1</x:v>
      </x:c>
      <x:c r="D1569" s="2" t="str">
        <x:v>ST028</x:v>
      </x:c>
      <x:c r="E1569" s="2" t="str">
        <x:v>G028</x:v>
      </x:c>
      <x:c r="F1569" s="2" t="str">
        <x:v>guardian028@example.invalid</x:v>
      </x:c>
      <x:c r="G1569" s="2" t="str">
        <x:v>Email</x:v>
      </x:c>
      <x:c r="H1569" s="2" t="str">
        <x:v>Authorized release</x:v>
      </x:c>
      <x:c r="I1569" s="8" t="n">
        <x:v>46302.618993055556</x:v>
      </x:c>
      <x:c r="J1569" s="8" t="n">
        <x:v>46302.6190162037</x:v>
      </x:c>
      <x:c r="K1569" s="8" t="n">
        <x:v>46302.619050925925</x:v>
      </x:c>
      <x:c r="L1569" s="2" t="str">
        <x:v>Sent</x:v>
      </x:c>
      <x:c r="M1569" s="2" t="n">
        <x:v>1</x:v>
      </x:c>
      <x:c r="N1569" s="2"/>
      <x:c r="O1569" s="2"/>
    </x:row>
    <x:row r="1570" ht="21" customHeight="1">
      <x:c r="A1570" s="2" t="str">
        <x:v>NT001569</x:v>
      </x:c>
      <x:c r="B1570" s="2" t="str">
        <x:v>EV001571</x:v>
      </x:c>
      <x:c r="C1570" s="2" t="str">
        <x:v>T20261007-4-1</x:v>
      </x:c>
      <x:c r="D1570" s="2" t="str">
        <x:v>ST029</x:v>
      </x:c>
      <x:c r="E1570" s="2" t="str">
        <x:v>G029</x:v>
      </x:c>
      <x:c r="F1570" s="2" t="str">
        <x:v>guardian029@example.invalid</x:v>
      </x:c>
      <x:c r="G1570" s="2" t="str">
        <x:v>Email</x:v>
      </x:c>
      <x:c r="H1570" s="2" t="str">
        <x:v>Boarded</x:v>
      </x:c>
      <x:c r="I1570" s="8" t="n">
        <x:v>46302.60444444445</x:v>
      </x:c>
      <x:c r="J1570" s="8" t="n">
        <x:v>46302.604467592595</x:v>
      </x:c>
      <x:c r="K1570" s="8" t="n">
        <x:v>46302.60450231482</x:v>
      </x:c>
      <x:c r="L1570" s="2" t="str">
        <x:v>Sent</x:v>
      </x:c>
      <x:c r="M1570" s="2" t="n">
        <x:v>1</x:v>
      </x:c>
      <x:c r="N1570" s="2"/>
      <x:c r="O1570" s="2"/>
    </x:row>
    <x:row r="1571" ht="21" customHeight="1">
      <x:c r="A1571" s="2" t="str">
        <x:v>NT001570</x:v>
      </x:c>
      <x:c r="B1571" s="2" t="str">
        <x:v>EV001572</x:v>
      </x:c>
      <x:c r="C1571" s="2" t="str">
        <x:v>T20261007-4-1</x:v>
      </x:c>
      <x:c r="D1571" s="2" t="str">
        <x:v>ST029</x:v>
      </x:c>
      <x:c r="E1571" s="2" t="str">
        <x:v>G029</x:v>
      </x:c>
      <x:c r="F1571" s="2" t="str">
        <x:v>guardian029@example.invalid</x:v>
      </x:c>
      <x:c r="G1571" s="2" t="str">
        <x:v>Email</x:v>
      </x:c>
      <x:c r="H1571" s="2" t="str">
        <x:v>Authorized release</x:v>
      </x:c>
      <x:c r="I1571" s="8" t="n">
        <x:v>46302.623194444444</x:v>
      </x:c>
      <x:c r="J1571" s="8" t="n">
        <x:v>46302.62321759259</x:v>
      </x:c>
      <x:c r="K1571" s="8" t="n">
        <x:v>46302.623252314814</x:v>
      </x:c>
      <x:c r="L1571" s="2" t="str">
        <x:v>Sent</x:v>
      </x:c>
      <x:c r="M1571" s="2" t="n">
        <x:v>1</x:v>
      </x:c>
      <x:c r="N1571" s="2"/>
      <x:c r="O1571" s="2"/>
    </x:row>
    <x:row r="1572" ht="21" customHeight="1">
      <x:c r="A1572" s="2" t="str">
        <x:v>NT001571</x:v>
      </x:c>
      <x:c r="B1572" s="2" t="str">
        <x:v>EV001573</x:v>
      </x:c>
      <x:c r="C1572" s="2" t="str">
        <x:v>T20261007-4-1</x:v>
      </x:c>
      <x:c r="D1572" s="2" t="str">
        <x:v>ST030</x:v>
      </x:c>
      <x:c r="E1572" s="2" t="str">
        <x:v>G030</x:v>
      </x:c>
      <x:c r="F1572" s="2" t="str">
        <x:v>guardian030@example.invalid</x:v>
      </x:c>
      <x:c r="G1572" s="2" t="str">
        <x:v>Email</x:v>
      </x:c>
      <x:c r="H1572" s="2" t="str">
        <x:v>Boarded</x:v>
      </x:c>
      <x:c r="I1572" s="8" t="n">
        <x:v>46302.60447916667</x:v>
      </x:c>
      <x:c r="J1572" s="8" t="n">
        <x:v>46302.60450231482</x:v>
      </x:c>
      <x:c r="K1572" s="8" t="n">
        <x:v>46302.60453703704</x:v>
      </x:c>
      <x:c r="L1572" s="2" t="str">
        <x:v>Sent</x:v>
      </x:c>
      <x:c r="M1572" s="2" t="n">
        <x:v>1</x:v>
      </x:c>
      <x:c r="N1572" s="2"/>
      <x:c r="O1572" s="2"/>
    </x:row>
    <x:row r="1573" ht="21" customHeight="1">
      <x:c r="A1573" s="2" t="str">
        <x:v>NT001572</x:v>
      </x:c>
      <x:c r="B1573" s="2" t="str">
        <x:v>EV001574</x:v>
      </x:c>
      <x:c r="C1573" s="2" t="str">
        <x:v>T20261007-4-1</x:v>
      </x:c>
      <x:c r="D1573" s="2" t="str">
        <x:v>ST030</x:v>
      </x:c>
      <x:c r="E1573" s="2" t="str">
        <x:v>G030</x:v>
      </x:c>
      <x:c r="F1573" s="2" t="str">
        <x:v>guardian030@example.invalid</x:v>
      </x:c>
      <x:c r="G1573" s="2" t="str">
        <x:v>Email</x:v>
      </x:c>
      <x:c r="H1573" s="2" t="str">
        <x:v>Authorized release</x:v>
      </x:c>
      <x:c r="I1573" s="8" t="n">
        <x:v>46302.62739583333</x:v>
      </x:c>
      <x:c r="J1573" s="8" t="n">
        <x:v>46302.62741898148</x:v>
      </x:c>
      <x:c r="K1573" s="8" t="n">
        <x:v>46302.6274537037</x:v>
      </x:c>
      <x:c r="L1573" s="2" t="str">
        <x:v>Sent</x:v>
      </x:c>
      <x:c r="M1573" s="2" t="n">
        <x:v>1</x:v>
      </x:c>
      <x:c r="N1573" s="2"/>
      <x:c r="O1573" s="2"/>
    </x:row>
    <x:row r="1574" ht="21" customHeight="1">
      <x:c r="A1574" s="2" t="str">
        <x:v>NT001573</x:v>
      </x:c>
      <x:c r="B1574" s="2" t="str">
        <x:v>EV001575</x:v>
      </x:c>
      <x:c r="C1574" s="2" t="str">
        <x:v>T20261007-5-1</x:v>
      </x:c>
      <x:c r="D1574" s="2" t="str">
        <x:v>ST031</x:v>
      </x:c>
      <x:c r="E1574" s="2" t="str">
        <x:v>G031</x:v>
      </x:c>
      <x:c r="F1574" s="2" t="str">
        <x:v>guardian031@example.invalid</x:v>
      </x:c>
      <x:c r="G1574" s="2" t="str">
        <x:v>Email</x:v>
      </x:c>
      <x:c r="H1574" s="2" t="str">
        <x:v>Boarded</x:v>
      </x:c>
      <x:c r="I1574" s="8" t="n">
        <x:v>46302.70833333333</x:v>
      </x:c>
      <x:c r="J1574" s="8" t="n">
        <x:v>46302.708356481475</x:v>
      </x:c>
      <x:c r="K1574" s="8" t="n">
        <x:v>46302.7083912037</x:v>
      </x:c>
      <x:c r="L1574" s="2" t="str">
        <x:v>Sent</x:v>
      </x:c>
      <x:c r="M1574" s="2" t="n">
        <x:v>1</x:v>
      </x:c>
      <x:c r="N1574" s="2"/>
      <x:c r="O1574" s="2"/>
    </x:row>
    <x:row r="1575" ht="21" customHeight="1">
      <x:c r="A1575" s="2" t="str">
        <x:v>NT001574</x:v>
      </x:c>
      <x:c r="B1575" s="2" t="str">
        <x:v>EV001576</x:v>
      </x:c>
      <x:c r="C1575" s="2" t="str">
        <x:v>T20261007-5-1</x:v>
      </x:c>
      <x:c r="D1575" s="2" t="str">
        <x:v>ST031</x:v>
      </x:c>
      <x:c r="E1575" s="2" t="str">
        <x:v>G031</x:v>
      </x:c>
      <x:c r="F1575" s="2" t="str">
        <x:v>guardian031@example.invalid</x:v>
      </x:c>
      <x:c r="G1575" s="2" t="str">
        <x:v>Email</x:v>
      </x:c>
      <x:c r="H1575" s="2" t="str">
        <x:v>Authorized release</x:v>
      </x:c>
      <x:c r="I1575" s="8" t="n">
        <x:v>46302.72361111111</x:v>
      </x:c>
      <x:c r="J1575" s="8" t="n">
        <x:v>46302.72363425926</x:v>
      </x:c>
      <x:c r="K1575" s="8" t="n">
        <x:v>46302.72366898148</x:v>
      </x:c>
      <x:c r="L1575" s="2" t="str">
        <x:v>Sent</x:v>
      </x:c>
      <x:c r="M1575" s="2" t="n">
        <x:v>1</x:v>
      </x:c>
      <x:c r="N1575" s="2"/>
      <x:c r="O1575" s="2"/>
    </x:row>
    <x:row r="1576" ht="21" customHeight="1">
      <x:c r="A1576" s="2" t="str">
        <x:v>NT001575</x:v>
      </x:c>
      <x:c r="B1576" s="2" t="str">
        <x:v>EV001577</x:v>
      </x:c>
      <x:c r="C1576" s="2" t="str">
        <x:v>T20261007-5-1</x:v>
      </x:c>
      <x:c r="D1576" s="2" t="str">
        <x:v>ST032</x:v>
      </x:c>
      <x:c r="E1576" s="2" t="str">
        <x:v>G032</x:v>
      </x:c>
      <x:c r="F1576" s="2" t="str">
        <x:v>guardian032@example.invalid</x:v>
      </x:c>
      <x:c r="G1576" s="2" t="str">
        <x:v>Email</x:v>
      </x:c>
      <x:c r="H1576" s="2" t="str">
        <x:v>Boarded</x:v>
      </x:c>
      <x:c r="I1576" s="8" t="n">
        <x:v>46302.70836805555</x:v>
      </x:c>
      <x:c r="J1576" s="8" t="n">
        <x:v>46302.7083912037</x:v>
      </x:c>
      <x:c r="K1576" s="8" t="n">
        <x:v>46302.70842592592</x:v>
      </x:c>
      <x:c r="L1576" s="2" t="str">
        <x:v>Sent</x:v>
      </x:c>
      <x:c r="M1576" s="2" t="n">
        <x:v>1</x:v>
      </x:c>
      <x:c r="N1576" s="2"/>
      <x:c r="O1576" s="2"/>
    </x:row>
    <x:row r="1577" ht="21" customHeight="1">
      <x:c r="A1577" s="2" t="str">
        <x:v>NT001576</x:v>
      </x:c>
      <x:c r="B1577" s="2" t="str">
        <x:v>EV001578</x:v>
      </x:c>
      <x:c r="C1577" s="2" t="str">
        <x:v>T20261007-5-1</x:v>
      </x:c>
      <x:c r="D1577" s="2" t="str">
        <x:v>ST032</x:v>
      </x:c>
      <x:c r="E1577" s="2" t="str">
        <x:v>G032</x:v>
      </x:c>
      <x:c r="F1577" s="2" t="str">
        <x:v>guardian032@example.invalid</x:v>
      </x:c>
      <x:c r="G1577" s="2" t="str">
        <x:v>Email</x:v>
      </x:c>
      <x:c r="H1577" s="2" t="str">
        <x:v>Authorized release</x:v>
      </x:c>
      <x:c r="I1577" s="8" t="n">
        <x:v>46302.72850694445</x:v>
      </x:c>
      <x:c r="J1577" s="8" t="n">
        <x:v>46302.728530092594</x:v>
      </x:c>
      <x:c r="K1577" s="8" t="n">
        <x:v>46302.72856481482</x:v>
      </x:c>
      <x:c r="L1577" s="2" t="str">
        <x:v>Sent</x:v>
      </x:c>
      <x:c r="M1577" s="2" t="n">
        <x:v>1</x:v>
      </x:c>
      <x:c r="N1577" s="2"/>
      <x:c r="O1577" s="2"/>
    </x:row>
    <x:row r="1578" ht="21" customHeight="1">
      <x:c r="A1578" s="2" t="str">
        <x:v>NT001577</x:v>
      </x:c>
      <x:c r="B1578" s="2" t="str">
        <x:v>EV001579</x:v>
      </x:c>
      <x:c r="C1578" s="2" t="str">
        <x:v>T20261007-5-1</x:v>
      </x:c>
      <x:c r="D1578" s="2" t="str">
        <x:v>ST033</x:v>
      </x:c>
      <x:c r="E1578" s="2" t="str">
        <x:v>G033</x:v>
      </x:c>
      <x:c r="F1578" s="2" t="str">
        <x:v>guardian033@example.invalid</x:v>
      </x:c>
      <x:c r="G1578" s="2" t="str">
        <x:v>Email</x:v>
      </x:c>
      <x:c r="H1578" s="2" t="str">
        <x:v>Boarded</x:v>
      </x:c>
      <x:c r="I1578" s="8" t="n">
        <x:v>46302.708402777775</x:v>
      </x:c>
      <x:c r="J1578" s="8" t="n">
        <x:v>46302.70842592592</x:v>
      </x:c>
      <x:c r="K1578" s="8" t="n">
        <x:v>46302.708460648144</x:v>
      </x:c>
      <x:c r="L1578" s="2" t="str">
        <x:v>Sent</x:v>
      </x:c>
      <x:c r="M1578" s="2" t="n">
        <x:v>1</x:v>
      </x:c>
      <x:c r="N1578" s="2"/>
      <x:c r="O1578" s="2"/>
    </x:row>
    <x:row r="1579" ht="21" customHeight="1">
      <x:c r="A1579" s="2" t="str">
        <x:v>NT001578</x:v>
      </x:c>
      <x:c r="B1579" s="2" t="str">
        <x:v>EV001580</x:v>
      </x:c>
      <x:c r="C1579" s="2" t="str">
        <x:v>T20261007-5-1</x:v>
      </x:c>
      <x:c r="D1579" s="2" t="str">
        <x:v>ST033</x:v>
      </x:c>
      <x:c r="E1579" s="2" t="str">
        <x:v>G033</x:v>
      </x:c>
      <x:c r="F1579" s="2" t="str">
        <x:v>guardian033@example.invalid</x:v>
      </x:c>
      <x:c r="G1579" s="2" t="str">
        <x:v>Email</x:v>
      </x:c>
      <x:c r="H1579" s="2" t="str">
        <x:v>Authorized release</x:v>
      </x:c>
      <x:c r="I1579" s="8" t="n">
        <x:v>46302.73340277778</x:v>
      </x:c>
      <x:c r="J1579" s="8" t="n">
        <x:v>46302.73342592593</x:v>
      </x:c>
      <x:c r="K1579" s="8" t="n">
        <x:v>46302.73346064815</x:v>
      </x:c>
      <x:c r="L1579" s="2" t="str">
        <x:v>Sent</x:v>
      </x:c>
      <x:c r="M1579" s="2" t="n">
        <x:v>1</x:v>
      </x:c>
      <x:c r="N1579" s="2"/>
      <x:c r="O1579" s="2"/>
    </x:row>
    <x:row r="1580" ht="21" customHeight="1">
      <x:c r="A1580" s="2" t="str">
        <x:v>NT001579</x:v>
      </x:c>
      <x:c r="B1580" s="2" t="str">
        <x:v>EV001581</x:v>
      </x:c>
      <x:c r="C1580" s="2" t="str">
        <x:v>T20261007-5-1</x:v>
      </x:c>
      <x:c r="D1580" s="2" t="str">
        <x:v>ST034</x:v>
      </x:c>
      <x:c r="E1580" s="2" t="str">
        <x:v>G034</x:v>
      </x:c>
      <x:c r="F1580" s="2" t="str">
        <x:v>guardian034@example.invalid</x:v>
      </x:c>
      <x:c r="G1580" s="2" t="str">
        <x:v>Email</x:v>
      </x:c>
      <x:c r="H1580" s="2" t="str">
        <x:v>Boarded</x:v>
      </x:c>
      <x:c r="I1580" s="8" t="n">
        <x:v>46302.7084375</x:v>
      </x:c>
      <x:c r="J1580" s="8" t="n">
        <x:v>46302.708460648144</x:v>
      </x:c>
      <x:c r="K1580" s="8" t="n">
        <x:v>46302.70849537037</x:v>
      </x:c>
      <x:c r="L1580" s="2" t="str">
        <x:v>Sent</x:v>
      </x:c>
      <x:c r="M1580" s="2" t="n">
        <x:v>1</x:v>
      </x:c>
      <x:c r="N1580" s="2"/>
      <x:c r="O1580" s="2"/>
    </x:row>
    <x:row r="1581" ht="21" customHeight="1">
      <x:c r="A1581" s="2" t="str">
        <x:v>NT001580</x:v>
      </x:c>
      <x:c r="B1581" s="2" t="str">
        <x:v>EV001582</x:v>
      </x:c>
      <x:c r="C1581" s="2" t="str">
        <x:v>T20261007-5-1</x:v>
      </x:c>
      <x:c r="D1581" s="2" t="str">
        <x:v>ST034</x:v>
      </x:c>
      <x:c r="E1581" s="2" t="str">
        <x:v>G034</x:v>
      </x:c>
      <x:c r="F1581" s="2" t="str">
        <x:v>guardian034@example.invalid</x:v>
      </x:c>
      <x:c r="G1581" s="2" t="str">
        <x:v>Email</x:v>
      </x:c>
      <x:c r="H1581" s="2" t="str">
        <x:v>Authorized release</x:v>
      </x:c>
      <x:c r="I1581" s="8" t="n">
        <x:v>46302.72371527778</x:v>
      </x:c>
      <x:c r="J1581" s="8" t="n">
        <x:v>46302.72373842593</x:v>
      </x:c>
      <x:c r="K1581" s="8" t="n">
        <x:v>46302.72377314815</x:v>
      </x:c>
      <x:c r="L1581" s="2" t="str">
        <x:v>Sent</x:v>
      </x:c>
      <x:c r="M1581" s="2" t="n">
        <x:v>1</x:v>
      </x:c>
      <x:c r="N1581" s="2"/>
      <x:c r="O1581" s="2"/>
    </x:row>
    <x:row r="1582" ht="21" customHeight="1">
      <x:c r="A1582" s="2" t="str">
        <x:v>NT001581</x:v>
      </x:c>
      <x:c r="B1582" s="2" t="str">
        <x:v>EV001583</x:v>
      </x:c>
      <x:c r="C1582" s="2" t="str">
        <x:v>T20261007-5-1</x:v>
      </x:c>
      <x:c r="D1582" s="2" t="str">
        <x:v>ST035</x:v>
      </x:c>
      <x:c r="E1582" s="2" t="str">
        <x:v>G035</x:v>
      </x:c>
      <x:c r="F1582" s="2" t="str">
        <x:v>guardian035@example.invalid</x:v>
      </x:c>
      <x:c r="G1582" s="2" t="str">
        <x:v>Email</x:v>
      </x:c>
      <x:c r="H1582" s="2" t="str">
        <x:v>Boarded</x:v>
      </x:c>
      <x:c r="I1582" s="8" t="n">
        <x:v>46302.70847222222</x:v>
      </x:c>
      <x:c r="J1582" s="8" t="n">
        <x:v>46302.70849537037</x:v>
      </x:c>
      <x:c r="K1582" s="8" t="n">
        <x:v>46302.70853009259</x:v>
      </x:c>
      <x:c r="L1582" s="2" t="str">
        <x:v>Sent</x:v>
      </x:c>
      <x:c r="M1582" s="2" t="n">
        <x:v>1</x:v>
      </x:c>
      <x:c r="N1582" s="2"/>
      <x:c r="O1582" s="2"/>
    </x:row>
    <x:row r="1583" ht="21" customHeight="1">
      <x:c r="A1583" s="2" t="str">
        <x:v>NT001582</x:v>
      </x:c>
      <x:c r="B1583" s="2" t="str">
        <x:v>EV001584</x:v>
      </x:c>
      <x:c r="C1583" s="2" t="str">
        <x:v>T20261007-5-1</x:v>
      </x:c>
      <x:c r="D1583" s="2" t="str">
        <x:v>ST035</x:v>
      </x:c>
      <x:c r="E1583" s="2" t="str">
        <x:v>G035</x:v>
      </x:c>
      <x:c r="F1583" s="2" t="str">
        <x:v>guardian035@example.invalid</x:v>
      </x:c>
      <x:c r="G1583" s="2" t="str">
        <x:v>Email</x:v>
      </x:c>
      <x:c r="H1583" s="2" t="str">
        <x:v>Authorized release</x:v>
      </x:c>
      <x:c r="I1583" s="8" t="n">
        <x:v>46302.72861111112</x:v>
      </x:c>
      <x:c r="J1583" s="8" t="n">
        <x:v>46302.72863425926</x:v>
      </x:c>
      <x:c r="K1583" s="8" t="n">
        <x:v>46302.72866898149</x:v>
      </x:c>
      <x:c r="L1583" s="2" t="str">
        <x:v>Sent</x:v>
      </x:c>
      <x:c r="M1583" s="2" t="n">
        <x:v>1</x:v>
      </x:c>
      <x:c r="N1583" s="2"/>
      <x:c r="O1583" s="2"/>
    </x:row>
    <x:row r="1584" ht="21" customHeight="1">
      <x:c r="A1584" s="2" t="str">
        <x:v>NT001583</x:v>
      </x:c>
      <x:c r="B1584" s="2" t="str">
        <x:v>EV001585</x:v>
      </x:c>
      <x:c r="C1584" s="2" t="str">
        <x:v>T20261007-5-1</x:v>
      </x:c>
      <x:c r="D1584" s="2" t="str">
        <x:v>ST036</x:v>
      </x:c>
      <x:c r="E1584" s="2" t="str">
        <x:v>G036</x:v>
      </x:c>
      <x:c r="F1584" s="2" t="str">
        <x:v>guardian036@example.invalid</x:v>
      </x:c>
      <x:c r="G1584" s="2" t="str">
        <x:v>Email</x:v>
      </x:c>
      <x:c r="H1584" s="2" t="str">
        <x:v>Boarded</x:v>
      </x:c>
      <x:c r="I1584" s="8" t="n">
        <x:v>46302.70850694444</x:v>
      </x:c>
      <x:c r="J1584" s="8" t="n">
        <x:v>46302.70853009258</x:v>
      </x:c>
      <x:c r="K1584" s="8" t="n">
        <x:v>46302.708564814806</x:v>
      </x:c>
      <x:c r="L1584" s="2" t="str">
        <x:v>Sent</x:v>
      </x:c>
      <x:c r="M1584" s="2" t="n">
        <x:v>1</x:v>
      </x:c>
      <x:c r="N1584" s="2"/>
      <x:c r="O1584" s="2"/>
    </x:row>
    <x:row r="1585" ht="21" customHeight="1">
      <x:c r="A1585" s="2" t="str">
        <x:v>NT001584</x:v>
      </x:c>
      <x:c r="B1585" s="2" t="str">
        <x:v>EV001586</x:v>
      </x:c>
      <x:c r="C1585" s="2" t="str">
        <x:v>T20261007-5-1</x:v>
      </x:c>
      <x:c r="D1585" s="2" t="str">
        <x:v>ST036</x:v>
      </x:c>
      <x:c r="E1585" s="2" t="str">
        <x:v>G036</x:v>
      </x:c>
      <x:c r="F1585" s="2" t="str">
        <x:v>guardian036@example.invalid</x:v>
      </x:c>
      <x:c r="G1585" s="2" t="str">
        <x:v>Email</x:v>
      </x:c>
      <x:c r="H1585" s="2" t="str">
        <x:v>Authorized release</x:v>
      </x:c>
      <x:c r="I1585" s="8" t="n">
        <x:v>46302.733506944445</x:v>
      </x:c>
      <x:c r="J1585" s="8" t="n">
        <x:v>46302.73353009259</x:v>
      </x:c>
      <x:c r="K1585" s="8" t="n">
        <x:v>46302.733564814815</x:v>
      </x:c>
      <x:c r="L1585" s="2" t="str">
        <x:v>Sent</x:v>
      </x:c>
      <x:c r="M1585" s="2" t="n">
        <x:v>1</x:v>
      </x:c>
      <x:c r="N1585" s="2"/>
      <x:c r="O1585" s="2"/>
    </x:row>
    <x:row r="1586" ht="21" customHeight="1">
      <x:c r="A1586" s="2" t="str">
        <x:v>NT001585</x:v>
      </x:c>
      <x:c r="B1586" s="2" t="str">
        <x:v>EV001587</x:v>
      </x:c>
      <x:c r="C1586" s="2" t="str">
        <x:v>T20261007-5-1</x:v>
      </x:c>
      <x:c r="D1586" s="2" t="str">
        <x:v>ST037</x:v>
      </x:c>
      <x:c r="E1586" s="2" t="str">
        <x:v>G037</x:v>
      </x:c>
      <x:c r="F1586" s="2" t="str">
        <x:v>guardian037@example.invalid</x:v>
      </x:c>
      <x:c r="G1586" s="2" t="str">
        <x:v>Email</x:v>
      </x:c>
      <x:c r="H1586" s="2" t="str">
        <x:v>Boarded</x:v>
      </x:c>
      <x:c r="I1586" s="8" t="n">
        <x:v>46302.70854166666</x:v>
      </x:c>
      <x:c r="J1586" s="8" t="n">
        <x:v>46302.708564814806</x:v>
      </x:c>
      <x:c r="K1586" s="8" t="n">
        <x:v>46302.70859953703</x:v>
      </x:c>
      <x:c r="L1586" s="2" t="str">
        <x:v>Sent</x:v>
      </x:c>
      <x:c r="M1586" s="2" t="n">
        <x:v>1</x:v>
      </x:c>
      <x:c r="N1586" s="2"/>
      <x:c r="O1586" s="2"/>
    </x:row>
    <x:row r="1587" ht="21" customHeight="1">
      <x:c r="A1587" s="2" t="str">
        <x:v>NT001586</x:v>
      </x:c>
      <x:c r="B1587" s="2" t="str">
        <x:v>EV001588</x:v>
      </x:c>
      <x:c r="C1587" s="2" t="str">
        <x:v>T20261007-5-1</x:v>
      </x:c>
      <x:c r="D1587" s="2" t="str">
        <x:v>ST037</x:v>
      </x:c>
      <x:c r="E1587" s="2" t="str">
        <x:v>G037</x:v>
      </x:c>
      <x:c r="F1587" s="2" t="str">
        <x:v>guardian037@example.invalid</x:v>
      </x:c>
      <x:c r="G1587" s="2" t="str">
        <x:v>Email</x:v>
      </x:c>
      <x:c r="H1587" s="2" t="str">
        <x:v>Authorized release</x:v>
      </x:c>
      <x:c r="I1587" s="8" t="n">
        <x:v>46302.72381944444</x:v>
      </x:c>
      <x:c r="J1587" s="8" t="n">
        <x:v>46302.72384259259</x:v>
      </x:c>
      <x:c r="K1587" s="8" t="n">
        <x:v>46302.72387731481</x:v>
      </x:c>
      <x:c r="L1587" s="2" t="str">
        <x:v>Sent</x:v>
      </x:c>
      <x:c r="M1587" s="2" t="n">
        <x:v>1</x:v>
      </x:c>
      <x:c r="N1587" s="2"/>
      <x:c r="O1587" s="2"/>
    </x:row>
    <x:row r="1588" ht="21" customHeight="1">
      <x:c r="A1588" s="2" t="str">
        <x:v>NT001587</x:v>
      </x:c>
      <x:c r="B1588" s="2" t="str">
        <x:v>EV001589</x:v>
      </x:c>
      <x:c r="C1588" s="2" t="str">
        <x:v>T20261007-5-1</x:v>
      </x:c>
      <x:c r="D1588" s="2" t="str">
        <x:v>ST038</x:v>
      </x:c>
      <x:c r="E1588" s="2" t="str">
        <x:v>G038</x:v>
      </x:c>
      <x:c r="F1588" s="2" t="str">
        <x:v>guardian038@example.invalid</x:v>
      </x:c>
      <x:c r="G1588" s="2" t="str">
        <x:v>Email</x:v>
      </x:c>
      <x:c r="H1588" s="2" t="str">
        <x:v>Boarded</x:v>
      </x:c>
      <x:c r="I1588" s="8" t="n">
        <x:v>46302.70857638888</x:v>
      </x:c>
      <x:c r="J1588" s="8" t="n">
        <x:v>46302.70859953703</x:v>
      </x:c>
      <x:c r="K1588" s="8" t="n">
        <x:v>46302.70863425925</x:v>
      </x:c>
      <x:c r="L1588" s="2" t="str">
        <x:v>Sent</x:v>
      </x:c>
      <x:c r="M1588" s="2" t="n">
        <x:v>1</x:v>
      </x:c>
      <x:c r="N1588" s="2"/>
      <x:c r="O1588" s="2"/>
    </x:row>
    <x:row r="1589" ht="21" customHeight="1">
      <x:c r="A1589" s="2" t="str">
        <x:v>NT001588</x:v>
      </x:c>
      <x:c r="B1589" s="2" t="str">
        <x:v>EV001590</x:v>
      </x:c>
      <x:c r="C1589" s="2" t="str">
        <x:v>T20261007-5-1</x:v>
      </x:c>
      <x:c r="D1589" s="2" t="str">
        <x:v>ST038</x:v>
      </x:c>
      <x:c r="E1589" s="2" t="str">
        <x:v>G038</x:v>
      </x:c>
      <x:c r="F1589" s="2" t="str">
        <x:v>guardian038@example.invalid</x:v>
      </x:c>
      <x:c r="G1589" s="2" t="str">
        <x:v>Email</x:v>
      </x:c>
      <x:c r="H1589" s="2" t="str">
        <x:v>Authorized release</x:v>
      </x:c>
      <x:c r="I1589" s="8" t="n">
        <x:v>46302.72871527778</x:v>
      </x:c>
      <x:c r="J1589" s="8" t="n">
        <x:v>46302.728738425925</x:v>
      </x:c>
      <x:c r="K1589" s="8" t="n">
        <x:v>46302.72877314815</x:v>
      </x:c>
      <x:c r="L1589" s="2" t="str">
        <x:v>Sent</x:v>
      </x:c>
      <x:c r="M1589" s="2" t="n">
        <x:v>1</x:v>
      </x:c>
      <x:c r="N1589" s="2"/>
      <x:c r="O1589" s="2"/>
    </x:row>
    <x:row r="1590" ht="21" customHeight="1">
      <x:c r="A1590" s="2" t="str">
        <x:v>NT001589</x:v>
      </x:c>
      <x:c r="B1590" s="2" t="str">
        <x:v>EV001591</x:v>
      </x:c>
      <x:c r="C1590" s="2" t="str">
        <x:v>T20261007-5-1</x:v>
      </x:c>
      <x:c r="D1590" s="2" t="str">
        <x:v>ST039</x:v>
      </x:c>
      <x:c r="E1590" s="2" t="str">
        <x:v>G039</x:v>
      </x:c>
      <x:c r="F1590" s="2" t="str">
        <x:v>guardian039@example.invalid</x:v>
      </x:c>
      <x:c r="G1590" s="2" t="str">
        <x:v>Email</x:v>
      </x:c>
      <x:c r="H1590" s="2" t="str">
        <x:v>Boarded</x:v>
      </x:c>
      <x:c r="I1590" s="8" t="n">
        <x:v>46302.708611111106</x:v>
      </x:c>
      <x:c r="J1590" s="8" t="n">
        <x:v>46302.70863425925</x:v>
      </x:c>
      <x:c r="K1590" s="8" t="n">
        <x:v>46302.708668981475</x:v>
      </x:c>
      <x:c r="L1590" s="2" t="str">
        <x:v>Sent</x:v>
      </x:c>
      <x:c r="M1590" s="2" t="n">
        <x:v>1</x:v>
      </x:c>
      <x:c r="N1590" s="2"/>
      <x:c r="O1590" s="2"/>
    </x:row>
    <x:row r="1591" ht="21" customHeight="1">
      <x:c r="A1591" s="2" t="str">
        <x:v>NT001590</x:v>
      </x:c>
      <x:c r="B1591" s="2" t="str">
        <x:v>EV001592</x:v>
      </x:c>
      <x:c r="C1591" s="2" t="str">
        <x:v>T20261007-5-1</x:v>
      </x:c>
      <x:c r="D1591" s="2" t="str">
        <x:v>ST039</x:v>
      </x:c>
      <x:c r="E1591" s="2" t="str">
        <x:v>G039</x:v>
      </x:c>
      <x:c r="F1591" s="2" t="str">
        <x:v>guardian039@example.invalid</x:v>
      </x:c>
      <x:c r="G1591" s="2" t="str">
        <x:v>Email</x:v>
      </x:c>
      <x:c r="H1591" s="2" t="str">
        <x:v>Authorized release</x:v>
      </x:c>
      <x:c r="I1591" s="8" t="n">
        <x:v>46302.733611111114</x:v>
      </x:c>
      <x:c r="J1591" s="8" t="n">
        <x:v>46302.73363425926</x:v>
      </x:c>
      <x:c r="K1591" s="8" t="n">
        <x:v>46302.733668981484</x:v>
      </x:c>
      <x:c r="L1591" s="2" t="str">
        <x:v>Sent</x:v>
      </x:c>
      <x:c r="M1591" s="2" t="n">
        <x:v>1</x:v>
      </x:c>
      <x:c r="N1591" s="2"/>
      <x:c r="O1591" s="2"/>
    </x:row>
    <x:row r="1592" ht="21" customHeight="1">
      <x:c r="A1592" s="2" t="str">
        <x:v>NT001591</x:v>
      </x:c>
      <x:c r="B1592" s="2" t="str">
        <x:v>EV001593</x:v>
      </x:c>
      <x:c r="C1592" s="2" t="str">
        <x:v>T20261007-5-1</x:v>
      </x:c>
      <x:c r="D1592" s="2" t="str">
        <x:v>ST040</x:v>
      </x:c>
      <x:c r="E1592" s="2" t="str">
        <x:v>G040</x:v>
      </x:c>
      <x:c r="F1592" s="2" t="str">
        <x:v>guardian040@example.invalid</x:v>
      </x:c>
      <x:c r="G1592" s="2" t="str">
        <x:v>Email</x:v>
      </x:c>
      <x:c r="H1592" s="2" t="str">
        <x:v>Boarded</x:v>
      </x:c>
      <x:c r="I1592" s="8" t="n">
        <x:v>46302.70864583333</x:v>
      </x:c>
      <x:c r="J1592" s="8" t="n">
        <x:v>46302.708668981475</x:v>
      </x:c>
      <x:c r="K1592" s="8" t="n">
        <x:v>46302.7087037037</x:v>
      </x:c>
      <x:c r="L1592" s="2" t="str">
        <x:v>Sent</x:v>
      </x:c>
      <x:c r="M1592" s="2" t="n">
        <x:v>1</x:v>
      </x:c>
      <x:c r="N1592" s="2"/>
      <x:c r="O1592" s="2"/>
    </x:row>
    <x:row r="1593" ht="21" customHeight="1">
      <x:c r="A1593" s="2" t="str">
        <x:v>NT001592</x:v>
      </x:c>
      <x:c r="B1593" s="2" t="str">
        <x:v>EV001594</x:v>
      </x:c>
      <x:c r="C1593" s="2" t="str">
        <x:v>T20261007-5-1</x:v>
      </x:c>
      <x:c r="D1593" s="2" t="str">
        <x:v>ST040</x:v>
      </x:c>
      <x:c r="E1593" s="2" t="str">
        <x:v>G040</x:v>
      </x:c>
      <x:c r="F1593" s="2" t="str">
        <x:v>guardian040@example.invalid</x:v>
      </x:c>
      <x:c r="G1593" s="2" t="str">
        <x:v>Email</x:v>
      </x:c>
      <x:c r="H1593" s="2" t="str">
        <x:v>Authorized release</x:v>
      </x:c>
      <x:c r="I1593" s="8" t="n">
        <x:v>46302.72392361111</x:v>
      </x:c>
      <x:c r="J1593" s="8" t="n">
        <x:v>46302.72394675926</x:v>
      </x:c>
      <x:c r="K1593" s="8" t="n">
        <x:v>46302.72398148148</x:v>
      </x:c>
      <x:c r="L1593" s="2" t="str">
        <x:v>Sent</x:v>
      </x:c>
      <x:c r="M1593" s="2" t="n">
        <x:v>1</x:v>
      </x:c>
      <x:c r="N1593" s="2"/>
      <x:c r="O1593" s="2"/>
    </x:row>
    <x:row r="1594" ht="21" customHeight="1">
      <x:c r="A1594" s="2" t="str">
        <x:v>NT001593</x:v>
      </x:c>
      <x:c r="B1594" s="2" t="str">
        <x:v>EV001595</x:v>
      </x:c>
      <x:c r="C1594" s="2" t="str">
        <x:v>T20261007-1-2</x:v>
      </x:c>
      <x:c r="D1594" s="2" t="str">
        <x:v>ST041</x:v>
      </x:c>
      <x:c r="E1594" s="2" t="str">
        <x:v>G041</x:v>
      </x:c>
      <x:c r="F1594" s="2" t="str">
        <x:v>guardian041@example.invalid</x:v>
      </x:c>
      <x:c r="G1594" s="2" t="str">
        <x:v>Email</x:v>
      </x:c>
      <x:c r="H1594" s="2" t="str">
        <x:v>Boarded</x:v>
      </x:c>
      <x:c r="I1594" s="8" t="n">
        <x:v>46302.242361111115</x:v>
      </x:c>
      <x:c r="J1594" s="8" t="n">
        <x:v>46302.24238425926</x:v>
      </x:c>
      <x:c r="K1594" s="8" t="n">
        <x:v>46302.242418981485</x:v>
      </x:c>
      <x:c r="L1594" s="2" t="str">
        <x:v>Sent</x:v>
      </x:c>
      <x:c r="M1594" s="2" t="n">
        <x:v>1</x:v>
      </x:c>
      <x:c r="N1594" s="2"/>
      <x:c r="O1594" s="2"/>
    </x:row>
    <x:row r="1595" ht="21" customHeight="1">
      <x:c r="A1595" s="2" t="str">
        <x:v>NT001594</x:v>
      </x:c>
      <x:c r="B1595" s="2" t="str">
        <x:v>EV001596</x:v>
      </x:c>
      <x:c r="C1595" s="2" t="str">
        <x:v>T20261007-1-2</x:v>
      </x:c>
      <x:c r="D1595" s="2" t="str">
        <x:v>ST041</x:v>
      </x:c>
      <x:c r="E1595" s="2" t="str">
        <x:v>G041</x:v>
      </x:c>
      <x:c r="F1595" s="2" t="str">
        <x:v>guardian041@example.invalid</x:v>
      </x:c>
      <x:c r="G1595" s="2" t="str">
        <x:v>Email</x:v>
      </x:c>
      <x:c r="H1595" s="2" t="str">
        <x:v>School receipt</x:v>
      </x:c>
      <x:c r="I1595" s="8" t="n">
        <x:v>46302.27638888889</x:v>
      </x:c>
      <x:c r="J1595" s="8" t="n">
        <x:v>46302.276412037034</x:v>
      </x:c>
      <x:c r="K1595" s="8" t="n">
        <x:v>46302.27644675926</x:v>
      </x:c>
      <x:c r="L1595" s="2" t="str">
        <x:v>Sent</x:v>
      </x:c>
      <x:c r="M1595" s="2" t="n">
        <x:v>1</x:v>
      </x:c>
      <x:c r="N1595" s="2"/>
      <x:c r="O1595" s="2"/>
    </x:row>
    <x:row r="1596" ht="21" customHeight="1">
      <x:c r="A1596" s="2" t="str">
        <x:v>NT001595</x:v>
      </x:c>
      <x:c r="B1596" s="2" t="str">
        <x:v>EV001597</x:v>
      </x:c>
      <x:c r="C1596" s="2" t="str">
        <x:v>T20261007-1-2</x:v>
      </x:c>
      <x:c r="D1596" s="2" t="str">
        <x:v>ST042</x:v>
      </x:c>
      <x:c r="E1596" s="2" t="str">
        <x:v>G042</x:v>
      </x:c>
      <x:c r="F1596" s="2" t="str">
        <x:v>guardian042@example.invalid</x:v>
      </x:c>
      <x:c r="G1596" s="2" t="str">
        <x:v>Email</x:v>
      </x:c>
      <x:c r="H1596" s="2" t="str">
        <x:v>Boarded</x:v>
      </x:c>
      <x:c r="I1596" s="8" t="n">
        <x:v>46302.24725694444</x:v>
      </x:c>
      <x:c r="J1596" s="8" t="n">
        <x:v>46302.24728009259</x:v>
      </x:c>
      <x:c r="K1596" s="8" t="n">
        <x:v>46302.24731481481</x:v>
      </x:c>
      <x:c r="L1596" s="2" t="str">
        <x:v>Sent</x:v>
      </x:c>
      <x:c r="M1596" s="2" t="n">
        <x:v>1</x:v>
      </x:c>
      <x:c r="N1596" s="2"/>
      <x:c r="O1596" s="2"/>
    </x:row>
    <x:row r="1597" ht="21" customHeight="1">
      <x:c r="A1597" s="2" t="str">
        <x:v>NT001596</x:v>
      </x:c>
      <x:c r="B1597" s="2" t="str">
        <x:v>EV001598</x:v>
      </x:c>
      <x:c r="C1597" s="2" t="str">
        <x:v>T20261007-1-2</x:v>
      </x:c>
      <x:c r="D1597" s="2" t="str">
        <x:v>ST042</x:v>
      </x:c>
      <x:c r="E1597" s="2" t="str">
        <x:v>G042</x:v>
      </x:c>
      <x:c r="F1597" s="2" t="str">
        <x:v>guardian042@example.invalid</x:v>
      </x:c>
      <x:c r="G1597" s="2" t="str">
        <x:v>Email</x:v>
      </x:c>
      <x:c r="H1597" s="2" t="str">
        <x:v>School receipt</x:v>
      </x:c>
      <x:c r="I1597" s="8" t="n">
        <x:v>46302.27642361111</x:v>
      </x:c>
      <x:c r="J1597" s="8" t="n">
        <x:v>46302.27644675926</x:v>
      </x:c>
      <x:c r="K1597" s="8" t="n">
        <x:v>46302.27648148148</x:v>
      </x:c>
      <x:c r="L1597" s="2" t="str">
        <x:v>Sent</x:v>
      </x:c>
      <x:c r="M1597" s="2" t="n">
        <x:v>1</x:v>
      </x:c>
      <x:c r="N1597" s="2"/>
      <x:c r="O1597" s="2"/>
    </x:row>
    <x:row r="1598" ht="21" customHeight="1">
      <x:c r="A1598" s="2" t="str">
        <x:v>NT001597</x:v>
      </x:c>
      <x:c r="B1598" s="2" t="str">
        <x:v>EV001599</x:v>
      </x:c>
      <x:c r="C1598" s="2" t="str">
        <x:v>T20261007-1-2</x:v>
      </x:c>
      <x:c r="D1598" s="2" t="str">
        <x:v>ST043</x:v>
      </x:c>
      <x:c r="E1598" s="2" t="str">
        <x:v>G043</x:v>
      </x:c>
      <x:c r="F1598" s="2" t="str">
        <x:v>guardian043@example.invalid</x:v>
      </x:c>
      <x:c r="G1598" s="2" t="str">
        <x:v>Email</x:v>
      </x:c>
      <x:c r="H1598" s="2" t="str">
        <x:v>Boarded</x:v>
      </x:c>
      <x:c r="I1598" s="8" t="n">
        <x:v>46302.25215277778</x:v>
      </x:c>
      <x:c r="J1598" s="8" t="n">
        <x:v>46302.252175925925</x:v>
      </x:c>
      <x:c r="K1598" s="8" t="n">
        <x:v>46302.25221064815</x:v>
      </x:c>
      <x:c r="L1598" s="2" t="str">
        <x:v>Sent</x:v>
      </x:c>
      <x:c r="M1598" s="2" t="n">
        <x:v>1</x:v>
      </x:c>
      <x:c r="N1598" s="2"/>
      <x:c r="O1598" s="2"/>
    </x:row>
    <x:row r="1599" ht="21" customHeight="1">
      <x:c r="A1599" s="2" t="str">
        <x:v>NT001598</x:v>
      </x:c>
      <x:c r="B1599" s="2" t="str">
        <x:v>EV001600</x:v>
      </x:c>
      <x:c r="C1599" s="2" t="str">
        <x:v>T20261007-1-2</x:v>
      </x:c>
      <x:c r="D1599" s="2" t="str">
        <x:v>ST043</x:v>
      </x:c>
      <x:c r="E1599" s="2" t="str">
        <x:v>G043</x:v>
      </x:c>
      <x:c r="F1599" s="2" t="str">
        <x:v>guardian043@example.invalid</x:v>
      </x:c>
      <x:c r="G1599" s="2" t="str">
        <x:v>Email</x:v>
      </x:c>
      <x:c r="H1599" s="2" t="str">
        <x:v>School receipt</x:v>
      </x:c>
      <x:c r="I1599" s="8" t="n">
        <x:v>46302.276458333334</x:v>
      </x:c>
      <x:c r="J1599" s="8" t="n">
        <x:v>46302.27648148148</x:v>
      </x:c>
      <x:c r="K1599" s="8" t="n">
        <x:v>46302.2765162037</x:v>
      </x:c>
      <x:c r="L1599" s="2" t="str">
        <x:v>Sent</x:v>
      </x:c>
      <x:c r="M1599" s="2" t="n">
        <x:v>1</x:v>
      </x:c>
      <x:c r="N1599" s="2"/>
      <x:c r="O1599" s="2"/>
    </x:row>
    <x:row r="1600" ht="21" customHeight="1">
      <x:c r="A1600" s="2" t="str">
        <x:v>NT001599</x:v>
      </x:c>
      <x:c r="B1600" s="2" t="str">
        <x:v>EV001601</x:v>
      </x:c>
      <x:c r="C1600" s="2" t="str">
        <x:v>T20261007-1-2</x:v>
      </x:c>
      <x:c r="D1600" s="2" t="str">
        <x:v>ST044</x:v>
      </x:c>
      <x:c r="E1600" s="2" t="str">
        <x:v>G044</x:v>
      </x:c>
      <x:c r="F1600" s="2" t="str">
        <x:v>guardian044@example.invalid</x:v>
      </x:c>
      <x:c r="G1600" s="2" t="str">
        <x:v>Email</x:v>
      </x:c>
      <x:c r="H1600" s="2" t="str">
        <x:v>Boarded</x:v>
      </x:c>
      <x:c r="I1600" s="8" t="n">
        <x:v>46302.242465277785</x:v>
      </x:c>
      <x:c r="J1600" s="8" t="n">
        <x:v>46302.24248842593</x:v>
      </x:c>
      <x:c r="K1600" s="8" t="n">
        <x:v>46302.242523148154</x:v>
      </x:c>
      <x:c r="L1600" s="2" t="str">
        <x:v>Sent</x:v>
      </x:c>
      <x:c r="M1600" s="2" t="n">
        <x:v>1</x:v>
      </x:c>
      <x:c r="N1600" s="2"/>
      <x:c r="O1600" s="2"/>
    </x:row>
    <x:row r="1601" ht="21" customHeight="1">
      <x:c r="A1601" s="2" t="str">
        <x:v>NT001600</x:v>
      </x:c>
      <x:c r="B1601" s="2" t="str">
        <x:v>EV001602</x:v>
      </x:c>
      <x:c r="C1601" s="2" t="str">
        <x:v>T20261007-1-2</x:v>
      </x:c>
      <x:c r="D1601" s="2" t="str">
        <x:v>ST044</x:v>
      </x:c>
      <x:c r="E1601" s="2" t="str">
        <x:v>G044</x:v>
      </x:c>
      <x:c r="F1601" s="2" t="str">
        <x:v>guardian044@example.invalid</x:v>
      </x:c>
      <x:c r="G1601" s="2" t="str">
        <x:v>Email</x:v>
      </x:c>
      <x:c r="H1601" s="2" t="str">
        <x:v>School receipt</x:v>
      </x:c>
      <x:c r="I1601" s="8" t="n">
        <x:v>46302.27649305556</x:v>
      </x:c>
      <x:c r="J1601" s="8" t="n">
        <x:v>46302.2765162037</x:v>
      </x:c>
      <x:c r="K1601" s="8" t="n">
        <x:v>46302.276550925926</x:v>
      </x:c>
      <x:c r="L1601" s="2" t="str">
        <x:v>Sent</x:v>
      </x:c>
      <x:c r="M1601" s="2" t="n">
        <x:v>1</x:v>
      </x:c>
      <x:c r="N1601" s="2"/>
      <x:c r="O1601" s="2"/>
    </x:row>
    <x:row r="1602" ht="21" customHeight="1">
      <x:c r="A1602" s="2" t="str">
        <x:v>NT001601</x:v>
      </x:c>
      <x:c r="B1602" s="2" t="str">
        <x:v>EV001603</x:v>
      </x:c>
      <x:c r="C1602" s="2" t="str">
        <x:v>T20261007-1-2</x:v>
      </x:c>
      <x:c r="D1602" s="2" t="str">
        <x:v>ST045</x:v>
      </x:c>
      <x:c r="E1602" s="2" t="str">
        <x:v>G045</x:v>
      </x:c>
      <x:c r="F1602" s="2" t="str">
        <x:v>guardian045@example.invalid</x:v>
      </x:c>
      <x:c r="G1602" s="2" t="str">
        <x:v>Email</x:v>
      </x:c>
      <x:c r="H1602" s="2" t="str">
        <x:v>Boarded</x:v>
      </x:c>
      <x:c r="I1602" s="8" t="n">
        <x:v>46302.24736111111</x:v>
      </x:c>
      <x:c r="J1602" s="8" t="n">
        <x:v>46302.24738425926</x:v>
      </x:c>
      <x:c r="K1602" s="8" t="n">
        <x:v>46302.24741898148</x:v>
      </x:c>
      <x:c r="L1602" s="2" t="str">
        <x:v>Sent</x:v>
      </x:c>
      <x:c r="M1602" s="2" t="n">
        <x:v>1</x:v>
      </x:c>
      <x:c r="N1602" s="2"/>
      <x:c r="O1602" s="2"/>
    </x:row>
    <x:row r="1603" ht="21" customHeight="1">
      <x:c r="A1603" s="2" t="str">
        <x:v>NT001602</x:v>
      </x:c>
      <x:c r="B1603" s="2" t="str">
        <x:v>EV001604</x:v>
      </x:c>
      <x:c r="C1603" s="2" t="str">
        <x:v>T20261007-1-2</x:v>
      </x:c>
      <x:c r="D1603" s="2" t="str">
        <x:v>ST045</x:v>
      </x:c>
      <x:c r="E1603" s="2" t="str">
        <x:v>G045</x:v>
      </x:c>
      <x:c r="F1603" s="2" t="str">
        <x:v>guardian045@example.invalid</x:v>
      </x:c>
      <x:c r="G1603" s="2" t="str">
        <x:v>Email</x:v>
      </x:c>
      <x:c r="H1603" s="2" t="str">
        <x:v>School receipt</x:v>
      </x:c>
      <x:c r="I1603" s="8" t="n">
        <x:v>46302.27652777778</x:v>
      </x:c>
      <x:c r="J1603" s="8" t="n">
        <x:v>46302.276550925926</x:v>
      </x:c>
      <x:c r="K1603" s="8" t="n">
        <x:v>46302.27658564815</x:v>
      </x:c>
      <x:c r="L1603" s="2" t="str">
        <x:v>Sent</x:v>
      </x:c>
      <x:c r="M1603" s="2" t="n">
        <x:v>1</x:v>
      </x:c>
      <x:c r="N1603" s="2"/>
      <x:c r="O1603" s="2"/>
    </x:row>
    <x:row r="1604" ht="21" customHeight="1">
      <x:c r="A1604" s="2" t="str">
        <x:v>NT001603</x:v>
      </x:c>
      <x:c r="B1604" s="2" t="str">
        <x:v>EV001605</x:v>
      </x:c>
      <x:c r="C1604" s="2" t="str">
        <x:v>T20261007-1-2</x:v>
      </x:c>
      <x:c r="D1604" s="2" t="str">
        <x:v>ST046</x:v>
      </x:c>
      <x:c r="E1604" s="2" t="str">
        <x:v>G046</x:v>
      </x:c>
      <x:c r="F1604" s="2" t="str">
        <x:v>guardian046@example.invalid</x:v>
      </x:c>
      <x:c r="G1604" s="2" t="str">
        <x:v>Email</x:v>
      </x:c>
      <x:c r="H1604" s="2" t="str">
        <x:v>Boarded</x:v>
      </x:c>
      <x:c r="I1604" s="8" t="n">
        <x:v>46302.25225694444</x:v>
      </x:c>
      <x:c r="J1604" s="8" t="n">
        <x:v>46302.25228009259</x:v>
      </x:c>
      <x:c r="K1604" s="8" t="n">
        <x:v>46302.25231481481</x:v>
      </x:c>
      <x:c r="L1604" s="2" t="str">
        <x:v>Sent</x:v>
      </x:c>
      <x:c r="M1604" s="2" t="n">
        <x:v>1</x:v>
      </x:c>
      <x:c r="N1604" s="2"/>
      <x:c r="O1604" s="2"/>
    </x:row>
    <x:row r="1605" ht="21" customHeight="1">
      <x:c r="A1605" s="2" t="str">
        <x:v>NT001604</x:v>
      </x:c>
      <x:c r="B1605" s="2" t="str">
        <x:v>EV001606</x:v>
      </x:c>
      <x:c r="C1605" s="2" t="str">
        <x:v>T20261007-1-2</x:v>
      </x:c>
      <x:c r="D1605" s="2" t="str">
        <x:v>ST046</x:v>
      </x:c>
      <x:c r="E1605" s="2" t="str">
        <x:v>G046</x:v>
      </x:c>
      <x:c r="F1605" s="2" t="str">
        <x:v>guardian046@example.invalid</x:v>
      </x:c>
      <x:c r="G1605" s="2" t="str">
        <x:v>Email</x:v>
      </x:c>
      <x:c r="H1605" s="2" t="str">
        <x:v>School receipt</x:v>
      </x:c>
      <x:c r="I1605" s="8" t="n">
        <x:v>46302.276562499996</x:v>
      </x:c>
      <x:c r="J1605" s="8" t="n">
        <x:v>46302.27658564814</x:v>
      </x:c>
      <x:c r="K1605" s="8" t="n">
        <x:v>46302.276620370365</x:v>
      </x:c>
      <x:c r="L1605" s="2" t="str">
        <x:v>Sent</x:v>
      </x:c>
      <x:c r="M1605" s="2" t="n">
        <x:v>1</x:v>
      </x:c>
      <x:c r="N1605" s="2"/>
      <x:c r="O1605" s="2"/>
    </x:row>
    <x:row r="1606" ht="21" customHeight="1">
      <x:c r="A1606" s="2" t="str">
        <x:v>NT001605</x:v>
      </x:c>
      <x:c r="B1606" s="2" t="str">
        <x:v>EV001607</x:v>
      </x:c>
      <x:c r="C1606" s="2" t="str">
        <x:v>T20261007-1-2</x:v>
      </x:c>
      <x:c r="D1606" s="2" t="str">
        <x:v>ST047</x:v>
      </x:c>
      <x:c r="E1606" s="2" t="str">
        <x:v>G047</x:v>
      </x:c>
      <x:c r="F1606" s="2" t="str">
        <x:v>guardian047@example.invalid</x:v>
      </x:c>
      <x:c r="G1606" s="2" t="str">
        <x:v>Email</x:v>
      </x:c>
      <x:c r="H1606" s="2" t="str">
        <x:v>Boarded</x:v>
      </x:c>
      <x:c r="I1606" s="8" t="n">
        <x:v>46302.24256944445</x:v>
      </x:c>
      <x:c r="J1606" s="8" t="n">
        <x:v>46302.24259259259</x:v>
      </x:c>
      <x:c r="K1606" s="8" t="n">
        <x:v>46302.242627314816</x:v>
      </x:c>
      <x:c r="L1606" s="2" t="str">
        <x:v>Sent</x:v>
      </x:c>
      <x:c r="M1606" s="2" t="n">
        <x:v>1</x:v>
      </x:c>
      <x:c r="N1606" s="2"/>
      <x:c r="O1606" s="2"/>
    </x:row>
    <x:row r="1607" ht="21" customHeight="1">
      <x:c r="A1607" s="2" t="str">
        <x:v>NT001606</x:v>
      </x:c>
      <x:c r="B1607" s="2" t="str">
        <x:v>EV001608</x:v>
      </x:c>
      <x:c r="C1607" s="2" t="str">
        <x:v>T20261007-1-2</x:v>
      </x:c>
      <x:c r="D1607" s="2" t="str">
        <x:v>ST047</x:v>
      </x:c>
      <x:c r="E1607" s="2" t="str">
        <x:v>G047</x:v>
      </x:c>
      <x:c r="F1607" s="2" t="str">
        <x:v>guardian047@example.invalid</x:v>
      </x:c>
      <x:c r="G1607" s="2" t="str">
        <x:v>Email</x:v>
      </x:c>
      <x:c r="H1607" s="2" t="str">
        <x:v>School receipt</x:v>
      </x:c>
      <x:c r="I1607" s="8" t="n">
        <x:v>46302.27659722222</x:v>
      </x:c>
      <x:c r="J1607" s="8" t="n">
        <x:v>46302.276620370365</x:v>
      </x:c>
      <x:c r="K1607" s="8" t="n">
        <x:v>46302.27665509259</x:v>
      </x:c>
      <x:c r="L1607" s="2" t="str">
        <x:v>Sent</x:v>
      </x:c>
      <x:c r="M1607" s="2" t="n">
        <x:v>1</x:v>
      </x:c>
      <x:c r="N1607" s="2"/>
      <x:c r="O1607" s="2"/>
    </x:row>
    <x:row r="1608" ht="21" customHeight="1">
      <x:c r="A1608" s="2" t="str">
        <x:v>NT001607</x:v>
      </x:c>
      <x:c r="B1608" s="2" t="str">
        <x:v>EV001609</x:v>
      </x:c>
      <x:c r="C1608" s="2" t="str">
        <x:v>T20261007-1-2</x:v>
      </x:c>
      <x:c r="D1608" s="2" t="str">
        <x:v>ST048</x:v>
      </x:c>
      <x:c r="E1608" s="2" t="str">
        <x:v>G048</x:v>
      </x:c>
      <x:c r="F1608" s="2" t="str">
        <x:v>guardian048@example.invalid</x:v>
      </x:c>
      <x:c r="G1608" s="2" t="str">
        <x:v>Email</x:v>
      </x:c>
      <x:c r="H1608" s="2" t="str">
        <x:v>Boarded</x:v>
      </x:c>
      <x:c r="I1608" s="8" t="n">
        <x:v>46302.247465277775</x:v>
      </x:c>
      <x:c r="J1608" s="8" t="n">
        <x:v>46302.24748842592</x:v>
      </x:c>
      <x:c r="K1608" s="8" t="n">
        <x:v>46302.247523148144</x:v>
      </x:c>
      <x:c r="L1608" s="2" t="str">
        <x:v>Sent</x:v>
      </x:c>
      <x:c r="M1608" s="2" t="n">
        <x:v>1</x:v>
      </x:c>
      <x:c r="N1608" s="2"/>
      <x:c r="O1608" s="2"/>
    </x:row>
    <x:row r="1609" ht="21" customHeight="1">
      <x:c r="A1609" s="2" t="str">
        <x:v>NT001608</x:v>
      </x:c>
      <x:c r="B1609" s="2" t="str">
        <x:v>EV001610</x:v>
      </x:c>
      <x:c r="C1609" s="2" t="str">
        <x:v>T20261007-1-2</x:v>
      </x:c>
      <x:c r="D1609" s="2" t="str">
        <x:v>ST048</x:v>
      </x:c>
      <x:c r="E1609" s="2" t="str">
        <x:v>G048</x:v>
      </x:c>
      <x:c r="F1609" s="2" t="str">
        <x:v>guardian048@example.invalid</x:v>
      </x:c>
      <x:c r="G1609" s="2" t="str">
        <x:v>Email</x:v>
      </x:c>
      <x:c r="H1609" s="2" t="str">
        <x:v>School receipt</x:v>
      </x:c>
      <x:c r="I1609" s="8" t="n">
        <x:v>46302.27663194444</x:v>
      </x:c>
      <x:c r="J1609" s="8" t="n">
        <x:v>46302.27665509259</x:v>
      </x:c>
      <x:c r="K1609" s="8" t="n">
        <x:v>46302.27668981481</x:v>
      </x:c>
      <x:c r="L1609" s="2" t="str">
        <x:v>Sent</x:v>
      </x:c>
      <x:c r="M1609" s="2" t="n">
        <x:v>1</x:v>
      </x:c>
      <x:c r="N1609" s="2"/>
      <x:c r="O1609" s="2"/>
    </x:row>
    <x:row r="1610" ht="21" customHeight="1">
      <x:c r="A1610" s="2" t="str">
        <x:v>NT001609</x:v>
      </x:c>
      <x:c r="B1610" s="2" t="str">
        <x:v>EV001611</x:v>
      </x:c>
      <x:c r="C1610" s="2" t="str">
        <x:v>T20261007-1-2</x:v>
      </x:c>
      <x:c r="D1610" s="2" t="str">
        <x:v>ST049</x:v>
      </x:c>
      <x:c r="E1610" s="2" t="str">
        <x:v>G049</x:v>
      </x:c>
      <x:c r="F1610" s="2" t="str">
        <x:v>guardian049@example.invalid</x:v>
      </x:c>
      <x:c r="G1610" s="2" t="str">
        <x:v>Email</x:v>
      </x:c>
      <x:c r="H1610" s="2" t="str">
        <x:v>Boarded</x:v>
      </x:c>
      <x:c r="I1610" s="8" t="n">
        <x:v>46302.25236111111</x:v>
      </x:c>
      <x:c r="J1610" s="8" t="n">
        <x:v>46302.252384259256</x:v>
      </x:c>
      <x:c r="K1610" s="8" t="n">
        <x:v>46302.25241898148</x:v>
      </x:c>
      <x:c r="L1610" s="2" t="str">
        <x:v>Sent</x:v>
      </x:c>
      <x:c r="M1610" s="2" t="n">
        <x:v>1</x:v>
      </x:c>
      <x:c r="N1610" s="2"/>
      <x:c r="O1610" s="2"/>
    </x:row>
    <x:row r="1611" ht="21" customHeight="1">
      <x:c r="A1611" s="2" t="str">
        <x:v>NT001610</x:v>
      </x:c>
      <x:c r="B1611" s="2" t="str">
        <x:v>EV001612</x:v>
      </x:c>
      <x:c r="C1611" s="2" t="str">
        <x:v>T20261007-1-2</x:v>
      </x:c>
      <x:c r="D1611" s="2" t="str">
        <x:v>ST049</x:v>
      </x:c>
      <x:c r="E1611" s="2" t="str">
        <x:v>G049</x:v>
      </x:c>
      <x:c r="F1611" s="2" t="str">
        <x:v>guardian049@example.invalid</x:v>
      </x:c>
      <x:c r="G1611" s="2" t="str">
        <x:v>Email</x:v>
      </x:c>
      <x:c r="H1611" s="2" t="str">
        <x:v>School receipt</x:v>
      </x:c>
      <x:c r="I1611" s="8" t="n">
        <x:v>46302.276666666665</x:v>
      </x:c>
      <x:c r="J1611" s="8" t="n">
        <x:v>46302.27668981481</x:v>
      </x:c>
      <x:c r="K1611" s="8" t="n">
        <x:v>46302.276724537034</x:v>
      </x:c>
      <x:c r="L1611" s="2" t="str">
        <x:v>Sent</x:v>
      </x:c>
      <x:c r="M1611" s="2" t="n">
        <x:v>1</x:v>
      </x:c>
      <x:c r="N1611" s="2"/>
      <x:c r="O1611" s="2"/>
    </x:row>
    <x:row r="1612" ht="21" customHeight="1">
      <x:c r="A1612" s="2" t="str">
        <x:v>NT001611</x:v>
      </x:c>
      <x:c r="B1612" s="2" t="str">
        <x:v>EV001613</x:v>
      </x:c>
      <x:c r="C1612" s="2" t="str">
        <x:v>T20261007-1-2</x:v>
      </x:c>
      <x:c r="D1612" s="2" t="str">
        <x:v>ST050</x:v>
      </x:c>
      <x:c r="E1612" s="2" t="str">
        <x:v>G050</x:v>
      </x:c>
      <x:c r="F1612" s="2" t="str">
        <x:v>guardian050@example.invalid</x:v>
      </x:c>
      <x:c r="G1612" s="2" t="str">
        <x:v>Email</x:v>
      </x:c>
      <x:c r="H1612" s="2" t="str">
        <x:v>Boarded</x:v>
      </x:c>
      <x:c r="I1612" s="8" t="n">
        <x:v>46302.242673611116</x:v>
      </x:c>
      <x:c r="J1612" s="8" t="n">
        <x:v>46302.24269675926</x:v>
      </x:c>
      <x:c r="K1612" s="8" t="n">
        <x:v>46302.242731481485</x:v>
      </x:c>
      <x:c r="L1612" s="2" t="str">
        <x:v>Sent</x:v>
      </x:c>
      <x:c r="M1612" s="2" t="n">
        <x:v>1</x:v>
      </x:c>
      <x:c r="N1612" s="2"/>
      <x:c r="O1612" s="2"/>
    </x:row>
    <x:row r="1613" ht="21" customHeight="1">
      <x:c r="A1613" s="2" t="str">
        <x:v>NT001612</x:v>
      </x:c>
      <x:c r="B1613" s="2" t="str">
        <x:v>EV001614</x:v>
      </x:c>
      <x:c r="C1613" s="2" t="str">
        <x:v>T20261007-1-2</x:v>
      </x:c>
      <x:c r="D1613" s="2" t="str">
        <x:v>ST050</x:v>
      </x:c>
      <x:c r="E1613" s="2" t="str">
        <x:v>G050</x:v>
      </x:c>
      <x:c r="F1613" s="2" t="str">
        <x:v>guardian050@example.invalid</x:v>
      </x:c>
      <x:c r="G1613" s="2" t="str">
        <x:v>Email</x:v>
      </x:c>
      <x:c r="H1613" s="2" t="str">
        <x:v>School receipt</x:v>
      </x:c>
      <x:c r="I1613" s="8" t="n">
        <x:v>46302.27670138889</x:v>
      </x:c>
      <x:c r="J1613" s="8" t="n">
        <x:v>46302.276724537034</x:v>
      </x:c>
      <x:c r="K1613" s="8" t="n">
        <x:v>46302.27675925926</x:v>
      </x:c>
      <x:c r="L1613" s="2" t="str">
        <x:v>Sent</x:v>
      </x:c>
      <x:c r="M1613" s="2" t="n">
        <x:v>1</x:v>
      </x:c>
      <x:c r="N1613" s="2"/>
      <x:c r="O1613" s="2"/>
    </x:row>
    <x:row r="1614" ht="21" customHeight="1">
      <x:c r="A1614" s="2" t="str">
        <x:v>NT001613</x:v>
      </x:c>
      <x:c r="B1614" s="2" t="str">
        <x:v>EV001615</x:v>
      </x:c>
      <x:c r="C1614" s="2" t="str">
        <x:v>T20261007-1-2</x:v>
      </x:c>
      <x:c r="D1614" s="2" t="str">
        <x:v>ST051</x:v>
      </x:c>
      <x:c r="E1614" s="2" t="str">
        <x:v>G051</x:v>
      </x:c>
      <x:c r="F1614" s="2" t="str">
        <x:v>guardian051@example.invalid</x:v>
      </x:c>
      <x:c r="G1614" s="2" t="str">
        <x:v>Email</x:v>
      </x:c>
      <x:c r="H1614" s="2" t="str">
        <x:v>Boarded</x:v>
      </x:c>
      <x:c r="I1614" s="8" t="n">
        <x:v>46302.24722222222</x:v>
      </x:c>
      <x:c r="J1614" s="8" t="n">
        <x:v>46302.24724537037</x:v>
      </x:c>
      <x:c r="K1614" s="8" t="n">
        <x:v>46302.24728009259</x:v>
      </x:c>
      <x:c r="L1614" s="2" t="str">
        <x:v>Sent</x:v>
      </x:c>
      <x:c r="M1614" s="2" t="n">
        <x:v>1</x:v>
      </x:c>
      <x:c r="N1614" s="2"/>
      <x:c r="O1614" s="2"/>
    </x:row>
    <x:row r="1615" ht="21" customHeight="1">
      <x:c r="A1615" s="2" t="str">
        <x:v>NT001614</x:v>
      </x:c>
      <x:c r="B1615" s="2" t="str">
        <x:v>EV001616</x:v>
      </x:c>
      <x:c r="C1615" s="2" t="str">
        <x:v>T20261007-1-2</x:v>
      </x:c>
      <x:c r="D1615" s="2" t="str">
        <x:v>ST051</x:v>
      </x:c>
      <x:c r="E1615" s="2" t="str">
        <x:v>G051</x:v>
      </x:c>
      <x:c r="F1615" s="2" t="str">
        <x:v>guardian051@example.invalid</x:v>
      </x:c>
      <x:c r="G1615" s="2" t="str">
        <x:v>Email</x:v>
      </x:c>
      <x:c r="H1615" s="2" t="str">
        <x:v>School receipt</x:v>
      </x:c>
      <x:c r="I1615" s="8" t="n">
        <x:v>46302.27673611111</x:v>
      </x:c>
      <x:c r="J1615" s="8" t="n">
        <x:v>46302.27675925926</x:v>
      </x:c>
      <x:c r="K1615" s="8" t="n">
        <x:v>46302.27679398148</x:v>
      </x:c>
      <x:c r="L1615" s="2" t="str">
        <x:v>Sent</x:v>
      </x:c>
      <x:c r="M1615" s="2" t="n">
        <x:v>1</x:v>
      </x:c>
      <x:c r="N1615" s="2"/>
      <x:c r="O1615" s="2"/>
    </x:row>
    <x:row r="1616" ht="21" customHeight="1">
      <x:c r="A1616" s="2" t="str">
        <x:v>NT001615</x:v>
      </x:c>
      <x:c r="B1616" s="2" t="str">
        <x:v>EV001617</x:v>
      </x:c>
      <x:c r="C1616" s="2" t="str">
        <x:v>T20261007-1-2</x:v>
      </x:c>
      <x:c r="D1616" s="2" t="str">
        <x:v>ST052</x:v>
      </x:c>
      <x:c r="E1616" s="2" t="str">
        <x:v>G052</x:v>
      </x:c>
      <x:c r="F1616" s="2" t="str">
        <x:v>guardian052@example.invalid</x:v>
      </x:c>
      <x:c r="G1616" s="2" t="str">
        <x:v>Email</x:v>
      </x:c>
      <x:c r="H1616" s="2" t="str">
        <x:v>Boarded</x:v>
      </x:c>
      <x:c r="I1616" s="8" t="n">
        <x:v>46302.252118055556</x:v>
      </x:c>
      <x:c r="J1616" s="8" t="n">
        <x:v>46302.2521412037</x:v>
      </x:c>
      <x:c r="K1616" s="8" t="n">
        <x:v>46302.252175925925</x:v>
      </x:c>
      <x:c r="L1616" s="2" t="str">
        <x:v>Sent</x:v>
      </x:c>
      <x:c r="M1616" s="2" t="n">
        <x:v>1</x:v>
      </x:c>
      <x:c r="N1616" s="2"/>
      <x:c r="O1616" s="2"/>
    </x:row>
    <x:row r="1617" ht="21" customHeight="1">
      <x:c r="A1617" s="2" t="str">
        <x:v>NT001616</x:v>
      </x:c>
      <x:c r="B1617" s="2" t="str">
        <x:v>EV001618</x:v>
      </x:c>
      <x:c r="C1617" s="2" t="str">
        <x:v>T20261007-1-2</x:v>
      </x:c>
      <x:c r="D1617" s="2" t="str">
        <x:v>ST052</x:v>
      </x:c>
      <x:c r="E1617" s="2" t="str">
        <x:v>G052</x:v>
      </x:c>
      <x:c r="F1617" s="2" t="str">
        <x:v>guardian052@example.invalid</x:v>
      </x:c>
      <x:c r="G1617" s="2" t="str">
        <x:v>Email</x:v>
      </x:c>
      <x:c r="H1617" s="2" t="str">
        <x:v>School receipt</x:v>
      </x:c>
      <x:c r="I1617" s="8" t="n">
        <x:v>46302.276770833334</x:v>
      </x:c>
      <x:c r="J1617" s="8" t="n">
        <x:v>46302.27679398148</x:v>
      </x:c>
      <x:c r="K1617" s="8" t="n">
        <x:v>46302.2768287037</x:v>
      </x:c>
      <x:c r="L1617" s="2" t="str">
        <x:v>Sent</x:v>
      </x:c>
      <x:c r="M1617" s="2" t="n">
        <x:v>1</x:v>
      </x:c>
      <x:c r="N1617" s="2"/>
      <x:c r="O1617" s="2"/>
    </x:row>
    <x:row r="1618" ht="21" customHeight="1">
      <x:c r="A1618" s="2" t="str">
        <x:v>NT001617</x:v>
      </x:c>
      <x:c r="B1618" s="2" t="str">
        <x:v>EV001619</x:v>
      </x:c>
      <x:c r="C1618" s="2" t="str">
        <x:v>T20261007-1-2</x:v>
      </x:c>
      <x:c r="D1618" s="2" t="str">
        <x:v>ST053</x:v>
      </x:c>
      <x:c r="E1618" s="2" t="str">
        <x:v>G053</x:v>
      </x:c>
      <x:c r="F1618" s="2" t="str">
        <x:v>guardian053@example.invalid</x:v>
      </x:c>
      <x:c r="G1618" s="2" t="str">
        <x:v>Email</x:v>
      </x:c>
      <x:c r="H1618" s="2" t="str">
        <x:v>Boarded</x:v>
      </x:c>
      <x:c r="I1618" s="8" t="n">
        <x:v>46302.24243055556</x:v>
      </x:c>
      <x:c r="J1618" s="8" t="n">
        <x:v>46302.24245370371</x:v>
      </x:c>
      <x:c r="K1618" s="8" t="n">
        <x:v>46302.24248842593</x:v>
      </x:c>
      <x:c r="L1618" s="2" t="str">
        <x:v>Sent</x:v>
      </x:c>
      <x:c r="M1618" s="2" t="n">
        <x:v>1</x:v>
      </x:c>
      <x:c r="N1618" s="2"/>
      <x:c r="O1618" s="2"/>
    </x:row>
    <x:row r="1619" ht="21" customHeight="1">
      <x:c r="A1619" s="2" t="str">
        <x:v>NT001618</x:v>
      </x:c>
      <x:c r="B1619" s="2" t="str">
        <x:v>EV001620</x:v>
      </x:c>
      <x:c r="C1619" s="2" t="str">
        <x:v>T20261007-1-2</x:v>
      </x:c>
      <x:c r="D1619" s="2" t="str">
        <x:v>ST053</x:v>
      </x:c>
      <x:c r="E1619" s="2" t="str">
        <x:v>G053</x:v>
      </x:c>
      <x:c r="F1619" s="2" t="str">
        <x:v>guardian053@example.invalid</x:v>
      </x:c>
      <x:c r="G1619" s="2" t="str">
        <x:v>Email</x:v>
      </x:c>
      <x:c r="H1619" s="2" t="str">
        <x:v>School receipt</x:v>
      </x:c>
      <x:c r="I1619" s="8" t="n">
        <x:v>46302.27680555556</x:v>
      </x:c>
      <x:c r="J1619" s="8" t="n">
        <x:v>46302.2768287037</x:v>
      </x:c>
      <x:c r="K1619" s="8" t="n">
        <x:v>46302.27686342593</x:v>
      </x:c>
      <x:c r="L1619" s="2" t="str">
        <x:v>Sent</x:v>
      </x:c>
      <x:c r="M1619" s="2" t="n">
        <x:v>1</x:v>
      </x:c>
      <x:c r="N1619" s="2"/>
      <x:c r="O1619" s="2"/>
    </x:row>
    <x:row r="1620" ht="21" customHeight="1">
      <x:c r="A1620" s="2" t="str">
        <x:v>NT001619</x:v>
      </x:c>
      <x:c r="B1620" s="2" t="str">
        <x:v>EV001621</x:v>
      </x:c>
      <x:c r="C1620" s="2" t="str">
        <x:v>T20261007-1-2</x:v>
      </x:c>
      <x:c r="D1620" s="2" t="str">
        <x:v>ST054</x:v>
      </x:c>
      <x:c r="E1620" s="2" t="str">
        <x:v>G054</x:v>
      </x:c>
      <x:c r="F1620" s="2" t="str">
        <x:v>guardian054@example.invalid</x:v>
      </x:c>
      <x:c r="G1620" s="2" t="str">
        <x:v>Email</x:v>
      </x:c>
      <x:c r="H1620" s="2" t="str">
        <x:v>Boarded</x:v>
      </x:c>
      <x:c r="I1620" s="8" t="n">
        <x:v>46302.24732638889</x:v>
      </x:c>
      <x:c r="J1620" s="8" t="n">
        <x:v>46302.247349537036</x:v>
      </x:c>
      <x:c r="K1620" s="8" t="n">
        <x:v>46302.24738425926</x:v>
      </x:c>
      <x:c r="L1620" s="2" t="str">
        <x:v>Sent</x:v>
      </x:c>
      <x:c r="M1620" s="2" t="n">
        <x:v>1</x:v>
      </x:c>
      <x:c r="N1620" s="2"/>
      <x:c r="O1620" s="2"/>
    </x:row>
    <x:row r="1621" ht="21" customHeight="1">
      <x:c r="A1621" s="2" t="str">
        <x:v>NT001620</x:v>
      </x:c>
      <x:c r="B1621" s="2" t="str">
        <x:v>EV001622</x:v>
      </x:c>
      <x:c r="C1621" s="2" t="str">
        <x:v>T20261007-1-2</x:v>
      </x:c>
      <x:c r="D1621" s="2" t="str">
        <x:v>ST054</x:v>
      </x:c>
      <x:c r="E1621" s="2" t="str">
        <x:v>G054</x:v>
      </x:c>
      <x:c r="F1621" s="2" t="str">
        <x:v>guardian054@example.invalid</x:v>
      </x:c>
      <x:c r="G1621" s="2" t="str">
        <x:v>Email</x:v>
      </x:c>
      <x:c r="H1621" s="2" t="str">
        <x:v>School receipt</x:v>
      </x:c>
      <x:c r="I1621" s="8" t="n">
        <x:v>46302.27684027777</x:v>
      </x:c>
      <x:c r="J1621" s="8" t="n">
        <x:v>46302.27686342592</x:v>
      </x:c>
      <x:c r="K1621" s="8" t="n">
        <x:v>46302.27689814814</x:v>
      </x:c>
      <x:c r="L1621" s="2" t="str">
        <x:v>Sent</x:v>
      </x:c>
      <x:c r="M1621" s="2" t="n">
        <x:v>1</x:v>
      </x:c>
      <x:c r="N1621" s="2"/>
      <x:c r="O1621" s="2"/>
    </x:row>
    <x:row r="1622" ht="21" customHeight="1">
      <x:c r="A1622" s="2" t="str">
        <x:v>NT001621</x:v>
      </x:c>
      <x:c r="B1622" s="2" t="str">
        <x:v>EV001623</x:v>
      </x:c>
      <x:c r="C1622" s="2" t="str">
        <x:v>T20261007-1-2</x:v>
      </x:c>
      <x:c r="D1622" s="2" t="str">
        <x:v>ST055</x:v>
      </x:c>
      <x:c r="E1622" s="2" t="str">
        <x:v>G055</x:v>
      </x:c>
      <x:c r="F1622" s="2" t="str">
        <x:v>guardian055@example.invalid</x:v>
      </x:c>
      <x:c r="G1622" s="2" t="str">
        <x:v>Email</x:v>
      </x:c>
      <x:c r="H1622" s="2" t="str">
        <x:v>Boarded</x:v>
      </x:c>
      <x:c r="I1622" s="8" t="n">
        <x:v>46302.252222222225</x:v>
      </x:c>
      <x:c r="J1622" s="8" t="n">
        <x:v>46302.25224537037</x:v>
      </x:c>
      <x:c r="K1622" s="8" t="n">
        <x:v>46302.252280092594</x:v>
      </x:c>
      <x:c r="L1622" s="2" t="str">
        <x:v>Sent</x:v>
      </x:c>
      <x:c r="M1622" s="2" t="n">
        <x:v>1</x:v>
      </x:c>
      <x:c r="N1622" s="2"/>
      <x:c r="O1622" s="2"/>
    </x:row>
    <x:row r="1623" ht="21" customHeight="1">
      <x:c r="A1623" s="2" t="str">
        <x:v>NT001622</x:v>
      </x:c>
      <x:c r="B1623" s="2" t="str">
        <x:v>EV001624</x:v>
      </x:c>
      <x:c r="C1623" s="2" t="str">
        <x:v>T20261007-1-2</x:v>
      </x:c>
      <x:c r="D1623" s="2" t="str">
        <x:v>ST055</x:v>
      </x:c>
      <x:c r="E1623" s="2" t="str">
        <x:v>G055</x:v>
      </x:c>
      <x:c r="F1623" s="2" t="str">
        <x:v>guardian055@example.invalid</x:v>
      </x:c>
      <x:c r="G1623" s="2" t="str">
        <x:v>Email</x:v>
      </x:c>
      <x:c r="H1623" s="2" t="str">
        <x:v>School receipt</x:v>
      </x:c>
      <x:c r="I1623" s="8" t="n">
        <x:v>46302.276874999996</x:v>
      </x:c>
      <x:c r="J1623" s="8" t="n">
        <x:v>46302.27689814814</x:v>
      </x:c>
      <x:c r="K1623" s="8" t="n">
        <x:v>46302.276932870365</x:v>
      </x:c>
      <x:c r="L1623" s="2" t="str">
        <x:v>Sent</x:v>
      </x:c>
      <x:c r="M1623" s="2" t="n">
        <x:v>1</x:v>
      </x:c>
      <x:c r="N1623" s="2"/>
      <x:c r="O1623" s="2"/>
    </x:row>
    <x:row r="1624" ht="21" customHeight="1">
      <x:c r="A1624" s="2" t="str">
        <x:v>NT001623</x:v>
      </x:c>
      <x:c r="B1624" s="2" t="str">
        <x:v>EV001625</x:v>
      </x:c>
      <x:c r="C1624" s="2" t="str">
        <x:v>T20261007-1-2</x:v>
      </x:c>
      <x:c r="D1624" s="2" t="str">
        <x:v>ST056</x:v>
      </x:c>
      <x:c r="E1624" s="2" t="str">
        <x:v>G056</x:v>
      </x:c>
      <x:c r="F1624" s="2" t="str">
        <x:v>guardian056@example.invalid</x:v>
      </x:c>
      <x:c r="G1624" s="2" t="str">
        <x:v>Email</x:v>
      </x:c>
      <x:c r="H1624" s="2" t="str">
        <x:v>Boarded</x:v>
      </x:c>
      <x:c r="I1624" s="8" t="n">
        <x:v>46302.24253472222</x:v>
      </x:c>
      <x:c r="J1624" s="8" t="n">
        <x:v>46302.24255787037</x:v>
      </x:c>
      <x:c r="K1624" s="8" t="n">
        <x:v>46302.24259259259</x:v>
      </x:c>
      <x:c r="L1624" s="2" t="str">
        <x:v>Sent</x:v>
      </x:c>
      <x:c r="M1624" s="2" t="n">
        <x:v>1</x:v>
      </x:c>
      <x:c r="N1624" s="2"/>
      <x:c r="O1624" s="2"/>
    </x:row>
    <x:row r="1625" ht="21" customHeight="1">
      <x:c r="A1625" s="2" t="str">
        <x:v>NT001624</x:v>
      </x:c>
      <x:c r="B1625" s="2" t="str">
        <x:v>EV001626</x:v>
      </x:c>
      <x:c r="C1625" s="2" t="str">
        <x:v>T20261007-1-2</x:v>
      </x:c>
      <x:c r="D1625" s="2" t="str">
        <x:v>ST056</x:v>
      </x:c>
      <x:c r="E1625" s="2" t="str">
        <x:v>G056</x:v>
      </x:c>
      <x:c r="F1625" s="2" t="str">
        <x:v>guardian056@example.invalid</x:v>
      </x:c>
      <x:c r="G1625" s="2" t="str">
        <x:v>Email</x:v>
      </x:c>
      <x:c r="H1625" s="2" t="str">
        <x:v>School receipt</x:v>
      </x:c>
      <x:c r="I1625" s="8" t="n">
        <x:v>46302.27690972222</x:v>
      </x:c>
      <x:c r="J1625" s="8" t="n">
        <x:v>46302.276932870365</x:v>
      </x:c>
      <x:c r="K1625" s="8" t="n">
        <x:v>46302.27696759259</x:v>
      </x:c>
      <x:c r="L1625" s="2" t="str">
        <x:v>Sent</x:v>
      </x:c>
      <x:c r="M1625" s="2" t="n">
        <x:v>1</x:v>
      </x:c>
      <x:c r="N1625" s="2"/>
      <x:c r="O1625" s="2"/>
    </x:row>
    <x:row r="1626" ht="21" customHeight="1">
      <x:c r="A1626" s="2" t="str">
        <x:v>NT001625</x:v>
      </x:c>
      <x:c r="B1626" s="2" t="str">
        <x:v>EV001627</x:v>
      </x:c>
      <x:c r="C1626" s="2" t="str">
        <x:v>T20261007-1-2</x:v>
      </x:c>
      <x:c r="D1626" s="2" t="str">
        <x:v>ST057</x:v>
      </x:c>
      <x:c r="E1626" s="2" t="str">
        <x:v>G057</x:v>
      </x:c>
      <x:c r="F1626" s="2" t="str">
        <x:v>guardian057@example.invalid</x:v>
      </x:c>
      <x:c r="G1626" s="2" t="str">
        <x:v>Email</x:v>
      </x:c>
      <x:c r="H1626" s="2" t="str">
        <x:v>Boarded</x:v>
      </x:c>
      <x:c r="I1626" s="8" t="n">
        <x:v>46302.24743055555</x:v>
      </x:c>
      <x:c r="J1626" s="8" t="n">
        <x:v>46302.2474537037</x:v>
      </x:c>
      <x:c r="K1626" s="8" t="n">
        <x:v>46302.24748842592</x:v>
      </x:c>
      <x:c r="L1626" s="2" t="str">
        <x:v>Sent</x:v>
      </x:c>
      <x:c r="M1626" s="2" t="n">
        <x:v>1</x:v>
      </x:c>
      <x:c r="N1626" s="2"/>
      <x:c r="O1626" s="2"/>
    </x:row>
    <x:row r="1627" ht="21" customHeight="1">
      <x:c r="A1627" s="2" t="str">
        <x:v>NT001626</x:v>
      </x:c>
      <x:c r="B1627" s="2" t="str">
        <x:v>EV001628</x:v>
      </x:c>
      <x:c r="C1627" s="2" t="str">
        <x:v>T20261007-1-2</x:v>
      </x:c>
      <x:c r="D1627" s="2" t="str">
        <x:v>ST057</x:v>
      </x:c>
      <x:c r="E1627" s="2" t="str">
        <x:v>G057</x:v>
      </x:c>
      <x:c r="F1627" s="2" t="str">
        <x:v>guardian057@example.invalid</x:v>
      </x:c>
      <x:c r="G1627" s="2" t="str">
        <x:v>Email</x:v>
      </x:c>
      <x:c r="H1627" s="2" t="str">
        <x:v>School receipt</x:v>
      </x:c>
      <x:c r="I1627" s="8" t="n">
        <x:v>46302.27694444444</x:v>
      </x:c>
      <x:c r="J1627" s="8" t="n">
        <x:v>46302.27696759259</x:v>
      </x:c>
      <x:c r="K1627" s="8" t="n">
        <x:v>46302.27700231481</x:v>
      </x:c>
      <x:c r="L1627" s="2" t="str">
        <x:v>Sent</x:v>
      </x:c>
      <x:c r="M1627" s="2" t="n">
        <x:v>1</x:v>
      </x:c>
      <x:c r="N1627" s="2"/>
      <x:c r="O1627" s="2"/>
    </x:row>
    <x:row r="1628" ht="21" customHeight="1">
      <x:c r="A1628" s="2" t="str">
        <x:v>NT001627</x:v>
      </x:c>
      <x:c r="B1628" s="2" t="str">
        <x:v>EV001629</x:v>
      </x:c>
      <x:c r="C1628" s="2" t="str">
        <x:v>T20261007-1-2</x:v>
      </x:c>
      <x:c r="D1628" s="2" t="str">
        <x:v>ST058</x:v>
      </x:c>
      <x:c r="E1628" s="2" t="str">
        <x:v>G058</x:v>
      </x:c>
      <x:c r="F1628" s="2" t="str">
        <x:v>guardian058@example.invalid</x:v>
      </x:c>
      <x:c r="G1628" s="2" t="str">
        <x:v>Email</x:v>
      </x:c>
      <x:c r="H1628" s="2" t="str">
        <x:v>Boarded</x:v>
      </x:c>
      <x:c r="I1628" s="8" t="n">
        <x:v>46302.25232638889</x:v>
      </x:c>
      <x:c r="J1628" s="8" t="n">
        <x:v>46302.25234953703</x:v>
      </x:c>
      <x:c r="K1628" s="8" t="n">
        <x:v>46302.252384259256</x:v>
      </x:c>
      <x:c r="L1628" s="2" t="str">
        <x:v>Sent</x:v>
      </x:c>
      <x:c r="M1628" s="2" t="n">
        <x:v>1</x:v>
      </x:c>
      <x:c r="N1628" s="2"/>
      <x:c r="O1628" s="2"/>
    </x:row>
    <x:row r="1629" ht="21" customHeight="1">
      <x:c r="A1629" s="2" t="str">
        <x:v>NT001628</x:v>
      </x:c>
      <x:c r="B1629" s="2" t="str">
        <x:v>EV001630</x:v>
      </x:c>
      <x:c r="C1629" s="2" t="str">
        <x:v>T20261007-1-2</x:v>
      </x:c>
      <x:c r="D1629" s="2" t="str">
        <x:v>ST058</x:v>
      </x:c>
      <x:c r="E1629" s="2" t="str">
        <x:v>G058</x:v>
      </x:c>
      <x:c r="F1629" s="2" t="str">
        <x:v>guardian058@example.invalid</x:v>
      </x:c>
      <x:c r="G1629" s="2" t="str">
        <x:v>Email</x:v>
      </x:c>
      <x:c r="H1629" s="2" t="str">
        <x:v>School receipt</x:v>
      </x:c>
      <x:c r="I1629" s="8" t="n">
        <x:v>46302.276979166665</x:v>
      </x:c>
      <x:c r="J1629" s="8" t="n">
        <x:v>46302.27700231481</x:v>
      </x:c>
      <x:c r="K1629" s="8" t="n">
        <x:v>46302.277037037034</x:v>
      </x:c>
      <x:c r="L1629" s="2" t="str">
        <x:v>Sent</x:v>
      </x:c>
      <x:c r="M1629" s="2" t="n">
        <x:v>1</x:v>
      </x:c>
      <x:c r="N1629" s="2"/>
      <x:c r="O1629" s="2"/>
    </x:row>
    <x:row r="1630" ht="21" customHeight="1">
      <x:c r="A1630" s="2" t="str">
        <x:v>NT001629</x:v>
      </x:c>
      <x:c r="B1630" s="2" t="str">
        <x:v>EV001631</x:v>
      </x:c>
      <x:c r="C1630" s="2" t="str">
        <x:v>T20261007-1-2</x:v>
      </x:c>
      <x:c r="D1630" s="2" t="str">
        <x:v>ST059</x:v>
      </x:c>
      <x:c r="E1630" s="2" t="str">
        <x:v>G059</x:v>
      </x:c>
      <x:c r="F1630" s="2" t="str">
        <x:v>guardian059@example.invalid</x:v>
      </x:c>
      <x:c r="G1630" s="2" t="str">
        <x:v>Email</x:v>
      </x:c>
      <x:c r="H1630" s="2" t="str">
        <x:v>Boarded</x:v>
      </x:c>
      <x:c r="I1630" s="8" t="n">
        <x:v>46302.24263888889</x:v>
      </x:c>
      <x:c r="J1630" s="8" t="n">
        <x:v>46302.24266203704</x:v>
      </x:c>
      <x:c r="K1630" s="8" t="n">
        <x:v>46302.24269675926</x:v>
      </x:c>
      <x:c r="L1630" s="2" t="str">
        <x:v>Sent</x:v>
      </x:c>
      <x:c r="M1630" s="2" t="n">
        <x:v>1</x:v>
      </x:c>
      <x:c r="N1630" s="2"/>
      <x:c r="O1630" s="2"/>
    </x:row>
    <x:row r="1631" ht="21" customHeight="1">
      <x:c r="A1631" s="2" t="str">
        <x:v>NT001630</x:v>
      </x:c>
      <x:c r="B1631" s="2" t="str">
        <x:v>EV001632</x:v>
      </x:c>
      <x:c r="C1631" s="2" t="str">
        <x:v>T20261007-1-2</x:v>
      </x:c>
      <x:c r="D1631" s="2" t="str">
        <x:v>ST059</x:v>
      </x:c>
      <x:c r="E1631" s="2" t="str">
        <x:v>G059</x:v>
      </x:c>
      <x:c r="F1631" s="2" t="str">
        <x:v>guardian059@example.invalid</x:v>
      </x:c>
      <x:c r="G1631" s="2" t="str">
        <x:v>Email</x:v>
      </x:c>
      <x:c r="H1631" s="2" t="str">
        <x:v>School receipt</x:v>
      </x:c>
      <x:c r="I1631" s="8" t="n">
        <x:v>46302.27701388889</x:v>
      </x:c>
      <x:c r="J1631" s="8" t="n">
        <x:v>46302.277037037034</x:v>
      </x:c>
      <x:c r="K1631" s="8" t="n">
        <x:v>46302.27707175926</x:v>
      </x:c>
      <x:c r="L1631" s="2" t="str">
        <x:v>Sent</x:v>
      </x:c>
      <x:c r="M1631" s="2" t="n">
        <x:v>1</x:v>
      </x:c>
      <x:c r="N1631" s="2"/>
      <x:c r="O1631" s="2"/>
    </x:row>
    <x:row r="1632" ht="21" customHeight="1">
      <x:c r="A1632" s="2" t="str">
        <x:v>NT001631</x:v>
      </x:c>
      <x:c r="B1632" s="2" t="str">
        <x:v>EV001633</x:v>
      </x:c>
      <x:c r="C1632" s="2" t="str">
        <x:v>T20261007-1-2</x:v>
      </x:c>
      <x:c r="D1632" s="2" t="str">
        <x:v>ST060</x:v>
      </x:c>
      <x:c r="E1632" s="2" t="str">
        <x:v>G060</x:v>
      </x:c>
      <x:c r="F1632" s="2" t="str">
        <x:v>guardian060@example.invalid</x:v>
      </x:c>
      <x:c r="G1632" s="2" t="str">
        <x:v>Email</x:v>
      </x:c>
      <x:c r="H1632" s="2" t="str">
        <x:v>Boarded</x:v>
      </x:c>
      <x:c r="I1632" s="8" t="n">
        <x:v>46302.24753472222</x:v>
      </x:c>
      <x:c r="J1632" s="8" t="n">
        <x:v>46302.24755787037</x:v>
      </x:c>
      <x:c r="K1632" s="8" t="n">
        <x:v>46302.24759259259</x:v>
      </x:c>
      <x:c r="L1632" s="2" t="str">
        <x:v>Sent</x:v>
      </x:c>
      <x:c r="M1632" s="2" t="n">
        <x:v>1</x:v>
      </x:c>
      <x:c r="N1632" s="2"/>
      <x:c r="O1632" s="2"/>
    </x:row>
    <x:row r="1633" ht="21" customHeight="1">
      <x:c r="A1633" s="2" t="str">
        <x:v>NT001632</x:v>
      </x:c>
      <x:c r="B1633" s="2" t="str">
        <x:v>EV001634</x:v>
      </x:c>
      <x:c r="C1633" s="2" t="str">
        <x:v>T20261007-1-2</x:v>
      </x:c>
      <x:c r="D1633" s="2" t="str">
        <x:v>ST060</x:v>
      </x:c>
      <x:c r="E1633" s="2" t="str">
        <x:v>G060</x:v>
      </x:c>
      <x:c r="F1633" s="2" t="str">
        <x:v>guardian060@example.invalid</x:v>
      </x:c>
      <x:c r="G1633" s="2" t="str">
        <x:v>Email</x:v>
      </x:c>
      <x:c r="H1633" s="2" t="str">
        <x:v>School receipt</x:v>
      </x:c>
      <x:c r="I1633" s="8" t="n">
        <x:v>46302.27704861111</x:v>
      </x:c>
      <x:c r="J1633" s="8" t="n">
        <x:v>46302.27707175926</x:v>
      </x:c>
      <x:c r="K1633" s="8" t="n">
        <x:v>46302.27710648148</x:v>
      </x:c>
      <x:c r="L1633" s="2" t="str">
        <x:v>Sent</x:v>
      </x:c>
      <x:c r="M1633" s="2" t="n">
        <x:v>1</x:v>
      </x:c>
      <x:c r="N1633" s="2"/>
      <x:c r="O1633" s="2"/>
    </x:row>
    <x:row r="1634" ht="21" customHeight="1">
      <x:c r="A1634" s="2" t="str">
        <x:v>NT001633</x:v>
      </x:c>
      <x:c r="B1634" s="2" t="str">
        <x:v>EV001635</x:v>
      </x:c>
      <x:c r="C1634" s="2" t="str">
        <x:v>T20261007-2-2</x:v>
      </x:c>
      <x:c r="D1634" s="2" t="str">
        <x:v>ST041</x:v>
      </x:c>
      <x:c r="E1634" s="2" t="str">
        <x:v>G041</x:v>
      </x:c>
      <x:c r="F1634" s="2" t="str">
        <x:v>guardian041@example.invalid</x:v>
      </x:c>
      <x:c r="G1634" s="2" t="str">
        <x:v>Email</x:v>
      </x:c>
      <x:c r="H1634" s="2" t="str">
        <x:v>Boarded</x:v>
      </x:c>
      <x:c r="I1634" s="8" t="n">
        <x:v>46302.4375</x:v>
      </x:c>
      <x:c r="J1634" s="8" t="n">
        <x:v>46302.437523148146</x:v>
      </x:c>
      <x:c r="K1634" s="8" t="n">
        <x:v>46302.43755787037</x:v>
      </x:c>
      <x:c r="L1634" s="2" t="str">
        <x:v>Sent</x:v>
      </x:c>
      <x:c r="M1634" s="2" t="n">
        <x:v>1</x:v>
      </x:c>
      <x:c r="N1634" s="2"/>
      <x:c r="O1634" s="2"/>
    </x:row>
    <x:row r="1635" ht="21" customHeight="1">
      <x:c r="A1635" s="2" t="str">
        <x:v>NT001634</x:v>
      </x:c>
      <x:c r="B1635" s="2" t="str">
        <x:v>EV001636</x:v>
      </x:c>
      <x:c r="C1635" s="2" t="str">
        <x:v>T20261007-2-2</x:v>
      </x:c>
      <x:c r="D1635" s="2" t="str">
        <x:v>ST041</x:v>
      </x:c>
      <x:c r="E1635" s="2" t="str">
        <x:v>G041</x:v>
      </x:c>
      <x:c r="F1635" s="2" t="str">
        <x:v>guardian041@example.invalid</x:v>
      </x:c>
      <x:c r="G1635" s="2" t="str">
        <x:v>Email</x:v>
      </x:c>
      <x:c r="H1635" s="2" t="str">
        <x:v>Authorized release</x:v>
      </x:c>
      <x:c r="I1635" s="8" t="n">
        <x:v>46302.44930555555</x:v>
      </x:c>
      <x:c r="J1635" s="8" t="n">
        <x:v>46302.4493287037</x:v>
      </x:c>
      <x:c r="K1635" s="8" t="n">
        <x:v>46302.44936342592</x:v>
      </x:c>
      <x:c r="L1635" s="2" t="str">
        <x:v>Sent</x:v>
      </x:c>
      <x:c r="M1635" s="2" t="n">
        <x:v>1</x:v>
      </x:c>
      <x:c r="N1635" s="2"/>
      <x:c r="O1635" s="2"/>
    </x:row>
    <x:row r="1636" ht="21" customHeight="1">
      <x:c r="A1636" s="2" t="str">
        <x:v>NT001635</x:v>
      </x:c>
      <x:c r="B1636" s="2" t="str">
        <x:v>EV001637</x:v>
      </x:c>
      <x:c r="C1636" s="2" t="str">
        <x:v>T20261007-2-2</x:v>
      </x:c>
      <x:c r="D1636" s="2" t="str">
        <x:v>ST042</x:v>
      </x:c>
      <x:c r="E1636" s="2" t="str">
        <x:v>G042</x:v>
      </x:c>
      <x:c r="F1636" s="2" t="str">
        <x:v>guardian042@example.invalid</x:v>
      </x:c>
      <x:c r="G1636" s="2" t="str">
        <x:v>Email</x:v>
      </x:c>
      <x:c r="H1636" s="2" t="str">
        <x:v>Boarded</x:v>
      </x:c>
      <x:c r="I1636" s="8" t="n">
        <x:v>46302.43753472222</x:v>
      </x:c>
      <x:c r="J1636" s="8" t="n">
        <x:v>46302.43755787037</x:v>
      </x:c>
      <x:c r="K1636" s="8" t="n">
        <x:v>46302.43759259259</x:v>
      </x:c>
      <x:c r="L1636" s="2" t="str">
        <x:v>Sent</x:v>
      </x:c>
      <x:c r="M1636" s="2" t="n">
        <x:v>1</x:v>
      </x:c>
      <x:c r="N1636" s="2"/>
      <x:c r="O1636" s="2"/>
    </x:row>
    <x:row r="1637" ht="21" customHeight="1">
      <x:c r="A1637" s="2" t="str">
        <x:v>NT001636</x:v>
      </x:c>
      <x:c r="B1637" s="2" t="str">
        <x:v>EV001638</x:v>
      </x:c>
      <x:c r="C1637" s="2" t="str">
        <x:v>T20261007-2-2</x:v>
      </x:c>
      <x:c r="D1637" s="2" t="str">
        <x:v>ST042</x:v>
      </x:c>
      <x:c r="E1637" s="2" t="str">
        <x:v>G042</x:v>
      </x:c>
      <x:c r="F1637" s="2" t="str">
        <x:v>guardian042@example.invalid</x:v>
      </x:c>
      <x:c r="G1637" s="2" t="str">
        <x:v>Email</x:v>
      </x:c>
      <x:c r="H1637" s="2" t="str">
        <x:v>Authorized release</x:v>
      </x:c>
      <x:c r="I1637" s="8" t="n">
        <x:v>46302.45350694445</x:v>
      </x:c>
      <x:c r="J1637" s="8" t="n">
        <x:v>46302.45353009259</x:v>
      </x:c>
      <x:c r="K1637" s="8" t="n">
        <x:v>46302.453564814816</x:v>
      </x:c>
      <x:c r="L1637" s="2" t="str">
        <x:v>Sent</x:v>
      </x:c>
      <x:c r="M1637" s="2" t="n">
        <x:v>1</x:v>
      </x:c>
      <x:c r="N1637" s="2"/>
      <x:c r="O1637" s="2"/>
    </x:row>
    <x:row r="1638" ht="21" customHeight="1">
      <x:c r="A1638" s="2" t="str">
        <x:v>NT001637</x:v>
      </x:c>
      <x:c r="B1638" s="2" t="str">
        <x:v>EV001639</x:v>
      </x:c>
      <x:c r="C1638" s="2" t="str">
        <x:v>T20261007-2-2</x:v>
      </x:c>
      <x:c r="D1638" s="2" t="str">
        <x:v>ST043</x:v>
      </x:c>
      <x:c r="E1638" s="2" t="str">
        <x:v>G043</x:v>
      </x:c>
      <x:c r="F1638" s="2" t="str">
        <x:v>guardian043@example.invalid</x:v>
      </x:c>
      <x:c r="G1638" s="2" t="str">
        <x:v>Email</x:v>
      </x:c>
      <x:c r="H1638" s="2" t="str">
        <x:v>Boarded</x:v>
      </x:c>
      <x:c r="I1638" s="8" t="n">
        <x:v>46302.437569444446</x:v>
      </x:c>
      <x:c r="J1638" s="8" t="n">
        <x:v>46302.43759259259</x:v>
      </x:c>
      <x:c r="K1638" s="8" t="n">
        <x:v>46302.437627314815</x:v>
      </x:c>
      <x:c r="L1638" s="2" t="str">
        <x:v>Sent</x:v>
      </x:c>
      <x:c r="M1638" s="2" t="n">
        <x:v>1</x:v>
      </x:c>
      <x:c r="N1638" s="2"/>
      <x:c r="O1638" s="2"/>
    </x:row>
    <x:row r="1639" ht="21" customHeight="1">
      <x:c r="A1639" s="2" t="str">
        <x:v>NT001638</x:v>
      </x:c>
      <x:c r="B1639" s="2" t="str">
        <x:v>EV001640</x:v>
      </x:c>
      <x:c r="C1639" s="2" t="str">
        <x:v>T20261007-2-2</x:v>
      </x:c>
      <x:c r="D1639" s="2" t="str">
        <x:v>ST043</x:v>
      </x:c>
      <x:c r="E1639" s="2" t="str">
        <x:v>G043</x:v>
      </x:c>
      <x:c r="F1639" s="2" t="str">
        <x:v>guardian043@example.invalid</x:v>
      </x:c>
      <x:c r="G1639" s="2" t="str">
        <x:v>Email</x:v>
      </x:c>
      <x:c r="H1639" s="2" t="str">
        <x:v>Authorized release</x:v>
      </x:c>
      <x:c r="I1639" s="8" t="n">
        <x:v>46302.457708333335</x:v>
      </x:c>
      <x:c r="J1639" s="8" t="n">
        <x:v>46302.45773148148</x:v>
      </x:c>
      <x:c r="K1639" s="8" t="n">
        <x:v>46302.457766203705</x:v>
      </x:c>
      <x:c r="L1639" s="2" t="str">
        <x:v>Sent</x:v>
      </x:c>
      <x:c r="M1639" s="2" t="n">
        <x:v>1</x:v>
      </x:c>
      <x:c r="N1639" s="2"/>
      <x:c r="O1639" s="2"/>
    </x:row>
    <x:row r="1640" ht="21" customHeight="1">
      <x:c r="A1640" s="2" t="str">
        <x:v>NT001639</x:v>
      </x:c>
      <x:c r="B1640" s="2" t="str">
        <x:v>EV001641</x:v>
      </x:c>
      <x:c r="C1640" s="2" t="str">
        <x:v>T20261007-2-2</x:v>
      </x:c>
      <x:c r="D1640" s="2" t="str">
        <x:v>ST044</x:v>
      </x:c>
      <x:c r="E1640" s="2" t="str">
        <x:v>G044</x:v>
      </x:c>
      <x:c r="F1640" s="2" t="str">
        <x:v>guardian044@example.invalid</x:v>
      </x:c>
      <x:c r="G1640" s="2" t="str">
        <x:v>Email</x:v>
      </x:c>
      <x:c r="H1640" s="2" t="str">
        <x:v>Boarded</x:v>
      </x:c>
      <x:c r="I1640" s="8" t="n">
        <x:v>46302.43760416667</x:v>
      </x:c>
      <x:c r="J1640" s="8" t="n">
        <x:v>46302.437627314815</x:v>
      </x:c>
      <x:c r="K1640" s="8" t="n">
        <x:v>46302.43766203704</x:v>
      </x:c>
      <x:c r="L1640" s="2" t="str">
        <x:v>Sent</x:v>
      </x:c>
      <x:c r="M1640" s="2" t="n">
        <x:v>1</x:v>
      </x:c>
      <x:c r="N1640" s="2"/>
      <x:c r="O1640" s="2"/>
    </x:row>
    <x:row r="1641" ht="21" customHeight="1">
      <x:c r="A1641" s="2" t="str">
        <x:v>NT001640</x:v>
      </x:c>
      <x:c r="B1641" s="2" t="str">
        <x:v>EV001642</x:v>
      </x:c>
      <x:c r="C1641" s="2" t="str">
        <x:v>T20261007-2-2</x:v>
      </x:c>
      <x:c r="D1641" s="2" t="str">
        <x:v>ST044</x:v>
      </x:c>
      <x:c r="E1641" s="2" t="str">
        <x:v>G044</x:v>
      </x:c>
      <x:c r="F1641" s="2" t="str">
        <x:v>guardian044@example.invalid</x:v>
      </x:c>
      <x:c r="G1641" s="2" t="str">
        <x:v>Email</x:v>
      </x:c>
      <x:c r="H1641" s="2" t="str">
        <x:v>Authorized release</x:v>
      </x:c>
      <x:c r="I1641" s="8" t="n">
        <x:v>46302.44940972222</x:v>
      </x:c>
      <x:c r="J1641" s="8" t="n">
        <x:v>46302.449432870366</x:v>
      </x:c>
      <x:c r="K1641" s="8" t="n">
        <x:v>46302.44946759259</x:v>
      </x:c>
      <x:c r="L1641" s="2" t="str">
        <x:v>Sent</x:v>
      </x:c>
      <x:c r="M1641" s="2" t="n">
        <x:v>1</x:v>
      </x:c>
      <x:c r="N1641" s="2"/>
      <x:c r="O1641" s="2"/>
    </x:row>
    <x:row r="1642" ht="21" customHeight="1">
      <x:c r="A1642" s="2" t="str">
        <x:v>NT001641</x:v>
      </x:c>
      <x:c r="B1642" s="2" t="str">
        <x:v>EV001643</x:v>
      </x:c>
      <x:c r="C1642" s="2" t="str">
        <x:v>T20261007-2-2</x:v>
      </x:c>
      <x:c r="D1642" s="2" t="str">
        <x:v>ST045</x:v>
      </x:c>
      <x:c r="E1642" s="2" t="str">
        <x:v>G045</x:v>
      </x:c>
      <x:c r="F1642" s="2" t="str">
        <x:v>guardian045@example.invalid</x:v>
      </x:c>
      <x:c r="G1642" s="2" t="str">
        <x:v>Email</x:v>
      </x:c>
      <x:c r="H1642" s="2" t="str">
        <x:v>Boarded</x:v>
      </x:c>
      <x:c r="I1642" s="8" t="n">
        <x:v>46302.43763888889</x:v>
      </x:c>
      <x:c r="J1642" s="8" t="n">
        <x:v>46302.43766203704</x:v>
      </x:c>
      <x:c r="K1642" s="8" t="n">
        <x:v>46302.43769675926</x:v>
      </x:c>
      <x:c r="L1642" s="2" t="str">
        <x:v>Sent</x:v>
      </x:c>
      <x:c r="M1642" s="2" t="n">
        <x:v>1</x:v>
      </x:c>
      <x:c r="N1642" s="2"/>
      <x:c r="O1642" s="2"/>
    </x:row>
    <x:row r="1643" ht="21" customHeight="1">
      <x:c r="A1643" s="2" t="str">
        <x:v>NT001642</x:v>
      </x:c>
      <x:c r="B1643" s="2" t="str">
        <x:v>EV001644</x:v>
      </x:c>
      <x:c r="C1643" s="2" t="str">
        <x:v>T20261007-2-2</x:v>
      </x:c>
      <x:c r="D1643" s="2" t="str">
        <x:v>ST045</x:v>
      </x:c>
      <x:c r="E1643" s="2" t="str">
        <x:v>G045</x:v>
      </x:c>
      <x:c r="F1643" s="2" t="str">
        <x:v>guardian045@example.invalid</x:v>
      </x:c>
      <x:c r="G1643" s="2" t="str">
        <x:v>Email</x:v>
      </x:c>
      <x:c r="H1643" s="2" t="str">
        <x:v>Authorized release</x:v>
      </x:c>
      <x:c r="I1643" s="8" t="n">
        <x:v>46302.453611111116</x:v>
      </x:c>
      <x:c r="J1643" s="8" t="n">
        <x:v>46302.45363425926</x:v>
      </x:c>
      <x:c r="K1643" s="8" t="n">
        <x:v>46302.453668981485</x:v>
      </x:c>
      <x:c r="L1643" s="2" t="str">
        <x:v>Sent</x:v>
      </x:c>
      <x:c r="M1643" s="2" t="n">
        <x:v>1</x:v>
      </x:c>
      <x:c r="N1643" s="2"/>
      <x:c r="O1643" s="2"/>
    </x:row>
    <x:row r="1644" ht="21" customHeight="1">
      <x:c r="A1644" s="2" t="str">
        <x:v>NT001643</x:v>
      </x:c>
      <x:c r="B1644" s="2" t="str">
        <x:v>EV001645</x:v>
      </x:c>
      <x:c r="C1644" s="2" t="str">
        <x:v>T20261007-2-2</x:v>
      </x:c>
      <x:c r="D1644" s="2" t="str">
        <x:v>ST046</x:v>
      </x:c>
      <x:c r="E1644" s="2" t="str">
        <x:v>G046</x:v>
      </x:c>
      <x:c r="F1644" s="2" t="str">
        <x:v>guardian046@example.invalid</x:v>
      </x:c>
      <x:c r="G1644" s="2" t="str">
        <x:v>Email</x:v>
      </x:c>
      <x:c r="H1644" s="2" t="str">
        <x:v>Boarded</x:v>
      </x:c>
      <x:c r="I1644" s="8" t="n">
        <x:v>46302.43767361111</x:v>
      </x:c>
      <x:c r="J1644" s="8" t="n">
        <x:v>46302.437696759254</x:v>
      </x:c>
      <x:c r="K1644" s="8" t="n">
        <x:v>46302.43773148148</x:v>
      </x:c>
      <x:c r="L1644" s="2" t="str">
        <x:v>Sent</x:v>
      </x:c>
      <x:c r="M1644" s="2" t="n">
        <x:v>1</x:v>
      </x:c>
      <x:c r="N1644" s="2"/>
      <x:c r="O1644" s="2"/>
    </x:row>
    <x:row r="1645" ht="21" customHeight="1">
      <x:c r="A1645" s="2" t="str">
        <x:v>NT001644</x:v>
      </x:c>
      <x:c r="B1645" s="2" t="str">
        <x:v>EV001646</x:v>
      </x:c>
      <x:c r="C1645" s="2" t="str">
        <x:v>T20261007-2-2</x:v>
      </x:c>
      <x:c r="D1645" s="2" t="str">
        <x:v>ST046</x:v>
      </x:c>
      <x:c r="E1645" s="2" t="str">
        <x:v>G046</x:v>
      </x:c>
      <x:c r="F1645" s="2" t="str">
        <x:v>guardian046@example.invalid</x:v>
      </x:c>
      <x:c r="G1645" s="2" t="str">
        <x:v>Email</x:v>
      </x:c>
      <x:c r="H1645" s="2" t="str">
        <x:v>Authorized release</x:v>
      </x:c>
      <x:c r="I1645" s="8" t="n">
        <x:v>46302.4578125</x:v>
      </x:c>
      <x:c r="J1645" s="8" t="n">
        <x:v>46302.45783564814</x:v>
      </x:c>
      <x:c r="K1645" s="8" t="n">
        <x:v>46302.45787037037</x:v>
      </x:c>
      <x:c r="L1645" s="2" t="str">
        <x:v>Sent</x:v>
      </x:c>
      <x:c r="M1645" s="2" t="n">
        <x:v>1</x:v>
      </x:c>
      <x:c r="N1645" s="2"/>
      <x:c r="O1645" s="2"/>
    </x:row>
    <x:row r="1646" ht="21" customHeight="1">
      <x:c r="A1646" s="2" t="str">
        <x:v>NT001645</x:v>
      </x:c>
      <x:c r="B1646" s="2" t="str">
        <x:v>EV001647</x:v>
      </x:c>
      <x:c r="C1646" s="2" t="str">
        <x:v>T20261007-2-2</x:v>
      </x:c>
      <x:c r="D1646" s="2" t="str">
        <x:v>ST047</x:v>
      </x:c>
      <x:c r="E1646" s="2" t="str">
        <x:v>G047</x:v>
      </x:c>
      <x:c r="F1646" s="2" t="str">
        <x:v>guardian047@example.invalid</x:v>
      </x:c>
      <x:c r="G1646" s="2" t="str">
        <x:v>Email</x:v>
      </x:c>
      <x:c r="H1646" s="2" t="str">
        <x:v>Boarded</x:v>
      </x:c>
      <x:c r="I1646" s="8" t="n">
        <x:v>46302.43770833333</x:v>
      </x:c>
      <x:c r="J1646" s="8" t="n">
        <x:v>46302.43773148148</x:v>
      </x:c>
      <x:c r="K1646" s="8" t="n">
        <x:v>46302.4377662037</x:v>
      </x:c>
      <x:c r="L1646" s="2" t="str">
        <x:v>Sent</x:v>
      </x:c>
      <x:c r="M1646" s="2" t="n">
        <x:v>1</x:v>
      </x:c>
      <x:c r="N1646" s="2"/>
      <x:c r="O1646" s="2"/>
    </x:row>
    <x:row r="1647" ht="21" customHeight="1">
      <x:c r="A1647" s="2" t="str">
        <x:v>NT001646</x:v>
      </x:c>
      <x:c r="B1647" s="2" t="str">
        <x:v>EV001648</x:v>
      </x:c>
      <x:c r="C1647" s="2" t="str">
        <x:v>T20261007-2-2</x:v>
      </x:c>
      <x:c r="D1647" s="2" t="str">
        <x:v>ST047</x:v>
      </x:c>
      <x:c r="E1647" s="2" t="str">
        <x:v>G047</x:v>
      </x:c>
      <x:c r="F1647" s="2" t="str">
        <x:v>guardian047@example.invalid</x:v>
      </x:c>
      <x:c r="G1647" s="2" t="str">
        <x:v>Email</x:v>
      </x:c>
      <x:c r="H1647" s="2" t="str">
        <x:v>Authorized release</x:v>
      </x:c>
      <x:c r="I1647" s="8" t="n">
        <x:v>46302.44951388888</x:v>
      </x:c>
      <x:c r="J1647" s="8" t="n">
        <x:v>46302.44953703703</x:v>
      </x:c>
      <x:c r="K1647" s="8" t="n">
        <x:v>46302.44957175925</x:v>
      </x:c>
      <x:c r="L1647" s="2" t="str">
        <x:v>Sent</x:v>
      </x:c>
      <x:c r="M1647" s="2" t="n">
        <x:v>1</x:v>
      </x:c>
      <x:c r="N1647" s="2"/>
      <x:c r="O1647" s="2"/>
    </x:row>
    <x:row r="1648" ht="21" customHeight="1">
      <x:c r="A1648" s="2" t="str">
        <x:v>NT001647</x:v>
      </x:c>
      <x:c r="B1648" s="2" t="str">
        <x:v>EV001649</x:v>
      </x:c>
      <x:c r="C1648" s="2" t="str">
        <x:v>T20261007-2-2</x:v>
      </x:c>
      <x:c r="D1648" s="2" t="str">
        <x:v>ST048</x:v>
      </x:c>
      <x:c r="E1648" s="2" t="str">
        <x:v>G048</x:v>
      </x:c>
      <x:c r="F1648" s="2" t="str">
        <x:v>guardian048@example.invalid</x:v>
      </x:c>
      <x:c r="G1648" s="2" t="str">
        <x:v>Email</x:v>
      </x:c>
      <x:c r="H1648" s="2" t="str">
        <x:v>Boarded</x:v>
      </x:c>
      <x:c r="I1648" s="8" t="n">
        <x:v>46302.437743055554</x:v>
      </x:c>
      <x:c r="J1648" s="8" t="n">
        <x:v>46302.4377662037</x:v>
      </x:c>
      <x:c r="K1648" s="8" t="n">
        <x:v>46302.43780092592</x:v>
      </x:c>
      <x:c r="L1648" s="2" t="str">
        <x:v>Sent</x:v>
      </x:c>
      <x:c r="M1648" s="2" t="n">
        <x:v>1</x:v>
      </x:c>
      <x:c r="N1648" s="2"/>
      <x:c r="O1648" s="2"/>
    </x:row>
    <x:row r="1649" ht="21" customHeight="1">
      <x:c r="A1649" s="2" t="str">
        <x:v>NT001648</x:v>
      </x:c>
      <x:c r="B1649" s="2" t="str">
        <x:v>EV001650</x:v>
      </x:c>
      <x:c r="C1649" s="2" t="str">
        <x:v>T20261007-2-2</x:v>
      </x:c>
      <x:c r="D1649" s="2" t="str">
        <x:v>ST048</x:v>
      </x:c>
      <x:c r="E1649" s="2" t="str">
        <x:v>G048</x:v>
      </x:c>
      <x:c r="F1649" s="2" t="str">
        <x:v>guardian048@example.invalid</x:v>
      </x:c>
      <x:c r="G1649" s="2" t="str">
        <x:v>Email</x:v>
      </x:c>
      <x:c r="H1649" s="2" t="str">
        <x:v>Authorized release</x:v>
      </x:c>
      <x:c r="I1649" s="8" t="n">
        <x:v>46302.45371527778</x:v>
      </x:c>
      <x:c r="J1649" s="8" t="n">
        <x:v>46302.453738425924</x:v>
      </x:c>
      <x:c r="K1649" s="8" t="n">
        <x:v>46302.45377314815</x:v>
      </x:c>
      <x:c r="L1649" s="2" t="str">
        <x:v>Sent</x:v>
      </x:c>
      <x:c r="M1649" s="2" t="n">
        <x:v>1</x:v>
      </x:c>
      <x:c r="N1649" s="2"/>
      <x:c r="O1649" s="2"/>
    </x:row>
    <x:row r="1650" ht="21" customHeight="1">
      <x:c r="A1650" s="2" t="str">
        <x:v>NT001649</x:v>
      </x:c>
      <x:c r="B1650" s="2" t="str">
        <x:v>EV001651</x:v>
      </x:c>
      <x:c r="C1650" s="2" t="str">
        <x:v>T20261007-2-2</x:v>
      </x:c>
      <x:c r="D1650" s="2" t="str">
        <x:v>ST049</x:v>
      </x:c>
      <x:c r="E1650" s="2" t="str">
        <x:v>G049</x:v>
      </x:c>
      <x:c r="F1650" s="2" t="str">
        <x:v>guardian049@example.invalid</x:v>
      </x:c>
      <x:c r="G1650" s="2" t="str">
        <x:v>Email</x:v>
      </x:c>
      <x:c r="H1650" s="2" t="str">
        <x:v>Boarded</x:v>
      </x:c>
      <x:c r="I1650" s="8" t="n">
        <x:v>46302.43777777778</x:v>
      </x:c>
      <x:c r="J1650" s="8" t="n">
        <x:v>46302.43780092592</x:v>
      </x:c>
      <x:c r="K1650" s="8" t="n">
        <x:v>46302.43783564815</x:v>
      </x:c>
      <x:c r="L1650" s="2" t="str">
        <x:v>Sent</x:v>
      </x:c>
      <x:c r="M1650" s="2" t="n">
        <x:v>1</x:v>
      </x:c>
      <x:c r="N1650" s="2"/>
      <x:c r="O1650" s="2"/>
    </x:row>
    <x:row r="1651" ht="21" customHeight="1">
      <x:c r="A1651" s="2" t="str">
        <x:v>NT001650</x:v>
      </x:c>
      <x:c r="B1651" s="2" t="str">
        <x:v>EV001652</x:v>
      </x:c>
      <x:c r="C1651" s="2" t="str">
        <x:v>T20261007-2-2</x:v>
      </x:c>
      <x:c r="D1651" s="2" t="str">
        <x:v>ST049</x:v>
      </x:c>
      <x:c r="E1651" s="2" t="str">
        <x:v>G049</x:v>
      </x:c>
      <x:c r="F1651" s="2" t="str">
        <x:v>guardian049@example.invalid</x:v>
      </x:c>
      <x:c r="G1651" s="2" t="str">
        <x:v>Email</x:v>
      </x:c>
      <x:c r="H1651" s="2" t="str">
        <x:v>Authorized release</x:v>
      </x:c>
      <x:c r="I1651" s="8" t="n">
        <x:v>46302.457916666666</x:v>
      </x:c>
      <x:c r="J1651" s="8" t="n">
        <x:v>46302.45793981481</x:v>
      </x:c>
      <x:c r="K1651" s="8" t="n">
        <x:v>46302.457974537036</x:v>
      </x:c>
      <x:c r="L1651" s="2" t="str">
        <x:v>Sent</x:v>
      </x:c>
      <x:c r="M1651" s="2" t="n">
        <x:v>1</x:v>
      </x:c>
      <x:c r="N1651" s="2"/>
      <x:c r="O1651" s="2"/>
    </x:row>
    <x:row r="1652" ht="21" customHeight="1">
      <x:c r="A1652" s="2" t="str">
        <x:v>NT001651</x:v>
      </x:c>
      <x:c r="B1652" s="2" t="str">
        <x:v>EV001653</x:v>
      </x:c>
      <x:c r="C1652" s="2" t="str">
        <x:v>T20261007-2-2</x:v>
      </x:c>
      <x:c r="D1652" s="2" t="str">
        <x:v>ST050</x:v>
      </x:c>
      <x:c r="E1652" s="2" t="str">
        <x:v>G050</x:v>
      </x:c>
      <x:c r="F1652" s="2" t="str">
        <x:v>guardian050@example.invalid</x:v>
      </x:c>
      <x:c r="G1652" s="2" t="str">
        <x:v>Email</x:v>
      </x:c>
      <x:c r="H1652" s="2" t="str">
        <x:v>Boarded</x:v>
      </x:c>
      <x:c r="I1652" s="8" t="n">
        <x:v>46302.4378125</x:v>
      </x:c>
      <x:c r="J1652" s="8" t="n">
        <x:v>46302.43783564815</x:v>
      </x:c>
      <x:c r="K1652" s="8" t="n">
        <x:v>46302.43787037037</x:v>
      </x:c>
      <x:c r="L1652" s="2" t="str">
        <x:v>Sent</x:v>
      </x:c>
      <x:c r="M1652" s="2" t="n">
        <x:v>1</x:v>
      </x:c>
      <x:c r="N1652" s="2"/>
      <x:c r="O1652" s="2"/>
    </x:row>
    <x:row r="1653" ht="21" customHeight="1">
      <x:c r="A1653" s="2" t="str">
        <x:v>NT001652</x:v>
      </x:c>
      <x:c r="B1653" s="2" t="str">
        <x:v>EV001654</x:v>
      </x:c>
      <x:c r="C1653" s="2" t="str">
        <x:v>T20261007-2-2</x:v>
      </x:c>
      <x:c r="D1653" s="2" t="str">
        <x:v>ST050</x:v>
      </x:c>
      <x:c r="E1653" s="2" t="str">
        <x:v>G050</x:v>
      </x:c>
      <x:c r="F1653" s="2" t="str">
        <x:v>guardian050@example.invalid</x:v>
      </x:c>
      <x:c r="G1653" s="2" t="str">
        <x:v>Email</x:v>
      </x:c>
      <x:c r="H1653" s="2" t="str">
        <x:v>Authorized release</x:v>
      </x:c>
      <x:c r="I1653" s="8" t="n">
        <x:v>46302.44961805555</x:v>
      </x:c>
      <x:c r="J1653" s="8" t="n">
        <x:v>46302.4496412037</x:v>
      </x:c>
      <x:c r="K1653" s="8" t="n">
        <x:v>46302.44967592592</x:v>
      </x:c>
      <x:c r="L1653" s="2" t="str">
        <x:v>Sent</x:v>
      </x:c>
      <x:c r="M1653" s="2" t="n">
        <x:v>1</x:v>
      </x:c>
      <x:c r="N1653" s="2"/>
      <x:c r="O1653" s="2"/>
    </x:row>
    <x:row r="1654" ht="21" customHeight="1">
      <x:c r="A1654" s="2" t="str">
        <x:v>NT001653</x:v>
      </x:c>
      <x:c r="B1654" s="2" t="str">
        <x:v>EV001655</x:v>
      </x:c>
      <x:c r="C1654" s="2" t="str">
        <x:v>T20261007-2-2</x:v>
      </x:c>
      <x:c r="D1654" s="2" t="str">
        <x:v>ST061</x:v>
      </x:c>
      <x:c r="E1654" s="2" t="str">
        <x:v>G061</x:v>
      </x:c>
      <x:c r="F1654" s="2" t="str">
        <x:v>guardian061@example.invalid</x:v>
      </x:c>
      <x:c r="G1654" s="2" t="str">
        <x:v>Email</x:v>
      </x:c>
      <x:c r="H1654" s="2" t="str">
        <x:v>Boarded</x:v>
      </x:c>
      <x:c r="I1654" s="8" t="n">
        <x:v>46302.48125</x:v>
      </x:c>
      <x:c r="J1654" s="8" t="n">
        <x:v>46302.48127314814</x:v>
      </x:c>
      <x:c r="K1654" s="8" t="n">
        <x:v>46302.48130787037</x:v>
      </x:c>
      <x:c r="L1654" s="2" t="str">
        <x:v>Sent</x:v>
      </x:c>
      <x:c r="M1654" s="2" t="n">
        <x:v>1</x:v>
      </x:c>
      <x:c r="N1654" s="2"/>
      <x:c r="O1654" s="2"/>
    </x:row>
    <x:row r="1655" ht="21" customHeight="1">
      <x:c r="A1655" s="2" t="str">
        <x:v>NT001654</x:v>
      </x:c>
      <x:c r="B1655" s="2" t="str">
        <x:v>EV001656</x:v>
      </x:c>
      <x:c r="C1655" s="2" t="str">
        <x:v>T20261007-2-2</x:v>
      </x:c>
      <x:c r="D1655" s="2" t="str">
        <x:v>ST061</x:v>
      </x:c>
      <x:c r="E1655" s="2" t="str">
        <x:v>G061</x:v>
      </x:c>
      <x:c r="F1655" s="2" t="str">
        <x:v>guardian061@example.invalid</x:v>
      </x:c>
      <x:c r="G1655" s="2" t="str">
        <x:v>Email</x:v>
      </x:c>
      <x:c r="H1655" s="2" t="str">
        <x:v>School receipt</x:v>
      </x:c>
      <x:c r="I1655" s="8" t="n">
        <x:v>46302.506250000006</x:v>
      </x:c>
      <x:c r="J1655" s="8" t="n">
        <x:v>46302.50627314815</x:v>
      </x:c>
      <x:c r="K1655" s="8" t="n">
        <x:v>46302.506307870375</x:v>
      </x:c>
      <x:c r="L1655" s="2" t="str">
        <x:v>Sent</x:v>
      </x:c>
      <x:c r="M1655" s="2" t="n">
        <x:v>1</x:v>
      </x:c>
      <x:c r="N1655" s="2"/>
      <x:c r="O1655" s="2"/>
    </x:row>
    <x:row r="1656" ht="21" customHeight="1">
      <x:c r="A1656" s="2" t="str">
        <x:v>NT001655</x:v>
      </x:c>
      <x:c r="B1656" s="2" t="str">
        <x:v>EV001657</x:v>
      </x:c>
      <x:c r="C1656" s="2" t="str">
        <x:v>T20261007-2-2</x:v>
      </x:c>
      <x:c r="D1656" s="2" t="str">
        <x:v>ST062</x:v>
      </x:c>
      <x:c r="E1656" s="2" t="str">
        <x:v>G062</x:v>
      </x:c>
      <x:c r="F1656" s="2" t="str">
        <x:v>guardian062@example.invalid</x:v>
      </x:c>
      <x:c r="G1656" s="2" t="str">
        <x:v>Email</x:v>
      </x:c>
      <x:c r="H1656" s="2" t="str">
        <x:v>Boarded</x:v>
      </x:c>
      <x:c r="I1656" s="8" t="n">
        <x:v>46302.4715625</x:v>
      </x:c>
      <x:c r="J1656" s="8" t="n">
        <x:v>46302.47158564815</x:v>
      </x:c>
      <x:c r="K1656" s="8" t="n">
        <x:v>46302.47162037037</x:v>
      </x:c>
      <x:c r="L1656" s="2" t="str">
        <x:v>Sent</x:v>
      </x:c>
      <x:c r="M1656" s="2" t="n">
        <x:v>1</x:v>
      </x:c>
      <x:c r="N1656" s="2"/>
      <x:c r="O1656" s="2"/>
    </x:row>
    <x:row r="1657" ht="21" customHeight="1">
      <x:c r="A1657" s="2" t="str">
        <x:v>NT001656</x:v>
      </x:c>
      <x:c r="B1657" s="2" t="str">
        <x:v>EV001658</x:v>
      </x:c>
      <x:c r="C1657" s="2" t="str">
        <x:v>T20261007-2-2</x:v>
      </x:c>
      <x:c r="D1657" s="2" t="str">
        <x:v>ST062</x:v>
      </x:c>
      <x:c r="E1657" s="2" t="str">
        <x:v>G062</x:v>
      </x:c>
      <x:c r="F1657" s="2" t="str">
        <x:v>guardian062@example.invalid</x:v>
      </x:c>
      <x:c r="G1657" s="2" t="str">
        <x:v>Email</x:v>
      </x:c>
      <x:c r="H1657" s="2" t="str">
        <x:v>School receipt</x:v>
      </x:c>
      <x:c r="I1657" s="8" t="n">
        <x:v>46302.50628472223</x:v>
      </x:c>
      <x:c r="J1657" s="8" t="n">
        <x:v>46302.506307870375</x:v>
      </x:c>
      <x:c r="K1657" s="8" t="n">
        <x:v>46302.5063425926</x:v>
      </x:c>
      <x:c r="L1657" s="2" t="str">
        <x:v>Sent</x:v>
      </x:c>
      <x:c r="M1657" s="2" t="n">
        <x:v>1</x:v>
      </x:c>
      <x:c r="N1657" s="2"/>
      <x:c r="O1657" s="2"/>
    </x:row>
    <x:row r="1658" ht="21" customHeight="1">
      <x:c r="A1658" s="2" t="str">
        <x:v>NT001657</x:v>
      </x:c>
      <x:c r="B1658" s="2" t="str">
        <x:v>EV001659</x:v>
      </x:c>
      <x:c r="C1658" s="2" t="str">
        <x:v>T20261007-2-2</x:v>
      </x:c>
      <x:c r="D1658" s="2" t="str">
        <x:v>ST063</x:v>
      </x:c>
      <x:c r="E1658" s="2" t="str">
        <x:v>G063</x:v>
      </x:c>
      <x:c r="F1658" s="2" t="str">
        <x:v>guardian063@example.invalid</x:v>
      </x:c>
      <x:c r="G1658" s="2" t="str">
        <x:v>Email</x:v>
      </x:c>
      <x:c r="H1658" s="2" t="str">
        <x:v>Boarded</x:v>
      </x:c>
      <x:c r="I1658" s="8" t="n">
        <x:v>46302.47645833333</x:v>
      </x:c>
      <x:c r="J1658" s="8" t="n">
        <x:v>46302.47648148148</x:v>
      </x:c>
      <x:c r="K1658" s="8" t="n">
        <x:v>46302.4765162037</x:v>
      </x:c>
      <x:c r="L1658" s="2" t="str">
        <x:v>Sent</x:v>
      </x:c>
      <x:c r="M1658" s="2" t="n">
        <x:v>1</x:v>
      </x:c>
      <x:c r="N1658" s="2"/>
      <x:c r="O1658" s="2"/>
    </x:row>
    <x:row r="1659" ht="21" customHeight="1">
      <x:c r="A1659" s="2" t="str">
        <x:v>NT001658</x:v>
      </x:c>
      <x:c r="B1659" s="2" t="str">
        <x:v>EV001660</x:v>
      </x:c>
      <x:c r="C1659" s="2" t="str">
        <x:v>T20261007-2-2</x:v>
      </x:c>
      <x:c r="D1659" s="2" t="str">
        <x:v>ST063</x:v>
      </x:c>
      <x:c r="E1659" s="2" t="str">
        <x:v>G063</x:v>
      </x:c>
      <x:c r="F1659" s="2" t="str">
        <x:v>guardian063@example.invalid</x:v>
      </x:c>
      <x:c r="G1659" s="2" t="str">
        <x:v>Email</x:v>
      </x:c>
      <x:c r="H1659" s="2" t="str">
        <x:v>School receipt</x:v>
      </x:c>
      <x:c r="I1659" s="8" t="n">
        <x:v>46302.506319444445</x:v>
      </x:c>
      <x:c r="J1659" s="8" t="n">
        <x:v>46302.50634259259</x:v>
      </x:c>
      <x:c r="K1659" s="8" t="n">
        <x:v>46302.506377314814</x:v>
      </x:c>
      <x:c r="L1659" s="2" t="str">
        <x:v>Sent</x:v>
      </x:c>
      <x:c r="M1659" s="2" t="n">
        <x:v>1</x:v>
      </x:c>
      <x:c r="N1659" s="2"/>
      <x:c r="O1659" s="2"/>
    </x:row>
    <x:row r="1660" ht="21" customHeight="1">
      <x:c r="A1660" s="2" t="str">
        <x:v>NT001659</x:v>
      </x:c>
      <x:c r="B1660" s="2" t="str">
        <x:v>EV001661</x:v>
      </x:c>
      <x:c r="C1660" s="2" t="str">
        <x:v>T20261007-2-2</x:v>
      </x:c>
      <x:c r="D1660" s="2" t="str">
        <x:v>ST064</x:v>
      </x:c>
      <x:c r="E1660" s="2" t="str">
        <x:v>G064</x:v>
      </x:c>
      <x:c r="F1660" s="2" t="str">
        <x:v>guardian064@example.invalid</x:v>
      </x:c>
      <x:c r="G1660" s="2" t="str">
        <x:v>Email</x:v>
      </x:c>
      <x:c r="H1660" s="2" t="str">
        <x:v>Boarded</x:v>
      </x:c>
      <x:c r="I1660" s="8" t="n">
        <x:v>46302.481354166666</x:v>
      </x:c>
      <x:c r="J1660" s="8" t="n">
        <x:v>46302.48137731481</x:v>
      </x:c>
      <x:c r="K1660" s="8" t="n">
        <x:v>46302.481412037036</x:v>
      </x:c>
      <x:c r="L1660" s="2" t="str">
        <x:v>Sent</x:v>
      </x:c>
      <x:c r="M1660" s="2" t="n">
        <x:v>1</x:v>
      </x:c>
      <x:c r="N1660" s="2"/>
      <x:c r="O1660" s="2"/>
    </x:row>
    <x:row r="1661" ht="21" customHeight="1">
      <x:c r="A1661" s="2" t="str">
        <x:v>NT001660</x:v>
      </x:c>
      <x:c r="B1661" s="2" t="str">
        <x:v>EV001662</x:v>
      </x:c>
      <x:c r="C1661" s="2" t="str">
        <x:v>T20261007-2-2</x:v>
      </x:c>
      <x:c r="D1661" s="2" t="str">
        <x:v>ST064</x:v>
      </x:c>
      <x:c r="E1661" s="2" t="str">
        <x:v>G064</x:v>
      </x:c>
      <x:c r="F1661" s="2" t="str">
        <x:v>guardian064@example.invalid</x:v>
      </x:c>
      <x:c r="G1661" s="2" t="str">
        <x:v>Email</x:v>
      </x:c>
      <x:c r="H1661" s="2" t="str">
        <x:v>School receipt</x:v>
      </x:c>
      <x:c r="I1661" s="8" t="n">
        <x:v>46302.50635416667</x:v>
      </x:c>
      <x:c r="J1661" s="8" t="n">
        <x:v>46302.506377314814</x:v>
      </x:c>
      <x:c r="K1661" s="8" t="n">
        <x:v>46302.50641203704</x:v>
      </x:c>
      <x:c r="L1661" s="2" t="str">
        <x:v>Sent</x:v>
      </x:c>
      <x:c r="M1661" s="2" t="n">
        <x:v>1</x:v>
      </x:c>
      <x:c r="N1661" s="2"/>
      <x:c r="O1661" s="2"/>
    </x:row>
    <x:row r="1662" ht="21" customHeight="1">
      <x:c r="A1662" s="2" t="str">
        <x:v>NT001661</x:v>
      </x:c>
      <x:c r="B1662" s="2" t="str">
        <x:v>EV001663</x:v>
      </x:c>
      <x:c r="C1662" s="2" t="str">
        <x:v>T20261007-2-2</x:v>
      </x:c>
      <x:c r="D1662" s="2" t="str">
        <x:v>ST065</x:v>
      </x:c>
      <x:c r="E1662" s="2" t="str">
        <x:v>G065</x:v>
      </x:c>
      <x:c r="F1662" s="2" t="str">
        <x:v>guardian065@example.invalid</x:v>
      </x:c>
      <x:c r="G1662" s="2" t="str">
        <x:v>Email</x:v>
      </x:c>
      <x:c r="H1662" s="2" t="str">
        <x:v>Boarded</x:v>
      </x:c>
      <x:c r="I1662" s="8" t="n">
        <x:v>46302.47166666667</x:v>
      </x:c>
      <x:c r="J1662" s="8" t="n">
        <x:v>46302.47168981482</x:v>
      </x:c>
      <x:c r="K1662" s="8" t="n">
        <x:v>46302.47172453704</x:v>
      </x:c>
      <x:c r="L1662" s="2" t="str">
        <x:v>Sent</x:v>
      </x:c>
      <x:c r="M1662" s="2" t="n">
        <x:v>1</x:v>
      </x:c>
      <x:c r="N1662" s="2"/>
      <x:c r="O1662" s="2"/>
    </x:row>
    <x:row r="1663" ht="21" customHeight="1">
      <x:c r="A1663" s="2" t="str">
        <x:v>NT001662</x:v>
      </x:c>
      <x:c r="B1663" s="2" t="str">
        <x:v>EV001664</x:v>
      </x:c>
      <x:c r="C1663" s="2" t="str">
        <x:v>T20261007-2-2</x:v>
      </x:c>
      <x:c r="D1663" s="2" t="str">
        <x:v>ST065</x:v>
      </x:c>
      <x:c r="E1663" s="2" t="str">
        <x:v>G065</x:v>
      </x:c>
      <x:c r="F1663" s="2" t="str">
        <x:v>guardian065@example.invalid</x:v>
      </x:c>
      <x:c r="G1663" s="2" t="str">
        <x:v>Email</x:v>
      </x:c>
      <x:c r="H1663" s="2" t="str">
        <x:v>School receipt</x:v>
      </x:c>
      <x:c r="I1663" s="8" t="n">
        <x:v>46302.50638888889</x:v>
      </x:c>
      <x:c r="J1663" s="8" t="n">
        <x:v>46302.50641203704</x:v>
      </x:c>
      <x:c r="K1663" s="8" t="n">
        <x:v>46302.50644675926</x:v>
      </x:c>
      <x:c r="L1663" s="2" t="str">
        <x:v>Sent</x:v>
      </x:c>
      <x:c r="M1663" s="2" t="n">
        <x:v>1</x:v>
      </x:c>
      <x:c r="N1663" s="2"/>
      <x:c r="O1663" s="2"/>
    </x:row>
    <x:row r="1664" ht="21" customHeight="1">
      <x:c r="A1664" s="2" t="str">
        <x:v>NT001663</x:v>
      </x:c>
      <x:c r="B1664" s="2" t="str">
        <x:v>EV001665</x:v>
      </x:c>
      <x:c r="C1664" s="2" t="str">
        <x:v>T20261007-2-2</x:v>
      </x:c>
      <x:c r="D1664" s="2" t="str">
        <x:v>ST066</x:v>
      </x:c>
      <x:c r="E1664" s="2" t="str">
        <x:v>G066</x:v>
      </x:c>
      <x:c r="F1664" s="2" t="str">
        <x:v>guardian066@example.invalid</x:v>
      </x:c>
      <x:c r="G1664" s="2" t="str">
        <x:v>Email</x:v>
      </x:c>
      <x:c r="H1664" s="2" t="str">
        <x:v>Boarded</x:v>
      </x:c>
      <x:c r="I1664" s="8" t="n">
        <x:v>46302.47656249999</x:v>
      </x:c>
      <x:c r="J1664" s="8" t="n">
        <x:v>46302.47658564814</x:v>
      </x:c>
      <x:c r="K1664" s="8" t="n">
        <x:v>46302.47662037036</x:v>
      </x:c>
      <x:c r="L1664" s="2" t="str">
        <x:v>Sent</x:v>
      </x:c>
      <x:c r="M1664" s="2" t="n">
        <x:v>1</x:v>
      </x:c>
      <x:c r="N1664" s="2"/>
      <x:c r="O1664" s="2"/>
    </x:row>
    <x:row r="1665" ht="21" customHeight="1">
      <x:c r="A1665" s="2" t="str">
        <x:v>NT001664</x:v>
      </x:c>
      <x:c r="B1665" s="2" t="str">
        <x:v>EV001666</x:v>
      </x:c>
      <x:c r="C1665" s="2" t="str">
        <x:v>T20261007-2-2</x:v>
      </x:c>
      <x:c r="D1665" s="2" t="str">
        <x:v>ST066</x:v>
      </x:c>
      <x:c r="E1665" s="2" t="str">
        <x:v>G066</x:v>
      </x:c>
      <x:c r="F1665" s="2" t="str">
        <x:v>guardian066@example.invalid</x:v>
      </x:c>
      <x:c r="G1665" s="2" t="str">
        <x:v>Email</x:v>
      </x:c>
      <x:c r="H1665" s="2" t="str">
        <x:v>School receipt</x:v>
      </x:c>
      <x:c r="I1665" s="8" t="n">
        <x:v>46302.506423611114</x:v>
      </x:c>
      <x:c r="J1665" s="8" t="n">
        <x:v>46302.50644675926</x:v>
      </x:c>
      <x:c r="K1665" s="8" t="n">
        <x:v>46302.50648148148</x:v>
      </x:c>
      <x:c r="L1665" s="2" t="str">
        <x:v>Sent</x:v>
      </x:c>
      <x:c r="M1665" s="2" t="n">
        <x:v>1</x:v>
      </x:c>
      <x:c r="N1665" s="2"/>
      <x:c r="O1665" s="2"/>
    </x:row>
    <x:row r="1666" ht="21" customHeight="1">
      <x:c r="A1666" s="2" t="str">
        <x:v>NT001665</x:v>
      </x:c>
      <x:c r="B1666" s="2" t="str">
        <x:v>EV001667</x:v>
      </x:c>
      <x:c r="C1666" s="2" t="str">
        <x:v>T20261007-2-2</x:v>
      </x:c>
      <x:c r="D1666" s="2" t="str">
        <x:v>ST067</x:v>
      </x:c>
      <x:c r="E1666" s="2" t="str">
        <x:v>G067</x:v>
      </x:c>
      <x:c r="F1666" s="2" t="str">
        <x:v>guardian067@example.invalid</x:v>
      </x:c>
      <x:c r="G1666" s="2" t="str">
        <x:v>Email</x:v>
      </x:c>
      <x:c r="H1666" s="2" t="str">
        <x:v>Boarded</x:v>
      </x:c>
      <x:c r="I1666" s="8" t="n">
        <x:v>46302.48145833333</x:v>
      </x:c>
      <x:c r="J1666" s="8" t="n">
        <x:v>46302.481481481474</x:v>
      </x:c>
      <x:c r="K1666" s="8" t="n">
        <x:v>46302.4815162037</x:v>
      </x:c>
      <x:c r="L1666" s="2" t="str">
        <x:v>Sent</x:v>
      </x:c>
      <x:c r="M1666" s="2" t="n">
        <x:v>1</x:v>
      </x:c>
      <x:c r="N1666" s="2"/>
      <x:c r="O1666" s="2"/>
    </x:row>
    <x:row r="1667" ht="21" customHeight="1">
      <x:c r="A1667" s="2" t="str">
        <x:v>NT001666</x:v>
      </x:c>
      <x:c r="B1667" s="2" t="str">
        <x:v>EV001668</x:v>
      </x:c>
      <x:c r="C1667" s="2" t="str">
        <x:v>T20261007-2-2</x:v>
      </x:c>
      <x:c r="D1667" s="2" t="str">
        <x:v>ST067</x:v>
      </x:c>
      <x:c r="E1667" s="2" t="str">
        <x:v>G067</x:v>
      </x:c>
      <x:c r="F1667" s="2" t="str">
        <x:v>guardian067@example.invalid</x:v>
      </x:c>
      <x:c r="G1667" s="2" t="str">
        <x:v>Email</x:v>
      </x:c>
      <x:c r="H1667" s="2" t="str">
        <x:v>School receipt</x:v>
      </x:c>
      <x:c r="I1667" s="8" t="n">
        <x:v>46302.50645833334</x:v>
      </x:c>
      <x:c r="J1667" s="8" t="n">
        <x:v>46302.50648148148</x:v>
      </x:c>
      <x:c r="K1667" s="8" t="n">
        <x:v>46302.506516203706</x:v>
      </x:c>
      <x:c r="L1667" s="2" t="str">
        <x:v>Sent</x:v>
      </x:c>
      <x:c r="M1667" s="2" t="n">
        <x:v>1</x:v>
      </x:c>
      <x:c r="N1667" s="2"/>
      <x:c r="O1667" s="2"/>
    </x:row>
    <x:row r="1668" ht="21" customHeight="1">
      <x:c r="A1668" s="2" t="str">
        <x:v>NT001667</x:v>
      </x:c>
      <x:c r="B1668" s="2" t="str">
        <x:v>EV001669</x:v>
      </x:c>
      <x:c r="C1668" s="2" t="str">
        <x:v>T20261007-2-2</x:v>
      </x:c>
      <x:c r="D1668" s="2" t="str">
        <x:v>ST068</x:v>
      </x:c>
      <x:c r="E1668" s="2" t="str">
        <x:v>G068</x:v>
      </x:c>
      <x:c r="F1668" s="2" t="str">
        <x:v>guardian068@example.invalid</x:v>
      </x:c>
      <x:c r="G1668" s="2" t="str">
        <x:v>Email</x:v>
      </x:c>
      <x:c r="H1668" s="2" t="str">
        <x:v>Boarded</x:v>
      </x:c>
      <x:c r="I1668" s="8" t="n">
        <x:v>46302.471770833334</x:v>
      </x:c>
      <x:c r="J1668" s="8" t="n">
        <x:v>46302.47179398148</x:v>
      </x:c>
      <x:c r="K1668" s="8" t="n">
        <x:v>46302.4718287037</x:v>
      </x:c>
      <x:c r="L1668" s="2" t="str">
        <x:v>Sent</x:v>
      </x:c>
      <x:c r="M1668" s="2" t="n">
        <x:v>1</x:v>
      </x:c>
      <x:c r="N1668" s="2"/>
      <x:c r="O1668" s="2"/>
    </x:row>
    <x:row r="1669" ht="21" customHeight="1">
      <x:c r="A1669" s="2" t="str">
        <x:v>NT001668</x:v>
      </x:c>
      <x:c r="B1669" s="2" t="str">
        <x:v>EV001670</x:v>
      </x:c>
      <x:c r="C1669" s="2" t="str">
        <x:v>T20261007-2-2</x:v>
      </x:c>
      <x:c r="D1669" s="2" t="str">
        <x:v>ST068</x:v>
      </x:c>
      <x:c r="E1669" s="2" t="str">
        <x:v>G068</x:v>
      </x:c>
      <x:c r="F1669" s="2" t="str">
        <x:v>guardian068@example.invalid</x:v>
      </x:c>
      <x:c r="G1669" s="2" t="str">
        <x:v>Email</x:v>
      </x:c>
      <x:c r="H1669" s="2" t="str">
        <x:v>School receipt</x:v>
      </x:c>
      <x:c r="I1669" s="8" t="n">
        <x:v>46302.50649305556</x:v>
      </x:c>
      <x:c r="J1669" s="8" t="n">
        <x:v>46302.506516203706</x:v>
      </x:c>
      <x:c r="K1669" s="8" t="n">
        <x:v>46302.50655092593</x:v>
      </x:c>
      <x:c r="L1669" s="2" t="str">
        <x:v>Sent</x:v>
      </x:c>
      <x:c r="M1669" s="2" t="n">
        <x:v>1</x:v>
      </x:c>
      <x:c r="N1669" s="2"/>
      <x:c r="O1669" s="2"/>
    </x:row>
    <x:row r="1670" ht="21" customHeight="1">
      <x:c r="A1670" s="2" t="str">
        <x:v>NT001669</x:v>
      </x:c>
      <x:c r="B1670" s="2" t="str">
        <x:v>EV001671</x:v>
      </x:c>
      <x:c r="C1670" s="2" t="str">
        <x:v>T20261007-2-2</x:v>
      </x:c>
      <x:c r="D1670" s="2" t="str">
        <x:v>ST069</x:v>
      </x:c>
      <x:c r="E1670" s="2" t="str">
        <x:v>G069</x:v>
      </x:c>
      <x:c r="F1670" s="2" t="str">
        <x:v>guardian069@example.invalid</x:v>
      </x:c>
      <x:c r="G1670" s="2" t="str">
        <x:v>Email</x:v>
      </x:c>
      <x:c r="H1670" s="2" t="str">
        <x:v>Boarded</x:v>
      </x:c>
      <x:c r="I1670" s="8" t="n">
        <x:v>46302.47666666666</x:v>
      </x:c>
      <x:c r="J1670" s="8" t="n">
        <x:v>46302.47668981481</x:v>
      </x:c>
      <x:c r="K1670" s="8" t="n">
        <x:v>46302.47672453703</x:v>
      </x:c>
      <x:c r="L1670" s="2" t="str">
        <x:v>Sent</x:v>
      </x:c>
      <x:c r="M1670" s="2" t="n">
        <x:v>1</x:v>
      </x:c>
      <x:c r="N1670" s="2"/>
      <x:c r="O1670" s="2"/>
    </x:row>
    <x:row r="1671" ht="21" customHeight="1">
      <x:c r="A1671" s="2" t="str">
        <x:v>NT001670</x:v>
      </x:c>
      <x:c r="B1671" s="2" t="str">
        <x:v>EV001672</x:v>
      </x:c>
      <x:c r="C1671" s="2" t="str">
        <x:v>T20261007-2-2</x:v>
      </x:c>
      <x:c r="D1671" s="2" t="str">
        <x:v>ST069</x:v>
      </x:c>
      <x:c r="E1671" s="2" t="str">
        <x:v>G069</x:v>
      </x:c>
      <x:c r="F1671" s="2" t="str">
        <x:v>guardian069@example.invalid</x:v>
      </x:c>
      <x:c r="G1671" s="2" t="str">
        <x:v>Email</x:v>
      </x:c>
      <x:c r="H1671" s="2" t="str">
        <x:v>School receipt</x:v>
      </x:c>
      <x:c r="I1671" s="8" t="n">
        <x:v>46302.50652777778</x:v>
      </x:c>
      <x:c r="J1671" s="8" t="n">
        <x:v>46302.50655092593</x:v>
      </x:c>
      <x:c r="K1671" s="8" t="n">
        <x:v>46302.50658564815</x:v>
      </x:c>
      <x:c r="L1671" s="2" t="str">
        <x:v>Sent</x:v>
      </x:c>
      <x:c r="M1671" s="2" t="n">
        <x:v>1</x:v>
      </x:c>
      <x:c r="N1671" s="2"/>
      <x:c r="O1671" s="2"/>
    </x:row>
    <x:row r="1672" ht="21" customHeight="1">
      <x:c r="A1672" s="2" t="str">
        <x:v>NT001671</x:v>
      </x:c>
      <x:c r="B1672" s="2" t="str">
        <x:v>EV001673</x:v>
      </x:c>
      <x:c r="C1672" s="2" t="str">
        <x:v>T20261007-2-2</x:v>
      </x:c>
      <x:c r="D1672" s="2" t="str">
        <x:v>ST070</x:v>
      </x:c>
      <x:c r="E1672" s="2" t="str">
        <x:v>G070</x:v>
      </x:c>
      <x:c r="F1672" s="2" t="str">
        <x:v>guardian070@example.invalid</x:v>
      </x:c>
      <x:c r="G1672" s="2" t="str">
        <x:v>Email</x:v>
      </x:c>
      <x:c r="H1672" s="2" t="str">
        <x:v>Boarded</x:v>
      </x:c>
      <x:c r="I1672" s="8" t="n">
        <x:v>46302.4815625</x:v>
      </x:c>
      <x:c r="J1672" s="8" t="n">
        <x:v>46302.481585648144</x:v>
      </x:c>
      <x:c r="K1672" s="8" t="n">
        <x:v>46302.48162037037</x:v>
      </x:c>
      <x:c r="L1672" s="2" t="str">
        <x:v>Sent</x:v>
      </x:c>
      <x:c r="M1672" s="2" t="n">
        <x:v>1</x:v>
      </x:c>
      <x:c r="N1672" s="2"/>
      <x:c r="O1672" s="2"/>
    </x:row>
    <x:row r="1673" ht="21" customHeight="1">
      <x:c r="A1673" s="2" t="str">
        <x:v>NT001672</x:v>
      </x:c>
      <x:c r="B1673" s="2" t="str">
        <x:v>EV001674</x:v>
      </x:c>
      <x:c r="C1673" s="2" t="str">
        <x:v>T20261007-2-2</x:v>
      </x:c>
      <x:c r="D1673" s="2" t="str">
        <x:v>ST070</x:v>
      </x:c>
      <x:c r="E1673" s="2" t="str">
        <x:v>G070</x:v>
      </x:c>
      <x:c r="F1673" s="2" t="str">
        <x:v>guardian070@example.invalid</x:v>
      </x:c>
      <x:c r="G1673" s="2" t="str">
        <x:v>Email</x:v>
      </x:c>
      <x:c r="H1673" s="2" t="str">
        <x:v>School receipt</x:v>
      </x:c>
      <x:c r="I1673" s="8" t="n">
        <x:v>46302.506562500006</x:v>
      </x:c>
      <x:c r="J1673" s="8" t="n">
        <x:v>46302.50658564815</x:v>
      </x:c>
      <x:c r="K1673" s="8" t="n">
        <x:v>46302.506620370375</x:v>
      </x:c>
      <x:c r="L1673" s="2" t="str">
        <x:v>Sent</x:v>
      </x:c>
      <x:c r="M1673" s="2" t="n">
        <x:v>1</x:v>
      </x:c>
      <x:c r="N1673" s="2"/>
      <x:c r="O1673" s="2"/>
    </x:row>
    <x:row r="1674" ht="21" customHeight="1">
      <x:c r="A1674" s="2" t="str">
        <x:v>NT001673</x:v>
      </x:c>
      <x:c r="B1674" s="2" t="str">
        <x:v>EV001675</x:v>
      </x:c>
      <x:c r="C1674" s="2" t="str">
        <x:v>T20261007-2-2</x:v>
      </x:c>
      <x:c r="D1674" s="2" t="str">
        <x:v>ST071</x:v>
      </x:c>
      <x:c r="E1674" s="2" t="str">
        <x:v>G071</x:v>
      </x:c>
      <x:c r="F1674" s="2" t="str">
        <x:v>guardian071@example.invalid</x:v>
      </x:c>
      <x:c r="G1674" s="2" t="str">
        <x:v>Email</x:v>
      </x:c>
      <x:c r="H1674" s="2" t="str">
        <x:v>Boarded</x:v>
      </x:c>
      <x:c r="I1674" s="8" t="n">
        <x:v>46302.47152777778</x:v>
      </x:c>
      <x:c r="J1674" s="8" t="n">
        <x:v>46302.471550925926</x:v>
      </x:c>
      <x:c r="K1674" s="8" t="n">
        <x:v>46302.47158564815</x:v>
      </x:c>
      <x:c r="L1674" s="2" t="str">
        <x:v>Sent</x:v>
      </x:c>
      <x:c r="M1674" s="2" t="n">
        <x:v>1</x:v>
      </x:c>
      <x:c r="N1674" s="2"/>
      <x:c r="O1674" s="2"/>
    </x:row>
    <x:row r="1675" ht="21" customHeight="1">
      <x:c r="A1675" s="2" t="str">
        <x:v>NT001674</x:v>
      </x:c>
      <x:c r="B1675" s="2" t="str">
        <x:v>EV001676</x:v>
      </x:c>
      <x:c r="C1675" s="2" t="str">
        <x:v>T20261007-2-2</x:v>
      </x:c>
      <x:c r="D1675" s="2" t="str">
        <x:v>ST071</x:v>
      </x:c>
      <x:c r="E1675" s="2" t="str">
        <x:v>G071</x:v>
      </x:c>
      <x:c r="F1675" s="2" t="str">
        <x:v>guardian071@example.invalid</x:v>
      </x:c>
      <x:c r="G1675" s="2" t="str">
        <x:v>Email</x:v>
      </x:c>
      <x:c r="H1675" s="2" t="str">
        <x:v>School receipt</x:v>
      </x:c>
      <x:c r="I1675" s="8" t="n">
        <x:v>46302.50659722223</x:v>
      </x:c>
      <x:c r="J1675" s="8" t="n">
        <x:v>46302.506620370375</x:v>
      </x:c>
      <x:c r="K1675" s="8" t="n">
        <x:v>46302.5066550926</x:v>
      </x:c>
      <x:c r="L1675" s="2" t="str">
        <x:v>Sent</x:v>
      </x:c>
      <x:c r="M1675" s="2" t="n">
        <x:v>1</x:v>
      </x:c>
      <x:c r="N1675" s="2"/>
      <x:c r="O1675" s="2"/>
    </x:row>
    <x:row r="1676" ht="21" customHeight="1">
      <x:c r="A1676" s="2" t="str">
        <x:v>NT001675</x:v>
      </x:c>
      <x:c r="B1676" s="2" t="str">
        <x:v>EV001677</x:v>
      </x:c>
      <x:c r="C1676" s="2" t="str">
        <x:v>T20261007-2-2</x:v>
      </x:c>
      <x:c r="D1676" s="2" t="str">
        <x:v>ST072</x:v>
      </x:c>
      <x:c r="E1676" s="2" t="str">
        <x:v>G072</x:v>
      </x:c>
      <x:c r="F1676" s="2" t="str">
        <x:v>guardian072@example.invalid</x:v>
      </x:c>
      <x:c r="G1676" s="2" t="str">
        <x:v>Email</x:v>
      </x:c>
      <x:c r="H1676" s="2" t="str">
        <x:v>Boarded</x:v>
      </x:c>
      <x:c r="I1676" s="8" t="n">
        <x:v>46302.47642361111</x:v>
      </x:c>
      <x:c r="J1676" s="8" t="n">
        <x:v>46302.476446759254</x:v>
      </x:c>
      <x:c r="K1676" s="8" t="n">
        <x:v>46302.47648148148</x:v>
      </x:c>
      <x:c r="L1676" s="2" t="str">
        <x:v>Sent</x:v>
      </x:c>
      <x:c r="M1676" s="2" t="n">
        <x:v>1</x:v>
      </x:c>
      <x:c r="N1676" s="2"/>
      <x:c r="O1676" s="2"/>
    </x:row>
    <x:row r="1677" ht="21" customHeight="1">
      <x:c r="A1677" s="2" t="str">
        <x:v>NT001676</x:v>
      </x:c>
      <x:c r="B1677" s="2" t="str">
        <x:v>EV001678</x:v>
      </x:c>
      <x:c r="C1677" s="2" t="str">
        <x:v>T20261007-2-2</x:v>
      </x:c>
      <x:c r="D1677" s="2" t="str">
        <x:v>ST072</x:v>
      </x:c>
      <x:c r="E1677" s="2" t="str">
        <x:v>G072</x:v>
      </x:c>
      <x:c r="F1677" s="2" t="str">
        <x:v>guardian072@example.invalid</x:v>
      </x:c>
      <x:c r="G1677" s="2" t="str">
        <x:v>Email</x:v>
      </x:c>
      <x:c r="H1677" s="2" t="str">
        <x:v>School receipt</x:v>
      </x:c>
      <x:c r="I1677" s="8" t="n">
        <x:v>46302.506631944445</x:v>
      </x:c>
      <x:c r="J1677" s="8" t="n">
        <x:v>46302.50665509259</x:v>
      </x:c>
      <x:c r="K1677" s="8" t="n">
        <x:v>46302.506689814814</x:v>
      </x:c>
      <x:c r="L1677" s="2" t="str">
        <x:v>Sent</x:v>
      </x:c>
      <x:c r="M1677" s="2" t="n">
        <x:v>1</x:v>
      </x:c>
      <x:c r="N1677" s="2"/>
      <x:c r="O1677" s="2"/>
    </x:row>
    <x:row r="1678" ht="21" customHeight="1">
      <x:c r="A1678" s="2" t="str">
        <x:v>NT001677</x:v>
      </x:c>
      <x:c r="B1678" s="2" t="str">
        <x:v>EV001679</x:v>
      </x:c>
      <x:c r="C1678" s="2" t="str">
        <x:v>T20261007-2-2</x:v>
      </x:c>
      <x:c r="D1678" s="2" t="str">
        <x:v>ST073</x:v>
      </x:c>
      <x:c r="E1678" s="2" t="str">
        <x:v>G073</x:v>
      </x:c>
      <x:c r="F1678" s="2" t="str">
        <x:v>guardian073@example.invalid</x:v>
      </x:c>
      <x:c r="G1678" s="2" t="str">
        <x:v>Email</x:v>
      </x:c>
      <x:c r="H1678" s="2" t="str">
        <x:v>Boarded</x:v>
      </x:c>
      <x:c r="I1678" s="8" t="n">
        <x:v>46302.48131944444</x:v>
      </x:c>
      <x:c r="J1678" s="8" t="n">
        <x:v>46302.48134259259</x:v>
      </x:c>
      <x:c r="K1678" s="8" t="n">
        <x:v>46302.48137731481</x:v>
      </x:c>
      <x:c r="L1678" s="2" t="str">
        <x:v>Sent</x:v>
      </x:c>
      <x:c r="M1678" s="2" t="n">
        <x:v>1</x:v>
      </x:c>
      <x:c r="N1678" s="2"/>
      <x:c r="O1678" s="2"/>
    </x:row>
    <x:row r="1679" ht="21" customHeight="1">
      <x:c r="A1679" s="2" t="str">
        <x:v>NT001678</x:v>
      </x:c>
      <x:c r="B1679" s="2" t="str">
        <x:v>EV001680</x:v>
      </x:c>
      <x:c r="C1679" s="2" t="str">
        <x:v>T20261007-2-2</x:v>
      </x:c>
      <x:c r="D1679" s="2" t="str">
        <x:v>ST073</x:v>
      </x:c>
      <x:c r="E1679" s="2" t="str">
        <x:v>G073</x:v>
      </x:c>
      <x:c r="F1679" s="2" t="str">
        <x:v>guardian073@example.invalid</x:v>
      </x:c>
      <x:c r="G1679" s="2" t="str">
        <x:v>Email</x:v>
      </x:c>
      <x:c r="H1679" s="2" t="str">
        <x:v>School receipt</x:v>
      </x:c>
      <x:c r="I1679" s="8" t="n">
        <x:v>46302.50666666667</x:v>
      </x:c>
      <x:c r="J1679" s="8" t="n">
        <x:v>46302.506689814814</x:v>
      </x:c>
      <x:c r="K1679" s="8" t="n">
        <x:v>46302.50672453704</x:v>
      </x:c>
      <x:c r="L1679" s="2" t="str">
        <x:v>Sent</x:v>
      </x:c>
      <x:c r="M1679" s="2" t="n">
        <x:v>1</x:v>
      </x:c>
      <x:c r="N1679" s="2"/>
      <x:c r="O1679" s="2"/>
    </x:row>
    <x:row r="1680" ht="21" customHeight="1">
      <x:c r="A1680" s="2" t="str">
        <x:v>NT001679</x:v>
      </x:c>
      <x:c r="B1680" s="2" t="str">
        <x:v>EV001681</x:v>
      </x:c>
      <x:c r="C1680" s="2" t="str">
        <x:v>T20261007-2-2</x:v>
      </x:c>
      <x:c r="D1680" s="2" t="str">
        <x:v>ST074</x:v>
      </x:c>
      <x:c r="E1680" s="2" t="str">
        <x:v>G074</x:v>
      </x:c>
      <x:c r="F1680" s="2" t="str">
        <x:v>guardian074@example.invalid</x:v>
      </x:c>
      <x:c r="G1680" s="2" t="str">
        <x:v>Email</x:v>
      </x:c>
      <x:c r="H1680" s="2" t="str">
        <x:v>Boarded</x:v>
      </x:c>
      <x:c r="I1680" s="8" t="n">
        <x:v>46302.47163194445</x:v>
      </x:c>
      <x:c r="J1680" s="8" t="n">
        <x:v>46302.471655092595</x:v>
      </x:c>
      <x:c r="K1680" s="8" t="n">
        <x:v>46302.47168981482</x:v>
      </x:c>
      <x:c r="L1680" s="2" t="str">
        <x:v>Sent</x:v>
      </x:c>
      <x:c r="M1680" s="2" t="n">
        <x:v>1</x:v>
      </x:c>
      <x:c r="N1680" s="2"/>
      <x:c r="O1680" s="2"/>
    </x:row>
    <x:row r="1681" ht="21" customHeight="1">
      <x:c r="A1681" s="2" t="str">
        <x:v>NT001680</x:v>
      </x:c>
      <x:c r="B1681" s="2" t="str">
        <x:v>EV001682</x:v>
      </x:c>
      <x:c r="C1681" s="2" t="str">
        <x:v>T20261007-2-2</x:v>
      </x:c>
      <x:c r="D1681" s="2" t="str">
        <x:v>ST074</x:v>
      </x:c>
      <x:c r="E1681" s="2" t="str">
        <x:v>G074</x:v>
      </x:c>
      <x:c r="F1681" s="2" t="str">
        <x:v>guardian074@example.invalid</x:v>
      </x:c>
      <x:c r="G1681" s="2" t="str">
        <x:v>Email</x:v>
      </x:c>
      <x:c r="H1681" s="2" t="str">
        <x:v>School receipt</x:v>
      </x:c>
      <x:c r="I1681" s="8" t="n">
        <x:v>46302.50670138889</x:v>
      </x:c>
      <x:c r="J1681" s="8" t="n">
        <x:v>46302.50672453704</x:v>
      </x:c>
      <x:c r="K1681" s="8" t="n">
        <x:v>46302.50675925926</x:v>
      </x:c>
      <x:c r="L1681" s="2" t="str">
        <x:v>Sent</x:v>
      </x:c>
      <x:c r="M1681" s="2" t="n">
        <x:v>1</x:v>
      </x:c>
      <x:c r="N1681" s="2"/>
      <x:c r="O1681" s="2"/>
    </x:row>
    <x:row r="1682" ht="21" customHeight="1">
      <x:c r="A1682" s="2" t="str">
        <x:v>NT001681</x:v>
      </x:c>
      <x:c r="B1682" s="2" t="str">
        <x:v>EV001683</x:v>
      </x:c>
      <x:c r="C1682" s="2" t="str">
        <x:v>T20261007-2-2</x:v>
      </x:c>
      <x:c r="D1682" s="2" t="str">
        <x:v>ST075</x:v>
      </x:c>
      <x:c r="E1682" s="2" t="str">
        <x:v>G075</x:v>
      </x:c>
      <x:c r="F1682" s="2" t="str">
        <x:v>guardian075@example.invalid</x:v>
      </x:c>
      <x:c r="G1682" s="2" t="str">
        <x:v>Email</x:v>
      </x:c>
      <x:c r="H1682" s="2" t="str">
        <x:v>Boarded</x:v>
      </x:c>
      <x:c r="I1682" s="8" t="n">
        <x:v>46302.47652777778</x:v>
      </x:c>
      <x:c r="J1682" s="8" t="n">
        <x:v>46302.47655092592</x:v>
      </x:c>
      <x:c r="K1682" s="8" t="n">
        <x:v>46302.476585648146</x:v>
      </x:c>
      <x:c r="L1682" s="2" t="str">
        <x:v>Sent</x:v>
      </x:c>
      <x:c r="M1682" s="2" t="n">
        <x:v>1</x:v>
      </x:c>
      <x:c r="N1682" s="2"/>
      <x:c r="O1682" s="2"/>
    </x:row>
    <x:row r="1683" ht="21" customHeight="1">
      <x:c r="A1683" s="2" t="str">
        <x:v>NT001682</x:v>
      </x:c>
      <x:c r="B1683" s="2" t="str">
        <x:v>EV001684</x:v>
      </x:c>
      <x:c r="C1683" s="2" t="str">
        <x:v>T20261007-2-2</x:v>
      </x:c>
      <x:c r="D1683" s="2" t="str">
        <x:v>ST075</x:v>
      </x:c>
      <x:c r="E1683" s="2" t="str">
        <x:v>G075</x:v>
      </x:c>
      <x:c r="F1683" s="2" t="str">
        <x:v>guardian075@example.invalid</x:v>
      </x:c>
      <x:c r="G1683" s="2" t="str">
        <x:v>Email</x:v>
      </x:c>
      <x:c r="H1683" s="2" t="str">
        <x:v>School receipt</x:v>
      </x:c>
      <x:c r="I1683" s="8" t="n">
        <x:v>46302.506736111114</x:v>
      </x:c>
      <x:c r="J1683" s="8" t="n">
        <x:v>46302.50675925926</x:v>
      </x:c>
      <x:c r="K1683" s="8" t="n">
        <x:v>46302.50679398148</x:v>
      </x:c>
      <x:c r="L1683" s="2" t="str">
        <x:v>Sent</x:v>
      </x:c>
      <x:c r="M1683" s="2" t="n">
        <x:v>1</x:v>
      </x:c>
      <x:c r="N1683" s="2"/>
      <x:c r="O1683" s="2"/>
    </x:row>
    <x:row r="1684" ht="21" customHeight="1">
      <x:c r="A1684" s="2" t="str">
        <x:v>NT001683</x:v>
      </x:c>
      <x:c r="B1684" s="2" t="str">
        <x:v>EV001685</x:v>
      </x:c>
      <x:c r="C1684" s="2" t="str">
        <x:v>T20261007-2-2</x:v>
      </x:c>
      <x:c r="D1684" s="2" t="str">
        <x:v>ST076</x:v>
      </x:c>
      <x:c r="E1684" s="2" t="str">
        <x:v>G076</x:v>
      </x:c>
      <x:c r="F1684" s="2" t="str">
        <x:v>guardian076@example.invalid</x:v>
      </x:c>
      <x:c r="G1684" s="2" t="str">
        <x:v>Email</x:v>
      </x:c>
      <x:c r="H1684" s="2" t="str">
        <x:v>Boarded</x:v>
      </x:c>
      <x:c r="I1684" s="8" t="n">
        <x:v>46302.481423611105</x:v>
      </x:c>
      <x:c r="J1684" s="8" t="n">
        <x:v>46302.48144675925</x:v>
      </x:c>
      <x:c r="K1684" s="8" t="n">
        <x:v>46302.481481481474</x:v>
      </x:c>
      <x:c r="L1684" s="2" t="str">
        <x:v>Sent</x:v>
      </x:c>
      <x:c r="M1684" s="2" t="n">
        <x:v>1</x:v>
      </x:c>
      <x:c r="N1684" s="2"/>
      <x:c r="O1684" s="2"/>
    </x:row>
    <x:row r="1685" ht="21" customHeight="1">
      <x:c r="A1685" s="2" t="str">
        <x:v>NT001684</x:v>
      </x:c>
      <x:c r="B1685" s="2" t="str">
        <x:v>EV001686</x:v>
      </x:c>
      <x:c r="C1685" s="2" t="str">
        <x:v>T20261007-2-2</x:v>
      </x:c>
      <x:c r="D1685" s="2" t="str">
        <x:v>ST076</x:v>
      </x:c>
      <x:c r="E1685" s="2" t="str">
        <x:v>G076</x:v>
      </x:c>
      <x:c r="F1685" s="2" t="str">
        <x:v>guardian076@example.invalid</x:v>
      </x:c>
      <x:c r="G1685" s="2" t="str">
        <x:v>Email</x:v>
      </x:c>
      <x:c r="H1685" s="2" t="str">
        <x:v>School receipt</x:v>
      </x:c>
      <x:c r="I1685" s="8" t="n">
        <x:v>46302.50677083334</x:v>
      </x:c>
      <x:c r="J1685" s="8" t="n">
        <x:v>46302.50679398148</x:v>
      </x:c>
      <x:c r="K1685" s="8" t="n">
        <x:v>46302.50682870371</x:v>
      </x:c>
      <x:c r="L1685" s="2" t="str">
        <x:v>Sent</x:v>
      </x:c>
      <x:c r="M1685" s="2" t="n">
        <x:v>1</x:v>
      </x:c>
      <x:c r="N1685" s="2"/>
      <x:c r="O1685" s="2"/>
    </x:row>
    <x:row r="1686" ht="21" customHeight="1">
      <x:c r="A1686" s="2" t="str">
        <x:v>NT001685</x:v>
      </x:c>
      <x:c r="B1686" s="2" t="str">
        <x:v>EV001687</x:v>
      </x:c>
      <x:c r="C1686" s="2" t="str">
        <x:v>T20261007-2-2</x:v>
      </x:c>
      <x:c r="D1686" s="2" t="str">
        <x:v>ST077</x:v>
      </x:c>
      <x:c r="E1686" s="2" t="str">
        <x:v>G077</x:v>
      </x:c>
      <x:c r="F1686" s="2" t="str">
        <x:v>guardian077@example.invalid</x:v>
      </x:c>
      <x:c r="G1686" s="2" t="str">
        <x:v>Email</x:v>
      </x:c>
      <x:c r="H1686" s="2" t="str">
        <x:v>Boarded</x:v>
      </x:c>
      <x:c r="I1686" s="8" t="n">
        <x:v>46302.47173611111</x:v>
      </x:c>
      <x:c r="J1686" s="8" t="n">
        <x:v>46302.47175925926</x:v>
      </x:c>
      <x:c r="K1686" s="8" t="n">
        <x:v>46302.47179398148</x:v>
      </x:c>
      <x:c r="L1686" s="2" t="str">
        <x:v>Sent</x:v>
      </x:c>
      <x:c r="M1686" s="2" t="n">
        <x:v>1</x:v>
      </x:c>
      <x:c r="N1686" s="2"/>
      <x:c r="O1686" s="2"/>
    </x:row>
    <x:row r="1687" ht="21" customHeight="1">
      <x:c r="A1687" s="2" t="str">
        <x:v>NT001686</x:v>
      </x:c>
      <x:c r="B1687" s="2" t="str">
        <x:v>EV001688</x:v>
      </x:c>
      <x:c r="C1687" s="2" t="str">
        <x:v>T20261007-2-2</x:v>
      </x:c>
      <x:c r="D1687" s="2" t="str">
        <x:v>ST077</x:v>
      </x:c>
      <x:c r="E1687" s="2" t="str">
        <x:v>G077</x:v>
      </x:c>
      <x:c r="F1687" s="2" t="str">
        <x:v>guardian077@example.invalid</x:v>
      </x:c>
      <x:c r="G1687" s="2" t="str">
        <x:v>Email</x:v>
      </x:c>
      <x:c r="H1687" s="2" t="str">
        <x:v>School receipt</x:v>
      </x:c>
      <x:c r="I1687" s="8" t="n">
        <x:v>46302.50680555556</x:v>
      </x:c>
      <x:c r="J1687" s="8" t="n">
        <x:v>46302.50682870371</x:v>
      </x:c>
      <x:c r="K1687" s="8" t="n">
        <x:v>46302.50686342593</x:v>
      </x:c>
      <x:c r="L1687" s="2" t="str">
        <x:v>Sent</x:v>
      </x:c>
      <x:c r="M1687" s="2" t="n">
        <x:v>1</x:v>
      </x:c>
      <x:c r="N1687" s="2"/>
      <x:c r="O1687" s="2"/>
    </x:row>
    <x:row r="1688" ht="21" customHeight="1">
      <x:c r="A1688" s="2" t="str">
        <x:v>NT001687</x:v>
      </x:c>
      <x:c r="B1688" s="2" t="str">
        <x:v>EV001689</x:v>
      </x:c>
      <x:c r="C1688" s="2" t="str">
        <x:v>T20261007-2-2</x:v>
      </x:c>
      <x:c r="D1688" s="2" t="str">
        <x:v>ST078</x:v>
      </x:c>
      <x:c r="E1688" s="2" t="str">
        <x:v>G078</x:v>
      </x:c>
      <x:c r="F1688" s="2" t="str">
        <x:v>guardian078@example.invalid</x:v>
      </x:c>
      <x:c r="G1688" s="2" t="str">
        <x:v>Email</x:v>
      </x:c>
      <x:c r="H1688" s="2" t="str">
        <x:v>Boarded</x:v>
      </x:c>
      <x:c r="I1688" s="8" t="n">
        <x:v>46302.47663194444</x:v>
      </x:c>
      <x:c r="J1688" s="8" t="n">
        <x:v>46302.476655092585</x:v>
      </x:c>
      <x:c r="K1688" s="8" t="n">
        <x:v>46302.47668981481</x:v>
      </x:c>
      <x:c r="L1688" s="2" t="str">
        <x:v>Sent</x:v>
      </x:c>
      <x:c r="M1688" s="2" t="n">
        <x:v>1</x:v>
      </x:c>
      <x:c r="N1688" s="2"/>
      <x:c r="O1688" s="2"/>
    </x:row>
    <x:row r="1689" ht="21" customHeight="1">
      <x:c r="A1689" s="2" t="str">
        <x:v>NT001688</x:v>
      </x:c>
      <x:c r="B1689" s="2" t="str">
        <x:v>EV001690</x:v>
      </x:c>
      <x:c r="C1689" s="2" t="str">
        <x:v>T20261007-2-2</x:v>
      </x:c>
      <x:c r="D1689" s="2" t="str">
        <x:v>ST078</x:v>
      </x:c>
      <x:c r="E1689" s="2" t="str">
        <x:v>G078</x:v>
      </x:c>
      <x:c r="F1689" s="2" t="str">
        <x:v>guardian078@example.invalid</x:v>
      </x:c>
      <x:c r="G1689" s="2" t="str">
        <x:v>Email</x:v>
      </x:c>
      <x:c r="H1689" s="2" t="str">
        <x:v>School receipt</x:v>
      </x:c>
      <x:c r="I1689" s="8" t="n">
        <x:v>46302.50684027778</x:v>
      </x:c>
      <x:c r="J1689" s="8" t="n">
        <x:v>46302.50686342593</x:v>
      </x:c>
      <x:c r="K1689" s="8" t="n">
        <x:v>46302.50689814815</x:v>
      </x:c>
      <x:c r="L1689" s="2" t="str">
        <x:v>Sent</x:v>
      </x:c>
      <x:c r="M1689" s="2" t="n">
        <x:v>1</x:v>
      </x:c>
      <x:c r="N1689" s="2"/>
      <x:c r="O1689" s="2"/>
    </x:row>
    <x:row r="1690" ht="21" customHeight="1">
      <x:c r="A1690" s="2" t="str">
        <x:v>NT001689</x:v>
      </x:c>
      <x:c r="B1690" s="2" t="str">
        <x:v>EV001691</x:v>
      </x:c>
      <x:c r="C1690" s="2" t="str">
        <x:v>T20261007-2-2</x:v>
      </x:c>
      <x:c r="D1690" s="2" t="str">
        <x:v>ST079</x:v>
      </x:c>
      <x:c r="E1690" s="2" t="str">
        <x:v>G079</x:v>
      </x:c>
      <x:c r="F1690" s="2" t="str">
        <x:v>guardian079@example.invalid</x:v>
      </x:c>
      <x:c r="G1690" s="2" t="str">
        <x:v>Email</x:v>
      </x:c>
      <x:c r="H1690" s="2" t="str">
        <x:v>Boarded</x:v>
      </x:c>
      <x:c r="I1690" s="8" t="n">
        <x:v>46302.481527777774</x:v>
      </x:c>
      <x:c r="J1690" s="8" t="n">
        <x:v>46302.48155092592</x:v>
      </x:c>
      <x:c r="K1690" s="8" t="n">
        <x:v>46302.481585648144</x:v>
      </x:c>
      <x:c r="L1690" s="2" t="str">
        <x:v>Sent</x:v>
      </x:c>
      <x:c r="M1690" s="2" t="n">
        <x:v>1</x:v>
      </x:c>
      <x:c r="N1690" s="2"/>
      <x:c r="O1690" s="2"/>
    </x:row>
    <x:row r="1691" ht="21" customHeight="1">
      <x:c r="A1691" s="2" t="str">
        <x:v>NT001690</x:v>
      </x:c>
      <x:c r="B1691" s="2" t="str">
        <x:v>EV001692</x:v>
      </x:c>
      <x:c r="C1691" s="2" t="str">
        <x:v>T20261007-2-2</x:v>
      </x:c>
      <x:c r="D1691" s="2" t="str">
        <x:v>ST079</x:v>
      </x:c>
      <x:c r="E1691" s="2" t="str">
        <x:v>G079</x:v>
      </x:c>
      <x:c r="F1691" s="2" t="str">
        <x:v>guardian079@example.invalid</x:v>
      </x:c>
      <x:c r="G1691" s="2" t="str">
        <x:v>Email</x:v>
      </x:c>
      <x:c r="H1691" s="2" t="str">
        <x:v>School receipt</x:v>
      </x:c>
      <x:c r="I1691" s="8" t="n">
        <x:v>46302.50687500001</x:v>
      </x:c>
      <x:c r="J1691" s="8" t="n">
        <x:v>46302.50689814815</x:v>
      </x:c>
      <x:c r="K1691" s="8" t="n">
        <x:v>46302.506932870376</x:v>
      </x:c>
      <x:c r="L1691" s="2" t="str">
        <x:v>Sent</x:v>
      </x:c>
      <x:c r="M1691" s="2" t="n">
        <x:v>1</x:v>
      </x:c>
      <x:c r="N1691" s="2"/>
      <x:c r="O1691" s="2"/>
    </x:row>
    <x:row r="1692" ht="21" customHeight="1">
      <x:c r="A1692" s="2" t="str">
        <x:v>NT001691</x:v>
      </x:c>
      <x:c r="B1692" s="2" t="str">
        <x:v>EV001693</x:v>
      </x:c>
      <x:c r="C1692" s="2" t="str">
        <x:v>T20261007-2-2</x:v>
      </x:c>
      <x:c r="D1692" s="2" t="str">
        <x:v>ST080</x:v>
      </x:c>
      <x:c r="E1692" s="2" t="str">
        <x:v>G080</x:v>
      </x:c>
      <x:c r="F1692" s="2" t="str">
        <x:v>guardian080@example.invalid</x:v>
      </x:c>
      <x:c r="G1692" s="2" t="str">
        <x:v>Email</x:v>
      </x:c>
      <x:c r="H1692" s="2" t="str">
        <x:v>Boarded</x:v>
      </x:c>
      <x:c r="I1692" s="8" t="n">
        <x:v>46302.47184027778</x:v>
      </x:c>
      <x:c r="J1692" s="8" t="n">
        <x:v>46302.471863425926</x:v>
      </x:c>
      <x:c r="K1692" s="8" t="n">
        <x:v>46302.47189814815</x:v>
      </x:c>
      <x:c r="L1692" s="2" t="str">
        <x:v>Sent</x:v>
      </x:c>
      <x:c r="M1692" s="2" t="n">
        <x:v>1</x:v>
      </x:c>
      <x:c r="N1692" s="2"/>
      <x:c r="O1692" s="2"/>
    </x:row>
    <x:row r="1693" ht="21" customHeight="1">
      <x:c r="A1693" s="2" t="str">
        <x:v>NT001692</x:v>
      </x:c>
      <x:c r="B1693" s="2" t="str">
        <x:v>EV001694</x:v>
      </x:c>
      <x:c r="C1693" s="2" t="str">
        <x:v>T20261007-2-2</x:v>
      </x:c>
      <x:c r="D1693" s="2" t="str">
        <x:v>ST080</x:v>
      </x:c>
      <x:c r="E1693" s="2" t="str">
        <x:v>G080</x:v>
      </x:c>
      <x:c r="F1693" s="2" t="str">
        <x:v>guardian080@example.invalid</x:v>
      </x:c>
      <x:c r="G1693" s="2" t="str">
        <x:v>Email</x:v>
      </x:c>
      <x:c r="H1693" s="2" t="str">
        <x:v>School receipt</x:v>
      </x:c>
      <x:c r="I1693" s="8" t="n">
        <x:v>46302.50690972222</x:v>
      </x:c>
      <x:c r="J1693" s="8" t="n">
        <x:v>46302.50693287037</x:v>
      </x:c>
      <x:c r="K1693" s="8" t="n">
        <x:v>46302.50696759259</x:v>
      </x:c>
      <x:c r="L1693" s="2" t="str">
        <x:v>Sent</x:v>
      </x:c>
      <x:c r="M1693" s="2" t="n">
        <x:v>1</x:v>
      </x:c>
      <x:c r="N1693" s="2"/>
      <x:c r="O1693" s="2"/>
    </x:row>
    <x:row r="1694" ht="21" customHeight="1">
      <x:c r="A1694" s="2" t="str">
        <x:v>NT001693</x:v>
      </x:c>
      <x:c r="B1694" s="2" t="str">
        <x:v>EV001695</x:v>
      </x:c>
      <x:c r="C1694" s="2" t="str">
        <x:v>T20261007-3-2</x:v>
      </x:c>
      <x:c r="D1694" s="2" t="str">
        <x:v>ST051</x:v>
      </x:c>
      <x:c r="E1694" s="2" t="str">
        <x:v>G051</x:v>
      </x:c>
      <x:c r="F1694" s="2" t="str">
        <x:v>guardian051@example.invalid</x:v>
      </x:c>
      <x:c r="G1694" s="2" t="str">
        <x:v>Email</x:v>
      </x:c>
      <x:c r="H1694" s="2" t="str">
        <x:v>Boarded</x:v>
      </x:c>
      <x:c r="I1694" s="8" t="n">
        <x:v>46302.57291666667</x:v>
      </x:c>
      <x:c r="J1694" s="8" t="n">
        <x:v>46302.57293981482</x:v>
      </x:c>
      <x:c r="K1694" s="8" t="n">
        <x:v>46302.57297453704</x:v>
      </x:c>
      <x:c r="L1694" s="2" t="str">
        <x:v>Sent</x:v>
      </x:c>
      <x:c r="M1694" s="2" t="n">
        <x:v>1</x:v>
      </x:c>
      <x:c r="N1694" s="2"/>
      <x:c r="O1694" s="2"/>
    </x:row>
    <x:row r="1695" ht="21" customHeight="1">
      <x:c r="A1695" s="2" t="str">
        <x:v>NT001694</x:v>
      </x:c>
      <x:c r="B1695" s="2" t="str">
        <x:v>EV001696</x:v>
      </x:c>
      <x:c r="C1695" s="2" t="str">
        <x:v>T20261007-3-2</x:v>
      </x:c>
      <x:c r="D1695" s="2" t="str">
        <x:v>ST051</x:v>
      </x:c>
      <x:c r="E1695" s="2" t="str">
        <x:v>G051</x:v>
      </x:c>
      <x:c r="F1695" s="2" t="str">
        <x:v>guardian051@example.invalid</x:v>
      </x:c>
      <x:c r="G1695" s="2" t="str">
        <x:v>Email</x:v>
      </x:c>
      <x:c r="H1695" s="2" t="str">
        <x:v>Authorized release</x:v>
      </x:c>
      <x:c r="I1695" s="8" t="n">
        <x:v>46302.59027777778</x:v>
      </x:c>
      <x:c r="J1695" s="8" t="n">
        <x:v>46302.59030092593</x:v>
      </x:c>
      <x:c r="K1695" s="8" t="n">
        <x:v>46302.59033564815</x:v>
      </x:c>
      <x:c r="L1695" s="2" t="str">
        <x:v>Sent</x:v>
      </x:c>
      <x:c r="M1695" s="2" t="n">
        <x:v>1</x:v>
      </x:c>
      <x:c r="N1695" s="2"/>
      <x:c r="O1695" s="2"/>
    </x:row>
    <x:row r="1696" ht="21" customHeight="1">
      <x:c r="A1696" s="2" t="str">
        <x:v>NT001695</x:v>
      </x:c>
      <x:c r="B1696" s="2" t="str">
        <x:v>EV001697</x:v>
      </x:c>
      <x:c r="C1696" s="2" t="str">
        <x:v>T20261007-3-2</x:v>
      </x:c>
      <x:c r="D1696" s="2" t="str">
        <x:v>ST052</x:v>
      </x:c>
      <x:c r="E1696" s="2" t="str">
        <x:v>G052</x:v>
      </x:c>
      <x:c r="F1696" s="2" t="str">
        <x:v>guardian052@example.invalid</x:v>
      </x:c>
      <x:c r="G1696" s="2" t="str">
        <x:v>Email</x:v>
      </x:c>
      <x:c r="H1696" s="2" t="str">
        <x:v>Boarded</x:v>
      </x:c>
      <x:c r="I1696" s="8" t="n">
        <x:v>46302.572951388895</x:v>
      </x:c>
      <x:c r="J1696" s="8" t="n">
        <x:v>46302.57297453704</x:v>
      </x:c>
      <x:c r="K1696" s="8" t="n">
        <x:v>46302.573009259264</x:v>
      </x:c>
      <x:c r="L1696" s="2" t="str">
        <x:v>Sent</x:v>
      </x:c>
      <x:c r="M1696" s="2" t="n">
        <x:v>1</x:v>
      </x:c>
      <x:c r="N1696" s="2"/>
      <x:c r="O1696" s="2"/>
    </x:row>
    <x:row r="1697" ht="21" customHeight="1">
      <x:c r="A1697" s="2" t="str">
        <x:v>NT001696</x:v>
      </x:c>
      <x:c r="B1697" s="2" t="str">
        <x:v>EV001698</x:v>
      </x:c>
      <x:c r="C1697" s="2" t="str">
        <x:v>T20261007-3-2</x:v>
      </x:c>
      <x:c r="D1697" s="2" t="str">
        <x:v>ST052</x:v>
      </x:c>
      <x:c r="E1697" s="2" t="str">
        <x:v>G052</x:v>
      </x:c>
      <x:c r="F1697" s="2" t="str">
        <x:v>guardian052@example.invalid</x:v>
      </x:c>
      <x:c r="G1697" s="2" t="str">
        <x:v>Email</x:v>
      </x:c>
      <x:c r="H1697" s="2" t="str">
        <x:v>Authorized release</x:v>
      </x:c>
      <x:c r="I1697" s="8" t="n">
        <x:v>46302.59447916667</x:v>
      </x:c>
      <x:c r="J1697" s="8" t="n">
        <x:v>46302.594502314816</x:v>
      </x:c>
      <x:c r="K1697" s="8" t="n">
        <x:v>46302.59453703704</x:v>
      </x:c>
      <x:c r="L1697" s="2" t="str">
        <x:v>Sent</x:v>
      </x:c>
      <x:c r="M1697" s="2" t="n">
        <x:v>1</x:v>
      </x:c>
      <x:c r="N1697" s="2"/>
      <x:c r="O1697" s="2"/>
    </x:row>
    <x:row r="1698" ht="21" customHeight="1">
      <x:c r="A1698" s="2" t="str">
        <x:v>NT001697</x:v>
      </x:c>
      <x:c r="B1698" s="2" t="str">
        <x:v>EV001699</x:v>
      </x:c>
      <x:c r="C1698" s="2" t="str">
        <x:v>T20261007-3-2</x:v>
      </x:c>
      <x:c r="D1698" s="2" t="str">
        <x:v>ST053</x:v>
      </x:c>
      <x:c r="E1698" s="2" t="str">
        <x:v>G053</x:v>
      </x:c>
      <x:c r="F1698" s="2" t="str">
        <x:v>guardian053@example.invalid</x:v>
      </x:c>
      <x:c r="G1698" s="2" t="str">
        <x:v>Email</x:v>
      </x:c>
      <x:c r="H1698" s="2" t="str">
        <x:v>Boarded</x:v>
      </x:c>
      <x:c r="I1698" s="8" t="n">
        <x:v>46302.57298611112</x:v>
      </x:c>
      <x:c r="J1698" s="8" t="n">
        <x:v>46302.573009259264</x:v>
      </x:c>
      <x:c r="K1698" s="8" t="n">
        <x:v>46302.57304398149</x:v>
      </x:c>
      <x:c r="L1698" s="2" t="str">
        <x:v>Sent</x:v>
      </x:c>
      <x:c r="M1698" s="2" t="n">
        <x:v>1</x:v>
      </x:c>
      <x:c r="N1698" s="2"/>
      <x:c r="O1698" s="2"/>
    </x:row>
    <x:row r="1699" ht="21" customHeight="1">
      <x:c r="A1699" s="2" t="str">
        <x:v>NT001698</x:v>
      </x:c>
      <x:c r="B1699" s="2" t="str">
        <x:v>EV001700</x:v>
      </x:c>
      <x:c r="C1699" s="2" t="str">
        <x:v>T20261007-3-2</x:v>
      </x:c>
      <x:c r="D1699" s="2" t="str">
        <x:v>ST053</x:v>
      </x:c>
      <x:c r="E1699" s="2" t="str">
        <x:v>G053</x:v>
      </x:c>
      <x:c r="F1699" s="2" t="str">
        <x:v>guardian053@example.invalid</x:v>
      </x:c>
      <x:c r="G1699" s="2" t="str">
        <x:v>Email</x:v>
      </x:c>
      <x:c r="H1699" s="2" t="str">
        <x:v>Authorized release</x:v>
      </x:c>
      <x:c r="I1699" s="8" t="n">
        <x:v>46302.58618055556</x:v>
      </x:c>
      <x:c r="J1699" s="8" t="n">
        <x:v>46302.58620370371</x:v>
      </x:c>
      <x:c r="K1699" s="8" t="n">
        <x:v>46302.58623842593</x:v>
      </x:c>
      <x:c r="L1699" s="2" t="str">
        <x:v>Sent</x:v>
      </x:c>
      <x:c r="M1699" s="2" t="n">
        <x:v>1</x:v>
      </x:c>
      <x:c r="N1699" s="2"/>
      <x:c r="O1699" s="2"/>
    </x:row>
    <x:row r="1700" ht="21" customHeight="1">
      <x:c r="A1700" s="2" t="str">
        <x:v>NT001699</x:v>
      </x:c>
      <x:c r="B1700" s="2" t="str">
        <x:v>EV001701</x:v>
      </x:c>
      <x:c r="C1700" s="2" t="str">
        <x:v>T20261007-3-2</x:v>
      </x:c>
      <x:c r="D1700" s="2" t="str">
        <x:v>ST054</x:v>
      </x:c>
      <x:c r="E1700" s="2" t="str">
        <x:v>G054</x:v>
      </x:c>
      <x:c r="F1700" s="2" t="str">
        <x:v>guardian054@example.invalid</x:v>
      </x:c>
      <x:c r="G1700" s="2" t="str">
        <x:v>Email</x:v>
      </x:c>
      <x:c r="H1700" s="2" t="str">
        <x:v>Boarded</x:v>
      </x:c>
      <x:c r="I1700" s="8" t="n">
        <x:v>46302.57302083334</x:v>
      </x:c>
      <x:c r="J1700" s="8" t="n">
        <x:v>46302.57304398149</x:v>
      </x:c>
      <x:c r="K1700" s="8" t="n">
        <x:v>46302.57307870371</x:v>
      </x:c>
      <x:c r="L1700" s="2" t="str">
        <x:v>Sent</x:v>
      </x:c>
      <x:c r="M1700" s="2" t="n">
        <x:v>1</x:v>
      </x:c>
      <x:c r="N1700" s="2"/>
      <x:c r="O1700" s="2"/>
    </x:row>
    <x:row r="1701" ht="21" customHeight="1">
      <x:c r="A1701" s="2" t="str">
        <x:v>NT001700</x:v>
      </x:c>
      <x:c r="B1701" s="2" t="str">
        <x:v>EV001702</x:v>
      </x:c>
      <x:c r="C1701" s="2" t="str">
        <x:v>T20261007-3-2</x:v>
      </x:c>
      <x:c r="D1701" s="2" t="str">
        <x:v>ST054</x:v>
      </x:c>
      <x:c r="E1701" s="2" t="str">
        <x:v>G054</x:v>
      </x:c>
      <x:c r="F1701" s="2" t="str">
        <x:v>guardian054@example.invalid</x:v>
      </x:c>
      <x:c r="G1701" s="2" t="str">
        <x:v>Email</x:v>
      </x:c>
      <x:c r="H1701" s="2" t="str">
        <x:v>Authorized release</x:v>
      </x:c>
      <x:c r="I1701" s="8" t="n">
        <x:v>46302.59038194445</x:v>
      </x:c>
      <x:c r="J1701" s="8" t="n">
        <x:v>46302.5904050926</x:v>
      </x:c>
      <x:c r="K1701" s="8" t="n">
        <x:v>46302.59043981482</x:v>
      </x:c>
      <x:c r="L1701" s="2" t="str">
        <x:v>Sent</x:v>
      </x:c>
      <x:c r="M1701" s="2" t="n">
        <x:v>1</x:v>
      </x:c>
      <x:c r="N1701" s="2"/>
      <x:c r="O1701" s="2"/>
    </x:row>
    <x:row r="1702" ht="21" customHeight="1">
      <x:c r="A1702" s="2" t="str">
        <x:v>NT001701</x:v>
      </x:c>
      <x:c r="B1702" s="2" t="str">
        <x:v>EV001703</x:v>
      </x:c>
      <x:c r="C1702" s="2" t="str">
        <x:v>T20261007-3-2</x:v>
      </x:c>
      <x:c r="D1702" s="2" t="str">
        <x:v>ST055</x:v>
      </x:c>
      <x:c r="E1702" s="2" t="str">
        <x:v>G055</x:v>
      </x:c>
      <x:c r="F1702" s="2" t="str">
        <x:v>guardian055@example.invalid</x:v>
      </x:c>
      <x:c r="G1702" s="2" t="str">
        <x:v>Email</x:v>
      </x:c>
      <x:c r="H1702" s="2" t="str">
        <x:v>Boarded</x:v>
      </x:c>
      <x:c r="I1702" s="8" t="n">
        <x:v>46302.573055555564</x:v>
      </x:c>
      <x:c r="J1702" s="8" t="n">
        <x:v>46302.57307870371</x:v>
      </x:c>
      <x:c r="K1702" s="8" t="n">
        <x:v>46302.57311342593</x:v>
      </x:c>
      <x:c r="L1702" s="2" t="str">
        <x:v>Sent</x:v>
      </x:c>
      <x:c r="M1702" s="2" t="n">
        <x:v>1</x:v>
      </x:c>
      <x:c r="N1702" s="2"/>
      <x:c r="O1702" s="2"/>
    </x:row>
    <x:row r="1703" ht="21" customHeight="1">
      <x:c r="A1703" s="2" t="str">
        <x:v>NT001702</x:v>
      </x:c>
      <x:c r="B1703" s="2" t="str">
        <x:v>EV001704</x:v>
      </x:c>
      <x:c r="C1703" s="2" t="str">
        <x:v>T20261007-3-2</x:v>
      </x:c>
      <x:c r="D1703" s="2" t="str">
        <x:v>ST055</x:v>
      </x:c>
      <x:c r="E1703" s="2" t="str">
        <x:v>G055</x:v>
      </x:c>
      <x:c r="F1703" s="2" t="str">
        <x:v>guardian055@example.invalid</x:v>
      </x:c>
      <x:c r="G1703" s="2" t="str">
        <x:v>Email</x:v>
      </x:c>
      <x:c r="H1703" s="2" t="str">
        <x:v>Authorized release</x:v>
      </x:c>
      <x:c r="I1703" s="8" t="n">
        <x:v>46302.59458333334</x:v>
      </x:c>
      <x:c r="J1703" s="8" t="n">
        <x:v>46302.594606481485</x:v>
      </x:c>
      <x:c r="K1703" s="8" t="n">
        <x:v>46302.59464120371</x:v>
      </x:c>
      <x:c r="L1703" s="2" t="str">
        <x:v>Sent</x:v>
      </x:c>
      <x:c r="M1703" s="2" t="n">
        <x:v>1</x:v>
      </x:c>
      <x:c r="N1703" s="2"/>
      <x:c r="O1703" s="2"/>
    </x:row>
    <x:row r="1704" ht="21" customHeight="1">
      <x:c r="A1704" s="2" t="str">
        <x:v>NT001703</x:v>
      </x:c>
      <x:c r="B1704" s="2" t="str">
        <x:v>EV001705</x:v>
      </x:c>
      <x:c r="C1704" s="2" t="str">
        <x:v>T20261007-3-2</x:v>
      </x:c>
      <x:c r="D1704" s="2" t="str">
        <x:v>ST056</x:v>
      </x:c>
      <x:c r="E1704" s="2" t="str">
        <x:v>G056</x:v>
      </x:c>
      <x:c r="F1704" s="2" t="str">
        <x:v>guardian056@example.invalid</x:v>
      </x:c>
      <x:c r="G1704" s="2" t="str">
        <x:v>Email</x:v>
      </x:c>
      <x:c r="H1704" s="2" t="str">
        <x:v>Boarded</x:v>
      </x:c>
      <x:c r="I1704" s="8" t="n">
        <x:v>46302.57309027778</x:v>
      </x:c>
      <x:c r="J1704" s="8" t="n">
        <x:v>46302.573113425926</x:v>
      </x:c>
      <x:c r="K1704" s="8" t="n">
        <x:v>46302.57314814815</x:v>
      </x:c>
      <x:c r="L1704" s="2" t="str">
        <x:v>Sent</x:v>
      </x:c>
      <x:c r="M1704" s="2" t="n">
        <x:v>1</x:v>
      </x:c>
      <x:c r="N1704" s="2"/>
      <x:c r="O1704" s="2"/>
    </x:row>
    <x:row r="1705" ht="21" customHeight="1">
      <x:c r="A1705" s="2" t="str">
        <x:v>NT001704</x:v>
      </x:c>
      <x:c r="B1705" s="2" t="str">
        <x:v>EV001706</x:v>
      </x:c>
      <x:c r="C1705" s="2" t="str">
        <x:v>T20261007-3-2</x:v>
      </x:c>
      <x:c r="D1705" s="2" t="str">
        <x:v>ST056</x:v>
      </x:c>
      <x:c r="E1705" s="2" t="str">
        <x:v>G056</x:v>
      </x:c>
      <x:c r="F1705" s="2" t="str">
        <x:v>guardian056@example.invalid</x:v>
      </x:c>
      <x:c r="G1705" s="2" t="str">
        <x:v>Email</x:v>
      </x:c>
      <x:c r="H1705" s="2" t="str">
        <x:v>Authorized release</x:v>
      </x:c>
      <x:c r="I1705" s="8" t="n">
        <x:v>46302.58628472222</x:v>
      </x:c>
      <x:c r="J1705" s="8" t="n">
        <x:v>46302.58630787037</x:v>
      </x:c>
      <x:c r="K1705" s="8" t="n">
        <x:v>46302.58634259259</x:v>
      </x:c>
      <x:c r="L1705" s="2" t="str">
        <x:v>Sent</x:v>
      </x:c>
      <x:c r="M1705" s="2" t="n">
        <x:v>1</x:v>
      </x:c>
      <x:c r="N1705" s="2"/>
      <x:c r="O1705" s="2"/>
    </x:row>
    <x:row r="1706" ht="21" customHeight="1">
      <x:c r="A1706" s="2" t="str">
        <x:v>NT001705</x:v>
      </x:c>
      <x:c r="B1706" s="2" t="str">
        <x:v>EV001707</x:v>
      </x:c>
      <x:c r="C1706" s="2" t="str">
        <x:v>T20261007-3-2</x:v>
      </x:c>
      <x:c r="D1706" s="2" t="str">
        <x:v>ST057</x:v>
      </x:c>
      <x:c r="E1706" s="2" t="str">
        <x:v>G057</x:v>
      </x:c>
      <x:c r="F1706" s="2" t="str">
        <x:v>guardian057@example.invalid</x:v>
      </x:c>
      <x:c r="G1706" s="2" t="str">
        <x:v>Email</x:v>
      </x:c>
      <x:c r="H1706" s="2" t="str">
        <x:v>Boarded</x:v>
      </x:c>
      <x:c r="I1706" s="8" t="n">
        <x:v>46302.573125</x:v>
      </x:c>
      <x:c r="J1706" s="8" t="n">
        <x:v>46302.57314814815</x:v>
      </x:c>
      <x:c r="K1706" s="8" t="n">
        <x:v>46302.57318287037</x:v>
      </x:c>
      <x:c r="L1706" s="2" t="str">
        <x:v>Sent</x:v>
      </x:c>
      <x:c r="M1706" s="2" t="n">
        <x:v>1</x:v>
      </x:c>
      <x:c r="N1706" s="2"/>
      <x:c r="O1706" s="2"/>
    </x:row>
    <x:row r="1707" ht="21" customHeight="1">
      <x:c r="A1707" s="2" t="str">
        <x:v>NT001706</x:v>
      </x:c>
      <x:c r="B1707" s="2" t="str">
        <x:v>EV001708</x:v>
      </x:c>
      <x:c r="C1707" s="2" t="str">
        <x:v>T20261007-3-2</x:v>
      </x:c>
      <x:c r="D1707" s="2" t="str">
        <x:v>ST057</x:v>
      </x:c>
      <x:c r="E1707" s="2" t="str">
        <x:v>G057</x:v>
      </x:c>
      <x:c r="F1707" s="2" t="str">
        <x:v>guardian057@example.invalid</x:v>
      </x:c>
      <x:c r="G1707" s="2" t="str">
        <x:v>Email</x:v>
      </x:c>
      <x:c r="H1707" s="2" t="str">
        <x:v>Authorized release</x:v>
      </x:c>
      <x:c r="I1707" s="8" t="n">
        <x:v>46302.59048611111</x:v>
      </x:c>
      <x:c r="J1707" s="8" t="n">
        <x:v>46302.59050925926</x:v>
      </x:c>
      <x:c r="K1707" s="8" t="n">
        <x:v>46302.59054398148</x:v>
      </x:c>
      <x:c r="L1707" s="2" t="str">
        <x:v>Sent</x:v>
      </x:c>
      <x:c r="M1707" s="2" t="n">
        <x:v>1</x:v>
      </x:c>
      <x:c r="N1707" s="2"/>
      <x:c r="O1707" s="2"/>
    </x:row>
    <x:row r="1708" ht="21" customHeight="1">
      <x:c r="A1708" s="2" t="str">
        <x:v>NT001707</x:v>
      </x:c>
      <x:c r="B1708" s="2" t="str">
        <x:v>EV001709</x:v>
      </x:c>
      <x:c r="C1708" s="2" t="str">
        <x:v>T20261007-3-2</x:v>
      </x:c>
      <x:c r="D1708" s="2" t="str">
        <x:v>ST058</x:v>
      </x:c>
      <x:c r="E1708" s="2" t="str">
        <x:v>G058</x:v>
      </x:c>
      <x:c r="F1708" s="2" t="str">
        <x:v>guardian058@example.invalid</x:v>
      </x:c>
      <x:c r="G1708" s="2" t="str">
        <x:v>Email</x:v>
      </x:c>
      <x:c r="H1708" s="2" t="str">
        <x:v>Boarded</x:v>
      </x:c>
      <x:c r="I1708" s="8" t="n">
        <x:v>46302.573159722226</x:v>
      </x:c>
      <x:c r="J1708" s="8" t="n">
        <x:v>46302.57318287037</x:v>
      </x:c>
      <x:c r="K1708" s="8" t="n">
        <x:v>46302.573217592595</x:v>
      </x:c>
      <x:c r="L1708" s="2" t="str">
        <x:v>Sent</x:v>
      </x:c>
      <x:c r="M1708" s="2" t="n">
        <x:v>1</x:v>
      </x:c>
      <x:c r="N1708" s="2"/>
      <x:c r="O1708" s="2"/>
    </x:row>
    <x:row r="1709" ht="21" customHeight="1">
      <x:c r="A1709" s="2" t="str">
        <x:v>NT001708</x:v>
      </x:c>
      <x:c r="B1709" s="2" t="str">
        <x:v>EV001710</x:v>
      </x:c>
      <x:c r="C1709" s="2" t="str">
        <x:v>T20261007-3-2</x:v>
      </x:c>
      <x:c r="D1709" s="2" t="str">
        <x:v>ST058</x:v>
      </x:c>
      <x:c r="E1709" s="2" t="str">
        <x:v>G058</x:v>
      </x:c>
      <x:c r="F1709" s="2" t="str">
        <x:v>guardian058@example.invalid</x:v>
      </x:c>
      <x:c r="G1709" s="2" t="str">
        <x:v>Email</x:v>
      </x:c>
      <x:c r="H1709" s="2" t="str">
        <x:v>Authorized release</x:v>
      </x:c>
      <x:c r="I1709" s="8" t="n">
        <x:v>46302.5946875</x:v>
      </x:c>
      <x:c r="J1709" s="8" t="n">
        <x:v>46302.59471064815</x:v>
      </x:c>
      <x:c r="K1709" s="8" t="n">
        <x:v>46302.59474537037</x:v>
      </x:c>
      <x:c r="L1709" s="2" t="str">
        <x:v>Sent</x:v>
      </x:c>
      <x:c r="M1709" s="2" t="n">
        <x:v>1</x:v>
      </x:c>
      <x:c r="N1709" s="2"/>
      <x:c r="O1709" s="2"/>
    </x:row>
    <x:row r="1710" ht="21" customHeight="1">
      <x:c r="A1710" s="2" t="str">
        <x:v>NT001709</x:v>
      </x:c>
      <x:c r="B1710" s="2" t="str">
        <x:v>EV001711</x:v>
      </x:c>
      <x:c r="C1710" s="2" t="str">
        <x:v>T20261007-3-2</x:v>
      </x:c>
      <x:c r="D1710" s="2" t="str">
        <x:v>ST059</x:v>
      </x:c>
      <x:c r="E1710" s="2" t="str">
        <x:v>G059</x:v>
      </x:c>
      <x:c r="F1710" s="2" t="str">
        <x:v>guardian059@example.invalid</x:v>
      </x:c>
      <x:c r="G1710" s="2" t="str">
        <x:v>Email</x:v>
      </x:c>
      <x:c r="H1710" s="2" t="str">
        <x:v>Boarded</x:v>
      </x:c>
      <x:c r="I1710" s="8" t="n">
        <x:v>46302.57319444445</x:v>
      </x:c>
      <x:c r="J1710" s="8" t="n">
        <x:v>46302.573217592595</x:v>
      </x:c>
      <x:c r="K1710" s="8" t="n">
        <x:v>46302.57325231482</x:v>
      </x:c>
      <x:c r="L1710" s="2" t="str">
        <x:v>Sent</x:v>
      </x:c>
      <x:c r="M1710" s="2" t="n">
        <x:v>1</x:v>
      </x:c>
      <x:c r="N1710" s="2"/>
      <x:c r="O1710" s="2"/>
    </x:row>
    <x:row r="1711" ht="21" customHeight="1">
      <x:c r="A1711" s="2" t="str">
        <x:v>NT001710</x:v>
      </x:c>
      <x:c r="B1711" s="2" t="str">
        <x:v>EV001712</x:v>
      </x:c>
      <x:c r="C1711" s="2" t="str">
        <x:v>T20261007-3-2</x:v>
      </x:c>
      <x:c r="D1711" s="2" t="str">
        <x:v>ST059</x:v>
      </x:c>
      <x:c r="E1711" s="2" t="str">
        <x:v>G059</x:v>
      </x:c>
      <x:c r="F1711" s="2" t="str">
        <x:v>guardian059@example.invalid</x:v>
      </x:c>
      <x:c r="G1711" s="2" t="str">
        <x:v>Email</x:v>
      </x:c>
      <x:c r="H1711" s="2" t="str">
        <x:v>Authorized release</x:v>
      </x:c>
      <x:c r="I1711" s="8" t="n">
        <x:v>46302.58638888889</x:v>
      </x:c>
      <x:c r="J1711" s="8" t="n">
        <x:v>46302.58641203704</x:v>
      </x:c>
      <x:c r="K1711" s="8" t="n">
        <x:v>46302.58644675926</x:v>
      </x:c>
      <x:c r="L1711" s="2" t="str">
        <x:v>Sent</x:v>
      </x:c>
      <x:c r="M1711" s="2" t="n">
        <x:v>1</x:v>
      </x:c>
      <x:c r="N1711" s="2"/>
      <x:c r="O1711" s="2"/>
    </x:row>
    <x:row r="1712" ht="21" customHeight="1">
      <x:c r="A1712" s="2" t="str">
        <x:v>NT001711</x:v>
      </x:c>
      <x:c r="B1712" s="2" t="str">
        <x:v>EV001713</x:v>
      </x:c>
      <x:c r="C1712" s="2" t="str">
        <x:v>T20261007-3-2</x:v>
      </x:c>
      <x:c r="D1712" s="2" t="str">
        <x:v>ST060</x:v>
      </x:c>
      <x:c r="E1712" s="2" t="str">
        <x:v>G060</x:v>
      </x:c>
      <x:c r="F1712" s="2" t="str">
        <x:v>guardian060@example.invalid</x:v>
      </x:c>
      <x:c r="G1712" s="2" t="str">
        <x:v>Email</x:v>
      </x:c>
      <x:c r="H1712" s="2" t="str">
        <x:v>Boarded</x:v>
      </x:c>
      <x:c r="I1712" s="8" t="n">
        <x:v>46302.57322916667</x:v>
      </x:c>
      <x:c r="J1712" s="8" t="n">
        <x:v>46302.57325231482</x:v>
      </x:c>
      <x:c r="K1712" s="8" t="n">
        <x:v>46302.57328703704</x:v>
      </x:c>
      <x:c r="L1712" s="2" t="str">
        <x:v>Sent</x:v>
      </x:c>
      <x:c r="M1712" s="2" t="n">
        <x:v>1</x:v>
      </x:c>
      <x:c r="N1712" s="2"/>
      <x:c r="O1712" s="2"/>
    </x:row>
    <x:row r="1713" ht="21" customHeight="1">
      <x:c r="A1713" s="2" t="str">
        <x:v>NT001712</x:v>
      </x:c>
      <x:c r="B1713" s="2" t="str">
        <x:v>EV001714</x:v>
      </x:c>
      <x:c r="C1713" s="2" t="str">
        <x:v>T20261007-3-2</x:v>
      </x:c>
      <x:c r="D1713" s="2" t="str">
        <x:v>ST060</x:v>
      </x:c>
      <x:c r="E1713" s="2" t="str">
        <x:v>G060</x:v>
      </x:c>
      <x:c r="F1713" s="2" t="str">
        <x:v>guardian060@example.invalid</x:v>
      </x:c>
      <x:c r="G1713" s="2" t="str">
        <x:v>Email</x:v>
      </x:c>
      <x:c r="H1713" s="2" t="str">
        <x:v>Authorized release</x:v>
      </x:c>
      <x:c r="I1713" s="8" t="n">
        <x:v>46302.59059027778</x:v>
      </x:c>
      <x:c r="J1713" s="8" t="n">
        <x:v>46302.59061342593</x:v>
      </x:c>
      <x:c r="K1713" s="8" t="n">
        <x:v>46302.59064814815</x:v>
      </x:c>
      <x:c r="L1713" s="2" t="str">
        <x:v>Sent</x:v>
      </x:c>
      <x:c r="M1713" s="2" t="n">
        <x:v>1</x:v>
      </x:c>
      <x:c r="N1713" s="2"/>
      <x:c r="O1713" s="2"/>
    </x:row>
    <x:row r="1714" ht="21" customHeight="1">
      <x:c r="A1714" s="2" t="str">
        <x:v>NT001713</x:v>
      </x:c>
      <x:c r="B1714" s="2" t="str">
        <x:v>EV001715</x:v>
      </x:c>
      <x:c r="C1714" s="2" t="str">
        <x:v>T20261007-4-2</x:v>
      </x:c>
      <x:c r="D1714" s="2" t="str">
        <x:v>ST061</x:v>
      </x:c>
      <x:c r="E1714" s="2" t="str">
        <x:v>G061</x:v>
      </x:c>
      <x:c r="F1714" s="2" t="str">
        <x:v>guardian061@example.invalid</x:v>
      </x:c>
      <x:c r="G1714" s="2" t="str">
        <x:v>Email</x:v>
      </x:c>
      <x:c r="H1714" s="2" t="str">
        <x:v>Boarded</x:v>
      </x:c>
      <x:c r="I1714" s="8" t="n">
        <x:v>46302.60416666667</x:v>
      </x:c>
      <x:c r="J1714" s="8" t="n">
        <x:v>46302.60418981482</x:v>
      </x:c>
      <x:c r="K1714" s="8" t="n">
        <x:v>46302.60422453704</x:v>
      </x:c>
      <x:c r="L1714" s="2" t="str">
        <x:v>Sent</x:v>
      </x:c>
      <x:c r="M1714" s="2" t="n">
        <x:v>1</x:v>
      </x:c>
      <x:c r="N1714" s="2"/>
      <x:c r="O1714" s="2"/>
    </x:row>
    <x:row r="1715" ht="21" customHeight="1">
      <x:c r="A1715" s="2" t="str">
        <x:v>NT001714</x:v>
      </x:c>
      <x:c r="B1715" s="2" t="str">
        <x:v>EV001716</x:v>
      </x:c>
      <x:c r="C1715" s="2" t="str">
        <x:v>T20261007-4-2</x:v>
      </x:c>
      <x:c r="D1715" s="2" t="str">
        <x:v>ST061</x:v>
      </x:c>
      <x:c r="E1715" s="2" t="str">
        <x:v>G061</x:v>
      </x:c>
      <x:c r="F1715" s="2" t="str">
        <x:v>guardian061@example.invalid</x:v>
      </x:c>
      <x:c r="G1715" s="2" t="str">
        <x:v>Email</x:v>
      </x:c>
      <x:c r="H1715" s="2" t="str">
        <x:v>Authorized release</x:v>
      </x:c>
      <x:c r="I1715" s="8" t="n">
        <x:v>46302.62708333333</x:v>
      </x:c>
      <x:c r="J1715" s="8" t="n">
        <x:v>46302.62710648148</x:v>
      </x:c>
      <x:c r="K1715" s="8" t="n">
        <x:v>46302.6271412037</x:v>
      </x:c>
      <x:c r="L1715" s="2" t="str">
        <x:v>Sent</x:v>
      </x:c>
      <x:c r="M1715" s="2" t="n">
        <x:v>1</x:v>
      </x:c>
      <x:c r="N1715" s="2"/>
      <x:c r="O1715" s="2"/>
    </x:row>
    <x:row r="1716" ht="21" customHeight="1">
      <x:c r="A1716" s="2" t="str">
        <x:v>NT001715</x:v>
      </x:c>
      <x:c r="B1716" s="2" t="str">
        <x:v>EV001717</x:v>
      </x:c>
      <x:c r="C1716" s="2" t="str">
        <x:v>T20261007-4-2</x:v>
      </x:c>
      <x:c r="D1716" s="2" t="str">
        <x:v>ST062</x:v>
      </x:c>
      <x:c r="E1716" s="2" t="str">
        <x:v>G062</x:v>
      </x:c>
      <x:c r="F1716" s="2" t="str">
        <x:v>guardian062@example.invalid</x:v>
      </x:c>
      <x:c r="G1716" s="2" t="str">
        <x:v>Email</x:v>
      </x:c>
      <x:c r="H1716" s="2" t="str">
        <x:v>Boarded</x:v>
      </x:c>
      <x:c r="I1716" s="8" t="n">
        <x:v>46302.604201388895</x:v>
      </x:c>
      <x:c r="J1716" s="8" t="n">
        <x:v>46302.60422453704</x:v>
      </x:c>
      <x:c r="K1716" s="8" t="n">
        <x:v>46302.604259259264</x:v>
      </x:c>
      <x:c r="L1716" s="2" t="str">
        <x:v>Sent</x:v>
      </x:c>
      <x:c r="M1716" s="2" t="n">
        <x:v>1</x:v>
      </x:c>
      <x:c r="N1716" s="2"/>
      <x:c r="O1716" s="2"/>
    </x:row>
    <x:row r="1717" ht="21" customHeight="1">
      <x:c r="A1717" s="2" t="str">
        <x:v>NT001716</x:v>
      </x:c>
      <x:c r="B1717" s="2" t="str">
        <x:v>EV001718</x:v>
      </x:c>
      <x:c r="C1717" s="2" t="str">
        <x:v>T20261007-4-2</x:v>
      </x:c>
      <x:c r="D1717" s="2" t="str">
        <x:v>ST062</x:v>
      </x:c>
      <x:c r="E1717" s="2" t="str">
        <x:v>G062</x:v>
      </x:c>
      <x:c r="F1717" s="2" t="str">
        <x:v>guardian062@example.invalid</x:v>
      </x:c>
      <x:c r="G1717" s="2" t="str">
        <x:v>Email</x:v>
      </x:c>
      <x:c r="H1717" s="2" t="str">
        <x:v>Authorized release</x:v>
      </x:c>
      <x:c r="I1717" s="8" t="n">
        <x:v>46302.618784722225</x:v>
      </x:c>
      <x:c r="J1717" s="8" t="n">
        <x:v>46302.61880787037</x:v>
      </x:c>
      <x:c r="K1717" s="8" t="n">
        <x:v>46302.618842592594</x:v>
      </x:c>
      <x:c r="L1717" s="2" t="str">
        <x:v>Sent</x:v>
      </x:c>
      <x:c r="M1717" s="2" t="n">
        <x:v>1</x:v>
      </x:c>
      <x:c r="N1717" s="2"/>
      <x:c r="O1717" s="2"/>
    </x:row>
    <x:row r="1718" ht="21" customHeight="1">
      <x:c r="A1718" s="2" t="str">
        <x:v>NT001717</x:v>
      </x:c>
      <x:c r="B1718" s="2" t="str">
        <x:v>EV001719</x:v>
      </x:c>
      <x:c r="C1718" s="2" t="str">
        <x:v>T20261007-4-2</x:v>
      </x:c>
      <x:c r="D1718" s="2" t="str">
        <x:v>ST063</x:v>
      </x:c>
      <x:c r="E1718" s="2" t="str">
        <x:v>G063</x:v>
      </x:c>
      <x:c r="F1718" s="2" t="str">
        <x:v>guardian063@example.invalid</x:v>
      </x:c>
      <x:c r="G1718" s="2" t="str">
        <x:v>Email</x:v>
      </x:c>
      <x:c r="H1718" s="2" t="str">
        <x:v>Boarded</x:v>
      </x:c>
      <x:c r="I1718" s="8" t="n">
        <x:v>46302.60423611112</x:v>
      </x:c>
      <x:c r="J1718" s="8" t="n">
        <x:v>46302.604259259264</x:v>
      </x:c>
      <x:c r="K1718" s="8" t="n">
        <x:v>46302.60429398149</x:v>
      </x:c>
      <x:c r="L1718" s="2" t="str">
        <x:v>Sent</x:v>
      </x:c>
      <x:c r="M1718" s="2" t="n">
        <x:v>1</x:v>
      </x:c>
      <x:c r="N1718" s="2"/>
      <x:c r="O1718" s="2"/>
    </x:row>
    <x:row r="1719" ht="21" customHeight="1">
      <x:c r="A1719" s="2" t="str">
        <x:v>NT001718</x:v>
      </x:c>
      <x:c r="B1719" s="2" t="str">
        <x:v>EV001720</x:v>
      </x:c>
      <x:c r="C1719" s="2" t="str">
        <x:v>T20261007-4-2</x:v>
      </x:c>
      <x:c r="D1719" s="2" t="str">
        <x:v>ST063</x:v>
      </x:c>
      <x:c r="E1719" s="2" t="str">
        <x:v>G063</x:v>
      </x:c>
      <x:c r="F1719" s="2" t="str">
        <x:v>guardian063@example.invalid</x:v>
      </x:c>
      <x:c r="G1719" s="2" t="str">
        <x:v>Email</x:v>
      </x:c>
      <x:c r="H1719" s="2" t="str">
        <x:v>Authorized release</x:v>
      </x:c>
      <x:c r="I1719" s="8" t="n">
        <x:v>46302.62298611111</x:v>
      </x:c>
      <x:c r="J1719" s="8" t="n">
        <x:v>46302.62300925926</x:v>
      </x:c>
      <x:c r="K1719" s="8" t="n">
        <x:v>46302.62304398148</x:v>
      </x:c>
      <x:c r="L1719" s="2" t="str">
        <x:v>Sent</x:v>
      </x:c>
      <x:c r="M1719" s="2" t="n">
        <x:v>1</x:v>
      </x:c>
      <x:c r="N1719" s="2"/>
      <x:c r="O1719" s="2"/>
    </x:row>
    <x:row r="1720" ht="21" customHeight="1">
      <x:c r="A1720" s="2" t="str">
        <x:v>NT001719</x:v>
      </x:c>
      <x:c r="B1720" s="2" t="str">
        <x:v>EV001721</x:v>
      </x:c>
      <x:c r="C1720" s="2" t="str">
        <x:v>T20261007-4-2</x:v>
      </x:c>
      <x:c r="D1720" s="2" t="str">
        <x:v>ST064</x:v>
      </x:c>
      <x:c r="E1720" s="2" t="str">
        <x:v>G064</x:v>
      </x:c>
      <x:c r="F1720" s="2" t="str">
        <x:v>guardian064@example.invalid</x:v>
      </x:c>
      <x:c r="G1720" s="2" t="str">
        <x:v>Email</x:v>
      </x:c>
      <x:c r="H1720" s="2" t="str">
        <x:v>Boarded</x:v>
      </x:c>
      <x:c r="I1720" s="8" t="n">
        <x:v>46302.60427083334</x:v>
      </x:c>
      <x:c r="J1720" s="8" t="n">
        <x:v>46302.60429398149</x:v>
      </x:c>
      <x:c r="K1720" s="8" t="n">
        <x:v>46302.60432870371</x:v>
      </x:c>
      <x:c r="L1720" s="2" t="str">
        <x:v>Sent</x:v>
      </x:c>
      <x:c r="M1720" s="2" t="n">
        <x:v>1</x:v>
      </x:c>
      <x:c r="N1720" s="2"/>
      <x:c r="O1720" s="2"/>
    </x:row>
    <x:row r="1721" ht="21" customHeight="1">
      <x:c r="A1721" s="2" t="str">
        <x:v>NT001720</x:v>
      </x:c>
      <x:c r="B1721" s="2" t="str">
        <x:v>EV001722</x:v>
      </x:c>
      <x:c r="C1721" s="2" t="str">
        <x:v>T20261007-4-2</x:v>
      </x:c>
      <x:c r="D1721" s="2" t="str">
        <x:v>ST064</x:v>
      </x:c>
      <x:c r="E1721" s="2" t="str">
        <x:v>G064</x:v>
      </x:c>
      <x:c r="F1721" s="2" t="str">
        <x:v>guardian064@example.invalid</x:v>
      </x:c>
      <x:c r="G1721" s="2" t="str">
        <x:v>Email</x:v>
      </x:c>
      <x:c r="H1721" s="2" t="str">
        <x:v>Authorized release</x:v>
      </x:c>
      <x:c r="I1721" s="8" t="n">
        <x:v>46302.6271875</x:v>
      </x:c>
      <x:c r="J1721" s="8" t="n">
        <x:v>46302.62721064815</x:v>
      </x:c>
      <x:c r="K1721" s="8" t="n">
        <x:v>46302.62724537037</x:v>
      </x:c>
      <x:c r="L1721" s="2" t="str">
        <x:v>Sent</x:v>
      </x:c>
      <x:c r="M1721" s="2" t="n">
        <x:v>1</x:v>
      </x:c>
      <x:c r="N1721" s="2"/>
      <x:c r="O1721" s="2"/>
    </x:row>
    <x:row r="1722" ht="21" customHeight="1">
      <x:c r="A1722" s="2" t="str">
        <x:v>NT001721</x:v>
      </x:c>
      <x:c r="B1722" s="2" t="str">
        <x:v>EV001723</x:v>
      </x:c>
      <x:c r="C1722" s="2" t="str">
        <x:v>T20261007-4-2</x:v>
      </x:c>
      <x:c r="D1722" s="2" t="str">
        <x:v>ST065</x:v>
      </x:c>
      <x:c r="E1722" s="2" t="str">
        <x:v>G065</x:v>
      </x:c>
      <x:c r="F1722" s="2" t="str">
        <x:v>guardian065@example.invalid</x:v>
      </x:c>
      <x:c r="G1722" s="2" t="str">
        <x:v>Email</x:v>
      </x:c>
      <x:c r="H1722" s="2" t="str">
        <x:v>Boarded</x:v>
      </x:c>
      <x:c r="I1722" s="8" t="n">
        <x:v>46302.604305555564</x:v>
      </x:c>
      <x:c r="J1722" s="8" t="n">
        <x:v>46302.60432870371</x:v>
      </x:c>
      <x:c r="K1722" s="8" t="n">
        <x:v>46302.60436342593</x:v>
      </x:c>
      <x:c r="L1722" s="2" t="str">
        <x:v>Sent</x:v>
      </x:c>
      <x:c r="M1722" s="2" t="n">
        <x:v>1</x:v>
      </x:c>
      <x:c r="N1722" s="2"/>
      <x:c r="O1722" s="2"/>
    </x:row>
    <x:row r="1723" ht="21" customHeight="1">
      <x:c r="A1723" s="2" t="str">
        <x:v>NT001722</x:v>
      </x:c>
      <x:c r="B1723" s="2" t="str">
        <x:v>EV001724</x:v>
      </x:c>
      <x:c r="C1723" s="2" t="str">
        <x:v>T20261007-4-2</x:v>
      </x:c>
      <x:c r="D1723" s="2" t="str">
        <x:v>ST065</x:v>
      </x:c>
      <x:c r="E1723" s="2" t="str">
        <x:v>G065</x:v>
      </x:c>
      <x:c r="F1723" s="2" t="str">
        <x:v>guardian065@example.invalid</x:v>
      </x:c>
      <x:c r="G1723" s="2" t="str">
        <x:v>Email</x:v>
      </x:c>
      <x:c r="H1723" s="2" t="str">
        <x:v>Authorized release</x:v>
      </x:c>
      <x:c r="I1723" s="8" t="n">
        <x:v>46302.618888888894</x:v>
      </x:c>
      <x:c r="J1723" s="8" t="n">
        <x:v>46302.61891203704</x:v>
      </x:c>
      <x:c r="K1723" s="8" t="n">
        <x:v>46302.61894675926</x:v>
      </x:c>
      <x:c r="L1723" s="2" t="str">
        <x:v>Sent</x:v>
      </x:c>
      <x:c r="M1723" s="2" t="n">
        <x:v>1</x:v>
      </x:c>
      <x:c r="N1723" s="2"/>
      <x:c r="O1723" s="2"/>
    </x:row>
    <x:row r="1724" ht="21" customHeight="1">
      <x:c r="A1724" s="2" t="str">
        <x:v>NT001723</x:v>
      </x:c>
      <x:c r="B1724" s="2" t="str">
        <x:v>EV001725</x:v>
      </x:c>
      <x:c r="C1724" s="2" t="str">
        <x:v>T20261007-4-2</x:v>
      </x:c>
      <x:c r="D1724" s="2" t="str">
        <x:v>ST066</x:v>
      </x:c>
      <x:c r="E1724" s="2" t="str">
        <x:v>G066</x:v>
      </x:c>
      <x:c r="F1724" s="2" t="str">
        <x:v>guardian066@example.invalid</x:v>
      </x:c>
      <x:c r="G1724" s="2" t="str">
        <x:v>Email</x:v>
      </x:c>
      <x:c r="H1724" s="2" t="str">
        <x:v>Boarded</x:v>
      </x:c>
      <x:c r="I1724" s="8" t="n">
        <x:v>46302.60434027778</x:v>
      </x:c>
      <x:c r="J1724" s="8" t="n">
        <x:v>46302.604363425926</x:v>
      </x:c>
      <x:c r="K1724" s="8" t="n">
        <x:v>46302.60439814815</x:v>
      </x:c>
      <x:c r="L1724" s="2" t="str">
        <x:v>Sent</x:v>
      </x:c>
      <x:c r="M1724" s="2" t="n">
        <x:v>1</x:v>
      </x:c>
      <x:c r="N1724" s="2"/>
      <x:c r="O1724" s="2"/>
    </x:row>
    <x:row r="1725" ht="21" customHeight="1">
      <x:c r="A1725" s="2" t="str">
        <x:v>NT001724</x:v>
      </x:c>
      <x:c r="B1725" s="2" t="str">
        <x:v>EV001726</x:v>
      </x:c>
      <x:c r="C1725" s="2" t="str">
        <x:v>T20261007-4-2</x:v>
      </x:c>
      <x:c r="D1725" s="2" t="str">
        <x:v>ST066</x:v>
      </x:c>
      <x:c r="E1725" s="2" t="str">
        <x:v>G066</x:v>
      </x:c>
      <x:c r="F1725" s="2" t="str">
        <x:v>guardian066@example.invalid</x:v>
      </x:c>
      <x:c r="G1725" s="2" t="str">
        <x:v>Email</x:v>
      </x:c>
      <x:c r="H1725" s="2" t="str">
        <x:v>Authorized release</x:v>
      </x:c>
      <x:c r="I1725" s="8" t="n">
        <x:v>46302.623090277775</x:v>
      </x:c>
      <x:c r="J1725" s="8" t="n">
        <x:v>46302.62311342592</x:v>
      </x:c>
      <x:c r="K1725" s="8" t="n">
        <x:v>46302.623148148145</x:v>
      </x:c>
      <x:c r="L1725" s="2" t="str">
        <x:v>Sent</x:v>
      </x:c>
      <x:c r="M1725" s="2" t="n">
        <x:v>1</x:v>
      </x:c>
      <x:c r="N1725" s="2"/>
      <x:c r="O1725" s="2"/>
    </x:row>
    <x:row r="1726" ht="21" customHeight="1">
      <x:c r="A1726" s="2" t="str">
        <x:v>NT001725</x:v>
      </x:c>
      <x:c r="B1726" s="2" t="str">
        <x:v>EV001727</x:v>
      </x:c>
      <x:c r="C1726" s="2" t="str">
        <x:v>T20261007-4-2</x:v>
      </x:c>
      <x:c r="D1726" s="2" t="str">
        <x:v>ST067</x:v>
      </x:c>
      <x:c r="E1726" s="2" t="str">
        <x:v>G067</x:v>
      </x:c>
      <x:c r="F1726" s="2" t="str">
        <x:v>guardian067@example.invalid</x:v>
      </x:c>
      <x:c r="G1726" s="2" t="str">
        <x:v>Email</x:v>
      </x:c>
      <x:c r="H1726" s="2" t="str">
        <x:v>Boarded</x:v>
      </x:c>
      <x:c r="I1726" s="8" t="n">
        <x:v>46302.604375</x:v>
      </x:c>
      <x:c r="J1726" s="8" t="n">
        <x:v>46302.60439814815</x:v>
      </x:c>
      <x:c r="K1726" s="8" t="n">
        <x:v>46302.60443287037</x:v>
      </x:c>
      <x:c r="L1726" s="2" t="str">
        <x:v>Sent</x:v>
      </x:c>
      <x:c r="M1726" s="2" t="n">
        <x:v>1</x:v>
      </x:c>
      <x:c r="N1726" s="2"/>
      <x:c r="O1726" s="2"/>
    </x:row>
    <x:row r="1727" ht="21" customHeight="1">
      <x:c r="A1727" s="2" t="str">
        <x:v>NT001726</x:v>
      </x:c>
      <x:c r="B1727" s="2" t="str">
        <x:v>EV001728</x:v>
      </x:c>
      <x:c r="C1727" s="2" t="str">
        <x:v>T20261007-4-2</x:v>
      </x:c>
      <x:c r="D1727" s="2" t="str">
        <x:v>ST067</x:v>
      </x:c>
      <x:c r="E1727" s="2" t="str">
        <x:v>G067</x:v>
      </x:c>
      <x:c r="F1727" s="2" t="str">
        <x:v>guardian067@example.invalid</x:v>
      </x:c>
      <x:c r="G1727" s="2" t="str">
        <x:v>Email</x:v>
      </x:c>
      <x:c r="H1727" s="2" t="str">
        <x:v>Authorized release</x:v>
      </x:c>
      <x:c r="I1727" s="8" t="n">
        <x:v>46302.627291666664</x:v>
      </x:c>
      <x:c r="J1727" s="8" t="n">
        <x:v>46302.62731481481</x:v>
      </x:c>
      <x:c r="K1727" s="8" t="n">
        <x:v>46302.62734953703</x:v>
      </x:c>
      <x:c r="L1727" s="2" t="str">
        <x:v>Sent</x:v>
      </x:c>
      <x:c r="M1727" s="2" t="n">
        <x:v>1</x:v>
      </x:c>
      <x:c r="N1727" s="2"/>
      <x:c r="O1727" s="2"/>
    </x:row>
    <x:row r="1728" ht="21" customHeight="1">
      <x:c r="A1728" s="2" t="str">
        <x:v>NT001727</x:v>
      </x:c>
      <x:c r="B1728" s="2" t="str">
        <x:v>EV001729</x:v>
      </x:c>
      <x:c r="C1728" s="2" t="str">
        <x:v>T20261007-4-2</x:v>
      </x:c>
      <x:c r="D1728" s="2" t="str">
        <x:v>ST068</x:v>
      </x:c>
      <x:c r="E1728" s="2" t="str">
        <x:v>G068</x:v>
      </x:c>
      <x:c r="F1728" s="2" t="str">
        <x:v>guardian068@example.invalid</x:v>
      </x:c>
      <x:c r="G1728" s="2" t="str">
        <x:v>Email</x:v>
      </x:c>
      <x:c r="H1728" s="2" t="str">
        <x:v>Boarded</x:v>
      </x:c>
      <x:c r="I1728" s="8" t="n">
        <x:v>46302.604409722226</x:v>
      </x:c>
      <x:c r="J1728" s="8" t="n">
        <x:v>46302.60443287037</x:v>
      </x:c>
      <x:c r="K1728" s="8" t="n">
        <x:v>46302.604467592595</x:v>
      </x:c>
      <x:c r="L1728" s="2" t="str">
        <x:v>Sent</x:v>
      </x:c>
      <x:c r="M1728" s="2" t="n">
        <x:v>1</x:v>
      </x:c>
      <x:c r="N1728" s="2"/>
      <x:c r="O1728" s="2"/>
    </x:row>
    <x:row r="1729" ht="21" customHeight="1">
      <x:c r="A1729" s="2" t="str">
        <x:v>NT001728</x:v>
      </x:c>
      <x:c r="B1729" s="2" t="str">
        <x:v>EV001730</x:v>
      </x:c>
      <x:c r="C1729" s="2" t="str">
        <x:v>T20261007-4-2</x:v>
      </x:c>
      <x:c r="D1729" s="2" t="str">
        <x:v>ST068</x:v>
      </x:c>
      <x:c r="E1729" s="2" t="str">
        <x:v>G068</x:v>
      </x:c>
      <x:c r="F1729" s="2" t="str">
        <x:v>guardian068@example.invalid</x:v>
      </x:c>
      <x:c r="G1729" s="2" t="str">
        <x:v>Email</x:v>
      </x:c>
      <x:c r="H1729" s="2" t="str">
        <x:v>Authorized release</x:v>
      </x:c>
      <x:c r="I1729" s="8" t="n">
        <x:v>46302.618993055556</x:v>
      </x:c>
      <x:c r="J1729" s="8" t="n">
        <x:v>46302.6190162037</x:v>
      </x:c>
      <x:c r="K1729" s="8" t="n">
        <x:v>46302.619050925925</x:v>
      </x:c>
      <x:c r="L1729" s="2" t="str">
        <x:v>Sent</x:v>
      </x:c>
      <x:c r="M1729" s="2" t="n">
        <x:v>1</x:v>
      </x:c>
      <x:c r="N1729" s="2"/>
      <x:c r="O1729" s="2"/>
    </x:row>
    <x:row r="1730" ht="21" customHeight="1">
      <x:c r="A1730" s="2" t="str">
        <x:v>NT001729</x:v>
      </x:c>
      <x:c r="B1730" s="2" t="str">
        <x:v>EV001731</x:v>
      </x:c>
      <x:c r="C1730" s="2" t="str">
        <x:v>T20261007-4-2</x:v>
      </x:c>
      <x:c r="D1730" s="2" t="str">
        <x:v>ST069</x:v>
      </x:c>
      <x:c r="E1730" s="2" t="str">
        <x:v>G069</x:v>
      </x:c>
      <x:c r="F1730" s="2" t="str">
        <x:v>guardian069@example.invalid</x:v>
      </x:c>
      <x:c r="G1730" s="2" t="str">
        <x:v>Email</x:v>
      </x:c>
      <x:c r="H1730" s="2" t="str">
        <x:v>Boarded</x:v>
      </x:c>
      <x:c r="I1730" s="8" t="n">
        <x:v>46302.60444444445</x:v>
      </x:c>
      <x:c r="J1730" s="8" t="n">
        <x:v>46302.604467592595</x:v>
      </x:c>
      <x:c r="K1730" s="8" t="n">
        <x:v>46302.60450231482</x:v>
      </x:c>
      <x:c r="L1730" s="2" t="str">
        <x:v>Sent</x:v>
      </x:c>
      <x:c r="M1730" s="2" t="n">
        <x:v>1</x:v>
      </x:c>
      <x:c r="N1730" s="2"/>
      <x:c r="O1730" s="2"/>
    </x:row>
    <x:row r="1731" ht="21" customHeight="1">
      <x:c r="A1731" s="2" t="str">
        <x:v>NT001730</x:v>
      </x:c>
      <x:c r="B1731" s="2" t="str">
        <x:v>EV001732</x:v>
      </x:c>
      <x:c r="C1731" s="2" t="str">
        <x:v>T20261007-4-2</x:v>
      </x:c>
      <x:c r="D1731" s="2" t="str">
        <x:v>ST069</x:v>
      </x:c>
      <x:c r="E1731" s="2" t="str">
        <x:v>G069</x:v>
      </x:c>
      <x:c r="F1731" s="2" t="str">
        <x:v>guardian069@example.invalid</x:v>
      </x:c>
      <x:c r="G1731" s="2" t="str">
        <x:v>Email</x:v>
      </x:c>
      <x:c r="H1731" s="2" t="str">
        <x:v>Authorized release</x:v>
      </x:c>
      <x:c r="I1731" s="8" t="n">
        <x:v>46302.623194444444</x:v>
      </x:c>
      <x:c r="J1731" s="8" t="n">
        <x:v>46302.62321759259</x:v>
      </x:c>
      <x:c r="K1731" s="8" t="n">
        <x:v>46302.623252314814</x:v>
      </x:c>
      <x:c r="L1731" s="2" t="str">
        <x:v>Sent</x:v>
      </x:c>
      <x:c r="M1731" s="2" t="n">
        <x:v>1</x:v>
      </x:c>
      <x:c r="N1731" s="2"/>
      <x:c r="O1731" s="2"/>
    </x:row>
    <x:row r="1732" ht="21" customHeight="1">
      <x:c r="A1732" s="2" t="str">
        <x:v>NT001731</x:v>
      </x:c>
      <x:c r="B1732" s="2" t="str">
        <x:v>EV001733</x:v>
      </x:c>
      <x:c r="C1732" s="2" t="str">
        <x:v>T20261007-4-2</x:v>
      </x:c>
      <x:c r="D1732" s="2" t="str">
        <x:v>ST070</x:v>
      </x:c>
      <x:c r="E1732" s="2" t="str">
        <x:v>G070</x:v>
      </x:c>
      <x:c r="F1732" s="2" t="str">
        <x:v>guardian070@example.invalid</x:v>
      </x:c>
      <x:c r="G1732" s="2" t="str">
        <x:v>Email</x:v>
      </x:c>
      <x:c r="H1732" s="2" t="str">
        <x:v>Boarded</x:v>
      </x:c>
      <x:c r="I1732" s="8" t="n">
        <x:v>46302.60447916667</x:v>
      </x:c>
      <x:c r="J1732" s="8" t="n">
        <x:v>46302.60450231482</x:v>
      </x:c>
      <x:c r="K1732" s="8" t="n">
        <x:v>46302.60453703704</x:v>
      </x:c>
      <x:c r="L1732" s="2" t="str">
        <x:v>Sent</x:v>
      </x:c>
      <x:c r="M1732" s="2" t="n">
        <x:v>1</x:v>
      </x:c>
      <x:c r="N1732" s="2"/>
      <x:c r="O1732" s="2"/>
    </x:row>
    <x:row r="1733" ht="21" customHeight="1">
      <x:c r="A1733" s="2" t="str">
        <x:v>NT001732</x:v>
      </x:c>
      <x:c r="B1733" s="2" t="str">
        <x:v>EV001734</x:v>
      </x:c>
      <x:c r="C1733" s="2" t="str">
        <x:v>T20261007-4-2</x:v>
      </x:c>
      <x:c r="D1733" s="2" t="str">
        <x:v>ST070</x:v>
      </x:c>
      <x:c r="E1733" s="2" t="str">
        <x:v>G070</x:v>
      </x:c>
      <x:c r="F1733" s="2" t="str">
        <x:v>guardian070@example.invalid</x:v>
      </x:c>
      <x:c r="G1733" s="2" t="str">
        <x:v>Email</x:v>
      </x:c>
      <x:c r="H1733" s="2" t="str">
        <x:v>Authorized release</x:v>
      </x:c>
      <x:c r="I1733" s="8" t="n">
        <x:v>46302.62739583333</x:v>
      </x:c>
      <x:c r="J1733" s="8" t="n">
        <x:v>46302.62741898148</x:v>
      </x:c>
      <x:c r="K1733" s="8" t="n">
        <x:v>46302.6274537037</x:v>
      </x:c>
      <x:c r="L1733" s="2" t="str">
        <x:v>Sent</x:v>
      </x:c>
      <x:c r="M1733" s="2" t="n">
        <x:v>1</x:v>
      </x:c>
      <x:c r="N1733" s="2"/>
      <x:c r="O1733" s="2"/>
    </x:row>
    <x:row r="1734" ht="21" customHeight="1">
      <x:c r="A1734" s="2" t="str">
        <x:v>NT001733</x:v>
      </x:c>
      <x:c r="B1734" s="2" t="str">
        <x:v>EV001735</x:v>
      </x:c>
      <x:c r="C1734" s="2" t="str">
        <x:v>T20261007-5-2</x:v>
      </x:c>
      <x:c r="D1734" s="2" t="str">
        <x:v>ST071</x:v>
      </x:c>
      <x:c r="E1734" s="2" t="str">
        <x:v>G071</x:v>
      </x:c>
      <x:c r="F1734" s="2" t="str">
        <x:v>guardian071@example.invalid</x:v>
      </x:c>
      <x:c r="G1734" s="2" t="str">
        <x:v>Email</x:v>
      </x:c>
      <x:c r="H1734" s="2" t="str">
        <x:v>Boarded</x:v>
      </x:c>
      <x:c r="I1734" s="8" t="n">
        <x:v>46302.70833333333</x:v>
      </x:c>
      <x:c r="J1734" s="8" t="n">
        <x:v>46302.708356481475</x:v>
      </x:c>
      <x:c r="K1734" s="8" t="n">
        <x:v>46302.7083912037</x:v>
      </x:c>
      <x:c r="L1734" s="2" t="str">
        <x:v>Sent</x:v>
      </x:c>
      <x:c r="M1734" s="2" t="n">
        <x:v>1</x:v>
      </x:c>
      <x:c r="N1734" s="2"/>
      <x:c r="O1734" s="2"/>
    </x:row>
    <x:row r="1735" ht="21" customHeight="1">
      <x:c r="A1735" s="2" t="str">
        <x:v>NT001734</x:v>
      </x:c>
      <x:c r="B1735" s="2" t="str">
        <x:v>EV001736</x:v>
      </x:c>
      <x:c r="C1735" s="2" t="str">
        <x:v>T20261007-5-2</x:v>
      </x:c>
      <x:c r="D1735" s="2" t="str">
        <x:v>ST071</x:v>
      </x:c>
      <x:c r="E1735" s="2" t="str">
        <x:v>G071</x:v>
      </x:c>
      <x:c r="F1735" s="2" t="str">
        <x:v>guardian071@example.invalid</x:v>
      </x:c>
      <x:c r="G1735" s="2" t="str">
        <x:v>Email</x:v>
      </x:c>
      <x:c r="H1735" s="2" t="str">
        <x:v>Authorized release</x:v>
      </x:c>
      <x:c r="I1735" s="8" t="n">
        <x:v>46302.72361111111</x:v>
      </x:c>
      <x:c r="J1735" s="8" t="n">
        <x:v>46302.72363425926</x:v>
      </x:c>
      <x:c r="K1735" s="8" t="n">
        <x:v>46302.72366898148</x:v>
      </x:c>
      <x:c r="L1735" s="2" t="str">
        <x:v>Sent</x:v>
      </x:c>
      <x:c r="M1735" s="2" t="n">
        <x:v>1</x:v>
      </x:c>
      <x:c r="N1735" s="2"/>
      <x:c r="O1735" s="2"/>
    </x:row>
    <x:row r="1736" ht="21" customHeight="1">
      <x:c r="A1736" s="2" t="str">
        <x:v>NT001735</x:v>
      </x:c>
      <x:c r="B1736" s="2" t="str">
        <x:v>EV001737</x:v>
      </x:c>
      <x:c r="C1736" s="2" t="str">
        <x:v>T20261007-5-2</x:v>
      </x:c>
      <x:c r="D1736" s="2" t="str">
        <x:v>ST072</x:v>
      </x:c>
      <x:c r="E1736" s="2" t="str">
        <x:v>G072</x:v>
      </x:c>
      <x:c r="F1736" s="2" t="str">
        <x:v>guardian072@example.invalid</x:v>
      </x:c>
      <x:c r="G1736" s="2" t="str">
        <x:v>Email</x:v>
      </x:c>
      <x:c r="H1736" s="2" t="str">
        <x:v>Boarded</x:v>
      </x:c>
      <x:c r="I1736" s="8" t="n">
        <x:v>46302.70836805555</x:v>
      </x:c>
      <x:c r="J1736" s="8" t="n">
        <x:v>46302.7083912037</x:v>
      </x:c>
      <x:c r="K1736" s="8" t="n">
        <x:v>46302.70842592592</x:v>
      </x:c>
      <x:c r="L1736" s="2" t="str">
        <x:v>Sent</x:v>
      </x:c>
      <x:c r="M1736" s="2" t="n">
        <x:v>1</x:v>
      </x:c>
      <x:c r="N1736" s="2"/>
      <x:c r="O1736" s="2"/>
    </x:row>
    <x:row r="1737" ht="21" customHeight="1">
      <x:c r="A1737" s="2" t="str">
        <x:v>NT001736</x:v>
      </x:c>
      <x:c r="B1737" s="2" t="str">
        <x:v>EV001738</x:v>
      </x:c>
      <x:c r="C1737" s="2" t="str">
        <x:v>T20261007-5-2</x:v>
      </x:c>
      <x:c r="D1737" s="2" t="str">
        <x:v>ST072</x:v>
      </x:c>
      <x:c r="E1737" s="2" t="str">
        <x:v>G072</x:v>
      </x:c>
      <x:c r="F1737" s="2" t="str">
        <x:v>guardian072@example.invalid</x:v>
      </x:c>
      <x:c r="G1737" s="2" t="str">
        <x:v>Email</x:v>
      </x:c>
      <x:c r="H1737" s="2" t="str">
        <x:v>Authorized release</x:v>
      </x:c>
      <x:c r="I1737" s="8" t="n">
        <x:v>46302.72850694445</x:v>
      </x:c>
      <x:c r="J1737" s="8" t="n">
        <x:v>46302.728530092594</x:v>
      </x:c>
      <x:c r="K1737" s="8" t="n">
        <x:v>46302.72856481482</x:v>
      </x:c>
      <x:c r="L1737" s="2" t="str">
        <x:v>Sent</x:v>
      </x:c>
      <x:c r="M1737" s="2" t="n">
        <x:v>1</x:v>
      </x:c>
      <x:c r="N1737" s="2"/>
      <x:c r="O1737" s="2"/>
    </x:row>
    <x:row r="1738" ht="21" customHeight="1">
      <x:c r="A1738" s="2" t="str">
        <x:v>NT001737</x:v>
      </x:c>
      <x:c r="B1738" s="2" t="str">
        <x:v>EV001739</x:v>
      </x:c>
      <x:c r="C1738" s="2" t="str">
        <x:v>T20261007-5-2</x:v>
      </x:c>
      <x:c r="D1738" s="2" t="str">
        <x:v>ST073</x:v>
      </x:c>
      <x:c r="E1738" s="2" t="str">
        <x:v>G073</x:v>
      </x:c>
      <x:c r="F1738" s="2" t="str">
        <x:v>guardian073@example.invalid</x:v>
      </x:c>
      <x:c r="G1738" s="2" t="str">
        <x:v>Email</x:v>
      </x:c>
      <x:c r="H1738" s="2" t="str">
        <x:v>Boarded</x:v>
      </x:c>
      <x:c r="I1738" s="8" t="n">
        <x:v>46302.708402777775</x:v>
      </x:c>
      <x:c r="J1738" s="8" t="n">
        <x:v>46302.70842592592</x:v>
      </x:c>
      <x:c r="K1738" s="8" t="n">
        <x:v>46302.708460648144</x:v>
      </x:c>
      <x:c r="L1738" s="2" t="str">
        <x:v>Sent</x:v>
      </x:c>
      <x:c r="M1738" s="2" t="n">
        <x:v>1</x:v>
      </x:c>
      <x:c r="N1738" s="2"/>
      <x:c r="O1738" s="2"/>
    </x:row>
    <x:row r="1739" ht="21" customHeight="1">
      <x:c r="A1739" s="2" t="str">
        <x:v>NT001738</x:v>
      </x:c>
      <x:c r="B1739" s="2" t="str">
        <x:v>EV001740</x:v>
      </x:c>
      <x:c r="C1739" s="2" t="str">
        <x:v>T20261007-5-2</x:v>
      </x:c>
      <x:c r="D1739" s="2" t="str">
        <x:v>ST073</x:v>
      </x:c>
      <x:c r="E1739" s="2" t="str">
        <x:v>G073</x:v>
      </x:c>
      <x:c r="F1739" s="2" t="str">
        <x:v>guardian073@example.invalid</x:v>
      </x:c>
      <x:c r="G1739" s="2" t="str">
        <x:v>Email</x:v>
      </x:c>
      <x:c r="H1739" s="2" t="str">
        <x:v>Authorized release</x:v>
      </x:c>
      <x:c r="I1739" s="8" t="n">
        <x:v>46302.73340277778</x:v>
      </x:c>
      <x:c r="J1739" s="8" t="n">
        <x:v>46302.73342592593</x:v>
      </x:c>
      <x:c r="K1739" s="8" t="n">
        <x:v>46302.73346064815</x:v>
      </x:c>
      <x:c r="L1739" s="2" t="str">
        <x:v>Sent</x:v>
      </x:c>
      <x:c r="M1739" s="2" t="n">
        <x:v>1</x:v>
      </x:c>
      <x:c r="N1739" s="2"/>
      <x:c r="O1739" s="2"/>
    </x:row>
    <x:row r="1740" ht="21" customHeight="1">
      <x:c r="A1740" s="2" t="str">
        <x:v>NT001739</x:v>
      </x:c>
      <x:c r="B1740" s="2" t="str">
        <x:v>EV001741</x:v>
      </x:c>
      <x:c r="C1740" s="2" t="str">
        <x:v>T20261007-5-2</x:v>
      </x:c>
      <x:c r="D1740" s="2" t="str">
        <x:v>ST074</x:v>
      </x:c>
      <x:c r="E1740" s="2" t="str">
        <x:v>G074</x:v>
      </x:c>
      <x:c r="F1740" s="2" t="str">
        <x:v>guardian074@example.invalid</x:v>
      </x:c>
      <x:c r="G1740" s="2" t="str">
        <x:v>Email</x:v>
      </x:c>
      <x:c r="H1740" s="2" t="str">
        <x:v>Boarded</x:v>
      </x:c>
      <x:c r="I1740" s="8" t="n">
        <x:v>46302.7084375</x:v>
      </x:c>
      <x:c r="J1740" s="8" t="n">
        <x:v>46302.708460648144</x:v>
      </x:c>
      <x:c r="K1740" s="8" t="n">
        <x:v>46302.70849537037</x:v>
      </x:c>
      <x:c r="L1740" s="2" t="str">
        <x:v>Sent</x:v>
      </x:c>
      <x:c r="M1740" s="2" t="n">
        <x:v>1</x:v>
      </x:c>
      <x:c r="N1740" s="2"/>
      <x:c r="O1740" s="2"/>
    </x:row>
    <x:row r="1741" ht="21" customHeight="1">
      <x:c r="A1741" s="2" t="str">
        <x:v>NT001740</x:v>
      </x:c>
      <x:c r="B1741" s="2" t="str">
        <x:v>EV001742</x:v>
      </x:c>
      <x:c r="C1741" s="2" t="str">
        <x:v>T20261007-5-2</x:v>
      </x:c>
      <x:c r="D1741" s="2" t="str">
        <x:v>ST074</x:v>
      </x:c>
      <x:c r="E1741" s="2" t="str">
        <x:v>G074</x:v>
      </x:c>
      <x:c r="F1741" s="2" t="str">
        <x:v>guardian074@example.invalid</x:v>
      </x:c>
      <x:c r="G1741" s="2" t="str">
        <x:v>Email</x:v>
      </x:c>
      <x:c r="H1741" s="2" t="str">
        <x:v>Authorized release</x:v>
      </x:c>
      <x:c r="I1741" s="8" t="n">
        <x:v>46302.72371527778</x:v>
      </x:c>
      <x:c r="J1741" s="8" t="n">
        <x:v>46302.72373842593</x:v>
      </x:c>
      <x:c r="K1741" s="8" t="n">
        <x:v>46302.72377314815</x:v>
      </x:c>
      <x:c r="L1741" s="2" t="str">
        <x:v>Sent</x:v>
      </x:c>
      <x:c r="M1741" s="2" t="n">
        <x:v>1</x:v>
      </x:c>
      <x:c r="N1741" s="2"/>
      <x:c r="O1741" s="2"/>
    </x:row>
    <x:row r="1742" ht="21" customHeight="1">
      <x:c r="A1742" s="2" t="str">
        <x:v>NT001741</x:v>
      </x:c>
      <x:c r="B1742" s="2" t="str">
        <x:v>EV001743</x:v>
      </x:c>
      <x:c r="C1742" s="2" t="str">
        <x:v>T20261007-5-2</x:v>
      </x:c>
      <x:c r="D1742" s="2" t="str">
        <x:v>ST075</x:v>
      </x:c>
      <x:c r="E1742" s="2" t="str">
        <x:v>G075</x:v>
      </x:c>
      <x:c r="F1742" s="2" t="str">
        <x:v>guardian075@example.invalid</x:v>
      </x:c>
      <x:c r="G1742" s="2" t="str">
        <x:v>Email</x:v>
      </x:c>
      <x:c r="H1742" s="2" t="str">
        <x:v>Boarded</x:v>
      </x:c>
      <x:c r="I1742" s="8" t="n">
        <x:v>46302.70847222222</x:v>
      </x:c>
      <x:c r="J1742" s="8" t="n">
        <x:v>46302.70849537037</x:v>
      </x:c>
      <x:c r="K1742" s="8" t="n">
        <x:v>46302.70853009259</x:v>
      </x:c>
      <x:c r="L1742" s="2" t="str">
        <x:v>Sent</x:v>
      </x:c>
      <x:c r="M1742" s="2" t="n">
        <x:v>1</x:v>
      </x:c>
      <x:c r="N1742" s="2"/>
      <x:c r="O1742" s="2"/>
    </x:row>
    <x:row r="1743" ht="21" customHeight="1">
      <x:c r="A1743" s="2" t="str">
        <x:v>NT001742</x:v>
      </x:c>
      <x:c r="B1743" s="2" t="str">
        <x:v>EV001744</x:v>
      </x:c>
      <x:c r="C1743" s="2" t="str">
        <x:v>T20261007-5-2</x:v>
      </x:c>
      <x:c r="D1743" s="2" t="str">
        <x:v>ST075</x:v>
      </x:c>
      <x:c r="E1743" s="2" t="str">
        <x:v>G075</x:v>
      </x:c>
      <x:c r="F1743" s="2" t="str">
        <x:v>guardian075@example.invalid</x:v>
      </x:c>
      <x:c r="G1743" s="2" t="str">
        <x:v>Email</x:v>
      </x:c>
      <x:c r="H1743" s="2" t="str">
        <x:v>Authorized release</x:v>
      </x:c>
      <x:c r="I1743" s="8" t="n">
        <x:v>46302.72861111112</x:v>
      </x:c>
      <x:c r="J1743" s="8" t="n">
        <x:v>46302.72863425926</x:v>
      </x:c>
      <x:c r="K1743" s="8" t="n">
        <x:v>46302.72866898149</x:v>
      </x:c>
      <x:c r="L1743" s="2" t="str">
        <x:v>Sent</x:v>
      </x:c>
      <x:c r="M1743" s="2" t="n">
        <x:v>1</x:v>
      </x:c>
      <x:c r="N1743" s="2"/>
      <x:c r="O1743" s="2"/>
    </x:row>
    <x:row r="1744" ht="21" customHeight="1">
      <x:c r="A1744" s="2" t="str">
        <x:v>NT001743</x:v>
      </x:c>
      <x:c r="B1744" s="2" t="str">
        <x:v>EV001745</x:v>
      </x:c>
      <x:c r="C1744" s="2" t="str">
        <x:v>T20261007-5-2</x:v>
      </x:c>
      <x:c r="D1744" s="2" t="str">
        <x:v>ST076</x:v>
      </x:c>
      <x:c r="E1744" s="2" t="str">
        <x:v>G076</x:v>
      </x:c>
      <x:c r="F1744" s="2" t="str">
        <x:v>guardian076@example.invalid</x:v>
      </x:c>
      <x:c r="G1744" s="2" t="str">
        <x:v>Email</x:v>
      </x:c>
      <x:c r="H1744" s="2" t="str">
        <x:v>Boarded</x:v>
      </x:c>
      <x:c r="I1744" s="8" t="n">
        <x:v>46302.70850694444</x:v>
      </x:c>
      <x:c r="J1744" s="8" t="n">
        <x:v>46302.70853009258</x:v>
      </x:c>
      <x:c r="K1744" s="8" t="n">
        <x:v>46302.708564814806</x:v>
      </x:c>
      <x:c r="L1744" s="2" t="str">
        <x:v>Sent</x:v>
      </x:c>
      <x:c r="M1744" s="2" t="n">
        <x:v>1</x:v>
      </x:c>
      <x:c r="N1744" s="2"/>
      <x:c r="O1744" s="2"/>
    </x:row>
    <x:row r="1745" ht="21" customHeight="1">
      <x:c r="A1745" s="2" t="str">
        <x:v>NT001744</x:v>
      </x:c>
      <x:c r="B1745" s="2" t="str">
        <x:v>EV001746</x:v>
      </x:c>
      <x:c r="C1745" s="2" t="str">
        <x:v>T20261007-5-2</x:v>
      </x:c>
      <x:c r="D1745" s="2" t="str">
        <x:v>ST076</x:v>
      </x:c>
      <x:c r="E1745" s="2" t="str">
        <x:v>G076</x:v>
      </x:c>
      <x:c r="F1745" s="2" t="str">
        <x:v>guardian076@example.invalid</x:v>
      </x:c>
      <x:c r="G1745" s="2" t="str">
        <x:v>Email</x:v>
      </x:c>
      <x:c r="H1745" s="2" t="str">
        <x:v>Authorized release</x:v>
      </x:c>
      <x:c r="I1745" s="8" t="n">
        <x:v>46302.733506944445</x:v>
      </x:c>
      <x:c r="J1745" s="8" t="n">
        <x:v>46302.73353009259</x:v>
      </x:c>
      <x:c r="K1745" s="8" t="n">
        <x:v>46302.733564814815</x:v>
      </x:c>
      <x:c r="L1745" s="2" t="str">
        <x:v>Sent</x:v>
      </x:c>
      <x:c r="M1745" s="2" t="n">
        <x:v>1</x:v>
      </x:c>
      <x:c r="N1745" s="2"/>
      <x:c r="O1745" s="2"/>
    </x:row>
    <x:row r="1746" ht="21" customHeight="1">
      <x:c r="A1746" s="2" t="str">
        <x:v>NT001745</x:v>
      </x:c>
      <x:c r="B1746" s="2" t="str">
        <x:v>EV001747</x:v>
      </x:c>
      <x:c r="C1746" s="2" t="str">
        <x:v>T20261007-5-2</x:v>
      </x:c>
      <x:c r="D1746" s="2" t="str">
        <x:v>ST077</x:v>
      </x:c>
      <x:c r="E1746" s="2" t="str">
        <x:v>G077</x:v>
      </x:c>
      <x:c r="F1746" s="2" t="str">
        <x:v>guardian077@example.invalid</x:v>
      </x:c>
      <x:c r="G1746" s="2" t="str">
        <x:v>Email</x:v>
      </x:c>
      <x:c r="H1746" s="2" t="str">
        <x:v>Boarded</x:v>
      </x:c>
      <x:c r="I1746" s="8" t="n">
        <x:v>46302.70854166666</x:v>
      </x:c>
      <x:c r="J1746" s="8" t="n">
        <x:v>46302.708564814806</x:v>
      </x:c>
      <x:c r="K1746" s="8" t="n">
        <x:v>46302.70859953703</x:v>
      </x:c>
      <x:c r="L1746" s="2" t="str">
        <x:v>Sent</x:v>
      </x:c>
      <x:c r="M1746" s="2" t="n">
        <x:v>1</x:v>
      </x:c>
      <x:c r="N1746" s="2"/>
      <x:c r="O1746" s="2"/>
    </x:row>
    <x:row r="1747" ht="21" customHeight="1">
      <x:c r="A1747" s="2" t="str">
        <x:v>NT001746</x:v>
      </x:c>
      <x:c r="B1747" s="2" t="str">
        <x:v>EV001748</x:v>
      </x:c>
      <x:c r="C1747" s="2" t="str">
        <x:v>T20261007-5-2</x:v>
      </x:c>
      <x:c r="D1747" s="2" t="str">
        <x:v>ST077</x:v>
      </x:c>
      <x:c r="E1747" s="2" t="str">
        <x:v>G077</x:v>
      </x:c>
      <x:c r="F1747" s="2" t="str">
        <x:v>guardian077@example.invalid</x:v>
      </x:c>
      <x:c r="G1747" s="2" t="str">
        <x:v>Email</x:v>
      </x:c>
      <x:c r="H1747" s="2" t="str">
        <x:v>Authorized release</x:v>
      </x:c>
      <x:c r="I1747" s="8" t="n">
        <x:v>46302.72381944444</x:v>
      </x:c>
      <x:c r="J1747" s="8" t="n">
        <x:v>46302.72384259259</x:v>
      </x:c>
      <x:c r="K1747" s="8" t="n">
        <x:v>46302.72387731481</x:v>
      </x:c>
      <x:c r="L1747" s="2" t="str">
        <x:v>Sent</x:v>
      </x:c>
      <x:c r="M1747" s="2" t="n">
        <x:v>1</x:v>
      </x:c>
      <x:c r="N1747" s="2"/>
      <x:c r="O1747" s="2"/>
    </x:row>
    <x:row r="1748" ht="21" customHeight="1">
      <x:c r="A1748" s="2" t="str">
        <x:v>NT001747</x:v>
      </x:c>
      <x:c r="B1748" s="2" t="str">
        <x:v>EV001749</x:v>
      </x:c>
      <x:c r="C1748" s="2" t="str">
        <x:v>T20261007-5-2</x:v>
      </x:c>
      <x:c r="D1748" s="2" t="str">
        <x:v>ST078</x:v>
      </x:c>
      <x:c r="E1748" s="2" t="str">
        <x:v>G078</x:v>
      </x:c>
      <x:c r="F1748" s="2" t="str">
        <x:v>guardian078@example.invalid</x:v>
      </x:c>
      <x:c r="G1748" s="2" t="str">
        <x:v>Email</x:v>
      </x:c>
      <x:c r="H1748" s="2" t="str">
        <x:v>Boarded</x:v>
      </x:c>
      <x:c r="I1748" s="8" t="n">
        <x:v>46302.70857638888</x:v>
      </x:c>
      <x:c r="J1748" s="8" t="n">
        <x:v>46302.70859953703</x:v>
      </x:c>
      <x:c r="K1748" s="8" t="n">
        <x:v>46302.70863425925</x:v>
      </x:c>
      <x:c r="L1748" s="2" t="str">
        <x:v>Sent</x:v>
      </x:c>
      <x:c r="M1748" s="2" t="n">
        <x:v>1</x:v>
      </x:c>
      <x:c r="N1748" s="2"/>
      <x:c r="O1748" s="2"/>
    </x:row>
    <x:row r="1749" ht="21" customHeight="1">
      <x:c r="A1749" s="2" t="str">
        <x:v>NT001748</x:v>
      </x:c>
      <x:c r="B1749" s="2" t="str">
        <x:v>EV001750</x:v>
      </x:c>
      <x:c r="C1749" s="2" t="str">
        <x:v>T20261007-5-2</x:v>
      </x:c>
      <x:c r="D1749" s="2" t="str">
        <x:v>ST078</x:v>
      </x:c>
      <x:c r="E1749" s="2" t="str">
        <x:v>G078</x:v>
      </x:c>
      <x:c r="F1749" s="2" t="str">
        <x:v>guardian078@example.invalid</x:v>
      </x:c>
      <x:c r="G1749" s="2" t="str">
        <x:v>Email</x:v>
      </x:c>
      <x:c r="H1749" s="2" t="str">
        <x:v>Authorized release</x:v>
      </x:c>
      <x:c r="I1749" s="8" t="n">
        <x:v>46302.72871527778</x:v>
      </x:c>
      <x:c r="J1749" s="8" t="n">
        <x:v>46302.728738425925</x:v>
      </x:c>
      <x:c r="K1749" s="8" t="n">
        <x:v>46302.72877314815</x:v>
      </x:c>
      <x:c r="L1749" s="2" t="str">
        <x:v>Sent</x:v>
      </x:c>
      <x:c r="M1749" s="2" t="n">
        <x:v>1</x:v>
      </x:c>
      <x:c r="N1749" s="2"/>
      <x:c r="O1749" s="2"/>
    </x:row>
    <x:row r="1750" ht="21" customHeight="1">
      <x:c r="A1750" s="2" t="str">
        <x:v>NT001749</x:v>
      </x:c>
      <x:c r="B1750" s="2" t="str">
        <x:v>EV001751</x:v>
      </x:c>
      <x:c r="C1750" s="2" t="str">
        <x:v>T20261007-5-2</x:v>
      </x:c>
      <x:c r="D1750" s="2" t="str">
        <x:v>ST079</x:v>
      </x:c>
      <x:c r="E1750" s="2" t="str">
        <x:v>G079</x:v>
      </x:c>
      <x:c r="F1750" s="2" t="str">
        <x:v>guardian079@example.invalid</x:v>
      </x:c>
      <x:c r="G1750" s="2" t="str">
        <x:v>Email</x:v>
      </x:c>
      <x:c r="H1750" s="2" t="str">
        <x:v>Boarded</x:v>
      </x:c>
      <x:c r="I1750" s="8" t="n">
        <x:v>46302.708611111106</x:v>
      </x:c>
      <x:c r="J1750" s="8" t="n">
        <x:v>46302.70863425925</x:v>
      </x:c>
      <x:c r="K1750" s="8" t="n">
        <x:v>46302.708668981475</x:v>
      </x:c>
      <x:c r="L1750" s="2" t="str">
        <x:v>Sent</x:v>
      </x:c>
      <x:c r="M1750" s="2" t="n">
        <x:v>1</x:v>
      </x:c>
      <x:c r="N1750" s="2"/>
      <x:c r="O1750" s="2"/>
    </x:row>
    <x:row r="1751" ht="21" customHeight="1">
      <x:c r="A1751" s="2" t="str">
        <x:v>NT001750</x:v>
      </x:c>
      <x:c r="B1751" s="2" t="str">
        <x:v>EV001752</x:v>
      </x:c>
      <x:c r="C1751" s="2" t="str">
        <x:v>T20261007-5-2</x:v>
      </x:c>
      <x:c r="D1751" s="2" t="str">
        <x:v>ST079</x:v>
      </x:c>
      <x:c r="E1751" s="2" t="str">
        <x:v>G079</x:v>
      </x:c>
      <x:c r="F1751" s="2" t="str">
        <x:v>guardian079@example.invalid</x:v>
      </x:c>
      <x:c r="G1751" s="2" t="str">
        <x:v>Email</x:v>
      </x:c>
      <x:c r="H1751" s="2" t="str">
        <x:v>Authorized release</x:v>
      </x:c>
      <x:c r="I1751" s="8" t="n">
        <x:v>46302.733611111114</x:v>
      </x:c>
      <x:c r="J1751" s="8" t="n">
        <x:v>46302.73363425926</x:v>
      </x:c>
      <x:c r="K1751" s="8" t="n">
        <x:v>46302.733668981484</x:v>
      </x:c>
      <x:c r="L1751" s="2" t="str">
        <x:v>Sent</x:v>
      </x:c>
      <x:c r="M1751" s="2" t="n">
        <x:v>1</x:v>
      </x:c>
      <x:c r="N1751" s="2"/>
      <x:c r="O1751" s="2"/>
    </x:row>
    <x:row r="1752" ht="21" customHeight="1">
      <x:c r="A1752" s="2" t="str">
        <x:v>NT001751</x:v>
      </x:c>
      <x:c r="B1752" s="2" t="str">
        <x:v>EV001753</x:v>
      </x:c>
      <x:c r="C1752" s="2" t="str">
        <x:v>T20261007-5-2</x:v>
      </x:c>
      <x:c r="D1752" s="2" t="str">
        <x:v>ST080</x:v>
      </x:c>
      <x:c r="E1752" s="2" t="str">
        <x:v>G080</x:v>
      </x:c>
      <x:c r="F1752" s="2" t="str">
        <x:v>guardian080@example.invalid</x:v>
      </x:c>
      <x:c r="G1752" s="2" t="str">
        <x:v>Email</x:v>
      </x:c>
      <x:c r="H1752" s="2" t="str">
        <x:v>Boarded</x:v>
      </x:c>
      <x:c r="I1752" s="8" t="n">
        <x:v>46302.70864583333</x:v>
      </x:c>
      <x:c r="J1752" s="8" t="n">
        <x:v>46302.708668981475</x:v>
      </x:c>
      <x:c r="K1752" s="8" t="n">
        <x:v>46302.7087037037</x:v>
      </x:c>
      <x:c r="L1752" s="2" t="str">
        <x:v>Sent</x:v>
      </x:c>
      <x:c r="M1752" s="2" t="n">
        <x:v>1</x:v>
      </x:c>
      <x:c r="N1752" s="2"/>
      <x:c r="O1752" s="2"/>
    </x:row>
    <x:row r="1753" ht="21" customHeight="1">
      <x:c r="A1753" s="2" t="str">
        <x:v>NT001752</x:v>
      </x:c>
      <x:c r="B1753" s="2" t="str">
        <x:v>EV001754</x:v>
      </x:c>
      <x:c r="C1753" s="2" t="str">
        <x:v>T20261007-5-2</x:v>
      </x:c>
      <x:c r="D1753" s="2" t="str">
        <x:v>ST080</x:v>
      </x:c>
      <x:c r="E1753" s="2" t="str">
        <x:v>G080</x:v>
      </x:c>
      <x:c r="F1753" s="2" t="str">
        <x:v>guardian080@example.invalid</x:v>
      </x:c>
      <x:c r="G1753" s="2" t="str">
        <x:v>Email</x:v>
      </x:c>
      <x:c r="H1753" s="2" t="str">
        <x:v>Authorized release</x:v>
      </x:c>
      <x:c r="I1753" s="8" t="n">
        <x:v>46302.72392361111</x:v>
      </x:c>
      <x:c r="J1753" s="8" t="n">
        <x:v>46302.72394675926</x:v>
      </x:c>
      <x:c r="K1753" s="8" t="n">
        <x:v>46302.72398148148</x:v>
      </x:c>
      <x:c r="L1753" s="2" t="str">
        <x:v>Sent</x:v>
      </x:c>
      <x:c r="M1753" s="2" t="n">
        <x:v>1</x:v>
      </x:c>
      <x:c r="N1753" s="2"/>
      <x:c r="O1753" s="2"/>
    </x:row>
    <x:row r="1754" ht="21" customHeight="1">
      <x:c r="A1754" s="2" t="str">
        <x:v>NT001753</x:v>
      </x:c>
      <x:c r="B1754" s="2" t="str">
        <x:v>EV001755</x:v>
      </x:c>
      <x:c r="C1754" s="2" t="str">
        <x:v>T20261007-1-3</x:v>
      </x:c>
      <x:c r="D1754" s="2" t="str">
        <x:v>ST081</x:v>
      </x:c>
      <x:c r="E1754" s="2" t="str">
        <x:v>G081</x:v>
      </x:c>
      <x:c r="F1754" s="2" t="str">
        <x:v>guardian081@example.invalid</x:v>
      </x:c>
      <x:c r="G1754" s="2" t="str">
        <x:v>Email</x:v>
      </x:c>
      <x:c r="H1754" s="2" t="str">
        <x:v>Boarded</x:v>
      </x:c>
      <x:c r="I1754" s="8" t="n">
        <x:v>46302.242361111115</x:v>
      </x:c>
      <x:c r="J1754" s="8" t="n">
        <x:v>46302.24238425926</x:v>
      </x:c>
      <x:c r="K1754" s="8" t="n">
        <x:v>46302.242418981485</x:v>
      </x:c>
      <x:c r="L1754" s="2" t="str">
        <x:v>Sent</x:v>
      </x:c>
      <x:c r="M1754" s="2" t="n">
        <x:v>1</x:v>
      </x:c>
      <x:c r="N1754" s="2"/>
      <x:c r="O1754" s="2"/>
    </x:row>
    <x:row r="1755" ht="21" customHeight="1">
      <x:c r="A1755" s="2" t="str">
        <x:v>NT001754</x:v>
      </x:c>
      <x:c r="B1755" s="2" t="str">
        <x:v>EV001756</x:v>
      </x:c>
      <x:c r="C1755" s="2" t="str">
        <x:v>T20261007-1-3</x:v>
      </x:c>
      <x:c r="D1755" s="2" t="str">
        <x:v>ST081</x:v>
      </x:c>
      <x:c r="E1755" s="2" t="str">
        <x:v>G081</x:v>
      </x:c>
      <x:c r="F1755" s="2" t="str">
        <x:v>guardian081@example.invalid</x:v>
      </x:c>
      <x:c r="G1755" s="2" t="str">
        <x:v>Email</x:v>
      </x:c>
      <x:c r="H1755" s="2" t="str">
        <x:v>School receipt</x:v>
      </x:c>
      <x:c r="I1755" s="8" t="n">
        <x:v>46302.27638888889</x:v>
      </x:c>
      <x:c r="J1755" s="8" t="n">
        <x:v>46302.276412037034</x:v>
      </x:c>
      <x:c r="K1755" s="8" t="n">
        <x:v>46302.27644675926</x:v>
      </x:c>
      <x:c r="L1755" s="2" t="str">
        <x:v>Sent</x:v>
      </x:c>
      <x:c r="M1755" s="2" t="n">
        <x:v>1</x:v>
      </x:c>
      <x:c r="N1755" s="2"/>
      <x:c r="O1755" s="2"/>
    </x:row>
    <x:row r="1756" ht="21" customHeight="1">
      <x:c r="A1756" s="2" t="str">
        <x:v>NT001755</x:v>
      </x:c>
      <x:c r="B1756" s="2" t="str">
        <x:v>EV001757</x:v>
      </x:c>
      <x:c r="C1756" s="2" t="str">
        <x:v>T20261007-1-3</x:v>
      </x:c>
      <x:c r="D1756" s="2" t="str">
        <x:v>ST082</x:v>
      </x:c>
      <x:c r="E1756" s="2" t="str">
        <x:v>G082</x:v>
      </x:c>
      <x:c r="F1756" s="2" t="str">
        <x:v>guardian082@example.invalid</x:v>
      </x:c>
      <x:c r="G1756" s="2" t="str">
        <x:v>Email</x:v>
      </x:c>
      <x:c r="H1756" s="2" t="str">
        <x:v>Boarded</x:v>
      </x:c>
      <x:c r="I1756" s="8" t="n">
        <x:v>46302.24725694444</x:v>
      </x:c>
      <x:c r="J1756" s="8" t="n">
        <x:v>46302.24728009259</x:v>
      </x:c>
      <x:c r="K1756" s="8" t="n">
        <x:v>46302.24731481481</x:v>
      </x:c>
      <x:c r="L1756" s="2" t="str">
        <x:v>Sent</x:v>
      </x:c>
      <x:c r="M1756" s="2" t="n">
        <x:v>1</x:v>
      </x:c>
      <x:c r="N1756" s="2"/>
      <x:c r="O1756" s="2"/>
    </x:row>
    <x:row r="1757" ht="21" customHeight="1">
      <x:c r="A1757" s="2" t="str">
        <x:v>NT001756</x:v>
      </x:c>
      <x:c r="B1757" s="2" t="str">
        <x:v>EV001758</x:v>
      </x:c>
      <x:c r="C1757" s="2" t="str">
        <x:v>T20261007-1-3</x:v>
      </x:c>
      <x:c r="D1757" s="2" t="str">
        <x:v>ST082</x:v>
      </x:c>
      <x:c r="E1757" s="2" t="str">
        <x:v>G082</x:v>
      </x:c>
      <x:c r="F1757" s="2" t="str">
        <x:v>guardian082@example.invalid</x:v>
      </x:c>
      <x:c r="G1757" s="2" t="str">
        <x:v>Email</x:v>
      </x:c>
      <x:c r="H1757" s="2" t="str">
        <x:v>School receipt</x:v>
      </x:c>
      <x:c r="I1757" s="8" t="n">
        <x:v>46302.27642361111</x:v>
      </x:c>
      <x:c r="J1757" s="8" t="n">
        <x:v>46302.27644675926</x:v>
      </x:c>
      <x:c r="K1757" s="8" t="n">
        <x:v>46302.27648148148</x:v>
      </x:c>
      <x:c r="L1757" s="2" t="str">
        <x:v>Sent</x:v>
      </x:c>
      <x:c r="M1757" s="2" t="n">
        <x:v>1</x:v>
      </x:c>
      <x:c r="N1757" s="2"/>
      <x:c r="O1757" s="2"/>
    </x:row>
    <x:row r="1758" ht="21" customHeight="1">
      <x:c r="A1758" s="2" t="str">
        <x:v>NT001757</x:v>
      </x:c>
      <x:c r="B1758" s="2" t="str">
        <x:v>EV001759</x:v>
      </x:c>
      <x:c r="C1758" s="2" t="str">
        <x:v>T20261007-1-3</x:v>
      </x:c>
      <x:c r="D1758" s="2" t="str">
        <x:v>ST083</x:v>
      </x:c>
      <x:c r="E1758" s="2" t="str">
        <x:v>G083</x:v>
      </x:c>
      <x:c r="F1758" s="2" t="str">
        <x:v>guardian083@example.invalid</x:v>
      </x:c>
      <x:c r="G1758" s="2" t="str">
        <x:v>Email</x:v>
      </x:c>
      <x:c r="H1758" s="2" t="str">
        <x:v>Boarded</x:v>
      </x:c>
      <x:c r="I1758" s="8" t="n">
        <x:v>46302.25215277778</x:v>
      </x:c>
      <x:c r="J1758" s="8" t="n">
        <x:v>46302.252175925925</x:v>
      </x:c>
      <x:c r="K1758" s="8" t="n">
        <x:v>46302.25221064815</x:v>
      </x:c>
      <x:c r="L1758" s="2" t="str">
        <x:v>Sent</x:v>
      </x:c>
      <x:c r="M1758" s="2" t="n">
        <x:v>1</x:v>
      </x:c>
      <x:c r="N1758" s="2"/>
      <x:c r="O1758" s="2"/>
    </x:row>
    <x:row r="1759" ht="21" customHeight="1">
      <x:c r="A1759" s="2" t="str">
        <x:v>NT001758</x:v>
      </x:c>
      <x:c r="B1759" s="2" t="str">
        <x:v>EV001760</x:v>
      </x:c>
      <x:c r="C1759" s="2" t="str">
        <x:v>T20261007-1-3</x:v>
      </x:c>
      <x:c r="D1759" s="2" t="str">
        <x:v>ST083</x:v>
      </x:c>
      <x:c r="E1759" s="2" t="str">
        <x:v>G083</x:v>
      </x:c>
      <x:c r="F1759" s="2" t="str">
        <x:v>guardian083@example.invalid</x:v>
      </x:c>
      <x:c r="G1759" s="2" t="str">
        <x:v>Email</x:v>
      </x:c>
      <x:c r="H1759" s="2" t="str">
        <x:v>School receipt</x:v>
      </x:c>
      <x:c r="I1759" s="8" t="n">
        <x:v>46302.276458333334</x:v>
      </x:c>
      <x:c r="J1759" s="8" t="n">
        <x:v>46302.27648148148</x:v>
      </x:c>
      <x:c r="K1759" s="8" t="n">
        <x:v>46302.2765162037</x:v>
      </x:c>
      <x:c r="L1759" s="2" t="str">
        <x:v>Sent</x:v>
      </x:c>
      <x:c r="M1759" s="2" t="n">
        <x:v>1</x:v>
      </x:c>
      <x:c r="N1759" s="2"/>
      <x:c r="O1759" s="2"/>
    </x:row>
    <x:row r="1760" ht="21" customHeight="1">
      <x:c r="A1760" s="2" t="str">
        <x:v>NT001759</x:v>
      </x:c>
      <x:c r="B1760" s="2" t="str">
        <x:v>EV001761</x:v>
      </x:c>
      <x:c r="C1760" s="2" t="str">
        <x:v>T20261007-1-3</x:v>
      </x:c>
      <x:c r="D1760" s="2" t="str">
        <x:v>ST084</x:v>
      </x:c>
      <x:c r="E1760" s="2" t="str">
        <x:v>G084</x:v>
      </x:c>
      <x:c r="F1760" s="2" t="str">
        <x:v>guardian084@example.invalid</x:v>
      </x:c>
      <x:c r="G1760" s="2" t="str">
        <x:v>Email</x:v>
      </x:c>
      <x:c r="H1760" s="2" t="str">
        <x:v>Boarded</x:v>
      </x:c>
      <x:c r="I1760" s="8" t="n">
        <x:v>46302.242465277785</x:v>
      </x:c>
      <x:c r="J1760" s="8" t="n">
        <x:v>46302.24248842593</x:v>
      </x:c>
      <x:c r="K1760" s="8" t="n">
        <x:v>46302.242523148154</x:v>
      </x:c>
      <x:c r="L1760" s="2" t="str">
        <x:v>Sent</x:v>
      </x:c>
      <x:c r="M1760" s="2" t="n">
        <x:v>1</x:v>
      </x:c>
      <x:c r="N1760" s="2"/>
      <x:c r="O1760" s="2"/>
    </x:row>
    <x:row r="1761" ht="21" customHeight="1">
      <x:c r="A1761" s="2" t="str">
        <x:v>NT001760</x:v>
      </x:c>
      <x:c r="B1761" s="2" t="str">
        <x:v>EV001762</x:v>
      </x:c>
      <x:c r="C1761" s="2" t="str">
        <x:v>T20261007-1-3</x:v>
      </x:c>
      <x:c r="D1761" s="2" t="str">
        <x:v>ST084</x:v>
      </x:c>
      <x:c r="E1761" s="2" t="str">
        <x:v>G084</x:v>
      </x:c>
      <x:c r="F1761" s="2" t="str">
        <x:v>guardian084@example.invalid</x:v>
      </x:c>
      <x:c r="G1761" s="2" t="str">
        <x:v>Email</x:v>
      </x:c>
      <x:c r="H1761" s="2" t="str">
        <x:v>School receipt</x:v>
      </x:c>
      <x:c r="I1761" s="8" t="n">
        <x:v>46302.27649305556</x:v>
      </x:c>
      <x:c r="J1761" s="8" t="n">
        <x:v>46302.2765162037</x:v>
      </x:c>
      <x:c r="K1761" s="8" t="n">
        <x:v>46302.276550925926</x:v>
      </x:c>
      <x:c r="L1761" s="2" t="str">
        <x:v>Sent</x:v>
      </x:c>
      <x:c r="M1761" s="2" t="n">
        <x:v>1</x:v>
      </x:c>
      <x:c r="N1761" s="2"/>
      <x:c r="O1761" s="2"/>
    </x:row>
    <x:row r="1762" ht="21" customHeight="1">
      <x:c r="A1762" s="2" t="str">
        <x:v>NT001761</x:v>
      </x:c>
      <x:c r="B1762" s="2" t="str">
        <x:v>EV001763</x:v>
      </x:c>
      <x:c r="C1762" s="2" t="str">
        <x:v>T20261007-1-3</x:v>
      </x:c>
      <x:c r="D1762" s="2" t="str">
        <x:v>ST085</x:v>
      </x:c>
      <x:c r="E1762" s="2" t="str">
        <x:v>G085</x:v>
      </x:c>
      <x:c r="F1762" s="2" t="str">
        <x:v>guardian085@example.invalid</x:v>
      </x:c>
      <x:c r="G1762" s="2" t="str">
        <x:v>Email</x:v>
      </x:c>
      <x:c r="H1762" s="2" t="str">
        <x:v>Boarded</x:v>
      </x:c>
      <x:c r="I1762" s="8" t="n">
        <x:v>46302.24736111111</x:v>
      </x:c>
      <x:c r="J1762" s="8" t="n">
        <x:v>46302.24738425926</x:v>
      </x:c>
      <x:c r="K1762" s="8" t="n">
        <x:v>46302.24741898148</x:v>
      </x:c>
      <x:c r="L1762" s="2" t="str">
        <x:v>Sent</x:v>
      </x:c>
      <x:c r="M1762" s="2" t="n">
        <x:v>1</x:v>
      </x:c>
      <x:c r="N1762" s="2"/>
      <x:c r="O1762" s="2"/>
    </x:row>
    <x:row r="1763" ht="21" customHeight="1">
      <x:c r="A1763" s="2" t="str">
        <x:v>NT001762</x:v>
      </x:c>
      <x:c r="B1763" s="2" t="str">
        <x:v>EV001764</x:v>
      </x:c>
      <x:c r="C1763" s="2" t="str">
        <x:v>T20261007-1-3</x:v>
      </x:c>
      <x:c r="D1763" s="2" t="str">
        <x:v>ST085</x:v>
      </x:c>
      <x:c r="E1763" s="2" t="str">
        <x:v>G085</x:v>
      </x:c>
      <x:c r="F1763" s="2" t="str">
        <x:v>guardian085@example.invalid</x:v>
      </x:c>
      <x:c r="G1763" s="2" t="str">
        <x:v>Email</x:v>
      </x:c>
      <x:c r="H1763" s="2" t="str">
        <x:v>School receipt</x:v>
      </x:c>
      <x:c r="I1763" s="8" t="n">
        <x:v>46302.27652777778</x:v>
      </x:c>
      <x:c r="J1763" s="8" t="n">
        <x:v>46302.276550925926</x:v>
      </x:c>
      <x:c r="K1763" s="8" t="n">
        <x:v>46302.27658564815</x:v>
      </x:c>
      <x:c r="L1763" s="2" t="str">
        <x:v>Sent</x:v>
      </x:c>
      <x:c r="M1763" s="2" t="n">
        <x:v>1</x:v>
      </x:c>
      <x:c r="N1763" s="2"/>
      <x:c r="O1763" s="2"/>
    </x:row>
    <x:row r="1764" ht="21" customHeight="1">
      <x:c r="A1764" s="2" t="str">
        <x:v>NT001763</x:v>
      </x:c>
      <x:c r="B1764" s="2" t="str">
        <x:v>EV001765</x:v>
      </x:c>
      <x:c r="C1764" s="2" t="str">
        <x:v>T20261007-1-3</x:v>
      </x:c>
      <x:c r="D1764" s="2" t="str">
        <x:v>ST086</x:v>
      </x:c>
      <x:c r="E1764" s="2" t="str">
        <x:v>G086</x:v>
      </x:c>
      <x:c r="F1764" s="2" t="str">
        <x:v>guardian086@example.invalid</x:v>
      </x:c>
      <x:c r="G1764" s="2" t="str">
        <x:v>Email</x:v>
      </x:c>
      <x:c r="H1764" s="2" t="str">
        <x:v>Boarded</x:v>
      </x:c>
      <x:c r="I1764" s="8" t="n">
        <x:v>46302.25225694444</x:v>
      </x:c>
      <x:c r="J1764" s="8" t="n">
        <x:v>46302.25228009259</x:v>
      </x:c>
      <x:c r="K1764" s="8" t="n">
        <x:v>46302.25231481481</x:v>
      </x:c>
      <x:c r="L1764" s="2" t="str">
        <x:v>Sent</x:v>
      </x:c>
      <x:c r="M1764" s="2" t="n">
        <x:v>1</x:v>
      </x:c>
      <x:c r="N1764" s="2"/>
      <x:c r="O1764" s="2"/>
    </x:row>
    <x:row r="1765" ht="21" customHeight="1">
      <x:c r="A1765" s="2" t="str">
        <x:v>NT001764</x:v>
      </x:c>
      <x:c r="B1765" s="2" t="str">
        <x:v>EV001766</x:v>
      </x:c>
      <x:c r="C1765" s="2" t="str">
        <x:v>T20261007-1-3</x:v>
      </x:c>
      <x:c r="D1765" s="2" t="str">
        <x:v>ST086</x:v>
      </x:c>
      <x:c r="E1765" s="2" t="str">
        <x:v>G086</x:v>
      </x:c>
      <x:c r="F1765" s="2" t="str">
        <x:v>guardian086@example.invalid</x:v>
      </x:c>
      <x:c r="G1765" s="2" t="str">
        <x:v>Email</x:v>
      </x:c>
      <x:c r="H1765" s="2" t="str">
        <x:v>School receipt</x:v>
      </x:c>
      <x:c r="I1765" s="8" t="n">
        <x:v>46302.276562499996</x:v>
      </x:c>
      <x:c r="J1765" s="8" t="n">
        <x:v>46302.27658564814</x:v>
      </x:c>
      <x:c r="K1765" s="8" t="n">
        <x:v>46302.276620370365</x:v>
      </x:c>
      <x:c r="L1765" s="2" t="str">
        <x:v>Sent</x:v>
      </x:c>
      <x:c r="M1765" s="2" t="n">
        <x:v>1</x:v>
      </x:c>
      <x:c r="N1765" s="2"/>
      <x:c r="O1765" s="2"/>
    </x:row>
    <x:row r="1766" ht="21" customHeight="1">
      <x:c r="A1766" s="2" t="str">
        <x:v>NT001765</x:v>
      </x:c>
      <x:c r="B1766" s="2" t="str">
        <x:v>EV001767</x:v>
      </x:c>
      <x:c r="C1766" s="2" t="str">
        <x:v>T20261007-1-3</x:v>
      </x:c>
      <x:c r="D1766" s="2" t="str">
        <x:v>ST087</x:v>
      </x:c>
      <x:c r="E1766" s="2" t="str">
        <x:v>G087</x:v>
      </x:c>
      <x:c r="F1766" s="2" t="str">
        <x:v>guardian087@example.invalid</x:v>
      </x:c>
      <x:c r="G1766" s="2" t="str">
        <x:v>Email</x:v>
      </x:c>
      <x:c r="H1766" s="2" t="str">
        <x:v>Boarded</x:v>
      </x:c>
      <x:c r="I1766" s="8" t="n">
        <x:v>46302.24256944445</x:v>
      </x:c>
      <x:c r="J1766" s="8" t="n">
        <x:v>46302.24259259259</x:v>
      </x:c>
      <x:c r="K1766" s="8" t="n">
        <x:v>46302.242627314816</x:v>
      </x:c>
      <x:c r="L1766" s="2" t="str">
        <x:v>Sent</x:v>
      </x:c>
      <x:c r="M1766" s="2" t="n">
        <x:v>1</x:v>
      </x:c>
      <x:c r="N1766" s="2"/>
      <x:c r="O1766" s="2"/>
    </x:row>
    <x:row r="1767" ht="21" customHeight="1">
      <x:c r="A1767" s="2" t="str">
        <x:v>NT001766</x:v>
      </x:c>
      <x:c r="B1767" s="2" t="str">
        <x:v>EV001768</x:v>
      </x:c>
      <x:c r="C1767" s="2" t="str">
        <x:v>T20261007-1-3</x:v>
      </x:c>
      <x:c r="D1767" s="2" t="str">
        <x:v>ST087</x:v>
      </x:c>
      <x:c r="E1767" s="2" t="str">
        <x:v>G087</x:v>
      </x:c>
      <x:c r="F1767" s="2" t="str">
        <x:v>guardian087@example.invalid</x:v>
      </x:c>
      <x:c r="G1767" s="2" t="str">
        <x:v>Email</x:v>
      </x:c>
      <x:c r="H1767" s="2" t="str">
        <x:v>School receipt</x:v>
      </x:c>
      <x:c r="I1767" s="8" t="n">
        <x:v>46302.27659722222</x:v>
      </x:c>
      <x:c r="J1767" s="8" t="n">
        <x:v>46302.276620370365</x:v>
      </x:c>
      <x:c r="K1767" s="8" t="n">
        <x:v>46302.27665509259</x:v>
      </x:c>
      <x:c r="L1767" s="2" t="str">
        <x:v>Sent</x:v>
      </x:c>
      <x:c r="M1767" s="2" t="n">
        <x:v>1</x:v>
      </x:c>
      <x:c r="N1767" s="2"/>
      <x:c r="O1767" s="2"/>
    </x:row>
    <x:row r="1768" ht="21" customHeight="1">
      <x:c r="A1768" s="2" t="str">
        <x:v>NT001767</x:v>
      </x:c>
      <x:c r="B1768" s="2" t="str">
        <x:v>EV001769</x:v>
      </x:c>
      <x:c r="C1768" s="2" t="str">
        <x:v>T20261007-1-3</x:v>
      </x:c>
      <x:c r="D1768" s="2" t="str">
        <x:v>ST088</x:v>
      </x:c>
      <x:c r="E1768" s="2" t="str">
        <x:v>G088</x:v>
      </x:c>
      <x:c r="F1768" s="2" t="str">
        <x:v>guardian088@example.invalid</x:v>
      </x:c>
      <x:c r="G1768" s="2" t="str">
        <x:v>Email</x:v>
      </x:c>
      <x:c r="H1768" s="2" t="str">
        <x:v>Boarded</x:v>
      </x:c>
      <x:c r="I1768" s="8" t="n">
        <x:v>46302.247465277775</x:v>
      </x:c>
      <x:c r="J1768" s="8" t="n">
        <x:v>46302.24748842592</x:v>
      </x:c>
      <x:c r="K1768" s="8" t="n">
        <x:v>46302.247523148144</x:v>
      </x:c>
      <x:c r="L1768" s="2" t="str">
        <x:v>Sent</x:v>
      </x:c>
      <x:c r="M1768" s="2" t="n">
        <x:v>1</x:v>
      </x:c>
      <x:c r="N1768" s="2"/>
      <x:c r="O1768" s="2"/>
    </x:row>
    <x:row r="1769" ht="21" customHeight="1">
      <x:c r="A1769" s="2" t="str">
        <x:v>NT001768</x:v>
      </x:c>
      <x:c r="B1769" s="2" t="str">
        <x:v>EV001770</x:v>
      </x:c>
      <x:c r="C1769" s="2" t="str">
        <x:v>T20261007-1-3</x:v>
      </x:c>
      <x:c r="D1769" s="2" t="str">
        <x:v>ST088</x:v>
      </x:c>
      <x:c r="E1769" s="2" t="str">
        <x:v>G088</x:v>
      </x:c>
      <x:c r="F1769" s="2" t="str">
        <x:v>guardian088@example.invalid</x:v>
      </x:c>
      <x:c r="G1769" s="2" t="str">
        <x:v>Email</x:v>
      </x:c>
      <x:c r="H1769" s="2" t="str">
        <x:v>School receipt</x:v>
      </x:c>
      <x:c r="I1769" s="8" t="n">
        <x:v>46302.27663194444</x:v>
      </x:c>
      <x:c r="J1769" s="8" t="n">
        <x:v>46302.27665509259</x:v>
      </x:c>
      <x:c r="K1769" s="8" t="n">
        <x:v>46302.27668981481</x:v>
      </x:c>
      <x:c r="L1769" s="2" t="str">
        <x:v>Sent</x:v>
      </x:c>
      <x:c r="M1769" s="2" t="n">
        <x:v>1</x:v>
      </x:c>
      <x:c r="N1769" s="2"/>
      <x:c r="O1769" s="2"/>
    </x:row>
    <x:row r="1770" ht="21" customHeight="1">
      <x:c r="A1770" s="2" t="str">
        <x:v>NT001769</x:v>
      </x:c>
      <x:c r="B1770" s="2" t="str">
        <x:v>EV001771</x:v>
      </x:c>
      <x:c r="C1770" s="2" t="str">
        <x:v>T20261007-1-3</x:v>
      </x:c>
      <x:c r="D1770" s="2" t="str">
        <x:v>ST089</x:v>
      </x:c>
      <x:c r="E1770" s="2" t="str">
        <x:v>G089</x:v>
      </x:c>
      <x:c r="F1770" s="2" t="str">
        <x:v>guardian089@example.invalid</x:v>
      </x:c>
      <x:c r="G1770" s="2" t="str">
        <x:v>Email</x:v>
      </x:c>
      <x:c r="H1770" s="2" t="str">
        <x:v>Boarded</x:v>
      </x:c>
      <x:c r="I1770" s="8" t="n">
        <x:v>46302.25236111111</x:v>
      </x:c>
      <x:c r="J1770" s="8" t="n">
        <x:v>46302.252384259256</x:v>
      </x:c>
      <x:c r="K1770" s="8" t="n">
        <x:v>46302.25241898148</x:v>
      </x:c>
      <x:c r="L1770" s="2" t="str">
        <x:v>Sent</x:v>
      </x:c>
      <x:c r="M1770" s="2" t="n">
        <x:v>1</x:v>
      </x:c>
      <x:c r="N1770" s="2"/>
      <x:c r="O1770" s="2"/>
    </x:row>
    <x:row r="1771" ht="21" customHeight="1">
      <x:c r="A1771" s="2" t="str">
        <x:v>NT001770</x:v>
      </x:c>
      <x:c r="B1771" s="2" t="str">
        <x:v>EV001772</x:v>
      </x:c>
      <x:c r="C1771" s="2" t="str">
        <x:v>T20261007-1-3</x:v>
      </x:c>
      <x:c r="D1771" s="2" t="str">
        <x:v>ST089</x:v>
      </x:c>
      <x:c r="E1771" s="2" t="str">
        <x:v>G089</x:v>
      </x:c>
      <x:c r="F1771" s="2" t="str">
        <x:v>guardian089@example.invalid</x:v>
      </x:c>
      <x:c r="G1771" s="2" t="str">
        <x:v>Email</x:v>
      </x:c>
      <x:c r="H1771" s="2" t="str">
        <x:v>School receipt</x:v>
      </x:c>
      <x:c r="I1771" s="8" t="n">
        <x:v>46302.276666666665</x:v>
      </x:c>
      <x:c r="J1771" s="8" t="n">
        <x:v>46302.27668981481</x:v>
      </x:c>
      <x:c r="K1771" s="8" t="n">
        <x:v>46302.276724537034</x:v>
      </x:c>
      <x:c r="L1771" s="2" t="str">
        <x:v>Sent</x:v>
      </x:c>
      <x:c r="M1771" s="2" t="n">
        <x:v>1</x:v>
      </x:c>
      <x:c r="N1771" s="2"/>
      <x:c r="O1771" s="2"/>
    </x:row>
    <x:row r="1772" ht="21" customHeight="1">
      <x:c r="A1772" s="2" t="str">
        <x:v>NT001771</x:v>
      </x:c>
      <x:c r="B1772" s="2" t="str">
        <x:v>EV001773</x:v>
      </x:c>
      <x:c r="C1772" s="2" t="str">
        <x:v>T20261007-1-3</x:v>
      </x:c>
      <x:c r="D1772" s="2" t="str">
        <x:v>ST090</x:v>
      </x:c>
      <x:c r="E1772" s="2" t="str">
        <x:v>G090</x:v>
      </x:c>
      <x:c r="F1772" s="2" t="str">
        <x:v>guardian090@example.invalid</x:v>
      </x:c>
      <x:c r="G1772" s="2" t="str">
        <x:v>Email</x:v>
      </x:c>
      <x:c r="H1772" s="2" t="str">
        <x:v>Boarded</x:v>
      </x:c>
      <x:c r="I1772" s="8" t="n">
        <x:v>46302.242673611116</x:v>
      </x:c>
      <x:c r="J1772" s="8" t="n">
        <x:v>46302.24269675926</x:v>
      </x:c>
      <x:c r="K1772" s="8" t="n">
        <x:v>46302.242731481485</x:v>
      </x:c>
      <x:c r="L1772" s="2" t="str">
        <x:v>Sent</x:v>
      </x:c>
      <x:c r="M1772" s="2" t="n">
        <x:v>1</x:v>
      </x:c>
      <x:c r="N1772" s="2"/>
      <x:c r="O1772" s="2"/>
    </x:row>
    <x:row r="1773" ht="21" customHeight="1">
      <x:c r="A1773" s="2" t="str">
        <x:v>NT001772</x:v>
      </x:c>
      <x:c r="B1773" s="2" t="str">
        <x:v>EV001774</x:v>
      </x:c>
      <x:c r="C1773" s="2" t="str">
        <x:v>T20261007-1-3</x:v>
      </x:c>
      <x:c r="D1773" s="2" t="str">
        <x:v>ST090</x:v>
      </x:c>
      <x:c r="E1773" s="2" t="str">
        <x:v>G090</x:v>
      </x:c>
      <x:c r="F1773" s="2" t="str">
        <x:v>guardian090@example.invalid</x:v>
      </x:c>
      <x:c r="G1773" s="2" t="str">
        <x:v>Email</x:v>
      </x:c>
      <x:c r="H1773" s="2" t="str">
        <x:v>School receipt</x:v>
      </x:c>
      <x:c r="I1773" s="8" t="n">
        <x:v>46302.27670138889</x:v>
      </x:c>
      <x:c r="J1773" s="8" t="n">
        <x:v>46302.276724537034</x:v>
      </x:c>
      <x:c r="K1773" s="8" t="n">
        <x:v>46302.27675925926</x:v>
      </x:c>
      <x:c r="L1773" s="2" t="str">
        <x:v>Sent</x:v>
      </x:c>
      <x:c r="M1773" s="2" t="n">
        <x:v>1</x:v>
      </x:c>
      <x:c r="N1773" s="2"/>
      <x:c r="O1773" s="2"/>
    </x:row>
    <x:row r="1774" ht="21" customHeight="1">
      <x:c r="A1774" s="2" t="str">
        <x:v>NT001773</x:v>
      </x:c>
      <x:c r="B1774" s="2" t="str">
        <x:v>EV001775</x:v>
      </x:c>
      <x:c r="C1774" s="2" t="str">
        <x:v>T20261007-1-3</x:v>
      </x:c>
      <x:c r="D1774" s="2" t="str">
        <x:v>ST091</x:v>
      </x:c>
      <x:c r="E1774" s="2" t="str">
        <x:v>G091</x:v>
      </x:c>
      <x:c r="F1774" s="2" t="str">
        <x:v>guardian091@example.invalid</x:v>
      </x:c>
      <x:c r="G1774" s="2" t="str">
        <x:v>Email</x:v>
      </x:c>
      <x:c r="H1774" s="2" t="str">
        <x:v>Boarded</x:v>
      </x:c>
      <x:c r="I1774" s="8" t="n">
        <x:v>46302.24722222222</x:v>
      </x:c>
      <x:c r="J1774" s="8" t="n">
        <x:v>46302.24724537037</x:v>
      </x:c>
      <x:c r="K1774" s="8" t="n">
        <x:v>46302.24728009259</x:v>
      </x:c>
      <x:c r="L1774" s="2" t="str">
        <x:v>Sent</x:v>
      </x:c>
      <x:c r="M1774" s="2" t="n">
        <x:v>1</x:v>
      </x:c>
      <x:c r="N1774" s="2"/>
      <x:c r="O1774" s="2"/>
    </x:row>
    <x:row r="1775" ht="21" customHeight="1">
      <x:c r="A1775" s="2" t="str">
        <x:v>NT001774</x:v>
      </x:c>
      <x:c r="B1775" s="2" t="str">
        <x:v>EV001776</x:v>
      </x:c>
      <x:c r="C1775" s="2" t="str">
        <x:v>T20261007-1-3</x:v>
      </x:c>
      <x:c r="D1775" s="2" t="str">
        <x:v>ST091</x:v>
      </x:c>
      <x:c r="E1775" s="2" t="str">
        <x:v>G091</x:v>
      </x:c>
      <x:c r="F1775" s="2" t="str">
        <x:v>guardian091@example.invalid</x:v>
      </x:c>
      <x:c r="G1775" s="2" t="str">
        <x:v>Email</x:v>
      </x:c>
      <x:c r="H1775" s="2" t="str">
        <x:v>School receipt</x:v>
      </x:c>
      <x:c r="I1775" s="8" t="n">
        <x:v>46302.27673611111</x:v>
      </x:c>
      <x:c r="J1775" s="8" t="n">
        <x:v>46302.27675925926</x:v>
      </x:c>
      <x:c r="K1775" s="8" t="n">
        <x:v>46302.27679398148</x:v>
      </x:c>
      <x:c r="L1775" s="2" t="str">
        <x:v>Sent</x:v>
      </x:c>
      <x:c r="M1775" s="2" t="n">
        <x:v>1</x:v>
      </x:c>
      <x:c r="N1775" s="2"/>
      <x:c r="O1775" s="2"/>
    </x:row>
    <x:row r="1776" ht="21" customHeight="1">
      <x:c r="A1776" s="2" t="str">
        <x:v>NT001775</x:v>
      </x:c>
      <x:c r="B1776" s="2" t="str">
        <x:v>EV001777</x:v>
      </x:c>
      <x:c r="C1776" s="2" t="str">
        <x:v>T20261007-1-3</x:v>
      </x:c>
      <x:c r="D1776" s="2" t="str">
        <x:v>ST092</x:v>
      </x:c>
      <x:c r="E1776" s="2" t="str">
        <x:v>G092</x:v>
      </x:c>
      <x:c r="F1776" s="2" t="str">
        <x:v>guardian092@example.invalid</x:v>
      </x:c>
      <x:c r="G1776" s="2" t="str">
        <x:v>Email</x:v>
      </x:c>
      <x:c r="H1776" s="2" t="str">
        <x:v>Boarded</x:v>
      </x:c>
      <x:c r="I1776" s="8" t="n">
        <x:v>46302.252118055556</x:v>
      </x:c>
      <x:c r="J1776" s="8" t="n">
        <x:v>46302.2521412037</x:v>
      </x:c>
      <x:c r="K1776" s="8" t="n">
        <x:v>46302.252175925925</x:v>
      </x:c>
      <x:c r="L1776" s="2" t="str">
        <x:v>Sent</x:v>
      </x:c>
      <x:c r="M1776" s="2" t="n">
        <x:v>1</x:v>
      </x:c>
      <x:c r="N1776" s="2"/>
      <x:c r="O1776" s="2"/>
    </x:row>
    <x:row r="1777" ht="21" customHeight="1">
      <x:c r="A1777" s="2" t="str">
        <x:v>NT001776</x:v>
      </x:c>
      <x:c r="B1777" s="2" t="str">
        <x:v>EV001778</x:v>
      </x:c>
      <x:c r="C1777" s="2" t="str">
        <x:v>T20261007-1-3</x:v>
      </x:c>
      <x:c r="D1777" s="2" t="str">
        <x:v>ST092</x:v>
      </x:c>
      <x:c r="E1777" s="2" t="str">
        <x:v>G092</x:v>
      </x:c>
      <x:c r="F1777" s="2" t="str">
        <x:v>guardian092@example.invalid</x:v>
      </x:c>
      <x:c r="G1777" s="2" t="str">
        <x:v>Email</x:v>
      </x:c>
      <x:c r="H1777" s="2" t="str">
        <x:v>School receipt</x:v>
      </x:c>
      <x:c r="I1777" s="8" t="n">
        <x:v>46302.276770833334</x:v>
      </x:c>
      <x:c r="J1777" s="8" t="n">
        <x:v>46302.27679398148</x:v>
      </x:c>
      <x:c r="K1777" s="8" t="n">
        <x:v>46302.2768287037</x:v>
      </x:c>
      <x:c r="L1777" s="2" t="str">
        <x:v>Sent</x:v>
      </x:c>
      <x:c r="M1777" s="2" t="n">
        <x:v>1</x:v>
      </x:c>
      <x:c r="N1777" s="2"/>
      <x:c r="O1777" s="2"/>
    </x:row>
    <x:row r="1778" ht="21" customHeight="1">
      <x:c r="A1778" s="2" t="str">
        <x:v>NT001777</x:v>
      </x:c>
      <x:c r="B1778" s="2" t="str">
        <x:v>EV001779</x:v>
      </x:c>
      <x:c r="C1778" s="2" t="str">
        <x:v>T20261007-1-3</x:v>
      </x:c>
      <x:c r="D1778" s="2" t="str">
        <x:v>ST093</x:v>
      </x:c>
      <x:c r="E1778" s="2" t="str">
        <x:v>G093</x:v>
      </x:c>
      <x:c r="F1778" s="2" t="str">
        <x:v>guardian093@example.invalid</x:v>
      </x:c>
      <x:c r="G1778" s="2" t="str">
        <x:v>Email</x:v>
      </x:c>
      <x:c r="H1778" s="2" t="str">
        <x:v>Boarded</x:v>
      </x:c>
      <x:c r="I1778" s="8" t="n">
        <x:v>46302.24243055556</x:v>
      </x:c>
      <x:c r="J1778" s="8" t="n">
        <x:v>46302.24245370371</x:v>
      </x:c>
      <x:c r="K1778" s="8" t="n">
        <x:v>46302.24248842593</x:v>
      </x:c>
      <x:c r="L1778" s="2" t="str">
        <x:v>Sent</x:v>
      </x:c>
      <x:c r="M1778" s="2" t="n">
        <x:v>1</x:v>
      </x:c>
      <x:c r="N1778" s="2"/>
      <x:c r="O1778" s="2"/>
    </x:row>
    <x:row r="1779" ht="21" customHeight="1">
      <x:c r="A1779" s="2" t="str">
        <x:v>NT001778</x:v>
      </x:c>
      <x:c r="B1779" s="2" t="str">
        <x:v>EV001780</x:v>
      </x:c>
      <x:c r="C1779" s="2" t="str">
        <x:v>T20261007-1-3</x:v>
      </x:c>
      <x:c r="D1779" s="2" t="str">
        <x:v>ST093</x:v>
      </x:c>
      <x:c r="E1779" s="2" t="str">
        <x:v>G093</x:v>
      </x:c>
      <x:c r="F1779" s="2" t="str">
        <x:v>guardian093@example.invalid</x:v>
      </x:c>
      <x:c r="G1779" s="2" t="str">
        <x:v>Email</x:v>
      </x:c>
      <x:c r="H1779" s="2" t="str">
        <x:v>School receipt</x:v>
      </x:c>
      <x:c r="I1779" s="8" t="n">
        <x:v>46302.27680555556</x:v>
      </x:c>
      <x:c r="J1779" s="8" t="n">
        <x:v>46302.2768287037</x:v>
      </x:c>
      <x:c r="K1779" s="8" t="n">
        <x:v>46302.27686342593</x:v>
      </x:c>
      <x:c r="L1779" s="2" t="str">
        <x:v>Sent</x:v>
      </x:c>
      <x:c r="M1779" s="2" t="n">
        <x:v>1</x:v>
      </x:c>
      <x:c r="N1779" s="2"/>
      <x:c r="O1779" s="2"/>
    </x:row>
    <x:row r="1780" ht="21" customHeight="1">
      <x:c r="A1780" s="2" t="str">
        <x:v>NT001779</x:v>
      </x:c>
      <x:c r="B1780" s="2" t="str">
        <x:v>EV001781</x:v>
      </x:c>
      <x:c r="C1780" s="2" t="str">
        <x:v>T20261007-1-3</x:v>
      </x:c>
      <x:c r="D1780" s="2" t="str">
        <x:v>ST094</x:v>
      </x:c>
      <x:c r="E1780" s="2" t="str">
        <x:v>G094</x:v>
      </x:c>
      <x:c r="F1780" s="2" t="str">
        <x:v>guardian094@example.invalid</x:v>
      </x:c>
      <x:c r="G1780" s="2" t="str">
        <x:v>Email</x:v>
      </x:c>
      <x:c r="H1780" s="2" t="str">
        <x:v>Boarded</x:v>
      </x:c>
      <x:c r="I1780" s="8" t="n">
        <x:v>46302.24732638889</x:v>
      </x:c>
      <x:c r="J1780" s="8" t="n">
        <x:v>46302.247349537036</x:v>
      </x:c>
      <x:c r="K1780" s="8" t="n">
        <x:v>46302.24738425926</x:v>
      </x:c>
      <x:c r="L1780" s="2" t="str">
        <x:v>Sent</x:v>
      </x:c>
      <x:c r="M1780" s="2" t="n">
        <x:v>1</x:v>
      </x:c>
      <x:c r="N1780" s="2"/>
      <x:c r="O1780" s="2"/>
    </x:row>
    <x:row r="1781" ht="21" customHeight="1">
      <x:c r="A1781" s="2" t="str">
        <x:v>NT001780</x:v>
      </x:c>
      <x:c r="B1781" s="2" t="str">
        <x:v>EV001782</x:v>
      </x:c>
      <x:c r="C1781" s="2" t="str">
        <x:v>T20261007-1-3</x:v>
      </x:c>
      <x:c r="D1781" s="2" t="str">
        <x:v>ST094</x:v>
      </x:c>
      <x:c r="E1781" s="2" t="str">
        <x:v>G094</x:v>
      </x:c>
      <x:c r="F1781" s="2" t="str">
        <x:v>guardian094@example.invalid</x:v>
      </x:c>
      <x:c r="G1781" s="2" t="str">
        <x:v>Email</x:v>
      </x:c>
      <x:c r="H1781" s="2" t="str">
        <x:v>School receipt</x:v>
      </x:c>
      <x:c r="I1781" s="8" t="n">
        <x:v>46302.27684027777</x:v>
      </x:c>
      <x:c r="J1781" s="8" t="n">
        <x:v>46302.27686342592</x:v>
      </x:c>
      <x:c r="K1781" s="8" t="n">
        <x:v>46302.27689814814</x:v>
      </x:c>
      <x:c r="L1781" s="2" t="str">
        <x:v>Sent</x:v>
      </x:c>
      <x:c r="M1781" s="2" t="n">
        <x:v>1</x:v>
      </x:c>
      <x:c r="N1781" s="2"/>
      <x:c r="O1781" s="2"/>
    </x:row>
    <x:row r="1782" ht="21" customHeight="1">
      <x:c r="A1782" s="2" t="str">
        <x:v>NT001781</x:v>
      </x:c>
      <x:c r="B1782" s="2" t="str">
        <x:v>EV001783</x:v>
      </x:c>
      <x:c r="C1782" s="2" t="str">
        <x:v>T20261007-1-3</x:v>
      </x:c>
      <x:c r="D1782" s="2" t="str">
        <x:v>ST095</x:v>
      </x:c>
      <x:c r="E1782" s="2" t="str">
        <x:v>G095</x:v>
      </x:c>
      <x:c r="F1782" s="2" t="str">
        <x:v>guardian095@example.invalid</x:v>
      </x:c>
      <x:c r="G1782" s="2" t="str">
        <x:v>Email</x:v>
      </x:c>
      <x:c r="H1782" s="2" t="str">
        <x:v>Boarded</x:v>
      </x:c>
      <x:c r="I1782" s="8" t="n">
        <x:v>46302.252222222225</x:v>
      </x:c>
      <x:c r="J1782" s="8" t="n">
        <x:v>46302.25224537037</x:v>
      </x:c>
      <x:c r="K1782" s="8" t="n">
        <x:v>46302.252280092594</x:v>
      </x:c>
      <x:c r="L1782" s="2" t="str">
        <x:v>Sent</x:v>
      </x:c>
      <x:c r="M1782" s="2" t="n">
        <x:v>1</x:v>
      </x:c>
      <x:c r="N1782" s="2"/>
      <x:c r="O1782" s="2"/>
    </x:row>
    <x:row r="1783" ht="21" customHeight="1">
      <x:c r="A1783" s="2" t="str">
        <x:v>NT001782</x:v>
      </x:c>
      <x:c r="B1783" s="2" t="str">
        <x:v>EV001784</x:v>
      </x:c>
      <x:c r="C1783" s="2" t="str">
        <x:v>T20261007-1-3</x:v>
      </x:c>
      <x:c r="D1783" s="2" t="str">
        <x:v>ST095</x:v>
      </x:c>
      <x:c r="E1783" s="2" t="str">
        <x:v>G095</x:v>
      </x:c>
      <x:c r="F1783" s="2" t="str">
        <x:v>guardian095@example.invalid</x:v>
      </x:c>
      <x:c r="G1783" s="2" t="str">
        <x:v>Email</x:v>
      </x:c>
      <x:c r="H1783" s="2" t="str">
        <x:v>School receipt</x:v>
      </x:c>
      <x:c r="I1783" s="8" t="n">
        <x:v>46302.276874999996</x:v>
      </x:c>
      <x:c r="J1783" s="8" t="n">
        <x:v>46302.27689814814</x:v>
      </x:c>
      <x:c r="K1783" s="8" t="n">
        <x:v>46302.276932870365</x:v>
      </x:c>
      <x:c r="L1783" s="2" t="str">
        <x:v>Sent</x:v>
      </x:c>
      <x:c r="M1783" s="2" t="n">
        <x:v>1</x:v>
      </x:c>
      <x:c r="N1783" s="2"/>
      <x:c r="O1783" s="2"/>
    </x:row>
    <x:row r="1784" ht="21" customHeight="1">
      <x:c r="A1784" s="2" t="str">
        <x:v>NT001783</x:v>
      </x:c>
      <x:c r="B1784" s="2" t="str">
        <x:v>EV001785</x:v>
      </x:c>
      <x:c r="C1784" s="2" t="str">
        <x:v>T20261007-1-3</x:v>
      </x:c>
      <x:c r="D1784" s="2" t="str">
        <x:v>ST096</x:v>
      </x:c>
      <x:c r="E1784" s="2" t="str">
        <x:v>G096</x:v>
      </x:c>
      <x:c r="F1784" s="2" t="str">
        <x:v>guardian096@example.invalid</x:v>
      </x:c>
      <x:c r="G1784" s="2" t="str">
        <x:v>Email</x:v>
      </x:c>
      <x:c r="H1784" s="2" t="str">
        <x:v>Boarded</x:v>
      </x:c>
      <x:c r="I1784" s="8" t="n">
        <x:v>46302.24253472222</x:v>
      </x:c>
      <x:c r="J1784" s="8" t="n">
        <x:v>46302.24255787037</x:v>
      </x:c>
      <x:c r="K1784" s="8" t="n">
        <x:v>46302.24259259259</x:v>
      </x:c>
      <x:c r="L1784" s="2" t="str">
        <x:v>Sent</x:v>
      </x:c>
      <x:c r="M1784" s="2" t="n">
        <x:v>1</x:v>
      </x:c>
      <x:c r="N1784" s="2"/>
      <x:c r="O1784" s="2"/>
    </x:row>
    <x:row r="1785" ht="21" customHeight="1">
      <x:c r="A1785" s="2" t="str">
        <x:v>NT001784</x:v>
      </x:c>
      <x:c r="B1785" s="2" t="str">
        <x:v>EV001786</x:v>
      </x:c>
      <x:c r="C1785" s="2" t="str">
        <x:v>T20261007-1-3</x:v>
      </x:c>
      <x:c r="D1785" s="2" t="str">
        <x:v>ST096</x:v>
      </x:c>
      <x:c r="E1785" s="2" t="str">
        <x:v>G096</x:v>
      </x:c>
      <x:c r="F1785" s="2" t="str">
        <x:v>guardian096@example.invalid</x:v>
      </x:c>
      <x:c r="G1785" s="2" t="str">
        <x:v>Email</x:v>
      </x:c>
      <x:c r="H1785" s="2" t="str">
        <x:v>School receipt</x:v>
      </x:c>
      <x:c r="I1785" s="8" t="n">
        <x:v>46302.27690972222</x:v>
      </x:c>
      <x:c r="J1785" s="8" t="n">
        <x:v>46302.276932870365</x:v>
      </x:c>
      <x:c r="K1785" s="8" t="n">
        <x:v>46302.27696759259</x:v>
      </x:c>
      <x:c r="L1785" s="2" t="str">
        <x:v>Sent</x:v>
      </x:c>
      <x:c r="M1785" s="2" t="n">
        <x:v>1</x:v>
      </x:c>
      <x:c r="N1785" s="2"/>
      <x:c r="O1785" s="2"/>
    </x:row>
    <x:row r="1786" ht="21" customHeight="1">
      <x:c r="A1786" s="2" t="str">
        <x:v>NT001785</x:v>
      </x:c>
      <x:c r="B1786" s="2" t="str">
        <x:v>EV001787</x:v>
      </x:c>
      <x:c r="C1786" s="2" t="str">
        <x:v>T20261007-1-3</x:v>
      </x:c>
      <x:c r="D1786" s="2" t="str">
        <x:v>ST097</x:v>
      </x:c>
      <x:c r="E1786" s="2" t="str">
        <x:v>G097</x:v>
      </x:c>
      <x:c r="F1786" s="2" t="str">
        <x:v>guardian097@example.invalid</x:v>
      </x:c>
      <x:c r="G1786" s="2" t="str">
        <x:v>Email</x:v>
      </x:c>
      <x:c r="H1786" s="2" t="str">
        <x:v>Boarded</x:v>
      </x:c>
      <x:c r="I1786" s="8" t="n">
        <x:v>46302.24743055555</x:v>
      </x:c>
      <x:c r="J1786" s="8" t="n">
        <x:v>46302.2474537037</x:v>
      </x:c>
      <x:c r="K1786" s="8" t="n">
        <x:v>46302.24748842592</x:v>
      </x:c>
      <x:c r="L1786" s="2" t="str">
        <x:v>Sent</x:v>
      </x:c>
      <x:c r="M1786" s="2" t="n">
        <x:v>1</x:v>
      </x:c>
      <x:c r="N1786" s="2"/>
      <x:c r="O1786" s="2"/>
    </x:row>
    <x:row r="1787" ht="21" customHeight="1">
      <x:c r="A1787" s="2" t="str">
        <x:v>NT001786</x:v>
      </x:c>
      <x:c r="B1787" s="2" t="str">
        <x:v>EV001788</x:v>
      </x:c>
      <x:c r="C1787" s="2" t="str">
        <x:v>T20261007-1-3</x:v>
      </x:c>
      <x:c r="D1787" s="2" t="str">
        <x:v>ST097</x:v>
      </x:c>
      <x:c r="E1787" s="2" t="str">
        <x:v>G097</x:v>
      </x:c>
      <x:c r="F1787" s="2" t="str">
        <x:v>guardian097@example.invalid</x:v>
      </x:c>
      <x:c r="G1787" s="2" t="str">
        <x:v>Email</x:v>
      </x:c>
      <x:c r="H1787" s="2" t="str">
        <x:v>School receipt</x:v>
      </x:c>
      <x:c r="I1787" s="8" t="n">
        <x:v>46302.27694444444</x:v>
      </x:c>
      <x:c r="J1787" s="8" t="n">
        <x:v>46302.27696759259</x:v>
      </x:c>
      <x:c r="K1787" s="8" t="n">
        <x:v>46302.27700231481</x:v>
      </x:c>
      <x:c r="L1787" s="2" t="str">
        <x:v>Sent</x:v>
      </x:c>
      <x:c r="M1787" s="2" t="n">
        <x:v>1</x:v>
      </x:c>
      <x:c r="N1787" s="2"/>
      <x:c r="O1787" s="2"/>
    </x:row>
    <x:row r="1788" ht="21" customHeight="1">
      <x:c r="A1788" s="2" t="str">
        <x:v>NT001787</x:v>
      </x:c>
      <x:c r="B1788" s="2" t="str">
        <x:v>EV001789</x:v>
      </x:c>
      <x:c r="C1788" s="2" t="str">
        <x:v>T20261007-1-3</x:v>
      </x:c>
      <x:c r="D1788" s="2" t="str">
        <x:v>ST098</x:v>
      </x:c>
      <x:c r="E1788" s="2" t="str">
        <x:v>G098</x:v>
      </x:c>
      <x:c r="F1788" s="2" t="str">
        <x:v>guardian098@example.invalid</x:v>
      </x:c>
      <x:c r="G1788" s="2" t="str">
        <x:v>Email</x:v>
      </x:c>
      <x:c r="H1788" s="2" t="str">
        <x:v>Boarded</x:v>
      </x:c>
      <x:c r="I1788" s="8" t="n">
        <x:v>46302.25232638889</x:v>
      </x:c>
      <x:c r="J1788" s="8" t="n">
        <x:v>46302.25234953703</x:v>
      </x:c>
      <x:c r="K1788" s="8" t="n">
        <x:v>46302.252384259256</x:v>
      </x:c>
      <x:c r="L1788" s="2" t="str">
        <x:v>Sent</x:v>
      </x:c>
      <x:c r="M1788" s="2" t="n">
        <x:v>1</x:v>
      </x:c>
      <x:c r="N1788" s="2"/>
      <x:c r="O1788" s="2"/>
    </x:row>
    <x:row r="1789" ht="21" customHeight="1">
      <x:c r="A1789" s="2" t="str">
        <x:v>NT001788</x:v>
      </x:c>
      <x:c r="B1789" s="2" t="str">
        <x:v>EV001790</x:v>
      </x:c>
      <x:c r="C1789" s="2" t="str">
        <x:v>T20261007-1-3</x:v>
      </x:c>
      <x:c r="D1789" s="2" t="str">
        <x:v>ST098</x:v>
      </x:c>
      <x:c r="E1789" s="2" t="str">
        <x:v>G098</x:v>
      </x:c>
      <x:c r="F1789" s="2" t="str">
        <x:v>guardian098@example.invalid</x:v>
      </x:c>
      <x:c r="G1789" s="2" t="str">
        <x:v>Email</x:v>
      </x:c>
      <x:c r="H1789" s="2" t="str">
        <x:v>School receipt</x:v>
      </x:c>
      <x:c r="I1789" s="8" t="n">
        <x:v>46302.276979166665</x:v>
      </x:c>
      <x:c r="J1789" s="8" t="n">
        <x:v>46302.27700231481</x:v>
      </x:c>
      <x:c r="K1789" s="8" t="n">
        <x:v>46302.277037037034</x:v>
      </x:c>
      <x:c r="L1789" s="2" t="str">
        <x:v>Sent</x:v>
      </x:c>
      <x:c r="M1789" s="2" t="n">
        <x:v>1</x:v>
      </x:c>
      <x:c r="N1789" s="2"/>
      <x:c r="O1789" s="2"/>
    </x:row>
    <x:row r="1790" ht="21" customHeight="1">
      <x:c r="A1790" s="2" t="str">
        <x:v>NT001789</x:v>
      </x:c>
      <x:c r="B1790" s="2" t="str">
        <x:v>EV001791</x:v>
      </x:c>
      <x:c r="C1790" s="2" t="str">
        <x:v>T20261007-1-3</x:v>
      </x:c>
      <x:c r="D1790" s="2" t="str">
        <x:v>ST099</x:v>
      </x:c>
      <x:c r="E1790" s="2" t="str">
        <x:v>G099</x:v>
      </x:c>
      <x:c r="F1790" s="2" t="str">
        <x:v>guardian099@example.invalid</x:v>
      </x:c>
      <x:c r="G1790" s="2" t="str">
        <x:v>Email</x:v>
      </x:c>
      <x:c r="H1790" s="2" t="str">
        <x:v>Boarded</x:v>
      </x:c>
      <x:c r="I1790" s="8" t="n">
        <x:v>46302.24263888889</x:v>
      </x:c>
      <x:c r="J1790" s="8" t="n">
        <x:v>46302.24266203704</x:v>
      </x:c>
      <x:c r="K1790" s="8" t="n">
        <x:v>46302.24269675926</x:v>
      </x:c>
      <x:c r="L1790" s="2" t="str">
        <x:v>Sent</x:v>
      </x:c>
      <x:c r="M1790" s="2" t="n">
        <x:v>1</x:v>
      </x:c>
      <x:c r="N1790" s="2"/>
      <x:c r="O1790" s="2"/>
    </x:row>
    <x:row r="1791" ht="21" customHeight="1">
      <x:c r="A1791" s="2" t="str">
        <x:v>NT001790</x:v>
      </x:c>
      <x:c r="B1791" s="2" t="str">
        <x:v>EV001792</x:v>
      </x:c>
      <x:c r="C1791" s="2" t="str">
        <x:v>T20261007-1-3</x:v>
      </x:c>
      <x:c r="D1791" s="2" t="str">
        <x:v>ST099</x:v>
      </x:c>
      <x:c r="E1791" s="2" t="str">
        <x:v>G099</x:v>
      </x:c>
      <x:c r="F1791" s="2" t="str">
        <x:v>guardian099@example.invalid</x:v>
      </x:c>
      <x:c r="G1791" s="2" t="str">
        <x:v>Email</x:v>
      </x:c>
      <x:c r="H1791" s="2" t="str">
        <x:v>School receipt</x:v>
      </x:c>
      <x:c r="I1791" s="8" t="n">
        <x:v>46302.27701388889</x:v>
      </x:c>
      <x:c r="J1791" s="8" t="n">
        <x:v>46302.277037037034</x:v>
      </x:c>
      <x:c r="K1791" s="8" t="n">
        <x:v>46302.27707175926</x:v>
      </x:c>
      <x:c r="L1791" s="2" t="str">
        <x:v>Sent</x:v>
      </x:c>
      <x:c r="M1791" s="2" t="n">
        <x:v>1</x:v>
      </x:c>
      <x:c r="N1791" s="2"/>
      <x:c r="O1791" s="2"/>
    </x:row>
    <x:row r="1792" ht="21" customHeight="1">
      <x:c r="A1792" s="2" t="str">
        <x:v>NT001791</x:v>
      </x:c>
      <x:c r="B1792" s="2" t="str">
        <x:v>EV001793</x:v>
      </x:c>
      <x:c r="C1792" s="2" t="str">
        <x:v>T20261007-1-3</x:v>
      </x:c>
      <x:c r="D1792" s="2" t="str">
        <x:v>ST100</x:v>
      </x:c>
      <x:c r="E1792" s="2" t="str">
        <x:v>G100</x:v>
      </x:c>
      <x:c r="F1792" s="2" t="str">
        <x:v>guardian100@example.invalid</x:v>
      </x:c>
      <x:c r="G1792" s="2" t="str">
        <x:v>Email</x:v>
      </x:c>
      <x:c r="H1792" s="2" t="str">
        <x:v>Boarded</x:v>
      </x:c>
      <x:c r="I1792" s="8" t="n">
        <x:v>46302.24753472222</x:v>
      </x:c>
      <x:c r="J1792" s="8" t="n">
        <x:v>46302.24755787037</x:v>
      </x:c>
      <x:c r="K1792" s="8" t="n">
        <x:v>46302.24759259259</x:v>
      </x:c>
      <x:c r="L1792" s="2" t="str">
        <x:v>Sent</x:v>
      </x:c>
      <x:c r="M1792" s="2" t="n">
        <x:v>1</x:v>
      </x:c>
      <x:c r="N1792" s="2"/>
      <x:c r="O1792" s="2"/>
    </x:row>
    <x:row r="1793" ht="21" customHeight="1">
      <x:c r="A1793" s="2" t="str">
        <x:v>NT001792</x:v>
      </x:c>
      <x:c r="B1793" s="2" t="str">
        <x:v>EV001794</x:v>
      </x:c>
      <x:c r="C1793" s="2" t="str">
        <x:v>T20261007-1-3</x:v>
      </x:c>
      <x:c r="D1793" s="2" t="str">
        <x:v>ST100</x:v>
      </x:c>
      <x:c r="E1793" s="2" t="str">
        <x:v>G100</x:v>
      </x:c>
      <x:c r="F1793" s="2" t="str">
        <x:v>guardian100@example.invalid</x:v>
      </x:c>
      <x:c r="G1793" s="2" t="str">
        <x:v>Email</x:v>
      </x:c>
      <x:c r="H1793" s="2" t="str">
        <x:v>School receipt</x:v>
      </x:c>
      <x:c r="I1793" s="8" t="n">
        <x:v>46302.27704861111</x:v>
      </x:c>
      <x:c r="J1793" s="8" t="n">
        <x:v>46302.27707175926</x:v>
      </x:c>
      <x:c r="K1793" s="8" t="n">
        <x:v>46302.27710648148</x:v>
      </x:c>
      <x:c r="L1793" s="2" t="str">
        <x:v>Sent</x:v>
      </x:c>
      <x:c r="M1793" s="2" t="n">
        <x:v>1</x:v>
      </x:c>
      <x:c r="N1793" s="2"/>
      <x:c r="O1793" s="2"/>
    </x:row>
    <x:row r="1794" ht="21" customHeight="1">
      <x:c r="A1794" s="2" t="str">
        <x:v>NT001793</x:v>
      </x:c>
      <x:c r="B1794" s="2" t="str">
        <x:v>EV001795</x:v>
      </x:c>
      <x:c r="C1794" s="2" t="str">
        <x:v>T20261007-2-3</x:v>
      </x:c>
      <x:c r="D1794" s="2" t="str">
        <x:v>ST081</x:v>
      </x:c>
      <x:c r="E1794" s="2" t="str">
        <x:v>G081</x:v>
      </x:c>
      <x:c r="F1794" s="2" t="str">
        <x:v>guardian081@example.invalid</x:v>
      </x:c>
      <x:c r="G1794" s="2" t="str">
        <x:v>Email</x:v>
      </x:c>
      <x:c r="H1794" s="2" t="str">
        <x:v>Boarded</x:v>
      </x:c>
      <x:c r="I1794" s="8" t="n">
        <x:v>46302.4375</x:v>
      </x:c>
      <x:c r="J1794" s="8" t="n">
        <x:v>46302.437523148146</x:v>
      </x:c>
      <x:c r="K1794" s="8" t="n">
        <x:v>46302.43755787037</x:v>
      </x:c>
      <x:c r="L1794" s="2" t="str">
        <x:v>Sent</x:v>
      </x:c>
      <x:c r="M1794" s="2" t="n">
        <x:v>1</x:v>
      </x:c>
      <x:c r="N1794" s="2"/>
      <x:c r="O1794" s="2"/>
    </x:row>
    <x:row r="1795" ht="21" customHeight="1">
      <x:c r="A1795" s="2" t="str">
        <x:v>NT001794</x:v>
      </x:c>
      <x:c r="B1795" s="2" t="str">
        <x:v>EV001796</x:v>
      </x:c>
      <x:c r="C1795" s="2" t="str">
        <x:v>T20261007-2-3</x:v>
      </x:c>
      <x:c r="D1795" s="2" t="str">
        <x:v>ST081</x:v>
      </x:c>
      <x:c r="E1795" s="2" t="str">
        <x:v>G081</x:v>
      </x:c>
      <x:c r="F1795" s="2" t="str">
        <x:v>guardian081@example.invalid</x:v>
      </x:c>
      <x:c r="G1795" s="2" t="str">
        <x:v>Email</x:v>
      </x:c>
      <x:c r="H1795" s="2" t="str">
        <x:v>Authorized release</x:v>
      </x:c>
      <x:c r="I1795" s="8" t="n">
        <x:v>46302.44930555555</x:v>
      </x:c>
      <x:c r="J1795" s="8" t="n">
        <x:v>46302.4493287037</x:v>
      </x:c>
      <x:c r="K1795" s="8" t="n">
        <x:v>46302.44936342592</x:v>
      </x:c>
      <x:c r="L1795" s="2" t="str">
        <x:v>Sent</x:v>
      </x:c>
      <x:c r="M1795" s="2" t="n">
        <x:v>1</x:v>
      </x:c>
      <x:c r="N1795" s="2"/>
      <x:c r="O1795" s="2"/>
    </x:row>
    <x:row r="1796" ht="21" customHeight="1">
      <x:c r="A1796" s="2" t="str">
        <x:v>NT001795</x:v>
      </x:c>
      <x:c r="B1796" s="2" t="str">
        <x:v>EV001797</x:v>
      </x:c>
      <x:c r="C1796" s="2" t="str">
        <x:v>T20261007-2-3</x:v>
      </x:c>
      <x:c r="D1796" s="2" t="str">
        <x:v>ST082</x:v>
      </x:c>
      <x:c r="E1796" s="2" t="str">
        <x:v>G082</x:v>
      </x:c>
      <x:c r="F1796" s="2" t="str">
        <x:v>guardian082@example.invalid</x:v>
      </x:c>
      <x:c r="G1796" s="2" t="str">
        <x:v>Email</x:v>
      </x:c>
      <x:c r="H1796" s="2" t="str">
        <x:v>Boarded</x:v>
      </x:c>
      <x:c r="I1796" s="8" t="n">
        <x:v>46302.43753472222</x:v>
      </x:c>
      <x:c r="J1796" s="8" t="n">
        <x:v>46302.43755787037</x:v>
      </x:c>
      <x:c r="K1796" s="8" t="n">
        <x:v>46302.43759259259</x:v>
      </x:c>
      <x:c r="L1796" s="2" t="str">
        <x:v>Sent</x:v>
      </x:c>
      <x:c r="M1796" s="2" t="n">
        <x:v>1</x:v>
      </x:c>
      <x:c r="N1796" s="2"/>
      <x:c r="O1796" s="2"/>
    </x:row>
    <x:row r="1797" ht="21" customHeight="1">
      <x:c r="A1797" s="2" t="str">
        <x:v>NT001796</x:v>
      </x:c>
      <x:c r="B1797" s="2" t="str">
        <x:v>EV001798</x:v>
      </x:c>
      <x:c r="C1797" s="2" t="str">
        <x:v>T20261007-2-3</x:v>
      </x:c>
      <x:c r="D1797" s="2" t="str">
        <x:v>ST082</x:v>
      </x:c>
      <x:c r="E1797" s="2" t="str">
        <x:v>G082</x:v>
      </x:c>
      <x:c r="F1797" s="2" t="str">
        <x:v>guardian082@example.invalid</x:v>
      </x:c>
      <x:c r="G1797" s="2" t="str">
        <x:v>Email</x:v>
      </x:c>
      <x:c r="H1797" s="2" t="str">
        <x:v>Authorized release</x:v>
      </x:c>
      <x:c r="I1797" s="8" t="n">
        <x:v>46302.45350694445</x:v>
      </x:c>
      <x:c r="J1797" s="8" t="n">
        <x:v>46302.45353009259</x:v>
      </x:c>
      <x:c r="K1797" s="8" t="n">
        <x:v>46302.453564814816</x:v>
      </x:c>
      <x:c r="L1797" s="2" t="str">
        <x:v>Sent</x:v>
      </x:c>
      <x:c r="M1797" s="2" t="n">
        <x:v>1</x:v>
      </x:c>
      <x:c r="N1797" s="2"/>
      <x:c r="O1797" s="2"/>
    </x:row>
    <x:row r="1798" ht="21" customHeight="1">
      <x:c r="A1798" s="2" t="str">
        <x:v>NT001797</x:v>
      </x:c>
      <x:c r="B1798" s="2" t="str">
        <x:v>EV001799</x:v>
      </x:c>
      <x:c r="C1798" s="2" t="str">
        <x:v>T20261007-2-3</x:v>
      </x:c>
      <x:c r="D1798" s="2" t="str">
        <x:v>ST083</x:v>
      </x:c>
      <x:c r="E1798" s="2" t="str">
        <x:v>G083</x:v>
      </x:c>
      <x:c r="F1798" s="2" t="str">
        <x:v>guardian083@example.invalid</x:v>
      </x:c>
      <x:c r="G1798" s="2" t="str">
        <x:v>Email</x:v>
      </x:c>
      <x:c r="H1798" s="2" t="str">
        <x:v>Boarded</x:v>
      </x:c>
      <x:c r="I1798" s="8" t="n">
        <x:v>46302.437569444446</x:v>
      </x:c>
      <x:c r="J1798" s="8" t="n">
        <x:v>46302.43759259259</x:v>
      </x:c>
      <x:c r="K1798" s="8" t="n">
        <x:v>46302.437627314815</x:v>
      </x:c>
      <x:c r="L1798" s="2" t="str">
        <x:v>Sent</x:v>
      </x:c>
      <x:c r="M1798" s="2" t="n">
        <x:v>1</x:v>
      </x:c>
      <x:c r="N1798" s="2"/>
      <x:c r="O1798" s="2"/>
    </x:row>
    <x:row r="1799" ht="21" customHeight="1">
      <x:c r="A1799" s="2" t="str">
        <x:v>NT001798</x:v>
      </x:c>
      <x:c r="B1799" s="2" t="str">
        <x:v>EV001800</x:v>
      </x:c>
      <x:c r="C1799" s="2" t="str">
        <x:v>T20261007-2-3</x:v>
      </x:c>
      <x:c r="D1799" s="2" t="str">
        <x:v>ST083</x:v>
      </x:c>
      <x:c r="E1799" s="2" t="str">
        <x:v>G083</x:v>
      </x:c>
      <x:c r="F1799" s="2" t="str">
        <x:v>guardian083@example.invalid</x:v>
      </x:c>
      <x:c r="G1799" s="2" t="str">
        <x:v>Email</x:v>
      </x:c>
      <x:c r="H1799" s="2" t="str">
        <x:v>Authorized release</x:v>
      </x:c>
      <x:c r="I1799" s="8" t="n">
        <x:v>46302.457708333335</x:v>
      </x:c>
      <x:c r="J1799" s="8" t="n">
        <x:v>46302.45773148148</x:v>
      </x:c>
      <x:c r="K1799" s="8" t="n">
        <x:v>46302.457766203705</x:v>
      </x:c>
      <x:c r="L1799" s="2" t="str">
        <x:v>Sent</x:v>
      </x:c>
      <x:c r="M1799" s="2" t="n">
        <x:v>1</x:v>
      </x:c>
      <x:c r="N1799" s="2"/>
      <x:c r="O1799" s="2"/>
    </x:row>
    <x:row r="1800" ht="21" customHeight="1">
      <x:c r="A1800" s="2" t="str">
        <x:v>NT001799</x:v>
      </x:c>
      <x:c r="B1800" s="2" t="str">
        <x:v>EV001801</x:v>
      </x:c>
      <x:c r="C1800" s="2" t="str">
        <x:v>T20261007-2-3</x:v>
      </x:c>
      <x:c r="D1800" s="2" t="str">
        <x:v>ST084</x:v>
      </x:c>
      <x:c r="E1800" s="2" t="str">
        <x:v>G084</x:v>
      </x:c>
      <x:c r="F1800" s="2" t="str">
        <x:v>guardian084@example.invalid</x:v>
      </x:c>
      <x:c r="G1800" s="2" t="str">
        <x:v>Email</x:v>
      </x:c>
      <x:c r="H1800" s="2" t="str">
        <x:v>Boarded</x:v>
      </x:c>
      <x:c r="I1800" s="8" t="n">
        <x:v>46302.43760416667</x:v>
      </x:c>
      <x:c r="J1800" s="8" t="n">
        <x:v>46302.437627314815</x:v>
      </x:c>
      <x:c r="K1800" s="8" t="n">
        <x:v>46302.43766203704</x:v>
      </x:c>
      <x:c r="L1800" s="2" t="str">
        <x:v>Sent</x:v>
      </x:c>
      <x:c r="M1800" s="2" t="n">
        <x:v>1</x:v>
      </x:c>
      <x:c r="N1800" s="2"/>
      <x:c r="O1800" s="2"/>
    </x:row>
    <x:row r="1801" ht="21" customHeight="1">
      <x:c r="A1801" s="2" t="str">
        <x:v>NT001800</x:v>
      </x:c>
      <x:c r="B1801" s="2" t="str">
        <x:v>EV001802</x:v>
      </x:c>
      <x:c r="C1801" s="2" t="str">
        <x:v>T20261007-2-3</x:v>
      </x:c>
      <x:c r="D1801" s="2" t="str">
        <x:v>ST084</x:v>
      </x:c>
      <x:c r="E1801" s="2" t="str">
        <x:v>G084</x:v>
      </x:c>
      <x:c r="F1801" s="2" t="str">
        <x:v>guardian084@example.invalid</x:v>
      </x:c>
      <x:c r="G1801" s="2" t="str">
        <x:v>Email</x:v>
      </x:c>
      <x:c r="H1801" s="2" t="str">
        <x:v>Authorized release</x:v>
      </x:c>
      <x:c r="I1801" s="8" t="n">
        <x:v>46302.44940972222</x:v>
      </x:c>
      <x:c r="J1801" s="8" t="n">
        <x:v>46302.449432870366</x:v>
      </x:c>
      <x:c r="K1801" s="8" t="n">
        <x:v>46302.44946759259</x:v>
      </x:c>
      <x:c r="L1801" s="2" t="str">
        <x:v>Sent</x:v>
      </x:c>
      <x:c r="M1801" s="2" t="n">
        <x:v>1</x:v>
      </x:c>
      <x:c r="N1801" s="2"/>
      <x:c r="O1801" s="2"/>
    </x:row>
    <x:row r="1802" ht="21" customHeight="1">
      <x:c r="A1802" s="2" t="str">
        <x:v>NT001801</x:v>
      </x:c>
      <x:c r="B1802" s="2" t="str">
        <x:v>EV001803</x:v>
      </x:c>
      <x:c r="C1802" s="2" t="str">
        <x:v>T20261007-2-3</x:v>
      </x:c>
      <x:c r="D1802" s="2" t="str">
        <x:v>ST085</x:v>
      </x:c>
      <x:c r="E1802" s="2" t="str">
        <x:v>G085</x:v>
      </x:c>
      <x:c r="F1802" s="2" t="str">
        <x:v>guardian085@example.invalid</x:v>
      </x:c>
      <x:c r="G1802" s="2" t="str">
        <x:v>Email</x:v>
      </x:c>
      <x:c r="H1802" s="2" t="str">
        <x:v>Boarded</x:v>
      </x:c>
      <x:c r="I1802" s="8" t="n">
        <x:v>46302.43763888889</x:v>
      </x:c>
      <x:c r="J1802" s="8" t="n">
        <x:v>46302.43766203704</x:v>
      </x:c>
      <x:c r="K1802" s="8" t="n">
        <x:v>46302.43769675926</x:v>
      </x:c>
      <x:c r="L1802" s="2" t="str">
        <x:v>Sent</x:v>
      </x:c>
      <x:c r="M1802" s="2" t="n">
        <x:v>1</x:v>
      </x:c>
      <x:c r="N1802" s="2"/>
      <x:c r="O1802" s="2"/>
    </x:row>
    <x:row r="1803" ht="21" customHeight="1">
      <x:c r="A1803" s="2" t="str">
        <x:v>NT001802</x:v>
      </x:c>
      <x:c r="B1803" s="2" t="str">
        <x:v>EV001804</x:v>
      </x:c>
      <x:c r="C1803" s="2" t="str">
        <x:v>T20261007-2-3</x:v>
      </x:c>
      <x:c r="D1803" s="2" t="str">
        <x:v>ST085</x:v>
      </x:c>
      <x:c r="E1803" s="2" t="str">
        <x:v>G085</x:v>
      </x:c>
      <x:c r="F1803" s="2" t="str">
        <x:v>guardian085@example.invalid</x:v>
      </x:c>
      <x:c r="G1803" s="2" t="str">
        <x:v>Email</x:v>
      </x:c>
      <x:c r="H1803" s="2" t="str">
        <x:v>Authorized release</x:v>
      </x:c>
      <x:c r="I1803" s="8" t="n">
        <x:v>46302.453611111116</x:v>
      </x:c>
      <x:c r="J1803" s="8" t="n">
        <x:v>46302.45363425926</x:v>
      </x:c>
      <x:c r="K1803" s="8" t="n">
        <x:v>46302.453668981485</x:v>
      </x:c>
      <x:c r="L1803" s="2" t="str">
        <x:v>Sent</x:v>
      </x:c>
      <x:c r="M1803" s="2" t="n">
        <x:v>1</x:v>
      </x:c>
      <x:c r="N1803" s="2"/>
      <x:c r="O1803" s="2"/>
    </x:row>
    <x:row r="1804" ht="21" customHeight="1">
      <x:c r="A1804" s="2" t="str">
        <x:v>NT001803</x:v>
      </x:c>
      <x:c r="B1804" s="2" t="str">
        <x:v>EV001805</x:v>
      </x:c>
      <x:c r="C1804" s="2" t="str">
        <x:v>T20261007-2-3</x:v>
      </x:c>
      <x:c r="D1804" s="2" t="str">
        <x:v>ST086</x:v>
      </x:c>
      <x:c r="E1804" s="2" t="str">
        <x:v>G086</x:v>
      </x:c>
      <x:c r="F1804" s="2" t="str">
        <x:v>guardian086@example.invalid</x:v>
      </x:c>
      <x:c r="G1804" s="2" t="str">
        <x:v>Email</x:v>
      </x:c>
      <x:c r="H1804" s="2" t="str">
        <x:v>Boarded</x:v>
      </x:c>
      <x:c r="I1804" s="8" t="n">
        <x:v>46302.43767361111</x:v>
      </x:c>
      <x:c r="J1804" s="8" t="n">
        <x:v>46302.437696759254</x:v>
      </x:c>
      <x:c r="K1804" s="8" t="n">
        <x:v>46302.43773148148</x:v>
      </x:c>
      <x:c r="L1804" s="2" t="str">
        <x:v>Sent</x:v>
      </x:c>
      <x:c r="M1804" s="2" t="n">
        <x:v>1</x:v>
      </x:c>
      <x:c r="N1804" s="2"/>
      <x:c r="O1804" s="2"/>
    </x:row>
    <x:row r="1805" ht="21" customHeight="1">
      <x:c r="A1805" s="2" t="str">
        <x:v>NT001804</x:v>
      </x:c>
      <x:c r="B1805" s="2" t="str">
        <x:v>EV001806</x:v>
      </x:c>
      <x:c r="C1805" s="2" t="str">
        <x:v>T20261007-2-3</x:v>
      </x:c>
      <x:c r="D1805" s="2" t="str">
        <x:v>ST086</x:v>
      </x:c>
      <x:c r="E1805" s="2" t="str">
        <x:v>G086</x:v>
      </x:c>
      <x:c r="F1805" s="2" t="str">
        <x:v>guardian086@example.invalid</x:v>
      </x:c>
      <x:c r="G1805" s="2" t="str">
        <x:v>Email</x:v>
      </x:c>
      <x:c r="H1805" s="2" t="str">
        <x:v>Authorized release</x:v>
      </x:c>
      <x:c r="I1805" s="8" t="n">
        <x:v>46302.4578125</x:v>
      </x:c>
      <x:c r="J1805" s="8" t="n">
        <x:v>46302.45783564814</x:v>
      </x:c>
      <x:c r="K1805" s="8" t="n">
        <x:v>46302.45787037037</x:v>
      </x:c>
      <x:c r="L1805" s="2" t="str">
        <x:v>Sent</x:v>
      </x:c>
      <x:c r="M1805" s="2" t="n">
        <x:v>1</x:v>
      </x:c>
      <x:c r="N1805" s="2"/>
      <x:c r="O1805" s="2"/>
    </x:row>
    <x:row r="1806" ht="21" customHeight="1">
      <x:c r="A1806" s="2" t="str">
        <x:v>NT001805</x:v>
      </x:c>
      <x:c r="B1806" s="2" t="str">
        <x:v>EV001807</x:v>
      </x:c>
      <x:c r="C1806" s="2" t="str">
        <x:v>T20261007-2-3</x:v>
      </x:c>
      <x:c r="D1806" s="2" t="str">
        <x:v>ST087</x:v>
      </x:c>
      <x:c r="E1806" s="2" t="str">
        <x:v>G087</x:v>
      </x:c>
      <x:c r="F1806" s="2" t="str">
        <x:v>guardian087@example.invalid</x:v>
      </x:c>
      <x:c r="G1806" s="2" t="str">
        <x:v>Email</x:v>
      </x:c>
      <x:c r="H1806" s="2" t="str">
        <x:v>Boarded</x:v>
      </x:c>
      <x:c r="I1806" s="8" t="n">
        <x:v>46302.43770833333</x:v>
      </x:c>
      <x:c r="J1806" s="8" t="n">
        <x:v>46302.43773148148</x:v>
      </x:c>
      <x:c r="K1806" s="8" t="n">
        <x:v>46302.4377662037</x:v>
      </x:c>
      <x:c r="L1806" s="2" t="str">
        <x:v>Sent</x:v>
      </x:c>
      <x:c r="M1806" s="2" t="n">
        <x:v>1</x:v>
      </x:c>
      <x:c r="N1806" s="2"/>
      <x:c r="O1806" s="2"/>
    </x:row>
    <x:row r="1807" ht="21" customHeight="1">
      <x:c r="A1807" s="2" t="str">
        <x:v>NT001806</x:v>
      </x:c>
      <x:c r="B1807" s="2" t="str">
        <x:v>EV001808</x:v>
      </x:c>
      <x:c r="C1807" s="2" t="str">
        <x:v>T20261007-2-3</x:v>
      </x:c>
      <x:c r="D1807" s="2" t="str">
        <x:v>ST087</x:v>
      </x:c>
      <x:c r="E1807" s="2" t="str">
        <x:v>G087</x:v>
      </x:c>
      <x:c r="F1807" s="2" t="str">
        <x:v>guardian087@example.invalid</x:v>
      </x:c>
      <x:c r="G1807" s="2" t="str">
        <x:v>Email</x:v>
      </x:c>
      <x:c r="H1807" s="2" t="str">
        <x:v>Authorized release</x:v>
      </x:c>
      <x:c r="I1807" s="8" t="n">
        <x:v>46302.44951388888</x:v>
      </x:c>
      <x:c r="J1807" s="8" t="n">
        <x:v>46302.44953703703</x:v>
      </x:c>
      <x:c r="K1807" s="8" t="n">
        <x:v>46302.44957175925</x:v>
      </x:c>
      <x:c r="L1807" s="2" t="str">
        <x:v>Sent</x:v>
      </x:c>
      <x:c r="M1807" s="2" t="n">
        <x:v>1</x:v>
      </x:c>
      <x:c r="N1807" s="2"/>
      <x:c r="O1807" s="2"/>
    </x:row>
    <x:row r="1808" ht="21" customHeight="1">
      <x:c r="A1808" s="2" t="str">
        <x:v>NT001807</x:v>
      </x:c>
      <x:c r="B1808" s="2" t="str">
        <x:v>EV001809</x:v>
      </x:c>
      <x:c r="C1808" s="2" t="str">
        <x:v>T20261007-2-3</x:v>
      </x:c>
      <x:c r="D1808" s="2" t="str">
        <x:v>ST088</x:v>
      </x:c>
      <x:c r="E1808" s="2" t="str">
        <x:v>G088</x:v>
      </x:c>
      <x:c r="F1808" s="2" t="str">
        <x:v>guardian088@example.invalid</x:v>
      </x:c>
      <x:c r="G1808" s="2" t="str">
        <x:v>Email</x:v>
      </x:c>
      <x:c r="H1808" s="2" t="str">
        <x:v>Boarded</x:v>
      </x:c>
      <x:c r="I1808" s="8" t="n">
        <x:v>46302.437743055554</x:v>
      </x:c>
      <x:c r="J1808" s="8" t="n">
        <x:v>46302.4377662037</x:v>
      </x:c>
      <x:c r="K1808" s="8" t="n">
        <x:v>46302.43780092592</x:v>
      </x:c>
      <x:c r="L1808" s="2" t="str">
        <x:v>Sent</x:v>
      </x:c>
      <x:c r="M1808" s="2" t="n">
        <x:v>1</x:v>
      </x:c>
      <x:c r="N1808" s="2"/>
      <x:c r="O1808" s="2"/>
    </x:row>
    <x:row r="1809" ht="21" customHeight="1">
      <x:c r="A1809" s="2" t="str">
        <x:v>NT001808</x:v>
      </x:c>
      <x:c r="B1809" s="2" t="str">
        <x:v>EV001810</x:v>
      </x:c>
      <x:c r="C1809" s="2" t="str">
        <x:v>T20261007-2-3</x:v>
      </x:c>
      <x:c r="D1809" s="2" t="str">
        <x:v>ST088</x:v>
      </x:c>
      <x:c r="E1809" s="2" t="str">
        <x:v>G088</x:v>
      </x:c>
      <x:c r="F1809" s="2" t="str">
        <x:v>guardian088@example.invalid</x:v>
      </x:c>
      <x:c r="G1809" s="2" t="str">
        <x:v>Email</x:v>
      </x:c>
      <x:c r="H1809" s="2" t="str">
        <x:v>Authorized release</x:v>
      </x:c>
      <x:c r="I1809" s="8" t="n">
        <x:v>46302.45371527778</x:v>
      </x:c>
      <x:c r="J1809" s="8" t="n">
        <x:v>46302.453738425924</x:v>
      </x:c>
      <x:c r="K1809" s="8" t="n">
        <x:v>46302.45377314815</x:v>
      </x:c>
      <x:c r="L1809" s="2" t="str">
        <x:v>Sent</x:v>
      </x:c>
      <x:c r="M1809" s="2" t="n">
        <x:v>1</x:v>
      </x:c>
      <x:c r="N1809" s="2"/>
      <x:c r="O1809" s="2"/>
    </x:row>
    <x:row r="1810" ht="21" customHeight="1">
      <x:c r="A1810" s="2" t="str">
        <x:v>NT001809</x:v>
      </x:c>
      <x:c r="B1810" s="2" t="str">
        <x:v>EV001811</x:v>
      </x:c>
      <x:c r="C1810" s="2" t="str">
        <x:v>T20261007-2-3</x:v>
      </x:c>
      <x:c r="D1810" s="2" t="str">
        <x:v>ST089</x:v>
      </x:c>
      <x:c r="E1810" s="2" t="str">
        <x:v>G089</x:v>
      </x:c>
      <x:c r="F1810" s="2" t="str">
        <x:v>guardian089@example.invalid</x:v>
      </x:c>
      <x:c r="G1810" s="2" t="str">
        <x:v>Email</x:v>
      </x:c>
      <x:c r="H1810" s="2" t="str">
        <x:v>Boarded</x:v>
      </x:c>
      <x:c r="I1810" s="8" t="n">
        <x:v>46302.43777777778</x:v>
      </x:c>
      <x:c r="J1810" s="8" t="n">
        <x:v>46302.43780092592</x:v>
      </x:c>
      <x:c r="K1810" s="8" t="n">
        <x:v>46302.43783564815</x:v>
      </x:c>
      <x:c r="L1810" s="2" t="str">
        <x:v>Sent</x:v>
      </x:c>
      <x:c r="M1810" s="2" t="n">
        <x:v>1</x:v>
      </x:c>
      <x:c r="N1810" s="2"/>
      <x:c r="O1810" s="2"/>
    </x:row>
    <x:row r="1811" ht="21" customHeight="1">
      <x:c r="A1811" s="2" t="str">
        <x:v>NT001810</x:v>
      </x:c>
      <x:c r="B1811" s="2" t="str">
        <x:v>EV001812</x:v>
      </x:c>
      <x:c r="C1811" s="2" t="str">
        <x:v>T20261007-2-3</x:v>
      </x:c>
      <x:c r="D1811" s="2" t="str">
        <x:v>ST089</x:v>
      </x:c>
      <x:c r="E1811" s="2" t="str">
        <x:v>G089</x:v>
      </x:c>
      <x:c r="F1811" s="2" t="str">
        <x:v>guardian089@example.invalid</x:v>
      </x:c>
      <x:c r="G1811" s="2" t="str">
        <x:v>Email</x:v>
      </x:c>
      <x:c r="H1811" s="2" t="str">
        <x:v>Authorized release</x:v>
      </x:c>
      <x:c r="I1811" s="8" t="n">
        <x:v>46302.457916666666</x:v>
      </x:c>
      <x:c r="J1811" s="8" t="n">
        <x:v>46302.45793981481</x:v>
      </x:c>
      <x:c r="K1811" s="8" t="n">
        <x:v>46302.457974537036</x:v>
      </x:c>
      <x:c r="L1811" s="2" t="str">
        <x:v>Sent</x:v>
      </x:c>
      <x:c r="M1811" s="2" t="n">
        <x:v>1</x:v>
      </x:c>
      <x:c r="N1811" s="2"/>
      <x:c r="O1811" s="2"/>
    </x:row>
    <x:row r="1812" ht="21" customHeight="1">
      <x:c r="A1812" s="2" t="str">
        <x:v>NT001811</x:v>
      </x:c>
      <x:c r="B1812" s="2" t="str">
        <x:v>EV001813</x:v>
      </x:c>
      <x:c r="C1812" s="2" t="str">
        <x:v>T20261007-2-3</x:v>
      </x:c>
      <x:c r="D1812" s="2" t="str">
        <x:v>ST090</x:v>
      </x:c>
      <x:c r="E1812" s="2" t="str">
        <x:v>G090</x:v>
      </x:c>
      <x:c r="F1812" s="2" t="str">
        <x:v>guardian090@example.invalid</x:v>
      </x:c>
      <x:c r="G1812" s="2" t="str">
        <x:v>Email</x:v>
      </x:c>
      <x:c r="H1812" s="2" t="str">
        <x:v>Boarded</x:v>
      </x:c>
      <x:c r="I1812" s="8" t="n">
        <x:v>46302.4378125</x:v>
      </x:c>
      <x:c r="J1812" s="8" t="n">
        <x:v>46302.43783564815</x:v>
      </x:c>
      <x:c r="K1812" s="8" t="n">
        <x:v>46302.43787037037</x:v>
      </x:c>
      <x:c r="L1812" s="2" t="str">
        <x:v>Sent</x:v>
      </x:c>
      <x:c r="M1812" s="2" t="n">
        <x:v>1</x:v>
      </x:c>
      <x:c r="N1812" s="2"/>
      <x:c r="O1812" s="2"/>
    </x:row>
    <x:row r="1813" ht="21" customHeight="1">
      <x:c r="A1813" s="2" t="str">
        <x:v>NT001812</x:v>
      </x:c>
      <x:c r="B1813" s="2" t="str">
        <x:v>EV001814</x:v>
      </x:c>
      <x:c r="C1813" s="2" t="str">
        <x:v>T20261007-2-3</x:v>
      </x:c>
      <x:c r="D1813" s="2" t="str">
        <x:v>ST090</x:v>
      </x:c>
      <x:c r="E1813" s="2" t="str">
        <x:v>G090</x:v>
      </x:c>
      <x:c r="F1813" s="2" t="str">
        <x:v>guardian090@example.invalid</x:v>
      </x:c>
      <x:c r="G1813" s="2" t="str">
        <x:v>Email</x:v>
      </x:c>
      <x:c r="H1813" s="2" t="str">
        <x:v>Authorized release</x:v>
      </x:c>
      <x:c r="I1813" s="8" t="n">
        <x:v>46302.44961805555</x:v>
      </x:c>
      <x:c r="J1813" s="8" t="n">
        <x:v>46302.4496412037</x:v>
      </x:c>
      <x:c r="K1813" s="8" t="n">
        <x:v>46302.44967592592</x:v>
      </x:c>
      <x:c r="L1813" s="2" t="str">
        <x:v>Sent</x:v>
      </x:c>
      <x:c r="M1813" s="2" t="n">
        <x:v>1</x:v>
      </x:c>
      <x:c r="N1813" s="2"/>
      <x:c r="O1813" s="2"/>
    </x:row>
    <x:row r="1814" ht="21" customHeight="1">
      <x:c r="A1814" s="2" t="str">
        <x:v>NT001813</x:v>
      </x:c>
      <x:c r="B1814" s="2" t="str">
        <x:v>EV001815</x:v>
      </x:c>
      <x:c r="C1814" s="2" t="str">
        <x:v>T20261007-2-3</x:v>
      </x:c>
      <x:c r="D1814" s="2" t="str">
        <x:v>ST101</x:v>
      </x:c>
      <x:c r="E1814" s="2" t="str">
        <x:v>G101</x:v>
      </x:c>
      <x:c r="F1814" s="2" t="str">
        <x:v>guardian101@example.invalid</x:v>
      </x:c>
      <x:c r="G1814" s="2" t="str">
        <x:v>Email</x:v>
      </x:c>
      <x:c r="H1814" s="2" t="str">
        <x:v>Boarded</x:v>
      </x:c>
      <x:c r="I1814" s="8" t="n">
        <x:v>46302.48125</x:v>
      </x:c>
      <x:c r="J1814" s="8" t="n">
        <x:v>46302.48127314814</x:v>
      </x:c>
      <x:c r="K1814" s="8" t="n">
        <x:v>46302.48130787037</x:v>
      </x:c>
      <x:c r="L1814" s="2" t="str">
        <x:v>Sent</x:v>
      </x:c>
      <x:c r="M1814" s="2" t="n">
        <x:v>1</x:v>
      </x:c>
      <x:c r="N1814" s="2"/>
      <x:c r="O1814" s="2"/>
    </x:row>
    <x:row r="1815" ht="21" customHeight="1">
      <x:c r="A1815" s="2" t="str">
        <x:v>NT001814</x:v>
      </x:c>
      <x:c r="B1815" s="2" t="str">
        <x:v>EV001816</x:v>
      </x:c>
      <x:c r="C1815" s="2" t="str">
        <x:v>T20261007-2-3</x:v>
      </x:c>
      <x:c r="D1815" s="2" t="str">
        <x:v>ST101</x:v>
      </x:c>
      <x:c r="E1815" s="2" t="str">
        <x:v>G101</x:v>
      </x:c>
      <x:c r="F1815" s="2" t="str">
        <x:v>guardian101@example.invalid</x:v>
      </x:c>
      <x:c r="G1815" s="2" t="str">
        <x:v>Email</x:v>
      </x:c>
      <x:c r="H1815" s="2" t="str">
        <x:v>School receipt</x:v>
      </x:c>
      <x:c r="I1815" s="8" t="n">
        <x:v>46302.506250000006</x:v>
      </x:c>
      <x:c r="J1815" s="8" t="n">
        <x:v>46302.50627314815</x:v>
      </x:c>
      <x:c r="K1815" s="8" t="n">
        <x:v>46302.506307870375</x:v>
      </x:c>
      <x:c r="L1815" s="2" t="str">
        <x:v>Sent</x:v>
      </x:c>
      <x:c r="M1815" s="2" t="n">
        <x:v>1</x:v>
      </x:c>
      <x:c r="N1815" s="2"/>
      <x:c r="O1815" s="2"/>
    </x:row>
    <x:row r="1816" ht="21" customHeight="1">
      <x:c r="A1816" s="2" t="str">
        <x:v>NT001815</x:v>
      </x:c>
      <x:c r="B1816" s="2" t="str">
        <x:v>EV001817</x:v>
      </x:c>
      <x:c r="C1816" s="2" t="str">
        <x:v>T20261007-2-3</x:v>
      </x:c>
      <x:c r="D1816" s="2" t="str">
        <x:v>ST102</x:v>
      </x:c>
      <x:c r="E1816" s="2" t="str">
        <x:v>G102</x:v>
      </x:c>
      <x:c r="F1816" s="2" t="str">
        <x:v>guardian102@example.invalid</x:v>
      </x:c>
      <x:c r="G1816" s="2" t="str">
        <x:v>Email</x:v>
      </x:c>
      <x:c r="H1816" s="2" t="str">
        <x:v>Boarded</x:v>
      </x:c>
      <x:c r="I1816" s="8" t="n">
        <x:v>46302.4715625</x:v>
      </x:c>
      <x:c r="J1816" s="8" t="n">
        <x:v>46302.47158564815</x:v>
      </x:c>
      <x:c r="K1816" s="8" t="n">
        <x:v>46302.47162037037</x:v>
      </x:c>
      <x:c r="L1816" s="2" t="str">
        <x:v>Sent</x:v>
      </x:c>
      <x:c r="M1816" s="2" t="n">
        <x:v>1</x:v>
      </x:c>
      <x:c r="N1816" s="2"/>
      <x:c r="O1816" s="2"/>
    </x:row>
    <x:row r="1817" ht="21" customHeight="1">
      <x:c r="A1817" s="2" t="str">
        <x:v>NT001816</x:v>
      </x:c>
      <x:c r="B1817" s="2" t="str">
        <x:v>EV001818</x:v>
      </x:c>
      <x:c r="C1817" s="2" t="str">
        <x:v>T20261007-2-3</x:v>
      </x:c>
      <x:c r="D1817" s="2" t="str">
        <x:v>ST102</x:v>
      </x:c>
      <x:c r="E1817" s="2" t="str">
        <x:v>G102</x:v>
      </x:c>
      <x:c r="F1817" s="2" t="str">
        <x:v>guardian102@example.invalid</x:v>
      </x:c>
      <x:c r="G1817" s="2" t="str">
        <x:v>Email</x:v>
      </x:c>
      <x:c r="H1817" s="2" t="str">
        <x:v>School receipt</x:v>
      </x:c>
      <x:c r="I1817" s="8" t="n">
        <x:v>46302.50628472223</x:v>
      </x:c>
      <x:c r="J1817" s="8" t="n">
        <x:v>46302.506307870375</x:v>
      </x:c>
      <x:c r="K1817" s="8" t="n">
        <x:v>46302.5063425926</x:v>
      </x:c>
      <x:c r="L1817" s="2" t="str">
        <x:v>Sent</x:v>
      </x:c>
      <x:c r="M1817" s="2" t="n">
        <x:v>1</x:v>
      </x:c>
      <x:c r="N1817" s="2"/>
      <x:c r="O1817" s="2"/>
    </x:row>
    <x:row r="1818" ht="21" customHeight="1">
      <x:c r="A1818" s="2" t="str">
        <x:v>NT001817</x:v>
      </x:c>
      <x:c r="B1818" s="2" t="str">
        <x:v>EV001819</x:v>
      </x:c>
      <x:c r="C1818" s="2" t="str">
        <x:v>T20261007-2-3</x:v>
      </x:c>
      <x:c r="D1818" s="2" t="str">
        <x:v>ST103</x:v>
      </x:c>
      <x:c r="E1818" s="2" t="str">
        <x:v>G103</x:v>
      </x:c>
      <x:c r="F1818" s="2" t="str">
        <x:v>guardian103@example.invalid</x:v>
      </x:c>
      <x:c r="G1818" s="2" t="str">
        <x:v>Email</x:v>
      </x:c>
      <x:c r="H1818" s="2" t="str">
        <x:v>Boarded</x:v>
      </x:c>
      <x:c r="I1818" s="8" t="n">
        <x:v>46302.47645833333</x:v>
      </x:c>
      <x:c r="J1818" s="8" t="n">
        <x:v>46302.47648148148</x:v>
      </x:c>
      <x:c r="K1818" s="8" t="n">
        <x:v>46302.4765162037</x:v>
      </x:c>
      <x:c r="L1818" s="2" t="str">
        <x:v>Sent</x:v>
      </x:c>
      <x:c r="M1818" s="2" t="n">
        <x:v>1</x:v>
      </x:c>
      <x:c r="N1818" s="2"/>
      <x:c r="O1818" s="2"/>
    </x:row>
    <x:row r="1819" ht="21" customHeight="1">
      <x:c r="A1819" s="2" t="str">
        <x:v>NT001818</x:v>
      </x:c>
      <x:c r="B1819" s="2" t="str">
        <x:v>EV001820</x:v>
      </x:c>
      <x:c r="C1819" s="2" t="str">
        <x:v>T20261007-2-3</x:v>
      </x:c>
      <x:c r="D1819" s="2" t="str">
        <x:v>ST103</x:v>
      </x:c>
      <x:c r="E1819" s="2" t="str">
        <x:v>G103</x:v>
      </x:c>
      <x:c r="F1819" s="2" t="str">
        <x:v>guardian103@example.invalid</x:v>
      </x:c>
      <x:c r="G1819" s="2" t="str">
        <x:v>Email</x:v>
      </x:c>
      <x:c r="H1819" s="2" t="str">
        <x:v>School receipt</x:v>
      </x:c>
      <x:c r="I1819" s="8" t="n">
        <x:v>46302.506319444445</x:v>
      </x:c>
      <x:c r="J1819" s="8" t="n">
        <x:v>46302.50634259259</x:v>
      </x:c>
      <x:c r="K1819" s="8" t="n">
        <x:v>46302.506377314814</x:v>
      </x:c>
      <x:c r="L1819" s="2" t="str">
        <x:v>Sent</x:v>
      </x:c>
      <x:c r="M1819" s="2" t="n">
        <x:v>1</x:v>
      </x:c>
      <x:c r="N1819" s="2"/>
      <x:c r="O1819" s="2"/>
    </x:row>
    <x:row r="1820" ht="21" customHeight="1">
      <x:c r="A1820" s="2" t="str">
        <x:v>NT001819</x:v>
      </x:c>
      <x:c r="B1820" s="2" t="str">
        <x:v>EV001821</x:v>
      </x:c>
      <x:c r="C1820" s="2" t="str">
        <x:v>T20261007-2-3</x:v>
      </x:c>
      <x:c r="D1820" s="2" t="str">
        <x:v>ST104</x:v>
      </x:c>
      <x:c r="E1820" s="2" t="str">
        <x:v>G104</x:v>
      </x:c>
      <x:c r="F1820" s="2" t="str">
        <x:v>guardian104@example.invalid</x:v>
      </x:c>
      <x:c r="G1820" s="2" t="str">
        <x:v>Email</x:v>
      </x:c>
      <x:c r="H1820" s="2" t="str">
        <x:v>Boarded</x:v>
      </x:c>
      <x:c r="I1820" s="8" t="n">
        <x:v>46302.481354166666</x:v>
      </x:c>
      <x:c r="J1820" s="8" t="n">
        <x:v>46302.48137731481</x:v>
      </x:c>
      <x:c r="K1820" s="8" t="n">
        <x:v>46302.481412037036</x:v>
      </x:c>
      <x:c r="L1820" s="2" t="str">
        <x:v>Sent</x:v>
      </x:c>
      <x:c r="M1820" s="2" t="n">
        <x:v>1</x:v>
      </x:c>
      <x:c r="N1820" s="2"/>
      <x:c r="O1820" s="2"/>
    </x:row>
    <x:row r="1821" ht="21" customHeight="1">
      <x:c r="A1821" s="2" t="str">
        <x:v>NT001820</x:v>
      </x:c>
      <x:c r="B1821" s="2" t="str">
        <x:v>EV001822</x:v>
      </x:c>
      <x:c r="C1821" s="2" t="str">
        <x:v>T20261007-2-3</x:v>
      </x:c>
      <x:c r="D1821" s="2" t="str">
        <x:v>ST104</x:v>
      </x:c>
      <x:c r="E1821" s="2" t="str">
        <x:v>G104</x:v>
      </x:c>
      <x:c r="F1821" s="2" t="str">
        <x:v>guardian104@example.invalid</x:v>
      </x:c>
      <x:c r="G1821" s="2" t="str">
        <x:v>Email</x:v>
      </x:c>
      <x:c r="H1821" s="2" t="str">
        <x:v>School receipt</x:v>
      </x:c>
      <x:c r="I1821" s="8" t="n">
        <x:v>46302.50635416667</x:v>
      </x:c>
      <x:c r="J1821" s="8" t="n">
        <x:v>46302.506377314814</x:v>
      </x:c>
      <x:c r="K1821" s="8" t="n">
        <x:v>46302.50641203704</x:v>
      </x:c>
      <x:c r="L1821" s="2" t="str">
        <x:v>Sent</x:v>
      </x:c>
      <x:c r="M1821" s="2" t="n">
        <x:v>1</x:v>
      </x:c>
      <x:c r="N1821" s="2"/>
      <x:c r="O1821" s="2"/>
    </x:row>
    <x:row r="1822" ht="21" customHeight="1">
      <x:c r="A1822" s="2" t="str">
        <x:v>NT001821</x:v>
      </x:c>
      <x:c r="B1822" s="2" t="str">
        <x:v>EV001823</x:v>
      </x:c>
      <x:c r="C1822" s="2" t="str">
        <x:v>T20261007-2-3</x:v>
      </x:c>
      <x:c r="D1822" s="2" t="str">
        <x:v>ST105</x:v>
      </x:c>
      <x:c r="E1822" s="2" t="str">
        <x:v>G105</x:v>
      </x:c>
      <x:c r="F1822" s="2" t="str">
        <x:v>guardian105@example.invalid</x:v>
      </x:c>
      <x:c r="G1822" s="2" t="str">
        <x:v>Email</x:v>
      </x:c>
      <x:c r="H1822" s="2" t="str">
        <x:v>Boarded</x:v>
      </x:c>
      <x:c r="I1822" s="8" t="n">
        <x:v>46302.47166666667</x:v>
      </x:c>
      <x:c r="J1822" s="8" t="n">
        <x:v>46302.47168981482</x:v>
      </x:c>
      <x:c r="K1822" s="8" t="n">
        <x:v>46302.47172453704</x:v>
      </x:c>
      <x:c r="L1822" s="2" t="str">
        <x:v>Sent</x:v>
      </x:c>
      <x:c r="M1822" s="2" t="n">
        <x:v>1</x:v>
      </x:c>
      <x:c r="N1822" s="2"/>
      <x:c r="O1822" s="2"/>
    </x:row>
    <x:row r="1823" ht="21" customHeight="1">
      <x:c r="A1823" s="2" t="str">
        <x:v>NT001822</x:v>
      </x:c>
      <x:c r="B1823" s="2" t="str">
        <x:v>EV001824</x:v>
      </x:c>
      <x:c r="C1823" s="2" t="str">
        <x:v>T20261007-2-3</x:v>
      </x:c>
      <x:c r="D1823" s="2" t="str">
        <x:v>ST105</x:v>
      </x:c>
      <x:c r="E1823" s="2" t="str">
        <x:v>G105</x:v>
      </x:c>
      <x:c r="F1823" s="2" t="str">
        <x:v>guardian105@example.invalid</x:v>
      </x:c>
      <x:c r="G1823" s="2" t="str">
        <x:v>Email</x:v>
      </x:c>
      <x:c r="H1823" s="2" t="str">
        <x:v>School receipt</x:v>
      </x:c>
      <x:c r="I1823" s="8" t="n">
        <x:v>46302.50638888889</x:v>
      </x:c>
      <x:c r="J1823" s="8" t="n">
        <x:v>46302.50641203704</x:v>
      </x:c>
      <x:c r="K1823" s="8" t="n">
        <x:v>46302.50644675926</x:v>
      </x:c>
      <x:c r="L1823" s="2" t="str">
        <x:v>Sent</x:v>
      </x:c>
      <x:c r="M1823" s="2" t="n">
        <x:v>1</x:v>
      </x:c>
      <x:c r="N1823" s="2"/>
      <x:c r="O1823" s="2"/>
    </x:row>
    <x:row r="1824" ht="21" customHeight="1">
      <x:c r="A1824" s="2" t="str">
        <x:v>NT001823</x:v>
      </x:c>
      <x:c r="B1824" s="2" t="str">
        <x:v>EV001825</x:v>
      </x:c>
      <x:c r="C1824" s="2" t="str">
        <x:v>T20261007-2-3</x:v>
      </x:c>
      <x:c r="D1824" s="2" t="str">
        <x:v>ST106</x:v>
      </x:c>
      <x:c r="E1824" s="2" t="str">
        <x:v>G106</x:v>
      </x:c>
      <x:c r="F1824" s="2" t="str">
        <x:v>guardian106@example.invalid</x:v>
      </x:c>
      <x:c r="G1824" s="2" t="str">
        <x:v>Email</x:v>
      </x:c>
      <x:c r="H1824" s="2" t="str">
        <x:v>Boarded</x:v>
      </x:c>
      <x:c r="I1824" s="8" t="n">
        <x:v>46302.47656249999</x:v>
      </x:c>
      <x:c r="J1824" s="8" t="n">
        <x:v>46302.47658564814</x:v>
      </x:c>
      <x:c r="K1824" s="8" t="n">
        <x:v>46302.47662037036</x:v>
      </x:c>
      <x:c r="L1824" s="2" t="str">
        <x:v>Sent</x:v>
      </x:c>
      <x:c r="M1824" s="2" t="n">
        <x:v>1</x:v>
      </x:c>
      <x:c r="N1824" s="2"/>
      <x:c r="O1824" s="2"/>
    </x:row>
    <x:row r="1825" ht="21" customHeight="1">
      <x:c r="A1825" s="2" t="str">
        <x:v>NT001824</x:v>
      </x:c>
      <x:c r="B1825" s="2" t="str">
        <x:v>EV001826</x:v>
      </x:c>
      <x:c r="C1825" s="2" t="str">
        <x:v>T20261007-2-3</x:v>
      </x:c>
      <x:c r="D1825" s="2" t="str">
        <x:v>ST106</x:v>
      </x:c>
      <x:c r="E1825" s="2" t="str">
        <x:v>G106</x:v>
      </x:c>
      <x:c r="F1825" s="2" t="str">
        <x:v>guardian106@example.invalid</x:v>
      </x:c>
      <x:c r="G1825" s="2" t="str">
        <x:v>Email</x:v>
      </x:c>
      <x:c r="H1825" s="2" t="str">
        <x:v>School receipt</x:v>
      </x:c>
      <x:c r="I1825" s="8" t="n">
        <x:v>46302.506423611114</x:v>
      </x:c>
      <x:c r="J1825" s="8" t="n">
        <x:v>46302.50644675926</x:v>
      </x:c>
      <x:c r="K1825" s="8" t="n">
        <x:v>46302.50648148148</x:v>
      </x:c>
      <x:c r="L1825" s="2" t="str">
        <x:v>Sent</x:v>
      </x:c>
      <x:c r="M1825" s="2" t="n">
        <x:v>1</x:v>
      </x:c>
      <x:c r="N1825" s="2"/>
      <x:c r="O1825" s="2"/>
    </x:row>
    <x:row r="1826" ht="21" customHeight="1">
      <x:c r="A1826" s="2" t="str">
        <x:v>NT001825</x:v>
      </x:c>
      <x:c r="B1826" s="2" t="str">
        <x:v>EV001827</x:v>
      </x:c>
      <x:c r="C1826" s="2" t="str">
        <x:v>T20261007-2-3</x:v>
      </x:c>
      <x:c r="D1826" s="2" t="str">
        <x:v>ST107</x:v>
      </x:c>
      <x:c r="E1826" s="2" t="str">
        <x:v>G107</x:v>
      </x:c>
      <x:c r="F1826" s="2" t="str">
        <x:v>guardian107@example.invalid</x:v>
      </x:c>
      <x:c r="G1826" s="2" t="str">
        <x:v>Email</x:v>
      </x:c>
      <x:c r="H1826" s="2" t="str">
        <x:v>Boarded</x:v>
      </x:c>
      <x:c r="I1826" s="8" t="n">
        <x:v>46302.48145833333</x:v>
      </x:c>
      <x:c r="J1826" s="8" t="n">
        <x:v>46302.481481481474</x:v>
      </x:c>
      <x:c r="K1826" s="8" t="n">
        <x:v>46302.4815162037</x:v>
      </x:c>
      <x:c r="L1826" s="2" t="str">
        <x:v>Sent</x:v>
      </x:c>
      <x:c r="M1826" s="2" t="n">
        <x:v>1</x:v>
      </x:c>
      <x:c r="N1826" s="2"/>
      <x:c r="O1826" s="2"/>
    </x:row>
    <x:row r="1827" ht="21" customHeight="1">
      <x:c r="A1827" s="2" t="str">
        <x:v>NT001826</x:v>
      </x:c>
      <x:c r="B1827" s="2" t="str">
        <x:v>EV001828</x:v>
      </x:c>
      <x:c r="C1827" s="2" t="str">
        <x:v>T20261007-2-3</x:v>
      </x:c>
      <x:c r="D1827" s="2" t="str">
        <x:v>ST107</x:v>
      </x:c>
      <x:c r="E1827" s="2" t="str">
        <x:v>G107</x:v>
      </x:c>
      <x:c r="F1827" s="2" t="str">
        <x:v>guardian107@example.invalid</x:v>
      </x:c>
      <x:c r="G1827" s="2" t="str">
        <x:v>Email</x:v>
      </x:c>
      <x:c r="H1827" s="2" t="str">
        <x:v>School receipt</x:v>
      </x:c>
      <x:c r="I1827" s="8" t="n">
        <x:v>46302.50645833334</x:v>
      </x:c>
      <x:c r="J1827" s="8" t="n">
        <x:v>46302.50648148148</x:v>
      </x:c>
      <x:c r="K1827" s="8" t="n">
        <x:v>46302.506516203706</x:v>
      </x:c>
      <x:c r="L1827" s="2" t="str">
        <x:v>Sent</x:v>
      </x:c>
      <x:c r="M1827" s="2" t="n">
        <x:v>1</x:v>
      </x:c>
      <x:c r="N1827" s="2"/>
      <x:c r="O1827" s="2"/>
    </x:row>
    <x:row r="1828" ht="21" customHeight="1">
      <x:c r="A1828" s="2" t="str">
        <x:v>NT001827</x:v>
      </x:c>
      <x:c r="B1828" s="2" t="str">
        <x:v>EV001829</x:v>
      </x:c>
      <x:c r="C1828" s="2" t="str">
        <x:v>T20261007-2-3</x:v>
      </x:c>
      <x:c r="D1828" s="2" t="str">
        <x:v>ST108</x:v>
      </x:c>
      <x:c r="E1828" s="2" t="str">
        <x:v>G108</x:v>
      </x:c>
      <x:c r="F1828" s="2" t="str">
        <x:v>guardian108@example.invalid</x:v>
      </x:c>
      <x:c r="G1828" s="2" t="str">
        <x:v>Email</x:v>
      </x:c>
      <x:c r="H1828" s="2" t="str">
        <x:v>Boarded</x:v>
      </x:c>
      <x:c r="I1828" s="8" t="n">
        <x:v>46302.471770833334</x:v>
      </x:c>
      <x:c r="J1828" s="8" t="n">
        <x:v>46302.47179398148</x:v>
      </x:c>
      <x:c r="K1828" s="8" t="n">
        <x:v>46302.4718287037</x:v>
      </x:c>
      <x:c r="L1828" s="2" t="str">
        <x:v>Sent</x:v>
      </x:c>
      <x:c r="M1828" s="2" t="n">
        <x:v>1</x:v>
      </x:c>
      <x:c r="N1828" s="2"/>
      <x:c r="O1828" s="2"/>
    </x:row>
    <x:row r="1829" ht="21" customHeight="1">
      <x:c r="A1829" s="2" t="str">
        <x:v>NT001828</x:v>
      </x:c>
      <x:c r="B1829" s="2" t="str">
        <x:v>EV001830</x:v>
      </x:c>
      <x:c r="C1829" s="2" t="str">
        <x:v>T20261007-2-3</x:v>
      </x:c>
      <x:c r="D1829" s="2" t="str">
        <x:v>ST108</x:v>
      </x:c>
      <x:c r="E1829" s="2" t="str">
        <x:v>G108</x:v>
      </x:c>
      <x:c r="F1829" s="2" t="str">
        <x:v>guardian108@example.invalid</x:v>
      </x:c>
      <x:c r="G1829" s="2" t="str">
        <x:v>Email</x:v>
      </x:c>
      <x:c r="H1829" s="2" t="str">
        <x:v>School receipt</x:v>
      </x:c>
      <x:c r="I1829" s="8" t="n">
        <x:v>46302.50649305556</x:v>
      </x:c>
      <x:c r="J1829" s="8" t="n">
        <x:v>46302.506516203706</x:v>
      </x:c>
      <x:c r="K1829" s="8" t="n">
        <x:v>46302.50655092593</x:v>
      </x:c>
      <x:c r="L1829" s="2" t="str">
        <x:v>Sent</x:v>
      </x:c>
      <x:c r="M1829" s="2" t="n">
        <x:v>1</x:v>
      </x:c>
      <x:c r="N1829" s="2"/>
      <x:c r="O1829" s="2"/>
    </x:row>
    <x:row r="1830" ht="21" customHeight="1">
      <x:c r="A1830" s="2" t="str">
        <x:v>NT001829</x:v>
      </x:c>
      <x:c r="B1830" s="2" t="str">
        <x:v>EV001831</x:v>
      </x:c>
      <x:c r="C1830" s="2" t="str">
        <x:v>T20261007-2-3</x:v>
      </x:c>
      <x:c r="D1830" s="2" t="str">
        <x:v>ST109</x:v>
      </x:c>
      <x:c r="E1830" s="2" t="str">
        <x:v>G109</x:v>
      </x:c>
      <x:c r="F1830" s="2" t="str">
        <x:v>guardian109@example.invalid</x:v>
      </x:c>
      <x:c r="G1830" s="2" t="str">
        <x:v>Email</x:v>
      </x:c>
      <x:c r="H1830" s="2" t="str">
        <x:v>Boarded</x:v>
      </x:c>
      <x:c r="I1830" s="8" t="n">
        <x:v>46302.47666666666</x:v>
      </x:c>
      <x:c r="J1830" s="8" t="n">
        <x:v>46302.47668981481</x:v>
      </x:c>
      <x:c r="K1830" s="8" t="n">
        <x:v>46302.47672453703</x:v>
      </x:c>
      <x:c r="L1830" s="2" t="str">
        <x:v>Sent</x:v>
      </x:c>
      <x:c r="M1830" s="2" t="n">
        <x:v>1</x:v>
      </x:c>
      <x:c r="N1830" s="2"/>
      <x:c r="O1830" s="2"/>
    </x:row>
    <x:row r="1831" ht="21" customHeight="1">
      <x:c r="A1831" s="2" t="str">
        <x:v>NT001830</x:v>
      </x:c>
      <x:c r="B1831" s="2" t="str">
        <x:v>EV001832</x:v>
      </x:c>
      <x:c r="C1831" s="2" t="str">
        <x:v>T20261007-2-3</x:v>
      </x:c>
      <x:c r="D1831" s="2" t="str">
        <x:v>ST109</x:v>
      </x:c>
      <x:c r="E1831" s="2" t="str">
        <x:v>G109</x:v>
      </x:c>
      <x:c r="F1831" s="2" t="str">
        <x:v>guardian109@example.invalid</x:v>
      </x:c>
      <x:c r="G1831" s="2" t="str">
        <x:v>Email</x:v>
      </x:c>
      <x:c r="H1831" s="2" t="str">
        <x:v>School receipt</x:v>
      </x:c>
      <x:c r="I1831" s="8" t="n">
        <x:v>46302.50652777778</x:v>
      </x:c>
      <x:c r="J1831" s="8" t="n">
        <x:v>46302.50655092593</x:v>
      </x:c>
      <x:c r="K1831" s="8" t="n">
        <x:v>46302.50658564815</x:v>
      </x:c>
      <x:c r="L1831" s="2" t="str">
        <x:v>Sent</x:v>
      </x:c>
      <x:c r="M1831" s="2" t="n">
        <x:v>1</x:v>
      </x:c>
      <x:c r="N1831" s="2"/>
      <x:c r="O1831" s="2"/>
    </x:row>
    <x:row r="1832" ht="21" customHeight="1">
      <x:c r="A1832" s="2" t="str">
        <x:v>NT001831</x:v>
      </x:c>
      <x:c r="B1832" s="2" t="str">
        <x:v>EV001833</x:v>
      </x:c>
      <x:c r="C1832" s="2" t="str">
        <x:v>T20261007-2-3</x:v>
      </x:c>
      <x:c r="D1832" s="2" t="str">
        <x:v>ST110</x:v>
      </x:c>
      <x:c r="E1832" s="2" t="str">
        <x:v>G110</x:v>
      </x:c>
      <x:c r="F1832" s="2" t="str">
        <x:v>guardian110@example.invalid</x:v>
      </x:c>
      <x:c r="G1832" s="2" t="str">
        <x:v>Email</x:v>
      </x:c>
      <x:c r="H1832" s="2" t="str">
        <x:v>Boarded</x:v>
      </x:c>
      <x:c r="I1832" s="8" t="n">
        <x:v>46302.4815625</x:v>
      </x:c>
      <x:c r="J1832" s="8" t="n">
        <x:v>46302.481585648144</x:v>
      </x:c>
      <x:c r="K1832" s="8" t="n">
        <x:v>46302.48162037037</x:v>
      </x:c>
      <x:c r="L1832" s="2" t="str">
        <x:v>Sent</x:v>
      </x:c>
      <x:c r="M1832" s="2" t="n">
        <x:v>1</x:v>
      </x:c>
      <x:c r="N1832" s="2"/>
      <x:c r="O1832" s="2"/>
    </x:row>
    <x:row r="1833" ht="21" customHeight="1">
      <x:c r="A1833" s="2" t="str">
        <x:v>NT001832</x:v>
      </x:c>
      <x:c r="B1833" s="2" t="str">
        <x:v>EV001834</x:v>
      </x:c>
      <x:c r="C1833" s="2" t="str">
        <x:v>T20261007-2-3</x:v>
      </x:c>
      <x:c r="D1833" s="2" t="str">
        <x:v>ST110</x:v>
      </x:c>
      <x:c r="E1833" s="2" t="str">
        <x:v>G110</x:v>
      </x:c>
      <x:c r="F1833" s="2" t="str">
        <x:v>guardian110@example.invalid</x:v>
      </x:c>
      <x:c r="G1833" s="2" t="str">
        <x:v>Email</x:v>
      </x:c>
      <x:c r="H1833" s="2" t="str">
        <x:v>School receipt</x:v>
      </x:c>
      <x:c r="I1833" s="8" t="n">
        <x:v>46302.506562500006</x:v>
      </x:c>
      <x:c r="J1833" s="8" t="n">
        <x:v>46302.50658564815</x:v>
      </x:c>
      <x:c r="K1833" s="8" t="n">
        <x:v>46302.506620370375</x:v>
      </x:c>
      <x:c r="L1833" s="2" t="str">
        <x:v>Sent</x:v>
      </x:c>
      <x:c r="M1833" s="2" t="n">
        <x:v>1</x:v>
      </x:c>
      <x:c r="N1833" s="2"/>
      <x:c r="O1833" s="2"/>
    </x:row>
    <x:row r="1834" ht="21" customHeight="1">
      <x:c r="A1834" s="2" t="str">
        <x:v>NT001833</x:v>
      </x:c>
      <x:c r="B1834" s="2" t="str">
        <x:v>EV001835</x:v>
      </x:c>
      <x:c r="C1834" s="2" t="str">
        <x:v>T20261007-2-3</x:v>
      </x:c>
      <x:c r="D1834" s="2" t="str">
        <x:v>ST111</x:v>
      </x:c>
      <x:c r="E1834" s="2" t="str">
        <x:v>G111</x:v>
      </x:c>
      <x:c r="F1834" s="2" t="str">
        <x:v>guardian111@example.invalid</x:v>
      </x:c>
      <x:c r="G1834" s="2" t="str">
        <x:v>Email</x:v>
      </x:c>
      <x:c r="H1834" s="2" t="str">
        <x:v>Boarded</x:v>
      </x:c>
      <x:c r="I1834" s="8" t="n">
        <x:v>46302.47152777778</x:v>
      </x:c>
      <x:c r="J1834" s="8" t="n">
        <x:v>46302.471550925926</x:v>
      </x:c>
      <x:c r="K1834" s="8" t="n">
        <x:v>46302.47158564815</x:v>
      </x:c>
      <x:c r="L1834" s="2" t="str">
        <x:v>Sent</x:v>
      </x:c>
      <x:c r="M1834" s="2" t="n">
        <x:v>1</x:v>
      </x:c>
      <x:c r="N1834" s="2"/>
      <x:c r="O1834" s="2"/>
    </x:row>
    <x:row r="1835" ht="21" customHeight="1">
      <x:c r="A1835" s="2" t="str">
        <x:v>NT001834</x:v>
      </x:c>
      <x:c r="B1835" s="2" t="str">
        <x:v>EV001836</x:v>
      </x:c>
      <x:c r="C1835" s="2" t="str">
        <x:v>T20261007-2-3</x:v>
      </x:c>
      <x:c r="D1835" s="2" t="str">
        <x:v>ST111</x:v>
      </x:c>
      <x:c r="E1835" s="2" t="str">
        <x:v>G111</x:v>
      </x:c>
      <x:c r="F1835" s="2" t="str">
        <x:v>guardian111@example.invalid</x:v>
      </x:c>
      <x:c r="G1835" s="2" t="str">
        <x:v>Email</x:v>
      </x:c>
      <x:c r="H1835" s="2" t="str">
        <x:v>School receipt</x:v>
      </x:c>
      <x:c r="I1835" s="8" t="n">
        <x:v>46302.50659722223</x:v>
      </x:c>
      <x:c r="J1835" s="8" t="n">
        <x:v>46302.506620370375</x:v>
      </x:c>
      <x:c r="K1835" s="8" t="n">
        <x:v>46302.5066550926</x:v>
      </x:c>
      <x:c r="L1835" s="2" t="str">
        <x:v>Sent</x:v>
      </x:c>
      <x:c r="M1835" s="2" t="n">
        <x:v>1</x:v>
      </x:c>
      <x:c r="N1835" s="2"/>
      <x:c r="O1835" s="2"/>
    </x:row>
    <x:row r="1836" ht="21" customHeight="1">
      <x:c r="A1836" s="2" t="str">
        <x:v>NT001835</x:v>
      </x:c>
      <x:c r="B1836" s="2" t="str">
        <x:v>EV001837</x:v>
      </x:c>
      <x:c r="C1836" s="2" t="str">
        <x:v>T20261007-2-3</x:v>
      </x:c>
      <x:c r="D1836" s="2" t="str">
        <x:v>ST112</x:v>
      </x:c>
      <x:c r="E1836" s="2" t="str">
        <x:v>G112</x:v>
      </x:c>
      <x:c r="F1836" s="2" t="str">
        <x:v>guardian112@example.invalid</x:v>
      </x:c>
      <x:c r="G1836" s="2" t="str">
        <x:v>Email</x:v>
      </x:c>
      <x:c r="H1836" s="2" t="str">
        <x:v>Boarded</x:v>
      </x:c>
      <x:c r="I1836" s="8" t="n">
        <x:v>46302.47642361111</x:v>
      </x:c>
      <x:c r="J1836" s="8" t="n">
        <x:v>46302.476446759254</x:v>
      </x:c>
      <x:c r="K1836" s="8" t="n">
        <x:v>46302.47648148148</x:v>
      </x:c>
      <x:c r="L1836" s="2" t="str">
        <x:v>Sent</x:v>
      </x:c>
      <x:c r="M1836" s="2" t="n">
        <x:v>1</x:v>
      </x:c>
      <x:c r="N1836" s="2"/>
      <x:c r="O1836" s="2"/>
    </x:row>
    <x:row r="1837" ht="21" customHeight="1">
      <x:c r="A1837" s="2" t="str">
        <x:v>NT001836</x:v>
      </x:c>
      <x:c r="B1837" s="2" t="str">
        <x:v>EV001838</x:v>
      </x:c>
      <x:c r="C1837" s="2" t="str">
        <x:v>T20261007-2-3</x:v>
      </x:c>
      <x:c r="D1837" s="2" t="str">
        <x:v>ST112</x:v>
      </x:c>
      <x:c r="E1837" s="2" t="str">
        <x:v>G112</x:v>
      </x:c>
      <x:c r="F1837" s="2" t="str">
        <x:v>guardian112@example.invalid</x:v>
      </x:c>
      <x:c r="G1837" s="2" t="str">
        <x:v>Email</x:v>
      </x:c>
      <x:c r="H1837" s="2" t="str">
        <x:v>School receipt</x:v>
      </x:c>
      <x:c r="I1837" s="8" t="n">
        <x:v>46302.506631944445</x:v>
      </x:c>
      <x:c r="J1837" s="8" t="n">
        <x:v>46302.50665509259</x:v>
      </x:c>
      <x:c r="K1837" s="8" t="n">
        <x:v>46302.506689814814</x:v>
      </x:c>
      <x:c r="L1837" s="2" t="str">
        <x:v>Sent</x:v>
      </x:c>
      <x:c r="M1837" s="2" t="n">
        <x:v>1</x:v>
      </x:c>
      <x:c r="N1837" s="2"/>
      <x:c r="O1837" s="2"/>
    </x:row>
    <x:row r="1838" ht="21" customHeight="1">
      <x:c r="A1838" s="2" t="str">
        <x:v>NT001837</x:v>
      </x:c>
      <x:c r="B1838" s="2" t="str">
        <x:v>EV001839</x:v>
      </x:c>
      <x:c r="C1838" s="2" t="str">
        <x:v>T20261007-2-3</x:v>
      </x:c>
      <x:c r="D1838" s="2" t="str">
        <x:v>ST113</x:v>
      </x:c>
      <x:c r="E1838" s="2" t="str">
        <x:v>G113</x:v>
      </x:c>
      <x:c r="F1838" s="2" t="str">
        <x:v>guardian113@example.invalid</x:v>
      </x:c>
      <x:c r="G1838" s="2" t="str">
        <x:v>Email</x:v>
      </x:c>
      <x:c r="H1838" s="2" t="str">
        <x:v>Boarded</x:v>
      </x:c>
      <x:c r="I1838" s="8" t="n">
        <x:v>46302.48131944444</x:v>
      </x:c>
      <x:c r="J1838" s="8" t="n">
        <x:v>46302.48134259259</x:v>
      </x:c>
      <x:c r="K1838" s="8" t="n">
        <x:v>46302.48137731481</x:v>
      </x:c>
      <x:c r="L1838" s="2" t="str">
        <x:v>Sent</x:v>
      </x:c>
      <x:c r="M1838" s="2" t="n">
        <x:v>1</x:v>
      </x:c>
      <x:c r="N1838" s="2"/>
      <x:c r="O1838" s="2"/>
    </x:row>
    <x:row r="1839" ht="21" customHeight="1">
      <x:c r="A1839" s="2" t="str">
        <x:v>NT001838</x:v>
      </x:c>
      <x:c r="B1839" s="2" t="str">
        <x:v>EV001840</x:v>
      </x:c>
      <x:c r="C1839" s="2" t="str">
        <x:v>T20261007-2-3</x:v>
      </x:c>
      <x:c r="D1839" s="2" t="str">
        <x:v>ST113</x:v>
      </x:c>
      <x:c r="E1839" s="2" t="str">
        <x:v>G113</x:v>
      </x:c>
      <x:c r="F1839" s="2" t="str">
        <x:v>guardian113@example.invalid</x:v>
      </x:c>
      <x:c r="G1839" s="2" t="str">
        <x:v>Email</x:v>
      </x:c>
      <x:c r="H1839" s="2" t="str">
        <x:v>School receipt</x:v>
      </x:c>
      <x:c r="I1839" s="8" t="n">
        <x:v>46302.50666666667</x:v>
      </x:c>
      <x:c r="J1839" s="8" t="n">
        <x:v>46302.506689814814</x:v>
      </x:c>
      <x:c r="K1839" s="8" t="n">
        <x:v>46302.50672453704</x:v>
      </x:c>
      <x:c r="L1839" s="2" t="str">
        <x:v>Sent</x:v>
      </x:c>
      <x:c r="M1839" s="2" t="n">
        <x:v>1</x:v>
      </x:c>
      <x:c r="N1839" s="2"/>
      <x:c r="O1839" s="2"/>
    </x:row>
    <x:row r="1840" ht="21" customHeight="1">
      <x:c r="A1840" s="2" t="str">
        <x:v>NT001839</x:v>
      </x:c>
      <x:c r="B1840" s="2" t="str">
        <x:v>EV001841</x:v>
      </x:c>
      <x:c r="C1840" s="2" t="str">
        <x:v>T20261007-2-3</x:v>
      </x:c>
      <x:c r="D1840" s="2" t="str">
        <x:v>ST114</x:v>
      </x:c>
      <x:c r="E1840" s="2" t="str">
        <x:v>G114</x:v>
      </x:c>
      <x:c r="F1840" s="2" t="str">
        <x:v>guardian114@example.invalid</x:v>
      </x:c>
      <x:c r="G1840" s="2" t="str">
        <x:v>Email</x:v>
      </x:c>
      <x:c r="H1840" s="2" t="str">
        <x:v>Boarded</x:v>
      </x:c>
      <x:c r="I1840" s="8" t="n">
        <x:v>46302.47163194445</x:v>
      </x:c>
      <x:c r="J1840" s="8" t="n">
        <x:v>46302.471655092595</x:v>
      </x:c>
      <x:c r="K1840" s="8" t="n">
        <x:v>46302.47168981482</x:v>
      </x:c>
      <x:c r="L1840" s="2" t="str">
        <x:v>Sent</x:v>
      </x:c>
      <x:c r="M1840" s="2" t="n">
        <x:v>1</x:v>
      </x:c>
      <x:c r="N1840" s="2"/>
      <x:c r="O1840" s="2"/>
    </x:row>
    <x:row r="1841" ht="21" customHeight="1">
      <x:c r="A1841" s="2" t="str">
        <x:v>NT001840</x:v>
      </x:c>
      <x:c r="B1841" s="2" t="str">
        <x:v>EV001842</x:v>
      </x:c>
      <x:c r="C1841" s="2" t="str">
        <x:v>T20261007-2-3</x:v>
      </x:c>
      <x:c r="D1841" s="2" t="str">
        <x:v>ST114</x:v>
      </x:c>
      <x:c r="E1841" s="2" t="str">
        <x:v>G114</x:v>
      </x:c>
      <x:c r="F1841" s="2" t="str">
        <x:v>guardian114@example.invalid</x:v>
      </x:c>
      <x:c r="G1841" s="2" t="str">
        <x:v>Email</x:v>
      </x:c>
      <x:c r="H1841" s="2" t="str">
        <x:v>School receipt</x:v>
      </x:c>
      <x:c r="I1841" s="8" t="n">
        <x:v>46302.50670138889</x:v>
      </x:c>
      <x:c r="J1841" s="8" t="n">
        <x:v>46302.50672453704</x:v>
      </x:c>
      <x:c r="K1841" s="8" t="n">
        <x:v>46302.50675925926</x:v>
      </x:c>
      <x:c r="L1841" s="2" t="str">
        <x:v>Sent</x:v>
      </x:c>
      <x:c r="M1841" s="2" t="n">
        <x:v>1</x:v>
      </x:c>
      <x:c r="N1841" s="2"/>
      <x:c r="O1841" s="2"/>
    </x:row>
    <x:row r="1842" ht="21" customHeight="1">
      <x:c r="A1842" s="2" t="str">
        <x:v>NT001841</x:v>
      </x:c>
      <x:c r="B1842" s="2" t="str">
        <x:v>EV001843</x:v>
      </x:c>
      <x:c r="C1842" s="2" t="str">
        <x:v>T20261007-2-3</x:v>
      </x:c>
      <x:c r="D1842" s="2" t="str">
        <x:v>ST115</x:v>
      </x:c>
      <x:c r="E1842" s="2" t="str">
        <x:v>G115</x:v>
      </x:c>
      <x:c r="F1842" s="2" t="str">
        <x:v>guardian115@example.invalid</x:v>
      </x:c>
      <x:c r="G1842" s="2" t="str">
        <x:v>Email</x:v>
      </x:c>
      <x:c r="H1842" s="2" t="str">
        <x:v>Boarded</x:v>
      </x:c>
      <x:c r="I1842" s="8" t="n">
        <x:v>46302.47652777778</x:v>
      </x:c>
      <x:c r="J1842" s="8" t="n">
        <x:v>46302.47655092592</x:v>
      </x:c>
      <x:c r="K1842" s="8" t="n">
        <x:v>46302.476585648146</x:v>
      </x:c>
      <x:c r="L1842" s="2" t="str">
        <x:v>Sent</x:v>
      </x:c>
      <x:c r="M1842" s="2" t="n">
        <x:v>1</x:v>
      </x:c>
      <x:c r="N1842" s="2"/>
      <x:c r="O1842" s="2"/>
    </x:row>
    <x:row r="1843" ht="21" customHeight="1">
      <x:c r="A1843" s="2" t="str">
        <x:v>NT001842</x:v>
      </x:c>
      <x:c r="B1843" s="2" t="str">
        <x:v>EV001844</x:v>
      </x:c>
      <x:c r="C1843" s="2" t="str">
        <x:v>T20261007-2-3</x:v>
      </x:c>
      <x:c r="D1843" s="2" t="str">
        <x:v>ST115</x:v>
      </x:c>
      <x:c r="E1843" s="2" t="str">
        <x:v>G115</x:v>
      </x:c>
      <x:c r="F1843" s="2" t="str">
        <x:v>guardian115@example.invalid</x:v>
      </x:c>
      <x:c r="G1843" s="2" t="str">
        <x:v>Email</x:v>
      </x:c>
      <x:c r="H1843" s="2" t="str">
        <x:v>School receipt</x:v>
      </x:c>
      <x:c r="I1843" s="8" t="n">
        <x:v>46302.506736111114</x:v>
      </x:c>
      <x:c r="J1843" s="8" t="n">
        <x:v>46302.50675925926</x:v>
      </x:c>
      <x:c r="K1843" s="8" t="n">
        <x:v>46302.50679398148</x:v>
      </x:c>
      <x:c r="L1843" s="2" t="str">
        <x:v>Sent</x:v>
      </x:c>
      <x:c r="M1843" s="2" t="n">
        <x:v>1</x:v>
      </x:c>
      <x:c r="N1843" s="2"/>
      <x:c r="O1843" s="2"/>
    </x:row>
    <x:row r="1844" ht="21" customHeight="1">
      <x:c r="A1844" s="2" t="str">
        <x:v>NT001843</x:v>
      </x:c>
      <x:c r="B1844" s="2" t="str">
        <x:v>EV001845</x:v>
      </x:c>
      <x:c r="C1844" s="2" t="str">
        <x:v>T20261007-2-3</x:v>
      </x:c>
      <x:c r="D1844" s="2" t="str">
        <x:v>ST116</x:v>
      </x:c>
      <x:c r="E1844" s="2" t="str">
        <x:v>G116</x:v>
      </x:c>
      <x:c r="F1844" s="2" t="str">
        <x:v>guardian116@example.invalid</x:v>
      </x:c>
      <x:c r="G1844" s="2" t="str">
        <x:v>Email</x:v>
      </x:c>
      <x:c r="H1844" s="2" t="str">
        <x:v>Boarded</x:v>
      </x:c>
      <x:c r="I1844" s="8" t="n">
        <x:v>46302.481423611105</x:v>
      </x:c>
      <x:c r="J1844" s="8" t="n">
        <x:v>46302.48144675925</x:v>
      </x:c>
      <x:c r="K1844" s="8" t="n">
        <x:v>46302.481481481474</x:v>
      </x:c>
      <x:c r="L1844" s="2" t="str">
        <x:v>Sent</x:v>
      </x:c>
      <x:c r="M1844" s="2" t="n">
        <x:v>1</x:v>
      </x:c>
      <x:c r="N1844" s="2"/>
      <x:c r="O1844" s="2"/>
    </x:row>
    <x:row r="1845" ht="21" customHeight="1">
      <x:c r="A1845" s="2" t="str">
        <x:v>NT001844</x:v>
      </x:c>
      <x:c r="B1845" s="2" t="str">
        <x:v>EV001846</x:v>
      </x:c>
      <x:c r="C1845" s="2" t="str">
        <x:v>T20261007-2-3</x:v>
      </x:c>
      <x:c r="D1845" s="2" t="str">
        <x:v>ST116</x:v>
      </x:c>
      <x:c r="E1845" s="2" t="str">
        <x:v>G116</x:v>
      </x:c>
      <x:c r="F1845" s="2" t="str">
        <x:v>guardian116@example.invalid</x:v>
      </x:c>
      <x:c r="G1845" s="2" t="str">
        <x:v>Email</x:v>
      </x:c>
      <x:c r="H1845" s="2" t="str">
        <x:v>School receipt</x:v>
      </x:c>
      <x:c r="I1845" s="8" t="n">
        <x:v>46302.50677083334</x:v>
      </x:c>
      <x:c r="J1845" s="8" t="n">
        <x:v>46302.50679398148</x:v>
      </x:c>
      <x:c r="K1845" s="8" t="n">
        <x:v>46302.50682870371</x:v>
      </x:c>
      <x:c r="L1845" s="2" t="str">
        <x:v>Sent</x:v>
      </x:c>
      <x:c r="M1845" s="2" t="n">
        <x:v>1</x:v>
      </x:c>
      <x:c r="N1845" s="2"/>
      <x:c r="O1845" s="2"/>
    </x:row>
    <x:row r="1846" ht="21" customHeight="1">
      <x:c r="A1846" s="2" t="str">
        <x:v>NT001845</x:v>
      </x:c>
      <x:c r="B1846" s="2" t="str">
        <x:v>EV001847</x:v>
      </x:c>
      <x:c r="C1846" s="2" t="str">
        <x:v>T20261007-2-3</x:v>
      </x:c>
      <x:c r="D1846" s="2" t="str">
        <x:v>ST117</x:v>
      </x:c>
      <x:c r="E1846" s="2" t="str">
        <x:v>G117</x:v>
      </x:c>
      <x:c r="F1846" s="2" t="str">
        <x:v>guardian117@example.invalid</x:v>
      </x:c>
      <x:c r="G1846" s="2" t="str">
        <x:v>Email</x:v>
      </x:c>
      <x:c r="H1846" s="2" t="str">
        <x:v>Boarded</x:v>
      </x:c>
      <x:c r="I1846" s="8" t="n">
        <x:v>46302.47173611111</x:v>
      </x:c>
      <x:c r="J1846" s="8" t="n">
        <x:v>46302.47175925926</x:v>
      </x:c>
      <x:c r="K1846" s="8" t="n">
        <x:v>46302.47179398148</x:v>
      </x:c>
      <x:c r="L1846" s="2" t="str">
        <x:v>Sent</x:v>
      </x:c>
      <x:c r="M1846" s="2" t="n">
        <x:v>1</x:v>
      </x:c>
      <x:c r="N1846" s="2"/>
      <x:c r="O1846" s="2"/>
    </x:row>
    <x:row r="1847" ht="21" customHeight="1">
      <x:c r="A1847" s="2" t="str">
        <x:v>NT001846</x:v>
      </x:c>
      <x:c r="B1847" s="2" t="str">
        <x:v>EV001848</x:v>
      </x:c>
      <x:c r="C1847" s="2" t="str">
        <x:v>T20261007-2-3</x:v>
      </x:c>
      <x:c r="D1847" s="2" t="str">
        <x:v>ST117</x:v>
      </x:c>
      <x:c r="E1847" s="2" t="str">
        <x:v>G117</x:v>
      </x:c>
      <x:c r="F1847" s="2" t="str">
        <x:v>guardian117@example.invalid</x:v>
      </x:c>
      <x:c r="G1847" s="2" t="str">
        <x:v>Email</x:v>
      </x:c>
      <x:c r="H1847" s="2" t="str">
        <x:v>School receipt</x:v>
      </x:c>
      <x:c r="I1847" s="8" t="n">
        <x:v>46302.50680555556</x:v>
      </x:c>
      <x:c r="J1847" s="8" t="n">
        <x:v>46302.50682870371</x:v>
      </x:c>
      <x:c r="K1847" s="8" t="n">
        <x:v>46302.50686342593</x:v>
      </x:c>
      <x:c r="L1847" s="2" t="str">
        <x:v>Sent</x:v>
      </x:c>
      <x:c r="M1847" s="2" t="n">
        <x:v>1</x:v>
      </x:c>
      <x:c r="N1847" s="2"/>
      <x:c r="O1847" s="2"/>
    </x:row>
    <x:row r="1848" ht="21" customHeight="1">
      <x:c r="A1848" s="2" t="str">
        <x:v>NT001847</x:v>
      </x:c>
      <x:c r="B1848" s="2" t="str">
        <x:v>EV001849</x:v>
      </x:c>
      <x:c r="C1848" s="2" t="str">
        <x:v>T20261007-2-3</x:v>
      </x:c>
      <x:c r="D1848" s="2" t="str">
        <x:v>ST118</x:v>
      </x:c>
      <x:c r="E1848" s="2" t="str">
        <x:v>G118</x:v>
      </x:c>
      <x:c r="F1848" s="2" t="str">
        <x:v>guardian118@example.invalid</x:v>
      </x:c>
      <x:c r="G1848" s="2" t="str">
        <x:v>Email</x:v>
      </x:c>
      <x:c r="H1848" s="2" t="str">
        <x:v>Boarded</x:v>
      </x:c>
      <x:c r="I1848" s="8" t="n">
        <x:v>46302.47663194444</x:v>
      </x:c>
      <x:c r="J1848" s="8" t="n">
        <x:v>46302.476655092585</x:v>
      </x:c>
      <x:c r="K1848" s="8" t="n">
        <x:v>46302.47668981481</x:v>
      </x:c>
      <x:c r="L1848" s="2" t="str">
        <x:v>Sent</x:v>
      </x:c>
      <x:c r="M1848" s="2" t="n">
        <x:v>1</x:v>
      </x:c>
      <x:c r="N1848" s="2"/>
      <x:c r="O1848" s="2"/>
    </x:row>
    <x:row r="1849" ht="21" customHeight="1">
      <x:c r="A1849" s="2" t="str">
        <x:v>NT001848</x:v>
      </x:c>
      <x:c r="B1849" s="2" t="str">
        <x:v>EV001850</x:v>
      </x:c>
      <x:c r="C1849" s="2" t="str">
        <x:v>T20261007-2-3</x:v>
      </x:c>
      <x:c r="D1849" s="2" t="str">
        <x:v>ST118</x:v>
      </x:c>
      <x:c r="E1849" s="2" t="str">
        <x:v>G118</x:v>
      </x:c>
      <x:c r="F1849" s="2" t="str">
        <x:v>guardian118@example.invalid</x:v>
      </x:c>
      <x:c r="G1849" s="2" t="str">
        <x:v>Email</x:v>
      </x:c>
      <x:c r="H1849" s="2" t="str">
        <x:v>School receipt</x:v>
      </x:c>
      <x:c r="I1849" s="8" t="n">
        <x:v>46302.50684027778</x:v>
      </x:c>
      <x:c r="J1849" s="8" t="n">
        <x:v>46302.50686342593</x:v>
      </x:c>
      <x:c r="K1849" s="8" t="n">
        <x:v>46302.50689814815</x:v>
      </x:c>
      <x:c r="L1849" s="2" t="str">
        <x:v>Sent</x:v>
      </x:c>
      <x:c r="M1849" s="2" t="n">
        <x:v>1</x:v>
      </x:c>
      <x:c r="N1849" s="2"/>
      <x:c r="O1849" s="2"/>
    </x:row>
    <x:row r="1850" ht="21" customHeight="1">
      <x:c r="A1850" s="2" t="str">
        <x:v>NT001849</x:v>
      </x:c>
      <x:c r="B1850" s="2" t="str">
        <x:v>EV001851</x:v>
      </x:c>
      <x:c r="C1850" s="2" t="str">
        <x:v>T20261007-2-3</x:v>
      </x:c>
      <x:c r="D1850" s="2" t="str">
        <x:v>ST119</x:v>
      </x:c>
      <x:c r="E1850" s="2" t="str">
        <x:v>G119</x:v>
      </x:c>
      <x:c r="F1850" s="2" t="str">
        <x:v>guardian119@example.invalid</x:v>
      </x:c>
      <x:c r="G1850" s="2" t="str">
        <x:v>Email</x:v>
      </x:c>
      <x:c r="H1850" s="2" t="str">
        <x:v>Boarded</x:v>
      </x:c>
      <x:c r="I1850" s="8" t="n">
        <x:v>46302.481527777774</x:v>
      </x:c>
      <x:c r="J1850" s="8" t="n">
        <x:v>46302.48155092592</x:v>
      </x:c>
      <x:c r="K1850" s="8" t="n">
        <x:v>46302.481585648144</x:v>
      </x:c>
      <x:c r="L1850" s="2" t="str">
        <x:v>Sent</x:v>
      </x:c>
      <x:c r="M1850" s="2" t="n">
        <x:v>1</x:v>
      </x:c>
      <x:c r="N1850" s="2"/>
      <x:c r="O1850" s="2"/>
    </x:row>
    <x:row r="1851" ht="21" customHeight="1">
      <x:c r="A1851" s="2" t="str">
        <x:v>NT001850</x:v>
      </x:c>
      <x:c r="B1851" s="2" t="str">
        <x:v>EV001852</x:v>
      </x:c>
      <x:c r="C1851" s="2" t="str">
        <x:v>T20261007-2-3</x:v>
      </x:c>
      <x:c r="D1851" s="2" t="str">
        <x:v>ST119</x:v>
      </x:c>
      <x:c r="E1851" s="2" t="str">
        <x:v>G119</x:v>
      </x:c>
      <x:c r="F1851" s="2" t="str">
        <x:v>guardian119@example.invalid</x:v>
      </x:c>
      <x:c r="G1851" s="2" t="str">
        <x:v>Email</x:v>
      </x:c>
      <x:c r="H1851" s="2" t="str">
        <x:v>School receipt</x:v>
      </x:c>
      <x:c r="I1851" s="8" t="n">
        <x:v>46302.50687500001</x:v>
      </x:c>
      <x:c r="J1851" s="8" t="n">
        <x:v>46302.50689814815</x:v>
      </x:c>
      <x:c r="K1851" s="8" t="n">
        <x:v>46302.506932870376</x:v>
      </x:c>
      <x:c r="L1851" s="2" t="str">
        <x:v>Sent</x:v>
      </x:c>
      <x:c r="M1851" s="2" t="n">
        <x:v>1</x:v>
      </x:c>
      <x:c r="N1851" s="2"/>
      <x:c r="O1851" s="2"/>
    </x:row>
    <x:row r="1852" ht="21" customHeight="1">
      <x:c r="A1852" s="2" t="str">
        <x:v>NT001851</x:v>
      </x:c>
      <x:c r="B1852" s="2" t="str">
        <x:v>EV001853</x:v>
      </x:c>
      <x:c r="C1852" s="2" t="str">
        <x:v>T20261007-2-3</x:v>
      </x:c>
      <x:c r="D1852" s="2" t="str">
        <x:v>ST120</x:v>
      </x:c>
      <x:c r="E1852" s="2" t="str">
        <x:v>G120</x:v>
      </x:c>
      <x:c r="F1852" s="2" t="str">
        <x:v>guardian120@example.invalid</x:v>
      </x:c>
      <x:c r="G1852" s="2" t="str">
        <x:v>Email</x:v>
      </x:c>
      <x:c r="H1852" s="2" t="str">
        <x:v>Boarded</x:v>
      </x:c>
      <x:c r="I1852" s="8" t="n">
        <x:v>46302.47184027778</x:v>
      </x:c>
      <x:c r="J1852" s="8" t="n">
        <x:v>46302.471863425926</x:v>
      </x:c>
      <x:c r="K1852" s="8" t="n">
        <x:v>46302.47189814815</x:v>
      </x:c>
      <x:c r="L1852" s="2" t="str">
        <x:v>Sent</x:v>
      </x:c>
      <x:c r="M1852" s="2" t="n">
        <x:v>1</x:v>
      </x:c>
      <x:c r="N1852" s="2"/>
      <x:c r="O1852" s="2"/>
    </x:row>
    <x:row r="1853" ht="21" customHeight="1">
      <x:c r="A1853" s="2" t="str">
        <x:v>NT001852</x:v>
      </x:c>
      <x:c r="B1853" s="2" t="str">
        <x:v>EV001854</x:v>
      </x:c>
      <x:c r="C1853" s="2" t="str">
        <x:v>T20261007-2-3</x:v>
      </x:c>
      <x:c r="D1853" s="2" t="str">
        <x:v>ST120</x:v>
      </x:c>
      <x:c r="E1853" s="2" t="str">
        <x:v>G120</x:v>
      </x:c>
      <x:c r="F1853" s="2" t="str">
        <x:v>guardian120@example.invalid</x:v>
      </x:c>
      <x:c r="G1853" s="2" t="str">
        <x:v>Email</x:v>
      </x:c>
      <x:c r="H1853" s="2" t="str">
        <x:v>School receipt</x:v>
      </x:c>
      <x:c r="I1853" s="8" t="n">
        <x:v>46302.50690972222</x:v>
      </x:c>
      <x:c r="J1853" s="8" t="n">
        <x:v>46302.50693287037</x:v>
      </x:c>
      <x:c r="K1853" s="8" t="n">
        <x:v>46302.50696759259</x:v>
      </x:c>
      <x:c r="L1853" s="2" t="str">
        <x:v>Sent</x:v>
      </x:c>
      <x:c r="M1853" s="2" t="n">
        <x:v>1</x:v>
      </x:c>
      <x:c r="N1853" s="2"/>
      <x:c r="O1853" s="2"/>
    </x:row>
    <x:row r="1854" ht="21" customHeight="1">
      <x:c r="A1854" s="2" t="str">
        <x:v>NT001853</x:v>
      </x:c>
      <x:c r="B1854" s="2" t="str">
        <x:v>EV001855</x:v>
      </x:c>
      <x:c r="C1854" s="2" t="str">
        <x:v>T20261007-3-3</x:v>
      </x:c>
      <x:c r="D1854" s="2" t="str">
        <x:v>ST091</x:v>
      </x:c>
      <x:c r="E1854" s="2" t="str">
        <x:v>G091</x:v>
      </x:c>
      <x:c r="F1854" s="2" t="str">
        <x:v>guardian091@example.invalid</x:v>
      </x:c>
      <x:c r="G1854" s="2" t="str">
        <x:v>Email</x:v>
      </x:c>
      <x:c r="H1854" s="2" t="str">
        <x:v>Boarded</x:v>
      </x:c>
      <x:c r="I1854" s="8" t="n">
        <x:v>46302.57291666667</x:v>
      </x:c>
      <x:c r="J1854" s="8" t="n">
        <x:v>46302.57293981482</x:v>
      </x:c>
      <x:c r="K1854" s="8" t="n">
        <x:v>46302.57297453704</x:v>
      </x:c>
      <x:c r="L1854" s="2" t="str">
        <x:v>Sent</x:v>
      </x:c>
      <x:c r="M1854" s="2" t="n">
        <x:v>1</x:v>
      </x:c>
      <x:c r="N1854" s="2"/>
      <x:c r="O1854" s="2"/>
    </x:row>
    <x:row r="1855" ht="21" customHeight="1">
      <x:c r="A1855" s="2" t="str">
        <x:v>NT001854</x:v>
      </x:c>
      <x:c r="B1855" s="2" t="str">
        <x:v>EV001856</x:v>
      </x:c>
      <x:c r="C1855" s="2" t="str">
        <x:v>T20261007-3-3</x:v>
      </x:c>
      <x:c r="D1855" s="2" t="str">
        <x:v>ST091</x:v>
      </x:c>
      <x:c r="E1855" s="2" t="str">
        <x:v>G091</x:v>
      </x:c>
      <x:c r="F1855" s="2" t="str">
        <x:v>guardian091@example.invalid</x:v>
      </x:c>
      <x:c r="G1855" s="2" t="str">
        <x:v>Email</x:v>
      </x:c>
      <x:c r="H1855" s="2" t="str">
        <x:v>Authorized release</x:v>
      </x:c>
      <x:c r="I1855" s="8" t="n">
        <x:v>46302.59027777778</x:v>
      </x:c>
      <x:c r="J1855" s="8" t="n">
        <x:v>46302.59030092593</x:v>
      </x:c>
      <x:c r="K1855" s="8" t="n">
        <x:v>46302.59033564815</x:v>
      </x:c>
      <x:c r="L1855" s="2" t="str">
        <x:v>Sent</x:v>
      </x:c>
      <x:c r="M1855" s="2" t="n">
        <x:v>1</x:v>
      </x:c>
      <x:c r="N1855" s="2"/>
      <x:c r="O1855" s="2"/>
    </x:row>
    <x:row r="1856" ht="21" customHeight="1">
      <x:c r="A1856" s="2" t="str">
        <x:v>NT001855</x:v>
      </x:c>
      <x:c r="B1856" s="2" t="str">
        <x:v>EV001857</x:v>
      </x:c>
      <x:c r="C1856" s="2" t="str">
        <x:v>T20261007-3-3</x:v>
      </x:c>
      <x:c r="D1856" s="2" t="str">
        <x:v>ST092</x:v>
      </x:c>
      <x:c r="E1856" s="2" t="str">
        <x:v>G092</x:v>
      </x:c>
      <x:c r="F1856" s="2" t="str">
        <x:v>guardian092@example.invalid</x:v>
      </x:c>
      <x:c r="G1856" s="2" t="str">
        <x:v>Email</x:v>
      </x:c>
      <x:c r="H1856" s="2" t="str">
        <x:v>Boarded</x:v>
      </x:c>
      <x:c r="I1856" s="8" t="n">
        <x:v>46302.572951388895</x:v>
      </x:c>
      <x:c r="J1856" s="8" t="n">
        <x:v>46302.57297453704</x:v>
      </x:c>
      <x:c r="K1856" s="8" t="n">
        <x:v>46302.573009259264</x:v>
      </x:c>
      <x:c r="L1856" s="2" t="str">
        <x:v>Sent</x:v>
      </x:c>
      <x:c r="M1856" s="2" t="n">
        <x:v>1</x:v>
      </x:c>
      <x:c r="N1856" s="2"/>
      <x:c r="O1856" s="2"/>
    </x:row>
    <x:row r="1857" ht="21" customHeight="1">
      <x:c r="A1857" s="2" t="str">
        <x:v>NT001856</x:v>
      </x:c>
      <x:c r="B1857" s="2" t="str">
        <x:v>EV001858</x:v>
      </x:c>
      <x:c r="C1857" s="2" t="str">
        <x:v>T20261007-3-3</x:v>
      </x:c>
      <x:c r="D1857" s="2" t="str">
        <x:v>ST092</x:v>
      </x:c>
      <x:c r="E1857" s="2" t="str">
        <x:v>G092</x:v>
      </x:c>
      <x:c r="F1857" s="2" t="str">
        <x:v>guardian092@example.invalid</x:v>
      </x:c>
      <x:c r="G1857" s="2" t="str">
        <x:v>Email</x:v>
      </x:c>
      <x:c r="H1857" s="2" t="str">
        <x:v>Authorized release</x:v>
      </x:c>
      <x:c r="I1857" s="8" t="n">
        <x:v>46302.59447916667</x:v>
      </x:c>
      <x:c r="J1857" s="8" t="n">
        <x:v>46302.594502314816</x:v>
      </x:c>
      <x:c r="K1857" s="8" t="n">
        <x:v>46302.59453703704</x:v>
      </x:c>
      <x:c r="L1857" s="2" t="str">
        <x:v>Sent</x:v>
      </x:c>
      <x:c r="M1857" s="2" t="n">
        <x:v>1</x:v>
      </x:c>
      <x:c r="N1857" s="2"/>
      <x:c r="O1857" s="2"/>
    </x:row>
    <x:row r="1858" ht="21" customHeight="1">
      <x:c r="A1858" s="2" t="str">
        <x:v>NT001857</x:v>
      </x:c>
      <x:c r="B1858" s="2" t="str">
        <x:v>EV001859</x:v>
      </x:c>
      <x:c r="C1858" s="2" t="str">
        <x:v>T20261007-3-3</x:v>
      </x:c>
      <x:c r="D1858" s="2" t="str">
        <x:v>ST093</x:v>
      </x:c>
      <x:c r="E1858" s="2" t="str">
        <x:v>G093</x:v>
      </x:c>
      <x:c r="F1858" s="2" t="str">
        <x:v>guardian093@example.invalid</x:v>
      </x:c>
      <x:c r="G1858" s="2" t="str">
        <x:v>Email</x:v>
      </x:c>
      <x:c r="H1858" s="2" t="str">
        <x:v>Boarded</x:v>
      </x:c>
      <x:c r="I1858" s="8" t="n">
        <x:v>46302.57298611112</x:v>
      </x:c>
      <x:c r="J1858" s="8" t="n">
        <x:v>46302.573009259264</x:v>
      </x:c>
      <x:c r="K1858" s="8" t="n">
        <x:v>46302.57304398149</x:v>
      </x:c>
      <x:c r="L1858" s="2" t="str">
        <x:v>Sent</x:v>
      </x:c>
      <x:c r="M1858" s="2" t="n">
        <x:v>1</x:v>
      </x:c>
      <x:c r="N1858" s="2"/>
      <x:c r="O1858" s="2"/>
    </x:row>
    <x:row r="1859" ht="21" customHeight="1">
      <x:c r="A1859" s="2" t="str">
        <x:v>NT001858</x:v>
      </x:c>
      <x:c r="B1859" s="2" t="str">
        <x:v>EV001860</x:v>
      </x:c>
      <x:c r="C1859" s="2" t="str">
        <x:v>T20261007-3-3</x:v>
      </x:c>
      <x:c r="D1859" s="2" t="str">
        <x:v>ST093</x:v>
      </x:c>
      <x:c r="E1859" s="2" t="str">
        <x:v>G093</x:v>
      </x:c>
      <x:c r="F1859" s="2" t="str">
        <x:v>guardian093@example.invalid</x:v>
      </x:c>
      <x:c r="G1859" s="2" t="str">
        <x:v>Email</x:v>
      </x:c>
      <x:c r="H1859" s="2" t="str">
        <x:v>Authorized release</x:v>
      </x:c>
      <x:c r="I1859" s="8" t="n">
        <x:v>46302.58618055556</x:v>
      </x:c>
      <x:c r="J1859" s="8" t="n">
        <x:v>46302.58620370371</x:v>
      </x:c>
      <x:c r="K1859" s="8" t="n">
        <x:v>46302.58623842593</x:v>
      </x:c>
      <x:c r="L1859" s="2" t="str">
        <x:v>Sent</x:v>
      </x:c>
      <x:c r="M1859" s="2" t="n">
        <x:v>1</x:v>
      </x:c>
      <x:c r="N1859" s="2"/>
      <x:c r="O1859" s="2"/>
    </x:row>
    <x:row r="1860" ht="21" customHeight="1">
      <x:c r="A1860" s="2" t="str">
        <x:v>NT001859</x:v>
      </x:c>
      <x:c r="B1860" s="2" t="str">
        <x:v>EV001861</x:v>
      </x:c>
      <x:c r="C1860" s="2" t="str">
        <x:v>T20261007-3-3</x:v>
      </x:c>
      <x:c r="D1860" s="2" t="str">
        <x:v>ST094</x:v>
      </x:c>
      <x:c r="E1860" s="2" t="str">
        <x:v>G094</x:v>
      </x:c>
      <x:c r="F1860" s="2" t="str">
        <x:v>guardian094@example.invalid</x:v>
      </x:c>
      <x:c r="G1860" s="2" t="str">
        <x:v>Email</x:v>
      </x:c>
      <x:c r="H1860" s="2" t="str">
        <x:v>Boarded</x:v>
      </x:c>
      <x:c r="I1860" s="8" t="n">
        <x:v>46302.57302083334</x:v>
      </x:c>
      <x:c r="J1860" s="8" t="n">
        <x:v>46302.57304398149</x:v>
      </x:c>
      <x:c r="K1860" s="8" t="n">
        <x:v>46302.57307870371</x:v>
      </x:c>
      <x:c r="L1860" s="2" t="str">
        <x:v>Sent</x:v>
      </x:c>
      <x:c r="M1860" s="2" t="n">
        <x:v>1</x:v>
      </x:c>
      <x:c r="N1860" s="2"/>
      <x:c r="O1860" s="2"/>
    </x:row>
    <x:row r="1861" ht="21" customHeight="1">
      <x:c r="A1861" s="2" t="str">
        <x:v>NT001860</x:v>
      </x:c>
      <x:c r="B1861" s="2" t="str">
        <x:v>EV001862</x:v>
      </x:c>
      <x:c r="C1861" s="2" t="str">
        <x:v>T20261007-3-3</x:v>
      </x:c>
      <x:c r="D1861" s="2" t="str">
        <x:v>ST094</x:v>
      </x:c>
      <x:c r="E1861" s="2" t="str">
        <x:v>G094</x:v>
      </x:c>
      <x:c r="F1861" s="2" t="str">
        <x:v>guardian094@example.invalid</x:v>
      </x:c>
      <x:c r="G1861" s="2" t="str">
        <x:v>Email</x:v>
      </x:c>
      <x:c r="H1861" s="2" t="str">
        <x:v>Authorized release</x:v>
      </x:c>
      <x:c r="I1861" s="8" t="n">
        <x:v>46302.59038194445</x:v>
      </x:c>
      <x:c r="J1861" s="8" t="n">
        <x:v>46302.5904050926</x:v>
      </x:c>
      <x:c r="K1861" s="8" t="n">
        <x:v>46302.59043981482</x:v>
      </x:c>
      <x:c r="L1861" s="2" t="str">
        <x:v>Sent</x:v>
      </x:c>
      <x:c r="M1861" s="2" t="n">
        <x:v>1</x:v>
      </x:c>
      <x:c r="N1861" s="2"/>
      <x:c r="O1861" s="2"/>
    </x:row>
    <x:row r="1862" ht="21" customHeight="1">
      <x:c r="A1862" s="2" t="str">
        <x:v>NT001861</x:v>
      </x:c>
      <x:c r="B1862" s="2" t="str">
        <x:v>EV001863</x:v>
      </x:c>
      <x:c r="C1862" s="2" t="str">
        <x:v>T20261007-3-3</x:v>
      </x:c>
      <x:c r="D1862" s="2" t="str">
        <x:v>ST095</x:v>
      </x:c>
      <x:c r="E1862" s="2" t="str">
        <x:v>G095</x:v>
      </x:c>
      <x:c r="F1862" s="2" t="str">
        <x:v>guardian095@example.invalid</x:v>
      </x:c>
      <x:c r="G1862" s="2" t="str">
        <x:v>Email</x:v>
      </x:c>
      <x:c r="H1862" s="2" t="str">
        <x:v>Boarded</x:v>
      </x:c>
      <x:c r="I1862" s="8" t="n">
        <x:v>46302.573055555564</x:v>
      </x:c>
      <x:c r="J1862" s="8" t="n">
        <x:v>46302.57307870371</x:v>
      </x:c>
      <x:c r="K1862" s="8" t="n">
        <x:v>46302.57311342593</x:v>
      </x:c>
      <x:c r="L1862" s="2" t="str">
        <x:v>Sent</x:v>
      </x:c>
      <x:c r="M1862" s="2" t="n">
        <x:v>1</x:v>
      </x:c>
      <x:c r="N1862" s="2"/>
      <x:c r="O1862" s="2"/>
    </x:row>
    <x:row r="1863" ht="21" customHeight="1">
      <x:c r="A1863" s="2" t="str">
        <x:v>NT001862</x:v>
      </x:c>
      <x:c r="B1863" s="2" t="str">
        <x:v>EV001864</x:v>
      </x:c>
      <x:c r="C1863" s="2" t="str">
        <x:v>T20261007-3-3</x:v>
      </x:c>
      <x:c r="D1863" s="2" t="str">
        <x:v>ST095</x:v>
      </x:c>
      <x:c r="E1863" s="2" t="str">
        <x:v>G095</x:v>
      </x:c>
      <x:c r="F1863" s="2" t="str">
        <x:v>guardian095@example.invalid</x:v>
      </x:c>
      <x:c r="G1863" s="2" t="str">
        <x:v>Email</x:v>
      </x:c>
      <x:c r="H1863" s="2" t="str">
        <x:v>Authorized release</x:v>
      </x:c>
      <x:c r="I1863" s="8" t="n">
        <x:v>46302.59458333334</x:v>
      </x:c>
      <x:c r="J1863" s="8" t="n">
        <x:v>46302.594606481485</x:v>
      </x:c>
      <x:c r="K1863" s="8" t="n">
        <x:v>46302.59464120371</x:v>
      </x:c>
      <x:c r="L1863" s="2" t="str">
        <x:v>Sent</x:v>
      </x:c>
      <x:c r="M1863" s="2" t="n">
        <x:v>1</x:v>
      </x:c>
      <x:c r="N1863" s="2"/>
      <x:c r="O1863" s="2"/>
    </x:row>
    <x:row r="1864" ht="21" customHeight="1">
      <x:c r="A1864" s="2" t="str">
        <x:v>NT001863</x:v>
      </x:c>
      <x:c r="B1864" s="2" t="str">
        <x:v>EV001865</x:v>
      </x:c>
      <x:c r="C1864" s="2" t="str">
        <x:v>T20261007-3-3</x:v>
      </x:c>
      <x:c r="D1864" s="2" t="str">
        <x:v>ST096</x:v>
      </x:c>
      <x:c r="E1864" s="2" t="str">
        <x:v>G096</x:v>
      </x:c>
      <x:c r="F1864" s="2" t="str">
        <x:v>guardian096@example.invalid</x:v>
      </x:c>
      <x:c r="G1864" s="2" t="str">
        <x:v>Email</x:v>
      </x:c>
      <x:c r="H1864" s="2" t="str">
        <x:v>Boarded</x:v>
      </x:c>
      <x:c r="I1864" s="8" t="n">
        <x:v>46302.57309027778</x:v>
      </x:c>
      <x:c r="J1864" s="8" t="n">
        <x:v>46302.573113425926</x:v>
      </x:c>
      <x:c r="K1864" s="8" t="n">
        <x:v>46302.57314814815</x:v>
      </x:c>
      <x:c r="L1864" s="2" t="str">
        <x:v>Sent</x:v>
      </x:c>
      <x:c r="M1864" s="2" t="n">
        <x:v>1</x:v>
      </x:c>
      <x:c r="N1864" s="2"/>
      <x:c r="O1864" s="2"/>
    </x:row>
    <x:row r="1865" ht="21" customHeight="1">
      <x:c r="A1865" s="2" t="str">
        <x:v>NT001864</x:v>
      </x:c>
      <x:c r="B1865" s="2" t="str">
        <x:v>EV001866</x:v>
      </x:c>
      <x:c r="C1865" s="2" t="str">
        <x:v>T20261007-3-3</x:v>
      </x:c>
      <x:c r="D1865" s="2" t="str">
        <x:v>ST096</x:v>
      </x:c>
      <x:c r="E1865" s="2" t="str">
        <x:v>G096</x:v>
      </x:c>
      <x:c r="F1865" s="2" t="str">
        <x:v>guardian096@example.invalid</x:v>
      </x:c>
      <x:c r="G1865" s="2" t="str">
        <x:v>Email</x:v>
      </x:c>
      <x:c r="H1865" s="2" t="str">
        <x:v>Authorized release</x:v>
      </x:c>
      <x:c r="I1865" s="8" t="n">
        <x:v>46302.58628472222</x:v>
      </x:c>
      <x:c r="J1865" s="8" t="n">
        <x:v>46302.58630787037</x:v>
      </x:c>
      <x:c r="K1865" s="8" t="n">
        <x:v>46302.58634259259</x:v>
      </x:c>
      <x:c r="L1865" s="2" t="str">
        <x:v>Sent</x:v>
      </x:c>
      <x:c r="M1865" s="2" t="n">
        <x:v>1</x:v>
      </x:c>
      <x:c r="N1865" s="2"/>
      <x:c r="O1865" s="2"/>
    </x:row>
    <x:row r="1866" ht="21" customHeight="1">
      <x:c r="A1866" s="2" t="str">
        <x:v>NT001865</x:v>
      </x:c>
      <x:c r="B1866" s="2" t="str">
        <x:v>EV001867</x:v>
      </x:c>
      <x:c r="C1866" s="2" t="str">
        <x:v>T20261007-3-3</x:v>
      </x:c>
      <x:c r="D1866" s="2" t="str">
        <x:v>ST097</x:v>
      </x:c>
      <x:c r="E1866" s="2" t="str">
        <x:v>G097</x:v>
      </x:c>
      <x:c r="F1866" s="2" t="str">
        <x:v>guardian097@example.invalid</x:v>
      </x:c>
      <x:c r="G1866" s="2" t="str">
        <x:v>Email</x:v>
      </x:c>
      <x:c r="H1866" s="2" t="str">
        <x:v>Boarded</x:v>
      </x:c>
      <x:c r="I1866" s="8" t="n">
        <x:v>46302.573125</x:v>
      </x:c>
      <x:c r="J1866" s="8" t="n">
        <x:v>46302.57314814815</x:v>
      </x:c>
      <x:c r="K1866" s="8" t="n">
        <x:v>46302.57318287037</x:v>
      </x:c>
      <x:c r="L1866" s="2" t="str">
        <x:v>Sent</x:v>
      </x:c>
      <x:c r="M1866" s="2" t="n">
        <x:v>1</x:v>
      </x:c>
      <x:c r="N1866" s="2"/>
      <x:c r="O1866" s="2"/>
    </x:row>
    <x:row r="1867" ht="21" customHeight="1">
      <x:c r="A1867" s="2" t="str">
        <x:v>NT001866</x:v>
      </x:c>
      <x:c r="B1867" s="2" t="str">
        <x:v>EV001868</x:v>
      </x:c>
      <x:c r="C1867" s="2" t="str">
        <x:v>T20261007-3-3</x:v>
      </x:c>
      <x:c r="D1867" s="2" t="str">
        <x:v>ST097</x:v>
      </x:c>
      <x:c r="E1867" s="2" t="str">
        <x:v>G097</x:v>
      </x:c>
      <x:c r="F1867" s="2" t="str">
        <x:v>guardian097@example.invalid</x:v>
      </x:c>
      <x:c r="G1867" s="2" t="str">
        <x:v>Email</x:v>
      </x:c>
      <x:c r="H1867" s="2" t="str">
        <x:v>Authorized release</x:v>
      </x:c>
      <x:c r="I1867" s="8" t="n">
        <x:v>46302.59048611111</x:v>
      </x:c>
      <x:c r="J1867" s="8" t="n">
        <x:v>46302.59050925926</x:v>
      </x:c>
      <x:c r="K1867" s="8" t="n">
        <x:v>46302.59054398148</x:v>
      </x:c>
      <x:c r="L1867" s="2" t="str">
        <x:v>Sent</x:v>
      </x:c>
      <x:c r="M1867" s="2" t="n">
        <x:v>1</x:v>
      </x:c>
      <x:c r="N1867" s="2"/>
      <x:c r="O1867" s="2"/>
    </x:row>
    <x:row r="1868" ht="21" customHeight="1">
      <x:c r="A1868" s="2" t="str">
        <x:v>NT001867</x:v>
      </x:c>
      <x:c r="B1868" s="2" t="str">
        <x:v>EV001869</x:v>
      </x:c>
      <x:c r="C1868" s="2" t="str">
        <x:v>T20261007-3-3</x:v>
      </x:c>
      <x:c r="D1868" s="2" t="str">
        <x:v>ST098</x:v>
      </x:c>
      <x:c r="E1868" s="2" t="str">
        <x:v>G098</x:v>
      </x:c>
      <x:c r="F1868" s="2" t="str">
        <x:v>guardian098@example.invalid</x:v>
      </x:c>
      <x:c r="G1868" s="2" t="str">
        <x:v>Email</x:v>
      </x:c>
      <x:c r="H1868" s="2" t="str">
        <x:v>Boarded</x:v>
      </x:c>
      <x:c r="I1868" s="8" t="n">
        <x:v>46302.573159722226</x:v>
      </x:c>
      <x:c r="J1868" s="8" t="n">
        <x:v>46302.57318287037</x:v>
      </x:c>
      <x:c r="K1868" s="8" t="n">
        <x:v>46302.573217592595</x:v>
      </x:c>
      <x:c r="L1868" s="2" t="str">
        <x:v>Sent</x:v>
      </x:c>
      <x:c r="M1868" s="2" t="n">
        <x:v>1</x:v>
      </x:c>
      <x:c r="N1868" s="2"/>
      <x:c r="O1868" s="2"/>
    </x:row>
    <x:row r="1869" ht="21" customHeight="1">
      <x:c r="A1869" s="2" t="str">
        <x:v>NT001868</x:v>
      </x:c>
      <x:c r="B1869" s="2" t="str">
        <x:v>EV001870</x:v>
      </x:c>
      <x:c r="C1869" s="2" t="str">
        <x:v>T20261007-3-3</x:v>
      </x:c>
      <x:c r="D1869" s="2" t="str">
        <x:v>ST098</x:v>
      </x:c>
      <x:c r="E1869" s="2" t="str">
        <x:v>G098</x:v>
      </x:c>
      <x:c r="F1869" s="2" t="str">
        <x:v>guardian098@example.invalid</x:v>
      </x:c>
      <x:c r="G1869" s="2" t="str">
        <x:v>Email</x:v>
      </x:c>
      <x:c r="H1869" s="2" t="str">
        <x:v>Authorized release</x:v>
      </x:c>
      <x:c r="I1869" s="8" t="n">
        <x:v>46302.5946875</x:v>
      </x:c>
      <x:c r="J1869" s="8" t="n">
        <x:v>46302.59471064815</x:v>
      </x:c>
      <x:c r="K1869" s="8" t="n">
        <x:v>46302.59474537037</x:v>
      </x:c>
      <x:c r="L1869" s="2" t="str">
        <x:v>Sent</x:v>
      </x:c>
      <x:c r="M1869" s="2" t="n">
        <x:v>1</x:v>
      </x:c>
      <x:c r="N1869" s="2"/>
      <x:c r="O1869" s="2"/>
    </x:row>
    <x:row r="1870" ht="21" customHeight="1">
      <x:c r="A1870" s="2" t="str">
        <x:v>NT001869</x:v>
      </x:c>
      <x:c r="B1870" s="2" t="str">
        <x:v>EV001871</x:v>
      </x:c>
      <x:c r="C1870" s="2" t="str">
        <x:v>T20261007-3-3</x:v>
      </x:c>
      <x:c r="D1870" s="2" t="str">
        <x:v>ST099</x:v>
      </x:c>
      <x:c r="E1870" s="2" t="str">
        <x:v>G099</x:v>
      </x:c>
      <x:c r="F1870" s="2" t="str">
        <x:v>guardian099@example.invalid</x:v>
      </x:c>
      <x:c r="G1870" s="2" t="str">
        <x:v>Email</x:v>
      </x:c>
      <x:c r="H1870" s="2" t="str">
        <x:v>Boarded</x:v>
      </x:c>
      <x:c r="I1870" s="8" t="n">
        <x:v>46302.57319444445</x:v>
      </x:c>
      <x:c r="J1870" s="8" t="n">
        <x:v>46302.573217592595</x:v>
      </x:c>
      <x:c r="K1870" s="8" t="n">
        <x:v>46302.57325231482</x:v>
      </x:c>
      <x:c r="L1870" s="2" t="str">
        <x:v>Sent</x:v>
      </x:c>
      <x:c r="M1870" s="2" t="n">
        <x:v>1</x:v>
      </x:c>
      <x:c r="N1870" s="2"/>
      <x:c r="O1870" s="2"/>
    </x:row>
    <x:row r="1871" ht="21" customHeight="1">
      <x:c r="A1871" s="2" t="str">
        <x:v>NT001870</x:v>
      </x:c>
      <x:c r="B1871" s="2" t="str">
        <x:v>EV001872</x:v>
      </x:c>
      <x:c r="C1871" s="2" t="str">
        <x:v>T20261007-3-3</x:v>
      </x:c>
      <x:c r="D1871" s="2" t="str">
        <x:v>ST099</x:v>
      </x:c>
      <x:c r="E1871" s="2" t="str">
        <x:v>G099</x:v>
      </x:c>
      <x:c r="F1871" s="2" t="str">
        <x:v>guardian099@example.invalid</x:v>
      </x:c>
      <x:c r="G1871" s="2" t="str">
        <x:v>Email</x:v>
      </x:c>
      <x:c r="H1871" s="2" t="str">
        <x:v>Authorized release</x:v>
      </x:c>
      <x:c r="I1871" s="8" t="n">
        <x:v>46302.58638888889</x:v>
      </x:c>
      <x:c r="J1871" s="8" t="n">
        <x:v>46302.58641203704</x:v>
      </x:c>
      <x:c r="K1871" s="8" t="n">
        <x:v>46302.58644675926</x:v>
      </x:c>
      <x:c r="L1871" s="2" t="str">
        <x:v>Sent</x:v>
      </x:c>
      <x:c r="M1871" s="2" t="n">
        <x:v>1</x:v>
      </x:c>
      <x:c r="N1871" s="2"/>
      <x:c r="O1871" s="2"/>
    </x:row>
    <x:row r="1872" ht="21" customHeight="1">
      <x:c r="A1872" s="2" t="str">
        <x:v>NT001871</x:v>
      </x:c>
      <x:c r="B1872" s="2" t="str">
        <x:v>EV001873</x:v>
      </x:c>
      <x:c r="C1872" s="2" t="str">
        <x:v>T20261007-3-3</x:v>
      </x:c>
      <x:c r="D1872" s="2" t="str">
        <x:v>ST100</x:v>
      </x:c>
      <x:c r="E1872" s="2" t="str">
        <x:v>G100</x:v>
      </x:c>
      <x:c r="F1872" s="2" t="str">
        <x:v>guardian100@example.invalid</x:v>
      </x:c>
      <x:c r="G1872" s="2" t="str">
        <x:v>Email</x:v>
      </x:c>
      <x:c r="H1872" s="2" t="str">
        <x:v>Boarded</x:v>
      </x:c>
      <x:c r="I1872" s="8" t="n">
        <x:v>46302.57322916667</x:v>
      </x:c>
      <x:c r="J1872" s="8" t="n">
        <x:v>46302.57325231482</x:v>
      </x:c>
      <x:c r="K1872" s="8" t="n">
        <x:v>46302.57328703704</x:v>
      </x:c>
      <x:c r="L1872" s="2" t="str">
        <x:v>Sent</x:v>
      </x:c>
      <x:c r="M1872" s="2" t="n">
        <x:v>1</x:v>
      </x:c>
      <x:c r="N1872" s="2"/>
      <x:c r="O1872" s="2"/>
    </x:row>
    <x:row r="1873" ht="21" customHeight="1">
      <x:c r="A1873" s="2" t="str">
        <x:v>NT001872</x:v>
      </x:c>
      <x:c r="B1873" s="2" t="str">
        <x:v>EV001874</x:v>
      </x:c>
      <x:c r="C1873" s="2" t="str">
        <x:v>T20261007-3-3</x:v>
      </x:c>
      <x:c r="D1873" s="2" t="str">
        <x:v>ST100</x:v>
      </x:c>
      <x:c r="E1873" s="2" t="str">
        <x:v>G100</x:v>
      </x:c>
      <x:c r="F1873" s="2" t="str">
        <x:v>guardian100@example.invalid</x:v>
      </x:c>
      <x:c r="G1873" s="2" t="str">
        <x:v>Email</x:v>
      </x:c>
      <x:c r="H1873" s="2" t="str">
        <x:v>Authorized release</x:v>
      </x:c>
      <x:c r="I1873" s="8" t="n">
        <x:v>46302.59059027778</x:v>
      </x:c>
      <x:c r="J1873" s="8" t="n">
        <x:v>46302.59061342593</x:v>
      </x:c>
      <x:c r="K1873" s="8" t="n">
        <x:v>46302.59064814815</x:v>
      </x:c>
      <x:c r="L1873" s="2" t="str">
        <x:v>Sent</x:v>
      </x:c>
      <x:c r="M1873" s="2" t="n">
        <x:v>1</x:v>
      </x:c>
      <x:c r="N1873" s="2"/>
      <x:c r="O1873" s="2"/>
    </x:row>
    <x:row r="1874" ht="21" customHeight="1">
      <x:c r="A1874" s="2" t="str">
        <x:v>NT001873</x:v>
      </x:c>
      <x:c r="B1874" s="2" t="str">
        <x:v>EV001875</x:v>
      </x:c>
      <x:c r="C1874" s="2" t="str">
        <x:v>T20261007-4-3</x:v>
      </x:c>
      <x:c r="D1874" s="2" t="str">
        <x:v>ST101</x:v>
      </x:c>
      <x:c r="E1874" s="2" t="str">
        <x:v>G101</x:v>
      </x:c>
      <x:c r="F1874" s="2" t="str">
        <x:v>guardian101@example.invalid</x:v>
      </x:c>
      <x:c r="G1874" s="2" t="str">
        <x:v>Email</x:v>
      </x:c>
      <x:c r="H1874" s="2" t="str">
        <x:v>Boarded</x:v>
      </x:c>
      <x:c r="I1874" s="8" t="n">
        <x:v>46302.60416666667</x:v>
      </x:c>
      <x:c r="J1874" s="8" t="n">
        <x:v>46302.60418981482</x:v>
      </x:c>
      <x:c r="K1874" s="8" t="n">
        <x:v>46302.60422453704</x:v>
      </x:c>
      <x:c r="L1874" s="2" t="str">
        <x:v>Sent</x:v>
      </x:c>
      <x:c r="M1874" s="2" t="n">
        <x:v>1</x:v>
      </x:c>
      <x:c r="N1874" s="2"/>
      <x:c r="O1874" s="2"/>
    </x:row>
    <x:row r="1875" ht="21" customHeight="1">
      <x:c r="A1875" s="2" t="str">
        <x:v>NT001874</x:v>
      </x:c>
      <x:c r="B1875" s="2" t="str">
        <x:v>EV001876</x:v>
      </x:c>
      <x:c r="C1875" s="2" t="str">
        <x:v>T20261007-4-3</x:v>
      </x:c>
      <x:c r="D1875" s="2" t="str">
        <x:v>ST101</x:v>
      </x:c>
      <x:c r="E1875" s="2" t="str">
        <x:v>G101</x:v>
      </x:c>
      <x:c r="F1875" s="2" t="str">
        <x:v>guardian101@example.invalid</x:v>
      </x:c>
      <x:c r="G1875" s="2" t="str">
        <x:v>Email</x:v>
      </x:c>
      <x:c r="H1875" s="2" t="str">
        <x:v>Authorized release</x:v>
      </x:c>
      <x:c r="I1875" s="8" t="n">
        <x:v>46302.62708333333</x:v>
      </x:c>
      <x:c r="J1875" s="8" t="n">
        <x:v>46302.62710648148</x:v>
      </x:c>
      <x:c r="K1875" s="8" t="n">
        <x:v>46302.6271412037</x:v>
      </x:c>
      <x:c r="L1875" s="2" t="str">
        <x:v>Sent</x:v>
      </x:c>
      <x:c r="M1875" s="2" t="n">
        <x:v>1</x:v>
      </x:c>
      <x:c r="N1875" s="2"/>
      <x:c r="O1875" s="2"/>
    </x:row>
    <x:row r="1876" ht="21" customHeight="1">
      <x:c r="A1876" s="2" t="str">
        <x:v>NT001875</x:v>
      </x:c>
      <x:c r="B1876" s="2" t="str">
        <x:v>EV001877</x:v>
      </x:c>
      <x:c r="C1876" s="2" t="str">
        <x:v>T20261007-4-3</x:v>
      </x:c>
      <x:c r="D1876" s="2" t="str">
        <x:v>ST102</x:v>
      </x:c>
      <x:c r="E1876" s="2" t="str">
        <x:v>G102</x:v>
      </x:c>
      <x:c r="F1876" s="2" t="str">
        <x:v>guardian102@example.invalid</x:v>
      </x:c>
      <x:c r="G1876" s="2" t="str">
        <x:v>Email</x:v>
      </x:c>
      <x:c r="H1876" s="2" t="str">
        <x:v>Boarded</x:v>
      </x:c>
      <x:c r="I1876" s="8" t="n">
        <x:v>46302.604201388895</x:v>
      </x:c>
      <x:c r="J1876" s="8" t="n">
        <x:v>46302.60422453704</x:v>
      </x:c>
      <x:c r="K1876" s="8" t="n">
        <x:v>46302.604259259264</x:v>
      </x:c>
      <x:c r="L1876" s="2" t="str">
        <x:v>Sent</x:v>
      </x:c>
      <x:c r="M1876" s="2" t="n">
        <x:v>1</x:v>
      </x:c>
      <x:c r="N1876" s="2"/>
      <x:c r="O1876" s="2"/>
    </x:row>
    <x:row r="1877" ht="21" customHeight="1">
      <x:c r="A1877" s="2" t="str">
        <x:v>NT001876</x:v>
      </x:c>
      <x:c r="B1877" s="2" t="str">
        <x:v>EV001878</x:v>
      </x:c>
      <x:c r="C1877" s="2" t="str">
        <x:v>T20261007-4-3</x:v>
      </x:c>
      <x:c r="D1877" s="2" t="str">
        <x:v>ST102</x:v>
      </x:c>
      <x:c r="E1877" s="2" t="str">
        <x:v>G102</x:v>
      </x:c>
      <x:c r="F1877" s="2" t="str">
        <x:v>guardian102@example.invalid</x:v>
      </x:c>
      <x:c r="G1877" s="2" t="str">
        <x:v>Email</x:v>
      </x:c>
      <x:c r="H1877" s="2" t="str">
        <x:v>Authorized release</x:v>
      </x:c>
      <x:c r="I1877" s="8" t="n">
        <x:v>46302.618784722225</x:v>
      </x:c>
      <x:c r="J1877" s="8" t="n">
        <x:v>46302.61880787037</x:v>
      </x:c>
      <x:c r="K1877" s="8" t="n">
        <x:v>46302.618842592594</x:v>
      </x:c>
      <x:c r="L1877" s="2" t="str">
        <x:v>Sent</x:v>
      </x:c>
      <x:c r="M1877" s="2" t="n">
        <x:v>1</x:v>
      </x:c>
      <x:c r="N1877" s="2"/>
      <x:c r="O1877" s="2"/>
    </x:row>
    <x:row r="1878" ht="21" customHeight="1">
      <x:c r="A1878" s="2" t="str">
        <x:v>NT001877</x:v>
      </x:c>
      <x:c r="B1878" s="2" t="str">
        <x:v>EV001879</x:v>
      </x:c>
      <x:c r="C1878" s="2" t="str">
        <x:v>T20261007-4-3</x:v>
      </x:c>
      <x:c r="D1878" s="2" t="str">
        <x:v>ST103</x:v>
      </x:c>
      <x:c r="E1878" s="2" t="str">
        <x:v>G103</x:v>
      </x:c>
      <x:c r="F1878" s="2" t="str">
        <x:v>guardian103@example.invalid</x:v>
      </x:c>
      <x:c r="G1878" s="2" t="str">
        <x:v>Email</x:v>
      </x:c>
      <x:c r="H1878" s="2" t="str">
        <x:v>Boarded</x:v>
      </x:c>
      <x:c r="I1878" s="8" t="n">
        <x:v>46302.60423611112</x:v>
      </x:c>
      <x:c r="J1878" s="8" t="n">
        <x:v>46302.604259259264</x:v>
      </x:c>
      <x:c r="K1878" s="8" t="n">
        <x:v>46302.60429398149</x:v>
      </x:c>
      <x:c r="L1878" s="2" t="str">
        <x:v>Sent</x:v>
      </x:c>
      <x:c r="M1878" s="2" t="n">
        <x:v>1</x:v>
      </x:c>
      <x:c r="N1878" s="2"/>
      <x:c r="O1878" s="2"/>
    </x:row>
    <x:row r="1879" ht="21" customHeight="1">
      <x:c r="A1879" s="2" t="str">
        <x:v>NT001878</x:v>
      </x:c>
      <x:c r="B1879" s="2" t="str">
        <x:v>EV001880</x:v>
      </x:c>
      <x:c r="C1879" s="2" t="str">
        <x:v>T20261007-4-3</x:v>
      </x:c>
      <x:c r="D1879" s="2" t="str">
        <x:v>ST103</x:v>
      </x:c>
      <x:c r="E1879" s="2" t="str">
        <x:v>G103</x:v>
      </x:c>
      <x:c r="F1879" s="2" t="str">
        <x:v>guardian103@example.invalid</x:v>
      </x:c>
      <x:c r="G1879" s="2" t="str">
        <x:v>Email</x:v>
      </x:c>
      <x:c r="H1879" s="2" t="str">
        <x:v>Authorized release</x:v>
      </x:c>
      <x:c r="I1879" s="8" t="n">
        <x:v>46302.62298611111</x:v>
      </x:c>
      <x:c r="J1879" s="8" t="n">
        <x:v>46302.62300925926</x:v>
      </x:c>
      <x:c r="K1879" s="8" t="n">
        <x:v>46302.62304398148</x:v>
      </x:c>
      <x:c r="L1879" s="2" t="str">
        <x:v>Sent</x:v>
      </x:c>
      <x:c r="M1879" s="2" t="n">
        <x:v>1</x:v>
      </x:c>
      <x:c r="N1879" s="2"/>
      <x:c r="O1879" s="2"/>
    </x:row>
    <x:row r="1880" ht="21" customHeight="1">
      <x:c r="A1880" s="2" t="str">
        <x:v>NT001879</x:v>
      </x:c>
      <x:c r="B1880" s="2" t="str">
        <x:v>EV001881</x:v>
      </x:c>
      <x:c r="C1880" s="2" t="str">
        <x:v>T20261007-4-3</x:v>
      </x:c>
      <x:c r="D1880" s="2" t="str">
        <x:v>ST104</x:v>
      </x:c>
      <x:c r="E1880" s="2" t="str">
        <x:v>G104</x:v>
      </x:c>
      <x:c r="F1880" s="2" t="str">
        <x:v>guardian104@example.invalid</x:v>
      </x:c>
      <x:c r="G1880" s="2" t="str">
        <x:v>Email</x:v>
      </x:c>
      <x:c r="H1880" s="2" t="str">
        <x:v>Boarded</x:v>
      </x:c>
      <x:c r="I1880" s="8" t="n">
        <x:v>46302.60427083334</x:v>
      </x:c>
      <x:c r="J1880" s="8" t="n">
        <x:v>46302.60429398149</x:v>
      </x:c>
      <x:c r="K1880" s="8" t="n">
        <x:v>46302.60432870371</x:v>
      </x:c>
      <x:c r="L1880" s="2" t="str">
        <x:v>Sent</x:v>
      </x:c>
      <x:c r="M1880" s="2" t="n">
        <x:v>1</x:v>
      </x:c>
      <x:c r="N1880" s="2"/>
      <x:c r="O1880" s="2"/>
    </x:row>
    <x:row r="1881" ht="21" customHeight="1">
      <x:c r="A1881" s="2" t="str">
        <x:v>NT001880</x:v>
      </x:c>
      <x:c r="B1881" s="2" t="str">
        <x:v>EV001882</x:v>
      </x:c>
      <x:c r="C1881" s="2" t="str">
        <x:v>T20261007-4-3</x:v>
      </x:c>
      <x:c r="D1881" s="2" t="str">
        <x:v>ST104</x:v>
      </x:c>
      <x:c r="E1881" s="2" t="str">
        <x:v>G104</x:v>
      </x:c>
      <x:c r="F1881" s="2" t="str">
        <x:v>guardian104@example.invalid</x:v>
      </x:c>
      <x:c r="G1881" s="2" t="str">
        <x:v>Email</x:v>
      </x:c>
      <x:c r="H1881" s="2" t="str">
        <x:v>Authorized release</x:v>
      </x:c>
      <x:c r="I1881" s="8" t="n">
        <x:v>46302.6271875</x:v>
      </x:c>
      <x:c r="J1881" s="8" t="n">
        <x:v>46302.62721064815</x:v>
      </x:c>
      <x:c r="K1881" s="8" t="n">
        <x:v>46302.62724537037</x:v>
      </x:c>
      <x:c r="L1881" s="2" t="str">
        <x:v>Sent</x:v>
      </x:c>
      <x:c r="M1881" s="2" t="n">
        <x:v>1</x:v>
      </x:c>
      <x:c r="N1881" s="2"/>
      <x:c r="O1881" s="2"/>
    </x:row>
    <x:row r="1882" ht="21" customHeight="1">
      <x:c r="A1882" s="2" t="str">
        <x:v>NT001881</x:v>
      </x:c>
      <x:c r="B1882" s="2" t="str">
        <x:v>EV001883</x:v>
      </x:c>
      <x:c r="C1882" s="2" t="str">
        <x:v>T20261007-4-3</x:v>
      </x:c>
      <x:c r="D1882" s="2" t="str">
        <x:v>ST105</x:v>
      </x:c>
      <x:c r="E1882" s="2" t="str">
        <x:v>G105</x:v>
      </x:c>
      <x:c r="F1882" s="2" t="str">
        <x:v>guardian105@example.invalid</x:v>
      </x:c>
      <x:c r="G1882" s="2" t="str">
        <x:v>Email</x:v>
      </x:c>
      <x:c r="H1882" s="2" t="str">
        <x:v>Boarded</x:v>
      </x:c>
      <x:c r="I1882" s="8" t="n">
        <x:v>46302.604305555564</x:v>
      </x:c>
      <x:c r="J1882" s="8" t="n">
        <x:v>46302.60432870371</x:v>
      </x:c>
      <x:c r="K1882" s="8" t="n">
        <x:v>46302.60436342593</x:v>
      </x:c>
      <x:c r="L1882" s="2" t="str">
        <x:v>Sent</x:v>
      </x:c>
      <x:c r="M1882" s="2" t="n">
        <x:v>1</x:v>
      </x:c>
      <x:c r="N1882" s="2"/>
      <x:c r="O1882" s="2"/>
    </x:row>
    <x:row r="1883" ht="21" customHeight="1">
      <x:c r="A1883" s="2" t="str">
        <x:v>NT001882</x:v>
      </x:c>
      <x:c r="B1883" s="2" t="str">
        <x:v>EV001884</x:v>
      </x:c>
      <x:c r="C1883" s="2" t="str">
        <x:v>T20261007-4-3</x:v>
      </x:c>
      <x:c r="D1883" s="2" t="str">
        <x:v>ST105</x:v>
      </x:c>
      <x:c r="E1883" s="2" t="str">
        <x:v>G105</x:v>
      </x:c>
      <x:c r="F1883" s="2" t="str">
        <x:v>guardian105@example.invalid</x:v>
      </x:c>
      <x:c r="G1883" s="2" t="str">
        <x:v>Email</x:v>
      </x:c>
      <x:c r="H1883" s="2" t="str">
        <x:v>Authorized release</x:v>
      </x:c>
      <x:c r="I1883" s="8" t="n">
        <x:v>46302.618888888894</x:v>
      </x:c>
      <x:c r="J1883" s="8" t="n">
        <x:v>46302.61891203704</x:v>
      </x:c>
      <x:c r="K1883" s="8" t="n">
        <x:v>46302.61894675926</x:v>
      </x:c>
      <x:c r="L1883" s="2" t="str">
        <x:v>Sent</x:v>
      </x:c>
      <x:c r="M1883" s="2" t="n">
        <x:v>1</x:v>
      </x:c>
      <x:c r="N1883" s="2"/>
      <x:c r="O1883" s="2"/>
    </x:row>
    <x:row r="1884" ht="21" customHeight="1">
      <x:c r="A1884" s="2" t="str">
        <x:v>NT001883</x:v>
      </x:c>
      <x:c r="B1884" s="2" t="str">
        <x:v>EV001885</x:v>
      </x:c>
      <x:c r="C1884" s="2" t="str">
        <x:v>T20261007-4-3</x:v>
      </x:c>
      <x:c r="D1884" s="2" t="str">
        <x:v>ST106</x:v>
      </x:c>
      <x:c r="E1884" s="2" t="str">
        <x:v>G106</x:v>
      </x:c>
      <x:c r="F1884" s="2" t="str">
        <x:v>guardian106@example.invalid</x:v>
      </x:c>
      <x:c r="G1884" s="2" t="str">
        <x:v>Email</x:v>
      </x:c>
      <x:c r="H1884" s="2" t="str">
        <x:v>Boarded</x:v>
      </x:c>
      <x:c r="I1884" s="8" t="n">
        <x:v>46302.60434027778</x:v>
      </x:c>
      <x:c r="J1884" s="8" t="n">
        <x:v>46302.604363425926</x:v>
      </x:c>
      <x:c r="K1884" s="8" t="n">
        <x:v>46302.60439814815</x:v>
      </x:c>
      <x:c r="L1884" s="2" t="str">
        <x:v>Sent</x:v>
      </x:c>
      <x:c r="M1884" s="2" t="n">
        <x:v>1</x:v>
      </x:c>
      <x:c r="N1884" s="2"/>
      <x:c r="O1884" s="2"/>
    </x:row>
    <x:row r="1885" ht="21" customHeight="1">
      <x:c r="A1885" s="2" t="str">
        <x:v>NT001884</x:v>
      </x:c>
      <x:c r="B1885" s="2" t="str">
        <x:v>EV001886</x:v>
      </x:c>
      <x:c r="C1885" s="2" t="str">
        <x:v>T20261007-4-3</x:v>
      </x:c>
      <x:c r="D1885" s="2" t="str">
        <x:v>ST106</x:v>
      </x:c>
      <x:c r="E1885" s="2" t="str">
        <x:v>G106</x:v>
      </x:c>
      <x:c r="F1885" s="2" t="str">
        <x:v>guardian106@example.invalid</x:v>
      </x:c>
      <x:c r="G1885" s="2" t="str">
        <x:v>Email</x:v>
      </x:c>
      <x:c r="H1885" s="2" t="str">
        <x:v>Authorized release</x:v>
      </x:c>
      <x:c r="I1885" s="8" t="n">
        <x:v>46302.623090277775</x:v>
      </x:c>
      <x:c r="J1885" s="8" t="n">
        <x:v>46302.62311342592</x:v>
      </x:c>
      <x:c r="K1885" s="8" t="n">
        <x:v>46302.623148148145</x:v>
      </x:c>
      <x:c r="L1885" s="2" t="str">
        <x:v>Sent</x:v>
      </x:c>
      <x:c r="M1885" s="2" t="n">
        <x:v>1</x:v>
      </x:c>
      <x:c r="N1885" s="2"/>
      <x:c r="O1885" s="2"/>
    </x:row>
    <x:row r="1886" ht="21" customHeight="1">
      <x:c r="A1886" s="2" t="str">
        <x:v>NT001885</x:v>
      </x:c>
      <x:c r="B1886" s="2" t="str">
        <x:v>EV001887</x:v>
      </x:c>
      <x:c r="C1886" s="2" t="str">
        <x:v>T20261007-4-3</x:v>
      </x:c>
      <x:c r="D1886" s="2" t="str">
        <x:v>ST107</x:v>
      </x:c>
      <x:c r="E1886" s="2" t="str">
        <x:v>G107</x:v>
      </x:c>
      <x:c r="F1886" s="2" t="str">
        <x:v>guardian107@example.invalid</x:v>
      </x:c>
      <x:c r="G1886" s="2" t="str">
        <x:v>Email</x:v>
      </x:c>
      <x:c r="H1886" s="2" t="str">
        <x:v>Boarded</x:v>
      </x:c>
      <x:c r="I1886" s="8" t="n">
        <x:v>46302.604375</x:v>
      </x:c>
      <x:c r="J1886" s="8" t="n">
        <x:v>46302.60439814815</x:v>
      </x:c>
      <x:c r="K1886" s="8" t="n">
        <x:v>46302.60443287037</x:v>
      </x:c>
      <x:c r="L1886" s="2" t="str">
        <x:v>Sent</x:v>
      </x:c>
      <x:c r="M1886" s="2" t="n">
        <x:v>1</x:v>
      </x:c>
      <x:c r="N1886" s="2"/>
      <x:c r="O1886" s="2"/>
    </x:row>
    <x:row r="1887" ht="21" customHeight="1">
      <x:c r="A1887" s="2" t="str">
        <x:v>NT001886</x:v>
      </x:c>
      <x:c r="B1887" s="2" t="str">
        <x:v>EV001888</x:v>
      </x:c>
      <x:c r="C1887" s="2" t="str">
        <x:v>T20261007-4-3</x:v>
      </x:c>
      <x:c r="D1887" s="2" t="str">
        <x:v>ST107</x:v>
      </x:c>
      <x:c r="E1887" s="2" t="str">
        <x:v>G107</x:v>
      </x:c>
      <x:c r="F1887" s="2" t="str">
        <x:v>guardian107@example.invalid</x:v>
      </x:c>
      <x:c r="G1887" s="2" t="str">
        <x:v>Email</x:v>
      </x:c>
      <x:c r="H1887" s="2" t="str">
        <x:v>Authorized release</x:v>
      </x:c>
      <x:c r="I1887" s="8" t="n">
        <x:v>46302.627291666664</x:v>
      </x:c>
      <x:c r="J1887" s="8" t="n">
        <x:v>46302.62731481481</x:v>
      </x:c>
      <x:c r="K1887" s="8" t="n">
        <x:v>46302.62734953703</x:v>
      </x:c>
      <x:c r="L1887" s="2" t="str">
        <x:v>Sent</x:v>
      </x:c>
      <x:c r="M1887" s="2" t="n">
        <x:v>1</x:v>
      </x:c>
      <x:c r="N1887" s="2"/>
      <x:c r="O1887" s="2"/>
    </x:row>
    <x:row r="1888" ht="21" customHeight="1">
      <x:c r="A1888" s="2" t="str">
        <x:v>NT001887</x:v>
      </x:c>
      <x:c r="B1888" s="2" t="str">
        <x:v>EV001889</x:v>
      </x:c>
      <x:c r="C1888" s="2" t="str">
        <x:v>T20261007-4-3</x:v>
      </x:c>
      <x:c r="D1888" s="2" t="str">
        <x:v>ST108</x:v>
      </x:c>
      <x:c r="E1888" s="2" t="str">
        <x:v>G108</x:v>
      </x:c>
      <x:c r="F1888" s="2" t="str">
        <x:v>guardian108@example.invalid</x:v>
      </x:c>
      <x:c r="G1888" s="2" t="str">
        <x:v>Email</x:v>
      </x:c>
      <x:c r="H1888" s="2" t="str">
        <x:v>Boarded</x:v>
      </x:c>
      <x:c r="I1888" s="8" t="n">
        <x:v>46302.604409722226</x:v>
      </x:c>
      <x:c r="J1888" s="8" t="n">
        <x:v>46302.60443287037</x:v>
      </x:c>
      <x:c r="K1888" s="8" t="n">
        <x:v>46302.604467592595</x:v>
      </x:c>
      <x:c r="L1888" s="2" t="str">
        <x:v>Sent</x:v>
      </x:c>
      <x:c r="M1888" s="2" t="n">
        <x:v>1</x:v>
      </x:c>
      <x:c r="N1888" s="2"/>
      <x:c r="O1888" s="2"/>
    </x:row>
    <x:row r="1889" ht="21" customHeight="1">
      <x:c r="A1889" s="2" t="str">
        <x:v>NT001888</x:v>
      </x:c>
      <x:c r="B1889" s="2" t="str">
        <x:v>EV001890</x:v>
      </x:c>
      <x:c r="C1889" s="2" t="str">
        <x:v>T20261007-4-3</x:v>
      </x:c>
      <x:c r="D1889" s="2" t="str">
        <x:v>ST108</x:v>
      </x:c>
      <x:c r="E1889" s="2" t="str">
        <x:v>G108</x:v>
      </x:c>
      <x:c r="F1889" s="2" t="str">
        <x:v>guardian108@example.invalid</x:v>
      </x:c>
      <x:c r="G1889" s="2" t="str">
        <x:v>Email</x:v>
      </x:c>
      <x:c r="H1889" s="2" t="str">
        <x:v>Authorized release</x:v>
      </x:c>
      <x:c r="I1889" s="8" t="n">
        <x:v>46302.618993055556</x:v>
      </x:c>
      <x:c r="J1889" s="8" t="n">
        <x:v>46302.6190162037</x:v>
      </x:c>
      <x:c r="K1889" s="8" t="n">
        <x:v>46302.619050925925</x:v>
      </x:c>
      <x:c r="L1889" s="2" t="str">
        <x:v>Sent</x:v>
      </x:c>
      <x:c r="M1889" s="2" t="n">
        <x:v>1</x:v>
      </x:c>
      <x:c r="N1889" s="2"/>
      <x:c r="O1889" s="2"/>
    </x:row>
    <x:row r="1890" ht="21" customHeight="1">
      <x:c r="A1890" s="2" t="str">
        <x:v>NT001889</x:v>
      </x:c>
      <x:c r="B1890" s="2" t="str">
        <x:v>EV001891</x:v>
      </x:c>
      <x:c r="C1890" s="2" t="str">
        <x:v>T20261007-4-3</x:v>
      </x:c>
      <x:c r="D1890" s="2" t="str">
        <x:v>ST109</x:v>
      </x:c>
      <x:c r="E1890" s="2" t="str">
        <x:v>G109</x:v>
      </x:c>
      <x:c r="F1890" s="2" t="str">
        <x:v>guardian109@example.invalid</x:v>
      </x:c>
      <x:c r="G1890" s="2" t="str">
        <x:v>Email</x:v>
      </x:c>
      <x:c r="H1890" s="2" t="str">
        <x:v>Boarded</x:v>
      </x:c>
      <x:c r="I1890" s="8" t="n">
        <x:v>46302.60444444445</x:v>
      </x:c>
      <x:c r="J1890" s="8" t="n">
        <x:v>46302.604467592595</x:v>
      </x:c>
      <x:c r="K1890" s="8" t="n">
        <x:v>46302.60450231482</x:v>
      </x:c>
      <x:c r="L1890" s="2" t="str">
        <x:v>Sent</x:v>
      </x:c>
      <x:c r="M1890" s="2" t="n">
        <x:v>1</x:v>
      </x:c>
      <x:c r="N1890" s="2"/>
      <x:c r="O1890" s="2"/>
    </x:row>
    <x:row r="1891" ht="21" customHeight="1">
      <x:c r="A1891" s="2" t="str">
        <x:v>NT001890</x:v>
      </x:c>
      <x:c r="B1891" s="2" t="str">
        <x:v>EV001892</x:v>
      </x:c>
      <x:c r="C1891" s="2" t="str">
        <x:v>T20261007-4-3</x:v>
      </x:c>
      <x:c r="D1891" s="2" t="str">
        <x:v>ST109</x:v>
      </x:c>
      <x:c r="E1891" s="2" t="str">
        <x:v>G109</x:v>
      </x:c>
      <x:c r="F1891" s="2" t="str">
        <x:v>guardian109@example.invalid</x:v>
      </x:c>
      <x:c r="G1891" s="2" t="str">
        <x:v>Email</x:v>
      </x:c>
      <x:c r="H1891" s="2" t="str">
        <x:v>Authorized release</x:v>
      </x:c>
      <x:c r="I1891" s="8" t="n">
        <x:v>46302.623194444444</x:v>
      </x:c>
      <x:c r="J1891" s="8" t="n">
        <x:v>46302.62321759259</x:v>
      </x:c>
      <x:c r="K1891" s="8" t="n">
        <x:v>46302.623252314814</x:v>
      </x:c>
      <x:c r="L1891" s="2" t="str">
        <x:v>Sent</x:v>
      </x:c>
      <x:c r="M1891" s="2" t="n">
        <x:v>1</x:v>
      </x:c>
      <x:c r="N1891" s="2"/>
      <x:c r="O1891" s="2"/>
    </x:row>
    <x:row r="1892" ht="21" customHeight="1">
      <x:c r="A1892" s="2" t="str">
        <x:v>NT001891</x:v>
      </x:c>
      <x:c r="B1892" s="2" t="str">
        <x:v>EV001893</x:v>
      </x:c>
      <x:c r="C1892" s="2" t="str">
        <x:v>T20261007-4-3</x:v>
      </x:c>
      <x:c r="D1892" s="2" t="str">
        <x:v>ST110</x:v>
      </x:c>
      <x:c r="E1892" s="2" t="str">
        <x:v>G110</x:v>
      </x:c>
      <x:c r="F1892" s="2" t="str">
        <x:v>guardian110@example.invalid</x:v>
      </x:c>
      <x:c r="G1892" s="2" t="str">
        <x:v>Email</x:v>
      </x:c>
      <x:c r="H1892" s="2" t="str">
        <x:v>Boarded</x:v>
      </x:c>
      <x:c r="I1892" s="8" t="n">
        <x:v>46302.60447916667</x:v>
      </x:c>
      <x:c r="J1892" s="8" t="n">
        <x:v>46302.60450231482</x:v>
      </x:c>
      <x:c r="K1892" s="8" t="n">
        <x:v>46302.60453703704</x:v>
      </x:c>
      <x:c r="L1892" s="2" t="str">
        <x:v>Sent</x:v>
      </x:c>
      <x:c r="M1892" s="2" t="n">
        <x:v>1</x:v>
      </x:c>
      <x:c r="N1892" s="2"/>
      <x:c r="O1892" s="2"/>
    </x:row>
    <x:row r="1893" ht="21" customHeight="1">
      <x:c r="A1893" s="2" t="str">
        <x:v>NT001892</x:v>
      </x:c>
      <x:c r="B1893" s="2" t="str">
        <x:v>EV001894</x:v>
      </x:c>
      <x:c r="C1893" s="2" t="str">
        <x:v>T20261007-4-3</x:v>
      </x:c>
      <x:c r="D1893" s="2" t="str">
        <x:v>ST110</x:v>
      </x:c>
      <x:c r="E1893" s="2" t="str">
        <x:v>G110</x:v>
      </x:c>
      <x:c r="F1893" s="2" t="str">
        <x:v>guardian110@example.invalid</x:v>
      </x:c>
      <x:c r="G1893" s="2" t="str">
        <x:v>Email</x:v>
      </x:c>
      <x:c r="H1893" s="2" t="str">
        <x:v>Authorized release</x:v>
      </x:c>
      <x:c r="I1893" s="8" t="n">
        <x:v>46302.62739583333</x:v>
      </x:c>
      <x:c r="J1893" s="8" t="n">
        <x:v>46302.62741898148</x:v>
      </x:c>
      <x:c r="K1893" s="8" t="n">
        <x:v>46302.6274537037</x:v>
      </x:c>
      <x:c r="L1893" s="2" t="str">
        <x:v>Sent</x:v>
      </x:c>
      <x:c r="M1893" s="2" t="n">
        <x:v>1</x:v>
      </x:c>
      <x:c r="N1893" s="2"/>
      <x:c r="O1893" s="2"/>
    </x:row>
    <x:row r="1894" ht="21" customHeight="1">
      <x:c r="A1894" s="2" t="str">
        <x:v>NT001893</x:v>
      </x:c>
      <x:c r="B1894" s="2" t="str">
        <x:v>EV001895</x:v>
      </x:c>
      <x:c r="C1894" s="2" t="str">
        <x:v>T20261007-5-3</x:v>
      </x:c>
      <x:c r="D1894" s="2" t="str">
        <x:v>ST111</x:v>
      </x:c>
      <x:c r="E1894" s="2" t="str">
        <x:v>G111</x:v>
      </x:c>
      <x:c r="F1894" s="2" t="str">
        <x:v>guardian111@example.invalid</x:v>
      </x:c>
      <x:c r="G1894" s="2" t="str">
        <x:v>Email</x:v>
      </x:c>
      <x:c r="H1894" s="2" t="str">
        <x:v>Boarded</x:v>
      </x:c>
      <x:c r="I1894" s="8" t="n">
        <x:v>46302.70833333333</x:v>
      </x:c>
      <x:c r="J1894" s="8" t="n">
        <x:v>46302.708356481475</x:v>
      </x:c>
      <x:c r="K1894" s="8" t="n">
        <x:v>46302.7083912037</x:v>
      </x:c>
      <x:c r="L1894" s="2" t="str">
        <x:v>Sent</x:v>
      </x:c>
      <x:c r="M1894" s="2" t="n">
        <x:v>1</x:v>
      </x:c>
      <x:c r="N1894" s="2"/>
      <x:c r="O1894" s="2"/>
    </x:row>
    <x:row r="1895" ht="21" customHeight="1">
      <x:c r="A1895" s="2" t="str">
        <x:v>NT001894</x:v>
      </x:c>
      <x:c r="B1895" s="2" t="str">
        <x:v>EV001896</x:v>
      </x:c>
      <x:c r="C1895" s="2" t="str">
        <x:v>T20261007-5-3</x:v>
      </x:c>
      <x:c r="D1895" s="2" t="str">
        <x:v>ST111</x:v>
      </x:c>
      <x:c r="E1895" s="2" t="str">
        <x:v>G111</x:v>
      </x:c>
      <x:c r="F1895" s="2" t="str">
        <x:v>guardian111@example.invalid</x:v>
      </x:c>
      <x:c r="G1895" s="2" t="str">
        <x:v>Email</x:v>
      </x:c>
      <x:c r="H1895" s="2" t="str">
        <x:v>Authorized release</x:v>
      </x:c>
      <x:c r="I1895" s="8" t="n">
        <x:v>46302.72361111111</x:v>
      </x:c>
      <x:c r="J1895" s="8" t="n">
        <x:v>46302.72363425926</x:v>
      </x:c>
      <x:c r="K1895" s="8" t="n">
        <x:v>46302.72366898148</x:v>
      </x:c>
      <x:c r="L1895" s="2" t="str">
        <x:v>Sent</x:v>
      </x:c>
      <x:c r="M1895" s="2" t="n">
        <x:v>1</x:v>
      </x:c>
      <x:c r="N1895" s="2"/>
      <x:c r="O1895" s="2"/>
    </x:row>
    <x:row r="1896" ht="21" customHeight="1">
      <x:c r="A1896" s="2" t="str">
        <x:v>NT001895</x:v>
      </x:c>
      <x:c r="B1896" s="2" t="str">
        <x:v>EV001897</x:v>
      </x:c>
      <x:c r="C1896" s="2" t="str">
        <x:v>T20261007-5-3</x:v>
      </x:c>
      <x:c r="D1896" s="2" t="str">
        <x:v>ST112</x:v>
      </x:c>
      <x:c r="E1896" s="2" t="str">
        <x:v>G112</x:v>
      </x:c>
      <x:c r="F1896" s="2" t="str">
        <x:v>guardian112@example.invalid</x:v>
      </x:c>
      <x:c r="G1896" s="2" t="str">
        <x:v>Email</x:v>
      </x:c>
      <x:c r="H1896" s="2" t="str">
        <x:v>Boarded</x:v>
      </x:c>
      <x:c r="I1896" s="8" t="n">
        <x:v>46302.70836805555</x:v>
      </x:c>
      <x:c r="J1896" s="8" t="n">
        <x:v>46302.7083912037</x:v>
      </x:c>
      <x:c r="K1896" s="8" t="n">
        <x:v>46302.70842592592</x:v>
      </x:c>
      <x:c r="L1896" s="2" t="str">
        <x:v>Sent</x:v>
      </x:c>
      <x:c r="M1896" s="2" t="n">
        <x:v>1</x:v>
      </x:c>
      <x:c r="N1896" s="2"/>
      <x:c r="O1896" s="2"/>
    </x:row>
    <x:row r="1897" ht="21" customHeight="1">
      <x:c r="A1897" s="2" t="str">
        <x:v>NT001896</x:v>
      </x:c>
      <x:c r="B1897" s="2" t="str">
        <x:v>EV001898</x:v>
      </x:c>
      <x:c r="C1897" s="2" t="str">
        <x:v>T20261007-5-3</x:v>
      </x:c>
      <x:c r="D1897" s="2" t="str">
        <x:v>ST112</x:v>
      </x:c>
      <x:c r="E1897" s="2" t="str">
        <x:v>G112</x:v>
      </x:c>
      <x:c r="F1897" s="2" t="str">
        <x:v>guardian112@example.invalid</x:v>
      </x:c>
      <x:c r="G1897" s="2" t="str">
        <x:v>Email</x:v>
      </x:c>
      <x:c r="H1897" s="2" t="str">
        <x:v>Authorized release</x:v>
      </x:c>
      <x:c r="I1897" s="8" t="n">
        <x:v>46302.72850694445</x:v>
      </x:c>
      <x:c r="J1897" s="8" t="n">
        <x:v>46302.728530092594</x:v>
      </x:c>
      <x:c r="K1897" s="8" t="n">
        <x:v>46302.72856481482</x:v>
      </x:c>
      <x:c r="L1897" s="2" t="str">
        <x:v>Sent</x:v>
      </x:c>
      <x:c r="M1897" s="2" t="n">
        <x:v>1</x:v>
      </x:c>
      <x:c r="N1897" s="2"/>
      <x:c r="O1897" s="2"/>
    </x:row>
    <x:row r="1898" ht="21" customHeight="1">
      <x:c r="A1898" s="2" t="str">
        <x:v>NT001897</x:v>
      </x:c>
      <x:c r="B1898" s="2" t="str">
        <x:v>EV001899</x:v>
      </x:c>
      <x:c r="C1898" s="2" t="str">
        <x:v>T20261007-5-3</x:v>
      </x:c>
      <x:c r="D1898" s="2" t="str">
        <x:v>ST113</x:v>
      </x:c>
      <x:c r="E1898" s="2" t="str">
        <x:v>G113</x:v>
      </x:c>
      <x:c r="F1898" s="2" t="str">
        <x:v>guardian113@example.invalid</x:v>
      </x:c>
      <x:c r="G1898" s="2" t="str">
        <x:v>Email</x:v>
      </x:c>
      <x:c r="H1898" s="2" t="str">
        <x:v>Boarded</x:v>
      </x:c>
      <x:c r="I1898" s="8" t="n">
        <x:v>46302.708402777775</x:v>
      </x:c>
      <x:c r="J1898" s="8" t="n">
        <x:v>46302.70842592592</x:v>
      </x:c>
      <x:c r="K1898" s="8" t="n">
        <x:v>46302.708460648144</x:v>
      </x:c>
      <x:c r="L1898" s="2" t="str">
        <x:v>Sent</x:v>
      </x:c>
      <x:c r="M1898" s="2" t="n">
        <x:v>1</x:v>
      </x:c>
      <x:c r="N1898" s="2"/>
      <x:c r="O1898" s="2"/>
    </x:row>
    <x:row r="1899" ht="21" customHeight="1">
      <x:c r="A1899" s="2" t="str">
        <x:v>NT001898</x:v>
      </x:c>
      <x:c r="B1899" s="2" t="str">
        <x:v>EV001900</x:v>
      </x:c>
      <x:c r="C1899" s="2" t="str">
        <x:v>T20261007-5-3</x:v>
      </x:c>
      <x:c r="D1899" s="2" t="str">
        <x:v>ST113</x:v>
      </x:c>
      <x:c r="E1899" s="2" t="str">
        <x:v>G113</x:v>
      </x:c>
      <x:c r="F1899" s="2" t="str">
        <x:v>guardian113@example.invalid</x:v>
      </x:c>
      <x:c r="G1899" s="2" t="str">
        <x:v>Email</x:v>
      </x:c>
      <x:c r="H1899" s="2" t="str">
        <x:v>Authorized release</x:v>
      </x:c>
      <x:c r="I1899" s="8" t="n">
        <x:v>46302.73340277778</x:v>
      </x:c>
      <x:c r="J1899" s="8" t="n">
        <x:v>46302.73342592593</x:v>
      </x:c>
      <x:c r="K1899" s="8" t="n">
        <x:v>46302.73346064815</x:v>
      </x:c>
      <x:c r="L1899" s="2" t="str">
        <x:v>Sent</x:v>
      </x:c>
      <x:c r="M1899" s="2" t="n">
        <x:v>1</x:v>
      </x:c>
      <x:c r="N1899" s="2"/>
      <x:c r="O1899" s="2"/>
    </x:row>
    <x:row r="1900" ht="21" customHeight="1">
      <x:c r="A1900" s="2" t="str">
        <x:v>NT001899</x:v>
      </x:c>
      <x:c r="B1900" s="2" t="str">
        <x:v>EV001901</x:v>
      </x:c>
      <x:c r="C1900" s="2" t="str">
        <x:v>T20261007-5-3</x:v>
      </x:c>
      <x:c r="D1900" s="2" t="str">
        <x:v>ST114</x:v>
      </x:c>
      <x:c r="E1900" s="2" t="str">
        <x:v>G114</x:v>
      </x:c>
      <x:c r="F1900" s="2" t="str">
        <x:v>guardian114@example.invalid</x:v>
      </x:c>
      <x:c r="G1900" s="2" t="str">
        <x:v>Email</x:v>
      </x:c>
      <x:c r="H1900" s="2" t="str">
        <x:v>Boarded</x:v>
      </x:c>
      <x:c r="I1900" s="8" t="n">
        <x:v>46302.7084375</x:v>
      </x:c>
      <x:c r="J1900" s="8" t="n">
        <x:v>46302.708460648144</x:v>
      </x:c>
      <x:c r="K1900" s="8" t="n">
        <x:v>46302.70849537037</x:v>
      </x:c>
      <x:c r="L1900" s="2" t="str">
        <x:v>Sent</x:v>
      </x:c>
      <x:c r="M1900" s="2" t="n">
        <x:v>1</x:v>
      </x:c>
      <x:c r="N1900" s="2"/>
      <x:c r="O1900" s="2"/>
    </x:row>
    <x:row r="1901" ht="21" customHeight="1">
      <x:c r="A1901" s="2" t="str">
        <x:v>NT001900</x:v>
      </x:c>
      <x:c r="B1901" s="2" t="str">
        <x:v>EV001902</x:v>
      </x:c>
      <x:c r="C1901" s="2" t="str">
        <x:v>T20261007-5-3</x:v>
      </x:c>
      <x:c r="D1901" s="2" t="str">
        <x:v>ST114</x:v>
      </x:c>
      <x:c r="E1901" s="2" t="str">
        <x:v>G114</x:v>
      </x:c>
      <x:c r="F1901" s="2" t="str">
        <x:v>guardian114@example.invalid</x:v>
      </x:c>
      <x:c r="G1901" s="2" t="str">
        <x:v>Email</x:v>
      </x:c>
      <x:c r="H1901" s="2" t="str">
        <x:v>Authorized release</x:v>
      </x:c>
      <x:c r="I1901" s="8" t="n">
        <x:v>46302.72371527778</x:v>
      </x:c>
      <x:c r="J1901" s="8" t="n">
        <x:v>46302.72373842593</x:v>
      </x:c>
      <x:c r="K1901" s="8" t="n">
        <x:v>46302.72377314815</x:v>
      </x:c>
      <x:c r="L1901" s="2" t="str">
        <x:v>Sent</x:v>
      </x:c>
      <x:c r="M1901" s="2" t="n">
        <x:v>1</x:v>
      </x:c>
      <x:c r="N1901" s="2"/>
      <x:c r="O1901" s="2"/>
    </x:row>
    <x:row r="1902" ht="21" customHeight="1">
      <x:c r="A1902" s="2" t="str">
        <x:v>NT001901</x:v>
      </x:c>
      <x:c r="B1902" s="2" t="str">
        <x:v>EV001903</x:v>
      </x:c>
      <x:c r="C1902" s="2" t="str">
        <x:v>T20261007-5-3</x:v>
      </x:c>
      <x:c r="D1902" s="2" t="str">
        <x:v>ST115</x:v>
      </x:c>
      <x:c r="E1902" s="2" t="str">
        <x:v>G115</x:v>
      </x:c>
      <x:c r="F1902" s="2" t="str">
        <x:v>guardian115@example.invalid</x:v>
      </x:c>
      <x:c r="G1902" s="2" t="str">
        <x:v>Email</x:v>
      </x:c>
      <x:c r="H1902" s="2" t="str">
        <x:v>Boarded</x:v>
      </x:c>
      <x:c r="I1902" s="8" t="n">
        <x:v>46302.70847222222</x:v>
      </x:c>
      <x:c r="J1902" s="8" t="n">
        <x:v>46302.70849537037</x:v>
      </x:c>
      <x:c r="K1902" s="8" t="n">
        <x:v>46302.70853009259</x:v>
      </x:c>
      <x:c r="L1902" s="2" t="str">
        <x:v>Sent</x:v>
      </x:c>
      <x:c r="M1902" s="2" t="n">
        <x:v>1</x:v>
      </x:c>
      <x:c r="N1902" s="2"/>
      <x:c r="O1902" s="2"/>
    </x:row>
    <x:row r="1903" ht="21" customHeight="1">
      <x:c r="A1903" s="2" t="str">
        <x:v>NT001902</x:v>
      </x:c>
      <x:c r="B1903" s="2" t="str">
        <x:v>EV001904</x:v>
      </x:c>
      <x:c r="C1903" s="2" t="str">
        <x:v>T20261007-5-3</x:v>
      </x:c>
      <x:c r="D1903" s="2" t="str">
        <x:v>ST115</x:v>
      </x:c>
      <x:c r="E1903" s="2" t="str">
        <x:v>G115</x:v>
      </x:c>
      <x:c r="F1903" s="2" t="str">
        <x:v>guardian115@example.invalid</x:v>
      </x:c>
      <x:c r="G1903" s="2" t="str">
        <x:v>Email</x:v>
      </x:c>
      <x:c r="H1903" s="2" t="str">
        <x:v>Authorized release</x:v>
      </x:c>
      <x:c r="I1903" s="8" t="n">
        <x:v>46302.72861111112</x:v>
      </x:c>
      <x:c r="J1903" s="8" t="n">
        <x:v>46302.72863425926</x:v>
      </x:c>
      <x:c r="K1903" s="8" t="n">
        <x:v>46302.72866898149</x:v>
      </x:c>
      <x:c r="L1903" s="2" t="str">
        <x:v>Sent</x:v>
      </x:c>
      <x:c r="M1903" s="2" t="n">
        <x:v>1</x:v>
      </x:c>
      <x:c r="N1903" s="2"/>
      <x:c r="O1903" s="2"/>
    </x:row>
    <x:row r="1904" ht="21" customHeight="1">
      <x:c r="A1904" s="2" t="str">
        <x:v>NT001903</x:v>
      </x:c>
      <x:c r="B1904" s="2" t="str">
        <x:v>EV001905</x:v>
      </x:c>
      <x:c r="C1904" s="2" t="str">
        <x:v>T20261007-5-3</x:v>
      </x:c>
      <x:c r="D1904" s="2" t="str">
        <x:v>ST116</x:v>
      </x:c>
      <x:c r="E1904" s="2" t="str">
        <x:v>G116</x:v>
      </x:c>
      <x:c r="F1904" s="2" t="str">
        <x:v>guardian116@example.invalid</x:v>
      </x:c>
      <x:c r="G1904" s="2" t="str">
        <x:v>Email</x:v>
      </x:c>
      <x:c r="H1904" s="2" t="str">
        <x:v>Boarded</x:v>
      </x:c>
      <x:c r="I1904" s="8" t="n">
        <x:v>46302.70850694444</x:v>
      </x:c>
      <x:c r="J1904" s="8" t="n">
        <x:v>46302.70853009258</x:v>
      </x:c>
      <x:c r="K1904" s="8" t="n">
        <x:v>46302.708564814806</x:v>
      </x:c>
      <x:c r="L1904" s="2" t="str">
        <x:v>Sent</x:v>
      </x:c>
      <x:c r="M1904" s="2" t="n">
        <x:v>1</x:v>
      </x:c>
      <x:c r="N1904" s="2"/>
      <x:c r="O1904" s="2"/>
    </x:row>
    <x:row r="1905" ht="21" customHeight="1">
      <x:c r="A1905" s="2" t="str">
        <x:v>NT001904</x:v>
      </x:c>
      <x:c r="B1905" s="2" t="str">
        <x:v>EV001906</x:v>
      </x:c>
      <x:c r="C1905" s="2" t="str">
        <x:v>T20261007-5-3</x:v>
      </x:c>
      <x:c r="D1905" s="2" t="str">
        <x:v>ST116</x:v>
      </x:c>
      <x:c r="E1905" s="2" t="str">
        <x:v>G116</x:v>
      </x:c>
      <x:c r="F1905" s="2" t="str">
        <x:v>guardian116@example.invalid</x:v>
      </x:c>
      <x:c r="G1905" s="2" t="str">
        <x:v>Email</x:v>
      </x:c>
      <x:c r="H1905" s="2" t="str">
        <x:v>Authorized release</x:v>
      </x:c>
      <x:c r="I1905" s="8" t="n">
        <x:v>46302.733506944445</x:v>
      </x:c>
      <x:c r="J1905" s="8" t="n">
        <x:v>46302.73353009259</x:v>
      </x:c>
      <x:c r="K1905" s="8" t="n">
        <x:v>46302.733564814815</x:v>
      </x:c>
      <x:c r="L1905" s="2" t="str">
        <x:v>Sent</x:v>
      </x:c>
      <x:c r="M1905" s="2" t="n">
        <x:v>1</x:v>
      </x:c>
      <x:c r="N1905" s="2"/>
      <x:c r="O1905" s="2"/>
    </x:row>
    <x:row r="1906" ht="21" customHeight="1">
      <x:c r="A1906" s="2" t="str">
        <x:v>NT001905</x:v>
      </x:c>
      <x:c r="B1906" s="2" t="str">
        <x:v>EV001907</x:v>
      </x:c>
      <x:c r="C1906" s="2" t="str">
        <x:v>T20261007-5-3</x:v>
      </x:c>
      <x:c r="D1906" s="2" t="str">
        <x:v>ST117</x:v>
      </x:c>
      <x:c r="E1906" s="2" t="str">
        <x:v>G117</x:v>
      </x:c>
      <x:c r="F1906" s="2" t="str">
        <x:v>guardian117@example.invalid</x:v>
      </x:c>
      <x:c r="G1906" s="2" t="str">
        <x:v>Email</x:v>
      </x:c>
      <x:c r="H1906" s="2" t="str">
        <x:v>Boarded</x:v>
      </x:c>
      <x:c r="I1906" s="8" t="n">
        <x:v>46302.70854166666</x:v>
      </x:c>
      <x:c r="J1906" s="8" t="n">
        <x:v>46302.708564814806</x:v>
      </x:c>
      <x:c r="K1906" s="8" t="n">
        <x:v>46302.70859953703</x:v>
      </x:c>
      <x:c r="L1906" s="2" t="str">
        <x:v>Sent</x:v>
      </x:c>
      <x:c r="M1906" s="2" t="n">
        <x:v>1</x:v>
      </x:c>
      <x:c r="N1906" s="2"/>
      <x:c r="O1906" s="2"/>
    </x:row>
    <x:row r="1907" ht="21" customHeight="1">
      <x:c r="A1907" s="2" t="str">
        <x:v>NT001906</x:v>
      </x:c>
      <x:c r="B1907" s="2" t="str">
        <x:v>EV001908</x:v>
      </x:c>
      <x:c r="C1907" s="2" t="str">
        <x:v>T20261007-5-3</x:v>
      </x:c>
      <x:c r="D1907" s="2" t="str">
        <x:v>ST117</x:v>
      </x:c>
      <x:c r="E1907" s="2" t="str">
        <x:v>G117</x:v>
      </x:c>
      <x:c r="F1907" s="2" t="str">
        <x:v>guardian117@example.invalid</x:v>
      </x:c>
      <x:c r="G1907" s="2" t="str">
        <x:v>Email</x:v>
      </x:c>
      <x:c r="H1907" s="2" t="str">
        <x:v>Authorized release</x:v>
      </x:c>
      <x:c r="I1907" s="8" t="n">
        <x:v>46302.72381944444</x:v>
      </x:c>
      <x:c r="J1907" s="8" t="n">
        <x:v>46302.72384259259</x:v>
      </x:c>
      <x:c r="K1907" s="8" t="n">
        <x:v>46302.72387731481</x:v>
      </x:c>
      <x:c r="L1907" s="2" t="str">
        <x:v>Sent</x:v>
      </x:c>
      <x:c r="M1907" s="2" t="n">
        <x:v>1</x:v>
      </x:c>
      <x:c r="N1907" s="2"/>
      <x:c r="O1907" s="2"/>
    </x:row>
    <x:row r="1908" ht="21" customHeight="1">
      <x:c r="A1908" s="2" t="str">
        <x:v>NT001907</x:v>
      </x:c>
      <x:c r="B1908" s="2" t="str">
        <x:v>EV001909</x:v>
      </x:c>
      <x:c r="C1908" s="2" t="str">
        <x:v>T20261007-5-3</x:v>
      </x:c>
      <x:c r="D1908" s="2" t="str">
        <x:v>ST118</x:v>
      </x:c>
      <x:c r="E1908" s="2" t="str">
        <x:v>G118</x:v>
      </x:c>
      <x:c r="F1908" s="2" t="str">
        <x:v>guardian118@example.invalid</x:v>
      </x:c>
      <x:c r="G1908" s="2" t="str">
        <x:v>Email</x:v>
      </x:c>
      <x:c r="H1908" s="2" t="str">
        <x:v>Boarded</x:v>
      </x:c>
      <x:c r="I1908" s="8" t="n">
        <x:v>46302.70857638888</x:v>
      </x:c>
      <x:c r="J1908" s="8" t="n">
        <x:v>46302.70859953703</x:v>
      </x:c>
      <x:c r="K1908" s="8" t="n">
        <x:v>46302.70863425925</x:v>
      </x:c>
      <x:c r="L1908" s="2" t="str">
        <x:v>Sent</x:v>
      </x:c>
      <x:c r="M1908" s="2" t="n">
        <x:v>1</x:v>
      </x:c>
      <x:c r="N1908" s="2"/>
      <x:c r="O1908" s="2"/>
    </x:row>
    <x:row r="1909" ht="21" customHeight="1">
      <x:c r="A1909" s="2" t="str">
        <x:v>NT001908</x:v>
      </x:c>
      <x:c r="B1909" s="2" t="str">
        <x:v>EV001910</x:v>
      </x:c>
      <x:c r="C1909" s="2" t="str">
        <x:v>T20261007-5-3</x:v>
      </x:c>
      <x:c r="D1909" s="2" t="str">
        <x:v>ST118</x:v>
      </x:c>
      <x:c r="E1909" s="2" t="str">
        <x:v>G118</x:v>
      </x:c>
      <x:c r="F1909" s="2" t="str">
        <x:v>guardian118@example.invalid</x:v>
      </x:c>
      <x:c r="G1909" s="2" t="str">
        <x:v>Email</x:v>
      </x:c>
      <x:c r="H1909" s="2" t="str">
        <x:v>Authorized release</x:v>
      </x:c>
      <x:c r="I1909" s="8" t="n">
        <x:v>46302.72871527778</x:v>
      </x:c>
      <x:c r="J1909" s="8" t="n">
        <x:v>46302.728738425925</x:v>
      </x:c>
      <x:c r="K1909" s="8" t="n">
        <x:v>46302.72877314815</x:v>
      </x:c>
      <x:c r="L1909" s="2" t="str">
        <x:v>Sent</x:v>
      </x:c>
      <x:c r="M1909" s="2" t="n">
        <x:v>1</x:v>
      </x:c>
      <x:c r="N1909" s="2"/>
      <x:c r="O1909" s="2"/>
    </x:row>
    <x:row r="1910" ht="21" customHeight="1">
      <x:c r="A1910" s="2" t="str">
        <x:v>NT001909</x:v>
      </x:c>
      <x:c r="B1910" s="2" t="str">
        <x:v>EV001911</x:v>
      </x:c>
      <x:c r="C1910" s="2" t="str">
        <x:v>T20261007-5-3</x:v>
      </x:c>
      <x:c r="D1910" s="2" t="str">
        <x:v>ST119</x:v>
      </x:c>
      <x:c r="E1910" s="2" t="str">
        <x:v>G119</x:v>
      </x:c>
      <x:c r="F1910" s="2" t="str">
        <x:v>guardian119@example.invalid</x:v>
      </x:c>
      <x:c r="G1910" s="2" t="str">
        <x:v>Email</x:v>
      </x:c>
      <x:c r="H1910" s="2" t="str">
        <x:v>Boarded</x:v>
      </x:c>
      <x:c r="I1910" s="8" t="n">
        <x:v>46302.708611111106</x:v>
      </x:c>
      <x:c r="J1910" s="8" t="n">
        <x:v>46302.70863425925</x:v>
      </x:c>
      <x:c r="K1910" s="8" t="n">
        <x:v>46302.708668981475</x:v>
      </x:c>
      <x:c r="L1910" s="2" t="str">
        <x:v>Sent</x:v>
      </x:c>
      <x:c r="M1910" s="2" t="n">
        <x:v>1</x:v>
      </x:c>
      <x:c r="N1910" s="2"/>
      <x:c r="O1910" s="2"/>
    </x:row>
    <x:row r="1911" ht="21" customHeight="1">
      <x:c r="A1911" s="2" t="str">
        <x:v>NT001910</x:v>
      </x:c>
      <x:c r="B1911" s="2" t="str">
        <x:v>EV001912</x:v>
      </x:c>
      <x:c r="C1911" s="2" t="str">
        <x:v>T20261007-5-3</x:v>
      </x:c>
      <x:c r="D1911" s="2" t="str">
        <x:v>ST119</x:v>
      </x:c>
      <x:c r="E1911" s="2" t="str">
        <x:v>G119</x:v>
      </x:c>
      <x:c r="F1911" s="2" t="str">
        <x:v>guardian119@example.invalid</x:v>
      </x:c>
      <x:c r="G1911" s="2" t="str">
        <x:v>Email</x:v>
      </x:c>
      <x:c r="H1911" s="2" t="str">
        <x:v>Authorized release</x:v>
      </x:c>
      <x:c r="I1911" s="8" t="n">
        <x:v>46302.733611111114</x:v>
      </x:c>
      <x:c r="J1911" s="8" t="n">
        <x:v>46302.73363425926</x:v>
      </x:c>
      <x:c r="K1911" s="8" t="n">
        <x:v>46302.733668981484</x:v>
      </x:c>
      <x:c r="L1911" s="2" t="str">
        <x:v>Sent</x:v>
      </x:c>
      <x:c r="M1911" s="2" t="n">
        <x:v>1</x:v>
      </x:c>
      <x:c r="N1911" s="2"/>
      <x:c r="O1911" s="2"/>
    </x:row>
    <x:row r="1912" ht="21" customHeight="1">
      <x:c r="A1912" s="2" t="str">
        <x:v>NT001911</x:v>
      </x:c>
      <x:c r="B1912" s="2" t="str">
        <x:v>EV001913</x:v>
      </x:c>
      <x:c r="C1912" s="2" t="str">
        <x:v>T20261007-5-3</x:v>
      </x:c>
      <x:c r="D1912" s="2" t="str">
        <x:v>ST120</x:v>
      </x:c>
      <x:c r="E1912" s="2" t="str">
        <x:v>G120</x:v>
      </x:c>
      <x:c r="F1912" s="2" t="str">
        <x:v>guardian120@example.invalid</x:v>
      </x:c>
      <x:c r="G1912" s="2" t="str">
        <x:v>Email</x:v>
      </x:c>
      <x:c r="H1912" s="2" t="str">
        <x:v>Boarded</x:v>
      </x:c>
      <x:c r="I1912" s="8" t="n">
        <x:v>46302.70864583333</x:v>
      </x:c>
      <x:c r="J1912" s="8" t="n">
        <x:v>46302.708668981475</x:v>
      </x:c>
      <x:c r="K1912" s="8" t="n">
        <x:v>46302.7087037037</x:v>
      </x:c>
      <x:c r="L1912" s="2" t="str">
        <x:v>Sent</x:v>
      </x:c>
      <x:c r="M1912" s="2" t="n">
        <x:v>1</x:v>
      </x:c>
      <x:c r="N1912" s="2"/>
      <x:c r="O1912" s="2"/>
    </x:row>
    <x:row r="1913" ht="21" customHeight="1">
      <x:c r="A1913" s="2" t="str">
        <x:v>NT001912</x:v>
      </x:c>
      <x:c r="B1913" s="2" t="str">
        <x:v>EV001914</x:v>
      </x:c>
      <x:c r="C1913" s="2" t="str">
        <x:v>T20261007-5-3</x:v>
      </x:c>
      <x:c r="D1913" s="2" t="str">
        <x:v>ST120</x:v>
      </x:c>
      <x:c r="E1913" s="2" t="str">
        <x:v>G120</x:v>
      </x:c>
      <x:c r="F1913" s="2" t="str">
        <x:v>guardian120@example.invalid</x:v>
      </x:c>
      <x:c r="G1913" s="2" t="str">
        <x:v>Email</x:v>
      </x:c>
      <x:c r="H1913" s="2" t="str">
        <x:v>Authorized release</x:v>
      </x:c>
      <x:c r="I1913" s="8" t="n">
        <x:v>46302.72392361111</x:v>
      </x:c>
      <x:c r="J1913" s="8" t="n">
        <x:v>46302.72394675926</x:v>
      </x:c>
      <x:c r="K1913" s="8" t="n">
        <x:v>46302.72398148148</x:v>
      </x:c>
      <x:c r="L1913" s="2" t="str">
        <x:v>Sent</x:v>
      </x:c>
      <x:c r="M1913" s="2" t="n">
        <x:v>1</x:v>
      </x:c>
      <x:c r="N1913" s="2"/>
      <x:c r="O1913" s="2"/>
    </x:row>
    <x:row r="1914" ht="21" customHeight="1">
      <x:c r="A1914" s="2" t="str">
        <x:v>NT001913</x:v>
      </x:c>
      <x:c r="B1914" s="2" t="str">
        <x:v>EV001915</x:v>
      </x:c>
      <x:c r="C1914" s="2" t="str">
        <x:v>T20261008-1-1</x:v>
      </x:c>
      <x:c r="D1914" s="2" t="str">
        <x:v>ST001</x:v>
      </x:c>
      <x:c r="E1914" s="2" t="str">
        <x:v>G001</x:v>
      </x:c>
      <x:c r="F1914" s="2" t="str">
        <x:v>guardian001@example.invalid</x:v>
      </x:c>
      <x:c r="G1914" s="2" t="str">
        <x:v>Email</x:v>
      </x:c>
      <x:c r="H1914" s="2" t="str">
        <x:v>Boarded</x:v>
      </x:c>
      <x:c r="I1914" s="8" t="n">
        <x:v>46303.242361111115</x:v>
      </x:c>
      <x:c r="J1914" s="8" t="n">
        <x:v>46303.24238425926</x:v>
      </x:c>
      <x:c r="K1914" s="8" t="n">
        <x:v>46303.242418981485</x:v>
      </x:c>
      <x:c r="L1914" s="2" t="str">
        <x:v>Sent</x:v>
      </x:c>
      <x:c r="M1914" s="2" t="n">
        <x:v>1</x:v>
      </x:c>
      <x:c r="N1914" s="2"/>
      <x:c r="O1914" s="2"/>
    </x:row>
    <x:row r="1915" ht="21" customHeight="1">
      <x:c r="A1915" s="2" t="str">
        <x:v>NT001914</x:v>
      </x:c>
      <x:c r="B1915" s="2" t="str">
        <x:v>EV001916</x:v>
      </x:c>
      <x:c r="C1915" s="2" t="str">
        <x:v>T20261008-1-1</x:v>
      </x:c>
      <x:c r="D1915" s="2" t="str">
        <x:v>ST001</x:v>
      </x:c>
      <x:c r="E1915" s="2" t="str">
        <x:v>G001</x:v>
      </x:c>
      <x:c r="F1915" s="2" t="str">
        <x:v>guardian001@example.invalid</x:v>
      </x:c>
      <x:c r="G1915" s="2" t="str">
        <x:v>Email</x:v>
      </x:c>
      <x:c r="H1915" s="2" t="str">
        <x:v>School receipt</x:v>
      </x:c>
      <x:c r="I1915" s="8" t="n">
        <x:v>46303.27638888889</x:v>
      </x:c>
      <x:c r="J1915" s="8" t="n">
        <x:v>46303.276412037034</x:v>
      </x:c>
      <x:c r="K1915" s="8" t="n">
        <x:v>46303.27644675926</x:v>
      </x:c>
      <x:c r="L1915" s="2" t="str">
        <x:v>Sent</x:v>
      </x:c>
      <x:c r="M1915" s="2" t="n">
        <x:v>1</x:v>
      </x:c>
      <x:c r="N1915" s="2"/>
      <x:c r="O1915" s="2"/>
    </x:row>
    <x:row r="1916" ht="21" customHeight="1">
      <x:c r="A1916" s="2" t="str">
        <x:v>NT001915</x:v>
      </x:c>
      <x:c r="B1916" s="2" t="str">
        <x:v>EV001917</x:v>
      </x:c>
      <x:c r="C1916" s="2" t="str">
        <x:v>T20261008-1-1</x:v>
      </x:c>
      <x:c r="D1916" s="2" t="str">
        <x:v>ST002</x:v>
      </x:c>
      <x:c r="E1916" s="2" t="str">
        <x:v>G002</x:v>
      </x:c>
      <x:c r="F1916" s="2" t="str">
        <x:v>guardian002@example.invalid</x:v>
      </x:c>
      <x:c r="G1916" s="2" t="str">
        <x:v>Email</x:v>
      </x:c>
      <x:c r="H1916" s="2" t="str">
        <x:v>Boarded</x:v>
      </x:c>
      <x:c r="I1916" s="8" t="n">
        <x:v>46303.24725694444</x:v>
      </x:c>
      <x:c r="J1916" s="8" t="n">
        <x:v>46303.24728009259</x:v>
      </x:c>
      <x:c r="K1916" s="8" t="n">
        <x:v>46303.24731481481</x:v>
      </x:c>
      <x:c r="L1916" s="2" t="str">
        <x:v>Sent</x:v>
      </x:c>
      <x:c r="M1916" s="2" t="n">
        <x:v>1</x:v>
      </x:c>
      <x:c r="N1916" s="2"/>
      <x:c r="O1916" s="2"/>
    </x:row>
    <x:row r="1917" ht="21" customHeight="1">
      <x:c r="A1917" s="2" t="str">
        <x:v>NT001916</x:v>
      </x:c>
      <x:c r="B1917" s="2" t="str">
        <x:v>EV001918</x:v>
      </x:c>
      <x:c r="C1917" s="2" t="str">
        <x:v>T20261008-1-1</x:v>
      </x:c>
      <x:c r="D1917" s="2" t="str">
        <x:v>ST002</x:v>
      </x:c>
      <x:c r="E1917" s="2" t="str">
        <x:v>G002</x:v>
      </x:c>
      <x:c r="F1917" s="2" t="str">
        <x:v>guardian002@example.invalid</x:v>
      </x:c>
      <x:c r="G1917" s="2" t="str">
        <x:v>Email</x:v>
      </x:c>
      <x:c r="H1917" s="2" t="str">
        <x:v>School receipt</x:v>
      </x:c>
      <x:c r="I1917" s="8" t="n">
        <x:v>46303.27642361111</x:v>
      </x:c>
      <x:c r="J1917" s="8" t="n">
        <x:v>46303.27644675926</x:v>
      </x:c>
      <x:c r="K1917" s="8" t="n">
        <x:v>46303.27648148148</x:v>
      </x:c>
      <x:c r="L1917" s="2" t="str">
        <x:v>Sent</x:v>
      </x:c>
      <x:c r="M1917" s="2" t="n">
        <x:v>1</x:v>
      </x:c>
      <x:c r="N1917" s="2"/>
      <x:c r="O1917" s="2"/>
    </x:row>
    <x:row r="1918" ht="21" customHeight="1">
      <x:c r="A1918" s="2" t="str">
        <x:v>NT001917</x:v>
      </x:c>
      <x:c r="B1918" s="2" t="str">
        <x:v>EV001919</x:v>
      </x:c>
      <x:c r="C1918" s="2" t="str">
        <x:v>T20261008-1-1</x:v>
      </x:c>
      <x:c r="D1918" s="2" t="str">
        <x:v>ST003</x:v>
      </x:c>
      <x:c r="E1918" s="2" t="str">
        <x:v>G003</x:v>
      </x:c>
      <x:c r="F1918" s="2" t="str">
        <x:v>guardian003@example.invalid</x:v>
      </x:c>
      <x:c r="G1918" s="2" t="str">
        <x:v>Email</x:v>
      </x:c>
      <x:c r="H1918" s="2" t="str">
        <x:v>Boarded</x:v>
      </x:c>
      <x:c r="I1918" s="8" t="n">
        <x:v>46303.25215277778</x:v>
      </x:c>
      <x:c r="J1918" s="8" t="n">
        <x:v>46303.252175925925</x:v>
      </x:c>
      <x:c r="K1918" s="8" t="n">
        <x:v>46303.25221064815</x:v>
      </x:c>
      <x:c r="L1918" s="2" t="str">
        <x:v>Sent</x:v>
      </x:c>
      <x:c r="M1918" s="2" t="n">
        <x:v>1</x:v>
      </x:c>
      <x:c r="N1918" s="2"/>
      <x:c r="O1918" s="2"/>
    </x:row>
    <x:row r="1919" ht="21" customHeight="1">
      <x:c r="A1919" s="2" t="str">
        <x:v>NT001918</x:v>
      </x:c>
      <x:c r="B1919" s="2" t="str">
        <x:v>EV001920</x:v>
      </x:c>
      <x:c r="C1919" s="2" t="str">
        <x:v>T20261008-1-1</x:v>
      </x:c>
      <x:c r="D1919" s="2" t="str">
        <x:v>ST003</x:v>
      </x:c>
      <x:c r="E1919" s="2" t="str">
        <x:v>G003</x:v>
      </x:c>
      <x:c r="F1919" s="2" t="str">
        <x:v>guardian003@example.invalid</x:v>
      </x:c>
      <x:c r="G1919" s="2" t="str">
        <x:v>Email</x:v>
      </x:c>
      <x:c r="H1919" s="2" t="str">
        <x:v>School receipt</x:v>
      </x:c>
      <x:c r="I1919" s="8" t="n">
        <x:v>46303.276458333334</x:v>
      </x:c>
      <x:c r="J1919" s="8" t="n">
        <x:v>46303.27648148148</x:v>
      </x:c>
      <x:c r="K1919" s="8" t="n">
        <x:v>46303.2765162037</x:v>
      </x:c>
      <x:c r="L1919" s="2" t="str">
        <x:v>Sent</x:v>
      </x:c>
      <x:c r="M1919" s="2" t="n">
        <x:v>1</x:v>
      </x:c>
      <x:c r="N1919" s="2"/>
      <x:c r="O1919" s="2"/>
    </x:row>
    <x:row r="1920" ht="21" customHeight="1">
      <x:c r="A1920" s="2" t="str">
        <x:v>NT001919</x:v>
      </x:c>
      <x:c r="B1920" s="2" t="str">
        <x:v>EV001921</x:v>
      </x:c>
      <x:c r="C1920" s="2" t="str">
        <x:v>T20261008-1-1</x:v>
      </x:c>
      <x:c r="D1920" s="2" t="str">
        <x:v>ST004</x:v>
      </x:c>
      <x:c r="E1920" s="2" t="str">
        <x:v>G004</x:v>
      </x:c>
      <x:c r="F1920" s="2" t="str">
        <x:v>guardian004@example.invalid</x:v>
      </x:c>
      <x:c r="G1920" s="2" t="str">
        <x:v>Email</x:v>
      </x:c>
      <x:c r="H1920" s="2" t="str">
        <x:v>Boarded</x:v>
      </x:c>
      <x:c r="I1920" s="8" t="n">
        <x:v>46303.242465277785</x:v>
      </x:c>
      <x:c r="J1920" s="8" t="n">
        <x:v>46303.24248842593</x:v>
      </x:c>
      <x:c r="K1920" s="8" t="n">
        <x:v>46303.242523148154</x:v>
      </x:c>
      <x:c r="L1920" s="2" t="str">
        <x:v>Sent</x:v>
      </x:c>
      <x:c r="M1920" s="2" t="n">
        <x:v>1</x:v>
      </x:c>
      <x:c r="N1920" s="2"/>
      <x:c r="O1920" s="2"/>
    </x:row>
    <x:row r="1921" ht="21" customHeight="1">
      <x:c r="A1921" s="2" t="str">
        <x:v>NT001920</x:v>
      </x:c>
      <x:c r="B1921" s="2" t="str">
        <x:v>EV001922</x:v>
      </x:c>
      <x:c r="C1921" s="2" t="str">
        <x:v>T20261008-1-1</x:v>
      </x:c>
      <x:c r="D1921" s="2" t="str">
        <x:v>ST004</x:v>
      </x:c>
      <x:c r="E1921" s="2" t="str">
        <x:v>G004</x:v>
      </x:c>
      <x:c r="F1921" s="2" t="str">
        <x:v>guardian004@example.invalid</x:v>
      </x:c>
      <x:c r="G1921" s="2" t="str">
        <x:v>Email</x:v>
      </x:c>
      <x:c r="H1921" s="2" t="str">
        <x:v>School receipt</x:v>
      </x:c>
      <x:c r="I1921" s="8" t="n">
        <x:v>46303.27649305556</x:v>
      </x:c>
      <x:c r="J1921" s="8" t="n">
        <x:v>46303.2765162037</x:v>
      </x:c>
      <x:c r="K1921" s="8" t="n">
        <x:v>46303.276550925926</x:v>
      </x:c>
      <x:c r="L1921" s="2" t="str">
        <x:v>Sent</x:v>
      </x:c>
      <x:c r="M1921" s="2" t="n">
        <x:v>1</x:v>
      </x:c>
      <x:c r="N1921" s="2"/>
      <x:c r="O1921" s="2"/>
    </x:row>
    <x:row r="1922" ht="21" customHeight="1">
      <x:c r="A1922" s="2" t="str">
        <x:v>NT001921</x:v>
      </x:c>
      <x:c r="B1922" s="2" t="str">
        <x:v>EV001923</x:v>
      </x:c>
      <x:c r="C1922" s="2" t="str">
        <x:v>T20261008-1-1</x:v>
      </x:c>
      <x:c r="D1922" s="2" t="str">
        <x:v>ST005</x:v>
      </x:c>
      <x:c r="E1922" s="2" t="str">
        <x:v>G005</x:v>
      </x:c>
      <x:c r="F1922" s="2" t="str">
        <x:v>guardian005@example.invalid</x:v>
      </x:c>
      <x:c r="G1922" s="2" t="str">
        <x:v>Email</x:v>
      </x:c>
      <x:c r="H1922" s="2" t="str">
        <x:v>Boarded</x:v>
      </x:c>
      <x:c r="I1922" s="8" t="n">
        <x:v>46303.24736111111</x:v>
      </x:c>
      <x:c r="J1922" s="8" t="n">
        <x:v>46303.24738425926</x:v>
      </x:c>
      <x:c r="K1922" s="8" t="n">
        <x:v>46303.24741898148</x:v>
      </x:c>
      <x:c r="L1922" s="2" t="str">
        <x:v>Sent</x:v>
      </x:c>
      <x:c r="M1922" s="2" t="n">
        <x:v>1</x:v>
      </x:c>
      <x:c r="N1922" s="2"/>
      <x:c r="O1922" s="2"/>
    </x:row>
    <x:row r="1923" ht="21" customHeight="1">
      <x:c r="A1923" s="2" t="str">
        <x:v>NT001922</x:v>
      </x:c>
      <x:c r="B1923" s="2" t="str">
        <x:v>EV001924</x:v>
      </x:c>
      <x:c r="C1923" s="2" t="str">
        <x:v>T20261008-1-1</x:v>
      </x:c>
      <x:c r="D1923" s="2" t="str">
        <x:v>ST005</x:v>
      </x:c>
      <x:c r="E1923" s="2" t="str">
        <x:v>G005</x:v>
      </x:c>
      <x:c r="F1923" s="2" t="str">
        <x:v>guardian005@example.invalid</x:v>
      </x:c>
      <x:c r="G1923" s="2" t="str">
        <x:v>Email</x:v>
      </x:c>
      <x:c r="H1923" s="2" t="str">
        <x:v>School receipt</x:v>
      </x:c>
      <x:c r="I1923" s="8" t="n">
        <x:v>46303.27652777778</x:v>
      </x:c>
      <x:c r="J1923" s="8" t="n">
        <x:v>46303.276550925926</x:v>
      </x:c>
      <x:c r="K1923" s="8" t="n">
        <x:v>46303.27658564815</x:v>
      </x:c>
      <x:c r="L1923" s="2" t="str">
        <x:v>Sent</x:v>
      </x:c>
      <x:c r="M1923" s="2" t="n">
        <x:v>1</x:v>
      </x:c>
      <x:c r="N1923" s="2"/>
      <x:c r="O1923" s="2"/>
    </x:row>
    <x:row r="1924" ht="21" customHeight="1">
      <x:c r="A1924" s="2" t="str">
        <x:v>NT001923</x:v>
      </x:c>
      <x:c r="B1924" s="2" t="str">
        <x:v>EV001925</x:v>
      </x:c>
      <x:c r="C1924" s="2" t="str">
        <x:v>T20261008-1-1</x:v>
      </x:c>
      <x:c r="D1924" s="2" t="str">
        <x:v>ST006</x:v>
      </x:c>
      <x:c r="E1924" s="2" t="str">
        <x:v>G006</x:v>
      </x:c>
      <x:c r="F1924" s="2" t="str">
        <x:v>guardian006@example.invalid</x:v>
      </x:c>
      <x:c r="G1924" s="2" t="str">
        <x:v>Email</x:v>
      </x:c>
      <x:c r="H1924" s="2" t="str">
        <x:v>Boarded</x:v>
      </x:c>
      <x:c r="I1924" s="8" t="n">
        <x:v>46303.25225694444</x:v>
      </x:c>
      <x:c r="J1924" s="8" t="n">
        <x:v>46303.25228009259</x:v>
      </x:c>
      <x:c r="K1924" s="8" t="n">
        <x:v>46303.25231481481</x:v>
      </x:c>
      <x:c r="L1924" s="2" t="str">
        <x:v>Sent</x:v>
      </x:c>
      <x:c r="M1924" s="2" t="n">
        <x:v>1</x:v>
      </x:c>
      <x:c r="N1924" s="2"/>
      <x:c r="O1924" s="2"/>
    </x:row>
    <x:row r="1925" ht="21" customHeight="1">
      <x:c r="A1925" s="2" t="str">
        <x:v>NT001924</x:v>
      </x:c>
      <x:c r="B1925" s="2" t="str">
        <x:v>EV001926</x:v>
      </x:c>
      <x:c r="C1925" s="2" t="str">
        <x:v>T20261008-1-1</x:v>
      </x:c>
      <x:c r="D1925" s="2" t="str">
        <x:v>ST006</x:v>
      </x:c>
      <x:c r="E1925" s="2" t="str">
        <x:v>G006</x:v>
      </x:c>
      <x:c r="F1925" s="2" t="str">
        <x:v>guardian006@example.invalid</x:v>
      </x:c>
      <x:c r="G1925" s="2" t="str">
        <x:v>Email</x:v>
      </x:c>
      <x:c r="H1925" s="2" t="str">
        <x:v>School receipt</x:v>
      </x:c>
      <x:c r="I1925" s="8" t="n">
        <x:v>46303.276562499996</x:v>
      </x:c>
      <x:c r="J1925" s="8" t="n">
        <x:v>46303.27658564814</x:v>
      </x:c>
      <x:c r="K1925" s="8" t="n">
        <x:v>46303.276620370365</x:v>
      </x:c>
      <x:c r="L1925" s="2" t="str">
        <x:v>Sent</x:v>
      </x:c>
      <x:c r="M1925" s="2" t="n">
        <x:v>1</x:v>
      </x:c>
      <x:c r="N1925" s="2"/>
      <x:c r="O1925" s="2"/>
    </x:row>
    <x:row r="1926" ht="21" customHeight="1">
      <x:c r="A1926" s="2" t="str">
        <x:v>NT001925</x:v>
      </x:c>
      <x:c r="B1926" s="2" t="str">
        <x:v>EV001927</x:v>
      </x:c>
      <x:c r="C1926" s="2" t="str">
        <x:v>T20261008-1-1</x:v>
      </x:c>
      <x:c r="D1926" s="2" t="str">
        <x:v>ST007</x:v>
      </x:c>
      <x:c r="E1926" s="2" t="str">
        <x:v>G007</x:v>
      </x:c>
      <x:c r="F1926" s="2" t="str">
        <x:v>guardian007@example.invalid</x:v>
      </x:c>
      <x:c r="G1926" s="2" t="str">
        <x:v>Email</x:v>
      </x:c>
      <x:c r="H1926" s="2" t="str">
        <x:v>Boarded</x:v>
      </x:c>
      <x:c r="I1926" s="8" t="n">
        <x:v>46303.24256944445</x:v>
      </x:c>
      <x:c r="J1926" s="8" t="n">
        <x:v>46303.24259259259</x:v>
      </x:c>
      <x:c r="K1926" s="8" t="n">
        <x:v>46303.242627314816</x:v>
      </x:c>
      <x:c r="L1926" s="2" t="str">
        <x:v>Sent</x:v>
      </x:c>
      <x:c r="M1926" s="2" t="n">
        <x:v>1</x:v>
      </x:c>
      <x:c r="N1926" s="2"/>
      <x:c r="O1926" s="2"/>
    </x:row>
    <x:row r="1927" ht="21" customHeight="1">
      <x:c r="A1927" s="2" t="str">
        <x:v>NT001926</x:v>
      </x:c>
      <x:c r="B1927" s="2" t="str">
        <x:v>EV001928</x:v>
      </x:c>
      <x:c r="C1927" s="2" t="str">
        <x:v>T20261008-1-1</x:v>
      </x:c>
      <x:c r="D1927" s="2" t="str">
        <x:v>ST007</x:v>
      </x:c>
      <x:c r="E1927" s="2" t="str">
        <x:v>G007</x:v>
      </x:c>
      <x:c r="F1927" s="2" t="str">
        <x:v>guardian007@example.invalid</x:v>
      </x:c>
      <x:c r="G1927" s="2" t="str">
        <x:v>Email</x:v>
      </x:c>
      <x:c r="H1927" s="2" t="str">
        <x:v>School receipt</x:v>
      </x:c>
      <x:c r="I1927" s="8" t="n">
        <x:v>46303.27659722222</x:v>
      </x:c>
      <x:c r="J1927" s="8" t="n">
        <x:v>46303.276620370365</x:v>
      </x:c>
      <x:c r="K1927" s="8" t="n">
        <x:v>46303.27665509259</x:v>
      </x:c>
      <x:c r="L1927" s="2" t="str">
        <x:v>Sent</x:v>
      </x:c>
      <x:c r="M1927" s="2" t="n">
        <x:v>1</x:v>
      </x:c>
      <x:c r="N1927" s="2"/>
      <x:c r="O1927" s="2"/>
    </x:row>
    <x:row r="1928" ht="21" customHeight="1">
      <x:c r="A1928" s="2" t="str">
        <x:v>NT001927</x:v>
      </x:c>
      <x:c r="B1928" s="2" t="str">
        <x:v>EV001929</x:v>
      </x:c>
      <x:c r="C1928" s="2" t="str">
        <x:v>T20261008-1-1</x:v>
      </x:c>
      <x:c r="D1928" s="2" t="str">
        <x:v>ST008</x:v>
      </x:c>
      <x:c r="E1928" s="2" t="str">
        <x:v>G008</x:v>
      </x:c>
      <x:c r="F1928" s="2" t="str">
        <x:v>guardian008@example.invalid</x:v>
      </x:c>
      <x:c r="G1928" s="2" t="str">
        <x:v>Email</x:v>
      </x:c>
      <x:c r="H1928" s="2" t="str">
        <x:v>Boarded</x:v>
      </x:c>
      <x:c r="I1928" s="8" t="n">
        <x:v>46303.247465277775</x:v>
      </x:c>
      <x:c r="J1928" s="8" t="n">
        <x:v>46303.24748842592</x:v>
      </x:c>
      <x:c r="K1928" s="8" t="n">
        <x:v>46303.247523148144</x:v>
      </x:c>
      <x:c r="L1928" s="2" t="str">
        <x:v>Sent</x:v>
      </x:c>
      <x:c r="M1928" s="2" t="n">
        <x:v>1</x:v>
      </x:c>
      <x:c r="N1928" s="2"/>
      <x:c r="O1928" s="2"/>
    </x:row>
    <x:row r="1929" ht="21" customHeight="1">
      <x:c r="A1929" s="2" t="str">
        <x:v>NT001928</x:v>
      </x:c>
      <x:c r="B1929" s="2" t="str">
        <x:v>EV001930</x:v>
      </x:c>
      <x:c r="C1929" s="2" t="str">
        <x:v>T20261008-1-1</x:v>
      </x:c>
      <x:c r="D1929" s="2" t="str">
        <x:v>ST008</x:v>
      </x:c>
      <x:c r="E1929" s="2" t="str">
        <x:v>G008</x:v>
      </x:c>
      <x:c r="F1929" s="2" t="str">
        <x:v>guardian008@example.invalid</x:v>
      </x:c>
      <x:c r="G1929" s="2" t="str">
        <x:v>Email</x:v>
      </x:c>
      <x:c r="H1929" s="2" t="str">
        <x:v>School receipt</x:v>
      </x:c>
      <x:c r="I1929" s="8" t="n">
        <x:v>46303.27663194444</x:v>
      </x:c>
      <x:c r="J1929" s="8" t="n">
        <x:v>46303.27665509259</x:v>
      </x:c>
      <x:c r="K1929" s="8" t="n">
        <x:v>46303.27668981481</x:v>
      </x:c>
      <x:c r="L1929" s="2" t="str">
        <x:v>Sent</x:v>
      </x:c>
      <x:c r="M1929" s="2" t="n">
        <x:v>1</x:v>
      </x:c>
      <x:c r="N1929" s="2"/>
      <x:c r="O1929" s="2"/>
    </x:row>
    <x:row r="1930" ht="21" customHeight="1">
      <x:c r="A1930" s="2" t="str">
        <x:v>NT001929</x:v>
      </x:c>
      <x:c r="B1930" s="2" t="str">
        <x:v>EV001931</x:v>
      </x:c>
      <x:c r="C1930" s="2" t="str">
        <x:v>T20261008-1-1</x:v>
      </x:c>
      <x:c r="D1930" s="2" t="str">
        <x:v>ST009</x:v>
      </x:c>
      <x:c r="E1930" s="2" t="str">
        <x:v>G009</x:v>
      </x:c>
      <x:c r="F1930" s="2" t="str">
        <x:v>guardian009@example.invalid</x:v>
      </x:c>
      <x:c r="G1930" s="2" t="str">
        <x:v>Email</x:v>
      </x:c>
      <x:c r="H1930" s="2" t="str">
        <x:v>Boarded</x:v>
      </x:c>
      <x:c r="I1930" s="8" t="n">
        <x:v>46303.25236111111</x:v>
      </x:c>
      <x:c r="J1930" s="8" t="n">
        <x:v>46303.252384259256</x:v>
      </x:c>
      <x:c r="K1930" s="8" t="n">
        <x:v>46303.25241898148</x:v>
      </x:c>
      <x:c r="L1930" s="2" t="str">
        <x:v>Sent</x:v>
      </x:c>
      <x:c r="M1930" s="2" t="n">
        <x:v>1</x:v>
      </x:c>
      <x:c r="N1930" s="2"/>
      <x:c r="O1930" s="2"/>
    </x:row>
    <x:row r="1931" ht="21" customHeight="1">
      <x:c r="A1931" s="2" t="str">
        <x:v>NT001930</x:v>
      </x:c>
      <x:c r="B1931" s="2" t="str">
        <x:v>EV001932</x:v>
      </x:c>
      <x:c r="C1931" s="2" t="str">
        <x:v>T20261008-1-1</x:v>
      </x:c>
      <x:c r="D1931" s="2" t="str">
        <x:v>ST009</x:v>
      </x:c>
      <x:c r="E1931" s="2" t="str">
        <x:v>G009</x:v>
      </x:c>
      <x:c r="F1931" s="2" t="str">
        <x:v>guardian009@example.invalid</x:v>
      </x:c>
      <x:c r="G1931" s="2" t="str">
        <x:v>Email</x:v>
      </x:c>
      <x:c r="H1931" s="2" t="str">
        <x:v>School receipt</x:v>
      </x:c>
      <x:c r="I1931" s="8" t="n">
        <x:v>46303.276666666665</x:v>
      </x:c>
      <x:c r="J1931" s="8" t="n">
        <x:v>46303.27668981481</x:v>
      </x:c>
      <x:c r="K1931" s="8" t="n">
        <x:v>46303.276724537034</x:v>
      </x:c>
      <x:c r="L1931" s="2" t="str">
        <x:v>Sent</x:v>
      </x:c>
      <x:c r="M1931" s="2" t="n">
        <x:v>1</x:v>
      </x:c>
      <x:c r="N1931" s="2"/>
      <x:c r="O1931" s="2"/>
    </x:row>
    <x:row r="1932" ht="21" customHeight="1">
      <x:c r="A1932" s="2" t="str">
        <x:v>NT001931</x:v>
      </x:c>
      <x:c r="B1932" s="2" t="str">
        <x:v>EV001933</x:v>
      </x:c>
      <x:c r="C1932" s="2" t="str">
        <x:v>T20261008-1-1</x:v>
      </x:c>
      <x:c r="D1932" s="2" t="str">
        <x:v>ST010</x:v>
      </x:c>
      <x:c r="E1932" s="2" t="str">
        <x:v>G010</x:v>
      </x:c>
      <x:c r="F1932" s="2" t="str">
        <x:v>guardian010@example.invalid</x:v>
      </x:c>
      <x:c r="G1932" s="2" t="str">
        <x:v>Email</x:v>
      </x:c>
      <x:c r="H1932" s="2" t="str">
        <x:v>Boarded</x:v>
      </x:c>
      <x:c r="I1932" s="8" t="n">
        <x:v>46303.242673611116</x:v>
      </x:c>
      <x:c r="J1932" s="8" t="n">
        <x:v>46303.24269675926</x:v>
      </x:c>
      <x:c r="K1932" s="8" t="n">
        <x:v>46303.242731481485</x:v>
      </x:c>
      <x:c r="L1932" s="2" t="str">
        <x:v>Sent</x:v>
      </x:c>
      <x:c r="M1932" s="2" t="n">
        <x:v>1</x:v>
      </x:c>
      <x:c r="N1932" s="2"/>
      <x:c r="O1932" s="2"/>
    </x:row>
    <x:row r="1933" ht="21" customHeight="1">
      <x:c r="A1933" s="2" t="str">
        <x:v>NT001932</x:v>
      </x:c>
      <x:c r="B1933" s="2" t="str">
        <x:v>EV001934</x:v>
      </x:c>
      <x:c r="C1933" s="2" t="str">
        <x:v>T20261008-1-1</x:v>
      </x:c>
      <x:c r="D1933" s="2" t="str">
        <x:v>ST010</x:v>
      </x:c>
      <x:c r="E1933" s="2" t="str">
        <x:v>G010</x:v>
      </x:c>
      <x:c r="F1933" s="2" t="str">
        <x:v>guardian010@example.invalid</x:v>
      </x:c>
      <x:c r="G1933" s="2" t="str">
        <x:v>Email</x:v>
      </x:c>
      <x:c r="H1933" s="2" t="str">
        <x:v>School receipt</x:v>
      </x:c>
      <x:c r="I1933" s="8" t="n">
        <x:v>46303.27670138889</x:v>
      </x:c>
      <x:c r="J1933" s="8" t="n">
        <x:v>46303.276724537034</x:v>
      </x:c>
      <x:c r="K1933" s="8" t="n">
        <x:v>46303.27675925926</x:v>
      </x:c>
      <x:c r="L1933" s="2" t="str">
        <x:v>Sent</x:v>
      </x:c>
      <x:c r="M1933" s="2" t="n">
        <x:v>1</x:v>
      </x:c>
      <x:c r="N1933" s="2"/>
      <x:c r="O1933" s="2"/>
    </x:row>
    <x:row r="1934" ht="21" customHeight="1">
      <x:c r="A1934" s="2" t="str">
        <x:v>NT001933</x:v>
      </x:c>
      <x:c r="B1934" s="2" t="str">
        <x:v>EV001935</x:v>
      </x:c>
      <x:c r="C1934" s="2" t="str">
        <x:v>T20261008-1-1</x:v>
      </x:c>
      <x:c r="D1934" s="2" t="str">
        <x:v>ST011</x:v>
      </x:c>
      <x:c r="E1934" s="2" t="str">
        <x:v>G011</x:v>
      </x:c>
      <x:c r="F1934" s="2" t="str">
        <x:v>guardian011@example.invalid</x:v>
      </x:c>
      <x:c r="G1934" s="2" t="str">
        <x:v>Email</x:v>
      </x:c>
      <x:c r="H1934" s="2" t="str">
        <x:v>Boarded</x:v>
      </x:c>
      <x:c r="I1934" s="8" t="n">
        <x:v>46303.24722222222</x:v>
      </x:c>
      <x:c r="J1934" s="8" t="n">
        <x:v>46303.24724537037</x:v>
      </x:c>
      <x:c r="K1934" s="8" t="n">
        <x:v>46303.24728009259</x:v>
      </x:c>
      <x:c r="L1934" s="2" t="str">
        <x:v>Sent</x:v>
      </x:c>
      <x:c r="M1934" s="2" t="n">
        <x:v>1</x:v>
      </x:c>
      <x:c r="N1934" s="2"/>
      <x:c r="O1934" s="2"/>
    </x:row>
    <x:row r="1935" ht="21" customHeight="1">
      <x:c r="A1935" s="2" t="str">
        <x:v>NT001934</x:v>
      </x:c>
      <x:c r="B1935" s="2" t="str">
        <x:v>EV001936</x:v>
      </x:c>
      <x:c r="C1935" s="2" t="str">
        <x:v>T20261008-1-1</x:v>
      </x:c>
      <x:c r="D1935" s="2" t="str">
        <x:v>ST011</x:v>
      </x:c>
      <x:c r="E1935" s="2" t="str">
        <x:v>G011</x:v>
      </x:c>
      <x:c r="F1935" s="2" t="str">
        <x:v>guardian011@example.invalid</x:v>
      </x:c>
      <x:c r="G1935" s="2" t="str">
        <x:v>Email</x:v>
      </x:c>
      <x:c r="H1935" s="2" t="str">
        <x:v>School receipt</x:v>
      </x:c>
      <x:c r="I1935" s="8" t="n">
        <x:v>46303.27673611111</x:v>
      </x:c>
      <x:c r="J1935" s="8" t="n">
        <x:v>46303.27675925926</x:v>
      </x:c>
      <x:c r="K1935" s="8" t="n">
        <x:v>46303.27679398148</x:v>
      </x:c>
      <x:c r="L1935" s="2" t="str">
        <x:v>Sent</x:v>
      </x:c>
      <x:c r="M1935" s="2" t="n">
        <x:v>1</x:v>
      </x:c>
      <x:c r="N1935" s="2"/>
      <x:c r="O1935" s="2"/>
    </x:row>
    <x:row r="1936" ht="21" customHeight="1">
      <x:c r="A1936" s="2" t="str">
        <x:v>NT001935</x:v>
      </x:c>
      <x:c r="B1936" s="2" t="str">
        <x:v>EV001937</x:v>
      </x:c>
      <x:c r="C1936" s="2" t="str">
        <x:v>T20261008-1-1</x:v>
      </x:c>
      <x:c r="D1936" s="2" t="str">
        <x:v>ST012</x:v>
      </x:c>
      <x:c r="E1936" s="2" t="str">
        <x:v>G012</x:v>
      </x:c>
      <x:c r="F1936" s="2" t="str">
        <x:v>guardian012@example.invalid</x:v>
      </x:c>
      <x:c r="G1936" s="2" t="str">
        <x:v>Email</x:v>
      </x:c>
      <x:c r="H1936" s="2" t="str">
        <x:v>Boarded</x:v>
      </x:c>
      <x:c r="I1936" s="8" t="n">
        <x:v>46303.252118055556</x:v>
      </x:c>
      <x:c r="J1936" s="8" t="n">
        <x:v>46303.2521412037</x:v>
      </x:c>
      <x:c r="K1936" s="8" t="n">
        <x:v>46303.252175925925</x:v>
      </x:c>
      <x:c r="L1936" s="2" t="str">
        <x:v>Sent</x:v>
      </x:c>
      <x:c r="M1936" s="2" t="n">
        <x:v>1</x:v>
      </x:c>
      <x:c r="N1936" s="2"/>
      <x:c r="O1936" s="2"/>
    </x:row>
    <x:row r="1937" ht="21" customHeight="1">
      <x:c r="A1937" s="2" t="str">
        <x:v>NT001936</x:v>
      </x:c>
      <x:c r="B1937" s="2" t="str">
        <x:v>EV001938</x:v>
      </x:c>
      <x:c r="C1937" s="2" t="str">
        <x:v>T20261008-1-1</x:v>
      </x:c>
      <x:c r="D1937" s="2" t="str">
        <x:v>ST012</x:v>
      </x:c>
      <x:c r="E1937" s="2" t="str">
        <x:v>G012</x:v>
      </x:c>
      <x:c r="F1937" s="2" t="str">
        <x:v>guardian012@example.invalid</x:v>
      </x:c>
      <x:c r="G1937" s="2" t="str">
        <x:v>Email</x:v>
      </x:c>
      <x:c r="H1937" s="2" t="str">
        <x:v>School receipt</x:v>
      </x:c>
      <x:c r="I1937" s="8" t="n">
        <x:v>46303.276770833334</x:v>
      </x:c>
      <x:c r="J1937" s="8" t="n">
        <x:v>46303.27679398148</x:v>
      </x:c>
      <x:c r="K1937" s="8" t="n">
        <x:v>46303.2768287037</x:v>
      </x:c>
      <x:c r="L1937" s="2" t="str">
        <x:v>Sent</x:v>
      </x:c>
      <x:c r="M1937" s="2" t="n">
        <x:v>1</x:v>
      </x:c>
      <x:c r="N1937" s="2"/>
      <x:c r="O1937" s="2"/>
    </x:row>
    <x:row r="1938" ht="21" customHeight="1">
      <x:c r="A1938" s="2" t="str">
        <x:v>NT001937</x:v>
      </x:c>
      <x:c r="B1938" s="2" t="str">
        <x:v>EV001939</x:v>
      </x:c>
      <x:c r="C1938" s="2" t="str">
        <x:v>T20261008-1-1</x:v>
      </x:c>
      <x:c r="D1938" s="2" t="str">
        <x:v>ST013</x:v>
      </x:c>
      <x:c r="E1938" s="2" t="str">
        <x:v>G013</x:v>
      </x:c>
      <x:c r="F1938" s="2" t="str">
        <x:v>guardian013@example.invalid</x:v>
      </x:c>
      <x:c r="G1938" s="2" t="str">
        <x:v>Email</x:v>
      </x:c>
      <x:c r="H1938" s="2" t="str">
        <x:v>Boarded</x:v>
      </x:c>
      <x:c r="I1938" s="8" t="n">
        <x:v>46303.24243055556</x:v>
      </x:c>
      <x:c r="J1938" s="8" t="n">
        <x:v>46303.24245370371</x:v>
      </x:c>
      <x:c r="K1938" s="8" t="n">
        <x:v>46303.24248842593</x:v>
      </x:c>
      <x:c r="L1938" s="2" t="str">
        <x:v>Sent</x:v>
      </x:c>
      <x:c r="M1938" s="2" t="n">
        <x:v>1</x:v>
      </x:c>
      <x:c r="N1938" s="2"/>
      <x:c r="O1938" s="2"/>
    </x:row>
    <x:row r="1939" ht="21" customHeight="1">
      <x:c r="A1939" s="2" t="str">
        <x:v>NT001938</x:v>
      </x:c>
      <x:c r="B1939" s="2" t="str">
        <x:v>EV001940</x:v>
      </x:c>
      <x:c r="C1939" s="2" t="str">
        <x:v>T20261008-1-1</x:v>
      </x:c>
      <x:c r="D1939" s="2" t="str">
        <x:v>ST013</x:v>
      </x:c>
      <x:c r="E1939" s="2" t="str">
        <x:v>G013</x:v>
      </x:c>
      <x:c r="F1939" s="2" t="str">
        <x:v>guardian013@example.invalid</x:v>
      </x:c>
      <x:c r="G1939" s="2" t="str">
        <x:v>Email</x:v>
      </x:c>
      <x:c r="H1939" s="2" t="str">
        <x:v>School receipt</x:v>
      </x:c>
      <x:c r="I1939" s="8" t="n">
        <x:v>46303.27680555556</x:v>
      </x:c>
      <x:c r="J1939" s="8" t="n">
        <x:v>46303.2768287037</x:v>
      </x:c>
      <x:c r="K1939" s="8" t="n">
        <x:v>46303.27686342593</x:v>
      </x:c>
      <x:c r="L1939" s="2" t="str">
        <x:v>Sent</x:v>
      </x:c>
      <x:c r="M1939" s="2" t="n">
        <x:v>1</x:v>
      </x:c>
      <x:c r="N1939" s="2"/>
      <x:c r="O1939" s="2"/>
    </x:row>
    <x:row r="1940" ht="21" customHeight="1">
      <x:c r="A1940" s="2" t="str">
        <x:v>NT001939</x:v>
      </x:c>
      <x:c r="B1940" s="2" t="str">
        <x:v>EV001941</x:v>
      </x:c>
      <x:c r="C1940" s="2" t="str">
        <x:v>T20261008-1-1</x:v>
      </x:c>
      <x:c r="D1940" s="2" t="str">
        <x:v>ST014</x:v>
      </x:c>
      <x:c r="E1940" s="2" t="str">
        <x:v>G014</x:v>
      </x:c>
      <x:c r="F1940" s="2" t="str">
        <x:v>guardian014@example.invalid</x:v>
      </x:c>
      <x:c r="G1940" s="2" t="str">
        <x:v>Email</x:v>
      </x:c>
      <x:c r="H1940" s="2" t="str">
        <x:v>Boarded</x:v>
      </x:c>
      <x:c r="I1940" s="8" t="n">
        <x:v>46303.24732638889</x:v>
      </x:c>
      <x:c r="J1940" s="8" t="n">
        <x:v>46303.247349537036</x:v>
      </x:c>
      <x:c r="K1940" s="8" t="n">
        <x:v>46303.24738425926</x:v>
      </x:c>
      <x:c r="L1940" s="2" t="str">
        <x:v>Sent</x:v>
      </x:c>
      <x:c r="M1940" s="2" t="n">
        <x:v>1</x:v>
      </x:c>
      <x:c r="N1940" s="2"/>
      <x:c r="O1940" s="2"/>
    </x:row>
    <x:row r="1941" ht="21" customHeight="1">
      <x:c r="A1941" s="2" t="str">
        <x:v>NT001940</x:v>
      </x:c>
      <x:c r="B1941" s="2" t="str">
        <x:v>EV001942</x:v>
      </x:c>
      <x:c r="C1941" s="2" t="str">
        <x:v>T20261008-1-1</x:v>
      </x:c>
      <x:c r="D1941" s="2" t="str">
        <x:v>ST014</x:v>
      </x:c>
      <x:c r="E1941" s="2" t="str">
        <x:v>G014</x:v>
      </x:c>
      <x:c r="F1941" s="2" t="str">
        <x:v>guardian014@example.invalid</x:v>
      </x:c>
      <x:c r="G1941" s="2" t="str">
        <x:v>Email</x:v>
      </x:c>
      <x:c r="H1941" s="2" t="str">
        <x:v>School receipt</x:v>
      </x:c>
      <x:c r="I1941" s="8" t="n">
        <x:v>46303.27684027777</x:v>
      </x:c>
      <x:c r="J1941" s="8" t="n">
        <x:v>46303.27686342592</x:v>
      </x:c>
      <x:c r="K1941" s="8" t="n">
        <x:v>46303.27689814814</x:v>
      </x:c>
      <x:c r="L1941" s="2" t="str">
        <x:v>Sent</x:v>
      </x:c>
      <x:c r="M1941" s="2" t="n">
        <x:v>1</x:v>
      </x:c>
      <x:c r="N1941" s="2"/>
      <x:c r="O1941" s="2"/>
    </x:row>
    <x:row r="1942" ht="21" customHeight="1">
      <x:c r="A1942" s="2" t="str">
        <x:v>NT001941</x:v>
      </x:c>
      <x:c r="B1942" s="2" t="str">
        <x:v>EV001943</x:v>
      </x:c>
      <x:c r="C1942" s="2" t="str">
        <x:v>T20261008-1-1</x:v>
      </x:c>
      <x:c r="D1942" s="2" t="str">
        <x:v>ST015</x:v>
      </x:c>
      <x:c r="E1942" s="2" t="str">
        <x:v>G015</x:v>
      </x:c>
      <x:c r="F1942" s="2" t="str">
        <x:v>guardian015@example.invalid</x:v>
      </x:c>
      <x:c r="G1942" s="2" t="str">
        <x:v>Email</x:v>
      </x:c>
      <x:c r="H1942" s="2" t="str">
        <x:v>Boarded</x:v>
      </x:c>
      <x:c r="I1942" s="8" t="n">
        <x:v>46303.252222222225</x:v>
      </x:c>
      <x:c r="J1942" s="8" t="n">
        <x:v>46303.25224537037</x:v>
      </x:c>
      <x:c r="K1942" s="8" t="n">
        <x:v>46303.252280092594</x:v>
      </x:c>
      <x:c r="L1942" s="2" t="str">
        <x:v>Sent</x:v>
      </x:c>
      <x:c r="M1942" s="2" t="n">
        <x:v>1</x:v>
      </x:c>
      <x:c r="N1942" s="2"/>
      <x:c r="O1942" s="2"/>
    </x:row>
    <x:row r="1943" ht="21" customHeight="1">
      <x:c r="A1943" s="2" t="str">
        <x:v>NT001942</x:v>
      </x:c>
      <x:c r="B1943" s="2" t="str">
        <x:v>EV001944</x:v>
      </x:c>
      <x:c r="C1943" s="2" t="str">
        <x:v>T20261008-1-1</x:v>
      </x:c>
      <x:c r="D1943" s="2" t="str">
        <x:v>ST015</x:v>
      </x:c>
      <x:c r="E1943" s="2" t="str">
        <x:v>G015</x:v>
      </x:c>
      <x:c r="F1943" s="2" t="str">
        <x:v>guardian015@example.invalid</x:v>
      </x:c>
      <x:c r="G1943" s="2" t="str">
        <x:v>Email</x:v>
      </x:c>
      <x:c r="H1943" s="2" t="str">
        <x:v>School receipt</x:v>
      </x:c>
      <x:c r="I1943" s="8" t="n">
        <x:v>46303.276874999996</x:v>
      </x:c>
      <x:c r="J1943" s="8" t="n">
        <x:v>46303.27689814814</x:v>
      </x:c>
      <x:c r="K1943" s="8" t="n">
        <x:v>46303.276932870365</x:v>
      </x:c>
      <x:c r="L1943" s="2" t="str">
        <x:v>Sent</x:v>
      </x:c>
      <x:c r="M1943" s="2" t="n">
        <x:v>1</x:v>
      </x:c>
      <x:c r="N1943" s="2"/>
      <x:c r="O1943" s="2"/>
    </x:row>
    <x:row r="1944" ht="21" customHeight="1">
      <x:c r="A1944" s="2" t="str">
        <x:v>NT001943</x:v>
      </x:c>
      <x:c r="B1944" s="2" t="str">
        <x:v>EV001945</x:v>
      </x:c>
      <x:c r="C1944" s="2" t="str">
        <x:v>T20261008-1-1</x:v>
      </x:c>
      <x:c r="D1944" s="2" t="str">
        <x:v>ST016</x:v>
      </x:c>
      <x:c r="E1944" s="2" t="str">
        <x:v>G016</x:v>
      </x:c>
      <x:c r="F1944" s="2" t="str">
        <x:v>guardian016@example.invalid</x:v>
      </x:c>
      <x:c r="G1944" s="2" t="str">
        <x:v>Email</x:v>
      </x:c>
      <x:c r="H1944" s="2" t="str">
        <x:v>Boarded</x:v>
      </x:c>
      <x:c r="I1944" s="8" t="n">
        <x:v>46303.24253472222</x:v>
      </x:c>
      <x:c r="J1944" s="8" t="n">
        <x:v>46303.24255787037</x:v>
      </x:c>
      <x:c r="K1944" s="8" t="n">
        <x:v>46303.24259259259</x:v>
      </x:c>
      <x:c r="L1944" s="2" t="str">
        <x:v>Sent</x:v>
      </x:c>
      <x:c r="M1944" s="2" t="n">
        <x:v>1</x:v>
      </x:c>
      <x:c r="N1944" s="2"/>
      <x:c r="O1944" s="2"/>
    </x:row>
    <x:row r="1945" ht="21" customHeight="1">
      <x:c r="A1945" s="2" t="str">
        <x:v>NT001944</x:v>
      </x:c>
      <x:c r="B1945" s="2" t="str">
        <x:v>EV001946</x:v>
      </x:c>
      <x:c r="C1945" s="2" t="str">
        <x:v>T20261008-1-1</x:v>
      </x:c>
      <x:c r="D1945" s="2" t="str">
        <x:v>ST016</x:v>
      </x:c>
      <x:c r="E1945" s="2" t="str">
        <x:v>G016</x:v>
      </x:c>
      <x:c r="F1945" s="2" t="str">
        <x:v>guardian016@example.invalid</x:v>
      </x:c>
      <x:c r="G1945" s="2" t="str">
        <x:v>Email</x:v>
      </x:c>
      <x:c r="H1945" s="2" t="str">
        <x:v>School receipt</x:v>
      </x:c>
      <x:c r="I1945" s="8" t="n">
        <x:v>46303.27690972222</x:v>
      </x:c>
      <x:c r="J1945" s="8" t="n">
        <x:v>46303.276932870365</x:v>
      </x:c>
      <x:c r="K1945" s="8" t="n">
        <x:v>46303.27696759259</x:v>
      </x:c>
      <x:c r="L1945" s="2" t="str">
        <x:v>Sent</x:v>
      </x:c>
      <x:c r="M1945" s="2" t="n">
        <x:v>1</x:v>
      </x:c>
      <x:c r="N1945" s="2"/>
      <x:c r="O1945" s="2"/>
    </x:row>
    <x:row r="1946" ht="21" customHeight="1">
      <x:c r="A1946" s="2" t="str">
        <x:v>NT001945</x:v>
      </x:c>
      <x:c r="B1946" s="2" t="str">
        <x:v>EV001947</x:v>
      </x:c>
      <x:c r="C1946" s="2" t="str">
        <x:v>T20261008-1-1</x:v>
      </x:c>
      <x:c r="D1946" s="2" t="str">
        <x:v>ST017</x:v>
      </x:c>
      <x:c r="E1946" s="2" t="str">
        <x:v>G017</x:v>
      </x:c>
      <x:c r="F1946" s="2" t="str">
        <x:v>guardian017@example.invalid</x:v>
      </x:c>
      <x:c r="G1946" s="2" t="str">
        <x:v>Email</x:v>
      </x:c>
      <x:c r="H1946" s="2" t="str">
        <x:v>Boarded</x:v>
      </x:c>
      <x:c r="I1946" s="8" t="n">
        <x:v>46303.24743055555</x:v>
      </x:c>
      <x:c r="J1946" s="8" t="n">
        <x:v>46303.2474537037</x:v>
      </x:c>
      <x:c r="K1946" s="8" t="n">
        <x:v>46303.24748842592</x:v>
      </x:c>
      <x:c r="L1946" s="2" t="str">
        <x:v>Sent</x:v>
      </x:c>
      <x:c r="M1946" s="2" t="n">
        <x:v>1</x:v>
      </x:c>
      <x:c r="N1946" s="2"/>
      <x:c r="O1946" s="2"/>
    </x:row>
    <x:row r="1947" ht="21" customHeight="1">
      <x:c r="A1947" s="2" t="str">
        <x:v>NT001946</x:v>
      </x:c>
      <x:c r="B1947" s="2" t="str">
        <x:v>EV001948</x:v>
      </x:c>
      <x:c r="C1947" s="2" t="str">
        <x:v>T20261008-1-1</x:v>
      </x:c>
      <x:c r="D1947" s="2" t="str">
        <x:v>ST017</x:v>
      </x:c>
      <x:c r="E1947" s="2" t="str">
        <x:v>G017</x:v>
      </x:c>
      <x:c r="F1947" s="2" t="str">
        <x:v>guardian017@example.invalid</x:v>
      </x:c>
      <x:c r="G1947" s="2" t="str">
        <x:v>Email</x:v>
      </x:c>
      <x:c r="H1947" s="2" t="str">
        <x:v>School receipt</x:v>
      </x:c>
      <x:c r="I1947" s="8" t="n">
        <x:v>46303.27694444444</x:v>
      </x:c>
      <x:c r="J1947" s="8" t="n">
        <x:v>46303.27696759259</x:v>
      </x:c>
      <x:c r="K1947" s="8" t="n">
        <x:v>46303.27700231481</x:v>
      </x:c>
      <x:c r="L1947" s="2" t="str">
        <x:v>Sent</x:v>
      </x:c>
      <x:c r="M1947" s="2" t="n">
        <x:v>1</x:v>
      </x:c>
      <x:c r="N1947" s="2"/>
      <x:c r="O1947" s="2"/>
    </x:row>
    <x:row r="1948" ht="21" customHeight="1">
      <x:c r="A1948" s="2" t="str">
        <x:v>NT001947</x:v>
      </x:c>
      <x:c r="B1948" s="2" t="str">
        <x:v>EV001949</x:v>
      </x:c>
      <x:c r="C1948" s="2" t="str">
        <x:v>T20261008-1-1</x:v>
      </x:c>
      <x:c r="D1948" s="2" t="str">
        <x:v>ST018</x:v>
      </x:c>
      <x:c r="E1948" s="2" t="str">
        <x:v>G018</x:v>
      </x:c>
      <x:c r="F1948" s="2" t="str">
        <x:v>guardian018@example.invalid</x:v>
      </x:c>
      <x:c r="G1948" s="2" t="str">
        <x:v>Email</x:v>
      </x:c>
      <x:c r="H1948" s="2" t="str">
        <x:v>Boarded</x:v>
      </x:c>
      <x:c r="I1948" s="8" t="n">
        <x:v>46303.25232638889</x:v>
      </x:c>
      <x:c r="J1948" s="8" t="n">
        <x:v>46303.25234953703</x:v>
      </x:c>
      <x:c r="K1948" s="8" t="n">
        <x:v>46303.252384259256</x:v>
      </x:c>
      <x:c r="L1948" s="2" t="str">
        <x:v>Sent</x:v>
      </x:c>
      <x:c r="M1948" s="2" t="n">
        <x:v>1</x:v>
      </x:c>
      <x:c r="N1948" s="2"/>
      <x:c r="O1948" s="2"/>
    </x:row>
    <x:row r="1949" ht="21" customHeight="1">
      <x:c r="A1949" s="2" t="str">
        <x:v>NT001948</x:v>
      </x:c>
      <x:c r="B1949" s="2" t="str">
        <x:v>EV001950</x:v>
      </x:c>
      <x:c r="C1949" s="2" t="str">
        <x:v>T20261008-1-1</x:v>
      </x:c>
      <x:c r="D1949" s="2" t="str">
        <x:v>ST018</x:v>
      </x:c>
      <x:c r="E1949" s="2" t="str">
        <x:v>G018</x:v>
      </x:c>
      <x:c r="F1949" s="2" t="str">
        <x:v>guardian018@example.invalid</x:v>
      </x:c>
      <x:c r="G1949" s="2" t="str">
        <x:v>Email</x:v>
      </x:c>
      <x:c r="H1949" s="2" t="str">
        <x:v>School receipt</x:v>
      </x:c>
      <x:c r="I1949" s="8" t="n">
        <x:v>46303.276979166665</x:v>
      </x:c>
      <x:c r="J1949" s="8" t="n">
        <x:v>46303.27700231481</x:v>
      </x:c>
      <x:c r="K1949" s="8" t="n">
        <x:v>46303.277037037034</x:v>
      </x:c>
      <x:c r="L1949" s="2" t="str">
        <x:v>Sent</x:v>
      </x:c>
      <x:c r="M1949" s="2" t="n">
        <x:v>1</x:v>
      </x:c>
      <x:c r="N1949" s="2"/>
      <x:c r="O1949" s="2"/>
    </x:row>
    <x:row r="1950" ht="21" customHeight="1">
      <x:c r="A1950" s="2" t="str">
        <x:v>NT001949</x:v>
      </x:c>
      <x:c r="B1950" s="2" t="str">
        <x:v>EV001951</x:v>
      </x:c>
      <x:c r="C1950" s="2" t="str">
        <x:v>T20261008-1-1</x:v>
      </x:c>
      <x:c r="D1950" s="2" t="str">
        <x:v>ST019</x:v>
      </x:c>
      <x:c r="E1950" s="2" t="str">
        <x:v>G019</x:v>
      </x:c>
      <x:c r="F1950" s="2" t="str">
        <x:v>guardian019@example.invalid</x:v>
      </x:c>
      <x:c r="G1950" s="2" t="str">
        <x:v>Email</x:v>
      </x:c>
      <x:c r="H1950" s="2" t="str">
        <x:v>Boarded</x:v>
      </x:c>
      <x:c r="I1950" s="8" t="n">
        <x:v>46303.24263888889</x:v>
      </x:c>
      <x:c r="J1950" s="8" t="n">
        <x:v>46303.24266203704</x:v>
      </x:c>
      <x:c r="K1950" s="8" t="n">
        <x:v>46303.24269675926</x:v>
      </x:c>
      <x:c r="L1950" s="2" t="str">
        <x:v>Sent</x:v>
      </x:c>
      <x:c r="M1950" s="2" t="n">
        <x:v>1</x:v>
      </x:c>
      <x:c r="N1950" s="2"/>
      <x:c r="O1950" s="2"/>
    </x:row>
    <x:row r="1951" ht="21" customHeight="1">
      <x:c r="A1951" s="2" t="str">
        <x:v>NT001950</x:v>
      </x:c>
      <x:c r="B1951" s="2" t="str">
        <x:v>EV001952</x:v>
      </x:c>
      <x:c r="C1951" s="2" t="str">
        <x:v>T20261008-1-1</x:v>
      </x:c>
      <x:c r="D1951" s="2" t="str">
        <x:v>ST019</x:v>
      </x:c>
      <x:c r="E1951" s="2" t="str">
        <x:v>G019</x:v>
      </x:c>
      <x:c r="F1951" s="2" t="str">
        <x:v>guardian019@example.invalid</x:v>
      </x:c>
      <x:c r="G1951" s="2" t="str">
        <x:v>Email</x:v>
      </x:c>
      <x:c r="H1951" s="2" t="str">
        <x:v>School receipt</x:v>
      </x:c>
      <x:c r="I1951" s="8" t="n">
        <x:v>46303.27701388889</x:v>
      </x:c>
      <x:c r="J1951" s="8" t="n">
        <x:v>46303.277037037034</x:v>
      </x:c>
      <x:c r="K1951" s="8" t="n">
        <x:v>46303.27707175926</x:v>
      </x:c>
      <x:c r="L1951" s="2" t="str">
        <x:v>Sent</x:v>
      </x:c>
      <x:c r="M1951" s="2" t="n">
        <x:v>1</x:v>
      </x:c>
      <x:c r="N1951" s="2"/>
      <x:c r="O1951" s="2"/>
    </x:row>
    <x:row r="1952" ht="21" customHeight="1">
      <x:c r="A1952" s="2" t="str">
        <x:v>NT001951</x:v>
      </x:c>
      <x:c r="B1952" s="2" t="str">
        <x:v>EV001953</x:v>
      </x:c>
      <x:c r="C1952" s="2" t="str">
        <x:v>T20261008-1-1</x:v>
      </x:c>
      <x:c r="D1952" s="2" t="str">
        <x:v>ST020</x:v>
      </x:c>
      <x:c r="E1952" s="2" t="str">
        <x:v>G020</x:v>
      </x:c>
      <x:c r="F1952" s="2" t="str">
        <x:v>guardian020@example.invalid</x:v>
      </x:c>
      <x:c r="G1952" s="2" t="str">
        <x:v>Email</x:v>
      </x:c>
      <x:c r="H1952" s="2" t="str">
        <x:v>Boarded</x:v>
      </x:c>
      <x:c r="I1952" s="8" t="n">
        <x:v>46303.24753472222</x:v>
      </x:c>
      <x:c r="J1952" s="8" t="n">
        <x:v>46303.24755787037</x:v>
      </x:c>
      <x:c r="K1952" s="8" t="n">
        <x:v>46303.24759259259</x:v>
      </x:c>
      <x:c r="L1952" s="2" t="str">
        <x:v>Sent</x:v>
      </x:c>
      <x:c r="M1952" s="2" t="n">
        <x:v>1</x:v>
      </x:c>
      <x:c r="N1952" s="2"/>
      <x:c r="O1952" s="2"/>
    </x:row>
    <x:row r="1953" ht="21" customHeight="1">
      <x:c r="A1953" s="2" t="str">
        <x:v>NT001952</x:v>
      </x:c>
      <x:c r="B1953" s="2" t="str">
        <x:v>EV001954</x:v>
      </x:c>
      <x:c r="C1953" s="2" t="str">
        <x:v>T20261008-1-1</x:v>
      </x:c>
      <x:c r="D1953" s="2" t="str">
        <x:v>ST020</x:v>
      </x:c>
      <x:c r="E1953" s="2" t="str">
        <x:v>G020</x:v>
      </x:c>
      <x:c r="F1953" s="2" t="str">
        <x:v>guardian020@example.invalid</x:v>
      </x:c>
      <x:c r="G1953" s="2" t="str">
        <x:v>Email</x:v>
      </x:c>
      <x:c r="H1953" s="2" t="str">
        <x:v>School receipt</x:v>
      </x:c>
      <x:c r="I1953" s="8" t="n">
        <x:v>46303.27704861111</x:v>
      </x:c>
      <x:c r="J1953" s="8" t="n">
        <x:v>46303.27707175926</x:v>
      </x:c>
      <x:c r="K1953" s="8" t="n">
        <x:v>46303.27710648148</x:v>
      </x:c>
      <x:c r="L1953" s="2" t="str">
        <x:v>Sent</x:v>
      </x:c>
      <x:c r="M1953" s="2" t="n">
        <x:v>1</x:v>
      </x:c>
      <x:c r="N1953" s="2"/>
      <x:c r="O1953" s="2"/>
    </x:row>
    <x:row r="1954" ht="21" customHeight="1">
      <x:c r="A1954" s="2" t="str">
        <x:v>NT001953</x:v>
      </x:c>
      <x:c r="B1954" s="2" t="str">
        <x:v>EV001955</x:v>
      </x:c>
      <x:c r="C1954" s="2" t="str">
        <x:v>T20261008-2-1</x:v>
      </x:c>
      <x:c r="D1954" s="2" t="str">
        <x:v>ST001</x:v>
      </x:c>
      <x:c r="E1954" s="2" t="str">
        <x:v>G001</x:v>
      </x:c>
      <x:c r="F1954" s="2" t="str">
        <x:v>guardian001@example.invalid</x:v>
      </x:c>
      <x:c r="G1954" s="2" t="str">
        <x:v>Email</x:v>
      </x:c>
      <x:c r="H1954" s="2" t="str">
        <x:v>Boarded</x:v>
      </x:c>
      <x:c r="I1954" s="8" t="n">
        <x:v>46303.4375</x:v>
      </x:c>
      <x:c r="J1954" s="8" t="n">
        <x:v>46303.437523148146</x:v>
      </x:c>
      <x:c r="K1954" s="8" t="n">
        <x:v>46303.43755787037</x:v>
      </x:c>
      <x:c r="L1954" s="2" t="str">
        <x:v>Sent</x:v>
      </x:c>
      <x:c r="M1954" s="2" t="n">
        <x:v>1</x:v>
      </x:c>
      <x:c r="N1954" s="2"/>
      <x:c r="O1954" s="2"/>
    </x:row>
    <x:row r="1955" ht="21" customHeight="1">
      <x:c r="A1955" s="2" t="str">
        <x:v>NT001954</x:v>
      </x:c>
      <x:c r="B1955" s="2" t="str">
        <x:v>EV001956</x:v>
      </x:c>
      <x:c r="C1955" s="2" t="str">
        <x:v>T20261008-2-1</x:v>
      </x:c>
      <x:c r="D1955" s="2" t="str">
        <x:v>ST001</x:v>
      </x:c>
      <x:c r="E1955" s="2" t="str">
        <x:v>G001</x:v>
      </x:c>
      <x:c r="F1955" s="2" t="str">
        <x:v>guardian001@example.invalid</x:v>
      </x:c>
      <x:c r="G1955" s="2" t="str">
        <x:v>Email</x:v>
      </x:c>
      <x:c r="H1955" s="2" t="str">
        <x:v>Authorized release</x:v>
      </x:c>
      <x:c r="I1955" s="8" t="n">
        <x:v>46303.44930555555</x:v>
      </x:c>
      <x:c r="J1955" s="8" t="n">
        <x:v>46303.4493287037</x:v>
      </x:c>
      <x:c r="K1955" s="8" t="n">
        <x:v>46303.44936342592</x:v>
      </x:c>
      <x:c r="L1955" s="2" t="str">
        <x:v>Sent</x:v>
      </x:c>
      <x:c r="M1955" s="2" t="n">
        <x:v>1</x:v>
      </x:c>
      <x:c r="N1955" s="2"/>
      <x:c r="O1955" s="2"/>
    </x:row>
    <x:row r="1956" ht="21" customHeight="1">
      <x:c r="A1956" s="2" t="str">
        <x:v>NT001955</x:v>
      </x:c>
      <x:c r="B1956" s="2" t="str">
        <x:v>EV001957</x:v>
      </x:c>
      <x:c r="C1956" s="2" t="str">
        <x:v>T20261008-2-1</x:v>
      </x:c>
      <x:c r="D1956" s="2" t="str">
        <x:v>ST002</x:v>
      </x:c>
      <x:c r="E1956" s="2" t="str">
        <x:v>G002</x:v>
      </x:c>
      <x:c r="F1956" s="2" t="str">
        <x:v>guardian002@example.invalid</x:v>
      </x:c>
      <x:c r="G1956" s="2" t="str">
        <x:v>Email</x:v>
      </x:c>
      <x:c r="H1956" s="2" t="str">
        <x:v>Boarded</x:v>
      </x:c>
      <x:c r="I1956" s="8" t="n">
        <x:v>46303.43753472222</x:v>
      </x:c>
      <x:c r="J1956" s="8" t="n">
        <x:v>46303.43755787037</x:v>
      </x:c>
      <x:c r="K1956" s="8" t="n">
        <x:v>46303.43759259259</x:v>
      </x:c>
      <x:c r="L1956" s="2" t="str">
        <x:v>Sent</x:v>
      </x:c>
      <x:c r="M1956" s="2" t="n">
        <x:v>1</x:v>
      </x:c>
      <x:c r="N1956" s="2"/>
      <x:c r="O1956" s="2"/>
    </x:row>
    <x:row r="1957" ht="21" customHeight="1">
      <x:c r="A1957" s="2" t="str">
        <x:v>NT001956</x:v>
      </x:c>
      <x:c r="B1957" s="2" t="str">
        <x:v>EV001958</x:v>
      </x:c>
      <x:c r="C1957" s="2" t="str">
        <x:v>T20261008-2-1</x:v>
      </x:c>
      <x:c r="D1957" s="2" t="str">
        <x:v>ST002</x:v>
      </x:c>
      <x:c r="E1957" s="2" t="str">
        <x:v>G002</x:v>
      </x:c>
      <x:c r="F1957" s="2" t="str">
        <x:v>guardian002@example.invalid</x:v>
      </x:c>
      <x:c r="G1957" s="2" t="str">
        <x:v>Email</x:v>
      </x:c>
      <x:c r="H1957" s="2" t="str">
        <x:v>Authorized release</x:v>
      </x:c>
      <x:c r="I1957" s="8" t="n">
        <x:v>46303.45350694445</x:v>
      </x:c>
      <x:c r="J1957" s="8" t="n">
        <x:v>46303.45353009259</x:v>
      </x:c>
      <x:c r="K1957" s="8" t="n">
        <x:v>46303.453564814816</x:v>
      </x:c>
      <x:c r="L1957" s="2" t="str">
        <x:v>Sent</x:v>
      </x:c>
      <x:c r="M1957" s="2" t="n">
        <x:v>1</x:v>
      </x:c>
      <x:c r="N1957" s="2"/>
      <x:c r="O1957" s="2"/>
    </x:row>
    <x:row r="1958" ht="21" customHeight="1">
      <x:c r="A1958" s="2" t="str">
        <x:v>NT001957</x:v>
      </x:c>
      <x:c r="B1958" s="2" t="str">
        <x:v>EV001959</x:v>
      </x:c>
      <x:c r="C1958" s="2" t="str">
        <x:v>T20261008-2-1</x:v>
      </x:c>
      <x:c r="D1958" s="2" t="str">
        <x:v>ST003</x:v>
      </x:c>
      <x:c r="E1958" s="2" t="str">
        <x:v>G003</x:v>
      </x:c>
      <x:c r="F1958" s="2" t="str">
        <x:v>guardian003@example.invalid</x:v>
      </x:c>
      <x:c r="G1958" s="2" t="str">
        <x:v>Email</x:v>
      </x:c>
      <x:c r="H1958" s="2" t="str">
        <x:v>Boarded</x:v>
      </x:c>
      <x:c r="I1958" s="8" t="n">
        <x:v>46303.437569444446</x:v>
      </x:c>
      <x:c r="J1958" s="8" t="n">
        <x:v>46303.43759259259</x:v>
      </x:c>
      <x:c r="K1958" s="8" t="n">
        <x:v>46303.437627314815</x:v>
      </x:c>
      <x:c r="L1958" s="2" t="str">
        <x:v>Sent</x:v>
      </x:c>
      <x:c r="M1958" s="2" t="n">
        <x:v>1</x:v>
      </x:c>
      <x:c r="N1958" s="2"/>
      <x:c r="O1958" s="2"/>
    </x:row>
    <x:row r="1959" ht="21" customHeight="1">
      <x:c r="A1959" s="2" t="str">
        <x:v>NT001958</x:v>
      </x:c>
      <x:c r="B1959" s="2" t="str">
        <x:v>EV001960</x:v>
      </x:c>
      <x:c r="C1959" s="2" t="str">
        <x:v>T20261008-2-1</x:v>
      </x:c>
      <x:c r="D1959" s="2" t="str">
        <x:v>ST003</x:v>
      </x:c>
      <x:c r="E1959" s="2" t="str">
        <x:v>G003</x:v>
      </x:c>
      <x:c r="F1959" s="2" t="str">
        <x:v>guardian003@example.invalid</x:v>
      </x:c>
      <x:c r="G1959" s="2" t="str">
        <x:v>Email</x:v>
      </x:c>
      <x:c r="H1959" s="2" t="str">
        <x:v>Authorized release</x:v>
      </x:c>
      <x:c r="I1959" s="8" t="n">
        <x:v>46303.457708333335</x:v>
      </x:c>
      <x:c r="J1959" s="8" t="n">
        <x:v>46303.45773148148</x:v>
      </x:c>
      <x:c r="K1959" s="8" t="n">
        <x:v>46303.457766203705</x:v>
      </x:c>
      <x:c r="L1959" s="2" t="str">
        <x:v>Sent</x:v>
      </x:c>
      <x:c r="M1959" s="2" t="n">
        <x:v>1</x:v>
      </x:c>
      <x:c r="N1959" s="2"/>
      <x:c r="O1959" s="2"/>
    </x:row>
    <x:row r="1960" ht="21" customHeight="1">
      <x:c r="A1960" s="2" t="str">
        <x:v>NT001959</x:v>
      </x:c>
      <x:c r="B1960" s="2" t="str">
        <x:v>EV001961</x:v>
      </x:c>
      <x:c r="C1960" s="2" t="str">
        <x:v>T20261008-2-1</x:v>
      </x:c>
      <x:c r="D1960" s="2" t="str">
        <x:v>ST004</x:v>
      </x:c>
      <x:c r="E1960" s="2" t="str">
        <x:v>G004</x:v>
      </x:c>
      <x:c r="F1960" s="2" t="str">
        <x:v>guardian004@example.invalid</x:v>
      </x:c>
      <x:c r="G1960" s="2" t="str">
        <x:v>Email</x:v>
      </x:c>
      <x:c r="H1960" s="2" t="str">
        <x:v>Boarded</x:v>
      </x:c>
      <x:c r="I1960" s="8" t="n">
        <x:v>46303.43760416667</x:v>
      </x:c>
      <x:c r="J1960" s="8" t="n">
        <x:v>46303.437627314815</x:v>
      </x:c>
      <x:c r="K1960" s="8" t="n">
        <x:v>46303.43766203704</x:v>
      </x:c>
      <x:c r="L1960" s="2" t="str">
        <x:v>Sent</x:v>
      </x:c>
      <x:c r="M1960" s="2" t="n">
        <x:v>1</x:v>
      </x:c>
      <x:c r="N1960" s="2"/>
      <x:c r="O1960" s="2"/>
    </x:row>
    <x:row r="1961" ht="21" customHeight="1">
      <x:c r="A1961" s="2" t="str">
        <x:v>NT001960</x:v>
      </x:c>
      <x:c r="B1961" s="2" t="str">
        <x:v>EV001962</x:v>
      </x:c>
      <x:c r="C1961" s="2" t="str">
        <x:v>T20261008-2-1</x:v>
      </x:c>
      <x:c r="D1961" s="2" t="str">
        <x:v>ST004</x:v>
      </x:c>
      <x:c r="E1961" s="2" t="str">
        <x:v>G004</x:v>
      </x:c>
      <x:c r="F1961" s="2" t="str">
        <x:v>guardian004@example.invalid</x:v>
      </x:c>
      <x:c r="G1961" s="2" t="str">
        <x:v>Email</x:v>
      </x:c>
      <x:c r="H1961" s="2" t="str">
        <x:v>Authorized release</x:v>
      </x:c>
      <x:c r="I1961" s="8" t="n">
        <x:v>46303.44940972222</x:v>
      </x:c>
      <x:c r="J1961" s="8" t="n">
        <x:v>46303.449432870366</x:v>
      </x:c>
      <x:c r="K1961" s="8" t="n">
        <x:v>46303.44946759259</x:v>
      </x:c>
      <x:c r="L1961" s="2" t="str">
        <x:v>Sent</x:v>
      </x:c>
      <x:c r="M1961" s="2" t="n">
        <x:v>1</x:v>
      </x:c>
      <x:c r="N1961" s="2"/>
      <x:c r="O1961" s="2"/>
    </x:row>
    <x:row r="1962" ht="21" customHeight="1">
      <x:c r="A1962" s="2" t="str">
        <x:v>NT001961</x:v>
      </x:c>
      <x:c r="B1962" s="2" t="str">
        <x:v>EV001963</x:v>
      </x:c>
      <x:c r="C1962" s="2" t="str">
        <x:v>T20261008-2-1</x:v>
      </x:c>
      <x:c r="D1962" s="2" t="str">
        <x:v>ST005</x:v>
      </x:c>
      <x:c r="E1962" s="2" t="str">
        <x:v>G005</x:v>
      </x:c>
      <x:c r="F1962" s="2" t="str">
        <x:v>guardian005@example.invalid</x:v>
      </x:c>
      <x:c r="G1962" s="2" t="str">
        <x:v>Email</x:v>
      </x:c>
      <x:c r="H1962" s="2" t="str">
        <x:v>Boarded</x:v>
      </x:c>
      <x:c r="I1962" s="8" t="n">
        <x:v>46303.43763888889</x:v>
      </x:c>
      <x:c r="J1962" s="8" t="n">
        <x:v>46303.43766203704</x:v>
      </x:c>
      <x:c r="K1962" s="8" t="n">
        <x:v>46303.43769675926</x:v>
      </x:c>
      <x:c r="L1962" s="2" t="str">
        <x:v>Sent</x:v>
      </x:c>
      <x:c r="M1962" s="2" t="n">
        <x:v>1</x:v>
      </x:c>
      <x:c r="N1962" s="2"/>
      <x:c r="O1962" s="2"/>
    </x:row>
    <x:row r="1963" ht="21" customHeight="1">
      <x:c r="A1963" s="2" t="str">
        <x:v>NT001962</x:v>
      </x:c>
      <x:c r="B1963" s="2" t="str">
        <x:v>EV001964</x:v>
      </x:c>
      <x:c r="C1963" s="2" t="str">
        <x:v>T20261008-2-1</x:v>
      </x:c>
      <x:c r="D1963" s="2" t="str">
        <x:v>ST005</x:v>
      </x:c>
      <x:c r="E1963" s="2" t="str">
        <x:v>G005</x:v>
      </x:c>
      <x:c r="F1963" s="2" t="str">
        <x:v>guardian005@example.invalid</x:v>
      </x:c>
      <x:c r="G1963" s="2" t="str">
        <x:v>Email</x:v>
      </x:c>
      <x:c r="H1963" s="2" t="str">
        <x:v>Authorized release</x:v>
      </x:c>
      <x:c r="I1963" s="8" t="n">
        <x:v>46303.453611111116</x:v>
      </x:c>
      <x:c r="J1963" s="8" t="n">
        <x:v>46303.45363425926</x:v>
      </x:c>
      <x:c r="K1963" s="8" t="n">
        <x:v>46303.453668981485</x:v>
      </x:c>
      <x:c r="L1963" s="2" t="str">
        <x:v>Sent</x:v>
      </x:c>
      <x:c r="M1963" s="2" t="n">
        <x:v>1</x:v>
      </x:c>
      <x:c r="N1963" s="2"/>
      <x:c r="O1963" s="2"/>
    </x:row>
    <x:row r="1964" ht="21" customHeight="1">
      <x:c r="A1964" s="2" t="str">
        <x:v>NT001963</x:v>
      </x:c>
      <x:c r="B1964" s="2" t="str">
        <x:v>EV001965</x:v>
      </x:c>
      <x:c r="C1964" s="2" t="str">
        <x:v>T20261008-2-1</x:v>
      </x:c>
      <x:c r="D1964" s="2" t="str">
        <x:v>ST006</x:v>
      </x:c>
      <x:c r="E1964" s="2" t="str">
        <x:v>G006</x:v>
      </x:c>
      <x:c r="F1964" s="2" t="str">
        <x:v>guardian006@example.invalid</x:v>
      </x:c>
      <x:c r="G1964" s="2" t="str">
        <x:v>Email</x:v>
      </x:c>
      <x:c r="H1964" s="2" t="str">
        <x:v>Boarded</x:v>
      </x:c>
      <x:c r="I1964" s="8" t="n">
        <x:v>46303.43767361111</x:v>
      </x:c>
      <x:c r="J1964" s="8" t="n">
        <x:v>46303.437696759254</x:v>
      </x:c>
      <x:c r="K1964" s="8" t="n">
        <x:v>46303.43773148148</x:v>
      </x:c>
      <x:c r="L1964" s="2" t="str">
        <x:v>Sent</x:v>
      </x:c>
      <x:c r="M1964" s="2" t="n">
        <x:v>1</x:v>
      </x:c>
      <x:c r="N1964" s="2"/>
      <x:c r="O1964" s="2"/>
    </x:row>
    <x:row r="1965" ht="21" customHeight="1">
      <x:c r="A1965" s="2" t="str">
        <x:v>NT001964</x:v>
      </x:c>
      <x:c r="B1965" s="2" t="str">
        <x:v>EV001966</x:v>
      </x:c>
      <x:c r="C1965" s="2" t="str">
        <x:v>T20261008-2-1</x:v>
      </x:c>
      <x:c r="D1965" s="2" t="str">
        <x:v>ST006</x:v>
      </x:c>
      <x:c r="E1965" s="2" t="str">
        <x:v>G006</x:v>
      </x:c>
      <x:c r="F1965" s="2" t="str">
        <x:v>guardian006@example.invalid</x:v>
      </x:c>
      <x:c r="G1965" s="2" t="str">
        <x:v>Email</x:v>
      </x:c>
      <x:c r="H1965" s="2" t="str">
        <x:v>Authorized release</x:v>
      </x:c>
      <x:c r="I1965" s="8" t="n">
        <x:v>46303.4578125</x:v>
      </x:c>
      <x:c r="J1965" s="8" t="n">
        <x:v>46303.45783564814</x:v>
      </x:c>
      <x:c r="K1965" s="8" t="n">
        <x:v>46303.45787037037</x:v>
      </x:c>
      <x:c r="L1965" s="2" t="str">
        <x:v>Sent</x:v>
      </x:c>
      <x:c r="M1965" s="2" t="n">
        <x:v>1</x:v>
      </x:c>
      <x:c r="N1965" s="2"/>
      <x:c r="O1965" s="2"/>
    </x:row>
    <x:row r="1966" ht="21" customHeight="1">
      <x:c r="A1966" s="2" t="str">
        <x:v>NT001965</x:v>
      </x:c>
      <x:c r="B1966" s="2" t="str">
        <x:v>EV001967</x:v>
      </x:c>
      <x:c r="C1966" s="2" t="str">
        <x:v>T20261008-2-1</x:v>
      </x:c>
      <x:c r="D1966" s="2" t="str">
        <x:v>ST007</x:v>
      </x:c>
      <x:c r="E1966" s="2" t="str">
        <x:v>G007</x:v>
      </x:c>
      <x:c r="F1966" s="2" t="str">
        <x:v>guardian007@example.invalid</x:v>
      </x:c>
      <x:c r="G1966" s="2" t="str">
        <x:v>Email</x:v>
      </x:c>
      <x:c r="H1966" s="2" t="str">
        <x:v>Boarded</x:v>
      </x:c>
      <x:c r="I1966" s="8" t="n">
        <x:v>46303.43770833333</x:v>
      </x:c>
      <x:c r="J1966" s="8" t="n">
        <x:v>46303.43773148148</x:v>
      </x:c>
      <x:c r="K1966" s="8" t="n">
        <x:v>46303.4377662037</x:v>
      </x:c>
      <x:c r="L1966" s="2" t="str">
        <x:v>Sent</x:v>
      </x:c>
      <x:c r="M1966" s="2" t="n">
        <x:v>1</x:v>
      </x:c>
      <x:c r="N1966" s="2"/>
      <x:c r="O1966" s="2"/>
    </x:row>
    <x:row r="1967" ht="21" customHeight="1">
      <x:c r="A1967" s="2" t="str">
        <x:v>NT001966</x:v>
      </x:c>
      <x:c r="B1967" s="2" t="str">
        <x:v>EV001968</x:v>
      </x:c>
      <x:c r="C1967" s="2" t="str">
        <x:v>T20261008-2-1</x:v>
      </x:c>
      <x:c r="D1967" s="2" t="str">
        <x:v>ST007</x:v>
      </x:c>
      <x:c r="E1967" s="2" t="str">
        <x:v>G007</x:v>
      </x:c>
      <x:c r="F1967" s="2" t="str">
        <x:v>guardian007@example.invalid</x:v>
      </x:c>
      <x:c r="G1967" s="2" t="str">
        <x:v>Email</x:v>
      </x:c>
      <x:c r="H1967" s="2" t="str">
        <x:v>Authorized release</x:v>
      </x:c>
      <x:c r="I1967" s="8" t="n">
        <x:v>46303.44951388888</x:v>
      </x:c>
      <x:c r="J1967" s="8" t="n">
        <x:v>46303.44953703703</x:v>
      </x:c>
      <x:c r="K1967" s="8" t="n">
        <x:v>46303.44957175925</x:v>
      </x:c>
      <x:c r="L1967" s="2" t="str">
        <x:v>Sent</x:v>
      </x:c>
      <x:c r="M1967" s="2" t="n">
        <x:v>1</x:v>
      </x:c>
      <x:c r="N1967" s="2"/>
      <x:c r="O1967" s="2"/>
    </x:row>
    <x:row r="1968" ht="21" customHeight="1">
      <x:c r="A1968" s="2" t="str">
        <x:v>NT001967</x:v>
      </x:c>
      <x:c r="B1968" s="2" t="str">
        <x:v>EV001969</x:v>
      </x:c>
      <x:c r="C1968" s="2" t="str">
        <x:v>T20261008-2-1</x:v>
      </x:c>
      <x:c r="D1968" s="2" t="str">
        <x:v>ST008</x:v>
      </x:c>
      <x:c r="E1968" s="2" t="str">
        <x:v>G008</x:v>
      </x:c>
      <x:c r="F1968" s="2" t="str">
        <x:v>guardian008@example.invalid</x:v>
      </x:c>
      <x:c r="G1968" s="2" t="str">
        <x:v>Email</x:v>
      </x:c>
      <x:c r="H1968" s="2" t="str">
        <x:v>Boarded</x:v>
      </x:c>
      <x:c r="I1968" s="8" t="n">
        <x:v>46303.437743055554</x:v>
      </x:c>
      <x:c r="J1968" s="8" t="n">
        <x:v>46303.4377662037</x:v>
      </x:c>
      <x:c r="K1968" s="8" t="n">
        <x:v>46303.43780092592</x:v>
      </x:c>
      <x:c r="L1968" s="2" t="str">
        <x:v>Sent</x:v>
      </x:c>
      <x:c r="M1968" s="2" t="n">
        <x:v>1</x:v>
      </x:c>
      <x:c r="N1968" s="2"/>
      <x:c r="O1968" s="2"/>
    </x:row>
    <x:row r="1969" ht="21" customHeight="1">
      <x:c r="A1969" s="2" t="str">
        <x:v>NT001968</x:v>
      </x:c>
      <x:c r="B1969" s="2" t="str">
        <x:v>EV001970</x:v>
      </x:c>
      <x:c r="C1969" s="2" t="str">
        <x:v>T20261008-2-1</x:v>
      </x:c>
      <x:c r="D1969" s="2" t="str">
        <x:v>ST008</x:v>
      </x:c>
      <x:c r="E1969" s="2" t="str">
        <x:v>G008</x:v>
      </x:c>
      <x:c r="F1969" s="2" t="str">
        <x:v>guardian008@example.invalid</x:v>
      </x:c>
      <x:c r="G1969" s="2" t="str">
        <x:v>Email</x:v>
      </x:c>
      <x:c r="H1969" s="2" t="str">
        <x:v>Authorized release</x:v>
      </x:c>
      <x:c r="I1969" s="8" t="n">
        <x:v>46303.45371527778</x:v>
      </x:c>
      <x:c r="J1969" s="8" t="n">
        <x:v>46303.453738425924</x:v>
      </x:c>
      <x:c r="K1969" s="8" t="n">
        <x:v>46303.45377314815</x:v>
      </x:c>
      <x:c r="L1969" s="2" t="str">
        <x:v>Sent</x:v>
      </x:c>
      <x:c r="M1969" s="2" t="n">
        <x:v>1</x:v>
      </x:c>
      <x:c r="N1969" s="2"/>
      <x:c r="O1969" s="2"/>
    </x:row>
    <x:row r="1970" ht="21" customHeight="1">
      <x:c r="A1970" s="2" t="str">
        <x:v>NT001969</x:v>
      </x:c>
      <x:c r="B1970" s="2" t="str">
        <x:v>EV001971</x:v>
      </x:c>
      <x:c r="C1970" s="2" t="str">
        <x:v>T20261008-2-1</x:v>
      </x:c>
      <x:c r="D1970" s="2" t="str">
        <x:v>ST009</x:v>
      </x:c>
      <x:c r="E1970" s="2" t="str">
        <x:v>G009</x:v>
      </x:c>
      <x:c r="F1970" s="2" t="str">
        <x:v>guardian009@example.invalid</x:v>
      </x:c>
      <x:c r="G1970" s="2" t="str">
        <x:v>Email</x:v>
      </x:c>
      <x:c r="H1970" s="2" t="str">
        <x:v>Boarded</x:v>
      </x:c>
      <x:c r="I1970" s="8" t="n">
        <x:v>46303.43777777778</x:v>
      </x:c>
      <x:c r="J1970" s="8" t="n">
        <x:v>46303.43780092592</x:v>
      </x:c>
      <x:c r="K1970" s="8" t="n">
        <x:v>46303.43783564815</x:v>
      </x:c>
      <x:c r="L1970" s="2" t="str">
        <x:v>Sent</x:v>
      </x:c>
      <x:c r="M1970" s="2" t="n">
        <x:v>1</x:v>
      </x:c>
      <x:c r="N1970" s="2"/>
      <x:c r="O1970" s="2"/>
    </x:row>
    <x:row r="1971" ht="21" customHeight="1">
      <x:c r="A1971" s="2" t="str">
        <x:v>NT001970</x:v>
      </x:c>
      <x:c r="B1971" s="2" t="str">
        <x:v>EV001972</x:v>
      </x:c>
      <x:c r="C1971" s="2" t="str">
        <x:v>T20261008-2-1</x:v>
      </x:c>
      <x:c r="D1971" s="2" t="str">
        <x:v>ST009</x:v>
      </x:c>
      <x:c r="E1971" s="2" t="str">
        <x:v>G009</x:v>
      </x:c>
      <x:c r="F1971" s="2" t="str">
        <x:v>guardian009@example.invalid</x:v>
      </x:c>
      <x:c r="G1971" s="2" t="str">
        <x:v>Email</x:v>
      </x:c>
      <x:c r="H1971" s="2" t="str">
        <x:v>Authorized release</x:v>
      </x:c>
      <x:c r="I1971" s="8" t="n">
        <x:v>46303.457916666666</x:v>
      </x:c>
      <x:c r="J1971" s="8" t="n">
        <x:v>46303.45793981481</x:v>
      </x:c>
      <x:c r="K1971" s="8" t="n">
        <x:v>46303.457974537036</x:v>
      </x:c>
      <x:c r="L1971" s="2" t="str">
        <x:v>Sent</x:v>
      </x:c>
      <x:c r="M1971" s="2" t="n">
        <x:v>1</x:v>
      </x:c>
      <x:c r="N1971" s="2"/>
      <x:c r="O1971" s="2"/>
    </x:row>
    <x:row r="1972" ht="21" customHeight="1">
      <x:c r="A1972" s="2" t="str">
        <x:v>NT001971</x:v>
      </x:c>
      <x:c r="B1972" s="2" t="str">
        <x:v>EV001973</x:v>
      </x:c>
      <x:c r="C1972" s="2" t="str">
        <x:v>T20261008-2-1</x:v>
      </x:c>
      <x:c r="D1972" s="2" t="str">
        <x:v>ST010</x:v>
      </x:c>
      <x:c r="E1972" s="2" t="str">
        <x:v>G010</x:v>
      </x:c>
      <x:c r="F1972" s="2" t="str">
        <x:v>guardian010@example.invalid</x:v>
      </x:c>
      <x:c r="G1972" s="2" t="str">
        <x:v>Email</x:v>
      </x:c>
      <x:c r="H1972" s="2" t="str">
        <x:v>Boarded</x:v>
      </x:c>
      <x:c r="I1972" s="8" t="n">
        <x:v>46303.4378125</x:v>
      </x:c>
      <x:c r="J1972" s="8" t="n">
        <x:v>46303.43783564815</x:v>
      </x:c>
      <x:c r="K1972" s="8" t="n">
        <x:v>46303.43787037037</x:v>
      </x:c>
      <x:c r="L1972" s="2" t="str">
        <x:v>Sent</x:v>
      </x:c>
      <x:c r="M1972" s="2" t="n">
        <x:v>1</x:v>
      </x:c>
      <x:c r="N1972" s="2"/>
      <x:c r="O1972" s="2"/>
    </x:row>
    <x:row r="1973" ht="21" customHeight="1">
      <x:c r="A1973" s="2" t="str">
        <x:v>NT001972</x:v>
      </x:c>
      <x:c r="B1973" s="2" t="str">
        <x:v>EV001974</x:v>
      </x:c>
      <x:c r="C1973" s="2" t="str">
        <x:v>T20261008-2-1</x:v>
      </x:c>
      <x:c r="D1973" s="2" t="str">
        <x:v>ST010</x:v>
      </x:c>
      <x:c r="E1973" s="2" t="str">
        <x:v>G010</x:v>
      </x:c>
      <x:c r="F1973" s="2" t="str">
        <x:v>guardian010@example.invalid</x:v>
      </x:c>
      <x:c r="G1973" s="2" t="str">
        <x:v>Email</x:v>
      </x:c>
      <x:c r="H1973" s="2" t="str">
        <x:v>Authorized release</x:v>
      </x:c>
      <x:c r="I1973" s="8" t="n">
        <x:v>46303.44961805555</x:v>
      </x:c>
      <x:c r="J1973" s="8" t="n">
        <x:v>46303.4496412037</x:v>
      </x:c>
      <x:c r="K1973" s="8" t="n">
        <x:v>46303.44967592592</x:v>
      </x:c>
      <x:c r="L1973" s="2" t="str">
        <x:v>Sent</x:v>
      </x:c>
      <x:c r="M1973" s="2" t="n">
        <x:v>1</x:v>
      </x:c>
      <x:c r="N1973" s="2"/>
      <x:c r="O1973" s="2"/>
    </x:row>
    <x:row r="1974" ht="21" customHeight="1">
      <x:c r="A1974" s="2" t="str">
        <x:v>NT001973</x:v>
      </x:c>
      <x:c r="B1974" s="2" t="str">
        <x:v>EV001975</x:v>
      </x:c>
      <x:c r="C1974" s="2" t="str">
        <x:v>T20261008-2-1</x:v>
      </x:c>
      <x:c r="D1974" s="2" t="str">
        <x:v>ST021</x:v>
      </x:c>
      <x:c r="E1974" s="2" t="str">
        <x:v>G021</x:v>
      </x:c>
      <x:c r="F1974" s="2" t="str">
        <x:v>guardian021@example.invalid</x:v>
      </x:c>
      <x:c r="G1974" s="2" t="str">
        <x:v>Email</x:v>
      </x:c>
      <x:c r="H1974" s="2" t="str">
        <x:v>Boarded</x:v>
      </x:c>
      <x:c r="I1974" s="8" t="n">
        <x:v>46303.48125</x:v>
      </x:c>
      <x:c r="J1974" s="8" t="n">
        <x:v>46303.48127314814</x:v>
      </x:c>
      <x:c r="K1974" s="8" t="n">
        <x:v>46303.48130787037</x:v>
      </x:c>
      <x:c r="L1974" s="2" t="str">
        <x:v>Sent</x:v>
      </x:c>
      <x:c r="M1974" s="2" t="n">
        <x:v>1</x:v>
      </x:c>
      <x:c r="N1974" s="2"/>
      <x:c r="O1974" s="2"/>
    </x:row>
    <x:row r="1975" ht="21" customHeight="1">
      <x:c r="A1975" s="2" t="str">
        <x:v>NT001974</x:v>
      </x:c>
      <x:c r="B1975" s="2" t="str">
        <x:v>EV001976</x:v>
      </x:c>
      <x:c r="C1975" s="2" t="str">
        <x:v>T20261008-2-1</x:v>
      </x:c>
      <x:c r="D1975" s="2" t="str">
        <x:v>ST021</x:v>
      </x:c>
      <x:c r="E1975" s="2" t="str">
        <x:v>G021</x:v>
      </x:c>
      <x:c r="F1975" s="2" t="str">
        <x:v>guardian021@example.invalid</x:v>
      </x:c>
      <x:c r="G1975" s="2" t="str">
        <x:v>Email</x:v>
      </x:c>
      <x:c r="H1975" s="2" t="str">
        <x:v>School receipt</x:v>
      </x:c>
      <x:c r="I1975" s="8" t="n">
        <x:v>46303.506250000006</x:v>
      </x:c>
      <x:c r="J1975" s="8" t="n">
        <x:v>46303.50627314815</x:v>
      </x:c>
      <x:c r="K1975" s="8" t="n">
        <x:v>46303.506307870375</x:v>
      </x:c>
      <x:c r="L1975" s="2" t="str">
        <x:v>Sent</x:v>
      </x:c>
      <x:c r="M1975" s="2" t="n">
        <x:v>1</x:v>
      </x:c>
      <x:c r="N1975" s="2"/>
      <x:c r="O1975" s="2"/>
    </x:row>
    <x:row r="1976" ht="21" customHeight="1">
      <x:c r="A1976" s="2" t="str">
        <x:v>NT001975</x:v>
      </x:c>
      <x:c r="B1976" s="2" t="str">
        <x:v>EV001977</x:v>
      </x:c>
      <x:c r="C1976" s="2" t="str">
        <x:v>T20261008-2-1</x:v>
      </x:c>
      <x:c r="D1976" s="2" t="str">
        <x:v>ST022</x:v>
      </x:c>
      <x:c r="E1976" s="2" t="str">
        <x:v>G022</x:v>
      </x:c>
      <x:c r="F1976" s="2" t="str">
        <x:v>guardian022@example.invalid</x:v>
      </x:c>
      <x:c r="G1976" s="2" t="str">
        <x:v>Email</x:v>
      </x:c>
      <x:c r="H1976" s="2" t="str">
        <x:v>Boarded</x:v>
      </x:c>
      <x:c r="I1976" s="8" t="n">
        <x:v>46303.4715625</x:v>
      </x:c>
      <x:c r="J1976" s="8" t="n">
        <x:v>46303.47158564815</x:v>
      </x:c>
      <x:c r="K1976" s="8" t="n">
        <x:v>46303.47162037037</x:v>
      </x:c>
      <x:c r="L1976" s="2" t="str">
        <x:v>Sent</x:v>
      </x:c>
      <x:c r="M1976" s="2" t="n">
        <x:v>1</x:v>
      </x:c>
      <x:c r="N1976" s="2"/>
      <x:c r="O1976" s="2"/>
    </x:row>
    <x:row r="1977" ht="21" customHeight="1">
      <x:c r="A1977" s="2" t="str">
        <x:v>NT001976</x:v>
      </x:c>
      <x:c r="B1977" s="2" t="str">
        <x:v>EV001978</x:v>
      </x:c>
      <x:c r="C1977" s="2" t="str">
        <x:v>T20261008-2-1</x:v>
      </x:c>
      <x:c r="D1977" s="2" t="str">
        <x:v>ST022</x:v>
      </x:c>
      <x:c r="E1977" s="2" t="str">
        <x:v>G022</x:v>
      </x:c>
      <x:c r="F1977" s="2" t="str">
        <x:v>guardian022@example.invalid</x:v>
      </x:c>
      <x:c r="G1977" s="2" t="str">
        <x:v>Email</x:v>
      </x:c>
      <x:c r="H1977" s="2" t="str">
        <x:v>School receipt</x:v>
      </x:c>
      <x:c r="I1977" s="8" t="n">
        <x:v>46303.50628472223</x:v>
      </x:c>
      <x:c r="J1977" s="8" t="n">
        <x:v>46303.506307870375</x:v>
      </x:c>
      <x:c r="K1977" s="8" t="n">
        <x:v>46303.5063425926</x:v>
      </x:c>
      <x:c r="L1977" s="2" t="str">
        <x:v>Sent</x:v>
      </x:c>
      <x:c r="M1977" s="2" t="n">
        <x:v>1</x:v>
      </x:c>
      <x:c r="N1977" s="2"/>
      <x:c r="O1977" s="2"/>
    </x:row>
    <x:row r="1978" ht="21" customHeight="1">
      <x:c r="A1978" s="2" t="str">
        <x:v>NT001977</x:v>
      </x:c>
      <x:c r="B1978" s="2" t="str">
        <x:v>EV001979</x:v>
      </x:c>
      <x:c r="C1978" s="2" t="str">
        <x:v>T20261008-2-1</x:v>
      </x:c>
      <x:c r="D1978" s="2" t="str">
        <x:v>ST023</x:v>
      </x:c>
      <x:c r="E1978" s="2" t="str">
        <x:v>G023</x:v>
      </x:c>
      <x:c r="F1978" s="2" t="str">
        <x:v>guardian023@example.invalid</x:v>
      </x:c>
      <x:c r="G1978" s="2" t="str">
        <x:v>Email</x:v>
      </x:c>
      <x:c r="H1978" s="2" t="str">
        <x:v>Boarded</x:v>
      </x:c>
      <x:c r="I1978" s="8" t="n">
        <x:v>46303.47645833333</x:v>
      </x:c>
      <x:c r="J1978" s="8" t="n">
        <x:v>46303.47648148148</x:v>
      </x:c>
      <x:c r="K1978" s="8" t="n">
        <x:v>46303.4765162037</x:v>
      </x:c>
      <x:c r="L1978" s="2" t="str">
        <x:v>Sent</x:v>
      </x:c>
      <x:c r="M1978" s="2" t="n">
        <x:v>1</x:v>
      </x:c>
      <x:c r="N1978" s="2"/>
      <x:c r="O1978" s="2"/>
    </x:row>
    <x:row r="1979" ht="21" customHeight="1">
      <x:c r="A1979" s="2" t="str">
        <x:v>NT001978</x:v>
      </x:c>
      <x:c r="B1979" s="2" t="str">
        <x:v>EV001980</x:v>
      </x:c>
      <x:c r="C1979" s="2" t="str">
        <x:v>T20261008-2-1</x:v>
      </x:c>
      <x:c r="D1979" s="2" t="str">
        <x:v>ST023</x:v>
      </x:c>
      <x:c r="E1979" s="2" t="str">
        <x:v>G023</x:v>
      </x:c>
      <x:c r="F1979" s="2" t="str">
        <x:v>guardian023@example.invalid</x:v>
      </x:c>
      <x:c r="G1979" s="2" t="str">
        <x:v>Email</x:v>
      </x:c>
      <x:c r="H1979" s="2" t="str">
        <x:v>School receipt</x:v>
      </x:c>
      <x:c r="I1979" s="8" t="n">
        <x:v>46303.506319444445</x:v>
      </x:c>
      <x:c r="J1979" s="8" t="n">
        <x:v>46303.50634259259</x:v>
      </x:c>
      <x:c r="K1979" s="8" t="n">
        <x:v>46303.506377314814</x:v>
      </x:c>
      <x:c r="L1979" s="2" t="str">
        <x:v>Sent</x:v>
      </x:c>
      <x:c r="M1979" s="2" t="n">
        <x:v>1</x:v>
      </x:c>
      <x:c r="N1979" s="2"/>
      <x:c r="O1979" s="2"/>
    </x:row>
    <x:row r="1980" ht="21" customHeight="1">
      <x:c r="A1980" s="2" t="str">
        <x:v>NT001979</x:v>
      </x:c>
      <x:c r="B1980" s="2" t="str">
        <x:v>EV001981</x:v>
      </x:c>
      <x:c r="C1980" s="2" t="str">
        <x:v>T20261008-2-1</x:v>
      </x:c>
      <x:c r="D1980" s="2" t="str">
        <x:v>ST024</x:v>
      </x:c>
      <x:c r="E1980" s="2" t="str">
        <x:v>G024</x:v>
      </x:c>
      <x:c r="F1980" s="2" t="str">
        <x:v>guardian024@example.invalid</x:v>
      </x:c>
      <x:c r="G1980" s="2" t="str">
        <x:v>Email</x:v>
      </x:c>
      <x:c r="H1980" s="2" t="str">
        <x:v>Boarded</x:v>
      </x:c>
      <x:c r="I1980" s="8" t="n">
        <x:v>46303.481354166666</x:v>
      </x:c>
      <x:c r="J1980" s="8" t="n">
        <x:v>46303.48137731481</x:v>
      </x:c>
      <x:c r="K1980" s="8" t="n">
        <x:v>46303.481412037036</x:v>
      </x:c>
      <x:c r="L1980" s="2" t="str">
        <x:v>Sent</x:v>
      </x:c>
      <x:c r="M1980" s="2" t="n">
        <x:v>1</x:v>
      </x:c>
      <x:c r="N1980" s="2"/>
      <x:c r="O1980" s="2"/>
    </x:row>
    <x:row r="1981" ht="21" customHeight="1">
      <x:c r="A1981" s="2" t="str">
        <x:v>NT001980</x:v>
      </x:c>
      <x:c r="B1981" s="2" t="str">
        <x:v>EV001982</x:v>
      </x:c>
      <x:c r="C1981" s="2" t="str">
        <x:v>T20261008-2-1</x:v>
      </x:c>
      <x:c r="D1981" s="2" t="str">
        <x:v>ST024</x:v>
      </x:c>
      <x:c r="E1981" s="2" t="str">
        <x:v>G024</x:v>
      </x:c>
      <x:c r="F1981" s="2" t="str">
        <x:v>guardian024@example.invalid</x:v>
      </x:c>
      <x:c r="G1981" s="2" t="str">
        <x:v>Email</x:v>
      </x:c>
      <x:c r="H1981" s="2" t="str">
        <x:v>School receipt</x:v>
      </x:c>
      <x:c r="I1981" s="8" t="n">
        <x:v>46303.50635416667</x:v>
      </x:c>
      <x:c r="J1981" s="8" t="n">
        <x:v>46303.506377314814</x:v>
      </x:c>
      <x:c r="K1981" s="8" t="n">
        <x:v>46303.50641203704</x:v>
      </x:c>
      <x:c r="L1981" s="2" t="str">
        <x:v>Sent</x:v>
      </x:c>
      <x:c r="M1981" s="2" t="n">
        <x:v>1</x:v>
      </x:c>
      <x:c r="N1981" s="2"/>
      <x:c r="O1981" s="2"/>
    </x:row>
    <x:row r="1982" ht="21" customHeight="1">
      <x:c r="A1982" s="2" t="str">
        <x:v>NT001981</x:v>
      </x:c>
      <x:c r="B1982" s="2" t="str">
        <x:v>EV001983</x:v>
      </x:c>
      <x:c r="C1982" s="2" t="str">
        <x:v>T20261008-2-1</x:v>
      </x:c>
      <x:c r="D1982" s="2" t="str">
        <x:v>ST025</x:v>
      </x:c>
      <x:c r="E1982" s="2" t="str">
        <x:v>G025</x:v>
      </x:c>
      <x:c r="F1982" s="2" t="str">
        <x:v>guardian025@example.invalid</x:v>
      </x:c>
      <x:c r="G1982" s="2" t="str">
        <x:v>Email</x:v>
      </x:c>
      <x:c r="H1982" s="2" t="str">
        <x:v>Boarded</x:v>
      </x:c>
      <x:c r="I1982" s="8" t="n">
        <x:v>46303.47166666667</x:v>
      </x:c>
      <x:c r="J1982" s="8" t="n">
        <x:v>46303.47168981482</x:v>
      </x:c>
      <x:c r="K1982" s="8" t="n">
        <x:v>46303.47172453704</x:v>
      </x:c>
      <x:c r="L1982" s="2" t="str">
        <x:v>Sent</x:v>
      </x:c>
      <x:c r="M1982" s="2" t="n">
        <x:v>1</x:v>
      </x:c>
      <x:c r="N1982" s="2"/>
      <x:c r="O1982" s="2"/>
    </x:row>
    <x:row r="1983" ht="21" customHeight="1">
      <x:c r="A1983" s="2" t="str">
        <x:v>NT001982</x:v>
      </x:c>
      <x:c r="B1983" s="2" t="str">
        <x:v>EV001984</x:v>
      </x:c>
      <x:c r="C1983" s="2" t="str">
        <x:v>T20261008-2-1</x:v>
      </x:c>
      <x:c r="D1983" s="2" t="str">
        <x:v>ST025</x:v>
      </x:c>
      <x:c r="E1983" s="2" t="str">
        <x:v>G025</x:v>
      </x:c>
      <x:c r="F1983" s="2" t="str">
        <x:v>guardian025@example.invalid</x:v>
      </x:c>
      <x:c r="G1983" s="2" t="str">
        <x:v>Email</x:v>
      </x:c>
      <x:c r="H1983" s="2" t="str">
        <x:v>School receipt</x:v>
      </x:c>
      <x:c r="I1983" s="8" t="n">
        <x:v>46303.50638888889</x:v>
      </x:c>
      <x:c r="J1983" s="8" t="n">
        <x:v>46303.50641203704</x:v>
      </x:c>
      <x:c r="K1983" s="8" t="n">
        <x:v>46303.50644675926</x:v>
      </x:c>
      <x:c r="L1983" s="2" t="str">
        <x:v>Sent</x:v>
      </x:c>
      <x:c r="M1983" s="2" t="n">
        <x:v>1</x:v>
      </x:c>
      <x:c r="N1983" s="2"/>
      <x:c r="O1983" s="2"/>
    </x:row>
    <x:row r="1984" ht="21" customHeight="1">
      <x:c r="A1984" s="2" t="str">
        <x:v>NT001983</x:v>
      </x:c>
      <x:c r="B1984" s="2" t="str">
        <x:v>EV001985</x:v>
      </x:c>
      <x:c r="C1984" s="2" t="str">
        <x:v>T20261008-2-1</x:v>
      </x:c>
      <x:c r="D1984" s="2" t="str">
        <x:v>ST026</x:v>
      </x:c>
      <x:c r="E1984" s="2" t="str">
        <x:v>G026</x:v>
      </x:c>
      <x:c r="F1984" s="2" t="str">
        <x:v>guardian026@example.invalid</x:v>
      </x:c>
      <x:c r="G1984" s="2" t="str">
        <x:v>Email</x:v>
      </x:c>
      <x:c r="H1984" s="2" t="str">
        <x:v>Boarded</x:v>
      </x:c>
      <x:c r="I1984" s="8" t="n">
        <x:v>46303.47656249999</x:v>
      </x:c>
      <x:c r="J1984" s="8" t="n">
        <x:v>46303.47658564814</x:v>
      </x:c>
      <x:c r="K1984" s="8" t="n">
        <x:v>46303.47662037036</x:v>
      </x:c>
      <x:c r="L1984" s="2" t="str">
        <x:v>Sent</x:v>
      </x:c>
      <x:c r="M1984" s="2" t="n">
        <x:v>1</x:v>
      </x:c>
      <x:c r="N1984" s="2"/>
      <x:c r="O1984" s="2"/>
    </x:row>
    <x:row r="1985" ht="21" customHeight="1">
      <x:c r="A1985" s="2" t="str">
        <x:v>NT001984</x:v>
      </x:c>
      <x:c r="B1985" s="2" t="str">
        <x:v>EV001986</x:v>
      </x:c>
      <x:c r="C1985" s="2" t="str">
        <x:v>T20261008-2-1</x:v>
      </x:c>
      <x:c r="D1985" s="2" t="str">
        <x:v>ST026</x:v>
      </x:c>
      <x:c r="E1985" s="2" t="str">
        <x:v>G026</x:v>
      </x:c>
      <x:c r="F1985" s="2" t="str">
        <x:v>guardian026@example.invalid</x:v>
      </x:c>
      <x:c r="G1985" s="2" t="str">
        <x:v>Email</x:v>
      </x:c>
      <x:c r="H1985" s="2" t="str">
        <x:v>School receipt</x:v>
      </x:c>
      <x:c r="I1985" s="8" t="n">
        <x:v>46303.506423611114</x:v>
      </x:c>
      <x:c r="J1985" s="8" t="n">
        <x:v>46303.50644675926</x:v>
      </x:c>
      <x:c r="K1985" s="8" t="n">
        <x:v>46303.50648148148</x:v>
      </x:c>
      <x:c r="L1985" s="2" t="str">
        <x:v>Sent</x:v>
      </x:c>
      <x:c r="M1985" s="2" t="n">
        <x:v>1</x:v>
      </x:c>
      <x:c r="N1985" s="2"/>
      <x:c r="O1985" s="2"/>
    </x:row>
    <x:row r="1986" ht="21" customHeight="1">
      <x:c r="A1986" s="2" t="str">
        <x:v>NT001985</x:v>
      </x:c>
      <x:c r="B1986" s="2" t="str">
        <x:v>EV001987</x:v>
      </x:c>
      <x:c r="C1986" s="2" t="str">
        <x:v>T20261008-2-1</x:v>
      </x:c>
      <x:c r="D1986" s="2" t="str">
        <x:v>ST027</x:v>
      </x:c>
      <x:c r="E1986" s="2" t="str">
        <x:v>G027</x:v>
      </x:c>
      <x:c r="F1986" s="2" t="str">
        <x:v>guardian027@example.invalid</x:v>
      </x:c>
      <x:c r="G1986" s="2" t="str">
        <x:v>Email</x:v>
      </x:c>
      <x:c r="H1986" s="2" t="str">
        <x:v>Boarded</x:v>
      </x:c>
      <x:c r="I1986" s="8" t="n">
        <x:v>46303.48145833333</x:v>
      </x:c>
      <x:c r="J1986" s="8" t="n">
        <x:v>46303.481481481474</x:v>
      </x:c>
      <x:c r="K1986" s="8" t="n">
        <x:v>46303.4815162037</x:v>
      </x:c>
      <x:c r="L1986" s="2" t="str">
        <x:v>Sent</x:v>
      </x:c>
      <x:c r="M1986" s="2" t="n">
        <x:v>1</x:v>
      </x:c>
      <x:c r="N1986" s="2"/>
      <x:c r="O1986" s="2"/>
    </x:row>
    <x:row r="1987" ht="21" customHeight="1">
      <x:c r="A1987" s="2" t="str">
        <x:v>NT001986</x:v>
      </x:c>
      <x:c r="B1987" s="2" t="str">
        <x:v>EV001988</x:v>
      </x:c>
      <x:c r="C1987" s="2" t="str">
        <x:v>T20261008-2-1</x:v>
      </x:c>
      <x:c r="D1987" s="2" t="str">
        <x:v>ST027</x:v>
      </x:c>
      <x:c r="E1987" s="2" t="str">
        <x:v>G027</x:v>
      </x:c>
      <x:c r="F1987" s="2" t="str">
        <x:v>guardian027@example.invalid</x:v>
      </x:c>
      <x:c r="G1987" s="2" t="str">
        <x:v>Email</x:v>
      </x:c>
      <x:c r="H1987" s="2" t="str">
        <x:v>School receipt</x:v>
      </x:c>
      <x:c r="I1987" s="8" t="n">
        <x:v>46303.50645833334</x:v>
      </x:c>
      <x:c r="J1987" s="8" t="n">
        <x:v>46303.50648148148</x:v>
      </x:c>
      <x:c r="K1987" s="8" t="n">
        <x:v>46303.506516203706</x:v>
      </x:c>
      <x:c r="L1987" s="2" t="str">
        <x:v>Sent</x:v>
      </x:c>
      <x:c r="M1987" s="2" t="n">
        <x:v>1</x:v>
      </x:c>
      <x:c r="N1987" s="2"/>
      <x:c r="O1987" s="2"/>
    </x:row>
    <x:row r="1988" ht="21" customHeight="1">
      <x:c r="A1988" s="2" t="str">
        <x:v>NT001987</x:v>
      </x:c>
      <x:c r="B1988" s="2" t="str">
        <x:v>EV001989</x:v>
      </x:c>
      <x:c r="C1988" s="2" t="str">
        <x:v>T20261008-2-1</x:v>
      </x:c>
      <x:c r="D1988" s="2" t="str">
        <x:v>ST028</x:v>
      </x:c>
      <x:c r="E1988" s="2" t="str">
        <x:v>G028</x:v>
      </x:c>
      <x:c r="F1988" s="2" t="str">
        <x:v>guardian028@example.invalid</x:v>
      </x:c>
      <x:c r="G1988" s="2" t="str">
        <x:v>Email</x:v>
      </x:c>
      <x:c r="H1988" s="2" t="str">
        <x:v>Boarded</x:v>
      </x:c>
      <x:c r="I1988" s="8" t="n">
        <x:v>46303.471770833334</x:v>
      </x:c>
      <x:c r="J1988" s="8" t="n">
        <x:v>46303.47179398148</x:v>
      </x:c>
      <x:c r="K1988" s="8" t="n">
        <x:v>46303.4718287037</x:v>
      </x:c>
      <x:c r="L1988" s="2" t="str">
        <x:v>Sent</x:v>
      </x:c>
      <x:c r="M1988" s="2" t="n">
        <x:v>1</x:v>
      </x:c>
      <x:c r="N1988" s="2"/>
      <x:c r="O1988" s="2"/>
    </x:row>
    <x:row r="1989" ht="21" customHeight="1">
      <x:c r="A1989" s="2" t="str">
        <x:v>NT001988</x:v>
      </x:c>
      <x:c r="B1989" s="2" t="str">
        <x:v>EV001990</x:v>
      </x:c>
      <x:c r="C1989" s="2" t="str">
        <x:v>T20261008-2-1</x:v>
      </x:c>
      <x:c r="D1989" s="2" t="str">
        <x:v>ST028</x:v>
      </x:c>
      <x:c r="E1989" s="2" t="str">
        <x:v>G028</x:v>
      </x:c>
      <x:c r="F1989" s="2" t="str">
        <x:v>guardian028@example.invalid</x:v>
      </x:c>
      <x:c r="G1989" s="2" t="str">
        <x:v>Email</x:v>
      </x:c>
      <x:c r="H1989" s="2" t="str">
        <x:v>School receipt</x:v>
      </x:c>
      <x:c r="I1989" s="8" t="n">
        <x:v>46303.50649305556</x:v>
      </x:c>
      <x:c r="J1989" s="8" t="n">
        <x:v>46303.506516203706</x:v>
      </x:c>
      <x:c r="K1989" s="8" t="n">
        <x:v>46303.50655092593</x:v>
      </x:c>
      <x:c r="L1989" s="2" t="str">
        <x:v>Sent</x:v>
      </x:c>
      <x:c r="M1989" s="2" t="n">
        <x:v>1</x:v>
      </x:c>
      <x:c r="N1989" s="2"/>
      <x:c r="O1989" s="2"/>
    </x:row>
    <x:row r="1990" ht="21" customHeight="1">
      <x:c r="A1990" s="2" t="str">
        <x:v>NT001989</x:v>
      </x:c>
      <x:c r="B1990" s="2" t="str">
        <x:v>EV001991</x:v>
      </x:c>
      <x:c r="C1990" s="2" t="str">
        <x:v>T20261008-2-1</x:v>
      </x:c>
      <x:c r="D1990" s="2" t="str">
        <x:v>ST029</x:v>
      </x:c>
      <x:c r="E1990" s="2" t="str">
        <x:v>G029</x:v>
      </x:c>
      <x:c r="F1990" s="2" t="str">
        <x:v>guardian029@example.invalid</x:v>
      </x:c>
      <x:c r="G1990" s="2" t="str">
        <x:v>Email</x:v>
      </x:c>
      <x:c r="H1990" s="2" t="str">
        <x:v>Boarded</x:v>
      </x:c>
      <x:c r="I1990" s="8" t="n">
        <x:v>46303.47666666666</x:v>
      </x:c>
      <x:c r="J1990" s="8" t="n">
        <x:v>46303.47668981481</x:v>
      </x:c>
      <x:c r="K1990" s="8" t="n">
        <x:v>46303.47672453703</x:v>
      </x:c>
      <x:c r="L1990" s="2" t="str">
        <x:v>Sent</x:v>
      </x:c>
      <x:c r="M1990" s="2" t="n">
        <x:v>1</x:v>
      </x:c>
      <x:c r="N1990" s="2"/>
      <x:c r="O1990" s="2"/>
    </x:row>
    <x:row r="1991" ht="21" customHeight="1">
      <x:c r="A1991" s="2" t="str">
        <x:v>NT001990</x:v>
      </x:c>
      <x:c r="B1991" s="2" t="str">
        <x:v>EV001992</x:v>
      </x:c>
      <x:c r="C1991" s="2" t="str">
        <x:v>T20261008-2-1</x:v>
      </x:c>
      <x:c r="D1991" s="2" t="str">
        <x:v>ST029</x:v>
      </x:c>
      <x:c r="E1991" s="2" t="str">
        <x:v>G029</x:v>
      </x:c>
      <x:c r="F1991" s="2" t="str">
        <x:v>guardian029@example.invalid</x:v>
      </x:c>
      <x:c r="G1991" s="2" t="str">
        <x:v>Email</x:v>
      </x:c>
      <x:c r="H1991" s="2" t="str">
        <x:v>School receipt</x:v>
      </x:c>
      <x:c r="I1991" s="8" t="n">
        <x:v>46303.50652777778</x:v>
      </x:c>
      <x:c r="J1991" s="8" t="n">
        <x:v>46303.50655092593</x:v>
      </x:c>
      <x:c r="K1991" s="8" t="n">
        <x:v>46303.50658564815</x:v>
      </x:c>
      <x:c r="L1991" s="2" t="str">
        <x:v>Sent</x:v>
      </x:c>
      <x:c r="M1991" s="2" t="n">
        <x:v>1</x:v>
      </x:c>
      <x:c r="N1991" s="2"/>
      <x:c r="O1991" s="2"/>
    </x:row>
    <x:row r="1992" ht="21" customHeight="1">
      <x:c r="A1992" s="2" t="str">
        <x:v>NT001991</x:v>
      </x:c>
      <x:c r="B1992" s="2" t="str">
        <x:v>EV001993</x:v>
      </x:c>
      <x:c r="C1992" s="2" t="str">
        <x:v>T20261008-2-1</x:v>
      </x:c>
      <x:c r="D1992" s="2" t="str">
        <x:v>ST030</x:v>
      </x:c>
      <x:c r="E1992" s="2" t="str">
        <x:v>G030</x:v>
      </x:c>
      <x:c r="F1992" s="2" t="str">
        <x:v>guardian030@example.invalid</x:v>
      </x:c>
      <x:c r="G1992" s="2" t="str">
        <x:v>Email</x:v>
      </x:c>
      <x:c r="H1992" s="2" t="str">
        <x:v>Boarded</x:v>
      </x:c>
      <x:c r="I1992" s="8" t="n">
        <x:v>46303.4815625</x:v>
      </x:c>
      <x:c r="J1992" s="8" t="n">
        <x:v>46303.481585648144</x:v>
      </x:c>
      <x:c r="K1992" s="8" t="n">
        <x:v>46303.48162037037</x:v>
      </x:c>
      <x:c r="L1992" s="2" t="str">
        <x:v>Sent</x:v>
      </x:c>
      <x:c r="M1992" s="2" t="n">
        <x:v>1</x:v>
      </x:c>
      <x:c r="N1992" s="2"/>
      <x:c r="O1992" s="2"/>
    </x:row>
    <x:row r="1993" ht="21" customHeight="1">
      <x:c r="A1993" s="2" t="str">
        <x:v>NT001992</x:v>
      </x:c>
      <x:c r="B1993" s="2" t="str">
        <x:v>EV001994</x:v>
      </x:c>
      <x:c r="C1993" s="2" t="str">
        <x:v>T20261008-2-1</x:v>
      </x:c>
      <x:c r="D1993" s="2" t="str">
        <x:v>ST030</x:v>
      </x:c>
      <x:c r="E1993" s="2" t="str">
        <x:v>G030</x:v>
      </x:c>
      <x:c r="F1993" s="2" t="str">
        <x:v>guardian030@example.invalid</x:v>
      </x:c>
      <x:c r="G1993" s="2" t="str">
        <x:v>Email</x:v>
      </x:c>
      <x:c r="H1993" s="2" t="str">
        <x:v>School receipt</x:v>
      </x:c>
      <x:c r="I1993" s="8" t="n">
        <x:v>46303.506562500006</x:v>
      </x:c>
      <x:c r="J1993" s="8" t="n">
        <x:v>46303.50658564815</x:v>
      </x:c>
      <x:c r="K1993" s="8" t="n">
        <x:v>46303.506620370375</x:v>
      </x:c>
      <x:c r="L1993" s="2" t="str">
        <x:v>Sent</x:v>
      </x:c>
      <x:c r="M1993" s="2" t="n">
        <x:v>1</x:v>
      </x:c>
      <x:c r="N1993" s="2"/>
      <x:c r="O1993" s="2"/>
    </x:row>
    <x:row r="1994" ht="21" customHeight="1">
      <x:c r="A1994" s="2" t="str">
        <x:v>NT001993</x:v>
      </x:c>
      <x:c r="B1994" s="2" t="str">
        <x:v>EV001995</x:v>
      </x:c>
      <x:c r="C1994" s="2" t="str">
        <x:v>T20261008-2-1</x:v>
      </x:c>
      <x:c r="D1994" s="2" t="str">
        <x:v>ST031</x:v>
      </x:c>
      <x:c r="E1994" s="2" t="str">
        <x:v>G031</x:v>
      </x:c>
      <x:c r="F1994" s="2" t="str">
        <x:v>guardian031@example.invalid</x:v>
      </x:c>
      <x:c r="G1994" s="2" t="str">
        <x:v>Email</x:v>
      </x:c>
      <x:c r="H1994" s="2" t="str">
        <x:v>Boarded</x:v>
      </x:c>
      <x:c r="I1994" s="8" t="n">
        <x:v>46303.47152777778</x:v>
      </x:c>
      <x:c r="J1994" s="8" t="n">
        <x:v>46303.471550925926</x:v>
      </x:c>
      <x:c r="K1994" s="8" t="n">
        <x:v>46303.47158564815</x:v>
      </x:c>
      <x:c r="L1994" s="2" t="str">
        <x:v>Sent</x:v>
      </x:c>
      <x:c r="M1994" s="2" t="n">
        <x:v>1</x:v>
      </x:c>
      <x:c r="N1994" s="2"/>
      <x:c r="O1994" s="2"/>
    </x:row>
    <x:row r="1995" ht="21" customHeight="1">
      <x:c r="A1995" s="2" t="str">
        <x:v>NT001994</x:v>
      </x:c>
      <x:c r="B1995" s="2" t="str">
        <x:v>EV001996</x:v>
      </x:c>
      <x:c r="C1995" s="2" t="str">
        <x:v>T20261008-2-1</x:v>
      </x:c>
      <x:c r="D1995" s="2" t="str">
        <x:v>ST031</x:v>
      </x:c>
      <x:c r="E1995" s="2" t="str">
        <x:v>G031</x:v>
      </x:c>
      <x:c r="F1995" s="2" t="str">
        <x:v>guardian031@example.invalid</x:v>
      </x:c>
      <x:c r="G1995" s="2" t="str">
        <x:v>Email</x:v>
      </x:c>
      <x:c r="H1995" s="2" t="str">
        <x:v>School receipt</x:v>
      </x:c>
      <x:c r="I1995" s="8" t="n">
        <x:v>46303.50659722223</x:v>
      </x:c>
      <x:c r="J1995" s="8" t="n">
        <x:v>46303.506620370375</x:v>
      </x:c>
      <x:c r="K1995" s="8" t="n">
        <x:v>46303.5066550926</x:v>
      </x:c>
      <x:c r="L1995" s="2" t="str">
        <x:v>Sent</x:v>
      </x:c>
      <x:c r="M1995" s="2" t="n">
        <x:v>1</x:v>
      </x:c>
      <x:c r="N1995" s="2"/>
      <x:c r="O1995" s="2"/>
    </x:row>
    <x:row r="1996" ht="21" customHeight="1">
      <x:c r="A1996" s="2" t="str">
        <x:v>NT001995</x:v>
      </x:c>
      <x:c r="B1996" s="2" t="str">
        <x:v>EV001997</x:v>
      </x:c>
      <x:c r="C1996" s="2" t="str">
        <x:v>T20261008-2-1</x:v>
      </x:c>
      <x:c r="D1996" s="2" t="str">
        <x:v>ST032</x:v>
      </x:c>
      <x:c r="E1996" s="2" t="str">
        <x:v>G032</x:v>
      </x:c>
      <x:c r="F1996" s="2" t="str">
        <x:v>guardian032@example.invalid</x:v>
      </x:c>
      <x:c r="G1996" s="2" t="str">
        <x:v>Email</x:v>
      </x:c>
      <x:c r="H1996" s="2" t="str">
        <x:v>Boarded</x:v>
      </x:c>
      <x:c r="I1996" s="8" t="n">
        <x:v>46303.47642361111</x:v>
      </x:c>
      <x:c r="J1996" s="8" t="n">
        <x:v>46303.476446759254</x:v>
      </x:c>
      <x:c r="K1996" s="8" t="n">
        <x:v>46303.47648148148</x:v>
      </x:c>
      <x:c r="L1996" s="2" t="str">
        <x:v>Sent</x:v>
      </x:c>
      <x:c r="M1996" s="2" t="n">
        <x:v>1</x:v>
      </x:c>
      <x:c r="N1996" s="2"/>
      <x:c r="O1996" s="2"/>
    </x:row>
    <x:row r="1997" ht="21" customHeight="1">
      <x:c r="A1997" s="2" t="str">
        <x:v>NT001996</x:v>
      </x:c>
      <x:c r="B1997" s="2" t="str">
        <x:v>EV001998</x:v>
      </x:c>
      <x:c r="C1997" s="2" t="str">
        <x:v>T20261008-2-1</x:v>
      </x:c>
      <x:c r="D1997" s="2" t="str">
        <x:v>ST032</x:v>
      </x:c>
      <x:c r="E1997" s="2" t="str">
        <x:v>G032</x:v>
      </x:c>
      <x:c r="F1997" s="2" t="str">
        <x:v>guardian032@example.invalid</x:v>
      </x:c>
      <x:c r="G1997" s="2" t="str">
        <x:v>Email</x:v>
      </x:c>
      <x:c r="H1997" s="2" t="str">
        <x:v>School receipt</x:v>
      </x:c>
      <x:c r="I1997" s="8" t="n">
        <x:v>46303.506631944445</x:v>
      </x:c>
      <x:c r="J1997" s="8" t="n">
        <x:v>46303.50665509259</x:v>
      </x:c>
      <x:c r="K1997" s="8" t="n">
        <x:v>46303.506689814814</x:v>
      </x:c>
      <x:c r="L1997" s="2" t="str">
        <x:v>Sent</x:v>
      </x:c>
      <x:c r="M1997" s="2" t="n">
        <x:v>1</x:v>
      </x:c>
      <x:c r="N1997" s="2"/>
      <x:c r="O1997" s="2"/>
    </x:row>
    <x:row r="1998" ht="21" customHeight="1">
      <x:c r="A1998" s="2" t="str">
        <x:v>NT001997</x:v>
      </x:c>
      <x:c r="B1998" s="2" t="str">
        <x:v>EV001999</x:v>
      </x:c>
      <x:c r="C1998" s="2" t="str">
        <x:v>T20261008-2-1</x:v>
      </x:c>
      <x:c r="D1998" s="2" t="str">
        <x:v>ST033</x:v>
      </x:c>
      <x:c r="E1998" s="2" t="str">
        <x:v>G033</x:v>
      </x:c>
      <x:c r="F1998" s="2" t="str">
        <x:v>guardian033@example.invalid</x:v>
      </x:c>
      <x:c r="G1998" s="2" t="str">
        <x:v>Email</x:v>
      </x:c>
      <x:c r="H1998" s="2" t="str">
        <x:v>Boarded</x:v>
      </x:c>
      <x:c r="I1998" s="8" t="n">
        <x:v>46303.48131944444</x:v>
      </x:c>
      <x:c r="J1998" s="8" t="n">
        <x:v>46303.48134259259</x:v>
      </x:c>
      <x:c r="K1998" s="8" t="n">
        <x:v>46303.48137731481</x:v>
      </x:c>
      <x:c r="L1998" s="2" t="str">
        <x:v>Sent</x:v>
      </x:c>
      <x:c r="M1998" s="2" t="n">
        <x:v>1</x:v>
      </x:c>
      <x:c r="N1998" s="2"/>
      <x:c r="O1998" s="2"/>
    </x:row>
    <x:row r="1999" ht="21" customHeight="1">
      <x:c r="A1999" s="2" t="str">
        <x:v>NT001998</x:v>
      </x:c>
      <x:c r="B1999" s="2" t="str">
        <x:v>EV002000</x:v>
      </x:c>
      <x:c r="C1999" s="2" t="str">
        <x:v>T20261008-2-1</x:v>
      </x:c>
      <x:c r="D1999" s="2" t="str">
        <x:v>ST033</x:v>
      </x:c>
      <x:c r="E1999" s="2" t="str">
        <x:v>G033</x:v>
      </x:c>
      <x:c r="F1999" s="2" t="str">
        <x:v>guardian033@example.invalid</x:v>
      </x:c>
      <x:c r="G1999" s="2" t="str">
        <x:v>Email</x:v>
      </x:c>
      <x:c r="H1999" s="2" t="str">
        <x:v>School receipt</x:v>
      </x:c>
      <x:c r="I1999" s="8" t="n">
        <x:v>46303.50666666667</x:v>
      </x:c>
      <x:c r="J1999" s="8" t="n">
        <x:v>46303.506689814814</x:v>
      </x:c>
      <x:c r="K1999" s="8" t="n">
        <x:v>46303.50672453704</x:v>
      </x:c>
      <x:c r="L1999" s="2" t="str">
        <x:v>Sent</x:v>
      </x:c>
      <x:c r="M1999" s="2" t="n">
        <x:v>1</x:v>
      </x:c>
      <x:c r="N1999" s="2"/>
      <x:c r="O1999" s="2"/>
    </x:row>
    <x:row r="2000" ht="21" customHeight="1">
      <x:c r="A2000" s="2" t="str">
        <x:v>NT001999</x:v>
      </x:c>
      <x:c r="B2000" s="2" t="str">
        <x:v>EV002001</x:v>
      </x:c>
      <x:c r="C2000" s="2" t="str">
        <x:v>T20261008-2-1</x:v>
      </x:c>
      <x:c r="D2000" s="2" t="str">
        <x:v>ST034</x:v>
      </x:c>
      <x:c r="E2000" s="2" t="str">
        <x:v>G034</x:v>
      </x:c>
      <x:c r="F2000" s="2" t="str">
        <x:v>guardian034@example.invalid</x:v>
      </x:c>
      <x:c r="G2000" s="2" t="str">
        <x:v>Email</x:v>
      </x:c>
      <x:c r="H2000" s="2" t="str">
        <x:v>Boarded</x:v>
      </x:c>
      <x:c r="I2000" s="8" t="n">
        <x:v>46303.47163194445</x:v>
      </x:c>
      <x:c r="J2000" s="8" t="n">
        <x:v>46303.471655092595</x:v>
      </x:c>
      <x:c r="K2000" s="8" t="n">
        <x:v>46303.47168981482</x:v>
      </x:c>
      <x:c r="L2000" s="2" t="str">
        <x:v>Sent</x:v>
      </x:c>
      <x:c r="M2000" s="2" t="n">
        <x:v>1</x:v>
      </x:c>
      <x:c r="N2000" s="2"/>
      <x:c r="O2000" s="2"/>
    </x:row>
    <x:row r="2001" ht="21" customHeight="1">
      <x:c r="A2001" s="2" t="str">
        <x:v>NT002000</x:v>
      </x:c>
      <x:c r="B2001" s="2" t="str">
        <x:v>EV002002</x:v>
      </x:c>
      <x:c r="C2001" s="2" t="str">
        <x:v>T20261008-2-1</x:v>
      </x:c>
      <x:c r="D2001" s="2" t="str">
        <x:v>ST034</x:v>
      </x:c>
      <x:c r="E2001" s="2" t="str">
        <x:v>G034</x:v>
      </x:c>
      <x:c r="F2001" s="2" t="str">
        <x:v>guardian034@example.invalid</x:v>
      </x:c>
      <x:c r="G2001" s="2" t="str">
        <x:v>Email</x:v>
      </x:c>
      <x:c r="H2001" s="2" t="str">
        <x:v>School receipt</x:v>
      </x:c>
      <x:c r="I2001" s="8" t="n">
        <x:v>46303.50670138889</x:v>
      </x:c>
      <x:c r="J2001" s="8" t="n">
        <x:v>46303.50672453704</x:v>
      </x:c>
      <x:c r="K2001" s="8" t="n">
        <x:v>46303.50675925926</x:v>
      </x:c>
      <x:c r="L2001" s="2" t="str">
        <x:v>Sent</x:v>
      </x:c>
      <x:c r="M2001" s="2" t="n">
        <x:v>1</x:v>
      </x:c>
      <x:c r="N2001" s="2"/>
      <x:c r="O2001" s="2"/>
    </x:row>
    <x:row r="2002" ht="21" customHeight="1">
      <x:c r="A2002" s="2" t="str">
        <x:v>NT002001</x:v>
      </x:c>
      <x:c r="B2002" s="2" t="str">
        <x:v>EV002003</x:v>
      </x:c>
      <x:c r="C2002" s="2" t="str">
        <x:v>T20261008-2-1</x:v>
      </x:c>
      <x:c r="D2002" s="2" t="str">
        <x:v>ST035</x:v>
      </x:c>
      <x:c r="E2002" s="2" t="str">
        <x:v>G035</x:v>
      </x:c>
      <x:c r="F2002" s="2" t="str">
        <x:v>guardian035@example.invalid</x:v>
      </x:c>
      <x:c r="G2002" s="2" t="str">
        <x:v>Email</x:v>
      </x:c>
      <x:c r="H2002" s="2" t="str">
        <x:v>Boarded</x:v>
      </x:c>
      <x:c r="I2002" s="8" t="n">
        <x:v>46303.47652777778</x:v>
      </x:c>
      <x:c r="J2002" s="8" t="n">
        <x:v>46303.47655092592</x:v>
      </x:c>
      <x:c r="K2002" s="8" t="n">
        <x:v>46303.476585648146</x:v>
      </x:c>
      <x:c r="L2002" s="2" t="str">
        <x:v>Sent</x:v>
      </x:c>
      <x:c r="M2002" s="2" t="n">
        <x:v>1</x:v>
      </x:c>
      <x:c r="N2002" s="2"/>
      <x:c r="O2002" s="2"/>
    </x:row>
    <x:row r="2003" ht="21" customHeight="1">
      <x:c r="A2003" s="2" t="str">
        <x:v>NT002002</x:v>
      </x:c>
      <x:c r="B2003" s="2" t="str">
        <x:v>EV002004</x:v>
      </x:c>
      <x:c r="C2003" s="2" t="str">
        <x:v>T20261008-2-1</x:v>
      </x:c>
      <x:c r="D2003" s="2" t="str">
        <x:v>ST035</x:v>
      </x:c>
      <x:c r="E2003" s="2" t="str">
        <x:v>G035</x:v>
      </x:c>
      <x:c r="F2003" s="2" t="str">
        <x:v>guardian035@example.invalid</x:v>
      </x:c>
      <x:c r="G2003" s="2" t="str">
        <x:v>Email</x:v>
      </x:c>
      <x:c r="H2003" s="2" t="str">
        <x:v>School receipt</x:v>
      </x:c>
      <x:c r="I2003" s="8" t="n">
        <x:v>46303.506736111114</x:v>
      </x:c>
      <x:c r="J2003" s="8" t="n">
        <x:v>46303.50675925926</x:v>
      </x:c>
      <x:c r="K2003" s="8" t="n">
        <x:v>46303.50679398148</x:v>
      </x:c>
      <x:c r="L2003" s="2" t="str">
        <x:v>Sent</x:v>
      </x:c>
      <x:c r="M2003" s="2" t="n">
        <x:v>1</x:v>
      </x:c>
      <x:c r="N2003" s="2"/>
      <x:c r="O2003" s="2"/>
    </x:row>
    <x:row r="2004" ht="21" customHeight="1">
      <x:c r="A2004" s="2" t="str">
        <x:v>NT002003</x:v>
      </x:c>
      <x:c r="B2004" s="2" t="str">
        <x:v>EV002005</x:v>
      </x:c>
      <x:c r="C2004" s="2" t="str">
        <x:v>T20261008-2-1</x:v>
      </x:c>
      <x:c r="D2004" s="2" t="str">
        <x:v>ST036</x:v>
      </x:c>
      <x:c r="E2004" s="2" t="str">
        <x:v>G036</x:v>
      </x:c>
      <x:c r="F2004" s="2" t="str">
        <x:v>guardian036@example.invalid</x:v>
      </x:c>
      <x:c r="G2004" s="2" t="str">
        <x:v>Email</x:v>
      </x:c>
      <x:c r="H2004" s="2" t="str">
        <x:v>Boarded</x:v>
      </x:c>
      <x:c r="I2004" s="8" t="n">
        <x:v>46303.481423611105</x:v>
      </x:c>
      <x:c r="J2004" s="8" t="n">
        <x:v>46303.48144675925</x:v>
      </x:c>
      <x:c r="K2004" s="8" t="n">
        <x:v>46303.481481481474</x:v>
      </x:c>
      <x:c r="L2004" s="2" t="str">
        <x:v>Sent</x:v>
      </x:c>
      <x:c r="M2004" s="2" t="n">
        <x:v>1</x:v>
      </x:c>
      <x:c r="N2004" s="2"/>
      <x:c r="O2004" s="2"/>
    </x:row>
    <x:row r="2005" ht="21" customHeight="1">
      <x:c r="A2005" s="2" t="str">
        <x:v>NT002004</x:v>
      </x:c>
      <x:c r="B2005" s="2" t="str">
        <x:v>EV002006</x:v>
      </x:c>
      <x:c r="C2005" s="2" t="str">
        <x:v>T20261008-2-1</x:v>
      </x:c>
      <x:c r="D2005" s="2" t="str">
        <x:v>ST036</x:v>
      </x:c>
      <x:c r="E2005" s="2" t="str">
        <x:v>G036</x:v>
      </x:c>
      <x:c r="F2005" s="2" t="str">
        <x:v>guardian036@example.invalid</x:v>
      </x:c>
      <x:c r="G2005" s="2" t="str">
        <x:v>Email</x:v>
      </x:c>
      <x:c r="H2005" s="2" t="str">
        <x:v>School receipt</x:v>
      </x:c>
      <x:c r="I2005" s="8" t="n">
        <x:v>46303.50677083334</x:v>
      </x:c>
      <x:c r="J2005" s="8" t="n">
        <x:v>46303.50679398148</x:v>
      </x:c>
      <x:c r="K2005" s="8" t="n">
        <x:v>46303.50682870371</x:v>
      </x:c>
      <x:c r="L2005" s="2" t="str">
        <x:v>Sent</x:v>
      </x:c>
      <x:c r="M2005" s="2" t="n">
        <x:v>1</x:v>
      </x:c>
      <x:c r="N2005" s="2"/>
      <x:c r="O2005" s="2"/>
    </x:row>
    <x:row r="2006" ht="21" customHeight="1">
      <x:c r="A2006" s="2" t="str">
        <x:v>NT002005</x:v>
      </x:c>
      <x:c r="B2006" s="2" t="str">
        <x:v>EV002007</x:v>
      </x:c>
      <x:c r="C2006" s="2" t="str">
        <x:v>T20261008-2-1</x:v>
      </x:c>
      <x:c r="D2006" s="2" t="str">
        <x:v>ST037</x:v>
      </x:c>
      <x:c r="E2006" s="2" t="str">
        <x:v>G037</x:v>
      </x:c>
      <x:c r="F2006" s="2" t="str">
        <x:v>guardian037@example.invalid</x:v>
      </x:c>
      <x:c r="G2006" s="2" t="str">
        <x:v>Email</x:v>
      </x:c>
      <x:c r="H2006" s="2" t="str">
        <x:v>Boarded</x:v>
      </x:c>
      <x:c r="I2006" s="8" t="n">
        <x:v>46303.47173611111</x:v>
      </x:c>
      <x:c r="J2006" s="8" t="n">
        <x:v>46303.47175925926</x:v>
      </x:c>
      <x:c r="K2006" s="8" t="n">
        <x:v>46303.47179398148</x:v>
      </x:c>
      <x:c r="L2006" s="2" t="str">
        <x:v>Sent</x:v>
      </x:c>
      <x:c r="M2006" s="2" t="n">
        <x:v>1</x:v>
      </x:c>
      <x:c r="N2006" s="2"/>
      <x:c r="O2006" s="2"/>
    </x:row>
    <x:row r="2007" ht="21" customHeight="1">
      <x:c r="A2007" s="2" t="str">
        <x:v>NT002006</x:v>
      </x:c>
      <x:c r="B2007" s="2" t="str">
        <x:v>EV002008</x:v>
      </x:c>
      <x:c r="C2007" s="2" t="str">
        <x:v>T20261008-2-1</x:v>
      </x:c>
      <x:c r="D2007" s="2" t="str">
        <x:v>ST037</x:v>
      </x:c>
      <x:c r="E2007" s="2" t="str">
        <x:v>G037</x:v>
      </x:c>
      <x:c r="F2007" s="2" t="str">
        <x:v>guardian037@example.invalid</x:v>
      </x:c>
      <x:c r="G2007" s="2" t="str">
        <x:v>Email</x:v>
      </x:c>
      <x:c r="H2007" s="2" t="str">
        <x:v>School receipt</x:v>
      </x:c>
      <x:c r="I2007" s="8" t="n">
        <x:v>46303.50680555556</x:v>
      </x:c>
      <x:c r="J2007" s="8" t="n">
        <x:v>46303.50682870371</x:v>
      </x:c>
      <x:c r="K2007" s="8" t="n">
        <x:v>46303.50686342593</x:v>
      </x:c>
      <x:c r="L2007" s="2" t="str">
        <x:v>Sent</x:v>
      </x:c>
      <x:c r="M2007" s="2" t="n">
        <x:v>1</x:v>
      </x:c>
      <x:c r="N2007" s="2"/>
      <x:c r="O2007" s="2"/>
    </x:row>
    <x:row r="2008" ht="21" customHeight="1">
      <x:c r="A2008" s="2" t="str">
        <x:v>NT002007</x:v>
      </x:c>
      <x:c r="B2008" s="2" t="str">
        <x:v>EV002009</x:v>
      </x:c>
      <x:c r="C2008" s="2" t="str">
        <x:v>T20261008-2-1</x:v>
      </x:c>
      <x:c r="D2008" s="2" t="str">
        <x:v>ST038</x:v>
      </x:c>
      <x:c r="E2008" s="2" t="str">
        <x:v>G038</x:v>
      </x:c>
      <x:c r="F2008" s="2" t="str">
        <x:v>guardian038@example.invalid</x:v>
      </x:c>
      <x:c r="G2008" s="2" t="str">
        <x:v>Email</x:v>
      </x:c>
      <x:c r="H2008" s="2" t="str">
        <x:v>Boarded</x:v>
      </x:c>
      <x:c r="I2008" s="8" t="n">
        <x:v>46303.47663194444</x:v>
      </x:c>
      <x:c r="J2008" s="8" t="n">
        <x:v>46303.476655092585</x:v>
      </x:c>
      <x:c r="K2008" s="8" t="n">
        <x:v>46303.47668981481</x:v>
      </x:c>
      <x:c r="L2008" s="2" t="str">
        <x:v>Sent</x:v>
      </x:c>
      <x:c r="M2008" s="2" t="n">
        <x:v>1</x:v>
      </x:c>
      <x:c r="N2008" s="2"/>
      <x:c r="O2008" s="2"/>
    </x:row>
    <x:row r="2009" ht="21" customHeight="1">
      <x:c r="A2009" s="2" t="str">
        <x:v>NT002008</x:v>
      </x:c>
      <x:c r="B2009" s="2" t="str">
        <x:v>EV002010</x:v>
      </x:c>
      <x:c r="C2009" s="2" t="str">
        <x:v>T20261008-2-1</x:v>
      </x:c>
      <x:c r="D2009" s="2" t="str">
        <x:v>ST038</x:v>
      </x:c>
      <x:c r="E2009" s="2" t="str">
        <x:v>G038</x:v>
      </x:c>
      <x:c r="F2009" s="2" t="str">
        <x:v>guardian038@example.invalid</x:v>
      </x:c>
      <x:c r="G2009" s="2" t="str">
        <x:v>Email</x:v>
      </x:c>
      <x:c r="H2009" s="2" t="str">
        <x:v>School receipt</x:v>
      </x:c>
      <x:c r="I2009" s="8" t="n">
        <x:v>46303.50684027778</x:v>
      </x:c>
      <x:c r="J2009" s="8" t="n">
        <x:v>46303.50686342593</x:v>
      </x:c>
      <x:c r="K2009" s="8" t="n">
        <x:v>46303.50689814815</x:v>
      </x:c>
      <x:c r="L2009" s="2" t="str">
        <x:v>Sent</x:v>
      </x:c>
      <x:c r="M2009" s="2" t="n">
        <x:v>1</x:v>
      </x:c>
      <x:c r="N2009" s="2"/>
      <x:c r="O2009" s="2"/>
    </x:row>
    <x:row r="2010" ht="21" customHeight="1">
      <x:c r="A2010" s="2" t="str">
        <x:v>NT002009</x:v>
      </x:c>
      <x:c r="B2010" s="2" t="str">
        <x:v>EV002011</x:v>
      </x:c>
      <x:c r="C2010" s="2" t="str">
        <x:v>T20261008-2-1</x:v>
      </x:c>
      <x:c r="D2010" s="2" t="str">
        <x:v>ST039</x:v>
      </x:c>
      <x:c r="E2010" s="2" t="str">
        <x:v>G039</x:v>
      </x:c>
      <x:c r="F2010" s="2" t="str">
        <x:v>guardian039@example.invalid</x:v>
      </x:c>
      <x:c r="G2010" s="2" t="str">
        <x:v>Email</x:v>
      </x:c>
      <x:c r="H2010" s="2" t="str">
        <x:v>Boarded</x:v>
      </x:c>
      <x:c r="I2010" s="8" t="n">
        <x:v>46303.481527777774</x:v>
      </x:c>
      <x:c r="J2010" s="8" t="n">
        <x:v>46303.48155092592</x:v>
      </x:c>
      <x:c r="K2010" s="8" t="n">
        <x:v>46303.481585648144</x:v>
      </x:c>
      <x:c r="L2010" s="2" t="str">
        <x:v>Sent</x:v>
      </x:c>
      <x:c r="M2010" s="2" t="n">
        <x:v>1</x:v>
      </x:c>
      <x:c r="N2010" s="2"/>
      <x:c r="O2010" s="2"/>
    </x:row>
    <x:row r="2011" ht="21" customHeight="1">
      <x:c r="A2011" s="2" t="str">
        <x:v>NT002010</x:v>
      </x:c>
      <x:c r="B2011" s="2" t="str">
        <x:v>EV002012</x:v>
      </x:c>
      <x:c r="C2011" s="2" t="str">
        <x:v>T20261008-2-1</x:v>
      </x:c>
      <x:c r="D2011" s="2" t="str">
        <x:v>ST039</x:v>
      </x:c>
      <x:c r="E2011" s="2" t="str">
        <x:v>G039</x:v>
      </x:c>
      <x:c r="F2011" s="2" t="str">
        <x:v>guardian039@example.invalid</x:v>
      </x:c>
      <x:c r="G2011" s="2" t="str">
        <x:v>Email</x:v>
      </x:c>
      <x:c r="H2011" s="2" t="str">
        <x:v>School receipt</x:v>
      </x:c>
      <x:c r="I2011" s="8" t="n">
        <x:v>46303.50687500001</x:v>
      </x:c>
      <x:c r="J2011" s="8" t="n">
        <x:v>46303.50689814815</x:v>
      </x:c>
      <x:c r="K2011" s="8" t="n">
        <x:v>46303.506932870376</x:v>
      </x:c>
      <x:c r="L2011" s="2" t="str">
        <x:v>Sent</x:v>
      </x:c>
      <x:c r="M2011" s="2" t="n">
        <x:v>1</x:v>
      </x:c>
      <x:c r="N2011" s="2"/>
      <x:c r="O2011" s="2"/>
    </x:row>
    <x:row r="2012" ht="21" customHeight="1">
      <x:c r="A2012" s="2" t="str">
        <x:v>NT002011</x:v>
      </x:c>
      <x:c r="B2012" s="2" t="str">
        <x:v>EV002013</x:v>
      </x:c>
      <x:c r="C2012" s="2" t="str">
        <x:v>T20261008-2-1</x:v>
      </x:c>
      <x:c r="D2012" s="2" t="str">
        <x:v>ST040</x:v>
      </x:c>
      <x:c r="E2012" s="2" t="str">
        <x:v>G040</x:v>
      </x:c>
      <x:c r="F2012" s="2" t="str">
        <x:v>guardian040@example.invalid</x:v>
      </x:c>
      <x:c r="G2012" s="2" t="str">
        <x:v>Email</x:v>
      </x:c>
      <x:c r="H2012" s="2" t="str">
        <x:v>Boarded</x:v>
      </x:c>
      <x:c r="I2012" s="8" t="n">
        <x:v>46303.47184027778</x:v>
      </x:c>
      <x:c r="J2012" s="8" t="n">
        <x:v>46303.471863425926</x:v>
      </x:c>
      <x:c r="K2012" s="8" t="n">
        <x:v>46303.47189814815</x:v>
      </x:c>
      <x:c r="L2012" s="2" t="str">
        <x:v>Sent</x:v>
      </x:c>
      <x:c r="M2012" s="2" t="n">
        <x:v>1</x:v>
      </x:c>
      <x:c r="N2012" s="2"/>
      <x:c r="O2012" s="2"/>
    </x:row>
    <x:row r="2013" ht="21" customHeight="1">
      <x:c r="A2013" s="2" t="str">
        <x:v>NT002012</x:v>
      </x:c>
      <x:c r="B2013" s="2" t="str">
        <x:v>EV002014</x:v>
      </x:c>
      <x:c r="C2013" s="2" t="str">
        <x:v>T20261008-2-1</x:v>
      </x:c>
      <x:c r="D2013" s="2" t="str">
        <x:v>ST040</x:v>
      </x:c>
      <x:c r="E2013" s="2" t="str">
        <x:v>G040</x:v>
      </x:c>
      <x:c r="F2013" s="2" t="str">
        <x:v>guardian040@example.invalid</x:v>
      </x:c>
      <x:c r="G2013" s="2" t="str">
        <x:v>Email</x:v>
      </x:c>
      <x:c r="H2013" s="2" t="str">
        <x:v>School receipt</x:v>
      </x:c>
      <x:c r="I2013" s="8" t="n">
        <x:v>46303.50690972222</x:v>
      </x:c>
      <x:c r="J2013" s="8" t="n">
        <x:v>46303.50693287037</x:v>
      </x:c>
      <x:c r="K2013" s="8" t="n">
        <x:v>46303.50696759259</x:v>
      </x:c>
      <x:c r="L2013" s="2" t="str">
        <x:v>Sent</x:v>
      </x:c>
      <x:c r="M2013" s="2" t="n">
        <x:v>1</x:v>
      </x:c>
      <x:c r="N2013" s="2"/>
      <x:c r="O2013" s="2"/>
    </x:row>
    <x:row r="2014" ht="21" customHeight="1">
      <x:c r="A2014" s="2" t="str">
        <x:v>NT002013</x:v>
      </x:c>
      <x:c r="B2014" s="2" t="str">
        <x:v>EV002015</x:v>
      </x:c>
      <x:c r="C2014" s="2" t="str">
        <x:v>T20261008-3-1</x:v>
      </x:c>
      <x:c r="D2014" s="2" t="str">
        <x:v>ST011</x:v>
      </x:c>
      <x:c r="E2014" s="2" t="str">
        <x:v>G011</x:v>
      </x:c>
      <x:c r="F2014" s="2" t="str">
        <x:v>guardian011@example.invalid</x:v>
      </x:c>
      <x:c r="G2014" s="2" t="str">
        <x:v>Email</x:v>
      </x:c>
      <x:c r="H2014" s="2" t="str">
        <x:v>Boarded</x:v>
      </x:c>
      <x:c r="I2014" s="8" t="n">
        <x:v>46303.57291666667</x:v>
      </x:c>
      <x:c r="J2014" s="8" t="n">
        <x:v>46303.57293981482</x:v>
      </x:c>
      <x:c r="K2014" s="8" t="n">
        <x:v>46303.57297453704</x:v>
      </x:c>
      <x:c r="L2014" s="2" t="str">
        <x:v>Sent</x:v>
      </x:c>
      <x:c r="M2014" s="2" t="n">
        <x:v>1</x:v>
      </x:c>
      <x:c r="N2014" s="2"/>
      <x:c r="O2014" s="2"/>
    </x:row>
    <x:row r="2015" ht="21" customHeight="1">
      <x:c r="A2015" s="2" t="str">
        <x:v>NT002014</x:v>
      </x:c>
      <x:c r="B2015" s="2" t="str">
        <x:v>EV002016</x:v>
      </x:c>
      <x:c r="C2015" s="2" t="str">
        <x:v>T20261008-3-1</x:v>
      </x:c>
      <x:c r="D2015" s="2" t="str">
        <x:v>ST011</x:v>
      </x:c>
      <x:c r="E2015" s="2" t="str">
        <x:v>G011</x:v>
      </x:c>
      <x:c r="F2015" s="2" t="str">
        <x:v>guardian011@example.invalid</x:v>
      </x:c>
      <x:c r="G2015" s="2" t="str">
        <x:v>Email</x:v>
      </x:c>
      <x:c r="H2015" s="2" t="str">
        <x:v>Authorized release</x:v>
      </x:c>
      <x:c r="I2015" s="8" t="n">
        <x:v>46303.59027777778</x:v>
      </x:c>
      <x:c r="J2015" s="8" t="n">
        <x:v>46303.59030092593</x:v>
      </x:c>
      <x:c r="K2015" s="8" t="n">
        <x:v>46303.59033564815</x:v>
      </x:c>
      <x:c r="L2015" s="2" t="str">
        <x:v>Sent</x:v>
      </x:c>
      <x:c r="M2015" s="2" t="n">
        <x:v>1</x:v>
      </x:c>
      <x:c r="N2015" s="2"/>
      <x:c r="O2015" s="2"/>
    </x:row>
    <x:row r="2016" ht="21" customHeight="1">
      <x:c r="A2016" s="2" t="str">
        <x:v>NT002015</x:v>
      </x:c>
      <x:c r="B2016" s="2" t="str">
        <x:v>EV002017</x:v>
      </x:c>
      <x:c r="C2016" s="2" t="str">
        <x:v>T20261008-3-1</x:v>
      </x:c>
      <x:c r="D2016" s="2" t="str">
        <x:v>ST012</x:v>
      </x:c>
      <x:c r="E2016" s="2" t="str">
        <x:v>G012</x:v>
      </x:c>
      <x:c r="F2016" s="2" t="str">
        <x:v>guardian012@example.invalid</x:v>
      </x:c>
      <x:c r="G2016" s="2" t="str">
        <x:v>Email</x:v>
      </x:c>
      <x:c r="H2016" s="2" t="str">
        <x:v>Boarded</x:v>
      </x:c>
      <x:c r="I2016" s="8" t="n">
        <x:v>46303.572951388895</x:v>
      </x:c>
      <x:c r="J2016" s="8" t="n">
        <x:v>46303.57297453704</x:v>
      </x:c>
      <x:c r="K2016" s="8" t="n">
        <x:v>46303.573009259264</x:v>
      </x:c>
      <x:c r="L2016" s="2" t="str">
        <x:v>Sent</x:v>
      </x:c>
      <x:c r="M2016" s="2" t="n">
        <x:v>1</x:v>
      </x:c>
      <x:c r="N2016" s="2"/>
      <x:c r="O2016" s="2"/>
    </x:row>
    <x:row r="2017" ht="21" customHeight="1">
      <x:c r="A2017" s="2" t="str">
        <x:v>NT002016</x:v>
      </x:c>
      <x:c r="B2017" s="2" t="str">
        <x:v>EV002018</x:v>
      </x:c>
      <x:c r="C2017" s="2" t="str">
        <x:v>T20261008-3-1</x:v>
      </x:c>
      <x:c r="D2017" s="2" t="str">
        <x:v>ST012</x:v>
      </x:c>
      <x:c r="E2017" s="2" t="str">
        <x:v>G012</x:v>
      </x:c>
      <x:c r="F2017" s="2" t="str">
        <x:v>guardian012@example.invalid</x:v>
      </x:c>
      <x:c r="G2017" s="2" t="str">
        <x:v>Email</x:v>
      </x:c>
      <x:c r="H2017" s="2" t="str">
        <x:v>Authorized release</x:v>
      </x:c>
      <x:c r="I2017" s="8" t="n">
        <x:v>46303.59447916667</x:v>
      </x:c>
      <x:c r="J2017" s="8" t="n">
        <x:v>46303.594502314816</x:v>
      </x:c>
      <x:c r="K2017" s="8" t="n">
        <x:v>46303.59453703704</x:v>
      </x:c>
      <x:c r="L2017" s="2" t="str">
        <x:v>Sent</x:v>
      </x:c>
      <x:c r="M2017" s="2" t="n">
        <x:v>1</x:v>
      </x:c>
      <x:c r="N2017" s="2"/>
      <x:c r="O2017" s="2"/>
    </x:row>
    <x:row r="2018" ht="21" customHeight="1">
      <x:c r="A2018" s="2" t="str">
        <x:v>NT002017</x:v>
      </x:c>
      <x:c r="B2018" s="2" t="str">
        <x:v>EV002019</x:v>
      </x:c>
      <x:c r="C2018" s="2" t="str">
        <x:v>T20261008-3-1</x:v>
      </x:c>
      <x:c r="D2018" s="2" t="str">
        <x:v>ST013</x:v>
      </x:c>
      <x:c r="E2018" s="2" t="str">
        <x:v>G013</x:v>
      </x:c>
      <x:c r="F2018" s="2" t="str">
        <x:v>guardian013@example.invalid</x:v>
      </x:c>
      <x:c r="G2018" s="2" t="str">
        <x:v>Email</x:v>
      </x:c>
      <x:c r="H2018" s="2" t="str">
        <x:v>Boarded</x:v>
      </x:c>
      <x:c r="I2018" s="8" t="n">
        <x:v>46303.57298611112</x:v>
      </x:c>
      <x:c r="J2018" s="8" t="n">
        <x:v>46303.573009259264</x:v>
      </x:c>
      <x:c r="K2018" s="8" t="n">
        <x:v>46303.57304398149</x:v>
      </x:c>
      <x:c r="L2018" s="2" t="str">
        <x:v>Sent</x:v>
      </x:c>
      <x:c r="M2018" s="2" t="n">
        <x:v>1</x:v>
      </x:c>
      <x:c r="N2018" s="2"/>
      <x:c r="O2018" s="2"/>
    </x:row>
    <x:row r="2019" ht="21" customHeight="1">
      <x:c r="A2019" s="2" t="str">
        <x:v>NT002018</x:v>
      </x:c>
      <x:c r="B2019" s="2" t="str">
        <x:v>EV002020</x:v>
      </x:c>
      <x:c r="C2019" s="2" t="str">
        <x:v>T20261008-3-1</x:v>
      </x:c>
      <x:c r="D2019" s="2" t="str">
        <x:v>ST013</x:v>
      </x:c>
      <x:c r="E2019" s="2" t="str">
        <x:v>G013</x:v>
      </x:c>
      <x:c r="F2019" s="2" t="str">
        <x:v>guardian013@example.invalid</x:v>
      </x:c>
      <x:c r="G2019" s="2" t="str">
        <x:v>Email</x:v>
      </x:c>
      <x:c r="H2019" s="2" t="str">
        <x:v>Authorized release</x:v>
      </x:c>
      <x:c r="I2019" s="8" t="n">
        <x:v>46303.58618055556</x:v>
      </x:c>
      <x:c r="J2019" s="8" t="n">
        <x:v>46303.58620370371</x:v>
      </x:c>
      <x:c r="K2019" s="8" t="n">
        <x:v>46303.58623842593</x:v>
      </x:c>
      <x:c r="L2019" s="2" t="str">
        <x:v>Sent</x:v>
      </x:c>
      <x:c r="M2019" s="2" t="n">
        <x:v>1</x:v>
      </x:c>
      <x:c r="N2019" s="2"/>
      <x:c r="O2019" s="2"/>
    </x:row>
    <x:row r="2020" ht="21" customHeight="1">
      <x:c r="A2020" s="2" t="str">
        <x:v>NT002019</x:v>
      </x:c>
      <x:c r="B2020" s="2" t="str">
        <x:v>EV002021</x:v>
      </x:c>
      <x:c r="C2020" s="2" t="str">
        <x:v>T20261008-3-1</x:v>
      </x:c>
      <x:c r="D2020" s="2" t="str">
        <x:v>ST014</x:v>
      </x:c>
      <x:c r="E2020" s="2" t="str">
        <x:v>G014</x:v>
      </x:c>
      <x:c r="F2020" s="2" t="str">
        <x:v>guardian014@example.invalid</x:v>
      </x:c>
      <x:c r="G2020" s="2" t="str">
        <x:v>Email</x:v>
      </x:c>
      <x:c r="H2020" s="2" t="str">
        <x:v>Boarded</x:v>
      </x:c>
      <x:c r="I2020" s="8" t="n">
        <x:v>46303.57302083334</x:v>
      </x:c>
      <x:c r="J2020" s="8" t="n">
        <x:v>46303.57304398149</x:v>
      </x:c>
      <x:c r="K2020" s="8" t="n">
        <x:v>46303.57307870371</x:v>
      </x:c>
      <x:c r="L2020" s="2" t="str">
        <x:v>Sent</x:v>
      </x:c>
      <x:c r="M2020" s="2" t="n">
        <x:v>1</x:v>
      </x:c>
      <x:c r="N2020" s="2"/>
      <x:c r="O2020" s="2"/>
    </x:row>
    <x:row r="2021" ht="21" customHeight="1">
      <x:c r="A2021" s="2" t="str">
        <x:v>NT002020</x:v>
      </x:c>
      <x:c r="B2021" s="2" t="str">
        <x:v>EV002022</x:v>
      </x:c>
      <x:c r="C2021" s="2" t="str">
        <x:v>T20261008-3-1</x:v>
      </x:c>
      <x:c r="D2021" s="2" t="str">
        <x:v>ST014</x:v>
      </x:c>
      <x:c r="E2021" s="2" t="str">
        <x:v>G014</x:v>
      </x:c>
      <x:c r="F2021" s="2" t="str">
        <x:v>guardian014@example.invalid</x:v>
      </x:c>
      <x:c r="G2021" s="2" t="str">
        <x:v>Email</x:v>
      </x:c>
      <x:c r="H2021" s="2" t="str">
        <x:v>Authorized release</x:v>
      </x:c>
      <x:c r="I2021" s="8" t="n">
        <x:v>46303.59038194445</x:v>
      </x:c>
      <x:c r="J2021" s="8" t="n">
        <x:v>46303.5904050926</x:v>
      </x:c>
      <x:c r="K2021" s="8" t="n">
        <x:v>46303.59043981482</x:v>
      </x:c>
      <x:c r="L2021" s="2" t="str">
        <x:v>Sent</x:v>
      </x:c>
      <x:c r="M2021" s="2" t="n">
        <x:v>1</x:v>
      </x:c>
      <x:c r="N2021" s="2"/>
      <x:c r="O2021" s="2"/>
    </x:row>
    <x:row r="2022" ht="21" customHeight="1">
      <x:c r="A2022" s="2" t="str">
        <x:v>NT002021</x:v>
      </x:c>
      <x:c r="B2022" s="2" t="str">
        <x:v>EV002023</x:v>
      </x:c>
      <x:c r="C2022" s="2" t="str">
        <x:v>T20261008-3-1</x:v>
      </x:c>
      <x:c r="D2022" s="2" t="str">
        <x:v>ST015</x:v>
      </x:c>
      <x:c r="E2022" s="2" t="str">
        <x:v>G015</x:v>
      </x:c>
      <x:c r="F2022" s="2" t="str">
        <x:v>guardian015@example.invalid</x:v>
      </x:c>
      <x:c r="G2022" s="2" t="str">
        <x:v>Email</x:v>
      </x:c>
      <x:c r="H2022" s="2" t="str">
        <x:v>Boarded</x:v>
      </x:c>
      <x:c r="I2022" s="8" t="n">
        <x:v>46303.573055555564</x:v>
      </x:c>
      <x:c r="J2022" s="8" t="n">
        <x:v>46303.57307870371</x:v>
      </x:c>
      <x:c r="K2022" s="8" t="n">
        <x:v>46303.57311342593</x:v>
      </x:c>
      <x:c r="L2022" s="2" t="str">
        <x:v>Sent</x:v>
      </x:c>
      <x:c r="M2022" s="2" t="n">
        <x:v>1</x:v>
      </x:c>
      <x:c r="N2022" s="2"/>
      <x:c r="O2022" s="2"/>
    </x:row>
    <x:row r="2023" ht="21" customHeight="1">
      <x:c r="A2023" s="2" t="str">
        <x:v>NT002022</x:v>
      </x:c>
      <x:c r="B2023" s="2" t="str">
        <x:v>EV002024</x:v>
      </x:c>
      <x:c r="C2023" s="2" t="str">
        <x:v>T20261008-3-1</x:v>
      </x:c>
      <x:c r="D2023" s="2" t="str">
        <x:v>ST015</x:v>
      </x:c>
      <x:c r="E2023" s="2" t="str">
        <x:v>G015</x:v>
      </x:c>
      <x:c r="F2023" s="2" t="str">
        <x:v>guardian015@example.invalid</x:v>
      </x:c>
      <x:c r="G2023" s="2" t="str">
        <x:v>Email</x:v>
      </x:c>
      <x:c r="H2023" s="2" t="str">
        <x:v>Authorized release</x:v>
      </x:c>
      <x:c r="I2023" s="8" t="n">
        <x:v>46303.59458333334</x:v>
      </x:c>
      <x:c r="J2023" s="8" t="n">
        <x:v>46303.594606481485</x:v>
      </x:c>
      <x:c r="K2023" s="8" t="n">
        <x:v>46303.59464120371</x:v>
      </x:c>
      <x:c r="L2023" s="2" t="str">
        <x:v>Sent</x:v>
      </x:c>
      <x:c r="M2023" s="2" t="n">
        <x:v>1</x:v>
      </x:c>
      <x:c r="N2023" s="2"/>
      <x:c r="O2023" s="2"/>
    </x:row>
    <x:row r="2024" ht="21" customHeight="1">
      <x:c r="A2024" s="2" t="str">
        <x:v>NT002023</x:v>
      </x:c>
      <x:c r="B2024" s="2" t="str">
        <x:v>EV002025</x:v>
      </x:c>
      <x:c r="C2024" s="2" t="str">
        <x:v>T20261008-3-1</x:v>
      </x:c>
      <x:c r="D2024" s="2" t="str">
        <x:v>ST016</x:v>
      </x:c>
      <x:c r="E2024" s="2" t="str">
        <x:v>G016</x:v>
      </x:c>
      <x:c r="F2024" s="2" t="str">
        <x:v>guardian016@example.invalid</x:v>
      </x:c>
      <x:c r="G2024" s="2" t="str">
        <x:v>Email</x:v>
      </x:c>
      <x:c r="H2024" s="2" t="str">
        <x:v>Boarded</x:v>
      </x:c>
      <x:c r="I2024" s="8" t="n">
        <x:v>46303.57309027778</x:v>
      </x:c>
      <x:c r="J2024" s="8" t="n">
        <x:v>46303.573113425926</x:v>
      </x:c>
      <x:c r="K2024" s="8" t="n">
        <x:v>46303.57314814815</x:v>
      </x:c>
      <x:c r="L2024" s="2" t="str">
        <x:v>Sent</x:v>
      </x:c>
      <x:c r="M2024" s="2" t="n">
        <x:v>1</x:v>
      </x:c>
      <x:c r="N2024" s="2"/>
      <x:c r="O2024" s="2"/>
    </x:row>
    <x:row r="2025" ht="21" customHeight="1">
      <x:c r="A2025" s="2" t="str">
        <x:v>NT002024</x:v>
      </x:c>
      <x:c r="B2025" s="2" t="str">
        <x:v>EV002026</x:v>
      </x:c>
      <x:c r="C2025" s="2" t="str">
        <x:v>T20261008-3-1</x:v>
      </x:c>
      <x:c r="D2025" s="2" t="str">
        <x:v>ST016</x:v>
      </x:c>
      <x:c r="E2025" s="2" t="str">
        <x:v>G016</x:v>
      </x:c>
      <x:c r="F2025" s="2" t="str">
        <x:v>guardian016@example.invalid</x:v>
      </x:c>
      <x:c r="G2025" s="2" t="str">
        <x:v>Email</x:v>
      </x:c>
      <x:c r="H2025" s="2" t="str">
        <x:v>Authorized release</x:v>
      </x:c>
      <x:c r="I2025" s="8" t="n">
        <x:v>46303.58628472222</x:v>
      </x:c>
      <x:c r="J2025" s="8" t="n">
        <x:v>46303.58630787037</x:v>
      </x:c>
      <x:c r="K2025" s="8" t="n">
        <x:v>46303.58634259259</x:v>
      </x:c>
      <x:c r="L2025" s="2" t="str">
        <x:v>Sent</x:v>
      </x:c>
      <x:c r="M2025" s="2" t="n">
        <x:v>1</x:v>
      </x:c>
      <x:c r="N2025" s="2"/>
      <x:c r="O2025" s="2"/>
    </x:row>
    <x:row r="2026" ht="21" customHeight="1">
      <x:c r="A2026" s="2" t="str">
        <x:v>NT002025</x:v>
      </x:c>
      <x:c r="B2026" s="2" t="str">
        <x:v>EV002027</x:v>
      </x:c>
      <x:c r="C2026" s="2" t="str">
        <x:v>T20261008-3-1</x:v>
      </x:c>
      <x:c r="D2026" s="2" t="str">
        <x:v>ST017</x:v>
      </x:c>
      <x:c r="E2026" s="2" t="str">
        <x:v>G017</x:v>
      </x:c>
      <x:c r="F2026" s="2" t="str">
        <x:v>guardian017@example.invalid</x:v>
      </x:c>
      <x:c r="G2026" s="2" t="str">
        <x:v>Email</x:v>
      </x:c>
      <x:c r="H2026" s="2" t="str">
        <x:v>Boarded</x:v>
      </x:c>
      <x:c r="I2026" s="8" t="n">
        <x:v>46303.573125</x:v>
      </x:c>
      <x:c r="J2026" s="8" t="n">
        <x:v>46303.57314814815</x:v>
      </x:c>
      <x:c r="K2026" s="8" t="n">
        <x:v>46303.57318287037</x:v>
      </x:c>
      <x:c r="L2026" s="2" t="str">
        <x:v>Sent</x:v>
      </x:c>
      <x:c r="M2026" s="2" t="n">
        <x:v>1</x:v>
      </x:c>
      <x:c r="N2026" s="2"/>
      <x:c r="O2026" s="2"/>
    </x:row>
    <x:row r="2027" ht="21" customHeight="1">
      <x:c r="A2027" s="2" t="str">
        <x:v>NT002026</x:v>
      </x:c>
      <x:c r="B2027" s="2" t="str">
        <x:v>EV002028</x:v>
      </x:c>
      <x:c r="C2027" s="2" t="str">
        <x:v>T20261008-3-1</x:v>
      </x:c>
      <x:c r="D2027" s="2" t="str">
        <x:v>ST017</x:v>
      </x:c>
      <x:c r="E2027" s="2" t="str">
        <x:v>G017</x:v>
      </x:c>
      <x:c r="F2027" s="2" t="str">
        <x:v>guardian017@example.invalid</x:v>
      </x:c>
      <x:c r="G2027" s="2" t="str">
        <x:v>Email</x:v>
      </x:c>
      <x:c r="H2027" s="2" t="str">
        <x:v>Authorized release</x:v>
      </x:c>
      <x:c r="I2027" s="8" t="n">
        <x:v>46303.59048611111</x:v>
      </x:c>
      <x:c r="J2027" s="8" t="n">
        <x:v>46303.59050925926</x:v>
      </x:c>
      <x:c r="K2027" s="8" t="n">
        <x:v>46303.59054398148</x:v>
      </x:c>
      <x:c r="L2027" s="2" t="str">
        <x:v>Sent</x:v>
      </x:c>
      <x:c r="M2027" s="2" t="n">
        <x:v>1</x:v>
      </x:c>
      <x:c r="N2027" s="2"/>
      <x:c r="O2027" s="2"/>
    </x:row>
    <x:row r="2028" ht="21" customHeight="1">
      <x:c r="A2028" s="2" t="str">
        <x:v>NT002027</x:v>
      </x:c>
      <x:c r="B2028" s="2" t="str">
        <x:v>EV002029</x:v>
      </x:c>
      <x:c r="C2028" s="2" t="str">
        <x:v>T20261008-3-1</x:v>
      </x:c>
      <x:c r="D2028" s="2" t="str">
        <x:v>ST018</x:v>
      </x:c>
      <x:c r="E2028" s="2" t="str">
        <x:v>G018</x:v>
      </x:c>
      <x:c r="F2028" s="2" t="str">
        <x:v>guardian018@example.invalid</x:v>
      </x:c>
      <x:c r="G2028" s="2" t="str">
        <x:v>Email</x:v>
      </x:c>
      <x:c r="H2028" s="2" t="str">
        <x:v>Boarded</x:v>
      </x:c>
      <x:c r="I2028" s="8" t="n">
        <x:v>46303.573159722226</x:v>
      </x:c>
      <x:c r="J2028" s="8" t="n">
        <x:v>46303.57318287037</x:v>
      </x:c>
      <x:c r="K2028" s="8" t="n">
        <x:v>46303.573217592595</x:v>
      </x:c>
      <x:c r="L2028" s="2" t="str">
        <x:v>Sent</x:v>
      </x:c>
      <x:c r="M2028" s="2" t="n">
        <x:v>1</x:v>
      </x:c>
      <x:c r="N2028" s="2"/>
      <x:c r="O2028" s="2"/>
    </x:row>
    <x:row r="2029" ht="21" customHeight="1">
      <x:c r="A2029" s="2" t="str">
        <x:v>NT002028</x:v>
      </x:c>
      <x:c r="B2029" s="2" t="str">
        <x:v>EV002030</x:v>
      </x:c>
      <x:c r="C2029" s="2" t="str">
        <x:v>T20261008-3-1</x:v>
      </x:c>
      <x:c r="D2029" s="2" t="str">
        <x:v>ST018</x:v>
      </x:c>
      <x:c r="E2029" s="2" t="str">
        <x:v>G018</x:v>
      </x:c>
      <x:c r="F2029" s="2" t="str">
        <x:v>guardian018@example.invalid</x:v>
      </x:c>
      <x:c r="G2029" s="2" t="str">
        <x:v>Email</x:v>
      </x:c>
      <x:c r="H2029" s="2" t="str">
        <x:v>Authorized release</x:v>
      </x:c>
      <x:c r="I2029" s="8" t="n">
        <x:v>46303.5946875</x:v>
      </x:c>
      <x:c r="J2029" s="8" t="n">
        <x:v>46303.59471064815</x:v>
      </x:c>
      <x:c r="K2029" s="8" t="n">
        <x:v>46303.59474537037</x:v>
      </x:c>
      <x:c r="L2029" s="2" t="str">
        <x:v>Sent</x:v>
      </x:c>
      <x:c r="M2029" s="2" t="n">
        <x:v>1</x:v>
      </x:c>
      <x:c r="N2029" s="2"/>
      <x:c r="O2029" s="2"/>
    </x:row>
    <x:row r="2030" ht="21" customHeight="1">
      <x:c r="A2030" s="2" t="str">
        <x:v>NT002029</x:v>
      </x:c>
      <x:c r="B2030" s="2" t="str">
        <x:v>EV002031</x:v>
      </x:c>
      <x:c r="C2030" s="2" t="str">
        <x:v>T20261008-3-1</x:v>
      </x:c>
      <x:c r="D2030" s="2" t="str">
        <x:v>ST019</x:v>
      </x:c>
      <x:c r="E2030" s="2" t="str">
        <x:v>G019</x:v>
      </x:c>
      <x:c r="F2030" s="2" t="str">
        <x:v>guardian019@example.invalid</x:v>
      </x:c>
      <x:c r="G2030" s="2" t="str">
        <x:v>Email</x:v>
      </x:c>
      <x:c r="H2030" s="2" t="str">
        <x:v>Boarded</x:v>
      </x:c>
      <x:c r="I2030" s="8" t="n">
        <x:v>46303.57319444445</x:v>
      </x:c>
      <x:c r="J2030" s="8" t="n">
        <x:v>46303.573217592595</x:v>
      </x:c>
      <x:c r="K2030" s="8" t="n">
        <x:v>46303.57325231482</x:v>
      </x:c>
      <x:c r="L2030" s="2" t="str">
        <x:v>Sent</x:v>
      </x:c>
      <x:c r="M2030" s="2" t="n">
        <x:v>1</x:v>
      </x:c>
      <x:c r="N2030" s="2"/>
      <x:c r="O2030" s="2"/>
    </x:row>
    <x:row r="2031" ht="21" customHeight="1">
      <x:c r="A2031" s="2" t="str">
        <x:v>NT002030</x:v>
      </x:c>
      <x:c r="B2031" s="2" t="str">
        <x:v>EV002032</x:v>
      </x:c>
      <x:c r="C2031" s="2" t="str">
        <x:v>T20261008-3-1</x:v>
      </x:c>
      <x:c r="D2031" s="2" t="str">
        <x:v>ST019</x:v>
      </x:c>
      <x:c r="E2031" s="2" t="str">
        <x:v>G019</x:v>
      </x:c>
      <x:c r="F2031" s="2" t="str">
        <x:v>guardian019@example.invalid</x:v>
      </x:c>
      <x:c r="G2031" s="2" t="str">
        <x:v>Email</x:v>
      </x:c>
      <x:c r="H2031" s="2" t="str">
        <x:v>Authorized release</x:v>
      </x:c>
      <x:c r="I2031" s="8" t="n">
        <x:v>46303.58638888889</x:v>
      </x:c>
      <x:c r="J2031" s="8" t="n">
        <x:v>46303.58641203704</x:v>
      </x:c>
      <x:c r="K2031" s="8" t="n">
        <x:v>46303.58644675926</x:v>
      </x:c>
      <x:c r="L2031" s="2" t="str">
        <x:v>Sent</x:v>
      </x:c>
      <x:c r="M2031" s="2" t="n">
        <x:v>1</x:v>
      </x:c>
      <x:c r="N2031" s="2"/>
      <x:c r="O2031" s="2"/>
    </x:row>
    <x:row r="2032" ht="21" customHeight="1">
      <x:c r="A2032" s="2" t="str">
        <x:v>NT002031</x:v>
      </x:c>
      <x:c r="B2032" s="2" t="str">
        <x:v>EV002033</x:v>
      </x:c>
      <x:c r="C2032" s="2" t="str">
        <x:v>T20261008-3-1</x:v>
      </x:c>
      <x:c r="D2032" s="2" t="str">
        <x:v>ST020</x:v>
      </x:c>
      <x:c r="E2032" s="2" t="str">
        <x:v>G020</x:v>
      </x:c>
      <x:c r="F2032" s="2" t="str">
        <x:v>guardian020@example.invalid</x:v>
      </x:c>
      <x:c r="G2032" s="2" t="str">
        <x:v>Email</x:v>
      </x:c>
      <x:c r="H2032" s="2" t="str">
        <x:v>Boarded</x:v>
      </x:c>
      <x:c r="I2032" s="8" t="n">
        <x:v>46303.57322916667</x:v>
      </x:c>
      <x:c r="J2032" s="8" t="n">
        <x:v>46303.57325231482</x:v>
      </x:c>
      <x:c r="K2032" s="8" t="n">
        <x:v>46303.57328703704</x:v>
      </x:c>
      <x:c r="L2032" s="2" t="str">
        <x:v>Sent</x:v>
      </x:c>
      <x:c r="M2032" s="2" t="n">
        <x:v>1</x:v>
      </x:c>
      <x:c r="N2032" s="2"/>
      <x:c r="O2032" s="2"/>
    </x:row>
    <x:row r="2033" ht="21" customHeight="1">
      <x:c r="A2033" s="2" t="str">
        <x:v>NT002032</x:v>
      </x:c>
      <x:c r="B2033" s="2" t="str">
        <x:v>EV002034</x:v>
      </x:c>
      <x:c r="C2033" s="2" t="str">
        <x:v>T20261008-3-1</x:v>
      </x:c>
      <x:c r="D2033" s="2" t="str">
        <x:v>ST020</x:v>
      </x:c>
      <x:c r="E2033" s="2" t="str">
        <x:v>G020</x:v>
      </x:c>
      <x:c r="F2033" s="2" t="str">
        <x:v>guardian020@example.invalid</x:v>
      </x:c>
      <x:c r="G2033" s="2" t="str">
        <x:v>Email</x:v>
      </x:c>
      <x:c r="H2033" s="2" t="str">
        <x:v>Authorized release</x:v>
      </x:c>
      <x:c r="I2033" s="8" t="n">
        <x:v>46303.59059027778</x:v>
      </x:c>
      <x:c r="J2033" s="8" t="n">
        <x:v>46303.59061342593</x:v>
      </x:c>
      <x:c r="K2033" s="8" t="n">
        <x:v>46303.59064814815</x:v>
      </x:c>
      <x:c r="L2033" s="2" t="str">
        <x:v>Sent</x:v>
      </x:c>
      <x:c r="M2033" s="2" t="n">
        <x:v>1</x:v>
      </x:c>
      <x:c r="N2033" s="2"/>
      <x:c r="O2033" s="2"/>
    </x:row>
    <x:row r="2034" ht="21" customHeight="1">
      <x:c r="A2034" s="2" t="str">
        <x:v>NT002033</x:v>
      </x:c>
      <x:c r="B2034" s="2" t="str">
        <x:v>EV002035</x:v>
      </x:c>
      <x:c r="C2034" s="2" t="str">
        <x:v>T20261008-4-1</x:v>
      </x:c>
      <x:c r="D2034" s="2" t="str">
        <x:v>ST021</x:v>
      </x:c>
      <x:c r="E2034" s="2" t="str">
        <x:v>G021</x:v>
      </x:c>
      <x:c r="F2034" s="2" t="str">
        <x:v>guardian021@example.invalid</x:v>
      </x:c>
      <x:c r="G2034" s="2" t="str">
        <x:v>Email</x:v>
      </x:c>
      <x:c r="H2034" s="2" t="str">
        <x:v>Boarded</x:v>
      </x:c>
      <x:c r="I2034" s="8" t="n">
        <x:v>46303.60416666667</x:v>
      </x:c>
      <x:c r="J2034" s="8" t="n">
        <x:v>46303.60418981482</x:v>
      </x:c>
      <x:c r="K2034" s="8" t="n">
        <x:v>46303.60422453704</x:v>
      </x:c>
      <x:c r="L2034" s="2" t="str">
        <x:v>Sent</x:v>
      </x:c>
      <x:c r="M2034" s="2" t="n">
        <x:v>1</x:v>
      </x:c>
      <x:c r="N2034" s="2"/>
      <x:c r="O2034" s="2"/>
    </x:row>
    <x:row r="2035" ht="21" customHeight="1">
      <x:c r="A2035" s="2" t="str">
        <x:v>NT002034</x:v>
      </x:c>
      <x:c r="B2035" s="2" t="str">
        <x:v>EV002036</x:v>
      </x:c>
      <x:c r="C2035" s="2" t="str">
        <x:v>T20261008-4-1</x:v>
      </x:c>
      <x:c r="D2035" s="2" t="str">
        <x:v>ST021</x:v>
      </x:c>
      <x:c r="E2035" s="2" t="str">
        <x:v>G021</x:v>
      </x:c>
      <x:c r="F2035" s="2" t="str">
        <x:v>guardian021@example.invalid</x:v>
      </x:c>
      <x:c r="G2035" s="2" t="str">
        <x:v>Email</x:v>
      </x:c>
      <x:c r="H2035" s="2" t="str">
        <x:v>Authorized release</x:v>
      </x:c>
      <x:c r="I2035" s="8" t="n">
        <x:v>46303.62708333333</x:v>
      </x:c>
      <x:c r="J2035" s="8" t="n">
        <x:v>46303.62710648148</x:v>
      </x:c>
      <x:c r="K2035" s="8" t="n">
        <x:v>46303.6271412037</x:v>
      </x:c>
      <x:c r="L2035" s="2" t="str">
        <x:v>Sent</x:v>
      </x:c>
      <x:c r="M2035" s="2" t="n">
        <x:v>1</x:v>
      </x:c>
      <x:c r="N2035" s="2"/>
      <x:c r="O2035" s="2"/>
    </x:row>
    <x:row r="2036" ht="21" customHeight="1">
      <x:c r="A2036" s="2" t="str">
        <x:v>NT002035</x:v>
      </x:c>
      <x:c r="B2036" s="2" t="str">
        <x:v>EV002037</x:v>
      </x:c>
      <x:c r="C2036" s="2" t="str">
        <x:v>T20261008-4-1</x:v>
      </x:c>
      <x:c r="D2036" s="2" t="str">
        <x:v>ST022</x:v>
      </x:c>
      <x:c r="E2036" s="2" t="str">
        <x:v>G022</x:v>
      </x:c>
      <x:c r="F2036" s="2" t="str">
        <x:v>guardian022@example.invalid</x:v>
      </x:c>
      <x:c r="G2036" s="2" t="str">
        <x:v>Email</x:v>
      </x:c>
      <x:c r="H2036" s="2" t="str">
        <x:v>Boarded</x:v>
      </x:c>
      <x:c r="I2036" s="8" t="n">
        <x:v>46303.604201388895</x:v>
      </x:c>
      <x:c r="J2036" s="8" t="n">
        <x:v>46303.60422453704</x:v>
      </x:c>
      <x:c r="K2036" s="8" t="n">
        <x:v>46303.604259259264</x:v>
      </x:c>
      <x:c r="L2036" s="2" t="str">
        <x:v>Sent</x:v>
      </x:c>
      <x:c r="M2036" s="2" t="n">
        <x:v>1</x:v>
      </x:c>
      <x:c r="N2036" s="2"/>
      <x:c r="O2036" s="2"/>
    </x:row>
    <x:row r="2037" ht="21" customHeight="1">
      <x:c r="A2037" s="2" t="str">
        <x:v>NT002036</x:v>
      </x:c>
      <x:c r="B2037" s="2" t="str">
        <x:v>EV002038</x:v>
      </x:c>
      <x:c r="C2037" s="2" t="str">
        <x:v>T20261008-4-1</x:v>
      </x:c>
      <x:c r="D2037" s="2" t="str">
        <x:v>ST022</x:v>
      </x:c>
      <x:c r="E2037" s="2" t="str">
        <x:v>G022</x:v>
      </x:c>
      <x:c r="F2037" s="2" t="str">
        <x:v>guardian022@example.invalid</x:v>
      </x:c>
      <x:c r="G2037" s="2" t="str">
        <x:v>Email</x:v>
      </x:c>
      <x:c r="H2037" s="2" t="str">
        <x:v>Authorized release</x:v>
      </x:c>
      <x:c r="I2037" s="8" t="n">
        <x:v>46303.618784722225</x:v>
      </x:c>
      <x:c r="J2037" s="8" t="n">
        <x:v>46303.61880787037</x:v>
      </x:c>
      <x:c r="K2037" s="8" t="n">
        <x:v>46303.618842592594</x:v>
      </x:c>
      <x:c r="L2037" s="2" t="str">
        <x:v>Sent</x:v>
      </x:c>
      <x:c r="M2037" s="2" t="n">
        <x:v>1</x:v>
      </x:c>
      <x:c r="N2037" s="2"/>
      <x:c r="O2037" s="2"/>
    </x:row>
    <x:row r="2038" ht="21" customHeight="1">
      <x:c r="A2038" s="2" t="str">
        <x:v>NT002037</x:v>
      </x:c>
      <x:c r="B2038" s="2" t="str">
        <x:v>EV002039</x:v>
      </x:c>
      <x:c r="C2038" s="2" t="str">
        <x:v>T20261008-4-1</x:v>
      </x:c>
      <x:c r="D2038" s="2" t="str">
        <x:v>ST023</x:v>
      </x:c>
      <x:c r="E2038" s="2" t="str">
        <x:v>G023</x:v>
      </x:c>
      <x:c r="F2038" s="2" t="str">
        <x:v>guardian023@example.invalid</x:v>
      </x:c>
      <x:c r="G2038" s="2" t="str">
        <x:v>Email</x:v>
      </x:c>
      <x:c r="H2038" s="2" t="str">
        <x:v>Boarded</x:v>
      </x:c>
      <x:c r="I2038" s="8" t="n">
        <x:v>46303.60423611112</x:v>
      </x:c>
      <x:c r="J2038" s="8" t="n">
        <x:v>46303.604259259264</x:v>
      </x:c>
      <x:c r="K2038" s="8" t="n">
        <x:v>46303.60429398149</x:v>
      </x:c>
      <x:c r="L2038" s="2" t="str">
        <x:v>Sent</x:v>
      </x:c>
      <x:c r="M2038" s="2" t="n">
        <x:v>1</x:v>
      </x:c>
      <x:c r="N2038" s="2"/>
      <x:c r="O2038" s="2"/>
    </x:row>
    <x:row r="2039" ht="21" customHeight="1">
      <x:c r="A2039" s="2" t="str">
        <x:v>NT002038</x:v>
      </x:c>
      <x:c r="B2039" s="2" t="str">
        <x:v>EV002040</x:v>
      </x:c>
      <x:c r="C2039" s="2" t="str">
        <x:v>T20261008-4-1</x:v>
      </x:c>
      <x:c r="D2039" s="2" t="str">
        <x:v>ST023</x:v>
      </x:c>
      <x:c r="E2039" s="2" t="str">
        <x:v>G023</x:v>
      </x:c>
      <x:c r="F2039" s="2" t="str">
        <x:v>guardian023@example.invalid</x:v>
      </x:c>
      <x:c r="G2039" s="2" t="str">
        <x:v>Email</x:v>
      </x:c>
      <x:c r="H2039" s="2" t="str">
        <x:v>Authorized release</x:v>
      </x:c>
      <x:c r="I2039" s="8" t="n">
        <x:v>46303.62298611111</x:v>
      </x:c>
      <x:c r="J2039" s="8" t="n">
        <x:v>46303.62300925926</x:v>
      </x:c>
      <x:c r="K2039" s="8" t="n">
        <x:v>46303.62304398148</x:v>
      </x:c>
      <x:c r="L2039" s="2" t="str">
        <x:v>Sent</x:v>
      </x:c>
      <x:c r="M2039" s="2" t="n">
        <x:v>1</x:v>
      </x:c>
      <x:c r="N2039" s="2"/>
      <x:c r="O2039" s="2"/>
    </x:row>
    <x:row r="2040" ht="21" customHeight="1">
      <x:c r="A2040" s="2" t="str">
        <x:v>NT002039</x:v>
      </x:c>
      <x:c r="B2040" s="2" t="str">
        <x:v>EV002041</x:v>
      </x:c>
      <x:c r="C2040" s="2" t="str">
        <x:v>T20261008-4-1</x:v>
      </x:c>
      <x:c r="D2040" s="2" t="str">
        <x:v>ST024</x:v>
      </x:c>
      <x:c r="E2040" s="2" t="str">
        <x:v>G024</x:v>
      </x:c>
      <x:c r="F2040" s="2" t="str">
        <x:v>guardian024@example.invalid</x:v>
      </x:c>
      <x:c r="G2040" s="2" t="str">
        <x:v>Email</x:v>
      </x:c>
      <x:c r="H2040" s="2" t="str">
        <x:v>Boarded</x:v>
      </x:c>
      <x:c r="I2040" s="8" t="n">
        <x:v>46303.60427083334</x:v>
      </x:c>
      <x:c r="J2040" s="8" t="n">
        <x:v>46303.60429398149</x:v>
      </x:c>
      <x:c r="K2040" s="8" t="n">
        <x:v>46303.60432870371</x:v>
      </x:c>
      <x:c r="L2040" s="2" t="str">
        <x:v>Sent</x:v>
      </x:c>
      <x:c r="M2040" s="2" t="n">
        <x:v>1</x:v>
      </x:c>
      <x:c r="N2040" s="2"/>
      <x:c r="O2040" s="2"/>
    </x:row>
    <x:row r="2041" ht="21" customHeight="1">
      <x:c r="A2041" s="2" t="str">
        <x:v>NT002040</x:v>
      </x:c>
      <x:c r="B2041" s="2" t="str">
        <x:v>EV002042</x:v>
      </x:c>
      <x:c r="C2041" s="2" t="str">
        <x:v>T20261008-4-1</x:v>
      </x:c>
      <x:c r="D2041" s="2" t="str">
        <x:v>ST024</x:v>
      </x:c>
      <x:c r="E2041" s="2" t="str">
        <x:v>G024</x:v>
      </x:c>
      <x:c r="F2041" s="2" t="str">
        <x:v>guardian024@example.invalid</x:v>
      </x:c>
      <x:c r="G2041" s="2" t="str">
        <x:v>Email</x:v>
      </x:c>
      <x:c r="H2041" s="2" t="str">
        <x:v>Authorized release</x:v>
      </x:c>
      <x:c r="I2041" s="8" t="n">
        <x:v>46303.6271875</x:v>
      </x:c>
      <x:c r="J2041" s="8" t="n">
        <x:v>46303.62721064815</x:v>
      </x:c>
      <x:c r="K2041" s="8" t="n">
        <x:v>46303.62724537037</x:v>
      </x:c>
      <x:c r="L2041" s="2" t="str">
        <x:v>Sent</x:v>
      </x:c>
      <x:c r="M2041" s="2" t="n">
        <x:v>1</x:v>
      </x:c>
      <x:c r="N2041" s="2"/>
      <x:c r="O2041" s="2"/>
    </x:row>
    <x:row r="2042" ht="21" customHeight="1">
      <x:c r="A2042" s="2" t="str">
        <x:v>NT002041</x:v>
      </x:c>
      <x:c r="B2042" s="2" t="str">
        <x:v>EV002043</x:v>
      </x:c>
      <x:c r="C2042" s="2" t="str">
        <x:v>T20261008-4-1</x:v>
      </x:c>
      <x:c r="D2042" s="2" t="str">
        <x:v>ST025</x:v>
      </x:c>
      <x:c r="E2042" s="2" t="str">
        <x:v>G025</x:v>
      </x:c>
      <x:c r="F2042" s="2" t="str">
        <x:v>guardian025@example.invalid</x:v>
      </x:c>
      <x:c r="G2042" s="2" t="str">
        <x:v>Email</x:v>
      </x:c>
      <x:c r="H2042" s="2" t="str">
        <x:v>Boarded</x:v>
      </x:c>
      <x:c r="I2042" s="8" t="n">
        <x:v>46303.604305555564</x:v>
      </x:c>
      <x:c r="J2042" s="8" t="n">
        <x:v>46303.60432870371</x:v>
      </x:c>
      <x:c r="K2042" s="8" t="n">
        <x:v>46303.60436342593</x:v>
      </x:c>
      <x:c r="L2042" s="2" t="str">
        <x:v>Sent</x:v>
      </x:c>
      <x:c r="M2042" s="2" t="n">
        <x:v>1</x:v>
      </x:c>
      <x:c r="N2042" s="2"/>
      <x:c r="O2042" s="2"/>
    </x:row>
    <x:row r="2043" ht="21" customHeight="1">
      <x:c r="A2043" s="2" t="str">
        <x:v>NT002042</x:v>
      </x:c>
      <x:c r="B2043" s="2" t="str">
        <x:v>EV002044</x:v>
      </x:c>
      <x:c r="C2043" s="2" t="str">
        <x:v>T20261008-4-1</x:v>
      </x:c>
      <x:c r="D2043" s="2" t="str">
        <x:v>ST025</x:v>
      </x:c>
      <x:c r="E2043" s="2" t="str">
        <x:v>G025</x:v>
      </x:c>
      <x:c r="F2043" s="2" t="str">
        <x:v>guardian025@example.invalid</x:v>
      </x:c>
      <x:c r="G2043" s="2" t="str">
        <x:v>Email</x:v>
      </x:c>
      <x:c r="H2043" s="2" t="str">
        <x:v>Authorized release</x:v>
      </x:c>
      <x:c r="I2043" s="8" t="n">
        <x:v>46303.618888888894</x:v>
      </x:c>
      <x:c r="J2043" s="8" t="n">
        <x:v>46303.61891203704</x:v>
      </x:c>
      <x:c r="K2043" s="8" t="n">
        <x:v>46303.61894675926</x:v>
      </x:c>
      <x:c r="L2043" s="2" t="str">
        <x:v>Sent</x:v>
      </x:c>
      <x:c r="M2043" s="2" t="n">
        <x:v>1</x:v>
      </x:c>
      <x:c r="N2043" s="2"/>
      <x:c r="O2043" s="2"/>
    </x:row>
    <x:row r="2044" ht="21" customHeight="1">
      <x:c r="A2044" s="2" t="str">
        <x:v>NT002043</x:v>
      </x:c>
      <x:c r="B2044" s="2" t="str">
        <x:v>EV002045</x:v>
      </x:c>
      <x:c r="C2044" s="2" t="str">
        <x:v>T20261008-4-1</x:v>
      </x:c>
      <x:c r="D2044" s="2" t="str">
        <x:v>ST026</x:v>
      </x:c>
      <x:c r="E2044" s="2" t="str">
        <x:v>G026</x:v>
      </x:c>
      <x:c r="F2044" s="2" t="str">
        <x:v>guardian026@example.invalid</x:v>
      </x:c>
      <x:c r="G2044" s="2" t="str">
        <x:v>Email</x:v>
      </x:c>
      <x:c r="H2044" s="2" t="str">
        <x:v>Boarded</x:v>
      </x:c>
      <x:c r="I2044" s="8" t="n">
        <x:v>46303.60434027778</x:v>
      </x:c>
      <x:c r="J2044" s="8" t="n">
        <x:v>46303.604363425926</x:v>
      </x:c>
      <x:c r="K2044" s="8" t="n">
        <x:v>46303.60439814815</x:v>
      </x:c>
      <x:c r="L2044" s="2" t="str">
        <x:v>Sent</x:v>
      </x:c>
      <x:c r="M2044" s="2" t="n">
        <x:v>1</x:v>
      </x:c>
      <x:c r="N2044" s="2"/>
      <x:c r="O2044" s="2"/>
    </x:row>
    <x:row r="2045" ht="21" customHeight="1">
      <x:c r="A2045" s="2" t="str">
        <x:v>NT002044</x:v>
      </x:c>
      <x:c r="B2045" s="2" t="str">
        <x:v>EV002046</x:v>
      </x:c>
      <x:c r="C2045" s="2" t="str">
        <x:v>T20261008-4-1</x:v>
      </x:c>
      <x:c r="D2045" s="2" t="str">
        <x:v>ST026</x:v>
      </x:c>
      <x:c r="E2045" s="2" t="str">
        <x:v>G026</x:v>
      </x:c>
      <x:c r="F2045" s="2" t="str">
        <x:v>guardian026@example.invalid</x:v>
      </x:c>
      <x:c r="G2045" s="2" t="str">
        <x:v>Email</x:v>
      </x:c>
      <x:c r="H2045" s="2" t="str">
        <x:v>Authorized release</x:v>
      </x:c>
      <x:c r="I2045" s="8" t="n">
        <x:v>46303.623090277775</x:v>
      </x:c>
      <x:c r="J2045" s="8" t="n">
        <x:v>46303.62311342592</x:v>
      </x:c>
      <x:c r="K2045" s="8" t="n">
        <x:v>46303.623148148145</x:v>
      </x:c>
      <x:c r="L2045" s="2" t="str">
        <x:v>Sent</x:v>
      </x:c>
      <x:c r="M2045" s="2" t="n">
        <x:v>1</x:v>
      </x:c>
      <x:c r="N2045" s="2"/>
      <x:c r="O2045" s="2"/>
    </x:row>
    <x:row r="2046" ht="21" customHeight="1">
      <x:c r="A2046" s="2" t="str">
        <x:v>NT002045</x:v>
      </x:c>
      <x:c r="B2046" s="2" t="str">
        <x:v>EV002047</x:v>
      </x:c>
      <x:c r="C2046" s="2" t="str">
        <x:v>T20261008-4-1</x:v>
      </x:c>
      <x:c r="D2046" s="2" t="str">
        <x:v>ST027</x:v>
      </x:c>
      <x:c r="E2046" s="2" t="str">
        <x:v>G027</x:v>
      </x:c>
      <x:c r="F2046" s="2" t="str">
        <x:v>guardian027@example.invalid</x:v>
      </x:c>
      <x:c r="G2046" s="2" t="str">
        <x:v>Email</x:v>
      </x:c>
      <x:c r="H2046" s="2" t="str">
        <x:v>Boarded</x:v>
      </x:c>
      <x:c r="I2046" s="8" t="n">
        <x:v>46303.604375</x:v>
      </x:c>
      <x:c r="J2046" s="8" t="n">
        <x:v>46303.60439814815</x:v>
      </x:c>
      <x:c r="K2046" s="8" t="n">
        <x:v>46303.60443287037</x:v>
      </x:c>
      <x:c r="L2046" s="2" t="str">
        <x:v>Sent</x:v>
      </x:c>
      <x:c r="M2046" s="2" t="n">
        <x:v>1</x:v>
      </x:c>
      <x:c r="N2046" s="2"/>
      <x:c r="O2046" s="2"/>
    </x:row>
    <x:row r="2047" ht="21" customHeight="1">
      <x:c r="A2047" s="2" t="str">
        <x:v>NT002046</x:v>
      </x:c>
      <x:c r="B2047" s="2" t="str">
        <x:v>EV002048</x:v>
      </x:c>
      <x:c r="C2047" s="2" t="str">
        <x:v>T20261008-4-1</x:v>
      </x:c>
      <x:c r="D2047" s="2" t="str">
        <x:v>ST027</x:v>
      </x:c>
      <x:c r="E2047" s="2" t="str">
        <x:v>G027</x:v>
      </x:c>
      <x:c r="F2047" s="2" t="str">
        <x:v>guardian027@example.invalid</x:v>
      </x:c>
      <x:c r="G2047" s="2" t="str">
        <x:v>Email</x:v>
      </x:c>
      <x:c r="H2047" s="2" t="str">
        <x:v>Authorized release</x:v>
      </x:c>
      <x:c r="I2047" s="8" t="n">
        <x:v>46303.627291666664</x:v>
      </x:c>
      <x:c r="J2047" s="8" t="n">
        <x:v>46303.62731481481</x:v>
      </x:c>
      <x:c r="K2047" s="8" t="n">
        <x:v>46303.62734953703</x:v>
      </x:c>
      <x:c r="L2047" s="2" t="str">
        <x:v>Sent</x:v>
      </x:c>
      <x:c r="M2047" s="2" t="n">
        <x:v>1</x:v>
      </x:c>
      <x:c r="N2047" s="2"/>
      <x:c r="O2047" s="2"/>
    </x:row>
    <x:row r="2048" ht="21" customHeight="1">
      <x:c r="A2048" s="2" t="str">
        <x:v>NT002047</x:v>
      </x:c>
      <x:c r="B2048" s="2" t="str">
        <x:v>EV002049</x:v>
      </x:c>
      <x:c r="C2048" s="2" t="str">
        <x:v>T20261008-4-1</x:v>
      </x:c>
      <x:c r="D2048" s="2" t="str">
        <x:v>ST028</x:v>
      </x:c>
      <x:c r="E2048" s="2" t="str">
        <x:v>G028</x:v>
      </x:c>
      <x:c r="F2048" s="2" t="str">
        <x:v>guardian028@example.invalid</x:v>
      </x:c>
      <x:c r="G2048" s="2" t="str">
        <x:v>Email</x:v>
      </x:c>
      <x:c r="H2048" s="2" t="str">
        <x:v>Boarded</x:v>
      </x:c>
      <x:c r="I2048" s="8" t="n">
        <x:v>46303.604409722226</x:v>
      </x:c>
      <x:c r="J2048" s="8" t="n">
        <x:v>46303.60443287037</x:v>
      </x:c>
      <x:c r="K2048" s="8" t="n">
        <x:v>46303.604467592595</x:v>
      </x:c>
      <x:c r="L2048" s="2" t="str">
        <x:v>Sent</x:v>
      </x:c>
      <x:c r="M2048" s="2" t="n">
        <x:v>1</x:v>
      </x:c>
      <x:c r="N2048" s="2"/>
      <x:c r="O2048" s="2"/>
    </x:row>
    <x:row r="2049" ht="21" customHeight="1">
      <x:c r="A2049" s="2" t="str">
        <x:v>NT002048</x:v>
      </x:c>
      <x:c r="B2049" s="2" t="str">
        <x:v>EV002050</x:v>
      </x:c>
      <x:c r="C2049" s="2" t="str">
        <x:v>T20261008-4-1</x:v>
      </x:c>
      <x:c r="D2049" s="2" t="str">
        <x:v>ST028</x:v>
      </x:c>
      <x:c r="E2049" s="2" t="str">
        <x:v>G028</x:v>
      </x:c>
      <x:c r="F2049" s="2" t="str">
        <x:v>guardian028@example.invalid</x:v>
      </x:c>
      <x:c r="G2049" s="2" t="str">
        <x:v>Email</x:v>
      </x:c>
      <x:c r="H2049" s="2" t="str">
        <x:v>Authorized release</x:v>
      </x:c>
      <x:c r="I2049" s="8" t="n">
        <x:v>46303.618993055556</x:v>
      </x:c>
      <x:c r="J2049" s="8" t="n">
        <x:v>46303.6190162037</x:v>
      </x:c>
      <x:c r="K2049" s="8" t="n">
        <x:v>46303.619050925925</x:v>
      </x:c>
      <x:c r="L2049" s="2" t="str">
        <x:v>Sent</x:v>
      </x:c>
      <x:c r="M2049" s="2" t="n">
        <x:v>1</x:v>
      </x:c>
      <x:c r="N2049" s="2"/>
      <x:c r="O2049" s="2"/>
    </x:row>
    <x:row r="2050" ht="21" customHeight="1">
      <x:c r="A2050" s="2" t="str">
        <x:v>NT002049</x:v>
      </x:c>
      <x:c r="B2050" s="2" t="str">
        <x:v>EV002051</x:v>
      </x:c>
      <x:c r="C2050" s="2" t="str">
        <x:v>T20261008-4-1</x:v>
      </x:c>
      <x:c r="D2050" s="2" t="str">
        <x:v>ST029</x:v>
      </x:c>
      <x:c r="E2050" s="2" t="str">
        <x:v>G029</x:v>
      </x:c>
      <x:c r="F2050" s="2" t="str">
        <x:v>guardian029@example.invalid</x:v>
      </x:c>
      <x:c r="G2050" s="2" t="str">
        <x:v>Email</x:v>
      </x:c>
      <x:c r="H2050" s="2" t="str">
        <x:v>Boarded</x:v>
      </x:c>
      <x:c r="I2050" s="8" t="n">
        <x:v>46303.60444444445</x:v>
      </x:c>
      <x:c r="J2050" s="8" t="n">
        <x:v>46303.604467592595</x:v>
      </x:c>
      <x:c r="K2050" s="8" t="n">
        <x:v>46303.60450231482</x:v>
      </x:c>
      <x:c r="L2050" s="2" t="str">
        <x:v>Sent</x:v>
      </x:c>
      <x:c r="M2050" s="2" t="n">
        <x:v>1</x:v>
      </x:c>
      <x:c r="N2050" s="2"/>
      <x:c r="O2050" s="2"/>
    </x:row>
    <x:row r="2051" ht="21" customHeight="1">
      <x:c r="A2051" s="2" t="str">
        <x:v>NT002050</x:v>
      </x:c>
      <x:c r="B2051" s="2" t="str">
        <x:v>EV002052</x:v>
      </x:c>
      <x:c r="C2051" s="2" t="str">
        <x:v>T20261008-4-1</x:v>
      </x:c>
      <x:c r="D2051" s="2" t="str">
        <x:v>ST029</x:v>
      </x:c>
      <x:c r="E2051" s="2" t="str">
        <x:v>G029</x:v>
      </x:c>
      <x:c r="F2051" s="2" t="str">
        <x:v>guardian029@example.invalid</x:v>
      </x:c>
      <x:c r="G2051" s="2" t="str">
        <x:v>Email</x:v>
      </x:c>
      <x:c r="H2051" s="2" t="str">
        <x:v>Authorized release</x:v>
      </x:c>
      <x:c r="I2051" s="8" t="n">
        <x:v>46303.623194444444</x:v>
      </x:c>
      <x:c r="J2051" s="8" t="n">
        <x:v>46303.62321759259</x:v>
      </x:c>
      <x:c r="K2051" s="8" t="n">
        <x:v>46303.623252314814</x:v>
      </x:c>
      <x:c r="L2051" s="2" t="str">
        <x:v>Sent</x:v>
      </x:c>
      <x:c r="M2051" s="2" t="n">
        <x:v>1</x:v>
      </x:c>
      <x:c r="N2051" s="2"/>
      <x:c r="O2051" s="2"/>
    </x:row>
    <x:row r="2052" ht="21" customHeight="1">
      <x:c r="A2052" s="2" t="str">
        <x:v>NT002051</x:v>
      </x:c>
      <x:c r="B2052" s="2" t="str">
        <x:v>EV002053</x:v>
      </x:c>
      <x:c r="C2052" s="2" t="str">
        <x:v>T20261008-4-1</x:v>
      </x:c>
      <x:c r="D2052" s="2" t="str">
        <x:v>ST030</x:v>
      </x:c>
      <x:c r="E2052" s="2" t="str">
        <x:v>G030</x:v>
      </x:c>
      <x:c r="F2052" s="2" t="str">
        <x:v>guardian030@example.invalid</x:v>
      </x:c>
      <x:c r="G2052" s="2" t="str">
        <x:v>Email</x:v>
      </x:c>
      <x:c r="H2052" s="2" t="str">
        <x:v>Boarded</x:v>
      </x:c>
      <x:c r="I2052" s="8" t="n">
        <x:v>46303.60447916667</x:v>
      </x:c>
      <x:c r="J2052" s="8" t="n">
        <x:v>46303.60450231482</x:v>
      </x:c>
      <x:c r="K2052" s="8" t="n">
        <x:v>46303.60453703704</x:v>
      </x:c>
      <x:c r="L2052" s="2" t="str">
        <x:v>Sent</x:v>
      </x:c>
      <x:c r="M2052" s="2" t="n">
        <x:v>1</x:v>
      </x:c>
      <x:c r="N2052" s="2"/>
      <x:c r="O2052" s="2"/>
    </x:row>
    <x:row r="2053" ht="21" customHeight="1">
      <x:c r="A2053" s="2" t="str">
        <x:v>NT002052</x:v>
      </x:c>
      <x:c r="B2053" s="2" t="str">
        <x:v>EV002054</x:v>
      </x:c>
      <x:c r="C2053" s="2" t="str">
        <x:v>T20261008-4-1</x:v>
      </x:c>
      <x:c r="D2053" s="2" t="str">
        <x:v>ST030</x:v>
      </x:c>
      <x:c r="E2053" s="2" t="str">
        <x:v>G030</x:v>
      </x:c>
      <x:c r="F2053" s="2" t="str">
        <x:v>guardian030@example.invalid</x:v>
      </x:c>
      <x:c r="G2053" s="2" t="str">
        <x:v>Email</x:v>
      </x:c>
      <x:c r="H2053" s="2" t="str">
        <x:v>Authorized release</x:v>
      </x:c>
      <x:c r="I2053" s="8" t="n">
        <x:v>46303.62739583333</x:v>
      </x:c>
      <x:c r="J2053" s="8" t="n">
        <x:v>46303.62741898148</x:v>
      </x:c>
      <x:c r="K2053" s="8" t="n">
        <x:v>46303.6274537037</x:v>
      </x:c>
      <x:c r="L2053" s="2" t="str">
        <x:v>Sent</x:v>
      </x:c>
      <x:c r="M2053" s="2" t="n">
        <x:v>1</x:v>
      </x:c>
      <x:c r="N2053" s="2"/>
      <x:c r="O2053" s="2"/>
    </x:row>
    <x:row r="2054" ht="21" customHeight="1">
      <x:c r="A2054" s="2" t="str">
        <x:v>NT002053</x:v>
      </x:c>
      <x:c r="B2054" s="2" t="str">
        <x:v>EV002055</x:v>
      </x:c>
      <x:c r="C2054" s="2" t="str">
        <x:v>T20261008-5-1</x:v>
      </x:c>
      <x:c r="D2054" s="2" t="str">
        <x:v>ST031</x:v>
      </x:c>
      <x:c r="E2054" s="2" t="str">
        <x:v>G031</x:v>
      </x:c>
      <x:c r="F2054" s="2" t="str">
        <x:v>guardian031@example.invalid</x:v>
      </x:c>
      <x:c r="G2054" s="2" t="str">
        <x:v>Email</x:v>
      </x:c>
      <x:c r="H2054" s="2" t="str">
        <x:v>Boarded</x:v>
      </x:c>
      <x:c r="I2054" s="8" t="n">
        <x:v>46303.70833333333</x:v>
      </x:c>
      <x:c r="J2054" s="8" t="n">
        <x:v>46303.708356481475</x:v>
      </x:c>
      <x:c r="K2054" s="8" t="n">
        <x:v>46303.7083912037</x:v>
      </x:c>
      <x:c r="L2054" s="2" t="str">
        <x:v>Sent</x:v>
      </x:c>
      <x:c r="M2054" s="2" t="n">
        <x:v>1</x:v>
      </x:c>
      <x:c r="N2054" s="2"/>
      <x:c r="O2054" s="2"/>
    </x:row>
    <x:row r="2055" ht="21" customHeight="1">
      <x:c r="A2055" s="2" t="str">
        <x:v>NT002054</x:v>
      </x:c>
      <x:c r="B2055" s="2" t="str">
        <x:v>EV002056</x:v>
      </x:c>
      <x:c r="C2055" s="2" t="str">
        <x:v>T20261008-5-1</x:v>
      </x:c>
      <x:c r="D2055" s="2" t="str">
        <x:v>ST031</x:v>
      </x:c>
      <x:c r="E2055" s="2" t="str">
        <x:v>G031</x:v>
      </x:c>
      <x:c r="F2055" s="2" t="str">
        <x:v>guardian031@example.invalid</x:v>
      </x:c>
      <x:c r="G2055" s="2" t="str">
        <x:v>Email</x:v>
      </x:c>
      <x:c r="H2055" s="2" t="str">
        <x:v>Authorized release</x:v>
      </x:c>
      <x:c r="I2055" s="8" t="n">
        <x:v>46303.72361111111</x:v>
      </x:c>
      <x:c r="J2055" s="8" t="n">
        <x:v>46303.72363425926</x:v>
      </x:c>
      <x:c r="K2055" s="8" t="n">
        <x:v>46303.72366898148</x:v>
      </x:c>
      <x:c r="L2055" s="2" t="str">
        <x:v>Sent</x:v>
      </x:c>
      <x:c r="M2055" s="2" t="n">
        <x:v>1</x:v>
      </x:c>
      <x:c r="N2055" s="2"/>
      <x:c r="O2055" s="2"/>
    </x:row>
    <x:row r="2056" ht="21" customHeight="1">
      <x:c r="A2056" s="2" t="str">
        <x:v>NT002055</x:v>
      </x:c>
      <x:c r="B2056" s="2" t="str">
        <x:v>EV002057</x:v>
      </x:c>
      <x:c r="C2056" s="2" t="str">
        <x:v>T20261008-5-1</x:v>
      </x:c>
      <x:c r="D2056" s="2" t="str">
        <x:v>ST032</x:v>
      </x:c>
      <x:c r="E2056" s="2" t="str">
        <x:v>G032</x:v>
      </x:c>
      <x:c r="F2056" s="2" t="str">
        <x:v>guardian032@example.invalid</x:v>
      </x:c>
      <x:c r="G2056" s="2" t="str">
        <x:v>Email</x:v>
      </x:c>
      <x:c r="H2056" s="2" t="str">
        <x:v>Boarded</x:v>
      </x:c>
      <x:c r="I2056" s="8" t="n">
        <x:v>46303.70836805555</x:v>
      </x:c>
      <x:c r="J2056" s="8" t="n">
        <x:v>46303.7083912037</x:v>
      </x:c>
      <x:c r="K2056" s="8" t="n">
        <x:v>46303.70842592592</x:v>
      </x:c>
      <x:c r="L2056" s="2" t="str">
        <x:v>Sent</x:v>
      </x:c>
      <x:c r="M2056" s="2" t="n">
        <x:v>1</x:v>
      </x:c>
      <x:c r="N2056" s="2"/>
      <x:c r="O2056" s="2"/>
    </x:row>
    <x:row r="2057" ht="21" customHeight="1">
      <x:c r="A2057" s="2" t="str">
        <x:v>NT002056</x:v>
      </x:c>
      <x:c r="B2057" s="2" t="str">
        <x:v>EV002058</x:v>
      </x:c>
      <x:c r="C2057" s="2" t="str">
        <x:v>T20261008-5-1</x:v>
      </x:c>
      <x:c r="D2057" s="2" t="str">
        <x:v>ST032</x:v>
      </x:c>
      <x:c r="E2057" s="2" t="str">
        <x:v>G032</x:v>
      </x:c>
      <x:c r="F2057" s="2" t="str">
        <x:v>guardian032@example.invalid</x:v>
      </x:c>
      <x:c r="G2057" s="2" t="str">
        <x:v>Email</x:v>
      </x:c>
      <x:c r="H2057" s="2" t="str">
        <x:v>Authorized release</x:v>
      </x:c>
      <x:c r="I2057" s="8" t="n">
        <x:v>46303.72850694445</x:v>
      </x:c>
      <x:c r="J2057" s="8" t="n">
        <x:v>46303.728530092594</x:v>
      </x:c>
      <x:c r="K2057" s="8" t="n">
        <x:v>46303.72856481482</x:v>
      </x:c>
      <x:c r="L2057" s="2" t="str">
        <x:v>Sent</x:v>
      </x:c>
      <x:c r="M2057" s="2" t="n">
        <x:v>1</x:v>
      </x:c>
      <x:c r="N2057" s="2"/>
      <x:c r="O2057" s="2"/>
    </x:row>
    <x:row r="2058" ht="21" customHeight="1">
      <x:c r="A2058" s="2" t="str">
        <x:v>NT002057</x:v>
      </x:c>
      <x:c r="B2058" s="2" t="str">
        <x:v>EV002059</x:v>
      </x:c>
      <x:c r="C2058" s="2" t="str">
        <x:v>T20261008-5-1</x:v>
      </x:c>
      <x:c r="D2058" s="2" t="str">
        <x:v>ST033</x:v>
      </x:c>
      <x:c r="E2058" s="2" t="str">
        <x:v>G033</x:v>
      </x:c>
      <x:c r="F2058" s="2" t="str">
        <x:v>guardian033@example.invalid</x:v>
      </x:c>
      <x:c r="G2058" s="2" t="str">
        <x:v>Email</x:v>
      </x:c>
      <x:c r="H2058" s="2" t="str">
        <x:v>Boarded</x:v>
      </x:c>
      <x:c r="I2058" s="8" t="n">
        <x:v>46303.708402777775</x:v>
      </x:c>
      <x:c r="J2058" s="8" t="n">
        <x:v>46303.70842592592</x:v>
      </x:c>
      <x:c r="K2058" s="8" t="n">
        <x:v>46303.708460648144</x:v>
      </x:c>
      <x:c r="L2058" s="2" t="str">
        <x:v>Sent</x:v>
      </x:c>
      <x:c r="M2058" s="2" t="n">
        <x:v>1</x:v>
      </x:c>
      <x:c r="N2058" s="2"/>
      <x:c r="O2058" s="2"/>
    </x:row>
    <x:row r="2059" ht="21" customHeight="1">
      <x:c r="A2059" s="2" t="str">
        <x:v>NT002058</x:v>
      </x:c>
      <x:c r="B2059" s="2" t="str">
        <x:v>EV002060</x:v>
      </x:c>
      <x:c r="C2059" s="2" t="str">
        <x:v>T20261008-5-1</x:v>
      </x:c>
      <x:c r="D2059" s="2" t="str">
        <x:v>ST033</x:v>
      </x:c>
      <x:c r="E2059" s="2" t="str">
        <x:v>G033</x:v>
      </x:c>
      <x:c r="F2059" s="2" t="str">
        <x:v>guardian033@example.invalid</x:v>
      </x:c>
      <x:c r="G2059" s="2" t="str">
        <x:v>Email</x:v>
      </x:c>
      <x:c r="H2059" s="2" t="str">
        <x:v>Authorized release</x:v>
      </x:c>
      <x:c r="I2059" s="8" t="n">
        <x:v>46303.73340277778</x:v>
      </x:c>
      <x:c r="J2059" s="8" t="n">
        <x:v>46303.73342592593</x:v>
      </x:c>
      <x:c r="K2059" s="8" t="n">
        <x:v>46303.73346064815</x:v>
      </x:c>
      <x:c r="L2059" s="2" t="str">
        <x:v>Sent</x:v>
      </x:c>
      <x:c r="M2059" s="2" t="n">
        <x:v>1</x:v>
      </x:c>
      <x:c r="N2059" s="2"/>
      <x:c r="O2059" s="2"/>
    </x:row>
    <x:row r="2060" ht="21" customHeight="1">
      <x:c r="A2060" s="2" t="str">
        <x:v>NT002059</x:v>
      </x:c>
      <x:c r="B2060" s="2" t="str">
        <x:v>EV002061</x:v>
      </x:c>
      <x:c r="C2060" s="2" t="str">
        <x:v>T20261008-5-1</x:v>
      </x:c>
      <x:c r="D2060" s="2" t="str">
        <x:v>ST034</x:v>
      </x:c>
      <x:c r="E2060" s="2" t="str">
        <x:v>G034</x:v>
      </x:c>
      <x:c r="F2060" s="2" t="str">
        <x:v>guardian034@example.invalid</x:v>
      </x:c>
      <x:c r="G2060" s="2" t="str">
        <x:v>Email</x:v>
      </x:c>
      <x:c r="H2060" s="2" t="str">
        <x:v>Boarded</x:v>
      </x:c>
      <x:c r="I2060" s="8" t="n">
        <x:v>46303.7084375</x:v>
      </x:c>
      <x:c r="J2060" s="8" t="n">
        <x:v>46303.708460648144</x:v>
      </x:c>
      <x:c r="K2060" s="8" t="n">
        <x:v>46303.70849537037</x:v>
      </x:c>
      <x:c r="L2060" s="2" t="str">
        <x:v>Sent</x:v>
      </x:c>
      <x:c r="M2060" s="2" t="n">
        <x:v>1</x:v>
      </x:c>
      <x:c r="N2060" s="2"/>
      <x:c r="O2060" s="2"/>
    </x:row>
    <x:row r="2061" ht="21" customHeight="1">
      <x:c r="A2061" s="2" t="str">
        <x:v>NT002060</x:v>
      </x:c>
      <x:c r="B2061" s="2" t="str">
        <x:v>EV002062</x:v>
      </x:c>
      <x:c r="C2061" s="2" t="str">
        <x:v>T20261008-5-1</x:v>
      </x:c>
      <x:c r="D2061" s="2" t="str">
        <x:v>ST034</x:v>
      </x:c>
      <x:c r="E2061" s="2" t="str">
        <x:v>G034</x:v>
      </x:c>
      <x:c r="F2061" s="2" t="str">
        <x:v>guardian034@example.invalid</x:v>
      </x:c>
      <x:c r="G2061" s="2" t="str">
        <x:v>Email</x:v>
      </x:c>
      <x:c r="H2061" s="2" t="str">
        <x:v>Authorized release</x:v>
      </x:c>
      <x:c r="I2061" s="8" t="n">
        <x:v>46303.72371527778</x:v>
      </x:c>
      <x:c r="J2061" s="8" t="n">
        <x:v>46303.72373842593</x:v>
      </x:c>
      <x:c r="K2061" s="8" t="n">
        <x:v>46303.72377314815</x:v>
      </x:c>
      <x:c r="L2061" s="2" t="str">
        <x:v>Sent</x:v>
      </x:c>
      <x:c r="M2061" s="2" t="n">
        <x:v>1</x:v>
      </x:c>
      <x:c r="N2061" s="2"/>
      <x:c r="O2061" s="2"/>
    </x:row>
    <x:row r="2062" ht="21" customHeight="1">
      <x:c r="A2062" s="2" t="str">
        <x:v>NT002061</x:v>
      </x:c>
      <x:c r="B2062" s="2" t="str">
        <x:v>EV002063</x:v>
      </x:c>
      <x:c r="C2062" s="2" t="str">
        <x:v>T20261008-5-1</x:v>
      </x:c>
      <x:c r="D2062" s="2" t="str">
        <x:v>ST035</x:v>
      </x:c>
      <x:c r="E2062" s="2" t="str">
        <x:v>G035</x:v>
      </x:c>
      <x:c r="F2062" s="2" t="str">
        <x:v>guardian035@example.invalid</x:v>
      </x:c>
      <x:c r="G2062" s="2" t="str">
        <x:v>Email</x:v>
      </x:c>
      <x:c r="H2062" s="2" t="str">
        <x:v>Boarded</x:v>
      </x:c>
      <x:c r="I2062" s="8" t="n">
        <x:v>46303.70847222222</x:v>
      </x:c>
      <x:c r="J2062" s="8" t="n">
        <x:v>46303.70849537037</x:v>
      </x:c>
      <x:c r="K2062" s="8" t="n">
        <x:v>46303.70853009259</x:v>
      </x:c>
      <x:c r="L2062" s="2" t="str">
        <x:v>Sent</x:v>
      </x:c>
      <x:c r="M2062" s="2" t="n">
        <x:v>1</x:v>
      </x:c>
      <x:c r="N2062" s="2"/>
      <x:c r="O2062" s="2"/>
    </x:row>
    <x:row r="2063" ht="21" customHeight="1">
      <x:c r="A2063" s="2" t="str">
        <x:v>NT002062</x:v>
      </x:c>
      <x:c r="B2063" s="2" t="str">
        <x:v>EV002064</x:v>
      </x:c>
      <x:c r="C2063" s="2" t="str">
        <x:v>T20261008-5-1</x:v>
      </x:c>
      <x:c r="D2063" s="2" t="str">
        <x:v>ST035</x:v>
      </x:c>
      <x:c r="E2063" s="2" t="str">
        <x:v>G035</x:v>
      </x:c>
      <x:c r="F2063" s="2" t="str">
        <x:v>guardian035@example.invalid</x:v>
      </x:c>
      <x:c r="G2063" s="2" t="str">
        <x:v>Email</x:v>
      </x:c>
      <x:c r="H2063" s="2" t="str">
        <x:v>Authorized release</x:v>
      </x:c>
      <x:c r="I2063" s="8" t="n">
        <x:v>46303.72861111112</x:v>
      </x:c>
      <x:c r="J2063" s="8" t="n">
        <x:v>46303.72863425926</x:v>
      </x:c>
      <x:c r="K2063" s="8" t="n">
        <x:v>46303.72866898149</x:v>
      </x:c>
      <x:c r="L2063" s="2" t="str">
        <x:v>Sent</x:v>
      </x:c>
      <x:c r="M2063" s="2" t="n">
        <x:v>1</x:v>
      </x:c>
      <x:c r="N2063" s="2"/>
      <x:c r="O2063" s="2"/>
    </x:row>
    <x:row r="2064" ht="21" customHeight="1">
      <x:c r="A2064" s="2" t="str">
        <x:v>NT002063</x:v>
      </x:c>
      <x:c r="B2064" s="2" t="str">
        <x:v>EV002065</x:v>
      </x:c>
      <x:c r="C2064" s="2" t="str">
        <x:v>T20261008-5-1</x:v>
      </x:c>
      <x:c r="D2064" s="2" t="str">
        <x:v>ST036</x:v>
      </x:c>
      <x:c r="E2064" s="2" t="str">
        <x:v>G036</x:v>
      </x:c>
      <x:c r="F2064" s="2" t="str">
        <x:v>guardian036@example.invalid</x:v>
      </x:c>
      <x:c r="G2064" s="2" t="str">
        <x:v>Email</x:v>
      </x:c>
      <x:c r="H2064" s="2" t="str">
        <x:v>Boarded</x:v>
      </x:c>
      <x:c r="I2064" s="8" t="n">
        <x:v>46303.70850694444</x:v>
      </x:c>
      <x:c r="J2064" s="8" t="n">
        <x:v>46303.70853009258</x:v>
      </x:c>
      <x:c r="K2064" s="8" t="n">
        <x:v>46303.708564814806</x:v>
      </x:c>
      <x:c r="L2064" s="2" t="str">
        <x:v>Sent</x:v>
      </x:c>
      <x:c r="M2064" s="2" t="n">
        <x:v>1</x:v>
      </x:c>
      <x:c r="N2064" s="2"/>
      <x:c r="O2064" s="2"/>
    </x:row>
    <x:row r="2065" ht="21" customHeight="1">
      <x:c r="A2065" s="2" t="str">
        <x:v>NT002064</x:v>
      </x:c>
      <x:c r="B2065" s="2" t="str">
        <x:v>EV002066</x:v>
      </x:c>
      <x:c r="C2065" s="2" t="str">
        <x:v>T20261008-5-1</x:v>
      </x:c>
      <x:c r="D2065" s="2" t="str">
        <x:v>ST036</x:v>
      </x:c>
      <x:c r="E2065" s="2" t="str">
        <x:v>G036</x:v>
      </x:c>
      <x:c r="F2065" s="2" t="str">
        <x:v>guardian036@example.invalid</x:v>
      </x:c>
      <x:c r="G2065" s="2" t="str">
        <x:v>Email</x:v>
      </x:c>
      <x:c r="H2065" s="2" t="str">
        <x:v>Authorized release</x:v>
      </x:c>
      <x:c r="I2065" s="8" t="n">
        <x:v>46303.733506944445</x:v>
      </x:c>
      <x:c r="J2065" s="8" t="n">
        <x:v>46303.73353009259</x:v>
      </x:c>
      <x:c r="K2065" s="8" t="n">
        <x:v>46303.733564814815</x:v>
      </x:c>
      <x:c r="L2065" s="2" t="str">
        <x:v>Sent</x:v>
      </x:c>
      <x:c r="M2065" s="2" t="n">
        <x:v>1</x:v>
      </x:c>
      <x:c r="N2065" s="2"/>
      <x:c r="O2065" s="2"/>
    </x:row>
    <x:row r="2066" ht="21" customHeight="1">
      <x:c r="A2066" s="2" t="str">
        <x:v>NT002065</x:v>
      </x:c>
      <x:c r="B2066" s="2" t="str">
        <x:v>EV002067</x:v>
      </x:c>
      <x:c r="C2066" s="2" t="str">
        <x:v>T20261008-5-1</x:v>
      </x:c>
      <x:c r="D2066" s="2" t="str">
        <x:v>ST037</x:v>
      </x:c>
      <x:c r="E2066" s="2" t="str">
        <x:v>G037</x:v>
      </x:c>
      <x:c r="F2066" s="2" t="str">
        <x:v>guardian037@example.invalid</x:v>
      </x:c>
      <x:c r="G2066" s="2" t="str">
        <x:v>Email</x:v>
      </x:c>
      <x:c r="H2066" s="2" t="str">
        <x:v>Boarded</x:v>
      </x:c>
      <x:c r="I2066" s="8" t="n">
        <x:v>46303.70854166666</x:v>
      </x:c>
      <x:c r="J2066" s="8" t="n">
        <x:v>46303.708564814806</x:v>
      </x:c>
      <x:c r="K2066" s="8" t="n">
        <x:v>46303.70859953703</x:v>
      </x:c>
      <x:c r="L2066" s="2" t="str">
        <x:v>Sent</x:v>
      </x:c>
      <x:c r="M2066" s="2" t="n">
        <x:v>1</x:v>
      </x:c>
      <x:c r="N2066" s="2"/>
      <x:c r="O2066" s="2"/>
    </x:row>
    <x:row r="2067" ht="21" customHeight="1">
      <x:c r="A2067" s="2" t="str">
        <x:v>NT002066</x:v>
      </x:c>
      <x:c r="B2067" s="2" t="str">
        <x:v>EV002068</x:v>
      </x:c>
      <x:c r="C2067" s="2" t="str">
        <x:v>T20261008-5-1</x:v>
      </x:c>
      <x:c r="D2067" s="2" t="str">
        <x:v>ST037</x:v>
      </x:c>
      <x:c r="E2067" s="2" t="str">
        <x:v>G037</x:v>
      </x:c>
      <x:c r="F2067" s="2" t="str">
        <x:v>guardian037@example.invalid</x:v>
      </x:c>
      <x:c r="G2067" s="2" t="str">
        <x:v>Email</x:v>
      </x:c>
      <x:c r="H2067" s="2" t="str">
        <x:v>Authorized release</x:v>
      </x:c>
      <x:c r="I2067" s="8" t="n">
        <x:v>46303.72381944444</x:v>
      </x:c>
      <x:c r="J2067" s="8" t="n">
        <x:v>46303.72384259259</x:v>
      </x:c>
      <x:c r="K2067" s="8" t="n">
        <x:v>46303.72387731481</x:v>
      </x:c>
      <x:c r="L2067" s="2" t="str">
        <x:v>Sent</x:v>
      </x:c>
      <x:c r="M2067" s="2" t="n">
        <x:v>1</x:v>
      </x:c>
      <x:c r="N2067" s="2"/>
      <x:c r="O2067" s="2"/>
    </x:row>
    <x:row r="2068" ht="21" customHeight="1">
      <x:c r="A2068" s="2" t="str">
        <x:v>NT002067</x:v>
      </x:c>
      <x:c r="B2068" s="2" t="str">
        <x:v>EV002069</x:v>
      </x:c>
      <x:c r="C2068" s="2" t="str">
        <x:v>T20261008-5-1</x:v>
      </x:c>
      <x:c r="D2068" s="2" t="str">
        <x:v>ST038</x:v>
      </x:c>
      <x:c r="E2068" s="2" t="str">
        <x:v>G038</x:v>
      </x:c>
      <x:c r="F2068" s="2" t="str">
        <x:v>guardian038@example.invalid</x:v>
      </x:c>
      <x:c r="G2068" s="2" t="str">
        <x:v>Email</x:v>
      </x:c>
      <x:c r="H2068" s="2" t="str">
        <x:v>Boarded</x:v>
      </x:c>
      <x:c r="I2068" s="8" t="n">
        <x:v>46303.70857638888</x:v>
      </x:c>
      <x:c r="J2068" s="8" t="n">
        <x:v>46303.70859953703</x:v>
      </x:c>
      <x:c r="K2068" s="8" t="n">
        <x:v>46303.70863425925</x:v>
      </x:c>
      <x:c r="L2068" s="2" t="str">
        <x:v>Sent</x:v>
      </x:c>
      <x:c r="M2068" s="2" t="n">
        <x:v>1</x:v>
      </x:c>
      <x:c r="N2068" s="2"/>
      <x:c r="O2068" s="2"/>
    </x:row>
    <x:row r="2069" ht="21" customHeight="1">
      <x:c r="A2069" s="2" t="str">
        <x:v>NT002068</x:v>
      </x:c>
      <x:c r="B2069" s="2" t="str">
        <x:v>EV002070</x:v>
      </x:c>
      <x:c r="C2069" s="2" t="str">
        <x:v>T20261008-5-1</x:v>
      </x:c>
      <x:c r="D2069" s="2" t="str">
        <x:v>ST038</x:v>
      </x:c>
      <x:c r="E2069" s="2" t="str">
        <x:v>G038</x:v>
      </x:c>
      <x:c r="F2069" s="2" t="str">
        <x:v>guardian038@example.invalid</x:v>
      </x:c>
      <x:c r="G2069" s="2" t="str">
        <x:v>Email</x:v>
      </x:c>
      <x:c r="H2069" s="2" t="str">
        <x:v>Authorized release</x:v>
      </x:c>
      <x:c r="I2069" s="8" t="n">
        <x:v>46303.72871527778</x:v>
      </x:c>
      <x:c r="J2069" s="8" t="n">
        <x:v>46303.728738425925</x:v>
      </x:c>
      <x:c r="K2069" s="8" t="n">
        <x:v>46303.72877314815</x:v>
      </x:c>
      <x:c r="L2069" s="2" t="str">
        <x:v>Sent</x:v>
      </x:c>
      <x:c r="M2069" s="2" t="n">
        <x:v>1</x:v>
      </x:c>
      <x:c r="N2069" s="2"/>
      <x:c r="O2069" s="2"/>
    </x:row>
    <x:row r="2070" ht="21" customHeight="1">
      <x:c r="A2070" s="2" t="str">
        <x:v>NT002069</x:v>
      </x:c>
      <x:c r="B2070" s="2" t="str">
        <x:v>EV002071</x:v>
      </x:c>
      <x:c r="C2070" s="2" t="str">
        <x:v>T20261008-5-1</x:v>
      </x:c>
      <x:c r="D2070" s="2" t="str">
        <x:v>ST039</x:v>
      </x:c>
      <x:c r="E2070" s="2" t="str">
        <x:v>G039</x:v>
      </x:c>
      <x:c r="F2070" s="2" t="str">
        <x:v>guardian039@example.invalid</x:v>
      </x:c>
      <x:c r="G2070" s="2" t="str">
        <x:v>Email</x:v>
      </x:c>
      <x:c r="H2070" s="2" t="str">
        <x:v>Boarded</x:v>
      </x:c>
      <x:c r="I2070" s="8" t="n">
        <x:v>46303.708611111106</x:v>
      </x:c>
      <x:c r="J2070" s="8" t="n">
        <x:v>46303.70863425925</x:v>
      </x:c>
      <x:c r="K2070" s="8" t="n">
        <x:v>46303.708668981475</x:v>
      </x:c>
      <x:c r="L2070" s="2" t="str">
        <x:v>Sent</x:v>
      </x:c>
      <x:c r="M2070" s="2" t="n">
        <x:v>1</x:v>
      </x:c>
      <x:c r="N2070" s="2"/>
      <x:c r="O2070" s="2"/>
    </x:row>
    <x:row r="2071" ht="21" customHeight="1">
      <x:c r="A2071" s="2" t="str">
        <x:v>NT002070</x:v>
      </x:c>
      <x:c r="B2071" s="2" t="str">
        <x:v>EV002072</x:v>
      </x:c>
      <x:c r="C2071" s="2" t="str">
        <x:v>T20261008-5-1</x:v>
      </x:c>
      <x:c r="D2071" s="2" t="str">
        <x:v>ST039</x:v>
      </x:c>
      <x:c r="E2071" s="2" t="str">
        <x:v>G039</x:v>
      </x:c>
      <x:c r="F2071" s="2" t="str">
        <x:v>guardian039@example.invalid</x:v>
      </x:c>
      <x:c r="G2071" s="2" t="str">
        <x:v>Email</x:v>
      </x:c>
      <x:c r="H2071" s="2" t="str">
        <x:v>Authorized release</x:v>
      </x:c>
      <x:c r="I2071" s="8" t="n">
        <x:v>46303.733611111114</x:v>
      </x:c>
      <x:c r="J2071" s="8" t="n">
        <x:v>46303.73363425926</x:v>
      </x:c>
      <x:c r="K2071" s="8" t="n">
        <x:v>46303.733668981484</x:v>
      </x:c>
      <x:c r="L2071" s="2" t="str">
        <x:v>Sent</x:v>
      </x:c>
      <x:c r="M2071" s="2" t="n">
        <x:v>1</x:v>
      </x:c>
      <x:c r="N2071" s="2"/>
      <x:c r="O2071" s="2"/>
    </x:row>
    <x:row r="2072" ht="21" customHeight="1">
      <x:c r="A2072" s="2" t="str">
        <x:v>NT002071</x:v>
      </x:c>
      <x:c r="B2072" s="2" t="str">
        <x:v>EV002073</x:v>
      </x:c>
      <x:c r="C2072" s="2" t="str">
        <x:v>T20261008-5-1</x:v>
      </x:c>
      <x:c r="D2072" s="2" t="str">
        <x:v>ST040</x:v>
      </x:c>
      <x:c r="E2072" s="2" t="str">
        <x:v>G040</x:v>
      </x:c>
      <x:c r="F2072" s="2" t="str">
        <x:v>guardian040@example.invalid</x:v>
      </x:c>
      <x:c r="G2072" s="2" t="str">
        <x:v>Email</x:v>
      </x:c>
      <x:c r="H2072" s="2" t="str">
        <x:v>Boarded</x:v>
      </x:c>
      <x:c r="I2072" s="8" t="n">
        <x:v>46303.70864583333</x:v>
      </x:c>
      <x:c r="J2072" s="8" t="n">
        <x:v>46303.708668981475</x:v>
      </x:c>
      <x:c r="K2072" s="8" t="n">
        <x:v>46303.7087037037</x:v>
      </x:c>
      <x:c r="L2072" s="2" t="str">
        <x:v>Sent</x:v>
      </x:c>
      <x:c r="M2072" s="2" t="n">
        <x:v>1</x:v>
      </x:c>
      <x:c r="N2072" s="2"/>
      <x:c r="O2072" s="2"/>
    </x:row>
    <x:row r="2073" ht="21" customHeight="1">
      <x:c r="A2073" s="2" t="str">
        <x:v>NT002072</x:v>
      </x:c>
      <x:c r="B2073" s="2" t="str">
        <x:v>EV002074</x:v>
      </x:c>
      <x:c r="C2073" s="2" t="str">
        <x:v>T20261008-5-1</x:v>
      </x:c>
      <x:c r="D2073" s="2" t="str">
        <x:v>ST040</x:v>
      </x:c>
      <x:c r="E2073" s="2" t="str">
        <x:v>G040</x:v>
      </x:c>
      <x:c r="F2073" s="2" t="str">
        <x:v>guardian040@example.invalid</x:v>
      </x:c>
      <x:c r="G2073" s="2" t="str">
        <x:v>Email</x:v>
      </x:c>
      <x:c r="H2073" s="2" t="str">
        <x:v>Authorized release</x:v>
      </x:c>
      <x:c r="I2073" s="8" t="n">
        <x:v>46303.72392361111</x:v>
      </x:c>
      <x:c r="J2073" s="8" t="n">
        <x:v>46303.72394675926</x:v>
      </x:c>
      <x:c r="K2073" s="8" t="n">
        <x:v>46303.72398148148</x:v>
      </x:c>
      <x:c r="L2073" s="2" t="str">
        <x:v>Sent</x:v>
      </x:c>
      <x:c r="M2073" s="2" t="n">
        <x:v>1</x:v>
      </x:c>
      <x:c r="N2073" s="2"/>
      <x:c r="O2073" s="2"/>
    </x:row>
    <x:row r="2074" ht="21" customHeight="1">
      <x:c r="A2074" s="2" t="str">
        <x:v>NT002073</x:v>
      </x:c>
      <x:c r="B2074" s="2" t="str">
        <x:v>EV002075</x:v>
      </x:c>
      <x:c r="C2074" s="2" t="str">
        <x:v>T20261008-1-2</x:v>
      </x:c>
      <x:c r="D2074" s="2" t="str">
        <x:v>ST041</x:v>
      </x:c>
      <x:c r="E2074" s="2" t="str">
        <x:v>G041</x:v>
      </x:c>
      <x:c r="F2074" s="2" t="str">
        <x:v>guardian041@example.invalid</x:v>
      </x:c>
      <x:c r="G2074" s="2" t="str">
        <x:v>Email</x:v>
      </x:c>
      <x:c r="H2074" s="2" t="str">
        <x:v>Boarded</x:v>
      </x:c>
      <x:c r="I2074" s="8" t="n">
        <x:v>46303.242361111115</x:v>
      </x:c>
      <x:c r="J2074" s="8" t="n">
        <x:v>46303.24238425926</x:v>
      </x:c>
      <x:c r="K2074" s="8" t="n">
        <x:v>46303.242418981485</x:v>
      </x:c>
      <x:c r="L2074" s="2" t="str">
        <x:v>Sent</x:v>
      </x:c>
      <x:c r="M2074" s="2" t="n">
        <x:v>1</x:v>
      </x:c>
      <x:c r="N2074" s="2"/>
      <x:c r="O2074" s="2"/>
    </x:row>
    <x:row r="2075" ht="21" customHeight="1">
      <x:c r="A2075" s="2" t="str">
        <x:v>NT002074</x:v>
      </x:c>
      <x:c r="B2075" s="2" t="str">
        <x:v>EV002076</x:v>
      </x:c>
      <x:c r="C2075" s="2" t="str">
        <x:v>T20261008-1-2</x:v>
      </x:c>
      <x:c r="D2075" s="2" t="str">
        <x:v>ST041</x:v>
      </x:c>
      <x:c r="E2075" s="2" t="str">
        <x:v>G041</x:v>
      </x:c>
      <x:c r="F2075" s="2" t="str">
        <x:v>guardian041@example.invalid</x:v>
      </x:c>
      <x:c r="G2075" s="2" t="str">
        <x:v>Email</x:v>
      </x:c>
      <x:c r="H2075" s="2" t="str">
        <x:v>School receipt</x:v>
      </x:c>
      <x:c r="I2075" s="8" t="n">
        <x:v>46303.27638888889</x:v>
      </x:c>
      <x:c r="J2075" s="8" t="n">
        <x:v>46303.276412037034</x:v>
      </x:c>
      <x:c r="K2075" s="8" t="n">
        <x:v>46303.27644675926</x:v>
      </x:c>
      <x:c r="L2075" s="2" t="str">
        <x:v>Sent</x:v>
      </x:c>
      <x:c r="M2075" s="2" t="n">
        <x:v>1</x:v>
      </x:c>
      <x:c r="N2075" s="2"/>
      <x:c r="O2075" s="2"/>
    </x:row>
    <x:row r="2076" ht="21" customHeight="1">
      <x:c r="A2076" s="2" t="str">
        <x:v>NT002075</x:v>
      </x:c>
      <x:c r="B2076" s="2" t="str">
        <x:v>EV002077</x:v>
      </x:c>
      <x:c r="C2076" s="2" t="str">
        <x:v>T20261008-1-2</x:v>
      </x:c>
      <x:c r="D2076" s="2" t="str">
        <x:v>ST042</x:v>
      </x:c>
      <x:c r="E2076" s="2" t="str">
        <x:v>G042</x:v>
      </x:c>
      <x:c r="F2076" s="2" t="str">
        <x:v>guardian042@example.invalid</x:v>
      </x:c>
      <x:c r="G2076" s="2" t="str">
        <x:v>Email</x:v>
      </x:c>
      <x:c r="H2076" s="2" t="str">
        <x:v>Boarded</x:v>
      </x:c>
      <x:c r="I2076" s="8" t="n">
        <x:v>46303.24725694444</x:v>
      </x:c>
      <x:c r="J2076" s="8" t="n">
        <x:v>46303.24728009259</x:v>
      </x:c>
      <x:c r="K2076" s="8" t="n">
        <x:v>46303.24731481481</x:v>
      </x:c>
      <x:c r="L2076" s="2" t="str">
        <x:v>Sent</x:v>
      </x:c>
      <x:c r="M2076" s="2" t="n">
        <x:v>1</x:v>
      </x:c>
      <x:c r="N2076" s="2"/>
      <x:c r="O2076" s="2"/>
    </x:row>
    <x:row r="2077" ht="21" customHeight="1">
      <x:c r="A2077" s="2" t="str">
        <x:v>NT002076</x:v>
      </x:c>
      <x:c r="B2077" s="2" t="str">
        <x:v>EV002078</x:v>
      </x:c>
      <x:c r="C2077" s="2" t="str">
        <x:v>T20261008-1-2</x:v>
      </x:c>
      <x:c r="D2077" s="2" t="str">
        <x:v>ST042</x:v>
      </x:c>
      <x:c r="E2077" s="2" t="str">
        <x:v>G042</x:v>
      </x:c>
      <x:c r="F2077" s="2" t="str">
        <x:v>guardian042@example.invalid</x:v>
      </x:c>
      <x:c r="G2077" s="2" t="str">
        <x:v>Email</x:v>
      </x:c>
      <x:c r="H2077" s="2" t="str">
        <x:v>School receipt</x:v>
      </x:c>
      <x:c r="I2077" s="8" t="n">
        <x:v>46303.27642361111</x:v>
      </x:c>
      <x:c r="J2077" s="8" t="n">
        <x:v>46303.27644675926</x:v>
      </x:c>
      <x:c r="K2077" s="8" t="n">
        <x:v>46303.27648148148</x:v>
      </x:c>
      <x:c r="L2077" s="2" t="str">
        <x:v>Sent</x:v>
      </x:c>
      <x:c r="M2077" s="2" t="n">
        <x:v>1</x:v>
      </x:c>
      <x:c r="N2077" s="2"/>
      <x:c r="O2077" s="2"/>
    </x:row>
    <x:row r="2078" ht="21" customHeight="1">
      <x:c r="A2078" s="2" t="str">
        <x:v>NT002077</x:v>
      </x:c>
      <x:c r="B2078" s="2" t="str">
        <x:v>EV002079</x:v>
      </x:c>
      <x:c r="C2078" s="2" t="str">
        <x:v>T20261008-1-2</x:v>
      </x:c>
      <x:c r="D2078" s="2" t="str">
        <x:v>ST043</x:v>
      </x:c>
      <x:c r="E2078" s="2" t="str">
        <x:v>G043</x:v>
      </x:c>
      <x:c r="F2078" s="2" t="str">
        <x:v>guardian043@example.invalid</x:v>
      </x:c>
      <x:c r="G2078" s="2" t="str">
        <x:v>Email</x:v>
      </x:c>
      <x:c r="H2078" s="2" t="str">
        <x:v>Boarded</x:v>
      </x:c>
      <x:c r="I2078" s="8" t="n">
        <x:v>46303.25215277778</x:v>
      </x:c>
      <x:c r="J2078" s="8" t="n">
        <x:v>46303.252175925925</x:v>
      </x:c>
      <x:c r="K2078" s="8" t="n">
        <x:v>46303.25221064815</x:v>
      </x:c>
      <x:c r="L2078" s="2" t="str">
        <x:v>Sent</x:v>
      </x:c>
      <x:c r="M2078" s="2" t="n">
        <x:v>1</x:v>
      </x:c>
      <x:c r="N2078" s="2"/>
      <x:c r="O2078" s="2"/>
    </x:row>
    <x:row r="2079" ht="21" customHeight="1">
      <x:c r="A2079" s="2" t="str">
        <x:v>NT002078</x:v>
      </x:c>
      <x:c r="B2079" s="2" t="str">
        <x:v>EV002080</x:v>
      </x:c>
      <x:c r="C2079" s="2" t="str">
        <x:v>T20261008-1-2</x:v>
      </x:c>
      <x:c r="D2079" s="2" t="str">
        <x:v>ST043</x:v>
      </x:c>
      <x:c r="E2079" s="2" t="str">
        <x:v>G043</x:v>
      </x:c>
      <x:c r="F2079" s="2" t="str">
        <x:v>guardian043@example.invalid</x:v>
      </x:c>
      <x:c r="G2079" s="2" t="str">
        <x:v>Email</x:v>
      </x:c>
      <x:c r="H2079" s="2" t="str">
        <x:v>School receipt</x:v>
      </x:c>
      <x:c r="I2079" s="8" t="n">
        <x:v>46303.276458333334</x:v>
      </x:c>
      <x:c r="J2079" s="8" t="n">
        <x:v>46303.27648148148</x:v>
      </x:c>
      <x:c r="K2079" s="8" t="n">
        <x:v>46303.2765162037</x:v>
      </x:c>
      <x:c r="L2079" s="2" t="str">
        <x:v>Sent</x:v>
      </x:c>
      <x:c r="M2079" s="2" t="n">
        <x:v>1</x:v>
      </x:c>
      <x:c r="N2079" s="2"/>
      <x:c r="O2079" s="2"/>
    </x:row>
    <x:row r="2080" ht="21" customHeight="1">
      <x:c r="A2080" s="2" t="str">
        <x:v>NT002079</x:v>
      </x:c>
      <x:c r="B2080" s="2" t="str">
        <x:v>EV002081</x:v>
      </x:c>
      <x:c r="C2080" s="2" t="str">
        <x:v>T20261008-1-2</x:v>
      </x:c>
      <x:c r="D2080" s="2" t="str">
        <x:v>ST044</x:v>
      </x:c>
      <x:c r="E2080" s="2" t="str">
        <x:v>G044</x:v>
      </x:c>
      <x:c r="F2080" s="2" t="str">
        <x:v>guardian044@example.invalid</x:v>
      </x:c>
      <x:c r="G2080" s="2" t="str">
        <x:v>Email</x:v>
      </x:c>
      <x:c r="H2080" s="2" t="str">
        <x:v>Boarded</x:v>
      </x:c>
      <x:c r="I2080" s="8" t="n">
        <x:v>46303.242465277785</x:v>
      </x:c>
      <x:c r="J2080" s="8" t="n">
        <x:v>46303.24248842593</x:v>
      </x:c>
      <x:c r="K2080" s="8" t="n">
        <x:v>46303.242523148154</x:v>
      </x:c>
      <x:c r="L2080" s="2" t="str">
        <x:v>Sent</x:v>
      </x:c>
      <x:c r="M2080" s="2" t="n">
        <x:v>1</x:v>
      </x:c>
      <x:c r="N2080" s="2"/>
      <x:c r="O2080" s="2"/>
    </x:row>
    <x:row r="2081" ht="21" customHeight="1">
      <x:c r="A2081" s="2" t="str">
        <x:v>NT002080</x:v>
      </x:c>
      <x:c r="B2081" s="2" t="str">
        <x:v>EV002082</x:v>
      </x:c>
      <x:c r="C2081" s="2" t="str">
        <x:v>T20261008-1-2</x:v>
      </x:c>
      <x:c r="D2081" s="2" t="str">
        <x:v>ST044</x:v>
      </x:c>
      <x:c r="E2081" s="2" t="str">
        <x:v>G044</x:v>
      </x:c>
      <x:c r="F2081" s="2" t="str">
        <x:v>guardian044@example.invalid</x:v>
      </x:c>
      <x:c r="G2081" s="2" t="str">
        <x:v>Email</x:v>
      </x:c>
      <x:c r="H2081" s="2" t="str">
        <x:v>School receipt</x:v>
      </x:c>
      <x:c r="I2081" s="8" t="n">
        <x:v>46303.27649305556</x:v>
      </x:c>
      <x:c r="J2081" s="8" t="n">
        <x:v>46303.2765162037</x:v>
      </x:c>
      <x:c r="K2081" s="8" t="n">
        <x:v>46303.276550925926</x:v>
      </x:c>
      <x:c r="L2081" s="2" t="str">
        <x:v>Sent</x:v>
      </x:c>
      <x:c r="M2081" s="2" t="n">
        <x:v>1</x:v>
      </x:c>
      <x:c r="N2081" s="2"/>
      <x:c r="O2081" s="2"/>
    </x:row>
    <x:row r="2082" ht="21" customHeight="1">
      <x:c r="A2082" s="2" t="str">
        <x:v>NT002081</x:v>
      </x:c>
      <x:c r="B2082" s="2" t="str">
        <x:v>EV002083</x:v>
      </x:c>
      <x:c r="C2082" s="2" t="str">
        <x:v>T20261008-1-2</x:v>
      </x:c>
      <x:c r="D2082" s="2" t="str">
        <x:v>ST045</x:v>
      </x:c>
      <x:c r="E2082" s="2" t="str">
        <x:v>G045</x:v>
      </x:c>
      <x:c r="F2082" s="2" t="str">
        <x:v>guardian045@example.invalid</x:v>
      </x:c>
      <x:c r="G2082" s="2" t="str">
        <x:v>Email</x:v>
      </x:c>
      <x:c r="H2082" s="2" t="str">
        <x:v>Boarded</x:v>
      </x:c>
      <x:c r="I2082" s="8" t="n">
        <x:v>46303.24736111111</x:v>
      </x:c>
      <x:c r="J2082" s="8" t="n">
        <x:v>46303.24738425926</x:v>
      </x:c>
      <x:c r="K2082" s="8" t="n">
        <x:v>46303.24741898148</x:v>
      </x:c>
      <x:c r="L2082" s="2" t="str">
        <x:v>Sent</x:v>
      </x:c>
      <x:c r="M2082" s="2" t="n">
        <x:v>1</x:v>
      </x:c>
      <x:c r="N2082" s="2"/>
      <x:c r="O2082" s="2"/>
    </x:row>
    <x:row r="2083" ht="21" customHeight="1">
      <x:c r="A2083" s="2" t="str">
        <x:v>NT002082</x:v>
      </x:c>
      <x:c r="B2083" s="2" t="str">
        <x:v>EV002084</x:v>
      </x:c>
      <x:c r="C2083" s="2" t="str">
        <x:v>T20261008-1-2</x:v>
      </x:c>
      <x:c r="D2083" s="2" t="str">
        <x:v>ST045</x:v>
      </x:c>
      <x:c r="E2083" s="2" t="str">
        <x:v>G045</x:v>
      </x:c>
      <x:c r="F2083" s="2" t="str">
        <x:v>guardian045@example.invalid</x:v>
      </x:c>
      <x:c r="G2083" s="2" t="str">
        <x:v>Email</x:v>
      </x:c>
      <x:c r="H2083" s="2" t="str">
        <x:v>School receipt</x:v>
      </x:c>
      <x:c r="I2083" s="8" t="n">
        <x:v>46303.27652777778</x:v>
      </x:c>
      <x:c r="J2083" s="8" t="n">
        <x:v>46303.276550925926</x:v>
      </x:c>
      <x:c r="K2083" s="8" t="n">
        <x:v>46303.27658564815</x:v>
      </x:c>
      <x:c r="L2083" s="2" t="str">
        <x:v>Sent</x:v>
      </x:c>
      <x:c r="M2083" s="2" t="n">
        <x:v>1</x:v>
      </x:c>
      <x:c r="N2083" s="2"/>
      <x:c r="O2083" s="2"/>
    </x:row>
    <x:row r="2084" ht="21" customHeight="1">
      <x:c r="A2084" s="2" t="str">
        <x:v>NT002083</x:v>
      </x:c>
      <x:c r="B2084" s="2" t="str">
        <x:v>EV002085</x:v>
      </x:c>
      <x:c r="C2084" s="2" t="str">
        <x:v>T20261008-1-2</x:v>
      </x:c>
      <x:c r="D2084" s="2" t="str">
        <x:v>ST046</x:v>
      </x:c>
      <x:c r="E2084" s="2" t="str">
        <x:v>G046</x:v>
      </x:c>
      <x:c r="F2084" s="2" t="str">
        <x:v>guardian046@example.invalid</x:v>
      </x:c>
      <x:c r="G2084" s="2" t="str">
        <x:v>Email</x:v>
      </x:c>
      <x:c r="H2084" s="2" t="str">
        <x:v>Boarded</x:v>
      </x:c>
      <x:c r="I2084" s="8" t="n">
        <x:v>46303.25225694444</x:v>
      </x:c>
      <x:c r="J2084" s="8" t="n">
        <x:v>46303.25228009259</x:v>
      </x:c>
      <x:c r="K2084" s="8" t="n">
        <x:v>46303.25231481481</x:v>
      </x:c>
      <x:c r="L2084" s="2" t="str">
        <x:v>Sent</x:v>
      </x:c>
      <x:c r="M2084" s="2" t="n">
        <x:v>1</x:v>
      </x:c>
      <x:c r="N2084" s="2"/>
      <x:c r="O2084" s="2"/>
    </x:row>
    <x:row r="2085" ht="21" customHeight="1">
      <x:c r="A2085" s="2" t="str">
        <x:v>NT002084</x:v>
      </x:c>
      <x:c r="B2085" s="2" t="str">
        <x:v>EV002086</x:v>
      </x:c>
      <x:c r="C2085" s="2" t="str">
        <x:v>T20261008-1-2</x:v>
      </x:c>
      <x:c r="D2085" s="2" t="str">
        <x:v>ST046</x:v>
      </x:c>
      <x:c r="E2085" s="2" t="str">
        <x:v>G046</x:v>
      </x:c>
      <x:c r="F2085" s="2" t="str">
        <x:v>guardian046@example.invalid</x:v>
      </x:c>
      <x:c r="G2085" s="2" t="str">
        <x:v>Email</x:v>
      </x:c>
      <x:c r="H2085" s="2" t="str">
        <x:v>School receipt</x:v>
      </x:c>
      <x:c r="I2085" s="8" t="n">
        <x:v>46303.276562499996</x:v>
      </x:c>
      <x:c r="J2085" s="8" t="n">
        <x:v>46303.27658564814</x:v>
      </x:c>
      <x:c r="K2085" s="8" t="n">
        <x:v>46303.276620370365</x:v>
      </x:c>
      <x:c r="L2085" s="2" t="str">
        <x:v>Sent</x:v>
      </x:c>
      <x:c r="M2085" s="2" t="n">
        <x:v>1</x:v>
      </x:c>
      <x:c r="N2085" s="2"/>
      <x:c r="O2085" s="2"/>
    </x:row>
    <x:row r="2086" ht="21" customHeight="1">
      <x:c r="A2086" s="2" t="str">
        <x:v>NT002085</x:v>
      </x:c>
      <x:c r="B2086" s="2" t="str">
        <x:v>EV002087</x:v>
      </x:c>
      <x:c r="C2086" s="2" t="str">
        <x:v>T20261008-1-2</x:v>
      </x:c>
      <x:c r="D2086" s="2" t="str">
        <x:v>ST047</x:v>
      </x:c>
      <x:c r="E2086" s="2" t="str">
        <x:v>G047</x:v>
      </x:c>
      <x:c r="F2086" s="2" t="str">
        <x:v>guardian047@example.invalid</x:v>
      </x:c>
      <x:c r="G2086" s="2" t="str">
        <x:v>Email</x:v>
      </x:c>
      <x:c r="H2086" s="2" t="str">
        <x:v>Boarded</x:v>
      </x:c>
      <x:c r="I2086" s="8" t="n">
        <x:v>46303.24256944445</x:v>
      </x:c>
      <x:c r="J2086" s="8" t="n">
        <x:v>46303.24259259259</x:v>
      </x:c>
      <x:c r="K2086" s="8" t="n">
        <x:v>46303.242627314816</x:v>
      </x:c>
      <x:c r="L2086" s="2" t="str">
        <x:v>Sent</x:v>
      </x:c>
      <x:c r="M2086" s="2" t="n">
        <x:v>1</x:v>
      </x:c>
      <x:c r="N2086" s="2"/>
      <x:c r="O2086" s="2"/>
    </x:row>
    <x:row r="2087" ht="21" customHeight="1">
      <x:c r="A2087" s="2" t="str">
        <x:v>NT002086</x:v>
      </x:c>
      <x:c r="B2087" s="2" t="str">
        <x:v>EV002088</x:v>
      </x:c>
      <x:c r="C2087" s="2" t="str">
        <x:v>T20261008-1-2</x:v>
      </x:c>
      <x:c r="D2087" s="2" t="str">
        <x:v>ST047</x:v>
      </x:c>
      <x:c r="E2087" s="2" t="str">
        <x:v>G047</x:v>
      </x:c>
      <x:c r="F2087" s="2" t="str">
        <x:v>guardian047@example.invalid</x:v>
      </x:c>
      <x:c r="G2087" s="2" t="str">
        <x:v>Email</x:v>
      </x:c>
      <x:c r="H2087" s="2" t="str">
        <x:v>School receipt</x:v>
      </x:c>
      <x:c r="I2087" s="8" t="n">
        <x:v>46303.27659722222</x:v>
      </x:c>
      <x:c r="J2087" s="8" t="n">
        <x:v>46303.276620370365</x:v>
      </x:c>
      <x:c r="K2087" s="8" t="n">
        <x:v>46303.27665509259</x:v>
      </x:c>
      <x:c r="L2087" s="2" t="str">
        <x:v>Sent</x:v>
      </x:c>
      <x:c r="M2087" s="2" t="n">
        <x:v>1</x:v>
      </x:c>
      <x:c r="N2087" s="2"/>
      <x:c r="O2087" s="2"/>
    </x:row>
    <x:row r="2088" ht="21" customHeight="1">
      <x:c r="A2088" s="2" t="str">
        <x:v>NT002087</x:v>
      </x:c>
      <x:c r="B2088" s="2" t="str">
        <x:v>EV002089</x:v>
      </x:c>
      <x:c r="C2088" s="2" t="str">
        <x:v>T20261008-1-2</x:v>
      </x:c>
      <x:c r="D2088" s="2" t="str">
        <x:v>ST048</x:v>
      </x:c>
      <x:c r="E2088" s="2" t="str">
        <x:v>G048</x:v>
      </x:c>
      <x:c r="F2088" s="2" t="str">
        <x:v>guardian048@example.invalid</x:v>
      </x:c>
      <x:c r="G2088" s="2" t="str">
        <x:v>Email</x:v>
      </x:c>
      <x:c r="H2088" s="2" t="str">
        <x:v>Boarded</x:v>
      </x:c>
      <x:c r="I2088" s="8" t="n">
        <x:v>46303.247465277775</x:v>
      </x:c>
      <x:c r="J2088" s="8" t="n">
        <x:v>46303.24748842592</x:v>
      </x:c>
      <x:c r="K2088" s="8" t="n">
        <x:v>46303.247523148144</x:v>
      </x:c>
      <x:c r="L2088" s="2" t="str">
        <x:v>Sent</x:v>
      </x:c>
      <x:c r="M2088" s="2" t="n">
        <x:v>1</x:v>
      </x:c>
      <x:c r="N2088" s="2"/>
      <x:c r="O2088" s="2"/>
    </x:row>
    <x:row r="2089" ht="21" customHeight="1">
      <x:c r="A2089" s="2" t="str">
        <x:v>NT002088</x:v>
      </x:c>
      <x:c r="B2089" s="2" t="str">
        <x:v>EV002090</x:v>
      </x:c>
      <x:c r="C2089" s="2" t="str">
        <x:v>T20261008-1-2</x:v>
      </x:c>
      <x:c r="D2089" s="2" t="str">
        <x:v>ST048</x:v>
      </x:c>
      <x:c r="E2089" s="2" t="str">
        <x:v>G048</x:v>
      </x:c>
      <x:c r="F2089" s="2" t="str">
        <x:v>guardian048@example.invalid</x:v>
      </x:c>
      <x:c r="G2089" s="2" t="str">
        <x:v>Email</x:v>
      </x:c>
      <x:c r="H2089" s="2" t="str">
        <x:v>School receipt</x:v>
      </x:c>
      <x:c r="I2089" s="8" t="n">
        <x:v>46303.27663194444</x:v>
      </x:c>
      <x:c r="J2089" s="8" t="n">
        <x:v>46303.27665509259</x:v>
      </x:c>
      <x:c r="K2089" s="8" t="n">
        <x:v>46303.27668981481</x:v>
      </x:c>
      <x:c r="L2089" s="2" t="str">
        <x:v>Sent</x:v>
      </x:c>
      <x:c r="M2089" s="2" t="n">
        <x:v>1</x:v>
      </x:c>
      <x:c r="N2089" s="2"/>
      <x:c r="O2089" s="2"/>
    </x:row>
    <x:row r="2090" ht="21" customHeight="1">
      <x:c r="A2090" s="2" t="str">
        <x:v>NT002089</x:v>
      </x:c>
      <x:c r="B2090" s="2" t="str">
        <x:v>EV002091</x:v>
      </x:c>
      <x:c r="C2090" s="2" t="str">
        <x:v>T20261008-1-2</x:v>
      </x:c>
      <x:c r="D2090" s="2" t="str">
        <x:v>ST049</x:v>
      </x:c>
      <x:c r="E2090" s="2" t="str">
        <x:v>G049</x:v>
      </x:c>
      <x:c r="F2090" s="2" t="str">
        <x:v>guardian049@example.invalid</x:v>
      </x:c>
      <x:c r="G2090" s="2" t="str">
        <x:v>Email</x:v>
      </x:c>
      <x:c r="H2090" s="2" t="str">
        <x:v>Boarded</x:v>
      </x:c>
      <x:c r="I2090" s="8" t="n">
        <x:v>46303.25236111111</x:v>
      </x:c>
      <x:c r="J2090" s="8" t="n">
        <x:v>46303.252384259256</x:v>
      </x:c>
      <x:c r="K2090" s="8" t="n">
        <x:v>46303.25241898148</x:v>
      </x:c>
      <x:c r="L2090" s="2" t="str">
        <x:v>Sent</x:v>
      </x:c>
      <x:c r="M2090" s="2" t="n">
        <x:v>1</x:v>
      </x:c>
      <x:c r="N2090" s="2"/>
      <x:c r="O2090" s="2"/>
    </x:row>
    <x:row r="2091" ht="21" customHeight="1">
      <x:c r="A2091" s="2" t="str">
        <x:v>NT002090</x:v>
      </x:c>
      <x:c r="B2091" s="2" t="str">
        <x:v>EV002092</x:v>
      </x:c>
      <x:c r="C2091" s="2" t="str">
        <x:v>T20261008-1-2</x:v>
      </x:c>
      <x:c r="D2091" s="2" t="str">
        <x:v>ST049</x:v>
      </x:c>
      <x:c r="E2091" s="2" t="str">
        <x:v>G049</x:v>
      </x:c>
      <x:c r="F2091" s="2" t="str">
        <x:v>guardian049@example.invalid</x:v>
      </x:c>
      <x:c r="G2091" s="2" t="str">
        <x:v>Email</x:v>
      </x:c>
      <x:c r="H2091" s="2" t="str">
        <x:v>School receipt</x:v>
      </x:c>
      <x:c r="I2091" s="8" t="n">
        <x:v>46303.276666666665</x:v>
      </x:c>
      <x:c r="J2091" s="8" t="n">
        <x:v>46303.27668981481</x:v>
      </x:c>
      <x:c r="K2091" s="8" t="n">
        <x:v>46303.276724537034</x:v>
      </x:c>
      <x:c r="L2091" s="2" t="str">
        <x:v>Sent</x:v>
      </x:c>
      <x:c r="M2091" s="2" t="n">
        <x:v>1</x:v>
      </x:c>
      <x:c r="N2091" s="2"/>
      <x:c r="O2091" s="2"/>
    </x:row>
    <x:row r="2092" ht="21" customHeight="1">
      <x:c r="A2092" s="2" t="str">
        <x:v>NT002091</x:v>
      </x:c>
      <x:c r="B2092" s="2" t="str">
        <x:v>EV002093</x:v>
      </x:c>
      <x:c r="C2092" s="2" t="str">
        <x:v>T20261008-1-2</x:v>
      </x:c>
      <x:c r="D2092" s="2" t="str">
        <x:v>ST050</x:v>
      </x:c>
      <x:c r="E2092" s="2" t="str">
        <x:v>G050</x:v>
      </x:c>
      <x:c r="F2092" s="2" t="str">
        <x:v>guardian050@example.invalid</x:v>
      </x:c>
      <x:c r="G2092" s="2" t="str">
        <x:v>Email</x:v>
      </x:c>
      <x:c r="H2092" s="2" t="str">
        <x:v>Boarded</x:v>
      </x:c>
      <x:c r="I2092" s="8" t="n">
        <x:v>46303.242673611116</x:v>
      </x:c>
      <x:c r="J2092" s="8" t="n">
        <x:v>46303.24269675926</x:v>
      </x:c>
      <x:c r="K2092" s="8" t="n">
        <x:v>46303.242731481485</x:v>
      </x:c>
      <x:c r="L2092" s="2" t="str">
        <x:v>Sent</x:v>
      </x:c>
      <x:c r="M2092" s="2" t="n">
        <x:v>1</x:v>
      </x:c>
      <x:c r="N2092" s="2"/>
      <x:c r="O2092" s="2"/>
    </x:row>
    <x:row r="2093" ht="21" customHeight="1">
      <x:c r="A2093" s="2" t="str">
        <x:v>NT002092</x:v>
      </x:c>
      <x:c r="B2093" s="2" t="str">
        <x:v>EV002094</x:v>
      </x:c>
      <x:c r="C2093" s="2" t="str">
        <x:v>T20261008-1-2</x:v>
      </x:c>
      <x:c r="D2093" s="2" t="str">
        <x:v>ST050</x:v>
      </x:c>
      <x:c r="E2093" s="2" t="str">
        <x:v>G050</x:v>
      </x:c>
      <x:c r="F2093" s="2" t="str">
        <x:v>guardian050@example.invalid</x:v>
      </x:c>
      <x:c r="G2093" s="2" t="str">
        <x:v>Email</x:v>
      </x:c>
      <x:c r="H2093" s="2" t="str">
        <x:v>School receipt</x:v>
      </x:c>
      <x:c r="I2093" s="8" t="n">
        <x:v>46303.27670138889</x:v>
      </x:c>
      <x:c r="J2093" s="8" t="n">
        <x:v>46303.276724537034</x:v>
      </x:c>
      <x:c r="K2093" s="8" t="n">
        <x:v>46303.27675925926</x:v>
      </x:c>
      <x:c r="L2093" s="2" t="str">
        <x:v>Sent</x:v>
      </x:c>
      <x:c r="M2093" s="2" t="n">
        <x:v>1</x:v>
      </x:c>
      <x:c r="N2093" s="2"/>
      <x:c r="O2093" s="2"/>
    </x:row>
    <x:row r="2094" ht="21" customHeight="1">
      <x:c r="A2094" s="2" t="str">
        <x:v>NT002093</x:v>
      </x:c>
      <x:c r="B2094" s="2" t="str">
        <x:v>EV002095</x:v>
      </x:c>
      <x:c r="C2094" s="2" t="str">
        <x:v>T20261008-1-2</x:v>
      </x:c>
      <x:c r="D2094" s="2" t="str">
        <x:v>ST051</x:v>
      </x:c>
      <x:c r="E2094" s="2" t="str">
        <x:v>G051</x:v>
      </x:c>
      <x:c r="F2094" s="2" t="str">
        <x:v>guardian051@example.invalid</x:v>
      </x:c>
      <x:c r="G2094" s="2" t="str">
        <x:v>Email</x:v>
      </x:c>
      <x:c r="H2094" s="2" t="str">
        <x:v>Boarded</x:v>
      </x:c>
      <x:c r="I2094" s="8" t="n">
        <x:v>46303.24722222222</x:v>
      </x:c>
      <x:c r="J2094" s="8" t="n">
        <x:v>46303.24724537037</x:v>
      </x:c>
      <x:c r="K2094" s="8" t="n">
        <x:v>46303.24728009259</x:v>
      </x:c>
      <x:c r="L2094" s="2" t="str">
        <x:v>Sent</x:v>
      </x:c>
      <x:c r="M2094" s="2" t="n">
        <x:v>1</x:v>
      </x:c>
      <x:c r="N2094" s="2"/>
      <x:c r="O2094" s="2"/>
    </x:row>
    <x:row r="2095" ht="21" customHeight="1">
      <x:c r="A2095" s="2" t="str">
        <x:v>NT002094</x:v>
      </x:c>
      <x:c r="B2095" s="2" t="str">
        <x:v>EV002096</x:v>
      </x:c>
      <x:c r="C2095" s="2" t="str">
        <x:v>T20261008-1-2</x:v>
      </x:c>
      <x:c r="D2095" s="2" t="str">
        <x:v>ST051</x:v>
      </x:c>
      <x:c r="E2095" s="2" t="str">
        <x:v>G051</x:v>
      </x:c>
      <x:c r="F2095" s="2" t="str">
        <x:v>guardian051@example.invalid</x:v>
      </x:c>
      <x:c r="G2095" s="2" t="str">
        <x:v>Email</x:v>
      </x:c>
      <x:c r="H2095" s="2" t="str">
        <x:v>School receipt</x:v>
      </x:c>
      <x:c r="I2095" s="8" t="n">
        <x:v>46303.27673611111</x:v>
      </x:c>
      <x:c r="J2095" s="8" t="n">
        <x:v>46303.27675925926</x:v>
      </x:c>
      <x:c r="K2095" s="8" t="n">
        <x:v>46303.27679398148</x:v>
      </x:c>
      <x:c r="L2095" s="2" t="str">
        <x:v>Sent</x:v>
      </x:c>
      <x:c r="M2095" s="2" t="n">
        <x:v>1</x:v>
      </x:c>
      <x:c r="N2095" s="2"/>
      <x:c r="O2095" s="2"/>
    </x:row>
    <x:row r="2096" ht="21" customHeight="1">
      <x:c r="A2096" s="2" t="str">
        <x:v>NT002095</x:v>
      </x:c>
      <x:c r="B2096" s="2" t="str">
        <x:v>EV002097</x:v>
      </x:c>
      <x:c r="C2096" s="2" t="str">
        <x:v>T20261008-1-2</x:v>
      </x:c>
      <x:c r="D2096" s="2" t="str">
        <x:v>ST052</x:v>
      </x:c>
      <x:c r="E2096" s="2" t="str">
        <x:v>G052</x:v>
      </x:c>
      <x:c r="F2096" s="2" t="str">
        <x:v>guardian052@example.invalid</x:v>
      </x:c>
      <x:c r="G2096" s="2" t="str">
        <x:v>Email</x:v>
      </x:c>
      <x:c r="H2096" s="2" t="str">
        <x:v>Boarded</x:v>
      </x:c>
      <x:c r="I2096" s="8" t="n">
        <x:v>46303.252118055556</x:v>
      </x:c>
      <x:c r="J2096" s="8" t="n">
        <x:v>46303.2521412037</x:v>
      </x:c>
      <x:c r="K2096" s="8" t="n">
        <x:v>46303.252175925925</x:v>
      </x:c>
      <x:c r="L2096" s="2" t="str">
        <x:v>Sent</x:v>
      </x:c>
      <x:c r="M2096" s="2" t="n">
        <x:v>1</x:v>
      </x:c>
      <x:c r="N2096" s="2"/>
      <x:c r="O2096" s="2"/>
    </x:row>
    <x:row r="2097" ht="21" customHeight="1">
      <x:c r="A2097" s="2" t="str">
        <x:v>NT002096</x:v>
      </x:c>
      <x:c r="B2097" s="2" t="str">
        <x:v>EV002098</x:v>
      </x:c>
      <x:c r="C2097" s="2" t="str">
        <x:v>T20261008-1-2</x:v>
      </x:c>
      <x:c r="D2097" s="2" t="str">
        <x:v>ST052</x:v>
      </x:c>
      <x:c r="E2097" s="2" t="str">
        <x:v>G052</x:v>
      </x:c>
      <x:c r="F2097" s="2" t="str">
        <x:v>guardian052@example.invalid</x:v>
      </x:c>
      <x:c r="G2097" s="2" t="str">
        <x:v>Email</x:v>
      </x:c>
      <x:c r="H2097" s="2" t="str">
        <x:v>School receipt</x:v>
      </x:c>
      <x:c r="I2097" s="8" t="n">
        <x:v>46303.276770833334</x:v>
      </x:c>
      <x:c r="J2097" s="8" t="n">
        <x:v>46303.27679398148</x:v>
      </x:c>
      <x:c r="K2097" s="8" t="n">
        <x:v>46303.2768287037</x:v>
      </x:c>
      <x:c r="L2097" s="2" t="str">
        <x:v>Sent</x:v>
      </x:c>
      <x:c r="M2097" s="2" t="n">
        <x:v>1</x:v>
      </x:c>
      <x:c r="N2097" s="2"/>
      <x:c r="O2097" s="2"/>
    </x:row>
    <x:row r="2098" ht="21" customHeight="1">
      <x:c r="A2098" s="2" t="str">
        <x:v>NT002097</x:v>
      </x:c>
      <x:c r="B2098" s="2" t="str">
        <x:v>EV002099</x:v>
      </x:c>
      <x:c r="C2098" s="2" t="str">
        <x:v>T20261008-1-2</x:v>
      </x:c>
      <x:c r="D2098" s="2" t="str">
        <x:v>ST053</x:v>
      </x:c>
      <x:c r="E2098" s="2" t="str">
        <x:v>G053</x:v>
      </x:c>
      <x:c r="F2098" s="2" t="str">
        <x:v>guardian053@example.invalid</x:v>
      </x:c>
      <x:c r="G2098" s="2" t="str">
        <x:v>Email</x:v>
      </x:c>
      <x:c r="H2098" s="2" t="str">
        <x:v>Boarded</x:v>
      </x:c>
      <x:c r="I2098" s="8" t="n">
        <x:v>46303.24243055556</x:v>
      </x:c>
      <x:c r="J2098" s="8" t="n">
        <x:v>46303.24245370371</x:v>
      </x:c>
      <x:c r="K2098" s="8" t="n">
        <x:v>46303.24248842593</x:v>
      </x:c>
      <x:c r="L2098" s="2" t="str">
        <x:v>Sent</x:v>
      </x:c>
      <x:c r="M2098" s="2" t="n">
        <x:v>1</x:v>
      </x:c>
      <x:c r="N2098" s="2"/>
      <x:c r="O2098" s="2"/>
    </x:row>
    <x:row r="2099" ht="21" customHeight="1">
      <x:c r="A2099" s="2" t="str">
        <x:v>NT002098</x:v>
      </x:c>
      <x:c r="B2099" s="2" t="str">
        <x:v>EV002100</x:v>
      </x:c>
      <x:c r="C2099" s="2" t="str">
        <x:v>T20261008-1-2</x:v>
      </x:c>
      <x:c r="D2099" s="2" t="str">
        <x:v>ST053</x:v>
      </x:c>
      <x:c r="E2099" s="2" t="str">
        <x:v>G053</x:v>
      </x:c>
      <x:c r="F2099" s="2" t="str">
        <x:v>guardian053@example.invalid</x:v>
      </x:c>
      <x:c r="G2099" s="2" t="str">
        <x:v>Email</x:v>
      </x:c>
      <x:c r="H2099" s="2" t="str">
        <x:v>School receipt</x:v>
      </x:c>
      <x:c r="I2099" s="8" t="n">
        <x:v>46303.27680555556</x:v>
      </x:c>
      <x:c r="J2099" s="8" t="n">
        <x:v>46303.2768287037</x:v>
      </x:c>
      <x:c r="K2099" s="8" t="n">
        <x:v>46303.27686342593</x:v>
      </x:c>
      <x:c r="L2099" s="2" t="str">
        <x:v>Sent</x:v>
      </x:c>
      <x:c r="M2099" s="2" t="n">
        <x:v>1</x:v>
      </x:c>
      <x:c r="N2099" s="2"/>
      <x:c r="O2099" s="2"/>
    </x:row>
    <x:row r="2100" ht="21" customHeight="1">
      <x:c r="A2100" s="2" t="str">
        <x:v>NT002099</x:v>
      </x:c>
      <x:c r="B2100" s="2" t="str">
        <x:v>EV002101</x:v>
      </x:c>
      <x:c r="C2100" s="2" t="str">
        <x:v>T20261008-1-2</x:v>
      </x:c>
      <x:c r="D2100" s="2" t="str">
        <x:v>ST054</x:v>
      </x:c>
      <x:c r="E2100" s="2" t="str">
        <x:v>G054</x:v>
      </x:c>
      <x:c r="F2100" s="2" t="str">
        <x:v>guardian054@example.invalid</x:v>
      </x:c>
      <x:c r="G2100" s="2" t="str">
        <x:v>Email</x:v>
      </x:c>
      <x:c r="H2100" s="2" t="str">
        <x:v>Boarded</x:v>
      </x:c>
      <x:c r="I2100" s="8" t="n">
        <x:v>46303.24732638889</x:v>
      </x:c>
      <x:c r="J2100" s="8" t="n">
        <x:v>46303.247349537036</x:v>
      </x:c>
      <x:c r="K2100" s="8" t="n">
        <x:v>46303.24738425926</x:v>
      </x:c>
      <x:c r="L2100" s="2" t="str">
        <x:v>Sent</x:v>
      </x:c>
      <x:c r="M2100" s="2" t="n">
        <x:v>1</x:v>
      </x:c>
      <x:c r="N2100" s="2"/>
      <x:c r="O2100" s="2"/>
    </x:row>
    <x:row r="2101" ht="21" customHeight="1">
      <x:c r="A2101" s="2" t="str">
        <x:v>NT002100</x:v>
      </x:c>
      <x:c r="B2101" s="2" t="str">
        <x:v>EV002102</x:v>
      </x:c>
      <x:c r="C2101" s="2" t="str">
        <x:v>T20261008-1-2</x:v>
      </x:c>
      <x:c r="D2101" s="2" t="str">
        <x:v>ST054</x:v>
      </x:c>
      <x:c r="E2101" s="2" t="str">
        <x:v>G054</x:v>
      </x:c>
      <x:c r="F2101" s="2" t="str">
        <x:v>guardian054@example.invalid</x:v>
      </x:c>
      <x:c r="G2101" s="2" t="str">
        <x:v>Email</x:v>
      </x:c>
      <x:c r="H2101" s="2" t="str">
        <x:v>School receipt</x:v>
      </x:c>
      <x:c r="I2101" s="8" t="n">
        <x:v>46303.27684027777</x:v>
      </x:c>
      <x:c r="J2101" s="8" t="n">
        <x:v>46303.27686342592</x:v>
      </x:c>
      <x:c r="K2101" s="8" t="n">
        <x:v>46303.27689814814</x:v>
      </x:c>
      <x:c r="L2101" s="2" t="str">
        <x:v>Sent</x:v>
      </x:c>
      <x:c r="M2101" s="2" t="n">
        <x:v>1</x:v>
      </x:c>
      <x:c r="N2101" s="2"/>
      <x:c r="O2101" s="2"/>
    </x:row>
    <x:row r="2102" ht="21" customHeight="1">
      <x:c r="A2102" s="2" t="str">
        <x:v>NT002101</x:v>
      </x:c>
      <x:c r="B2102" s="2" t="str">
        <x:v>EV002103</x:v>
      </x:c>
      <x:c r="C2102" s="2" t="str">
        <x:v>T20261008-1-2</x:v>
      </x:c>
      <x:c r="D2102" s="2" t="str">
        <x:v>ST055</x:v>
      </x:c>
      <x:c r="E2102" s="2" t="str">
        <x:v>G055</x:v>
      </x:c>
      <x:c r="F2102" s="2" t="str">
        <x:v>guardian055@example.invalid</x:v>
      </x:c>
      <x:c r="G2102" s="2" t="str">
        <x:v>Email</x:v>
      </x:c>
      <x:c r="H2102" s="2" t="str">
        <x:v>Boarded</x:v>
      </x:c>
      <x:c r="I2102" s="8" t="n">
        <x:v>46303.252222222225</x:v>
      </x:c>
      <x:c r="J2102" s="8" t="n">
        <x:v>46303.25224537037</x:v>
      </x:c>
      <x:c r="K2102" s="8" t="n">
        <x:v>46303.252280092594</x:v>
      </x:c>
      <x:c r="L2102" s="2" t="str">
        <x:v>Sent</x:v>
      </x:c>
      <x:c r="M2102" s="2" t="n">
        <x:v>1</x:v>
      </x:c>
      <x:c r="N2102" s="2"/>
      <x:c r="O2102" s="2"/>
    </x:row>
    <x:row r="2103" ht="21" customHeight="1">
      <x:c r="A2103" s="2" t="str">
        <x:v>NT002102</x:v>
      </x:c>
      <x:c r="B2103" s="2" t="str">
        <x:v>EV002104</x:v>
      </x:c>
      <x:c r="C2103" s="2" t="str">
        <x:v>T20261008-1-2</x:v>
      </x:c>
      <x:c r="D2103" s="2" t="str">
        <x:v>ST055</x:v>
      </x:c>
      <x:c r="E2103" s="2" t="str">
        <x:v>G055</x:v>
      </x:c>
      <x:c r="F2103" s="2" t="str">
        <x:v>guardian055@example.invalid</x:v>
      </x:c>
      <x:c r="G2103" s="2" t="str">
        <x:v>Email</x:v>
      </x:c>
      <x:c r="H2103" s="2" t="str">
        <x:v>School receipt</x:v>
      </x:c>
      <x:c r="I2103" s="8" t="n">
        <x:v>46303.276874999996</x:v>
      </x:c>
      <x:c r="J2103" s="8" t="n">
        <x:v>46303.27689814814</x:v>
      </x:c>
      <x:c r="K2103" s="8" t="n">
        <x:v>46303.276932870365</x:v>
      </x:c>
      <x:c r="L2103" s="2" t="str">
        <x:v>Sent</x:v>
      </x:c>
      <x:c r="M2103" s="2" t="n">
        <x:v>1</x:v>
      </x:c>
      <x:c r="N2103" s="2"/>
      <x:c r="O2103" s="2"/>
    </x:row>
    <x:row r="2104" ht="21" customHeight="1">
      <x:c r="A2104" s="2" t="str">
        <x:v>NT002103</x:v>
      </x:c>
      <x:c r="B2104" s="2" t="str">
        <x:v>EV002105</x:v>
      </x:c>
      <x:c r="C2104" s="2" t="str">
        <x:v>T20261008-1-2</x:v>
      </x:c>
      <x:c r="D2104" s="2" t="str">
        <x:v>ST056</x:v>
      </x:c>
      <x:c r="E2104" s="2" t="str">
        <x:v>G056</x:v>
      </x:c>
      <x:c r="F2104" s="2" t="str">
        <x:v>guardian056@example.invalid</x:v>
      </x:c>
      <x:c r="G2104" s="2" t="str">
        <x:v>Email</x:v>
      </x:c>
      <x:c r="H2104" s="2" t="str">
        <x:v>Boarded</x:v>
      </x:c>
      <x:c r="I2104" s="8" t="n">
        <x:v>46303.24253472222</x:v>
      </x:c>
      <x:c r="J2104" s="8" t="n">
        <x:v>46303.24255787037</x:v>
      </x:c>
      <x:c r="K2104" s="8" t="n">
        <x:v>46303.24259259259</x:v>
      </x:c>
      <x:c r="L2104" s="2" t="str">
        <x:v>Sent</x:v>
      </x:c>
      <x:c r="M2104" s="2" t="n">
        <x:v>1</x:v>
      </x:c>
      <x:c r="N2104" s="2"/>
      <x:c r="O2104" s="2"/>
    </x:row>
    <x:row r="2105" ht="21" customHeight="1">
      <x:c r="A2105" s="2" t="str">
        <x:v>NT002104</x:v>
      </x:c>
      <x:c r="B2105" s="2" t="str">
        <x:v>EV002106</x:v>
      </x:c>
      <x:c r="C2105" s="2" t="str">
        <x:v>T20261008-1-2</x:v>
      </x:c>
      <x:c r="D2105" s="2" t="str">
        <x:v>ST056</x:v>
      </x:c>
      <x:c r="E2105" s="2" t="str">
        <x:v>G056</x:v>
      </x:c>
      <x:c r="F2105" s="2" t="str">
        <x:v>guardian056@example.invalid</x:v>
      </x:c>
      <x:c r="G2105" s="2" t="str">
        <x:v>Email</x:v>
      </x:c>
      <x:c r="H2105" s="2" t="str">
        <x:v>School receipt</x:v>
      </x:c>
      <x:c r="I2105" s="8" t="n">
        <x:v>46303.27690972222</x:v>
      </x:c>
      <x:c r="J2105" s="8" t="n">
        <x:v>46303.276932870365</x:v>
      </x:c>
      <x:c r="K2105" s="8" t="n">
        <x:v>46303.27696759259</x:v>
      </x:c>
      <x:c r="L2105" s="2" t="str">
        <x:v>Sent</x:v>
      </x:c>
      <x:c r="M2105" s="2" t="n">
        <x:v>1</x:v>
      </x:c>
      <x:c r="N2105" s="2"/>
      <x:c r="O2105" s="2"/>
    </x:row>
    <x:row r="2106" ht="21" customHeight="1">
      <x:c r="A2106" s="2" t="str">
        <x:v>NT002105</x:v>
      </x:c>
      <x:c r="B2106" s="2" t="str">
        <x:v>EV002107</x:v>
      </x:c>
      <x:c r="C2106" s="2" t="str">
        <x:v>T20261008-1-2</x:v>
      </x:c>
      <x:c r="D2106" s="2" t="str">
        <x:v>ST057</x:v>
      </x:c>
      <x:c r="E2106" s="2" t="str">
        <x:v>G057</x:v>
      </x:c>
      <x:c r="F2106" s="2" t="str">
        <x:v>guardian057@example.invalid</x:v>
      </x:c>
      <x:c r="G2106" s="2" t="str">
        <x:v>Email</x:v>
      </x:c>
      <x:c r="H2106" s="2" t="str">
        <x:v>Boarded</x:v>
      </x:c>
      <x:c r="I2106" s="8" t="n">
        <x:v>46303.24743055555</x:v>
      </x:c>
      <x:c r="J2106" s="8" t="n">
        <x:v>46303.2474537037</x:v>
      </x:c>
      <x:c r="K2106" s="8" t="n">
        <x:v>46303.24748842592</x:v>
      </x:c>
      <x:c r="L2106" s="2" t="str">
        <x:v>Sent</x:v>
      </x:c>
      <x:c r="M2106" s="2" t="n">
        <x:v>1</x:v>
      </x:c>
      <x:c r="N2106" s="2"/>
      <x:c r="O2106" s="2"/>
    </x:row>
    <x:row r="2107" ht="21" customHeight="1">
      <x:c r="A2107" s="2" t="str">
        <x:v>NT002106</x:v>
      </x:c>
      <x:c r="B2107" s="2" t="str">
        <x:v>EV002108</x:v>
      </x:c>
      <x:c r="C2107" s="2" t="str">
        <x:v>T20261008-1-2</x:v>
      </x:c>
      <x:c r="D2107" s="2" t="str">
        <x:v>ST057</x:v>
      </x:c>
      <x:c r="E2107" s="2" t="str">
        <x:v>G057</x:v>
      </x:c>
      <x:c r="F2107" s="2" t="str">
        <x:v>guardian057@example.invalid</x:v>
      </x:c>
      <x:c r="G2107" s="2" t="str">
        <x:v>Email</x:v>
      </x:c>
      <x:c r="H2107" s="2" t="str">
        <x:v>School receipt</x:v>
      </x:c>
      <x:c r="I2107" s="8" t="n">
        <x:v>46303.27694444444</x:v>
      </x:c>
      <x:c r="J2107" s="8" t="n">
        <x:v>46303.27696759259</x:v>
      </x:c>
      <x:c r="K2107" s="8" t="n">
        <x:v>46303.27700231481</x:v>
      </x:c>
      <x:c r="L2107" s="2" t="str">
        <x:v>Sent</x:v>
      </x:c>
      <x:c r="M2107" s="2" t="n">
        <x:v>1</x:v>
      </x:c>
      <x:c r="N2107" s="2"/>
      <x:c r="O2107" s="2"/>
    </x:row>
    <x:row r="2108" ht="21" customHeight="1">
      <x:c r="A2108" s="2" t="str">
        <x:v>NT002107</x:v>
      </x:c>
      <x:c r="B2108" s="2" t="str">
        <x:v>EV002109</x:v>
      </x:c>
      <x:c r="C2108" s="2" t="str">
        <x:v>T20261008-1-2</x:v>
      </x:c>
      <x:c r="D2108" s="2" t="str">
        <x:v>ST058</x:v>
      </x:c>
      <x:c r="E2108" s="2" t="str">
        <x:v>G058</x:v>
      </x:c>
      <x:c r="F2108" s="2" t="str">
        <x:v>guardian058@example.invalid</x:v>
      </x:c>
      <x:c r="G2108" s="2" t="str">
        <x:v>Email</x:v>
      </x:c>
      <x:c r="H2108" s="2" t="str">
        <x:v>Boarded</x:v>
      </x:c>
      <x:c r="I2108" s="8" t="n">
        <x:v>46303.25232638889</x:v>
      </x:c>
      <x:c r="J2108" s="8" t="n">
        <x:v>46303.25234953703</x:v>
      </x:c>
      <x:c r="K2108" s="8" t="n">
        <x:v>46303.252384259256</x:v>
      </x:c>
      <x:c r="L2108" s="2" t="str">
        <x:v>Sent</x:v>
      </x:c>
      <x:c r="M2108" s="2" t="n">
        <x:v>1</x:v>
      </x:c>
      <x:c r="N2108" s="2"/>
      <x:c r="O2108" s="2"/>
    </x:row>
    <x:row r="2109" ht="21" customHeight="1">
      <x:c r="A2109" s="2" t="str">
        <x:v>NT002108</x:v>
      </x:c>
      <x:c r="B2109" s="2" t="str">
        <x:v>EV002110</x:v>
      </x:c>
      <x:c r="C2109" s="2" t="str">
        <x:v>T20261008-1-2</x:v>
      </x:c>
      <x:c r="D2109" s="2" t="str">
        <x:v>ST058</x:v>
      </x:c>
      <x:c r="E2109" s="2" t="str">
        <x:v>G058</x:v>
      </x:c>
      <x:c r="F2109" s="2" t="str">
        <x:v>guardian058@example.invalid</x:v>
      </x:c>
      <x:c r="G2109" s="2" t="str">
        <x:v>Email</x:v>
      </x:c>
      <x:c r="H2109" s="2" t="str">
        <x:v>School receipt</x:v>
      </x:c>
      <x:c r="I2109" s="8" t="n">
        <x:v>46303.276979166665</x:v>
      </x:c>
      <x:c r="J2109" s="8" t="n">
        <x:v>46303.27700231481</x:v>
      </x:c>
      <x:c r="K2109" s="8" t="n">
        <x:v>46303.277037037034</x:v>
      </x:c>
      <x:c r="L2109" s="2" t="str">
        <x:v>Sent</x:v>
      </x:c>
      <x:c r="M2109" s="2" t="n">
        <x:v>1</x:v>
      </x:c>
      <x:c r="N2109" s="2"/>
      <x:c r="O2109" s="2"/>
    </x:row>
    <x:row r="2110" ht="21" customHeight="1">
      <x:c r="A2110" s="2" t="str">
        <x:v>NT002109</x:v>
      </x:c>
      <x:c r="B2110" s="2" t="str">
        <x:v>EV002111</x:v>
      </x:c>
      <x:c r="C2110" s="2" t="str">
        <x:v>T20261008-1-2</x:v>
      </x:c>
      <x:c r="D2110" s="2" t="str">
        <x:v>ST059</x:v>
      </x:c>
      <x:c r="E2110" s="2" t="str">
        <x:v>G059</x:v>
      </x:c>
      <x:c r="F2110" s="2" t="str">
        <x:v>guardian059@example.invalid</x:v>
      </x:c>
      <x:c r="G2110" s="2" t="str">
        <x:v>Email</x:v>
      </x:c>
      <x:c r="H2110" s="2" t="str">
        <x:v>Boarded</x:v>
      </x:c>
      <x:c r="I2110" s="8" t="n">
        <x:v>46303.24263888889</x:v>
      </x:c>
      <x:c r="J2110" s="8" t="n">
        <x:v>46303.24266203704</x:v>
      </x:c>
      <x:c r="K2110" s="8" t="n">
        <x:v>46303.24269675926</x:v>
      </x:c>
      <x:c r="L2110" s="2" t="str">
        <x:v>Sent</x:v>
      </x:c>
      <x:c r="M2110" s="2" t="n">
        <x:v>1</x:v>
      </x:c>
      <x:c r="N2110" s="2"/>
      <x:c r="O2110" s="2"/>
    </x:row>
    <x:row r="2111" ht="21" customHeight="1">
      <x:c r="A2111" s="2" t="str">
        <x:v>NT002110</x:v>
      </x:c>
      <x:c r="B2111" s="2" t="str">
        <x:v>EV002112</x:v>
      </x:c>
      <x:c r="C2111" s="2" t="str">
        <x:v>T20261008-1-2</x:v>
      </x:c>
      <x:c r="D2111" s="2" t="str">
        <x:v>ST059</x:v>
      </x:c>
      <x:c r="E2111" s="2" t="str">
        <x:v>G059</x:v>
      </x:c>
      <x:c r="F2111" s="2" t="str">
        <x:v>guardian059@example.invalid</x:v>
      </x:c>
      <x:c r="G2111" s="2" t="str">
        <x:v>Email</x:v>
      </x:c>
      <x:c r="H2111" s="2" t="str">
        <x:v>School receipt</x:v>
      </x:c>
      <x:c r="I2111" s="8" t="n">
        <x:v>46303.27701388889</x:v>
      </x:c>
      <x:c r="J2111" s="8" t="n">
        <x:v>46303.277037037034</x:v>
      </x:c>
      <x:c r="K2111" s="8" t="n">
        <x:v>46303.27707175926</x:v>
      </x:c>
      <x:c r="L2111" s="2" t="str">
        <x:v>Sent</x:v>
      </x:c>
      <x:c r="M2111" s="2" t="n">
        <x:v>1</x:v>
      </x:c>
      <x:c r="N2111" s="2"/>
      <x:c r="O2111" s="2"/>
    </x:row>
    <x:row r="2112" ht="21" customHeight="1">
      <x:c r="A2112" s="2" t="str">
        <x:v>NT002111</x:v>
      </x:c>
      <x:c r="B2112" s="2" t="str">
        <x:v>EV002113</x:v>
      </x:c>
      <x:c r="C2112" s="2" t="str">
        <x:v>T20261008-1-2</x:v>
      </x:c>
      <x:c r="D2112" s="2" t="str">
        <x:v>ST060</x:v>
      </x:c>
      <x:c r="E2112" s="2" t="str">
        <x:v>G060</x:v>
      </x:c>
      <x:c r="F2112" s="2" t="str">
        <x:v>guardian060@example.invalid</x:v>
      </x:c>
      <x:c r="G2112" s="2" t="str">
        <x:v>Email</x:v>
      </x:c>
      <x:c r="H2112" s="2" t="str">
        <x:v>Boarded</x:v>
      </x:c>
      <x:c r="I2112" s="8" t="n">
        <x:v>46303.24753472222</x:v>
      </x:c>
      <x:c r="J2112" s="8" t="n">
        <x:v>46303.24755787037</x:v>
      </x:c>
      <x:c r="K2112" s="8" t="n">
        <x:v>46303.24759259259</x:v>
      </x:c>
      <x:c r="L2112" s="2" t="str">
        <x:v>Sent</x:v>
      </x:c>
      <x:c r="M2112" s="2" t="n">
        <x:v>1</x:v>
      </x:c>
      <x:c r="N2112" s="2"/>
      <x:c r="O2112" s="2"/>
    </x:row>
    <x:row r="2113" ht="21" customHeight="1">
      <x:c r="A2113" s="2" t="str">
        <x:v>NT002112</x:v>
      </x:c>
      <x:c r="B2113" s="2" t="str">
        <x:v>EV002114</x:v>
      </x:c>
      <x:c r="C2113" s="2" t="str">
        <x:v>T20261008-1-2</x:v>
      </x:c>
      <x:c r="D2113" s="2" t="str">
        <x:v>ST060</x:v>
      </x:c>
      <x:c r="E2113" s="2" t="str">
        <x:v>G060</x:v>
      </x:c>
      <x:c r="F2113" s="2" t="str">
        <x:v>guardian060@example.invalid</x:v>
      </x:c>
      <x:c r="G2113" s="2" t="str">
        <x:v>Email</x:v>
      </x:c>
      <x:c r="H2113" s="2" t="str">
        <x:v>School receipt</x:v>
      </x:c>
      <x:c r="I2113" s="8" t="n">
        <x:v>46303.27704861111</x:v>
      </x:c>
      <x:c r="J2113" s="8" t="n">
        <x:v>46303.27707175926</x:v>
      </x:c>
      <x:c r="K2113" s="8" t="n">
        <x:v>46303.27710648148</x:v>
      </x:c>
      <x:c r="L2113" s="2" t="str">
        <x:v>Sent</x:v>
      </x:c>
      <x:c r="M2113" s="2" t="n">
        <x:v>1</x:v>
      </x:c>
      <x:c r="N2113" s="2"/>
      <x:c r="O2113" s="2"/>
    </x:row>
    <x:row r="2114" ht="21" customHeight="1">
      <x:c r="A2114" s="2" t="str">
        <x:v>NT002113</x:v>
      </x:c>
      <x:c r="B2114" s="2" t="str">
        <x:v>EV002115</x:v>
      </x:c>
      <x:c r="C2114" s="2" t="str">
        <x:v>T20261008-2-2</x:v>
      </x:c>
      <x:c r="D2114" s="2" t="str">
        <x:v>ST041</x:v>
      </x:c>
      <x:c r="E2114" s="2" t="str">
        <x:v>G041</x:v>
      </x:c>
      <x:c r="F2114" s="2" t="str">
        <x:v>guardian041@example.invalid</x:v>
      </x:c>
      <x:c r="G2114" s="2" t="str">
        <x:v>Email</x:v>
      </x:c>
      <x:c r="H2114" s="2" t="str">
        <x:v>Boarded</x:v>
      </x:c>
      <x:c r="I2114" s="8" t="n">
        <x:v>46303.4375</x:v>
      </x:c>
      <x:c r="J2114" s="8" t="n">
        <x:v>46303.437523148146</x:v>
      </x:c>
      <x:c r="K2114" s="8" t="n">
        <x:v>46303.43755787037</x:v>
      </x:c>
      <x:c r="L2114" s="2" t="str">
        <x:v>Sent</x:v>
      </x:c>
      <x:c r="M2114" s="2" t="n">
        <x:v>1</x:v>
      </x:c>
      <x:c r="N2114" s="2"/>
      <x:c r="O2114" s="2"/>
    </x:row>
    <x:row r="2115" ht="21" customHeight="1">
      <x:c r="A2115" s="2" t="str">
        <x:v>NT002114</x:v>
      </x:c>
      <x:c r="B2115" s="2" t="str">
        <x:v>EV002116</x:v>
      </x:c>
      <x:c r="C2115" s="2" t="str">
        <x:v>T20261008-2-2</x:v>
      </x:c>
      <x:c r="D2115" s="2" t="str">
        <x:v>ST041</x:v>
      </x:c>
      <x:c r="E2115" s="2" t="str">
        <x:v>G041</x:v>
      </x:c>
      <x:c r="F2115" s="2" t="str">
        <x:v>guardian041@example.invalid</x:v>
      </x:c>
      <x:c r="G2115" s="2" t="str">
        <x:v>Email</x:v>
      </x:c>
      <x:c r="H2115" s="2" t="str">
        <x:v>Authorized release</x:v>
      </x:c>
      <x:c r="I2115" s="8" t="n">
        <x:v>46303.44930555555</x:v>
      </x:c>
      <x:c r="J2115" s="8" t="n">
        <x:v>46303.4493287037</x:v>
      </x:c>
      <x:c r="K2115" s="8" t="n">
        <x:v>46303.44936342592</x:v>
      </x:c>
      <x:c r="L2115" s="2" t="str">
        <x:v>Sent</x:v>
      </x:c>
      <x:c r="M2115" s="2" t="n">
        <x:v>1</x:v>
      </x:c>
      <x:c r="N2115" s="2"/>
      <x:c r="O2115" s="2"/>
    </x:row>
    <x:row r="2116" ht="21" customHeight="1">
      <x:c r="A2116" s="2" t="str">
        <x:v>NT002115</x:v>
      </x:c>
      <x:c r="B2116" s="2" t="str">
        <x:v>EV002117</x:v>
      </x:c>
      <x:c r="C2116" s="2" t="str">
        <x:v>T20261008-2-2</x:v>
      </x:c>
      <x:c r="D2116" s="2" t="str">
        <x:v>ST042</x:v>
      </x:c>
      <x:c r="E2116" s="2" t="str">
        <x:v>G042</x:v>
      </x:c>
      <x:c r="F2116" s="2" t="str">
        <x:v>guardian042@example.invalid</x:v>
      </x:c>
      <x:c r="G2116" s="2" t="str">
        <x:v>Email</x:v>
      </x:c>
      <x:c r="H2116" s="2" t="str">
        <x:v>Boarded</x:v>
      </x:c>
      <x:c r="I2116" s="8" t="n">
        <x:v>46303.43753472222</x:v>
      </x:c>
      <x:c r="J2116" s="8" t="n">
        <x:v>46303.43755787037</x:v>
      </x:c>
      <x:c r="K2116" s="8" t="n">
        <x:v>46303.43759259259</x:v>
      </x:c>
      <x:c r="L2116" s="2" t="str">
        <x:v>Sent</x:v>
      </x:c>
      <x:c r="M2116" s="2" t="n">
        <x:v>1</x:v>
      </x:c>
      <x:c r="N2116" s="2"/>
      <x:c r="O2116" s="2"/>
    </x:row>
    <x:row r="2117" ht="21" customHeight="1">
      <x:c r="A2117" s="2" t="str">
        <x:v>NT002116</x:v>
      </x:c>
      <x:c r="B2117" s="2" t="str">
        <x:v>EV002118</x:v>
      </x:c>
      <x:c r="C2117" s="2" t="str">
        <x:v>T20261008-2-2</x:v>
      </x:c>
      <x:c r="D2117" s="2" t="str">
        <x:v>ST042</x:v>
      </x:c>
      <x:c r="E2117" s="2" t="str">
        <x:v>G042</x:v>
      </x:c>
      <x:c r="F2117" s="2" t="str">
        <x:v>guardian042@example.invalid</x:v>
      </x:c>
      <x:c r="G2117" s="2" t="str">
        <x:v>Email</x:v>
      </x:c>
      <x:c r="H2117" s="2" t="str">
        <x:v>Authorized release</x:v>
      </x:c>
      <x:c r="I2117" s="8" t="n">
        <x:v>46303.45350694445</x:v>
      </x:c>
      <x:c r="J2117" s="8" t="n">
        <x:v>46303.45353009259</x:v>
      </x:c>
      <x:c r="K2117" s="8" t="n">
        <x:v>46303.453564814816</x:v>
      </x:c>
      <x:c r="L2117" s="2" t="str">
        <x:v>Sent</x:v>
      </x:c>
      <x:c r="M2117" s="2" t="n">
        <x:v>1</x:v>
      </x:c>
      <x:c r="N2117" s="2"/>
      <x:c r="O2117" s="2"/>
    </x:row>
    <x:row r="2118" ht="21" customHeight="1">
      <x:c r="A2118" s="2" t="str">
        <x:v>NT002117</x:v>
      </x:c>
      <x:c r="B2118" s="2" t="str">
        <x:v>EV002119</x:v>
      </x:c>
      <x:c r="C2118" s="2" t="str">
        <x:v>T20261008-2-2</x:v>
      </x:c>
      <x:c r="D2118" s="2" t="str">
        <x:v>ST043</x:v>
      </x:c>
      <x:c r="E2118" s="2" t="str">
        <x:v>G043</x:v>
      </x:c>
      <x:c r="F2118" s="2" t="str">
        <x:v>guardian043@example.invalid</x:v>
      </x:c>
      <x:c r="G2118" s="2" t="str">
        <x:v>Email</x:v>
      </x:c>
      <x:c r="H2118" s="2" t="str">
        <x:v>Boarded</x:v>
      </x:c>
      <x:c r="I2118" s="8" t="n">
        <x:v>46303.437569444446</x:v>
      </x:c>
      <x:c r="J2118" s="8" t="n">
        <x:v>46303.43759259259</x:v>
      </x:c>
      <x:c r="K2118" s="8" t="n">
        <x:v>46303.437627314815</x:v>
      </x:c>
      <x:c r="L2118" s="2" t="str">
        <x:v>Sent</x:v>
      </x:c>
      <x:c r="M2118" s="2" t="n">
        <x:v>1</x:v>
      </x:c>
      <x:c r="N2118" s="2"/>
      <x:c r="O2118" s="2"/>
    </x:row>
    <x:row r="2119" ht="21" customHeight="1">
      <x:c r="A2119" s="2" t="str">
        <x:v>NT002118</x:v>
      </x:c>
      <x:c r="B2119" s="2" t="str">
        <x:v>EV002120</x:v>
      </x:c>
      <x:c r="C2119" s="2" t="str">
        <x:v>T20261008-2-2</x:v>
      </x:c>
      <x:c r="D2119" s="2" t="str">
        <x:v>ST043</x:v>
      </x:c>
      <x:c r="E2119" s="2" t="str">
        <x:v>G043</x:v>
      </x:c>
      <x:c r="F2119" s="2" t="str">
        <x:v>guardian043@example.invalid</x:v>
      </x:c>
      <x:c r="G2119" s="2" t="str">
        <x:v>Email</x:v>
      </x:c>
      <x:c r="H2119" s="2" t="str">
        <x:v>Authorized release</x:v>
      </x:c>
      <x:c r="I2119" s="8" t="n">
        <x:v>46303.457708333335</x:v>
      </x:c>
      <x:c r="J2119" s="8" t="n">
        <x:v>46303.45773148148</x:v>
      </x:c>
      <x:c r="K2119" s="8" t="n">
        <x:v>46303.457766203705</x:v>
      </x:c>
      <x:c r="L2119" s="2" t="str">
        <x:v>Sent</x:v>
      </x:c>
      <x:c r="M2119" s="2" t="n">
        <x:v>1</x:v>
      </x:c>
      <x:c r="N2119" s="2"/>
      <x:c r="O2119" s="2"/>
    </x:row>
    <x:row r="2120" ht="21" customHeight="1">
      <x:c r="A2120" s="2" t="str">
        <x:v>NT002119</x:v>
      </x:c>
      <x:c r="B2120" s="2" t="str">
        <x:v>EV002121</x:v>
      </x:c>
      <x:c r="C2120" s="2" t="str">
        <x:v>T20261008-2-2</x:v>
      </x:c>
      <x:c r="D2120" s="2" t="str">
        <x:v>ST044</x:v>
      </x:c>
      <x:c r="E2120" s="2" t="str">
        <x:v>G044</x:v>
      </x:c>
      <x:c r="F2120" s="2" t="str">
        <x:v>guardian044@example.invalid</x:v>
      </x:c>
      <x:c r="G2120" s="2" t="str">
        <x:v>Email</x:v>
      </x:c>
      <x:c r="H2120" s="2" t="str">
        <x:v>Boarded</x:v>
      </x:c>
      <x:c r="I2120" s="8" t="n">
        <x:v>46303.43760416667</x:v>
      </x:c>
      <x:c r="J2120" s="8" t="n">
        <x:v>46303.437627314815</x:v>
      </x:c>
      <x:c r="K2120" s="8" t="n">
        <x:v>46303.43766203704</x:v>
      </x:c>
      <x:c r="L2120" s="2" t="str">
        <x:v>Sent</x:v>
      </x:c>
      <x:c r="M2120" s="2" t="n">
        <x:v>1</x:v>
      </x:c>
      <x:c r="N2120" s="2"/>
      <x:c r="O2120" s="2"/>
    </x:row>
    <x:row r="2121" ht="21" customHeight="1">
      <x:c r="A2121" s="2" t="str">
        <x:v>NT002120</x:v>
      </x:c>
      <x:c r="B2121" s="2" t="str">
        <x:v>EV002122</x:v>
      </x:c>
      <x:c r="C2121" s="2" t="str">
        <x:v>T20261008-2-2</x:v>
      </x:c>
      <x:c r="D2121" s="2" t="str">
        <x:v>ST044</x:v>
      </x:c>
      <x:c r="E2121" s="2" t="str">
        <x:v>G044</x:v>
      </x:c>
      <x:c r="F2121" s="2" t="str">
        <x:v>guardian044@example.invalid</x:v>
      </x:c>
      <x:c r="G2121" s="2" t="str">
        <x:v>Email</x:v>
      </x:c>
      <x:c r="H2121" s="2" t="str">
        <x:v>Authorized release</x:v>
      </x:c>
      <x:c r="I2121" s="8" t="n">
        <x:v>46303.44940972222</x:v>
      </x:c>
      <x:c r="J2121" s="8" t="n">
        <x:v>46303.449432870366</x:v>
      </x:c>
      <x:c r="K2121" s="8" t="n">
        <x:v>46303.44946759259</x:v>
      </x:c>
      <x:c r="L2121" s="2" t="str">
        <x:v>Sent</x:v>
      </x:c>
      <x:c r="M2121" s="2" t="n">
        <x:v>1</x:v>
      </x:c>
      <x:c r="N2121" s="2"/>
      <x:c r="O2121" s="2"/>
    </x:row>
    <x:row r="2122" ht="21" customHeight="1">
      <x:c r="A2122" s="2" t="str">
        <x:v>NT002121</x:v>
      </x:c>
      <x:c r="B2122" s="2" t="str">
        <x:v>EV002123</x:v>
      </x:c>
      <x:c r="C2122" s="2" t="str">
        <x:v>T20261008-2-2</x:v>
      </x:c>
      <x:c r="D2122" s="2" t="str">
        <x:v>ST045</x:v>
      </x:c>
      <x:c r="E2122" s="2" t="str">
        <x:v>G045</x:v>
      </x:c>
      <x:c r="F2122" s="2" t="str">
        <x:v>guardian045@example.invalid</x:v>
      </x:c>
      <x:c r="G2122" s="2" t="str">
        <x:v>Email</x:v>
      </x:c>
      <x:c r="H2122" s="2" t="str">
        <x:v>Boarded</x:v>
      </x:c>
      <x:c r="I2122" s="8" t="n">
        <x:v>46303.43763888889</x:v>
      </x:c>
      <x:c r="J2122" s="8" t="n">
        <x:v>46303.43766203704</x:v>
      </x:c>
      <x:c r="K2122" s="8" t="n">
        <x:v>46303.43769675926</x:v>
      </x:c>
      <x:c r="L2122" s="2" t="str">
        <x:v>Sent</x:v>
      </x:c>
      <x:c r="M2122" s="2" t="n">
        <x:v>1</x:v>
      </x:c>
      <x:c r="N2122" s="2"/>
      <x:c r="O2122" s="2"/>
    </x:row>
    <x:row r="2123" ht="21" customHeight="1">
      <x:c r="A2123" s="2" t="str">
        <x:v>NT002122</x:v>
      </x:c>
      <x:c r="B2123" s="2" t="str">
        <x:v>EV002124</x:v>
      </x:c>
      <x:c r="C2123" s="2" t="str">
        <x:v>T20261008-2-2</x:v>
      </x:c>
      <x:c r="D2123" s="2" t="str">
        <x:v>ST045</x:v>
      </x:c>
      <x:c r="E2123" s="2" t="str">
        <x:v>G045</x:v>
      </x:c>
      <x:c r="F2123" s="2" t="str">
        <x:v>guardian045@example.invalid</x:v>
      </x:c>
      <x:c r="G2123" s="2" t="str">
        <x:v>Email</x:v>
      </x:c>
      <x:c r="H2123" s="2" t="str">
        <x:v>Authorized release</x:v>
      </x:c>
      <x:c r="I2123" s="8" t="n">
        <x:v>46303.453611111116</x:v>
      </x:c>
      <x:c r="J2123" s="8" t="n">
        <x:v>46303.45363425926</x:v>
      </x:c>
      <x:c r="K2123" s="8" t="n">
        <x:v>46303.453668981485</x:v>
      </x:c>
      <x:c r="L2123" s="2" t="str">
        <x:v>Sent</x:v>
      </x:c>
      <x:c r="M2123" s="2" t="n">
        <x:v>1</x:v>
      </x:c>
      <x:c r="N2123" s="2"/>
      <x:c r="O2123" s="2"/>
    </x:row>
    <x:row r="2124" ht="21" customHeight="1">
      <x:c r="A2124" s="2" t="str">
        <x:v>NT002123</x:v>
      </x:c>
      <x:c r="B2124" s="2" t="str">
        <x:v>EV002125</x:v>
      </x:c>
      <x:c r="C2124" s="2" t="str">
        <x:v>T20261008-2-2</x:v>
      </x:c>
      <x:c r="D2124" s="2" t="str">
        <x:v>ST046</x:v>
      </x:c>
      <x:c r="E2124" s="2" t="str">
        <x:v>G046</x:v>
      </x:c>
      <x:c r="F2124" s="2" t="str">
        <x:v>guardian046@example.invalid</x:v>
      </x:c>
      <x:c r="G2124" s="2" t="str">
        <x:v>Email</x:v>
      </x:c>
      <x:c r="H2124" s="2" t="str">
        <x:v>Boarded</x:v>
      </x:c>
      <x:c r="I2124" s="8" t="n">
        <x:v>46303.43767361111</x:v>
      </x:c>
      <x:c r="J2124" s="8" t="n">
        <x:v>46303.437696759254</x:v>
      </x:c>
      <x:c r="K2124" s="8" t="n">
        <x:v>46303.43773148148</x:v>
      </x:c>
      <x:c r="L2124" s="2" t="str">
        <x:v>Sent</x:v>
      </x:c>
      <x:c r="M2124" s="2" t="n">
        <x:v>1</x:v>
      </x:c>
      <x:c r="N2124" s="2"/>
      <x:c r="O2124" s="2"/>
    </x:row>
    <x:row r="2125" ht="21" customHeight="1">
      <x:c r="A2125" s="2" t="str">
        <x:v>NT002124</x:v>
      </x:c>
      <x:c r="B2125" s="2" t="str">
        <x:v>EV002126</x:v>
      </x:c>
      <x:c r="C2125" s="2" t="str">
        <x:v>T20261008-2-2</x:v>
      </x:c>
      <x:c r="D2125" s="2" t="str">
        <x:v>ST046</x:v>
      </x:c>
      <x:c r="E2125" s="2" t="str">
        <x:v>G046</x:v>
      </x:c>
      <x:c r="F2125" s="2" t="str">
        <x:v>guardian046@example.invalid</x:v>
      </x:c>
      <x:c r="G2125" s="2" t="str">
        <x:v>Email</x:v>
      </x:c>
      <x:c r="H2125" s="2" t="str">
        <x:v>Authorized release</x:v>
      </x:c>
      <x:c r="I2125" s="8" t="n">
        <x:v>46303.4578125</x:v>
      </x:c>
      <x:c r="J2125" s="8" t="n">
        <x:v>46303.45783564814</x:v>
      </x:c>
      <x:c r="K2125" s="8" t="n">
        <x:v>46303.45787037037</x:v>
      </x:c>
      <x:c r="L2125" s="2" t="str">
        <x:v>Sent</x:v>
      </x:c>
      <x:c r="M2125" s="2" t="n">
        <x:v>1</x:v>
      </x:c>
      <x:c r="N2125" s="2"/>
      <x:c r="O2125" s="2"/>
    </x:row>
    <x:row r="2126" ht="21" customHeight="1">
      <x:c r="A2126" s="2" t="str">
        <x:v>NT002125</x:v>
      </x:c>
      <x:c r="B2126" s="2" t="str">
        <x:v>EV002127</x:v>
      </x:c>
      <x:c r="C2126" s="2" t="str">
        <x:v>T20261008-2-2</x:v>
      </x:c>
      <x:c r="D2126" s="2" t="str">
        <x:v>ST047</x:v>
      </x:c>
      <x:c r="E2126" s="2" t="str">
        <x:v>G047</x:v>
      </x:c>
      <x:c r="F2126" s="2" t="str">
        <x:v>guardian047@example.invalid</x:v>
      </x:c>
      <x:c r="G2126" s="2" t="str">
        <x:v>Email</x:v>
      </x:c>
      <x:c r="H2126" s="2" t="str">
        <x:v>Boarded</x:v>
      </x:c>
      <x:c r="I2126" s="8" t="n">
        <x:v>46303.43770833333</x:v>
      </x:c>
      <x:c r="J2126" s="8" t="n">
        <x:v>46303.43773148148</x:v>
      </x:c>
      <x:c r="K2126" s="8" t="n">
        <x:v>46303.4377662037</x:v>
      </x:c>
      <x:c r="L2126" s="2" t="str">
        <x:v>Sent</x:v>
      </x:c>
      <x:c r="M2126" s="2" t="n">
        <x:v>1</x:v>
      </x:c>
      <x:c r="N2126" s="2"/>
      <x:c r="O2126" s="2"/>
    </x:row>
    <x:row r="2127" ht="21" customHeight="1">
      <x:c r="A2127" s="2" t="str">
        <x:v>NT002126</x:v>
      </x:c>
      <x:c r="B2127" s="2" t="str">
        <x:v>EV002128</x:v>
      </x:c>
      <x:c r="C2127" s="2" t="str">
        <x:v>T20261008-2-2</x:v>
      </x:c>
      <x:c r="D2127" s="2" t="str">
        <x:v>ST047</x:v>
      </x:c>
      <x:c r="E2127" s="2" t="str">
        <x:v>G047</x:v>
      </x:c>
      <x:c r="F2127" s="2" t="str">
        <x:v>guardian047@example.invalid</x:v>
      </x:c>
      <x:c r="G2127" s="2" t="str">
        <x:v>Email</x:v>
      </x:c>
      <x:c r="H2127" s="2" t="str">
        <x:v>Authorized release</x:v>
      </x:c>
      <x:c r="I2127" s="8" t="n">
        <x:v>46303.44951388888</x:v>
      </x:c>
      <x:c r="J2127" s="8" t="n">
        <x:v>46303.44953703703</x:v>
      </x:c>
      <x:c r="K2127" s="8" t="n">
        <x:v>46303.44957175925</x:v>
      </x:c>
      <x:c r="L2127" s="2" t="str">
        <x:v>Sent</x:v>
      </x:c>
      <x:c r="M2127" s="2" t="n">
        <x:v>1</x:v>
      </x:c>
      <x:c r="N2127" s="2"/>
      <x:c r="O2127" s="2"/>
    </x:row>
    <x:row r="2128" ht="21" customHeight="1">
      <x:c r="A2128" s="2" t="str">
        <x:v>NT002127</x:v>
      </x:c>
      <x:c r="B2128" s="2" t="str">
        <x:v>EV002129</x:v>
      </x:c>
      <x:c r="C2128" s="2" t="str">
        <x:v>T20261008-2-2</x:v>
      </x:c>
      <x:c r="D2128" s="2" t="str">
        <x:v>ST048</x:v>
      </x:c>
      <x:c r="E2128" s="2" t="str">
        <x:v>G048</x:v>
      </x:c>
      <x:c r="F2128" s="2" t="str">
        <x:v>guardian048@example.invalid</x:v>
      </x:c>
      <x:c r="G2128" s="2" t="str">
        <x:v>Email</x:v>
      </x:c>
      <x:c r="H2128" s="2" t="str">
        <x:v>Boarded</x:v>
      </x:c>
      <x:c r="I2128" s="8" t="n">
        <x:v>46303.437743055554</x:v>
      </x:c>
      <x:c r="J2128" s="8" t="n">
        <x:v>46303.4377662037</x:v>
      </x:c>
      <x:c r="K2128" s="8" t="n">
        <x:v>46303.43780092592</x:v>
      </x:c>
      <x:c r="L2128" s="2" t="str">
        <x:v>Sent</x:v>
      </x:c>
      <x:c r="M2128" s="2" t="n">
        <x:v>1</x:v>
      </x:c>
      <x:c r="N2128" s="2"/>
      <x:c r="O2128" s="2"/>
    </x:row>
    <x:row r="2129" ht="21" customHeight="1">
      <x:c r="A2129" s="2" t="str">
        <x:v>NT002128</x:v>
      </x:c>
      <x:c r="B2129" s="2" t="str">
        <x:v>EV002130</x:v>
      </x:c>
      <x:c r="C2129" s="2" t="str">
        <x:v>T20261008-2-2</x:v>
      </x:c>
      <x:c r="D2129" s="2" t="str">
        <x:v>ST048</x:v>
      </x:c>
      <x:c r="E2129" s="2" t="str">
        <x:v>G048</x:v>
      </x:c>
      <x:c r="F2129" s="2" t="str">
        <x:v>guardian048@example.invalid</x:v>
      </x:c>
      <x:c r="G2129" s="2" t="str">
        <x:v>Email</x:v>
      </x:c>
      <x:c r="H2129" s="2" t="str">
        <x:v>Authorized release</x:v>
      </x:c>
      <x:c r="I2129" s="8" t="n">
        <x:v>46303.45371527778</x:v>
      </x:c>
      <x:c r="J2129" s="8" t="n">
        <x:v>46303.453738425924</x:v>
      </x:c>
      <x:c r="K2129" s="8" t="n">
        <x:v>46303.45377314815</x:v>
      </x:c>
      <x:c r="L2129" s="2" t="str">
        <x:v>Sent</x:v>
      </x:c>
      <x:c r="M2129" s="2" t="n">
        <x:v>1</x:v>
      </x:c>
      <x:c r="N2129" s="2"/>
      <x:c r="O2129" s="2"/>
    </x:row>
    <x:row r="2130" ht="21" customHeight="1">
      <x:c r="A2130" s="2" t="str">
        <x:v>NT002129</x:v>
      </x:c>
      <x:c r="B2130" s="2" t="str">
        <x:v>EV002131</x:v>
      </x:c>
      <x:c r="C2130" s="2" t="str">
        <x:v>T20261008-2-2</x:v>
      </x:c>
      <x:c r="D2130" s="2" t="str">
        <x:v>ST049</x:v>
      </x:c>
      <x:c r="E2130" s="2" t="str">
        <x:v>G049</x:v>
      </x:c>
      <x:c r="F2130" s="2" t="str">
        <x:v>guardian049@example.invalid</x:v>
      </x:c>
      <x:c r="G2130" s="2" t="str">
        <x:v>Email</x:v>
      </x:c>
      <x:c r="H2130" s="2" t="str">
        <x:v>Boarded</x:v>
      </x:c>
      <x:c r="I2130" s="8" t="n">
        <x:v>46303.43777777778</x:v>
      </x:c>
      <x:c r="J2130" s="8" t="n">
        <x:v>46303.43780092592</x:v>
      </x:c>
      <x:c r="K2130" s="8" t="n">
        <x:v>46303.43783564815</x:v>
      </x:c>
      <x:c r="L2130" s="2" t="str">
        <x:v>Sent</x:v>
      </x:c>
      <x:c r="M2130" s="2" t="n">
        <x:v>1</x:v>
      </x:c>
      <x:c r="N2130" s="2"/>
      <x:c r="O2130" s="2"/>
    </x:row>
    <x:row r="2131" ht="21" customHeight="1">
      <x:c r="A2131" s="2" t="str">
        <x:v>NT002130</x:v>
      </x:c>
      <x:c r="B2131" s="2" t="str">
        <x:v>EV002132</x:v>
      </x:c>
      <x:c r="C2131" s="2" t="str">
        <x:v>T20261008-2-2</x:v>
      </x:c>
      <x:c r="D2131" s="2" t="str">
        <x:v>ST049</x:v>
      </x:c>
      <x:c r="E2131" s="2" t="str">
        <x:v>G049</x:v>
      </x:c>
      <x:c r="F2131" s="2" t="str">
        <x:v>guardian049@example.invalid</x:v>
      </x:c>
      <x:c r="G2131" s="2" t="str">
        <x:v>Email</x:v>
      </x:c>
      <x:c r="H2131" s="2" t="str">
        <x:v>Authorized release</x:v>
      </x:c>
      <x:c r="I2131" s="8" t="n">
        <x:v>46303.457916666666</x:v>
      </x:c>
      <x:c r="J2131" s="8" t="n">
        <x:v>46303.45793981481</x:v>
      </x:c>
      <x:c r="K2131" s="8" t="n">
        <x:v>46303.457974537036</x:v>
      </x:c>
      <x:c r="L2131" s="2" t="str">
        <x:v>Sent</x:v>
      </x:c>
      <x:c r="M2131" s="2" t="n">
        <x:v>1</x:v>
      </x:c>
      <x:c r="N2131" s="2"/>
      <x:c r="O2131" s="2"/>
    </x:row>
    <x:row r="2132" ht="21" customHeight="1">
      <x:c r="A2132" s="2" t="str">
        <x:v>NT002131</x:v>
      </x:c>
      <x:c r="B2132" s="2" t="str">
        <x:v>EV002133</x:v>
      </x:c>
      <x:c r="C2132" s="2" t="str">
        <x:v>T20261008-2-2</x:v>
      </x:c>
      <x:c r="D2132" s="2" t="str">
        <x:v>ST050</x:v>
      </x:c>
      <x:c r="E2132" s="2" t="str">
        <x:v>G050</x:v>
      </x:c>
      <x:c r="F2132" s="2" t="str">
        <x:v>guardian050@example.invalid</x:v>
      </x:c>
      <x:c r="G2132" s="2" t="str">
        <x:v>Email</x:v>
      </x:c>
      <x:c r="H2132" s="2" t="str">
        <x:v>Boarded</x:v>
      </x:c>
      <x:c r="I2132" s="8" t="n">
        <x:v>46303.4378125</x:v>
      </x:c>
      <x:c r="J2132" s="8" t="n">
        <x:v>46303.43783564815</x:v>
      </x:c>
      <x:c r="K2132" s="8" t="n">
        <x:v>46303.43787037037</x:v>
      </x:c>
      <x:c r="L2132" s="2" t="str">
        <x:v>Sent</x:v>
      </x:c>
      <x:c r="M2132" s="2" t="n">
        <x:v>1</x:v>
      </x:c>
      <x:c r="N2132" s="2"/>
      <x:c r="O2132" s="2"/>
    </x:row>
    <x:row r="2133" ht="21" customHeight="1">
      <x:c r="A2133" s="2" t="str">
        <x:v>NT002132</x:v>
      </x:c>
      <x:c r="B2133" s="2" t="str">
        <x:v>EV002134</x:v>
      </x:c>
      <x:c r="C2133" s="2" t="str">
        <x:v>T20261008-2-2</x:v>
      </x:c>
      <x:c r="D2133" s="2" t="str">
        <x:v>ST050</x:v>
      </x:c>
      <x:c r="E2133" s="2" t="str">
        <x:v>G050</x:v>
      </x:c>
      <x:c r="F2133" s="2" t="str">
        <x:v>guardian050@example.invalid</x:v>
      </x:c>
      <x:c r="G2133" s="2" t="str">
        <x:v>Email</x:v>
      </x:c>
      <x:c r="H2133" s="2" t="str">
        <x:v>Authorized release</x:v>
      </x:c>
      <x:c r="I2133" s="8" t="n">
        <x:v>46303.44961805555</x:v>
      </x:c>
      <x:c r="J2133" s="8" t="n">
        <x:v>46303.4496412037</x:v>
      </x:c>
      <x:c r="K2133" s="8" t="n">
        <x:v>46303.44967592592</x:v>
      </x:c>
      <x:c r="L2133" s="2" t="str">
        <x:v>Sent</x:v>
      </x:c>
      <x:c r="M2133" s="2" t="n">
        <x:v>1</x:v>
      </x:c>
      <x:c r="N2133" s="2"/>
      <x:c r="O2133" s="2"/>
    </x:row>
    <x:row r="2134" ht="21" customHeight="1">
      <x:c r="A2134" s="2" t="str">
        <x:v>NT002133</x:v>
      </x:c>
      <x:c r="B2134" s="2" t="str">
        <x:v>EV002135</x:v>
      </x:c>
      <x:c r="C2134" s="2" t="str">
        <x:v>T20261008-2-2</x:v>
      </x:c>
      <x:c r="D2134" s="2" t="str">
        <x:v>ST061</x:v>
      </x:c>
      <x:c r="E2134" s="2" t="str">
        <x:v>G061</x:v>
      </x:c>
      <x:c r="F2134" s="2" t="str">
        <x:v>guardian061@example.invalid</x:v>
      </x:c>
      <x:c r="G2134" s="2" t="str">
        <x:v>Email</x:v>
      </x:c>
      <x:c r="H2134" s="2" t="str">
        <x:v>Boarded</x:v>
      </x:c>
      <x:c r="I2134" s="8" t="n">
        <x:v>46303.48125</x:v>
      </x:c>
      <x:c r="J2134" s="8" t="n">
        <x:v>46303.48127314814</x:v>
      </x:c>
      <x:c r="K2134" s="8" t="n">
        <x:v>46303.48130787037</x:v>
      </x:c>
      <x:c r="L2134" s="2" t="str">
        <x:v>Sent</x:v>
      </x:c>
      <x:c r="M2134" s="2" t="n">
        <x:v>1</x:v>
      </x:c>
      <x:c r="N2134" s="2"/>
      <x:c r="O2134" s="2"/>
    </x:row>
    <x:row r="2135" ht="21" customHeight="1">
      <x:c r="A2135" s="2" t="str">
        <x:v>NT002134</x:v>
      </x:c>
      <x:c r="B2135" s="2" t="str">
        <x:v>EV002136</x:v>
      </x:c>
      <x:c r="C2135" s="2" t="str">
        <x:v>T20261008-2-2</x:v>
      </x:c>
      <x:c r="D2135" s="2" t="str">
        <x:v>ST061</x:v>
      </x:c>
      <x:c r="E2135" s="2" t="str">
        <x:v>G061</x:v>
      </x:c>
      <x:c r="F2135" s="2" t="str">
        <x:v>guardian061@example.invalid</x:v>
      </x:c>
      <x:c r="G2135" s="2" t="str">
        <x:v>Email</x:v>
      </x:c>
      <x:c r="H2135" s="2" t="str">
        <x:v>School receipt</x:v>
      </x:c>
      <x:c r="I2135" s="8" t="n">
        <x:v>46303.506250000006</x:v>
      </x:c>
      <x:c r="J2135" s="8" t="n">
        <x:v>46303.50627314815</x:v>
      </x:c>
      <x:c r="K2135" s="8" t="n">
        <x:v>46303.506307870375</x:v>
      </x:c>
      <x:c r="L2135" s="2" t="str">
        <x:v>Sent</x:v>
      </x:c>
      <x:c r="M2135" s="2" t="n">
        <x:v>1</x:v>
      </x:c>
      <x:c r="N2135" s="2"/>
      <x:c r="O2135" s="2"/>
    </x:row>
    <x:row r="2136" ht="21" customHeight="1">
      <x:c r="A2136" s="2" t="str">
        <x:v>NT002135</x:v>
      </x:c>
      <x:c r="B2136" s="2" t="str">
        <x:v>EV002137</x:v>
      </x:c>
      <x:c r="C2136" s="2" t="str">
        <x:v>T20261008-2-2</x:v>
      </x:c>
      <x:c r="D2136" s="2" t="str">
        <x:v>ST062</x:v>
      </x:c>
      <x:c r="E2136" s="2" t="str">
        <x:v>G062</x:v>
      </x:c>
      <x:c r="F2136" s="2" t="str">
        <x:v>guardian062@example.invalid</x:v>
      </x:c>
      <x:c r="G2136" s="2" t="str">
        <x:v>Email</x:v>
      </x:c>
      <x:c r="H2136" s="2" t="str">
        <x:v>Boarded</x:v>
      </x:c>
      <x:c r="I2136" s="8" t="n">
        <x:v>46303.4715625</x:v>
      </x:c>
      <x:c r="J2136" s="8" t="n">
        <x:v>46303.47158564815</x:v>
      </x:c>
      <x:c r="K2136" s="8" t="n">
        <x:v>46303.47162037037</x:v>
      </x:c>
      <x:c r="L2136" s="2" t="str">
        <x:v>Sent</x:v>
      </x:c>
      <x:c r="M2136" s="2" t="n">
        <x:v>1</x:v>
      </x:c>
      <x:c r="N2136" s="2"/>
      <x:c r="O2136" s="2"/>
    </x:row>
    <x:row r="2137" ht="21" customHeight="1">
      <x:c r="A2137" s="2" t="str">
        <x:v>NT002136</x:v>
      </x:c>
      <x:c r="B2137" s="2" t="str">
        <x:v>EV002138</x:v>
      </x:c>
      <x:c r="C2137" s="2" t="str">
        <x:v>T20261008-2-2</x:v>
      </x:c>
      <x:c r="D2137" s="2" t="str">
        <x:v>ST062</x:v>
      </x:c>
      <x:c r="E2137" s="2" t="str">
        <x:v>G062</x:v>
      </x:c>
      <x:c r="F2137" s="2" t="str">
        <x:v>guardian062@example.invalid</x:v>
      </x:c>
      <x:c r="G2137" s="2" t="str">
        <x:v>Email</x:v>
      </x:c>
      <x:c r="H2137" s="2" t="str">
        <x:v>School receipt</x:v>
      </x:c>
      <x:c r="I2137" s="8" t="n">
        <x:v>46303.50628472223</x:v>
      </x:c>
      <x:c r="J2137" s="8" t="n">
        <x:v>46303.506307870375</x:v>
      </x:c>
      <x:c r="K2137" s="8" t="n">
        <x:v>46303.5063425926</x:v>
      </x:c>
      <x:c r="L2137" s="2" t="str">
        <x:v>Sent</x:v>
      </x:c>
      <x:c r="M2137" s="2" t="n">
        <x:v>1</x:v>
      </x:c>
      <x:c r="N2137" s="2"/>
      <x:c r="O2137" s="2"/>
    </x:row>
    <x:row r="2138" ht="21" customHeight="1">
      <x:c r="A2138" s="2" t="str">
        <x:v>NT002137</x:v>
      </x:c>
      <x:c r="B2138" s="2" t="str">
        <x:v>EV002139</x:v>
      </x:c>
      <x:c r="C2138" s="2" t="str">
        <x:v>T20261008-2-2</x:v>
      </x:c>
      <x:c r="D2138" s="2" t="str">
        <x:v>ST063</x:v>
      </x:c>
      <x:c r="E2138" s="2" t="str">
        <x:v>G063</x:v>
      </x:c>
      <x:c r="F2138" s="2" t="str">
        <x:v>guardian063@example.invalid</x:v>
      </x:c>
      <x:c r="G2138" s="2" t="str">
        <x:v>Email</x:v>
      </x:c>
      <x:c r="H2138" s="2" t="str">
        <x:v>Boarded</x:v>
      </x:c>
      <x:c r="I2138" s="8" t="n">
        <x:v>46303.47645833333</x:v>
      </x:c>
      <x:c r="J2138" s="8" t="n">
        <x:v>46303.47648148148</x:v>
      </x:c>
      <x:c r="K2138" s="8" t="n">
        <x:v>46303.4765162037</x:v>
      </x:c>
      <x:c r="L2138" s="2" t="str">
        <x:v>Sent</x:v>
      </x:c>
      <x:c r="M2138" s="2" t="n">
        <x:v>1</x:v>
      </x:c>
      <x:c r="N2138" s="2"/>
      <x:c r="O2138" s="2"/>
    </x:row>
    <x:row r="2139" ht="21" customHeight="1">
      <x:c r="A2139" s="2" t="str">
        <x:v>NT002138</x:v>
      </x:c>
      <x:c r="B2139" s="2" t="str">
        <x:v>EV002140</x:v>
      </x:c>
      <x:c r="C2139" s="2" t="str">
        <x:v>T20261008-2-2</x:v>
      </x:c>
      <x:c r="D2139" s="2" t="str">
        <x:v>ST063</x:v>
      </x:c>
      <x:c r="E2139" s="2" t="str">
        <x:v>G063</x:v>
      </x:c>
      <x:c r="F2139" s="2" t="str">
        <x:v>guardian063@example.invalid</x:v>
      </x:c>
      <x:c r="G2139" s="2" t="str">
        <x:v>Email</x:v>
      </x:c>
      <x:c r="H2139" s="2" t="str">
        <x:v>School receipt</x:v>
      </x:c>
      <x:c r="I2139" s="8" t="n">
        <x:v>46303.506319444445</x:v>
      </x:c>
      <x:c r="J2139" s="8" t="n">
        <x:v>46303.50634259259</x:v>
      </x:c>
      <x:c r="K2139" s="8" t="n">
        <x:v>46303.506377314814</x:v>
      </x:c>
      <x:c r="L2139" s="2" t="str">
        <x:v>Sent</x:v>
      </x:c>
      <x:c r="M2139" s="2" t="n">
        <x:v>1</x:v>
      </x:c>
      <x:c r="N2139" s="2"/>
      <x:c r="O2139" s="2"/>
    </x:row>
    <x:row r="2140" ht="21" customHeight="1">
      <x:c r="A2140" s="2" t="str">
        <x:v>NT002139</x:v>
      </x:c>
      <x:c r="B2140" s="2" t="str">
        <x:v>EV002141</x:v>
      </x:c>
      <x:c r="C2140" s="2" t="str">
        <x:v>T20261008-2-2</x:v>
      </x:c>
      <x:c r="D2140" s="2" t="str">
        <x:v>ST064</x:v>
      </x:c>
      <x:c r="E2140" s="2" t="str">
        <x:v>G064</x:v>
      </x:c>
      <x:c r="F2140" s="2" t="str">
        <x:v>guardian064@example.invalid</x:v>
      </x:c>
      <x:c r="G2140" s="2" t="str">
        <x:v>Email</x:v>
      </x:c>
      <x:c r="H2140" s="2" t="str">
        <x:v>Boarded</x:v>
      </x:c>
      <x:c r="I2140" s="8" t="n">
        <x:v>46303.481354166666</x:v>
      </x:c>
      <x:c r="J2140" s="8" t="n">
        <x:v>46303.48137731481</x:v>
      </x:c>
      <x:c r="K2140" s="8" t="n">
        <x:v>46303.481412037036</x:v>
      </x:c>
      <x:c r="L2140" s="2" t="str">
        <x:v>Sent</x:v>
      </x:c>
      <x:c r="M2140" s="2" t="n">
        <x:v>1</x:v>
      </x:c>
      <x:c r="N2140" s="2"/>
      <x:c r="O2140" s="2"/>
    </x:row>
    <x:row r="2141" ht="21" customHeight="1">
      <x:c r="A2141" s="2" t="str">
        <x:v>NT002140</x:v>
      </x:c>
      <x:c r="B2141" s="2" t="str">
        <x:v>EV002142</x:v>
      </x:c>
      <x:c r="C2141" s="2" t="str">
        <x:v>T20261008-2-2</x:v>
      </x:c>
      <x:c r="D2141" s="2" t="str">
        <x:v>ST064</x:v>
      </x:c>
      <x:c r="E2141" s="2" t="str">
        <x:v>G064</x:v>
      </x:c>
      <x:c r="F2141" s="2" t="str">
        <x:v>guardian064@example.invalid</x:v>
      </x:c>
      <x:c r="G2141" s="2" t="str">
        <x:v>Email</x:v>
      </x:c>
      <x:c r="H2141" s="2" t="str">
        <x:v>School receipt</x:v>
      </x:c>
      <x:c r="I2141" s="8" t="n">
        <x:v>46303.50635416667</x:v>
      </x:c>
      <x:c r="J2141" s="8" t="n">
        <x:v>46303.506377314814</x:v>
      </x:c>
      <x:c r="K2141" s="8" t="n">
        <x:v>46303.50641203704</x:v>
      </x:c>
      <x:c r="L2141" s="2" t="str">
        <x:v>Sent</x:v>
      </x:c>
      <x:c r="M2141" s="2" t="n">
        <x:v>1</x:v>
      </x:c>
      <x:c r="N2141" s="2"/>
      <x:c r="O2141" s="2"/>
    </x:row>
    <x:row r="2142" ht="21" customHeight="1">
      <x:c r="A2142" s="2" t="str">
        <x:v>NT002141</x:v>
      </x:c>
      <x:c r="B2142" s="2" t="str">
        <x:v>EV002143</x:v>
      </x:c>
      <x:c r="C2142" s="2" t="str">
        <x:v>T20261008-2-2</x:v>
      </x:c>
      <x:c r="D2142" s="2" t="str">
        <x:v>ST065</x:v>
      </x:c>
      <x:c r="E2142" s="2" t="str">
        <x:v>G065</x:v>
      </x:c>
      <x:c r="F2142" s="2" t="str">
        <x:v>guardian065@example.invalid</x:v>
      </x:c>
      <x:c r="G2142" s="2" t="str">
        <x:v>Email</x:v>
      </x:c>
      <x:c r="H2142" s="2" t="str">
        <x:v>Boarded</x:v>
      </x:c>
      <x:c r="I2142" s="8" t="n">
        <x:v>46303.47166666667</x:v>
      </x:c>
      <x:c r="J2142" s="8" t="n">
        <x:v>46303.47168981482</x:v>
      </x:c>
      <x:c r="K2142" s="8" t="n">
        <x:v>46303.47172453704</x:v>
      </x:c>
      <x:c r="L2142" s="2" t="str">
        <x:v>Sent</x:v>
      </x:c>
      <x:c r="M2142" s="2" t="n">
        <x:v>1</x:v>
      </x:c>
      <x:c r="N2142" s="2"/>
      <x:c r="O2142" s="2"/>
    </x:row>
    <x:row r="2143" ht="21" customHeight="1">
      <x:c r="A2143" s="2" t="str">
        <x:v>NT002142</x:v>
      </x:c>
      <x:c r="B2143" s="2" t="str">
        <x:v>EV002144</x:v>
      </x:c>
      <x:c r="C2143" s="2" t="str">
        <x:v>T20261008-2-2</x:v>
      </x:c>
      <x:c r="D2143" s="2" t="str">
        <x:v>ST065</x:v>
      </x:c>
      <x:c r="E2143" s="2" t="str">
        <x:v>G065</x:v>
      </x:c>
      <x:c r="F2143" s="2" t="str">
        <x:v>guardian065@example.invalid</x:v>
      </x:c>
      <x:c r="G2143" s="2" t="str">
        <x:v>Email</x:v>
      </x:c>
      <x:c r="H2143" s="2" t="str">
        <x:v>School receipt</x:v>
      </x:c>
      <x:c r="I2143" s="8" t="n">
        <x:v>46303.50638888889</x:v>
      </x:c>
      <x:c r="J2143" s="8" t="n">
        <x:v>46303.50641203704</x:v>
      </x:c>
      <x:c r="K2143" s="8" t="n">
        <x:v>46303.50644675926</x:v>
      </x:c>
      <x:c r="L2143" s="2" t="str">
        <x:v>Sent</x:v>
      </x:c>
      <x:c r="M2143" s="2" t="n">
        <x:v>1</x:v>
      </x:c>
      <x:c r="N2143" s="2"/>
      <x:c r="O2143" s="2"/>
    </x:row>
    <x:row r="2144" ht="21" customHeight="1">
      <x:c r="A2144" s="2" t="str">
        <x:v>NT002143</x:v>
      </x:c>
      <x:c r="B2144" s="2" t="str">
        <x:v>EV002145</x:v>
      </x:c>
      <x:c r="C2144" s="2" t="str">
        <x:v>T20261008-2-2</x:v>
      </x:c>
      <x:c r="D2144" s="2" t="str">
        <x:v>ST066</x:v>
      </x:c>
      <x:c r="E2144" s="2" t="str">
        <x:v>G066</x:v>
      </x:c>
      <x:c r="F2144" s="2" t="str">
        <x:v>guardian066@example.invalid</x:v>
      </x:c>
      <x:c r="G2144" s="2" t="str">
        <x:v>Email</x:v>
      </x:c>
      <x:c r="H2144" s="2" t="str">
        <x:v>Boarded</x:v>
      </x:c>
      <x:c r="I2144" s="8" t="n">
        <x:v>46303.47656249999</x:v>
      </x:c>
      <x:c r="J2144" s="8" t="n">
        <x:v>46303.47658564814</x:v>
      </x:c>
      <x:c r="K2144" s="8" t="n">
        <x:v>46303.47662037036</x:v>
      </x:c>
      <x:c r="L2144" s="2" t="str">
        <x:v>Sent</x:v>
      </x:c>
      <x:c r="M2144" s="2" t="n">
        <x:v>1</x:v>
      </x:c>
      <x:c r="N2144" s="2"/>
      <x:c r="O2144" s="2"/>
    </x:row>
    <x:row r="2145" ht="21" customHeight="1">
      <x:c r="A2145" s="2" t="str">
        <x:v>NT002144</x:v>
      </x:c>
      <x:c r="B2145" s="2" t="str">
        <x:v>EV002146</x:v>
      </x:c>
      <x:c r="C2145" s="2" t="str">
        <x:v>T20261008-2-2</x:v>
      </x:c>
      <x:c r="D2145" s="2" t="str">
        <x:v>ST066</x:v>
      </x:c>
      <x:c r="E2145" s="2" t="str">
        <x:v>G066</x:v>
      </x:c>
      <x:c r="F2145" s="2" t="str">
        <x:v>guardian066@example.invalid</x:v>
      </x:c>
      <x:c r="G2145" s="2" t="str">
        <x:v>Email</x:v>
      </x:c>
      <x:c r="H2145" s="2" t="str">
        <x:v>School receipt</x:v>
      </x:c>
      <x:c r="I2145" s="8" t="n">
        <x:v>46303.506423611114</x:v>
      </x:c>
      <x:c r="J2145" s="8" t="n">
        <x:v>46303.50644675926</x:v>
      </x:c>
      <x:c r="K2145" s="8" t="n">
        <x:v>46303.50648148148</x:v>
      </x:c>
      <x:c r="L2145" s="2" t="str">
        <x:v>Sent</x:v>
      </x:c>
      <x:c r="M2145" s="2" t="n">
        <x:v>1</x:v>
      </x:c>
      <x:c r="N2145" s="2"/>
      <x:c r="O2145" s="2"/>
    </x:row>
    <x:row r="2146" ht="21" customHeight="1">
      <x:c r="A2146" s="2" t="str">
        <x:v>NT002145</x:v>
      </x:c>
      <x:c r="B2146" s="2" t="str">
        <x:v>EV002147</x:v>
      </x:c>
      <x:c r="C2146" s="2" t="str">
        <x:v>T20261008-2-2</x:v>
      </x:c>
      <x:c r="D2146" s="2" t="str">
        <x:v>ST067</x:v>
      </x:c>
      <x:c r="E2146" s="2" t="str">
        <x:v>G067</x:v>
      </x:c>
      <x:c r="F2146" s="2" t="str">
        <x:v>guardian067@example.invalid</x:v>
      </x:c>
      <x:c r="G2146" s="2" t="str">
        <x:v>Email</x:v>
      </x:c>
      <x:c r="H2146" s="2" t="str">
        <x:v>Boarded</x:v>
      </x:c>
      <x:c r="I2146" s="8" t="n">
        <x:v>46303.48145833333</x:v>
      </x:c>
      <x:c r="J2146" s="8" t="n">
        <x:v>46303.481481481474</x:v>
      </x:c>
      <x:c r="K2146" s="8" t="n">
        <x:v>46303.4815162037</x:v>
      </x:c>
      <x:c r="L2146" s="2" t="str">
        <x:v>Sent</x:v>
      </x:c>
      <x:c r="M2146" s="2" t="n">
        <x:v>1</x:v>
      </x:c>
      <x:c r="N2146" s="2"/>
      <x:c r="O2146" s="2"/>
    </x:row>
    <x:row r="2147" ht="21" customHeight="1">
      <x:c r="A2147" s="2" t="str">
        <x:v>NT002146</x:v>
      </x:c>
      <x:c r="B2147" s="2" t="str">
        <x:v>EV002148</x:v>
      </x:c>
      <x:c r="C2147" s="2" t="str">
        <x:v>T20261008-2-2</x:v>
      </x:c>
      <x:c r="D2147" s="2" t="str">
        <x:v>ST067</x:v>
      </x:c>
      <x:c r="E2147" s="2" t="str">
        <x:v>G067</x:v>
      </x:c>
      <x:c r="F2147" s="2" t="str">
        <x:v>guardian067@example.invalid</x:v>
      </x:c>
      <x:c r="G2147" s="2" t="str">
        <x:v>Email</x:v>
      </x:c>
      <x:c r="H2147" s="2" t="str">
        <x:v>School receipt</x:v>
      </x:c>
      <x:c r="I2147" s="8" t="n">
        <x:v>46303.50645833334</x:v>
      </x:c>
      <x:c r="J2147" s="8" t="n">
        <x:v>46303.50648148148</x:v>
      </x:c>
      <x:c r="K2147" s="8" t="n">
        <x:v>46303.506516203706</x:v>
      </x:c>
      <x:c r="L2147" s="2" t="str">
        <x:v>Sent</x:v>
      </x:c>
      <x:c r="M2147" s="2" t="n">
        <x:v>1</x:v>
      </x:c>
      <x:c r="N2147" s="2"/>
      <x:c r="O2147" s="2"/>
    </x:row>
    <x:row r="2148" ht="21" customHeight="1">
      <x:c r="A2148" s="2" t="str">
        <x:v>NT002147</x:v>
      </x:c>
      <x:c r="B2148" s="2" t="str">
        <x:v>EV002149</x:v>
      </x:c>
      <x:c r="C2148" s="2" t="str">
        <x:v>T20261008-2-2</x:v>
      </x:c>
      <x:c r="D2148" s="2" t="str">
        <x:v>ST068</x:v>
      </x:c>
      <x:c r="E2148" s="2" t="str">
        <x:v>G068</x:v>
      </x:c>
      <x:c r="F2148" s="2" t="str">
        <x:v>guardian068@example.invalid</x:v>
      </x:c>
      <x:c r="G2148" s="2" t="str">
        <x:v>Email</x:v>
      </x:c>
      <x:c r="H2148" s="2" t="str">
        <x:v>Boarded</x:v>
      </x:c>
      <x:c r="I2148" s="8" t="n">
        <x:v>46303.471770833334</x:v>
      </x:c>
      <x:c r="J2148" s="8" t="n">
        <x:v>46303.47179398148</x:v>
      </x:c>
      <x:c r="K2148" s="8" t="n">
        <x:v>46303.4718287037</x:v>
      </x:c>
      <x:c r="L2148" s="2" t="str">
        <x:v>Sent</x:v>
      </x:c>
      <x:c r="M2148" s="2" t="n">
        <x:v>1</x:v>
      </x:c>
      <x:c r="N2148" s="2"/>
      <x:c r="O2148" s="2"/>
    </x:row>
    <x:row r="2149" ht="21" customHeight="1">
      <x:c r="A2149" s="2" t="str">
        <x:v>NT002148</x:v>
      </x:c>
      <x:c r="B2149" s="2" t="str">
        <x:v>EV002150</x:v>
      </x:c>
      <x:c r="C2149" s="2" t="str">
        <x:v>T20261008-2-2</x:v>
      </x:c>
      <x:c r="D2149" s="2" t="str">
        <x:v>ST068</x:v>
      </x:c>
      <x:c r="E2149" s="2" t="str">
        <x:v>G068</x:v>
      </x:c>
      <x:c r="F2149" s="2" t="str">
        <x:v>guardian068@example.invalid</x:v>
      </x:c>
      <x:c r="G2149" s="2" t="str">
        <x:v>Email</x:v>
      </x:c>
      <x:c r="H2149" s="2" t="str">
        <x:v>School receipt</x:v>
      </x:c>
      <x:c r="I2149" s="8" t="n">
        <x:v>46303.50649305556</x:v>
      </x:c>
      <x:c r="J2149" s="8" t="n">
        <x:v>46303.506516203706</x:v>
      </x:c>
      <x:c r="K2149" s="8" t="n">
        <x:v>46303.50655092593</x:v>
      </x:c>
      <x:c r="L2149" s="2" t="str">
        <x:v>Sent</x:v>
      </x:c>
      <x:c r="M2149" s="2" t="n">
        <x:v>1</x:v>
      </x:c>
      <x:c r="N2149" s="2"/>
      <x:c r="O2149" s="2"/>
    </x:row>
    <x:row r="2150" ht="21" customHeight="1">
      <x:c r="A2150" s="2" t="str">
        <x:v>NT002149</x:v>
      </x:c>
      <x:c r="B2150" s="2" t="str">
        <x:v>EV002151</x:v>
      </x:c>
      <x:c r="C2150" s="2" t="str">
        <x:v>T20261008-2-2</x:v>
      </x:c>
      <x:c r="D2150" s="2" t="str">
        <x:v>ST069</x:v>
      </x:c>
      <x:c r="E2150" s="2" t="str">
        <x:v>G069</x:v>
      </x:c>
      <x:c r="F2150" s="2" t="str">
        <x:v>guardian069@example.invalid</x:v>
      </x:c>
      <x:c r="G2150" s="2" t="str">
        <x:v>Email</x:v>
      </x:c>
      <x:c r="H2150" s="2" t="str">
        <x:v>Boarded</x:v>
      </x:c>
      <x:c r="I2150" s="8" t="n">
        <x:v>46303.47666666666</x:v>
      </x:c>
      <x:c r="J2150" s="8" t="n">
        <x:v>46303.47668981481</x:v>
      </x:c>
      <x:c r="K2150" s="8" t="n">
        <x:v>46303.47672453703</x:v>
      </x:c>
      <x:c r="L2150" s="2" t="str">
        <x:v>Sent</x:v>
      </x:c>
      <x:c r="M2150" s="2" t="n">
        <x:v>1</x:v>
      </x:c>
      <x:c r="N2150" s="2"/>
      <x:c r="O2150" s="2"/>
    </x:row>
    <x:row r="2151" ht="21" customHeight="1">
      <x:c r="A2151" s="2" t="str">
        <x:v>NT002150</x:v>
      </x:c>
      <x:c r="B2151" s="2" t="str">
        <x:v>EV002152</x:v>
      </x:c>
      <x:c r="C2151" s="2" t="str">
        <x:v>T20261008-2-2</x:v>
      </x:c>
      <x:c r="D2151" s="2" t="str">
        <x:v>ST069</x:v>
      </x:c>
      <x:c r="E2151" s="2" t="str">
        <x:v>G069</x:v>
      </x:c>
      <x:c r="F2151" s="2" t="str">
        <x:v>guardian069@example.invalid</x:v>
      </x:c>
      <x:c r="G2151" s="2" t="str">
        <x:v>Email</x:v>
      </x:c>
      <x:c r="H2151" s="2" t="str">
        <x:v>School receipt</x:v>
      </x:c>
      <x:c r="I2151" s="8" t="n">
        <x:v>46303.50652777778</x:v>
      </x:c>
      <x:c r="J2151" s="8" t="n">
        <x:v>46303.50655092593</x:v>
      </x:c>
      <x:c r="K2151" s="8" t="n">
        <x:v>46303.50658564815</x:v>
      </x:c>
      <x:c r="L2151" s="2" t="str">
        <x:v>Sent</x:v>
      </x:c>
      <x:c r="M2151" s="2" t="n">
        <x:v>1</x:v>
      </x:c>
      <x:c r="N2151" s="2"/>
      <x:c r="O2151" s="2"/>
    </x:row>
    <x:row r="2152" ht="21" customHeight="1">
      <x:c r="A2152" s="2" t="str">
        <x:v>NT002151</x:v>
      </x:c>
      <x:c r="B2152" s="2" t="str">
        <x:v>EV002153</x:v>
      </x:c>
      <x:c r="C2152" s="2" t="str">
        <x:v>T20261008-2-2</x:v>
      </x:c>
      <x:c r="D2152" s="2" t="str">
        <x:v>ST070</x:v>
      </x:c>
      <x:c r="E2152" s="2" t="str">
        <x:v>G070</x:v>
      </x:c>
      <x:c r="F2152" s="2" t="str">
        <x:v>guardian070@example.invalid</x:v>
      </x:c>
      <x:c r="G2152" s="2" t="str">
        <x:v>Email</x:v>
      </x:c>
      <x:c r="H2152" s="2" t="str">
        <x:v>Boarded</x:v>
      </x:c>
      <x:c r="I2152" s="8" t="n">
        <x:v>46303.4815625</x:v>
      </x:c>
      <x:c r="J2152" s="8" t="n">
        <x:v>46303.481585648144</x:v>
      </x:c>
      <x:c r="K2152" s="8" t="n">
        <x:v>46303.48162037037</x:v>
      </x:c>
      <x:c r="L2152" s="2" t="str">
        <x:v>Sent</x:v>
      </x:c>
      <x:c r="M2152" s="2" t="n">
        <x:v>1</x:v>
      </x:c>
      <x:c r="N2152" s="2"/>
      <x:c r="O2152" s="2"/>
    </x:row>
    <x:row r="2153" ht="21" customHeight="1">
      <x:c r="A2153" s="2" t="str">
        <x:v>NT002152</x:v>
      </x:c>
      <x:c r="B2153" s="2" t="str">
        <x:v>EV002154</x:v>
      </x:c>
      <x:c r="C2153" s="2" t="str">
        <x:v>T20261008-2-2</x:v>
      </x:c>
      <x:c r="D2153" s="2" t="str">
        <x:v>ST070</x:v>
      </x:c>
      <x:c r="E2153" s="2" t="str">
        <x:v>G070</x:v>
      </x:c>
      <x:c r="F2153" s="2" t="str">
        <x:v>guardian070@example.invalid</x:v>
      </x:c>
      <x:c r="G2153" s="2" t="str">
        <x:v>Email</x:v>
      </x:c>
      <x:c r="H2153" s="2" t="str">
        <x:v>School receipt</x:v>
      </x:c>
      <x:c r="I2153" s="8" t="n">
        <x:v>46303.506562500006</x:v>
      </x:c>
      <x:c r="J2153" s="8" t="n">
        <x:v>46303.50658564815</x:v>
      </x:c>
      <x:c r="K2153" s="8" t="n">
        <x:v>46303.506620370375</x:v>
      </x:c>
      <x:c r="L2153" s="2" t="str">
        <x:v>Sent</x:v>
      </x:c>
      <x:c r="M2153" s="2" t="n">
        <x:v>1</x:v>
      </x:c>
      <x:c r="N2153" s="2"/>
      <x:c r="O2153" s="2"/>
    </x:row>
    <x:row r="2154" ht="21" customHeight="1">
      <x:c r="A2154" s="2" t="str">
        <x:v>NT002153</x:v>
      </x:c>
      <x:c r="B2154" s="2" t="str">
        <x:v>EV002155</x:v>
      </x:c>
      <x:c r="C2154" s="2" t="str">
        <x:v>T20261008-2-2</x:v>
      </x:c>
      <x:c r="D2154" s="2" t="str">
        <x:v>ST071</x:v>
      </x:c>
      <x:c r="E2154" s="2" t="str">
        <x:v>G071</x:v>
      </x:c>
      <x:c r="F2154" s="2" t="str">
        <x:v>guardian071@example.invalid</x:v>
      </x:c>
      <x:c r="G2154" s="2" t="str">
        <x:v>Email</x:v>
      </x:c>
      <x:c r="H2154" s="2" t="str">
        <x:v>Boarded</x:v>
      </x:c>
      <x:c r="I2154" s="8" t="n">
        <x:v>46303.47152777778</x:v>
      </x:c>
      <x:c r="J2154" s="8" t="n">
        <x:v>46303.471550925926</x:v>
      </x:c>
      <x:c r="K2154" s="8" t="n">
        <x:v>46303.47158564815</x:v>
      </x:c>
      <x:c r="L2154" s="2" t="str">
        <x:v>Sent</x:v>
      </x:c>
      <x:c r="M2154" s="2" t="n">
        <x:v>1</x:v>
      </x:c>
      <x:c r="N2154" s="2"/>
      <x:c r="O2154" s="2"/>
    </x:row>
    <x:row r="2155" ht="21" customHeight="1">
      <x:c r="A2155" s="2" t="str">
        <x:v>NT002154</x:v>
      </x:c>
      <x:c r="B2155" s="2" t="str">
        <x:v>EV002156</x:v>
      </x:c>
      <x:c r="C2155" s="2" t="str">
        <x:v>T20261008-2-2</x:v>
      </x:c>
      <x:c r="D2155" s="2" t="str">
        <x:v>ST071</x:v>
      </x:c>
      <x:c r="E2155" s="2" t="str">
        <x:v>G071</x:v>
      </x:c>
      <x:c r="F2155" s="2" t="str">
        <x:v>guardian071@example.invalid</x:v>
      </x:c>
      <x:c r="G2155" s="2" t="str">
        <x:v>Email</x:v>
      </x:c>
      <x:c r="H2155" s="2" t="str">
        <x:v>School receipt</x:v>
      </x:c>
      <x:c r="I2155" s="8" t="n">
        <x:v>46303.50659722223</x:v>
      </x:c>
      <x:c r="J2155" s="8" t="n">
        <x:v>46303.506620370375</x:v>
      </x:c>
      <x:c r="K2155" s="8" t="n">
        <x:v>46303.5066550926</x:v>
      </x:c>
      <x:c r="L2155" s="2" t="str">
        <x:v>Sent</x:v>
      </x:c>
      <x:c r="M2155" s="2" t="n">
        <x:v>1</x:v>
      </x:c>
      <x:c r="N2155" s="2"/>
      <x:c r="O2155" s="2"/>
    </x:row>
    <x:row r="2156" ht="21" customHeight="1">
      <x:c r="A2156" s="2" t="str">
        <x:v>NT002155</x:v>
      </x:c>
      <x:c r="B2156" s="2" t="str">
        <x:v>EV002157</x:v>
      </x:c>
      <x:c r="C2156" s="2" t="str">
        <x:v>T20261008-2-2</x:v>
      </x:c>
      <x:c r="D2156" s="2" t="str">
        <x:v>ST072</x:v>
      </x:c>
      <x:c r="E2156" s="2" t="str">
        <x:v>G072</x:v>
      </x:c>
      <x:c r="F2156" s="2" t="str">
        <x:v>guardian072@example.invalid</x:v>
      </x:c>
      <x:c r="G2156" s="2" t="str">
        <x:v>Email</x:v>
      </x:c>
      <x:c r="H2156" s="2" t="str">
        <x:v>Boarded</x:v>
      </x:c>
      <x:c r="I2156" s="8" t="n">
        <x:v>46303.47642361111</x:v>
      </x:c>
      <x:c r="J2156" s="8" t="n">
        <x:v>46303.476446759254</x:v>
      </x:c>
      <x:c r="K2156" s="8" t="n">
        <x:v>46303.47648148148</x:v>
      </x:c>
      <x:c r="L2156" s="2" t="str">
        <x:v>Sent</x:v>
      </x:c>
      <x:c r="M2156" s="2" t="n">
        <x:v>1</x:v>
      </x:c>
      <x:c r="N2156" s="2"/>
      <x:c r="O2156" s="2"/>
    </x:row>
    <x:row r="2157" ht="21" customHeight="1">
      <x:c r="A2157" s="2" t="str">
        <x:v>NT002156</x:v>
      </x:c>
      <x:c r="B2157" s="2" t="str">
        <x:v>EV002158</x:v>
      </x:c>
      <x:c r="C2157" s="2" t="str">
        <x:v>T20261008-2-2</x:v>
      </x:c>
      <x:c r="D2157" s="2" t="str">
        <x:v>ST072</x:v>
      </x:c>
      <x:c r="E2157" s="2" t="str">
        <x:v>G072</x:v>
      </x:c>
      <x:c r="F2157" s="2" t="str">
        <x:v>guardian072@example.invalid</x:v>
      </x:c>
      <x:c r="G2157" s="2" t="str">
        <x:v>Email</x:v>
      </x:c>
      <x:c r="H2157" s="2" t="str">
        <x:v>School receipt</x:v>
      </x:c>
      <x:c r="I2157" s="8" t="n">
        <x:v>46303.506631944445</x:v>
      </x:c>
      <x:c r="J2157" s="8" t="n">
        <x:v>46303.50665509259</x:v>
      </x:c>
      <x:c r="K2157" s="8" t="n">
        <x:v>46303.506689814814</x:v>
      </x:c>
      <x:c r="L2157" s="2" t="str">
        <x:v>Sent</x:v>
      </x:c>
      <x:c r="M2157" s="2" t="n">
        <x:v>1</x:v>
      </x:c>
      <x:c r="N2157" s="2"/>
      <x:c r="O2157" s="2"/>
    </x:row>
    <x:row r="2158" ht="21" customHeight="1">
      <x:c r="A2158" s="2" t="str">
        <x:v>NT002157</x:v>
      </x:c>
      <x:c r="B2158" s="2" t="str">
        <x:v>EV002159</x:v>
      </x:c>
      <x:c r="C2158" s="2" t="str">
        <x:v>T20261008-2-2</x:v>
      </x:c>
      <x:c r="D2158" s="2" t="str">
        <x:v>ST073</x:v>
      </x:c>
      <x:c r="E2158" s="2" t="str">
        <x:v>G073</x:v>
      </x:c>
      <x:c r="F2158" s="2" t="str">
        <x:v>guardian073@example.invalid</x:v>
      </x:c>
      <x:c r="G2158" s="2" t="str">
        <x:v>Email</x:v>
      </x:c>
      <x:c r="H2158" s="2" t="str">
        <x:v>Boarded</x:v>
      </x:c>
      <x:c r="I2158" s="8" t="n">
        <x:v>46303.48131944444</x:v>
      </x:c>
      <x:c r="J2158" s="8" t="n">
        <x:v>46303.48134259259</x:v>
      </x:c>
      <x:c r="K2158" s="8" t="n">
        <x:v>46303.48137731481</x:v>
      </x:c>
      <x:c r="L2158" s="2" t="str">
        <x:v>Sent</x:v>
      </x:c>
      <x:c r="M2158" s="2" t="n">
        <x:v>1</x:v>
      </x:c>
      <x:c r="N2158" s="2"/>
      <x:c r="O2158" s="2"/>
    </x:row>
    <x:row r="2159" ht="21" customHeight="1">
      <x:c r="A2159" s="2" t="str">
        <x:v>NT002158</x:v>
      </x:c>
      <x:c r="B2159" s="2" t="str">
        <x:v>EV002160</x:v>
      </x:c>
      <x:c r="C2159" s="2" t="str">
        <x:v>T20261008-2-2</x:v>
      </x:c>
      <x:c r="D2159" s="2" t="str">
        <x:v>ST073</x:v>
      </x:c>
      <x:c r="E2159" s="2" t="str">
        <x:v>G073</x:v>
      </x:c>
      <x:c r="F2159" s="2" t="str">
        <x:v>guardian073@example.invalid</x:v>
      </x:c>
      <x:c r="G2159" s="2" t="str">
        <x:v>Email</x:v>
      </x:c>
      <x:c r="H2159" s="2" t="str">
        <x:v>School receipt</x:v>
      </x:c>
      <x:c r="I2159" s="8" t="n">
        <x:v>46303.50666666667</x:v>
      </x:c>
      <x:c r="J2159" s="8" t="n">
        <x:v>46303.506689814814</x:v>
      </x:c>
      <x:c r="K2159" s="8" t="n">
        <x:v>46303.50672453704</x:v>
      </x:c>
      <x:c r="L2159" s="2" t="str">
        <x:v>Sent</x:v>
      </x:c>
      <x:c r="M2159" s="2" t="n">
        <x:v>1</x:v>
      </x:c>
      <x:c r="N2159" s="2"/>
      <x:c r="O2159" s="2"/>
    </x:row>
    <x:row r="2160" ht="21" customHeight="1">
      <x:c r="A2160" s="2" t="str">
        <x:v>NT002159</x:v>
      </x:c>
      <x:c r="B2160" s="2" t="str">
        <x:v>EV002161</x:v>
      </x:c>
      <x:c r="C2160" s="2" t="str">
        <x:v>T20261008-2-2</x:v>
      </x:c>
      <x:c r="D2160" s="2" t="str">
        <x:v>ST074</x:v>
      </x:c>
      <x:c r="E2160" s="2" t="str">
        <x:v>G074</x:v>
      </x:c>
      <x:c r="F2160" s="2" t="str">
        <x:v>guardian074@example.invalid</x:v>
      </x:c>
      <x:c r="G2160" s="2" t="str">
        <x:v>Email</x:v>
      </x:c>
      <x:c r="H2160" s="2" t="str">
        <x:v>Boarded</x:v>
      </x:c>
      <x:c r="I2160" s="8" t="n">
        <x:v>46303.47163194445</x:v>
      </x:c>
      <x:c r="J2160" s="8" t="n">
        <x:v>46303.471655092595</x:v>
      </x:c>
      <x:c r="K2160" s="8" t="n">
        <x:v>46303.47168981482</x:v>
      </x:c>
      <x:c r="L2160" s="2" t="str">
        <x:v>Sent</x:v>
      </x:c>
      <x:c r="M2160" s="2" t="n">
        <x:v>1</x:v>
      </x:c>
      <x:c r="N2160" s="2"/>
      <x:c r="O2160" s="2"/>
    </x:row>
    <x:row r="2161" ht="21" customHeight="1">
      <x:c r="A2161" s="2" t="str">
        <x:v>NT002160</x:v>
      </x:c>
      <x:c r="B2161" s="2" t="str">
        <x:v>EV002162</x:v>
      </x:c>
      <x:c r="C2161" s="2" t="str">
        <x:v>T20261008-2-2</x:v>
      </x:c>
      <x:c r="D2161" s="2" t="str">
        <x:v>ST074</x:v>
      </x:c>
      <x:c r="E2161" s="2" t="str">
        <x:v>G074</x:v>
      </x:c>
      <x:c r="F2161" s="2" t="str">
        <x:v>guardian074@example.invalid</x:v>
      </x:c>
      <x:c r="G2161" s="2" t="str">
        <x:v>Email</x:v>
      </x:c>
      <x:c r="H2161" s="2" t="str">
        <x:v>School receipt</x:v>
      </x:c>
      <x:c r="I2161" s="8" t="n">
        <x:v>46303.50670138889</x:v>
      </x:c>
      <x:c r="J2161" s="8" t="n">
        <x:v>46303.50672453704</x:v>
      </x:c>
      <x:c r="K2161" s="8" t="n">
        <x:v>46303.50675925926</x:v>
      </x:c>
      <x:c r="L2161" s="2" t="str">
        <x:v>Sent</x:v>
      </x:c>
      <x:c r="M2161" s="2" t="n">
        <x:v>1</x:v>
      </x:c>
      <x:c r="N2161" s="2"/>
      <x:c r="O2161" s="2"/>
    </x:row>
    <x:row r="2162" ht="21" customHeight="1">
      <x:c r="A2162" s="2" t="str">
        <x:v>NT002161</x:v>
      </x:c>
      <x:c r="B2162" s="2" t="str">
        <x:v>EV002163</x:v>
      </x:c>
      <x:c r="C2162" s="2" t="str">
        <x:v>T20261008-2-2</x:v>
      </x:c>
      <x:c r="D2162" s="2" t="str">
        <x:v>ST075</x:v>
      </x:c>
      <x:c r="E2162" s="2" t="str">
        <x:v>G075</x:v>
      </x:c>
      <x:c r="F2162" s="2" t="str">
        <x:v>guardian075@example.invalid</x:v>
      </x:c>
      <x:c r="G2162" s="2" t="str">
        <x:v>Email</x:v>
      </x:c>
      <x:c r="H2162" s="2" t="str">
        <x:v>Boarded</x:v>
      </x:c>
      <x:c r="I2162" s="8" t="n">
        <x:v>46303.47652777778</x:v>
      </x:c>
      <x:c r="J2162" s="8" t="n">
        <x:v>46303.47655092592</x:v>
      </x:c>
      <x:c r="K2162" s="8" t="n">
        <x:v>46303.476585648146</x:v>
      </x:c>
      <x:c r="L2162" s="2" t="str">
        <x:v>Sent</x:v>
      </x:c>
      <x:c r="M2162" s="2" t="n">
        <x:v>1</x:v>
      </x:c>
      <x:c r="N2162" s="2"/>
      <x:c r="O2162" s="2"/>
    </x:row>
    <x:row r="2163" ht="21" customHeight="1">
      <x:c r="A2163" s="2" t="str">
        <x:v>NT002162</x:v>
      </x:c>
      <x:c r="B2163" s="2" t="str">
        <x:v>EV002164</x:v>
      </x:c>
      <x:c r="C2163" s="2" t="str">
        <x:v>T20261008-2-2</x:v>
      </x:c>
      <x:c r="D2163" s="2" t="str">
        <x:v>ST075</x:v>
      </x:c>
      <x:c r="E2163" s="2" t="str">
        <x:v>G075</x:v>
      </x:c>
      <x:c r="F2163" s="2" t="str">
        <x:v>guardian075@example.invalid</x:v>
      </x:c>
      <x:c r="G2163" s="2" t="str">
        <x:v>Email</x:v>
      </x:c>
      <x:c r="H2163" s="2" t="str">
        <x:v>School receipt</x:v>
      </x:c>
      <x:c r="I2163" s="8" t="n">
        <x:v>46303.506736111114</x:v>
      </x:c>
      <x:c r="J2163" s="8" t="n">
        <x:v>46303.50675925926</x:v>
      </x:c>
      <x:c r="K2163" s="8" t="n">
        <x:v>46303.50679398148</x:v>
      </x:c>
      <x:c r="L2163" s="2" t="str">
        <x:v>Sent</x:v>
      </x:c>
      <x:c r="M2163" s="2" t="n">
        <x:v>1</x:v>
      </x:c>
      <x:c r="N2163" s="2"/>
      <x:c r="O2163" s="2"/>
    </x:row>
    <x:row r="2164" ht="21" customHeight="1">
      <x:c r="A2164" s="2" t="str">
        <x:v>NT002163</x:v>
      </x:c>
      <x:c r="B2164" s="2" t="str">
        <x:v>EV002165</x:v>
      </x:c>
      <x:c r="C2164" s="2" t="str">
        <x:v>T20261008-2-2</x:v>
      </x:c>
      <x:c r="D2164" s="2" t="str">
        <x:v>ST076</x:v>
      </x:c>
      <x:c r="E2164" s="2" t="str">
        <x:v>G076</x:v>
      </x:c>
      <x:c r="F2164" s="2" t="str">
        <x:v>guardian076@example.invalid</x:v>
      </x:c>
      <x:c r="G2164" s="2" t="str">
        <x:v>Email</x:v>
      </x:c>
      <x:c r="H2164" s="2" t="str">
        <x:v>Boarded</x:v>
      </x:c>
      <x:c r="I2164" s="8" t="n">
        <x:v>46303.481423611105</x:v>
      </x:c>
      <x:c r="J2164" s="8" t="n">
        <x:v>46303.48144675925</x:v>
      </x:c>
      <x:c r="K2164" s="8" t="n">
        <x:v>46303.481481481474</x:v>
      </x:c>
      <x:c r="L2164" s="2" t="str">
        <x:v>Sent</x:v>
      </x:c>
      <x:c r="M2164" s="2" t="n">
        <x:v>1</x:v>
      </x:c>
      <x:c r="N2164" s="2"/>
      <x:c r="O2164" s="2"/>
    </x:row>
    <x:row r="2165" ht="21" customHeight="1">
      <x:c r="A2165" s="2" t="str">
        <x:v>NT002164</x:v>
      </x:c>
      <x:c r="B2165" s="2" t="str">
        <x:v>EV002166</x:v>
      </x:c>
      <x:c r="C2165" s="2" t="str">
        <x:v>T20261008-2-2</x:v>
      </x:c>
      <x:c r="D2165" s="2" t="str">
        <x:v>ST076</x:v>
      </x:c>
      <x:c r="E2165" s="2" t="str">
        <x:v>G076</x:v>
      </x:c>
      <x:c r="F2165" s="2" t="str">
        <x:v>guardian076@example.invalid</x:v>
      </x:c>
      <x:c r="G2165" s="2" t="str">
        <x:v>Email</x:v>
      </x:c>
      <x:c r="H2165" s="2" t="str">
        <x:v>School receipt</x:v>
      </x:c>
      <x:c r="I2165" s="8" t="n">
        <x:v>46303.50677083334</x:v>
      </x:c>
      <x:c r="J2165" s="8" t="n">
        <x:v>46303.50679398148</x:v>
      </x:c>
      <x:c r="K2165" s="8" t="n">
        <x:v>46303.50682870371</x:v>
      </x:c>
      <x:c r="L2165" s="2" t="str">
        <x:v>Sent</x:v>
      </x:c>
      <x:c r="M2165" s="2" t="n">
        <x:v>1</x:v>
      </x:c>
      <x:c r="N2165" s="2"/>
      <x:c r="O2165" s="2"/>
    </x:row>
    <x:row r="2166" ht="21" customHeight="1">
      <x:c r="A2166" s="2" t="str">
        <x:v>NT002165</x:v>
      </x:c>
      <x:c r="B2166" s="2" t="str">
        <x:v>EV002167</x:v>
      </x:c>
      <x:c r="C2166" s="2" t="str">
        <x:v>T20261008-2-2</x:v>
      </x:c>
      <x:c r="D2166" s="2" t="str">
        <x:v>ST077</x:v>
      </x:c>
      <x:c r="E2166" s="2" t="str">
        <x:v>G077</x:v>
      </x:c>
      <x:c r="F2166" s="2" t="str">
        <x:v>guardian077@example.invalid</x:v>
      </x:c>
      <x:c r="G2166" s="2" t="str">
        <x:v>Email</x:v>
      </x:c>
      <x:c r="H2166" s="2" t="str">
        <x:v>Boarded</x:v>
      </x:c>
      <x:c r="I2166" s="8" t="n">
        <x:v>46303.47173611111</x:v>
      </x:c>
      <x:c r="J2166" s="8" t="n">
        <x:v>46303.47175925926</x:v>
      </x:c>
      <x:c r="K2166" s="8" t="n">
        <x:v>46303.47179398148</x:v>
      </x:c>
      <x:c r="L2166" s="2" t="str">
        <x:v>Sent</x:v>
      </x:c>
      <x:c r="M2166" s="2" t="n">
        <x:v>1</x:v>
      </x:c>
      <x:c r="N2166" s="2"/>
      <x:c r="O2166" s="2"/>
    </x:row>
    <x:row r="2167" ht="21" customHeight="1">
      <x:c r="A2167" s="2" t="str">
        <x:v>NT002166</x:v>
      </x:c>
      <x:c r="B2167" s="2" t="str">
        <x:v>EV002168</x:v>
      </x:c>
      <x:c r="C2167" s="2" t="str">
        <x:v>T20261008-2-2</x:v>
      </x:c>
      <x:c r="D2167" s="2" t="str">
        <x:v>ST077</x:v>
      </x:c>
      <x:c r="E2167" s="2" t="str">
        <x:v>G077</x:v>
      </x:c>
      <x:c r="F2167" s="2" t="str">
        <x:v>guardian077@example.invalid</x:v>
      </x:c>
      <x:c r="G2167" s="2" t="str">
        <x:v>Email</x:v>
      </x:c>
      <x:c r="H2167" s="2" t="str">
        <x:v>School receipt</x:v>
      </x:c>
      <x:c r="I2167" s="8" t="n">
        <x:v>46303.50680555556</x:v>
      </x:c>
      <x:c r="J2167" s="8" t="n">
        <x:v>46303.50682870371</x:v>
      </x:c>
      <x:c r="K2167" s="8" t="n">
        <x:v>46303.50686342593</x:v>
      </x:c>
      <x:c r="L2167" s="2" t="str">
        <x:v>Sent</x:v>
      </x:c>
      <x:c r="M2167" s="2" t="n">
        <x:v>1</x:v>
      </x:c>
      <x:c r="N2167" s="2"/>
      <x:c r="O2167" s="2"/>
    </x:row>
    <x:row r="2168" ht="21" customHeight="1">
      <x:c r="A2168" s="2" t="str">
        <x:v>NT002167</x:v>
      </x:c>
      <x:c r="B2168" s="2" t="str">
        <x:v>EV002169</x:v>
      </x:c>
      <x:c r="C2168" s="2" t="str">
        <x:v>T20261008-2-2</x:v>
      </x:c>
      <x:c r="D2168" s="2" t="str">
        <x:v>ST078</x:v>
      </x:c>
      <x:c r="E2168" s="2" t="str">
        <x:v>G078</x:v>
      </x:c>
      <x:c r="F2168" s="2" t="str">
        <x:v>guardian078@example.invalid</x:v>
      </x:c>
      <x:c r="G2168" s="2" t="str">
        <x:v>Email</x:v>
      </x:c>
      <x:c r="H2168" s="2" t="str">
        <x:v>Boarded</x:v>
      </x:c>
      <x:c r="I2168" s="8" t="n">
        <x:v>46303.47663194444</x:v>
      </x:c>
      <x:c r="J2168" s="8" t="n">
        <x:v>46303.476655092585</x:v>
      </x:c>
      <x:c r="K2168" s="8" t="n">
        <x:v>46303.47668981481</x:v>
      </x:c>
      <x:c r="L2168" s="2" t="str">
        <x:v>Sent</x:v>
      </x:c>
      <x:c r="M2168" s="2" t="n">
        <x:v>1</x:v>
      </x:c>
      <x:c r="N2168" s="2"/>
      <x:c r="O2168" s="2"/>
    </x:row>
    <x:row r="2169" ht="21" customHeight="1">
      <x:c r="A2169" s="2" t="str">
        <x:v>NT002168</x:v>
      </x:c>
      <x:c r="B2169" s="2" t="str">
        <x:v>EV002170</x:v>
      </x:c>
      <x:c r="C2169" s="2" t="str">
        <x:v>T20261008-2-2</x:v>
      </x:c>
      <x:c r="D2169" s="2" t="str">
        <x:v>ST078</x:v>
      </x:c>
      <x:c r="E2169" s="2" t="str">
        <x:v>G078</x:v>
      </x:c>
      <x:c r="F2169" s="2" t="str">
        <x:v>guardian078@example.invalid</x:v>
      </x:c>
      <x:c r="G2169" s="2" t="str">
        <x:v>Email</x:v>
      </x:c>
      <x:c r="H2169" s="2" t="str">
        <x:v>School receipt</x:v>
      </x:c>
      <x:c r="I2169" s="8" t="n">
        <x:v>46303.50684027778</x:v>
      </x:c>
      <x:c r="J2169" s="8" t="n">
        <x:v>46303.50686342593</x:v>
      </x:c>
      <x:c r="K2169" s="8" t="n">
        <x:v>46303.50689814815</x:v>
      </x:c>
      <x:c r="L2169" s="2" t="str">
        <x:v>Sent</x:v>
      </x:c>
      <x:c r="M2169" s="2" t="n">
        <x:v>1</x:v>
      </x:c>
      <x:c r="N2169" s="2"/>
      <x:c r="O2169" s="2"/>
    </x:row>
    <x:row r="2170" ht="21" customHeight="1">
      <x:c r="A2170" s="2" t="str">
        <x:v>NT002169</x:v>
      </x:c>
      <x:c r="B2170" s="2" t="str">
        <x:v>EV002171</x:v>
      </x:c>
      <x:c r="C2170" s="2" t="str">
        <x:v>T20261008-2-2</x:v>
      </x:c>
      <x:c r="D2170" s="2" t="str">
        <x:v>ST079</x:v>
      </x:c>
      <x:c r="E2170" s="2" t="str">
        <x:v>G079</x:v>
      </x:c>
      <x:c r="F2170" s="2" t="str">
        <x:v>guardian079@example.invalid</x:v>
      </x:c>
      <x:c r="G2170" s="2" t="str">
        <x:v>Email</x:v>
      </x:c>
      <x:c r="H2170" s="2" t="str">
        <x:v>Boarded</x:v>
      </x:c>
      <x:c r="I2170" s="8" t="n">
        <x:v>46303.481527777774</x:v>
      </x:c>
      <x:c r="J2170" s="8" t="n">
        <x:v>46303.48155092592</x:v>
      </x:c>
      <x:c r="K2170" s="8" t="n">
        <x:v>46303.481585648144</x:v>
      </x:c>
      <x:c r="L2170" s="2" t="str">
        <x:v>Sent</x:v>
      </x:c>
      <x:c r="M2170" s="2" t="n">
        <x:v>1</x:v>
      </x:c>
      <x:c r="N2170" s="2"/>
      <x:c r="O2170" s="2"/>
    </x:row>
    <x:row r="2171" ht="21" customHeight="1">
      <x:c r="A2171" s="2" t="str">
        <x:v>NT002170</x:v>
      </x:c>
      <x:c r="B2171" s="2" t="str">
        <x:v>EV002172</x:v>
      </x:c>
      <x:c r="C2171" s="2" t="str">
        <x:v>T20261008-2-2</x:v>
      </x:c>
      <x:c r="D2171" s="2" t="str">
        <x:v>ST079</x:v>
      </x:c>
      <x:c r="E2171" s="2" t="str">
        <x:v>G079</x:v>
      </x:c>
      <x:c r="F2171" s="2" t="str">
        <x:v>guardian079@example.invalid</x:v>
      </x:c>
      <x:c r="G2171" s="2" t="str">
        <x:v>Email</x:v>
      </x:c>
      <x:c r="H2171" s="2" t="str">
        <x:v>School receipt</x:v>
      </x:c>
      <x:c r="I2171" s="8" t="n">
        <x:v>46303.50687500001</x:v>
      </x:c>
      <x:c r="J2171" s="8" t="n">
        <x:v>46303.50689814815</x:v>
      </x:c>
      <x:c r="K2171" s="8" t="n">
        <x:v>46303.506932870376</x:v>
      </x:c>
      <x:c r="L2171" s="2" t="str">
        <x:v>Sent</x:v>
      </x:c>
      <x:c r="M2171" s="2" t="n">
        <x:v>1</x:v>
      </x:c>
      <x:c r="N2171" s="2"/>
      <x:c r="O2171" s="2"/>
    </x:row>
    <x:row r="2172" ht="21" customHeight="1">
      <x:c r="A2172" s="2" t="str">
        <x:v>NT002171</x:v>
      </x:c>
      <x:c r="B2172" s="2" t="str">
        <x:v>EV002173</x:v>
      </x:c>
      <x:c r="C2172" s="2" t="str">
        <x:v>T20261008-2-2</x:v>
      </x:c>
      <x:c r="D2172" s="2" t="str">
        <x:v>ST080</x:v>
      </x:c>
      <x:c r="E2172" s="2" t="str">
        <x:v>G080</x:v>
      </x:c>
      <x:c r="F2172" s="2" t="str">
        <x:v>guardian080@example.invalid</x:v>
      </x:c>
      <x:c r="G2172" s="2" t="str">
        <x:v>Email</x:v>
      </x:c>
      <x:c r="H2172" s="2" t="str">
        <x:v>Boarded</x:v>
      </x:c>
      <x:c r="I2172" s="8" t="n">
        <x:v>46303.47184027778</x:v>
      </x:c>
      <x:c r="J2172" s="8" t="n">
        <x:v>46303.471863425926</x:v>
      </x:c>
      <x:c r="K2172" s="8" t="n">
        <x:v>46303.47189814815</x:v>
      </x:c>
      <x:c r="L2172" s="2" t="str">
        <x:v>Sent</x:v>
      </x:c>
      <x:c r="M2172" s="2" t="n">
        <x:v>1</x:v>
      </x:c>
      <x:c r="N2172" s="2"/>
      <x:c r="O2172" s="2"/>
    </x:row>
    <x:row r="2173" ht="21" customHeight="1">
      <x:c r="A2173" s="2" t="str">
        <x:v>NT002172</x:v>
      </x:c>
      <x:c r="B2173" s="2" t="str">
        <x:v>EV002174</x:v>
      </x:c>
      <x:c r="C2173" s="2" t="str">
        <x:v>T20261008-2-2</x:v>
      </x:c>
      <x:c r="D2173" s="2" t="str">
        <x:v>ST080</x:v>
      </x:c>
      <x:c r="E2173" s="2" t="str">
        <x:v>G080</x:v>
      </x:c>
      <x:c r="F2173" s="2" t="str">
        <x:v>guardian080@example.invalid</x:v>
      </x:c>
      <x:c r="G2173" s="2" t="str">
        <x:v>Email</x:v>
      </x:c>
      <x:c r="H2173" s="2" t="str">
        <x:v>School receipt</x:v>
      </x:c>
      <x:c r="I2173" s="8" t="n">
        <x:v>46303.50690972222</x:v>
      </x:c>
      <x:c r="J2173" s="8" t="n">
        <x:v>46303.50693287037</x:v>
      </x:c>
      <x:c r="K2173" s="8" t="n">
        <x:v>46303.50696759259</x:v>
      </x:c>
      <x:c r="L2173" s="2" t="str">
        <x:v>Sent</x:v>
      </x:c>
      <x:c r="M2173" s="2" t="n">
        <x:v>1</x:v>
      </x:c>
      <x:c r="N2173" s="2"/>
      <x:c r="O2173" s="2"/>
    </x:row>
    <x:row r="2174" ht="21" customHeight="1">
      <x:c r="A2174" s="2" t="str">
        <x:v>NT002173</x:v>
      </x:c>
      <x:c r="B2174" s="2" t="str">
        <x:v>EV002175</x:v>
      </x:c>
      <x:c r="C2174" s="2" t="str">
        <x:v>T20261008-3-2</x:v>
      </x:c>
      <x:c r="D2174" s="2" t="str">
        <x:v>ST051</x:v>
      </x:c>
      <x:c r="E2174" s="2" t="str">
        <x:v>G051</x:v>
      </x:c>
      <x:c r="F2174" s="2" t="str">
        <x:v>guardian051@example.invalid</x:v>
      </x:c>
      <x:c r="G2174" s="2" t="str">
        <x:v>Email</x:v>
      </x:c>
      <x:c r="H2174" s="2" t="str">
        <x:v>Boarded</x:v>
      </x:c>
      <x:c r="I2174" s="8" t="n">
        <x:v>46303.57291666667</x:v>
      </x:c>
      <x:c r="J2174" s="8" t="n">
        <x:v>46303.57293981482</x:v>
      </x:c>
      <x:c r="K2174" s="8" t="n">
        <x:v>46303.57297453704</x:v>
      </x:c>
      <x:c r="L2174" s="2" t="str">
        <x:v>Sent</x:v>
      </x:c>
      <x:c r="M2174" s="2" t="n">
        <x:v>1</x:v>
      </x:c>
      <x:c r="N2174" s="2"/>
      <x:c r="O2174" s="2"/>
    </x:row>
    <x:row r="2175" ht="21" customHeight="1">
      <x:c r="A2175" s="2" t="str">
        <x:v>NT002174</x:v>
      </x:c>
      <x:c r="B2175" s="2" t="str">
        <x:v>EV002176</x:v>
      </x:c>
      <x:c r="C2175" s="2" t="str">
        <x:v>T20261008-3-2</x:v>
      </x:c>
      <x:c r="D2175" s="2" t="str">
        <x:v>ST051</x:v>
      </x:c>
      <x:c r="E2175" s="2" t="str">
        <x:v>G051</x:v>
      </x:c>
      <x:c r="F2175" s="2" t="str">
        <x:v>guardian051@example.invalid</x:v>
      </x:c>
      <x:c r="G2175" s="2" t="str">
        <x:v>Email</x:v>
      </x:c>
      <x:c r="H2175" s="2" t="str">
        <x:v>Authorized release</x:v>
      </x:c>
      <x:c r="I2175" s="8" t="n">
        <x:v>46303.59027777778</x:v>
      </x:c>
      <x:c r="J2175" s="8" t="n">
        <x:v>46303.59030092593</x:v>
      </x:c>
      <x:c r="K2175" s="8" t="n">
        <x:v>46303.59033564815</x:v>
      </x:c>
      <x:c r="L2175" s="2" t="str">
        <x:v>Sent</x:v>
      </x:c>
      <x:c r="M2175" s="2" t="n">
        <x:v>1</x:v>
      </x:c>
      <x:c r="N2175" s="2"/>
      <x:c r="O2175" s="2"/>
    </x:row>
    <x:row r="2176" ht="21" customHeight="1">
      <x:c r="A2176" s="2" t="str">
        <x:v>NT002175</x:v>
      </x:c>
      <x:c r="B2176" s="2" t="str">
        <x:v>EV002177</x:v>
      </x:c>
      <x:c r="C2176" s="2" t="str">
        <x:v>T20261008-3-2</x:v>
      </x:c>
      <x:c r="D2176" s="2" t="str">
        <x:v>ST052</x:v>
      </x:c>
      <x:c r="E2176" s="2" t="str">
        <x:v>G052</x:v>
      </x:c>
      <x:c r="F2176" s="2" t="str">
        <x:v>guardian052@example.invalid</x:v>
      </x:c>
      <x:c r="G2176" s="2" t="str">
        <x:v>Email</x:v>
      </x:c>
      <x:c r="H2176" s="2" t="str">
        <x:v>Boarded</x:v>
      </x:c>
      <x:c r="I2176" s="8" t="n">
        <x:v>46303.572951388895</x:v>
      </x:c>
      <x:c r="J2176" s="8" t="n">
        <x:v>46303.57297453704</x:v>
      </x:c>
      <x:c r="K2176" s="8" t="n">
        <x:v>46303.573009259264</x:v>
      </x:c>
      <x:c r="L2176" s="2" t="str">
        <x:v>Sent</x:v>
      </x:c>
      <x:c r="M2176" s="2" t="n">
        <x:v>1</x:v>
      </x:c>
      <x:c r="N2176" s="2"/>
      <x:c r="O2176" s="2"/>
    </x:row>
    <x:row r="2177" ht="21" customHeight="1">
      <x:c r="A2177" s="2" t="str">
        <x:v>NT002176</x:v>
      </x:c>
      <x:c r="B2177" s="2" t="str">
        <x:v>EV002178</x:v>
      </x:c>
      <x:c r="C2177" s="2" t="str">
        <x:v>T20261008-3-2</x:v>
      </x:c>
      <x:c r="D2177" s="2" t="str">
        <x:v>ST052</x:v>
      </x:c>
      <x:c r="E2177" s="2" t="str">
        <x:v>G052</x:v>
      </x:c>
      <x:c r="F2177" s="2" t="str">
        <x:v>guardian052@example.invalid</x:v>
      </x:c>
      <x:c r="G2177" s="2" t="str">
        <x:v>Email</x:v>
      </x:c>
      <x:c r="H2177" s="2" t="str">
        <x:v>Authorized release</x:v>
      </x:c>
      <x:c r="I2177" s="8" t="n">
        <x:v>46303.59447916667</x:v>
      </x:c>
      <x:c r="J2177" s="8" t="n">
        <x:v>46303.594502314816</x:v>
      </x:c>
      <x:c r="K2177" s="8" t="n">
        <x:v>46303.59453703704</x:v>
      </x:c>
      <x:c r="L2177" s="2" t="str">
        <x:v>Sent</x:v>
      </x:c>
      <x:c r="M2177" s="2" t="n">
        <x:v>1</x:v>
      </x:c>
      <x:c r="N2177" s="2"/>
      <x:c r="O2177" s="2"/>
    </x:row>
    <x:row r="2178" ht="21" customHeight="1">
      <x:c r="A2178" s="2" t="str">
        <x:v>NT002177</x:v>
      </x:c>
      <x:c r="B2178" s="2" t="str">
        <x:v>EV002179</x:v>
      </x:c>
      <x:c r="C2178" s="2" t="str">
        <x:v>T20261008-3-2</x:v>
      </x:c>
      <x:c r="D2178" s="2" t="str">
        <x:v>ST053</x:v>
      </x:c>
      <x:c r="E2178" s="2" t="str">
        <x:v>G053</x:v>
      </x:c>
      <x:c r="F2178" s="2" t="str">
        <x:v>guardian053@example.invalid</x:v>
      </x:c>
      <x:c r="G2178" s="2" t="str">
        <x:v>Email</x:v>
      </x:c>
      <x:c r="H2178" s="2" t="str">
        <x:v>Boarded</x:v>
      </x:c>
      <x:c r="I2178" s="8" t="n">
        <x:v>46303.57298611112</x:v>
      </x:c>
      <x:c r="J2178" s="8" t="n">
        <x:v>46303.573009259264</x:v>
      </x:c>
      <x:c r="K2178" s="8" t="n">
        <x:v>46303.57304398149</x:v>
      </x:c>
      <x:c r="L2178" s="2" t="str">
        <x:v>Sent</x:v>
      </x:c>
      <x:c r="M2178" s="2" t="n">
        <x:v>1</x:v>
      </x:c>
      <x:c r="N2178" s="2"/>
      <x:c r="O2178" s="2"/>
    </x:row>
    <x:row r="2179" ht="21" customHeight="1">
      <x:c r="A2179" s="2" t="str">
        <x:v>NT002178</x:v>
      </x:c>
      <x:c r="B2179" s="2" t="str">
        <x:v>EV002180</x:v>
      </x:c>
      <x:c r="C2179" s="2" t="str">
        <x:v>T20261008-3-2</x:v>
      </x:c>
      <x:c r="D2179" s="2" t="str">
        <x:v>ST053</x:v>
      </x:c>
      <x:c r="E2179" s="2" t="str">
        <x:v>G053</x:v>
      </x:c>
      <x:c r="F2179" s="2" t="str">
        <x:v>guardian053@example.invalid</x:v>
      </x:c>
      <x:c r="G2179" s="2" t="str">
        <x:v>Email</x:v>
      </x:c>
      <x:c r="H2179" s="2" t="str">
        <x:v>Authorized release</x:v>
      </x:c>
      <x:c r="I2179" s="8" t="n">
        <x:v>46303.58618055556</x:v>
      </x:c>
      <x:c r="J2179" s="8" t="n">
        <x:v>46303.58620370371</x:v>
      </x:c>
      <x:c r="K2179" s="8" t="n">
        <x:v>46303.58623842593</x:v>
      </x:c>
      <x:c r="L2179" s="2" t="str">
        <x:v>Sent</x:v>
      </x:c>
      <x:c r="M2179" s="2" t="n">
        <x:v>1</x:v>
      </x:c>
      <x:c r="N2179" s="2"/>
      <x:c r="O2179" s="2"/>
    </x:row>
    <x:row r="2180" ht="21" customHeight="1">
      <x:c r="A2180" s="2" t="str">
        <x:v>NT002179</x:v>
      </x:c>
      <x:c r="B2180" s="2" t="str">
        <x:v>EV002181</x:v>
      </x:c>
      <x:c r="C2180" s="2" t="str">
        <x:v>T20261008-3-2</x:v>
      </x:c>
      <x:c r="D2180" s="2" t="str">
        <x:v>ST054</x:v>
      </x:c>
      <x:c r="E2180" s="2" t="str">
        <x:v>G054</x:v>
      </x:c>
      <x:c r="F2180" s="2" t="str">
        <x:v>guardian054@example.invalid</x:v>
      </x:c>
      <x:c r="G2180" s="2" t="str">
        <x:v>Email</x:v>
      </x:c>
      <x:c r="H2180" s="2" t="str">
        <x:v>Boarded</x:v>
      </x:c>
      <x:c r="I2180" s="8" t="n">
        <x:v>46303.57302083334</x:v>
      </x:c>
      <x:c r="J2180" s="8" t="n">
        <x:v>46303.57304398149</x:v>
      </x:c>
      <x:c r="K2180" s="8" t="n">
        <x:v>46303.57307870371</x:v>
      </x:c>
      <x:c r="L2180" s="2" t="str">
        <x:v>Sent</x:v>
      </x:c>
      <x:c r="M2180" s="2" t="n">
        <x:v>1</x:v>
      </x:c>
      <x:c r="N2180" s="2"/>
      <x:c r="O2180" s="2"/>
    </x:row>
    <x:row r="2181" ht="21" customHeight="1">
      <x:c r="A2181" s="2" t="str">
        <x:v>NT002180</x:v>
      </x:c>
      <x:c r="B2181" s="2" t="str">
        <x:v>EV002182</x:v>
      </x:c>
      <x:c r="C2181" s="2" t="str">
        <x:v>T20261008-3-2</x:v>
      </x:c>
      <x:c r="D2181" s="2" t="str">
        <x:v>ST054</x:v>
      </x:c>
      <x:c r="E2181" s="2" t="str">
        <x:v>G054</x:v>
      </x:c>
      <x:c r="F2181" s="2" t="str">
        <x:v>guardian054@example.invalid</x:v>
      </x:c>
      <x:c r="G2181" s="2" t="str">
        <x:v>Email</x:v>
      </x:c>
      <x:c r="H2181" s="2" t="str">
        <x:v>Authorized release</x:v>
      </x:c>
      <x:c r="I2181" s="8" t="n">
        <x:v>46303.59038194445</x:v>
      </x:c>
      <x:c r="J2181" s="8" t="n">
        <x:v>46303.5904050926</x:v>
      </x:c>
      <x:c r="K2181" s="8" t="n">
        <x:v>46303.59043981482</x:v>
      </x:c>
      <x:c r="L2181" s="2" t="str">
        <x:v>Sent</x:v>
      </x:c>
      <x:c r="M2181" s="2" t="n">
        <x:v>1</x:v>
      </x:c>
      <x:c r="N2181" s="2"/>
      <x:c r="O2181" s="2"/>
    </x:row>
    <x:row r="2182" ht="21" customHeight="1">
      <x:c r="A2182" s="2" t="str">
        <x:v>NT002181</x:v>
      </x:c>
      <x:c r="B2182" s="2" t="str">
        <x:v>EV002183</x:v>
      </x:c>
      <x:c r="C2182" s="2" t="str">
        <x:v>T20261008-3-2</x:v>
      </x:c>
      <x:c r="D2182" s="2" t="str">
        <x:v>ST055</x:v>
      </x:c>
      <x:c r="E2182" s="2" t="str">
        <x:v>G055</x:v>
      </x:c>
      <x:c r="F2182" s="2" t="str">
        <x:v>guardian055@example.invalid</x:v>
      </x:c>
      <x:c r="G2182" s="2" t="str">
        <x:v>Email</x:v>
      </x:c>
      <x:c r="H2182" s="2" t="str">
        <x:v>Boarded</x:v>
      </x:c>
      <x:c r="I2182" s="8" t="n">
        <x:v>46303.573055555564</x:v>
      </x:c>
      <x:c r="J2182" s="8" t="n">
        <x:v>46303.57307870371</x:v>
      </x:c>
      <x:c r="K2182" s="8" t="n">
        <x:v>46303.57311342593</x:v>
      </x:c>
      <x:c r="L2182" s="2" t="str">
        <x:v>Sent</x:v>
      </x:c>
      <x:c r="M2182" s="2" t="n">
        <x:v>1</x:v>
      </x:c>
      <x:c r="N2182" s="2"/>
      <x:c r="O2182" s="2"/>
    </x:row>
    <x:row r="2183" ht="21" customHeight="1">
      <x:c r="A2183" s="2" t="str">
        <x:v>NT002182</x:v>
      </x:c>
      <x:c r="B2183" s="2" t="str">
        <x:v>EV002184</x:v>
      </x:c>
      <x:c r="C2183" s="2" t="str">
        <x:v>T20261008-3-2</x:v>
      </x:c>
      <x:c r="D2183" s="2" t="str">
        <x:v>ST055</x:v>
      </x:c>
      <x:c r="E2183" s="2" t="str">
        <x:v>G055</x:v>
      </x:c>
      <x:c r="F2183" s="2" t="str">
        <x:v>guardian055@example.invalid</x:v>
      </x:c>
      <x:c r="G2183" s="2" t="str">
        <x:v>Email</x:v>
      </x:c>
      <x:c r="H2183" s="2" t="str">
        <x:v>Authorized release</x:v>
      </x:c>
      <x:c r="I2183" s="8" t="n">
        <x:v>46303.59458333334</x:v>
      </x:c>
      <x:c r="J2183" s="8" t="n">
        <x:v>46303.594606481485</x:v>
      </x:c>
      <x:c r="K2183" s="8" t="n">
        <x:v>46303.59464120371</x:v>
      </x:c>
      <x:c r="L2183" s="2" t="str">
        <x:v>Sent</x:v>
      </x:c>
      <x:c r="M2183" s="2" t="n">
        <x:v>1</x:v>
      </x:c>
      <x:c r="N2183" s="2"/>
      <x:c r="O2183" s="2"/>
    </x:row>
    <x:row r="2184" ht="21" customHeight="1">
      <x:c r="A2184" s="2" t="str">
        <x:v>NT002183</x:v>
      </x:c>
      <x:c r="B2184" s="2" t="str">
        <x:v>EV002185</x:v>
      </x:c>
      <x:c r="C2184" s="2" t="str">
        <x:v>T20261008-3-2</x:v>
      </x:c>
      <x:c r="D2184" s="2" t="str">
        <x:v>ST056</x:v>
      </x:c>
      <x:c r="E2184" s="2" t="str">
        <x:v>G056</x:v>
      </x:c>
      <x:c r="F2184" s="2" t="str">
        <x:v>guardian056@example.invalid</x:v>
      </x:c>
      <x:c r="G2184" s="2" t="str">
        <x:v>Email</x:v>
      </x:c>
      <x:c r="H2184" s="2" t="str">
        <x:v>Boarded</x:v>
      </x:c>
      <x:c r="I2184" s="8" t="n">
        <x:v>46303.57309027778</x:v>
      </x:c>
      <x:c r="J2184" s="8" t="n">
        <x:v>46303.573113425926</x:v>
      </x:c>
      <x:c r="K2184" s="8" t="n">
        <x:v>46303.57314814815</x:v>
      </x:c>
      <x:c r="L2184" s="2" t="str">
        <x:v>Sent</x:v>
      </x:c>
      <x:c r="M2184" s="2" t="n">
        <x:v>1</x:v>
      </x:c>
      <x:c r="N2184" s="2"/>
      <x:c r="O2184" s="2"/>
    </x:row>
    <x:row r="2185" ht="21" customHeight="1">
      <x:c r="A2185" s="2" t="str">
        <x:v>NT002184</x:v>
      </x:c>
      <x:c r="B2185" s="2" t="str">
        <x:v>EV002186</x:v>
      </x:c>
      <x:c r="C2185" s="2" t="str">
        <x:v>T20261008-3-2</x:v>
      </x:c>
      <x:c r="D2185" s="2" t="str">
        <x:v>ST056</x:v>
      </x:c>
      <x:c r="E2185" s="2" t="str">
        <x:v>G056</x:v>
      </x:c>
      <x:c r="F2185" s="2" t="str">
        <x:v>guardian056@example.invalid</x:v>
      </x:c>
      <x:c r="G2185" s="2" t="str">
        <x:v>Email</x:v>
      </x:c>
      <x:c r="H2185" s="2" t="str">
        <x:v>Authorized release</x:v>
      </x:c>
      <x:c r="I2185" s="8" t="n">
        <x:v>46303.58628472222</x:v>
      </x:c>
      <x:c r="J2185" s="8" t="n">
        <x:v>46303.58630787037</x:v>
      </x:c>
      <x:c r="K2185" s="8" t="n">
        <x:v>46303.58634259259</x:v>
      </x:c>
      <x:c r="L2185" s="2" t="str">
        <x:v>Sent</x:v>
      </x:c>
      <x:c r="M2185" s="2" t="n">
        <x:v>1</x:v>
      </x:c>
      <x:c r="N2185" s="2"/>
      <x:c r="O2185" s="2"/>
    </x:row>
    <x:row r="2186" ht="21" customHeight="1">
      <x:c r="A2186" s="2" t="str">
        <x:v>NT002185</x:v>
      </x:c>
      <x:c r="B2186" s="2" t="str">
        <x:v>EV002187</x:v>
      </x:c>
      <x:c r="C2186" s="2" t="str">
        <x:v>T20261008-3-2</x:v>
      </x:c>
      <x:c r="D2186" s="2" t="str">
        <x:v>ST057</x:v>
      </x:c>
      <x:c r="E2186" s="2" t="str">
        <x:v>G057</x:v>
      </x:c>
      <x:c r="F2186" s="2" t="str">
        <x:v>guardian057@example.invalid</x:v>
      </x:c>
      <x:c r="G2186" s="2" t="str">
        <x:v>Email</x:v>
      </x:c>
      <x:c r="H2186" s="2" t="str">
        <x:v>Boarded</x:v>
      </x:c>
      <x:c r="I2186" s="8" t="n">
        <x:v>46303.573125</x:v>
      </x:c>
      <x:c r="J2186" s="8" t="n">
        <x:v>46303.57314814815</x:v>
      </x:c>
      <x:c r="K2186" s="8" t="n">
        <x:v>46303.57318287037</x:v>
      </x:c>
      <x:c r="L2186" s="2" t="str">
        <x:v>Sent</x:v>
      </x:c>
      <x:c r="M2186" s="2" t="n">
        <x:v>1</x:v>
      </x:c>
      <x:c r="N2186" s="2"/>
      <x:c r="O2186" s="2"/>
    </x:row>
    <x:row r="2187" ht="21" customHeight="1">
      <x:c r="A2187" s="2" t="str">
        <x:v>NT002186</x:v>
      </x:c>
      <x:c r="B2187" s="2" t="str">
        <x:v>EV002188</x:v>
      </x:c>
      <x:c r="C2187" s="2" t="str">
        <x:v>T20261008-3-2</x:v>
      </x:c>
      <x:c r="D2187" s="2" t="str">
        <x:v>ST057</x:v>
      </x:c>
      <x:c r="E2187" s="2" t="str">
        <x:v>G057</x:v>
      </x:c>
      <x:c r="F2187" s="2" t="str">
        <x:v>guardian057@example.invalid</x:v>
      </x:c>
      <x:c r="G2187" s="2" t="str">
        <x:v>Email</x:v>
      </x:c>
      <x:c r="H2187" s="2" t="str">
        <x:v>Authorized release</x:v>
      </x:c>
      <x:c r="I2187" s="8" t="n">
        <x:v>46303.59048611111</x:v>
      </x:c>
      <x:c r="J2187" s="8" t="n">
        <x:v>46303.59050925926</x:v>
      </x:c>
      <x:c r="K2187" s="8" t="n">
        <x:v>46303.59054398148</x:v>
      </x:c>
      <x:c r="L2187" s="2" t="str">
        <x:v>Sent</x:v>
      </x:c>
      <x:c r="M2187" s="2" t="n">
        <x:v>1</x:v>
      </x:c>
      <x:c r="N2187" s="2"/>
      <x:c r="O2187" s="2"/>
    </x:row>
    <x:row r="2188" ht="21" customHeight="1">
      <x:c r="A2188" s="2" t="str">
        <x:v>NT002187</x:v>
      </x:c>
      <x:c r="B2188" s="2" t="str">
        <x:v>EV002189</x:v>
      </x:c>
      <x:c r="C2188" s="2" t="str">
        <x:v>T20261008-3-2</x:v>
      </x:c>
      <x:c r="D2188" s="2" t="str">
        <x:v>ST058</x:v>
      </x:c>
      <x:c r="E2188" s="2" t="str">
        <x:v>G058</x:v>
      </x:c>
      <x:c r="F2188" s="2" t="str">
        <x:v>guardian058@example.invalid</x:v>
      </x:c>
      <x:c r="G2188" s="2" t="str">
        <x:v>Email</x:v>
      </x:c>
      <x:c r="H2188" s="2" t="str">
        <x:v>Boarded</x:v>
      </x:c>
      <x:c r="I2188" s="8" t="n">
        <x:v>46303.573159722226</x:v>
      </x:c>
      <x:c r="J2188" s="8" t="n">
        <x:v>46303.57318287037</x:v>
      </x:c>
      <x:c r="K2188" s="8" t="n">
        <x:v>46303.573217592595</x:v>
      </x:c>
      <x:c r="L2188" s="2" t="str">
        <x:v>Sent</x:v>
      </x:c>
      <x:c r="M2188" s="2" t="n">
        <x:v>1</x:v>
      </x:c>
      <x:c r="N2188" s="2"/>
      <x:c r="O2188" s="2"/>
    </x:row>
    <x:row r="2189" ht="21" customHeight="1">
      <x:c r="A2189" s="2" t="str">
        <x:v>NT002188</x:v>
      </x:c>
      <x:c r="B2189" s="2" t="str">
        <x:v>EV002190</x:v>
      </x:c>
      <x:c r="C2189" s="2" t="str">
        <x:v>T20261008-3-2</x:v>
      </x:c>
      <x:c r="D2189" s="2" t="str">
        <x:v>ST058</x:v>
      </x:c>
      <x:c r="E2189" s="2" t="str">
        <x:v>G058</x:v>
      </x:c>
      <x:c r="F2189" s="2" t="str">
        <x:v>guardian058@example.invalid</x:v>
      </x:c>
      <x:c r="G2189" s="2" t="str">
        <x:v>Email</x:v>
      </x:c>
      <x:c r="H2189" s="2" t="str">
        <x:v>Authorized release</x:v>
      </x:c>
      <x:c r="I2189" s="8" t="n">
        <x:v>46303.5946875</x:v>
      </x:c>
      <x:c r="J2189" s="8" t="n">
        <x:v>46303.59471064815</x:v>
      </x:c>
      <x:c r="K2189" s="8" t="n">
        <x:v>46303.59474537037</x:v>
      </x:c>
      <x:c r="L2189" s="2" t="str">
        <x:v>Sent</x:v>
      </x:c>
      <x:c r="M2189" s="2" t="n">
        <x:v>1</x:v>
      </x:c>
      <x:c r="N2189" s="2"/>
      <x:c r="O2189" s="2"/>
    </x:row>
    <x:row r="2190" ht="21" customHeight="1">
      <x:c r="A2190" s="2" t="str">
        <x:v>NT002189</x:v>
      </x:c>
      <x:c r="B2190" s="2" t="str">
        <x:v>EV002191</x:v>
      </x:c>
      <x:c r="C2190" s="2" t="str">
        <x:v>T20261008-3-2</x:v>
      </x:c>
      <x:c r="D2190" s="2" t="str">
        <x:v>ST059</x:v>
      </x:c>
      <x:c r="E2190" s="2" t="str">
        <x:v>G059</x:v>
      </x:c>
      <x:c r="F2190" s="2" t="str">
        <x:v>guardian059@example.invalid</x:v>
      </x:c>
      <x:c r="G2190" s="2" t="str">
        <x:v>Email</x:v>
      </x:c>
      <x:c r="H2190" s="2" t="str">
        <x:v>Boarded</x:v>
      </x:c>
      <x:c r="I2190" s="8" t="n">
        <x:v>46303.57319444445</x:v>
      </x:c>
      <x:c r="J2190" s="8" t="n">
        <x:v>46303.573217592595</x:v>
      </x:c>
      <x:c r="K2190" s="8" t="n">
        <x:v>46303.57325231482</x:v>
      </x:c>
      <x:c r="L2190" s="2" t="str">
        <x:v>Sent</x:v>
      </x:c>
      <x:c r="M2190" s="2" t="n">
        <x:v>1</x:v>
      </x:c>
      <x:c r="N2190" s="2"/>
      <x:c r="O2190" s="2"/>
    </x:row>
    <x:row r="2191" ht="21" customHeight="1">
      <x:c r="A2191" s="2" t="str">
        <x:v>NT002190</x:v>
      </x:c>
      <x:c r="B2191" s="2" t="str">
        <x:v>EV002192</x:v>
      </x:c>
      <x:c r="C2191" s="2" t="str">
        <x:v>T20261008-3-2</x:v>
      </x:c>
      <x:c r="D2191" s="2" t="str">
        <x:v>ST059</x:v>
      </x:c>
      <x:c r="E2191" s="2" t="str">
        <x:v>G059</x:v>
      </x:c>
      <x:c r="F2191" s="2" t="str">
        <x:v>guardian059@example.invalid</x:v>
      </x:c>
      <x:c r="G2191" s="2" t="str">
        <x:v>Email</x:v>
      </x:c>
      <x:c r="H2191" s="2" t="str">
        <x:v>Authorized release</x:v>
      </x:c>
      <x:c r="I2191" s="8" t="n">
        <x:v>46303.58638888889</x:v>
      </x:c>
      <x:c r="J2191" s="8" t="n">
        <x:v>46303.58641203704</x:v>
      </x:c>
      <x:c r="K2191" s="8" t="n">
        <x:v>46303.58644675926</x:v>
      </x:c>
      <x:c r="L2191" s="2" t="str">
        <x:v>Sent</x:v>
      </x:c>
      <x:c r="M2191" s="2" t="n">
        <x:v>1</x:v>
      </x:c>
      <x:c r="N2191" s="2"/>
      <x:c r="O2191" s="2"/>
    </x:row>
    <x:row r="2192" ht="21" customHeight="1">
      <x:c r="A2192" s="2" t="str">
        <x:v>NT002191</x:v>
      </x:c>
      <x:c r="B2192" s="2" t="str">
        <x:v>EV002193</x:v>
      </x:c>
      <x:c r="C2192" s="2" t="str">
        <x:v>T20261008-3-2</x:v>
      </x:c>
      <x:c r="D2192" s="2" t="str">
        <x:v>ST060</x:v>
      </x:c>
      <x:c r="E2192" s="2" t="str">
        <x:v>G060</x:v>
      </x:c>
      <x:c r="F2192" s="2" t="str">
        <x:v>guardian060@example.invalid</x:v>
      </x:c>
      <x:c r="G2192" s="2" t="str">
        <x:v>Email</x:v>
      </x:c>
      <x:c r="H2192" s="2" t="str">
        <x:v>Boarded</x:v>
      </x:c>
      <x:c r="I2192" s="8" t="n">
        <x:v>46303.57322916667</x:v>
      </x:c>
      <x:c r="J2192" s="8" t="n">
        <x:v>46303.57325231482</x:v>
      </x:c>
      <x:c r="K2192" s="8" t="n">
        <x:v>46303.57328703704</x:v>
      </x:c>
      <x:c r="L2192" s="2" t="str">
        <x:v>Sent</x:v>
      </x:c>
      <x:c r="M2192" s="2" t="n">
        <x:v>1</x:v>
      </x:c>
      <x:c r="N2192" s="2"/>
      <x:c r="O2192" s="2"/>
    </x:row>
    <x:row r="2193" ht="21" customHeight="1">
      <x:c r="A2193" s="2" t="str">
        <x:v>NT002192</x:v>
      </x:c>
      <x:c r="B2193" s="2" t="str">
        <x:v>EV002194</x:v>
      </x:c>
      <x:c r="C2193" s="2" t="str">
        <x:v>T20261008-3-2</x:v>
      </x:c>
      <x:c r="D2193" s="2" t="str">
        <x:v>ST060</x:v>
      </x:c>
      <x:c r="E2193" s="2" t="str">
        <x:v>G060</x:v>
      </x:c>
      <x:c r="F2193" s="2" t="str">
        <x:v>guardian060@example.invalid</x:v>
      </x:c>
      <x:c r="G2193" s="2" t="str">
        <x:v>Email</x:v>
      </x:c>
      <x:c r="H2193" s="2" t="str">
        <x:v>Authorized release</x:v>
      </x:c>
      <x:c r="I2193" s="8" t="n">
        <x:v>46303.59059027778</x:v>
      </x:c>
      <x:c r="J2193" s="8" t="n">
        <x:v>46303.59061342593</x:v>
      </x:c>
      <x:c r="K2193" s="8" t="n">
        <x:v>46303.59064814815</x:v>
      </x:c>
      <x:c r="L2193" s="2" t="str">
        <x:v>Sent</x:v>
      </x:c>
      <x:c r="M2193" s="2" t="n">
        <x:v>1</x:v>
      </x:c>
      <x:c r="N2193" s="2"/>
      <x:c r="O2193" s="2"/>
    </x:row>
    <x:row r="2194" ht="21" customHeight="1">
      <x:c r="A2194" s="2" t="str">
        <x:v>NT002193</x:v>
      </x:c>
      <x:c r="B2194" s="2" t="str">
        <x:v>EV002195</x:v>
      </x:c>
      <x:c r="C2194" s="2" t="str">
        <x:v>T20261008-4-2</x:v>
      </x:c>
      <x:c r="D2194" s="2" t="str">
        <x:v>ST061</x:v>
      </x:c>
      <x:c r="E2194" s="2" t="str">
        <x:v>G061</x:v>
      </x:c>
      <x:c r="F2194" s="2" t="str">
        <x:v>guardian061@example.invalid</x:v>
      </x:c>
      <x:c r="G2194" s="2" t="str">
        <x:v>Email</x:v>
      </x:c>
      <x:c r="H2194" s="2" t="str">
        <x:v>Boarded</x:v>
      </x:c>
      <x:c r="I2194" s="8" t="n">
        <x:v>46303.60416666667</x:v>
      </x:c>
      <x:c r="J2194" s="8" t="n">
        <x:v>46303.60418981482</x:v>
      </x:c>
      <x:c r="K2194" s="8" t="n">
        <x:v>46303.60422453704</x:v>
      </x:c>
      <x:c r="L2194" s="2" t="str">
        <x:v>Sent</x:v>
      </x:c>
      <x:c r="M2194" s="2" t="n">
        <x:v>1</x:v>
      </x:c>
      <x:c r="N2194" s="2"/>
      <x:c r="O2194" s="2"/>
    </x:row>
    <x:row r="2195" ht="21" customHeight="1">
      <x:c r="A2195" s="2" t="str">
        <x:v>NT002194</x:v>
      </x:c>
      <x:c r="B2195" s="2" t="str">
        <x:v>EV002196</x:v>
      </x:c>
      <x:c r="C2195" s="2" t="str">
        <x:v>T20261008-4-2</x:v>
      </x:c>
      <x:c r="D2195" s="2" t="str">
        <x:v>ST061</x:v>
      </x:c>
      <x:c r="E2195" s="2" t="str">
        <x:v>G061</x:v>
      </x:c>
      <x:c r="F2195" s="2" t="str">
        <x:v>guardian061@example.invalid</x:v>
      </x:c>
      <x:c r="G2195" s="2" t="str">
        <x:v>Email</x:v>
      </x:c>
      <x:c r="H2195" s="2" t="str">
        <x:v>Authorized release</x:v>
      </x:c>
      <x:c r="I2195" s="8" t="n">
        <x:v>46303.62708333333</x:v>
      </x:c>
      <x:c r="J2195" s="8" t="n">
        <x:v>46303.62710648148</x:v>
      </x:c>
      <x:c r="K2195" s="8" t="n">
        <x:v>46303.6271412037</x:v>
      </x:c>
      <x:c r="L2195" s="2" t="str">
        <x:v>Sent</x:v>
      </x:c>
      <x:c r="M2195" s="2" t="n">
        <x:v>1</x:v>
      </x:c>
      <x:c r="N2195" s="2"/>
      <x:c r="O2195" s="2"/>
    </x:row>
    <x:row r="2196" ht="21" customHeight="1">
      <x:c r="A2196" s="2" t="str">
        <x:v>NT002195</x:v>
      </x:c>
      <x:c r="B2196" s="2" t="str">
        <x:v>EV002197</x:v>
      </x:c>
      <x:c r="C2196" s="2" t="str">
        <x:v>T20261008-4-2</x:v>
      </x:c>
      <x:c r="D2196" s="2" t="str">
        <x:v>ST062</x:v>
      </x:c>
      <x:c r="E2196" s="2" t="str">
        <x:v>G062</x:v>
      </x:c>
      <x:c r="F2196" s="2" t="str">
        <x:v>guardian062@example.invalid</x:v>
      </x:c>
      <x:c r="G2196" s="2" t="str">
        <x:v>Email</x:v>
      </x:c>
      <x:c r="H2196" s="2" t="str">
        <x:v>Boarded</x:v>
      </x:c>
      <x:c r="I2196" s="8" t="n">
        <x:v>46303.604201388895</x:v>
      </x:c>
      <x:c r="J2196" s="8" t="n">
        <x:v>46303.60422453704</x:v>
      </x:c>
      <x:c r="K2196" s="8" t="n">
        <x:v>46303.604259259264</x:v>
      </x:c>
      <x:c r="L2196" s="2" t="str">
        <x:v>Sent</x:v>
      </x:c>
      <x:c r="M2196" s="2" t="n">
        <x:v>1</x:v>
      </x:c>
      <x:c r="N2196" s="2"/>
      <x:c r="O2196" s="2"/>
    </x:row>
    <x:row r="2197" ht="21" customHeight="1">
      <x:c r="A2197" s="2" t="str">
        <x:v>NT002196</x:v>
      </x:c>
      <x:c r="B2197" s="2" t="str">
        <x:v>EV002198</x:v>
      </x:c>
      <x:c r="C2197" s="2" t="str">
        <x:v>T20261008-4-2</x:v>
      </x:c>
      <x:c r="D2197" s="2" t="str">
        <x:v>ST062</x:v>
      </x:c>
      <x:c r="E2197" s="2" t="str">
        <x:v>G062</x:v>
      </x:c>
      <x:c r="F2197" s="2" t="str">
        <x:v>guardian062@example.invalid</x:v>
      </x:c>
      <x:c r="G2197" s="2" t="str">
        <x:v>Email</x:v>
      </x:c>
      <x:c r="H2197" s="2" t="str">
        <x:v>Authorized release</x:v>
      </x:c>
      <x:c r="I2197" s="8" t="n">
        <x:v>46303.618784722225</x:v>
      </x:c>
      <x:c r="J2197" s="8" t="n">
        <x:v>46303.61880787037</x:v>
      </x:c>
      <x:c r="K2197" s="8" t="n">
        <x:v>46303.618842592594</x:v>
      </x:c>
      <x:c r="L2197" s="2" t="str">
        <x:v>Sent</x:v>
      </x:c>
      <x:c r="M2197" s="2" t="n">
        <x:v>1</x:v>
      </x:c>
      <x:c r="N2197" s="2"/>
      <x:c r="O2197" s="2"/>
    </x:row>
    <x:row r="2198" ht="21" customHeight="1">
      <x:c r="A2198" s="2" t="str">
        <x:v>NT002197</x:v>
      </x:c>
      <x:c r="B2198" s="2" t="str">
        <x:v>EV002199</x:v>
      </x:c>
      <x:c r="C2198" s="2" t="str">
        <x:v>T20261008-4-2</x:v>
      </x:c>
      <x:c r="D2198" s="2" t="str">
        <x:v>ST063</x:v>
      </x:c>
      <x:c r="E2198" s="2" t="str">
        <x:v>G063</x:v>
      </x:c>
      <x:c r="F2198" s="2" t="str">
        <x:v>guardian063@example.invalid</x:v>
      </x:c>
      <x:c r="G2198" s="2" t="str">
        <x:v>Email</x:v>
      </x:c>
      <x:c r="H2198" s="2" t="str">
        <x:v>Boarded</x:v>
      </x:c>
      <x:c r="I2198" s="8" t="n">
        <x:v>46303.60423611112</x:v>
      </x:c>
      <x:c r="J2198" s="8" t="n">
        <x:v>46303.604259259264</x:v>
      </x:c>
      <x:c r="K2198" s="8" t="n">
        <x:v>46303.60429398149</x:v>
      </x:c>
      <x:c r="L2198" s="2" t="str">
        <x:v>Sent</x:v>
      </x:c>
      <x:c r="M2198" s="2" t="n">
        <x:v>1</x:v>
      </x:c>
      <x:c r="N2198" s="2"/>
      <x:c r="O2198" s="2"/>
    </x:row>
    <x:row r="2199" ht="21" customHeight="1">
      <x:c r="A2199" s="2" t="str">
        <x:v>NT002198</x:v>
      </x:c>
      <x:c r="B2199" s="2" t="str">
        <x:v>EV002200</x:v>
      </x:c>
      <x:c r="C2199" s="2" t="str">
        <x:v>T20261008-4-2</x:v>
      </x:c>
      <x:c r="D2199" s="2" t="str">
        <x:v>ST063</x:v>
      </x:c>
      <x:c r="E2199" s="2" t="str">
        <x:v>G063</x:v>
      </x:c>
      <x:c r="F2199" s="2" t="str">
        <x:v>guardian063@example.invalid</x:v>
      </x:c>
      <x:c r="G2199" s="2" t="str">
        <x:v>Email</x:v>
      </x:c>
      <x:c r="H2199" s="2" t="str">
        <x:v>Authorized release</x:v>
      </x:c>
      <x:c r="I2199" s="8" t="n">
        <x:v>46303.62298611111</x:v>
      </x:c>
      <x:c r="J2199" s="8" t="n">
        <x:v>46303.62300925926</x:v>
      </x:c>
      <x:c r="K2199" s="8" t="n">
        <x:v>46303.62304398148</x:v>
      </x:c>
      <x:c r="L2199" s="2" t="str">
        <x:v>Sent</x:v>
      </x:c>
      <x:c r="M2199" s="2" t="n">
        <x:v>1</x:v>
      </x:c>
      <x:c r="N2199" s="2"/>
      <x:c r="O2199" s="2"/>
    </x:row>
    <x:row r="2200" ht="21" customHeight="1">
      <x:c r="A2200" s="2" t="str">
        <x:v>NT002199</x:v>
      </x:c>
      <x:c r="B2200" s="2" t="str">
        <x:v>EV002201</x:v>
      </x:c>
      <x:c r="C2200" s="2" t="str">
        <x:v>T20261008-4-2</x:v>
      </x:c>
      <x:c r="D2200" s="2" t="str">
        <x:v>ST064</x:v>
      </x:c>
      <x:c r="E2200" s="2" t="str">
        <x:v>G064</x:v>
      </x:c>
      <x:c r="F2200" s="2" t="str">
        <x:v>guardian064@example.invalid</x:v>
      </x:c>
      <x:c r="G2200" s="2" t="str">
        <x:v>Email</x:v>
      </x:c>
      <x:c r="H2200" s="2" t="str">
        <x:v>Boarded</x:v>
      </x:c>
      <x:c r="I2200" s="8" t="n">
        <x:v>46303.60427083334</x:v>
      </x:c>
      <x:c r="J2200" s="8" t="n">
        <x:v>46303.60429398149</x:v>
      </x:c>
      <x:c r="K2200" s="8" t="n">
        <x:v>46303.60432870371</x:v>
      </x:c>
      <x:c r="L2200" s="2" t="str">
        <x:v>Sent</x:v>
      </x:c>
      <x:c r="M2200" s="2" t="n">
        <x:v>1</x:v>
      </x:c>
      <x:c r="N2200" s="2"/>
      <x:c r="O2200" s="2"/>
    </x:row>
    <x:row r="2201" ht="21" customHeight="1">
      <x:c r="A2201" s="2" t="str">
        <x:v>NT002200</x:v>
      </x:c>
      <x:c r="B2201" s="2" t="str">
        <x:v>EV002202</x:v>
      </x:c>
      <x:c r="C2201" s="2" t="str">
        <x:v>T20261008-4-2</x:v>
      </x:c>
      <x:c r="D2201" s="2" t="str">
        <x:v>ST064</x:v>
      </x:c>
      <x:c r="E2201" s="2" t="str">
        <x:v>G064</x:v>
      </x:c>
      <x:c r="F2201" s="2" t="str">
        <x:v>guardian064@example.invalid</x:v>
      </x:c>
      <x:c r="G2201" s="2" t="str">
        <x:v>Email</x:v>
      </x:c>
      <x:c r="H2201" s="2" t="str">
        <x:v>Authorized release</x:v>
      </x:c>
      <x:c r="I2201" s="8" t="n">
        <x:v>46303.6271875</x:v>
      </x:c>
      <x:c r="J2201" s="8" t="n">
        <x:v>46303.62721064815</x:v>
      </x:c>
      <x:c r="K2201" s="8" t="n">
        <x:v>46303.62724537037</x:v>
      </x:c>
      <x:c r="L2201" s="2" t="str">
        <x:v>Sent</x:v>
      </x:c>
      <x:c r="M2201" s="2" t="n">
        <x:v>1</x:v>
      </x:c>
      <x:c r="N2201" s="2"/>
      <x:c r="O2201" s="2"/>
    </x:row>
    <x:row r="2202" ht="21" customHeight="1">
      <x:c r="A2202" s="2" t="str">
        <x:v>NT002201</x:v>
      </x:c>
      <x:c r="B2202" s="2" t="str">
        <x:v>EV002203</x:v>
      </x:c>
      <x:c r="C2202" s="2" t="str">
        <x:v>T20261008-4-2</x:v>
      </x:c>
      <x:c r="D2202" s="2" t="str">
        <x:v>ST065</x:v>
      </x:c>
      <x:c r="E2202" s="2" t="str">
        <x:v>G065</x:v>
      </x:c>
      <x:c r="F2202" s="2" t="str">
        <x:v>guardian065@example.invalid</x:v>
      </x:c>
      <x:c r="G2202" s="2" t="str">
        <x:v>Email</x:v>
      </x:c>
      <x:c r="H2202" s="2" t="str">
        <x:v>Boarded</x:v>
      </x:c>
      <x:c r="I2202" s="8" t="n">
        <x:v>46303.604305555564</x:v>
      </x:c>
      <x:c r="J2202" s="8" t="n">
        <x:v>46303.60432870371</x:v>
      </x:c>
      <x:c r="K2202" s="8" t="n">
        <x:v>46303.60436342593</x:v>
      </x:c>
      <x:c r="L2202" s="2" t="str">
        <x:v>Sent</x:v>
      </x:c>
      <x:c r="M2202" s="2" t="n">
        <x:v>1</x:v>
      </x:c>
      <x:c r="N2202" s="2"/>
      <x:c r="O2202" s="2"/>
    </x:row>
    <x:row r="2203" ht="21" customHeight="1">
      <x:c r="A2203" s="2" t="str">
        <x:v>NT002202</x:v>
      </x:c>
      <x:c r="B2203" s="2" t="str">
        <x:v>EV002204</x:v>
      </x:c>
      <x:c r="C2203" s="2" t="str">
        <x:v>T20261008-4-2</x:v>
      </x:c>
      <x:c r="D2203" s="2" t="str">
        <x:v>ST065</x:v>
      </x:c>
      <x:c r="E2203" s="2" t="str">
        <x:v>G065</x:v>
      </x:c>
      <x:c r="F2203" s="2" t="str">
        <x:v>guardian065@example.invalid</x:v>
      </x:c>
      <x:c r="G2203" s="2" t="str">
        <x:v>Email</x:v>
      </x:c>
      <x:c r="H2203" s="2" t="str">
        <x:v>Authorized release</x:v>
      </x:c>
      <x:c r="I2203" s="8" t="n">
        <x:v>46303.618888888894</x:v>
      </x:c>
      <x:c r="J2203" s="8" t="n">
        <x:v>46303.61891203704</x:v>
      </x:c>
      <x:c r="K2203" s="8" t="n">
        <x:v>46303.61894675926</x:v>
      </x:c>
      <x:c r="L2203" s="2" t="str">
        <x:v>Sent</x:v>
      </x:c>
      <x:c r="M2203" s="2" t="n">
        <x:v>1</x:v>
      </x:c>
      <x:c r="N2203" s="2"/>
      <x:c r="O2203" s="2"/>
    </x:row>
    <x:row r="2204" ht="21" customHeight="1">
      <x:c r="A2204" s="2" t="str">
        <x:v>NT002203</x:v>
      </x:c>
      <x:c r="B2204" s="2" t="str">
        <x:v>EV002205</x:v>
      </x:c>
      <x:c r="C2204" s="2" t="str">
        <x:v>T20261008-4-2</x:v>
      </x:c>
      <x:c r="D2204" s="2" t="str">
        <x:v>ST066</x:v>
      </x:c>
      <x:c r="E2204" s="2" t="str">
        <x:v>G066</x:v>
      </x:c>
      <x:c r="F2204" s="2" t="str">
        <x:v>guardian066@example.invalid</x:v>
      </x:c>
      <x:c r="G2204" s="2" t="str">
        <x:v>Email</x:v>
      </x:c>
      <x:c r="H2204" s="2" t="str">
        <x:v>Boarded</x:v>
      </x:c>
      <x:c r="I2204" s="8" t="n">
        <x:v>46303.60434027778</x:v>
      </x:c>
      <x:c r="J2204" s="8" t="n">
        <x:v>46303.604363425926</x:v>
      </x:c>
      <x:c r="K2204" s="8" t="n">
        <x:v>46303.60439814815</x:v>
      </x:c>
      <x:c r="L2204" s="2" t="str">
        <x:v>Sent</x:v>
      </x:c>
      <x:c r="M2204" s="2" t="n">
        <x:v>1</x:v>
      </x:c>
      <x:c r="N2204" s="2"/>
      <x:c r="O2204" s="2"/>
    </x:row>
    <x:row r="2205" ht="21" customHeight="1">
      <x:c r="A2205" s="2" t="str">
        <x:v>NT002204</x:v>
      </x:c>
      <x:c r="B2205" s="2" t="str">
        <x:v>EV002206</x:v>
      </x:c>
      <x:c r="C2205" s="2" t="str">
        <x:v>T20261008-4-2</x:v>
      </x:c>
      <x:c r="D2205" s="2" t="str">
        <x:v>ST066</x:v>
      </x:c>
      <x:c r="E2205" s="2" t="str">
        <x:v>G066</x:v>
      </x:c>
      <x:c r="F2205" s="2" t="str">
        <x:v>guardian066@example.invalid</x:v>
      </x:c>
      <x:c r="G2205" s="2" t="str">
        <x:v>Email</x:v>
      </x:c>
      <x:c r="H2205" s="2" t="str">
        <x:v>Authorized release</x:v>
      </x:c>
      <x:c r="I2205" s="8" t="n">
        <x:v>46303.623090277775</x:v>
      </x:c>
      <x:c r="J2205" s="8" t="n">
        <x:v>46303.62311342592</x:v>
      </x:c>
      <x:c r="K2205" s="8" t="n">
        <x:v>46303.623148148145</x:v>
      </x:c>
      <x:c r="L2205" s="2" t="str">
        <x:v>Sent</x:v>
      </x:c>
      <x:c r="M2205" s="2" t="n">
        <x:v>1</x:v>
      </x:c>
      <x:c r="N2205" s="2"/>
      <x:c r="O2205" s="2"/>
    </x:row>
    <x:row r="2206" ht="21" customHeight="1">
      <x:c r="A2206" s="2" t="str">
        <x:v>NT002205</x:v>
      </x:c>
      <x:c r="B2206" s="2" t="str">
        <x:v>EV002207</x:v>
      </x:c>
      <x:c r="C2206" s="2" t="str">
        <x:v>T20261008-4-2</x:v>
      </x:c>
      <x:c r="D2206" s="2" t="str">
        <x:v>ST067</x:v>
      </x:c>
      <x:c r="E2206" s="2" t="str">
        <x:v>G067</x:v>
      </x:c>
      <x:c r="F2206" s="2" t="str">
        <x:v>guardian067@example.invalid</x:v>
      </x:c>
      <x:c r="G2206" s="2" t="str">
        <x:v>Email</x:v>
      </x:c>
      <x:c r="H2206" s="2" t="str">
        <x:v>Boarded</x:v>
      </x:c>
      <x:c r="I2206" s="8" t="n">
        <x:v>46303.604375</x:v>
      </x:c>
      <x:c r="J2206" s="8" t="n">
        <x:v>46303.60439814815</x:v>
      </x:c>
      <x:c r="K2206" s="8" t="n">
        <x:v>46303.60443287037</x:v>
      </x:c>
      <x:c r="L2206" s="2" t="str">
        <x:v>Sent</x:v>
      </x:c>
      <x:c r="M2206" s="2" t="n">
        <x:v>1</x:v>
      </x:c>
      <x:c r="N2206" s="2"/>
      <x:c r="O2206" s="2"/>
    </x:row>
    <x:row r="2207" ht="21" customHeight="1">
      <x:c r="A2207" s="2" t="str">
        <x:v>NT002206</x:v>
      </x:c>
      <x:c r="B2207" s="2" t="str">
        <x:v>EV002208</x:v>
      </x:c>
      <x:c r="C2207" s="2" t="str">
        <x:v>T20261008-4-2</x:v>
      </x:c>
      <x:c r="D2207" s="2" t="str">
        <x:v>ST067</x:v>
      </x:c>
      <x:c r="E2207" s="2" t="str">
        <x:v>G067</x:v>
      </x:c>
      <x:c r="F2207" s="2" t="str">
        <x:v>guardian067@example.invalid</x:v>
      </x:c>
      <x:c r="G2207" s="2" t="str">
        <x:v>Email</x:v>
      </x:c>
      <x:c r="H2207" s="2" t="str">
        <x:v>Authorized release</x:v>
      </x:c>
      <x:c r="I2207" s="8" t="n">
        <x:v>46303.627291666664</x:v>
      </x:c>
      <x:c r="J2207" s="8" t="n">
        <x:v>46303.62731481481</x:v>
      </x:c>
      <x:c r="K2207" s="8" t="n">
        <x:v>46303.62734953703</x:v>
      </x:c>
      <x:c r="L2207" s="2" t="str">
        <x:v>Sent</x:v>
      </x:c>
      <x:c r="M2207" s="2" t="n">
        <x:v>1</x:v>
      </x:c>
      <x:c r="N2207" s="2"/>
      <x:c r="O2207" s="2"/>
    </x:row>
    <x:row r="2208" ht="21" customHeight="1">
      <x:c r="A2208" s="2" t="str">
        <x:v>NT002207</x:v>
      </x:c>
      <x:c r="B2208" s="2" t="str">
        <x:v>EV002209</x:v>
      </x:c>
      <x:c r="C2208" s="2" t="str">
        <x:v>T20261008-4-2</x:v>
      </x:c>
      <x:c r="D2208" s="2" t="str">
        <x:v>ST068</x:v>
      </x:c>
      <x:c r="E2208" s="2" t="str">
        <x:v>G068</x:v>
      </x:c>
      <x:c r="F2208" s="2" t="str">
        <x:v>guardian068@example.invalid</x:v>
      </x:c>
      <x:c r="G2208" s="2" t="str">
        <x:v>Email</x:v>
      </x:c>
      <x:c r="H2208" s="2" t="str">
        <x:v>Boarded</x:v>
      </x:c>
      <x:c r="I2208" s="8" t="n">
        <x:v>46303.604409722226</x:v>
      </x:c>
      <x:c r="J2208" s="8" t="n">
        <x:v>46303.60443287037</x:v>
      </x:c>
      <x:c r="K2208" s="8" t="n">
        <x:v>46303.604467592595</x:v>
      </x:c>
      <x:c r="L2208" s="2" t="str">
        <x:v>Sent</x:v>
      </x:c>
      <x:c r="M2208" s="2" t="n">
        <x:v>1</x:v>
      </x:c>
      <x:c r="N2208" s="2"/>
      <x:c r="O2208" s="2"/>
    </x:row>
    <x:row r="2209" ht="21" customHeight="1">
      <x:c r="A2209" s="2" t="str">
        <x:v>NT002208</x:v>
      </x:c>
      <x:c r="B2209" s="2" t="str">
        <x:v>EV002210</x:v>
      </x:c>
      <x:c r="C2209" s="2" t="str">
        <x:v>T20261008-4-2</x:v>
      </x:c>
      <x:c r="D2209" s="2" t="str">
        <x:v>ST068</x:v>
      </x:c>
      <x:c r="E2209" s="2" t="str">
        <x:v>G068</x:v>
      </x:c>
      <x:c r="F2209" s="2" t="str">
        <x:v>guardian068@example.invalid</x:v>
      </x:c>
      <x:c r="G2209" s="2" t="str">
        <x:v>Email</x:v>
      </x:c>
      <x:c r="H2209" s="2" t="str">
        <x:v>Authorized release</x:v>
      </x:c>
      <x:c r="I2209" s="8" t="n">
        <x:v>46303.618993055556</x:v>
      </x:c>
      <x:c r="J2209" s="8" t="n">
        <x:v>46303.6190162037</x:v>
      </x:c>
      <x:c r="K2209" s="8" t="n">
        <x:v>46303.619050925925</x:v>
      </x:c>
      <x:c r="L2209" s="2" t="str">
        <x:v>Sent</x:v>
      </x:c>
      <x:c r="M2209" s="2" t="n">
        <x:v>1</x:v>
      </x:c>
      <x:c r="N2209" s="2"/>
      <x:c r="O2209" s="2"/>
    </x:row>
    <x:row r="2210" ht="21" customHeight="1">
      <x:c r="A2210" s="2" t="str">
        <x:v>NT002209</x:v>
      </x:c>
      <x:c r="B2210" s="2" t="str">
        <x:v>EV002211</x:v>
      </x:c>
      <x:c r="C2210" s="2" t="str">
        <x:v>T20261008-4-2</x:v>
      </x:c>
      <x:c r="D2210" s="2" t="str">
        <x:v>ST069</x:v>
      </x:c>
      <x:c r="E2210" s="2" t="str">
        <x:v>G069</x:v>
      </x:c>
      <x:c r="F2210" s="2" t="str">
        <x:v>guardian069@example.invalid</x:v>
      </x:c>
      <x:c r="G2210" s="2" t="str">
        <x:v>Email</x:v>
      </x:c>
      <x:c r="H2210" s="2" t="str">
        <x:v>Boarded</x:v>
      </x:c>
      <x:c r="I2210" s="8" t="n">
        <x:v>46303.60444444445</x:v>
      </x:c>
      <x:c r="J2210" s="8" t="n">
        <x:v>46303.604467592595</x:v>
      </x:c>
      <x:c r="K2210" s="8" t="n">
        <x:v>46303.60450231482</x:v>
      </x:c>
      <x:c r="L2210" s="2" t="str">
        <x:v>Sent</x:v>
      </x:c>
      <x:c r="M2210" s="2" t="n">
        <x:v>1</x:v>
      </x:c>
      <x:c r="N2210" s="2"/>
      <x:c r="O2210" s="2"/>
    </x:row>
    <x:row r="2211" ht="21" customHeight="1">
      <x:c r="A2211" s="2" t="str">
        <x:v>NT002210</x:v>
      </x:c>
      <x:c r="B2211" s="2" t="str">
        <x:v>EV002212</x:v>
      </x:c>
      <x:c r="C2211" s="2" t="str">
        <x:v>T20261008-4-2</x:v>
      </x:c>
      <x:c r="D2211" s="2" t="str">
        <x:v>ST069</x:v>
      </x:c>
      <x:c r="E2211" s="2" t="str">
        <x:v>G069</x:v>
      </x:c>
      <x:c r="F2211" s="2" t="str">
        <x:v>guardian069@example.invalid</x:v>
      </x:c>
      <x:c r="G2211" s="2" t="str">
        <x:v>Email</x:v>
      </x:c>
      <x:c r="H2211" s="2" t="str">
        <x:v>Authorized release</x:v>
      </x:c>
      <x:c r="I2211" s="8" t="n">
        <x:v>46303.623194444444</x:v>
      </x:c>
      <x:c r="J2211" s="8" t="n">
        <x:v>46303.62321759259</x:v>
      </x:c>
      <x:c r="K2211" s="8" t="n">
        <x:v>46303.623252314814</x:v>
      </x:c>
      <x:c r="L2211" s="2" t="str">
        <x:v>Sent</x:v>
      </x:c>
      <x:c r="M2211" s="2" t="n">
        <x:v>1</x:v>
      </x:c>
      <x:c r="N2211" s="2"/>
      <x:c r="O2211" s="2"/>
    </x:row>
    <x:row r="2212" ht="21" customHeight="1">
      <x:c r="A2212" s="2" t="str">
        <x:v>NT002211</x:v>
      </x:c>
      <x:c r="B2212" s="2" t="str">
        <x:v>EV002213</x:v>
      </x:c>
      <x:c r="C2212" s="2" t="str">
        <x:v>T20261008-4-2</x:v>
      </x:c>
      <x:c r="D2212" s="2" t="str">
        <x:v>ST070</x:v>
      </x:c>
      <x:c r="E2212" s="2" t="str">
        <x:v>G070</x:v>
      </x:c>
      <x:c r="F2212" s="2" t="str">
        <x:v>guardian070@example.invalid</x:v>
      </x:c>
      <x:c r="G2212" s="2" t="str">
        <x:v>Email</x:v>
      </x:c>
      <x:c r="H2212" s="2" t="str">
        <x:v>Boarded</x:v>
      </x:c>
      <x:c r="I2212" s="8" t="n">
        <x:v>46303.60447916667</x:v>
      </x:c>
      <x:c r="J2212" s="8" t="n">
        <x:v>46303.60450231482</x:v>
      </x:c>
      <x:c r="K2212" s="8" t="n">
        <x:v>46303.60453703704</x:v>
      </x:c>
      <x:c r="L2212" s="2" t="str">
        <x:v>Sent</x:v>
      </x:c>
      <x:c r="M2212" s="2" t="n">
        <x:v>1</x:v>
      </x:c>
      <x:c r="N2212" s="2"/>
      <x:c r="O2212" s="2"/>
    </x:row>
    <x:row r="2213" ht="21" customHeight="1">
      <x:c r="A2213" s="2" t="str">
        <x:v>NT002212</x:v>
      </x:c>
      <x:c r="B2213" s="2" t="str">
        <x:v>EV002214</x:v>
      </x:c>
      <x:c r="C2213" s="2" t="str">
        <x:v>T20261008-4-2</x:v>
      </x:c>
      <x:c r="D2213" s="2" t="str">
        <x:v>ST070</x:v>
      </x:c>
      <x:c r="E2213" s="2" t="str">
        <x:v>G070</x:v>
      </x:c>
      <x:c r="F2213" s="2" t="str">
        <x:v>guardian070@example.invalid</x:v>
      </x:c>
      <x:c r="G2213" s="2" t="str">
        <x:v>Email</x:v>
      </x:c>
      <x:c r="H2213" s="2" t="str">
        <x:v>Authorized release</x:v>
      </x:c>
      <x:c r="I2213" s="8" t="n">
        <x:v>46303.62739583333</x:v>
      </x:c>
      <x:c r="J2213" s="8" t="n">
        <x:v>46303.62741898148</x:v>
      </x:c>
      <x:c r="K2213" s="8" t="n">
        <x:v>46303.6274537037</x:v>
      </x:c>
      <x:c r="L2213" s="2" t="str">
        <x:v>Sent</x:v>
      </x:c>
      <x:c r="M2213" s="2" t="n">
        <x:v>1</x:v>
      </x:c>
      <x:c r="N2213" s="2"/>
      <x:c r="O2213" s="2"/>
    </x:row>
    <x:row r="2214" ht="21" customHeight="1">
      <x:c r="A2214" s="2" t="str">
        <x:v>NT002213</x:v>
      </x:c>
      <x:c r="B2214" s="2" t="str">
        <x:v>EV002215</x:v>
      </x:c>
      <x:c r="C2214" s="2" t="str">
        <x:v>T20261008-5-2</x:v>
      </x:c>
      <x:c r="D2214" s="2" t="str">
        <x:v>ST071</x:v>
      </x:c>
      <x:c r="E2214" s="2" t="str">
        <x:v>G071</x:v>
      </x:c>
      <x:c r="F2214" s="2" t="str">
        <x:v>guardian071@example.invalid</x:v>
      </x:c>
      <x:c r="G2214" s="2" t="str">
        <x:v>Email</x:v>
      </x:c>
      <x:c r="H2214" s="2" t="str">
        <x:v>Boarded</x:v>
      </x:c>
      <x:c r="I2214" s="8" t="n">
        <x:v>46303.70833333333</x:v>
      </x:c>
      <x:c r="J2214" s="8" t="n">
        <x:v>46303.708356481475</x:v>
      </x:c>
      <x:c r="K2214" s="8" t="n">
        <x:v>46303.7083912037</x:v>
      </x:c>
      <x:c r="L2214" s="2" t="str">
        <x:v>Sent</x:v>
      </x:c>
      <x:c r="M2214" s="2" t="n">
        <x:v>1</x:v>
      </x:c>
      <x:c r="N2214" s="2"/>
      <x:c r="O2214" s="2"/>
    </x:row>
    <x:row r="2215" ht="21" customHeight="1">
      <x:c r="A2215" s="2" t="str">
        <x:v>NT002214</x:v>
      </x:c>
      <x:c r="B2215" s="2" t="str">
        <x:v>EV002216</x:v>
      </x:c>
      <x:c r="C2215" s="2" t="str">
        <x:v>T20261008-5-2</x:v>
      </x:c>
      <x:c r="D2215" s="2" t="str">
        <x:v>ST071</x:v>
      </x:c>
      <x:c r="E2215" s="2" t="str">
        <x:v>G071</x:v>
      </x:c>
      <x:c r="F2215" s="2" t="str">
        <x:v>guardian071@example.invalid</x:v>
      </x:c>
      <x:c r="G2215" s="2" t="str">
        <x:v>Email</x:v>
      </x:c>
      <x:c r="H2215" s="2" t="str">
        <x:v>Authorized release</x:v>
      </x:c>
      <x:c r="I2215" s="8" t="n">
        <x:v>46303.72361111111</x:v>
      </x:c>
      <x:c r="J2215" s="8" t="n">
        <x:v>46303.72363425926</x:v>
      </x:c>
      <x:c r="K2215" s="8" t="n">
        <x:v>46303.72366898148</x:v>
      </x:c>
      <x:c r="L2215" s="2" t="str">
        <x:v>Sent</x:v>
      </x:c>
      <x:c r="M2215" s="2" t="n">
        <x:v>1</x:v>
      </x:c>
      <x:c r="N2215" s="2"/>
      <x:c r="O2215" s="2"/>
    </x:row>
    <x:row r="2216" ht="21" customHeight="1">
      <x:c r="A2216" s="2" t="str">
        <x:v>NT002215</x:v>
      </x:c>
      <x:c r="B2216" s="2" t="str">
        <x:v>EV002217</x:v>
      </x:c>
      <x:c r="C2216" s="2" t="str">
        <x:v>T20261008-5-2</x:v>
      </x:c>
      <x:c r="D2216" s="2" t="str">
        <x:v>ST072</x:v>
      </x:c>
      <x:c r="E2216" s="2" t="str">
        <x:v>G072</x:v>
      </x:c>
      <x:c r="F2216" s="2" t="str">
        <x:v>guardian072@example.invalid</x:v>
      </x:c>
      <x:c r="G2216" s="2" t="str">
        <x:v>Email</x:v>
      </x:c>
      <x:c r="H2216" s="2" t="str">
        <x:v>Boarded</x:v>
      </x:c>
      <x:c r="I2216" s="8" t="n">
        <x:v>46303.70836805555</x:v>
      </x:c>
      <x:c r="J2216" s="8" t="n">
        <x:v>46303.7083912037</x:v>
      </x:c>
      <x:c r="K2216" s="8" t="n">
        <x:v>46303.70842592592</x:v>
      </x:c>
      <x:c r="L2216" s="2" t="str">
        <x:v>Sent</x:v>
      </x:c>
      <x:c r="M2216" s="2" t="n">
        <x:v>1</x:v>
      </x:c>
      <x:c r="N2216" s="2"/>
      <x:c r="O2216" s="2"/>
    </x:row>
    <x:row r="2217" ht="21" customHeight="1">
      <x:c r="A2217" s="2" t="str">
        <x:v>NT002216</x:v>
      </x:c>
      <x:c r="B2217" s="2" t="str">
        <x:v>EV002218</x:v>
      </x:c>
      <x:c r="C2217" s="2" t="str">
        <x:v>T20261008-5-2</x:v>
      </x:c>
      <x:c r="D2217" s="2" t="str">
        <x:v>ST072</x:v>
      </x:c>
      <x:c r="E2217" s="2" t="str">
        <x:v>G072</x:v>
      </x:c>
      <x:c r="F2217" s="2" t="str">
        <x:v>guardian072@example.invalid</x:v>
      </x:c>
      <x:c r="G2217" s="2" t="str">
        <x:v>Email</x:v>
      </x:c>
      <x:c r="H2217" s="2" t="str">
        <x:v>Authorized release</x:v>
      </x:c>
      <x:c r="I2217" s="8" t="n">
        <x:v>46303.72850694445</x:v>
      </x:c>
      <x:c r="J2217" s="8" t="n">
        <x:v>46303.728530092594</x:v>
      </x:c>
      <x:c r="K2217" s="8" t="n">
        <x:v>46303.72856481482</x:v>
      </x:c>
      <x:c r="L2217" s="2" t="str">
        <x:v>Sent</x:v>
      </x:c>
      <x:c r="M2217" s="2" t="n">
        <x:v>1</x:v>
      </x:c>
      <x:c r="N2217" s="2"/>
      <x:c r="O2217" s="2"/>
    </x:row>
    <x:row r="2218" ht="21" customHeight="1">
      <x:c r="A2218" s="2" t="str">
        <x:v>NT002217</x:v>
      </x:c>
      <x:c r="B2218" s="2" t="str">
        <x:v>EV002219</x:v>
      </x:c>
      <x:c r="C2218" s="2" t="str">
        <x:v>T20261008-5-2</x:v>
      </x:c>
      <x:c r="D2218" s="2" t="str">
        <x:v>ST073</x:v>
      </x:c>
      <x:c r="E2218" s="2" t="str">
        <x:v>G073</x:v>
      </x:c>
      <x:c r="F2218" s="2" t="str">
        <x:v>guardian073@example.invalid</x:v>
      </x:c>
      <x:c r="G2218" s="2" t="str">
        <x:v>Email</x:v>
      </x:c>
      <x:c r="H2218" s="2" t="str">
        <x:v>Boarded</x:v>
      </x:c>
      <x:c r="I2218" s="8" t="n">
        <x:v>46303.708402777775</x:v>
      </x:c>
      <x:c r="J2218" s="8" t="n">
        <x:v>46303.70842592592</x:v>
      </x:c>
      <x:c r="K2218" s="8" t="n">
        <x:v>46303.708460648144</x:v>
      </x:c>
      <x:c r="L2218" s="2" t="str">
        <x:v>Sent</x:v>
      </x:c>
      <x:c r="M2218" s="2" t="n">
        <x:v>1</x:v>
      </x:c>
      <x:c r="N2218" s="2"/>
      <x:c r="O2218" s="2"/>
    </x:row>
    <x:row r="2219" ht="21" customHeight="1">
      <x:c r="A2219" s="2" t="str">
        <x:v>NT002218</x:v>
      </x:c>
      <x:c r="B2219" s="2" t="str">
        <x:v>EV002220</x:v>
      </x:c>
      <x:c r="C2219" s="2" t="str">
        <x:v>T20261008-5-2</x:v>
      </x:c>
      <x:c r="D2219" s="2" t="str">
        <x:v>ST073</x:v>
      </x:c>
      <x:c r="E2219" s="2" t="str">
        <x:v>G073</x:v>
      </x:c>
      <x:c r="F2219" s="2" t="str">
        <x:v>guardian073@example.invalid</x:v>
      </x:c>
      <x:c r="G2219" s="2" t="str">
        <x:v>Email</x:v>
      </x:c>
      <x:c r="H2219" s="2" t="str">
        <x:v>Authorized release</x:v>
      </x:c>
      <x:c r="I2219" s="8" t="n">
        <x:v>46303.73340277778</x:v>
      </x:c>
      <x:c r="J2219" s="8" t="n">
        <x:v>46303.73342592593</x:v>
      </x:c>
      <x:c r="K2219" s="8" t="n">
        <x:v>46303.73346064815</x:v>
      </x:c>
      <x:c r="L2219" s="2" t="str">
        <x:v>Sent</x:v>
      </x:c>
      <x:c r="M2219" s="2" t="n">
        <x:v>1</x:v>
      </x:c>
      <x:c r="N2219" s="2"/>
      <x:c r="O2219" s="2"/>
    </x:row>
    <x:row r="2220" ht="21" customHeight="1">
      <x:c r="A2220" s="2" t="str">
        <x:v>NT002219</x:v>
      </x:c>
      <x:c r="B2220" s="2" t="str">
        <x:v>EV002221</x:v>
      </x:c>
      <x:c r="C2220" s="2" t="str">
        <x:v>T20261008-5-2</x:v>
      </x:c>
      <x:c r="D2220" s="2" t="str">
        <x:v>ST074</x:v>
      </x:c>
      <x:c r="E2220" s="2" t="str">
        <x:v>G074</x:v>
      </x:c>
      <x:c r="F2220" s="2" t="str">
        <x:v>guardian074@example.invalid</x:v>
      </x:c>
      <x:c r="G2220" s="2" t="str">
        <x:v>Email</x:v>
      </x:c>
      <x:c r="H2220" s="2" t="str">
        <x:v>Boarded</x:v>
      </x:c>
      <x:c r="I2220" s="8" t="n">
        <x:v>46303.7084375</x:v>
      </x:c>
      <x:c r="J2220" s="8" t="n">
        <x:v>46303.708460648144</x:v>
      </x:c>
      <x:c r="K2220" s="8" t="n">
        <x:v>46303.70849537037</x:v>
      </x:c>
      <x:c r="L2220" s="2" t="str">
        <x:v>Sent</x:v>
      </x:c>
      <x:c r="M2220" s="2" t="n">
        <x:v>1</x:v>
      </x:c>
      <x:c r="N2220" s="2"/>
      <x:c r="O2220" s="2"/>
    </x:row>
    <x:row r="2221" ht="21" customHeight="1">
      <x:c r="A2221" s="2" t="str">
        <x:v>NT002220</x:v>
      </x:c>
      <x:c r="B2221" s="2" t="str">
        <x:v>EV002222</x:v>
      </x:c>
      <x:c r="C2221" s="2" t="str">
        <x:v>T20261008-5-2</x:v>
      </x:c>
      <x:c r="D2221" s="2" t="str">
        <x:v>ST074</x:v>
      </x:c>
      <x:c r="E2221" s="2" t="str">
        <x:v>G074</x:v>
      </x:c>
      <x:c r="F2221" s="2" t="str">
        <x:v>guardian074@example.invalid</x:v>
      </x:c>
      <x:c r="G2221" s="2" t="str">
        <x:v>Email</x:v>
      </x:c>
      <x:c r="H2221" s="2" t="str">
        <x:v>Authorized release</x:v>
      </x:c>
      <x:c r="I2221" s="8" t="n">
        <x:v>46303.72371527778</x:v>
      </x:c>
      <x:c r="J2221" s="8" t="n">
        <x:v>46303.72373842593</x:v>
      </x:c>
      <x:c r="K2221" s="8" t="n">
        <x:v>46303.72377314815</x:v>
      </x:c>
      <x:c r="L2221" s="2" t="str">
        <x:v>Sent</x:v>
      </x:c>
      <x:c r="M2221" s="2" t="n">
        <x:v>1</x:v>
      </x:c>
      <x:c r="N2221" s="2"/>
      <x:c r="O2221" s="2"/>
    </x:row>
    <x:row r="2222" ht="21" customHeight="1">
      <x:c r="A2222" s="2" t="str">
        <x:v>NT002221</x:v>
      </x:c>
      <x:c r="B2222" s="2" t="str">
        <x:v>EV002223</x:v>
      </x:c>
      <x:c r="C2222" s="2" t="str">
        <x:v>T20261008-5-2</x:v>
      </x:c>
      <x:c r="D2222" s="2" t="str">
        <x:v>ST075</x:v>
      </x:c>
      <x:c r="E2222" s="2" t="str">
        <x:v>G075</x:v>
      </x:c>
      <x:c r="F2222" s="2" t="str">
        <x:v>guardian075@example.invalid</x:v>
      </x:c>
      <x:c r="G2222" s="2" t="str">
        <x:v>Email</x:v>
      </x:c>
      <x:c r="H2222" s="2" t="str">
        <x:v>Boarded</x:v>
      </x:c>
      <x:c r="I2222" s="8" t="n">
        <x:v>46303.70847222222</x:v>
      </x:c>
      <x:c r="J2222" s="8" t="n">
        <x:v>46303.70849537037</x:v>
      </x:c>
      <x:c r="K2222" s="8" t="n">
        <x:v>46303.70853009259</x:v>
      </x:c>
      <x:c r="L2222" s="2" t="str">
        <x:v>Sent</x:v>
      </x:c>
      <x:c r="M2222" s="2" t="n">
        <x:v>1</x:v>
      </x:c>
      <x:c r="N2222" s="2"/>
      <x:c r="O2222" s="2"/>
    </x:row>
    <x:row r="2223" ht="21" customHeight="1">
      <x:c r="A2223" s="2" t="str">
        <x:v>NT002222</x:v>
      </x:c>
      <x:c r="B2223" s="2" t="str">
        <x:v>EV002224</x:v>
      </x:c>
      <x:c r="C2223" s="2" t="str">
        <x:v>T20261008-5-2</x:v>
      </x:c>
      <x:c r="D2223" s="2" t="str">
        <x:v>ST075</x:v>
      </x:c>
      <x:c r="E2223" s="2" t="str">
        <x:v>G075</x:v>
      </x:c>
      <x:c r="F2223" s="2" t="str">
        <x:v>guardian075@example.invalid</x:v>
      </x:c>
      <x:c r="G2223" s="2" t="str">
        <x:v>Email</x:v>
      </x:c>
      <x:c r="H2223" s="2" t="str">
        <x:v>Authorized release</x:v>
      </x:c>
      <x:c r="I2223" s="8" t="n">
        <x:v>46303.72861111112</x:v>
      </x:c>
      <x:c r="J2223" s="8" t="n">
        <x:v>46303.72863425926</x:v>
      </x:c>
      <x:c r="K2223" s="8" t="n">
        <x:v>46303.72866898149</x:v>
      </x:c>
      <x:c r="L2223" s="2" t="str">
        <x:v>Sent</x:v>
      </x:c>
      <x:c r="M2223" s="2" t="n">
        <x:v>1</x:v>
      </x:c>
      <x:c r="N2223" s="2"/>
      <x:c r="O2223" s="2"/>
    </x:row>
    <x:row r="2224" ht="21" customHeight="1">
      <x:c r="A2224" s="2" t="str">
        <x:v>NT002223</x:v>
      </x:c>
      <x:c r="B2224" s="2" t="str">
        <x:v>EV002225</x:v>
      </x:c>
      <x:c r="C2224" s="2" t="str">
        <x:v>T20261008-5-2</x:v>
      </x:c>
      <x:c r="D2224" s="2" t="str">
        <x:v>ST076</x:v>
      </x:c>
      <x:c r="E2224" s="2" t="str">
        <x:v>G076</x:v>
      </x:c>
      <x:c r="F2224" s="2" t="str">
        <x:v>guardian076@example.invalid</x:v>
      </x:c>
      <x:c r="G2224" s="2" t="str">
        <x:v>Email</x:v>
      </x:c>
      <x:c r="H2224" s="2" t="str">
        <x:v>Boarded</x:v>
      </x:c>
      <x:c r="I2224" s="8" t="n">
        <x:v>46303.70850694444</x:v>
      </x:c>
      <x:c r="J2224" s="8" t="n">
        <x:v>46303.70853009258</x:v>
      </x:c>
      <x:c r="K2224" s="8" t="n">
        <x:v>46303.708564814806</x:v>
      </x:c>
      <x:c r="L2224" s="2" t="str">
        <x:v>Sent</x:v>
      </x:c>
      <x:c r="M2224" s="2" t="n">
        <x:v>1</x:v>
      </x:c>
      <x:c r="N2224" s="2"/>
      <x:c r="O2224" s="2"/>
    </x:row>
    <x:row r="2225" ht="21" customHeight="1">
      <x:c r="A2225" s="2" t="str">
        <x:v>NT002224</x:v>
      </x:c>
      <x:c r="B2225" s="2" t="str">
        <x:v>EV002226</x:v>
      </x:c>
      <x:c r="C2225" s="2" t="str">
        <x:v>T20261008-5-2</x:v>
      </x:c>
      <x:c r="D2225" s="2" t="str">
        <x:v>ST076</x:v>
      </x:c>
      <x:c r="E2225" s="2" t="str">
        <x:v>G076</x:v>
      </x:c>
      <x:c r="F2225" s="2" t="str">
        <x:v>guardian076@example.invalid</x:v>
      </x:c>
      <x:c r="G2225" s="2" t="str">
        <x:v>Email</x:v>
      </x:c>
      <x:c r="H2225" s="2" t="str">
        <x:v>Authorized release</x:v>
      </x:c>
      <x:c r="I2225" s="8" t="n">
        <x:v>46303.733506944445</x:v>
      </x:c>
      <x:c r="J2225" s="8" t="n">
        <x:v>46303.73353009259</x:v>
      </x:c>
      <x:c r="K2225" s="8" t="n">
        <x:v>46303.733564814815</x:v>
      </x:c>
      <x:c r="L2225" s="2" t="str">
        <x:v>Sent</x:v>
      </x:c>
      <x:c r="M2225" s="2" t="n">
        <x:v>1</x:v>
      </x:c>
      <x:c r="N2225" s="2"/>
      <x:c r="O2225" s="2"/>
    </x:row>
    <x:row r="2226" ht="21" customHeight="1">
      <x:c r="A2226" s="2" t="str">
        <x:v>NT002225</x:v>
      </x:c>
      <x:c r="B2226" s="2" t="str">
        <x:v>EV002227</x:v>
      </x:c>
      <x:c r="C2226" s="2" t="str">
        <x:v>T20261008-5-2</x:v>
      </x:c>
      <x:c r="D2226" s="2" t="str">
        <x:v>ST077</x:v>
      </x:c>
      <x:c r="E2226" s="2" t="str">
        <x:v>G077</x:v>
      </x:c>
      <x:c r="F2226" s="2" t="str">
        <x:v>guardian077@example.invalid</x:v>
      </x:c>
      <x:c r="G2226" s="2" t="str">
        <x:v>Email</x:v>
      </x:c>
      <x:c r="H2226" s="2" t="str">
        <x:v>Boarded</x:v>
      </x:c>
      <x:c r="I2226" s="8" t="n">
        <x:v>46303.70854166666</x:v>
      </x:c>
      <x:c r="J2226" s="8" t="n">
        <x:v>46303.708564814806</x:v>
      </x:c>
      <x:c r="K2226" s="8" t="n">
        <x:v>46303.70859953703</x:v>
      </x:c>
      <x:c r="L2226" s="2" t="str">
        <x:v>Sent</x:v>
      </x:c>
      <x:c r="M2226" s="2" t="n">
        <x:v>1</x:v>
      </x:c>
      <x:c r="N2226" s="2"/>
      <x:c r="O2226" s="2"/>
    </x:row>
    <x:row r="2227" ht="21" customHeight="1">
      <x:c r="A2227" s="2" t="str">
        <x:v>NT002226</x:v>
      </x:c>
      <x:c r="B2227" s="2" t="str">
        <x:v>EV002228</x:v>
      </x:c>
      <x:c r="C2227" s="2" t="str">
        <x:v>T20261008-5-2</x:v>
      </x:c>
      <x:c r="D2227" s="2" t="str">
        <x:v>ST077</x:v>
      </x:c>
      <x:c r="E2227" s="2" t="str">
        <x:v>G077</x:v>
      </x:c>
      <x:c r="F2227" s="2" t="str">
        <x:v>guardian077@example.invalid</x:v>
      </x:c>
      <x:c r="G2227" s="2" t="str">
        <x:v>Email</x:v>
      </x:c>
      <x:c r="H2227" s="2" t="str">
        <x:v>Authorized release</x:v>
      </x:c>
      <x:c r="I2227" s="8" t="n">
        <x:v>46303.72381944444</x:v>
      </x:c>
      <x:c r="J2227" s="8" t="n">
        <x:v>46303.72384259259</x:v>
      </x:c>
      <x:c r="K2227" s="8" t="n">
        <x:v>46303.72387731481</x:v>
      </x:c>
      <x:c r="L2227" s="2" t="str">
        <x:v>Sent</x:v>
      </x:c>
      <x:c r="M2227" s="2" t="n">
        <x:v>1</x:v>
      </x:c>
      <x:c r="N2227" s="2"/>
      <x:c r="O2227" s="2"/>
    </x:row>
    <x:row r="2228" ht="21" customHeight="1">
      <x:c r="A2228" s="2" t="str">
        <x:v>NT002227</x:v>
      </x:c>
      <x:c r="B2228" s="2" t="str">
        <x:v>EV002229</x:v>
      </x:c>
      <x:c r="C2228" s="2" t="str">
        <x:v>T20261008-5-2</x:v>
      </x:c>
      <x:c r="D2228" s="2" t="str">
        <x:v>ST078</x:v>
      </x:c>
      <x:c r="E2228" s="2" t="str">
        <x:v>G078</x:v>
      </x:c>
      <x:c r="F2228" s="2" t="str">
        <x:v>guardian078@example.invalid</x:v>
      </x:c>
      <x:c r="G2228" s="2" t="str">
        <x:v>Email</x:v>
      </x:c>
      <x:c r="H2228" s="2" t="str">
        <x:v>Boarded</x:v>
      </x:c>
      <x:c r="I2228" s="8" t="n">
        <x:v>46303.70857638888</x:v>
      </x:c>
      <x:c r="J2228" s="8" t="n">
        <x:v>46303.70859953703</x:v>
      </x:c>
      <x:c r="K2228" s="8" t="n">
        <x:v>46303.70863425925</x:v>
      </x:c>
      <x:c r="L2228" s="2" t="str">
        <x:v>Sent</x:v>
      </x:c>
      <x:c r="M2228" s="2" t="n">
        <x:v>1</x:v>
      </x:c>
      <x:c r="N2228" s="2"/>
      <x:c r="O2228" s="2"/>
    </x:row>
    <x:row r="2229" ht="21" customHeight="1">
      <x:c r="A2229" s="2" t="str">
        <x:v>NT002228</x:v>
      </x:c>
      <x:c r="B2229" s="2" t="str">
        <x:v>EV002230</x:v>
      </x:c>
      <x:c r="C2229" s="2" t="str">
        <x:v>T20261008-5-2</x:v>
      </x:c>
      <x:c r="D2229" s="2" t="str">
        <x:v>ST078</x:v>
      </x:c>
      <x:c r="E2229" s="2" t="str">
        <x:v>G078</x:v>
      </x:c>
      <x:c r="F2229" s="2" t="str">
        <x:v>guardian078@example.invalid</x:v>
      </x:c>
      <x:c r="G2229" s="2" t="str">
        <x:v>Email</x:v>
      </x:c>
      <x:c r="H2229" s="2" t="str">
        <x:v>Authorized release</x:v>
      </x:c>
      <x:c r="I2229" s="8" t="n">
        <x:v>46303.72871527778</x:v>
      </x:c>
      <x:c r="J2229" s="8" t="n">
        <x:v>46303.728738425925</x:v>
      </x:c>
      <x:c r="K2229" s="8" t="n">
        <x:v>46303.72877314815</x:v>
      </x:c>
      <x:c r="L2229" s="2" t="str">
        <x:v>Sent</x:v>
      </x:c>
      <x:c r="M2229" s="2" t="n">
        <x:v>1</x:v>
      </x:c>
      <x:c r="N2229" s="2"/>
      <x:c r="O2229" s="2"/>
    </x:row>
    <x:row r="2230" ht="21" customHeight="1">
      <x:c r="A2230" s="2" t="str">
        <x:v>NT002229</x:v>
      </x:c>
      <x:c r="B2230" s="2" t="str">
        <x:v>EV002231</x:v>
      </x:c>
      <x:c r="C2230" s="2" t="str">
        <x:v>T20261008-5-2</x:v>
      </x:c>
      <x:c r="D2230" s="2" t="str">
        <x:v>ST079</x:v>
      </x:c>
      <x:c r="E2230" s="2" t="str">
        <x:v>G079</x:v>
      </x:c>
      <x:c r="F2230" s="2" t="str">
        <x:v>guardian079@example.invalid</x:v>
      </x:c>
      <x:c r="G2230" s="2" t="str">
        <x:v>Email</x:v>
      </x:c>
      <x:c r="H2230" s="2" t="str">
        <x:v>Boarded</x:v>
      </x:c>
      <x:c r="I2230" s="8" t="n">
        <x:v>46303.708611111106</x:v>
      </x:c>
      <x:c r="J2230" s="8" t="n">
        <x:v>46303.70863425925</x:v>
      </x:c>
      <x:c r="K2230" s="8" t="n">
        <x:v>46303.708668981475</x:v>
      </x:c>
      <x:c r="L2230" s="2" t="str">
        <x:v>Sent</x:v>
      </x:c>
      <x:c r="M2230" s="2" t="n">
        <x:v>1</x:v>
      </x:c>
      <x:c r="N2230" s="2"/>
      <x:c r="O2230" s="2"/>
    </x:row>
    <x:row r="2231" ht="21" customHeight="1">
      <x:c r="A2231" s="2" t="str">
        <x:v>NT002230</x:v>
      </x:c>
      <x:c r="B2231" s="2" t="str">
        <x:v>EV002232</x:v>
      </x:c>
      <x:c r="C2231" s="2" t="str">
        <x:v>T20261008-5-2</x:v>
      </x:c>
      <x:c r="D2231" s="2" t="str">
        <x:v>ST079</x:v>
      </x:c>
      <x:c r="E2231" s="2" t="str">
        <x:v>G079</x:v>
      </x:c>
      <x:c r="F2231" s="2" t="str">
        <x:v>guardian079@example.invalid</x:v>
      </x:c>
      <x:c r="G2231" s="2" t="str">
        <x:v>Email</x:v>
      </x:c>
      <x:c r="H2231" s="2" t="str">
        <x:v>Authorized release</x:v>
      </x:c>
      <x:c r="I2231" s="8" t="n">
        <x:v>46303.733611111114</x:v>
      </x:c>
      <x:c r="J2231" s="8" t="n">
        <x:v>46303.73363425926</x:v>
      </x:c>
      <x:c r="K2231" s="8" t="n">
        <x:v>46303.733668981484</x:v>
      </x:c>
      <x:c r="L2231" s="2" t="str">
        <x:v>Sent</x:v>
      </x:c>
      <x:c r="M2231" s="2" t="n">
        <x:v>1</x:v>
      </x:c>
      <x:c r="N2231" s="2"/>
      <x:c r="O2231" s="2"/>
    </x:row>
    <x:row r="2232" ht="21" customHeight="1">
      <x:c r="A2232" s="2" t="str">
        <x:v>NT002231</x:v>
      </x:c>
      <x:c r="B2232" s="2" t="str">
        <x:v>EV002233</x:v>
      </x:c>
      <x:c r="C2232" s="2" t="str">
        <x:v>T20261008-5-2</x:v>
      </x:c>
      <x:c r="D2232" s="2" t="str">
        <x:v>ST080</x:v>
      </x:c>
      <x:c r="E2232" s="2" t="str">
        <x:v>G080</x:v>
      </x:c>
      <x:c r="F2232" s="2" t="str">
        <x:v>guardian080@example.invalid</x:v>
      </x:c>
      <x:c r="G2232" s="2" t="str">
        <x:v>Email</x:v>
      </x:c>
      <x:c r="H2232" s="2" t="str">
        <x:v>Boarded</x:v>
      </x:c>
      <x:c r="I2232" s="8" t="n">
        <x:v>46303.70864583333</x:v>
      </x:c>
      <x:c r="J2232" s="8" t="n">
        <x:v>46303.708668981475</x:v>
      </x:c>
      <x:c r="K2232" s="8" t="n">
        <x:v>46303.7087037037</x:v>
      </x:c>
      <x:c r="L2232" s="2" t="str">
        <x:v>Sent</x:v>
      </x:c>
      <x:c r="M2232" s="2" t="n">
        <x:v>1</x:v>
      </x:c>
      <x:c r="N2232" s="2"/>
      <x:c r="O2232" s="2"/>
    </x:row>
    <x:row r="2233" ht="21" customHeight="1">
      <x:c r="A2233" s="2" t="str">
        <x:v>NT002232</x:v>
      </x:c>
      <x:c r="B2233" s="2" t="str">
        <x:v>EV002234</x:v>
      </x:c>
      <x:c r="C2233" s="2" t="str">
        <x:v>T20261008-5-2</x:v>
      </x:c>
      <x:c r="D2233" s="2" t="str">
        <x:v>ST080</x:v>
      </x:c>
      <x:c r="E2233" s="2" t="str">
        <x:v>G080</x:v>
      </x:c>
      <x:c r="F2233" s="2" t="str">
        <x:v>guardian080@example.invalid</x:v>
      </x:c>
      <x:c r="G2233" s="2" t="str">
        <x:v>Email</x:v>
      </x:c>
      <x:c r="H2233" s="2" t="str">
        <x:v>Authorized release</x:v>
      </x:c>
      <x:c r="I2233" s="8" t="n">
        <x:v>46303.72392361111</x:v>
      </x:c>
      <x:c r="J2233" s="8" t="n">
        <x:v>46303.72394675926</x:v>
      </x:c>
      <x:c r="K2233" s="8" t="n">
        <x:v>46303.72398148148</x:v>
      </x:c>
      <x:c r="L2233" s="2" t="str">
        <x:v>Sent</x:v>
      </x:c>
      <x:c r="M2233" s="2" t="n">
        <x:v>1</x:v>
      </x:c>
      <x:c r="N2233" s="2"/>
      <x:c r="O2233" s="2"/>
    </x:row>
    <x:row r="2234" ht="21" customHeight="1">
      <x:c r="A2234" s="2" t="str">
        <x:v>NT002233</x:v>
      </x:c>
      <x:c r="B2234" s="2" t="str">
        <x:v>EV002235</x:v>
      </x:c>
      <x:c r="C2234" s="2" t="str">
        <x:v>T20261008-1-3</x:v>
      </x:c>
      <x:c r="D2234" s="2" t="str">
        <x:v>ST081</x:v>
      </x:c>
      <x:c r="E2234" s="2" t="str">
        <x:v>G081</x:v>
      </x:c>
      <x:c r="F2234" s="2" t="str">
        <x:v>guardian081@example.invalid</x:v>
      </x:c>
      <x:c r="G2234" s="2" t="str">
        <x:v>Email</x:v>
      </x:c>
      <x:c r="H2234" s="2" t="str">
        <x:v>Boarded</x:v>
      </x:c>
      <x:c r="I2234" s="8" t="n">
        <x:v>46303.242361111115</x:v>
      </x:c>
      <x:c r="J2234" s="8" t="n">
        <x:v>46303.24238425926</x:v>
      </x:c>
      <x:c r="K2234" s="8" t="n">
        <x:v>46303.242418981485</x:v>
      </x:c>
      <x:c r="L2234" s="2" t="str">
        <x:v>Sent</x:v>
      </x:c>
      <x:c r="M2234" s="2" t="n">
        <x:v>1</x:v>
      </x:c>
      <x:c r="N2234" s="2"/>
      <x:c r="O2234" s="2"/>
    </x:row>
    <x:row r="2235" ht="21" customHeight="1">
      <x:c r="A2235" s="2" t="str">
        <x:v>NT002234</x:v>
      </x:c>
      <x:c r="B2235" s="2" t="str">
        <x:v>EV002236</x:v>
      </x:c>
      <x:c r="C2235" s="2" t="str">
        <x:v>T20261008-1-3</x:v>
      </x:c>
      <x:c r="D2235" s="2" t="str">
        <x:v>ST081</x:v>
      </x:c>
      <x:c r="E2235" s="2" t="str">
        <x:v>G081</x:v>
      </x:c>
      <x:c r="F2235" s="2" t="str">
        <x:v>guardian081@example.invalid</x:v>
      </x:c>
      <x:c r="G2235" s="2" t="str">
        <x:v>Email</x:v>
      </x:c>
      <x:c r="H2235" s="2" t="str">
        <x:v>School receipt</x:v>
      </x:c>
      <x:c r="I2235" s="8" t="n">
        <x:v>46303.27638888889</x:v>
      </x:c>
      <x:c r="J2235" s="8" t="n">
        <x:v>46303.276412037034</x:v>
      </x:c>
      <x:c r="K2235" s="8" t="n">
        <x:v>46303.27644675926</x:v>
      </x:c>
      <x:c r="L2235" s="2" t="str">
        <x:v>Sent</x:v>
      </x:c>
      <x:c r="M2235" s="2" t="n">
        <x:v>1</x:v>
      </x:c>
      <x:c r="N2235" s="2"/>
      <x:c r="O2235" s="2"/>
    </x:row>
    <x:row r="2236" ht="21" customHeight="1">
      <x:c r="A2236" s="2" t="str">
        <x:v>NT002235</x:v>
      </x:c>
      <x:c r="B2236" s="2" t="str">
        <x:v>EV002237</x:v>
      </x:c>
      <x:c r="C2236" s="2" t="str">
        <x:v>T20261008-1-3</x:v>
      </x:c>
      <x:c r="D2236" s="2" t="str">
        <x:v>ST082</x:v>
      </x:c>
      <x:c r="E2236" s="2" t="str">
        <x:v>G082</x:v>
      </x:c>
      <x:c r="F2236" s="2" t="str">
        <x:v>guardian082@example.invalid</x:v>
      </x:c>
      <x:c r="G2236" s="2" t="str">
        <x:v>Email</x:v>
      </x:c>
      <x:c r="H2236" s="2" t="str">
        <x:v>Boarded</x:v>
      </x:c>
      <x:c r="I2236" s="8" t="n">
        <x:v>46303.24725694444</x:v>
      </x:c>
      <x:c r="J2236" s="8" t="n">
        <x:v>46303.24728009259</x:v>
      </x:c>
      <x:c r="K2236" s="8" t="n">
        <x:v>46303.24731481481</x:v>
      </x:c>
      <x:c r="L2236" s="2" t="str">
        <x:v>Sent</x:v>
      </x:c>
      <x:c r="M2236" s="2" t="n">
        <x:v>1</x:v>
      </x:c>
      <x:c r="N2236" s="2"/>
      <x:c r="O2236" s="2"/>
    </x:row>
    <x:row r="2237" ht="21" customHeight="1">
      <x:c r="A2237" s="2" t="str">
        <x:v>NT002236</x:v>
      </x:c>
      <x:c r="B2237" s="2" t="str">
        <x:v>EV002238</x:v>
      </x:c>
      <x:c r="C2237" s="2" t="str">
        <x:v>T20261008-1-3</x:v>
      </x:c>
      <x:c r="D2237" s="2" t="str">
        <x:v>ST082</x:v>
      </x:c>
      <x:c r="E2237" s="2" t="str">
        <x:v>G082</x:v>
      </x:c>
      <x:c r="F2237" s="2" t="str">
        <x:v>guardian082@example.invalid</x:v>
      </x:c>
      <x:c r="G2237" s="2" t="str">
        <x:v>Email</x:v>
      </x:c>
      <x:c r="H2237" s="2" t="str">
        <x:v>School receipt</x:v>
      </x:c>
      <x:c r="I2237" s="8" t="n">
        <x:v>46303.27642361111</x:v>
      </x:c>
      <x:c r="J2237" s="8" t="n">
        <x:v>46303.27644675926</x:v>
      </x:c>
      <x:c r="K2237" s="8" t="n">
        <x:v>46303.27648148148</x:v>
      </x:c>
      <x:c r="L2237" s="2" t="str">
        <x:v>Sent</x:v>
      </x:c>
      <x:c r="M2237" s="2" t="n">
        <x:v>1</x:v>
      </x:c>
      <x:c r="N2237" s="2"/>
      <x:c r="O2237" s="2"/>
    </x:row>
    <x:row r="2238" ht="21" customHeight="1">
      <x:c r="A2238" s="2" t="str">
        <x:v>NT002237</x:v>
      </x:c>
      <x:c r="B2238" s="2" t="str">
        <x:v>EV002239</x:v>
      </x:c>
      <x:c r="C2238" s="2" t="str">
        <x:v>T20261008-1-3</x:v>
      </x:c>
      <x:c r="D2238" s="2" t="str">
        <x:v>ST083</x:v>
      </x:c>
      <x:c r="E2238" s="2" t="str">
        <x:v>G083</x:v>
      </x:c>
      <x:c r="F2238" s="2" t="str">
        <x:v>guardian083@example.invalid</x:v>
      </x:c>
      <x:c r="G2238" s="2" t="str">
        <x:v>Email</x:v>
      </x:c>
      <x:c r="H2238" s="2" t="str">
        <x:v>Boarded</x:v>
      </x:c>
      <x:c r="I2238" s="8" t="n">
        <x:v>46303.25215277778</x:v>
      </x:c>
      <x:c r="J2238" s="8" t="n">
        <x:v>46303.252175925925</x:v>
      </x:c>
      <x:c r="K2238" s="8" t="n">
        <x:v>46303.25221064815</x:v>
      </x:c>
      <x:c r="L2238" s="2" t="str">
        <x:v>Sent</x:v>
      </x:c>
      <x:c r="M2238" s="2" t="n">
        <x:v>1</x:v>
      </x:c>
      <x:c r="N2238" s="2"/>
      <x:c r="O2238" s="2"/>
    </x:row>
    <x:row r="2239" ht="21" customHeight="1">
      <x:c r="A2239" s="2" t="str">
        <x:v>NT002238</x:v>
      </x:c>
      <x:c r="B2239" s="2" t="str">
        <x:v>EV002240</x:v>
      </x:c>
      <x:c r="C2239" s="2" t="str">
        <x:v>T20261008-1-3</x:v>
      </x:c>
      <x:c r="D2239" s="2" t="str">
        <x:v>ST083</x:v>
      </x:c>
      <x:c r="E2239" s="2" t="str">
        <x:v>G083</x:v>
      </x:c>
      <x:c r="F2239" s="2" t="str">
        <x:v>guardian083@example.invalid</x:v>
      </x:c>
      <x:c r="G2239" s="2" t="str">
        <x:v>Email</x:v>
      </x:c>
      <x:c r="H2239" s="2" t="str">
        <x:v>School receipt</x:v>
      </x:c>
      <x:c r="I2239" s="8" t="n">
        <x:v>46303.276458333334</x:v>
      </x:c>
      <x:c r="J2239" s="8" t="n">
        <x:v>46303.27648148148</x:v>
      </x:c>
      <x:c r="K2239" s="8" t="n">
        <x:v>46303.2765162037</x:v>
      </x:c>
      <x:c r="L2239" s="2" t="str">
        <x:v>Sent</x:v>
      </x:c>
      <x:c r="M2239" s="2" t="n">
        <x:v>1</x:v>
      </x:c>
      <x:c r="N2239" s="2"/>
      <x:c r="O2239" s="2"/>
    </x:row>
    <x:row r="2240" ht="21" customHeight="1">
      <x:c r="A2240" s="2" t="str">
        <x:v>NT002239</x:v>
      </x:c>
      <x:c r="B2240" s="2" t="str">
        <x:v>EV002241</x:v>
      </x:c>
      <x:c r="C2240" s="2" t="str">
        <x:v>T20261008-1-3</x:v>
      </x:c>
      <x:c r="D2240" s="2" t="str">
        <x:v>ST084</x:v>
      </x:c>
      <x:c r="E2240" s="2" t="str">
        <x:v>G084</x:v>
      </x:c>
      <x:c r="F2240" s="2" t="str">
        <x:v>guardian084@example.invalid</x:v>
      </x:c>
      <x:c r="G2240" s="2" t="str">
        <x:v>Email</x:v>
      </x:c>
      <x:c r="H2240" s="2" t="str">
        <x:v>Boarded</x:v>
      </x:c>
      <x:c r="I2240" s="8" t="n">
        <x:v>46303.242465277785</x:v>
      </x:c>
      <x:c r="J2240" s="8" t="n">
        <x:v>46303.24248842593</x:v>
      </x:c>
      <x:c r="K2240" s="8" t="n">
        <x:v>46303.242523148154</x:v>
      </x:c>
      <x:c r="L2240" s="2" t="str">
        <x:v>Sent</x:v>
      </x:c>
      <x:c r="M2240" s="2" t="n">
        <x:v>1</x:v>
      </x:c>
      <x:c r="N2240" s="2"/>
      <x:c r="O2240" s="2"/>
    </x:row>
    <x:row r="2241" ht="21" customHeight="1">
      <x:c r="A2241" s="2" t="str">
        <x:v>NT002240</x:v>
      </x:c>
      <x:c r="B2241" s="2" t="str">
        <x:v>EV002242</x:v>
      </x:c>
      <x:c r="C2241" s="2" t="str">
        <x:v>T20261008-1-3</x:v>
      </x:c>
      <x:c r="D2241" s="2" t="str">
        <x:v>ST084</x:v>
      </x:c>
      <x:c r="E2241" s="2" t="str">
        <x:v>G084</x:v>
      </x:c>
      <x:c r="F2241" s="2" t="str">
        <x:v>guardian084@example.invalid</x:v>
      </x:c>
      <x:c r="G2241" s="2" t="str">
        <x:v>Email</x:v>
      </x:c>
      <x:c r="H2241" s="2" t="str">
        <x:v>School receipt</x:v>
      </x:c>
      <x:c r="I2241" s="8" t="n">
        <x:v>46303.27649305556</x:v>
      </x:c>
      <x:c r="J2241" s="8" t="n">
        <x:v>46303.2765162037</x:v>
      </x:c>
      <x:c r="K2241" s="8" t="n">
        <x:v>46303.276550925926</x:v>
      </x:c>
      <x:c r="L2241" s="2" t="str">
        <x:v>Sent</x:v>
      </x:c>
      <x:c r="M2241" s="2" t="n">
        <x:v>1</x:v>
      </x:c>
      <x:c r="N2241" s="2"/>
      <x:c r="O2241" s="2"/>
    </x:row>
    <x:row r="2242" ht="21" customHeight="1">
      <x:c r="A2242" s="2" t="str">
        <x:v>NT002241</x:v>
      </x:c>
      <x:c r="B2242" s="2" t="str">
        <x:v>EV002243</x:v>
      </x:c>
      <x:c r="C2242" s="2" t="str">
        <x:v>T20261008-1-3</x:v>
      </x:c>
      <x:c r="D2242" s="2" t="str">
        <x:v>ST085</x:v>
      </x:c>
      <x:c r="E2242" s="2" t="str">
        <x:v>G085</x:v>
      </x:c>
      <x:c r="F2242" s="2" t="str">
        <x:v>guardian085@example.invalid</x:v>
      </x:c>
      <x:c r="G2242" s="2" t="str">
        <x:v>Email</x:v>
      </x:c>
      <x:c r="H2242" s="2" t="str">
        <x:v>Boarded</x:v>
      </x:c>
      <x:c r="I2242" s="8" t="n">
        <x:v>46303.24736111111</x:v>
      </x:c>
      <x:c r="J2242" s="8" t="n">
        <x:v>46303.24738425926</x:v>
      </x:c>
      <x:c r="K2242" s="8" t="n">
        <x:v>46303.24741898148</x:v>
      </x:c>
      <x:c r="L2242" s="2" t="str">
        <x:v>Sent</x:v>
      </x:c>
      <x:c r="M2242" s="2" t="n">
        <x:v>1</x:v>
      </x:c>
      <x:c r="N2242" s="2"/>
      <x:c r="O2242" s="2"/>
    </x:row>
    <x:row r="2243" ht="21" customHeight="1">
      <x:c r="A2243" s="2" t="str">
        <x:v>NT002242</x:v>
      </x:c>
      <x:c r="B2243" s="2" t="str">
        <x:v>EV002244</x:v>
      </x:c>
      <x:c r="C2243" s="2" t="str">
        <x:v>T20261008-1-3</x:v>
      </x:c>
      <x:c r="D2243" s="2" t="str">
        <x:v>ST085</x:v>
      </x:c>
      <x:c r="E2243" s="2" t="str">
        <x:v>G085</x:v>
      </x:c>
      <x:c r="F2243" s="2" t="str">
        <x:v>guardian085@example.invalid</x:v>
      </x:c>
      <x:c r="G2243" s="2" t="str">
        <x:v>Email</x:v>
      </x:c>
      <x:c r="H2243" s="2" t="str">
        <x:v>School receipt</x:v>
      </x:c>
      <x:c r="I2243" s="8" t="n">
        <x:v>46303.27652777778</x:v>
      </x:c>
      <x:c r="J2243" s="8" t="n">
        <x:v>46303.276550925926</x:v>
      </x:c>
      <x:c r="K2243" s="8" t="n">
        <x:v>46303.27658564815</x:v>
      </x:c>
      <x:c r="L2243" s="2" t="str">
        <x:v>Sent</x:v>
      </x:c>
      <x:c r="M2243" s="2" t="n">
        <x:v>1</x:v>
      </x:c>
      <x:c r="N2243" s="2"/>
      <x:c r="O2243" s="2"/>
    </x:row>
    <x:row r="2244" ht="21" customHeight="1">
      <x:c r="A2244" s="2" t="str">
        <x:v>NT002243</x:v>
      </x:c>
      <x:c r="B2244" s="2" t="str">
        <x:v>EV002245</x:v>
      </x:c>
      <x:c r="C2244" s="2" t="str">
        <x:v>T20261008-1-3</x:v>
      </x:c>
      <x:c r="D2244" s="2" t="str">
        <x:v>ST086</x:v>
      </x:c>
      <x:c r="E2244" s="2" t="str">
        <x:v>G086</x:v>
      </x:c>
      <x:c r="F2244" s="2" t="str">
        <x:v>guardian086@example.invalid</x:v>
      </x:c>
      <x:c r="G2244" s="2" t="str">
        <x:v>Email</x:v>
      </x:c>
      <x:c r="H2244" s="2" t="str">
        <x:v>Boarded</x:v>
      </x:c>
      <x:c r="I2244" s="8" t="n">
        <x:v>46303.25225694444</x:v>
      </x:c>
      <x:c r="J2244" s="8" t="n">
        <x:v>46303.25228009259</x:v>
      </x:c>
      <x:c r="K2244" s="8" t="n">
        <x:v>46303.25231481481</x:v>
      </x:c>
      <x:c r="L2244" s="2" t="str">
        <x:v>Sent</x:v>
      </x:c>
      <x:c r="M2244" s="2" t="n">
        <x:v>1</x:v>
      </x:c>
      <x:c r="N2244" s="2"/>
      <x:c r="O2244" s="2"/>
    </x:row>
    <x:row r="2245" ht="21" customHeight="1">
      <x:c r="A2245" s="2" t="str">
        <x:v>NT002244</x:v>
      </x:c>
      <x:c r="B2245" s="2" t="str">
        <x:v>EV002246</x:v>
      </x:c>
      <x:c r="C2245" s="2" t="str">
        <x:v>T20261008-1-3</x:v>
      </x:c>
      <x:c r="D2245" s="2" t="str">
        <x:v>ST086</x:v>
      </x:c>
      <x:c r="E2245" s="2" t="str">
        <x:v>G086</x:v>
      </x:c>
      <x:c r="F2245" s="2" t="str">
        <x:v>guardian086@example.invalid</x:v>
      </x:c>
      <x:c r="G2245" s="2" t="str">
        <x:v>Email</x:v>
      </x:c>
      <x:c r="H2245" s="2" t="str">
        <x:v>School receipt</x:v>
      </x:c>
      <x:c r="I2245" s="8" t="n">
        <x:v>46303.276562499996</x:v>
      </x:c>
      <x:c r="J2245" s="8" t="n">
        <x:v>46303.27658564814</x:v>
      </x:c>
      <x:c r="K2245" s="8" t="n">
        <x:v>46303.276620370365</x:v>
      </x:c>
      <x:c r="L2245" s="2" t="str">
        <x:v>Sent</x:v>
      </x:c>
      <x:c r="M2245" s="2" t="n">
        <x:v>1</x:v>
      </x:c>
      <x:c r="N2245" s="2"/>
      <x:c r="O2245" s="2"/>
    </x:row>
    <x:row r="2246" ht="21" customHeight="1">
      <x:c r="A2246" s="2" t="str">
        <x:v>NT002245</x:v>
      </x:c>
      <x:c r="B2246" s="2" t="str">
        <x:v>EV002247</x:v>
      </x:c>
      <x:c r="C2246" s="2" t="str">
        <x:v>T20261008-1-3</x:v>
      </x:c>
      <x:c r="D2246" s="2" t="str">
        <x:v>ST087</x:v>
      </x:c>
      <x:c r="E2246" s="2" t="str">
        <x:v>G087</x:v>
      </x:c>
      <x:c r="F2246" s="2" t="str">
        <x:v>guardian087@example.invalid</x:v>
      </x:c>
      <x:c r="G2246" s="2" t="str">
        <x:v>Email</x:v>
      </x:c>
      <x:c r="H2246" s="2" t="str">
        <x:v>Boarded</x:v>
      </x:c>
      <x:c r="I2246" s="8" t="n">
        <x:v>46303.24256944445</x:v>
      </x:c>
      <x:c r="J2246" s="8" t="n">
        <x:v>46303.24259259259</x:v>
      </x:c>
      <x:c r="K2246" s="8" t="n">
        <x:v>46303.242627314816</x:v>
      </x:c>
      <x:c r="L2246" s="2" t="str">
        <x:v>Sent</x:v>
      </x:c>
      <x:c r="M2246" s="2" t="n">
        <x:v>1</x:v>
      </x:c>
      <x:c r="N2246" s="2"/>
      <x:c r="O2246" s="2"/>
    </x:row>
    <x:row r="2247" ht="21" customHeight="1">
      <x:c r="A2247" s="2" t="str">
        <x:v>NT002246</x:v>
      </x:c>
      <x:c r="B2247" s="2" t="str">
        <x:v>EV002248</x:v>
      </x:c>
      <x:c r="C2247" s="2" t="str">
        <x:v>T20261008-1-3</x:v>
      </x:c>
      <x:c r="D2247" s="2" t="str">
        <x:v>ST087</x:v>
      </x:c>
      <x:c r="E2247" s="2" t="str">
        <x:v>G087</x:v>
      </x:c>
      <x:c r="F2247" s="2" t="str">
        <x:v>guardian087@example.invalid</x:v>
      </x:c>
      <x:c r="G2247" s="2" t="str">
        <x:v>Email</x:v>
      </x:c>
      <x:c r="H2247" s="2" t="str">
        <x:v>School receipt</x:v>
      </x:c>
      <x:c r="I2247" s="8" t="n">
        <x:v>46303.27659722222</x:v>
      </x:c>
      <x:c r="J2247" s="8" t="n">
        <x:v>46303.276620370365</x:v>
      </x:c>
      <x:c r="K2247" s="8" t="n">
        <x:v>46303.27665509259</x:v>
      </x:c>
      <x:c r="L2247" s="2" t="str">
        <x:v>Sent</x:v>
      </x:c>
      <x:c r="M2247" s="2" t="n">
        <x:v>1</x:v>
      </x:c>
      <x:c r="N2247" s="2"/>
      <x:c r="O2247" s="2"/>
    </x:row>
    <x:row r="2248" ht="21" customHeight="1">
      <x:c r="A2248" s="2" t="str">
        <x:v>NT002247</x:v>
      </x:c>
      <x:c r="B2248" s="2" t="str">
        <x:v>EV002249</x:v>
      </x:c>
      <x:c r="C2248" s="2" t="str">
        <x:v>T20261008-1-3</x:v>
      </x:c>
      <x:c r="D2248" s="2" t="str">
        <x:v>ST088</x:v>
      </x:c>
      <x:c r="E2248" s="2" t="str">
        <x:v>G088</x:v>
      </x:c>
      <x:c r="F2248" s="2" t="str">
        <x:v>guardian088@example.invalid</x:v>
      </x:c>
      <x:c r="G2248" s="2" t="str">
        <x:v>Email</x:v>
      </x:c>
      <x:c r="H2248" s="2" t="str">
        <x:v>Boarded</x:v>
      </x:c>
      <x:c r="I2248" s="8" t="n">
        <x:v>46303.247465277775</x:v>
      </x:c>
      <x:c r="J2248" s="8" t="n">
        <x:v>46303.24748842592</x:v>
      </x:c>
      <x:c r="K2248" s="8" t="n">
        <x:v>46303.247523148144</x:v>
      </x:c>
      <x:c r="L2248" s="2" t="str">
        <x:v>Sent</x:v>
      </x:c>
      <x:c r="M2248" s="2" t="n">
        <x:v>1</x:v>
      </x:c>
      <x:c r="N2248" s="2"/>
      <x:c r="O2248" s="2"/>
    </x:row>
    <x:row r="2249" ht="21" customHeight="1">
      <x:c r="A2249" s="2" t="str">
        <x:v>NT002248</x:v>
      </x:c>
      <x:c r="B2249" s="2" t="str">
        <x:v>EV002250</x:v>
      </x:c>
      <x:c r="C2249" s="2" t="str">
        <x:v>T20261008-1-3</x:v>
      </x:c>
      <x:c r="D2249" s="2" t="str">
        <x:v>ST088</x:v>
      </x:c>
      <x:c r="E2249" s="2" t="str">
        <x:v>G088</x:v>
      </x:c>
      <x:c r="F2249" s="2" t="str">
        <x:v>guardian088@example.invalid</x:v>
      </x:c>
      <x:c r="G2249" s="2" t="str">
        <x:v>Email</x:v>
      </x:c>
      <x:c r="H2249" s="2" t="str">
        <x:v>School receipt</x:v>
      </x:c>
      <x:c r="I2249" s="8" t="n">
        <x:v>46303.27663194444</x:v>
      </x:c>
      <x:c r="J2249" s="8" t="n">
        <x:v>46303.27665509259</x:v>
      </x:c>
      <x:c r="K2249" s="8" t="n">
        <x:v>46303.27668981481</x:v>
      </x:c>
      <x:c r="L2249" s="2" t="str">
        <x:v>Sent</x:v>
      </x:c>
      <x:c r="M2249" s="2" t="n">
        <x:v>1</x:v>
      </x:c>
      <x:c r="N2249" s="2"/>
      <x:c r="O2249" s="2"/>
    </x:row>
    <x:row r="2250" ht="21" customHeight="1">
      <x:c r="A2250" s="2" t="str">
        <x:v>NT002249</x:v>
      </x:c>
      <x:c r="B2250" s="2" t="str">
        <x:v>EV002251</x:v>
      </x:c>
      <x:c r="C2250" s="2" t="str">
        <x:v>T20261008-1-3</x:v>
      </x:c>
      <x:c r="D2250" s="2" t="str">
        <x:v>ST089</x:v>
      </x:c>
      <x:c r="E2250" s="2" t="str">
        <x:v>G089</x:v>
      </x:c>
      <x:c r="F2250" s="2" t="str">
        <x:v>guardian089@example.invalid</x:v>
      </x:c>
      <x:c r="G2250" s="2" t="str">
        <x:v>Email</x:v>
      </x:c>
      <x:c r="H2250" s="2" t="str">
        <x:v>Boarded</x:v>
      </x:c>
      <x:c r="I2250" s="8" t="n">
        <x:v>46303.25236111111</x:v>
      </x:c>
      <x:c r="J2250" s="8" t="n">
        <x:v>46303.252384259256</x:v>
      </x:c>
      <x:c r="K2250" s="8" t="n">
        <x:v>46303.25241898148</x:v>
      </x:c>
      <x:c r="L2250" s="2" t="str">
        <x:v>Sent</x:v>
      </x:c>
      <x:c r="M2250" s="2" t="n">
        <x:v>1</x:v>
      </x:c>
      <x:c r="N2250" s="2"/>
      <x:c r="O2250" s="2"/>
    </x:row>
    <x:row r="2251" ht="21" customHeight="1">
      <x:c r="A2251" s="2" t="str">
        <x:v>NT002250</x:v>
      </x:c>
      <x:c r="B2251" s="2" t="str">
        <x:v>EV002252</x:v>
      </x:c>
      <x:c r="C2251" s="2" t="str">
        <x:v>T20261008-1-3</x:v>
      </x:c>
      <x:c r="D2251" s="2" t="str">
        <x:v>ST089</x:v>
      </x:c>
      <x:c r="E2251" s="2" t="str">
        <x:v>G089</x:v>
      </x:c>
      <x:c r="F2251" s="2" t="str">
        <x:v>guardian089@example.invalid</x:v>
      </x:c>
      <x:c r="G2251" s="2" t="str">
        <x:v>Email</x:v>
      </x:c>
      <x:c r="H2251" s="2" t="str">
        <x:v>School receipt</x:v>
      </x:c>
      <x:c r="I2251" s="8" t="n">
        <x:v>46303.276666666665</x:v>
      </x:c>
      <x:c r="J2251" s="8" t="n">
        <x:v>46303.27668981481</x:v>
      </x:c>
      <x:c r="K2251" s="8" t="n">
        <x:v>46303.276724537034</x:v>
      </x:c>
      <x:c r="L2251" s="2" t="str">
        <x:v>Sent</x:v>
      </x:c>
      <x:c r="M2251" s="2" t="n">
        <x:v>1</x:v>
      </x:c>
      <x:c r="N2251" s="2"/>
      <x:c r="O2251" s="2"/>
    </x:row>
    <x:row r="2252" ht="21" customHeight="1">
      <x:c r="A2252" s="2" t="str">
        <x:v>NT002251</x:v>
      </x:c>
      <x:c r="B2252" s="2" t="str">
        <x:v>EV002253</x:v>
      </x:c>
      <x:c r="C2252" s="2" t="str">
        <x:v>T20261008-1-3</x:v>
      </x:c>
      <x:c r="D2252" s="2" t="str">
        <x:v>ST090</x:v>
      </x:c>
      <x:c r="E2252" s="2" t="str">
        <x:v>G090</x:v>
      </x:c>
      <x:c r="F2252" s="2" t="str">
        <x:v>guardian090@example.invalid</x:v>
      </x:c>
      <x:c r="G2252" s="2" t="str">
        <x:v>Email</x:v>
      </x:c>
      <x:c r="H2252" s="2" t="str">
        <x:v>Boarded</x:v>
      </x:c>
      <x:c r="I2252" s="8" t="n">
        <x:v>46303.242673611116</x:v>
      </x:c>
      <x:c r="J2252" s="8" t="n">
        <x:v>46303.24269675926</x:v>
      </x:c>
      <x:c r="K2252" s="8" t="n">
        <x:v>46303.242731481485</x:v>
      </x:c>
      <x:c r="L2252" s="2" t="str">
        <x:v>Sent</x:v>
      </x:c>
      <x:c r="M2252" s="2" t="n">
        <x:v>1</x:v>
      </x:c>
      <x:c r="N2252" s="2"/>
      <x:c r="O2252" s="2"/>
    </x:row>
    <x:row r="2253" ht="21" customHeight="1">
      <x:c r="A2253" s="2" t="str">
        <x:v>NT002252</x:v>
      </x:c>
      <x:c r="B2253" s="2" t="str">
        <x:v>EV002254</x:v>
      </x:c>
      <x:c r="C2253" s="2" t="str">
        <x:v>T20261008-1-3</x:v>
      </x:c>
      <x:c r="D2253" s="2" t="str">
        <x:v>ST090</x:v>
      </x:c>
      <x:c r="E2253" s="2" t="str">
        <x:v>G090</x:v>
      </x:c>
      <x:c r="F2253" s="2" t="str">
        <x:v>guardian090@example.invalid</x:v>
      </x:c>
      <x:c r="G2253" s="2" t="str">
        <x:v>Email</x:v>
      </x:c>
      <x:c r="H2253" s="2" t="str">
        <x:v>School receipt</x:v>
      </x:c>
      <x:c r="I2253" s="8" t="n">
        <x:v>46303.27670138889</x:v>
      </x:c>
      <x:c r="J2253" s="8" t="n">
        <x:v>46303.276724537034</x:v>
      </x:c>
      <x:c r="K2253" s="8" t="n">
        <x:v>46303.27675925926</x:v>
      </x:c>
      <x:c r="L2253" s="2" t="str">
        <x:v>Sent</x:v>
      </x:c>
      <x:c r="M2253" s="2" t="n">
        <x:v>1</x:v>
      </x:c>
      <x:c r="N2253" s="2"/>
      <x:c r="O2253" s="2"/>
    </x:row>
    <x:row r="2254" ht="21" customHeight="1">
      <x:c r="A2254" s="2" t="str">
        <x:v>NT002253</x:v>
      </x:c>
      <x:c r="B2254" s="2" t="str">
        <x:v>EV002255</x:v>
      </x:c>
      <x:c r="C2254" s="2" t="str">
        <x:v>T20261008-1-3</x:v>
      </x:c>
      <x:c r="D2254" s="2" t="str">
        <x:v>ST091</x:v>
      </x:c>
      <x:c r="E2254" s="2" t="str">
        <x:v>G091</x:v>
      </x:c>
      <x:c r="F2254" s="2" t="str">
        <x:v>guardian091@example.invalid</x:v>
      </x:c>
      <x:c r="G2254" s="2" t="str">
        <x:v>Email</x:v>
      </x:c>
      <x:c r="H2254" s="2" t="str">
        <x:v>Boarded</x:v>
      </x:c>
      <x:c r="I2254" s="8" t="n">
        <x:v>46303.24722222222</x:v>
      </x:c>
      <x:c r="J2254" s="8" t="n">
        <x:v>46303.24724537037</x:v>
      </x:c>
      <x:c r="K2254" s="8" t="n">
        <x:v>46303.24728009259</x:v>
      </x:c>
      <x:c r="L2254" s="2" t="str">
        <x:v>Sent</x:v>
      </x:c>
      <x:c r="M2254" s="2" t="n">
        <x:v>1</x:v>
      </x:c>
      <x:c r="N2254" s="2"/>
      <x:c r="O2254" s="2"/>
    </x:row>
    <x:row r="2255" ht="21" customHeight="1">
      <x:c r="A2255" s="2" t="str">
        <x:v>NT002254</x:v>
      </x:c>
      <x:c r="B2255" s="2" t="str">
        <x:v>EV002256</x:v>
      </x:c>
      <x:c r="C2255" s="2" t="str">
        <x:v>T20261008-1-3</x:v>
      </x:c>
      <x:c r="D2255" s="2" t="str">
        <x:v>ST091</x:v>
      </x:c>
      <x:c r="E2255" s="2" t="str">
        <x:v>G091</x:v>
      </x:c>
      <x:c r="F2255" s="2" t="str">
        <x:v>guardian091@example.invalid</x:v>
      </x:c>
      <x:c r="G2255" s="2" t="str">
        <x:v>Email</x:v>
      </x:c>
      <x:c r="H2255" s="2" t="str">
        <x:v>School receipt</x:v>
      </x:c>
      <x:c r="I2255" s="8" t="n">
        <x:v>46303.27673611111</x:v>
      </x:c>
      <x:c r="J2255" s="8" t="n">
        <x:v>46303.27675925926</x:v>
      </x:c>
      <x:c r="K2255" s="8" t="n">
        <x:v>46303.27679398148</x:v>
      </x:c>
      <x:c r="L2255" s="2" t="str">
        <x:v>Sent</x:v>
      </x:c>
      <x:c r="M2255" s="2" t="n">
        <x:v>1</x:v>
      </x:c>
      <x:c r="N2255" s="2"/>
      <x:c r="O2255" s="2"/>
    </x:row>
    <x:row r="2256" ht="21" customHeight="1">
      <x:c r="A2256" s="2" t="str">
        <x:v>NT002255</x:v>
      </x:c>
      <x:c r="B2256" s="2" t="str">
        <x:v>EV002257</x:v>
      </x:c>
      <x:c r="C2256" s="2" t="str">
        <x:v>T20261008-1-3</x:v>
      </x:c>
      <x:c r="D2256" s="2" t="str">
        <x:v>ST092</x:v>
      </x:c>
      <x:c r="E2256" s="2" t="str">
        <x:v>G092</x:v>
      </x:c>
      <x:c r="F2256" s="2" t="str">
        <x:v>guardian092@example.invalid</x:v>
      </x:c>
      <x:c r="G2256" s="2" t="str">
        <x:v>Email</x:v>
      </x:c>
      <x:c r="H2256" s="2" t="str">
        <x:v>Boarded</x:v>
      </x:c>
      <x:c r="I2256" s="8" t="n">
        <x:v>46303.252118055556</x:v>
      </x:c>
      <x:c r="J2256" s="8" t="n">
        <x:v>46303.2521412037</x:v>
      </x:c>
      <x:c r="K2256" s="8" t="n">
        <x:v>46303.252175925925</x:v>
      </x:c>
      <x:c r="L2256" s="2" t="str">
        <x:v>Sent</x:v>
      </x:c>
      <x:c r="M2256" s="2" t="n">
        <x:v>1</x:v>
      </x:c>
      <x:c r="N2256" s="2"/>
      <x:c r="O2256" s="2"/>
    </x:row>
    <x:row r="2257" ht="21" customHeight="1">
      <x:c r="A2257" s="2" t="str">
        <x:v>NT002256</x:v>
      </x:c>
      <x:c r="B2257" s="2" t="str">
        <x:v>EV002258</x:v>
      </x:c>
      <x:c r="C2257" s="2" t="str">
        <x:v>T20261008-1-3</x:v>
      </x:c>
      <x:c r="D2257" s="2" t="str">
        <x:v>ST092</x:v>
      </x:c>
      <x:c r="E2257" s="2" t="str">
        <x:v>G092</x:v>
      </x:c>
      <x:c r="F2257" s="2" t="str">
        <x:v>guardian092@example.invalid</x:v>
      </x:c>
      <x:c r="G2257" s="2" t="str">
        <x:v>Email</x:v>
      </x:c>
      <x:c r="H2257" s="2" t="str">
        <x:v>School receipt</x:v>
      </x:c>
      <x:c r="I2257" s="8" t="n">
        <x:v>46303.276770833334</x:v>
      </x:c>
      <x:c r="J2257" s="8" t="n">
        <x:v>46303.27679398148</x:v>
      </x:c>
      <x:c r="K2257" s="8" t="n">
        <x:v>46303.2768287037</x:v>
      </x:c>
      <x:c r="L2257" s="2" t="str">
        <x:v>Sent</x:v>
      </x:c>
      <x:c r="M2257" s="2" t="n">
        <x:v>1</x:v>
      </x:c>
      <x:c r="N2257" s="2"/>
      <x:c r="O2257" s="2"/>
    </x:row>
    <x:row r="2258" ht="21" customHeight="1">
      <x:c r="A2258" s="2" t="str">
        <x:v>NT002257</x:v>
      </x:c>
      <x:c r="B2258" s="2" t="str">
        <x:v>EV002259</x:v>
      </x:c>
      <x:c r="C2258" s="2" t="str">
        <x:v>T20261008-1-3</x:v>
      </x:c>
      <x:c r="D2258" s="2" t="str">
        <x:v>ST093</x:v>
      </x:c>
      <x:c r="E2258" s="2" t="str">
        <x:v>G093</x:v>
      </x:c>
      <x:c r="F2258" s="2" t="str">
        <x:v>guardian093@example.invalid</x:v>
      </x:c>
      <x:c r="G2258" s="2" t="str">
        <x:v>Email</x:v>
      </x:c>
      <x:c r="H2258" s="2" t="str">
        <x:v>Boarded</x:v>
      </x:c>
      <x:c r="I2258" s="8" t="n">
        <x:v>46303.24243055556</x:v>
      </x:c>
      <x:c r="J2258" s="8" t="n">
        <x:v>46303.24245370371</x:v>
      </x:c>
      <x:c r="K2258" s="8" t="n">
        <x:v>46303.24248842593</x:v>
      </x:c>
      <x:c r="L2258" s="2" t="str">
        <x:v>Sent</x:v>
      </x:c>
      <x:c r="M2258" s="2" t="n">
        <x:v>1</x:v>
      </x:c>
      <x:c r="N2258" s="2"/>
      <x:c r="O2258" s="2"/>
    </x:row>
    <x:row r="2259" ht="21" customHeight="1">
      <x:c r="A2259" s="2" t="str">
        <x:v>NT002258</x:v>
      </x:c>
      <x:c r="B2259" s="2" t="str">
        <x:v>EV002260</x:v>
      </x:c>
      <x:c r="C2259" s="2" t="str">
        <x:v>T20261008-1-3</x:v>
      </x:c>
      <x:c r="D2259" s="2" t="str">
        <x:v>ST093</x:v>
      </x:c>
      <x:c r="E2259" s="2" t="str">
        <x:v>G093</x:v>
      </x:c>
      <x:c r="F2259" s="2" t="str">
        <x:v>guardian093@example.invalid</x:v>
      </x:c>
      <x:c r="G2259" s="2" t="str">
        <x:v>Email</x:v>
      </x:c>
      <x:c r="H2259" s="2" t="str">
        <x:v>School receipt</x:v>
      </x:c>
      <x:c r="I2259" s="8" t="n">
        <x:v>46303.27680555556</x:v>
      </x:c>
      <x:c r="J2259" s="8" t="n">
        <x:v>46303.2768287037</x:v>
      </x:c>
      <x:c r="K2259" s="8" t="n">
        <x:v>46303.27686342593</x:v>
      </x:c>
      <x:c r="L2259" s="2" t="str">
        <x:v>Sent</x:v>
      </x:c>
      <x:c r="M2259" s="2" t="n">
        <x:v>1</x:v>
      </x:c>
      <x:c r="N2259" s="2"/>
      <x:c r="O2259" s="2"/>
    </x:row>
    <x:row r="2260" ht="21" customHeight="1">
      <x:c r="A2260" s="2" t="str">
        <x:v>NT002259</x:v>
      </x:c>
      <x:c r="B2260" s="2" t="str">
        <x:v>EV002261</x:v>
      </x:c>
      <x:c r="C2260" s="2" t="str">
        <x:v>T20261008-1-3</x:v>
      </x:c>
      <x:c r="D2260" s="2" t="str">
        <x:v>ST094</x:v>
      </x:c>
      <x:c r="E2260" s="2" t="str">
        <x:v>G094</x:v>
      </x:c>
      <x:c r="F2260" s="2" t="str">
        <x:v>guardian094@example.invalid</x:v>
      </x:c>
      <x:c r="G2260" s="2" t="str">
        <x:v>Email</x:v>
      </x:c>
      <x:c r="H2260" s="2" t="str">
        <x:v>Boarded</x:v>
      </x:c>
      <x:c r="I2260" s="8" t="n">
        <x:v>46303.24732638889</x:v>
      </x:c>
      <x:c r="J2260" s="8" t="n">
        <x:v>46303.247349537036</x:v>
      </x:c>
      <x:c r="K2260" s="8" t="n">
        <x:v>46303.24738425926</x:v>
      </x:c>
      <x:c r="L2260" s="2" t="str">
        <x:v>Sent</x:v>
      </x:c>
      <x:c r="M2260" s="2" t="n">
        <x:v>1</x:v>
      </x:c>
      <x:c r="N2260" s="2"/>
      <x:c r="O2260" s="2"/>
    </x:row>
    <x:row r="2261" ht="21" customHeight="1">
      <x:c r="A2261" s="2" t="str">
        <x:v>NT002260</x:v>
      </x:c>
      <x:c r="B2261" s="2" t="str">
        <x:v>EV002262</x:v>
      </x:c>
      <x:c r="C2261" s="2" t="str">
        <x:v>T20261008-1-3</x:v>
      </x:c>
      <x:c r="D2261" s="2" t="str">
        <x:v>ST094</x:v>
      </x:c>
      <x:c r="E2261" s="2" t="str">
        <x:v>G094</x:v>
      </x:c>
      <x:c r="F2261" s="2" t="str">
        <x:v>guardian094@example.invalid</x:v>
      </x:c>
      <x:c r="G2261" s="2" t="str">
        <x:v>Email</x:v>
      </x:c>
      <x:c r="H2261" s="2" t="str">
        <x:v>School receipt</x:v>
      </x:c>
      <x:c r="I2261" s="8" t="n">
        <x:v>46303.27684027777</x:v>
      </x:c>
      <x:c r="J2261" s="8" t="n">
        <x:v>46303.27686342592</x:v>
      </x:c>
      <x:c r="K2261" s="8" t="n">
        <x:v>46303.27689814814</x:v>
      </x:c>
      <x:c r="L2261" s="2" t="str">
        <x:v>Sent</x:v>
      </x:c>
      <x:c r="M2261" s="2" t="n">
        <x:v>1</x:v>
      </x:c>
      <x:c r="N2261" s="2"/>
      <x:c r="O2261" s="2"/>
    </x:row>
    <x:row r="2262" ht="21" customHeight="1">
      <x:c r="A2262" s="2" t="str">
        <x:v>NT002261</x:v>
      </x:c>
      <x:c r="B2262" s="2" t="str">
        <x:v>EV002263</x:v>
      </x:c>
      <x:c r="C2262" s="2" t="str">
        <x:v>T20261008-1-3</x:v>
      </x:c>
      <x:c r="D2262" s="2" t="str">
        <x:v>ST095</x:v>
      </x:c>
      <x:c r="E2262" s="2" t="str">
        <x:v>G095</x:v>
      </x:c>
      <x:c r="F2262" s="2" t="str">
        <x:v>guardian095@example.invalid</x:v>
      </x:c>
      <x:c r="G2262" s="2" t="str">
        <x:v>Email</x:v>
      </x:c>
      <x:c r="H2262" s="2" t="str">
        <x:v>Boarded</x:v>
      </x:c>
      <x:c r="I2262" s="8" t="n">
        <x:v>46303.252222222225</x:v>
      </x:c>
      <x:c r="J2262" s="8" t="n">
        <x:v>46303.25224537037</x:v>
      </x:c>
      <x:c r="K2262" s="8" t="n">
        <x:v>46303.252280092594</x:v>
      </x:c>
      <x:c r="L2262" s="2" t="str">
        <x:v>Sent</x:v>
      </x:c>
      <x:c r="M2262" s="2" t="n">
        <x:v>1</x:v>
      </x:c>
      <x:c r="N2262" s="2"/>
      <x:c r="O2262" s="2"/>
    </x:row>
    <x:row r="2263" ht="21" customHeight="1">
      <x:c r="A2263" s="2" t="str">
        <x:v>NT002262</x:v>
      </x:c>
      <x:c r="B2263" s="2" t="str">
        <x:v>EV002264</x:v>
      </x:c>
      <x:c r="C2263" s="2" t="str">
        <x:v>T20261008-1-3</x:v>
      </x:c>
      <x:c r="D2263" s="2" t="str">
        <x:v>ST095</x:v>
      </x:c>
      <x:c r="E2263" s="2" t="str">
        <x:v>G095</x:v>
      </x:c>
      <x:c r="F2263" s="2" t="str">
        <x:v>guardian095@example.invalid</x:v>
      </x:c>
      <x:c r="G2263" s="2" t="str">
        <x:v>Email</x:v>
      </x:c>
      <x:c r="H2263" s="2" t="str">
        <x:v>School receipt</x:v>
      </x:c>
      <x:c r="I2263" s="8" t="n">
        <x:v>46303.276874999996</x:v>
      </x:c>
      <x:c r="J2263" s="8" t="n">
        <x:v>46303.27689814814</x:v>
      </x:c>
      <x:c r="K2263" s="8" t="n">
        <x:v>46303.276932870365</x:v>
      </x:c>
      <x:c r="L2263" s="2" t="str">
        <x:v>Sent</x:v>
      </x:c>
      <x:c r="M2263" s="2" t="n">
        <x:v>1</x:v>
      </x:c>
      <x:c r="N2263" s="2"/>
      <x:c r="O2263" s="2"/>
    </x:row>
    <x:row r="2264" ht="21" customHeight="1">
      <x:c r="A2264" s="2" t="str">
        <x:v>NT002263</x:v>
      </x:c>
      <x:c r="B2264" s="2" t="str">
        <x:v>EV002265</x:v>
      </x:c>
      <x:c r="C2264" s="2" t="str">
        <x:v>T20261008-1-3</x:v>
      </x:c>
      <x:c r="D2264" s="2" t="str">
        <x:v>ST096</x:v>
      </x:c>
      <x:c r="E2264" s="2" t="str">
        <x:v>G096</x:v>
      </x:c>
      <x:c r="F2264" s="2" t="str">
        <x:v>guardian096@example.invalid</x:v>
      </x:c>
      <x:c r="G2264" s="2" t="str">
        <x:v>Email</x:v>
      </x:c>
      <x:c r="H2264" s="2" t="str">
        <x:v>Boarded</x:v>
      </x:c>
      <x:c r="I2264" s="8" t="n">
        <x:v>46303.24253472222</x:v>
      </x:c>
      <x:c r="J2264" s="8" t="n">
        <x:v>46303.24255787037</x:v>
      </x:c>
      <x:c r="K2264" s="8" t="n">
        <x:v>46303.24259259259</x:v>
      </x:c>
      <x:c r="L2264" s="2" t="str">
        <x:v>Sent</x:v>
      </x:c>
      <x:c r="M2264" s="2" t="n">
        <x:v>1</x:v>
      </x:c>
      <x:c r="N2264" s="2"/>
      <x:c r="O2264" s="2"/>
    </x:row>
    <x:row r="2265" ht="21" customHeight="1">
      <x:c r="A2265" s="2" t="str">
        <x:v>NT002264</x:v>
      </x:c>
      <x:c r="B2265" s="2" t="str">
        <x:v>EV002266</x:v>
      </x:c>
      <x:c r="C2265" s="2" t="str">
        <x:v>T20261008-1-3</x:v>
      </x:c>
      <x:c r="D2265" s="2" t="str">
        <x:v>ST096</x:v>
      </x:c>
      <x:c r="E2265" s="2" t="str">
        <x:v>G096</x:v>
      </x:c>
      <x:c r="F2265" s="2" t="str">
        <x:v>guardian096@example.invalid</x:v>
      </x:c>
      <x:c r="G2265" s="2" t="str">
        <x:v>Email</x:v>
      </x:c>
      <x:c r="H2265" s="2" t="str">
        <x:v>School receipt</x:v>
      </x:c>
      <x:c r="I2265" s="8" t="n">
        <x:v>46303.27690972222</x:v>
      </x:c>
      <x:c r="J2265" s="8" t="n">
        <x:v>46303.276932870365</x:v>
      </x:c>
      <x:c r="K2265" s="8" t="n">
        <x:v>46303.27696759259</x:v>
      </x:c>
      <x:c r="L2265" s="2" t="str">
        <x:v>Sent</x:v>
      </x:c>
      <x:c r="M2265" s="2" t="n">
        <x:v>1</x:v>
      </x:c>
      <x:c r="N2265" s="2"/>
      <x:c r="O2265" s="2"/>
    </x:row>
    <x:row r="2266" ht="21" customHeight="1">
      <x:c r="A2266" s="2" t="str">
        <x:v>NT002265</x:v>
      </x:c>
      <x:c r="B2266" s="2" t="str">
        <x:v>EV002267</x:v>
      </x:c>
      <x:c r="C2266" s="2" t="str">
        <x:v>T20261008-1-3</x:v>
      </x:c>
      <x:c r="D2266" s="2" t="str">
        <x:v>ST097</x:v>
      </x:c>
      <x:c r="E2266" s="2" t="str">
        <x:v>G097</x:v>
      </x:c>
      <x:c r="F2266" s="2" t="str">
        <x:v>guardian097@example.invalid</x:v>
      </x:c>
      <x:c r="G2266" s="2" t="str">
        <x:v>Email</x:v>
      </x:c>
      <x:c r="H2266" s="2" t="str">
        <x:v>Boarded</x:v>
      </x:c>
      <x:c r="I2266" s="8" t="n">
        <x:v>46303.24743055555</x:v>
      </x:c>
      <x:c r="J2266" s="8" t="n">
        <x:v>46303.2474537037</x:v>
      </x:c>
      <x:c r="K2266" s="8" t="n">
        <x:v>46303.24748842592</x:v>
      </x:c>
      <x:c r="L2266" s="2" t="str">
        <x:v>Sent</x:v>
      </x:c>
      <x:c r="M2266" s="2" t="n">
        <x:v>1</x:v>
      </x:c>
      <x:c r="N2266" s="2"/>
      <x:c r="O2266" s="2"/>
    </x:row>
    <x:row r="2267" ht="21" customHeight="1">
      <x:c r="A2267" s="2" t="str">
        <x:v>NT002266</x:v>
      </x:c>
      <x:c r="B2267" s="2" t="str">
        <x:v>EV002268</x:v>
      </x:c>
      <x:c r="C2267" s="2" t="str">
        <x:v>T20261008-1-3</x:v>
      </x:c>
      <x:c r="D2267" s="2" t="str">
        <x:v>ST097</x:v>
      </x:c>
      <x:c r="E2267" s="2" t="str">
        <x:v>G097</x:v>
      </x:c>
      <x:c r="F2267" s="2" t="str">
        <x:v>guardian097@example.invalid</x:v>
      </x:c>
      <x:c r="G2267" s="2" t="str">
        <x:v>Email</x:v>
      </x:c>
      <x:c r="H2267" s="2" t="str">
        <x:v>School receipt</x:v>
      </x:c>
      <x:c r="I2267" s="8" t="n">
        <x:v>46303.27694444444</x:v>
      </x:c>
      <x:c r="J2267" s="8" t="n">
        <x:v>46303.27696759259</x:v>
      </x:c>
      <x:c r="K2267" s="8" t="n">
        <x:v>46303.27700231481</x:v>
      </x:c>
      <x:c r="L2267" s="2" t="str">
        <x:v>Sent</x:v>
      </x:c>
      <x:c r="M2267" s="2" t="n">
        <x:v>1</x:v>
      </x:c>
      <x:c r="N2267" s="2"/>
      <x:c r="O2267" s="2"/>
    </x:row>
    <x:row r="2268" ht="21" customHeight="1">
      <x:c r="A2268" s="2" t="str">
        <x:v>NT002267</x:v>
      </x:c>
      <x:c r="B2268" s="2" t="str">
        <x:v>EV002269</x:v>
      </x:c>
      <x:c r="C2268" s="2" t="str">
        <x:v>T20261008-1-3</x:v>
      </x:c>
      <x:c r="D2268" s="2" t="str">
        <x:v>ST098</x:v>
      </x:c>
      <x:c r="E2268" s="2" t="str">
        <x:v>G098</x:v>
      </x:c>
      <x:c r="F2268" s="2" t="str">
        <x:v>guardian098@example.invalid</x:v>
      </x:c>
      <x:c r="G2268" s="2" t="str">
        <x:v>Email</x:v>
      </x:c>
      <x:c r="H2268" s="2" t="str">
        <x:v>Boarded</x:v>
      </x:c>
      <x:c r="I2268" s="8" t="n">
        <x:v>46303.25232638889</x:v>
      </x:c>
      <x:c r="J2268" s="8" t="n">
        <x:v>46303.25234953703</x:v>
      </x:c>
      <x:c r="K2268" s="8" t="n">
        <x:v>46303.252384259256</x:v>
      </x:c>
      <x:c r="L2268" s="2" t="str">
        <x:v>Sent</x:v>
      </x:c>
      <x:c r="M2268" s="2" t="n">
        <x:v>1</x:v>
      </x:c>
      <x:c r="N2268" s="2"/>
      <x:c r="O2268" s="2"/>
    </x:row>
    <x:row r="2269" ht="21" customHeight="1">
      <x:c r="A2269" s="2" t="str">
        <x:v>NT002268</x:v>
      </x:c>
      <x:c r="B2269" s="2" t="str">
        <x:v>EV002270</x:v>
      </x:c>
      <x:c r="C2269" s="2" t="str">
        <x:v>T20261008-1-3</x:v>
      </x:c>
      <x:c r="D2269" s="2" t="str">
        <x:v>ST098</x:v>
      </x:c>
      <x:c r="E2269" s="2" t="str">
        <x:v>G098</x:v>
      </x:c>
      <x:c r="F2269" s="2" t="str">
        <x:v>guardian098@example.invalid</x:v>
      </x:c>
      <x:c r="G2269" s="2" t="str">
        <x:v>Email</x:v>
      </x:c>
      <x:c r="H2269" s="2" t="str">
        <x:v>School receipt</x:v>
      </x:c>
      <x:c r="I2269" s="8" t="n">
        <x:v>46303.276979166665</x:v>
      </x:c>
      <x:c r="J2269" s="8" t="n">
        <x:v>46303.27700231481</x:v>
      </x:c>
      <x:c r="K2269" s="8" t="n">
        <x:v>46303.277037037034</x:v>
      </x:c>
      <x:c r="L2269" s="2" t="str">
        <x:v>Sent</x:v>
      </x:c>
      <x:c r="M2269" s="2" t="n">
        <x:v>1</x:v>
      </x:c>
      <x:c r="N2269" s="2"/>
      <x:c r="O2269" s="2"/>
    </x:row>
    <x:row r="2270" ht="21" customHeight="1">
      <x:c r="A2270" s="2" t="str">
        <x:v>NT002269</x:v>
      </x:c>
      <x:c r="B2270" s="2" t="str">
        <x:v>EV002271</x:v>
      </x:c>
      <x:c r="C2270" s="2" t="str">
        <x:v>T20261008-1-3</x:v>
      </x:c>
      <x:c r="D2270" s="2" t="str">
        <x:v>ST099</x:v>
      </x:c>
      <x:c r="E2270" s="2" t="str">
        <x:v>G099</x:v>
      </x:c>
      <x:c r="F2270" s="2" t="str">
        <x:v>guardian099@example.invalid</x:v>
      </x:c>
      <x:c r="G2270" s="2" t="str">
        <x:v>Email</x:v>
      </x:c>
      <x:c r="H2270" s="2" t="str">
        <x:v>Boarded</x:v>
      </x:c>
      <x:c r="I2270" s="8" t="n">
        <x:v>46303.24263888889</x:v>
      </x:c>
      <x:c r="J2270" s="8" t="n">
        <x:v>46303.24266203704</x:v>
      </x:c>
      <x:c r="K2270" s="8" t="n">
        <x:v>46303.24269675926</x:v>
      </x:c>
      <x:c r="L2270" s="2" t="str">
        <x:v>Sent</x:v>
      </x:c>
      <x:c r="M2270" s="2" t="n">
        <x:v>1</x:v>
      </x:c>
      <x:c r="N2270" s="2"/>
      <x:c r="O2270" s="2"/>
    </x:row>
    <x:row r="2271" ht="21" customHeight="1">
      <x:c r="A2271" s="2" t="str">
        <x:v>NT002270</x:v>
      </x:c>
      <x:c r="B2271" s="2" t="str">
        <x:v>EV002272</x:v>
      </x:c>
      <x:c r="C2271" s="2" t="str">
        <x:v>T20261008-1-3</x:v>
      </x:c>
      <x:c r="D2271" s="2" t="str">
        <x:v>ST099</x:v>
      </x:c>
      <x:c r="E2271" s="2" t="str">
        <x:v>G099</x:v>
      </x:c>
      <x:c r="F2271" s="2" t="str">
        <x:v>guardian099@example.invalid</x:v>
      </x:c>
      <x:c r="G2271" s="2" t="str">
        <x:v>Email</x:v>
      </x:c>
      <x:c r="H2271" s="2" t="str">
        <x:v>School receipt</x:v>
      </x:c>
      <x:c r="I2271" s="8" t="n">
        <x:v>46303.27701388889</x:v>
      </x:c>
      <x:c r="J2271" s="8" t="n">
        <x:v>46303.277037037034</x:v>
      </x:c>
      <x:c r="K2271" s="8" t="n">
        <x:v>46303.27707175926</x:v>
      </x:c>
      <x:c r="L2271" s="2" t="str">
        <x:v>Sent</x:v>
      </x:c>
      <x:c r="M2271" s="2" t="n">
        <x:v>1</x:v>
      </x:c>
      <x:c r="N2271" s="2"/>
      <x:c r="O2271" s="2"/>
    </x:row>
    <x:row r="2272" ht="21" customHeight="1">
      <x:c r="A2272" s="2" t="str">
        <x:v>NT002271</x:v>
      </x:c>
      <x:c r="B2272" s="2" t="str">
        <x:v>EV002273</x:v>
      </x:c>
      <x:c r="C2272" s="2" t="str">
        <x:v>T20261008-1-3</x:v>
      </x:c>
      <x:c r="D2272" s="2" t="str">
        <x:v>ST100</x:v>
      </x:c>
      <x:c r="E2272" s="2" t="str">
        <x:v>G100</x:v>
      </x:c>
      <x:c r="F2272" s="2" t="str">
        <x:v>guardian100@example.invalid</x:v>
      </x:c>
      <x:c r="G2272" s="2" t="str">
        <x:v>Email</x:v>
      </x:c>
      <x:c r="H2272" s="2" t="str">
        <x:v>Boarded</x:v>
      </x:c>
      <x:c r="I2272" s="8" t="n">
        <x:v>46303.24753472222</x:v>
      </x:c>
      <x:c r="J2272" s="8" t="n">
        <x:v>46303.24755787037</x:v>
      </x:c>
      <x:c r="K2272" s="8" t="n">
        <x:v>46303.24759259259</x:v>
      </x:c>
      <x:c r="L2272" s="2" t="str">
        <x:v>Sent</x:v>
      </x:c>
      <x:c r="M2272" s="2" t="n">
        <x:v>1</x:v>
      </x:c>
      <x:c r="N2272" s="2"/>
      <x:c r="O2272" s="2"/>
    </x:row>
    <x:row r="2273" ht="21" customHeight="1">
      <x:c r="A2273" s="2" t="str">
        <x:v>NT002272</x:v>
      </x:c>
      <x:c r="B2273" s="2" t="str">
        <x:v>EV002274</x:v>
      </x:c>
      <x:c r="C2273" s="2" t="str">
        <x:v>T20261008-1-3</x:v>
      </x:c>
      <x:c r="D2273" s="2" t="str">
        <x:v>ST100</x:v>
      </x:c>
      <x:c r="E2273" s="2" t="str">
        <x:v>G100</x:v>
      </x:c>
      <x:c r="F2273" s="2" t="str">
        <x:v>guardian100@example.invalid</x:v>
      </x:c>
      <x:c r="G2273" s="2" t="str">
        <x:v>Email</x:v>
      </x:c>
      <x:c r="H2273" s="2" t="str">
        <x:v>School receipt</x:v>
      </x:c>
      <x:c r="I2273" s="8" t="n">
        <x:v>46303.27704861111</x:v>
      </x:c>
      <x:c r="J2273" s="8" t="n">
        <x:v>46303.27707175926</x:v>
      </x:c>
      <x:c r="K2273" s="8" t="n">
        <x:v>46303.27710648148</x:v>
      </x:c>
      <x:c r="L2273" s="2" t="str">
        <x:v>Sent</x:v>
      </x:c>
      <x:c r="M2273" s="2" t="n">
        <x:v>1</x:v>
      </x:c>
      <x:c r="N2273" s="2"/>
      <x:c r="O2273" s="2"/>
    </x:row>
    <x:row r="2274" ht="21" customHeight="1">
      <x:c r="A2274" s="2" t="str">
        <x:v>NT002273</x:v>
      </x:c>
      <x:c r="B2274" s="2" t="str">
        <x:v>EV002275</x:v>
      </x:c>
      <x:c r="C2274" s="2" t="str">
        <x:v>T20261008-2-3</x:v>
      </x:c>
      <x:c r="D2274" s="2" t="str">
        <x:v>ST081</x:v>
      </x:c>
      <x:c r="E2274" s="2" t="str">
        <x:v>G081</x:v>
      </x:c>
      <x:c r="F2274" s="2" t="str">
        <x:v>guardian081@example.invalid</x:v>
      </x:c>
      <x:c r="G2274" s="2" t="str">
        <x:v>Email</x:v>
      </x:c>
      <x:c r="H2274" s="2" t="str">
        <x:v>Boarded</x:v>
      </x:c>
      <x:c r="I2274" s="8" t="n">
        <x:v>46303.4375</x:v>
      </x:c>
      <x:c r="J2274" s="8" t="n">
        <x:v>46303.437523148146</x:v>
      </x:c>
      <x:c r="K2274" s="8" t="n">
        <x:v>46303.43755787037</x:v>
      </x:c>
      <x:c r="L2274" s="2" t="str">
        <x:v>Sent</x:v>
      </x:c>
      <x:c r="M2274" s="2" t="n">
        <x:v>1</x:v>
      </x:c>
      <x:c r="N2274" s="2"/>
      <x:c r="O2274" s="2"/>
    </x:row>
    <x:row r="2275" ht="21" customHeight="1">
      <x:c r="A2275" s="2" t="str">
        <x:v>NT002274</x:v>
      </x:c>
      <x:c r="B2275" s="2" t="str">
        <x:v>EV002276</x:v>
      </x:c>
      <x:c r="C2275" s="2" t="str">
        <x:v>T20261008-2-3</x:v>
      </x:c>
      <x:c r="D2275" s="2" t="str">
        <x:v>ST081</x:v>
      </x:c>
      <x:c r="E2275" s="2" t="str">
        <x:v>G081</x:v>
      </x:c>
      <x:c r="F2275" s="2" t="str">
        <x:v>guardian081@example.invalid</x:v>
      </x:c>
      <x:c r="G2275" s="2" t="str">
        <x:v>Email</x:v>
      </x:c>
      <x:c r="H2275" s="2" t="str">
        <x:v>Authorized release</x:v>
      </x:c>
      <x:c r="I2275" s="8" t="n">
        <x:v>46303.44930555555</x:v>
      </x:c>
      <x:c r="J2275" s="8" t="n">
        <x:v>46303.4493287037</x:v>
      </x:c>
      <x:c r="K2275" s="8" t="n">
        <x:v>46303.44936342592</x:v>
      </x:c>
      <x:c r="L2275" s="2" t="str">
        <x:v>Sent</x:v>
      </x:c>
      <x:c r="M2275" s="2" t="n">
        <x:v>1</x:v>
      </x:c>
      <x:c r="N2275" s="2"/>
      <x:c r="O2275" s="2"/>
    </x:row>
    <x:row r="2276" ht="21" customHeight="1">
      <x:c r="A2276" s="2" t="str">
        <x:v>NT002275</x:v>
      </x:c>
      <x:c r="B2276" s="2" t="str">
        <x:v>EV002277</x:v>
      </x:c>
      <x:c r="C2276" s="2" t="str">
        <x:v>T20261008-2-3</x:v>
      </x:c>
      <x:c r="D2276" s="2" t="str">
        <x:v>ST082</x:v>
      </x:c>
      <x:c r="E2276" s="2" t="str">
        <x:v>G082</x:v>
      </x:c>
      <x:c r="F2276" s="2" t="str">
        <x:v>guardian082@example.invalid</x:v>
      </x:c>
      <x:c r="G2276" s="2" t="str">
        <x:v>Email</x:v>
      </x:c>
      <x:c r="H2276" s="2" t="str">
        <x:v>Boarded</x:v>
      </x:c>
      <x:c r="I2276" s="8" t="n">
        <x:v>46303.43753472222</x:v>
      </x:c>
      <x:c r="J2276" s="8" t="n">
        <x:v>46303.43755787037</x:v>
      </x:c>
      <x:c r="K2276" s="8" t="n">
        <x:v>46303.43759259259</x:v>
      </x:c>
      <x:c r="L2276" s="2" t="str">
        <x:v>Sent</x:v>
      </x:c>
      <x:c r="M2276" s="2" t="n">
        <x:v>1</x:v>
      </x:c>
      <x:c r="N2276" s="2"/>
      <x:c r="O2276" s="2"/>
    </x:row>
    <x:row r="2277" ht="21" customHeight="1">
      <x:c r="A2277" s="2" t="str">
        <x:v>NT002276</x:v>
      </x:c>
      <x:c r="B2277" s="2" t="str">
        <x:v>EV002278</x:v>
      </x:c>
      <x:c r="C2277" s="2" t="str">
        <x:v>T20261008-2-3</x:v>
      </x:c>
      <x:c r="D2277" s="2" t="str">
        <x:v>ST082</x:v>
      </x:c>
      <x:c r="E2277" s="2" t="str">
        <x:v>G082</x:v>
      </x:c>
      <x:c r="F2277" s="2" t="str">
        <x:v>guardian082@example.invalid</x:v>
      </x:c>
      <x:c r="G2277" s="2" t="str">
        <x:v>Email</x:v>
      </x:c>
      <x:c r="H2277" s="2" t="str">
        <x:v>Authorized release</x:v>
      </x:c>
      <x:c r="I2277" s="8" t="n">
        <x:v>46303.45350694445</x:v>
      </x:c>
      <x:c r="J2277" s="8" t="n">
        <x:v>46303.45353009259</x:v>
      </x:c>
      <x:c r="K2277" s="8" t="n">
        <x:v>46303.453564814816</x:v>
      </x:c>
      <x:c r="L2277" s="2" t="str">
        <x:v>Sent</x:v>
      </x:c>
      <x:c r="M2277" s="2" t="n">
        <x:v>1</x:v>
      </x:c>
      <x:c r="N2277" s="2"/>
      <x:c r="O2277" s="2"/>
    </x:row>
    <x:row r="2278" ht="21" customHeight="1">
      <x:c r="A2278" s="2" t="str">
        <x:v>NT002277</x:v>
      </x:c>
      <x:c r="B2278" s="2" t="str">
        <x:v>EV002279</x:v>
      </x:c>
      <x:c r="C2278" s="2" t="str">
        <x:v>T20261008-2-3</x:v>
      </x:c>
      <x:c r="D2278" s="2" t="str">
        <x:v>ST083</x:v>
      </x:c>
      <x:c r="E2278" s="2" t="str">
        <x:v>G083</x:v>
      </x:c>
      <x:c r="F2278" s="2" t="str">
        <x:v>guardian083@example.invalid</x:v>
      </x:c>
      <x:c r="G2278" s="2" t="str">
        <x:v>Email</x:v>
      </x:c>
      <x:c r="H2278" s="2" t="str">
        <x:v>Boarded</x:v>
      </x:c>
      <x:c r="I2278" s="8" t="n">
        <x:v>46303.437569444446</x:v>
      </x:c>
      <x:c r="J2278" s="8" t="n">
        <x:v>46303.43759259259</x:v>
      </x:c>
      <x:c r="K2278" s="8" t="n">
        <x:v>46303.437627314815</x:v>
      </x:c>
      <x:c r="L2278" s="2" t="str">
        <x:v>Sent</x:v>
      </x:c>
      <x:c r="M2278" s="2" t="n">
        <x:v>1</x:v>
      </x:c>
      <x:c r="N2278" s="2"/>
      <x:c r="O2278" s="2"/>
    </x:row>
    <x:row r="2279" ht="21" customHeight="1">
      <x:c r="A2279" s="2" t="str">
        <x:v>NT002278</x:v>
      </x:c>
      <x:c r="B2279" s="2" t="str">
        <x:v>EV002280</x:v>
      </x:c>
      <x:c r="C2279" s="2" t="str">
        <x:v>T20261008-2-3</x:v>
      </x:c>
      <x:c r="D2279" s="2" t="str">
        <x:v>ST083</x:v>
      </x:c>
      <x:c r="E2279" s="2" t="str">
        <x:v>G083</x:v>
      </x:c>
      <x:c r="F2279" s="2" t="str">
        <x:v>guardian083@example.invalid</x:v>
      </x:c>
      <x:c r="G2279" s="2" t="str">
        <x:v>Email</x:v>
      </x:c>
      <x:c r="H2279" s="2" t="str">
        <x:v>Authorized release</x:v>
      </x:c>
      <x:c r="I2279" s="8" t="n">
        <x:v>46303.457708333335</x:v>
      </x:c>
      <x:c r="J2279" s="8" t="n">
        <x:v>46303.45773148148</x:v>
      </x:c>
      <x:c r="K2279" s="8" t="n">
        <x:v>46303.457766203705</x:v>
      </x:c>
      <x:c r="L2279" s="2" t="str">
        <x:v>Sent</x:v>
      </x:c>
      <x:c r="M2279" s="2" t="n">
        <x:v>1</x:v>
      </x:c>
      <x:c r="N2279" s="2"/>
      <x:c r="O2279" s="2"/>
    </x:row>
    <x:row r="2280" ht="21" customHeight="1">
      <x:c r="A2280" s="2" t="str">
        <x:v>NT002279</x:v>
      </x:c>
      <x:c r="B2280" s="2" t="str">
        <x:v>EV002281</x:v>
      </x:c>
      <x:c r="C2280" s="2" t="str">
        <x:v>T20261008-2-3</x:v>
      </x:c>
      <x:c r="D2280" s="2" t="str">
        <x:v>ST084</x:v>
      </x:c>
      <x:c r="E2280" s="2" t="str">
        <x:v>G084</x:v>
      </x:c>
      <x:c r="F2280" s="2" t="str">
        <x:v>guardian084@example.invalid</x:v>
      </x:c>
      <x:c r="G2280" s="2" t="str">
        <x:v>Email</x:v>
      </x:c>
      <x:c r="H2280" s="2" t="str">
        <x:v>Boarded</x:v>
      </x:c>
      <x:c r="I2280" s="8" t="n">
        <x:v>46303.43760416667</x:v>
      </x:c>
      <x:c r="J2280" s="8" t="n">
        <x:v>46303.437627314815</x:v>
      </x:c>
      <x:c r="K2280" s="8" t="n">
        <x:v>46303.43766203704</x:v>
      </x:c>
      <x:c r="L2280" s="2" t="str">
        <x:v>Sent</x:v>
      </x:c>
      <x:c r="M2280" s="2" t="n">
        <x:v>1</x:v>
      </x:c>
      <x:c r="N2280" s="2"/>
      <x:c r="O2280" s="2"/>
    </x:row>
    <x:row r="2281" ht="21" customHeight="1">
      <x:c r="A2281" s="2" t="str">
        <x:v>NT002280</x:v>
      </x:c>
      <x:c r="B2281" s="2" t="str">
        <x:v>EV002282</x:v>
      </x:c>
      <x:c r="C2281" s="2" t="str">
        <x:v>T20261008-2-3</x:v>
      </x:c>
      <x:c r="D2281" s="2" t="str">
        <x:v>ST084</x:v>
      </x:c>
      <x:c r="E2281" s="2" t="str">
        <x:v>G084</x:v>
      </x:c>
      <x:c r="F2281" s="2" t="str">
        <x:v>guardian084@example.invalid</x:v>
      </x:c>
      <x:c r="G2281" s="2" t="str">
        <x:v>Email</x:v>
      </x:c>
      <x:c r="H2281" s="2" t="str">
        <x:v>Authorized release</x:v>
      </x:c>
      <x:c r="I2281" s="8" t="n">
        <x:v>46303.44940972222</x:v>
      </x:c>
      <x:c r="J2281" s="8" t="n">
        <x:v>46303.449432870366</x:v>
      </x:c>
      <x:c r="K2281" s="8" t="n">
        <x:v>46303.44946759259</x:v>
      </x:c>
      <x:c r="L2281" s="2" t="str">
        <x:v>Sent</x:v>
      </x:c>
      <x:c r="M2281" s="2" t="n">
        <x:v>1</x:v>
      </x:c>
      <x:c r="N2281" s="2"/>
      <x:c r="O2281" s="2"/>
    </x:row>
    <x:row r="2282" ht="21" customHeight="1">
      <x:c r="A2282" s="2" t="str">
        <x:v>NT002281</x:v>
      </x:c>
      <x:c r="B2282" s="2" t="str">
        <x:v>EV002283</x:v>
      </x:c>
      <x:c r="C2282" s="2" t="str">
        <x:v>T20261008-2-3</x:v>
      </x:c>
      <x:c r="D2282" s="2" t="str">
        <x:v>ST085</x:v>
      </x:c>
      <x:c r="E2282" s="2" t="str">
        <x:v>G085</x:v>
      </x:c>
      <x:c r="F2282" s="2" t="str">
        <x:v>guardian085@example.invalid</x:v>
      </x:c>
      <x:c r="G2282" s="2" t="str">
        <x:v>Email</x:v>
      </x:c>
      <x:c r="H2282" s="2" t="str">
        <x:v>Boarded</x:v>
      </x:c>
      <x:c r="I2282" s="8" t="n">
        <x:v>46303.43763888889</x:v>
      </x:c>
      <x:c r="J2282" s="8" t="n">
        <x:v>46303.43766203704</x:v>
      </x:c>
      <x:c r="K2282" s="8" t="n">
        <x:v>46303.43769675926</x:v>
      </x:c>
      <x:c r="L2282" s="2" t="str">
        <x:v>Sent</x:v>
      </x:c>
      <x:c r="M2282" s="2" t="n">
        <x:v>1</x:v>
      </x:c>
      <x:c r="N2282" s="2"/>
      <x:c r="O2282" s="2"/>
    </x:row>
    <x:row r="2283" ht="21" customHeight="1">
      <x:c r="A2283" s="2" t="str">
        <x:v>NT002282</x:v>
      </x:c>
      <x:c r="B2283" s="2" t="str">
        <x:v>EV002284</x:v>
      </x:c>
      <x:c r="C2283" s="2" t="str">
        <x:v>T20261008-2-3</x:v>
      </x:c>
      <x:c r="D2283" s="2" t="str">
        <x:v>ST085</x:v>
      </x:c>
      <x:c r="E2283" s="2" t="str">
        <x:v>G085</x:v>
      </x:c>
      <x:c r="F2283" s="2" t="str">
        <x:v>guardian085@example.invalid</x:v>
      </x:c>
      <x:c r="G2283" s="2" t="str">
        <x:v>Email</x:v>
      </x:c>
      <x:c r="H2283" s="2" t="str">
        <x:v>Authorized release</x:v>
      </x:c>
      <x:c r="I2283" s="8" t="n">
        <x:v>46303.453611111116</x:v>
      </x:c>
      <x:c r="J2283" s="8" t="n">
        <x:v>46303.45363425926</x:v>
      </x:c>
      <x:c r="K2283" s="8" t="n">
        <x:v>46303.453668981485</x:v>
      </x:c>
      <x:c r="L2283" s="2" t="str">
        <x:v>Sent</x:v>
      </x:c>
      <x:c r="M2283" s="2" t="n">
        <x:v>1</x:v>
      </x:c>
      <x:c r="N2283" s="2"/>
      <x:c r="O2283" s="2"/>
    </x:row>
    <x:row r="2284" ht="21" customHeight="1">
      <x:c r="A2284" s="2" t="str">
        <x:v>NT002283</x:v>
      </x:c>
      <x:c r="B2284" s="2" t="str">
        <x:v>EV002285</x:v>
      </x:c>
      <x:c r="C2284" s="2" t="str">
        <x:v>T20261008-2-3</x:v>
      </x:c>
      <x:c r="D2284" s="2" t="str">
        <x:v>ST086</x:v>
      </x:c>
      <x:c r="E2284" s="2" t="str">
        <x:v>G086</x:v>
      </x:c>
      <x:c r="F2284" s="2" t="str">
        <x:v>guardian086@example.invalid</x:v>
      </x:c>
      <x:c r="G2284" s="2" t="str">
        <x:v>Email</x:v>
      </x:c>
      <x:c r="H2284" s="2" t="str">
        <x:v>Boarded</x:v>
      </x:c>
      <x:c r="I2284" s="8" t="n">
        <x:v>46303.43767361111</x:v>
      </x:c>
      <x:c r="J2284" s="8" t="n">
        <x:v>46303.437696759254</x:v>
      </x:c>
      <x:c r="K2284" s="8" t="n">
        <x:v>46303.43773148148</x:v>
      </x:c>
      <x:c r="L2284" s="2" t="str">
        <x:v>Sent</x:v>
      </x:c>
      <x:c r="M2284" s="2" t="n">
        <x:v>1</x:v>
      </x:c>
      <x:c r="N2284" s="2"/>
      <x:c r="O2284" s="2"/>
    </x:row>
    <x:row r="2285" ht="21" customHeight="1">
      <x:c r="A2285" s="2" t="str">
        <x:v>NT002284</x:v>
      </x:c>
      <x:c r="B2285" s="2" t="str">
        <x:v>EV002286</x:v>
      </x:c>
      <x:c r="C2285" s="2" t="str">
        <x:v>T20261008-2-3</x:v>
      </x:c>
      <x:c r="D2285" s="2" t="str">
        <x:v>ST086</x:v>
      </x:c>
      <x:c r="E2285" s="2" t="str">
        <x:v>G086</x:v>
      </x:c>
      <x:c r="F2285" s="2" t="str">
        <x:v>guardian086@example.invalid</x:v>
      </x:c>
      <x:c r="G2285" s="2" t="str">
        <x:v>Email</x:v>
      </x:c>
      <x:c r="H2285" s="2" t="str">
        <x:v>Authorized release</x:v>
      </x:c>
      <x:c r="I2285" s="8" t="n">
        <x:v>46303.4578125</x:v>
      </x:c>
      <x:c r="J2285" s="8" t="n">
        <x:v>46303.45783564814</x:v>
      </x:c>
      <x:c r="K2285" s="8" t="n">
        <x:v>46303.45787037037</x:v>
      </x:c>
      <x:c r="L2285" s="2" t="str">
        <x:v>Sent</x:v>
      </x:c>
      <x:c r="M2285" s="2" t="n">
        <x:v>1</x:v>
      </x:c>
      <x:c r="N2285" s="2"/>
      <x:c r="O2285" s="2"/>
    </x:row>
    <x:row r="2286" ht="21" customHeight="1">
      <x:c r="A2286" s="2" t="str">
        <x:v>NT002285</x:v>
      </x:c>
      <x:c r="B2286" s="2" t="str">
        <x:v>EV002287</x:v>
      </x:c>
      <x:c r="C2286" s="2" t="str">
        <x:v>T20261008-2-3</x:v>
      </x:c>
      <x:c r="D2286" s="2" t="str">
        <x:v>ST087</x:v>
      </x:c>
      <x:c r="E2286" s="2" t="str">
        <x:v>G087</x:v>
      </x:c>
      <x:c r="F2286" s="2" t="str">
        <x:v>guardian087@example.invalid</x:v>
      </x:c>
      <x:c r="G2286" s="2" t="str">
        <x:v>Email</x:v>
      </x:c>
      <x:c r="H2286" s="2" t="str">
        <x:v>Boarded</x:v>
      </x:c>
      <x:c r="I2286" s="8" t="n">
        <x:v>46303.43770833333</x:v>
      </x:c>
      <x:c r="J2286" s="8" t="n">
        <x:v>46303.43773148148</x:v>
      </x:c>
      <x:c r="K2286" s="8" t="n">
        <x:v>46303.4377662037</x:v>
      </x:c>
      <x:c r="L2286" s="2" t="str">
        <x:v>Sent</x:v>
      </x:c>
      <x:c r="M2286" s="2" t="n">
        <x:v>1</x:v>
      </x:c>
      <x:c r="N2286" s="2"/>
      <x:c r="O2286" s="2"/>
    </x:row>
    <x:row r="2287" ht="21" customHeight="1">
      <x:c r="A2287" s="2" t="str">
        <x:v>NT002286</x:v>
      </x:c>
      <x:c r="B2287" s="2" t="str">
        <x:v>EV002288</x:v>
      </x:c>
      <x:c r="C2287" s="2" t="str">
        <x:v>T20261008-2-3</x:v>
      </x:c>
      <x:c r="D2287" s="2" t="str">
        <x:v>ST087</x:v>
      </x:c>
      <x:c r="E2287" s="2" t="str">
        <x:v>G087</x:v>
      </x:c>
      <x:c r="F2287" s="2" t="str">
        <x:v>guardian087@example.invalid</x:v>
      </x:c>
      <x:c r="G2287" s="2" t="str">
        <x:v>Email</x:v>
      </x:c>
      <x:c r="H2287" s="2" t="str">
        <x:v>Authorized release</x:v>
      </x:c>
      <x:c r="I2287" s="8" t="n">
        <x:v>46303.44951388888</x:v>
      </x:c>
      <x:c r="J2287" s="8" t="n">
        <x:v>46303.44953703703</x:v>
      </x:c>
      <x:c r="K2287" s="8" t="n">
        <x:v>46303.44957175925</x:v>
      </x:c>
      <x:c r="L2287" s="2" t="str">
        <x:v>Sent</x:v>
      </x:c>
      <x:c r="M2287" s="2" t="n">
        <x:v>1</x:v>
      </x:c>
      <x:c r="N2287" s="2"/>
      <x:c r="O2287" s="2"/>
    </x:row>
    <x:row r="2288" ht="21" customHeight="1">
      <x:c r="A2288" s="2" t="str">
        <x:v>NT002287</x:v>
      </x:c>
      <x:c r="B2288" s="2" t="str">
        <x:v>EV002289</x:v>
      </x:c>
      <x:c r="C2288" s="2" t="str">
        <x:v>T20261008-2-3</x:v>
      </x:c>
      <x:c r="D2288" s="2" t="str">
        <x:v>ST088</x:v>
      </x:c>
      <x:c r="E2288" s="2" t="str">
        <x:v>G088</x:v>
      </x:c>
      <x:c r="F2288" s="2" t="str">
        <x:v>guardian088@example.invalid</x:v>
      </x:c>
      <x:c r="G2288" s="2" t="str">
        <x:v>Email</x:v>
      </x:c>
      <x:c r="H2288" s="2" t="str">
        <x:v>Boarded</x:v>
      </x:c>
      <x:c r="I2288" s="8" t="n">
        <x:v>46303.437743055554</x:v>
      </x:c>
      <x:c r="J2288" s="8" t="n">
        <x:v>46303.4377662037</x:v>
      </x:c>
      <x:c r="K2288" s="8" t="n">
        <x:v>46303.43780092592</x:v>
      </x:c>
      <x:c r="L2288" s="2" t="str">
        <x:v>Sent</x:v>
      </x:c>
      <x:c r="M2288" s="2" t="n">
        <x:v>1</x:v>
      </x:c>
      <x:c r="N2288" s="2"/>
      <x:c r="O2288" s="2"/>
    </x:row>
    <x:row r="2289" ht="21" customHeight="1">
      <x:c r="A2289" s="2" t="str">
        <x:v>NT002288</x:v>
      </x:c>
      <x:c r="B2289" s="2" t="str">
        <x:v>EV002290</x:v>
      </x:c>
      <x:c r="C2289" s="2" t="str">
        <x:v>T20261008-2-3</x:v>
      </x:c>
      <x:c r="D2289" s="2" t="str">
        <x:v>ST088</x:v>
      </x:c>
      <x:c r="E2289" s="2" t="str">
        <x:v>G088</x:v>
      </x:c>
      <x:c r="F2289" s="2" t="str">
        <x:v>guardian088@example.invalid</x:v>
      </x:c>
      <x:c r="G2289" s="2" t="str">
        <x:v>Email</x:v>
      </x:c>
      <x:c r="H2289" s="2" t="str">
        <x:v>Authorized release</x:v>
      </x:c>
      <x:c r="I2289" s="8" t="n">
        <x:v>46303.45371527778</x:v>
      </x:c>
      <x:c r="J2289" s="8" t="n">
        <x:v>46303.453738425924</x:v>
      </x:c>
      <x:c r="K2289" s="8" t="n">
        <x:v>46303.45377314815</x:v>
      </x:c>
      <x:c r="L2289" s="2" t="str">
        <x:v>Sent</x:v>
      </x:c>
      <x:c r="M2289" s="2" t="n">
        <x:v>1</x:v>
      </x:c>
      <x:c r="N2289" s="2"/>
      <x:c r="O2289" s="2"/>
    </x:row>
    <x:row r="2290" ht="21" customHeight="1">
      <x:c r="A2290" s="2" t="str">
        <x:v>NT002289</x:v>
      </x:c>
      <x:c r="B2290" s="2" t="str">
        <x:v>EV002291</x:v>
      </x:c>
      <x:c r="C2290" s="2" t="str">
        <x:v>T20261008-2-3</x:v>
      </x:c>
      <x:c r="D2290" s="2" t="str">
        <x:v>ST089</x:v>
      </x:c>
      <x:c r="E2290" s="2" t="str">
        <x:v>G089</x:v>
      </x:c>
      <x:c r="F2290" s="2" t="str">
        <x:v>guardian089@example.invalid</x:v>
      </x:c>
      <x:c r="G2290" s="2" t="str">
        <x:v>Email</x:v>
      </x:c>
      <x:c r="H2290" s="2" t="str">
        <x:v>Boarded</x:v>
      </x:c>
      <x:c r="I2290" s="8" t="n">
        <x:v>46303.43777777778</x:v>
      </x:c>
      <x:c r="J2290" s="8" t="n">
        <x:v>46303.43780092592</x:v>
      </x:c>
      <x:c r="K2290" s="8" t="n">
        <x:v>46303.43783564815</x:v>
      </x:c>
      <x:c r="L2290" s="2" t="str">
        <x:v>Sent</x:v>
      </x:c>
      <x:c r="M2290" s="2" t="n">
        <x:v>1</x:v>
      </x:c>
      <x:c r="N2290" s="2"/>
      <x:c r="O2290" s="2"/>
    </x:row>
    <x:row r="2291" ht="21" customHeight="1">
      <x:c r="A2291" s="2" t="str">
        <x:v>NT002290</x:v>
      </x:c>
      <x:c r="B2291" s="2" t="str">
        <x:v>EV002292</x:v>
      </x:c>
      <x:c r="C2291" s="2" t="str">
        <x:v>T20261008-2-3</x:v>
      </x:c>
      <x:c r="D2291" s="2" t="str">
        <x:v>ST089</x:v>
      </x:c>
      <x:c r="E2291" s="2" t="str">
        <x:v>G089</x:v>
      </x:c>
      <x:c r="F2291" s="2" t="str">
        <x:v>guardian089@example.invalid</x:v>
      </x:c>
      <x:c r="G2291" s="2" t="str">
        <x:v>Email</x:v>
      </x:c>
      <x:c r="H2291" s="2" t="str">
        <x:v>Authorized release</x:v>
      </x:c>
      <x:c r="I2291" s="8" t="n">
        <x:v>46303.457916666666</x:v>
      </x:c>
      <x:c r="J2291" s="8" t="n">
        <x:v>46303.45793981481</x:v>
      </x:c>
      <x:c r="K2291" s="8" t="n">
        <x:v>46303.457974537036</x:v>
      </x:c>
      <x:c r="L2291" s="2" t="str">
        <x:v>Sent</x:v>
      </x:c>
      <x:c r="M2291" s="2" t="n">
        <x:v>1</x:v>
      </x:c>
      <x:c r="N2291" s="2"/>
      <x:c r="O2291" s="2"/>
    </x:row>
    <x:row r="2292" ht="21" customHeight="1">
      <x:c r="A2292" s="2" t="str">
        <x:v>NT002291</x:v>
      </x:c>
      <x:c r="B2292" s="2" t="str">
        <x:v>EV002293</x:v>
      </x:c>
      <x:c r="C2292" s="2" t="str">
        <x:v>T20261008-2-3</x:v>
      </x:c>
      <x:c r="D2292" s="2" t="str">
        <x:v>ST090</x:v>
      </x:c>
      <x:c r="E2292" s="2" t="str">
        <x:v>G090</x:v>
      </x:c>
      <x:c r="F2292" s="2" t="str">
        <x:v>guardian090@example.invalid</x:v>
      </x:c>
      <x:c r="G2292" s="2" t="str">
        <x:v>Email</x:v>
      </x:c>
      <x:c r="H2292" s="2" t="str">
        <x:v>Boarded</x:v>
      </x:c>
      <x:c r="I2292" s="8" t="n">
        <x:v>46303.4378125</x:v>
      </x:c>
      <x:c r="J2292" s="8" t="n">
        <x:v>46303.43783564815</x:v>
      </x:c>
      <x:c r="K2292" s="8" t="n">
        <x:v>46303.43787037037</x:v>
      </x:c>
      <x:c r="L2292" s="2" t="str">
        <x:v>Sent</x:v>
      </x:c>
      <x:c r="M2292" s="2" t="n">
        <x:v>1</x:v>
      </x:c>
      <x:c r="N2292" s="2"/>
      <x:c r="O2292" s="2"/>
    </x:row>
    <x:row r="2293" ht="21" customHeight="1">
      <x:c r="A2293" s="2" t="str">
        <x:v>NT002292</x:v>
      </x:c>
      <x:c r="B2293" s="2" t="str">
        <x:v>EV002294</x:v>
      </x:c>
      <x:c r="C2293" s="2" t="str">
        <x:v>T20261008-2-3</x:v>
      </x:c>
      <x:c r="D2293" s="2" t="str">
        <x:v>ST090</x:v>
      </x:c>
      <x:c r="E2293" s="2" t="str">
        <x:v>G090</x:v>
      </x:c>
      <x:c r="F2293" s="2" t="str">
        <x:v>guardian090@example.invalid</x:v>
      </x:c>
      <x:c r="G2293" s="2" t="str">
        <x:v>Email</x:v>
      </x:c>
      <x:c r="H2293" s="2" t="str">
        <x:v>Authorized release</x:v>
      </x:c>
      <x:c r="I2293" s="8" t="n">
        <x:v>46303.44961805555</x:v>
      </x:c>
      <x:c r="J2293" s="8" t="n">
        <x:v>46303.4496412037</x:v>
      </x:c>
      <x:c r="K2293" s="8" t="n">
        <x:v>46303.44967592592</x:v>
      </x:c>
      <x:c r="L2293" s="2" t="str">
        <x:v>Sent</x:v>
      </x:c>
      <x:c r="M2293" s="2" t="n">
        <x:v>1</x:v>
      </x:c>
      <x:c r="N2293" s="2"/>
      <x:c r="O2293" s="2"/>
    </x:row>
    <x:row r="2294" ht="21" customHeight="1">
      <x:c r="A2294" s="2" t="str">
        <x:v>NT002293</x:v>
      </x:c>
      <x:c r="B2294" s="2" t="str">
        <x:v>EV002295</x:v>
      </x:c>
      <x:c r="C2294" s="2" t="str">
        <x:v>T20261008-2-3</x:v>
      </x:c>
      <x:c r="D2294" s="2" t="str">
        <x:v>ST101</x:v>
      </x:c>
      <x:c r="E2294" s="2" t="str">
        <x:v>G101</x:v>
      </x:c>
      <x:c r="F2294" s="2" t="str">
        <x:v>guardian101@example.invalid</x:v>
      </x:c>
      <x:c r="G2294" s="2" t="str">
        <x:v>Email</x:v>
      </x:c>
      <x:c r="H2294" s="2" t="str">
        <x:v>Boarded</x:v>
      </x:c>
      <x:c r="I2294" s="8" t="n">
        <x:v>46303.48125</x:v>
      </x:c>
      <x:c r="J2294" s="8" t="n">
        <x:v>46303.48127314814</x:v>
      </x:c>
      <x:c r="K2294" s="8" t="n">
        <x:v>46303.48130787037</x:v>
      </x:c>
      <x:c r="L2294" s="2" t="str">
        <x:v>Sent</x:v>
      </x:c>
      <x:c r="M2294" s="2" t="n">
        <x:v>1</x:v>
      </x:c>
      <x:c r="N2294" s="2"/>
      <x:c r="O2294" s="2"/>
    </x:row>
    <x:row r="2295" ht="21" customHeight="1">
      <x:c r="A2295" s="2" t="str">
        <x:v>NT002294</x:v>
      </x:c>
      <x:c r="B2295" s="2" t="str">
        <x:v>EV002296</x:v>
      </x:c>
      <x:c r="C2295" s="2" t="str">
        <x:v>T20261008-2-3</x:v>
      </x:c>
      <x:c r="D2295" s="2" t="str">
        <x:v>ST101</x:v>
      </x:c>
      <x:c r="E2295" s="2" t="str">
        <x:v>G101</x:v>
      </x:c>
      <x:c r="F2295" s="2" t="str">
        <x:v>guardian101@example.invalid</x:v>
      </x:c>
      <x:c r="G2295" s="2" t="str">
        <x:v>Email</x:v>
      </x:c>
      <x:c r="H2295" s="2" t="str">
        <x:v>School receipt</x:v>
      </x:c>
      <x:c r="I2295" s="8" t="n">
        <x:v>46303.506250000006</x:v>
      </x:c>
      <x:c r="J2295" s="8" t="n">
        <x:v>46303.50627314815</x:v>
      </x:c>
      <x:c r="K2295" s="8" t="n">
        <x:v>46303.506307870375</x:v>
      </x:c>
      <x:c r="L2295" s="2" t="str">
        <x:v>Sent</x:v>
      </x:c>
      <x:c r="M2295" s="2" t="n">
        <x:v>1</x:v>
      </x:c>
      <x:c r="N2295" s="2"/>
      <x:c r="O2295" s="2"/>
    </x:row>
    <x:row r="2296" ht="21" customHeight="1">
      <x:c r="A2296" s="2" t="str">
        <x:v>NT002295</x:v>
      </x:c>
      <x:c r="B2296" s="2" t="str">
        <x:v>EV002297</x:v>
      </x:c>
      <x:c r="C2296" s="2" t="str">
        <x:v>T20261008-2-3</x:v>
      </x:c>
      <x:c r="D2296" s="2" t="str">
        <x:v>ST102</x:v>
      </x:c>
      <x:c r="E2296" s="2" t="str">
        <x:v>G102</x:v>
      </x:c>
      <x:c r="F2296" s="2" t="str">
        <x:v>guardian102@example.invalid</x:v>
      </x:c>
      <x:c r="G2296" s="2" t="str">
        <x:v>Email</x:v>
      </x:c>
      <x:c r="H2296" s="2" t="str">
        <x:v>Boarded</x:v>
      </x:c>
      <x:c r="I2296" s="8" t="n">
        <x:v>46303.4715625</x:v>
      </x:c>
      <x:c r="J2296" s="8" t="n">
        <x:v>46303.47158564815</x:v>
      </x:c>
      <x:c r="K2296" s="8" t="n">
        <x:v>46303.47162037037</x:v>
      </x:c>
      <x:c r="L2296" s="2" t="str">
        <x:v>Sent</x:v>
      </x:c>
      <x:c r="M2296" s="2" t="n">
        <x:v>1</x:v>
      </x:c>
      <x:c r="N2296" s="2"/>
      <x:c r="O2296" s="2"/>
    </x:row>
    <x:row r="2297" ht="21" customHeight="1">
      <x:c r="A2297" s="2" t="str">
        <x:v>NT002296</x:v>
      </x:c>
      <x:c r="B2297" s="2" t="str">
        <x:v>EV002298</x:v>
      </x:c>
      <x:c r="C2297" s="2" t="str">
        <x:v>T20261008-2-3</x:v>
      </x:c>
      <x:c r="D2297" s="2" t="str">
        <x:v>ST102</x:v>
      </x:c>
      <x:c r="E2297" s="2" t="str">
        <x:v>G102</x:v>
      </x:c>
      <x:c r="F2297" s="2" t="str">
        <x:v>guardian102@example.invalid</x:v>
      </x:c>
      <x:c r="G2297" s="2" t="str">
        <x:v>Email</x:v>
      </x:c>
      <x:c r="H2297" s="2" t="str">
        <x:v>School receipt</x:v>
      </x:c>
      <x:c r="I2297" s="8" t="n">
        <x:v>46303.50628472223</x:v>
      </x:c>
      <x:c r="J2297" s="8" t="n">
        <x:v>46303.506307870375</x:v>
      </x:c>
      <x:c r="K2297" s="8" t="n">
        <x:v>46303.5063425926</x:v>
      </x:c>
      <x:c r="L2297" s="2" t="str">
        <x:v>Sent</x:v>
      </x:c>
      <x:c r="M2297" s="2" t="n">
        <x:v>1</x:v>
      </x:c>
      <x:c r="N2297" s="2"/>
      <x:c r="O2297" s="2"/>
    </x:row>
    <x:row r="2298" ht="21" customHeight="1">
      <x:c r="A2298" s="2" t="str">
        <x:v>NT002297</x:v>
      </x:c>
      <x:c r="B2298" s="2" t="str">
        <x:v>EV002299</x:v>
      </x:c>
      <x:c r="C2298" s="2" t="str">
        <x:v>T20261008-2-3</x:v>
      </x:c>
      <x:c r="D2298" s="2" t="str">
        <x:v>ST103</x:v>
      </x:c>
      <x:c r="E2298" s="2" t="str">
        <x:v>G103</x:v>
      </x:c>
      <x:c r="F2298" s="2" t="str">
        <x:v>guardian103@example.invalid</x:v>
      </x:c>
      <x:c r="G2298" s="2" t="str">
        <x:v>Email</x:v>
      </x:c>
      <x:c r="H2298" s="2" t="str">
        <x:v>Boarded</x:v>
      </x:c>
      <x:c r="I2298" s="8" t="n">
        <x:v>46303.47645833333</x:v>
      </x:c>
      <x:c r="J2298" s="8" t="n">
        <x:v>46303.47648148148</x:v>
      </x:c>
      <x:c r="K2298" s="8" t="n">
        <x:v>46303.4765162037</x:v>
      </x:c>
      <x:c r="L2298" s="2" t="str">
        <x:v>Sent</x:v>
      </x:c>
      <x:c r="M2298" s="2" t="n">
        <x:v>1</x:v>
      </x:c>
      <x:c r="N2298" s="2"/>
      <x:c r="O2298" s="2"/>
    </x:row>
    <x:row r="2299" ht="21" customHeight="1">
      <x:c r="A2299" s="2" t="str">
        <x:v>NT002298</x:v>
      </x:c>
      <x:c r="B2299" s="2" t="str">
        <x:v>EV002300</x:v>
      </x:c>
      <x:c r="C2299" s="2" t="str">
        <x:v>T20261008-2-3</x:v>
      </x:c>
      <x:c r="D2299" s="2" t="str">
        <x:v>ST103</x:v>
      </x:c>
      <x:c r="E2299" s="2" t="str">
        <x:v>G103</x:v>
      </x:c>
      <x:c r="F2299" s="2" t="str">
        <x:v>guardian103@example.invalid</x:v>
      </x:c>
      <x:c r="G2299" s="2" t="str">
        <x:v>Email</x:v>
      </x:c>
      <x:c r="H2299" s="2" t="str">
        <x:v>School receipt</x:v>
      </x:c>
      <x:c r="I2299" s="8" t="n">
        <x:v>46303.506319444445</x:v>
      </x:c>
      <x:c r="J2299" s="8" t="n">
        <x:v>46303.50634259259</x:v>
      </x:c>
      <x:c r="K2299" s="8" t="n">
        <x:v>46303.506377314814</x:v>
      </x:c>
      <x:c r="L2299" s="2" t="str">
        <x:v>Sent</x:v>
      </x:c>
      <x:c r="M2299" s="2" t="n">
        <x:v>1</x:v>
      </x:c>
      <x:c r="N2299" s="2"/>
      <x:c r="O2299" s="2"/>
    </x:row>
    <x:row r="2300" ht="21" customHeight="1">
      <x:c r="A2300" s="2" t="str">
        <x:v>NT002299</x:v>
      </x:c>
      <x:c r="B2300" s="2" t="str">
        <x:v>EV002301</x:v>
      </x:c>
      <x:c r="C2300" s="2" t="str">
        <x:v>T20261008-2-3</x:v>
      </x:c>
      <x:c r="D2300" s="2" t="str">
        <x:v>ST104</x:v>
      </x:c>
      <x:c r="E2300" s="2" t="str">
        <x:v>G104</x:v>
      </x:c>
      <x:c r="F2300" s="2" t="str">
        <x:v>guardian104@example.invalid</x:v>
      </x:c>
      <x:c r="G2300" s="2" t="str">
        <x:v>Email</x:v>
      </x:c>
      <x:c r="H2300" s="2" t="str">
        <x:v>Boarded</x:v>
      </x:c>
      <x:c r="I2300" s="8" t="n">
        <x:v>46303.481354166666</x:v>
      </x:c>
      <x:c r="J2300" s="8" t="n">
        <x:v>46303.48137731481</x:v>
      </x:c>
      <x:c r="K2300" s="8" t="n">
        <x:v>46303.481412037036</x:v>
      </x:c>
      <x:c r="L2300" s="2" t="str">
        <x:v>Sent</x:v>
      </x:c>
      <x:c r="M2300" s="2" t="n">
        <x:v>1</x:v>
      </x:c>
      <x:c r="N2300" s="2"/>
      <x:c r="O2300" s="2"/>
    </x:row>
    <x:row r="2301" ht="21" customHeight="1">
      <x:c r="A2301" s="2" t="str">
        <x:v>NT002300</x:v>
      </x:c>
      <x:c r="B2301" s="2" t="str">
        <x:v>EV002302</x:v>
      </x:c>
      <x:c r="C2301" s="2" t="str">
        <x:v>T20261008-2-3</x:v>
      </x:c>
      <x:c r="D2301" s="2" t="str">
        <x:v>ST104</x:v>
      </x:c>
      <x:c r="E2301" s="2" t="str">
        <x:v>G104</x:v>
      </x:c>
      <x:c r="F2301" s="2" t="str">
        <x:v>guardian104@example.invalid</x:v>
      </x:c>
      <x:c r="G2301" s="2" t="str">
        <x:v>Email</x:v>
      </x:c>
      <x:c r="H2301" s="2" t="str">
        <x:v>School receipt</x:v>
      </x:c>
      <x:c r="I2301" s="8" t="n">
        <x:v>46303.50635416667</x:v>
      </x:c>
      <x:c r="J2301" s="8" t="n">
        <x:v>46303.506377314814</x:v>
      </x:c>
      <x:c r="K2301" s="8" t="n">
        <x:v>46303.50641203704</x:v>
      </x:c>
      <x:c r="L2301" s="2" t="str">
        <x:v>Sent</x:v>
      </x:c>
      <x:c r="M2301" s="2" t="n">
        <x:v>1</x:v>
      </x:c>
      <x:c r="N2301" s="2"/>
      <x:c r="O2301" s="2"/>
    </x:row>
    <x:row r="2302" ht="21" customHeight="1">
      <x:c r="A2302" s="2" t="str">
        <x:v>NT002301</x:v>
      </x:c>
      <x:c r="B2302" s="2" t="str">
        <x:v>EV002303</x:v>
      </x:c>
      <x:c r="C2302" s="2" t="str">
        <x:v>T20261008-2-3</x:v>
      </x:c>
      <x:c r="D2302" s="2" t="str">
        <x:v>ST105</x:v>
      </x:c>
      <x:c r="E2302" s="2" t="str">
        <x:v>G105</x:v>
      </x:c>
      <x:c r="F2302" s="2" t="str">
        <x:v>guardian105@example.invalid</x:v>
      </x:c>
      <x:c r="G2302" s="2" t="str">
        <x:v>Email</x:v>
      </x:c>
      <x:c r="H2302" s="2" t="str">
        <x:v>Boarded</x:v>
      </x:c>
      <x:c r="I2302" s="8" t="n">
        <x:v>46303.47166666667</x:v>
      </x:c>
      <x:c r="J2302" s="8" t="n">
        <x:v>46303.47168981482</x:v>
      </x:c>
      <x:c r="K2302" s="8" t="n">
        <x:v>46303.47172453704</x:v>
      </x:c>
      <x:c r="L2302" s="2" t="str">
        <x:v>Sent</x:v>
      </x:c>
      <x:c r="M2302" s="2" t="n">
        <x:v>1</x:v>
      </x:c>
      <x:c r="N2302" s="2"/>
      <x:c r="O2302" s="2"/>
    </x:row>
    <x:row r="2303" ht="21" customHeight="1">
      <x:c r="A2303" s="2" t="str">
        <x:v>NT002302</x:v>
      </x:c>
      <x:c r="B2303" s="2" t="str">
        <x:v>EV002304</x:v>
      </x:c>
      <x:c r="C2303" s="2" t="str">
        <x:v>T20261008-2-3</x:v>
      </x:c>
      <x:c r="D2303" s="2" t="str">
        <x:v>ST105</x:v>
      </x:c>
      <x:c r="E2303" s="2" t="str">
        <x:v>G105</x:v>
      </x:c>
      <x:c r="F2303" s="2" t="str">
        <x:v>guardian105@example.invalid</x:v>
      </x:c>
      <x:c r="G2303" s="2" t="str">
        <x:v>Email</x:v>
      </x:c>
      <x:c r="H2303" s="2" t="str">
        <x:v>School receipt</x:v>
      </x:c>
      <x:c r="I2303" s="8" t="n">
        <x:v>46303.50638888889</x:v>
      </x:c>
      <x:c r="J2303" s="8" t="n">
        <x:v>46303.50641203704</x:v>
      </x:c>
      <x:c r="K2303" s="8" t="n">
        <x:v>46303.50644675926</x:v>
      </x:c>
      <x:c r="L2303" s="2" t="str">
        <x:v>Sent</x:v>
      </x:c>
      <x:c r="M2303" s="2" t="n">
        <x:v>1</x:v>
      </x:c>
      <x:c r="N2303" s="2"/>
      <x:c r="O2303" s="2"/>
    </x:row>
    <x:row r="2304" ht="21" customHeight="1">
      <x:c r="A2304" s="2" t="str">
        <x:v>NT002303</x:v>
      </x:c>
      <x:c r="B2304" s="2" t="str">
        <x:v>EV002305</x:v>
      </x:c>
      <x:c r="C2304" s="2" t="str">
        <x:v>T20261008-2-3</x:v>
      </x:c>
      <x:c r="D2304" s="2" t="str">
        <x:v>ST106</x:v>
      </x:c>
      <x:c r="E2304" s="2" t="str">
        <x:v>G106</x:v>
      </x:c>
      <x:c r="F2304" s="2" t="str">
        <x:v>guardian106@example.invalid</x:v>
      </x:c>
      <x:c r="G2304" s="2" t="str">
        <x:v>Email</x:v>
      </x:c>
      <x:c r="H2304" s="2" t="str">
        <x:v>Boarded</x:v>
      </x:c>
      <x:c r="I2304" s="8" t="n">
        <x:v>46303.47656249999</x:v>
      </x:c>
      <x:c r="J2304" s="8" t="n">
        <x:v>46303.47658564814</x:v>
      </x:c>
      <x:c r="K2304" s="8" t="n">
        <x:v>46303.47662037036</x:v>
      </x:c>
      <x:c r="L2304" s="2" t="str">
        <x:v>Sent</x:v>
      </x:c>
      <x:c r="M2304" s="2" t="n">
        <x:v>1</x:v>
      </x:c>
      <x:c r="N2304" s="2"/>
      <x:c r="O2304" s="2"/>
    </x:row>
    <x:row r="2305" ht="21" customHeight="1">
      <x:c r="A2305" s="2" t="str">
        <x:v>NT002304</x:v>
      </x:c>
      <x:c r="B2305" s="2" t="str">
        <x:v>EV002306</x:v>
      </x:c>
      <x:c r="C2305" s="2" t="str">
        <x:v>T20261008-2-3</x:v>
      </x:c>
      <x:c r="D2305" s="2" t="str">
        <x:v>ST106</x:v>
      </x:c>
      <x:c r="E2305" s="2" t="str">
        <x:v>G106</x:v>
      </x:c>
      <x:c r="F2305" s="2" t="str">
        <x:v>guardian106@example.invalid</x:v>
      </x:c>
      <x:c r="G2305" s="2" t="str">
        <x:v>Email</x:v>
      </x:c>
      <x:c r="H2305" s="2" t="str">
        <x:v>School receipt</x:v>
      </x:c>
      <x:c r="I2305" s="8" t="n">
        <x:v>46303.506423611114</x:v>
      </x:c>
      <x:c r="J2305" s="8" t="n">
        <x:v>46303.50644675926</x:v>
      </x:c>
      <x:c r="K2305" s="8" t="n">
        <x:v>46303.50648148148</x:v>
      </x:c>
      <x:c r="L2305" s="2" t="str">
        <x:v>Sent</x:v>
      </x:c>
      <x:c r="M2305" s="2" t="n">
        <x:v>1</x:v>
      </x:c>
      <x:c r="N2305" s="2"/>
      <x:c r="O2305" s="2"/>
    </x:row>
    <x:row r="2306" ht="21" customHeight="1">
      <x:c r="A2306" s="2" t="str">
        <x:v>NT002305</x:v>
      </x:c>
      <x:c r="B2306" s="2" t="str">
        <x:v>EV002307</x:v>
      </x:c>
      <x:c r="C2306" s="2" t="str">
        <x:v>T20261008-2-3</x:v>
      </x:c>
      <x:c r="D2306" s="2" t="str">
        <x:v>ST107</x:v>
      </x:c>
      <x:c r="E2306" s="2" t="str">
        <x:v>G107</x:v>
      </x:c>
      <x:c r="F2306" s="2" t="str">
        <x:v>guardian107@example.invalid</x:v>
      </x:c>
      <x:c r="G2306" s="2" t="str">
        <x:v>Email</x:v>
      </x:c>
      <x:c r="H2306" s="2" t="str">
        <x:v>Boarded</x:v>
      </x:c>
      <x:c r="I2306" s="8" t="n">
        <x:v>46303.48145833333</x:v>
      </x:c>
      <x:c r="J2306" s="8" t="n">
        <x:v>46303.481481481474</x:v>
      </x:c>
      <x:c r="K2306" s="8" t="n">
        <x:v>46303.4815162037</x:v>
      </x:c>
      <x:c r="L2306" s="2" t="str">
        <x:v>Sent</x:v>
      </x:c>
      <x:c r="M2306" s="2" t="n">
        <x:v>1</x:v>
      </x:c>
      <x:c r="N2306" s="2"/>
      <x:c r="O2306" s="2"/>
    </x:row>
    <x:row r="2307" ht="21" customHeight="1">
      <x:c r="A2307" s="2" t="str">
        <x:v>NT002306</x:v>
      </x:c>
      <x:c r="B2307" s="2" t="str">
        <x:v>EV002308</x:v>
      </x:c>
      <x:c r="C2307" s="2" t="str">
        <x:v>T20261008-2-3</x:v>
      </x:c>
      <x:c r="D2307" s="2" t="str">
        <x:v>ST107</x:v>
      </x:c>
      <x:c r="E2307" s="2" t="str">
        <x:v>G107</x:v>
      </x:c>
      <x:c r="F2307" s="2" t="str">
        <x:v>guardian107@example.invalid</x:v>
      </x:c>
      <x:c r="G2307" s="2" t="str">
        <x:v>Email</x:v>
      </x:c>
      <x:c r="H2307" s="2" t="str">
        <x:v>School receipt</x:v>
      </x:c>
      <x:c r="I2307" s="8" t="n">
        <x:v>46303.50645833334</x:v>
      </x:c>
      <x:c r="J2307" s="8" t="n">
        <x:v>46303.50648148148</x:v>
      </x:c>
      <x:c r="K2307" s="8" t="n">
        <x:v>46303.506516203706</x:v>
      </x:c>
      <x:c r="L2307" s="2" t="str">
        <x:v>Sent</x:v>
      </x:c>
      <x:c r="M2307" s="2" t="n">
        <x:v>1</x:v>
      </x:c>
      <x:c r="N2307" s="2"/>
      <x:c r="O2307" s="2"/>
    </x:row>
    <x:row r="2308" ht="21" customHeight="1">
      <x:c r="A2308" s="2" t="str">
        <x:v>NT002307</x:v>
      </x:c>
      <x:c r="B2308" s="2" t="str">
        <x:v>EV002309</x:v>
      </x:c>
      <x:c r="C2308" s="2" t="str">
        <x:v>T20261008-2-3</x:v>
      </x:c>
      <x:c r="D2308" s="2" t="str">
        <x:v>ST108</x:v>
      </x:c>
      <x:c r="E2308" s="2" t="str">
        <x:v>G108</x:v>
      </x:c>
      <x:c r="F2308" s="2" t="str">
        <x:v>guardian108@example.invalid</x:v>
      </x:c>
      <x:c r="G2308" s="2" t="str">
        <x:v>Email</x:v>
      </x:c>
      <x:c r="H2308" s="2" t="str">
        <x:v>Boarded</x:v>
      </x:c>
      <x:c r="I2308" s="8" t="n">
        <x:v>46303.471770833334</x:v>
      </x:c>
      <x:c r="J2308" s="8" t="n">
        <x:v>46303.47179398148</x:v>
      </x:c>
      <x:c r="K2308" s="8" t="n">
        <x:v>46303.4718287037</x:v>
      </x:c>
      <x:c r="L2308" s="2" t="str">
        <x:v>Sent</x:v>
      </x:c>
      <x:c r="M2308" s="2" t="n">
        <x:v>1</x:v>
      </x:c>
      <x:c r="N2308" s="2"/>
      <x:c r="O2308" s="2"/>
    </x:row>
    <x:row r="2309" ht="21" customHeight="1">
      <x:c r="A2309" s="2" t="str">
        <x:v>NT002308</x:v>
      </x:c>
      <x:c r="B2309" s="2" t="str">
        <x:v>EV002310</x:v>
      </x:c>
      <x:c r="C2309" s="2" t="str">
        <x:v>T20261008-2-3</x:v>
      </x:c>
      <x:c r="D2309" s="2" t="str">
        <x:v>ST108</x:v>
      </x:c>
      <x:c r="E2309" s="2" t="str">
        <x:v>G108</x:v>
      </x:c>
      <x:c r="F2309" s="2" t="str">
        <x:v>guardian108@example.invalid</x:v>
      </x:c>
      <x:c r="G2309" s="2" t="str">
        <x:v>Email</x:v>
      </x:c>
      <x:c r="H2309" s="2" t="str">
        <x:v>School receipt</x:v>
      </x:c>
      <x:c r="I2309" s="8" t="n">
        <x:v>46303.50649305556</x:v>
      </x:c>
      <x:c r="J2309" s="8" t="n">
        <x:v>46303.506516203706</x:v>
      </x:c>
      <x:c r="K2309" s="8" t="n">
        <x:v>46303.50655092593</x:v>
      </x:c>
      <x:c r="L2309" s="2" t="str">
        <x:v>Sent</x:v>
      </x:c>
      <x:c r="M2309" s="2" t="n">
        <x:v>1</x:v>
      </x:c>
      <x:c r="N2309" s="2"/>
      <x:c r="O2309" s="2"/>
    </x:row>
    <x:row r="2310" ht="21" customHeight="1">
      <x:c r="A2310" s="2" t="str">
        <x:v>NT002309</x:v>
      </x:c>
      <x:c r="B2310" s="2" t="str">
        <x:v>EV002311</x:v>
      </x:c>
      <x:c r="C2310" s="2" t="str">
        <x:v>T20261008-2-3</x:v>
      </x:c>
      <x:c r="D2310" s="2" t="str">
        <x:v>ST109</x:v>
      </x:c>
      <x:c r="E2310" s="2" t="str">
        <x:v>G109</x:v>
      </x:c>
      <x:c r="F2310" s="2" t="str">
        <x:v>guardian109@example.invalid</x:v>
      </x:c>
      <x:c r="G2310" s="2" t="str">
        <x:v>Email</x:v>
      </x:c>
      <x:c r="H2310" s="2" t="str">
        <x:v>Boarded</x:v>
      </x:c>
      <x:c r="I2310" s="8" t="n">
        <x:v>46303.47666666666</x:v>
      </x:c>
      <x:c r="J2310" s="8" t="n">
        <x:v>46303.47668981481</x:v>
      </x:c>
      <x:c r="K2310" s="8" t="n">
        <x:v>46303.47672453703</x:v>
      </x:c>
      <x:c r="L2310" s="2" t="str">
        <x:v>Sent</x:v>
      </x:c>
      <x:c r="M2310" s="2" t="n">
        <x:v>1</x:v>
      </x:c>
      <x:c r="N2310" s="2"/>
      <x:c r="O2310" s="2"/>
    </x:row>
    <x:row r="2311" ht="21" customHeight="1">
      <x:c r="A2311" s="2" t="str">
        <x:v>NT002310</x:v>
      </x:c>
      <x:c r="B2311" s="2" t="str">
        <x:v>EV002312</x:v>
      </x:c>
      <x:c r="C2311" s="2" t="str">
        <x:v>T20261008-2-3</x:v>
      </x:c>
      <x:c r="D2311" s="2" t="str">
        <x:v>ST109</x:v>
      </x:c>
      <x:c r="E2311" s="2" t="str">
        <x:v>G109</x:v>
      </x:c>
      <x:c r="F2311" s="2" t="str">
        <x:v>guardian109@example.invalid</x:v>
      </x:c>
      <x:c r="G2311" s="2" t="str">
        <x:v>Email</x:v>
      </x:c>
      <x:c r="H2311" s="2" t="str">
        <x:v>School receipt</x:v>
      </x:c>
      <x:c r="I2311" s="8" t="n">
        <x:v>46303.50652777778</x:v>
      </x:c>
      <x:c r="J2311" s="8" t="n">
        <x:v>46303.50655092593</x:v>
      </x:c>
      <x:c r="K2311" s="8" t="n">
        <x:v>46303.50658564815</x:v>
      </x:c>
      <x:c r="L2311" s="2" t="str">
        <x:v>Sent</x:v>
      </x:c>
      <x:c r="M2311" s="2" t="n">
        <x:v>1</x:v>
      </x:c>
      <x:c r="N2311" s="2"/>
      <x:c r="O2311" s="2"/>
    </x:row>
    <x:row r="2312" ht="21" customHeight="1">
      <x:c r="A2312" s="2" t="str">
        <x:v>NT002311</x:v>
      </x:c>
      <x:c r="B2312" s="2" t="str">
        <x:v>EV002313</x:v>
      </x:c>
      <x:c r="C2312" s="2" t="str">
        <x:v>T20261008-2-3</x:v>
      </x:c>
      <x:c r="D2312" s="2" t="str">
        <x:v>ST110</x:v>
      </x:c>
      <x:c r="E2312" s="2" t="str">
        <x:v>G110</x:v>
      </x:c>
      <x:c r="F2312" s="2" t="str">
        <x:v>guardian110@example.invalid</x:v>
      </x:c>
      <x:c r="G2312" s="2" t="str">
        <x:v>Email</x:v>
      </x:c>
      <x:c r="H2312" s="2" t="str">
        <x:v>Boarded</x:v>
      </x:c>
      <x:c r="I2312" s="8" t="n">
        <x:v>46303.4815625</x:v>
      </x:c>
      <x:c r="J2312" s="8" t="n">
        <x:v>46303.481585648144</x:v>
      </x:c>
      <x:c r="K2312" s="8" t="n">
        <x:v>46303.48162037037</x:v>
      </x:c>
      <x:c r="L2312" s="2" t="str">
        <x:v>Sent</x:v>
      </x:c>
      <x:c r="M2312" s="2" t="n">
        <x:v>1</x:v>
      </x:c>
      <x:c r="N2312" s="2"/>
      <x:c r="O2312" s="2"/>
    </x:row>
    <x:row r="2313" ht="21" customHeight="1">
      <x:c r="A2313" s="2" t="str">
        <x:v>NT002312</x:v>
      </x:c>
      <x:c r="B2313" s="2" t="str">
        <x:v>EV002314</x:v>
      </x:c>
      <x:c r="C2313" s="2" t="str">
        <x:v>T20261008-2-3</x:v>
      </x:c>
      <x:c r="D2313" s="2" t="str">
        <x:v>ST110</x:v>
      </x:c>
      <x:c r="E2313" s="2" t="str">
        <x:v>G110</x:v>
      </x:c>
      <x:c r="F2313" s="2" t="str">
        <x:v>guardian110@example.invalid</x:v>
      </x:c>
      <x:c r="G2313" s="2" t="str">
        <x:v>Email</x:v>
      </x:c>
      <x:c r="H2313" s="2" t="str">
        <x:v>School receipt</x:v>
      </x:c>
      <x:c r="I2313" s="8" t="n">
        <x:v>46303.506562500006</x:v>
      </x:c>
      <x:c r="J2313" s="8" t="n">
        <x:v>46303.50658564815</x:v>
      </x:c>
      <x:c r="K2313" s="8" t="n">
        <x:v>46303.506620370375</x:v>
      </x:c>
      <x:c r="L2313" s="2" t="str">
        <x:v>Sent</x:v>
      </x:c>
      <x:c r="M2313" s="2" t="n">
        <x:v>1</x:v>
      </x:c>
      <x:c r="N2313" s="2"/>
      <x:c r="O2313" s="2"/>
    </x:row>
    <x:row r="2314" ht="21" customHeight="1">
      <x:c r="A2314" s="2" t="str">
        <x:v>NT002313</x:v>
      </x:c>
      <x:c r="B2314" s="2" t="str">
        <x:v>EV002315</x:v>
      </x:c>
      <x:c r="C2314" s="2" t="str">
        <x:v>T20261008-2-3</x:v>
      </x:c>
      <x:c r="D2314" s="2" t="str">
        <x:v>ST111</x:v>
      </x:c>
      <x:c r="E2314" s="2" t="str">
        <x:v>G111</x:v>
      </x:c>
      <x:c r="F2314" s="2" t="str">
        <x:v>guardian111@example.invalid</x:v>
      </x:c>
      <x:c r="G2314" s="2" t="str">
        <x:v>Email</x:v>
      </x:c>
      <x:c r="H2314" s="2" t="str">
        <x:v>Boarded</x:v>
      </x:c>
      <x:c r="I2314" s="8" t="n">
        <x:v>46303.47152777778</x:v>
      </x:c>
      <x:c r="J2314" s="8" t="n">
        <x:v>46303.471550925926</x:v>
      </x:c>
      <x:c r="K2314" s="8" t="n">
        <x:v>46303.47158564815</x:v>
      </x:c>
      <x:c r="L2314" s="2" t="str">
        <x:v>Sent</x:v>
      </x:c>
      <x:c r="M2314" s="2" t="n">
        <x:v>1</x:v>
      </x:c>
      <x:c r="N2314" s="2"/>
      <x:c r="O2314" s="2"/>
    </x:row>
    <x:row r="2315" ht="21" customHeight="1">
      <x:c r="A2315" s="2" t="str">
        <x:v>NT002314</x:v>
      </x:c>
      <x:c r="B2315" s="2" t="str">
        <x:v>EV002316</x:v>
      </x:c>
      <x:c r="C2315" s="2" t="str">
        <x:v>T20261008-2-3</x:v>
      </x:c>
      <x:c r="D2315" s="2" t="str">
        <x:v>ST111</x:v>
      </x:c>
      <x:c r="E2315" s="2" t="str">
        <x:v>G111</x:v>
      </x:c>
      <x:c r="F2315" s="2" t="str">
        <x:v>guardian111@example.invalid</x:v>
      </x:c>
      <x:c r="G2315" s="2" t="str">
        <x:v>Email</x:v>
      </x:c>
      <x:c r="H2315" s="2" t="str">
        <x:v>School receipt</x:v>
      </x:c>
      <x:c r="I2315" s="8" t="n">
        <x:v>46303.50659722223</x:v>
      </x:c>
      <x:c r="J2315" s="8" t="n">
        <x:v>46303.506620370375</x:v>
      </x:c>
      <x:c r="K2315" s="8" t="n">
        <x:v>46303.5066550926</x:v>
      </x:c>
      <x:c r="L2315" s="2" t="str">
        <x:v>Sent</x:v>
      </x:c>
      <x:c r="M2315" s="2" t="n">
        <x:v>1</x:v>
      </x:c>
      <x:c r="N2315" s="2"/>
      <x:c r="O2315" s="2"/>
    </x:row>
    <x:row r="2316" ht="21" customHeight="1">
      <x:c r="A2316" s="2" t="str">
        <x:v>NT002315</x:v>
      </x:c>
      <x:c r="B2316" s="2" t="str">
        <x:v>EV002317</x:v>
      </x:c>
      <x:c r="C2316" s="2" t="str">
        <x:v>T20261008-2-3</x:v>
      </x:c>
      <x:c r="D2316" s="2" t="str">
        <x:v>ST112</x:v>
      </x:c>
      <x:c r="E2316" s="2" t="str">
        <x:v>G112</x:v>
      </x:c>
      <x:c r="F2316" s="2" t="str">
        <x:v>guardian112@example.invalid</x:v>
      </x:c>
      <x:c r="G2316" s="2" t="str">
        <x:v>Email</x:v>
      </x:c>
      <x:c r="H2316" s="2" t="str">
        <x:v>Boarded</x:v>
      </x:c>
      <x:c r="I2316" s="8" t="n">
        <x:v>46303.47642361111</x:v>
      </x:c>
      <x:c r="J2316" s="8" t="n">
        <x:v>46303.476446759254</x:v>
      </x:c>
      <x:c r="K2316" s="8" t="n">
        <x:v>46303.47648148148</x:v>
      </x:c>
      <x:c r="L2316" s="2" t="str">
        <x:v>Sent</x:v>
      </x:c>
      <x:c r="M2316" s="2" t="n">
        <x:v>1</x:v>
      </x:c>
      <x:c r="N2316" s="2"/>
      <x:c r="O2316" s="2"/>
    </x:row>
    <x:row r="2317" ht="21" customHeight="1">
      <x:c r="A2317" s="2" t="str">
        <x:v>NT002316</x:v>
      </x:c>
      <x:c r="B2317" s="2" t="str">
        <x:v>EV002318</x:v>
      </x:c>
      <x:c r="C2317" s="2" t="str">
        <x:v>T20261008-2-3</x:v>
      </x:c>
      <x:c r="D2317" s="2" t="str">
        <x:v>ST112</x:v>
      </x:c>
      <x:c r="E2317" s="2" t="str">
        <x:v>G112</x:v>
      </x:c>
      <x:c r="F2317" s="2" t="str">
        <x:v>guardian112@example.invalid</x:v>
      </x:c>
      <x:c r="G2317" s="2" t="str">
        <x:v>Email</x:v>
      </x:c>
      <x:c r="H2317" s="2" t="str">
        <x:v>School receipt</x:v>
      </x:c>
      <x:c r="I2317" s="8" t="n">
        <x:v>46303.506631944445</x:v>
      </x:c>
      <x:c r="J2317" s="8" t="n">
        <x:v>46303.50665509259</x:v>
      </x:c>
      <x:c r="K2317" s="8" t="n">
        <x:v>46303.506689814814</x:v>
      </x:c>
      <x:c r="L2317" s="2" t="str">
        <x:v>Sent</x:v>
      </x:c>
      <x:c r="M2317" s="2" t="n">
        <x:v>1</x:v>
      </x:c>
      <x:c r="N2317" s="2"/>
      <x:c r="O2317" s="2"/>
    </x:row>
    <x:row r="2318" ht="21" customHeight="1">
      <x:c r="A2318" s="2" t="str">
        <x:v>NT002317</x:v>
      </x:c>
      <x:c r="B2318" s="2" t="str">
        <x:v>EV002319</x:v>
      </x:c>
      <x:c r="C2318" s="2" t="str">
        <x:v>T20261008-2-3</x:v>
      </x:c>
      <x:c r="D2318" s="2" t="str">
        <x:v>ST113</x:v>
      </x:c>
      <x:c r="E2318" s="2" t="str">
        <x:v>G113</x:v>
      </x:c>
      <x:c r="F2318" s="2" t="str">
        <x:v>guardian113@example.invalid</x:v>
      </x:c>
      <x:c r="G2318" s="2" t="str">
        <x:v>Email</x:v>
      </x:c>
      <x:c r="H2318" s="2" t="str">
        <x:v>Boarded</x:v>
      </x:c>
      <x:c r="I2318" s="8" t="n">
        <x:v>46303.48131944444</x:v>
      </x:c>
      <x:c r="J2318" s="8" t="n">
        <x:v>46303.48134259259</x:v>
      </x:c>
      <x:c r="K2318" s="8" t="n">
        <x:v>46303.48137731481</x:v>
      </x:c>
      <x:c r="L2318" s="2" t="str">
        <x:v>Sent</x:v>
      </x:c>
      <x:c r="M2318" s="2" t="n">
        <x:v>1</x:v>
      </x:c>
      <x:c r="N2318" s="2"/>
      <x:c r="O2318" s="2"/>
    </x:row>
    <x:row r="2319" ht="21" customHeight="1">
      <x:c r="A2319" s="2" t="str">
        <x:v>NT002318</x:v>
      </x:c>
      <x:c r="B2319" s="2" t="str">
        <x:v>EV002320</x:v>
      </x:c>
      <x:c r="C2319" s="2" t="str">
        <x:v>T20261008-2-3</x:v>
      </x:c>
      <x:c r="D2319" s="2" t="str">
        <x:v>ST113</x:v>
      </x:c>
      <x:c r="E2319" s="2" t="str">
        <x:v>G113</x:v>
      </x:c>
      <x:c r="F2319" s="2" t="str">
        <x:v>guardian113@example.invalid</x:v>
      </x:c>
      <x:c r="G2319" s="2" t="str">
        <x:v>Email</x:v>
      </x:c>
      <x:c r="H2319" s="2" t="str">
        <x:v>School receipt</x:v>
      </x:c>
      <x:c r="I2319" s="8" t="n">
        <x:v>46303.50666666667</x:v>
      </x:c>
      <x:c r="J2319" s="8" t="n">
        <x:v>46303.506689814814</x:v>
      </x:c>
      <x:c r="K2319" s="8" t="n">
        <x:v>46303.50672453704</x:v>
      </x:c>
      <x:c r="L2319" s="2" t="str">
        <x:v>Sent</x:v>
      </x:c>
      <x:c r="M2319" s="2" t="n">
        <x:v>1</x:v>
      </x:c>
      <x:c r="N2319" s="2"/>
      <x:c r="O2319" s="2"/>
    </x:row>
    <x:row r="2320" ht="21" customHeight="1">
      <x:c r="A2320" s="2" t="str">
        <x:v>NT002319</x:v>
      </x:c>
      <x:c r="B2320" s="2" t="str">
        <x:v>EV002321</x:v>
      </x:c>
      <x:c r="C2320" s="2" t="str">
        <x:v>T20261008-2-3</x:v>
      </x:c>
      <x:c r="D2320" s="2" t="str">
        <x:v>ST114</x:v>
      </x:c>
      <x:c r="E2320" s="2" t="str">
        <x:v>G114</x:v>
      </x:c>
      <x:c r="F2320" s="2" t="str">
        <x:v>guardian114@example.invalid</x:v>
      </x:c>
      <x:c r="G2320" s="2" t="str">
        <x:v>Email</x:v>
      </x:c>
      <x:c r="H2320" s="2" t="str">
        <x:v>Boarded</x:v>
      </x:c>
      <x:c r="I2320" s="8" t="n">
        <x:v>46303.47163194445</x:v>
      </x:c>
      <x:c r="J2320" s="8" t="n">
        <x:v>46303.471655092595</x:v>
      </x:c>
      <x:c r="K2320" s="8" t="n">
        <x:v>46303.47168981482</x:v>
      </x:c>
      <x:c r="L2320" s="2" t="str">
        <x:v>Sent</x:v>
      </x:c>
      <x:c r="M2320" s="2" t="n">
        <x:v>1</x:v>
      </x:c>
      <x:c r="N2320" s="2"/>
      <x:c r="O2320" s="2"/>
    </x:row>
    <x:row r="2321" ht="21" customHeight="1">
      <x:c r="A2321" s="2" t="str">
        <x:v>NT002320</x:v>
      </x:c>
      <x:c r="B2321" s="2" t="str">
        <x:v>EV002322</x:v>
      </x:c>
      <x:c r="C2321" s="2" t="str">
        <x:v>T20261008-2-3</x:v>
      </x:c>
      <x:c r="D2321" s="2" t="str">
        <x:v>ST114</x:v>
      </x:c>
      <x:c r="E2321" s="2" t="str">
        <x:v>G114</x:v>
      </x:c>
      <x:c r="F2321" s="2" t="str">
        <x:v>guardian114@example.invalid</x:v>
      </x:c>
      <x:c r="G2321" s="2" t="str">
        <x:v>Email</x:v>
      </x:c>
      <x:c r="H2321" s="2" t="str">
        <x:v>School receipt</x:v>
      </x:c>
      <x:c r="I2321" s="8" t="n">
        <x:v>46303.50670138889</x:v>
      </x:c>
      <x:c r="J2321" s="8" t="n">
        <x:v>46303.50672453704</x:v>
      </x:c>
      <x:c r="K2321" s="8" t="n">
        <x:v>46303.50675925926</x:v>
      </x:c>
      <x:c r="L2321" s="2" t="str">
        <x:v>Sent</x:v>
      </x:c>
      <x:c r="M2321" s="2" t="n">
        <x:v>1</x:v>
      </x:c>
      <x:c r="N2321" s="2"/>
      <x:c r="O2321" s="2"/>
    </x:row>
    <x:row r="2322" ht="21" customHeight="1">
      <x:c r="A2322" s="2" t="str">
        <x:v>NT002321</x:v>
      </x:c>
      <x:c r="B2322" s="2" t="str">
        <x:v>EV002323</x:v>
      </x:c>
      <x:c r="C2322" s="2" t="str">
        <x:v>T20261008-2-3</x:v>
      </x:c>
      <x:c r="D2322" s="2" t="str">
        <x:v>ST115</x:v>
      </x:c>
      <x:c r="E2322" s="2" t="str">
        <x:v>G115</x:v>
      </x:c>
      <x:c r="F2322" s="2" t="str">
        <x:v>guardian115@example.invalid</x:v>
      </x:c>
      <x:c r="G2322" s="2" t="str">
        <x:v>Email</x:v>
      </x:c>
      <x:c r="H2322" s="2" t="str">
        <x:v>Boarded</x:v>
      </x:c>
      <x:c r="I2322" s="8" t="n">
        <x:v>46303.47652777778</x:v>
      </x:c>
      <x:c r="J2322" s="8" t="n">
        <x:v>46303.47655092592</x:v>
      </x:c>
      <x:c r="K2322" s="8" t="n">
        <x:v>46303.476585648146</x:v>
      </x:c>
      <x:c r="L2322" s="2" t="str">
        <x:v>Sent</x:v>
      </x:c>
      <x:c r="M2322" s="2" t="n">
        <x:v>1</x:v>
      </x:c>
      <x:c r="N2322" s="2"/>
      <x:c r="O2322" s="2"/>
    </x:row>
    <x:row r="2323" ht="21" customHeight="1">
      <x:c r="A2323" s="2" t="str">
        <x:v>NT002322</x:v>
      </x:c>
      <x:c r="B2323" s="2" t="str">
        <x:v>EV002324</x:v>
      </x:c>
      <x:c r="C2323" s="2" t="str">
        <x:v>T20261008-2-3</x:v>
      </x:c>
      <x:c r="D2323" s="2" t="str">
        <x:v>ST115</x:v>
      </x:c>
      <x:c r="E2323" s="2" t="str">
        <x:v>G115</x:v>
      </x:c>
      <x:c r="F2323" s="2" t="str">
        <x:v>guardian115@example.invalid</x:v>
      </x:c>
      <x:c r="G2323" s="2" t="str">
        <x:v>Email</x:v>
      </x:c>
      <x:c r="H2323" s="2" t="str">
        <x:v>School receipt</x:v>
      </x:c>
      <x:c r="I2323" s="8" t="n">
        <x:v>46303.506736111114</x:v>
      </x:c>
      <x:c r="J2323" s="8" t="n">
        <x:v>46303.50675925926</x:v>
      </x:c>
      <x:c r="K2323" s="8" t="n">
        <x:v>46303.50679398148</x:v>
      </x:c>
      <x:c r="L2323" s="2" t="str">
        <x:v>Sent</x:v>
      </x:c>
      <x:c r="M2323" s="2" t="n">
        <x:v>1</x:v>
      </x:c>
      <x:c r="N2323" s="2"/>
      <x:c r="O2323" s="2"/>
    </x:row>
    <x:row r="2324" ht="21" customHeight="1">
      <x:c r="A2324" s="2" t="str">
        <x:v>NT002323</x:v>
      </x:c>
      <x:c r="B2324" s="2" t="str">
        <x:v>EV002325</x:v>
      </x:c>
      <x:c r="C2324" s="2" t="str">
        <x:v>T20261008-2-3</x:v>
      </x:c>
      <x:c r="D2324" s="2" t="str">
        <x:v>ST116</x:v>
      </x:c>
      <x:c r="E2324" s="2" t="str">
        <x:v>G116</x:v>
      </x:c>
      <x:c r="F2324" s="2" t="str">
        <x:v>guardian116@example.invalid</x:v>
      </x:c>
      <x:c r="G2324" s="2" t="str">
        <x:v>Email</x:v>
      </x:c>
      <x:c r="H2324" s="2" t="str">
        <x:v>Boarded</x:v>
      </x:c>
      <x:c r="I2324" s="8" t="n">
        <x:v>46303.481423611105</x:v>
      </x:c>
      <x:c r="J2324" s="8" t="n">
        <x:v>46303.48144675925</x:v>
      </x:c>
      <x:c r="K2324" s="8" t="n">
        <x:v>46303.481481481474</x:v>
      </x:c>
      <x:c r="L2324" s="2" t="str">
        <x:v>Sent</x:v>
      </x:c>
      <x:c r="M2324" s="2" t="n">
        <x:v>1</x:v>
      </x:c>
      <x:c r="N2324" s="2"/>
      <x:c r="O2324" s="2"/>
    </x:row>
    <x:row r="2325" ht="21" customHeight="1">
      <x:c r="A2325" s="2" t="str">
        <x:v>NT002324</x:v>
      </x:c>
      <x:c r="B2325" s="2" t="str">
        <x:v>EV002326</x:v>
      </x:c>
      <x:c r="C2325" s="2" t="str">
        <x:v>T20261008-2-3</x:v>
      </x:c>
      <x:c r="D2325" s="2" t="str">
        <x:v>ST116</x:v>
      </x:c>
      <x:c r="E2325" s="2" t="str">
        <x:v>G116</x:v>
      </x:c>
      <x:c r="F2325" s="2" t="str">
        <x:v>guardian116@example.invalid</x:v>
      </x:c>
      <x:c r="G2325" s="2" t="str">
        <x:v>Email</x:v>
      </x:c>
      <x:c r="H2325" s="2" t="str">
        <x:v>School receipt</x:v>
      </x:c>
      <x:c r="I2325" s="8" t="n">
        <x:v>46303.50677083334</x:v>
      </x:c>
      <x:c r="J2325" s="8" t="n">
        <x:v>46303.50679398148</x:v>
      </x:c>
      <x:c r="K2325" s="8" t="n">
        <x:v>46303.50682870371</x:v>
      </x:c>
      <x:c r="L2325" s="2" t="str">
        <x:v>Sent</x:v>
      </x:c>
      <x:c r="M2325" s="2" t="n">
        <x:v>1</x:v>
      </x:c>
      <x:c r="N2325" s="2"/>
      <x:c r="O2325" s="2"/>
    </x:row>
    <x:row r="2326" ht="21" customHeight="1">
      <x:c r="A2326" s="2" t="str">
        <x:v>NT002325</x:v>
      </x:c>
      <x:c r="B2326" s="2" t="str">
        <x:v>EV002327</x:v>
      </x:c>
      <x:c r="C2326" s="2" t="str">
        <x:v>T20261008-2-3</x:v>
      </x:c>
      <x:c r="D2326" s="2" t="str">
        <x:v>ST117</x:v>
      </x:c>
      <x:c r="E2326" s="2" t="str">
        <x:v>G117</x:v>
      </x:c>
      <x:c r="F2326" s="2" t="str">
        <x:v>guardian117@example.invalid</x:v>
      </x:c>
      <x:c r="G2326" s="2" t="str">
        <x:v>Email</x:v>
      </x:c>
      <x:c r="H2326" s="2" t="str">
        <x:v>Boarded</x:v>
      </x:c>
      <x:c r="I2326" s="8" t="n">
        <x:v>46303.47173611111</x:v>
      </x:c>
      <x:c r="J2326" s="8" t="n">
        <x:v>46303.47175925926</x:v>
      </x:c>
      <x:c r="K2326" s="8" t="n">
        <x:v>46303.47179398148</x:v>
      </x:c>
      <x:c r="L2326" s="2" t="str">
        <x:v>Sent</x:v>
      </x:c>
      <x:c r="M2326" s="2" t="n">
        <x:v>1</x:v>
      </x:c>
      <x:c r="N2326" s="2"/>
      <x:c r="O2326" s="2"/>
    </x:row>
    <x:row r="2327" ht="21" customHeight="1">
      <x:c r="A2327" s="2" t="str">
        <x:v>NT002326</x:v>
      </x:c>
      <x:c r="B2327" s="2" t="str">
        <x:v>EV002328</x:v>
      </x:c>
      <x:c r="C2327" s="2" t="str">
        <x:v>T20261008-2-3</x:v>
      </x:c>
      <x:c r="D2327" s="2" t="str">
        <x:v>ST117</x:v>
      </x:c>
      <x:c r="E2327" s="2" t="str">
        <x:v>G117</x:v>
      </x:c>
      <x:c r="F2327" s="2" t="str">
        <x:v>guardian117@example.invalid</x:v>
      </x:c>
      <x:c r="G2327" s="2" t="str">
        <x:v>Email</x:v>
      </x:c>
      <x:c r="H2327" s="2" t="str">
        <x:v>School receipt</x:v>
      </x:c>
      <x:c r="I2327" s="8" t="n">
        <x:v>46303.50680555556</x:v>
      </x:c>
      <x:c r="J2327" s="8" t="n">
        <x:v>46303.50682870371</x:v>
      </x:c>
      <x:c r="K2327" s="8" t="n">
        <x:v>46303.50686342593</x:v>
      </x:c>
      <x:c r="L2327" s="2" t="str">
        <x:v>Sent</x:v>
      </x:c>
      <x:c r="M2327" s="2" t="n">
        <x:v>1</x:v>
      </x:c>
      <x:c r="N2327" s="2"/>
      <x:c r="O2327" s="2"/>
    </x:row>
    <x:row r="2328" ht="21" customHeight="1">
      <x:c r="A2328" s="2" t="str">
        <x:v>NT002327</x:v>
      </x:c>
      <x:c r="B2328" s="2" t="str">
        <x:v>EV002329</x:v>
      </x:c>
      <x:c r="C2328" s="2" t="str">
        <x:v>T20261008-2-3</x:v>
      </x:c>
      <x:c r="D2328" s="2" t="str">
        <x:v>ST118</x:v>
      </x:c>
      <x:c r="E2328" s="2" t="str">
        <x:v>G118</x:v>
      </x:c>
      <x:c r="F2328" s="2" t="str">
        <x:v>guardian118@example.invalid</x:v>
      </x:c>
      <x:c r="G2328" s="2" t="str">
        <x:v>Email</x:v>
      </x:c>
      <x:c r="H2328" s="2" t="str">
        <x:v>Boarded</x:v>
      </x:c>
      <x:c r="I2328" s="8" t="n">
        <x:v>46303.47663194444</x:v>
      </x:c>
      <x:c r="J2328" s="8" t="n">
        <x:v>46303.476655092585</x:v>
      </x:c>
      <x:c r="K2328" s="8" t="n">
        <x:v>46303.47668981481</x:v>
      </x:c>
      <x:c r="L2328" s="2" t="str">
        <x:v>Sent</x:v>
      </x:c>
      <x:c r="M2328" s="2" t="n">
        <x:v>1</x:v>
      </x:c>
      <x:c r="N2328" s="2"/>
      <x:c r="O2328" s="2"/>
    </x:row>
    <x:row r="2329" ht="21" customHeight="1">
      <x:c r="A2329" s="2" t="str">
        <x:v>NT002328</x:v>
      </x:c>
      <x:c r="B2329" s="2" t="str">
        <x:v>EV002330</x:v>
      </x:c>
      <x:c r="C2329" s="2" t="str">
        <x:v>T20261008-2-3</x:v>
      </x:c>
      <x:c r="D2329" s="2" t="str">
        <x:v>ST118</x:v>
      </x:c>
      <x:c r="E2329" s="2" t="str">
        <x:v>G118</x:v>
      </x:c>
      <x:c r="F2329" s="2" t="str">
        <x:v>guardian118@example.invalid</x:v>
      </x:c>
      <x:c r="G2329" s="2" t="str">
        <x:v>Email</x:v>
      </x:c>
      <x:c r="H2329" s="2" t="str">
        <x:v>School receipt</x:v>
      </x:c>
      <x:c r="I2329" s="8" t="n">
        <x:v>46303.50684027778</x:v>
      </x:c>
      <x:c r="J2329" s="8" t="n">
        <x:v>46303.50686342593</x:v>
      </x:c>
      <x:c r="K2329" s="8" t="n">
        <x:v>46303.50689814815</x:v>
      </x:c>
      <x:c r="L2329" s="2" t="str">
        <x:v>Sent</x:v>
      </x:c>
      <x:c r="M2329" s="2" t="n">
        <x:v>1</x:v>
      </x:c>
      <x:c r="N2329" s="2"/>
      <x:c r="O2329" s="2"/>
    </x:row>
    <x:row r="2330" ht="21" customHeight="1">
      <x:c r="A2330" s="2" t="str">
        <x:v>NT002329</x:v>
      </x:c>
      <x:c r="B2330" s="2" t="str">
        <x:v>EV002331</x:v>
      </x:c>
      <x:c r="C2330" s="2" t="str">
        <x:v>T20261008-2-3</x:v>
      </x:c>
      <x:c r="D2330" s="2" t="str">
        <x:v>ST119</x:v>
      </x:c>
      <x:c r="E2330" s="2" t="str">
        <x:v>G119</x:v>
      </x:c>
      <x:c r="F2330" s="2" t="str">
        <x:v>guardian119@example.invalid</x:v>
      </x:c>
      <x:c r="G2330" s="2" t="str">
        <x:v>Email</x:v>
      </x:c>
      <x:c r="H2330" s="2" t="str">
        <x:v>Boarded</x:v>
      </x:c>
      <x:c r="I2330" s="8" t="n">
        <x:v>46303.481527777774</x:v>
      </x:c>
      <x:c r="J2330" s="8" t="n">
        <x:v>46303.48155092592</x:v>
      </x:c>
      <x:c r="K2330" s="8" t="n">
        <x:v>46303.481585648144</x:v>
      </x:c>
      <x:c r="L2330" s="2" t="str">
        <x:v>Sent</x:v>
      </x:c>
      <x:c r="M2330" s="2" t="n">
        <x:v>1</x:v>
      </x:c>
      <x:c r="N2330" s="2"/>
      <x:c r="O2330" s="2"/>
    </x:row>
    <x:row r="2331" ht="21" customHeight="1">
      <x:c r="A2331" s="2" t="str">
        <x:v>NT002330</x:v>
      </x:c>
      <x:c r="B2331" s="2" t="str">
        <x:v>EV002332</x:v>
      </x:c>
      <x:c r="C2331" s="2" t="str">
        <x:v>T20261008-2-3</x:v>
      </x:c>
      <x:c r="D2331" s="2" t="str">
        <x:v>ST119</x:v>
      </x:c>
      <x:c r="E2331" s="2" t="str">
        <x:v>G119</x:v>
      </x:c>
      <x:c r="F2331" s="2" t="str">
        <x:v>guardian119@example.invalid</x:v>
      </x:c>
      <x:c r="G2331" s="2" t="str">
        <x:v>Email</x:v>
      </x:c>
      <x:c r="H2331" s="2" t="str">
        <x:v>School receipt</x:v>
      </x:c>
      <x:c r="I2331" s="8" t="n">
        <x:v>46303.50687500001</x:v>
      </x:c>
      <x:c r="J2331" s="8" t="n">
        <x:v>46303.50689814815</x:v>
      </x:c>
      <x:c r="K2331" s="8" t="n">
        <x:v>46303.506932870376</x:v>
      </x:c>
      <x:c r="L2331" s="2" t="str">
        <x:v>Sent</x:v>
      </x:c>
      <x:c r="M2331" s="2" t="n">
        <x:v>1</x:v>
      </x:c>
      <x:c r="N2331" s="2"/>
      <x:c r="O2331" s="2"/>
    </x:row>
    <x:row r="2332" ht="21" customHeight="1">
      <x:c r="A2332" s="2" t="str">
        <x:v>NT002331</x:v>
      </x:c>
      <x:c r="B2332" s="2" t="str">
        <x:v>EV002333</x:v>
      </x:c>
      <x:c r="C2332" s="2" t="str">
        <x:v>T20261008-2-3</x:v>
      </x:c>
      <x:c r="D2332" s="2" t="str">
        <x:v>ST120</x:v>
      </x:c>
      <x:c r="E2332" s="2" t="str">
        <x:v>G120</x:v>
      </x:c>
      <x:c r="F2332" s="2" t="str">
        <x:v>guardian120@example.invalid</x:v>
      </x:c>
      <x:c r="G2332" s="2" t="str">
        <x:v>Email</x:v>
      </x:c>
      <x:c r="H2332" s="2" t="str">
        <x:v>Boarded</x:v>
      </x:c>
      <x:c r="I2332" s="8" t="n">
        <x:v>46303.47184027778</x:v>
      </x:c>
      <x:c r="J2332" s="8" t="n">
        <x:v>46303.471863425926</x:v>
      </x:c>
      <x:c r="K2332" s="8" t="n">
        <x:v>46303.47189814815</x:v>
      </x:c>
      <x:c r="L2332" s="2" t="str">
        <x:v>Sent</x:v>
      </x:c>
      <x:c r="M2332" s="2" t="n">
        <x:v>1</x:v>
      </x:c>
      <x:c r="N2332" s="2"/>
      <x:c r="O2332" s="2"/>
    </x:row>
    <x:row r="2333" ht="21" customHeight="1">
      <x:c r="A2333" s="2" t="str">
        <x:v>NT002332</x:v>
      </x:c>
      <x:c r="B2333" s="2" t="str">
        <x:v>EV002334</x:v>
      </x:c>
      <x:c r="C2333" s="2" t="str">
        <x:v>T20261008-2-3</x:v>
      </x:c>
      <x:c r="D2333" s="2" t="str">
        <x:v>ST120</x:v>
      </x:c>
      <x:c r="E2333" s="2" t="str">
        <x:v>G120</x:v>
      </x:c>
      <x:c r="F2333" s="2" t="str">
        <x:v>guardian120@example.invalid</x:v>
      </x:c>
      <x:c r="G2333" s="2" t="str">
        <x:v>Email</x:v>
      </x:c>
      <x:c r="H2333" s="2" t="str">
        <x:v>School receipt</x:v>
      </x:c>
      <x:c r="I2333" s="8" t="n">
        <x:v>46303.50690972222</x:v>
      </x:c>
      <x:c r="J2333" s="8" t="n">
        <x:v>46303.50693287037</x:v>
      </x:c>
      <x:c r="K2333" s="8" t="n">
        <x:v>46303.50696759259</x:v>
      </x:c>
      <x:c r="L2333" s="2" t="str">
        <x:v>Sent</x:v>
      </x:c>
      <x:c r="M2333" s="2" t="n">
        <x:v>1</x:v>
      </x:c>
      <x:c r="N2333" s="2"/>
      <x:c r="O2333" s="2"/>
    </x:row>
    <x:row r="2334" ht="21" customHeight="1">
      <x:c r="A2334" s="2" t="str">
        <x:v>NT002333</x:v>
      </x:c>
      <x:c r="B2334" s="2" t="str">
        <x:v>EV002335</x:v>
      </x:c>
      <x:c r="C2334" s="2" t="str">
        <x:v>T20261008-3-3</x:v>
      </x:c>
      <x:c r="D2334" s="2" t="str">
        <x:v>ST091</x:v>
      </x:c>
      <x:c r="E2334" s="2" t="str">
        <x:v>G091</x:v>
      </x:c>
      <x:c r="F2334" s="2" t="str">
        <x:v>guardian091@example.invalid</x:v>
      </x:c>
      <x:c r="G2334" s="2" t="str">
        <x:v>Email</x:v>
      </x:c>
      <x:c r="H2334" s="2" t="str">
        <x:v>Boarded</x:v>
      </x:c>
      <x:c r="I2334" s="8" t="n">
        <x:v>46303.57291666667</x:v>
      </x:c>
      <x:c r="J2334" s="8" t="n">
        <x:v>46303.57293981482</x:v>
      </x:c>
      <x:c r="K2334" s="8" t="n">
        <x:v>46303.57297453704</x:v>
      </x:c>
      <x:c r="L2334" s="2" t="str">
        <x:v>Sent</x:v>
      </x:c>
      <x:c r="M2334" s="2" t="n">
        <x:v>1</x:v>
      </x:c>
      <x:c r="N2334" s="2"/>
      <x:c r="O2334" s="2"/>
    </x:row>
    <x:row r="2335" ht="21" customHeight="1">
      <x:c r="A2335" s="2" t="str">
        <x:v>NT002334</x:v>
      </x:c>
      <x:c r="B2335" s="2" t="str">
        <x:v>EV002336</x:v>
      </x:c>
      <x:c r="C2335" s="2" t="str">
        <x:v>T20261008-3-3</x:v>
      </x:c>
      <x:c r="D2335" s="2" t="str">
        <x:v>ST091</x:v>
      </x:c>
      <x:c r="E2335" s="2" t="str">
        <x:v>G091</x:v>
      </x:c>
      <x:c r="F2335" s="2" t="str">
        <x:v>guardian091@example.invalid</x:v>
      </x:c>
      <x:c r="G2335" s="2" t="str">
        <x:v>Email</x:v>
      </x:c>
      <x:c r="H2335" s="2" t="str">
        <x:v>Authorized release</x:v>
      </x:c>
      <x:c r="I2335" s="8" t="n">
        <x:v>46303.59027777778</x:v>
      </x:c>
      <x:c r="J2335" s="8" t="n">
        <x:v>46303.59030092593</x:v>
      </x:c>
      <x:c r="K2335" s="8" t="n">
        <x:v>46303.59033564815</x:v>
      </x:c>
      <x:c r="L2335" s="2" t="str">
        <x:v>Sent</x:v>
      </x:c>
      <x:c r="M2335" s="2" t="n">
        <x:v>1</x:v>
      </x:c>
      <x:c r="N2335" s="2"/>
      <x:c r="O2335" s="2"/>
    </x:row>
    <x:row r="2336" ht="21" customHeight="1">
      <x:c r="A2336" s="2" t="str">
        <x:v>NT002335</x:v>
      </x:c>
      <x:c r="B2336" s="2" t="str">
        <x:v>EV002337</x:v>
      </x:c>
      <x:c r="C2336" s="2" t="str">
        <x:v>T20261008-3-3</x:v>
      </x:c>
      <x:c r="D2336" s="2" t="str">
        <x:v>ST092</x:v>
      </x:c>
      <x:c r="E2336" s="2" t="str">
        <x:v>G092</x:v>
      </x:c>
      <x:c r="F2336" s="2" t="str">
        <x:v>guardian092@example.invalid</x:v>
      </x:c>
      <x:c r="G2336" s="2" t="str">
        <x:v>Email</x:v>
      </x:c>
      <x:c r="H2336" s="2" t="str">
        <x:v>Boarded</x:v>
      </x:c>
      <x:c r="I2336" s="8" t="n">
        <x:v>46303.572951388895</x:v>
      </x:c>
      <x:c r="J2336" s="8" t="n">
        <x:v>46303.57297453704</x:v>
      </x:c>
      <x:c r="K2336" s="8" t="n">
        <x:v>46303.573009259264</x:v>
      </x:c>
      <x:c r="L2336" s="2" t="str">
        <x:v>Sent</x:v>
      </x:c>
      <x:c r="M2336" s="2" t="n">
        <x:v>1</x:v>
      </x:c>
      <x:c r="N2336" s="2"/>
      <x:c r="O2336" s="2"/>
    </x:row>
    <x:row r="2337" ht="21" customHeight="1">
      <x:c r="A2337" s="2" t="str">
        <x:v>NT002336</x:v>
      </x:c>
      <x:c r="B2337" s="2" t="str">
        <x:v>EV002338</x:v>
      </x:c>
      <x:c r="C2337" s="2" t="str">
        <x:v>T20261008-3-3</x:v>
      </x:c>
      <x:c r="D2337" s="2" t="str">
        <x:v>ST092</x:v>
      </x:c>
      <x:c r="E2337" s="2" t="str">
        <x:v>G092</x:v>
      </x:c>
      <x:c r="F2337" s="2" t="str">
        <x:v>guardian092@example.invalid</x:v>
      </x:c>
      <x:c r="G2337" s="2" t="str">
        <x:v>Email</x:v>
      </x:c>
      <x:c r="H2337" s="2" t="str">
        <x:v>Authorized release</x:v>
      </x:c>
      <x:c r="I2337" s="8" t="n">
        <x:v>46303.59447916667</x:v>
      </x:c>
      <x:c r="J2337" s="8" t="n">
        <x:v>46303.594502314816</x:v>
      </x:c>
      <x:c r="K2337" s="8" t="n">
        <x:v>46303.59453703704</x:v>
      </x:c>
      <x:c r="L2337" s="2" t="str">
        <x:v>Sent</x:v>
      </x:c>
      <x:c r="M2337" s="2" t="n">
        <x:v>1</x:v>
      </x:c>
      <x:c r="N2337" s="2"/>
      <x:c r="O2337" s="2"/>
    </x:row>
    <x:row r="2338" ht="21" customHeight="1">
      <x:c r="A2338" s="2" t="str">
        <x:v>NT002337</x:v>
      </x:c>
      <x:c r="B2338" s="2" t="str">
        <x:v>EV002339</x:v>
      </x:c>
      <x:c r="C2338" s="2" t="str">
        <x:v>T20261008-3-3</x:v>
      </x:c>
      <x:c r="D2338" s="2" t="str">
        <x:v>ST093</x:v>
      </x:c>
      <x:c r="E2338" s="2" t="str">
        <x:v>G093</x:v>
      </x:c>
      <x:c r="F2338" s="2" t="str">
        <x:v>guardian093@example.invalid</x:v>
      </x:c>
      <x:c r="G2338" s="2" t="str">
        <x:v>Email</x:v>
      </x:c>
      <x:c r="H2338" s="2" t="str">
        <x:v>Boarded</x:v>
      </x:c>
      <x:c r="I2338" s="8" t="n">
        <x:v>46303.57298611112</x:v>
      </x:c>
      <x:c r="J2338" s="8" t="n">
        <x:v>46303.573009259264</x:v>
      </x:c>
      <x:c r="K2338" s="8" t="n">
        <x:v>46303.57304398149</x:v>
      </x:c>
      <x:c r="L2338" s="2" t="str">
        <x:v>Sent</x:v>
      </x:c>
      <x:c r="M2338" s="2" t="n">
        <x:v>1</x:v>
      </x:c>
      <x:c r="N2338" s="2"/>
      <x:c r="O2338" s="2"/>
    </x:row>
    <x:row r="2339" ht="21" customHeight="1">
      <x:c r="A2339" s="2" t="str">
        <x:v>NT002338</x:v>
      </x:c>
      <x:c r="B2339" s="2" t="str">
        <x:v>EV002340</x:v>
      </x:c>
      <x:c r="C2339" s="2" t="str">
        <x:v>T20261008-3-3</x:v>
      </x:c>
      <x:c r="D2339" s="2" t="str">
        <x:v>ST093</x:v>
      </x:c>
      <x:c r="E2339" s="2" t="str">
        <x:v>G093</x:v>
      </x:c>
      <x:c r="F2339" s="2" t="str">
        <x:v>guardian093@example.invalid</x:v>
      </x:c>
      <x:c r="G2339" s="2" t="str">
        <x:v>Email</x:v>
      </x:c>
      <x:c r="H2339" s="2" t="str">
        <x:v>Authorized release</x:v>
      </x:c>
      <x:c r="I2339" s="8" t="n">
        <x:v>46303.58618055556</x:v>
      </x:c>
      <x:c r="J2339" s="8" t="n">
        <x:v>46303.58620370371</x:v>
      </x:c>
      <x:c r="K2339" s="8" t="n">
        <x:v>46303.58623842593</x:v>
      </x:c>
      <x:c r="L2339" s="2" t="str">
        <x:v>Sent</x:v>
      </x:c>
      <x:c r="M2339" s="2" t="n">
        <x:v>1</x:v>
      </x:c>
      <x:c r="N2339" s="2"/>
      <x:c r="O2339" s="2"/>
    </x:row>
    <x:row r="2340" ht="21" customHeight="1">
      <x:c r="A2340" s="2" t="str">
        <x:v>NT002339</x:v>
      </x:c>
      <x:c r="B2340" s="2" t="str">
        <x:v>EV002341</x:v>
      </x:c>
      <x:c r="C2340" s="2" t="str">
        <x:v>T20261008-3-3</x:v>
      </x:c>
      <x:c r="D2340" s="2" t="str">
        <x:v>ST094</x:v>
      </x:c>
      <x:c r="E2340" s="2" t="str">
        <x:v>G094</x:v>
      </x:c>
      <x:c r="F2340" s="2" t="str">
        <x:v>guardian094@example.invalid</x:v>
      </x:c>
      <x:c r="G2340" s="2" t="str">
        <x:v>Email</x:v>
      </x:c>
      <x:c r="H2340" s="2" t="str">
        <x:v>Boarded</x:v>
      </x:c>
      <x:c r="I2340" s="8" t="n">
        <x:v>46303.57302083334</x:v>
      </x:c>
      <x:c r="J2340" s="8" t="n">
        <x:v>46303.57304398149</x:v>
      </x:c>
      <x:c r="K2340" s="8" t="n">
        <x:v>46303.57307870371</x:v>
      </x:c>
      <x:c r="L2340" s="2" t="str">
        <x:v>Sent</x:v>
      </x:c>
      <x:c r="M2340" s="2" t="n">
        <x:v>1</x:v>
      </x:c>
      <x:c r="N2340" s="2"/>
      <x:c r="O2340" s="2"/>
    </x:row>
    <x:row r="2341" ht="21" customHeight="1">
      <x:c r="A2341" s="2" t="str">
        <x:v>NT002340</x:v>
      </x:c>
      <x:c r="B2341" s="2" t="str">
        <x:v>EV002342</x:v>
      </x:c>
      <x:c r="C2341" s="2" t="str">
        <x:v>T20261008-3-3</x:v>
      </x:c>
      <x:c r="D2341" s="2" t="str">
        <x:v>ST094</x:v>
      </x:c>
      <x:c r="E2341" s="2" t="str">
        <x:v>G094</x:v>
      </x:c>
      <x:c r="F2341" s="2" t="str">
        <x:v>guardian094@example.invalid</x:v>
      </x:c>
      <x:c r="G2341" s="2" t="str">
        <x:v>Email</x:v>
      </x:c>
      <x:c r="H2341" s="2" t="str">
        <x:v>Authorized release</x:v>
      </x:c>
      <x:c r="I2341" s="8" t="n">
        <x:v>46303.59038194445</x:v>
      </x:c>
      <x:c r="J2341" s="8" t="n">
        <x:v>46303.5904050926</x:v>
      </x:c>
      <x:c r="K2341" s="8" t="n">
        <x:v>46303.59043981482</x:v>
      </x:c>
      <x:c r="L2341" s="2" t="str">
        <x:v>Sent</x:v>
      </x:c>
      <x:c r="M2341" s="2" t="n">
        <x:v>1</x:v>
      </x:c>
      <x:c r="N2341" s="2"/>
      <x:c r="O2341" s="2"/>
    </x:row>
    <x:row r="2342" ht="21" customHeight="1">
      <x:c r="A2342" s="2" t="str">
        <x:v>NT002341</x:v>
      </x:c>
      <x:c r="B2342" s="2" t="str">
        <x:v>EV002343</x:v>
      </x:c>
      <x:c r="C2342" s="2" t="str">
        <x:v>T20261008-3-3</x:v>
      </x:c>
      <x:c r="D2342" s="2" t="str">
        <x:v>ST095</x:v>
      </x:c>
      <x:c r="E2342" s="2" t="str">
        <x:v>G095</x:v>
      </x:c>
      <x:c r="F2342" s="2" t="str">
        <x:v>guardian095@example.invalid</x:v>
      </x:c>
      <x:c r="G2342" s="2" t="str">
        <x:v>Email</x:v>
      </x:c>
      <x:c r="H2342" s="2" t="str">
        <x:v>Boarded</x:v>
      </x:c>
      <x:c r="I2342" s="8" t="n">
        <x:v>46303.573055555564</x:v>
      </x:c>
      <x:c r="J2342" s="8" t="n">
        <x:v>46303.57307870371</x:v>
      </x:c>
      <x:c r="K2342" s="8" t="n">
        <x:v>46303.57311342593</x:v>
      </x:c>
      <x:c r="L2342" s="2" t="str">
        <x:v>Sent</x:v>
      </x:c>
      <x:c r="M2342" s="2" t="n">
        <x:v>1</x:v>
      </x:c>
      <x:c r="N2342" s="2"/>
      <x:c r="O2342" s="2"/>
    </x:row>
    <x:row r="2343" ht="21" customHeight="1">
      <x:c r="A2343" s="2" t="str">
        <x:v>NT002342</x:v>
      </x:c>
      <x:c r="B2343" s="2" t="str">
        <x:v>EV002344</x:v>
      </x:c>
      <x:c r="C2343" s="2" t="str">
        <x:v>T20261008-3-3</x:v>
      </x:c>
      <x:c r="D2343" s="2" t="str">
        <x:v>ST095</x:v>
      </x:c>
      <x:c r="E2343" s="2" t="str">
        <x:v>G095</x:v>
      </x:c>
      <x:c r="F2343" s="2" t="str">
        <x:v>guardian095@example.invalid</x:v>
      </x:c>
      <x:c r="G2343" s="2" t="str">
        <x:v>Email</x:v>
      </x:c>
      <x:c r="H2343" s="2" t="str">
        <x:v>Authorized release</x:v>
      </x:c>
      <x:c r="I2343" s="8" t="n">
        <x:v>46303.59458333334</x:v>
      </x:c>
      <x:c r="J2343" s="8" t="n">
        <x:v>46303.594606481485</x:v>
      </x:c>
      <x:c r="K2343" s="8" t="n">
        <x:v>46303.59464120371</x:v>
      </x:c>
      <x:c r="L2343" s="2" t="str">
        <x:v>Sent</x:v>
      </x:c>
      <x:c r="M2343" s="2" t="n">
        <x:v>1</x:v>
      </x:c>
      <x:c r="N2343" s="2"/>
      <x:c r="O2343" s="2"/>
    </x:row>
    <x:row r="2344" ht="21" customHeight="1">
      <x:c r="A2344" s="2" t="str">
        <x:v>NT002343</x:v>
      </x:c>
      <x:c r="B2344" s="2" t="str">
        <x:v>EV002345</x:v>
      </x:c>
      <x:c r="C2344" s="2" t="str">
        <x:v>T20261008-3-3</x:v>
      </x:c>
      <x:c r="D2344" s="2" t="str">
        <x:v>ST096</x:v>
      </x:c>
      <x:c r="E2344" s="2" t="str">
        <x:v>G096</x:v>
      </x:c>
      <x:c r="F2344" s="2" t="str">
        <x:v>guardian096@example.invalid</x:v>
      </x:c>
      <x:c r="G2344" s="2" t="str">
        <x:v>Email</x:v>
      </x:c>
      <x:c r="H2344" s="2" t="str">
        <x:v>Boarded</x:v>
      </x:c>
      <x:c r="I2344" s="8" t="n">
        <x:v>46303.57309027778</x:v>
      </x:c>
      <x:c r="J2344" s="8" t="n">
        <x:v>46303.573113425926</x:v>
      </x:c>
      <x:c r="K2344" s="8" t="n">
        <x:v>46303.57314814815</x:v>
      </x:c>
      <x:c r="L2344" s="2" t="str">
        <x:v>Sent</x:v>
      </x:c>
      <x:c r="M2344" s="2" t="n">
        <x:v>1</x:v>
      </x:c>
      <x:c r="N2344" s="2"/>
      <x:c r="O2344" s="2"/>
    </x:row>
    <x:row r="2345" ht="21" customHeight="1">
      <x:c r="A2345" s="2" t="str">
        <x:v>NT002344</x:v>
      </x:c>
      <x:c r="B2345" s="2" t="str">
        <x:v>EV002346</x:v>
      </x:c>
      <x:c r="C2345" s="2" t="str">
        <x:v>T20261008-3-3</x:v>
      </x:c>
      <x:c r="D2345" s="2" t="str">
        <x:v>ST096</x:v>
      </x:c>
      <x:c r="E2345" s="2" t="str">
        <x:v>G096</x:v>
      </x:c>
      <x:c r="F2345" s="2" t="str">
        <x:v>guardian096@example.invalid</x:v>
      </x:c>
      <x:c r="G2345" s="2" t="str">
        <x:v>Email</x:v>
      </x:c>
      <x:c r="H2345" s="2" t="str">
        <x:v>Authorized release</x:v>
      </x:c>
      <x:c r="I2345" s="8" t="n">
        <x:v>46303.58628472222</x:v>
      </x:c>
      <x:c r="J2345" s="8" t="n">
        <x:v>46303.58630787037</x:v>
      </x:c>
      <x:c r="K2345" s="8" t="n">
        <x:v>46303.58634259259</x:v>
      </x:c>
      <x:c r="L2345" s="2" t="str">
        <x:v>Sent</x:v>
      </x:c>
      <x:c r="M2345" s="2" t="n">
        <x:v>1</x:v>
      </x:c>
      <x:c r="N2345" s="2"/>
      <x:c r="O2345" s="2"/>
    </x:row>
    <x:row r="2346" ht="21" customHeight="1">
      <x:c r="A2346" s="2" t="str">
        <x:v>NT002345</x:v>
      </x:c>
      <x:c r="B2346" s="2" t="str">
        <x:v>EV002347</x:v>
      </x:c>
      <x:c r="C2346" s="2" t="str">
        <x:v>T20261008-3-3</x:v>
      </x:c>
      <x:c r="D2346" s="2" t="str">
        <x:v>ST097</x:v>
      </x:c>
      <x:c r="E2346" s="2" t="str">
        <x:v>G097</x:v>
      </x:c>
      <x:c r="F2346" s="2" t="str">
        <x:v>guardian097@example.invalid</x:v>
      </x:c>
      <x:c r="G2346" s="2" t="str">
        <x:v>Email</x:v>
      </x:c>
      <x:c r="H2346" s="2" t="str">
        <x:v>Boarded</x:v>
      </x:c>
      <x:c r="I2346" s="8" t="n">
        <x:v>46303.573125</x:v>
      </x:c>
      <x:c r="J2346" s="8" t="n">
        <x:v>46303.57314814815</x:v>
      </x:c>
      <x:c r="K2346" s="8" t="n">
        <x:v>46303.57318287037</x:v>
      </x:c>
      <x:c r="L2346" s="2" t="str">
        <x:v>Sent</x:v>
      </x:c>
      <x:c r="M2346" s="2" t="n">
        <x:v>1</x:v>
      </x:c>
      <x:c r="N2346" s="2"/>
      <x:c r="O2346" s="2"/>
    </x:row>
    <x:row r="2347" ht="21" customHeight="1">
      <x:c r="A2347" s="2" t="str">
        <x:v>NT002346</x:v>
      </x:c>
      <x:c r="B2347" s="2" t="str">
        <x:v>EV002348</x:v>
      </x:c>
      <x:c r="C2347" s="2" t="str">
        <x:v>T20261008-3-3</x:v>
      </x:c>
      <x:c r="D2347" s="2" t="str">
        <x:v>ST097</x:v>
      </x:c>
      <x:c r="E2347" s="2" t="str">
        <x:v>G097</x:v>
      </x:c>
      <x:c r="F2347" s="2" t="str">
        <x:v>guardian097@example.invalid</x:v>
      </x:c>
      <x:c r="G2347" s="2" t="str">
        <x:v>Email</x:v>
      </x:c>
      <x:c r="H2347" s="2" t="str">
        <x:v>Authorized release</x:v>
      </x:c>
      <x:c r="I2347" s="8" t="n">
        <x:v>46303.59048611111</x:v>
      </x:c>
      <x:c r="J2347" s="8" t="n">
        <x:v>46303.59050925926</x:v>
      </x:c>
      <x:c r="K2347" s="8" t="n">
        <x:v>46303.59054398148</x:v>
      </x:c>
      <x:c r="L2347" s="2" t="str">
        <x:v>Sent</x:v>
      </x:c>
      <x:c r="M2347" s="2" t="n">
        <x:v>1</x:v>
      </x:c>
      <x:c r="N2347" s="2"/>
      <x:c r="O2347" s="2"/>
    </x:row>
    <x:row r="2348" ht="21" customHeight="1">
      <x:c r="A2348" s="2" t="str">
        <x:v>NT002347</x:v>
      </x:c>
      <x:c r="B2348" s="2" t="str">
        <x:v>EV002349</x:v>
      </x:c>
      <x:c r="C2348" s="2" t="str">
        <x:v>T20261008-3-3</x:v>
      </x:c>
      <x:c r="D2348" s="2" t="str">
        <x:v>ST098</x:v>
      </x:c>
      <x:c r="E2348" s="2" t="str">
        <x:v>G098</x:v>
      </x:c>
      <x:c r="F2348" s="2" t="str">
        <x:v>guardian098@example.invalid</x:v>
      </x:c>
      <x:c r="G2348" s="2" t="str">
        <x:v>Email</x:v>
      </x:c>
      <x:c r="H2348" s="2" t="str">
        <x:v>Boarded</x:v>
      </x:c>
      <x:c r="I2348" s="8" t="n">
        <x:v>46303.573159722226</x:v>
      </x:c>
      <x:c r="J2348" s="8" t="n">
        <x:v>46303.57318287037</x:v>
      </x:c>
      <x:c r="K2348" s="8" t="n">
        <x:v>46303.573217592595</x:v>
      </x:c>
      <x:c r="L2348" s="2" t="str">
        <x:v>Sent</x:v>
      </x:c>
      <x:c r="M2348" s="2" t="n">
        <x:v>1</x:v>
      </x:c>
      <x:c r="N2348" s="2"/>
      <x:c r="O2348" s="2"/>
    </x:row>
    <x:row r="2349" ht="21" customHeight="1">
      <x:c r="A2349" s="2" t="str">
        <x:v>NT002348</x:v>
      </x:c>
      <x:c r="B2349" s="2" t="str">
        <x:v>EV002350</x:v>
      </x:c>
      <x:c r="C2349" s="2" t="str">
        <x:v>T20261008-3-3</x:v>
      </x:c>
      <x:c r="D2349" s="2" t="str">
        <x:v>ST098</x:v>
      </x:c>
      <x:c r="E2349" s="2" t="str">
        <x:v>G098</x:v>
      </x:c>
      <x:c r="F2349" s="2" t="str">
        <x:v>guardian098@example.invalid</x:v>
      </x:c>
      <x:c r="G2349" s="2" t="str">
        <x:v>Email</x:v>
      </x:c>
      <x:c r="H2349" s="2" t="str">
        <x:v>Authorized release</x:v>
      </x:c>
      <x:c r="I2349" s="8" t="n">
        <x:v>46303.5946875</x:v>
      </x:c>
      <x:c r="J2349" s="8" t="n">
        <x:v>46303.59471064815</x:v>
      </x:c>
      <x:c r="K2349" s="8" t="n">
        <x:v>46303.59474537037</x:v>
      </x:c>
      <x:c r="L2349" s="2" t="str">
        <x:v>Sent</x:v>
      </x:c>
      <x:c r="M2349" s="2" t="n">
        <x:v>1</x:v>
      </x:c>
      <x:c r="N2349" s="2"/>
      <x:c r="O2349" s="2"/>
    </x:row>
    <x:row r="2350" ht="21" customHeight="1">
      <x:c r="A2350" s="2" t="str">
        <x:v>NT002349</x:v>
      </x:c>
      <x:c r="B2350" s="2" t="str">
        <x:v>EV002351</x:v>
      </x:c>
      <x:c r="C2350" s="2" t="str">
        <x:v>T20261008-3-3</x:v>
      </x:c>
      <x:c r="D2350" s="2" t="str">
        <x:v>ST099</x:v>
      </x:c>
      <x:c r="E2350" s="2" t="str">
        <x:v>G099</x:v>
      </x:c>
      <x:c r="F2350" s="2" t="str">
        <x:v>guardian099@example.invalid</x:v>
      </x:c>
      <x:c r="G2350" s="2" t="str">
        <x:v>Email</x:v>
      </x:c>
      <x:c r="H2350" s="2" t="str">
        <x:v>Boarded</x:v>
      </x:c>
      <x:c r="I2350" s="8" t="n">
        <x:v>46303.57319444445</x:v>
      </x:c>
      <x:c r="J2350" s="8" t="n">
        <x:v>46303.573217592595</x:v>
      </x:c>
      <x:c r="K2350" s="8" t="n">
        <x:v>46303.57325231482</x:v>
      </x:c>
      <x:c r="L2350" s="2" t="str">
        <x:v>Sent</x:v>
      </x:c>
      <x:c r="M2350" s="2" t="n">
        <x:v>1</x:v>
      </x:c>
      <x:c r="N2350" s="2"/>
      <x:c r="O2350" s="2"/>
    </x:row>
    <x:row r="2351" ht="21" customHeight="1">
      <x:c r="A2351" s="2" t="str">
        <x:v>NT002350</x:v>
      </x:c>
      <x:c r="B2351" s="2" t="str">
        <x:v>EV002352</x:v>
      </x:c>
      <x:c r="C2351" s="2" t="str">
        <x:v>T20261008-3-3</x:v>
      </x:c>
      <x:c r="D2351" s="2" t="str">
        <x:v>ST099</x:v>
      </x:c>
      <x:c r="E2351" s="2" t="str">
        <x:v>G099</x:v>
      </x:c>
      <x:c r="F2351" s="2" t="str">
        <x:v>guardian099@example.invalid</x:v>
      </x:c>
      <x:c r="G2351" s="2" t="str">
        <x:v>Email</x:v>
      </x:c>
      <x:c r="H2351" s="2" t="str">
        <x:v>Authorized release</x:v>
      </x:c>
      <x:c r="I2351" s="8" t="n">
        <x:v>46303.58638888889</x:v>
      </x:c>
      <x:c r="J2351" s="8" t="n">
        <x:v>46303.58641203704</x:v>
      </x:c>
      <x:c r="K2351" s="8" t="n">
        <x:v>46303.58644675926</x:v>
      </x:c>
      <x:c r="L2351" s="2" t="str">
        <x:v>Sent</x:v>
      </x:c>
      <x:c r="M2351" s="2" t="n">
        <x:v>1</x:v>
      </x:c>
      <x:c r="N2351" s="2"/>
      <x:c r="O2351" s="2"/>
    </x:row>
    <x:row r="2352" ht="21" customHeight="1">
      <x:c r="A2352" s="2" t="str">
        <x:v>NT002351</x:v>
      </x:c>
      <x:c r="B2352" s="2" t="str">
        <x:v>EV002353</x:v>
      </x:c>
      <x:c r="C2352" s="2" t="str">
        <x:v>T20261008-3-3</x:v>
      </x:c>
      <x:c r="D2352" s="2" t="str">
        <x:v>ST100</x:v>
      </x:c>
      <x:c r="E2352" s="2" t="str">
        <x:v>G100</x:v>
      </x:c>
      <x:c r="F2352" s="2" t="str">
        <x:v>guardian100@example.invalid</x:v>
      </x:c>
      <x:c r="G2352" s="2" t="str">
        <x:v>Email</x:v>
      </x:c>
      <x:c r="H2352" s="2" t="str">
        <x:v>Boarded</x:v>
      </x:c>
      <x:c r="I2352" s="8" t="n">
        <x:v>46303.57322916667</x:v>
      </x:c>
      <x:c r="J2352" s="8" t="n">
        <x:v>46303.57325231482</x:v>
      </x:c>
      <x:c r="K2352" s="8" t="n">
        <x:v>46303.57328703704</x:v>
      </x:c>
      <x:c r="L2352" s="2" t="str">
        <x:v>Sent</x:v>
      </x:c>
      <x:c r="M2352" s="2" t="n">
        <x:v>1</x:v>
      </x:c>
      <x:c r="N2352" s="2"/>
      <x:c r="O2352" s="2"/>
    </x:row>
    <x:row r="2353" ht="21" customHeight="1">
      <x:c r="A2353" s="2" t="str">
        <x:v>NT002352</x:v>
      </x:c>
      <x:c r="B2353" s="2" t="str">
        <x:v>EV002354</x:v>
      </x:c>
      <x:c r="C2353" s="2" t="str">
        <x:v>T20261008-3-3</x:v>
      </x:c>
      <x:c r="D2353" s="2" t="str">
        <x:v>ST100</x:v>
      </x:c>
      <x:c r="E2353" s="2" t="str">
        <x:v>G100</x:v>
      </x:c>
      <x:c r="F2353" s="2" t="str">
        <x:v>guardian100@example.invalid</x:v>
      </x:c>
      <x:c r="G2353" s="2" t="str">
        <x:v>Email</x:v>
      </x:c>
      <x:c r="H2353" s="2" t="str">
        <x:v>Authorized release</x:v>
      </x:c>
      <x:c r="I2353" s="8" t="n">
        <x:v>46303.59059027778</x:v>
      </x:c>
      <x:c r="J2353" s="8" t="n">
        <x:v>46303.59061342593</x:v>
      </x:c>
      <x:c r="K2353" s="8" t="n">
        <x:v>46303.59064814815</x:v>
      </x:c>
      <x:c r="L2353" s="2" t="str">
        <x:v>Sent</x:v>
      </x:c>
      <x:c r="M2353" s="2" t="n">
        <x:v>1</x:v>
      </x:c>
      <x:c r="N2353" s="2"/>
      <x:c r="O2353" s="2"/>
    </x:row>
    <x:row r="2354" ht="21" customHeight="1">
      <x:c r="A2354" s="2" t="str">
        <x:v>NT002353</x:v>
      </x:c>
      <x:c r="B2354" s="2" t="str">
        <x:v>EV002355</x:v>
      </x:c>
      <x:c r="C2354" s="2" t="str">
        <x:v>T20261008-4-3</x:v>
      </x:c>
      <x:c r="D2354" s="2" t="str">
        <x:v>ST101</x:v>
      </x:c>
      <x:c r="E2354" s="2" t="str">
        <x:v>G101</x:v>
      </x:c>
      <x:c r="F2354" s="2" t="str">
        <x:v>guardian101@example.invalid</x:v>
      </x:c>
      <x:c r="G2354" s="2" t="str">
        <x:v>Email</x:v>
      </x:c>
      <x:c r="H2354" s="2" t="str">
        <x:v>Boarded</x:v>
      </x:c>
      <x:c r="I2354" s="8" t="n">
        <x:v>46303.60416666667</x:v>
      </x:c>
      <x:c r="J2354" s="8" t="n">
        <x:v>46303.60418981482</x:v>
      </x:c>
      <x:c r="K2354" s="8" t="n">
        <x:v>46303.60422453704</x:v>
      </x:c>
      <x:c r="L2354" s="2" t="str">
        <x:v>Sent</x:v>
      </x:c>
      <x:c r="M2354" s="2" t="n">
        <x:v>1</x:v>
      </x:c>
      <x:c r="N2354" s="2"/>
      <x:c r="O2354" s="2"/>
    </x:row>
    <x:row r="2355" ht="21" customHeight="1">
      <x:c r="A2355" s="2" t="str">
        <x:v>NT002354</x:v>
      </x:c>
      <x:c r="B2355" s="2" t="str">
        <x:v>EV002356</x:v>
      </x:c>
      <x:c r="C2355" s="2" t="str">
        <x:v>T20261008-4-3</x:v>
      </x:c>
      <x:c r="D2355" s="2" t="str">
        <x:v>ST101</x:v>
      </x:c>
      <x:c r="E2355" s="2" t="str">
        <x:v>G101</x:v>
      </x:c>
      <x:c r="F2355" s="2" t="str">
        <x:v>guardian101@example.invalid</x:v>
      </x:c>
      <x:c r="G2355" s="2" t="str">
        <x:v>Email</x:v>
      </x:c>
      <x:c r="H2355" s="2" t="str">
        <x:v>Authorized release</x:v>
      </x:c>
      <x:c r="I2355" s="8" t="n">
        <x:v>46303.62708333333</x:v>
      </x:c>
      <x:c r="J2355" s="8" t="n">
        <x:v>46303.62710648148</x:v>
      </x:c>
      <x:c r="K2355" s="8" t="n">
        <x:v>46303.6271412037</x:v>
      </x:c>
      <x:c r="L2355" s="2" t="str">
        <x:v>Sent</x:v>
      </x:c>
      <x:c r="M2355" s="2" t="n">
        <x:v>1</x:v>
      </x:c>
      <x:c r="N2355" s="2"/>
      <x:c r="O2355" s="2"/>
    </x:row>
    <x:row r="2356" ht="21" customHeight="1">
      <x:c r="A2356" s="2" t="str">
        <x:v>NT002355</x:v>
      </x:c>
      <x:c r="B2356" s="2" t="str">
        <x:v>EV002357</x:v>
      </x:c>
      <x:c r="C2356" s="2" t="str">
        <x:v>T20261008-4-3</x:v>
      </x:c>
      <x:c r="D2356" s="2" t="str">
        <x:v>ST102</x:v>
      </x:c>
      <x:c r="E2356" s="2" t="str">
        <x:v>G102</x:v>
      </x:c>
      <x:c r="F2356" s="2" t="str">
        <x:v>guardian102@example.invalid</x:v>
      </x:c>
      <x:c r="G2356" s="2" t="str">
        <x:v>Email</x:v>
      </x:c>
      <x:c r="H2356" s="2" t="str">
        <x:v>Boarded</x:v>
      </x:c>
      <x:c r="I2356" s="8" t="n">
        <x:v>46303.604201388895</x:v>
      </x:c>
      <x:c r="J2356" s="8" t="n">
        <x:v>46303.60422453704</x:v>
      </x:c>
      <x:c r="K2356" s="8" t="n">
        <x:v>46303.604259259264</x:v>
      </x:c>
      <x:c r="L2356" s="2" t="str">
        <x:v>Sent</x:v>
      </x:c>
      <x:c r="M2356" s="2" t="n">
        <x:v>1</x:v>
      </x:c>
      <x:c r="N2356" s="2"/>
      <x:c r="O2356" s="2"/>
    </x:row>
    <x:row r="2357" ht="21" customHeight="1">
      <x:c r="A2357" s="2" t="str">
        <x:v>NT002356</x:v>
      </x:c>
      <x:c r="B2357" s="2" t="str">
        <x:v>EV002358</x:v>
      </x:c>
      <x:c r="C2357" s="2" t="str">
        <x:v>T20261008-4-3</x:v>
      </x:c>
      <x:c r="D2357" s="2" t="str">
        <x:v>ST102</x:v>
      </x:c>
      <x:c r="E2357" s="2" t="str">
        <x:v>G102</x:v>
      </x:c>
      <x:c r="F2357" s="2" t="str">
        <x:v>guardian102@example.invalid</x:v>
      </x:c>
      <x:c r="G2357" s="2" t="str">
        <x:v>Email</x:v>
      </x:c>
      <x:c r="H2357" s="2" t="str">
        <x:v>Authorized release</x:v>
      </x:c>
      <x:c r="I2357" s="8" t="n">
        <x:v>46303.618784722225</x:v>
      </x:c>
      <x:c r="J2357" s="8" t="n">
        <x:v>46303.61880787037</x:v>
      </x:c>
      <x:c r="K2357" s="8" t="n">
        <x:v>46303.618842592594</x:v>
      </x:c>
      <x:c r="L2357" s="2" t="str">
        <x:v>Sent</x:v>
      </x:c>
      <x:c r="M2357" s="2" t="n">
        <x:v>1</x:v>
      </x:c>
      <x:c r="N2357" s="2"/>
      <x:c r="O2357" s="2"/>
    </x:row>
    <x:row r="2358" ht="21" customHeight="1">
      <x:c r="A2358" s="2" t="str">
        <x:v>NT002357</x:v>
      </x:c>
      <x:c r="B2358" s="2" t="str">
        <x:v>EV002359</x:v>
      </x:c>
      <x:c r="C2358" s="2" t="str">
        <x:v>T20261008-4-3</x:v>
      </x:c>
      <x:c r="D2358" s="2" t="str">
        <x:v>ST103</x:v>
      </x:c>
      <x:c r="E2358" s="2" t="str">
        <x:v>G103</x:v>
      </x:c>
      <x:c r="F2358" s="2" t="str">
        <x:v>guardian103@example.invalid</x:v>
      </x:c>
      <x:c r="G2358" s="2" t="str">
        <x:v>Email</x:v>
      </x:c>
      <x:c r="H2358" s="2" t="str">
        <x:v>Boarded</x:v>
      </x:c>
      <x:c r="I2358" s="8" t="n">
        <x:v>46303.60423611112</x:v>
      </x:c>
      <x:c r="J2358" s="8" t="n">
        <x:v>46303.604259259264</x:v>
      </x:c>
      <x:c r="K2358" s="8" t="n">
        <x:v>46303.60429398149</x:v>
      </x:c>
      <x:c r="L2358" s="2" t="str">
        <x:v>Sent</x:v>
      </x:c>
      <x:c r="M2358" s="2" t="n">
        <x:v>1</x:v>
      </x:c>
      <x:c r="N2358" s="2"/>
      <x:c r="O2358" s="2"/>
    </x:row>
    <x:row r="2359" ht="21" customHeight="1">
      <x:c r="A2359" s="2" t="str">
        <x:v>NT002358</x:v>
      </x:c>
      <x:c r="B2359" s="2" t="str">
        <x:v>EV002360</x:v>
      </x:c>
      <x:c r="C2359" s="2" t="str">
        <x:v>T20261008-4-3</x:v>
      </x:c>
      <x:c r="D2359" s="2" t="str">
        <x:v>ST103</x:v>
      </x:c>
      <x:c r="E2359" s="2" t="str">
        <x:v>G103</x:v>
      </x:c>
      <x:c r="F2359" s="2" t="str">
        <x:v>guardian103@example.invalid</x:v>
      </x:c>
      <x:c r="G2359" s="2" t="str">
        <x:v>Email</x:v>
      </x:c>
      <x:c r="H2359" s="2" t="str">
        <x:v>Authorized release</x:v>
      </x:c>
      <x:c r="I2359" s="8" t="n">
        <x:v>46303.62298611111</x:v>
      </x:c>
      <x:c r="J2359" s="8" t="n">
        <x:v>46303.62300925926</x:v>
      </x:c>
      <x:c r="K2359" s="8" t="n">
        <x:v>46303.62304398148</x:v>
      </x:c>
      <x:c r="L2359" s="2" t="str">
        <x:v>Sent</x:v>
      </x:c>
      <x:c r="M2359" s="2" t="n">
        <x:v>1</x:v>
      </x:c>
      <x:c r="N2359" s="2"/>
      <x:c r="O2359" s="2"/>
    </x:row>
    <x:row r="2360" ht="21" customHeight="1">
      <x:c r="A2360" s="2" t="str">
        <x:v>NT002359</x:v>
      </x:c>
      <x:c r="B2360" s="2" t="str">
        <x:v>EV002361</x:v>
      </x:c>
      <x:c r="C2360" s="2" t="str">
        <x:v>T20261008-4-3</x:v>
      </x:c>
      <x:c r="D2360" s="2" t="str">
        <x:v>ST104</x:v>
      </x:c>
      <x:c r="E2360" s="2" t="str">
        <x:v>G104</x:v>
      </x:c>
      <x:c r="F2360" s="2" t="str">
        <x:v>guardian104@example.invalid</x:v>
      </x:c>
      <x:c r="G2360" s="2" t="str">
        <x:v>Email</x:v>
      </x:c>
      <x:c r="H2360" s="2" t="str">
        <x:v>Boarded</x:v>
      </x:c>
      <x:c r="I2360" s="8" t="n">
        <x:v>46303.60427083334</x:v>
      </x:c>
      <x:c r="J2360" s="8" t="n">
        <x:v>46303.60429398149</x:v>
      </x:c>
      <x:c r="K2360" s="8" t="n">
        <x:v>46303.60432870371</x:v>
      </x:c>
      <x:c r="L2360" s="2" t="str">
        <x:v>Sent</x:v>
      </x:c>
      <x:c r="M2360" s="2" t="n">
        <x:v>1</x:v>
      </x:c>
      <x:c r="N2360" s="2"/>
      <x:c r="O2360" s="2"/>
    </x:row>
    <x:row r="2361" ht="21" customHeight="1">
      <x:c r="A2361" s="2" t="str">
        <x:v>NT002360</x:v>
      </x:c>
      <x:c r="B2361" s="2" t="str">
        <x:v>EV002362</x:v>
      </x:c>
      <x:c r="C2361" s="2" t="str">
        <x:v>T20261008-4-3</x:v>
      </x:c>
      <x:c r="D2361" s="2" t="str">
        <x:v>ST104</x:v>
      </x:c>
      <x:c r="E2361" s="2" t="str">
        <x:v>G104</x:v>
      </x:c>
      <x:c r="F2361" s="2" t="str">
        <x:v>guardian104@example.invalid</x:v>
      </x:c>
      <x:c r="G2361" s="2" t="str">
        <x:v>Email</x:v>
      </x:c>
      <x:c r="H2361" s="2" t="str">
        <x:v>Authorized release</x:v>
      </x:c>
      <x:c r="I2361" s="8" t="n">
        <x:v>46303.6271875</x:v>
      </x:c>
      <x:c r="J2361" s="8" t="n">
        <x:v>46303.62721064815</x:v>
      </x:c>
      <x:c r="K2361" s="8" t="n">
        <x:v>46303.62724537037</x:v>
      </x:c>
      <x:c r="L2361" s="2" t="str">
        <x:v>Sent</x:v>
      </x:c>
      <x:c r="M2361" s="2" t="n">
        <x:v>1</x:v>
      </x:c>
      <x:c r="N2361" s="2"/>
      <x:c r="O2361" s="2"/>
    </x:row>
    <x:row r="2362" ht="21" customHeight="1">
      <x:c r="A2362" s="2" t="str">
        <x:v>NT002361</x:v>
      </x:c>
      <x:c r="B2362" s="2" t="str">
        <x:v>EV002363</x:v>
      </x:c>
      <x:c r="C2362" s="2" t="str">
        <x:v>T20261008-4-3</x:v>
      </x:c>
      <x:c r="D2362" s="2" t="str">
        <x:v>ST105</x:v>
      </x:c>
      <x:c r="E2362" s="2" t="str">
        <x:v>G105</x:v>
      </x:c>
      <x:c r="F2362" s="2" t="str">
        <x:v>guardian105@example.invalid</x:v>
      </x:c>
      <x:c r="G2362" s="2" t="str">
        <x:v>Email</x:v>
      </x:c>
      <x:c r="H2362" s="2" t="str">
        <x:v>Boarded</x:v>
      </x:c>
      <x:c r="I2362" s="8" t="n">
        <x:v>46303.604305555564</x:v>
      </x:c>
      <x:c r="J2362" s="8" t="n">
        <x:v>46303.60432870371</x:v>
      </x:c>
      <x:c r="K2362" s="8" t="n">
        <x:v>46303.60436342593</x:v>
      </x:c>
      <x:c r="L2362" s="2" t="str">
        <x:v>Sent</x:v>
      </x:c>
      <x:c r="M2362" s="2" t="n">
        <x:v>1</x:v>
      </x:c>
      <x:c r="N2362" s="2"/>
      <x:c r="O2362" s="2"/>
    </x:row>
    <x:row r="2363" ht="21" customHeight="1">
      <x:c r="A2363" s="2" t="str">
        <x:v>NT002362</x:v>
      </x:c>
      <x:c r="B2363" s="2" t="str">
        <x:v>EV002364</x:v>
      </x:c>
      <x:c r="C2363" s="2" t="str">
        <x:v>T20261008-4-3</x:v>
      </x:c>
      <x:c r="D2363" s="2" t="str">
        <x:v>ST105</x:v>
      </x:c>
      <x:c r="E2363" s="2" t="str">
        <x:v>G105</x:v>
      </x:c>
      <x:c r="F2363" s="2" t="str">
        <x:v>guardian105@example.invalid</x:v>
      </x:c>
      <x:c r="G2363" s="2" t="str">
        <x:v>Email</x:v>
      </x:c>
      <x:c r="H2363" s="2" t="str">
        <x:v>Authorized release</x:v>
      </x:c>
      <x:c r="I2363" s="8" t="n">
        <x:v>46303.618888888894</x:v>
      </x:c>
      <x:c r="J2363" s="8" t="n">
        <x:v>46303.61891203704</x:v>
      </x:c>
      <x:c r="K2363" s="8" t="n">
        <x:v>46303.61894675926</x:v>
      </x:c>
      <x:c r="L2363" s="2" t="str">
        <x:v>Sent</x:v>
      </x:c>
      <x:c r="M2363" s="2" t="n">
        <x:v>1</x:v>
      </x:c>
      <x:c r="N2363" s="2"/>
      <x:c r="O2363" s="2"/>
    </x:row>
    <x:row r="2364" ht="21" customHeight="1">
      <x:c r="A2364" s="2" t="str">
        <x:v>NT002363</x:v>
      </x:c>
      <x:c r="B2364" s="2" t="str">
        <x:v>EV002365</x:v>
      </x:c>
      <x:c r="C2364" s="2" t="str">
        <x:v>T20261008-4-3</x:v>
      </x:c>
      <x:c r="D2364" s="2" t="str">
        <x:v>ST106</x:v>
      </x:c>
      <x:c r="E2364" s="2" t="str">
        <x:v>G106</x:v>
      </x:c>
      <x:c r="F2364" s="2" t="str">
        <x:v>guardian106@example.invalid</x:v>
      </x:c>
      <x:c r="G2364" s="2" t="str">
        <x:v>Email</x:v>
      </x:c>
      <x:c r="H2364" s="2" t="str">
        <x:v>Boarded</x:v>
      </x:c>
      <x:c r="I2364" s="8" t="n">
        <x:v>46303.60434027778</x:v>
      </x:c>
      <x:c r="J2364" s="8" t="n">
        <x:v>46303.604363425926</x:v>
      </x:c>
      <x:c r="K2364" s="8" t="n">
        <x:v>46303.60439814815</x:v>
      </x:c>
      <x:c r="L2364" s="2" t="str">
        <x:v>Sent</x:v>
      </x:c>
      <x:c r="M2364" s="2" t="n">
        <x:v>1</x:v>
      </x:c>
      <x:c r="N2364" s="2"/>
      <x:c r="O2364" s="2"/>
    </x:row>
    <x:row r="2365" ht="21" customHeight="1">
      <x:c r="A2365" s="2" t="str">
        <x:v>NT002364</x:v>
      </x:c>
      <x:c r="B2365" s="2" t="str">
        <x:v>EV002366</x:v>
      </x:c>
      <x:c r="C2365" s="2" t="str">
        <x:v>T20261008-4-3</x:v>
      </x:c>
      <x:c r="D2365" s="2" t="str">
        <x:v>ST106</x:v>
      </x:c>
      <x:c r="E2365" s="2" t="str">
        <x:v>G106</x:v>
      </x:c>
      <x:c r="F2365" s="2" t="str">
        <x:v>guardian106@example.invalid</x:v>
      </x:c>
      <x:c r="G2365" s="2" t="str">
        <x:v>Email</x:v>
      </x:c>
      <x:c r="H2365" s="2" t="str">
        <x:v>Authorized release</x:v>
      </x:c>
      <x:c r="I2365" s="8" t="n">
        <x:v>46303.623090277775</x:v>
      </x:c>
      <x:c r="J2365" s="8" t="n">
        <x:v>46303.62311342592</x:v>
      </x:c>
      <x:c r="K2365" s="8" t="n">
        <x:v>46303.623148148145</x:v>
      </x:c>
      <x:c r="L2365" s="2" t="str">
        <x:v>Sent</x:v>
      </x:c>
      <x:c r="M2365" s="2" t="n">
        <x:v>1</x:v>
      </x:c>
      <x:c r="N2365" s="2"/>
      <x:c r="O2365" s="2"/>
    </x:row>
    <x:row r="2366" ht="21" customHeight="1">
      <x:c r="A2366" s="2" t="str">
        <x:v>NT002365</x:v>
      </x:c>
      <x:c r="B2366" s="2" t="str">
        <x:v>EV002367</x:v>
      </x:c>
      <x:c r="C2366" s="2" t="str">
        <x:v>T20261008-4-3</x:v>
      </x:c>
      <x:c r="D2366" s="2" t="str">
        <x:v>ST107</x:v>
      </x:c>
      <x:c r="E2366" s="2" t="str">
        <x:v>G107</x:v>
      </x:c>
      <x:c r="F2366" s="2" t="str">
        <x:v>guardian107@example.invalid</x:v>
      </x:c>
      <x:c r="G2366" s="2" t="str">
        <x:v>Email</x:v>
      </x:c>
      <x:c r="H2366" s="2" t="str">
        <x:v>Boarded</x:v>
      </x:c>
      <x:c r="I2366" s="8" t="n">
        <x:v>46303.604375</x:v>
      </x:c>
      <x:c r="J2366" s="8" t="n">
        <x:v>46303.60439814815</x:v>
      </x:c>
      <x:c r="K2366" s="8" t="n">
        <x:v>46303.60443287037</x:v>
      </x:c>
      <x:c r="L2366" s="2" t="str">
        <x:v>Sent</x:v>
      </x:c>
      <x:c r="M2366" s="2" t="n">
        <x:v>1</x:v>
      </x:c>
      <x:c r="N2366" s="2"/>
      <x:c r="O2366" s="2"/>
    </x:row>
    <x:row r="2367" ht="21" customHeight="1">
      <x:c r="A2367" s="2" t="str">
        <x:v>NT002366</x:v>
      </x:c>
      <x:c r="B2367" s="2" t="str">
        <x:v>EV002368</x:v>
      </x:c>
      <x:c r="C2367" s="2" t="str">
        <x:v>T20261008-4-3</x:v>
      </x:c>
      <x:c r="D2367" s="2" t="str">
        <x:v>ST107</x:v>
      </x:c>
      <x:c r="E2367" s="2" t="str">
        <x:v>G107</x:v>
      </x:c>
      <x:c r="F2367" s="2" t="str">
        <x:v>guardian107@example.invalid</x:v>
      </x:c>
      <x:c r="G2367" s="2" t="str">
        <x:v>Email</x:v>
      </x:c>
      <x:c r="H2367" s="2" t="str">
        <x:v>Authorized release</x:v>
      </x:c>
      <x:c r="I2367" s="8" t="n">
        <x:v>46303.627291666664</x:v>
      </x:c>
      <x:c r="J2367" s="8" t="n">
        <x:v>46303.62731481481</x:v>
      </x:c>
      <x:c r="K2367" s="8" t="n">
        <x:v>46303.62734953703</x:v>
      </x:c>
      <x:c r="L2367" s="2" t="str">
        <x:v>Sent</x:v>
      </x:c>
      <x:c r="M2367" s="2" t="n">
        <x:v>1</x:v>
      </x:c>
      <x:c r="N2367" s="2"/>
      <x:c r="O2367" s="2"/>
    </x:row>
    <x:row r="2368" ht="21" customHeight="1">
      <x:c r="A2368" s="2" t="str">
        <x:v>NT002367</x:v>
      </x:c>
      <x:c r="B2368" s="2" t="str">
        <x:v>EV002369</x:v>
      </x:c>
      <x:c r="C2368" s="2" t="str">
        <x:v>T20261008-4-3</x:v>
      </x:c>
      <x:c r="D2368" s="2" t="str">
        <x:v>ST108</x:v>
      </x:c>
      <x:c r="E2368" s="2" t="str">
        <x:v>G108</x:v>
      </x:c>
      <x:c r="F2368" s="2" t="str">
        <x:v>guardian108@example.invalid</x:v>
      </x:c>
      <x:c r="G2368" s="2" t="str">
        <x:v>Email</x:v>
      </x:c>
      <x:c r="H2368" s="2" t="str">
        <x:v>Boarded</x:v>
      </x:c>
      <x:c r="I2368" s="8" t="n">
        <x:v>46303.604409722226</x:v>
      </x:c>
      <x:c r="J2368" s="8" t="n">
        <x:v>46303.60443287037</x:v>
      </x:c>
      <x:c r="K2368" s="8" t="n">
        <x:v>46303.604467592595</x:v>
      </x:c>
      <x:c r="L2368" s="2" t="str">
        <x:v>Sent</x:v>
      </x:c>
      <x:c r="M2368" s="2" t="n">
        <x:v>1</x:v>
      </x:c>
      <x:c r="N2368" s="2"/>
      <x:c r="O2368" s="2"/>
    </x:row>
    <x:row r="2369" ht="21" customHeight="1">
      <x:c r="A2369" s="2" t="str">
        <x:v>NT002368</x:v>
      </x:c>
      <x:c r="B2369" s="2" t="str">
        <x:v>EV002370</x:v>
      </x:c>
      <x:c r="C2369" s="2" t="str">
        <x:v>T20261008-4-3</x:v>
      </x:c>
      <x:c r="D2369" s="2" t="str">
        <x:v>ST108</x:v>
      </x:c>
      <x:c r="E2369" s="2" t="str">
        <x:v>G108</x:v>
      </x:c>
      <x:c r="F2369" s="2" t="str">
        <x:v>guardian108@example.invalid</x:v>
      </x:c>
      <x:c r="G2369" s="2" t="str">
        <x:v>Email</x:v>
      </x:c>
      <x:c r="H2369" s="2" t="str">
        <x:v>Authorized release</x:v>
      </x:c>
      <x:c r="I2369" s="8" t="n">
        <x:v>46303.618993055556</x:v>
      </x:c>
      <x:c r="J2369" s="8" t="n">
        <x:v>46303.6190162037</x:v>
      </x:c>
      <x:c r="K2369" s="8" t="n">
        <x:v>46303.619050925925</x:v>
      </x:c>
      <x:c r="L2369" s="2" t="str">
        <x:v>Sent</x:v>
      </x:c>
      <x:c r="M2369" s="2" t="n">
        <x:v>1</x:v>
      </x:c>
      <x:c r="N2369" s="2"/>
      <x:c r="O2369" s="2"/>
    </x:row>
    <x:row r="2370" ht="21" customHeight="1">
      <x:c r="A2370" s="2" t="str">
        <x:v>NT002369</x:v>
      </x:c>
      <x:c r="B2370" s="2" t="str">
        <x:v>EV002371</x:v>
      </x:c>
      <x:c r="C2370" s="2" t="str">
        <x:v>T20261008-4-3</x:v>
      </x:c>
      <x:c r="D2370" s="2" t="str">
        <x:v>ST109</x:v>
      </x:c>
      <x:c r="E2370" s="2" t="str">
        <x:v>G109</x:v>
      </x:c>
      <x:c r="F2370" s="2" t="str">
        <x:v>guardian109@example.invalid</x:v>
      </x:c>
      <x:c r="G2370" s="2" t="str">
        <x:v>Email</x:v>
      </x:c>
      <x:c r="H2370" s="2" t="str">
        <x:v>Boarded</x:v>
      </x:c>
      <x:c r="I2370" s="8" t="n">
        <x:v>46303.60444444445</x:v>
      </x:c>
      <x:c r="J2370" s="8" t="n">
        <x:v>46303.604467592595</x:v>
      </x:c>
      <x:c r="K2370" s="8" t="n">
        <x:v>46303.60450231482</x:v>
      </x:c>
      <x:c r="L2370" s="2" t="str">
        <x:v>Sent</x:v>
      </x:c>
      <x:c r="M2370" s="2" t="n">
        <x:v>1</x:v>
      </x:c>
      <x:c r="N2370" s="2"/>
      <x:c r="O2370" s="2"/>
    </x:row>
    <x:row r="2371" ht="21" customHeight="1">
      <x:c r="A2371" s="2" t="str">
        <x:v>NT002370</x:v>
      </x:c>
      <x:c r="B2371" s="2" t="str">
        <x:v>EV002372</x:v>
      </x:c>
      <x:c r="C2371" s="2" t="str">
        <x:v>T20261008-4-3</x:v>
      </x:c>
      <x:c r="D2371" s="2" t="str">
        <x:v>ST109</x:v>
      </x:c>
      <x:c r="E2371" s="2" t="str">
        <x:v>G109</x:v>
      </x:c>
      <x:c r="F2371" s="2" t="str">
        <x:v>guardian109@example.invalid</x:v>
      </x:c>
      <x:c r="G2371" s="2" t="str">
        <x:v>Email</x:v>
      </x:c>
      <x:c r="H2371" s="2" t="str">
        <x:v>Authorized release</x:v>
      </x:c>
      <x:c r="I2371" s="8" t="n">
        <x:v>46303.623194444444</x:v>
      </x:c>
      <x:c r="J2371" s="8" t="n">
        <x:v>46303.62321759259</x:v>
      </x:c>
      <x:c r="K2371" s="8" t="n">
        <x:v>46303.623252314814</x:v>
      </x:c>
      <x:c r="L2371" s="2" t="str">
        <x:v>Sent</x:v>
      </x:c>
      <x:c r="M2371" s="2" t="n">
        <x:v>1</x:v>
      </x:c>
      <x:c r="N2371" s="2"/>
      <x:c r="O2371" s="2"/>
    </x:row>
    <x:row r="2372" ht="21" customHeight="1">
      <x:c r="A2372" s="2" t="str">
        <x:v>NT002371</x:v>
      </x:c>
      <x:c r="B2372" s="2" t="str">
        <x:v>EV002373</x:v>
      </x:c>
      <x:c r="C2372" s="2" t="str">
        <x:v>T20261008-4-3</x:v>
      </x:c>
      <x:c r="D2372" s="2" t="str">
        <x:v>ST110</x:v>
      </x:c>
      <x:c r="E2372" s="2" t="str">
        <x:v>G110</x:v>
      </x:c>
      <x:c r="F2372" s="2" t="str">
        <x:v>guardian110@example.invalid</x:v>
      </x:c>
      <x:c r="G2372" s="2" t="str">
        <x:v>Email</x:v>
      </x:c>
      <x:c r="H2372" s="2" t="str">
        <x:v>Boarded</x:v>
      </x:c>
      <x:c r="I2372" s="8" t="n">
        <x:v>46303.60447916667</x:v>
      </x:c>
      <x:c r="J2372" s="8" t="n">
        <x:v>46303.60450231482</x:v>
      </x:c>
      <x:c r="K2372" s="8" t="n">
        <x:v>46303.60453703704</x:v>
      </x:c>
      <x:c r="L2372" s="2" t="str">
        <x:v>Sent</x:v>
      </x:c>
      <x:c r="M2372" s="2" t="n">
        <x:v>1</x:v>
      </x:c>
      <x:c r="N2372" s="2"/>
      <x:c r="O2372" s="2"/>
    </x:row>
    <x:row r="2373" ht="21" customHeight="1">
      <x:c r="A2373" s="2" t="str">
        <x:v>NT002372</x:v>
      </x:c>
      <x:c r="B2373" s="2" t="str">
        <x:v>EV002374</x:v>
      </x:c>
      <x:c r="C2373" s="2" t="str">
        <x:v>T20261008-4-3</x:v>
      </x:c>
      <x:c r="D2373" s="2" t="str">
        <x:v>ST110</x:v>
      </x:c>
      <x:c r="E2373" s="2" t="str">
        <x:v>G110</x:v>
      </x:c>
      <x:c r="F2373" s="2" t="str">
        <x:v>guardian110@example.invalid</x:v>
      </x:c>
      <x:c r="G2373" s="2" t="str">
        <x:v>Email</x:v>
      </x:c>
      <x:c r="H2373" s="2" t="str">
        <x:v>Authorized release</x:v>
      </x:c>
      <x:c r="I2373" s="8" t="n">
        <x:v>46303.62739583333</x:v>
      </x:c>
      <x:c r="J2373" s="8" t="n">
        <x:v>46303.62741898148</x:v>
      </x:c>
      <x:c r="K2373" s="8" t="n">
        <x:v>46303.6274537037</x:v>
      </x:c>
      <x:c r="L2373" s="2" t="str">
        <x:v>Sent</x:v>
      </x:c>
      <x:c r="M2373" s="2" t="n">
        <x:v>1</x:v>
      </x:c>
      <x:c r="N2373" s="2"/>
      <x:c r="O2373" s="2"/>
    </x:row>
    <x:row r="2374" ht="21" customHeight="1">
      <x:c r="A2374" s="2" t="str">
        <x:v>NT002373</x:v>
      </x:c>
      <x:c r="B2374" s="2" t="str">
        <x:v>EV002375</x:v>
      </x:c>
      <x:c r="C2374" s="2" t="str">
        <x:v>T20261008-5-3</x:v>
      </x:c>
      <x:c r="D2374" s="2" t="str">
        <x:v>ST111</x:v>
      </x:c>
      <x:c r="E2374" s="2" t="str">
        <x:v>G111</x:v>
      </x:c>
      <x:c r="F2374" s="2" t="str">
        <x:v>guardian111@example.invalid</x:v>
      </x:c>
      <x:c r="G2374" s="2" t="str">
        <x:v>Email</x:v>
      </x:c>
      <x:c r="H2374" s="2" t="str">
        <x:v>Boarded</x:v>
      </x:c>
      <x:c r="I2374" s="8" t="n">
        <x:v>46303.70833333333</x:v>
      </x:c>
      <x:c r="J2374" s="8" t="n">
        <x:v>46303.708356481475</x:v>
      </x:c>
      <x:c r="K2374" s="8" t="n">
        <x:v>46303.7083912037</x:v>
      </x:c>
      <x:c r="L2374" s="2" t="str">
        <x:v>Sent</x:v>
      </x:c>
      <x:c r="M2374" s="2" t="n">
        <x:v>1</x:v>
      </x:c>
      <x:c r="N2374" s="2"/>
      <x:c r="O2374" s="2"/>
    </x:row>
    <x:row r="2375" ht="21" customHeight="1">
      <x:c r="A2375" s="2" t="str">
        <x:v>NT002374</x:v>
      </x:c>
      <x:c r="B2375" s="2" t="str">
        <x:v>EV002376</x:v>
      </x:c>
      <x:c r="C2375" s="2" t="str">
        <x:v>T20261008-5-3</x:v>
      </x:c>
      <x:c r="D2375" s="2" t="str">
        <x:v>ST111</x:v>
      </x:c>
      <x:c r="E2375" s="2" t="str">
        <x:v>G111</x:v>
      </x:c>
      <x:c r="F2375" s="2" t="str">
        <x:v>guardian111@example.invalid</x:v>
      </x:c>
      <x:c r="G2375" s="2" t="str">
        <x:v>Email</x:v>
      </x:c>
      <x:c r="H2375" s="2" t="str">
        <x:v>Authorized release</x:v>
      </x:c>
      <x:c r="I2375" s="8" t="n">
        <x:v>46303.72361111111</x:v>
      </x:c>
      <x:c r="J2375" s="8" t="n">
        <x:v>46303.72363425926</x:v>
      </x:c>
      <x:c r="K2375" s="8" t="n">
        <x:v>46303.72366898148</x:v>
      </x:c>
      <x:c r="L2375" s="2" t="str">
        <x:v>Sent</x:v>
      </x:c>
      <x:c r="M2375" s="2" t="n">
        <x:v>1</x:v>
      </x:c>
      <x:c r="N2375" s="2"/>
      <x:c r="O2375" s="2"/>
    </x:row>
    <x:row r="2376" ht="21" customHeight="1">
      <x:c r="A2376" s="2" t="str">
        <x:v>NT002375</x:v>
      </x:c>
      <x:c r="B2376" s="2" t="str">
        <x:v>EV002377</x:v>
      </x:c>
      <x:c r="C2376" s="2" t="str">
        <x:v>T20261008-5-3</x:v>
      </x:c>
      <x:c r="D2376" s="2" t="str">
        <x:v>ST112</x:v>
      </x:c>
      <x:c r="E2376" s="2" t="str">
        <x:v>G112</x:v>
      </x:c>
      <x:c r="F2376" s="2" t="str">
        <x:v>guardian112@example.invalid</x:v>
      </x:c>
      <x:c r="G2376" s="2" t="str">
        <x:v>Email</x:v>
      </x:c>
      <x:c r="H2376" s="2" t="str">
        <x:v>Boarded</x:v>
      </x:c>
      <x:c r="I2376" s="8" t="n">
        <x:v>46303.70836805555</x:v>
      </x:c>
      <x:c r="J2376" s="8" t="n">
        <x:v>46303.7083912037</x:v>
      </x:c>
      <x:c r="K2376" s="8" t="n">
        <x:v>46303.70842592592</x:v>
      </x:c>
      <x:c r="L2376" s="2" t="str">
        <x:v>Sent</x:v>
      </x:c>
      <x:c r="M2376" s="2" t="n">
        <x:v>1</x:v>
      </x:c>
      <x:c r="N2376" s="2"/>
      <x:c r="O2376" s="2"/>
    </x:row>
    <x:row r="2377" ht="21" customHeight="1">
      <x:c r="A2377" s="2" t="str">
        <x:v>NT002376</x:v>
      </x:c>
      <x:c r="B2377" s="2" t="str">
        <x:v>EV002378</x:v>
      </x:c>
      <x:c r="C2377" s="2" t="str">
        <x:v>T20261008-5-3</x:v>
      </x:c>
      <x:c r="D2377" s="2" t="str">
        <x:v>ST112</x:v>
      </x:c>
      <x:c r="E2377" s="2" t="str">
        <x:v>G112</x:v>
      </x:c>
      <x:c r="F2377" s="2" t="str">
        <x:v>guardian112@example.invalid</x:v>
      </x:c>
      <x:c r="G2377" s="2" t="str">
        <x:v>Email</x:v>
      </x:c>
      <x:c r="H2377" s="2" t="str">
        <x:v>Authorized release</x:v>
      </x:c>
      <x:c r="I2377" s="8" t="n">
        <x:v>46303.72850694445</x:v>
      </x:c>
      <x:c r="J2377" s="8" t="n">
        <x:v>46303.728530092594</x:v>
      </x:c>
      <x:c r="K2377" s="8" t="n">
        <x:v>46303.72856481482</x:v>
      </x:c>
      <x:c r="L2377" s="2" t="str">
        <x:v>Sent</x:v>
      </x:c>
      <x:c r="M2377" s="2" t="n">
        <x:v>1</x:v>
      </x:c>
      <x:c r="N2377" s="2"/>
      <x:c r="O2377" s="2"/>
    </x:row>
    <x:row r="2378" ht="21" customHeight="1">
      <x:c r="A2378" s="2" t="str">
        <x:v>NT002377</x:v>
      </x:c>
      <x:c r="B2378" s="2" t="str">
        <x:v>EV002379</x:v>
      </x:c>
      <x:c r="C2378" s="2" t="str">
        <x:v>T20261008-5-3</x:v>
      </x:c>
      <x:c r="D2378" s="2" t="str">
        <x:v>ST113</x:v>
      </x:c>
      <x:c r="E2378" s="2" t="str">
        <x:v>G113</x:v>
      </x:c>
      <x:c r="F2378" s="2" t="str">
        <x:v>guardian113@example.invalid</x:v>
      </x:c>
      <x:c r="G2378" s="2" t="str">
        <x:v>Email</x:v>
      </x:c>
      <x:c r="H2378" s="2" t="str">
        <x:v>Boarded</x:v>
      </x:c>
      <x:c r="I2378" s="8" t="n">
        <x:v>46303.708402777775</x:v>
      </x:c>
      <x:c r="J2378" s="8" t="n">
        <x:v>46303.70842592592</x:v>
      </x:c>
      <x:c r="K2378" s="8" t="n">
        <x:v>46303.708460648144</x:v>
      </x:c>
      <x:c r="L2378" s="2" t="str">
        <x:v>Sent</x:v>
      </x:c>
      <x:c r="M2378" s="2" t="n">
        <x:v>1</x:v>
      </x:c>
      <x:c r="N2378" s="2"/>
      <x:c r="O2378" s="2"/>
    </x:row>
    <x:row r="2379" ht="21" customHeight="1">
      <x:c r="A2379" s="2" t="str">
        <x:v>NT002378</x:v>
      </x:c>
      <x:c r="B2379" s="2" t="str">
        <x:v>EV002380</x:v>
      </x:c>
      <x:c r="C2379" s="2" t="str">
        <x:v>T20261008-5-3</x:v>
      </x:c>
      <x:c r="D2379" s="2" t="str">
        <x:v>ST113</x:v>
      </x:c>
      <x:c r="E2379" s="2" t="str">
        <x:v>G113</x:v>
      </x:c>
      <x:c r="F2379" s="2" t="str">
        <x:v>guardian113@example.invalid</x:v>
      </x:c>
      <x:c r="G2379" s="2" t="str">
        <x:v>Email</x:v>
      </x:c>
      <x:c r="H2379" s="2" t="str">
        <x:v>Authorized release</x:v>
      </x:c>
      <x:c r="I2379" s="8" t="n">
        <x:v>46303.73340277778</x:v>
      </x:c>
      <x:c r="J2379" s="8" t="n">
        <x:v>46303.73342592593</x:v>
      </x:c>
      <x:c r="K2379" s="8" t="n">
        <x:v>46303.73346064815</x:v>
      </x:c>
      <x:c r="L2379" s="2" t="str">
        <x:v>Sent</x:v>
      </x:c>
      <x:c r="M2379" s="2" t="n">
        <x:v>1</x:v>
      </x:c>
      <x:c r="N2379" s="2"/>
      <x:c r="O2379" s="2"/>
    </x:row>
    <x:row r="2380" ht="21" customHeight="1">
      <x:c r="A2380" s="2" t="str">
        <x:v>NT002379</x:v>
      </x:c>
      <x:c r="B2380" s="2" t="str">
        <x:v>EV002381</x:v>
      </x:c>
      <x:c r="C2380" s="2" t="str">
        <x:v>T20261008-5-3</x:v>
      </x:c>
      <x:c r="D2380" s="2" t="str">
        <x:v>ST114</x:v>
      </x:c>
      <x:c r="E2380" s="2" t="str">
        <x:v>G114</x:v>
      </x:c>
      <x:c r="F2380" s="2" t="str">
        <x:v>guardian114@example.invalid</x:v>
      </x:c>
      <x:c r="G2380" s="2" t="str">
        <x:v>Email</x:v>
      </x:c>
      <x:c r="H2380" s="2" t="str">
        <x:v>Boarded</x:v>
      </x:c>
      <x:c r="I2380" s="8" t="n">
        <x:v>46303.7084375</x:v>
      </x:c>
      <x:c r="J2380" s="8" t="n">
        <x:v>46303.708460648144</x:v>
      </x:c>
      <x:c r="K2380" s="8" t="n">
        <x:v>46303.70849537037</x:v>
      </x:c>
      <x:c r="L2380" s="2" t="str">
        <x:v>Sent</x:v>
      </x:c>
      <x:c r="M2380" s="2" t="n">
        <x:v>1</x:v>
      </x:c>
      <x:c r="N2380" s="2"/>
      <x:c r="O2380" s="2"/>
    </x:row>
    <x:row r="2381" ht="21" customHeight="1">
      <x:c r="A2381" s="2" t="str">
        <x:v>NT002380</x:v>
      </x:c>
      <x:c r="B2381" s="2" t="str">
        <x:v>EV002382</x:v>
      </x:c>
      <x:c r="C2381" s="2" t="str">
        <x:v>T20261008-5-3</x:v>
      </x:c>
      <x:c r="D2381" s="2" t="str">
        <x:v>ST114</x:v>
      </x:c>
      <x:c r="E2381" s="2" t="str">
        <x:v>G114</x:v>
      </x:c>
      <x:c r="F2381" s="2" t="str">
        <x:v>guardian114@example.invalid</x:v>
      </x:c>
      <x:c r="G2381" s="2" t="str">
        <x:v>Email</x:v>
      </x:c>
      <x:c r="H2381" s="2" t="str">
        <x:v>Authorized release</x:v>
      </x:c>
      <x:c r="I2381" s="8" t="n">
        <x:v>46303.72371527778</x:v>
      </x:c>
      <x:c r="J2381" s="8" t="n">
        <x:v>46303.72373842593</x:v>
      </x:c>
      <x:c r="K2381" s="8" t="n">
        <x:v>46303.72377314815</x:v>
      </x:c>
      <x:c r="L2381" s="2" t="str">
        <x:v>Sent</x:v>
      </x:c>
      <x:c r="M2381" s="2" t="n">
        <x:v>1</x:v>
      </x:c>
      <x:c r="N2381" s="2"/>
      <x:c r="O2381" s="2"/>
    </x:row>
    <x:row r="2382" ht="21" customHeight="1">
      <x:c r="A2382" s="2" t="str">
        <x:v>NT002381</x:v>
      </x:c>
      <x:c r="B2382" s="2" t="str">
        <x:v>EV002383</x:v>
      </x:c>
      <x:c r="C2382" s="2" t="str">
        <x:v>T20261008-5-3</x:v>
      </x:c>
      <x:c r="D2382" s="2" t="str">
        <x:v>ST115</x:v>
      </x:c>
      <x:c r="E2382" s="2" t="str">
        <x:v>G115</x:v>
      </x:c>
      <x:c r="F2382" s="2" t="str">
        <x:v>guardian115@example.invalid</x:v>
      </x:c>
      <x:c r="G2382" s="2" t="str">
        <x:v>Email</x:v>
      </x:c>
      <x:c r="H2382" s="2" t="str">
        <x:v>Boarded</x:v>
      </x:c>
      <x:c r="I2382" s="8" t="n">
        <x:v>46303.70847222222</x:v>
      </x:c>
      <x:c r="J2382" s="8" t="n">
        <x:v>46303.70849537037</x:v>
      </x:c>
      <x:c r="K2382" s="8" t="n">
        <x:v>46303.70853009259</x:v>
      </x:c>
      <x:c r="L2382" s="2" t="str">
        <x:v>Sent</x:v>
      </x:c>
      <x:c r="M2382" s="2" t="n">
        <x:v>1</x:v>
      </x:c>
      <x:c r="N2382" s="2"/>
      <x:c r="O2382" s="2"/>
    </x:row>
    <x:row r="2383" ht="21" customHeight="1">
      <x:c r="A2383" s="2" t="str">
        <x:v>NT002382</x:v>
      </x:c>
      <x:c r="B2383" s="2" t="str">
        <x:v>EV002384</x:v>
      </x:c>
      <x:c r="C2383" s="2" t="str">
        <x:v>T20261008-5-3</x:v>
      </x:c>
      <x:c r="D2383" s="2" t="str">
        <x:v>ST115</x:v>
      </x:c>
      <x:c r="E2383" s="2" t="str">
        <x:v>G115</x:v>
      </x:c>
      <x:c r="F2383" s="2" t="str">
        <x:v>guardian115@example.invalid</x:v>
      </x:c>
      <x:c r="G2383" s="2" t="str">
        <x:v>Email</x:v>
      </x:c>
      <x:c r="H2383" s="2" t="str">
        <x:v>Authorized release</x:v>
      </x:c>
      <x:c r="I2383" s="8" t="n">
        <x:v>46303.72861111112</x:v>
      </x:c>
      <x:c r="J2383" s="8" t="n">
        <x:v>46303.72863425926</x:v>
      </x:c>
      <x:c r="K2383" s="8" t="n">
        <x:v>46303.72866898149</x:v>
      </x:c>
      <x:c r="L2383" s="2" t="str">
        <x:v>Sent</x:v>
      </x:c>
      <x:c r="M2383" s="2" t="n">
        <x:v>1</x:v>
      </x:c>
      <x:c r="N2383" s="2"/>
      <x:c r="O2383" s="2"/>
    </x:row>
    <x:row r="2384" ht="21" customHeight="1">
      <x:c r="A2384" s="2" t="str">
        <x:v>NT002383</x:v>
      </x:c>
      <x:c r="B2384" s="2" t="str">
        <x:v>EV002385</x:v>
      </x:c>
      <x:c r="C2384" s="2" t="str">
        <x:v>T20261008-5-3</x:v>
      </x:c>
      <x:c r="D2384" s="2" t="str">
        <x:v>ST116</x:v>
      </x:c>
      <x:c r="E2384" s="2" t="str">
        <x:v>G116</x:v>
      </x:c>
      <x:c r="F2384" s="2" t="str">
        <x:v>guardian116@example.invalid</x:v>
      </x:c>
      <x:c r="G2384" s="2" t="str">
        <x:v>Email</x:v>
      </x:c>
      <x:c r="H2384" s="2" t="str">
        <x:v>Boarded</x:v>
      </x:c>
      <x:c r="I2384" s="8" t="n">
        <x:v>46303.70850694444</x:v>
      </x:c>
      <x:c r="J2384" s="8" t="n">
        <x:v>46303.70853009258</x:v>
      </x:c>
      <x:c r="K2384" s="8" t="n">
        <x:v>46303.708564814806</x:v>
      </x:c>
      <x:c r="L2384" s="2" t="str">
        <x:v>Sent</x:v>
      </x:c>
      <x:c r="M2384" s="2" t="n">
        <x:v>1</x:v>
      </x:c>
      <x:c r="N2384" s="2"/>
      <x:c r="O2384" s="2"/>
    </x:row>
    <x:row r="2385" ht="21" customHeight="1">
      <x:c r="A2385" s="2" t="str">
        <x:v>NT002384</x:v>
      </x:c>
      <x:c r="B2385" s="2" t="str">
        <x:v>EV002386</x:v>
      </x:c>
      <x:c r="C2385" s="2" t="str">
        <x:v>T20261008-5-3</x:v>
      </x:c>
      <x:c r="D2385" s="2" t="str">
        <x:v>ST116</x:v>
      </x:c>
      <x:c r="E2385" s="2" t="str">
        <x:v>G116</x:v>
      </x:c>
      <x:c r="F2385" s="2" t="str">
        <x:v>guardian116@example.invalid</x:v>
      </x:c>
      <x:c r="G2385" s="2" t="str">
        <x:v>Email</x:v>
      </x:c>
      <x:c r="H2385" s="2" t="str">
        <x:v>Authorized release</x:v>
      </x:c>
      <x:c r="I2385" s="8" t="n">
        <x:v>46303.733506944445</x:v>
      </x:c>
      <x:c r="J2385" s="8" t="n">
        <x:v>46303.73353009259</x:v>
      </x:c>
      <x:c r="K2385" s="8" t="n">
        <x:v>46303.733564814815</x:v>
      </x:c>
      <x:c r="L2385" s="2" t="str">
        <x:v>Sent</x:v>
      </x:c>
      <x:c r="M2385" s="2" t="n">
        <x:v>1</x:v>
      </x:c>
      <x:c r="N2385" s="2"/>
      <x:c r="O2385" s="2"/>
    </x:row>
    <x:row r="2386" ht="21" customHeight="1">
      <x:c r="A2386" s="2" t="str">
        <x:v>NT002385</x:v>
      </x:c>
      <x:c r="B2386" s="2" t="str">
        <x:v>EV002387</x:v>
      </x:c>
      <x:c r="C2386" s="2" t="str">
        <x:v>T20261008-5-3</x:v>
      </x:c>
      <x:c r="D2386" s="2" t="str">
        <x:v>ST117</x:v>
      </x:c>
      <x:c r="E2386" s="2" t="str">
        <x:v>G117</x:v>
      </x:c>
      <x:c r="F2386" s="2" t="str">
        <x:v>guardian117@example.invalid</x:v>
      </x:c>
      <x:c r="G2386" s="2" t="str">
        <x:v>Email</x:v>
      </x:c>
      <x:c r="H2386" s="2" t="str">
        <x:v>Boarded</x:v>
      </x:c>
      <x:c r="I2386" s="8" t="n">
        <x:v>46303.70854166666</x:v>
      </x:c>
      <x:c r="J2386" s="8" t="n">
        <x:v>46303.708564814806</x:v>
      </x:c>
      <x:c r="K2386" s="8" t="n">
        <x:v>46303.70859953703</x:v>
      </x:c>
      <x:c r="L2386" s="2" t="str">
        <x:v>Sent</x:v>
      </x:c>
      <x:c r="M2386" s="2" t="n">
        <x:v>1</x:v>
      </x:c>
      <x:c r="N2386" s="2"/>
      <x:c r="O2386" s="2"/>
    </x:row>
    <x:row r="2387" ht="21" customHeight="1">
      <x:c r="A2387" s="2" t="str">
        <x:v>NT002386</x:v>
      </x:c>
      <x:c r="B2387" s="2" t="str">
        <x:v>EV002388</x:v>
      </x:c>
      <x:c r="C2387" s="2" t="str">
        <x:v>T20261008-5-3</x:v>
      </x:c>
      <x:c r="D2387" s="2" t="str">
        <x:v>ST117</x:v>
      </x:c>
      <x:c r="E2387" s="2" t="str">
        <x:v>G117</x:v>
      </x:c>
      <x:c r="F2387" s="2" t="str">
        <x:v>guardian117@example.invalid</x:v>
      </x:c>
      <x:c r="G2387" s="2" t="str">
        <x:v>Email</x:v>
      </x:c>
      <x:c r="H2387" s="2" t="str">
        <x:v>Authorized release</x:v>
      </x:c>
      <x:c r="I2387" s="8" t="n">
        <x:v>46303.72381944444</x:v>
      </x:c>
      <x:c r="J2387" s="8" t="n">
        <x:v>46303.72384259259</x:v>
      </x:c>
      <x:c r="K2387" s="8" t="n">
        <x:v>46303.72387731481</x:v>
      </x:c>
      <x:c r="L2387" s="2" t="str">
        <x:v>Sent</x:v>
      </x:c>
      <x:c r="M2387" s="2" t="n">
        <x:v>1</x:v>
      </x:c>
      <x:c r="N2387" s="2"/>
      <x:c r="O2387" s="2"/>
    </x:row>
    <x:row r="2388" ht="21" customHeight="1">
      <x:c r="A2388" s="2" t="str">
        <x:v>NT002387</x:v>
      </x:c>
      <x:c r="B2388" s="2" t="str">
        <x:v>EV002389</x:v>
      </x:c>
      <x:c r="C2388" s="2" t="str">
        <x:v>T20261008-5-3</x:v>
      </x:c>
      <x:c r="D2388" s="2" t="str">
        <x:v>ST118</x:v>
      </x:c>
      <x:c r="E2388" s="2" t="str">
        <x:v>G118</x:v>
      </x:c>
      <x:c r="F2388" s="2" t="str">
        <x:v>guardian118@example.invalid</x:v>
      </x:c>
      <x:c r="G2388" s="2" t="str">
        <x:v>Email</x:v>
      </x:c>
      <x:c r="H2388" s="2" t="str">
        <x:v>Boarded</x:v>
      </x:c>
      <x:c r="I2388" s="8" t="n">
        <x:v>46303.70857638888</x:v>
      </x:c>
      <x:c r="J2388" s="8" t="n">
        <x:v>46303.70859953703</x:v>
      </x:c>
      <x:c r="K2388" s="8" t="n">
        <x:v>46303.70863425925</x:v>
      </x:c>
      <x:c r="L2388" s="2" t="str">
        <x:v>Sent</x:v>
      </x:c>
      <x:c r="M2388" s="2" t="n">
        <x:v>1</x:v>
      </x:c>
      <x:c r="N2388" s="2"/>
      <x:c r="O2388" s="2"/>
    </x:row>
    <x:row r="2389" ht="21" customHeight="1">
      <x:c r="A2389" s="2" t="str">
        <x:v>NT002388</x:v>
      </x:c>
      <x:c r="B2389" s="2" t="str">
        <x:v>EV002390</x:v>
      </x:c>
      <x:c r="C2389" s="2" t="str">
        <x:v>T20261008-5-3</x:v>
      </x:c>
      <x:c r="D2389" s="2" t="str">
        <x:v>ST118</x:v>
      </x:c>
      <x:c r="E2389" s="2" t="str">
        <x:v>G118</x:v>
      </x:c>
      <x:c r="F2389" s="2" t="str">
        <x:v>guardian118@example.invalid</x:v>
      </x:c>
      <x:c r="G2389" s="2" t="str">
        <x:v>Email</x:v>
      </x:c>
      <x:c r="H2389" s="2" t="str">
        <x:v>Authorized release</x:v>
      </x:c>
      <x:c r="I2389" s="8" t="n">
        <x:v>46303.72871527778</x:v>
      </x:c>
      <x:c r="J2389" s="8" t="n">
        <x:v>46303.728738425925</x:v>
      </x:c>
      <x:c r="K2389" s="8" t="n">
        <x:v>46303.72877314815</x:v>
      </x:c>
      <x:c r="L2389" s="2" t="str">
        <x:v>Sent</x:v>
      </x:c>
      <x:c r="M2389" s="2" t="n">
        <x:v>1</x:v>
      </x:c>
      <x:c r="N2389" s="2"/>
      <x:c r="O2389" s="2"/>
    </x:row>
    <x:row r="2390" ht="21" customHeight="1">
      <x:c r="A2390" s="2" t="str">
        <x:v>NT002389</x:v>
      </x:c>
      <x:c r="B2390" s="2" t="str">
        <x:v>EV002391</x:v>
      </x:c>
      <x:c r="C2390" s="2" t="str">
        <x:v>T20261008-5-3</x:v>
      </x:c>
      <x:c r="D2390" s="2" t="str">
        <x:v>ST119</x:v>
      </x:c>
      <x:c r="E2390" s="2" t="str">
        <x:v>G119</x:v>
      </x:c>
      <x:c r="F2390" s="2" t="str">
        <x:v>guardian119@example.invalid</x:v>
      </x:c>
      <x:c r="G2390" s="2" t="str">
        <x:v>Email</x:v>
      </x:c>
      <x:c r="H2390" s="2" t="str">
        <x:v>Boarded</x:v>
      </x:c>
      <x:c r="I2390" s="8" t="n">
        <x:v>46303.708611111106</x:v>
      </x:c>
      <x:c r="J2390" s="8" t="n">
        <x:v>46303.70863425925</x:v>
      </x:c>
      <x:c r="K2390" s="8" t="n">
        <x:v>46303.708668981475</x:v>
      </x:c>
      <x:c r="L2390" s="2" t="str">
        <x:v>Sent</x:v>
      </x:c>
      <x:c r="M2390" s="2" t="n">
        <x:v>1</x:v>
      </x:c>
      <x:c r="N2390" s="2"/>
      <x:c r="O2390" s="2"/>
    </x:row>
    <x:row r="2391" ht="21" customHeight="1">
      <x:c r="A2391" s="2" t="str">
        <x:v>NT002390</x:v>
      </x:c>
      <x:c r="B2391" s="2" t="str">
        <x:v>EV002392</x:v>
      </x:c>
      <x:c r="C2391" s="2" t="str">
        <x:v>T20261008-5-3</x:v>
      </x:c>
      <x:c r="D2391" s="2" t="str">
        <x:v>ST119</x:v>
      </x:c>
      <x:c r="E2391" s="2" t="str">
        <x:v>G119</x:v>
      </x:c>
      <x:c r="F2391" s="2" t="str">
        <x:v>guardian119@example.invalid</x:v>
      </x:c>
      <x:c r="G2391" s="2" t="str">
        <x:v>Email</x:v>
      </x:c>
      <x:c r="H2391" s="2" t="str">
        <x:v>Authorized release</x:v>
      </x:c>
      <x:c r="I2391" s="8" t="n">
        <x:v>46303.733611111114</x:v>
      </x:c>
      <x:c r="J2391" s="8" t="n">
        <x:v>46303.73363425926</x:v>
      </x:c>
      <x:c r="K2391" s="8" t="n">
        <x:v>46303.733668981484</x:v>
      </x:c>
      <x:c r="L2391" s="2" t="str">
        <x:v>Sent</x:v>
      </x:c>
      <x:c r="M2391" s="2" t="n">
        <x:v>1</x:v>
      </x:c>
      <x:c r="N2391" s="2"/>
      <x:c r="O2391" s="2"/>
    </x:row>
    <x:row r="2392" ht="21" customHeight="1">
      <x:c r="A2392" s="2" t="str">
        <x:v>NT002391</x:v>
      </x:c>
      <x:c r="B2392" s="2" t="str">
        <x:v>EV002393</x:v>
      </x:c>
      <x:c r="C2392" s="2" t="str">
        <x:v>T20261008-5-3</x:v>
      </x:c>
      <x:c r="D2392" s="2" t="str">
        <x:v>ST120</x:v>
      </x:c>
      <x:c r="E2392" s="2" t="str">
        <x:v>G120</x:v>
      </x:c>
      <x:c r="F2392" s="2" t="str">
        <x:v>guardian120@example.invalid</x:v>
      </x:c>
      <x:c r="G2392" s="2" t="str">
        <x:v>Email</x:v>
      </x:c>
      <x:c r="H2392" s="2" t="str">
        <x:v>Boarded</x:v>
      </x:c>
      <x:c r="I2392" s="8" t="n">
        <x:v>46303.70864583333</x:v>
      </x:c>
      <x:c r="J2392" s="8" t="n">
        <x:v>46303.708668981475</x:v>
      </x:c>
      <x:c r="K2392" s="8" t="n">
        <x:v>46303.7087037037</x:v>
      </x:c>
      <x:c r="L2392" s="2" t="str">
        <x:v>Sent</x:v>
      </x:c>
      <x:c r="M2392" s="2" t="n">
        <x:v>1</x:v>
      </x:c>
      <x:c r="N2392" s="2"/>
      <x:c r="O2392" s="2"/>
    </x:row>
  </x:sheetData>
  <x:pageMargins left="0.7" right="0.7" top="0.75" bottom="0.75" header="0.3" footer="0.3"/>
  <x:tableParts count="1">
    <x:tablePart xmlns:r="http://schemas.openxmlformats.org/officeDocument/2006/relationships" r:id="R902dbb1d0bd84dd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0" hidden="0" customWidth="1"/>
    <x:col min="12" max="12" width="20" hidden="0" customWidth="1"/>
    <x:col min="13" max="13" width="40" hidden="0" customWidth="1"/>
    <x:col min="14" max="14" width="27" hidden="0" customWidth="1"/>
  </x:cols>
  <x:sheetData>
    <x:row r="1" ht="34" customHeight="1">
      <x:c r="A1" s="6" t="str">
        <x:v>Student_ID</x:v>
      </x:c>
      <x:c r="B1" s="6" t="str">
        <x:v>Student_Name</x:v>
      </x:c>
      <x:c r="C1" s="6" t="str">
        <x:v>Batch</x:v>
      </x:c>
      <x:c r="D1" s="6" t="str">
        <x:v>Student_Group</x:v>
      </x:c>
      <x:c r="E1" s="6" t="str">
        <x:v>Class</x:v>
      </x:c>
      <x:c r="F1" s="6" t="str">
        <x:v>Bus_ID</x:v>
      </x:c>
      <x:c r="G1" s="6" t="str">
        <x:v>Route_ID</x:v>
      </x:c>
      <x:c r="H1" s="6" t="str">
        <x:v>Home_Stop_ID</x:v>
      </x:c>
      <x:c r="I1" s="6" t="str">
        <x:v>Guardian_ID</x:v>
      </x:c>
      <x:c r="J1" s="6" t="str">
        <x:v>Guardian_Name</x:v>
      </x:c>
      <x:c r="K1" s="6" t="str">
        <x:v>Guardian_Email</x:v>
      </x:c>
      <x:c r="L1" s="6" t="str">
        <x:v>Authorized_Recipient_ID</x:v>
      </x:c>
      <x:c r="M1" s="6" t="str">
        <x:v>Badge_Token</x:v>
      </x:c>
      <x:c r="N1" s="6" t="str">
        <x:v>Student_Status</x:v>
      </x:c>
    </x:row>
    <x:row r="2" ht="21" customHeight="1">
      <x:c r="A2" s="2" t="str">
        <x:v>ST001</x:v>
      </x:c>
      <x:c r="B2" s="2" t="str">
        <x:v>Student 001</x:v>
      </x:c>
      <x:c r="C2" s="2" t="n">
        <x:v>1</x:v>
      </x:c>
      <x:c r="D2" s="2" t="str">
        <x:v>Junior</x:v>
      </x:c>
      <x:c r="E2" s="2" t="str">
        <x:v>Year 1</x:v>
      </x:c>
      <x:c r="F2" s="2" t="str">
        <x:v>BUS001</x:v>
      </x:c>
      <x:c r="G2" s="2" t="str">
        <x:v>R1</x:v>
      </x:c>
      <x:c r="H2" s="2" t="str">
        <x:v>R1S1</x:v>
      </x:c>
      <x:c r="I2" s="2" t="str">
        <x:v>G001</x:v>
      </x:c>
      <x:c r="J2" s="2" t="str">
        <x:v>Guardian 001</x:v>
      </x:c>
      <x:c r="K2" s="2" t="str">
        <x:v>guardian001@example.invalid</x:v>
      </x:c>
      <x:c r="L2" s="2" t="str">
        <x:v>G001</x:v>
      </x:c>
      <x:c r="M2" s="2" t="str">
        <x:v>c33d277e346360e93548e66cbf71eda4</x:v>
      </x:c>
      <x:c r="N2" s="2" t="str">
        <x:v>Active</x:v>
      </x:c>
    </x:row>
    <x:row r="3" ht="21" customHeight="1">
      <x:c r="A3" s="2" t="str">
        <x:v>ST002</x:v>
      </x:c>
      <x:c r="B3" s="2" t="str">
        <x:v>Student 002</x:v>
      </x:c>
      <x:c r="C3" s="2" t="n">
        <x:v>1</x:v>
      </x:c>
      <x:c r="D3" s="2" t="str">
        <x:v>Junior</x:v>
      </x:c>
      <x:c r="E3" s="2" t="str">
        <x:v>Year 2</x:v>
      </x:c>
      <x:c r="F3" s="2" t="str">
        <x:v>BUS001</x:v>
      </x:c>
      <x:c r="G3" s="2" t="str">
        <x:v>R1</x:v>
      </x:c>
      <x:c r="H3" s="2" t="str">
        <x:v>R1S2</x:v>
      </x:c>
      <x:c r="I3" s="2" t="str">
        <x:v>G002</x:v>
      </x:c>
      <x:c r="J3" s="2" t="str">
        <x:v>Guardian 002</x:v>
      </x:c>
      <x:c r="K3" s="2" t="str">
        <x:v>guardian002@example.invalid</x:v>
      </x:c>
      <x:c r="L3" s="2" t="str">
        <x:v>G002</x:v>
      </x:c>
      <x:c r="M3" s="2" t="str">
        <x:v>c9302a76d79e524442f3775978bb57a1</x:v>
      </x:c>
      <x:c r="N3" s="2" t="str">
        <x:v>Active</x:v>
      </x:c>
    </x:row>
    <x:row r="4" ht="21" customHeight="1">
      <x:c r="A4" s="2" t="str">
        <x:v>ST003</x:v>
      </x:c>
      <x:c r="B4" s="2" t="str">
        <x:v>Student 003</x:v>
      </x:c>
      <x:c r="C4" s="2" t="n">
        <x:v>1</x:v>
      </x:c>
      <x:c r="D4" s="2" t="str">
        <x:v>Junior</x:v>
      </x:c>
      <x:c r="E4" s="2" t="str">
        <x:v>Year 3</x:v>
      </x:c>
      <x:c r="F4" s="2" t="str">
        <x:v>BUS001</x:v>
      </x:c>
      <x:c r="G4" s="2" t="str">
        <x:v>R1</x:v>
      </x:c>
      <x:c r="H4" s="2" t="str">
        <x:v>R1S3</x:v>
      </x:c>
      <x:c r="I4" s="2" t="str">
        <x:v>G003</x:v>
      </x:c>
      <x:c r="J4" s="2" t="str">
        <x:v>Guardian 003</x:v>
      </x:c>
      <x:c r="K4" s="2" t="str">
        <x:v>guardian003@example.invalid</x:v>
      </x:c>
      <x:c r="L4" s="2" t="str">
        <x:v>G003</x:v>
      </x:c>
      <x:c r="M4" s="2" t="str">
        <x:v>7598e98213cb52db1085c9a94fae1915</x:v>
      </x:c>
      <x:c r="N4" s="2" t="str">
        <x:v>Active</x:v>
      </x:c>
    </x:row>
    <x:row r="5" ht="21" customHeight="1">
      <x:c r="A5" s="2" t="str">
        <x:v>ST004</x:v>
      </x:c>
      <x:c r="B5" s="2" t="str">
        <x:v>Student 004</x:v>
      </x:c>
      <x:c r="C5" s="2" t="n">
        <x:v>1</x:v>
      </x:c>
      <x:c r="D5" s="2" t="str">
        <x:v>Junior</x:v>
      </x:c>
      <x:c r="E5" s="2" t="str">
        <x:v>Year 1</x:v>
      </x:c>
      <x:c r="F5" s="2" t="str">
        <x:v>BUS001</x:v>
      </x:c>
      <x:c r="G5" s="2" t="str">
        <x:v>R1</x:v>
      </x:c>
      <x:c r="H5" s="2" t="str">
        <x:v>R1S1</x:v>
      </x:c>
      <x:c r="I5" s="2" t="str">
        <x:v>G004</x:v>
      </x:c>
      <x:c r="J5" s="2" t="str">
        <x:v>Guardian 004</x:v>
      </x:c>
      <x:c r="K5" s="2" t="str">
        <x:v>guardian004@example.invalid</x:v>
      </x:c>
      <x:c r="L5" s="2" t="str">
        <x:v>G004</x:v>
      </x:c>
      <x:c r="M5" s="2" t="str">
        <x:v>7dee56e67101a0dd8483e1503eba9a72</x:v>
      </x:c>
      <x:c r="N5" s="2" t="str">
        <x:v>Active</x:v>
      </x:c>
    </x:row>
    <x:row r="6" ht="21" customHeight="1">
      <x:c r="A6" s="2" t="str">
        <x:v>ST005</x:v>
      </x:c>
      <x:c r="B6" s="2" t="str">
        <x:v>Student 005</x:v>
      </x:c>
      <x:c r="C6" s="2" t="n">
        <x:v>1</x:v>
      </x:c>
      <x:c r="D6" s="2" t="str">
        <x:v>Junior</x:v>
      </x:c>
      <x:c r="E6" s="2" t="str">
        <x:v>Year 2</x:v>
      </x:c>
      <x:c r="F6" s="2" t="str">
        <x:v>BUS001</x:v>
      </x:c>
      <x:c r="G6" s="2" t="str">
        <x:v>R1</x:v>
      </x:c>
      <x:c r="H6" s="2" t="str">
        <x:v>R1S2</x:v>
      </x:c>
      <x:c r="I6" s="2" t="str">
        <x:v>G005</x:v>
      </x:c>
      <x:c r="J6" s="2" t="str">
        <x:v>Guardian 005</x:v>
      </x:c>
      <x:c r="K6" s="2" t="str">
        <x:v>guardian005@example.invalid</x:v>
      </x:c>
      <x:c r="L6" s="2" t="str">
        <x:v>G005</x:v>
      </x:c>
      <x:c r="M6" s="2" t="str">
        <x:v>426727a8a0b9d51694a399a005c786cf</x:v>
      </x:c>
      <x:c r="N6" s="2" t="str">
        <x:v>Active</x:v>
      </x:c>
    </x:row>
    <x:row r="7" ht="21" customHeight="1">
      <x:c r="A7" s="2" t="str">
        <x:v>ST006</x:v>
      </x:c>
      <x:c r="B7" s="2" t="str">
        <x:v>Student 006</x:v>
      </x:c>
      <x:c r="C7" s="2" t="n">
        <x:v>1</x:v>
      </x:c>
      <x:c r="D7" s="2" t="str">
        <x:v>Junior</x:v>
      </x:c>
      <x:c r="E7" s="2" t="str">
        <x:v>Year 3</x:v>
      </x:c>
      <x:c r="F7" s="2" t="str">
        <x:v>BUS001</x:v>
      </x:c>
      <x:c r="G7" s="2" t="str">
        <x:v>R1</x:v>
      </x:c>
      <x:c r="H7" s="2" t="str">
        <x:v>R1S3</x:v>
      </x:c>
      <x:c r="I7" s="2" t="str">
        <x:v>G006</x:v>
      </x:c>
      <x:c r="J7" s="2" t="str">
        <x:v>Guardian 006</x:v>
      </x:c>
      <x:c r="K7" s="2" t="str">
        <x:v>guardian006@example.invalid</x:v>
      </x:c>
      <x:c r="L7" s="2" t="str">
        <x:v>G006</x:v>
      </x:c>
      <x:c r="M7" s="2" t="str">
        <x:v>8edd7f2c984bf2eb5adf75591d6f1e9c</x:v>
      </x:c>
      <x:c r="N7" s="2" t="str">
        <x:v>Active</x:v>
      </x:c>
    </x:row>
    <x:row r="8" ht="21" customHeight="1">
      <x:c r="A8" s="2" t="str">
        <x:v>ST007</x:v>
      </x:c>
      <x:c r="B8" s="2" t="str">
        <x:v>Student 007</x:v>
      </x:c>
      <x:c r="C8" s="2" t="n">
        <x:v>1</x:v>
      </x:c>
      <x:c r="D8" s="2" t="str">
        <x:v>Junior</x:v>
      </x:c>
      <x:c r="E8" s="2" t="str">
        <x:v>Year 1</x:v>
      </x:c>
      <x:c r="F8" s="2" t="str">
        <x:v>BUS001</x:v>
      </x:c>
      <x:c r="G8" s="2" t="str">
        <x:v>R1</x:v>
      </x:c>
      <x:c r="H8" s="2" t="str">
        <x:v>R1S1</x:v>
      </x:c>
      <x:c r="I8" s="2" t="str">
        <x:v>G007</x:v>
      </x:c>
      <x:c r="J8" s="2" t="str">
        <x:v>Guardian 007</x:v>
      </x:c>
      <x:c r="K8" s="2" t="str">
        <x:v>guardian007@example.invalid</x:v>
      </x:c>
      <x:c r="L8" s="2" t="str">
        <x:v>G007</x:v>
      </x:c>
      <x:c r="M8" s="2" t="str">
        <x:v>2376173ab02a96d9b58d44caf4008dfd</x:v>
      </x:c>
      <x:c r="N8" s="2" t="str">
        <x:v>Active</x:v>
      </x:c>
    </x:row>
    <x:row r="9" ht="21" customHeight="1">
      <x:c r="A9" s="2" t="str">
        <x:v>ST008</x:v>
      </x:c>
      <x:c r="B9" s="2" t="str">
        <x:v>Student 008</x:v>
      </x:c>
      <x:c r="C9" s="2" t="n">
        <x:v>1</x:v>
      </x:c>
      <x:c r="D9" s="2" t="str">
        <x:v>Junior</x:v>
      </x:c>
      <x:c r="E9" s="2" t="str">
        <x:v>Year 2</x:v>
      </x:c>
      <x:c r="F9" s="2" t="str">
        <x:v>BUS001</x:v>
      </x:c>
      <x:c r="G9" s="2" t="str">
        <x:v>R1</x:v>
      </x:c>
      <x:c r="H9" s="2" t="str">
        <x:v>R1S2</x:v>
      </x:c>
      <x:c r="I9" s="2" t="str">
        <x:v>G008</x:v>
      </x:c>
      <x:c r="J9" s="2" t="str">
        <x:v>Guardian 008</x:v>
      </x:c>
      <x:c r="K9" s="2" t="str">
        <x:v>guardian008@example.invalid</x:v>
      </x:c>
      <x:c r="L9" s="2" t="str">
        <x:v>G008</x:v>
      </x:c>
      <x:c r="M9" s="2" t="str">
        <x:v>ac4baf5d317844907005c691f401c42d</x:v>
      </x:c>
      <x:c r="N9" s="2" t="str">
        <x:v>Active</x:v>
      </x:c>
    </x:row>
    <x:row r="10" ht="21" customHeight="1">
      <x:c r="A10" s="2" t="str">
        <x:v>ST009</x:v>
      </x:c>
      <x:c r="B10" s="2" t="str">
        <x:v>Student 009</x:v>
      </x:c>
      <x:c r="C10" s="2" t="n">
        <x:v>1</x:v>
      </x:c>
      <x:c r="D10" s="2" t="str">
        <x:v>Junior</x:v>
      </x:c>
      <x:c r="E10" s="2" t="str">
        <x:v>Year 3</x:v>
      </x:c>
      <x:c r="F10" s="2" t="str">
        <x:v>BUS001</x:v>
      </x:c>
      <x:c r="G10" s="2" t="str">
        <x:v>R1</x:v>
      </x:c>
      <x:c r="H10" s="2" t="str">
        <x:v>R1S3</x:v>
      </x:c>
      <x:c r="I10" s="2" t="str">
        <x:v>G009</x:v>
      </x:c>
      <x:c r="J10" s="2" t="str">
        <x:v>Guardian 009</x:v>
      </x:c>
      <x:c r="K10" s="2" t="str">
        <x:v>guardian009@example.invalid</x:v>
      </x:c>
      <x:c r="L10" s="2" t="str">
        <x:v>G009</x:v>
      </x:c>
      <x:c r="M10" s="2" t="str">
        <x:v>fdc849f07f4ba12ab82f6bed87d7275d</x:v>
      </x:c>
      <x:c r="N10" s="2" t="str">
        <x:v>Active</x:v>
      </x:c>
    </x:row>
    <x:row r="11" ht="21" customHeight="1">
      <x:c r="A11" s="2" t="str">
        <x:v>ST010</x:v>
      </x:c>
      <x:c r="B11" s="2" t="str">
        <x:v>Student 010</x:v>
      </x:c>
      <x:c r="C11" s="2" t="n">
        <x:v>1</x:v>
      </x:c>
      <x:c r="D11" s="2" t="str">
        <x:v>Junior</x:v>
      </x:c>
      <x:c r="E11" s="2" t="str">
        <x:v>Year 1</x:v>
      </x:c>
      <x:c r="F11" s="2" t="str">
        <x:v>BUS001</x:v>
      </x:c>
      <x:c r="G11" s="2" t="str">
        <x:v>R1</x:v>
      </x:c>
      <x:c r="H11" s="2" t="str">
        <x:v>R1S1</x:v>
      </x:c>
      <x:c r="I11" s="2" t="str">
        <x:v>G010</x:v>
      </x:c>
      <x:c r="J11" s="2" t="str">
        <x:v>Guardian 010</x:v>
      </x:c>
      <x:c r="K11" s="2" t="str">
        <x:v>guardian010@example.invalid</x:v>
      </x:c>
      <x:c r="L11" s="2" t="str">
        <x:v>G010</x:v>
      </x:c>
      <x:c r="M11" s="2" t="str">
        <x:v>df6521f6838e149b7b1f3fd27dcbf586</x:v>
      </x:c>
      <x:c r="N11" s="2" t="str">
        <x:v>Active</x:v>
      </x:c>
    </x:row>
    <x:row r="12" ht="21" customHeight="1">
      <x:c r="A12" s="2" t="str">
        <x:v>ST011</x:v>
      </x:c>
      <x:c r="B12" s="2" t="str">
        <x:v>Student 011</x:v>
      </x:c>
      <x:c r="C12" s="2" t="n">
        <x:v>1</x:v>
      </x:c>
      <x:c r="D12" s="2" t="str">
        <x:v>Senior</x:v>
      </x:c>
      <x:c r="E12" s="2" t="str">
        <x:v>Year 9</x:v>
      </x:c>
      <x:c r="F12" s="2" t="str">
        <x:v>BUS001</x:v>
      </x:c>
      <x:c r="G12" s="2" t="str">
        <x:v>R1</x:v>
      </x:c>
      <x:c r="H12" s="2" t="str">
        <x:v>R1S2</x:v>
      </x:c>
      <x:c r="I12" s="2" t="str">
        <x:v>G011</x:v>
      </x:c>
      <x:c r="J12" s="2" t="str">
        <x:v>Guardian 011</x:v>
      </x:c>
      <x:c r="K12" s="2" t="str">
        <x:v>guardian011@example.invalid</x:v>
      </x:c>
      <x:c r="L12" s="2" t="str">
        <x:v>G011</x:v>
      </x:c>
      <x:c r="M12" s="2" t="str">
        <x:v>38c917effc7ec45ac750455eb7892f3e</x:v>
      </x:c>
      <x:c r="N12" s="2" t="str">
        <x:v>Active</x:v>
      </x:c>
    </x:row>
    <x:row r="13" ht="21" customHeight="1">
      <x:c r="A13" s="2" t="str">
        <x:v>ST012</x:v>
      </x:c>
      <x:c r="B13" s="2" t="str">
        <x:v>Student 012</x:v>
      </x:c>
      <x:c r="C13" s="2" t="n">
        <x:v>1</x:v>
      </x:c>
      <x:c r="D13" s="2" t="str">
        <x:v>Senior</x:v>
      </x:c>
      <x:c r="E13" s="2" t="str">
        <x:v>Year 10</x:v>
      </x:c>
      <x:c r="F13" s="2" t="str">
        <x:v>BUS001</x:v>
      </x:c>
      <x:c r="G13" s="2" t="str">
        <x:v>R1</x:v>
      </x:c>
      <x:c r="H13" s="2" t="str">
        <x:v>R1S3</x:v>
      </x:c>
      <x:c r="I13" s="2" t="str">
        <x:v>G012</x:v>
      </x:c>
      <x:c r="J13" s="2" t="str">
        <x:v>Guardian 012</x:v>
      </x:c>
      <x:c r="K13" s="2" t="str">
        <x:v>guardian012@example.invalid</x:v>
      </x:c>
      <x:c r="L13" s="2" t="str">
        <x:v>G012</x:v>
      </x:c>
      <x:c r="M13" s="2" t="str">
        <x:v>8d45a06a93234042b630e18d7821ea23</x:v>
      </x:c>
      <x:c r="N13" s="2" t="str">
        <x:v>Active</x:v>
      </x:c>
    </x:row>
    <x:row r="14" ht="21" customHeight="1">
      <x:c r="A14" s="2" t="str">
        <x:v>ST013</x:v>
      </x:c>
      <x:c r="B14" s="2" t="str">
        <x:v>Student 013</x:v>
      </x:c>
      <x:c r="C14" s="2" t="n">
        <x:v>1</x:v>
      </x:c>
      <x:c r="D14" s="2" t="str">
        <x:v>Senior</x:v>
      </x:c>
      <x:c r="E14" s="2" t="str">
        <x:v>Year 7</x:v>
      </x:c>
      <x:c r="F14" s="2" t="str">
        <x:v>BUS001</x:v>
      </x:c>
      <x:c r="G14" s="2" t="str">
        <x:v>R1</x:v>
      </x:c>
      <x:c r="H14" s="2" t="str">
        <x:v>R1S1</x:v>
      </x:c>
      <x:c r="I14" s="2" t="str">
        <x:v>G013</x:v>
      </x:c>
      <x:c r="J14" s="2" t="str">
        <x:v>Guardian 013</x:v>
      </x:c>
      <x:c r="K14" s="2" t="str">
        <x:v>guardian013@example.invalid</x:v>
      </x:c>
      <x:c r="L14" s="2" t="str">
        <x:v>G013</x:v>
      </x:c>
      <x:c r="M14" s="2" t="str">
        <x:v>ddc4bbe364f02f5a2177795c49ea7ba9</x:v>
      </x:c>
      <x:c r="N14" s="2" t="str">
        <x:v>Active</x:v>
      </x:c>
    </x:row>
    <x:row r="15" ht="21" customHeight="1">
      <x:c r="A15" s="2" t="str">
        <x:v>ST014</x:v>
      </x:c>
      <x:c r="B15" s="2" t="str">
        <x:v>Student 014</x:v>
      </x:c>
      <x:c r="C15" s="2" t="n">
        <x:v>1</x:v>
      </x:c>
      <x:c r="D15" s="2" t="str">
        <x:v>Senior</x:v>
      </x:c>
      <x:c r="E15" s="2" t="str">
        <x:v>Year 8</x:v>
      </x:c>
      <x:c r="F15" s="2" t="str">
        <x:v>BUS001</x:v>
      </x:c>
      <x:c r="G15" s="2" t="str">
        <x:v>R1</x:v>
      </x:c>
      <x:c r="H15" s="2" t="str">
        <x:v>R1S2</x:v>
      </x:c>
      <x:c r="I15" s="2" t="str">
        <x:v>G014</x:v>
      </x:c>
      <x:c r="J15" s="2" t="str">
        <x:v>Guardian 014</x:v>
      </x:c>
      <x:c r="K15" s="2" t="str">
        <x:v>guardian014@example.invalid</x:v>
      </x:c>
      <x:c r="L15" s="2" t="str">
        <x:v>G014</x:v>
      </x:c>
      <x:c r="M15" s="2" t="str">
        <x:v>6ea4b25306143e251962ae19fa8ee7af</x:v>
      </x:c>
      <x:c r="N15" s="2" t="str">
        <x:v>Active</x:v>
      </x:c>
    </x:row>
    <x:row r="16" ht="21" customHeight="1">
      <x:c r="A16" s="2" t="str">
        <x:v>ST015</x:v>
      </x:c>
      <x:c r="B16" s="2" t="str">
        <x:v>Student 015</x:v>
      </x:c>
      <x:c r="C16" s="2" t="n">
        <x:v>1</x:v>
      </x:c>
      <x:c r="D16" s="2" t="str">
        <x:v>Senior</x:v>
      </x:c>
      <x:c r="E16" s="2" t="str">
        <x:v>Year 9</x:v>
      </x:c>
      <x:c r="F16" s="2" t="str">
        <x:v>BUS001</x:v>
      </x:c>
      <x:c r="G16" s="2" t="str">
        <x:v>R1</x:v>
      </x:c>
      <x:c r="H16" s="2" t="str">
        <x:v>R1S3</x:v>
      </x:c>
      <x:c r="I16" s="2" t="str">
        <x:v>G015</x:v>
      </x:c>
      <x:c r="J16" s="2" t="str">
        <x:v>Guardian 015</x:v>
      </x:c>
      <x:c r="K16" s="2" t="str">
        <x:v>guardian015@example.invalid</x:v>
      </x:c>
      <x:c r="L16" s="2" t="str">
        <x:v>G015</x:v>
      </x:c>
      <x:c r="M16" s="2" t="str">
        <x:v>997c76227e9b12bdccc68d0d53a8d1df</x:v>
      </x:c>
      <x:c r="N16" s="2" t="str">
        <x:v>Active</x:v>
      </x:c>
    </x:row>
    <x:row r="17" ht="21" customHeight="1">
      <x:c r="A17" s="2" t="str">
        <x:v>ST016</x:v>
      </x:c>
      <x:c r="B17" s="2" t="str">
        <x:v>Student 016</x:v>
      </x:c>
      <x:c r="C17" s="2" t="n">
        <x:v>1</x:v>
      </x:c>
      <x:c r="D17" s="2" t="str">
        <x:v>Senior</x:v>
      </x:c>
      <x:c r="E17" s="2" t="str">
        <x:v>Year 10</x:v>
      </x:c>
      <x:c r="F17" s="2" t="str">
        <x:v>BUS001</x:v>
      </x:c>
      <x:c r="G17" s="2" t="str">
        <x:v>R1</x:v>
      </x:c>
      <x:c r="H17" s="2" t="str">
        <x:v>R1S1</x:v>
      </x:c>
      <x:c r="I17" s="2" t="str">
        <x:v>G016</x:v>
      </x:c>
      <x:c r="J17" s="2" t="str">
        <x:v>Guardian 016</x:v>
      </x:c>
      <x:c r="K17" s="2" t="str">
        <x:v>guardian016@example.invalid</x:v>
      </x:c>
      <x:c r="L17" s="2" t="str">
        <x:v>G016</x:v>
      </x:c>
      <x:c r="M17" s="2" t="str">
        <x:v>5227a65bcc4ea356d570fe16b2970ea5</x:v>
      </x:c>
      <x:c r="N17" s="2" t="str">
        <x:v>Active</x:v>
      </x:c>
    </x:row>
    <x:row r="18" ht="21" customHeight="1">
      <x:c r="A18" s="2" t="str">
        <x:v>ST017</x:v>
      </x:c>
      <x:c r="B18" s="2" t="str">
        <x:v>Student 017</x:v>
      </x:c>
      <x:c r="C18" s="2" t="n">
        <x:v>1</x:v>
      </x:c>
      <x:c r="D18" s="2" t="str">
        <x:v>Senior</x:v>
      </x:c>
      <x:c r="E18" s="2" t="str">
        <x:v>Year 7</x:v>
      </x:c>
      <x:c r="F18" s="2" t="str">
        <x:v>BUS001</x:v>
      </x:c>
      <x:c r="G18" s="2" t="str">
        <x:v>R1</x:v>
      </x:c>
      <x:c r="H18" s="2" t="str">
        <x:v>R1S2</x:v>
      </x:c>
      <x:c r="I18" s="2" t="str">
        <x:v>G017</x:v>
      </x:c>
      <x:c r="J18" s="2" t="str">
        <x:v>Guardian 017</x:v>
      </x:c>
      <x:c r="K18" s="2" t="str">
        <x:v>guardian017@example.invalid</x:v>
      </x:c>
      <x:c r="L18" s="2" t="str">
        <x:v>G017</x:v>
      </x:c>
      <x:c r="M18" s="2" t="str">
        <x:v>ea6159d457322f2456f4cadd6b3d659f</x:v>
      </x:c>
      <x:c r="N18" s="2" t="str">
        <x:v>Active</x:v>
      </x:c>
    </x:row>
    <x:row r="19" ht="21" customHeight="1">
      <x:c r="A19" s="2" t="str">
        <x:v>ST018</x:v>
      </x:c>
      <x:c r="B19" s="2" t="str">
        <x:v>Student 018</x:v>
      </x:c>
      <x:c r="C19" s="2" t="n">
        <x:v>1</x:v>
      </x:c>
      <x:c r="D19" s="2" t="str">
        <x:v>Senior</x:v>
      </x:c>
      <x:c r="E19" s="2" t="str">
        <x:v>Year 8</x:v>
      </x:c>
      <x:c r="F19" s="2" t="str">
        <x:v>BUS001</x:v>
      </x:c>
      <x:c r="G19" s="2" t="str">
        <x:v>R1</x:v>
      </x:c>
      <x:c r="H19" s="2" t="str">
        <x:v>R1S3</x:v>
      </x:c>
      <x:c r="I19" s="2" t="str">
        <x:v>G018</x:v>
      </x:c>
      <x:c r="J19" s="2" t="str">
        <x:v>Guardian 018</x:v>
      </x:c>
      <x:c r="K19" s="2" t="str">
        <x:v>guardian018@example.invalid</x:v>
      </x:c>
      <x:c r="L19" s="2" t="str">
        <x:v>G018</x:v>
      </x:c>
      <x:c r="M19" s="2" t="str">
        <x:v>4c1b40081ed5c7c21b8392ee528dbe54</x:v>
      </x:c>
      <x:c r="N19" s="2" t="str">
        <x:v>Active</x:v>
      </x:c>
    </x:row>
    <x:row r="20" ht="21" customHeight="1">
      <x:c r="A20" s="2" t="str">
        <x:v>ST019</x:v>
      </x:c>
      <x:c r="B20" s="2" t="str">
        <x:v>Student 019</x:v>
      </x:c>
      <x:c r="C20" s="2" t="n">
        <x:v>1</x:v>
      </x:c>
      <x:c r="D20" s="2" t="str">
        <x:v>Senior</x:v>
      </x:c>
      <x:c r="E20" s="2" t="str">
        <x:v>Year 9</x:v>
      </x:c>
      <x:c r="F20" s="2" t="str">
        <x:v>BUS001</x:v>
      </x:c>
      <x:c r="G20" s="2" t="str">
        <x:v>R1</x:v>
      </x:c>
      <x:c r="H20" s="2" t="str">
        <x:v>R1S1</x:v>
      </x:c>
      <x:c r="I20" s="2" t="str">
        <x:v>G019</x:v>
      </x:c>
      <x:c r="J20" s="2" t="str">
        <x:v>Guardian 019</x:v>
      </x:c>
      <x:c r="K20" s="2" t="str">
        <x:v>guardian019@example.invalid</x:v>
      </x:c>
      <x:c r="L20" s="2" t="str">
        <x:v>G019</x:v>
      </x:c>
      <x:c r="M20" s="2" t="str">
        <x:v>b83400b1b6dcfb0f7cb413571cb76f8f</x:v>
      </x:c>
      <x:c r="N20" s="2" t="str">
        <x:v>Active</x:v>
      </x:c>
    </x:row>
    <x:row r="21" ht="21" customHeight="1">
      <x:c r="A21" s="2" t="str">
        <x:v>ST020</x:v>
      </x:c>
      <x:c r="B21" s="2" t="str">
        <x:v>Student 020</x:v>
      </x:c>
      <x:c r="C21" s="2" t="n">
        <x:v>1</x:v>
      </x:c>
      <x:c r="D21" s="2" t="str">
        <x:v>Senior</x:v>
      </x:c>
      <x:c r="E21" s="2" t="str">
        <x:v>Year 10</x:v>
      </x:c>
      <x:c r="F21" s="2" t="str">
        <x:v>BUS001</x:v>
      </x:c>
      <x:c r="G21" s="2" t="str">
        <x:v>R1</x:v>
      </x:c>
      <x:c r="H21" s="2" t="str">
        <x:v>R1S2</x:v>
      </x:c>
      <x:c r="I21" s="2" t="str">
        <x:v>G020</x:v>
      </x:c>
      <x:c r="J21" s="2" t="str">
        <x:v>Guardian 020</x:v>
      </x:c>
      <x:c r="K21" s="2" t="str">
        <x:v>guardian020@example.invalid</x:v>
      </x:c>
      <x:c r="L21" s="2" t="str">
        <x:v>G020</x:v>
      </x:c>
      <x:c r="M21" s="2" t="str">
        <x:v>9f8daa9030f9f7599cd24e056935ab8d</x:v>
      </x:c>
      <x:c r="N21" s="2" t="str">
        <x:v>Active</x:v>
      </x:c>
    </x:row>
    <x:row r="22" ht="21" customHeight="1">
      <x:c r="A22" s="2" t="str">
        <x:v>ST021</x:v>
      </x:c>
      <x:c r="B22" s="2" t="str">
        <x:v>Student 021</x:v>
      </x:c>
      <x:c r="C22" s="2" t="n">
        <x:v>2</x:v>
      </x:c>
      <x:c r="D22" s="2" t="str">
        <x:v>Junior</x:v>
      </x:c>
      <x:c r="E22" s="2" t="str">
        <x:v>Year 3</x:v>
      </x:c>
      <x:c r="F22" s="2" t="str">
        <x:v>BUS001</x:v>
      </x:c>
      <x:c r="G22" s="2" t="str">
        <x:v>R1</x:v>
      </x:c>
      <x:c r="H22" s="2" t="str">
        <x:v>R1S3</x:v>
      </x:c>
      <x:c r="I22" s="2" t="str">
        <x:v>G021</x:v>
      </x:c>
      <x:c r="J22" s="2" t="str">
        <x:v>Guardian 021</x:v>
      </x:c>
      <x:c r="K22" s="2" t="str">
        <x:v>guardian021@example.invalid</x:v>
      </x:c>
      <x:c r="L22" s="2" t="str">
        <x:v>G021</x:v>
      </x:c>
      <x:c r="M22" s="2" t="str">
        <x:v>9b1608e5663d6da53cd805c8051dedd7</x:v>
      </x:c>
      <x:c r="N22" s="2" t="str">
        <x:v>Active</x:v>
      </x:c>
    </x:row>
    <x:row r="23" ht="21" customHeight="1">
      <x:c r="A23" s="2" t="str">
        <x:v>ST022</x:v>
      </x:c>
      <x:c r="B23" s="2" t="str">
        <x:v>Student 022</x:v>
      </x:c>
      <x:c r="C23" s="2" t="n">
        <x:v>2</x:v>
      </x:c>
      <x:c r="D23" s="2" t="str">
        <x:v>Junior</x:v>
      </x:c>
      <x:c r="E23" s="2" t="str">
        <x:v>Year 1</x:v>
      </x:c>
      <x:c r="F23" s="2" t="str">
        <x:v>BUS001</x:v>
      </x:c>
      <x:c r="G23" s="2" t="str">
        <x:v>R1</x:v>
      </x:c>
      <x:c r="H23" s="2" t="str">
        <x:v>R1S1</x:v>
      </x:c>
      <x:c r="I23" s="2" t="str">
        <x:v>G022</x:v>
      </x:c>
      <x:c r="J23" s="2" t="str">
        <x:v>Guardian 022</x:v>
      </x:c>
      <x:c r="K23" s="2" t="str">
        <x:v>guardian022@example.invalid</x:v>
      </x:c>
      <x:c r="L23" s="2" t="str">
        <x:v>G022</x:v>
      </x:c>
      <x:c r="M23" s="2" t="str">
        <x:v>32e634064d0319251398d392c471332a</x:v>
      </x:c>
      <x:c r="N23" s="2" t="str">
        <x:v>Active</x:v>
      </x:c>
    </x:row>
    <x:row r="24" ht="21" customHeight="1">
      <x:c r="A24" s="2" t="str">
        <x:v>ST023</x:v>
      </x:c>
      <x:c r="B24" s="2" t="str">
        <x:v>Student 023</x:v>
      </x:c>
      <x:c r="C24" s="2" t="n">
        <x:v>2</x:v>
      </x:c>
      <x:c r="D24" s="2" t="str">
        <x:v>Junior</x:v>
      </x:c>
      <x:c r="E24" s="2" t="str">
        <x:v>Year 2</x:v>
      </x:c>
      <x:c r="F24" s="2" t="str">
        <x:v>BUS001</x:v>
      </x:c>
      <x:c r="G24" s="2" t="str">
        <x:v>R1</x:v>
      </x:c>
      <x:c r="H24" s="2" t="str">
        <x:v>R1S2</x:v>
      </x:c>
      <x:c r="I24" s="2" t="str">
        <x:v>G023</x:v>
      </x:c>
      <x:c r="J24" s="2" t="str">
        <x:v>Guardian 023</x:v>
      </x:c>
      <x:c r="K24" s="2" t="str">
        <x:v>guardian023@example.invalid</x:v>
      </x:c>
      <x:c r="L24" s="2" t="str">
        <x:v>G023</x:v>
      </x:c>
      <x:c r="M24" s="2" t="str">
        <x:v>1836074fce688580737a08d14a26fa79</x:v>
      </x:c>
      <x:c r="N24" s="2" t="str">
        <x:v>Active</x:v>
      </x:c>
    </x:row>
    <x:row r="25" ht="21" customHeight="1">
      <x:c r="A25" s="2" t="str">
        <x:v>ST024</x:v>
      </x:c>
      <x:c r="B25" s="2" t="str">
        <x:v>Student 024</x:v>
      </x:c>
      <x:c r="C25" s="2" t="n">
        <x:v>2</x:v>
      </x:c>
      <x:c r="D25" s="2" t="str">
        <x:v>Junior</x:v>
      </x:c>
      <x:c r="E25" s="2" t="str">
        <x:v>Year 3</x:v>
      </x:c>
      <x:c r="F25" s="2" t="str">
        <x:v>BUS001</x:v>
      </x:c>
      <x:c r="G25" s="2" t="str">
        <x:v>R1</x:v>
      </x:c>
      <x:c r="H25" s="2" t="str">
        <x:v>R1S3</x:v>
      </x:c>
      <x:c r="I25" s="2" t="str">
        <x:v>G024</x:v>
      </x:c>
      <x:c r="J25" s="2" t="str">
        <x:v>Guardian 024</x:v>
      </x:c>
      <x:c r="K25" s="2" t="str">
        <x:v>guardian024@example.invalid</x:v>
      </x:c>
      <x:c r="L25" s="2" t="str">
        <x:v>G024</x:v>
      </x:c>
      <x:c r="M25" s="2" t="str">
        <x:v>df785f1577b8ee7f71835020d03a12a6</x:v>
      </x:c>
      <x:c r="N25" s="2" t="str">
        <x:v>Active</x:v>
      </x:c>
    </x:row>
    <x:row r="26" ht="21" customHeight="1">
      <x:c r="A26" s="2" t="str">
        <x:v>ST025</x:v>
      </x:c>
      <x:c r="B26" s="2" t="str">
        <x:v>Student 025</x:v>
      </x:c>
      <x:c r="C26" s="2" t="n">
        <x:v>2</x:v>
      </x:c>
      <x:c r="D26" s="2" t="str">
        <x:v>Junior</x:v>
      </x:c>
      <x:c r="E26" s="2" t="str">
        <x:v>Year 1</x:v>
      </x:c>
      <x:c r="F26" s="2" t="str">
        <x:v>BUS001</x:v>
      </x:c>
      <x:c r="G26" s="2" t="str">
        <x:v>R1</x:v>
      </x:c>
      <x:c r="H26" s="2" t="str">
        <x:v>R1S1</x:v>
      </x:c>
      <x:c r="I26" s="2" t="str">
        <x:v>G025</x:v>
      </x:c>
      <x:c r="J26" s="2" t="str">
        <x:v>Guardian 025</x:v>
      </x:c>
      <x:c r="K26" s="2" t="str">
        <x:v>guardian025@example.invalid</x:v>
      </x:c>
      <x:c r="L26" s="2" t="str">
        <x:v>G025</x:v>
      </x:c>
      <x:c r="M26" s="2" t="str">
        <x:v>caea48c43f4ccfa85999e7cb546cd774</x:v>
      </x:c>
      <x:c r="N26" s="2" t="str">
        <x:v>Active</x:v>
      </x:c>
    </x:row>
    <x:row r="27" ht="21" customHeight="1">
      <x:c r="A27" s="2" t="str">
        <x:v>ST026</x:v>
      </x:c>
      <x:c r="B27" s="2" t="str">
        <x:v>Student 026</x:v>
      </x:c>
      <x:c r="C27" s="2" t="n">
        <x:v>2</x:v>
      </x:c>
      <x:c r="D27" s="2" t="str">
        <x:v>Junior</x:v>
      </x:c>
      <x:c r="E27" s="2" t="str">
        <x:v>Year 2</x:v>
      </x:c>
      <x:c r="F27" s="2" t="str">
        <x:v>BUS001</x:v>
      </x:c>
      <x:c r="G27" s="2" t="str">
        <x:v>R1</x:v>
      </x:c>
      <x:c r="H27" s="2" t="str">
        <x:v>R1S2</x:v>
      </x:c>
      <x:c r="I27" s="2" t="str">
        <x:v>G026</x:v>
      </x:c>
      <x:c r="J27" s="2" t="str">
        <x:v>Guardian 026</x:v>
      </x:c>
      <x:c r="K27" s="2" t="str">
        <x:v>guardian026@example.invalid</x:v>
      </x:c>
      <x:c r="L27" s="2" t="str">
        <x:v>G026</x:v>
      </x:c>
      <x:c r="M27" s="2" t="str">
        <x:v>56aea196eabcf09e1199afbd5e8907b0</x:v>
      </x:c>
      <x:c r="N27" s="2" t="str">
        <x:v>Active</x:v>
      </x:c>
    </x:row>
    <x:row r="28" ht="21" customHeight="1">
      <x:c r="A28" s="2" t="str">
        <x:v>ST027</x:v>
      </x:c>
      <x:c r="B28" s="2" t="str">
        <x:v>Student 027</x:v>
      </x:c>
      <x:c r="C28" s="2" t="n">
        <x:v>2</x:v>
      </x:c>
      <x:c r="D28" s="2" t="str">
        <x:v>Junior</x:v>
      </x:c>
      <x:c r="E28" s="2" t="str">
        <x:v>Year 3</x:v>
      </x:c>
      <x:c r="F28" s="2" t="str">
        <x:v>BUS001</x:v>
      </x:c>
      <x:c r="G28" s="2" t="str">
        <x:v>R1</x:v>
      </x:c>
      <x:c r="H28" s="2" t="str">
        <x:v>R1S3</x:v>
      </x:c>
      <x:c r="I28" s="2" t="str">
        <x:v>G027</x:v>
      </x:c>
      <x:c r="J28" s="2" t="str">
        <x:v>Guardian 027</x:v>
      </x:c>
      <x:c r="K28" s="2" t="str">
        <x:v>guardian027@example.invalid</x:v>
      </x:c>
      <x:c r="L28" s="2" t="str">
        <x:v>G027</x:v>
      </x:c>
      <x:c r="M28" s="2" t="str">
        <x:v>87868c08c06226359ca5121a9563bb63</x:v>
      </x:c>
      <x:c r="N28" s="2" t="str">
        <x:v>Active</x:v>
      </x:c>
    </x:row>
    <x:row r="29" ht="21" customHeight="1">
      <x:c r="A29" s="2" t="str">
        <x:v>ST028</x:v>
      </x:c>
      <x:c r="B29" s="2" t="str">
        <x:v>Student 028</x:v>
      </x:c>
      <x:c r="C29" s="2" t="n">
        <x:v>2</x:v>
      </x:c>
      <x:c r="D29" s="2" t="str">
        <x:v>Junior</x:v>
      </x:c>
      <x:c r="E29" s="2" t="str">
        <x:v>Year 1</x:v>
      </x:c>
      <x:c r="F29" s="2" t="str">
        <x:v>BUS001</x:v>
      </x:c>
      <x:c r="G29" s="2" t="str">
        <x:v>R1</x:v>
      </x:c>
      <x:c r="H29" s="2" t="str">
        <x:v>R1S1</x:v>
      </x:c>
      <x:c r="I29" s="2" t="str">
        <x:v>G028</x:v>
      </x:c>
      <x:c r="J29" s="2" t="str">
        <x:v>Guardian 028</x:v>
      </x:c>
      <x:c r="K29" s="2" t="str">
        <x:v>guardian028@example.invalid</x:v>
      </x:c>
      <x:c r="L29" s="2" t="str">
        <x:v>G028</x:v>
      </x:c>
      <x:c r="M29" s="2" t="str">
        <x:v>af9ca502f5a3f54f1f44ea6d11afd24b</x:v>
      </x:c>
      <x:c r="N29" s="2" t="str">
        <x:v>Active</x:v>
      </x:c>
    </x:row>
    <x:row r="30" ht="21" customHeight="1">
      <x:c r="A30" s="2" t="str">
        <x:v>ST029</x:v>
      </x:c>
      <x:c r="B30" s="2" t="str">
        <x:v>Student 029</x:v>
      </x:c>
      <x:c r="C30" s="2" t="n">
        <x:v>2</x:v>
      </x:c>
      <x:c r="D30" s="2" t="str">
        <x:v>Junior</x:v>
      </x:c>
      <x:c r="E30" s="2" t="str">
        <x:v>Year 2</x:v>
      </x:c>
      <x:c r="F30" s="2" t="str">
        <x:v>BUS001</x:v>
      </x:c>
      <x:c r="G30" s="2" t="str">
        <x:v>R1</x:v>
      </x:c>
      <x:c r="H30" s="2" t="str">
        <x:v>R1S2</x:v>
      </x:c>
      <x:c r="I30" s="2" t="str">
        <x:v>G029</x:v>
      </x:c>
      <x:c r="J30" s="2" t="str">
        <x:v>Guardian 029</x:v>
      </x:c>
      <x:c r="K30" s="2" t="str">
        <x:v>guardian029@example.invalid</x:v>
      </x:c>
      <x:c r="L30" s="2" t="str">
        <x:v>G029</x:v>
      </x:c>
      <x:c r="M30" s="2" t="str">
        <x:v>160c4caa69875e092299cd9b55dcda0b</x:v>
      </x:c>
      <x:c r="N30" s="2" t="str">
        <x:v>Active</x:v>
      </x:c>
    </x:row>
    <x:row r="31" ht="21" customHeight="1">
      <x:c r="A31" s="2" t="str">
        <x:v>ST030</x:v>
      </x:c>
      <x:c r="B31" s="2" t="str">
        <x:v>Student 030</x:v>
      </x:c>
      <x:c r="C31" s="2" t="n">
        <x:v>2</x:v>
      </x:c>
      <x:c r="D31" s="2" t="str">
        <x:v>Junior</x:v>
      </x:c>
      <x:c r="E31" s="2" t="str">
        <x:v>Year 3</x:v>
      </x:c>
      <x:c r="F31" s="2" t="str">
        <x:v>BUS001</x:v>
      </x:c>
      <x:c r="G31" s="2" t="str">
        <x:v>R1</x:v>
      </x:c>
      <x:c r="H31" s="2" t="str">
        <x:v>R1S3</x:v>
      </x:c>
      <x:c r="I31" s="2" t="str">
        <x:v>G030</x:v>
      </x:c>
      <x:c r="J31" s="2" t="str">
        <x:v>Guardian 030</x:v>
      </x:c>
      <x:c r="K31" s="2" t="str">
        <x:v>guardian030@example.invalid</x:v>
      </x:c>
      <x:c r="L31" s="2" t="str">
        <x:v>G030</x:v>
      </x:c>
      <x:c r="M31" s="2" t="str">
        <x:v>82585187c31166ddecfc4b31343dde64</x:v>
      </x:c>
      <x:c r="N31" s="2" t="str">
        <x:v>Active</x:v>
      </x:c>
    </x:row>
    <x:row r="32" ht="21" customHeight="1">
      <x:c r="A32" s="2" t="str">
        <x:v>ST031</x:v>
      </x:c>
      <x:c r="B32" s="2" t="str">
        <x:v>Student 031</x:v>
      </x:c>
      <x:c r="C32" s="2" t="n">
        <x:v>2</x:v>
      </x:c>
      <x:c r="D32" s="2" t="str">
        <x:v>Senior</x:v>
      </x:c>
      <x:c r="E32" s="2" t="str">
        <x:v>Year 9</x:v>
      </x:c>
      <x:c r="F32" s="2" t="str">
        <x:v>BUS001</x:v>
      </x:c>
      <x:c r="G32" s="2" t="str">
        <x:v>R1</x:v>
      </x:c>
      <x:c r="H32" s="2" t="str">
        <x:v>R1S1</x:v>
      </x:c>
      <x:c r="I32" s="2" t="str">
        <x:v>G031</x:v>
      </x:c>
      <x:c r="J32" s="2" t="str">
        <x:v>Guardian 031</x:v>
      </x:c>
      <x:c r="K32" s="2" t="str">
        <x:v>guardian031@example.invalid</x:v>
      </x:c>
      <x:c r="L32" s="2" t="str">
        <x:v>G031</x:v>
      </x:c>
      <x:c r="M32" s="2" t="str">
        <x:v>8ab188e9684e5df87182305d1c7eadac</x:v>
      </x:c>
      <x:c r="N32" s="2" t="str">
        <x:v>Active</x:v>
      </x:c>
    </x:row>
    <x:row r="33" ht="21" customHeight="1">
      <x:c r="A33" s="2" t="str">
        <x:v>ST032</x:v>
      </x:c>
      <x:c r="B33" s="2" t="str">
        <x:v>Student 032</x:v>
      </x:c>
      <x:c r="C33" s="2" t="n">
        <x:v>2</x:v>
      </x:c>
      <x:c r="D33" s="2" t="str">
        <x:v>Senior</x:v>
      </x:c>
      <x:c r="E33" s="2" t="str">
        <x:v>Year 10</x:v>
      </x:c>
      <x:c r="F33" s="2" t="str">
        <x:v>BUS001</x:v>
      </x:c>
      <x:c r="G33" s="2" t="str">
        <x:v>R1</x:v>
      </x:c>
      <x:c r="H33" s="2" t="str">
        <x:v>R1S2</x:v>
      </x:c>
      <x:c r="I33" s="2" t="str">
        <x:v>G032</x:v>
      </x:c>
      <x:c r="J33" s="2" t="str">
        <x:v>Guardian 032</x:v>
      </x:c>
      <x:c r="K33" s="2" t="str">
        <x:v>guardian032@example.invalid</x:v>
      </x:c>
      <x:c r="L33" s="2" t="str">
        <x:v>G032</x:v>
      </x:c>
      <x:c r="M33" s="2" t="str">
        <x:v>836e2da54ccde9716995f5651a63e8c5</x:v>
      </x:c>
      <x:c r="N33" s="2" t="str">
        <x:v>Active</x:v>
      </x:c>
    </x:row>
    <x:row r="34" ht="21" customHeight="1">
      <x:c r="A34" s="2" t="str">
        <x:v>ST033</x:v>
      </x:c>
      <x:c r="B34" s="2" t="str">
        <x:v>Student 033</x:v>
      </x:c>
      <x:c r="C34" s="2" t="n">
        <x:v>2</x:v>
      </x:c>
      <x:c r="D34" s="2" t="str">
        <x:v>Senior</x:v>
      </x:c>
      <x:c r="E34" s="2" t="str">
        <x:v>Year 7</x:v>
      </x:c>
      <x:c r="F34" s="2" t="str">
        <x:v>BUS001</x:v>
      </x:c>
      <x:c r="G34" s="2" t="str">
        <x:v>R1</x:v>
      </x:c>
      <x:c r="H34" s="2" t="str">
        <x:v>R1S3</x:v>
      </x:c>
      <x:c r="I34" s="2" t="str">
        <x:v>G033</x:v>
      </x:c>
      <x:c r="J34" s="2" t="str">
        <x:v>Guardian 033</x:v>
      </x:c>
      <x:c r="K34" s="2" t="str">
        <x:v>guardian033@example.invalid</x:v>
      </x:c>
      <x:c r="L34" s="2" t="str">
        <x:v>G033</x:v>
      </x:c>
      <x:c r="M34" s="2" t="str">
        <x:v>c9cc8ddf1b5bae8b49929340838e300a</x:v>
      </x:c>
      <x:c r="N34" s="2" t="str">
        <x:v>Active</x:v>
      </x:c>
    </x:row>
    <x:row r="35" ht="21" customHeight="1">
      <x:c r="A35" s="2" t="str">
        <x:v>ST034</x:v>
      </x:c>
      <x:c r="B35" s="2" t="str">
        <x:v>Student 034</x:v>
      </x:c>
      <x:c r="C35" s="2" t="n">
        <x:v>2</x:v>
      </x:c>
      <x:c r="D35" s="2" t="str">
        <x:v>Senior</x:v>
      </x:c>
      <x:c r="E35" s="2" t="str">
        <x:v>Year 8</x:v>
      </x:c>
      <x:c r="F35" s="2" t="str">
        <x:v>BUS001</x:v>
      </x:c>
      <x:c r="G35" s="2" t="str">
        <x:v>R1</x:v>
      </x:c>
      <x:c r="H35" s="2" t="str">
        <x:v>R1S1</x:v>
      </x:c>
      <x:c r="I35" s="2" t="str">
        <x:v>G034</x:v>
      </x:c>
      <x:c r="J35" s="2" t="str">
        <x:v>Guardian 034</x:v>
      </x:c>
      <x:c r="K35" s="2" t="str">
        <x:v>guardian034@example.invalid</x:v>
      </x:c>
      <x:c r="L35" s="2" t="str">
        <x:v>G034</x:v>
      </x:c>
      <x:c r="M35" s="2" t="str">
        <x:v>80fbe33bb2df8cab59b55f98f1c8a3d5</x:v>
      </x:c>
      <x:c r="N35" s="2" t="str">
        <x:v>Active</x:v>
      </x:c>
    </x:row>
    <x:row r="36" ht="21" customHeight="1">
      <x:c r="A36" s="2" t="str">
        <x:v>ST035</x:v>
      </x:c>
      <x:c r="B36" s="2" t="str">
        <x:v>Student 035</x:v>
      </x:c>
      <x:c r="C36" s="2" t="n">
        <x:v>2</x:v>
      </x:c>
      <x:c r="D36" s="2" t="str">
        <x:v>Senior</x:v>
      </x:c>
      <x:c r="E36" s="2" t="str">
        <x:v>Year 9</x:v>
      </x:c>
      <x:c r="F36" s="2" t="str">
        <x:v>BUS001</x:v>
      </x:c>
      <x:c r="G36" s="2" t="str">
        <x:v>R1</x:v>
      </x:c>
      <x:c r="H36" s="2" t="str">
        <x:v>R1S2</x:v>
      </x:c>
      <x:c r="I36" s="2" t="str">
        <x:v>G035</x:v>
      </x:c>
      <x:c r="J36" s="2" t="str">
        <x:v>Guardian 035</x:v>
      </x:c>
      <x:c r="K36" s="2" t="str">
        <x:v>guardian035@example.invalid</x:v>
      </x:c>
      <x:c r="L36" s="2" t="str">
        <x:v>G035</x:v>
      </x:c>
      <x:c r="M36" s="2" t="str">
        <x:v>45068f3206e9be80993e83e259ea9cdc</x:v>
      </x:c>
      <x:c r="N36" s="2" t="str">
        <x:v>Active</x:v>
      </x:c>
    </x:row>
    <x:row r="37" ht="21" customHeight="1">
      <x:c r="A37" s="2" t="str">
        <x:v>ST036</x:v>
      </x:c>
      <x:c r="B37" s="2" t="str">
        <x:v>Student 036</x:v>
      </x:c>
      <x:c r="C37" s="2" t="n">
        <x:v>2</x:v>
      </x:c>
      <x:c r="D37" s="2" t="str">
        <x:v>Senior</x:v>
      </x:c>
      <x:c r="E37" s="2" t="str">
        <x:v>Year 10</x:v>
      </x:c>
      <x:c r="F37" s="2" t="str">
        <x:v>BUS001</x:v>
      </x:c>
      <x:c r="G37" s="2" t="str">
        <x:v>R1</x:v>
      </x:c>
      <x:c r="H37" s="2" t="str">
        <x:v>R1S3</x:v>
      </x:c>
      <x:c r="I37" s="2" t="str">
        <x:v>G036</x:v>
      </x:c>
      <x:c r="J37" s="2" t="str">
        <x:v>Guardian 036</x:v>
      </x:c>
      <x:c r="K37" s="2" t="str">
        <x:v>guardian036@example.invalid</x:v>
      </x:c>
      <x:c r="L37" s="2" t="str">
        <x:v>G036</x:v>
      </x:c>
      <x:c r="M37" s="2" t="str">
        <x:v>7e42555e63455121ac9f1b3710bc905c</x:v>
      </x:c>
      <x:c r="N37" s="2" t="str">
        <x:v>Active</x:v>
      </x:c>
    </x:row>
    <x:row r="38" ht="21" customHeight="1">
      <x:c r="A38" s="2" t="str">
        <x:v>ST037</x:v>
      </x:c>
      <x:c r="B38" s="2" t="str">
        <x:v>Student 037</x:v>
      </x:c>
      <x:c r="C38" s="2" t="n">
        <x:v>2</x:v>
      </x:c>
      <x:c r="D38" s="2" t="str">
        <x:v>Senior</x:v>
      </x:c>
      <x:c r="E38" s="2" t="str">
        <x:v>Year 7</x:v>
      </x:c>
      <x:c r="F38" s="2" t="str">
        <x:v>BUS001</x:v>
      </x:c>
      <x:c r="G38" s="2" t="str">
        <x:v>R1</x:v>
      </x:c>
      <x:c r="H38" s="2" t="str">
        <x:v>R1S1</x:v>
      </x:c>
      <x:c r="I38" s="2" t="str">
        <x:v>G037</x:v>
      </x:c>
      <x:c r="J38" s="2" t="str">
        <x:v>Guardian 037</x:v>
      </x:c>
      <x:c r="K38" s="2" t="str">
        <x:v>guardian037@example.invalid</x:v>
      </x:c>
      <x:c r="L38" s="2" t="str">
        <x:v>G037</x:v>
      </x:c>
      <x:c r="M38" s="2" t="str">
        <x:v>eb6cdfa5572c8f6959c8b9c84b8ec493</x:v>
      </x:c>
      <x:c r="N38" s="2" t="str">
        <x:v>Active</x:v>
      </x:c>
    </x:row>
    <x:row r="39" ht="21" customHeight="1">
      <x:c r="A39" s="2" t="str">
        <x:v>ST038</x:v>
      </x:c>
      <x:c r="B39" s="2" t="str">
        <x:v>Student 038</x:v>
      </x:c>
      <x:c r="C39" s="2" t="n">
        <x:v>2</x:v>
      </x:c>
      <x:c r="D39" s="2" t="str">
        <x:v>Senior</x:v>
      </x:c>
      <x:c r="E39" s="2" t="str">
        <x:v>Year 8</x:v>
      </x:c>
      <x:c r="F39" s="2" t="str">
        <x:v>BUS001</x:v>
      </x:c>
      <x:c r="G39" s="2" t="str">
        <x:v>R1</x:v>
      </x:c>
      <x:c r="H39" s="2" t="str">
        <x:v>R1S2</x:v>
      </x:c>
      <x:c r="I39" s="2" t="str">
        <x:v>G038</x:v>
      </x:c>
      <x:c r="J39" s="2" t="str">
        <x:v>Guardian 038</x:v>
      </x:c>
      <x:c r="K39" s="2" t="str">
        <x:v>guardian038@example.invalid</x:v>
      </x:c>
      <x:c r="L39" s="2" t="str">
        <x:v>G038</x:v>
      </x:c>
      <x:c r="M39" s="2" t="str">
        <x:v>1ebedd777293ba897970ae7fc06b6301</x:v>
      </x:c>
      <x:c r="N39" s="2" t="str">
        <x:v>Active</x:v>
      </x:c>
    </x:row>
    <x:row r="40" ht="21" customHeight="1">
      <x:c r="A40" s="2" t="str">
        <x:v>ST039</x:v>
      </x:c>
      <x:c r="B40" s="2" t="str">
        <x:v>Student 039</x:v>
      </x:c>
      <x:c r="C40" s="2" t="n">
        <x:v>2</x:v>
      </x:c>
      <x:c r="D40" s="2" t="str">
        <x:v>Senior</x:v>
      </x:c>
      <x:c r="E40" s="2" t="str">
        <x:v>Year 9</x:v>
      </x:c>
      <x:c r="F40" s="2" t="str">
        <x:v>BUS001</x:v>
      </x:c>
      <x:c r="G40" s="2" t="str">
        <x:v>R1</x:v>
      </x:c>
      <x:c r="H40" s="2" t="str">
        <x:v>R1S3</x:v>
      </x:c>
      <x:c r="I40" s="2" t="str">
        <x:v>G039</x:v>
      </x:c>
      <x:c r="J40" s="2" t="str">
        <x:v>Guardian 039</x:v>
      </x:c>
      <x:c r="K40" s="2" t="str">
        <x:v>guardian039@example.invalid</x:v>
      </x:c>
      <x:c r="L40" s="2" t="str">
        <x:v>G039</x:v>
      </x:c>
      <x:c r="M40" s="2" t="str">
        <x:v>31ed548c9c06f555ac72ac2281bbb58a</x:v>
      </x:c>
      <x:c r="N40" s="2" t="str">
        <x:v>Active</x:v>
      </x:c>
    </x:row>
    <x:row r="41" ht="21" customHeight="1">
      <x:c r="A41" s="2" t="str">
        <x:v>ST040</x:v>
      </x:c>
      <x:c r="B41" s="2" t="str">
        <x:v>Student 040</x:v>
      </x:c>
      <x:c r="C41" s="2" t="n">
        <x:v>2</x:v>
      </x:c>
      <x:c r="D41" s="2" t="str">
        <x:v>Senior</x:v>
      </x:c>
      <x:c r="E41" s="2" t="str">
        <x:v>Year 10</x:v>
      </x:c>
      <x:c r="F41" s="2" t="str">
        <x:v>BUS001</x:v>
      </x:c>
      <x:c r="G41" s="2" t="str">
        <x:v>R1</x:v>
      </x:c>
      <x:c r="H41" s="2" t="str">
        <x:v>R1S1</x:v>
      </x:c>
      <x:c r="I41" s="2" t="str">
        <x:v>G040</x:v>
      </x:c>
      <x:c r="J41" s="2" t="str">
        <x:v>Guardian 040</x:v>
      </x:c>
      <x:c r="K41" s="2" t="str">
        <x:v>guardian040@example.invalid</x:v>
      </x:c>
      <x:c r="L41" s="2" t="str">
        <x:v>G040</x:v>
      </x:c>
      <x:c r="M41" s="2" t="str">
        <x:v>4cd5e507bb3c8af27cd11d16138dcec0</x:v>
      </x:c>
      <x:c r="N41" s="2" t="str">
        <x:v>Active</x:v>
      </x:c>
    </x:row>
    <x:row r="42" ht="21" customHeight="1">
      <x:c r="A42" s="2" t="str">
        <x:v>ST041</x:v>
      </x:c>
      <x:c r="B42" s="2" t="str">
        <x:v>Student 041</x:v>
      </x:c>
      <x:c r="C42" s="2" t="n">
        <x:v>1</x:v>
      </x:c>
      <x:c r="D42" s="2" t="str">
        <x:v>Junior</x:v>
      </x:c>
      <x:c r="E42" s="2" t="str">
        <x:v>Year 1</x:v>
      </x:c>
      <x:c r="F42" s="2" t="str">
        <x:v>BUS002</x:v>
      </x:c>
      <x:c r="G42" s="2" t="str">
        <x:v>R2</x:v>
      </x:c>
      <x:c r="H42" s="2" t="str">
        <x:v>R2S1</x:v>
      </x:c>
      <x:c r="I42" s="2" t="str">
        <x:v>G041</x:v>
      </x:c>
      <x:c r="J42" s="2" t="str">
        <x:v>Guardian 041</x:v>
      </x:c>
      <x:c r="K42" s="2" t="str">
        <x:v>guardian041@example.invalid</x:v>
      </x:c>
      <x:c r="L42" s="2" t="str">
        <x:v>G041</x:v>
      </x:c>
      <x:c r="M42" s="2" t="str">
        <x:v>78597cf805a87b7619460b6ed67f501f</x:v>
      </x:c>
      <x:c r="N42" s="2" t="str">
        <x:v>Active</x:v>
      </x:c>
    </x:row>
    <x:row r="43" ht="21" customHeight="1">
      <x:c r="A43" s="2" t="str">
        <x:v>ST042</x:v>
      </x:c>
      <x:c r="B43" s="2" t="str">
        <x:v>Student 042</x:v>
      </x:c>
      <x:c r="C43" s="2" t="n">
        <x:v>1</x:v>
      </x:c>
      <x:c r="D43" s="2" t="str">
        <x:v>Junior</x:v>
      </x:c>
      <x:c r="E43" s="2" t="str">
        <x:v>Year 2</x:v>
      </x:c>
      <x:c r="F43" s="2" t="str">
        <x:v>BUS002</x:v>
      </x:c>
      <x:c r="G43" s="2" t="str">
        <x:v>R2</x:v>
      </x:c>
      <x:c r="H43" s="2" t="str">
        <x:v>R2S2</x:v>
      </x:c>
      <x:c r="I43" s="2" t="str">
        <x:v>G042</x:v>
      </x:c>
      <x:c r="J43" s="2" t="str">
        <x:v>Guardian 042</x:v>
      </x:c>
      <x:c r="K43" s="2" t="str">
        <x:v>guardian042@example.invalid</x:v>
      </x:c>
      <x:c r="L43" s="2" t="str">
        <x:v>G042</x:v>
      </x:c>
      <x:c r="M43" s="2" t="str">
        <x:v>9cf3254a8e8c8233e36089501cd1bc60</x:v>
      </x:c>
      <x:c r="N43" s="2" t="str">
        <x:v>Active</x:v>
      </x:c>
    </x:row>
    <x:row r="44" ht="21" customHeight="1">
      <x:c r="A44" s="2" t="str">
        <x:v>ST043</x:v>
      </x:c>
      <x:c r="B44" s="2" t="str">
        <x:v>Student 043</x:v>
      </x:c>
      <x:c r="C44" s="2" t="n">
        <x:v>1</x:v>
      </x:c>
      <x:c r="D44" s="2" t="str">
        <x:v>Junior</x:v>
      </x:c>
      <x:c r="E44" s="2" t="str">
        <x:v>Year 3</x:v>
      </x:c>
      <x:c r="F44" s="2" t="str">
        <x:v>BUS002</x:v>
      </x:c>
      <x:c r="G44" s="2" t="str">
        <x:v>R2</x:v>
      </x:c>
      <x:c r="H44" s="2" t="str">
        <x:v>R2S3</x:v>
      </x:c>
      <x:c r="I44" s="2" t="str">
        <x:v>G043</x:v>
      </x:c>
      <x:c r="J44" s="2" t="str">
        <x:v>Guardian 043</x:v>
      </x:c>
      <x:c r="K44" s="2" t="str">
        <x:v>guardian043@example.invalid</x:v>
      </x:c>
      <x:c r="L44" s="2" t="str">
        <x:v>G043</x:v>
      </x:c>
      <x:c r="M44" s="2" t="str">
        <x:v>db51093fe9dac44d59345ee12f7e9c56</x:v>
      </x:c>
      <x:c r="N44" s="2" t="str">
        <x:v>Active</x:v>
      </x:c>
    </x:row>
    <x:row r="45" ht="21" customHeight="1">
      <x:c r="A45" s="2" t="str">
        <x:v>ST044</x:v>
      </x:c>
      <x:c r="B45" s="2" t="str">
        <x:v>Student 044</x:v>
      </x:c>
      <x:c r="C45" s="2" t="n">
        <x:v>1</x:v>
      </x:c>
      <x:c r="D45" s="2" t="str">
        <x:v>Junior</x:v>
      </x:c>
      <x:c r="E45" s="2" t="str">
        <x:v>Year 1</x:v>
      </x:c>
      <x:c r="F45" s="2" t="str">
        <x:v>BUS002</x:v>
      </x:c>
      <x:c r="G45" s="2" t="str">
        <x:v>R2</x:v>
      </x:c>
      <x:c r="H45" s="2" t="str">
        <x:v>R2S1</x:v>
      </x:c>
      <x:c r="I45" s="2" t="str">
        <x:v>G044</x:v>
      </x:c>
      <x:c r="J45" s="2" t="str">
        <x:v>Guardian 044</x:v>
      </x:c>
      <x:c r="K45" s="2" t="str">
        <x:v>guardian044@example.invalid</x:v>
      </x:c>
      <x:c r="L45" s="2" t="str">
        <x:v>G044</x:v>
      </x:c>
      <x:c r="M45" s="2" t="str">
        <x:v>638b036dff08260bc8976402fb10157a</x:v>
      </x:c>
      <x:c r="N45" s="2" t="str">
        <x:v>Active</x:v>
      </x:c>
    </x:row>
    <x:row r="46" ht="21" customHeight="1">
      <x:c r="A46" s="2" t="str">
        <x:v>ST045</x:v>
      </x:c>
      <x:c r="B46" s="2" t="str">
        <x:v>Student 045</x:v>
      </x:c>
      <x:c r="C46" s="2" t="n">
        <x:v>1</x:v>
      </x:c>
      <x:c r="D46" s="2" t="str">
        <x:v>Junior</x:v>
      </x:c>
      <x:c r="E46" s="2" t="str">
        <x:v>Year 2</x:v>
      </x:c>
      <x:c r="F46" s="2" t="str">
        <x:v>BUS002</x:v>
      </x:c>
      <x:c r="G46" s="2" t="str">
        <x:v>R2</x:v>
      </x:c>
      <x:c r="H46" s="2" t="str">
        <x:v>R2S2</x:v>
      </x:c>
      <x:c r="I46" s="2" t="str">
        <x:v>G045</x:v>
      </x:c>
      <x:c r="J46" s="2" t="str">
        <x:v>Guardian 045</x:v>
      </x:c>
      <x:c r="K46" s="2" t="str">
        <x:v>guardian045@example.invalid</x:v>
      </x:c>
      <x:c r="L46" s="2" t="str">
        <x:v>G045</x:v>
      </x:c>
      <x:c r="M46" s="2" t="str">
        <x:v>10d8df8a06a7c869bcaa1adbc88c05bc</x:v>
      </x:c>
      <x:c r="N46" s="2" t="str">
        <x:v>Active</x:v>
      </x:c>
    </x:row>
    <x:row r="47" ht="21" customHeight="1">
      <x:c r="A47" s="2" t="str">
        <x:v>ST046</x:v>
      </x:c>
      <x:c r="B47" s="2" t="str">
        <x:v>Student 046</x:v>
      </x:c>
      <x:c r="C47" s="2" t="n">
        <x:v>1</x:v>
      </x:c>
      <x:c r="D47" s="2" t="str">
        <x:v>Junior</x:v>
      </x:c>
      <x:c r="E47" s="2" t="str">
        <x:v>Year 3</x:v>
      </x:c>
      <x:c r="F47" s="2" t="str">
        <x:v>BUS002</x:v>
      </x:c>
      <x:c r="G47" s="2" t="str">
        <x:v>R2</x:v>
      </x:c>
      <x:c r="H47" s="2" t="str">
        <x:v>R2S3</x:v>
      </x:c>
      <x:c r="I47" s="2" t="str">
        <x:v>G046</x:v>
      </x:c>
      <x:c r="J47" s="2" t="str">
        <x:v>Guardian 046</x:v>
      </x:c>
      <x:c r="K47" s="2" t="str">
        <x:v>guardian046@example.invalid</x:v>
      </x:c>
      <x:c r="L47" s="2" t="str">
        <x:v>G046</x:v>
      </x:c>
      <x:c r="M47" s="2" t="str">
        <x:v>82365992d443d056f10fa7522ac29057</x:v>
      </x:c>
      <x:c r="N47" s="2" t="str">
        <x:v>Active</x:v>
      </x:c>
    </x:row>
    <x:row r="48" ht="21" customHeight="1">
      <x:c r="A48" s="2" t="str">
        <x:v>ST047</x:v>
      </x:c>
      <x:c r="B48" s="2" t="str">
        <x:v>Student 047</x:v>
      </x:c>
      <x:c r="C48" s="2" t="n">
        <x:v>1</x:v>
      </x:c>
      <x:c r="D48" s="2" t="str">
        <x:v>Junior</x:v>
      </x:c>
      <x:c r="E48" s="2" t="str">
        <x:v>Year 1</x:v>
      </x:c>
      <x:c r="F48" s="2" t="str">
        <x:v>BUS002</x:v>
      </x:c>
      <x:c r="G48" s="2" t="str">
        <x:v>R2</x:v>
      </x:c>
      <x:c r="H48" s="2" t="str">
        <x:v>R2S1</x:v>
      </x:c>
      <x:c r="I48" s="2" t="str">
        <x:v>G047</x:v>
      </x:c>
      <x:c r="J48" s="2" t="str">
        <x:v>Guardian 047</x:v>
      </x:c>
      <x:c r="K48" s="2" t="str">
        <x:v>guardian047@example.invalid</x:v>
      </x:c>
      <x:c r="L48" s="2" t="str">
        <x:v>G047</x:v>
      </x:c>
      <x:c r="M48" s="2" t="str">
        <x:v>b3f6380a42fb190ae04afac7edee87cd</x:v>
      </x:c>
      <x:c r="N48" s="2" t="str">
        <x:v>Active</x:v>
      </x:c>
    </x:row>
    <x:row r="49" ht="21" customHeight="1">
      <x:c r="A49" s="2" t="str">
        <x:v>ST048</x:v>
      </x:c>
      <x:c r="B49" s="2" t="str">
        <x:v>Student 048</x:v>
      </x:c>
      <x:c r="C49" s="2" t="n">
        <x:v>1</x:v>
      </x:c>
      <x:c r="D49" s="2" t="str">
        <x:v>Junior</x:v>
      </x:c>
      <x:c r="E49" s="2" t="str">
        <x:v>Year 2</x:v>
      </x:c>
      <x:c r="F49" s="2" t="str">
        <x:v>BUS002</x:v>
      </x:c>
      <x:c r="G49" s="2" t="str">
        <x:v>R2</x:v>
      </x:c>
      <x:c r="H49" s="2" t="str">
        <x:v>R2S2</x:v>
      </x:c>
      <x:c r="I49" s="2" t="str">
        <x:v>G048</x:v>
      </x:c>
      <x:c r="J49" s="2" t="str">
        <x:v>Guardian 048</x:v>
      </x:c>
      <x:c r="K49" s="2" t="str">
        <x:v>guardian048@example.invalid</x:v>
      </x:c>
      <x:c r="L49" s="2" t="str">
        <x:v>G048</x:v>
      </x:c>
      <x:c r="M49" s="2" t="str">
        <x:v>e3a3009a9bd3946e21f417e93203aa79</x:v>
      </x:c>
      <x:c r="N49" s="2" t="str">
        <x:v>Active</x:v>
      </x:c>
    </x:row>
    <x:row r="50" ht="21" customHeight="1">
      <x:c r="A50" s="2" t="str">
        <x:v>ST049</x:v>
      </x:c>
      <x:c r="B50" s="2" t="str">
        <x:v>Student 049</x:v>
      </x:c>
      <x:c r="C50" s="2" t="n">
        <x:v>1</x:v>
      </x:c>
      <x:c r="D50" s="2" t="str">
        <x:v>Junior</x:v>
      </x:c>
      <x:c r="E50" s="2" t="str">
        <x:v>Year 3</x:v>
      </x:c>
      <x:c r="F50" s="2" t="str">
        <x:v>BUS002</x:v>
      </x:c>
      <x:c r="G50" s="2" t="str">
        <x:v>R2</x:v>
      </x:c>
      <x:c r="H50" s="2" t="str">
        <x:v>R2S3</x:v>
      </x:c>
      <x:c r="I50" s="2" t="str">
        <x:v>G049</x:v>
      </x:c>
      <x:c r="J50" s="2" t="str">
        <x:v>Guardian 049</x:v>
      </x:c>
      <x:c r="K50" s="2" t="str">
        <x:v>guardian049@example.invalid</x:v>
      </x:c>
      <x:c r="L50" s="2" t="str">
        <x:v>G049</x:v>
      </x:c>
      <x:c r="M50" s="2" t="str">
        <x:v>aac0da9ca028b4b4fe1fc2c1eb298502</x:v>
      </x:c>
      <x:c r="N50" s="2" t="str">
        <x:v>Active</x:v>
      </x:c>
    </x:row>
    <x:row r="51" ht="21" customHeight="1">
      <x:c r="A51" s="2" t="str">
        <x:v>ST050</x:v>
      </x:c>
      <x:c r="B51" s="2" t="str">
        <x:v>Student 050</x:v>
      </x:c>
      <x:c r="C51" s="2" t="n">
        <x:v>1</x:v>
      </x:c>
      <x:c r="D51" s="2" t="str">
        <x:v>Junior</x:v>
      </x:c>
      <x:c r="E51" s="2" t="str">
        <x:v>Year 1</x:v>
      </x:c>
      <x:c r="F51" s="2" t="str">
        <x:v>BUS002</x:v>
      </x:c>
      <x:c r="G51" s="2" t="str">
        <x:v>R2</x:v>
      </x:c>
      <x:c r="H51" s="2" t="str">
        <x:v>R2S1</x:v>
      </x:c>
      <x:c r="I51" s="2" t="str">
        <x:v>G050</x:v>
      </x:c>
      <x:c r="J51" s="2" t="str">
        <x:v>Guardian 050</x:v>
      </x:c>
      <x:c r="K51" s="2" t="str">
        <x:v>guardian050@example.invalid</x:v>
      </x:c>
      <x:c r="L51" s="2" t="str">
        <x:v>G050</x:v>
      </x:c>
      <x:c r="M51" s="2" t="str">
        <x:v>ca49474881a6395691ac81bd08684ed6</x:v>
      </x:c>
      <x:c r="N51" s="2" t="str">
        <x:v>Active</x:v>
      </x:c>
    </x:row>
    <x:row r="52" ht="21" customHeight="1">
      <x:c r="A52" s="2" t="str">
        <x:v>ST051</x:v>
      </x:c>
      <x:c r="B52" s="2" t="str">
        <x:v>Student 051</x:v>
      </x:c>
      <x:c r="C52" s="2" t="n">
        <x:v>1</x:v>
      </x:c>
      <x:c r="D52" s="2" t="str">
        <x:v>Senior</x:v>
      </x:c>
      <x:c r="E52" s="2" t="str">
        <x:v>Year 9</x:v>
      </x:c>
      <x:c r="F52" s="2" t="str">
        <x:v>BUS002</x:v>
      </x:c>
      <x:c r="G52" s="2" t="str">
        <x:v>R2</x:v>
      </x:c>
      <x:c r="H52" s="2" t="str">
        <x:v>R2S2</x:v>
      </x:c>
      <x:c r="I52" s="2" t="str">
        <x:v>G051</x:v>
      </x:c>
      <x:c r="J52" s="2" t="str">
        <x:v>Guardian 051</x:v>
      </x:c>
      <x:c r="K52" s="2" t="str">
        <x:v>guardian051@example.invalid</x:v>
      </x:c>
      <x:c r="L52" s="2" t="str">
        <x:v>G051</x:v>
      </x:c>
      <x:c r="M52" s="2" t="str">
        <x:v>410a66d29aea7be5806f7d6945266303</x:v>
      </x:c>
      <x:c r="N52" s="2" t="str">
        <x:v>Active</x:v>
      </x:c>
    </x:row>
    <x:row r="53" ht="21" customHeight="1">
      <x:c r="A53" s="2" t="str">
        <x:v>ST052</x:v>
      </x:c>
      <x:c r="B53" s="2" t="str">
        <x:v>Student 052</x:v>
      </x:c>
      <x:c r="C53" s="2" t="n">
        <x:v>1</x:v>
      </x:c>
      <x:c r="D53" s="2" t="str">
        <x:v>Senior</x:v>
      </x:c>
      <x:c r="E53" s="2" t="str">
        <x:v>Year 10</x:v>
      </x:c>
      <x:c r="F53" s="2" t="str">
        <x:v>BUS002</x:v>
      </x:c>
      <x:c r="G53" s="2" t="str">
        <x:v>R2</x:v>
      </x:c>
      <x:c r="H53" s="2" t="str">
        <x:v>R2S3</x:v>
      </x:c>
      <x:c r="I53" s="2" t="str">
        <x:v>G052</x:v>
      </x:c>
      <x:c r="J53" s="2" t="str">
        <x:v>Guardian 052</x:v>
      </x:c>
      <x:c r="K53" s="2" t="str">
        <x:v>guardian052@example.invalid</x:v>
      </x:c>
      <x:c r="L53" s="2" t="str">
        <x:v>G052</x:v>
      </x:c>
      <x:c r="M53" s="2" t="str">
        <x:v>0c1c5957fe0604ae228ff5e1e1a785bc</x:v>
      </x:c>
      <x:c r="N53" s="2" t="str">
        <x:v>Active</x:v>
      </x:c>
    </x:row>
    <x:row r="54" ht="21" customHeight="1">
      <x:c r="A54" s="2" t="str">
        <x:v>ST053</x:v>
      </x:c>
      <x:c r="B54" s="2" t="str">
        <x:v>Student 053</x:v>
      </x:c>
      <x:c r="C54" s="2" t="n">
        <x:v>1</x:v>
      </x:c>
      <x:c r="D54" s="2" t="str">
        <x:v>Senior</x:v>
      </x:c>
      <x:c r="E54" s="2" t="str">
        <x:v>Year 7</x:v>
      </x:c>
      <x:c r="F54" s="2" t="str">
        <x:v>BUS002</x:v>
      </x:c>
      <x:c r="G54" s="2" t="str">
        <x:v>R2</x:v>
      </x:c>
      <x:c r="H54" s="2" t="str">
        <x:v>R2S1</x:v>
      </x:c>
      <x:c r="I54" s="2" t="str">
        <x:v>G053</x:v>
      </x:c>
      <x:c r="J54" s="2" t="str">
        <x:v>Guardian 053</x:v>
      </x:c>
      <x:c r="K54" s="2" t="str">
        <x:v>guardian053@example.invalid</x:v>
      </x:c>
      <x:c r="L54" s="2" t="str">
        <x:v>G053</x:v>
      </x:c>
      <x:c r="M54" s="2" t="str">
        <x:v>e476277c519e294480cfa14a37e177a0</x:v>
      </x:c>
      <x:c r="N54" s="2" t="str">
        <x:v>Active</x:v>
      </x:c>
    </x:row>
    <x:row r="55" ht="21" customHeight="1">
      <x:c r="A55" s="2" t="str">
        <x:v>ST054</x:v>
      </x:c>
      <x:c r="B55" s="2" t="str">
        <x:v>Student 054</x:v>
      </x:c>
      <x:c r="C55" s="2" t="n">
        <x:v>1</x:v>
      </x:c>
      <x:c r="D55" s="2" t="str">
        <x:v>Senior</x:v>
      </x:c>
      <x:c r="E55" s="2" t="str">
        <x:v>Year 8</x:v>
      </x:c>
      <x:c r="F55" s="2" t="str">
        <x:v>BUS002</x:v>
      </x:c>
      <x:c r="G55" s="2" t="str">
        <x:v>R2</x:v>
      </x:c>
      <x:c r="H55" s="2" t="str">
        <x:v>R2S2</x:v>
      </x:c>
      <x:c r="I55" s="2" t="str">
        <x:v>G054</x:v>
      </x:c>
      <x:c r="J55" s="2" t="str">
        <x:v>Guardian 054</x:v>
      </x:c>
      <x:c r="K55" s="2" t="str">
        <x:v>guardian054@example.invalid</x:v>
      </x:c>
      <x:c r="L55" s="2" t="str">
        <x:v>G054</x:v>
      </x:c>
      <x:c r="M55" s="2" t="str">
        <x:v>1c9a916db52e081aeb59bc928cb914dd</x:v>
      </x:c>
      <x:c r="N55" s="2" t="str">
        <x:v>Active</x:v>
      </x:c>
    </x:row>
    <x:row r="56" ht="21" customHeight="1">
      <x:c r="A56" s="2" t="str">
        <x:v>ST055</x:v>
      </x:c>
      <x:c r="B56" s="2" t="str">
        <x:v>Student 055</x:v>
      </x:c>
      <x:c r="C56" s="2" t="n">
        <x:v>1</x:v>
      </x:c>
      <x:c r="D56" s="2" t="str">
        <x:v>Senior</x:v>
      </x:c>
      <x:c r="E56" s="2" t="str">
        <x:v>Year 9</x:v>
      </x:c>
      <x:c r="F56" s="2" t="str">
        <x:v>BUS002</x:v>
      </x:c>
      <x:c r="G56" s="2" t="str">
        <x:v>R2</x:v>
      </x:c>
      <x:c r="H56" s="2" t="str">
        <x:v>R2S3</x:v>
      </x:c>
      <x:c r="I56" s="2" t="str">
        <x:v>G055</x:v>
      </x:c>
      <x:c r="J56" s="2" t="str">
        <x:v>Guardian 055</x:v>
      </x:c>
      <x:c r="K56" s="2" t="str">
        <x:v>guardian055@example.invalid</x:v>
      </x:c>
      <x:c r="L56" s="2" t="str">
        <x:v>G055</x:v>
      </x:c>
      <x:c r="M56" s="2" t="str">
        <x:v>e796258b9306e2b3efab77a21add36a5</x:v>
      </x:c>
      <x:c r="N56" s="2" t="str">
        <x:v>Active</x:v>
      </x:c>
    </x:row>
    <x:row r="57" ht="21" customHeight="1">
      <x:c r="A57" s="2" t="str">
        <x:v>ST056</x:v>
      </x:c>
      <x:c r="B57" s="2" t="str">
        <x:v>Student 056</x:v>
      </x:c>
      <x:c r="C57" s="2" t="n">
        <x:v>1</x:v>
      </x:c>
      <x:c r="D57" s="2" t="str">
        <x:v>Senior</x:v>
      </x:c>
      <x:c r="E57" s="2" t="str">
        <x:v>Year 10</x:v>
      </x:c>
      <x:c r="F57" s="2" t="str">
        <x:v>BUS002</x:v>
      </x:c>
      <x:c r="G57" s="2" t="str">
        <x:v>R2</x:v>
      </x:c>
      <x:c r="H57" s="2" t="str">
        <x:v>R2S1</x:v>
      </x:c>
      <x:c r="I57" s="2" t="str">
        <x:v>G056</x:v>
      </x:c>
      <x:c r="J57" s="2" t="str">
        <x:v>Guardian 056</x:v>
      </x:c>
      <x:c r="K57" s="2" t="str">
        <x:v>guardian056@example.invalid</x:v>
      </x:c>
      <x:c r="L57" s="2" t="str">
        <x:v>G056</x:v>
      </x:c>
      <x:c r="M57" s="2" t="str">
        <x:v>245ed370430be1001f6d7d13404dd8b1</x:v>
      </x:c>
      <x:c r="N57" s="2" t="str">
        <x:v>Active</x:v>
      </x:c>
    </x:row>
    <x:row r="58" ht="21" customHeight="1">
      <x:c r="A58" s="2" t="str">
        <x:v>ST057</x:v>
      </x:c>
      <x:c r="B58" s="2" t="str">
        <x:v>Student 057</x:v>
      </x:c>
      <x:c r="C58" s="2" t="n">
        <x:v>1</x:v>
      </x:c>
      <x:c r="D58" s="2" t="str">
        <x:v>Senior</x:v>
      </x:c>
      <x:c r="E58" s="2" t="str">
        <x:v>Year 7</x:v>
      </x:c>
      <x:c r="F58" s="2" t="str">
        <x:v>BUS002</x:v>
      </x:c>
      <x:c r="G58" s="2" t="str">
        <x:v>R2</x:v>
      </x:c>
      <x:c r="H58" s="2" t="str">
        <x:v>R2S2</x:v>
      </x:c>
      <x:c r="I58" s="2" t="str">
        <x:v>G057</x:v>
      </x:c>
      <x:c r="J58" s="2" t="str">
        <x:v>Guardian 057</x:v>
      </x:c>
      <x:c r="K58" s="2" t="str">
        <x:v>guardian057@example.invalid</x:v>
      </x:c>
      <x:c r="L58" s="2" t="str">
        <x:v>G057</x:v>
      </x:c>
      <x:c r="M58" s="2" t="str">
        <x:v>68d992c7418727808ad27d2e5ee9b88d</x:v>
      </x:c>
      <x:c r="N58" s="2" t="str">
        <x:v>Active</x:v>
      </x:c>
    </x:row>
    <x:row r="59" ht="21" customHeight="1">
      <x:c r="A59" s="2" t="str">
        <x:v>ST058</x:v>
      </x:c>
      <x:c r="B59" s="2" t="str">
        <x:v>Student 058</x:v>
      </x:c>
      <x:c r="C59" s="2" t="n">
        <x:v>1</x:v>
      </x:c>
      <x:c r="D59" s="2" t="str">
        <x:v>Senior</x:v>
      </x:c>
      <x:c r="E59" s="2" t="str">
        <x:v>Year 8</x:v>
      </x:c>
      <x:c r="F59" s="2" t="str">
        <x:v>BUS002</x:v>
      </x:c>
      <x:c r="G59" s="2" t="str">
        <x:v>R2</x:v>
      </x:c>
      <x:c r="H59" s="2" t="str">
        <x:v>R2S3</x:v>
      </x:c>
      <x:c r="I59" s="2" t="str">
        <x:v>G058</x:v>
      </x:c>
      <x:c r="J59" s="2" t="str">
        <x:v>Guardian 058</x:v>
      </x:c>
      <x:c r="K59" s="2" t="str">
        <x:v>guardian058@example.invalid</x:v>
      </x:c>
      <x:c r="L59" s="2" t="str">
        <x:v>G058</x:v>
      </x:c>
      <x:c r="M59" s="2" t="str">
        <x:v>ebf7e65b57e2c8bcd02f90b1d5692596</x:v>
      </x:c>
      <x:c r="N59" s="2" t="str">
        <x:v>Active</x:v>
      </x:c>
    </x:row>
    <x:row r="60" ht="21" customHeight="1">
      <x:c r="A60" s="2" t="str">
        <x:v>ST059</x:v>
      </x:c>
      <x:c r="B60" s="2" t="str">
        <x:v>Student 059</x:v>
      </x:c>
      <x:c r="C60" s="2" t="n">
        <x:v>1</x:v>
      </x:c>
      <x:c r="D60" s="2" t="str">
        <x:v>Senior</x:v>
      </x:c>
      <x:c r="E60" s="2" t="str">
        <x:v>Year 9</x:v>
      </x:c>
      <x:c r="F60" s="2" t="str">
        <x:v>BUS002</x:v>
      </x:c>
      <x:c r="G60" s="2" t="str">
        <x:v>R2</x:v>
      </x:c>
      <x:c r="H60" s="2" t="str">
        <x:v>R2S1</x:v>
      </x:c>
      <x:c r="I60" s="2" t="str">
        <x:v>G059</x:v>
      </x:c>
      <x:c r="J60" s="2" t="str">
        <x:v>Guardian 059</x:v>
      </x:c>
      <x:c r="K60" s="2" t="str">
        <x:v>guardian059@example.invalid</x:v>
      </x:c>
      <x:c r="L60" s="2" t="str">
        <x:v>G059</x:v>
      </x:c>
      <x:c r="M60" s="2" t="str">
        <x:v>08b31edc14b3a345822a41d6515bfcba</x:v>
      </x:c>
      <x:c r="N60" s="2" t="str">
        <x:v>Active</x:v>
      </x:c>
    </x:row>
    <x:row r="61" ht="21" customHeight="1">
      <x:c r="A61" s="2" t="str">
        <x:v>ST060</x:v>
      </x:c>
      <x:c r="B61" s="2" t="str">
        <x:v>Student 060</x:v>
      </x:c>
      <x:c r="C61" s="2" t="n">
        <x:v>1</x:v>
      </x:c>
      <x:c r="D61" s="2" t="str">
        <x:v>Senior</x:v>
      </x:c>
      <x:c r="E61" s="2" t="str">
        <x:v>Year 10</x:v>
      </x:c>
      <x:c r="F61" s="2" t="str">
        <x:v>BUS002</x:v>
      </x:c>
      <x:c r="G61" s="2" t="str">
        <x:v>R2</x:v>
      </x:c>
      <x:c r="H61" s="2" t="str">
        <x:v>R2S2</x:v>
      </x:c>
      <x:c r="I61" s="2" t="str">
        <x:v>G060</x:v>
      </x:c>
      <x:c r="J61" s="2" t="str">
        <x:v>Guardian 060</x:v>
      </x:c>
      <x:c r="K61" s="2" t="str">
        <x:v>guardian060@example.invalid</x:v>
      </x:c>
      <x:c r="L61" s="2" t="str">
        <x:v>G060</x:v>
      </x:c>
      <x:c r="M61" s="2" t="str">
        <x:v>a424ea3d9a5cb1c08037457e61cef61f</x:v>
      </x:c>
      <x:c r="N61" s="2" t="str">
        <x:v>Active</x:v>
      </x:c>
    </x:row>
    <x:row r="62" ht="21" customHeight="1">
      <x:c r="A62" s="2" t="str">
        <x:v>ST061</x:v>
      </x:c>
      <x:c r="B62" s="2" t="str">
        <x:v>Student 061</x:v>
      </x:c>
      <x:c r="C62" s="2" t="n">
        <x:v>2</x:v>
      </x:c>
      <x:c r="D62" s="2" t="str">
        <x:v>Junior</x:v>
      </x:c>
      <x:c r="E62" s="2" t="str">
        <x:v>Year 3</x:v>
      </x:c>
      <x:c r="F62" s="2" t="str">
        <x:v>BUS002</x:v>
      </x:c>
      <x:c r="G62" s="2" t="str">
        <x:v>R2</x:v>
      </x:c>
      <x:c r="H62" s="2" t="str">
        <x:v>R2S3</x:v>
      </x:c>
      <x:c r="I62" s="2" t="str">
        <x:v>G061</x:v>
      </x:c>
      <x:c r="J62" s="2" t="str">
        <x:v>Guardian 061</x:v>
      </x:c>
      <x:c r="K62" s="2" t="str">
        <x:v>guardian061@example.invalid</x:v>
      </x:c>
      <x:c r="L62" s="2" t="str">
        <x:v>G061</x:v>
      </x:c>
      <x:c r="M62" s="2" t="str">
        <x:v>c547cb31f14853ae1f9f2436554d3271</x:v>
      </x:c>
      <x:c r="N62" s="2" t="str">
        <x:v>Active</x:v>
      </x:c>
    </x:row>
    <x:row r="63" ht="21" customHeight="1">
      <x:c r="A63" s="2" t="str">
        <x:v>ST062</x:v>
      </x:c>
      <x:c r="B63" s="2" t="str">
        <x:v>Student 062</x:v>
      </x:c>
      <x:c r="C63" s="2" t="n">
        <x:v>2</x:v>
      </x:c>
      <x:c r="D63" s="2" t="str">
        <x:v>Junior</x:v>
      </x:c>
      <x:c r="E63" s="2" t="str">
        <x:v>Year 1</x:v>
      </x:c>
      <x:c r="F63" s="2" t="str">
        <x:v>BUS002</x:v>
      </x:c>
      <x:c r="G63" s="2" t="str">
        <x:v>R2</x:v>
      </x:c>
      <x:c r="H63" s="2" t="str">
        <x:v>R2S1</x:v>
      </x:c>
      <x:c r="I63" s="2" t="str">
        <x:v>G062</x:v>
      </x:c>
      <x:c r="J63" s="2" t="str">
        <x:v>Guardian 062</x:v>
      </x:c>
      <x:c r="K63" s="2" t="str">
        <x:v>guardian062@example.invalid</x:v>
      </x:c>
      <x:c r="L63" s="2" t="str">
        <x:v>G062</x:v>
      </x:c>
      <x:c r="M63" s="2" t="str">
        <x:v>e0ee324a0d8893ba89d7c618ea194e36</x:v>
      </x:c>
      <x:c r="N63" s="2" t="str">
        <x:v>Active</x:v>
      </x:c>
    </x:row>
    <x:row r="64" ht="21" customHeight="1">
      <x:c r="A64" s="2" t="str">
        <x:v>ST063</x:v>
      </x:c>
      <x:c r="B64" s="2" t="str">
        <x:v>Student 063</x:v>
      </x:c>
      <x:c r="C64" s="2" t="n">
        <x:v>2</x:v>
      </x:c>
      <x:c r="D64" s="2" t="str">
        <x:v>Junior</x:v>
      </x:c>
      <x:c r="E64" s="2" t="str">
        <x:v>Year 2</x:v>
      </x:c>
      <x:c r="F64" s="2" t="str">
        <x:v>BUS002</x:v>
      </x:c>
      <x:c r="G64" s="2" t="str">
        <x:v>R2</x:v>
      </x:c>
      <x:c r="H64" s="2" t="str">
        <x:v>R2S2</x:v>
      </x:c>
      <x:c r="I64" s="2" t="str">
        <x:v>G063</x:v>
      </x:c>
      <x:c r="J64" s="2" t="str">
        <x:v>Guardian 063</x:v>
      </x:c>
      <x:c r="K64" s="2" t="str">
        <x:v>guardian063@example.invalid</x:v>
      </x:c>
      <x:c r="L64" s="2" t="str">
        <x:v>G063</x:v>
      </x:c>
      <x:c r="M64" s="2" t="str">
        <x:v>46a3e8e97cbe04af0173a75d9cdbcebf</x:v>
      </x:c>
      <x:c r="N64" s="2" t="str">
        <x:v>Active</x:v>
      </x:c>
    </x:row>
    <x:row r="65" ht="21" customHeight="1">
      <x:c r="A65" s="2" t="str">
        <x:v>ST064</x:v>
      </x:c>
      <x:c r="B65" s="2" t="str">
        <x:v>Student 064</x:v>
      </x:c>
      <x:c r="C65" s="2" t="n">
        <x:v>2</x:v>
      </x:c>
      <x:c r="D65" s="2" t="str">
        <x:v>Junior</x:v>
      </x:c>
      <x:c r="E65" s="2" t="str">
        <x:v>Year 3</x:v>
      </x:c>
      <x:c r="F65" s="2" t="str">
        <x:v>BUS002</x:v>
      </x:c>
      <x:c r="G65" s="2" t="str">
        <x:v>R2</x:v>
      </x:c>
      <x:c r="H65" s="2" t="str">
        <x:v>R2S3</x:v>
      </x:c>
      <x:c r="I65" s="2" t="str">
        <x:v>G064</x:v>
      </x:c>
      <x:c r="J65" s="2" t="str">
        <x:v>Guardian 064</x:v>
      </x:c>
      <x:c r="K65" s="2" t="str">
        <x:v>guardian064@example.invalid</x:v>
      </x:c>
      <x:c r="L65" s="2" t="str">
        <x:v>G064</x:v>
      </x:c>
      <x:c r="M65" s="2" t="str">
        <x:v>80debd99a6cfe1ca0800304796fd69ff</x:v>
      </x:c>
      <x:c r="N65" s="2" t="str">
        <x:v>Active</x:v>
      </x:c>
    </x:row>
    <x:row r="66" ht="21" customHeight="1">
      <x:c r="A66" s="2" t="str">
        <x:v>ST065</x:v>
      </x:c>
      <x:c r="B66" s="2" t="str">
        <x:v>Student 065</x:v>
      </x:c>
      <x:c r="C66" s="2" t="n">
        <x:v>2</x:v>
      </x:c>
      <x:c r="D66" s="2" t="str">
        <x:v>Junior</x:v>
      </x:c>
      <x:c r="E66" s="2" t="str">
        <x:v>Year 1</x:v>
      </x:c>
      <x:c r="F66" s="2" t="str">
        <x:v>BUS002</x:v>
      </x:c>
      <x:c r="G66" s="2" t="str">
        <x:v>R2</x:v>
      </x:c>
      <x:c r="H66" s="2" t="str">
        <x:v>R2S1</x:v>
      </x:c>
      <x:c r="I66" s="2" t="str">
        <x:v>G065</x:v>
      </x:c>
      <x:c r="J66" s="2" t="str">
        <x:v>Guardian 065</x:v>
      </x:c>
      <x:c r="K66" s="2" t="str">
        <x:v>guardian065@example.invalid</x:v>
      </x:c>
      <x:c r="L66" s="2" t="str">
        <x:v>G065</x:v>
      </x:c>
      <x:c r="M66" s="2" t="str">
        <x:v>6b379c82348acc8be3e0d247197a20bf</x:v>
      </x:c>
      <x:c r="N66" s="2" t="str">
        <x:v>Active</x:v>
      </x:c>
    </x:row>
    <x:row r="67" ht="21" customHeight="1">
      <x:c r="A67" s="2" t="str">
        <x:v>ST066</x:v>
      </x:c>
      <x:c r="B67" s="2" t="str">
        <x:v>Student 066</x:v>
      </x:c>
      <x:c r="C67" s="2" t="n">
        <x:v>2</x:v>
      </x:c>
      <x:c r="D67" s="2" t="str">
        <x:v>Junior</x:v>
      </x:c>
      <x:c r="E67" s="2" t="str">
        <x:v>Year 2</x:v>
      </x:c>
      <x:c r="F67" s="2" t="str">
        <x:v>BUS002</x:v>
      </x:c>
      <x:c r="G67" s="2" t="str">
        <x:v>R2</x:v>
      </x:c>
      <x:c r="H67" s="2" t="str">
        <x:v>R2S2</x:v>
      </x:c>
      <x:c r="I67" s="2" t="str">
        <x:v>G066</x:v>
      </x:c>
      <x:c r="J67" s="2" t="str">
        <x:v>Guardian 066</x:v>
      </x:c>
      <x:c r="K67" s="2" t="str">
        <x:v>guardian066@example.invalid</x:v>
      </x:c>
      <x:c r="L67" s="2" t="str">
        <x:v>G066</x:v>
      </x:c>
      <x:c r="M67" s="2" t="str">
        <x:v>f1ae8019085f4d0a77552e53fdc22aa7</x:v>
      </x:c>
      <x:c r="N67" s="2" t="str">
        <x:v>Active</x:v>
      </x:c>
    </x:row>
    <x:row r="68" ht="21" customHeight="1">
      <x:c r="A68" s="2" t="str">
        <x:v>ST067</x:v>
      </x:c>
      <x:c r="B68" s="2" t="str">
        <x:v>Student 067</x:v>
      </x:c>
      <x:c r="C68" s="2" t="n">
        <x:v>2</x:v>
      </x:c>
      <x:c r="D68" s="2" t="str">
        <x:v>Junior</x:v>
      </x:c>
      <x:c r="E68" s="2" t="str">
        <x:v>Year 3</x:v>
      </x:c>
      <x:c r="F68" s="2" t="str">
        <x:v>BUS002</x:v>
      </x:c>
      <x:c r="G68" s="2" t="str">
        <x:v>R2</x:v>
      </x:c>
      <x:c r="H68" s="2" t="str">
        <x:v>R2S3</x:v>
      </x:c>
      <x:c r="I68" s="2" t="str">
        <x:v>G067</x:v>
      </x:c>
      <x:c r="J68" s="2" t="str">
        <x:v>Guardian 067</x:v>
      </x:c>
      <x:c r="K68" s="2" t="str">
        <x:v>guardian067@example.invalid</x:v>
      </x:c>
      <x:c r="L68" s="2" t="str">
        <x:v>G067</x:v>
      </x:c>
      <x:c r="M68" s="2" t="str">
        <x:v>66c3e7b11abae76912fea37c6c7ce00c</x:v>
      </x:c>
      <x:c r="N68" s="2" t="str">
        <x:v>Active</x:v>
      </x:c>
    </x:row>
    <x:row r="69" ht="21" customHeight="1">
      <x:c r="A69" s="2" t="str">
        <x:v>ST068</x:v>
      </x:c>
      <x:c r="B69" s="2" t="str">
        <x:v>Student 068</x:v>
      </x:c>
      <x:c r="C69" s="2" t="n">
        <x:v>2</x:v>
      </x:c>
      <x:c r="D69" s="2" t="str">
        <x:v>Junior</x:v>
      </x:c>
      <x:c r="E69" s="2" t="str">
        <x:v>Year 1</x:v>
      </x:c>
      <x:c r="F69" s="2" t="str">
        <x:v>BUS002</x:v>
      </x:c>
      <x:c r="G69" s="2" t="str">
        <x:v>R2</x:v>
      </x:c>
      <x:c r="H69" s="2" t="str">
        <x:v>R2S1</x:v>
      </x:c>
      <x:c r="I69" s="2" t="str">
        <x:v>G068</x:v>
      </x:c>
      <x:c r="J69" s="2" t="str">
        <x:v>Guardian 068</x:v>
      </x:c>
      <x:c r="K69" s="2" t="str">
        <x:v>guardian068@example.invalid</x:v>
      </x:c>
      <x:c r="L69" s="2" t="str">
        <x:v>G068</x:v>
      </x:c>
      <x:c r="M69" s="2" t="str">
        <x:v>6d9af84dd25561b8b07e5e166ae4982a</x:v>
      </x:c>
      <x:c r="N69" s="2" t="str">
        <x:v>Active</x:v>
      </x:c>
    </x:row>
    <x:row r="70" ht="21" customHeight="1">
      <x:c r="A70" s="2" t="str">
        <x:v>ST069</x:v>
      </x:c>
      <x:c r="B70" s="2" t="str">
        <x:v>Student 069</x:v>
      </x:c>
      <x:c r="C70" s="2" t="n">
        <x:v>2</x:v>
      </x:c>
      <x:c r="D70" s="2" t="str">
        <x:v>Junior</x:v>
      </x:c>
      <x:c r="E70" s="2" t="str">
        <x:v>Year 2</x:v>
      </x:c>
      <x:c r="F70" s="2" t="str">
        <x:v>BUS002</x:v>
      </x:c>
      <x:c r="G70" s="2" t="str">
        <x:v>R2</x:v>
      </x:c>
      <x:c r="H70" s="2" t="str">
        <x:v>R2S2</x:v>
      </x:c>
      <x:c r="I70" s="2" t="str">
        <x:v>G069</x:v>
      </x:c>
      <x:c r="J70" s="2" t="str">
        <x:v>Guardian 069</x:v>
      </x:c>
      <x:c r="K70" s="2" t="str">
        <x:v>guardian069@example.invalid</x:v>
      </x:c>
      <x:c r="L70" s="2" t="str">
        <x:v>G069</x:v>
      </x:c>
      <x:c r="M70" s="2" t="str">
        <x:v>d453525f57933d1df9d056e2e53ed3e4</x:v>
      </x:c>
      <x:c r="N70" s="2" t="str">
        <x:v>Active</x:v>
      </x:c>
    </x:row>
    <x:row r="71" ht="21" customHeight="1">
      <x:c r="A71" s="2" t="str">
        <x:v>ST070</x:v>
      </x:c>
      <x:c r="B71" s="2" t="str">
        <x:v>Student 070</x:v>
      </x:c>
      <x:c r="C71" s="2" t="n">
        <x:v>2</x:v>
      </x:c>
      <x:c r="D71" s="2" t="str">
        <x:v>Junior</x:v>
      </x:c>
      <x:c r="E71" s="2" t="str">
        <x:v>Year 3</x:v>
      </x:c>
      <x:c r="F71" s="2" t="str">
        <x:v>BUS002</x:v>
      </x:c>
      <x:c r="G71" s="2" t="str">
        <x:v>R2</x:v>
      </x:c>
      <x:c r="H71" s="2" t="str">
        <x:v>R2S3</x:v>
      </x:c>
      <x:c r="I71" s="2" t="str">
        <x:v>G070</x:v>
      </x:c>
      <x:c r="J71" s="2" t="str">
        <x:v>Guardian 070</x:v>
      </x:c>
      <x:c r="K71" s="2" t="str">
        <x:v>guardian070@example.invalid</x:v>
      </x:c>
      <x:c r="L71" s="2" t="str">
        <x:v>G070</x:v>
      </x:c>
      <x:c r="M71" s="2" t="str">
        <x:v>12a9f1121533e9d2b6402c68cf852c16</x:v>
      </x:c>
      <x:c r="N71" s="2" t="str">
        <x:v>Active</x:v>
      </x:c>
    </x:row>
    <x:row r="72" ht="21" customHeight="1">
      <x:c r="A72" s="2" t="str">
        <x:v>ST071</x:v>
      </x:c>
      <x:c r="B72" s="2" t="str">
        <x:v>Student 071</x:v>
      </x:c>
      <x:c r="C72" s="2" t="n">
        <x:v>2</x:v>
      </x:c>
      <x:c r="D72" s="2" t="str">
        <x:v>Senior</x:v>
      </x:c>
      <x:c r="E72" s="2" t="str">
        <x:v>Year 9</x:v>
      </x:c>
      <x:c r="F72" s="2" t="str">
        <x:v>BUS002</x:v>
      </x:c>
      <x:c r="G72" s="2" t="str">
        <x:v>R2</x:v>
      </x:c>
      <x:c r="H72" s="2" t="str">
        <x:v>R2S1</x:v>
      </x:c>
      <x:c r="I72" s="2" t="str">
        <x:v>G071</x:v>
      </x:c>
      <x:c r="J72" s="2" t="str">
        <x:v>Guardian 071</x:v>
      </x:c>
      <x:c r="K72" s="2" t="str">
        <x:v>guardian071@example.invalid</x:v>
      </x:c>
      <x:c r="L72" s="2" t="str">
        <x:v>G071</x:v>
      </x:c>
      <x:c r="M72" s="2" t="str">
        <x:v>51895678643dc659a400e702a471294e</x:v>
      </x:c>
      <x:c r="N72" s="2" t="str">
        <x:v>Active</x:v>
      </x:c>
    </x:row>
    <x:row r="73" ht="21" customHeight="1">
      <x:c r="A73" s="2" t="str">
        <x:v>ST072</x:v>
      </x:c>
      <x:c r="B73" s="2" t="str">
        <x:v>Student 072</x:v>
      </x:c>
      <x:c r="C73" s="2" t="n">
        <x:v>2</x:v>
      </x:c>
      <x:c r="D73" s="2" t="str">
        <x:v>Senior</x:v>
      </x:c>
      <x:c r="E73" s="2" t="str">
        <x:v>Year 10</x:v>
      </x:c>
      <x:c r="F73" s="2" t="str">
        <x:v>BUS002</x:v>
      </x:c>
      <x:c r="G73" s="2" t="str">
        <x:v>R2</x:v>
      </x:c>
      <x:c r="H73" s="2" t="str">
        <x:v>R2S2</x:v>
      </x:c>
      <x:c r="I73" s="2" t="str">
        <x:v>G072</x:v>
      </x:c>
      <x:c r="J73" s="2" t="str">
        <x:v>Guardian 072</x:v>
      </x:c>
      <x:c r="K73" s="2" t="str">
        <x:v>guardian072@example.invalid</x:v>
      </x:c>
      <x:c r="L73" s="2" t="str">
        <x:v>G072</x:v>
      </x:c>
      <x:c r="M73" s="2" t="str">
        <x:v>34067027b5922171fe59ce4d7b756f1c</x:v>
      </x:c>
      <x:c r="N73" s="2" t="str">
        <x:v>Active</x:v>
      </x:c>
    </x:row>
    <x:row r="74" ht="21" customHeight="1">
      <x:c r="A74" s="2" t="str">
        <x:v>ST073</x:v>
      </x:c>
      <x:c r="B74" s="2" t="str">
        <x:v>Student 073</x:v>
      </x:c>
      <x:c r="C74" s="2" t="n">
        <x:v>2</x:v>
      </x:c>
      <x:c r="D74" s="2" t="str">
        <x:v>Senior</x:v>
      </x:c>
      <x:c r="E74" s="2" t="str">
        <x:v>Year 7</x:v>
      </x:c>
      <x:c r="F74" s="2" t="str">
        <x:v>BUS002</x:v>
      </x:c>
      <x:c r="G74" s="2" t="str">
        <x:v>R2</x:v>
      </x:c>
      <x:c r="H74" s="2" t="str">
        <x:v>R2S3</x:v>
      </x:c>
      <x:c r="I74" s="2" t="str">
        <x:v>G073</x:v>
      </x:c>
      <x:c r="J74" s="2" t="str">
        <x:v>Guardian 073</x:v>
      </x:c>
      <x:c r="K74" s="2" t="str">
        <x:v>guardian073@example.invalid</x:v>
      </x:c>
      <x:c r="L74" s="2" t="str">
        <x:v>G073</x:v>
      </x:c>
      <x:c r="M74" s="2" t="str">
        <x:v>b27180ce7590c0aac206d465f318b712</x:v>
      </x:c>
      <x:c r="N74" s="2" t="str">
        <x:v>Active</x:v>
      </x:c>
    </x:row>
    <x:row r="75" ht="21" customHeight="1">
      <x:c r="A75" s="2" t="str">
        <x:v>ST074</x:v>
      </x:c>
      <x:c r="B75" s="2" t="str">
        <x:v>Student 074</x:v>
      </x:c>
      <x:c r="C75" s="2" t="n">
        <x:v>2</x:v>
      </x:c>
      <x:c r="D75" s="2" t="str">
        <x:v>Senior</x:v>
      </x:c>
      <x:c r="E75" s="2" t="str">
        <x:v>Year 8</x:v>
      </x:c>
      <x:c r="F75" s="2" t="str">
        <x:v>BUS002</x:v>
      </x:c>
      <x:c r="G75" s="2" t="str">
        <x:v>R2</x:v>
      </x:c>
      <x:c r="H75" s="2" t="str">
        <x:v>R2S1</x:v>
      </x:c>
      <x:c r="I75" s="2" t="str">
        <x:v>G074</x:v>
      </x:c>
      <x:c r="J75" s="2" t="str">
        <x:v>Guardian 074</x:v>
      </x:c>
      <x:c r="K75" s="2" t="str">
        <x:v>guardian074@example.invalid</x:v>
      </x:c>
      <x:c r="L75" s="2" t="str">
        <x:v>G074</x:v>
      </x:c>
      <x:c r="M75" s="2" t="str">
        <x:v>a9bcbd7cecca4f17e235125ddf0adf7b</x:v>
      </x:c>
      <x:c r="N75" s="2" t="str">
        <x:v>Active</x:v>
      </x:c>
    </x:row>
    <x:row r="76" ht="21" customHeight="1">
      <x:c r="A76" s="2" t="str">
        <x:v>ST075</x:v>
      </x:c>
      <x:c r="B76" s="2" t="str">
        <x:v>Student 075</x:v>
      </x:c>
      <x:c r="C76" s="2" t="n">
        <x:v>2</x:v>
      </x:c>
      <x:c r="D76" s="2" t="str">
        <x:v>Senior</x:v>
      </x:c>
      <x:c r="E76" s="2" t="str">
        <x:v>Year 9</x:v>
      </x:c>
      <x:c r="F76" s="2" t="str">
        <x:v>BUS002</x:v>
      </x:c>
      <x:c r="G76" s="2" t="str">
        <x:v>R2</x:v>
      </x:c>
      <x:c r="H76" s="2" t="str">
        <x:v>R2S2</x:v>
      </x:c>
      <x:c r="I76" s="2" t="str">
        <x:v>G075</x:v>
      </x:c>
      <x:c r="J76" s="2" t="str">
        <x:v>Guardian 075</x:v>
      </x:c>
      <x:c r="K76" s="2" t="str">
        <x:v>guardian075@example.invalid</x:v>
      </x:c>
      <x:c r="L76" s="2" t="str">
        <x:v>G075</x:v>
      </x:c>
      <x:c r="M76" s="2" t="str">
        <x:v>3781d00e457977b726407cb845a294cc</x:v>
      </x:c>
      <x:c r="N76" s="2" t="str">
        <x:v>Active</x:v>
      </x:c>
    </x:row>
    <x:row r="77" ht="21" customHeight="1">
      <x:c r="A77" s="2" t="str">
        <x:v>ST076</x:v>
      </x:c>
      <x:c r="B77" s="2" t="str">
        <x:v>Student 076</x:v>
      </x:c>
      <x:c r="C77" s="2" t="n">
        <x:v>2</x:v>
      </x:c>
      <x:c r="D77" s="2" t="str">
        <x:v>Senior</x:v>
      </x:c>
      <x:c r="E77" s="2" t="str">
        <x:v>Year 10</x:v>
      </x:c>
      <x:c r="F77" s="2" t="str">
        <x:v>BUS002</x:v>
      </x:c>
      <x:c r="G77" s="2" t="str">
        <x:v>R2</x:v>
      </x:c>
      <x:c r="H77" s="2" t="str">
        <x:v>R2S3</x:v>
      </x:c>
      <x:c r="I77" s="2" t="str">
        <x:v>G076</x:v>
      </x:c>
      <x:c r="J77" s="2" t="str">
        <x:v>Guardian 076</x:v>
      </x:c>
      <x:c r="K77" s="2" t="str">
        <x:v>guardian076@example.invalid</x:v>
      </x:c>
      <x:c r="L77" s="2" t="str">
        <x:v>G076</x:v>
      </x:c>
      <x:c r="M77" s="2" t="str">
        <x:v>08979b9eef223b076885fe932d9f2bca</x:v>
      </x:c>
      <x:c r="N77" s="2" t="str">
        <x:v>Active</x:v>
      </x:c>
    </x:row>
    <x:row r="78" ht="21" customHeight="1">
      <x:c r="A78" s="2" t="str">
        <x:v>ST077</x:v>
      </x:c>
      <x:c r="B78" s="2" t="str">
        <x:v>Student 077</x:v>
      </x:c>
      <x:c r="C78" s="2" t="n">
        <x:v>2</x:v>
      </x:c>
      <x:c r="D78" s="2" t="str">
        <x:v>Senior</x:v>
      </x:c>
      <x:c r="E78" s="2" t="str">
        <x:v>Year 7</x:v>
      </x:c>
      <x:c r="F78" s="2" t="str">
        <x:v>BUS002</x:v>
      </x:c>
      <x:c r="G78" s="2" t="str">
        <x:v>R2</x:v>
      </x:c>
      <x:c r="H78" s="2" t="str">
        <x:v>R2S1</x:v>
      </x:c>
      <x:c r="I78" s="2" t="str">
        <x:v>G077</x:v>
      </x:c>
      <x:c r="J78" s="2" t="str">
        <x:v>Guardian 077</x:v>
      </x:c>
      <x:c r="K78" s="2" t="str">
        <x:v>guardian077@example.invalid</x:v>
      </x:c>
      <x:c r="L78" s="2" t="str">
        <x:v>G077</x:v>
      </x:c>
      <x:c r="M78" s="2" t="str">
        <x:v>af7b8314f6c372daf48e6b95332f6a0f</x:v>
      </x:c>
      <x:c r="N78" s="2" t="str">
        <x:v>Active</x:v>
      </x:c>
    </x:row>
    <x:row r="79" ht="21" customHeight="1">
      <x:c r="A79" s="2" t="str">
        <x:v>ST078</x:v>
      </x:c>
      <x:c r="B79" s="2" t="str">
        <x:v>Student 078</x:v>
      </x:c>
      <x:c r="C79" s="2" t="n">
        <x:v>2</x:v>
      </x:c>
      <x:c r="D79" s="2" t="str">
        <x:v>Senior</x:v>
      </x:c>
      <x:c r="E79" s="2" t="str">
        <x:v>Year 8</x:v>
      </x:c>
      <x:c r="F79" s="2" t="str">
        <x:v>BUS002</x:v>
      </x:c>
      <x:c r="G79" s="2" t="str">
        <x:v>R2</x:v>
      </x:c>
      <x:c r="H79" s="2" t="str">
        <x:v>R2S2</x:v>
      </x:c>
      <x:c r="I79" s="2" t="str">
        <x:v>G078</x:v>
      </x:c>
      <x:c r="J79" s="2" t="str">
        <x:v>Guardian 078</x:v>
      </x:c>
      <x:c r="K79" s="2" t="str">
        <x:v>guardian078@example.invalid</x:v>
      </x:c>
      <x:c r="L79" s="2" t="str">
        <x:v>G078</x:v>
      </x:c>
      <x:c r="M79" s="2" t="str">
        <x:v>737ab4e672bf11e638a47ae295f7e187</x:v>
      </x:c>
      <x:c r="N79" s="2" t="str">
        <x:v>Active</x:v>
      </x:c>
    </x:row>
    <x:row r="80" ht="21" customHeight="1">
      <x:c r="A80" s="2" t="str">
        <x:v>ST079</x:v>
      </x:c>
      <x:c r="B80" s="2" t="str">
        <x:v>Student 079</x:v>
      </x:c>
      <x:c r="C80" s="2" t="n">
        <x:v>2</x:v>
      </x:c>
      <x:c r="D80" s="2" t="str">
        <x:v>Senior</x:v>
      </x:c>
      <x:c r="E80" s="2" t="str">
        <x:v>Year 9</x:v>
      </x:c>
      <x:c r="F80" s="2" t="str">
        <x:v>BUS002</x:v>
      </x:c>
      <x:c r="G80" s="2" t="str">
        <x:v>R2</x:v>
      </x:c>
      <x:c r="H80" s="2" t="str">
        <x:v>R2S3</x:v>
      </x:c>
      <x:c r="I80" s="2" t="str">
        <x:v>G079</x:v>
      </x:c>
      <x:c r="J80" s="2" t="str">
        <x:v>Guardian 079</x:v>
      </x:c>
      <x:c r="K80" s="2" t="str">
        <x:v>guardian079@example.invalid</x:v>
      </x:c>
      <x:c r="L80" s="2" t="str">
        <x:v>G079</x:v>
      </x:c>
      <x:c r="M80" s="2" t="str">
        <x:v>3a794a47ff11773398f2344554eeea57</x:v>
      </x:c>
      <x:c r="N80" s="2" t="str">
        <x:v>Active</x:v>
      </x:c>
    </x:row>
    <x:row r="81" ht="21" customHeight="1">
      <x:c r="A81" s="2" t="str">
        <x:v>ST080</x:v>
      </x:c>
      <x:c r="B81" s="2" t="str">
        <x:v>Student 080</x:v>
      </x:c>
      <x:c r="C81" s="2" t="n">
        <x:v>2</x:v>
      </x:c>
      <x:c r="D81" s="2" t="str">
        <x:v>Senior</x:v>
      </x:c>
      <x:c r="E81" s="2" t="str">
        <x:v>Year 10</x:v>
      </x:c>
      <x:c r="F81" s="2" t="str">
        <x:v>BUS002</x:v>
      </x:c>
      <x:c r="G81" s="2" t="str">
        <x:v>R2</x:v>
      </x:c>
      <x:c r="H81" s="2" t="str">
        <x:v>R2S1</x:v>
      </x:c>
      <x:c r="I81" s="2" t="str">
        <x:v>G080</x:v>
      </x:c>
      <x:c r="J81" s="2" t="str">
        <x:v>Guardian 080</x:v>
      </x:c>
      <x:c r="K81" s="2" t="str">
        <x:v>guardian080@example.invalid</x:v>
      </x:c>
      <x:c r="L81" s="2" t="str">
        <x:v>G080</x:v>
      </x:c>
      <x:c r="M81" s="2" t="str">
        <x:v>0abaf17d1472c0347862177fd9880be2</x:v>
      </x:c>
      <x:c r="N81" s="2" t="str">
        <x:v>Active</x:v>
      </x:c>
    </x:row>
    <x:row r="82" ht="21" customHeight="1">
      <x:c r="A82" s="2" t="str">
        <x:v>ST081</x:v>
      </x:c>
      <x:c r="B82" s="2" t="str">
        <x:v>Student 081</x:v>
      </x:c>
      <x:c r="C82" s="2" t="n">
        <x:v>1</x:v>
      </x:c>
      <x:c r="D82" s="2" t="str">
        <x:v>Junior</x:v>
      </x:c>
      <x:c r="E82" s="2" t="str">
        <x:v>Year 1</x:v>
      </x:c>
      <x:c r="F82" s="2" t="str">
        <x:v>BUS003</x:v>
      </x:c>
      <x:c r="G82" s="2" t="str">
        <x:v>R3</x:v>
      </x:c>
      <x:c r="H82" s="2" t="str">
        <x:v>R3S1</x:v>
      </x:c>
      <x:c r="I82" s="2" t="str">
        <x:v>G081</x:v>
      </x:c>
      <x:c r="J82" s="2" t="str">
        <x:v>Guardian 081</x:v>
      </x:c>
      <x:c r="K82" s="2" t="str">
        <x:v>guardian081@example.invalid</x:v>
      </x:c>
      <x:c r="L82" s="2" t="str">
        <x:v>G081</x:v>
      </x:c>
      <x:c r="M82" s="2" t="str">
        <x:v>8631b63b10b36bffa6456d354db9c08f</x:v>
      </x:c>
      <x:c r="N82" s="2" t="str">
        <x:v>Active</x:v>
      </x:c>
    </x:row>
    <x:row r="83" ht="21" customHeight="1">
      <x:c r="A83" s="2" t="str">
        <x:v>ST082</x:v>
      </x:c>
      <x:c r="B83" s="2" t="str">
        <x:v>Student 082</x:v>
      </x:c>
      <x:c r="C83" s="2" t="n">
        <x:v>1</x:v>
      </x:c>
      <x:c r="D83" s="2" t="str">
        <x:v>Junior</x:v>
      </x:c>
      <x:c r="E83" s="2" t="str">
        <x:v>Year 2</x:v>
      </x:c>
      <x:c r="F83" s="2" t="str">
        <x:v>BUS003</x:v>
      </x:c>
      <x:c r="G83" s="2" t="str">
        <x:v>R3</x:v>
      </x:c>
      <x:c r="H83" s="2" t="str">
        <x:v>R3S2</x:v>
      </x:c>
      <x:c r="I83" s="2" t="str">
        <x:v>G082</x:v>
      </x:c>
      <x:c r="J83" s="2" t="str">
        <x:v>Guardian 082</x:v>
      </x:c>
      <x:c r="K83" s="2" t="str">
        <x:v>guardian082@example.invalid</x:v>
      </x:c>
      <x:c r="L83" s="2" t="str">
        <x:v>G082</x:v>
      </x:c>
      <x:c r="M83" s="2" t="str">
        <x:v>fb7e28e2da3ace738571a6966bcaaec0</x:v>
      </x:c>
      <x:c r="N83" s="2" t="str">
        <x:v>Active</x:v>
      </x:c>
    </x:row>
    <x:row r="84" ht="21" customHeight="1">
      <x:c r="A84" s="2" t="str">
        <x:v>ST083</x:v>
      </x:c>
      <x:c r="B84" s="2" t="str">
        <x:v>Student 083</x:v>
      </x:c>
      <x:c r="C84" s="2" t="n">
        <x:v>1</x:v>
      </x:c>
      <x:c r="D84" s="2" t="str">
        <x:v>Junior</x:v>
      </x:c>
      <x:c r="E84" s="2" t="str">
        <x:v>Year 3</x:v>
      </x:c>
      <x:c r="F84" s="2" t="str">
        <x:v>BUS003</x:v>
      </x:c>
      <x:c r="G84" s="2" t="str">
        <x:v>R3</x:v>
      </x:c>
      <x:c r="H84" s="2" t="str">
        <x:v>R3S3</x:v>
      </x:c>
      <x:c r="I84" s="2" t="str">
        <x:v>G083</x:v>
      </x:c>
      <x:c r="J84" s="2" t="str">
        <x:v>Guardian 083</x:v>
      </x:c>
      <x:c r="K84" s="2" t="str">
        <x:v>guardian083@example.invalid</x:v>
      </x:c>
      <x:c r="L84" s="2" t="str">
        <x:v>G083</x:v>
      </x:c>
      <x:c r="M84" s="2" t="str">
        <x:v>19cc474730ce4d97be031814010d13a9</x:v>
      </x:c>
      <x:c r="N84" s="2" t="str">
        <x:v>Active</x:v>
      </x:c>
    </x:row>
    <x:row r="85" ht="21" customHeight="1">
      <x:c r="A85" s="2" t="str">
        <x:v>ST084</x:v>
      </x:c>
      <x:c r="B85" s="2" t="str">
        <x:v>Student 084</x:v>
      </x:c>
      <x:c r="C85" s="2" t="n">
        <x:v>1</x:v>
      </x:c>
      <x:c r="D85" s="2" t="str">
        <x:v>Junior</x:v>
      </x:c>
      <x:c r="E85" s="2" t="str">
        <x:v>Year 1</x:v>
      </x:c>
      <x:c r="F85" s="2" t="str">
        <x:v>BUS003</x:v>
      </x:c>
      <x:c r="G85" s="2" t="str">
        <x:v>R3</x:v>
      </x:c>
      <x:c r="H85" s="2" t="str">
        <x:v>R3S1</x:v>
      </x:c>
      <x:c r="I85" s="2" t="str">
        <x:v>G084</x:v>
      </x:c>
      <x:c r="J85" s="2" t="str">
        <x:v>Guardian 084</x:v>
      </x:c>
      <x:c r="K85" s="2" t="str">
        <x:v>guardian084@example.invalid</x:v>
      </x:c>
      <x:c r="L85" s="2" t="str">
        <x:v>G084</x:v>
      </x:c>
      <x:c r="M85" s="2" t="str">
        <x:v>2f6163b722feb8421b83fd278ee72e5c</x:v>
      </x:c>
      <x:c r="N85" s="2" t="str">
        <x:v>Active</x:v>
      </x:c>
    </x:row>
    <x:row r="86" ht="21" customHeight="1">
      <x:c r="A86" s="2" t="str">
        <x:v>ST085</x:v>
      </x:c>
      <x:c r="B86" s="2" t="str">
        <x:v>Student 085</x:v>
      </x:c>
      <x:c r="C86" s="2" t="n">
        <x:v>1</x:v>
      </x:c>
      <x:c r="D86" s="2" t="str">
        <x:v>Junior</x:v>
      </x:c>
      <x:c r="E86" s="2" t="str">
        <x:v>Year 2</x:v>
      </x:c>
      <x:c r="F86" s="2" t="str">
        <x:v>BUS003</x:v>
      </x:c>
      <x:c r="G86" s="2" t="str">
        <x:v>R3</x:v>
      </x:c>
      <x:c r="H86" s="2" t="str">
        <x:v>R3S2</x:v>
      </x:c>
      <x:c r="I86" s="2" t="str">
        <x:v>G085</x:v>
      </x:c>
      <x:c r="J86" s="2" t="str">
        <x:v>Guardian 085</x:v>
      </x:c>
      <x:c r="K86" s="2" t="str">
        <x:v>guardian085@example.invalid</x:v>
      </x:c>
      <x:c r="L86" s="2" t="str">
        <x:v>G085</x:v>
      </x:c>
      <x:c r="M86" s="2" t="str">
        <x:v>80babdd572dde222a75b7ad8f0fe7ffa</x:v>
      </x:c>
      <x:c r="N86" s="2" t="str">
        <x:v>Active</x:v>
      </x:c>
    </x:row>
    <x:row r="87" ht="21" customHeight="1">
      <x:c r="A87" s="2" t="str">
        <x:v>ST086</x:v>
      </x:c>
      <x:c r="B87" s="2" t="str">
        <x:v>Student 086</x:v>
      </x:c>
      <x:c r="C87" s="2" t="n">
        <x:v>1</x:v>
      </x:c>
      <x:c r="D87" s="2" t="str">
        <x:v>Junior</x:v>
      </x:c>
      <x:c r="E87" s="2" t="str">
        <x:v>Year 3</x:v>
      </x:c>
      <x:c r="F87" s="2" t="str">
        <x:v>BUS003</x:v>
      </x:c>
      <x:c r="G87" s="2" t="str">
        <x:v>R3</x:v>
      </x:c>
      <x:c r="H87" s="2" t="str">
        <x:v>R3S3</x:v>
      </x:c>
      <x:c r="I87" s="2" t="str">
        <x:v>G086</x:v>
      </x:c>
      <x:c r="J87" s="2" t="str">
        <x:v>Guardian 086</x:v>
      </x:c>
      <x:c r="K87" s="2" t="str">
        <x:v>guardian086@example.invalid</x:v>
      </x:c>
      <x:c r="L87" s="2" t="str">
        <x:v>G086</x:v>
      </x:c>
      <x:c r="M87" s="2" t="str">
        <x:v>33c5dfd0f17fcbe34d50fd9b0a0c0e5b</x:v>
      </x:c>
      <x:c r="N87" s="2" t="str">
        <x:v>Active</x:v>
      </x:c>
    </x:row>
    <x:row r="88" ht="21" customHeight="1">
      <x:c r="A88" s="2" t="str">
        <x:v>ST087</x:v>
      </x:c>
      <x:c r="B88" s="2" t="str">
        <x:v>Student 087</x:v>
      </x:c>
      <x:c r="C88" s="2" t="n">
        <x:v>1</x:v>
      </x:c>
      <x:c r="D88" s="2" t="str">
        <x:v>Junior</x:v>
      </x:c>
      <x:c r="E88" s="2" t="str">
        <x:v>Year 1</x:v>
      </x:c>
      <x:c r="F88" s="2" t="str">
        <x:v>BUS003</x:v>
      </x:c>
      <x:c r="G88" s="2" t="str">
        <x:v>R3</x:v>
      </x:c>
      <x:c r="H88" s="2" t="str">
        <x:v>R3S1</x:v>
      </x:c>
      <x:c r="I88" s="2" t="str">
        <x:v>G087</x:v>
      </x:c>
      <x:c r="J88" s="2" t="str">
        <x:v>Guardian 087</x:v>
      </x:c>
      <x:c r="K88" s="2" t="str">
        <x:v>guardian087@example.invalid</x:v>
      </x:c>
      <x:c r="L88" s="2" t="str">
        <x:v>G087</x:v>
      </x:c>
      <x:c r="M88" s="2" t="str">
        <x:v>30243cf46003be06b271950aa5cd47a6</x:v>
      </x:c>
      <x:c r="N88" s="2" t="str">
        <x:v>Active</x:v>
      </x:c>
    </x:row>
    <x:row r="89" ht="21" customHeight="1">
      <x:c r="A89" s="2" t="str">
        <x:v>ST088</x:v>
      </x:c>
      <x:c r="B89" s="2" t="str">
        <x:v>Student 088</x:v>
      </x:c>
      <x:c r="C89" s="2" t="n">
        <x:v>1</x:v>
      </x:c>
      <x:c r="D89" s="2" t="str">
        <x:v>Junior</x:v>
      </x:c>
      <x:c r="E89" s="2" t="str">
        <x:v>Year 2</x:v>
      </x:c>
      <x:c r="F89" s="2" t="str">
        <x:v>BUS003</x:v>
      </x:c>
      <x:c r="G89" s="2" t="str">
        <x:v>R3</x:v>
      </x:c>
      <x:c r="H89" s="2" t="str">
        <x:v>R3S2</x:v>
      </x:c>
      <x:c r="I89" s="2" t="str">
        <x:v>G088</x:v>
      </x:c>
      <x:c r="J89" s="2" t="str">
        <x:v>Guardian 088</x:v>
      </x:c>
      <x:c r="K89" s="2" t="str">
        <x:v>guardian088@example.invalid</x:v>
      </x:c>
      <x:c r="L89" s="2" t="str">
        <x:v>G088</x:v>
      </x:c>
      <x:c r="M89" s="2" t="str">
        <x:v>b227769e0483e6c28eed8e8d448bfbbe</x:v>
      </x:c>
      <x:c r="N89" s="2" t="str">
        <x:v>Active</x:v>
      </x:c>
    </x:row>
    <x:row r="90" ht="21" customHeight="1">
      <x:c r="A90" s="2" t="str">
        <x:v>ST089</x:v>
      </x:c>
      <x:c r="B90" s="2" t="str">
        <x:v>Student 089</x:v>
      </x:c>
      <x:c r="C90" s="2" t="n">
        <x:v>1</x:v>
      </x:c>
      <x:c r="D90" s="2" t="str">
        <x:v>Junior</x:v>
      </x:c>
      <x:c r="E90" s="2" t="str">
        <x:v>Year 3</x:v>
      </x:c>
      <x:c r="F90" s="2" t="str">
        <x:v>BUS003</x:v>
      </x:c>
      <x:c r="G90" s="2" t="str">
        <x:v>R3</x:v>
      </x:c>
      <x:c r="H90" s="2" t="str">
        <x:v>R3S3</x:v>
      </x:c>
      <x:c r="I90" s="2" t="str">
        <x:v>G089</x:v>
      </x:c>
      <x:c r="J90" s="2" t="str">
        <x:v>Guardian 089</x:v>
      </x:c>
      <x:c r="K90" s="2" t="str">
        <x:v>guardian089@example.invalid</x:v>
      </x:c>
      <x:c r="L90" s="2" t="str">
        <x:v>G089</x:v>
      </x:c>
      <x:c r="M90" s="2" t="str">
        <x:v>0bd697ec3f7c09918d8dd004b5340b03</x:v>
      </x:c>
      <x:c r="N90" s="2" t="str">
        <x:v>Active</x:v>
      </x:c>
    </x:row>
    <x:row r="91" ht="21" customHeight="1">
      <x:c r="A91" s="2" t="str">
        <x:v>ST090</x:v>
      </x:c>
      <x:c r="B91" s="2" t="str">
        <x:v>Student 090</x:v>
      </x:c>
      <x:c r="C91" s="2" t="n">
        <x:v>1</x:v>
      </x:c>
      <x:c r="D91" s="2" t="str">
        <x:v>Junior</x:v>
      </x:c>
      <x:c r="E91" s="2" t="str">
        <x:v>Year 1</x:v>
      </x:c>
      <x:c r="F91" s="2" t="str">
        <x:v>BUS003</x:v>
      </x:c>
      <x:c r="G91" s="2" t="str">
        <x:v>R3</x:v>
      </x:c>
      <x:c r="H91" s="2" t="str">
        <x:v>R3S1</x:v>
      </x:c>
      <x:c r="I91" s="2" t="str">
        <x:v>G090</x:v>
      </x:c>
      <x:c r="J91" s="2" t="str">
        <x:v>Guardian 090</x:v>
      </x:c>
      <x:c r="K91" s="2" t="str">
        <x:v>guardian090@example.invalid</x:v>
      </x:c>
      <x:c r="L91" s="2" t="str">
        <x:v>G090</x:v>
      </x:c>
      <x:c r="M91" s="2" t="str">
        <x:v>3b91252475551a374010825e1f05642c</x:v>
      </x:c>
      <x:c r="N91" s="2" t="str">
        <x:v>Active</x:v>
      </x:c>
    </x:row>
    <x:row r="92" ht="21" customHeight="1">
      <x:c r="A92" s="2" t="str">
        <x:v>ST091</x:v>
      </x:c>
      <x:c r="B92" s="2" t="str">
        <x:v>Student 091</x:v>
      </x:c>
      <x:c r="C92" s="2" t="n">
        <x:v>1</x:v>
      </x:c>
      <x:c r="D92" s="2" t="str">
        <x:v>Senior</x:v>
      </x:c>
      <x:c r="E92" s="2" t="str">
        <x:v>Year 9</x:v>
      </x:c>
      <x:c r="F92" s="2" t="str">
        <x:v>BUS003</x:v>
      </x:c>
      <x:c r="G92" s="2" t="str">
        <x:v>R3</x:v>
      </x:c>
      <x:c r="H92" s="2" t="str">
        <x:v>R3S2</x:v>
      </x:c>
      <x:c r="I92" s="2" t="str">
        <x:v>G091</x:v>
      </x:c>
      <x:c r="J92" s="2" t="str">
        <x:v>Guardian 091</x:v>
      </x:c>
      <x:c r="K92" s="2" t="str">
        <x:v>guardian091@example.invalid</x:v>
      </x:c>
      <x:c r="L92" s="2" t="str">
        <x:v>G091</x:v>
      </x:c>
      <x:c r="M92" s="2" t="str">
        <x:v>2d74afc7329a1eb53bd16a92fc366891</x:v>
      </x:c>
      <x:c r="N92" s="2" t="str">
        <x:v>Active</x:v>
      </x:c>
    </x:row>
    <x:row r="93" ht="21" customHeight="1">
      <x:c r="A93" s="2" t="str">
        <x:v>ST092</x:v>
      </x:c>
      <x:c r="B93" s="2" t="str">
        <x:v>Student 092</x:v>
      </x:c>
      <x:c r="C93" s="2" t="n">
        <x:v>1</x:v>
      </x:c>
      <x:c r="D93" s="2" t="str">
        <x:v>Senior</x:v>
      </x:c>
      <x:c r="E93" s="2" t="str">
        <x:v>Year 10</x:v>
      </x:c>
      <x:c r="F93" s="2" t="str">
        <x:v>BUS003</x:v>
      </x:c>
      <x:c r="G93" s="2" t="str">
        <x:v>R3</x:v>
      </x:c>
      <x:c r="H93" s="2" t="str">
        <x:v>R3S3</x:v>
      </x:c>
      <x:c r="I93" s="2" t="str">
        <x:v>G092</x:v>
      </x:c>
      <x:c r="J93" s="2" t="str">
        <x:v>Guardian 092</x:v>
      </x:c>
      <x:c r="K93" s="2" t="str">
        <x:v>guardian092@example.invalid</x:v>
      </x:c>
      <x:c r="L93" s="2" t="str">
        <x:v>G092</x:v>
      </x:c>
      <x:c r="M93" s="2" t="str">
        <x:v>e83e93b137787f284ae9574a02ff0cc7</x:v>
      </x:c>
      <x:c r="N93" s="2" t="str">
        <x:v>Active</x:v>
      </x:c>
    </x:row>
    <x:row r="94" ht="21" customHeight="1">
      <x:c r="A94" s="2" t="str">
        <x:v>ST093</x:v>
      </x:c>
      <x:c r="B94" s="2" t="str">
        <x:v>Student 093</x:v>
      </x:c>
      <x:c r="C94" s="2" t="n">
        <x:v>1</x:v>
      </x:c>
      <x:c r="D94" s="2" t="str">
        <x:v>Senior</x:v>
      </x:c>
      <x:c r="E94" s="2" t="str">
        <x:v>Year 7</x:v>
      </x:c>
      <x:c r="F94" s="2" t="str">
        <x:v>BUS003</x:v>
      </x:c>
      <x:c r="G94" s="2" t="str">
        <x:v>R3</x:v>
      </x:c>
      <x:c r="H94" s="2" t="str">
        <x:v>R3S1</x:v>
      </x:c>
      <x:c r="I94" s="2" t="str">
        <x:v>G093</x:v>
      </x:c>
      <x:c r="J94" s="2" t="str">
        <x:v>Guardian 093</x:v>
      </x:c>
      <x:c r="K94" s="2" t="str">
        <x:v>guardian093@example.invalid</x:v>
      </x:c>
      <x:c r="L94" s="2" t="str">
        <x:v>G093</x:v>
      </x:c>
      <x:c r="M94" s="2" t="str">
        <x:v>e69cdca4f10e82426e9a3098f4672791</x:v>
      </x:c>
      <x:c r="N94" s="2" t="str">
        <x:v>Active</x:v>
      </x:c>
    </x:row>
    <x:row r="95" ht="21" customHeight="1">
      <x:c r="A95" s="2" t="str">
        <x:v>ST094</x:v>
      </x:c>
      <x:c r="B95" s="2" t="str">
        <x:v>Student 094</x:v>
      </x:c>
      <x:c r="C95" s="2" t="n">
        <x:v>1</x:v>
      </x:c>
      <x:c r="D95" s="2" t="str">
        <x:v>Senior</x:v>
      </x:c>
      <x:c r="E95" s="2" t="str">
        <x:v>Year 8</x:v>
      </x:c>
      <x:c r="F95" s="2" t="str">
        <x:v>BUS003</x:v>
      </x:c>
      <x:c r="G95" s="2" t="str">
        <x:v>R3</x:v>
      </x:c>
      <x:c r="H95" s="2" t="str">
        <x:v>R3S2</x:v>
      </x:c>
      <x:c r="I95" s="2" t="str">
        <x:v>G094</x:v>
      </x:c>
      <x:c r="J95" s="2" t="str">
        <x:v>Guardian 094</x:v>
      </x:c>
      <x:c r="K95" s="2" t="str">
        <x:v>guardian094@example.invalid</x:v>
      </x:c>
      <x:c r="L95" s="2" t="str">
        <x:v>G094</x:v>
      </x:c>
      <x:c r="M95" s="2" t="str">
        <x:v>b6fd37c188877a378c496dccb3132cf2</x:v>
      </x:c>
      <x:c r="N95" s="2" t="str">
        <x:v>Active</x:v>
      </x:c>
    </x:row>
    <x:row r="96" ht="21" customHeight="1">
      <x:c r="A96" s="2" t="str">
        <x:v>ST095</x:v>
      </x:c>
      <x:c r="B96" s="2" t="str">
        <x:v>Student 095</x:v>
      </x:c>
      <x:c r="C96" s="2" t="n">
        <x:v>1</x:v>
      </x:c>
      <x:c r="D96" s="2" t="str">
        <x:v>Senior</x:v>
      </x:c>
      <x:c r="E96" s="2" t="str">
        <x:v>Year 9</x:v>
      </x:c>
      <x:c r="F96" s="2" t="str">
        <x:v>BUS003</x:v>
      </x:c>
      <x:c r="G96" s="2" t="str">
        <x:v>R3</x:v>
      </x:c>
      <x:c r="H96" s="2" t="str">
        <x:v>R3S3</x:v>
      </x:c>
      <x:c r="I96" s="2" t="str">
        <x:v>G095</x:v>
      </x:c>
      <x:c r="J96" s="2" t="str">
        <x:v>Guardian 095</x:v>
      </x:c>
      <x:c r="K96" s="2" t="str">
        <x:v>guardian095@example.invalid</x:v>
      </x:c>
      <x:c r="L96" s="2" t="str">
        <x:v>G095</x:v>
      </x:c>
      <x:c r="M96" s="2" t="str">
        <x:v>0935ee2c52872353d5a355eed1202dbe</x:v>
      </x:c>
      <x:c r="N96" s="2" t="str">
        <x:v>Active</x:v>
      </x:c>
    </x:row>
    <x:row r="97" ht="21" customHeight="1">
      <x:c r="A97" s="2" t="str">
        <x:v>ST096</x:v>
      </x:c>
      <x:c r="B97" s="2" t="str">
        <x:v>Student 096</x:v>
      </x:c>
      <x:c r="C97" s="2" t="n">
        <x:v>1</x:v>
      </x:c>
      <x:c r="D97" s="2" t="str">
        <x:v>Senior</x:v>
      </x:c>
      <x:c r="E97" s="2" t="str">
        <x:v>Year 10</x:v>
      </x:c>
      <x:c r="F97" s="2" t="str">
        <x:v>BUS003</x:v>
      </x:c>
      <x:c r="G97" s="2" t="str">
        <x:v>R3</x:v>
      </x:c>
      <x:c r="H97" s="2" t="str">
        <x:v>R3S1</x:v>
      </x:c>
      <x:c r="I97" s="2" t="str">
        <x:v>G096</x:v>
      </x:c>
      <x:c r="J97" s="2" t="str">
        <x:v>Guardian 096</x:v>
      </x:c>
      <x:c r="K97" s="2" t="str">
        <x:v>guardian096@example.invalid</x:v>
      </x:c>
      <x:c r="L97" s="2" t="str">
        <x:v>G096</x:v>
      </x:c>
      <x:c r="M97" s="2" t="str">
        <x:v>46905fa8ca039f79eec63d82a6ea3c69</x:v>
      </x:c>
      <x:c r="N97" s="2" t="str">
        <x:v>Active</x:v>
      </x:c>
    </x:row>
    <x:row r="98" ht="21" customHeight="1">
      <x:c r="A98" s="2" t="str">
        <x:v>ST097</x:v>
      </x:c>
      <x:c r="B98" s="2" t="str">
        <x:v>Student 097</x:v>
      </x:c>
      <x:c r="C98" s="2" t="n">
        <x:v>1</x:v>
      </x:c>
      <x:c r="D98" s="2" t="str">
        <x:v>Senior</x:v>
      </x:c>
      <x:c r="E98" s="2" t="str">
        <x:v>Year 7</x:v>
      </x:c>
      <x:c r="F98" s="2" t="str">
        <x:v>BUS003</x:v>
      </x:c>
      <x:c r="G98" s="2" t="str">
        <x:v>R3</x:v>
      </x:c>
      <x:c r="H98" s="2" t="str">
        <x:v>R3S2</x:v>
      </x:c>
      <x:c r="I98" s="2" t="str">
        <x:v>G097</x:v>
      </x:c>
      <x:c r="J98" s="2" t="str">
        <x:v>Guardian 097</x:v>
      </x:c>
      <x:c r="K98" s="2" t="str">
        <x:v>guardian097@example.invalid</x:v>
      </x:c>
      <x:c r="L98" s="2" t="str">
        <x:v>G097</x:v>
      </x:c>
      <x:c r="M98" s="2" t="str">
        <x:v>0ccbf8d08569df9dde2207b8d5616d1e</x:v>
      </x:c>
      <x:c r="N98" s="2" t="str">
        <x:v>Active</x:v>
      </x:c>
    </x:row>
    <x:row r="99" ht="21" customHeight="1">
      <x:c r="A99" s="2" t="str">
        <x:v>ST098</x:v>
      </x:c>
      <x:c r="B99" s="2" t="str">
        <x:v>Student 098</x:v>
      </x:c>
      <x:c r="C99" s="2" t="n">
        <x:v>1</x:v>
      </x:c>
      <x:c r="D99" s="2" t="str">
        <x:v>Senior</x:v>
      </x:c>
      <x:c r="E99" s="2" t="str">
        <x:v>Year 8</x:v>
      </x:c>
      <x:c r="F99" s="2" t="str">
        <x:v>BUS003</x:v>
      </x:c>
      <x:c r="G99" s="2" t="str">
        <x:v>R3</x:v>
      </x:c>
      <x:c r="H99" s="2" t="str">
        <x:v>R3S3</x:v>
      </x:c>
      <x:c r="I99" s="2" t="str">
        <x:v>G098</x:v>
      </x:c>
      <x:c r="J99" s="2" t="str">
        <x:v>Guardian 098</x:v>
      </x:c>
      <x:c r="K99" s="2" t="str">
        <x:v>guardian098@example.invalid</x:v>
      </x:c>
      <x:c r="L99" s="2" t="str">
        <x:v>G098</x:v>
      </x:c>
      <x:c r="M99" s="2" t="str">
        <x:v>4b453acdeca94f98f11a429464f7bff7</x:v>
      </x:c>
      <x:c r="N99" s="2" t="str">
        <x:v>Active</x:v>
      </x:c>
    </x:row>
    <x:row r="100" ht="21" customHeight="1">
      <x:c r="A100" s="2" t="str">
        <x:v>ST099</x:v>
      </x:c>
      <x:c r="B100" s="2" t="str">
        <x:v>Student 099</x:v>
      </x:c>
      <x:c r="C100" s="2" t="n">
        <x:v>1</x:v>
      </x:c>
      <x:c r="D100" s="2" t="str">
        <x:v>Senior</x:v>
      </x:c>
      <x:c r="E100" s="2" t="str">
        <x:v>Year 9</x:v>
      </x:c>
      <x:c r="F100" s="2" t="str">
        <x:v>BUS003</x:v>
      </x:c>
      <x:c r="G100" s="2" t="str">
        <x:v>R3</x:v>
      </x:c>
      <x:c r="H100" s="2" t="str">
        <x:v>R3S1</x:v>
      </x:c>
      <x:c r="I100" s="2" t="str">
        <x:v>G099</x:v>
      </x:c>
      <x:c r="J100" s="2" t="str">
        <x:v>Guardian 099</x:v>
      </x:c>
      <x:c r="K100" s="2" t="str">
        <x:v>guardian099@example.invalid</x:v>
      </x:c>
      <x:c r="L100" s="2" t="str">
        <x:v>G099</x:v>
      </x:c>
      <x:c r="M100" s="2" t="str">
        <x:v>46d20c66394c55b68e36e5335452d87c</x:v>
      </x:c>
      <x:c r="N100" s="2" t="str">
        <x:v>Active</x:v>
      </x:c>
    </x:row>
    <x:row r="101" ht="21" customHeight="1">
      <x:c r="A101" s="2" t="str">
        <x:v>ST100</x:v>
      </x:c>
      <x:c r="B101" s="2" t="str">
        <x:v>Student 100</x:v>
      </x:c>
      <x:c r="C101" s="2" t="n">
        <x:v>1</x:v>
      </x:c>
      <x:c r="D101" s="2" t="str">
        <x:v>Senior</x:v>
      </x:c>
      <x:c r="E101" s="2" t="str">
        <x:v>Year 10</x:v>
      </x:c>
      <x:c r="F101" s="2" t="str">
        <x:v>BUS003</x:v>
      </x:c>
      <x:c r="G101" s="2" t="str">
        <x:v>R3</x:v>
      </x:c>
      <x:c r="H101" s="2" t="str">
        <x:v>R3S2</x:v>
      </x:c>
      <x:c r="I101" s="2" t="str">
        <x:v>G100</x:v>
      </x:c>
      <x:c r="J101" s="2" t="str">
        <x:v>Guardian 100</x:v>
      </x:c>
      <x:c r="K101" s="2" t="str">
        <x:v>guardian100@example.invalid</x:v>
      </x:c>
      <x:c r="L101" s="2" t="str">
        <x:v>G100</x:v>
      </x:c>
      <x:c r="M101" s="2" t="str">
        <x:v>6ba3ddf298bc4515d195454c1e81d9d6</x:v>
      </x:c>
      <x:c r="N101" s="2" t="str">
        <x:v>Active</x:v>
      </x:c>
    </x:row>
    <x:row r="102" ht="21" customHeight="1">
      <x:c r="A102" s="2" t="str">
        <x:v>ST101</x:v>
      </x:c>
      <x:c r="B102" s="2" t="str">
        <x:v>Student 101</x:v>
      </x:c>
      <x:c r="C102" s="2" t="n">
        <x:v>2</x:v>
      </x:c>
      <x:c r="D102" s="2" t="str">
        <x:v>Junior</x:v>
      </x:c>
      <x:c r="E102" s="2" t="str">
        <x:v>Year 3</x:v>
      </x:c>
      <x:c r="F102" s="2" t="str">
        <x:v>BUS003</x:v>
      </x:c>
      <x:c r="G102" s="2" t="str">
        <x:v>R3</x:v>
      </x:c>
      <x:c r="H102" s="2" t="str">
        <x:v>R3S3</x:v>
      </x:c>
      <x:c r="I102" s="2" t="str">
        <x:v>G101</x:v>
      </x:c>
      <x:c r="J102" s="2" t="str">
        <x:v>Guardian 101</x:v>
      </x:c>
      <x:c r="K102" s="2" t="str">
        <x:v>guardian101@example.invalid</x:v>
      </x:c>
      <x:c r="L102" s="2" t="str">
        <x:v>G101</x:v>
      </x:c>
      <x:c r="M102" s="2" t="str">
        <x:v>9f8e180c63d3ff8d3e393db3573884a8</x:v>
      </x:c>
      <x:c r="N102" s="2" t="str">
        <x:v>Active</x:v>
      </x:c>
    </x:row>
    <x:row r="103" ht="21" customHeight="1">
      <x:c r="A103" s="2" t="str">
        <x:v>ST102</x:v>
      </x:c>
      <x:c r="B103" s="2" t="str">
        <x:v>Student 102</x:v>
      </x:c>
      <x:c r="C103" s="2" t="n">
        <x:v>2</x:v>
      </x:c>
      <x:c r="D103" s="2" t="str">
        <x:v>Junior</x:v>
      </x:c>
      <x:c r="E103" s="2" t="str">
        <x:v>Year 1</x:v>
      </x:c>
      <x:c r="F103" s="2" t="str">
        <x:v>BUS003</x:v>
      </x:c>
      <x:c r="G103" s="2" t="str">
        <x:v>R3</x:v>
      </x:c>
      <x:c r="H103" s="2" t="str">
        <x:v>R3S1</x:v>
      </x:c>
      <x:c r="I103" s="2" t="str">
        <x:v>G102</x:v>
      </x:c>
      <x:c r="J103" s="2" t="str">
        <x:v>Guardian 102</x:v>
      </x:c>
      <x:c r="K103" s="2" t="str">
        <x:v>guardian102@example.invalid</x:v>
      </x:c>
      <x:c r="L103" s="2" t="str">
        <x:v>G102</x:v>
      </x:c>
      <x:c r="M103" s="2" t="str">
        <x:v>6a90d57a6e4b5aedbdcdc5a29cf018e9</x:v>
      </x:c>
      <x:c r="N103" s="2" t="str">
        <x:v>Active</x:v>
      </x:c>
    </x:row>
    <x:row r="104" ht="21" customHeight="1">
      <x:c r="A104" s="2" t="str">
        <x:v>ST103</x:v>
      </x:c>
      <x:c r="B104" s="2" t="str">
        <x:v>Student 103</x:v>
      </x:c>
      <x:c r="C104" s="2" t="n">
        <x:v>2</x:v>
      </x:c>
      <x:c r="D104" s="2" t="str">
        <x:v>Junior</x:v>
      </x:c>
      <x:c r="E104" s="2" t="str">
        <x:v>Year 2</x:v>
      </x:c>
      <x:c r="F104" s="2" t="str">
        <x:v>BUS003</x:v>
      </x:c>
      <x:c r="G104" s="2" t="str">
        <x:v>R3</x:v>
      </x:c>
      <x:c r="H104" s="2" t="str">
        <x:v>R3S2</x:v>
      </x:c>
      <x:c r="I104" s="2" t="str">
        <x:v>G103</x:v>
      </x:c>
      <x:c r="J104" s="2" t="str">
        <x:v>Guardian 103</x:v>
      </x:c>
      <x:c r="K104" s="2" t="str">
        <x:v>guardian103@example.invalid</x:v>
      </x:c>
      <x:c r="L104" s="2" t="str">
        <x:v>G103</x:v>
      </x:c>
      <x:c r="M104" s="2" t="str">
        <x:v>5982cfca835e14d82ed8b6562c1a172d</x:v>
      </x:c>
      <x:c r="N104" s="2" t="str">
        <x:v>Active</x:v>
      </x:c>
    </x:row>
    <x:row r="105" ht="21" customHeight="1">
      <x:c r="A105" s="2" t="str">
        <x:v>ST104</x:v>
      </x:c>
      <x:c r="B105" s="2" t="str">
        <x:v>Student 104</x:v>
      </x:c>
      <x:c r="C105" s="2" t="n">
        <x:v>2</x:v>
      </x:c>
      <x:c r="D105" s="2" t="str">
        <x:v>Junior</x:v>
      </x:c>
      <x:c r="E105" s="2" t="str">
        <x:v>Year 3</x:v>
      </x:c>
      <x:c r="F105" s="2" t="str">
        <x:v>BUS003</x:v>
      </x:c>
      <x:c r="G105" s="2" t="str">
        <x:v>R3</x:v>
      </x:c>
      <x:c r="H105" s="2" t="str">
        <x:v>R3S3</x:v>
      </x:c>
      <x:c r="I105" s="2" t="str">
        <x:v>G104</x:v>
      </x:c>
      <x:c r="J105" s="2" t="str">
        <x:v>Guardian 104</x:v>
      </x:c>
      <x:c r="K105" s="2" t="str">
        <x:v>guardian104@example.invalid</x:v>
      </x:c>
      <x:c r="L105" s="2" t="str">
        <x:v>G104</x:v>
      </x:c>
      <x:c r="M105" s="2" t="str">
        <x:v>12167381f9b78201d830c40ef6208ce4</x:v>
      </x:c>
      <x:c r="N105" s="2" t="str">
        <x:v>Active</x:v>
      </x:c>
    </x:row>
    <x:row r="106" ht="21" customHeight="1">
      <x:c r="A106" s="2" t="str">
        <x:v>ST105</x:v>
      </x:c>
      <x:c r="B106" s="2" t="str">
        <x:v>Student 105</x:v>
      </x:c>
      <x:c r="C106" s="2" t="n">
        <x:v>2</x:v>
      </x:c>
      <x:c r="D106" s="2" t="str">
        <x:v>Junior</x:v>
      </x:c>
      <x:c r="E106" s="2" t="str">
        <x:v>Year 1</x:v>
      </x:c>
      <x:c r="F106" s="2" t="str">
        <x:v>BUS003</x:v>
      </x:c>
      <x:c r="G106" s="2" t="str">
        <x:v>R3</x:v>
      </x:c>
      <x:c r="H106" s="2" t="str">
        <x:v>R3S1</x:v>
      </x:c>
      <x:c r="I106" s="2" t="str">
        <x:v>G105</x:v>
      </x:c>
      <x:c r="J106" s="2" t="str">
        <x:v>Guardian 105</x:v>
      </x:c>
      <x:c r="K106" s="2" t="str">
        <x:v>guardian105@example.invalid</x:v>
      </x:c>
      <x:c r="L106" s="2" t="str">
        <x:v>G105</x:v>
      </x:c>
      <x:c r="M106" s="2" t="str">
        <x:v>bbd3ba75eaabf5ca3acef3823a75d885</x:v>
      </x:c>
      <x:c r="N106" s="2" t="str">
        <x:v>Active</x:v>
      </x:c>
    </x:row>
    <x:row r="107" ht="21" customHeight="1">
      <x:c r="A107" s="2" t="str">
        <x:v>ST106</x:v>
      </x:c>
      <x:c r="B107" s="2" t="str">
        <x:v>Student 106</x:v>
      </x:c>
      <x:c r="C107" s="2" t="n">
        <x:v>2</x:v>
      </x:c>
      <x:c r="D107" s="2" t="str">
        <x:v>Junior</x:v>
      </x:c>
      <x:c r="E107" s="2" t="str">
        <x:v>Year 2</x:v>
      </x:c>
      <x:c r="F107" s="2" t="str">
        <x:v>BUS003</x:v>
      </x:c>
      <x:c r="G107" s="2" t="str">
        <x:v>R3</x:v>
      </x:c>
      <x:c r="H107" s="2" t="str">
        <x:v>R3S2</x:v>
      </x:c>
      <x:c r="I107" s="2" t="str">
        <x:v>G106</x:v>
      </x:c>
      <x:c r="J107" s="2" t="str">
        <x:v>Guardian 106</x:v>
      </x:c>
      <x:c r="K107" s="2" t="str">
        <x:v>guardian106@example.invalid</x:v>
      </x:c>
      <x:c r="L107" s="2" t="str">
        <x:v>G106</x:v>
      </x:c>
      <x:c r="M107" s="2" t="str">
        <x:v>9bd191644f26d4fc266418c96f36f10b</x:v>
      </x:c>
      <x:c r="N107" s="2" t="str">
        <x:v>Active</x:v>
      </x:c>
    </x:row>
    <x:row r="108" ht="21" customHeight="1">
      <x:c r="A108" s="2" t="str">
        <x:v>ST107</x:v>
      </x:c>
      <x:c r="B108" s="2" t="str">
        <x:v>Student 107</x:v>
      </x:c>
      <x:c r="C108" s="2" t="n">
        <x:v>2</x:v>
      </x:c>
      <x:c r="D108" s="2" t="str">
        <x:v>Junior</x:v>
      </x:c>
      <x:c r="E108" s="2" t="str">
        <x:v>Year 3</x:v>
      </x:c>
      <x:c r="F108" s="2" t="str">
        <x:v>BUS003</x:v>
      </x:c>
      <x:c r="G108" s="2" t="str">
        <x:v>R3</x:v>
      </x:c>
      <x:c r="H108" s="2" t="str">
        <x:v>R3S3</x:v>
      </x:c>
      <x:c r="I108" s="2" t="str">
        <x:v>G107</x:v>
      </x:c>
      <x:c r="J108" s="2" t="str">
        <x:v>Guardian 107</x:v>
      </x:c>
      <x:c r="K108" s="2" t="str">
        <x:v>guardian107@example.invalid</x:v>
      </x:c>
      <x:c r="L108" s="2" t="str">
        <x:v>G107</x:v>
      </x:c>
      <x:c r="M108" s="2" t="str">
        <x:v>4a2bb35840a3b4fc7e804e2d710c14f4</x:v>
      </x:c>
      <x:c r="N108" s="2" t="str">
        <x:v>Active</x:v>
      </x:c>
    </x:row>
    <x:row r="109" ht="21" customHeight="1">
      <x:c r="A109" s="2" t="str">
        <x:v>ST108</x:v>
      </x:c>
      <x:c r="B109" s="2" t="str">
        <x:v>Student 108</x:v>
      </x:c>
      <x:c r="C109" s="2" t="n">
        <x:v>2</x:v>
      </x:c>
      <x:c r="D109" s="2" t="str">
        <x:v>Junior</x:v>
      </x:c>
      <x:c r="E109" s="2" t="str">
        <x:v>Year 1</x:v>
      </x:c>
      <x:c r="F109" s="2" t="str">
        <x:v>BUS003</x:v>
      </x:c>
      <x:c r="G109" s="2" t="str">
        <x:v>R3</x:v>
      </x:c>
      <x:c r="H109" s="2" t="str">
        <x:v>R3S1</x:v>
      </x:c>
      <x:c r="I109" s="2" t="str">
        <x:v>G108</x:v>
      </x:c>
      <x:c r="J109" s="2" t="str">
        <x:v>Guardian 108</x:v>
      </x:c>
      <x:c r="K109" s="2" t="str">
        <x:v>guardian108@example.invalid</x:v>
      </x:c>
      <x:c r="L109" s="2" t="str">
        <x:v>G108</x:v>
      </x:c>
      <x:c r="M109" s="2" t="str">
        <x:v>85ef3b20338dfa9afdf3ae5a4b1ced5c</x:v>
      </x:c>
      <x:c r="N109" s="2" t="str">
        <x:v>Active</x:v>
      </x:c>
    </x:row>
    <x:row r="110" ht="21" customHeight="1">
      <x:c r="A110" s="2" t="str">
        <x:v>ST109</x:v>
      </x:c>
      <x:c r="B110" s="2" t="str">
        <x:v>Student 109</x:v>
      </x:c>
      <x:c r="C110" s="2" t="n">
        <x:v>2</x:v>
      </x:c>
      <x:c r="D110" s="2" t="str">
        <x:v>Junior</x:v>
      </x:c>
      <x:c r="E110" s="2" t="str">
        <x:v>Year 2</x:v>
      </x:c>
      <x:c r="F110" s="2" t="str">
        <x:v>BUS003</x:v>
      </x:c>
      <x:c r="G110" s="2" t="str">
        <x:v>R3</x:v>
      </x:c>
      <x:c r="H110" s="2" t="str">
        <x:v>R3S2</x:v>
      </x:c>
      <x:c r="I110" s="2" t="str">
        <x:v>G109</x:v>
      </x:c>
      <x:c r="J110" s="2" t="str">
        <x:v>Guardian 109</x:v>
      </x:c>
      <x:c r="K110" s="2" t="str">
        <x:v>guardian109@example.invalid</x:v>
      </x:c>
      <x:c r="L110" s="2" t="str">
        <x:v>G109</x:v>
      </x:c>
      <x:c r="M110" s="2" t="str">
        <x:v>dfd493c800846e3efc35048335bd557b</x:v>
      </x:c>
      <x:c r="N110" s="2" t="str">
        <x:v>Active</x:v>
      </x:c>
    </x:row>
    <x:row r="111" ht="21" customHeight="1">
      <x:c r="A111" s="2" t="str">
        <x:v>ST110</x:v>
      </x:c>
      <x:c r="B111" s="2" t="str">
        <x:v>Student 110</x:v>
      </x:c>
      <x:c r="C111" s="2" t="n">
        <x:v>2</x:v>
      </x:c>
      <x:c r="D111" s="2" t="str">
        <x:v>Junior</x:v>
      </x:c>
      <x:c r="E111" s="2" t="str">
        <x:v>Year 3</x:v>
      </x:c>
      <x:c r="F111" s="2" t="str">
        <x:v>BUS003</x:v>
      </x:c>
      <x:c r="G111" s="2" t="str">
        <x:v>R3</x:v>
      </x:c>
      <x:c r="H111" s="2" t="str">
        <x:v>R3S3</x:v>
      </x:c>
      <x:c r="I111" s="2" t="str">
        <x:v>G110</x:v>
      </x:c>
      <x:c r="J111" s="2" t="str">
        <x:v>Guardian 110</x:v>
      </x:c>
      <x:c r="K111" s="2" t="str">
        <x:v>guardian110@example.invalid</x:v>
      </x:c>
      <x:c r="L111" s="2" t="str">
        <x:v>G110</x:v>
      </x:c>
      <x:c r="M111" s="2" t="str">
        <x:v>4382c0cdcda89fb8cc0f5b9fc03b4c51</x:v>
      </x:c>
      <x:c r="N111" s="2" t="str">
        <x:v>Active</x:v>
      </x:c>
    </x:row>
    <x:row r="112" ht="21" customHeight="1">
      <x:c r="A112" s="2" t="str">
        <x:v>ST111</x:v>
      </x:c>
      <x:c r="B112" s="2" t="str">
        <x:v>Student 111</x:v>
      </x:c>
      <x:c r="C112" s="2" t="n">
        <x:v>2</x:v>
      </x:c>
      <x:c r="D112" s="2" t="str">
        <x:v>Senior</x:v>
      </x:c>
      <x:c r="E112" s="2" t="str">
        <x:v>Year 9</x:v>
      </x:c>
      <x:c r="F112" s="2" t="str">
        <x:v>BUS003</x:v>
      </x:c>
      <x:c r="G112" s="2" t="str">
        <x:v>R3</x:v>
      </x:c>
      <x:c r="H112" s="2" t="str">
        <x:v>R3S1</x:v>
      </x:c>
      <x:c r="I112" s="2" t="str">
        <x:v>G111</x:v>
      </x:c>
      <x:c r="J112" s="2" t="str">
        <x:v>Guardian 111</x:v>
      </x:c>
      <x:c r="K112" s="2" t="str">
        <x:v>guardian111@example.invalid</x:v>
      </x:c>
      <x:c r="L112" s="2" t="str">
        <x:v>G111</x:v>
      </x:c>
      <x:c r="M112" s="2" t="str">
        <x:v>e6e9707385e7ee8edd3ac87243757eb2</x:v>
      </x:c>
      <x:c r="N112" s="2" t="str">
        <x:v>Active</x:v>
      </x:c>
    </x:row>
    <x:row r="113" ht="21" customHeight="1">
      <x:c r="A113" s="2" t="str">
        <x:v>ST112</x:v>
      </x:c>
      <x:c r="B113" s="2" t="str">
        <x:v>Student 112</x:v>
      </x:c>
      <x:c r="C113" s="2" t="n">
        <x:v>2</x:v>
      </x:c>
      <x:c r="D113" s="2" t="str">
        <x:v>Senior</x:v>
      </x:c>
      <x:c r="E113" s="2" t="str">
        <x:v>Year 10</x:v>
      </x:c>
      <x:c r="F113" s="2" t="str">
        <x:v>BUS003</x:v>
      </x:c>
      <x:c r="G113" s="2" t="str">
        <x:v>R3</x:v>
      </x:c>
      <x:c r="H113" s="2" t="str">
        <x:v>R3S2</x:v>
      </x:c>
      <x:c r="I113" s="2" t="str">
        <x:v>G112</x:v>
      </x:c>
      <x:c r="J113" s="2" t="str">
        <x:v>Guardian 112</x:v>
      </x:c>
      <x:c r="K113" s="2" t="str">
        <x:v>guardian112@example.invalid</x:v>
      </x:c>
      <x:c r="L113" s="2" t="str">
        <x:v>G112</x:v>
      </x:c>
      <x:c r="M113" s="2" t="str">
        <x:v>ca020aefc0d912af9ddca5c7ca7a2f51</x:v>
      </x:c>
      <x:c r="N113" s="2" t="str">
        <x:v>Active</x:v>
      </x:c>
    </x:row>
    <x:row r="114" ht="21" customHeight="1">
      <x:c r="A114" s="2" t="str">
        <x:v>ST113</x:v>
      </x:c>
      <x:c r="B114" s="2" t="str">
        <x:v>Student 113</x:v>
      </x:c>
      <x:c r="C114" s="2" t="n">
        <x:v>2</x:v>
      </x:c>
      <x:c r="D114" s="2" t="str">
        <x:v>Senior</x:v>
      </x:c>
      <x:c r="E114" s="2" t="str">
        <x:v>Year 7</x:v>
      </x:c>
      <x:c r="F114" s="2" t="str">
        <x:v>BUS003</x:v>
      </x:c>
      <x:c r="G114" s="2" t="str">
        <x:v>R3</x:v>
      </x:c>
      <x:c r="H114" s="2" t="str">
        <x:v>R3S3</x:v>
      </x:c>
      <x:c r="I114" s="2" t="str">
        <x:v>G113</x:v>
      </x:c>
      <x:c r="J114" s="2" t="str">
        <x:v>Guardian 113</x:v>
      </x:c>
      <x:c r="K114" s="2" t="str">
        <x:v>guardian113@example.invalid</x:v>
      </x:c>
      <x:c r="L114" s="2" t="str">
        <x:v>G113</x:v>
      </x:c>
      <x:c r="M114" s="2" t="str">
        <x:v>c3781e168737a6cc1190d4415801c440</x:v>
      </x:c>
      <x:c r="N114" s="2" t="str">
        <x:v>Active</x:v>
      </x:c>
    </x:row>
    <x:row r="115" ht="21" customHeight="1">
      <x:c r="A115" s="2" t="str">
        <x:v>ST114</x:v>
      </x:c>
      <x:c r="B115" s="2" t="str">
        <x:v>Student 114</x:v>
      </x:c>
      <x:c r="C115" s="2" t="n">
        <x:v>2</x:v>
      </x:c>
      <x:c r="D115" s="2" t="str">
        <x:v>Senior</x:v>
      </x:c>
      <x:c r="E115" s="2" t="str">
        <x:v>Year 8</x:v>
      </x:c>
      <x:c r="F115" s="2" t="str">
        <x:v>BUS003</x:v>
      </x:c>
      <x:c r="G115" s="2" t="str">
        <x:v>R3</x:v>
      </x:c>
      <x:c r="H115" s="2" t="str">
        <x:v>R3S1</x:v>
      </x:c>
      <x:c r="I115" s="2" t="str">
        <x:v>G114</x:v>
      </x:c>
      <x:c r="J115" s="2" t="str">
        <x:v>Guardian 114</x:v>
      </x:c>
      <x:c r="K115" s="2" t="str">
        <x:v>guardian114@example.invalid</x:v>
      </x:c>
      <x:c r="L115" s="2" t="str">
        <x:v>G114</x:v>
      </x:c>
      <x:c r="M115" s="2" t="str">
        <x:v>a5c77bf3b082c3ab825b65c34f1c9f8c</x:v>
      </x:c>
      <x:c r="N115" s="2" t="str">
        <x:v>Active</x:v>
      </x:c>
    </x:row>
    <x:row r="116" ht="21" customHeight="1">
      <x:c r="A116" s="2" t="str">
        <x:v>ST115</x:v>
      </x:c>
      <x:c r="B116" s="2" t="str">
        <x:v>Student 115</x:v>
      </x:c>
      <x:c r="C116" s="2" t="n">
        <x:v>2</x:v>
      </x:c>
      <x:c r="D116" s="2" t="str">
        <x:v>Senior</x:v>
      </x:c>
      <x:c r="E116" s="2" t="str">
        <x:v>Year 9</x:v>
      </x:c>
      <x:c r="F116" s="2" t="str">
        <x:v>BUS003</x:v>
      </x:c>
      <x:c r="G116" s="2" t="str">
        <x:v>R3</x:v>
      </x:c>
      <x:c r="H116" s="2" t="str">
        <x:v>R3S2</x:v>
      </x:c>
      <x:c r="I116" s="2" t="str">
        <x:v>G115</x:v>
      </x:c>
      <x:c r="J116" s="2" t="str">
        <x:v>Guardian 115</x:v>
      </x:c>
      <x:c r="K116" s="2" t="str">
        <x:v>guardian115@example.invalid</x:v>
      </x:c>
      <x:c r="L116" s="2" t="str">
        <x:v>G115</x:v>
      </x:c>
      <x:c r="M116" s="2" t="str">
        <x:v>dc951b9fd5f4acb1dc2ce3ca2f2e08ab</x:v>
      </x:c>
      <x:c r="N116" s="2" t="str">
        <x:v>Active</x:v>
      </x:c>
    </x:row>
    <x:row r="117" ht="21" customHeight="1">
      <x:c r="A117" s="2" t="str">
        <x:v>ST116</x:v>
      </x:c>
      <x:c r="B117" s="2" t="str">
        <x:v>Student 116</x:v>
      </x:c>
      <x:c r="C117" s="2" t="n">
        <x:v>2</x:v>
      </x:c>
      <x:c r="D117" s="2" t="str">
        <x:v>Senior</x:v>
      </x:c>
      <x:c r="E117" s="2" t="str">
        <x:v>Year 10</x:v>
      </x:c>
      <x:c r="F117" s="2" t="str">
        <x:v>BUS003</x:v>
      </x:c>
      <x:c r="G117" s="2" t="str">
        <x:v>R3</x:v>
      </x:c>
      <x:c r="H117" s="2" t="str">
        <x:v>R3S3</x:v>
      </x:c>
      <x:c r="I117" s="2" t="str">
        <x:v>G116</x:v>
      </x:c>
      <x:c r="J117" s="2" t="str">
        <x:v>Guardian 116</x:v>
      </x:c>
      <x:c r="K117" s="2" t="str">
        <x:v>guardian116@example.invalid</x:v>
      </x:c>
      <x:c r="L117" s="2" t="str">
        <x:v>G116</x:v>
      </x:c>
      <x:c r="M117" s="2" t="str">
        <x:v>1c1fddc89afc564845795907cf1b7b0e</x:v>
      </x:c>
      <x:c r="N117" s="2" t="str">
        <x:v>Active</x:v>
      </x:c>
    </x:row>
    <x:row r="118" ht="21" customHeight="1">
      <x:c r="A118" s="2" t="str">
        <x:v>ST117</x:v>
      </x:c>
      <x:c r="B118" s="2" t="str">
        <x:v>Student 117</x:v>
      </x:c>
      <x:c r="C118" s="2" t="n">
        <x:v>2</x:v>
      </x:c>
      <x:c r="D118" s="2" t="str">
        <x:v>Senior</x:v>
      </x:c>
      <x:c r="E118" s="2" t="str">
        <x:v>Year 7</x:v>
      </x:c>
      <x:c r="F118" s="2" t="str">
        <x:v>BUS003</x:v>
      </x:c>
      <x:c r="G118" s="2" t="str">
        <x:v>R3</x:v>
      </x:c>
      <x:c r="H118" s="2" t="str">
        <x:v>R3S1</x:v>
      </x:c>
      <x:c r="I118" s="2" t="str">
        <x:v>G117</x:v>
      </x:c>
      <x:c r="J118" s="2" t="str">
        <x:v>Guardian 117</x:v>
      </x:c>
      <x:c r="K118" s="2" t="str">
        <x:v>guardian117@example.invalid</x:v>
      </x:c>
      <x:c r="L118" s="2" t="str">
        <x:v>G117</x:v>
      </x:c>
      <x:c r="M118" s="2" t="str">
        <x:v>195a54aea4adbe89371209e73878e4fe</x:v>
      </x:c>
      <x:c r="N118" s="2" t="str">
        <x:v>Active</x:v>
      </x:c>
    </x:row>
    <x:row r="119" ht="21" customHeight="1">
      <x:c r="A119" s="2" t="str">
        <x:v>ST118</x:v>
      </x:c>
      <x:c r="B119" s="2" t="str">
        <x:v>Student 118</x:v>
      </x:c>
      <x:c r="C119" s="2" t="n">
        <x:v>2</x:v>
      </x:c>
      <x:c r="D119" s="2" t="str">
        <x:v>Senior</x:v>
      </x:c>
      <x:c r="E119" s="2" t="str">
        <x:v>Year 8</x:v>
      </x:c>
      <x:c r="F119" s="2" t="str">
        <x:v>BUS003</x:v>
      </x:c>
      <x:c r="G119" s="2" t="str">
        <x:v>R3</x:v>
      </x:c>
      <x:c r="H119" s="2" t="str">
        <x:v>R3S2</x:v>
      </x:c>
      <x:c r="I119" s="2" t="str">
        <x:v>G118</x:v>
      </x:c>
      <x:c r="J119" s="2" t="str">
        <x:v>Guardian 118</x:v>
      </x:c>
      <x:c r="K119" s="2" t="str">
        <x:v>guardian118@example.invalid</x:v>
      </x:c>
      <x:c r="L119" s="2" t="str">
        <x:v>G118</x:v>
      </x:c>
      <x:c r="M119" s="2" t="str">
        <x:v>b15012a6111b47a10bdbbcbbd00c9f60</x:v>
      </x:c>
      <x:c r="N119" s="2" t="str">
        <x:v>Active</x:v>
      </x:c>
    </x:row>
    <x:row r="120" ht="21" customHeight="1">
      <x:c r="A120" s="2" t="str">
        <x:v>ST119</x:v>
      </x:c>
      <x:c r="B120" s="2" t="str">
        <x:v>Student 119</x:v>
      </x:c>
      <x:c r="C120" s="2" t="n">
        <x:v>2</x:v>
      </x:c>
      <x:c r="D120" s="2" t="str">
        <x:v>Senior</x:v>
      </x:c>
      <x:c r="E120" s="2" t="str">
        <x:v>Year 9</x:v>
      </x:c>
      <x:c r="F120" s="2" t="str">
        <x:v>BUS003</x:v>
      </x:c>
      <x:c r="G120" s="2" t="str">
        <x:v>R3</x:v>
      </x:c>
      <x:c r="H120" s="2" t="str">
        <x:v>R3S3</x:v>
      </x:c>
      <x:c r="I120" s="2" t="str">
        <x:v>G119</x:v>
      </x:c>
      <x:c r="J120" s="2" t="str">
        <x:v>Guardian 119</x:v>
      </x:c>
      <x:c r="K120" s="2" t="str">
        <x:v>guardian119@example.invalid</x:v>
      </x:c>
      <x:c r="L120" s="2" t="str">
        <x:v>G119</x:v>
      </x:c>
      <x:c r="M120" s="2" t="str">
        <x:v>c01a05a48293e3b7c907c4b326c0d0a8</x:v>
      </x:c>
      <x:c r="N120" s="2" t="str">
        <x:v>Active</x:v>
      </x:c>
    </x:row>
    <x:row r="121" ht="21" customHeight="1">
      <x:c r="A121" s="2" t="str">
        <x:v>ST120</x:v>
      </x:c>
      <x:c r="B121" s="2" t="str">
        <x:v>Student 120</x:v>
      </x:c>
      <x:c r="C121" s="2" t="n">
        <x:v>2</x:v>
      </x:c>
      <x:c r="D121" s="2" t="str">
        <x:v>Senior</x:v>
      </x:c>
      <x:c r="E121" s="2" t="str">
        <x:v>Year 10</x:v>
      </x:c>
      <x:c r="F121" s="2" t="str">
        <x:v>BUS003</x:v>
      </x:c>
      <x:c r="G121" s="2" t="str">
        <x:v>R3</x:v>
      </x:c>
      <x:c r="H121" s="2" t="str">
        <x:v>R3S1</x:v>
      </x:c>
      <x:c r="I121" s="2" t="str">
        <x:v>G120</x:v>
      </x:c>
      <x:c r="J121" s="2" t="str">
        <x:v>Guardian 120</x:v>
      </x:c>
      <x:c r="K121" s="2" t="str">
        <x:v>guardian120@example.invalid</x:v>
      </x:c>
      <x:c r="L121" s="2" t="str">
        <x:v>G120</x:v>
      </x:c>
      <x:c r="M121" s="2" t="str">
        <x:v>c3749f3342e76b516e5c145f91308219</x:v>
      </x:c>
      <x:c r="N121" s="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fc12e8822b17457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17" hidden="0" customWidth="1"/>
    <x:col min="5" max="5" width="17" hidden="0" customWidth="1"/>
  </x:cols>
  <x:sheetData>
    <x:row r="1" ht="34" customHeight="1">
      <x:c r="A1" s="6" t="str">
        <x:v>Location_ID</x:v>
      </x:c>
      <x:c r="B1" s="6" t="str">
        <x:v>Location_Name</x:v>
      </x:c>
      <x:c r="C1" s="6" t="str">
        <x:v>Location_Type</x:v>
      </x:c>
      <x:c r="D1" s="6" t="str">
        <x:v>Latitude</x:v>
      </x:c>
      <x:c r="E1" s="6" t="str">
        <x:v>Longitude</x:v>
      </x:c>
    </x:row>
    <x:row r="2" ht="21" customHeight="1">
      <x:c r="A2" s="2" t="str">
        <x:v>SCH01</x:v>
      </x:c>
      <x:c r="B2" s="2" t="str">
        <x:v>School campus demo</x:v>
      </x:c>
      <x:c r="C2" s="2" t="str">
        <x:v>School</x:v>
      </x:c>
      <x:c r="D2" s="9" t="n">
        <x:v>25.285</x:v>
      </x:c>
      <x:c r="E2" s="9" t="n">
        <x:v>51.51</x:v>
      </x:c>
    </x:row>
    <x:row r="3" ht="21" customHeight="1">
      <x:c r="A3" s="2" t="str">
        <x:v>DEP01</x:v>
      </x:c>
      <x:c r="B3" s="2" t="str">
        <x:v>Bus depot demo</x:v>
      </x:c>
      <x:c r="C3" s="2" t="str">
        <x:v>Depot</x:v>
      </x:c>
      <x:c r="D3" s="9" t="n">
        <x:v>25.276</x:v>
      </x:c>
      <x:c r="E3" s="9" t="n">
        <x:v>51.498</x:v>
      </x:c>
    </x:row>
    <x:row r="4" ht="21" customHeight="1">
      <x:c r="A4" s="2" t="str">
        <x:v>R1S1</x:v>
      </x:c>
      <x:c r="B4" s="2" t="str">
        <x:v>Route 1 Stop 1 demo</x:v>
      </x:c>
      <x:c r="C4" s="2" t="str">
        <x:v>Home stop</x:v>
      </x:c>
      <x:c r="D4" s="9" t="n">
        <x:v>25.271</x:v>
      </x:c>
      <x:c r="E4" s="9" t="n">
        <x:v>51.491</x:v>
      </x:c>
    </x:row>
    <x:row r="5" ht="21" customHeight="1">
      <x:c r="A5" s="2" t="str">
        <x:v>R1S2</x:v>
      </x:c>
      <x:c r="B5" s="2" t="str">
        <x:v>Route 1 Stop 2 demo</x:v>
      </x:c>
      <x:c r="C5" s="2" t="str">
        <x:v>Home stop</x:v>
      </x:c>
      <x:c r="D5" s="9" t="n">
        <x:v>25.273000000000003</x:v>
      </x:c>
      <x:c r="E5" s="9" t="n">
        <x:v>51.494</x:v>
      </x:c>
    </x:row>
    <x:row r="6" ht="21" customHeight="1">
      <x:c r="A6" s="2" t="str">
        <x:v>R1S3</x:v>
      </x:c>
      <x:c r="B6" s="2" t="str">
        <x:v>Route 1 Stop 3 demo</x:v>
      </x:c>
      <x:c r="C6" s="2" t="str">
        <x:v>Home stop</x:v>
      </x:c>
      <x:c r="D6" s="9" t="n">
        <x:v>25.275000000000002</x:v>
      </x:c>
      <x:c r="E6" s="9" t="n">
        <x:v>51.497</x:v>
      </x:c>
    </x:row>
    <x:row r="7" ht="21" customHeight="1">
      <x:c r="A7" s="2" t="str">
        <x:v>R2S1</x:v>
      </x:c>
      <x:c r="B7" s="2" t="str">
        <x:v>Route 2 Stop 1 demo</x:v>
      </x:c>
      <x:c r="C7" s="2" t="str">
        <x:v>Home stop</x:v>
      </x:c>
      <x:c r="D7" s="9" t="n">
        <x:v>25.28</x:v>
      </x:c>
      <x:c r="E7" s="9" t="n">
        <x:v>51.498999999999995</x:v>
      </x:c>
    </x:row>
    <x:row r="8" ht="21" customHeight="1">
      <x:c r="A8" s="2" t="str">
        <x:v>R2S2</x:v>
      </x:c>
      <x:c r="B8" s="2" t="str">
        <x:v>Route 2 Stop 2 demo</x:v>
      </x:c>
      <x:c r="C8" s="2" t="str">
        <x:v>Home stop</x:v>
      </x:c>
      <x:c r="D8" s="9" t="n">
        <x:v>25.282000000000004</x:v>
      </x:c>
      <x:c r="E8" s="9" t="n">
        <x:v>51.501999999999995</x:v>
      </x:c>
    </x:row>
    <x:row r="9" ht="21" customHeight="1">
      <x:c r="A9" s="2" t="str">
        <x:v>R2S3</x:v>
      </x:c>
      <x:c r="B9" s="2" t="str">
        <x:v>Route 2 Stop 3 demo</x:v>
      </x:c>
      <x:c r="C9" s="2" t="str">
        <x:v>Home stop</x:v>
      </x:c>
      <x:c r="D9" s="9" t="n">
        <x:v>25.284000000000002</x:v>
      </x:c>
      <x:c r="E9" s="9" t="n">
        <x:v>51.504999999999995</x:v>
      </x:c>
    </x:row>
    <x:row r="10" ht="21" customHeight="1">
      <x:c r="A10" s="2" t="str">
        <x:v>R3S1</x:v>
      </x:c>
      <x:c r="B10" s="2" t="str">
        <x:v>Route 3 Stop 1 demo</x:v>
      </x:c>
      <x:c r="C10" s="2" t="str">
        <x:v>Home stop</x:v>
      </x:c>
      <x:c r="D10" s="9" t="n">
        <x:v>25.289</x:v>
      </x:c>
      <x:c r="E10" s="9" t="n">
        <x:v>51.507</x:v>
      </x:c>
    </x:row>
    <x:row r="11" ht="21" customHeight="1">
      <x:c r="A11" s="2" t="str">
        <x:v>R3S2</x:v>
      </x:c>
      <x:c r="B11" s="2" t="str">
        <x:v>Route 3 Stop 2 demo</x:v>
      </x:c>
      <x:c r="C11" s="2" t="str">
        <x:v>Home stop</x:v>
      </x:c>
      <x:c r="D11" s="9" t="n">
        <x:v>25.291000000000004</x:v>
      </x:c>
      <x:c r="E11" s="9" t="n">
        <x:v>51.51</x:v>
      </x:c>
    </x:row>
    <x:row r="12" ht="21" customHeight="1">
      <x:c r="A12" s="2" t="str">
        <x:v>R3S3</x:v>
      </x:c>
      <x:c r="B12" s="2" t="str">
        <x:v>Route 3 Stop 3 demo</x:v>
      </x:c>
      <x:c r="C12" s="2" t="str">
        <x:v>Home stop</x:v>
      </x:c>
      <x:c r="D12" s="9" t="n">
        <x:v>25.293000000000003</x:v>
      </x:c>
      <x:c r="E12" s="9" t="n">
        <x:v>51.513</x:v>
      </x:c>
    </x:row>
  </x:sheetData>
  <x:pageMargins left="0.7" right="0.7" top="0.75" bottom="0.75" header="0.3" footer="0.3"/>
  <x:tableParts count="1">
    <x:tablePart xmlns:r="http://schemas.openxmlformats.org/officeDocument/2006/relationships" r:id="R533319f4adde424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40" hidden="0" customWidth="1"/>
    <x:col min="6" max="6" width="27" hidden="0" customWidth="1"/>
  </x:cols>
  <x:sheetData>
    <x:row r="1" ht="34" customHeight="1">
      <x:c r="A1" s="6" t="str">
        <x:v>Crew_ID</x:v>
      </x:c>
      <x:c r="B1" s="6" t="str">
        <x:v>Crew_Name</x:v>
      </x:c>
      <x:c r="C1" s="6" t="str">
        <x:v>Role</x:v>
      </x:c>
      <x:c r="D1" s="6" t="str">
        <x:v>Assigned_Bus_ID</x:v>
      </x:c>
      <x:c r="E1" s="6" t="str">
        <x:v>Demo_Email</x:v>
      </x:c>
      <x:c r="F1" s="6" t="str">
        <x:v>Status</x:v>
      </x:c>
    </x:row>
    <x:row r="2" ht="21" customHeight="1">
      <x:c r="A2" s="2" t="str">
        <x:v>D001</x:v>
      </x:c>
      <x:c r="B2" s="2" t="str">
        <x:v>Driver Demo 1</x:v>
      </x:c>
      <x:c r="C2" s="2" t="str">
        <x:v>Driver</x:v>
      </x:c>
      <x:c r="D2" s="2" t="str">
        <x:v>BUS001</x:v>
      </x:c>
      <x:c r="E2" s="2" t="str">
        <x:v>d1@example.invalid</x:v>
      </x:c>
      <x:c r="F2" s="2" t="str">
        <x:v>Active</x:v>
      </x:c>
    </x:row>
    <x:row r="3" ht="21" customHeight="1">
      <x:c r="A3" s="2" t="str">
        <x:v>S001</x:v>
      </x:c>
      <x:c r="B3" s="2" t="str">
        <x:v>Supervisor Demo 1</x:v>
      </x:c>
      <x:c r="C3" s="2" t="str">
        <x:v>Supervisor</x:v>
      </x:c>
      <x:c r="D3" s="2" t="str">
        <x:v>BUS001</x:v>
      </x:c>
      <x:c r="E3" s="2" t="str">
        <x:v>s1@example.invalid</x:v>
      </x:c>
      <x:c r="F3" s="2" t="str">
        <x:v>Active</x:v>
      </x:c>
    </x:row>
    <x:row r="4" ht="21" customHeight="1">
      <x:c r="A4" s="2" t="str">
        <x:v>C001</x:v>
      </x:c>
      <x:c r="B4" s="2" t="str">
        <x:v>Care-taker Demo 1</x:v>
      </x:c>
      <x:c r="C4" s="2" t="str">
        <x:v>Care-taker</x:v>
      </x:c>
      <x:c r="D4" s="2" t="str">
        <x:v>BUS001</x:v>
      </x:c>
      <x:c r="E4" s="2" t="str">
        <x:v>c1@example.invalid</x:v>
      </x:c>
      <x:c r="F4" s="2" t="str">
        <x:v>Active</x:v>
      </x:c>
    </x:row>
    <x:row r="5" ht="21" customHeight="1">
      <x:c r="A5" s="2" t="str">
        <x:v>D002</x:v>
      </x:c>
      <x:c r="B5" s="2" t="str">
        <x:v>Driver Demo 2</x:v>
      </x:c>
      <x:c r="C5" s="2" t="str">
        <x:v>Driver</x:v>
      </x:c>
      <x:c r="D5" s="2" t="str">
        <x:v>BUS002</x:v>
      </x:c>
      <x:c r="E5" s="2" t="str">
        <x:v>d2@example.invalid</x:v>
      </x:c>
      <x:c r="F5" s="2" t="str">
        <x:v>Active</x:v>
      </x:c>
    </x:row>
    <x:row r="6" ht="21" customHeight="1">
      <x:c r="A6" s="2" t="str">
        <x:v>S002</x:v>
      </x:c>
      <x:c r="B6" s="2" t="str">
        <x:v>Supervisor Demo 2</x:v>
      </x:c>
      <x:c r="C6" s="2" t="str">
        <x:v>Supervisor</x:v>
      </x:c>
      <x:c r="D6" s="2" t="str">
        <x:v>BUS002</x:v>
      </x:c>
      <x:c r="E6" s="2" t="str">
        <x:v>s2@example.invalid</x:v>
      </x:c>
      <x:c r="F6" s="2" t="str">
        <x:v>Active</x:v>
      </x:c>
    </x:row>
    <x:row r="7" ht="21" customHeight="1">
      <x:c r="A7" s="2" t="str">
        <x:v>C002</x:v>
      </x:c>
      <x:c r="B7" s="2" t="str">
        <x:v>Care-taker Demo 2</x:v>
      </x:c>
      <x:c r="C7" s="2" t="str">
        <x:v>Care-taker</x:v>
      </x:c>
      <x:c r="D7" s="2" t="str">
        <x:v>BUS002</x:v>
      </x:c>
      <x:c r="E7" s="2" t="str">
        <x:v>c2@example.invalid</x:v>
      </x:c>
      <x:c r="F7" s="2" t="str">
        <x:v>Active</x:v>
      </x:c>
    </x:row>
    <x:row r="8" ht="21" customHeight="1">
      <x:c r="A8" s="2" t="str">
        <x:v>D003</x:v>
      </x:c>
      <x:c r="B8" s="2" t="str">
        <x:v>Driver Demo 3</x:v>
      </x:c>
      <x:c r="C8" s="2" t="str">
        <x:v>Driver</x:v>
      </x:c>
      <x:c r="D8" s="2" t="str">
        <x:v>BUS003</x:v>
      </x:c>
      <x:c r="E8" s="2" t="str">
        <x:v>d3@example.invalid</x:v>
      </x:c>
      <x:c r="F8" s="2" t="str">
        <x:v>Active</x:v>
      </x:c>
    </x:row>
    <x:row r="9" ht="21" customHeight="1">
      <x:c r="A9" s="2" t="str">
        <x:v>S003</x:v>
      </x:c>
      <x:c r="B9" s="2" t="str">
        <x:v>Supervisor Demo 3</x:v>
      </x:c>
      <x:c r="C9" s="2" t="str">
        <x:v>Supervisor</x:v>
      </x:c>
      <x:c r="D9" s="2" t="str">
        <x:v>BUS003</x:v>
      </x:c>
      <x:c r="E9" s="2" t="str">
        <x:v>s3@example.invalid</x:v>
      </x:c>
      <x:c r="F9" s="2" t="str">
        <x:v>Active</x:v>
      </x:c>
    </x:row>
    <x:row r="10" ht="21" customHeight="1">
      <x:c r="A10" s="2" t="str">
        <x:v>C003</x:v>
      </x:c>
      <x:c r="B10" s="2" t="str">
        <x:v>Care-taker Demo 3</x:v>
      </x:c>
      <x:c r="C10" s="2" t="str">
        <x:v>Care-taker</x:v>
      </x:c>
      <x:c r="D10" s="2" t="str">
        <x:v>BUS003</x:v>
      </x:c>
      <x:c r="E10" s="2" t="str">
        <x:v>c3@example.invalid</x:v>
      </x:c>
      <x:c r="F10" s="2" t="str">
        <x:v>Active</x:v>
      </x:c>
    </x:row>
    <x:row r="11" ht="21" customHeight="1">
      <x:c r="A11" s="2" t="str">
        <x:v>M001</x:v>
      </x:c>
      <x:c r="B11" s="2" t="str">
        <x:v>Transport Manager Demo</x:v>
      </x:c>
      <x:c r="C11" s="2" t="str">
        <x:v>Transport manager</x:v>
      </x:c>
      <x:c r="D11" s="2"/>
      <x:c r="E11" s="2" t="str">
        <x:v>manager@example.invalid</x:v>
      </x:c>
      <x:c r="F11" s="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70e45b0a701c450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9" hidden="0" customWidth="1"/>
    <x:col min="2" max="2" width="112" hidden="0" customWidth="1"/>
  </x:cols>
  <x:sheetData>
    <x:row r="1" ht="34" customHeight="1">
      <x:c r="A1" s="6" t="str">
        <x:v>Topic</x:v>
      </x:c>
      <x:c r="B1" s="6" t="str">
        <x:v>Definition</x:v>
      </x:c>
    </x:row>
    <x:row r="2" ht="36" customHeight="1">
      <x:c r="A2" s="2" t="str">
        <x:v>Dataset</x:v>
      </x:c>
      <x:c r="B2" s="16" t="str">
        <x:v>Synthetic operational sample. Not actual school, student or vehicle activity.</x:v>
      </x:c>
    </x:row>
    <x:row r="3" ht="36" customHeight="1">
      <x:c r="A3" s="2" t="str">
        <x:v>Period</x:v>
      </x:c>
      <x:c r="B3" s="16" t="str">
        <x:v>4 to 8 October 2026. Five consecutive sample dates. No real school holiday calendar is assumed.</x:v>
      </x:c>
    </x:row>
    <x:row r="4" ht="36" customHeight="1">
      <x:c r="A4" s="2" t="str">
        <x:v>Timezone</x:v>
      </x:c>
      <x:c r="B4" s="16" t="str">
        <x:v>All numeric date/time cells contain Qatar local wall time (UTC+03:00). For APIs, serialize with +03:00, not Z.</x:v>
      </x:c>
    </x:row>
    <x:row r="5" ht="36" customHeight="1">
      <x:c r="A5" s="2" t="str">
        <x:v>Population</x:v>
      </x:c>
      <x:c r="B5" s="16" t="str">
        <x:v>120 students. 3 buses. Each bus carries 10 students per batch/group (Batch 1 Junior, Batch 1 Senior, Batch 2 Junior, Batch 2 Senior).</x:v>
      </x:c>
    </x:row>
    <x:row r="6" ht="36" customHeight="1">
      <x:c r="A6" s="2" t="str">
        <x:v>Capacity</x:v>
      </x:c>
      <x:c r="B6" s="16" t="str">
        <x:v>40 student seats per demo bus. Peak occupancy is at most 20 because Trip 2 drop-off completes before Batch 2 pickup begins.</x:v>
      </x:c>
    </x:row>
    <x:row r="7" ht="36" customHeight="1">
      <x:c r="A7" s="2" t="str">
        <x:v>Trip_ID</x:v>
      </x:c>
      <x:c r="B7" s="16" t="str">
        <x:v>Unique vehicle journey per service date, trip number and bus. Example T20261004-2-1.</x:v>
      </x:c>
    </x:row>
    <x:row r="8" ht="36" customHeight="1">
      <x:c r="A8" s="2" t="str">
        <x:v>Line_ID</x:v>
      </x:c>
      <x:c r="B8" s="16" t="str">
        <x:v>One student transport leg on one trip. Pickup and drop-off have separate lines; an absence still has a planned line.</x:v>
      </x:c>
    </x:row>
    <x:row r="9" ht="36" customHeight="1">
      <x:c r="A9" s="2" t="str">
        <x:v>Movement_Purpose</x:v>
      </x:c>
      <x:c r="B9" s="16" t="str">
        <x:v>Pickup means home to school; Drop-off means school to home. Batch and Student_Group distinguish Trip 2 populations.</x:v>
      </x:c>
    </x:row>
    <x:row r="10" ht="36" customHeight="1">
      <x:c r="A10" s="2" t="str">
        <x:v>Event_ID</x:v>
      </x:c>
      <x:c r="B10" s="16" t="str">
        <x:v>Unique scan attempt. ScanEvents includes rejected attempts; Accepted=1 affects occupancy or messages; 0 means rejected.</x:v>
      </x:c>
    </x:row>
    <x:row r="11" ht="36" customHeight="1">
      <x:c r="A11" s="2" t="str">
        <x:v>Join rules</x:v>
      </x:c>
      <x:c r="B11" s="16" t="str">
        <x:v>StudentTrips.Trip_ID -&gt; Trips.Trip_ID; Student_ID -&gt; Students.Student_ID; entry/exit event IDs -&gt; ScanEvents.Event_ID.</x:v>
      </x:c>
    </x:row>
    <x:row r="12" ht="36" customHeight="1">
      <x:c r="A12" s="2" t="str">
        <x:v>Location joins</x:v>
      </x:c>
      <x:c r="B12" s="16" t="str">
        <x:v>Location_ID -&gt; Locations.Location_ID. Coordinates are fabricated Doha-area points, not verified addresses or route guidance.</x:v>
      </x:c>
    </x:row>
    <x:row r="13" ht="36" customHeight="1">
      <x:c r="A13" s="2" t="str">
        <x:v>Crew joins</x:v>
      </x:c>
      <x:c r="B13" s="16" t="str">
        <x:v>Driver_ID, Supervisor_ID, Caretaker_ID, Sweep_Performer_ID and Operator_ID -&gt; Crew.Crew_ID. All staff are fictional.</x:v>
      </x:c>
    </x:row>
    <x:row r="14" ht="36" customHeight="1">
      <x:c r="A14" s="2" t="str">
        <x:v>Guardian joins</x:v>
      </x:c>
      <x:c r="B14" s="16" t="str">
        <x:v>Guardian_ID and authorized recipient IDs -&gt; Students guardian fields. School receiver is demo identifier SCHOOL_RECEIVER_01.</x:v>
      </x:c>
    </x:row>
    <x:row r="15" ht="36" customHeight="1">
      <x:c r="A15" s="2" t="str">
        <x:v>Blank cells</x:v>
      </x:c>
      <x:c r="B15" s="16" t="str">
        <x:v>A blank scan or time is missing or not applicable. Absences and cancellations have no scans. An onboard line has entry but no exit or handover.</x:v>
      </x:c>
    </x:row>
    <x:row r="16" ht="36" customHeight="1">
      <x:c r="A16" s="2" t="str">
        <x:v>Planned versus actual</x:v>
      </x:c>
      <x:c r="B16" s="16" t="str">
        <x:v>Operating windows match the supplied five-trip schedule. Trip 3 ends at 2:29 PM to permit the same bus to start Trip 4 at 2:30 PM.</x:v>
      </x:c>
    </x:row>
    <x:row r="17" ht="36" customHeight="1">
      <x:c r="A17" s="2" t="str">
        <x:v>Trip endpoints</x:v>
      </x:c>
      <x:c r="B17" s="16" t="str">
        <x:v>Trip 1 starts at depot. Trips 2 to 5 start at school. Trips 1 to 3 finish at school; Trips 4 and 5 at depot. These endpoints are demo assumptions.</x:v>
      </x:c>
    </x:row>
    <x:row r="18" ht="36" customHeight="1">
      <x:c r="A18" s="2" t="str">
        <x:v>Peak_Onboard_Snapshot</x:v>
      </x:c>
      <x:c r="B18" s="16" t="str">
        <x:v>Static generation-time result from ordered accepted events. Recompute from ScanEvents after changing scan data. Do not sum peaks across time.</x:v>
      </x:c>
    </x:row>
    <x:row r="19" ht="36" customHeight="1">
      <x:c r="A19" s="2" t="str">
        <x:v>Live formulas</x:v>
      </x:c>
      <x:c r="B19" s="16" t="str">
        <x:v>Trips planned, boarded, exited, onboard, absence, no-show and cancellation counts are formulas from StudentTrips. Journey_Minutes is exit minus entry. Summary reads those counts.</x:v>
      </x:c>
    </x:row>
    <x:row r="20" ht="36" customHeight="1">
      <x:c r="A20" s="2" t="str">
        <x:v>Formula range limit</x:v>
      </x:c>
      <x:c r="B20" s="16" t="str">
        <x:v>Summary and trip formulas cover this fixed sample only. Extend bounded ranges if appending records. Synthetic source rows do not regenerate when edited.</x:v>
      </x:c>
    </x:row>
    <x:row r="21" ht="36" customHeight="1">
      <x:c r="A21" s="2" t="str">
        <x:v>Capture and receipt</x:v>
      </x:c>
      <x:c r="B21" s="16" t="str">
        <x:v>Capture_Time is the movement time. Server_Receipt_Time records ingestion. Offline examples sync 15 minutes later. Device_Sequence is chronological per trip/device.</x:v>
      </x:c>
    </x:row>
    <x:row r="22" ht="36" customHeight="1">
      <x:c r="A22" s="2" t="str">
        <x:v>Sync snapshot</x:v>
      </x:c>
      <x:c r="B22" s="16" t="str">
        <x:v>All captured events have synced. A synced trip can remain Reconciling due to an unresolved missing exit.</x:v>
      </x:c>
    </x:row>
    <x:row r="23" ht="36" customHeight="1">
      <x:c r="A23" s="2" t="str">
        <x:v>Case EX0001 onward</x:v>
      </x:c>
      <x:c r="B23" s="16" t="str">
        <x:v>Cases include wrong bus, duplicate, no show, GPS unavailable, delayed recipient and missing check-out. Open custody case blocks completion.</x:v>
      </x:c>
    </x:row>
    <x:row r="24" ht="36" customHeight="1">
      <x:c r="A24" s="2" t="str">
        <x:v>Absence case</x:v>
      </x:c>
      <x:c r="B24" s="16" t="str">
        <x:v>Student 001 absent on 4 Oct. Both transport legs marked Declared absent.</x:v>
      </x:c>
    </x:row>
    <x:row r="25" ht="36" customHeight="1">
      <x:c r="A25" s="2" t="str">
        <x:v>No-show case</x:v>
      </x:c>
      <x:c r="B25" s="16" t="str">
        <x:v>Student 042 on 5 Oct. Pickup marked No show; guardian confirms no transport; return leg Cancelled transport.</x:v>
      </x:c>
    </x:row>
    <x:row r="26" ht="36" customHeight="1">
      <x:c r="A26" s="2" t="str">
        <x:v>Manual case</x:v>
      </x:c>
      <x:c r="B26" s="16" t="str">
        <x:v>Student 085 on 6 Oct forgot badge. Both legs use Manual method with identity-verification reason.</x:v>
      </x:c>
    </x:row>
    <x:row r="27" ht="36" customHeight="1">
      <x:c r="A27" s="2" t="str">
        <x:v>Offline case</x:v>
      </x:c>
      <x:c r="B27" s="16" t="str">
        <x:v>6 Oct Trip 2 BUS002 Batch 2 pickup scans synchronize 15 minutes later. Notices show Delayed offline update.</x:v>
      </x:c>
    </x:row>
    <x:row r="28" ht="36" customHeight="1">
      <x:c r="A28" s="2" t="str">
        <x:v>GPS case</x:v>
      </x:c>
      <x:c r="B28" s="16" t="str">
        <x:v>7 Oct Student 070 Trip 2 entry retains reported stop but numeric coordinates and accuracy are blank.</x:v>
      </x:c>
    </x:row>
    <x:row r="29" ht="36" customHeight="1">
      <x:c r="A29" s="2" t="str">
        <x:v>Handover case</x:v>
      </x:c>
      <x:c r="B29" s="16" t="str">
        <x:v>7 Oct Student 015 Trip 3 stays onboard five extra minutes until authorized guardian arrives.</x:v>
      </x:c>
    </x:row>
    <x:row r="30" ht="36" customHeight="1">
      <x:c r="A30" s="2" t="str">
        <x:v>Open custody case</x:v>
      </x:c>
      <x:c r="B30" s="16" t="str">
        <x:v>8 Oct Student 120 Trip 5 BUS003 has an entry but no exit. Trip remains Reconciling; Actual_End and sweep are blank.</x:v>
      </x:c>
    </x:row>
    <x:row r="31" ht="36" customHeight="1">
      <x:c r="A31" s="2" t="str">
        <x:v>Notifications</x:v>
      </x:c>
      <x:c r="B31" s="16" t="str">
        <x:v>Email notice records reflect accepted movements only. Sent is a delivery-system status, not proof of reading. One deliberate failed email notice is included.</x:v>
      </x:c>
    </x:row>
    <x:row r="32" ht="36" customHeight="1">
      <x:c r="A32" s="2" t="str">
        <x:v>QR tokens</x:v>
      </x:c>
      <x:c r="B32" s="16" t="str">
        <x:v>Random-looking synthetic identifiers, not real student data. Badge_Token is blank for Manual capture, which uses verified student selection.</x:v>
      </x:c>
    </x:row>
    <x:row r="33" ht="36" customHeight="1">
      <x:c r="A33" s="2" t="str">
        <x:v>Limits</x:v>
      </x:c>
      <x:c r="B33" s="16" t="str">
        <x:v>No actual GPS hardware, predictive ETA, fuel, fee, maintenance, transfers or correction histories are represented in this sample.</x:v>
      </x:c>
    </x:row>
    <x:row r="34" ht="36" customHeight="1">
      <x:c r="A34" s="2" t="str">
        <x:v>Schedule source</x:v>
      </x:c>
      <x:c r="B34" s="16" t="str">
        <x:v>Trip numbers, batch/group combinations and time windows supplied by the user on 3 October 2026. All people, scans, locations and exceptions are generated.</x:v>
      </x:c>
    </x:row>
    <x:row r="35" ht="36" customHeight="1">
      <x:c r="A35" s="2" t="str">
        <x:v>Trips grain and rows</x:v>
      </x:c>
      <x:c r="B35" s="16" t="str">
        <x:v>75 rows. Key: Trip_ID. Headers identify columns; IDs are text, counts and coordinates numeric, dates and times numeric Excel values.</x:v>
      </x:c>
    </x:row>
    <x:row r="36" ht="36" customHeight="1">
      <x:c r="A36" s="2" t="str">
        <x:v>StudentTrips grain and rows</x:v>
      </x:c>
      <x:c r="B36" s="16" t="str">
        <x:v>1200 rows. Key: Line_ID. Headers identify columns; IDs are text, counts and coordinates numeric, dates and times numeric Excel values.</x:v>
      </x:c>
    </x:row>
    <x:row r="37" ht="36" customHeight="1">
      <x:c r="A37" s="2" t="str">
        <x:v>ScanEvents grain and rows</x:v>
      </x:c>
      <x:c r="B37" s="16" t="str">
        <x:v>2393 rows. Key: Event_ID. Headers identify columns; IDs are text, counts and coordinates numeric, dates and times numeric Excel values.</x:v>
      </x:c>
    </x:row>
    <x:row r="38" ht="36" customHeight="1">
      <x:c r="A38" s="2" t="str">
        <x:v>Exceptions grain and rows</x:v>
      </x:c>
      <x:c r="B38" s="16" t="str">
        <x:v>6 rows. Key: Exception_ID. Headers identify columns; IDs are text, counts and coordinates numeric, dates and times numeric Excel values.</x:v>
      </x:c>
    </x:row>
    <x:row r="39" ht="36" customHeight="1">
      <x:c r="A39" s="2" t="str">
        <x:v>Notifications grain and rows</x:v>
      </x:c>
      <x:c r="B39" s="16" t="str">
        <x:v>2391 rows. Key: Notification_ID. Headers identify columns; IDs are text, counts and coordinates numeric, dates and times numeric Excel values.</x:v>
      </x:c>
    </x:row>
    <x:row r="40" ht="36" customHeight="1">
      <x:c r="A40" s="2" t="str">
        <x:v>Students grain and rows</x:v>
      </x:c>
      <x:c r="B40" s="16" t="str">
        <x:v>120 rows. Key: Student_ID. Headers identify columns; IDs are text, counts and coordinates numeric, dates and times numeric Excel values.</x:v>
      </x:c>
    </x:row>
    <x:row r="41" ht="36" customHeight="1">
      <x:c r="A41" s="2" t="str">
        <x:v>Locations grain and rows</x:v>
      </x:c>
      <x:c r="B41" s="16" t="str">
        <x:v>11 rows. Key: Location_ID. Headers identify columns; IDs are text, counts and coordinates numeric, dates and times numeric Excel values.</x:v>
      </x:c>
    </x:row>
    <x:row r="42" ht="36" customHeight="1">
      <x:c r="A42" s="2" t="str">
        <x:v>Crew grain and rows</x:v>
      </x:c>
      <x:c r="B42" s="16" t="str">
        <x:v>10 rows. Key: Crew_ID. Headers identify columns; IDs are text, counts and coordinates numeric, dates and times numeric Excel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8ac3d8e8075a41d4"/>
  </x:tableParts>
</x:worksheet>
</file>